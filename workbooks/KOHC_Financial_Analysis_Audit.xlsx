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drawings/charts/chart8.xml" ContentType="application/vnd.openxmlformats-officedocument.drawingml.chart+xml"/>
  <Override PartName="/xl/worksheets/sheet5.xml" ContentType="application/vnd.openxmlformats-officedocument.spreadsheetml.worksheet+xml"/>
  <Override PartName="/xl/drawings/drawing3.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drawings/charts/chart11.xml" ContentType="application/vnd.openxmlformats-officedocument.drawingml.chart+xml"/>
  <Override PartName="/xl/drawings/charts/chart12.xml" ContentType="application/vnd.openxmlformats-officedocument.drawingml.chart+xml"/>
  <Override PartName="/xl/worksheets/sheet6.xml" ContentType="application/vnd.openxmlformats-officedocument.spreadsheetml.worksheet+xml"/>
  <Override PartName="/xl/drawings/drawing4.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drawings/charts/chart15.xml" ContentType="application/vnd.openxmlformats-officedocument.drawingml.chart+xml"/>
  <Override PartName="/xl/drawings/charts/chart16.xml" ContentType="application/vnd.openxmlformats-officedocument.drawingml.chart+xml"/>
  <Override PartName="/xl/worksheets/sheet7.xml" ContentType="application/vnd.openxmlformats-officedocument.spreadsheetml.worksheet+xml"/>
  <Override PartName="/xl/drawings/drawing5.xml" ContentType="application/vnd.openxmlformats-officedocument.drawing+xml"/>
  <Override PartName="/xl/drawings/charts/chart17.xml" ContentType="application/vnd.openxmlformats-officedocument.drawingml.chart+xml"/>
  <Override PartName="/xl/drawings/charts/chart18.xml" ContentType="application/vnd.openxmlformats-officedocument.drawingml.chart+xml"/>
  <Override PartName="/xl/drawings/charts/chart19.xml" ContentType="application/vnd.openxmlformats-officedocument.drawingml.chart+xml"/>
  <Override PartName="/xl/drawings/charts/chart20.xml" ContentType="application/vnd.openxmlformats-officedocument.drawingml.chart+xml"/>
  <Override PartName="/xl/worksheets/sheet8.xml" ContentType="application/vnd.openxmlformats-officedocument.spreadsheetml.worksheet+xml"/>
  <Override PartName="/xl/drawings/drawing6.xml" ContentType="application/vnd.openxmlformats-officedocument.drawing+xml"/>
  <Override PartName="/xl/drawings/charts/chart21.xml" ContentType="application/vnd.openxmlformats-officedocument.drawingml.chart+xml"/>
  <Override PartName="/xl/drawings/charts/chart22.xml" ContentType="application/vnd.openxmlformats-officedocument.drawingml.chart+xml"/>
  <Override PartName="/xl/drawings/charts/chart23.xml" ContentType="application/vnd.openxmlformats-officedocument.drawingml.chart+xml"/>
  <Override PartName="/xl/drawings/charts/chart24.xml" ContentType="application/vnd.openxmlformats-officedocument.drawingml.chart+xml"/>
  <Override PartName="/xl/drawings/charts/chart25.xml" ContentType="application/vnd.openxmlformats-officedocument.drawingml.chart+xml"/>
  <Override PartName="/xl/drawings/charts/chart26.xml" ContentType="application/vnd.openxmlformats-officedocument.drawingml.chart+xml"/>
  <Override PartName="/xl/drawings/charts/chart27.xml" ContentType="application/vnd.openxmlformats-officedocument.drawingml.chart+xml"/>
  <Override PartName="/xl/drawings/charts/chart28.xml" ContentType="application/vnd.openxmlformats-officedocument.drawingml.chart+xml"/>
  <Override PartName="/xl/drawings/charts/chart29.xml" ContentType="application/vnd.openxmlformats-officedocument.drawingml.chart+xml"/>
  <Override PartName="/xl/drawings/charts/chart30.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c0ebf6612e94dbb" /></Relationships>
</file>

<file path=xl/workbook.xml><?xml version="1.0" encoding="utf-8"?>
<x:workbook xmlns:x="http://schemas.openxmlformats.org/spreadsheetml/2006/main">
  <x:sheets>
    <x:sheet xmlns:r="http://schemas.openxmlformats.org/officeDocument/2006/relationships" name="Overview &amp; Methodology" sheetId="1" r:id="Rf7ac85e20ac84d6a"/>
    <x:sheet xmlns:r="http://schemas.openxmlformats.org/officeDocument/2006/relationships" name="Published Ratio Reconciliation" sheetId="2" r:id="R1503da53535c4280"/>
    <x:sheet xmlns:r="http://schemas.openxmlformats.org/officeDocument/2006/relationships" name="KOHC" sheetId="3" r:id="R458ec397a3004c05"/>
    <x:sheet xmlns:r="http://schemas.openxmlformats.org/officeDocument/2006/relationships" name="LUCK" sheetId="4" r:id="R0d6a11c095334492"/>
    <x:sheet xmlns:r="http://schemas.openxmlformats.org/officeDocument/2006/relationships" name="DGKC" sheetId="5" r:id="Re003b939dc864d44"/>
    <x:sheet xmlns:r="http://schemas.openxmlformats.org/officeDocument/2006/relationships" name="MLCF" sheetId="6" r:id="Rdf9026d9b2c747bf"/>
    <x:sheet xmlns:r="http://schemas.openxmlformats.org/officeDocument/2006/relationships" name="FCCL" sheetId="7" r:id="Re7d11b436a4e4bd6"/>
    <x:sheet xmlns:r="http://schemas.openxmlformats.org/officeDocument/2006/relationships" name="Industry Comparison" sheetId="8" r:id="Rca6cf62acae74acb"/>
    <x:sheet xmlns:r="http://schemas.openxmlformats.org/officeDocument/2006/relationships" name="Sources &amp; Validation" sheetId="9" r:id="R99c32b7ff9434278"/>
    <x:sheet xmlns:r="http://schemas.openxmlformats.org/officeDocument/2006/relationships" name="PSX Prices" sheetId="10" r:id="R2cb75718ac414b3c"/>
    <x:sheet xmlns:r="http://schemas.openxmlformats.org/officeDocument/2006/relationships" name="Share Basis" sheetId="11" r:id="R503547a4b05c4745"/>
    <x:sheet xmlns:r="http://schemas.openxmlformats.org/officeDocument/2006/relationships" name="Corporate Actions" sheetId="12" r:id="R415e5dc144464fe9"/>
    <x:sheet xmlns:r="http://schemas.openxmlformats.org/officeDocument/2006/relationships" name="Price Evidence" sheetId="13" r:id="Ra2eb96be0a5a4bc9"/>
    <x:sheet xmlns:r="http://schemas.openxmlformats.org/officeDocument/2006/relationships" name="Ratio Verification" sheetId="14" r:id="Rcaf50042fb414ff4"/>
    <x:sheet xmlns:r="http://schemas.openxmlformats.org/officeDocument/2006/relationships" name="Input Review" sheetId="15" r:id="R41a2aa449c0c4afa"/>
    <x:sheet xmlns:r="http://schemas.openxmlformats.org/officeDocument/2006/relationships" name="Opening Balances" sheetId="16" r:id="Ra3f0f2ec0eb147d6"/>
    <x:sheet xmlns:r="http://schemas.openxmlformats.org/officeDocument/2006/relationships" name="Investigation Log" sheetId="17" r:id="R4c2e8eec53b94b0d"/>
    <x:sheet xmlns:r="http://schemas.openxmlformats.org/officeDocument/2006/relationships" name="Full Audit Summary" sheetId="18" r:id="Rfec48abdf30e4557"/>
    <x:sheet xmlns:r="http://schemas.openxmlformats.org/officeDocument/2006/relationships" name="PSX Price Probe" sheetId="19" r:id="R3af2b87b68a54d40"/>
  </x:sheets>
</x:workbook>
</file>

<file path=xl/sharedStrings.xml><?xml version="1.0" encoding="utf-8"?>
<x:sst xmlns:x="http://schemas.openxmlformats.org/spreadsheetml/2006/main">
  <x:si>
    <x:t xml:space="preserve">Five-Year Financial Ratio Analysis: Kohat Cement Company Limited and Peer Group, FY2021-FY2025</x:t>
  </x:si>
  <x:si>
    <x:t xml:space="preserve">Course</x:t>
  </x:si>
  <x:si>
    <x:t xml:space="preserve">Introduction to Business Finance, IBA Karachi</x:t>
  </x:si>
  <x:si>
    <x:t xml:space="preserve">Instructor</x:t>
  </x:si>
  <x:si>
    <x:t xml:space="preserve">Dr. Noureen Ayaz</x:t>
  </x:si>
  <x:si>
    <x:t xml:space="preserve">Group members / IDs</x:t>
  </x:si>
  <x:si>
    <x:t xml:space="preserve">(to be completed by students)</x:t>
  </x:si>
  <x:si>
    <x:t xml:space="preserve">Submission</x:t>
  </x:si>
  <x:si>
    <x:t xml:space="preserve">Calculation workbook supporting the final report (report prepared separately)</x:t>
  </x:si>
  <x:si>
    <x:t xml:space="preserve">Financial period</x:t>
  </x:si>
  <x:si>
    <x:t xml:space="preserve">FY2021-FY2025 (years ended 30 June). FY2020 closing balances used only as opening balances for FY2021 averages.</x:t>
  </x:si>
  <x:si>
    <x:t xml:space="preserve">Main company</x:t>
  </x:si>
  <x:si>
    <x:t xml:space="preserve">Kohat Cement Company Limited (KOHC)</x:t>
  </x:si>
  <x:si>
    <x:t xml:space="preserve">Competitors</x:t>
  </x:si>
  <x:si>
    <x:t xml:space="preserve">Lucky Cement (LUCK), D.G. Khan Cement (DGKC), Maple Leaf Cement (MLCF), Fauji Cement (FCCL)</x:t>
  </x:si>
  <x:si>
    <x:t xml:space="preserve">AI-use disclosure</x:t>
  </x:si>
  <x:si>
    <x:t xml:space="preserve">Company selection and reporting basis</x:t>
  </x:si>
  <x:si>
    <x:t xml:space="preserve">Symbol</x:t>
  </x:si>
  <x:si>
    <x:t xml:space="preserve">Company</x:t>
  </x:si>
  <x:si>
    <x:t xml:space="preserve">Role</x:t>
  </x:si>
  <x:si>
    <x:t xml:space="preserve">FY-end</x:t>
  </x:si>
  <x:si>
    <x:t xml:space="preserve">Basis used</x:t>
  </x:si>
  <x:si>
    <x:t xml:space="preserve">Original units</x:t>
  </x:si>
  <x:si>
    <x:t xml:space="preserve">Navigate</x:t>
  </x:si>
  <x:si>
    <x:t xml:space="preserve">KOHC</x:t>
  </x:si>
  <x:si>
    <x:t xml:space="preserve">Kohat Cement Company Limited</x:t>
  </x:si>
  <x:si>
    <x:t xml:space="preserve">30 June</x:t>
  </x:si>
  <x:si>
    <x:t xml:space="preserve">Standalone</x:t>
  </x:si>
  <x:si>
    <x:t xml:space="preserve">Rupees</x:t>
  </x:si>
  <x:si>
    <x:t xml:space="preserve">Go to KOHC sheet</x:t>
  </x:si>
  <x:si>
    <x:t xml:space="preserve">LUCK</x:t>
  </x:si>
  <x:si>
    <x:t xml:space="preserve">Lucky Cement Limited</x:t>
  </x:si>
  <x:si>
    <x:t xml:space="preserve">Competitor 1</x:t>
  </x:si>
  <x:si>
    <x:t xml:space="preserve">Unconsolidated</x:t>
  </x:si>
  <x:si>
    <x:t xml:space="preserve">PKR '000</x:t>
  </x:si>
  <x:si>
    <x:t xml:space="preserve">Go to LUCK sheet</x:t>
  </x:si>
  <x:si>
    <x:t xml:space="preserve">DGKC</x:t>
  </x:si>
  <x:si>
    <x:t xml:space="preserve">D.G. Khan Cement Company Limited</x:t>
  </x:si>
  <x:si>
    <x:t xml:space="preserve">Competitor 2</x:t>
  </x:si>
  <x:si>
    <x:t xml:space="preserve">Rs '000</x:t>
  </x:si>
  <x:si>
    <x:t xml:space="preserve">Go to DGKC sheet</x:t>
  </x:si>
  <x:si>
    <x:t xml:space="preserve">MLCF</x:t>
  </x:si>
  <x:si>
    <x:t xml:space="preserve">Maple Leaf Cement Factory Limited</x:t>
  </x:si>
  <x:si>
    <x:t xml:space="preserve">Competitor 3</x:t>
  </x:si>
  <x:si>
    <x:t xml:space="preserve">Go to MLCF sheet</x:t>
  </x:si>
  <x:si>
    <x:t xml:space="preserve">FCCL</x:t>
  </x:si>
  <x:si>
    <x:t xml:space="preserve">Fauji Cement Company Limited</x:t>
  </x:si>
  <x:si>
    <x:t xml:space="preserve">Competitor 4</x:t>
  </x:si>
  <x:si>
    <x:t xml:space="preserve">Go to FCCL sheet</x:t>
  </x:si>
  <x:si>
    <x:t xml:space="preserve">Go to Industry Comparison</x:t>
  </x:si>
  <x:si>
    <x:t xml:space="preserve">Go to Sources &amp; Validation</x:t>
  </x:si>
  <x:si>
    <x:t xml:space="preserve">Calculation conventions</x:t>
  </x:si>
  <x:si>
    <x:t xml:space="preserve">Benchmark</x:t>
  </x:si>
  <x:si>
    <x:t xml:space="preserve">Five-company sample average = equally weighted arithmetic mean of the five company ratios (KOHC included). Not an all-industry average. Valid-observation count shown; n/m values excluded, never treated as zero. Median and four-competitor average shown as supplementary statistics.</x:t>
  </x:si>
  <x:si>
    <x:t xml:space="preserve">Average balances</x:t>
  </x:si>
  <x:si>
    <x:t xml:space="preserve">Year-end balances</x:t>
  </x:si>
  <x:si>
    <x:t xml:space="preserve">Current, quick and cash ratios, NWC, NOWC, debt ratio, debt-to-equity, debt-to-capital, long-term debt ratio, BVPS.</x:t>
  </x:si>
  <x:si>
    <x:t xml:space="preserve">Market data</x:t>
  </x:si>
  <x:si>
    <x:t xml:space="preserve">Restatements</x:t>
  </x:si>
  <x:si>
    <x:t xml:space="preserve">Latest audited presentation used for every year (FY2020-FY2024 from the following year's comparatives). All differences against original figures are logged on Sources &amp; Validation.</x:t>
  </x:si>
  <x:si>
    <x:t xml:space="preserve">Levies</x:t>
  </x:si>
  <x:si>
    <x:t xml:space="preserve">From FY2023 comparatives onward companies present final / minimum taxes as "levies" above income tax. Profit before levies and income tax is used throughout so EBIT is comparable across years.</x:t>
  </x:si>
  <x:si>
    <x:t xml:space="preserve">EBIT / EBITDA</x:t>
  </x:si>
  <x:si>
    <x:t xml:space="preserve">EBIT = profit before levies and income tax + finance cost (includes other income). EBITDA = EBIT + depreciation and amortisation from the cash-flow reconciliation. Core operating profit excludes other income.</x:t>
  </x:si>
  <x:si>
    <x:t xml:space="preserve">Interest-bearing debt</x:t>
  </x:si>
  <x:si>
    <x:t xml:space="preserve">Tax rate for NOPAT</x:t>
  </x:si>
  <x:si>
    <x:t xml:space="preserve">Missing / undefined</x:t>
  </x:si>
  <x:si>
    <x:t xml:space="preserve">Ratio definitions (formulas as implemented on company sheets)</x:t>
  </x:si>
  <x:si>
    <x:t xml:space="preserve">Measure</x:t>
  </x:si>
  <x:si>
    <x:t xml:space="preserve">Formula</x:t>
  </x:si>
  <x:si>
    <x:t xml:space="preserve">Units</x:t>
  </x:si>
  <x:si>
    <x:t xml:space="preserve">Category</x:t>
  </x:si>
  <x:si>
    <x:t xml:space="preserve">Key limitations</x:t>
  </x:si>
  <x:si>
    <x:t xml:space="preserve">- Five-company sample average is not an all-industry average; equal weights give small and large firms the same influence.</x:t>
  </x:si>
  <x:si>
    <x:t xml:space="preserve">- Standalone/unconsolidated statements exclude subsidiaries; LUCK and MLCF standalone other income includes large dividends from investees, which raises EBIT, ROA and ROIC relative to core cement operations.</x:t>
  </x:si>
  <x:si>
    <x:t xml:space="preserve">- Credit sales are not disclosed: receivables turnover uses total net revenue (proxy). Cement is sold largely on advance/cash terms, so DSO is short.</x:t>
  </x:si>
  <x:si>
    <x:t xml:space="preserve">- Purchases are not disclosed: payables turnover uses cost of sales, which includes depreciation and in-house costs, so DPO is understated relative to a purchases basis.</x:t>
  </x:si>
  <x:si>
    <x:t xml:space="preserve">- Reclassifications: MLCF FY2023 and FCCL FY2022 moved freight/distribution costs out of cost of sales in restated comparatives; earlier years were not restated, creating gross-margin breaks.</x:t>
  </x:si>
  <x:si>
    <x:t xml:space="preserve">- Per-share measures are not comparable across companies (different share bases); sample averages of EPS, BVPS and DPS are descriptive only.</x:t>
  </x:si>
  <x:si>
    <x:t xml:space="preserve">Kohat Cement Company Limited (KOHC) - five-year financial analysis, FY2021-FY2025</x:t>
  </x:si>
  <x:si>
    <x:t xml:space="preserve">Main company | PSX: KOHC | Standalone (single-entity financial statements; no consolidated statements published) | All amounts PKR million unless stated</x:t>
  </x:si>
  <x:si>
    <x:t xml:space="preserve">Blue = audited input (see Sources &amp; Validation register) | Black = formula | n/m = not meaningful</x:t>
  </x:si>
  <x:si>
    <x:t xml:space="preserve">A. COMPANY AND DATA INFORMATION</x:t>
  </x:si>
  <x:si>
    <x:t xml:space="preserve">PSX symbol</x:t>
  </x:si>
  <x:si>
    <x:t xml:space="preserve">Role in project</x:t>
  </x:si>
  <x:si>
    <x:t xml:space="preserve">Financial year-end</x:t>
  </x:si>
  <x:si>
    <x:t xml:space="preserve">30 June (FY2021 = year ended 30 June 2021, etc.)</x:t>
  </x:si>
  <x:si>
    <x:t xml:space="preserve">Reporting basis</x:t>
  </x:si>
  <x:si>
    <x:t xml:space="preserve">Standalone (single-entity financial statements; no consolidated statements published)</x:t>
  </x:si>
  <x:si>
    <x:t xml:space="preserve">Original audited units</x:t>
  </x:si>
  <x:si>
    <x:t xml:space="preserve">Rupees - normalised here to PKR million (full precision retained)</x:t>
  </x:si>
  <x:si>
    <x:t xml:space="preserve">Annual reports used</x:t>
  </x:si>
  <x:si>
    <x:t xml:space="preserve">FY2021: KOHC_AR_2021.pdf; FY2022: Kohat_Cement_AR_2022.pdf; FY2023: Financial_Statements-30-06-2023.pdf; FY2024: Kohat_Cement_Annual_Report-2024.pdf; FY2025: Kohat_Cement_Annual_Report_2025.pdf</x:t>
  </x:si>
  <x:si>
    <x:t xml:space="preserve">Year selection rule</x:t>
  </x:si>
  <x:si>
    <x:t xml:space="preserve">Each year taken from the most recent audited presentation: FY2025 from FY2025 AR; FY2020-FY2024 from the comparative column of the following year's AR (captures restatements). FY2020 = opening balances only.</x:t>
  </x:si>
  <x:si>
    <x:t xml:space="preserve">Per-share basis</x:t>
  </x:si>
  <x:si>
    <x:t xml:space="preserve">Source register</x:t>
  </x:si>
  <x:si>
    <x:t xml:space="preserve">Every blue input is listed with report, statement, PDF page, printed page and remarks on the Sources &amp; Validation sheet.</x:t>
  </x:si>
  <x:si>
    <x:t xml:space="preserve">Item</x:t>
  </x:si>
  <x:si>
    <x:t xml:space="preserve">Definition / formula / source note</x:t>
  </x:si>
  <x:si>
    <x:t xml:space="preserve">FY2020*</x:t>
  </x:si>
  <x:si>
    <x:t xml:space="preserve">FY2021</x:t>
  </x:si>
  <x:si>
    <x:t xml:space="preserve">FY2022</x:t>
  </x:si>
  <x:si>
    <x:t xml:space="preserve">FY2023</x:t>
  </x:si>
  <x:si>
    <x:t xml:space="preserve">FY2024</x:t>
  </x:si>
  <x:si>
    <x:t xml:space="preserve">FY2025</x:t>
  </x:si>
  <x:si>
    <x:t xml:space="preserve">Comments</x:t>
  </x:si>
  <x:si>
    <x:t xml:space="preserve">B. STATEMENT OF FINANCIAL POSITION (PKR million; FY2020 = opening balances only)</x:t>
  </x:si>
  <x:si>
    <x:t xml:space="preserve">Non-current assets</x:t>
  </x:si>
  <x:si>
    <x:t xml:space="preserve">Property, plant and equipment (as presented)</x:t>
  </x:si>
  <x:si>
    <x:t xml:space="preserve">Input - see register KOHC|ppe</x:t>
  </x:si>
  <x:si>
    <x:t xml:space="preserve">PKR m</x:t>
  </x:si>
  <x:si>
    <x:t xml:space="preserve">   of which: capital work-in-progress (note)</x:t>
  </x:si>
  <x:si>
    <x:t xml:space="preserve">Input - see register KOHC|cwip</x:t>
  </x:si>
  <x:si>
    <x:t xml:space="preserve">   Operating fixed assets = PPE less CWIP</x:t>
  </x:si>
  <x:si>
    <x:t xml:space="preserve">PPE - CWIP</x:t>
  </x:si>
  <x:si>
    <x:t xml:space="preserve">Right-of-use assets (presented separately)</x:t>
  </x:si>
  <x:si>
    <x:t xml:space="preserve">Input - see register KOHC|rou</x:t>
  </x:si>
  <x:si>
    <x:t xml:space="preserve">Intangible assets</x:t>
  </x:si>
  <x:si>
    <x:t xml:space="preserve">Input - see register KOHC|intang</x:t>
  </x:si>
  <x:si>
    <x:t xml:space="preserve">Investment property</x:t>
  </x:si>
  <x:si>
    <x:t xml:space="preserve">Input - see register KOHC|inv_prop</x:t>
  </x:si>
  <x:si>
    <x:t xml:space="preserve">Long-term investments</x:t>
  </x:si>
  <x:si>
    <x:t xml:space="preserve">Input - see register KOHC|lt_inv</x:t>
  </x:si>
  <x:si>
    <x:t xml:space="preserve">Other non-current assets</x:t>
  </x:si>
  <x:si>
    <x:t xml:space="preserve">Input - see register KOHC|nca_other</x:t>
  </x:si>
  <x:si>
    <x:t xml:space="preserve">Total non-current assets</x:t>
  </x:si>
  <x:si>
    <x:t xml:space="preserve">Sum of above (excl. memo)</x:t>
  </x:si>
  <x:si>
    <x:t xml:space="preserve">Current assets</x:t>
  </x:si>
  <x:si>
    <x:t xml:space="preserve">Stores, spares and loose tools</x:t>
  </x:si>
  <x:si>
    <x:t xml:space="preserve">Input - see register KOHC|stores</x:t>
  </x:si>
  <x:si>
    <x:t xml:space="preserve">Stock-in-trade</x:t>
  </x:si>
  <x:si>
    <x:t xml:space="preserve">Input - see register KOHC|sit</x:t>
  </x:si>
  <x:si>
    <x:t xml:space="preserve">Trade debts</x:t>
  </x:si>
  <x:si>
    <x:t xml:space="preserve">Input - see register KOHC|debts</x:t>
  </x:si>
  <x:si>
    <x:t xml:space="preserve">Short-term investments</x:t>
  </x:si>
  <x:si>
    <x:t xml:space="preserve">Input - see register KOHC|st_inv</x:t>
  </x:si>
  <x:si>
    <x:t xml:space="preserve">Cash and bank balances</x:t>
  </x:si>
  <x:si>
    <x:t xml:space="preserve">Input - see register KOHC|cash</x:t>
  </x:si>
  <x:si>
    <x:t xml:space="preserve">Other current assets</x:t>
  </x:si>
  <x:si>
    <x:t xml:space="preserve">Input - see register KOHC|ca_other</x:t>
  </x:si>
  <x:si>
    <x:t xml:space="preserve">Total current assets</x:t>
  </x:si>
  <x:si>
    <x:t xml:space="preserve">stores+sit+debts+st_inv+cash+ca_other</x:t>
  </x:si>
  <x:si>
    <x:t xml:space="preserve">TOTAL ASSETS</x:t>
  </x:si>
  <x:si>
    <x:t xml:space="preserve">tot_nca+tot_ca</x:t>
  </x:si>
  <x:si>
    <x:t xml:space="preserve">Equity</x:t>
  </x:si>
  <x:si>
    <x:t xml:space="preserve">Issued, subscribed and paid-up share capital</x:t>
  </x:si>
  <x:si>
    <x:t xml:space="preserve">Input - see register KOHC|share_cap</x:t>
  </x:si>
  <x:si>
    <x:t xml:space="preserve">Reserves, retained earnings and revaluation surplus</x:t>
  </x:si>
  <x:si>
    <x:t xml:space="preserve">Input - see register KOHC|eq_other</x:t>
  </x:si>
  <x:si>
    <x:t xml:space="preserve">Total equity</x:t>
  </x:si>
  <x:si>
    <x:t xml:space="preserve">share_cap+eq_other</x:t>
  </x:si>
  <x:si>
    <x:t xml:space="preserve">Non-current liabilities</x:t>
  </x:si>
  <x:si>
    <x:t xml:space="preserve">Long-term financing (non-current, interest-bearing)</x:t>
  </x:si>
  <x:si>
    <x:t xml:space="preserve">Input - see register KOHC|ltf_nc</x:t>
  </x:si>
  <x:si>
    <x:t xml:space="preserve">Lease liabilities (non-current)</x:t>
  </x:si>
  <x:si>
    <x:t xml:space="preserve">Input - see register KOHC|lease_nc</x:t>
  </x:si>
  <x:si>
    <x:t xml:space="preserve">Deferred government grant (non-current)</x:t>
  </x:si>
  <x:si>
    <x:t xml:space="preserve">Input - see register KOHC|grant_nc</x:t>
  </x:si>
  <x:si>
    <x:t xml:space="preserve">Deferred tax liability</x:t>
  </x:si>
  <x:si>
    <x:t xml:space="preserve">Input - see register KOHC|def_tax</x:t>
  </x:si>
  <x:si>
    <x:t xml:space="preserve">Other non-current liabilities</x:t>
  </x:si>
  <x:si>
    <x:t xml:space="preserve">Input - see register KOHC|ncl_other</x:t>
  </x:si>
  <x:si>
    <x:t xml:space="preserve">Total non-current liabilities</x:t>
  </x:si>
  <x:si>
    <x:t xml:space="preserve">ltf_nc+lease_nc+grant_nc+def_tax+ncl_other</x:t>
  </x:si>
  <x:si>
    <x:t xml:space="preserve">Current liabilities</x:t>
  </x:si>
  <x:si>
    <x:t xml:space="preserve">Trade and other payables</x:t>
  </x:si>
  <x:si>
    <x:t xml:space="preserve">Input - see register KOHC|tap</x:t>
  </x:si>
  <x:si>
    <x:t xml:space="preserve">   memo: trade creditors / bills payable (note)</x:t>
  </x:si>
  <x:si>
    <x:t xml:space="preserve">Input - see register KOHC|trade_cred</x:t>
  </x:si>
  <x:si>
    <x:t xml:space="preserve">Contract liabilities / advances from customers</x:t>
  </x:si>
  <x:si>
    <x:t xml:space="preserve">Input - see register KOHC|contract</x:t>
  </x:si>
  <x:si>
    <x:t xml:space="preserve">Accrued mark-up / interest</x:t>
  </x:si>
  <x:si>
    <x:t xml:space="preserve">Input - see register KOHC|acc_markup</x:t>
  </x:si>
  <x:si>
    <x:t xml:space="preserve">Short-term borrowings (incl. running finance; FCCL parent loan)</x:t>
  </x:si>
  <x:si>
    <x:t xml:space="preserve">Input - see register KOHC|stb</x:t>
  </x:si>
  <x:si>
    <x:t xml:space="preserve">Current portion of long-term financing</x:t>
  </x:si>
  <x:si>
    <x:t xml:space="preserve">Input - see register KOHC|cp_ltf</x:t>
  </x:si>
  <x:si>
    <x:t xml:space="preserve">Current portion of lease liabilities</x:t>
  </x:si>
  <x:si>
    <x:t xml:space="preserve">Input - see register KOHC|cp_lease</x:t>
  </x:si>
  <x:si>
    <x:t xml:space="preserve">Current portion of deferred government grant</x:t>
  </x:si>
  <x:si>
    <x:t xml:space="preserve">Input - see register KOHC|cp_grant</x:t>
  </x:si>
  <x:si>
    <x:t xml:space="preserve">Unclaimed / unpaid dividends</x:t>
  </x:si>
  <x:si>
    <x:t xml:space="preserve">Input - see register KOHC|div_liab</x:t>
  </x:si>
  <x:si>
    <x:t xml:space="preserve">Taxation payable (net)</x:t>
  </x:si>
  <x:si>
    <x:t xml:space="preserve">Input - see register KOHC|tax_liab</x:t>
  </x:si>
  <x:si>
    <x:t xml:space="preserve">Other current liabilities</x:t>
  </x:si>
  <x:si>
    <x:t xml:space="preserve">Input - see register KOHC|cl_other</x:t>
  </x:si>
  <x:si>
    <x:t xml:space="preserve">Total current liabilities</x:t>
  </x:si>
  <x:si>
    <x:t xml:space="preserve">tap+contract+acc_markup+stb+cp_ltf+cp_lease+cp_grant+div_liab+tax_liab+cl_other</x:t>
  </x:si>
  <x:si>
    <x:t xml:space="preserve">Trade creditors memo line excluded (already inside trade and other payables)</x:t>
  </x:si>
  <x:si>
    <x:t xml:space="preserve">Total liabilities</x:t>
  </x:si>
  <x:si>
    <x:t xml:space="preserve">tot_ncl+tot_cl</x:t>
  </x:si>
  <x:si>
    <x:t xml:space="preserve">TOTAL EQUITY AND LIABILITIES</x:t>
  </x:si>
  <x:si>
    <x:t xml:space="preserve">tot_eq+tot_liab</x:t>
  </x:si>
  <x:si>
    <x:t xml:space="preserve">Derived balances used in ratios</x:t>
  </x:si>
  <x:si>
    <x:t xml:space="preserve">Inventories = stores and spares + stock-in-trade</x:t>
  </x:si>
  <x:si>
    <x:t xml:space="preserve">stores+sit</x:t>
  </x:si>
  <x:si>
    <x:t xml:space="preserve">Interest-bearing debt = LT financing + leases + ST borrowings + current portions</x:t>
  </x:si>
  <x:si>
    <x:t xml:space="preserve">ltf_nc+lease_nc+stb+cp_ltf+cp_lease</x:t>
  </x:si>
  <x:si>
    <x:t xml:space="preserve">Long-term interest-bearing debt (non-current financing + non-current leases)</x:t>
  </x:si>
  <x:si>
    <x:t xml:space="preserve">ltf_nc+lease_nc</x:t>
  </x:si>
  <x:si>
    <x:t xml:space="preserve">Invested capital = interest-bearing debt + equity</x:t>
  </x:si>
  <x:si>
    <x:t xml:space="preserve">ibd+tot_eq</x:t>
  </x:si>
  <x:si>
    <x:t xml:space="preserve">Capital employed = total assets - current liabilities</x:t>
  </x:si>
  <x:si>
    <x:t xml:space="preserve">tot_assets-tot_cl</x:t>
  </x:si>
  <x:si>
    <x:t xml:space="preserve">Operating current assets = CA - cash - ST investments</x:t>
  </x:si>
  <x:si>
    <x:t xml:space="preserve">tot_ca-cash-st_inv</x:t>
  </x:si>
  <x:si>
    <x:t xml:space="preserve">Operating current liabilities = CL - ST borrowings - current portions - accrued mark-up - dividends</x:t>
  </x:si>
  <x:si>
    <x:t xml:space="preserve">tot_cl-stb-cp_ltf-cp_lease-cp_grant-acc_markup-div_liab</x:t>
  </x:si>
  <x:si>
    <x:t xml:space="preserve">Source totals (as printed in audited statements) and checks</x:t>
  </x:si>
  <x:si>
    <x:t xml:space="preserve">Printed total assets</x:t>
  </x:si>
  <x:si>
    <x:t xml:space="preserve">Input - see register KOHC|pr_TA</x:t>
  </x:si>
  <x:si>
    <x:t xml:space="preserve">Printed total equity</x:t>
  </x:si>
  <x:si>
    <x:t xml:space="preserve">Input - see register KOHC|pr_EQ</x:t>
  </x:si>
  <x:si>
    <x:t xml:space="preserve">Printed total current assets</x:t>
  </x:si>
  <x:si>
    <x:t xml:space="preserve">Input - see register KOHC|pr_CA</x:t>
  </x:si>
  <x:si>
    <x:t xml:space="preserve">Printed total current liabilities</x:t>
  </x:si>
  <x:si>
    <x:t xml:space="preserve">Input - see register KOHC|pr_CL</x:t>
  </x:si>
  <x:si>
    <x:t xml:space="preserve">Check: total assets = equity + liabilities</x:t>
  </x:si>
  <x:si>
    <x:t xml:space="preserve">Validation formula</x:t>
  </x:si>
  <x:si>
    <x:t xml:space="preserve">Check: total assets = printed total</x:t>
  </x:si>
  <x:si>
    <x:t xml:space="preserve">Check: equity, CA and CL = printed subtotals</x:t>
  </x:si>
  <x:si>
    <x:t xml:space="preserve">C. STATEMENT OF PROFIT OR LOSS (PKR million)</x:t>
  </x:si>
  <x:si>
    <x:t xml:space="preserve">Revenue / net sales</x:t>
  </x:si>
  <x:si>
    <x:t xml:space="preserve">Input - see register KOHC|rev</x:t>
  </x:si>
  <x:si>
    <x:t xml:space="preserve">Cost of sales</x:t>
  </x:si>
  <x:si>
    <x:t xml:space="preserve">Input - see register KOHC|cogs</x:t>
  </x:si>
  <x:si>
    <x:t xml:space="preserve">Gross profit</x:t>
  </x:si>
  <x:si>
    <x:t xml:space="preserve">rev+cogs</x:t>
  </x:si>
  <x:si>
    <x:t xml:space="preserve">Selling and distribution expenses</x:t>
  </x:si>
  <x:si>
    <x:t xml:space="preserve">Input - see register KOHC|selling</x:t>
  </x:si>
  <x:si>
    <x:t xml:space="preserve">Administrative expenses</x:t>
  </x:si>
  <x:si>
    <x:t xml:space="preserve">Input - see register KOHC|admin</x:t>
  </x:si>
  <x:si>
    <x:t xml:space="preserve">Impairment / expected credit loss on financial assets</x:t>
  </x:si>
  <x:si>
    <x:t xml:space="preserve">Input - see register KOHC|impair</x:t>
  </x:si>
  <x:si>
    <x:t xml:space="preserve">Other operating expenses (incl. WPPF/WWF)</x:t>
  </x:si>
  <x:si>
    <x:t xml:space="preserve">Input - see register KOHC|oth_exp</x:t>
  </x:si>
  <x:si>
    <x:t xml:space="preserve">Operating profit (core) = GP - operating expenses, excl. other income</x:t>
  </x:si>
  <x:si>
    <x:t xml:space="preserve">gp+selling+admin+impair+oth_exp</x:t>
  </x:si>
  <x:si>
    <x:t xml:space="preserve">Other income</x:t>
  </x:si>
  <x:si>
    <x:t xml:space="preserve">Input - see register KOHC|oth_inc</x:t>
  </x:si>
  <x:si>
    <x:t xml:space="preserve">Finance income (where presented separately)</x:t>
  </x:si>
  <x:si>
    <x:t xml:space="preserve">Input - see register KOHC|fin_inc</x:t>
  </x:si>
  <x:si>
    <x:t xml:space="preserve">Share of profit of associate</x:t>
  </x:si>
  <x:si>
    <x:t xml:space="preserve">Input - see register KOHC|assoc</x:t>
  </x:si>
  <x:si>
    <x:t xml:space="preserve">Finance cost</x:t>
  </x:si>
  <x:si>
    <x:t xml:space="preserve">Input - see register KOHC|fin_cost</x:t>
  </x:si>
  <x:si>
    <x:t xml:space="preserve">Profit before levies and income tax</x:t>
  </x:si>
  <x:si>
    <x:t xml:space="preserve">core_op+oth_inc+fin_inc+assoc+fin_cost</x:t>
  </x:si>
  <x:si>
    <x:t xml:space="preserve">Levies (final / minimum taxes presented separately)</x:t>
  </x:si>
  <x:si>
    <x:t xml:space="preserve">Input - see register KOHC|levy</x:t>
  </x:si>
  <x:si>
    <x:t xml:space="preserve">Income tax</x:t>
  </x:si>
  <x:si>
    <x:t xml:space="preserve">Input - see register KOHC|tax</x:t>
  </x:si>
  <x:si>
    <x:t xml:space="preserve">Profit after tax (attributable to ordinary shareholders)</x:t>
  </x:si>
  <x:si>
    <x:t xml:space="preserve">pbt_pre+levy+tax</x:t>
  </x:si>
  <x:si>
    <x:t xml:space="preserve">Printed gross profit</x:t>
  </x:si>
  <x:si>
    <x:t xml:space="preserve">Input - see register KOHC|pr_gp</x:t>
  </x:si>
  <x:si>
    <x:t xml:space="preserve">Printed profit before levies and income tax</x:t>
  </x:si>
  <x:si>
    <x:t xml:space="preserve">Input - see register KOHC|pr_pbt</x:t>
  </x:si>
  <x:si>
    <x:t xml:space="preserve">Printed profit after tax</x:t>
  </x:si>
  <x:si>
    <x:t xml:space="preserve">Input - see register KOHC|pr_pat</x:t>
  </x:si>
  <x:si>
    <x:t xml:space="preserve">Check: GP, PBT and PAT agree to printed statement</x:t>
  </x:si>
  <x:si>
    <x:t xml:space="preserve">Derived profit measures</x:t>
  </x:si>
  <x:si>
    <x:t xml:space="preserve">Non-interest finance costs (bank charges, commission, exchange loss) (note)</x:t>
  </x:si>
  <x:si>
    <x:t xml:space="preserve">Input - see register KOHC|fc_nonint</x:t>
  </x:si>
  <x:si>
    <x:t xml:space="preserve">Interest charges = finance cost - non-interest items</x:t>
  </x:si>
  <x:si>
    <x:t xml:space="preserve">-fin_cost-fc_nonint</x:t>
  </x:si>
  <x:si>
    <x:t xml:space="preserve">Depreciation and amortisation (cash flow reconciliation)</x:t>
  </x:si>
  <x:si>
    <x:t xml:space="preserve">Input - see register KOHC|da</x:t>
  </x:si>
  <x:si>
    <x:t xml:space="preserve">EBIT = profit before levies and tax + finance cost</x:t>
  </x:si>
  <x:si>
    <x:t xml:space="preserve">pbt_pre-fin_cost</x:t>
  </x:si>
  <x:si>
    <x:t xml:space="preserve">EBITDA = EBIT + depreciation and amortisation</x:t>
  </x:si>
  <x:si>
    <x:t xml:space="preserve">ebit+da</x:t>
  </x:si>
  <x:si>
    <x:t xml:space="preserve">Total tax charge (levies + income tax)</x:t>
  </x:si>
  <x:si>
    <x:t xml:space="preserve">-(levy+tax)</x:t>
  </x:si>
  <x:si>
    <x:t xml:space="preserve">Effective tax rate = total tax / profit before levies and tax</x:t>
  </x:si>
  <x:si>
    <x:t xml:space="preserve">IF(pbt_pre&lt;=0,"n/m",tot_tax/pbt_pre)</x:t>
  </x:si>
  <x:si>
    <x:t xml:space="preserve">%</x:t>
  </x:si>
  <x:si>
    <x:t xml:space="preserve">IF(AND(ISNUMBER(etr),etr&gt;=0,etr&lt;=0.6),etr,P:stat)</x:t>
  </x:si>
  <x:si>
    <x:t xml:space="preserve">NOPAT = EBIT x (1 - tax rate applied)</x:t>
  </x:si>
  <x:si>
    <x:t xml:space="preserve">ebit*(1-tax_used)</x:t>
  </x:si>
  <x:si>
    <x:t xml:space="preserve">D. STATEMENT OF CASH FLOWS (PKR million)</x:t>
  </x:si>
  <x:si>
    <x:t xml:space="preserve">Cash generated from operations (before interest, tax and other items)</x:t>
  </x:si>
  <x:si>
    <x:t xml:space="preserve">Input - see register KOHC|cgo</x:t>
  </x:si>
  <x:si>
    <x:t xml:space="preserve">Net cash from operating activities (as reported)</x:t>
  </x:si>
  <x:si>
    <x:t xml:space="preserve">Input - see register KOHC|cfo</x:t>
  </x:si>
  <x:si>
    <x:t xml:space="preserve">Finance cost / mark-up paid</x:t>
  </x:si>
  <x:si>
    <x:t xml:space="preserve">Input - see register KOHC|fin_paid</x:t>
  </x:si>
  <x:si>
    <x:t xml:space="preserve">Classification of finance cost paid</x:t>
  </x:si>
  <x:si>
    <x:t xml:space="preserve">Input - see register KOHC|fin_paid_cls</x:t>
  </x:si>
  <x:si>
    <x:t xml:space="preserve">Operating</x:t>
  </x:si>
  <x:si>
    <x:t xml:space="preserve">text</x:t>
  </x:si>
  <x:si>
    <x:t xml:space="preserve">CFO with interest paid treated as operating (comparability memo)</x:t>
  </x:si>
  <x:si>
    <x:t xml:space="preserve">IF(fin_paid_cls="Financing",cfo+fin_paid,cfo)</x:t>
  </x:si>
  <x:si>
    <x:t xml:space="preserve">Purchase of property, plant and equipment</x:t>
  </x:si>
  <x:si>
    <x:t xml:space="preserve">Input - see register KOHC|capex</x:t>
  </x:si>
  <x:si>
    <x:t xml:space="preserve">Net cash from investing activities</x:t>
  </x:si>
  <x:si>
    <x:t xml:space="preserve">Input - see register KOHC|cfi</x:t>
  </x:si>
  <x:si>
    <x:t xml:space="preserve">Net cash from financing activities</x:t>
  </x:si>
  <x:si>
    <x:t xml:space="preserve">Input - see register KOHC|cff</x:t>
  </x:si>
  <x:si>
    <x:t xml:space="preserve">Dividends paid</x:t>
  </x:si>
  <x:si>
    <x:t xml:space="preserve">Input - see register KOHC|div_paid</x:t>
  </x:si>
  <x:si>
    <x:t xml:space="preserve">E. MARKET AND SHAREHOLDER DATA (share basis in force at each FY-end)</x:t>
  </x:si>
  <x:si>
    <x:t xml:space="preserve">Par value per share (Rs)</x:t>
  </x:si>
  <x:si>
    <x:t xml:space="preserve">Input - see register KOHC|par</x:t>
  </x:si>
  <x:si>
    <x:t xml:space="preserve">Rs</x:t>
  </x:si>
  <x:si>
    <x:t xml:space="preserve">Ordinary shares outstanding at FY-end (million) = share capital / par</x:t>
  </x:si>
  <x:si>
    <x:t xml:space="preserve">share_cap/par</x:t>
  </x:si>
  <x:si>
    <x:t xml:space="preserve">m shares</x:t>
  </x:si>
  <x:si>
    <x:t xml:space="preserve">Weighted average ordinary shares (million) - audited EPS note</x:t>
  </x:si>
  <x:si>
    <x:t xml:space="preserve">Input - see register KOHC|wavg</x:t>
  </x:si>
  <x:si>
    <x:t xml:space="preserve">Input - see register KOHC|price</x:t>
  </x:si>
  <x:si>
    <x:t xml:space="preserve">Cash dividend per share declared for the FY (Rs)</x:t>
  </x:si>
  <x:si>
    <x:t xml:space="preserve">Input - see register KOHC|dps</x:t>
  </x:si>
  <x:si>
    <x:t xml:space="preserve">Input - see register KOHC|eps_rep</x:t>
  </x:si>
  <x:si>
    <x:t xml:space="preserve">Market capitalisation = price x FY-end shares</x:t>
  </x:si>
  <x:si>
    <x:t xml:space="preserve">price*shares_ye</x:t>
  </x:si>
  <x:si>
    <x:t xml:space="preserve">Input - see register KOHC|adj</x:t>
  </x:si>
  <x:si>
    <x:t xml:space="preserve">factor</x:t>
  </x:si>
  <x:si>
    <x:t xml:space="preserve">F. FINANCIAL RATIO ANALYSIS - 36 MEASURES</x:t>
  </x:si>
  <x:si>
    <x:t xml:space="preserve">x</x:t>
  </x:si>
  <x:si>
    <x:t xml:space="preserve">days</x:t>
  </x:si>
  <x:si>
    <x:t xml:space="preserve">(Interest-bearing debt - cash and bank) / EBITDA; negative = net cash</x:t>
  </x:si>
  <x:si>
    <x:t xml:space="preserve">EBIT / average total assets</x:t>
  </x:si>
  <x:si>
    <x:t xml:space="preserve">G. VERTICAL (COMMON-SIZE) ANALYSIS</x:t>
  </x:si>
  <x:si>
    <x:t xml:space="preserve">Statement of financial position - % of total assets</x:t>
  </x:si>
  <x:si>
    <x:t xml:space="preserve">Operating fixed assets</x:t>
  </x:si>
  <x:si>
    <x:t xml:space="preserve">ofa / total assets</x:t>
  </x:si>
  <x:si>
    <x:t xml:space="preserve">Capital work-in-progress</x:t>
  </x:si>
  <x:si>
    <x:t xml:space="preserve">cwip / total assets</x:t>
  </x:si>
  <x:si>
    <x:t xml:space="preserve">tot_nca / total assets</x:t>
  </x:si>
  <x:si>
    <x:t xml:space="preserve">Inventories</x:t>
  </x:si>
  <x:si>
    <x:t xml:space="preserve">inventories / total assets</x:t>
  </x:si>
  <x:si>
    <x:t xml:space="preserve">debts / total assets</x:t>
  </x:si>
  <x:si>
    <x:t xml:space="preserve">st_inv / total assets</x:t>
  </x:si>
  <x:si>
    <x:t xml:space="preserve">Cash and bank</x:t>
  </x:si>
  <x:si>
    <x:t xml:space="preserve">cash / total assets</x:t>
  </x:si>
  <x:si>
    <x:t xml:space="preserve">tot_ca / total assets</x:t>
  </x:si>
  <x:si>
    <x:t xml:space="preserve">tot_eq / total assets</x:t>
  </x:si>
  <x:si>
    <x:t xml:space="preserve">Long-term interest-bearing debt</x:t>
  </x:si>
  <x:si>
    <x:t xml:space="preserve">lt_ibd / total assets</x:t>
  </x:si>
  <x:si>
    <x:t xml:space="preserve">tot_ncl / total assets</x:t>
  </x:si>
  <x:si>
    <x:t xml:space="preserve">tap / total assets</x:t>
  </x:si>
  <x:si>
    <x:t xml:space="preserve">Interest-bearing debt (total)</x:t>
  </x:si>
  <x:si>
    <x:t xml:space="preserve">ibd / total assets</x:t>
  </x:si>
  <x:si>
    <x:t xml:space="preserve">tot_cl / total assets</x:t>
  </x:si>
  <x:si>
    <x:t xml:space="preserve">tot_liab / total assets</x:t>
  </x:si>
  <x:si>
    <x:t xml:space="preserve">Statement of profit or loss - % of revenue</x:t>
  </x:si>
  <x:si>
    <x:t xml:space="preserve">cogs / revenue (costs shown negative)</x:t>
  </x:si>
  <x:si>
    <x:t xml:space="preserve">gp / revenue (costs shown negative)</x:t>
  </x:si>
  <x:si>
    <x:t xml:space="preserve">Selling and distribution</x:t>
  </x:si>
  <x:si>
    <x:t xml:space="preserve">selling / revenue (costs shown negative)</x:t>
  </x:si>
  <x:si>
    <x:t xml:space="preserve">Administrative</x:t>
  </x:si>
  <x:si>
    <x:t xml:space="preserve">admin / revenue (costs shown negative)</x:t>
  </x:si>
  <x:si>
    <x:t xml:space="preserve">Other operating expenses</x:t>
  </x:si>
  <x:si>
    <x:t xml:space="preserve">oth_exp / revenue (costs shown negative)</x:t>
  </x:si>
  <x:si>
    <x:t xml:space="preserve">Operating profit (core)</x:t>
  </x:si>
  <x:si>
    <x:t xml:space="preserve">core_op / revenue (costs shown negative)</x:t>
  </x:si>
  <x:si>
    <x:t xml:space="preserve">oth_inc / revenue (costs shown negative)</x:t>
  </x:si>
  <x:si>
    <x:t xml:space="preserve">fin_cost / revenue (costs shown negative)</x:t>
  </x:si>
  <x:si>
    <x:t xml:space="preserve">Profit before levies and tax</x:t>
  </x:si>
  <x:si>
    <x:t xml:space="preserve">pbt_pre / revenue (costs shown negative)</x:t>
  </x:si>
  <x:si>
    <x:t xml:space="preserve">Total tax charge</x:t>
  </x:si>
  <x:si>
    <x:t xml:space="preserve">tot_tax / revenue (costs shown negative)</x:t>
  </x:si>
  <x:si>
    <x:t xml:space="preserve">Profit after tax</x:t>
  </x:si>
  <x:si>
    <x:t xml:space="preserve">pat / revenue (costs shown negative)</x:t>
  </x:si>
  <x:si>
    <x:t xml:space="preserve">H. HORIZONTAL ANALYSIS - year-on-year change</x:t>
  </x:si>
  <x:si>
    <x:t xml:space="preserve">Revenue - change (PKR m)</x:t>
  </x:si>
  <x:si>
    <x:t xml:space="preserve">Current - prior year</x:t>
  </x:si>
  <x:si>
    <x:t xml:space="preserve">n/a</x:t>
  </x:si>
  <x:si>
    <x:t xml:space="preserve">Revenue - change (%)</x:t>
  </x:si>
  <x:si>
    <x:t xml:space="preserve">n/m where prior-year value &lt;= 0 (sign change)</x:t>
  </x:si>
  <x:si>
    <x:t xml:space="preserve">Gross profit - change (PKR m)</x:t>
  </x:si>
  <x:si>
    <x:t xml:space="preserve">Gross profit - change (%)</x:t>
  </x:si>
  <x:si>
    <x:t xml:space="preserve">Operating profit (core) - change (PKR m)</x:t>
  </x:si>
  <x:si>
    <x:t xml:space="preserve">Operating profit (core) - change (%)</x:t>
  </x:si>
  <x:si>
    <x:t xml:space="preserve">Profit after tax - change (PKR m)</x:t>
  </x:si>
  <x:si>
    <x:t xml:space="preserve">Profit after tax - change (%)</x:t>
  </x:si>
  <x:si>
    <x:t xml:space="preserve">Net cash from operating activities - change (PKR m)</x:t>
  </x:si>
  <x:si>
    <x:t xml:space="preserve">Net cash from operating activities - change (%)</x:t>
  </x:si>
  <x:si>
    <x:t xml:space="preserve">Total assets - change (PKR m)</x:t>
  </x:si>
  <x:si>
    <x:t xml:space="preserve">Total assets - change (%)</x:t>
  </x:si>
  <x:si>
    <x:t xml:space="preserve">Total equity - change (PKR m)</x:t>
  </x:si>
  <x:si>
    <x:t xml:space="preserve">Total equity - change (%)</x:t>
  </x:si>
  <x:si>
    <x:t xml:space="preserve">Interest-bearing debt - change (PKR m)</x:t>
  </x:si>
  <x:si>
    <x:t xml:space="preserve">Interest-bearing debt - change (%)</x:t>
  </x:si>
  <x:si>
    <x:t xml:space="preserve">Inventories - change (PKR m)</x:t>
  </x:si>
  <x:si>
    <x:t xml:space="preserve">Inventories - change (%)</x:t>
  </x:si>
  <x:si>
    <x:t xml:space="preserve">Trade debts - change (PKR m)</x:t>
  </x:si>
  <x:si>
    <x:t xml:space="preserve">Trade debts - change (%)</x:t>
  </x:si>
  <x:si>
    <x:t xml:space="preserve">Cash and bank - change (PKR m)</x:t>
  </x:si>
  <x:si>
    <x:t xml:space="preserve">Cash and bank - change (%)</x:t>
  </x:si>
  <x:si>
    <x:t xml:space="preserve">I. COMPANY FINANCIAL TRENDS - charts are placed to the right of the statements (columns L onward)</x:t>
  </x:si>
  <x:si>
    <x:t xml:space="preserve">Lucky Cement Limited (LUCK) - five-year financial analysis, FY2021-FY2025</x:t>
  </x:si>
  <x:si>
    <x:t xml:space="preserve">Competitor 1 | PSX: LUCK | Unconsolidated (separate) financial statements | All amounts PKR million unless stated</x:t>
  </x:si>
  <x:si>
    <x:t xml:space="preserve">Unconsolidated (separate) financial statements</x:t>
  </x:si>
  <x:si>
    <x:t xml:space="preserve">PKR '000 - normalised here to PKR million (full precision retained)</x:t>
  </x:si>
  <x:si>
    <x:t xml:space="preserve">FY2021: 2021.pdf; FY2022: 2022.pdf; FY2023: 2023.pdf; FY2024: 2024.pdf; FY2025: 2025.pdf</x:t>
  </x:si>
  <x:si>
    <x:t xml:space="preserve">Input - see register LUCK|ppe</x:t>
  </x:si>
  <x:si>
    <x:t xml:space="preserve">Input - see register LUCK|cwip</x:t>
  </x:si>
  <x:si>
    <x:t xml:space="preserve">Input - see register LUCK|rou</x:t>
  </x:si>
  <x:si>
    <x:t xml:space="preserve">Input - see register LUCK|intang</x:t>
  </x:si>
  <x:si>
    <x:t xml:space="preserve">Input - see register LUCK|inv_prop</x:t>
  </x:si>
  <x:si>
    <x:t xml:space="preserve">Input - see register LUCK|lt_inv</x:t>
  </x:si>
  <x:si>
    <x:t xml:space="preserve">Input - see register LUCK|nca_other</x:t>
  </x:si>
  <x:si>
    <x:t xml:space="preserve">Input - see register LUCK|stores</x:t>
  </x:si>
  <x:si>
    <x:t xml:space="preserve">Input - see register LUCK|sit</x:t>
  </x:si>
  <x:si>
    <x:t xml:space="preserve">Input - see register LUCK|debts</x:t>
  </x:si>
  <x:si>
    <x:t xml:space="preserve">Input - see register LUCK|st_inv</x:t>
  </x:si>
  <x:si>
    <x:t xml:space="preserve">Input - see register LUCK|cash</x:t>
  </x:si>
  <x:si>
    <x:t xml:space="preserve">Input - see register LUCK|ca_other</x:t>
  </x:si>
  <x:si>
    <x:t xml:space="preserve">Input - see register LUCK|share_cap</x:t>
  </x:si>
  <x:si>
    <x:t xml:space="preserve">Input - see register LUCK|eq_other</x:t>
  </x:si>
  <x:si>
    <x:t xml:space="preserve">Input - see register LUCK|ltf_nc</x:t>
  </x:si>
  <x:si>
    <x:t xml:space="preserve">Input - see register LUCK|lease_nc</x:t>
  </x:si>
  <x:si>
    <x:t xml:space="preserve">Input - see register LUCK|grant_nc</x:t>
  </x:si>
  <x:si>
    <x:t xml:space="preserve">Input - see register LUCK|def_tax</x:t>
  </x:si>
  <x:si>
    <x:t xml:space="preserve">Input - see register LUCK|ncl_other</x:t>
  </x:si>
  <x:si>
    <x:t xml:space="preserve">Input - see register LUCK|tap</x:t>
  </x:si>
  <x:si>
    <x:t xml:space="preserve">Input - see register LUCK|trade_cred</x:t>
  </x:si>
  <x:si>
    <x:t xml:space="preserve">Input - see register LUCK|contract</x:t>
  </x:si>
  <x:si>
    <x:t xml:space="preserve">Input - see register LUCK|acc_markup</x:t>
  </x:si>
  <x:si>
    <x:t xml:space="preserve">Input - see register LUCK|stb</x:t>
  </x:si>
  <x:si>
    <x:t xml:space="preserve">Input - see register LUCK|cp_ltf</x:t>
  </x:si>
  <x:si>
    <x:t xml:space="preserve">Input - see register LUCK|cp_lease</x:t>
  </x:si>
  <x:si>
    <x:t xml:space="preserve">Input - see register LUCK|cp_grant</x:t>
  </x:si>
  <x:si>
    <x:t xml:space="preserve">Input - see register LUCK|div_liab</x:t>
  </x:si>
  <x:si>
    <x:t xml:space="preserve">Input - see register LUCK|tax_liab</x:t>
  </x:si>
  <x:si>
    <x:t xml:space="preserve">Input - see register LUCK|cl_other</x:t>
  </x:si>
  <x:si>
    <x:t xml:space="preserve">Input - see register LUCK|pr_TA</x:t>
  </x:si>
  <x:si>
    <x:t xml:space="preserve">Input - see register LUCK|pr_EQ</x:t>
  </x:si>
  <x:si>
    <x:t xml:space="preserve">Input - see register LUCK|pr_CA</x:t>
  </x:si>
  <x:si>
    <x:t xml:space="preserve">Input - see register LUCK|pr_CL</x:t>
  </x:si>
  <x:si>
    <x:t xml:space="preserve">Input - see register LUCK|rev</x:t>
  </x:si>
  <x:si>
    <x:t xml:space="preserve">Input - see register LUCK|cogs</x:t>
  </x:si>
  <x:si>
    <x:t xml:space="preserve">Input - see register LUCK|selling</x:t>
  </x:si>
  <x:si>
    <x:t xml:space="preserve">Input - see register LUCK|admin</x:t>
  </x:si>
  <x:si>
    <x:t xml:space="preserve">Input - see register LUCK|impair</x:t>
  </x:si>
  <x:si>
    <x:t xml:space="preserve">Input - see register LUCK|oth_exp</x:t>
  </x:si>
  <x:si>
    <x:t xml:space="preserve">Input - see register LUCK|oth_inc</x:t>
  </x:si>
  <x:si>
    <x:t xml:space="preserve">Input - see register LUCK|fin_inc</x:t>
  </x:si>
  <x:si>
    <x:t xml:space="preserve">Input - see register LUCK|assoc</x:t>
  </x:si>
  <x:si>
    <x:t xml:space="preserve">Input - see register LUCK|fin_cost</x:t>
  </x:si>
  <x:si>
    <x:t xml:space="preserve">Input - see register LUCK|levy</x:t>
  </x:si>
  <x:si>
    <x:t xml:space="preserve">Input - see register LUCK|tax</x:t>
  </x:si>
  <x:si>
    <x:t xml:space="preserve">Input - see register LUCK|pr_gp</x:t>
  </x:si>
  <x:si>
    <x:t xml:space="preserve">Input - see register LUCK|pr_pbt</x:t>
  </x:si>
  <x:si>
    <x:t xml:space="preserve">Input - see register LUCK|pr_pat</x:t>
  </x:si>
  <x:si>
    <x:t xml:space="preserve">Input - see register LUCK|fc_nonint</x:t>
  </x:si>
  <x:si>
    <x:t xml:space="preserve">Input - see register LUCK|da</x:t>
  </x:si>
  <x:si>
    <x:t xml:space="preserve">Input - see register LUCK|cgo</x:t>
  </x:si>
  <x:si>
    <x:t xml:space="preserve">Input - see register LUCK|cfo</x:t>
  </x:si>
  <x:si>
    <x:t xml:space="preserve">Input - see register LUCK|fin_paid</x:t>
  </x:si>
  <x:si>
    <x:t xml:space="preserve">Input - see register LUCK|fin_paid_cls</x:t>
  </x:si>
  <x:si>
    <x:t xml:space="preserve">Input - see register LUCK|capex</x:t>
  </x:si>
  <x:si>
    <x:t xml:space="preserve">Input - see register LUCK|cfi</x:t>
  </x:si>
  <x:si>
    <x:t xml:space="preserve">Input - see register LUCK|cff</x:t>
  </x:si>
  <x:si>
    <x:t xml:space="preserve">Input - see register LUCK|div_paid</x:t>
  </x:si>
  <x:si>
    <x:t xml:space="preserve">Input - see register LUCK|par</x:t>
  </x:si>
  <x:si>
    <x:t xml:space="preserve">Input - see register LUCK|wavg</x:t>
  </x:si>
  <x:si>
    <x:t xml:space="preserve">Input - see register LUCK|price</x:t>
  </x:si>
  <x:si>
    <x:t xml:space="preserve">Input - see register LUCK|dps</x:t>
  </x:si>
  <x:si>
    <x:t xml:space="preserve">Input - see register LUCK|eps_rep</x:t>
  </x:si>
  <x:si>
    <x:t xml:space="preserve">Input - see register LUCK|adj</x:t>
  </x:si>
  <x:si>
    <x:t xml:space="preserve">D.G. Khan Cement Company Limited (DGKC) - five-year financial analysis, FY2021-FY2025</x:t>
  </x:si>
  <x:si>
    <x:t xml:space="preserve">Competitor 2 | PSX: DGKC | Unconsolidated (separate) financial statements | All amounts PKR million unless stated</x:t>
  </x:si>
  <x:si>
    <x:t xml:space="preserve">Rs '000 - normalised here to PKR million (full precision retained)</x:t>
  </x:si>
  <x:si>
    <x:t xml:space="preserve">FY2021: DG_Annual_Report_2021.pdf; FY2022: DG_Annual_Report_2022.pdf; FY2023: DGAnnual2023.pdf; FY2024: DGAnnual2024.pdf; FY2025: DGAnnual2025.pdf</x:t>
  </x:si>
  <x:si>
    <x:t xml:space="preserve">Input - see register DGKC|ppe</x:t>
  </x:si>
  <x:si>
    <x:t xml:space="preserve">Input - see register DGKC|cwip</x:t>
  </x:si>
  <x:si>
    <x:t xml:space="preserve">Input - see register DGKC|rou</x:t>
  </x:si>
  <x:si>
    <x:t xml:space="preserve">Input - see register DGKC|intang</x:t>
  </x:si>
  <x:si>
    <x:t xml:space="preserve">Input - see register DGKC|inv_prop</x:t>
  </x:si>
  <x:si>
    <x:t xml:space="preserve">Input - see register DGKC|lt_inv</x:t>
  </x:si>
  <x:si>
    <x:t xml:space="preserve">Input - see register DGKC|nca_other</x:t>
  </x:si>
  <x:si>
    <x:t xml:space="preserve">Input - see register DGKC|stores</x:t>
  </x:si>
  <x:si>
    <x:t xml:space="preserve">Input - see register DGKC|sit</x:t>
  </x:si>
  <x:si>
    <x:t xml:space="preserve">Input - see register DGKC|debts</x:t>
  </x:si>
  <x:si>
    <x:t xml:space="preserve">Input - see register DGKC|st_inv</x:t>
  </x:si>
  <x:si>
    <x:t xml:space="preserve">Input - see register DGKC|cash</x:t>
  </x:si>
  <x:si>
    <x:t xml:space="preserve">Input - see register DGKC|ca_other</x:t>
  </x:si>
  <x:si>
    <x:t xml:space="preserve">Input - see register DGKC|share_cap</x:t>
  </x:si>
  <x:si>
    <x:t xml:space="preserve">Input - see register DGKC|eq_other</x:t>
  </x:si>
  <x:si>
    <x:t xml:space="preserve">Input - see register DGKC|ltf_nc</x:t>
  </x:si>
  <x:si>
    <x:t xml:space="preserve">Input - see register DGKC|lease_nc</x:t>
  </x:si>
  <x:si>
    <x:t xml:space="preserve">Input - see register DGKC|grant_nc</x:t>
  </x:si>
  <x:si>
    <x:t xml:space="preserve">Input - see register DGKC|def_tax</x:t>
  </x:si>
  <x:si>
    <x:t xml:space="preserve">Input - see register DGKC|ncl_other</x:t>
  </x:si>
  <x:si>
    <x:t xml:space="preserve">Input - see register DGKC|tap</x:t>
  </x:si>
  <x:si>
    <x:t xml:space="preserve">Input - see register DGKC|trade_cred</x:t>
  </x:si>
  <x:si>
    <x:t xml:space="preserve">Input - see register DGKC|contract</x:t>
  </x:si>
  <x:si>
    <x:t xml:space="preserve">Input - see register DGKC|acc_markup</x:t>
  </x:si>
  <x:si>
    <x:t xml:space="preserve">Input - see register DGKC|stb</x:t>
  </x:si>
  <x:si>
    <x:t xml:space="preserve">Input - see register DGKC|cp_ltf</x:t>
  </x:si>
  <x:si>
    <x:t xml:space="preserve">Input - see register DGKC|cp_lease</x:t>
  </x:si>
  <x:si>
    <x:t xml:space="preserve">Input - see register DGKC|cp_grant</x:t>
  </x:si>
  <x:si>
    <x:t xml:space="preserve">Input - see register DGKC|div_liab</x:t>
  </x:si>
  <x:si>
    <x:t xml:space="preserve">Input - see register DGKC|tax_liab</x:t>
  </x:si>
  <x:si>
    <x:t xml:space="preserve">Input - see register DGKC|cl_other</x:t>
  </x:si>
  <x:si>
    <x:t xml:space="preserve">Input - see register DGKC|pr_TA</x:t>
  </x:si>
  <x:si>
    <x:t xml:space="preserve">Input - see register DGKC|pr_EQ</x:t>
  </x:si>
  <x:si>
    <x:t xml:space="preserve">Input - see register DGKC|pr_CA</x:t>
  </x:si>
  <x:si>
    <x:t xml:space="preserve">Input - see register DGKC|pr_CL</x:t>
  </x:si>
  <x:si>
    <x:t xml:space="preserve">Input - see register DGKC|rev</x:t>
  </x:si>
  <x:si>
    <x:t xml:space="preserve">Input - see register DGKC|cogs</x:t>
  </x:si>
  <x:si>
    <x:t xml:space="preserve">Input - see register DGKC|selling</x:t>
  </x:si>
  <x:si>
    <x:t xml:space="preserve">Input - see register DGKC|admin</x:t>
  </x:si>
  <x:si>
    <x:t xml:space="preserve">Input - see register DGKC|impair</x:t>
  </x:si>
  <x:si>
    <x:t xml:space="preserve">Input - see register DGKC|oth_exp</x:t>
  </x:si>
  <x:si>
    <x:t xml:space="preserve">Input - see register DGKC|oth_inc</x:t>
  </x:si>
  <x:si>
    <x:t xml:space="preserve">Input - see register DGKC|fin_inc</x:t>
  </x:si>
  <x:si>
    <x:t xml:space="preserve">Input - see register DGKC|assoc</x:t>
  </x:si>
  <x:si>
    <x:t xml:space="preserve">Input - see register DGKC|fin_cost</x:t>
  </x:si>
  <x:si>
    <x:t xml:space="preserve">Input - see register DGKC|levy</x:t>
  </x:si>
  <x:si>
    <x:t xml:space="preserve">Input - see register DGKC|tax</x:t>
  </x:si>
  <x:si>
    <x:t xml:space="preserve">Input - see register DGKC|pr_gp</x:t>
  </x:si>
  <x:si>
    <x:t xml:space="preserve">Input - see register DGKC|pr_pbt</x:t>
  </x:si>
  <x:si>
    <x:t xml:space="preserve">Input - see register DGKC|pr_pat</x:t>
  </x:si>
  <x:si>
    <x:t xml:space="preserve">Input - see register DGKC|fc_nonint</x:t>
  </x:si>
  <x:si>
    <x:t xml:space="preserve">Input - see register DGKC|da</x:t>
  </x:si>
  <x:si>
    <x:t xml:space="preserve">Input - see register DGKC|cgo</x:t>
  </x:si>
  <x:si>
    <x:t xml:space="preserve">Input - see register DGKC|cfo</x:t>
  </x:si>
  <x:si>
    <x:t xml:space="preserve">Input - see register DGKC|fin_paid</x:t>
  </x:si>
  <x:si>
    <x:t xml:space="preserve">Input - see register DGKC|fin_paid_cls</x:t>
  </x:si>
  <x:si>
    <x:t xml:space="preserve">Input - see register DGKC|capex</x:t>
  </x:si>
  <x:si>
    <x:t xml:space="preserve">Input - see register DGKC|cfi</x:t>
  </x:si>
  <x:si>
    <x:t xml:space="preserve">Input - see register DGKC|cff</x:t>
  </x:si>
  <x:si>
    <x:t xml:space="preserve">Input - see register DGKC|div_paid</x:t>
  </x:si>
  <x:si>
    <x:t xml:space="preserve">Input - see register DGKC|par</x:t>
  </x:si>
  <x:si>
    <x:t xml:space="preserve">Input - see register DGKC|wavg</x:t>
  </x:si>
  <x:si>
    <x:t xml:space="preserve">Input - see register DGKC|price</x:t>
  </x:si>
  <x:si>
    <x:t xml:space="preserve">Input - see register DGKC|dps</x:t>
  </x:si>
  <x:si>
    <x:t xml:space="preserve">Input - see register DGKC|eps_rep</x:t>
  </x:si>
  <x:si>
    <x:t xml:space="preserve">Input - see register DGKC|adj</x:t>
  </x:si>
  <x:si>
    <x:t xml:space="preserve">Maple Leaf Cement Factory Limited (MLCF) - five-year financial analysis, FY2021-FY2025</x:t>
  </x:si>
  <x:si>
    <x:t xml:space="preserve">Competitor 3 | PSX: MLCF | Unconsolidated (separate) financial statements | All amounts PKR million unless stated</x:t>
  </x:si>
  <x:si>
    <x:t xml:space="preserve">Input - see register MLCF|ppe</x:t>
  </x:si>
  <x:si>
    <x:t xml:space="preserve">Input - see register MLCF|cwip</x:t>
  </x:si>
  <x:si>
    <x:t xml:space="preserve">Input - see register MLCF|rou</x:t>
  </x:si>
  <x:si>
    <x:t xml:space="preserve">Input - see register MLCF|intang</x:t>
  </x:si>
  <x:si>
    <x:t xml:space="preserve">Input - see register MLCF|inv_prop</x:t>
  </x:si>
  <x:si>
    <x:t xml:space="preserve">Input - see register MLCF|lt_inv</x:t>
  </x:si>
  <x:si>
    <x:t xml:space="preserve">Input - see register MLCF|nca_other</x:t>
  </x:si>
  <x:si>
    <x:t xml:space="preserve">Input - see register MLCF|stores</x:t>
  </x:si>
  <x:si>
    <x:t xml:space="preserve">Input - see register MLCF|sit</x:t>
  </x:si>
  <x:si>
    <x:t xml:space="preserve">Input - see register MLCF|debts</x:t>
  </x:si>
  <x:si>
    <x:t xml:space="preserve">Input - see register MLCF|st_inv</x:t>
  </x:si>
  <x:si>
    <x:t xml:space="preserve">Input - see register MLCF|cash</x:t>
  </x:si>
  <x:si>
    <x:t xml:space="preserve">Input - see register MLCF|ca_other</x:t>
  </x:si>
  <x:si>
    <x:t xml:space="preserve">Input - see register MLCF|share_cap</x:t>
  </x:si>
  <x:si>
    <x:t xml:space="preserve">Input - see register MLCF|eq_other</x:t>
  </x:si>
  <x:si>
    <x:t xml:space="preserve">Input - see register MLCF|ltf_nc</x:t>
  </x:si>
  <x:si>
    <x:t xml:space="preserve">Input - see register MLCF|lease_nc</x:t>
  </x:si>
  <x:si>
    <x:t xml:space="preserve">Input - see register MLCF|grant_nc</x:t>
  </x:si>
  <x:si>
    <x:t xml:space="preserve">Input - see register MLCF|def_tax</x:t>
  </x:si>
  <x:si>
    <x:t xml:space="preserve">Input - see register MLCF|ncl_other</x:t>
  </x:si>
  <x:si>
    <x:t xml:space="preserve">Input - see register MLCF|tap</x:t>
  </x:si>
  <x:si>
    <x:t xml:space="preserve">Input - see register MLCF|trade_cred</x:t>
  </x:si>
  <x:si>
    <x:t xml:space="preserve">Input - see register MLCF|contract</x:t>
  </x:si>
  <x:si>
    <x:t xml:space="preserve">Input - see register MLCF|acc_markup</x:t>
  </x:si>
  <x:si>
    <x:t xml:space="preserve">Input - see register MLCF|stb</x:t>
  </x:si>
  <x:si>
    <x:t xml:space="preserve">Input - see register MLCF|cp_ltf</x:t>
  </x:si>
  <x:si>
    <x:t xml:space="preserve">Input - see register MLCF|cp_lease</x:t>
  </x:si>
  <x:si>
    <x:t xml:space="preserve">Input - see register MLCF|cp_grant</x:t>
  </x:si>
  <x:si>
    <x:t xml:space="preserve">Input - see register MLCF|div_liab</x:t>
  </x:si>
  <x:si>
    <x:t xml:space="preserve">Input - see register MLCF|tax_liab</x:t>
  </x:si>
  <x:si>
    <x:t xml:space="preserve">Input - see register MLCF|cl_other</x:t>
  </x:si>
  <x:si>
    <x:t xml:space="preserve">Input - see register MLCF|pr_TA</x:t>
  </x:si>
  <x:si>
    <x:t xml:space="preserve">Input - see register MLCF|pr_EQ</x:t>
  </x:si>
  <x:si>
    <x:t xml:space="preserve">Input - see register MLCF|pr_CA</x:t>
  </x:si>
  <x:si>
    <x:t xml:space="preserve">Input - see register MLCF|pr_CL</x:t>
  </x:si>
  <x:si>
    <x:t xml:space="preserve">Input - see register MLCF|rev</x:t>
  </x:si>
  <x:si>
    <x:t xml:space="preserve">Input - see register MLCF|cogs</x:t>
  </x:si>
  <x:si>
    <x:t xml:space="preserve">Input - see register MLCF|selling</x:t>
  </x:si>
  <x:si>
    <x:t xml:space="preserve">Input - see register MLCF|admin</x:t>
  </x:si>
  <x:si>
    <x:t xml:space="preserve">Input - see register MLCF|impair</x:t>
  </x:si>
  <x:si>
    <x:t xml:space="preserve">Input - see register MLCF|oth_exp</x:t>
  </x:si>
  <x:si>
    <x:t xml:space="preserve">Input - see register MLCF|oth_inc</x:t>
  </x:si>
  <x:si>
    <x:t xml:space="preserve">Input - see register MLCF|fin_inc</x:t>
  </x:si>
  <x:si>
    <x:t xml:space="preserve">Input - see register MLCF|assoc</x:t>
  </x:si>
  <x:si>
    <x:t xml:space="preserve">Input - see register MLCF|fin_cost</x:t>
  </x:si>
  <x:si>
    <x:t xml:space="preserve">Input - see register MLCF|levy</x:t>
  </x:si>
  <x:si>
    <x:t xml:space="preserve">Input - see register MLCF|tax</x:t>
  </x:si>
  <x:si>
    <x:t xml:space="preserve">Input - see register MLCF|pr_gp</x:t>
  </x:si>
  <x:si>
    <x:t xml:space="preserve">Input - see register MLCF|pr_pbt</x:t>
  </x:si>
  <x:si>
    <x:t xml:space="preserve">Input - see register MLCF|pr_pat</x:t>
  </x:si>
  <x:si>
    <x:t xml:space="preserve">Input - see register MLCF|fc_nonint</x:t>
  </x:si>
  <x:si>
    <x:t xml:space="preserve">Input - see register MLCF|da</x:t>
  </x:si>
  <x:si>
    <x:t xml:space="preserve">Input - see register MLCF|cgo</x:t>
  </x:si>
  <x:si>
    <x:t xml:space="preserve">Input - see register MLCF|cfo</x:t>
  </x:si>
  <x:si>
    <x:t xml:space="preserve">Input - see register MLCF|fin_paid</x:t>
  </x:si>
  <x:si>
    <x:t xml:space="preserve">Input - see register MLCF|fin_paid_cls</x:t>
  </x:si>
  <x:si>
    <x:t xml:space="preserve">Financing</x:t>
  </x:si>
  <x:si>
    <x:t xml:space="preserve">Input - see register MLCF|capex</x:t>
  </x:si>
  <x:si>
    <x:t xml:space="preserve">Input - see register MLCF|cfi</x:t>
  </x:si>
  <x:si>
    <x:t xml:space="preserve">Input - see register MLCF|cff</x:t>
  </x:si>
  <x:si>
    <x:t xml:space="preserve">Input - see register MLCF|div_paid</x:t>
  </x:si>
  <x:si>
    <x:t xml:space="preserve">Input - see register MLCF|par</x:t>
  </x:si>
  <x:si>
    <x:t xml:space="preserve">Input - see register MLCF|wavg</x:t>
  </x:si>
  <x:si>
    <x:t xml:space="preserve">Input - see register MLCF|price</x:t>
  </x:si>
  <x:si>
    <x:t xml:space="preserve">Input - see register MLCF|dps</x:t>
  </x:si>
  <x:si>
    <x:t xml:space="preserve">Input - see register MLCF|eps_rep</x:t>
  </x:si>
  <x:si>
    <x:t xml:space="preserve">Input - see register MLCF|adj</x:t>
  </x:si>
  <x:si>
    <x:t xml:space="preserve">Fauji Cement Company Limited (FCCL) - five-year financial analysis, FY2021-FY2025</x:t>
  </x:si>
  <x:si>
    <x:t xml:space="preserve">Competitor 4 | PSX: FCCL | Standalone (single-entity financial statements; no consolidated statements published) | All amounts PKR million unless stated</x:t>
  </x:si>
  <x:si>
    <x:t xml:space="preserve">FY2021: FCCL-Annual-Report-2021.pdf; FY2022: FCCL-Annual-Report-2022.pdf; FY2023: FCCL-Annual-Report-2023.pdf; FY2024: FCCL-Annual-Report-2024.pdf; FY2025: FCCL-Annual-Report-2025.pdf</x:t>
  </x:si>
  <x:si>
    <x:t xml:space="preserve">Input - see register FCCL|ppe</x:t>
  </x:si>
  <x:si>
    <x:t xml:space="preserve">Input - see register FCCL|cwip</x:t>
  </x:si>
  <x:si>
    <x:t xml:space="preserve">Input - see register FCCL|rou</x:t>
  </x:si>
  <x:si>
    <x:t xml:space="preserve">Input - see register FCCL|intang</x:t>
  </x:si>
  <x:si>
    <x:t xml:space="preserve">Input - see register FCCL|inv_prop</x:t>
  </x:si>
  <x:si>
    <x:t xml:space="preserve">Input - see register FCCL|lt_inv</x:t>
  </x:si>
  <x:si>
    <x:t xml:space="preserve">Input - see register FCCL|nca_other</x:t>
  </x:si>
  <x:si>
    <x:t xml:space="preserve">Input - see register FCCL|stores</x:t>
  </x:si>
  <x:si>
    <x:t xml:space="preserve">Input - see register FCCL|sit</x:t>
  </x:si>
  <x:si>
    <x:t xml:space="preserve">Input - see register FCCL|debts</x:t>
  </x:si>
  <x:si>
    <x:t xml:space="preserve">Input - see register FCCL|st_inv</x:t>
  </x:si>
  <x:si>
    <x:t xml:space="preserve">Input - see register FCCL|cash</x:t>
  </x:si>
  <x:si>
    <x:t xml:space="preserve">Input - see register FCCL|ca_other</x:t>
  </x:si>
  <x:si>
    <x:t xml:space="preserve">Input - see register FCCL|share_cap</x:t>
  </x:si>
  <x:si>
    <x:t xml:space="preserve">Input - see register FCCL|eq_other</x:t>
  </x:si>
  <x:si>
    <x:t xml:space="preserve">Input - see register FCCL|ltf_nc</x:t>
  </x:si>
  <x:si>
    <x:t xml:space="preserve">Input - see register FCCL|lease_nc</x:t>
  </x:si>
  <x:si>
    <x:t xml:space="preserve">Input - see register FCCL|grant_nc</x:t>
  </x:si>
  <x:si>
    <x:t xml:space="preserve">Input - see register FCCL|def_tax</x:t>
  </x:si>
  <x:si>
    <x:t xml:space="preserve">Input - see register FCCL|ncl_other</x:t>
  </x:si>
  <x:si>
    <x:t xml:space="preserve">Input - see register FCCL|tap</x:t>
  </x:si>
  <x:si>
    <x:t xml:space="preserve">Input - see register FCCL|trade_cred</x:t>
  </x:si>
  <x:si>
    <x:t xml:space="preserve">Input - see register FCCL|contract</x:t>
  </x:si>
  <x:si>
    <x:t xml:space="preserve">Input - see register FCCL|acc_markup</x:t>
  </x:si>
  <x:si>
    <x:t xml:space="preserve">Input - see register FCCL|stb</x:t>
  </x:si>
  <x:si>
    <x:t xml:space="preserve">Input - see register FCCL|cp_ltf</x:t>
  </x:si>
  <x:si>
    <x:t xml:space="preserve">Input - see register FCCL|cp_lease</x:t>
  </x:si>
  <x:si>
    <x:t xml:space="preserve">Input - see register FCCL|cp_grant</x:t>
  </x:si>
  <x:si>
    <x:t xml:space="preserve">Input - see register FCCL|div_liab</x:t>
  </x:si>
  <x:si>
    <x:t xml:space="preserve">Input - see register FCCL|tax_liab</x:t>
  </x:si>
  <x:si>
    <x:t xml:space="preserve">Input - see register FCCL|cl_other</x:t>
  </x:si>
  <x:si>
    <x:t xml:space="preserve">Input - see register FCCL|pr_TA</x:t>
  </x:si>
  <x:si>
    <x:t xml:space="preserve">Input - see register FCCL|pr_EQ</x:t>
  </x:si>
  <x:si>
    <x:t xml:space="preserve">Input - see register FCCL|pr_CA</x:t>
  </x:si>
  <x:si>
    <x:t xml:space="preserve">Input - see register FCCL|pr_CL</x:t>
  </x:si>
  <x:si>
    <x:t xml:space="preserve">Input - see register FCCL|rev</x:t>
  </x:si>
  <x:si>
    <x:t xml:space="preserve">Input - see register FCCL|cogs</x:t>
  </x:si>
  <x:si>
    <x:t xml:space="preserve">Input - see register FCCL|selling</x:t>
  </x:si>
  <x:si>
    <x:t xml:space="preserve">Input - see register FCCL|admin</x:t>
  </x:si>
  <x:si>
    <x:t xml:space="preserve">Input - see register FCCL|impair</x:t>
  </x:si>
  <x:si>
    <x:t xml:space="preserve">Input - see register FCCL|oth_exp</x:t>
  </x:si>
  <x:si>
    <x:t xml:space="preserve">Input - see register FCCL|oth_inc</x:t>
  </x:si>
  <x:si>
    <x:t xml:space="preserve">Input - see register FCCL|fin_inc</x:t>
  </x:si>
  <x:si>
    <x:t xml:space="preserve">Input - see register FCCL|assoc</x:t>
  </x:si>
  <x:si>
    <x:t xml:space="preserve">Input - see register FCCL|fin_cost</x:t>
  </x:si>
  <x:si>
    <x:t xml:space="preserve">Input - see register FCCL|levy</x:t>
  </x:si>
  <x:si>
    <x:t xml:space="preserve">Input - see register FCCL|tax</x:t>
  </x:si>
  <x:si>
    <x:t xml:space="preserve">Input - see register FCCL|pr_gp</x:t>
  </x:si>
  <x:si>
    <x:t xml:space="preserve">Input - see register FCCL|pr_pbt</x:t>
  </x:si>
  <x:si>
    <x:t xml:space="preserve">Input - see register FCCL|pr_pat</x:t>
  </x:si>
  <x:si>
    <x:t xml:space="preserve">Input - see register FCCL|fc_nonint</x:t>
  </x:si>
  <x:si>
    <x:t xml:space="preserve">Input - see register FCCL|da</x:t>
  </x:si>
  <x:si>
    <x:t xml:space="preserve">Input - see register FCCL|cgo</x:t>
  </x:si>
  <x:si>
    <x:t xml:space="preserve">Input - see register FCCL|cfo</x:t>
  </x:si>
  <x:si>
    <x:t xml:space="preserve">Input - see register FCCL|fin_paid</x:t>
  </x:si>
  <x:si>
    <x:t xml:space="preserve">Input - see register FCCL|fin_paid_cls</x:t>
  </x:si>
  <x:si>
    <x:t xml:space="preserve">Input - see register FCCL|capex</x:t>
  </x:si>
  <x:si>
    <x:t xml:space="preserve">Input - see register FCCL|cfi</x:t>
  </x:si>
  <x:si>
    <x:t xml:space="preserve">Input - see register FCCL|cff</x:t>
  </x:si>
  <x:si>
    <x:t xml:space="preserve">Input - see register FCCL|div_paid</x:t>
  </x:si>
  <x:si>
    <x:t xml:space="preserve">Input - see register FCCL|par</x:t>
  </x:si>
  <x:si>
    <x:t xml:space="preserve">Input - see register FCCL|wavg</x:t>
  </x:si>
  <x:si>
    <x:t xml:space="preserve">Input - see register FCCL|price</x:t>
  </x:si>
  <x:si>
    <x:t xml:space="preserve">Input - see register FCCL|dps</x:t>
  </x:si>
  <x:si>
    <x:t xml:space="preserve">Input - see register FCCL|eps_rep</x:t>
  </x:si>
  <x:si>
    <x:t xml:space="preserve">Input - see register FCCL|adj</x:t>
  </x:si>
  <x:si>
    <x:t xml:space="preserve">Industry Comparison - KOHC vs five-company sample average (KOHC, LUCK, DGKC, MLCF, FCCL), FY2021-FY2025</x:t>
  </x:si>
  <x:si>
    <x:t xml:space="preserve">All values are live links to the company sheets. Sample average = arithmetic mean of valid company observations (n/m excluded). Favourable/unfavourable shown only where direction is unambiguous.</x:t>
  </x:si>
  <x:si>
    <x:t xml:space="preserve">No.</x:t>
  </x:si>
  <x:si>
    <x:t xml:space="preserve">Year</x:t>
  </x:si>
  <x:si>
    <x:t xml:space="preserve">Sample avg (5)</x:t>
  </x:si>
  <x:si>
    <x:t xml:space="preserve">N valid</x:t>
  </x:si>
  <x:si>
    <x:t xml:space="preserve">KOHC - avg</x:t>
  </x:si>
  <x:si>
    <x:t xml:space="preserve">4-competitor avg</x:t>
  </x:si>
  <x:si>
    <x:t xml:space="preserve">Median (5)</x:t>
  </x:si>
  <x:si>
    <x:t xml:space="preserve">Direction</x:t>
  </x:si>
  <x:si>
    <x:t xml:space="preserve">KOHC position vs average</x:t>
  </x:si>
  <x:si>
    <x:t xml:space="preserve">Notes</x:t>
  </x:si>
  <x:si>
    <x:t xml:space="preserve">Avg check</x:t>
  </x:si>
  <x:si>
    <x:t xml:space="preserve">Absolute PKR m; average is descriptive only (size-driven)</x:t>
  </x:si>
  <x:si>
    <x:t xml:space="preserve">Inventories incl. stores and spares</x:t>
  </x:si>
  <x:si>
    <x:t xml:space="preserve">Revenue proxy for credit sales</x:t>
  </x:si>
  <x:si>
    <x:t xml:space="preserve">Trade creditors basis; cost of sales used as purchases proxy</x:t>
  </x:si>
  <x:si>
    <x:t xml:space="preserve">Higher DPO = more supplier credit; context-dependent</x:t>
  </x:si>
  <x:si>
    <x:t xml:space="preserve">PPE excl. CWIP</x:t>
  </x:si>
  <x:si>
    <x:t xml:space="preserve">Total liabilities basis (project definition)</x:t>
  </x:si>
  <x:si>
    <x:t xml:space="preserve">Interest-bearing debt basis</x:t>
  </x:si>
  <x:si>
    <x:t xml:space="preserve">n/m if interest &lt;= 0</x:t>
  </x:si>
  <x:si>
    <x:t xml:space="preserve">21. Net debt / EBITDA</x:t>
  </x:si>
  <x:si>
    <x:t xml:space="preserve">Negative = net cash position</x:t>
  </x:si>
  <x:si>
    <x:t xml:space="preserve">Average equity</x:t>
  </x:si>
  <x:si>
    <x:t xml:space="preserve">28. Basic earning power (BEP)</x:t>
  </x:si>
  <x:si>
    <x:t xml:space="preserve">Per-share: not comparable across companies</x:t>
  </x:si>
  <x:si>
    <x:t xml:space="preserve">Context: high M/B may reflect growth expectations or low book base</x:t>
  </x:si>
  <x:si>
    <x:t xml:space="preserve">Per-share: not comparable across companies; descriptive only</x:t>
  </x:si>
  <x:si>
    <x:t xml:space="preserve">n/m when EPS &lt;= 0 (DGKC FY2023)</x:t>
  </x:si>
  <x:si>
    <x:t xml:space="preserve">KOHC and MLCF declared no cash dividends</x:t>
  </x:si>
  <x:si>
    <x:t xml:space="preserve">n/m when EPS &lt;= 0</x:t>
  </x:si>
  <x:si>
    <x:t xml:space="preserve">Supplementary</x:t>
  </x:si>
  <x:si>
    <x:t xml:space="preserve">S1</x:t>
  </x:si>
  <x:si>
    <x:t xml:space="preserve">S1. Return on capital employed (ROCE)</x:t>
  </x:si>
  <x:si>
    <x:t xml:space="preserve">Higher</x:t>
  </x:si>
  <x:si>
    <x:t xml:space="preserve">S2</x:t>
  </x:si>
  <x:si>
    <x:t xml:space="preserve">S2. Operating cash flow to sales</x:t>
  </x:si>
  <x:si>
    <x:t xml:space="preserve">S3</x:t>
  </x:si>
  <x:si>
    <x:t xml:space="preserve">S3. Interest-bearing debt to equity (gearing)</x:t>
  </x:si>
  <x:si>
    <x:t xml:space="preserve">Lower</x:t>
  </x:si>
  <x:si>
    <x:t xml:space="preserve">Sources &amp; Validation - audit register, validation checks, restatements and unresolved issues</x:t>
  </x:si>
  <x:si>
    <x:t xml:space="preserve">1. VALIDATION SUMMARY (PASS / REVIEW / FAIL; formula-driven unless marked)</x:t>
  </x:si>
  <x:si>
    <x:t xml:space="preserve">Check</x:t>
  </x:si>
  <x:si>
    <x:t xml:space="preserve">FY2020</x:t>
  </x:si>
  <x:si>
    <x:t xml:space="preserve">Workbook</x:t>
  </x:si>
  <x:si>
    <x:t xml:space="preserve">Industry sheet links equal company-sheet values (all companies)</x:t>
  </x:si>
  <x:si>
    <x:t xml:space="preserve">Sample-average formulas recomputed (Avg check column)</x:t>
  </x:si>
  <x:si>
    <x:t xml:space="preserve">Source register trace checks (every input = register value)</x:t>
  </x:si>
  <x:si>
    <x:t xml:space="preserve">Chart series reference live ranges (checked by build script)</x:t>
  </x:si>
  <x:si>
    <x:t xml:space="preserve">PASS</x:t>
  </x:si>
  <x:si>
    <x:t xml:space="preserve">2. UNRESOLVED / DOCUMENTED ISSUES</x:t>
  </x:si>
  <x:si>
    <x:t xml:space="preserve">Area</x:t>
  </x:si>
  <x:si>
    <x:t xml:space="preserve">Description</x:t>
  </x:si>
  <x:si>
    <x:t xml:space="preserve">Status</x:t>
  </x:si>
  <x:si>
    <x:t xml:space="preserve">KOHC, LUCK</x:t>
  </x:si>
  <x:si>
    <x:t xml:space="preserve">All</x:t>
  </x:si>
  <x:si>
    <x:t xml:space="preserve">Share prices</x:t>
  </x:si>
  <x:si>
    <x:t xml:space="preserve">Published price-to-book FY2021-23</x:t>
  </x:si>
  <x:si>
    <x:t xml:space="preserve">Company figures (0.23, 0.12, 0.14) inconsistent with its own price and breakup value; not relied on.</x:t>
  </x:si>
  <x:si>
    <x:t xml:space="preserve">REVIEW</x:t>
  </x:si>
  <x:si>
    <x:t xml:space="preserve">FY2021 tax reconciliation</x:t>
  </x:si>
  <x:si>
    <x:t xml:space="preserve">Note shows PBT 3,885.95m vs 4,885.95m on face of P&amp;L (printing slip; tax at 29% consistent with face figure).</x:t>
  </x:si>
  <x:si>
    <x:t xml:space="preserve">PASS (documented)</x:t>
  </x:si>
  <x:si>
    <x:t xml:space="preserve">Accrued mark-up</x:t>
  </x:si>
  <x:si>
    <x:t xml:space="preserve">From FY2025 AR, accrued mark-up is included within current portion of long-term financing (FY2024 PKR 135m). Slightly inflates FY2024-25 interest-bearing debt.</x:t>
  </x:si>
  <x:si>
    <x:t xml:space="preserve">FY2020 comparative footing</x:t>
  </x:si>
  <x:si>
    <x:t xml:space="preserve">Deferred liabilities components sum PKR 0.4m less than printed subtotal; printed subtotal carried via other NCL.</x:t>
  </x:si>
  <x:si>
    <x:t xml:space="preserve">FY2025 deferred tax</x:t>
  </x:si>
  <x:si>
    <x:t xml:space="preserve">FY2025 AR combines deferred tax with other deferred liabilities on the face; shown in other non-current liabilities for FY2024-25.</x:t>
  </x:si>
  <x:si>
    <x:t xml:space="preserve">Weighted shares FY2022-23</x:t>
  </x:si>
  <x:si>
    <x:t xml:space="preserve">Published P/E</x:t>
  </x:si>
  <x:si>
    <x:t xml:space="preserve">Company P/E not reproducible from its own disclosed price and EPS for several years.</x:t>
  </x:si>
  <x:si>
    <x:t xml:space="preserve">FY2022 CWIP</x:t>
  </x:si>
  <x:si>
    <x:t xml:space="preserve">FY2023 AR comparative table shows conflicting closing CWIP (2,513.6m vs 29,802.2m); CWIP movement note confirms 29,802.2m.</x:t>
  </x:si>
  <x:si>
    <x:t xml:space="preserve">Cost reclassification</x:t>
  </x:si>
  <x:si>
    <x:t xml:space="preserve">FY2023 comparatives in FY2024 AR moved ~PKR 1.75bn from cost of sales to distribution; FY2021-22 not restated (gross-margin break).</x:t>
  </x:si>
  <x:si>
    <x:t xml:space="preserve">FY2022 comparatives in FY2023 AR moved ~PKR 1.06bn from cost of sales to selling; FY2021 not restated.</x:t>
  </x:si>
  <x:si>
    <x:t xml:space="preserve">MLCF, FCCL</x:t>
  </x:si>
  <x:si>
    <x:t xml:space="preserve">Cash-flow classification</x:t>
  </x:si>
  <x:si>
    <x:t xml:space="preserve">Finance cost paid classified under financing (others: operating). Ratio 36 uses reported CFO; memo M4 shows adjusted basis.</x:t>
  </x:si>
  <x:si>
    <x:t xml:space="preserve">Credit sales and purchases</x:t>
  </x:si>
  <x:si>
    <x:t xml:space="preserve">Not disclosed; revenue and cost of sales used as proxies for receivables and payables turnover.</x:t>
  </x:si>
  <x:si>
    <x:t xml:space="preserve">3. RESTATEMENT REGISTER (original own-year figure vs latest audited presentation used; PKR m)</x:t>
  </x:si>
  <x:si>
    <x:t xml:space="preserve">FY</x:t>
  </x:si>
  <x:si>
    <x:t xml:space="preserve">Stmt</x:t>
  </x:si>
  <x:si>
    <x:t xml:space="preserve">Original</x:t>
  </x:si>
  <x:si>
    <x:t xml:space="preserve">Restated (used)</x:t>
  </x:si>
  <x:si>
    <x:t xml:space="preserve">Difference</x:t>
  </x:si>
  <x:si>
    <x:t xml:space="preserve">Restated in</x:t>
  </x:si>
  <x:si>
    <x:t xml:space="preserve">SOFP</x:t>
  </x:si>
  <x:si>
    <x:t xml:space="preserve">inv_prop</x:t>
  </x:si>
  <x:si>
    <x:t xml:space="preserve">FY2022 AR (Kohat_Cement_AR_2022.pdf)</x:t>
  </x:si>
  <x:si>
    <x:t xml:space="preserve">nca_other</x:t>
  </x:si>
  <x:si>
    <x:t xml:space="preserve">ppe</x:t>
  </x:si>
  <x:si>
    <x:t xml:space="preserve">tap</x:t>
  </x:si>
  <x:si>
    <x:t xml:space="preserve">FY2024 AR (Kohat_Cement_Annual_Report-2024.pdf)</x:t>
  </x:si>
  <x:si>
    <x:t xml:space="preserve">tax_liab</x:t>
  </x:si>
  <x:si>
    <x:t xml:space="preserve">PL</x:t>
  </x:si>
  <x:si>
    <x:t xml:space="preserve">op_pres</x:t>
  </x:si>
  <x:si>
    <x:t xml:space="preserve">pbt</x:t>
  </x:si>
  <x:si>
    <x:t xml:space="preserve">tax</x:t>
  </x:si>
  <x:si>
    <x:t xml:space="preserve">CF</x:t>
  </x:si>
  <x:si>
    <x:t xml:space="preserve">cfi</x:t>
  </x:si>
  <x:si>
    <x:t xml:space="preserve">cfo</x:t>
  </x:si>
  <x:si>
    <x:t xml:space="preserve">cgo</x:t>
  </x:si>
  <x:si>
    <x:t xml:space="preserve">tax_paid</x:t>
  </x:si>
  <x:si>
    <x:t xml:space="preserve">acc_markup</x:t>
  </x:si>
  <x:si>
    <x:t xml:space="preserve">FY2025 AR (Kohat_Cement_Annual_Report_2025.pdf)</x:t>
  </x:si>
  <x:si>
    <x:t xml:space="preserve">ca_other</x:t>
  </x:si>
  <x:si>
    <x:t xml:space="preserve">cp_ltf</x:t>
  </x:si>
  <x:si>
    <x:t xml:space="preserve">stb</x:t>
  </x:si>
  <x:si>
    <x:t xml:space="preserve">oth_inc</x:t>
  </x:si>
  <x:si>
    <x:t xml:space="preserve">pat</x:t>
  </x:si>
  <x:si>
    <x:t xml:space="preserve">capex</x:t>
  </x:si>
  <x:si>
    <x:t xml:space="preserve">oth_exp</x:t>
  </x:si>
  <x:si>
    <x:t xml:space="preserve">FY2022 AR (2022.pdf)</x:t>
  </x:si>
  <x:si>
    <x:t xml:space="preserve">FY2023 AR (2023.pdf)</x:t>
  </x:si>
  <x:si>
    <x:t xml:space="preserve">cff</x:t>
  </x:si>
  <x:si>
    <x:t xml:space="preserve">FY2024 AR (2024.pdf)</x:t>
  </x:si>
  <x:si>
    <x:t xml:space="preserve">def_tax</x:t>
  </x:si>
  <x:si>
    <x:t xml:space="preserve">FY2025 AR (2025.pdf)</x:t>
  </x:si>
  <x:si>
    <x:t xml:space="preserve">ncl_other</x:t>
  </x:si>
  <x:si>
    <x:t xml:space="preserve">FY2024 AR (DGAnnual2024.pdf)</x:t>
  </x:si>
  <x:si>
    <x:t xml:space="preserve">admin</x:t>
  </x:si>
  <x:si>
    <x:t xml:space="preserve">gp</x:t>
  </x:si>
  <x:si>
    <x:t xml:space="preserve">rev</x:t>
  </x:si>
  <x:si>
    <x:t xml:space="preserve">selling</x:t>
  </x:si>
  <x:si>
    <x:t xml:space="preserve">debts</x:t>
  </x:si>
  <x:si>
    <x:t xml:space="preserve">stores</x:t>
  </x:si>
  <x:si>
    <x:t xml:space="preserve">cogs</x:t>
  </x:si>
  <x:si>
    <x:t xml:space="preserve">cp_grant</x:t>
  </x:si>
  <x:si>
    <x:t xml:space="preserve">FY2022 AR (FCCL-Annual-Report-2022.pdf)</x:t>
  </x:si>
  <x:si>
    <x:t xml:space="preserve">grant_nc</x:t>
  </x:si>
  <x:si>
    <x:t xml:space="preserve">FY2023 AR (FCCL-Annual-Report-2023.pdf)</x:t>
  </x:si>
  <x:si>
    <x:t xml:space="preserve">FY2024 AR (FCCL-Annual-Report-2024.pdf)</x:t>
  </x:si>
  <x:si>
    <x:t xml:space="preserve">fin_paid</x:t>
  </x:si>
  <x:si>
    <x:t xml:space="preserve">cl_other</x:t>
  </x:si>
  <x:si>
    <x:t xml:space="preserve">FY2025 AR (FCCL-Annual-Report-2025.pdf)</x:t>
  </x:si>
  <x:si>
    <x:t xml:space="preserve">4. SOURCE REGISTER - every blue input on the company sheets</x:t>
  </x:si>
  <x:si>
    <x:t xml:space="preserve">Ref ID</x:t>
  </x:si>
  <x:si>
    <x:t xml:space="preserve">Workbook item</x:t>
  </x:si>
  <x:si>
    <x:t xml:space="preserve">Statement</x:t>
  </x:si>
  <x:si>
    <x:t xml:space="preserve">Line item(s) as printed</x:t>
  </x:si>
  <x:si>
    <x:t xml:space="preserve">Annual report file</x:t>
  </x:si>
  <x:si>
    <x:t xml:space="preserve">Presentation used</x:t>
  </x:si>
  <x:si>
    <x:t xml:space="preserve">Column</x:t>
  </x:si>
  <x:si>
    <x:t xml:space="preserve">PDF page</x:t>
  </x:si>
  <x:si>
    <x:t xml:space="preserve">Printed page</x:t>
  </x:si>
  <x:si>
    <x:t xml:space="preserve">Note</x:t>
  </x:si>
  <x:si>
    <x:t xml:space="preserve">Extracted (original units)</x:t>
  </x:si>
  <x:si>
    <x:t xml:space="preserve">Normalised (PKR m / as stated)</x:t>
  </x:si>
  <x:si>
    <x:t xml:space="preserve">Company-sheet value</x:t>
  </x:si>
  <x:si>
    <x:t xml:space="preserve">Trace</x:t>
  </x:si>
  <x:si>
    <x:t xml:space="preserve">Basis</x:t>
  </x:si>
  <x:si>
    <x:t xml:space="preserve">Remarks</x:t>
  </x:si>
  <x:si>
    <x:t xml:space="preserve">KOHC|ppe|2020</x:t>
  </x:si>
  <x:si>
    <x:t xml:space="preserve">Property, plant and equipment</x:t>
  </x:si>
  <x:si>
    <x:t xml:space="preserve">KOHC_AR_2021.pdf</x:t>
  </x:si>
  <x:si>
    <x:t xml:space="preserve">FY2021 AR</x:t>
  </x:si>
  <x:si>
    <x:t xml:space="preserve">Comparative</x:t>
  </x:si>
  <x:si>
    <x:t xml:space="preserve">n/d</x:t>
  </x:si>
  <x:si>
    <x:t xml:space="preserve">15</x:t>
  </x:si>
  <x:si>
    <x:t xml:space="preserve">KOHC|ppe|2021</x:t>
  </x:si>
  <x:si>
    <x:t xml:space="preserve">Kohat_Cement_AR_2022.pdf</x:t>
  </x:si>
  <x:si>
    <x:t xml:space="preserve">FY2022 AR</x:t>
  </x:si>
  <x:si>
    <x:t xml:space="preserve">Restated vs own-year report (see restatement register)</x:t>
  </x:si>
  <x:si>
    <x:t xml:space="preserve">KOHC|ppe|2022</x:t>
  </x:si>
  <x:si>
    <x:t xml:space="preserve">Financial_Statements-30-06-2023.pdf</x:t>
  </x:si>
  <x:si>
    <x:t xml:space="preserve">FY2023 AR</x:t>
  </x:si>
  <x:si>
    <x:t xml:space="preserve">KOHC|ppe|2023</x:t>
  </x:si>
  <x:si>
    <x:t xml:space="preserve">Kohat_Cement_Annual_Report-2024.pdf</x:t>
  </x:si>
  <x:si>
    <x:t xml:space="preserve">FY2024 AR</x:t>
  </x:si>
  <x:si>
    <x:t xml:space="preserve">14</x:t>
  </x:si>
  <x:si>
    <x:t xml:space="preserve">KOHC|ppe|2024</x:t>
  </x:si>
  <x:si>
    <x:t xml:space="preserve">Kohat_Cement_Annual_Report_2025.pdf</x:t>
  </x:si>
  <x:si>
    <x:t xml:space="preserve">FY2025 AR</x:t>
  </x:si>
  <x:si>
    <x:t xml:space="preserve">13</x:t>
  </x:si>
  <x:si>
    <x:t xml:space="preserve">KOHC|ppe|2025</x:t>
  </x:si>
  <x:si>
    <x:t xml:space="preserve">Current year</x:t>
  </x:si>
  <x:si>
    <x:t xml:space="preserve">KOHC|cwip|2020</x:t>
  </x:si>
  <x:si>
    <x:t xml:space="preserve">of which: capital work-in-progress (note)</x:t>
  </x:si>
  <x:si>
    <x:t xml:space="preserve">Notes / market data</x:t>
  </x:si>
  <x:si>
    <x:t xml:space="preserve">Capital work in progress</x:t>
  </x:si>
  <x:si>
    <x:t xml:space="preserve">70</x:t>
  </x:si>
  <x:si>
    <x:t xml:space="preserve">KOHC|cwip|2021</x:t>
  </x:si>
  <x:si>
    <x:t xml:space="preserve">KOHC|cwip|2022</x:t>
  </x:si>
  <x:si>
    <x:t xml:space="preserve">KOHC|cwip|2023</x:t>
  </x:si>
  <x:si>
    <x:t xml:space="preserve">KOHC|cwip|2024</x:t>
  </x:si>
  <x:si>
    <x:t xml:space="preserve">KOHC|cwip|2025</x:t>
  </x:si>
  <x:si>
    <x:t xml:space="preserve">KOHC|rou|2020</x:t>
  </x:si>
  <x:si>
    <x:t xml:space="preserve">30</x:t>
  </x:si>
  <x:si>
    <x:t xml:space="preserve">KOHC|rou|2021</x:t>
  </x:si>
  <x:si>
    <x:t xml:space="preserve">KOHC|rou|2022</x:t>
  </x:si>
  <x:si>
    <x:t xml:space="preserve">KOHC|rou|2023</x:t>
  </x:si>
  <x:si>
    <x:t xml:space="preserve">KOHC|rou|2024</x:t>
  </x:si>
  <x:si>
    <x:t xml:space="preserve">66</x:t>
  </x:si>
  <x:si>
    <x:t xml:space="preserve">KOHC|rou|2025</x:t>
  </x:si>
  <x:si>
    <x:t xml:space="preserve">KOHC|intang|2020</x:t>
  </x:si>
  <x:si>
    <x:t xml:space="preserve">Intangibles</x:t>
  </x:si>
  <x:si>
    <x:t xml:space="preserve">16</x:t>
  </x:si>
  <x:si>
    <x:t xml:space="preserve">KOHC|intang|2021</x:t>
  </x:si>
  <x:si>
    <x:t xml:space="preserve">KOHC|intang|2022</x:t>
  </x:si>
  <x:si>
    <x:t xml:space="preserve">KOHC|intang|2023</x:t>
  </x:si>
  <x:si>
    <x:t xml:space="preserve">KOHC|intang|2024</x:t>
  </x:si>
  <x:si>
    <x:t xml:space="preserve">KOHC|intang|2025</x:t>
  </x:si>
  <x:si>
    <x:t xml:space="preserve">KOHC|inv_prop|2020</x:t>
  </x:si>
  <x:si>
    <x:t xml:space="preserve">18</x:t>
  </x:si>
  <x:si>
    <x:t xml:space="preserve">KOHC|inv_prop|2021</x:t>
  </x:si>
  <x:si>
    <x:t xml:space="preserve">19</x:t>
  </x:si>
  <x:si>
    <x:t xml:space="preserve">KOHC|inv_prop|2022</x:t>
  </x:si>
  <x:si>
    <x:t xml:space="preserve">KOHC|inv_prop|2023</x:t>
  </x:si>
  <x:si>
    <x:t xml:space="preserve">KOHC|inv_prop|2024</x:t>
  </x:si>
  <x:si>
    <x:t xml:space="preserve">17</x:t>
  </x:si>
  <x:si>
    <x:t xml:space="preserve">KOHC|inv_prop|2025</x:t>
  </x:si>
  <x:si>
    <x:t xml:space="preserve">KOHC|lt_inv|2020</x:t>
  </x:si>
  <x:si>
    <x:t xml:space="preserve">KOHC|lt_inv|2021</x:t>
  </x:si>
  <x:si>
    <x:t xml:space="preserve">KOHC|lt_inv|2022</x:t>
  </x:si>
  <x:si>
    <x:t xml:space="preserve">KOHC|lt_inv|2023</x:t>
  </x:si>
  <x:si>
    <x:t xml:space="preserve">KOHC|lt_inv|2024</x:t>
  </x:si>
  <x:si>
    <x:t xml:space="preserve">KOHC|lt_inv|2025</x:t>
  </x:si>
  <x:si>
    <x:t xml:space="preserve">KOHC|nca_other|2020</x:t>
  </x:si>
  <x:si>
    <x:t xml:space="preserve">Long term deposits</x:t>
  </x:si>
  <x:si>
    <x:t xml:space="preserve">KOHC|nca_other|2021</x:t>
  </x:si>
  <x:si>
    <x:t xml:space="preserve">Long term deposits; Long term loans and advances</x:t>
  </x:si>
  <x:si>
    <x:t xml:space="preserve">KOHC|nca_other|2022</x:t>
  </x:si>
  <x:si>
    <x:t xml:space="preserve">KOHC|nca_other|2023</x:t>
  </x:si>
  <x:si>
    <x:t xml:space="preserve">KOHC|nca_other|2024</x:t>
  </x:si>
  <x:si>
    <x:t xml:space="preserve">KOHC|nca_other|2025</x:t>
  </x:si>
  <x:si>
    <x:t xml:space="preserve">KOHC|stores|2020</x:t>
  </x:si>
  <x:si>
    <x:t xml:space="preserve">KOHC|stores|2021</x:t>
  </x:si>
  <x:si>
    <x:t xml:space="preserve">20</x:t>
  </x:si>
  <x:si>
    <x:t xml:space="preserve">KOHC|stores|2022</x:t>
  </x:si>
  <x:si>
    <x:t xml:space="preserve">KOHC|stores|2023</x:t>
  </x:si>
  <x:si>
    <x:t xml:space="preserve">KOHC|stores|2024</x:t>
  </x:si>
  <x:si>
    <x:t xml:space="preserve">KOHC|stores|2025</x:t>
  </x:si>
  <x:si>
    <x:t xml:space="preserve">KOHC|sit|2020</x:t>
  </x:si>
  <x:si>
    <x:t xml:space="preserve">KOHC|sit|2021</x:t>
  </x:si>
  <x:si>
    <x:t xml:space="preserve">21</x:t>
  </x:si>
  <x:si>
    <x:t xml:space="preserve">KOHC|sit|2022</x:t>
  </x:si>
  <x:si>
    <x:t xml:space="preserve">KOHC|sit|2023</x:t>
  </x:si>
  <x:si>
    <x:t xml:space="preserve">KOHC|sit|2024</x:t>
  </x:si>
  <x:si>
    <x:t xml:space="preserve">KOHC|sit|2025</x:t>
  </x:si>
  <x:si>
    <x:t xml:space="preserve">KOHC|debts|2020</x:t>
  </x:si>
  <x:si>
    <x:t xml:space="preserve">Trade debts - unsecured, considered good</x:t>
  </x:si>
  <x:si>
    <x:t xml:space="preserve">KOHC|debts|2021</x:t>
  </x:si>
  <x:si>
    <x:t xml:space="preserve">22</x:t>
  </x:si>
  <x:si>
    <x:t xml:space="preserve">KOHC|debts|2022</x:t>
  </x:si>
  <x:si>
    <x:t xml:space="preserve">KOHC|debts|2023</x:t>
  </x:si>
  <x:si>
    <x:t xml:space="preserve">KOHC|debts|2024</x:t>
  </x:si>
  <x:si>
    <x:t xml:space="preserve">KOHC|debts|2025</x:t>
  </x:si>
  <x:si>
    <x:t xml:space="preserve">KOHC|st_inv|2020</x:t>
  </x:si>
  <x:si>
    <x:t xml:space="preserve">Short term investments</x:t>
  </x:si>
  <x:si>
    <x:t xml:space="preserve">KOHC|st_inv|2021</x:t>
  </x:si>
  <x:si>
    <x:t xml:space="preserve">23</x:t>
  </x:si>
  <x:si>
    <x:t xml:space="preserve">KOHC|st_inv|2022</x:t>
  </x:si>
  <x:si>
    <x:t xml:space="preserve">KOHC|st_inv|2023</x:t>
  </x:si>
  <x:si>
    <x:t xml:space="preserve">KOHC|st_inv|2024</x:t>
  </x:si>
  <x:si>
    <x:t xml:space="preserve">KOHC|st_inv|2025</x:t>
  </x:si>
  <x:si>
    <x:t xml:space="preserve">KOHC|cash|2020</x:t>
  </x:si>
  <x:si>
    <x:t xml:space="preserve">24</x:t>
  </x:si>
  <x:si>
    <x:t xml:space="preserve">KOHC|cash|2021</x:t>
  </x:si>
  <x:si>
    <x:t xml:space="preserve">25</x:t>
  </x:si>
  <x:si>
    <x:t xml:space="preserve">KOHC|cash|2022</x:t>
  </x:si>
  <x:si>
    <x:t xml:space="preserve">KOHC|cash|2023</x:t>
  </x:si>
  <x:si>
    <x:t xml:space="preserve">KOHC|cash|2024</x:t>
  </x:si>
  <x:si>
    <x:t xml:space="preserve">KOHC|cash|2025</x:t>
  </x:si>
  <x:si>
    <x:t xml:space="preserve">KOHC|ca_other|2020</x:t>
  </x:si>
  <x:si>
    <x:t xml:space="preserve">Advances, deposits, prepayments and othe</x:t>
  </x:si>
  <x:si>
    <x:t xml:space="preserve">KOHC|ca_other|2021</x:t>
  </x:si>
  <x:si>
    <x:t xml:space="preserve">KOHC|ca_other|2022</x:t>
  </x:si>
  <x:si>
    <x:t xml:space="preserve">Loans, Advances, deposits, prepayments a</x:t>
  </x:si>
  <x:si>
    <x:t xml:space="preserve">KOHC|ca_other|2023</x:t>
  </x:si>
  <x:si>
    <x:t xml:space="preserve">KOHC|ca_other|2024</x:t>
  </x:si>
  <x:si>
    <x:t xml:space="preserve">Loans, advances, deposits, prepayments a</x:t>
  </x:si>
  <x:si>
    <x:t xml:space="preserve">KOHC|ca_other|2025</x:t>
  </x:si>
  <x:si>
    <x:t xml:space="preserve">KOHC|share_cap|2020</x:t>
  </x:si>
  <x:si>
    <x:t xml:space="preserve">Issued, subscribed and paid-up capital</x:t>
  </x:si>
  <x:si>
    <x:t xml:space="preserve">4</x:t>
  </x:si>
  <x:si>
    <x:t xml:space="preserve">KOHC|share_cap|2021</x:t>
  </x:si>
  <x:si>
    <x:t xml:space="preserve">KOHC|share_cap|2022</x:t>
  </x:si>
  <x:si>
    <x:t xml:space="preserve">KOHC|share_cap|2023</x:t>
  </x:si>
  <x:si>
    <x:t xml:space="preserve">KOHC|share_cap|2024</x:t>
  </x:si>
  <x:si>
    <x:t xml:space="preserve">KOHC|share_cap|2025</x:t>
  </x:si>
  <x:si>
    <x:t xml:space="preserve">KOHC|eq_other|2020</x:t>
  </x:si>
  <x:si>
    <x:t xml:space="preserve">Accumulated profits; Reserves</x:t>
  </x:si>
  <x:si>
    <x:t xml:space="preserve">KOHC|eq_other|2021</x:t>
  </x:si>
  <x:si>
    <x:t xml:space="preserve">KOHC|eq_other|2022</x:t>
  </x:si>
  <x:si>
    <x:t xml:space="preserve">KOHC|eq_other|2023</x:t>
  </x:si>
  <x:si>
    <x:t xml:space="preserve">KOHC|eq_other|2024</x:t>
  </x:si>
  <x:si>
    <x:t xml:space="preserve">KOHC|eq_other|2025</x:t>
  </x:si>
  <x:si>
    <x:t xml:space="preserve">KOHC|ltf_nc|2020</x:t>
  </x:si>
  <x:si>
    <x:t xml:space="preserve">Long term financing - secured</x:t>
  </x:si>
  <x:si>
    <x:t xml:space="preserve">6</x:t>
  </x:si>
  <x:si>
    <x:t xml:space="preserve">KOHC|ltf_nc|2021</x:t>
  </x:si>
  <x:si>
    <x:t xml:space="preserve">KOHC|ltf_nc|2022</x:t>
  </x:si>
  <x:si>
    <x:t xml:space="preserve">KOHC|ltf_nc|2023</x:t>
  </x:si>
  <x:si>
    <x:t xml:space="preserve">KOHC|ltf_nc|2024</x:t>
  </x:si>
  <x:si>
    <x:t xml:space="preserve">KOHC|ltf_nc|2025</x:t>
  </x:si>
  <x:si>
    <x:t xml:space="preserve">KOHC|lease_nc|2020</x:t>
  </x:si>
  <x:si>
    <x:t xml:space="preserve">KOHC|lease_nc|2021</x:t>
  </x:si>
  <x:si>
    <x:t xml:space="preserve">KOHC|lease_nc|2022</x:t>
  </x:si>
  <x:si>
    <x:t xml:space="preserve">KOHC|lease_nc|2023</x:t>
  </x:si>
  <x:si>
    <x:t xml:space="preserve">KOHC|lease_nc|2024</x:t>
  </x:si>
  <x:si>
    <x:t xml:space="preserve">KOHC|lease_nc|2025</x:t>
  </x:si>
  <x:si>
    <x:t xml:space="preserve">KOHC|grant_nc|2020</x:t>
  </x:si>
  <x:si>
    <x:t xml:space="preserve">Deferred grant</x:t>
  </x:si>
  <x:si>
    <x:t xml:space="preserve">6.8</x:t>
  </x:si>
  <x:si>
    <x:t xml:space="preserve">KOHC|grant_nc|2021</x:t>
  </x:si>
  <x:si>
    <x:t xml:space="preserve">KOHC|grant_nc|2022</x:t>
  </x:si>
  <x:si>
    <x:t xml:space="preserve">KOHC|grant_nc|2023</x:t>
  </x:si>
  <x:si>
    <x:t xml:space="preserve">KOHC|grant_nc|2024</x:t>
  </x:si>
  <x:si>
    <x:t xml:space="preserve">KOHC|grant_nc|2025</x:t>
  </x:si>
  <x:si>
    <x:t xml:space="preserve">KOHC|def_tax|2020</x:t>
  </x:si>
  <x:si>
    <x:t xml:space="preserve">Deferred liabilities - deferred taxation</x:t>
  </x:si>
  <x:si>
    <x:t xml:space="preserve">KOHC|def_tax|2021</x:t>
  </x:si>
  <x:si>
    <x:t xml:space="preserve">KOHC|def_tax|2022</x:t>
  </x:si>
  <x:si>
    <x:t xml:space="preserve">KOHC|def_tax|2023</x:t>
  </x:si>
  <x:si>
    <x:t xml:space="preserve">KOHC|def_tax|2024</x:t>
  </x:si>
  <x:si>
    <x:t xml:space="preserve">KOHC|def_tax|2025</x:t>
  </x:si>
  <x:si>
    <x:t xml:space="preserve">KOHC|ncl_other|2020</x:t>
  </x:si>
  <x:si>
    <x:t xml:space="preserve">- compensated absences; Long term deposits</x:t>
  </x:si>
  <x:si>
    <x:t xml:space="preserve">8.2</x:t>
  </x:si>
  <x:si>
    <x:t xml:space="preserve">KOHC|ncl_other|2021</x:t>
  </x:si>
  <x:si>
    <x:t xml:space="preserve">KOHC|ncl_other|2022</x:t>
  </x:si>
  <x:si>
    <x:t xml:space="preserve">KOHC|ncl_other|2023</x:t>
  </x:si>
  <x:si>
    <x:t xml:space="preserve">KOHC|ncl_other|2024</x:t>
  </x:si>
  <x:si>
    <x:t xml:space="preserve">KOHC|ncl_other|2025</x:t>
  </x:si>
  <x:si>
    <x:t xml:space="preserve">KOHC|tap|2020</x:t>
  </x:si>
  <x:si>
    <x:t xml:space="preserve">9</x:t>
  </x:si>
  <x:si>
    <x:t xml:space="preserve">KOHC|tap|2021</x:t>
  </x:si>
  <x:si>
    <x:t xml:space="preserve">KOHC|tap|2022</x:t>
  </x:si>
  <x:si>
    <x:t xml:space="preserve">KOHC|tap|2023</x:t>
  </x:si>
  <x:si>
    <x:t xml:space="preserve">KOHC|tap|2024</x:t>
  </x:si>
  <x:si>
    <x:t xml:space="preserve">KOHC|tap|2025</x:t>
  </x:si>
  <x:si>
    <x:t xml:space="preserve">KOHC|trade_cred|2020</x:t>
  </x:si>
  <x:si>
    <x:t xml:space="preserve">memo: trade creditors / bills payable (note)</x:t>
  </x:si>
  <x:si>
    <x:t xml:space="preserve">Trade creditors - local; Trade creditors - imports</x:t>
  </x:si>
  <x:si>
    <x:t xml:space="preserve">KOHC|trade_cred|2021</x:t>
  </x:si>
  <x:si>
    <x:t xml:space="preserve">KOHC|trade_cred|2022</x:t>
  </x:si>
  <x:si>
    <x:t xml:space="preserve">KOHC|trade_cred|2023</x:t>
  </x:si>
  <x:si>
    <x:t xml:space="preserve">KOHC|trade_cred|2024</x:t>
  </x:si>
  <x:si>
    <x:t xml:space="preserve">Trade creditors - local; Imports bills payable</x:t>
  </x:si>
  <x:si>
    <x:t xml:space="preserve">KOHC|trade_cred|2025</x:t>
  </x:si>
  <x:si>
    <x:t xml:space="preserve">KOHC|contract|2020</x:t>
  </x:si>
  <x:si>
    <x:t xml:space="preserve">Contract liability</x:t>
  </x:si>
  <x:si>
    <x:t xml:space="preserve">10</x:t>
  </x:si>
  <x:si>
    <x:t xml:space="preserve">KOHC|contract|2021</x:t>
  </x:si>
  <x:si>
    <x:t xml:space="preserve">KOHC|contract|2022</x:t>
  </x:si>
  <x:si>
    <x:t xml:space="preserve">KOHC|contract|2023</x:t>
  </x:si>
  <x:si>
    <x:t xml:space="preserve">KOHC|contract|2024</x:t>
  </x:si>
  <x:si>
    <x:t xml:space="preserve">24.1.3</x:t>
  </x:si>
  <x:si>
    <x:t xml:space="preserve">KOHC|contract|2025</x:t>
  </x:si>
  <x:si>
    <x:t xml:space="preserve">KOHC|acc_markup|2020</x:t>
  </x:si>
  <x:si>
    <x:t xml:space="preserve">Mark-up accrued on borrowings</x:t>
  </x:si>
  <x:si>
    <x:t xml:space="preserve">KOHC|acc_markup|2021</x:t>
  </x:si>
  <x:si>
    <x:t xml:space="preserve">KOHC|acc_markup|2022</x:t>
  </x:si>
  <x:si>
    <x:t xml:space="preserve">KOHC|acc_markup|2023</x:t>
  </x:si>
  <x:si>
    <x:t xml:space="preserve">12</x:t>
  </x:si>
  <x:si>
    <x:t xml:space="preserve">KOHC|acc_markup|2024</x:t>
  </x:si>
  <x:si>
    <x:t xml:space="preserve">KOHC|acc_markup|2025</x:t>
  </x:si>
  <x:si>
    <x:t xml:space="preserve">KOHC|stb|2020</x:t>
  </x:si>
  <x:si>
    <x:t xml:space="preserve">Short term borrowings - secured</x:t>
  </x:si>
  <x:si>
    <x:t xml:space="preserve">KOHC|stb|2021</x:t>
  </x:si>
  <x:si>
    <x:t xml:space="preserve">KOHC|stb|2022</x:t>
  </x:si>
  <x:si>
    <x:t xml:space="preserve">KOHC|stb|2023</x:t>
  </x:si>
  <x:si>
    <x:t xml:space="preserve">KOHC|stb|2024</x:t>
  </x:si>
  <x:si>
    <x:t xml:space="preserve">11</x:t>
  </x:si>
  <x:si>
    <x:t xml:space="preserve">KOHC|stb|2025</x:t>
  </x:si>
  <x:si>
    <x:t xml:space="preserve">KOHC|cp_ltf|2020</x:t>
  </x:si>
  <x:si>
    <x:t xml:space="preserve">Current portion of long term financing</x:t>
  </x:si>
  <x:si>
    <x:t xml:space="preserve">KOHC|cp_ltf|2021</x:t>
  </x:si>
  <x:si>
    <x:t xml:space="preserve">KOHC|cp_ltf|2022</x:t>
  </x:si>
  <x:si>
    <x:t xml:space="preserve">KOHC|cp_ltf|2023</x:t>
  </x:si>
  <x:si>
    <x:t xml:space="preserve">KOHC|cp_ltf|2024</x:t>
  </x:si>
  <x:si>
    <x:t xml:space="preserve">KOHC|cp_ltf|2025</x:t>
  </x:si>
  <x:si>
    <x:t xml:space="preserve">KOHC|cp_lease|2020</x:t>
  </x:si>
  <x:si>
    <x:t xml:space="preserve">KOHC|cp_lease|2021</x:t>
  </x:si>
  <x:si>
    <x:t xml:space="preserve">KOHC|cp_lease|2022</x:t>
  </x:si>
  <x:si>
    <x:t xml:space="preserve">KOHC|cp_lease|2023</x:t>
  </x:si>
  <x:si>
    <x:t xml:space="preserve">KOHC|cp_lease|2024</x:t>
  </x:si>
  <x:si>
    <x:t xml:space="preserve">KOHC|cp_lease|2025</x:t>
  </x:si>
  <x:si>
    <x:t xml:space="preserve">KOHC|cp_grant|2020</x:t>
  </x:si>
  <x:si>
    <x:t xml:space="preserve">KOHC|cp_grant|2021</x:t>
  </x:si>
  <x:si>
    <x:t xml:space="preserve">KOHC|cp_grant|2022</x:t>
  </x:si>
  <x:si>
    <x:t xml:space="preserve">KOHC|cp_grant|2023</x:t>
  </x:si>
  <x:si>
    <x:t xml:space="preserve">KOHC|cp_grant|2024</x:t>
  </x:si>
  <x:si>
    <x:t xml:space="preserve">KOHC|cp_grant|2025</x:t>
  </x:si>
  <x:si>
    <x:t xml:space="preserve">KOHC|div_liab|2020</x:t>
  </x:si>
  <x:si>
    <x:t xml:space="preserve">Dividend payable; Unclaimed dividend</x:t>
  </x:si>
  <x:si>
    <x:t xml:space="preserve">KOHC|div_liab|2021</x:t>
  </x:si>
  <x:si>
    <x:t xml:space="preserve">KOHC|div_liab|2022</x:t>
  </x:si>
  <x:si>
    <x:t xml:space="preserve">KOHC|div_liab|2023</x:t>
  </x:si>
  <x:si>
    <x:t xml:space="preserve">KOHC|div_liab|2024</x:t>
  </x:si>
  <x:si>
    <x:t xml:space="preserve">KOHC|div_liab|2025</x:t>
  </x:si>
  <x:si>
    <x:t xml:space="preserve">KOHC|tax_liab|2020</x:t>
  </x:si>
  <x:si>
    <x:t xml:space="preserve">Provision for taxation - net</x:t>
  </x:si>
  <x:si>
    <x:t xml:space="preserve">KOHC|tax_liab|2021</x:t>
  </x:si>
  <x:si>
    <x:t xml:space="preserve">KOHC|tax_liab|2022</x:t>
  </x:si>
  <x:si>
    <x:t xml:space="preserve">KOHC|tax_liab|2023</x:t>
  </x:si>
  <x:si>
    <x:t xml:space="preserve">KOHC|tax_liab|2024</x:t>
  </x:si>
  <x:si>
    <x:t xml:space="preserve">KOHC|tax_liab|2025</x:t>
  </x:si>
  <x:si>
    <x:t xml:space="preserve">KOHC|cl_other|2020</x:t>
  </x:si>
  <x:si>
    <x:t xml:space="preserve">KOHC|cl_other|2021</x:t>
  </x:si>
  <x:si>
    <x:t xml:space="preserve">KOHC|cl_other|2022</x:t>
  </x:si>
  <x:si>
    <x:t xml:space="preserve">KOHC|cl_other|2023</x:t>
  </x:si>
  <x:si>
    <x:t xml:space="preserve">KOHC|cl_other|2024</x:t>
  </x:si>
  <x:si>
    <x:t xml:space="preserve">KOHC|cl_other|2025</x:t>
  </x:si>
  <x:si>
    <x:t xml:space="preserve">KOHC|pr_TA|2020</x:t>
  </x:si>
  <x:si>
    <x:t xml:space="preserve">KOHC|pr_TA|2021</x:t>
  </x:si>
  <x:si>
    <x:t xml:space="preserve">KOHC|pr_TA|2022</x:t>
  </x:si>
  <x:si>
    <x:t xml:space="preserve">KOHC|pr_TA|2023</x:t>
  </x:si>
  <x:si>
    <x:t xml:space="preserve">KOHC|pr_TA|2024</x:t>
  </x:si>
  <x:si>
    <x:t xml:space="preserve">KOHC|pr_TA|2025</x:t>
  </x:si>
  <x:si>
    <x:t xml:space="preserve">KOHC|pr_EQ|2020</x:t>
  </x:si>
  <x:si>
    <x:t xml:space="preserve">KOHC|pr_EQ|2021</x:t>
  </x:si>
  <x:si>
    <x:t xml:space="preserve">KOHC|pr_EQ|2022</x:t>
  </x:si>
  <x:si>
    <x:t xml:space="preserve">KOHC|pr_EQ|2023</x:t>
  </x:si>
  <x:si>
    <x:t xml:space="preserve">KOHC|pr_EQ|2024</x:t>
  </x:si>
  <x:si>
    <x:t xml:space="preserve">KOHC|pr_EQ|2025</x:t>
  </x:si>
  <x:si>
    <x:t xml:space="preserve">KOHC|pr_CA|2020</x:t>
  </x:si>
  <x:si>
    <x:t xml:space="preserve">KOHC|pr_CA|2021</x:t>
  </x:si>
  <x:si>
    <x:t xml:space="preserve">KOHC|pr_CA|2022</x:t>
  </x:si>
  <x:si>
    <x:t xml:space="preserve">KOHC|pr_CA|2023</x:t>
  </x:si>
  <x:si>
    <x:t xml:space="preserve">KOHC|pr_CA|2024</x:t>
  </x:si>
  <x:si>
    <x:t xml:space="preserve">KOHC|pr_CA|2025</x:t>
  </x:si>
  <x:si>
    <x:t xml:space="preserve">KOHC|pr_CL|2020</x:t>
  </x:si>
  <x:si>
    <x:t xml:space="preserve">KOHC|pr_CL|2021</x:t>
  </x:si>
  <x:si>
    <x:t xml:space="preserve">KOHC|pr_CL|2022</x:t>
  </x:si>
  <x:si>
    <x:t xml:space="preserve">KOHC|pr_CL|2023</x:t>
  </x:si>
  <x:si>
    <x:t xml:space="preserve">KOHC|pr_CL|2024</x:t>
  </x:si>
  <x:si>
    <x:t xml:space="preserve">KOHC|pr_CL|2025</x:t>
  </x:si>
  <x:si>
    <x:t xml:space="preserve">KOHC|rev|2021</x:t>
  </x:si>
  <x:si>
    <x:t xml:space="preserve">P&amp;L</x:t>
  </x:si>
  <x:si>
    <x:t xml:space="preserve">Sales-net</x:t>
  </x:si>
  <x:si>
    <x:t xml:space="preserve">KOHC|rev|2022</x:t>
  </x:si>
  <x:si>
    <x:t xml:space="preserve">KOHC|rev|2023</x:t>
  </x:si>
  <x:si>
    <x:t xml:space="preserve">KOHC|rev|2024</x:t>
  </x:si>
  <x:si>
    <x:t xml:space="preserve">68</x:t>
  </x:si>
  <x:si>
    <x:t xml:space="preserve">KOHC|rev|2025</x:t>
  </x:si>
  <x:si>
    <x:t xml:space="preserve">KOHC|cogs|2021</x:t>
  </x:si>
  <x:si>
    <x:t xml:space="preserve">KOHC|cogs|2022</x:t>
  </x:si>
  <x:si>
    <x:t xml:space="preserve">KOHC|cogs|2023</x:t>
  </x:si>
  <x:si>
    <x:t xml:space="preserve">KOHC|cogs|2024</x:t>
  </x:si>
  <x:si>
    <x:t xml:space="preserve">KOHC|cogs|2025</x:t>
  </x:si>
  <x:si>
    <x:t xml:space="preserve">KOHC|selling|2021</x:t>
  </x:si>
  <x:si>
    <x:t xml:space="preserve">KOHC|selling|2022</x:t>
  </x:si>
  <x:si>
    <x:t xml:space="preserve">KOHC|selling|2023</x:t>
  </x:si>
  <x:si>
    <x:t xml:space="preserve">KOHC|selling|2024</x:t>
  </x:si>
  <x:si>
    <x:t xml:space="preserve">KOHC|selling|2025</x:t>
  </x:si>
  <x:si>
    <x:t xml:space="preserve">KOHC|admin|2021</x:t>
  </x:si>
  <x:si>
    <x:t xml:space="preserve">Administrative and general expenses</x:t>
  </x:si>
  <x:si>
    <x:t xml:space="preserve">KOHC|admin|2022</x:t>
  </x:si>
  <x:si>
    <x:t xml:space="preserve">KOHC|admin|2023</x:t>
  </x:si>
  <x:si>
    <x:t xml:space="preserve">KOHC|admin|2024</x:t>
  </x:si>
  <x:si>
    <x:t xml:space="preserve">KOHC|admin|2025</x:t>
  </x:si>
  <x:si>
    <x:t xml:space="preserve">KOHC|impair|2021</x:t>
  </x:si>
  <x:si>
    <x:t xml:space="preserve">KOHC|impair|2022</x:t>
  </x:si>
  <x:si>
    <x:t xml:space="preserve">KOHC|impair|2023</x:t>
  </x:si>
  <x:si>
    <x:t xml:space="preserve">KOHC|impair|2024</x:t>
  </x:si>
  <x:si>
    <x:t xml:space="preserve">(Allowance) / reversal of expected credi</x:t>
  </x:si>
  <x:si>
    <x:t xml:space="preserve">KOHC|impair|2025</x:t>
  </x:si>
  <x:si>
    <x:t xml:space="preserve">KOHC|oth_exp|2021</x:t>
  </x:si>
  <x:si>
    <x:t xml:space="preserve">Other expenses</x:t>
  </x:si>
  <x:si>
    <x:t xml:space="preserve">KOHC|oth_exp|2022</x:t>
  </x:si>
  <x:si>
    <x:t xml:space="preserve">KOHC|oth_exp|2023</x:t>
  </x:si>
  <x:si>
    <x:t xml:space="preserve">KOHC|oth_exp|2024</x:t>
  </x:si>
  <x:si>
    <x:t xml:space="preserve">KOHC|oth_exp|2025</x:t>
  </x:si>
  <x:si>
    <x:t xml:space="preserve">KOHC|oth_inc|2021</x:t>
  </x:si>
  <x:si>
    <x:t xml:space="preserve">KOHC|oth_inc|2022</x:t>
  </x:si>
  <x:si>
    <x:t xml:space="preserve">KOHC|oth_inc|2023</x:t>
  </x:si>
  <x:si>
    <x:t xml:space="preserve">KOHC|oth_inc|2024</x:t>
  </x:si>
  <x:si>
    <x:t xml:space="preserve">KOHC|oth_inc|2025</x:t>
  </x:si>
  <x:si>
    <x:t xml:space="preserve">KOHC|fin_inc|2021</x:t>
  </x:si>
  <x:si>
    <x:t xml:space="preserve">KOHC|fin_inc|2022</x:t>
  </x:si>
  <x:si>
    <x:t xml:space="preserve">KOHC|fin_inc|2023</x:t>
  </x:si>
  <x:si>
    <x:t xml:space="preserve">KOHC|fin_inc|2024</x:t>
  </x:si>
  <x:si>
    <x:t xml:space="preserve">KOHC|fin_inc|2025</x:t>
  </x:si>
  <x:si>
    <x:t xml:space="preserve">KOHC|assoc|2021</x:t>
  </x:si>
  <x:si>
    <x:t xml:space="preserve">KOHC|assoc|2022</x:t>
  </x:si>
  <x:si>
    <x:t xml:space="preserve">KOHC|assoc|2023</x:t>
  </x:si>
  <x:si>
    <x:t xml:space="preserve">KOHC|assoc|2024</x:t>
  </x:si>
  <x:si>
    <x:t xml:space="preserve">KOHC|assoc|2025</x:t>
  </x:si>
  <x:si>
    <x:t xml:space="preserve">KOHC|fin_cost|2021</x:t>
  </x:si>
  <x:si>
    <x:t xml:space="preserve">KOHC|fin_cost|2022</x:t>
  </x:si>
  <x:si>
    <x:t xml:space="preserve">KOHC|fin_cost|2023</x:t>
  </x:si>
  <x:si>
    <x:t xml:space="preserve">KOHC|fin_cost|2024</x:t>
  </x:si>
  <x:si>
    <x:t xml:space="preserve">KOHC|fin_cost|2025</x:t>
  </x:si>
  <x:si>
    <x:t xml:space="preserve">KOHC|levy|2021</x:t>
  </x:si>
  <x:si>
    <x:t xml:space="preserve">KOHC|levy|2022</x:t>
  </x:si>
  <x:si>
    <x:t xml:space="preserve">KOHC|levy|2023</x:t>
  </x:si>
  <x:si>
    <x:t xml:space="preserve">Final tax</x:t>
  </x:si>
  <x:si>
    <x:t xml:space="preserve">KOHC|levy|2024</x:t>
  </x:si>
  <x:si>
    <x:t xml:space="preserve">KOHC|levy|2025</x:t>
  </x:si>
  <x:si>
    <x:t xml:space="preserve">KOHC|tax|2021</x:t>
  </x:si>
  <x:si>
    <x:t xml:space="preserve">Taxation</x:t>
  </x:si>
  <x:si>
    <x:t xml:space="preserve">KOHC|tax|2022</x:t>
  </x:si>
  <x:si>
    <x:t xml:space="preserve">KOHC|tax|2023</x:t>
  </x:si>
  <x:si>
    <x:t xml:space="preserve">KOHC|tax|2024</x:t>
  </x:si>
  <x:si>
    <x:t xml:space="preserve">KOHC|tax|2025</x:t>
  </x:si>
  <x:si>
    <x:t xml:space="preserve">KOHC|pr_gp|2021</x:t>
  </x:si>
  <x:si>
    <x:t xml:space="preserve">Gross Profit</x:t>
  </x:si>
  <x:si>
    <x:t xml:space="preserve">KOHC|pr_gp|2022</x:t>
  </x:si>
  <x:si>
    <x:t xml:space="preserve">KOHC|pr_gp|2023</x:t>
  </x:si>
  <x:si>
    <x:t xml:space="preserve">KOHC|pr_gp|2024</x:t>
  </x:si>
  <x:si>
    <x:t xml:space="preserve">KOHC|pr_gp|2025</x:t>
  </x:si>
  <x:si>
    <x:t xml:space="preserve">KOHC|pr_pbt|2021</x:t>
  </x:si>
  <x:si>
    <x:t xml:space="preserve">Profit before taxation</x:t>
  </x:si>
  <x:si>
    <x:t xml:space="preserve">KOHC|pr_pbt|2022</x:t>
  </x:si>
  <x:si>
    <x:t xml:space="preserve">KOHC|pr_pbt|2023</x:t>
  </x:si>
  <x:si>
    <x:t xml:space="preserve">Profit before income tax and final tax</x:t>
  </x:si>
  <x:si>
    <x:t xml:space="preserve">KOHC|pr_pbt|2024</x:t>
  </x:si>
  <x:si>
    <x:t xml:space="preserve">KOHC|pr_pbt|2025</x:t>
  </x:si>
  <x:si>
    <x:t xml:space="preserve">KOHC|pr_pat|2021</x:t>
  </x:si>
  <x:si>
    <x:t xml:space="preserve">Profit after taxation</x:t>
  </x:si>
  <x:si>
    <x:t xml:space="preserve">KOHC|pr_pat|2022</x:t>
  </x:si>
  <x:si>
    <x:t xml:space="preserve">KOHC|pr_pat|2023</x:t>
  </x:si>
  <x:si>
    <x:t xml:space="preserve">KOHC|pr_pat|2024</x:t>
  </x:si>
  <x:si>
    <x:t xml:space="preserve">KOHC|pr_pat|2025</x:t>
  </x:si>
  <x:si>
    <x:t xml:space="preserve">KOHC|fc_nonint|2021</x:t>
  </x:si>
  <x:si>
    <x:t xml:space="preserve">Bank charges, commission and o</x:t>
  </x:si>
  <x:si>
    <x:t xml:space="preserve">92</x:t>
  </x:si>
  <x:si>
    <x:t xml:space="preserve">KOHC|fc_nonint|2022</x:t>
  </x:si>
  <x:si>
    <x:t xml:space="preserve">90</x:t>
  </x:si>
  <x:si>
    <x:t xml:space="preserve">KOHC|fc_nonint|2023</x:t>
  </x:si>
  <x:si>
    <x:t xml:space="preserve">98</x:t>
  </x:si>
  <x:si>
    <x:t xml:space="preserve">KOHC|fc_nonint|2024</x:t>
  </x:si>
  <x:si>
    <x:t xml:space="preserve">106</x:t>
  </x:si>
  <x:si>
    <x:t xml:space="preserve">KOHC|fc_nonint|2025</x:t>
  </x:si>
  <x:si>
    <x:t xml:space="preserve">KOHC|da|2021</x:t>
  </x:si>
  <x:si>
    <x:t xml:space="preserve">Cash flow</x:t>
  </x:si>
  <x:si>
    <x:t xml:space="preserve">Depreciation on property, plant and; Amortization on intangibles</x:t>
  </x:si>
  <x:si>
    <x:t xml:space="preserve">KOHC|da|2022</x:t>
  </x:si>
  <x:si>
    <x:t xml:space="preserve">KOHC|da|2023</x:t>
  </x:si>
  <x:si>
    <x:t xml:space="preserve">100</x:t>
  </x:si>
  <x:si>
    <x:t xml:space="preserve">KOHC|da|2024</x:t>
  </x:si>
  <x:si>
    <x:t xml:space="preserve">108</x:t>
  </x:si>
  <x:si>
    <x:t xml:space="preserve">KOHC|da|2025</x:t>
  </x:si>
  <x:si>
    <x:t xml:space="preserve">KOHC|cgo|2021</x:t>
  </x:si>
  <x:si>
    <x:t xml:space="preserve">Cash generated from operations</x:t>
  </x:si>
  <x:si>
    <x:t xml:space="preserve">KOHC|cgo|2022</x:t>
  </x:si>
  <x:si>
    <x:t xml:space="preserve">KOHC|cgo|2023</x:t>
  </x:si>
  <x:si>
    <x:t xml:space="preserve">KOHC|cgo|2024</x:t>
  </x:si>
  <x:si>
    <x:t xml:space="preserve">KOHC|cgo|2025</x:t>
  </x:si>
  <x:si>
    <x:t xml:space="preserve">KOHC|cfo|2021</x:t>
  </x:si>
  <x:si>
    <x:t xml:space="preserve">Net cash generated from operating activi</x:t>
  </x:si>
  <x:si>
    <x:t xml:space="preserve">KOHC|cfo|2022</x:t>
  </x:si>
  <x:si>
    <x:t xml:space="preserve">KOHC|cfo|2023</x:t>
  </x:si>
  <x:si>
    <x:t xml:space="preserve">KOHC|cfo|2024</x:t>
  </x:si>
  <x:si>
    <x:t xml:space="preserve">KOHC|cfo|2025</x:t>
  </x:si>
  <x:si>
    <x:t xml:space="preserve">KOHC|fin_paid|2021</x:t>
  </x:si>
  <x:si>
    <x:t xml:space="preserve">Finance cost paid</x:t>
  </x:si>
  <x:si>
    <x:t xml:space="preserve">KOHC|fin_paid|2022</x:t>
  </x:si>
  <x:si>
    <x:t xml:space="preserve">KOHC|fin_paid|2023</x:t>
  </x:si>
  <x:si>
    <x:t xml:space="preserve">KOHC|fin_paid|2024</x:t>
  </x:si>
  <x:si>
    <x:t xml:space="preserve">KOHC|fin_paid|2025</x:t>
  </x:si>
  <x:si>
    <x:t xml:space="preserve">KOHC|fin_paid_cls|2021</x:t>
  </x:si>
  <x:si>
    <x:t xml:space="preserve">Section of cash flow statement in which finance cost paid appears</x:t>
  </x:si>
  <x:si>
    <x:t xml:space="preserve">KOHC|fin_paid_cls|2022</x:t>
  </x:si>
  <x:si>
    <x:t xml:space="preserve">KOHC|fin_paid_cls|2023</x:t>
  </x:si>
  <x:si>
    <x:t xml:space="preserve">KOHC|fin_paid_cls|2024</x:t>
  </x:si>
  <x:si>
    <x:t xml:space="preserve">KOHC|fin_paid_cls|2025</x:t>
  </x:si>
  <x:si>
    <x:t xml:space="preserve">KOHC|capex|2021</x:t>
  </x:si>
  <x:si>
    <x:t xml:space="preserve">Acquisition of property, plant and equip</x:t>
  </x:si>
  <x:si>
    <x:t xml:space="preserve">KOHC|capex|2022</x:t>
  </x:si>
  <x:si>
    <x:t xml:space="preserve">KOHC|capex|2023</x:t>
  </x:si>
  <x:si>
    <x:t xml:space="preserve">KOHC|capex|2024</x:t>
  </x:si>
  <x:si>
    <x:t xml:space="preserve">KOHC|capex|2025</x:t>
  </x:si>
  <x:si>
    <x:t xml:space="preserve">KOHC|cfi|2021</x:t>
  </x:si>
  <x:si>
    <x:t xml:space="preserve">Net cash used in investing activities</x:t>
  </x:si>
  <x:si>
    <x:t xml:space="preserve">KOHC|cfi|2022</x:t>
  </x:si>
  <x:si>
    <x:t xml:space="preserve">KOHC|cfi|2023</x:t>
  </x:si>
  <x:si>
    <x:t xml:space="preserve">KOHC|cfi|2024</x:t>
  </x:si>
  <x:si>
    <x:t xml:space="preserve">KOHC|cfi|2025</x:t>
  </x:si>
  <x:si>
    <x:t xml:space="preserve">KOHC|cff|2021</x:t>
  </x:si>
  <x:si>
    <x:t xml:space="preserve">Net cash used in financing activities</x:t>
  </x:si>
  <x:si>
    <x:t xml:space="preserve">KOHC|cff|2022</x:t>
  </x:si>
  <x:si>
    <x:t xml:space="preserve">KOHC|cff|2023</x:t>
  </x:si>
  <x:si>
    <x:t xml:space="preserve">KOHC|cff|2024</x:t>
  </x:si>
  <x:si>
    <x:t xml:space="preserve">KOHC|cff|2025</x:t>
  </x:si>
  <x:si>
    <x:t xml:space="preserve">KOHC|div_paid|2021</x:t>
  </x:si>
  <x:si>
    <x:t xml:space="preserve">Dividend paid</x:t>
  </x:si>
  <x:si>
    <x:t xml:space="preserve">KOHC|div_paid|2022</x:t>
  </x:si>
  <x:si>
    <x:t xml:space="preserve">KOHC|div_paid|2023</x:t>
  </x:si>
  <x:si>
    <x:t xml:space="preserve">KOHC|div_paid|2024</x:t>
  </x:si>
  <x:si>
    <x:t xml:space="preserve">KOHC|div_paid|2025</x:t>
  </x:si>
  <x:si>
    <x:t xml:space="preserve">KOHC|par|2021</x:t>
  </x:si>
  <x:si>
    <x:t xml:space="preserve">Share capital caption (par value)</x:t>
  </x:si>
  <x:si>
    <x:t xml:space="preserve">82</x:t>
  </x:si>
  <x:si>
    <x:t xml:space="preserve">KOHC|par|2022</x:t>
  </x:si>
  <x:si>
    <x:t xml:space="preserve">KOHC|par|2023</x:t>
  </x:si>
  <x:si>
    <x:t xml:space="preserve">KOHC|par|2024</x:t>
  </x:si>
  <x:si>
    <x:t xml:space="preserve">KOHC|par|2025</x:t>
  </x:si>
  <x:si>
    <x:t xml:space="preserve">KOHC|wavg|2021</x:t>
  </x:si>
  <x:si>
    <x:t xml:space="preserve">EPS note (weighted average shares)</x:t>
  </x:si>
  <x:si>
    <x:t xml:space="preserve">KOHC|wavg|2022</x:t>
  </x:si>
  <x:si>
    <x:t xml:space="preserve">KOHC|wavg|2023</x:t>
  </x:si>
  <x:si>
    <x:t xml:space="preserve">KOHC|wavg|2024</x:t>
  </x:si>
  <x:si>
    <x:t xml:space="preserve">KOHC|wavg|2025</x:t>
  </x:si>
  <x:si>
    <x:t xml:space="preserve">KOHC|price|2021</x:t>
  </x:si>
  <x:si>
    <x:t xml:space="preserve">KOHC|price|2022</x:t>
  </x:si>
  <x:si>
    <x:t xml:space="preserve">KOHC|price|2023</x:t>
  </x:si>
  <x:si>
    <x:t xml:space="preserve">KOHC|price|2024</x:t>
  </x:si>
  <x:si>
    <x:t xml:space="preserve">KOHC|price|2025</x:t>
  </x:si>
  <x:si>
    <x:t xml:space="preserve">KOHC|dps|2021</x:t>
  </x:si>
  <x:si>
    <x:t xml:space="preserve">Cash dividend per share for the year</x:t>
  </x:si>
  <x:si>
    <x:t xml:space="preserve">KOHC|dps|2022</x:t>
  </x:si>
  <x:si>
    <x:t xml:space="preserve">KOHC|dps|2023</x:t>
  </x:si>
  <x:si>
    <x:t xml:space="preserve">KOHC|dps|2024</x:t>
  </x:si>
  <x:si>
    <x:t xml:space="preserve">KOHC|dps|2025</x:t>
  </x:si>
  <x:si>
    <x:t xml:space="preserve">KOHC|eps_rep|2021</x:t>
  </x:si>
  <x:si>
    <x:t xml:space="preserve">Reported basic EPS (Rs) - own-year audited statements</x:t>
  </x:si>
  <x:si>
    <x:t xml:space="preserve">Basic EPS on face of P&amp;L</x:t>
  </x:si>
  <x:si>
    <x:t xml:space="preserve">KOHC|eps_rep|2022</x:t>
  </x:si>
  <x:si>
    <x:t xml:space="preserve">KOHC|eps_rep|2023</x:t>
  </x:si>
  <x:si>
    <x:t xml:space="preserve">KOHC|eps_rep|2024</x:t>
  </x:si>
  <x:si>
    <x:t xml:space="preserve">KOHC|eps_rep|2025</x:t>
  </x:si>
  <x:si>
    <x:t xml:space="preserve">KOHC|adj|2021</x:t>
  </x:si>
  <x:si>
    <x:t xml:space="preserve">Split adjustment factor to FY2025 share basis (memo)</x:t>
  </x:si>
  <x:si>
    <x:t xml:space="preserve">Split factor</x:t>
  </x:si>
  <x:si>
    <x:t xml:space="preserve">KOHC|adj|2022</x:t>
  </x:si>
  <x:si>
    <x:t xml:space="preserve">KOHC|adj|2023</x:t>
  </x:si>
  <x:si>
    <x:t xml:space="preserve">KOHC|adj|2024</x:t>
  </x:si>
  <x:si>
    <x:t xml:space="preserve">KOHC|adj|2025</x:t>
  </x:si>
  <x:si>
    <x:t xml:space="preserve">LUCK|ppe|2020</x:t>
  </x:si>
  <x:si>
    <x:t xml:space="preserve">2021.pdf</x:t>
  </x:si>
  <x:si>
    <x:t xml:space="preserve">5</x:t>
  </x:si>
  <x:si>
    <x:t xml:space="preserve">LUCK|ppe|2021</x:t>
  </x:si>
  <x:si>
    <x:t xml:space="preserve">2022.pdf</x:t>
  </x:si>
  <x:si>
    <x:t xml:space="preserve">224</x:t>
  </x:si>
  <x:si>
    <x:t xml:space="preserve">LUCK|ppe|2022</x:t>
  </x:si>
  <x:si>
    <x:t xml:space="preserve">2023.pdf</x:t>
  </x:si>
  <x:si>
    <x:t xml:space="preserve">232</x:t>
  </x:si>
  <x:si>
    <x:t xml:space="preserve">LUCK|ppe|2023</x:t>
  </x:si>
  <x:si>
    <x:t xml:space="preserve">2024.pdf</x:t>
  </x:si>
  <x:si>
    <x:t xml:space="preserve">236</x:t>
  </x:si>
  <x:si>
    <x:t xml:space="preserve">LUCK|ppe|2024</x:t>
  </x:si>
  <x:si>
    <x:t xml:space="preserve">2025.pdf</x:t>
  </x:si>
  <x:si>
    <x:t xml:space="preserve">238</x:t>
  </x:si>
  <x:si>
    <x:t xml:space="preserve">LUCK|ppe|2025</x:t>
  </x:si>
  <x:si>
    <x:t xml:space="preserve">LUCK|cwip|2020</x:t>
  </x:si>
  <x:si>
    <x:t xml:space="preserve">LUCK|cwip|2021</x:t>
  </x:si>
  <x:si>
    <x:t xml:space="preserve">235</x:t>
  </x:si>
  <x:si>
    <x:t xml:space="preserve">LUCK|cwip|2022</x:t>
  </x:si>
  <x:si>
    <x:t xml:space="preserve">243</x:t>
  </x:si>
  <x:si>
    <x:t xml:space="preserve">LUCK|cwip|2023</x:t>
  </x:si>
  <x:si>
    <x:t xml:space="preserve">248</x:t>
  </x:si>
  <x:si>
    <x:t xml:space="preserve">LUCK|cwip|2024</x:t>
  </x:si>
  <x:si>
    <x:t xml:space="preserve">250</x:t>
  </x:si>
  <x:si>
    <x:t xml:space="preserve">LUCK|cwip|2025</x:t>
  </x:si>
  <x:si>
    <x:t xml:space="preserve">LUCK|rou|2020</x:t>
  </x:si>
  <x:si>
    <x:t xml:space="preserve">LUCK|rou|2021</x:t>
  </x:si>
  <x:si>
    <x:t xml:space="preserve">LUCK|rou|2022</x:t>
  </x:si>
  <x:si>
    <x:t xml:space="preserve">LUCK|rou|2023</x:t>
  </x:si>
  <x:si>
    <x:t xml:space="preserve">LUCK|rou|2024</x:t>
  </x:si>
  <x:si>
    <x:t xml:space="preserve">LUCK|rou|2025</x:t>
  </x:si>
  <x:si>
    <x:t xml:space="preserve">LUCK|intang|2020</x:t>
  </x:si>
  <x:si>
    <x:t xml:space="preserve">LUCK|intang|2021</x:t>
  </x:si>
  <x:si>
    <x:t xml:space="preserve">LUCK|intang|2022</x:t>
  </x:si>
  <x:si>
    <x:t xml:space="preserve">LUCK|intang|2023</x:t>
  </x:si>
  <x:si>
    <x:t xml:space="preserve">LUCK|intang|2024</x:t>
  </x:si>
  <x:si>
    <x:t xml:space="preserve">LUCK|intang|2025</x:t>
  </x:si>
  <x:si>
    <x:t xml:space="preserve">LUCK|inv_prop|2020</x:t>
  </x:si>
  <x:si>
    <x:t xml:space="preserve">LUCK|inv_prop|2021</x:t>
  </x:si>
  <x:si>
    <x:t xml:space="preserve">LUCK|inv_prop|2022</x:t>
  </x:si>
  <x:si>
    <x:t xml:space="preserve">LUCK|inv_prop|2023</x:t>
  </x:si>
  <x:si>
    <x:t xml:space="preserve">LUCK|inv_prop|2024</x:t>
  </x:si>
  <x:si>
    <x:t xml:space="preserve">LUCK|inv_prop|2025</x:t>
  </x:si>
  <x:si>
    <x:t xml:space="preserve">LUCK|lt_inv|2020</x:t>
  </x:si>
  <x:si>
    <x:t xml:space="preserve">7</x:t>
  </x:si>
  <x:si>
    <x:t xml:space="preserve">LUCK|lt_inv|2021</x:t>
  </x:si>
  <x:si>
    <x:t xml:space="preserve">LUCK|lt_inv|2022</x:t>
  </x:si>
  <x:si>
    <x:t xml:space="preserve">LUCK|lt_inv|2023</x:t>
  </x:si>
  <x:si>
    <x:t xml:space="preserve">LUCK|lt_inv|2024</x:t>
  </x:si>
  <x:si>
    <x:t xml:space="preserve">LUCK|lt_inv|2025</x:t>
  </x:si>
  <x:si>
    <x:t xml:space="preserve">LUCK|nca_other|2020</x:t>
  </x:si>
  <x:si>
    <x:t xml:space="preserve">Long-term deposits; Long-term loans and advances</x:t>
  </x:si>
  <x:si>
    <x:t xml:space="preserve">LUCK|nca_other|2021</x:t>
  </x:si>
  <x:si>
    <x:t xml:space="preserve">LUCK|nca_other|2022</x:t>
  </x:si>
  <x:si>
    <x:t xml:space="preserve">LUCK|nca_other|2023</x:t>
  </x:si>
  <x:si>
    <x:t xml:space="preserve">LUCK|nca_other|2024</x:t>
  </x:si>
  <x:si>
    <x:t xml:space="preserve">Long-term loans, advances and deposits</x:t>
  </x:si>
  <x:si>
    <x:t xml:space="preserve">8</x:t>
  </x:si>
  <x:si>
    <x:t xml:space="preserve">LUCK|nca_other|2025</x:t>
  </x:si>
  <x:si>
    <x:t xml:space="preserve">LUCK|stores|2020</x:t>
  </x:si>
  <x:si>
    <x:t xml:space="preserve">Stores and spares</x:t>
  </x:si>
  <x:si>
    <x:t xml:space="preserve">LUCK|stores|2021</x:t>
  </x:si>
  <x:si>
    <x:t xml:space="preserve">LUCK|stores|2022</x:t>
  </x:si>
  <x:si>
    <x:t xml:space="preserve">LUCK|stores|2023</x:t>
  </x:si>
  <x:si>
    <x:t xml:space="preserve">LUCK|stores|2024</x:t>
  </x:si>
  <x:si>
    <x:t xml:space="preserve">LUCK|stores|2025</x:t>
  </x:si>
  <x:si>
    <x:t xml:space="preserve">LUCK|sit|2020</x:t>
  </x:si>
  <x:si>
    <x:t xml:space="preserve">LUCK|sit|2021</x:t>
  </x:si>
  <x:si>
    <x:t xml:space="preserve">LUCK|sit|2022</x:t>
  </x:si>
  <x:si>
    <x:t xml:space="preserve">LUCK|sit|2023</x:t>
  </x:si>
  <x:si>
    <x:t xml:space="preserve">LUCK|sit|2024</x:t>
  </x:si>
  <x:si>
    <x:t xml:space="preserve">LUCK|sit|2025</x:t>
  </x:si>
  <x:si>
    <x:t xml:space="preserve">LUCK|debts|2020</x:t>
  </x:si>
  <x:si>
    <x:t xml:space="preserve">LUCK|debts|2021</x:t>
  </x:si>
  <x:si>
    <x:t xml:space="preserve">LUCK|debts|2022</x:t>
  </x:si>
  <x:si>
    <x:t xml:space="preserve">LUCK|debts|2023</x:t>
  </x:si>
  <x:si>
    <x:t xml:space="preserve">LUCK|debts|2024</x:t>
  </x:si>
  <x:si>
    <x:t xml:space="preserve">LUCK|debts|2025</x:t>
  </x:si>
  <x:si>
    <x:t xml:space="preserve">LUCK|st_inv|2020</x:t>
  </x:si>
  <x:si>
    <x:t xml:space="preserve">LUCK|st_inv|2021</x:t>
  </x:si>
  <x:si>
    <x:t xml:space="preserve">LUCK|st_inv|2022</x:t>
  </x:si>
  <x:si>
    <x:t xml:space="preserve">LUCK|st_inv|2023</x:t>
  </x:si>
  <x:si>
    <x:t xml:space="preserve">LUCK|st_inv|2024</x:t>
  </x:si>
  <x:si>
    <x:t xml:space="preserve">LUCK|st_inv|2025</x:t>
  </x:si>
  <x:si>
    <x:t xml:space="preserve">LUCK|cash|2020</x:t>
  </x:si>
  <x:si>
    <x:t xml:space="preserve">LUCK|cash|2021</x:t>
  </x:si>
  <x:si>
    <x:t xml:space="preserve">LUCK|cash|2022</x:t>
  </x:si>
  <x:si>
    <x:t xml:space="preserve">LUCK|cash|2023</x:t>
  </x:si>
  <x:si>
    <x:t xml:space="preserve">LUCK|cash|2024</x:t>
  </x:si>
  <x:si>
    <x:t xml:space="preserve">LUCK|cash|2025</x:t>
  </x:si>
  <x:si>
    <x:t xml:space="preserve">LUCK|ca_other|2020</x:t>
  </x:si>
  <x:si>
    <x:t xml:space="preserve">Accrued return; Loans and advances; Other receivables; Tax refunds due from the Government; Trade deposits and short-ter</x:t>
  </x:si>
  <x:si>
    <x:t xml:space="preserve">LUCK|ca_other|2021</x:t>
  </x:si>
  <x:si>
    <x:t xml:space="preserve">LUCK|ca_other|2022</x:t>
  </x:si>
  <x:si>
    <x:t xml:space="preserve">LUCK|ca_other|2023</x:t>
  </x:si>
  <x:si>
    <x:t xml:space="preserve">LUCK|ca_other|2024</x:t>
  </x:si>
  <x:si>
    <x:t xml:space="preserve">Deposits and prepayments; Loans and advances; Other receivables; Tax refunds due from the Government</x:t>
  </x:si>
  <x:si>
    <x:t xml:space="preserve">LUCK|ca_other|2025</x:t>
  </x:si>
  <x:si>
    <x:t xml:space="preserve">LUCK|share_cap|2020</x:t>
  </x:si>
  <x:si>
    <x:t xml:space="preserve">Issued, subscribed and paid-up share cap</x:t>
  </x:si>
  <x:si>
    <x:t xml:space="preserve">LUCK|share_cap|2021</x:t>
  </x:si>
  <x:si>
    <x:t xml:space="preserve">LUCK|share_cap|2022</x:t>
  </x:si>
  <x:si>
    <x:t xml:space="preserve">LUCK|share_cap|2023</x:t>
  </x:si>
  <x:si>
    <x:t xml:space="preserve">Share capital</x:t>
  </x:si>
  <x:si>
    <x:t xml:space="preserve">LUCK|share_cap|2024</x:t>
  </x:si>
  <x:si>
    <x:t xml:space="preserve">LUCK|share_cap|2025</x:t>
  </x:si>
  <x:si>
    <x:t xml:space="preserve">LUCK|eq_other|2020</x:t>
  </x:si>
  <x:si>
    <x:t xml:space="preserve">Reserves</x:t>
  </x:si>
  <x:si>
    <x:t xml:space="preserve">LUCK|eq_other|2021</x:t>
  </x:si>
  <x:si>
    <x:t xml:space="preserve">LUCK|eq_other|2022</x:t>
  </x:si>
  <x:si>
    <x:t xml:space="preserve">LUCK|eq_other|2023</x:t>
  </x:si>
  <x:si>
    <x:t xml:space="preserve">LUCK|eq_other|2024</x:t>
  </x:si>
  <x:si>
    <x:t xml:space="preserve">LUCK|eq_other|2025</x:t>
  </x:si>
  <x:si>
    <x:t xml:space="preserve">LUCK|ltf_nc|2020</x:t>
  </x:si>
  <x:si>
    <x:t xml:space="preserve">Long-term loans</x:t>
  </x:si>
  <x:si>
    <x:t xml:space="preserve">LUCK|ltf_nc|2021</x:t>
  </x:si>
  <x:si>
    <x:t xml:space="preserve">LUCK|ltf_nc|2022</x:t>
  </x:si>
  <x:si>
    <x:t xml:space="preserve">LUCK|ltf_nc|2023</x:t>
  </x:si>
  <x:si>
    <x:t xml:space="preserve">LUCK|ltf_nc|2024</x:t>
  </x:si>
  <x:si>
    <x:t xml:space="preserve">Long-term financing</x:t>
  </x:si>
  <x:si>
    <x:t xml:space="preserve">LUCK|ltf_nc|2025</x:t>
  </x:si>
  <x:si>
    <x:t xml:space="preserve">LUCK|lease_nc|2020</x:t>
  </x:si>
  <x:si>
    <x:t xml:space="preserve">LUCK|lease_nc|2021</x:t>
  </x:si>
  <x:si>
    <x:t xml:space="preserve">LUCK|lease_nc|2022</x:t>
  </x:si>
  <x:si>
    <x:t xml:space="preserve">LUCK|lease_nc|2023</x:t>
  </x:si>
  <x:si>
    <x:t xml:space="preserve">LUCK|lease_nc|2024</x:t>
  </x:si>
  <x:si>
    <x:t xml:space="preserve">LUCK|lease_nc|2025</x:t>
  </x:si>
  <x:si>
    <x:t xml:space="preserve">LUCK|grant_nc|2020</x:t>
  </x:si>
  <x:si>
    <x:t xml:space="preserve">Deferred Government grant</x:t>
  </x:si>
  <x:si>
    <x:t xml:space="preserve">LUCK|grant_nc|2021</x:t>
  </x:si>
  <x:si>
    <x:t xml:space="preserve">LUCK|grant_nc|2022</x:t>
  </x:si>
  <x:si>
    <x:t xml:space="preserve">LUCK|grant_nc|2023</x:t>
  </x:si>
  <x:si>
    <x:t xml:space="preserve">LUCK|grant_nc|2024</x:t>
  </x:si>
  <x:si>
    <x:t xml:space="preserve">LUCK|grant_nc|2025</x:t>
  </x:si>
  <x:si>
    <x:t xml:space="preserve">LUCK|def_tax|2020</x:t>
  </x:si>
  <x:si>
    <x:t xml:space="preserve">- Deferred tax liability</x:t>
  </x:si>
  <x:si>
    <x:t xml:space="preserve">LUCK|def_tax|2021</x:t>
  </x:si>
  <x:si>
    <x:t xml:space="preserve">LUCK|def_tax|2022</x:t>
  </x:si>
  <x:si>
    <x:t xml:space="preserve">LUCK|def_tax|2023</x:t>
  </x:si>
  <x:si>
    <x:t xml:space="preserve">LUCK|def_tax|2024</x:t>
  </x:si>
  <x:si>
    <x:t xml:space="preserve">LUCK|def_tax|2025</x:t>
  </x:si>
  <x:si>
    <x:t xml:space="preserve">LUCK|ncl_other|2020</x:t>
  </x:si>
  <x:si>
    <x:t xml:space="preserve">incl. PKR 0.4m footing difference in printed FY2020 comparative (components do not sum to printed subtotal)</x:t>
  </x:si>
  <x:si>
    <x:t xml:space="preserve">LUCK|ncl_other|2021</x:t>
  </x:si>
  <x:si>
    <x:t xml:space="preserve">Deferred liabilities - Staff gratuity - ; Long-term deposits</x:t>
  </x:si>
  <x:si>
    <x:t xml:space="preserve">LUCK|ncl_other|2022</x:t>
  </x:si>
  <x:si>
    <x:t xml:space="preserve">LUCK|ncl_other|2023</x:t>
  </x:si>
  <x:si>
    <x:t xml:space="preserve">Deferred liabilities - Staff gratuity; Long-term deposits</x:t>
  </x:si>
  <x:si>
    <x:t xml:space="preserve">LUCK|ncl_other|2024</x:t>
  </x:si>
  <x:si>
    <x:t xml:space="preserve">Deferred liabilities; Long-term deposits</x:t>
  </x:si>
  <x:si>
    <x:t xml:space="preserve">LUCK|ncl_other|2025</x:t>
  </x:si>
  <x:si>
    <x:t xml:space="preserve">LUCK|tap|2020</x:t>
  </x:si>
  <x:si>
    <x:t xml:space="preserve">LUCK|tap|2021</x:t>
  </x:si>
  <x:si>
    <x:t xml:space="preserve">LUCK|tap|2022</x:t>
  </x:si>
  <x:si>
    <x:t xml:space="preserve">LUCK|tap|2023</x:t>
  </x:si>
  <x:si>
    <x:t xml:space="preserve">LUCK|tap|2024</x:t>
  </x:si>
  <x:si>
    <x:t xml:space="preserve">LUCK|tap|2025</x:t>
  </x:si>
  <x:si>
    <x:t xml:space="preserve">LUCK|trade_cred|2020</x:t>
  </x:si>
  <x:si>
    <x:t xml:space="preserve">Creditors</x:t>
  </x:si>
  <x:si>
    <x:t xml:space="preserve">LUCK|trade_cred|2021</x:t>
  </x:si>
  <x:si>
    <x:t xml:space="preserve">LUCK|trade_cred|2022</x:t>
  </x:si>
  <x:si>
    <x:t xml:space="preserve">258</x:t>
  </x:si>
  <x:si>
    <x:t xml:space="preserve">LUCK|trade_cred|2023</x:t>
  </x:si>
  <x:si>
    <x:t xml:space="preserve">263</x:t>
  </x:si>
  <x:si>
    <x:t xml:space="preserve">LUCK|trade_cred|2024</x:t>
  </x:si>
  <x:si>
    <x:t xml:space="preserve">LUCK|trade_cred|2025</x:t>
  </x:si>
  <x:si>
    <x:t xml:space="preserve">LUCK|contract|2020</x:t>
  </x:si>
  <x:si>
    <x:t xml:space="preserve">LUCK|contract|2021</x:t>
  </x:si>
  <x:si>
    <x:t xml:space="preserve">LUCK|contract|2022</x:t>
  </x:si>
  <x:si>
    <x:t xml:space="preserve">LUCK|contract|2023</x:t>
  </x:si>
  <x:si>
    <x:t xml:space="preserve">LUCK|contract|2024</x:t>
  </x:si>
  <x:si>
    <x:t xml:space="preserve">LUCK|contract|2025</x:t>
  </x:si>
  <x:si>
    <x:t xml:space="preserve">LUCK|acc_markup|2020</x:t>
  </x:si>
  <x:si>
    <x:t xml:space="preserve">Accrued markup</x:t>
  </x:si>
  <x:si>
    <x:t xml:space="preserve">LUCK|acc_markup|2021</x:t>
  </x:si>
  <x:si>
    <x:t xml:space="preserve">LUCK|acc_markup|2022</x:t>
  </x:si>
  <x:si>
    <x:t xml:space="preserve">LUCK|acc_markup|2023</x:t>
  </x:si>
  <x:si>
    <x:t xml:space="preserve">LUCK|acc_markup|2024</x:t>
  </x:si>
  <x:si>
    <x:t xml:space="preserve">LUCK|acc_markup|2025</x:t>
  </x:si>
  <x:si>
    <x:t xml:space="preserve">LUCK|stb|2020</x:t>
  </x:si>
  <x:si>
    <x:t xml:space="preserve">Short term borrowings</x:t>
  </x:si>
  <x:si>
    <x:t xml:space="preserve">26</x:t>
  </x:si>
  <x:si>
    <x:t xml:space="preserve">LUCK|stb|2021</x:t>
  </x:si>
  <x:si>
    <x:t xml:space="preserve">Short-term borrowings</x:t>
  </x:si>
  <x:si>
    <x:t xml:space="preserve">LUCK|stb|2022</x:t>
  </x:si>
  <x:si>
    <x:t xml:space="preserve">LUCK|stb|2023</x:t>
  </x:si>
  <x:si>
    <x:t xml:space="preserve">LUCK|stb|2024</x:t>
  </x:si>
  <x:si>
    <x:t xml:space="preserve">LUCK|stb|2025</x:t>
  </x:si>
  <x:si>
    <x:t xml:space="preserve">LUCK|cp_ltf|2020</x:t>
  </x:si>
  <x:si>
    <x:t xml:space="preserve">Current maturity of long-term loans</x:t>
  </x:si>
  <x:si>
    <x:t xml:space="preserve">LUCK|cp_ltf|2021</x:t>
  </x:si>
  <x:si>
    <x:t xml:space="preserve">LUCK|cp_ltf|2022</x:t>
  </x:si>
  <x:si>
    <x:t xml:space="preserve">LUCK|cp_ltf|2023</x:t>
  </x:si>
  <x:si>
    <x:t xml:space="preserve">LUCK|cp_ltf|2024</x:t>
  </x:si>
  <x:si>
    <x:t xml:space="preserve">Current maturity of long-term financing</x:t>
  </x:si>
  <x:si>
    <x:t xml:space="preserve">LUCK|cp_ltf|2025</x:t>
  </x:si>
  <x:si>
    <x:t xml:space="preserve">LUCK|cp_lease|2020</x:t>
  </x:si>
  <x:si>
    <x:t xml:space="preserve">LUCK|cp_lease|2021</x:t>
  </x:si>
  <x:si>
    <x:t xml:space="preserve">LUCK|cp_lease|2022</x:t>
  </x:si>
  <x:si>
    <x:t xml:space="preserve">LUCK|cp_lease|2023</x:t>
  </x:si>
  <x:si>
    <x:t xml:space="preserve">LUCK|cp_lease|2024</x:t>
  </x:si>
  <x:si>
    <x:t xml:space="preserve">LUCK|cp_lease|2025</x:t>
  </x:si>
  <x:si>
    <x:t xml:space="preserve">LUCK|cp_grant|2020</x:t>
  </x:si>
  <x:si>
    <x:t xml:space="preserve">LUCK|cp_grant|2021</x:t>
  </x:si>
  <x:si>
    <x:t xml:space="preserve">LUCK|cp_grant|2022</x:t>
  </x:si>
  <x:si>
    <x:t xml:space="preserve">LUCK|cp_grant|2023</x:t>
  </x:si>
  <x:si>
    <x:t xml:space="preserve">LUCK|cp_grant|2024</x:t>
  </x:si>
  <x:si>
    <x:t xml:space="preserve">LUCK|cp_grant|2025</x:t>
  </x:si>
  <x:si>
    <x:t xml:space="preserve">LUCK|div_liab|2020</x:t>
  </x:si>
  <x:si>
    <x:t xml:space="preserve">Unclaimed dividend; Unpaid dividend</x:t>
  </x:si>
  <x:si>
    <x:t xml:space="preserve">LUCK|div_liab|2021</x:t>
  </x:si>
  <x:si>
    <x:t xml:space="preserve">Unclaimed dividend</x:t>
  </x:si>
  <x:si>
    <x:t xml:space="preserve">LUCK|div_liab|2022</x:t>
  </x:si>
  <x:si>
    <x:t xml:space="preserve">LUCK|div_liab|2023</x:t>
  </x:si>
  <x:si>
    <x:t xml:space="preserve">LUCK|div_liab|2024</x:t>
  </x:si>
  <x:si>
    <x:t xml:space="preserve">LUCK|div_liab|2025</x:t>
  </x:si>
  <x:si>
    <x:t xml:space="preserve">LUCK|tax_liab|2020</x:t>
  </x:si>
  <x:si>
    <x:t xml:space="preserve">Taxation - net</x:t>
  </x:si>
  <x:si>
    <x:t xml:space="preserve">LUCK|tax_liab|2021</x:t>
  </x:si>
  <x:si>
    <x:t xml:space="preserve">LUCK|tax_liab|2022</x:t>
  </x:si>
  <x:si>
    <x:t xml:space="preserve">LUCK|tax_liab|2023</x:t>
  </x:si>
  <x:si>
    <x:t xml:space="preserve">LUCK|tax_liab|2024</x:t>
  </x:si>
  <x:si>
    <x:t xml:space="preserve">LUCK|tax_liab|2025</x:t>
  </x:si>
  <x:si>
    <x:t xml:space="preserve">LUCK|cl_other|2020</x:t>
  </x:si>
  <x:si>
    <x:t xml:space="preserve">LUCK|cl_other|2021</x:t>
  </x:si>
  <x:si>
    <x:t xml:space="preserve">LUCK|cl_other|2022</x:t>
  </x:si>
  <x:si>
    <x:t xml:space="preserve">LUCK|cl_other|2023</x:t>
  </x:si>
  <x:si>
    <x:t xml:space="preserve">LUCK|cl_other|2024</x:t>
  </x:si>
  <x:si>
    <x:t xml:space="preserve">LUCK|cl_other|2025</x:t>
  </x:si>
  <x:si>
    <x:t xml:space="preserve">LUCK|pr_TA|2020</x:t>
  </x:si>
  <x:si>
    <x:t xml:space="preserve">LUCK|pr_TA|2021</x:t>
  </x:si>
  <x:si>
    <x:t xml:space="preserve">LUCK|pr_TA|2022</x:t>
  </x:si>
  <x:si>
    <x:t xml:space="preserve">LUCK|pr_TA|2023</x:t>
  </x:si>
  <x:si>
    <x:t xml:space="preserve">LUCK|pr_TA|2024</x:t>
  </x:si>
  <x:si>
    <x:t xml:space="preserve">LUCK|pr_TA|2025</x:t>
  </x:si>
  <x:si>
    <x:t xml:space="preserve">LUCK|pr_EQ|2020</x:t>
  </x:si>
  <x:si>
    <x:t xml:space="preserve">LUCK|pr_EQ|2021</x:t>
  </x:si>
  <x:si>
    <x:t xml:space="preserve">LUCK|pr_EQ|2022</x:t>
  </x:si>
  <x:si>
    <x:t xml:space="preserve">LUCK|pr_EQ|2023</x:t>
  </x:si>
  <x:si>
    <x:t xml:space="preserve">LUCK|pr_EQ|2024</x:t>
  </x:si>
  <x:si>
    <x:t xml:space="preserve">LUCK|pr_EQ|2025</x:t>
  </x:si>
  <x:si>
    <x:t xml:space="preserve">LUCK|pr_CA|2020</x:t>
  </x:si>
  <x:si>
    <x:t xml:space="preserve">LUCK|pr_CA|2021</x:t>
  </x:si>
  <x:si>
    <x:t xml:space="preserve">LUCK|pr_CA|2022</x:t>
  </x:si>
  <x:si>
    <x:t xml:space="preserve">LUCK|pr_CA|2023</x:t>
  </x:si>
  <x:si>
    <x:t xml:space="preserve">LUCK|pr_CA|2024</x:t>
  </x:si>
  <x:si>
    <x:t xml:space="preserve">LUCK|pr_CA|2025</x:t>
  </x:si>
  <x:si>
    <x:t xml:space="preserve">LUCK|pr_CL|2020</x:t>
  </x:si>
  <x:si>
    <x:t xml:space="preserve">LUCK|pr_CL|2021</x:t>
  </x:si>
  <x:si>
    <x:t xml:space="preserve">LUCK|pr_CL|2022</x:t>
  </x:si>
  <x:si>
    <x:t xml:space="preserve">LUCK|pr_CL|2023</x:t>
  </x:si>
  <x:si>
    <x:t xml:space="preserve">LUCK|pr_CL|2024</x:t>
  </x:si>
  <x:si>
    <x:t xml:space="preserve">LUCK|pr_CL|2025</x:t>
  </x:si>
  <x:si>
    <x:t xml:space="preserve">LUCK|rev|2021</x:t>
  </x:si>
  <x:si>
    <x:t xml:space="preserve">Net sales</x:t>
  </x:si>
  <x:si>
    <x:t xml:space="preserve">225</x:t>
  </x:si>
  <x:si>
    <x:t xml:space="preserve">LUCK|rev|2022</x:t>
  </x:si>
  <x:si>
    <x:t xml:space="preserve">233</x:t>
  </x:si>
  <x:si>
    <x:t xml:space="preserve">LUCK|rev|2023</x:t>
  </x:si>
  <x:si>
    <x:t xml:space="preserve">237</x:t>
  </x:si>
  <x:si>
    <x:t xml:space="preserve">LUCK|rev|2024</x:t>
  </x:si>
  <x:si>
    <x:t xml:space="preserve">Net Revenue</x:t>
  </x:si>
  <x:si>
    <x:t xml:space="preserve">LUCK|rev|2025</x:t>
  </x:si>
  <x:si>
    <x:t xml:space="preserve">LUCK|cogs|2021</x:t>
  </x:si>
  <x:si>
    <x:t xml:space="preserve">LUCK|cogs|2022</x:t>
  </x:si>
  <x:si>
    <x:t xml:space="preserve">LUCK|cogs|2023</x:t>
  </x:si>
  <x:si>
    <x:t xml:space="preserve">LUCK|cogs|2024</x:t>
  </x:si>
  <x:si>
    <x:t xml:space="preserve">LUCK|cogs|2025</x:t>
  </x:si>
  <x:si>
    <x:t xml:space="preserve">LUCK|selling|2021</x:t>
  </x:si>
  <x:si>
    <x:t xml:space="preserve">Distribution cost</x:t>
  </x:si>
  <x:si>
    <x:t xml:space="preserve">LUCK|selling|2022</x:t>
  </x:si>
  <x:si>
    <x:t xml:space="preserve">LUCK|selling|2023</x:t>
  </x:si>
  <x:si>
    <x:t xml:space="preserve">LUCK|selling|2024</x:t>
  </x:si>
  <x:si>
    <x:t xml:space="preserve">Distribution costs</x:t>
  </x:si>
  <x:si>
    <x:t xml:space="preserve">LUCK|selling|2025</x:t>
  </x:si>
  <x:si>
    <x:t xml:space="preserve">LUCK|admin|2021</x:t>
  </x:si>
  <x:si>
    <x:t xml:space="preserve">LUCK|admin|2022</x:t>
  </x:si>
  <x:si>
    <x:t xml:space="preserve">LUCK|admin|2023</x:t>
  </x:si>
  <x:si>
    <x:t xml:space="preserve">LUCK|admin|2024</x:t>
  </x:si>
  <x:si>
    <x:t xml:space="preserve">LUCK|admin|2025</x:t>
  </x:si>
  <x:si>
    <x:t xml:space="preserve">LUCK|impair|2021</x:t>
  </x:si>
  <x:si>
    <x:t xml:space="preserve">LUCK|impair|2022</x:t>
  </x:si>
  <x:si>
    <x:t xml:space="preserve">LUCK|impair|2023</x:t>
  </x:si>
  <x:si>
    <x:t xml:space="preserve">LUCK|impair|2024</x:t>
  </x:si>
  <x:si>
    <x:t xml:space="preserve">LUCK|impair|2025</x:t>
  </x:si>
  <x:si>
    <x:t xml:space="preserve">LUCK|oth_exp|2021</x:t>
  </x:si>
  <x:si>
    <x:t xml:space="preserve">LUCK|oth_exp|2022</x:t>
  </x:si>
  <x:si>
    <x:t xml:space="preserve">LUCK|oth_exp|2023</x:t>
  </x:si>
  <x:si>
    <x:t xml:space="preserve">LUCK|oth_exp|2024</x:t>
  </x:si>
  <x:si>
    <x:t xml:space="preserve">LUCK|oth_exp|2025</x:t>
  </x:si>
  <x:si>
    <x:t xml:space="preserve">LUCK|oth_inc|2021</x:t>
  </x:si>
  <x:si>
    <x:t xml:space="preserve">LUCK|oth_inc|2022</x:t>
  </x:si>
  <x:si>
    <x:t xml:space="preserve">LUCK|oth_inc|2023</x:t>
  </x:si>
  <x:si>
    <x:t xml:space="preserve">LUCK|oth_inc|2024</x:t>
  </x:si>
  <x:si>
    <x:t xml:space="preserve">LUCK|oth_inc|2025</x:t>
  </x:si>
  <x:si>
    <x:t xml:space="preserve">LUCK|fin_inc|2021</x:t>
  </x:si>
  <x:si>
    <x:t xml:space="preserve">LUCK|fin_inc|2022</x:t>
  </x:si>
  <x:si>
    <x:t xml:space="preserve">LUCK|fin_inc|2023</x:t>
  </x:si>
  <x:si>
    <x:t xml:space="preserve">LUCK|fin_inc|2024</x:t>
  </x:si>
  <x:si>
    <x:t xml:space="preserve">LUCK|fin_inc|2025</x:t>
  </x:si>
  <x:si>
    <x:t xml:space="preserve">LUCK|assoc|2021</x:t>
  </x:si>
  <x:si>
    <x:t xml:space="preserve">LUCK|assoc|2022</x:t>
  </x:si>
  <x:si>
    <x:t xml:space="preserve">LUCK|assoc|2023</x:t>
  </x:si>
  <x:si>
    <x:t xml:space="preserve">LUCK|assoc|2024</x:t>
  </x:si>
  <x:si>
    <x:t xml:space="preserve">LUCK|assoc|2025</x:t>
  </x:si>
  <x:si>
    <x:t xml:space="preserve">LUCK|fin_cost|2021</x:t>
  </x:si>
  <x:si>
    <x:t xml:space="preserve">Finance costs</x:t>
  </x:si>
  <x:si>
    <x:t xml:space="preserve">LUCK|fin_cost|2022</x:t>
  </x:si>
  <x:si>
    <x:t xml:space="preserve">LUCK|fin_cost|2023</x:t>
  </x:si>
  <x:si>
    <x:t xml:space="preserve">LUCK|fin_cost|2024</x:t>
  </x:si>
  <x:si>
    <x:t xml:space="preserve">LUCK|fin_cost|2025</x:t>
  </x:si>
  <x:si>
    <x:t xml:space="preserve">LUCK|levy|2021</x:t>
  </x:si>
  <x:si>
    <x:t xml:space="preserve">LUCK|levy|2022</x:t>
  </x:si>
  <x:si>
    <x:t xml:space="preserve">LUCK|levy|2023</x:t>
  </x:si>
  <x:si>
    <x:t xml:space="preserve">Levy                    2.2.1 &amp;</x:t>
  </x:si>
  <x:si>
    <x:t xml:space="preserve">LUCK|levy|2024</x:t>
  </x:si>
  <x:si>
    <x:t xml:space="preserve">Levy</x:t>
  </x:si>
  <x:si>
    <x:t xml:space="preserve">LUCK|levy|2025</x:t>
  </x:si>
  <x:si>
    <x:t xml:space="preserve">LUCK|tax|2021</x:t>
  </x:si>
  <x:si>
    <x:t xml:space="preserve">LUCK|tax|2022</x:t>
  </x:si>
  <x:si>
    <x:t xml:space="preserve">LUCK|tax|2023</x:t>
  </x:si>
  <x:si>
    <x:t xml:space="preserve">LUCK|tax|2024</x:t>
  </x:si>
  <x:si>
    <x:t xml:space="preserve">LUCK|tax|2025</x:t>
  </x:si>
  <x:si>
    <x:t xml:space="preserve">LUCK|pr_gp|2021</x:t>
  </x:si>
  <x:si>
    <x:t xml:space="preserve">LUCK|pr_gp|2022</x:t>
  </x:si>
  <x:si>
    <x:t xml:space="preserve">LUCK|pr_gp|2023</x:t>
  </x:si>
  <x:si>
    <x:t xml:space="preserve">LUCK|pr_gp|2024</x:t>
  </x:si>
  <x:si>
    <x:t xml:space="preserve">LUCK|pr_gp|2025</x:t>
  </x:si>
  <x:si>
    <x:t xml:space="preserve">LUCK|pr_pbt|2021</x:t>
  </x:si>
  <x:si>
    <x:t xml:space="preserve">LUCK|pr_pbt|2022</x:t>
  </x:si>
  <x:si>
    <x:t xml:space="preserve">LUCK|pr_pbt|2023</x:t>
  </x:si>
  <x:si>
    <x:t xml:space="preserve">Profit before Taxation and Levy</x:t>
  </x:si>
  <x:si>
    <x:t xml:space="preserve">LUCK|pr_pbt|2024</x:t>
  </x:si>
  <x:si>
    <x:t xml:space="preserve">Profit before taxation and levy</x:t>
  </x:si>
  <x:si>
    <x:t xml:space="preserve">LUCK|pr_pbt|2025</x:t>
  </x:si>
  <x:si>
    <x:t xml:space="preserve">LUCK|pr_pat|2021</x:t>
  </x:si>
  <x:si>
    <x:t xml:space="preserve">LUCK|pr_pat|2022</x:t>
  </x:si>
  <x:si>
    <x:t xml:space="preserve">LUCK|pr_pat|2023</x:t>
  </x:si>
  <x:si>
    <x:t xml:space="preserve">Profit after Taxation</x:t>
  </x:si>
  <x:si>
    <x:t xml:space="preserve">LUCK|pr_pat|2024</x:t>
  </x:si>
  <x:si>
    <x:t xml:space="preserve">LUCK|pr_pat|2025</x:t>
  </x:si>
  <x:si>
    <x:t xml:space="preserve">LUCK|fc_nonint|2021</x:t>
  </x:si>
  <x:si>
    <x:t xml:space="preserve">'Others' in finance cost note</x:t>
  </x:si>
  <x:si>
    <x:t xml:space="preserve">254</x:t>
  </x:si>
  <x:si>
    <x:t xml:space="preserve">LUCK|fc_nonint|2022</x:t>
  </x:si>
  <x:si>
    <x:t xml:space="preserve">262</x:t>
  </x:si>
  <x:si>
    <x:t xml:space="preserve">LUCK|fc_nonint|2023</x:t>
  </x:si>
  <x:si>
    <x:t xml:space="preserve">267</x:t>
  </x:si>
  <x:si>
    <x:t xml:space="preserve">LUCK|fc_nonint|2024</x:t>
  </x:si>
  <x:si>
    <x:t xml:space="preserve">270</x:t>
  </x:si>
  <x:si>
    <x:t xml:space="preserve">LUCK|fc_nonint|2025</x:t>
  </x:si>
  <x:si>
    <x:t xml:space="preserve">LUCK|da|2021</x:t>
  </x:si>
  <x:si>
    <x:t xml:space="preserve">Depreciation</x:t>
  </x:si>
  <x:si>
    <x:t xml:space="preserve">256</x:t>
  </x:si>
  <x:si>
    <x:t xml:space="preserve">LUCK|da|2022</x:t>
  </x:si>
  <x:si>
    <x:t xml:space="preserve">Depreciation; Amortisation of intangible assets</x:t>
  </x:si>
  <x:si>
    <x:t xml:space="preserve">264</x:t>
  </x:si>
  <x:si>
    <x:t xml:space="preserve">LUCK|da|2023</x:t>
  </x:si>
  <x:si>
    <x:t xml:space="preserve">LUCK|da|2024</x:t>
  </x:si>
  <x:si>
    <x:t xml:space="preserve">LUCK|da|2025</x:t>
  </x:si>
  <x:si>
    <x:t xml:space="preserve">LUCK|cgo|2021</x:t>
  </x:si>
  <x:si>
    <x:t xml:space="preserve">227</x:t>
  </x:si>
  <x:si>
    <x:t xml:space="preserve">LUCK|cgo|2022</x:t>
  </x:si>
  <x:si>
    <x:t xml:space="preserve">LUCK|cgo|2023</x:t>
  </x:si>
  <x:si>
    <x:t xml:space="preserve">239</x:t>
  </x:si>
  <x:si>
    <x:t xml:space="preserve">LUCK|cgo|2024</x:t>
  </x:si>
  <x:si>
    <x:t xml:space="preserve">LUCK|cgo|2025</x:t>
  </x:si>
  <x:si>
    <x:t xml:space="preserve">LUCK|cfo|2021</x:t>
  </x:si>
  <x:si>
    <x:t xml:space="preserve">LUCK|cfo|2022</x:t>
  </x:si>
  <x:si>
    <x:t xml:space="preserve">LUCK|cfo|2023</x:t>
  </x:si>
  <x:si>
    <x:t xml:space="preserve">LUCK|cfo|2024</x:t>
  </x:si>
  <x:si>
    <x:t xml:space="preserve">LUCK|cfo|2025</x:t>
  </x:si>
  <x:si>
    <x:t xml:space="preserve">LUCK|fin_paid|2021</x:t>
  </x:si>
  <x:si>
    <x:t xml:space="preserve">Finance costs paid</x:t>
  </x:si>
  <x:si>
    <x:t xml:space="preserve">LUCK|fin_paid|2022</x:t>
  </x:si>
  <x:si>
    <x:t xml:space="preserve">LUCK|fin_paid|2023</x:t>
  </x:si>
  <x:si>
    <x:t xml:space="preserve">LUCK|fin_paid|2024</x:t>
  </x:si>
  <x:si>
    <x:t xml:space="preserve">LUCK|fin_paid|2025</x:t>
  </x:si>
  <x:si>
    <x:t xml:space="preserve">LUCK|fin_paid_cls|2021</x:t>
  </x:si>
  <x:si>
    <x:t xml:space="preserve">LUCK|fin_paid_cls|2022</x:t>
  </x:si>
  <x:si>
    <x:t xml:space="preserve">LUCK|fin_paid_cls|2023</x:t>
  </x:si>
  <x:si>
    <x:t xml:space="preserve">LUCK|fin_paid_cls|2024</x:t>
  </x:si>
  <x:si>
    <x:t xml:space="preserve">LUCK|fin_paid_cls|2025</x:t>
  </x:si>
  <x:si>
    <x:t xml:space="preserve">LUCK|capex|2021</x:t>
  </x:si>
  <x:si>
    <x:t xml:space="preserve">Fixed capital expenditure</x:t>
  </x:si>
  <x:si>
    <x:t xml:space="preserve">LUCK|capex|2022</x:t>
  </x:si>
  <x:si>
    <x:t xml:space="preserve">Fixed capital expenditure including capi</x:t>
  </x:si>
  <x:si>
    <x:t xml:space="preserve">LUCK|capex|2023</x:t>
  </x:si>
  <x:si>
    <x:t xml:space="preserve">Purchase of property, plant and equipmen</x:t>
  </x:si>
  <x:si>
    <x:t xml:space="preserve">LUCK|capex|2024</x:t>
  </x:si>
  <x:si>
    <x:t xml:space="preserve">Addition to property, plant and equipmen</x:t>
  </x:si>
  <x:si>
    <x:t xml:space="preserve">LUCK|capex|2025</x:t>
  </x:si>
  <x:si>
    <x:t xml:space="preserve">LUCK|cfi|2021</x:t>
  </x:si>
  <x:si>
    <x:t xml:space="preserve">LUCK|cfi|2022</x:t>
  </x:si>
  <x:si>
    <x:t xml:space="preserve">LUCK|cfi|2023</x:t>
  </x:si>
  <x:si>
    <x:t xml:space="preserve">LUCK|cfi|2024</x:t>
  </x:si>
  <x:si>
    <x:t xml:space="preserve">Net cash generated from / (used in) inve</x:t>
  </x:si>
  <x:si>
    <x:t xml:space="preserve">LUCK|cfi|2025</x:t>
  </x:si>
  <x:si>
    <x:t xml:space="preserve">LUCK|cff|2021</x:t>
  </x:si>
  <x:si>
    <x:t xml:space="preserve">Net cash generated from financing activi</x:t>
  </x:si>
  <x:si>
    <x:t xml:space="preserve">LUCK|cff|2022</x:t>
  </x:si>
  <x:si>
    <x:t xml:space="preserve">LUCK|cff|2023</x:t>
  </x:si>
  <x:si>
    <x:t xml:space="preserve">Net cash (used in) / generated from fina</x:t>
  </x:si>
  <x:si>
    <x:t xml:space="preserve">LUCK|cff|2024</x:t>
  </x:si>
  <x:si>
    <x:t xml:space="preserve">LUCK|cff|2025</x:t>
  </x:si>
  <x:si>
    <x:t xml:space="preserve">LUCK|div_paid|2021</x:t>
  </x:si>
  <x:si>
    <x:t xml:space="preserve">LUCK|div_paid|2022</x:t>
  </x:si>
  <x:si>
    <x:t xml:space="preserve">LUCK|div_paid|2023</x:t>
  </x:si>
  <x:si>
    <x:t xml:space="preserve">LUCK|div_paid|2024</x:t>
  </x:si>
  <x:si>
    <x:t xml:space="preserve">LUCK|div_paid|2025</x:t>
  </x:si>
  <x:si>
    <x:t xml:space="preserve">LUCK|par|2021</x:t>
  </x:si>
  <x:si>
    <x:t xml:space="preserve">LUCK|par|2022</x:t>
  </x:si>
  <x:si>
    <x:t xml:space="preserve">LUCK|par|2023</x:t>
  </x:si>
  <x:si>
    <x:t xml:space="preserve">LUCK|par|2024</x:t>
  </x:si>
  <x:si>
    <x:t xml:space="preserve">269</x:t>
  </x:si>
  <x:si>
    <x:t xml:space="preserve">LUCK|par|2025</x:t>
  </x:si>
  <x:si>
    <x:t xml:space="preserve">272</x:t>
  </x:si>
  <x:si>
    <x:t xml:space="preserve">LUCK|wavg|2021</x:t>
  </x:si>
  <x:si>
    <x:t xml:space="preserve">LUCK|wavg|2022</x:t>
  </x:si>
  <x:si>
    <x:t xml:space="preserve">LUCK|wavg|2023</x:t>
  </x:si>
  <x:si>
    <x:t xml:space="preserve">LUCK|wavg|2024</x:t>
  </x:si>
  <x:si>
    <x:t xml:space="preserve">LUCK|wavg|2025</x:t>
  </x:si>
  <x:si>
    <x:t xml:space="preserve">LUCK|price|2021</x:t>
  </x:si>
  <x:si>
    <x:t xml:space="preserve">LUCK|price|2022</x:t>
  </x:si>
  <x:si>
    <x:t xml:space="preserve">LUCK|price|2023</x:t>
  </x:si>
  <x:si>
    <x:t xml:space="preserve">LUCK|price|2024</x:t>
  </x:si>
  <x:si>
    <x:t xml:space="preserve">LUCK|price|2025</x:t>
  </x:si>
  <x:si>
    <x:t xml:space="preserve">LUCK|dps|2021</x:t>
  </x:si>
  <x:si>
    <x:t xml:space="preserve">164</x:t>
  </x:si>
  <x:si>
    <x:t xml:space="preserve">LUCK|dps|2022</x:t>
  </x:si>
  <x:si>
    <x:t xml:space="preserve">LUCK|dps|2023</x:t>
  </x:si>
  <x:si>
    <x:t xml:space="preserve">LUCK|dps|2024</x:t>
  </x:si>
  <x:si>
    <x:t xml:space="preserve">LUCK|dps|2025</x:t>
  </x:si>
  <x:si>
    <x:t xml:space="preserve">LUCK|eps_rep|2021</x:t>
  </x:si>
  <x:si>
    <x:t xml:space="preserve">LUCK|eps_rep|2022</x:t>
  </x:si>
  <x:si>
    <x:t xml:space="preserve">LUCK|eps_rep|2023</x:t>
  </x:si>
  <x:si>
    <x:t xml:space="preserve">LUCK|eps_rep|2024</x:t>
  </x:si>
  <x:si>
    <x:t xml:space="preserve">LUCK|eps_rep|2025</x:t>
  </x:si>
  <x:si>
    <x:t xml:space="preserve">LUCK|adj|2021</x:t>
  </x:si>
  <x:si>
    <x:t xml:space="preserve">LUCK|adj|2022</x:t>
  </x:si>
  <x:si>
    <x:t xml:space="preserve">LUCK|adj|2023</x:t>
  </x:si>
  <x:si>
    <x:t xml:space="preserve">LUCK|adj|2024</x:t>
  </x:si>
  <x:si>
    <x:t xml:space="preserve">LUCK|adj|2025</x:t>
  </x:si>
  <x:si>
    <x:t xml:space="preserve">DGKC|ppe|2020</x:t>
  </x:si>
  <x:si>
    <x:t xml:space="preserve">DG_Annual_Report_2021.pdf</x:t>
  </x:si>
  <x:si>
    <x:t xml:space="preserve">105</x:t>
  </x:si>
  <x:si>
    <x:t xml:space="preserve">DGKC|ppe|2021</x:t>
  </x:si>
  <x:si>
    <x:t xml:space="preserve">DG_Annual_Report_2022.pdf</x:t>
  </x:si>
  <x:si>
    <x:t xml:space="preserve">125</x:t>
  </x:si>
  <x:si>
    <x:t xml:space="preserve">DGKC|ppe|2022</x:t>
  </x:si>
  <x:si>
    <x:t xml:space="preserve">DGAnnual2023.pdf</x:t>
  </x:si>
  <x:si>
    <x:t xml:space="preserve">151</x:t>
  </x:si>
  <x:si>
    <x:t xml:space="preserve">DGKC|ppe|2023</x:t>
  </x:si>
  <x:si>
    <x:t xml:space="preserve">DGAnnual2024.pdf</x:t>
  </x:si>
  <x:si>
    <x:t xml:space="preserve">DGKC|ppe|2024</x:t>
  </x:si>
  <x:si>
    <x:t xml:space="preserve">DGAnnual2025.pdf</x:t>
  </x:si>
  <x:si>
    <x:t xml:space="preserve">153</x:t>
  </x:si>
  <x:si>
    <x:t xml:space="preserve">DGKC|ppe|2025</x:t>
  </x:si>
  <x:si>
    <x:t xml:space="preserve">DGKC|cwip|2020</x:t>
  </x:si>
  <x:si>
    <x:t xml:space="preserve">138</x:t>
  </x:si>
  <x:si>
    <x:t xml:space="preserve">DGKC|cwip|2021</x:t>
  </x:si>
  <x:si>
    <x:t xml:space="preserve">159</x:t>
  </x:si>
  <x:si>
    <x:t xml:space="preserve">DGKC|cwip|2022</x:t>
  </x:si>
  <x:si>
    <x:t xml:space="preserve">184</x:t>
  </x:si>
  <x:si>
    <x:t xml:space="preserve">DGKC|cwip|2023</x:t>
  </x:si>
  <x:si>
    <x:t xml:space="preserve">186</x:t>
  </x:si>
  <x:si>
    <x:t xml:space="preserve">DGKC|cwip|2024</x:t>
  </x:si>
  <x:si>
    <x:t xml:space="preserve">188</x:t>
  </x:si>
  <x:si>
    <x:t xml:space="preserve">DGKC|cwip|2025</x:t>
  </x:si>
  <x:si>
    <x:t xml:space="preserve">DGKC|rou|2020</x:t>
  </x:si>
  <x:si>
    <x:t xml:space="preserve">104</x:t>
  </x:si>
  <x:si>
    <x:t xml:space="preserve">DGKC|rou|2021</x:t>
  </x:si>
  <x:si>
    <x:t xml:space="preserve">124</x:t>
  </x:si>
  <x:si>
    <x:t xml:space="preserve">DGKC|rou|2022</x:t>
  </x:si>
  <x:si>
    <x:t xml:space="preserve">150</x:t>
  </x:si>
  <x:si>
    <x:t xml:space="preserve">DGKC|rou|2023</x:t>
  </x:si>
  <x:si>
    <x:t xml:space="preserve">DGKC|rou|2024</x:t>
  </x:si>
  <x:si>
    <x:t xml:space="preserve">152</x:t>
  </x:si>
  <x:si>
    <x:t xml:space="preserve">DGKC|rou|2025</x:t>
  </x:si>
  <x:si>
    <x:t xml:space="preserve">DGKC|intang|2020</x:t>
  </x:si>
  <x:si>
    <x:t xml:space="preserve">DGKC|intang|2021</x:t>
  </x:si>
  <x:si>
    <x:t xml:space="preserve">Intangible asset</x:t>
  </x:si>
  <x:si>
    <x:t xml:space="preserve">DGKC|intang|2022</x:t>
  </x:si>
  <x:si>
    <x:t xml:space="preserve">DGKC|intang|2023</x:t>
  </x:si>
  <x:si>
    <x:t xml:space="preserve">DGKC|intang|2024</x:t>
  </x:si>
  <x:si>
    <x:t xml:space="preserve">DGKC|intang|2025</x:t>
  </x:si>
  <x:si>
    <x:t xml:space="preserve">DGKC|inv_prop|2020</x:t>
  </x:si>
  <x:si>
    <x:t xml:space="preserve">DGKC|inv_prop|2021</x:t>
  </x:si>
  <x:si>
    <x:t xml:space="preserve">DGKC|inv_prop|2022</x:t>
  </x:si>
  <x:si>
    <x:t xml:space="preserve">DGKC|inv_prop|2023</x:t>
  </x:si>
  <x:si>
    <x:t xml:space="preserve">DGKC|inv_prop|2024</x:t>
  </x:si>
  <x:si>
    <x:t xml:space="preserve">DGKC|inv_prop|2025</x:t>
  </x:si>
  <x:si>
    <x:t xml:space="preserve">DGKC|lt_inv|2020</x:t>
  </x:si>
  <x:si>
    <x:t xml:space="preserve">Investments</x:t>
  </x:si>
  <x:si>
    <x:t xml:space="preserve">DGKC|lt_inv|2021</x:t>
  </x:si>
  <x:si>
    <x:t xml:space="preserve">DGKC|lt_inv|2022</x:t>
  </x:si>
  <x:si>
    <x:t xml:space="preserve">DGKC|lt_inv|2023</x:t>
  </x:si>
  <x:si>
    <x:t xml:space="preserve">DGKC|lt_inv|2024</x:t>
  </x:si>
  <x:si>
    <x:t xml:space="preserve">Long term investments</x:t>
  </x:si>
  <x:si>
    <x:t xml:space="preserve">DGKC|lt_inv|2025</x:t>
  </x:si>
  <x:si>
    <x:t xml:space="preserve">DGKC|nca_other|2020</x:t>
  </x:si>
  <x:si>
    <x:t xml:space="preserve">Long term deposits; Long term loans to employees</x:t>
  </x:si>
  <x:si>
    <x:t xml:space="preserve">DGKC|nca_other|2021</x:t>
  </x:si>
  <x:si>
    <x:t xml:space="preserve">DGKC|nca_other|2022</x:t>
  </x:si>
  <x:si>
    <x:t xml:space="preserve">DGKC|nca_other|2023</x:t>
  </x:si>
  <x:si>
    <x:t xml:space="preserve">DGKC|nca_other|2024</x:t>
  </x:si>
  <x:si>
    <x:t xml:space="preserve">DGKC|nca_other|2025</x:t>
  </x:si>
  <x:si>
    <x:t xml:space="preserve">DGKC|stores|2020</x:t>
  </x:si>
  <x:si>
    <x:t xml:space="preserve">Stores, spare parts and loose tools</x:t>
  </x:si>
  <x:si>
    <x:t xml:space="preserve">DGKC|stores|2021</x:t>
  </x:si>
  <x:si>
    <x:t xml:space="preserve">DGKC|stores|2022</x:t>
  </x:si>
  <x:si>
    <x:t xml:space="preserve">DGKC|stores|2023</x:t>
  </x:si>
  <x:si>
    <x:t xml:space="preserve">DGKC|stores|2024</x:t>
  </x:si>
  <x:si>
    <x:t xml:space="preserve">DGKC|stores|2025</x:t>
  </x:si>
  <x:si>
    <x:t xml:space="preserve">DGKC|sit|2020</x:t>
  </x:si>
  <x:si>
    <x:t xml:space="preserve">DGKC|sit|2021</x:t>
  </x:si>
  <x:si>
    <x:t xml:space="preserve">DGKC|sit|2022</x:t>
  </x:si>
  <x:si>
    <x:t xml:space="preserve">DGKC|sit|2023</x:t>
  </x:si>
  <x:si>
    <x:t xml:space="preserve">DGKC|sit|2024</x:t>
  </x:si>
  <x:si>
    <x:t xml:space="preserve">DGKC|sit|2025</x:t>
  </x:si>
  <x:si>
    <x:t xml:space="preserve">DGKC|debts|2020</x:t>
  </x:si>
  <x:si>
    <x:t xml:space="preserve">DGKC|debts|2021</x:t>
  </x:si>
  <x:si>
    <x:t xml:space="preserve">DGKC|debts|2022</x:t>
  </x:si>
  <x:si>
    <x:t xml:space="preserve">DGKC|debts|2023</x:t>
  </x:si>
  <x:si>
    <x:t xml:space="preserve">DGKC|debts|2024</x:t>
  </x:si>
  <x:si>
    <x:t xml:space="preserve">DGKC|debts|2025</x:t>
  </x:si>
  <x:si>
    <x:t xml:space="preserve">DGKC|st_inv|2020</x:t>
  </x:si>
  <x:si>
    <x:t xml:space="preserve">DGKC|st_inv|2021</x:t>
  </x:si>
  <x:si>
    <x:t xml:space="preserve">DGKC|st_inv|2022</x:t>
  </x:si>
  <x:si>
    <x:t xml:space="preserve">DGKC|st_inv|2023</x:t>
  </x:si>
  <x:si>
    <x:t xml:space="preserve">DGKC|st_inv|2024</x:t>
  </x:si>
  <x:si>
    <x:t xml:space="preserve">DGKC|st_inv|2025</x:t>
  </x:si>
  <x:si>
    <x:t xml:space="preserve">DGKC|cash|2020</x:t>
  </x:si>
  <x:si>
    <x:t xml:space="preserve">DGKC|cash|2021</x:t>
  </x:si>
  <x:si>
    <x:t xml:space="preserve">27</x:t>
  </x:si>
  <x:si>
    <x:t xml:space="preserve">DGKC|cash|2022</x:t>
  </x:si>
  <x:si>
    <x:t xml:space="preserve">DGKC|cash|2023</x:t>
  </x:si>
  <x:si>
    <x:t xml:space="preserve">DGKC|cash|2024</x:t>
  </x:si>
  <x:si>
    <x:t xml:space="preserve">DGKC|cash|2025</x:t>
  </x:si>
  <x:si>
    <x:t xml:space="preserve">DGKC|ca_other|2020</x:t>
  </x:si>
  <x:si>
    <x:t xml:space="preserve">Income tax receivable; Loan to related party; Loans, advances, deposits, prepayments a</x:t>
  </x:si>
  <x:si>
    <x:t xml:space="preserve">DGKC|ca_other|2021</x:t>
  </x:si>
  <x:si>
    <x:t xml:space="preserve">DGKC|ca_other|2022</x:t>
  </x:si>
  <x:si>
    <x:t xml:space="preserve">Income tax receivable; Loans, advances, deposits, prepayments a</x:t>
  </x:si>
  <x:si>
    <x:t xml:space="preserve">DGKC|ca_other|2023</x:t>
  </x:si>
  <x:si>
    <x:t xml:space="preserve">DGKC|ca_other|2024</x:t>
  </x:si>
  <x:si>
    <x:t xml:space="preserve">DGKC|ca_other|2025</x:t>
  </x:si>
  <x:si>
    <x:t xml:space="preserve">DGKC|share_cap|2020</x:t>
  </x:si>
  <x:si>
    <x:t xml:space="preserve">ordinary shares of Rs 10 each</x:t>
  </x:si>
  <x:si>
    <x:t xml:space="preserve">DGKC|share_cap|2021</x:t>
  </x:si>
  <x:si>
    <x:t xml:space="preserve">DGKC|share_cap|2022</x:t>
  </x:si>
  <x:si>
    <x:t xml:space="preserve">DGKC|share_cap|2023</x:t>
  </x:si>
  <x:si>
    <x:t xml:space="preserve">DGKC|share_cap|2024</x:t>
  </x:si>
  <x:si>
    <x:t xml:space="preserve">DGKC|share_cap|2025</x:t>
  </x:si>
  <x:si>
    <x:t xml:space="preserve">DGKC|eq_other|2020</x:t>
  </x:si>
  <x:si>
    <x:t xml:space="preserve">Other reserves; Revenue reserve: Un-appropriated profits</x:t>
  </x:si>
  <x:si>
    <x:t xml:space="preserve">DGKC|eq_other|2021</x:t>
  </x:si>
  <x:si>
    <x:t xml:space="preserve">DGKC|eq_other|2022</x:t>
  </x:si>
  <x:si>
    <x:t xml:space="preserve">DGKC|eq_other|2023</x:t>
  </x:si>
  <x:si>
    <x:t xml:space="preserve">DGKC|eq_other|2024</x:t>
  </x:si>
  <x:si>
    <x:t xml:space="preserve">DGKC|eq_other|2025</x:t>
  </x:si>
  <x:si>
    <x:t xml:space="preserve">DGKC|ltf_nc|2020</x:t>
  </x:si>
  <x:si>
    <x:t xml:space="preserve">Long term finances - secured</x:t>
  </x:si>
  <x:si>
    <x:t xml:space="preserve">DGKC|ltf_nc|2021</x:t>
  </x:si>
  <x:si>
    <x:t xml:space="preserve">Long term finances from financial instit</x:t>
  </x:si>
  <x:si>
    <x:t xml:space="preserve">DGKC|ltf_nc|2022</x:t>
  </x:si>
  <x:si>
    <x:t xml:space="preserve">DGKC|ltf_nc|2023</x:t>
  </x:si>
  <x:si>
    <x:t xml:space="preserve">DGKC|ltf_nc|2024</x:t>
  </x:si>
  <x:si>
    <x:t xml:space="preserve">DGKC|ltf_nc|2025</x:t>
  </x:si>
  <x:si>
    <x:t xml:space="preserve">DGKC|lease_nc|2020</x:t>
  </x:si>
  <x:si>
    <x:t xml:space="preserve">DGKC|lease_nc|2021</x:t>
  </x:si>
  <x:si>
    <x:t xml:space="preserve">DGKC|lease_nc|2022</x:t>
  </x:si>
  <x:si>
    <x:t xml:space="preserve">DGKC|lease_nc|2023</x:t>
  </x:si>
  <x:si>
    <x:t xml:space="preserve">DGKC|lease_nc|2024</x:t>
  </x:si>
  <x:si>
    <x:t xml:space="preserve">DGKC|lease_nc|2025</x:t>
  </x:si>
  <x:si>
    <x:t xml:space="preserve">DGKC|grant_nc|2020</x:t>
  </x:si>
  <x:si>
    <x:t xml:space="preserve">Deferred government grant</x:t>
  </x:si>
  <x:si>
    <x:t xml:space="preserve">DGKC|grant_nc|2021</x:t>
  </x:si>
  <x:si>
    <x:t xml:space="preserve">DGKC|grant_nc|2022</x:t>
  </x:si>
  <x:si>
    <x:t xml:space="preserve">DGKC|grant_nc|2023</x:t>
  </x:si>
  <x:si>
    <x:t xml:space="preserve">DGKC|grant_nc|2024</x:t>
  </x:si>
  <x:si>
    <x:t xml:space="preserve">DGKC|grant_nc|2025</x:t>
  </x:si>
  <x:si>
    <x:t xml:space="preserve">DGKC|def_tax|2020</x:t>
  </x:si>
  <x:si>
    <x:t xml:space="preserve">Deferred taxation</x:t>
  </x:si>
  <x:si>
    <x:t xml:space="preserve">DGKC|def_tax|2021</x:t>
  </x:si>
  <x:si>
    <x:t xml:space="preserve">DGKC|def_tax|2022</x:t>
  </x:si>
  <x:si>
    <x:t xml:space="preserve">DGKC|def_tax|2023</x:t>
  </x:si>
  <x:si>
    <x:t xml:space="preserve">DGKC|def_tax|2024</x:t>
  </x:si>
  <x:si>
    <x:t xml:space="preserve">DGKC|def_tax|2025</x:t>
  </x:si>
  <x:si>
    <x:t xml:space="preserve">DGKC|ncl_other|2020</x:t>
  </x:si>
  <x:si>
    <x:t xml:space="preserve">Deferred liabilities; Long term deposits</x:t>
  </x:si>
  <x:si>
    <x:t xml:space="preserve">DGKC|ncl_other|2021</x:t>
  </x:si>
  <x:si>
    <x:t xml:space="preserve">Employee benefits obligations; Long term deposits</x:t>
  </x:si>
  <x:si>
    <x:t xml:space="preserve">DGKC|ncl_other|2022</x:t>
  </x:si>
  <x:si>
    <x:t xml:space="preserve">DGKC|ncl_other|2023</x:t>
  </x:si>
  <x:si>
    <x:t xml:space="preserve">DGKC|ncl_other|2024</x:t>
  </x:si>
  <x:si>
    <x:t xml:space="preserve">DGKC|ncl_other|2025</x:t>
  </x:si>
  <x:si>
    <x:t xml:space="preserve">DGKC|tap|2020</x:t>
  </x:si>
  <x:si>
    <x:t xml:space="preserve">DGKC|tap|2021</x:t>
  </x:si>
  <x:si>
    <x:t xml:space="preserve">DGKC|tap|2022</x:t>
  </x:si>
  <x:si>
    <x:t xml:space="preserve">DGKC|tap|2023</x:t>
  </x:si>
  <x:si>
    <x:t xml:space="preserve">DGKC|tap|2024</x:t>
  </x:si>
  <x:si>
    <x:t xml:space="preserve">DGKC|tap|2025</x:t>
  </x:si>
  <x:si>
    <x:t xml:space="preserve">DGKC|trade_cred|2020</x:t>
  </x:si>
  <x:si>
    <x:t xml:space="preserve">Trade creditors</x:t>
  </x:si>
  <x:si>
    <x:t xml:space="preserve">134</x:t>
  </x:si>
  <x:si>
    <x:t xml:space="preserve">DGKC|trade_cred|2021</x:t>
  </x:si>
  <x:si>
    <x:t xml:space="preserve">154</x:t>
  </x:si>
  <x:si>
    <x:t xml:space="preserve">DGKC|trade_cred|2022</x:t>
  </x:si>
  <x:si>
    <x:t xml:space="preserve">179</x:t>
  </x:si>
  <x:si>
    <x:t xml:space="preserve">DGKC|trade_cred|2023</x:t>
  </x:si>
  <x:si>
    <x:t xml:space="preserve">181</x:t>
  </x:si>
  <x:si>
    <x:t xml:space="preserve">DGKC|trade_cred|2024</x:t>
  </x:si>
  <x:si>
    <x:t xml:space="preserve">182</x:t>
  </x:si>
  <x:si>
    <x:t xml:space="preserve">DGKC|trade_cred|2025</x:t>
  </x:si>
  <x:si>
    <x:t xml:space="preserve">DGKC|contract|2020</x:t>
  </x:si>
  <x:si>
    <x:t xml:space="preserve">DGKC|contract|2021</x:t>
  </x:si>
  <x:si>
    <x:t xml:space="preserve">DGKC|contract|2022</x:t>
  </x:si>
  <x:si>
    <x:t xml:space="preserve">DGKC|contract|2023</x:t>
  </x:si>
  <x:si>
    <x:t xml:space="preserve">DGKC|contract|2024</x:t>
  </x:si>
  <x:si>
    <x:t xml:space="preserve">DGKC|contract|2025</x:t>
  </x:si>
  <x:si>
    <x:t xml:space="preserve">DGKC|acc_markup|2020</x:t>
  </x:si>
  <x:si>
    <x:t xml:space="preserve">DGKC|acc_markup|2021</x:t>
  </x:si>
  <x:si>
    <x:t xml:space="preserve">DGKC|acc_markup|2022</x:t>
  </x:si>
  <x:si>
    <x:t xml:space="preserve">DGKC|acc_markup|2023</x:t>
  </x:si>
  <x:si>
    <x:t xml:space="preserve">DGKC|acc_markup|2024</x:t>
  </x:si>
  <x:si>
    <x:t xml:space="preserve">DGKC|acc_markup|2025</x:t>
  </x:si>
  <x:si>
    <x:t xml:space="preserve">DGKC|stb|2020</x:t>
  </x:si>
  <x:si>
    <x:t xml:space="preserve">DGKC|stb|2021</x:t>
  </x:si>
  <x:si>
    <x:t xml:space="preserve">Short term borrowings from financial ins</x:t>
  </x:si>
  <x:si>
    <x:t xml:space="preserve">DGKC|stb|2022</x:t>
  </x:si>
  <x:si>
    <x:t xml:space="preserve">DGKC|stb|2023</x:t>
  </x:si>
  <x:si>
    <x:t xml:space="preserve">DGKC|stb|2024</x:t>
  </x:si>
  <x:si>
    <x:t xml:space="preserve">DGKC|stb|2025</x:t>
  </x:si>
  <x:si>
    <x:t xml:space="preserve">DGKC|cp_ltf|2020</x:t>
  </x:si>
  <x:si>
    <x:t xml:space="preserve">Current portion of non-current liabilities less compensated absences and deferred grant (note)</x:t>
  </x:si>
  <x:si>
    <x:t xml:space="preserve">136</x:t>
  </x:si>
  <x:si>
    <x:t xml:space="preserve">Compensated absences and deferred grant reclassified out of debt</x:t>
  </x:si>
  <x:si>
    <x:t xml:space="preserve">DGKC|cp_ltf|2021</x:t>
  </x:si>
  <x:si>
    <x:t xml:space="preserve">156</x:t>
  </x:si>
  <x:si>
    <x:t xml:space="preserve">DGKC|cp_ltf|2022</x:t>
  </x:si>
  <x:si>
    <x:t xml:space="preserve">DGKC|cp_ltf|2023</x:t>
  </x:si>
  <x:si>
    <x:t xml:space="preserve">183</x:t>
  </x:si>
  <x:si>
    <x:t xml:space="preserve">DGKC|cp_ltf|2024</x:t>
  </x:si>
  <x:si>
    <x:t xml:space="preserve">185</x:t>
  </x:si>
  <x:si>
    <x:t xml:space="preserve">DGKC|cp_ltf|2025</x:t>
  </x:si>
  <x:si>
    <x:t xml:space="preserve">DGKC|cp_lease|2020</x:t>
  </x:si>
  <x:si>
    <x:t xml:space="preserve">DGKC|cp_lease|2021</x:t>
  </x:si>
  <x:si>
    <x:t xml:space="preserve">DGKC|cp_lease|2022</x:t>
  </x:si>
  <x:si>
    <x:t xml:space="preserve">DGKC|cp_lease|2023</x:t>
  </x:si>
  <x:si>
    <x:t xml:space="preserve">DGKC|cp_lease|2024</x:t>
  </x:si>
  <x:si>
    <x:t xml:space="preserve">DGKC|cp_lease|2025</x:t>
  </x:si>
  <x:si>
    <x:t xml:space="preserve">DGKC|cp_grant|2020</x:t>
  </x:si>
  <x:si>
    <x:t xml:space="preserve">DGKC|cp_grant|2021</x:t>
  </x:si>
  <x:si>
    <x:t xml:space="preserve">DGKC|cp_grant|2022</x:t>
  </x:si>
  <x:si>
    <x:t xml:space="preserve">DGKC|cp_grant|2023</x:t>
  </x:si>
  <x:si>
    <x:t xml:space="preserve">DGKC|cp_grant|2024</x:t>
  </x:si>
  <x:si>
    <x:t xml:space="preserve">DGKC|cp_grant|2025</x:t>
  </x:si>
  <x:si>
    <x:t xml:space="preserve">DGKC|div_liab|2020</x:t>
  </x:si>
  <x:si>
    <x:t xml:space="preserve">DGKC|div_liab|2021</x:t>
  </x:si>
  <x:si>
    <x:t xml:space="preserve">DGKC|div_liab|2022</x:t>
  </x:si>
  <x:si>
    <x:t xml:space="preserve">DGKC|div_liab|2023</x:t>
  </x:si>
  <x:si>
    <x:t xml:space="preserve">DGKC|div_liab|2024</x:t>
  </x:si>
  <x:si>
    <x:t xml:space="preserve">DGKC|div_liab|2025</x:t>
  </x:si>
  <x:si>
    <x:t xml:space="preserve">DGKC|tax_liab|2020</x:t>
  </x:si>
  <x:si>
    <x:t xml:space="preserve">Provision for taxation</x:t>
  </x:si>
  <x:si>
    <x:t xml:space="preserve">DGKC|tax_liab|2021</x:t>
  </x:si>
  <x:si>
    <x:t xml:space="preserve">DGKC|tax_liab|2022</x:t>
  </x:si>
  <x:si>
    <x:t xml:space="preserve">DGKC|tax_liab|2023</x:t>
  </x:si>
  <x:si>
    <x:t xml:space="preserve">DGKC|tax_liab|2024</x:t>
  </x:si>
  <x:si>
    <x:t xml:space="preserve">Income tax payable; Provision for taxation</x:t>
  </x:si>
  <x:si>
    <x:t xml:space="preserve">DGKC|tax_liab|2025</x:t>
  </x:si>
  <x:si>
    <x:t xml:space="preserve">DGKC|cl_other|2020</x:t>
  </x:si>
  <x:si>
    <x:t xml:space="preserve">DGKC|cl_other|2021</x:t>
  </x:si>
  <x:si>
    <x:t xml:space="preserve">DGKC|cl_other|2022</x:t>
  </x:si>
  <x:si>
    <x:t xml:space="preserve">DGKC|cl_other|2023</x:t>
  </x:si>
  <x:si>
    <x:t xml:space="preserve">DGKC|cl_other|2024</x:t>
  </x:si>
  <x:si>
    <x:t xml:space="preserve">DGKC|cl_other|2025</x:t>
  </x:si>
  <x:si>
    <x:t xml:space="preserve">DGKC|pr_TA|2020</x:t>
  </x:si>
  <x:si>
    <x:t xml:space="preserve">DGKC|pr_TA|2021</x:t>
  </x:si>
  <x:si>
    <x:t xml:space="preserve">DGKC|pr_TA|2022</x:t>
  </x:si>
  <x:si>
    <x:t xml:space="preserve">DGKC|pr_TA|2023</x:t>
  </x:si>
  <x:si>
    <x:t xml:space="preserve">DGKC|pr_TA|2024</x:t>
  </x:si>
  <x:si>
    <x:t xml:space="preserve">DGKC|pr_TA|2025</x:t>
  </x:si>
  <x:si>
    <x:t xml:space="preserve">DGKC|pr_EQ|2020</x:t>
  </x:si>
  <x:si>
    <x:t xml:space="preserve">DGKC|pr_EQ|2021</x:t>
  </x:si>
  <x:si>
    <x:t xml:space="preserve">DGKC|pr_EQ|2022</x:t>
  </x:si>
  <x:si>
    <x:t xml:space="preserve">DGKC|pr_EQ|2023</x:t>
  </x:si>
  <x:si>
    <x:t xml:space="preserve">DGKC|pr_EQ|2024</x:t>
  </x:si>
  <x:si>
    <x:t xml:space="preserve">DGKC|pr_EQ|2025</x:t>
  </x:si>
  <x:si>
    <x:t xml:space="preserve">DGKC|pr_CA|2020</x:t>
  </x:si>
  <x:si>
    <x:t xml:space="preserve">DGKC|pr_CA|2021</x:t>
  </x:si>
  <x:si>
    <x:t xml:space="preserve">DGKC|pr_CA|2022</x:t>
  </x:si>
  <x:si>
    <x:t xml:space="preserve">DGKC|pr_CA|2023</x:t>
  </x:si>
  <x:si>
    <x:t xml:space="preserve">DGKC|pr_CA|2024</x:t>
  </x:si>
  <x:si>
    <x:t xml:space="preserve">DGKC|pr_CA|2025</x:t>
  </x:si>
  <x:si>
    <x:t xml:space="preserve">DGKC|pr_CL|2020</x:t>
  </x:si>
  <x:si>
    <x:t xml:space="preserve">DGKC|pr_CL|2021</x:t>
  </x:si>
  <x:si>
    <x:t xml:space="preserve">DGKC|pr_CL|2022</x:t>
  </x:si>
  <x:si>
    <x:t xml:space="preserve">DGKC|pr_CL|2023</x:t>
  </x:si>
  <x:si>
    <x:t xml:space="preserve">DGKC|pr_CL|2024</x:t>
  </x:si>
  <x:si>
    <x:t xml:space="preserve">DGKC|pr_CL|2025</x:t>
  </x:si>
  <x:si>
    <x:t xml:space="preserve">DGKC|rev|2021</x:t>
  </x:si>
  <x:si>
    <x:t xml:space="preserve">Revenue</x:t>
  </x:si>
  <x:si>
    <x:t xml:space="preserve">126</x:t>
  </x:si>
  <x:si>
    <x:t xml:space="preserve">DGKC|rev|2022</x:t>
  </x:si>
  <x:si>
    <x:t xml:space="preserve">DGKC|rev|2023</x:t>
  </x:si>
  <x:si>
    <x:t xml:space="preserve">DGKC|rev|2024</x:t>
  </x:si>
  <x:si>
    <x:t xml:space="preserve">Revenue from contracts with customers - </x:t>
  </x:si>
  <x:si>
    <x:t xml:space="preserve">DGKC|rev|2025</x:t>
  </x:si>
  <x:si>
    <x:t xml:space="preserve">DGKC|cogs|2021</x:t>
  </x:si>
  <x:si>
    <x:t xml:space="preserve">DGKC|cogs|2022</x:t>
  </x:si>
  <x:si>
    <x:t xml:space="preserve">DGKC|cogs|2023</x:t>
  </x:si>
  <x:si>
    <x:t xml:space="preserve">DGKC|cogs|2024</x:t>
  </x:si>
  <x:si>
    <x:t xml:space="preserve">DGKC|cogs|2025</x:t>
  </x:si>
  <x:si>
    <x:t xml:space="preserve">DGKC|selling|2021</x:t>
  </x:si>
  <x:si>
    <x:t xml:space="preserve">DGKC|selling|2022</x:t>
  </x:si>
  <x:si>
    <x:t xml:space="preserve">DGKC|selling|2023</x:t>
  </x:si>
  <x:si>
    <x:t xml:space="preserve">DGKC|selling|2024</x:t>
  </x:si>
  <x:si>
    <x:t xml:space="preserve">DGKC|selling|2025</x:t>
  </x:si>
  <x:si>
    <x:t xml:space="preserve">DGKC|admin|2021</x:t>
  </x:si>
  <x:si>
    <x:t xml:space="preserve">DGKC|admin|2022</x:t>
  </x:si>
  <x:si>
    <x:t xml:space="preserve">DGKC|admin|2023</x:t>
  </x:si>
  <x:si>
    <x:t xml:space="preserve">DGKC|admin|2024</x:t>
  </x:si>
  <x:si>
    <x:t xml:space="preserve">DGKC|admin|2025</x:t>
  </x:si>
  <x:si>
    <x:t xml:space="preserve">DGKC|impair|2021</x:t>
  </x:si>
  <x:si>
    <x:t xml:space="preserve">Net impairment (loss)/gain on financial </x:t>
  </x:si>
  <x:si>
    <x:t xml:space="preserve">DGKC|impair|2022</x:t>
  </x:si>
  <x:si>
    <x:t xml:space="preserve">Net impairment loss on financial assets</x:t>
  </x:si>
  <x:si>
    <x:t xml:space="preserve">DGKC|impair|2023</x:t>
  </x:si>
  <x:si>
    <x:t xml:space="preserve">DGKC|impair|2024</x:t>
  </x:si>
  <x:si>
    <x:t xml:space="preserve">DGKC|impair|2025</x:t>
  </x:si>
  <x:si>
    <x:t xml:space="preserve">DGKC|oth_exp|2021</x:t>
  </x:si>
  <x:si>
    <x:t xml:space="preserve">DGKC|oth_exp|2022</x:t>
  </x:si>
  <x:si>
    <x:t xml:space="preserve">DGKC|oth_exp|2023</x:t>
  </x:si>
  <x:si>
    <x:t xml:space="preserve">DGKC|oth_exp|2024</x:t>
  </x:si>
  <x:si>
    <x:t xml:space="preserve">DGKC|oth_exp|2025</x:t>
  </x:si>
  <x:si>
    <x:t xml:space="preserve">DGKC|oth_inc|2021</x:t>
  </x:si>
  <x:si>
    <x:t xml:space="preserve">DGKC|oth_inc|2022</x:t>
  </x:si>
  <x:si>
    <x:t xml:space="preserve">DGKC|oth_inc|2023</x:t>
  </x:si>
  <x:si>
    <x:t xml:space="preserve">DGKC|oth_inc|2024</x:t>
  </x:si>
  <x:si>
    <x:t xml:space="preserve">DGKC|oth_inc|2025</x:t>
  </x:si>
  <x:si>
    <x:t xml:space="preserve">DGKC|fin_inc|2021</x:t>
  </x:si>
  <x:si>
    <x:t xml:space="preserve">DGKC|fin_inc|2022</x:t>
  </x:si>
  <x:si>
    <x:t xml:space="preserve">DGKC|fin_inc|2023</x:t>
  </x:si>
  <x:si>
    <x:t xml:space="preserve">DGKC|fin_inc|2024</x:t>
  </x:si>
  <x:si>
    <x:t xml:space="preserve">DGKC|fin_inc|2025</x:t>
  </x:si>
  <x:si>
    <x:t xml:space="preserve">DGKC|assoc|2021</x:t>
  </x:si>
  <x:si>
    <x:t xml:space="preserve">DGKC|assoc|2022</x:t>
  </x:si>
  <x:si>
    <x:t xml:space="preserve">DGKC|assoc|2023</x:t>
  </x:si>
  <x:si>
    <x:t xml:space="preserve">DGKC|assoc|2024</x:t>
  </x:si>
  <x:si>
    <x:t xml:space="preserve">DGKC|assoc|2025</x:t>
  </x:si>
  <x:si>
    <x:t xml:space="preserve">DGKC|fin_cost|2021</x:t>
  </x:si>
  <x:si>
    <x:t xml:space="preserve">DGKC|fin_cost|2022</x:t>
  </x:si>
  <x:si>
    <x:t xml:space="preserve">DGKC|fin_cost|2023</x:t>
  </x:si>
  <x:si>
    <x:t xml:space="preserve">DGKC|fin_cost|2024</x:t>
  </x:si>
  <x:si>
    <x:t xml:space="preserve">DGKC|fin_cost|2025</x:t>
  </x:si>
  <x:si>
    <x:t xml:space="preserve">DGKC|levy|2021</x:t>
  </x:si>
  <x:si>
    <x:t xml:space="preserve">DGKC|levy|2022</x:t>
  </x:si>
  <x:si>
    <x:t xml:space="preserve">DGKC|levy|2023</x:t>
  </x:si>
  <x:si>
    <x:t xml:space="preserve">DGKC|levy|2024</x:t>
  </x:si>
  <x:si>
    <x:t xml:space="preserve">DGKC|levy|2025</x:t>
  </x:si>
  <x:si>
    <x:t xml:space="preserve">DGKC|tax|2021</x:t>
  </x:si>
  <x:si>
    <x:t xml:space="preserve">DGKC|tax|2022</x:t>
  </x:si>
  <x:si>
    <x:t xml:space="preserve">DGKC|tax|2023</x:t>
  </x:si>
  <x:si>
    <x:t xml:space="preserve">DGKC|tax|2024</x:t>
  </x:si>
  <x:si>
    <x:t xml:space="preserve">DGKC|tax|2025</x:t>
  </x:si>
  <x:si>
    <x:t xml:space="preserve">DGKC|pr_gp|2021</x:t>
  </x:si>
  <x:si>
    <x:t xml:space="preserve">DGKC|pr_gp|2022</x:t>
  </x:si>
  <x:si>
    <x:t xml:space="preserve">DGKC|pr_gp|2023</x:t>
  </x:si>
  <x:si>
    <x:t xml:space="preserve">DGKC|pr_gp|2024</x:t>
  </x:si>
  <x:si>
    <x:t xml:space="preserve">DGKC|pr_gp|2025</x:t>
  </x:si>
  <x:si>
    <x:t xml:space="preserve">DGKC|pr_pbt|2021</x:t>
  </x:si>
  <x:si>
    <x:t xml:space="preserve">DGKC|pr_pbt|2022</x:t>
  </x:si>
  <x:si>
    <x:t xml:space="preserve">DGKC|pr_pbt|2023</x:t>
  </x:si>
  <x:si>
    <x:t xml:space="preserve">Profit before tax and levy</x:t>
  </x:si>
  <x:si>
    <x:t xml:space="preserve">DGKC|pr_pbt|2024</x:t>
  </x:si>
  <x:si>
    <x:t xml:space="preserve">Profit before levy and income tax</x:t>
  </x:si>
  <x:si>
    <x:t xml:space="preserve">DGKC|pr_pbt|2025</x:t>
  </x:si>
  <x:si>
    <x:t xml:space="preserve">DGKC|pr_pat|2021</x:t>
  </x:si>
  <x:si>
    <x:t xml:space="preserve">Profit for the year</x:t>
  </x:si>
  <x:si>
    <x:t xml:space="preserve">DGKC|pr_pat|2022</x:t>
  </x:si>
  <x:si>
    <x:t xml:space="preserve">(Loss)/profit for the year</x:t>
  </x:si>
  <x:si>
    <x:t xml:space="preserve">DGKC|pr_pat|2023</x:t>
  </x:si>
  <x:si>
    <x:t xml:space="preserve">Profit / (loss) for the year</x:t>
  </x:si>
  <x:si>
    <x:t xml:space="preserve">DGKC|pr_pat|2024</x:t>
  </x:si>
  <x:si>
    <x:t xml:space="preserve">DGKC|pr_pat|2025</x:t>
  </x:si>
  <x:si>
    <x:t xml:space="preserve">DGKC|fc_nonint|2021</x:t>
  </x:si>
  <x:si>
    <x:t xml:space="preserve">Guarantee commission; Bank charges</x:t>
  </x:si>
  <x:si>
    <x:t xml:space="preserve">176</x:t>
  </x:si>
  <x:si>
    <x:t xml:space="preserve">DGKC|fc_nonint|2022</x:t>
  </x:si>
  <x:si>
    <x:t xml:space="preserve">Bank charges</x:t>
  </x:si>
  <x:si>
    <x:t xml:space="preserve">200</x:t>
  </x:si>
  <x:si>
    <x:t xml:space="preserve">DGKC|fc_nonint|2023</x:t>
  </x:si>
  <x:si>
    <x:t xml:space="preserve">203</x:t>
  </x:si>
  <x:si>
    <x:t xml:space="preserve">DGKC|fc_nonint|2024</x:t>
  </x:si>
  <x:si>
    <x:t xml:space="preserve">- Bank charges</x:t>
  </x:si>
  <x:si>
    <x:t xml:space="preserve">208</x:t>
  </x:si>
  <x:si>
    <x:t xml:space="preserve">DGKC|fc_nonint|2025</x:t>
  </x:si>
  <x:si>
    <x:t xml:space="preserve">DGKC|da|2021</x:t>
  </x:si>
  <x:si>
    <x:t xml:space="preserve">- Depreciation on operating fixed a; - Amortization of intangible assets</x:t>
  </x:si>
  <x:si>
    <x:t xml:space="preserve">178</x:t>
  </x:si>
  <x:si>
    <x:t xml:space="preserve">DGKC|da|2022</x:t>
  </x:si>
  <x:si>
    <x:t xml:space="preserve">DGKC|da|2023</x:t>
  </x:si>
  <x:si>
    <x:t xml:space="preserve">206</x:t>
  </x:si>
  <x:si>
    <x:t xml:space="preserve">DGKC|da|2024</x:t>
  </x:si>
  <x:si>
    <x:t xml:space="preserve">211</x:t>
  </x:si>
  <x:si>
    <x:t xml:space="preserve">DGKC|da|2025</x:t>
  </x:si>
  <x:si>
    <x:t xml:space="preserve">DGKC|cgo|2021</x:t>
  </x:si>
  <x:si>
    <x:t xml:space="preserve">128</x:t>
  </x:si>
  <x:si>
    <x:t xml:space="preserve">DGKC|cgo|2022</x:t>
  </x:si>
  <x:si>
    <x:t xml:space="preserve">DGKC|cgo|2023</x:t>
  </x:si>
  <x:si>
    <x:t xml:space="preserve">DGKC|cgo|2024</x:t>
  </x:si>
  <x:si>
    <x:t xml:space="preserve">DGKC|cgo|2025</x:t>
  </x:si>
  <x:si>
    <x:t xml:space="preserve">DGKC|cfo|2021</x:t>
  </x:si>
  <x:si>
    <x:t xml:space="preserve">Net cash (outflow)/inflow from operating</x:t>
  </x:si>
  <x:si>
    <x:t xml:space="preserve">DGKC|cfo|2022</x:t>
  </x:si>
  <x:si>
    <x:t xml:space="preserve">Net cash inflow/(outflow) from operating</x:t>
  </x:si>
  <x:si>
    <x:t xml:space="preserve">DGKC|cfo|2023</x:t>
  </x:si>
  <x:si>
    <x:t xml:space="preserve">Net cash inflow from operating activitie</x:t>
  </x:si>
  <x:si>
    <x:t xml:space="preserve">DGKC|cfo|2024</x:t>
  </x:si>
  <x:si>
    <x:t xml:space="preserve">DGKC|cfo|2025</x:t>
  </x:si>
  <x:si>
    <x:t xml:space="preserve">DGKC|fin_paid|2021</x:t>
  </x:si>
  <x:si>
    <x:t xml:space="preserve">DGKC|fin_paid|2022</x:t>
  </x:si>
  <x:si>
    <x:t xml:space="preserve">DGKC|fin_paid|2023</x:t>
  </x:si>
  <x:si>
    <x:t xml:space="preserve">DGKC|fin_paid|2024</x:t>
  </x:si>
  <x:si>
    <x:t xml:space="preserve">DGKC|fin_paid|2025</x:t>
  </x:si>
  <x:si>
    <x:t xml:space="preserve">DGKC|fin_paid_cls|2021</x:t>
  </x:si>
  <x:si>
    <x:t xml:space="preserve">DGKC|fin_paid_cls|2022</x:t>
  </x:si>
  <x:si>
    <x:t xml:space="preserve">DGKC|fin_paid_cls|2023</x:t>
  </x:si>
  <x:si>
    <x:t xml:space="preserve">DGKC|fin_paid_cls|2024</x:t>
  </x:si>
  <x:si>
    <x:t xml:space="preserve">DGKC|fin_paid_cls|2025</x:t>
  </x:si>
  <x:si>
    <x:t xml:space="preserve">DGKC|capex|2021</x:t>
  </x:si>
  <x:si>
    <x:t xml:space="preserve">Payments for property, plant and equipme</x:t>
  </x:si>
  <x:si>
    <x:t xml:space="preserve">DGKC|capex|2022</x:t>
  </x:si>
  <x:si>
    <x:t xml:space="preserve">DGKC|capex|2023</x:t>
  </x:si>
  <x:si>
    <x:t xml:space="preserve">DGKC|capex|2024</x:t>
  </x:si>
  <x:si>
    <x:t xml:space="preserve">DGKC|capex|2025</x:t>
  </x:si>
  <x:si>
    <x:t xml:space="preserve">DGKC|cfi|2021</x:t>
  </x:si>
  <x:si>
    <x:t xml:space="preserve">Net cash inflow/(outflow) from investing</x:t>
  </x:si>
  <x:si>
    <x:t xml:space="preserve">DGKC|cfi|2022</x:t>
  </x:si>
  <x:si>
    <x:t xml:space="preserve">Net cash (outflow)/inflow from investing</x:t>
  </x:si>
  <x:si>
    <x:t xml:space="preserve">DGKC|cfi|2023</x:t>
  </x:si>
  <x:si>
    <x:t xml:space="preserve">Net cash inflow / (outflow) from investi</x:t>
  </x:si>
  <x:si>
    <x:t xml:space="preserve">DGKC|cfi|2024</x:t>
  </x:si>
  <x:si>
    <x:t xml:space="preserve">Net cash inflow from investing activitie</x:t>
  </x:si>
  <x:si>
    <x:t xml:space="preserve">DGKC|cfi|2025</x:t>
  </x:si>
  <x:si>
    <x:t xml:space="preserve">DGKC|cff|2021</x:t>
  </x:si>
  <x:si>
    <x:t xml:space="preserve">Net cash (outflow)/inflow from financing</x:t>
  </x:si>
  <x:si>
    <x:t xml:space="preserve">DGKC|cff|2022</x:t>
  </x:si>
  <x:si>
    <x:t xml:space="preserve">Net cash outflow from financing activiti</x:t>
  </x:si>
  <x:si>
    <x:t xml:space="preserve">DGKC|cff|2023</x:t>
  </x:si>
  <x:si>
    <x:t xml:space="preserve">Net cash inflow / (outflow) from financi</x:t>
  </x:si>
  <x:si>
    <x:t xml:space="preserve">DGKC|cff|2024</x:t>
  </x:si>
  <x:si>
    <x:t xml:space="preserve">Net cash (outflow) / inflow from financi</x:t>
  </x:si>
  <x:si>
    <x:t xml:space="preserve">DGKC|cff|2025</x:t>
  </x:si>
  <x:si>
    <x:t xml:space="preserve">DGKC|div_paid|2021</x:t>
  </x:si>
  <x:si>
    <x:t xml:space="preserve">DGKC|div_paid|2022</x:t>
  </x:si>
  <x:si>
    <x:t xml:space="preserve">DGKC|div_paid|2023</x:t>
  </x:si>
  <x:si>
    <x:t xml:space="preserve">DGKC|div_paid|2024</x:t>
  </x:si>
  <x:si>
    <x:t xml:space="preserve">DGKC|div_paid|2025</x:t>
  </x:si>
  <x:si>
    <x:t xml:space="preserve">DGKC|par|2021</x:t>
  </x:si>
  <x:si>
    <x:t xml:space="preserve">DGKC|par|2022</x:t>
  </x:si>
  <x:si>
    <x:t xml:space="preserve">DGKC|par|2023</x:t>
  </x:si>
  <x:si>
    <x:t xml:space="preserve">201</x:t>
  </x:si>
  <x:si>
    <x:t xml:space="preserve">DGKC|par|2024</x:t>
  </x:si>
  <x:si>
    <x:t xml:space="preserve">204</x:t>
  </x:si>
  <x:si>
    <x:t xml:space="preserve">DGKC|par|2025</x:t>
  </x:si>
  <x:si>
    <x:t xml:space="preserve">209</x:t>
  </x:si>
  <x:si>
    <x:t xml:space="preserve">DGKC|wavg|2021</x:t>
  </x:si>
  <x:si>
    <x:t xml:space="preserve">DGKC|wavg|2022</x:t>
  </x:si>
  <x:si>
    <x:t xml:space="preserve">DGKC|wavg|2023</x:t>
  </x:si>
  <x:si>
    <x:t xml:space="preserve">DGKC|wavg|2024</x:t>
  </x:si>
  <x:si>
    <x:t xml:space="preserve">DGKC|wavg|2025</x:t>
  </x:si>
  <x:si>
    <x:t xml:space="preserve">DGKC|price|2021</x:t>
  </x:si>
  <x:si>
    <x:t xml:space="preserve">DGKC|price|2022</x:t>
  </x:si>
  <x:si>
    <x:t xml:space="preserve">DGKC|price|2023</x:t>
  </x:si>
  <x:si>
    <x:t xml:space="preserve">DGKC|price|2024</x:t>
  </x:si>
  <x:si>
    <x:t xml:space="preserve">DGKC|price|2025</x:t>
  </x:si>
  <x:si>
    <x:t xml:space="preserve">DGKC|dps|2021</x:t>
  </x:si>
  <x:si>
    <x:t xml:space="preserve">107</x:t>
  </x:si>
  <x:si>
    <x:t xml:space="preserve">DGKC|dps|2022</x:t>
  </x:si>
  <x:si>
    <x:t xml:space="preserve">DGKC|dps|2023</x:t>
  </x:si>
  <x:si>
    <x:t xml:space="preserve">DGKC|dps|2024</x:t>
  </x:si>
  <x:si>
    <x:t xml:space="preserve">DGKC|dps|2025</x:t>
  </x:si>
  <x:si>
    <x:t xml:space="preserve">DGKC|eps_rep|2021</x:t>
  </x:si>
  <x:si>
    <x:t xml:space="preserve">DGKC|eps_rep|2022</x:t>
  </x:si>
  <x:si>
    <x:t xml:space="preserve">DGKC|eps_rep|2023</x:t>
  </x:si>
  <x:si>
    <x:t xml:space="preserve">DGKC|eps_rep|2024</x:t>
  </x:si>
  <x:si>
    <x:t xml:space="preserve">DGKC|eps_rep|2025</x:t>
  </x:si>
  <x:si>
    <x:t xml:space="preserve">DGKC|adj|2021</x:t>
  </x:si>
  <x:si>
    <x:t xml:space="preserve">DGKC|adj|2022</x:t>
  </x:si>
  <x:si>
    <x:t xml:space="preserve">DGKC|adj|2023</x:t>
  </x:si>
  <x:si>
    <x:t xml:space="preserve">DGKC|adj|2024</x:t>
  </x:si>
  <x:si>
    <x:t xml:space="preserve">DGKC|adj|2025</x:t>
  </x:si>
  <x:si>
    <x:t xml:space="preserve">MLCF|ppe|2020</x:t>
  </x:si>
  <x:si>
    <x:t xml:space="preserve">161</x:t>
  </x:si>
  <x:si>
    <x:t xml:space="preserve">MLCF|ppe|2021</x:t>
  </x:si>
  <x:si>
    <x:t xml:space="preserve">MLCF|ppe|2022</x:t>
  </x:si>
  <x:si>
    <x:t xml:space="preserve">192-193</x:t>
  </x:si>
  <x:si>
    <x:t xml:space="preserve">MLCF|ppe|2023</x:t>
  </x:si>
  <x:si>
    <x:t xml:space="preserve">189</x:t>
  </x:si>
  <x:si>
    <x:t xml:space="preserve">MLCF|ppe|2024</x:t>
  </x:si>
  <x:si>
    <x:t xml:space="preserve">MLCF|ppe|2025</x:t>
  </x:si>
  <x:si>
    <x:t xml:space="preserve">MLCF|cwip|2020</x:t>
  </x:si>
  <x:si>
    <x:t xml:space="preserve">Capital work in progress - at cost</x:t>
  </x:si>
  <x:si>
    <x:t xml:space="preserve">MLCF|cwip|2021</x:t>
  </x:si>
  <x:si>
    <x:t xml:space="preserve">MLCF|cwip|2022</x:t>
  </x:si>
  <x:si>
    <x:t xml:space="preserve">MLCF|cwip|2023</x:t>
  </x:si>
  <x:si>
    <x:t xml:space="preserve">231</x:t>
  </x:si>
  <x:si>
    <x:t xml:space="preserve">MLCF|cwip|2024</x:t>
  </x:si>
  <x:si>
    <x:t xml:space="preserve">Capital work in progress - at cost (note 19)</x:t>
  </x:si>
  <x:si>
    <x:t xml:space="preserve">245</x:t>
  </x:si>
  <x:si>
    <x:t xml:space="preserve">MLCF|cwip|2025</x:t>
  </x:si>
  <x:si>
    <x:t xml:space="preserve">MLCF|rou|2020</x:t>
  </x:si>
  <x:si>
    <x:t xml:space="preserve">160</x:t>
  </x:si>
  <x:si>
    <x:t xml:space="preserve">MLCF|rou|2021</x:t>
  </x:si>
  <x:si>
    <x:t xml:space="preserve">MLCF|rou|2022</x:t>
  </x:si>
  <x:si>
    <x:t xml:space="preserve">MLCF|rou|2023</x:t>
  </x:si>
  <x:si>
    <x:t xml:space="preserve">MLCF|rou|2024</x:t>
  </x:si>
  <x:si>
    <x:t xml:space="preserve">MLCF|rou|2025</x:t>
  </x:si>
  <x:si>
    <x:t xml:space="preserve">MLCF|intang|2020</x:t>
  </x:si>
  <x:si>
    <x:t xml:space="preserve">MLCF|intang|2021</x:t>
  </x:si>
  <x:si>
    <x:t xml:space="preserve">MLCF|intang|2022</x:t>
  </x:si>
  <x:si>
    <x:t xml:space="preserve">MLCF|intang|2023</x:t>
  </x:si>
  <x:si>
    <x:t xml:space="preserve">MLCF|intang|2024</x:t>
  </x:si>
  <x:si>
    <x:t xml:space="preserve">MLCF|intang|2025</x:t>
  </x:si>
  <x:si>
    <x:t xml:space="preserve">MLCF|inv_prop|2020</x:t>
  </x:si>
  <x:si>
    <x:t xml:space="preserve">MLCF|inv_prop|2021</x:t>
  </x:si>
  <x:si>
    <x:t xml:space="preserve">MLCF|inv_prop|2022</x:t>
  </x:si>
  <x:si>
    <x:t xml:space="preserve">MLCF|inv_prop|2023</x:t>
  </x:si>
  <x:si>
    <x:t xml:space="preserve">MLCF|inv_prop|2024</x:t>
  </x:si>
  <x:si>
    <x:t xml:space="preserve">MLCF|inv_prop|2025</x:t>
  </x:si>
  <x:si>
    <x:t xml:space="preserve">MLCF|lt_inv|2020</x:t>
  </x:si>
  <x:si>
    <x:t xml:space="preserve">Long term investment</x:t>
  </x:si>
  <x:si>
    <x:t xml:space="preserve">MLCF|lt_inv|2021</x:t>
  </x:si>
  <x:si>
    <x:t xml:space="preserve">MLCF|lt_inv|2022</x:t>
  </x:si>
  <x:si>
    <x:t xml:space="preserve">MLCF|lt_inv|2023</x:t>
  </x:si>
  <x:si>
    <x:t xml:space="preserve">MLCF|lt_inv|2024</x:t>
  </x:si>
  <x:si>
    <x:t xml:space="preserve">MLCF|lt_inv|2025</x:t>
  </x:si>
  <x:si>
    <x:t xml:space="preserve">MLCF|nca_other|2020</x:t>
  </x:si>
  <x:si>
    <x:t xml:space="preserve">Long term deposits; Long term loans to employees - secured</x:t>
  </x:si>
  <x:si>
    <x:t xml:space="preserve">MLCF|nca_other|2021</x:t>
  </x:si>
  <x:si>
    <x:t xml:space="preserve">MLCF|nca_other|2022</x:t>
  </x:si>
  <x:si>
    <x:t xml:space="preserve">MLCF|nca_other|2023</x:t>
  </x:si>
  <x:si>
    <x:t xml:space="preserve">MLCF|nca_other|2024</x:t>
  </x:si>
  <x:si>
    <x:t xml:space="preserve">MLCF|nca_other|2025</x:t>
  </x:si>
  <x:si>
    <x:t xml:space="preserve">MLCF|stores|2020</x:t>
  </x:si>
  <x:si>
    <x:t xml:space="preserve">MLCF|stores|2021</x:t>
  </x:si>
  <x:si>
    <x:t xml:space="preserve">MLCF|stores|2022</x:t>
  </x:si>
  <x:si>
    <x:t xml:space="preserve">MLCF|stores|2023</x:t>
  </x:si>
  <x:si>
    <x:t xml:space="preserve">MLCF|stores|2024</x:t>
  </x:si>
  <x:si>
    <x:t xml:space="preserve">MLCF|stores|2025</x:t>
  </x:si>
  <x:si>
    <x:t xml:space="preserve">MLCF|sit|2020</x:t>
  </x:si>
  <x:si>
    <x:t xml:space="preserve">MLCF|sit|2021</x:t>
  </x:si>
  <x:si>
    <x:t xml:space="preserve">MLCF|sit|2022</x:t>
  </x:si>
  <x:si>
    <x:t xml:space="preserve">MLCF|sit|2023</x:t>
  </x:si>
  <x:si>
    <x:t xml:space="preserve">MLCF|sit|2024</x:t>
  </x:si>
  <x:si>
    <x:t xml:space="preserve">MLCF|sit|2025</x:t>
  </x:si>
  <x:si>
    <x:t xml:space="preserve">MLCF|debts|2020</x:t>
  </x:si>
  <x:si>
    <x:t xml:space="preserve">MLCF|debts|2021</x:t>
  </x:si>
  <x:si>
    <x:t xml:space="preserve">MLCF|debts|2022</x:t>
  </x:si>
  <x:si>
    <x:t xml:space="preserve">MLCF|debts|2023</x:t>
  </x:si>
  <x:si>
    <x:t xml:space="preserve">MLCF|debts|2024</x:t>
  </x:si>
  <x:si>
    <x:t xml:space="preserve">MLCF|debts|2025</x:t>
  </x:si>
  <x:si>
    <x:t xml:space="preserve">MLCF|st_inv|2020</x:t>
  </x:si>
  <x:si>
    <x:t xml:space="preserve">Short term investment</x:t>
  </x:si>
  <x:si>
    <x:t xml:space="preserve">29</x:t>
  </x:si>
  <x:si>
    <x:t xml:space="preserve">MLCF|st_inv|2021</x:t>
  </x:si>
  <x:si>
    <x:t xml:space="preserve">MLCF|st_inv|2022</x:t>
  </x:si>
  <x:si>
    <x:t xml:space="preserve">MLCF|st_inv|2023</x:t>
  </x:si>
  <x:si>
    <x:t xml:space="preserve">MLCF|st_inv|2024</x:t>
  </x:si>
  <x:si>
    <x:t xml:space="preserve">28</x:t>
  </x:si>
  <x:si>
    <x:t xml:space="preserve">MLCF|st_inv|2025</x:t>
  </x:si>
  <x:si>
    <x:t xml:space="preserve">MLCF|cash|2020</x:t>
  </x:si>
  <x:si>
    <x:t xml:space="preserve">34</x:t>
  </x:si>
  <x:si>
    <x:t xml:space="preserve">MLCF|cash|2021</x:t>
  </x:si>
  <x:si>
    <x:t xml:space="preserve">MLCF|cash|2022</x:t>
  </x:si>
  <x:si>
    <x:t xml:space="preserve">MLCF|cash|2023</x:t>
  </x:si>
  <x:si>
    <x:t xml:space="preserve">MLCF|cash|2024</x:t>
  </x:si>
  <x:si>
    <x:t xml:space="preserve">33</x:t>
  </x:si>
  <x:si>
    <x:t xml:space="preserve">MLCF|cash|2025</x:t>
  </x:si>
  <x:si>
    <x:t xml:space="preserve">MLCF|ca_other|2020</x:t>
  </x:si>
  <x:si>
    <x:t xml:space="preserve">Accrued profit; Advance income tax - net of provision; Loans and advances; Other receivables; Short term deposits and pr</x:t>
  </x:si>
  <x:si>
    <x:t xml:space="preserve">31</x:t>
  </x:si>
  <x:si>
    <x:t xml:space="preserve">MLCF|ca_other|2021</x:t>
  </x:si>
  <x:si>
    <x:t xml:space="preserve">MLCF|ca_other|2022</x:t>
  </x:si>
  <x:si>
    <x:t xml:space="preserve">MLCF|ca_other|2023</x:t>
  </x:si>
  <x:si>
    <x:t xml:space="preserve">Accrued profit; Advance income tax; Loans and advances; Other receivables; Short term deposits and prepayments</x:t>
  </x:si>
  <x:si>
    <x:t xml:space="preserve">MLCF|ca_other|2024</x:t>
  </x:si>
  <x:si>
    <x:t xml:space="preserve">MLCF|ca_other|2025</x:t>
  </x:si>
  <x:si>
    <x:t xml:space="preserve">MLCF|share_cap|2020</x:t>
  </x:si>
  <x:si>
    <x:t xml:space="preserve">MLCF|share_cap|2021</x:t>
  </x:si>
  <x:si>
    <x:t xml:space="preserve">MLCF|share_cap|2022</x:t>
  </x:si>
  <x:si>
    <x:t xml:space="preserve">MLCF|share_cap|2023</x:t>
  </x:si>
  <x:si>
    <x:t xml:space="preserve">ordinary shares of Rs. 10 each</x:t>
  </x:si>
  <x:si>
    <x:t xml:space="preserve">MLCF|share_cap|2024</x:t>
  </x:si>
  <x:si>
    <x:t xml:space="preserve">MLCF|share_cap|2025</x:t>
  </x:si>
  <x:si>
    <x:t xml:space="preserve">MLCF|eq_other|2020</x:t>
  </x:si>
  <x:si>
    <x:t xml:space="preserve">Accumulated profits; Capital reserves; Surplus on revaluation of fixed assets -</x:t>
  </x:si>
  <x:si>
    <x:t xml:space="preserve">MLCF|eq_other|2021</x:t>
  </x:si>
  <x:si>
    <x:t xml:space="preserve">MLCF|eq_other|2022</x:t>
  </x:si>
  <x:si>
    <x:t xml:space="preserve">MLCF|eq_other|2023</x:t>
  </x:si>
  <x:si>
    <x:t xml:space="preserve">Capital reserves; Revenue reserve: Un-appropriated profits; Surplus on revaluation of fixed assets</x:t>
  </x:si>
  <x:si>
    <x:t xml:space="preserve">MLCF|eq_other|2024</x:t>
  </x:si>
  <x:si>
    <x:t xml:space="preserve">MLCF|eq_other|2025</x:t>
  </x:si>
  <x:si>
    <x:t xml:space="preserve">MLCF|ltf_nc|2020</x:t>
  </x:si>
  <x:si>
    <x:t xml:space="preserve">Long term loan from Subsidiary Company; Long term loans from financial instituti</x:t>
  </x:si>
  <x:si>
    <x:t xml:space="preserve">MLCF|ltf_nc|2021</x:t>
  </x:si>
  <x:si>
    <x:t xml:space="preserve">Long term loan from subsidiary company; Long term loans from financial instituti</x:t>
  </x:si>
  <x:si>
    <x:t xml:space="preserve">MLCF|ltf_nc|2022</x:t>
  </x:si>
  <x:si>
    <x:t xml:space="preserve">MLCF|ltf_nc|2023</x:t>
  </x:si>
  <x:si>
    <x:t xml:space="preserve">Long term loan from subsidiary company -; Long term loans from financial instituti</x:t>
  </x:si>
  <x:si>
    <x:t xml:space="preserve">MLCF|ltf_nc|2024</x:t>
  </x:si>
  <x:si>
    <x:t xml:space="preserve">MLCF|ltf_nc|2025</x:t>
  </x:si>
  <x:si>
    <x:t xml:space="preserve">MLCF|lease_nc|2020</x:t>
  </x:si>
  <x:si>
    <x:t xml:space="preserve">MLCF|lease_nc|2021</x:t>
  </x:si>
  <x:si>
    <x:t xml:space="preserve">Long term liability against right of use</x:t>
  </x:si>
  <x:si>
    <x:t xml:space="preserve">MLCF|lease_nc|2022</x:t>
  </x:si>
  <x:si>
    <x:t xml:space="preserve">MLCF|lease_nc|2023</x:t>
  </x:si>
  <x:si>
    <x:t xml:space="preserve">Lease liabilities</x:t>
  </x:si>
  <x:si>
    <x:t xml:space="preserve">MLCF|lease_nc|2024</x:t>
  </x:si>
  <x:si>
    <x:t xml:space="preserve">MLCF|lease_nc|2025</x:t>
  </x:si>
  <x:si>
    <x:t xml:space="preserve">MLCF|grant_nc|2020</x:t>
  </x:si>
  <x:si>
    <x:t xml:space="preserve">MLCF|grant_nc|2021</x:t>
  </x:si>
  <x:si>
    <x:t xml:space="preserve">MLCF|grant_nc|2022</x:t>
  </x:si>
  <x:si>
    <x:t xml:space="preserve">MLCF|grant_nc|2023</x:t>
  </x:si>
  <x:si>
    <x:t xml:space="preserve">MLCF|grant_nc|2024</x:t>
  </x:si>
  <x:si>
    <x:t xml:space="preserve">MLCF|grant_nc|2025</x:t>
  </x:si>
  <x:si>
    <x:t xml:space="preserve">MLCF|def_tax|2020</x:t>
  </x:si>
  <x:si>
    <x:t xml:space="preserve">MLCF|def_tax|2021</x:t>
  </x:si>
  <x:si>
    <x:t xml:space="preserve">MLCF|def_tax|2022</x:t>
  </x:si>
  <x:si>
    <x:t xml:space="preserve">MLCF|def_tax|2023</x:t>
  </x:si>
  <x:si>
    <x:t xml:space="preserve">MLCF|def_tax|2024</x:t>
  </x:si>
  <x:si>
    <x:t xml:space="preserve">Deferred income tax liability</x:t>
  </x:si>
  <x:si>
    <x:t xml:space="preserve">MLCF|def_tax|2025</x:t>
  </x:si>
  <x:si>
    <x:t xml:space="preserve">MLCF|ncl_other|2020</x:t>
  </x:si>
  <x:si>
    <x:t xml:space="preserve">Long term deposits; Payable to government authority; Retention money payable; Retirement benefits</x:t>
  </x:si>
  <x:si>
    <x:t xml:space="preserve">MLCF|ncl_other|2021</x:t>
  </x:si>
  <x:si>
    <x:t xml:space="preserve">MLCF|ncl_other|2022</x:t>
  </x:si>
  <x:si>
    <x:t xml:space="preserve">Long term deposits; Retention money; Retirement benefits</x:t>
  </x:si>
  <x:si>
    <x:t xml:space="preserve">MLCF|ncl_other|2023</x:t>
  </x:si>
  <x:si>
    <x:t xml:space="preserve">Employee benefits obligations; Long term deposits; Retention money</x:t>
  </x:si>
  <x:si>
    <x:t xml:space="preserve">MLCF|ncl_other|2024</x:t>
  </x:si>
  <x:si>
    <x:t xml:space="preserve">MLCF|ncl_other|2025</x:t>
  </x:si>
  <x:si>
    <x:t xml:space="preserve">MLCF|tap|2020</x:t>
  </x:si>
  <x:si>
    <x:t xml:space="preserve">MLCF|tap|2021</x:t>
  </x:si>
  <x:si>
    <x:t xml:space="preserve">MLCF|tap|2022</x:t>
  </x:si>
  <x:si>
    <x:t xml:space="preserve">MLCF|tap|2023</x:t>
  </x:si>
  <x:si>
    <x:t xml:space="preserve">MLCF|tap|2024</x:t>
  </x:si>
  <x:si>
    <x:t xml:space="preserve">MLCF|tap|2025</x:t>
  </x:si>
  <x:si>
    <x:t xml:space="preserve">MLCF|trade_cred|2020</x:t>
  </x:si>
  <x:si>
    <x:t xml:space="preserve">196</x:t>
  </x:si>
  <x:si>
    <x:t xml:space="preserve">MLCF|trade_cred|2021</x:t>
  </x:si>
  <x:si>
    <x:t xml:space="preserve">219</x:t>
  </x:si>
  <x:si>
    <x:t xml:space="preserve">MLCF|trade_cred|2022</x:t>
  </x:si>
  <x:si>
    <x:t xml:space="preserve">MLCF|trade_cred|2023</x:t>
  </x:si>
  <x:si>
    <x:t xml:space="preserve">MLCF|trade_cred|2024</x:t>
  </x:si>
  <x:si>
    <x:t xml:space="preserve">MLCF|trade_cred|2025</x:t>
  </x:si>
  <x:si>
    <x:t xml:space="preserve">MLCF|contract|2020</x:t>
  </x:si>
  <x:si>
    <x:t xml:space="preserve">MLCF|contract|2021</x:t>
  </x:si>
  <x:si>
    <x:t xml:space="preserve">MLCF|contract|2022</x:t>
  </x:si>
  <x:si>
    <x:t xml:space="preserve">MLCF|contract|2023</x:t>
  </x:si>
  <x:si>
    <x:t xml:space="preserve">MLCF|contract|2024</x:t>
  </x:si>
  <x:si>
    <x:t xml:space="preserve">MLCF|contract|2025</x:t>
  </x:si>
  <x:si>
    <x:t xml:space="preserve">MLCF|acc_markup|2020</x:t>
  </x:si>
  <x:si>
    <x:t xml:space="preserve">MLCF|acc_markup|2021</x:t>
  </x:si>
  <x:si>
    <x:t xml:space="preserve">MLCF|acc_markup|2022</x:t>
  </x:si>
  <x:si>
    <x:t xml:space="preserve">MLCF|acc_markup|2023</x:t>
  </x:si>
  <x:si>
    <x:t xml:space="preserve">MLCF|acc_markup|2024</x:t>
  </x:si>
  <x:si>
    <x:t xml:space="preserve">MLCF|acc_markup|2025</x:t>
  </x:si>
  <x:si>
    <x:t xml:space="preserve">MLCF|stb|2020</x:t>
  </x:si>
  <x:si>
    <x:t xml:space="preserve">MLCF|stb|2021</x:t>
  </x:si>
  <x:si>
    <x:t xml:space="preserve">MLCF|stb|2022</x:t>
  </x:si>
  <x:si>
    <x:t xml:space="preserve">MLCF|stb|2023</x:t>
  </x:si>
  <x:si>
    <x:t xml:space="preserve">MLCF|stb|2024</x:t>
  </x:si>
  <x:si>
    <x:t xml:space="preserve">MLCF|stb|2025</x:t>
  </x:si>
  <x:si>
    <x:t xml:space="preserve">MLCF|cp_ltf|2020</x:t>
  </x:si>
  <x:si>
    <x:t xml:space="preserve">Current portion of: - Long term loans fr</x:t>
  </x:si>
  <x:si>
    <x:t xml:space="preserve">MLCF|cp_ltf|2021</x:t>
  </x:si>
  <x:si>
    <x:t xml:space="preserve">MLCF|cp_ltf|2022</x:t>
  </x:si>
  <x:si>
    <x:t xml:space="preserve">MLCF|cp_ltf|2023</x:t>
  </x:si>
  <x:si>
    <x:t xml:space="preserve">MLCF|cp_ltf|2024</x:t>
  </x:si>
  <x:si>
    <x:t xml:space="preserve">MLCF|cp_ltf|2025</x:t>
  </x:si>
  <x:si>
    <x:t xml:space="preserve">MLCF|cp_lease|2020</x:t>
  </x:si>
  <x:si>
    <x:t xml:space="preserve">MLCF|cp_lease|2021</x:t>
  </x:si>
  <x:si>
    <x:t xml:space="preserve">- Liability against right of use assets</x:t>
  </x:si>
  <x:si>
    <x:t xml:space="preserve">MLCF|cp_lease|2022</x:t>
  </x:si>
  <x:si>
    <x:t xml:space="preserve">MLCF|cp_lease|2023</x:t>
  </x:si>
  <x:si>
    <x:t xml:space="preserve">- Lease liabilities</x:t>
  </x:si>
  <x:si>
    <x:t xml:space="preserve">MLCF|cp_lease|2024</x:t>
  </x:si>
  <x:si>
    <x:t xml:space="preserve">MLCF|cp_lease|2025</x:t>
  </x:si>
  <x:si>
    <x:t xml:space="preserve">MLCF|cp_grant|2020</x:t>
  </x:si>
  <x:si>
    <x:t xml:space="preserve">- Deferred grant</x:t>
  </x:si>
  <x:si>
    <x:t xml:space="preserve">MLCF|cp_grant|2021</x:t>
  </x:si>
  <x:si>
    <x:t xml:space="preserve">MLCF|cp_grant|2022</x:t>
  </x:si>
  <x:si>
    <x:t xml:space="preserve">MLCF|cp_grant|2023</x:t>
  </x:si>
  <x:si>
    <x:t xml:space="preserve">- Deferred government grant</x:t>
  </x:si>
  <x:si>
    <x:t xml:space="preserve">MLCF|cp_grant|2024</x:t>
  </x:si>
  <x:si>
    <x:t xml:space="preserve">MLCF|cp_grant|2025</x:t>
  </x:si>
  <x:si>
    <x:t xml:space="preserve">MLCF|div_liab|2020</x:t>
  </x:si>
  <x:si>
    <x:t xml:space="preserve">MLCF|div_liab|2021</x:t>
  </x:si>
  <x:si>
    <x:t xml:space="preserve">MLCF|div_liab|2022</x:t>
  </x:si>
  <x:si>
    <x:t xml:space="preserve">MLCF|div_liab|2023</x:t>
  </x:si>
  <x:si>
    <x:t xml:space="preserve">MLCF|div_liab|2024</x:t>
  </x:si>
  <x:si>
    <x:t xml:space="preserve">MLCF|div_liab|2025</x:t>
  </x:si>
  <x:si>
    <x:t xml:space="preserve">MLCF|tax_liab|2020</x:t>
  </x:si>
  <x:si>
    <x:t xml:space="preserve">MLCF|tax_liab|2021</x:t>
  </x:si>
  <x:si>
    <x:t xml:space="preserve">MLCF|tax_liab|2022</x:t>
  </x:si>
  <x:si>
    <x:t xml:space="preserve">MLCF|tax_liab|2023</x:t>
  </x:si>
  <x:si>
    <x:t xml:space="preserve">MLCF|tax_liab|2024</x:t>
  </x:si>
  <x:si>
    <x:t xml:space="preserve">Provision for income tax</x:t>
  </x:si>
  <x:si>
    <x:t xml:space="preserve">32</x:t>
  </x:si>
  <x:si>
    <x:t xml:space="preserve">MLCF|tax_liab|2025</x:t>
  </x:si>
  <x:si>
    <x:t xml:space="preserve">MLCF|cl_other|2020</x:t>
  </x:si>
  <x:si>
    <x:t xml:space="preserve">MLCF|cl_other|2021</x:t>
  </x:si>
  <x:si>
    <x:t xml:space="preserve">MLCF|cl_other|2022</x:t>
  </x:si>
  <x:si>
    <x:t xml:space="preserve">MLCF|cl_other|2023</x:t>
  </x:si>
  <x:si>
    <x:t xml:space="preserve">MLCF|cl_other|2024</x:t>
  </x:si>
  <x:si>
    <x:t xml:space="preserve">MLCF|cl_other|2025</x:t>
  </x:si>
  <x:si>
    <x:t xml:space="preserve">MLCF|pr_TA|2020</x:t>
  </x:si>
  <x:si>
    <x:t xml:space="preserve">MLCF|pr_TA|2021</x:t>
  </x:si>
  <x:si>
    <x:t xml:space="preserve">MLCF|pr_TA|2022</x:t>
  </x:si>
  <x:si>
    <x:t xml:space="preserve">MLCF|pr_TA|2023</x:t>
  </x:si>
  <x:si>
    <x:t xml:space="preserve">MLCF|pr_TA|2024</x:t>
  </x:si>
  <x:si>
    <x:t xml:space="preserve">MLCF|pr_TA|2025</x:t>
  </x:si>
  <x:si>
    <x:t xml:space="preserve">MLCF|pr_EQ|2020</x:t>
  </x:si>
  <x:si>
    <x:t xml:space="preserve">MLCF|pr_EQ|2021</x:t>
  </x:si>
  <x:si>
    <x:t xml:space="preserve">MLCF|pr_EQ|2022</x:t>
  </x:si>
  <x:si>
    <x:t xml:space="preserve">MLCF|pr_EQ|2023</x:t>
  </x:si>
  <x:si>
    <x:t xml:space="preserve">MLCF|pr_EQ|2024</x:t>
  </x:si>
  <x:si>
    <x:t xml:space="preserve">MLCF|pr_EQ|2025</x:t>
  </x:si>
  <x:si>
    <x:t xml:space="preserve">MLCF|pr_CA|2020</x:t>
  </x:si>
  <x:si>
    <x:t xml:space="preserve">MLCF|pr_CA|2021</x:t>
  </x:si>
  <x:si>
    <x:t xml:space="preserve">MLCF|pr_CA|2022</x:t>
  </x:si>
  <x:si>
    <x:t xml:space="preserve">MLCF|pr_CA|2023</x:t>
  </x:si>
  <x:si>
    <x:t xml:space="preserve">MLCF|pr_CA|2024</x:t>
  </x:si>
  <x:si>
    <x:t xml:space="preserve">MLCF|pr_CA|2025</x:t>
  </x:si>
  <x:si>
    <x:t xml:space="preserve">MLCF|pr_CL|2020</x:t>
  </x:si>
  <x:si>
    <x:t xml:space="preserve">MLCF|pr_CL|2021</x:t>
  </x:si>
  <x:si>
    <x:t xml:space="preserve">MLCF|pr_CL|2022</x:t>
  </x:si>
  <x:si>
    <x:t xml:space="preserve">MLCF|pr_CL|2023</x:t>
  </x:si>
  <x:si>
    <x:t xml:space="preserve">MLCF|pr_CL|2024</x:t>
  </x:si>
  <x:si>
    <x:t xml:space="preserve">MLCF|pr_CL|2025</x:t>
  </x:si>
  <x:si>
    <x:t xml:space="preserve">MLCF|rev|2021</x:t>
  </x:si>
  <x:si>
    <x:t xml:space="preserve">Sales - net</x:t>
  </x:si>
  <x:si>
    <x:t xml:space="preserve">MLCF|rev|2022</x:t>
  </x:si>
  <x:si>
    <x:t xml:space="preserve">194-195</x:t>
  </x:si>
  <x:si>
    <x:t xml:space="preserve">MLCF|rev|2023</x:t>
  </x:si>
  <x:si>
    <x:t xml:space="preserve">190</x:t>
  </x:si>
  <x:si>
    <x:t xml:space="preserve">MLCF|rev|2024</x:t>
  </x:si>
  <x:si>
    <x:t xml:space="preserve">202</x:t>
  </x:si>
  <x:si>
    <x:t xml:space="preserve">MLCF|rev|2025</x:t>
  </x:si>
  <x:si>
    <x:t xml:space="preserve">MLCF|cogs|2021</x:t>
  </x:si>
  <x:si>
    <x:t xml:space="preserve">MLCF|cogs|2022</x:t>
  </x:si>
  <x:si>
    <x:t xml:space="preserve">MLCF|cogs|2023</x:t>
  </x:si>
  <x:si>
    <x:t xml:space="preserve">MLCF|cogs|2024</x:t>
  </x:si>
  <x:si>
    <x:t xml:space="preserve">MLCF|cogs|2025</x:t>
  </x:si>
  <x:si>
    <x:t xml:space="preserve">MLCF|selling|2021</x:t>
  </x:si>
  <x:si>
    <x:t xml:space="preserve">MLCF|selling|2022</x:t>
  </x:si>
  <x:si>
    <x:t xml:space="preserve">MLCF|selling|2023</x:t>
  </x:si>
  <x:si>
    <x:t xml:space="preserve">MLCF|selling|2024</x:t>
  </x:si>
  <x:si>
    <x:t xml:space="preserve">MLCF|selling|2025</x:t>
  </x:si>
  <x:si>
    <x:t xml:space="preserve">MLCF|admin|2021</x:t>
  </x:si>
  <x:si>
    <x:t xml:space="preserve">MLCF|admin|2022</x:t>
  </x:si>
  <x:si>
    <x:t xml:space="preserve">MLCF|admin|2023</x:t>
  </x:si>
  <x:si>
    <x:t xml:space="preserve">MLCF|admin|2024</x:t>
  </x:si>
  <x:si>
    <x:t xml:space="preserve">MLCF|admin|2025</x:t>
  </x:si>
  <x:si>
    <x:t xml:space="preserve">MLCF|impair|2021</x:t>
  </x:si>
  <x:si>
    <x:t xml:space="preserve">MLCF|impair|2022</x:t>
  </x:si>
  <x:si>
    <x:t xml:space="preserve">MLCF|impair|2023</x:t>
  </x:si>
  <x:si>
    <x:t xml:space="preserve">MLCF|impair|2024</x:t>
  </x:si>
  <x:si>
    <x:t xml:space="preserve">MLCF|impair|2025</x:t>
  </x:si>
  <x:si>
    <x:t xml:space="preserve">MLCF|oth_exp|2021</x:t>
  </x:si>
  <x:si>
    <x:t xml:space="preserve">Other charges</x:t>
  </x:si>
  <x:si>
    <x:t xml:space="preserve">MLCF|oth_exp|2022</x:t>
  </x:si>
  <x:si>
    <x:t xml:space="preserve">MLCF|oth_exp|2023</x:t>
  </x:si>
  <x:si>
    <x:t xml:space="preserve">MLCF|oth_exp|2024</x:t>
  </x:si>
  <x:si>
    <x:t xml:space="preserve">MLCF|oth_exp|2025</x:t>
  </x:si>
  <x:si>
    <x:t xml:space="preserve">MLCF|oth_inc|2021</x:t>
  </x:si>
  <x:si>
    <x:t xml:space="preserve">MLCF|oth_inc|2022</x:t>
  </x:si>
  <x:si>
    <x:t xml:space="preserve">MLCF|oth_inc|2023</x:t>
  </x:si>
  <x:si>
    <x:t xml:space="preserve">MLCF|oth_inc|2024</x:t>
  </x:si>
  <x:si>
    <x:t xml:space="preserve">MLCF|oth_inc|2025</x:t>
  </x:si>
  <x:si>
    <x:t xml:space="preserve">MLCF|fin_inc|2021</x:t>
  </x:si>
  <x:si>
    <x:t xml:space="preserve">MLCF|fin_inc|2022</x:t>
  </x:si>
  <x:si>
    <x:t xml:space="preserve">MLCF|fin_inc|2023</x:t>
  </x:si>
  <x:si>
    <x:t xml:space="preserve">MLCF|fin_inc|2024</x:t>
  </x:si>
  <x:si>
    <x:t xml:space="preserve">Finance income</x:t>
  </x:si>
  <x:si>
    <x:t xml:space="preserve">MLCF|fin_inc|2025</x:t>
  </x:si>
  <x:si>
    <x:t xml:space="preserve">MLCF|assoc|2021</x:t>
  </x:si>
  <x:si>
    <x:t xml:space="preserve">MLCF|assoc|2022</x:t>
  </x:si>
  <x:si>
    <x:t xml:space="preserve">MLCF|assoc|2023</x:t>
  </x:si>
  <x:si>
    <x:t xml:space="preserve">MLCF|assoc|2024</x:t>
  </x:si>
  <x:si>
    <x:t xml:space="preserve">MLCF|assoc|2025</x:t>
  </x:si>
  <x:si>
    <x:t xml:space="preserve">MLCF|fin_cost|2021</x:t>
  </x:si>
  <x:si>
    <x:t xml:space="preserve">MLCF|fin_cost|2022</x:t>
  </x:si>
  <x:si>
    <x:t xml:space="preserve">MLCF|fin_cost|2023</x:t>
  </x:si>
  <x:si>
    <x:t xml:space="preserve">MLCF|fin_cost|2024</x:t>
  </x:si>
  <x:si>
    <x:t xml:space="preserve">MLCF|fin_cost|2025</x:t>
  </x:si>
  <x:si>
    <x:t xml:space="preserve">MLCF|levy|2021</x:t>
  </x:si>
  <x:si>
    <x:t xml:space="preserve">MLCF|levy|2022</x:t>
  </x:si>
  <x:si>
    <x:t xml:space="preserve">MLCF|levy|2023</x:t>
  </x:si>
  <x:si>
    <x:t xml:space="preserve">Final taxes</x:t>
  </x:si>
  <x:si>
    <x:t xml:space="preserve">MLCF|levy|2024</x:t>
  </x:si>
  <x:si>
    <x:t xml:space="preserve">Final taxes - levy</x:t>
  </x:si>
  <x:si>
    <x:t xml:space="preserve">MLCF|levy|2025</x:t>
  </x:si>
  <x:si>
    <x:t xml:space="preserve">MLCF|tax|2021</x:t>
  </x:si>
  <x:si>
    <x:t xml:space="preserve">MLCF|tax|2022</x:t>
  </x:si>
  <x:si>
    <x:t xml:space="preserve">MLCF|tax|2023</x:t>
  </x:si>
  <x:si>
    <x:t xml:space="preserve">MLCF|tax|2024</x:t>
  </x:si>
  <x:si>
    <x:t xml:space="preserve">MLCF|tax|2025</x:t>
  </x:si>
  <x:si>
    <x:t xml:space="preserve">MLCF|pr_gp|2021</x:t>
  </x:si>
  <x:si>
    <x:t xml:space="preserve">MLCF|pr_gp|2022</x:t>
  </x:si>
  <x:si>
    <x:t xml:space="preserve">MLCF|pr_gp|2023</x:t>
  </x:si>
  <x:si>
    <x:t xml:space="preserve">MLCF|pr_gp|2024</x:t>
  </x:si>
  <x:si>
    <x:t xml:space="preserve">MLCF|pr_gp|2025</x:t>
  </x:si>
  <x:si>
    <x:t xml:space="preserve">MLCF|pr_pbt|2021</x:t>
  </x:si>
  <x:si>
    <x:t xml:space="preserve">MLCF|pr_pbt|2022</x:t>
  </x:si>
  <x:si>
    <x:t xml:space="preserve">MLCF|pr_pbt|2023</x:t>
  </x:si>
  <x:si>
    <x:t xml:space="preserve">Profit before final taxes and income tax</x:t>
  </x:si>
  <x:si>
    <x:t xml:space="preserve">MLCF|pr_pbt|2024</x:t>
  </x:si>
  <x:si>
    <x:t xml:space="preserve">MLCF|pr_pbt|2025</x:t>
  </x:si>
  <x:si>
    <x:t xml:space="preserve">MLCF|pr_pat|2021</x:t>
  </x:si>
  <x:si>
    <x:t xml:space="preserve">MLCF|pr_pat|2022</x:t>
  </x:si>
  <x:si>
    <x:t xml:space="preserve">MLCF|pr_pat|2023</x:t>
  </x:si>
  <x:si>
    <x:t xml:space="preserve">MLCF|pr_pat|2024</x:t>
  </x:si>
  <x:si>
    <x:t xml:space="preserve">MLCF|pr_pat|2025</x:t>
  </x:si>
  <x:si>
    <x:t xml:space="preserve">MLCF|fc_nonint|2021</x:t>
  </x:si>
  <x:si>
    <x:t xml:space="preserve">Bank and other charges</x:t>
  </x:si>
  <x:si>
    <x:t xml:space="preserve">241</x:t>
  </x:si>
  <x:si>
    <x:t xml:space="preserve">MLCF|fc_nonint|2022</x:t>
  </x:si>
  <x:si>
    <x:t xml:space="preserve">MLCF|fc_nonint|2023</x:t>
  </x:si>
  <x:si>
    <x:t xml:space="preserve">249</x:t>
  </x:si>
  <x:si>
    <x:t xml:space="preserve">MLCF|fc_nonint|2024</x:t>
  </x:si>
  <x:si>
    <x:t xml:space="preserve">MLCF|fc_nonint|2025</x:t>
  </x:si>
  <x:si>
    <x:t xml:space="preserve">MLCF|da|2021</x:t>
  </x:si>
  <x:si>
    <x:t xml:space="preserve">Depreciation; Amortization</x:t>
  </x:si>
  <x:si>
    <x:t xml:space="preserve">MLCF|da|2022</x:t>
  </x:si>
  <x:si>
    <x:t xml:space="preserve">MLCF|da|2023</x:t>
  </x:si>
  <x:si>
    <x:t xml:space="preserve">- Depreciation on operating fixed a; - Amortization on intangible assets</x:t>
  </x:si>
  <x:si>
    <x:t xml:space="preserve">251</x:t>
  </x:si>
  <x:si>
    <x:t xml:space="preserve">MLCF|da|2024</x:t>
  </x:si>
  <x:si>
    <x:t xml:space="preserve">- Depreciation on operating fixed a; - Depreciation on right-of-use asse; - Amortization on intangible assets</x:t>
  </x:si>
  <x:si>
    <x:t xml:space="preserve">MLCF|da|2025</x:t>
  </x:si>
  <x:si>
    <x:t xml:space="preserve">MLCF|cgo|2021</x:t>
  </x:si>
  <x:si>
    <x:t xml:space="preserve">Cash generated from operations before wo</x:t>
  </x:si>
  <x:si>
    <x:t xml:space="preserve">MLCF|cgo|2022</x:t>
  </x:si>
  <x:si>
    <x:t xml:space="preserve">MLCF|cgo|2023</x:t>
  </x:si>
  <x:si>
    <x:t xml:space="preserve">192</x:t>
  </x:si>
  <x:si>
    <x:t xml:space="preserve">MLCF|cgo|2024</x:t>
  </x:si>
  <x:si>
    <x:t xml:space="preserve">MLCF|cgo|2025</x:t>
  </x:si>
  <x:si>
    <x:t xml:space="preserve">MLCF|cfo|2021</x:t>
  </x:si>
  <x:si>
    <x:t xml:space="preserve">MLCF|cfo|2022</x:t>
  </x:si>
  <x:si>
    <x:t xml:space="preserve">MLCF|cfo|2023</x:t>
  </x:si>
  <x:si>
    <x:t xml:space="preserve">MLCF|cfo|2024</x:t>
  </x:si>
  <x:si>
    <x:t xml:space="preserve">MLCF|cfo|2025</x:t>
  </x:si>
  <x:si>
    <x:t xml:space="preserve">MLCF|fin_paid|2021</x:t>
  </x:si>
  <x:si>
    <x:t xml:space="preserve">MLCF|fin_paid|2022</x:t>
  </x:si>
  <x:si>
    <x:t xml:space="preserve">MLCF|fin_paid|2023</x:t>
  </x:si>
  <x:si>
    <x:t xml:space="preserve">MLCF|fin_paid|2024</x:t>
  </x:si>
  <x:si>
    <x:t xml:space="preserve">MLCF|fin_paid|2025</x:t>
  </x:si>
  <x:si>
    <x:t xml:space="preserve">MLCF|fin_paid_cls|2021</x:t>
  </x:si>
  <x:si>
    <x:t xml:space="preserve">MLCF|fin_paid_cls|2022</x:t>
  </x:si>
  <x:si>
    <x:t xml:space="preserve">MLCF|fin_paid_cls|2023</x:t>
  </x:si>
  <x:si>
    <x:t xml:space="preserve">MLCF|fin_paid_cls|2024</x:t>
  </x:si>
  <x:si>
    <x:t xml:space="preserve">MLCF|fin_paid_cls|2025</x:t>
  </x:si>
  <x:si>
    <x:t xml:space="preserve">MLCF|capex|2021</x:t>
  </x:si>
  <x:si>
    <x:t xml:space="preserve">Capital expenditure</x:t>
  </x:si>
  <x:si>
    <x:t xml:space="preserve">MLCF|capex|2022</x:t>
  </x:si>
  <x:si>
    <x:t xml:space="preserve">MLCF|capex|2023</x:t>
  </x:si>
  <x:si>
    <x:t xml:space="preserve">MLCF|capex|2024</x:t>
  </x:si>
  <x:si>
    <x:t xml:space="preserve">MLCF|capex|2025</x:t>
  </x:si>
  <x:si>
    <x:t xml:space="preserve">MLCF|cfi|2021</x:t>
  </x:si>
  <x:si>
    <x:t xml:space="preserve">Net cash (used in) / generated from inve</x:t>
  </x:si>
  <x:si>
    <x:t xml:space="preserve">MLCF|cfi|2022</x:t>
  </x:si>
  <x:si>
    <x:t xml:space="preserve">MLCF|cfi|2023</x:t>
  </x:si>
  <x:si>
    <x:t xml:space="preserve">Net cash outflow from investing activiti</x:t>
  </x:si>
  <x:si>
    <x:t xml:space="preserve">MLCF|cfi|2024</x:t>
  </x:si>
  <x:si>
    <x:t xml:space="preserve">MLCF|cfi|2025</x:t>
  </x:si>
  <x:si>
    <x:t xml:space="preserve">MLCF|cff|2021</x:t>
  </x:si>
  <x:si>
    <x:t xml:space="preserve">Net cash generated from / (used in) fina</x:t>
  </x:si>
  <x:si>
    <x:t xml:space="preserve">MLCF|cff|2022</x:t>
  </x:si>
  <x:si>
    <x:t xml:space="preserve">MLCF|cff|2023</x:t>
  </x:si>
  <x:si>
    <x:t xml:space="preserve">MLCF|cff|2024</x:t>
  </x:si>
  <x:si>
    <x:t xml:space="preserve">MLCF|cff|2025</x:t>
  </x:si>
  <x:si>
    <x:t xml:space="preserve">MLCF|div_paid|2021</x:t>
  </x:si>
  <x:si>
    <x:t xml:space="preserve">MLCF|div_paid|2022</x:t>
  </x:si>
  <x:si>
    <x:t xml:space="preserve">MLCF|div_paid|2023</x:t>
  </x:si>
  <x:si>
    <x:t xml:space="preserve">MLCF|div_paid|2024</x:t>
  </x:si>
  <x:si>
    <x:t xml:space="preserve">MLCF|div_paid|2025</x:t>
  </x:si>
  <x:si>
    <x:t xml:space="preserve">MLCF|par|2021</x:t>
  </x:si>
  <x:si>
    <x:t xml:space="preserve">220</x:t>
  </x:si>
  <x:si>
    <x:t xml:space="preserve">MLCF|par|2022</x:t>
  </x:si>
  <x:si>
    <x:t xml:space="preserve">MLCF|par|2023</x:t>
  </x:si>
  <x:si>
    <x:t xml:space="preserve">MLCF|par|2024</x:t>
  </x:si>
  <x:si>
    <x:t xml:space="preserve">MLCF|par|2025</x:t>
  </x:si>
  <x:si>
    <x:t xml:space="preserve">266</x:t>
  </x:si>
  <x:si>
    <x:t xml:space="preserve">MLCF|wavg|2021</x:t>
  </x:si>
  <x:si>
    <x:t xml:space="preserve">MLCF|wavg|2022</x:t>
  </x:si>
  <x:si>
    <x:t xml:space="preserve">MLCF|wavg|2023</x:t>
  </x:si>
  <x:si>
    <x:t xml:space="preserve">MLCF|wavg|2024</x:t>
  </x:si>
  <x:si>
    <x:t xml:space="preserve">MLCF|wavg|2025</x:t>
  </x:si>
  <x:si>
    <x:t xml:space="preserve">MLCF|price|2021</x:t>
  </x:si>
  <x:si>
    <x:t xml:space="preserve">MLCF|price|2022</x:t>
  </x:si>
  <x:si>
    <x:t xml:space="preserve">MLCF|price|2023</x:t>
  </x:si>
  <x:si>
    <x:t xml:space="preserve">MLCF|price|2024</x:t>
  </x:si>
  <x:si>
    <x:t xml:space="preserve">MLCF|price|2025</x:t>
  </x:si>
  <x:si>
    <x:t xml:space="preserve">MLCF|dps|2021</x:t>
  </x:si>
  <x:si>
    <x:t xml:space="preserve">174</x:t>
  </x:si>
  <x:si>
    <x:t xml:space="preserve">MLCF|dps|2022</x:t>
  </x:si>
  <x:si>
    <x:t xml:space="preserve">MLCF|dps|2023</x:t>
  </x:si>
  <x:si>
    <x:t xml:space="preserve">MLCF|dps|2024</x:t>
  </x:si>
  <x:si>
    <x:t xml:space="preserve">MLCF|dps|2025</x:t>
  </x:si>
  <x:si>
    <x:t xml:space="preserve">MLCF|eps_rep|2021</x:t>
  </x:si>
  <x:si>
    <x:t xml:space="preserve">162</x:t>
  </x:si>
  <x:si>
    <x:t xml:space="preserve">MLCF|eps_rep|2022</x:t>
  </x:si>
  <x:si>
    <x:t xml:space="preserve">MLCF|eps_rep|2023</x:t>
  </x:si>
  <x:si>
    <x:t xml:space="preserve">MLCF|eps_rep|2024</x:t>
  </x:si>
  <x:si>
    <x:t xml:space="preserve">MLCF|eps_rep|2025</x:t>
  </x:si>
  <x:si>
    <x:t xml:space="preserve">MLCF|adj|2021</x:t>
  </x:si>
  <x:si>
    <x:t xml:space="preserve">MLCF|adj|2022</x:t>
  </x:si>
  <x:si>
    <x:t xml:space="preserve">MLCF|adj|2023</x:t>
  </x:si>
  <x:si>
    <x:t xml:space="preserve">MLCF|adj|2024</x:t>
  </x:si>
  <x:si>
    <x:t xml:space="preserve">MLCF|adj|2025</x:t>
  </x:si>
  <x:si>
    <x:t xml:space="preserve">FCCL|ppe|2020</x:t>
  </x:si>
  <x:si>
    <x:t xml:space="preserve">FCCL-Annual-Report-2021.pdf</x:t>
  </x:si>
  <x:si>
    <x:t xml:space="preserve">FCCL|ppe|2021</x:t>
  </x:si>
  <x:si>
    <x:t xml:space="preserve">FCCL-Annual-Report-2022.pdf</x:t>
  </x:si>
  <x:si>
    <x:t xml:space="preserve">FCCL|ppe|2022</x:t>
  </x:si>
  <x:si>
    <x:t xml:space="preserve">FCCL-Annual-Report-2023.pdf</x:t>
  </x:si>
  <x:si>
    <x:t xml:space="preserve">207</x:t>
  </x:si>
  <x:si>
    <x:t xml:space="preserve">FCCL|ppe|2023</x:t>
  </x:si>
  <x:si>
    <x:t xml:space="preserve">FCCL-Annual-Report-2024.pdf</x:t>
  </x:si>
  <x:si>
    <x:t xml:space="preserve">FCCL|ppe|2024</x:t>
  </x:si>
  <x:si>
    <x:t xml:space="preserve">FCCL-Annual-Report-2025.pdf</x:t>
  </x:si>
  <x:si>
    <x:t xml:space="preserve">FCCL|ppe|2025</x:t>
  </x:si>
  <x:si>
    <x:t xml:space="preserve">FCCL|cwip|2020</x:t>
  </x:si>
  <x:si>
    <x:t xml:space="preserve">Capital work in progress column, PPE note</x:t>
  </x:si>
  <x:si>
    <x:t xml:space="preserve">191</x:t>
  </x:si>
  <x:si>
    <x:t xml:space="preserve">FCCL|cwip|2021</x:t>
  </x:si>
  <x:si>
    <x:t xml:space="preserve">FCCL|cwip|2022</x:t>
  </x:si>
  <x:si>
    <x:t xml:space="preserve">FCCL|cwip|2023</x:t>
  </x:si>
  <x:si>
    <x:t xml:space="preserve">217</x:t>
  </x:si>
  <x:si>
    <x:t xml:space="preserve">FCCL|cwip|2024</x:t>
  </x:si>
  <x:si>
    <x:t xml:space="preserve">FCCL|cwip|2025</x:t>
  </x:si>
  <x:si>
    <x:t xml:space="preserve">268</x:t>
  </x:si>
  <x:si>
    <x:t xml:space="preserve">FCCL|rou|2020</x:t>
  </x:si>
  <x:si>
    <x:t xml:space="preserve">Right of use asset</x:t>
  </x:si>
  <x:si>
    <x:t xml:space="preserve">FCCL|rou|2021</x:t>
  </x:si>
  <x:si>
    <x:t xml:space="preserve">FCCL|rou|2022</x:t>
  </x:si>
  <x:si>
    <x:t xml:space="preserve">FCCL|rou|2023</x:t>
  </x:si>
  <x:si>
    <x:t xml:space="preserve">FCCL|rou|2024</x:t>
  </x:si>
  <x:si>
    <x:t xml:space="preserve">FCCL|rou|2025</x:t>
  </x:si>
  <x:si>
    <x:t xml:space="preserve">FCCL|intang|2020</x:t>
  </x:si>
  <x:si>
    <x:t xml:space="preserve">FCCL|intang|2021</x:t>
  </x:si>
  <x:si>
    <x:t xml:space="preserve">FCCL|intang|2022</x:t>
  </x:si>
  <x:si>
    <x:t xml:space="preserve">Intangible assets and goodwill</x:t>
  </x:si>
  <x:si>
    <x:t xml:space="preserve">FCCL|intang|2023</x:t>
  </x:si>
  <x:si>
    <x:t xml:space="preserve">FCCL|intang|2024</x:t>
  </x:si>
  <x:si>
    <x:t xml:space="preserve">FCCL|intang|2025</x:t>
  </x:si>
  <x:si>
    <x:t xml:space="preserve">FCCL|inv_prop|2020</x:t>
  </x:si>
  <x:si>
    <x:t xml:space="preserve">FCCL|inv_prop|2021</x:t>
  </x:si>
  <x:si>
    <x:t xml:space="preserve">FCCL|inv_prop|2022</x:t>
  </x:si>
  <x:si>
    <x:t xml:space="preserve">FCCL|inv_prop|2023</x:t>
  </x:si>
  <x:si>
    <x:t xml:space="preserve">FCCL|inv_prop|2024</x:t>
  </x:si>
  <x:si>
    <x:t xml:space="preserve">FCCL|inv_prop|2025</x:t>
  </x:si>
  <x:si>
    <x:t xml:space="preserve">FCCL|lt_inv|2020</x:t>
  </x:si>
  <x:si>
    <x:t xml:space="preserve">FCCL|lt_inv|2021</x:t>
  </x:si>
  <x:si>
    <x:t xml:space="preserve">Long term investment in associate</x:t>
  </x:si>
  <x:si>
    <x:t xml:space="preserve">FCCL|lt_inv|2022</x:t>
  </x:si>
  <x:si>
    <x:t xml:space="preserve">FCCL|lt_inv|2023</x:t>
  </x:si>
  <x:si>
    <x:t xml:space="preserve">FCCL|lt_inv|2024</x:t>
  </x:si>
  <x:si>
    <x:t xml:space="preserve">FCCL|lt_inv|2025</x:t>
  </x:si>
  <x:si>
    <x:t xml:space="preserve">FCCL|nca_other|2020</x:t>
  </x:si>
  <x:si>
    <x:t xml:space="preserve">Advance against issue of shares; Long term deposits</x:t>
  </x:si>
  <x:si>
    <x:t xml:space="preserve">FCCL|nca_other|2021</x:t>
  </x:si>
  <x:si>
    <x:t xml:space="preserve">FCCL|nca_other|2022</x:t>
  </x:si>
  <x:si>
    <x:t xml:space="preserve">FCCL|nca_other|2023</x:t>
  </x:si>
  <x:si>
    <x:t xml:space="preserve">FCCL|nca_other|2024</x:t>
  </x:si>
  <x:si>
    <x:t xml:space="preserve">FCCL|nca_other|2025</x:t>
  </x:si>
  <x:si>
    <x:t xml:space="preserve">FCCL|stores|2020</x:t>
  </x:si>
  <x:si>
    <x:t xml:space="preserve">FCCL|stores|2021</x:t>
  </x:si>
  <x:si>
    <x:t xml:space="preserve">Stores, spares and loose tools - net</x:t>
  </x:si>
  <x:si>
    <x:t xml:space="preserve">FCCL|stores|2022</x:t>
  </x:si>
  <x:si>
    <x:t xml:space="preserve">FCCL|stores|2023</x:t>
  </x:si>
  <x:si>
    <x:t xml:space="preserve">FCCL|stores|2024</x:t>
  </x:si>
  <x:si>
    <x:t xml:space="preserve">FCCL|stores|2025</x:t>
  </x:si>
  <x:si>
    <x:t xml:space="preserve">FCCL|sit|2020</x:t>
  </x:si>
  <x:si>
    <x:t xml:space="preserve">Stock in trade</x:t>
  </x:si>
  <x:si>
    <x:t xml:space="preserve">FCCL|sit|2021</x:t>
  </x:si>
  <x:si>
    <x:t xml:space="preserve">FCCL|sit|2022</x:t>
  </x:si>
  <x:si>
    <x:t xml:space="preserve">FCCL|sit|2023</x:t>
  </x:si>
  <x:si>
    <x:t xml:space="preserve">FCCL|sit|2024</x:t>
  </x:si>
  <x:si>
    <x:t xml:space="preserve">FCCL|sit|2025</x:t>
  </x:si>
  <x:si>
    <x:t xml:space="preserve">FCCL|debts|2020</x:t>
  </x:si>
  <x:si>
    <x:t xml:space="preserve">FCCL|debts|2021</x:t>
  </x:si>
  <x:si>
    <x:t xml:space="preserve">Trade debts - net</x:t>
  </x:si>
  <x:si>
    <x:t xml:space="preserve">FCCL|debts|2022</x:t>
  </x:si>
  <x:si>
    <x:t xml:space="preserve">FCCL|debts|2023</x:t>
  </x:si>
  <x:si>
    <x:t xml:space="preserve">FCCL|debts|2024</x:t>
  </x:si>
  <x:si>
    <x:t xml:space="preserve">FCCL|debts|2025</x:t>
  </x:si>
  <x:si>
    <x:t xml:space="preserve">FCCL|st_inv|2020</x:t>
  </x:si>
  <x:si>
    <x:t xml:space="preserve">FCCL|st_inv|2021</x:t>
  </x:si>
  <x:si>
    <x:t xml:space="preserve">FCCL|st_inv|2022</x:t>
  </x:si>
  <x:si>
    <x:t xml:space="preserve">FCCL|st_inv|2023</x:t>
  </x:si>
  <x:si>
    <x:t xml:space="preserve">FCCL|st_inv|2024</x:t>
  </x:si>
  <x:si>
    <x:t xml:space="preserve">FCCL|st_inv|2025</x:t>
  </x:si>
  <x:si>
    <x:t xml:space="preserve">FCCL|cash|2020</x:t>
  </x:si>
  <x:si>
    <x:t xml:space="preserve">FCCL|cash|2021</x:t>
  </x:si>
  <x:si>
    <x:t xml:space="preserve">FCCL|cash|2022</x:t>
  </x:si>
  <x:si>
    <x:t xml:space="preserve">FCCL|cash|2023</x:t>
  </x:si>
  <x:si>
    <x:t xml:space="preserve">FCCL|cash|2024</x:t>
  </x:si>
  <x:si>
    <x:t xml:space="preserve">FCCL|cash|2025</x:t>
  </x:si>
  <x:si>
    <x:t xml:space="preserve">FCCL|ca_other|2020</x:t>
  </x:si>
  <x:si>
    <x:t xml:space="preserve">Advance tax - net; Advances; Other receivables; Trade deposits and short term prepayment</x:t>
  </x:si>
  <x:si>
    <x:t xml:space="preserve">FCCL|ca_other|2021</x:t>
  </x:si>
  <x:si>
    <x:t xml:space="preserve">Advance tax - net; Advances; Other receivables; Sales tax refundable-net; Trade deposits and short term prepayment</x:t>
  </x:si>
  <x:si>
    <x:t xml:space="preserve">FCCL|ca_other|2022</x:t>
  </x:si>
  <x:si>
    <x:t xml:space="preserve">FCCL|ca_other|2023</x:t>
  </x:si>
  <x:si>
    <x:t xml:space="preserve">FCCL|ca_other|2024</x:t>
  </x:si>
  <x:si>
    <x:t xml:space="preserve">Advance tax - net; Advances; Other receivables; Sales tax refundable - net; Trade deposits and short term prepayment</x:t>
  </x:si>
  <x:si>
    <x:t xml:space="preserve">FCCL|ca_other|2025</x:t>
  </x:si>
  <x:si>
    <x:t xml:space="preserve">FCCL|share_cap|2020</x:t>
  </x:si>
  <x:si>
    <x:t xml:space="preserve">FCCL|share_cap|2021</x:t>
  </x:si>
  <x:si>
    <x:t xml:space="preserve">FCCL|share_cap|2022</x:t>
  </x:si>
  <x:si>
    <x:t xml:space="preserve">FCCL|share_cap|2023</x:t>
  </x:si>
  <x:si>
    <x:t xml:space="preserve">FCCL|share_cap|2024</x:t>
  </x:si>
  <x:si>
    <x:t xml:space="preserve">FCCL|share_cap|2025</x:t>
  </x:si>
  <x:si>
    <x:t xml:space="preserve">FCCL|eq_other|2020</x:t>
  </x:si>
  <x:si>
    <x:t xml:space="preserve">Discount on issue of shares; Unappropriated profits</x:t>
  </x:si>
  <x:si>
    <x:t xml:space="preserve">FCCL|eq_other|2021</x:t>
  </x:si>
  <x:si>
    <x:t xml:space="preserve">Premium/(discount) on issue of shares; Unappropriated profit</x:t>
  </x:si>
  <x:si>
    <x:t xml:space="preserve">FCCL|eq_other|2022</x:t>
  </x:si>
  <x:si>
    <x:t xml:space="preserve">Premium on issue of shares; Revenue reserve</x:t>
  </x:si>
  <x:si>
    <x:t xml:space="preserve">FCCL|eq_other|2023</x:t>
  </x:si>
  <x:si>
    <x:t xml:space="preserve">Capital reserve - Premium on issue of sh; Revenue reserve - Accumulated profits</x:t>
  </x:si>
  <x:si>
    <x:t xml:space="preserve">FCCL|eq_other|2024</x:t>
  </x:si>
  <x:si>
    <x:t xml:space="preserve">FCCL|eq_other|2025</x:t>
  </x:si>
  <x:si>
    <x:t xml:space="preserve">FCCL|ltf_nc|2020</x:t>
  </x:si>
  <x:si>
    <x:t xml:space="preserve">Long term loans - secured</x:t>
  </x:si>
  <x:si>
    <x:t xml:space="preserve">FCCL|ltf_nc|2021</x:t>
  </x:si>
  <x:si>
    <x:t xml:space="preserve">FCCL|ltf_nc|2022</x:t>
  </x:si>
  <x:si>
    <x:t xml:space="preserve">FCCL|ltf_nc|2023</x:t>
  </x:si>
  <x:si>
    <x:t xml:space="preserve">FCCL|ltf_nc|2024</x:t>
  </x:si>
  <x:si>
    <x:t xml:space="preserve">FCCL|ltf_nc|2025</x:t>
  </x:si>
  <x:si>
    <x:t xml:space="preserve">FCCL|lease_nc|2020</x:t>
  </x:si>
  <x:si>
    <x:t xml:space="preserve">Lease liability</x:t>
  </x:si>
  <x:si>
    <x:t xml:space="preserve">FCCL|lease_nc|2021</x:t>
  </x:si>
  <x:si>
    <x:t xml:space="preserve">FCCL|lease_nc|2022</x:t>
  </x:si>
  <x:si>
    <x:t xml:space="preserve">FCCL|lease_nc|2023</x:t>
  </x:si>
  <x:si>
    <x:t xml:space="preserve">FCCL|lease_nc|2024</x:t>
  </x:si>
  <x:si>
    <x:t xml:space="preserve">FCCL|lease_nc|2025</x:t>
  </x:si>
  <x:si>
    <x:t xml:space="preserve">FCCL|grant_nc|2020</x:t>
  </x:si>
  <x:si>
    <x:t xml:space="preserve">FCCL|grant_nc|2021</x:t>
  </x:si>
  <x:si>
    <x:t xml:space="preserve">FCCL|grant_nc|2022</x:t>
  </x:si>
  <x:si>
    <x:t xml:space="preserve">FCCL|grant_nc|2023</x:t>
  </x:si>
  <x:si>
    <x:t xml:space="preserve">FCCL|grant_nc|2024</x:t>
  </x:si>
  <x:si>
    <x:t xml:space="preserve">FCCL|grant_nc|2025</x:t>
  </x:si>
  <x:si>
    <x:t xml:space="preserve">FCCL|def_tax|2020</x:t>
  </x:si>
  <x:si>
    <x:t xml:space="preserve">Deferred tax liabilities - net</x:t>
  </x:si>
  <x:si>
    <x:t xml:space="preserve">FCCL|def_tax|2021</x:t>
  </x:si>
  <x:si>
    <x:t xml:space="preserve">FCCL|def_tax|2022</x:t>
  </x:si>
  <x:si>
    <x:t xml:space="preserve">FCCL|def_tax|2023</x:t>
  </x:si>
  <x:si>
    <x:t xml:space="preserve">FCCL|def_tax|2024</x:t>
  </x:si>
  <x:si>
    <x:t xml:space="preserve">FCCL|def_tax|2025</x:t>
  </x:si>
  <x:si>
    <x:t xml:space="preserve">FCCL|ncl_other|2020</x:t>
  </x:si>
  <x:si>
    <x:t xml:space="preserve">Employee benefits</x:t>
  </x:si>
  <x:si>
    <x:t xml:space="preserve">FCCL|ncl_other|2021</x:t>
  </x:si>
  <x:si>
    <x:t xml:space="preserve">FCCL|ncl_other|2022</x:t>
  </x:si>
  <x:si>
    <x:t xml:space="preserve">FCCL|ncl_other|2023</x:t>
  </x:si>
  <x:si>
    <x:t xml:space="preserve">FCCL|ncl_other|2024</x:t>
  </x:si>
  <x:si>
    <x:t xml:space="preserve">FCCL|ncl_other|2025</x:t>
  </x:si>
  <x:si>
    <x:t xml:space="preserve">FCCL|tap|2020</x:t>
  </x:si>
  <x:si>
    <x:t xml:space="preserve">FCCL|tap|2021</x:t>
  </x:si>
  <x:si>
    <x:t xml:space="preserve">FCCL|tap|2022</x:t>
  </x:si>
  <x:si>
    <x:t xml:space="preserve">FCCL|tap|2023</x:t>
  </x:si>
  <x:si>
    <x:t xml:space="preserve">FCCL|tap|2024</x:t>
  </x:si>
  <x:si>
    <x:t xml:space="preserve">FCCL|tap|2025</x:t>
  </x:si>
  <x:si>
    <x:t xml:space="preserve">FCCL|trade_cred|2020</x:t>
  </x:si>
  <x:si>
    <x:t xml:space="preserve">187</x:t>
  </x:si>
  <x:si>
    <x:t xml:space="preserve">FCCL|trade_cred|2021</x:t>
  </x:si>
  <x:si>
    <x:t xml:space="preserve">213</x:t>
  </x:si>
  <x:si>
    <x:t xml:space="preserve">FCCL|trade_cred|2022</x:t>
  </x:si>
  <x:si>
    <x:t xml:space="preserve">FCCL|trade_cred|2023</x:t>
  </x:si>
  <x:si>
    <x:t xml:space="preserve">212</x:t>
  </x:si>
  <x:si>
    <x:t xml:space="preserve">FCCL|trade_cred|2024</x:t>
  </x:si>
  <x:si>
    <x:t xml:space="preserve">FCCL|trade_cred|2025</x:t>
  </x:si>
  <x:si>
    <x:t xml:space="preserve">FCCL|contract|2020</x:t>
  </x:si>
  <x:si>
    <x:t xml:space="preserve">Contract liabilities</x:t>
  </x:si>
  <x:si>
    <x:t xml:space="preserve">FCCL|contract|2021</x:t>
  </x:si>
  <x:si>
    <x:t xml:space="preserve">FCCL|contract|2022</x:t>
  </x:si>
  <x:si>
    <x:t xml:space="preserve">FCCL|contract|2023</x:t>
  </x:si>
  <x:si>
    <x:t xml:space="preserve">FCCL|contract|2024</x:t>
  </x:si>
  <x:si>
    <x:t xml:space="preserve">FCCL|contract|2025</x:t>
  </x:si>
  <x:si>
    <x:t xml:space="preserve">FCCL|acc_markup|2020</x:t>
  </x:si>
  <x:si>
    <x:t xml:space="preserve">FCCL|acc_markup|2021</x:t>
  </x:si>
  <x:si>
    <x:t xml:space="preserve">FCCL|acc_markup|2022</x:t>
  </x:si>
  <x:si>
    <x:t xml:space="preserve">FCCL|acc_markup|2023</x:t>
  </x:si>
  <x:si>
    <x:t xml:space="preserve">FCCL|acc_markup|2024</x:t>
  </x:si>
  <x:si>
    <x:t xml:space="preserve">FCCL|acc_markup|2025</x:t>
  </x:si>
  <x:si>
    <x:t xml:space="preserve">FCCL|stb|2020</x:t>
  </x:si>
  <x:si>
    <x:t xml:space="preserve">FCCL|stb|2021</x:t>
  </x:si>
  <x:si>
    <x:t xml:space="preserve">Loan from Parent - unsecured; Short term borrowings - secured</x:t>
  </x:si>
  <x:si>
    <x:t xml:space="preserve">FCCL|stb|2022</x:t>
  </x:si>
  <x:si>
    <x:t xml:space="preserve">Loan from Parent - unsecured; Short term running finance - secured</x:t>
  </x:si>
  <x:si>
    <x:t xml:space="preserve">FCCL|stb|2023</x:t>
  </x:si>
  <x:si>
    <x:t xml:space="preserve">FCCL|stb|2024</x:t>
  </x:si>
  <x:si>
    <x:t xml:space="preserve">FCCL|stb|2025</x:t>
  </x:si>
  <x:si>
    <x:t xml:space="preserve">FCCL|cp_ltf|2020</x:t>
  </x:si>
  <x:si>
    <x:t xml:space="preserve">Current portion of long term loans</x:t>
  </x:si>
  <x:si>
    <x:t xml:space="preserve">FCCL|cp_ltf|2021</x:t>
  </x:si>
  <x:si>
    <x:t xml:space="preserve">FCCL|cp_ltf|2022</x:t>
  </x:si>
  <x:si>
    <x:t xml:space="preserve">FCCL|cp_ltf|2023</x:t>
  </x:si>
  <x:si>
    <x:t xml:space="preserve">FCCL|cp_ltf|2024</x:t>
  </x:si>
  <x:si>
    <x:t xml:space="preserve">FCCL|cp_ltf|2025</x:t>
  </x:si>
  <x:si>
    <x:t xml:space="preserve">FCCL|cp_lease|2020</x:t>
  </x:si>
  <x:si>
    <x:t xml:space="preserve">Current portion of lease liability</x:t>
  </x:si>
  <x:si>
    <x:t xml:space="preserve">FCCL|cp_lease|2021</x:t>
  </x:si>
  <x:si>
    <x:t xml:space="preserve">FCCL|cp_lease|2022</x:t>
  </x:si>
  <x:si>
    <x:t xml:space="preserve">FCCL|cp_lease|2023</x:t>
  </x:si>
  <x:si>
    <x:t xml:space="preserve">FCCL|cp_lease|2024</x:t>
  </x:si>
  <x:si>
    <x:t xml:space="preserve">FCCL|cp_lease|2025</x:t>
  </x:si>
  <x:si>
    <x:t xml:space="preserve">FCCL|cp_grant|2020</x:t>
  </x:si>
  <x:si>
    <x:t xml:space="preserve">FCCL|cp_grant|2021</x:t>
  </x:si>
  <x:si>
    <x:t xml:space="preserve">Current portion of deferred government g</x:t>
  </x:si>
  <x:si>
    <x:t xml:space="preserve">FCCL|cp_grant|2022</x:t>
  </x:si>
  <x:si>
    <x:t xml:space="preserve">FCCL|cp_grant|2023</x:t>
  </x:si>
  <x:si>
    <x:t xml:space="preserve">FCCL|cp_grant|2024</x:t>
  </x:si>
  <x:si>
    <x:t xml:space="preserve">FCCL|cp_grant|2025</x:t>
  </x:si>
  <x:si>
    <x:t xml:space="preserve">FCCL|div_liab|2020</x:t>
  </x:si>
  <x:si>
    <x:t xml:space="preserve">FCCL|div_liab|2021</x:t>
  </x:si>
  <x:si>
    <x:t xml:space="preserve">FCCL|div_liab|2022</x:t>
  </x:si>
  <x:si>
    <x:t xml:space="preserve">FCCL|div_liab|2023</x:t>
  </x:si>
  <x:si>
    <x:t xml:space="preserve">FCCL|div_liab|2024</x:t>
  </x:si>
  <x:si>
    <x:t xml:space="preserve">FCCL|div_liab|2025</x:t>
  </x:si>
  <x:si>
    <x:t xml:space="preserve">FCCL|tax_liab|2020</x:t>
  </x:si>
  <x:si>
    <x:t xml:space="preserve">FCCL|tax_liab|2021</x:t>
  </x:si>
  <x:si>
    <x:t xml:space="preserve">FCCL|tax_liab|2022</x:t>
  </x:si>
  <x:si>
    <x:t xml:space="preserve">FCCL|tax_liab|2023</x:t>
  </x:si>
  <x:si>
    <x:t xml:space="preserve">Provision for tax-net</x:t>
  </x:si>
  <x:si>
    <x:t xml:space="preserve">FCCL|tax_liab|2024</x:t>
  </x:si>
  <x:si>
    <x:t xml:space="preserve">Provision for tax - net</x:t>
  </x:si>
  <x:si>
    <x:t xml:space="preserve">FCCL|tax_liab|2025</x:t>
  </x:si>
  <x:si>
    <x:t xml:space="preserve">FCCL|cl_other|2020</x:t>
  </x:si>
  <x:si>
    <x:t xml:space="preserve">Accrued liabilities; Employee benefits - current portion; Payable to employees' provident fund tru; Security deposits pa</x:t>
  </x:si>
  <x:si>
    <x:t xml:space="preserve">FCCL|cl_other|2021</x:t>
  </x:si>
  <x:si>
    <x:t xml:space="preserve">FCCL|cl_other|2022</x:t>
  </x:si>
  <x:si>
    <x:t xml:space="preserve">FCCL|cl_other|2023</x:t>
  </x:si>
  <x:si>
    <x:t xml:space="preserve">FCCL|cl_other|2024</x:t>
  </x:si>
  <x:si>
    <x:t xml:space="preserve">Accrued liabilities; Security deposits payable</x:t>
  </x:si>
  <x:si>
    <x:t xml:space="preserve">FCCL|cl_other|2025</x:t>
  </x:si>
  <x:si>
    <x:t xml:space="preserve">FCCL|pr_TA|2020</x:t>
  </x:si>
  <x:si>
    <x:t xml:space="preserve">FCCL|pr_TA|2021</x:t>
  </x:si>
  <x:si>
    <x:t xml:space="preserve">FCCL|pr_TA|2022</x:t>
  </x:si>
  <x:si>
    <x:t xml:space="preserve">FCCL|pr_TA|2023</x:t>
  </x:si>
  <x:si>
    <x:t xml:space="preserve">FCCL|pr_TA|2024</x:t>
  </x:si>
  <x:si>
    <x:t xml:space="preserve">FCCL|pr_TA|2025</x:t>
  </x:si>
  <x:si>
    <x:t xml:space="preserve">FCCL|pr_EQ|2020</x:t>
  </x:si>
  <x:si>
    <x:t xml:space="preserve">FCCL|pr_EQ|2021</x:t>
  </x:si>
  <x:si>
    <x:t xml:space="preserve">FCCL|pr_EQ|2022</x:t>
  </x:si>
  <x:si>
    <x:t xml:space="preserve">FCCL|pr_EQ|2023</x:t>
  </x:si>
  <x:si>
    <x:t xml:space="preserve">FCCL|pr_EQ|2024</x:t>
  </x:si>
  <x:si>
    <x:t xml:space="preserve">FCCL|pr_EQ|2025</x:t>
  </x:si>
  <x:si>
    <x:t xml:space="preserve">FCCL|pr_CA|2020</x:t>
  </x:si>
  <x:si>
    <x:t xml:space="preserve">FCCL|pr_CA|2021</x:t>
  </x:si>
  <x:si>
    <x:t xml:space="preserve">FCCL|pr_CA|2022</x:t>
  </x:si>
  <x:si>
    <x:t xml:space="preserve">FCCL|pr_CA|2023</x:t>
  </x:si>
  <x:si>
    <x:t xml:space="preserve">FCCL|pr_CA|2024</x:t>
  </x:si>
  <x:si>
    <x:t xml:space="preserve">FCCL|pr_CA|2025</x:t>
  </x:si>
  <x:si>
    <x:t xml:space="preserve">FCCL|pr_CL|2020</x:t>
  </x:si>
  <x:si>
    <x:t xml:space="preserve">FCCL|pr_CL|2021</x:t>
  </x:si>
  <x:si>
    <x:t xml:space="preserve">FCCL|pr_CL|2022</x:t>
  </x:si>
  <x:si>
    <x:t xml:space="preserve">FCCL|pr_CL|2023</x:t>
  </x:si>
  <x:si>
    <x:t xml:space="preserve">FCCL|pr_CL|2024</x:t>
  </x:si>
  <x:si>
    <x:t xml:space="preserve">FCCL|pr_CL|2025</x:t>
  </x:si>
  <x:si>
    <x:t xml:space="preserve">FCCL|rev|2021</x:t>
  </x:si>
  <x:si>
    <x:t xml:space="preserve">Revenue - net</x:t>
  </x:si>
  <x:si>
    <x:t xml:space="preserve">FCCL|rev|2022</x:t>
  </x:si>
  <x:si>
    <x:t xml:space="preserve">FCCL|rev|2023</x:t>
  </x:si>
  <x:si>
    <x:t xml:space="preserve">FCCL|rev|2024</x:t>
  </x:si>
  <x:si>
    <x:t xml:space="preserve">FCCL|rev|2025</x:t>
  </x:si>
  <x:si>
    <x:t xml:space="preserve">FCCL|cogs|2021</x:t>
  </x:si>
  <x:si>
    <x:t xml:space="preserve">FCCL|cogs|2022</x:t>
  </x:si>
  <x:si>
    <x:t xml:space="preserve">FCCL|cogs|2023</x:t>
  </x:si>
  <x:si>
    <x:t xml:space="preserve">FCCL|cogs|2024</x:t>
  </x:si>
  <x:si>
    <x:t xml:space="preserve">FCCL|cogs|2025</x:t>
  </x:si>
  <x:si>
    <x:t xml:space="preserve">FCCL|selling|2021</x:t>
  </x:si>
  <x:si>
    <x:t xml:space="preserve">FCCL|selling|2022</x:t>
  </x:si>
  <x:si>
    <x:t xml:space="preserve">FCCL|selling|2023</x:t>
  </x:si>
  <x:si>
    <x:t xml:space="preserve">FCCL|selling|2024</x:t>
  </x:si>
  <x:si>
    <x:t xml:space="preserve">FCCL|selling|2025</x:t>
  </x:si>
  <x:si>
    <x:t xml:space="preserve">FCCL|admin|2021</x:t>
  </x:si>
  <x:si>
    <x:t xml:space="preserve">FCCL|admin|2022</x:t>
  </x:si>
  <x:si>
    <x:t xml:space="preserve">FCCL|admin|2023</x:t>
  </x:si>
  <x:si>
    <x:t xml:space="preserve">FCCL|admin|2024</x:t>
  </x:si>
  <x:si>
    <x:t xml:space="preserve">FCCL|admin|2025</x:t>
  </x:si>
  <x:si>
    <x:t xml:space="preserve">FCCL|impair|2021</x:t>
  </x:si>
  <x:si>
    <x:t xml:space="preserve">FCCL|impair|2022</x:t>
  </x:si>
  <x:si>
    <x:t xml:space="preserve">FCCL|impair|2023</x:t>
  </x:si>
  <x:si>
    <x:t xml:space="preserve">FCCL|impair|2024</x:t>
  </x:si>
  <x:si>
    <x:t xml:space="preserve">FCCL|impair|2025</x:t>
  </x:si>
  <x:si>
    <x:t xml:space="preserve">FCCL|oth_exp|2021</x:t>
  </x:si>
  <x:si>
    <x:t xml:space="preserve">FCCL|oth_exp|2022</x:t>
  </x:si>
  <x:si>
    <x:t xml:space="preserve">FCCL|oth_exp|2023</x:t>
  </x:si>
  <x:si>
    <x:t xml:space="preserve">FCCL|oth_exp|2024</x:t>
  </x:si>
  <x:si>
    <x:t xml:space="preserve">FCCL|oth_exp|2025</x:t>
  </x:si>
  <x:si>
    <x:t xml:space="preserve">FCCL|oth_inc|2021</x:t>
  </x:si>
  <x:si>
    <x:t xml:space="preserve">FCCL|oth_inc|2022</x:t>
  </x:si>
  <x:si>
    <x:t xml:space="preserve">FCCL|oth_inc|2023</x:t>
  </x:si>
  <x:si>
    <x:t xml:space="preserve">FCCL|oth_inc|2024</x:t>
  </x:si>
  <x:si>
    <x:t xml:space="preserve">FCCL|oth_inc|2025</x:t>
  </x:si>
  <x:si>
    <x:t xml:space="preserve">FCCL|fin_inc|2021</x:t>
  </x:si>
  <x:si>
    <x:t xml:space="preserve">FCCL|fin_inc|2022</x:t>
  </x:si>
  <x:si>
    <x:t xml:space="preserve">FCCL|fin_inc|2023</x:t>
  </x:si>
  <x:si>
    <x:t xml:space="preserve">FCCL|fin_inc|2024</x:t>
  </x:si>
  <x:si>
    <x:t xml:space="preserve">FCCL|fin_inc|2025</x:t>
  </x:si>
  <x:si>
    <x:t xml:space="preserve">FCCL|assoc|2021</x:t>
  </x:si>
  <x:si>
    <x:t xml:space="preserve">FCCL|assoc|2022</x:t>
  </x:si>
  <x:si>
    <x:t xml:space="preserve">FCCL|assoc|2023</x:t>
  </x:si>
  <x:si>
    <x:t xml:space="preserve">FCCL|assoc|2024</x:t>
  </x:si>
  <x:si>
    <x:t xml:space="preserve">FCCL|assoc|2025</x:t>
  </x:si>
  <x:si>
    <x:t xml:space="preserve">FCCL|fin_cost|2021</x:t>
  </x:si>
  <x:si>
    <x:t xml:space="preserve">FCCL|fin_cost|2022</x:t>
  </x:si>
  <x:si>
    <x:t xml:space="preserve">FCCL|fin_cost|2023</x:t>
  </x:si>
  <x:si>
    <x:t xml:space="preserve">FCCL|fin_cost|2024</x:t>
  </x:si>
  <x:si>
    <x:t xml:space="preserve">FCCL|fin_cost|2025</x:t>
  </x:si>
  <x:si>
    <x:t xml:space="preserve">FCCL|levy|2021</x:t>
  </x:si>
  <x:si>
    <x:t xml:space="preserve">FCCL|levy|2022</x:t>
  </x:si>
  <x:si>
    <x:t xml:space="preserve">FCCL|levy|2023</x:t>
  </x:si>
  <x:si>
    <x:t xml:space="preserve">Final tax - levy</x:t>
  </x:si>
  <x:si>
    <x:t xml:space="preserve">FCCL|levy|2024</x:t>
  </x:si>
  <x:si>
    <x:t xml:space="preserve">FCCL|levy|2025</x:t>
  </x:si>
  <x:si>
    <x:t xml:space="preserve">FCCL|tax|2021</x:t>
  </x:si>
  <x:si>
    <x:t xml:space="preserve">Income tax expense</x:t>
  </x:si>
  <x:si>
    <x:t xml:space="preserve">FCCL|tax|2022</x:t>
  </x:si>
  <x:si>
    <x:t xml:space="preserve">FCCL|tax|2023</x:t>
  </x:si>
  <x:si>
    <x:t xml:space="preserve">FCCL|tax|2024</x:t>
  </x:si>
  <x:si>
    <x:t xml:space="preserve">FCCL|tax|2025</x:t>
  </x:si>
  <x:si>
    <x:t xml:space="preserve">FCCL|pr_gp|2021</x:t>
  </x:si>
  <x:si>
    <x:t xml:space="preserve">FCCL|pr_gp|2022</x:t>
  </x:si>
  <x:si>
    <x:t xml:space="preserve">FCCL|pr_gp|2023</x:t>
  </x:si>
  <x:si>
    <x:t xml:space="preserve">FCCL|pr_gp|2024</x:t>
  </x:si>
  <x:si>
    <x:t xml:space="preserve">FCCL|pr_gp|2025</x:t>
  </x:si>
  <x:si>
    <x:t xml:space="preserve">FCCL|pr_pbt|2021</x:t>
  </x:si>
  <x:si>
    <x:t xml:space="preserve">FCCL|pr_pbt|2022</x:t>
  </x:si>
  <x:si>
    <x:t xml:space="preserve">FCCL|pr_pbt|2023</x:t>
  </x:si>
  <x:si>
    <x:t xml:space="preserve">FCCL|pr_pbt|2024</x:t>
  </x:si>
  <x:si>
    <x:t xml:space="preserve">FCCL|pr_pbt|2025</x:t>
  </x:si>
  <x:si>
    <x:t xml:space="preserve">FCCL|pr_pat|2021</x:t>
  </x:si>
  <x:si>
    <x:t xml:space="preserve">FCCL|pr_pat|2022</x:t>
  </x:si>
  <x:si>
    <x:t xml:space="preserve">FCCL|pr_pat|2023</x:t>
  </x:si>
  <x:si>
    <x:t xml:space="preserve">FCCL|pr_pat|2024</x:t>
  </x:si>
  <x:si>
    <x:t xml:space="preserve">FCCL|pr_pat|2025</x:t>
  </x:si>
  <x:si>
    <x:t xml:space="preserve">FCCL|fc_nonint|2021</x:t>
  </x:si>
  <x:si>
    <x:t xml:space="preserve">Exchange Loss - net; Bank charges and commission - </x:t>
  </x:si>
  <x:si>
    <x:t xml:space="preserve">FCCL|fc_nonint|2022</x:t>
  </x:si>
  <x:si>
    <x:t xml:space="preserve">FCCL|fc_nonint|2023</x:t>
  </x:si>
  <x:si>
    <x:t xml:space="preserve">Exchange (gain)/loss - net; Bank charges and commission - </x:t>
  </x:si>
  <x:si>
    <x:t xml:space="preserve">226</x:t>
  </x:si>
  <x:si>
    <x:t xml:space="preserve">FCCL|fc_nonint|2024</x:t>
  </x:si>
  <x:si>
    <x:t xml:space="preserve">Bank charges and commission + exchange loss/(gain)</x:t>
  </x:si>
  <x:si>
    <x:t xml:space="preserve">FCCL|fc_nonint|2025</x:t>
  </x:si>
  <x:si>
    <x:t xml:space="preserve">FCCL|da|2021</x:t>
  </x:si>
  <x:si>
    <x:t xml:space="preserve">Depreciation on property, plant and; Depreciation on right of use asset; Amortization on intangibles</x:t>
  </x:si>
  <x:si>
    <x:t xml:space="preserve">FCCL|da|2022</x:t>
  </x:si>
  <x:si>
    <x:t xml:space="preserve">Depreciation; Depreciation on right of use asset; Amortization on intangibles</x:t>
  </x:si>
  <x:si>
    <x:t xml:space="preserve">210</x:t>
  </x:si>
  <x:si>
    <x:t xml:space="preserve">FCCL|da|2023</x:t>
  </x:si>
  <x:si>
    <x:t xml:space="preserve">FCCL|da|2024</x:t>
  </x:si>
  <x:si>
    <x:t xml:space="preserve">FCCL|da|2025</x:t>
  </x:si>
  <x:si>
    <x:t xml:space="preserve">FCCL|cgo|2021</x:t>
  </x:si>
  <x:si>
    <x:t xml:space="preserve">FCCL|cgo|2022</x:t>
  </x:si>
  <x:si>
    <x:t xml:space="preserve">FCCL|cgo|2023</x:t>
  </x:si>
  <x:si>
    <x:t xml:space="preserve">FCCL|cgo|2024</x:t>
  </x:si>
  <x:si>
    <x:t xml:space="preserve">FCCL|cgo|2025</x:t>
  </x:si>
  <x:si>
    <x:t xml:space="preserve">FCCL|cfo|2021</x:t>
  </x:si>
  <x:si>
    <x:t xml:space="preserve">FCCL|cfo|2022</x:t>
  </x:si>
  <x:si>
    <x:t xml:space="preserve">FCCL|cfo|2023</x:t>
  </x:si>
  <x:si>
    <x:t xml:space="preserve">FCCL|cfo|2024</x:t>
  </x:si>
  <x:si>
    <x:t xml:space="preserve">FCCL|cfo|2025</x:t>
  </x:si>
  <x:si>
    <x:t xml:space="preserve">FCCL|fin_paid|2021</x:t>
  </x:si>
  <x:si>
    <x:t xml:space="preserve">FCCL|fin_paid|2022</x:t>
  </x:si>
  <x:si>
    <x:t xml:space="preserve">FCCL|fin_paid|2023</x:t>
  </x:si>
  <x:si>
    <x:t xml:space="preserve">FCCL|fin_paid|2024</x:t>
  </x:si>
  <x:si>
    <x:t xml:space="preserve">Markup paid on loan from parent; Finance cost paid</x:t>
  </x:si>
  <x:si>
    <x:t xml:space="preserve">FCCL|fin_paid|2025</x:t>
  </x:si>
  <x:si>
    <x:t xml:space="preserve">FCCL|fin_paid_cls|2021</x:t>
  </x:si>
  <x:si>
    <x:t xml:space="preserve">FCCL|fin_paid_cls|2022</x:t>
  </x:si>
  <x:si>
    <x:t xml:space="preserve">FCCL|fin_paid_cls|2023</x:t>
  </x:si>
  <x:si>
    <x:t xml:space="preserve">FCCL|fin_paid_cls|2024</x:t>
  </x:si>
  <x:si>
    <x:t xml:space="preserve">FCCL|fin_paid_cls|2025</x:t>
  </x:si>
  <x:si>
    <x:t xml:space="preserve">FCCL|capex|2021</x:t>
  </x:si>
  <x:si>
    <x:t xml:space="preserve">Addition in property plant and equipment</x:t>
  </x:si>
  <x:si>
    <x:t xml:space="preserve">FCCL|capex|2022</x:t>
  </x:si>
  <x:si>
    <x:t xml:space="preserve">Additions in property plant and equipmen</x:t>
  </x:si>
  <x:si>
    <x:t xml:space="preserve">FCCL|capex|2023</x:t>
  </x:si>
  <x:si>
    <x:t xml:space="preserve">Additions to property, plant and equipme</x:t>
  </x:si>
  <x:si>
    <x:t xml:space="preserve">FCCL|capex|2024</x:t>
  </x:si>
  <x:si>
    <x:t xml:space="preserve">FCCL|capex|2025</x:t>
  </x:si>
  <x:si>
    <x:t xml:space="preserve">FCCL|cfi|2021</x:t>
  </x:si>
  <x:si>
    <x:t xml:space="preserve">FCCL|cfi|2022</x:t>
  </x:si>
  <x:si>
    <x:t xml:space="preserve">FCCL|cfi|2023</x:t>
  </x:si>
  <x:si>
    <x:t xml:space="preserve">FCCL|cfi|2024</x:t>
  </x:si>
  <x:si>
    <x:t xml:space="preserve">FCCL|cfi|2025</x:t>
  </x:si>
  <x:si>
    <x:t xml:space="preserve">FCCL|cff|2021</x:t>
  </x:si>
  <x:si>
    <x:t xml:space="preserve">FCCL|cff|2022</x:t>
  </x:si>
  <x:si>
    <x:t xml:space="preserve">FCCL|cff|2023</x:t>
  </x:si>
  <x:si>
    <x:t xml:space="preserve">FCCL|cff|2024</x:t>
  </x:si>
  <x:si>
    <x:t xml:space="preserve">FCCL|cff|2025</x:t>
  </x:si>
  <x:si>
    <x:t xml:space="preserve">FCCL|div_paid|2021</x:t>
  </x:si>
  <x:si>
    <x:t xml:space="preserve">FCCL|div_paid|2022</x:t>
  </x:si>
  <x:si>
    <x:t xml:space="preserve">Unclaimed dividend paid during the year</x:t>
  </x:si>
  <x:si>
    <x:t xml:space="preserve">FCCL|div_paid|2023</x:t>
  </x:si>
  <x:si>
    <x:t xml:space="preserve">FCCL|div_paid|2024</x:t>
  </x:si>
  <x:si>
    <x:t xml:space="preserve">Dividend paid during the year</x:t>
  </x:si>
  <x:si>
    <x:t xml:space="preserve">FCCL|div_paid|2025</x:t>
  </x:si>
  <x:si>
    <x:t xml:space="preserve">FCCL|par|2021</x:t>
  </x:si>
  <x:si>
    <x:t xml:space="preserve">199</x:t>
  </x:si>
  <x:si>
    <x:t xml:space="preserve">FCCL|par|2022</x:t>
  </x:si>
  <x:si>
    <x:t xml:space="preserve">228</x:t>
  </x:si>
  <x:si>
    <x:t xml:space="preserve">FCCL|par|2023</x:t>
  </x:si>
  <x:si>
    <x:t xml:space="preserve">FCCL|par|2024</x:t>
  </x:si>
  <x:si>
    <x:t xml:space="preserve">FCCL|par|2025</x:t>
  </x:si>
  <x:si>
    <x:t xml:space="preserve">FCCL|wavg|2021</x:t>
  </x:si>
  <x:si>
    <x:t xml:space="preserve">FCCL|wavg|2022</x:t>
  </x:si>
  <x:si>
    <x:t xml:space="preserve">FCCL|wavg|2023</x:t>
  </x:si>
  <x:si>
    <x:t xml:space="preserve">FCCL|wavg|2024</x:t>
  </x:si>
  <x:si>
    <x:t xml:space="preserve">FCCL|wavg|2025</x:t>
  </x:si>
  <x:si>
    <x:t xml:space="preserve">FCCL|price|2021</x:t>
  </x:si>
  <x:si>
    <x:t xml:space="preserve">FCCL|price|2022</x:t>
  </x:si>
  <x:si>
    <x:t xml:space="preserve">FCCL|price|2023</x:t>
  </x:si>
  <x:si>
    <x:t xml:space="preserve">FCCL|price|2024</x:t>
  </x:si>
  <x:si>
    <x:t xml:space="preserve">FCCL|price|2025</x:t>
  </x:si>
  <x:si>
    <x:t xml:space="preserve">FCCL|dps|2021</x:t>
  </x:si>
  <x:si>
    <x:t xml:space="preserve">FCCL|dps|2022</x:t>
  </x:si>
  <x:si>
    <x:t xml:space="preserve">FCCL|dps|2023</x:t>
  </x:si>
  <x:si>
    <x:t xml:space="preserve">FCCL|dps|2024</x:t>
  </x:si>
  <x:si>
    <x:t xml:space="preserve">FCCL|dps|2025</x:t>
  </x:si>
  <x:si>
    <x:t xml:space="preserve">FCCL|eps_rep|2021</x:t>
  </x:si>
  <x:si>
    <x:t xml:space="preserve">FCCL|eps_rep|2022</x:t>
  </x:si>
  <x:si>
    <x:t xml:space="preserve">FCCL|eps_rep|2023</x:t>
  </x:si>
  <x:si>
    <x:t xml:space="preserve">FCCL|eps_rep|2024</x:t>
  </x:si>
  <x:si>
    <x:t xml:space="preserve">FCCL|eps_rep|2025</x:t>
  </x:si>
  <x:si>
    <x:t xml:space="preserve">FCCL|adj|2021</x:t>
  </x:si>
  <x:si>
    <x:t xml:space="preserve">FCCL|adj|2022</x:t>
  </x:si>
  <x:si>
    <x:t xml:space="preserve">FCCL|adj|2023</x:t>
  </x:si>
  <x:si>
    <x:t xml:space="preserve">FCCL|adj|2024</x:t>
  </x:si>
  <x:si>
    <x:t xml:space="preserve">FCCL|adj|2025</x:t>
  </x:si>
</x:sst>
</file>

<file path=xl/styles.xml><?xml version="1.0" encoding="utf-8"?>
<x:styleSheet xmlns:x="http://schemas.openxmlformats.org/spreadsheetml/2006/main">
  <x:numFmts count="25">
    <x:numFmt numFmtId="164" formatCode="General"/>
    <x:numFmt numFmtId="165" formatCode="0%"/>
    <x:numFmt numFmtId="166" formatCode="0.0000"/>
    <x:numFmt numFmtId="167" formatCode="#,##0.0;\(#,##0.0\);\-"/>
    <x:numFmt numFmtId="168" formatCode="0.0%"/>
    <x:numFmt numFmtId="169" formatCode="@"/>
    <x:numFmt numFmtId="170" formatCode="#,##0.00"/>
    <x:numFmt numFmtId="171" formatCode="#,##0.000"/>
    <x:numFmt numFmtId="172" formatCode="0.00\x"/>
    <x:numFmt numFmtId="173" formatCode="#,##0;\(#,##0\);\-"/>
    <x:numFmt numFmtId="174" formatCode="0"/>
    <x:numFmt numFmtId="175" formatCode="#,##0"/>
    <x:numFmt numFmtId="200" formatCode="dd-mmm-yyyy"/>
    <x:numFmt numFmtId="201" formatCode="#,##0.00;(#,##0.00);&quot;-&quot;"/>
    <x:numFmt numFmtId="202" formatCode="#,##0.000;(#,##0.000);&quot;-&quot;"/>
    <x:numFmt numFmtId="203" formatCode="0.00"/>
    <x:numFmt numFmtId="204" formatCode="0.00;(0.00);&quot;-&quot;"/>
    <x:numFmt numFmtId="205" formatCode="0.00%"/>
    <x:numFmt numFmtId="206" formatCode="0.000"/>
    <x:numFmt numFmtId="207" formatCode="0.00&quot;x&quot;;(0.00)&quot;x&quot;;&quot;-&quot;"/>
    <x:numFmt numFmtId="208" formatCode="0;[Red](0);&quot;-&quot;"/>
    <x:numFmt numFmtId="209" formatCode="0.00%;(0.00%);&quot;-&quot;"/>
    <x:numFmt numFmtId="210" formatCode="#,##0.000000;(#,##0.000000);&quot;-&quot;"/>
    <x:numFmt numFmtId="211" formatCode="#,##0.000000"/>
    <x:numFmt numFmtId="212" formatCode="0.000000"/>
  </x:numFmts>
  <x:fonts count="38">
    <x:font>
      <x:sz val="11"/>
      <x:color theme="1"/>
      <x:name val="Calibri"/>
      <x:family val="2"/>
    </x:font>
    <x:font>
      <x:sz val="10"/>
      <x:name val="Arial"/>
    </x:font>
    <x:font>
      <x:sz val="10"/>
      <x:name val="Arial"/>
    </x:font>
    <x:font>
      <x:sz val="10"/>
      <x:name val="Arial"/>
    </x:font>
    <x:font>
      <x:b/>
      <x:sz val="15"/>
      <x:color rgb="FF1F3864"/>
      <x:name val="Calibri"/>
    </x:font>
    <x:font>
      <x:b/>
      <x:sz val="10"/>
      <x:name val="Calibri"/>
    </x:font>
    <x:font>
      <x:b/>
      <x:sz val="11"/>
      <x:color rgb="FF1F3864"/>
      <x:name val="Calibri"/>
    </x:font>
    <x:font>
      <x:b/>
      <x:sz val="10"/>
      <x:color rgb="FFFFFFFF"/>
      <x:name val="Calibri"/>
    </x:font>
    <x:font>
      <x:u val="single"/>
      <x:sz val="10"/>
      <x:color rgb="FF0563C1"/>
      <x:name val="Calibri"/>
    </x:font>
    <x:font>
      <x:sz val="10"/>
      <x:color rgb="FF0000FF"/>
      <x:name val="Calibri"/>
    </x:font>
    <x:font>
      <x:sz val="9"/>
      <x:name val="Calibri"/>
    </x:font>
    <x:font>
      <x:b/>
      <x:sz val="13"/>
      <x:color rgb="FF1E4D3A"/>
      <x:name val="Calibri"/>
    </x:font>
    <x:font>
      <x:b/>
      <x:sz val="11"/>
      <x:color rgb="FFFFFFFF"/>
      <x:name val="Calibri"/>
    </x:font>
    <x:font>
      <x:b/>
      <x:sz val="11"/>
      <x:name val="Calibri"/>
    </x:font>
    <x:font>
      <x:b/>
      <x:sz val="14"/>
      <x:color rgb="FF1F3864"/>
      <x:name val="Calibri"/>
    </x:font>
    <x:font>
      <x:i/>
      <x:sz val="10"/>
      <x:name val="Calibri"/>
    </x:font>
    <x:font>
      <x:sz val="9"/>
      <x:color rgb="FF595959"/>
      <x:name val="Calibri"/>
    </x:font>
    <x:font>
      <x:sz val="10"/>
      <x:name val="Calibri"/>
    </x:font>
    <x:font>
      <x:i/>
      <x:sz val="9"/>
      <x:name val="Calibri"/>
    </x:font>
    <x:font>
      <x:b/>
      <x:sz val="18"/>
      <x:color rgb="FF000000"/>
      <x:name val="Calibri"/>
      <x:family val="2"/>
    </x:font>
    <x:font>
      <x:sz val="10"/>
      <x:color rgb="FF000000"/>
      <x:name val="Calibri"/>
      <x:family val="2"/>
    </x:font>
    <x:font>
      <x:b/>
      <x:sz val="10"/>
      <x:color rgb="FF000000"/>
      <x:name val="Calibri"/>
      <x:family val="2"/>
    </x:font>
    <x:font>
      <x:sz val="9"/>
      <x:color rgb="FF808080"/>
      <x:name val="Calibri"/>
    </x:font>
    <x:font>
      <x:sz val="10"/>
      <x:color rgb="FF008000"/>
      <x:name val="Calibri"/>
    </x:font>
    <x:font>
      <x:sz val="8"/>
      <x:color rgb="FF808080"/>
      <x:name val="Calibri"/>
    </x:font>
    <x:font>
      <x:sz val="8"/>
      <x:name val="Calibri"/>
    </x:font>
    <x:font>
      <x:sz val="10"/>
      <x:color rgb="FF172C25"/>
      <x:name val="Arial"/>
      <x:family val="2"/>
    </x:font>
    <x:font>
      <x:b/>
      <x:sz val="15"/>
      <x:color rgb="FF204F3D"/>
      <x:name val="Arial"/>
      <x:family val="2"/>
    </x:font>
    <x:font>
      <x:i/>
      <x:sz val="10"/>
      <x:color rgb="FF4A6056"/>
      <x:name val="Arial"/>
      <x:family val="2"/>
    </x:font>
    <x:font>
      <x:b/>
      <x:sz val="10"/>
      <x:color rgb="FFFFFFFF"/>
      <x:name val="Arial"/>
      <x:family val="2"/>
    </x:font>
    <x:font>
      <x:sz val="10"/>
      <x:color rgb="FF0000FF"/>
      <x:name val="Arial"/>
      <x:family val="2"/>
    </x:font>
    <x:font>
      <x:sz val="10"/>
      <x:color rgb="FF008000"/>
      <x:name val="Arial"/>
      <x:family val="2"/>
    </x:font>
    <x:font>
      <x:sz val="10"/>
      <x:color rgb="FF595959"/>
      <x:name val="Calibri"/>
    </x:font>
    <x:font>
      <x:b/>
      <x:sz val="11"/>
      <x:color rgb="FF204F3D"/>
      <x:name val="Calibri"/>
    </x:font>
    <x:font>
      <x:b/>
      <x:sz val="11"/>
      <x:color rgb="FF204F3D"/>
      <x:name val="Calibri"/>
      <x:family val="2"/>
    </x:font>
    <x:font>
      <x:i/>
      <x:sz val="9"/>
      <x:color rgb="FF58675E"/>
      <x:name val="Calibri"/>
      <x:family val="2"/>
    </x:font>
    <x:font>
      <x:i/>
      <x:sz val="10"/>
      <x:color rgb="FF53665C"/>
      <x:name val="Arial"/>
      <x:family val="2"/>
    </x:font>
    <x:font>
      <x:sz val="11"/>
      <x:color rgb="FF172C25"/>
      <x:name val="Calibri"/>
      <x:family val="2"/>
    </x:font>
  </x:fonts>
  <x:fills count="14">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1E4D3A"/>
      </x:patternFill>
    </x:fill>
    <x:fill>
      <x:patternFill patternType="solid">
        <x:fgColor rgb="FFD9E1F2"/>
      </x:patternFill>
    </x:fill>
    <x:fill>
      <x:patternFill patternType="solid">
        <x:fgColor rgb="FFF2F2F2"/>
      </x:patternFill>
    </x:fill>
    <x:fill>
      <x:patternFill patternType="solid">
        <x:fgColor rgb="FF204F3D"/>
      </x:patternFill>
    </x:fill>
    <x:fill>
      <x:patternFill patternType="solid">
        <x:fgColor rgb="FFF1F5F1"/>
      </x:patternFill>
    </x:fill>
    <x:fill>
      <x:patternFill patternType="solid">
        <x:fgColor rgb="FFEDF3EC"/>
      </x:patternFill>
    </x:fill>
    <x:fill>
      <x:patternFill patternType="solid">
        <x:fgColor rgb="FF204F3D"/>
      </x:patternFill>
    </x:fill>
    <x:fill>
      <x:patternFill patternType="solid">
        <x:fgColor rgb="FFF1F5F1"/>
      </x:patternFill>
    </x:fill>
    <x:fill>
      <x:patternFill patternType="solid">
        <x:fgColor rgb="FF204F3D"/>
      </x:patternFill>
    </x:fill>
    <x:fill>
      <x:patternFill patternType="solid">
        <x:fgColor rgb="FF204F3D"/>
      </x:patternFill>
    </x:fill>
  </x:fills>
  <x:borders count="2">
    <x:border diagonalUp="0" diagonalDown="0">
      <x:left/>
      <x:right/>
      <x:top/>
      <x:bottom/>
      <x:diagonal/>
    </x:border>
    <x:border diagonalUp="0" diagonalDown="0">
      <x:left/>
      <x:right/>
      <x:top/>
      <x:bottom style="thin">
        <x:color rgb="FFBFBFBF"/>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209">
    <x:xf numFmtId="164" fontId="0" fillId="0" borderId="0" xfId="0" applyFont="0" applyBorder="0" applyAlignment="0" applyProtection="0">
      <x:alignment horizontal="general" vertical="bottom" wrapText="0" shrinkToFit="0"/>
      <x:protection locked="1" hidden="0"/>
    </x:xf>
    <x:xf numFmtId="164" fontId="4" fillId="0" borderId="0" xfId="0" applyFont="1" applyBorder="0" applyAlignment="0" applyProtection="0">
      <x:alignment horizontal="general" vertical="bottom" wrapText="0" shrinkToFit="0"/>
      <x:protection locked="1" hidden="0"/>
    </x:xf>
    <x:xf numFmtId="164" fontId="5" fillId="0" borderId="0" xfId="0" applyFont="1" applyBorder="0" applyAlignment="0" applyProtection="0">
      <x:alignment horizontal="general" vertical="bottom" wrapText="0" shrinkToFit="0"/>
      <x:protection locked="1" hidden="0"/>
    </x:xf>
    <x:xf numFmtId="164" fontId="0" fillId="0" borderId="0" xfId="0" applyFont="1" applyBorder="1" applyAlignment="0" applyProtection="0">
      <x:alignment horizontal="general" vertical="bottom" wrapText="0" shrinkToFit="0"/>
      <x:protection locked="1" hidden="0"/>
    </x:xf>
    <x:xf numFmtId="164" fontId="6" fillId="0" borderId="0" xfId="0" applyFont="1" applyBorder="0" applyAlignment="0" applyProtection="0">
      <x:alignment horizontal="general" vertical="bottom" wrapText="0" shrinkToFit="0"/>
      <x:protection locked="1" hidden="0"/>
    </x:xf>
    <x:xf numFmtId="164" fontId="7" fillId="2" borderId="0" xfId="0" applyFont="1" applyBorder="0" applyAlignment="0" applyProtection="0">
      <x:alignment horizontal="general" vertical="bottom" wrapText="0" shrinkToFit="0"/>
      <x:protection locked="1" hidden="0"/>
    </x:xf>
    <x:xf numFmtId="164" fontId="8" fillId="0" borderId="0" xfId="0" applyFont="1" applyBorder="0" applyAlignment="0" applyProtection="0">
      <x:alignment horizontal="general" vertical="bottom" wrapText="0" shrinkToFit="0"/>
      <x:protection locked="1" hidden="0"/>
    </x:xf>
    <x:xf numFmtId="164" fontId="0" fillId="0" borderId="0" xfId="0" applyFont="1" applyBorder="1" applyAlignment="1" applyProtection="0">
      <x:alignment horizontal="general" vertical="top" wrapText="1" shrinkToFit="0"/>
      <x:protection locked="1" hidden="0"/>
    </x:xf>
    <x:xf numFmtId="165" fontId="9" fillId="3" borderId="0" xfId="0" applyFont="1" applyBorder="0" applyAlignment="0" applyProtection="0">
      <x:alignment horizontal="general" vertical="bottom" wrapText="0" shrinkToFit="0"/>
      <x:protection locked="1" hidden="0"/>
    </x:xf>
    <x:xf numFmtId="164" fontId="10" fillId="0" borderId="0" xfId="0" applyFont="1" applyBorder="0" applyAlignment="0" applyProtection="0">
      <x:alignment horizontal="general" vertical="bottom" wrapText="0" shrinkToFit="0"/>
      <x:protection locked="1" hidden="0"/>
    </x:xf>
    <x:xf numFmtId="164" fontId="0" fillId="0" borderId="0" xfId="0" applyFont="1" applyBorder="0" applyAlignment="1" applyProtection="0">
      <x:alignment horizontal="general" vertical="bottom" wrapText="1" shrinkToFit="0"/>
      <x:protection locked="1" hidden="0"/>
    </x:xf>
    <x:xf numFmtId="164" fontId="0" fillId="0" borderId="0" xfId="0" applyFont="1" applyBorder="0" applyAlignment="0" applyProtection="0">
      <x:alignment horizontal="general" vertical="bottom" wrapText="0" shrinkToFit="0"/>
      <x:protection locked="1" hidden="0"/>
    </x:xf>
    <x:xf numFmtId="164" fontId="0" fillId="0" borderId="0" xfId="0" applyFont="1" applyBorder="1" applyAlignment="1" applyProtection="0">
      <x:alignment horizontal="general" vertical="bottom" wrapText="1" shrinkToFit="0"/>
      <x:protection locked="1" hidden="0"/>
    </x:xf>
    <x:xf numFmtId="164" fontId="11" fillId="0" borderId="0" xfId="0" applyFont="1" applyBorder="0" applyAlignment="0" applyProtection="0">
      <x:alignment horizontal="general" vertical="bottom" wrapText="0" shrinkToFit="0"/>
      <x:protection locked="1" hidden="0"/>
    </x:xf>
    <x:xf numFmtId="164" fontId="12" fillId="4" borderId="0" xfId="0" applyFont="1" applyBorder="0" applyAlignment="1" applyProtection="0">
      <x:alignment horizontal="general" vertical="bottom" wrapText="1" shrinkToFit="0"/>
      <x:protection locked="1" hidden="0"/>
    </x:xf>
    <x:xf numFmtId="166" fontId="10" fillId="0" borderId="0" xfId="0" applyFont="1" applyBorder="0" applyAlignment="0" applyProtection="0">
      <x:alignment horizontal="general" vertical="bottom" wrapText="0" shrinkToFit="0"/>
      <x:protection locked="1" hidden="0"/>
    </x:xf>
    <x:xf numFmtId="164" fontId="13" fillId="0" borderId="0" xfId="0" applyFont="1" applyBorder="0" applyAlignment="0" applyProtection="0">
      <x:alignment horizontal="general" vertical="bottom" wrapText="0" shrinkToFit="0"/>
      <x:protection locked="1" hidden="0"/>
    </x:xf>
    <x:xf numFmtId="164" fontId="14" fillId="0" borderId="0" xfId="0" applyFont="1" applyBorder="0" applyAlignment="0" applyProtection="0">
      <x:alignment horizontal="general" vertical="bottom" wrapText="0" shrinkToFit="0"/>
      <x:protection locked="1" hidden="0"/>
    </x:xf>
    <x:xf numFmtId="164" fontId="15" fillId="0" borderId="0" xfId="0" applyFont="1" applyBorder="0" applyAlignment="0" applyProtection="0">
      <x:alignment horizontal="general" vertical="bottom" wrapText="0" shrinkToFit="0"/>
      <x:protection locked="1" hidden="0"/>
    </x:xf>
    <x:xf numFmtId="164" fontId="16" fillId="0" borderId="0" xfId="0" applyFont="1" applyBorder="0" applyAlignment="0" applyProtection="0">
      <x:alignment horizontal="general" vertical="bottom" wrapText="0" shrinkToFit="0"/>
      <x:protection locked="1" hidden="0"/>
    </x:xf>
    <x:xf numFmtId="164" fontId="0" fillId="2" borderId="0" xfId="0" applyFont="0" applyBorder="0" applyAlignment="0" applyProtection="0">
      <x:alignment horizontal="general" vertical="bottom" wrapText="0" shrinkToFit="0"/>
      <x:protection locked="1" hidden="0"/>
    </x:xf>
    <x:xf numFmtId="164" fontId="17" fillId="0" borderId="0" xfId="0" applyFont="1" applyBorder="1" applyAlignment="1" applyProtection="0">
      <x:alignment horizontal="general" vertical="top" wrapText="1" shrinkToFit="0"/>
      <x:protection locked="1" hidden="0"/>
    </x:xf>
    <x:xf numFmtId="164" fontId="7" fillId="2" borderId="0" xfId="0" applyFont="1" applyBorder="0" applyAlignment="1" applyProtection="0">
      <x:alignment horizontal="left" vertical="bottom" wrapText="0" shrinkToFit="0"/>
      <x:protection locked="1" hidden="0"/>
    </x:xf>
    <x:xf numFmtId="164" fontId="7" fillId="2" borderId="0" xfId="0" applyFont="1" applyBorder="0" applyAlignment="1" applyProtection="0">
      <x:alignment horizontal="center" vertical="bottom" wrapText="0" shrinkToFit="0"/>
      <x:protection locked="1" hidden="0"/>
    </x:xf>
    <x:xf numFmtId="164" fontId="5" fillId="5" borderId="0" xfId="0" applyFont="1" applyBorder="0" applyAlignment="0" applyProtection="0">
      <x:alignment horizontal="general" vertical="bottom" wrapText="0" shrinkToFit="0"/>
      <x:protection locked="1" hidden="0"/>
    </x:xf>
    <x:xf numFmtId="164" fontId="0" fillId="5" borderId="0" xfId="0" applyFont="0" applyBorder="0" applyAlignment="0" applyProtection="0">
      <x:alignment horizontal="general" vertical="bottom" wrapText="0" shrinkToFit="0"/>
      <x:protection locked="1" hidden="0"/>
    </x:xf>
    <x:xf numFmtId="167" fontId="9" fillId="0" borderId="0" xfId="0" applyFont="1" applyBorder="0" applyAlignment="0" applyProtection="0">
      <x:alignment horizontal="general" vertical="bottom" wrapText="0" shrinkToFit="0"/>
      <x:protection locked="1" hidden="0"/>
    </x:xf>
    <x:xf numFmtId="167" fontId="17" fillId="0" borderId="0" xfId="0" applyFont="1" applyBorder="0" applyAlignment="0" applyProtection="0">
      <x:alignment horizontal="general" vertical="bottom" wrapText="0" shrinkToFit="0"/>
      <x:protection locked="1" hidden="0"/>
    </x:xf>
    <x:xf numFmtId="167" fontId="5" fillId="0" borderId="1" xfId="0" applyFont="1" applyBorder="1" applyAlignment="0" applyProtection="0">
      <x:alignment horizontal="general" vertical="bottom" wrapText="0" shrinkToFit="0"/>
      <x:protection locked="1" hidden="0"/>
    </x:xf>
    <x:xf numFmtId="164" fontId="5" fillId="0" borderId="0" xfId="0" applyFont="1" applyBorder="0" applyAlignment="1" applyProtection="0">
      <x:alignment horizontal="center" vertical="bottom" wrapText="0" shrinkToFit="0"/>
      <x:protection locked="1" hidden="0"/>
    </x:xf>
    <x:xf numFmtId="164" fontId="0" fillId="6" borderId="0" xfId="0" applyFont="0" applyBorder="0" applyAlignment="0" applyProtection="0">
      <x:alignment horizontal="general" vertical="bottom" wrapText="0" shrinkToFit="0"/>
      <x:protection locked="1" hidden="0"/>
    </x:xf>
    <x:xf numFmtId="164" fontId="5" fillId="6" borderId="1" xfId="0" applyFont="1" applyBorder="1" applyAlignment="0" applyProtection="0">
      <x:alignment horizontal="general" vertical="bottom" wrapText="0" shrinkToFit="0"/>
      <x:protection locked="1" hidden="0"/>
    </x:xf>
    <x:xf numFmtId="168" fontId="17" fillId="0" borderId="0" xfId="0" applyFont="1" applyBorder="0" applyAlignment="0" applyProtection="0">
      <x:alignment horizontal="general" vertical="bottom" wrapText="0" shrinkToFit="0"/>
      <x:protection locked="1" hidden="0"/>
    </x:xf>
    <x:xf numFmtId="169" fontId="9" fillId="0" borderId="0" xfId="0" applyFont="1" applyBorder="0" applyAlignment="0" applyProtection="0">
      <x:alignment horizontal="general" vertical="bottom" wrapText="0" shrinkToFit="0"/>
      <x:protection locked="1" hidden="0"/>
    </x:xf>
    <x:xf numFmtId="170" fontId="9" fillId="0" borderId="0" xfId="0" applyFont="1" applyBorder="0" applyAlignment="0" applyProtection="0">
      <x:alignment horizontal="general" vertical="bottom" wrapText="0" shrinkToFit="0"/>
      <x:protection locked="1" hidden="0"/>
    </x:xf>
    <x:xf numFmtId="170" fontId="17" fillId="0" borderId="0" xfId="0" applyFont="1" applyBorder="0" applyAlignment="0" applyProtection="0">
      <x:alignment horizontal="general" vertical="bottom" wrapText="0" shrinkToFit="0"/>
      <x:protection locked="1" hidden="0"/>
    </x:xf>
    <x:xf numFmtId="171" fontId="9" fillId="0" borderId="0" xfId="0" applyFont="1" applyBorder="0" applyAlignment="0" applyProtection="0">
      <x:alignment horizontal="general" vertical="bottom" wrapText="0" shrinkToFit="0"/>
      <x:protection locked="1" hidden="0"/>
    </x:xf>
    <x:xf numFmtId="172" fontId="0" fillId="0" borderId="0" xfId="0" applyFont="0" applyBorder="0" applyAlignment="1" applyProtection="0">
      <x:alignment horizontal="right" vertical="bottom" wrapText="0" shrinkToFit="0"/>
      <x:protection locked="1" hidden="0"/>
    </x:xf>
    <x:xf numFmtId="173" fontId="0" fillId="0" borderId="0" xfId="0" applyFont="0" applyBorder="0" applyAlignment="1" applyProtection="0">
      <x:alignment horizontal="right" vertical="bottom" wrapText="0" shrinkToFit="0"/>
      <x:protection locked="1" hidden="0"/>
    </x:xf>
    <x:xf numFmtId="174" fontId="0" fillId="0" borderId="0" xfId="0" applyFont="0" applyBorder="0" applyAlignment="1" applyProtection="0">
      <x:alignment horizontal="right" vertical="bottom" wrapText="0" shrinkToFit="0"/>
      <x:protection locked="1" hidden="0"/>
    </x:xf>
    <x:xf numFmtId="168" fontId="0" fillId="0" borderId="0" xfId="0" applyFont="0" applyBorder="0" applyAlignment="1" applyProtection="0">
      <x:alignment horizontal="right" vertical="bottom" wrapText="0" shrinkToFit="0"/>
      <x:protection locked="1" hidden="0"/>
    </x:xf>
    <x:xf numFmtId="170" fontId="0" fillId="0" borderId="0" xfId="0" applyFont="0" applyBorder="0" applyAlignment="1" applyProtection="0">
      <x:alignment horizontal="right" vertical="bottom" wrapText="0" shrinkToFit="0"/>
      <x:protection locked="1" hidden="0"/>
    </x:xf>
    <x:xf numFmtId="168" fontId="0" fillId="0" borderId="0" xfId="0" applyFont="0" applyBorder="0" applyAlignment="0" applyProtection="0">
      <x:alignment horizontal="general" vertical="bottom" wrapText="0" shrinkToFit="0"/>
      <x:protection locked="1" hidden="0"/>
    </x:xf>
    <x:xf numFmtId="164" fontId="0" fillId="0" borderId="0" xfId="0" applyFont="1" applyBorder="0" applyAlignment="1" applyProtection="0">
      <x:alignment horizontal="right" vertical="bottom" wrapText="0" shrinkToFit="0"/>
      <x:protection locked="1" hidden="0"/>
    </x:xf>
    <x:xf numFmtId="167" fontId="0" fillId="0" borderId="0" xfId="0" applyFont="0" applyBorder="0" applyAlignment="0" applyProtection="0">
      <x:alignment horizontal="general" vertical="bottom" wrapText="0" shrinkToFit="0"/>
      <x:protection locked="1" hidden="0"/>
    </x:xf>
    <x:xf numFmtId="164" fontId="18" fillId="0" borderId="0" xfId="0" applyFont="1" applyBorder="0" applyAlignment="0" applyProtection="0">
      <x:alignment horizontal="general" vertical="bottom" wrapText="0" shrinkToFit="0"/>
      <x:protection locked="1" hidden="0"/>
    </x:xf>
    <x:xf numFmtId="172" fontId="0" fillId="0" borderId="0" xfId="0" applyFont="0" applyBorder="0" applyAlignment="0" applyProtection="0">
      <x:alignment horizontal="general" vertical="bottom" wrapText="0" shrinkToFit="0"/>
      <x:protection locked="1" hidden="0"/>
    </x:xf>
    <x:xf numFmtId="172" fontId="9" fillId="0" borderId="0" xfId="0" applyFont="1" applyBorder="0" applyAlignment="0" applyProtection="0">
      <x:alignment horizontal="general" vertical="bottom" wrapText="0" shrinkToFit="0"/>
      <x:protection locked="1" hidden="0"/>
    </x:xf>
    <x:xf numFmtId="164" fontId="10" fillId="0" borderId="0" xfId="0" applyFont="1" applyBorder="0" applyAlignment="1" applyProtection="0">
      <x:alignment horizontal="center" vertical="bottom" wrapText="0" shrinkToFit="0"/>
      <x:protection locked="1" hidden="0"/>
    </x:xf>
    <x:xf numFmtId="174" fontId="0" fillId="0" borderId="0" xfId="0" applyFont="0" applyBorder="0" applyAlignment="0" applyProtection="0">
      <x:alignment horizontal="general" vertical="bottom" wrapText="0" shrinkToFit="0"/>
      <x:protection locked="1" hidden="0"/>
    </x:xf>
    <x:xf numFmtId="174" fontId="9" fillId="0" borderId="0" xfId="0" applyFont="1" applyBorder="0" applyAlignment="0" applyProtection="0">
      <x:alignment horizontal="general" vertical="bottom" wrapText="0" shrinkToFit="0"/>
      <x:protection locked="1" hidden="0"/>
    </x:xf>
    <x:xf numFmtId="168" fontId="9" fillId="0" borderId="0" xfId="0" applyFont="1" applyBorder="0" applyAlignment="0" applyProtection="0">
      <x:alignment horizontal="general" vertical="bottom" wrapText="0" shrinkToFit="0"/>
      <x:protection locked="1" hidden="0"/>
    </x:xf>
    <x:xf numFmtId="170" fontId="0" fillId="0" borderId="0" xfId="0" applyFont="0" applyBorder="0" applyAlignment="0" applyProtection="0">
      <x:alignment horizontal="general" vertical="bottom" wrapText="0" shrinkToFit="0"/>
      <x:protection locked="1" hidden="0"/>
    </x:xf>
    <x:xf numFmtId="164" fontId="7" fillId="2" borderId="0" xfId="0" applyFont="1" applyBorder="0" applyAlignment="1" applyProtection="0">
      <x:alignment horizontal="center" vertical="bottom" wrapText="1" shrinkToFit="0"/>
      <x:protection locked="1" hidden="0"/>
    </x:xf>
    <x:xf numFmtId="164" fontId="16" fillId="5" borderId="0" xfId="0" applyFont="1" applyBorder="0" applyAlignment="0" applyProtection="0">
      <x:alignment horizontal="general" vertical="bottom" wrapText="0" shrinkToFit="0"/>
      <x:protection locked="1" hidden="0"/>
    </x:xf>
    <x:xf numFmtId="164" fontId="10" fillId="5" borderId="0" xfId="0" applyFont="1" applyBorder="0" applyAlignment="0" applyProtection="0">
      <x:alignment horizontal="general" vertical="bottom" wrapText="0" shrinkToFit="0"/>
      <x:protection locked="1" hidden="0"/>
    </x:xf>
    <x:xf numFmtId="164" fontId="22" fillId="0" borderId="0" xfId="0" applyFont="1" applyBorder="0" applyAlignment="0" applyProtection="0">
      <x:alignment horizontal="general" vertical="bottom" wrapText="0" shrinkToFit="0"/>
      <x:protection locked="1" hidden="0"/>
    </x:xf>
    <x:xf numFmtId="172" fontId="23" fillId="0" borderId="0" xfId="0" applyFont="1" applyBorder="0" applyAlignment="0" applyProtection="0">
      <x:alignment horizontal="general" vertical="bottom" wrapText="0" shrinkToFit="0"/>
      <x:protection locked="1" hidden="0"/>
    </x:xf>
    <x:xf numFmtId="172" fontId="5" fillId="0" borderId="0" xfId="0" applyFont="1" applyBorder="0" applyAlignment="0" applyProtection="0">
      <x:alignment horizontal="general" vertical="bottom" wrapText="0" shrinkToFit="0"/>
      <x:protection locked="1" hidden="0"/>
    </x:xf>
    <x:xf numFmtId="164" fontId="24" fillId="0" borderId="0" xfId="0" applyFont="1" applyBorder="0" applyAlignment="0" applyProtection="0">
      <x:alignment horizontal="general" vertical="bottom" wrapText="0" shrinkToFit="0"/>
      <x:protection locked="1" hidden="0"/>
    </x:xf>
    <x:xf numFmtId="173" fontId="23" fillId="0" borderId="0" xfId="0" applyFont="1" applyBorder="0" applyAlignment="0" applyProtection="0">
      <x:alignment horizontal="general" vertical="bottom" wrapText="0" shrinkToFit="0"/>
      <x:protection locked="1" hidden="0"/>
    </x:xf>
    <x:xf numFmtId="173" fontId="5" fillId="0" borderId="0" xfId="0" applyFont="1" applyBorder="0" applyAlignment="0" applyProtection="0">
      <x:alignment horizontal="general" vertical="bottom" wrapText="0" shrinkToFit="0"/>
      <x:protection locked="1" hidden="0"/>
    </x:xf>
    <x:xf numFmtId="173" fontId="0" fillId="0" borderId="0" xfId="0" applyFont="0" applyBorder="0" applyAlignment="0" applyProtection="0">
      <x:alignment horizontal="general" vertical="bottom" wrapText="0" shrinkToFit="0"/>
      <x:protection locked="1" hidden="0"/>
    </x:xf>
    <x:xf numFmtId="174" fontId="23" fillId="0" borderId="0" xfId="0" applyFont="1" applyBorder="0" applyAlignment="0" applyProtection="0">
      <x:alignment horizontal="general" vertical="bottom" wrapText="0" shrinkToFit="0"/>
      <x:protection locked="1" hidden="0"/>
    </x:xf>
    <x:xf numFmtId="174" fontId="5" fillId="0" borderId="0" xfId="0" applyFont="1" applyBorder="0" applyAlignment="0" applyProtection="0">
      <x:alignment horizontal="general" vertical="bottom" wrapText="0" shrinkToFit="0"/>
      <x:protection locked="1" hidden="0"/>
    </x:xf>
    <x:xf numFmtId="168" fontId="23" fillId="0" borderId="0" xfId="0" applyFont="1" applyBorder="0" applyAlignment="0" applyProtection="0">
      <x:alignment horizontal="general" vertical="bottom" wrapText="0" shrinkToFit="0"/>
      <x:protection locked="1" hidden="0"/>
    </x:xf>
    <x:xf numFmtId="168" fontId="5" fillId="0" borderId="0" xfId="0" applyFont="1" applyBorder="0" applyAlignment="0" applyProtection="0">
      <x:alignment horizontal="general" vertical="bottom" wrapText="0" shrinkToFit="0"/>
      <x:protection locked="1" hidden="0"/>
    </x:xf>
    <x:xf numFmtId="170" fontId="23" fillId="0" borderId="0" xfId="0" applyFont="1" applyBorder="0" applyAlignment="0" applyProtection="0">
      <x:alignment horizontal="general" vertical="bottom" wrapText="0" shrinkToFit="0"/>
      <x:protection locked="1" hidden="0"/>
    </x:xf>
    <x:xf numFmtId="170" fontId="5" fillId="0" borderId="0" xfId="0" applyFont="1" applyBorder="0" applyAlignment="0" applyProtection="0">
      <x:alignment horizontal="general" vertical="bottom" wrapText="0" shrinkToFit="0"/>
      <x:protection locked="1" hidden="0"/>
    </x:xf>
    <x:xf numFmtId="164" fontId="5" fillId="5" borderId="0" xfId="0" applyFont="1" applyBorder="0" applyAlignment="1" applyProtection="0">
      <x:alignment horizontal="general" vertical="bottom" wrapText="1" shrinkToFit="0"/>
      <x:protection locked="1" hidden="0"/>
    </x:xf>
    <x:xf numFmtId="164" fontId="25" fillId="0" borderId="0" xfId="0" applyFont="1" applyBorder="0" applyAlignment="0" applyProtection="0">
      <x:alignment horizontal="general" vertical="bottom" wrapText="0" shrinkToFit="0"/>
      <x:protection locked="1" hidden="0"/>
    </x:xf>
    <x:xf numFmtId="175" fontId="25" fillId="0" borderId="0" xfId="0" applyFont="1" applyBorder="0" applyAlignment="0" applyProtection="0">
      <x:alignment horizontal="general" vertical="bottom" wrapText="0" shrinkToFit="0"/>
      <x:protection locked="1" hidden="0"/>
    </x:xf>
    <x:xf numFmtId="171" fontId="25" fillId="0" borderId="0" xfId="0" applyFont="1" applyBorder="0" applyAlignment="0" applyProtection="0">
      <x:alignment horizontal="general" vertical="bottom" wrapText="0" shrinkToFit="0"/>
      <x:protection locked="1" hidden="0"/>
    </x:xf>
    <x:xf numFmtId="167" fontId="25" fillId="0" borderId="0" xfId="0" applyFont="1" applyBorder="0" applyAlignment="0" applyProtection="0">
      <x:alignment horizontal="general" vertical="bottom" wrapText="0" shrinkToFit="0"/>
      <x:protection locked="1" hidden="0"/>
    </x:xf>
    <x:xf numFmtId="170" fontId="25" fillId="0" borderId="0" xfId="0" applyFont="1" applyBorder="0" applyAlignment="0" applyProtection="0">
      <x:alignment horizontal="general" vertical="bottom" wrapText="0" shrinkToFit="0"/>
      <x:protection locked="1" hidden="0"/>
    </x:xf>
    <x:xf numFmtId="164" fontId="26" fillId="0" borderId="0" xfId="0" applyNumberFormat="1" applyFont="1" applyFill="1" applyBorder="1" applyAlignment="1">
      <x:alignment horizontal="general" vertical="bottom" wrapText="0"/>
    </x:xf>
    <x:xf numFmtId="164" fontId="26" fillId="0" borderId="0" xfId="0" applyNumberFormat="1" applyFont="1" applyFill="1" applyBorder="1" applyAlignment="1">
      <x:alignment horizontal="general" vertical="center" wrapText="0"/>
    </x:xf>
    <x:xf numFmtId="164" fontId="27" fillId="0" borderId="0" xfId="0" applyNumberFormat="1" applyFont="1" applyFill="1" applyBorder="1" applyAlignment="1">
      <x:alignment horizontal="general" vertical="center" wrapText="0"/>
    </x:xf>
    <x:xf numFmtId="164" fontId="28" fillId="0" borderId="0" xfId="0" applyNumberFormat="1" applyFont="1" applyFill="1" applyBorder="1" applyAlignment="1">
      <x:alignment horizontal="general" vertical="center" wrapText="0"/>
    </x:xf>
    <x:xf numFmtId="164" fontId="26" fillId="7" borderId="0" xfId="0" applyNumberFormat="1" applyFont="1" applyFill="1" applyBorder="1" applyAlignment="1">
      <x:alignment horizontal="general" vertical="center" wrapText="0"/>
    </x:xf>
    <x:xf numFmtId="164" fontId="29" fillId="7" borderId="0" xfId="0" applyNumberFormat="1" applyFont="1" applyFill="1" applyBorder="1" applyAlignment="1">
      <x:alignment horizontal="general" vertical="center" wrapText="0"/>
    </x:xf>
    <x:xf numFmtId="164" fontId="29" fillId="7" borderId="0" xfId="0" applyNumberFormat="1" applyFont="1" applyFill="1" applyBorder="1" applyAlignment="1">
      <x:alignment horizontal="general" vertical="center" wrapText="1"/>
    </x:xf>
    <x:xf numFmtId="164" fontId="29" fillId="7" borderId="0" xfId="0" applyNumberFormat="1" applyFont="1" applyFill="1" applyBorder="1" applyAlignment="1">
      <x:alignment horizontal="center" vertical="center" wrapText="1"/>
    </x:xf>
    <x:xf numFmtId="174" fontId="26" fillId="0" borderId="0" xfId="0" applyNumberFormat="1" applyFont="1" applyFill="1" applyBorder="1" applyAlignment="1">
      <x:alignment horizontal="general" vertical="center" wrapText="0"/>
    </x:xf>
    <x:xf numFmtId="164" fontId="26" fillId="8" borderId="0" xfId="0" applyNumberFormat="1" applyFont="1" applyFill="1" applyBorder="1" applyAlignment="1">
      <x:alignment horizontal="general" vertical="center" wrapText="0"/>
    </x:xf>
    <x:xf numFmtId="174" fontId="26" fillId="8" borderId="0" xfId="0" applyNumberFormat="1" applyFont="1" applyFill="1" applyBorder="1" applyAlignment="1">
      <x:alignment horizontal="general" vertical="center" wrapText="0"/>
    </x:xf>
    <x:xf numFmtId="200" fontId="26" fillId="8" borderId="0" xfId="0" applyNumberFormat="1" applyFont="1" applyFill="1" applyBorder="1" applyAlignment="1">
      <x:alignment horizontal="general" vertical="center" wrapText="0"/>
    </x:xf>
    <x:xf numFmtId="200" fontId="26" fillId="0" borderId="0" xfId="0" applyNumberFormat="1" applyFont="1" applyFill="1" applyBorder="1" applyAlignment="1">
      <x:alignment horizontal="general" vertical="center" wrapText="0"/>
    </x:xf>
    <x:xf numFmtId="201" fontId="26" fillId="8" borderId="0" xfId="0" applyNumberFormat="1" applyFont="1" applyFill="1" applyBorder="1" applyAlignment="1">
      <x:alignment horizontal="general" vertical="center" wrapText="0"/>
    </x:xf>
    <x:xf numFmtId="201" fontId="26" fillId="0" borderId="0" xfId="0" applyNumberFormat="1" applyFont="1" applyFill="1" applyBorder="1" applyAlignment="1">
      <x:alignment horizontal="general" vertical="center" wrapText="0"/>
    </x:xf>
    <x:xf numFmtId="201" fontId="30" fillId="8" borderId="0" xfId="0" applyNumberFormat="1" applyFont="1" applyFill="1" applyBorder="1" applyAlignment="1">
      <x:alignment horizontal="general" vertical="center" wrapText="0"/>
    </x:xf>
    <x:xf numFmtId="174" fontId="30" fillId="8" borderId="0" xfId="0" applyNumberFormat="1" applyFont="1" applyFill="1" applyBorder="1" applyAlignment="1">
      <x:alignment horizontal="general" vertical="center" wrapText="0"/>
    </x:xf>
    <x:xf numFmtId="201" fontId="30" fillId="0" borderId="0" xfId="0" applyNumberFormat="1" applyFont="1" applyFill="1" applyBorder="1" applyAlignment="1">
      <x:alignment horizontal="general" vertical="center" wrapText="0"/>
    </x:xf>
    <x:xf numFmtId="174" fontId="30" fillId="0" borderId="0" xfId="0" applyNumberFormat="1" applyFont="1" applyFill="1" applyBorder="1" applyAlignment="1">
      <x:alignment horizontal="general" vertical="center" wrapText="0"/>
    </x:xf>
    <x:xf numFmtId="171" fontId="26" fillId="8" borderId="0" xfId="0" applyNumberFormat="1" applyFont="1" applyFill="1" applyBorder="1" applyAlignment="1">
      <x:alignment horizontal="general" vertical="center" wrapText="0"/>
    </x:xf>
    <x:xf numFmtId="171" fontId="26" fillId="0" borderId="0" xfId="0" applyNumberFormat="1" applyFont="1" applyFill="1" applyBorder="1" applyAlignment="1">
      <x:alignment horizontal="general" vertical="center" wrapText="0"/>
    </x:xf>
    <x:xf numFmtId="171" fontId="30" fillId="8" borderId="0" xfId="0" applyNumberFormat="1" applyFont="1" applyFill="1" applyBorder="1" applyAlignment="1">
      <x:alignment horizontal="general" vertical="center" wrapText="0"/>
    </x:xf>
    <x:xf numFmtId="171" fontId="30" fillId="0" borderId="0" xfId="0" applyNumberFormat="1" applyFont="1" applyFill="1" applyBorder="1" applyAlignment="1">
      <x:alignment horizontal="general" vertical="center" wrapText="0"/>
    </x:xf>
    <x:xf numFmtId="164" fontId="26" fillId="8" borderId="0" xfId="0" applyNumberFormat="1" applyFont="1" applyFill="1" applyBorder="1" applyAlignment="1">
      <x:alignment horizontal="general" vertical="center" wrapText="1"/>
    </x:xf>
    <x:xf numFmtId="164" fontId="26" fillId="0" borderId="0" xfId="0" applyNumberFormat="1" applyFont="1" applyFill="1" applyBorder="1" applyAlignment="1">
      <x:alignment horizontal="general" vertical="center" wrapText="1"/>
    </x:xf>
    <x:xf numFmtId="164" fontId="31" fillId="0" borderId="0" xfId="0" applyNumberFormat="1" applyFont="1" applyFill="1" applyBorder="1" applyAlignment="1">
      <x:alignment horizontal="general" vertical="center" wrapText="0"/>
    </x:xf>
    <x:xf numFmtId="164" fontId="31" fillId="8" borderId="0" xfId="0" applyNumberFormat="1" applyFont="1" applyFill="1" applyBorder="1" applyAlignment="1">
      <x:alignment horizontal="general" vertical="center" wrapText="0"/>
    </x:xf>
    <x:xf numFmtId="202" fontId="26" fillId="8" borderId="0" xfId="0" applyNumberFormat="1" applyFont="1" applyFill="1" applyBorder="1" applyAlignment="1">
      <x:alignment horizontal="general" vertical="center" wrapText="0"/>
    </x:xf>
    <x:xf numFmtId="202" fontId="31" fillId="8" borderId="0" xfId="0" applyNumberFormat="1" applyFont="1" applyFill="1" applyBorder="1" applyAlignment="1">
      <x:alignment horizontal="general" vertical="center" wrapText="0"/>
    </x:xf>
    <x:xf numFmtId="202" fontId="26" fillId="0" borderId="0" xfId="0" applyNumberFormat="1" applyFont="1" applyFill="1" applyBorder="1" applyAlignment="1">
      <x:alignment horizontal="general" vertical="center" wrapText="0"/>
    </x:xf>
    <x:xf numFmtId="202" fontId="31" fillId="0" borderId="0" xfId="0" applyNumberFormat="1" applyFont="1" applyFill="1" applyBorder="1" applyAlignment="1">
      <x:alignment horizontal="general" vertical="center" wrapText="0"/>
    </x:xf>
    <x:xf numFmtId="203" fontId="26" fillId="8" borderId="0" xfId="0" applyNumberFormat="1" applyFont="1" applyFill="1" applyBorder="1" applyAlignment="1">
      <x:alignment horizontal="general" vertical="center" wrapText="0"/>
    </x:xf>
    <x:xf numFmtId="203" fontId="26" fillId="0" borderId="0" xfId="0" applyNumberFormat="1" applyFont="1" applyFill="1" applyBorder="1" applyAlignment="1">
      <x:alignment horizontal="general" vertical="center" wrapText="0"/>
    </x:xf>
    <x:xf numFmtId="204" fontId="31" fillId="8" borderId="0" xfId="0" applyNumberFormat="1" applyFont="1" applyFill="1" applyBorder="1" applyAlignment="1">
      <x:alignment horizontal="general" vertical="center" wrapText="0"/>
    </x:xf>
    <x:xf numFmtId="204" fontId="26" fillId="8" borderId="0" xfId="0" applyNumberFormat="1" applyFont="1" applyFill="1" applyBorder="1" applyAlignment="1">
      <x:alignment horizontal="general" vertical="center" wrapText="0"/>
    </x:xf>
    <x:xf numFmtId="204" fontId="31" fillId="0" borderId="0" xfId="0" applyNumberFormat="1" applyFont="1" applyFill="1" applyBorder="1" applyAlignment="1">
      <x:alignment horizontal="general" vertical="center" wrapText="0"/>
    </x:xf>
    <x:xf numFmtId="204" fontId="26" fillId="0" borderId="0" xfId="0" applyNumberFormat="1" applyFont="1" applyFill="1" applyBorder="1" applyAlignment="1">
      <x:alignment horizontal="general" vertical="center" wrapText="0"/>
    </x:xf>
    <x:xf numFmtId="205" fontId="31" fillId="8" borderId="0" xfId="0" applyNumberFormat="1" applyFont="1" applyFill="1" applyBorder="1" applyAlignment="1">
      <x:alignment horizontal="general" vertical="center" wrapText="0"/>
    </x:xf>
    <x:xf numFmtId="205" fontId="31" fillId="0" borderId="0" xfId="0" applyNumberFormat="1" applyFont="1" applyFill="1" applyBorder="1" applyAlignment="1">
      <x:alignment horizontal="general" vertical="center" wrapText="0"/>
    </x:xf>
    <x:xf numFmtId="174" fontId="26" fillId="8" borderId="0" xfId="0" applyNumberFormat="1" applyFont="1" applyFill="1" applyBorder="1" applyAlignment="1">
      <x:alignment horizontal="general" vertical="center" wrapText="1"/>
    </x:xf>
    <x:xf numFmtId="200" fontId="26" fillId="8" borderId="0" xfId="0" applyNumberFormat="1" applyFont="1" applyFill="1" applyBorder="1" applyAlignment="1">
      <x:alignment horizontal="general" vertical="center" wrapText="1"/>
    </x:xf>
    <x:xf numFmtId="174" fontId="26" fillId="0" borderId="0" xfId="0" applyNumberFormat="1" applyFont="1" applyFill="1" applyBorder="1" applyAlignment="1">
      <x:alignment horizontal="general" vertical="center" wrapText="1"/>
    </x:xf>
    <x:xf numFmtId="200" fontId="26" fillId="0" borderId="0" xfId="0" applyNumberFormat="1" applyFont="1" applyFill="1" applyBorder="1" applyAlignment="1">
      <x:alignment horizontal="general" vertical="center" wrapText="1"/>
    </x:xf>
    <x:xf numFmtId="206" fontId="26" fillId="8" borderId="0" xfId="0" applyNumberFormat="1" applyFont="1" applyFill="1" applyBorder="1" applyAlignment="1">
      <x:alignment horizontal="general" vertical="center" wrapText="1"/>
    </x:xf>
    <x:xf numFmtId="206" fontId="26" fillId="0" borderId="0" xfId="0" applyNumberFormat="1" applyFont="1" applyFill="1" applyBorder="1" applyAlignment="1">
      <x:alignment horizontal="general" vertical="center" wrapText="1"/>
    </x:xf>
    <x:xf numFmtId="164" fontId="32" fillId="0" borderId="0" xfId="0" applyNumberFormat="1" applyFont="1" applyFill="1" applyBorder="1" applyAlignment="1">
      <x:alignment horizontal="general" vertical="bottom" wrapText="0"/>
    </x:xf>
    <x:xf numFmtId="207" fontId="0" fillId="0" borderId="0" xfId="0" applyNumberFormat="1" applyFont="1" applyFill="1" applyBorder="1" applyAlignment="1">
      <x:alignment horizontal="right" vertical="bottom" wrapText="0"/>
    </x:xf>
    <x:xf numFmtId="201" fontId="0" fillId="0" borderId="0" xfId="0" applyNumberFormat="1" applyFont="1" applyFill="1" applyBorder="1" applyAlignment="1">
      <x:alignment horizontal="right" vertical="bottom" wrapText="0"/>
    </x:xf>
    <x:xf numFmtId="208" fontId="0" fillId="0" borderId="0" xfId="0" applyNumberFormat="1" applyFont="1" applyFill="1" applyBorder="1" applyAlignment="1">
      <x:alignment horizontal="right" vertical="bottom" wrapText="0"/>
    </x:xf>
    <x:xf numFmtId="209" fontId="0" fillId="0" borderId="0" xfId="0" applyNumberFormat="1" applyFont="1" applyFill="1" applyBorder="1" applyAlignment="1">
      <x:alignment horizontal="right" vertical="bottom" wrapText="0"/>
    </x:xf>
    <x:xf numFmtId="204" fontId="0" fillId="0" borderId="0" xfId="0" applyNumberFormat="1" applyFont="1" applyFill="1" applyBorder="1" applyAlignment="1">
      <x:alignment horizontal="right" vertical="bottom" wrapText="0"/>
    </x:xf>
    <x:xf numFmtId="164" fontId="5" fillId="9" borderId="0" xfId="0" applyNumberFormat="1" applyFont="1" applyFill="1" applyBorder="1" applyAlignment="1">
      <x:alignment horizontal="general" vertical="bottom" wrapText="0"/>
    </x:xf>
    <x:xf numFmtId="164" fontId="0" fillId="9" borderId="0" xfId="0" applyNumberFormat="1" applyFont="1" applyFill="1" applyBorder="1" applyAlignment="1">
      <x:alignment horizontal="general" vertical="bottom" wrapText="0"/>
    </x:xf>
    <x:xf numFmtId="164" fontId="33" fillId="9" borderId="0" xfId="0" applyNumberFormat="1" applyFont="1" applyFill="1" applyBorder="1" applyAlignment="1">
      <x:alignment horizontal="general" vertical="bottom" wrapText="0"/>
    </x:xf>
    <x:xf numFmtId="164" fontId="34" fillId="9" borderId="0" xfId="0" applyNumberFormat="1" applyFont="1" applyFill="1" applyBorder="1" applyAlignment="1">
      <x:alignment horizontal="general" vertical="bottom" wrapText="0"/>
    </x:xf>
    <x:xf numFmtId="164" fontId="16" fillId="9" borderId="0" xfId="0" applyNumberFormat="1" applyFont="1" applyFill="1" applyBorder="1" applyAlignment="1">
      <x:alignment horizontal="general" vertical="bottom" wrapText="0"/>
    </x:xf>
    <x:xf numFmtId="172" fontId="0" fillId="9" borderId="0" xfId="0" applyNumberFormat="1" applyFont="1" applyFill="1" applyBorder="1" applyAlignment="1">
      <x:alignment horizontal="right" vertical="bottom" wrapText="0"/>
    </x:xf>
    <x:xf numFmtId="172" fontId="34" fillId="9" borderId="0" xfId="0" applyNumberFormat="1" applyFont="1" applyFill="1" applyBorder="1" applyAlignment="1">
      <x:alignment horizontal="right" vertical="bottom" wrapText="0"/>
    </x:xf>
    <x:xf numFmtId="168" fontId="0" fillId="9" borderId="0" xfId="0" applyNumberFormat="1" applyFont="1" applyFill="1" applyBorder="1" applyAlignment="1">
      <x:alignment horizontal="right" vertical="bottom" wrapText="0"/>
    </x:xf>
    <x:xf numFmtId="168" fontId="34" fillId="9" borderId="0" xfId="0" applyNumberFormat="1" applyFont="1" applyFill="1" applyBorder="1" applyAlignment="1">
      <x:alignment horizontal="right" vertical="bottom" wrapText="0"/>
    </x:xf>
    <x:xf numFmtId="164" fontId="35" fillId="0" borderId="0" xfId="0" applyNumberFormat="1" applyFont="1" applyFill="1" applyBorder="1" applyAlignment="1">
      <x:alignment horizontal="general" vertical="bottom" wrapText="0"/>
    </x:xf>
    <x:xf numFmtId="202" fontId="0" fillId="0" borderId="0" xfId="0" applyNumberFormat="1" applyFont="1" applyFill="1" applyBorder="1" applyAlignment="1">
      <x:alignment horizontal="general" vertical="bottom" wrapText="0"/>
    </x:xf>
    <x:xf numFmtId="164" fontId="7" fillId="9" borderId="0" xfId="0" applyNumberFormat="1" applyFont="1" applyFill="1" applyBorder="1" applyAlignment="1">
      <x:alignment horizontal="general" vertical="bottom" wrapText="0"/>
    </x:xf>
    <x:xf numFmtId="207" fontId="23" fillId="0" borderId="0" xfId="0" applyNumberFormat="1" applyFont="1" applyFill="1" applyBorder="1" applyAlignment="1">
      <x:alignment horizontal="general" vertical="bottom" wrapText="0"/>
    </x:xf>
    <x:xf numFmtId="207" fontId="5" fillId="0" borderId="0" xfId="0" applyNumberFormat="1" applyFont="1" applyFill="1" applyBorder="1" applyAlignment="1">
      <x:alignment horizontal="general" vertical="bottom" wrapText="0"/>
    </x:xf>
    <x:xf numFmtId="207" fontId="0" fillId="0" borderId="0" xfId="0" applyNumberFormat="1" applyFont="1" applyFill="1" applyBorder="1" applyAlignment="1">
      <x:alignment horizontal="general" vertical="bottom" wrapText="0"/>
    </x:xf>
    <x:xf numFmtId="201" fontId="23" fillId="0" borderId="0" xfId="0" applyNumberFormat="1" applyFont="1" applyFill="1" applyBorder="1" applyAlignment="1">
      <x:alignment horizontal="general" vertical="bottom" wrapText="0"/>
    </x:xf>
    <x:xf numFmtId="201" fontId="5" fillId="0" borderId="0" xfId="0" applyNumberFormat="1" applyFont="1" applyFill="1" applyBorder="1" applyAlignment="1">
      <x:alignment horizontal="general" vertical="bottom" wrapText="0"/>
    </x:xf>
    <x:xf numFmtId="201" fontId="0" fillId="0" borderId="0" xfId="0" applyNumberFormat="1" applyFont="1" applyFill="1" applyBorder="1" applyAlignment="1">
      <x:alignment horizontal="general" vertical="bottom" wrapText="0"/>
    </x:xf>
    <x:xf numFmtId="208" fontId="23" fillId="0" borderId="0" xfId="0" applyNumberFormat="1" applyFont="1" applyFill="1" applyBorder="1" applyAlignment="1">
      <x:alignment horizontal="general" vertical="bottom" wrapText="0"/>
    </x:xf>
    <x:xf numFmtId="208" fontId="5" fillId="0" borderId="0" xfId="0" applyNumberFormat="1" applyFont="1" applyFill="1" applyBorder="1" applyAlignment="1">
      <x:alignment horizontal="general" vertical="bottom" wrapText="0"/>
    </x:xf>
    <x:xf numFmtId="208" fontId="0" fillId="0" borderId="0" xfId="0" applyNumberFormat="1" applyFont="1" applyFill="1" applyBorder="1" applyAlignment="1">
      <x:alignment horizontal="general" vertical="bottom" wrapText="0"/>
    </x:xf>
    <x:xf numFmtId="209" fontId="23" fillId="0" borderId="0" xfId="0" applyNumberFormat="1" applyFont="1" applyFill="1" applyBorder="1" applyAlignment="1">
      <x:alignment horizontal="general" vertical="bottom" wrapText="0"/>
    </x:xf>
    <x:xf numFmtId="209" fontId="5" fillId="0" borderId="0" xfId="0" applyNumberFormat="1" applyFont="1" applyFill="1" applyBorder="1" applyAlignment="1">
      <x:alignment horizontal="general" vertical="bottom" wrapText="0"/>
    </x:xf>
    <x:xf numFmtId="209" fontId="0" fillId="0" borderId="0" xfId="0" applyNumberFormat="1" applyFont="1" applyFill="1" applyBorder="1" applyAlignment="1">
      <x:alignment horizontal="general" vertical="bottom" wrapText="0"/>
    </x:xf>
    <x:xf numFmtId="164" fontId="10" fillId="9" borderId="0" xfId="0" applyNumberFormat="1" applyFont="1" applyFill="1" applyBorder="1" applyAlignment="1">
      <x:alignment horizontal="general" vertical="bottom" wrapText="0"/>
    </x:xf>
    <x:xf numFmtId="204" fontId="23" fillId="0" borderId="0" xfId="0" applyNumberFormat="1" applyFont="1" applyFill="1" applyBorder="1" applyAlignment="1">
      <x:alignment horizontal="general" vertical="bottom" wrapText="0"/>
    </x:xf>
    <x:xf numFmtId="204" fontId="5" fillId="0" borderId="0" xfId="0" applyNumberFormat="1" applyFont="1" applyFill="1" applyBorder="1" applyAlignment="1">
      <x:alignment horizontal="general" vertical="bottom" wrapText="0"/>
    </x:xf>
    <x:xf numFmtId="204" fontId="0" fillId="0" borderId="0" xfId="0" applyNumberFormat="1" applyFont="1" applyFill="1" applyBorder="1" applyAlignment="1">
      <x:alignment horizontal="general" vertical="bottom" wrapText="0"/>
    </x:xf>
    <x:xf numFmtId="164" fontId="26" fillId="10" borderId="0" xfId="0" applyNumberFormat="1" applyFont="1" applyFill="1" applyBorder="1" applyAlignment="1">
      <x:alignment horizontal="general" vertical="bottom" wrapText="0"/>
    </x:xf>
    <x:xf numFmtId="164" fontId="29" fillId="10" borderId="0" xfId="0" applyNumberFormat="1" applyFont="1" applyFill="1" applyBorder="1" applyAlignment="1">
      <x:alignment horizontal="general" vertical="bottom" wrapText="0"/>
    </x:xf>
    <x:xf numFmtId="164" fontId="29" fillId="10" borderId="0" xfId="0" applyNumberFormat="1" applyFont="1" applyFill="1" applyBorder="1" applyAlignment="1">
      <x:alignment horizontal="general" vertical="bottom" wrapText="1"/>
    </x:xf>
    <x:xf numFmtId="164" fontId="26" fillId="11" borderId="0" xfId="0" applyNumberFormat="1" applyFont="1" applyFill="1" applyBorder="1" applyAlignment="1">
      <x:alignment horizontal="general" vertical="bottom" wrapText="0"/>
    </x:xf>
    <x:xf numFmtId="203" fontId="26" fillId="11" borderId="0" xfId="0" applyNumberFormat="1" applyFont="1" applyFill="1" applyBorder="1" applyAlignment="1">
      <x:alignment horizontal="general" vertical="bottom" wrapText="0"/>
    </x:xf>
    <x:xf numFmtId="203" fontId="26" fillId="0" borderId="0" xfId="0" applyNumberFormat="1" applyFont="1" applyFill="1" applyBorder="1" applyAlignment="1">
      <x:alignment horizontal="general" vertical="bottom" wrapText="0"/>
    </x:xf>
    <x:xf numFmtId="205" fontId="26" fillId="0" borderId="0" xfId="0" applyNumberFormat="1" applyFont="1" applyFill="1" applyBorder="1" applyAlignment="1">
      <x:alignment horizontal="general" vertical="bottom" wrapText="0"/>
    </x:xf>
    <x:xf numFmtId="205" fontId="26" fillId="11" borderId="0" xfId="0" applyNumberFormat="1" applyFont="1" applyFill="1" applyBorder="1" applyAlignment="1">
      <x:alignment horizontal="general" vertical="bottom" wrapText="0"/>
    </x:xf>
    <x:xf numFmtId="164" fontId="26" fillId="11" borderId="0" xfId="0" applyNumberFormat="1" applyFont="1" applyFill="1" applyBorder="1" applyAlignment="1">
      <x:alignment horizontal="general" vertical="bottom" wrapText="1"/>
    </x:xf>
    <x:xf numFmtId="164" fontId="26" fillId="0" borderId="0" xfId="0" applyNumberFormat="1" applyFont="1" applyFill="1" applyBorder="1" applyAlignment="1">
      <x:alignment horizontal="general" vertical="bottom" wrapText="1"/>
    </x:xf>
    <x:xf numFmtId="164" fontId="36" fillId="0" borderId="0" xfId="0" applyNumberFormat="1" applyFont="1" applyFill="1" applyBorder="1" applyAlignment="1">
      <x:alignment horizontal="general" vertical="center" wrapText="0"/>
    </x:xf>
    <x:xf numFmtId="164" fontId="26" fillId="10" borderId="0" xfId="0" applyNumberFormat="1" applyFont="1" applyFill="1" applyBorder="1" applyAlignment="1">
      <x:alignment horizontal="general" vertical="center" wrapText="0"/>
    </x:xf>
    <x:xf numFmtId="164" fontId="29" fillId="10" borderId="0" xfId="0" applyNumberFormat="1" applyFont="1" applyFill="1" applyBorder="1" applyAlignment="1">
      <x:alignment horizontal="general" vertical="center" wrapText="0"/>
    </x:xf>
    <x:xf numFmtId="164" fontId="29" fillId="10" borderId="0" xfId="0" applyNumberFormat="1" applyFont="1" applyFill="1" applyBorder="1" applyAlignment="1">
      <x:alignment horizontal="general" vertical="center" wrapText="1"/>
    </x:xf>
    <x:xf numFmtId="164" fontId="26" fillId="11" borderId="0" xfId="0" applyNumberFormat="1" applyFont="1" applyFill="1" applyBorder="1" applyAlignment="1">
      <x:alignment horizontal="general" vertical="center" wrapText="0"/>
    </x:xf>
    <x:xf numFmtId="210" fontId="26" fillId="11" borderId="0" xfId="0" applyNumberFormat="1" applyFont="1" applyFill="1" applyBorder="1" applyAlignment="1">
      <x:alignment horizontal="general" vertical="center" wrapText="0"/>
    </x:xf>
    <x:xf numFmtId="210" fontId="26" fillId="0" borderId="0" xfId="0" applyNumberFormat="1" applyFont="1" applyFill="1" applyBorder="1" applyAlignment="1">
      <x:alignment horizontal="general" vertical="center" wrapText="0"/>
    </x:xf>
    <x:xf numFmtId="164" fontId="26" fillId="11" borderId="0" xfId="0" applyNumberFormat="1" applyFont="1" applyFill="1" applyBorder="1" applyAlignment="1">
      <x:alignment horizontal="general" vertical="center" wrapText="1"/>
    </x:xf>
    <x:xf numFmtId="171" fontId="26" fillId="0" borderId="0" xfId="0" applyNumberFormat="1" applyFont="1" applyFill="1" applyBorder="1" applyAlignment="1">
      <x:alignment horizontal="general" vertical="bottom" wrapText="0"/>
    </x:xf>
    <x:xf numFmtId="210" fontId="26" fillId="8" borderId="0" xfId="0" applyNumberFormat="1" applyFont="1" applyFill="1" applyBorder="1" applyAlignment="1">
      <x:alignment horizontal="general" vertical="center" wrapText="0"/>
    </x:xf>
    <x:xf numFmtId="164" fontId="0" fillId="0" borderId="0" xfId="0" applyNumberFormat="1" applyFont="1" applyFill="1" applyBorder="1" applyAlignment="1">
      <x:alignment horizontal="general" vertical="bottom" wrapText="1"/>
    </x:xf>
    <x:xf numFmtId="210" fontId="26" fillId="8" borderId="0" xfId="0" applyNumberFormat="1" applyFont="1" applyFill="1" applyBorder="1" applyAlignment="1">
      <x:alignment horizontal="right" vertical="center" wrapText="0"/>
    </x:xf>
    <x:xf numFmtId="164" fontId="26" fillId="8" borderId="0" xfId="0" applyNumberFormat="1" applyFont="1" applyFill="1" applyBorder="1" applyAlignment="1">
      <x:alignment horizontal="right" vertical="center" wrapText="0"/>
    </x:xf>
    <x:xf numFmtId="210" fontId="26" fillId="0" borderId="0" xfId="0" applyNumberFormat="1" applyFont="1" applyFill="1" applyBorder="1" applyAlignment="1">
      <x:alignment horizontal="right" vertical="center" wrapText="0"/>
    </x:xf>
    <x:xf numFmtId="164" fontId="26" fillId="0" borderId="0" xfId="0" applyNumberFormat="1" applyFont="1" applyFill="1" applyBorder="1" applyAlignment="1">
      <x:alignment horizontal="right" vertical="center" wrapText="0"/>
    </x:xf>
    <x:xf numFmtId="164" fontId="0" fillId="12" borderId="0" xfId="0" applyNumberFormat="1" applyFont="1" applyFill="1" applyBorder="1" applyAlignment="1">
      <x:alignment horizontal="general" vertical="bottom" wrapText="0"/>
    </x:xf>
    <x:xf numFmtId="164" fontId="29" fillId="12" borderId="0" xfId="0" applyNumberFormat="1" applyFont="1" applyFill="1" applyBorder="1" applyAlignment="1">
      <x:alignment horizontal="general" vertical="bottom" wrapText="0"/>
    </x:xf>
    <x:xf numFmtId="164" fontId="29" fillId="12" borderId="0" xfId="0" applyNumberFormat="1" applyFont="1" applyFill="1" applyBorder="1" applyAlignment="1">
      <x:alignment horizontal="general" vertical="bottom" wrapText="1"/>
    </x:xf>
    <x:xf numFmtId="203" fontId="0" fillId="0" borderId="0" xfId="0" applyNumberFormat="1" applyFont="1" applyFill="1" applyBorder="1" applyAlignment="1">
      <x:alignment horizontal="general" vertical="bottom" wrapText="0"/>
    </x:xf>
    <x:xf numFmtId="211" fontId="0" fillId="0" borderId="0" xfId="0" applyNumberFormat="1" applyFont="1" applyFill="1" applyBorder="1" applyAlignment="1">
      <x:alignment horizontal="general" vertical="bottom" wrapText="0"/>
    </x:xf>
    <x:xf numFmtId="200" fontId="0" fillId="0" borderId="0" xfId="0" applyNumberFormat="1" applyFont="1" applyFill="1" applyBorder="1" applyAlignment="1">
      <x:alignment horizontal="general" vertical="bottom" wrapText="0"/>
    </x:xf>
    <x:xf numFmtId="164" fontId="27" fillId="0" borderId="0" xfId="0" applyNumberFormat="1" applyFont="1" applyFill="1" applyBorder="1" applyAlignment="1">
      <x:alignment horizontal="general" vertical="bottom" wrapText="0"/>
    </x:xf>
    <x:xf numFmtId="212" fontId="26" fillId="0" borderId="0" xfId="0" applyNumberFormat="1" applyFont="1" applyFill="1" applyBorder="1" applyAlignment="1">
      <x:alignment horizontal="general" vertical="bottom" wrapText="0"/>
    </x:xf>
    <x:xf numFmtId="164" fontId="26" fillId="13" borderId="0" xfId="0" applyNumberFormat="1" applyFont="1" applyFill="1" applyBorder="1" applyAlignment="1">
      <x:alignment horizontal="general" vertical="bottom" wrapText="0"/>
    </x:xf>
    <x:xf numFmtId="164" fontId="29" fillId="13" borderId="0" xfId="0" applyNumberFormat="1" applyFont="1" applyFill="1" applyBorder="1" applyAlignment="1">
      <x:alignment horizontal="general" vertical="bottom" wrapText="0"/>
    </x:xf>
    <x:xf numFmtId="164" fontId="29" fillId="13" borderId="0" xfId="0" applyNumberFormat="1" applyFont="1" applyFill="1" applyBorder="1" applyAlignment="1">
      <x:alignment horizontal="general" vertical="bottom" wrapText="1"/>
    </x:xf>
    <x:xf numFmtId="200" fontId="26" fillId="0" borderId="0" xfId="0" applyNumberFormat="1" applyFont="1" applyFill="1" applyBorder="1" applyAlignment="1">
      <x:alignment horizontal="general" vertical="bottom" wrapText="0"/>
    </x:xf>
    <x:xf numFmtId="175" fontId="26" fillId="0" borderId="0" xfId="0" applyNumberFormat="1" applyFont="1" applyFill="1" applyBorder="1" applyAlignment="1">
      <x:alignment horizontal="general" vertical="bottom" wrapText="0"/>
    </x:xf>
    <x:xf numFmtId="169" fontId="14" fillId="0" borderId="0" xfId="0" applyNumberFormat="1" applyFont="1" applyFill="1" applyBorder="1" applyAlignment="1">
      <x:alignment horizontal="general" vertical="bottom" wrapText="0"/>
    </x:xf>
    <x:xf numFmtId="169" fontId="0" fillId="0" borderId="0" xfId="0" applyNumberFormat="1" applyFont="1" applyFill="1" applyBorder="1" applyAlignment="1">
      <x:alignment horizontal="general" vertical="bottom" wrapText="0"/>
    </x:xf>
    <x:xf numFmtId="169" fontId="15" fillId="0" borderId="0" xfId="0" applyNumberFormat="1" applyFont="1" applyFill="1" applyBorder="1" applyAlignment="1">
      <x:alignment horizontal="general" vertical="bottom" wrapText="0"/>
    </x:xf>
    <x:xf numFmtId="169" fontId="16" fillId="0" borderId="0" xfId="0" applyNumberFormat="1" applyFont="1" applyFill="1" applyBorder="1" applyAlignment="1">
      <x:alignment horizontal="general" vertical="bottom" wrapText="0"/>
    </x:xf>
    <x:xf numFmtId="169" fontId="7" fillId="2" borderId="0" xfId="0" applyNumberFormat="1" applyFont="1" applyFill="1" applyBorder="1" applyAlignment="1">
      <x:alignment horizontal="general" vertical="bottom" wrapText="0"/>
    </x:xf>
    <x:xf numFmtId="169" fontId="0" fillId="2" borderId="0" xfId="0" applyNumberFormat="1" applyFont="1" applyFill="1" applyBorder="1" applyAlignment="1">
      <x:alignment horizontal="general" vertical="bottom" wrapText="0"/>
    </x:xf>
    <x:xf numFmtId="169" fontId="5" fillId="0" borderId="0" xfId="0" applyNumberFormat="1" applyFont="1" applyFill="1" applyBorder="1" applyAlignment="1">
      <x:alignment horizontal="general" vertical="bottom" wrapText="0"/>
    </x:xf>
    <x:xf numFmtId="169" fontId="17" fillId="0" borderId="0" xfId="0" applyNumberFormat="1" applyFont="1" applyFill="1" applyBorder="1" applyAlignment="1">
      <x:alignment horizontal="general" vertical="top" wrapText="1"/>
    </x:xf>
    <x:xf numFmtId="169" fontId="7" fillId="2" borderId="0" xfId="0" applyNumberFormat="1" applyFont="1" applyFill="1" applyBorder="1" applyAlignment="1">
      <x:alignment horizontal="left" vertical="bottom" wrapText="0"/>
    </x:xf>
    <x:xf numFmtId="169" fontId="5" fillId="5" borderId="0" xfId="0" applyNumberFormat="1" applyFont="1" applyFill="1" applyBorder="1" applyAlignment="1">
      <x:alignment horizontal="general" vertical="bottom" wrapText="0"/>
    </x:xf>
    <x:xf numFmtId="169" fontId="0" fillId="5" borderId="0" xfId="0" applyNumberFormat="1" applyFont="1" applyFill="1" applyBorder="1" applyAlignment="1">
      <x:alignment horizontal="general" vertical="bottom" wrapText="0"/>
    </x:xf>
    <x:xf numFmtId="169" fontId="33" fillId="9" borderId="0" xfId="0" applyNumberFormat="1" applyFont="1" applyFill="1" applyBorder="1" applyAlignment="1">
      <x:alignment horizontal="general" vertical="bottom" wrapText="0"/>
    </x:xf>
    <x:xf numFmtId="169" fontId="34" fillId="9" borderId="0" xfId="0" applyNumberFormat="1" applyFont="1" applyFill="1" applyBorder="1" applyAlignment="1">
      <x:alignment horizontal="general" vertical="bottom" wrapText="0"/>
    </x:xf>
    <x:xf numFmtId="169" fontId="32" fillId="0" borderId="0" xfId="0" applyNumberFormat="1" applyFont="1" applyFill="1" applyBorder="1" applyAlignment="1">
      <x:alignment horizontal="general" vertical="bottom" wrapText="0"/>
    </x:xf>
    <x:xf numFmtId="169" fontId="35" fillId="0" borderId="0" xfId="0" applyNumberFormat="1" applyFont="1" applyFill="1" applyBorder="1" applyAlignment="1">
      <x:alignment horizontal="general" vertical="bottom" wrapText="0"/>
    </x:xf>
    <x:xf numFmtId="169" fontId="37" fillId="0" borderId="0" xfId="0" applyNumberFormat="1" applyFont="1" applyFill="1" applyBorder="1" applyAlignment="1">
      <x:alignment horizontal="general" vertical="bottom" wrapText="0"/>
    </x:xf>
    <x:xf numFmtId="169" fontId="0" fillId="0" borderId="0" xfId="0" applyNumberFormat="1" applyFont="1" applyFill="1" applyBorder="1" applyAlignment="1">
      <x:alignment horizontal="general" vertical="bottom" wrapText="1"/>
    </x:xf>
  </x:cellXfs>
  <x:cellStyles count="6">
    <x:cellStyle name="Normal" xfId="0"/>
    <x:cellStyle name="Comma" xfId="15"/>
    <x:cellStyle name="Comma [0]" xfId="16"/>
    <x:cellStyle name="Currency" xfId="17"/>
    <x:cellStyle name="Currency [0]" xfId="18"/>
    <x:cellStyle name="Percent" xfId="19"/>
  </x:cellStyles>
  <x:dxfs count="1">
    <x:dxf>
      <x:font>
        <x:b/>
        <x:color rgb="FFA32121"/>
      </x:font>
      <x:fill>
        <x:patternFill>
          <x:bgColor rgb="FFFCE4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9BBB59"/>
      <x:rgbColor rgb="FF800080"/>
      <x:rgbColor rgb="FF008080"/>
      <x:rgbColor rgb="FFBFBFBF"/>
      <x:rgbColor rgb="FF808080"/>
      <x:rgbColor rgb="FF8EA9DB"/>
      <x:rgbColor rgb="FFBE4B48"/>
      <x:rgbColor rgb="FFFFF2CC"/>
      <x:rgbColor rgb="FFF2F2F2"/>
      <x:rgbColor rgb="FF660066"/>
      <x:rgbColor rgb="FFFF8080"/>
      <x:rgbColor rgb="FF0563C1"/>
      <x:rgbColor rgb="FFD9D9D9"/>
      <x:rgbColor rgb="FF000080"/>
      <x:rgbColor rgb="FFFF00FF"/>
      <x:rgbColor rgb="FFFFFF00"/>
      <x:rgbColor rgb="FF00FFFF"/>
      <x:rgbColor rgb="FF800080"/>
      <x:rgbColor rgb="FF800000"/>
      <x:rgbColor rgb="FF008080"/>
      <x:rgbColor rgb="FF0000FF"/>
      <x:rgbColor rgb="FF00CCFF"/>
      <x:rgbColor rgb="FFD9E1F2"/>
      <x:rgbColor rgb="FFCCFFCC"/>
      <x:rgbColor rgb="FFFFFF99"/>
      <x:rgbColor rgb="FF99CCFF"/>
      <x:rgbColor rgb="FFFF99CC"/>
      <x:rgbColor rgb="FF8064A2"/>
      <x:rgbColor rgb="FFFFCC99"/>
      <x:rgbColor rgb="FF4A7EBB"/>
      <x:rgbColor rgb="FF33CCCC"/>
      <x:rgbColor rgb="FF98B855"/>
      <x:rgbColor rgb="FFFFCC00"/>
      <x:rgbColor rgb="FFFF9900"/>
      <x:rgbColor rgb="FFFF6600"/>
      <x:rgbColor rgb="FF7D5FA0"/>
      <x:rgbColor rgb="FF878787"/>
      <x:rgbColor rgb="FF1F3864"/>
      <x:rgbColor rgb="FF4F81BD"/>
      <x:rgbColor rgb="FF003300"/>
      <x:rgbColor rgb="FF333300"/>
      <x:rgbColor rgb="FF993300"/>
      <x:rgbColor rgb="FFC0504D"/>
      <x:rgbColor rgb="FF595959"/>
      <x:rgbColor rgb="FF1E4D3A"/>
    </x:indexedColors>
  </x:colors>
</x:styleSheet>
</file>

<file path=xl/_rels/workbook.xml.rels>&#65279;<?xml version="1.0" encoding="utf-8"?><Relationships xmlns="http://schemas.openxmlformats.org/package/2006/relationships"><Relationship Type="http://schemas.openxmlformats.org/officeDocument/2006/relationships/styles" Target="/xl/styles.xml" Id="Rd03d235d50b04122" /><Relationship Type="http://schemas.openxmlformats.org/officeDocument/2006/relationships/theme" Target="/xl/theme/theme1.xml" Id="R300db1e0c3db444e" /><Relationship Type="http://schemas.openxmlformats.org/officeDocument/2006/relationships/sharedStrings" Target="/xl/sharedStrings.xml" Id="R7bc7c5e5f4b94e2f" /><Relationship Type="http://schemas.openxmlformats.org/officeDocument/2006/relationships/worksheet" Target="/xl/worksheets/sheet1.xml" Id="Rf7ac85e20ac84d6a" /><Relationship Type="http://schemas.openxmlformats.org/officeDocument/2006/relationships/worksheet" Target="/xl/worksheets/sheet2.xml" Id="R1503da53535c4280" /><Relationship Type="http://schemas.openxmlformats.org/officeDocument/2006/relationships/worksheet" Target="/xl/worksheets/sheet3.xml" Id="R458ec397a3004c05" /><Relationship Type="http://schemas.openxmlformats.org/officeDocument/2006/relationships/worksheet" Target="/xl/worksheets/sheet4.xml" Id="R0d6a11c095334492" /><Relationship Type="http://schemas.openxmlformats.org/officeDocument/2006/relationships/worksheet" Target="/xl/worksheets/sheet5.xml" Id="Re003b939dc864d44" /><Relationship Type="http://schemas.openxmlformats.org/officeDocument/2006/relationships/worksheet" Target="/xl/worksheets/sheet6.xml" Id="Rdf9026d9b2c747bf" /><Relationship Type="http://schemas.openxmlformats.org/officeDocument/2006/relationships/worksheet" Target="/xl/worksheets/sheet7.xml" Id="Re7d11b436a4e4bd6" /><Relationship Type="http://schemas.openxmlformats.org/officeDocument/2006/relationships/worksheet" Target="/xl/worksheets/sheet8.xml" Id="Rca6cf62acae74acb" /><Relationship Type="http://schemas.openxmlformats.org/officeDocument/2006/relationships/worksheet" Target="/xl/worksheets/sheet9.xml" Id="R99c32b7ff9434278" /><Relationship Type="http://schemas.openxmlformats.org/officeDocument/2006/relationships/worksheet" Target="/xl/worksheets/sheet10.xml" Id="R2cb75718ac414b3c" /><Relationship Type="http://schemas.openxmlformats.org/officeDocument/2006/relationships/worksheet" Target="/xl/worksheets/sheet11.xml" Id="R503547a4b05c4745" /><Relationship Type="http://schemas.openxmlformats.org/officeDocument/2006/relationships/worksheet" Target="/xl/worksheets/sheet12.xml" Id="R415e5dc144464fe9" /><Relationship Type="http://schemas.openxmlformats.org/officeDocument/2006/relationships/worksheet" Target="/xl/worksheets/sheet13.xml" Id="Ra2eb96be0a5a4bc9" /><Relationship Type="http://schemas.openxmlformats.org/officeDocument/2006/relationships/worksheet" Target="/xl/worksheets/sheet14.xml" Id="Rcaf50042fb414ff4" /><Relationship Type="http://schemas.openxmlformats.org/officeDocument/2006/relationships/worksheet" Target="/xl/worksheets/sheet15.xml" Id="R41a2aa449c0c4afa" /><Relationship Type="http://schemas.openxmlformats.org/officeDocument/2006/relationships/worksheet" Target="/xl/worksheets/sheet16.xml" Id="Ra3f0f2ec0eb147d6" /><Relationship Type="http://schemas.openxmlformats.org/officeDocument/2006/relationships/worksheet" Target="/xl/worksheets/sheet17.xml" Id="R4c2e8eec53b94b0d" /><Relationship Type="http://schemas.openxmlformats.org/officeDocument/2006/relationships/worksheet" Target="/xl/worksheets/sheet18.xml" Id="Rfec48abdf30e4557" /><Relationship Type="http://schemas.openxmlformats.org/officeDocument/2006/relationships/worksheet" Target="/xl/worksheets/sheet19.xml" Id="R3af2b87b68a54d40" /></Relationships>
</file>

<file path=xl/drawings/_rels/drawing1.xml.rels>&#65279;<?xml version="1.0" encoding="utf-8"?><Relationships xmlns="http://schemas.openxmlformats.org/package/2006/relationships"><Relationship Type="http://schemas.openxmlformats.org/officeDocument/2006/relationships/chart" Target="/xl/drawings/charts/chart1.xml" Id="R3447bace99e247e6" /><Relationship Type="http://schemas.openxmlformats.org/officeDocument/2006/relationships/chart" Target="/xl/drawings/charts/chart2.xml" Id="Ra37c0bfc9e644e7d" /><Relationship Type="http://schemas.openxmlformats.org/officeDocument/2006/relationships/chart" Target="/xl/drawings/charts/chart3.xml" Id="R63619807db45485d" /><Relationship Type="http://schemas.openxmlformats.org/officeDocument/2006/relationships/chart" Target="/xl/drawings/charts/chart4.xml" Id="R9014e2ba68d043d9" /></Relationships>
</file>

<file path=xl/drawings/_rels/drawing2.xml.rels>&#65279;<?xml version="1.0" encoding="utf-8"?><Relationships xmlns="http://schemas.openxmlformats.org/package/2006/relationships"><Relationship Type="http://schemas.openxmlformats.org/officeDocument/2006/relationships/chart" Target="/xl/drawings/charts/chart5.xml" Id="R2c57f6c861424d6c" /><Relationship Type="http://schemas.openxmlformats.org/officeDocument/2006/relationships/chart" Target="/xl/drawings/charts/chart6.xml" Id="R8b69bd96f718497a" /><Relationship Type="http://schemas.openxmlformats.org/officeDocument/2006/relationships/chart" Target="/xl/drawings/charts/chart7.xml" Id="R30b5a76bdcef4e2c" /><Relationship Type="http://schemas.openxmlformats.org/officeDocument/2006/relationships/chart" Target="/xl/drawings/charts/chart8.xml" Id="R66b5429274334cf9" /></Relationships>
</file>

<file path=xl/drawings/_rels/drawing3.xml.rels>&#65279;<?xml version="1.0" encoding="utf-8"?><Relationships xmlns="http://schemas.openxmlformats.org/package/2006/relationships"><Relationship Type="http://schemas.openxmlformats.org/officeDocument/2006/relationships/chart" Target="/xl/drawings/charts/chart9.xml" Id="R60de60c452294097" /><Relationship Type="http://schemas.openxmlformats.org/officeDocument/2006/relationships/chart" Target="/xl/drawings/charts/chart10.xml" Id="Re7eb4f35ea7b41a7" /><Relationship Type="http://schemas.openxmlformats.org/officeDocument/2006/relationships/chart" Target="/xl/drawings/charts/chart11.xml" Id="R9d238dc557b9499a" /><Relationship Type="http://schemas.openxmlformats.org/officeDocument/2006/relationships/chart" Target="/xl/drawings/charts/chart12.xml" Id="R0029a6e10d204bd2" /></Relationships>
</file>

<file path=xl/drawings/_rels/drawing4.xml.rels>&#65279;<?xml version="1.0" encoding="utf-8"?><Relationships xmlns="http://schemas.openxmlformats.org/package/2006/relationships"><Relationship Type="http://schemas.openxmlformats.org/officeDocument/2006/relationships/chart" Target="/xl/drawings/charts/chart13.xml" Id="R3160f34b46f24a60" /><Relationship Type="http://schemas.openxmlformats.org/officeDocument/2006/relationships/chart" Target="/xl/drawings/charts/chart14.xml" Id="R0014717d737d4543" /><Relationship Type="http://schemas.openxmlformats.org/officeDocument/2006/relationships/chart" Target="/xl/drawings/charts/chart15.xml" Id="R04bc1440e636422a" /><Relationship Type="http://schemas.openxmlformats.org/officeDocument/2006/relationships/chart" Target="/xl/drawings/charts/chart16.xml" Id="Ra600d3dda67148ca" /></Relationships>
</file>

<file path=xl/drawings/_rels/drawing5.xml.rels>&#65279;<?xml version="1.0" encoding="utf-8"?><Relationships xmlns="http://schemas.openxmlformats.org/package/2006/relationships"><Relationship Type="http://schemas.openxmlformats.org/officeDocument/2006/relationships/chart" Target="/xl/drawings/charts/chart17.xml" Id="R26ad56d737714535" /><Relationship Type="http://schemas.openxmlformats.org/officeDocument/2006/relationships/chart" Target="/xl/drawings/charts/chart18.xml" Id="Rff9fc4f65daf429e" /><Relationship Type="http://schemas.openxmlformats.org/officeDocument/2006/relationships/chart" Target="/xl/drawings/charts/chart19.xml" Id="R494a610e9f714dfa" /><Relationship Type="http://schemas.openxmlformats.org/officeDocument/2006/relationships/chart" Target="/xl/drawings/charts/chart20.xml" Id="R36bc7418a914454d" /></Relationships>
</file>

<file path=xl/drawings/_rels/drawing6.xml.rels>&#65279;<?xml version="1.0" encoding="utf-8"?><Relationships xmlns="http://schemas.openxmlformats.org/package/2006/relationships"><Relationship Type="http://schemas.openxmlformats.org/officeDocument/2006/relationships/chart" Target="/xl/drawings/charts/chart21.xml" Id="Rb0ef337e06dd42da" /><Relationship Type="http://schemas.openxmlformats.org/officeDocument/2006/relationships/chart" Target="/xl/drawings/charts/chart22.xml" Id="Rdc989a4d4cfc47fa" /><Relationship Type="http://schemas.openxmlformats.org/officeDocument/2006/relationships/chart" Target="/xl/drawings/charts/chart23.xml" Id="R39aa33fc9e5f439c" /><Relationship Type="http://schemas.openxmlformats.org/officeDocument/2006/relationships/chart" Target="/xl/drawings/charts/chart24.xml" Id="Ra8be97d26b7c4439" /><Relationship Type="http://schemas.openxmlformats.org/officeDocument/2006/relationships/chart" Target="/xl/drawings/charts/chart25.xml" Id="Rf24c5ab56fb54bbe" /><Relationship Type="http://schemas.openxmlformats.org/officeDocument/2006/relationships/chart" Target="/xl/drawings/charts/chart26.xml" Id="Re3ee4e63afc5483c" /><Relationship Type="http://schemas.openxmlformats.org/officeDocument/2006/relationships/chart" Target="/xl/drawings/charts/chart27.xml" Id="Rf6180978b443484f" /><Relationship Type="http://schemas.openxmlformats.org/officeDocument/2006/relationships/chart" Target="/xl/drawings/charts/chart28.xml" Id="Rd9524ef9f0ad4982" /><Relationship Type="http://schemas.openxmlformats.org/officeDocument/2006/relationships/chart" Target="/xl/drawings/charts/chart29.xml" Id="R9bba8521f7cf44fe" /><Relationship Type="http://schemas.openxmlformats.org/officeDocument/2006/relationships/chart" Target="/xl/drawings/charts/chart30.xml" Id="R5012d458d9cb4ff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KOHC: revenue, gross profit and PAT (PKR m)</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'KOHC'!$D$17</c:f>
              <c:strCache>
                <c:ptCount val="1"/>
                <c:pt idx="0">
                  <c:v>FY2021</c:v>
                </c:pt>
              </c:strCache>
            </c:strRef>
          </c:cat>
          <c:val>
            <c:numRef>
              <c:f>'KOHC'!$E$17</c:f>
              <c:numCache>
                <c:formatCode>General</c:formatCode>
                <c:ptCount val="1"/>
              </c:numCache>
            </c:numRef>
          </c:val>
          <c:smooth val="0"/>
        </c:ser>
        <c:ser>
          <c:idx val="1"/>
          <c:order val="1"/>
          <c:tx>
            <c:v>Series 2</c:v>
          </c:tx>
          <c:marker>
            <c:symbol val="none"/>
          </c:marker>
          <c:cat>
            <c:strRef>
              <c:f>'KOHC'!$D$17</c:f>
              <c:strCache>
                <c:ptCount val="1"/>
                <c:pt idx="0">
                  <c:v>FY2021</c:v>
                </c:pt>
              </c:strCache>
            </c:strRef>
          </c:cat>
          <c:val>
            <c:numRef>
              <c:f>'KOHC'!$F$17</c:f>
              <c:numCache>
                <c:formatCode>General</c:formatCode>
                <c:ptCount val="1"/>
              </c:numCache>
            </c:numRef>
          </c:val>
          <c:smooth val="0"/>
        </c:ser>
        <c:ser>
          <c:idx val="2"/>
          <c:order val="2"/>
          <c:tx>
            <c:v>Series 3</c:v>
          </c:tx>
          <c:marker>
            <c:symbol val="none"/>
          </c:marker>
          <c:cat>
            <c:strRef>
              <c:f>'KOHC'!$D$17</c:f>
              <c:strCache>
                <c:ptCount val="1"/>
                <c:pt idx="0">
                  <c:v>FY2021</c:v>
                </c:pt>
              </c:strCache>
            </c:strRef>
          </c:cat>
          <c:val>
            <c:numRef>
              <c:f>'KOHC'!$G$17</c:f>
              <c:numCache>
                <c:formatCode>General</c:formatCode>
                <c:ptCount val="1"/>
              </c:numCache>
            </c:numRef>
          </c:val>
          <c:smooth val="0"/>
        </c:ser>
        <c:ser>
          <c:idx val="3"/>
          <c:order val="3"/>
          <c:tx>
            <c:v>Series 4</c:v>
          </c:tx>
          <c:marker>
            <c:symbol val="none"/>
          </c:marker>
          <c:cat>
            <c:strRef>
              <c:f>'KOHC'!$D$17</c:f>
              <c:strCache>
                <c:ptCount val="1"/>
                <c:pt idx="0">
                  <c:v>FY2021</c:v>
                </c:pt>
              </c:strCache>
            </c:strRef>
          </c:cat>
          <c:val>
            <c:numRef>
              <c:f>'KOHC'!$H$17</c:f>
              <c:numCache>
                <c:formatCode>General</c:formatCode>
                <c:ptCount val="1"/>
              </c:numCache>
            </c:numRef>
          </c:val>
          <c:smooth val="0"/>
        </c:ser>
        <c:ser>
          <c:idx val="4"/>
          <c:order val="4"/>
          <c:tx>
            <c:v>Revenue</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KOHC!$D$84:$H$84</c:f>
              <c:numCache>
                <c:formatCode>0.00</c:formatCode>
                <c:ptCount val="5"/>
                <c:pt idx="0">
                  <c:v>24057.375992</c:v>
                </c:pt>
                <c:pt idx="1">
                  <c:v>32876.949179</c:v>
                </c:pt>
                <c:pt idx="2">
                  <c:v>38921.63535</c:v>
                </c:pt>
                <c:pt idx="3">
                  <c:v>38647.767972</c:v>
                </c:pt>
                <c:pt idx="4">
                  <c:v>37535.700372</c:v>
                </c:pt>
              </c:numCache>
            </c:numRef>
          </c:val>
          <c:smooth val="0"/>
        </c:ser>
        <c:ser>
          <c:idx val="5"/>
          <c:order val="5"/>
          <c:tx>
            <c:v>Gross profit</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KOHC!$D$86:$H$86</c:f>
              <c:numCache>
                <c:formatCode>0.00</c:formatCode>
                <c:ptCount val="5"/>
                <c:pt idx="0">
                  <c:v>5965.349059</c:v>
                </c:pt>
                <c:pt idx="1">
                  <c:v>9811.768509000001</c:v>
                </c:pt>
                <c:pt idx="2">
                  <c:v>10432.694019</c:v>
                </c:pt>
                <c:pt idx="3">
                  <c:v>11256.491495</c:v>
                </c:pt>
                <c:pt idx="4">
                  <c:v>14721.606101</c:v>
                </c:pt>
              </c:numCache>
            </c:numRef>
          </c:val>
          <c:smooth val="0"/>
        </c:ser>
        <c:ser>
          <c:idx val="6"/>
          <c:order val="6"/>
          <c:tx>
            <c:v>Profit after tax</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KOHC!$D$99:$H$99</c:f>
              <c:numCache>
                <c:formatCode>0.00</c:formatCode>
                <c:ptCount val="5"/>
                <c:pt idx="0">
                  <c:v>3497.507247</c:v>
                </c:pt>
                <c:pt idx="1">
                  <c:v>5024.28026</c:v>
                </c:pt>
                <c:pt idx="2">
                  <c:v>5820.751144999997</c:v>
                </c:pt>
                <c:pt idx="3">
                  <c:v>8893.454787000002</c:v>
                </c:pt>
                <c:pt idx="4">
                  <c:v>11575.154071</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KOHC: margins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'KOHC'!$D$17</c:f>
              <c:strCache>
                <c:ptCount val="1"/>
                <c:pt idx="0">
                  <c:v>FY2021</c:v>
                </c:pt>
              </c:strCache>
            </c:strRef>
          </c:cat>
          <c:val>
            <c:numRef>
              <c:f>'KOHC'!$E$17</c:f>
              <c:numCache>
                <c:formatCode>General</c:formatCode>
                <c:ptCount val="1"/>
              </c:numCache>
            </c:numRef>
          </c:val>
          <c:smooth val="0"/>
        </c:ser>
        <c:ser>
          <c:idx val="1"/>
          <c:order val="1"/>
          <c:tx>
            <c:v>Series 2</c:v>
          </c:tx>
          <c:marker>
            <c:symbol val="none"/>
          </c:marker>
          <c:cat>
            <c:strRef>
              <c:f>'KOHC'!$D$17</c:f>
              <c:strCache>
                <c:ptCount val="1"/>
                <c:pt idx="0">
                  <c:v>FY2021</c:v>
                </c:pt>
              </c:strCache>
            </c:strRef>
          </c:cat>
          <c:val>
            <c:numRef>
              <c:f>'KOHC'!$F$17</c:f>
              <c:numCache>
                <c:formatCode>General</c:formatCode>
                <c:ptCount val="1"/>
              </c:numCache>
            </c:numRef>
          </c:val>
          <c:smooth val="0"/>
        </c:ser>
        <c:ser>
          <c:idx val="2"/>
          <c:order val="2"/>
          <c:tx>
            <c:v>Series 3</c:v>
          </c:tx>
          <c:marker>
            <c:symbol val="none"/>
          </c:marker>
          <c:cat>
            <c:strRef>
              <c:f>'KOHC'!$D$17</c:f>
              <c:strCache>
                <c:ptCount val="1"/>
                <c:pt idx="0">
                  <c:v>FY2021</c:v>
                </c:pt>
              </c:strCache>
            </c:strRef>
          </c:cat>
          <c:val>
            <c:numRef>
              <c:f>'KOHC'!$G$17</c:f>
              <c:numCache>
                <c:formatCode>General</c:formatCode>
                <c:ptCount val="1"/>
              </c:numCache>
            </c:numRef>
          </c:val>
          <c:smooth val="0"/>
        </c:ser>
        <c:ser>
          <c:idx val="3"/>
          <c:order val="3"/>
          <c:tx>
            <c:v>Series 4</c:v>
          </c:tx>
          <c:marker>
            <c:symbol val="none"/>
          </c:marker>
          <c:cat>
            <c:strRef>
              <c:f>'KOHC'!$D$17</c:f>
              <c:strCache>
                <c:ptCount val="1"/>
                <c:pt idx="0">
                  <c:v>FY2021</c:v>
                </c:pt>
              </c:strCache>
            </c:strRef>
          </c:cat>
          <c:val>
            <c:numRef>
              <c:f>'KOHC'!$H$17</c:f>
              <c:numCache>
                <c:formatCode>General</c:formatCode>
                <c:ptCount val="1"/>
              </c:numCache>
            </c:numRef>
          </c:val>
          <c:smooth val="0"/>
        </c:ser>
        <c:ser>
          <c:idx val="4"/>
          <c:order val="4"/>
          <c:tx>
            <c:v>Gross margin</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KOHC!$D$161:$H$161</c:f>
              <c:numCache>
                <c:formatCode>0.0%</c:formatCode>
                <c:ptCount val="5"/>
                <c:pt idx="0">
                  <c:v>0.2479634130082893</c:v>
                </c:pt>
                <c:pt idx="1">
                  <c:v>0.2984391421350988</c:v>
                </c:pt>
                <c:pt idx="2">
                  <c:v>0.2680435681898961</c:v>
                </c:pt>
                <c:pt idx="3">
                  <c:v>0.291258514674256</c:v>
                </c:pt>
                <c:pt idx="4">
                  <c:v>0.3922027817544514</c:v>
                </c:pt>
              </c:numCache>
            </c:numRef>
          </c:val>
          <c:smooth val="0"/>
        </c:ser>
        <c:ser>
          <c:idx val="5"/>
          <c:order val="5"/>
          <c:tx>
            <c:v>Operating margin</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KOHC!$D$162:$H$162</c:f>
              <c:numCache>
                <c:formatCode>0.0%</c:formatCode>
                <c:ptCount val="5"/>
                <c:pt idx="0">
                  <c:v>0.2174940172918257</c:v>
                </c:pt>
                <c:pt idx="1">
                  <c:v>0.2668452141722368</c:v>
                </c:pt>
                <c:pt idx="2">
                  <c:v>0.2344153184971452</c:v>
                </c:pt>
                <c:pt idx="3">
                  <c:v>0.2587794834425063</c:v>
                </c:pt>
                <c:pt idx="4">
                  <c:v>0.3414353484545659</c:v>
                </c:pt>
              </c:numCache>
            </c:numRef>
          </c:val>
          <c:smooth val="0"/>
        </c:ser>
        <c:ser>
          <c:idx val="6"/>
          <c:order val="6"/>
          <c:tx>
            <c:v>Net margin</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KOHC!$D$163:$H$163</c:f>
              <c:numCache>
                <c:formatCode>0.0%</c:formatCode>
                <c:ptCount val="5"/>
                <c:pt idx="0">
                  <c:v>0.1453819089897026</c:v>
                </c:pt>
                <c:pt idx="1">
                  <c:v>0.1528207569578638</c:v>
                </c:pt>
                <c:pt idx="2">
                  <c:v>0.1495505287138454</c:v>
                </c:pt>
                <c:pt idx="3">
                  <c:v>0.2301156121989565</c:v>
                </c:pt>
                <c:pt idx="4">
                  <c:v>0.3083771970759486</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KOHC: liquidity and leverage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'KOHC'!$D$17</c:f>
              <c:strCache>
                <c:ptCount val="1"/>
                <c:pt idx="0">
                  <c:v>FY2021</c:v>
                </c:pt>
              </c:strCache>
            </c:strRef>
          </c:cat>
          <c:val>
            <c:numRef>
              <c:f>'KOHC'!$E$17</c:f>
              <c:numCache>
                <c:formatCode>General</c:formatCode>
                <c:ptCount val="1"/>
              </c:numCache>
            </c:numRef>
          </c:val>
          <c:smooth val="0"/>
        </c:ser>
        <c:ser>
          <c:idx val="1"/>
          <c:order val="1"/>
          <c:tx>
            <c:v>Series 2</c:v>
          </c:tx>
          <c:marker>
            <c:symbol val="none"/>
          </c:marker>
          <c:cat>
            <c:strRef>
              <c:f>'KOHC'!$D$17</c:f>
              <c:strCache>
                <c:ptCount val="1"/>
                <c:pt idx="0">
                  <c:v>FY2021</c:v>
                </c:pt>
              </c:strCache>
            </c:strRef>
          </c:cat>
          <c:val>
            <c:numRef>
              <c:f>'KOHC'!$F$17</c:f>
              <c:numCache>
                <c:formatCode>General</c:formatCode>
                <c:ptCount val="1"/>
              </c:numCache>
            </c:numRef>
          </c:val>
          <c:smooth val="0"/>
        </c:ser>
        <c:ser>
          <c:idx val="2"/>
          <c:order val="2"/>
          <c:tx>
            <c:v>Series 3</c:v>
          </c:tx>
          <c:marker>
            <c:symbol val="none"/>
          </c:marker>
          <c:cat>
            <c:strRef>
              <c:f>'KOHC'!$D$17</c:f>
              <c:strCache>
                <c:ptCount val="1"/>
                <c:pt idx="0">
                  <c:v>FY2021</c:v>
                </c:pt>
              </c:strCache>
            </c:strRef>
          </c:cat>
          <c:val>
            <c:numRef>
              <c:f>'KOHC'!$G$17</c:f>
              <c:numCache>
                <c:formatCode>General</c:formatCode>
                <c:ptCount val="1"/>
              </c:numCache>
            </c:numRef>
          </c:val>
          <c:smooth val="0"/>
        </c:ser>
        <c:ser>
          <c:idx val="3"/>
          <c:order val="3"/>
          <c:tx>
            <c:v>Series 4</c:v>
          </c:tx>
          <c:marker>
            <c:symbol val="none"/>
          </c:marker>
          <c:cat>
            <c:strRef>
              <c:f>'KOHC'!$D$17</c:f>
              <c:strCache>
                <c:ptCount val="1"/>
                <c:pt idx="0">
                  <c:v>FY2021</c:v>
                </c:pt>
              </c:strCache>
            </c:strRef>
          </c:cat>
          <c:val>
            <c:numRef>
              <c:f>'KOHC'!$H$17</c:f>
              <c:numCache>
                <c:formatCode>General</c:formatCode>
                <c:ptCount val="1"/>
              </c:numCache>
            </c:numRef>
          </c:val>
          <c:smooth val="0"/>
        </c:ser>
        <c:ser>
          <c:idx val="4"/>
          <c:order val="4"/>
          <c:tx>
            <c:v>Current ratio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KOHC!$D$138:$H$138</c:f>
              <c:numCache>
                <c:formatCode>0.00</c:formatCode>
                <c:ptCount val="5"/>
                <c:pt idx="0">
                  <c:v>1.300644669141496</c:v>
                </c:pt>
                <c:pt idx="1">
                  <c:v>1.87350852761098</c:v>
                </c:pt>
                <c:pt idx="2">
                  <c:v>2.311570515459215</c:v>
                </c:pt>
                <c:pt idx="3">
                  <c:v>2.903159053016002</c:v>
                </c:pt>
                <c:pt idx="4">
                  <c:v>3.311248687172772</c:v>
                </c:pt>
              </c:numCache>
            </c:numRef>
          </c:val>
          <c:smooth val="0"/>
        </c:ser>
        <c:ser>
          <c:idx val="5"/>
          <c:order val="5"/>
          <c:tx>
            <c:v>Quick ratio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KOHC!$D$139:$H$139</c:f>
              <c:numCache>
                <c:formatCode>0.00</c:formatCode>
                <c:ptCount val="5"/>
                <c:pt idx="0">
                  <c:v>0.748160438555549</c:v>
                </c:pt>
                <c:pt idx="1">
                  <c:v>1.27580701104523</c:v>
                </c:pt>
                <c:pt idx="2">
                  <c:v>1.539211030063469</c:v>
                </c:pt>
                <c:pt idx="3">
                  <c:v>2.220059339921235</c:v>
                </c:pt>
                <c:pt idx="4">
                  <c:v>2.667700378434095</c:v>
                </c:pt>
              </c:numCache>
            </c:numRef>
          </c:val>
          <c:smooth val="0"/>
        </c:ser>
        <c:ser>
          <c:idx val="6"/>
          <c:order val="6"/>
          <c:tx>
            <c:v>Debt-to-equity</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KOHC!$D$156:$H$156</c:f>
              <c:numCache>
                <c:formatCode>0.00</c:formatCode>
                <c:ptCount val="5"/>
                <c:pt idx="0">
                  <c:v>0.6238152183846396</c:v>
                </c:pt>
                <c:pt idx="1">
                  <c:v>0.5910708889696489</c:v>
                </c:pt>
                <c:pt idx="2">
                  <c:v>0.5188594676127575</c:v>
                </c:pt>
                <c:pt idx="3">
                  <c:v>0.4320481383692331</c:v>
                </c:pt>
                <c:pt idx="4">
                  <c:v>0.3928483048536595</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KOHC: working-capital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'KOHC'!$D$17</c:f>
              <c:strCache>
                <c:ptCount val="1"/>
                <c:pt idx="0">
                  <c:v>FY2021</c:v>
                </c:pt>
              </c:strCache>
            </c:strRef>
          </c:cat>
          <c:val>
            <c:numRef>
              <c:f>'KOHC'!$E$17</c:f>
              <c:numCache>
                <c:formatCode>General</c:formatCode>
                <c:ptCount val="1"/>
              </c:numCache>
            </c:numRef>
          </c:val>
          <c:smooth val="0"/>
        </c:ser>
        <c:ser>
          <c:idx val="1"/>
          <c:order val="1"/>
          <c:tx>
            <c:v>Series 2</c:v>
          </c:tx>
          <c:marker>
            <c:symbol val="none"/>
          </c:marker>
          <c:cat>
            <c:strRef>
              <c:f>'KOHC'!$D$17</c:f>
              <c:strCache>
                <c:ptCount val="1"/>
                <c:pt idx="0">
                  <c:v>FY2021</c:v>
                </c:pt>
              </c:strCache>
            </c:strRef>
          </c:cat>
          <c:val>
            <c:numRef>
              <c:f>'KOHC'!$F$17</c:f>
              <c:numCache>
                <c:formatCode>General</c:formatCode>
                <c:ptCount val="1"/>
              </c:numCache>
            </c:numRef>
          </c:val>
          <c:smooth val="0"/>
        </c:ser>
        <c:ser>
          <c:idx val="2"/>
          <c:order val="2"/>
          <c:tx>
            <c:v>Series 3</c:v>
          </c:tx>
          <c:marker>
            <c:symbol val="none"/>
          </c:marker>
          <c:cat>
            <c:strRef>
              <c:f>'KOHC'!$D$17</c:f>
              <c:strCache>
                <c:ptCount val="1"/>
                <c:pt idx="0">
                  <c:v>FY2021</c:v>
                </c:pt>
              </c:strCache>
            </c:strRef>
          </c:cat>
          <c:val>
            <c:numRef>
              <c:f>'KOHC'!$G$17</c:f>
              <c:numCache>
                <c:formatCode>General</c:formatCode>
                <c:ptCount val="1"/>
              </c:numCache>
            </c:numRef>
          </c:val>
          <c:smooth val="0"/>
        </c:ser>
        <c:ser>
          <c:idx val="3"/>
          <c:order val="3"/>
          <c:tx>
            <c:v>Series 4</c:v>
          </c:tx>
          <c:marker>
            <c:symbol val="none"/>
          </c:marker>
          <c:cat>
            <c:strRef>
              <c:f>'KOHC'!$D$17</c:f>
              <c:strCache>
                <c:ptCount val="1"/>
                <c:pt idx="0">
                  <c:v>FY2021</c:v>
                </c:pt>
              </c:strCache>
            </c:strRef>
          </c:cat>
          <c:val>
            <c:numRef>
              <c:f>'KOHC'!$H$17</c:f>
              <c:numCache>
                <c:formatCode>General</c:formatCode>
                <c:ptCount val="1"/>
              </c:numCache>
            </c:numRef>
          </c:val>
          <c:smooth val="0"/>
        </c:ser>
        <c:ser>
          <c:idx val="4"/>
          <c:order val="4"/>
          <c:tx>
            <c:v>DIO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KOHC!$D$147:$H$147</c:f>
              <c:numCache>
                <c:formatCode>0</c:formatCode>
                <c:ptCount val="5"/>
                <c:pt idx="0">
                  <c:v>75.14774353157878</c:v>
                </c:pt>
                <c:pt idx="1">
                  <c:v>77.97259759173176</c:v>
                </c:pt>
                <c:pt idx="2">
                  <c:v>85.37254538740795</c:v>
                </c:pt>
                <c:pt idx="3">
                  <c:v>101.509093574544</c:v>
                </c:pt>
                <c:pt idx="4">
                  <c:v>120.6659187834518</c:v>
                </c:pt>
              </c:numCache>
            </c:numRef>
          </c:val>
          <c:smooth val="0"/>
        </c:ser>
        <c:ser>
          <c:idx val="5"/>
          <c:order val="5"/>
          <c:tx>
            <c:v>DSO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KOHC!$D$148:$H$148</c:f>
              <c:numCache>
                <c:formatCode>0</c:formatCode>
                <c:ptCount val="5"/>
                <c:pt idx="0">
                  <c:v>11.21126950346497</c:v>
                </c:pt>
                <c:pt idx="1">
                  <c:v>10.5447254823583</c:v>
                </c:pt>
                <c:pt idx="2">
                  <c:v>9.947955437848785</c:v>
                </c:pt>
                <c:pt idx="3">
                  <c:v>15.65766316675557</c:v>
                </c:pt>
                <c:pt idx="4">
                  <c:v>18.48773273383908</c:v>
                </c:pt>
              </c:numCache>
            </c:numRef>
          </c:val>
          <c:smooth val="0"/>
        </c:ser>
        <c:ser>
          <c:idx val="6"/>
          <c:order val="6"/>
          <c:tx>
            <c:v>DPO</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KOHC!$D$149:$H$149</c:f>
              <c:numCache>
                <c:formatCode>0</c:formatCode>
                <c:ptCount val="5"/>
                <c:pt idx="0">
                  <c:v>26.69566439175718</c:v>
                </c:pt>
                <c:pt idx="1">
                  <c:v>22.44512723840719</c:v>
                </c:pt>
                <c:pt idx="2">
                  <c:v>12.5316246621639</c:v>
                </c:pt>
                <c:pt idx="3">
                  <c:v>16.36441117170576</c:v>
                </c:pt>
                <c:pt idx="4">
                  <c:v>31.10648886452127</c:v>
                </c:pt>
              </c:numCache>
            </c:numRef>
          </c:val>
          <c:smooth val="0"/>
        </c:ser>
        <c:ser>
          <c:idx val="7"/>
          <c:order val="7"/>
          <c:tx>
            <c:v>Cash conversion cycle</c:v>
          </c:tx>
          <c:spPr>
            <a:solidFill xmlns:a="http://schemas.openxmlformats.org/drawingml/2006/main">
              <a:srgbClr val="648B98"/>
            </a:solidFill>
            <a:ln xmlns:a="http://schemas.openxmlformats.org/drawingml/2006/main" w="13335">
              <a:solidFill>
                <a:srgbClr val="648B98"/>
              </a:solidFill>
              <a:prstDash val="solid"/>
            </a:ln>
          </c:spPr>
          <c:marker>
            <c:symbol val="none"/>
          </c:marker>
          <c:cat>
            <c:strRef>
              <c:f>KOHC!$D$17:$H$17</c:f>
              <c:strCache>
                <c:ptCount val="5"/>
                <c:pt idx="0">
                  <c:v>FY2021</c:v>
                </c:pt>
                <c:pt idx="1">
                  <c:v>FY2022</c:v>
                </c:pt>
                <c:pt idx="2">
                  <c:v>FY2023</c:v>
                </c:pt>
                <c:pt idx="3">
                  <c:v>FY2024</c:v>
                </c:pt>
                <c:pt idx="4">
                  <c:v>FY2025</c:v>
                </c:pt>
              </c:strCache>
            </c:strRef>
          </c:cat>
          <c:val>
            <c:numRef>
              <c:f>KOHC!$D$151:$H$151</c:f>
              <c:numCache>
                <c:formatCode>0</c:formatCode>
                <c:ptCount val="5"/>
                <c:pt idx="0">
                  <c:v>59.66334864328658</c:v>
                </c:pt>
                <c:pt idx="1">
                  <c:v>66.07219583568286</c:v>
                </c:pt>
                <c:pt idx="2">
                  <c:v>82.78887616309285</c:v>
                </c:pt>
                <c:pt idx="3">
                  <c:v>100.8023455695939</c:v>
                </c:pt>
                <c:pt idx="4">
                  <c:v>108.0471626527696</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LUCK: revenue, gross profit and PAT (PKR m)</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'LUCK'!$D$17</c:f>
              <c:strCache>
                <c:ptCount val="1"/>
                <c:pt idx="0">
                  <c:v>FY2021</c:v>
                </c:pt>
              </c:strCache>
            </c:strRef>
          </c:cat>
          <c:val>
            <c:numRef>
              <c:f>'LUCK'!$E$17</c:f>
              <c:numCache>
                <c:formatCode>General</c:formatCode>
                <c:ptCount val="1"/>
              </c:numCache>
            </c:numRef>
          </c:val>
          <c:smooth val="0"/>
        </c:ser>
        <c:ser>
          <c:idx val="1"/>
          <c:order val="1"/>
          <c:tx>
            <c:v>Series 2</c:v>
          </c:tx>
          <c:marker>
            <c:symbol val="none"/>
          </c:marker>
          <c:cat>
            <c:strRef>
              <c:f>'LUCK'!$D$17</c:f>
              <c:strCache>
                <c:ptCount val="1"/>
                <c:pt idx="0">
                  <c:v>FY2021</c:v>
                </c:pt>
              </c:strCache>
            </c:strRef>
          </c:cat>
          <c:val>
            <c:numRef>
              <c:f>'LUCK'!$F$17</c:f>
              <c:numCache>
                <c:formatCode>General</c:formatCode>
                <c:ptCount val="1"/>
              </c:numCache>
            </c:numRef>
          </c:val>
          <c:smooth val="0"/>
        </c:ser>
        <c:ser>
          <c:idx val="2"/>
          <c:order val="2"/>
          <c:tx>
            <c:v>Series 3</c:v>
          </c:tx>
          <c:marker>
            <c:symbol val="none"/>
          </c:marker>
          <c:cat>
            <c:strRef>
              <c:f>'LUCK'!$D$17</c:f>
              <c:strCache>
                <c:ptCount val="1"/>
                <c:pt idx="0">
                  <c:v>FY2021</c:v>
                </c:pt>
              </c:strCache>
            </c:strRef>
          </c:cat>
          <c:val>
            <c:numRef>
              <c:f>'LUCK'!$G$17</c:f>
              <c:numCache>
                <c:formatCode>General</c:formatCode>
                <c:ptCount val="1"/>
              </c:numCache>
            </c:numRef>
          </c:val>
          <c:smooth val="0"/>
        </c:ser>
        <c:ser>
          <c:idx val="3"/>
          <c:order val="3"/>
          <c:tx>
            <c:v>Series 4</c:v>
          </c:tx>
          <c:marker>
            <c:symbol val="none"/>
          </c:marker>
          <c:cat>
            <c:strRef>
              <c:f>'LUCK'!$D$17</c:f>
              <c:strCache>
                <c:ptCount val="1"/>
                <c:pt idx="0">
                  <c:v>FY2021</c:v>
                </c:pt>
              </c:strCache>
            </c:strRef>
          </c:cat>
          <c:val>
            <c:numRef>
              <c:f>'LUCK'!$H$17</c:f>
              <c:numCache>
                <c:formatCode>General</c:formatCode>
                <c:ptCount val="1"/>
              </c:numCache>
            </c:numRef>
          </c:val>
          <c:smooth val="0"/>
        </c:ser>
        <c:ser>
          <c:idx val="4"/>
          <c:order val="4"/>
          <c:tx>
            <c:v>Revenue</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LUCK!$D$84:$H$84</c:f>
              <c:numCache>
                <c:formatCode>0.00</c:formatCode>
                <c:ptCount val="5"/>
                <c:pt idx="0">
                  <c:v>62940.805</c:v>
                </c:pt>
                <c:pt idx="1">
                  <c:v>81093.52499999999</c:v>
                </c:pt>
                <c:pt idx="2">
                  <c:v>95832.147</c:v>
                </c:pt>
                <c:pt idx="3">
                  <c:v>115324.942</c:v>
                </c:pt>
                <c:pt idx="4">
                  <c:v>124511.744</c:v>
                </c:pt>
              </c:numCache>
            </c:numRef>
          </c:val>
          <c:smooth val="0"/>
        </c:ser>
        <c:ser>
          <c:idx val="5"/>
          <c:order val="5"/>
          <c:tx>
            <c:v>Gross profit</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LUCK!$D$86:$H$86</c:f>
              <c:numCache>
                <c:formatCode>0.00</c:formatCode>
                <c:ptCount val="5"/>
                <c:pt idx="0">
                  <c:v>18955.932</c:v>
                </c:pt>
                <c:pt idx="1">
                  <c:v>22551.84099999999</c:v>
                </c:pt>
                <c:pt idx="2">
                  <c:v>26060.678</c:v>
                </c:pt>
                <c:pt idx="3">
                  <c:v>38804.572</c:v>
                </c:pt>
                <c:pt idx="4">
                  <c:v>42684.68400000001</c:v>
                </c:pt>
              </c:numCache>
            </c:numRef>
          </c:val>
          <c:smooth val="0"/>
        </c:ser>
        <c:ser>
          <c:idx val="6"/>
          <c:order val="6"/>
          <c:tx>
            <c:v>Profit after tax</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LUCK!$D$99:$H$99</c:f>
              <c:numCache>
                <c:formatCode>0.00</c:formatCode>
                <c:ptCount val="5"/>
                <c:pt idx="0">
                  <c:v>14070.189</c:v>
                </c:pt>
                <c:pt idx="1">
                  <c:v>15298.61799999999</c:v>
                </c:pt>
                <c:pt idx="2">
                  <c:v>13725.814</c:v>
                </c:pt>
                <c:pt idx="3">
                  <c:v>28106.539</c:v>
                </c:pt>
                <c:pt idx="4">
                  <c:v>33092.162</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LUCK: margins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'LUCK'!$D$17</c:f>
              <c:strCache>
                <c:ptCount val="1"/>
                <c:pt idx="0">
                  <c:v>FY2021</c:v>
                </c:pt>
              </c:strCache>
            </c:strRef>
          </c:cat>
          <c:val>
            <c:numRef>
              <c:f>'LUCK'!$E$17</c:f>
              <c:numCache>
                <c:formatCode>General</c:formatCode>
                <c:ptCount val="1"/>
              </c:numCache>
            </c:numRef>
          </c:val>
          <c:smooth val="0"/>
        </c:ser>
        <c:ser>
          <c:idx val="1"/>
          <c:order val="1"/>
          <c:tx>
            <c:v>Series 2</c:v>
          </c:tx>
          <c:marker>
            <c:symbol val="none"/>
          </c:marker>
          <c:cat>
            <c:strRef>
              <c:f>'LUCK'!$D$17</c:f>
              <c:strCache>
                <c:ptCount val="1"/>
                <c:pt idx="0">
                  <c:v>FY2021</c:v>
                </c:pt>
              </c:strCache>
            </c:strRef>
          </c:cat>
          <c:val>
            <c:numRef>
              <c:f>'LUCK'!$F$17</c:f>
              <c:numCache>
                <c:formatCode>General</c:formatCode>
                <c:ptCount val="1"/>
              </c:numCache>
            </c:numRef>
          </c:val>
          <c:smooth val="0"/>
        </c:ser>
        <c:ser>
          <c:idx val="2"/>
          <c:order val="2"/>
          <c:tx>
            <c:v>Series 3</c:v>
          </c:tx>
          <c:marker>
            <c:symbol val="none"/>
          </c:marker>
          <c:cat>
            <c:strRef>
              <c:f>'LUCK'!$D$17</c:f>
              <c:strCache>
                <c:ptCount val="1"/>
                <c:pt idx="0">
                  <c:v>FY2021</c:v>
                </c:pt>
              </c:strCache>
            </c:strRef>
          </c:cat>
          <c:val>
            <c:numRef>
              <c:f>'LUCK'!$G$17</c:f>
              <c:numCache>
                <c:formatCode>General</c:formatCode>
                <c:ptCount val="1"/>
              </c:numCache>
            </c:numRef>
          </c:val>
          <c:smooth val="0"/>
        </c:ser>
        <c:ser>
          <c:idx val="3"/>
          <c:order val="3"/>
          <c:tx>
            <c:v>Series 4</c:v>
          </c:tx>
          <c:marker>
            <c:symbol val="none"/>
          </c:marker>
          <c:cat>
            <c:strRef>
              <c:f>'LUCK'!$D$17</c:f>
              <c:strCache>
                <c:ptCount val="1"/>
                <c:pt idx="0">
                  <c:v>FY2021</c:v>
                </c:pt>
              </c:strCache>
            </c:strRef>
          </c:cat>
          <c:val>
            <c:numRef>
              <c:f>'LUCK'!$H$17</c:f>
              <c:numCache>
                <c:formatCode>General</c:formatCode>
                <c:ptCount val="1"/>
              </c:numCache>
            </c:numRef>
          </c:val>
          <c:smooth val="0"/>
        </c:ser>
        <c:ser>
          <c:idx val="4"/>
          <c:order val="4"/>
          <c:tx>
            <c:v>Gross margin</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LUCK!$D$161:$H$161</c:f>
              <c:numCache>
                <c:formatCode>0.0%</c:formatCode>
                <c:ptCount val="5"/>
                <c:pt idx="0">
                  <c:v>0.3011707905547125</c:v>
                </c:pt>
                <c:pt idx="1">
                  <c:v>0.278096691443614</c:v>
                </c:pt>
                <c:pt idx="2">
                  <c:v>0.2719408759567914</c:v>
                </c:pt>
                <c:pt idx="3">
                  <c:v>0.3364803079632158</c:v>
                </c:pt>
                <c:pt idx="4">
                  <c:v>0.342816529820673</c:v>
                </c:pt>
              </c:numCache>
            </c:numRef>
          </c:val>
          <c:smooth val="0"/>
        </c:ser>
        <c:ser>
          <c:idx val="5"/>
          <c:order val="5"/>
          <c:tx>
            <c:v>Operating margin</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LUCK!$D$162:$H$162</c:f>
              <c:numCache>
                <c:formatCode>0.0%</c:formatCode>
                <c:ptCount val="5"/>
                <c:pt idx="0">
                  <c:v>0.1800435981077776</c:v>
                </c:pt>
                <c:pt idx="1">
                  <c:v>0.1779173984606045</c:v>
                </c:pt>
                <c:pt idx="2">
                  <c:v>0.1718173026009737</c:v>
                </c:pt>
                <c:pt idx="3">
                  <c:v>0.2288608911678447</c:v>
                </c:pt>
                <c:pt idx="4">
                  <c:v>0.2267071851471296</c:v>
                </c:pt>
              </c:numCache>
            </c:numRef>
          </c:val>
          <c:smooth val="0"/>
        </c:ser>
        <c:ser>
          <c:idx val="6"/>
          <c:order val="6"/>
          <c:tx>
            <c:v>Net margin</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LUCK!$D$163:$H$163</c:f>
              <c:numCache>
                <c:formatCode>0.0%</c:formatCode>
                <c:ptCount val="5"/>
                <c:pt idx="0">
                  <c:v>0.2235463782199799</c:v>
                </c:pt>
                <c:pt idx="1">
                  <c:v>0.1886540016604284</c:v>
                </c:pt>
                <c:pt idx="2">
                  <c:v>0.1432276582512547</c:v>
                </c:pt>
                <c:pt idx="3">
                  <c:v>0.2437160471322848</c:v>
                </c:pt>
                <c:pt idx="4">
                  <c:v>0.2657754275773376</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LUCK: liquidity and leverage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'LUCK'!$D$17</c:f>
              <c:strCache>
                <c:ptCount val="1"/>
                <c:pt idx="0">
                  <c:v>FY2021</c:v>
                </c:pt>
              </c:strCache>
            </c:strRef>
          </c:cat>
          <c:val>
            <c:numRef>
              <c:f>'LUCK'!$E$17</c:f>
              <c:numCache>
                <c:formatCode>General</c:formatCode>
                <c:ptCount val="1"/>
              </c:numCache>
            </c:numRef>
          </c:val>
          <c:smooth val="0"/>
        </c:ser>
        <c:ser>
          <c:idx val="1"/>
          <c:order val="1"/>
          <c:tx>
            <c:v>Series 2</c:v>
          </c:tx>
          <c:marker>
            <c:symbol val="none"/>
          </c:marker>
          <c:cat>
            <c:strRef>
              <c:f>'LUCK'!$D$17</c:f>
              <c:strCache>
                <c:ptCount val="1"/>
                <c:pt idx="0">
                  <c:v>FY2021</c:v>
                </c:pt>
              </c:strCache>
            </c:strRef>
          </c:cat>
          <c:val>
            <c:numRef>
              <c:f>'LUCK'!$F$17</c:f>
              <c:numCache>
                <c:formatCode>General</c:formatCode>
                <c:ptCount val="1"/>
              </c:numCache>
            </c:numRef>
          </c:val>
          <c:smooth val="0"/>
        </c:ser>
        <c:ser>
          <c:idx val="2"/>
          <c:order val="2"/>
          <c:tx>
            <c:v>Series 3</c:v>
          </c:tx>
          <c:marker>
            <c:symbol val="none"/>
          </c:marker>
          <c:cat>
            <c:strRef>
              <c:f>'LUCK'!$D$17</c:f>
              <c:strCache>
                <c:ptCount val="1"/>
                <c:pt idx="0">
                  <c:v>FY2021</c:v>
                </c:pt>
              </c:strCache>
            </c:strRef>
          </c:cat>
          <c:val>
            <c:numRef>
              <c:f>'LUCK'!$G$17</c:f>
              <c:numCache>
                <c:formatCode>General</c:formatCode>
                <c:ptCount val="1"/>
              </c:numCache>
            </c:numRef>
          </c:val>
          <c:smooth val="0"/>
        </c:ser>
        <c:ser>
          <c:idx val="3"/>
          <c:order val="3"/>
          <c:tx>
            <c:v>Series 4</c:v>
          </c:tx>
          <c:marker>
            <c:symbol val="none"/>
          </c:marker>
          <c:cat>
            <c:strRef>
              <c:f>'LUCK'!$D$17</c:f>
              <c:strCache>
                <c:ptCount val="1"/>
                <c:pt idx="0">
                  <c:v>FY2021</c:v>
                </c:pt>
              </c:strCache>
            </c:strRef>
          </c:cat>
          <c:val>
            <c:numRef>
              <c:f>'LUCK'!$H$17</c:f>
              <c:numCache>
                <c:formatCode>General</c:formatCode>
                <c:ptCount val="1"/>
              </c:numCache>
            </c:numRef>
          </c:val>
          <c:smooth val="0"/>
        </c:ser>
        <c:ser>
          <c:idx val="4"/>
          <c:order val="4"/>
          <c:tx>
            <c:v>Current ratio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LUCK!$D$138:$H$138</c:f>
              <c:numCache>
                <c:formatCode>0.00</c:formatCode>
                <c:ptCount val="5"/>
                <c:pt idx="0">
                  <c:v>1.338607945893822</c:v>
                </c:pt>
                <c:pt idx="1">
                  <c:v>1.476076630037431</c:v>
                </c:pt>
                <c:pt idx="2">
                  <c:v>1.290071633326858</c:v>
                </c:pt>
                <c:pt idx="3">
                  <c:v>1.263222235474323</c:v>
                </c:pt>
                <c:pt idx="4">
                  <c:v>1.714614387590416</c:v>
                </c:pt>
              </c:numCache>
            </c:numRef>
          </c:val>
          <c:smooth val="0"/>
        </c:ser>
        <c:ser>
          <c:idx val="5"/>
          <c:order val="5"/>
          <c:tx>
            <c:v>Quick ratio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LUCK!$D$139:$H$139</c:f>
              <c:numCache>
                <c:formatCode>0.00</c:formatCode>
                <c:ptCount val="5"/>
                <c:pt idx="0">
                  <c:v>0.8900088610068509</c:v>
                </c:pt>
                <c:pt idx="1">
                  <c:v>0.8707609191920863</c:v>
                </c:pt>
                <c:pt idx="2">
                  <c:v>0.8541222656242641</c:v>
                </c:pt>
                <c:pt idx="3">
                  <c:v>0.8369831163170072</c:v>
                </c:pt>
                <c:pt idx="4">
                  <c:v>1.2939267138362</c:v>
                </c:pt>
              </c:numCache>
            </c:numRef>
          </c:val>
          <c:smooth val="0"/>
        </c:ser>
        <c:ser>
          <c:idx val="6"/>
          <c:order val="6"/>
          <c:tx>
            <c:v>Debt-to-equity</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LUCK!$D$156:$H$156</c:f>
              <c:numCache>
                <c:formatCode>0.00</c:formatCode>
                <c:ptCount val="5"/>
                <c:pt idx="0">
                  <c:v>0.3813401556028255</c:v>
                </c:pt>
                <c:pt idx="1">
                  <c:v>0.4389443113586675</c:v>
                </c:pt>
                <c:pt idx="2">
                  <c:v>0.5511739536514938</c:v>
                </c:pt>
                <c:pt idx="3">
                  <c:v>0.5837579016050328</c:v>
                </c:pt>
                <c:pt idx="4">
                  <c:v>0.5163857850360184</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LUCK: working-capital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'LUCK'!$D$17</c:f>
              <c:strCache>
                <c:ptCount val="1"/>
                <c:pt idx="0">
                  <c:v>FY2021</c:v>
                </c:pt>
              </c:strCache>
            </c:strRef>
          </c:cat>
          <c:val>
            <c:numRef>
              <c:f>'LUCK'!$E$17</c:f>
              <c:numCache>
                <c:formatCode>General</c:formatCode>
                <c:ptCount val="1"/>
              </c:numCache>
            </c:numRef>
          </c:val>
          <c:smooth val="0"/>
        </c:ser>
        <c:ser>
          <c:idx val="1"/>
          <c:order val="1"/>
          <c:tx>
            <c:v>Series 2</c:v>
          </c:tx>
          <c:marker>
            <c:symbol val="none"/>
          </c:marker>
          <c:cat>
            <c:strRef>
              <c:f>'LUCK'!$D$17</c:f>
              <c:strCache>
                <c:ptCount val="1"/>
                <c:pt idx="0">
                  <c:v>FY2021</c:v>
                </c:pt>
              </c:strCache>
            </c:strRef>
          </c:cat>
          <c:val>
            <c:numRef>
              <c:f>'LUCK'!$F$17</c:f>
              <c:numCache>
                <c:formatCode>General</c:formatCode>
                <c:ptCount val="1"/>
              </c:numCache>
            </c:numRef>
          </c:val>
          <c:smooth val="0"/>
        </c:ser>
        <c:ser>
          <c:idx val="2"/>
          <c:order val="2"/>
          <c:tx>
            <c:v>Series 3</c:v>
          </c:tx>
          <c:marker>
            <c:symbol val="none"/>
          </c:marker>
          <c:cat>
            <c:strRef>
              <c:f>'LUCK'!$D$17</c:f>
              <c:strCache>
                <c:ptCount val="1"/>
                <c:pt idx="0">
                  <c:v>FY2021</c:v>
                </c:pt>
              </c:strCache>
            </c:strRef>
          </c:cat>
          <c:val>
            <c:numRef>
              <c:f>'LUCK'!$G$17</c:f>
              <c:numCache>
                <c:formatCode>General</c:formatCode>
                <c:ptCount val="1"/>
              </c:numCache>
            </c:numRef>
          </c:val>
          <c:smooth val="0"/>
        </c:ser>
        <c:ser>
          <c:idx val="3"/>
          <c:order val="3"/>
          <c:tx>
            <c:v>Series 4</c:v>
          </c:tx>
          <c:marker>
            <c:symbol val="none"/>
          </c:marker>
          <c:cat>
            <c:strRef>
              <c:f>'LUCK'!$D$17</c:f>
              <c:strCache>
                <c:ptCount val="1"/>
                <c:pt idx="0">
                  <c:v>FY2021</c:v>
                </c:pt>
              </c:strCache>
            </c:strRef>
          </c:cat>
          <c:val>
            <c:numRef>
              <c:f>'LUCK'!$H$17</c:f>
              <c:numCache>
                <c:formatCode>General</c:formatCode>
                <c:ptCount val="1"/>
              </c:numCache>
            </c:numRef>
          </c:val>
          <c:smooth val="0"/>
        </c:ser>
        <c:ser>
          <c:idx val="4"/>
          <c:order val="4"/>
          <c:tx>
            <c:v>DIO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LUCK!$D$147:$H$147</c:f>
              <c:numCache>
                <c:formatCode>0</c:formatCode>
                <c:ptCount val="5"/>
                <c:pt idx="0">
                  <c:v>95.70990667632485</c:v>
                </c:pt>
                <c:pt idx="1">
                  <c:v>99.78858145761573</c:v>
                </c:pt>
                <c:pt idx="2">
                  <c:v>100.7318419797066</c:v>
                </c:pt>
                <c:pt idx="3">
                  <c:v>103.1023946956869</c:v>
                </c:pt>
                <c:pt idx="4">
                  <c:v>106.5352843545888</c:v>
                </c:pt>
              </c:numCache>
            </c:numRef>
          </c:val>
          <c:smooth val="0"/>
        </c:ser>
        <c:ser>
          <c:idx val="5"/>
          <c:order val="5"/>
          <c:tx>
            <c:v>DSO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LUCK!$D$148:$H$148</c:f>
              <c:numCache>
                <c:formatCode>0</c:formatCode>
                <c:ptCount val="5"/>
                <c:pt idx="0">
                  <c:v>17.78249833315605</c:v>
                </c:pt>
                <c:pt idx="1">
                  <c:v>14.02731833398536</c:v>
                </c:pt>
                <c:pt idx="2">
                  <c:v>16.40158531562483</c:v>
                </c:pt>
                <c:pt idx="3">
                  <c:v>19.02486666761125</c:v>
                </c:pt>
                <c:pt idx="4">
                  <c:v>19.4731456215086</c:v>
                </c:pt>
              </c:numCache>
            </c:numRef>
          </c:val>
          <c:smooth val="0"/>
        </c:ser>
        <c:ser>
          <c:idx val="6"/>
          <c:order val="6"/>
          <c:tx>
            <c:v>DPO</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LUCK!$D$149:$H$149</c:f>
              <c:numCache>
                <c:formatCode>0</c:formatCode>
                <c:ptCount val="5"/>
                <c:pt idx="0">
                  <c:v>22.74451559744188</c:v>
                </c:pt>
                <c:pt idx="1">
                  <c:v>19.43856517690882</c:v>
                </c:pt>
                <c:pt idx="2">
                  <c:v>21.92868807162424</c:v>
                </c:pt>
                <c:pt idx="3">
                  <c:v>29.10324303188812</c:v>
                </c:pt>
                <c:pt idx="4">
                  <c:v>30.3302992616379</c:v>
                </c:pt>
              </c:numCache>
            </c:numRef>
          </c:val>
          <c:smooth val="0"/>
        </c:ser>
        <c:ser>
          <c:idx val="7"/>
          <c:order val="7"/>
          <c:tx>
            <c:v>Cash conversion cycle</c:v>
          </c:tx>
          <c:spPr>
            <a:solidFill xmlns:a="http://schemas.openxmlformats.org/drawingml/2006/main">
              <a:srgbClr val="648B98"/>
            </a:solidFill>
            <a:ln xmlns:a="http://schemas.openxmlformats.org/drawingml/2006/main" w="13335">
              <a:solidFill>
                <a:srgbClr val="648B98"/>
              </a:solidFill>
              <a:prstDash val="solid"/>
            </a:ln>
          </c:spPr>
          <c:marker>
            <c:symbol val="none"/>
          </c:marker>
          <c:cat>
            <c:strRef>
              <c:f>LUCK!$D$17:$H$17</c:f>
              <c:strCache>
                <c:ptCount val="5"/>
                <c:pt idx="0">
                  <c:v>FY2021</c:v>
                </c:pt>
                <c:pt idx="1">
                  <c:v>FY2022</c:v>
                </c:pt>
                <c:pt idx="2">
                  <c:v>FY2023</c:v>
                </c:pt>
                <c:pt idx="3">
                  <c:v>FY2024</c:v>
                </c:pt>
                <c:pt idx="4">
                  <c:v>FY2025</c:v>
                </c:pt>
              </c:strCache>
            </c:strRef>
          </c:cat>
          <c:val>
            <c:numRef>
              <c:f>LUCK!$D$151:$H$151</c:f>
              <c:numCache>
                <c:formatCode>0</c:formatCode>
                <c:ptCount val="5"/>
                <c:pt idx="0">
                  <c:v>90.74788941203903</c:v>
                </c:pt>
                <c:pt idx="1">
                  <c:v>94.37733461469227</c:v>
                </c:pt>
                <c:pt idx="2">
                  <c:v>95.20473922370724</c:v>
                </c:pt>
                <c:pt idx="3">
                  <c:v>93.02401833141005</c:v>
                </c:pt>
                <c:pt idx="4">
                  <c:v>95.67813071445953</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DGKC: revenue, gross profit and PAT (PKR m)</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'DGKC'!$D$17</c:f>
              <c:strCache>
                <c:ptCount val="1"/>
                <c:pt idx="0">
                  <c:v>FY2021</c:v>
                </c:pt>
              </c:strCache>
            </c:strRef>
          </c:cat>
          <c:val>
            <c:numRef>
              <c:f>'DGKC'!$E$17</c:f>
              <c:numCache>
                <c:formatCode>General</c:formatCode>
                <c:ptCount val="1"/>
              </c:numCache>
            </c:numRef>
          </c:val>
          <c:smooth val="0"/>
        </c:ser>
        <c:ser>
          <c:idx val="1"/>
          <c:order val="1"/>
          <c:tx>
            <c:v>Series 2</c:v>
          </c:tx>
          <c:marker>
            <c:symbol val="none"/>
          </c:marker>
          <c:cat>
            <c:strRef>
              <c:f>'DGKC'!$D$17</c:f>
              <c:strCache>
                <c:ptCount val="1"/>
                <c:pt idx="0">
                  <c:v>FY2021</c:v>
                </c:pt>
              </c:strCache>
            </c:strRef>
          </c:cat>
          <c:val>
            <c:numRef>
              <c:f>'DGKC'!$F$17</c:f>
              <c:numCache>
                <c:formatCode>General</c:formatCode>
                <c:ptCount val="1"/>
              </c:numCache>
            </c:numRef>
          </c:val>
          <c:smooth val="0"/>
        </c:ser>
        <c:ser>
          <c:idx val="2"/>
          <c:order val="2"/>
          <c:tx>
            <c:v>Series 3</c:v>
          </c:tx>
          <c:marker>
            <c:symbol val="none"/>
          </c:marker>
          <c:cat>
            <c:strRef>
              <c:f>'DGKC'!$D$17</c:f>
              <c:strCache>
                <c:ptCount val="1"/>
                <c:pt idx="0">
                  <c:v>FY2021</c:v>
                </c:pt>
              </c:strCache>
            </c:strRef>
          </c:cat>
          <c:val>
            <c:numRef>
              <c:f>'DGKC'!$G$17</c:f>
              <c:numCache>
                <c:formatCode>General</c:formatCode>
                <c:ptCount val="1"/>
              </c:numCache>
            </c:numRef>
          </c:val>
          <c:smooth val="0"/>
        </c:ser>
        <c:ser>
          <c:idx val="3"/>
          <c:order val="3"/>
          <c:tx>
            <c:v>Series 4</c:v>
          </c:tx>
          <c:marker>
            <c:symbol val="none"/>
          </c:marker>
          <c:cat>
            <c:strRef>
              <c:f>'DGKC'!$D$17</c:f>
              <c:strCache>
                <c:ptCount val="1"/>
                <c:pt idx="0">
                  <c:v>FY2021</c:v>
                </c:pt>
              </c:strCache>
            </c:strRef>
          </c:cat>
          <c:val>
            <c:numRef>
              <c:f>'DGKC'!$H$17</c:f>
              <c:numCache>
                <c:formatCode>General</c:formatCode>
                <c:ptCount val="1"/>
              </c:numCache>
            </c:numRef>
          </c:val>
          <c:smooth val="0"/>
        </c:ser>
        <c:ser>
          <c:idx val="4"/>
          <c:order val="4"/>
          <c:tx>
            <c:v>Revenue</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DGKC!$D$84:$H$84</c:f>
              <c:numCache>
                <c:formatCode>0.00</c:formatCode>
                <c:ptCount val="5"/>
                <c:pt idx="0">
                  <c:v>45107.69</c:v>
                </c:pt>
                <c:pt idx="1">
                  <c:v>58043.863</c:v>
                </c:pt>
                <c:pt idx="2">
                  <c:v>64983.821</c:v>
                </c:pt>
                <c:pt idx="3">
                  <c:v>66038.689</c:v>
                </c:pt>
                <c:pt idx="4">
                  <c:v>71892.837</c:v>
                </c:pt>
              </c:numCache>
            </c:numRef>
          </c:val>
          <c:smooth val="0"/>
        </c:ser>
        <c:ser>
          <c:idx val="5"/>
          <c:order val="5"/>
          <c:tx>
            <c:v>Gross profit</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DGKC!$D$86:$H$86</c:f>
              <c:numCache>
                <c:formatCode>0.00</c:formatCode>
                <c:ptCount val="5"/>
                <c:pt idx="0">
                  <c:v>8071.892</c:v>
                </c:pt>
                <c:pt idx="1">
                  <c:v>10428.312</c:v>
                </c:pt>
                <c:pt idx="2">
                  <c:v>9555.775000000001</c:v>
                </c:pt>
                <c:pt idx="3">
                  <c:v>10528.26</c:v>
                </c:pt>
                <c:pt idx="4">
                  <c:v>18505.671</c:v>
                </c:pt>
              </c:numCache>
            </c:numRef>
          </c:val>
          <c:smooth val="0"/>
        </c:ser>
        <c:ser>
          <c:idx val="6"/>
          <c:order val="6"/>
          <c:tx>
            <c:v>Profit after tax</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DGKC!$D$99:$H$99</c:f>
              <c:numCache>
                <c:formatCode>0.00</c:formatCode>
                <c:ptCount val="5"/>
                <c:pt idx="0">
                  <c:v>3721.273000000001</c:v>
                </c:pt>
                <c:pt idx="1">
                  <c:v>2972.131999999999</c:v>
                </c:pt>
                <c:pt idx="2">
                  <c:v>-3635.976</c:v>
                </c:pt>
                <c:pt idx="3">
                  <c:v>542.3960000000018</c:v>
                </c:pt>
                <c:pt idx="4">
                  <c:v>8675.058999999999</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DGKC: margins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'DGKC'!$D$17</c:f>
              <c:strCache>
                <c:ptCount val="1"/>
                <c:pt idx="0">
                  <c:v>FY2021</c:v>
                </c:pt>
              </c:strCache>
            </c:strRef>
          </c:cat>
          <c:val>
            <c:numRef>
              <c:f>'DGKC'!$E$17</c:f>
              <c:numCache>
                <c:formatCode>General</c:formatCode>
                <c:ptCount val="1"/>
              </c:numCache>
            </c:numRef>
          </c:val>
          <c:smooth val="0"/>
        </c:ser>
        <c:ser>
          <c:idx val="1"/>
          <c:order val="1"/>
          <c:tx>
            <c:v>Series 2</c:v>
          </c:tx>
          <c:marker>
            <c:symbol val="none"/>
          </c:marker>
          <c:cat>
            <c:strRef>
              <c:f>'DGKC'!$D$17</c:f>
              <c:strCache>
                <c:ptCount val="1"/>
                <c:pt idx="0">
                  <c:v>FY2021</c:v>
                </c:pt>
              </c:strCache>
            </c:strRef>
          </c:cat>
          <c:val>
            <c:numRef>
              <c:f>'DGKC'!$F$17</c:f>
              <c:numCache>
                <c:formatCode>General</c:formatCode>
                <c:ptCount val="1"/>
              </c:numCache>
            </c:numRef>
          </c:val>
          <c:smooth val="0"/>
        </c:ser>
        <c:ser>
          <c:idx val="2"/>
          <c:order val="2"/>
          <c:tx>
            <c:v>Series 3</c:v>
          </c:tx>
          <c:marker>
            <c:symbol val="none"/>
          </c:marker>
          <c:cat>
            <c:strRef>
              <c:f>'DGKC'!$D$17</c:f>
              <c:strCache>
                <c:ptCount val="1"/>
                <c:pt idx="0">
                  <c:v>FY2021</c:v>
                </c:pt>
              </c:strCache>
            </c:strRef>
          </c:cat>
          <c:val>
            <c:numRef>
              <c:f>'DGKC'!$G$17</c:f>
              <c:numCache>
                <c:formatCode>General</c:formatCode>
                <c:ptCount val="1"/>
              </c:numCache>
            </c:numRef>
          </c:val>
          <c:smooth val="0"/>
        </c:ser>
        <c:ser>
          <c:idx val="3"/>
          <c:order val="3"/>
          <c:tx>
            <c:v>Series 4</c:v>
          </c:tx>
          <c:marker>
            <c:symbol val="none"/>
          </c:marker>
          <c:cat>
            <c:strRef>
              <c:f>'DGKC'!$D$17</c:f>
              <c:strCache>
                <c:ptCount val="1"/>
                <c:pt idx="0">
                  <c:v>FY2021</c:v>
                </c:pt>
              </c:strCache>
            </c:strRef>
          </c:cat>
          <c:val>
            <c:numRef>
              <c:f>'DGKC'!$H$17</c:f>
              <c:numCache>
                <c:formatCode>General</c:formatCode>
                <c:ptCount val="1"/>
              </c:numCache>
            </c:numRef>
          </c:val>
          <c:smooth val="0"/>
        </c:ser>
        <c:ser>
          <c:idx val="4"/>
          <c:order val="4"/>
          <c:tx>
            <c:v>Gross margin</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DGKC!$D$161:$H$161</c:f>
              <c:numCache>
                <c:formatCode>0.0%</c:formatCode>
                <c:ptCount val="5"/>
                <c:pt idx="0">
                  <c:v>0.1789471373949763</c:v>
                </c:pt>
                <c:pt idx="1">
                  <c:v>0.1796626113599641</c:v>
                </c:pt>
                <c:pt idx="2">
                  <c:v>0.147048524585835</c:v>
                </c:pt>
                <c:pt idx="3">
                  <c:v>0.1594256360843263</c:v>
                </c:pt>
                <c:pt idx="4">
                  <c:v>0.2574063254730092</c:v>
                </c:pt>
              </c:numCache>
            </c:numRef>
          </c:val>
          <c:smooth val="0"/>
        </c:ser>
        <c:ser>
          <c:idx val="5"/>
          <c:order val="5"/>
          <c:tx>
            <c:v>Operating margin</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DGKC!$D$162:$H$162</c:f>
              <c:numCache>
                <c:formatCode>0.0%</c:formatCode>
                <c:ptCount val="5"/>
                <c:pt idx="0">
                  <c:v>0.1145139997193383</c:v>
                </c:pt>
                <c:pt idx="1">
                  <c:v>0.1184726109631952</c:v>
                </c:pt>
                <c:pt idx="2">
                  <c:v>0.1024537476797494</c:v>
                </c:pt>
                <c:pt idx="3">
                  <c:v>0.1000204289337119</c:v>
                </c:pt>
                <c:pt idx="4">
                  <c:v>0.1753088002355506</c:v>
                </c:pt>
              </c:numCache>
            </c:numRef>
          </c:val>
          <c:smooth val="0"/>
        </c:ser>
        <c:ser>
          <c:idx val="6"/>
          <c:order val="6"/>
          <c:tx>
            <c:v>Net margin</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DGKC!$D$163:$H$163</c:f>
              <c:numCache>
                <c:formatCode>0.0%</c:formatCode>
                <c:ptCount val="5"/>
                <c:pt idx="0">
                  <c:v>0.08249752980035112</c:v>
                </c:pt>
                <c:pt idx="1">
                  <c:v>0.05120493100192175</c:v>
                </c:pt>
                <c:pt idx="3">
                  <c:v>0.008213306596683071</c:v>
                </c:pt>
                <c:pt idx="4">
                  <c:v>0.1206665275985701</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DGKC: liquidity and leverage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'DGKC'!$D$17</c:f>
              <c:strCache>
                <c:ptCount val="1"/>
                <c:pt idx="0">
                  <c:v>FY2021</c:v>
                </c:pt>
              </c:strCache>
            </c:strRef>
          </c:cat>
          <c:val>
            <c:numRef>
              <c:f>'DGKC'!$E$17</c:f>
              <c:numCache>
                <c:formatCode>General</c:formatCode>
                <c:ptCount val="1"/>
              </c:numCache>
            </c:numRef>
          </c:val>
          <c:smooth val="0"/>
        </c:ser>
        <c:ser>
          <c:idx val="1"/>
          <c:order val="1"/>
          <c:tx>
            <c:v>Series 2</c:v>
          </c:tx>
          <c:marker>
            <c:symbol val="none"/>
          </c:marker>
          <c:cat>
            <c:strRef>
              <c:f>'DGKC'!$D$17</c:f>
              <c:strCache>
                <c:ptCount val="1"/>
                <c:pt idx="0">
                  <c:v>FY2021</c:v>
                </c:pt>
              </c:strCache>
            </c:strRef>
          </c:cat>
          <c:val>
            <c:numRef>
              <c:f>'DGKC'!$F$17</c:f>
              <c:numCache>
                <c:formatCode>General</c:formatCode>
                <c:ptCount val="1"/>
              </c:numCache>
            </c:numRef>
          </c:val>
          <c:smooth val="0"/>
        </c:ser>
        <c:ser>
          <c:idx val="2"/>
          <c:order val="2"/>
          <c:tx>
            <c:v>Series 3</c:v>
          </c:tx>
          <c:marker>
            <c:symbol val="none"/>
          </c:marker>
          <c:cat>
            <c:strRef>
              <c:f>'DGKC'!$D$17</c:f>
              <c:strCache>
                <c:ptCount val="1"/>
                <c:pt idx="0">
                  <c:v>FY2021</c:v>
                </c:pt>
              </c:strCache>
            </c:strRef>
          </c:cat>
          <c:val>
            <c:numRef>
              <c:f>'DGKC'!$G$17</c:f>
              <c:numCache>
                <c:formatCode>General</c:formatCode>
                <c:ptCount val="1"/>
              </c:numCache>
            </c:numRef>
          </c:val>
          <c:smooth val="0"/>
        </c:ser>
        <c:ser>
          <c:idx val="3"/>
          <c:order val="3"/>
          <c:tx>
            <c:v>Series 4</c:v>
          </c:tx>
          <c:marker>
            <c:symbol val="none"/>
          </c:marker>
          <c:cat>
            <c:strRef>
              <c:f>'DGKC'!$D$17</c:f>
              <c:strCache>
                <c:ptCount val="1"/>
                <c:pt idx="0">
                  <c:v>FY2021</c:v>
                </c:pt>
              </c:strCache>
            </c:strRef>
          </c:cat>
          <c:val>
            <c:numRef>
              <c:f>'DGKC'!$H$17</c:f>
              <c:numCache>
                <c:formatCode>General</c:formatCode>
                <c:ptCount val="1"/>
              </c:numCache>
            </c:numRef>
          </c:val>
          <c:smooth val="0"/>
        </c:ser>
        <c:ser>
          <c:idx val="4"/>
          <c:order val="4"/>
          <c:tx>
            <c:v>Current ratio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DGKC!$D$138:$H$138</c:f>
              <c:numCache>
                <c:formatCode>0.00</c:formatCode>
                <c:ptCount val="5"/>
                <c:pt idx="0">
                  <c:v>0.9145250886450902</c:v>
                </c:pt>
                <c:pt idx="1">
                  <c:v>0.8855287714771004</c:v>
                </c:pt>
                <c:pt idx="2">
                  <c:v>0.8017674905738562</c:v>
                </c:pt>
                <c:pt idx="3">
                  <c:v>1.296185931254842</c:v>
                </c:pt>
                <c:pt idx="4">
                  <c:v>1.848951793297961</c:v>
                </c:pt>
              </c:numCache>
            </c:numRef>
          </c:val>
          <c:smooth val="0"/>
        </c:ser>
        <c:ser>
          <c:idx val="5"/>
          <c:order val="5"/>
          <c:tx>
            <c:v>Quick ratio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DGKC!$D$139:$H$139</c:f>
              <c:numCache>
                <c:formatCode>0.00</c:formatCode>
                <c:ptCount val="5"/>
                <c:pt idx="0">
                  <c:v>0.527188307782106</c:v>
                </c:pt>
                <c:pt idx="1">
                  <c:v>0.3909339078966533</c:v>
                </c:pt>
                <c:pt idx="2">
                  <c:v>0.3348993616744587</c:v>
                </c:pt>
                <c:pt idx="3">
                  <c:v>0.6677176492302713</c:v>
                </c:pt>
                <c:pt idx="4">
                  <c:v>1.057958767963469</c:v>
                </c:pt>
              </c:numCache>
            </c:numRef>
          </c:val>
          <c:smooth val="0"/>
        </c:ser>
        <c:ser>
          <c:idx val="6"/>
          <c:order val="6"/>
          <c:tx>
            <c:v>Debt-to-equity</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DGKC!$D$156:$H$156</c:f>
              <c:numCache>
                <c:formatCode>0.00</c:formatCode>
                <c:ptCount val="5"/>
                <c:pt idx="0">
                  <c:v>0.8766832975690517</c:v>
                </c:pt>
                <c:pt idx="1">
                  <c:v>0.9531710543286772</c:v>
                </c:pt>
                <c:pt idx="2">
                  <c:v>1.098589741566575</c:v>
                </c:pt>
                <c:pt idx="3">
                  <c:v>0.8245253260560679</c:v>
                </c:pt>
                <c:pt idx="4">
                  <c:v>0.5414399758278128</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DGKC: working-capital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'DGKC'!$D$17</c:f>
              <c:strCache>
                <c:ptCount val="1"/>
                <c:pt idx="0">
                  <c:v>FY2021</c:v>
                </c:pt>
              </c:strCache>
            </c:strRef>
          </c:cat>
          <c:val>
            <c:numRef>
              <c:f>'DGKC'!$E$17</c:f>
              <c:numCache>
                <c:formatCode>General</c:formatCode>
                <c:ptCount val="1"/>
              </c:numCache>
            </c:numRef>
          </c:val>
          <c:smooth val="0"/>
        </c:ser>
        <c:ser>
          <c:idx val="1"/>
          <c:order val="1"/>
          <c:tx>
            <c:v>Series 2</c:v>
          </c:tx>
          <c:marker>
            <c:symbol val="none"/>
          </c:marker>
          <c:cat>
            <c:strRef>
              <c:f>'DGKC'!$D$17</c:f>
              <c:strCache>
                <c:ptCount val="1"/>
                <c:pt idx="0">
                  <c:v>FY2021</c:v>
                </c:pt>
              </c:strCache>
            </c:strRef>
          </c:cat>
          <c:val>
            <c:numRef>
              <c:f>'DGKC'!$F$17</c:f>
              <c:numCache>
                <c:formatCode>General</c:formatCode>
                <c:ptCount val="1"/>
              </c:numCache>
            </c:numRef>
          </c:val>
          <c:smooth val="0"/>
        </c:ser>
        <c:ser>
          <c:idx val="2"/>
          <c:order val="2"/>
          <c:tx>
            <c:v>Series 3</c:v>
          </c:tx>
          <c:marker>
            <c:symbol val="none"/>
          </c:marker>
          <c:cat>
            <c:strRef>
              <c:f>'DGKC'!$D$17</c:f>
              <c:strCache>
                <c:ptCount val="1"/>
                <c:pt idx="0">
                  <c:v>FY2021</c:v>
                </c:pt>
              </c:strCache>
            </c:strRef>
          </c:cat>
          <c:val>
            <c:numRef>
              <c:f>'DGKC'!$G$17</c:f>
              <c:numCache>
                <c:formatCode>General</c:formatCode>
                <c:ptCount val="1"/>
              </c:numCache>
            </c:numRef>
          </c:val>
          <c:smooth val="0"/>
        </c:ser>
        <c:ser>
          <c:idx val="3"/>
          <c:order val="3"/>
          <c:tx>
            <c:v>Series 4</c:v>
          </c:tx>
          <c:marker>
            <c:symbol val="none"/>
          </c:marker>
          <c:cat>
            <c:strRef>
              <c:f>'DGKC'!$D$17</c:f>
              <c:strCache>
                <c:ptCount val="1"/>
                <c:pt idx="0">
                  <c:v>FY2021</c:v>
                </c:pt>
              </c:strCache>
            </c:strRef>
          </c:cat>
          <c:val>
            <c:numRef>
              <c:f>'DGKC'!$H$17</c:f>
              <c:numCache>
                <c:formatCode>General</c:formatCode>
                <c:ptCount val="1"/>
              </c:numCache>
            </c:numRef>
          </c:val>
          <c:smooth val="0"/>
        </c:ser>
        <c:ser>
          <c:idx val="4"/>
          <c:order val="4"/>
          <c:tx>
            <c:v>DIO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DGKC!$D$147:$H$147</c:f>
              <c:numCache>
                <c:formatCode>0</c:formatCode>
                <c:ptCount val="5"/>
                <c:pt idx="0">
                  <c:v>138.9548367501086</c:v>
                </c:pt>
                <c:pt idx="1">
                  <c:v>147.1915895187268</c:v>
                </c:pt>
                <c:pt idx="2">
                  <c:v>149.8790805741195</c:v>
                </c:pt>
                <c:pt idx="3">
                  <c:v>141.2975554557505</c:v>
                </c:pt>
                <c:pt idx="4">
                  <c:v>139.2946412439275</c:v>
                </c:pt>
              </c:numCache>
            </c:numRef>
          </c:val>
          <c:smooth val="0"/>
        </c:ser>
        <c:ser>
          <c:idx val="5"/>
          <c:order val="5"/>
          <c:tx>
            <c:v>DSO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DGKC!$D$148:$H$148</c:f>
              <c:numCache>
                <c:formatCode>0</c:formatCode>
                <c:ptCount val="5"/>
                <c:pt idx="0">
                  <c:v>16.0310812302736</c:v>
                </c:pt>
                <c:pt idx="1">
                  <c:v>9.885619216970449</c:v>
                </c:pt>
                <c:pt idx="2">
                  <c:v>7.47397748433414</c:v>
                </c:pt>
                <c:pt idx="3">
                  <c:v>5.662979090938646</c:v>
                </c:pt>
                <c:pt idx="4">
                  <c:v>5.962485734149008</c:v>
                </c:pt>
              </c:numCache>
            </c:numRef>
          </c:val>
          <c:smooth val="0"/>
        </c:ser>
        <c:ser>
          <c:idx val="6"/>
          <c:order val="6"/>
          <c:tx>
            <c:v>DPO</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DGKC!$D$149:$H$149</c:f>
              <c:numCache>
                <c:formatCode>0</c:formatCode>
                <c:ptCount val="5"/>
                <c:pt idx="0">
                  <c:v>57.65836002777637</c:v>
                </c:pt>
                <c:pt idx="1">
                  <c:v>43.10666808203059</c:v>
                </c:pt>
                <c:pt idx="2">
                  <c:v>34.24672809140701</c:v>
                </c:pt>
                <c:pt idx="3">
                  <c:v>38.06068085872657</c:v>
                </c:pt>
                <c:pt idx="4">
                  <c:v>30.58425493123197</c:v>
                </c:pt>
              </c:numCache>
            </c:numRef>
          </c:val>
          <c:smooth val="0"/>
        </c:ser>
        <c:ser>
          <c:idx val="7"/>
          <c:order val="7"/>
          <c:tx>
            <c:v>Cash conversion cycle</c:v>
          </c:tx>
          <c:spPr>
            <a:solidFill xmlns:a="http://schemas.openxmlformats.org/drawingml/2006/main">
              <a:srgbClr val="648B98"/>
            </a:solidFill>
            <a:ln xmlns:a="http://schemas.openxmlformats.org/drawingml/2006/main" w="13335">
              <a:solidFill>
                <a:srgbClr val="648B98"/>
              </a:solidFill>
              <a:prstDash val="solid"/>
            </a:ln>
          </c:spPr>
          <c:marker>
            <c:symbol val="none"/>
          </c:marker>
          <c:cat>
            <c:strRef>
              <c:f>DGKC!$D$17:$H$17</c:f>
              <c:strCache>
                <c:ptCount val="5"/>
                <c:pt idx="0">
                  <c:v>FY2021</c:v>
                </c:pt>
                <c:pt idx="1">
                  <c:v>FY2022</c:v>
                </c:pt>
                <c:pt idx="2">
                  <c:v>FY2023</c:v>
                </c:pt>
                <c:pt idx="3">
                  <c:v>FY2024</c:v>
                </c:pt>
                <c:pt idx="4">
                  <c:v>FY2025</c:v>
                </c:pt>
              </c:strCache>
            </c:strRef>
          </c:cat>
          <c:val>
            <c:numRef>
              <c:f>DGKC!$D$151:$H$151</c:f>
              <c:numCache>
                <c:formatCode>0</c:formatCode>
                <c:ptCount val="5"/>
                <c:pt idx="0">
                  <c:v>97.32755795260586</c:v>
                </c:pt>
                <c:pt idx="1">
                  <c:v>113.9705406536666</c:v>
                </c:pt>
                <c:pt idx="2">
                  <c:v>123.1063299670466</c:v>
                </c:pt>
                <c:pt idx="3">
                  <c:v>108.8998536879626</c:v>
                </c:pt>
                <c:pt idx="4">
                  <c:v>114.6728720468445</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MLCF: revenue, gross profit and PAT (PKR m)</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'MLCF'!$D$17</c:f>
              <c:strCache>
                <c:ptCount val="1"/>
                <c:pt idx="0">
                  <c:v>FY2021</c:v>
                </c:pt>
              </c:strCache>
            </c:strRef>
          </c:cat>
          <c:val>
            <c:numRef>
              <c:f>'MLCF'!$E$17</c:f>
              <c:numCache>
                <c:formatCode>General</c:formatCode>
                <c:ptCount val="1"/>
              </c:numCache>
            </c:numRef>
          </c:val>
          <c:smooth val="0"/>
        </c:ser>
        <c:ser>
          <c:idx val="1"/>
          <c:order val="1"/>
          <c:tx>
            <c:v>Series 2</c:v>
          </c:tx>
          <c:marker>
            <c:symbol val="none"/>
          </c:marker>
          <c:cat>
            <c:strRef>
              <c:f>'MLCF'!$D$17</c:f>
              <c:strCache>
                <c:ptCount val="1"/>
                <c:pt idx="0">
                  <c:v>FY2021</c:v>
                </c:pt>
              </c:strCache>
            </c:strRef>
          </c:cat>
          <c:val>
            <c:numRef>
              <c:f>'MLCF'!$F$17</c:f>
              <c:numCache>
                <c:formatCode>General</c:formatCode>
                <c:ptCount val="1"/>
              </c:numCache>
            </c:numRef>
          </c:val>
          <c:smooth val="0"/>
        </c:ser>
        <c:ser>
          <c:idx val="2"/>
          <c:order val="2"/>
          <c:tx>
            <c:v>Series 3</c:v>
          </c:tx>
          <c:marker>
            <c:symbol val="none"/>
          </c:marker>
          <c:cat>
            <c:strRef>
              <c:f>'MLCF'!$D$17</c:f>
              <c:strCache>
                <c:ptCount val="1"/>
                <c:pt idx="0">
                  <c:v>FY2021</c:v>
                </c:pt>
              </c:strCache>
            </c:strRef>
          </c:cat>
          <c:val>
            <c:numRef>
              <c:f>'MLCF'!$G$17</c:f>
              <c:numCache>
                <c:formatCode>General</c:formatCode>
                <c:ptCount val="1"/>
              </c:numCache>
            </c:numRef>
          </c:val>
          <c:smooth val="0"/>
        </c:ser>
        <c:ser>
          <c:idx val="3"/>
          <c:order val="3"/>
          <c:tx>
            <c:v>Series 4</c:v>
          </c:tx>
          <c:marker>
            <c:symbol val="none"/>
          </c:marker>
          <c:cat>
            <c:strRef>
              <c:f>'MLCF'!$D$17</c:f>
              <c:strCache>
                <c:ptCount val="1"/>
                <c:pt idx="0">
                  <c:v>FY2021</c:v>
                </c:pt>
              </c:strCache>
            </c:strRef>
          </c:cat>
          <c:val>
            <c:numRef>
              <c:f>'MLCF'!$H$17</c:f>
              <c:numCache>
                <c:formatCode>General</c:formatCode>
                <c:ptCount val="1"/>
              </c:numCache>
            </c:numRef>
          </c:val>
          <c:smooth val="0"/>
        </c:ser>
        <c:ser>
          <c:idx val="4"/>
          <c:order val="4"/>
          <c:tx>
            <c:v>Revenue</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MLCF!$D$84:$H$84</c:f>
              <c:numCache>
                <c:formatCode>0.00</c:formatCode>
                <c:ptCount val="5"/>
                <c:pt idx="0">
                  <c:v>35538.301</c:v>
                </c:pt>
                <c:pt idx="1">
                  <c:v>48519.622</c:v>
                </c:pt>
                <c:pt idx="2">
                  <c:v>62075.259</c:v>
                </c:pt>
                <c:pt idx="3">
                  <c:v>66452.348</c:v>
                </c:pt>
                <c:pt idx="4">
                  <c:v>68942.446</c:v>
                </c:pt>
              </c:numCache>
            </c:numRef>
          </c:val>
          <c:smooth val="0"/>
        </c:ser>
        <c:ser>
          <c:idx val="5"/>
          <c:order val="5"/>
          <c:tx>
            <c:v>Gross profit</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MLCF!$D$86:$H$86</c:f>
              <c:numCache>
                <c:formatCode>0.00</c:formatCode>
                <c:ptCount val="5"/>
                <c:pt idx="0">
                  <c:v>7402.881999999998</c:v>
                </c:pt>
                <c:pt idx="1">
                  <c:v>12275.466</c:v>
                </c:pt>
                <c:pt idx="2">
                  <c:v>18173.353</c:v>
                </c:pt>
                <c:pt idx="3">
                  <c:v>20964.284</c:v>
                </c:pt>
                <c:pt idx="4">
                  <c:v>23746.816</c:v>
                </c:pt>
              </c:numCache>
            </c:numRef>
          </c:val>
          <c:smooth val="0"/>
        </c:ser>
        <c:ser>
          <c:idx val="6"/>
          <c:order val="6"/>
          <c:tx>
            <c:v>Profit after tax</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MLCF!$D$99:$H$99</c:f>
              <c:numCache>
                <c:formatCode>0.00</c:formatCode>
                <c:ptCount val="5"/>
                <c:pt idx="0">
                  <c:v>6254.108999999997</c:v>
                </c:pt>
                <c:pt idx="1">
                  <c:v>3626.340000000001</c:v>
                </c:pt>
                <c:pt idx="2">
                  <c:v>4491.668999999999</c:v>
                </c:pt>
                <c:pt idx="3">
                  <c:v>5272.526999999998</c:v>
                </c:pt>
                <c:pt idx="4">
                  <c:v>17036.374</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MLCF: margins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'MLCF'!$D$17</c:f>
              <c:strCache>
                <c:ptCount val="1"/>
                <c:pt idx="0">
                  <c:v>FY2021</c:v>
                </c:pt>
              </c:strCache>
            </c:strRef>
          </c:cat>
          <c:val>
            <c:numRef>
              <c:f>'MLCF'!$E$17</c:f>
              <c:numCache>
                <c:formatCode>General</c:formatCode>
                <c:ptCount val="1"/>
              </c:numCache>
            </c:numRef>
          </c:val>
          <c:smooth val="0"/>
        </c:ser>
        <c:ser>
          <c:idx val="1"/>
          <c:order val="1"/>
          <c:tx>
            <c:v>Series 2</c:v>
          </c:tx>
          <c:marker>
            <c:symbol val="none"/>
          </c:marker>
          <c:cat>
            <c:strRef>
              <c:f>'MLCF'!$D$17</c:f>
              <c:strCache>
                <c:ptCount val="1"/>
                <c:pt idx="0">
                  <c:v>FY2021</c:v>
                </c:pt>
              </c:strCache>
            </c:strRef>
          </c:cat>
          <c:val>
            <c:numRef>
              <c:f>'MLCF'!$F$17</c:f>
              <c:numCache>
                <c:formatCode>General</c:formatCode>
                <c:ptCount val="1"/>
              </c:numCache>
            </c:numRef>
          </c:val>
          <c:smooth val="0"/>
        </c:ser>
        <c:ser>
          <c:idx val="2"/>
          <c:order val="2"/>
          <c:tx>
            <c:v>Series 3</c:v>
          </c:tx>
          <c:marker>
            <c:symbol val="none"/>
          </c:marker>
          <c:cat>
            <c:strRef>
              <c:f>'MLCF'!$D$17</c:f>
              <c:strCache>
                <c:ptCount val="1"/>
                <c:pt idx="0">
                  <c:v>FY2021</c:v>
                </c:pt>
              </c:strCache>
            </c:strRef>
          </c:cat>
          <c:val>
            <c:numRef>
              <c:f>'MLCF'!$G$17</c:f>
              <c:numCache>
                <c:formatCode>General</c:formatCode>
                <c:ptCount val="1"/>
              </c:numCache>
            </c:numRef>
          </c:val>
          <c:smooth val="0"/>
        </c:ser>
        <c:ser>
          <c:idx val="3"/>
          <c:order val="3"/>
          <c:tx>
            <c:v>Series 4</c:v>
          </c:tx>
          <c:marker>
            <c:symbol val="none"/>
          </c:marker>
          <c:cat>
            <c:strRef>
              <c:f>'MLCF'!$D$17</c:f>
              <c:strCache>
                <c:ptCount val="1"/>
                <c:pt idx="0">
                  <c:v>FY2021</c:v>
                </c:pt>
              </c:strCache>
            </c:strRef>
          </c:cat>
          <c:val>
            <c:numRef>
              <c:f>'MLCF'!$H$17</c:f>
              <c:numCache>
                <c:formatCode>General</c:formatCode>
                <c:ptCount val="1"/>
              </c:numCache>
            </c:numRef>
          </c:val>
          <c:smooth val="0"/>
        </c:ser>
        <c:ser>
          <c:idx val="4"/>
          <c:order val="4"/>
          <c:tx>
            <c:v>Gross margin</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MLCF!$D$161:$H$161</c:f>
              <c:numCache>
                <c:formatCode>0.0%</c:formatCode>
                <c:ptCount val="5"/>
                <c:pt idx="0">
                  <c:v>0.2083071444524036</c:v>
                </c:pt>
                <c:pt idx="1">
                  <c:v>0.2530000336770967</c:v>
                </c:pt>
                <c:pt idx="2">
                  <c:v>0.2927632247172742</c:v>
                </c:pt>
                <c:pt idx="3">
                  <c:v>0.3154784538237836</c:v>
                </c:pt>
                <c:pt idx="4">
                  <c:v>0.3444440599046921</c:v>
                </c:pt>
              </c:numCache>
            </c:numRef>
          </c:val>
          <c:smooth val="0"/>
        </c:ser>
        <c:ser>
          <c:idx val="5"/>
          <c:order val="5"/>
          <c:tx>
            <c:v>Operating margin</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MLCF!$D$162:$H$162</c:f>
              <c:numCache>
                <c:formatCode>0.0%</c:formatCode>
                <c:ptCount val="5"/>
                <c:pt idx="0">
                  <c:v>0.1421395749898116</c:v>
                </c:pt>
                <c:pt idx="1">
                  <c:v>0.1827701172115479</c:v>
                </c:pt>
                <c:pt idx="2">
                  <c:v>0.1909741367329615</c:v>
                </c:pt>
                <c:pt idx="3">
                  <c:v>0.1913189282642052</c:v>
                </c:pt>
                <c:pt idx="4">
                  <c:v>0.2280930676582029</c:v>
                </c:pt>
              </c:numCache>
            </c:numRef>
          </c:val>
          <c:smooth val="0"/>
        </c:ser>
        <c:ser>
          <c:idx val="6"/>
          <c:order val="6"/>
          <c:tx>
            <c:v>Net margin</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MLCF!$D$163:$H$163</c:f>
              <c:numCache>
                <c:formatCode>0.0%</c:formatCode>
                <c:ptCount val="5"/>
                <c:pt idx="0">
                  <c:v>0.1759822170452098</c:v>
                </c:pt>
                <c:pt idx="1">
                  <c:v>0.07473965893633715</c:v>
                </c:pt>
                <c:pt idx="2">
                  <c:v>0.07235844154915244</c:v>
                </c:pt>
                <c:pt idx="3">
                  <c:v>0.07934297520984508</c:v>
                </c:pt>
                <c:pt idx="4">
                  <c:v>0.2471100894795638</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MLCF: liquidity and leverage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'MLCF'!$D$17</c:f>
              <c:strCache>
                <c:ptCount val="1"/>
                <c:pt idx="0">
                  <c:v>FY2021</c:v>
                </c:pt>
              </c:strCache>
            </c:strRef>
          </c:cat>
          <c:val>
            <c:numRef>
              <c:f>'MLCF'!$E$17</c:f>
              <c:numCache>
                <c:formatCode>General</c:formatCode>
                <c:ptCount val="1"/>
              </c:numCache>
            </c:numRef>
          </c:val>
          <c:smooth val="0"/>
        </c:ser>
        <c:ser>
          <c:idx val="1"/>
          <c:order val="1"/>
          <c:tx>
            <c:v>Series 2</c:v>
          </c:tx>
          <c:marker>
            <c:symbol val="none"/>
          </c:marker>
          <c:cat>
            <c:strRef>
              <c:f>'MLCF'!$D$17</c:f>
              <c:strCache>
                <c:ptCount val="1"/>
                <c:pt idx="0">
                  <c:v>FY2021</c:v>
                </c:pt>
              </c:strCache>
            </c:strRef>
          </c:cat>
          <c:val>
            <c:numRef>
              <c:f>'MLCF'!$F$17</c:f>
              <c:numCache>
                <c:formatCode>General</c:formatCode>
                <c:ptCount val="1"/>
              </c:numCache>
            </c:numRef>
          </c:val>
          <c:smooth val="0"/>
        </c:ser>
        <c:ser>
          <c:idx val="2"/>
          <c:order val="2"/>
          <c:tx>
            <c:v>Series 3</c:v>
          </c:tx>
          <c:marker>
            <c:symbol val="none"/>
          </c:marker>
          <c:cat>
            <c:strRef>
              <c:f>'MLCF'!$D$17</c:f>
              <c:strCache>
                <c:ptCount val="1"/>
                <c:pt idx="0">
                  <c:v>FY2021</c:v>
                </c:pt>
              </c:strCache>
            </c:strRef>
          </c:cat>
          <c:val>
            <c:numRef>
              <c:f>'MLCF'!$G$17</c:f>
              <c:numCache>
                <c:formatCode>General</c:formatCode>
                <c:ptCount val="1"/>
              </c:numCache>
            </c:numRef>
          </c:val>
          <c:smooth val="0"/>
        </c:ser>
        <c:ser>
          <c:idx val="3"/>
          <c:order val="3"/>
          <c:tx>
            <c:v>Series 4</c:v>
          </c:tx>
          <c:marker>
            <c:symbol val="none"/>
          </c:marker>
          <c:cat>
            <c:strRef>
              <c:f>'MLCF'!$D$17</c:f>
              <c:strCache>
                <c:ptCount val="1"/>
                <c:pt idx="0">
                  <c:v>FY2021</c:v>
                </c:pt>
              </c:strCache>
            </c:strRef>
          </c:cat>
          <c:val>
            <c:numRef>
              <c:f>'MLCF'!$H$17</c:f>
              <c:numCache>
                <c:formatCode>General</c:formatCode>
                <c:ptCount val="1"/>
              </c:numCache>
            </c:numRef>
          </c:val>
          <c:smooth val="0"/>
        </c:ser>
        <c:ser>
          <c:idx val="4"/>
          <c:order val="4"/>
          <c:tx>
            <c:v>Current ratio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MLCF!$D$138:$H$138</c:f>
              <c:numCache>
                <c:formatCode>0.00</c:formatCode>
                <c:ptCount val="5"/>
                <c:pt idx="0">
                  <c:v>1.47809885681825</c:v>
                </c:pt>
                <c:pt idx="1">
                  <c:v>1.254955740894542</c:v>
                </c:pt>
                <c:pt idx="2">
                  <c:v>1.371547221554631</c:v>
                </c:pt>
                <c:pt idx="3">
                  <c:v>1.444678241512437</c:v>
                </c:pt>
                <c:pt idx="4">
                  <c:v>1.532441130364551</c:v>
                </c:pt>
              </c:numCache>
            </c:numRef>
          </c:val>
          <c:smooth val="0"/>
        </c:ser>
        <c:ser>
          <c:idx val="5"/>
          <c:order val="5"/>
          <c:tx>
            <c:v>Quick ratio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MLCF!$D$139:$H$139</c:f>
              <c:numCache>
                <c:formatCode>0.00</c:formatCode>
                <c:ptCount val="5"/>
                <c:pt idx="0">
                  <c:v>0.439716919103873</c:v>
                </c:pt>
                <c:pt idx="1">
                  <c:v>0.2947352410622335</c:v>
                </c:pt>
                <c:pt idx="2">
                  <c:v>0.5204561252187091</c:v>
                </c:pt>
                <c:pt idx="3">
                  <c:v>0.6094267063846261</c:v>
                </c:pt>
                <c:pt idx="4">
                  <c:v>0.8078828259550986</c:v>
                </c:pt>
              </c:numCache>
            </c:numRef>
          </c:val>
          <c:smooth val="0"/>
        </c:ser>
        <c:ser>
          <c:idx val="6"/>
          <c:order val="6"/>
          <c:tx>
            <c:v>Debt-to-equity</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MLCF!$D$156:$H$156</c:f>
              <c:numCache>
                <c:formatCode>0.00</c:formatCode>
                <c:ptCount val="5"/>
                <c:pt idx="0">
                  <c:v>0.7643791878658399</c:v>
                </c:pt>
                <c:pt idx="1">
                  <c:v>1.027026790468161</c:v>
                </c:pt>
                <c:pt idx="2">
                  <c:v>0.9973611938820361</c:v>
                </c:pt>
                <c:pt idx="3">
                  <c:v>0.8885102581523445</c:v>
                </c:pt>
                <c:pt idx="4">
                  <c:v>0.6667172905971644</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MLCF: working-capital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'MLCF'!$D$17</c:f>
              <c:strCache>
                <c:ptCount val="1"/>
                <c:pt idx="0">
                  <c:v>FY2021</c:v>
                </c:pt>
              </c:strCache>
            </c:strRef>
          </c:cat>
          <c:val>
            <c:numRef>
              <c:f>'MLCF'!$E$17</c:f>
              <c:numCache>
                <c:formatCode>General</c:formatCode>
                <c:ptCount val="1"/>
              </c:numCache>
            </c:numRef>
          </c:val>
          <c:smooth val="0"/>
        </c:ser>
        <c:ser>
          <c:idx val="1"/>
          <c:order val="1"/>
          <c:tx>
            <c:v>Series 2</c:v>
          </c:tx>
          <c:marker>
            <c:symbol val="none"/>
          </c:marker>
          <c:cat>
            <c:strRef>
              <c:f>'MLCF'!$D$17</c:f>
              <c:strCache>
                <c:ptCount val="1"/>
                <c:pt idx="0">
                  <c:v>FY2021</c:v>
                </c:pt>
              </c:strCache>
            </c:strRef>
          </c:cat>
          <c:val>
            <c:numRef>
              <c:f>'MLCF'!$F$17</c:f>
              <c:numCache>
                <c:formatCode>General</c:formatCode>
                <c:ptCount val="1"/>
              </c:numCache>
            </c:numRef>
          </c:val>
          <c:smooth val="0"/>
        </c:ser>
        <c:ser>
          <c:idx val="2"/>
          <c:order val="2"/>
          <c:tx>
            <c:v>Series 3</c:v>
          </c:tx>
          <c:marker>
            <c:symbol val="none"/>
          </c:marker>
          <c:cat>
            <c:strRef>
              <c:f>'MLCF'!$D$17</c:f>
              <c:strCache>
                <c:ptCount val="1"/>
                <c:pt idx="0">
                  <c:v>FY2021</c:v>
                </c:pt>
              </c:strCache>
            </c:strRef>
          </c:cat>
          <c:val>
            <c:numRef>
              <c:f>'MLCF'!$G$17</c:f>
              <c:numCache>
                <c:formatCode>General</c:formatCode>
                <c:ptCount val="1"/>
              </c:numCache>
            </c:numRef>
          </c:val>
          <c:smooth val="0"/>
        </c:ser>
        <c:ser>
          <c:idx val="3"/>
          <c:order val="3"/>
          <c:tx>
            <c:v>Series 4</c:v>
          </c:tx>
          <c:marker>
            <c:symbol val="none"/>
          </c:marker>
          <c:cat>
            <c:strRef>
              <c:f>'MLCF'!$D$17</c:f>
              <c:strCache>
                <c:ptCount val="1"/>
                <c:pt idx="0">
                  <c:v>FY2021</c:v>
                </c:pt>
              </c:strCache>
            </c:strRef>
          </c:cat>
          <c:val>
            <c:numRef>
              <c:f>'MLCF'!$H$17</c:f>
              <c:numCache>
                <c:formatCode>General</c:formatCode>
                <c:ptCount val="1"/>
              </c:numCache>
            </c:numRef>
          </c:val>
          <c:smooth val="0"/>
        </c:ser>
        <c:ser>
          <c:idx val="4"/>
          <c:order val="4"/>
          <c:tx>
            <c:v>DIO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MLCF!$D$147:$H$147</c:f>
              <c:numCache>
                <c:formatCode>0</c:formatCode>
                <c:ptCount val="5"/>
                <c:pt idx="0">
                  <c:v>143.1172681309633</c:v>
                </c:pt>
                <c:pt idx="1">
                  <c:v>138.1590454196257</c:v>
                </c:pt>
                <c:pt idx="2">
                  <c:v>122.0064954583065</c:v>
                </c:pt>
                <c:pt idx="3">
                  <c:v>117.6904326484416</c:v>
                </c:pt>
                <c:pt idx="4">
                  <c:v>130.985250454524</c:v>
                </c:pt>
              </c:numCache>
            </c:numRef>
          </c:val>
          <c:smooth val="0"/>
        </c:ser>
        <c:ser>
          <c:idx val="5"/>
          <c:order val="5"/>
          <c:tx>
            <c:v>DSO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MLCF!$D$148:$H$148</c:f>
              <c:numCache>
                <c:formatCode>0</c:formatCode>
                <c:ptCount val="5"/>
                <c:pt idx="0">
                  <c:v>24.29940882655026</c:v>
                </c:pt>
                <c:pt idx="1">
                  <c:v>14.0897567173957</c:v>
                </c:pt>
                <c:pt idx="2">
                  <c:v>13.72146433573479</c:v>
                </c:pt>
                <c:pt idx="3">
                  <c:v>18.64683133544055</c:v>
                </c:pt>
                <c:pt idx="4">
                  <c:v>23.29195250049585</c:v>
                </c:pt>
              </c:numCache>
            </c:numRef>
          </c:val>
          <c:smooth val="0"/>
        </c:ser>
        <c:ser>
          <c:idx val="6"/>
          <c:order val="6"/>
          <c:tx>
            <c:v>DPO</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MLCF!$D$149:$H$149</c:f>
              <c:numCache>
                <c:formatCode>0</c:formatCode>
                <c:ptCount val="5"/>
                <c:pt idx="0">
                  <c:v>50.27399583066455</c:v>
                </c:pt>
                <c:pt idx="1">
                  <c:v>38.69593121440047</c:v>
                </c:pt>
                <c:pt idx="2">
                  <c:v>44.83122805647663</c:v>
                </c:pt>
                <c:pt idx="3">
                  <c:v>48.43667879556273</c:v>
                </c:pt>
                <c:pt idx="4">
                  <c:v>51.3609017066473</c:v>
                </c:pt>
              </c:numCache>
            </c:numRef>
          </c:val>
          <c:smooth val="0"/>
        </c:ser>
        <c:ser>
          <c:idx val="7"/>
          <c:order val="7"/>
          <c:tx>
            <c:v>Cash conversion cycle</c:v>
          </c:tx>
          <c:spPr>
            <a:solidFill xmlns:a="http://schemas.openxmlformats.org/drawingml/2006/main">
              <a:srgbClr val="648B98"/>
            </a:solidFill>
            <a:ln xmlns:a="http://schemas.openxmlformats.org/drawingml/2006/main" w="13335">
              <a:solidFill>
                <a:srgbClr val="648B98"/>
              </a:solidFill>
              <a:prstDash val="solid"/>
            </a:ln>
          </c:spPr>
          <c:marker>
            <c:symbol val="none"/>
          </c:marker>
          <c:cat>
            <c:strRef>
              <c:f>MLCF!$D$17:$H$17</c:f>
              <c:strCache>
                <c:ptCount val="5"/>
                <c:pt idx="0">
                  <c:v>FY2021</c:v>
                </c:pt>
                <c:pt idx="1">
                  <c:v>FY2022</c:v>
                </c:pt>
                <c:pt idx="2">
                  <c:v>FY2023</c:v>
                </c:pt>
                <c:pt idx="3">
                  <c:v>FY2024</c:v>
                </c:pt>
                <c:pt idx="4">
                  <c:v>FY2025</c:v>
                </c:pt>
              </c:strCache>
            </c:strRef>
          </c:cat>
          <c:val>
            <c:numRef>
              <c:f>MLCF!$D$151:$H$151</c:f>
              <c:numCache>
                <c:formatCode>0</c:formatCode>
                <c:ptCount val="5"/>
                <c:pt idx="0">
                  <c:v>117.1426811268491</c:v>
                </c:pt>
                <c:pt idx="1">
                  <c:v>113.5528709226209</c:v>
                </c:pt>
                <c:pt idx="2">
                  <c:v>90.89673173756466</c:v>
                </c:pt>
                <c:pt idx="3">
                  <c:v>87.90058518831941</c:v>
                </c:pt>
                <c:pt idx="4">
                  <c:v>102.9163012483726</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FCCL: revenue, gross profit and PAT (PKR m)</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'FCCL'!$D$17</c:f>
              <c:strCache>
                <c:ptCount val="1"/>
                <c:pt idx="0">
                  <c:v>FY2021</c:v>
                </c:pt>
              </c:strCache>
            </c:strRef>
          </c:cat>
          <c:val>
            <c:numRef>
              <c:f>'FCCL'!$E$17</c:f>
              <c:numCache>
                <c:formatCode>General</c:formatCode>
                <c:ptCount val="1"/>
              </c:numCache>
            </c:numRef>
          </c:val>
          <c:smooth val="0"/>
        </c:ser>
        <c:ser>
          <c:idx val="1"/>
          <c:order val="1"/>
          <c:tx>
            <c:v>Series 2</c:v>
          </c:tx>
          <c:marker>
            <c:symbol val="none"/>
          </c:marker>
          <c:cat>
            <c:strRef>
              <c:f>'FCCL'!$D$17</c:f>
              <c:strCache>
                <c:ptCount val="1"/>
                <c:pt idx="0">
                  <c:v>FY2021</c:v>
                </c:pt>
              </c:strCache>
            </c:strRef>
          </c:cat>
          <c:val>
            <c:numRef>
              <c:f>'FCCL'!$F$17</c:f>
              <c:numCache>
                <c:formatCode>General</c:formatCode>
                <c:ptCount val="1"/>
              </c:numCache>
            </c:numRef>
          </c:val>
          <c:smooth val="0"/>
        </c:ser>
        <c:ser>
          <c:idx val="2"/>
          <c:order val="2"/>
          <c:tx>
            <c:v>Series 3</c:v>
          </c:tx>
          <c:marker>
            <c:symbol val="none"/>
          </c:marker>
          <c:cat>
            <c:strRef>
              <c:f>'FCCL'!$D$17</c:f>
              <c:strCache>
                <c:ptCount val="1"/>
                <c:pt idx="0">
                  <c:v>FY2021</c:v>
                </c:pt>
              </c:strCache>
            </c:strRef>
          </c:cat>
          <c:val>
            <c:numRef>
              <c:f>'FCCL'!$G$17</c:f>
              <c:numCache>
                <c:formatCode>General</c:formatCode>
                <c:ptCount val="1"/>
              </c:numCache>
            </c:numRef>
          </c:val>
          <c:smooth val="0"/>
        </c:ser>
        <c:ser>
          <c:idx val="3"/>
          <c:order val="3"/>
          <c:tx>
            <c:v>Series 4</c:v>
          </c:tx>
          <c:marker>
            <c:symbol val="none"/>
          </c:marker>
          <c:cat>
            <c:strRef>
              <c:f>'FCCL'!$D$17</c:f>
              <c:strCache>
                <c:ptCount val="1"/>
                <c:pt idx="0">
                  <c:v>FY2021</c:v>
                </c:pt>
              </c:strCache>
            </c:strRef>
          </c:cat>
          <c:val>
            <c:numRef>
              <c:f>'FCCL'!$H$17</c:f>
              <c:numCache>
                <c:formatCode>General</c:formatCode>
                <c:ptCount val="1"/>
              </c:numCache>
            </c:numRef>
          </c:val>
          <c:smooth val="0"/>
        </c:ser>
        <c:ser>
          <c:idx val="4"/>
          <c:order val="4"/>
          <c:tx>
            <c:v>Revenue</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FCCL!$D$84:$H$84</c:f>
              <c:numCache>
                <c:formatCode>0.00</c:formatCode>
                <c:ptCount val="5"/>
                <c:pt idx="0">
                  <c:v>24271.285</c:v>
                </c:pt>
                <c:pt idx="1">
                  <c:v>54243.118</c:v>
                </c:pt>
                <c:pt idx="2">
                  <c:v>68069.28200000001</c:v>
                </c:pt>
                <c:pt idx="3">
                  <c:v>80026.226</c:v>
                </c:pt>
                <c:pt idx="4">
                  <c:v>88956.32799999999</c:v>
                </c:pt>
              </c:numCache>
            </c:numRef>
          </c:val>
          <c:smooth val="0"/>
        </c:ser>
        <c:ser>
          <c:idx val="5"/>
          <c:order val="5"/>
          <c:tx>
            <c:v>Gross profit</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FCCL!$D$86:$H$86</c:f>
              <c:numCache>
                <c:formatCode>0.00</c:formatCode>
                <c:ptCount val="5"/>
                <c:pt idx="0">
                  <c:v>6064.404999999999</c:v>
                </c:pt>
                <c:pt idx="1">
                  <c:v>15463.576</c:v>
                </c:pt>
                <c:pt idx="2">
                  <c:v>20418.47300000001</c:v>
                </c:pt>
                <c:pt idx="3">
                  <c:v>25680.40499999999</c:v>
                </c:pt>
                <c:pt idx="4">
                  <c:v>31571.34999999999</c:v>
                </c:pt>
              </c:numCache>
            </c:numRef>
          </c:val>
          <c:smooth val="0"/>
        </c:ser>
        <c:ser>
          <c:idx val="6"/>
          <c:order val="6"/>
          <c:tx>
            <c:v>Profit after tax</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FCCL!$D$99:$H$99</c:f>
              <c:numCache>
                <c:formatCode>0.00</c:formatCode>
                <c:ptCount val="5"/>
                <c:pt idx="0">
                  <c:v>3471.350999999999</c:v>
                </c:pt>
                <c:pt idx="1">
                  <c:v>7112.540000000001</c:v>
                </c:pt>
                <c:pt idx="2">
                  <c:v>7439.681000000008</c:v>
                </c:pt>
                <c:pt idx="3">
                  <c:v>8223.115999999995</c:v>
                </c:pt>
                <c:pt idx="4">
                  <c:v>13326.20199999999</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FCCL: margins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'FCCL'!$D$17</c:f>
              <c:strCache>
                <c:ptCount val="1"/>
                <c:pt idx="0">
                  <c:v>FY2021</c:v>
                </c:pt>
              </c:strCache>
            </c:strRef>
          </c:cat>
          <c:val>
            <c:numRef>
              <c:f>'FCCL'!$E$17</c:f>
              <c:numCache>
                <c:formatCode>General</c:formatCode>
                <c:ptCount val="1"/>
              </c:numCache>
            </c:numRef>
          </c:val>
          <c:smooth val="0"/>
        </c:ser>
        <c:ser>
          <c:idx val="1"/>
          <c:order val="1"/>
          <c:tx>
            <c:v>Series 2</c:v>
          </c:tx>
          <c:marker>
            <c:symbol val="none"/>
          </c:marker>
          <c:cat>
            <c:strRef>
              <c:f>'FCCL'!$D$17</c:f>
              <c:strCache>
                <c:ptCount val="1"/>
                <c:pt idx="0">
                  <c:v>FY2021</c:v>
                </c:pt>
              </c:strCache>
            </c:strRef>
          </c:cat>
          <c:val>
            <c:numRef>
              <c:f>'FCCL'!$F$17</c:f>
              <c:numCache>
                <c:formatCode>General</c:formatCode>
                <c:ptCount val="1"/>
              </c:numCache>
            </c:numRef>
          </c:val>
          <c:smooth val="0"/>
        </c:ser>
        <c:ser>
          <c:idx val="2"/>
          <c:order val="2"/>
          <c:tx>
            <c:v>Series 3</c:v>
          </c:tx>
          <c:marker>
            <c:symbol val="none"/>
          </c:marker>
          <c:cat>
            <c:strRef>
              <c:f>'FCCL'!$D$17</c:f>
              <c:strCache>
                <c:ptCount val="1"/>
                <c:pt idx="0">
                  <c:v>FY2021</c:v>
                </c:pt>
              </c:strCache>
            </c:strRef>
          </c:cat>
          <c:val>
            <c:numRef>
              <c:f>'FCCL'!$G$17</c:f>
              <c:numCache>
                <c:formatCode>General</c:formatCode>
                <c:ptCount val="1"/>
              </c:numCache>
            </c:numRef>
          </c:val>
          <c:smooth val="0"/>
        </c:ser>
        <c:ser>
          <c:idx val="3"/>
          <c:order val="3"/>
          <c:tx>
            <c:v>Series 4</c:v>
          </c:tx>
          <c:marker>
            <c:symbol val="none"/>
          </c:marker>
          <c:cat>
            <c:strRef>
              <c:f>'FCCL'!$D$17</c:f>
              <c:strCache>
                <c:ptCount val="1"/>
                <c:pt idx="0">
                  <c:v>FY2021</c:v>
                </c:pt>
              </c:strCache>
            </c:strRef>
          </c:cat>
          <c:val>
            <c:numRef>
              <c:f>'FCCL'!$H$17</c:f>
              <c:numCache>
                <c:formatCode>General</c:formatCode>
                <c:ptCount val="1"/>
              </c:numCache>
            </c:numRef>
          </c:val>
          <c:smooth val="0"/>
        </c:ser>
        <c:ser>
          <c:idx val="4"/>
          <c:order val="4"/>
          <c:tx>
            <c:v>Gross margin</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FCCL!$D$161:$H$161</c:f>
              <c:numCache>
                <c:formatCode>0.0%</c:formatCode>
                <c:ptCount val="5"/>
                <c:pt idx="0">
                  <c:v>0.2498592472545232</c:v>
                </c:pt>
                <c:pt idx="1">
                  <c:v>0.2850790398885256</c:v>
                </c:pt>
                <c:pt idx="2">
                  <c:v>0.2999660404821077</c:v>
                </c:pt>
                <c:pt idx="3">
                  <c:v>0.3208998635022473</c:v>
                </c:pt>
                <c:pt idx="4">
                  <c:v>0.3549084220292905</c:v>
                </c:pt>
              </c:numCache>
            </c:numRef>
          </c:val>
          <c:smooth val="0"/>
        </c:ser>
        <c:ser>
          <c:idx val="5"/>
          <c:order val="5"/>
          <c:tx>
            <c:v>Operating margin</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FCCL!$D$162:$H$162</c:f>
              <c:numCache>
                <c:formatCode>0.0%</c:formatCode>
                <c:ptCount val="5"/>
                <c:pt idx="0">
                  <c:v>0.2048598992595571</c:v>
                </c:pt>
                <c:pt idx="1">
                  <c:v>0.2166514469171923</c:v>
                </c:pt>
                <c:pt idx="2">
                  <c:v>0.2289064691471258</c:v>
                </c:pt>
                <c:pt idx="3">
                  <c:v>0.250562371890435</c:v>
                </c:pt>
                <c:pt idx="4">
                  <c:v>0.2862983395627571</c:v>
                </c:pt>
              </c:numCache>
            </c:numRef>
          </c:val>
          <c:smooth val="0"/>
        </c:ser>
        <c:ser>
          <c:idx val="6"/>
          <c:order val="6"/>
          <c:tx>
            <c:v>Net margin</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FCCL!$D$163:$H$163</c:f>
              <c:numCache>
                <c:formatCode>0.0%</c:formatCode>
                <c:ptCount val="5"/>
                <c:pt idx="0">
                  <c:v>0.1430229590233891</c:v>
                </c:pt>
                <c:pt idx="1">
                  <c:v>0.13112336204567</c:v>
                </c:pt>
                <c:pt idx="2">
                  <c:v>0.109295717266417</c:v>
                </c:pt>
                <c:pt idx="3">
                  <c:v>0.1027552642554954</c:v>
                </c:pt>
                <c:pt idx="4">
                  <c:v>0.1498061160977777</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FCCL: liquidity and leverage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'FCCL'!$D$17</c:f>
              <c:strCache>
                <c:ptCount val="1"/>
                <c:pt idx="0">
                  <c:v>FY2021</c:v>
                </c:pt>
              </c:strCache>
            </c:strRef>
          </c:cat>
          <c:val>
            <c:numRef>
              <c:f>'FCCL'!$E$17</c:f>
              <c:numCache>
                <c:formatCode>General</c:formatCode>
                <c:ptCount val="1"/>
              </c:numCache>
            </c:numRef>
          </c:val>
          <c:smooth val="0"/>
        </c:ser>
        <c:ser>
          <c:idx val="1"/>
          <c:order val="1"/>
          <c:tx>
            <c:v>Series 2</c:v>
          </c:tx>
          <c:marker>
            <c:symbol val="none"/>
          </c:marker>
          <c:cat>
            <c:strRef>
              <c:f>'FCCL'!$D$17</c:f>
              <c:strCache>
                <c:ptCount val="1"/>
                <c:pt idx="0">
                  <c:v>FY2021</c:v>
                </c:pt>
              </c:strCache>
            </c:strRef>
          </c:cat>
          <c:val>
            <c:numRef>
              <c:f>'FCCL'!$F$17</c:f>
              <c:numCache>
                <c:formatCode>General</c:formatCode>
                <c:ptCount val="1"/>
              </c:numCache>
            </c:numRef>
          </c:val>
          <c:smooth val="0"/>
        </c:ser>
        <c:ser>
          <c:idx val="2"/>
          <c:order val="2"/>
          <c:tx>
            <c:v>Series 3</c:v>
          </c:tx>
          <c:marker>
            <c:symbol val="none"/>
          </c:marker>
          <c:cat>
            <c:strRef>
              <c:f>'FCCL'!$D$17</c:f>
              <c:strCache>
                <c:ptCount val="1"/>
                <c:pt idx="0">
                  <c:v>FY2021</c:v>
                </c:pt>
              </c:strCache>
            </c:strRef>
          </c:cat>
          <c:val>
            <c:numRef>
              <c:f>'FCCL'!$G$17</c:f>
              <c:numCache>
                <c:formatCode>General</c:formatCode>
                <c:ptCount val="1"/>
              </c:numCache>
            </c:numRef>
          </c:val>
          <c:smooth val="0"/>
        </c:ser>
        <c:ser>
          <c:idx val="3"/>
          <c:order val="3"/>
          <c:tx>
            <c:v>Series 4</c:v>
          </c:tx>
          <c:marker>
            <c:symbol val="none"/>
          </c:marker>
          <c:cat>
            <c:strRef>
              <c:f>'FCCL'!$D$17</c:f>
              <c:strCache>
                <c:ptCount val="1"/>
                <c:pt idx="0">
                  <c:v>FY2021</c:v>
                </c:pt>
              </c:strCache>
            </c:strRef>
          </c:cat>
          <c:val>
            <c:numRef>
              <c:f>'FCCL'!$H$17</c:f>
              <c:numCache>
                <c:formatCode>General</c:formatCode>
                <c:ptCount val="1"/>
              </c:numCache>
            </c:numRef>
          </c:val>
          <c:smooth val="0"/>
        </c:ser>
        <c:ser>
          <c:idx val="4"/>
          <c:order val="4"/>
          <c:tx>
            <c:v>Current ratio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FCCL!$D$138:$H$138</c:f>
              <c:numCache>
                <c:formatCode>0.00</c:formatCode>
                <c:ptCount val="5"/>
                <c:pt idx="0">
                  <c:v>2.01862288296847</c:v>
                </c:pt>
                <c:pt idx="1">
                  <c:v>1.055968894871809</c:v>
                </c:pt>
                <c:pt idx="2">
                  <c:v>0.8121113755800701</c:v>
                </c:pt>
                <c:pt idx="3">
                  <c:v>0.9597477311673009</c:v>
                </c:pt>
                <c:pt idx="4">
                  <c:v>1.321014082841037</c:v>
                </c:pt>
              </c:numCache>
            </c:numRef>
          </c:val>
          <c:smooth val="0"/>
        </c:ser>
        <c:ser>
          <c:idx val="5"/>
          <c:order val="5"/>
          <c:tx>
            <c:v>Quick ratio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FCCL!$D$139:$H$139</c:f>
              <c:numCache>
                <c:formatCode>0.00</c:formatCode>
                <c:ptCount val="5"/>
                <c:pt idx="0">
                  <c:v>1.13579884676847</c:v>
                </c:pt>
                <c:pt idx="1">
                  <c:v>0.4707842106056928</c:v>
                </c:pt>
                <c:pt idx="2">
                  <c:v>0.2812171087331332</c:v>
                </c:pt>
                <c:pt idx="3">
                  <c:v>0.3420463898878065</c:v>
                </c:pt>
                <c:pt idx="4">
                  <c:v>0.6775338076736492</c:v>
                </c:pt>
              </c:numCache>
            </c:numRef>
          </c:val>
          <c:smooth val="0"/>
        </c:ser>
        <c:ser>
          <c:idx val="6"/>
          <c:order val="6"/>
          <c:tx>
            <c:v>Debt-to-equity</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FCCL!$D$156:$H$156</c:f>
              <c:numCache>
                <c:formatCode>0.00</c:formatCode>
                <c:ptCount val="5"/>
                <c:pt idx="0">
                  <c:v>0.4629967488370152</c:v>
                </c:pt>
                <c:pt idx="1">
                  <c:v>0.9692733601339171</c:v>
                </c:pt>
                <c:pt idx="2">
                  <c:v>1.130064091181662</c:v>
                </c:pt>
                <c:pt idx="3">
                  <c:v>1.01142515128949</c:v>
                </c:pt>
                <c:pt idx="4">
                  <c:v>0.9086386225931091</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FCCL: working-capital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Series 1</c:v>
          </c:tx>
          <c:marker>
            <c:symbol val="none"/>
          </c:marker>
          <c:cat>
            <c:strRef>
              <c:f>'FCCL'!$D$17</c:f>
              <c:strCache>
                <c:ptCount val="1"/>
                <c:pt idx="0">
                  <c:v>FY2021</c:v>
                </c:pt>
              </c:strCache>
            </c:strRef>
          </c:cat>
          <c:val>
            <c:numRef>
              <c:f>'FCCL'!$E$17</c:f>
              <c:numCache>
                <c:formatCode>General</c:formatCode>
                <c:ptCount val="1"/>
              </c:numCache>
            </c:numRef>
          </c:val>
          <c:smooth val="0"/>
        </c:ser>
        <c:ser>
          <c:idx val="1"/>
          <c:order val="1"/>
          <c:tx>
            <c:v>Series 2</c:v>
          </c:tx>
          <c:marker>
            <c:symbol val="none"/>
          </c:marker>
          <c:cat>
            <c:strRef>
              <c:f>'FCCL'!$D$17</c:f>
              <c:strCache>
                <c:ptCount val="1"/>
                <c:pt idx="0">
                  <c:v>FY2021</c:v>
                </c:pt>
              </c:strCache>
            </c:strRef>
          </c:cat>
          <c:val>
            <c:numRef>
              <c:f>'FCCL'!$F$17</c:f>
              <c:numCache>
                <c:formatCode>General</c:formatCode>
                <c:ptCount val="1"/>
              </c:numCache>
            </c:numRef>
          </c:val>
          <c:smooth val="0"/>
        </c:ser>
        <c:ser>
          <c:idx val="2"/>
          <c:order val="2"/>
          <c:tx>
            <c:v>Series 3</c:v>
          </c:tx>
          <c:marker>
            <c:symbol val="none"/>
          </c:marker>
          <c:cat>
            <c:strRef>
              <c:f>'FCCL'!$D$17</c:f>
              <c:strCache>
                <c:ptCount val="1"/>
                <c:pt idx="0">
                  <c:v>FY2021</c:v>
                </c:pt>
              </c:strCache>
            </c:strRef>
          </c:cat>
          <c:val>
            <c:numRef>
              <c:f>'FCCL'!$G$17</c:f>
              <c:numCache>
                <c:formatCode>General</c:formatCode>
                <c:ptCount val="1"/>
              </c:numCache>
            </c:numRef>
          </c:val>
          <c:smooth val="0"/>
        </c:ser>
        <c:ser>
          <c:idx val="3"/>
          <c:order val="3"/>
          <c:tx>
            <c:v>Series 4</c:v>
          </c:tx>
          <c:marker>
            <c:symbol val="none"/>
          </c:marker>
          <c:cat>
            <c:strRef>
              <c:f>'FCCL'!$D$17</c:f>
              <c:strCache>
                <c:ptCount val="1"/>
                <c:pt idx="0">
                  <c:v>FY2021</c:v>
                </c:pt>
              </c:strCache>
            </c:strRef>
          </c:cat>
          <c:val>
            <c:numRef>
              <c:f>'FCCL'!$H$17</c:f>
              <c:numCache>
                <c:formatCode>General</c:formatCode>
                <c:ptCount val="1"/>
              </c:numCache>
            </c:numRef>
          </c:val>
          <c:smooth val="0"/>
        </c:ser>
        <c:ser>
          <c:idx val="4"/>
          <c:order val="4"/>
          <c:tx>
            <c:v>DIO</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FCCL!$D$147:$H$147</c:f>
              <c:numCache>
                <c:formatCode>0</c:formatCode>
                <c:ptCount val="5"/>
                <c:pt idx="0">
                  <c:v>101.5751255843945</c:v>
                </c:pt>
                <c:pt idx="1">
                  <c:v>99.189403784088</c:v>
                </c:pt>
                <c:pt idx="2">
                  <c:v>117.8105626706149</c:v>
                </c:pt>
                <c:pt idx="3">
                  <c:v>106.5141254835399</c:v>
                </c:pt>
                <c:pt idx="4">
                  <c:v>115.4740609990301</c:v>
                </c:pt>
              </c:numCache>
            </c:numRef>
          </c:val>
          <c:smooth val="0"/>
        </c:ser>
        <c:ser>
          <c:idx val="5"/>
          <c:order val="5"/>
          <c:tx>
            <c:v>DSO</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FCCL!$D$148:$H$148</c:f>
              <c:numCache>
                <c:formatCode>0</c:formatCode>
                <c:ptCount val="5"/>
                <c:pt idx="0">
                  <c:v>18.79973804435983</c:v>
                </c:pt>
                <c:pt idx="1">
                  <c:v>12.99483438617964</c:v>
                </c:pt>
                <c:pt idx="2">
                  <c:v>16.04687922960609</c:v>
                </c:pt>
                <c:pt idx="3">
                  <c:v>20.79290475349918</c:v>
                </c:pt>
                <c:pt idx="4">
                  <c:v>25.55549221298793</c:v>
                </c:pt>
              </c:numCache>
            </c:numRef>
          </c:val>
          <c:smooth val="0"/>
        </c:ser>
        <c:ser>
          <c:idx val="6"/>
          <c:order val="6"/>
          <c:tx>
            <c:v>DPO</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FCCL!$D$149:$H$149</c:f>
              <c:numCache>
                <c:formatCode>0</c:formatCode>
                <c:ptCount val="5"/>
                <c:pt idx="0">
                  <c:v>12.2050774212825</c:v>
                </c:pt>
                <c:pt idx="1">
                  <c:v>16.68896089592807</c:v>
                </c:pt>
                <c:pt idx="2">
                  <c:v>20.32380478576975</c:v>
                </c:pt>
                <c:pt idx="3">
                  <c:v>17.96598297778959</c:v>
                </c:pt>
                <c:pt idx="4">
                  <c:v>15.14066821634052</c:v>
                </c:pt>
              </c:numCache>
            </c:numRef>
          </c:val>
          <c:smooth val="0"/>
        </c:ser>
        <c:ser>
          <c:idx val="7"/>
          <c:order val="7"/>
          <c:tx>
            <c:v>Cash conversion cycle</c:v>
          </c:tx>
          <c:spPr>
            <a:solidFill xmlns:a="http://schemas.openxmlformats.org/drawingml/2006/main">
              <a:srgbClr val="648B98"/>
            </a:solidFill>
            <a:ln xmlns:a="http://schemas.openxmlformats.org/drawingml/2006/main" w="13335">
              <a:solidFill>
                <a:srgbClr val="648B98"/>
              </a:solidFill>
              <a:prstDash val="solid"/>
            </a:ln>
          </c:spPr>
          <c:marker>
            <c:symbol val="none"/>
          </c:marker>
          <c:cat>
            <c:strRef>
              <c:f>FCCL!$D$17:$H$17</c:f>
              <c:strCache>
                <c:ptCount val="5"/>
                <c:pt idx="0">
                  <c:v>FY2021</c:v>
                </c:pt>
                <c:pt idx="1">
                  <c:v>FY2022</c:v>
                </c:pt>
                <c:pt idx="2">
                  <c:v>FY2023</c:v>
                </c:pt>
                <c:pt idx="3">
                  <c:v>FY2024</c:v>
                </c:pt>
                <c:pt idx="4">
                  <c:v>FY2025</c:v>
                </c:pt>
              </c:strCache>
            </c:strRef>
          </c:cat>
          <c:val>
            <c:numRef>
              <c:f>FCCL!$D$151:$H$151</c:f>
              <c:numCache>
                <c:formatCode>0</c:formatCode>
                <c:ptCount val="5"/>
                <c:pt idx="0">
                  <c:v>108.1697862074718</c:v>
                </c:pt>
                <c:pt idx="1">
                  <c:v>95.49527727433959</c:v>
                </c:pt>
                <c:pt idx="2">
                  <c:v>113.5336371144512</c:v>
                </c:pt>
                <c:pt idx="3">
                  <c:v>109.3410472592495</c:v>
                </c:pt>
                <c:pt idx="4">
                  <c:v>125.8888849956775</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Liquidity: current ratio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Comparison'!$D$8:$D$11</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Comparison'!$D$7:$D$11</c:f>
              <c:strCache>
                <c:ptCount val="5"/>
                <c:pt idx="0">
                  <c:v>FY2021</c:v>
                </c:pt>
                <c:pt idx="1">
                  <c:v>FY2022</c:v>
                </c:pt>
                <c:pt idx="2">
                  <c:v>FY2023</c:v>
                </c:pt>
                <c:pt idx="3">
                  <c:v>FY2024</c:v>
                </c:pt>
                <c:pt idx="4">
                  <c:v>FY2025</c:v>
                </c:pt>
              </c:strCache>
            </c:strRef>
          </c:cat>
          <c:val>
            <c:numRef>
              <c:f>'Industry Comparison'!$E$7:$E$11</c:f>
              <c:numCache>
                <c:formatCode>0.00</c:formatCode>
                <c:ptCount val="5"/>
                <c:pt idx="0">
                  <c:v>1.300644669141496</c:v>
                </c:pt>
                <c:pt idx="1">
                  <c:v>1.87350852761098</c:v>
                </c:pt>
                <c:pt idx="2">
                  <c:v>2.311570515459215</c:v>
                </c:pt>
                <c:pt idx="3">
                  <c:v>2.903159053016002</c:v>
                </c:pt>
                <c:pt idx="4">
                  <c:v>3.311248687172772</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Comparison'!$D$7:$D$11</c:f>
              <c:strCache>
                <c:ptCount val="5"/>
                <c:pt idx="0">
                  <c:v>FY2021</c:v>
                </c:pt>
                <c:pt idx="1">
                  <c:v>FY2022</c:v>
                </c:pt>
                <c:pt idx="2">
                  <c:v>FY2023</c:v>
                </c:pt>
                <c:pt idx="3">
                  <c:v>FY2024</c:v>
                </c:pt>
                <c:pt idx="4">
                  <c:v>FY2025</c:v>
                </c:pt>
              </c:strCache>
            </c:strRef>
          </c:cat>
          <c:val>
            <c:numRef>
              <c:f>'Industry Comparison'!$J$7:$J$11</c:f>
              <c:numCache>
                <c:formatCode>0.00</c:formatCode>
                <c:ptCount val="5"/>
                <c:pt idx="0">
                  <c:v>1.410099888693426</c:v>
                </c:pt>
                <c:pt idx="1">
                  <c:v>1.309207712978373</c:v>
                </c:pt>
                <c:pt idx="2">
                  <c:v>1.317413647298926</c:v>
                </c:pt>
                <c:pt idx="3">
                  <c:v>1.573398638484981</c:v>
                </c:pt>
                <c:pt idx="4">
                  <c:v>1.945654016253348</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Comparison'!$D$7:$D$11</c:f>
              <c:strCache>
                <c:ptCount val="5"/>
                <c:pt idx="0">
                  <c:v>FY2021</c:v>
                </c:pt>
                <c:pt idx="1">
                  <c:v>FY2022</c:v>
                </c:pt>
                <c:pt idx="2">
                  <c:v>FY2023</c:v>
                </c:pt>
                <c:pt idx="3">
                  <c:v>FY2024</c:v>
                </c:pt>
                <c:pt idx="4">
                  <c:v>FY2025</c:v>
                </c:pt>
              </c:strCache>
            </c:strRef>
          </c:cat>
          <c:val>
            <c:numRef>
              <c:f>'Industry Comparison'!$M$7:$M$11</c:f>
              <c:numCache>
                <c:formatCode>0.00</c:formatCode>
                <c:ptCount val="5"/>
                <c:pt idx="0">
                  <c:v>1.437463693581408</c:v>
                </c:pt>
                <c:pt idx="1">
                  <c:v>1.168132509320221</c:v>
                </c:pt>
                <c:pt idx="2">
                  <c:v>1.068874430258854</c:v>
                </c:pt>
                <c:pt idx="3">
                  <c:v>1.240958534852226</c:v>
                </c:pt>
                <c:pt idx="4">
                  <c:v>1.604255348523491</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Asset efficiency: total asset turnover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Comparison'!$D$87:$D$90</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Comparison'!$D$86:$D$90</c:f>
              <c:strCache>
                <c:ptCount val="5"/>
                <c:pt idx="0">
                  <c:v>FY2021</c:v>
                </c:pt>
                <c:pt idx="1">
                  <c:v>FY2022</c:v>
                </c:pt>
                <c:pt idx="2">
                  <c:v>FY2023</c:v>
                </c:pt>
                <c:pt idx="3">
                  <c:v>FY2024</c:v>
                </c:pt>
                <c:pt idx="4">
                  <c:v>FY2025</c:v>
                </c:pt>
              </c:strCache>
            </c:strRef>
          </c:cat>
          <c:val>
            <c:numRef>
              <c:f>'Industry Comparison'!$E$86:$E$90</c:f>
              <c:numCache>
                <c:formatCode>0.00</c:formatCode>
                <c:ptCount val="5"/>
                <c:pt idx="0">
                  <c:v>0.7092011621843222</c:v>
                </c:pt>
                <c:pt idx="1">
                  <c:v>0.8277428727778264</c:v>
                </c:pt>
                <c:pt idx="2">
                  <c:v>0.838099135080987</c:v>
                </c:pt>
                <c:pt idx="3">
                  <c:v>0.7132336607672219</c:v>
                </c:pt>
                <c:pt idx="4">
                  <c:v>0.59752332567838</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Comparison'!$D$86:$D$90</c:f>
              <c:strCache>
                <c:ptCount val="5"/>
                <c:pt idx="0">
                  <c:v>FY2021</c:v>
                </c:pt>
                <c:pt idx="1">
                  <c:v>FY2022</c:v>
                </c:pt>
                <c:pt idx="2">
                  <c:v>FY2023</c:v>
                </c:pt>
                <c:pt idx="3">
                  <c:v>FY2024</c:v>
                </c:pt>
                <c:pt idx="4">
                  <c:v>FY2025</c:v>
                </c:pt>
              </c:strCache>
            </c:strRef>
          </c:cat>
          <c:val>
            <c:numRef>
              <c:f>'Industry Comparison'!$J$86:$J$90</c:f>
              <c:numCache>
                <c:formatCode>0.00</c:formatCode>
                <c:ptCount val="5"/>
                <c:pt idx="0">
                  <c:v>0.5564137285108437</c:v>
                </c:pt>
                <c:pt idx="1">
                  <c:v>0.6227597261969813</c:v>
                </c:pt>
                <c:pt idx="2">
                  <c:v>0.6119910751328349</c:v>
                </c:pt>
                <c:pt idx="3">
                  <c:v>0.5948767530114493</c:v>
                </c:pt>
                <c:pt idx="4">
                  <c:v>0.5616827907432418</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Comparison'!$D$86:$D$90</c:f>
              <c:strCache>
                <c:ptCount val="5"/>
                <c:pt idx="0">
                  <c:v>FY2021</c:v>
                </c:pt>
                <c:pt idx="1">
                  <c:v>FY2022</c:v>
                </c:pt>
                <c:pt idx="2">
                  <c:v>FY2023</c:v>
                </c:pt>
                <c:pt idx="3">
                  <c:v>FY2024</c:v>
                </c:pt>
                <c:pt idx="4">
                  <c:v>FY2025</c:v>
                </c:pt>
              </c:strCache>
            </c:strRef>
          </c:cat>
          <c:val>
            <c:numRef>
              <c:f>'Industry Comparison'!$M$86:$M$90</c:f>
              <c:numCache>
                <c:formatCode>0.00</c:formatCode>
                <c:ptCount val="5"/>
                <c:pt idx="0">
                  <c:v>0.5182168700924741</c:v>
                </c:pt>
                <c:pt idx="1">
                  <c:v>0.57151393955177</c:v>
                </c:pt>
                <c:pt idx="2">
                  <c:v>0.5554640601457969</c:v>
                </c:pt>
                <c:pt idx="3">
                  <c:v>0.5652875260725061</c:v>
                </c:pt>
                <c:pt idx="4">
                  <c:v>0.5527226570094572</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Working capital: cash conversion cycle (days)</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Comparison'!$D$81:$D$84</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Comparison'!$D$80:$D$84</c:f>
              <c:strCache>
                <c:ptCount val="5"/>
                <c:pt idx="0">
                  <c:v>FY2021</c:v>
                </c:pt>
                <c:pt idx="1">
                  <c:v>FY2022</c:v>
                </c:pt>
                <c:pt idx="2">
                  <c:v>FY2023</c:v>
                </c:pt>
                <c:pt idx="3">
                  <c:v>FY2024</c:v>
                </c:pt>
                <c:pt idx="4">
                  <c:v>FY2025</c:v>
                </c:pt>
              </c:strCache>
            </c:strRef>
          </c:cat>
          <c:val>
            <c:numRef>
              <c:f>'Industry Comparison'!$E$80:$E$84</c:f>
              <c:numCache>
                <c:formatCode>0</c:formatCode>
                <c:ptCount val="5"/>
                <c:pt idx="0">
                  <c:v>59.66334864328658</c:v>
                </c:pt>
                <c:pt idx="1">
                  <c:v>66.07219583568286</c:v>
                </c:pt>
                <c:pt idx="2">
                  <c:v>82.78887616309285</c:v>
                </c:pt>
                <c:pt idx="3">
                  <c:v>100.8023455695939</c:v>
                </c:pt>
                <c:pt idx="4">
                  <c:v>108.0471626527696</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Comparison'!$D$80:$D$84</c:f>
              <c:strCache>
                <c:ptCount val="5"/>
                <c:pt idx="0">
                  <c:v>FY2021</c:v>
                </c:pt>
                <c:pt idx="1">
                  <c:v>FY2022</c:v>
                </c:pt>
                <c:pt idx="2">
                  <c:v>FY2023</c:v>
                </c:pt>
                <c:pt idx="3">
                  <c:v>FY2024</c:v>
                </c:pt>
                <c:pt idx="4">
                  <c:v>FY2025</c:v>
                </c:pt>
              </c:strCache>
            </c:strRef>
          </c:cat>
          <c:val>
            <c:numRef>
              <c:f>'Industry Comparison'!$J$80:$J$84</c:f>
              <c:numCache>
                <c:formatCode>0</c:formatCode>
                <c:ptCount val="5"/>
                <c:pt idx="0">
                  <c:v>94.61025266845047</c:v>
                </c:pt>
                <c:pt idx="1">
                  <c:v>96.69364386020045</c:v>
                </c:pt>
                <c:pt idx="2">
                  <c:v>101.1060628411725</c:v>
                </c:pt>
                <c:pt idx="3">
                  <c:v>99.99357000730708</c:v>
                </c:pt>
                <c:pt idx="4">
                  <c:v>109.4406703316248</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Comparison'!$D$80:$D$84</c:f>
              <c:strCache>
                <c:ptCount val="5"/>
                <c:pt idx="0">
                  <c:v>FY2021</c:v>
                </c:pt>
                <c:pt idx="1">
                  <c:v>FY2022</c:v>
                </c:pt>
                <c:pt idx="2">
                  <c:v>FY2023</c:v>
                </c:pt>
                <c:pt idx="3">
                  <c:v>FY2024</c:v>
                </c:pt>
                <c:pt idx="4">
                  <c:v>FY2025</c:v>
                </c:pt>
              </c:strCache>
            </c:strRef>
          </c:cat>
          <c:val>
            <c:numRef>
              <c:f>'Industry Comparison'!$M$80:$M$84</c:f>
              <c:numCache>
                <c:formatCode>0</c:formatCode>
                <c:ptCount val="5"/>
                <c:pt idx="0">
                  <c:v>103.3469786747415</c:v>
                </c:pt>
                <c:pt idx="1">
                  <c:v>104.3490058663298</c:v>
                </c:pt>
                <c:pt idx="2">
                  <c:v>105.6853595106924</c:v>
                </c:pt>
                <c:pt idx="3">
                  <c:v>99.79137611673539</c:v>
                </c:pt>
                <c:pt idx="4">
                  <c:v>109.7890472513385</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Leverage: debt ratio (TL/TA)</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Comparison'!$D$100:$D$103</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Comparison'!$D$99:$D$103</c:f>
              <c:strCache>
                <c:ptCount val="5"/>
                <c:pt idx="0">
                  <c:v>FY2021</c:v>
                </c:pt>
                <c:pt idx="1">
                  <c:v>FY2022</c:v>
                </c:pt>
                <c:pt idx="2">
                  <c:v>FY2023</c:v>
                </c:pt>
                <c:pt idx="3">
                  <c:v>FY2024</c:v>
                </c:pt>
                <c:pt idx="4">
                  <c:v>FY2025</c:v>
                </c:pt>
              </c:strCache>
            </c:strRef>
          </c:cat>
          <c:val>
            <c:numRef>
              <c:f>'Industry Comparison'!$E$99:$E$103</c:f>
              <c:numCache>
                <c:formatCode>0.0%</c:formatCode>
                <c:ptCount val="5"/>
                <c:pt idx="0">
                  <c:v>0.384166382555034</c:v>
                </c:pt>
                <c:pt idx="1">
                  <c:v>0.3714924916717046</c:v>
                </c:pt>
                <c:pt idx="2">
                  <c:v>0.3416112409848334</c:v>
                </c:pt>
                <c:pt idx="3">
                  <c:v>0.3016994518502951</c:v>
                </c:pt>
                <c:pt idx="4">
                  <c:v>0.2820467264702844</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Comparison'!$D$99:$D$103</c:f>
              <c:strCache>
                <c:ptCount val="5"/>
                <c:pt idx="0">
                  <c:v>FY2021</c:v>
                </c:pt>
                <c:pt idx="1">
                  <c:v>FY2022</c:v>
                </c:pt>
                <c:pt idx="2">
                  <c:v>FY2023</c:v>
                </c:pt>
                <c:pt idx="3">
                  <c:v>FY2024</c:v>
                </c:pt>
                <c:pt idx="4">
                  <c:v>FY2025</c:v>
                </c:pt>
              </c:strCache>
            </c:strRef>
          </c:cat>
          <c:val>
            <c:numRef>
              <c:f>'Industry Comparison'!$J$99:$J$103</c:f>
              <c:numCache>
                <c:formatCode>0.0%</c:formatCode>
                <c:ptCount val="5"/>
                <c:pt idx="0">
                  <c:v>0.375415333257628</c:v>
                </c:pt>
                <c:pt idx="1">
                  <c:v>0.4326831458230466</c:v>
                </c:pt>
                <c:pt idx="2">
                  <c:v>0.4500595453366052</c:v>
                </c:pt>
                <c:pt idx="3">
                  <c:v>0.4191048423522697</c:v>
                </c:pt>
                <c:pt idx="4">
                  <c:v>0.3699848938357148</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Comparison'!$D$99:$D$103</c:f>
              <c:strCache>
                <c:ptCount val="5"/>
                <c:pt idx="0">
                  <c:v>FY2021</c:v>
                </c:pt>
                <c:pt idx="1">
                  <c:v>FY2022</c:v>
                </c:pt>
                <c:pt idx="2">
                  <c:v>FY2023</c:v>
                </c:pt>
                <c:pt idx="3">
                  <c:v>FY2024</c:v>
                </c:pt>
                <c:pt idx="4">
                  <c:v>FY2025</c:v>
                </c:pt>
              </c:strCache>
            </c:strRef>
          </c:cat>
          <c:val>
            <c:numRef>
              <c:f>'Industry Comparison'!$M$99:$M$103</c:f>
              <c:numCache>
                <c:formatCode>0.0%</c:formatCode>
                <c:ptCount val="5"/>
                <c:pt idx="0">
                  <c:v>0.3732275709332765</c:v>
                </c:pt>
                <c:pt idx="1">
                  <c:v>0.4479808093608821</c:v>
                </c:pt>
                <c:pt idx="2">
                  <c:v>0.4771716214245482</c:v>
                </c:pt>
                <c:pt idx="3">
                  <c:v>0.4484561899777634</c:v>
                </c:pt>
                <c:pt idx="4">
                  <c:v>0.3919694356770723</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Debt service: times interest earned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Comparison'!$D$124:$D$127</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Comparison'!$D$123:$D$127</c:f>
              <c:strCache>
                <c:ptCount val="5"/>
                <c:pt idx="0">
                  <c:v>FY2021</c:v>
                </c:pt>
                <c:pt idx="1">
                  <c:v>FY2022</c:v>
                </c:pt>
                <c:pt idx="2">
                  <c:v>FY2023</c:v>
                </c:pt>
                <c:pt idx="3">
                  <c:v>FY2024</c:v>
                </c:pt>
                <c:pt idx="4">
                  <c:v>FY2025</c:v>
                </c:pt>
              </c:strCache>
            </c:strRef>
          </c:cat>
          <c:val>
            <c:numRef>
              <c:f>'Industry Comparison'!$E$123:$E$127</c:f>
              <c:numCache>
                <c:formatCode>0.00</c:formatCode>
                <c:ptCount val="5"/>
                <c:pt idx="0">
                  <c:v>11.01970690118175</c:v>
                </c:pt>
                <c:pt idx="1">
                  <c:v>18.36315245249661</c:v>
                </c:pt>
                <c:pt idx="2">
                  <c:v>16.39882527987395</c:v>
                </c:pt>
                <c:pt idx="3">
                  <c:v>22.36772022420514</c:v>
                </c:pt>
                <c:pt idx="4">
                  <c:v>59.09895319837231</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Comparison'!$D$123:$D$127</c:f>
              <c:strCache>
                <c:ptCount val="5"/>
                <c:pt idx="0">
                  <c:v>FY2021</c:v>
                </c:pt>
                <c:pt idx="1">
                  <c:v>FY2022</c:v>
                </c:pt>
                <c:pt idx="2">
                  <c:v>FY2023</c:v>
                </c:pt>
                <c:pt idx="3">
                  <c:v>FY2024</c:v>
                </c:pt>
                <c:pt idx="4">
                  <c:v>FY2025</c:v>
                </c:pt>
              </c:strCache>
            </c:strRef>
          </c:cat>
          <c:val>
            <c:numRef>
              <c:f>'Industry Comparison'!$J$123:$J$127</c:f>
              <c:numCache>
                <c:formatCode>0.00</c:formatCode>
                <c:ptCount val="5"/>
                <c:pt idx="0">
                  <c:v>25.68744083064653</c:v>
                </c:pt>
                <c:pt idx="1">
                  <c:v>18.88755375874046</c:v>
                </c:pt>
                <c:pt idx="2">
                  <c:v>9.61611586976683</c:v>
                </c:pt>
                <c:pt idx="3">
                  <c:v>11.65500675691597</c:v>
                </c:pt>
                <c:pt idx="4">
                  <c:v>22.48779603976347</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Comparison'!$D$123:$D$127</c:f>
              <c:strCache>
                <c:ptCount val="5"/>
                <c:pt idx="0">
                  <c:v>FY2021</c:v>
                </c:pt>
                <c:pt idx="1">
                  <c:v>FY2022</c:v>
                </c:pt>
                <c:pt idx="2">
                  <c:v>FY2023</c:v>
                </c:pt>
                <c:pt idx="3">
                  <c:v>FY2024</c:v>
                </c:pt>
                <c:pt idx="4">
                  <c:v>FY2025</c:v>
                </c:pt>
              </c:strCache>
            </c:strRef>
          </c:cat>
          <c:val>
            <c:numRef>
              <c:f>'Industry Comparison'!$M$123:$M$127</c:f>
              <c:numCache>
                <c:formatCode>0.00</c:formatCode>
                <c:ptCount val="5"/>
                <c:pt idx="0">
                  <c:v>29.35437431301272</c:v>
                </c:pt>
                <c:pt idx="1">
                  <c:v>19.01865408530143</c:v>
                </c:pt>
                <c:pt idx="2">
                  <c:v>7.920438517240048</c:v>
                </c:pt>
                <c:pt idx="3">
                  <c:v>8.976828390093676</c:v>
                </c:pt>
                <c:pt idx="4">
                  <c:v>13.33500675011127</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Profitability: net profit margin</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Comparison'!$D$143:$D$146</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Comparison'!$D$142:$D$146</c:f>
              <c:strCache>
                <c:ptCount val="5"/>
                <c:pt idx="0">
                  <c:v>FY2021</c:v>
                </c:pt>
                <c:pt idx="1">
                  <c:v>FY2022</c:v>
                </c:pt>
                <c:pt idx="2">
                  <c:v>FY2023</c:v>
                </c:pt>
                <c:pt idx="3">
                  <c:v>FY2024</c:v>
                </c:pt>
                <c:pt idx="4">
                  <c:v>FY2025</c:v>
                </c:pt>
              </c:strCache>
            </c:strRef>
          </c:cat>
          <c:val>
            <c:numRef>
              <c:f>'Industry Comparison'!$E$142:$E$146</c:f>
              <c:numCache>
                <c:formatCode>0.0%</c:formatCode>
                <c:ptCount val="5"/>
                <c:pt idx="0">
                  <c:v>0.1453819089897026</c:v>
                </c:pt>
                <c:pt idx="1">
                  <c:v>0.1528207569578638</c:v>
                </c:pt>
                <c:pt idx="2">
                  <c:v>0.1495505287138454</c:v>
                </c:pt>
                <c:pt idx="3">
                  <c:v>0.2301156121989565</c:v>
                </c:pt>
                <c:pt idx="4">
                  <c:v>0.3083771970759486</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Comparison'!$D$142:$D$146</c:f>
              <c:strCache>
                <c:ptCount val="5"/>
                <c:pt idx="0">
                  <c:v>FY2021</c:v>
                </c:pt>
                <c:pt idx="1">
                  <c:v>FY2022</c:v>
                </c:pt>
                <c:pt idx="2">
                  <c:v>FY2023</c:v>
                </c:pt>
                <c:pt idx="3">
                  <c:v>FY2024</c:v>
                </c:pt>
                <c:pt idx="4">
                  <c:v>FY2025</c:v>
                </c:pt>
              </c:strCache>
            </c:strRef>
          </c:cat>
          <c:val>
            <c:numRef>
              <c:f>'Industry Comparison'!$J$142:$J$146</c:f>
              <c:numCache>
                <c:formatCode>0.0%</c:formatCode>
                <c:ptCount val="5"/>
                <c:pt idx="0">
                  <c:v>0.1540861986157265</c:v>
                </c:pt>
                <c:pt idx="1">
                  <c:v>0.1197085421204442</c:v>
                </c:pt>
                <c:pt idx="2">
                  <c:v>0.1186080864451674</c:v>
                </c:pt>
                <c:pt idx="3">
                  <c:v>0.1328286410786529</c:v>
                </c:pt>
                <c:pt idx="4">
                  <c:v>0.2183470715658395</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Comparison'!$D$142:$D$146</c:f>
              <c:strCache>
                <c:ptCount val="5"/>
                <c:pt idx="0">
                  <c:v>FY2021</c:v>
                </c:pt>
                <c:pt idx="1">
                  <c:v>FY2022</c:v>
                </c:pt>
                <c:pt idx="2">
                  <c:v>FY2023</c:v>
                </c:pt>
                <c:pt idx="3">
                  <c:v>FY2024</c:v>
                </c:pt>
                <c:pt idx="4">
                  <c:v>FY2025</c:v>
                </c:pt>
              </c:strCache>
            </c:strRef>
          </c:cat>
          <c:val>
            <c:numRef>
              <c:f>'Industry Comparison'!$M$142:$M$146</c:f>
              <c:numCache>
                <c:formatCode>0.0%</c:formatCode>
                <c:ptCount val="5"/>
                <c:pt idx="0">
                  <c:v>0.1562622710222325</c:v>
                </c:pt>
                <c:pt idx="1">
                  <c:v>0.1114304884110893</c:v>
                </c:pt>
                <c:pt idx="2">
                  <c:v>0.1082939390222747</c:v>
                </c:pt>
                <c:pt idx="3">
                  <c:v>0.1085068982985771</c:v>
                </c:pt>
                <c:pt idx="4">
                  <c:v>0.1958395401883123</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Profitability: return on equity</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Comparison'!$D$155:$D$158</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Comparison'!$D$154:$D$158</c:f>
              <c:strCache>
                <c:ptCount val="5"/>
                <c:pt idx="0">
                  <c:v>FY2021</c:v>
                </c:pt>
                <c:pt idx="1">
                  <c:v>FY2022</c:v>
                </c:pt>
                <c:pt idx="2">
                  <c:v>FY2023</c:v>
                </c:pt>
                <c:pt idx="3">
                  <c:v>FY2024</c:v>
                </c:pt>
                <c:pt idx="4">
                  <c:v>FY2025</c:v>
                </c:pt>
              </c:strCache>
            </c:strRef>
          </c:cat>
          <c:val>
            <c:numRef>
              <c:f>'Industry Comparison'!$E$154:$E$158</c:f>
              <c:numCache>
                <c:formatCode>0.0%</c:formatCode>
                <c:ptCount val="5"/>
                <c:pt idx="0">
                  <c:v>0.1708175375326949</c:v>
                </c:pt>
                <c:pt idx="1">
                  <c:v>0.2031253153612202</c:v>
                </c:pt>
                <c:pt idx="2">
                  <c:v>0.1944909568032407</c:v>
                </c:pt>
                <c:pt idx="3">
                  <c:v>0.2413409096500538</c:v>
                </c:pt>
                <c:pt idx="4">
                  <c:v>0.259982908981603</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Comparison'!$D$154:$D$158</c:f>
              <c:strCache>
                <c:ptCount val="5"/>
                <c:pt idx="0">
                  <c:v>FY2021</c:v>
                </c:pt>
                <c:pt idx="1">
                  <c:v>FY2022</c:v>
                </c:pt>
                <c:pt idx="2">
                  <c:v>FY2023</c:v>
                </c:pt>
                <c:pt idx="3">
                  <c:v>FY2024</c:v>
                </c:pt>
                <c:pt idx="4">
                  <c:v>FY2025</c:v>
                </c:pt>
              </c:strCache>
            </c:strRef>
          </c:cat>
          <c:val>
            <c:numRef>
              <c:f>'Industry Comparison'!$J$154:$J$158</c:f>
              <c:numCache>
                <c:formatCode>0.0%</c:formatCode>
                <c:ptCount val="5"/>
                <c:pt idx="0">
                  <c:v>0.1398452844081146</c:v>
                </c:pt>
                <c:pt idx="1">
                  <c:v>0.1279208736131384</c:v>
                </c:pt>
                <c:pt idx="2">
                  <c:v>0.130972143579878</c:v>
                </c:pt>
                <c:pt idx="3">
                  <c:v>0.1346082955781381</c:v>
                </c:pt>
                <c:pt idx="4">
                  <c:v>0.2019721198591761</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Comparison'!$D$154:$D$158</c:f>
              <c:strCache>
                <c:ptCount val="5"/>
                <c:pt idx="0">
                  <c:v>FY2021</c:v>
                </c:pt>
                <c:pt idx="1">
                  <c:v>FY2022</c:v>
                </c:pt>
                <c:pt idx="2">
                  <c:v>FY2023</c:v>
                </c:pt>
                <c:pt idx="3">
                  <c:v>FY2024</c:v>
                </c:pt>
                <c:pt idx="4">
                  <c:v>FY2025</c:v>
                </c:pt>
              </c:strCache>
            </c:strRef>
          </c:cat>
          <c:val>
            <c:numRef>
              <c:f>'Industry Comparison'!$M$154:$M$158</c:f>
              <c:numCache>
                <c:formatCode>0.0%</c:formatCode>
                <c:ptCount val="5"/>
                <c:pt idx="0">
                  <c:v>0.1321022211269695</c:v>
                </c:pt>
                <c:pt idx="1">
                  <c:v>0.109119763176118</c:v>
                </c:pt>
                <c:pt idx="2">
                  <c:v>0.1097992058387571</c:v>
                </c:pt>
                <c:pt idx="3">
                  <c:v>0.1079251420601591</c:v>
                </c:pt>
                <c:pt idx="4">
                  <c:v>0.1874694225785694</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Market valuation: market-to-book (x)</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lineChart>
        <c:grouping val="standard"/>
        <c:varyColors val="0"/>
        <c:ser>
          <c:idx val="0"/>
          <c:order val="0"/>
          <c:tx>
            <c:v>FY2021</c:v>
          </c:tx>
          <c:marker>
            <c:symbol val="none"/>
          </c:marker>
          <c:cat>
            <c:strLit>
              <c:ptCount val="4"/>
              <c:pt idx="0">
                <c:v>Item 1</c:v>
              </c:pt>
              <c:pt idx="1">
                <c:v>Item 2</c:v>
              </c:pt>
              <c:pt idx="2">
                <c:v>Item 3</c:v>
              </c:pt>
              <c:pt idx="3">
                <c:v>Item 4</c:v>
              </c:pt>
            </c:strLit>
          </c:cat>
          <c:val>
            <c:numRef>
              <c:f>'Industry Comparison'!$D$180:$D$183</c:f>
              <c:numCache>
                <c:formatCode>General</c:formatCode>
                <c:ptCount val="4"/>
              </c:numCache>
            </c:numRef>
          </c:val>
          <c:smooth val="0"/>
        </c:ser>
        <c:ser>
          <c:idx val="1"/>
          <c:order val="1"/>
          <c:tx>
            <c:v>KOHC</c:v>
          </c:tx>
          <c:spPr>
            <a:solidFill xmlns:a="http://schemas.openxmlformats.org/drawingml/2006/main">
              <a:srgbClr val="204F3D"/>
            </a:solidFill>
            <a:ln xmlns:a="http://schemas.openxmlformats.org/drawingml/2006/main" w="22860">
              <a:solidFill>
                <a:srgbClr val="204F3D"/>
              </a:solidFill>
              <a:prstDash val="solid"/>
            </a:ln>
          </c:spPr>
          <c:marker>
            <c:symbol val="none"/>
          </c:marker>
          <c:cat>
            <c:strRef>
              <c:f>'Industry Comparison'!$D$179:$D$183</c:f>
              <c:strCache>
                <c:ptCount val="5"/>
                <c:pt idx="0">
                  <c:v>FY2021</c:v>
                </c:pt>
                <c:pt idx="1">
                  <c:v>FY2022</c:v>
                </c:pt>
                <c:pt idx="2">
                  <c:v>FY2023</c:v>
                </c:pt>
                <c:pt idx="3">
                  <c:v>FY2024</c:v>
                </c:pt>
                <c:pt idx="4">
                  <c:v>FY2025</c:v>
                </c:pt>
              </c:strCache>
            </c:strRef>
          </c:cat>
          <c:val>
            <c:numRef>
              <c:f>'Industry Comparison'!$E$179:$E$183</c:f>
              <c:numCache>
                <c:formatCode>0.00</c:formatCode>
                <c:ptCount val="5"/>
                <c:pt idx="0">
                  <c:v>1.86630259587061</c:v>
                </c:pt>
                <c:pt idx="1">
                  <c:v>0.959328683281757</c:v>
                </c:pt>
                <c:pt idx="2">
                  <c:v>1.06848700210342</c:v>
                </c:pt>
                <c:pt idx="3">
                  <c:v>1.193701148247572</c:v>
                </c:pt>
                <c:pt idx="4">
                  <c:v>1.454474785051403</c:v>
                </c:pt>
              </c:numCache>
            </c:numRef>
          </c:val>
          <c:smooth val="0"/>
        </c:ser>
        <c:ser>
          <c:idx val="2"/>
          <c:order val="2"/>
          <c:tx>
            <c:v>Five-company sample average</c:v>
          </c:tx>
          <c:spPr>
            <a:solidFill xmlns:a="http://schemas.openxmlformats.org/drawingml/2006/main">
              <a:srgbClr val="8CB369"/>
            </a:solidFill>
            <a:ln xmlns:a="http://schemas.openxmlformats.org/drawingml/2006/main" w="13335">
              <a:solidFill>
                <a:srgbClr val="8CB369"/>
              </a:solidFill>
              <a:prstDash val="solid"/>
            </a:ln>
          </c:spPr>
          <c:marker>
            <c:symbol val="none"/>
          </c:marker>
          <c:cat>
            <c:strRef>
              <c:f>'Industry Comparison'!$D$179:$D$183</c:f>
              <c:strCache>
                <c:ptCount val="5"/>
                <c:pt idx="0">
                  <c:v>FY2021</c:v>
                </c:pt>
                <c:pt idx="1">
                  <c:v>FY2022</c:v>
                </c:pt>
                <c:pt idx="2">
                  <c:v>FY2023</c:v>
                </c:pt>
                <c:pt idx="3">
                  <c:v>FY2024</c:v>
                </c:pt>
                <c:pt idx="4">
                  <c:v>FY2025</c:v>
                </c:pt>
              </c:strCache>
            </c:strRef>
          </c:cat>
          <c:val>
            <c:numRef>
              <c:f>'Industry Comparison'!$J$179:$J$183</c:f>
              <c:numCache>
                <c:formatCode>0.00</c:formatCode>
                <c:ptCount val="5"/>
                <c:pt idx="0">
                  <c:v>1.554778241540698</c:v>
                </c:pt>
                <c:pt idx="1">
                  <c:v>0.7538077292212013</c:v>
                </c:pt>
                <c:pt idx="2">
                  <c:v>0.7446884903408398</c:v>
                </c:pt>
                <c:pt idx="3">
                  <c:v>1.007056537396906</c:v>
                </c:pt>
                <c:pt idx="4">
                  <c:v>1.542960671895352</c:v>
                </c:pt>
              </c:numCache>
            </c:numRef>
          </c:val>
          <c:smooth val="0"/>
        </c:ser>
        <c:ser>
          <c:idx val="3"/>
          <c:order val="3"/>
          <c:tx>
            <c:v>Four-competitor average</c:v>
          </c:tx>
          <c:spPr>
            <a:solidFill xmlns:a="http://schemas.openxmlformats.org/drawingml/2006/main">
              <a:srgbClr val="C79A57"/>
            </a:solidFill>
            <a:ln xmlns:a="http://schemas.openxmlformats.org/drawingml/2006/main" w="13335">
              <a:solidFill>
                <a:srgbClr val="C79A57"/>
              </a:solidFill>
              <a:prstDash val="solid"/>
            </a:ln>
          </c:spPr>
          <c:marker>
            <c:symbol val="none"/>
          </c:marker>
          <c:cat>
            <c:strRef>
              <c:f>'Industry Comparison'!$D$179:$D$183</c:f>
              <c:strCache>
                <c:ptCount val="5"/>
                <c:pt idx="0">
                  <c:v>FY2021</c:v>
                </c:pt>
                <c:pt idx="1">
                  <c:v>FY2022</c:v>
                </c:pt>
                <c:pt idx="2">
                  <c:v>FY2023</c:v>
                </c:pt>
                <c:pt idx="3">
                  <c:v>FY2024</c:v>
                </c:pt>
                <c:pt idx="4">
                  <c:v>FY2025</c:v>
                </c:pt>
              </c:strCache>
            </c:strRef>
          </c:cat>
          <c:val>
            <c:numRef>
              <c:f>'Industry Comparison'!$M$179:$M$183</c:f>
              <c:numCache>
                <c:formatCode>0.00</c:formatCode>
                <c:ptCount val="5"/>
                <c:pt idx="0">
                  <c:v>1.47689715295822</c:v>
                </c:pt>
                <c:pt idx="1">
                  <c:v>0.7024274907060624</c:v>
                </c:pt>
                <c:pt idx="2">
                  <c:v>0.6637388624001948</c:v>
                </c:pt>
                <c:pt idx="3">
                  <c:v>0.9603953846842401</c:v>
                </c:pt>
                <c:pt idx="4">
                  <c:v>1.565082143606339</c:v>
                </c:pt>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2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FY2025 peer snapshot: ROE</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barChart>
        <c:barDir val="col"/>
        <c:varyColors val="0"/>
        <c:ser>
          <c:idx val="0"/>
          <c:order val="0"/>
          <c:tx>
            <c:v>Series 1</c:v>
          </c:tx>
          <c:invertIfNegative val="0"/>
          <c:cat>
            <c:strRef>
              <c:f>'Industry Comparison'!$E$4</c:f>
              <c:strCache>
                <c:ptCount val="1"/>
                <c:pt idx="0">
                  <c:v>KOHC</c:v>
                </c:pt>
              </c:strCache>
            </c:strRef>
          </c:cat>
          <c:val>
            <c:numRef>
              <c:f>'Industry Comparison'!$F$4</c:f>
              <c:numCache>
                <c:formatCode>General</c:formatCode>
                <c:ptCount val="1"/>
              </c:numCache>
            </c:numRef>
          </c:val>
        </c:ser>
        <c:ser>
          <c:idx val="1"/>
          <c:order val="1"/>
          <c:tx>
            <c:v>Series 2</c:v>
          </c:tx>
          <c:invertIfNegative val="0"/>
          <c:cat>
            <c:strRef>
              <c:f>'Industry Comparison'!$E$4</c:f>
              <c:strCache>
                <c:ptCount val="1"/>
                <c:pt idx="0">
                  <c:v>KOHC</c:v>
                </c:pt>
              </c:strCache>
            </c:strRef>
          </c:cat>
          <c:val>
            <c:numRef>
              <c:f>'Industry Comparison'!$G$4</c:f>
              <c:numCache>
                <c:formatCode>General</c:formatCode>
                <c:ptCount val="1"/>
              </c:numCache>
            </c:numRef>
          </c:val>
        </c:ser>
        <c:ser>
          <c:idx val="2"/>
          <c:order val="2"/>
          <c:tx>
            <c:v>Series 3</c:v>
          </c:tx>
          <c:invertIfNegative val="0"/>
          <c:cat>
            <c:strRef>
              <c:f>'Industry Comparison'!$E$4</c:f>
              <c:strCache>
                <c:ptCount val="1"/>
                <c:pt idx="0">
                  <c:v>KOHC</c:v>
                </c:pt>
              </c:strCache>
            </c:strRef>
          </c:cat>
          <c:val>
            <c:numRef>
              <c:f>'Industry Comparison'!$H$4</c:f>
              <c:numCache>
                <c:formatCode>General</c:formatCode>
                <c:ptCount val="1"/>
              </c:numCache>
            </c:numRef>
          </c:val>
        </c:ser>
        <c:ser>
          <c:idx val="3"/>
          <c:order val="3"/>
          <c:tx>
            <c:v>Series 4</c:v>
          </c:tx>
          <c:invertIfNegative val="0"/>
          <c:cat>
            <c:strRef>
              <c:f>'Industry Comparison'!$E$4</c:f>
              <c:strCache>
                <c:ptCount val="1"/>
                <c:pt idx="0">
                  <c:v>KOHC</c:v>
                </c:pt>
              </c:strCache>
            </c:strRef>
          </c:cat>
          <c:val>
            <c:numRef>
              <c:f>'Industry Comparison'!$I$4</c:f>
              <c:numCache>
                <c:formatCode>General</c:formatCode>
                <c:ptCount val="1"/>
              </c:numCache>
            </c:numRef>
          </c:val>
        </c:ser>
        <c:ser>
          <c:idx val="4"/>
          <c:order val="4"/>
          <c:tx>
            <c:v>Series 5</c:v>
          </c:tx>
          <c:invertIfNegative val="0"/>
          <c:cat>
            <c:strRef>
              <c:f>'Industry Comparison'!$E$4</c:f>
              <c:strCache>
                <c:ptCount val="1"/>
                <c:pt idx="0">
                  <c:v>KOHC</c:v>
                </c:pt>
              </c:strCache>
            </c:strRef>
          </c:cat>
          <c:val>
            <c:numRef>
              <c:f>'Industry Comparison'!$J$4</c:f>
              <c:numCache>
                <c:formatCode>General</c:formatCode>
                <c:ptCount val="1"/>
              </c:numCache>
            </c:numRef>
          </c:val>
        </c:ser>
        <c:ser>
          <c:idx val="5"/>
          <c:order val="5"/>
          <c:tx>
            <c:v>FY2025</c:v>
          </c:tx>
          <c:spPr>
            <a:solidFill xmlns:a="http://schemas.openxmlformats.org/drawingml/2006/main">
              <a:srgbClr val="204F3D"/>
            </a:solidFill>
            <a:ln xmlns:a="http://schemas.openxmlformats.org/drawingml/2006/main" w="22860">
              <a:solidFill>
                <a:srgbClr val="204F3D"/>
              </a:solidFill>
              <a:prstDash val="solid"/>
            </a:ln>
          </c:spPr>
          <c:invertIfNegative val="0"/>
          <c:cat>
            <c:strRef>
              <c:f>'Industry Comparison'!$E$4:$J$4</c:f>
              <c:strCache>
                <c:ptCount val="6"/>
                <c:pt idx="0">
                  <c:v>KOHC</c:v>
                </c:pt>
                <c:pt idx="1">
                  <c:v>LUCK</c:v>
                </c:pt>
                <c:pt idx="2">
                  <c:v>DGKC</c:v>
                </c:pt>
                <c:pt idx="3">
                  <c:v>MLCF</c:v>
                </c:pt>
                <c:pt idx="4">
                  <c:v>FCCL</c:v>
                </c:pt>
                <c:pt idx="5">
                  <c:v>Sample avg (5)</c:v>
                </c:pt>
              </c:strCache>
            </c:strRef>
          </c:cat>
          <c:val>
            <c:numRef>
              <c:f>'Industry Comparison'!$E$158:$J$158</c:f>
              <c:numCache>
                <c:formatCode>0.0%</c:formatCode>
                <c:ptCount val="6"/>
                <c:pt idx="0">
                  <c:v>0.259982908981603</c:v>
                </c:pt>
                <c:pt idx="1">
                  <c:v>0.2044798130421526</c:v>
                </c:pt>
                <c:pt idx="2">
                  <c:v>0.1017512616015002</c:v>
                </c:pt>
                <c:pt idx="3">
                  <c:v>0.2746085954343051</c:v>
                </c:pt>
                <c:pt idx="4">
                  <c:v>0.1690380202363196</c:v>
                </c:pt>
                <c:pt idx="5">
                  <c:v>0.2019721198591761</c:v>
                </c:pt>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charts/chart3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Calibri"/>
                <a:ea typeface="Calibri"/>
                <a:cs typeface="Calibri"/>
              </a:rPr>
              <a:t>FY2025 peer snapshot: gross margin</a:t>
            </a:r>
          </a:p>
        </c:rich>
      </c:tx>
      <c:overlay val="0"/>
      <c:txPr>
        <a:bodyPr xmlns:a="http://schemas.openxmlformats.org/drawingml/2006/main" anchorCtr="1"/>
        <a:lstStyle xmlns:a="http://schemas.openxmlformats.org/drawingml/2006/main"/>
        <a:p xmlns:a="http://schemas.openxmlformats.org/drawingml/2006/main">
          <a:pPr>
            <a:defRPr sz="1050">
              <a:latin typeface="Calibri"/>
              <a:ea typeface="Calibri"/>
              <a:cs typeface="Calibri"/>
            </a:defRPr>
          </a:pPr>
        </a:p>
      </c:txPr>
    </c:title>
    <c:plotArea>
      <c:barChart>
        <c:barDir val="col"/>
        <c:varyColors val="0"/>
        <c:ser>
          <c:idx val="0"/>
          <c:order val="0"/>
          <c:tx>
            <c:v>Series 1</c:v>
          </c:tx>
          <c:invertIfNegative val="0"/>
          <c:cat>
            <c:strRef>
              <c:f>'Industry Comparison'!$E$4</c:f>
              <c:strCache>
                <c:ptCount val="1"/>
                <c:pt idx="0">
                  <c:v>KOHC</c:v>
                </c:pt>
              </c:strCache>
            </c:strRef>
          </c:cat>
          <c:val>
            <c:numRef>
              <c:f>'Industry Comparison'!$F$4</c:f>
              <c:numCache>
                <c:formatCode>General</c:formatCode>
                <c:ptCount val="1"/>
              </c:numCache>
            </c:numRef>
          </c:val>
        </c:ser>
        <c:ser>
          <c:idx val="1"/>
          <c:order val="1"/>
          <c:tx>
            <c:v>Series 2</c:v>
          </c:tx>
          <c:invertIfNegative val="0"/>
          <c:cat>
            <c:strRef>
              <c:f>'Industry Comparison'!$E$4</c:f>
              <c:strCache>
                <c:ptCount val="1"/>
                <c:pt idx="0">
                  <c:v>KOHC</c:v>
                </c:pt>
              </c:strCache>
            </c:strRef>
          </c:cat>
          <c:val>
            <c:numRef>
              <c:f>'Industry Comparison'!$G$4</c:f>
              <c:numCache>
                <c:formatCode>General</c:formatCode>
                <c:ptCount val="1"/>
              </c:numCache>
            </c:numRef>
          </c:val>
        </c:ser>
        <c:ser>
          <c:idx val="2"/>
          <c:order val="2"/>
          <c:tx>
            <c:v>Series 3</c:v>
          </c:tx>
          <c:invertIfNegative val="0"/>
          <c:cat>
            <c:strRef>
              <c:f>'Industry Comparison'!$E$4</c:f>
              <c:strCache>
                <c:ptCount val="1"/>
                <c:pt idx="0">
                  <c:v>KOHC</c:v>
                </c:pt>
              </c:strCache>
            </c:strRef>
          </c:cat>
          <c:val>
            <c:numRef>
              <c:f>'Industry Comparison'!$H$4</c:f>
              <c:numCache>
                <c:formatCode>General</c:formatCode>
                <c:ptCount val="1"/>
              </c:numCache>
            </c:numRef>
          </c:val>
        </c:ser>
        <c:ser>
          <c:idx val="3"/>
          <c:order val="3"/>
          <c:tx>
            <c:v>Series 4</c:v>
          </c:tx>
          <c:invertIfNegative val="0"/>
          <c:cat>
            <c:strRef>
              <c:f>'Industry Comparison'!$E$4</c:f>
              <c:strCache>
                <c:ptCount val="1"/>
                <c:pt idx="0">
                  <c:v>KOHC</c:v>
                </c:pt>
              </c:strCache>
            </c:strRef>
          </c:cat>
          <c:val>
            <c:numRef>
              <c:f>'Industry Comparison'!$I$4</c:f>
              <c:numCache>
                <c:formatCode>General</c:formatCode>
                <c:ptCount val="1"/>
              </c:numCache>
            </c:numRef>
          </c:val>
        </c:ser>
        <c:ser>
          <c:idx val="4"/>
          <c:order val="4"/>
          <c:tx>
            <c:v>Series 5</c:v>
          </c:tx>
          <c:invertIfNegative val="0"/>
          <c:cat>
            <c:strRef>
              <c:f>'Industry Comparison'!$E$4</c:f>
              <c:strCache>
                <c:ptCount val="1"/>
                <c:pt idx="0">
                  <c:v>KOHC</c:v>
                </c:pt>
              </c:strCache>
            </c:strRef>
          </c:cat>
          <c:val>
            <c:numRef>
              <c:f>'Industry Comparison'!$J$4</c:f>
              <c:numCache>
                <c:formatCode>General</c:formatCode>
                <c:ptCount val="1"/>
              </c:numCache>
            </c:numRef>
          </c:val>
        </c:ser>
        <c:ser>
          <c:idx val="5"/>
          <c:order val="5"/>
          <c:tx>
            <c:v>FY2025</c:v>
          </c:tx>
          <c:spPr>
            <a:solidFill xmlns:a="http://schemas.openxmlformats.org/drawingml/2006/main">
              <a:srgbClr val="204F3D"/>
            </a:solidFill>
            <a:ln xmlns:a="http://schemas.openxmlformats.org/drawingml/2006/main" w="22860">
              <a:solidFill>
                <a:srgbClr val="204F3D"/>
              </a:solidFill>
              <a:prstDash val="solid"/>
            </a:ln>
          </c:spPr>
          <c:invertIfNegative val="0"/>
          <c:cat>
            <c:strRef>
              <c:f>'Industry Comparison'!$E$4:$J$4</c:f>
              <c:strCache>
                <c:ptCount val="6"/>
                <c:pt idx="0">
                  <c:v>KOHC</c:v>
                </c:pt>
                <c:pt idx="1">
                  <c:v>LUCK</c:v>
                </c:pt>
                <c:pt idx="2">
                  <c:v>DGKC</c:v>
                </c:pt>
                <c:pt idx="3">
                  <c:v>MLCF</c:v>
                </c:pt>
                <c:pt idx="4">
                  <c:v>FCCL</c:v>
                </c:pt>
                <c:pt idx="5">
                  <c:v>Sample avg (5)</c:v>
                </c:pt>
              </c:strCache>
            </c:strRef>
          </c:cat>
          <c:val>
            <c:numRef>
              <c:f>'Industry Comparison'!$E$134:$J$134</c:f>
              <c:numCache>
                <c:formatCode>0.0%</c:formatCode>
                <c:ptCount val="6"/>
                <c:pt idx="0">
                  <c:v>0.3922027817544514</c:v>
                </c:pt>
                <c:pt idx="1">
                  <c:v>0.342816529820673</c:v>
                </c:pt>
                <c:pt idx="2">
                  <c:v>0.2574063254730092</c:v>
                </c:pt>
                <c:pt idx="3">
                  <c:v>0.3444440599046921</c:v>
                </c:pt>
                <c:pt idx="4">
                  <c:v>0.3549084220292905</c:v>
                </c:pt>
                <c:pt idx="5">
                  <c:v>0.3383556237964233</c:v>
                </c:pt>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Calibri"/>
              <a:ea typeface="Calibri"/>
              <a:cs typeface="Calibri"/>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16</xdr:row>
      <xdr:rowOff>0</xdr:rowOff>
    </xdr:from>
    <xdr:to>
      <xdr:col>22</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47bace99e247e6"/>
        </a:graphicData>
      </a:graphic>
    </xdr:graphicFrame>
    <xdr:clientData/>
  </xdr:twoCellAnchor>
  <xdr:twoCellAnchor>
    <xdr:from>
      <xdr:col>11</xdr:col>
      <xdr:colOff>0</xdr:colOff>
      <xdr:row>30</xdr:row>
      <xdr:rowOff>0</xdr:rowOff>
    </xdr:from>
    <xdr:to>
      <xdr:col>22</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7c0bfc9e644e7d"/>
        </a:graphicData>
      </a:graphic>
    </xdr:graphicFrame>
    <xdr:clientData/>
  </xdr:twoCellAnchor>
  <xdr:twoCellAnchor>
    <xdr:from>
      <xdr:col>11</xdr:col>
      <xdr:colOff>0</xdr:colOff>
      <xdr:row>46</xdr:row>
      <xdr:rowOff>0</xdr:rowOff>
    </xdr:from>
    <xdr:to>
      <xdr:col>22</xdr:col>
      <xdr:colOff>0</xdr:colOff>
      <xdr:row>63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3619807db45485d"/>
        </a:graphicData>
      </a:graphic>
    </xdr:graphicFrame>
    <xdr:clientData/>
  </xdr:twoCellAnchor>
  <xdr:twoCellAnchor>
    <xdr:from>
      <xdr:col>11</xdr:col>
      <xdr:colOff>0</xdr:colOff>
      <xdr:row>62</xdr:row>
      <xdr:rowOff>0</xdr:rowOff>
    </xdr:from>
    <xdr:to>
      <xdr:col>22</xdr:col>
      <xdr:colOff>0</xdr:colOff>
      <xdr:row>79</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14e2ba68d043d9"/>
        </a:graphicData>
      </a:graphic>
    </xdr:graphicFrame>
    <xdr:clientData/>
  </xdr:twoCellAnchor>
</xdr:wsDr>
</file>

<file path=xl/drawings/drawing2.xml><?xml version="1.0" encoding="utf-8"?>
<xdr:wsDr xmlns:xdr="http://schemas.openxmlformats.org/drawingml/2006/spreadsheetDrawing">
  <xdr:twoCellAnchor>
    <xdr:from>
      <xdr:col>11</xdr:col>
      <xdr:colOff>0</xdr:colOff>
      <xdr:row>16</xdr:row>
      <xdr:rowOff>0</xdr:rowOff>
    </xdr:from>
    <xdr:to>
      <xdr:col>22</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57f6c861424d6c"/>
        </a:graphicData>
      </a:graphic>
    </xdr:graphicFrame>
    <xdr:clientData/>
  </xdr:twoCellAnchor>
  <xdr:twoCellAnchor>
    <xdr:from>
      <xdr:col>11</xdr:col>
      <xdr:colOff>0</xdr:colOff>
      <xdr:row>30</xdr:row>
      <xdr:rowOff>0</xdr:rowOff>
    </xdr:from>
    <xdr:to>
      <xdr:col>22</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b69bd96f718497a"/>
        </a:graphicData>
      </a:graphic>
    </xdr:graphicFrame>
    <xdr:clientData/>
  </xdr:twoCellAnchor>
  <xdr:twoCellAnchor>
    <xdr:from>
      <xdr:col>11</xdr:col>
      <xdr:colOff>0</xdr:colOff>
      <xdr:row>46</xdr:row>
      <xdr:rowOff>0</xdr:rowOff>
    </xdr:from>
    <xdr:to>
      <xdr:col>22</xdr:col>
      <xdr:colOff>0</xdr:colOff>
      <xdr:row>63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b5a76bdcef4e2c"/>
        </a:graphicData>
      </a:graphic>
    </xdr:graphicFrame>
    <xdr:clientData/>
  </xdr:twoCellAnchor>
  <xdr:twoCellAnchor>
    <xdr:from>
      <xdr:col>11</xdr:col>
      <xdr:colOff>0</xdr:colOff>
      <xdr:row>62</xdr:row>
      <xdr:rowOff>0</xdr:rowOff>
    </xdr:from>
    <xdr:to>
      <xdr:col>22</xdr:col>
      <xdr:colOff>0</xdr:colOff>
      <xdr:row>79</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6b5429274334cf9"/>
        </a:graphicData>
      </a:graphic>
    </xdr:graphicFrame>
    <xdr:clientData/>
  </xdr:twoCellAnchor>
</xdr:wsDr>
</file>

<file path=xl/drawings/drawing3.xml><?xml version="1.0" encoding="utf-8"?>
<xdr:wsDr xmlns:xdr="http://schemas.openxmlformats.org/drawingml/2006/spreadsheetDrawing">
  <xdr:twoCellAnchor>
    <xdr:from>
      <xdr:col>11</xdr:col>
      <xdr:colOff>0</xdr:colOff>
      <xdr:row>16</xdr:row>
      <xdr:rowOff>0</xdr:rowOff>
    </xdr:from>
    <xdr:to>
      <xdr:col>22</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de60c452294097"/>
        </a:graphicData>
      </a:graphic>
    </xdr:graphicFrame>
    <xdr:clientData/>
  </xdr:twoCellAnchor>
  <xdr:twoCellAnchor>
    <xdr:from>
      <xdr:col>11</xdr:col>
      <xdr:colOff>0</xdr:colOff>
      <xdr:row>30</xdr:row>
      <xdr:rowOff>0</xdr:rowOff>
    </xdr:from>
    <xdr:to>
      <xdr:col>22</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7eb4f35ea7b41a7"/>
        </a:graphicData>
      </a:graphic>
    </xdr:graphicFrame>
    <xdr:clientData/>
  </xdr:twoCellAnchor>
  <xdr:twoCellAnchor>
    <xdr:from>
      <xdr:col>11</xdr:col>
      <xdr:colOff>0</xdr:colOff>
      <xdr:row>46</xdr:row>
      <xdr:rowOff>0</xdr:rowOff>
    </xdr:from>
    <xdr:to>
      <xdr:col>22</xdr:col>
      <xdr:colOff>0</xdr:colOff>
      <xdr:row>63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238dc557b9499a"/>
        </a:graphicData>
      </a:graphic>
    </xdr:graphicFrame>
    <xdr:clientData/>
  </xdr:twoCellAnchor>
  <xdr:twoCellAnchor>
    <xdr:from>
      <xdr:col>11</xdr:col>
      <xdr:colOff>0</xdr:colOff>
      <xdr:row>62</xdr:row>
      <xdr:rowOff>0</xdr:rowOff>
    </xdr:from>
    <xdr:to>
      <xdr:col>22</xdr:col>
      <xdr:colOff>0</xdr:colOff>
      <xdr:row>79</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29a6e10d204bd2"/>
        </a:graphicData>
      </a:graphic>
    </xdr:graphicFrame>
    <xdr:clientData/>
  </xdr:twoCellAnchor>
</xdr:wsDr>
</file>

<file path=xl/drawings/drawing4.xml><?xml version="1.0" encoding="utf-8"?>
<xdr:wsDr xmlns:xdr="http://schemas.openxmlformats.org/drawingml/2006/spreadsheetDrawing">
  <xdr:twoCellAnchor>
    <xdr:from>
      <xdr:col>11</xdr:col>
      <xdr:colOff>0</xdr:colOff>
      <xdr:row>16</xdr:row>
      <xdr:rowOff>0</xdr:rowOff>
    </xdr:from>
    <xdr:to>
      <xdr:col>22</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160f34b46f24a60"/>
        </a:graphicData>
      </a:graphic>
    </xdr:graphicFrame>
    <xdr:clientData/>
  </xdr:twoCellAnchor>
  <xdr:twoCellAnchor>
    <xdr:from>
      <xdr:col>11</xdr:col>
      <xdr:colOff>0</xdr:colOff>
      <xdr:row>30</xdr:row>
      <xdr:rowOff>0</xdr:rowOff>
    </xdr:from>
    <xdr:to>
      <xdr:col>22</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14717d737d4543"/>
        </a:graphicData>
      </a:graphic>
    </xdr:graphicFrame>
    <xdr:clientData/>
  </xdr:twoCellAnchor>
  <xdr:twoCellAnchor>
    <xdr:from>
      <xdr:col>11</xdr:col>
      <xdr:colOff>0</xdr:colOff>
      <xdr:row>46</xdr:row>
      <xdr:rowOff>0</xdr:rowOff>
    </xdr:from>
    <xdr:to>
      <xdr:col>22</xdr:col>
      <xdr:colOff>0</xdr:colOff>
      <xdr:row>63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4bc1440e636422a"/>
        </a:graphicData>
      </a:graphic>
    </xdr:graphicFrame>
    <xdr:clientData/>
  </xdr:twoCellAnchor>
  <xdr:twoCellAnchor>
    <xdr:from>
      <xdr:col>11</xdr:col>
      <xdr:colOff>0</xdr:colOff>
      <xdr:row>62</xdr:row>
      <xdr:rowOff>0</xdr:rowOff>
    </xdr:from>
    <xdr:to>
      <xdr:col>22</xdr:col>
      <xdr:colOff>0</xdr:colOff>
      <xdr:row>79</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600d3dda67148ca"/>
        </a:graphicData>
      </a:graphic>
    </xdr:graphicFrame>
    <xdr:clientData/>
  </xdr:twoCellAnchor>
</xdr:wsDr>
</file>

<file path=xl/drawings/drawing5.xml><?xml version="1.0" encoding="utf-8"?>
<xdr:wsDr xmlns:xdr="http://schemas.openxmlformats.org/drawingml/2006/spreadsheetDrawing">
  <xdr:twoCellAnchor>
    <xdr:from>
      <xdr:col>11</xdr:col>
      <xdr:colOff>0</xdr:colOff>
      <xdr:row>16</xdr:row>
      <xdr:rowOff>0</xdr:rowOff>
    </xdr:from>
    <xdr:to>
      <xdr:col>22</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6ad56d737714535"/>
        </a:graphicData>
      </a:graphic>
    </xdr:graphicFrame>
    <xdr:clientData/>
  </xdr:twoCellAnchor>
  <xdr:twoCellAnchor>
    <xdr:from>
      <xdr:col>11</xdr:col>
      <xdr:colOff>0</xdr:colOff>
      <xdr:row>30</xdr:row>
      <xdr:rowOff>0</xdr:rowOff>
    </xdr:from>
    <xdr:to>
      <xdr:col>22</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9fc4f65daf429e"/>
        </a:graphicData>
      </a:graphic>
    </xdr:graphicFrame>
    <xdr:clientData/>
  </xdr:twoCellAnchor>
  <xdr:twoCellAnchor>
    <xdr:from>
      <xdr:col>11</xdr:col>
      <xdr:colOff>0</xdr:colOff>
      <xdr:row>46</xdr:row>
      <xdr:rowOff>0</xdr:rowOff>
    </xdr:from>
    <xdr:to>
      <xdr:col>22</xdr:col>
      <xdr:colOff>0</xdr:colOff>
      <xdr:row>63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94a610e9f714dfa"/>
        </a:graphicData>
      </a:graphic>
    </xdr:graphicFrame>
    <xdr:clientData/>
  </xdr:twoCellAnchor>
  <xdr:twoCellAnchor>
    <xdr:from>
      <xdr:col>11</xdr:col>
      <xdr:colOff>0</xdr:colOff>
      <xdr:row>62</xdr:row>
      <xdr:rowOff>0</xdr:rowOff>
    </xdr:from>
    <xdr:to>
      <xdr:col>22</xdr:col>
      <xdr:colOff>0</xdr:colOff>
      <xdr:row>79</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6bc7418a914454d"/>
        </a:graphicData>
      </a:graphic>
    </xdr:graphicFrame>
    <xdr:clientData/>
  </xdr:twoCellAnchor>
</xdr:wsDr>
</file>

<file path=xl/drawings/drawing6.xml><?xml version="1.0" encoding="utf-8"?>
<xdr:wsDr xmlns:xdr="http://schemas.openxmlformats.org/drawingml/2006/spreadsheetDrawing">
  <xdr:twoCellAnchor>
    <xdr:from>
      <xdr:col>19</xdr:col>
      <xdr:colOff>0</xdr:colOff>
      <xdr:row>3</xdr:row>
      <xdr:rowOff>0</xdr:rowOff>
    </xdr:from>
    <xdr:to>
      <xdr:col>29</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ef337e06dd42da"/>
        </a:graphicData>
      </a:graphic>
    </xdr:graphicFrame>
    <xdr:clientData/>
  </xdr:twoCellAnchor>
  <xdr:twoCellAnchor>
    <xdr:from>
      <xdr:col>19</xdr:col>
      <xdr:colOff>0</xdr:colOff>
      <xdr:row>18</xdr:row>
      <xdr:rowOff>0</xdr:rowOff>
    </xdr:from>
    <xdr:to>
      <xdr:col>29</xdr:col>
      <xdr:colOff>0</xdr:colOff>
      <xdr:row>34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989a4d4cfc47fa"/>
        </a:graphicData>
      </a:graphic>
    </xdr:graphicFrame>
    <xdr:clientData/>
  </xdr:twoCellAnchor>
  <xdr:twoCellAnchor>
    <xdr:from>
      <xdr:col>19</xdr:col>
      <xdr:colOff>0</xdr:colOff>
      <xdr:row>33</xdr:row>
      <xdr:rowOff>0</xdr:rowOff>
    </xdr:from>
    <xdr:to>
      <xdr:col>29</xdr:col>
      <xdr:colOff>0</xdr:colOff>
      <xdr:row>49</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aa33fc9e5f439c"/>
        </a:graphicData>
      </a:graphic>
    </xdr:graphicFrame>
    <xdr:clientData/>
  </xdr:twoCellAnchor>
  <xdr:twoCellAnchor>
    <xdr:from>
      <xdr:col>19</xdr:col>
      <xdr:colOff>0</xdr:colOff>
      <xdr:row>48</xdr:row>
      <xdr:rowOff>0</xdr:rowOff>
    </xdr:from>
    <xdr:to>
      <xdr:col>29</xdr:col>
      <xdr:colOff>0</xdr:colOff>
      <xdr:row>64</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8be97d26b7c4439"/>
        </a:graphicData>
      </a:graphic>
    </xdr:graphicFrame>
    <xdr:clientData/>
  </xdr:twoCellAnchor>
  <xdr:twoCellAnchor>
    <xdr:from>
      <xdr:col>19</xdr:col>
      <xdr:colOff>0</xdr:colOff>
      <xdr:row>63</xdr:row>
      <xdr:rowOff>0</xdr:rowOff>
    </xdr:from>
    <xdr:to>
      <xdr:col>29</xdr:col>
      <xdr:colOff>0</xdr:colOff>
      <xdr:row>79</xdr:row>
      <xdr:rowOff>0</xdr:rowOff>
    </xdr:to>
    <xdr:graphicFrame macro="">
      <xdr:nvGraphicFramePr>
        <xdr:cNvPr id="5"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24c5ab56fb54bbe"/>
        </a:graphicData>
      </a:graphic>
    </xdr:graphicFrame>
    <xdr:clientData/>
  </xdr:twoCellAnchor>
  <xdr:twoCellAnchor>
    <xdr:from>
      <xdr:col>19</xdr:col>
      <xdr:colOff>0</xdr:colOff>
      <xdr:row>78</xdr:row>
      <xdr:rowOff>0</xdr:rowOff>
    </xdr:from>
    <xdr:to>
      <xdr:col>29</xdr:col>
      <xdr:colOff>0</xdr:colOff>
      <xdr:row>94</xdr:row>
      <xdr:rowOff>0</xdr:rowOff>
    </xdr:to>
    <xdr:graphicFrame macro="">
      <xdr:nvGraphicFramePr>
        <xdr:cNvPr id="6"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3ee4e63afc5483c"/>
        </a:graphicData>
      </a:graphic>
    </xdr:graphicFrame>
    <xdr:clientData/>
  </xdr:twoCellAnchor>
  <xdr:twoCellAnchor>
    <xdr:from>
      <xdr:col>19</xdr:col>
      <xdr:colOff>0</xdr:colOff>
      <xdr:row>93</xdr:row>
      <xdr:rowOff>0</xdr:rowOff>
    </xdr:from>
    <xdr:to>
      <xdr:col>29</xdr:col>
      <xdr:colOff>0</xdr:colOff>
      <xdr:row>109</xdr:row>
      <xdr:rowOff>0</xdr:rowOff>
    </xdr:to>
    <xdr:graphicFrame macro="">
      <xdr:nvGraphicFramePr>
        <xdr:cNvPr id="7"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180978b443484f"/>
        </a:graphicData>
      </a:graphic>
    </xdr:graphicFrame>
    <xdr:clientData/>
  </xdr:twoCellAnchor>
  <xdr:twoCellAnchor>
    <xdr:from>
      <xdr:col>19</xdr:col>
      <xdr:colOff>0</xdr:colOff>
      <xdr:row>108</xdr:row>
      <xdr:rowOff>0</xdr:rowOff>
    </xdr:from>
    <xdr:to>
      <xdr:col>29</xdr:col>
      <xdr:colOff>0</xdr:colOff>
      <xdr:row>124</xdr:row>
      <xdr:rowOff>0</xdr:rowOff>
    </xdr:to>
    <xdr:graphicFrame macro="">
      <xdr:nvGraphicFramePr>
        <xdr:cNvPr id="8"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9524ef9f0ad4982"/>
        </a:graphicData>
      </a:graphic>
    </xdr:graphicFrame>
    <xdr:clientData/>
  </xdr:twoCellAnchor>
  <xdr:twoCellAnchor>
    <xdr:from>
      <xdr:col>29</xdr:col>
      <xdr:colOff>0</xdr:colOff>
      <xdr:row>3</xdr:row>
      <xdr:rowOff>0</xdr:rowOff>
    </xdr:from>
    <xdr:to>
      <xdr:col>39</xdr:col>
      <xdr:colOff>0</xdr:colOff>
      <xdr:row>19</xdr:row>
      <xdr:rowOff>0</xdr:rowOff>
    </xdr:to>
    <xdr:graphicFrame macro="">
      <xdr:nvGraphicFramePr>
        <xdr:cNvPr id="9"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bba8521f7cf44fe"/>
        </a:graphicData>
      </a:graphic>
    </xdr:graphicFrame>
    <xdr:clientData/>
  </xdr:twoCellAnchor>
  <xdr:twoCellAnchor>
    <xdr:from>
      <xdr:col>29</xdr:col>
      <xdr:colOff>0</xdr:colOff>
      <xdr:row>18</xdr:row>
      <xdr:rowOff>0</xdr:rowOff>
    </xdr:from>
    <xdr:to>
      <xdr:col>39</xdr:col>
      <xdr:colOff>0</xdr:colOff>
      <xdr:row>34</xdr:row>
      <xdr:rowOff>0</xdr:rowOff>
    </xdr:to>
    <xdr:graphicFrame macro="">
      <xdr:nvGraphicFramePr>
        <xdr:cNvPr id="10"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12d458d9cb4ffd"/>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KOHC_Financial_Analysis_Audit.xlsx" TargetMode="External" Id="R20407c04cf164002" /><Relationship Type="http://schemas.openxmlformats.org/officeDocument/2006/relationships/hyperlink" Target="KOHC_Financial_Analysis_Audit.xlsx" TargetMode="External" Id="Ra79c3959c95d441d" /><Relationship Type="http://schemas.openxmlformats.org/officeDocument/2006/relationships/hyperlink" Target="KOHC_Financial_Analysis_Audit.xlsx" TargetMode="External" Id="R609deacbdbe34706" /><Relationship Type="http://schemas.openxmlformats.org/officeDocument/2006/relationships/hyperlink" Target="KOHC_Financial_Analysis_Audit.xlsx" TargetMode="External" Id="Rdb3eca4e4cc3419e" /><Relationship Type="http://schemas.openxmlformats.org/officeDocument/2006/relationships/hyperlink" Target="KOHC_Financial_Analysis_Audit.xlsx" TargetMode="External" Id="R1314d9b69ffd49a9" /><Relationship Type="http://schemas.openxmlformats.org/officeDocument/2006/relationships/hyperlink" Target="KOHC_Financial_Analysis_Audit.xlsx" TargetMode="External" Id="R3c86290369fd409d" /><Relationship Type="http://schemas.openxmlformats.org/officeDocument/2006/relationships/hyperlink" Target="KOHC_Financial_Analysis_Audit.xlsx" TargetMode="External" Id="R9b5191f74e0647d5" /></Relationships>
</file>

<file path=xl/worksheets/_rels/sheet3.xml.rels>&#65279;<?xml version="1.0" encoding="utf-8"?><Relationships xmlns="http://schemas.openxmlformats.org/package/2006/relationships"><Relationship Type="http://schemas.openxmlformats.org/officeDocument/2006/relationships/drawing" Target="/xl/drawings/drawing1.xml" Id="Ra535a1dfd94248f4" /></Relationships>
</file>

<file path=xl/worksheets/_rels/sheet4.xml.rels>&#65279;<?xml version="1.0" encoding="utf-8"?><Relationships xmlns="http://schemas.openxmlformats.org/package/2006/relationships"><Relationship Type="http://schemas.openxmlformats.org/officeDocument/2006/relationships/drawing" Target="/xl/drawings/drawing2.xml" Id="R0b29d91aceee4e97" /></Relationships>
</file>

<file path=xl/worksheets/_rels/sheet5.xml.rels>&#65279;<?xml version="1.0" encoding="utf-8"?><Relationships xmlns="http://schemas.openxmlformats.org/package/2006/relationships"><Relationship Type="http://schemas.openxmlformats.org/officeDocument/2006/relationships/drawing" Target="/xl/drawings/drawing3.xml" Id="R54c35290d61e48f7" /></Relationships>
</file>

<file path=xl/worksheets/_rels/sheet6.xml.rels>&#65279;<?xml version="1.0" encoding="utf-8"?><Relationships xmlns="http://schemas.openxmlformats.org/package/2006/relationships"><Relationship Type="http://schemas.openxmlformats.org/officeDocument/2006/relationships/drawing" Target="/xl/drawings/drawing4.xml" Id="R324d8d49631e47d4" /></Relationships>
</file>

<file path=xl/worksheets/_rels/sheet7.xml.rels>&#65279;<?xml version="1.0" encoding="utf-8"?><Relationships xmlns="http://schemas.openxmlformats.org/package/2006/relationships"><Relationship Type="http://schemas.openxmlformats.org/officeDocument/2006/relationships/drawing" Target="/xl/drawings/drawing5.xml" Id="Rdd2a6a155bda433f" /></Relationships>
</file>

<file path=xl/worksheets/_rels/sheet8.xml.rels>&#65279;<?xml version="1.0" encoding="utf-8"?><Relationships xmlns="http://schemas.openxmlformats.org/package/2006/relationships"><Relationship Type="http://schemas.openxmlformats.org/officeDocument/2006/relationships/drawing" Target="/xl/drawings/drawing6.xml" Id="Rcb8c8be6299745df" /></Relationships>
</file>

<file path=xl/worksheets/sheet1.xml><?xml version="1.0" encoding="utf-8"?>
<x:worksheet xmlns:x="http://schemas.openxmlformats.org/spreadsheetml/2006/main">
  <x:sheetViews>
    <x:sheetView showGridLines="0" workbookViewId="0"/>
  </x:sheetViews>
  <x:sheetFormatPr defaultColWidth="8.6796875" defaultRowHeight="15"/>
  <x:cols>
    <x:col min="1" max="1" width="30" hidden="0" customWidth="1"/>
    <x:col min="2" max="2" width="52" hidden="0" customWidth="1"/>
    <x:col min="3" max="7" width="14" hidden="0" customWidth="1"/>
    <x:col min="8" max="8" width="40" hidden="0" customWidth="1"/>
  </x:cols>
  <x:sheetData>
    <x:row r="1" ht="18.549999237060547" hidden="0">
      <x:c r="A1" s="1" t="s">
        <x:v>0</x:v>
      </x:c>
    </x:row>
    <x:row r="3" ht="15" hidden="0">
      <x:c r="A3" s="2" t="s">
        <x:v>1</x:v>
      </x:c>
      <x:c r="B3" s="3" t="s">
        <x:v>2</x:v>
      </x:c>
      <x:c r="C3" s="3"/>
      <x:c r="D3" s="3"/>
      <x:c r="E3" s="3"/>
      <x:c r="F3" s="3"/>
      <x:c r="G3" s="3"/>
      <x:c r="H3" s="3"/>
    </x:row>
    <x:row r="4" ht="15" hidden="0">
      <x:c r="A4" s="2" t="s">
        <x:v>3</x:v>
      </x:c>
      <x:c r="B4" s="3" t="s">
        <x:v>4</x:v>
      </x:c>
      <x:c r="C4" s="3"/>
      <x:c r="D4" s="3"/>
      <x:c r="E4" s="3"/>
      <x:c r="F4" s="3"/>
      <x:c r="G4" s="3"/>
      <x:c r="H4" s="3"/>
    </x:row>
    <x:row r="5" ht="15" hidden="0">
      <x:c r="A5" s="2" t="s">
        <x:v>5</x:v>
      </x:c>
      <x:c r="B5" s="3" t="s">
        <x:v>6</x:v>
      </x:c>
      <x:c r="C5" s="3"/>
      <x:c r="D5" s="3"/>
      <x:c r="E5" s="3"/>
      <x:c r="F5" s="3"/>
      <x:c r="G5" s="3"/>
      <x:c r="H5" s="3"/>
    </x:row>
    <x:row r="6" ht="15" hidden="0">
      <x:c r="A6" s="2" t="s">
        <x:v>7</x:v>
      </x:c>
      <x:c r="B6" s="3" t="s">
        <x:v>8</x:v>
      </x:c>
      <x:c r="C6" s="3"/>
      <x:c r="D6" s="3"/>
      <x:c r="E6" s="3"/>
      <x:c r="F6" s="3"/>
      <x:c r="G6" s="3"/>
      <x:c r="H6" s="3"/>
    </x:row>
    <x:row r="7" ht="15" hidden="0">
      <x:c r="A7" s="2" t="s">
        <x:v>9</x:v>
      </x:c>
      <x:c r="B7" s="3" t="s">
        <x:v>10</x:v>
      </x:c>
      <x:c r="C7" s="3"/>
      <x:c r="D7" s="3"/>
      <x:c r="E7" s="3"/>
      <x:c r="F7" s="3"/>
      <x:c r="G7" s="3"/>
      <x:c r="H7" s="3"/>
    </x:row>
    <x:row r="8" ht="15" hidden="0">
      <x:c r="A8" s="2" t="s">
        <x:v>11</x:v>
      </x:c>
      <x:c r="B8" s="3" t="s">
        <x:v>12</x:v>
      </x:c>
      <x:c r="C8" s="3"/>
      <x:c r="D8" s="3"/>
      <x:c r="E8" s="3"/>
      <x:c r="F8" s="3"/>
      <x:c r="G8" s="3"/>
      <x:c r="H8" s="3"/>
    </x:row>
    <x:row r="9" ht="15" hidden="0">
      <x:c r="A9" s="2" t="s">
        <x:v>13</x:v>
      </x:c>
      <x:c r="B9" s="3" t="s">
        <x:v>14</x:v>
      </x:c>
      <x:c r="C9" s="3"/>
      <x:c r="D9" s="3"/>
      <x:c r="E9" s="3"/>
      <x:c r="F9" s="3"/>
      <x:c r="G9" s="3"/>
      <x:c r="H9" s="3"/>
    </x:row>
    <x:row r="10" ht="15" hidden="0">
      <x:c r="A10" s="2" t="s">
        <x:v>15</x:v>
      </x:c>
      <x:c r="B10" s="3" t="str">
        <x:v>Original preparation: Claude. Full financial/market audit and revision: OpenAI Codex.</x:v>
      </x:c>
      <x:c r="C10" s="3"/>
      <x:c r="D10" s="3"/>
      <x:c r="E10" s="3"/>
      <x:c r="F10" s="3"/>
      <x:c r="G10" s="3"/>
      <x:c r="H10" s="3"/>
    </x:row>
    <x:row r="12" ht="15" hidden="0">
      <x:c r="A12" s="4" t="s">
        <x:v>16</x:v>
      </x:c>
    </x:row>
    <x:row r="13" ht="15" hidden="0">
      <x:c r="A13" s="5" t="s">
        <x:v>17</x:v>
      </x:c>
      <x:c r="B13" s="5" t="s">
        <x:v>18</x:v>
      </x:c>
      <x:c r="C13" s="5" t="s">
        <x:v>19</x:v>
      </x:c>
      <x:c r="D13" s="5" t="s">
        <x:v>20</x:v>
      </x:c>
      <x:c r="E13" s="5" t="s">
        <x:v>21</x:v>
      </x:c>
      <x:c r="F13" s="5" t="s">
        <x:v>22</x:v>
      </x:c>
      <x:c r="G13" s="5" t="s">
        <x:v>23</x:v>
      </x:c>
    </x:row>
    <x:row r="14" ht="15" hidden="0">
      <x:c r="A14" t="s">
        <x:v>24</x:v>
      </x:c>
      <x:c r="B14" t="s">
        <x:v>25</x:v>
      </x:c>
      <x:c r="C14" t="s">
        <x:v>11</x:v>
      </x:c>
      <x:c r="D14" t="s">
        <x:v>26</x:v>
      </x:c>
      <x:c r="E14" t="s">
        <x:v>27</x:v>
      </x:c>
      <x:c r="F14" t="s">
        <x:v>28</x:v>
      </x:c>
      <x:c r="G14" s="6" t="s">
        <x:v>29</x:v>
      </x:c>
    </x:row>
    <x:row r="15" ht="15" hidden="0">
      <x:c r="A15" t="s">
        <x:v>30</x:v>
      </x:c>
      <x:c r="B15" t="s">
        <x:v>31</x:v>
      </x:c>
      <x:c r="C15" t="s">
        <x:v>32</x:v>
      </x:c>
      <x:c r="D15" t="s">
        <x:v>26</x:v>
      </x:c>
      <x:c r="E15" t="s">
        <x:v>33</x:v>
      </x:c>
      <x:c r="F15" t="s">
        <x:v>34</x:v>
      </x:c>
      <x:c r="G15" s="6" t="s">
        <x:v>35</x:v>
      </x:c>
    </x:row>
    <x:row r="16" ht="15" hidden="0">
      <x:c r="A16" t="s">
        <x:v>36</x:v>
      </x:c>
      <x:c r="B16" t="s">
        <x:v>37</x:v>
      </x:c>
      <x:c r="C16" t="s">
        <x:v>38</x:v>
      </x:c>
      <x:c r="D16" t="s">
        <x:v>26</x:v>
      </x:c>
      <x:c r="E16" t="s">
        <x:v>33</x:v>
      </x:c>
      <x:c r="F16" t="s">
        <x:v>39</x:v>
      </x:c>
      <x:c r="G16" s="6" t="s">
        <x:v>40</x:v>
      </x:c>
    </x:row>
    <x:row r="17" ht="15" hidden="0">
      <x:c r="A17" t="s">
        <x:v>41</x:v>
      </x:c>
      <x:c r="B17" t="s">
        <x:v>42</x:v>
      </x:c>
      <x:c r="C17" t="s">
        <x:v>43</x:v>
      </x:c>
      <x:c r="D17" t="s">
        <x:v>26</x:v>
      </x:c>
      <x:c r="E17" t="s">
        <x:v>33</x:v>
      </x:c>
      <x:c r="F17" t="s">
        <x:v>39</x:v>
      </x:c>
      <x:c r="G17" s="6" t="s">
        <x:v>44</x:v>
      </x:c>
    </x:row>
    <x:row r="18" ht="15" hidden="0">
      <x:c r="A18" t="s">
        <x:v>45</x:v>
      </x:c>
      <x:c r="B18" t="s">
        <x:v>46</x:v>
      </x:c>
      <x:c r="C18" t="s">
        <x:v>47</x:v>
      </x:c>
      <x:c r="D18" t="s">
        <x:v>26</x:v>
      </x:c>
      <x:c r="E18" t="s">
        <x:v>27</x:v>
      </x:c>
      <x:c r="F18" t="s">
        <x:v>39</x:v>
      </x:c>
      <x:c r="G18" s="6" t="s">
        <x:v>48</x:v>
      </x:c>
    </x:row>
    <x:row r="19" ht="15" hidden="0">
      <x:c r="G19" s="6" t="s">
        <x:v>49</x:v>
      </x:c>
    </x:row>
    <x:row r="20" ht="15" hidden="0">
      <x:c r="G20" s="6" t="s">
        <x:v>50</x:v>
      </x:c>
    </x:row>
    <x:row r="22" ht="15" hidden="0">
      <x:c r="A22" s="4" t="s">
        <x:v>51</x:v>
      </x:c>
    </x:row>
    <x:row r="23" ht="30" hidden="0" customHeight="1">
      <x:c r="A23" s="2" t="s">
        <x:v>52</x:v>
      </x:c>
      <x:c r="B23" s="7" t="s">
        <x:v>53</x:v>
      </x:c>
      <x:c r="C23" s="7"/>
      <x:c r="D23" s="7"/>
      <x:c r="E23" s="7"/>
      <x:c r="F23" s="7"/>
      <x:c r="G23" s="7"/>
      <x:c r="H23" s="7"/>
    </x:row>
    <x:row r="24" ht="30" hidden="0" customHeight="1">
      <x:c r="A24" s="2" t="s">
        <x:v>54</x:v>
      </x:c>
      <x:c r="B24" s="7" t="str">
        <x:v>Average opening/closing inventory, trade receivables, operating supplier payables, operating PPE, assets, equity and invested capital. FY2020 is the opening balance only.</x:v>
      </x:c>
      <x:c r="C24" s="7"/>
      <x:c r="D24" s="7"/>
      <x:c r="E24" s="7"/>
      <x:c r="F24" s="7"/>
      <x:c r="G24" s="7"/>
      <x:c r="H24" s="7"/>
    </x:row>
    <x:row r="25" ht="30" hidden="0" customHeight="1">
      <x:c r="A25" s="2" t="s">
        <x:v>55</x:v>
      </x:c>
      <x:c r="B25" s="7" t="s">
        <x:v>56</x:v>
      </x:c>
      <x:c r="C25" s="7"/>
      <x:c r="D25" s="7"/>
      <x:c r="E25" s="7"/>
      <x:c r="F25" s="7"/>
      <x:c r="G25" s="7"/>
      <x:c r="H25" s="7"/>
    </x:row>
    <x:row r="26" ht="30" hidden="0" customHeight="1">
      <x:c r="A26" s="2" t="s">
        <x:v>57</x:v>
      </x:c>
      <x:c r="B26" s="7" t="str">
        <x:v>Actual, unadjusted PSX historical CLOSE on 30 June 2021, 30 June 2022, 27 June 2023, 28 June 2024 and 30 June 2025. Original report prices and all PSX rows are preserved in PSX Prices and Price Evidence.</x:v>
      </x:c>
      <x:c r="C26" s="7"/>
      <x:c r="D26" s="7"/>
      <x:c r="E26" s="7"/>
      <x:c r="F26" s="7"/>
      <x:c r="G26" s="7"/>
      <x:c r="H26" s="7"/>
    </x:row>
    <x:row r="27" ht="30" hidden="0" customHeight="1">
      <x:c r="A27" s="2" t="s">
        <x:v>58</x:v>
      </x:c>
      <x:c r="B27" s="7" t="s">
        <x:v>59</x:v>
      </x:c>
      <x:c r="C27" s="7"/>
      <x:c r="D27" s="7"/>
      <x:c r="E27" s="7"/>
      <x:c r="F27" s="7"/>
      <x:c r="G27" s="7"/>
      <x:c r="H27" s="7"/>
    </x:row>
    <x:row r="28" ht="30" hidden="0" customHeight="1">
      <x:c r="A28" s="2" t="s">
        <x:v>60</x:v>
      </x:c>
      <x:c r="B28" s="7" t="s">
        <x:v>61</x:v>
      </x:c>
      <x:c r="C28" s="7"/>
      <x:c r="D28" s="7"/>
      <x:c r="E28" s="7"/>
      <x:c r="F28" s="7"/>
      <x:c r="G28" s="7"/>
      <x:c r="H28" s="7"/>
    </x:row>
    <x:row r="29" ht="30" hidden="0" customHeight="1">
      <x:c r="A29" s="2" t="s">
        <x:v>62</x:v>
      </x:c>
      <x:c r="B29" s="7" t="s">
        <x:v>63</x:v>
      </x:c>
      <x:c r="C29" s="7"/>
      <x:c r="D29" s="7"/>
      <x:c r="E29" s="7"/>
      <x:c r="F29" s="7"/>
      <x:c r="G29" s="7"/>
      <x:c r="H29" s="7"/>
    </x:row>
    <x:row r="30" ht="30" hidden="0" customHeight="1">
      <x:c r="A30" s="2" t="s">
        <x:v>64</x:v>
      </x:c>
      <x:c r="B30" s="7" t="str">
        <x:v>Interest-bearing financing and leases, including current principal; excludes interest-free parent loans, accrued markup (including embedded amounts), grants and employee liabilities.</x:v>
      </x:c>
      <x:c r="C30" s="7"/>
      <x:c r="D30" s="7"/>
      <x:c r="E30" s="7"/>
      <x:c r="F30" s="7"/>
      <x:c r="G30" s="7"/>
      <x:c r="H30" s="7"/>
    </x:row>
    <x:row r="31" ht="30" hidden="0" customHeight="1">
      <x:c r="A31" s="2" t="s">
        <x:v>65</x:v>
      </x:c>
      <x:c r="B31" s="7" t="str">
        <x:v>Actual audited (levies + income tax) / profit before levies and tax; no cap or statutory override. Includes deferred tax and super tax. DGKC FY2023 ETR exceeds 100%, producing negative NOPAT and n/m ROIC.</x:v>
      </x:c>
      <x:c r="C31" s="7"/>
      <x:c r="D31" s="7"/>
      <x:c r="E31" s="7"/>
      <x:c r="F31" s="7"/>
      <x:c r="G31" s="7"/>
      <x:c r="H31" s="7"/>
    </x:row>
    <x:row r="32" ht="30" hidden="0" customHeight="1">
      <x:c r="A32" s="2" t="s">
        <x:v>66</x:v>
      </x:c>
      <x:c r="B32" s="7" t="str">
        <x:v>Negative or undefined calculated measures and growth percentages display n/m, with reasons. Signed statement inputs, raw ratio workings and absolute accounting changes remain preserved. Genuine zeros remain numeric zero.</x:v>
      </x:c>
      <x:c r="C32" s="7"/>
      <x:c r="D32" s="7"/>
      <x:c r="E32" s="7"/>
      <x:c r="F32" s="7"/>
      <x:c r="G32" s="7"/>
      <x:c r="H32" s="7"/>
    </x:row>
    <x:row r="34" ht="15" hidden="0">
      <x:c r="A34" s="2" t="str">
        <x:v>Full audit status</x:v>
      </x:c>
      <x:c r="B34" t="str">
        <x:v>All33 measures audited.825 independent result checks and165 means verified. Full Audit Summary records scope and remaining source exceptions.</x:v>
      </x:c>
      <x:c r="C34" s="2"/>
      <x:c r="D34" s="2"/>
      <x:c r="E34" s="2"/>
      <x:c r="F34" s="2"/>
      <x:c r="G34" s="2"/>
    </x:row>
    <x:row r="35" ht="15" hidden="0">
      <x:c r="A35" t="str">
        <x:v>Published ratios</x:v>
      </x:c>
      <x:c r="B35" t="str">
        <x:v>544 official observations reviewed. Baseline44 financial failures:33 reproduced,11 unresolved;10 market discrepancies remain. See reconciliation and Investigation Log.</x:v>
      </x:c>
      <x:c r="C35" s="8"/>
      <x:c r="D35" s="8"/>
      <x:c r="E35" s="8"/>
      <x:c r="F35" s="8"/>
      <x:c r="G35" s="8"/>
      <x:c r="H35" s="9"/>
    </x:row>
    <x:row r="37" ht="15" hidden="0">
      <x:c r="A37" s="4" t="s">
        <x:v>67</x:v>
      </x:c>
    </x:row>
    <x:row r="38" ht="15" hidden="0">
      <x:c r="A38" s="5" t="s">
        <x:v>68</x:v>
      </x:c>
      <x:c r="B38" s="5" t="s">
        <x:v>69</x:v>
      </x:c>
      <x:c r="C38" s="5" t="s">
        <x:v>70</x:v>
      </x:c>
      <x:c r="D38" s="5" t="str">
        <x:v>Requirement</x:v>
      </x:c>
      <x:c r="E38" s="5" t="s">
        <x:v>71</x:v>
      </x:c>
    </x:row>
    <x:row r="39" ht="15" hidden="0" customHeight="1">
      <x:c r="A39" t="str">
        <x:v>1. Current ratio</x:v>
      </x:c>
      <x:c r="B39" s="10" t="str">
        <x:v>Current Assets / Current Liabilities</x:v>
      </x:c>
      <x:c r="C39" s="11" t="str">
        <x:v>x</x:v>
      </x:c>
      <x:c r="D39" s="11" t="str">
        <x:v>Mandatory</x:v>
      </x:c>
      <x:c r="E39" s="11" t="str">
        <x:v>Liquidity</x:v>
      </x:c>
    </x:row>
    <x:row r="40" ht="25.5" hidden="0" customHeight="1">
      <x:c r="A40" t="str">
        <x:v>2. Quick ratio</x:v>
      </x:c>
      <x:c r="B40" s="10" t="str">
        <x:v>(Current Assets - Inventories) / Current Liabilities</x:v>
      </x:c>
      <x:c r="C40" s="11" t="str">
        <x:v>x</x:v>
      </x:c>
      <x:c r="D40" s="11" t="str">
        <x:v>Mandatory</x:v>
      </x:c>
      <x:c r="E40" s="11" t="str">
        <x:v>Liquidity</x:v>
      </x:c>
    </x:row>
    <x:row r="41" ht="25.5" hidden="0" customHeight="1">
      <x:c r="A41" t="str">
        <x:v>3. Cash ratio</x:v>
      </x:c>
      <x:c r="B41" s="10" t="str">
        <x:v>Cash and Bank / Current Liabilities</x:v>
      </x:c>
      <x:c r="C41" s="11" t="str">
        <x:v>x</x:v>
      </x:c>
      <x:c r="D41" s="11" t="str">
        <x:v>Mandatory</x:v>
      </x:c>
      <x:c r="E41" s="11" t="str">
        <x:v>Liquidity</x:v>
      </x:c>
    </x:row>
    <x:row r="42" ht="15" hidden="0" customHeight="1">
      <x:c r="A42" t="str">
        <x:v>4. Net working capital (PKR m)</x:v>
      </x:c>
      <x:c r="B42" s="10" t="str">
        <x:v>Current Assets - Current Liabilities</x:v>
      </x:c>
      <x:c r="C42" s="11" t="str">
        <x:v>PKR m</x:v>
      </x:c>
      <x:c r="D42" s="11" t="str">
        <x:v>Additional</x:v>
      </x:c>
      <x:c r="E42" s="11" t="str">
        <x:v>Liquidity</x:v>
      </x:c>
    </x:row>
    <x:row r="43" ht="25.5" hidden="0" customHeight="1">
      <x:c r="A43" t="str">
        <x:v>5. Net operating working capital (PKR m)</x:v>
      </x:c>
      <x:c r="B43" s="10" t="str">
        <x:v>Operating CA - Operating CL</x:v>
      </x:c>
      <x:c r="C43" s="11" t="str">
        <x:v>PKR m</x:v>
      </x:c>
      <x:c r="D43" s="11" t="str">
        <x:v>Additional</x:v>
      </x:c>
      <x:c r="E43" s="11" t="str">
        <x:v>Liquidity</x:v>
      </x:c>
    </x:row>
    <x:row r="44" ht="25.5" hidden="0" customHeight="1">
      <x:c r="A44" t="str">
        <x:v>6. Inventory turnover</x:v>
      </x:c>
      <x:c r="B44" s="10" t="str">
        <x:v>COGS / Average Inventory</x:v>
      </x:c>
      <x:c r="C44" s="11" t="str">
        <x:v>x</x:v>
      </x:c>
      <x:c r="D44" s="11" t="str">
        <x:v>Mandatory</x:v>
      </x:c>
      <x:c r="E44" s="11" t="str">
        <x:v>Asset Management</x:v>
      </x:c>
    </x:row>
    <x:row r="45" ht="25.5" hidden="0" customHeight="1">
      <x:c r="A45" t="str">
        <x:v>7. Receivables turnover</x:v>
      </x:c>
      <x:c r="B45" s="10" t="str">
        <x:v>Net Sales / Average Trade Debts</x:v>
      </x:c>
      <x:c r="C45" s="11" t="str">
        <x:v>x</x:v>
      </x:c>
      <x:c r="D45" s="11" t="str">
        <x:v>Additional</x:v>
      </x:c>
      <x:c r="E45" s="11" t="str">
        <x:v>Asset Management</x:v>
      </x:c>
    </x:row>
    <x:row r="46" ht="25.5" hidden="0" customHeight="1">
      <x:c r="A46" t="str">
        <x:v>8. Payables turnover</x:v>
      </x:c>
      <x:c r="B46" s="10" t="str">
        <x:v>COGS / Average Trade Creditors</x:v>
      </x:c>
      <x:c r="C46" s="11" t="str">
        <x:v>x</x:v>
      </x:c>
      <x:c r="D46" s="11" t="str">
        <x:v>Additional</x:v>
      </x:c>
      <x:c r="E46" s="11" t="str">
        <x:v>Asset Management</x:v>
      </x:c>
    </x:row>
    <x:row r="47" ht="15" hidden="0" customHeight="1">
      <x:c r="A47" t="str">
        <x:v>9. Days inventory outstanding</x:v>
      </x:c>
      <x:c r="B47" s="10" t="str">
        <x:v>365 / Inventory Turnover</x:v>
      </x:c>
      <x:c r="C47" s="11" t="str">
        <x:v>days</x:v>
      </x:c>
      <x:c r="D47" s="11" t="str">
        <x:v>Additional</x:v>
      </x:c>
      <x:c r="E47" s="11" t="str">
        <x:v>Asset Management</x:v>
      </x:c>
    </x:row>
    <x:row r="48" ht="15" hidden="0" customHeight="1">
      <x:c r="A48" t="str">
        <x:v>10. Days sales outstanding</x:v>
      </x:c>
      <x:c r="B48" s="10" t="str">
        <x:v>365 / Receivables Turnover</x:v>
      </x:c>
      <x:c r="C48" s="11" t="str">
        <x:v>days</x:v>
      </x:c>
      <x:c r="D48" s="11" t="str">
        <x:v>Mandatory</x:v>
      </x:c>
      <x:c r="E48" s="11" t="str">
        <x:v>Asset Management</x:v>
      </x:c>
    </x:row>
    <x:row r="49" ht="15" hidden="0" customHeight="1">
      <x:c r="A49" t="str">
        <x:v>11. Days payables outstanding</x:v>
      </x:c>
      <x:c r="B49" s="10" t="str">
        <x:v>365 / Payables Turnover</x:v>
      </x:c>
      <x:c r="C49" s="11" t="str">
        <x:v>days</x:v>
      </x:c>
      <x:c r="D49" s="11" t="str">
        <x:v>Additional</x:v>
      </x:c>
      <x:c r="E49" s="11" t="str">
        <x:v>Asset Management</x:v>
      </x:c>
    </x:row>
    <x:row r="50" ht="15" hidden="0" customHeight="1">
      <x:c r="A50" t="str">
        <x:v>12. Operating cycle (days)</x:v>
      </x:c>
      <x:c r="B50" s="10" t="str">
        <x:v>DIO + DSO</x:v>
      </x:c>
      <x:c r="C50" s="11" t="str">
        <x:v>days</x:v>
      </x:c>
      <x:c r="D50" s="11" t="str">
        <x:v>Additional</x:v>
      </x:c>
      <x:c r="E50" s="11" t="str">
        <x:v>Asset Management</x:v>
      </x:c>
    </x:row>
    <x:row r="51" ht="15" hidden="0" customHeight="1">
      <x:c r="A51" t="str">
        <x:v>13. Cash conversion cycle (days)</x:v>
      </x:c>
      <x:c r="B51" s="10" t="str">
        <x:v>DIO + DSO - DPO</x:v>
      </x:c>
      <x:c r="C51" s="11" t="str">
        <x:v>days</x:v>
      </x:c>
      <x:c r="D51" s="11" t="str">
        <x:v>Additional</x:v>
      </x:c>
      <x:c r="E51" s="11" t="str">
        <x:v>Asset Management</x:v>
      </x:c>
    </x:row>
    <x:row r="52" ht="15" hidden="0" customHeight="1">
      <x:c r="A52" t="str">
        <x:v>14. Total asset turnover</x:v>
      </x:c>
      <x:c r="B52" s="10" t="str">
        <x:v>Net Sales / Average Total Assets</x:v>
      </x:c>
      <x:c r="C52" s="11" t="str">
        <x:v>x</x:v>
      </x:c>
      <x:c r="D52" s="11" t="str">
        <x:v>Mandatory</x:v>
      </x:c>
      <x:c r="E52" s="11" t="str">
        <x:v>Asset Management</x:v>
      </x:c>
    </x:row>
    <x:row r="53" ht="25.5" hidden="0" customHeight="1">
      <x:c r="A53" t="str">
        <x:v>15. Fixed asset turnover</x:v>
      </x:c>
      <x:c r="B53" s="10" t="str">
        <x:v>Net Sales / Average Operating Fixed Assets</x:v>
      </x:c>
      <x:c r="C53" s="11" t="str">
        <x:v>x</x:v>
      </x:c>
      <x:c r="D53" s="11" t="str">
        <x:v>Mandatory</x:v>
      </x:c>
      <x:c r="E53" s="11" t="str">
        <x:v>Asset Management</x:v>
      </x:c>
    </x:row>
    <x:row r="54" ht="15" hidden="0" customHeight="1">
      <x:c r="A54" t="str">
        <x:v>16. Debt ratio</x:v>
      </x:c>
      <x:c r="B54" s="10" t="str">
        <x:v>Total Liabilities / Total Assets</x:v>
      </x:c>
      <x:c r="C54" s="11" t="str">
        <x:v>%</x:v>
      </x:c>
      <x:c r="D54" s="11" t="str">
        <x:v>Mandatory</x:v>
      </x:c>
      <x:c r="E54" s="11" t="str">
        <x:v>Debt Management</x:v>
      </x:c>
    </x:row>
    <x:row r="55" ht="15" hidden="0" customHeight="1">
      <x:c r="A55" t="str">
        <x:v>17. Debt-to-equity</x:v>
      </x:c>
      <x:c r="B55" s="10" t="str">
        <x:v>Total Liabilities / Total Equity</x:v>
      </x:c>
      <x:c r="C55" s="11" t="str">
        <x:v>x</x:v>
      </x:c>
      <x:c r="D55" s="11" t="str">
        <x:v>Mandatory</x:v>
      </x:c>
      <x:c r="E55" s="11" t="str">
        <x:v>Debt Management</x:v>
      </x:c>
    </x:row>
    <x:row r="56" ht="15" hidden="0" customHeight="1">
      <x:c r="A56" t="str">
        <x:v>18. Total debt-to-capital</x:v>
      </x:c>
      <x:c r="B56" s="10" t="str">
        <x:v>Interest-bearing Debt / (IBD + Equity)</x:v>
      </x:c>
      <x:c r="C56" s="11" t="str">
        <x:v>%</x:v>
      </x:c>
      <x:c r="D56" s="11" t="str">
        <x:v>Additional</x:v>
      </x:c>
      <x:c r="E56" s="11" t="str">
        <x:v>Debt Management</x:v>
      </x:c>
    </x:row>
    <x:row r="57" ht="25.5" hidden="0" customHeight="1">
      <x:c r="A57" t="str">
        <x:v>19. Long-term debt ratio</x:v>
      </x:c>
      <x:c r="B57" s="10" t="str">
        <x:v>Long-term IBD / Total Assets</x:v>
      </x:c>
      <x:c r="C57" s="11" t="str">
        <x:v>%</x:v>
      </x:c>
      <x:c r="D57" s="11" t="str">
        <x:v>Additional</x:v>
      </x:c>
      <x:c r="E57" s="11" t="str">
        <x:v>Debt Management</x:v>
      </x:c>
    </x:row>
    <x:row r="58" ht="25.5" hidden="0" customHeight="1">
      <x:c r="A58" t="str">
        <x:v>20. Times interest earned</x:v>
      </x:c>
      <x:c r="B58" s="10" t="str">
        <x:v>EBIT / Interest Expense</x:v>
      </x:c>
      <x:c r="C58" s="11" t="str">
        <x:v>x</x:v>
      </x:c>
      <x:c r="D58" s="11" t="str">
        <x:v>Mandatory</x:v>
      </x:c>
      <x:c r="E58" s="11" t="str">
        <x:v>Debt Management</x:v>
      </x:c>
    </x:row>
    <x:row r="59" ht="25.5" hidden="0" customHeight="1">
      <x:c r="A59" t="str">
        <x:v>21. Gross profit margin</x:v>
      </x:c>
      <x:c r="B59" s="10" t="str">
        <x:v>Gross Profit / Net Sales</x:v>
      </x:c>
      <x:c r="C59" s="11" t="str">
        <x:v>%</x:v>
      </x:c>
      <x:c r="D59" s="11" t="str">
        <x:v>Mandatory</x:v>
      </x:c>
      <x:c r="E59" s="11" t="str">
        <x:v>Profitability</x:v>
      </x:c>
    </x:row>
    <x:row r="60" ht="15" hidden="0" customHeight="1">
      <x:c r="A60" t="str">
        <x:v>22. Operating margin</x:v>
      </x:c>
      <x:c r="B60" s="10" t="str">
        <x:v>Operating Profit / Net Sales</x:v>
      </x:c>
      <x:c r="C60" s="11" t="str">
        <x:v>%</x:v>
      </x:c>
      <x:c r="D60" s="11" t="str">
        <x:v>Mandatory</x:v>
      </x:c>
      <x:c r="E60" s="11" t="str">
        <x:v>Profitability</x:v>
      </x:c>
    </x:row>
    <x:row r="61" ht="25.5" hidden="0" customHeight="1">
      <x:c r="A61" t="str">
        <x:v>23. Net profit margin</x:v>
      </x:c>
      <x:c r="B61" s="10" t="str">
        <x:v>Net Profit / Net Sales</x:v>
      </x:c>
      <x:c r="C61" s="11" t="str">
        <x:v>%</x:v>
      </x:c>
      <x:c r="D61" s="11" t="str">
        <x:v>Mandatory</x:v>
      </x:c>
      <x:c r="E61" s="11" t="str">
        <x:v>Profitability</x:v>
      </x:c>
    </x:row>
    <x:row r="62" ht="15" hidden="0" customHeight="1">
      <x:c r="A62" t="str">
        <x:v>24. Return on assets</x:v>
      </x:c>
      <x:c r="B62" s="10" t="str">
        <x:v>Net Profit / Average Total Assets</x:v>
      </x:c>
      <x:c r="C62" s="11" t="str">
        <x:v>%</x:v>
      </x:c>
      <x:c r="D62" s="11" t="str">
        <x:v>Mandatory</x:v>
      </x:c>
      <x:c r="E62" s="11" t="str">
        <x:v>Profitability</x:v>
      </x:c>
    </x:row>
    <x:row r="63" ht="15" hidden="0" customHeight="1">
      <x:c r="A63" t="str">
        <x:v>25. Return on equity</x:v>
      </x:c>
      <x:c r="B63" s="10" t="str">
        <x:v>Net Profit / Average Equity</x:v>
      </x:c>
      <x:c r="C63" s="11" t="str">
        <x:v>%</x:v>
      </x:c>
      <x:c r="D63" s="11" t="str">
        <x:v>Mandatory</x:v>
      </x:c>
      <x:c r="E63" s="11" t="str">
        <x:v>Profitability</x:v>
      </x:c>
    </x:row>
    <x:row r="64" ht="15" hidden="0" customHeight="1">
      <x:c r="A64" t="str">
        <x:v>26. Return on invested capital</x:v>
      </x:c>
      <x:c r="B64" s="10" t="str">
        <x:v>NOPAT / Average Invested Capital</x:v>
      </x:c>
      <x:c r="C64" s="11" t="str">
        <x:v>%</x:v>
      </x:c>
      <x:c r="D64" s="11" t="str">
        <x:v>Additional</x:v>
      </x:c>
      <x:c r="E64" s="11" t="str">
        <x:v>Profitability</x:v>
      </x:c>
    </x:row>
    <x:row r="65" ht="15" hidden="0" customHeight="1">
      <x:c r="A65" t="str">
        <x:v>27. Basic earning power</x:v>
      </x:c>
      <x:c r="B65" s="10" t="str">
        <x:v>EBIT / Average Total Assets</x:v>
      </x:c>
      <x:c r="C65" s="11" t="str">
        <x:v>%</x:v>
      </x:c>
      <x:c r="D65" s="11" t="str">
        <x:v>Additional</x:v>
      </x:c>
      <x:c r="E65" s="11" t="str">
        <x:v>Profitability</x:v>
      </x:c>
    </x:row>
    <x:row r="66" ht="15" hidden="0" customHeight="1">
      <x:c r="A66" t="str">
        <x:v>28. Book value per share (Rs)</x:v>
      </x:c>
      <x:c r="B66" s="10" t="str">
        <x:v>Total Equity / Shares Outstanding</x:v>
      </x:c>
      <x:c r="C66" s="11" t="str">
        <x:v>Rs/share</x:v>
      </x:c>
      <x:c r="D66" s="11" t="str">
        <x:v>Additional</x:v>
      </x:c>
      <x:c r="E66" s="11" t="str">
        <x:v>Market Value</x:v>
      </x:c>
    </x:row>
    <x:row r="67" ht="15" hidden="0" customHeight="1">
      <x:c r="A67" t="str">
        <x:v>29. Market-to-book ratio</x:v>
      </x:c>
      <x:c r="B67" s="10" t="str">
        <x:v>Share Price / BVPS</x:v>
      </x:c>
      <x:c r="C67" s="11" t="str">
        <x:v>x</x:v>
      </x:c>
      <x:c r="D67" s="11" t="str">
        <x:v>Mandatory</x:v>
      </x:c>
      <x:c r="E67" s="11" t="str">
        <x:v>Market Value</x:v>
      </x:c>
    </x:row>
    <x:row r="68" ht="15" hidden="0" customHeight="1">
      <x:c r="A68" t="str">
        <x:v>30. Earnings per share (Rs)</x:v>
      </x:c>
      <x:c r="B68" s="10" t="str">
        <x:v>Net Profit / Weighted Average Shares</x:v>
      </x:c>
      <x:c r="C68" s="11" t="str">
        <x:v>Rs/share</x:v>
      </x:c>
      <x:c r="D68" s="11" t="str">
        <x:v>Mandatory</x:v>
      </x:c>
      <x:c r="E68" s="11" t="str">
        <x:v>Market Value</x:v>
      </x:c>
    </x:row>
    <x:row r="69" ht="15" hidden="0" customHeight="1">
      <x:c r="A69" t="str">
        <x:v>31. Price-to-earnings ratio</x:v>
      </x:c>
      <x:c r="B69" s="10" t="str">
        <x:v>Share Price / EPS</x:v>
      </x:c>
      <x:c r="C69" s="11" t="str">
        <x:v>x</x:v>
      </x:c>
      <x:c r="D69" s="11" t="str">
        <x:v>Mandatory</x:v>
      </x:c>
      <x:c r="E69" s="11" t="str">
        <x:v>Market Value</x:v>
      </x:c>
    </x:row>
    <x:row r="70" ht="15" hidden="0" customHeight="1">
      <x:c r="A70" t="str">
        <x:v>32. Dividend yield</x:v>
      </x:c>
      <x:c r="B70" s="10" t="str">
        <x:v>DPS / Share Price</x:v>
      </x:c>
      <x:c r="C70" s="11" t="str">
        <x:v>%</x:v>
      </x:c>
      <x:c r="D70" s="11" t="str">
        <x:v>Mandatory</x:v>
      </x:c>
      <x:c r="E70" s="11" t="str">
        <x:v>Market Value</x:v>
      </x:c>
    </x:row>
    <x:row r="71" ht="15" hidden="0" customHeight="1">
      <x:c r="A71" t="str">
        <x:v>33. Dividend payout ratio</x:v>
      </x:c>
      <x:c r="B71" s="10" t="str">
        <x:v>DPS / EPS</x:v>
      </x:c>
      <x:c r="C71" s="11" t="str">
        <x:v>%</x:v>
      </x:c>
      <x:c r="D71" s="11" t="str">
        <x:v>Additional</x:v>
      </x:c>
      <x:c r="E71" s="11" t="str">
        <x:v>Market Value</x:v>
      </x:c>
    </x:row>
    <x:row r="72" ht="15" hidden="0" customHeight="1">
      <x:c r="A72"/>
      <x:c r="B72" s="10"/>
      <x:c r="C72" s="11"/>
      <x:c r="D72" s="11"/>
      <x:c r="E72" s="11"/>
    </x:row>
    <x:row r="73" ht="15" hidden="0" customHeight="1">
      <x:c r="A73"/>
      <x:c r="B73" s="10"/>
      <x:c r="C73" s="11"/>
      <x:c r="D73" s="11"/>
      <x:c r="E73" s="11"/>
    </x:row>
    <x:row r="74" ht="25.5" hidden="0" customHeight="1">
      <x:c r="A74"/>
      <x:c r="B74" s="10"/>
      <x:c r="C74" s="11"/>
      <x:c r="D74" s="11"/>
      <x:c r="E74" s="11"/>
    </x:row>
    <x:row r="75" ht="15" hidden="0" customHeight="1">
      <x:c r="A75"/>
      <x:c r="B75" s="10"/>
      <x:c r="C75" s="11"/>
      <x:c r="D75" s="11"/>
      <x:c r="E75" s="11"/>
    </x:row>
    <x:row r="76" ht="15" hidden="0" customHeight="1">
      <x:c r="A76"/>
      <x:c r="B76" s="10"/>
      <x:c r="C76" s="11"/>
      <x:c r="D76" s="11"/>
      <x:c r="E76" s="11"/>
    </x:row>
    <x:row r="77" ht="15" hidden="0" customHeight="1">
      <x:c r="A77"/>
      <x:c r="B77" s="10"/>
      <x:c r="C77" s="11"/>
      <x:c r="D77" s="11"/>
      <x:c r="E77" s="11"/>
    </x:row>
    <x:row r="79" ht="15" hidden="0">
      <x:c r="A79" s="4" t="s">
        <x:v>72</x:v>
      </x:c>
    </x:row>
    <x:row r="80" ht="27.75" hidden="0" customHeight="1">
      <x:c r="A80" s="12" t="s">
        <x:v>73</x:v>
      </x:c>
      <x:c r="B80" s="12"/>
      <x:c r="C80" s="12"/>
      <x:c r="D80" s="12"/>
      <x:c r="E80" s="12"/>
      <x:c r="F80" s="12"/>
      <x:c r="G80" s="12"/>
      <x:c r="H80" s="12"/>
    </x:row>
    <x:row r="81" ht="27.75" hidden="0" customHeight="1">
      <x:c r="A81" s="12" t="s">
        <x:v>74</x:v>
      </x:c>
      <x:c r="B81" s="12"/>
      <x:c r="C81" s="12"/>
      <x:c r="D81" s="12"/>
      <x:c r="E81" s="12"/>
      <x:c r="F81" s="12"/>
      <x:c r="G81" s="12"/>
      <x:c r="H81" s="12"/>
    </x:row>
    <x:row r="82" ht="27.75" hidden="0" customHeight="1">
      <x:c r="A82" s="12" t="s">
        <x:v>75</x:v>
      </x:c>
      <x:c r="B82" s="12"/>
      <x:c r="C82" s="12"/>
      <x:c r="D82" s="12"/>
      <x:c r="E82" s="12"/>
      <x:c r="F82" s="12"/>
      <x:c r="G82" s="12"/>
      <x:c r="H82" s="12"/>
    </x:row>
    <x:row r="83" ht="27.75" hidden="0" customHeight="1">
      <x:c r="A83" s="12" t="s">
        <x:v>76</x:v>
      </x:c>
      <x:c r="B83" s="12"/>
      <x:c r="C83" s="12"/>
      <x:c r="D83" s="12"/>
      <x:c r="E83" s="12"/>
      <x:c r="F83" s="12"/>
      <x:c r="G83" s="12"/>
      <x:c r="H83" s="12"/>
    </x:row>
    <x:row r="84" ht="27.75" hidden="0" customHeight="1">
      <x:c r="A84" s="12" t="str">
        <x:v>- Cash-flow classification remains in the source statements; it no longer feeds an additional headline ratio.</x:v>
      </x:c>
      <x:c r="B84" s="12"/>
      <x:c r="C84" s="12"/>
      <x:c r="D84" s="12"/>
      <x:c r="E84" s="12"/>
      <x:c r="F84" s="12"/>
      <x:c r="G84" s="12"/>
      <x:c r="H84" s="12"/>
    </x:row>
    <x:row r="85" ht="27.75" hidden="0" customHeight="1">
      <x:c r="A85" s="12" t="s">
        <x:v>77</x:v>
      </x:c>
      <x:c r="B85" s="12"/>
      <x:c r="C85" s="12"/>
      <x:c r="D85" s="12"/>
      <x:c r="E85" s="12"/>
      <x:c r="F85" s="12"/>
      <x:c r="G85" s="12"/>
      <x:c r="H85" s="12"/>
    </x:row>
    <x:row r="86" ht="27.75" hidden="0" customHeight="1">
      <x:c r="A86" s="12" t="s">
        <x:v>78</x:v>
      </x:c>
      <x:c r="B86" s="12"/>
      <x:c r="C86" s="12"/>
      <x:c r="D86" s="12"/>
      <x:c r="E86" s="12"/>
      <x:c r="F86" s="12"/>
      <x:c r="G86" s="12"/>
      <x:c r="H86" s="12"/>
    </x:row>
    <x:row r="87" ht="27.75" hidden="0" customHeight="1">
      <x:c r="A87" s="12" t="str">
        <x:v>- Full audit covers all 33 measures (825 results), source inputs and FY2020 averages. See Full Audit Summary, Ratio Verification, Input Review and Investigation Log.</x:v>
      </x:c>
      <x:c r="B87" s="12"/>
      <x:c r="C87" s="12"/>
      <x:c r="D87" s="12"/>
      <x:c r="E87" s="12"/>
      <x:c r="F87" s="12"/>
      <x:c r="G87" s="12"/>
      <x:c r="H87" s="12"/>
    </x:row>
  </x:sheetData>
  <x:mergeCells>
    <x:mergeCell ref="B3:H3"/>
    <x:mergeCell ref="B4:H4"/>
    <x:mergeCell ref="B5:H5"/>
    <x:mergeCell ref="B6:H6"/>
    <x:mergeCell ref="B7:H7"/>
    <x:mergeCell ref="B8:H8"/>
    <x:mergeCell ref="B9:H9"/>
    <x:mergeCell ref="B10:H10"/>
    <x:mergeCell ref="B23:H23"/>
    <x:mergeCell ref="B24:H24"/>
    <x:mergeCell ref="B25:H25"/>
    <x:mergeCell ref="B26:H26"/>
    <x:mergeCell ref="B27:H27"/>
    <x:mergeCell ref="B28:H28"/>
    <x:mergeCell ref="B29:H29"/>
    <x:mergeCell ref="B30:H30"/>
    <x:mergeCell ref="B31:H31"/>
    <x:mergeCell ref="B32:H32"/>
    <x:mergeCell ref="A80:H80"/>
    <x:mergeCell ref="A81:H81"/>
    <x:mergeCell ref="A82:H82"/>
    <x:mergeCell ref="A83:H83"/>
    <x:mergeCell ref="A84:H84"/>
    <x:mergeCell ref="A85:H85"/>
    <x:mergeCell ref="A86:H86"/>
    <x:mergeCell ref="A87:H87"/>
  </x:mergeCells>
  <x:hyperlinks>
    <x:hyperlink xmlns:r="http://schemas.openxmlformats.org/officeDocument/2006/relationships" ref="G14" r:id="R20407c04cf164002"/>
    <x:hyperlink xmlns:r="http://schemas.openxmlformats.org/officeDocument/2006/relationships" ref="G15" r:id="Ra79c3959c95d441d"/>
    <x:hyperlink xmlns:r="http://schemas.openxmlformats.org/officeDocument/2006/relationships" ref="G16" r:id="R609deacbdbe34706"/>
    <x:hyperlink xmlns:r="http://schemas.openxmlformats.org/officeDocument/2006/relationships" ref="G17" r:id="Rdb3eca4e4cc3419e"/>
    <x:hyperlink xmlns:r="http://schemas.openxmlformats.org/officeDocument/2006/relationships" ref="G18" r:id="R1314d9b69ffd49a9"/>
    <x:hyperlink xmlns:r="http://schemas.openxmlformats.org/officeDocument/2006/relationships" ref="G19" r:id="R3c86290369fd409d"/>
    <x:hyperlink xmlns:r="http://schemas.openxmlformats.org/officeDocument/2006/relationships" ref="G20" r:id="R9b5191f74e0647d5"/>
  </x:hyperlinks>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ColWidth="8.6796875" defaultRowHeight="15"/>
  <x:cols>
    <x:col min="1" max="1" width="10" hidden="0" customWidth="1"/>
    <x:col min="2" max="2" width="38" hidden="0" customWidth="1"/>
    <x:col min="3" max="3" width="11" hidden="0" customWidth="1"/>
    <x:col min="4" max="4" width="15" hidden="0" customWidth="1"/>
    <x:col min="5" max="6" width="12" hidden="0" customWidth="1"/>
    <x:col min="7" max="7" width="63" hidden="0" customWidth="1"/>
    <x:col min="8" max="8" width="27" hidden="0" customWidth="1"/>
    <x:col min="9" max="9" width="125" hidden="0" customWidth="1"/>
    <x:col min="10" max="10" width="50" hidden="0" customWidth="1"/>
    <x:col min="5" max="5" width="17" hidden="0" customWidth="1"/>
    <x:col min="6" max="6" width="18" hidden="0" customWidth="1"/>
    <x:col min="11" max="11" width="32" hidden="0" customWidth="1"/>
    <x:col min="12" max="12" width="55" hidden="0" customWidth="1"/>
    <x:col min="13" max="13" width="18" hidden="0" customWidth="1"/>
    <x:col min="14" max="14" width="18" hidden="0" customWidth="1"/>
    <x:col min="15" max="15" width="10" hidden="0" customWidth="1"/>
    <x:col min="16" max="16" width="27" hidden="0" customWidth="1"/>
    <x:col min="17" max="17" width="115" hidden="0" customWidth="1"/>
  </x:cols>
  <x:sheetData>
    <x:row r="1" ht="16.149999618530273" hidden="0">
      <x:c r="A1" s="75" t="str">
        <x:v>Published ratios — standardized calculation and independent company-convention reconstruction</x:v>
      </x:c>
      <x:c r="B1" s="75"/>
      <x:c r="C1" s="75"/>
      <x:c r="D1" s="75"/>
      <x:c r="E1" s="75"/>
      <x:c r="F1" s="75"/>
      <x:c r="G1" s="75"/>
      <x:c r="H1" s="75"/>
      <x:c r="I1" s="75"/>
      <x:c r="J1" s="75"/>
      <x:c r="K1" s="75"/>
      <x:c r="L1" s="75"/>
      <x:c r="M1" s="75"/>
      <x:c r="N1" s="75"/>
      <x:c r="O1" s="75"/>
    </x:row>
    <x:row r="2">
      <x:c r="A2" s="75" t="str">
        <x:v>544 official-source observations; baseline 44 financial failures and 10 market failures retained in column K. Numeric reproduction and officially disclosed formulas remain distinct.</x:v>
      </x:c>
      <x:c r="B2" s="75"/>
      <x:c r="C2" s="75"/>
      <x:c r="D2" s="75"/>
      <x:c r="E2" s="75"/>
      <x:c r="F2" s="75"/>
      <x:c r="G2" s="75"/>
      <x:c r="H2" s="75"/>
      <x:c r="I2" s="75"/>
      <x:c r="J2" s="75"/>
      <x:c r="K2" s="75"/>
      <x:c r="L2" s="75"/>
      <x:c r="M2" s="75"/>
      <x:c r="N2" s="75"/>
      <x:c r="O2" s="75"/>
    </x:row>
    <x:row r="3" ht="41.75" hidden="0">
      <x:c r="A3" s="75"/>
      <x:c r="B3" s="75"/>
      <x:c r="C3" s="75"/>
      <x:c r="D3" s="75"/>
      <x:c r="E3" s="75"/>
      <x:c r="F3" s="75"/>
      <x:c r="G3" s="75"/>
      <x:c r="H3" s="75"/>
      <x:c r="I3" s="75"/>
      <x:c r="J3" s="75"/>
      <x:c r="K3" s="75"/>
      <x:c r="L3" s="75"/>
      <x:c r="M3" s="75"/>
      <x:c r="N3" s="75"/>
      <x:c r="O3" s="75"/>
    </x:row>
    <x:row r="4" ht="44" hidden="0" customHeight="1">
      <x:c r="A4" s="156" t="str">
        <x:v>Company</x:v>
      </x:c>
      <x:c r="B4" s="156" t="str">
        <x:v>Published measure</x:v>
      </x:c>
      <x:c r="C4" s="156" t="str">
        <x:v>FY</x:v>
      </x:c>
      <x:c r="D4" s="156" t="str">
        <x:v>Published</x:v>
      </x:c>
      <x:c r="E4" s="156" t="str">
        <x:v>Standardized</x:v>
      </x:c>
      <x:c r="F4" s="156" t="str">
        <x:v>Reconstruction</x:v>
      </x:c>
      <x:c r="G4" s="156" t="str">
        <x:v>Convention tested</x:v>
      </x:c>
      <x:c r="H4" s="156" t="str">
        <x:v>Numeric comparison</x:v>
      </x:c>
      <x:c r="I4" s="156" t="str">
        <x:v>Investigation finding</x:v>
      </x:c>
      <x:c r="J4" s="156" t="str">
        <x:v>Official report / page</x:v>
      </x:c>
      <x:c r="K4" s="156" t="str">
        <x:v>Prior status</x:v>
      </x:c>
      <x:c r="L4" s="156" t="str">
        <x:v>Finding category</x:v>
      </x:c>
      <x:c r="M4" s="156" t="str">
        <x:v>Std minus published</x:v>
      </x:c>
      <x:c r="N4" s="156" t="str">
        <x:v>Reconstruction minus published</x:v>
      </x:c>
      <x:c r="O4" s="156" t="str">
        <x:v>Precision</x:v>
      </x:c>
      <x:c r="P4" s="181" t="str">
        <x:v>Official-glossary diagnostic</x:v>
      </x:c>
      <x:c r="Q4" s="181" t="str">
        <x:v>Diagnostic finding (not a standardized formula)</x:v>
      </x:c>
    </x:row>
    <x:row r="5" ht="112" hidden="0" customHeight="1">
      <x:c r="A5" s="157" t="str">
        <x:v>KOHC</x:v>
      </x:c>
      <x:c r="B5" s="157" t="str">
        <x:v>Current ratio</x:v>
      </x:c>
      <x:c r="C5" s="157" t="str">
        <x:v>FY2021</x:v>
      </x:c>
      <x:c r="D5" s="158" t="n">
        <x:v>1.3</x:v>
      </x:c>
      <x:c r="E5" s="158" t="n">
        <x:f>KOHC!D138</x:f>
        <x:v>1.3006446691414961</x:v>
      </x:c>
      <x:c r="F5" s="158" t="n">
        <x:f>KOHC!D36/KOHC!D61</x:f>
        <x:v>1.3006446691414961</x:v>
      </x:c>
      <x:c r="G5" s="162" t="str">
        <x:v>Standard definition</x:v>
      </x:c>
      <x:c r="H5" s="162" t="str">
        <x:f>IF(AND(ISNUMBER(D5),ISNUMBER(F5)),IF(ROUND(D5,O5)=ROUND(F5,O5),"Reproduced to precision","Unresolved published value"),"Not comparable")</x:f>
        <x:v>Reproduced to precision</x:v>
      </x:c>
      <x:c r="I5" s="162" t="str">
        <x:v>Tested the source-based convention shown in G against official published precision. Unmatched values remain unresolved; neither the standardized method nor the financial inputs were altered to force agreement.</x:v>
      </x:c>
      <x:c r="J5" s="162" t="str">
        <x:v>FY2025 AR p53 "Key financial data for the last six years" (per-share items split-adjusted 5:1)</x:v>
      </x:c>
      <x:c r="K5" s="162" t="str">
        <x:v>Agrees (same convention)</x:v>
      </x:c>
      <x:c r="L5" s="162" t="str">
        <x:v>Source comparison</x:v>
      </x:c>
      <x:c r="M5" s="157" t="n">
        <x:f>IF(ISNUMBER(E5),E5-D5,"n/m")</x:f>
        <x:v>0.0006446691414960792</x:v>
      </x:c>
      <x:c r="N5" s="157" t="n">
        <x:f>IF(ISNUMBER(F5),F5-D5,"n/m")</x:f>
        <x:v>0.0006446691414960792</x:v>
      </x:c>
      <x:c r="O5" s="157" t="n">
        <x:v>2</x:v>
      </x:c>
    </x:row>
    <x:row r="6" ht="112" hidden="0" customHeight="1">
      <x:c r="A6" s="75" t="str">
        <x:v>KOHC</x:v>
      </x:c>
      <x:c r="B6" s="75" t="str">
        <x:v>Current ratio</x:v>
      </x:c>
      <x:c r="C6" s="75" t="str">
        <x:v>FY2022</x:v>
      </x:c>
      <x:c r="D6" s="159" t="n">
        <x:v>1.87</x:v>
      </x:c>
      <x:c r="E6" s="159" t="n">
        <x:f>KOHC!E138</x:f>
        <x:v>1.8735085276109804</x:v>
      </x:c>
      <x:c r="F6" s="159" t="n">
        <x:f>KOHC!E36/KOHC!E61</x:f>
        <x:v>1.8735085276109804</x:v>
      </x:c>
      <x:c r="G6" s="163" t="str">
        <x:v>Standard definition</x:v>
      </x:c>
      <x:c r="H6" s="163" t="str">
        <x:f>IF(AND(ISNUMBER(D6),ISNUMBER(F6)),IF(ROUND(D6,O6)=ROUND(F6,O6),"Reproduced to precision","Unresolved published value"),"Not comparable")</x:f>
        <x:v>Reproduced to precision</x:v>
      </x:c>
      <x:c r="I6" s="163" t="str">
        <x:v>Tested the source-based convention shown in G against official published precision. Unmatched values remain unresolved; neither the standardized method nor the financial inputs were altered to force agreement.</x:v>
      </x:c>
      <x:c r="J6" s="163" t="str">
        <x:v>FY2025 AR p53 "Key financial data for the last six years" (per-share items split-adjusted 5:1)</x:v>
      </x:c>
      <x:c r="K6" s="163" t="str">
        <x:v>Agrees (same convention)</x:v>
      </x:c>
      <x:c r="L6" s="163" t="str">
        <x:v>Source comparison</x:v>
      </x:c>
      <x:c r="M6" s="75" t="n">
        <x:f>IF(ISNUMBER(E6),E6-D6,"n/m")</x:f>
        <x:v>0.0035085276109803054</x:v>
      </x:c>
      <x:c r="N6" s="75" t="n">
        <x:f>IF(ISNUMBER(F6),F6-D6,"n/m")</x:f>
        <x:v>0.0035085276109803054</x:v>
      </x:c>
      <x:c r="O6" s="75" t="n">
        <x:v>2</x:v>
      </x:c>
    </x:row>
    <x:row r="7" ht="112" hidden="0" customHeight="1">
      <x:c r="A7" s="157" t="str">
        <x:v>KOHC</x:v>
      </x:c>
      <x:c r="B7" s="157" t="str">
        <x:v>Current ratio</x:v>
      </x:c>
      <x:c r="C7" s="157" t="str">
        <x:v>FY2023</x:v>
      </x:c>
      <x:c r="D7" s="158" t="n">
        <x:v>2.31</x:v>
      </x:c>
      <x:c r="E7" s="158" t="n">
        <x:f>KOHC!F138</x:f>
        <x:v>2.311570515459215</x:v>
      </x:c>
      <x:c r="F7" s="158" t="n">
        <x:f>KOHC!F36/KOHC!F61</x:f>
        <x:v>2.311570515459215</x:v>
      </x:c>
      <x:c r="G7" s="162" t="str">
        <x:v>Standard definition</x:v>
      </x:c>
      <x:c r="H7" s="162" t="str">
        <x:f>IF(AND(ISNUMBER(D7),ISNUMBER(F7)),IF(ROUND(D7,O7)=ROUND(F7,O7),"Reproduced to precision","Unresolved published value"),"Not comparable")</x:f>
        <x:v>Reproduced to precision</x:v>
      </x:c>
      <x:c r="I7" s="162" t="str">
        <x:v>Tested the source-based convention shown in G against official published precision. Unmatched values remain unresolved; neither the standardized method nor the financial inputs were altered to force agreement.</x:v>
      </x:c>
      <x:c r="J7" s="162" t="str">
        <x:v>FY2025 AR p53 "Key financial data for the last six years" (per-share items split-adjusted 5:1)</x:v>
      </x:c>
      <x:c r="K7" s="162" t="str">
        <x:v>Agrees (same convention)</x:v>
      </x:c>
      <x:c r="L7" s="162" t="str">
        <x:v>Source comparison</x:v>
      </x:c>
      <x:c r="M7" s="157" t="n">
        <x:f>IF(ISNUMBER(E7),E7-D7,"n/m")</x:f>
        <x:v>0.0015705154592149384</x:v>
      </x:c>
      <x:c r="N7" s="157" t="n">
        <x:f>IF(ISNUMBER(F7),F7-D7,"n/m")</x:f>
        <x:v>0.0015705154592149384</x:v>
      </x:c>
      <x:c r="O7" s="157" t="n">
        <x:v>2</x:v>
      </x:c>
    </x:row>
    <x:row r="8" ht="112" hidden="0" customHeight="1">
      <x:c r="A8" s="75" t="str">
        <x:v>KOHC</x:v>
      </x:c>
      <x:c r="B8" s="75" t="str">
        <x:v>Current ratio</x:v>
      </x:c>
      <x:c r="C8" s="75" t="str">
        <x:v>FY2024</x:v>
      </x:c>
      <x:c r="D8" s="159" t="n">
        <x:v>2.9</x:v>
      </x:c>
      <x:c r="E8" s="159" t="n">
        <x:f>KOHC!G138</x:f>
        <x:v>2.903159053016002</x:v>
      </x:c>
      <x:c r="F8" s="159" t="n">
        <x:f>KOHC!G36/KOHC!G61</x:f>
        <x:v>2.903159053016002</x:v>
      </x:c>
      <x:c r="G8" s="163" t="str">
        <x:v>Standard definition</x:v>
      </x:c>
      <x:c r="H8" s="163" t="str">
        <x:f>IF(AND(ISNUMBER(D8),ISNUMBER(F8)),IF(ROUND(D8,O8)=ROUND(F8,O8),"Reproduced to precision","Unresolved published value"),"Not comparable")</x:f>
        <x:v>Reproduced to precision</x:v>
      </x:c>
      <x:c r="I8" s="163" t="str">
        <x:v>Tested the source-based convention shown in G against official published precision. Unmatched values remain unresolved; neither the standardized method nor the financial inputs were altered to force agreement.</x:v>
      </x:c>
      <x:c r="J8" s="163" t="str">
        <x:v>FY2025 AR p53 "Key financial data for the last six years" (per-share items split-adjusted 5:1)</x:v>
      </x:c>
      <x:c r="K8" s="163" t="str">
        <x:v>Agrees (same convention)</x:v>
      </x:c>
      <x:c r="L8" s="163" t="str">
        <x:v>Source comparison</x:v>
      </x:c>
      <x:c r="M8" s="75" t="n">
        <x:f>IF(ISNUMBER(E8),E8-D8,"n/m")</x:f>
        <x:v>0.0031590530160019448</x:v>
      </x:c>
      <x:c r="N8" s="75" t="n">
        <x:f>IF(ISNUMBER(F8),F8-D8,"n/m")</x:f>
        <x:v>0.0031590530160019448</x:v>
      </x:c>
      <x:c r="O8" s="75" t="n">
        <x:v>2</x:v>
      </x:c>
    </x:row>
    <x:row r="9" ht="112" hidden="0" customHeight="1">
      <x:c r="A9" s="157" t="str">
        <x:v>KOHC</x:v>
      </x:c>
      <x:c r="B9" s="157" t="str">
        <x:v>Current ratio</x:v>
      </x:c>
      <x:c r="C9" s="157" t="str">
        <x:v>FY2025</x:v>
      </x:c>
      <x:c r="D9" s="158" t="n">
        <x:v>3.31</x:v>
      </x:c>
      <x:c r="E9" s="158" t="n">
        <x:f>KOHC!H138</x:f>
        <x:v>3.311248687172772</x:v>
      </x:c>
      <x:c r="F9" s="158" t="n">
        <x:f>KOHC!H36/KOHC!H61</x:f>
        <x:v>3.311248687172772</x:v>
      </x:c>
      <x:c r="G9" s="162" t="str">
        <x:v>Standard definition</x:v>
      </x:c>
      <x:c r="H9" s="162" t="str">
        <x:f>IF(AND(ISNUMBER(D9),ISNUMBER(F9)),IF(ROUND(D9,O9)=ROUND(F9,O9),"Reproduced to precision","Unresolved published value"),"Not comparable")</x:f>
        <x:v>Reproduced to precision</x:v>
      </x:c>
      <x:c r="I9" s="162" t="str">
        <x:v>Tested the source-based convention shown in G against official published precision. Unmatched values remain unresolved; neither the standardized method nor the financial inputs were altered to force agreement.</x:v>
      </x:c>
      <x:c r="J9" s="162" t="str">
        <x:v>FY2025 AR p53 "Key financial data for the last six years" (per-share items split-adjusted 5:1)</x:v>
      </x:c>
      <x:c r="K9" s="162" t="str">
        <x:v>Agrees (same convention)</x:v>
      </x:c>
      <x:c r="L9" s="162" t="str">
        <x:v>Source comparison</x:v>
      </x:c>
      <x:c r="M9" s="157" t="n">
        <x:f>IF(ISNUMBER(E9),E9-D9,"n/m")</x:f>
        <x:v>0.001248687172771934</x:v>
      </x:c>
      <x:c r="N9" s="157" t="n">
        <x:f>IF(ISNUMBER(F9),F9-D9,"n/m")</x:f>
        <x:v>0.001248687172771934</x:v>
      </x:c>
      <x:c r="O9" s="157" t="n">
        <x:v>2</x:v>
      </x:c>
    </x:row>
    <x:row r="10" ht="112" hidden="0" customHeight="1">
      <x:c r="A10" s="75" t="str">
        <x:v>KOHC</x:v>
      </x:c>
      <x:c r="B10" s="75" t="str">
        <x:v>Quick ratio</x:v>
      </x:c>
      <x:c r="C10" s="75" t="str">
        <x:v>FY2021</x:v>
      </x:c>
      <x:c r="D10" s="159" t="n">
        <x:v>0.75</x:v>
      </x:c>
      <x:c r="E10" s="159" t="n">
        <x:f>KOHC!D139</x:f>
        <x:v>0.748160438555549</x:v>
      </x:c>
      <x:c r="F10" s="159" t="n">
        <x:f>(KOHC!D36-KOHC!D65)/KOHC!D61</x:f>
        <x:v>0.748160438555549</x:v>
      </x:c>
      <x:c r="G10" s="163" t="str">
        <x:v>Standard definition</x:v>
      </x:c>
      <x:c r="H10" s="163" t="str">
        <x:f>IF(AND(ISNUMBER(D10),ISNUMBER(F10)),IF(ROUND(D10,O10)=ROUND(F10,O10),"Reproduced to precision","Unresolved published value"),"Not comparable")</x:f>
        <x:v>Reproduced to precision</x:v>
      </x:c>
      <x:c r="I10" s="163" t="str">
        <x:v>Tested the source-based convention shown in G against official published precision. Unmatched values remain unresolved; neither the standardized method nor the financial inputs were altered to force agreement.</x:v>
      </x:c>
      <x:c r="J10" s="163" t="str">
        <x:v>FY2025 AR p53 "Key financial data for the last six years" (per-share items split-adjusted 5:1)</x:v>
      </x:c>
      <x:c r="K10" s="163" t="str">
        <x:v>Agrees (same convention)</x:v>
      </x:c>
      <x:c r="L10" s="163" t="str">
        <x:v>Source comparison</x:v>
      </x:c>
      <x:c r="M10" s="75" t="n">
        <x:f>IF(ISNUMBER(E10),E10-D10,"n/m")</x:f>
        <x:v>-0.0018395614444509656</x:v>
      </x:c>
      <x:c r="N10" s="75" t="n">
        <x:f>IF(ISNUMBER(F10),F10-D10,"n/m")</x:f>
        <x:v>-0.0018395614444509656</x:v>
      </x:c>
      <x:c r="O10" s="75" t="n">
        <x:v>2</x:v>
      </x:c>
    </x:row>
    <x:row r="11" ht="112" hidden="0" customHeight="1">
      <x:c r="A11" s="157" t="str">
        <x:v>KOHC</x:v>
      </x:c>
      <x:c r="B11" s="157" t="str">
        <x:v>Quick ratio</x:v>
      </x:c>
      <x:c r="C11" s="157" t="str">
        <x:v>FY2022</x:v>
      </x:c>
      <x:c r="D11" s="158" t="n">
        <x:v>1.28</x:v>
      </x:c>
      <x:c r="E11" s="158" t="n">
        <x:f>KOHC!E139</x:f>
        <x:v>1.2758070110452304</x:v>
      </x:c>
      <x:c r="F11" s="158" t="n">
        <x:f>(KOHC!E36-KOHC!E65)/KOHC!E61</x:f>
        <x:v>1.2758070110452304</x:v>
      </x:c>
      <x:c r="G11" s="162" t="str">
        <x:v>Standard definition</x:v>
      </x:c>
      <x:c r="H11" s="162" t="str">
        <x:f>IF(AND(ISNUMBER(D11),ISNUMBER(F11)),IF(ROUND(D11,O11)=ROUND(F11,O11),"Reproduced to precision","Unresolved published value"),"Not comparable")</x:f>
        <x:v>Reproduced to precision</x:v>
      </x:c>
      <x:c r="I11" s="162" t="str">
        <x:v>Tested the source-based convention shown in G against official published precision. Unmatched values remain unresolved; neither the standardized method nor the financial inputs were altered to force agreement.</x:v>
      </x:c>
      <x:c r="J11" s="162" t="str">
        <x:v>FY2025 AR p53 "Key financial data for the last six years" (per-share items split-adjusted 5:1)</x:v>
      </x:c>
      <x:c r="K11" s="162" t="str">
        <x:v>Agrees (same convention)</x:v>
      </x:c>
      <x:c r="L11" s="162" t="str">
        <x:v>Source comparison</x:v>
      </x:c>
      <x:c r="M11" s="157" t="n">
        <x:f>IF(ISNUMBER(E11),E11-D11,"n/m")</x:f>
        <x:v>-0.004192988954769605</x:v>
      </x:c>
      <x:c r="N11" s="157" t="n">
        <x:f>IF(ISNUMBER(F11),F11-D11,"n/m")</x:f>
        <x:v>-0.004192988954769605</x:v>
      </x:c>
      <x:c r="O11" s="157" t="n">
        <x:v>2</x:v>
      </x:c>
    </x:row>
    <x:row r="12" ht="112" hidden="0" customHeight="1">
      <x:c r="A12" s="75" t="str">
        <x:v>KOHC</x:v>
      </x:c>
      <x:c r="B12" s="75" t="str">
        <x:v>Quick ratio</x:v>
      </x:c>
      <x:c r="C12" s="75" t="str">
        <x:v>FY2023</x:v>
      </x:c>
      <x:c r="D12" s="159" t="n">
        <x:v>1.54</x:v>
      </x:c>
      <x:c r="E12" s="159" t="n">
        <x:f>KOHC!F139</x:f>
        <x:v>1.5392110300634694</x:v>
      </x:c>
      <x:c r="F12" s="159" t="n">
        <x:f>(KOHC!F36-KOHC!F65)/KOHC!F61</x:f>
        <x:v>1.5392110300634694</x:v>
      </x:c>
      <x:c r="G12" s="163" t="str">
        <x:v>Standard definition</x:v>
      </x:c>
      <x:c r="H12" s="163" t="str">
        <x:f>IF(AND(ISNUMBER(D12),ISNUMBER(F12)),IF(ROUND(D12,O12)=ROUND(F12,O12),"Reproduced to precision","Unresolved published value"),"Not comparable")</x:f>
        <x:v>Reproduced to precision</x:v>
      </x:c>
      <x:c r="I12" s="163" t="str">
        <x:v>Tested the source-based convention shown in G against official published precision. Unmatched values remain unresolved; neither the standardized method nor the financial inputs were altered to force agreement.</x:v>
      </x:c>
      <x:c r="J12" s="163" t="str">
        <x:v>FY2025 AR p53 "Key financial data for the last six years" (per-share items split-adjusted 5:1)</x:v>
      </x:c>
      <x:c r="K12" s="163" t="str">
        <x:v>Agrees (same convention)</x:v>
      </x:c>
      <x:c r="L12" s="163" t="str">
        <x:v>Source comparison</x:v>
      </x:c>
      <x:c r="M12" s="75" t="n">
        <x:f>IF(ISNUMBER(E12),E12-D12,"n/m")</x:f>
        <x:v>-0.0007889699365306591</x:v>
      </x:c>
      <x:c r="N12" s="75" t="n">
        <x:f>IF(ISNUMBER(F12),F12-D12,"n/m")</x:f>
        <x:v>-0.0007889699365306591</x:v>
      </x:c>
      <x:c r="O12" s="75" t="n">
        <x:v>2</x:v>
      </x:c>
    </x:row>
    <x:row r="13" ht="112" hidden="0" customHeight="1">
      <x:c r="A13" s="157" t="str">
        <x:v>KOHC</x:v>
      </x:c>
      <x:c r="B13" s="157" t="str">
        <x:v>Quick ratio</x:v>
      </x:c>
      <x:c r="C13" s="157" t="str">
        <x:v>FY2024</x:v>
      </x:c>
      <x:c r="D13" s="158" t="n">
        <x:v>2.22</x:v>
      </x:c>
      <x:c r="E13" s="158" t="n">
        <x:f>KOHC!G139</x:f>
        <x:v>2.220059339921235</x:v>
      </x:c>
      <x:c r="F13" s="158" t="n">
        <x:f>(KOHC!G36-KOHC!G65)/KOHC!G61</x:f>
        <x:v>2.220059339921235</x:v>
      </x:c>
      <x:c r="G13" s="162" t="str">
        <x:v>Standard definition</x:v>
      </x:c>
      <x:c r="H13" s="162" t="str">
        <x:f>IF(AND(ISNUMBER(D13),ISNUMBER(F13)),IF(ROUND(D13,O13)=ROUND(F13,O13),"Reproduced to precision","Unresolved published value"),"Not comparable")</x:f>
        <x:v>Reproduced to precision</x:v>
      </x:c>
      <x:c r="I13" s="162" t="str">
        <x:v>Tested the source-based convention shown in G against official published precision. Unmatched values remain unresolved; neither the standardized method nor the financial inputs were altered to force agreement.</x:v>
      </x:c>
      <x:c r="J13" s="162" t="str">
        <x:v>FY2025 AR p53 "Key financial data for the last six years" (per-share items split-adjusted 5:1)</x:v>
      </x:c>
      <x:c r="K13" s="162" t="str">
        <x:v>Agrees (same convention)</x:v>
      </x:c>
      <x:c r="L13" s="162" t="str">
        <x:v>Source comparison</x:v>
      </x:c>
      <x:c r="M13" s="157" t="n">
        <x:f>IF(ISNUMBER(E13),E13-D13,"n/m")</x:f>
        <x:v>0.000059339921234968784</x:v>
      </x:c>
      <x:c r="N13" s="157" t="n">
        <x:f>IF(ISNUMBER(F13),F13-D13,"n/m")</x:f>
        <x:v>0.000059339921234968784</x:v>
      </x:c>
      <x:c r="O13" s="157" t="n">
        <x:v>2</x:v>
      </x:c>
    </x:row>
    <x:row r="14" ht="112" hidden="0" customHeight="1">
      <x:c r="A14" s="75" t="str">
        <x:v>KOHC</x:v>
      </x:c>
      <x:c r="B14" s="75" t="str">
        <x:v>Quick ratio</x:v>
      </x:c>
      <x:c r="C14" s="75" t="str">
        <x:v>FY2025</x:v>
      </x:c>
      <x:c r="D14" s="159" t="n">
        <x:v>2.67</x:v>
      </x:c>
      <x:c r="E14" s="159" t="n">
        <x:f>KOHC!H139</x:f>
        <x:v>2.6677003784340947</x:v>
      </x:c>
      <x:c r="F14" s="159" t="n">
        <x:f>(KOHC!H36-KOHC!H65)/KOHC!H61</x:f>
        <x:v>2.6677003784340947</x:v>
      </x:c>
      <x:c r="G14" s="163" t="str">
        <x:v>Standard definition</x:v>
      </x:c>
      <x:c r="H14" s="163" t="str">
        <x:f>IF(AND(ISNUMBER(D14),ISNUMBER(F14)),IF(ROUND(D14,O14)=ROUND(F14,O14),"Reproduced to precision","Unresolved published value"),"Not comparable")</x:f>
        <x:v>Reproduced to precision</x:v>
      </x:c>
      <x:c r="I14" s="163" t="str">
        <x:v>Tested the source-based convention shown in G against official published precision. Unmatched values remain unresolved; neither the standardized method nor the financial inputs were altered to force agreement.</x:v>
      </x:c>
      <x:c r="J14" s="163" t="str">
        <x:v>FY2025 AR p53 "Key financial data for the last six years" (per-share items split-adjusted 5:1)</x:v>
      </x:c>
      <x:c r="K14" s="163" t="str">
        <x:v>Agrees (same convention)</x:v>
      </x:c>
      <x:c r="L14" s="163" t="str">
        <x:v>Source comparison</x:v>
      </x:c>
      <x:c r="M14" s="75" t="n">
        <x:f>IF(ISNUMBER(E14),E14-D14,"n/m")</x:f>
        <x:v>-0.002299621565905241</x:v>
      </x:c>
      <x:c r="N14" s="75" t="n">
        <x:f>IF(ISNUMBER(F14),F14-D14,"n/m")</x:f>
        <x:v>-0.002299621565905241</x:v>
      </x:c>
      <x:c r="O14" s="75" t="n">
        <x:v>2</x:v>
      </x:c>
    </x:row>
    <x:row r="15" ht="112" hidden="0" customHeight="1">
      <x:c r="A15" s="157" t="str">
        <x:v>KOHC</x:v>
      </x:c>
      <x:c r="B15" s="157" t="str">
        <x:v>Inventory turnover</x:v>
      </x:c>
      <x:c r="C15" s="157" t="str">
        <x:v>FY2021</x:v>
      </x:c>
      <x:c r="D15" s="158" t="n">
        <x:v>5.75</x:v>
      </x:c>
      <x:c r="E15" s="158" t="n">
        <x:f>KOHC!D144</x:f>
        <x:v>4.857098601325517</x:v>
      </x:c>
      <x:c r="F15" s="158" t="n">
        <x:f>KOHC!D84/KOHC!D65</x:f>
        <x:v>5.750475704593931</x:v>
      </x:c>
      <x:c r="G15" s="162" t="str">
        <x:v>Sales / closing stores + stock</x:v>
      </x:c>
      <x:c r="H15" s="162" t="str">
        <x:f>IF(AND(ISNUMBER(D15),ISNUMBER(F15)),IF(ROUND(D15,O15)=ROUND(F15,O15),"Reproduced to precision","Unresolved published value"),"Not comparable")</x:f>
        <x:v>Reproduced to precision</x:v>
      </x:c>
      <x:c r="I15" s="162" t="str">
        <x:v>All five values reproduce using sales / closing total inventory. The class formula remains COGS / average total inventory. This is a mathematical reconstruction using audited inputs; the report does not explicitly state the inventory-turnover formula.</x:v>
      </x:c>
      <x:c r="J15" s="162" t="str">
        <x:v>FY2025 AR p53 "Key financial data for the last six years" (per-share items split-adjusted 5:1)</x:v>
      </x:c>
      <x:c r="K15" s="162" t="str">
        <x:v>Not reproduced</x:v>
      </x:c>
      <x:c r="L15" s="162" t="str">
        <x:v>Published methodology difference (reconstructed)</x:v>
      </x:c>
      <x:c r="M15" s="157" t="n">
        <x:f>IF(ISNUMBER(E15),E15-D15,"n/m")</x:f>
        <x:v>-0.8929013986744829</x:v>
      </x:c>
      <x:c r="N15" s="157" t="n">
        <x:f>IF(ISNUMBER(F15),F15-D15,"n/m")</x:f>
        <x:v>0.0004757045939314253</x:v>
      </x:c>
      <x:c r="O15" s="157" t="n">
        <x:v>2</x:v>
      </x:c>
    </x:row>
    <x:row r="16" ht="112" hidden="0" customHeight="1">
      <x:c r="A16" s="75" t="str">
        <x:v>KOHC</x:v>
      </x:c>
      <x:c r="B16" s="75" t="str">
        <x:v>Inventory turnover</x:v>
      </x:c>
      <x:c r="C16" s="75" t="str">
        <x:v>FY2022</x:v>
      </x:c>
      <x:c r="D16" s="159" t="n">
        <x:v>5.8</x:v>
      </x:c>
      <x:c r="E16" s="159" t="n">
        <x:f>KOHC!E144</x:f>
        <x:v>4.681131721571692</x:v>
      </x:c>
      <x:c r="F16" s="159" t="n">
        <x:f>KOHC!E84/KOHC!E65</x:f>
        <x:v>5.797395154156407</x:v>
      </x:c>
      <x:c r="G16" s="163" t="str">
        <x:v>Sales / closing stores + stock</x:v>
      </x:c>
      <x:c r="H16" s="163" t="str">
        <x:f>IF(AND(ISNUMBER(D16),ISNUMBER(F16)),IF(ROUND(D16,O16)=ROUND(F16,O16),"Reproduced to precision","Unresolved published value"),"Not comparable")</x:f>
        <x:v>Reproduced to precision</x:v>
      </x:c>
      <x:c r="I16" s="163" t="str">
        <x:v>All five values reproduce using sales / closing total inventory. The class formula remains COGS / average total inventory. This is a mathematical reconstruction using audited inputs; the report does not explicitly state the inventory-turnover formula.</x:v>
      </x:c>
      <x:c r="J16" s="163" t="str">
        <x:v>FY2025 AR p53 "Key financial data for the last six years" (per-share items split-adjusted 5:1)</x:v>
      </x:c>
      <x:c r="K16" s="163" t="str">
        <x:v>Not reproduced</x:v>
      </x:c>
      <x:c r="L16" s="163" t="str">
        <x:v>Published methodology difference (reconstructed)</x:v>
      </x:c>
      <x:c r="M16" s="75" t="n">
        <x:f>IF(ISNUMBER(E16),E16-D16,"n/m")</x:f>
        <x:v>-1.118868278428308</x:v>
      </x:c>
      <x:c r="N16" s="75" t="n">
        <x:f>IF(ISNUMBER(F16),F16-D16,"n/m")</x:f>
        <x:v>-0.0026048458435932176</x:v>
      </x:c>
      <x:c r="O16" s="75" t="n">
        <x:v>2</x:v>
      </x:c>
    </x:row>
    <x:row r="17" ht="112" hidden="0" customHeight="1">
      <x:c r="A17" s="157" t="str">
        <x:v>KOHC</x:v>
      </x:c>
      <x:c r="B17" s="157" t="str">
        <x:v>Inventory turnover</x:v>
      </x:c>
      <x:c r="C17" s="157" t="str">
        <x:v>FY2023</x:v>
      </x:c>
      <x:c r="D17" s="158" t="n">
        <x:v>5.08</x:v>
      </x:c>
      <x:c r="E17" s="158" t="n">
        <x:f>KOHC!F144</x:f>
        <x:v>4.275379143771386</x:v>
      </x:c>
      <x:c r="F17" s="158" t="n">
        <x:f>KOHC!F84/KOHC!F65</x:f>
        <x:v>5.083813935171444</x:v>
      </x:c>
      <x:c r="G17" s="162" t="str">
        <x:v>Sales / closing stores + stock</x:v>
      </x:c>
      <x:c r="H17" s="162" t="str">
        <x:f>IF(AND(ISNUMBER(D17),ISNUMBER(F17)),IF(ROUND(D17,O17)=ROUND(F17,O17),"Reproduced to precision","Unresolved published value"),"Not comparable")</x:f>
        <x:v>Reproduced to precision</x:v>
      </x:c>
      <x:c r="I17" s="162" t="str">
        <x:v>All five values reproduce using sales / closing total inventory. The class formula remains COGS / average total inventory. This is a mathematical reconstruction using audited inputs; the report does not explicitly state the inventory-turnover formula.</x:v>
      </x:c>
      <x:c r="J17" s="162" t="str">
        <x:v>FY2025 AR p53 "Key financial data for the last six years" (per-share items split-adjusted 5:1)</x:v>
      </x:c>
      <x:c r="K17" s="162" t="str">
        <x:v>Not reproduced</x:v>
      </x:c>
      <x:c r="L17" s="162" t="str">
        <x:v>Published methodology difference (reconstructed)</x:v>
      </x:c>
      <x:c r="M17" s="157" t="n">
        <x:f>IF(ISNUMBER(E17),E17-D17,"n/m")</x:f>
        <x:v>-0.8046208562286141</x:v>
      </x:c>
      <x:c r="N17" s="157" t="n">
        <x:f>IF(ISNUMBER(F17),F17-D17,"n/m")</x:f>
        <x:v>0.0038139351714443492</x:v>
      </x:c>
      <x:c r="O17" s="157" t="n">
        <x:v>2</x:v>
      </x:c>
    </x:row>
    <x:row r="18" ht="112" hidden="0" customHeight="1">
      <x:c r="A18" s="75" t="str">
        <x:v>KOHC</x:v>
      </x:c>
      <x:c r="B18" s="75" t="str">
        <x:v>Inventory turnover</x:v>
      </x:c>
      <x:c r="C18" s="75" t="str">
        <x:v>FY2024</x:v>
      </x:c>
      <x:c r="D18" s="159" t="n">
        <x:v>5.1</x:v>
      </x:c>
      <x:c r="E18" s="159" t="n">
        <x:f>KOHC!G144</x:f>
        <x:v>3.5957369645110586</x:v>
      </x:c>
      <x:c r="F18" s="159" t="n">
        <x:f>KOHC!G84/KOHC!G65</x:f>
        <x:v>5.099036305563072</x:v>
      </x:c>
      <x:c r="G18" s="163" t="str">
        <x:v>Sales / closing stores + stock</x:v>
      </x:c>
      <x:c r="H18" s="163" t="str">
        <x:f>IF(AND(ISNUMBER(D18),ISNUMBER(F18)),IF(ROUND(D18,O18)=ROUND(F18,O18),"Reproduced to precision","Unresolved published value"),"Not comparable")</x:f>
        <x:v>Reproduced to precision</x:v>
      </x:c>
      <x:c r="I18" s="163" t="str">
        <x:v>All five values reproduce using sales / closing total inventory. The class formula remains COGS / average total inventory. This is a mathematical reconstruction using audited inputs; the report does not explicitly state the inventory-turnover formula.</x:v>
      </x:c>
      <x:c r="J18" s="163" t="str">
        <x:v>FY2025 AR p53 "Key financial data for the last six years" (per-share items split-adjusted 5:1)</x:v>
      </x:c>
      <x:c r="K18" s="163" t="str">
        <x:v>Not reproduced</x:v>
      </x:c>
      <x:c r="L18" s="163" t="str">
        <x:v>Published methodology difference (reconstructed)</x:v>
      </x:c>
      <x:c r="M18" s="75" t="n">
        <x:f>IF(ISNUMBER(E18),E18-D18,"n/m")</x:f>
        <x:v>-1.504263035488941</x:v>
      </x:c>
      <x:c r="N18" s="75" t="n">
        <x:f>IF(ISNUMBER(F18),F18-D18,"n/m")</x:f>
        <x:v>-0.0009636944369280087</x:v>
      </x:c>
      <x:c r="O18" s="75" t="n">
        <x:v>2</x:v>
      </x:c>
    </x:row>
    <x:row r="19" ht="112" hidden="0" customHeight="1">
      <x:c r="A19" s="157" t="str">
        <x:v>KOHC</x:v>
      </x:c>
      <x:c r="B19" s="157" t="str">
        <x:v>Inventory turnover</x:v>
      </x:c>
      <x:c r="C19" s="157" t="str">
        <x:v>FY2025</x:v>
      </x:c>
      <x:c r="D19" s="158" t="n">
        <x:v>5</x:v>
      </x:c>
      <x:c r="E19" s="158" t="n">
        <x:f>KOHC!H144</x:f>
        <x:v>3.024880626442934</x:v>
      </x:c>
      <x:c r="F19" s="158" t="n">
        <x:f>KOHC!H84/KOHC!H65</x:f>
        <x:v>5.001513715758775</x:v>
      </x:c>
      <x:c r="G19" s="162" t="str">
        <x:v>Sales / closing stores + stock</x:v>
      </x:c>
      <x:c r="H19" s="162" t="str">
        <x:f>IF(AND(ISNUMBER(D19),ISNUMBER(F19)),IF(ROUND(D19,O19)=ROUND(F19,O19),"Reproduced to precision","Unresolved published value"),"Not comparable")</x:f>
        <x:v>Reproduced to precision</x:v>
      </x:c>
      <x:c r="I19" s="162" t="str">
        <x:v>All five values reproduce using sales / closing total inventory. The class formula remains COGS / average total inventory. This is a mathematical reconstruction using audited inputs; the report does not explicitly state the inventory-turnover formula.</x:v>
      </x:c>
      <x:c r="J19" s="162" t="str">
        <x:v>FY2025 AR p53 "Key financial data for the last six years" (per-share items split-adjusted 5:1)</x:v>
      </x:c>
      <x:c r="K19" s="162" t="str">
        <x:v>Not reproduced</x:v>
      </x:c>
      <x:c r="L19" s="162" t="str">
        <x:v>Published methodology difference (reconstructed)</x:v>
      </x:c>
      <x:c r="M19" s="157" t="n">
        <x:f>IF(ISNUMBER(E19),E19-D19,"n/m")</x:f>
        <x:v>-1.975119373557066</x:v>
      </x:c>
      <x:c r="N19" s="157" t="n">
        <x:f>IF(ISNUMBER(F19),F19-D19,"n/m")</x:f>
        <x:v>0.0015137157587750139</x:v>
      </x:c>
      <x:c r="O19" s="157" t="n">
        <x:v>2</x:v>
      </x:c>
    </x:row>
    <x:row r="20" ht="112" hidden="0" customHeight="1">
      <x:c r="A20" s="75" t="str">
        <x:v>KOHC</x:v>
      </x:c>
      <x:c r="B20" s="75" t="str">
        <x:v>Days in receivables</x:v>
      </x:c>
      <x:c r="C20" s="75" t="str">
        <x:v>FY2021</x:v>
      </x:c>
      <x:c r="D20" s="159" t="n">
        <x:v>14.92</x:v>
      </x:c>
      <x:c r="E20" s="159" t="n">
        <x:f>KOHC!D148</x:f>
        <x:v>11.211269503464973</x:v>
      </x:c>
      <x:c r="F20" s="159" t="n">
        <x:f>365*KOHC!D32/KOHC!D84</x:f>
        <x:v>14.922758056172961</x:v>
      </x:c>
      <x:c r="G20" s="163" t="str">
        <x:v>365 x closing trade debts / sales</x:v>
      </x:c>
      <x:c r="H20" s="163" t="str">
        <x:f>IF(AND(ISNUMBER(D20),ISNUMBER(F20)),IF(ROUND(D20,O20)=ROUND(F20,O20),"Reproduced to precision","Unresolved published value"),"Not comparable")</x:f>
        <x:v>Reproduced to precision</x:v>
      </x:c>
      <x:c r="I20" s="163" t="str">
        <x:v>Tested the source-based convention shown in G against official published precision. Unmatched values remain unresolved; neither the standardized method nor the financial inputs were altered to force agreement.</x:v>
      </x:c>
      <x:c r="J20" s="163" t="str">
        <x:v>FY2025 AR p53 "Key financial data for the last six years" (per-share items split-adjusted 5:1)</x:v>
      </x:c>
      <x:c r="K20" s="163" t="str">
        <x:v>Reconciled (company convention)</x:v>
      </x:c>
      <x:c r="L20" s="163" t="str">
        <x:v>Source comparison</x:v>
      </x:c>
      <x:c r="M20" s="75" t="n">
        <x:f>IF(ISNUMBER(E20),E20-D20,"n/m")</x:f>
        <x:v>-3.7087304965350274</x:v>
      </x:c>
      <x:c r="N20" s="75" t="n">
        <x:f>IF(ISNUMBER(F20),F20-D20,"n/m")</x:f>
        <x:v>0.0027580561729614317</x:v>
      </x:c>
      <x:c r="O20" s="75" t="n">
        <x:v>2</x:v>
      </x:c>
    </x:row>
    <x:row r="21" ht="112" hidden="0" customHeight="1">
      <x:c r="A21" s="157" t="str">
        <x:v>KOHC</x:v>
      </x:c>
      <x:c r="B21" s="157" t="str">
        <x:v>Days in receivables</x:v>
      </x:c>
      <x:c r="C21" s="157" t="str">
        <x:v>FY2022</x:v>
      </x:c>
      <x:c r="D21" s="158" t="n">
        <x:v>10.17</x:v>
      </x:c>
      <x:c r="E21" s="158" t="n">
        <x:f>KOHC!E148</x:f>
        <x:v>10.544725482358297</x:v>
      </x:c>
      <x:c r="F21" s="158" t="n">
        <x:f>365*KOHC!E32/KOHC!E84</x:f>
        <x:v>10.169873255714595</x:v>
      </x:c>
      <x:c r="G21" s="162" t="str">
        <x:v>365 x closing trade debts / sales</x:v>
      </x:c>
      <x:c r="H21" s="162" t="str">
        <x:f>IF(AND(ISNUMBER(D21),ISNUMBER(F21)),IF(ROUND(D21,O21)=ROUND(F21,O21),"Reproduced to precision","Unresolved published value"),"Not comparable")</x:f>
        <x:v>Reproduced to precision</x:v>
      </x:c>
      <x:c r="I21" s="162" t="str">
        <x:v>Tested the source-based convention shown in G against official published precision. Unmatched values remain unresolved; neither the standardized method nor the financial inputs were altered to force agreement.</x:v>
      </x:c>
      <x:c r="J21" s="162" t="str">
        <x:v>FY2025 AR p53 "Key financial data for the last six years" (per-share items split-adjusted 5:1)</x:v>
      </x:c>
      <x:c r="K21" s="162" t="str">
        <x:v>Reconciled (company convention)</x:v>
      </x:c>
      <x:c r="L21" s="162" t="str">
        <x:v>Source comparison</x:v>
      </x:c>
      <x:c r="M21" s="157" t="n">
        <x:f>IF(ISNUMBER(E21),E21-D21,"n/m")</x:f>
        <x:v>0.37472548235829706</x:v>
      </x:c>
      <x:c r="N21" s="157" t="n">
        <x:f>IF(ISNUMBER(F21),F21-D21,"n/m")</x:f>
        <x:v>-0.00012674428540471183</x:v>
      </x:c>
      <x:c r="O21" s="157" t="n">
        <x:v>2</x:v>
      </x:c>
    </x:row>
    <x:row r="22" ht="112" hidden="0" customHeight="1">
      <x:c r="A22" s="75" t="str">
        <x:v>KOHC</x:v>
      </x:c>
      <x:c r="B22" s="75" t="str">
        <x:v>Days in receivables</x:v>
      </x:c>
      <x:c r="C22" s="75" t="str">
        <x:v>FY2023</x:v>
      </x:c>
      <x:c r="D22" s="159" t="n">
        <x:v>11.31</x:v>
      </x:c>
      <x:c r="E22" s="159" t="n">
        <x:f>KOHC!F148</x:f>
        <x:v>9.947955437848785</x:v>
      </x:c>
      <x:c r="F22" s="159" t="n">
        <x:f>365*KOHC!F32/KOHC!F84</x:f>
        <x:v>11.305459750549767</x:v>
      </x:c>
      <x:c r="G22" s="163" t="str">
        <x:v>365 x closing trade debts / sales</x:v>
      </x:c>
      <x:c r="H22" s="163" t="str">
        <x:f>IF(AND(ISNUMBER(D22),ISNUMBER(F22)),IF(ROUND(D22,O22)=ROUND(F22,O22),"Reproduced to precision","Unresolved published value"),"Not comparable")</x:f>
        <x:v>Reproduced to precision</x:v>
      </x:c>
      <x:c r="I22" s="163" t="str">
        <x:v>Tested the source-based convention shown in G against official published precision. Unmatched values remain unresolved; neither the standardized method nor the financial inputs were altered to force agreement.</x:v>
      </x:c>
      <x:c r="J22" s="163" t="str">
        <x:v>FY2025 AR p53 "Key financial data for the last six years" (per-share items split-adjusted 5:1)</x:v>
      </x:c>
      <x:c r="K22" s="163" t="str">
        <x:v>Reconciled (company convention)</x:v>
      </x:c>
      <x:c r="L22" s="163" t="str">
        <x:v>Source comparison</x:v>
      </x:c>
      <x:c r="M22" s="75" t="n">
        <x:f>IF(ISNUMBER(E22),E22-D22,"n/m")</x:f>
        <x:v>-1.3620445621512154</x:v>
      </x:c>
      <x:c r="N22" s="75" t="n">
        <x:f>IF(ISNUMBER(F22),F22-D22,"n/m")</x:f>
        <x:v>-0.004540249450233347</x:v>
      </x:c>
      <x:c r="O22" s="75" t="n">
        <x:v>2</x:v>
      </x:c>
    </x:row>
    <x:row r="23" ht="112" hidden="0" customHeight="1">
      <x:c r="A23" s="157" t="str">
        <x:v>KOHC</x:v>
      </x:c>
      <x:c r="B23" s="157" t="str">
        <x:v>Days in receivables</x:v>
      </x:c>
      <x:c r="C23" s="157" t="str">
        <x:v>FY2024</x:v>
      </x:c>
      <x:c r="D23" s="158" t="n">
        <x:v>19.93</x:v>
      </x:c>
      <x:c r="E23" s="158" t="n">
        <x:f>KOHC!G148</x:f>
        <x:v>15.65766316675557</x:v>
      </x:c>
      <x:c r="F23" s="158" t="n">
        <x:f>365*KOHC!G32/KOHC!G84</x:f>
        <x:v>19.929753376392476</x:v>
      </x:c>
      <x:c r="G23" s="162" t="str">
        <x:v>365 x closing trade debts / sales</x:v>
      </x:c>
      <x:c r="H23" s="162" t="str">
        <x:f>IF(AND(ISNUMBER(D23),ISNUMBER(F23)),IF(ROUND(D23,O23)=ROUND(F23,O23),"Reproduced to precision","Unresolved published value"),"Not comparable")</x:f>
        <x:v>Reproduced to precision</x:v>
      </x:c>
      <x:c r="I23" s="162" t="str">
        <x:v>Tested the source-based convention shown in G against official published precision. Unmatched values remain unresolved; neither the standardized method nor the financial inputs were altered to force agreement.</x:v>
      </x:c>
      <x:c r="J23" s="162" t="str">
        <x:v>FY2025 AR p53 "Key financial data for the last six years" (per-share items split-adjusted 5:1)</x:v>
      </x:c>
      <x:c r="K23" s="162" t="str">
        <x:v>Reconciled (company convention)</x:v>
      </x:c>
      <x:c r="L23" s="162" t="str">
        <x:v>Source comparison</x:v>
      </x:c>
      <x:c r="M23" s="157" t="n">
        <x:f>IF(ISNUMBER(E23),E23-D23,"n/m")</x:f>
        <x:v>-4.272336833244429</x:v>
      </x:c>
      <x:c r="N23" s="157" t="n">
        <x:f>IF(ISNUMBER(F23),F23-D23,"n/m")</x:f>
        <x:v>-0.00024662360752358836</x:v>
      </x:c>
      <x:c r="O23" s="157" t="n">
        <x:v>2</x:v>
      </x:c>
    </x:row>
    <x:row r="24" ht="112" hidden="0" customHeight="1">
      <x:c r="A24" s="75" t="str">
        <x:v>KOHC</x:v>
      </x:c>
      <x:c r="B24" s="75" t="str">
        <x:v>Days in receivables</x:v>
      </x:c>
      <x:c r="C24" s="75" t="str">
        <x:v>FY2025</x:v>
      </x:c>
      <x:c r="D24" s="159" t="n">
        <x:v>16.46</x:v>
      </x:c>
      <x:c r="E24" s="159" t="n">
        <x:f>KOHC!H148</x:f>
        <x:v>18.487732733839078</x:v>
      </x:c>
      <x:c r="F24" s="159" t="n">
        <x:f>365*KOHC!H32/KOHC!H84</x:f>
        <x:v>16.455254665788708</x:v>
      </x:c>
      <x:c r="G24" s="163" t="str">
        <x:v>365 x closing trade debts / sales</x:v>
      </x:c>
      <x:c r="H24" s="163" t="str">
        <x:f>IF(AND(ISNUMBER(D24),ISNUMBER(F24)),IF(ROUND(D24,O24)=ROUND(F24,O24),"Reproduced to precision","Unresolved published value"),"Not comparable")</x:f>
        <x:v>Reproduced to precision</x:v>
      </x:c>
      <x:c r="I24" s="163" t="str">
        <x:v>Tested the source-based convention shown in G against official published precision. Unmatched values remain unresolved; neither the standardized method nor the financial inputs were altered to force agreement.</x:v>
      </x:c>
      <x:c r="J24" s="163" t="str">
        <x:v>FY2025 AR p53 "Key financial data for the last six years" (per-share items split-adjusted 5:1)</x:v>
      </x:c>
      <x:c r="K24" s="163" t="str">
        <x:v>Reconciled (company convention)</x:v>
      </x:c>
      <x:c r="L24" s="163" t="str">
        <x:v>Source comparison</x:v>
      </x:c>
      <x:c r="M24" s="75" t="n">
        <x:f>IF(ISNUMBER(E24),E24-D24,"n/m")</x:f>
        <x:v>2.027732733839077</x:v>
      </x:c>
      <x:c r="N24" s="75" t="n">
        <x:f>IF(ISNUMBER(F24),F24-D24,"n/m")</x:f>
        <x:v>-0.004745334211293084</x:v>
      </x:c>
      <x:c r="O24" s="75" t="n">
        <x:v>2</x:v>
      </x:c>
    </x:row>
    <x:row r="25" ht="112" hidden="0" customHeight="1">
      <x:c r="A25" s="157" t="str">
        <x:v>KOHC</x:v>
      </x:c>
      <x:c r="B25" s="157" t="str">
        <x:v>Days in payables</x:v>
      </x:c>
      <x:c r="C25" s="157" t="str">
        <x:v>FY2021</x:v>
      </x:c>
      <x:c r="D25" s="158" t="n">
        <x:v>33.74</x:v>
      </x:c>
      <x:c r="E25" s="158" t="n">
        <x:f>KOHC!D149</x:f>
        <x:v>26.695664391757177</x:v>
      </x:c>
      <x:c r="F25" s="158" t="n">
        <x:f>365/((-KOHC!D85)/(KOHC!D51+KOHC!D254))</x:f>
        <x:v>33.73694089282395</x:v>
      </x:c>
      <x:c r="G25" s="162" t="str">
        <x:v>COGS / closing (trade creditors + contractors bills)</x:v>
      </x:c>
      <x:c r="H25" s="162" t="str">
        <x:f>IF(AND(ISNUMBER(D25),ISNUMBER(F25)),IF(ROUND(D25,O25)=ROUND(F25,O25),"Reproduced to precision","Unresolved published value"),"Not comparable")</x:f>
        <x:v>Reproduced to precision</x:v>
      </x:c>
      <x:c r="I25"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5" s="162" t="str">
        <x:v>FY2025 AR p53 "Key financial data for the last six years" (per-share items split-adjusted 5:1)</x:v>
      </x:c>
      <x:c r="K25" s="162" t="str">
        <x:v>Not reproduced</x:v>
      </x:c>
      <x:c r="L25" s="162" t="str">
        <x:v>Published methodology difference (reconstructed)</x:v>
      </x:c>
      <x:c r="M25" s="157" t="n">
        <x:f>IF(ISNUMBER(E25),E25-D25,"n/m")</x:f>
        <x:v>-7.044335608242825</x:v>
      </x:c>
      <x:c r="N25" s="157" t="n">
        <x:f>IF(ISNUMBER(F25),F25-D25,"n/m")</x:f>
        <x:v>-0.0030591071760497357</x:v>
      </x:c>
      <x:c r="O25" s="157" t="n">
        <x:v>2</x:v>
      </x:c>
    </x:row>
    <x:row r="26" ht="112" hidden="0" customHeight="1">
      <x:c r="A26" s="75" t="str">
        <x:v>KOHC</x:v>
      </x:c>
      <x:c r="B26" s="75" t="str">
        <x:v>Days in payables</x:v>
      </x:c>
      <x:c r="C26" s="75" t="str">
        <x:v>FY2022</x:v>
      </x:c>
      <x:c r="D26" s="159" t="n">
        <x:v>20.97</x:v>
      </x:c>
      <x:c r="E26" s="159" t="n">
        <x:f>KOHC!E149</x:f>
        <x:v>22.44512723840719</x:v>
      </x:c>
      <x:c r="F26" s="159" t="n">
        <x:f>365/((-KOHC!E85)/(KOHC!E51+KOHC!E254))</x:f>
        <x:v>20.968251547409185</x:v>
      </x:c>
      <x:c r="G26" s="163" t="str">
        <x:v>COGS / closing (trade creditors + contractors bills)</x:v>
      </x:c>
      <x:c r="H26" s="163" t="str">
        <x:f>IF(AND(ISNUMBER(D26),ISNUMBER(F26)),IF(ROUND(D26,O26)=ROUND(F26,O26),"Reproduced to precision","Unresolved published value"),"Not comparable")</x:f>
        <x:v>Reproduced to precision</x:v>
      </x:c>
      <x:c r="I26" s="163"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 s="163" t="str">
        <x:v>FY2025 AR p53 "Key financial data for the last six years" (per-share items split-adjusted 5:1)</x:v>
      </x:c>
      <x:c r="K26" s="163" t="str">
        <x:v>Not reproduced</x:v>
      </x:c>
      <x:c r="L26" s="163" t="str">
        <x:v>Published methodology difference (reconstructed)</x:v>
      </x:c>
      <x:c r="M26" s="75" t="n">
        <x:f>IF(ISNUMBER(E26),E26-D26,"n/m")</x:f>
        <x:v>1.4751272384071896</x:v>
      </x:c>
      <x:c r="N26" s="75" t="n">
        <x:f>IF(ISNUMBER(F26),F26-D26,"n/m")</x:f>
        <x:v>-0.0017484525908137982</x:v>
      </x:c>
      <x:c r="O26" s="75" t="n">
        <x:v>2</x:v>
      </x:c>
    </x:row>
    <x:row r="27" ht="112" hidden="0" customHeight="1">
      <x:c r="A27" s="157" t="str">
        <x:v>KOHC</x:v>
      </x:c>
      <x:c r="B27" s="157" t="str">
        <x:v>Days in payables</x:v>
      </x:c>
      <x:c r="C27" s="157" t="str">
        <x:v>FY2023</x:v>
      </x:c>
      <x:c r="D27" s="158" t="n">
        <x:v>9.14</x:v>
      </x:c>
      <x:c r="E27" s="158" t="n">
        <x:f>KOHC!F149</x:f>
        <x:v>12.531624662163896</x:v>
      </x:c>
      <x:c r="F27" s="158" t="n">
        <x:f>365/((-KOHC!F85)/(KOHC!F51+KOHC!F254))</x:f>
        <x:v>9.138381657647281</x:v>
      </x:c>
      <x:c r="G27" s="162" t="str">
        <x:v>COGS / closing (trade creditors + contractors bills)</x:v>
      </x:c>
      <x:c r="H27" s="162" t="str">
        <x:f>IF(AND(ISNUMBER(D27),ISNUMBER(F27)),IF(ROUND(D27,O27)=ROUND(F27,O27),"Reproduced to precision","Unresolved published value"),"Not comparable")</x:f>
        <x:v>Reproduced to precision</x:v>
      </x:c>
      <x:c r="I27"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7" s="162" t="str">
        <x:v>FY2025 AR p53 "Key financial data for the last six years" (per-share items split-adjusted 5:1)</x:v>
      </x:c>
      <x:c r="K27" s="162" t="str">
        <x:v>Not reproduced</x:v>
      </x:c>
      <x:c r="L27" s="162" t="str">
        <x:v>Published methodology difference (reconstructed)</x:v>
      </x:c>
      <x:c r="M27" s="157" t="n">
        <x:f>IF(ISNUMBER(E27),E27-D27,"n/m")</x:f>
        <x:v>3.3916246621638955</x:v>
      </x:c>
      <x:c r="N27" s="157" t="n">
        <x:f>IF(ISNUMBER(F27),F27-D27,"n/m")</x:f>
        <x:v>-0.001618342352719182</x:v>
      </x:c>
      <x:c r="O27" s="157" t="n">
        <x:v>2</x:v>
      </x:c>
    </x:row>
    <x:row r="28" ht="112" hidden="0" customHeight="1">
      <x:c r="A28" s="75" t="str">
        <x:v>KOHC</x:v>
      </x:c>
      <x:c r="B28" s="75" t="str">
        <x:v>Days in payables</x:v>
      </x:c>
      <x:c r="C28" s="75" t="str">
        <x:v>FY2024</x:v>
      </x:c>
      <x:c r="D28" s="159" t="n">
        <x:v>24.36</x:v>
      </x:c>
      <x:c r="E28" s="159" t="n">
        <x:f>KOHC!G149</x:f>
        <x:v>16.36441117170576</x:v>
      </x:c>
      <x:c r="F28" s="159" t="n">
        <x:f>365/((-KOHC!G85)/(KOHC!G51+KOHC!G254))</x:f>
        <x:v>24.35724084564721</x:v>
      </x:c>
      <x:c r="G28" s="163" t="str">
        <x:v>COGS / closing (trade creditors + contractors bills)</x:v>
      </x:c>
      <x:c r="H28" s="163" t="str">
        <x:f>IF(AND(ISNUMBER(D28),ISNUMBER(F28)),IF(ROUND(D28,O28)=ROUND(F28,O28),"Reproduced to precision","Unresolved published value"),"Not comparable")</x:f>
        <x:v>Reproduced to precision</x:v>
      </x:c>
      <x:c r="I28" s="163"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8" s="163" t="str">
        <x:v>FY2025 AR p53 "Key financial data for the last six years" (per-share items split-adjusted 5:1)</x:v>
      </x:c>
      <x:c r="K28" s="163" t="str">
        <x:v>Not reproduced</x:v>
      </x:c>
      <x:c r="L28" s="163" t="str">
        <x:v>Published methodology difference (reconstructed)</x:v>
      </x:c>
      <x:c r="M28" s="75" t="n">
        <x:f>IF(ISNUMBER(E28),E28-D28,"n/m")</x:f>
        <x:v>-7.995588828294238</x:v>
      </x:c>
      <x:c r="N28" s="75" t="n">
        <x:f>IF(ISNUMBER(F28),F28-D28,"n/m")</x:f>
        <x:v>-0.002759154352791171</x:v>
      </x:c>
      <x:c r="O28" s="75" t="n">
        <x:v>2</x:v>
      </x:c>
    </x:row>
    <x:row r="29" ht="112" hidden="0" customHeight="1">
      <x:c r="A29" s="157" t="str">
        <x:v>KOHC</x:v>
      </x:c>
      <x:c r="B29" s="157" t="str">
        <x:v>Days in payables</x:v>
      </x:c>
      <x:c r="C29" s="157" t="str">
        <x:v>FY2025</x:v>
      </x:c>
      <x:c r="D29" s="158" t="n">
        <x:v>34.79</x:v>
      </x:c>
      <x:c r="E29" s="158" t="n">
        <x:f>KOHC!H149</x:f>
        <x:v>31.10648886452127</x:v>
      </x:c>
      <x:c r="F29" s="158" t="n">
        <x:f>365/((-KOHC!H85)/(KOHC!H51+KOHC!H254))</x:f>
        <x:v>34.78887019016474</x:v>
      </x:c>
      <x:c r="G29" s="162" t="str">
        <x:v>COGS / closing (trade creditors + contractors bills)</x:v>
      </x:c>
      <x:c r="H29" s="162" t="str">
        <x:f>IF(AND(ISNUMBER(D29),ISNUMBER(F29)),IF(ROUND(D29,O29)=ROUND(F29,O29),"Reproduced to precision","Unresolved published value"),"Not comparable")</x:f>
        <x:v>Reproduced to precision</x:v>
      </x:c>
      <x:c r="I29"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9" s="162" t="str">
        <x:v>FY2025 AR p53 "Key financial data for the last six years" (per-share items split-adjusted 5:1)</x:v>
      </x:c>
      <x:c r="K29" s="162" t="str">
        <x:v>Not reproduced</x:v>
      </x:c>
      <x:c r="L29" s="162" t="str">
        <x:v>Published methodology difference (reconstructed)</x:v>
      </x:c>
      <x:c r="M29" s="157" t="n">
        <x:f>IF(ISNUMBER(E29),E29-D29,"n/m")</x:f>
        <x:v>-3.683511135478728</x:v>
      </x:c>
      <x:c r="N29" s="157" t="n">
        <x:f>IF(ISNUMBER(F29),F29-D29,"n/m")</x:f>
        <x:v>-0.001129809835262563</x:v>
      </x:c>
      <x:c r="O29" s="157" t="n">
        <x:v>2</x:v>
      </x:c>
    </x:row>
    <x:row r="30" ht="112" hidden="0" customHeight="1">
      <x:c r="A30" s="75" t="str">
        <x:v>KOHC</x:v>
      </x:c>
      <x:c r="B30" s="75" t="str">
        <x:v>Cash conversion cycle</x:v>
      </x:c>
      <x:c r="C30" s="75" t="str">
        <x:v>FY2021</x:v>
      </x:c>
      <x:c r="D30" s="159" t="n">
        <x:v>44.66</x:v>
      </x:c>
      <x:c r="E30" s="159" t="n">
        <x:f>KOHC!D151</x:f>
        <x:v>59.66334864328658</x:v>
      </x:c>
      <x:c r="F30" s="159" t="n">
        <x:f>365*KOHC!D65/KOHC!D84+365*KOHC!D32/KOHC!D84-365*(KOHC!D51+KOHC!D254)/(-KOHC!D85)</x:f>
        <x:v>44.65882683251591</x:v>
      </x:c>
      <x:c r="G30" s="163" t="str">
        <x:v>Company component conventions; independent raw reconstruction</x:v>
      </x:c>
      <x:c r="H30" s="163" t="str">
        <x:f>IF(AND(ISNUMBER(D30),ISNUMBER(F30)),IF(ROUND(D30,O30)=ROUND(F30,O30),"Reproduced to precision","Unresolved published value"),"Not comparable")</x:f>
        <x:v>Reproduced to precision</x:v>
      </x:c>
      <x:c r="I30" s="163" t="str">
        <x:v>Tested the source-based convention shown in G against official published precision. Unmatched values remain unresolved; neither the standardized method nor the financial inputs were altered to force agreement.</x:v>
      </x:c>
      <x:c r="J30" s="163" t="str">
        <x:v>FY2025 AR p53 "Key financial data for the last six years" (per-share items split-adjusted 5:1)</x:v>
      </x:c>
      <x:c r="K30" s="163" t="str">
        <x:v>See components</x:v>
      </x:c>
      <x:c r="L30" s="163" t="str">
        <x:v>Source comparison</x:v>
      </x:c>
      <x:c r="M30" s="75" t="n">
        <x:f>IF(ISNUMBER(E30),E30-D30,"n/m")</x:f>
        <x:v>15.003348643286586</x:v>
      </x:c>
      <x:c r="N30" s="75" t="n">
        <x:f>IF(ISNUMBER(F30),F30-D30,"n/m")</x:f>
        <x:v>-0.0011731674840831374</x:v>
      </x:c>
      <x:c r="O30" s="75" t="n">
        <x:v>2</x:v>
      </x:c>
    </x:row>
    <x:row r="31" ht="112" hidden="0" customHeight="1">
      <x:c r="A31" s="157" t="str">
        <x:v>KOHC</x:v>
      </x:c>
      <x:c r="B31" s="157" t="str">
        <x:v>Cash conversion cycle</x:v>
      </x:c>
      <x:c r="C31" s="157" t="str">
        <x:v>FY2022</x:v>
      </x:c>
      <x:c r="D31" s="158" t="n">
        <x:v>52.16</x:v>
      </x:c>
      <x:c r="E31" s="158" t="n">
        <x:f>KOHC!E151</x:f>
        <x:v>66.07219583568286</x:v>
      </x:c>
      <x:c r="F31" s="158" t="n">
        <x:f>365*KOHC!E65/KOHC!E84+365*KOHC!E32/KOHC!E84-365*(KOHC!E51+KOHC!E254)/(-KOHC!E85)</x:f>
        <x:v>52.16093193202123</x:v>
      </x:c>
      <x:c r="G31" s="162" t="str">
        <x:v>Company component conventions; independent raw reconstruction</x:v>
      </x:c>
      <x:c r="H31" s="162" t="str">
        <x:f>IF(AND(ISNUMBER(D31),ISNUMBER(F31)),IF(ROUND(D31,O31)=ROUND(F31,O31),"Reproduced to precision","Unresolved published value"),"Not comparable")</x:f>
        <x:v>Reproduced to precision</x:v>
      </x:c>
      <x:c r="I31" s="162" t="str">
        <x:v>Tested the source-based convention shown in G against official published precision. Unmatched values remain unresolved; neither the standardized method nor the financial inputs were altered to force agreement.</x:v>
      </x:c>
      <x:c r="J31" s="162" t="str">
        <x:v>FY2025 AR p53 "Key financial data for the last six years" (per-share items split-adjusted 5:1)</x:v>
      </x:c>
      <x:c r="K31" s="162" t="str">
        <x:v>See components</x:v>
      </x:c>
      <x:c r="L31" s="162" t="str">
        <x:v>Source comparison</x:v>
      </x:c>
      <x:c r="M31" s="157" t="n">
        <x:f>IF(ISNUMBER(E31),E31-D31,"n/m")</x:f>
        <x:v>13.912195835682866</x:v>
      </x:c>
      <x:c r="N31" s="157" t="n">
        <x:f>IF(ISNUMBER(F31),F31-D31,"n/m")</x:f>
        <x:v>0.0009319320212313187</x:v>
      </x:c>
      <x:c r="O31" s="157" t="n">
        <x:v>2</x:v>
      </x:c>
    </x:row>
    <x:row r="32" ht="112" hidden="0" customHeight="1">
      <x:c r="A32" s="75" t="str">
        <x:v>KOHC</x:v>
      </x:c>
      <x:c r="B32" s="75" t="str">
        <x:v>Cash conversion cycle</x:v>
      </x:c>
      <x:c r="C32" s="75" t="str">
        <x:v>FY2023</x:v>
      </x:c>
      <x:c r="D32" s="159" t="n">
        <x:v>73.96</x:v>
      </x:c>
      <x:c r="E32" s="159" t="n">
        <x:f>KOHC!F151</x:f>
        <x:v>82.78887616309285</x:v>
      </x:c>
      <x:c r="F32" s="159" t="n">
        <x:f>365*KOHC!F65/KOHC!F84+365*KOHC!F32/KOHC!F84-365*(KOHC!F51+KOHC!F254)/(-KOHC!F85)</x:f>
        <x:v>73.96356880921563</x:v>
      </x:c>
      <x:c r="G32" s="163" t="str">
        <x:v>Company component conventions; independent raw reconstruction</x:v>
      </x:c>
      <x:c r="H32" s="163" t="str">
        <x:f>IF(AND(ISNUMBER(D32),ISNUMBER(F32)),IF(ROUND(D32,O32)=ROUND(F32,O32),"Reproduced to precision","Unresolved published value"),"Not comparable")</x:f>
        <x:v>Reproduced to precision</x:v>
      </x:c>
      <x:c r="I32" s="163" t="str">
        <x:v>Tested the source-based convention shown in G against official published precision. Unmatched values remain unresolved; neither the standardized method nor the financial inputs were altered to force agreement.</x:v>
      </x:c>
      <x:c r="J32" s="163" t="str">
        <x:v>FY2025 AR p53 "Key financial data for the last six years" (per-share items split-adjusted 5:1)</x:v>
      </x:c>
      <x:c r="K32" s="163" t="str">
        <x:v>See components</x:v>
      </x:c>
      <x:c r="L32" s="163" t="str">
        <x:v>Source comparison</x:v>
      </x:c>
      <x:c r="M32" s="75" t="n">
        <x:f>IF(ISNUMBER(E32),E32-D32,"n/m")</x:f>
        <x:v>8.828876163092858</x:v>
      </x:c>
      <x:c r="N32" s="75" t="n">
        <x:f>IF(ISNUMBER(F32),F32-D32,"n/m")</x:f>
        <x:v>0.0035688092156362927</x:v>
      </x:c>
      <x:c r="O32" s="75" t="n">
        <x:v>2</x:v>
      </x:c>
    </x:row>
    <x:row r="33" ht="112" hidden="0" customHeight="1">
      <x:c r="A33" s="157" t="str">
        <x:v>KOHC</x:v>
      </x:c>
      <x:c r="B33" s="157" t="str">
        <x:v>Cash conversion cycle</x:v>
      </x:c>
      <x:c r="C33" s="157" t="str">
        <x:v>FY2024</x:v>
      </x:c>
      <x:c r="D33" s="158" t="n">
        <x:v>67.15</x:v>
      </x:c>
      <x:c r="E33" s="158" t="n">
        <x:f>KOHC!G151</x:f>
        <x:v>100.80234556959385</x:v>
      </x:c>
      <x:c r="F33" s="158" t="n">
        <x:f>365*KOHC!G65/KOHC!G84+365*KOHC!G32/KOHC!G84-365*(KOHC!G51+KOHC!G254)/(-KOHC!G85)</x:f>
        <x:v>67.15466612352971</x:v>
      </x:c>
      <x:c r="G33" s="162" t="str">
        <x:v>Company component conventions; independent raw reconstruction</x:v>
      </x:c>
      <x:c r="H33" s="162" t="str">
        <x:f>IF(AND(ISNUMBER(D33),ISNUMBER(F33)),IF(ROUND(D33,O33)=ROUND(F33,O33),"Reproduced to precision","Unresolved published value"),"Not comparable")</x:f>
        <x:v>Reproduced to precision</x:v>
      </x:c>
      <x:c r="I33" s="162" t="str">
        <x:v>Tested the source-based convention shown in G against official published precision. Unmatched values remain unresolved; neither the standardized method nor the financial inputs were altered to force agreement.</x:v>
      </x:c>
      <x:c r="J33" s="162" t="str">
        <x:v>FY2025 AR p53 "Key financial data for the last six years" (per-share items split-adjusted 5:1)</x:v>
      </x:c>
      <x:c r="K33" s="162" t="str">
        <x:v>See components</x:v>
      </x:c>
      <x:c r="L33" s="162" t="str">
        <x:v>Source comparison</x:v>
      </x:c>
      <x:c r="M33" s="157" t="n">
        <x:f>IF(ISNUMBER(E33),E33-D33,"n/m")</x:f>
        <x:v>33.65234556959385</x:v>
      </x:c>
      <x:c r="N33" s="157" t="n">
        <x:f>IF(ISNUMBER(F33),F33-D33,"n/m")</x:f>
        <x:v>0.004666123529702304</x:v>
      </x:c>
      <x:c r="O33" s="157" t="n">
        <x:v>2</x:v>
      </x:c>
    </x:row>
    <x:row r="34" ht="112" hidden="0" customHeight="1">
      <x:c r="A34" s="75" t="str">
        <x:v>KOHC</x:v>
      </x:c>
      <x:c r="B34" s="75" t="str">
        <x:v>Cash conversion cycle</x:v>
      </x:c>
      <x:c r="C34" s="75" t="str">
        <x:v>FY2025</x:v>
      </x:c>
      <x:c r="D34" s="159" t="n">
        <x:v>54.64</x:v>
      </x:c>
      <x:c r="E34" s="159" t="n">
        <x:f>KOHC!H151</x:f>
        <x:v>108.04716265276964</x:v>
      </x:c>
      <x:c r="F34" s="159" t="n">
        <x:f>365*KOHC!H65/KOHC!H84+365*KOHC!H32/KOHC!H84-365*(KOHC!H51+KOHC!H254)/(-KOHC!H85)</x:f>
        <x:v>54.64429091422026</x:v>
      </x:c>
      <x:c r="G34" s="163" t="str">
        <x:v>Company component conventions; independent raw reconstruction</x:v>
      </x:c>
      <x:c r="H34" s="163" t="str">
        <x:f>IF(AND(ISNUMBER(D34),ISNUMBER(F34)),IF(ROUND(D34,O34)=ROUND(F34,O34),"Reproduced to precision","Unresolved published value"),"Not comparable")</x:f>
        <x:v>Reproduced to precision</x:v>
      </x:c>
      <x:c r="I34" s="163" t="str">
        <x:v>Tested the source-based convention shown in G against official published precision. Unmatched values remain unresolved; neither the standardized method nor the financial inputs were altered to force agreement.</x:v>
      </x:c>
      <x:c r="J34" s="163" t="str">
        <x:v>FY2025 AR p53 "Key financial data for the last six years" (per-share items split-adjusted 5:1)</x:v>
      </x:c>
      <x:c r="K34" s="163" t="str">
        <x:v>See components</x:v>
      </x:c>
      <x:c r="L34" s="163" t="str">
        <x:v>Source comparison</x:v>
      </x:c>
      <x:c r="M34" s="75" t="n">
        <x:f>IF(ISNUMBER(E34),E34-D34,"n/m")</x:f>
        <x:v>53.40716265276964</x:v>
      </x:c>
      <x:c r="N34" s="75" t="n">
        <x:f>IF(ISNUMBER(F34),F34-D34,"n/m")</x:f>
        <x:v>0.00429091422025607</x:v>
      </x:c>
      <x:c r="O34" s="75" t="n">
        <x:v>2</x:v>
      </x:c>
    </x:row>
    <x:row r="35" ht="112" hidden="0" customHeight="1">
      <x:c r="A35" s="157" t="str">
        <x:v>KOHC</x:v>
      </x:c>
      <x:c r="B35" s="157" t="str">
        <x:v>Total assets turnover</x:v>
      </x:c>
      <x:c r="C35" s="157" t="str">
        <x:v>FY2021</x:v>
      </x:c>
      <x:c r="D35" s="158" t="n">
        <x:v>0.67</x:v>
      </x:c>
      <x:c r="E35" s="158" t="n">
        <x:f>KOHC!D152</x:f>
        <x:v>0.7092011621843222</x:v>
      </x:c>
      <x:c r="F35" s="158" t="n">
        <x:f>KOHC!D84/KOHC!D37</x:f>
        <x:v>0.6666508262279729</x:v>
      </x:c>
      <x:c r="G35" s="162" t="str">
        <x:v>Sales / closing assets</x:v>
      </x:c>
      <x:c r="H35" s="162" t="str">
        <x:f>IF(AND(ISNUMBER(D35),ISNUMBER(F35)),IF(ROUND(D35,O35)=ROUND(F35,O35),"Reproduced to precision","Unresolved published value"),"Not comparable")</x:f>
        <x:v>Reproduced to precision</x:v>
      </x:c>
      <x:c r="I35" s="162" t="str">
        <x:v>Tested the source-based convention shown in G against official published precision. Unmatched values remain unresolved; neither the standardized method nor the financial inputs were altered to force agreement.</x:v>
      </x:c>
      <x:c r="J35" s="162" t="str">
        <x:v>FY2025 AR p53 "Key financial data for the last six years" (per-share items split-adjusted 5:1)</x:v>
      </x:c>
      <x:c r="K35" s="162" t="str">
        <x:v>Reconciled (company convention)</x:v>
      </x:c>
      <x:c r="L35" s="162" t="str">
        <x:v>Source comparison</x:v>
      </x:c>
      <x:c r="M35" s="157" t="n">
        <x:f>IF(ISNUMBER(E35),E35-D35,"n/m")</x:f>
        <x:v>0.039201162184322125</x:v>
      </x:c>
      <x:c r="N35" s="157" t="n">
        <x:f>IF(ISNUMBER(F35),F35-D35,"n/m")</x:f>
        <x:v>-0.0033491737720271475</x:v>
      </x:c>
      <x:c r="O35" s="157" t="n">
        <x:v>2</x:v>
      </x:c>
    </x:row>
    <x:row r="36" ht="112" hidden="0" customHeight="1">
      <x:c r="A36" s="75" t="str">
        <x:v>KOHC</x:v>
      </x:c>
      <x:c r="B36" s="75" t="str">
        <x:v>Total assets turnover</x:v>
      </x:c>
      <x:c r="C36" s="75" t="str">
        <x:v>FY2022</x:v>
      </x:c>
      <x:c r="D36" s="159" t="n">
        <x:v>0.76</x:v>
      </x:c>
      <x:c r="E36" s="159" t="n">
        <x:f>KOHC!E152</x:f>
        <x:v>0.8277428727778264</x:v>
      </x:c>
      <x:c r="F36" s="159" t="n">
        <x:f>KOHC!E84/KOHC!E37</x:f>
        <x:v>0.7583954484233022</x:v>
      </x:c>
      <x:c r="G36" s="163" t="str">
        <x:v>Sales / closing assets</x:v>
      </x:c>
      <x:c r="H36" s="163" t="str">
        <x:f>IF(AND(ISNUMBER(D36),ISNUMBER(F36)),IF(ROUND(D36,O36)=ROUND(F36,O36),"Reproduced to precision","Unresolved published value"),"Not comparable")</x:f>
        <x:v>Reproduced to precision</x:v>
      </x:c>
      <x:c r="I36" s="163" t="str">
        <x:v>Tested the source-based convention shown in G against official published precision. Unmatched values remain unresolved; neither the standardized method nor the financial inputs were altered to force agreement.</x:v>
      </x:c>
      <x:c r="J36" s="163" t="str">
        <x:v>FY2025 AR p53 "Key financial data for the last six years" (per-share items split-adjusted 5:1)</x:v>
      </x:c>
      <x:c r="K36" s="163" t="str">
        <x:v>Reconciled (company convention)</x:v>
      </x:c>
      <x:c r="L36" s="163" t="str">
        <x:v>Source comparison</x:v>
      </x:c>
      <x:c r="M36" s="75" t="n">
        <x:f>IF(ISNUMBER(E36),E36-D36,"n/m")</x:f>
        <x:v>0.06774287277782642</x:v>
      </x:c>
      <x:c r="N36" s="75" t="n">
        <x:f>IF(ISNUMBER(F36),F36-D36,"n/m")</x:f>
        <x:v>-0.0016045515766978102</x:v>
      </x:c>
      <x:c r="O36" s="75" t="n">
        <x:v>2</x:v>
      </x:c>
    </x:row>
    <x:row r="37" ht="112" hidden="0" customHeight="1">
      <x:c r="A37" s="157" t="str">
        <x:v>KOHC</x:v>
      </x:c>
      <x:c r="B37" s="157" t="str">
        <x:v>Total assets turnover</x:v>
      </x:c>
      <x:c r="C37" s="157" t="str">
        <x:v>FY2023</x:v>
      </x:c>
      <x:c r="D37" s="158" t="n">
        <x:v>0.79</x:v>
      </x:c>
      <x:c r="E37" s="158" t="n">
        <x:f>KOHC!F152</x:f>
        <x:v>0.838099135080987</x:v>
      </x:c>
      <x:c r="F37" s="158" t="n">
        <x:f>KOHC!F84/KOHC!F37</x:f>
        <x:v>0.7858182108896276</x:v>
      </x:c>
      <x:c r="G37" s="162" t="str">
        <x:v>Sales / closing assets</x:v>
      </x:c>
      <x:c r="H37" s="162" t="str">
        <x:f>IF(AND(ISNUMBER(D37),ISNUMBER(F37)),IF(ROUND(D37,O37)=ROUND(F37,O37),"Reproduced to precision","Unresolved published value"),"Not comparable")</x:f>
        <x:v>Reproduced to precision</x:v>
      </x:c>
      <x:c r="I37" s="162" t="str">
        <x:v>Tested the source-based convention shown in G against official published precision. Unmatched values remain unresolved; neither the standardized method nor the financial inputs were altered to force agreement.</x:v>
      </x:c>
      <x:c r="J37" s="162" t="str">
        <x:v>FY2025 AR p53 "Key financial data for the last six years" (per-share items split-adjusted 5:1)</x:v>
      </x:c>
      <x:c r="K37" s="162" t="str">
        <x:v>Reconciled (company convention)</x:v>
      </x:c>
      <x:c r="L37" s="162" t="str">
        <x:v>Source comparison</x:v>
      </x:c>
      <x:c r="M37" s="157" t="n">
        <x:f>IF(ISNUMBER(E37),E37-D37,"n/m")</x:f>
        <x:v>0.048099135080986954</x:v>
      </x:c>
      <x:c r="N37" s="157" t="n">
        <x:f>IF(ISNUMBER(F37),F37-D37,"n/m")</x:f>
        <x:v>-0.00418178911037248</x:v>
      </x:c>
      <x:c r="O37" s="157" t="n">
        <x:v>2</x:v>
      </x:c>
    </x:row>
    <x:row r="38" ht="112" hidden="0" customHeight="1">
      <x:c r="A38" s="75" t="str">
        <x:v>KOHC</x:v>
      </x:c>
      <x:c r="B38" s="75" t="str">
        <x:v>Total assets turnover</x:v>
      </x:c>
      <x:c r="C38" s="75" t="str">
        <x:v>FY2024</x:v>
      </x:c>
      <x:c r="D38" s="159" t="n">
        <x:v>0.66</x:v>
      </x:c>
      <x:c r="E38" s="159" t="n">
        <x:f>KOHC!G152</x:f>
        <x:v>0.7132336607672219</x:v>
      </x:c>
      <x:c r="F38" s="159" t="n">
        <x:f>KOHC!G84/KOHC!G37</x:f>
        <x:v>0.6567913615750461</x:v>
      </x:c>
      <x:c r="G38" s="163" t="str">
        <x:v>Sales / closing assets</x:v>
      </x:c>
      <x:c r="H38" s="163" t="str">
        <x:f>IF(AND(ISNUMBER(D38),ISNUMBER(F38)),IF(ROUND(D38,O38)=ROUND(F38,O38),"Reproduced to precision","Unresolved published value"),"Not comparable")</x:f>
        <x:v>Reproduced to precision</x:v>
      </x:c>
      <x:c r="I38" s="163" t="str">
        <x:v>Tested the source-based convention shown in G against official published precision. Unmatched values remain unresolved; neither the standardized method nor the financial inputs were altered to force agreement.</x:v>
      </x:c>
      <x:c r="J38" s="163" t="str">
        <x:v>FY2025 AR p53 "Key financial data for the last six years" (per-share items split-adjusted 5:1)</x:v>
      </x:c>
      <x:c r="K38" s="163" t="str">
        <x:v>Reconciled (company convention)</x:v>
      </x:c>
      <x:c r="L38" s="163" t="str">
        <x:v>Source comparison</x:v>
      </x:c>
      <x:c r="M38" s="75" t="n">
        <x:f>IF(ISNUMBER(E38),E38-D38,"n/m")</x:f>
        <x:v>0.05323366076722191</x:v>
      </x:c>
      <x:c r="N38" s="75" t="n">
        <x:f>IF(ISNUMBER(F38),F38-D38,"n/m")</x:f>
        <x:v>-0.0032086384249538913</x:v>
      </x:c>
      <x:c r="O38" s="75" t="n">
        <x:v>2</x:v>
      </x:c>
    </x:row>
    <x:row r="39" ht="112" hidden="0" customHeight="1">
      <x:c r="A39" s="157" t="str">
        <x:v>KOHC</x:v>
      </x:c>
      <x:c r="B39" s="157" t="str">
        <x:v>Total assets turnover</x:v>
      </x:c>
      <x:c r="C39" s="157" t="str">
        <x:v>FY2025</x:v>
      </x:c>
      <x:c r="D39" s="158" t="n">
        <x:v>0.56</x:v>
      </x:c>
      <x:c r="E39" s="158" t="n">
        <x:f>KOHC!H152</x:f>
        <x:v>0.59752332567838</x:v>
      </x:c>
      <x:c r="F39" s="158" t="n">
        <x:f>KOHC!H84/KOHC!H37</x:f>
        <x:v>0.561959534853426</x:v>
      </x:c>
      <x:c r="G39" s="162" t="str">
        <x:v>Sales / closing assets</x:v>
      </x:c>
      <x:c r="H39" s="162" t="str">
        <x:f>IF(AND(ISNUMBER(D39),ISNUMBER(F39)),IF(ROUND(D39,O39)=ROUND(F39,O39),"Reproduced to precision","Unresolved published value"),"Not comparable")</x:f>
        <x:v>Reproduced to precision</x:v>
      </x:c>
      <x:c r="I39" s="162" t="str">
        <x:v>Tested the source-based convention shown in G against official published precision. Unmatched values remain unresolved; neither the standardized method nor the financial inputs were altered to force agreement.</x:v>
      </x:c>
      <x:c r="J39" s="162" t="str">
        <x:v>FY2025 AR p53 "Key financial data for the last six years" (per-share items split-adjusted 5:1)</x:v>
      </x:c>
      <x:c r="K39" s="162" t="str">
        <x:v>Reconciled (company convention)</x:v>
      </x:c>
      <x:c r="L39" s="162" t="str">
        <x:v>Source comparison</x:v>
      </x:c>
      <x:c r="M39" s="157" t="n">
        <x:f>IF(ISNUMBER(E39),E39-D39,"n/m")</x:f>
        <x:v>0.037523325678379904</x:v>
      </x:c>
      <x:c r="N39" s="157" t="n">
        <x:f>IF(ISNUMBER(F39),F39-D39,"n/m")</x:f>
        <x:v>0.001959534853425926</x:v>
      </x:c>
      <x:c r="O39" s="157" t="n">
        <x:v>2</x:v>
      </x:c>
    </x:row>
    <x:row r="40" ht="112" hidden="0" customHeight="1">
      <x:c r="A40" s="75" t="str">
        <x:v>KOHC</x:v>
      </x:c>
      <x:c r="B40" s="75" t="str">
        <x:v>Fixed assets turnover</x:v>
      </x:c>
      <x:c r="C40" s="75" t="str">
        <x:v>FY2021</x:v>
      </x:c>
      <x:c r="D40" s="159" t="n">
        <x:v>1.11</x:v>
      </x:c>
      <x:c r="E40" s="159" t="n">
        <x:f>KOHC!D153</x:f>
        <x:v>1.0844791007988606</x:v>
      </x:c>
      <x:c r="F40" s="159" t="n">
        <x:f>KOHC!D84/KOHC!D22</x:f>
        <x:v>1.1059029342727498</x:v>
      </x:c>
      <x:c r="G40" s="163" t="str">
        <x:v>Sales / closing operating PPE</x:v>
      </x:c>
      <x:c r="H40" s="163" t="str">
        <x:f>IF(AND(ISNUMBER(D40),ISNUMBER(F40)),IF(ROUND(D40,O40)=ROUND(F40,O40),"Reproduced to precision","Unresolved published value"),"Not comparable")</x:f>
        <x:v>Reproduced to precision</x:v>
      </x:c>
      <x:c r="I40" s="163" t="str">
        <x:v>Tested the source-based convention shown in G against official published precision. Unmatched values remain unresolved; neither the standardized method nor the financial inputs were altered to force agreement.</x:v>
      </x:c>
      <x:c r="J40" s="163" t="str">
        <x:v>FY2025 AR p53 "Key financial data for the last six years" (per-share items split-adjusted 5:1)</x:v>
      </x:c>
      <x:c r="K40" s="163" t="str">
        <x:v>Reconciled (company convention)</x:v>
      </x:c>
      <x:c r="L40" s="163" t="str">
        <x:v>Source comparison</x:v>
      </x:c>
      <x:c r="M40" s="75" t="n">
        <x:f>IF(ISNUMBER(E40),E40-D40,"n/m")</x:f>
        <x:v>-0.025520899201139535</x:v>
      </x:c>
      <x:c r="N40" s="75" t="n">
        <x:f>IF(ISNUMBER(F40),F40-D40,"n/m")</x:f>
        <x:v>-0.004097065727250326</x:v>
      </x:c>
      <x:c r="O40" s="75" t="n">
        <x:v>2</x:v>
      </x:c>
    </x:row>
    <x:row r="41" ht="112" hidden="0" customHeight="1">
      <x:c r="A41" s="157" t="str">
        <x:v>KOHC</x:v>
      </x:c>
      <x:c r="B41" s="157" t="str">
        <x:v>Fixed assets turnover</x:v>
      </x:c>
      <x:c r="C41" s="157" t="str">
        <x:v>FY2022</x:v>
      </x:c>
      <x:c r="D41" s="158" t="n">
        <x:v>1.55</x:v>
      </x:c>
      <x:c r="E41" s="158" t="n">
        <x:f>KOHC!E153</x:f>
        <x:v>1.5307978904973403</x:v>
      </x:c>
      <x:c r="F41" s="158" t="n">
        <x:f>KOHC!E84/KOHC!E22</x:f>
        <x:v>1.5507703456996567</x:v>
      </x:c>
      <x:c r="G41" s="162" t="str">
        <x:v>Sales / closing operating PPE</x:v>
      </x:c>
      <x:c r="H41" s="162" t="str">
        <x:f>IF(AND(ISNUMBER(D41),ISNUMBER(F41)),IF(ROUND(D41,O41)=ROUND(F41,O41),"Reproduced to precision","Unresolved published value"),"Not comparable")</x:f>
        <x:v>Reproduced to precision</x:v>
      </x:c>
      <x:c r="I41" s="162" t="str">
        <x:v>Tested the source-based convention shown in G against official published precision. Unmatched values remain unresolved; neither the standardized method nor the financial inputs were altered to force agreement.</x:v>
      </x:c>
      <x:c r="J41" s="162" t="str">
        <x:v>FY2025 AR p53 "Key financial data for the last six years" (per-share items split-adjusted 5:1)</x:v>
      </x:c>
      <x:c r="K41" s="162" t="str">
        <x:v>Reconciled (company convention)</x:v>
      </x:c>
      <x:c r="L41" s="162" t="str">
        <x:v>Source comparison</x:v>
      </x:c>
      <x:c r="M41" s="157" t="n">
        <x:f>IF(ISNUMBER(E41),E41-D41,"n/m")</x:f>
        <x:v>-0.01920210950265977</x:v>
      </x:c>
      <x:c r="N41" s="157" t="n">
        <x:f>IF(ISNUMBER(F41),F41-D41,"n/m")</x:f>
        <x:v>0.000770345699656616</x:v>
      </x:c>
      <x:c r="O41" s="157" t="n">
        <x:v>2</x:v>
      </x:c>
    </x:row>
    <x:row r="42" ht="112" hidden="0" customHeight="1">
      <x:c r="A42" s="75" t="str">
        <x:v>KOHC</x:v>
      </x:c>
      <x:c r="B42" s="75" t="str">
        <x:v>Fixed assets turnover</x:v>
      </x:c>
      <x:c r="C42" s="75" t="str">
        <x:v>FY2023</x:v>
      </x:c>
      <x:c r="D42" s="159" t="n">
        <x:v>1.92</x:v>
      </x:c>
      <x:c r="E42" s="159" t="n">
        <x:f>KOHC!F153</x:f>
        <x:v>1.876337672472641</x:v>
      </x:c>
      <x:c r="F42" s="159" t="n">
        <x:f>KOHC!F84/KOHC!F22</x:f>
        <x:v>1.9186059033296663</x:v>
      </x:c>
      <x:c r="G42" s="163" t="str">
        <x:v>Sales / closing operating PPE</x:v>
      </x:c>
      <x:c r="H42" s="163" t="str">
        <x:f>IF(AND(ISNUMBER(D42),ISNUMBER(F42)),IF(ROUND(D42,O42)=ROUND(F42,O42),"Reproduced to precision","Unresolved published value"),"Not comparable")</x:f>
        <x:v>Reproduced to precision</x:v>
      </x:c>
      <x:c r="I42" s="163" t="str">
        <x:v>Tested the source-based convention shown in G against official published precision. Unmatched values remain unresolved; neither the standardized method nor the financial inputs were altered to force agreement.</x:v>
      </x:c>
      <x:c r="J42" s="163" t="str">
        <x:v>FY2025 AR p53 "Key financial data for the last six years" (per-share items split-adjusted 5:1)</x:v>
      </x:c>
      <x:c r="K42" s="163" t="str">
        <x:v>Reconciled (company convention)</x:v>
      </x:c>
      <x:c r="L42" s="163" t="str">
        <x:v>Source comparison</x:v>
      </x:c>
      <x:c r="M42" s="75" t="n">
        <x:f>IF(ISNUMBER(E42),E42-D42,"n/m")</x:f>
        <x:v>-0.04366232752735888</x:v>
      </x:c>
      <x:c r="N42" s="75" t="n">
        <x:f>IF(ISNUMBER(F42),F42-D42,"n/m")</x:f>
        <x:v>-0.0013940966703336333</x:v>
      </x:c>
      <x:c r="O42" s="75" t="n">
        <x:v>2</x:v>
      </x:c>
    </x:row>
    <x:row r="43" ht="112" hidden="0" customHeight="1">
      <x:c r="A43" s="157" t="str">
        <x:v>KOHC</x:v>
      </x:c>
      <x:c r="B43" s="157" t="str">
        <x:v>Fixed assets turnover</x:v>
      </x:c>
      <x:c r="C43" s="157" t="str">
        <x:v>FY2024</x:v>
      </x:c>
      <x:c r="D43" s="158" t="n">
        <x:v>1.83</x:v>
      </x:c>
      <x:c r="E43" s="158" t="n">
        <x:f>KOHC!G153</x:f>
        <x:v>1.8650719460684553</x:v>
      </x:c>
      <x:c r="F43" s="158" t="n">
        <x:f>KOHC!G84/KOHC!G22</x:f>
        <x:v>1.826685944327403</x:v>
      </x:c>
      <x:c r="G43" s="162" t="str">
        <x:v>Sales / closing operating PPE</x:v>
      </x:c>
      <x:c r="H43" s="162" t="str">
        <x:f>IF(AND(ISNUMBER(D43),ISNUMBER(F43)),IF(ROUND(D43,O43)=ROUND(F43,O43),"Reproduced to precision","Unresolved published value"),"Not comparable")</x:f>
        <x:v>Reproduced to precision</x:v>
      </x:c>
      <x:c r="I43" s="162" t="str">
        <x:v>Tested the source-based convention shown in G against official published precision. Unmatched values remain unresolved; neither the standardized method nor the financial inputs were altered to force agreement.</x:v>
      </x:c>
      <x:c r="J43" s="162" t="str">
        <x:v>FY2025 AR p53 "Key financial data for the last six years" (per-share items split-adjusted 5:1)</x:v>
      </x:c>
      <x:c r="K43" s="162" t="str">
        <x:v>Reconciled (company convention)</x:v>
      </x:c>
      <x:c r="L43" s="162" t="str">
        <x:v>Source comparison</x:v>
      </x:c>
      <x:c r="M43" s="157" t="n">
        <x:f>IF(ISNUMBER(E43),E43-D43,"n/m")</x:f>
        <x:v>0.035071946068455206</x:v>
      </x:c>
      <x:c r="N43" s="157" t="n">
        <x:f>IF(ISNUMBER(F43),F43-D43,"n/m")</x:f>
        <x:v>-0.003314055672597016</x:v>
      </x:c>
      <x:c r="O43" s="157" t="n">
        <x:v>2</x:v>
      </x:c>
    </x:row>
    <x:row r="44" ht="112" hidden="0" customHeight="1">
      <x:c r="A44" s="75" t="str">
        <x:v>KOHC</x:v>
      </x:c>
      <x:c r="B44" s="75" t="str">
        <x:v>Fixed assets turnover</x:v>
      </x:c>
      <x:c r="C44" s="75" t="str">
        <x:v>FY2025</x:v>
      </x:c>
      <x:c r="D44" s="159" t="n">
        <x:v>1.8</x:v>
      </x:c>
      <x:c r="E44" s="159" t="n">
        <x:f>KOHC!H153</x:f>
        <x:v>1.7861104563188661</x:v>
      </x:c>
      <x:c r="F44" s="159" t="n">
        <x:f>KOHC!H84/KOHC!H22</x:f>
        <x:v>1.7982598867652522</x:v>
      </x:c>
      <x:c r="G44" s="163" t="str">
        <x:v>Sales / closing operating PPE</x:v>
      </x:c>
      <x:c r="H44" s="163" t="str">
        <x:f>IF(AND(ISNUMBER(D44),ISNUMBER(F44)),IF(ROUND(D44,O44)=ROUND(F44,O44),"Reproduced to precision","Unresolved published value"),"Not comparable")</x:f>
        <x:v>Reproduced to precision</x:v>
      </x:c>
      <x:c r="I44" s="163" t="str">
        <x:v>Tested the source-based convention shown in G against official published precision. Unmatched values remain unresolved; neither the standardized method nor the financial inputs were altered to force agreement.</x:v>
      </x:c>
      <x:c r="J44" s="163" t="str">
        <x:v>FY2025 AR p53 "Key financial data for the last six years" (per-share items split-adjusted 5:1)</x:v>
      </x:c>
      <x:c r="K44" s="163" t="str">
        <x:v>Reconciled (company convention)</x:v>
      </x:c>
      <x:c r="L44" s="163" t="str">
        <x:v>Source comparison</x:v>
      </x:c>
      <x:c r="M44" s="75" t="n">
        <x:f>IF(ISNUMBER(E44),E44-D44,"n/m")</x:f>
        <x:v>-0.013889543681133931</x:v>
      </x:c>
      <x:c r="N44" s="75" t="n">
        <x:f>IF(ISNUMBER(F44),F44-D44,"n/m")</x:f>
        <x:v>-0.0017401132347478754</x:v>
      </x:c>
      <x:c r="O44" s="75" t="n">
        <x:v>2</x:v>
      </x:c>
    </x:row>
    <x:row r="45" ht="112" hidden="0" customHeight="1">
      <x:c r="A45" s="157" t="str">
        <x:v>KOHC</x:v>
      </x:c>
      <x:c r="B45" s="157" t="str">
        <x:v>Interest coverage</x:v>
      </x:c>
      <x:c r="C45" s="157" t="str">
        <x:v>FY2021</x:v>
      </x:c>
      <x:c r="D45" s="158" t="n">
        <x:v>10.45</x:v>
      </x:c>
      <x:c r="E45" s="158" t="n">
        <x:f>KOHC!D159</x:f>
        <x:v>11.019706901181747</x:v>
      </x:c>
      <x:c r="F45" s="158" t="n">
        <x:f>KOHC!D108/(-KOHC!D95)</x:f>
        <x:v>10.449576359042972</x:v>
      </x:c>
      <x:c r="G45" s="162" t="str">
        <x:v>EBIT / all finance cost</x:v>
      </x:c>
      <x:c r="H45" s="162" t="str">
        <x:f>IF(AND(ISNUMBER(D45),ISNUMBER(F45)),IF(ROUND(D45,O45)=ROUND(F45,O45),"Reproduced to precision","Unresolved published value"),"Not comparable")</x:f>
        <x:v>Reproduced to precision</x:v>
      </x:c>
      <x:c r="I45" s="162" t="str">
        <x:v>Tested the source-based convention shown in G against official published precision. Unmatched values remain unresolved; neither the standardized method nor the financial inputs were altered to force agreement.</x:v>
      </x:c>
      <x:c r="J45" s="162" t="str">
        <x:v>FY2025 AR p53 "Key financial data for the last six years" (per-share items split-adjusted 5:1)</x:v>
      </x:c>
      <x:c r="K45" s="162" t="str">
        <x:v>Reconciled (company convention)</x:v>
      </x:c>
      <x:c r="L45" s="162" t="str">
        <x:v>Source comparison</x:v>
      </x:c>
      <x:c r="M45" s="157" t="n">
        <x:f>IF(ISNUMBER(E45),E45-D45,"n/m")</x:f>
        <x:v>0.5697069011817479</x:v>
      </x:c>
      <x:c r="N45" s="157" t="n">
        <x:f>IF(ISNUMBER(F45),F45-D45,"n/m")</x:f>
        <x:v>-0.0004236409570275157</x:v>
      </x:c>
      <x:c r="O45" s="157" t="n">
        <x:v>2</x:v>
      </x:c>
    </x:row>
    <x:row r="46" ht="112" hidden="0" customHeight="1">
      <x:c r="A46" s="75" t="str">
        <x:v>KOHC</x:v>
      </x:c>
      <x:c r="B46" s="75" t="str">
        <x:v>Interest coverage</x:v>
      </x:c>
      <x:c r="C46" s="75" t="str">
        <x:v>FY2022</x:v>
      </x:c>
      <x:c r="D46" s="159" t="n">
        <x:v>17.6</x:v>
      </x:c>
      <x:c r="E46" s="159" t="n">
        <x:f>KOHC!E159</x:f>
        <x:v>18.36315245249661</x:v>
      </x:c>
      <x:c r="F46" s="159" t="n">
        <x:f>KOHC!E108/(-KOHC!E95)</x:f>
        <x:v>17.5990507853185</x:v>
      </x:c>
      <x:c r="G46" s="163" t="str">
        <x:v>EBIT / all finance cost</x:v>
      </x:c>
      <x:c r="H46" s="163" t="str">
        <x:f>IF(AND(ISNUMBER(D46),ISNUMBER(F46)),IF(ROUND(D46,O46)=ROUND(F46,O46),"Reproduced to precision","Unresolved published value"),"Not comparable")</x:f>
        <x:v>Reproduced to precision</x:v>
      </x:c>
      <x:c r="I46" s="163" t="str">
        <x:v>Tested the source-based convention shown in G against official published precision. Unmatched values remain unresolved; neither the standardized method nor the financial inputs were altered to force agreement.</x:v>
      </x:c>
      <x:c r="J46" s="163" t="str">
        <x:v>FY2025 AR p53 "Key financial data for the last six years" (per-share items split-adjusted 5:1)</x:v>
      </x:c>
      <x:c r="K46" s="163" t="str">
        <x:v>Reconciled (company convention)</x:v>
      </x:c>
      <x:c r="L46" s="163" t="str">
        <x:v>Source comparison</x:v>
      </x:c>
      <x:c r="M46" s="75" t="n">
        <x:f>IF(ISNUMBER(E46),E46-D46,"n/m")</x:f>
        <x:v>0.7631524524966089</x:v>
      </x:c>
      <x:c r="N46" s="75" t="n">
        <x:f>IF(ISNUMBER(F46),F46-D46,"n/m")</x:f>
        <x:v>-0.0009492146815013314</x:v>
      </x:c>
      <x:c r="O46" s="75" t="n">
        <x:v>2</x:v>
      </x:c>
    </x:row>
    <x:row r="47" ht="112" hidden="0" customHeight="1">
      <x:c r="A47" s="157" t="str">
        <x:v>KOHC</x:v>
      </x:c>
      <x:c r="B47" s="157" t="str">
        <x:v>Interest coverage</x:v>
      </x:c>
      <x:c r="C47" s="157" t="str">
        <x:v>FY2023</x:v>
      </x:c>
      <x:c r="D47" s="158" t="n">
        <x:v>15.14</x:v>
      </x:c>
      <x:c r="E47" s="158" t="n">
        <x:f>KOHC!F159</x:f>
        <x:v>16.398825279873954</x:v>
      </x:c>
      <x:c r="F47" s="158" t="n">
        <x:f>KOHC!F108/(-KOHC!F95)</x:f>
        <x:v>15.14185859445495</x:v>
      </x:c>
      <x:c r="G47" s="162" t="str">
        <x:v>EBIT / all finance cost</x:v>
      </x:c>
      <x:c r="H47" s="162" t="str">
        <x:f>IF(AND(ISNUMBER(D47),ISNUMBER(F47)),IF(ROUND(D47,O47)=ROUND(F47,O47),"Reproduced to precision","Unresolved published value"),"Not comparable")</x:f>
        <x:v>Reproduced to precision</x:v>
      </x:c>
      <x:c r="I47" s="162" t="str">
        <x:v>Tested the source-based convention shown in G against official published precision. Unmatched values remain unresolved; neither the standardized method nor the financial inputs were altered to force agreement.</x:v>
      </x:c>
      <x:c r="J47" s="162" t="str">
        <x:v>FY2025 AR p53 "Key financial data for the last six years" (per-share items split-adjusted 5:1)</x:v>
      </x:c>
      <x:c r="K47" s="162" t="str">
        <x:v>Reconciled (company convention)</x:v>
      </x:c>
      <x:c r="L47" s="162" t="str">
        <x:v>Source comparison</x:v>
      </x:c>
      <x:c r="M47" s="157" t="n">
        <x:f>IF(ISNUMBER(E47),E47-D47,"n/m")</x:f>
        <x:v>1.2588252798739532</x:v>
      </x:c>
      <x:c r="N47" s="157" t="n">
        <x:f>IF(ISNUMBER(F47),F47-D47,"n/m")</x:f>
        <x:v>0.0018585944549496247</x:v>
      </x:c>
      <x:c r="O47" s="157" t="n">
        <x:v>2</x:v>
      </x:c>
    </x:row>
    <x:row r="48" ht="112" hidden="0" customHeight="1">
      <x:c r="A48" s="75" t="str">
        <x:v>KOHC</x:v>
      </x:c>
      <x:c r="B48" s="75" t="str">
        <x:v>Interest coverage</x:v>
      </x:c>
      <x:c r="C48" s="75" t="str">
        <x:v>FY2024</x:v>
      </x:c>
      <x:c r="D48" s="159" t="n">
        <x:v>21.34</x:v>
      </x:c>
      <x:c r="E48" s="159" t="n">
        <x:f>KOHC!G159</x:f>
        <x:v>22.367720224205137</x:v>
      </x:c>
      <x:c r="F48" s="159" t="n">
        <x:f>KOHC!G108/(-KOHC!G95)</x:f>
        <x:v>21.337577009577238</x:v>
      </x:c>
      <x:c r="G48" s="163" t="str">
        <x:v>EBIT / all finance cost</x:v>
      </x:c>
      <x:c r="H48" s="163" t="str">
        <x:f>IF(AND(ISNUMBER(D48),ISNUMBER(F48)),IF(ROUND(D48,O48)=ROUND(F48,O48),"Reproduced to precision","Unresolved published value"),"Not comparable")</x:f>
        <x:v>Reproduced to precision</x:v>
      </x:c>
      <x:c r="I48" s="163" t="str">
        <x:v>Tested the source-based convention shown in G against official published precision. Unmatched values remain unresolved; neither the standardized method nor the financial inputs were altered to force agreement.</x:v>
      </x:c>
      <x:c r="J48" s="163" t="str">
        <x:v>FY2025 AR p53 "Key financial data for the last six years" (per-share items split-adjusted 5:1)</x:v>
      </x:c>
      <x:c r="K48" s="163" t="str">
        <x:v>Reconciled (company convention)</x:v>
      </x:c>
      <x:c r="L48" s="163" t="str">
        <x:v>Source comparison</x:v>
      </x:c>
      <x:c r="M48" s="75" t="n">
        <x:f>IF(ISNUMBER(E48),E48-D48,"n/m")</x:f>
        <x:v>1.0277202242051366</x:v>
      </x:c>
      <x:c r="N48" s="75" t="n">
        <x:f>IF(ISNUMBER(F48),F48-D48,"n/m")</x:f>
        <x:v>-0.0024229904227617283</x:v>
      </x:c>
      <x:c r="O48" s="75" t="n">
        <x:v>2</x:v>
      </x:c>
    </x:row>
    <x:row r="49" ht="112" hidden="0" customHeight="1">
      <x:c r="A49" s="157" t="str">
        <x:v>KOHC</x:v>
      </x:c>
      <x:c r="B49" s="157" t="str">
        <x:v>Interest coverage</x:v>
      </x:c>
      <x:c r="C49" s="157" t="str">
        <x:v>FY2025</x:v>
      </x:c>
      <x:c r="D49" s="158" t="n">
        <x:v>51.72</x:v>
      </x:c>
      <x:c r="E49" s="158" t="n">
        <x:f>KOHC!H159</x:f>
        <x:v>59.09895319837231</x:v>
      </x:c>
      <x:c r="F49" s="158" t="n">
        <x:f>KOHC!H108/(-KOHC!H95)</x:f>
        <x:v>51.71814781745638</x:v>
      </x:c>
      <x:c r="G49" s="162" t="str">
        <x:v>EBIT / all finance cost</x:v>
      </x:c>
      <x:c r="H49" s="162" t="str">
        <x:f>IF(AND(ISNUMBER(D49),ISNUMBER(F49)),IF(ROUND(D49,O49)=ROUND(F49,O49),"Reproduced to precision","Unresolved published value"),"Not comparable")</x:f>
        <x:v>Reproduced to precision</x:v>
      </x:c>
      <x:c r="I49" s="162" t="str">
        <x:v>Tested the source-based convention shown in G against official published precision. Unmatched values remain unresolved; neither the standardized method nor the financial inputs were altered to force agreement.</x:v>
      </x:c>
      <x:c r="J49" s="162" t="str">
        <x:v>FY2025 AR p53 "Key financial data for the last six years" (per-share items split-adjusted 5:1)</x:v>
      </x:c>
      <x:c r="K49" s="162" t="str">
        <x:v>Reconciled (company convention)</x:v>
      </x:c>
      <x:c r="L49" s="162" t="str">
        <x:v>Source comparison</x:v>
      </x:c>
      <x:c r="M49" s="157" t="n">
        <x:f>IF(ISNUMBER(E49),E49-D49,"n/m")</x:f>
        <x:v>7.378953198372308</x:v>
      </x:c>
      <x:c r="N49" s="157" t="n">
        <x:f>IF(ISNUMBER(F49),F49-D49,"n/m")</x:f>
        <x:v>-0.0018521825436224049</x:v>
      </x:c>
      <x:c r="O49" s="157" t="n">
        <x:v>2</x:v>
      </x:c>
    </x:row>
    <x:row r="50" ht="112" hidden="0" customHeight="1">
      <x:c r="A50" s="75" t="str">
        <x:v>KOHC</x:v>
      </x:c>
      <x:c r="B50" s="75" t="str">
        <x:v>Gross profit ratio</x:v>
      </x:c>
      <x:c r="C50" s="75" t="str">
        <x:v>FY2021</x:v>
      </x:c>
      <x:c r="D50" s="160" t="n">
        <x:v>0.248</x:v>
      </x:c>
      <x:c r="E50" s="160" t="n">
        <x:f>KOHC!D161</x:f>
        <x:v>0.2479634130082893</x:v>
      </x:c>
      <x:c r="F50" s="160" t="n">
        <x:f>KOHC!D86/KOHC!D84</x:f>
        <x:v>0.2479634130082893</x:v>
      </x:c>
      <x:c r="G50" s="163" t="str">
        <x:v>Standard definition</x:v>
      </x:c>
      <x:c r="H50" s="163" t="str">
        <x:f>IF(AND(ISNUMBER(D50),ISNUMBER(F50)),IF(ROUND(D50,O50)=ROUND(F50,O50),"Reproduced to precision","Unresolved published value"),"Not comparable")</x:f>
        <x:v>Reproduced to precision</x:v>
      </x:c>
      <x:c r="I50" s="163" t="str">
        <x:v>Tested the source-based convention shown in G against official published precision. Unmatched values remain unresolved; neither the standardized method nor the financial inputs were altered to force agreement.</x:v>
      </x:c>
      <x:c r="J50" s="163" t="str">
        <x:v>FY2025 AR p53 "Key financial data for the last six years" (per-share items split-adjusted 5:1)</x:v>
      </x:c>
      <x:c r="K50" s="163" t="str">
        <x:v>Agrees (same convention)</x:v>
      </x:c>
      <x:c r="L50" s="163" t="str">
        <x:v>Source comparison</x:v>
      </x:c>
      <x:c r="M50" s="75" t="n">
        <x:f>IF(ISNUMBER(E50),E50-D50,"n/m")</x:f>
        <x:v>-0.00003658699171069091</x:v>
      </x:c>
      <x:c r="N50" s="75" t="n">
        <x:f>IF(ISNUMBER(F50),F50-D50,"n/m")</x:f>
        <x:v>-0.00003658699171069091</x:v>
      </x:c>
      <x:c r="O50" s="75" t="n">
        <x:v>4</x:v>
      </x:c>
    </x:row>
    <x:row r="51" ht="112" hidden="0" customHeight="1">
      <x:c r="A51" s="157" t="str">
        <x:v>KOHC</x:v>
      </x:c>
      <x:c r="B51" s="157" t="str">
        <x:v>Gross profit ratio</x:v>
      </x:c>
      <x:c r="C51" s="157" t="str">
        <x:v>FY2022</x:v>
      </x:c>
      <x:c r="D51" s="161" t="n">
        <x:v>0.2984</x:v>
      </x:c>
      <x:c r="E51" s="161" t="n">
        <x:f>KOHC!E161</x:f>
        <x:v>0.2984391421350988</x:v>
      </x:c>
      <x:c r="F51" s="161" t="n">
        <x:f>KOHC!E86/KOHC!E84</x:f>
        <x:v>0.2984391421350988</x:v>
      </x:c>
      <x:c r="G51" s="162" t="str">
        <x:v>Standard definition</x:v>
      </x:c>
      <x:c r="H51" s="162" t="str">
        <x:f>IF(AND(ISNUMBER(D51),ISNUMBER(F51)),IF(ROUND(D51,O51)=ROUND(F51,O51),"Reproduced to precision","Unresolved published value"),"Not comparable")</x:f>
        <x:v>Reproduced to precision</x:v>
      </x:c>
      <x:c r="I51" s="162" t="str">
        <x:v>Tested the source-based convention shown in G against official published precision. Unmatched values remain unresolved; neither the standardized method nor the financial inputs were altered to force agreement.</x:v>
      </x:c>
      <x:c r="J51" s="162" t="str">
        <x:v>FY2025 AR p53 "Key financial data for the last six years" (per-share items split-adjusted 5:1)</x:v>
      </x:c>
      <x:c r="K51" s="162" t="str">
        <x:v>Agrees (same convention)</x:v>
      </x:c>
      <x:c r="L51" s="162" t="str">
        <x:v>Source comparison</x:v>
      </x:c>
      <x:c r="M51" s="157" t="n">
        <x:f>IF(ISNUMBER(E51),E51-D51,"n/m")</x:f>
        <x:v>0.000039142135098813036</x:v>
      </x:c>
      <x:c r="N51" s="157" t="n">
        <x:f>IF(ISNUMBER(F51),F51-D51,"n/m")</x:f>
        <x:v>0.000039142135098813036</x:v>
      </x:c>
      <x:c r="O51" s="157" t="n">
        <x:v>4</x:v>
      </x:c>
    </x:row>
    <x:row r="52" ht="112" hidden="0" customHeight="1">
      <x:c r="A52" s="75" t="str">
        <x:v>KOHC</x:v>
      </x:c>
      <x:c r="B52" s="75" t="str">
        <x:v>Gross profit ratio</x:v>
      </x:c>
      <x:c r="C52" s="75" t="str">
        <x:v>FY2023</x:v>
      </x:c>
      <x:c r="D52" s="160" t="n">
        <x:v>0.268</x:v>
      </x:c>
      <x:c r="E52" s="160" t="n">
        <x:f>KOHC!F161</x:f>
        <x:v>0.2680435681898961</x:v>
      </x:c>
      <x:c r="F52" s="160" t="n">
        <x:f>KOHC!F86/KOHC!F84</x:f>
        <x:v>0.2680435681898961</x:v>
      </x:c>
      <x:c r="G52" s="163" t="str">
        <x:v>Standard definition</x:v>
      </x:c>
      <x:c r="H52" s="163" t="str">
        <x:f>IF(AND(ISNUMBER(D52),ISNUMBER(F52)),IF(ROUND(D52,O52)=ROUND(F52,O52),"Reproduced to precision","Unresolved published value"),"Not comparable")</x:f>
        <x:v>Reproduced to precision</x:v>
      </x:c>
      <x:c r="I52" s="163" t="str">
        <x:v>Tested the source-based convention shown in G against official published precision. Unmatched values remain unresolved; neither the standardized method nor the financial inputs were altered to force agreement.</x:v>
      </x:c>
      <x:c r="J52" s="163" t="str">
        <x:v>FY2025 AR p53 "Key financial data for the last six years" (per-share items split-adjusted 5:1)</x:v>
      </x:c>
      <x:c r="K52" s="163" t="str">
        <x:v>Agrees (same convention)</x:v>
      </x:c>
      <x:c r="L52" s="163" t="str">
        <x:v>Source comparison</x:v>
      </x:c>
      <x:c r="M52" s="75" t="n">
        <x:f>IF(ISNUMBER(E52),E52-D52,"n/m")</x:f>
        <x:v>0.00004356818989609268</x:v>
      </x:c>
      <x:c r="N52" s="75" t="n">
        <x:f>IF(ISNUMBER(F52),F52-D52,"n/m")</x:f>
        <x:v>0.00004356818989609268</x:v>
      </x:c>
      <x:c r="O52" s="75" t="n">
        <x:v>4</x:v>
      </x:c>
    </x:row>
    <x:row r="53" ht="112" hidden="0" customHeight="1">
      <x:c r="A53" s="157" t="str">
        <x:v>KOHC</x:v>
      </x:c>
      <x:c r="B53" s="157" t="str">
        <x:v>Gross profit ratio</x:v>
      </x:c>
      <x:c r="C53" s="157" t="str">
        <x:v>FY2024</x:v>
      </x:c>
      <x:c r="D53" s="161" t="n">
        <x:v>0.2913</x:v>
      </x:c>
      <x:c r="E53" s="161" t="n">
        <x:f>KOHC!G161</x:f>
        <x:v>0.29125851467425595</x:v>
      </x:c>
      <x:c r="F53" s="161" t="n">
        <x:f>KOHC!G86/KOHC!G84</x:f>
        <x:v>0.29125851467425595</x:v>
      </x:c>
      <x:c r="G53" s="162" t="str">
        <x:v>Standard definition</x:v>
      </x:c>
      <x:c r="H53" s="162" t="str">
        <x:f>IF(AND(ISNUMBER(D53),ISNUMBER(F53)),IF(ROUND(D53,O53)=ROUND(F53,O53),"Reproduced to precision","Unresolved published value"),"Not comparable")</x:f>
        <x:v>Reproduced to precision</x:v>
      </x:c>
      <x:c r="I53" s="162" t="str">
        <x:v>Tested the source-based convention shown in G against official published precision. Unmatched values remain unresolved; neither the standardized method nor the financial inputs were altered to force agreement.</x:v>
      </x:c>
      <x:c r="J53" s="162" t="str">
        <x:v>FY2025 AR p53 "Key financial data for the last six years" (per-share items split-adjusted 5:1)</x:v>
      </x:c>
      <x:c r="K53" s="162" t="str">
        <x:v>Agrees (same convention)</x:v>
      </x:c>
      <x:c r="L53" s="162" t="str">
        <x:v>Source comparison</x:v>
      </x:c>
      <x:c r="M53" s="157" t="n">
        <x:f>IF(ISNUMBER(E53),E53-D53,"n/m")</x:f>
        <x:v>-0.000041485325744050616</x:v>
      </x:c>
      <x:c r="N53" s="157" t="n">
        <x:f>IF(ISNUMBER(F53),F53-D53,"n/m")</x:f>
        <x:v>-0.000041485325744050616</x:v>
      </x:c>
      <x:c r="O53" s="157" t="n">
        <x:v>4</x:v>
      </x:c>
    </x:row>
    <x:row r="54" ht="112" hidden="0" customHeight="1">
      <x:c r="A54" s="75" t="str">
        <x:v>KOHC</x:v>
      </x:c>
      <x:c r="B54" s="75" t="str">
        <x:v>Gross profit ratio</x:v>
      </x:c>
      <x:c r="C54" s="75" t="str">
        <x:v>FY2025</x:v>
      </x:c>
      <x:c r="D54" s="160" t="n">
        <x:v>0.3922</x:v>
      </x:c>
      <x:c r="E54" s="160" t="n">
        <x:f>KOHC!H161</x:f>
        <x:v>0.39220278175445145</x:v>
      </x:c>
      <x:c r="F54" s="160" t="n">
        <x:f>KOHC!H86/KOHC!H84</x:f>
        <x:v>0.39220278175445145</x:v>
      </x:c>
      <x:c r="G54" s="163" t="str">
        <x:v>Standard definition</x:v>
      </x:c>
      <x:c r="H54" s="163" t="str">
        <x:f>IF(AND(ISNUMBER(D54),ISNUMBER(F54)),IF(ROUND(D54,O54)=ROUND(F54,O54),"Reproduced to precision","Unresolved published value"),"Not comparable")</x:f>
        <x:v>Reproduced to precision</x:v>
      </x:c>
      <x:c r="I54" s="163" t="str">
        <x:v>Tested the source-based convention shown in G against official published precision. Unmatched values remain unresolved; neither the standardized method nor the financial inputs were altered to force agreement.</x:v>
      </x:c>
      <x:c r="J54" s="163" t="str">
        <x:v>FY2025 AR p53 "Key financial data for the last six years" (per-share items split-adjusted 5:1)</x:v>
      </x:c>
      <x:c r="K54" s="163" t="str">
        <x:v>Agrees (same convention)</x:v>
      </x:c>
      <x:c r="L54" s="163" t="str">
        <x:v>Source comparison</x:v>
      </x:c>
      <x:c r="M54" s="75" t="n">
        <x:f>IF(ISNUMBER(E54),E54-D54,"n/m")</x:f>
        <x:v>0.0000027817544514530113</x:v>
      </x:c>
      <x:c r="N54" s="75" t="n">
        <x:f>IF(ISNUMBER(F54),F54-D54,"n/m")</x:f>
        <x:v>0.0000027817544514530113</x:v>
      </x:c>
      <x:c r="O54" s="75" t="n">
        <x:v>4</x:v>
      </x:c>
    </x:row>
    <x:row r="55" ht="112" hidden="0" customHeight="1">
      <x:c r="A55" s="157" t="str">
        <x:v>KOHC</x:v>
      </x:c>
      <x:c r="B55" s="157" t="str">
        <x:v>Net profit to sales</x:v>
      </x:c>
      <x:c r="C55" s="157" t="str">
        <x:v>FY2021</x:v>
      </x:c>
      <x:c r="D55" s="161" t="n">
        <x:v>0.1454</x:v>
      </x:c>
      <x:c r="E55" s="161" t="n">
        <x:f>KOHC!D163</x:f>
        <x:v>0.1453819089897026</x:v>
      </x:c>
      <x:c r="F55" s="161" t="n">
        <x:f>KOHC!D99/KOHC!D84</x:f>
        <x:v>0.1453819089897026</x:v>
      </x:c>
      <x:c r="G55" s="162" t="str">
        <x:v>Standard definition</x:v>
      </x:c>
      <x:c r="H55" s="162" t="str">
        <x:f>IF(AND(ISNUMBER(D55),ISNUMBER(F55)),IF(ROUND(D55,O55)=ROUND(F55,O55),"Reproduced to precision","Unresolved published value"),"Not comparable")</x:f>
        <x:v>Reproduced to precision</x:v>
      </x:c>
      <x:c r="I55" s="162" t="str">
        <x:v>Tested the source-based convention shown in G against official published precision. Unmatched values remain unresolved; neither the standardized method nor the financial inputs were altered to force agreement.</x:v>
      </x:c>
      <x:c r="J55" s="162" t="str">
        <x:v>FY2025 AR p53 "Key financial data for the last six years" (per-share items split-adjusted 5:1)</x:v>
      </x:c>
      <x:c r="K55" s="162" t="str">
        <x:v>Agrees (same convention)</x:v>
      </x:c>
      <x:c r="L55" s="162" t="str">
        <x:v>Source comparison</x:v>
      </x:c>
      <x:c r="M55" s="157" t="n">
        <x:f>IF(ISNUMBER(E55),E55-D55,"n/m")</x:f>
        <x:v>-0.00001809101029739968</x:v>
      </x:c>
      <x:c r="N55" s="157" t="n">
        <x:f>IF(ISNUMBER(F55),F55-D55,"n/m")</x:f>
        <x:v>-0.00001809101029739968</x:v>
      </x:c>
      <x:c r="O55" s="157" t="n">
        <x:v>4</x:v>
      </x:c>
    </x:row>
    <x:row r="56" ht="112" hidden="0" customHeight="1">
      <x:c r="A56" s="75" t="str">
        <x:v>KOHC</x:v>
      </x:c>
      <x:c r="B56" s="75" t="str">
        <x:v>Net profit to sales</x:v>
      </x:c>
      <x:c r="C56" s="75" t="str">
        <x:v>FY2022</x:v>
      </x:c>
      <x:c r="D56" s="160" t="n">
        <x:v>0.1528</x:v>
      </x:c>
      <x:c r="E56" s="160" t="n">
        <x:f>KOHC!E163</x:f>
        <x:v>0.15282075695786385</x:v>
      </x:c>
      <x:c r="F56" s="160" t="n">
        <x:f>KOHC!E99/KOHC!E84</x:f>
        <x:v>0.15282075695786385</x:v>
      </x:c>
      <x:c r="G56" s="163" t="str">
        <x:v>Standard definition</x:v>
      </x:c>
      <x:c r="H56" s="163" t="str">
        <x:f>IF(AND(ISNUMBER(D56),ISNUMBER(F56)),IF(ROUND(D56,O56)=ROUND(F56,O56),"Reproduced to precision","Unresolved published value"),"Not comparable")</x:f>
        <x:v>Reproduced to precision</x:v>
      </x:c>
      <x:c r="I56" s="163" t="str">
        <x:v>Tested the source-based convention shown in G against official published precision. Unmatched values remain unresolved; neither the standardized method nor the financial inputs were altered to force agreement.</x:v>
      </x:c>
      <x:c r="J56" s="163" t="str">
        <x:v>FY2025 AR p53 "Key financial data for the last six years" (per-share items split-adjusted 5:1)</x:v>
      </x:c>
      <x:c r="K56" s="163" t="str">
        <x:v>Agrees (same convention)</x:v>
      </x:c>
      <x:c r="L56" s="163" t="str">
        <x:v>Source comparison</x:v>
      </x:c>
      <x:c r="M56" s="75" t="n">
        <x:f>IF(ISNUMBER(E56),E56-D56,"n/m")</x:f>
        <x:v>0.000020756957863854453</x:v>
      </x:c>
      <x:c r="N56" s="75" t="n">
        <x:f>IF(ISNUMBER(F56),F56-D56,"n/m")</x:f>
        <x:v>0.000020756957863854453</x:v>
      </x:c>
      <x:c r="O56" s="75" t="n">
        <x:v>4</x:v>
      </x:c>
    </x:row>
    <x:row r="57" ht="112" hidden="0" customHeight="1">
      <x:c r="A57" s="157" t="str">
        <x:v>KOHC</x:v>
      </x:c>
      <x:c r="B57" s="157" t="str">
        <x:v>Net profit to sales</x:v>
      </x:c>
      <x:c r="C57" s="157" t="str">
        <x:v>FY2023</x:v>
      </x:c>
      <x:c r="D57" s="161" t="n">
        <x:v>0.1496</x:v>
      </x:c>
      <x:c r="E57" s="161" t="n">
        <x:f>KOHC!F163</x:f>
        <x:v>0.14955052871384544</x:v>
      </x:c>
      <x:c r="F57" s="161" t="n">
        <x:f>KOHC!F99/KOHC!F84</x:f>
        <x:v>0.14955052871384544</x:v>
      </x:c>
      <x:c r="G57" s="162" t="str">
        <x:v>Standard definition</x:v>
      </x:c>
      <x:c r="H57" s="162" t="str">
        <x:f>IF(AND(ISNUMBER(D57),ISNUMBER(F57)),IF(ROUND(D57,O57)=ROUND(F57,O57),"Reproduced to precision","Unresolved published value"),"Not comparable")</x:f>
        <x:v>Reproduced to precision</x:v>
      </x:c>
      <x:c r="I57" s="162" t="str">
        <x:v>Tested the source-based convention shown in G against official published precision. Unmatched values remain unresolved; neither the standardized method nor the financial inputs were altered to force agreement.</x:v>
      </x:c>
      <x:c r="J57" s="162" t="str">
        <x:v>FY2025 AR p53 "Key financial data for the last six years" (per-share items split-adjusted 5:1)</x:v>
      </x:c>
      <x:c r="K57" s="162" t="str">
        <x:v>Agrees (same convention)</x:v>
      </x:c>
      <x:c r="L57" s="162" t="str">
        <x:v>Source comparison</x:v>
      </x:c>
      <x:c r="M57" s="157" t="n">
        <x:f>IF(ISNUMBER(E57),E57-D57,"n/m")</x:f>
        <x:v>-0.00004947128615456764</x:v>
      </x:c>
      <x:c r="N57" s="157" t="n">
        <x:f>IF(ISNUMBER(F57),F57-D57,"n/m")</x:f>
        <x:v>-0.00004947128615456764</x:v>
      </x:c>
      <x:c r="O57" s="157" t="n">
        <x:v>4</x:v>
      </x:c>
    </x:row>
    <x:row r="58" ht="112" hidden="0" customHeight="1">
      <x:c r="A58" s="75" t="str">
        <x:v>KOHC</x:v>
      </x:c>
      <x:c r="B58" s="75" t="str">
        <x:v>Net profit to sales</x:v>
      </x:c>
      <x:c r="C58" s="75" t="str">
        <x:v>FY2024</x:v>
      </x:c>
      <x:c r="D58" s="160" t="n">
        <x:v>0.2301</x:v>
      </x:c>
      <x:c r="E58" s="160" t="n">
        <x:f>KOHC!G163</x:f>
        <x:v>0.23011561219895646</x:v>
      </x:c>
      <x:c r="F58" s="160" t="n">
        <x:f>KOHC!G99/KOHC!G84</x:f>
        <x:v>0.23011561219895646</x:v>
      </x:c>
      <x:c r="G58" s="163" t="str">
        <x:v>Standard definition</x:v>
      </x:c>
      <x:c r="H58" s="163" t="str">
        <x:f>IF(AND(ISNUMBER(D58),ISNUMBER(F58)),IF(ROUND(D58,O58)=ROUND(F58,O58),"Reproduced to precision","Unresolved published value"),"Not comparable")</x:f>
        <x:v>Reproduced to precision</x:v>
      </x:c>
      <x:c r="I58" s="163" t="str">
        <x:v>Tested the source-based convention shown in G against official published precision. Unmatched values remain unresolved; neither the standardized method nor the financial inputs were altered to force agreement.</x:v>
      </x:c>
      <x:c r="J58" s="163" t="str">
        <x:v>FY2025 AR p53 "Key financial data for the last six years" (per-share items split-adjusted 5:1)</x:v>
      </x:c>
      <x:c r="K58" s="163" t="str">
        <x:v>Agrees (same convention)</x:v>
      </x:c>
      <x:c r="L58" s="163" t="str">
        <x:v>Source comparison</x:v>
      </x:c>
      <x:c r="M58" s="75" t="n">
        <x:f>IF(ISNUMBER(E58),E58-D58,"n/m")</x:f>
        <x:v>0.0000156121989564606</x:v>
      </x:c>
      <x:c r="N58" s="75" t="n">
        <x:f>IF(ISNUMBER(F58),F58-D58,"n/m")</x:f>
        <x:v>0.0000156121989564606</x:v>
      </x:c>
      <x:c r="O58" s="75" t="n">
        <x:v>4</x:v>
      </x:c>
    </x:row>
    <x:row r="59" ht="112" hidden="0" customHeight="1">
      <x:c r="A59" s="157" t="str">
        <x:v>KOHC</x:v>
      </x:c>
      <x:c r="B59" s="157" t="str">
        <x:v>Net profit to sales</x:v>
      </x:c>
      <x:c r="C59" s="157" t="str">
        <x:v>FY2025</x:v>
      </x:c>
      <x:c r="D59" s="161" t="n">
        <x:v>0.3084</x:v>
      </x:c>
      <x:c r="E59" s="161" t="n">
        <x:f>KOHC!H163</x:f>
        <x:v>0.3083771970759486</x:v>
      </x:c>
      <x:c r="F59" s="161" t="n">
        <x:f>KOHC!H99/KOHC!H84</x:f>
        <x:v>0.3083771970759486</x:v>
      </x:c>
      <x:c r="G59" s="162" t="str">
        <x:v>Standard definition</x:v>
      </x:c>
      <x:c r="H59" s="162" t="str">
        <x:f>IF(AND(ISNUMBER(D59),ISNUMBER(F59)),IF(ROUND(D59,O59)=ROUND(F59,O59),"Reproduced to precision","Unresolved published value"),"Not comparable")</x:f>
        <x:v>Reproduced to precision</x:v>
      </x:c>
      <x:c r="I59" s="162" t="str">
        <x:v>Tested the source-based convention shown in G against official published precision. Unmatched values remain unresolved; neither the standardized method nor the financial inputs were altered to force agreement.</x:v>
      </x:c>
      <x:c r="J59" s="162" t="str">
        <x:v>FY2025 AR p53 "Key financial data for the last six years" (per-share items split-adjusted 5:1)</x:v>
      </x:c>
      <x:c r="K59" s="162" t="str">
        <x:v>Agrees (same convention)</x:v>
      </x:c>
      <x:c r="L59" s="162" t="str">
        <x:v>Source comparison</x:v>
      </x:c>
      <x:c r="M59" s="157" t="n">
        <x:f>IF(ISNUMBER(E59),E59-D59,"n/m")</x:f>
        <x:v>-0.000022802924051434914</x:v>
      </x:c>
      <x:c r="N59" s="157" t="n">
        <x:f>IF(ISNUMBER(F59),F59-D59,"n/m")</x:f>
        <x:v>-0.000022802924051434914</x:v>
      </x:c>
      <x:c r="O59" s="157" t="n">
        <x:v>4</x:v>
      </x:c>
    </x:row>
    <x:row r="60" ht="112" hidden="0" customHeight="1">
      <x:c r="A60" s="75" t="str">
        <x:v>KOHC</x:v>
      </x:c>
      <x:c r="B60" s="75" t="str">
        <x:v>Return on equity</x:v>
      </x:c>
      <x:c r="C60" s="75" t="str">
        <x:v>FY2021</x:v>
      </x:c>
      <x:c r="D60" s="160" t="n">
        <x:v>0.1574</x:v>
      </x:c>
      <x:c r="E60" s="160" t="n">
        <x:f>KOHC!D165</x:f>
        <x:v>0.1708175375326949</x:v>
      </x:c>
      <x:c r="F60" s="160" t="n">
        <x:f>KOHC!D99/KOHC!D41</x:f>
        <x:v>0.15737849802466555</x:v>
      </x:c>
      <x:c r="G60" s="163" t="str">
        <x:v>PAT / closing equity</x:v>
      </x:c>
      <x:c r="H60" s="163" t="str">
        <x:f>IF(AND(ISNUMBER(D60),ISNUMBER(F60)),IF(ROUND(D60,O60)=ROUND(F60,O60),"Reproduced to precision","Unresolved published value"),"Not comparable")</x:f>
        <x:v>Reproduced to precision</x:v>
      </x:c>
      <x:c r="I60" s="163" t="str">
        <x:v>Tested the source-based convention shown in G against official published precision. Unmatched values remain unresolved; neither the standardized method nor the financial inputs were altered to force agreement.</x:v>
      </x:c>
      <x:c r="J60" s="163" t="str">
        <x:v>FY2025 AR p53 "Key financial data for the last six years" (per-share items split-adjusted 5:1)</x:v>
      </x:c>
      <x:c r="K60" s="163" t="str">
        <x:v>Reconciled (company convention)</x:v>
      </x:c>
      <x:c r="L60" s="163" t="str">
        <x:v>Source comparison</x:v>
      </x:c>
      <x:c r="M60" s="75" t="n">
        <x:f>IF(ISNUMBER(E60),E60-D60,"n/m")</x:f>
        <x:v>0.013417537532694895</x:v>
      </x:c>
      <x:c r="N60" s="75" t="n">
        <x:f>IF(ISNUMBER(F60),F60-D60,"n/m")</x:f>
        <x:v>-0.00002150197533445919</x:v>
      </x:c>
      <x:c r="O60" s="75" t="n">
        <x:v>4</x:v>
      </x:c>
    </x:row>
    <x:row r="61" ht="112" hidden="0" customHeight="1">
      <x:c r="A61" s="157" t="str">
        <x:v>KOHC</x:v>
      </x:c>
      <x:c r="B61" s="157" t="str">
        <x:v>Return on equity</x:v>
      </x:c>
      <x:c r="C61" s="157" t="str">
        <x:v>FY2022</x:v>
      </x:c>
      <x:c r="D61" s="161" t="n">
        <x:v>0.1844</x:v>
      </x:c>
      <x:c r="E61" s="161" t="n">
        <x:f>KOHC!E165</x:f>
        <x:v>0.2031253153612202</x:v>
      </x:c>
      <x:c r="F61" s="161" t="n">
        <x:f>KOHC!E99/KOHC!E41</x:f>
        <x:v>0.18440283523376622</x:v>
      </x:c>
      <x:c r="G61" s="162" t="str">
        <x:v>PAT / closing equity</x:v>
      </x:c>
      <x:c r="H61" s="162" t="str">
        <x:f>IF(AND(ISNUMBER(D61),ISNUMBER(F61)),IF(ROUND(D61,O61)=ROUND(F61,O61),"Reproduced to precision","Unresolved published value"),"Not comparable")</x:f>
        <x:v>Reproduced to precision</x:v>
      </x:c>
      <x:c r="I61" s="162" t="str">
        <x:v>Tested the source-based convention shown in G against official published precision. Unmatched values remain unresolved; neither the standardized method nor the financial inputs were altered to force agreement.</x:v>
      </x:c>
      <x:c r="J61" s="162" t="str">
        <x:v>FY2025 AR p53 "Key financial data for the last six years" (per-share items split-adjusted 5:1)</x:v>
      </x:c>
      <x:c r="K61" s="162" t="str">
        <x:v>Reconciled (company convention)</x:v>
      </x:c>
      <x:c r="L61" s="162" t="str">
        <x:v>Source comparison</x:v>
      </x:c>
      <x:c r="M61" s="157" t="n">
        <x:f>IF(ISNUMBER(E61),E61-D61,"n/m")</x:f>
        <x:v>0.018725315361220185</x:v>
      </x:c>
      <x:c r="N61" s="157" t="n">
        <x:f>IF(ISNUMBER(F61),F61-D61,"n/m")</x:f>
        <x:v>0.0000028352337662074234</x:v>
      </x:c>
      <x:c r="O61" s="157" t="n">
        <x:v>4</x:v>
      </x:c>
    </x:row>
    <x:row r="62" ht="112" hidden="0" customHeight="1">
      <x:c r="A62" s="75" t="str">
        <x:v>KOHC</x:v>
      </x:c>
      <x:c r="B62" s="75" t="str">
        <x:v>Return on equity</x:v>
      </x:c>
      <x:c r="C62" s="75" t="str">
        <x:v>FY2023</x:v>
      </x:c>
      <x:c r="D62" s="160" t="n">
        <x:v>0.1785</x:v>
      </x:c>
      <x:c r="E62" s="160" t="n">
        <x:f>KOHC!F165</x:f>
        <x:v>0.1944909568032407</x:v>
      </x:c>
      <x:c r="F62" s="160" t="n">
        <x:f>KOHC!F99/KOHC!F41</x:f>
        <x:v>0.17849564911664104</x:v>
      </x:c>
      <x:c r="G62" s="163" t="str">
        <x:v>PAT / closing equity</x:v>
      </x:c>
      <x:c r="H62" s="163" t="str">
        <x:f>IF(AND(ISNUMBER(D62),ISNUMBER(F62)),IF(ROUND(D62,O62)=ROUND(F62,O62),"Reproduced to precision","Unresolved published value"),"Not comparable")</x:f>
        <x:v>Reproduced to precision</x:v>
      </x:c>
      <x:c r="I62" s="163" t="str">
        <x:v>Tested the source-based convention shown in G against official published precision. Unmatched values remain unresolved; neither the standardized method nor the financial inputs were altered to force agreement.</x:v>
      </x:c>
      <x:c r="J62" s="163" t="str">
        <x:v>FY2025 AR p53 "Key financial data for the last six years" (per-share items split-adjusted 5:1)</x:v>
      </x:c>
      <x:c r="K62" s="163" t="str">
        <x:v>Reconciled (company convention)</x:v>
      </x:c>
      <x:c r="L62" s="163" t="str">
        <x:v>Source comparison</x:v>
      </x:c>
      <x:c r="M62" s="75" t="n">
        <x:f>IF(ISNUMBER(E62),E62-D62,"n/m")</x:f>
        <x:v>0.015990956803240697</x:v>
      </x:c>
      <x:c r="N62" s="75" t="n">
        <x:f>IF(ISNUMBER(F62),F62-D62,"n/m")</x:f>
        <x:v>-0.000004350883358955615</x:v>
      </x:c>
      <x:c r="O62" s="75" t="n">
        <x:v>4</x:v>
      </x:c>
    </x:row>
    <x:row r="63" ht="112" hidden="0" customHeight="1">
      <x:c r="A63" s="157" t="str">
        <x:v>KOHC</x:v>
      </x:c>
      <x:c r="B63" s="157" t="str">
        <x:v>Return on equity</x:v>
      </x:c>
      <x:c r="C63" s="157" t="str">
        <x:v>FY2024</x:v>
      </x:c>
      <x:c r="D63" s="161" t="n">
        <x:v>0.2164</x:v>
      </x:c>
      <x:c r="E63" s="161" t="n">
        <x:f>KOHC!G165</x:f>
        <x:v>0.24134090965005384</x:v>
      </x:c>
      <x:c r="F63" s="161" t="n">
        <x:f>KOHC!G99/KOHC!G41</x:f>
        <x:v>0.21643681457260755</x:v>
      </x:c>
      <x:c r="G63" s="162" t="str">
        <x:v>PAT / closing equity</x:v>
      </x:c>
      <x:c r="H63" s="162" t="str">
        <x:f>IF(AND(ISNUMBER(D63),ISNUMBER(F63)),IF(ROUND(D63,O63)=ROUND(F63,O63),"Reproduced to precision","Unresolved published value"),"Not comparable")</x:f>
        <x:v>Reproduced to precision</x:v>
      </x:c>
      <x:c r="I63" s="162" t="str">
        <x:v>Tested the source-based convention shown in G against official published precision. Unmatched values remain unresolved; neither the standardized method nor the financial inputs were altered to force agreement.</x:v>
      </x:c>
      <x:c r="J63" s="162" t="str">
        <x:v>FY2025 AR p53 "Key financial data for the last six years" (per-share items split-adjusted 5:1)</x:v>
      </x:c>
      <x:c r="K63" s="162" t="str">
        <x:v>Reconciled (company convention)</x:v>
      </x:c>
      <x:c r="L63" s="162" t="str">
        <x:v>Source comparison</x:v>
      </x:c>
      <x:c r="M63" s="157" t="n">
        <x:f>IF(ISNUMBER(E63),E63-D63,"n/m")</x:f>
        <x:v>0.024940909650053827</x:v>
      </x:c>
      <x:c r="N63" s="157" t="n">
        <x:f>IF(ISNUMBER(F63),F63-D63,"n/m")</x:f>
        <x:v>0.00003681457260754084</x:v>
      </x:c>
      <x:c r="O63" s="157" t="n">
        <x:v>4</x:v>
      </x:c>
    </x:row>
    <x:row r="64" ht="112" hidden="0" customHeight="1">
      <x:c r="A64" s="75" t="str">
        <x:v>KOHC</x:v>
      </x:c>
      <x:c r="B64" s="75" t="str">
        <x:v>Return on equity</x:v>
      </x:c>
      <x:c r="C64" s="75" t="str">
        <x:v>FY2025</x:v>
      </x:c>
      <x:c r="D64" s="160" t="n">
        <x:v>0.2414</x:v>
      </x:c>
      <x:c r="E64" s="160" t="n">
        <x:f>KOHC!H165</x:f>
        <x:v>0.25998290898160303</x:v>
      </x:c>
      <x:c r="F64" s="160" t="n">
        <x:f>KOHC!H99/KOHC!H41</x:f>
        <x:v>0.24137435208870983</x:v>
      </x:c>
      <x:c r="G64" s="163" t="str">
        <x:v>PAT / closing equity</x:v>
      </x:c>
      <x:c r="H64" s="163" t="str">
        <x:f>IF(AND(ISNUMBER(D64),ISNUMBER(F64)),IF(ROUND(D64,O64)=ROUND(F64,O64),"Reproduced to precision","Unresolved published value"),"Not comparable")</x:f>
        <x:v>Reproduced to precision</x:v>
      </x:c>
      <x:c r="I64" s="163" t="str">
        <x:v>Tested the source-based convention shown in G against official published precision. Unmatched values remain unresolved; neither the standardized method nor the financial inputs were altered to force agreement.</x:v>
      </x:c>
      <x:c r="J64" s="163" t="str">
        <x:v>FY2025 AR p53 "Key financial data for the last six years" (per-share items split-adjusted 5:1)</x:v>
      </x:c>
      <x:c r="K64" s="163" t="str">
        <x:v>Reconciled (company convention)</x:v>
      </x:c>
      <x:c r="L64" s="163" t="str">
        <x:v>Source comparison</x:v>
      </x:c>
      <x:c r="M64" s="75" t="n">
        <x:f>IF(ISNUMBER(E64),E64-D64,"n/m")</x:f>
        <x:v>0.01858290898160303</x:v>
      </x:c>
      <x:c r="N64" s="75" t="n">
        <x:f>IF(ISNUMBER(F64),F64-D64,"n/m")</x:f>
        <x:v>-0.000025647911290171965</x:v>
      </x:c>
      <x:c r="O64" s="75" t="n">
        <x:v>4</x:v>
      </x:c>
    </x:row>
    <x:row r="65" ht="112" hidden="0" customHeight="1">
      <x:c r="A65" s="157" t="str">
        <x:v>KOHC</x:v>
      </x:c>
      <x:c r="B65" s="157" t="str">
        <x:v>Price earning ratio</x:v>
      </x:c>
      <x:c r="C65" s="157" t="str">
        <x:v>FY2021</x:v>
      </x:c>
      <x:c r="D65" s="158" t="n">
        <x:v>11.86</x:v>
      </x:c>
      <x:c r="E65" s="158" t="n">
        <x:f>KOHC!D172</x:f>
        <x:v>11.858688571154802</x:v>
      </x:c>
      <x:c r="F65" s="158" t="n">
        <x:f>'PSX Prices'!F6/(KOHC!D99/'PSX Prices'!O6)</x:f>
        <x:v>11.859262869598847</x:v>
      </x:c>
      <x:c r="G65" s="162" t="str">
        <x:v>Report price / unrounded report-basis EPS</x:v>
      </x:c>
      <x:c r="H65" s="162" t="str">
        <x:f>IF(AND(ISNUMBER(D65),ISNUMBER(F65)),IF(ROUND(D65,O65)=ROUND(F65,O65),"Reproduced to precision","Unresolved published value"),"Not comparable")</x:f>
        <x:v>Reproduced to precision</x:v>
      </x:c>
      <x:c r="I65" s="162" t="str">
        <x:v>Tested the source-based convention shown in G against official published precision. Unmatched values remain unresolved; neither the standardized method nor the financial inputs were altered to force agreement.</x:v>
      </x:c>
      <x:c r="J65" s="162" t="str">
        <x:v>FY2025 AR p53 "Key financial data for the last six years" (per-share items split-adjusted 5:1)</x:v>
      </x:c>
      <x:c r="K65" s="162" t="str">
        <x:v>Market recheck</x:v>
      </x:c>
      <x:c r="L65" s="162" t="str">
        <x:v>Source comparison</x:v>
      </x:c>
      <x:c r="M65" s="157" t="n">
        <x:f>IF(ISNUMBER(E65),E65-D65,"n/m")</x:f>
        <x:v>-0.0013114288451969713</x:v>
      </x:c>
      <x:c r="N65" s="157" t="n">
        <x:f>IF(ISNUMBER(F65),F65-D65,"n/m")</x:f>
        <x:v>-0.0007371304011520863</x:v>
      </x:c>
      <x:c r="O65" s="157" t="n">
        <x:v>2</x:v>
      </x:c>
    </x:row>
    <x:row r="66" ht="112" hidden="0" customHeight="1">
      <x:c r="A66" s="75" t="str">
        <x:v>KOHC</x:v>
      </x:c>
      <x:c r="B66" s="75" t="str">
        <x:v>Price earning ratio</x:v>
      </x:c>
      <x:c r="C66" s="75" t="str">
        <x:v>FY2022</x:v>
      </x:c>
      <x:c r="D66" s="159" t="n">
        <x:v>5.2</x:v>
      </x:c>
      <x:c r="E66" s="159" t="n">
        <x:f>KOHC!E172</x:f>
        <x:v>5.202353217973155</x:v>
      </x:c>
      <x:c r="F66" s="159" t="n">
        <x:f>'PSX Prices'!F7/(KOHC!E99/'PSX Prices'!O7)</x:f>
        <x:v>5.203152780444218</x:v>
      </x:c>
      <x:c r="G66" s="163" t="str">
        <x:v>Report price / unrounded report-basis EPS</x:v>
      </x:c>
      <x:c r="H66" s="163" t="str">
        <x:f>IF(AND(ISNUMBER(D66),ISNUMBER(F66)),IF(ROUND(D66,O66)=ROUND(F66,O66),"Reproduced to precision","Unresolved published value"),"Not comparable")</x:f>
        <x:v>Reproduced to precision</x:v>
      </x:c>
      <x:c r="I66" s="163" t="str">
        <x:v>Tested the source-based convention shown in G against official published precision. Unmatched values remain unresolved; neither the standardized method nor the financial inputs were altered to force agreement.</x:v>
      </x:c>
      <x:c r="J66" s="163" t="str">
        <x:v>FY2025 AR p53 "Key financial data for the last six years" (per-share items split-adjusted 5:1)</x:v>
      </x:c>
      <x:c r="K66" s="163" t="str">
        <x:v>Market recheck</x:v>
      </x:c>
      <x:c r="L66" s="163" t="str">
        <x:v>Source comparison</x:v>
      </x:c>
      <x:c r="M66" s="75" t="n">
        <x:f>IF(ISNUMBER(E66),E66-D66,"n/m")</x:f>
        <x:v>0.0023532179731544645</x:v>
      </x:c>
      <x:c r="N66" s="75" t="n">
        <x:f>IF(ISNUMBER(F66),F66-D66,"n/m")</x:f>
        <x:v>0.00315278044421774</x:v>
      </x:c>
      <x:c r="O66" s="75" t="n">
        <x:v>2</x:v>
      </x:c>
    </x:row>
    <x:row r="67" ht="112" hidden="0" customHeight="1">
      <x:c r="A67" s="157" t="str">
        <x:v>KOHC</x:v>
      </x:c>
      <x:c r="B67" s="157" t="str">
        <x:v>Price earning ratio</x:v>
      </x:c>
      <x:c r="C67" s="157" t="str">
        <x:v>FY2023</x:v>
      </x:c>
      <x:c r="D67" s="158" t="n">
        <x:v>5.99</x:v>
      </x:c>
      <x:c r="E67" s="158" t="n">
        <x:f>KOHC!F172</x:f>
        <x:v>5.986067488990722</x:v>
      </x:c>
      <x:c r="F67" s="158" t="n">
        <x:f>'PSX Prices'!F8/(KOHC!F99/'PSX Prices'!O8)</x:f>
        <x:v>5.985377333057246</x:v>
      </x:c>
      <x:c r="G67" s="162" t="str">
        <x:v>Report price / unrounded report-basis EPS</x:v>
      </x:c>
      <x:c r="H67" s="162" t="str">
        <x:f>IF(AND(ISNUMBER(D67),ISNUMBER(F67)),IF(ROUND(D67,O67)=ROUND(F67,O67),"Reproduced to precision","Unresolved published value"),"Not comparable")</x:f>
        <x:v>Reproduced to precision</x:v>
      </x:c>
      <x:c r="I67" s="162" t="str">
        <x:v>Tested the source-based convention shown in G against official published precision. Unmatched values remain unresolved; neither the standardized method nor the financial inputs were altered to force agreement.</x:v>
      </x:c>
      <x:c r="J67" s="162" t="str">
        <x:v>FY2025 AR p53 "Key financial data for the last six years" (per-share items split-adjusted 5:1)</x:v>
      </x:c>
      <x:c r="K67" s="162" t="str">
        <x:v>Market recheck</x:v>
      </x:c>
      <x:c r="L67" s="162" t="str">
        <x:v>Source comparison</x:v>
      </x:c>
      <x:c r="M67" s="157" t="n">
        <x:f>IF(ISNUMBER(E67),E67-D67,"n/m")</x:f>
        <x:v>-0.003932511009278272</x:v>
      </x:c>
      <x:c r="N67" s="157" t="n">
        <x:f>IF(ISNUMBER(F67),F67-D67,"n/m")</x:f>
        <x:v>-0.004622666942753817</x:v>
      </x:c>
      <x:c r="O67" s="157" t="n">
        <x:v>2</x:v>
      </x:c>
    </x:row>
    <x:row r="68" ht="112" hidden="0" customHeight="1">
      <x:c r="A68" s="75" t="str">
        <x:v>KOHC</x:v>
      </x:c>
      <x:c r="B68" s="75" t="str">
        <x:v>Price earning ratio</x:v>
      </x:c>
      <x:c r="C68" s="75" t="str">
        <x:v>FY2024</x:v>
      </x:c>
      <x:c r="D68" s="159" t="n">
        <x:v>5.41</x:v>
      </x:c>
      <x:c r="E68" s="159" t="n">
        <x:f>KOHC!G172</x:f>
        <x:v>5.531397528519306</x:v>
      </x:c>
      <x:c r="F68" s="159" t="n">
        <x:f>'PSX Prices'!F9/(KOHC!G99/'PSX Prices'!O9)</x:f>
        <x:v>5.411461863543624</x:v>
      </x:c>
      <x:c r="G68" s="163" t="str">
        <x:v>Report price / unrounded report-basis EPS</x:v>
      </x:c>
      <x:c r="H68" s="163" t="str">
        <x:f>IF(AND(ISNUMBER(D68),ISNUMBER(F68)),IF(ROUND(D68,O68)=ROUND(F68,O68),"Reproduced to precision","Unresolved published value"),"Not comparable")</x:f>
        <x:v>Reproduced to precision</x:v>
      </x:c>
      <x:c r="I68" s="163" t="str">
        <x:v>Tested the source-based convention shown in G against official published precision. Unmatched values remain unresolved; neither the standardized method nor the financial inputs were altered to force agreement.</x:v>
      </x:c>
      <x:c r="J68" s="163" t="str">
        <x:v>FY2025 AR p53 "Key financial data for the last six years" (per-share items split-adjusted 5:1)</x:v>
      </x:c>
      <x:c r="K68" s="163" t="str">
        <x:v>Market recheck</x:v>
      </x:c>
      <x:c r="L68" s="163" t="str">
        <x:v>Source comparison</x:v>
      </x:c>
      <x:c r="M68" s="75" t="n">
        <x:f>IF(ISNUMBER(E68),E68-D68,"n/m")</x:f>
        <x:v>0.12139752851930563</x:v>
      </x:c>
      <x:c r="N68" s="75" t="n">
        <x:f>IF(ISNUMBER(F68),F68-D68,"n/m")</x:f>
        <x:v>0.0014618635436240979</x:v>
      </x:c>
      <x:c r="O68" s="75" t="n">
        <x:v>2</x:v>
      </x:c>
    </x:row>
    <x:row r="69" ht="112" hidden="0" customHeight="1">
      <x:c r="A69" s="157" t="str">
        <x:v>KOHC</x:v>
      </x:c>
      <x:c r="B69" s="157" t="str">
        <x:v>Price earning ratio</x:v>
      </x:c>
      <x:c r="C69" s="157" t="str">
        <x:v>FY2025</x:v>
      </x:c>
      <x:c r="D69" s="158" t="n">
        <x:v>6.32</x:v>
      </x:c>
      <x:c r="E69" s="158" t="n">
        <x:f>KOHC!H172</x:f>
        <x:v>6.339354531361382</x:v>
      </x:c>
      <x:c r="F69" s="158" t="n">
        <x:f>'PSX Prices'!F10/(KOHC!H99/'PSX Prices'!O10)</x:f>
        <x:v>6.322476768611817</x:v>
      </x:c>
      <x:c r="G69" s="162" t="str">
        <x:v>Report price / unrounded report-basis EPS</x:v>
      </x:c>
      <x:c r="H69" s="162" t="str">
        <x:f>IF(AND(ISNUMBER(D69),ISNUMBER(F69)),IF(ROUND(D69,O69)=ROUND(F69,O69),"Reproduced to precision","Unresolved published value"),"Not comparable")</x:f>
        <x:v>Reproduced to precision</x:v>
      </x:c>
      <x:c r="I69" s="162" t="str">
        <x:v>Tested the source-based convention shown in G against official published precision. Unmatched values remain unresolved; neither the standardized method nor the financial inputs were altered to force agreement.</x:v>
      </x:c>
      <x:c r="J69" s="162" t="str">
        <x:v>FY2025 AR p53 "Key financial data for the last six years" (per-share items split-adjusted 5:1)</x:v>
      </x:c>
      <x:c r="K69" s="162" t="str">
        <x:v>Market recheck</x:v>
      </x:c>
      <x:c r="L69" s="162" t="str">
        <x:v>Source comparison</x:v>
      </x:c>
      <x:c r="M69" s="157" t="n">
        <x:f>IF(ISNUMBER(E69),E69-D69,"n/m")</x:f>
        <x:v>0.019354531361381433</x:v>
      </x:c>
      <x:c r="N69" s="157" t="n">
        <x:f>IF(ISNUMBER(F69),F69-D69,"n/m")</x:f>
        <x:v>0.00247676861181656</x:v>
      </x:c>
      <x:c r="O69" s="157" t="n">
        <x:v>2</x:v>
      </x:c>
    </x:row>
    <x:row r="70" ht="112" hidden="0" customHeight="1">
      <x:c r="A70" s="75" t="str">
        <x:v>KOHC</x:v>
      </x:c>
      <x:c r="B70" s="75" t="str">
        <x:v>Price to book ratio</x:v>
      </x:c>
      <x:c r="C70" s="75" t="str">
        <x:v>FY2021</x:v>
      </x:c>
      <x:c r="D70" s="159" t="n">
        <x:v>0.23</x:v>
      </x:c>
      <x:c r="E70" s="159" t="n">
        <x:f>KOHC!D170</x:f>
        <x:v>1.8663025958706099</x:v>
      </x:c>
      <x:c r="F70" s="159" t="n">
        <x:f>'PSX Prices'!F6/'PSX Prices'!M6</x:f>
        <x:v>1.8662449164030728</x:v>
      </x:c>
      <x:c r="G70" s="163" t="str">
        <x:v>Report price / reported BVPS</x:v>
      </x:c>
      <x:c r="H70" s="163" t="str">
        <x:f>IF(AND(ISNUMBER(D70),ISNUMBER(F70)),IF(ROUND(D70,O70)=ROUND(F70,O70),"Reproduced to precision","Unresolved published value"),"Not comparable")</x:f>
        <x:v>Unresolved published value</x:v>
      </x:c>
      <x:c r="I70" s="163" t="str">
        <x:v>Official glossary supports investigating tangible ASSETS rather than net book EQUITY. ColumnP tests one consistent diagnostic using the report share basis; it matches FY2024-25 and is five times FY2021-23 printed ratios. Mixed historical split treatment remains inconsistent with the report footnote. No historical PSX price or standardized ratio is adjusted.</x:v>
      </x:c>
      <x:c r="J70" s="163" t="str">
        <x:v>FY2025 AR p53 "Key financial data for the last six years" (per-share items split-adjusted 5:1)</x:v>
      </x:c>
      <x:c r="K70" s="163" t="str">
        <x:v>Published value unresolved</x:v>
      </x:c>
      <x:c r="L70" s="163" t="str">
        <x:v>Unresolved official market-series inconsistency</x:v>
      </x:c>
      <x:c r="M70" s="75" t="n">
        <x:f>IF(ISNUMBER(E70),E70-D70,"n/m")</x:f>
        <x:v>1.6363025958706099</x:v>
      </x:c>
      <x:c r="N70" s="75" t="n">
        <x:f>IF(ISNUMBER(F70),F70-D70,"n/m")</x:f>
        <x:v>1.6362449164030728</x:v>
      </x:c>
      <x:c r="O70" s="75" t="n">
        <x:v>2</x:v>
      </x:c>
      <x:c r="P70" s="182" t="n">
        <x:f>'PSX Prices'!F6*'PSX Prices'!O6/(KOHC!D37-KOHC!D24)</x:f>
        <x:v>1.1496018030337543</x:v>
      </x:c>
      <x:c r="Q70" s="174" t="str">
        <x:v>The official glossary (FY2025 PDF p54) refers to assets less intangibles, rather than equity. This uniform report-price x report-weighted-shares / tangible-assets diagnostic gives about1.15/0.60/0.70/0.82/1.10. FY2021-23 printed ratios are a further division by5; FY2024-25 match this alternative denominator. The glossary omits a per-share conversion and does not specify weighted shares. This is a strong official-source lead, not confirmation of a coherent P/B definition or split basis. Main MTB uses equity and the actual PSX close.</x:v>
      </x:c>
    </x:row>
    <x:row r="71" ht="112" hidden="0" customHeight="1">
      <x:c r="A71" s="157" t="str">
        <x:v>KOHC</x:v>
      </x:c>
      <x:c r="B71" s="157" t="str">
        <x:v>Price to book ratio</x:v>
      </x:c>
      <x:c r="C71" s="157" t="str">
        <x:v>FY2022</x:v>
      </x:c>
      <x:c r="D71" s="158" t="n">
        <x:v>0.12</x:v>
      </x:c>
      <x:c r="E71" s="158" t="n">
        <x:f>KOHC!E170</x:f>
        <x:v>0.959328683281757</x:v>
      </x:c>
      <x:c r="F71" s="158" t="n">
        <x:f>'PSX Prices'!F7/'PSX Prices'!M7</x:f>
        <x:v>0.9594544784371545</x:v>
      </x:c>
      <x:c r="G71" s="162" t="str">
        <x:v>Report price / reported BVPS</x:v>
      </x:c>
      <x:c r="H71" s="162" t="str">
        <x:f>IF(AND(ISNUMBER(D71),ISNUMBER(F71)),IF(ROUND(D71,O71)=ROUND(F71,O71),"Reproduced to precision","Unresolved published value"),"Not comparable")</x:f>
        <x:v>Unresolved published value</x:v>
      </x:c>
      <x:c r="I71" s="162" t="str">
        <x:v>Official glossary supports investigating tangible ASSETS rather than net book EQUITY. ColumnP tests one consistent diagnostic using the report share basis; it matches FY2024-25 and is five times FY2021-23 printed ratios. Mixed historical split treatment remains inconsistent with the report footnote. No historical PSX price or standardized ratio is adjusted.</x:v>
      </x:c>
      <x:c r="J71" s="162" t="str">
        <x:v>FY2025 AR p53 "Key financial data for the last six years" (per-share items split-adjusted 5:1)</x:v>
      </x:c>
      <x:c r="K71" s="162" t="str">
        <x:v>Published value unresolved</x:v>
      </x:c>
      <x:c r="L71" s="162" t="str">
        <x:v>Unresolved official market-series inconsistency</x:v>
      </x:c>
      <x:c r="M71" s="157" t="n">
        <x:f>IF(ISNUMBER(E71),E71-D71,"n/m")</x:f>
        <x:v>0.839328683281757</x:v>
      </x:c>
      <x:c r="N71" s="157" t="n">
        <x:f>IF(ISNUMBER(F71),F71-D71,"n/m")</x:f>
        <x:v>0.8394544784371545</x:v>
      </x:c>
      <x:c r="O71" s="157" t="n">
        <x:v>2</x:v>
      </x:c>
      <x:c r="P71" s="182" t="n">
        <x:f>'PSX Prices'!F7*'PSX Prices'!O7/(KOHC!E37-KOHC!E24)</x:f>
        <x:v>0.6030755286384653</x:v>
      </x:c>
      <x:c r="Q71" s="174" t="str">
        <x:v>The official glossary (FY2025 PDF p54) refers to assets less intangibles, rather than equity. This uniform report-price x report-weighted-shares / tangible-assets diagnostic gives about1.15/0.60/0.70/0.82/1.10. FY2021-23 printed ratios are a further division by5; FY2024-25 match this alternative denominator. The glossary omits a per-share conversion and does not specify weighted shares. This is a strong official-source lead, not confirmation of a coherent P/B definition or split basis. Main MTB uses equity and the actual PSX close.</x:v>
      </x:c>
    </x:row>
    <x:row r="72" ht="112" hidden="0" customHeight="1">
      <x:c r="A72" s="75" t="str">
        <x:v>KOHC</x:v>
      </x:c>
      <x:c r="B72" s="75" t="str">
        <x:v>Price to book ratio</x:v>
      </x:c>
      <x:c r="C72" s="75" t="str">
        <x:v>FY2023</x:v>
      </x:c>
      <x:c r="D72" s="159" t="n">
        <x:v>0.14</x:v>
      </x:c>
      <x:c r="E72" s="159" t="n">
        <x:f>KOHC!F170</x:f>
        <x:v>1.0684870021034203</x:v>
      </x:c>
      <x:c r="F72" s="159" t="n">
        <x:f>'PSX Prices'!F8/'PSX Prices'!M8</x:f>
        <x:v>1.0683708038189097</x:v>
      </x:c>
      <x:c r="G72" s="163" t="str">
        <x:v>Report price / reported BVPS</x:v>
      </x:c>
      <x:c r="H72" s="163" t="str">
        <x:f>IF(AND(ISNUMBER(D72),ISNUMBER(F72)),IF(ROUND(D72,O72)=ROUND(F72,O72),"Reproduced to precision","Unresolved published value"),"Not comparable")</x:f>
        <x:v>Unresolved published value</x:v>
      </x:c>
      <x:c r="I72" s="163" t="str">
        <x:v>Official glossary supports investigating tangible ASSETS rather than net book EQUITY. ColumnP tests one consistent diagnostic using the report share basis; it matches FY2024-25 and is five times FY2021-23 printed ratios. Mixed historical split treatment remains inconsistent with the report footnote. No historical PSX price or standardized ratio is adjusted.</x:v>
      </x:c>
      <x:c r="J72" s="163" t="str">
        <x:v>FY2025 AR p53 "Key financial data for the last six years" (per-share items split-adjusted 5:1)</x:v>
      </x:c>
      <x:c r="K72" s="163" t="str">
        <x:v>Published value unresolved</x:v>
      </x:c>
      <x:c r="L72" s="163" t="str">
        <x:v>Unresolved official market-series inconsistency</x:v>
      </x:c>
      <x:c r="M72" s="75" t="n">
        <x:f>IF(ISNUMBER(E72),E72-D72,"n/m")</x:f>
        <x:v>0.9284870021034203</x:v>
      </x:c>
      <x:c r="N72" s="75" t="n">
        <x:f>IF(ISNUMBER(F72),F72-D72,"n/m")</x:f>
        <x:v>0.9283708038189097</x:v>
      </x:c>
      <x:c r="O72" s="75" t="n">
        <x:v>2</x:v>
      </x:c>
      <x:c r="P72" s="182" t="n">
        <x:f>'PSX Prices'!F8*'PSX Prices'!O8/(KOHC!F37-KOHC!F24)</x:f>
        <x:v>0.7034209889789338</x:v>
      </x:c>
      <x:c r="Q72" s="174" t="str">
        <x:v>The official glossary (FY2025 PDF p54) refers to assets less intangibles, rather than equity. This uniform report-price x report-weighted-shares / tangible-assets diagnostic gives about1.15/0.60/0.70/0.82/1.10. FY2021-23 printed ratios are a further division by5; FY2024-25 match this alternative denominator. The glossary omits a per-share conversion and does not specify weighted shares. This is a strong official-source lead, not confirmation of a coherent P/B definition or split basis. Main MTB uses equity and the actual PSX close.</x:v>
      </x:c>
    </x:row>
    <x:row r="73" ht="112" hidden="0" customHeight="1">
      <x:c r="A73" s="157" t="str">
        <x:v>KOHC</x:v>
      </x:c>
      <x:c r="B73" s="157" t="str">
        <x:v>Price to book ratio</x:v>
      </x:c>
      <x:c r="C73" s="157" t="str">
        <x:v>FY2024</x:v>
      </x:c>
      <x:c r="D73" s="158" t="n">
        <x:v>0.82</x:v>
      </x:c>
      <x:c r="E73" s="158" t="n">
        <x:f>KOHC!G170</x:f>
        <x:v>1.1937011482475721</x:v>
      </x:c>
      <x:c r="F73" s="158" t="n">
        <x:f>'PSX Prices'!F9/'PSX Prices'!M9</x:f>
        <x:v>1.1711281070745696</x:v>
      </x:c>
      <x:c r="G73" s="162" t="str">
        <x:v>Report price / reported BVPS</x:v>
      </x:c>
      <x:c r="H73" s="162" t="str">
        <x:f>IF(AND(ISNUMBER(D73),ISNUMBER(F73)),IF(ROUND(D73,O73)=ROUND(F73,O73),"Reproduced to precision","Unresolved published value"),"Not comparable")</x:f>
        <x:v>Unresolved published value</x:v>
      </x:c>
      <x:c r="I73" s="162" t="str">
        <x:v>Official glossary supports investigating tangible ASSETS rather than net book EQUITY. ColumnP tests one consistent diagnostic using the report share basis; it matches FY2024-25 and is five times FY2021-23 printed ratios. Mixed historical split treatment remains inconsistent with the report footnote. No historical PSX price or standardized ratio is adjusted.</x:v>
      </x:c>
      <x:c r="J73" s="162" t="str">
        <x:v>FY2025 AR p53 "Key financial data for the last six years" (per-share items split-adjusted 5:1)</x:v>
      </x:c>
      <x:c r="K73" s="162" t="str">
        <x:v>Published value unresolved</x:v>
      </x:c>
      <x:c r="L73" s="162" t="str">
        <x:v>Unresolved official market-series inconsistency</x:v>
      </x:c>
      <x:c r="M73" s="157" t="n">
        <x:f>IF(ISNUMBER(E73),E73-D73,"n/m")</x:f>
        <x:v>0.37370114824757217</x:v>
      </x:c>
      <x:c r="N73" s="157" t="n">
        <x:f>IF(ISNUMBER(F73),F73-D73,"n/m")</x:f>
        <x:v>0.35112810707456965</x:v>
      </x:c>
      <x:c r="O73" s="157" t="n">
        <x:v>2</x:v>
      </x:c>
      <x:c r="P73" s="182" t="n">
        <x:f>'PSX Prices'!F9*'PSX Prices'!O9/(KOHC!G37-KOHC!G24)</x:f>
        <x:v>0.8178842963151736</x:v>
      </x:c>
      <x:c r="Q73" s="174" t="str">
        <x:v>The official glossary (FY2025 PDF p54) refers to assets less intangibles, rather than equity. This uniform report-price x report-weighted-shares / tangible-assets diagnostic gives about1.15/0.60/0.70/0.82/1.10. FY2021-23 printed ratios are a further division by5; FY2024-25 match this alternative denominator. The glossary omits a per-share conversion and does not specify weighted shares. This is a strong official-source lead, not confirmation of a coherent P/B definition or split basis. Main MTB uses equity and the actual PSX close.</x:v>
      </x:c>
    </x:row>
    <x:row r="74" ht="112" hidden="0" customHeight="1">
      <x:c r="A74" s="75" t="str">
        <x:v>KOHC</x:v>
      </x:c>
      <x:c r="B74" s="75" t="str">
        <x:v>Price to book ratio</x:v>
      </x:c>
      <x:c r="C74" s="75" t="str">
        <x:v>FY2025</x:v>
      </x:c>
      <x:c r="D74" s="159" t="n">
        <x:v>1.1</x:v>
      </x:c>
      <x:c r="E74" s="159" t="n">
        <x:f>KOHC!H170</x:f>
        <x:v>1.4544747850514033</x:v>
      </x:c>
      <x:c r="F74" s="159" t="n">
        <x:f>'PSX Prices'!F10/'PSX Prices'!M10</x:f>
        <x:v>1.5262202501008473</x:v>
      </x:c>
      <x:c r="G74" s="163" t="str">
        <x:v>Report price / reported BVPS</x:v>
      </x:c>
      <x:c r="H74" s="163" t="str">
        <x:f>IF(AND(ISNUMBER(D74),ISNUMBER(F74)),IF(ROUND(D74,O74)=ROUND(F74,O74),"Reproduced to precision","Unresolved published value"),"Not comparable")</x:f>
        <x:v>Unresolved published value</x:v>
      </x:c>
      <x:c r="I74" s="163" t="str">
        <x:v>Official glossary supports investigating tangible ASSETS rather than net book EQUITY. ColumnP tests one consistent diagnostic using the report share basis; it matches FY2024-25 and is five times FY2021-23 printed ratios. Mixed historical split treatment remains inconsistent with the report footnote. No historical PSX price or standardized ratio is adjusted.</x:v>
      </x:c>
      <x:c r="J74" s="163" t="str">
        <x:v>FY2025 AR p53 "Key financial data for the last six years" (per-share items split-adjusted 5:1)</x:v>
      </x:c>
      <x:c r="K74" s="163" t="str">
        <x:v>Published value unresolved</x:v>
      </x:c>
      <x:c r="L74" s="163" t="str">
        <x:v>Unresolved official market-series inconsistency</x:v>
      </x:c>
      <x:c r="M74" s="75" t="n">
        <x:f>IF(ISNUMBER(E74),E74-D74,"n/m")</x:f>
        <x:v>0.3544747850514032</x:v>
      </x:c>
      <x:c r="N74" s="75" t="n">
        <x:f>IF(ISNUMBER(F74),F74-D74,"n/m")</x:f>
        <x:v>0.4262202501008472</x:v>
      </x:c>
      <x:c r="O74" s="75" t="n">
        <x:v>2</x:v>
      </x:c>
      <x:c r="P74" s="182" t="n">
        <x:f>'PSX Prices'!F10*'PSX Prices'!O10/(KOHC!H37-KOHC!H24)</x:f>
        <x:v>1.0956610729127918</x:v>
      </x:c>
      <x:c r="Q74" s="174" t="str">
        <x:v>The official glossary (FY2025 PDF p54) refers to assets less intangibles, rather than equity. This uniform report-price x report-weighted-shares / tangible-assets diagnostic gives about1.15/0.60/0.70/0.82/1.10. FY2021-23 printed ratios are a further division by5; FY2024-25 match this alternative denominator. The glossary omits a per-share conversion and does not specify weighted shares. This is a strong official-source lead, not confirmation of a coherent P/B definition or split basis. Main MTB uses equity and the actual PSX close.</x:v>
      </x:c>
    </x:row>
    <x:row r="75" ht="112" hidden="0" customHeight="1">
      <x:c r="A75" s="157" t="str">
        <x:v>KOHC</x:v>
      </x:c>
      <x:c r="B75" s="157" t="str">
        <x:v>Debt : equity (debt share of debt + equity)</x:v>
      </x:c>
      <x:c r="C75" s="157" t="str">
        <x:v>FY2021</x:v>
      </x:c>
      <x:c r="D75" s="161" t="n">
        <x:v>0.21</x:v>
      </x:c>
      <x:c r="E75" s="161" t="n">
        <x:f>KOHC!D157</x:f>
        <x:v>0.21400284667161887</x:v>
      </x:c>
      <x:c r="F75" s="161" t="n">
        <x:f>KOHC!D66/(KOHC!D66+KOHC!D41)</x:f>
        <x:v>0.21400284667161887</x:v>
      </x:c>
      <x:c r="G75" s="162" t="str">
        <x:v>Interest-bearing debt / (IBD + equity)</x:v>
      </x:c>
      <x:c r="H75" s="162" t="str">
        <x:f>IF(AND(ISNUMBER(D75),ISNUMBER(F75)),IF(ROUND(D75,O75)=ROUND(F75,O75),"Reproduced to precision","Unresolved published value"),"Not comparable")</x:f>
        <x:v>Reproduced to precision</x:v>
      </x:c>
      <x:c r="I75" s="162" t="str">
        <x:v>Company prints debt : equity as whole-percentage shares of debt plus equity (e.g. 21:79); reconstruction is compared at that whole-percentage precision, not at two decimal percentage points.</x:v>
      </x:c>
      <x:c r="J75" s="162" t="str">
        <x:v>FY2025 AR p53 "Key financial data for the last six years" (per-share items split-adjusted 5:1)</x:v>
      </x:c>
      <x:c r="K75" s="162" t="str">
        <x:v>Agrees (same convention)</x:v>
      </x:c>
      <x:c r="L75" s="162" t="str">
        <x:v>Source comparison</x:v>
      </x:c>
      <x:c r="M75" s="157" t="n">
        <x:f>IF(ISNUMBER(E75),E75-D75,"n/m")</x:f>
        <x:v>0.004002846671618876</x:v>
      </x:c>
      <x:c r="N75" s="157" t="n">
        <x:f>IF(ISNUMBER(F75),F75-D75,"n/m")</x:f>
        <x:v>0.004002846671618876</x:v>
      </x:c>
      <x:c r="O75" s="157" t="n">
        <x:v>2</x:v>
      </x:c>
    </x:row>
    <x:row r="76" ht="112" hidden="0" customHeight="1">
      <x:c r="A76" s="75" t="str">
        <x:v>KOHC</x:v>
      </x:c>
      <x:c r="B76" s="75" t="str">
        <x:v>Debt : equity (debt share of debt + equity)</x:v>
      </x:c>
      <x:c r="C76" s="75" t="str">
        <x:v>FY2022</x:v>
      </x:c>
      <x:c r="D76" s="160" t="n">
        <x:v>0.13</x:v>
      </x:c>
      <x:c r="E76" s="160" t="n">
        <x:f>KOHC!E157</x:f>
        <x:v>0.13497287275854264</x:v>
      </x:c>
      <x:c r="F76" s="160" t="n">
        <x:f>KOHC!E66/(KOHC!E66+KOHC!E41)</x:f>
        <x:v>0.13497287275854264</x:v>
      </x:c>
      <x:c r="G76" s="163" t="str">
        <x:v>Interest-bearing debt / (IBD + equity)</x:v>
      </x:c>
      <x:c r="H76" s="163" t="str">
        <x:f>IF(AND(ISNUMBER(D76),ISNUMBER(F76)),IF(ROUND(D76,O76)=ROUND(F76,O76),"Reproduced to precision","Unresolved published value"),"Not comparable")</x:f>
        <x:v>Reproduced to precision</x:v>
      </x:c>
      <x:c r="I76" s="163" t="str">
        <x:v>Company prints debt : equity as whole-percentage shares of debt plus equity (e.g. 21:79); reconstruction is compared at that whole-percentage precision, not at two decimal percentage points.</x:v>
      </x:c>
      <x:c r="J76" s="163" t="str">
        <x:v>FY2025 AR p53 "Key financial data for the last six years" (per-share items split-adjusted 5:1)</x:v>
      </x:c>
      <x:c r="K76" s="163" t="str">
        <x:v>Agrees (same convention)</x:v>
      </x:c>
      <x:c r="L76" s="163" t="str">
        <x:v>Source comparison</x:v>
      </x:c>
      <x:c r="M76" s="75" t="n">
        <x:f>IF(ISNUMBER(E76),E76-D76,"n/m")</x:f>
        <x:v>0.004972872758542635</x:v>
      </x:c>
      <x:c r="N76" s="75" t="n">
        <x:f>IF(ISNUMBER(F76),F76-D76,"n/m")</x:f>
        <x:v>0.004972872758542635</x:v>
      </x:c>
      <x:c r="O76" s="75" t="n">
        <x:v>2</x:v>
      </x:c>
    </x:row>
    <x:row r="77" ht="112" hidden="0" customHeight="1">
      <x:c r="A77" s="157" t="str">
        <x:v>KOHC</x:v>
      </x:c>
      <x:c r="B77" s="157" t="str">
        <x:v>Debt : equity (debt share of debt + equity)</x:v>
      </x:c>
      <x:c r="C77" s="157" t="str">
        <x:v>FY2023</x:v>
      </x:c>
      <x:c r="D77" s="161" t="n">
        <x:v>0.09</x:v>
      </x:c>
      <x:c r="E77" s="161" t="n">
        <x:f>KOHC!F157</x:f>
        <x:v>0.08893739146213345</x:v>
      </x:c>
      <x:c r="F77" s="161" t="n">
        <x:f>KOHC!F66/(KOHC!F66+KOHC!F41)</x:f>
        <x:v>0.08893739146213345</x:v>
      </x:c>
      <x:c r="G77" s="162" t="str">
        <x:v>Interest-bearing debt / (IBD + equity)</x:v>
      </x:c>
      <x:c r="H77" s="162" t="str">
        <x:f>IF(AND(ISNUMBER(D77),ISNUMBER(F77)),IF(ROUND(D77,O77)=ROUND(F77,O77),"Reproduced to precision","Unresolved published value"),"Not comparable")</x:f>
        <x:v>Reproduced to precision</x:v>
      </x:c>
      <x:c r="I77" s="162" t="str">
        <x:v>Company prints debt : equity as whole-percentage shares of debt plus equity (e.g. 21:79); reconstruction is compared at that whole-percentage precision, not at two decimal percentage points.</x:v>
      </x:c>
      <x:c r="J77" s="162" t="str">
        <x:v>FY2025 AR p53 "Key financial data for the last six years" (per-share items split-adjusted 5:1)</x:v>
      </x:c>
      <x:c r="K77" s="162" t="str">
        <x:v>Agrees (same convention)</x:v>
      </x:c>
      <x:c r="L77" s="162" t="str">
        <x:v>Source comparison</x:v>
      </x:c>
      <x:c r="M77" s="157" t="n">
        <x:f>IF(ISNUMBER(E77),E77-D77,"n/m")</x:f>
        <x:v>-0.0010626085378665495</x:v>
      </x:c>
      <x:c r="N77" s="157" t="n">
        <x:f>IF(ISNUMBER(F77),F77-D77,"n/m")</x:f>
        <x:v>-0.0010626085378665495</x:v>
      </x:c>
      <x:c r="O77" s="157" t="n">
        <x:v>2</x:v>
      </x:c>
    </x:row>
    <x:row r="78" ht="112" hidden="0" customHeight="1">
      <x:c r="A78" s="75" t="str">
        <x:v>KOHC</x:v>
      </x:c>
      <x:c r="B78" s="75" t="str">
        <x:v>Debt : equity (debt share of debt + equity)</x:v>
      </x:c>
      <x:c r="C78" s="75" t="str">
        <x:v>FY2024</x:v>
      </x:c>
      <x:c r="D78" s="160" t="n">
        <x:v>0.05</x:v>
      </x:c>
      <x:c r="E78" s="160" t="n">
        <x:f>KOHC!G157</x:f>
        <x:v>0.04978936327521882</x:v>
      </x:c>
      <x:c r="F78" s="160" t="n">
        <x:f>KOHC!G66/(KOHC!G66+KOHC!G41)</x:f>
        <x:v>0.04978936327521882</x:v>
      </x:c>
      <x:c r="G78" s="163" t="str">
        <x:v>Interest-bearing debt / (IBD + equity)</x:v>
      </x:c>
      <x:c r="H78" s="163" t="str">
        <x:f>IF(AND(ISNUMBER(D78),ISNUMBER(F78)),IF(ROUND(D78,O78)=ROUND(F78,O78),"Reproduced to precision","Unresolved published value"),"Not comparable")</x:f>
        <x:v>Reproduced to precision</x:v>
      </x:c>
      <x:c r="I78" s="163" t="str">
        <x:v>Company prints debt : equity as whole-percentage shares of debt plus equity (e.g. 21:79); reconstruction is compared at that whole-percentage precision, not at two decimal percentage points.</x:v>
      </x:c>
      <x:c r="J78" s="163" t="str">
        <x:v>FY2025 AR p53 "Key financial data for the last six years" (per-share items split-adjusted 5:1)</x:v>
      </x:c>
      <x:c r="K78" s="163" t="str">
        <x:v>Agrees (same convention)</x:v>
      </x:c>
      <x:c r="L78" s="163" t="str">
        <x:v>Source comparison</x:v>
      </x:c>
      <x:c r="M78" s="75" t="n">
        <x:f>IF(ISNUMBER(E78),E78-D78,"n/m")</x:f>
        <x:v>-0.00021063672478117967</x:v>
      </x:c>
      <x:c r="N78" s="75" t="n">
        <x:f>IF(ISNUMBER(F78),F78-D78,"n/m")</x:f>
        <x:v>-0.00021063672478117967</x:v>
      </x:c>
      <x:c r="O78" s="75" t="n">
        <x:v>2</x:v>
      </x:c>
    </x:row>
    <x:row r="79" ht="112" hidden="0" customHeight="1">
      <x:c r="A79" s="157" t="str">
        <x:v>KOHC</x:v>
      </x:c>
      <x:c r="B79" s="157" t="str">
        <x:v>Debt : equity (debt share of debt + equity)</x:v>
      </x:c>
      <x:c r="C79" s="157" t="str">
        <x:v>FY2025</x:v>
      </x:c>
      <x:c r="D79" s="161" t="n">
        <x:v>0.04</x:v>
      </x:c>
      <x:c r="E79" s="161" t="n">
        <x:f>KOHC!H157</x:f>
        <x:v>0.044675679300716</x:v>
      </x:c>
      <x:c r="F79" s="161" t="n">
        <x:f>KOHC!H66/(KOHC!H66+KOHC!H41)</x:f>
        <x:v>0.044675679300716</x:v>
      </x:c>
      <x:c r="G79" s="162" t="str">
        <x:v>Interest-bearing debt / (IBD + equity)</x:v>
      </x:c>
      <x:c r="H79" s="162" t="str">
        <x:f>IF(AND(ISNUMBER(D79),ISNUMBER(F79)),IF(ROUND(D79,O79)=ROUND(F79,O79),"Reproduced to precision","Unresolved published value"),"Not comparable")</x:f>
        <x:v>Reproduced to precision</x:v>
      </x:c>
      <x:c r="I79" s="162" t="str">
        <x:v>Company prints debt : equity as whole-percentage shares of debt plus equity (e.g. 21:79); reconstruction is compared at that whole-percentage precision, not at two decimal percentage points.</x:v>
      </x:c>
      <x:c r="J79" s="162" t="str">
        <x:v>FY2025 AR p53 "Key financial data for the last six years" (per-share items split-adjusted 5:1)</x:v>
      </x:c>
      <x:c r="K79" s="162" t="str">
        <x:v>Agrees (company shows whole-number ratio, e.g. 21:79)</x:v>
      </x:c>
      <x:c r="L79" s="162" t="str">
        <x:v>Source comparison</x:v>
      </x:c>
      <x:c r="M79" s="157" t="n">
        <x:f>IF(ISNUMBER(E79),E79-D79,"n/m")</x:f>
        <x:v>0.004675679300715996</x:v>
      </x:c>
      <x:c r="N79" s="157" t="n">
        <x:f>IF(ISNUMBER(F79),F79-D79,"n/m")</x:f>
        <x:v>0.004675679300715996</x:v>
      </x:c>
      <x:c r="O79" s="157" t="n">
        <x:v>2</x:v>
      </x:c>
    </x:row>
    <x:row r="80" ht="112" hidden="0" customHeight="1">
      <x:c r="A80" s="75" t="str">
        <x:v>LUCK</x:v>
      </x:c>
      <x:c r="B80" s="75" t="str">
        <x:v>Inventory turnover</x:v>
      </x:c>
      <x:c r="C80" s="75" t="str">
        <x:v>FY2021</x:v>
      </x:c>
      <x:c r="D80" s="159" t="n">
        <x:v>3.81</x:v>
      </x:c>
      <x:c r="E80" s="159" t="n">
        <x:f>LUCK!D144</x:f>
        <x:v>3.813607312713928</x:v>
      </x:c>
      <x:c r="F80" s="159" t="n">
        <x:f>(-LUCK!D85)/AVERAGE(LUCK!C65,LUCK!D65)</x:f>
        <x:v>3.813607312713928</x:v>
      </x:c>
      <x:c r="G80" s="163" t="str">
        <x:v>COGS / average stores + stock</x:v>
      </x:c>
      <x:c r="H80" s="163" t="str">
        <x:f>IF(AND(ISNUMBER(D80),ISNUMBER(F80)),IF(ROUND(D80,O80)=ROUND(F80,O80),"Reproduced to precision","Unresolved published value"),"Not comparable")</x:f>
        <x:v>Reproduced to precision</x:v>
      </x:c>
      <x:c r="I80" s="163" t="str">
        <x:v>Tested the source-based convention shown in G against official published precision. Unmatched values remain unresolved; neither the standardized method nor the financial inputs were altered to force agreement.</x:v>
      </x:c>
      <x:c r="J80" s="163" t="str">
        <x:v>FY2025 AR p166 "Horizontal / key ratio analysis" (per-share split-adjusted to Rs 2 basis)</x:v>
      </x:c>
      <x:c r="K80" s="163" t="str">
        <x:v>Agrees (same convention)</x:v>
      </x:c>
      <x:c r="L80" s="163" t="str">
        <x:v>Source comparison</x:v>
      </x:c>
      <x:c r="M80" s="75" t="n">
        <x:f>IF(ISNUMBER(E80),E80-D80,"n/m")</x:f>
        <x:v>0.0036073127139277794</x:v>
      </x:c>
      <x:c r="N80" s="75" t="n">
        <x:f>IF(ISNUMBER(F80),F80-D80,"n/m")</x:f>
        <x:v>0.0036073127139277794</x:v>
      </x:c>
      <x:c r="O80" s="75" t="n">
        <x:v>2</x:v>
      </x:c>
    </x:row>
    <x:row r="81" ht="112" hidden="0" customHeight="1">
      <x:c r="A81" s="157" t="str">
        <x:v>LUCK</x:v>
      </x:c>
      <x:c r="B81" s="157" t="str">
        <x:v>Inventory turnover</x:v>
      </x:c>
      <x:c r="C81" s="157" t="str">
        <x:v>FY2022</x:v>
      </x:c>
      <x:c r="D81" s="158" t="n">
        <x:v>3.66</x:v>
      </x:c>
      <x:c r="E81" s="158" t="n">
        <x:f>LUCK!E144</x:f>
        <x:v>3.657733126059421</x:v>
      </x:c>
      <x:c r="F81" s="158" t="n">
        <x:f>(-LUCK!E85)/AVERAGE(LUCK!D65,LUCK!E65)</x:f>
        <x:v>3.657733126059421</x:v>
      </x:c>
      <x:c r="G81" s="162" t="str">
        <x:v>COGS / average stores + stock</x:v>
      </x:c>
      <x:c r="H81" s="162" t="str">
        <x:f>IF(AND(ISNUMBER(D81),ISNUMBER(F81)),IF(ROUND(D81,O81)=ROUND(F81,O81),"Reproduced to precision","Unresolved published value"),"Not comparable")</x:f>
        <x:v>Reproduced to precision</x:v>
      </x:c>
      <x:c r="I81" s="162" t="str">
        <x:v>Tested the source-based convention shown in G against official published precision. Unmatched values remain unresolved; neither the standardized method nor the financial inputs were altered to force agreement.</x:v>
      </x:c>
      <x:c r="J81" s="162" t="str">
        <x:v>FY2025 AR p166 "Horizontal / key ratio analysis" (per-share split-adjusted to Rs 2 basis)</x:v>
      </x:c>
      <x:c r="K81" s="162" t="str">
        <x:v>Agrees (same convention)</x:v>
      </x:c>
      <x:c r="L81" s="162" t="str">
        <x:v>Source comparison</x:v>
      </x:c>
      <x:c r="M81" s="157" t="n">
        <x:f>IF(ISNUMBER(E81),E81-D81,"n/m")</x:f>
        <x:v>-0.002266873940579117</x:v>
      </x:c>
      <x:c r="N81" s="157" t="n">
        <x:f>IF(ISNUMBER(F81),F81-D81,"n/m")</x:f>
        <x:v>-0.002266873940579117</x:v>
      </x:c>
      <x:c r="O81" s="157" t="n">
        <x:v>2</x:v>
      </x:c>
    </x:row>
    <x:row r="82" ht="112" hidden="0" customHeight="1">
      <x:c r="A82" s="75" t="str">
        <x:v>LUCK</x:v>
      </x:c>
      <x:c r="B82" s="75" t="str">
        <x:v>Inventory turnover</x:v>
      </x:c>
      <x:c r="C82" s="75" t="str">
        <x:v>FY2023</x:v>
      </x:c>
      <x:c r="D82" s="159" t="n">
        <x:v>3.62</x:v>
      </x:c>
      <x:c r="E82" s="159" t="n">
        <x:f>LUCK!F144</x:f>
        <x:v>3.6234818387767853</x:v>
      </x:c>
      <x:c r="F82" s="159" t="n">
        <x:f>(-LUCK!F85)/AVERAGE(LUCK!E65,LUCK!F65)</x:f>
        <x:v>3.6234818387767853</x:v>
      </x:c>
      <x:c r="G82" s="163" t="str">
        <x:v>COGS / average stores + stock</x:v>
      </x:c>
      <x:c r="H82" s="163" t="str">
        <x:f>IF(AND(ISNUMBER(D82),ISNUMBER(F82)),IF(ROUND(D82,O82)=ROUND(F82,O82),"Reproduced to precision","Unresolved published value"),"Not comparable")</x:f>
        <x:v>Reproduced to precision</x:v>
      </x:c>
      <x:c r="I82" s="163" t="str">
        <x:v>Tested the source-based convention shown in G against official published precision. Unmatched values remain unresolved; neither the standardized method nor the financial inputs were altered to force agreement.</x:v>
      </x:c>
      <x:c r="J82" s="163" t="str">
        <x:v>FY2025 AR p166 "Horizontal / key ratio analysis" (per-share split-adjusted to Rs 2 basis)</x:v>
      </x:c>
      <x:c r="K82" s="163" t="str">
        <x:v>Agrees (same convention)</x:v>
      </x:c>
      <x:c r="L82" s="163" t="str">
        <x:v>Source comparison</x:v>
      </x:c>
      <x:c r="M82" s="75" t="n">
        <x:f>IF(ISNUMBER(E82),E82-D82,"n/m")</x:f>
        <x:v>0.0034818387767852066</x:v>
      </x:c>
      <x:c r="N82" s="75" t="n">
        <x:f>IF(ISNUMBER(F82),F82-D82,"n/m")</x:f>
        <x:v>0.0034818387767852066</x:v>
      </x:c>
      <x:c r="O82" s="75" t="n">
        <x:v>2</x:v>
      </x:c>
    </x:row>
    <x:row r="83" ht="112" hidden="0" customHeight="1">
      <x:c r="A83" s="157" t="str">
        <x:v>LUCK</x:v>
      </x:c>
      <x:c r="B83" s="157" t="str">
        <x:v>Inventory turnover</x:v>
      </x:c>
      <x:c r="C83" s="157" t="str">
        <x:v>FY2024</x:v>
      </x:c>
      <x:c r="D83" s="158" t="n">
        <x:v>3.54</x:v>
      </x:c>
      <x:c r="E83" s="158" t="n">
        <x:f>LUCK!G144</x:f>
        <x:v>3.5401699550948362</x:v>
      </x:c>
      <x:c r="F83" s="158" t="n">
        <x:f>(-LUCK!G85)/AVERAGE(LUCK!F65,LUCK!G65)</x:f>
        <x:v>3.5401699550948362</x:v>
      </x:c>
      <x:c r="G83" s="162" t="str">
        <x:v>COGS / average stores + stock</x:v>
      </x:c>
      <x:c r="H83" s="162" t="str">
        <x:f>IF(AND(ISNUMBER(D83),ISNUMBER(F83)),IF(ROUND(D83,O83)=ROUND(F83,O83),"Reproduced to precision","Unresolved published value"),"Not comparable")</x:f>
        <x:v>Reproduced to precision</x:v>
      </x:c>
      <x:c r="I83" s="162" t="str">
        <x:v>Tested the source-based convention shown in G against official published precision. Unmatched values remain unresolved; neither the standardized method nor the financial inputs were altered to force agreement.</x:v>
      </x:c>
      <x:c r="J83" s="162" t="str">
        <x:v>FY2025 AR p166 "Horizontal / key ratio analysis" (per-share split-adjusted to Rs 2 basis)</x:v>
      </x:c>
      <x:c r="K83" s="162" t="str">
        <x:v>Agrees (same convention)</x:v>
      </x:c>
      <x:c r="L83" s="162" t="str">
        <x:v>Source comparison</x:v>
      </x:c>
      <x:c r="M83" s="157" t="n">
        <x:f>IF(ISNUMBER(E83),E83-D83,"n/m")</x:f>
        <x:v>0.00016995509483619387</x:v>
      </x:c>
      <x:c r="N83" s="157" t="n">
        <x:f>IF(ISNUMBER(F83),F83-D83,"n/m")</x:f>
        <x:v>0.00016995509483619387</x:v>
      </x:c>
      <x:c r="O83" s="157" t="n">
        <x:v>2</x:v>
      </x:c>
    </x:row>
    <x:row r="84" ht="112" hidden="0" customHeight="1">
      <x:c r="A84" s="75" t="str">
        <x:v>LUCK</x:v>
      </x:c>
      <x:c r="B84" s="75" t="str">
        <x:v>Inventory turnover</x:v>
      </x:c>
      <x:c r="C84" s="75" t="str">
        <x:v>FY2025</x:v>
      </x:c>
      <x:c r="D84" s="159" t="n">
        <x:v>3.43</x:v>
      </x:c>
      <x:c r="E84" s="159" t="n">
        <x:f>LUCK!H144</x:f>
        <x:v>3.426094952590027</x:v>
      </x:c>
      <x:c r="F84" s="159" t="n">
        <x:f>(-LUCK!H85)/AVERAGE(LUCK!G65,LUCK!H65)</x:f>
        <x:v>3.426094952590027</x:v>
      </x:c>
      <x:c r="G84" s="163" t="str">
        <x:v>COGS / average stores + stock</x:v>
      </x:c>
      <x:c r="H84" s="163" t="str">
        <x:f>IF(AND(ISNUMBER(D84),ISNUMBER(F84)),IF(ROUND(D84,O84)=ROUND(F84,O84),"Reproduced to precision","Unresolved published value"),"Not comparable")</x:f>
        <x:v>Reproduced to precision</x:v>
      </x:c>
      <x:c r="I84" s="163" t="str">
        <x:v>Tested the source-based convention shown in G against official published precision. Unmatched values remain unresolved; neither the standardized method nor the financial inputs were altered to force agreement.</x:v>
      </x:c>
      <x:c r="J84" s="163" t="str">
        <x:v>FY2025 AR p166 "Horizontal / key ratio analysis" (per-share split-adjusted to Rs 2 basis)</x:v>
      </x:c>
      <x:c r="K84" s="163" t="str">
        <x:v>Agrees (same convention)</x:v>
      </x:c>
      <x:c r="L84" s="163" t="str">
        <x:v>Source comparison</x:v>
      </x:c>
      <x:c r="M84" s="75" t="n">
        <x:f>IF(ISNUMBER(E84),E84-D84,"n/m")</x:f>
        <x:v>-0.003905047409973328</x:v>
      </x:c>
      <x:c r="N84" s="75" t="n">
        <x:f>IF(ISNUMBER(F84),F84-D84,"n/m")</x:f>
        <x:v>-0.003905047409973328</x:v>
      </x:c>
      <x:c r="O84" s="75" t="n">
        <x:v>2</x:v>
      </x:c>
    </x:row>
    <x:row r="85" ht="112" hidden="0" customHeight="1">
      <x:c r="A85" s="157" t="str">
        <x:v>LUCK</x:v>
      </x:c>
      <x:c r="B85" s="157" t="str">
        <x:v>No. of days in receivables</x:v>
      </x:c>
      <x:c r="C85" s="157" t="str">
        <x:v>FY2021</x:v>
      </x:c>
      <x:c r="D85" s="158" t="n">
        <x:v>17.78</x:v>
      </x:c>
      <x:c r="E85" s="158" t="n">
        <x:f>LUCK!D148</x:f>
        <x:v>17.78249833315605</x:v>
      </x:c>
      <x:c r="F85" s="158" t="n">
        <x:f>365*AVERAGE(LUCK!C32,LUCK!D32)/LUCK!D84</x:f>
        <x:v>17.78249833315605</x:v>
      </x:c>
      <x:c r="G85" s="162" t="str">
        <x:v>365 x average trade debts / sales</x:v>
      </x:c>
      <x:c r="H85" s="162" t="str">
        <x:f>IF(AND(ISNUMBER(D85),ISNUMBER(F85)),IF(ROUND(D85,O85)=ROUND(F85,O85),"Reproduced to precision","Unresolved published value"),"Not comparable")</x:f>
        <x:v>Reproduced to precision</x:v>
      </x:c>
      <x:c r="I85" s="162" t="str">
        <x:v>Tested the source-based convention shown in G against official published precision. Unmatched values remain unresolved; neither the standardized method nor the financial inputs were altered to force agreement.</x:v>
      </x:c>
      <x:c r="J85" s="162" t="str">
        <x:v>FY2025 AR p166 "Horizontal / key ratio analysis" (per-share split-adjusted to Rs 2 basis)</x:v>
      </x:c>
      <x:c r="K85" s="162" t="str">
        <x:v>Agrees (same convention)</x:v>
      </x:c>
      <x:c r="L85" s="162" t="str">
        <x:v>Source comparison</x:v>
      </x:c>
      <x:c r="M85" s="157" t="n">
        <x:f>IF(ISNUMBER(E85),E85-D85,"n/m")</x:f>
        <x:v>0.0024983331560477495</x:v>
      </x:c>
      <x:c r="N85" s="157" t="n">
        <x:f>IF(ISNUMBER(F85),F85-D85,"n/m")</x:f>
        <x:v>0.0024983331560477495</x:v>
      </x:c>
      <x:c r="O85" s="157" t="n">
        <x:v>2</x:v>
      </x:c>
    </x:row>
    <x:row r="86" ht="112" hidden="0" customHeight="1">
      <x:c r="A86" s="75" t="str">
        <x:v>LUCK</x:v>
      </x:c>
      <x:c r="B86" s="75" t="str">
        <x:v>No. of days in receivables</x:v>
      </x:c>
      <x:c r="C86" s="75" t="str">
        <x:v>FY2022</x:v>
      </x:c>
      <x:c r="D86" s="159" t="n">
        <x:v>14.03</x:v>
      </x:c>
      <x:c r="E86" s="159" t="n">
        <x:f>LUCK!E148</x:f>
        <x:v>14.027318333985361</x:v>
      </x:c>
      <x:c r="F86" s="159" t="n">
        <x:f>365*AVERAGE(LUCK!D32,LUCK!E32)/LUCK!E84</x:f>
        <x:v>14.027318333985361</x:v>
      </x:c>
      <x:c r="G86" s="163" t="str">
        <x:v>365 x average trade debts / sales</x:v>
      </x:c>
      <x:c r="H86" s="163" t="str">
        <x:f>IF(AND(ISNUMBER(D86),ISNUMBER(F86)),IF(ROUND(D86,O86)=ROUND(F86,O86),"Reproduced to precision","Unresolved published value"),"Not comparable")</x:f>
        <x:v>Reproduced to precision</x:v>
      </x:c>
      <x:c r="I86" s="163" t="str">
        <x:v>Tested the source-based convention shown in G against official published precision. Unmatched values remain unresolved; neither the standardized method nor the financial inputs were altered to force agreement.</x:v>
      </x:c>
      <x:c r="J86" s="163" t="str">
        <x:v>FY2025 AR p166 "Horizontal / key ratio analysis" (per-share split-adjusted to Rs 2 basis)</x:v>
      </x:c>
      <x:c r="K86" s="163" t="str">
        <x:v>Agrees (same convention)</x:v>
      </x:c>
      <x:c r="L86" s="163" t="str">
        <x:v>Source comparison</x:v>
      </x:c>
      <x:c r="M86" s="75" t="n">
        <x:f>IF(ISNUMBER(E86),E86-D86,"n/m")</x:f>
        <x:v>-0.00268166601463804</x:v>
      </x:c>
      <x:c r="N86" s="75" t="n">
        <x:f>IF(ISNUMBER(F86),F86-D86,"n/m")</x:f>
        <x:v>-0.00268166601463804</x:v>
      </x:c>
      <x:c r="O86" s="75" t="n">
        <x:v>2</x:v>
      </x:c>
    </x:row>
    <x:row r="87" ht="112" hidden="0" customHeight="1">
      <x:c r="A87" s="157" t="str">
        <x:v>LUCK</x:v>
      </x:c>
      <x:c r="B87" s="157" t="str">
        <x:v>No. of days in receivables</x:v>
      </x:c>
      <x:c r="C87" s="157" t="str">
        <x:v>FY2023</x:v>
      </x:c>
      <x:c r="D87" s="158" t="n">
        <x:v>16.4</x:v>
      </x:c>
      <x:c r="E87" s="158" t="n">
        <x:f>LUCK!F148</x:f>
        <x:v>16.40158531562483</x:v>
      </x:c>
      <x:c r="F87" s="158" t="n">
        <x:f>365*AVERAGE(LUCK!E32,LUCK!F32)/LUCK!F84</x:f>
        <x:v>16.40158531562483</x:v>
      </x:c>
      <x:c r="G87" s="162" t="str">
        <x:v>365 x average trade debts / sales</x:v>
      </x:c>
      <x:c r="H87" s="162" t="str">
        <x:f>IF(AND(ISNUMBER(D87),ISNUMBER(F87)),IF(ROUND(D87,O87)=ROUND(F87,O87),"Reproduced to precision","Unresolved published value"),"Not comparable")</x:f>
        <x:v>Reproduced to precision</x:v>
      </x:c>
      <x:c r="I87" s="162" t="str">
        <x:v>Tested the source-based convention shown in G against official published precision. Unmatched values remain unresolved; neither the standardized method nor the financial inputs were altered to force agreement.</x:v>
      </x:c>
      <x:c r="J87" s="162" t="str">
        <x:v>FY2025 AR p166 "Horizontal / key ratio analysis" (per-share split-adjusted to Rs 2 basis)</x:v>
      </x:c>
      <x:c r="K87" s="162" t="str">
        <x:v>Agrees (same convention)</x:v>
      </x:c>
      <x:c r="L87" s="162" t="str">
        <x:v>Source comparison</x:v>
      </x:c>
      <x:c r="M87" s="157" t="n">
        <x:f>IF(ISNUMBER(E87),E87-D87,"n/m")</x:f>
        <x:v>0.001585315624829775</x:v>
      </x:c>
      <x:c r="N87" s="157" t="n">
        <x:f>IF(ISNUMBER(F87),F87-D87,"n/m")</x:f>
        <x:v>0.001585315624829775</x:v>
      </x:c>
      <x:c r="O87" s="157" t="n">
        <x:v>2</x:v>
      </x:c>
    </x:row>
    <x:row r="88" ht="112" hidden="0" customHeight="1">
      <x:c r="A88" s="75" t="str">
        <x:v>LUCK</x:v>
      </x:c>
      <x:c r="B88" s="75" t="str">
        <x:v>No. of days in receivables</x:v>
      </x:c>
      <x:c r="C88" s="75" t="str">
        <x:v>FY2024</x:v>
      </x:c>
      <x:c r="D88" s="159" t="n">
        <x:v>19.02</x:v>
      </x:c>
      <x:c r="E88" s="159" t="n">
        <x:f>LUCK!G148</x:f>
        <x:v>19.024866667611246</x:v>
      </x:c>
      <x:c r="F88" s="159" t="n">
        <x:f>365*AVERAGE(LUCK!F32,LUCK!G32)/LUCK!G84</x:f>
        <x:v>19.024866667611246</x:v>
      </x:c>
      <x:c r="G88" s="163" t="str">
        <x:v>365 x average trade debts / sales</x:v>
      </x:c>
      <x:c r="H88" s="163" t="str">
        <x:f>IF(AND(ISNUMBER(D88),ISNUMBER(F88)),IF(ROUND(D88,O88)=ROUND(F88,O88),"Reproduced to precision","Unresolved published value"),"Not comparable")</x:f>
        <x:v>Reproduced to precision</x:v>
      </x:c>
      <x:c r="I88" s="163" t="str">
        <x:v>Tested the source-based convention shown in G against official published precision. Unmatched values remain unresolved; neither the standardized method nor the financial inputs were altered to force agreement.</x:v>
      </x:c>
      <x:c r="J88" s="163" t="str">
        <x:v>FY2025 AR p166 "Horizontal / key ratio analysis" (per-share split-adjusted to Rs 2 basis)</x:v>
      </x:c>
      <x:c r="K88" s="163" t="str">
        <x:v>Agrees (same convention)</x:v>
      </x:c>
      <x:c r="L88" s="163" t="str">
        <x:v>Source comparison</x:v>
      </x:c>
      <x:c r="M88" s="75" t="n">
        <x:f>IF(ISNUMBER(E88),E88-D88,"n/m")</x:f>
        <x:v>0.0048666676112461005</x:v>
      </x:c>
      <x:c r="N88" s="75" t="n">
        <x:f>IF(ISNUMBER(F88),F88-D88,"n/m")</x:f>
        <x:v>0.0048666676112461005</x:v>
      </x:c>
      <x:c r="O88" s="75" t="n">
        <x:v>2</x:v>
      </x:c>
    </x:row>
    <x:row r="89" ht="112" hidden="0" customHeight="1">
      <x:c r="A89" s="157" t="str">
        <x:v>LUCK</x:v>
      </x:c>
      <x:c r="B89" s="157" t="str">
        <x:v>No. of days in receivables</x:v>
      </x:c>
      <x:c r="C89" s="157" t="str">
        <x:v>FY2025</x:v>
      </x:c>
      <x:c r="D89" s="158" t="n">
        <x:v>19.48</x:v>
      </x:c>
      <x:c r="E89" s="158" t="n">
        <x:f>LUCK!H148</x:f>
        <x:v>19.473145621508603</x:v>
      </x:c>
      <x:c r="F89" s="158" t="n">
        <x:f>365*AVERAGE(LUCK!G32,LUCK!H32)/LUCK!H84</x:f>
        <x:v>19.473145621508603</x:v>
      </x:c>
      <x:c r="G89" s="162" t="str">
        <x:v>365 x average trade debts / sales</x:v>
      </x:c>
      <x:c r="H89" s="162" t="str">
        <x:f>IF(AND(ISNUMBER(D89),ISNUMBER(F89)),IF(ROUND(D89,O89)=ROUND(F89,O89),"Reproduced to precision","Unresolved published value"),"Not comparable")</x:f>
        <x:v>Unresolved published value</x:v>
      </x:c>
      <x:c r="I89" s="162" t="str">
        <x:v>Tested the source-based convention shown in G against official published precision. Unmatched values remain unresolved; neither the standardized method nor the financial inputs were altered to force agreement.</x:v>
      </x:c>
      <x:c r="J89" s="162" t="str">
        <x:v>FY2025 AR p166 "Horizontal / key ratio analysis" (per-share split-adjusted to Rs 2 basis)</x:v>
      </x:c>
      <x:c r="K89" s="162" t="str">
        <x:v>Agrees within 0.01 (rounding of inputs)</x:v>
      </x:c>
      <x:c r="L89" s="162" t="str">
        <x:v>Source comparison</x:v>
      </x:c>
      <x:c r="M89" s="157" t="n">
        <x:f>IF(ISNUMBER(E89),E89-D89,"n/m")</x:f>
        <x:v>-0.0068543784913970285</x:v>
      </x:c>
      <x:c r="N89" s="157" t="n">
        <x:f>IF(ISNUMBER(F89),F89-D89,"n/m")</x:f>
        <x:v>-0.0068543784913970285</x:v>
      </x:c>
      <x:c r="O89" s="157" t="n">
        <x:v>2</x:v>
      </x:c>
    </x:row>
    <x:row r="90" ht="112" hidden="0" customHeight="1">
      <x:c r="A90" s="75" t="str">
        <x:v>LUCK</x:v>
      </x:c>
      <x:c r="B90" s="75" t="str">
        <x:v>No. of days in payables</x:v>
      </x:c>
      <x:c r="C90" s="75" t="str">
        <x:v>FY2021</x:v>
      </x:c>
      <x:c r="D90" s="159" t="n">
        <x:v>166.67</x:v>
      </x:c>
      <x:c r="E90" s="159" t="n">
        <x:f>LUCK!D149</x:f>
        <x:v>22.744515597441875</x:v>
      </x:c>
      <x:c r="F90" s="159" t="n">
        <x:f>365/(ROUND((-LUCK!D85)/AVERAGE(LUCK!C50,LUCK!D50),2))</x:f>
        <x:v>166.66666666666666</x:v>
      </x:c>
      <x:c r="G90" s="163" t="str">
        <x:v>COGS / average total trade AND other payables; rounded turnover before days</x:v>
      </x:c>
      <x:c r="H90" s="163" t="str">
        <x:f>IF(AND(ISNUMBER(D90),ISNUMBER(F90)),IF(ROUND(D90,O90)=ROUND(F90,O90),"Reproduced to precision","Unresolved published value"),"Not comparable")</x:f>
        <x:v>Reproduced to precision</x:v>
      </x:c>
      <x:c r="I90"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90" s="163" t="str">
        <x:v>FY2025 AR p166 "Horizontal / key ratio analysis" (per-share split-adjusted to Rs 2 basis)</x:v>
      </x:c>
      <x:c r="K90" s="163" t="str">
        <x:v>Not reproduced</x:v>
      </x:c>
      <x:c r="L90" s="163" t="str">
        <x:v>Published methodology difference (reconstructed)</x:v>
      </x:c>
      <x:c r="M90" s="75" t="n">
        <x:f>IF(ISNUMBER(E90),E90-D90,"n/m")</x:f>
        <x:v>-143.9254844025581</x:v>
      </x:c>
      <x:c r="N90" s="75" t="n">
        <x:f>IF(ISNUMBER(F90),F90-D90,"n/m")</x:f>
        <x:v>-0.0033333333333303017</x:v>
      </x:c>
      <x:c r="O90" s="75" t="n">
        <x:v>2</x:v>
      </x:c>
    </x:row>
    <x:row r="91" ht="112" hidden="0" customHeight="1">
      <x:c r="A91" s="157" t="str">
        <x:v>LUCK</x:v>
      </x:c>
      <x:c r="B91" s="157" t="str">
        <x:v>No. of days in payables</x:v>
      </x:c>
      <x:c r="C91" s="157" t="str">
        <x:v>FY2022</x:v>
      </x:c>
      <x:c r="D91" s="158" t="n">
        <x:v>137.22</x:v>
      </x:c>
      <x:c r="E91" s="158" t="n">
        <x:f>LUCK!E149</x:f>
        <x:v>19.438565176908817</x:v>
      </x:c>
      <x:c r="F91" s="158" t="n">
        <x:f>365/(ROUND((-LUCK!E85)/AVERAGE(LUCK!D50,LUCK!E50),2))</x:f>
        <x:v>137.21804511278194</x:v>
      </x:c>
      <x:c r="G91" s="162" t="str">
        <x:v>COGS / average total trade AND other payables; rounded turnover before days</x:v>
      </x:c>
      <x:c r="H91" s="162" t="str">
        <x:f>IF(AND(ISNUMBER(D91),ISNUMBER(F91)),IF(ROUND(D91,O91)=ROUND(F91,O91),"Reproduced to precision","Unresolved published value"),"Not comparable")</x:f>
        <x:v>Reproduced to precision</x:v>
      </x:c>
      <x:c r="I91" s="162"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91" s="162" t="str">
        <x:v>FY2025 AR p166 "Horizontal / key ratio analysis" (per-share split-adjusted to Rs 2 basis)</x:v>
      </x:c>
      <x:c r="K91" s="162" t="str">
        <x:v>Not reproduced</x:v>
      </x:c>
      <x:c r="L91" s="162" t="str">
        <x:v>Published methodology difference (reconstructed)</x:v>
      </x:c>
      <x:c r="M91" s="157" t="n">
        <x:f>IF(ISNUMBER(E91),E91-D91,"n/m")</x:f>
        <x:v>-117.78143482309119</x:v>
      </x:c>
      <x:c r="N91" s="157" t="n">
        <x:f>IF(ISNUMBER(F91),F91-D91,"n/m")</x:f>
        <x:v>-0.00195488721806214</x:v>
      </x:c>
      <x:c r="O91" s="157" t="n">
        <x:v>2</x:v>
      </x:c>
    </x:row>
    <x:row r="92" ht="112" hidden="0" customHeight="1">
      <x:c r="A92" s="75" t="str">
        <x:v>LUCK</x:v>
      </x:c>
      <x:c r="B92" s="75" t="str">
        <x:v>No. of days in payables</x:v>
      </x:c>
      <x:c r="C92" s="75" t="str">
        <x:v>FY2023</x:v>
      </x:c>
      <x:c r="D92" s="159" t="n">
        <x:v>138.78</x:v>
      </x:c>
      <x:c r="E92" s="159" t="n">
        <x:f>LUCK!F149</x:f>
        <x:v>21.928688071624236</x:v>
      </x:c>
      <x:c r="F92" s="159" t="n">
        <x:f>365/(ROUND((-LUCK!F85)/AVERAGE(LUCK!E50,LUCK!F50),2))</x:f>
        <x:v>138.7832699619772</x:v>
      </x:c>
      <x:c r="G92" s="163" t="str">
        <x:v>COGS / average total trade AND other payables; rounded turnover before days</x:v>
      </x:c>
      <x:c r="H92" s="163" t="str">
        <x:f>IF(AND(ISNUMBER(D92),ISNUMBER(F92)),IF(ROUND(D92,O92)=ROUND(F92,O92),"Reproduced to precision","Unresolved published value"),"Not comparable")</x:f>
        <x:v>Reproduced to precision</x:v>
      </x:c>
      <x:c r="I92"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92" s="163" t="str">
        <x:v>FY2025 AR p166 "Horizontal / key ratio analysis" (per-share split-adjusted to Rs 2 basis)</x:v>
      </x:c>
      <x:c r="K92" s="163" t="str">
        <x:v>Not reproduced</x:v>
      </x:c>
      <x:c r="L92" s="163" t="str">
        <x:v>Published methodology difference (reconstructed)</x:v>
      </x:c>
      <x:c r="M92" s="75" t="n">
        <x:f>IF(ISNUMBER(E92),E92-D92,"n/m")</x:f>
        <x:v>-116.85131192837576</x:v>
      </x:c>
      <x:c r="N92" s="75" t="n">
        <x:f>IF(ISNUMBER(F92),F92-D92,"n/m")</x:f>
        <x:v>0.0032699619771960897</x:v>
      </x:c>
      <x:c r="O92" s="75" t="n">
        <x:v>2</x:v>
      </x:c>
    </x:row>
    <x:row r="93" ht="112" hidden="0" customHeight="1">
      <x:c r="A93" s="157" t="str">
        <x:v>LUCK</x:v>
      </x:c>
      <x:c r="B93" s="157" t="str">
        <x:v>No. of days in payables</x:v>
      </x:c>
      <x:c r="C93" s="157" t="str">
        <x:v>FY2024</x:v>
      </x:c>
      <x:c r="D93" s="158" t="n">
        <x:v>143.14</x:v>
      </x:c>
      <x:c r="E93" s="158" t="n">
        <x:f>LUCK!G149</x:f>
        <x:v>29.103243031888116</x:v>
      </x:c>
      <x:c r="F93" s="158" t="n">
        <x:f>365/(ROUND((-LUCK!G85)/AVERAGE(LUCK!F50,LUCK!G50),2))</x:f>
        <x:v>143.1372549019608</x:v>
      </x:c>
      <x:c r="G93" s="162" t="str">
        <x:v>COGS / average total trade AND other payables; rounded turnover before days</x:v>
      </x:c>
      <x:c r="H93" s="162" t="str">
        <x:f>IF(AND(ISNUMBER(D93),ISNUMBER(F93)),IF(ROUND(D93,O93)=ROUND(F93,O93),"Reproduced to precision","Unresolved published value"),"Not comparable")</x:f>
        <x:v>Reproduced to precision</x:v>
      </x:c>
      <x:c r="I93" s="162"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93" s="162" t="str">
        <x:v>FY2025 AR p166 "Horizontal / key ratio analysis" (per-share split-adjusted to Rs 2 basis)</x:v>
      </x:c>
      <x:c r="K93" s="162" t="str">
        <x:v>Not reproduced</x:v>
      </x:c>
      <x:c r="L93" s="162" t="str">
        <x:v>Published methodology difference (reconstructed)</x:v>
      </x:c>
      <x:c r="M93" s="157" t="n">
        <x:f>IF(ISNUMBER(E93),E93-D93,"n/m")</x:f>
        <x:v>-114.03675696811187</x:v>
      </x:c>
      <x:c r="N93" s="157" t="n">
        <x:f>IF(ISNUMBER(F93),F93-D93,"n/m")</x:f>
        <x:v>-0.002745098039184768</x:v>
      </x:c>
      <x:c r="O93" s="157" t="n">
        <x:v>2</x:v>
      </x:c>
    </x:row>
    <x:row r="94" ht="112" hidden="0" customHeight="1">
      <x:c r="A94" s="75" t="str">
        <x:v>LUCK</x:v>
      </x:c>
      <x:c r="B94" s="75" t="str">
        <x:v>No. of days in payables</x:v>
      </x:c>
      <x:c r="C94" s="75" t="str">
        <x:v>FY2025</x:v>
      </x:c>
      <x:c r="D94" s="159" t="n">
        <x:v>127.62</x:v>
      </x:c>
      <x:c r="E94" s="159" t="n">
        <x:f>LUCK!H149</x:f>
        <x:v>30.3302992616379</x:v>
      </x:c>
      <x:c r="F94" s="159" t="n">
        <x:f>365/(ROUND((-LUCK!H85)/AVERAGE(LUCK!G50,LUCK!H50),2))</x:f>
        <x:v>127.62237762237763</x:v>
      </x:c>
      <x:c r="G94" s="163" t="str">
        <x:v>COGS / average total trade AND other payables; rounded turnover before days</x:v>
      </x:c>
      <x:c r="H94" s="163" t="str">
        <x:f>IF(AND(ISNUMBER(D94),ISNUMBER(F94)),IF(ROUND(D94,O94)=ROUND(F94,O94),"Reproduced to precision","Unresolved published value"),"Not comparable")</x:f>
        <x:v>Reproduced to precision</x:v>
      </x:c>
      <x:c r="I94"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94" s="163" t="str">
        <x:v>FY2025 AR p166 "Horizontal / key ratio analysis" (per-share split-adjusted to Rs 2 basis)</x:v>
      </x:c>
      <x:c r="K94" s="163" t="str">
        <x:v>Not reproduced</x:v>
      </x:c>
      <x:c r="L94" s="163" t="str">
        <x:v>Published methodology difference (reconstructed)</x:v>
      </x:c>
      <x:c r="M94" s="75" t="n">
        <x:f>IF(ISNUMBER(E94),E94-D94,"n/m")</x:f>
        <x:v>-97.2897007383621</x:v>
      </x:c>
      <x:c r="N94" s="75" t="n">
        <x:f>IF(ISNUMBER(F94),F94-D94,"n/m")</x:f>
        <x:v>0.0023776223776224015</x:v>
      </x:c>
      <x:c r="O94" s="75" t="n">
        <x:v>2</x:v>
      </x:c>
    </x:row>
    <x:row r="95" ht="112" hidden="0" customHeight="1">
      <x:c r="A95" s="157" t="str">
        <x:v>LUCK</x:v>
      </x:c>
      <x:c r="B95" s="157" t="str">
        <x:v>Total assets turnover</x:v>
      </x:c>
      <x:c r="C95" s="157" t="str">
        <x:v>FY2021</x:v>
      </x:c>
      <x:c r="D95" s="158" t="n">
        <x:v>0.4</x:v>
      </x:c>
      <x:c r="E95" s="158" t="n">
        <x:f>LUCK!D152</x:f>
        <x:v>0.43075247100519976</x:v>
      </x:c>
      <x:c r="F95" s="158" t="n">
        <x:f>LUCK!D84/LUCK!D37</x:f>
        <x:v>0.40251701143421476</x:v>
      </x:c>
      <x:c r="G95" s="162" t="str">
        <x:v>Sales / closing assets</x:v>
      </x:c>
      <x:c r="H95" s="162" t="str">
        <x:f>IF(AND(ISNUMBER(D95),ISNUMBER(F95)),IF(ROUND(D95,O95)=ROUND(F95,O95),"Reproduced to precision","Unresolved published value"),"Not comparable")</x:f>
        <x:v>Reproduced to precision</x:v>
      </x:c>
      <x:c r="I95" s="162" t="str">
        <x:v>Tested the source-based convention shown in G against official published precision. Unmatched values remain unresolved; neither the standardized method nor the financial inputs were altered to force agreement.</x:v>
      </x:c>
      <x:c r="J95" s="162" t="str">
        <x:v>FY2025 AR p166 "Horizontal / key ratio analysis" (per-share split-adjusted to Rs 2 basis)</x:v>
      </x:c>
      <x:c r="K95" s="162" t="str">
        <x:v>Reconciled (company convention)</x:v>
      </x:c>
      <x:c r="L95" s="162" t="str">
        <x:v>Source comparison</x:v>
      </x:c>
      <x:c r="M95" s="157" t="n">
        <x:f>IF(ISNUMBER(E95),E95-D95,"n/m")</x:f>
        <x:v>0.030752471005199733</x:v>
      </x:c>
      <x:c r="N95" s="157" t="n">
        <x:f>IF(ISNUMBER(F95),F95-D95,"n/m")</x:f>
        <x:v>0.002517011434214733</x:v>
      </x:c>
      <x:c r="O95" s="157" t="n">
        <x:v>2</x:v>
      </x:c>
    </x:row>
    <x:row r="96" ht="112" hidden="0" customHeight="1">
      <x:c r="A96" s="75" t="str">
        <x:v>LUCK</x:v>
      </x:c>
      <x:c r="B96" s="75" t="str">
        <x:v>Total assets turnover</x:v>
      </x:c>
      <x:c r="C96" s="75" t="str">
        <x:v>FY2022</x:v>
      </x:c>
      <x:c r="D96" s="159" t="n">
        <x:v>0.44</x:v>
      </x:c>
      <x:c r="E96" s="159" t="n">
        <x:f>LUCK!E152</x:f>
        <x:v>0.4751614147030488</x:v>
      </x:c>
      <x:c r="F96" s="159" t="n">
        <x:f>LUCK!E84/LUCK!E37</x:f>
        <x:v>0.4384325626713429</x:v>
      </x:c>
      <x:c r="G96" s="163" t="str">
        <x:v>Sales / closing assets</x:v>
      </x:c>
      <x:c r="H96" s="163" t="str">
        <x:f>IF(AND(ISNUMBER(D96),ISNUMBER(F96)),IF(ROUND(D96,O96)=ROUND(F96,O96),"Reproduced to precision","Unresolved published value"),"Not comparable")</x:f>
        <x:v>Reproduced to precision</x:v>
      </x:c>
      <x:c r="I96" s="163" t="str">
        <x:v>Tested the source-based convention shown in G against official published precision. Unmatched values remain unresolved; neither the standardized method nor the financial inputs were altered to force agreement.</x:v>
      </x:c>
      <x:c r="J96" s="163" t="str">
        <x:v>FY2025 AR p166 "Horizontal / key ratio analysis" (per-share split-adjusted to Rs 2 basis)</x:v>
      </x:c>
      <x:c r="K96" s="163" t="str">
        <x:v>Reconciled (company convention)</x:v>
      </x:c>
      <x:c r="L96" s="163" t="str">
        <x:v>Source comparison</x:v>
      </x:c>
      <x:c r="M96" s="75" t="n">
        <x:f>IF(ISNUMBER(E96),E96-D96,"n/m")</x:f>
        <x:v>0.03516141470304879</x:v>
      </x:c>
      <x:c r="N96" s="75" t="n">
        <x:f>IF(ISNUMBER(F96),F96-D96,"n/m")</x:f>
        <x:v>-0.0015674373286571064</x:v>
      </x:c>
      <x:c r="O96" s="75" t="n">
        <x:v>2</x:v>
      </x:c>
    </x:row>
    <x:row r="97" ht="112" hidden="0" customHeight="1">
      <x:c r="A97" s="157" t="str">
        <x:v>LUCK</x:v>
      </x:c>
      <x:c r="B97" s="157" t="str">
        <x:v>Total assets turnover</x:v>
      </x:c>
      <x:c r="C97" s="157" t="str">
        <x:v>FY2023</x:v>
      </x:c>
      <x:c r="D97" s="158" t="n">
        <x:v>0.45</x:v>
      </x:c>
      <x:c r="E97" s="158" t="n">
        <x:f>LUCK!F152</x:f>
        <x:v>0.4815184479475107</x:v>
      </x:c>
      <x:c r="F97" s="158" t="n">
        <x:f>LUCK!F84/LUCK!F37</x:f>
        <x:v>0.44974923322711935</x:v>
      </x:c>
      <x:c r="G97" s="162" t="str">
        <x:v>Sales / closing assets</x:v>
      </x:c>
      <x:c r="H97" s="162" t="str">
        <x:f>IF(AND(ISNUMBER(D97),ISNUMBER(F97)),IF(ROUND(D97,O97)=ROUND(F97,O97),"Reproduced to precision","Unresolved published value"),"Not comparable")</x:f>
        <x:v>Reproduced to precision</x:v>
      </x:c>
      <x:c r="I97" s="162" t="str">
        <x:v>Tested the source-based convention shown in G against official published precision. Unmatched values remain unresolved; neither the standardized method nor the financial inputs were altered to force agreement.</x:v>
      </x:c>
      <x:c r="J97" s="162" t="str">
        <x:v>FY2025 AR p166 "Horizontal / key ratio analysis" (per-share split-adjusted to Rs 2 basis)</x:v>
      </x:c>
      <x:c r="K97" s="162" t="str">
        <x:v>Reconciled (company convention)</x:v>
      </x:c>
      <x:c r="L97" s="162" t="str">
        <x:v>Source comparison</x:v>
      </x:c>
      <x:c r="M97" s="157" t="n">
        <x:f>IF(ISNUMBER(E97),E97-D97,"n/m")</x:f>
        <x:v>0.031518447947510686</x:v>
      </x:c>
      <x:c r="N97" s="157" t="n">
        <x:f>IF(ISNUMBER(F97),F97-D97,"n/m")</x:f>
        <x:v>-0.00025076677288066174</x:v>
      </x:c>
      <x:c r="O97" s="157" t="n">
        <x:v>2</x:v>
      </x:c>
    </x:row>
    <x:row r="98" ht="112" hidden="0" customHeight="1">
      <x:c r="A98" s="75" t="str">
        <x:v>LUCK</x:v>
      </x:c>
      <x:c r="B98" s="75" t="str">
        <x:v>Total assets turnover</x:v>
      </x:c>
      <x:c r="C98" s="75" t="str">
        <x:v>FY2024</x:v>
      </x:c>
      <x:c r="D98" s="159" t="n">
        <x:v>0.49</x:v>
      </x:c>
      <x:c r="E98" s="159" t="n">
        <x:f>LUCK!G152</x:f>
        <x:v>0.5158831372305058</x:v>
      </x:c>
      <x:c r="F98" s="159" t="n">
        <x:f>LUCK!G84/LUCK!G37</x:f>
        <x:v>0.4928035349745825</x:v>
      </x:c>
      <x:c r="G98" s="163" t="str">
        <x:v>Sales / closing assets</x:v>
      </x:c>
      <x:c r="H98" s="163" t="str">
        <x:f>IF(AND(ISNUMBER(D98),ISNUMBER(F98)),IF(ROUND(D98,O98)=ROUND(F98,O98),"Reproduced to precision","Unresolved published value"),"Not comparable")</x:f>
        <x:v>Reproduced to precision</x:v>
      </x:c>
      <x:c r="I98" s="163" t="str">
        <x:v>Tested the source-based convention shown in G against official published precision. Unmatched values remain unresolved; neither the standardized method nor the financial inputs were altered to force agreement.</x:v>
      </x:c>
      <x:c r="J98" s="163" t="str">
        <x:v>FY2025 AR p166 "Horizontal / key ratio analysis" (per-share split-adjusted to Rs 2 basis)</x:v>
      </x:c>
      <x:c r="K98" s="163" t="str">
        <x:v>Reconciled (company convention)</x:v>
      </x:c>
      <x:c r="L98" s="163" t="str">
        <x:v>Source comparison</x:v>
      </x:c>
      <x:c r="M98" s="75" t="n">
        <x:f>IF(ISNUMBER(E98),E98-D98,"n/m")</x:f>
        <x:v>0.025883137230505837</x:v>
      </x:c>
      <x:c r="N98" s="75" t="n">
        <x:f>IF(ISNUMBER(F98),F98-D98,"n/m")</x:f>
        <x:v>0.002803534974582522</x:v>
      </x:c>
      <x:c r="O98" s="75" t="n">
        <x:v>2</x:v>
      </x:c>
    </x:row>
    <x:row r="99" ht="112" hidden="0" customHeight="1">
      <x:c r="A99" s="157" t="str">
        <x:v>LUCK</x:v>
      </x:c>
      <x:c r="B99" s="157" t="str">
        <x:v>Total assets turnover</x:v>
      </x:c>
      <x:c r="C99" s="157" t="str">
        <x:v>FY2025</x:v>
      </x:c>
      <x:c r="D99" s="158" t="n">
        <x:v>0.47</x:v>
      </x:c>
      <x:c r="E99" s="158" t="n">
        <x:f>LUCK!H152</x:f>
        <x:v>0.49728501600707337</x:v>
      </x:c>
      <x:c r="F99" s="158" t="n">
        <x:f>LUCK!H84/LUCK!H37</x:f>
        <x:v>0.4667766206183416</x:v>
      </x:c>
      <x:c r="G99" s="162" t="str">
        <x:v>Sales / closing assets</x:v>
      </x:c>
      <x:c r="H99" s="162" t="str">
        <x:f>IF(AND(ISNUMBER(D99),ISNUMBER(F99)),IF(ROUND(D99,O99)=ROUND(F99,O99),"Reproduced to precision","Unresolved published value"),"Not comparable")</x:f>
        <x:v>Reproduced to precision</x:v>
      </x:c>
      <x:c r="I99" s="162" t="str">
        <x:v>Tested the source-based convention shown in G against official published precision. Unmatched values remain unresolved; neither the standardized method nor the financial inputs were altered to force agreement.</x:v>
      </x:c>
      <x:c r="J99" s="162" t="str">
        <x:v>FY2025 AR p166 "Horizontal / key ratio analysis" (per-share split-adjusted to Rs 2 basis)</x:v>
      </x:c>
      <x:c r="K99" s="162" t="str">
        <x:v>Reconciled (company convention)</x:v>
      </x:c>
      <x:c r="L99" s="162" t="str">
        <x:v>Source comparison</x:v>
      </x:c>
      <x:c r="M99" s="157" t="n">
        <x:f>IF(ISNUMBER(E99),E99-D99,"n/m")</x:f>
        <x:v>0.027285016007073393</x:v>
      </x:c>
      <x:c r="N99" s="157" t="n">
        <x:f>IF(ISNUMBER(F99),F99-D99,"n/m")</x:f>
        <x:v>-0.0032233793816583978</x:v>
      </x:c>
      <x:c r="O99" s="157" t="n">
        <x:v>2</x:v>
      </x:c>
    </x:row>
    <x:row r="100" ht="112" hidden="0" customHeight="1">
      <x:c r="A100" s="75" t="str">
        <x:v>LUCK</x:v>
      </x:c>
      <x:c r="B100" s="75" t="str">
        <x:v>Fixed assets turnover</x:v>
      </x:c>
      <x:c r="C100" s="75" t="str">
        <x:v>FY2021</x:v>
      </x:c>
      <x:c r="D100" s="159" t="n">
        <x:v>1.01</x:v>
      </x:c>
      <x:c r="E100" s="159" t="n">
        <x:f>LUCK!D153</x:f>
        <x:v>1.064193408439223</x:v>
      </x:c>
      <x:c r="F100" s="159" t="n">
        <x:f>LUCK!D84/(LUCK!D20+LUCK!D24)</x:f>
        <x:v>1.0088184414012127</x:v>
      </x:c>
      <x:c r="G100" s="163" t="str">
        <x:v>Sales / closing fixed-assets caption (PPE + intangible assets)</x:v>
      </x:c>
      <x:c r="H100" s="163" t="str">
        <x:f>IF(AND(ISNUMBER(D100),ISNUMBER(F100)),IF(ROUND(D100,O100)=ROUND(F100,O100),"Reproduced to precision","Unresolved published value"),"Not comparable")</x:f>
        <x:v>Reproduced to precision</x:v>
      </x:c>
      <x:c r="I100" s="163" t="str">
        <x:v>Official asset statement groups PPE and intangible assets under Fixed assets. Using that closing subtotal reproduces all five published values, including the former0.01 FY2022/24 gaps. Standardized FAT remains sales / average operating PPE excluding CWIP.</x:v>
      </x:c>
      <x:c r="J100" s="163" t="str">
        <x:v>FY2025 AR p166 "Horizontal / key ratio analysis" (per-share split-adjusted to Rs 2 basis)</x:v>
      </x:c>
      <x:c r="K100" s="163" t="str">
        <x:v>Reconciled (company convention)</x:v>
      </x:c>
      <x:c r="L100" s="163" t="str">
        <x:v>Published fixed-asset scope and closing-balance difference</x:v>
      </x:c>
      <x:c r="M100" s="75" t="n">
        <x:f>IF(ISNUMBER(E100),E100-D100,"n/m")</x:f>
        <x:v>0.054193408439223045</x:v>
      </x:c>
      <x:c r="N100" s="75" t="n">
        <x:f>IF(ISNUMBER(F100),F100-D100,"n/m")</x:f>
        <x:v>-0.0011815585987873245</x:v>
      </x:c>
      <x:c r="O100" s="75" t="n">
        <x:v>2</x:v>
      </x:c>
    </x:row>
    <x:row r="101" ht="112" hidden="0" customHeight="1">
      <x:c r="A101" s="157" t="str">
        <x:v>LUCK</x:v>
      </x:c>
      <x:c r="B101" s="157" t="str">
        <x:v>Fixed assets turnover</x:v>
      </x:c>
      <x:c r="C101" s="157" t="str">
        <x:v>FY2022</x:v>
      </x:c>
      <x:c r="D101" s="158" t="n">
        <x:v>0.98</x:v>
      </x:c>
      <x:c r="E101" s="158" t="n">
        <x:f>LUCK!E153</x:f>
        <x:v>1.3656161868044014</x:v>
      </x:c>
      <x:c r="F101" s="158" t="n">
        <x:f>LUCK!E84/(LUCK!E20+LUCK!E24)</x:f>
        <x:v>0.98471353634591</x:v>
      </x:c>
      <x:c r="G101" s="162" t="str">
        <x:v>Sales / closing fixed-assets caption (PPE + intangible assets)</x:v>
      </x:c>
      <x:c r="H101" s="162" t="str">
        <x:f>IF(AND(ISNUMBER(D101),ISNUMBER(F101)),IF(ROUND(D101,O101)=ROUND(F101,O101),"Reproduced to precision","Unresolved published value"),"Not comparable")</x:f>
        <x:v>Reproduced to precision</x:v>
      </x:c>
      <x:c r="I101" s="162" t="str">
        <x:v>Official asset statement groups PPE and intangible assets under Fixed assets. Using that closing subtotal reproduces all five published values, including the former0.01 FY2022/24 gaps. Standardized FAT remains sales / average operating PPE excluding CWIP.</x:v>
      </x:c>
      <x:c r="J101" s="162" t="str">
        <x:v>FY2025 AR p166 "Horizontal / key ratio analysis" (per-share split-adjusted to Rs 2 basis)</x:v>
      </x:c>
      <x:c r="K101" s="162" t="str">
        <x:v>Agrees within 0.01 (rounding of inputs)</x:v>
      </x:c>
      <x:c r="L101" s="162" t="str">
        <x:v>Published fixed-asset scope and closing-balance difference</x:v>
      </x:c>
      <x:c r="M101" s="157" t="n">
        <x:f>IF(ISNUMBER(E101),E101-D101,"n/m")</x:f>
        <x:v>0.38561618680440146</x:v>
      </x:c>
      <x:c r="N101" s="157" t="n">
        <x:f>IF(ISNUMBER(F101),F101-D101,"n/m")</x:f>
        <x:v>0.0047135363459099855</x:v>
      </x:c>
      <x:c r="O101" s="157" t="n">
        <x:v>2</x:v>
      </x:c>
    </x:row>
    <x:row r="102" ht="112" hidden="0" customHeight="1">
      <x:c r="A102" s="75" t="str">
        <x:v>LUCK</x:v>
      </x:c>
      <x:c r="B102" s="75" t="str">
        <x:v>Fixed assets turnover</x:v>
      </x:c>
      <x:c r="C102" s="75" t="str">
        <x:v>FY2023</x:v>
      </x:c>
      <x:c r="D102" s="159" t="n">
        <x:v>1</x:v>
      </x:c>
      <x:c r="E102" s="159" t="n">
        <x:f>LUCK!F153</x:f>
        <x:v>1.2739571002729932</x:v>
      </x:c>
      <x:c r="F102" s="159" t="n">
        <x:f>LUCK!F84/(LUCK!F20+LUCK!F24)</x:f>
        <x:v>1.0013191768523682</x:v>
      </x:c>
      <x:c r="G102" s="163" t="str">
        <x:v>Sales / closing fixed-assets caption (PPE + intangible assets)</x:v>
      </x:c>
      <x:c r="H102" s="163" t="str">
        <x:f>IF(AND(ISNUMBER(D102),ISNUMBER(F102)),IF(ROUND(D102,O102)=ROUND(F102,O102),"Reproduced to precision","Unresolved published value"),"Not comparable")</x:f>
        <x:v>Reproduced to precision</x:v>
      </x:c>
      <x:c r="I102" s="163" t="str">
        <x:v>Official asset statement groups PPE and intangible assets under Fixed assets. Using that closing subtotal reproduces all five published values, including the former0.01 FY2022/24 gaps. Standardized FAT remains sales / average operating PPE excluding CWIP.</x:v>
      </x:c>
      <x:c r="J102" s="163" t="str">
        <x:v>FY2025 AR p166 "Horizontal / key ratio analysis" (per-share split-adjusted to Rs 2 basis)</x:v>
      </x:c>
      <x:c r="K102" s="163" t="str">
        <x:v>Reconciled (company convention)</x:v>
      </x:c>
      <x:c r="L102" s="163" t="str">
        <x:v>Published fixed-asset scope and closing-balance difference</x:v>
      </x:c>
      <x:c r="M102" s="75" t="n">
        <x:f>IF(ISNUMBER(E102),E102-D102,"n/m")</x:f>
        <x:v>0.27395710027299325</x:v>
      </x:c>
      <x:c r="N102" s="75" t="n">
        <x:f>IF(ISNUMBER(F102),F102-D102,"n/m")</x:f>
        <x:v>0.0013191768523681535</x:v>
      </x:c>
      <x:c r="O102" s="75" t="n">
        <x:v>2</x:v>
      </x:c>
    </x:row>
    <x:row r="103" ht="112" hidden="0" customHeight="1">
      <x:c r="A103" s="157" t="str">
        <x:v>LUCK</x:v>
      </x:c>
      <x:c r="B103" s="157" t="str">
        <x:v>Fixed assets turnover</x:v>
      </x:c>
      <x:c r="C103" s="157" t="str">
        <x:v>FY2024</x:v>
      </x:c>
      <x:c r="D103" s="158" t="n">
        <x:v>1.07</x:v>
      </x:c>
      <x:c r="E103" s="158" t="n">
        <x:f>LUCK!G153</x:f>
        <x:v>1.242164612598929</x:v>
      </x:c>
      <x:c r="F103" s="158" t="n">
        <x:f>LUCK!G84/(LUCK!G20+LUCK!G24)</x:f>
        <x:v>1.0745056989453683</x:v>
      </x:c>
      <x:c r="G103" s="162" t="str">
        <x:v>Sales / closing fixed-assets caption (PPE + intangible assets)</x:v>
      </x:c>
      <x:c r="H103" s="162" t="str">
        <x:f>IF(AND(ISNUMBER(D103),ISNUMBER(F103)),IF(ROUND(D103,O103)=ROUND(F103,O103),"Reproduced to precision","Unresolved published value"),"Not comparable")</x:f>
        <x:v>Reproduced to precision</x:v>
      </x:c>
      <x:c r="I103" s="162" t="str">
        <x:v>Official asset statement groups PPE and intangible assets under Fixed assets. Using that closing subtotal reproduces all five published values, including the former0.01 FY2022/24 gaps. Standardized FAT remains sales / average operating PPE excluding CWIP.</x:v>
      </x:c>
      <x:c r="J103" s="162" t="str">
        <x:v>FY2025 AR p166 "Horizontal / key ratio analysis" (per-share split-adjusted to Rs 2 basis)</x:v>
      </x:c>
      <x:c r="K103" s="162" t="str">
        <x:v>Agrees within 0.01 (rounding of inputs)</x:v>
      </x:c>
      <x:c r="L103" s="162" t="str">
        <x:v>Published fixed-asset scope and closing-balance difference</x:v>
      </x:c>
      <x:c r="M103" s="157" t="n">
        <x:f>IF(ISNUMBER(E103),E103-D103,"n/m")</x:f>
        <x:v>0.1721646125989289</x:v>
      </x:c>
      <x:c r="N103" s="157" t="n">
        <x:f>IF(ISNUMBER(F103),F103-D103,"n/m")</x:f>
        <x:v>0.004505698945368231</x:v>
      </x:c>
      <x:c r="O103" s="157" t="n">
        <x:v>2</x:v>
      </x:c>
    </x:row>
    <x:row r="104" ht="112" hidden="0" customHeight="1">
      <x:c r="A104" s="75" t="str">
        <x:v>LUCK</x:v>
      </x:c>
      <x:c r="B104" s="75" t="str">
        <x:v>Fixed assets turnover</x:v>
      </x:c>
      <x:c r="C104" s="75" t="str">
        <x:v>FY2025</x:v>
      </x:c>
      <x:c r="D104" s="159" t="n">
        <x:v>1.16</x:v>
      </x:c>
      <x:c r="E104" s="159" t="n">
        <x:f>LUCK!H153</x:f>
        <x:v>1.2601477514941262</x:v>
      </x:c>
      <x:c r="F104" s="159" t="n">
        <x:f>LUCK!H84/(LUCK!H20+LUCK!H24)</x:f>
        <x:v>1.1587250227691257</x:v>
      </x:c>
      <x:c r="G104" s="163" t="str">
        <x:v>Sales / closing fixed-assets caption (PPE + intangible assets)</x:v>
      </x:c>
      <x:c r="H104" s="163" t="str">
        <x:f>IF(AND(ISNUMBER(D104),ISNUMBER(F104)),IF(ROUND(D104,O104)=ROUND(F104,O104),"Reproduced to precision","Unresolved published value"),"Not comparable")</x:f>
        <x:v>Reproduced to precision</x:v>
      </x:c>
      <x:c r="I104" s="163" t="str">
        <x:v>Official asset statement groups PPE and intangible assets under Fixed assets. Using that closing subtotal reproduces all five published values, including the former0.01 FY2022/24 gaps. Standardized FAT remains sales / average operating PPE excluding CWIP.</x:v>
      </x:c>
      <x:c r="J104" s="163" t="str">
        <x:v>FY2025 AR p166 "Horizontal / key ratio analysis" (per-share split-adjusted to Rs 2 basis)</x:v>
      </x:c>
      <x:c r="K104" s="163" t="str">
        <x:v>Reconciled (company convention)</x:v>
      </x:c>
      <x:c r="L104" s="163" t="str">
        <x:v>Published fixed-asset scope and closing-balance difference</x:v>
      </x:c>
      <x:c r="M104" s="75" t="n">
        <x:f>IF(ISNUMBER(E104),E104-D104,"n/m")</x:f>
        <x:v>0.10014775149412625</x:v>
      </x:c>
      <x:c r="N104" s="75" t="n">
        <x:f>IF(ISNUMBER(F104),F104-D104,"n/m")</x:f>
        <x:v>-0.001274977230874219</x:v>
      </x:c>
      <x:c r="O104" s="75" t="n">
        <x:v>2</x:v>
      </x:c>
    </x:row>
    <x:row r="105" ht="112" hidden="0" customHeight="1">
      <x:c r="A105" s="157" t="str">
        <x:v>LUCK</x:v>
      </x:c>
      <x:c r="B105" s="157" t="str">
        <x:v>Interest coverage</x:v>
      </x:c>
      <x:c r="C105" s="157" t="str">
        <x:v>FY2021</x:v>
      </x:c>
      <x:c r="D105" s="158" t="n">
        <x:v>38.57</x:v>
      </x:c>
      <x:c r="E105" s="158" t="n">
        <x:f>LUCK!D159</x:f>
        <x:v>52.04222826331838</x:v>
      </x:c>
      <x:c r="F105" s="158" t="n">
        <x:f>(LUCK!D86+LUCK!D87+LUCK!D88)/(-LUCK!D95)</x:f>
        <x:v>38.56884696835434</x:v>
      </x:c>
      <x:c r="G105" s="162" t="str">
        <x:v>(GP - selling - administration) / all finance cost</x:v>
      </x:c>
      <x:c r="H105" s="162" t="str">
        <x:f>IF(AND(ISNUMBER(D105),ISNUMBER(F105)),IF(ROUND(D105,O105)=ROUND(F105,O105),"Reproduced to precision","Unresolved published value"),"Not comparable")</x:f>
        <x:v>Reproduced to precision</x:v>
      </x:c>
      <x:c r="I105" s="162" t="str">
        <x:v>All five published values reproduce using GP less selling and administration divided by all finance cost. The audited income statement separates other expenses/income. Standard TIE remains EBIT (PBT + finance cost) / interest-only expense. Exact reproduction does not establish an expressly disclosed company formula.</x:v>
      </x:c>
      <x:c r="J105" s="162" t="str">
        <x:v>FY2025 AR p166 "Horizontal / key ratio analysis" (per-share split-adjusted to Rs 2 basis)</x:v>
      </x:c>
      <x:c r="K105" s="162" t="str">
        <x:v>Not reproduced</x:v>
      </x:c>
      <x:c r="L105" s="162" t="str">
        <x:v>Published methodology difference (reconstructed)</x:v>
      </x:c>
      <x:c r="M105" s="157" t="n">
        <x:f>IF(ISNUMBER(E105),E105-D105,"n/m")</x:f>
        <x:v>13.472228263318378</x:v>
      </x:c>
      <x:c r="N105" s="157" t="n">
        <x:f>IF(ISNUMBER(F105),F105-D105,"n/m")</x:f>
        <x:v>-0.0011530316456571654</x:v>
      </x:c>
      <x:c r="O105" s="157" t="n">
        <x:v>2</x:v>
      </x:c>
    </x:row>
    <x:row r="106" ht="112" hidden="0" customHeight="1">
      <x:c r="A106" s="75" t="str">
        <x:v>LUCK</x:v>
      </x:c>
      <x:c r="B106" s="75" t="str">
        <x:v>Interest coverage</x:v>
      </x:c>
      <x:c r="C106" s="75" t="str">
        <x:v>FY2022</x:v>
      </x:c>
      <x:c r="D106" s="159" t="n">
        <x:v>41.25</x:v>
      </x:c>
      <x:c r="E106" s="159" t="n">
        <x:f>LUCK!E159</x:f>
        <x:v>55.297361076962446</x:v>
      </x:c>
      <x:c r="F106" s="159" t="n">
        <x:f>(LUCK!E86+LUCK!E87+LUCK!E88)/(-LUCK!E95)</x:f>
        <x:v>41.25294474002386</x:v>
      </x:c>
      <x:c r="G106" s="163" t="str">
        <x:v>(GP - selling - administration) / all finance cost</x:v>
      </x:c>
      <x:c r="H106" s="163" t="str">
        <x:f>IF(AND(ISNUMBER(D106),ISNUMBER(F106)),IF(ROUND(D106,O106)=ROUND(F106,O106),"Reproduced to precision","Unresolved published value"),"Not comparable")</x:f>
        <x:v>Reproduced to precision</x:v>
      </x:c>
      <x:c r="I106" s="163" t="str">
        <x:v>All five published values reproduce using GP less selling and administration divided by all finance cost. The audited income statement separates other expenses/income. Standard TIE remains EBIT (PBT + finance cost) / interest-only expense. Exact reproduction does not establish an expressly disclosed company formula.</x:v>
      </x:c>
      <x:c r="J106" s="163" t="str">
        <x:v>FY2025 AR p166 "Horizontal / key ratio analysis" (per-share split-adjusted to Rs 2 basis)</x:v>
      </x:c>
      <x:c r="K106" s="163" t="str">
        <x:v>Not reproduced</x:v>
      </x:c>
      <x:c r="L106" s="163" t="str">
        <x:v>Published methodology difference (reconstructed)</x:v>
      </x:c>
      <x:c r="M106" s="75" t="n">
        <x:f>IF(ISNUMBER(E106),E106-D106,"n/m")</x:f>
        <x:v>14.047361076962446</x:v>
      </x:c>
      <x:c r="N106" s="75" t="n">
        <x:f>IF(ISNUMBER(F106),F106-D106,"n/m")</x:f>
        <x:v>0.0029447400238566956</x:v>
      </x:c>
      <x:c r="O106" s="75" t="n">
        <x:v>2</x:v>
      </x:c>
    </x:row>
    <x:row r="107" ht="112" hidden="0" customHeight="1">
      <x:c r="A107" s="157" t="str">
        <x:v>LUCK</x:v>
      </x:c>
      <x:c r="B107" s="157" t="str">
        <x:v>Interest coverage</x:v>
      </x:c>
      <x:c r="C107" s="157" t="str">
        <x:v>FY2023</x:v>
      </x:c>
      <x:c r="D107" s="158" t="n">
        <x:v>16.16</x:v>
      </x:c>
      <x:c r="E107" s="158" t="n">
        <x:f>LUCK!F159</x:f>
        <x:v>19.427961435835122</x:v>
      </x:c>
      <x:c r="F107" s="158" t="n">
        <x:f>(LUCK!F86+LUCK!F87+LUCK!F88)/(-LUCK!F95)</x:f>
        <x:v>16.164037374868563</x:v>
      </x:c>
      <x:c r="G107" s="162" t="str">
        <x:v>(GP - selling - administration) / all finance cost</x:v>
      </x:c>
      <x:c r="H107" s="162" t="str">
        <x:f>IF(AND(ISNUMBER(D107),ISNUMBER(F107)),IF(ROUND(D107,O107)=ROUND(F107,O107),"Reproduced to precision","Unresolved published value"),"Not comparable")</x:f>
        <x:v>Reproduced to precision</x:v>
      </x:c>
      <x:c r="I107" s="162" t="str">
        <x:v>All five published values reproduce using GP less selling and administration divided by all finance cost. The audited income statement separates other expenses/income. Standard TIE remains EBIT (PBT + finance cost) / interest-only expense. Exact reproduction does not establish an expressly disclosed company formula.</x:v>
      </x:c>
      <x:c r="J107" s="162" t="str">
        <x:v>FY2025 AR p166 "Horizontal / key ratio analysis" (per-share split-adjusted to Rs 2 basis)</x:v>
      </x:c>
      <x:c r="K107" s="162" t="str">
        <x:v>Not reproduced</x:v>
      </x:c>
      <x:c r="L107" s="162" t="str">
        <x:v>Published methodology difference (reconstructed)</x:v>
      </x:c>
      <x:c r="M107" s="157" t="n">
        <x:f>IF(ISNUMBER(E107),E107-D107,"n/m")</x:f>
        <x:v>3.2679614358351223</x:v>
      </x:c>
      <x:c r="N107" s="157" t="n">
        <x:f>IF(ISNUMBER(F107),F107-D107,"n/m")</x:f>
        <x:v>0.004037374868563148</x:v>
      </x:c>
      <x:c r="O107" s="157" t="n">
        <x:v>2</x:v>
      </x:c>
    </x:row>
    <x:row r="108" ht="112" hidden="0" customHeight="1">
      <x:c r="A108" s="75" t="str">
        <x:v>LUCK</x:v>
      </x:c>
      <x:c r="B108" s="75" t="str">
        <x:v>Interest coverage</x:v>
      </x:c>
      <x:c r="C108" s="75" t="str">
        <x:v>FY2024</x:v>
      </x:c>
      <x:c r="D108" s="159" t="n">
        <x:v>18.26</x:v>
      </x:c>
      <x:c r="E108" s="159" t="n">
        <x:f>LUCK!G159</x:f>
        <x:v>27.534616013098077</x:v>
      </x:c>
      <x:c r="F108" s="159" t="n">
        <x:f>(LUCK!G86+LUCK!G87+LUCK!G88)/(-LUCK!G95)</x:f>
        <x:v>18.258657524058165</x:v>
      </x:c>
      <x:c r="G108" s="163" t="str">
        <x:v>(GP - selling - administration) / all finance cost</x:v>
      </x:c>
      <x:c r="H108" s="163" t="str">
        <x:f>IF(AND(ISNUMBER(D108),ISNUMBER(F108)),IF(ROUND(D108,O108)=ROUND(F108,O108),"Reproduced to precision","Unresolved published value"),"Not comparable")</x:f>
        <x:v>Reproduced to precision</x:v>
      </x:c>
      <x:c r="I108" s="163" t="str">
        <x:v>All five published values reproduce using GP less selling and administration divided by all finance cost. The audited income statement separates other expenses/income. Standard TIE remains EBIT (PBT + finance cost) / interest-only expense. Exact reproduction does not establish an expressly disclosed company formula.</x:v>
      </x:c>
      <x:c r="J108" s="163" t="str">
        <x:v>FY2025 AR p166 "Horizontal / key ratio analysis" (per-share split-adjusted to Rs 2 basis)</x:v>
      </x:c>
      <x:c r="K108" s="163" t="str">
        <x:v>Not reproduced</x:v>
      </x:c>
      <x:c r="L108" s="163" t="str">
        <x:v>Published methodology difference (reconstructed)</x:v>
      </x:c>
      <x:c r="M108" s="75" t="n">
        <x:f>IF(ISNUMBER(E108),E108-D108,"n/m")</x:f>
        <x:v>9.274616013098075</x:v>
      </x:c>
      <x:c r="N108" s="75" t="n">
        <x:f>IF(ISNUMBER(F108),F108-D108,"n/m")</x:f>
        <x:v>-0.0013424759418363408</x:v>
      </x:c>
      <x:c r="O108" s="75" t="n">
        <x:v>2</x:v>
      </x:c>
    </x:row>
    <x:row r="109" ht="112" hidden="0" customHeight="1">
      <x:c r="A109" s="157" t="str">
        <x:v>LUCK</x:v>
      </x:c>
      <x:c r="B109" s="157" t="str">
        <x:v>Interest coverage</x:v>
      </x:c>
      <x:c r="C109" s="157" t="str">
        <x:v>FY2025</x:v>
      </x:c>
      <x:c r="D109" s="158" t="n">
        <x:v>22.83</x:v>
      </x:c>
      <x:c r="E109" s="158" t="n">
        <x:f>LUCK!H159</x:f>
        <x:v>36.7208914917797</x:v>
      </x:c>
      <x:c r="F109" s="158" t="n">
        <x:f>(LUCK!H86+LUCK!H87+LUCK!H88)/(-LUCK!H95)</x:f>
        <x:v>22.826008759865434</x:v>
      </x:c>
      <x:c r="G109" s="162" t="str">
        <x:v>(GP - selling - administration) / all finance cost</x:v>
      </x:c>
      <x:c r="H109" s="162" t="str">
        <x:f>IF(AND(ISNUMBER(D109),ISNUMBER(F109)),IF(ROUND(D109,O109)=ROUND(F109,O109),"Reproduced to precision","Unresolved published value"),"Not comparable")</x:f>
        <x:v>Reproduced to precision</x:v>
      </x:c>
      <x:c r="I109" s="162" t="str">
        <x:v>All five published values reproduce using GP less selling and administration divided by all finance cost. The audited income statement separates other expenses/income. Standard TIE remains EBIT (PBT + finance cost) / interest-only expense. Exact reproduction does not establish an expressly disclosed company formula.</x:v>
      </x:c>
      <x:c r="J109" s="162" t="str">
        <x:v>FY2025 AR p166 "Horizontal / key ratio analysis" (per-share split-adjusted to Rs 2 basis)</x:v>
      </x:c>
      <x:c r="K109" s="162" t="str">
        <x:v>Not reproduced</x:v>
      </x:c>
      <x:c r="L109" s="162" t="str">
        <x:v>Published methodology difference (reconstructed)</x:v>
      </x:c>
      <x:c r="M109" s="157" t="n">
        <x:f>IF(ISNUMBER(E109),E109-D109,"n/m")</x:f>
        <x:v>13.890891491779705</x:v>
      </x:c>
      <x:c r="N109" s="157" t="n">
        <x:f>IF(ISNUMBER(F109),F109-D109,"n/m")</x:f>
        <x:v>-0.003991240134563867</x:v>
      </x:c>
      <x:c r="O109" s="157" t="n">
        <x:v>2</x:v>
      </x:c>
    </x:row>
    <x:row r="110" ht="112" hidden="0" customHeight="1">
      <x:c r="A110" s="75" t="str">
        <x:v>LUCK</x:v>
      </x:c>
      <x:c r="B110" s="75" t="str">
        <x:v>EPS (FY2025 share basis)</x:v>
      </x:c>
      <x:c r="C110" s="75" t="str">
        <x:v>FY2021</x:v>
      </x:c>
      <x:c r="D110" s="159" t="n">
        <x:v>8.7</x:v>
      </x:c>
      <x:c r="E110" s="159" t="n">
        <x:f>LUCK!D171</x:f>
        <x:v>43.51044143795904</x:v>
      </x:c>
      <x:c r="F110" s="159" t="n">
        <x:f>LUCK!D99/'PSX Prices'!O11</x:f>
        <x:v>8.702088287591808</x:v>
      </x:c>
      <x:c r="G110" s="163" t="str">
        <x:v>PAT / reported-basis weighted shares</x:v>
      </x:c>
      <x:c r="H110" s="163" t="str">
        <x:f>IF(AND(ISNUMBER(D110),ISNUMBER(F110)),IF(ROUND(D110,O110)=ROUND(F110,O110),"Reproduced to precision","Unresolved published value"),"Not comparable")</x:f>
        <x:v>Reproduced to precision</x:v>
      </x:c>
      <x:c r="I110" s="163" t="str">
        <x:v>Report per-share series is split-adjusted. Standard result uses the share basis in force at each year-end. See Share Basis for source conflicts in KOHC FY2024 weighted shares, LUCK FY2023 EPS and FCCL bonus treatment.</x:v>
      </x:c>
      <x:c r="J110" s="163" t="str">
        <x:v>FY2025 AR p166 "Horizontal / key ratio analysis" (per-share split-adjusted to Rs 2 basis)</x:v>
      </x:c>
      <x:c r="K110" s="163" t="str">
        <x:v>Agrees (same convention)</x:v>
      </x:c>
      <x:c r="L110" s="163" t="str">
        <x:v>Source comparison</x:v>
      </x:c>
      <x:c r="M110" s="75" t="n">
        <x:f>IF(ISNUMBER(E110),E110-D110,"n/m")</x:f>
        <x:v>34.81044143795904</x:v>
      </x:c>
      <x:c r="N110" s="75" t="n">
        <x:f>IF(ISNUMBER(F110),F110-D110,"n/m")</x:f>
        <x:v>0.0020882875918086796</x:v>
      </x:c>
      <x:c r="O110" s="75" t="n">
        <x:v>2</x:v>
      </x:c>
    </x:row>
    <x:row r="111" ht="112" hidden="0" customHeight="1">
      <x:c r="A111" s="157" t="str">
        <x:v>LUCK</x:v>
      </x:c>
      <x:c r="B111" s="157" t="str">
        <x:v>EPS (FY2025 share basis)</x:v>
      </x:c>
      <x:c r="C111" s="157" t="str">
        <x:v>FY2022</x:v>
      </x:c>
      <x:c r="D111" s="158" t="n">
        <x:v>9.46</x:v>
      </x:c>
      <x:c r="E111" s="158" t="n">
        <x:f>LUCK!E171</x:f>
        <x:v>47.30921685349824</x:v>
      </x:c>
      <x:c r="F111" s="158" t="n">
        <x:f>LUCK!E99/'PSX Prices'!O12</x:f>
        <x:v>9.461843370699647</x:v>
      </x:c>
      <x:c r="G111" s="162" t="str">
        <x:v>PAT / reported-basis weighted shares</x:v>
      </x:c>
      <x:c r="H111" s="162" t="str">
        <x:f>IF(AND(ISNUMBER(D111),ISNUMBER(F111)),IF(ROUND(D111,O111)=ROUND(F111,O111),"Reproduced to precision","Unresolved published value"),"Not comparable")</x:f>
        <x:v>Reproduced to precision</x:v>
      </x:c>
      <x:c r="I111" s="162" t="str">
        <x:v>Report per-share series is split-adjusted. Standard result uses the share basis in force at each year-end. See Share Basis for source conflicts in KOHC FY2024 weighted shares, LUCK FY2023 EPS and FCCL bonus treatment.</x:v>
      </x:c>
      <x:c r="J111" s="162" t="str">
        <x:v>FY2025 AR p166 "Horizontal / key ratio analysis" (per-share split-adjusted to Rs 2 basis)</x:v>
      </x:c>
      <x:c r="K111" s="162" t="str">
        <x:v>Agrees (same convention)</x:v>
      </x:c>
      <x:c r="L111" s="162" t="str">
        <x:v>Source comparison</x:v>
      </x:c>
      <x:c r="M111" s="157" t="n">
        <x:f>IF(ISNUMBER(E111),E111-D111,"n/m")</x:f>
        <x:v>37.84921685349824</x:v>
      </x:c>
      <x:c r="N111" s="157" t="n">
        <x:f>IF(ISNUMBER(F111),F111-D111,"n/m")</x:f>
        <x:v>0.0018433706996461297</x:v>
      </x:c>
      <x:c r="O111" s="157" t="n">
        <x:v>2</x:v>
      </x:c>
    </x:row>
    <x:row r="112" ht="112" hidden="0" customHeight="1">
      <x:c r="A112" s="75" t="str">
        <x:v>LUCK</x:v>
      </x:c>
      <x:c r="B112" s="75" t="str">
        <x:v>EPS (FY2025 share basis)</x:v>
      </x:c>
      <x:c r="C112" s="75" t="str">
        <x:v>FY2023</x:v>
      </x:c>
      <x:c r="D112" s="159" t="n">
        <x:v>8.49</x:v>
      </x:c>
      <x:c r="E112" s="159" t="n">
        <x:f>LUCK!F171</x:f>
        <x:v>43.06151234984266</x:v>
      </x:c>
      <x:c r="F112" s="159" t="n">
        <x:f>LUCK!F99/'PSX Prices'!O13</x:f>
        <x:v>8.612302469968533</x:v>
      </x:c>
      <x:c r="G112" s="163" t="str">
        <x:v>PAT / reported-basis weighted shares</x:v>
      </x:c>
      <x:c r="H112" s="163" t="str">
        <x:f>IF(AND(ISNUMBER(D112),ISNUMBER(F112)),IF(ROUND(D112,O112)=ROUND(F112,O112),"Reproduced to precision","Unresolved published value"),"Not comparable")</x:f>
        <x:v>Unresolved published value</x:v>
      </x:c>
      <x:c r="I112" s="163" t="str">
        <x:v>Report per-share series is split-adjusted. Standard result uses the share basis in force at each year-end. See Share Basis for source conflicts in KOHC FY2024 weighted shares, LUCK FY2023 EPS and FCCL bonus treatment.</x:v>
      </x:c>
      <x:c r="J112" s="163" t="str">
        <x:v>FY2025 AR p166 "Horizontal / key ratio analysis" (per-share split-adjusted to Rs 2 basis)</x:v>
      </x:c>
      <x:c r="K112" s="163" t="str">
        <x:v>Explained difference</x:v>
      </x:c>
      <x:c r="L112" s="163" t="str">
        <x:v>Source comparison</x:v>
      </x:c>
      <x:c r="M112" s="75" t="n">
        <x:f>IF(ISNUMBER(E112),E112-D112,"n/m")</x:f>
        <x:v>34.571512349842656</x:v>
      </x:c>
      <x:c r="N112" s="75" t="n">
        <x:f>IF(ISNUMBER(F112),F112-D112,"n/m")</x:f>
        <x:v>0.12230246996853289</x:v>
      </x:c>
      <x:c r="O112" s="75" t="n">
        <x:v>2</x:v>
      </x:c>
    </x:row>
    <x:row r="113" ht="112" hidden="0" customHeight="1">
      <x:c r="A113" s="157" t="str">
        <x:v>LUCK</x:v>
      </x:c>
      <x:c r="B113" s="157" t="str">
        <x:v>EPS (FY2025 share basis)</x:v>
      </x:c>
      <x:c r="C113" s="157" t="str">
        <x:v>FY2024</x:v>
      </x:c>
      <x:c r="D113" s="158" t="n">
        <x:v>18.91</x:v>
      </x:c>
      <x:c r="E113" s="158" t="n">
        <x:f>LUCK!G171</x:f>
        <x:v>94.54058917711643</x:v>
      </x:c>
      <x:c r="F113" s="158" t="n">
        <x:f>LUCK!G99/'PSX Prices'!O14</x:f>
        <x:v>18.908117835423283</x:v>
      </x:c>
      <x:c r="G113" s="162" t="str">
        <x:v>PAT / reported-basis weighted shares</x:v>
      </x:c>
      <x:c r="H113" s="162" t="str">
        <x:f>IF(AND(ISNUMBER(D113),ISNUMBER(F113)),IF(ROUND(D113,O113)=ROUND(F113,O113),"Reproduced to precision","Unresolved published value"),"Not comparable")</x:f>
        <x:v>Reproduced to precision</x:v>
      </x:c>
      <x:c r="I113" s="162" t="str">
        <x:v>Report per-share series is split-adjusted. Standard result uses the share basis in force at each year-end. See Share Basis for source conflicts in KOHC FY2024 weighted shares, LUCK FY2023 EPS and FCCL bonus treatment.</x:v>
      </x:c>
      <x:c r="J113" s="162" t="str">
        <x:v>FY2025 AR p166 "Horizontal / key ratio analysis" (per-share split-adjusted to Rs 2 basis)</x:v>
      </x:c>
      <x:c r="K113" s="162" t="str">
        <x:v>Agrees (same convention)</x:v>
      </x:c>
      <x:c r="L113" s="162" t="str">
        <x:v>Source comparison</x:v>
      </x:c>
      <x:c r="M113" s="157" t="n">
        <x:f>IF(ISNUMBER(E113),E113-D113,"n/m")</x:f>
        <x:v>75.63058917711643</x:v>
      </x:c>
      <x:c r="N113" s="157" t="n">
        <x:f>IF(ISNUMBER(F113),F113-D113,"n/m")</x:f>
        <x:v>-0.0018821645767168604</x:v>
      </x:c>
      <x:c r="O113" s="157" t="n">
        <x:v>2</x:v>
      </x:c>
    </x:row>
    <x:row r="114" ht="112" hidden="0" customHeight="1">
      <x:c r="A114" s="75" t="str">
        <x:v>LUCK</x:v>
      </x:c>
      <x:c r="B114" s="75" t="str">
        <x:v>EPS (FY2025 share basis)</x:v>
      </x:c>
      <x:c r="C114" s="75" t="str">
        <x:v>FY2025</x:v>
      </x:c>
      <x:c r="D114" s="159" t="n">
        <x:v>22.59</x:v>
      </x:c>
      <x:c r="E114" s="159" t="n">
        <x:f>LUCK!H171</x:f>
        <x:v>22.58850648464164</x:v>
      </x:c>
      <x:c r="F114" s="159" t="n">
        <x:f>LUCK!H99/'PSX Prices'!O15</x:f>
        <x:v>22.58850648464164</x:v>
      </x:c>
      <x:c r="G114" s="163" t="str">
        <x:v>PAT / reported-basis weighted shares</x:v>
      </x:c>
      <x:c r="H114" s="163" t="str">
        <x:f>IF(AND(ISNUMBER(D114),ISNUMBER(F114)),IF(ROUND(D114,O114)=ROUND(F114,O114),"Reproduced to precision","Unresolved published value"),"Not comparable")</x:f>
        <x:v>Reproduced to precision</x:v>
      </x:c>
      <x:c r="I114" s="163" t="str">
        <x:v>Report per-share series is split-adjusted. Standard result uses the share basis in force at each year-end. See Share Basis for source conflicts in KOHC FY2024 weighted shares, LUCK FY2023 EPS and FCCL bonus treatment.</x:v>
      </x:c>
      <x:c r="J114" s="163" t="str">
        <x:v>FY2025 AR p166 "Horizontal / key ratio analysis" (per-share split-adjusted to Rs 2 basis)</x:v>
      </x:c>
      <x:c r="K114" s="163" t="str">
        <x:v>Agrees (same convention)</x:v>
      </x:c>
      <x:c r="L114" s="163" t="str">
        <x:v>Source comparison</x:v>
      </x:c>
      <x:c r="M114" s="75" t="n">
        <x:f>IF(ISNUMBER(E114),E114-D114,"n/m")</x:f>
        <x:v>-0.0014935153583586214</x:v>
      </x:c>
      <x:c r="N114" s="75" t="n">
        <x:f>IF(ISNUMBER(F114),F114-D114,"n/m")</x:f>
        <x:v>-0.0014935153583586214</x:v>
      </x:c>
      <x:c r="O114" s="75" t="n">
        <x:v>2</x:v>
      </x:c>
    </x:row>
    <x:row r="115" ht="112" hidden="0" customHeight="1">
      <x:c r="A115" s="157" t="str">
        <x:v>DGKC</x:v>
      </x:c>
      <x:c r="B115" s="157" t="str">
        <x:v>Current ratio</x:v>
      </x:c>
      <x:c r="C115" s="157" t="str">
        <x:v>FY2021</x:v>
      </x:c>
      <x:c r="D115" s="158" t="n">
        <x:v>0.91</x:v>
      </x:c>
      <x:c r="E115" s="158" t="n">
        <x:f>DGKC!D138</x:f>
        <x:v>0.9145250886450902</x:v>
      </x:c>
      <x:c r="F115" s="158" t="n">
        <x:f>DGKC!D36/DGKC!D61</x:f>
        <x:v>0.9145250886450902</x:v>
      </x:c>
      <x:c r="G115" s="162" t="str">
        <x:v>Standard definition</x:v>
      </x:c>
      <x:c r="H115" s="162" t="str">
        <x:f>IF(AND(ISNUMBER(D115),ISNUMBER(F115)),IF(ROUND(D115,O115)=ROUND(F115,O115),"Reproduced to precision","Unresolved published value"),"Not comparable")</x:f>
        <x:v>Reproduced to precision</x:v>
      </x:c>
      <x:c r="I115" s="162" t="str">
        <x:v>Tested the source-based convention shown in G against official published precision. Unmatched values remain unresolved; neither the standardized method nor the financial inputs were altered to force agreement.</x:v>
      </x:c>
      <x:c r="J115" s="162" t="str">
        <x:v>FY2025 AR p108 "Six years at a glance"</x:v>
      </x:c>
      <x:c r="K115" s="162" t="str">
        <x:v>Agrees (same convention)</x:v>
      </x:c>
      <x:c r="L115" s="162" t="str">
        <x:v>Source comparison</x:v>
      </x:c>
      <x:c r="M115" s="157" t="n">
        <x:f>IF(ISNUMBER(E115),E115-D115,"n/m")</x:f>
        <x:v>0.004525088645090158</x:v>
      </x:c>
      <x:c r="N115" s="157" t="n">
        <x:f>IF(ISNUMBER(F115),F115-D115,"n/m")</x:f>
        <x:v>0.004525088645090158</x:v>
      </x:c>
      <x:c r="O115" s="157" t="n">
        <x:v>2</x:v>
      </x:c>
    </x:row>
    <x:row r="116" ht="112" hidden="0" customHeight="1">
      <x:c r="A116" s="75" t="str">
        <x:v>DGKC</x:v>
      </x:c>
      <x:c r="B116" s="75" t="str">
        <x:v>Current ratio</x:v>
      </x:c>
      <x:c r="C116" s="75" t="str">
        <x:v>FY2022</x:v>
      </x:c>
      <x:c r="D116" s="159" t="n">
        <x:v>0.89</x:v>
      </x:c>
      <x:c r="E116" s="159" t="n">
        <x:f>DGKC!E138</x:f>
        <x:v>0.8855287714771004</x:v>
      </x:c>
      <x:c r="F116" s="159" t="n">
        <x:f>DGKC!E36/DGKC!E61</x:f>
        <x:v>0.8855287714771004</x:v>
      </x:c>
      <x:c r="G116" s="163" t="str">
        <x:v>Standard definition</x:v>
      </x:c>
      <x:c r="H116" s="163" t="str">
        <x:f>IF(AND(ISNUMBER(D116),ISNUMBER(F116)),IF(ROUND(D116,O116)=ROUND(F116,O116),"Reproduced to precision","Unresolved published value"),"Not comparable")</x:f>
        <x:v>Reproduced to precision</x:v>
      </x:c>
      <x:c r="I116" s="163" t="str">
        <x:v>Tested the source-based convention shown in G against official published precision. Unmatched values remain unresolved; neither the standardized method nor the financial inputs were altered to force agreement.</x:v>
      </x:c>
      <x:c r="J116" s="163" t="str">
        <x:v>FY2025 AR p108 "Six years at a glance"</x:v>
      </x:c>
      <x:c r="K116" s="163" t="str">
        <x:v>Agrees (same convention)</x:v>
      </x:c>
      <x:c r="L116" s="163" t="str">
        <x:v>Source comparison</x:v>
      </x:c>
      <x:c r="M116" s="75" t="n">
        <x:f>IF(ISNUMBER(E116),E116-D116,"n/m")</x:f>
        <x:v>-0.004471228522899606</x:v>
      </x:c>
      <x:c r="N116" s="75" t="n">
        <x:f>IF(ISNUMBER(F116),F116-D116,"n/m")</x:f>
        <x:v>-0.004471228522899606</x:v>
      </x:c>
      <x:c r="O116" s="75" t="n">
        <x:v>2</x:v>
      </x:c>
    </x:row>
    <x:row r="117" ht="112" hidden="0" customHeight="1">
      <x:c r="A117" s="157" t="str">
        <x:v>DGKC</x:v>
      </x:c>
      <x:c r="B117" s="157" t="str">
        <x:v>Current ratio</x:v>
      </x:c>
      <x:c r="C117" s="157" t="str">
        <x:v>FY2023</x:v>
      </x:c>
      <x:c r="D117" s="158" t="n">
        <x:v>0.8</x:v>
      </x:c>
      <x:c r="E117" s="158" t="n">
        <x:f>DGKC!F138</x:f>
        <x:v>0.8017674905738562</x:v>
      </x:c>
      <x:c r="F117" s="158" t="n">
        <x:f>DGKC!F36/DGKC!F61</x:f>
        <x:v>0.8017674905738562</x:v>
      </x:c>
      <x:c r="G117" s="162" t="str">
        <x:v>Standard definition</x:v>
      </x:c>
      <x:c r="H117" s="162" t="str">
        <x:f>IF(AND(ISNUMBER(D117),ISNUMBER(F117)),IF(ROUND(D117,O117)=ROUND(F117,O117),"Reproduced to precision","Unresolved published value"),"Not comparable")</x:f>
        <x:v>Reproduced to precision</x:v>
      </x:c>
      <x:c r="I117" s="162" t="str">
        <x:v>Tested the source-based convention shown in G against official published precision. Unmatched values remain unresolved; neither the standardized method nor the financial inputs were altered to force agreement.</x:v>
      </x:c>
      <x:c r="J117" s="162" t="str">
        <x:v>FY2025 AR p108 "Six years at a glance"</x:v>
      </x:c>
      <x:c r="K117" s="162" t="str">
        <x:v>Agrees (same convention)</x:v>
      </x:c>
      <x:c r="L117" s="162" t="str">
        <x:v>Source comparison</x:v>
      </x:c>
      <x:c r="M117" s="157" t="n">
        <x:f>IF(ISNUMBER(E117),E117-D117,"n/m")</x:f>
        <x:v>0.0017674905738561675</x:v>
      </x:c>
      <x:c r="N117" s="157" t="n">
        <x:f>IF(ISNUMBER(F117),F117-D117,"n/m")</x:f>
        <x:v>0.0017674905738561675</x:v>
      </x:c>
      <x:c r="O117" s="157" t="n">
        <x:v>2</x:v>
      </x:c>
    </x:row>
    <x:row r="118" ht="112" hidden="0" customHeight="1">
      <x:c r="A118" s="75" t="str">
        <x:v>DGKC</x:v>
      </x:c>
      <x:c r="B118" s="75" t="str">
        <x:v>Current ratio</x:v>
      </x:c>
      <x:c r="C118" s="75" t="str">
        <x:v>FY2024</x:v>
      </x:c>
      <x:c r="D118" s="159" t="n">
        <x:v>1.3</x:v>
      </x:c>
      <x:c r="E118" s="159" t="n">
        <x:f>DGKC!G138</x:f>
        <x:v>1.296185931254842</x:v>
      </x:c>
      <x:c r="F118" s="159" t="n">
        <x:f>DGKC!G36/DGKC!G61</x:f>
        <x:v>1.296185931254842</x:v>
      </x:c>
      <x:c r="G118" s="163" t="str">
        <x:v>Standard definition</x:v>
      </x:c>
      <x:c r="H118" s="163" t="str">
        <x:f>IF(AND(ISNUMBER(D118),ISNUMBER(F118)),IF(ROUND(D118,O118)=ROUND(F118,O118),"Reproduced to precision","Unresolved published value"),"Not comparable")</x:f>
        <x:v>Reproduced to precision</x:v>
      </x:c>
      <x:c r="I118" s="163" t="str">
        <x:v>Tested the source-based convention shown in G against official published precision. Unmatched values remain unresolved; neither the standardized method nor the financial inputs were altered to force agreement.</x:v>
      </x:c>
      <x:c r="J118" s="163" t="str">
        <x:v>FY2025 AR p108 "Six years at a glance"</x:v>
      </x:c>
      <x:c r="K118" s="163" t="str">
        <x:v>Agrees (same convention)</x:v>
      </x:c>
      <x:c r="L118" s="163" t="str">
        <x:v>Source comparison</x:v>
      </x:c>
      <x:c r="M118" s="75" t="n">
        <x:f>IF(ISNUMBER(E118),E118-D118,"n/m")</x:f>
        <x:v>-0.0038140687451579947</x:v>
      </x:c>
      <x:c r="N118" s="75" t="n">
        <x:f>IF(ISNUMBER(F118),F118-D118,"n/m")</x:f>
        <x:v>-0.0038140687451579947</x:v>
      </x:c>
      <x:c r="O118" s="75" t="n">
        <x:v>2</x:v>
      </x:c>
    </x:row>
    <x:row r="119" ht="112" hidden="0" customHeight="1">
      <x:c r="A119" s="157" t="str">
        <x:v>DGKC</x:v>
      </x:c>
      <x:c r="B119" s="157" t="str">
        <x:v>Current ratio</x:v>
      </x:c>
      <x:c r="C119" s="157" t="str">
        <x:v>FY2025</x:v>
      </x:c>
      <x:c r="D119" s="158" t="n">
        <x:v>1.85</x:v>
      </x:c>
      <x:c r="E119" s="158" t="n">
        <x:f>DGKC!H138</x:f>
        <x:v>1.8489517932979607</x:v>
      </x:c>
      <x:c r="F119" s="158" t="n">
        <x:f>DGKC!H36/DGKC!H61</x:f>
        <x:v>1.8489517932979607</x:v>
      </x:c>
      <x:c r="G119" s="162" t="str">
        <x:v>Standard definition</x:v>
      </x:c>
      <x:c r="H119" s="162" t="str">
        <x:f>IF(AND(ISNUMBER(D119),ISNUMBER(F119)),IF(ROUND(D119,O119)=ROUND(F119,O119),"Reproduced to precision","Unresolved published value"),"Not comparable")</x:f>
        <x:v>Reproduced to precision</x:v>
      </x:c>
      <x:c r="I119" s="162" t="str">
        <x:v>Tested the source-based convention shown in G against official published precision. Unmatched values remain unresolved; neither the standardized method nor the financial inputs were altered to force agreement.</x:v>
      </x:c>
      <x:c r="J119" s="162" t="str">
        <x:v>FY2025 AR p108 "Six years at a glance"</x:v>
      </x:c>
      <x:c r="K119" s="162" t="str">
        <x:v>Agrees (same convention)</x:v>
      </x:c>
      <x:c r="L119" s="162" t="str">
        <x:v>Source comparison</x:v>
      </x:c>
      <x:c r="M119" s="157" t="n">
        <x:f>IF(ISNUMBER(E119),E119-D119,"n/m")</x:f>
        <x:v>-0.0010482067020394226</x:v>
      </x:c>
      <x:c r="N119" s="157" t="n">
        <x:f>IF(ISNUMBER(F119),F119-D119,"n/m")</x:f>
        <x:v>-0.0010482067020394226</x:v>
      </x:c>
      <x:c r="O119" s="157" t="n">
        <x:v>2</x:v>
      </x:c>
    </x:row>
    <x:row r="120" ht="112" hidden="0" customHeight="1">
      <x:c r="A120" s="75" t="str">
        <x:v>DGKC</x:v>
      </x:c>
      <x:c r="B120" s="75" t="str">
        <x:v>Quick / acid test ratio</x:v>
      </x:c>
      <x:c r="C120" s="75" t="str">
        <x:v>FY2021</x:v>
      </x:c>
      <x:c r="D120" s="159" t="n">
        <x:v>0.52</x:v>
      </x:c>
      <x:c r="E120" s="159" t="n">
        <x:f>DGKC!D139</x:f>
        <x:v>0.527188307782106</x:v>
      </x:c>
      <x:c r="F120" s="159" t="n">
        <x:f>(DGKC!D36-DGKC!D65-DGKC!D258)/DGKC!D61</x:f>
        <x:v>0.5150637341322313</x:v>
      </x:c>
      <x:c r="G120" s="163" t="str">
        <x:v>(CA - stores - stock - ADP/other receivables) / all CL</x:v>
      </x:c>
      <x:c r="H120" s="163" t="str">
        <x:f>IF(AND(ISNUMBER(D120),ISNUMBER(F120)),IF(ROUND(D120,O120)=ROUND(F120,O120),"Reproduced to precision","Unresolved published value"),"Not comparable")</x:f>
        <x:v>Reproduced to precision</x:v>
      </x:c>
      <x:c r="I120" s="163" t="str">
        <x:v>All five published quick ratios reproduce after excluding the separately disclosed asset-statement group: loans, advances, deposits, prepayments and other receivables. Official amounts488,566;1,430,613;926,047;160,289;1,345,673 thousand are traced on Input Review. Income-tax receivables and separately presented related-party loans are retained. The standardized formula remains (CA - inventories) / CL for every company.</x:v>
      </x:c>
      <x:c r="J120" s="163" t="str">
        <x:v>FY2025 AR p108 "Six years at a glance"</x:v>
      </x:c>
      <x:c r="K120" s="163" t="str">
        <x:v>Agrees within 0.01 (rounding of inputs)</x:v>
      </x:c>
      <x:c r="L120" s="163" t="str">
        <x:v>Published methodology difference (reconstructed)</x:v>
      </x:c>
      <x:c r="M120" s="75" t="n">
        <x:f>IF(ISNUMBER(E120),E120-D120,"n/m")</x:f>
        <x:v>0.007188307782105996</x:v>
      </x:c>
      <x:c r="N120" s="75" t="n">
        <x:f>IF(ISNUMBER(F120),F120-D120,"n/m")</x:f>
        <x:v>-0.004936265867768741</x:v>
      </x:c>
      <x:c r="O120" s="75" t="n">
        <x:v>2</x:v>
      </x:c>
    </x:row>
    <x:row r="121" ht="112" hidden="0" customHeight="1">
      <x:c r="A121" s="157" t="str">
        <x:v>DGKC</x:v>
      </x:c>
      <x:c r="B121" s="157" t="str">
        <x:v>Quick / acid test ratio</x:v>
      </x:c>
      <x:c r="C121" s="157" t="str">
        <x:v>FY2022</x:v>
      </x:c>
      <x:c r="D121" s="158" t="n">
        <x:v>0.36</x:v>
      </x:c>
      <x:c r="E121" s="158" t="n">
        <x:f>DGKC!E139</x:f>
        <x:v>0.3909339078966533</x:v>
      </x:c>
      <x:c r="F121" s="158" t="n">
        <x:f>(DGKC!E36-DGKC!E65-DGKC!E258)/DGKC!E61</x:f>
        <x:v>0.35989370225640016</x:v>
      </x:c>
      <x:c r="G121" s="162" t="str">
        <x:v>(CA - stores - stock - ADP/other receivables) / all CL</x:v>
      </x:c>
      <x:c r="H121" s="162" t="str">
        <x:f>IF(AND(ISNUMBER(D121),ISNUMBER(F121)),IF(ROUND(D121,O121)=ROUND(F121,O121),"Reproduced to precision","Unresolved published value"),"Not comparable")</x:f>
        <x:v>Reproduced to precision</x:v>
      </x:c>
      <x:c r="I121" s="162" t="str">
        <x:v>All five published quick ratios reproduce after excluding the separately disclosed asset-statement group: loans, advances, deposits, prepayments and other receivables. Official amounts488,566;1,430,613;926,047;160,289;1,345,673 thousand are traced on Input Review. Income-tax receivables and separately presented related-party loans are retained. The standardized formula remains (CA - inventories) / CL for every company.</x:v>
      </x:c>
      <x:c r="J121" s="162" t="str">
        <x:v>FY2025 AR p108 "Six years at a glance"</x:v>
      </x:c>
      <x:c r="K121" s="162" t="str">
        <x:v>Not reproduced</x:v>
      </x:c>
      <x:c r="L121" s="162" t="str">
        <x:v>Published methodology difference (reconstructed)</x:v>
      </x:c>
      <x:c r="M121" s="157" t="n">
        <x:f>IF(ISNUMBER(E121),E121-D121,"n/m")</x:f>
        <x:v>0.03093390789665329</x:v>
      </x:c>
      <x:c r="N121" s="157" t="n">
        <x:f>IF(ISNUMBER(F121),F121-D121,"n/m")</x:f>
        <x:v>-0.0001062977435998258</x:v>
      </x:c>
      <x:c r="O121" s="157" t="n">
        <x:v>2</x:v>
      </x:c>
    </x:row>
    <x:row r="122" ht="112" hidden="0" customHeight="1">
      <x:c r="A122" s="75" t="str">
        <x:v>DGKC</x:v>
      </x:c>
      <x:c r="B122" s="75" t="str">
        <x:v>Quick / acid test ratio</x:v>
      </x:c>
      <x:c r="C122" s="75" t="str">
        <x:v>FY2023</x:v>
      </x:c>
      <x:c r="D122" s="159" t="n">
        <x:v>0.32</x:v>
      </x:c>
      <x:c r="E122" s="159" t="n">
        <x:f>DGKC!F139</x:f>
        <x:v>0.3348993616744587</x:v>
      </x:c>
      <x:c r="F122" s="159" t="n">
        <x:f>(DGKC!F36-DGKC!F65-DGKC!F258)/DGKC!F61</x:f>
        <x:v>0.31587456515857265</x:v>
      </x:c>
      <x:c r="G122" s="163" t="str">
        <x:v>(CA - stores - stock - ADP/other receivables) / all CL</x:v>
      </x:c>
      <x:c r="H122" s="163" t="str">
        <x:f>IF(AND(ISNUMBER(D122),ISNUMBER(F122)),IF(ROUND(D122,O122)=ROUND(F122,O122),"Reproduced to precision","Unresolved published value"),"Not comparable")</x:f>
        <x:v>Reproduced to precision</x:v>
      </x:c>
      <x:c r="I122" s="163" t="str">
        <x:v>All five published quick ratios reproduce after excluding the separately disclosed asset-statement group: loans, advances, deposits, prepayments and other receivables. Official amounts488,566;1,430,613;926,047;160,289;1,345,673 thousand are traced on Input Review. Income-tax receivables and separately presented related-party loans are retained. The standardized formula remains (CA - inventories) / CL for every company.</x:v>
      </x:c>
      <x:c r="J122" s="163" t="str">
        <x:v>FY2025 AR p108 "Six years at a glance"</x:v>
      </x:c>
      <x:c r="K122" s="163" t="str">
        <x:v>Not reproduced</x:v>
      </x:c>
      <x:c r="L122" s="163" t="str">
        <x:v>Published methodology difference (reconstructed)</x:v>
      </x:c>
      <x:c r="M122" s="75" t="n">
        <x:f>IF(ISNUMBER(E122),E122-D122,"n/m")</x:f>
        <x:v>0.014899361674458711</x:v>
      </x:c>
      <x:c r="N122" s="75" t="n">
        <x:f>IF(ISNUMBER(F122),F122-D122,"n/m")</x:f>
        <x:v>-0.004125434841427356</x:v>
      </x:c>
      <x:c r="O122" s="75" t="n">
        <x:v>2</x:v>
      </x:c>
    </x:row>
    <x:row r="123" ht="112" hidden="0" customHeight="1">
      <x:c r="A123" s="157" t="str">
        <x:v>DGKC</x:v>
      </x:c>
      <x:c r="B123" s="157" t="str">
        <x:v>Quick / acid test ratio</x:v>
      </x:c>
      <x:c r="C123" s="157" t="str">
        <x:v>FY2024</x:v>
      </x:c>
      <x:c r="D123" s="158" t="n">
        <x:v>0.66</x:v>
      </x:c>
      <x:c r="E123" s="158" t="n">
        <x:f>DGKC!G139</x:f>
        <x:v>0.6677176492302713</x:v>
      </x:c>
      <x:c r="F123" s="158" t="n">
        <x:f>(DGKC!G36-DGKC!G65-DGKC!G258)/DGKC!G61</x:f>
        <x:v>0.6627437024907775</x:v>
      </x:c>
      <x:c r="G123" s="162" t="str">
        <x:v>(CA - stores - stock - ADP/other receivables) / all CL</x:v>
      </x:c>
      <x:c r="H123" s="162" t="str">
        <x:f>IF(AND(ISNUMBER(D123),ISNUMBER(F123)),IF(ROUND(D123,O123)=ROUND(F123,O123),"Reproduced to precision","Unresolved published value"),"Not comparable")</x:f>
        <x:v>Reproduced to precision</x:v>
      </x:c>
      <x:c r="I123" s="162" t="str">
        <x:v>All five published quick ratios reproduce after excluding the separately disclosed asset-statement group: loans, advances, deposits, prepayments and other receivables. Official amounts488,566;1,430,613;926,047;160,289;1,345,673 thousand are traced on Input Review. Income-tax receivables and separately presented related-party loans are retained. The standardized formula remains (CA - inventories) / CL for every company.</x:v>
      </x:c>
      <x:c r="J123" s="162" t="str">
        <x:v>FY2025 AR p108 "Six years at a glance"</x:v>
      </x:c>
      <x:c r="K123" s="162" t="str">
        <x:v>Agrees within 0.01 (rounding of inputs)</x:v>
      </x:c>
      <x:c r="L123" s="162" t="str">
        <x:v>Published methodology difference (reconstructed)</x:v>
      </x:c>
      <x:c r="M123" s="157" t="n">
        <x:f>IF(ISNUMBER(E123),E123-D123,"n/m")</x:f>
        <x:v>0.007717649230271295</x:v>
      </x:c>
      <x:c r="N123" s="157" t="n">
        <x:f>IF(ISNUMBER(F123),F123-D123,"n/m")</x:f>
        <x:v>0.0027437024907774887</x:v>
      </x:c>
      <x:c r="O123" s="157" t="n">
        <x:v>2</x:v>
      </x:c>
    </x:row>
    <x:row r="124" ht="112" hidden="0" customHeight="1">
      <x:c r="A124" s="75" t="str">
        <x:v>DGKC</x:v>
      </x:c>
      <x:c r="B124" s="75" t="str">
        <x:v>Quick / acid test ratio</x:v>
      </x:c>
      <x:c r="C124" s="75" t="str">
        <x:v>FY2025</x:v>
      </x:c>
      <x:c r="D124" s="159" t="n">
        <x:v>1.01</x:v>
      </x:c>
      <x:c r="E124" s="159" t="n">
        <x:f>DGKC!H139</x:f>
        <x:v>1.0579587679634685</x:v>
      </x:c>
      <x:c r="F124" s="159" t="n">
        <x:f>(DGKC!H36-DGKC!H65-DGKC!H258)/DGKC!H61</x:f>
        <x:v>1.006024178222927</x:v>
      </x:c>
      <x:c r="G124" s="163" t="str">
        <x:v>(CA - stores - stock - ADP/other receivables) / all CL</x:v>
      </x:c>
      <x:c r="H124" s="163" t="str">
        <x:f>IF(AND(ISNUMBER(D124),ISNUMBER(F124)),IF(ROUND(D124,O124)=ROUND(F124,O124),"Reproduced to precision","Unresolved published value"),"Not comparable")</x:f>
        <x:v>Reproduced to precision</x:v>
      </x:c>
      <x:c r="I124" s="163" t="str">
        <x:v>All five published quick ratios reproduce after excluding the separately disclosed asset-statement group: loans, advances, deposits, prepayments and other receivables. Official amounts488,566;1,430,613;926,047;160,289;1,345,673 thousand are traced on Input Review. Income-tax receivables and separately presented related-party loans are retained. The standardized formula remains (CA - inventories) / CL for every company.</x:v>
      </x:c>
      <x:c r="J124" s="163" t="str">
        <x:v>FY2025 AR p108 "Six years at a glance"</x:v>
      </x:c>
      <x:c r="K124" s="163" t="str">
        <x:v>Not reproduced</x:v>
      </x:c>
      <x:c r="L124" s="163" t="str">
        <x:v>Published methodology difference (reconstructed)</x:v>
      </x:c>
      <x:c r="M124" s="75" t="n">
        <x:f>IF(ISNUMBER(E124),E124-D124,"n/m")</x:f>
        <x:v>0.04795876796346854</x:v>
      </x:c>
      <x:c r="N124" s="75" t="n">
        <x:f>IF(ISNUMBER(F124),F124-D124,"n/m")</x:f>
        <x:v>-0.003975821777073119</x:v>
      </x:c>
      <x:c r="O124" s="75" t="n">
        <x:v>2</x:v>
      </x:c>
    </x:row>
    <x:row r="125" ht="112" hidden="0" customHeight="1">
      <x:c r="A125" s="157" t="str">
        <x:v>DGKC</x:v>
      </x:c>
      <x:c r="B125" s="157" t="str">
        <x:v>No. of days in inventory (incl. stores and spares)</x:v>
      </x:c>
      <x:c r="C125" s="157" t="str">
        <x:v>FY2021</x:v>
      </x:c>
      <x:c r="D125" s="158" t="n">
        <x:v>154</x:v>
      </x:c>
      <x:c r="E125" s="158" t="n">
        <x:f>DGKC!D147</x:f>
        <x:v>138.95483675010863</x:v>
      </x:c>
      <x:c r="F125" s="158" t="n">
        <x:f>365*DGKC!D65/(-DGKC!D85)</x:f>
        <x:v>153.8213650749472</x:v>
      </x:c>
      <x:c r="G125" s="162" t="str">
        <x:v>365 x closing total inventory / COGS</x:v>
      </x:c>
      <x:c r="H125" s="162" t="str">
        <x:f>IF(AND(ISNUMBER(D125),ISNUMBER(F125)),IF(ROUND(D125,O125)=ROUND(F125,O125),"Reproduced to precision","Unresolved published value"),"Not comparable")</x:f>
        <x:v>Reproduced to precision</x:v>
      </x:c>
      <x:c r="I125" s="162" t="str">
        <x:v>Tested the source-based convention shown in G against official published precision. Unmatched values remain unresolved; neither the standardized method nor the financial inputs were altered to force agreement.</x:v>
      </x:c>
      <x:c r="J125" s="162" t="str">
        <x:v>FY2025 AR p108 "Six years at a glance"</x:v>
      </x:c>
      <x:c r="K125" s="162" t="str">
        <x:v>Reconciled (company convention)</x:v>
      </x:c>
      <x:c r="L125" s="162" t="str">
        <x:v>Source comparison</x:v>
      </x:c>
      <x:c r="M125" s="157" t="n">
        <x:f>IF(ISNUMBER(E125),E125-D125,"n/m")</x:f>
        <x:v>-15.045163249891374</x:v>
      </x:c>
      <x:c r="N125" s="157" t="n">
        <x:f>IF(ISNUMBER(F125),F125-D125,"n/m")</x:f>
        <x:v>-0.17863492505279055</x:v>
      </x:c>
      <x:c r="O125" s="157" t="n">
        <x:v>0</x:v>
      </x:c>
    </x:row>
    <x:row r="126" ht="112" hidden="0" customHeight="1">
      <x:c r="A126" s="75" t="str">
        <x:v>DGKC</x:v>
      </x:c>
      <x:c r="B126" s="75" t="str">
        <x:v>No. of days in inventory (incl. stores and spares)</x:v>
      </x:c>
      <x:c r="C126" s="75" t="str">
        <x:v>FY2022</x:v>
      </x:c>
      <x:c r="D126" s="159" t="n">
        <x:v>175</x:v>
      </x:c>
      <x:c r="E126" s="159" t="n">
        <x:f>DGKC!E147</x:f>
        <x:v>147.19158951872677</x:v>
      </x:c>
      <x:c r="F126" s="159" t="n">
        <x:f>365*DGKC!E65/(-DGKC!E85)</x:f>
        <x:v>174.73955662090313</x:v>
      </x:c>
      <x:c r="G126" s="163" t="str">
        <x:v>365 x closing total inventory / COGS</x:v>
      </x:c>
      <x:c r="H126" s="163" t="str">
        <x:f>IF(AND(ISNUMBER(D126),ISNUMBER(F126)),IF(ROUND(D126,O126)=ROUND(F126,O126),"Reproduced to precision","Unresolved published value"),"Not comparable")</x:f>
        <x:v>Reproduced to precision</x:v>
      </x:c>
      <x:c r="I126" s="163" t="str">
        <x:v>Tested the source-based convention shown in G against official published precision. Unmatched values remain unresolved; neither the standardized method nor the financial inputs were altered to force agreement.</x:v>
      </x:c>
      <x:c r="J126" s="163" t="str">
        <x:v>FY2025 AR p108 "Six years at a glance"</x:v>
      </x:c>
      <x:c r="K126" s="163" t="str">
        <x:v>Reconciled (company convention)</x:v>
      </x:c>
      <x:c r="L126" s="163" t="str">
        <x:v>Source comparison</x:v>
      </x:c>
      <x:c r="M126" s="75" t="n">
        <x:f>IF(ISNUMBER(E126),E126-D126,"n/m")</x:f>
        <x:v>-27.808410481273228</x:v>
      </x:c>
      <x:c r="N126" s="75" t="n">
        <x:f>IF(ISNUMBER(F126),F126-D126,"n/m")</x:f>
        <x:v>-0.2604433790968699</x:v>
      </x:c>
      <x:c r="O126" s="75" t="n">
        <x:v>0</x:v>
      </x:c>
    </x:row>
    <x:row r="127" ht="112" hidden="0" customHeight="1">
      <x:c r="A127" s="157" t="str">
        <x:v>DGKC</x:v>
      </x:c>
      <x:c r="B127" s="157" t="str">
        <x:v>No. of days in inventory (incl. stores and spares)</x:v>
      </x:c>
      <x:c r="C127" s="157" t="str">
        <x:v>FY2023</x:v>
      </x:c>
      <x:c r="D127" s="158" t="n">
        <x:v>150</x:v>
      </x:c>
      <x:c r="E127" s="158" t="n">
        <x:f>DGKC!F147</x:f>
        <x:v>149.87908057411946</x:v>
      </x:c>
      <x:c r="F127" s="158" t="n">
        <x:f>365*DGKC!F65/(-DGKC!F85)</x:f>
        <x:v>149.64786734498992</x:v>
      </x:c>
      <x:c r="G127" s="162" t="str">
        <x:v>365 x closing total inventory / COGS</x:v>
      </x:c>
      <x:c r="H127" s="162" t="str">
        <x:f>IF(AND(ISNUMBER(D127),ISNUMBER(F127)),IF(ROUND(D127,O127)=ROUND(F127,O127),"Reproduced to precision","Unresolved published value"),"Not comparable")</x:f>
        <x:v>Reproduced to precision</x:v>
      </x:c>
      <x:c r="I127" s="162" t="str">
        <x:v>Tested the source-based convention shown in G against official published precision. Unmatched values remain unresolved; neither the standardized method nor the financial inputs were altered to force agreement.</x:v>
      </x:c>
      <x:c r="J127" s="162" t="str">
        <x:v>FY2025 AR p108 "Six years at a glance"</x:v>
      </x:c>
      <x:c r="K127" s="162" t="str">
        <x:v>Agrees (same convention)</x:v>
      </x:c>
      <x:c r="L127" s="162" t="str">
        <x:v>Source comparison</x:v>
      </x:c>
      <x:c r="M127" s="157" t="n">
        <x:f>IF(ISNUMBER(E127),E127-D127,"n/m")</x:f>
        <x:v>-0.12091942588054394</x:v>
      </x:c>
      <x:c r="N127" s="157" t="n">
        <x:f>IF(ISNUMBER(F127),F127-D127,"n/m")</x:f>
        <x:v>-0.35213265501008095</x:v>
      </x:c>
      <x:c r="O127" s="157" t="n">
        <x:v>0</x:v>
      </x:c>
    </x:row>
    <x:row r="128" ht="112" hidden="0" customHeight="1">
      <x:c r="A128" s="75" t="str">
        <x:v>DGKC</x:v>
      </x:c>
      <x:c r="B128" s="75" t="str">
        <x:v>No. of days in inventory (incl. stores and spares)</x:v>
      </x:c>
      <x:c r="C128" s="75" t="str">
        <x:v>FY2024</x:v>
      </x:c>
      <x:c r="D128" s="159" t="n">
        <x:v>133</x:v>
      </x:c>
      <x:c r="E128" s="159" t="n">
        <x:f>DGKC!G147</x:f>
        <x:v>141.2975554557505</x:v>
      </x:c>
      <x:c r="F128" s="159" t="n">
        <x:f>365*DGKC!G65/(-DGKC!G85)</x:f>
        <x:v>133.16933589181954</x:v>
      </x:c>
      <x:c r="G128" s="163" t="str">
        <x:v>365 x closing total inventory / COGS</x:v>
      </x:c>
      <x:c r="H128" s="163" t="str">
        <x:f>IF(AND(ISNUMBER(D128),ISNUMBER(F128)),IF(ROUND(D128,O128)=ROUND(F128,O128),"Reproduced to precision","Unresolved published value"),"Not comparable")</x:f>
        <x:v>Reproduced to precision</x:v>
      </x:c>
      <x:c r="I128" s="163" t="str">
        <x:v>Tested the source-based convention shown in G against official published precision. Unmatched values remain unresolved; neither the standardized method nor the financial inputs were altered to force agreement.</x:v>
      </x:c>
      <x:c r="J128" s="163" t="str">
        <x:v>FY2025 AR p108 "Six years at a glance"</x:v>
      </x:c>
      <x:c r="K128" s="163" t="str">
        <x:v>Reconciled (company convention)</x:v>
      </x:c>
      <x:c r="L128" s="163" t="str">
        <x:v>Source comparison</x:v>
      </x:c>
      <x:c r="M128" s="75" t="n">
        <x:f>IF(ISNUMBER(E128),E128-D128,"n/m")</x:f>
        <x:v>8.297555455750512</x:v>
      </x:c>
      <x:c r="N128" s="75" t="n">
        <x:f>IF(ISNUMBER(F128),F128-D128,"n/m")</x:f>
        <x:v>0.1693358918195429</x:v>
      </x:c>
      <x:c r="O128" s="75" t="n">
        <x:v>0</x:v>
      </x:c>
    </x:row>
    <x:row r="129" ht="112" hidden="0" customHeight="1">
      <x:c r="A129" s="157" t="str">
        <x:v>DGKC</x:v>
      </x:c>
      <x:c r="B129" s="157" t="str">
        <x:v>No. of days in inventory (incl. stores and spares)</x:v>
      </x:c>
      <x:c r="C129" s="157" t="str">
        <x:v>FY2025</x:v>
      </x:c>
      <x:c r="D129" s="158" t="n">
        <x:v>140</x:v>
      </x:c>
      <x:c r="E129" s="158" t="n">
        <x:f>DGKC!H147</x:f>
        <x:v>139.29464124392746</x:v>
      </x:c>
      <x:c r="F129" s="158" t="n">
        <x:f>365*DGKC!H65/(-DGKC!H85)</x:f>
        <x:v>140.1236638970497</x:v>
      </x:c>
      <x:c r="G129" s="162" t="str">
        <x:v>365 x closing total inventory / COGS</x:v>
      </x:c>
      <x:c r="H129" s="162" t="str">
        <x:f>IF(AND(ISNUMBER(D129),ISNUMBER(F129)),IF(ROUND(D129,O129)=ROUND(F129,O129),"Reproduced to precision","Unresolved published value"),"Not comparable")</x:f>
        <x:v>Reproduced to precision</x:v>
      </x:c>
      <x:c r="I129" s="162" t="str">
        <x:v>Tested the source-based convention shown in G against official published precision. Unmatched values remain unresolved; neither the standardized method nor the financial inputs were altered to force agreement.</x:v>
      </x:c>
      <x:c r="J129" s="162" t="str">
        <x:v>FY2025 AR p108 "Six years at a glance"</x:v>
      </x:c>
      <x:c r="K129" s="162" t="str">
        <x:v>Reconciled (company convention)</x:v>
      </x:c>
      <x:c r="L129" s="162" t="str">
        <x:v>Source comparison</x:v>
      </x:c>
      <x:c r="M129" s="157" t="n">
        <x:f>IF(ISNUMBER(E129),E129-D129,"n/m")</x:f>
        <x:v>-0.7053587560725418</x:v>
      </x:c>
      <x:c r="N129" s="157" t="n">
        <x:f>IF(ISNUMBER(F129),F129-D129,"n/m")</x:f>
        <x:v>0.1236638970497097</x:v>
      </x:c>
      <x:c r="O129" s="157" t="n">
        <x:v>0</x:v>
      </x:c>
    </x:row>
    <x:row r="130" ht="112" hidden="0" customHeight="1">
      <x:c r="A130" s="75" t="str">
        <x:v>DGKC</x:v>
      </x:c>
      <x:c r="B130" s="75" t="str">
        <x:v>No. of days in receivables</x:v>
      </x:c>
      <x:c r="C130" s="75" t="str">
        <x:v>FY2021</x:v>
      </x:c>
      <x:c r="D130" s="159" t="n">
        <x:v>14</x:v>
      </x:c>
      <x:c r="E130" s="159" t="n">
        <x:f>DGKC!D148</x:f>
        <x:v>16.031081230273596</x:v>
      </x:c>
      <x:c r="F130" s="159" t="n">
        <x:f>365*DGKC!D32/DGKC!D84</x:f>
        <x:v>13.563749883888976</x:v>
      </x:c>
      <x:c r="G130" s="163" t="str">
        <x:v>365 x closing trade debts / sales</x:v>
      </x:c>
      <x:c r="H130" s="163" t="str">
        <x:f>IF(AND(ISNUMBER(D130),ISNUMBER(F130)),IF(ROUND(D130,O130)=ROUND(F130,O130),"Reproduced to precision","Unresolved published value"),"Not comparable")</x:f>
        <x:v>Reproduced to precision</x:v>
      </x:c>
      <x:c r="I130" s="163" t="str">
        <x:v>Tested the source-based convention shown in G against official published precision. Unmatched values remain unresolved; neither the standardized method nor the financial inputs were altered to force agreement.</x:v>
      </x:c>
      <x:c r="J130" s="163" t="str">
        <x:v>FY2025 AR p108 "Six years at a glance"</x:v>
      </x:c>
      <x:c r="K130" s="163" t="str">
        <x:v>Reconciled (company convention)</x:v>
      </x:c>
      <x:c r="L130" s="163" t="str">
        <x:v>Source comparison</x:v>
      </x:c>
      <x:c r="M130" s="75" t="n">
        <x:f>IF(ISNUMBER(E130),E130-D130,"n/m")</x:f>
        <x:v>2.031081230273596</x:v>
      </x:c>
      <x:c r="N130" s="75" t="n">
        <x:f>IF(ISNUMBER(F130),F130-D130,"n/m")</x:f>
        <x:v>-0.43625011611102416</x:v>
      </x:c>
      <x:c r="O130" s="75" t="n">
        <x:v>0</x:v>
      </x:c>
    </x:row>
    <x:row r="131" ht="112" hidden="0" customHeight="1">
      <x:c r="A131" s="157" t="str">
        <x:v>DGKC</x:v>
      </x:c>
      <x:c r="B131" s="157" t="str">
        <x:v>No. of days in receivables</x:v>
      </x:c>
      <x:c r="C131" s="157" t="str">
        <x:v>FY2022</x:v>
      </x:c>
      <x:c r="D131" s="158" t="n">
        <x:v>9</x:v>
      </x:c>
      <x:c r="E131" s="158" t="n">
        <x:f>DGKC!E148</x:f>
        <x:v>9.885619216970449</x:v>
      </x:c>
      <x:c r="F131" s="158" t="n">
        <x:f>365*DGKC!E32/DGKC!E84</x:f>
        <x:v>9.230426823934858</x:v>
      </x:c>
      <x:c r="G131" s="162" t="str">
        <x:v>365 x closing trade debts / sales</x:v>
      </x:c>
      <x:c r="H131" s="162" t="str">
        <x:f>IF(AND(ISNUMBER(D131),ISNUMBER(F131)),IF(ROUND(D131,O131)=ROUND(F131,O131),"Reproduced to precision","Unresolved published value"),"Not comparable")</x:f>
        <x:v>Reproduced to precision</x:v>
      </x:c>
      <x:c r="I131" s="162" t="str">
        <x:v>Tested the source-based convention shown in G against official published precision. Unmatched values remain unresolved; neither the standardized method nor the financial inputs were altered to force agreement.</x:v>
      </x:c>
      <x:c r="J131" s="162" t="str">
        <x:v>FY2025 AR p108 "Six years at a glance"</x:v>
      </x:c>
      <x:c r="K131" s="162" t="str">
        <x:v>Reconciled (company convention)</x:v>
      </x:c>
      <x:c r="L131" s="162" t="str">
        <x:v>Source comparison</x:v>
      </x:c>
      <x:c r="M131" s="157" t="n">
        <x:f>IF(ISNUMBER(E131),E131-D131,"n/m")</x:f>
        <x:v>0.8856192169704489</x:v>
      </x:c>
      <x:c r="N131" s="157" t="n">
        <x:f>IF(ISNUMBER(F131),F131-D131,"n/m")</x:f>
        <x:v>0.2304268239348577</x:v>
      </x:c>
      <x:c r="O131" s="157" t="n">
        <x:v>0</x:v>
      </x:c>
    </x:row>
    <x:row r="132" ht="112" hidden="0" customHeight="1">
      <x:c r="A132" s="75" t="str">
        <x:v>DGKC</x:v>
      </x:c>
      <x:c r="B132" s="75" t="str">
        <x:v>No. of days in receivables</x:v>
      </x:c>
      <x:c r="C132" s="75" t="str">
        <x:v>FY2023</x:v>
      </x:c>
      <x:c r="D132" s="159" t="n">
        <x:v>7</x:v>
      </x:c>
      <x:c r="E132" s="159" t="n">
        <x:f>DGKC!F148</x:f>
        <x:v>7.4739774843341396</x:v>
      </x:c>
      <x:c r="F132" s="159" t="n">
        <x:f>365*DGKC!F32/DGKC!F84</x:f>
        <x:v>6.703293116605132</x:v>
      </x:c>
      <x:c r="G132" s="163" t="str">
        <x:v>365 x closing trade debts / sales</x:v>
      </x:c>
      <x:c r="H132" s="163" t="str">
        <x:f>IF(AND(ISNUMBER(D132),ISNUMBER(F132)),IF(ROUND(D132,O132)=ROUND(F132,O132),"Reproduced to precision","Unresolved published value"),"Not comparable")</x:f>
        <x:v>Reproduced to precision</x:v>
      </x:c>
      <x:c r="I132" s="163" t="str">
        <x:v>Tested the source-based convention shown in G against official published precision. Unmatched values remain unresolved; neither the standardized method nor the financial inputs were altered to force agreement.</x:v>
      </x:c>
      <x:c r="J132" s="163" t="str">
        <x:v>FY2025 AR p108 "Six years at a glance"</x:v>
      </x:c>
      <x:c r="K132" s="163" t="str">
        <x:v>Agrees (same convention)</x:v>
      </x:c>
      <x:c r="L132" s="163" t="str">
        <x:v>Source comparison</x:v>
      </x:c>
      <x:c r="M132" s="75" t="n">
        <x:f>IF(ISNUMBER(E132),E132-D132,"n/m")</x:f>
        <x:v>0.47397748433413955</x:v>
      </x:c>
      <x:c r="N132" s="75" t="n">
        <x:f>IF(ISNUMBER(F132),F132-D132,"n/m")</x:f>
        <x:v>-0.29670688339486784</x:v>
      </x:c>
      <x:c r="O132" s="75" t="n">
        <x:v>0</x:v>
      </x:c>
    </x:row>
    <x:row r="133" ht="112" hidden="0" customHeight="1">
      <x:c r="A133" s="157" t="str">
        <x:v>DGKC</x:v>
      </x:c>
      <x:c r="B133" s="157" t="str">
        <x:v>No. of days in receivables</x:v>
      </x:c>
      <x:c r="C133" s="157" t="str">
        <x:v>FY2024</x:v>
      </x:c>
      <x:c r="D133" s="158" t="n">
        <x:v>5</x:v>
      </x:c>
      <x:c r="E133" s="158" t="n">
        <x:f>DGKC!G148</x:f>
        <x:v>5.662979090938646</x:v>
      </x:c>
      <x:c r="F133" s="158" t="n">
        <x:f>365*DGKC!G32/DGKC!G84</x:f>
        <x:v>4.729740016492453</x:v>
      </x:c>
      <x:c r="G133" s="162" t="str">
        <x:v>365 x closing trade debts / sales</x:v>
      </x:c>
      <x:c r="H133" s="162" t="str">
        <x:f>IF(AND(ISNUMBER(D133),ISNUMBER(F133)),IF(ROUND(D133,O133)=ROUND(F133,O133),"Reproduced to precision","Unresolved published value"),"Not comparable")</x:f>
        <x:v>Reproduced to precision</x:v>
      </x:c>
      <x:c r="I133" s="162" t="str">
        <x:v>Tested the source-based convention shown in G against official published precision. Unmatched values remain unresolved; neither the standardized method nor the financial inputs were altered to force agreement.</x:v>
      </x:c>
      <x:c r="J133" s="162" t="str">
        <x:v>FY2025 AR p108 "Six years at a glance"</x:v>
      </x:c>
      <x:c r="K133" s="162" t="str">
        <x:v>Reconciled (company convention)</x:v>
      </x:c>
      <x:c r="L133" s="162" t="str">
        <x:v>Source comparison</x:v>
      </x:c>
      <x:c r="M133" s="157" t="n">
        <x:f>IF(ISNUMBER(E133),E133-D133,"n/m")</x:f>
        <x:v>0.6629790909386459</x:v>
      </x:c>
      <x:c r="N133" s="157" t="n">
        <x:f>IF(ISNUMBER(F133),F133-D133,"n/m")</x:f>
        <x:v>-0.27025998350754676</x:v>
      </x:c>
      <x:c r="O133" s="157" t="n">
        <x:v>0</x:v>
      </x:c>
    </x:row>
    <x:row r="134" ht="112" hidden="0" customHeight="1">
      <x:c r="A134" s="75" t="str">
        <x:v>DGKC</x:v>
      </x:c>
      <x:c r="B134" s="75" t="str">
        <x:v>No. of days in receivables</x:v>
      </x:c>
      <x:c r="C134" s="75" t="str">
        <x:v>FY2025</x:v>
      </x:c>
      <x:c r="D134" s="159" t="n">
        <x:v>8</x:v>
      </x:c>
      <x:c r="E134" s="159" t="n">
        <x:f>DGKC!H148</x:f>
        <x:v>5.962485734149008</x:v>
      </x:c>
      <x:c r="F134" s="159" t="n">
        <x:f>365*DGKC!H32/DGKC!H84</x:f>
        <x:v>7.580368542140018</x:v>
      </x:c>
      <x:c r="G134" s="163" t="str">
        <x:v>365 x closing trade debts / sales</x:v>
      </x:c>
      <x:c r="H134" s="163" t="str">
        <x:f>IF(AND(ISNUMBER(D134),ISNUMBER(F134)),IF(ROUND(D134,O134)=ROUND(F134,O134),"Reproduced to precision","Unresolved published value"),"Not comparable")</x:f>
        <x:v>Reproduced to precision</x:v>
      </x:c>
      <x:c r="I134" s="163" t="str">
        <x:v>Tested the source-based convention shown in G against official published precision. Unmatched values remain unresolved; neither the standardized method nor the financial inputs were altered to force agreement.</x:v>
      </x:c>
      <x:c r="J134" s="163" t="str">
        <x:v>FY2025 AR p108 "Six years at a glance"</x:v>
      </x:c>
      <x:c r="K134" s="163" t="str">
        <x:v>Reconciled (company convention)</x:v>
      </x:c>
      <x:c r="L134" s="163" t="str">
        <x:v>Source comparison</x:v>
      </x:c>
      <x:c r="M134" s="75" t="n">
        <x:f>IF(ISNUMBER(E134),E134-D134,"n/m")</x:f>
        <x:v>-2.0375142658509917</x:v>
      </x:c>
      <x:c r="N134" s="75" t="n">
        <x:f>IF(ISNUMBER(F134),F134-D134,"n/m")</x:f>
        <x:v>-0.4196314578599818</x:v>
      </x:c>
      <x:c r="O134" s="75" t="n">
        <x:v>0</x:v>
      </x:c>
    </x:row>
    <x:row r="135" ht="112" hidden="0" customHeight="1">
      <x:c r="A135" s="157" t="str">
        <x:v>DGKC</x:v>
      </x:c>
      <x:c r="B135" s="157" t="str">
        <x:v>No. of days in payables</x:v>
      </x:c>
      <x:c r="C135" s="157" t="str">
        <x:v>FY2021</x:v>
      </x:c>
      <x:c r="D135" s="158" t="n">
        <x:v>138</x:v>
      </x:c>
      <x:c r="E135" s="158" t="n">
        <x:f>DGKC!D149</x:f>
        <x:v>57.65836002777637</x:v>
      </x:c>
      <x:c r="F135" s="158" t="n">
        <x:f>365*AVERAGE(DGKC!C50,DGKC!D50)/(-DGKC!D85)</x:f>
        <x:v>129.20996558518866</x:v>
      </x:c>
      <x:c r="G135" s="162" t="str">
        <x:v>Average trade AND other payables / COGS x 365 diagnostic (unresolved years)</x:v>
      </x:c>
      <x:c r="H135" s="162" t="str">
        <x:f>IF(AND(ISNUMBER(D135),ISNUMBER(F135)),IF(ROUND(D135,O135)=ROUND(F135,O135),"Reproduced to precision","Unresolved published value"),"Not comparable")</x:f>
        <x:v>Unresolved published value</x:v>
      </x:c>
      <x:c r="I135" s="162" t="str">
        <x:v>Audited note 12 separates creditors, accruals, contract liabilities, taxes and cess. Average total trade-and-other-payables / COGS matches FY2023 at whole-day precision; other years do not reproduce. Purchases versus COGS and broader creditors were investigated without an officially supported common reconciliation.</x:v>
      </x:c>
      <x:c r="J135" s="162" t="str">
        <x:v>FY2025 AR p108 "Six years at a glance"</x:v>
      </x:c>
      <x:c r="K135" s="162" t="str">
        <x:v>Not reproduced</x:v>
      </x:c>
      <x:c r="L135" s="162" t="str">
        <x:v>Unresolved published definition</x:v>
      </x:c>
      <x:c r="M135" s="157" t="n">
        <x:f>IF(ISNUMBER(E135),E135-D135,"n/m")</x:f>
        <x:v>-80.34163997222363</x:v>
      </x:c>
      <x:c r="N135" s="157" t="n">
        <x:f>IF(ISNUMBER(F135),F135-D135,"n/m")</x:f>
        <x:v>-8.790034414811345</x:v>
      </x:c>
      <x:c r="O135" s="157" t="n">
        <x:v>0</x:v>
      </x:c>
    </x:row>
    <x:row r="136" ht="112" hidden="0" customHeight="1">
      <x:c r="A136" s="75" t="str">
        <x:v>DGKC</x:v>
      </x:c>
      <x:c r="B136" s="75" t="str">
        <x:v>No. of days in payables</x:v>
      </x:c>
      <x:c r="C136" s="75" t="str">
        <x:v>FY2022</x:v>
      </x:c>
      <x:c r="D136" s="159" t="n">
        <x:v>92</x:v>
      </x:c>
      <x:c r="E136" s="159" t="n">
        <x:f>DGKC!E149</x:f>
        <x:v>43.106668082030595</x:v>
      </x:c>
      <x:c r="F136" s="159" t="n">
        <x:f>365*AVERAGE(DGKC!D50,DGKC!E50)/(-DGKC!E85)</x:f>
        <x:v>105.4584446581328</x:v>
      </x:c>
      <x:c r="G136" s="163" t="str">
        <x:v>Average trade AND other payables / COGS x 365 diagnostic (unresolved years)</x:v>
      </x:c>
      <x:c r="H136" s="163" t="str">
        <x:f>IF(AND(ISNUMBER(D136),ISNUMBER(F136)),IF(ROUND(D136,O136)=ROUND(F136,O136),"Reproduced to precision","Unresolved published value"),"Not comparable")</x:f>
        <x:v>Unresolved published value</x:v>
      </x:c>
      <x:c r="I136" s="163" t="str">
        <x:v>Audited note 12 separates creditors, accruals, contract liabilities, taxes and cess. Average total trade-and-other-payables / COGS matches FY2023 at whole-day precision; other years do not reproduce. Purchases versus COGS and broader creditors were investigated without an officially supported common reconciliation.</x:v>
      </x:c>
      <x:c r="J136" s="163" t="str">
        <x:v>FY2025 AR p108 "Six years at a glance"</x:v>
      </x:c>
      <x:c r="K136" s="163" t="str">
        <x:v>Not reproduced</x:v>
      </x:c>
      <x:c r="L136" s="163" t="str">
        <x:v>Unresolved published definition</x:v>
      </x:c>
      <x:c r="M136" s="75" t="n">
        <x:f>IF(ISNUMBER(E136),E136-D136,"n/m")</x:f>
        <x:v>-48.893331917969405</x:v>
      </x:c>
      <x:c r="N136" s="75" t="n">
        <x:f>IF(ISNUMBER(F136),F136-D136,"n/m")</x:f>
        <x:v>13.458444658132805</x:v>
      </x:c>
      <x:c r="O136" s="75" t="n">
        <x:v>0</x:v>
      </x:c>
    </x:row>
    <x:row r="137" ht="112" hidden="0" customHeight="1">
      <x:c r="A137" s="157" t="str">
        <x:v>DGKC</x:v>
      </x:c>
      <x:c r="B137" s="157" t="str">
        <x:v>No. of days in payables</x:v>
      </x:c>
      <x:c r="C137" s="157" t="str">
        <x:v>FY2023</x:v>
      </x:c>
      <x:c r="D137" s="158" t="n">
        <x:v>87</x:v>
      </x:c>
      <x:c r="E137" s="158" t="n">
        <x:f>DGKC!F149</x:f>
        <x:v>34.24672809140701</x:v>
      </x:c>
      <x:c r="F137" s="158" t="n">
        <x:f>365*AVERAGE(DGKC!E50,DGKC!F50)/(-DGKC!F85)</x:f>
        <x:v>86.84121680926656</x:v>
      </x:c>
      <x:c r="G137" s="162" t="str">
        <x:v>Average trade AND other payables / COGS x 365 diagnostic (unresolved years)</x:v>
      </x:c>
      <x:c r="H137" s="162" t="str">
        <x:f>IF(AND(ISNUMBER(D137),ISNUMBER(F137)),IF(ROUND(D137,O137)=ROUND(F137,O137),"Reproduced to precision","Unresolved published value"),"Not comparable")</x:f>
        <x:v>Reproduced to precision</x:v>
      </x:c>
      <x:c r="I137" s="162" t="str">
        <x:v>Audited note 12 separates creditors, accruals, contract liabilities, taxes and cess. Average total trade-and-other-payables / COGS matches FY2023 at whole-day precision; other years do not reproduce. Purchases versus COGS and broader creditors were investigated without an officially supported common reconciliation.</x:v>
      </x:c>
      <x:c r="J137" s="162" t="str">
        <x:v>FY2025 AR p108 "Six years at a glance"</x:v>
      </x:c>
      <x:c r="K137" s="162" t="str">
        <x:v>Not reproduced</x:v>
      </x:c>
      <x:c r="L137" s="162" t="str">
        <x:v>Unresolved published definition</x:v>
      </x:c>
      <x:c r="M137" s="157" t="n">
        <x:f>IF(ISNUMBER(E137),E137-D137,"n/m")</x:f>
        <x:v>-52.75327190859299</x:v>
      </x:c>
      <x:c r="N137" s="157" t="n">
        <x:f>IF(ISNUMBER(F137),F137-D137,"n/m")</x:f>
        <x:v>-0.1587831907334447</x:v>
      </x:c>
      <x:c r="O137" s="157" t="n">
        <x:v>0</x:v>
      </x:c>
    </x:row>
    <x:row r="138" ht="112" hidden="0" customHeight="1">
      <x:c r="A138" s="75" t="str">
        <x:v>DGKC</x:v>
      </x:c>
      <x:c r="B138" s="75" t="str">
        <x:v>No. of days in payables</x:v>
      </x:c>
      <x:c r="C138" s="75" t="str">
        <x:v>FY2024</x:v>
      </x:c>
      <x:c r="D138" s="159" t="n">
        <x:v>76</x:v>
      </x:c>
      <x:c r="E138" s="159" t="n">
        <x:f>DGKC!G149</x:f>
        <x:v>38.06068085872657</x:v>
      </x:c>
      <x:c r="F138" s="159" t="n">
        <x:f>365*AVERAGE(DGKC!F50,DGKC!G50)/(-DGKC!G85)</x:f>
        <x:v>86.06382964541673</x:v>
      </x:c>
      <x:c r="G138" s="163" t="str">
        <x:v>Average trade AND other payables / COGS x 365 diagnostic (unresolved years)</x:v>
      </x:c>
      <x:c r="H138" s="163" t="str">
        <x:f>IF(AND(ISNUMBER(D138),ISNUMBER(F138)),IF(ROUND(D138,O138)=ROUND(F138,O138),"Reproduced to precision","Unresolved published value"),"Not comparable")</x:f>
        <x:v>Unresolved published value</x:v>
      </x:c>
      <x:c r="I138" s="163" t="str">
        <x:v>Audited note 12 separates creditors, accruals, contract liabilities, taxes and cess. Average total trade-and-other-payables / COGS matches FY2023 at whole-day precision; other years do not reproduce. Purchases versus COGS and broader creditors were investigated without an officially supported common reconciliation.</x:v>
      </x:c>
      <x:c r="J138" s="163" t="str">
        <x:v>FY2025 AR p108 "Six years at a glance"</x:v>
      </x:c>
      <x:c r="K138" s="163" t="str">
        <x:v>Not reproduced</x:v>
      </x:c>
      <x:c r="L138" s="163" t="str">
        <x:v>Unresolved published definition</x:v>
      </x:c>
      <x:c r="M138" s="75" t="n">
        <x:f>IF(ISNUMBER(E138),E138-D138,"n/m")</x:f>
        <x:v>-37.93931914127343</x:v>
      </x:c>
      <x:c r="N138" s="75" t="n">
        <x:f>IF(ISNUMBER(F138),F138-D138,"n/m")</x:f>
        <x:v>10.063829645416732</x:v>
      </x:c>
      <x:c r="O138" s="75" t="n">
        <x:v>0</x:v>
      </x:c>
    </x:row>
    <x:row r="139" ht="112" hidden="0" customHeight="1">
      <x:c r="A139" s="157" t="str">
        <x:v>DGKC</x:v>
      </x:c>
      <x:c r="B139" s="157" t="str">
        <x:v>No. of days in payables</x:v>
      </x:c>
      <x:c r="C139" s="157" t="str">
        <x:v>FY2025</x:v>
      </x:c>
      <x:c r="D139" s="158" t="n">
        <x:v>83</x:v>
      </x:c>
      <x:c r="E139" s="158" t="n">
        <x:f>DGKC!H149</x:f>
        <x:v>30.58425493123197</x:v>
      </x:c>
      <x:c r="F139" s="158" t="n">
        <x:f>365*AVERAGE(DGKC!G50,DGKC!H50)/(-DGKC!H85)</x:f>
        <x:v>87.94889576082761</x:v>
      </x:c>
      <x:c r="G139" s="162" t="str">
        <x:v>Average trade AND other payables / COGS x 365 diagnostic (unresolved years)</x:v>
      </x:c>
      <x:c r="H139" s="162" t="str">
        <x:f>IF(AND(ISNUMBER(D139),ISNUMBER(F139)),IF(ROUND(D139,O139)=ROUND(F139,O139),"Reproduced to precision","Unresolved published value"),"Not comparable")</x:f>
        <x:v>Unresolved published value</x:v>
      </x:c>
      <x:c r="I139" s="162" t="str">
        <x:v>Audited note 12 separates creditors, accruals, contract liabilities, taxes and cess. Average total trade-and-other-payables / COGS matches FY2023 at whole-day precision; other years do not reproduce. Purchases versus COGS and broader creditors were investigated without an officially supported common reconciliation.</x:v>
      </x:c>
      <x:c r="J139" s="162" t="str">
        <x:v>FY2025 AR p108 "Six years at a glance"</x:v>
      </x:c>
      <x:c r="K139" s="162" t="str">
        <x:v>Not reproduced</x:v>
      </x:c>
      <x:c r="L139" s="162" t="str">
        <x:v>Unresolved published definition</x:v>
      </x:c>
      <x:c r="M139" s="157" t="n">
        <x:f>IF(ISNUMBER(E139),E139-D139,"n/m")</x:f>
        <x:v>-52.41574506876803</x:v>
      </x:c>
      <x:c r="N139" s="157" t="n">
        <x:f>IF(ISNUMBER(F139),F139-D139,"n/m")</x:f>
        <x:v>4.948895760827611</x:v>
      </x:c>
      <x:c r="O139" s="157" t="n">
        <x:v>0</x:v>
      </x:c>
    </x:row>
    <x:row r="140" ht="112" hidden="0" customHeight="1">
      <x:c r="A140" s="75" t="str">
        <x:v>DGKC</x:v>
      </x:c>
      <x:c r="B140" s="75" t="str">
        <x:v>Total assets turnover (based on average total assets)</x:v>
      </x:c>
      <x:c r="C140" s="75" t="str">
        <x:v>FY2021</x:v>
      </x:c>
      <x:c r="D140" s="159" t="n">
        <x:v>0.3373</x:v>
      </x:c>
      <x:c r="E140" s="159" t="n">
        <x:f>DGKC!D152</x:f>
        <x:v>0.337321560534536</x:v>
      </x:c>
      <x:c r="F140" s="159" t="n">
        <x:f>DGKC!D84/AVERAGE(DGKC!C37,DGKC!D37)</x:f>
        <x:v>0.337321560534536</x:v>
      </x:c>
      <x:c r="G140" s="163" t="str">
        <x:v>Sales / average assets</x:v>
      </x:c>
      <x:c r="H140" s="163" t="str">
        <x:f>IF(AND(ISNUMBER(D140),ISNUMBER(F140)),IF(ROUND(D140,O140)=ROUND(F140,O140),"Reproduced to precision","Unresolved published value"),"Not comparable")</x:f>
        <x:v>Reproduced to precision</x:v>
      </x:c>
      <x:c r="I140" s="163" t="str">
        <x:v>Tested the source-based convention shown in G against official published precision. Unmatched values remain unresolved; neither the standardized method nor the financial inputs were altered to force agreement.</x:v>
      </x:c>
      <x:c r="J140" s="163" t="str">
        <x:v>FY2025 AR p108 "Six years at a glance"</x:v>
      </x:c>
      <x:c r="K140" s="163" t="str">
        <x:v>Agrees (same convention)</x:v>
      </x:c>
      <x:c r="L140" s="163" t="str">
        <x:v>Source comparison</x:v>
      </x:c>
      <x:c r="M140" s="75" t="n">
        <x:f>IF(ISNUMBER(E140),E140-D140,"n/m")</x:f>
        <x:v>0.000021560534536002596</x:v>
      </x:c>
      <x:c r="N140" s="75" t="n">
        <x:f>IF(ISNUMBER(F140),F140-D140,"n/m")</x:f>
        <x:v>0.000021560534536002596</x:v>
      </x:c>
      <x:c r="O140" s="75" t="n">
        <x:v>4</x:v>
      </x:c>
    </x:row>
    <x:row r="141" ht="112" hidden="0" customHeight="1">
      <x:c r="A141" s="157" t="str">
        <x:v>DGKC</x:v>
      </x:c>
      <x:c r="B141" s="157" t="str">
        <x:v>Total assets turnover (based on average total assets)</x:v>
      </x:c>
      <x:c r="C141" s="157" t="str">
        <x:v>FY2022</x:v>
      </x:c>
      <x:c r="D141" s="158" t="n">
        <x:v>0.423</x:v>
      </x:c>
      <x:c r="E141" s="158" t="n">
        <x:f>DGKC!E152</x:f>
        <x:v>0.42297281053904634</x:v>
      </x:c>
      <x:c r="F141" s="158" t="n">
        <x:f>DGKC!E84/AVERAGE(DGKC!D37,DGKC!E37)</x:f>
        <x:v>0.42297281053904634</x:v>
      </x:c>
      <x:c r="G141" s="162" t="str">
        <x:v>Sales / average assets</x:v>
      </x:c>
      <x:c r="H141" s="162" t="str">
        <x:f>IF(AND(ISNUMBER(D141),ISNUMBER(F141)),IF(ROUND(D141,O141)=ROUND(F141,O141),"Reproduced to precision","Unresolved published value"),"Not comparable")</x:f>
        <x:v>Reproduced to precision</x:v>
      </x:c>
      <x:c r="I141" s="162" t="str">
        <x:v>Tested the source-based convention shown in G against official published precision. Unmatched values remain unresolved; neither the standardized method nor the financial inputs were altered to force agreement.</x:v>
      </x:c>
      <x:c r="J141" s="162" t="str">
        <x:v>FY2025 AR p108 "Six years at a glance"</x:v>
      </x:c>
      <x:c r="K141" s="162" t="str">
        <x:v>Agrees (same convention)</x:v>
      </x:c>
      <x:c r="L141" s="162" t="str">
        <x:v>Source comparison</x:v>
      </x:c>
      <x:c r="M141" s="157" t="n">
        <x:f>IF(ISNUMBER(E141),E141-D141,"n/m")</x:f>
        <x:v>-0.00002718946095364716</x:v>
      </x:c>
      <x:c r="N141" s="157" t="n">
        <x:f>IF(ISNUMBER(F141),F141-D141,"n/m")</x:f>
        <x:v>-0.00002718946095364716</x:v>
      </x:c>
      <x:c r="O141" s="157" t="n">
        <x:v>4</x:v>
      </x:c>
    </x:row>
    <x:row r="142" ht="112" hidden="0" customHeight="1">
      <x:c r="A142" s="75" t="str">
        <x:v>DGKC</x:v>
      </x:c>
      <x:c r="B142" s="75" t="str">
        <x:v>Total assets turnover (based on average total assets)</x:v>
      </x:c>
      <x:c r="C142" s="75" t="str">
        <x:v>FY2023</x:v>
      </x:c>
      <x:c r="D142" s="159" t="n">
        <x:v>0.4791</x:v>
      </x:c>
      <x:c r="E142" s="159" t="n">
        <x:f>DGKC!F152</x:f>
        <x:v>0.47909875248597583</x:v>
      </x:c>
      <x:c r="F142" s="159" t="n">
        <x:f>DGKC!F84/AVERAGE(DGKC!E37,DGKC!F37)</x:f>
        <x:v>0.47909875248597583</x:v>
      </x:c>
      <x:c r="G142" s="163" t="str">
        <x:v>Sales / average assets</x:v>
      </x:c>
      <x:c r="H142" s="163" t="str">
        <x:f>IF(AND(ISNUMBER(D142),ISNUMBER(F142)),IF(ROUND(D142,O142)=ROUND(F142,O142),"Reproduced to precision","Unresolved published value"),"Not comparable")</x:f>
        <x:v>Reproduced to precision</x:v>
      </x:c>
      <x:c r="I142" s="163" t="str">
        <x:v>Tested the source-based convention shown in G against official published precision. Unmatched values remain unresolved; neither the standardized method nor the financial inputs were altered to force agreement.</x:v>
      </x:c>
      <x:c r="J142" s="163" t="str">
        <x:v>FY2025 AR p108 "Six years at a glance"</x:v>
      </x:c>
      <x:c r="K142" s="163" t="str">
        <x:v>Agrees (same convention)</x:v>
      </x:c>
      <x:c r="L142" s="163" t="str">
        <x:v>Source comparison</x:v>
      </x:c>
      <x:c r="M142" s="75" t="n">
        <x:f>IF(ISNUMBER(E142),E142-D142,"n/m")</x:f>
        <x:v>-0.0000012475140241940963</x:v>
      </x:c>
      <x:c r="N142" s="75" t="n">
        <x:f>IF(ISNUMBER(F142),F142-D142,"n/m")</x:f>
        <x:v>-0.0000012475140241940963</x:v>
      </x:c>
      <x:c r="O142" s="75" t="n">
        <x:v>4</x:v>
      </x:c>
    </x:row>
    <x:row r="143" ht="112" hidden="0" customHeight="1">
      <x:c r="A143" s="157" t="str">
        <x:v>DGKC</x:v>
      </x:c>
      <x:c r="B143" s="157" t="str">
        <x:v>Total assets turnover (based on average total assets)</x:v>
      </x:c>
      <x:c r="C143" s="157" t="str">
        <x:v>FY2024</x:v>
      </x:c>
      <x:c r="D143" s="158" t="n">
        <x:v>0.4836</x:v>
      </x:c>
      <x:c r="E143" s="158" t="n">
        <x:f>DGKC!G152</x:f>
        <x:v>0.48362452491954855</x:v>
      </x:c>
      <x:c r="F143" s="158" t="n">
        <x:f>DGKC!G84/AVERAGE(DGKC!F37,DGKC!G37)</x:f>
        <x:v>0.48362452491954855</x:v>
      </x:c>
      <x:c r="G143" s="162" t="str">
        <x:v>Sales / average assets</x:v>
      </x:c>
      <x:c r="H143" s="162" t="str">
        <x:f>IF(AND(ISNUMBER(D143),ISNUMBER(F143)),IF(ROUND(D143,O143)=ROUND(F143,O143),"Reproduced to precision","Unresolved published value"),"Not comparable")</x:f>
        <x:v>Reproduced to precision</x:v>
      </x:c>
      <x:c r="I143" s="162" t="str">
        <x:v>Tested the source-based convention shown in G against official published precision. Unmatched values remain unresolved; neither the standardized method nor the financial inputs were altered to force agreement.</x:v>
      </x:c>
      <x:c r="J143" s="162" t="str">
        <x:v>FY2025 AR p108 "Six years at a glance"</x:v>
      </x:c>
      <x:c r="K143" s="162" t="str">
        <x:v>Agrees (same convention)</x:v>
      </x:c>
      <x:c r="L143" s="162" t="str">
        <x:v>Source comparison</x:v>
      </x:c>
      <x:c r="M143" s="157" t="n">
        <x:f>IF(ISNUMBER(E143),E143-D143,"n/m")</x:f>
        <x:v>0.000024524919548574164</x:v>
      </x:c>
      <x:c r="N143" s="157" t="n">
        <x:f>IF(ISNUMBER(F143),F143-D143,"n/m")</x:f>
        <x:v>0.000024524919548574164</x:v>
      </x:c>
      <x:c r="O143" s="157" t="n">
        <x:v>4</x:v>
      </x:c>
    </x:row>
    <x:row r="144" ht="112" hidden="0" customHeight="1">
      <x:c r="A144" s="75" t="str">
        <x:v>DGKC</x:v>
      </x:c>
      <x:c r="B144" s="75" t="str">
        <x:v>Total assets turnover (based on average total assets)</x:v>
      </x:c>
      <x:c r="C144" s="75" t="str">
        <x:v>FY2025</x:v>
      </x:c>
      <x:c r="D144" s="159" t="n">
        <x:v>0.5057</x:v>
      </x:c>
      <x:c r="E144" s="159" t="n">
        <x:f>DGKC!H152</x:f>
        <x:v>0.5057355687914292</x:v>
      </x:c>
      <x:c r="F144" s="159" t="n">
        <x:f>DGKC!H84/AVERAGE(DGKC!G37,DGKC!H37)</x:f>
        <x:v>0.5057355687914292</x:v>
      </x:c>
      <x:c r="G144" s="163" t="str">
        <x:v>Sales / average assets</x:v>
      </x:c>
      <x:c r="H144" s="163" t="str">
        <x:f>IF(AND(ISNUMBER(D144),ISNUMBER(F144)),IF(ROUND(D144,O144)=ROUND(F144,O144),"Reproduced to precision","Unresolved published value"),"Not comparable")</x:f>
        <x:v>Reproduced to precision</x:v>
      </x:c>
      <x:c r="I144" s="163" t="str">
        <x:v>Tested the source-based convention shown in G against official published precision. Unmatched values remain unresolved; neither the standardized method nor the financial inputs were altered to force agreement.</x:v>
      </x:c>
      <x:c r="J144" s="163" t="str">
        <x:v>FY2025 AR p108 "Six years at a glance"</x:v>
      </x:c>
      <x:c r="K144" s="163" t="str">
        <x:v>Agrees (same convention)</x:v>
      </x:c>
      <x:c r="L144" s="163" t="str">
        <x:v>Source comparison</x:v>
      </x:c>
      <x:c r="M144" s="75" t="n">
        <x:f>IF(ISNUMBER(E144),E144-D144,"n/m")</x:f>
        <x:v>0.000035568791429185787</x:v>
      </x:c>
      <x:c r="N144" s="75" t="n">
        <x:f>IF(ISNUMBER(F144),F144-D144,"n/m")</x:f>
        <x:v>0.000035568791429185787</x:v>
      </x:c>
      <x:c r="O144" s="75" t="n">
        <x:v>4</x:v>
      </x:c>
    </x:row>
    <x:row r="145" ht="112" hidden="0" customHeight="1">
      <x:c r="A145" s="157" t="str">
        <x:v>DGKC</x:v>
      </x:c>
      <x:c r="B145" s="157" t="str">
        <x:v>Fixed assets turnover</x:v>
      </x:c>
      <x:c r="C145" s="157" t="str">
        <x:v>FY2021</x:v>
      </x:c>
      <x:c r="D145" s="158" t="n">
        <x:v>0.5352</x:v>
      </x:c>
      <x:c r="E145" s="158" t="n">
        <x:f>DGKC!D153</x:f>
        <x:v>0.5840225528925309</x:v>
      </x:c>
      <x:c r="F145" s="158" t="n">
        <x:f>DGKC!D84/AVERAGE(DGKC!C20,DGKC!D20)</x:f>
        <x:v>0.5352205115831045</x:v>
      </x:c>
      <x:c r="G145" s="162" t="str">
        <x:v>Sales / average total PPE</x:v>
      </x:c>
      <x:c r="H145" s="162" t="str">
        <x:f>IF(AND(ISNUMBER(D145),ISNUMBER(F145)),IF(ROUND(D145,O145)=ROUND(F145,O145),"Reproduced to precision","Unresolved published value"),"Not comparable")</x:f>
        <x:v>Reproduced to precision</x:v>
      </x:c>
      <x:c r="I145" s="162" t="str">
        <x:v>Tested the source-based convention shown in G against official published precision. Unmatched values remain unresolved; neither the standardized method nor the financial inputs were altered to force agreement.</x:v>
      </x:c>
      <x:c r="J145" s="162" t="str">
        <x:v>FY2025 AR p108 "Six years at a glance"</x:v>
      </x:c>
      <x:c r="K145" s="162" t="str">
        <x:v>Reconciled (company convention)</x:v>
      </x:c>
      <x:c r="L145" s="162" t="str">
        <x:v>Source comparison</x:v>
      </x:c>
      <x:c r="M145" s="157" t="n">
        <x:f>IF(ISNUMBER(E145),E145-D145,"n/m")</x:f>
        <x:v>0.0488225528925309</x:v>
      </x:c>
      <x:c r="N145" s="157" t="n">
        <x:f>IF(ISNUMBER(F145),F145-D145,"n/m")</x:f>
        <x:v>0.000020511583104454445</x:v>
      </x:c>
      <x:c r="O145" s="157" t="n">
        <x:v>4</x:v>
      </x:c>
    </x:row>
    <x:row r="146" ht="112" hidden="0" customHeight="1">
      <x:c r="A146" s="75" t="str">
        <x:v>DGKC</x:v>
      </x:c>
      <x:c r="B146" s="75" t="str">
        <x:v>Fixed assets turnover</x:v>
      </x:c>
      <x:c r="C146" s="75" t="str">
        <x:v>FY2022</x:v>
      </x:c>
      <x:c r="D146" s="159" t="n">
        <x:v>0.6917</x:v>
      </x:c>
      <x:c r="E146" s="159" t="n">
        <x:f>DGKC!E153</x:f>
        <x:v>0.7284023454374957</x:v>
      </x:c>
      <x:c r="F146" s="159" t="n">
        <x:f>DGKC!E84/AVERAGE(DGKC!D20,DGKC!E20)</x:f>
        <x:v>0.6917231590441053</x:v>
      </x:c>
      <x:c r="G146" s="163" t="str">
        <x:v>Sales / average total PPE</x:v>
      </x:c>
      <x:c r="H146" s="163" t="str">
        <x:f>IF(AND(ISNUMBER(D146),ISNUMBER(F146)),IF(ROUND(D146,O146)=ROUND(F146,O146),"Reproduced to precision","Unresolved published value"),"Not comparable")</x:f>
        <x:v>Reproduced to precision</x:v>
      </x:c>
      <x:c r="I146" s="163" t="str">
        <x:v>Tested the source-based convention shown in G against official published precision. Unmatched values remain unresolved; neither the standardized method nor the financial inputs were altered to force agreement.</x:v>
      </x:c>
      <x:c r="J146" s="163" t="str">
        <x:v>FY2025 AR p108 "Six years at a glance"</x:v>
      </x:c>
      <x:c r="K146" s="163" t="str">
        <x:v>Reconciled (company convention)</x:v>
      </x:c>
      <x:c r="L146" s="163" t="str">
        <x:v>Source comparison</x:v>
      </x:c>
      <x:c r="M146" s="75" t="n">
        <x:f>IF(ISNUMBER(E146),E146-D146,"n/m")</x:f>
        <x:v>0.03670234543749573</x:v>
      </x:c>
      <x:c r="N146" s="75" t="n">
        <x:f>IF(ISNUMBER(F146),F146-D146,"n/m")</x:f>
        <x:v>0.00002315904410532532</x:v>
      </x:c>
      <x:c r="O146" s="75" t="n">
        <x:v>4</x:v>
      </x:c>
    </x:row>
    <x:row r="147" ht="112" hidden="0" customHeight="1">
      <x:c r="A147" s="157" t="str">
        <x:v>DGKC</x:v>
      </x:c>
      <x:c r="B147" s="157" t="str">
        <x:v>Fixed assets turnover</x:v>
      </x:c>
      <x:c r="C147" s="157" t="str">
        <x:v>FY2023</x:v>
      </x:c>
      <x:c r="D147" s="158" t="n">
        <x:v>0.7874</x:v>
      </x:c>
      <x:c r="E147" s="158" t="n">
        <x:f>DGKC!F153</x:f>
        <x:v>0.8006952973031204</x:v>
      </x:c>
      <x:c r="F147" s="158" t="n">
        <x:f>DGKC!F84/AVERAGE(DGKC!E20,DGKC!F20)</x:f>
        <x:v>0.7874463971447113</x:v>
      </x:c>
      <x:c r="G147" s="162" t="str">
        <x:v>Sales / average total PPE</x:v>
      </x:c>
      <x:c r="H147" s="162" t="str">
        <x:f>IF(AND(ISNUMBER(D147),ISNUMBER(F147)),IF(ROUND(D147,O147)=ROUND(F147,O147),"Reproduced to precision","Unresolved published value"),"Not comparable")</x:f>
        <x:v>Reproduced to precision</x:v>
      </x:c>
      <x:c r="I147" s="162" t="str">
        <x:v>Tested the source-based convention shown in G against official published precision. Unmatched values remain unresolved; neither the standardized method nor the financial inputs were altered to force agreement.</x:v>
      </x:c>
      <x:c r="J147" s="162" t="str">
        <x:v>FY2025 AR p108 "Six years at a glance"</x:v>
      </x:c>
      <x:c r="K147" s="162" t="str">
        <x:v>Reconciled (company convention)</x:v>
      </x:c>
      <x:c r="L147" s="162" t="str">
        <x:v>Source comparison</x:v>
      </x:c>
      <x:c r="M147" s="157" t="n">
        <x:f>IF(ISNUMBER(E147),E147-D147,"n/m")</x:f>
        <x:v>0.013295297303120401</x:v>
      </x:c>
      <x:c r="N147" s="157" t="n">
        <x:f>IF(ISNUMBER(F147),F147-D147,"n/m")</x:f>
        <x:v>0.00004639714471132983</x:v>
      </x:c>
      <x:c r="O147" s="157" t="n">
        <x:v>4</x:v>
      </x:c>
    </x:row>
    <x:row r="148" ht="112" hidden="0" customHeight="1">
      <x:c r="A148" s="75" t="str">
        <x:v>DGKC</x:v>
      </x:c>
      <x:c r="B148" s="75" t="str">
        <x:v>Fixed assets turnover</x:v>
      </x:c>
      <x:c r="C148" s="75" t="str">
        <x:v>FY2024</x:v>
      </x:c>
      <x:c r="D148" s="159" t="n">
        <x:v>0.8147</x:v>
      </x:c>
      <x:c r="E148" s="159" t="n">
        <x:f>DGKC!G153</x:f>
        <x:v>0.8318493605276719</x:v>
      </x:c>
      <x:c r="F148" s="159" t="n">
        <x:f>DGKC!G84/AVERAGE(DGKC!F20,DGKC!G20)</x:f>
        <x:v>0.8146714508469528</x:v>
      </x:c>
      <x:c r="G148" s="163" t="str">
        <x:v>Sales / average total PPE</x:v>
      </x:c>
      <x:c r="H148" s="163" t="str">
        <x:f>IF(AND(ISNUMBER(D148),ISNUMBER(F148)),IF(ROUND(D148,O148)=ROUND(F148,O148),"Reproduced to precision","Unresolved published value"),"Not comparable")</x:f>
        <x:v>Reproduced to precision</x:v>
      </x:c>
      <x:c r="I148" s="163" t="str">
        <x:v>Tested the source-based convention shown in G against official published precision. Unmatched values remain unresolved; neither the standardized method nor the financial inputs were altered to force agreement.</x:v>
      </x:c>
      <x:c r="J148" s="163" t="str">
        <x:v>FY2025 AR p108 "Six years at a glance"</x:v>
      </x:c>
      <x:c r="K148" s="163" t="str">
        <x:v>Reconciled (company convention)</x:v>
      </x:c>
      <x:c r="L148" s="163" t="str">
        <x:v>Source comparison</x:v>
      </x:c>
      <x:c r="M148" s="75" t="n">
        <x:f>IF(ISNUMBER(E148),E148-D148,"n/m")</x:f>
        <x:v>0.01714936052767191</x:v>
      </x:c>
      <x:c r="N148" s="75" t="n">
        <x:f>IF(ISNUMBER(F148),F148-D148,"n/m")</x:f>
        <x:v>-0.00002854915304717487</x:v>
      </x:c>
      <x:c r="O148" s="75" t="n">
        <x:v>4</x:v>
      </x:c>
    </x:row>
    <x:row r="149" ht="112" hidden="0" customHeight="1">
      <x:c r="A149" s="157" t="str">
        <x:v>DGKC</x:v>
      </x:c>
      <x:c r="B149" s="157" t="str">
        <x:v>Fixed assets turnover</x:v>
      </x:c>
      <x:c r="C149" s="157" t="str">
        <x:v>FY2025</x:v>
      </x:c>
      <x:c r="D149" s="158" t="n">
        <x:v>0.9151</x:v>
      </x:c>
      <x:c r="E149" s="158" t="n">
        <x:f>DGKC!H153</x:f>
        <x:v>0.9277030351499571</x:v>
      </x:c>
      <x:c r="F149" s="158" t="n">
        <x:f>DGKC!H84/AVERAGE(DGKC!G20,DGKC!H20)</x:f>
        <x:v>0.9150722955592591</x:v>
      </x:c>
      <x:c r="G149" s="162" t="str">
        <x:v>Sales / average total PPE</x:v>
      </x:c>
      <x:c r="H149" s="162" t="str">
        <x:f>IF(AND(ISNUMBER(D149),ISNUMBER(F149)),IF(ROUND(D149,O149)=ROUND(F149,O149),"Reproduced to precision","Unresolved published value"),"Not comparable")</x:f>
        <x:v>Reproduced to precision</x:v>
      </x:c>
      <x:c r="I149" s="162" t="str">
        <x:v>Tested the source-based convention shown in G against official published precision. Unmatched values remain unresolved; neither the standardized method nor the financial inputs were altered to force agreement.</x:v>
      </x:c>
      <x:c r="J149" s="162" t="str">
        <x:v>FY2025 AR p108 "Six years at a glance"</x:v>
      </x:c>
      <x:c r="K149" s="162" t="str">
        <x:v>Reconciled (company convention)</x:v>
      </x:c>
      <x:c r="L149" s="162" t="str">
        <x:v>Source comparison</x:v>
      </x:c>
      <x:c r="M149" s="157" t="n">
        <x:f>IF(ISNUMBER(E149),E149-D149,"n/m")</x:f>
        <x:v>0.012603035149957087</x:v>
      </x:c>
      <x:c r="N149" s="157" t="n">
        <x:f>IF(ISNUMBER(F149),F149-D149,"n/m")</x:f>
        <x:v>-0.00002770444074096101</x:v>
      </x:c>
      <x:c r="O149" s="157" t="n">
        <x:v>4</x:v>
      </x:c>
    </x:row>
    <x:row r="150" ht="112" hidden="0" customHeight="1">
      <x:c r="A150" s="75" t="str">
        <x:v>DGKC</x:v>
      </x:c>
      <x:c r="B150" s="75" t="str">
        <x:v>Interest cover</x:v>
      </x:c>
      <x:c r="C150" s="75" t="str">
        <x:v>FY2021</x:v>
      </x:c>
      <x:c r="D150" s="159" t="n">
        <x:v>3.86</x:v>
      </x:c>
      <x:c r="E150" s="159" t="n">
        <x:f>DGKC!D159</x:f>
        <x:v>2.665277021761826</x:v>
      </x:c>
      <x:c r="F150" s="159" t="n">
        <x:f>DGKC!D109/(-DGKC!D95)</x:f>
        <x:v>3.8594897077074504</x:v>
      </x:c>
      <x:c r="G150" s="163" t="str">
        <x:v>EBITDA / all finance cost</x:v>
      </x:c>
      <x:c r="H150" s="163" t="str">
        <x:f>IF(AND(ISNUMBER(D150),ISNUMBER(F150)),IF(ROUND(D150,O150)=ROUND(F150,O150),"Reproduced to precision","Unresolved published value"),"Not comparable")</x:f>
        <x:v>Reproduced to precision</x:v>
      </x:c>
      <x:c r="I150" s="163" t="str">
        <x:v>Tested the source-based convention shown in G against official published precision. Unmatched values remain unresolved; neither the standardized method nor the financial inputs were altered to force agreement.</x:v>
      </x:c>
      <x:c r="J150" s="163" t="str">
        <x:v>FY2025 AR p108 "Six years at a glance"</x:v>
      </x:c>
      <x:c r="K150" s="163" t="str">
        <x:v>Reconciled (company convention)</x:v>
      </x:c>
      <x:c r="L150" s="163" t="str">
        <x:v>Source comparison</x:v>
      </x:c>
      <x:c r="M150" s="75" t="n">
        <x:f>IF(ISNUMBER(E150),E150-D150,"n/m")</x:f>
        <x:v>-1.194722978238174</x:v>
      </x:c>
      <x:c r="N150" s="75" t="n">
        <x:f>IF(ISNUMBER(F150),F150-D150,"n/m")</x:f>
        <x:v>-0.0005102922925495079</x:v>
      </x:c>
      <x:c r="O150" s="75" t="n">
        <x:v>2</x:v>
      </x:c>
    </x:row>
    <x:row r="151" ht="112" hidden="0" customHeight="1">
      <x:c r="A151" s="157" t="str">
        <x:v>DGKC</x:v>
      </x:c>
      <x:c r="B151" s="157" t="str">
        <x:v>Interest cover</x:v>
      </x:c>
      <x:c r="C151" s="157" t="str">
        <x:v>FY2022</x:v>
      </x:c>
      <x:c r="D151" s="158" t="n">
        <x:v>3.78</x:v>
      </x:c>
      <x:c r="E151" s="158" t="n">
        <x:f>DGKC!E159</x:f>
        <x:v>2.7057478339935286</x:v>
      </x:c>
      <x:c r="F151" s="158" t="n">
        <x:f>DGKC!E109/(-DGKC!E95)</x:f>
        <x:v>3.781441856727189</x:v>
      </x:c>
      <x:c r="G151" s="162" t="str">
        <x:v>EBITDA / all finance cost</x:v>
      </x:c>
      <x:c r="H151" s="162" t="str">
        <x:f>IF(AND(ISNUMBER(D151),ISNUMBER(F151)),IF(ROUND(D151,O151)=ROUND(F151,O151),"Reproduced to precision","Unresolved published value"),"Not comparable")</x:f>
        <x:v>Reproduced to precision</x:v>
      </x:c>
      <x:c r="I151" s="162" t="str">
        <x:v>Tested the source-based convention shown in G against official published precision. Unmatched values remain unresolved; neither the standardized method nor the financial inputs were altered to force agreement.</x:v>
      </x:c>
      <x:c r="J151" s="162" t="str">
        <x:v>FY2025 AR p108 "Six years at a glance"</x:v>
      </x:c>
      <x:c r="K151" s="162" t="str">
        <x:v>Reconciled (company convention)</x:v>
      </x:c>
      <x:c r="L151" s="162" t="str">
        <x:v>Source comparison</x:v>
      </x:c>
      <x:c r="M151" s="157" t="n">
        <x:f>IF(ISNUMBER(E151),E151-D151,"n/m")</x:f>
        <x:v>-1.0742521660064712</x:v>
      </x:c>
      <x:c r="N151" s="157" t="n">
        <x:f>IF(ISNUMBER(F151),F151-D151,"n/m")</x:f>
        <x:v>0.0014418567271889948</x:v>
      </x:c>
      <x:c r="O151" s="157" t="n">
        <x:v>2</x:v>
      </x:c>
    </x:row>
    <x:row r="152" ht="112" hidden="0" customHeight="1">
      <x:c r="A152" s="75" t="str">
        <x:v>DGKC</x:v>
      </x:c>
      <x:c r="B152" s="75" t="str">
        <x:v>Interest cover</x:v>
      </x:c>
      <x:c r="C152" s="75" t="str">
        <x:v>FY2023</x:v>
      </x:c>
      <x:c r="D152" s="159" t="n">
        <x:v>2.05</x:v>
      </x:c>
      <x:c r="E152" s="159" t="n">
        <x:f>DGKC!F159</x:f>
        <x:v>1.4774958199074884</x:v>
      </x:c>
      <x:c r="F152" s="159" t="n">
        <x:f>DGKC!F109/(-DGKC!F95)</x:f>
        <x:v>2.0540437880768145</x:v>
      </x:c>
      <x:c r="G152" s="163" t="str">
        <x:v>EBITDA / all finance cost</x:v>
      </x:c>
      <x:c r="H152" s="163" t="str">
        <x:f>IF(AND(ISNUMBER(D152),ISNUMBER(F152)),IF(ROUND(D152,O152)=ROUND(F152,O152),"Reproduced to precision","Unresolved published value"),"Not comparable")</x:f>
        <x:v>Reproduced to precision</x:v>
      </x:c>
      <x:c r="I152" s="163" t="str">
        <x:v>Tested the source-based convention shown in G against official published precision. Unmatched values remain unresolved; neither the standardized method nor the financial inputs were altered to force agreement.</x:v>
      </x:c>
      <x:c r="J152" s="163" t="str">
        <x:v>FY2025 AR p108 "Six years at a glance"</x:v>
      </x:c>
      <x:c r="K152" s="163" t="str">
        <x:v>Reconciled (company convention)</x:v>
      </x:c>
      <x:c r="L152" s="163" t="str">
        <x:v>Source comparison</x:v>
      </x:c>
      <x:c r="M152" s="75" t="n">
        <x:f>IF(ISNUMBER(E152),E152-D152,"n/m")</x:f>
        <x:v>-0.5725041800925115</x:v>
      </x:c>
      <x:c r="N152" s="75" t="n">
        <x:f>IF(ISNUMBER(F152),F152-D152,"n/m")</x:f>
        <x:v>0.004043788076814714</x:v>
      </x:c>
      <x:c r="O152" s="75" t="n">
        <x:v>2</x:v>
      </x:c>
    </x:row>
    <x:row r="153" ht="112" hidden="0" customHeight="1">
      <x:c r="A153" s="157" t="str">
        <x:v>DGKC</x:v>
      </x:c>
      <x:c r="B153" s="157" t="str">
        <x:v>Interest cover</x:v>
      </x:c>
      <x:c r="C153" s="157" t="str">
        <x:v>FY2024</x:v>
      </x:c>
      <x:c r="D153" s="158" t="n">
        <x:v>1.84</x:v>
      </x:c>
      <x:c r="E153" s="158" t="n">
        <x:f>DGKC!G159</x:f>
        <x:v>1.367829033720977</x:v>
      </x:c>
      <x:c r="F153" s="158" t="n">
        <x:f>DGKC!G109/(-DGKC!G95)</x:f>
        <x:v>1.8364297181451814</x:v>
      </x:c>
      <x:c r="G153" s="162" t="str">
        <x:v>EBITDA / all finance cost</x:v>
      </x:c>
      <x:c r="H153" s="162" t="str">
        <x:f>IF(AND(ISNUMBER(D153),ISNUMBER(F153)),IF(ROUND(D153,O153)=ROUND(F153,O153),"Reproduced to precision","Unresolved published value"),"Not comparable")</x:f>
        <x:v>Reproduced to precision</x:v>
      </x:c>
      <x:c r="I153" s="162" t="str">
        <x:v>Tested the source-based convention shown in G against official published precision. Unmatched values remain unresolved; neither the standardized method nor the financial inputs were altered to force agreement.</x:v>
      </x:c>
      <x:c r="J153" s="162" t="str">
        <x:v>FY2025 AR p108 "Six years at a glance"</x:v>
      </x:c>
      <x:c r="K153" s="162" t="str">
        <x:v>Reconciled (company convention)</x:v>
      </x:c>
      <x:c r="L153" s="162" t="str">
        <x:v>Source comparison</x:v>
      </x:c>
      <x:c r="M153" s="157" t="n">
        <x:f>IF(ISNUMBER(E153),E153-D153,"n/m")</x:f>
        <x:v>-0.472170966279023</x:v>
      </x:c>
      <x:c r="N153" s="157" t="n">
        <x:f>IF(ISNUMBER(F153),F153-D153,"n/m")</x:f>
        <x:v>-0.0035702818548186688</x:v>
      </x:c>
      <x:c r="O153" s="157" t="n">
        <x:v>2</x:v>
      </x:c>
    </x:row>
    <x:row r="154" ht="112" hidden="0" customHeight="1">
      <x:c r="A154" s="75" t="str">
        <x:v>DGKC</x:v>
      </x:c>
      <x:c r="B154" s="75" t="str">
        <x:v>Interest cover</x:v>
      </x:c>
      <x:c r="C154" s="75" t="str">
        <x:v>FY2025</x:v>
      </x:c>
      <x:c r="D154" s="159" t="n">
        <x:v>5.35</x:v>
      </x:c>
      <x:c r="E154" s="159" t="n">
        <x:f>DGKC!H159</x:f>
        <x:v>4.421321516604763</x:v>
      </x:c>
      <x:c r="F154" s="159" t="n">
        <x:f>DGKC!H109/(-DGKC!H95)</x:f>
        <x:v>5.3502460336838125</x:v>
      </x:c>
      <x:c r="G154" s="163" t="str">
        <x:v>EBITDA / all finance cost</x:v>
      </x:c>
      <x:c r="H154" s="163" t="str">
        <x:f>IF(AND(ISNUMBER(D154),ISNUMBER(F154)),IF(ROUND(D154,O154)=ROUND(F154,O154),"Reproduced to precision","Unresolved published value"),"Not comparable")</x:f>
        <x:v>Reproduced to precision</x:v>
      </x:c>
      <x:c r="I154" s="163" t="str">
        <x:v>Tested the source-based convention shown in G against official published precision. Unmatched values remain unresolved; neither the standardized method nor the financial inputs were altered to force agreement.</x:v>
      </x:c>
      <x:c r="J154" s="163" t="str">
        <x:v>FY2025 AR p108 "Six years at a glance"</x:v>
      </x:c>
      <x:c r="K154" s="163" t="str">
        <x:v>Reconciled (company convention)</x:v>
      </x:c>
      <x:c r="L154" s="163" t="str">
        <x:v>Source comparison</x:v>
      </x:c>
      <x:c r="M154" s="75" t="n">
        <x:f>IF(ISNUMBER(E154),E154-D154,"n/m")</x:f>
        <x:v>-0.9286784833952364</x:v>
      </x:c>
      <x:c r="N154" s="75" t="n">
        <x:f>IF(ISNUMBER(F154),F154-D154,"n/m")</x:f>
        <x:v>0.00024603368381281854</x:v>
      </x:c>
      <x:c r="O154" s="75" t="n">
        <x:v>2</x:v>
      </x:c>
    </x:row>
    <x:row r="155" ht="112" hidden="0" customHeight="1">
      <x:c r="A155" s="157" t="str">
        <x:v>DGKC</x:v>
      </x:c>
      <x:c r="B155" s="157" t="str">
        <x:v>Gross profit ratio</x:v>
      </x:c>
      <x:c r="C155" s="157" t="str">
        <x:v>FY2021</x:v>
      </x:c>
      <x:c r="D155" s="161" t="n">
        <x:v>0.1789</x:v>
      </x:c>
      <x:c r="E155" s="161" t="n">
        <x:f>DGKC!D161</x:f>
        <x:v>0.1789471373949763</x:v>
      </x:c>
      <x:c r="F155" s="161" t="n">
        <x:f>DGKC!D86/DGKC!D84</x:f>
        <x:v>0.1789471373949763</x:v>
      </x:c>
      <x:c r="G155" s="162" t="str">
        <x:v>Standard definition</x:v>
      </x:c>
      <x:c r="H155" s="162" t="str">
        <x:f>IF(AND(ISNUMBER(D155),ISNUMBER(F155)),IF(ROUND(D155,O155)=ROUND(F155,O155),"Reproduced to precision","Unresolved published value"),"Not comparable")</x:f>
        <x:v>Reproduced to precision</x:v>
      </x:c>
      <x:c r="I155" s="162" t="str">
        <x:v>Tested the source-based convention shown in G against official published precision. Unmatched values remain unresolved; neither the standardized method nor the financial inputs were altered to force agreement.</x:v>
      </x:c>
      <x:c r="J155" s="162" t="str">
        <x:v>FY2025 AR p108 "Six years at a glance"</x:v>
      </x:c>
      <x:c r="K155" s="162" t="str">
        <x:v>Agrees (same convention)</x:v>
      </x:c>
      <x:c r="L155" s="162" t="str">
        <x:v>Source comparison</x:v>
      </x:c>
      <x:c r="M155" s="157" t="n">
        <x:f>IF(ISNUMBER(E155),E155-D155,"n/m")</x:f>
        <x:v>0.000047137394976304314</x:v>
      </x:c>
      <x:c r="N155" s="157" t="n">
        <x:f>IF(ISNUMBER(F155),F155-D155,"n/m")</x:f>
        <x:v>0.000047137394976304314</x:v>
      </x:c>
      <x:c r="O155" s="157" t="n">
        <x:v>4</x:v>
      </x:c>
    </x:row>
    <x:row r="156" ht="112" hidden="0" customHeight="1">
      <x:c r="A156" s="75" t="str">
        <x:v>DGKC</x:v>
      </x:c>
      <x:c r="B156" s="75" t="str">
        <x:v>Gross profit ratio</x:v>
      </x:c>
      <x:c r="C156" s="75" t="str">
        <x:v>FY2022</x:v>
      </x:c>
      <x:c r="D156" s="160" t="n">
        <x:v>0.1797</x:v>
      </x:c>
      <x:c r="E156" s="160" t="n">
        <x:f>DGKC!E161</x:f>
        <x:v>0.1796626113599641</x:v>
      </x:c>
      <x:c r="F156" s="160" t="n">
        <x:f>DGKC!E86/DGKC!E84</x:f>
        <x:v>0.1796626113599641</x:v>
      </x:c>
      <x:c r="G156" s="163" t="str">
        <x:v>Standard definition</x:v>
      </x:c>
      <x:c r="H156" s="163" t="str">
        <x:f>IF(AND(ISNUMBER(D156),ISNUMBER(F156)),IF(ROUND(D156,O156)=ROUND(F156,O156),"Reproduced to precision","Unresolved published value"),"Not comparable")</x:f>
        <x:v>Reproduced to precision</x:v>
      </x:c>
      <x:c r="I156" s="163" t="str">
        <x:v>Tested the source-based convention shown in G against official published precision. Unmatched values remain unresolved; neither the standardized method nor the financial inputs were altered to force agreement.</x:v>
      </x:c>
      <x:c r="J156" s="163" t="str">
        <x:v>FY2025 AR p108 "Six years at a glance"</x:v>
      </x:c>
      <x:c r="K156" s="163" t="str">
        <x:v>Agrees (same convention)</x:v>
      </x:c>
      <x:c r="L156" s="163" t="str">
        <x:v>Source comparison</x:v>
      </x:c>
      <x:c r="M156" s="75" t="n">
        <x:f>IF(ISNUMBER(E156),E156-D156,"n/m")</x:f>
        <x:v>-0.00003738864003591247</x:v>
      </x:c>
      <x:c r="N156" s="75" t="n">
        <x:f>IF(ISNUMBER(F156),F156-D156,"n/m")</x:f>
        <x:v>-0.00003738864003591247</x:v>
      </x:c>
      <x:c r="O156" s="75" t="n">
        <x:v>4</x:v>
      </x:c>
    </x:row>
    <x:row r="157" ht="112" hidden="0" customHeight="1">
      <x:c r="A157" s="157" t="str">
        <x:v>DGKC</x:v>
      </x:c>
      <x:c r="B157" s="157" t="str">
        <x:v>Gross profit ratio</x:v>
      </x:c>
      <x:c r="C157" s="157" t="str">
        <x:v>FY2023</x:v>
      </x:c>
      <x:c r="D157" s="161" t="n">
        <x:v>0.147</x:v>
      </x:c>
      <x:c r="E157" s="161" t="n">
        <x:f>DGKC!F161</x:f>
        <x:v>0.147048524585835</x:v>
      </x:c>
      <x:c r="F157" s="161" t="n">
        <x:f>DGKC!F86/DGKC!F84</x:f>
        <x:v>0.147048524585835</x:v>
      </x:c>
      <x:c r="G157" s="162" t="str">
        <x:v>Standard definition</x:v>
      </x:c>
      <x:c r="H157" s="162" t="str">
        <x:f>IF(AND(ISNUMBER(D157),ISNUMBER(F157)),IF(ROUND(D157,O157)=ROUND(F157,O157),"Reproduced to precision","Unresolved published value"),"Not comparable")</x:f>
        <x:v>Reproduced to precision</x:v>
      </x:c>
      <x:c r="I157" s="162" t="str">
        <x:v>Tested the source-based convention shown in G against official published precision. Unmatched values remain unresolved; neither the standardized method nor the financial inputs were altered to force agreement.</x:v>
      </x:c>
      <x:c r="J157" s="162" t="str">
        <x:v>FY2025 AR p108 "Six years at a glance"</x:v>
      </x:c>
      <x:c r="K157" s="162" t="str">
        <x:v>Agrees (same convention)</x:v>
      </x:c>
      <x:c r="L157" s="162" t="str">
        <x:v>Source comparison</x:v>
      </x:c>
      <x:c r="M157" s="157" t="n">
        <x:f>IF(ISNUMBER(E157),E157-D157,"n/m")</x:f>
        <x:v>0.00004852458583501362</x:v>
      </x:c>
      <x:c r="N157" s="157" t="n">
        <x:f>IF(ISNUMBER(F157),F157-D157,"n/m")</x:f>
        <x:v>0.00004852458583501362</x:v>
      </x:c>
      <x:c r="O157" s="157" t="n">
        <x:v>4</x:v>
      </x:c>
    </x:row>
    <x:row r="158" ht="112" hidden="0" customHeight="1">
      <x:c r="A158" s="75" t="str">
        <x:v>DGKC</x:v>
      </x:c>
      <x:c r="B158" s="75" t="str">
        <x:v>Gross profit ratio</x:v>
      </x:c>
      <x:c r="C158" s="75" t="str">
        <x:v>FY2024</x:v>
      </x:c>
      <x:c r="D158" s="160" t="n">
        <x:v>0.1594</x:v>
      </x:c>
      <x:c r="E158" s="160" t="n">
        <x:f>DGKC!G161</x:f>
        <x:v>0.1594256360843263</x:v>
      </x:c>
      <x:c r="F158" s="160" t="n">
        <x:f>DGKC!G86/DGKC!G84</x:f>
        <x:v>0.1594256360843263</x:v>
      </x:c>
      <x:c r="G158" s="163" t="str">
        <x:v>Standard definition</x:v>
      </x:c>
      <x:c r="H158" s="163" t="str">
        <x:f>IF(AND(ISNUMBER(D158),ISNUMBER(F158)),IF(ROUND(D158,O158)=ROUND(F158,O158),"Reproduced to precision","Unresolved published value"),"Not comparable")</x:f>
        <x:v>Reproduced to precision</x:v>
      </x:c>
      <x:c r="I158" s="163" t="str">
        <x:v>Tested the source-based convention shown in G against official published precision. Unmatched values remain unresolved; neither the standardized method nor the financial inputs were altered to force agreement.</x:v>
      </x:c>
      <x:c r="J158" s="163" t="str">
        <x:v>FY2025 AR p108 "Six years at a glance"</x:v>
      </x:c>
      <x:c r="K158" s="163" t="str">
        <x:v>Agrees (same convention)</x:v>
      </x:c>
      <x:c r="L158" s="163" t="str">
        <x:v>Source comparison</x:v>
      </x:c>
      <x:c r="M158" s="75" t="n">
        <x:f>IF(ISNUMBER(E158),E158-D158,"n/m")</x:f>
        <x:v>0.000025636084326319253</x:v>
      </x:c>
      <x:c r="N158" s="75" t="n">
        <x:f>IF(ISNUMBER(F158),F158-D158,"n/m")</x:f>
        <x:v>0.000025636084326319253</x:v>
      </x:c>
      <x:c r="O158" s="75" t="n">
        <x:v>4</x:v>
      </x:c>
    </x:row>
    <x:row r="159" ht="112" hidden="0" customHeight="1">
      <x:c r="A159" s="157" t="str">
        <x:v>DGKC</x:v>
      </x:c>
      <x:c r="B159" s="157" t="str">
        <x:v>Gross profit ratio</x:v>
      </x:c>
      <x:c r="C159" s="157" t="str">
        <x:v>FY2025</x:v>
      </x:c>
      <x:c r="D159" s="161" t="n">
        <x:v>0.2574</x:v>
      </x:c>
      <x:c r="E159" s="161" t="n">
        <x:f>DGKC!H161</x:f>
        <x:v>0.25740632547300923</x:v>
      </x:c>
      <x:c r="F159" s="161" t="n">
        <x:f>DGKC!H86/DGKC!H84</x:f>
        <x:v>0.25740632547300923</x:v>
      </x:c>
      <x:c r="G159" s="162" t="str">
        <x:v>Standard definition</x:v>
      </x:c>
      <x:c r="H159" s="162" t="str">
        <x:f>IF(AND(ISNUMBER(D159),ISNUMBER(F159)),IF(ROUND(D159,O159)=ROUND(F159,O159),"Reproduced to precision","Unresolved published value"),"Not comparable")</x:f>
        <x:v>Reproduced to precision</x:v>
      </x:c>
      <x:c r="I159" s="162" t="str">
        <x:v>Tested the source-based convention shown in G against official published precision. Unmatched values remain unresolved; neither the standardized method nor the financial inputs were altered to force agreement.</x:v>
      </x:c>
      <x:c r="J159" s="162" t="str">
        <x:v>FY2025 AR p108 "Six years at a glance"</x:v>
      </x:c>
      <x:c r="K159" s="162" t="str">
        <x:v>Agrees (same convention)</x:v>
      </x:c>
      <x:c r="L159" s="162" t="str">
        <x:v>Source comparison</x:v>
      </x:c>
      <x:c r="M159" s="157" t="n">
        <x:f>IF(ISNUMBER(E159),E159-D159,"n/m")</x:f>
        <x:v>0.000006325473009216598</x:v>
      </x:c>
      <x:c r="N159" s="157" t="n">
        <x:f>IF(ISNUMBER(F159),F159-D159,"n/m")</x:f>
        <x:v>0.000006325473009216598</x:v>
      </x:c>
      <x:c r="O159" s="157" t="n">
        <x:v>4</x:v>
      </x:c>
    </x:row>
    <x:row r="160" ht="112" hidden="0" customHeight="1">
      <x:c r="A160" s="75" t="str">
        <x:v>DGKC</x:v>
      </x:c>
      <x:c r="B160" s="75" t="str">
        <x:v>Net profit to sales</x:v>
      </x:c>
      <x:c r="C160" s="75" t="str">
        <x:v>FY2021</x:v>
      </x:c>
      <x:c r="D160" s="160" t="n">
        <x:v>0.0825</x:v>
      </x:c>
      <x:c r="E160" s="160" t="n">
        <x:f>DGKC!D163</x:f>
        <x:v>0.08249752980035112</x:v>
      </x:c>
      <x:c r="F160" s="160" t="n">
        <x:f>DGKC!D99/DGKC!D84</x:f>
        <x:v>0.08249752980035112</x:v>
      </x:c>
      <x:c r="G160" s="163" t="str">
        <x:v>Standard definition</x:v>
      </x:c>
      <x:c r="H160" s="163" t="str">
        <x:f>IF(AND(ISNUMBER(D160),ISNUMBER(F160)),IF(ROUND(D160,O160)=ROUND(F160,O160),"Reproduced to precision","Unresolved published value"),"Not comparable")</x:f>
        <x:v>Reproduced to precision</x:v>
      </x:c>
      <x:c r="I160" s="163" t="str">
        <x:v>Tested the source-based convention shown in G against official published precision. Unmatched values remain unresolved; neither the standardized method nor the financial inputs were altered to force agreement.</x:v>
      </x:c>
      <x:c r="J160" s="163" t="str">
        <x:v>FY2025 AR p108 "Six years at a glance"</x:v>
      </x:c>
      <x:c r="K160" s="163" t="str">
        <x:v>Agrees (same convention)</x:v>
      </x:c>
      <x:c r="L160" s="163" t="str">
        <x:v>Source comparison</x:v>
      </x:c>
      <x:c r="M160" s="75" t="n">
        <x:f>IF(ISNUMBER(E160),E160-D160,"n/m")</x:f>
        <x:v>-0.000002470199648885174</x:v>
      </x:c>
      <x:c r="N160" s="75" t="n">
        <x:f>IF(ISNUMBER(F160),F160-D160,"n/m")</x:f>
        <x:v>-0.000002470199648885174</x:v>
      </x:c>
      <x:c r="O160" s="75" t="n">
        <x:v>4</x:v>
      </x:c>
    </x:row>
    <x:row r="161" ht="112" hidden="0" customHeight="1">
      <x:c r="A161" s="157" t="str">
        <x:v>DGKC</x:v>
      </x:c>
      <x:c r="B161" s="157" t="str">
        <x:v>Net profit to sales</x:v>
      </x:c>
      <x:c r="C161" s="157" t="str">
        <x:v>FY2022</x:v>
      </x:c>
      <x:c r="D161" s="161" t="n">
        <x:v>0.0512</x:v>
      </x:c>
      <x:c r="E161" s="161" t="n">
        <x:f>DGKC!E163</x:f>
        <x:v>0.05120493100192175</x:v>
      </x:c>
      <x:c r="F161" s="161" t="n">
        <x:f>DGKC!E99/DGKC!E84</x:f>
        <x:v>0.05120493100192175</x:v>
      </x:c>
      <x:c r="G161" s="162" t="str">
        <x:v>Standard definition</x:v>
      </x:c>
      <x:c r="H161" s="162" t="str">
        <x:f>IF(AND(ISNUMBER(D161),ISNUMBER(F161)),IF(ROUND(D161,O161)=ROUND(F161,O161),"Reproduced to precision","Unresolved published value"),"Not comparable")</x:f>
        <x:v>Reproduced to precision</x:v>
      </x:c>
      <x:c r="I161" s="162" t="str">
        <x:v>Tested the source-based convention shown in G against official published precision. Unmatched values remain unresolved; neither the standardized method nor the financial inputs were altered to force agreement.</x:v>
      </x:c>
      <x:c r="J161" s="162" t="str">
        <x:v>FY2025 AR p108 "Six years at a glance"</x:v>
      </x:c>
      <x:c r="K161" s="162" t="str">
        <x:v>Agrees (same convention)</x:v>
      </x:c>
      <x:c r="L161" s="162" t="str">
        <x:v>Source comparison</x:v>
      </x:c>
      <x:c r="M161" s="157" t="n">
        <x:f>IF(ISNUMBER(E161),E161-D161,"n/m")</x:f>
        <x:v>0.000004931001921747169</x:v>
      </x:c>
      <x:c r="N161" s="157" t="n">
        <x:f>IF(ISNUMBER(F161),F161-D161,"n/m")</x:f>
        <x:v>0.000004931001921747169</x:v>
      </x:c>
      <x:c r="O161" s="157" t="n">
        <x:v>4</x:v>
      </x:c>
    </x:row>
    <x:row r="162" ht="112" hidden="0" customHeight="1">
      <x:c r="A162" s="75" t="str">
        <x:v>DGKC</x:v>
      </x:c>
      <x:c r="B162" s="75" t="str">
        <x:v>Net profit to sales</x:v>
      </x:c>
      <x:c r="C162" s="75" t="str">
        <x:v>FY2023</x:v>
      </x:c>
      <x:c r="D162" s="160" t="n">
        <x:v>-0.056</x:v>
      </x:c>
      <x:c r="E162" s="160" t="str">
        <x:f>DGKC!F163</x:f>
        <x:v>n/m</x:v>
      </x:c>
      <x:c r="F162" s="160" t="n">
        <x:f>DGKC!F99/DGKC!F84</x:f>
        <x:v>-0.05595201919567025</x:v>
      </x:c>
      <x:c r="G162" s="163" t="str">
        <x:v>Standard definition</x:v>
      </x:c>
      <x:c r="H162" s="163" t="str">
        <x:f>IF(AND(ISNUMBER(D162),ISNUMBER(F162)),IF(ROUND(D162,O162)=ROUND(F162,O162),"Reproduced to precision","Unresolved published value"),"Not comparable")</x:f>
        <x:v>Reproduced to precision</x:v>
      </x:c>
      <x:c r="I162" s="163" t="str">
        <x:v>Tested the source-based convention shown in G against official published precision. Unmatched values remain unresolved; neither the standardized method nor the financial inputs were altered to force agreement.</x:v>
      </x:c>
      <x:c r="J162" s="163" t="str">
        <x:v>FY2025 AR p108 "Six years at a glance"</x:v>
      </x:c>
      <x:c r="K162" s="163" t="str">
        <x:v>Agrees (same convention)</x:v>
      </x:c>
      <x:c r="L162" s="163" t="str">
        <x:v>Source comparison</x:v>
      </x:c>
      <x:c r="M162" s="75" t="str">
        <x:f>IF(ISNUMBER(E162),E162-D162,"n/m")</x:f>
        <x:v>n/m</x:v>
      </x:c>
      <x:c r="N162" s="75" t="n">
        <x:f>IF(ISNUMBER(F162),F162-D162,"n/m")</x:f>
        <x:v>0.00004798080432975166</x:v>
      </x:c>
      <x:c r="O162" s="75" t="n">
        <x:v>4</x:v>
      </x:c>
    </x:row>
    <x:row r="163" ht="112" hidden="0" customHeight="1">
      <x:c r="A163" s="157" t="str">
        <x:v>DGKC</x:v>
      </x:c>
      <x:c r="B163" s="157" t="str">
        <x:v>Net profit to sales</x:v>
      </x:c>
      <x:c r="C163" s="157" t="str">
        <x:v>FY2024</x:v>
      </x:c>
      <x:c r="D163" s="161" t="n">
        <x:v>0.0082</x:v>
      </x:c>
      <x:c r="E163" s="161" t="n">
        <x:f>DGKC!G163</x:f>
        <x:v>0.008213306596683071</x:v>
      </x:c>
      <x:c r="F163" s="161" t="n">
        <x:f>DGKC!G99/DGKC!G84</x:f>
        <x:v>0.008213306596683071</x:v>
      </x:c>
      <x:c r="G163" s="162" t="str">
        <x:v>Standard definition</x:v>
      </x:c>
      <x:c r="H163" s="162" t="str">
        <x:f>IF(AND(ISNUMBER(D163),ISNUMBER(F163)),IF(ROUND(D163,O163)=ROUND(F163,O163),"Reproduced to precision","Unresolved published value"),"Not comparable")</x:f>
        <x:v>Reproduced to precision</x:v>
      </x:c>
      <x:c r="I163" s="162" t="str">
        <x:v>Tested the source-based convention shown in G against official published precision. Unmatched values remain unresolved; neither the standardized method nor the financial inputs were altered to force agreement.</x:v>
      </x:c>
      <x:c r="J163" s="162" t="str">
        <x:v>FY2025 AR p108 "Six years at a glance"</x:v>
      </x:c>
      <x:c r="K163" s="162" t="str">
        <x:v>Agrees (same convention)</x:v>
      </x:c>
      <x:c r="L163" s="162" t="str">
        <x:v>Source comparison</x:v>
      </x:c>
      <x:c r="M163" s="157" t="n">
        <x:f>IF(ISNUMBER(E163),E163-D163,"n/m")</x:f>
        <x:v>0.000013306596683070396</x:v>
      </x:c>
      <x:c r="N163" s="157" t="n">
        <x:f>IF(ISNUMBER(F163),F163-D163,"n/m")</x:f>
        <x:v>0.000013306596683070396</x:v>
      </x:c>
      <x:c r="O163" s="157" t="n">
        <x:v>4</x:v>
      </x:c>
    </x:row>
    <x:row r="164" ht="112" hidden="0" customHeight="1">
      <x:c r="A164" s="75" t="str">
        <x:v>DGKC</x:v>
      </x:c>
      <x:c r="B164" s="75" t="str">
        <x:v>Net profit to sales</x:v>
      </x:c>
      <x:c r="C164" s="75" t="str">
        <x:v>FY2025</x:v>
      </x:c>
      <x:c r="D164" s="160" t="n">
        <x:v>0.1207</x:v>
      </x:c>
      <x:c r="E164" s="160" t="n">
        <x:f>DGKC!H163</x:f>
        <x:v>0.12066652759857006</x:v>
      </x:c>
      <x:c r="F164" s="160" t="n">
        <x:f>DGKC!H99/DGKC!H84</x:f>
        <x:v>0.12066652759857006</x:v>
      </x:c>
      <x:c r="G164" s="163" t="str">
        <x:v>Standard definition</x:v>
      </x:c>
      <x:c r="H164" s="163" t="str">
        <x:f>IF(AND(ISNUMBER(D164),ISNUMBER(F164)),IF(ROUND(D164,O164)=ROUND(F164,O164),"Reproduced to precision","Unresolved published value"),"Not comparable")</x:f>
        <x:v>Reproduced to precision</x:v>
      </x:c>
      <x:c r="I164" s="163" t="str">
        <x:v>Tested the source-based convention shown in G against official published precision. Unmatched values remain unresolved; neither the standardized method nor the financial inputs were altered to force agreement.</x:v>
      </x:c>
      <x:c r="J164" s="163" t="str">
        <x:v>FY2025 AR p108 "Six years at a glance"</x:v>
      </x:c>
      <x:c r="K164" s="163" t="str">
        <x:v>Agrees (same convention)</x:v>
      </x:c>
      <x:c r="L164" s="163" t="str">
        <x:v>Source comparison</x:v>
      </x:c>
      <x:c r="M164" s="75" t="n">
        <x:f>IF(ISNUMBER(E164),E164-D164,"n/m")</x:f>
        <x:v>-0.00003347240142993757</x:v>
      </x:c>
      <x:c r="N164" s="75" t="n">
        <x:f>IF(ISNUMBER(F164),F164-D164,"n/m")</x:f>
        <x:v>-0.00003347240142993757</x:v>
      </x:c>
      <x:c r="O164" s="75" t="n">
        <x:v>4</x:v>
      </x:c>
    </x:row>
    <x:row r="165" ht="112" hidden="0" customHeight="1">
      <x:c r="A165" s="157" t="str">
        <x:v>DGKC</x:v>
      </x:c>
      <x:c r="B165" s="157" t="str">
        <x:v>Return on equity (average)</x:v>
      </x:c>
      <x:c r="C165" s="157" t="str">
        <x:v>FY2021</x:v>
      </x:c>
      <x:c r="D165" s="161" t="n">
        <x:v>0.0531</x:v>
      </x:c>
      <x:c r="E165" s="161" t="n">
        <x:f>DGKC!D165</x:f>
        <x:v>0.05311474576838488</x:v>
      </x:c>
      <x:c r="F165" s="161" t="n">
        <x:f>DGKC!D99/AVERAGE(DGKC!C41,DGKC!D41)</x:f>
        <x:v>0.05311474576838488</x:v>
      </x:c>
      <x:c r="G165" s="162" t="str">
        <x:v>PAT / average equity</x:v>
      </x:c>
      <x:c r="H165" s="162" t="str">
        <x:f>IF(AND(ISNUMBER(D165),ISNUMBER(F165)),IF(ROUND(D165,O165)=ROUND(F165,O165),"Reproduced to precision","Unresolved published value"),"Not comparable")</x:f>
        <x:v>Reproduced to precision</x:v>
      </x:c>
      <x:c r="I165" s="162" t="str">
        <x:v>Tested the source-based convention shown in G against official published precision. Unmatched values remain unresolved; neither the standardized method nor the financial inputs were altered to force agreement.</x:v>
      </x:c>
      <x:c r="J165" s="162" t="str">
        <x:v>FY2025 AR p108 "Six years at a glance"</x:v>
      </x:c>
      <x:c r="K165" s="162" t="str">
        <x:v>Agrees (same convention)</x:v>
      </x:c>
      <x:c r="L165" s="162" t="str">
        <x:v>Source comparison</x:v>
      </x:c>
      <x:c r="M165" s="157" t="n">
        <x:f>IF(ISNUMBER(E165),E165-D165,"n/m")</x:f>
        <x:v>0.000014745768384880065</x:v>
      </x:c>
      <x:c r="N165" s="157" t="n">
        <x:f>IF(ISNUMBER(F165),F165-D165,"n/m")</x:f>
        <x:v>0.000014745768384880065</x:v>
      </x:c>
      <x:c r="O165" s="157" t="n">
        <x:v>4</x:v>
      </x:c>
    </x:row>
    <x:row r="166" ht="112" hidden="0" customHeight="1">
      <x:c r="A166" s="75" t="str">
        <x:v>DGKC</x:v>
      </x:c>
      <x:c r="B166" s="75" t="str">
        <x:v>Return on equity (average)</x:v>
      </x:c>
      <x:c r="C166" s="75" t="str">
        <x:v>FY2022</x:v>
      </x:c>
      <x:c r="D166" s="160" t="n">
        <x:v>0.0415</x:v>
      </x:c>
      <x:c r="E166" s="160" t="n">
        <x:f>DGKC!E165</x:f>
        <x:v>0.041453492679972344</x:v>
      </x:c>
      <x:c r="F166" s="160" t="n">
        <x:f>DGKC!E99/AVERAGE(DGKC!D41,DGKC!E41)</x:f>
        <x:v>0.041453492679972344</x:v>
      </x:c>
      <x:c r="G166" s="163" t="str">
        <x:v>PAT / average equity</x:v>
      </x:c>
      <x:c r="H166" s="163" t="str">
        <x:f>IF(AND(ISNUMBER(D166),ISNUMBER(F166)),IF(ROUND(D166,O166)=ROUND(F166,O166),"Reproduced to precision","Unresolved published value"),"Not comparable")</x:f>
        <x:v>Reproduced to precision</x:v>
      </x:c>
      <x:c r="I166" s="163" t="str">
        <x:v>Tested the source-based convention shown in G against official published precision. Unmatched values remain unresolved; neither the standardized method nor the financial inputs were altered to force agreement.</x:v>
      </x:c>
      <x:c r="J166" s="163" t="str">
        <x:v>FY2025 AR p108 "Six years at a glance"</x:v>
      </x:c>
      <x:c r="K166" s="163" t="str">
        <x:v>Agrees (same convention)</x:v>
      </x:c>
      <x:c r="L166" s="163" t="str">
        <x:v>Source comparison</x:v>
      </x:c>
      <x:c r="M166" s="75" t="n">
        <x:f>IF(ISNUMBER(E166),E166-D166,"n/m")</x:f>
        <x:v>-0.00004650732002765834</x:v>
      </x:c>
      <x:c r="N166" s="75" t="n">
        <x:f>IF(ISNUMBER(F166),F166-D166,"n/m")</x:f>
        <x:v>-0.00004650732002765834</x:v>
      </x:c>
      <x:c r="O166" s="75" t="n">
        <x:v>4</x:v>
      </x:c>
    </x:row>
    <x:row r="167" ht="112" hidden="0" customHeight="1">
      <x:c r="A167" s="157" t="str">
        <x:v>DGKC</x:v>
      </x:c>
      <x:c r="B167" s="157" t="str">
        <x:v>Return on equity (average)</x:v>
      </x:c>
      <x:c r="C167" s="157" t="str">
        <x:v>FY2023</x:v>
      </x:c>
      <x:c r="D167" s="161" t="n">
        <x:v>-0.0542</x:v>
      </x:c>
      <x:c r="E167" s="161" t="str">
        <x:f>DGKC!F165</x:f>
        <x:v>n/m</x:v>
      </x:c>
      <x:c r="F167" s="161" t="n">
        <x:f>DGKC!F99/AVERAGE(DGKC!E41,DGKC!F41)</x:f>
        <x:v>-0.05422363320589824</x:v>
      </x:c>
      <x:c r="G167" s="162" t="str">
        <x:v>PAT / average equity</x:v>
      </x:c>
      <x:c r="H167" s="162" t="str">
        <x:f>IF(AND(ISNUMBER(D167),ISNUMBER(F167)),IF(ROUND(D167,O167)=ROUND(F167,O167),"Reproduced to precision","Unresolved published value"),"Not comparable")</x:f>
        <x:v>Reproduced to precision</x:v>
      </x:c>
      <x:c r="I167" s="162" t="str">
        <x:v>Tested the source-based convention shown in G against official published precision. Unmatched values remain unresolved; neither the standardized method nor the financial inputs were altered to force agreement.</x:v>
      </x:c>
      <x:c r="J167" s="162" t="str">
        <x:v>FY2025 AR p108 "Six years at a glance"</x:v>
      </x:c>
      <x:c r="K167" s="162" t="str">
        <x:v>Agrees (same convention)</x:v>
      </x:c>
      <x:c r="L167" s="162" t="str">
        <x:v>Source comparison</x:v>
      </x:c>
      <x:c r="M167" s="157" t="str">
        <x:f>IF(ISNUMBER(E167),E167-D167,"n/m")</x:f>
        <x:v>n/m</x:v>
      </x:c>
      <x:c r="N167" s="157" t="n">
        <x:f>IF(ISNUMBER(F167),F167-D167,"n/m")</x:f>
        <x:v>-0.00002363320589824497</x:v>
      </x:c>
      <x:c r="O167" s="157" t="n">
        <x:v>4</x:v>
      </x:c>
    </x:row>
    <x:row r="168" ht="112" hidden="0" customHeight="1">
      <x:c r="A168" s="75" t="str">
        <x:v>DGKC</x:v>
      </x:c>
      <x:c r="B168" s="75" t="str">
        <x:v>Return on equity (average)</x:v>
      </x:c>
      <x:c r="C168" s="75" t="str">
        <x:v>FY2024</x:v>
      </x:c>
      <x:c r="D168" s="160" t="n">
        <x:v>0.0077</x:v>
      </x:c>
      <x:c r="E168" s="160" t="n">
        <x:f>DGKC!G165</x:f>
        <x:v>0.007746311290114197</x:v>
      </x:c>
      <x:c r="F168" s="160" t="n">
        <x:f>DGKC!G99/AVERAGE(DGKC!F41,DGKC!G41)</x:f>
        <x:v>0.007746311290114197</x:v>
      </x:c>
      <x:c r="G168" s="163" t="str">
        <x:v>PAT / average equity</x:v>
      </x:c>
      <x:c r="H168" s="163" t="str">
        <x:f>IF(AND(ISNUMBER(D168),ISNUMBER(F168)),IF(ROUND(D168,O168)=ROUND(F168,O168),"Reproduced to precision","Unresolved published value"),"Not comparable")</x:f>
        <x:v>Reproduced to precision</x:v>
      </x:c>
      <x:c r="I168" s="163" t="str">
        <x:v>Tested the source-based convention shown in G against official published precision. Unmatched values remain unresolved; neither the standardized method nor the financial inputs were altered to force agreement.</x:v>
      </x:c>
      <x:c r="J168" s="163" t="str">
        <x:v>FY2025 AR p108 "Six years at a glance"</x:v>
      </x:c>
      <x:c r="K168" s="163" t="str">
        <x:v>Agrees (same convention)</x:v>
      </x:c>
      <x:c r="L168" s="163" t="str">
        <x:v>Source comparison</x:v>
      </x:c>
      <x:c r="M168" s="75" t="n">
        <x:f>IF(ISNUMBER(E168),E168-D168,"n/m")</x:f>
        <x:v>0.000046311290114196824</x:v>
      </x:c>
      <x:c r="N168" s="75" t="n">
        <x:f>IF(ISNUMBER(F168),F168-D168,"n/m")</x:f>
        <x:v>0.000046311290114196824</x:v>
      </x:c>
      <x:c r="O168" s="75" t="n">
        <x:v>4</x:v>
      </x:c>
    </x:row>
    <x:row r="169" ht="112" hidden="0" customHeight="1">
      <x:c r="A169" s="157" t="str">
        <x:v>DGKC</x:v>
      </x:c>
      <x:c r="B169" s="157" t="str">
        <x:v>Return on equity (average)</x:v>
      </x:c>
      <x:c r="C169" s="157" t="str">
        <x:v>FY2025</x:v>
      </x:c>
      <x:c r="D169" s="161" t="n">
        <x:v>0.1018</x:v>
      </x:c>
      <x:c r="E169" s="161" t="n">
        <x:f>DGKC!H165</x:f>
        <x:v>0.10175126160150023</x:v>
      </x:c>
      <x:c r="F169" s="161" t="n">
        <x:f>DGKC!H99/AVERAGE(DGKC!G41,DGKC!H41)</x:f>
        <x:v>0.10175126160150023</x:v>
      </x:c>
      <x:c r="G169" s="162" t="str">
        <x:v>PAT / average equity</x:v>
      </x:c>
      <x:c r="H169" s="162" t="str">
        <x:f>IF(AND(ISNUMBER(D169),ISNUMBER(F169)),IF(ROUND(D169,O169)=ROUND(F169,O169),"Reproduced to precision","Unresolved published value"),"Not comparable")</x:f>
        <x:v>Reproduced to precision</x:v>
      </x:c>
      <x:c r="I169" s="162" t="str">
        <x:v>Tested the source-based convention shown in G against official published precision. Unmatched values remain unresolved; neither the standardized method nor the financial inputs were altered to force agreement.</x:v>
      </x:c>
      <x:c r="J169" s="162" t="str">
        <x:v>FY2025 AR p108 "Six years at a glance"</x:v>
      </x:c>
      <x:c r="K169" s="162" t="str">
        <x:v>Agrees (same convention)</x:v>
      </x:c>
      <x:c r="L169" s="162" t="str">
        <x:v>Source comparison</x:v>
      </x:c>
      <x:c r="M169" s="157" t="n">
        <x:f>IF(ISNUMBER(E169),E169-D169,"n/m")</x:f>
        <x:v>-0.000048738398499767466</x:v>
      </x:c>
      <x:c r="N169" s="157" t="n">
        <x:f>IF(ISNUMBER(F169),F169-D169,"n/m")</x:f>
        <x:v>-0.000048738398499767466</x:v>
      </x:c>
      <x:c r="O169" s="157" t="n">
        <x:v>4</x:v>
      </x:c>
    </x:row>
    <x:row r="170" ht="112" hidden="0" customHeight="1">
      <x:c r="A170" s="75" t="str">
        <x:v>DGKC</x:v>
      </x:c>
      <x:c r="B170" s="75" t="str">
        <x:v>Price earnings ratio</x:v>
      </x:c>
      <x:c r="C170" s="75" t="str">
        <x:v>FY2021</x:v>
      </x:c>
      <x:c r="D170" s="159" t="n">
        <x:v>13.88</x:v>
      </x:c>
      <x:c r="E170" s="159" t="n">
        <x:f>DGKC!D172</x:f>
        <x:v>13.883154069739035</x:v>
      </x:c>
      <x:c r="F170" s="159" t="n">
        <x:f>'PSX Prices'!F16/(DGKC!D99/'PSX Prices'!O16)</x:f>
        <x:v>13.883154069739035</x:v>
      </x:c>
      <x:c r="G170" s="163" t="str">
        <x:v>Report price / unrounded report-basis EPS</x:v>
      </x:c>
      <x:c r="H170" s="163" t="str">
        <x:f>IF(AND(ISNUMBER(D170),ISNUMBER(F170)),IF(ROUND(D170,O170)=ROUND(F170,O170),"Reproduced to precision","Unresolved published value"),"Not comparable")</x:f>
        <x:v>Reproduced to precision</x:v>
      </x:c>
      <x:c r="I170" s="163" t="str">
        <x:v>Tested the source-based convention shown in G against official published precision. Unmatched values remain unresolved; neither the standardized method nor the financial inputs were altered to force agreement.</x:v>
      </x:c>
      <x:c r="J170" s="163" t="str">
        <x:v>FY2025 AR p108 "Six years at a glance"</x:v>
      </x:c>
      <x:c r="K170" s="163" t="str">
        <x:v>Market recheck</x:v>
      </x:c>
      <x:c r="L170" s="163" t="str">
        <x:v>Source comparison</x:v>
      </x:c>
      <x:c r="M170" s="75" t="n">
        <x:f>IF(ISNUMBER(E170),E170-D170,"n/m")</x:f>
        <x:v>0.0031540697390344263</x:v>
      </x:c>
      <x:c r="N170" s="75" t="n">
        <x:f>IF(ISNUMBER(F170),F170-D170,"n/m")</x:f>
        <x:v>0.0031540697390344263</x:v>
      </x:c>
      <x:c r="O170" s="75" t="n">
        <x:v>2</x:v>
      </x:c>
    </x:row>
    <x:row r="171" ht="112" hidden="0" customHeight="1">
      <x:c r="A171" s="157" t="str">
        <x:v>DGKC</x:v>
      </x:c>
      <x:c r="B171" s="157" t="str">
        <x:v>Price earnings ratio</x:v>
      </x:c>
      <x:c r="C171" s="157" t="str">
        <x:v>FY2022</x:v>
      </x:c>
      <x:c r="D171" s="158" t="n">
        <x:v>9.21</x:v>
      </x:c>
      <x:c r="E171" s="158" t="n">
        <x:f>DGKC!E172</x:f>
        <x:v>9.213064855464028</x:v>
      </x:c>
      <x:c r="F171" s="158" t="n">
        <x:f>'PSX Prices'!F17/(DGKC!E99/'PSX Prices'!O17)</x:f>
        <x:v>9.213064855464028</x:v>
      </x:c>
      <x:c r="G171" s="162" t="str">
        <x:v>Report price / unrounded report-basis EPS</x:v>
      </x:c>
      <x:c r="H171" s="162" t="str">
        <x:f>IF(AND(ISNUMBER(D171),ISNUMBER(F171)),IF(ROUND(D171,O171)=ROUND(F171,O171),"Reproduced to precision","Unresolved published value"),"Not comparable")</x:f>
        <x:v>Reproduced to precision</x:v>
      </x:c>
      <x:c r="I171" s="162" t="str">
        <x:v>Tested the source-based convention shown in G against official published precision. Unmatched values remain unresolved; neither the standardized method nor the financial inputs were altered to force agreement.</x:v>
      </x:c>
      <x:c r="J171" s="162" t="str">
        <x:v>FY2025 AR p108 "Six years at a glance"</x:v>
      </x:c>
      <x:c r="K171" s="162" t="str">
        <x:v>Market recheck</x:v>
      </x:c>
      <x:c r="L171" s="162" t="str">
        <x:v>Source comparison</x:v>
      </x:c>
      <x:c r="M171" s="157" t="n">
        <x:f>IF(ISNUMBER(E171),E171-D171,"n/m")</x:f>
        <x:v>0.0030648554640269055</x:v>
      </x:c>
      <x:c r="N171" s="157" t="n">
        <x:f>IF(ISNUMBER(F171),F171-D171,"n/m")</x:f>
        <x:v>0.0030648554640269055</x:v>
      </x:c>
      <x:c r="O171" s="157" t="n">
        <x:v>2</x:v>
      </x:c>
    </x:row>
    <x:row r="172" ht="112" hidden="0" customHeight="1">
      <x:c r="A172" s="75" t="str">
        <x:v>DGKC</x:v>
      </x:c>
      <x:c r="B172" s="75" t="str">
        <x:v>Price earnings ratio</x:v>
      </x:c>
      <x:c r="C172" s="75" t="str">
        <x:v>FY2023</x:v>
      </x:c>
      <x:c r="D172" s="159" t="n">
        <x:v>-6.18</x:v>
      </x:c>
      <x:c r="E172" s="159" t="str">
        <x:f>DGKC!F172</x:f>
        <x:v>n/m</x:v>
      </x:c>
      <x:c r="F172" s="159" t="n">
        <x:f>'PSX Prices'!F18/(DGKC!F99/'PSX Prices'!O18)</x:f>
        <x:v>-6.181424397025723</x:v>
      </x:c>
      <x:c r="G172" s="163" t="str">
        <x:v>Report price / unrounded report-basis EPS</x:v>
      </x:c>
      <x:c r="H172" s="163" t="str">
        <x:f>IF(AND(ISNUMBER(D172),ISNUMBER(F172)),IF(ROUND(D172,O172)=ROUND(F172,O172),"Reproduced to precision","Unresolved published value"),"Not comparable")</x:f>
        <x:v>Reproduced to precision</x:v>
      </x:c>
      <x:c r="I172" s="163" t="str">
        <x:v>Tested the source-based convention shown in G against official published precision. Unmatched values remain unresolved; neither the standardized method nor the financial inputs were altered to force agreement.</x:v>
      </x:c>
      <x:c r="J172" s="163" t="str">
        <x:v>FY2025 AR p108 "Six years at a glance"</x:v>
      </x:c>
      <x:c r="K172" s="163" t="str">
        <x:v>Market recheck</x:v>
      </x:c>
      <x:c r="L172" s="163" t="str">
        <x:v>Source comparison</x:v>
      </x:c>
      <x:c r="M172" s="75" t="str">
        <x:f>IF(ISNUMBER(E172),E172-D172,"n/m")</x:f>
        <x:v>n/m</x:v>
      </x:c>
      <x:c r="N172" s="75" t="n">
        <x:f>IF(ISNUMBER(F172),F172-D172,"n/m")</x:f>
        <x:v>-0.0014243970257235006</x:v>
      </x:c>
      <x:c r="O172" s="75" t="n">
        <x:v>2</x:v>
      </x:c>
    </x:row>
    <x:row r="173" ht="112" hidden="0" customHeight="1">
      <x:c r="A173" s="157" t="str">
        <x:v>DGKC</x:v>
      </x:c>
      <x:c r="B173" s="157" t="str">
        <x:v>Price earnings ratio</x:v>
      </x:c>
      <x:c r="C173" s="157" t="str">
        <x:v>FY2024</x:v>
      </x:c>
      <x:c r="D173" s="158" t="n">
        <x:v>72.92</x:v>
      </x:c>
      <x:c r="E173" s="158" t="n">
        <x:f>DGKC!G172</x:f>
        <x:v>72.91538429829842</x:v>
      </x:c>
      <x:c r="F173" s="158" t="n">
        <x:f>'PSX Prices'!F19/(DGKC!G99/'PSX Prices'!O19)</x:f>
        <x:v>72.91538429829842</x:v>
      </x:c>
      <x:c r="G173" s="162" t="str">
        <x:v>Report price / unrounded report-basis EPS</x:v>
      </x:c>
      <x:c r="H173" s="162" t="str">
        <x:f>IF(AND(ISNUMBER(D173),ISNUMBER(F173)),IF(ROUND(D173,O173)=ROUND(F173,O173),"Reproduced to precision","Unresolved published value"),"Not comparable")</x:f>
        <x:v>Reproduced to precision</x:v>
      </x:c>
      <x:c r="I173" s="162" t="str">
        <x:v>Tested the source-based convention shown in G against official published precision. Unmatched values remain unresolved; neither the standardized method nor the financial inputs were altered to force agreement.</x:v>
      </x:c>
      <x:c r="J173" s="162" t="str">
        <x:v>FY2025 AR p108 "Six years at a glance"</x:v>
      </x:c>
      <x:c r="K173" s="162" t="str">
        <x:v>Market recheck</x:v>
      </x:c>
      <x:c r="L173" s="162" t="str">
        <x:v>Source comparison</x:v>
      </x:c>
      <x:c r="M173" s="157" t="n">
        <x:f>IF(ISNUMBER(E173),E173-D173,"n/m")</x:f>
        <x:v>-0.004615701701581543</x:v>
      </x:c>
      <x:c r="N173" s="157" t="n">
        <x:f>IF(ISNUMBER(F173),F173-D173,"n/m")</x:f>
        <x:v>-0.004615701701581543</x:v>
      </x:c>
      <x:c r="O173" s="157" t="n">
        <x:v>2</x:v>
      </x:c>
    </x:row>
    <x:row r="174" ht="112" hidden="0" customHeight="1">
      <x:c r="A174" s="75" t="str">
        <x:v>DGKC</x:v>
      </x:c>
      <x:c r="B174" s="75" t="str">
        <x:v>Price earnings ratio</x:v>
      </x:c>
      <x:c r="C174" s="75" t="str">
        <x:v>FY2025</x:v>
      </x:c>
      <x:c r="D174" s="159" t="n">
        <x:v>8.36</x:v>
      </x:c>
      <x:c r="E174" s="159" t="n">
        <x:f>DGKC!H172</x:f>
        <x:v>8.361326554214791</x:v>
      </x:c>
      <x:c r="F174" s="159" t="n">
        <x:f>'PSX Prices'!F20/(DGKC!H99/'PSX Prices'!O20)</x:f>
        <x:v>8.361326554214791</x:v>
      </x:c>
      <x:c r="G174" s="163" t="str">
        <x:v>Report price / unrounded report-basis EPS</x:v>
      </x:c>
      <x:c r="H174" s="163" t="str">
        <x:f>IF(AND(ISNUMBER(D174),ISNUMBER(F174)),IF(ROUND(D174,O174)=ROUND(F174,O174),"Reproduced to precision","Unresolved published value"),"Not comparable")</x:f>
        <x:v>Reproduced to precision</x:v>
      </x:c>
      <x:c r="I174" s="163" t="str">
        <x:v>Tested the source-based convention shown in G against official published precision. Unmatched values remain unresolved; neither the standardized method nor the financial inputs were altered to force agreement.</x:v>
      </x:c>
      <x:c r="J174" s="163" t="str">
        <x:v>FY2025 AR p108 "Six years at a glance"</x:v>
      </x:c>
      <x:c r="K174" s="163" t="str">
        <x:v>Market recheck</x:v>
      </x:c>
      <x:c r="L174" s="163" t="str">
        <x:v>Source comparison</x:v>
      </x:c>
      <x:c r="M174" s="75" t="n">
        <x:f>IF(ISNUMBER(E174),E174-D174,"n/m")</x:f>
        <x:v>0.0013265542147919973</x:v>
      </x:c>
      <x:c r="N174" s="75" t="n">
        <x:f>IF(ISNUMBER(F174),F174-D174,"n/m")</x:f>
        <x:v>0.0013265542147919973</x:v>
      </x:c>
      <x:c r="O174" s="75" t="n">
        <x:v>2</x:v>
      </x:c>
    </x:row>
    <x:row r="175" ht="112" hidden="0" customHeight="1">
      <x:c r="A175" s="157" t="str">
        <x:v>DGKC</x:v>
      </x:c>
      <x:c r="B175" s="157" t="str">
        <x:v>Dividend yield</x:v>
      </x:c>
      <x:c r="C175" s="157" t="str">
        <x:v>FY2021</x:v>
      </x:c>
      <x:c r="D175" s="161" t="n">
        <x:v>0.0085</x:v>
      </x:c>
      <x:c r="E175" s="161" t="n">
        <x:f>DGKC!D173</x:f>
        <x:v>0.008480325644504749</x:v>
      </x:c>
      <x:c r="F175" s="161" t="n">
        <x:f>'PSX Prices'!N16/'PSX Prices'!F16</x:f>
        <x:v>0.008480325644504749</x:v>
      </x:c>
      <x:c r="G175" s="162" t="str">
        <x:v>Report DPS / report price</x:v>
      </x:c>
      <x:c r="H175" s="162" t="str">
        <x:f>IF(AND(ISNUMBER(D175),ISNUMBER(F175)),IF(ROUND(D175,O175)=ROUND(F175,O175),"Reproduced to precision","Unresolved published value"),"Not comparable")</x:f>
        <x:v>Reproduced to precision</x:v>
      </x:c>
      <x:c r="I175" s="162" t="str">
        <x:v>Tested the source-based convention shown in G against official published precision. Unmatched values remain unresolved; neither the standardized method nor the financial inputs were altered to force agreement.</x:v>
      </x:c>
      <x:c r="J175" s="162" t="str">
        <x:v>FY2025 AR p108 "Six years at a glance"</x:v>
      </x:c>
      <x:c r="K175" s="162" t="str">
        <x:v>Market recheck</x:v>
      </x:c>
      <x:c r="L175" s="162" t="str">
        <x:v>Source comparison</x:v>
      </x:c>
      <x:c r="M175" s="157" t="n">
        <x:f>IF(ISNUMBER(E175),E175-D175,"n/m")</x:f>
        <x:v>-0.000019674355495252066</x:v>
      </x:c>
      <x:c r="N175" s="157" t="n">
        <x:f>IF(ISNUMBER(F175),F175-D175,"n/m")</x:f>
        <x:v>-0.000019674355495252066</x:v>
      </x:c>
      <x:c r="O175" s="157" t="n">
        <x:v>4</x:v>
      </x:c>
    </x:row>
    <x:row r="176" ht="112" hidden="0" customHeight="1">
      <x:c r="A176" s="75" t="str">
        <x:v>DGKC</x:v>
      </x:c>
      <x:c r="B176" s="75" t="str">
        <x:v>Dividend yield</x:v>
      </x:c>
      <x:c r="C176" s="75" t="str">
        <x:v>FY2022</x:v>
      </x:c>
      <x:c r="D176" s="160" t="n">
        <x:v>0.016</x:v>
      </x:c>
      <x:c r="E176" s="160" t="n">
        <x:f>DGKC!E173</x:f>
        <x:v>0.016</x:v>
      </x:c>
      <x:c r="F176" s="160" t="n">
        <x:f>'PSX Prices'!N17/'PSX Prices'!F17</x:f>
        <x:v>0.016</x:v>
      </x:c>
      <x:c r="G176" s="163" t="str">
        <x:v>Report DPS / report price</x:v>
      </x:c>
      <x:c r="H176" s="163" t="str">
        <x:f>IF(AND(ISNUMBER(D176),ISNUMBER(F176)),IF(ROUND(D176,O176)=ROUND(F176,O176),"Reproduced to precision","Unresolved published value"),"Not comparable")</x:f>
        <x:v>Reproduced to precision</x:v>
      </x:c>
      <x:c r="I176" s="163" t="str">
        <x:v>Tested the source-based convention shown in G against official published precision. Unmatched values remain unresolved; neither the standardized method nor the financial inputs were altered to force agreement.</x:v>
      </x:c>
      <x:c r="J176" s="163" t="str">
        <x:v>FY2025 AR p108 "Six years at a glance"</x:v>
      </x:c>
      <x:c r="K176" s="163" t="str">
        <x:v>Market recheck</x:v>
      </x:c>
      <x:c r="L176" s="163" t="str">
        <x:v>Source comparison</x:v>
      </x:c>
      <x:c r="M176" s="75" t="n">
        <x:f>IF(ISNUMBER(E176),E176-D176,"n/m")</x:f>
        <x:v>0</x:v>
      </x:c>
      <x:c r="N176" s="75" t="n">
        <x:f>IF(ISNUMBER(F176),F176-D176,"n/m")</x:f>
        <x:v>0</x:v>
      </x:c>
      <x:c r="O176" s="75" t="n">
        <x:v>4</x:v>
      </x:c>
    </x:row>
    <x:row r="177" ht="112" hidden="0" customHeight="1">
      <x:c r="A177" s="157" t="str">
        <x:v>DGKC</x:v>
      </x:c>
      <x:c r="B177" s="157" t="str">
        <x:v>Dividend yield</x:v>
      </x:c>
      <x:c r="C177" s="157" t="str">
        <x:v>FY2023</x:v>
      </x:c>
      <x:c r="D177" s="161" t="n">
        <x:v>0</x:v>
      </x:c>
      <x:c r="E177" s="161" t="n">
        <x:f>DGKC!F173</x:f>
        <x:v>0</x:v>
      </x:c>
      <x:c r="F177" s="161" t="n">
        <x:f>'PSX Prices'!N18/'PSX Prices'!F18</x:f>
        <x:v>0</x:v>
      </x:c>
      <x:c r="G177" s="162" t="str">
        <x:v>Report DPS / report price</x:v>
      </x:c>
      <x:c r="H177" s="162" t="str">
        <x:f>IF(AND(ISNUMBER(D177),ISNUMBER(F177)),IF(ROUND(D177,O177)=ROUND(F177,O177),"Reproduced to precision","Unresolved published value"),"Not comparable")</x:f>
        <x:v>Reproduced to precision</x:v>
      </x:c>
      <x:c r="I177" s="162" t="str">
        <x:v>Tested the source-based convention shown in G against official published precision. Unmatched values remain unresolved; neither the standardized method nor the financial inputs were altered to force agreement.</x:v>
      </x:c>
      <x:c r="J177" s="162" t="str">
        <x:v>FY2025 AR p108 "Six years at a glance"</x:v>
      </x:c>
      <x:c r="K177" s="162" t="str">
        <x:v>Market recheck</x:v>
      </x:c>
      <x:c r="L177" s="162" t="str">
        <x:v>Source comparison</x:v>
      </x:c>
      <x:c r="M177" s="157" t="n">
        <x:f>IF(ISNUMBER(E177),E177-D177,"n/m")</x:f>
        <x:v>0</x:v>
      </x:c>
      <x:c r="N177" s="157" t="n">
        <x:f>IF(ISNUMBER(F177),F177-D177,"n/m")</x:f>
        <x:v>0</x:v>
      </x:c>
      <x:c r="O177" s="157" t="n">
        <x:v>4</x:v>
      </x:c>
    </x:row>
    <x:row r="178" ht="112" hidden="0" customHeight="1">
      <x:c r="A178" s="75" t="str">
        <x:v>DGKC</x:v>
      </x:c>
      <x:c r="B178" s="75" t="str">
        <x:v>Dividend yield</x:v>
      </x:c>
      <x:c r="C178" s="75" t="str">
        <x:v>FY2024</x:v>
      </x:c>
      <x:c r="D178" s="160" t="n">
        <x:v>0</x:v>
      </x:c>
      <x:c r="E178" s="160" t="n">
        <x:f>DGKC!G173</x:f>
        <x:v>0</x:v>
      </x:c>
      <x:c r="F178" s="160" t="n">
        <x:f>'PSX Prices'!N19/'PSX Prices'!F19</x:f>
        <x:v>0</x:v>
      </x:c>
      <x:c r="G178" s="163" t="str">
        <x:v>Report DPS / report price</x:v>
      </x:c>
      <x:c r="H178" s="163" t="str">
        <x:f>IF(AND(ISNUMBER(D178),ISNUMBER(F178)),IF(ROUND(D178,O178)=ROUND(F178,O178),"Reproduced to precision","Unresolved published value"),"Not comparable")</x:f>
        <x:v>Reproduced to precision</x:v>
      </x:c>
      <x:c r="I178" s="163" t="str">
        <x:v>Tested the source-based convention shown in G against official published precision. Unmatched values remain unresolved; neither the standardized method nor the financial inputs were altered to force agreement.</x:v>
      </x:c>
      <x:c r="J178" s="163" t="str">
        <x:v>FY2025 AR p108 "Six years at a glance"</x:v>
      </x:c>
      <x:c r="K178" s="163" t="str">
        <x:v>Market recheck</x:v>
      </x:c>
      <x:c r="L178" s="163" t="str">
        <x:v>Source comparison</x:v>
      </x:c>
      <x:c r="M178" s="75" t="n">
        <x:f>IF(ISNUMBER(E178),E178-D178,"n/m")</x:f>
        <x:v>0</x:v>
      </x:c>
      <x:c r="N178" s="75" t="n">
        <x:f>IF(ISNUMBER(F178),F178-D178,"n/m")</x:f>
        <x:v>0</x:v>
      </x:c>
      <x:c r="O178" s="75" t="n">
        <x:v>4</x:v>
      </x:c>
    </x:row>
    <x:row r="179" ht="112" hidden="0" customHeight="1">
      <x:c r="A179" s="157" t="str">
        <x:v>DGKC</x:v>
      </x:c>
      <x:c r="B179" s="157" t="str">
        <x:v>Dividend yield</x:v>
      </x:c>
      <x:c r="C179" s="157" t="str">
        <x:v>FY2025</x:v>
      </x:c>
      <x:c r="D179" s="161" t="n">
        <x:v>0.0121</x:v>
      </x:c>
      <x:c r="E179" s="161" t="n">
        <x:f>DGKC!H173</x:f>
        <x:v>0.012080212611741966</x:v>
      </x:c>
      <x:c r="F179" s="161" t="n">
        <x:f>'PSX Prices'!N20/'PSX Prices'!F20</x:f>
        <x:v>0.012080212611741966</x:v>
      </x:c>
      <x:c r="G179" s="162" t="str">
        <x:v>Report DPS / report price</x:v>
      </x:c>
      <x:c r="H179" s="162" t="str">
        <x:f>IF(AND(ISNUMBER(D179),ISNUMBER(F179)),IF(ROUND(D179,O179)=ROUND(F179,O179),"Reproduced to precision","Unresolved published value"),"Not comparable")</x:f>
        <x:v>Reproduced to precision</x:v>
      </x:c>
      <x:c r="I179" s="162" t="str">
        <x:v>Tested the source-based convention shown in G against official published precision. Unmatched values remain unresolved; neither the standardized method nor the financial inputs were altered to force agreement.</x:v>
      </x:c>
      <x:c r="J179" s="162" t="str">
        <x:v>FY2025 AR p108 "Six years at a glance"</x:v>
      </x:c>
      <x:c r="K179" s="162" t="str">
        <x:v>Market recheck</x:v>
      </x:c>
      <x:c r="L179" s="162" t="str">
        <x:v>Source comparison</x:v>
      </x:c>
      <x:c r="M179" s="157" t="n">
        <x:f>IF(ISNUMBER(E179),E179-D179,"n/m")</x:f>
        <x:v>-0.00001978738825803364</x:v>
      </x:c>
      <x:c r="N179" s="157" t="n">
        <x:f>IF(ISNUMBER(F179),F179-D179,"n/m")</x:f>
        <x:v>-0.00001978738825803364</x:v>
      </x:c>
      <x:c r="O179" s="157" t="n">
        <x:v>4</x:v>
      </x:c>
    </x:row>
    <x:row r="180" ht="112" hidden="0" customHeight="1">
      <x:c r="A180" s="75" t="str">
        <x:v>MLCF</x:v>
      </x:c>
      <x:c r="B180" s="75" t="str">
        <x:v>Current ratio</x:v>
      </x:c>
      <x:c r="C180" s="75" t="str">
        <x:v>FY2021</x:v>
      </x:c>
      <x:c r="D180" s="159" t="n">
        <x:v>1.48</x:v>
      </x:c>
      <x:c r="E180" s="159" t="n">
        <x:f>MLCF!D138</x:f>
        <x:v>1.4780988568182505</x:v>
      </x:c>
      <x:c r="F180" s="159" t="n">
        <x:f>MLCF!D36/MLCF!D61</x:f>
        <x:v>1.4780988568182505</x:v>
      </x:c>
      <x:c r="G180" s="163" t="str">
        <x:v>Standard definition</x:v>
      </x:c>
      <x:c r="H180" s="163" t="str">
        <x:f>IF(AND(ISNUMBER(D180),ISNUMBER(F180)),IF(ROUND(D180,O180)=ROUND(F180,O180),"Reproduced to precision","Unresolved published value"),"Not comparable")</x:f>
        <x:v>Reproduced to precision</x:v>
      </x:c>
      <x:c r="I180" s="163" t="str">
        <x:v>Tested the source-based convention shown in G against official published precision. Unmatched values remain unresolved; neither the standardized method nor the financial inputs were altered to force agreement.</x:v>
      </x:c>
      <x:c r="J180" s="163" t="str">
        <x:v>FY2025 AR p175 "Six years' financial summary / key ratios"</x:v>
      </x:c>
      <x:c r="K180" s="163" t="str">
        <x:v>Agrees (same convention)</x:v>
      </x:c>
      <x:c r="L180" s="163" t="str">
        <x:v>Source comparison</x:v>
      </x:c>
      <x:c r="M180" s="75" t="n">
        <x:f>IF(ISNUMBER(E180),E180-D180,"n/m")</x:f>
        <x:v>-0.0019011431817494984</x:v>
      </x:c>
      <x:c r="N180" s="75" t="n">
        <x:f>IF(ISNUMBER(F180),F180-D180,"n/m")</x:f>
        <x:v>-0.0019011431817494984</x:v>
      </x:c>
      <x:c r="O180" s="75" t="n">
        <x:v>2</x:v>
      </x:c>
    </x:row>
    <x:row r="181" ht="112" hidden="0" customHeight="1">
      <x:c r="A181" s="157" t="str">
        <x:v>MLCF</x:v>
      </x:c>
      <x:c r="B181" s="157" t="str">
        <x:v>Current ratio</x:v>
      </x:c>
      <x:c r="C181" s="157" t="str">
        <x:v>FY2022</x:v>
      </x:c>
      <x:c r="D181" s="158" t="n">
        <x:v>1.25</x:v>
      </x:c>
      <x:c r="E181" s="158" t="n">
        <x:f>MLCF!E138</x:f>
        <x:v>1.2549557408945418</x:v>
      </x:c>
      <x:c r="F181" s="158" t="n">
        <x:f>MLCF!E36/MLCF!E61</x:f>
        <x:v>1.2549557408945418</x:v>
      </x:c>
      <x:c r="G181" s="162" t="str">
        <x:v>Standard definition</x:v>
      </x:c>
      <x:c r="H181" s="162" t="str">
        <x:f>IF(AND(ISNUMBER(D181),ISNUMBER(F181)),IF(ROUND(D181,O181)=ROUND(F181,O181),"Reproduced to precision","Unresolved published value"),"Not comparable")</x:f>
        <x:v>Reproduced to precision</x:v>
      </x:c>
      <x:c r="I181" s="162" t="str">
        <x:v>Tested the source-based convention shown in G against official published precision. Unmatched values remain unresolved; neither the standardized method nor the financial inputs were altered to force agreement.</x:v>
      </x:c>
      <x:c r="J181" s="162" t="str">
        <x:v>FY2025 AR p175 "Six years' financial summary / key ratios"</x:v>
      </x:c>
      <x:c r="K181" s="162" t="str">
        <x:v>Agrees (same convention)</x:v>
      </x:c>
      <x:c r="L181" s="162" t="str">
        <x:v>Source comparison</x:v>
      </x:c>
      <x:c r="M181" s="157" t="n">
        <x:f>IF(ISNUMBER(E181),E181-D181,"n/m")</x:f>
        <x:v>0.00495574089454176</x:v>
      </x:c>
      <x:c r="N181" s="157" t="n">
        <x:f>IF(ISNUMBER(F181),F181-D181,"n/m")</x:f>
        <x:v>0.00495574089454176</x:v>
      </x:c>
      <x:c r="O181" s="157" t="n">
        <x:v>2</x:v>
      </x:c>
    </x:row>
    <x:row r="182" ht="112" hidden="0" customHeight="1">
      <x:c r="A182" s="75" t="str">
        <x:v>MLCF</x:v>
      </x:c>
      <x:c r="B182" s="75" t="str">
        <x:v>Current ratio</x:v>
      </x:c>
      <x:c r="C182" s="75" t="str">
        <x:v>FY2023</x:v>
      </x:c>
      <x:c r="D182" s="159" t="n">
        <x:v>1.37</x:v>
      </x:c>
      <x:c r="E182" s="159" t="n">
        <x:f>MLCF!F138</x:f>
        <x:v>1.3715472215546312</x:v>
      </x:c>
      <x:c r="F182" s="159" t="n">
        <x:f>MLCF!F36/MLCF!F61</x:f>
        <x:v>1.3715472215546312</x:v>
      </x:c>
      <x:c r="G182" s="163" t="str">
        <x:v>Standard definition</x:v>
      </x:c>
      <x:c r="H182" s="163" t="str">
        <x:f>IF(AND(ISNUMBER(D182),ISNUMBER(F182)),IF(ROUND(D182,O182)=ROUND(F182,O182),"Reproduced to precision","Unresolved published value"),"Not comparable")</x:f>
        <x:v>Reproduced to precision</x:v>
      </x:c>
      <x:c r="I182" s="163" t="str">
        <x:v>Tested the source-based convention shown in G against official published precision. Unmatched values remain unresolved; neither the standardized method nor the financial inputs were altered to force agreement.</x:v>
      </x:c>
      <x:c r="J182" s="163" t="str">
        <x:v>FY2025 AR p175 "Six years' financial summary / key ratios"</x:v>
      </x:c>
      <x:c r="K182" s="163" t="str">
        <x:v>Agrees (same convention)</x:v>
      </x:c>
      <x:c r="L182" s="163" t="str">
        <x:v>Source comparison</x:v>
      </x:c>
      <x:c r="M182" s="75" t="n">
        <x:f>IF(ISNUMBER(E182),E182-D182,"n/m")</x:f>
        <x:v>0.0015472215546310508</x:v>
      </x:c>
      <x:c r="N182" s="75" t="n">
        <x:f>IF(ISNUMBER(F182),F182-D182,"n/m")</x:f>
        <x:v>0.0015472215546310508</x:v>
      </x:c>
      <x:c r="O182" s="75" t="n">
        <x:v>2</x:v>
      </x:c>
    </x:row>
    <x:row r="183" ht="112" hidden="0" customHeight="1">
      <x:c r="A183" s="157" t="str">
        <x:v>MLCF</x:v>
      </x:c>
      <x:c r="B183" s="157" t="str">
        <x:v>Current ratio</x:v>
      </x:c>
      <x:c r="C183" s="157" t="str">
        <x:v>FY2024</x:v>
      </x:c>
      <x:c r="D183" s="158" t="n">
        <x:v>1.44</x:v>
      </x:c>
      <x:c r="E183" s="158" t="n">
        <x:f>MLCF!G138</x:f>
        <x:v>1.444678241512437</x:v>
      </x:c>
      <x:c r="F183" s="158" t="n">
        <x:f>MLCF!G36/MLCF!G61</x:f>
        <x:v>1.444678241512437</x:v>
      </x:c>
      <x:c r="G183" s="162" t="str">
        <x:v>Standard definition</x:v>
      </x:c>
      <x:c r="H183" s="162" t="str">
        <x:f>IF(AND(ISNUMBER(D183),ISNUMBER(F183)),IF(ROUND(D183,O183)=ROUND(F183,O183),"Reproduced to precision","Unresolved published value"),"Not comparable")</x:f>
        <x:v>Reproduced to precision</x:v>
      </x:c>
      <x:c r="I183" s="162" t="str">
        <x:v>Tested the source-based convention shown in G against official published precision. Unmatched values remain unresolved; neither the standardized method nor the financial inputs were altered to force agreement.</x:v>
      </x:c>
      <x:c r="J183" s="162" t="str">
        <x:v>FY2025 AR p175 "Six years' financial summary / key ratios"</x:v>
      </x:c>
      <x:c r="K183" s="162" t="str">
        <x:v>Agrees (same convention)</x:v>
      </x:c>
      <x:c r="L183" s="162" t="str">
        <x:v>Source comparison</x:v>
      </x:c>
      <x:c r="M183" s="157" t="n">
        <x:f>IF(ISNUMBER(E183),E183-D183,"n/m")</x:f>
        <x:v>0.00467824151243712</x:v>
      </x:c>
      <x:c r="N183" s="157" t="n">
        <x:f>IF(ISNUMBER(F183),F183-D183,"n/m")</x:f>
        <x:v>0.00467824151243712</x:v>
      </x:c>
      <x:c r="O183" s="157" t="n">
        <x:v>2</x:v>
      </x:c>
    </x:row>
    <x:row r="184" ht="112" hidden="0" customHeight="1">
      <x:c r="A184" s="75" t="str">
        <x:v>MLCF</x:v>
      </x:c>
      <x:c r="B184" s="75" t="str">
        <x:v>Current ratio</x:v>
      </x:c>
      <x:c r="C184" s="75" t="str">
        <x:v>FY2025</x:v>
      </x:c>
      <x:c r="D184" s="159" t="n">
        <x:v>1.53</x:v>
      </x:c>
      <x:c r="E184" s="159" t="n">
        <x:f>MLCF!H138</x:f>
        <x:v>1.5324411303645513</x:v>
      </x:c>
      <x:c r="F184" s="159" t="n">
        <x:f>MLCF!H36/MLCF!H61</x:f>
        <x:v>1.5324411303645513</x:v>
      </x:c>
      <x:c r="G184" s="163" t="str">
        <x:v>Standard definition</x:v>
      </x:c>
      <x:c r="H184" s="163" t="str">
        <x:f>IF(AND(ISNUMBER(D184),ISNUMBER(F184)),IF(ROUND(D184,O184)=ROUND(F184,O184),"Reproduced to precision","Unresolved published value"),"Not comparable")</x:f>
        <x:v>Reproduced to precision</x:v>
      </x:c>
      <x:c r="I184" s="163" t="str">
        <x:v>Tested the source-based convention shown in G against official published precision. Unmatched values remain unresolved; neither the standardized method nor the financial inputs were altered to force agreement.</x:v>
      </x:c>
      <x:c r="J184" s="163" t="str">
        <x:v>FY2025 AR p175 "Six years' financial summary / key ratios"</x:v>
      </x:c>
      <x:c r="K184" s="163" t="str">
        <x:v>Agrees (same convention)</x:v>
      </x:c>
      <x:c r="L184" s="163" t="str">
        <x:v>Source comparison</x:v>
      </x:c>
      <x:c r="M184" s="75" t="n">
        <x:f>IF(ISNUMBER(E184),E184-D184,"n/m")</x:f>
        <x:v>0.0024411303645512916</x:v>
      </x:c>
      <x:c r="N184" s="75" t="n">
        <x:f>IF(ISNUMBER(F184),F184-D184,"n/m")</x:f>
        <x:v>0.0024411303645512916</x:v>
      </x:c>
      <x:c r="O184" s="75" t="n">
        <x:v>2</x:v>
      </x:c>
    </x:row>
    <x:row r="185" ht="112" hidden="0" customHeight="1">
      <x:c r="A185" s="157" t="str">
        <x:v>MLCF</x:v>
      </x:c>
      <x:c r="B185" s="157" t="str">
        <x:v>Quick / acid test ratio</x:v>
      </x:c>
      <x:c r="C185" s="157" t="str">
        <x:v>FY2021</x:v>
      </x:c>
      <x:c r="D185" s="158" t="n">
        <x:v>0.44</x:v>
      </x:c>
      <x:c r="E185" s="158" t="n">
        <x:f>MLCF!D139</x:f>
        <x:v>0.439716919103873</x:v>
      </x:c>
      <x:c r="F185" s="158" t="n">
        <x:f>(MLCF!D36-MLCF!D65)/MLCF!D61</x:f>
        <x:v>0.439716919103873</x:v>
      </x:c>
      <x:c r="G185" s="162" t="str">
        <x:v>Standard definition</x:v>
      </x:c>
      <x:c r="H185" s="162" t="str">
        <x:f>IF(AND(ISNUMBER(D185),ISNUMBER(F185)),IF(ROUND(D185,O185)=ROUND(F185,O185),"Reproduced to precision","Unresolved published value"),"Not comparable")</x:f>
        <x:v>Reproduced to precision</x:v>
      </x:c>
      <x:c r="I185" s="162" t="str">
        <x:v>Tested the source-based convention shown in G against official published precision. Unmatched values remain unresolved; neither the standardized method nor the financial inputs were altered to force agreement.</x:v>
      </x:c>
      <x:c r="J185" s="162" t="str">
        <x:v>FY2025 AR p175 "Six years' financial summary / key ratios"</x:v>
      </x:c>
      <x:c r="K185" s="162" t="str">
        <x:v>Agrees (same convention)</x:v>
      </x:c>
      <x:c r="L185" s="162" t="str">
        <x:v>Source comparison</x:v>
      </x:c>
      <x:c r="M185" s="157" t="n">
        <x:f>IF(ISNUMBER(E185),E185-D185,"n/m")</x:f>
        <x:v>-0.00028308089612699705</x:v>
      </x:c>
      <x:c r="N185" s="157" t="n">
        <x:f>IF(ISNUMBER(F185),F185-D185,"n/m")</x:f>
        <x:v>-0.00028308089612699705</x:v>
      </x:c>
      <x:c r="O185" s="157" t="n">
        <x:v>2</x:v>
      </x:c>
    </x:row>
    <x:row r="186" ht="112" hidden="0" customHeight="1">
      <x:c r="A186" s="75" t="str">
        <x:v>MLCF</x:v>
      </x:c>
      <x:c r="B186" s="75" t="str">
        <x:v>Quick / acid test ratio</x:v>
      </x:c>
      <x:c r="C186" s="75" t="str">
        <x:v>FY2022</x:v>
      </x:c>
      <x:c r="D186" s="159" t="n">
        <x:v>0.29</x:v>
      </x:c>
      <x:c r="E186" s="159" t="n">
        <x:f>MLCF!E139</x:f>
        <x:v>0.29473524106223353</x:v>
      </x:c>
      <x:c r="F186" s="159" t="n">
        <x:f>(MLCF!E36-MLCF!E65)/MLCF!E61</x:f>
        <x:v>0.29473524106223353</x:v>
      </x:c>
      <x:c r="G186" s="163" t="str">
        <x:v>Standard definition</x:v>
      </x:c>
      <x:c r="H186" s="163" t="str">
        <x:f>IF(AND(ISNUMBER(D186),ISNUMBER(F186)),IF(ROUND(D186,O186)=ROUND(F186,O186),"Reproduced to precision","Unresolved published value"),"Not comparable")</x:f>
        <x:v>Reproduced to precision</x:v>
      </x:c>
      <x:c r="I186" s="163" t="str">
        <x:v>Tested the source-based convention shown in G against official published precision. Unmatched values remain unresolved; neither the standardized method nor the financial inputs were altered to force agreement.</x:v>
      </x:c>
      <x:c r="J186" s="163" t="str">
        <x:v>FY2025 AR p175 "Six years' financial summary / key ratios"</x:v>
      </x:c>
      <x:c r="K186" s="163" t="str">
        <x:v>Agrees (same convention)</x:v>
      </x:c>
      <x:c r="L186" s="163" t="str">
        <x:v>Source comparison</x:v>
      </x:c>
      <x:c r="M186" s="75" t="n">
        <x:f>IF(ISNUMBER(E186),E186-D186,"n/m")</x:f>
        <x:v>0.004735241062233553</x:v>
      </x:c>
      <x:c r="N186" s="75" t="n">
        <x:f>IF(ISNUMBER(F186),F186-D186,"n/m")</x:f>
        <x:v>0.004735241062233553</x:v>
      </x:c>
      <x:c r="O186" s="75" t="n">
        <x:v>2</x:v>
      </x:c>
    </x:row>
    <x:row r="187" ht="112" hidden="0" customHeight="1">
      <x:c r="A187" s="157" t="str">
        <x:v>MLCF</x:v>
      </x:c>
      <x:c r="B187" s="157" t="str">
        <x:v>Quick / acid test ratio</x:v>
      </x:c>
      <x:c r="C187" s="157" t="str">
        <x:v>FY2023</x:v>
      </x:c>
      <x:c r="D187" s="158" t="n">
        <x:v>0.52</x:v>
      </x:c>
      <x:c r="E187" s="158" t="n">
        <x:f>MLCF!F139</x:f>
        <x:v>0.5204561252187091</x:v>
      </x:c>
      <x:c r="F187" s="158" t="n">
        <x:f>(MLCF!F36-MLCF!F65)/MLCF!F61</x:f>
        <x:v>0.5204561252187091</x:v>
      </x:c>
      <x:c r="G187" s="162" t="str">
        <x:v>Standard definition</x:v>
      </x:c>
      <x:c r="H187" s="162" t="str">
        <x:f>IF(AND(ISNUMBER(D187),ISNUMBER(F187)),IF(ROUND(D187,O187)=ROUND(F187,O187),"Reproduced to precision","Unresolved published value"),"Not comparable")</x:f>
        <x:v>Reproduced to precision</x:v>
      </x:c>
      <x:c r="I187" s="162" t="str">
        <x:v>Tested the source-based convention shown in G against official published precision. Unmatched values remain unresolved; neither the standardized method nor the financial inputs were altered to force agreement.</x:v>
      </x:c>
      <x:c r="J187" s="162" t="str">
        <x:v>FY2025 AR p175 "Six years' financial summary / key ratios"</x:v>
      </x:c>
      <x:c r="K187" s="162" t="str">
        <x:v>Agrees (same convention)</x:v>
      </x:c>
      <x:c r="L187" s="162" t="str">
        <x:v>Source comparison</x:v>
      </x:c>
      <x:c r="M187" s="157" t="n">
        <x:f>IF(ISNUMBER(E187),E187-D187,"n/m")</x:f>
        <x:v>0.0004561252187090803</x:v>
      </x:c>
      <x:c r="N187" s="157" t="n">
        <x:f>IF(ISNUMBER(F187),F187-D187,"n/m")</x:f>
        <x:v>0.0004561252187090803</x:v>
      </x:c>
      <x:c r="O187" s="157" t="n">
        <x:v>2</x:v>
      </x:c>
    </x:row>
    <x:row r="188" ht="112" hidden="0" customHeight="1">
      <x:c r="A188" s="75" t="str">
        <x:v>MLCF</x:v>
      </x:c>
      <x:c r="B188" s="75" t="str">
        <x:v>Quick / acid test ratio</x:v>
      </x:c>
      <x:c r="C188" s="75" t="str">
        <x:v>FY2024</x:v>
      </x:c>
      <x:c r="D188" s="159" t="n">
        <x:v>0.61</x:v>
      </x:c>
      <x:c r="E188" s="159" t="n">
        <x:f>MLCF!G139</x:f>
        <x:v>0.6094267063846261</x:v>
      </x:c>
      <x:c r="F188" s="159" t="n">
        <x:f>(MLCF!G36-MLCF!G65)/MLCF!G61</x:f>
        <x:v>0.6094267063846261</x:v>
      </x:c>
      <x:c r="G188" s="163" t="str">
        <x:v>Standard definition</x:v>
      </x:c>
      <x:c r="H188" s="163" t="str">
        <x:f>IF(AND(ISNUMBER(D188),ISNUMBER(F188)),IF(ROUND(D188,O188)=ROUND(F188,O188),"Reproduced to precision","Unresolved published value"),"Not comparable")</x:f>
        <x:v>Reproduced to precision</x:v>
      </x:c>
      <x:c r="I188" s="163" t="str">
        <x:v>Tested the source-based convention shown in G against official published precision. Unmatched values remain unresolved; neither the standardized method nor the financial inputs were altered to force agreement.</x:v>
      </x:c>
      <x:c r="J188" s="163" t="str">
        <x:v>FY2025 AR p175 "Six years' financial summary / key ratios"</x:v>
      </x:c>
      <x:c r="K188" s="163" t="str">
        <x:v>Agrees (same convention)</x:v>
      </x:c>
      <x:c r="L188" s="163" t="str">
        <x:v>Source comparison</x:v>
      </x:c>
      <x:c r="M188" s="75" t="n">
        <x:f>IF(ISNUMBER(E188),E188-D188,"n/m")</x:f>
        <x:v>-0.0005732936153738377</x:v>
      </x:c>
      <x:c r="N188" s="75" t="n">
        <x:f>IF(ISNUMBER(F188),F188-D188,"n/m")</x:f>
        <x:v>-0.0005732936153738377</x:v>
      </x:c>
      <x:c r="O188" s="75" t="n">
        <x:v>2</x:v>
      </x:c>
    </x:row>
    <x:row r="189" ht="112" hidden="0" customHeight="1">
      <x:c r="A189" s="157" t="str">
        <x:v>MLCF</x:v>
      </x:c>
      <x:c r="B189" s="157" t="str">
        <x:v>Quick / acid test ratio</x:v>
      </x:c>
      <x:c r="C189" s="157" t="str">
        <x:v>FY2025</x:v>
      </x:c>
      <x:c r="D189" s="158" t="n">
        <x:v>0.81</x:v>
      </x:c>
      <x:c r="E189" s="158" t="n">
        <x:f>MLCF!H139</x:f>
        <x:v>0.8078828259550986</x:v>
      </x:c>
      <x:c r="F189" s="158" t="n">
        <x:f>(MLCF!H36-MLCF!H65)/MLCF!H61</x:f>
        <x:v>0.8078828259550986</x:v>
      </x:c>
      <x:c r="G189" s="162" t="str">
        <x:v>Standard definition</x:v>
      </x:c>
      <x:c r="H189" s="162" t="str">
        <x:f>IF(AND(ISNUMBER(D189),ISNUMBER(F189)),IF(ROUND(D189,O189)=ROUND(F189,O189),"Reproduced to precision","Unresolved published value"),"Not comparable")</x:f>
        <x:v>Reproduced to precision</x:v>
      </x:c>
      <x:c r="I189" s="162" t="str">
        <x:v>Tested the source-based convention shown in G against official published precision. Unmatched values remain unresolved; neither the standardized method nor the financial inputs were altered to force agreement.</x:v>
      </x:c>
      <x:c r="J189" s="162" t="str">
        <x:v>FY2025 AR p175 "Six years' financial summary / key ratios"</x:v>
      </x:c>
      <x:c r="K189" s="162" t="str">
        <x:v>Agrees (same convention)</x:v>
      </x:c>
      <x:c r="L189" s="162" t="str">
        <x:v>Source comparison</x:v>
      </x:c>
      <x:c r="M189" s="157" t="n">
        <x:f>IF(ISNUMBER(E189),E189-D189,"n/m")</x:f>
        <x:v>-0.0021171740449014154</x:v>
      </x:c>
      <x:c r="N189" s="157" t="n">
        <x:f>IF(ISNUMBER(F189),F189-D189,"n/m")</x:f>
        <x:v>-0.0021171740449014154</x:v>
      </x:c>
      <x:c r="O189" s="157" t="n">
        <x:v>2</x:v>
      </x:c>
    </x:row>
    <x:row r="190" ht="112" hidden="0" customHeight="1">
      <x:c r="A190" s="75" t="str">
        <x:v>MLCF</x:v>
      </x:c>
      <x:c r="B190" s="75" t="str">
        <x:v>No. of days in inventory (stock-in-trade)</x:v>
      </x:c>
      <x:c r="C190" s="75" t="str">
        <x:v>FY2021</x:v>
      </x:c>
      <x:c r="D190" s="159" t="n">
        <x:v>25.99</x:v>
      </x:c>
      <x:c r="E190" s="159" t="n">
        <x:f>MLCF!D147</x:f>
        <x:v>143.11726813096334</x:v>
      </x:c>
      <x:c r="F190" s="159" t="n">
        <x:f>365*AVERAGE(MLCF!C31,MLCF!D31)/(-MLCF!D85)</x:f>
        <x:v>25.48921085909543</x:v>
      </x:c>
      <x:c r="G190" s="163" t="str">
        <x:v>365 x average stock-in-trade / COGS</x:v>
      </x:c>
      <x:c r="H190" s="163" t="str">
        <x:f>IF(AND(ISNUMBER(D190),ISNUMBER(F190)),IF(ROUND(D190,O190)=ROUND(F190,O190),"Reproduced to precision","Unresolved published value"),"Not comparable")</x:f>
        <x:v>Unresolved published value</x:v>
      </x:c>
      <x:c r="I190" s="163" t="str">
        <x:v>Tested the source-based convention shown in G against official published precision. Unmatched values remain unresolved; neither the standardized method nor the financial inputs were altered to force agreement.</x:v>
      </x:c>
      <x:c r="J190" s="163" t="str">
        <x:v>FY2025 AR p175 "Six years' financial summary / key ratios"</x:v>
      </x:c>
      <x:c r="K190" s="163" t="str">
        <x:v>Not reproduced</x:v>
      </x:c>
      <x:c r="L190" s="163" t="str">
        <x:v>Official historical-series conflict / definition difference</x:v>
      </x:c>
      <x:c r="M190" s="75" t="n">
        <x:f>IF(ISNUMBER(E190),E190-D190,"n/m")</x:f>
        <x:v>117.12726813096334</x:v>
      </x:c>
      <x:c r="N190" s="75" t="n">
        <x:f>IF(ISNUMBER(F190),F190-D190,"n/m")</x:f>
        <x:v>-0.500789140904569</x:v>
      </x:c>
      <x:c r="O190" s="75" t="n">
        <x:v>2</x:v>
      </x:c>
    </x:row>
    <x:row r="191" ht="112" hidden="0" customHeight="1">
      <x:c r="A191" s="157" t="str">
        <x:v>MLCF</x:v>
      </x:c>
      <x:c r="B191" s="157" t="str">
        <x:v>No. of days in inventory (stock-in-trade)</x:v>
      </x:c>
      <x:c r="C191" s="157" t="str">
        <x:v>FY2022</x:v>
      </x:c>
      <x:c r="D191" s="158" t="n">
        <x:v>24.88</x:v>
      </x:c>
      <x:c r="E191" s="158" t="n">
        <x:f>MLCF!E147</x:f>
        <x:v>138.1590454196257</x:v>
      </x:c>
      <x:c r="F191" s="158" t="n">
        <x:f>365*AVERAGE(MLCF!D31,MLCF!E31)/(-MLCF!E85)</x:f>
        <x:v>24.400050314318257</x:v>
      </x:c>
      <x:c r="G191" s="162" t="str">
        <x:v>365 x average stock-in-trade / COGS</x:v>
      </x:c>
      <x:c r="H191" s="162" t="str">
        <x:f>IF(AND(ISNUMBER(D191),ISNUMBER(F191)),IF(ROUND(D191,O191)=ROUND(F191,O191),"Reproduced to precision","Unresolved published value"),"Not comparable")</x:f>
        <x:v>Unresolved published value</x:v>
      </x:c>
      <x:c r="I191" s="162" t="str">
        <x:v>Tested the source-based convention shown in G against official published precision. Unmatched values remain unresolved; neither the standardized method nor the financial inputs were altered to force agreement.</x:v>
      </x:c>
      <x:c r="J191" s="162" t="str">
        <x:v>FY2025 AR p175 "Six years' financial summary / key ratios"</x:v>
      </x:c>
      <x:c r="K191" s="162" t="str">
        <x:v>Not reproduced</x:v>
      </x:c>
      <x:c r="L191" s="162" t="str">
        <x:v>Official historical-series conflict / definition difference</x:v>
      </x:c>
      <x:c r="M191" s="157" t="n">
        <x:f>IF(ISNUMBER(E191),E191-D191,"n/m")</x:f>
        <x:v>113.2790454196257</x:v>
      </x:c>
      <x:c r="N191" s="157" t="n">
        <x:f>IF(ISNUMBER(F191),F191-D191,"n/m")</x:f>
        <x:v>-0.479949685681742</x:v>
      </x:c>
      <x:c r="O191" s="157" t="n">
        <x:v>2</x:v>
      </x:c>
    </x:row>
    <x:row r="192" ht="112" hidden="0" customHeight="1">
      <x:c r="A192" s="75" t="str">
        <x:v>MLCF</x:v>
      </x:c>
      <x:c r="B192" s="75" t="str">
        <x:v>No. of days in inventory (stock-in-trade)</x:v>
      </x:c>
      <x:c r="C192" s="75" t="str">
        <x:v>FY2023</x:v>
      </x:c>
      <x:c r="D192" s="159" t="n">
        <x:v>27.31</x:v>
      </x:c>
      <x:c r="E192" s="159" t="n">
        <x:f>MLCF!F147</x:f>
        <x:v>122.0064954583065</x:v>
      </x:c>
      <x:c r="F192" s="159" t="n">
        <x:f>365*AVERAGE(MLCF!E31,MLCF!F31)/(-MLCF!F85)</x:f>
        <x:v>27.31239607227987</x:v>
      </x:c>
      <x:c r="G192" s="163" t="str">
        <x:v>365 x average stock-in-trade / COGS</x:v>
      </x:c>
      <x:c r="H192" s="163" t="str">
        <x:f>IF(AND(ISNUMBER(D192),ISNUMBER(F192)),IF(ROUND(D192,O192)=ROUND(F192,O192),"Reproduced to precision","Unresolved published value"),"Not comparable")</x:f>
        <x:v>Reproduced to precision</x:v>
      </x:c>
      <x:c r="I192" s="163" t="str">
        <x:v>Tested the source-based convention shown in G against official published precision. Unmatched values remain unresolved; neither the standardized method nor the financial inputs were altered to force agreement.</x:v>
      </x:c>
      <x:c r="J192" s="163" t="str">
        <x:v>FY2025 AR p175 "Six years' financial summary / key ratios"</x:v>
      </x:c>
      <x:c r="K192" s="163" t="str">
        <x:v>Agrees (same convention)</x:v>
      </x:c>
      <x:c r="L192" s="163" t="str">
        <x:v>Official historical-series conflict / definition difference</x:v>
      </x:c>
      <x:c r="M192" s="75" t="n">
        <x:f>IF(ISNUMBER(E192),E192-D192,"n/m")</x:f>
        <x:v>94.6964954583065</x:v>
      </x:c>
      <x:c r="N192" s="75" t="n">
        <x:f>IF(ISNUMBER(F192),F192-D192,"n/m")</x:f>
        <x:v>0.0023960722798719303</x:v>
      </x:c>
      <x:c r="O192" s="75" t="n">
        <x:v>2</x:v>
      </x:c>
    </x:row>
    <x:row r="193" ht="112" hidden="0" customHeight="1">
      <x:c r="A193" s="157" t="str">
        <x:v>MLCF</x:v>
      </x:c>
      <x:c r="B193" s="157" t="str">
        <x:v>No. of days in inventory (stock-in-trade)</x:v>
      </x:c>
      <x:c r="C193" s="157" t="str">
        <x:v>FY2024</x:v>
      </x:c>
      <x:c r="D193" s="158" t="n">
        <x:v>28.69</x:v>
      </x:c>
      <x:c r="E193" s="158" t="n">
        <x:f>MLCF!G147</x:f>
        <x:v>117.69043264844159</x:v>
      </x:c>
      <x:c r="F193" s="158" t="n">
        <x:f>365*AVERAGE(MLCF!F31,MLCF!G31)/(-MLCF!G85)</x:f>
        <x:v>28.610501757120286</x:v>
      </x:c>
      <x:c r="G193" s="162" t="str">
        <x:v>365 x average stock-in-trade / COGS</x:v>
      </x:c>
      <x:c r="H193" s="162" t="str">
        <x:f>IF(AND(ISNUMBER(D193),ISNUMBER(F193)),IF(ROUND(D193,O193)=ROUND(F193,O193),"Reproduced to precision","Unresolved published value"),"Not comparable")</x:f>
        <x:v>Unresolved published value</x:v>
      </x:c>
      <x:c r="I193" s="162" t="str">
        <x:v>Tested the source-based convention shown in G against official published precision. Unmatched values remain unresolved; neither the standardized method nor the financial inputs were altered to force agreement.</x:v>
      </x:c>
      <x:c r="J193" s="162" t="str">
        <x:v>FY2025 AR p175 "Six years' financial summary / key ratios"</x:v>
      </x:c>
      <x:c r="K193" s="162" t="str">
        <x:v>Not reproduced</x:v>
      </x:c>
      <x:c r="L193" s="162" t="str">
        <x:v>Official historical-series conflict / definition difference</x:v>
      </x:c>
      <x:c r="M193" s="157" t="n">
        <x:f>IF(ISNUMBER(E193),E193-D193,"n/m")</x:f>
        <x:v>89.00043264844159</x:v>
      </x:c>
      <x:c r="N193" s="157" t="n">
        <x:f>IF(ISNUMBER(F193),F193-D193,"n/m")</x:f>
        <x:v>-0.07949824287971552</x:v>
      </x:c>
      <x:c r="O193" s="157" t="n">
        <x:v>2</x:v>
      </x:c>
    </x:row>
    <x:row r="194" ht="112" hidden="0" customHeight="1">
      <x:c r="A194" s="75" t="str">
        <x:v>MLCF</x:v>
      </x:c>
      <x:c r="B194" s="75" t="str">
        <x:v>No. of days in inventory (stock-in-trade)</x:v>
      </x:c>
      <x:c r="C194" s="75" t="str">
        <x:v>FY2025</x:v>
      </x:c>
      <x:c r="D194" s="159" t="n">
        <x:v>31.09</x:v>
      </x:c>
      <x:c r="E194" s="159" t="n">
        <x:f>MLCF!H147</x:f>
        <x:v>130.98525045452405</x:v>
      </x:c>
      <x:c r="F194" s="159" t="n">
        <x:f>365*AVERAGE(MLCF!G31,MLCF!H31)/(-MLCF!H85)</x:f>
        <x:v>31.090758442796346</x:v>
      </x:c>
      <x:c r="G194" s="163" t="str">
        <x:v>365 x average stock-in-trade / COGS</x:v>
      </x:c>
      <x:c r="H194" s="163" t="str">
        <x:f>IF(AND(ISNUMBER(D194),ISNUMBER(F194)),IF(ROUND(D194,O194)=ROUND(F194,O194),"Reproduced to precision","Unresolved published value"),"Not comparable")</x:f>
        <x:v>Reproduced to precision</x:v>
      </x:c>
      <x:c r="I194" s="163" t="str">
        <x:v>Tested the source-based convention shown in G against official published precision. Unmatched values remain unresolved; neither the standardized method nor the financial inputs were altered to force agreement.</x:v>
      </x:c>
      <x:c r="J194" s="163" t="str">
        <x:v>FY2025 AR p175 "Six years' financial summary / key ratios"</x:v>
      </x:c>
      <x:c r="K194" s="163" t="str">
        <x:v>Agrees (same convention)</x:v>
      </x:c>
      <x:c r="L194" s="163" t="str">
        <x:v>Official historical-series conflict / definition difference</x:v>
      </x:c>
      <x:c r="M194" s="75" t="n">
        <x:f>IF(ISNUMBER(E194),E194-D194,"n/m")</x:f>
        <x:v>99.89525045452405</x:v>
      </x:c>
      <x:c r="N194" s="75" t="n">
        <x:f>IF(ISNUMBER(F194),F194-D194,"n/m")</x:f>
        <x:v>0.0007584427963465146</x:v>
      </x:c>
      <x:c r="O194" s="75" t="n">
        <x:v>2</x:v>
      </x:c>
    </x:row>
    <x:row r="195" ht="112" hidden="0" customHeight="1">
      <x:c r="A195" s="157" t="str">
        <x:v>MLCF</x:v>
      </x:c>
      <x:c r="B195" s="157" t="str">
        <x:v>No. of days in receivables</x:v>
      </x:c>
      <x:c r="C195" s="157" t="str">
        <x:v>FY2021</x:v>
      </x:c>
      <x:c r="D195" s="158" t="n">
        <x:v>24.3</x:v>
      </x:c>
      <x:c r="E195" s="158" t="n">
        <x:f>MLCF!D148</x:f>
        <x:v>24.299408826550263</x:v>
      </x:c>
      <x:c r="F195" s="158" t="n">
        <x:f>365*AVERAGE(MLCF!C32,MLCF!D32)/MLCF!D84</x:f>
        <x:v>24.299408826550263</x:v>
      </x:c>
      <x:c r="G195" s="162" t="str">
        <x:v>365 x average trade debts / sales</x:v>
      </x:c>
      <x:c r="H195" s="162" t="str">
        <x:f>IF(AND(ISNUMBER(D195),ISNUMBER(F195)),IF(ROUND(D195,O195)=ROUND(F195,O195),"Reproduced to precision","Unresolved published value"),"Not comparable")</x:f>
        <x:v>Reproduced to precision</x:v>
      </x:c>
      <x:c r="I195" s="162" t="str">
        <x:v>Tested the source-based convention shown in G against official published precision. Unmatched values remain unresolved; neither the standardized method nor the financial inputs were altered to force agreement.</x:v>
      </x:c>
      <x:c r="J195" s="162" t="str">
        <x:v>FY2025 AR p175 "Six years' financial summary / key ratios"</x:v>
      </x:c>
      <x:c r="K195" s="162" t="str">
        <x:v>Agrees (same convention)</x:v>
      </x:c>
      <x:c r="L195" s="162" t="str">
        <x:v>Official historical-series conflict / definition difference</x:v>
      </x:c>
      <x:c r="M195" s="157" t="n">
        <x:f>IF(ISNUMBER(E195),E195-D195,"n/m")</x:f>
        <x:v>-0.000591173449738136</x:v>
      </x:c>
      <x:c r="N195" s="157" t="n">
        <x:f>IF(ISNUMBER(F195),F195-D195,"n/m")</x:f>
        <x:v>-0.000591173449738136</x:v>
      </x:c>
      <x:c r="O195" s="157" t="n">
        <x:v>2</x:v>
      </x:c>
    </x:row>
    <x:row r="196" ht="112" hidden="0" customHeight="1">
      <x:c r="A196" s="75" t="str">
        <x:v>MLCF</x:v>
      </x:c>
      <x:c r="B196" s="75" t="str">
        <x:v>No. of days in receivables</x:v>
      </x:c>
      <x:c r="C196" s="75" t="str">
        <x:v>FY2022</x:v>
      </x:c>
      <x:c r="D196" s="159" t="n">
        <x:v>14.09</x:v>
      </x:c>
      <x:c r="E196" s="159" t="n">
        <x:f>MLCF!E148</x:f>
        <x:v>14.089756717395696</x:v>
      </x:c>
      <x:c r="F196" s="159" t="n">
        <x:f>365*AVERAGE(MLCF!D32,MLCF!E32)/MLCF!E84</x:f>
        <x:v>14.089756717395696</x:v>
      </x:c>
      <x:c r="G196" s="163" t="str">
        <x:v>365 x average trade debts / sales</x:v>
      </x:c>
      <x:c r="H196" s="163" t="str">
        <x:f>IF(AND(ISNUMBER(D196),ISNUMBER(F196)),IF(ROUND(D196,O196)=ROUND(F196,O196),"Reproduced to precision","Unresolved published value"),"Not comparable")</x:f>
        <x:v>Reproduced to precision</x:v>
      </x:c>
      <x:c r="I196" s="163" t="str">
        <x:v>Tested the source-based convention shown in G against official published precision. Unmatched values remain unresolved; neither the standardized method nor the financial inputs were altered to force agreement.</x:v>
      </x:c>
      <x:c r="J196" s="163" t="str">
        <x:v>FY2025 AR p175 "Six years' financial summary / key ratios"</x:v>
      </x:c>
      <x:c r="K196" s="163" t="str">
        <x:v>Agrees (same convention)</x:v>
      </x:c>
      <x:c r="L196" s="163" t="str">
        <x:v>Official historical-series conflict / definition difference</x:v>
      </x:c>
      <x:c r="M196" s="75" t="n">
        <x:f>IF(ISNUMBER(E196),E196-D196,"n/m")</x:f>
        <x:v>-0.0002432826043037295</x:v>
      </x:c>
      <x:c r="N196" s="75" t="n">
        <x:f>IF(ISNUMBER(F196),F196-D196,"n/m")</x:f>
        <x:v>-0.0002432826043037295</x:v>
      </x:c>
      <x:c r="O196" s="75" t="n">
        <x:v>2</x:v>
      </x:c>
    </x:row>
    <x:row r="197" ht="112" hidden="0" customHeight="1">
      <x:c r="A197" s="157" t="str">
        <x:v>MLCF</x:v>
      </x:c>
      <x:c r="B197" s="157" t="str">
        <x:v>No. of days in receivables</x:v>
      </x:c>
      <x:c r="C197" s="157" t="str">
        <x:v>FY2023</x:v>
      </x:c>
      <x:c r="D197" s="158" t="n">
        <x:v>13.72</x:v>
      </x:c>
      <x:c r="E197" s="158" t="n">
        <x:f>MLCF!F148</x:f>
        <x:v>13.72146433573479</x:v>
      </x:c>
      <x:c r="F197" s="158" t="n">
        <x:f>365*AVERAGE(MLCF!E32,MLCF!F32)/MLCF!F84</x:f>
        <x:v>13.72146433573479</x:v>
      </x:c>
      <x:c r="G197" s="162" t="str">
        <x:v>365 x average trade debts / sales</x:v>
      </x:c>
      <x:c r="H197" s="162" t="str">
        <x:f>IF(AND(ISNUMBER(D197),ISNUMBER(F197)),IF(ROUND(D197,O197)=ROUND(F197,O197),"Reproduced to precision","Unresolved published value"),"Not comparable")</x:f>
        <x:v>Reproduced to precision</x:v>
      </x:c>
      <x:c r="I197" s="162" t="str">
        <x:v>Tested the source-based convention shown in G against official published precision. Unmatched values remain unresolved; neither the standardized method nor the financial inputs were altered to force agreement.</x:v>
      </x:c>
      <x:c r="J197" s="162" t="str">
        <x:v>FY2025 AR p175 "Six years' financial summary / key ratios"</x:v>
      </x:c>
      <x:c r="K197" s="162" t="str">
        <x:v>Agrees (same convention)</x:v>
      </x:c>
      <x:c r="L197" s="162" t="str">
        <x:v>Official historical-series conflict / definition difference</x:v>
      </x:c>
      <x:c r="M197" s="157" t="n">
        <x:f>IF(ISNUMBER(E197),E197-D197,"n/m")</x:f>
        <x:v>0.0014643357347896568</x:v>
      </x:c>
      <x:c r="N197" s="157" t="n">
        <x:f>IF(ISNUMBER(F197),F197-D197,"n/m")</x:f>
        <x:v>0.0014643357347896568</x:v>
      </x:c>
      <x:c r="O197" s="157" t="n">
        <x:v>2</x:v>
      </x:c>
    </x:row>
    <x:row r="198" ht="112" hidden="0" customHeight="1">
      <x:c r="A198" s="75" t="str">
        <x:v>MLCF</x:v>
      </x:c>
      <x:c r="B198" s="75" t="str">
        <x:v>No. of days in receivables</x:v>
      </x:c>
      <x:c r="C198" s="75" t="str">
        <x:v>FY2024</x:v>
      </x:c>
      <x:c r="D198" s="159" t="n">
        <x:v>18.7</x:v>
      </x:c>
      <x:c r="E198" s="159" t="n">
        <x:f>MLCF!G148</x:f>
        <x:v>18.646831335440545</x:v>
      </x:c>
      <x:c r="F198" s="159" t="n">
        <x:f>365*AVERAGE(MLCF!F32,MLCF!G32)/MLCF!G84</x:f>
        <x:v>18.646831335440545</x:v>
      </x:c>
      <x:c r="G198" s="163" t="str">
        <x:v>365 x average trade debts / sales</x:v>
      </x:c>
      <x:c r="H198" s="163" t="str">
        <x:f>IF(AND(ISNUMBER(D198),ISNUMBER(F198)),IF(ROUND(D198,O198)=ROUND(F198,O198),"Reproduced to precision","Unresolved published value"),"Not comparable")</x:f>
        <x:v>Unresolved published value</x:v>
      </x:c>
      <x:c r="I198" s="163" t="str">
        <x:v>Tested the source-based convention shown in G against official published precision. Unmatched values remain unresolved; neither the standardized method nor the financial inputs were altered to force agreement.</x:v>
      </x:c>
      <x:c r="J198" s="163" t="str">
        <x:v>FY2025 AR p175 "Six years' financial summary / key ratios"</x:v>
      </x:c>
      <x:c r="K198" s="163" t="str">
        <x:v>Not reproduced</x:v>
      </x:c>
      <x:c r="L198" s="163" t="str">
        <x:v>Official historical-series conflict / definition difference</x:v>
      </x:c>
      <x:c r="M198" s="75" t="n">
        <x:f>IF(ISNUMBER(E198),E198-D198,"n/m")</x:f>
        <x:v>-0.053168664559454015</x:v>
      </x:c>
      <x:c r="N198" s="75" t="n">
        <x:f>IF(ISNUMBER(F198),F198-D198,"n/m")</x:f>
        <x:v>-0.053168664559454015</x:v>
      </x:c>
      <x:c r="O198" s="75" t="n">
        <x:v>2</x:v>
      </x:c>
    </x:row>
    <x:row r="199" ht="112" hidden="0" customHeight="1">
      <x:c r="A199" s="157" t="str">
        <x:v>MLCF</x:v>
      </x:c>
      <x:c r="B199" s="157" t="str">
        <x:v>No. of days in receivables</x:v>
      </x:c>
      <x:c r="C199" s="157" t="str">
        <x:v>FY2025</x:v>
      </x:c>
      <x:c r="D199" s="158" t="n">
        <x:v>23.29</x:v>
      </x:c>
      <x:c r="E199" s="158" t="n">
        <x:f>MLCF!H148</x:f>
        <x:v>23.29195250049585</x:v>
      </x:c>
      <x:c r="F199" s="158" t="n">
        <x:f>365*AVERAGE(MLCF!G32,MLCF!H32)/MLCF!H84</x:f>
        <x:v>23.29195250049585</x:v>
      </x:c>
      <x:c r="G199" s="162" t="str">
        <x:v>365 x average trade debts / sales</x:v>
      </x:c>
      <x:c r="H199" s="162" t="str">
        <x:f>IF(AND(ISNUMBER(D199),ISNUMBER(F199)),IF(ROUND(D199,O199)=ROUND(F199,O199),"Reproduced to precision","Unresolved published value"),"Not comparable")</x:f>
        <x:v>Reproduced to precision</x:v>
      </x:c>
      <x:c r="I199" s="162" t="str">
        <x:v>Tested the source-based convention shown in G against official published precision. Unmatched values remain unresolved; neither the standardized method nor the financial inputs were altered to force agreement.</x:v>
      </x:c>
      <x:c r="J199" s="162" t="str">
        <x:v>FY2025 AR p175 "Six years' financial summary / key ratios"</x:v>
      </x:c>
      <x:c r="K199" s="162" t="str">
        <x:v>Agrees (same convention)</x:v>
      </x:c>
      <x:c r="L199" s="162" t="str">
        <x:v>Official historical-series conflict / definition difference</x:v>
      </x:c>
      <x:c r="M199" s="157" t="n">
        <x:f>IF(ISNUMBER(E199),E199-D199,"n/m")</x:f>
        <x:v>0.0019525004958502734</x:v>
      </x:c>
      <x:c r="N199" s="157" t="n">
        <x:f>IF(ISNUMBER(F199),F199-D199,"n/m")</x:f>
        <x:v>0.0019525004958502734</x:v>
      </x:c>
      <x:c r="O199" s="157" t="n">
        <x:v>2</x:v>
      </x:c>
    </x:row>
    <x:row r="200" ht="112" hidden="0" customHeight="1">
      <x:c r="A200" s="75" t="str">
        <x:v>MLCF</x:v>
      </x:c>
      <x:c r="B200" s="75" t="str">
        <x:v>No. of days in creditors</x:v>
      </x:c>
      <x:c r="C200" s="75" t="str">
        <x:v>FY2021</x:v>
      </x:c>
      <x:c r="D200" s="159" t="n">
        <x:v>48.96</x:v>
      </x:c>
      <x:c r="E200" s="159" t="n">
        <x:f>MLCF!D149</x:f>
        <x:v>50.273995830664546</x:v>
      </x:c>
      <x:c r="F200" s="159" t="n">
        <x:f>365/((-MLCF!D85)/(AVERAGE(MLCF!C51,MLCF!D51)-AVERAGE(MLCF!C253,MLCF!D253)))</x:f>
        <x:v>48.013565747856816</x:v>
      </x:c>
      <x:c r="G200" s="163" t="str">
        <x:v>365 x average trade creditors + import bills / COGS; excludes separately reported related supplier (company diagnostic)</x:v>
      </x:c>
      <x:c r="H200" s="163" t="str">
        <x:f>IF(AND(ISNUMBER(D200),ISNUMBER(F200)),IF(ROUND(D200,O200)=ROUND(F200,O200),"Reproduced to precision","Unresolved published value"),"Not comparable")</x:f>
        <x:v>Unresolved published value</x:v>
      </x:c>
      <x:c r="I200" s="163" t="str">
        <x:v>Tested the source-based convention shown in G against official published precision. Unmatched values remain unresolved; neither the standardized method nor the financial inputs were altered to force agreement.</x:v>
      </x:c>
      <x:c r="J200" s="163" t="str">
        <x:v>FY2025 AR p175 "Six years' financial summary / key ratios"</x:v>
      </x:c>
      <x:c r="K200" s="163" t="str">
        <x:v>Not reproduced</x:v>
      </x:c>
      <x:c r="L200" s="163" t="str">
        <x:v>Official historical-series conflict / definition difference</x:v>
      </x:c>
      <x:c r="M200" s="75" t="n">
        <x:f>IF(ISNUMBER(E200),E200-D200,"n/m")</x:f>
        <x:v>1.3139958306645454</x:v>
      </x:c>
      <x:c r="N200" s="75" t="n">
        <x:f>IF(ISNUMBER(F200),F200-D200,"n/m")</x:f>
        <x:v>-0.9464342521431846</x:v>
      </x:c>
      <x:c r="O200" s="75" t="n">
        <x:v>2</x:v>
      </x:c>
    </x:row>
    <x:row r="201" ht="112" hidden="0" customHeight="1">
      <x:c r="A201" s="157" t="str">
        <x:v>MLCF</x:v>
      </x:c>
      <x:c r="B201" s="157" t="str">
        <x:v>No. of days in creditors</x:v>
      </x:c>
      <x:c r="C201" s="157" t="str">
        <x:v>FY2022</x:v>
      </x:c>
      <x:c r="D201" s="158" t="n">
        <x:v>38.46</x:v>
      </x:c>
      <x:c r="E201" s="158" t="n">
        <x:f>MLCF!E149</x:f>
        <x:v>38.69593121440047</x:v>
      </x:c>
      <x:c r="F201" s="158" t="n">
        <x:f>365/((-MLCF!E85)/(AVERAGE(MLCF!D51,MLCF!E51)-AVERAGE(MLCF!D253,MLCF!E253)))</x:f>
        <x:v>37.71999546630358</x:v>
      </x:c>
      <x:c r="G201" s="162" t="str">
        <x:v>365 x average trade creditors + import bills / COGS; excludes separately reported related supplier (company diagnostic)</x:v>
      </x:c>
      <x:c r="H201" s="162" t="str">
        <x:f>IF(AND(ISNUMBER(D201),ISNUMBER(F201)),IF(ROUND(D201,O201)=ROUND(F201,O201),"Reproduced to precision","Unresolved published value"),"Not comparable")</x:f>
        <x:v>Unresolved published value</x:v>
      </x:c>
      <x:c r="I201" s="162" t="str">
        <x:v>Tested the source-based convention shown in G against official published precision. Unmatched values remain unresolved; neither the standardized method nor the financial inputs were altered to force agreement.</x:v>
      </x:c>
      <x:c r="J201" s="162" t="str">
        <x:v>FY2025 AR p175 "Six years' financial summary / key ratios"</x:v>
      </x:c>
      <x:c r="K201" s="162" t="str">
        <x:v>Not reproduced</x:v>
      </x:c>
      <x:c r="L201" s="162" t="str">
        <x:v>Official historical-series conflict / definition difference</x:v>
      </x:c>
      <x:c r="M201" s="157" t="n">
        <x:f>IF(ISNUMBER(E201),E201-D201,"n/m")</x:f>
        <x:v>0.23593121440046616</x:v>
      </x:c>
      <x:c r="N201" s="157" t="n">
        <x:f>IF(ISNUMBER(F201),F201-D201,"n/m")</x:f>
        <x:v>-0.7400045336964212</x:v>
      </x:c>
      <x:c r="O201" s="157" t="n">
        <x:v>2</x:v>
      </x:c>
    </x:row>
    <x:row r="202" ht="112" hidden="0" customHeight="1">
      <x:c r="A202" s="75" t="str">
        <x:v>MLCF</x:v>
      </x:c>
      <x:c r="B202" s="75" t="str">
        <x:v>No. of days in creditors</x:v>
      </x:c>
      <x:c r="C202" s="75" t="str">
        <x:v>FY2023</x:v>
      </x:c>
      <x:c r="D202" s="159" t="n">
        <x:v>36.5</x:v>
      </x:c>
      <x:c r="E202" s="159" t="n">
        <x:f>MLCF!F149</x:f>
        <x:v>44.831228056476625</x:v>
      </x:c>
      <x:c r="F202" s="159" t="n">
        <x:f>365/((-MLCF!F85)/(AVERAGE(MLCF!E51,MLCF!F51)-AVERAGE(MLCF!E253,MLCF!F253)))</x:f>
        <x:v>36.498698029192624</x:v>
      </x:c>
      <x:c r="G202" s="163" t="str">
        <x:v>365 x average trade creditors + import bills / COGS; excludes separately reported related supplier (company diagnostic)</x:v>
      </x:c>
      <x:c r="H202" s="163" t="str">
        <x:f>IF(AND(ISNUMBER(D202),ISNUMBER(F202)),IF(ROUND(D202,O202)=ROUND(F202,O202),"Reproduced to precision","Unresolved published value"),"Not comparable")</x:f>
        <x:v>Reproduced to precision</x:v>
      </x:c>
      <x:c r="I202" s="163" t="str">
        <x:v>Tested the source-based convention shown in G against official published precision. Unmatched values remain unresolved; neither the standardized method nor the financial inputs were altered to force agreement.</x:v>
      </x:c>
      <x:c r="J202" s="163" t="str">
        <x:v>FY2025 AR p175 "Six years' financial summary / key ratios"</x:v>
      </x:c>
      <x:c r="K202" s="163" t="str">
        <x:v>Agrees (same convention)</x:v>
      </x:c>
      <x:c r="L202" s="163" t="str">
        <x:v>Official historical-series conflict / definition difference</x:v>
      </x:c>
      <x:c r="M202" s="75" t="n">
        <x:f>IF(ISNUMBER(E202),E202-D202,"n/m")</x:f>
        <x:v>8.331228056476625</x:v>
      </x:c>
      <x:c r="N202" s="75" t="n">
        <x:f>IF(ISNUMBER(F202),F202-D202,"n/m")</x:f>
        <x:v>-0.0013019708073755965</x:v>
      </x:c>
      <x:c r="O202" s="75" t="n">
        <x:v>2</x:v>
      </x:c>
    </x:row>
    <x:row r="203" ht="112" hidden="0" customHeight="1">
      <x:c r="A203" s="157" t="str">
        <x:v>MLCF</x:v>
      </x:c>
      <x:c r="B203" s="157" t="str">
        <x:v>No. of days in creditors</x:v>
      </x:c>
      <x:c r="C203" s="157" t="str">
        <x:v>FY2024</x:v>
      </x:c>
      <x:c r="D203" s="158" t="n">
        <x:v>37.63</x:v>
      </x:c>
      <x:c r="E203" s="158" t="n">
        <x:f>MLCF!G149</x:f>
        <x:v>48.43667879556273</x:v>
      </x:c>
      <x:c r="F203" s="158" t="n">
        <x:f>365/((-MLCF!G85)/(AVERAGE(MLCF!F51,MLCF!G51)-AVERAGE(MLCF!F253,MLCF!G253)))</x:f>
        <x:v>37.63108757497352</x:v>
      </x:c>
      <x:c r="G203" s="162" t="str">
        <x:v>365 x average trade creditors + import bills / COGS; excludes separately reported related supplier (company diagnostic)</x:v>
      </x:c>
      <x:c r="H203" s="162" t="str">
        <x:f>IF(AND(ISNUMBER(D203),ISNUMBER(F203)),IF(ROUND(D203,O203)=ROUND(F203,O203),"Reproduced to precision","Unresolved published value"),"Not comparable")</x:f>
        <x:v>Reproduced to precision</x:v>
      </x:c>
      <x:c r="I203" s="162" t="str">
        <x:v>Tested the source-based convention shown in G against official published precision. Unmatched values remain unresolved; neither the standardized method nor the financial inputs were altered to force agreement.</x:v>
      </x:c>
      <x:c r="J203" s="162" t="str">
        <x:v>FY2025 AR p175 "Six years' financial summary / key ratios"</x:v>
      </x:c>
      <x:c r="K203" s="162" t="str">
        <x:v>Agrees (same convention)</x:v>
      </x:c>
      <x:c r="L203" s="162" t="str">
        <x:v>Official historical-series conflict / definition difference</x:v>
      </x:c>
      <x:c r="M203" s="157" t="n">
        <x:f>IF(ISNUMBER(E203),E203-D203,"n/m")</x:f>
        <x:v>10.806678795562725</x:v>
      </x:c>
      <x:c r="N203" s="157" t="n">
        <x:f>IF(ISNUMBER(F203),F203-D203,"n/m")</x:f>
        <x:v>0.0010875749735177465</x:v>
      </x:c>
      <x:c r="O203" s="157" t="n">
        <x:v>2</x:v>
      </x:c>
    </x:row>
    <x:row r="204" ht="112" hidden="0" customHeight="1">
      <x:c r="A204" s="75" t="str">
        <x:v>MLCF</x:v>
      </x:c>
      <x:c r="B204" s="75" t="str">
        <x:v>No. of days in creditors</x:v>
      </x:c>
      <x:c r="C204" s="75" t="str">
        <x:v>FY2025</x:v>
      </x:c>
      <x:c r="D204" s="159" t="n">
        <x:v>42.18</x:v>
      </x:c>
      <x:c r="E204" s="159" t="n">
        <x:f>MLCF!H149</x:f>
        <x:v>51.3609017066473</x:v>
      </x:c>
      <x:c r="F204" s="159" t="n">
        <x:f>365/((-MLCF!H85)/(AVERAGE(MLCF!G51,MLCF!H51)-AVERAGE(MLCF!G253,MLCF!H253)))</x:f>
        <x:v>42.1768479607431</x:v>
      </x:c>
      <x:c r="G204" s="163" t="str">
        <x:v>365 x average trade creditors + import bills / COGS; excludes separately reported related supplier (company diagnostic)</x:v>
      </x:c>
      <x:c r="H204" s="163" t="str">
        <x:f>IF(AND(ISNUMBER(D204),ISNUMBER(F204)),IF(ROUND(D204,O204)=ROUND(F204,O204),"Reproduced to precision","Unresolved published value"),"Not comparable")</x:f>
        <x:v>Reproduced to precision</x:v>
      </x:c>
      <x:c r="I204" s="163" t="str">
        <x:v>Tested the source-based convention shown in G against official published precision. Unmatched values remain unresolved; neither the standardized method nor the financial inputs were altered to force agreement.</x:v>
      </x:c>
      <x:c r="J204" s="163" t="str">
        <x:v>FY2025 AR p175 "Six years' financial summary / key ratios"</x:v>
      </x:c>
      <x:c r="K204" s="163" t="str">
        <x:v>Agrees (same convention)</x:v>
      </x:c>
      <x:c r="L204" s="163" t="str">
        <x:v>Official historical-series conflict / definition difference</x:v>
      </x:c>
      <x:c r="M204" s="75" t="n">
        <x:f>IF(ISNUMBER(E204),E204-D204,"n/m")</x:f>
        <x:v>9.180901706647298</x:v>
      </x:c>
      <x:c r="N204" s="75" t="n">
        <x:f>IF(ISNUMBER(F204),F204-D204,"n/m")</x:f>
        <x:v>-0.003152039256896444</x:v>
      </x:c>
      <x:c r="O204" s="75" t="n">
        <x:v>2</x:v>
      </x:c>
    </x:row>
    <x:row r="205" ht="112" hidden="0" customHeight="1">
      <x:c r="A205" s="157" t="str">
        <x:v>MLCF</x:v>
      </x:c>
      <x:c r="B205" s="157" t="str">
        <x:v>Total assets turnover</x:v>
      </x:c>
      <x:c r="C205" s="157" t="str">
        <x:v>FY2021</x:v>
      </x:c>
      <x:c r="D205" s="158" t="n">
        <x:v>0.54</x:v>
      </x:c>
      <x:c r="E205" s="158" t="n">
        <x:f>MLCF!D152</x:f>
        <x:v>0.5374450896807583</x:v>
      </x:c>
      <x:c r="F205" s="158" t="n">
        <x:f>MLCF!D84/MLCF!D37</x:f>
        <x:v>0.5365140151437038</x:v>
      </x:c>
      <x:c r="G205" s="162" t="str">
        <x:v>Sales / closing assets</x:v>
      </x:c>
      <x:c r="H205" s="162" t="str">
        <x:f>IF(AND(ISNUMBER(D205),ISNUMBER(F205)),IF(ROUND(D205,O205)=ROUND(F205,O205),"Reproduced to precision","Unresolved published value"),"Not comparable")</x:f>
        <x:v>Reproduced to precision</x:v>
      </x:c>
      <x:c r="I205" s="162" t="str">
        <x:v>Tested the source-based convention shown in G against official published precision. Unmatched values remain unresolved; neither the standardized method nor the financial inputs were altered to force agreement.</x:v>
      </x:c>
      <x:c r="J205" s="162" t="str">
        <x:v>FY2025 AR p175 "Six years' financial summary / key ratios"</x:v>
      </x:c>
      <x:c r="K205" s="162" t="str">
        <x:v>Agrees (same convention)</x:v>
      </x:c>
      <x:c r="L205" s="162" t="str">
        <x:v>Source comparison</x:v>
      </x:c>
      <x:c r="M205" s="157" t="n">
        <x:f>IF(ISNUMBER(E205),E205-D205,"n/m")</x:f>
        <x:v>-0.00255491031924171</x:v>
      </x:c>
      <x:c r="N205" s="157" t="n">
        <x:f>IF(ISNUMBER(F205),F205-D205,"n/m")</x:f>
        <x:v>-0.0034859848562962537</x:v>
      </x:c>
      <x:c r="O205" s="157" t="n">
        <x:v>2</x:v>
      </x:c>
    </x:row>
    <x:row r="206" ht="112" hidden="0" customHeight="1">
      <x:c r="A206" s="75" t="str">
        <x:v>MLCF</x:v>
      </x:c>
      <x:c r="B206" s="75" t="str">
        <x:v>Total assets turnover</x:v>
      </x:c>
      <x:c r="C206" s="75" t="str">
        <x:v>FY2022</x:v>
      </x:c>
      <x:c r="D206" s="159" t="n">
        <x:v>0.59</x:v>
      </x:c>
      <x:c r="E206" s="159" t="n">
        <x:f>MLCF!E152</x:f>
        <x:v>0.6536676591930263</x:v>
      </x:c>
      <x:c r="F206" s="159" t="n">
        <x:f>MLCF!E84/MLCF!E37</x:f>
        <x:v>0.5901610196096272</x:v>
      </x:c>
      <x:c r="G206" s="163" t="str">
        <x:v>Sales / closing assets</x:v>
      </x:c>
      <x:c r="H206" s="163" t="str">
        <x:f>IF(AND(ISNUMBER(D206),ISNUMBER(F206)),IF(ROUND(D206,O206)=ROUND(F206,O206),"Reproduced to precision","Unresolved published value"),"Not comparable")</x:f>
        <x:v>Reproduced to precision</x:v>
      </x:c>
      <x:c r="I206" s="163" t="str">
        <x:v>Tested the source-based convention shown in G against official published precision. Unmatched values remain unresolved; neither the standardized method nor the financial inputs were altered to force agreement.</x:v>
      </x:c>
      <x:c r="J206" s="163" t="str">
        <x:v>FY2025 AR p175 "Six years' financial summary / key ratios"</x:v>
      </x:c>
      <x:c r="K206" s="163" t="str">
        <x:v>Reconciled (company convention)</x:v>
      </x:c>
      <x:c r="L206" s="163" t="str">
        <x:v>Source comparison</x:v>
      </x:c>
      <x:c r="M206" s="75" t="n">
        <x:f>IF(ISNUMBER(E206),E206-D206,"n/m")</x:f>
        <x:v>0.0636676591930263</x:v>
      </x:c>
      <x:c r="N206" s="75" t="n">
        <x:f>IF(ISNUMBER(F206),F206-D206,"n/m")</x:f>
        <x:v>0.00016101960962722206</x:v>
      </x:c>
      <x:c r="O206" s="75" t="n">
        <x:v>2</x:v>
      </x:c>
    </x:row>
    <x:row r="207" ht="112" hidden="0" customHeight="1">
      <x:c r="A207" s="157" t="str">
        <x:v>MLCF</x:v>
      </x:c>
      <x:c r="B207" s="157" t="str">
        <x:v>Total assets turnover</x:v>
      </x:c>
      <x:c r="C207" s="157" t="str">
        <x:v>FY2023</x:v>
      </x:c>
      <x:c r="D207" s="158" t="n">
        <x:v>0.69</x:v>
      </x:c>
      <x:c r="E207" s="158" t="n">
        <x:f>MLCF!F152</x:f>
        <x:v>0.7221331478723996</x:v>
      </x:c>
      <x:c r="F207" s="158" t="n">
        <x:f>MLCF!F84/MLCF!F37</x:f>
        <x:v>0.691972387970082</x:v>
      </x:c>
      <x:c r="G207" s="162" t="str">
        <x:v>Sales / closing assets</x:v>
      </x:c>
      <x:c r="H207" s="162" t="str">
        <x:f>IF(AND(ISNUMBER(D207),ISNUMBER(F207)),IF(ROUND(D207,O207)=ROUND(F207,O207),"Reproduced to precision","Unresolved published value"),"Not comparable")</x:f>
        <x:v>Reproduced to precision</x:v>
      </x:c>
      <x:c r="I207" s="162" t="str">
        <x:v>Tested the source-based convention shown in G against official published precision. Unmatched values remain unresolved; neither the standardized method nor the financial inputs were altered to force agreement.</x:v>
      </x:c>
      <x:c r="J207" s="162" t="str">
        <x:v>FY2025 AR p175 "Six years' financial summary / key ratios"</x:v>
      </x:c>
      <x:c r="K207" s="162" t="str">
        <x:v>Reconciled (company convention)</x:v>
      </x:c>
      <x:c r="L207" s="162" t="str">
        <x:v>Source comparison</x:v>
      </x:c>
      <x:c r="M207" s="157" t="n">
        <x:f>IF(ISNUMBER(E207),E207-D207,"n/m")</x:f>
        <x:v>0.032133147872399626</x:v>
      </x:c>
      <x:c r="N207" s="157" t="n">
        <x:f>IF(ISNUMBER(F207),F207-D207,"n/m")</x:f>
        <x:v>0.0019723879700820346</x:v>
      </x:c>
      <x:c r="O207" s="157" t="n">
        <x:v>2</x:v>
      </x:c>
    </x:row>
    <x:row r="208" ht="112" hidden="0" customHeight="1">
      <x:c r="A208" s="75" t="str">
        <x:v>MLCF</x:v>
      </x:c>
      <x:c r="B208" s="75" t="str">
        <x:v>Total assets turnover</x:v>
      </x:c>
      <x:c r="C208" s="75" t="str">
        <x:v>FY2024</x:v>
      </x:c>
      <x:c r="D208" s="159" t="n">
        <x:v>0.67</x:v>
      </x:c>
      <x:c r="E208" s="159" t="n">
        <x:f>MLCF!G152</x:f>
        <x:v>0.7029264873878895</x:v>
      </x:c>
      <x:c r="F208" s="159" t="n">
        <x:f>MLCF!G84/MLCF!G37</x:f>
        <x:v>0.6687655804546282</x:v>
      </x:c>
      <x:c r="G208" s="163" t="str">
        <x:v>Sales / closing assets</x:v>
      </x:c>
      <x:c r="H208" s="163" t="str">
        <x:f>IF(AND(ISNUMBER(D208),ISNUMBER(F208)),IF(ROUND(D208,O208)=ROUND(F208,O208),"Reproduced to precision","Unresolved published value"),"Not comparable")</x:f>
        <x:v>Reproduced to precision</x:v>
      </x:c>
      <x:c r="I208" s="163" t="str">
        <x:v>Tested the source-based convention shown in G against official published precision. Unmatched values remain unresolved; neither the standardized method nor the financial inputs were altered to force agreement.</x:v>
      </x:c>
      <x:c r="J208" s="163" t="str">
        <x:v>FY2025 AR p175 "Six years' financial summary / key ratios"</x:v>
      </x:c>
      <x:c r="K208" s="163" t="str">
        <x:v>Reconciled (company convention)</x:v>
      </x:c>
      <x:c r="L208" s="163" t="str">
        <x:v>Source comparison</x:v>
      </x:c>
      <x:c r="M208" s="75" t="n">
        <x:f>IF(ISNUMBER(E208),E208-D208,"n/m")</x:f>
        <x:v>0.0329264873878895</x:v>
      </x:c>
      <x:c r="N208" s="75" t="n">
        <x:f>IF(ISNUMBER(F208),F208-D208,"n/m")</x:f>
        <x:v>-0.0012344195453718454</x:v>
      </x:c>
      <x:c r="O208" s="75" t="n">
        <x:v>2</x:v>
      </x:c>
    </x:row>
    <x:row r="209" ht="112" hidden="0" customHeight="1">
      <x:c r="A209" s="157" t="str">
        <x:v>MLCF</x:v>
      </x:c>
      <x:c r="B209" s="157" t="str">
        <x:v>Total assets turnover</x:v>
      </x:c>
      <x:c r="C209" s="157" t="str">
        <x:v>FY2025</x:v>
      </x:c>
      <x:c r="D209" s="158" t="n">
        <x:v>0.58</x:v>
      </x:c>
      <x:c r="E209" s="158" t="n">
        <x:f>MLCF!H152</x:f>
        <x:v>0.6311331505330572</x:v>
      </x:c>
      <x:c r="F209" s="158" t="n">
        <x:f>MLCF!H84/MLCF!H37</x:f>
        <x:v>0.578831369844498</x:v>
      </x:c>
      <x:c r="G209" s="162" t="str">
        <x:v>Sales / closing assets</x:v>
      </x:c>
      <x:c r="H209" s="162" t="str">
        <x:f>IF(AND(ISNUMBER(D209),ISNUMBER(F209)),IF(ROUND(D209,O209)=ROUND(F209,O209),"Reproduced to precision","Unresolved published value"),"Not comparable")</x:f>
        <x:v>Reproduced to precision</x:v>
      </x:c>
      <x:c r="I209" s="162" t="str">
        <x:v>Tested the source-based convention shown in G against official published precision. Unmatched values remain unresolved; neither the standardized method nor the financial inputs were altered to force agreement.</x:v>
      </x:c>
      <x:c r="J209" s="162" t="str">
        <x:v>FY2025 AR p175 "Six years' financial summary / key ratios"</x:v>
      </x:c>
      <x:c r="K209" s="162" t="str">
        <x:v>Reconciled (company convention)</x:v>
      </x:c>
      <x:c r="L209" s="162" t="str">
        <x:v>Source comparison</x:v>
      </x:c>
      <x:c r="M209" s="157" t="n">
        <x:f>IF(ISNUMBER(E209),E209-D209,"n/m")</x:f>
        <x:v>0.051133150533057226</x:v>
      </x:c>
      <x:c r="N209" s="157" t="n">
        <x:f>IF(ISNUMBER(F209),F209-D209,"n/m")</x:f>
        <x:v>-0.0011686301555019485</x:v>
      </x:c>
      <x:c r="O209" s="157" t="n">
        <x:v>2</x:v>
      </x:c>
    </x:row>
    <x:row r="210" ht="112" hidden="0" customHeight="1">
      <x:c r="A210" s="75" t="str">
        <x:v>MLCF</x:v>
      </x:c>
      <x:c r="B210" s="75" t="str">
        <x:v>Fixed assets turnover</x:v>
      </x:c>
      <x:c r="C210" s="75" t="str">
        <x:v>FY2021</x:v>
      </x:c>
      <x:c r="D210" s="159" t="n">
        <x:v>0.8</x:v>
      </x:c>
      <x:c r="E210" s="159" t="n">
        <x:f>MLCF!D153</x:f>
        <x:v>0.838288069294308</x:v>
      </x:c>
      <x:c r="F210" s="159" t="n">
        <x:f>MLCF!D84/MLCF!D20</x:f>
        <x:v>0.8037513915639477</x:v>
      </x:c>
      <x:c r="G210" s="163" t="str">
        <x:v>Sales / closing total PPE</x:v>
      </x:c>
      <x:c r="H210" s="163" t="str">
        <x:f>IF(AND(ISNUMBER(D210),ISNUMBER(F210)),IF(ROUND(D210,O210)=ROUND(F210,O210),"Reproduced to precision","Unresolved published value"),"Not comparable")</x:f>
        <x:v>Reproduced to precision</x:v>
      </x:c>
      <x:c r="I210" s="163" t="str">
        <x:v>Tested the source-based convention shown in G against official published precision. Unmatched values remain unresolved; neither the standardized method nor the financial inputs were altered to force agreement.</x:v>
      </x:c>
      <x:c r="J210" s="163" t="str">
        <x:v>FY2025 AR p175 "Six years' financial summary / key ratios"</x:v>
      </x:c>
      <x:c r="K210" s="163" t="str">
        <x:v>Reconciled (company convention)</x:v>
      </x:c>
      <x:c r="L210" s="163" t="str">
        <x:v>Source comparison</x:v>
      </x:c>
      <x:c r="M210" s="75" t="n">
        <x:f>IF(ISNUMBER(E210),E210-D210,"n/m")</x:f>
        <x:v>0.03828806929430795</x:v>
      </x:c>
      <x:c r="N210" s="75" t="n">
        <x:f>IF(ISNUMBER(F210),F210-D210,"n/m")</x:f>
        <x:v>0.003751391563947659</x:v>
      </x:c>
      <x:c r="O210" s="75" t="n">
        <x:v>2</x:v>
      </x:c>
    </x:row>
    <x:row r="211" ht="112" hidden="0" customHeight="1">
      <x:c r="A211" s="157" t="str">
        <x:v>MLCF</x:v>
      </x:c>
      <x:c r="B211" s="157" t="str">
        <x:v>Fixed assets turnover</x:v>
      </x:c>
      <x:c r="C211" s="157" t="str">
        <x:v>FY2022</x:v>
      </x:c>
      <x:c r="D211" s="158" t="n">
        <x:v>0.85</x:v>
      </x:c>
      <x:c r="E211" s="158" t="n">
        <x:f>MLCF!E153</x:f>
        <x:v>1.172066585205955</x:v>
      </x:c>
      <x:c r="F211" s="158" t="n">
        <x:f>MLCF!E84/MLCF!E20</x:f>
        <x:v>0.8544467502241797</x:v>
      </x:c>
      <x:c r="G211" s="162" t="str">
        <x:v>Sales / closing total PPE</x:v>
      </x:c>
      <x:c r="H211" s="162" t="str">
        <x:f>IF(AND(ISNUMBER(D211),ISNUMBER(F211)),IF(ROUND(D211,O211)=ROUND(F211,O211),"Reproduced to precision","Unresolved published value"),"Not comparable")</x:f>
        <x:v>Reproduced to precision</x:v>
      </x:c>
      <x:c r="I211" s="162" t="str">
        <x:v>Tested the source-based convention shown in G against official published precision. Unmatched values remain unresolved; neither the standardized method nor the financial inputs were altered to force agreement.</x:v>
      </x:c>
      <x:c r="J211" s="162" t="str">
        <x:v>FY2025 AR p175 "Six years' financial summary / key ratios"</x:v>
      </x:c>
      <x:c r="K211" s="162" t="str">
        <x:v>Reconciled (company convention)</x:v>
      </x:c>
      <x:c r="L211" s="162" t="str">
        <x:v>Source comparison</x:v>
      </x:c>
      <x:c r="M211" s="157" t="n">
        <x:f>IF(ISNUMBER(E211),E211-D211,"n/m")</x:f>
        <x:v>0.3220665852059551</x:v>
      </x:c>
      <x:c r="N211" s="157" t="n">
        <x:f>IF(ISNUMBER(F211),F211-D211,"n/m")</x:f>
        <x:v>0.00444675022417973</x:v>
      </x:c>
      <x:c r="O211" s="157" t="n">
        <x:v>2</x:v>
      </x:c>
    </x:row>
    <x:row r="212" ht="112" hidden="0" customHeight="1">
      <x:c r="A212" s="75" t="str">
        <x:v>MLCF</x:v>
      </x:c>
      <x:c r="B212" s="75" t="str">
        <x:v>Fixed assets turnover</x:v>
      </x:c>
      <x:c r="C212" s="75" t="str">
        <x:v>FY2023</x:v>
      </x:c>
      <x:c r="D212" s="159" t="n">
        <x:v>1</x:v>
      </x:c>
      <x:c r="E212" s="159" t="n">
        <x:f>MLCF!F153</x:f>
        <x:v>1.2158524918829576</x:v>
      </x:c>
      <x:c r="F212" s="159" t="n">
        <x:f>MLCF!F84/MLCF!F20</x:f>
        <x:v>0.9955199942881526</x:v>
      </x:c>
      <x:c r="G212" s="163" t="str">
        <x:v>Sales / closing total PPE</x:v>
      </x:c>
      <x:c r="H212" s="163" t="str">
        <x:f>IF(AND(ISNUMBER(D212),ISNUMBER(F212)),IF(ROUND(D212,O212)=ROUND(F212,O212),"Reproduced to precision","Unresolved published value"),"Not comparable")</x:f>
        <x:v>Reproduced to precision</x:v>
      </x:c>
      <x:c r="I212" s="163" t="str">
        <x:v>Tested the source-based convention shown in G against official published precision. Unmatched values remain unresolved; neither the standardized method nor the financial inputs were altered to force agreement.</x:v>
      </x:c>
      <x:c r="J212" s="163" t="str">
        <x:v>FY2025 AR p175 "Six years' financial summary / key ratios"</x:v>
      </x:c>
      <x:c r="K212" s="163" t="str">
        <x:v>Reconciled (company convention)</x:v>
      </x:c>
      <x:c r="L212" s="163" t="str">
        <x:v>Source comparison</x:v>
      </x:c>
      <x:c r="M212" s="75" t="n">
        <x:f>IF(ISNUMBER(E212),E212-D212,"n/m")</x:f>
        <x:v>0.21585249188295763</x:v>
      </x:c>
      <x:c r="N212" s="75" t="n">
        <x:f>IF(ISNUMBER(F212),F212-D212,"n/m")</x:f>
        <x:v>-0.004480005711847368</x:v>
      </x:c>
      <x:c r="O212" s="75" t="n">
        <x:v>2</x:v>
      </x:c>
    </x:row>
    <x:row r="213" ht="112" hidden="0" customHeight="1">
      <x:c r="A213" s="157" t="str">
        <x:v>MLCF</x:v>
      </x:c>
      <x:c r="B213" s="157" t="str">
        <x:v>Fixed assets turnover</x:v>
      </x:c>
      <x:c r="C213" s="157" t="str">
        <x:v>FY2024</x:v>
      </x:c>
      <x:c r="D213" s="158" t="n">
        <x:v>1.01</x:v>
      </x:c>
      <x:c r="E213" s="158" t="n">
        <x:f>MLCF!G153</x:f>
        <x:v>1.0531088846951966</x:v>
      </x:c>
      <x:c r="F213" s="158" t="n">
        <x:f>MLCF!G84/MLCF!G20</x:f>
        <x:v>1.0069209161495893</x:v>
      </x:c>
      <x:c r="G213" s="162" t="str">
        <x:v>Sales / closing total PPE</x:v>
      </x:c>
      <x:c r="H213" s="162" t="str">
        <x:f>IF(AND(ISNUMBER(D213),ISNUMBER(F213)),IF(ROUND(D213,O213)=ROUND(F213,O213),"Reproduced to precision","Unresolved published value"),"Not comparable")</x:f>
        <x:v>Reproduced to precision</x:v>
      </x:c>
      <x:c r="I213" s="162" t="str">
        <x:v>Tested the source-based convention shown in G against official published precision. Unmatched values remain unresolved; neither the standardized method nor the financial inputs were altered to force agreement.</x:v>
      </x:c>
      <x:c r="J213" s="162" t="str">
        <x:v>FY2025 AR p175 "Six years' financial summary / key ratios"</x:v>
      </x:c>
      <x:c r="K213" s="162" t="str">
        <x:v>Reconciled (company convention)</x:v>
      </x:c>
      <x:c r="L213" s="162" t="str">
        <x:v>Source comparison</x:v>
      </x:c>
      <x:c r="M213" s="157" t="n">
        <x:f>IF(ISNUMBER(E213),E213-D213,"n/m")</x:f>
        <x:v>0.04310888469519658</x:v>
      </x:c>
      <x:c r="N213" s="157" t="n">
        <x:f>IF(ISNUMBER(F213),F213-D213,"n/m")</x:f>
        <x:v>-0.003079083850410669</x:v>
      </x:c>
      <x:c r="O213" s="157" t="n">
        <x:v>2</x:v>
      </x:c>
    </x:row>
    <x:row r="214" ht="112" hidden="0" customHeight="1">
      <x:c r="A214" s="75" t="str">
        <x:v>MLCF</x:v>
      </x:c>
      <x:c r="B214" s="75" t="str">
        <x:v>Fixed assets turnover</x:v>
      </x:c>
      <x:c r="C214" s="75" t="str">
        <x:v>FY2025</x:v>
      </x:c>
      <x:c r="D214" s="159" t="n">
        <x:v>1.1</x:v>
      </x:c>
      <x:c r="E214" s="159" t="n">
        <x:f>MLCF!H153</x:f>
        <x:v>1.0752521941525262</x:v>
      </x:c>
      <x:c r="F214" s="159" t="n">
        <x:f>MLCF!H84/MLCF!H20</x:f>
        <x:v>1.0971769908727151</x:v>
      </x:c>
      <x:c r="G214" s="163" t="str">
        <x:v>Sales / closing total PPE</x:v>
      </x:c>
      <x:c r="H214" s="163" t="str">
        <x:f>IF(AND(ISNUMBER(D214),ISNUMBER(F214)),IF(ROUND(D214,O214)=ROUND(F214,O214),"Reproduced to precision","Unresolved published value"),"Not comparable")</x:f>
        <x:v>Reproduced to precision</x:v>
      </x:c>
      <x:c r="I214" s="163" t="str">
        <x:v>Tested the source-based convention shown in G against official published precision. Unmatched values remain unresolved; neither the standardized method nor the financial inputs were altered to force agreement.</x:v>
      </x:c>
      <x:c r="J214" s="163" t="str">
        <x:v>FY2025 AR p175 "Six years' financial summary / key ratios"</x:v>
      </x:c>
      <x:c r="K214" s="163" t="str">
        <x:v>Reconciled (company convention)</x:v>
      </x:c>
      <x:c r="L214" s="163" t="str">
        <x:v>Source comparison</x:v>
      </x:c>
      <x:c r="M214" s="75" t="n">
        <x:f>IF(ISNUMBER(E214),E214-D214,"n/m")</x:f>
        <x:v>-0.024747805847473936</x:v>
      </x:c>
      <x:c r="N214" s="75" t="n">
        <x:f>IF(ISNUMBER(F214),F214-D214,"n/m")</x:f>
        <x:v>-0.002823009127284948</x:v>
      </x:c>
      <x:c r="O214" s="75" t="n">
        <x:v>2</x:v>
      </x:c>
    </x:row>
    <x:row r="215" ht="112" hidden="0" customHeight="1">
      <x:c r="A215" s="157" t="str">
        <x:v>MLCF</x:v>
      </x:c>
      <x:c r="B215" s="157" t="str">
        <x:v>Interest cover</x:v>
      </x:c>
      <x:c r="C215" s="157" t="str">
        <x:v>FY2021</x:v>
      </x:c>
      <x:c r="D215" s="158" t="n">
        <x:v>5.88</x:v>
      </x:c>
      <x:c r="E215" s="158" t="n">
        <x:f>MLCF!D159</x:f>
        <x:v>6.069000565198944</x:v>
      </x:c>
      <x:c r="F215" s="158" t="n">
        <x:f>MLCF!D108/(-MLCF!D95)</x:f>
        <x:v>5.8794796275595225</x:v>
      </x:c>
      <x:c r="G215" s="162" t="str">
        <x:v>EBIT / all finance cost</x:v>
      </x:c>
      <x:c r="H215" s="162" t="str">
        <x:f>IF(AND(ISNUMBER(D215),ISNUMBER(F215)),IF(ROUND(D215,O215)=ROUND(F215,O215),"Reproduced to precision","Unresolved published value"),"Not comparable")</x:f>
        <x:v>Reproduced to precision</x:v>
      </x:c>
      <x:c r="I215" s="162" t="str">
        <x:v>Tested the source-based convention shown in G against official published precision. Unmatched values remain unresolved; neither the standardized method nor the financial inputs were altered to force agreement.</x:v>
      </x:c>
      <x:c r="J215" s="162" t="str">
        <x:v>FY2025 AR p175 "Six years' financial summary / key ratios"</x:v>
      </x:c>
      <x:c r="K215" s="162" t="str">
        <x:v>Reconciled (company convention)</x:v>
      </x:c>
      <x:c r="L215" s="162" t="str">
        <x:v>Source comparison</x:v>
      </x:c>
      <x:c r="M215" s="157" t="n">
        <x:f>IF(ISNUMBER(E215),E215-D215,"n/m")</x:f>
        <x:v>0.1890005651989437</x:v>
      </x:c>
      <x:c r="N215" s="157" t="n">
        <x:f>IF(ISNUMBER(F215),F215-D215,"n/m")</x:f>
        <x:v>-0.0005203724404774235</x:v>
      </x:c>
      <x:c r="O215" s="157" t="n">
        <x:v>2</x:v>
      </x:c>
    </x:row>
    <x:row r="216" ht="112" hidden="0" customHeight="1">
      <x:c r="A216" s="75" t="str">
        <x:v>MLCF</x:v>
      </x:c>
      <x:c r="B216" s="75" t="str">
        <x:v>Interest cover</x:v>
      </x:c>
      <x:c r="C216" s="75" t="str">
        <x:v>FY2022</x:v>
      </x:c>
      <x:c r="D216" s="159" t="n">
        <x:v>5.13</x:v>
      </x:c>
      <x:c r="E216" s="159" t="n">
        <x:f>MLCF!E159</x:f>
        <x:v>5.280713598911259</x:v>
      </x:c>
      <x:c r="F216" s="159" t="n">
        <x:f>MLCF!E108/(-MLCF!E95)</x:f>
        <x:v>5.12602224205727</x:v>
      </x:c>
      <x:c r="G216" s="163" t="str">
        <x:v>EBIT / all finance cost</x:v>
      </x:c>
      <x:c r="H216" s="163" t="str">
        <x:f>IF(AND(ISNUMBER(D216),ISNUMBER(F216)),IF(ROUND(D216,O216)=ROUND(F216,O216),"Reproduced to precision","Unresolved published value"),"Not comparable")</x:f>
        <x:v>Reproduced to precision</x:v>
      </x:c>
      <x:c r="I216" s="163" t="str">
        <x:v>Tested the source-based convention shown in G against official published precision. Unmatched values remain unresolved; neither the standardized method nor the financial inputs were altered to force agreement.</x:v>
      </x:c>
      <x:c r="J216" s="163" t="str">
        <x:v>FY2025 AR p175 "Six years' financial summary / key ratios"</x:v>
      </x:c>
      <x:c r="K216" s="163" t="str">
        <x:v>Reconciled (company convention)</x:v>
      </x:c>
      <x:c r="L216" s="163" t="str">
        <x:v>Source comparison</x:v>
      </x:c>
      <x:c r="M216" s="75" t="n">
        <x:f>IF(ISNUMBER(E216),E216-D216,"n/m")</x:f>
        <x:v>0.1507135989112589</x:v>
      </x:c>
      <x:c r="N216" s="75" t="n">
        <x:f>IF(ISNUMBER(F216),F216-D216,"n/m")</x:f>
        <x:v>-0.003977757942729809</x:v>
      </x:c>
      <x:c r="O216" s="75" t="n">
        <x:v>2</x:v>
      </x:c>
    </x:row>
    <x:row r="217" ht="112" hidden="0" customHeight="1">
      <x:c r="A217" s="157" t="str">
        <x:v>MLCF</x:v>
      </x:c>
      <x:c r="B217" s="157" t="str">
        <x:v>Interest cover</x:v>
      </x:c>
      <x:c r="C217" s="157" t="str">
        <x:v>FY2023</x:v>
      </x:c>
      <x:c r="D217" s="158" t="n">
        <x:v>4.36</x:v>
      </x:c>
      <x:c r="E217" s="158" t="n">
        <x:f>MLCF!F159</x:f>
        <x:v>4.472840944030858</x:v>
      </x:c>
      <x:c r="F217" s="158" t="n">
        <x:f>MLCF!F108/(-MLCF!F95)</x:f>
        <x:v>4.362964182833178</x:v>
      </x:c>
      <x:c r="G217" s="162" t="str">
        <x:v>EBIT / all finance cost</x:v>
      </x:c>
      <x:c r="H217" s="162" t="str">
        <x:f>IF(AND(ISNUMBER(D217),ISNUMBER(F217)),IF(ROUND(D217,O217)=ROUND(F217,O217),"Reproduced to precision","Unresolved published value"),"Not comparable")</x:f>
        <x:v>Reproduced to precision</x:v>
      </x:c>
      <x:c r="I217" s="162" t="str">
        <x:v>Tested the source-based convention shown in G against official published precision. Unmatched values remain unresolved; neither the standardized method nor the financial inputs were altered to force agreement.</x:v>
      </x:c>
      <x:c r="J217" s="162" t="str">
        <x:v>FY2025 AR p175 "Six years' financial summary / key ratios"</x:v>
      </x:c>
      <x:c r="K217" s="162" t="str">
        <x:v>Reconciled (company convention)</x:v>
      </x:c>
      <x:c r="L217" s="162" t="str">
        <x:v>Source comparison</x:v>
      </x:c>
      <x:c r="M217" s="157" t="n">
        <x:f>IF(ISNUMBER(E217),E217-D217,"n/m")</x:f>
        <x:v>0.11284094403085732</x:v>
      </x:c>
      <x:c r="N217" s="157" t="n">
        <x:f>IF(ISNUMBER(F217),F217-D217,"n/m")</x:f>
        <x:v>0.0029641828331774533</x:v>
      </x:c>
      <x:c r="O217" s="157" t="n">
        <x:v>2</x:v>
      </x:c>
    </x:row>
    <x:row r="218" ht="112" hidden="0" customHeight="1">
      <x:c r="A218" s="75" t="str">
        <x:v>MLCF</x:v>
      </x:c>
      <x:c r="B218" s="75" t="str">
        <x:v>Interest cover</x:v>
      </x:c>
      <x:c r="C218" s="75" t="str">
        <x:v>FY2024</x:v>
      </x:c>
      <x:c r="D218" s="159" t="n">
        <x:v>3.16</x:v>
      </x:c>
      <x:c r="E218" s="159" t="n">
        <x:f>MLCF!G159</x:f>
        <x:v>3.222781857366191</x:v>
      </x:c>
      <x:c r="F218" s="159" t="n">
        <x:f>MLCF!G108/(-MLCF!G95)</x:f>
        <x:v>3.1582481249483476</x:v>
      </x:c>
      <x:c r="G218" s="163" t="str">
        <x:v>EBIT / all finance cost</x:v>
      </x:c>
      <x:c r="H218" s="163" t="str">
        <x:f>IF(AND(ISNUMBER(D218),ISNUMBER(F218)),IF(ROUND(D218,O218)=ROUND(F218,O218),"Reproduced to precision","Unresolved published value"),"Not comparable")</x:f>
        <x:v>Reproduced to precision</x:v>
      </x:c>
      <x:c r="I218" s="163" t="str">
        <x:v>Tested the source-based convention shown in G against official published precision. Unmatched values remain unresolved; neither the standardized method nor the financial inputs were altered to force agreement.</x:v>
      </x:c>
      <x:c r="J218" s="163" t="str">
        <x:v>FY2025 AR p175 "Six years' financial summary / key ratios"</x:v>
      </x:c>
      <x:c r="K218" s="163" t="str">
        <x:v>Reconciled (company convention)</x:v>
      </x:c>
      <x:c r="L218" s="163" t="str">
        <x:v>Source comparison</x:v>
      </x:c>
      <x:c r="M218" s="75" t="n">
        <x:f>IF(ISNUMBER(E218),E218-D218,"n/m")</x:f>
        <x:v>0.06278185736619069</x:v>
      </x:c>
      <x:c r="N218" s="75" t="n">
        <x:f>IF(ISNUMBER(F218),F218-D218,"n/m")</x:f>
        <x:v>-0.0017518750516525294</x:v>
      </x:c>
      <x:c r="O218" s="75" t="n">
        <x:v>2</x:v>
      </x:c>
    </x:row>
    <x:row r="219" ht="112" hidden="0" customHeight="1">
      <x:c r="A219" s="157" t="str">
        <x:v>MLCF</x:v>
      </x:c>
      <x:c r="B219" s="157" t="str">
        <x:v>Interest cover</x:v>
      </x:c>
      <x:c r="C219" s="157" t="str">
        <x:v>FY2025</x:v>
      </x:c>
      <x:c r="D219" s="158" t="n">
        <x:v>7.09</x:v>
      </x:c>
      <x:c r="E219" s="158" t="n">
        <x:f>MLCF!H159</x:f>
        <x:v>7.387043000579386</x:v>
      </x:c>
      <x:c r="F219" s="158" t="n">
        <x:f>MLCF!H108/(-MLCF!H95)</x:f>
        <x:v>7.094382281024916</x:v>
      </x:c>
      <x:c r="G219" s="162" t="str">
        <x:v>EBIT / all finance cost</x:v>
      </x:c>
      <x:c r="H219" s="162" t="str">
        <x:f>IF(AND(ISNUMBER(D219),ISNUMBER(F219)),IF(ROUND(D219,O219)=ROUND(F219,O219),"Reproduced to precision","Unresolved published value"),"Not comparable")</x:f>
        <x:v>Reproduced to precision</x:v>
      </x:c>
      <x:c r="I219" s="162" t="str">
        <x:v>Tested the source-based convention shown in G against official published precision. Unmatched values remain unresolved; neither the standardized method nor the financial inputs were altered to force agreement.</x:v>
      </x:c>
      <x:c r="J219" s="162" t="str">
        <x:v>FY2025 AR p175 "Six years' financial summary / key ratios"</x:v>
      </x:c>
      <x:c r="K219" s="162" t="str">
        <x:v>Reconciled (company convention)</x:v>
      </x:c>
      <x:c r="L219" s="162" t="str">
        <x:v>Source comparison</x:v>
      </x:c>
      <x:c r="M219" s="157" t="n">
        <x:f>IF(ISNUMBER(E219),E219-D219,"n/m")</x:f>
        <x:v>0.2970430005793858</x:v>
      </x:c>
      <x:c r="N219" s="157" t="n">
        <x:f>IF(ISNUMBER(F219),F219-D219,"n/m")</x:f>
        <x:v>0.0043822810249158906</x:v>
      </x:c>
      <x:c r="O219" s="157" t="n">
        <x:v>2</x:v>
      </x:c>
    </x:row>
    <x:row r="220" ht="112" hidden="0" customHeight="1">
      <x:c r="A220" s="75" t="str">
        <x:v>MLCF</x:v>
      </x:c>
      <x:c r="B220" s="75" t="str">
        <x:v>Price earnings ratio</x:v>
      </x:c>
      <x:c r="C220" s="75" t="str">
        <x:v>FY2021</x:v>
      </x:c>
      <x:c r="D220" s="159" t="n">
        <x:v>8.25</x:v>
      </x:c>
      <x:c r="E220" s="159" t="n">
        <x:f>MLCF!D172</x:f>
        <x:v>8.250622923265333</x:v>
      </x:c>
      <x:c r="F220" s="159" t="n">
        <x:f>'PSX Prices'!F21/(MLCF!D99/'PSX Prices'!O21)</x:f>
        <x:v>8.250622923265333</x:v>
      </x:c>
      <x:c r="G220" s="163" t="str">
        <x:v>Report price / unrounded report-basis EPS</x:v>
      </x:c>
      <x:c r="H220" s="163" t="str">
        <x:f>IF(AND(ISNUMBER(D220),ISNUMBER(F220)),IF(ROUND(D220,O220)=ROUND(F220,O220),"Reproduced to precision","Unresolved published value"),"Not comparable")</x:f>
        <x:v>Reproduced to precision</x:v>
      </x:c>
      <x:c r="I220" s="163" t="str">
        <x:v>Tested the source-based convention shown in G against official published precision. Unmatched values remain unresolved; neither the standardized method nor the financial inputs were altered to force agreement.</x:v>
      </x:c>
      <x:c r="J220" s="163" t="str">
        <x:v>FY2025 AR p175 "Six years' financial summary / key ratios"</x:v>
      </x:c>
      <x:c r="K220" s="163" t="str">
        <x:v>Market recheck</x:v>
      </x:c>
      <x:c r="L220" s="163" t="str">
        <x:v>Source comparison</x:v>
      </x:c>
      <x:c r="M220" s="75" t="n">
        <x:f>IF(ISNUMBER(E220),E220-D220,"n/m")</x:f>
        <x:v>0.0006229232653325312</x:v>
      </x:c>
      <x:c r="N220" s="75" t="n">
        <x:f>IF(ISNUMBER(F220),F220-D220,"n/m")</x:f>
        <x:v>0.0006229232653325312</x:v>
      </x:c>
      <x:c r="O220" s="75" t="n">
        <x:v>2</x:v>
      </x:c>
    </x:row>
    <x:row r="221" ht="112" hidden="0" customHeight="1">
      <x:c r="A221" s="157" t="str">
        <x:v>MLCF</x:v>
      </x:c>
      <x:c r="B221" s="157" t="str">
        <x:v>Price earnings ratio</x:v>
      </x:c>
      <x:c r="C221" s="157" t="str">
        <x:v>FY2022</x:v>
      </x:c>
      <x:c r="D221" s="158" t="n">
        <x:v>8.28</x:v>
      </x:c>
      <x:c r="E221" s="158" t="n">
        <x:f>MLCF!E172</x:f>
        <x:v>8.277569505341472</x:v>
      </x:c>
      <x:c r="F221" s="158" t="n">
        <x:f>'PSX Prices'!F22/(MLCF!E99/'PSX Prices'!O22)</x:f>
        <x:v>8.277569505341472</x:v>
      </x:c>
      <x:c r="G221" s="162" t="str">
        <x:v>Report price / unrounded report-basis EPS</x:v>
      </x:c>
      <x:c r="H221" s="162" t="str">
        <x:f>IF(AND(ISNUMBER(D221),ISNUMBER(F221)),IF(ROUND(D221,O221)=ROUND(F221,O221),"Reproduced to precision","Unresolved published value"),"Not comparable")</x:f>
        <x:v>Reproduced to precision</x:v>
      </x:c>
      <x:c r="I221" s="162" t="str">
        <x:v>Tested the source-based convention shown in G against official published precision. Unmatched values remain unresolved; neither the standardized method nor the financial inputs were altered to force agreement.</x:v>
      </x:c>
      <x:c r="J221" s="162" t="str">
        <x:v>FY2025 AR p175 "Six years' financial summary / key ratios"</x:v>
      </x:c>
      <x:c r="K221" s="162" t="str">
        <x:v>Market recheck</x:v>
      </x:c>
      <x:c r="L221" s="162" t="str">
        <x:v>Source comparison</x:v>
      </x:c>
      <x:c r="M221" s="157" t="n">
        <x:f>IF(ISNUMBER(E221),E221-D221,"n/m")</x:f>
        <x:v>-0.0024304946585278486</x:v>
      </x:c>
      <x:c r="N221" s="157" t="n">
        <x:f>IF(ISNUMBER(F221),F221-D221,"n/m")</x:f>
        <x:v>-0.0024304946585278486</x:v>
      </x:c>
      <x:c r="O221" s="157" t="n">
        <x:v>2</x:v>
      </x:c>
    </x:row>
    <x:row r="222" ht="112" hidden="0" customHeight="1">
      <x:c r="A222" s="75" t="str">
        <x:v>MLCF</x:v>
      </x:c>
      <x:c r="B222" s="75" t="str">
        <x:v>Price earnings ratio</x:v>
      </x:c>
      <x:c r="C222" s="75" t="str">
        <x:v>FY2023</x:v>
      </x:c>
      <x:c r="D222" s="159" t="n">
        <x:v>6.77</x:v>
      </x:c>
      <x:c r="E222" s="159" t="n">
        <x:f>MLCF!F172</x:f>
        <x:v>6.770214735324442</x:v>
      </x:c>
      <x:c r="F222" s="159" t="n">
        <x:f>'PSX Prices'!F23/(MLCF!F99/'PSX Prices'!O23)</x:f>
        <x:v>6.770214735324442</x:v>
      </x:c>
      <x:c r="G222" s="163" t="str">
        <x:v>Report price / unrounded report-basis EPS</x:v>
      </x:c>
      <x:c r="H222" s="163" t="str">
        <x:f>IF(AND(ISNUMBER(D222),ISNUMBER(F222)),IF(ROUND(D222,O222)=ROUND(F222,O222),"Reproduced to precision","Unresolved published value"),"Not comparable")</x:f>
        <x:v>Reproduced to precision</x:v>
      </x:c>
      <x:c r="I222" s="163" t="str">
        <x:v>Tested the source-based convention shown in G against official published precision. Unmatched values remain unresolved; neither the standardized method nor the financial inputs were altered to force agreement.</x:v>
      </x:c>
      <x:c r="J222" s="163" t="str">
        <x:v>FY2025 AR p175 "Six years' financial summary / key ratios"</x:v>
      </x:c>
      <x:c r="K222" s="163" t="str">
        <x:v>Market recheck</x:v>
      </x:c>
      <x:c r="L222" s="163" t="str">
        <x:v>Source comparison</x:v>
      </x:c>
      <x:c r="M222" s="75" t="n">
        <x:f>IF(ISNUMBER(E222),E222-D222,"n/m")</x:f>
        <x:v>0.0002147353244428274</x:v>
      </x:c>
      <x:c r="N222" s="75" t="n">
        <x:f>IF(ISNUMBER(F222),F222-D222,"n/m")</x:f>
        <x:v>0.0002147353244428274</x:v>
      </x:c>
      <x:c r="O222" s="75" t="n">
        <x:v>2</x:v>
      </x:c>
    </x:row>
    <x:row r="223" ht="112" hidden="0" customHeight="1">
      <x:c r="A223" s="157" t="str">
        <x:v>MLCF</x:v>
      </x:c>
      <x:c r="B223" s="157" t="str">
        <x:v>Price earnings ratio</x:v>
      </x:c>
      <x:c r="C223" s="157" t="str">
        <x:v>FY2024</x:v>
      </x:c>
      <x:c r="D223" s="158" t="n">
        <x:v>7.63</x:v>
      </x:c>
      <x:c r="E223" s="158" t="n">
        <x:f>MLCF!G172</x:f>
        <x:v>7.631751909473391</x:v>
      </x:c>
      <x:c r="F223" s="158" t="n">
        <x:f>'PSX Prices'!F24/(MLCF!G99/'PSX Prices'!O24)</x:f>
        <x:v>7.631751909473391</x:v>
      </x:c>
      <x:c r="G223" s="162" t="str">
        <x:v>Report price / unrounded report-basis EPS</x:v>
      </x:c>
      <x:c r="H223" s="162" t="str">
        <x:f>IF(AND(ISNUMBER(D223),ISNUMBER(F223)),IF(ROUND(D223,O223)=ROUND(F223,O223),"Reproduced to precision","Unresolved published value"),"Not comparable")</x:f>
        <x:v>Reproduced to precision</x:v>
      </x:c>
      <x:c r="I223" s="162" t="str">
        <x:v>Tested the source-based convention shown in G against official published precision. Unmatched values remain unresolved; neither the standardized method nor the financial inputs were altered to force agreement.</x:v>
      </x:c>
      <x:c r="J223" s="162" t="str">
        <x:v>FY2025 AR p175 "Six years' financial summary / key ratios"</x:v>
      </x:c>
      <x:c r="K223" s="162" t="str">
        <x:v>Market recheck</x:v>
      </x:c>
      <x:c r="L223" s="162" t="str">
        <x:v>Source comparison</x:v>
      </x:c>
      <x:c r="M223" s="157" t="n">
        <x:f>IF(ISNUMBER(E223),E223-D223,"n/m")</x:f>
        <x:v>0.001751909473391322</x:v>
      </x:c>
      <x:c r="N223" s="157" t="n">
        <x:f>IF(ISNUMBER(F223),F223-D223,"n/m")</x:f>
        <x:v>0.001751909473391322</x:v>
      </x:c>
      <x:c r="O223" s="157" t="n">
        <x:v>2</x:v>
      </x:c>
    </x:row>
    <x:row r="224" ht="112" hidden="0" customHeight="1">
      <x:c r="A224" s="75" t="str">
        <x:v>MLCF</x:v>
      </x:c>
      <x:c r="B224" s="75" t="str">
        <x:v>Price earnings ratio</x:v>
      </x:c>
      <x:c r="C224" s="75" t="str">
        <x:v>FY2025</x:v>
      </x:c>
      <x:c r="D224" s="159" t="n">
        <x:v>5.18</x:v>
      </x:c>
      <x:c r="E224" s="159" t="n">
        <x:f>MLCF!H172</x:f>
        <x:v>5.182359206248938</x:v>
      </x:c>
      <x:c r="F224" s="159" t="n">
        <x:f>'PSX Prices'!F25/(MLCF!H99/'PSX Prices'!O25)</x:f>
        <x:v>5.182359206248938</x:v>
      </x:c>
      <x:c r="G224" s="163" t="str">
        <x:v>Report price / unrounded report-basis EPS</x:v>
      </x:c>
      <x:c r="H224" s="163" t="str">
        <x:f>IF(AND(ISNUMBER(D224),ISNUMBER(F224)),IF(ROUND(D224,O224)=ROUND(F224,O224),"Reproduced to precision","Unresolved published value"),"Not comparable")</x:f>
        <x:v>Reproduced to precision</x:v>
      </x:c>
      <x:c r="I224" s="163" t="str">
        <x:v>Tested the source-based convention shown in G against official published precision. Unmatched values remain unresolved; neither the standardized method nor the financial inputs were altered to force agreement.</x:v>
      </x:c>
      <x:c r="J224" s="163" t="str">
        <x:v>FY2025 AR p175 "Six years' financial summary / key ratios"</x:v>
      </x:c>
      <x:c r="K224" s="163" t="str">
        <x:v>Market recheck</x:v>
      </x:c>
      <x:c r="L224" s="163" t="str">
        <x:v>Source comparison</x:v>
      </x:c>
      <x:c r="M224" s="75" t="n">
        <x:f>IF(ISNUMBER(E224),E224-D224,"n/m")</x:f>
        <x:v>0.0023592062489381505</x:v>
      </x:c>
      <x:c r="N224" s="75" t="n">
        <x:f>IF(ISNUMBER(F224),F224-D224,"n/m")</x:f>
        <x:v>0.0023592062489381505</x:v>
      </x:c>
      <x:c r="O224" s="75" t="n">
        <x:v>2</x:v>
      </x:c>
    </x:row>
    <x:row r="225" ht="112" hidden="0" customHeight="1">
      <x:c r="A225" s="157" t="str">
        <x:v>FCCL</x:v>
      </x:c>
      <x:c r="B225" s="157" t="str">
        <x:v>Interest cover ratio</x:v>
      </x:c>
      <x:c r="C225" s="157" t="str">
        <x:v>FY2021</x:v>
      </x:c>
      <x:c r="D225" s="158" t="n">
        <x:v>48</x:v>
      </x:c>
      <x:c r="E225" s="158" t="n">
        <x:f>FCCL!D159</x:f>
        <x:v>56.640991401771736</x:v>
      </x:c>
      <x:c r="F225" s="158" t="n">
        <x:f>FCCL!D108/(-FCCL!D95)</x:f>
        <x:v>47.593251416217385</x:v>
      </x:c>
      <x:c r="G225" s="162" t="str">
        <x:v>EBIT / all finance cost</x:v>
      </x:c>
      <x:c r="H225" s="162" t="str">
        <x:f>IF(AND(ISNUMBER(D225),ISNUMBER(F225)),IF(ROUND(D225,O225)=ROUND(F225,O225),"Reproduced to precision","Unresolved published value"),"Not comparable")</x:f>
        <x:v>Reproduced to precision</x:v>
      </x:c>
      <x:c r="I225" s="162" t="str">
        <x:v>FY2021/22 reproduce EBIT / total finance cost at printed whole-number precision. FY2023/24 reproduce EBIT / bank interest, excluding lease/WPPF interest. FY2025 gives 4.8346 versus published 4.84, a remaining 0.01 rounding inconsistency; no denominator adjustment invented.</x:v>
      </x:c>
      <x:c r="J225" s="162" t="str">
        <x:v>FY2025 AR p216 "Six years at a glance"</x:v>
      </x:c>
      <x:c r="K225" s="162" t="str">
        <x:v>Not reproduced</x:v>
      </x:c>
      <x:c r="L225" s="162" t="str">
        <x:v>Published methodology difference; FY2025 rounding unresolved</x:v>
      </x:c>
      <x:c r="M225" s="157" t="n">
        <x:f>IF(ISNUMBER(E225),E225-D225,"n/m")</x:f>
        <x:v>8.640991401771736</x:v>
      </x:c>
      <x:c r="N225" s="157" t="n">
        <x:f>IF(ISNUMBER(F225),F225-D225,"n/m")</x:f>
        <x:v>-0.40674858378261547</x:v>
      </x:c>
      <x:c r="O225" s="157" t="n">
        <x:v>0</x:v>
      </x:c>
    </x:row>
    <x:row r="226" ht="112" hidden="0" customHeight="1">
      <x:c r="A226" s="75" t="str">
        <x:v>FCCL</x:v>
      </x:c>
      <x:c r="B226" s="75" t="str">
        <x:v>Interest cover ratio</x:v>
      </x:c>
      <x:c r="C226" s="75" t="str">
        <x:v>FY2022</x:v>
      </x:c>
      <x:c r="D226" s="159" t="n">
        <x:v>11</x:v>
      </x:c>
      <x:c r="E226" s="159" t="n">
        <x:f>FCCL!E159</x:f>
        <x:v>12.790793831338474</x:v>
      </x:c>
      <x:c r="F226" s="159" t="n">
        <x:f>FCCL!E108/(-FCCL!E95)</x:f>
        <x:v>10.593856419543082</x:v>
      </x:c>
      <x:c r="G226" s="163" t="str">
        <x:v>EBIT / all finance cost</x:v>
      </x:c>
      <x:c r="H226" s="163" t="str">
        <x:f>IF(AND(ISNUMBER(D226),ISNUMBER(F226)),IF(ROUND(D226,O226)=ROUND(F226,O226),"Reproduced to precision","Unresolved published value"),"Not comparable")</x:f>
        <x:v>Reproduced to precision</x:v>
      </x:c>
      <x:c r="I226" s="163" t="str">
        <x:v>FY2021/22 reproduce EBIT / total finance cost at printed whole-number precision. FY2023/24 reproduce EBIT / bank interest, excluding lease/WPPF interest. FY2025 gives 4.8346 versus published 4.84, a remaining 0.01 rounding inconsistency; no denominator adjustment invented.</x:v>
      </x:c>
      <x:c r="J226" s="163" t="str">
        <x:v>FY2025 AR p216 "Six years at a glance"</x:v>
      </x:c>
      <x:c r="K226" s="163" t="str">
        <x:v>Not reproduced</x:v>
      </x:c>
      <x:c r="L226" s="163" t="str">
        <x:v>Published methodology difference; FY2025 rounding unresolved</x:v>
      </x:c>
      <x:c r="M226" s="75" t="n">
        <x:f>IF(ISNUMBER(E226),E226-D226,"n/m")</x:f>
        <x:v>1.7907938313384744</x:v>
      </x:c>
      <x:c r="N226" s="75" t="n">
        <x:f>IF(ISNUMBER(F226),F226-D226,"n/m")</x:f>
        <x:v>-0.40614358045691823</x:v>
      </x:c>
      <x:c r="O226" s="75" t="n">
        <x:v>0</x:v>
      </x:c>
    </x:row>
    <x:row r="227" ht="112" hidden="0" customHeight="1">
      <x:c r="A227" s="157" t="str">
        <x:v>FCCL</x:v>
      </x:c>
      <x:c r="B227" s="157" t="str">
        <x:v>Interest cover ratio</x:v>
      </x:c>
      <x:c r="C227" s="157" t="str">
        <x:v>FY2023</x:v>
      </x:c>
      <x:c r="D227" s="158" t="n">
        <x:v>6.38</x:v>
      </x:c>
      <x:c r="E227" s="158" t="n">
        <x:f>FCCL!F159</x:f>
        <x:v>6.303455869186725</x:v>
      </x:c>
      <x:c r="F227" s="158" t="n">
        <x:f>FCCL!F108/FCCL!F255</x:f>
        <x:v>6.3834948815521</x:v>
      </x:c>
      <x:c r="G227" s="162" t="str">
        <x:v>EBIT / bank interest only, excludes WPPF and leases</x:v>
      </x:c>
      <x:c r="H227" s="162" t="str">
        <x:f>IF(AND(ISNUMBER(D227),ISNUMBER(F227)),IF(ROUND(D227,O227)=ROUND(F227,O227),"Reproduced to precision","Unresolved published value"),"Not comparable")</x:f>
        <x:v>Reproduced to precision</x:v>
      </x:c>
      <x:c r="I227" s="162" t="str">
        <x:v>FY2021/22 reproduce EBIT / total finance cost at printed whole-number precision. FY2023/24 reproduce EBIT / bank interest, excluding lease/WPPF interest. FY2025 gives 4.8346 versus published 4.84, a remaining 0.01 rounding inconsistency; no denominator adjustment invented.</x:v>
      </x:c>
      <x:c r="J227" s="162" t="str">
        <x:v>FY2025 AR p216 "Six years at a glance"</x:v>
      </x:c>
      <x:c r="K227" s="162" t="str">
        <x:v>Not reproduced</x:v>
      </x:c>
      <x:c r="L227" s="162" t="str">
        <x:v>Published methodology difference; FY2025 rounding unresolved</x:v>
      </x:c>
      <x:c r="M227" s="157" t="n">
        <x:f>IF(ISNUMBER(E227),E227-D227,"n/m")</x:f>
        <x:v>-0.07654413081327505</x:v>
      </x:c>
      <x:c r="N227" s="157" t="n">
        <x:f>IF(ISNUMBER(F227),F227-D227,"n/m")</x:f>
        <x:v>0.003494881552100537</x:v>
      </x:c>
      <x:c r="O227" s="157" t="n">
        <x:v>2</x:v>
      </x:c>
    </x:row>
    <x:row r="228" ht="112" hidden="0" customHeight="1">
      <x:c r="A228" s="75" t="str">
        <x:v>FCCL</x:v>
      </x:c>
      <x:c r="B228" s="75" t="str">
        <x:v>Interest cover ratio</x:v>
      </x:c>
      <x:c r="C228" s="75" t="str">
        <x:v>FY2024</x:v>
      </x:c>
      <x:c r="D228" s="159" t="n">
        <x:v>3.82</x:v>
      </x:c>
      <x:c r="E228" s="159" t="n">
        <x:f>FCCL!G159</x:f>
        <x:v>3.782086656189459</x:v>
      </x:c>
      <x:c r="F228" s="159" t="n">
        <x:f>FCCL!G108/FCCL!G255</x:f>
        <x:v>3.820015461998517</x:v>
      </x:c>
      <x:c r="G228" s="163" t="str">
        <x:v>EBIT / bank interest only, excludes WPPF and leases</x:v>
      </x:c>
      <x:c r="H228" s="163" t="str">
        <x:f>IF(AND(ISNUMBER(D228),ISNUMBER(F228)),IF(ROUND(D228,O228)=ROUND(F228,O228),"Reproduced to precision","Unresolved published value"),"Not comparable")</x:f>
        <x:v>Reproduced to precision</x:v>
      </x:c>
      <x:c r="I228" s="163" t="str">
        <x:v>FY2021/22 reproduce EBIT / total finance cost at printed whole-number precision. FY2023/24 reproduce EBIT / bank interest, excluding lease/WPPF interest. FY2025 gives 4.8346 versus published 4.84, a remaining 0.01 rounding inconsistency; no denominator adjustment invented.</x:v>
      </x:c>
      <x:c r="J228" s="163" t="str">
        <x:v>FY2025 AR p216 "Six years at a glance"</x:v>
      </x:c>
      <x:c r="K228" s="163" t="str">
        <x:v>Not reproduced</x:v>
      </x:c>
      <x:c r="L228" s="163" t="str">
        <x:v>Published methodology difference; FY2025 rounding unresolved</x:v>
      </x:c>
      <x:c r="M228" s="75" t="n">
        <x:f>IF(ISNUMBER(E228),E228-D228,"n/m")</x:f>
        <x:v>-0.03791334381054101</x:v>
      </x:c>
      <x:c r="N228" s="75" t="n">
        <x:f>IF(ISNUMBER(F228),F228-D228,"n/m")</x:f>
        <x:v>0.00001546199851709673</x:v>
      </x:c>
      <x:c r="O228" s="75" t="n">
        <x:v>2</x:v>
      </x:c>
    </x:row>
    <x:row r="229" ht="112" hidden="0" customHeight="1">
      <x:c r="A229" s="157" t="str">
        <x:v>FCCL</x:v>
      </x:c>
      <x:c r="B229" s="157" t="str">
        <x:v>Interest cover ratio</x:v>
      </x:c>
      <x:c r="C229" s="157" t="str">
        <x:v>FY2025</x:v>
      </x:c>
      <x:c r="D229" s="158" t="n">
        <x:v>4.84</x:v>
      </x:c>
      <x:c r="E229" s="158" t="n">
        <x:f>FCCL!H159</x:f>
        <x:v>4.810770991481205</x:v>
      </x:c>
      <x:c r="F229" s="158" t="n">
        <x:f>FCCL!H108/FCCL!H255</x:f>
        <x:v>4.834572040699615</x:v>
      </x:c>
      <x:c r="G229" s="162" t="str">
        <x:v>EBIT / bank interest only, excludes WPPF and leases</x:v>
      </x:c>
      <x:c r="H229" s="162" t="str">
        <x:f>IF(AND(ISNUMBER(D229),ISNUMBER(F229)),IF(ROUND(D229,O229)=ROUND(F229,O229),"Reproduced to precision","Unresolved published value"),"Not comparable")</x:f>
        <x:v>Unresolved published value</x:v>
      </x:c>
      <x:c r="I229" s="162" t="str">
        <x:v>FY2021/22 reproduce EBIT / total finance cost at printed whole-number precision. FY2023/24 reproduce EBIT / bank interest, excluding lease/WPPF interest. FY2025 gives 4.8346 versus published 4.84, a remaining 0.01 rounding inconsistency; no denominator adjustment invented.</x:v>
      </x:c>
      <x:c r="J229" s="162" t="str">
        <x:v>FY2025 AR p216 "Six years at a glance"</x:v>
      </x:c>
      <x:c r="K229" s="162" t="str">
        <x:v>Not reproduced</x:v>
      </x:c>
      <x:c r="L229" s="162" t="str">
        <x:v>Published methodology difference; FY2025 rounding unresolved</x:v>
      </x:c>
      <x:c r="M229" s="157" t="n">
        <x:f>IF(ISNUMBER(E229),E229-D229,"n/m")</x:f>
        <x:v>-0.029229008518794508</x:v>
      </x:c>
      <x:c r="N229" s="157" t="n">
        <x:f>IF(ISNUMBER(F229),F229-D229,"n/m")</x:f>
        <x:v>-0.005427959300384977</x:v>
      </x:c>
      <x:c r="O229" s="157" t="n">
        <x:v>2</x:v>
      </x:c>
    </x:row>
    <x:row r="230" ht="112" hidden="0" customHeight="1">
      <x:c r="A230" s="75" t="str">
        <x:v>FCCL</x:v>
      </x:c>
      <x:c r="B230" s="75" t="str">
        <x:v>Break-up value per share</x:v>
      </x:c>
      <x:c r="C230" s="75" t="str">
        <x:v>FY2021</x:v>
      </x:c>
      <x:c r="D230" s="159" t="n">
        <x:v>16.87</x:v>
      </x:c>
      <x:c r="E230" s="159" t="n">
        <x:f>FCCL!D169</x:f>
        <x:v>16.868689643176804</x:v>
      </x:c>
      <x:c r="F230" s="159" t="n">
        <x:f>FCCL!D41/(FCCL!D39/FCCL!D127)/'PSX Prices'!G26</x:f>
        <x:v>16.868689643176804</x:v>
      </x:c>
      <x:c r="G230" s="163" t="str">
        <x:v>Equity / issued shares, converted to report split basis</x:v>
      </x:c>
      <x:c r="H230" s="163" t="str">
        <x:f>IF(AND(ISNUMBER(D230),ISNUMBER(F230)),IF(ROUND(D230,O230)=ROUND(F230,O230),"Reproduced to precision","Unresolved published value"),"Not comparable")</x:f>
        <x:v>Reproduced to precision</x:v>
      </x:c>
      <x:c r="I230" s="163" t="str">
        <x:v>Tested the source-based convention shown in G against official published precision. Unmatched values remain unresolved; neither the standardized method nor the financial inputs were altered to force agreement.</x:v>
      </x:c>
      <x:c r="J230" s="163" t="str">
        <x:v>FY2025 AR p216 "Six years at a glance"</x:v>
      </x:c>
      <x:c r="K230" s="163" t="str">
        <x:v>Market recheck</x:v>
      </x:c>
      <x:c r="L230" s="163" t="str">
        <x:v>Source comparison</x:v>
      </x:c>
      <x:c r="M230" s="75" t="n">
        <x:f>IF(ISNUMBER(E230),E230-D230,"n/m")</x:f>
        <x:v>-0.001310356823196912</x:v>
      </x:c>
      <x:c r="N230" s="75" t="n">
        <x:f>IF(ISNUMBER(F230),F230-D230,"n/m")</x:f>
        <x:v>-0.001310356823196912</x:v>
      </x:c>
      <x:c r="O230" s="75" t="n">
        <x:v>2</x:v>
      </x:c>
    </x:row>
    <x:row r="231" ht="112" hidden="0" customHeight="1">
      <x:c r="A231" s="157" t="str">
        <x:v>FCCL</x:v>
      </x:c>
      <x:c r="B231" s="157" t="str">
        <x:v>Break-up value per share</x:v>
      </x:c>
      <x:c r="C231" s="157" t="str">
        <x:v>FY2022</x:v>
      </x:c>
      <x:c r="D231" s="158" t="n">
        <x:v>26.48</x:v>
      </x:c>
      <x:c r="E231" s="158" t="n">
        <x:f>FCCL!E169</x:f>
        <x:v>26.480675904195227</x:v>
      </x:c>
      <x:c r="F231" s="158" t="n">
        <x:f>FCCL!E41/(FCCL!E39/FCCL!E127)/'PSX Prices'!G27</x:f>
        <x:v>26.480675904195227</x:v>
      </x:c>
      <x:c r="G231" s="162" t="str">
        <x:v>Equity / issued shares, converted to report split basis</x:v>
      </x:c>
      <x:c r="H231" s="162" t="str">
        <x:f>IF(AND(ISNUMBER(D231),ISNUMBER(F231)),IF(ROUND(D231,O231)=ROUND(F231,O231),"Reproduced to precision","Unresolved published value"),"Not comparable")</x:f>
        <x:v>Reproduced to precision</x:v>
      </x:c>
      <x:c r="I231" s="162" t="str">
        <x:v>Tested the source-based convention shown in G against official published precision. Unmatched values remain unresolved; neither the standardized method nor the financial inputs were altered to force agreement.</x:v>
      </x:c>
      <x:c r="J231" s="162" t="str">
        <x:v>FY2025 AR p216 "Six years at a glance"</x:v>
      </x:c>
      <x:c r="K231" s="162" t="str">
        <x:v>Market recheck</x:v>
      </x:c>
      <x:c r="L231" s="162" t="str">
        <x:v>Source comparison</x:v>
      </x:c>
      <x:c r="M231" s="157" t="n">
        <x:f>IF(ISNUMBER(E231),E231-D231,"n/m")</x:f>
        <x:v>0.0006759041952264511</x:v>
      </x:c>
      <x:c r="N231" s="157" t="n">
        <x:f>IF(ISNUMBER(F231),F231-D231,"n/m")</x:f>
        <x:v>0.0006759041952264511</x:v>
      </x:c>
      <x:c r="O231" s="157" t="n">
        <x:v>2</x:v>
      </x:c>
    </x:row>
    <x:row r="232" ht="112" hidden="0" customHeight="1">
      <x:c r="A232" s="75" t="str">
        <x:v>FCCL</x:v>
      </x:c>
      <x:c r="B232" s="75" t="str">
        <x:v>Break-up value per share</x:v>
      </x:c>
      <x:c r="C232" s="75" t="str">
        <x:v>FY2023</x:v>
      </x:c>
      <x:c r="D232" s="159" t="n">
        <x:v>26.57</x:v>
      </x:c>
      <x:c r="E232" s="159" t="n">
        <x:f>FCCL!F169</x:f>
        <x:v>26.57145800660424</x:v>
      </x:c>
      <x:c r="F232" s="159" t="n">
        <x:f>FCCL!F41/(FCCL!F39/FCCL!F127)/'PSX Prices'!G28</x:f>
        <x:v>26.57145800660424</x:v>
      </x:c>
      <x:c r="G232" s="163" t="str">
        <x:v>Equity / issued shares, converted to report split basis</x:v>
      </x:c>
      <x:c r="H232" s="163" t="str">
        <x:f>IF(AND(ISNUMBER(D232),ISNUMBER(F232)),IF(ROUND(D232,O232)=ROUND(F232,O232),"Reproduced to precision","Unresolved published value"),"Not comparable")</x:f>
        <x:v>Reproduced to precision</x:v>
      </x:c>
      <x:c r="I232" s="163" t="str">
        <x:v>Tested the source-based convention shown in G against official published precision. Unmatched values remain unresolved; neither the standardized method nor the financial inputs were altered to force agreement.</x:v>
      </x:c>
      <x:c r="J232" s="163" t="str">
        <x:v>FY2025 AR p216 "Six years at a glance"</x:v>
      </x:c>
      <x:c r="K232" s="163" t="str">
        <x:v>Market recheck</x:v>
      </x:c>
      <x:c r="L232" s="163" t="str">
        <x:v>Source comparison</x:v>
      </x:c>
      <x:c r="M232" s="75" t="n">
        <x:f>IF(ISNUMBER(E232),E232-D232,"n/m")</x:f>
        <x:v>0.0014580066042384487</x:v>
      </x:c>
      <x:c r="N232" s="75" t="n">
        <x:f>IF(ISNUMBER(F232),F232-D232,"n/m")</x:f>
        <x:v>0.0014580066042384487</x:v>
      </x:c>
      <x:c r="O232" s="75" t="n">
        <x:v>2</x:v>
      </x:c>
    </x:row>
    <x:row r="233" ht="112" hidden="0" customHeight="1">
      <x:c r="A233" s="157" t="str">
        <x:v>FCCL</x:v>
      </x:c>
      <x:c r="B233" s="157" t="str">
        <x:v>Break-up value per share</x:v>
      </x:c>
      <x:c r="C233" s="157" t="str">
        <x:v>FY2024</x:v>
      </x:c>
      <x:c r="D233" s="158" t="n">
        <x:v>29.92</x:v>
      </x:c>
      <x:c r="E233" s="158" t="n">
        <x:f>FCCL!G169</x:f>
        <x:v>29.923935347634316</x:v>
      </x:c>
      <x:c r="F233" s="158" t="n">
        <x:f>FCCL!G41/(FCCL!G39/FCCL!G127)/'PSX Prices'!G29</x:f>
        <x:v>29.923935347634316</x:v>
      </x:c>
      <x:c r="G233" s="162" t="str">
        <x:v>Equity / issued shares, converted to report split basis</x:v>
      </x:c>
      <x:c r="H233" s="162" t="str">
        <x:f>IF(AND(ISNUMBER(D233),ISNUMBER(F233)),IF(ROUND(D233,O233)=ROUND(F233,O233),"Reproduced to precision","Unresolved published value"),"Not comparable")</x:f>
        <x:v>Reproduced to precision</x:v>
      </x:c>
      <x:c r="I233" s="162" t="str">
        <x:v>Tested the source-based convention shown in G against official published precision. Unmatched values remain unresolved; neither the standardized method nor the financial inputs were altered to force agreement.</x:v>
      </x:c>
      <x:c r="J233" s="162" t="str">
        <x:v>FY2025 AR p216 "Six years at a glance"</x:v>
      </x:c>
      <x:c r="K233" s="162" t="str">
        <x:v>Market recheck</x:v>
      </x:c>
      <x:c r="L233" s="162" t="str">
        <x:v>Source comparison</x:v>
      </x:c>
      <x:c r="M233" s="157" t="n">
        <x:f>IF(ISNUMBER(E233),E233-D233,"n/m")</x:f>
        <x:v>0.003935347634314468</x:v>
      </x:c>
      <x:c r="N233" s="157" t="n">
        <x:f>IF(ISNUMBER(F233),F233-D233,"n/m")</x:f>
        <x:v>0.003935347634314468</x:v>
      </x:c>
      <x:c r="O233" s="157" t="n">
        <x:v>2</x:v>
      </x:c>
    </x:row>
    <x:row r="234" ht="112" hidden="0" customHeight="1">
      <x:c r="A234" s="75" t="str">
        <x:v>FCCL</x:v>
      </x:c>
      <x:c r="B234" s="75" t="str">
        <x:v>Break-up value per share</x:v>
      </x:c>
      <x:c r="C234" s="75" t="str">
        <x:v>FY2025</x:v>
      </x:c>
      <x:c r="D234" s="159" t="n">
        <x:v>34.36</x:v>
      </x:c>
      <x:c r="E234" s="159" t="n">
        <x:f>FCCL!H169</x:f>
        <x:v>34.35688707280468</x:v>
      </x:c>
      <x:c r="F234" s="159" t="n">
        <x:f>FCCL!H41/(FCCL!H39/FCCL!H127)/'PSX Prices'!G30</x:f>
        <x:v>34.35688707280468</x:v>
      </x:c>
      <x:c r="G234" s="163" t="str">
        <x:v>Equity / issued shares, converted to report split basis</x:v>
      </x:c>
      <x:c r="H234" s="163" t="str">
        <x:f>IF(AND(ISNUMBER(D234),ISNUMBER(F234)),IF(ROUND(D234,O234)=ROUND(F234,O234),"Reproduced to precision","Unresolved published value"),"Not comparable")</x:f>
        <x:v>Reproduced to precision</x:v>
      </x:c>
      <x:c r="I234" s="163" t="str">
        <x:v>Tested the source-based convention shown in G against official published precision. Unmatched values remain unresolved; neither the standardized method nor the financial inputs were altered to force agreement.</x:v>
      </x:c>
      <x:c r="J234" s="163" t="str">
        <x:v>FY2025 AR p216 "Six years at a glance"</x:v>
      </x:c>
      <x:c r="K234" s="163" t="str">
        <x:v>Market recheck</x:v>
      </x:c>
      <x:c r="L234" s="163" t="str">
        <x:v>Source comparison</x:v>
      </x:c>
      <x:c r="M234" s="75" t="n">
        <x:f>IF(ISNUMBER(E234),E234-D234,"n/m")</x:f>
        <x:v>-0.0031129271953176385</x:v>
      </x:c>
      <x:c r="N234" s="75" t="n">
        <x:f>IF(ISNUMBER(F234),F234-D234,"n/m")</x:f>
        <x:v>-0.0031129271953176385</x:v>
      </x:c>
      <x:c r="O234" s="75" t="n">
        <x:v>2</x:v>
      </x:c>
    </x:row>
    <x:row r="235" ht="112" hidden="0" customHeight="1">
      <x:c r="A235" s="157" t="str">
        <x:v>FCCL</x:v>
      </x:c>
      <x:c r="B235" s="157" t="str">
        <x:v>Earnings per share</x:v>
      </x:c>
      <x:c r="C235" s="157" t="str">
        <x:v>FY2021</x:v>
      </x:c>
      <x:c r="D235" s="158" t="n">
        <x:v>2.52</x:v>
      </x:c>
      <x:c r="E235" s="158" t="n">
        <x:f>FCCL!D171</x:f>
        <x:v>2.5158090033808875</x:v>
      </x:c>
      <x:c r="F235" s="158" t="n">
        <x:f>FCCL!D99/'PSX Prices'!O26</x:f>
        <x:v>2.5158090033808875</x:v>
      </x:c>
      <x:c r="G235" s="162" t="str">
        <x:v>PAT / reported-basis weighted shares</x:v>
      </x:c>
      <x:c r="H235" s="162" t="str">
        <x:f>IF(AND(ISNUMBER(D235),ISNUMBER(F235)),IF(ROUND(D235,O235)=ROUND(F235,O235),"Reproduced to precision","Unresolved published value"),"Not comparable")</x:f>
        <x:v>Reproduced to precision</x:v>
      </x:c>
      <x:c r="I235" s="162" t="str">
        <x:v>Tested the source-based convention shown in G against official published precision. Unmatched values remain unresolved; neither the standardized method nor the financial inputs were altered to force agreement.</x:v>
      </x:c>
      <x:c r="J235" s="162" t="str">
        <x:v>FY2025 AR p216 "Six years at a glance"</x:v>
      </x:c>
      <x:c r="K235" s="162" t="str">
        <x:v>Market recheck</x:v>
      </x:c>
      <x:c r="L235" s="162" t="str">
        <x:v>Source comparison</x:v>
      </x:c>
      <x:c r="M235" s="157" t="n">
        <x:f>IF(ISNUMBER(E235),E235-D235,"n/m")</x:f>
        <x:v>-0.004190996619112486</x:v>
      </x:c>
      <x:c r="N235" s="157" t="n">
        <x:f>IF(ISNUMBER(F235),F235-D235,"n/m")</x:f>
        <x:v>-0.004190996619112486</x:v>
      </x:c>
      <x:c r="O235" s="157" t="n">
        <x:v>2</x:v>
      </x:c>
    </x:row>
    <x:row r="236" ht="112" hidden="0" customHeight="1">
      <x:c r="A236" s="75" t="str">
        <x:v>FCCL</x:v>
      </x:c>
      <x:c r="B236" s="75" t="str">
        <x:v>Earnings per share</x:v>
      </x:c>
      <x:c r="C236" s="75" t="str">
        <x:v>FY2022</x:v>
      </x:c>
      <x:c r="D236" s="159" t="n">
        <x:v>3.02</x:v>
      </x:c>
      <x:c r="E236" s="159" t="n">
        <x:f>FCCL!E171</x:f>
        <x:v>3.2621706372812294</x:v>
      </x:c>
      <x:c r="F236" s="159" t="n">
        <x:f>FCCL!E99/'PSX Prices'!O27</x:f>
        <x:v>3.0220616696812757</x:v>
      </x:c>
      <x:c r="G236" s="163" t="str">
        <x:v>PAT / reported-basis weighted shares</x:v>
      </x:c>
      <x:c r="H236" s="163" t="str">
        <x:f>IF(AND(ISNUMBER(D236),ISNUMBER(F236)),IF(ROUND(D236,O236)=ROUND(F236,O236),"Reproduced to precision","Unresolved published value"),"Not comparable")</x:f>
        <x:v>Reproduced to precision</x:v>
      </x:c>
      <x:c r="I236" s="163" t="str">
        <x:v>Tested the source-based convention shown in G against official published precision. Unmatched values remain unresolved; neither the standardized method nor the financial inputs were altered to force agreement.</x:v>
      </x:c>
      <x:c r="J236" s="163" t="str">
        <x:v>FY2025 AR p216 "Six years at a glance"</x:v>
      </x:c>
      <x:c r="K236" s="163" t="str">
        <x:v>Market recheck</x:v>
      </x:c>
      <x:c r="L236" s="163" t="str">
        <x:v>Source comparison</x:v>
      </x:c>
      <x:c r="M236" s="75" t="n">
        <x:f>IF(ISNUMBER(E236),E236-D236,"n/m")</x:f>
        <x:v>0.24217063728122934</x:v>
      </x:c>
      <x:c r="N236" s="75" t="n">
        <x:f>IF(ISNUMBER(F236),F236-D236,"n/m")</x:f>
        <x:v>0.002061669681275635</x:v>
      </x:c>
      <x:c r="O236" s="75" t="n">
        <x:v>2</x:v>
      </x:c>
    </x:row>
    <x:row r="237" ht="112" hidden="0" customHeight="1">
      <x:c r="A237" s="157" t="str">
        <x:v>FCCL</x:v>
      </x:c>
      <x:c r="B237" s="157" t="str">
        <x:v>Earnings per share</x:v>
      </x:c>
      <x:c r="C237" s="157" t="str">
        <x:v>FY2023</x:v>
      </x:c>
      <x:c r="D237" s="158" t="n">
        <x:v>3.16</x:v>
      </x:c>
      <x:c r="E237" s="158" t="n">
        <x:f>FCCL!F171</x:f>
        <x:v>3.0330791851886794</x:v>
      </x:c>
      <x:c r="F237" s="158" t="n">
        <x:f>FCCL!F99/'PSX Prices'!O28</x:f>
        <x:v>3.161061278355705</x:v>
      </x:c>
      <x:c r="G237" s="162" t="str">
        <x:v>PAT / reported-basis weighted shares</x:v>
      </x:c>
      <x:c r="H237" s="162" t="str">
        <x:f>IF(AND(ISNUMBER(D237),ISNUMBER(F237)),IF(ROUND(D237,O237)=ROUND(F237,O237),"Reproduced to precision","Unresolved published value"),"Not comparable")</x:f>
        <x:v>Reproduced to precision</x:v>
      </x:c>
      <x:c r="I237" s="162" t="str">
        <x:v>Tested the source-based convention shown in G against official published precision. Unmatched values remain unresolved; neither the standardized method nor the financial inputs were altered to force agreement.</x:v>
      </x:c>
      <x:c r="J237" s="162" t="str">
        <x:v>FY2025 AR p216 "Six years at a glance"</x:v>
      </x:c>
      <x:c r="K237" s="162" t="str">
        <x:v>Market recheck</x:v>
      </x:c>
      <x:c r="L237" s="162" t="str">
        <x:v>Source comparison</x:v>
      </x:c>
      <x:c r="M237" s="157" t="n">
        <x:f>IF(ISNUMBER(E237),E237-D237,"n/m")</x:f>
        <x:v>-0.12692081481132078</x:v>
      </x:c>
      <x:c r="N237" s="157" t="n">
        <x:f>IF(ISNUMBER(F237),F237-D237,"n/m")</x:f>
        <x:v>0.0010612783557046868</x:v>
      </x:c>
      <x:c r="O237" s="157" t="n">
        <x:v>2</x:v>
      </x:c>
    </x:row>
    <x:row r="238" ht="112" hidden="0" customHeight="1">
      <x:c r="A238" s="75" t="str">
        <x:v>FCCL</x:v>
      </x:c>
      <x:c r="B238" s="75" t="str">
        <x:v>Earnings per share</x:v>
      </x:c>
      <x:c r="C238" s="75" t="str">
        <x:v>FY2024</x:v>
      </x:c>
      <x:c r="D238" s="159" t="n">
        <x:v>3.35</x:v>
      </x:c>
      <x:c r="E238" s="159" t="n">
        <x:f>FCCL!G171</x:f>
        <x:v>3.3524781610919856</x:v>
      </x:c>
      <x:c r="F238" s="159" t="n">
        <x:f>FCCL!G99/'PSX Prices'!O29</x:f>
        <x:v>3.3524781610919856</x:v>
      </x:c>
      <x:c r="G238" s="163" t="str">
        <x:v>PAT / reported-basis weighted shares</x:v>
      </x:c>
      <x:c r="H238" s="163" t="str">
        <x:f>IF(AND(ISNUMBER(D238),ISNUMBER(F238)),IF(ROUND(D238,O238)=ROUND(F238,O238),"Reproduced to precision","Unresolved published value"),"Not comparable")</x:f>
        <x:v>Reproduced to precision</x:v>
      </x:c>
      <x:c r="I238" s="163" t="str">
        <x:v>Tested the source-based convention shown in G against official published precision. Unmatched values remain unresolved; neither the standardized method nor the financial inputs were altered to force agreement.</x:v>
      </x:c>
      <x:c r="J238" s="163" t="str">
        <x:v>FY2025 AR p216 "Six years at a glance"</x:v>
      </x:c>
      <x:c r="K238" s="163" t="str">
        <x:v>Market recheck</x:v>
      </x:c>
      <x:c r="L238" s="163" t="str">
        <x:v>Source comparison</x:v>
      </x:c>
      <x:c r="M238" s="75" t="n">
        <x:f>IF(ISNUMBER(E238),E238-D238,"n/m")</x:f>
        <x:v>0.002478161091985509</x:v>
      </x:c>
      <x:c r="N238" s="75" t="n">
        <x:f>IF(ISNUMBER(F238),F238-D238,"n/m")</x:f>
        <x:v>0.002478161091985509</x:v>
      </x:c>
      <x:c r="O238" s="75" t="n">
        <x:v>2</x:v>
      </x:c>
    </x:row>
    <x:row r="239" ht="112" hidden="0" customHeight="1">
      <x:c r="A239" s="157" t="str">
        <x:v>FCCL</x:v>
      </x:c>
      <x:c r="B239" s="157" t="str">
        <x:v>Earnings per share</x:v>
      </x:c>
      <x:c r="C239" s="157" t="str">
        <x:v>FY2025</x:v>
      </x:c>
      <x:c r="D239" s="158" t="n">
        <x:v>5.43</x:v>
      </x:c>
      <x:c r="E239" s="158" t="n">
        <x:f>FCCL!H171</x:f>
        <x:v>5.432952809531124</x:v>
      </x:c>
      <x:c r="F239" s="158" t="n">
        <x:f>FCCL!H99/'PSX Prices'!O30</x:f>
        <x:v>5.432952809531124</x:v>
      </x:c>
      <x:c r="G239" s="162" t="str">
        <x:v>PAT / reported-basis weighted shares</x:v>
      </x:c>
      <x:c r="H239" s="162" t="str">
        <x:f>IF(AND(ISNUMBER(D239),ISNUMBER(F239)),IF(ROUND(D239,O239)=ROUND(F239,O239),"Reproduced to precision","Unresolved published value"),"Not comparable")</x:f>
        <x:v>Reproduced to precision</x:v>
      </x:c>
      <x:c r="I239" s="162" t="str">
        <x:v>Tested the source-based convention shown in G against official published precision. Unmatched values remain unresolved; neither the standardized method nor the financial inputs were altered to force agreement.</x:v>
      </x:c>
      <x:c r="J239" s="162" t="str">
        <x:v>FY2025 AR p216 "Six years at a glance"</x:v>
      </x:c>
      <x:c r="K239" s="162" t="str">
        <x:v>Market recheck</x:v>
      </x:c>
      <x:c r="L239" s="162" t="str">
        <x:v>Source comparison</x:v>
      </x:c>
      <x:c r="M239" s="157" t="n">
        <x:f>IF(ISNUMBER(E239),E239-D239,"n/m")</x:f>
        <x:v>0.002952809531124423</x:v>
      </x:c>
      <x:c r="N239" s="157" t="n">
        <x:f>IF(ISNUMBER(F239),F239-D239,"n/m")</x:f>
        <x:v>0.002952809531124423</x:v>
      </x:c>
      <x:c r="O239" s="157" t="n">
        <x:v>2</x:v>
      </x:c>
    </x:row>
    <x:row r="240" ht="112" hidden="0" customHeight="1">
      <x:c r="A240" s="75" t="str">
        <x:v>FCCL</x:v>
      </x:c>
      <x:c r="B240" s="75" t="str">
        <x:v>Price earnings ratio</x:v>
      </x:c>
      <x:c r="C240" s="75" t="str">
        <x:v>FY2021</x:v>
      </x:c>
      <x:c r="D240" s="159" t="n">
        <x:v>7.96</x:v>
      </x:c>
      <x:c r="E240" s="159" t="n">
        <x:f>FCCL!D172</x:f>
        <x:v>9.14218844478706</x:v>
      </x:c>
      <x:c r="F240" s="159" t="n">
        <x:f>'PSX Prices'!F26/(FCCL!D99/'PSX Prices'!O26)</x:f>
        <x:v>9.14218844478706</x:v>
      </x:c>
      <x:c r="G240" s="163" t="str">
        <x:v>Report price / unrounded report-basis EPS</x:v>
      </x:c>
      <x:c r="H240" s="163" t="str">
        <x:f>IF(AND(ISNUMBER(D240),ISNUMBER(F240)),IF(ROUND(D240,O240)=ROUND(F240,O240),"Reproduced to precision","Unresolved published value"),"Not comparable")</x:f>
        <x:v>Unresolved published value</x:v>
      </x:c>
      <x:c r="I240" s="163" t="str">
        <x:v>All five fail printed year-end price divided by audited EPS, including unrounded EPS. FY2021–25 implied prices (published P/E x printed EPS) are about 20.06,18.12,12.39,17.62,36.33, versus PSX 23.00,14.17,11.76,22.91,44.67. No disclosed price date or averaging rule supports substitution. Official PSX prices retained.</x:v>
      </x:c>
      <x:c r="J240" s="163" t="str">
        <x:v>FY2025 AR p216 "Six years at a glance"</x:v>
      </x:c>
      <x:c r="K240" s="163" t="str">
        <x:v>Published value unresolved</x:v>
      </x:c>
      <x:c r="L240" s="163" t="str">
        <x:v>Unresolved official market-series inconsistency</x:v>
      </x:c>
      <x:c r="M240" s="75" t="n">
        <x:f>IF(ISNUMBER(E240),E240-D240,"n/m")</x:f>
        <x:v>1.1821884447870596</x:v>
      </x:c>
      <x:c r="N240" s="75" t="n">
        <x:f>IF(ISNUMBER(F240),F240-D240,"n/m")</x:f>
        <x:v>1.1821884447870596</x:v>
      </x:c>
      <x:c r="O240" s="75" t="n">
        <x:v>2</x:v>
      </x:c>
    </x:row>
    <x:row r="241" ht="112" hidden="0" customHeight="1">
      <x:c r="A241" s="157" t="str">
        <x:v>FCCL</x:v>
      </x:c>
      <x:c r="B241" s="157" t="str">
        <x:v>Price earnings ratio</x:v>
      </x:c>
      <x:c r="C241" s="157" t="str">
        <x:v>FY2022</x:v>
      </x:c>
      <x:c r="D241" s="158" t="n">
        <x:v>6</x:v>
      </x:c>
      <x:c r="E241" s="158" t="n">
        <x:f>FCCL!E172</x:f>
        <x:v>4.343733536823694</x:v>
      </x:c>
      <x:c r="F241" s="158" t="n">
        <x:f>'PSX Prices'!F27/(FCCL!E99/'PSX Prices'!O27)</x:f>
        <x:v>4.688852031763617</x:v>
      </x:c>
      <x:c r="G241" s="162" t="str">
        <x:v>Report price / unrounded report-basis EPS</x:v>
      </x:c>
      <x:c r="H241" s="162" t="str">
        <x:f>IF(AND(ISNUMBER(D241),ISNUMBER(F241)),IF(ROUND(D241,O241)=ROUND(F241,O241),"Reproduced to precision","Unresolved published value"),"Not comparable")</x:f>
        <x:v>Unresolved published value</x:v>
      </x:c>
      <x:c r="I241" s="162" t="str">
        <x:v>All five fail printed year-end price divided by audited EPS, including unrounded EPS. FY2021–25 implied prices (published P/E x printed EPS) are about 20.06,18.12,12.39,17.62,36.33, versus PSX 23.00,14.17,11.76,22.91,44.67. No disclosed price date or averaging rule supports substitution. Official PSX prices retained.</x:v>
      </x:c>
      <x:c r="J241" s="162" t="str">
        <x:v>FY2025 AR p216 "Six years at a glance"</x:v>
      </x:c>
      <x:c r="K241" s="162" t="str">
        <x:v>Published value unresolved</x:v>
      </x:c>
      <x:c r="L241" s="162" t="str">
        <x:v>Unresolved official market-series inconsistency</x:v>
      </x:c>
      <x:c r="M241" s="157" t="n">
        <x:f>IF(ISNUMBER(E241),E241-D241,"n/m")</x:f>
        <x:v>-1.6562664631763058</x:v>
      </x:c>
      <x:c r="N241" s="157" t="n">
        <x:f>IF(ISNUMBER(F241),F241-D241,"n/m")</x:f>
        <x:v>-1.3111479682363827</x:v>
      </x:c>
      <x:c r="O241" s="157" t="n">
        <x:v>2</x:v>
      </x:c>
    </x:row>
    <x:row r="242" ht="112" hidden="0" customHeight="1">
      <x:c r="A242" s="75" t="str">
        <x:v>FCCL</x:v>
      </x:c>
      <x:c r="B242" s="75" t="str">
        <x:v>Price earnings ratio</x:v>
      </x:c>
      <x:c r="C242" s="75" t="str">
        <x:v>FY2023</x:v>
      </x:c>
      <x:c r="D242" s="159" t="n">
        <x:v>3.92</x:v>
      </x:c>
      <x:c r="E242" s="159" t="n">
        <x:f>FCCL!F172</x:f>
        <x:v>3.877247932539039</x:v>
      </x:c>
      <x:c r="F242" s="159" t="n">
        <x:f>'PSX Prices'!F28/(FCCL!F99/'PSX Prices'!O28)</x:f>
        <x:v>3.7202695438151143</x:v>
      </x:c>
      <x:c r="G242" s="163" t="str">
        <x:v>Report price / unrounded report-basis EPS</x:v>
      </x:c>
      <x:c r="H242" s="163" t="str">
        <x:f>IF(AND(ISNUMBER(D242),ISNUMBER(F242)),IF(ROUND(D242,O242)=ROUND(F242,O242),"Reproduced to precision","Unresolved published value"),"Not comparable")</x:f>
        <x:v>Unresolved published value</x:v>
      </x:c>
      <x:c r="I242" s="163" t="str">
        <x:v>All five fail printed year-end price divided by audited EPS, including unrounded EPS. FY2021–25 implied prices (published P/E x printed EPS) are about 20.06,18.12,12.39,17.62,36.33, versus PSX 23.00,14.17,11.76,22.91,44.67. No disclosed price date or averaging rule supports substitution. Official PSX prices retained.</x:v>
      </x:c>
      <x:c r="J242" s="163" t="str">
        <x:v>FY2025 AR p216 "Six years at a glance"</x:v>
      </x:c>
      <x:c r="K242" s="163" t="str">
        <x:v>Published value unresolved</x:v>
      </x:c>
      <x:c r="L242" s="163" t="str">
        <x:v>Unresolved official market-series inconsistency</x:v>
      </x:c>
      <x:c r="M242" s="75" t="n">
        <x:f>IF(ISNUMBER(E242),E242-D242,"n/m")</x:f>
        <x:v>-0.04275206746096094</x:v>
      </x:c>
      <x:c r="N242" s="75" t="n">
        <x:f>IF(ISNUMBER(F242),F242-D242,"n/m")</x:f>
        <x:v>-0.1997304561848856</x:v>
      </x:c>
      <x:c r="O242" s="75" t="n">
        <x:v>2</x:v>
      </x:c>
    </x:row>
    <x:row r="243" ht="112" hidden="0" customHeight="1">
      <x:c r="A243" s="157" t="str">
        <x:v>FCCL</x:v>
      </x:c>
      <x:c r="B243" s="157" t="str">
        <x:v>Price earnings ratio</x:v>
      </x:c>
      <x:c r="C243" s="157" t="str">
        <x:v>FY2024</x:v>
      </x:c>
      <x:c r="D243" s="158" t="n">
        <x:v>5.26</x:v>
      </x:c>
      <x:c r="E243" s="158" t="n">
        <x:f>FCCL!G172</x:f>
        <x:v>6.833750705936781</x:v>
      </x:c>
      <x:c r="F243" s="158" t="n">
        <x:f>'PSX Prices'!F29/(FCCL!G99/'PSX Prices'!O29)</x:f>
        <x:v>6.833750705936781</x:v>
      </x:c>
      <x:c r="G243" s="162" t="str">
        <x:v>Report price / unrounded report-basis EPS</x:v>
      </x:c>
      <x:c r="H243" s="162" t="str">
        <x:f>IF(AND(ISNUMBER(D243),ISNUMBER(F243)),IF(ROUND(D243,O243)=ROUND(F243,O243),"Reproduced to precision","Unresolved published value"),"Not comparable")</x:f>
        <x:v>Unresolved published value</x:v>
      </x:c>
      <x:c r="I243" s="162" t="str">
        <x:v>All five fail printed year-end price divided by audited EPS, including unrounded EPS. FY2021–25 implied prices (published P/E x printed EPS) are about 20.06,18.12,12.39,17.62,36.33, versus PSX 23.00,14.17,11.76,22.91,44.67. No disclosed price date or averaging rule supports substitution. Official PSX prices retained.</x:v>
      </x:c>
      <x:c r="J243" s="162" t="str">
        <x:v>FY2025 AR p216 "Six years at a glance"</x:v>
      </x:c>
      <x:c r="K243" s="162" t="str">
        <x:v>Published value unresolved</x:v>
      </x:c>
      <x:c r="L243" s="162" t="str">
        <x:v>Unresolved official market-series inconsistency</x:v>
      </x:c>
      <x:c r="M243" s="157" t="n">
        <x:f>IF(ISNUMBER(E243),E243-D243,"n/m")</x:f>
        <x:v>1.5737507059367815</x:v>
      </x:c>
      <x:c r="N243" s="157" t="n">
        <x:f>IF(ISNUMBER(F243),F243-D243,"n/m")</x:f>
        <x:v>1.5737507059367815</x:v>
      </x:c>
      <x:c r="O243" s="157" t="n">
        <x:v>2</x:v>
      </x:c>
    </x:row>
    <x:row r="244" ht="112" hidden="0" customHeight="1">
      <x:c r="A244" s="75" t="str">
        <x:v>FCCL</x:v>
      </x:c>
      <x:c r="B244" s="75" t="str">
        <x:v>Price earnings ratio</x:v>
      </x:c>
      <x:c r="C244" s="75" t="str">
        <x:v>FY2025</x:v>
      </x:c>
      <x:c r="D244" s="159" t="n">
        <x:v>6.69</x:v>
      </x:c>
      <x:c r="E244" s="159" t="n">
        <x:f>FCCL!H172</x:f>
        <x:v>8.222048224242743</x:v>
      </x:c>
      <x:c r="F244" s="159" t="n">
        <x:f>'PSX Prices'!F30/(FCCL!H99/'PSX Prices'!O30)</x:f>
        <x:v>8.222048224242743</x:v>
      </x:c>
      <x:c r="G244" s="163" t="str">
        <x:v>Report price / unrounded report-basis EPS</x:v>
      </x:c>
      <x:c r="H244" s="163" t="str">
        <x:f>IF(AND(ISNUMBER(D244),ISNUMBER(F244)),IF(ROUND(D244,O244)=ROUND(F244,O244),"Reproduced to precision","Unresolved published value"),"Not comparable")</x:f>
        <x:v>Unresolved published value</x:v>
      </x:c>
      <x:c r="I244" s="163" t="str">
        <x:v>All five fail printed year-end price divided by audited EPS, including unrounded EPS. FY2021–25 implied prices (published P/E x printed EPS) are about 20.06,18.12,12.39,17.62,36.33, versus PSX 23.00,14.17,11.76,22.91,44.67. No disclosed price date or averaging rule supports substitution. Official PSX prices retained.</x:v>
      </x:c>
      <x:c r="J244" s="163" t="str">
        <x:v>FY2025 AR p216 "Six years at a glance"</x:v>
      </x:c>
      <x:c r="K244" s="163" t="str">
        <x:v>Published value unresolved</x:v>
      </x:c>
      <x:c r="L244" s="163" t="str">
        <x:v>Unresolved official market-series inconsistency</x:v>
      </x:c>
      <x:c r="M244" s="75" t="n">
        <x:f>IF(ISNUMBER(E244),E244-D244,"n/m")</x:f>
        <x:v>1.5320482242427422</x:v>
      </x:c>
      <x:c r="N244" s="75" t="n">
        <x:f>IF(ISNUMBER(F244),F244-D244,"n/m")</x:f>
        <x:v>1.5320482242427422</x:v>
      </x:c>
      <x:c r="O244" s="75" t="n">
        <x:v>2</x:v>
      </x:c>
    </x:row>
    <x:row r="245" ht="112" hidden="0" customHeight="1">
      <x:c r="A245" s="157" t="str">
        <x:v>FCCL</x:v>
      </x:c>
      <x:c r="B245" s="157" t="str">
        <x:v>Dividend yield</x:v>
      </x:c>
      <x:c r="C245" s="157" t="str">
        <x:v>FY2021</x:v>
      </x:c>
      <x:c r="D245" s="161" t="n">
        <x:v>0</x:v>
      </x:c>
      <x:c r="E245" s="161" t="n">
        <x:f>FCCL!D173</x:f>
        <x:v>0</x:v>
      </x:c>
      <x:c r="F245" s="161" t="n">
        <x:f>'PSX Prices'!N26/'PSX Prices'!F26</x:f>
        <x:v>0</x:v>
      </x:c>
      <x:c r="G245" s="162" t="str">
        <x:v>Report DPS / report price</x:v>
      </x:c>
      <x:c r="H245" s="162" t="str">
        <x:f>IF(AND(ISNUMBER(D245),ISNUMBER(F245)),IF(ROUND(D245,O245)=ROUND(F245,O245),"Reproduced to precision","Unresolved published value"),"Not comparable")</x:f>
        <x:v>Reproduced to precision</x:v>
      </x:c>
      <x:c r="I245" s="162" t="str">
        <x:v>Tested the source-based convention shown in G against official published precision. Unmatched values remain unresolved; neither the standardized method nor the financial inputs were altered to force agreement.</x:v>
      </x:c>
      <x:c r="J245" s="162" t="str">
        <x:v>FY2025 AR p216 "Six years at a glance"</x:v>
      </x:c>
      <x:c r="K245" s="162" t="str">
        <x:v>Market recheck</x:v>
      </x:c>
      <x:c r="L245" s="162" t="str">
        <x:v>Source comparison</x:v>
      </x:c>
      <x:c r="M245" s="157" t="n">
        <x:f>IF(ISNUMBER(E245),E245-D245,"n/m")</x:f>
        <x:v>0</x:v>
      </x:c>
      <x:c r="N245" s="157" t="n">
        <x:f>IF(ISNUMBER(F245),F245-D245,"n/m")</x:f>
        <x:v>0</x:v>
      </x:c>
      <x:c r="O245" s="157" t="n">
        <x:v>4</x:v>
      </x:c>
    </x:row>
    <x:row r="246" ht="112" hidden="0" customHeight="1">
      <x:c r="A246" s="75" t="str">
        <x:v>FCCL</x:v>
      </x:c>
      <x:c r="B246" s="75" t="str">
        <x:v>Dividend yield</x:v>
      </x:c>
      <x:c r="C246" s="75" t="str">
        <x:v>FY2022</x:v>
      </x:c>
      <x:c r="D246" s="160" t="n">
        <x:v>0</x:v>
      </x:c>
      <x:c r="E246" s="160" t="n">
        <x:f>FCCL!E173</x:f>
        <x:v>0</x:v>
      </x:c>
      <x:c r="F246" s="160" t="n">
        <x:f>'PSX Prices'!N27/'PSX Prices'!F27</x:f>
        <x:v>0</x:v>
      </x:c>
      <x:c r="G246" s="163" t="str">
        <x:v>Report DPS / report price</x:v>
      </x:c>
      <x:c r="H246" s="163" t="str">
        <x:f>IF(AND(ISNUMBER(D246),ISNUMBER(F246)),IF(ROUND(D246,O246)=ROUND(F246,O246),"Reproduced to precision","Unresolved published value"),"Not comparable")</x:f>
        <x:v>Reproduced to precision</x:v>
      </x:c>
      <x:c r="I246" s="163" t="str">
        <x:v>Tested the source-based convention shown in G against official published precision. Unmatched values remain unresolved; neither the standardized method nor the financial inputs were altered to force agreement.</x:v>
      </x:c>
      <x:c r="J246" s="163" t="str">
        <x:v>FY2025 AR p216 "Six years at a glance"</x:v>
      </x:c>
      <x:c r="K246" s="163" t="str">
        <x:v>Market recheck</x:v>
      </x:c>
      <x:c r="L246" s="163" t="str">
        <x:v>Source comparison</x:v>
      </x:c>
      <x:c r="M246" s="75" t="n">
        <x:f>IF(ISNUMBER(E246),E246-D246,"n/m")</x:f>
        <x:v>0</x:v>
      </x:c>
      <x:c r="N246" s="75" t="n">
        <x:f>IF(ISNUMBER(F246),F246-D246,"n/m")</x:f>
        <x:v>0</x:v>
      </x:c>
      <x:c r="O246" s="75" t="n">
        <x:v>4</x:v>
      </x:c>
    </x:row>
    <x:row r="247" ht="112" hidden="0" customHeight="1">
      <x:c r="A247" s="157" t="str">
        <x:v>FCCL</x:v>
      </x:c>
      <x:c r="B247" s="157" t="str">
        <x:v>Dividend yield</x:v>
      </x:c>
      <x:c r="C247" s="157" t="str">
        <x:v>FY2023</x:v>
      </x:c>
      <x:c r="D247" s="161" t="n">
        <x:v>0</x:v>
      </x:c>
      <x:c r="E247" s="161" t="n">
        <x:f>FCCL!F173</x:f>
        <x:v>0</x:v>
      </x:c>
      <x:c r="F247" s="161" t="n">
        <x:f>'PSX Prices'!N28/'PSX Prices'!F28</x:f>
        <x:v>0</x:v>
      </x:c>
      <x:c r="G247" s="162" t="str">
        <x:v>Report DPS / report price</x:v>
      </x:c>
      <x:c r="H247" s="162" t="str">
        <x:f>IF(AND(ISNUMBER(D247),ISNUMBER(F247)),IF(ROUND(D247,O247)=ROUND(F247,O247),"Reproduced to precision","Unresolved published value"),"Not comparable")</x:f>
        <x:v>Reproduced to precision</x:v>
      </x:c>
      <x:c r="I247" s="162" t="str">
        <x:v>Tested the source-based convention shown in G against official published precision. Unmatched values remain unresolved; neither the standardized method nor the financial inputs were altered to force agreement.</x:v>
      </x:c>
      <x:c r="J247" s="162" t="str">
        <x:v>FY2025 AR p216 "Six years at a glance"</x:v>
      </x:c>
      <x:c r="K247" s="162" t="str">
        <x:v>Market recheck</x:v>
      </x:c>
      <x:c r="L247" s="162" t="str">
        <x:v>Source comparison</x:v>
      </x:c>
      <x:c r="M247" s="157" t="n">
        <x:f>IF(ISNUMBER(E247),E247-D247,"n/m")</x:f>
        <x:v>0</x:v>
      </x:c>
      <x:c r="N247" s="157" t="n">
        <x:f>IF(ISNUMBER(F247),F247-D247,"n/m")</x:f>
        <x:v>0</x:v>
      </x:c>
      <x:c r="O247" s="157" t="n">
        <x:v>4</x:v>
      </x:c>
    </x:row>
    <x:row r="248" ht="112" hidden="0" customHeight="1">
      <x:c r="A248" s="75" t="str">
        <x:v>FCCL</x:v>
      </x:c>
      <x:c r="B248" s="75" t="str">
        <x:v>Dividend yield</x:v>
      </x:c>
      <x:c r="C248" s="75" t="str">
        <x:v>FY2024</x:v>
      </x:c>
      <x:c r="D248" s="160" t="n">
        <x:v>0.0436</x:v>
      </x:c>
      <x:c r="E248" s="160" t="n">
        <x:f>FCCL!G173</x:f>
        <x:v>0.04364906154517678</x:v>
      </x:c>
      <x:c r="F248" s="160" t="n">
        <x:f>'PSX Prices'!N29/'PSX Prices'!F29</x:f>
        <x:v>0.04364906154517678</x:v>
      </x:c>
      <x:c r="G248" s="163" t="str">
        <x:v>Report DPS / report price</x:v>
      </x:c>
      <x:c r="H248" s="163" t="str">
        <x:f>IF(AND(ISNUMBER(D248),ISNUMBER(F248)),IF(ROUND(D248,O248)=ROUND(F248,O248),"Reproduced to precision","Unresolved published value"),"Not comparable")</x:f>
        <x:v>Reproduced to precision</x:v>
      </x:c>
      <x:c r="I248" s="163" t="str">
        <x:v>Tested the source-based convention shown in G against official published precision. Unmatched values remain unresolved; neither the standardized method nor the financial inputs were altered to force agreement.</x:v>
      </x:c>
      <x:c r="J248" s="163" t="str">
        <x:v>FY2025 AR p216 "Six years at a glance"</x:v>
      </x:c>
      <x:c r="K248" s="163" t="str">
        <x:v>Market recheck</x:v>
      </x:c>
      <x:c r="L248" s="163" t="str">
        <x:v>Source comparison</x:v>
      </x:c>
      <x:c r="M248" s="75" t="n">
        <x:f>IF(ISNUMBER(E248),E248-D248,"n/m")</x:f>
        <x:v>0.00004906154517678174</x:v>
      </x:c>
      <x:c r="N248" s="75" t="n">
        <x:f>IF(ISNUMBER(F248),F248-D248,"n/m")</x:f>
        <x:v>0.00004906154517678174</x:v>
      </x:c>
      <x:c r="O248" s="75" t="n">
        <x:v>4</x:v>
      </x:c>
    </x:row>
    <x:row r="249" ht="112" hidden="0" customHeight="1">
      <x:c r="A249" s="157" t="str">
        <x:v>FCCL</x:v>
      </x:c>
      <x:c r="B249" s="157" t="str">
        <x:v>Dividend yield</x:v>
      </x:c>
      <x:c r="C249" s="157" t="str">
        <x:v>FY2025</x:v>
      </x:c>
      <x:c r="D249" s="161" t="n">
        <x:v>0.028</x:v>
      </x:c>
      <x:c r="E249" s="161" t="n">
        <x:f>FCCL!H173</x:f>
        <x:v>0.027982986344302664</x:v>
      </x:c>
      <x:c r="F249" s="161" t="n">
        <x:f>'PSX Prices'!N30/'PSX Prices'!F30</x:f>
        <x:v>0.027982986344302664</x:v>
      </x:c>
      <x:c r="G249" s="162" t="str">
        <x:v>Report DPS / report price</x:v>
      </x:c>
      <x:c r="H249" s="162" t="str">
        <x:f>IF(AND(ISNUMBER(D249),ISNUMBER(F249)),IF(ROUND(D249,O249)=ROUND(F249,O249),"Reproduced to precision","Unresolved published value"),"Not comparable")</x:f>
        <x:v>Reproduced to precision</x:v>
      </x:c>
      <x:c r="I249" s="162" t="str">
        <x:v>Tested the source-based convention shown in G against official published precision. Unmatched values remain unresolved; neither the standardized method nor the financial inputs were altered to force agreement.</x:v>
      </x:c>
      <x:c r="J249" s="162" t="str">
        <x:v>FY2025 AR p216 "Six years at a glance"</x:v>
      </x:c>
      <x:c r="K249" s="162" t="str">
        <x:v>Market recheck</x:v>
      </x:c>
      <x:c r="L249" s="162" t="str">
        <x:v>Source comparison</x:v>
      </x:c>
      <x:c r="M249" s="157" t="n">
        <x:f>IF(ISNUMBER(E249),E249-D249,"n/m")</x:f>
        <x:v>-0.000017013655697336455</x:v>
      </x:c>
      <x:c r="N249" s="157" t="n">
        <x:f>IF(ISNUMBER(F249),F249-D249,"n/m")</x:f>
        <x:v>-0.000017013655697336455</x:v>
      </x:c>
      <x:c r="O249" s="157" t="n">
        <x:v>4</x:v>
      </x:c>
    </x:row>
    <x:row r="250" ht="112" hidden="0" customHeight="1">
      <x:c r="A250" s="75" t="str">
        <x:v>FCCL</x:v>
      </x:c>
      <x:c r="B250" s="75" t="str">
        <x:v>Dividend payout ratio</x:v>
      </x:c>
      <x:c r="C250" s="75" t="str">
        <x:v>FY2021</x:v>
      </x:c>
      <x:c r="D250" s="160" t="n">
        <x:v>0</x:v>
      </x:c>
      <x:c r="E250" s="160" t="n">
        <x:f>FCCL!D174</x:f>
        <x:v>0</x:v>
      </x:c>
      <x:c r="F250" s="160" t="n">
        <x:f>'PSX Prices'!N26/(FCCL!D99/'PSX Prices'!O26)</x:f>
        <x:v>0</x:v>
      </x:c>
      <x:c r="G250" s="163" t="str">
        <x:v>Report DPS / unrounded report-basis EPS</x:v>
      </x:c>
      <x:c r="H250" s="163" t="str">
        <x:f>IF(AND(ISNUMBER(D250),ISNUMBER(F250)),IF(ROUND(D250,O250)=ROUND(F250,O250),"Reproduced to precision","Unresolved published value"),"Not comparable")</x:f>
        <x:v>Reproduced to precision</x:v>
      </x:c>
      <x:c r="I250" s="163" t="str">
        <x:v>Tested the source-based convention shown in G against official published precision. Unmatched values remain unresolved; neither the standardized method nor the financial inputs were altered to force agreement.</x:v>
      </x:c>
      <x:c r="J250" s="163" t="str">
        <x:v>FY2025 AR p216 "Six years at a glance"</x:v>
      </x:c>
      <x:c r="K250" s="163" t="str">
        <x:v>Market recheck</x:v>
      </x:c>
      <x:c r="L250" s="163" t="str">
        <x:v>Source comparison</x:v>
      </x:c>
      <x:c r="M250" s="75" t="n">
        <x:f>IF(ISNUMBER(E250),E250-D250,"n/m")</x:f>
        <x:v>0</x:v>
      </x:c>
      <x:c r="N250" s="75" t="n">
        <x:f>IF(ISNUMBER(F250),F250-D250,"n/m")</x:f>
        <x:v>0</x:v>
      </x:c>
      <x:c r="O250" s="75" t="n">
        <x:v>4</x:v>
      </x:c>
    </x:row>
    <x:row r="251" ht="112" hidden="0" customHeight="1">
      <x:c r="A251" s="157" t="str">
        <x:v>FCCL</x:v>
      </x:c>
      <x:c r="B251" s="157" t="str">
        <x:v>Dividend payout ratio</x:v>
      </x:c>
      <x:c r="C251" s="157" t="str">
        <x:v>FY2022</x:v>
      </x:c>
      <x:c r="D251" s="161" t="n">
        <x:v>0</x:v>
      </x:c>
      <x:c r="E251" s="161" t="n">
        <x:f>FCCL!E174</x:f>
        <x:v>0</x:v>
      </x:c>
      <x:c r="F251" s="161" t="n">
        <x:f>'PSX Prices'!N27/(FCCL!E99/'PSX Prices'!O27)</x:f>
        <x:v>0</x:v>
      </x:c>
      <x:c r="G251" s="162" t="str">
        <x:v>Report DPS / unrounded report-basis EPS</x:v>
      </x:c>
      <x:c r="H251" s="162" t="str">
        <x:f>IF(AND(ISNUMBER(D251),ISNUMBER(F251)),IF(ROUND(D251,O251)=ROUND(F251,O251),"Reproduced to precision","Unresolved published value"),"Not comparable")</x:f>
        <x:v>Reproduced to precision</x:v>
      </x:c>
      <x:c r="I251" s="162" t="str">
        <x:v>Tested the source-based convention shown in G against official published precision. Unmatched values remain unresolved; neither the standardized method nor the financial inputs were altered to force agreement.</x:v>
      </x:c>
      <x:c r="J251" s="162" t="str">
        <x:v>FY2025 AR p216 "Six years at a glance"</x:v>
      </x:c>
      <x:c r="K251" s="162" t="str">
        <x:v>Market recheck</x:v>
      </x:c>
      <x:c r="L251" s="162" t="str">
        <x:v>Source comparison</x:v>
      </x:c>
      <x:c r="M251" s="157" t="n">
        <x:f>IF(ISNUMBER(E251),E251-D251,"n/m")</x:f>
        <x:v>0</x:v>
      </x:c>
      <x:c r="N251" s="157" t="n">
        <x:f>IF(ISNUMBER(F251),F251-D251,"n/m")</x:f>
        <x:v>0</x:v>
      </x:c>
      <x:c r="O251" s="157" t="n">
        <x:v>4</x:v>
      </x:c>
    </x:row>
    <x:row r="252" ht="112" hidden="0" customHeight="1">
      <x:c r="A252" s="75" t="str">
        <x:v>FCCL</x:v>
      </x:c>
      <x:c r="B252" s="75" t="str">
        <x:v>Dividend payout ratio</x:v>
      </x:c>
      <x:c r="C252" s="75" t="str">
        <x:v>FY2023</x:v>
      </x:c>
      <x:c r="D252" s="160" t="n">
        <x:v>0</x:v>
      </x:c>
      <x:c r="E252" s="160" t="n">
        <x:f>FCCL!F174</x:f>
        <x:v>0</x:v>
      </x:c>
      <x:c r="F252" s="160" t="n">
        <x:f>'PSX Prices'!N28/(FCCL!F99/'PSX Prices'!O28)</x:f>
        <x:v>0</x:v>
      </x:c>
      <x:c r="G252" s="163" t="str">
        <x:v>Report DPS / unrounded report-basis EPS</x:v>
      </x:c>
      <x:c r="H252" s="163" t="str">
        <x:f>IF(AND(ISNUMBER(D252),ISNUMBER(F252)),IF(ROUND(D252,O252)=ROUND(F252,O252),"Reproduced to precision","Unresolved published value"),"Not comparable")</x:f>
        <x:v>Reproduced to precision</x:v>
      </x:c>
      <x:c r="I252" s="163" t="str">
        <x:v>Tested the source-based convention shown in G against official published precision. Unmatched values remain unresolved; neither the standardized method nor the financial inputs were altered to force agreement.</x:v>
      </x:c>
      <x:c r="J252" s="163" t="str">
        <x:v>FY2025 AR p216 "Six years at a glance"</x:v>
      </x:c>
      <x:c r="K252" s="163" t="str">
        <x:v>Market recheck</x:v>
      </x:c>
      <x:c r="L252" s="163" t="str">
        <x:v>Source comparison</x:v>
      </x:c>
      <x:c r="M252" s="75" t="n">
        <x:f>IF(ISNUMBER(E252),E252-D252,"n/m")</x:f>
        <x:v>0</x:v>
      </x:c>
      <x:c r="N252" s="75" t="n">
        <x:f>IF(ISNUMBER(F252),F252-D252,"n/m")</x:f>
        <x:v>0</x:v>
      </x:c>
      <x:c r="O252" s="75" t="n">
        <x:v>4</x:v>
      </x:c>
    </x:row>
    <x:row r="253" ht="112" hidden="0" customHeight="1">
      <x:c r="A253" s="157" t="str">
        <x:v>FCCL</x:v>
      </x:c>
      <x:c r="B253" s="157" t="str">
        <x:v>Dividend payout ratio</x:v>
      </x:c>
      <x:c r="C253" s="157" t="str">
        <x:v>FY2024</x:v>
      </x:c>
      <x:c r="D253" s="161" t="n">
        <x:v>0.2983</x:v>
      </x:c>
      <x:c r="E253" s="161" t="n">
        <x:f>FCCL!G174</x:f>
        <x:v>0.29828680514782985</x:v>
      </x:c>
      <x:c r="F253" s="161" t="n">
        <x:f>'PSX Prices'!N29/(FCCL!G99/'PSX Prices'!O29)</x:f>
        <x:v>0.29828680514782985</x:v>
      </x:c>
      <x:c r="G253" s="162" t="str">
        <x:v>Report DPS / unrounded report-basis EPS</x:v>
      </x:c>
      <x:c r="H253" s="162" t="str">
        <x:f>IF(AND(ISNUMBER(D253),ISNUMBER(F253)),IF(ROUND(D253,O253)=ROUND(F253,O253),"Reproduced to precision","Unresolved published value"),"Not comparable")</x:f>
        <x:v>Reproduced to precision</x:v>
      </x:c>
      <x:c r="I253" s="162" t="str">
        <x:v>Tested the source-based convention shown in G against official published precision. Unmatched values remain unresolved; neither the standardized method nor the financial inputs were altered to force agreement.</x:v>
      </x:c>
      <x:c r="J253" s="162" t="str">
        <x:v>FY2025 AR p216 "Six years at a glance"</x:v>
      </x:c>
      <x:c r="K253" s="162" t="str">
        <x:v>Market recheck</x:v>
      </x:c>
      <x:c r="L253" s="162" t="str">
        <x:v>Source comparison</x:v>
      </x:c>
      <x:c r="M253" s="157" t="n">
        <x:f>IF(ISNUMBER(E253),E253-D253,"n/m")</x:f>
        <x:v>-0.00001319485217016192</x:v>
      </x:c>
      <x:c r="N253" s="157" t="n">
        <x:f>IF(ISNUMBER(F253),F253-D253,"n/m")</x:f>
        <x:v>-0.00001319485217016192</x:v>
      </x:c>
      <x:c r="O253" s="157" t="n">
        <x:v>4</x:v>
      </x:c>
    </x:row>
    <x:row r="254" ht="112" hidden="0" customHeight="1">
      <x:c r="A254" s="75" t="str">
        <x:v>FCCL</x:v>
      </x:c>
      <x:c r="B254" s="75" t="str">
        <x:v>Dividend payout ratio</x:v>
      </x:c>
      <x:c r="C254" s="75" t="str">
        <x:v>FY2025</x:v>
      </x:c>
      <x:c r="D254" s="160" t="n">
        <x:v>0.2301</x:v>
      </x:c>
      <x:c r="E254" s="160" t="n">
        <x:f>FCCL!H174</x:f>
        <x:v>0.23007746318118263</x:v>
      </x:c>
      <x:c r="F254" s="160" t="n">
        <x:f>'PSX Prices'!N30/(FCCL!H99/'PSX Prices'!O30)</x:f>
        <x:v>0.23007746318118263</x:v>
      </x:c>
      <x:c r="G254" s="163" t="str">
        <x:v>Report DPS / unrounded report-basis EPS</x:v>
      </x:c>
      <x:c r="H254" s="163" t="str">
        <x:f>IF(AND(ISNUMBER(D254),ISNUMBER(F254)),IF(ROUND(D254,O254)=ROUND(F254,O254),"Reproduced to precision","Unresolved published value"),"Not comparable")</x:f>
        <x:v>Reproduced to precision</x:v>
      </x:c>
      <x:c r="I254" s="163" t="str">
        <x:v>Tested the source-based convention shown in G against official published precision. Unmatched values remain unresolved; neither the standardized method nor the financial inputs were altered to force agreement.</x:v>
      </x:c>
      <x:c r="J254" s="163" t="str">
        <x:v>FY2025 AR p216 "Six years at a glance"</x:v>
      </x:c>
      <x:c r="K254" s="163" t="str">
        <x:v>Market recheck</x:v>
      </x:c>
      <x:c r="L254" s="163" t="str">
        <x:v>Source comparison</x:v>
      </x:c>
      <x:c r="M254" s="75" t="n">
        <x:f>IF(ISNUMBER(E254),E254-D254,"n/m")</x:f>
        <x:v>-0.00002253681881736469</x:v>
      </x:c>
      <x:c r="N254" s="75" t="n">
        <x:f>IF(ISNUMBER(F254),F254-D254,"n/m")</x:f>
        <x:v>-0.00002253681881736469</x:v>
      </x:c>
      <x:c r="O254" s="75" t="n">
        <x:v>4</x:v>
      </x:c>
    </x:row>
    <x:row r="255" ht="112" hidden="0" customHeight="1">
      <x:c r="A255" s="157" t="str">
        <x:v>FCCL</x:v>
      </x:c>
      <x:c r="B255" s="157" t="str">
        <x:v>Debt to equity ratio - as per books</x:v>
      </x:c>
      <x:c r="C255" s="157" t="str">
        <x:v>FY2021</x:v>
      </x:c>
      <x:c r="D255" s="158" t="n">
        <x:v>0.04</x:v>
      </x:c>
      <x:c r="E255" s="158" t="n">
        <x:f>FCCL!D156</x:f>
        <x:v>0.4629967488370152</x:v>
      </x:c>
      <x:c r="F255" s="158" t="n">
        <x:f>(FCCL!D43+FCCL!D55+FCCL!D45+FCCL!D57)/FCCL!D41</x:f>
        <x:v>0.03760510277018437</x:v>
      </x:c>
      <x:c r="G255" s="162" t="str">
        <x:v>Gross bank long-term loans before deferred-grant discount / equity</x:v>
      </x:c>
      <x:c r="H255" s="162" t="str">
        <x:f>IF(AND(ISNUMBER(D255),ISNUMBER(F255)),IF(ROUND(D255,O255)=ROUND(F255,O255),"Reproduced to precision","Unresolved published value"),"Not comparable")</x:f>
        <x:v>Reproduced to precision</x:v>
      </x:c>
      <x:c r="I255" s="162" t="str">
        <x:v>Standardized D/E uses TOTAL LIABILITIES / EQUITY for every company. Published financing-only or debt-share series is reconstructed separately. Deferred-grant gross-up is confined to FCCL published-convention reconstruction.</x:v>
      </x:c>
      <x:c r="J255" s="162" t="str">
        <x:v>FY2025 AR p216 "Six years at a glance"</x:v>
      </x:c>
      <x:c r="K255" s="162" t="str">
        <x:v>Not reproduced</x:v>
      </x:c>
      <x:c r="L255" s="162" t="str">
        <x:v>Published methodology difference (reconstructed)</x:v>
      </x:c>
      <x:c r="M255" s="157" t="n">
        <x:f>IF(ISNUMBER(E255),E255-D255,"n/m")</x:f>
        <x:v>0.4229967488370152</x:v>
      </x:c>
      <x:c r="N255" s="157" t="n">
        <x:f>IF(ISNUMBER(F255),F255-D255,"n/m")</x:f>
        <x:v>-0.002394897229815632</x:v>
      </x:c>
      <x:c r="O255" s="157" t="n">
        <x:v>2</x:v>
      </x:c>
    </x:row>
    <x:row r="256" ht="112" hidden="0" customHeight="1">
      <x:c r="A256" s="75" t="str">
        <x:v>FCCL</x:v>
      </x:c>
      <x:c r="B256" s="75" t="str">
        <x:v>Debt to equity ratio - as per books</x:v>
      </x:c>
      <x:c r="C256" s="75" t="str">
        <x:v>FY2022</x:v>
      </x:c>
      <x:c r="D256" s="159" t="n">
        <x:v>0.43</x:v>
      </x:c>
      <x:c r="E256" s="159" t="n">
        <x:f>FCCL!E156</x:f>
        <x:v>0.9692733601339171</x:v>
      </x:c>
      <x:c r="F256" s="159" t="n">
        <x:f>(FCCL!E43+FCCL!E55+FCCL!E45+FCCL!E57)/FCCL!E41</x:f>
        <x:v>0.43109714664264565</x:v>
      </x:c>
      <x:c r="G256" s="163" t="str">
        <x:v>Gross bank long-term loans before deferred-grant discount / equity</x:v>
      </x:c>
      <x:c r="H256" s="163" t="str">
        <x:f>IF(AND(ISNUMBER(D256),ISNUMBER(F256)),IF(ROUND(D256,O256)=ROUND(F256,O256),"Reproduced to precision","Unresolved published value"),"Not comparable")</x:f>
        <x:v>Reproduced to precision</x:v>
      </x:c>
      <x:c r="I256" s="163" t="str">
        <x:v>Standardized D/E uses TOTAL LIABILITIES / EQUITY for every company. Published financing-only or debt-share series is reconstructed separately. Deferred-grant gross-up is confined to FCCL published-convention reconstruction.</x:v>
      </x:c>
      <x:c r="J256" s="163" t="str">
        <x:v>FY2025 AR p216 "Six years at a glance"</x:v>
      </x:c>
      <x:c r="K256" s="163" t="str">
        <x:v>Not reproduced</x:v>
      </x:c>
      <x:c r="L256" s="163" t="str">
        <x:v>Published methodology difference (reconstructed)</x:v>
      </x:c>
      <x:c r="M256" s="75" t="n">
        <x:f>IF(ISNUMBER(E256),E256-D256,"n/m")</x:f>
        <x:v>0.539273360133917</x:v>
      </x:c>
      <x:c r="N256" s="75" t="n">
        <x:f>IF(ISNUMBER(F256),F256-D256,"n/m")</x:f>
        <x:v>0.0010971466426456522</x:v>
      </x:c>
      <x:c r="O256" s="75" t="n">
        <x:v>2</x:v>
      </x:c>
    </x:row>
    <x:row r="257" ht="112" hidden="0" customHeight="1">
      <x:c r="A257" s="157" t="str">
        <x:v>FCCL</x:v>
      </x:c>
      <x:c r="B257" s="157" t="str">
        <x:v>Debt to equity ratio - as per books</x:v>
      </x:c>
      <x:c r="C257" s="157" t="str">
        <x:v>FY2023</x:v>
      </x:c>
      <x:c r="D257" s="158" t="n">
        <x:v>0.6</x:v>
      </x:c>
      <x:c r="E257" s="158" t="n">
        <x:f>FCCL!F156</x:f>
        <x:v>1.130064091181662</x:v>
      </x:c>
      <x:c r="F257" s="158" t="n">
        <x:f>(FCCL!F43+FCCL!F55+FCCL!F45+FCCL!F57)/FCCL!F41</x:f>
        <x:v>0.6030422179959394</x:v>
      </x:c>
      <x:c r="G257" s="162" t="str">
        <x:v>Gross bank long-term loans before deferred-grant discount / equity</x:v>
      </x:c>
      <x:c r="H257" s="162" t="str">
        <x:f>IF(AND(ISNUMBER(D257),ISNUMBER(F257)),IF(ROUND(D257,O257)=ROUND(F257,O257),"Reproduced to precision","Unresolved published value"),"Not comparable")</x:f>
        <x:v>Reproduced to precision</x:v>
      </x:c>
      <x:c r="I257" s="162" t="str">
        <x:v>Standardized D/E uses TOTAL LIABILITIES / EQUITY for every company. Published financing-only or debt-share series is reconstructed separately. Deferred-grant gross-up is confined to FCCL published-convention reconstruction.</x:v>
      </x:c>
      <x:c r="J257" s="162" t="str">
        <x:v>FY2025 AR p216 "Six years at a glance"</x:v>
      </x:c>
      <x:c r="K257" s="162" t="str">
        <x:v>Not reproduced</x:v>
      </x:c>
      <x:c r="L257" s="162" t="str">
        <x:v>Published methodology difference (reconstructed)</x:v>
      </x:c>
      <x:c r="M257" s="157" t="n">
        <x:f>IF(ISNUMBER(E257),E257-D257,"n/m")</x:f>
        <x:v>0.530064091181662</x:v>
      </x:c>
      <x:c r="N257" s="157" t="n">
        <x:f>IF(ISNUMBER(F257),F257-D257,"n/m")</x:f>
        <x:v>0.0030422179959394002</x:v>
      </x:c>
      <x:c r="O257" s="157" t="n">
        <x:v>2</x:v>
      </x:c>
    </x:row>
    <x:row r="258" ht="112" hidden="0" customHeight="1">
      <x:c r="A258" s="75" t="str">
        <x:v>FCCL</x:v>
      </x:c>
      <x:c r="B258" s="75" t="str">
        <x:v>Debt to equity ratio - as per books</x:v>
      </x:c>
      <x:c r="C258" s="75" t="str">
        <x:v>FY2024</x:v>
      </x:c>
      <x:c r="D258" s="159" t="n">
        <x:v>0.51</x:v>
      </x:c>
      <x:c r="E258" s="159" t="n">
        <x:f>FCCL!G156</x:f>
        <x:v>1.0114251512894896</x:v>
      </x:c>
      <x:c r="F258" s="159" t="n">
        <x:f>(FCCL!G43+FCCL!G55+FCCL!G45+FCCL!G57)/FCCL!G41</x:f>
        <x:v>0.5139181807105351</x:v>
      </x:c>
      <x:c r="G258" s="163" t="str">
        <x:v>Gross bank long-term loans before deferred-grant discount / equity</x:v>
      </x:c>
      <x:c r="H258" s="163" t="str">
        <x:f>IF(AND(ISNUMBER(D258),ISNUMBER(F258)),IF(ROUND(D258,O258)=ROUND(F258,O258),"Reproduced to precision","Unresolved published value"),"Not comparable")</x:f>
        <x:v>Reproduced to precision</x:v>
      </x:c>
      <x:c r="I258" s="163" t="str">
        <x:v>Standardized D/E uses TOTAL LIABILITIES / EQUITY for every company. Published financing-only or debt-share series is reconstructed separately. Deferred-grant gross-up is confined to FCCL published-convention reconstruction.</x:v>
      </x:c>
      <x:c r="J258" s="163" t="str">
        <x:v>FY2025 AR p216 "Six years at a glance"</x:v>
      </x:c>
      <x:c r="K258" s="163" t="str">
        <x:v>Not reproduced</x:v>
      </x:c>
      <x:c r="L258" s="163" t="str">
        <x:v>Published methodology difference (reconstructed)</x:v>
      </x:c>
      <x:c r="M258" s="75" t="n">
        <x:f>IF(ISNUMBER(E258),E258-D258,"n/m")</x:f>
        <x:v>0.5014251512894896</x:v>
      </x:c>
      <x:c r="N258" s="75" t="n">
        <x:f>IF(ISNUMBER(F258),F258-D258,"n/m")</x:f>
        <x:v>0.0039181807105350686</x:v>
      </x:c>
      <x:c r="O258" s="75" t="n">
        <x:v>2</x:v>
      </x:c>
    </x:row>
    <x:row r="259" ht="112" hidden="0" customHeight="1">
      <x:c r="A259" s="157" t="str">
        <x:v>FCCL</x:v>
      </x:c>
      <x:c r="B259" s="157" t="str">
        <x:v>Debt to equity ratio - as per books</x:v>
      </x:c>
      <x:c r="C259" s="157" t="str">
        <x:v>FY2025</x:v>
      </x:c>
      <x:c r="D259" s="158" t="n">
        <x:v>0.39</x:v>
      </x:c>
      <x:c r="E259" s="158" t="n">
        <x:f>FCCL!H156</x:f>
        <x:v>0.9086386225931091</x:v>
      </x:c>
      <x:c r="F259" s="158" t="n">
        <x:f>(FCCL!H43+FCCL!H55+FCCL!H45+FCCL!H57)/FCCL!H41</x:f>
        <x:v>0.38536433031397493</x:v>
      </x:c>
      <x:c r="G259" s="162" t="str">
        <x:v>Gross bank long-term loans before deferred-grant discount / equity</x:v>
      </x:c>
      <x:c r="H259" s="162" t="str">
        <x:f>IF(AND(ISNUMBER(D259),ISNUMBER(F259)),IF(ROUND(D259,O259)=ROUND(F259,O259),"Reproduced to precision","Unresolved published value"),"Not comparable")</x:f>
        <x:v>Reproduced to precision</x:v>
      </x:c>
      <x:c r="I259" s="162" t="str">
        <x:v>Standardized D/E uses TOTAL LIABILITIES / EQUITY for every company. Published financing-only or debt-share series is reconstructed separately. Deferred-grant gross-up is confined to FCCL published-convention reconstruction.</x:v>
      </x:c>
      <x:c r="J259" s="162" t="str">
        <x:v>FY2025 AR p216 "Six years at a glance"</x:v>
      </x:c>
      <x:c r="K259" s="162" t="str">
        <x:v>Not reproduced</x:v>
      </x:c>
      <x:c r="L259" s="162" t="str">
        <x:v>Published methodology difference (reconstructed)</x:v>
      </x:c>
      <x:c r="M259" s="157" t="n">
        <x:f>IF(ISNUMBER(E259),E259-D259,"n/m")</x:f>
        <x:v>0.5186386225931091</x:v>
      </x:c>
      <x:c r="N259" s="157" t="n">
        <x:f>IF(ISNUMBER(F259),F259-D259,"n/m")</x:f>
        <x:v>-0.004635669686025079</x:v>
      </x:c>
      <x:c r="O259" s="157" t="n">
        <x:v>2</x:v>
      </x:c>
    </x:row>
    <x:row r="260" ht="112" hidden="0" customHeight="1">
      <x:c r="A260" s="75" t="str">
        <x:v>KOHC</x:v>
      </x:c>
      <x:c r="B260" s="75" t="str">
        <x:v>Receivables turnover</x:v>
      </x:c>
      <x:c r="C260" s="75" t="str">
        <x:v>FY2021</x:v>
      </x:c>
      <x:c r="D260" s="159" t="n">
        <x:v>24.46</x:v>
      </x:c>
      <x:c r="E260" s="159" t="n">
        <x:f>KOHC!D145</x:f>
        <x:v>32.55652715218313</x:v>
      </x:c>
      <x:c r="F260" s="159" t="n">
        <x:f>KOHC!D84/KOHC!D32</x:f>
        <x:v>24.459285517197927</x:v>
      </x:c>
      <x:c r="G260" s="163" t="str">
        <x:v>Sales / closing trade debts</x:v>
      </x:c>
      <x:c r="H260" s="163" t="str">
        <x:f>IF(AND(ISNUMBER(D260),ISNUMBER(F260)),IF(ROUND(D260,O260)=ROUND(F260,O260),"Reproduced to precision","Unresolved published value"),"Not comparable")</x:f>
        <x:v>Reproduced to precision</x:v>
      </x:c>
      <x:c r="I260" s="163" t="str">
        <x:v>Tested the source-based convention shown in G against official published precision. Unmatched values remain unresolved; neither the standardized method nor the financial inputs were altered to force agreement.</x:v>
      </x:c>
      <x:c r="J260" s="163" t="str">
        <x:v>FY2025 AR PDF p53</x:v>
      </x:c>
      <x:c r="K260" s="163" t="str">
        <x:v>Added source comparison</x:v>
      </x:c>
      <x:c r="L260" s="163" t="str">
        <x:v>Source comparison</x:v>
      </x:c>
      <x:c r="M260" s="75" t="n">
        <x:f>IF(ISNUMBER(E260),E260-D260,"n/m")</x:f>
        <x:v>8.096527152183128</x:v>
      </x:c>
      <x:c r="N260" s="75" t="n">
        <x:f>IF(ISNUMBER(F260),F260-D260,"n/m")</x:f>
        <x:v>-0.0007144828020742011</x:v>
      </x:c>
      <x:c r="O260" s="75" t="n">
        <x:v>2</x:v>
      </x:c>
    </x:row>
    <x:row r="261" ht="112" hidden="0" customHeight="1">
      <x:c r="A261" s="157" t="str">
        <x:v>KOHC</x:v>
      </x:c>
      <x:c r="B261" s="157" t="str">
        <x:v>Receivables turnover</x:v>
      </x:c>
      <x:c r="C261" s="157" t="str">
        <x:v>FY2022</x:v>
      </x:c>
      <x:c r="D261" s="158" t="n">
        <x:v>35.89</x:v>
      </x:c>
      <x:c r="E261" s="158" t="n">
        <x:f>KOHC!E145</x:f>
        <x:v>34.61446204651397</x:v>
      </x:c>
      <x:c r="F261" s="158" t="n">
        <x:f>KOHC!E84/KOHC!E32</x:f>
        <x:v>35.890319458494865</x:v>
      </x:c>
      <x:c r="G261" s="162" t="str">
        <x:v>Sales / closing trade debts</x:v>
      </x:c>
      <x:c r="H261" s="162" t="str">
        <x:f>IF(AND(ISNUMBER(D261),ISNUMBER(F261)),IF(ROUND(D261,O261)=ROUND(F261,O261),"Reproduced to precision","Unresolved published value"),"Not comparable")</x:f>
        <x:v>Reproduced to precision</x:v>
      </x:c>
      <x:c r="I261" s="162" t="str">
        <x:v>Tested the source-based convention shown in G against official published precision. Unmatched values remain unresolved; neither the standardized method nor the financial inputs were altered to force agreement.</x:v>
      </x:c>
      <x:c r="J261" s="162" t="str">
        <x:v>FY2025 AR PDF p53</x:v>
      </x:c>
      <x:c r="K261" s="162" t="str">
        <x:v>Added source comparison</x:v>
      </x:c>
      <x:c r="L261" s="162" t="str">
        <x:v>Source comparison</x:v>
      </x:c>
      <x:c r="M261" s="157" t="n">
        <x:f>IF(ISNUMBER(E261),E261-D261,"n/m")</x:f>
        <x:v>-1.2755379534860296</x:v>
      </x:c>
      <x:c r="N261" s="157" t="n">
        <x:f>IF(ISNUMBER(F261),F261-D261,"n/m")</x:f>
        <x:v>0.0003194584948644774</x:v>
      </x:c>
      <x:c r="O261" s="157" t="n">
        <x:v>2</x:v>
      </x:c>
    </x:row>
    <x:row r="262" ht="112" hidden="0" customHeight="1">
      <x:c r="A262" s="75" t="str">
        <x:v>KOHC</x:v>
      </x:c>
      <x:c r="B262" s="75" t="str">
        <x:v>Receivables turnover</x:v>
      </x:c>
      <x:c r="C262" s="75" t="str">
        <x:v>FY2023</x:v>
      </x:c>
      <x:c r="D262" s="159" t="n">
        <x:v>32.29</x:v>
      </x:c>
      <x:c r="E262" s="159" t="n">
        <x:f>KOHC!F145</x:f>
        <x:v>36.690956476472735</x:v>
      </x:c>
      <x:c r="F262" s="159" t="n">
        <x:f>KOHC!F84/KOHC!F32</x:f>
        <x:v>32.28528587545947</x:v>
      </x:c>
      <x:c r="G262" s="163" t="str">
        <x:v>Sales / closing trade debts</x:v>
      </x:c>
      <x:c r="H262" s="163" t="str">
        <x:f>IF(AND(ISNUMBER(D262),ISNUMBER(F262)),IF(ROUND(D262,O262)=ROUND(F262,O262),"Reproduced to precision","Unresolved published value"),"Not comparable")</x:f>
        <x:v>Reproduced to precision</x:v>
      </x:c>
      <x:c r="I262" s="163" t="str">
        <x:v>Tested the source-based convention shown in G against official published precision. Unmatched values remain unresolved; neither the standardized method nor the financial inputs were altered to force agreement.</x:v>
      </x:c>
      <x:c r="J262" s="163" t="str">
        <x:v>FY2025 AR PDF p53</x:v>
      </x:c>
      <x:c r="K262" s="163" t="str">
        <x:v>Added source comparison</x:v>
      </x:c>
      <x:c r="L262" s="163" t="str">
        <x:v>Source comparison</x:v>
      </x:c>
      <x:c r="M262" s="75" t="n">
        <x:f>IF(ISNUMBER(E262),E262-D262,"n/m")</x:f>
        <x:v>4.400956476472736</x:v>
      </x:c>
      <x:c r="N262" s="75" t="n">
        <x:f>IF(ISNUMBER(F262),F262-D262,"n/m")</x:f>
        <x:v>-0.004714124540527109</x:v>
      </x:c>
      <x:c r="O262" s="75" t="n">
        <x:v>2</x:v>
      </x:c>
    </x:row>
    <x:row r="263" ht="112" hidden="0" customHeight="1">
      <x:c r="A263" s="157" t="str">
        <x:v>KOHC</x:v>
      </x:c>
      <x:c r="B263" s="157" t="str">
        <x:v>Receivables turnover</x:v>
      </x:c>
      <x:c r="C263" s="157" t="str">
        <x:v>FY2024</x:v>
      </x:c>
      <x:c r="D263" s="158" t="n">
        <x:v>18.31</x:v>
      </x:c>
      <x:c r="E263" s="158" t="n">
        <x:f>KOHC!G145</x:f>
        <x:v>23.311269128267483</x:v>
      </x:c>
      <x:c r="F263" s="158" t="n">
        <x:f>KOHC!G84/KOHC!G32</x:f>
        <x:v>18.314325978180737</x:v>
      </x:c>
      <x:c r="G263" s="162" t="str">
        <x:v>Sales / closing trade debts</x:v>
      </x:c>
      <x:c r="H263" s="162" t="str">
        <x:f>IF(AND(ISNUMBER(D263),ISNUMBER(F263)),IF(ROUND(D263,O263)=ROUND(F263,O263),"Reproduced to precision","Unresolved published value"),"Not comparable")</x:f>
        <x:v>Reproduced to precision</x:v>
      </x:c>
      <x:c r="I263" s="162" t="str">
        <x:v>Tested the source-based convention shown in G against official published precision. Unmatched values remain unresolved; neither the standardized method nor the financial inputs were altered to force agreement.</x:v>
      </x:c>
      <x:c r="J263" s="162" t="str">
        <x:v>FY2025 AR PDF p53</x:v>
      </x:c>
      <x:c r="K263" s="162" t="str">
        <x:v>Added source comparison</x:v>
      </x:c>
      <x:c r="L263" s="162" t="str">
        <x:v>Source comparison</x:v>
      </x:c>
      <x:c r="M263" s="157" t="n">
        <x:f>IF(ISNUMBER(E263),E263-D263,"n/m")</x:f>
        <x:v>5.001269128267484</x:v>
      </x:c>
      <x:c r="N263" s="157" t="n">
        <x:f>IF(ISNUMBER(F263),F263-D263,"n/m")</x:f>
        <x:v>0.004325978180737877</x:v>
      </x:c>
      <x:c r="O263" s="157" t="n">
        <x:v>2</x:v>
      </x:c>
    </x:row>
    <x:row r="264" ht="112" hidden="0" customHeight="1">
      <x:c r="A264" s="75" t="str">
        <x:v>KOHC</x:v>
      </x:c>
      <x:c r="B264" s="75" t="str">
        <x:v>Receivables turnover</x:v>
      </x:c>
      <x:c r="C264" s="75" t="str">
        <x:v>FY2025</x:v>
      </x:c>
      <x:c r="D264" s="159" t="n">
        <x:v>22.18</x:v>
      </x:c>
      <x:c r="E264" s="159" t="n">
        <x:f>KOHC!H145</x:f>
        <x:v>19.742821104933064</x:v>
      </x:c>
      <x:c r="F264" s="159" t="n">
        <x:f>KOHC!H84/KOHC!H32</x:f>
        <x:v>22.181364397772164</x:v>
      </x:c>
      <x:c r="G264" s="163" t="str">
        <x:v>Sales / closing trade debts</x:v>
      </x:c>
      <x:c r="H264" s="163" t="str">
        <x:f>IF(AND(ISNUMBER(D264),ISNUMBER(F264)),IF(ROUND(D264,O264)=ROUND(F264,O264),"Reproduced to precision","Unresolved published value"),"Not comparable")</x:f>
        <x:v>Reproduced to precision</x:v>
      </x:c>
      <x:c r="I264" s="163" t="str">
        <x:v>Tested the source-based convention shown in G against official published precision. Unmatched values remain unresolved; neither the standardized method nor the financial inputs were altered to force agreement.</x:v>
      </x:c>
      <x:c r="J264" s="163" t="str">
        <x:v>FY2025 AR PDF p53</x:v>
      </x:c>
      <x:c r="K264" s="163" t="str">
        <x:v>Added source comparison</x:v>
      </x:c>
      <x:c r="L264" s="163" t="str">
        <x:v>Source comparison</x:v>
      </x:c>
      <x:c r="M264" s="75" t="n">
        <x:f>IF(ISNUMBER(E264),E264-D264,"n/m")</x:f>
        <x:v>-2.4371788950669355</x:v>
      </x:c>
      <x:c r="N264" s="75" t="n">
        <x:f>IF(ISNUMBER(F264),F264-D264,"n/m")</x:f>
        <x:v>0.0013643977721642386</x:v>
      </x:c>
      <x:c r="O264" s="75" t="n">
        <x:v>2</x:v>
      </x:c>
    </x:row>
    <x:row r="265" ht="112" hidden="0" customHeight="1">
      <x:c r="A265" s="157" t="str">
        <x:v>KOHC</x:v>
      </x:c>
      <x:c r="B265" s="157" t="str">
        <x:v>Payables turnover</x:v>
      </x:c>
      <x:c r="C265" s="157" t="str">
        <x:v>FY2021</x:v>
      </x:c>
      <x:c r="D265" s="158" t="n">
        <x:v>10.82</x:v>
      </x:c>
      <x:c r="E265" s="158" t="n">
        <x:f>KOHC!D146</x:f>
        <x:v>13.672632178905467</x:v>
      </x:c>
      <x:c r="F265" s="158" t="n">
        <x:f>(-KOHC!D85)/(KOHC!D51+KOHC!D254)</x:f>
        <x:v>10.819001081323224</x:v>
      </x:c>
      <x:c r="G265" s="162" t="str">
        <x:v>COGS / closing (trade creditors + contractors bills)</x:v>
      </x:c>
      <x:c r="H265" s="162" t="str">
        <x:f>IF(AND(ISNUMBER(D265),ISNUMBER(F265)),IF(ROUND(D265,O265)=ROUND(F265,O265),"Reproduced to precision","Unresolved published value"),"Not comparable")</x:f>
        <x:v>Reproduced to precision</x:v>
      </x:c>
      <x:c r="I265"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5" s="162" t="str">
        <x:v>FY2025 AR PDF p53</x:v>
      </x:c>
      <x:c r="K265" s="162" t="str">
        <x:v>Added source comparison</x:v>
      </x:c>
      <x:c r="L265" s="162" t="str">
        <x:v>Published methodology difference (reconstructed)</x:v>
      </x:c>
      <x:c r="M265" s="157" t="n">
        <x:f>IF(ISNUMBER(E265),E265-D265,"n/m")</x:f>
        <x:v>2.8526321789054663</x:v>
      </x:c>
      <x:c r="N265" s="157" t="n">
        <x:f>IF(ISNUMBER(F265),F265-D265,"n/m")</x:f>
        <x:v>-0.0009989186767764835</x:v>
      </x:c>
      <x:c r="O265" s="157" t="n">
        <x:v>2</x:v>
      </x:c>
    </x:row>
    <x:row r="266" ht="112" hidden="0" customHeight="1">
      <x:c r="A266" s="75" t="str">
        <x:v>KOHC</x:v>
      </x:c>
      <x:c r="B266" s="75" t="str">
        <x:v>Payables turnover</x:v>
      </x:c>
      <x:c r="C266" s="75" t="str">
        <x:v>FY2022</x:v>
      </x:c>
      <x:c r="D266" s="159" t="n">
        <x:v>17.41</x:v>
      </x:c>
      <x:c r="E266" s="159" t="n">
        <x:f>KOHC!E146</x:f>
        <x:v>16.26188152658038</x:v>
      </x:c>
      <x:c r="F266" s="159" t="n">
        <x:f>(-KOHC!E85)/(KOHC!E51+KOHC!E254)</x:f>
        <x:v>17.407269231520594</x:v>
      </x:c>
      <x:c r="G266" s="163" t="str">
        <x:v>COGS / closing (trade creditors + contractors bills)</x:v>
      </x:c>
      <x:c r="H266" s="163" t="str">
        <x:f>IF(AND(ISNUMBER(D266),ISNUMBER(F266)),IF(ROUND(D266,O266)=ROUND(F266,O266),"Reproduced to precision","Unresolved published value"),"Not comparable")</x:f>
        <x:v>Reproduced to precision</x:v>
      </x:c>
      <x:c r="I266" s="163"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6" s="163" t="str">
        <x:v>FY2025 AR PDF p53</x:v>
      </x:c>
      <x:c r="K266" s="163" t="str">
        <x:v>Added source comparison</x:v>
      </x:c>
      <x:c r="L266" s="163" t="str">
        <x:v>Published methodology difference (reconstructed)</x:v>
      </x:c>
      <x:c r="M266" s="75" t="n">
        <x:f>IF(ISNUMBER(E266),E266-D266,"n/m")</x:f>
        <x:v>-1.1481184734196184</x:v>
      </x:c>
      <x:c r="N266" s="75" t="n">
        <x:f>IF(ISNUMBER(F266),F266-D266,"n/m")</x:f>
        <x:v>-0.0027307684794060094</x:v>
      </x:c>
      <x:c r="O266" s="75" t="n">
        <x:v>2</x:v>
      </x:c>
    </x:row>
    <x:row r="267" ht="112" hidden="0" customHeight="1">
      <x:c r="A267" s="157" t="str">
        <x:v>KOHC</x:v>
      </x:c>
      <x:c r="B267" s="157" t="str">
        <x:v>Payables turnover</x:v>
      </x:c>
      <x:c r="C267" s="157" t="str">
        <x:v>FY2023</x:v>
      </x:c>
      <x:c r="D267" s="158" t="n">
        <x:v>39.94</x:v>
      </x:c>
      <x:c r="E267" s="158" t="n">
        <x:f>KOHC!F146</x:f>
        <x:v>29.126311219807445</x:v>
      </x:c>
      <x:c r="F267" s="158" t="n">
        <x:f>(-KOHC!F85)/(KOHC!F51+KOHC!F254)</x:f>
        <x:v>39.941426575739115</x:v>
      </x:c>
      <x:c r="G267" s="162" t="str">
        <x:v>COGS / closing (trade creditors + contractors bills)</x:v>
      </x:c>
      <x:c r="H267" s="162" t="str">
        <x:f>IF(AND(ISNUMBER(D267),ISNUMBER(F267)),IF(ROUND(D267,O267)=ROUND(F267,O267),"Reproduced to precision","Unresolved published value"),"Not comparable")</x:f>
        <x:v>Reproduced to precision</x:v>
      </x:c>
      <x:c r="I267"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7" s="162" t="str">
        <x:v>FY2025 AR PDF p53</x:v>
      </x:c>
      <x:c r="K267" s="162" t="str">
        <x:v>Added source comparison</x:v>
      </x:c>
      <x:c r="L267" s="162" t="str">
        <x:v>Published methodology difference (reconstructed)</x:v>
      </x:c>
      <x:c r="M267" s="157" t="n">
        <x:f>IF(ISNUMBER(E267),E267-D267,"n/m")</x:f>
        <x:v>-10.813688780192553</x:v>
      </x:c>
      <x:c r="N267" s="157" t="n">
        <x:f>IF(ISNUMBER(F267),F267-D267,"n/m")</x:f>
        <x:v>0.0014265757391171974</x:v>
      </x:c>
      <x:c r="O267" s="157" t="n">
        <x:v>2</x:v>
      </x:c>
    </x:row>
    <x:row r="268" ht="112" hidden="0" customHeight="1">
      <x:c r="A268" s="75" t="str">
        <x:v>KOHC</x:v>
      </x:c>
      <x:c r="B268" s="75" t="str">
        <x:v>Payables turnover</x:v>
      </x:c>
      <x:c r="C268" s="75" t="str">
        <x:v>FY2024</x:v>
      </x:c>
      <x:c r="D268" s="159" t="n">
        <x:v>14.99</x:v>
      </x:c>
      <x:c r="E268" s="159" t="n">
        <x:f>KOHC!G146</x:f>
        <x:v>22.3044994512903</x:v>
      </x:c>
      <x:c r="F268" s="159" t="n">
        <x:f>(-KOHC!G85)/(KOHC!G51+KOHC!G254)</x:f>
        <x:v>14.985276957805661</x:v>
      </x:c>
      <x:c r="G268" s="163" t="str">
        <x:v>COGS / closing (trade creditors + contractors bills)</x:v>
      </x:c>
      <x:c r="H268" s="163" t="str">
        <x:f>IF(AND(ISNUMBER(D268),ISNUMBER(F268)),IF(ROUND(D268,O268)=ROUND(F268,O268),"Reproduced to precision","Unresolved published value"),"Not comparable")</x:f>
        <x:v>Reproduced to precision</x:v>
      </x:c>
      <x:c r="I268" s="163"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8" s="163" t="str">
        <x:v>FY2025 AR PDF p53</x:v>
      </x:c>
      <x:c r="K268" s="163" t="str">
        <x:v>Added source comparison</x:v>
      </x:c>
      <x:c r="L268" s="163" t="str">
        <x:v>Published methodology difference (reconstructed)</x:v>
      </x:c>
      <x:c r="M268" s="75" t="n">
        <x:f>IF(ISNUMBER(E268),E268-D268,"n/m")</x:f>
        <x:v>7.314499451290301</x:v>
      </x:c>
      <x:c r="N268" s="75" t="n">
        <x:f>IF(ISNUMBER(F268),F268-D268,"n/m")</x:f>
        <x:v>-0.0047230421943389445</x:v>
      </x:c>
      <x:c r="O268" s="75" t="n">
        <x:v>2</x:v>
      </x:c>
    </x:row>
    <x:row r="269" ht="112" hidden="0" customHeight="1">
      <x:c r="A269" s="157" t="str">
        <x:v>KOHC</x:v>
      </x:c>
      <x:c r="B269" s="157" t="str">
        <x:v>Payables turnover</x:v>
      </x:c>
      <x:c r="C269" s="157" t="str">
        <x:v>FY2025</x:v>
      </x:c>
      <x:c r="D269" s="158" t="n">
        <x:v>10.49</x:v>
      </x:c>
      <x:c r="E269" s="158" t="n">
        <x:f>KOHC!H146</x:f>
        <x:v>11.733886186566796</x:v>
      </x:c>
      <x:c r="F269" s="158" t="n">
        <x:f>(-KOHC!H85)/(KOHC!H51+KOHC!H254)</x:f>
        <x:v>10.491861276460488</x:v>
      </x:c>
      <x:c r="G269" s="162" t="str">
        <x:v>COGS / closing (trade creditors + contractors bills)</x:v>
      </x:c>
      <x:c r="H269" s="162" t="str">
        <x:f>IF(AND(ISNUMBER(D269),ISNUMBER(F269)),IF(ROUND(D269,O269)=ROUND(F269,O269),"Reproduced to precision","Unresolved published value"),"Not comparable")</x:f>
        <x:v>Reproduced to precision</x:v>
      </x:c>
      <x:c r="I269" s="162" t="str">
        <x:v>Official note 9 lists local creditors, import bills and contractors bills separately. Published series reproduces by including contractors bills and using the closing balance. Standardized supplier-payable measure excludes unallocated contractor/capital balances and uses average opening/closing balances.</x:v>
      </x:c>
      <x:c r="J269" s="162" t="str">
        <x:v>FY2025 AR PDF p53</x:v>
      </x:c>
      <x:c r="K269" s="162" t="str">
        <x:v>Added source comparison</x:v>
      </x:c>
      <x:c r="L269" s="162" t="str">
        <x:v>Published methodology difference (reconstructed)</x:v>
      </x:c>
      <x:c r="M269" s="157" t="n">
        <x:f>IF(ISNUMBER(E269),E269-D269,"n/m")</x:f>
        <x:v>1.2438861865667956</x:v>
      </x:c>
      <x:c r="N269" s="157" t="n">
        <x:f>IF(ISNUMBER(F269),F269-D269,"n/m")</x:f>
        <x:v>0.0018612764604881704</x:v>
      </x:c>
      <x:c r="O269" s="157" t="n">
        <x:v>2</x:v>
      </x:c>
    </x:row>
    <x:row r="270" ht="112" hidden="0" customHeight="1">
      <x:c r="A270" s="75" t="str">
        <x:v>KOHC</x:v>
      </x:c>
      <x:c r="B270" s="75" t="str">
        <x:v>Days inventory outstanding</x:v>
      </x:c>
      <x:c r="C270" s="75" t="str">
        <x:v>FY2021</x:v>
      </x:c>
      <x:c r="D270" s="159" t="n">
        <x:v>63.47</x:v>
      </x:c>
      <x:c r="E270" s="159" t="n">
        <x:f>KOHC!D147</x:f>
        <x:v>75.14774353157878</x:v>
      </x:c>
      <x:c r="F270" s="159" t="n">
        <x:f>365*KOHC!D65/KOHC!D84</x:f>
        <x:v>63.473009669166906</x:v>
      </x:c>
      <x:c r="G270" s="163" t="str">
        <x:v>365 x closing inventory / sales</x:v>
      </x:c>
      <x:c r="H270" s="163" t="str">
        <x:f>IF(AND(ISNUMBER(D270),ISNUMBER(F270)),IF(ROUND(D270,O270)=ROUND(F270,O270),"Reproduced to precision","Unresolved published value"),"Not comparable")</x:f>
        <x:v>Reproduced to precision</x:v>
      </x:c>
      <x:c r="I270" s="163" t="str">
        <x:v>Tested the source-based convention shown in G against official published precision. Unmatched values remain unresolved; neither the standardized method nor the financial inputs were altered to force agreement.</x:v>
      </x:c>
      <x:c r="J270" s="163" t="str">
        <x:v>FY2025 AR PDF p53</x:v>
      </x:c>
      <x:c r="K270" s="163" t="str">
        <x:v>Added source comparison</x:v>
      </x:c>
      <x:c r="L270" s="163" t="str">
        <x:v>Source comparison</x:v>
      </x:c>
      <x:c r="M270" s="75" t="n">
        <x:f>IF(ISNUMBER(E270),E270-D270,"n/m")</x:f>
        <x:v>11.677743531578784</x:v>
      </x:c>
      <x:c r="N270" s="75" t="n">
        <x:f>IF(ISNUMBER(F270),F270-D270,"n/m")</x:f>
        <x:v>0.0030096691669072584</x:v>
      </x:c>
      <x:c r="O270" s="75" t="n">
        <x:v>2</x:v>
      </x:c>
    </x:row>
    <x:row r="271" ht="112" hidden="0" customHeight="1">
      <x:c r="A271" s="157" t="str">
        <x:v>KOHC</x:v>
      </x:c>
      <x:c r="B271" s="157" t="str">
        <x:v>Days inventory outstanding</x:v>
      </x:c>
      <x:c r="C271" s="157" t="str">
        <x:v>FY2022</x:v>
      </x:c>
      <x:c r="D271" s="158" t="n">
        <x:v>62.96</x:v>
      </x:c>
      <x:c r="E271" s="158" t="n">
        <x:f>KOHC!E147</x:f>
        <x:v>77.97259759173176</x:v>
      </x:c>
      <x:c r="F271" s="158" t="n">
        <x:f>365*KOHC!E65/KOHC!E84</x:f>
        <x:v>62.95931022371581</x:v>
      </x:c>
      <x:c r="G271" s="162" t="str">
        <x:v>365 x closing inventory / sales</x:v>
      </x:c>
      <x:c r="H271" s="162" t="str">
        <x:f>IF(AND(ISNUMBER(D271),ISNUMBER(F271)),IF(ROUND(D271,O271)=ROUND(F271,O271),"Reproduced to precision","Unresolved published value"),"Not comparable")</x:f>
        <x:v>Reproduced to precision</x:v>
      </x:c>
      <x:c r="I271" s="162" t="str">
        <x:v>Tested the source-based convention shown in G against official published precision. Unmatched values remain unresolved; neither the standardized method nor the financial inputs were altered to force agreement.</x:v>
      </x:c>
      <x:c r="J271" s="162" t="str">
        <x:v>FY2025 AR PDF p53</x:v>
      </x:c>
      <x:c r="K271" s="162" t="str">
        <x:v>Added source comparison</x:v>
      </x:c>
      <x:c r="L271" s="162" t="str">
        <x:v>Source comparison</x:v>
      </x:c>
      <x:c r="M271" s="157" t="n">
        <x:f>IF(ISNUMBER(E271),E271-D271,"n/m")</x:f>
        <x:v>15.012597591731755</x:v>
      </x:c>
      <x:c r="N271" s="157" t="n">
        <x:f>IF(ISNUMBER(F271),F271-D271,"n/m")</x:f>
        <x:v>-0.0006897762841902022</x:v>
      </x:c>
      <x:c r="O271" s="157" t="n">
        <x:v>2</x:v>
      </x:c>
    </x:row>
    <x:row r="272" ht="112" hidden="0" customHeight="1">
      <x:c r="A272" s="75" t="str">
        <x:v>KOHC</x:v>
      </x:c>
      <x:c r="B272" s="75" t="str">
        <x:v>Days inventory outstanding</x:v>
      </x:c>
      <x:c r="C272" s="75" t="str">
        <x:v>FY2023</x:v>
      </x:c>
      <x:c r="D272" s="159" t="n">
        <x:v>71.8</x:v>
      </x:c>
      <x:c r="E272" s="159" t="n">
        <x:f>KOHC!F147</x:f>
        <x:v>85.37254538740795</x:v>
      </x:c>
      <x:c r="F272" s="159" t="n">
        <x:f>365*KOHC!F65/KOHC!F84</x:f>
        <x:v>71.79649071631314</x:v>
      </x:c>
      <x:c r="G272" s="163" t="str">
        <x:v>365 x closing inventory / sales</x:v>
      </x:c>
      <x:c r="H272" s="163" t="str">
        <x:f>IF(AND(ISNUMBER(D272),ISNUMBER(F272)),IF(ROUND(D272,O272)=ROUND(F272,O272),"Reproduced to precision","Unresolved published value"),"Not comparable")</x:f>
        <x:v>Reproduced to precision</x:v>
      </x:c>
      <x:c r="I272" s="163" t="str">
        <x:v>Tested the source-based convention shown in G against official published precision. Unmatched values remain unresolved; neither the standardized method nor the financial inputs were altered to force agreement.</x:v>
      </x:c>
      <x:c r="J272" s="163" t="str">
        <x:v>FY2025 AR PDF p53</x:v>
      </x:c>
      <x:c r="K272" s="163" t="str">
        <x:v>Added source comparison</x:v>
      </x:c>
      <x:c r="L272" s="163" t="str">
        <x:v>Source comparison</x:v>
      </x:c>
      <x:c r="M272" s="75" t="n">
        <x:f>IF(ISNUMBER(E272),E272-D272,"n/m")</x:f>
        <x:v>13.572545387407956</x:v>
      </x:c>
      <x:c r="N272" s="75" t="n">
        <x:f>IF(ISNUMBER(F272),F272-D272,"n/m")</x:f>
        <x:v>-0.003509283686852882</x:v>
      </x:c>
      <x:c r="O272" s="75" t="n">
        <x:v>2</x:v>
      </x:c>
    </x:row>
    <x:row r="273" ht="112" hidden="0" customHeight="1">
      <x:c r="A273" s="157" t="str">
        <x:v>KOHC</x:v>
      </x:c>
      <x:c r="B273" s="157" t="str">
        <x:v>Days inventory outstanding</x:v>
      </x:c>
      <x:c r="C273" s="157" t="str">
        <x:v>FY2024</x:v>
      </x:c>
      <x:c r="D273" s="158" t="n">
        <x:v>71.58</x:v>
      </x:c>
      <x:c r="E273" s="158" t="n">
        <x:f>KOHC!G147</x:f>
        <x:v>101.50909357454404</x:v>
      </x:c>
      <x:c r="F273" s="158" t="n">
        <x:f>365*KOHC!G65/KOHC!G84</x:f>
        <x:v>71.58215359278445</x:v>
      </x:c>
      <x:c r="G273" s="162" t="str">
        <x:v>365 x closing inventory / sales</x:v>
      </x:c>
      <x:c r="H273" s="162" t="str">
        <x:f>IF(AND(ISNUMBER(D273),ISNUMBER(F273)),IF(ROUND(D273,O273)=ROUND(F273,O273),"Reproduced to precision","Unresolved published value"),"Not comparable")</x:f>
        <x:v>Reproduced to precision</x:v>
      </x:c>
      <x:c r="I273" s="162" t="str">
        <x:v>Tested the source-based convention shown in G against official published precision. Unmatched values remain unresolved; neither the standardized method nor the financial inputs were altered to force agreement.</x:v>
      </x:c>
      <x:c r="J273" s="162" t="str">
        <x:v>FY2025 AR PDF p53</x:v>
      </x:c>
      <x:c r="K273" s="162" t="str">
        <x:v>Added source comparison</x:v>
      </x:c>
      <x:c r="L273" s="162" t="str">
        <x:v>Source comparison</x:v>
      </x:c>
      <x:c r="M273" s="157" t="n">
        <x:f>IF(ISNUMBER(E273),E273-D273,"n/m")</x:f>
        <x:v>29.92909357454404</x:v>
      </x:c>
      <x:c r="N273" s="157" t="n">
        <x:f>IF(ISNUMBER(F273),F273-D273,"n/m")</x:f>
        <x:v>0.002153592784452485</x:v>
      </x:c>
      <x:c r="O273" s="157" t="n">
        <x:v>2</x:v>
      </x:c>
    </x:row>
    <x:row r="274" ht="112" hidden="0" customHeight="1">
      <x:c r="A274" s="75" t="str">
        <x:v>KOHC</x:v>
      </x:c>
      <x:c r="B274" s="75" t="str">
        <x:v>Days inventory outstanding</x:v>
      </x:c>
      <x:c r="C274" s="75" t="str">
        <x:v>FY2025</x:v>
      </x:c>
      <x:c r="D274" s="159" t="n">
        <x:v>72.98</x:v>
      </x:c>
      <x:c r="E274" s="159" t="n">
        <x:f>KOHC!H147</x:f>
        <x:v>120.66591878345184</x:v>
      </x:c>
      <x:c r="F274" s="159" t="n">
        <x:f>365*KOHC!H65/KOHC!H84</x:f>
        <x:v>72.97790643859629</x:v>
      </x:c>
      <x:c r="G274" s="163" t="str">
        <x:v>365 x closing inventory / sales</x:v>
      </x:c>
      <x:c r="H274" s="163" t="str">
        <x:f>IF(AND(ISNUMBER(D274),ISNUMBER(F274)),IF(ROUND(D274,O274)=ROUND(F274,O274),"Reproduced to precision","Unresolved published value"),"Not comparable")</x:f>
        <x:v>Reproduced to precision</x:v>
      </x:c>
      <x:c r="I274" s="163" t="str">
        <x:v>Tested the source-based convention shown in G against official published precision. Unmatched values remain unresolved; neither the standardized method nor the financial inputs were altered to force agreement.</x:v>
      </x:c>
      <x:c r="J274" s="163" t="str">
        <x:v>FY2025 AR PDF p53</x:v>
      </x:c>
      <x:c r="K274" s="163" t="str">
        <x:v>Added source comparison</x:v>
      </x:c>
      <x:c r="L274" s="163" t="str">
        <x:v>Source comparison</x:v>
      </x:c>
      <x:c r="M274" s="75" t="n">
        <x:f>IF(ISNUMBER(E274),E274-D274,"n/m")</x:f>
        <x:v>47.68591878345184</x:v>
      </x:c>
      <x:c r="N274" s="75" t="n">
        <x:f>IF(ISNUMBER(F274),F274-D274,"n/m")</x:f>
        <x:v>-0.002093561403711419</x:v>
      </x:c>
      <x:c r="O274" s="75" t="n">
        <x:v>2</x:v>
      </x:c>
    </x:row>
    <x:row r="275" ht="112" hidden="0" customHeight="1">
      <x:c r="A275" s="157" t="str">
        <x:v>KOHC</x:v>
      </x:c>
      <x:c r="B275" s="157" t="str">
        <x:v>Return on assets</x:v>
      </x:c>
      <x:c r="C275" s="157" t="str">
        <x:v>FY2021</x:v>
      </x:c>
      <x:c r="D275" s="161" t="n">
        <x:v>0.1497</x:v>
      </x:c>
      <x:c r="E275" s="161" t="n">
        <x:f>KOHC!D164</x:f>
        <x:v>0.10310501881607244</x:v>
      </x:c>
      <x:c r="F275" s="161" t="n">
        <x:f>KOHC!D108/KOHC!D37</x:f>
        <x:v>0.14972210997362279</x:v>
      </x:c>
      <x:c r="G275" s="162" t="str">
        <x:v>EBIT / closing total assets (KOHC report glossary)</x:v>
      </x:c>
      <x:c r="H275" s="162" t="str">
        <x:f>IF(AND(ISNUMBER(D275),ISNUMBER(F275)),IF(ROUND(D275,O275)=ROUND(F275,O275),"Reproduced to precision","Unresolved published value"),"Not comparable")</x:f>
        <x:v>Reproduced to precision</x:v>
      </x:c>
      <x:c r="I275" s="162" t="str">
        <x:v>Published ROA uses EBIT rather than PAT and closing assets; uniform course ROA remains PAT / average assets.</x:v>
      </x:c>
      <x:c r="J275" s="162" t="str">
        <x:v>FY2025 AR PDF p53</x:v>
      </x:c>
      <x:c r="K275" s="162" t="str">
        <x:v>Added source comparison</x:v>
      </x:c>
      <x:c r="L275" s="162" t="str">
        <x:v>Source comparison</x:v>
      </x:c>
      <x:c r="M275" s="157" t="n">
        <x:f>IF(ISNUMBER(E275),E275-D275,"n/m")</x:f>
        <x:v>-0.04659498118392756</x:v>
      </x:c>
      <x:c r="N275" s="157" t="n">
        <x:f>IF(ISNUMBER(F275),F275-D275,"n/m")</x:f>
        <x:v>0.000022109973622785883</x:v>
      </x:c>
      <x:c r="O275" s="157" t="n">
        <x:v>4</x:v>
      </x:c>
    </x:row>
    <x:row r="276" ht="112" hidden="0" customHeight="1">
      <x:c r="A276" s="75" t="str">
        <x:v>KOHC</x:v>
      </x:c>
      <x:c r="B276" s="75" t="str">
        <x:v>Return on assets</x:v>
      </x:c>
      <x:c r="C276" s="75" t="str">
        <x:v>FY2022</x:v>
      </x:c>
      <x:c r="D276" s="160" t="n">
        <x:v>0.2183</x:v>
      </x:c>
      <x:c r="E276" s="160" t="n">
        <x:f>KOHC!E164</x:f>
        <x:v>0.12649629238438423</x:v>
      </x:c>
      <x:c r="F276" s="160" t="n">
        <x:f>KOHC!E108/KOHC!E37</x:f>
        <x:v>0.2182942134837207</x:v>
      </x:c>
      <x:c r="G276" s="163" t="str">
        <x:v>EBIT / closing total assets (KOHC report glossary)</x:v>
      </x:c>
      <x:c r="H276" s="163" t="str">
        <x:f>IF(AND(ISNUMBER(D276),ISNUMBER(F276)),IF(ROUND(D276,O276)=ROUND(F276,O276),"Reproduced to precision","Unresolved published value"),"Not comparable")</x:f>
        <x:v>Reproduced to precision</x:v>
      </x:c>
      <x:c r="I276" s="163" t="str">
        <x:v>Published ROA uses EBIT rather than PAT and closing assets; uniform course ROA remains PAT / average assets.</x:v>
      </x:c>
      <x:c r="J276" s="163" t="str">
        <x:v>FY2025 AR PDF p53</x:v>
      </x:c>
      <x:c r="K276" s="163" t="str">
        <x:v>Added source comparison</x:v>
      </x:c>
      <x:c r="L276" s="163" t="str">
        <x:v>Source comparison</x:v>
      </x:c>
      <x:c r="M276" s="75" t="n">
        <x:f>IF(ISNUMBER(E276),E276-D276,"n/m")</x:f>
        <x:v>-0.09180370761561576</x:v>
      </x:c>
      <x:c r="N276" s="75" t="n">
        <x:f>IF(ISNUMBER(F276),F276-D276,"n/m")</x:f>
        <x:v>-0.00000578651627930471</x:v>
      </x:c>
      <x:c r="O276" s="75" t="n">
        <x:v>4</x:v>
      </x:c>
    </x:row>
    <x:row r="277" ht="112" hidden="0" customHeight="1">
      <x:c r="A277" s="157" t="str">
        <x:v>KOHC</x:v>
      </x:c>
      <x:c r="B277" s="157" t="str">
        <x:v>Return on assets</x:v>
      </x:c>
      <x:c r="C277" s="157" t="str">
        <x:v>FY2023</x:v>
      </x:c>
      <x:c r="D277" s="161" t="n">
        <x:v>0.2263</x:v>
      </x:c>
      <x:c r="E277" s="161" t="n">
        <x:f>KOHC!F164</x:f>
        <x:v>0.12533816876597817</x:v>
      </x:c>
      <x:c r="F277" s="161" t="n">
        <x:f>KOHC!F108/KOHC!F37</x:f>
        <x:v>0.22631977594735558</x:v>
      </x:c>
      <x:c r="G277" s="162" t="str">
        <x:v>EBIT / closing total assets (KOHC report glossary)</x:v>
      </x:c>
      <x:c r="H277" s="162" t="str">
        <x:f>IF(AND(ISNUMBER(D277),ISNUMBER(F277)),IF(ROUND(D277,O277)=ROUND(F277,O277),"Reproduced to precision","Unresolved published value"),"Not comparable")</x:f>
        <x:v>Reproduced to precision</x:v>
      </x:c>
      <x:c r="I277" s="162" t="str">
        <x:v>Published ROA uses EBIT rather than PAT and closing assets; uniform course ROA remains PAT / average assets.</x:v>
      </x:c>
      <x:c r="J277" s="162" t="str">
        <x:v>FY2025 AR PDF p53</x:v>
      </x:c>
      <x:c r="K277" s="162" t="str">
        <x:v>Added source comparison</x:v>
      </x:c>
      <x:c r="L277" s="162" t="str">
        <x:v>Source comparison</x:v>
      </x:c>
      <x:c r="M277" s="157" t="n">
        <x:f>IF(ISNUMBER(E277),E277-D277,"n/m")</x:f>
        <x:v>-0.10096183123402183</x:v>
      </x:c>
      <x:c r="N277" s="157" t="n">
        <x:f>IF(ISNUMBER(F277),F277-D277,"n/m")</x:f>
        <x:v>0.000019775947355582524</x:v>
      </x:c>
      <x:c r="O277" s="157" t="n">
        <x:v>4</x:v>
      </x:c>
    </x:row>
    <x:row r="278" ht="112" hidden="0" customHeight="1">
      <x:c r="A278" s="75" t="str">
        <x:v>KOHC</x:v>
      </x:c>
      <x:c r="B278" s="75" t="str">
        <x:v>Return on assets</x:v>
      </x:c>
      <x:c r="C278" s="75" t="str">
        <x:v>FY2024</x:v>
      </x:c>
      <x:c r="D278" s="160" t="n">
        <x:v>0.2456</x:v>
      </x:c>
      <x:c r="E278" s="160" t="n">
        <x:f>KOHC!G164</x:f>
        <x:v>0.1641262004883521</x:v>
      </x:c>
      <x:c r="F278" s="160" t="n">
        <x:f>KOHC!G108/KOHC!G37</x:f>
        <x:v>0.24562978495019586</x:v>
      </x:c>
      <x:c r="G278" s="163" t="str">
        <x:v>EBIT / closing total assets (KOHC report glossary)</x:v>
      </x:c>
      <x:c r="H278" s="163" t="str">
        <x:f>IF(AND(ISNUMBER(D278),ISNUMBER(F278)),IF(ROUND(D278,O278)=ROUND(F278,O278),"Reproduced to precision","Unresolved published value"),"Not comparable")</x:f>
        <x:v>Reproduced to precision</x:v>
      </x:c>
      <x:c r="I278" s="163" t="str">
        <x:v>Published ROA uses EBIT rather than PAT and closing assets; uniform course ROA remains PAT / average assets.</x:v>
      </x:c>
      <x:c r="J278" s="163" t="str">
        <x:v>FY2025 AR PDF p53</x:v>
      </x:c>
      <x:c r="K278" s="163" t="str">
        <x:v>Added source comparison</x:v>
      </x:c>
      <x:c r="L278" s="163" t="str">
        <x:v>Source comparison</x:v>
      </x:c>
      <x:c r="M278" s="75" t="n">
        <x:f>IF(ISNUMBER(E278),E278-D278,"n/m")</x:f>
        <x:v>-0.0814737995116479</x:v>
      </x:c>
      <x:c r="N278" s="75" t="n">
        <x:f>IF(ISNUMBER(F278),F278-D278,"n/m")</x:f>
        <x:v>0.000029784950195843596</x:v>
      </x:c>
      <x:c r="O278" s="75" t="n">
        <x:v>4</x:v>
      </x:c>
    </x:row>
    <x:row r="279" ht="112" hidden="0" customHeight="1">
      <x:c r="A279" s="157" t="str">
        <x:v>KOHC</x:v>
      </x:c>
      <x:c r="B279" s="157" t="str">
        <x:v>Return on assets</x:v>
      </x:c>
      <x:c r="C279" s="157" t="str">
        <x:v>FY2025</x:v>
      </x:c>
      <x:c r="D279" s="161" t="n">
        <x:v>0.2709</x:v>
      </x:c>
      <x:c r="E279" s="161" t="n">
        <x:f>KOHC!H164</x:f>
        <x:v>0.184262568360198</x:v>
      </x:c>
      <x:c r="F279" s="161" t="n">
        <x:f>KOHC!H108/KOHC!H37</x:f>
        <x:v>0.2709322643499387</x:v>
      </x:c>
      <x:c r="G279" s="162" t="str">
        <x:v>EBIT / closing total assets (KOHC report glossary)</x:v>
      </x:c>
      <x:c r="H279" s="162" t="str">
        <x:f>IF(AND(ISNUMBER(D279),ISNUMBER(F279)),IF(ROUND(D279,O279)=ROUND(F279,O279),"Reproduced to precision","Unresolved published value"),"Not comparable")</x:f>
        <x:v>Reproduced to precision</x:v>
      </x:c>
      <x:c r="I279" s="162" t="str">
        <x:v>Published ROA uses EBIT rather than PAT and closing assets; uniform course ROA remains PAT / average assets.</x:v>
      </x:c>
      <x:c r="J279" s="162" t="str">
        <x:v>FY2025 AR PDF p53</x:v>
      </x:c>
      <x:c r="K279" s="162" t="str">
        <x:v>Added source comparison</x:v>
      </x:c>
      <x:c r="L279" s="162" t="str">
        <x:v>Source comparison</x:v>
      </x:c>
      <x:c r="M279" s="157" t="n">
        <x:f>IF(ISNUMBER(E279),E279-D279,"n/m")</x:f>
        <x:v>-0.08663743163980198</x:v>
      </x:c>
      <x:c r="N279" s="157" t="n">
        <x:f>IF(ISNUMBER(F279),F279-D279,"n/m")</x:f>
        <x:v>0.000032264349938748715</x:v>
      </x:c>
      <x:c r="O279" s="157" t="n">
        <x:v>4</x:v>
      </x:c>
    </x:row>
    <x:row r="280" ht="112" hidden="0" customHeight="1">
      <x:c r="A280" s="75" t="str">
        <x:v>KOHC</x:v>
      </x:c>
      <x:c r="B280" s="75" t="str">
        <x:v>Book value per share (Rs)</x:v>
      </x:c>
      <x:c r="C280" s="75" t="str">
        <x:v>FY2021</x:v>
      </x:c>
      <x:c r="D280" s="159" t="n">
        <x:v>22.13</x:v>
      </x:c>
      <x:c r="E280" s="159" t="n">
        <x:f>KOHC!D169</x:f>
        <x:v>110.64122209168052</x:v>
      </x:c>
      <x:c r="F280" s="159" t="n">
        <x:f>KOHC!D41/'PSX Prices'!O6</x:f>
        <x:v>22.128244418336102</x:v>
      </x:c>
      <x:c r="G280" s="163" t="str">
        <x:v>Equity / report-basis weighted-average shares</x:v>
      </x:c>
      <x:c r="H280" s="163" t="str">
        <x:f>IF(AND(ISNUMBER(D280),ISNUMBER(F280)),IF(ROUND(D280,O280)=ROUND(F280,O280),"Reproduced to precision","Unresolved published value"),"Not comparable")</x:f>
        <x:v>Reproduced to precision</x:v>
      </x:c>
      <x:c r="I280" s="163" t="str">
        <x:v>All five published BVPS values reconstruct using the report-basis weighted share denominator also disclosed with EPS. The company does not expressly disclose this BVPS denominator convention. Uniform BVPS uses net year-end outstanding shares, preserving compatible PSX price bases; no main denominator changed.</x:v>
      </x:c>
      <x:c r="J280" s="163" t="str">
        <x:v>FY2025 AR PDF p53</x:v>
      </x:c>
      <x:c r="K280" s="163" t="str">
        <x:v>Added source comparison</x:v>
      </x:c>
      <x:c r="L280" s="163" t="str">
        <x:v>Published weighted-share convention (numerically reconstructed)</x:v>
      </x:c>
      <x:c r="M280" s="75" t="n">
        <x:f>IF(ISNUMBER(E280),E280-D280,"n/m")</x:f>
        <x:v>88.51122209168052</x:v>
      </x:c>
      <x:c r="N280" s="75" t="n">
        <x:f>IF(ISNUMBER(F280),F280-D280,"n/m")</x:f>
        <x:v>-0.001755581663896777</x:v>
      </x:c>
      <x:c r="O280" s="75" t="n">
        <x:v>2</x:v>
      </x:c>
    </x:row>
    <x:row r="281" ht="112" hidden="0" customHeight="1">
      <x:c r="A281" s="157" t="str">
        <x:v>KOHC</x:v>
      </x:c>
      <x:c r="B281" s="157" t="str">
        <x:v>Book value per share (Rs)</x:v>
      </x:c>
      <x:c r="C281" s="157" t="str">
        <x:v>FY2022</x:v>
      </x:c>
      <x:c r="D281" s="158" t="n">
        <x:v>27.13</x:v>
      </x:c>
      <x:c r="E281" s="158" t="n">
        <x:f>KOHC!E169</x:f>
        <x:v>135.64693964412666</x:v>
      </x:c>
      <x:c r="F281" s="158" t="n">
        <x:f>KOHC!E41/'PSX Prices'!O7</x:f>
        <x:v>27.129387928825334</x:v>
      </x:c>
      <x:c r="G281" s="162" t="str">
        <x:v>Equity / report-basis weighted-average shares</x:v>
      </x:c>
      <x:c r="H281" s="162" t="str">
        <x:f>IF(AND(ISNUMBER(D281),ISNUMBER(F281)),IF(ROUND(D281,O281)=ROUND(F281,O281),"Reproduced to precision","Unresolved published value"),"Not comparable")</x:f>
        <x:v>Reproduced to precision</x:v>
      </x:c>
      <x:c r="I281" s="162" t="str">
        <x:v>All five published BVPS values reconstruct using the report-basis weighted share denominator also disclosed with EPS. The company does not expressly disclose this BVPS denominator convention. Uniform BVPS uses net year-end outstanding shares, preserving compatible PSX price bases; no main denominator changed.</x:v>
      </x:c>
      <x:c r="J281" s="162" t="str">
        <x:v>FY2025 AR PDF p53</x:v>
      </x:c>
      <x:c r="K281" s="162" t="str">
        <x:v>Added source comparison</x:v>
      </x:c>
      <x:c r="L281" s="162" t="str">
        <x:v>Published weighted-share convention (numerically reconstructed)</x:v>
      </x:c>
      <x:c r="M281" s="157" t="n">
        <x:f>IF(ISNUMBER(E281),E281-D281,"n/m")</x:f>
        <x:v>108.51693964412667</x:v>
      </x:c>
      <x:c r="N281" s="157" t="n">
        <x:f>IF(ISNUMBER(F281),F281-D281,"n/m")</x:f>
        <x:v>-0.0006120711746646634</x:v>
      </x:c>
      <x:c r="O281" s="157" t="n">
        <x:v>2</x:v>
      </x:c>
    </x:row>
    <x:row r="282" ht="112" hidden="0" customHeight="1">
      <x:c r="A282" s="75" t="str">
        <x:v>KOHC</x:v>
      </x:c>
      <x:c r="B282" s="75" t="str">
        <x:v>Book value per share (Rs)</x:v>
      </x:c>
      <x:c r="C282" s="75" t="str">
        <x:v>FY2023</x:v>
      </x:c>
      <x:c r="D282" s="159" t="n">
        <x:v>32.47</x:v>
      </x:c>
      <x:c r="E282" s="159" t="n">
        <x:f>KOHC!F169</x:f>
        <x:v>162.35106244484723</x:v>
      </x:c>
      <x:c r="F282" s="159" t="n">
        <x:f>KOHC!F41/'PSX Prices'!O8</x:f>
        <x:v>32.470212488969445</x:v>
      </x:c>
      <x:c r="G282" s="163" t="str">
        <x:v>Equity / report-basis weighted-average shares</x:v>
      </x:c>
      <x:c r="H282" s="163" t="str">
        <x:f>IF(AND(ISNUMBER(D282),ISNUMBER(F282)),IF(ROUND(D282,O282)=ROUND(F282,O282),"Reproduced to precision","Unresolved published value"),"Not comparable")</x:f>
        <x:v>Reproduced to precision</x:v>
      </x:c>
      <x:c r="I282" s="163" t="str">
        <x:v>All five published BVPS values reconstruct using the report-basis weighted share denominator also disclosed with EPS. The company does not expressly disclose this BVPS denominator convention. Uniform BVPS uses net year-end outstanding shares, preserving compatible PSX price bases; no main denominator changed.</x:v>
      </x:c>
      <x:c r="J282" s="163" t="str">
        <x:v>FY2025 AR PDF p53</x:v>
      </x:c>
      <x:c r="K282" s="163" t="str">
        <x:v>Added source comparison</x:v>
      </x:c>
      <x:c r="L282" s="163" t="str">
        <x:v>Published weighted-share convention (numerically reconstructed)</x:v>
      </x:c>
      <x:c r="M282" s="75" t="n">
        <x:f>IF(ISNUMBER(E282),E282-D282,"n/m")</x:f>
        <x:v>129.88106244484723</x:v>
      </x:c>
      <x:c r="N282" s="75" t="n">
        <x:f>IF(ISNUMBER(F282),F282-D282,"n/m")</x:f>
        <x:v>0.00021248896944570106</x:v>
      </x:c>
      <x:c r="O282" s="75" t="n">
        <x:v>2</x:v>
      </x:c>
    </x:row>
    <x:row r="283" ht="112" hidden="0" customHeight="1">
      <x:c r="A283" s="157" t="str">
        <x:v>KOHC</x:v>
      </x:c>
      <x:c r="B283" s="157" t="str">
        <x:v>Book value per share (Rs)</x:v>
      </x:c>
      <x:c r="C283" s="157" t="str">
        <x:v>FY2024</x:v>
      </x:c>
      <x:c r="D283" s="158" t="n">
        <x:v>41.84</x:v>
      </x:c>
      <x:c r="E283" s="158" t="n">
        <x:f>KOHC!G169</x:f>
        <x:v>209.7928785338331</x:v>
      </x:c>
      <x:c r="F283" s="158" t="n">
        <x:f>KOHC!G41/'PSX Prices'!O9</x:f>
        <x:v>41.836018302170054</x:v>
      </x:c>
      <x:c r="G283" s="162" t="str">
        <x:v>Equity / report-basis weighted-average shares</x:v>
      </x:c>
      <x:c r="H283" s="162" t="str">
        <x:f>IF(AND(ISNUMBER(D283),ISNUMBER(F283)),IF(ROUND(D283,O283)=ROUND(F283,O283),"Reproduced to precision","Unresolved published value"),"Not comparable")</x:f>
        <x:v>Reproduced to precision</x:v>
      </x:c>
      <x:c r="I283" s="162" t="str">
        <x:v>All five published BVPS values reconstruct using the report-basis weighted share denominator also disclosed with EPS. The company does not expressly disclose this BVPS denominator convention. Uniform BVPS uses net year-end outstanding shares, preserving compatible PSX price bases; no main denominator changed.</x:v>
      </x:c>
      <x:c r="J283" s="162" t="str">
        <x:v>FY2025 AR PDF p53</x:v>
      </x:c>
      <x:c r="K283" s="162" t="str">
        <x:v>Added source comparison</x:v>
      </x:c>
      <x:c r="L283" s="162" t="str">
        <x:v>Published weighted-share convention (numerically reconstructed)</x:v>
      </x:c>
      <x:c r="M283" s="157" t="n">
        <x:f>IF(ISNUMBER(E283),E283-D283,"n/m")</x:f>
        <x:v>167.9528785338331</x:v>
      </x:c>
      <x:c r="N283" s="157" t="n">
        <x:f>IF(ISNUMBER(F283),F283-D283,"n/m")</x:f>
        <x:v>-0.003981697829949837</x:v>
      </x:c>
      <x:c r="O283" s="157" t="n">
        <x:v>2</x:v>
      </x:c>
    </x:row>
    <x:row r="284" ht="112" hidden="0" customHeight="1">
      <x:c r="A284" s="75" t="str">
        <x:v>KOHC</x:v>
      </x:c>
      <x:c r="B284" s="75" t="str">
        <x:v>Book value per share (Rs)</x:v>
      </x:c>
      <x:c r="C284" s="75" t="str">
        <x:v>FY2025</x:v>
      </x:c>
      <x:c r="D284" s="159" t="n">
        <x:v>49.58</x:v>
      </x:c>
      <x:c r="E284" s="159" t="n">
        <x:f>KOHC!H169</x:f>
        <x:v>260.8226721418157</x:v>
      </x:c>
      <x:c r="F284" s="159" t="n">
        <x:f>KOHC!H41/'PSX Prices'!O10</x:f>
        <x:v>49.584435200370244</x:v>
      </x:c>
      <x:c r="G284" s="163" t="str">
        <x:v>Equity / report-basis weighted-average shares</x:v>
      </x:c>
      <x:c r="H284" s="163" t="str">
        <x:f>IF(AND(ISNUMBER(D284),ISNUMBER(F284)),IF(ROUND(D284,O284)=ROUND(F284,O284),"Reproduced to precision","Unresolved published value"),"Not comparable")</x:f>
        <x:v>Reproduced to precision</x:v>
      </x:c>
      <x:c r="I284" s="163" t="str">
        <x:v>All five published BVPS values reconstruct using the report-basis weighted share denominator also disclosed with EPS. The company does not expressly disclose this BVPS denominator convention. Uniform BVPS uses net year-end outstanding shares, preserving compatible PSX price bases; no main denominator changed.</x:v>
      </x:c>
      <x:c r="J284" s="163" t="str">
        <x:v>FY2025 AR PDF p53</x:v>
      </x:c>
      <x:c r="K284" s="163" t="str">
        <x:v>Added source comparison</x:v>
      </x:c>
      <x:c r="L284" s="163" t="str">
        <x:v>Published weighted-share convention (numerically reconstructed)</x:v>
      </x:c>
      <x:c r="M284" s="75" t="n">
        <x:f>IF(ISNUMBER(E284),E284-D284,"n/m")</x:f>
        <x:v>211.24267214181572</x:v>
      </x:c>
      <x:c r="N284" s="75" t="n">
        <x:f>IF(ISNUMBER(F284),F284-D284,"n/m")</x:f>
        <x:v>0.0044352003702456955</x:v>
      </x:c>
      <x:c r="O284" s="75" t="n">
        <x:v>2</x:v>
      </x:c>
    </x:row>
    <x:row r="285" ht="112" hidden="0" customHeight="1">
      <x:c r="A285" s="157" t="str">
        <x:v>KOHC</x:v>
      </x:c>
      <x:c r="B285" s="157" t="str">
        <x:v>Earnings per share (Rs)</x:v>
      </x:c>
      <x:c r="C285" s="157" t="str">
        <x:v>FY2021</x:v>
      </x:c>
      <x:c r="D285" s="158" t="n">
        <x:v>3.48</x:v>
      </x:c>
      <x:c r="E285" s="158" t="n">
        <x:f>KOHC!D171</x:f>
        <x:v>17.412549352402124</x:v>
      </x:c>
      <x:c r="F285" s="158" t="n">
        <x:f>KOHC!D99/'PSX Prices'!O6</x:f>
        <x:v>3.482509870480425</x:v>
      </x:c>
      <x:c r="G285" s="162" t="str">
        <x:v>PAT / reported-basis weighted shares</x:v>
      </x:c>
      <x:c r="H285" s="162" t="str">
        <x:f>IF(AND(ISNUMBER(D285),ISNUMBER(F285)),IF(ROUND(D285,O285)=ROUND(F285,O285),"Reproduced to precision","Unresolved published value"),"Not comparable")</x:f>
        <x:v>Reproduced to precision</x:v>
      </x:c>
      <x:c r="I285" s="162" t="str">
        <x:v>Report per-share series is split-adjusted. Standard result uses the share basis in force at each year-end. See Share Basis for source conflicts in KOHC FY2024 weighted shares, LUCK FY2023 EPS and FCCL bonus treatment.</x:v>
      </x:c>
      <x:c r="J285" s="162" t="str">
        <x:v>FY2025 AR PDF p53</x:v>
      </x:c>
      <x:c r="K285" s="162" t="str">
        <x:v>Added source comparison</x:v>
      </x:c>
      <x:c r="L285" s="162" t="str">
        <x:v>Source comparison</x:v>
      </x:c>
      <x:c r="M285" s="157" t="n">
        <x:f>IF(ISNUMBER(E285),E285-D285,"n/m")</x:f>
        <x:v>13.932549352402123</x:v>
      </x:c>
      <x:c r="N285" s="157" t="n">
        <x:f>IF(ISNUMBER(F285),F285-D285,"n/m")</x:f>
        <x:v>0.002509870480424947</x:v>
      </x:c>
      <x:c r="O285" s="157" t="n">
        <x:v>2</x:v>
      </x:c>
    </x:row>
    <x:row r="286" ht="112" hidden="0" customHeight="1">
      <x:c r="A286" s="75" t="str">
        <x:v>KOHC</x:v>
      </x:c>
      <x:c r="B286" s="75" t="str">
        <x:v>Earnings per share (Rs)</x:v>
      </x:c>
      <x:c r="C286" s="75" t="str">
        <x:v>FY2022</x:v>
      </x:c>
      <x:c r="D286" s="159" t="n">
        <x:v>5</x:v>
      </x:c>
      <x:c r="E286" s="159" t="n">
        <x:f>KOHC!E171</x:f>
        <x:v>25.013680261160516</x:v>
      </x:c>
      <x:c r="F286" s="159" t="n">
        <x:f>KOHC!E99/'PSX Prices'!O7</x:f>
        <x:v>5.002736052232104</x:v>
      </x:c>
      <x:c r="G286" s="163" t="str">
        <x:v>PAT / reported-basis weighted shares</x:v>
      </x:c>
      <x:c r="H286" s="163" t="str">
        <x:f>IF(AND(ISNUMBER(D286),ISNUMBER(F286)),IF(ROUND(D286,O286)=ROUND(F286,O286),"Reproduced to precision","Unresolved published value"),"Not comparable")</x:f>
        <x:v>Reproduced to precision</x:v>
      </x:c>
      <x:c r="I286" s="163" t="str">
        <x:v>Report per-share series is split-adjusted. Standard result uses the share basis in force at each year-end. See Share Basis for source conflicts in KOHC FY2024 weighted shares, LUCK FY2023 EPS and FCCL bonus treatment.</x:v>
      </x:c>
      <x:c r="J286" s="163" t="str">
        <x:v>FY2025 AR PDF p53</x:v>
      </x:c>
      <x:c r="K286" s="163" t="str">
        <x:v>Added source comparison</x:v>
      </x:c>
      <x:c r="L286" s="163" t="str">
        <x:v>Source comparison</x:v>
      </x:c>
      <x:c r="M286" s="75" t="n">
        <x:f>IF(ISNUMBER(E286),E286-D286,"n/m")</x:f>
        <x:v>20.013680261160516</x:v>
      </x:c>
      <x:c r="N286" s="75" t="n">
        <x:f>IF(ISNUMBER(F286),F286-D286,"n/m")</x:f>
        <x:v>0.002736052232103603</x:v>
      </x:c>
      <x:c r="O286" s="75" t="n">
        <x:v>2</x:v>
      </x:c>
    </x:row>
    <x:row r="287" ht="112" hidden="0" customHeight="1">
      <x:c r="A287" s="157" t="str">
        <x:v>KOHC</x:v>
      </x:c>
      <x:c r="B287" s="157" t="str">
        <x:v>Earnings per share (Rs)</x:v>
      </x:c>
      <x:c r="C287" s="157" t="str">
        <x:v>FY2023</x:v>
      </x:c>
      <x:c r="D287" s="158" t="n">
        <x:v>5.8</x:v>
      </x:c>
      <x:c r="E287" s="158" t="n">
        <x:f>KOHC!F171</x:f>
        <x:v>28.978958275869324</x:v>
      </x:c>
      <x:c r="F287" s="158" t="n">
        <x:f>KOHC!F99/'PSX Prices'!O8</x:f>
        <x:v>5.795791655173866</x:v>
      </x:c>
      <x:c r="G287" s="162" t="str">
        <x:v>PAT / reported-basis weighted shares</x:v>
      </x:c>
      <x:c r="H287" s="162" t="str">
        <x:f>IF(AND(ISNUMBER(D287),ISNUMBER(F287)),IF(ROUND(D287,O287)=ROUND(F287,O287),"Reproduced to precision","Unresolved published value"),"Not comparable")</x:f>
        <x:v>Reproduced to precision</x:v>
      </x:c>
      <x:c r="I287" s="162" t="str">
        <x:v>Report per-share series is split-adjusted. Standard result uses the share basis in force at each year-end. See Share Basis for source conflicts in KOHC FY2024 weighted shares, LUCK FY2023 EPS and FCCL bonus treatment.</x:v>
      </x:c>
      <x:c r="J287" s="162" t="str">
        <x:v>FY2025 AR PDF p53</x:v>
      </x:c>
      <x:c r="K287" s="162" t="str">
        <x:v>Added source comparison</x:v>
      </x:c>
      <x:c r="L287" s="162" t="str">
        <x:v>Source comparison</x:v>
      </x:c>
      <x:c r="M287" s="157" t="n">
        <x:f>IF(ISNUMBER(E287),E287-D287,"n/m")</x:f>
        <x:v>23.178958275869324</x:v>
      </x:c>
      <x:c r="N287" s="157" t="n">
        <x:f>IF(ISNUMBER(F287),F287-D287,"n/m")</x:f>
        <x:v>-0.0042083448261340806</x:v>
      </x:c>
      <x:c r="O287" s="157" t="n">
        <x:v>2</x:v>
      </x:c>
    </x:row>
    <x:row r="288" ht="112" hidden="0" customHeight="1">
      <x:c r="A288" s="75" t="str">
        <x:v>KOHC</x:v>
      </x:c>
      <x:c r="B288" s="75" t="str">
        <x:v>Earnings per share (Rs)</x:v>
      </x:c>
      <x:c r="C288" s="75" t="str">
        <x:v>FY2024</x:v>
      </x:c>
      <x:c r="D288" s="159" t="n">
        <x:v>9.06</x:v>
      </x:c>
      <x:c r="E288" s="159" t="n">
        <x:f>KOHC!G171</x:f>
        <x:v>45.27427267861498</x:v>
      </x:c>
      <x:c r="F288" s="159" t="n">
        <x:f>KOHC!G99/'PSX Prices'!O9</x:f>
        <x:v>9.054854535722995</x:v>
      </x:c>
      <x:c r="G288" s="163" t="str">
        <x:v>PAT / reported-basis weighted shares</x:v>
      </x:c>
      <x:c r="H288" s="163" t="str">
        <x:f>IF(AND(ISNUMBER(D288),ISNUMBER(F288)),IF(ROUND(D288,O288)=ROUND(F288,O288),"Reproduced to precision","Unresolved published value"),"Not comparable")</x:f>
        <x:v>Unresolved published value</x:v>
      </x:c>
      <x:c r="I288" s="163" t="str">
        <x:v>Report per-share series is split-adjusted. Standard result uses the share basis in force at each year-end. See Share Basis for source conflicts in KOHC FY2024 weighted shares, LUCK FY2023 EPS and FCCL bonus treatment.</x:v>
      </x:c>
      <x:c r="J288" s="163" t="str">
        <x:v>FY2025 AR PDF p53</x:v>
      </x:c>
      <x:c r="K288" s="163" t="str">
        <x:v>Added source comparison</x:v>
      </x:c>
      <x:c r="L288" s="163" t="str">
        <x:v>Source comparison</x:v>
      </x:c>
      <x:c r="M288" s="75" t="n">
        <x:f>IF(ISNUMBER(E288),E288-D288,"n/m")</x:f>
        <x:v>36.214272678614975</x:v>
      </x:c>
      <x:c r="N288" s="75" t="n">
        <x:f>IF(ISNUMBER(F288),F288-D288,"n/m")</x:f>
        <x:v>-0.0051454642770050185</x:v>
      </x:c>
      <x:c r="O288" s="75" t="n">
        <x:v>2</x:v>
      </x:c>
    </x:row>
    <x:row r="289" ht="112" customHeight="1">
      <x:c r="A289" s="157" t="str">
        <x:v>KOHC</x:v>
      </x:c>
      <x:c r="B289" s="157" t="str">
        <x:v>Earnings per share (Rs)</x:v>
      </x:c>
      <x:c r="C289" s="157" t="str">
        <x:v>FY2025</x:v>
      </x:c>
      <x:c r="D289" s="158" t="n">
        <x:v>11.97</x:v>
      </x:c>
      <x:c r="E289" s="158" t="n">
        <x:f>KOHC!H171</x:f>
        <x:v>59.84205460086993</x:v>
      </x:c>
      <x:c r="F289" s="158" t="n">
        <x:f>KOHC!H99/'PSX Prices'!O10</x:f>
        <x:v>11.968410920173985</x:v>
      </x:c>
      <x:c r="G289" s="162" t="str">
        <x:v>PAT / reported-basis weighted shares</x:v>
      </x:c>
      <x:c r="H289" s="162" t="str">
        <x:f>IF(AND(ISNUMBER(D289),ISNUMBER(F289)),IF(ROUND(D289,O289)=ROUND(F289,O289),"Reproduced to precision","Unresolved published value"),"Not comparable")</x:f>
        <x:v>Reproduced to precision</x:v>
      </x:c>
      <x:c r="I289" s="162" t="str">
        <x:v>Report per-share series is split-adjusted. Standard result uses the share basis in force at each year-end. See Share Basis for source conflicts in KOHC FY2024 weighted shares, LUCK FY2023 EPS and FCCL bonus treatment.</x:v>
      </x:c>
      <x:c r="J289" s="162" t="str">
        <x:v>FY2025 AR PDF p53</x:v>
      </x:c>
      <x:c r="K289" s="162" t="str">
        <x:v>Added source comparison</x:v>
      </x:c>
      <x:c r="L289" s="162" t="str">
        <x:v>Source comparison</x:v>
      </x:c>
      <x:c r="M289" s="157" t="n">
        <x:f>IF(ISNUMBER(E289),E289-D289,"n/m")</x:f>
        <x:v>47.87205460086993</x:v>
      </x:c>
      <x:c r="N289" s="157" t="n">
        <x:f>IF(ISNUMBER(F289),F289-D289,"n/m")</x:f>
        <x:v>-0.001589079826015194</x:v>
      </x:c>
      <x:c r="O289" s="157" t="n">
        <x:v>2</x:v>
      </x:c>
    </x:row>
    <x:row r="290" ht="112" hidden="0" customHeight="1">
      <x:c r="A290" s="75" t="str">
        <x:v>LUCK</x:v>
      </x:c>
      <x:c r="B290" s="75" t="str">
        <x:v>Current ratio</x:v>
      </x:c>
      <x:c r="C290" s="75" t="str">
        <x:v>FY2021</x:v>
      </x:c>
      <x:c r="D290" s="159" t="n">
        <x:v>1.34</x:v>
      </x:c>
      <x:c r="E290" s="159" t="n">
        <x:f>LUCK!D138</x:f>
        <x:v>1.3386079458938223</x:v>
      </x:c>
      <x:c r="F290" s="159" t="n">
        <x:f>LUCK!D36/LUCK!D61</x:f>
        <x:v>1.3386079458938223</x:v>
      </x:c>
      <x:c r="G290" s="163" t="str">
        <x:v>Standard definition</x:v>
      </x:c>
      <x:c r="H290" s="163" t="str">
        <x:f>IF(AND(ISNUMBER(D290),ISNUMBER(F290)),IF(ROUND(D290,O290)=ROUND(F290,O290),"Reproduced to precision","Unresolved published value"),"Not comparable")</x:f>
        <x:v>Reproduced to precision</x:v>
      </x:c>
      <x:c r="I290" s="163" t="str">
        <x:v>Tested the source-based convention shown in G against official published precision. Unmatched values remain unresolved; neither the standardized method nor the financial inputs were altered to force agreement.</x:v>
      </x:c>
      <x:c r="J290" s="163" t="str">
        <x:v>FY2025 AR PDF p166</x:v>
      </x:c>
      <x:c r="K290" s="163" t="str">
        <x:v>Added source comparison</x:v>
      </x:c>
      <x:c r="L290" s="163" t="str">
        <x:v>Source comparison</x:v>
      </x:c>
      <x:c r="M290" s="75" t="n">
        <x:f>IF(ISNUMBER(E290),E290-D290,"n/m")</x:f>
        <x:v>-0.0013920541061778202</x:v>
      </x:c>
      <x:c r="N290" s="75" t="n">
        <x:f>IF(ISNUMBER(F290),F290-D290,"n/m")</x:f>
        <x:v>-0.0013920541061778202</x:v>
      </x:c>
      <x:c r="O290" s="75" t="n">
        <x:v>2</x:v>
      </x:c>
    </x:row>
    <x:row r="291" ht="112" hidden="0" customHeight="1">
      <x:c r="A291" s="157" t="str">
        <x:v>LUCK</x:v>
      </x:c>
      <x:c r="B291" s="157" t="str">
        <x:v>Current ratio</x:v>
      </x:c>
      <x:c r="C291" s="157" t="str">
        <x:v>FY2022</x:v>
      </x:c>
      <x:c r="D291" s="158" t="n">
        <x:v>1.48</x:v>
      </x:c>
      <x:c r="E291" s="158" t="n">
        <x:f>LUCK!E138</x:f>
        <x:v>1.4760766300374313</x:v>
      </x:c>
      <x:c r="F291" s="158" t="n">
        <x:f>LUCK!E36/LUCK!E61</x:f>
        <x:v>1.4760766300374313</x:v>
      </x:c>
      <x:c r="G291" s="162" t="str">
        <x:v>Standard definition</x:v>
      </x:c>
      <x:c r="H291" s="162" t="str">
        <x:f>IF(AND(ISNUMBER(D291),ISNUMBER(F291)),IF(ROUND(D291,O291)=ROUND(F291,O291),"Reproduced to precision","Unresolved published value"),"Not comparable")</x:f>
        <x:v>Reproduced to precision</x:v>
      </x:c>
      <x:c r="I291" s="162" t="str">
        <x:v>Tested the source-based convention shown in G against official published precision. Unmatched values remain unresolved; neither the standardized method nor the financial inputs were altered to force agreement.</x:v>
      </x:c>
      <x:c r="J291" s="162" t="str">
        <x:v>FY2025 AR PDF p166</x:v>
      </x:c>
      <x:c r="K291" s="162" t="str">
        <x:v>Added source comparison</x:v>
      </x:c>
      <x:c r="L291" s="162" t="str">
        <x:v>Source comparison</x:v>
      </x:c>
      <x:c r="M291" s="157" t="n">
        <x:f>IF(ISNUMBER(E291),E291-D291,"n/m")</x:f>
        <x:v>-0.003923369962568701</x:v>
      </x:c>
      <x:c r="N291" s="157" t="n">
        <x:f>IF(ISNUMBER(F291),F291-D291,"n/m")</x:f>
        <x:v>-0.003923369962568701</x:v>
      </x:c>
      <x:c r="O291" s="157" t="n">
        <x:v>2</x:v>
      </x:c>
    </x:row>
    <x:row r="292" ht="112" hidden="0" customHeight="1">
      <x:c r="A292" s="75" t="str">
        <x:v>LUCK</x:v>
      </x:c>
      <x:c r="B292" s="75" t="str">
        <x:v>Current ratio</x:v>
      </x:c>
      <x:c r="C292" s="75" t="str">
        <x:v>FY2023</x:v>
      </x:c>
      <x:c r="D292" s="159" t="n">
        <x:v>1.29</x:v>
      </x:c>
      <x:c r="E292" s="159" t="n">
        <x:f>LUCK!F138</x:f>
        <x:v>1.290071633326858</x:v>
      </x:c>
      <x:c r="F292" s="159" t="n">
        <x:f>LUCK!F36/LUCK!F61</x:f>
        <x:v>1.290071633326858</x:v>
      </x:c>
      <x:c r="G292" s="163" t="str">
        <x:v>Standard definition</x:v>
      </x:c>
      <x:c r="H292" s="163" t="str">
        <x:f>IF(AND(ISNUMBER(D292),ISNUMBER(F292)),IF(ROUND(D292,O292)=ROUND(F292,O292),"Reproduced to precision","Unresolved published value"),"Not comparable")</x:f>
        <x:v>Reproduced to precision</x:v>
      </x:c>
      <x:c r="I292" s="163" t="str">
        <x:v>Tested the source-based convention shown in G against official published precision. Unmatched values remain unresolved; neither the standardized method nor the financial inputs were altered to force agreement.</x:v>
      </x:c>
      <x:c r="J292" s="163" t="str">
        <x:v>FY2025 AR PDF p166</x:v>
      </x:c>
      <x:c r="K292" s="163" t="str">
        <x:v>Added source comparison</x:v>
      </x:c>
      <x:c r="L292" s="163" t="str">
        <x:v>Source comparison</x:v>
      </x:c>
      <x:c r="M292" s="75" t="n">
        <x:f>IF(ISNUMBER(E292),E292-D292,"n/m")</x:f>
        <x:v>0.0000716333268580005</x:v>
      </x:c>
      <x:c r="N292" s="75" t="n">
        <x:f>IF(ISNUMBER(F292),F292-D292,"n/m")</x:f>
        <x:v>0.0000716333268580005</x:v>
      </x:c>
      <x:c r="O292" s="75" t="n">
        <x:v>2</x:v>
      </x:c>
    </x:row>
    <x:row r="293" ht="112" hidden="0" customHeight="1">
      <x:c r="A293" s="157" t="str">
        <x:v>LUCK</x:v>
      </x:c>
      <x:c r="B293" s="157" t="str">
        <x:v>Current ratio</x:v>
      </x:c>
      <x:c r="C293" s="157" t="str">
        <x:v>FY2024</x:v>
      </x:c>
      <x:c r="D293" s="158" t="n">
        <x:v>1.26</x:v>
      </x:c>
      <x:c r="E293" s="158" t="n">
        <x:f>LUCK!G138</x:f>
        <x:v>1.2632222354743232</x:v>
      </x:c>
      <x:c r="F293" s="158" t="n">
        <x:f>LUCK!G36/LUCK!G61</x:f>
        <x:v>1.2632222354743232</x:v>
      </x:c>
      <x:c r="G293" s="162" t="str">
        <x:v>Standard definition</x:v>
      </x:c>
      <x:c r="H293" s="162" t="str">
        <x:f>IF(AND(ISNUMBER(D293),ISNUMBER(F293)),IF(ROUND(D293,O293)=ROUND(F293,O293),"Reproduced to precision","Unresolved published value"),"Not comparable")</x:f>
        <x:v>Reproduced to precision</x:v>
      </x:c>
      <x:c r="I293" s="162" t="str">
        <x:v>Tested the source-based convention shown in G against official published precision. Unmatched values remain unresolved; neither the standardized method nor the financial inputs were altered to force agreement.</x:v>
      </x:c>
      <x:c r="J293" s="162" t="str">
        <x:v>FY2025 AR PDF p166</x:v>
      </x:c>
      <x:c r="K293" s="162" t="str">
        <x:v>Added source comparison</x:v>
      </x:c>
      <x:c r="L293" s="162" t="str">
        <x:v>Source comparison</x:v>
      </x:c>
      <x:c r="M293" s="157" t="n">
        <x:f>IF(ISNUMBER(E293),E293-D293,"n/m")</x:f>
        <x:v>0.0032222354743232096</x:v>
      </x:c>
      <x:c r="N293" s="157" t="n">
        <x:f>IF(ISNUMBER(F293),F293-D293,"n/m")</x:f>
        <x:v>0.0032222354743232096</x:v>
      </x:c>
      <x:c r="O293" s="157" t="n">
        <x:v>2</x:v>
      </x:c>
    </x:row>
    <x:row r="294" ht="112" hidden="0" customHeight="1">
      <x:c r="A294" s="75" t="str">
        <x:v>LUCK</x:v>
      </x:c>
      <x:c r="B294" s="75" t="str">
        <x:v>Current ratio</x:v>
      </x:c>
      <x:c r="C294" s="75" t="str">
        <x:v>FY2025</x:v>
      </x:c>
      <x:c r="D294" s="159" t="n">
        <x:v>1.71</x:v>
      </x:c>
      <x:c r="E294" s="159" t="n">
        <x:f>LUCK!H138</x:f>
        <x:v>1.7146143875904156</x:v>
      </x:c>
      <x:c r="F294" s="159" t="n">
        <x:f>LUCK!H36/LUCK!H61</x:f>
        <x:v>1.7146143875904156</x:v>
      </x:c>
      <x:c r="G294" s="163" t="str">
        <x:v>Standard definition</x:v>
      </x:c>
      <x:c r="H294" s="163" t="str">
        <x:f>IF(AND(ISNUMBER(D294),ISNUMBER(F294)),IF(ROUND(D294,O294)=ROUND(F294,O294),"Reproduced to precision","Unresolved published value"),"Not comparable")</x:f>
        <x:v>Reproduced to precision</x:v>
      </x:c>
      <x:c r="I294" s="163" t="str">
        <x:v>Tested the source-based convention shown in G against official published precision. Unmatched values remain unresolved; neither the standardized method nor the financial inputs were altered to force agreement.</x:v>
      </x:c>
      <x:c r="J294" s="163" t="str">
        <x:v>FY2025 AR PDF p166</x:v>
      </x:c>
      <x:c r="K294" s="163" t="str">
        <x:v>Added source comparison</x:v>
      </x:c>
      <x:c r="L294" s="163" t="str">
        <x:v>Source comparison</x:v>
      </x:c>
      <x:c r="M294" s="75" t="n">
        <x:f>IF(ISNUMBER(E294),E294-D294,"n/m")</x:f>
        <x:v>0.004614387590415658</x:v>
      </x:c>
      <x:c r="N294" s="75" t="n">
        <x:f>IF(ISNUMBER(F294),F294-D294,"n/m")</x:f>
        <x:v>0.004614387590415658</x:v>
      </x:c>
      <x:c r="O294" s="75" t="n">
        <x:v>2</x:v>
      </x:c>
    </x:row>
    <x:row r="295" ht="112" hidden="0" customHeight="1">
      <x:c r="A295" s="157" t="str">
        <x:v>LUCK</x:v>
      </x:c>
      <x:c r="B295" s="157" t="str">
        <x:v>Quick ratio</x:v>
      </x:c>
      <x:c r="C295" s="157" t="str">
        <x:v>FY2021</x:v>
      </x:c>
      <x:c r="D295" s="158" t="n">
        <x:v>0.89</x:v>
      </x:c>
      <x:c r="E295" s="158" t="n">
        <x:f>LUCK!D139</x:f>
        <x:v>0.890008861006851</x:v>
      </x:c>
      <x:c r="F295" s="158" t="n">
        <x:f>(LUCK!D36-LUCK!D65)/LUCK!D61</x:f>
        <x:v>0.890008861006851</x:v>
      </x:c>
      <x:c r="G295" s="162" t="str">
        <x:v>Standard definition</x:v>
      </x:c>
      <x:c r="H295" s="162" t="str">
        <x:f>IF(AND(ISNUMBER(D295),ISNUMBER(F295)),IF(ROUND(D295,O295)=ROUND(F295,O295),"Reproduced to precision","Unresolved published value"),"Not comparable")</x:f>
        <x:v>Reproduced to precision</x:v>
      </x:c>
      <x:c r="I295" s="162" t="str">
        <x:v>Tested the source-based convention shown in G against official published precision. Unmatched values remain unresolved; neither the standardized method nor the financial inputs were altered to force agreement.</x:v>
      </x:c>
      <x:c r="J295" s="162" t="str">
        <x:v>FY2025 AR PDF p166</x:v>
      </x:c>
      <x:c r="K295" s="162" t="str">
        <x:v>Added source comparison</x:v>
      </x:c>
      <x:c r="L295" s="162" t="str">
        <x:v>Source comparison</x:v>
      </x:c>
      <x:c r="M295" s="157" t="n">
        <x:f>IF(ISNUMBER(E295),E295-D295,"n/m")</x:f>
        <x:v>0.000008861006850935382</x:v>
      </x:c>
      <x:c r="N295" s="157" t="n">
        <x:f>IF(ISNUMBER(F295),F295-D295,"n/m")</x:f>
        <x:v>0.000008861006850935382</x:v>
      </x:c>
      <x:c r="O295" s="157" t="n">
        <x:v>2</x:v>
      </x:c>
    </x:row>
    <x:row r="296" ht="112" hidden="0" customHeight="1">
      <x:c r="A296" s="75" t="str">
        <x:v>LUCK</x:v>
      </x:c>
      <x:c r="B296" s="75" t="str">
        <x:v>Quick ratio</x:v>
      </x:c>
      <x:c r="C296" s="75" t="str">
        <x:v>FY2022</x:v>
      </x:c>
      <x:c r="D296" s="159" t="n">
        <x:v>0.87</x:v>
      </x:c>
      <x:c r="E296" s="159" t="n">
        <x:f>LUCK!E139</x:f>
        <x:v>0.8707609191920863</x:v>
      </x:c>
      <x:c r="F296" s="159" t="n">
        <x:f>(LUCK!E36-LUCK!E65)/LUCK!E61</x:f>
        <x:v>0.8707609191920863</x:v>
      </x:c>
      <x:c r="G296" s="163" t="str">
        <x:v>Standard definition</x:v>
      </x:c>
      <x:c r="H296" s="163" t="str">
        <x:f>IF(AND(ISNUMBER(D296),ISNUMBER(F296)),IF(ROUND(D296,O296)=ROUND(F296,O296),"Reproduced to precision","Unresolved published value"),"Not comparable")</x:f>
        <x:v>Reproduced to precision</x:v>
      </x:c>
      <x:c r="I296" s="163" t="str">
        <x:v>Tested the source-based convention shown in G against official published precision. Unmatched values remain unresolved; neither the standardized method nor the financial inputs were altered to force agreement.</x:v>
      </x:c>
      <x:c r="J296" s="163" t="str">
        <x:v>FY2025 AR PDF p166</x:v>
      </x:c>
      <x:c r="K296" s="163" t="str">
        <x:v>Added source comparison</x:v>
      </x:c>
      <x:c r="L296" s="163" t="str">
        <x:v>Source comparison</x:v>
      </x:c>
      <x:c r="M296" s="75" t="n">
        <x:f>IF(ISNUMBER(E296),E296-D296,"n/m")</x:f>
        <x:v>0.0007609191920863179</x:v>
      </x:c>
      <x:c r="N296" s="75" t="n">
        <x:f>IF(ISNUMBER(F296),F296-D296,"n/m")</x:f>
        <x:v>0.0007609191920863179</x:v>
      </x:c>
      <x:c r="O296" s="75" t="n">
        <x:v>2</x:v>
      </x:c>
    </x:row>
    <x:row r="297" ht="112" hidden="0" customHeight="1">
      <x:c r="A297" s="157" t="str">
        <x:v>LUCK</x:v>
      </x:c>
      <x:c r="B297" s="157" t="str">
        <x:v>Quick ratio</x:v>
      </x:c>
      <x:c r="C297" s="157" t="str">
        <x:v>FY2023</x:v>
      </x:c>
      <x:c r="D297" s="158" t="n">
        <x:v>0.85</x:v>
      </x:c>
      <x:c r="E297" s="158" t="n">
        <x:f>LUCK!F139</x:f>
        <x:v>0.8541222656242641</x:v>
      </x:c>
      <x:c r="F297" s="158" t="n">
        <x:f>(LUCK!F36-LUCK!F65)/LUCK!F61</x:f>
        <x:v>0.8541222656242641</x:v>
      </x:c>
      <x:c r="G297" s="162" t="str">
        <x:v>Standard definition</x:v>
      </x:c>
      <x:c r="H297" s="162" t="str">
        <x:f>IF(AND(ISNUMBER(D297),ISNUMBER(F297)),IF(ROUND(D297,O297)=ROUND(F297,O297),"Reproduced to precision","Unresolved published value"),"Not comparable")</x:f>
        <x:v>Reproduced to precision</x:v>
      </x:c>
      <x:c r="I297" s="162" t="str">
        <x:v>Tested the source-based convention shown in G against official published precision. Unmatched values remain unresolved; neither the standardized method nor the financial inputs were altered to force agreement.</x:v>
      </x:c>
      <x:c r="J297" s="162" t="str">
        <x:v>FY2025 AR PDF p166</x:v>
      </x:c>
      <x:c r="K297" s="162" t="str">
        <x:v>Added source comparison</x:v>
      </x:c>
      <x:c r="L297" s="162" t="str">
        <x:v>Source comparison</x:v>
      </x:c>
      <x:c r="M297" s="157" t="n">
        <x:f>IF(ISNUMBER(E297),E297-D297,"n/m")</x:f>
        <x:v>0.004122265624264099</x:v>
      </x:c>
      <x:c r="N297" s="157" t="n">
        <x:f>IF(ISNUMBER(F297),F297-D297,"n/m")</x:f>
        <x:v>0.004122265624264099</x:v>
      </x:c>
      <x:c r="O297" s="157" t="n">
        <x:v>2</x:v>
      </x:c>
    </x:row>
    <x:row r="298" ht="112" customHeight="1">
      <x:c r="A298" s="75" t="str">
        <x:v>LUCK</x:v>
      </x:c>
      <x:c r="B298" s="75" t="str">
        <x:v>Quick ratio</x:v>
      </x:c>
      <x:c r="C298" s="75" t="str">
        <x:v>FY2024</x:v>
      </x:c>
      <x:c r="D298" s="159" t="n">
        <x:v>0.84</x:v>
      </x:c>
      <x:c r="E298" s="159" t="n">
        <x:f>LUCK!G139</x:f>
        <x:v>0.8369831163170072</x:v>
      </x:c>
      <x:c r="F298" s="159" t="n">
        <x:f>(LUCK!G36-LUCK!G65)/LUCK!G61</x:f>
        <x:v>0.8369831163170072</x:v>
      </x:c>
      <x:c r="G298" s="163" t="str">
        <x:v>Standard definition</x:v>
      </x:c>
      <x:c r="H298" s="163" t="str">
        <x:f>IF(AND(ISNUMBER(D298),ISNUMBER(F298)),IF(ROUND(D298,O298)=ROUND(F298,O298),"Reproduced to precision","Unresolved published value"),"Not comparable")</x:f>
        <x:v>Reproduced to precision</x:v>
      </x:c>
      <x:c r="I298" s="163" t="str">
        <x:v>Tested the source-based convention shown in G against official published precision. Unmatched values remain unresolved; neither the standardized method nor the financial inputs were altered to force agreement.</x:v>
      </x:c>
      <x:c r="J298" s="163" t="str">
        <x:v>FY2025 AR PDF p166</x:v>
      </x:c>
      <x:c r="K298" s="163" t="str">
        <x:v>Added source comparison</x:v>
      </x:c>
      <x:c r="L298" s="163" t="str">
        <x:v>Source comparison</x:v>
      </x:c>
      <x:c r="M298" s="75" t="n">
        <x:f>IF(ISNUMBER(E298),E298-D298,"n/m")</x:f>
        <x:v>-0.003016883682992799</x:v>
      </x:c>
      <x:c r="N298" s="75" t="n">
        <x:f>IF(ISNUMBER(F298),F298-D298,"n/m")</x:f>
        <x:v>-0.003016883682992799</x:v>
      </x:c>
      <x:c r="O298" s="75" t="n">
        <x:v>2</x:v>
      </x:c>
    </x:row>
    <x:row r="299" ht="112" customHeight="1">
      <x:c r="A299" s="157" t="str">
        <x:v>LUCK</x:v>
      </x:c>
      <x:c r="B299" s="157" t="str">
        <x:v>Quick ratio</x:v>
      </x:c>
      <x:c r="C299" s="157" t="str">
        <x:v>FY2025</x:v>
      </x:c>
      <x:c r="D299" s="158" t="n">
        <x:v>1.29</x:v>
      </x:c>
      <x:c r="E299" s="158" t="n">
        <x:f>LUCK!H139</x:f>
        <x:v>1.2939267138361998</x:v>
      </x:c>
      <x:c r="F299" s="158" t="n">
        <x:f>(LUCK!H36-LUCK!H65)/LUCK!H61</x:f>
        <x:v>1.2939267138361998</x:v>
      </x:c>
      <x:c r="G299" s="162" t="str">
        <x:v>Standard definition</x:v>
      </x:c>
      <x:c r="H299" s="162" t="str">
        <x:f>IF(AND(ISNUMBER(D299),ISNUMBER(F299)),IF(ROUND(D299,O299)=ROUND(F299,O299),"Reproduced to precision","Unresolved published value"),"Not comparable")</x:f>
        <x:v>Reproduced to precision</x:v>
      </x:c>
      <x:c r="I299" s="162" t="str">
        <x:v>Tested the source-based convention shown in G against official published precision. Unmatched values remain unresolved; neither the standardized method nor the financial inputs were altered to force agreement.</x:v>
      </x:c>
      <x:c r="J299" s="162" t="str">
        <x:v>FY2025 AR PDF p166</x:v>
      </x:c>
      <x:c r="K299" s="162" t="str">
        <x:v>Added source comparison</x:v>
      </x:c>
      <x:c r="L299" s="162" t="str">
        <x:v>Source comparison</x:v>
      </x:c>
      <x:c r="M299" s="157" t="n">
        <x:f>IF(ISNUMBER(E299),E299-D299,"n/m")</x:f>
        <x:v>0.003926713836199802</x:v>
      </x:c>
      <x:c r="N299" s="157" t="n">
        <x:f>IF(ISNUMBER(F299),F299-D299,"n/m")</x:f>
        <x:v>0.003926713836199802</x:v>
      </x:c>
      <x:c r="O299" s="157" t="n">
        <x:v>2</x:v>
      </x:c>
    </x:row>
    <x:row r="300" ht="112" customHeight="1">
      <x:c r="A300" s="75" t="str">
        <x:v>LUCK</x:v>
      </x:c>
      <x:c r="B300" s="75" t="str">
        <x:v>Cash ratio</x:v>
      </x:c>
      <x:c r="C300" s="75" t="str">
        <x:v>FY2021</x:v>
      </x:c>
      <x:c r="D300" s="159" t="n">
        <x:v>0.38</x:v>
      </x:c>
      <x:c r="E300" s="159" t="n">
        <x:f>LUCK!D140</x:f>
        <x:v>0.09298113875159913</x:v>
      </x:c>
      <x:c r="F300" s="159" t="n">
        <x:f>LUCK!D257/LUCK!D61</x:f>
        <x:v>0.3830919049571947</x:v>
      </x:c>
      <x:c r="G300" s="163" t="str">
        <x:v>Cash and cash equivalents per audited cash-flow note / CL</x:v>
      </x:c>
      <x:c r="H300" s="163" t="str">
        <x:f>IF(AND(ISNUMBER(D300),ISNUMBER(F300)),IF(ROUND(D300,O300)=ROUND(F300,O300),"Reproduced to precision","Unresolved published value"),"Not comparable")</x:f>
        <x:v>Reproduced to precision</x:v>
      </x:c>
      <x:c r="I300" s="163" t="str">
        <x:v>Cash-flow notes include qualifying investments and reflect restricted balances/running finance. All five reproduce. Main cash ratio consistently uses the expressly stated cash-and-bank-only definition, with investments excluded.</x:v>
      </x:c>
      <x:c r="J300" s="163" t="str">
        <x:v>FY2025 AR PDF p166</x:v>
      </x:c>
      <x:c r="K300" s="163" t="str">
        <x:v>Added source comparison</x:v>
      </x:c>
      <x:c r="L300" s="163" t="str">
        <x:v>Published methodology difference (reconstructed)</x:v>
      </x:c>
      <x:c r="M300" s="75" t="n">
        <x:f>IF(ISNUMBER(E300),E300-D300,"n/m")</x:f>
        <x:v>-0.28701886124840087</x:v>
      </x:c>
      <x:c r="N300" s="75" t="n">
        <x:f>IF(ISNUMBER(F300),F300-D300,"n/m")</x:f>
        <x:v>0.003091904957194691</x:v>
      </x:c>
      <x:c r="O300" s="75" t="n">
        <x:v>2</x:v>
      </x:c>
    </x:row>
    <x:row r="301" ht="112" customHeight="1">
      <x:c r="A301" s="157" t="str">
        <x:v>LUCK</x:v>
      </x:c>
      <x:c r="B301" s="157" t="str">
        <x:v>Cash ratio</x:v>
      </x:c>
      <x:c r="C301" s="157" t="str">
        <x:v>FY2022</x:v>
      </x:c>
      <x:c r="D301" s="158" t="n">
        <x:v>0.48</x:v>
      </x:c>
      <x:c r="E301" s="158" t="n">
        <x:f>LUCK!E140</x:f>
        <x:v>0.12750015990720837</x:v>
      </x:c>
      <x:c r="F301" s="158" t="n">
        <x:f>LUCK!E257/LUCK!E61</x:f>
        <x:v>0.47735071665766726</x:v>
      </x:c>
      <x:c r="G301" s="162" t="str">
        <x:v>Cash and cash equivalents per audited cash-flow note / CL</x:v>
      </x:c>
      <x:c r="H301" s="162" t="str">
        <x:f>IF(AND(ISNUMBER(D301),ISNUMBER(F301)),IF(ROUND(D301,O301)=ROUND(F301,O301),"Reproduced to precision","Unresolved published value"),"Not comparable")</x:f>
        <x:v>Reproduced to precision</x:v>
      </x:c>
      <x:c r="I301" s="162" t="str">
        <x:v>Cash-flow notes include qualifying investments and reflect restricted balances/running finance. All five reproduce. Main cash ratio consistently uses the expressly stated cash-and-bank-only definition, with investments excluded.</x:v>
      </x:c>
      <x:c r="J301" s="162" t="str">
        <x:v>FY2025 AR PDF p166</x:v>
      </x:c>
      <x:c r="K301" s="162" t="str">
        <x:v>Added source comparison</x:v>
      </x:c>
      <x:c r="L301" s="162" t="str">
        <x:v>Published methodology difference (reconstructed)</x:v>
      </x:c>
      <x:c r="M301" s="157" t="n">
        <x:f>IF(ISNUMBER(E301),E301-D301,"n/m")</x:f>
        <x:v>-0.3524998400927916</x:v>
      </x:c>
      <x:c r="N301" s="157" t="n">
        <x:f>IF(ISNUMBER(F301),F301-D301,"n/m")</x:f>
        <x:v>-0.00264928334233272</x:v>
      </x:c>
      <x:c r="O301" s="157" t="n">
        <x:v>2</x:v>
      </x:c>
    </x:row>
    <x:row r="302" ht="112" customHeight="1">
      <x:c r="A302" s="75" t="str">
        <x:v>LUCK</x:v>
      </x:c>
      <x:c r="B302" s="75" t="str">
        <x:v>Cash ratio</x:v>
      </x:c>
      <x:c r="C302" s="75" t="str">
        <x:v>FY2023</x:v>
      </x:c>
      <x:c r="D302" s="159" t="n">
        <x:v>0.56</x:v>
      </x:c>
      <x:c r="E302" s="159" t="n">
        <x:f>LUCK!F140</x:f>
        <x:v>0.08913171618062964</x:v>
      </x:c>
      <x:c r="F302" s="159" t="n">
        <x:f>LUCK!F257/LUCK!F61</x:f>
        <x:v>0.5630377672109707</x:v>
      </x:c>
      <x:c r="G302" s="163" t="str">
        <x:v>Cash and cash equivalents per audited cash-flow note / CL</x:v>
      </x:c>
      <x:c r="H302" s="163" t="str">
        <x:f>IF(AND(ISNUMBER(D302),ISNUMBER(F302)),IF(ROUND(D302,O302)=ROUND(F302,O302),"Reproduced to precision","Unresolved published value"),"Not comparable")</x:f>
        <x:v>Reproduced to precision</x:v>
      </x:c>
      <x:c r="I302" s="163" t="str">
        <x:v>Cash-flow notes include qualifying investments and reflect restricted balances/running finance. All five reproduce. Main cash ratio consistently uses the expressly stated cash-and-bank-only definition, with investments excluded.</x:v>
      </x:c>
      <x:c r="J302" s="163" t="str">
        <x:v>FY2025 AR PDF p166</x:v>
      </x:c>
      <x:c r="K302" s="163" t="str">
        <x:v>Added source comparison</x:v>
      </x:c>
      <x:c r="L302" s="163" t="str">
        <x:v>Published methodology difference (reconstructed)</x:v>
      </x:c>
      <x:c r="M302" s="75" t="n">
        <x:f>IF(ISNUMBER(E302),E302-D302,"n/m")</x:f>
        <x:v>-0.4708682838193704</x:v>
      </x:c>
      <x:c r="N302" s="75" t="n">
        <x:f>IF(ISNUMBER(F302),F302-D302,"n/m")</x:f>
        <x:v>0.003037767210970599</x:v>
      </x:c>
      <x:c r="O302" s="75" t="n">
        <x:v>2</x:v>
      </x:c>
    </x:row>
    <x:row r="303" ht="112" customHeight="1">
      <x:c r="A303" s="157" t="str">
        <x:v>LUCK</x:v>
      </x:c>
      <x:c r="B303" s="157" t="str">
        <x:v>Cash ratio</x:v>
      </x:c>
      <x:c r="C303" s="157" t="str">
        <x:v>FY2024</x:v>
      </x:c>
      <x:c r="D303" s="158" t="n">
        <x:v>0.6</x:v>
      </x:c>
      <x:c r="E303" s="158" t="n">
        <x:f>LUCK!G140</x:f>
        <x:v>0.04737494632853006</x:v>
      </x:c>
      <x:c r="F303" s="158" t="n">
        <x:f>LUCK!G257/LUCK!G61</x:f>
        <x:v>0.5975833827242188</x:v>
      </x:c>
      <x:c r="G303" s="162" t="str">
        <x:v>Cash and cash equivalents per audited cash-flow note / CL</x:v>
      </x:c>
      <x:c r="H303" s="162" t="str">
        <x:f>IF(AND(ISNUMBER(D303),ISNUMBER(F303)),IF(ROUND(D303,O303)=ROUND(F303,O303),"Reproduced to precision","Unresolved published value"),"Not comparable")</x:f>
        <x:v>Reproduced to precision</x:v>
      </x:c>
      <x:c r="I303" s="162" t="str">
        <x:v>Cash-flow notes include qualifying investments and reflect restricted balances/running finance. All five reproduce. Main cash ratio consistently uses the expressly stated cash-and-bank-only definition, with investments excluded.</x:v>
      </x:c>
      <x:c r="J303" s="162" t="str">
        <x:v>FY2025 AR PDF p166</x:v>
      </x:c>
      <x:c r="K303" s="162" t="str">
        <x:v>Added source comparison</x:v>
      </x:c>
      <x:c r="L303" s="162" t="str">
        <x:v>Published methodology difference (reconstructed)</x:v>
      </x:c>
      <x:c r="M303" s="157" t="n">
        <x:f>IF(ISNUMBER(E303),E303-D303,"n/m")</x:f>
        <x:v>-0.55262505367147</x:v>
      </x:c>
      <x:c r="N303" s="157" t="n">
        <x:f>IF(ISNUMBER(F303),F303-D303,"n/m")</x:f>
        <x:v>-0.00241661727578113</x:v>
      </x:c>
      <x:c r="O303" s="157" t="n">
        <x:v>2</x:v>
      </x:c>
    </x:row>
    <x:row r="304" ht="112" customHeight="1">
      <x:c r="A304" s="75" t="str">
        <x:v>LUCK</x:v>
      </x:c>
      <x:c r="B304" s="75" t="str">
        <x:v>Cash ratio</x:v>
      </x:c>
      <x:c r="C304" s="75" t="str">
        <x:v>FY2025</x:v>
      </x:c>
      <x:c r="D304" s="159" t="n">
        <x:v>1.09</x:v>
      </x:c>
      <x:c r="E304" s="159" t="n">
        <x:f>LUCK!H140</x:f>
        <x:v>0.04758283071188822</x:v>
      </x:c>
      <x:c r="F304" s="159" t="n">
        <x:f>LUCK!H257/LUCK!H61</x:f>
        <x:v>1.0928864859820921</x:v>
      </x:c>
      <x:c r="G304" s="163" t="str">
        <x:v>Cash and cash equivalents per audited cash-flow note / CL</x:v>
      </x:c>
      <x:c r="H304" s="163" t="str">
        <x:f>IF(AND(ISNUMBER(D304),ISNUMBER(F304)),IF(ROUND(D304,O304)=ROUND(F304,O304),"Reproduced to precision","Unresolved published value"),"Not comparable")</x:f>
        <x:v>Reproduced to precision</x:v>
      </x:c>
      <x:c r="I304" s="163" t="str">
        <x:v>Cash-flow notes include qualifying investments and reflect restricted balances/running finance. All five reproduce. Main cash ratio consistently uses the expressly stated cash-and-bank-only definition, with investments excluded.</x:v>
      </x:c>
      <x:c r="J304" s="163" t="str">
        <x:v>FY2025 AR PDF p166</x:v>
      </x:c>
      <x:c r="K304" s="163" t="str">
        <x:v>Added source comparison</x:v>
      </x:c>
      <x:c r="L304" s="163" t="str">
        <x:v>Published methodology difference (reconstructed)</x:v>
      </x:c>
      <x:c r="M304" s="75" t="n">
        <x:f>IF(ISNUMBER(E304),E304-D304,"n/m")</x:f>
        <x:v>-1.042417169288112</x:v>
      </x:c>
      <x:c r="N304" s="75" t="n">
        <x:f>IF(ISNUMBER(F304),F304-D304,"n/m")</x:f>
        <x:v>0.0028864859820920685</x:v>
      </x:c>
      <x:c r="O304" s="75" t="n">
        <x:v>2</x:v>
      </x:c>
    </x:row>
    <x:row r="305" ht="112" customHeight="1">
      <x:c r="A305" s="157" t="str">
        <x:v>LUCK</x:v>
      </x:c>
      <x:c r="B305" s="157" t="str">
        <x:v>Receivables turnover</x:v>
      </x:c>
      <x:c r="C305" s="157" t="str">
        <x:v>FY2021</x:v>
      </x:c>
      <x:c r="D305" s="158" t="n">
        <x:v>20.53</x:v>
      </x:c>
      <x:c r="E305" s="158" t="n">
        <x:f>LUCK!D145</x:f>
        <x:v>20.525799758937445</x:v>
      </x:c>
      <x:c r="F305" s="158" t="n">
        <x:f>LUCK!D84/AVERAGE(LUCK!C32,LUCK!D32)</x:f>
        <x:v>20.525799758937445</x:v>
      </x:c>
      <x:c r="G305" s="162" t="str">
        <x:v>Sales / average trade debts</x:v>
      </x:c>
      <x:c r="H305" s="162" t="str">
        <x:f>IF(AND(ISNUMBER(D305),ISNUMBER(F305)),IF(ROUND(D305,O305)=ROUND(F305,O305),"Reproduced to precision","Unresolved published value"),"Not comparable")</x:f>
        <x:v>Reproduced to precision</x:v>
      </x:c>
      <x:c r="I305" s="162" t="str">
        <x:v>Tested the source-based convention shown in G against official published precision. Unmatched values remain unresolved; neither the standardized method nor the financial inputs were altered to force agreement.</x:v>
      </x:c>
      <x:c r="J305" s="162" t="str">
        <x:v>FY2025 AR PDF p166</x:v>
      </x:c>
      <x:c r="K305" s="162" t="str">
        <x:v>Added source comparison</x:v>
      </x:c>
      <x:c r="L305" s="162" t="str">
        <x:v>Source comparison</x:v>
      </x:c>
      <x:c r="M305" s="157" t="n">
        <x:f>IF(ISNUMBER(E305),E305-D305,"n/m")</x:f>
        <x:v>-0.004200241062555676</x:v>
      </x:c>
      <x:c r="N305" s="157" t="n">
        <x:f>IF(ISNUMBER(F305),F305-D305,"n/m")</x:f>
        <x:v>-0.004200241062555676</x:v>
      </x:c>
      <x:c r="O305" s="157" t="n">
        <x:v>2</x:v>
      </x:c>
    </x:row>
    <x:row r="306" ht="112" customHeight="1">
      <x:c r="A306" s="75" t="str">
        <x:v>LUCK</x:v>
      </x:c>
      <x:c r="B306" s="75" t="str">
        <x:v>Receivables turnover</x:v>
      </x:c>
      <x:c r="C306" s="75" t="str">
        <x:v>FY2022</x:v>
      </x:c>
      <x:c r="D306" s="159" t="n">
        <x:v>26.02</x:v>
      </x:c>
      <x:c r="E306" s="159" t="n">
        <x:f>LUCK!E145</x:f>
        <x:v>26.020654219821807</x:v>
      </x:c>
      <x:c r="F306" s="159" t="n">
        <x:f>LUCK!E84/AVERAGE(LUCK!D32,LUCK!E32)</x:f>
        <x:v>26.020654219821807</x:v>
      </x:c>
      <x:c r="G306" s="163" t="str">
        <x:v>Sales / average trade debts</x:v>
      </x:c>
      <x:c r="H306" s="163" t="str">
        <x:f>IF(AND(ISNUMBER(D306),ISNUMBER(F306)),IF(ROUND(D306,O306)=ROUND(F306,O306),"Reproduced to precision","Unresolved published value"),"Not comparable")</x:f>
        <x:v>Reproduced to precision</x:v>
      </x:c>
      <x:c r="I306" s="163" t="str">
        <x:v>Tested the source-based convention shown in G against official published precision. Unmatched values remain unresolved; neither the standardized method nor the financial inputs were altered to force agreement.</x:v>
      </x:c>
      <x:c r="J306" s="163" t="str">
        <x:v>FY2025 AR PDF p166</x:v>
      </x:c>
      <x:c r="K306" s="163" t="str">
        <x:v>Added source comparison</x:v>
      </x:c>
      <x:c r="L306" s="163" t="str">
        <x:v>Source comparison</x:v>
      </x:c>
      <x:c r="M306" s="75" t="n">
        <x:f>IF(ISNUMBER(E306),E306-D306,"n/m")</x:f>
        <x:v>0.0006542198218077999</x:v>
      </x:c>
      <x:c r="N306" s="75" t="n">
        <x:f>IF(ISNUMBER(F306),F306-D306,"n/m")</x:f>
        <x:v>0.0006542198218077999</x:v>
      </x:c>
      <x:c r="O306" s="75" t="n">
        <x:v>2</x:v>
      </x:c>
    </x:row>
    <x:row r="307" ht="112" customHeight="1">
      <x:c r="A307" s="157" t="str">
        <x:v>LUCK</x:v>
      </x:c>
      <x:c r="B307" s="157" t="str">
        <x:v>Receivables turnover</x:v>
      </x:c>
      <x:c r="C307" s="157" t="str">
        <x:v>FY2023</x:v>
      </x:c>
      <x:c r="D307" s="158" t="n">
        <x:v>22.25</x:v>
      </x:c>
      <x:c r="E307" s="158" t="n">
        <x:f>LUCK!F145</x:f>
        <x:v>22.253946370189343</x:v>
      </x:c>
      <x:c r="F307" s="158" t="n">
        <x:f>LUCK!F84/AVERAGE(LUCK!E32,LUCK!F32)</x:f>
        <x:v>22.253946370189343</x:v>
      </x:c>
      <x:c r="G307" s="162" t="str">
        <x:v>Sales / average trade debts</x:v>
      </x:c>
      <x:c r="H307" s="162" t="str">
        <x:f>IF(AND(ISNUMBER(D307),ISNUMBER(F307)),IF(ROUND(D307,O307)=ROUND(F307,O307),"Reproduced to precision","Unresolved published value"),"Not comparable")</x:f>
        <x:v>Reproduced to precision</x:v>
      </x:c>
      <x:c r="I307" s="162" t="str">
        <x:v>Tested the source-based convention shown in G against official published precision. Unmatched values remain unresolved; neither the standardized method nor the financial inputs were altered to force agreement.</x:v>
      </x:c>
      <x:c r="J307" s="162" t="str">
        <x:v>FY2025 AR PDF p166</x:v>
      </x:c>
      <x:c r="K307" s="162" t="str">
        <x:v>Added source comparison</x:v>
      </x:c>
      <x:c r="L307" s="162" t="str">
        <x:v>Source comparison</x:v>
      </x:c>
      <x:c r="M307" s="157" t="n">
        <x:f>IF(ISNUMBER(E307),E307-D307,"n/m")</x:f>
        <x:v>0.003946370189343185</x:v>
      </x:c>
      <x:c r="N307" s="157" t="n">
        <x:f>IF(ISNUMBER(F307),F307-D307,"n/m")</x:f>
        <x:v>0.003946370189343185</x:v>
      </x:c>
      <x:c r="O307" s="157" t="n">
        <x:v>2</x:v>
      </x:c>
    </x:row>
    <x:row r="308" ht="112" customHeight="1">
      <x:c r="A308" s="75" t="str">
        <x:v>LUCK</x:v>
      </x:c>
      <x:c r="B308" s="75" t="str">
        <x:v>Receivables turnover</x:v>
      </x:c>
      <x:c r="C308" s="75" t="str">
        <x:v>FY2024</x:v>
      </x:c>
      <x:c r="D308" s="159" t="n">
        <x:v>19.19</x:v>
      </x:c>
      <x:c r="E308" s="159" t="n">
        <x:f>LUCK!G145</x:f>
        <x:v>19.185416979630755</x:v>
      </x:c>
      <x:c r="F308" s="159" t="n">
        <x:f>LUCK!G84/AVERAGE(LUCK!F32,LUCK!G32)</x:f>
        <x:v>19.185416979630755</x:v>
      </x:c>
      <x:c r="G308" s="163" t="str">
        <x:v>Sales / average trade debts</x:v>
      </x:c>
      <x:c r="H308" s="163" t="str">
        <x:f>IF(AND(ISNUMBER(D308),ISNUMBER(F308)),IF(ROUND(D308,O308)=ROUND(F308,O308),"Reproduced to precision","Unresolved published value"),"Not comparable")</x:f>
        <x:v>Reproduced to precision</x:v>
      </x:c>
      <x:c r="I308" s="163" t="str">
        <x:v>Tested the source-based convention shown in G against official published precision. Unmatched values remain unresolved; neither the standardized method nor the financial inputs were altered to force agreement.</x:v>
      </x:c>
      <x:c r="J308" s="163" t="str">
        <x:v>FY2025 AR PDF p166</x:v>
      </x:c>
      <x:c r="K308" s="163" t="str">
        <x:v>Added source comparison</x:v>
      </x:c>
      <x:c r="L308" s="163" t="str">
        <x:v>Source comparison</x:v>
      </x:c>
      <x:c r="M308" s="75" t="n">
        <x:f>IF(ISNUMBER(E308),E308-D308,"n/m")</x:f>
        <x:v>-0.004583020369246071</x:v>
      </x:c>
      <x:c r="N308" s="75" t="n">
        <x:f>IF(ISNUMBER(F308),F308-D308,"n/m")</x:f>
        <x:v>-0.004583020369246071</x:v>
      </x:c>
      <x:c r="O308" s="75" t="n">
        <x:v>2</x:v>
      </x:c>
    </x:row>
    <x:row r="309" ht="112" customHeight="1">
      <x:c r="A309" s="157" t="str">
        <x:v>LUCK</x:v>
      </x:c>
      <x:c r="B309" s="157" t="str">
        <x:v>Receivables turnover</x:v>
      </x:c>
      <x:c r="C309" s="157" t="str">
        <x:v>FY2025</x:v>
      </x:c>
      <x:c r="D309" s="158" t="n">
        <x:v>18.74</x:v>
      </x:c>
      <x:c r="E309" s="158" t="n">
        <x:f>LUCK!H145</x:f>
        <x:v>18.743761644592638</x:v>
      </x:c>
      <x:c r="F309" s="158" t="n">
        <x:f>LUCK!H84/AVERAGE(LUCK!G32,LUCK!H32)</x:f>
        <x:v>18.743761644592638</x:v>
      </x:c>
      <x:c r="G309" s="162" t="str">
        <x:v>Sales / average trade debts</x:v>
      </x:c>
      <x:c r="H309" s="162" t="str">
        <x:f>IF(AND(ISNUMBER(D309),ISNUMBER(F309)),IF(ROUND(D309,O309)=ROUND(F309,O309),"Reproduced to precision","Unresolved published value"),"Not comparable")</x:f>
        <x:v>Reproduced to precision</x:v>
      </x:c>
      <x:c r="I309" s="162" t="str">
        <x:v>Tested the source-based convention shown in G against official published precision. Unmatched values remain unresolved; neither the standardized method nor the financial inputs were altered to force agreement.</x:v>
      </x:c>
      <x:c r="J309" s="162" t="str">
        <x:v>FY2025 AR PDF p166</x:v>
      </x:c>
      <x:c r="K309" s="162" t="str">
        <x:v>Added source comparison</x:v>
      </x:c>
      <x:c r="L309" s="162" t="str">
        <x:v>Source comparison</x:v>
      </x:c>
      <x:c r="M309" s="157" t="n">
        <x:f>IF(ISNUMBER(E309),E309-D309,"n/m")</x:f>
        <x:v>0.0037616445926396125</x:v>
      </x:c>
      <x:c r="N309" s="157" t="n">
        <x:f>IF(ISNUMBER(F309),F309-D309,"n/m")</x:f>
        <x:v>0.0037616445926396125</x:v>
      </x:c>
      <x:c r="O309" s="157" t="n">
        <x:v>2</x:v>
      </x:c>
    </x:row>
    <x:row r="310" ht="112" customHeight="1">
      <x:c r="A310" s="75" t="str">
        <x:v>LUCK</x:v>
      </x:c>
      <x:c r="B310" s="75" t="str">
        <x:v>Payables turnover</x:v>
      </x:c>
      <x:c r="C310" s="75" t="str">
        <x:v>FY2021</x:v>
      </x:c>
      <x:c r="D310" s="159" t="n">
        <x:v>2.19</x:v>
      </x:c>
      <x:c r="E310" s="159" t="n">
        <x:f>LUCK!D146</x:f>
        <x:v>16.04782473542995</x:v>
      </x:c>
      <x:c r="F310" s="159" t="n">
        <x:f>ROUND((-LUCK!D85)/AVERAGE(LUCK!C50,LUCK!D50),2)</x:f>
        <x:v>2.19</x:v>
      </x:c>
      <x:c r="G310" s="163" t="str">
        <x:v>COGS / average total trade AND other payables; rounded turnover before days</x:v>
      </x:c>
      <x:c r="H310" s="163" t="str">
        <x:f>IF(AND(ISNUMBER(D310),ISNUMBER(F310)),IF(ROUND(D310,O310)=ROUND(F310,O310),"Reproduced to precision","Unresolved published value"),"Not comparable")</x:f>
        <x:v>Reproduced to precision</x:v>
      </x:c>
      <x:c r="I310"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310" s="163" t="str">
        <x:v>FY2025 AR PDF p166</x:v>
      </x:c>
      <x:c r="K310" s="163" t="str">
        <x:v>Added source comparison</x:v>
      </x:c>
      <x:c r="L310" s="163" t="str">
        <x:v>Published methodology difference (reconstructed)</x:v>
      </x:c>
      <x:c r="M310" s="75" t="n">
        <x:f>IF(ISNUMBER(E310),E310-D310,"n/m")</x:f>
        <x:v>13.857824735429949</x:v>
      </x:c>
      <x:c r="N310" s="75" t="n">
        <x:f>IF(ISNUMBER(F310),F310-D310,"n/m")</x:f>
        <x:v>0</x:v>
      </x:c>
      <x:c r="O310" s="75" t="n">
        <x:v>2</x:v>
      </x:c>
    </x:row>
    <x:row r="311" ht="112" customHeight="1">
      <x:c r="A311" s="157" t="str">
        <x:v>LUCK</x:v>
      </x:c>
      <x:c r="B311" s="157" t="str">
        <x:v>Payables turnover</x:v>
      </x:c>
      <x:c r="C311" s="157" t="str">
        <x:v>FY2022</x:v>
      </x:c>
      <x:c r="D311" s="158" t="n">
        <x:v>2.66</x:v>
      </x:c>
      <x:c r="E311" s="158" t="n">
        <x:f>LUCK!E146</x:f>
        <x:v>18.777106060975406</x:v>
      </x:c>
      <x:c r="F311" s="158" t="n">
        <x:f>ROUND((-LUCK!E85)/AVERAGE(LUCK!D50,LUCK!E50),2)</x:f>
        <x:v>2.66</x:v>
      </x:c>
      <x:c r="G311" s="162" t="str">
        <x:v>COGS / average total trade AND other payables; rounded turnover before days</x:v>
      </x:c>
      <x:c r="H311" s="162" t="str">
        <x:f>IF(AND(ISNUMBER(D311),ISNUMBER(F311)),IF(ROUND(D311,O311)=ROUND(F311,O311),"Reproduced to precision","Unresolved published value"),"Not comparable")</x:f>
        <x:v>Reproduced to precision</x:v>
      </x:c>
      <x:c r="I311" s="162"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311" s="162" t="str">
        <x:v>FY2025 AR PDF p166</x:v>
      </x:c>
      <x:c r="K311" s="162" t="str">
        <x:v>Added source comparison</x:v>
      </x:c>
      <x:c r="L311" s="162" t="str">
        <x:v>Published methodology difference (reconstructed)</x:v>
      </x:c>
      <x:c r="M311" s="157" t="n">
        <x:f>IF(ISNUMBER(E311),E311-D311,"n/m")</x:f>
        <x:v>16.117106060975406</x:v>
      </x:c>
      <x:c r="N311" s="157" t="n">
        <x:f>IF(ISNUMBER(F311),F311-D311,"n/m")</x:f>
        <x:v>0</x:v>
      </x:c>
      <x:c r="O311" s="157" t="n">
        <x:v>2</x:v>
      </x:c>
    </x:row>
    <x:row r="312" ht="112" customHeight="1">
      <x:c r="A312" s="75" t="str">
        <x:v>LUCK</x:v>
      </x:c>
      <x:c r="B312" s="75" t="str">
        <x:v>Payables turnover</x:v>
      </x:c>
      <x:c r="C312" s="75" t="str">
        <x:v>FY2023</x:v>
      </x:c>
      <x:c r="D312" s="159" t="n">
        <x:v>2.63</x:v>
      </x:c>
      <x:c r="E312" s="159" t="n">
        <x:f>LUCK!F146</x:f>
        <x:v>16.644862602259856</x:v>
      </x:c>
      <x:c r="F312" s="159" t="n">
        <x:f>ROUND((-LUCK!F85)/AVERAGE(LUCK!E50,LUCK!F50),2)</x:f>
        <x:v>2.63</x:v>
      </x:c>
      <x:c r="G312" s="163" t="str">
        <x:v>COGS / average total trade AND other payables; rounded turnover before days</x:v>
      </x:c>
      <x:c r="H312" s="163" t="str">
        <x:f>IF(AND(ISNUMBER(D312),ISNUMBER(F312)),IF(ROUND(D312,O312)=ROUND(F312,O312),"Reproduced to precision","Unresolved published value"),"Not comparable")</x:f>
        <x:v>Reproduced to precision</x:v>
      </x:c>
      <x:c r="I312"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312" s="163" t="str">
        <x:v>FY2025 AR PDF p166</x:v>
      </x:c>
      <x:c r="K312" s="163" t="str">
        <x:v>Added source comparison</x:v>
      </x:c>
      <x:c r="L312" s="163" t="str">
        <x:v>Published methodology difference (reconstructed)</x:v>
      </x:c>
      <x:c r="M312" s="75" t="n">
        <x:f>IF(ISNUMBER(E312),E312-D312,"n/m")</x:f>
        <x:v>14.014862602259857</x:v>
      </x:c>
      <x:c r="N312" s="75" t="n">
        <x:f>IF(ISNUMBER(F312),F312-D312,"n/m")</x:f>
        <x:v>0</x:v>
      </x:c>
      <x:c r="O312" s="75" t="n">
        <x:v>2</x:v>
      </x:c>
    </x:row>
    <x:row r="313" ht="112" customHeight="1">
      <x:c r="A313" s="157" t="str">
        <x:v>LUCK</x:v>
      </x:c>
      <x:c r="B313" s="157" t="str">
        <x:v>Payables turnover</x:v>
      </x:c>
      <x:c r="C313" s="157" t="str">
        <x:v>FY2024</x:v>
      </x:c>
      <x:c r="D313" s="158" t="n">
        <x:v>2.55</x:v>
      </x:c>
      <x:c r="E313" s="158" t="n">
        <x:f>LUCK!G146</x:f>
        <x:v>12.541557640159668</x:v>
      </x:c>
      <x:c r="F313" s="158" t="n">
        <x:f>ROUND((-LUCK!G85)/AVERAGE(LUCK!F50,LUCK!G50),2)</x:f>
        <x:v>2.55</x:v>
      </x:c>
      <x:c r="G313" s="162" t="str">
        <x:v>COGS / average total trade AND other payables; rounded turnover before days</x:v>
      </x:c>
      <x:c r="H313" s="162" t="str">
        <x:f>IF(AND(ISNUMBER(D313),ISNUMBER(F313)),IF(ROUND(D313,O313)=ROUND(F313,O313),"Reproduced to precision","Unresolved published value"),"Not comparable")</x:f>
        <x:v>Reproduced to precision</x:v>
      </x:c>
      <x:c r="I313" s="162"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313" s="162" t="str">
        <x:v>FY2025 AR PDF p166</x:v>
      </x:c>
      <x:c r="K313" s="162" t="str">
        <x:v>Added source comparison</x:v>
      </x:c>
      <x:c r="L313" s="162" t="str">
        <x:v>Published methodology difference (reconstructed)</x:v>
      </x:c>
      <x:c r="M313" s="157" t="n">
        <x:f>IF(ISNUMBER(E313),E313-D313,"n/m")</x:f>
        <x:v>9.99155764015967</x:v>
      </x:c>
      <x:c r="N313" s="157" t="n">
        <x:f>IF(ISNUMBER(F313),F313-D313,"n/m")</x:f>
        <x:v>0</x:v>
      </x:c>
      <x:c r="O313" s="157" t="n">
        <x:v>2</x:v>
      </x:c>
    </x:row>
    <x:row r="314" ht="112" customHeight="1">
      <x:c r="A314" s="75" t="str">
        <x:v>LUCK</x:v>
      </x:c>
      <x:c r="B314" s="75" t="str">
        <x:v>Payables turnover</x:v>
      </x:c>
      <x:c r="C314" s="75" t="str">
        <x:v>FY2025</x:v>
      </x:c>
      <x:c r="D314" s="159" t="n">
        <x:v>2.86</x:v>
      </x:c>
      <x:c r="E314" s="159" t="n">
        <x:f>LUCK!H146</x:f>
        <x:v>12.034170742972393</x:v>
      </x:c>
      <x:c r="F314" s="159" t="n">
        <x:f>ROUND((-LUCK!H85)/AVERAGE(LUCK!G50,LUCK!H50),2)</x:f>
        <x:v>2.86</x:v>
      </x:c>
      <x:c r="G314" s="163" t="str">
        <x:v>COGS / average total trade AND other payables; rounded turnover before days</x:v>
      </x:c>
      <x:c r="H314" s="163" t="str">
        <x:f>IF(AND(ISNUMBER(D314),ISNUMBER(F314)),IF(ROUND(D314,O314)=ROUND(F314,O314),"Reproduced to precision","Unresolved published value"),"Not comparable")</x:f>
        <x:v>Reproduced to precision</x:v>
      </x:c>
      <x:c r="I314" s="163" t="str">
        <x:v>Report p166 prints both creditor turnover and days. COGS / average TOTAL trade-and-other-payables rounds to the printed turnover; 365 / that rounded turnover reproduces all five days. The published denominator includes accruals and statutory payables that the uniform supplier balance excludes.</x:v>
      </x:c>
      <x:c r="J314" s="163" t="str">
        <x:v>FY2025 AR PDF p166</x:v>
      </x:c>
      <x:c r="K314" s="163" t="str">
        <x:v>Added source comparison</x:v>
      </x:c>
      <x:c r="L314" s="163" t="str">
        <x:v>Published methodology difference (reconstructed)</x:v>
      </x:c>
      <x:c r="M314" s="75" t="n">
        <x:f>IF(ISNUMBER(E314),E314-D314,"n/m")</x:f>
        <x:v>9.174170742972393</x:v>
      </x:c>
      <x:c r="N314" s="75" t="n">
        <x:f>IF(ISNUMBER(F314),F314-D314,"n/m")</x:f>
        <x:v>0</x:v>
      </x:c>
      <x:c r="O314" s="75" t="n">
        <x:v>2</x:v>
      </x:c>
    </x:row>
    <x:row r="315" ht="112" customHeight="1">
      <x:c r="A315" s="157" t="str">
        <x:v>LUCK</x:v>
      </x:c>
      <x:c r="B315" s="157" t="str">
        <x:v>Days inventory outstanding</x:v>
      </x:c>
      <x:c r="C315" s="157" t="str">
        <x:v>FY2021</x:v>
      </x:c>
      <x:c r="D315" s="158" t="n">
        <x:v>95.8</x:v>
      </x:c>
      <x:c r="E315" s="158" t="n">
        <x:f>LUCK!D147</x:f>
        <x:v>95.70990667632485</x:v>
      </x:c>
      <x:c r="F315" s="158" t="n">
        <x:f>365/ROUND((-LUCK!D85)/AVERAGE(LUCK!C65,LUCK!D65),2)</x:f>
        <x:v>95.8005249343832</x:v>
      </x:c>
      <x:c r="G315" s="162" t="str">
        <x:v>365 / rounded inventory turnover</x:v>
      </x:c>
      <x:c r="H315" s="162" t="str">
        <x:f>IF(AND(ISNUMBER(D315),ISNUMBER(F315)),IF(ROUND(D315,O315)=ROUND(F315,O315),"Reproduced to precision","Unresolved published value"),"Not comparable")</x:f>
        <x:v>Reproduced to precision</x:v>
      </x:c>
      <x:c r="I315" s="162" t="str">
        <x:v>Tested the source-based convention shown in G against official published precision. Unmatched values remain unresolved; neither the standardized method nor the financial inputs were altered to force agreement.</x:v>
      </x:c>
      <x:c r="J315" s="162" t="str">
        <x:v>FY2025 AR PDF p166</x:v>
      </x:c>
      <x:c r="K315" s="162" t="str">
        <x:v>Added source comparison</x:v>
      </x:c>
      <x:c r="L315" s="162" t="str">
        <x:v>Source comparison</x:v>
      </x:c>
      <x:c r="M315" s="157" t="n">
        <x:f>IF(ISNUMBER(E315),E315-D315,"n/m")</x:f>
        <x:v>-0.09009332367514844</x:v>
      </x:c>
      <x:c r="N315" s="157" t="n">
        <x:f>IF(ISNUMBER(F315),F315-D315,"n/m")</x:f>
        <x:v>0.0005249343832076647</x:v>
      </x:c>
      <x:c r="O315" s="157" t="n">
        <x:v>2</x:v>
      </x:c>
    </x:row>
    <x:row r="316" ht="112" customHeight="1">
      <x:c r="A316" s="75" t="str">
        <x:v>LUCK</x:v>
      </x:c>
      <x:c r="B316" s="75" t="str">
        <x:v>Days inventory outstanding</x:v>
      </x:c>
      <x:c r="C316" s="75" t="str">
        <x:v>FY2022</x:v>
      </x:c>
      <x:c r="D316" s="159" t="n">
        <x:v>99.73</x:v>
      </x:c>
      <x:c r="E316" s="159" t="n">
        <x:f>LUCK!E147</x:f>
        <x:v>99.78858145761573</x:v>
      </x:c>
      <x:c r="F316" s="159" t="n">
        <x:f>365/ROUND((-LUCK!E85)/AVERAGE(LUCK!D65,LUCK!E65),2)</x:f>
        <x:v>99.72677595628414</x:v>
      </x:c>
      <x:c r="G316" s="163" t="str">
        <x:v>365 / rounded inventory turnover</x:v>
      </x:c>
      <x:c r="H316" s="163" t="str">
        <x:f>IF(AND(ISNUMBER(D316),ISNUMBER(F316)),IF(ROUND(D316,O316)=ROUND(F316,O316),"Reproduced to precision","Unresolved published value"),"Not comparable")</x:f>
        <x:v>Reproduced to precision</x:v>
      </x:c>
      <x:c r="I316" s="163" t="str">
        <x:v>Tested the source-based convention shown in G against official published precision. Unmatched values remain unresolved; neither the standardized method nor the financial inputs were altered to force agreement.</x:v>
      </x:c>
      <x:c r="J316" s="163" t="str">
        <x:v>FY2025 AR PDF p166</x:v>
      </x:c>
      <x:c r="K316" s="163" t="str">
        <x:v>Added source comparison</x:v>
      </x:c>
      <x:c r="L316" s="163" t="str">
        <x:v>Source comparison</x:v>
      </x:c>
      <x:c r="M316" s="75" t="n">
        <x:f>IF(ISNUMBER(E316),E316-D316,"n/m")</x:f>
        <x:v>0.058581457615730415</x:v>
      </x:c>
      <x:c r="N316" s="75" t="n">
        <x:f>IF(ISNUMBER(F316),F316-D316,"n/m")</x:f>
        <x:v>-0.003224043715860603</x:v>
      </x:c>
      <x:c r="O316" s="75" t="n">
        <x:v>2</x:v>
      </x:c>
    </x:row>
    <x:row r="317" ht="112" customHeight="1">
      <x:c r="A317" s="157" t="str">
        <x:v>LUCK</x:v>
      </x:c>
      <x:c r="B317" s="157" t="str">
        <x:v>Days inventory outstanding</x:v>
      </x:c>
      <x:c r="C317" s="157" t="str">
        <x:v>FY2023</x:v>
      </x:c>
      <x:c r="D317" s="158" t="n">
        <x:v>100.83</x:v>
      </x:c>
      <x:c r="E317" s="158" t="n">
        <x:f>LUCK!F147</x:f>
        <x:v>100.73184197970664</x:v>
      </x:c>
      <x:c r="F317" s="158" t="n">
        <x:f>365/ROUND((-LUCK!F85)/AVERAGE(LUCK!E65,LUCK!F65),2)</x:f>
        <x:v>100.82872928176795</x:v>
      </x:c>
      <x:c r="G317" s="162" t="str">
        <x:v>365 / rounded inventory turnover</x:v>
      </x:c>
      <x:c r="H317" s="162" t="str">
        <x:f>IF(AND(ISNUMBER(D317),ISNUMBER(F317)),IF(ROUND(D317,O317)=ROUND(F317,O317),"Reproduced to precision","Unresolved published value"),"Not comparable")</x:f>
        <x:v>Reproduced to precision</x:v>
      </x:c>
      <x:c r="I317" s="162" t="str">
        <x:v>Tested the source-based convention shown in G against official published precision. Unmatched values remain unresolved; neither the standardized method nor the financial inputs were altered to force agreement.</x:v>
      </x:c>
      <x:c r="J317" s="162" t="str">
        <x:v>FY2025 AR PDF p166</x:v>
      </x:c>
      <x:c r="K317" s="162" t="str">
        <x:v>Added source comparison</x:v>
      </x:c>
      <x:c r="L317" s="162" t="str">
        <x:v>Source comparison</x:v>
      </x:c>
      <x:c r="M317" s="157" t="n">
        <x:f>IF(ISNUMBER(E317),E317-D317,"n/m")</x:f>
        <x:v>-0.0981580202933543</x:v>
      </x:c>
      <x:c r="N317" s="157" t="n">
        <x:f>IF(ISNUMBER(F317),F317-D317,"n/m")</x:f>
        <x:v>-0.0012707182320497168</x:v>
      </x:c>
      <x:c r="O317" s="157" t="n">
        <x:v>2</x:v>
      </x:c>
    </x:row>
    <x:row r="318" ht="112" customHeight="1">
      <x:c r="A318" s="75" t="str">
        <x:v>LUCK</x:v>
      </x:c>
      <x:c r="B318" s="75" t="str">
        <x:v>Days inventory outstanding</x:v>
      </x:c>
      <x:c r="C318" s="75" t="str">
        <x:v>FY2024</x:v>
      </x:c>
      <x:c r="D318" s="159" t="n">
        <x:v>103.11</x:v>
      </x:c>
      <x:c r="E318" s="159" t="n">
        <x:f>LUCK!G147</x:f>
        <x:v>103.10239469568691</x:v>
      </x:c>
      <x:c r="F318" s="159" t="n">
        <x:f>365/ROUND((-LUCK!G85)/AVERAGE(LUCK!F65,LUCK!G65),2)</x:f>
        <x:v>103.10734463276836</x:v>
      </x:c>
      <x:c r="G318" s="163" t="str">
        <x:v>365 / rounded inventory turnover</x:v>
      </x:c>
      <x:c r="H318" s="163" t="str">
        <x:f>IF(AND(ISNUMBER(D318),ISNUMBER(F318)),IF(ROUND(D318,O318)=ROUND(F318,O318),"Reproduced to precision","Unresolved published value"),"Not comparable")</x:f>
        <x:v>Reproduced to precision</x:v>
      </x:c>
      <x:c r="I318" s="163" t="str">
        <x:v>Tested the source-based convention shown in G against official published precision. Unmatched values remain unresolved; neither the standardized method nor the financial inputs were altered to force agreement.</x:v>
      </x:c>
      <x:c r="J318" s="163" t="str">
        <x:v>FY2025 AR PDF p166</x:v>
      </x:c>
      <x:c r="K318" s="163" t="str">
        <x:v>Added source comparison</x:v>
      </x:c>
      <x:c r="L318" s="163" t="str">
        <x:v>Source comparison</x:v>
      </x:c>
      <x:c r="M318" s="75" t="n">
        <x:f>IF(ISNUMBER(E318),E318-D318,"n/m")</x:f>
        <x:v>-0.007605304313088368</x:v>
      </x:c>
      <x:c r="N318" s="75" t="n">
        <x:f>IF(ISNUMBER(F318),F318-D318,"n/m")</x:f>
        <x:v>-0.002655367231639616</x:v>
      </x:c>
      <x:c r="O318" s="75" t="n">
        <x:v>2</x:v>
      </x:c>
    </x:row>
    <x:row r="319" ht="112" customHeight="1">
      <x:c r="A319" s="157" t="str">
        <x:v>LUCK</x:v>
      </x:c>
      <x:c r="B319" s="157" t="str">
        <x:v>Days inventory outstanding</x:v>
      </x:c>
      <x:c r="C319" s="157" t="str">
        <x:v>FY2025</x:v>
      </x:c>
      <x:c r="D319" s="158" t="n">
        <x:v>106.41</x:v>
      </x:c>
      <x:c r="E319" s="158" t="n">
        <x:f>LUCK!H147</x:f>
        <x:v>106.53528435458882</x:v>
      </x:c>
      <x:c r="F319" s="158" t="n">
        <x:f>365/ROUND((-LUCK!H85)/AVERAGE(LUCK!G65,LUCK!H65),2)</x:f>
        <x:v>106.4139941690962</x:v>
      </x:c>
      <x:c r="G319" s="162" t="str">
        <x:v>365 / rounded inventory turnover</x:v>
      </x:c>
      <x:c r="H319" s="162" t="str">
        <x:f>IF(AND(ISNUMBER(D319),ISNUMBER(F319)),IF(ROUND(D319,O319)=ROUND(F319,O319),"Reproduced to precision","Unresolved published value"),"Not comparable")</x:f>
        <x:v>Reproduced to precision</x:v>
      </x:c>
      <x:c r="I319" s="162" t="str">
        <x:v>Tested the source-based convention shown in G against official published precision. Unmatched values remain unresolved; neither the standardized method nor the financial inputs were altered to force agreement.</x:v>
      </x:c>
      <x:c r="J319" s="162" t="str">
        <x:v>FY2025 AR PDF p166</x:v>
      </x:c>
      <x:c r="K319" s="162" t="str">
        <x:v>Added source comparison</x:v>
      </x:c>
      <x:c r="L319" s="162" t="str">
        <x:v>Source comparison</x:v>
      </x:c>
      <x:c r="M319" s="157" t="n">
        <x:f>IF(ISNUMBER(E319),E319-D319,"n/m")</x:f>
        <x:v>0.12528435458882825</x:v>
      </x:c>
      <x:c r="N319" s="157" t="n">
        <x:f>IF(ISNUMBER(F319),F319-D319,"n/m")</x:f>
        <x:v>0.003994169096202427</x:v>
      </x:c>
      <x:c r="O319" s="157" t="n">
        <x:v>2</x:v>
      </x:c>
    </x:row>
    <x:row r="320" ht="112" customHeight="1">
      <x:c r="A320" s="75" t="str">
        <x:v>LUCK</x:v>
      </x:c>
      <x:c r="B320" s="75" t="str">
        <x:v>Cash conversion cycle (days)</x:v>
      </x:c>
      <x:c r="C320" s="75" t="str">
        <x:v>FY2021</x:v>
      </x:c>
      <x:c r="D320" s="159" t="n">
        <x:v>-53.09</x:v>
      </x:c>
      <x:c r="E320" s="159" t="n">
        <x:f>LUCK!D151</x:f>
        <x:v>90.74788941203903</x:v>
      </x:c>
      <x:c r="F320" s="159" t="n">
        <x:f>365/ROUND((-LUCK!D85)/AVERAGE(LUCK!C65,LUCK!D65),2)+365/ROUND(LUCK!D84/AVERAGE(LUCK!C32,LUCK!D32),2)-365/ROUND((-LUCK!D85)/AVERAGE(LUCK!C50,LUCK!D50),2)</x:f>
        <x:v>-53.08728152770479</x:v>
      </x:c>
      <x:c r="G320" s="163" t="str">
        <x:v>Company component conventions; independent raw reconstruction</x:v>
      </x:c>
      <x:c r="H320" s="163" t="str">
        <x:f>IF(AND(ISNUMBER(D320),ISNUMBER(F320)),IF(ROUND(D320,O320)=ROUND(F320,O320),"Reproduced to precision","Unresolved published value"),"Not comparable")</x:f>
        <x:v>Reproduced to precision</x:v>
      </x:c>
      <x:c r="I320" s="163" t="str">
        <x:v>Tested the source-based convention shown in G against official published precision. Unmatched values remain unresolved; neither the standardized method nor the financial inputs were altered to force agreement.</x:v>
      </x:c>
      <x:c r="J320" s="163" t="str">
        <x:v>FY2025 AR PDF p166</x:v>
      </x:c>
      <x:c r="K320" s="163" t="str">
        <x:v>Added source comparison</x:v>
      </x:c>
      <x:c r="L320" s="163" t="str">
        <x:v>Source comparison</x:v>
      </x:c>
      <x:c r="M320" s="75" t="n">
        <x:f>IF(ISNUMBER(E320),E320-D320,"n/m")</x:f>
        <x:v>143.83788941203903</x:v>
      </x:c>
      <x:c r="N320" s="75" t="n">
        <x:f>IF(ISNUMBER(F320),F320-D320,"n/m")</x:f>
        <x:v>0.0027184722952142693</x:v>
      </x:c>
      <x:c r="O320" s="75" t="n">
        <x:v>2</x:v>
      </x:c>
    </x:row>
    <x:row r="321" ht="112" customHeight="1">
      <x:c r="A321" s="157" t="str">
        <x:v>LUCK</x:v>
      </x:c>
      <x:c r="B321" s="157" t="str">
        <x:v>Cash conversion cycle (days)</x:v>
      </x:c>
      <x:c r="C321" s="157" t="str">
        <x:v>FY2022</x:v>
      </x:c>
      <x:c r="D321" s="158" t="n">
        <x:v>-23.46</x:v>
      </x:c>
      <x:c r="E321" s="158" t="n">
        <x:f>LUCK!E151</x:f>
        <x:v>94.37733461469227</x:v>
      </x:c>
      <x:c r="F321" s="158" t="n">
        <x:f>365/ROUND((-LUCK!E85)/AVERAGE(LUCK!D65,LUCK!E65),2)+365/ROUND(LUCK!E84/AVERAGE(LUCK!D32,LUCK!E32),2)-365/ROUND((-LUCK!E85)/AVERAGE(LUCK!D50,LUCK!E50),2)</x:f>
        <x:v>-23.463598134207245</x:v>
      </x:c>
      <x:c r="G321" s="162" t="str">
        <x:v>Company component conventions; independent raw reconstruction</x:v>
      </x:c>
      <x:c r="H321" s="162" t="str">
        <x:f>IF(AND(ISNUMBER(D321),ISNUMBER(F321)),IF(ROUND(D321,O321)=ROUND(F321,O321),"Reproduced to precision","Unresolved published value"),"Not comparable")</x:f>
        <x:v>Reproduced to precision</x:v>
      </x:c>
      <x:c r="I321" s="162" t="str">
        <x:v>Tested the source-based convention shown in G against official published precision. Unmatched values remain unresolved; neither the standardized method nor the financial inputs were altered to force agreement.</x:v>
      </x:c>
      <x:c r="J321" s="162" t="str">
        <x:v>FY2025 AR PDF p166</x:v>
      </x:c>
      <x:c r="K321" s="162" t="str">
        <x:v>Added source comparison</x:v>
      </x:c>
      <x:c r="L321" s="162" t="str">
        <x:v>Source comparison</x:v>
      </x:c>
      <x:c r="M321" s="157" t="n">
        <x:f>IF(ISNUMBER(E321),E321-D321,"n/m")</x:f>
        <x:v>117.83733461469228</x:v>
      </x:c>
      <x:c r="N321" s="157" t="n">
        <x:f>IF(ISNUMBER(F321),F321-D321,"n/m")</x:f>
        <x:v>-0.003598134207244641</x:v>
      </x:c>
      <x:c r="O321" s="157" t="n">
        <x:v>2</x:v>
      </x:c>
    </x:row>
    <x:row r="322" ht="112" customHeight="1">
      <x:c r="A322" s="75" t="str">
        <x:v>LUCK</x:v>
      </x:c>
      <x:c r="B322" s="75" t="str">
        <x:v>Cash conversion cycle (days)</x:v>
      </x:c>
      <x:c r="C322" s="75" t="str">
        <x:v>FY2023</x:v>
      </x:c>
      <x:c r="D322" s="159" t="n">
        <x:v>-21.55</x:v>
      </x:c>
      <x:c r="E322" s="159" t="n">
        <x:f>LUCK!F151</x:f>
        <x:v>95.20473922370724</x:v>
      </x:c>
      <x:c r="F322" s="159" t="n">
        <x:f>365/ROUND((-LUCK!F85)/AVERAGE(LUCK!E65,LUCK!F65),2)+365/ROUND(LUCK!F84/AVERAGE(LUCK!E32,LUCK!F32),2)-365/ROUND((-LUCK!F85)/AVERAGE(LUCK!E50,LUCK!F50),2)</x:f>
        <x:v>-21.55004629818677</x:v>
      </x:c>
      <x:c r="G322" s="163" t="str">
        <x:v>Company component conventions; independent raw reconstruction</x:v>
      </x:c>
      <x:c r="H322" s="163" t="str">
        <x:f>IF(AND(ISNUMBER(D322),ISNUMBER(F322)),IF(ROUND(D322,O322)=ROUND(F322,O322),"Reproduced to precision","Unresolved published value"),"Not comparable")</x:f>
        <x:v>Reproduced to precision</x:v>
      </x:c>
      <x:c r="I322" s="163" t="str">
        <x:v>Tested the source-based convention shown in G against official published precision. Unmatched values remain unresolved; neither the standardized method nor the financial inputs were altered to force agreement.</x:v>
      </x:c>
      <x:c r="J322" s="163" t="str">
        <x:v>FY2025 AR PDF p166</x:v>
      </x:c>
      <x:c r="K322" s="163" t="str">
        <x:v>Added source comparison</x:v>
      </x:c>
      <x:c r="L322" s="163" t="str">
        <x:v>Source comparison</x:v>
      </x:c>
      <x:c r="M322" s="75" t="n">
        <x:f>IF(ISNUMBER(E322),E322-D322,"n/m")</x:f>
        <x:v>116.75473922370723</x:v>
      </x:c>
      <x:c r="N322" s="75" t="n">
        <x:f>IF(ISNUMBER(F322),F322-D322,"n/m")</x:f>
        <x:v>-0.00004629818677059916</x:v>
      </x:c>
      <x:c r="O322" s="75" t="n">
        <x:v>2</x:v>
      </x:c>
    </x:row>
    <x:row r="323" ht="112" customHeight="1">
      <x:c r="A323" s="157" t="str">
        <x:v>LUCK</x:v>
      </x:c>
      <x:c r="B323" s="157" t="str">
        <x:v>Cash conversion cycle (days)</x:v>
      </x:c>
      <x:c r="C323" s="157" t="str">
        <x:v>FY2024</x:v>
      </x:c>
      <x:c r="D323" s="158" t="n">
        <x:v>-21.01</x:v>
      </x:c>
      <x:c r="E323" s="158" t="n">
        <x:f>LUCK!G151</x:f>
        <x:v>93.02401833141005</x:v>
      </x:c>
      <x:c r="F323" s="158" t="n">
        <x:f>365/ROUND((-LUCK!G85)/AVERAGE(LUCK!F65,LUCK!G65),2)+365/ROUND(LUCK!G84/AVERAGE(LUCK!F32,LUCK!G32),2)-365/ROUND((-LUCK!G85)/AVERAGE(LUCK!F50,LUCK!G50),2)</x:f>
        <x:v>-21.009587184252368</x:v>
      </x:c>
      <x:c r="G323" s="162" t="str">
        <x:v>Company component conventions; independent raw reconstruction</x:v>
      </x:c>
      <x:c r="H323" s="162" t="str">
        <x:f>IF(AND(ISNUMBER(D323),ISNUMBER(F323)),IF(ROUND(D323,O323)=ROUND(F323,O323),"Reproduced to precision","Unresolved published value"),"Not comparable")</x:f>
        <x:v>Reproduced to precision</x:v>
      </x:c>
      <x:c r="I323" s="162" t="str">
        <x:v>Tested the source-based convention shown in G against official published precision. Unmatched values remain unresolved; neither the standardized method nor the financial inputs were altered to force agreement.</x:v>
      </x:c>
      <x:c r="J323" s="162" t="str">
        <x:v>FY2025 AR PDF p166</x:v>
      </x:c>
      <x:c r="K323" s="162" t="str">
        <x:v>Added source comparison</x:v>
      </x:c>
      <x:c r="L323" s="162" t="str">
        <x:v>Source comparison</x:v>
      </x:c>
      <x:c r="M323" s="157" t="n">
        <x:f>IF(ISNUMBER(E323),E323-D323,"n/m")</x:f>
        <x:v>114.03401833141005</x:v>
      </x:c>
      <x:c r="N323" s="157" t="n">
        <x:f>IF(ISNUMBER(F323),F323-D323,"n/m")</x:f>
        <x:v>0.0004128157476337435</x:v>
      </x:c>
      <x:c r="O323" s="157" t="n">
        <x:v>2</x:v>
      </x:c>
    </x:row>
    <x:row r="324" ht="112" customHeight="1">
      <x:c r="A324" s="75" t="str">
        <x:v>LUCK</x:v>
      </x:c>
      <x:c r="B324" s="75" t="str">
        <x:v>Cash conversion cycle (days)</x:v>
      </x:c>
      <x:c r="C324" s="75" t="str">
        <x:v>FY2025</x:v>
      </x:c>
      <x:c r="D324" s="159" t="n">
        <x:v>-1.73</x:v>
      </x:c>
      <x:c r="E324" s="159" t="n">
        <x:f>LUCK!H151</x:f>
        <x:v>95.67813071445953</x:v>
      </x:c>
      <x:c r="F324" s="159" t="n">
        <x:f>365/ROUND((-LUCK!H85)/AVERAGE(LUCK!G65,LUCK!H65),2)+365/ROUND(LUCK!H84/AVERAGE(LUCK!G32,LUCK!H32),2)-365/ROUND((-LUCK!H85)/AVERAGE(LUCK!G50,LUCK!H50),2)</x:f>
        <x:v>-1.7313290242526023</x:v>
      </x:c>
      <x:c r="G324" s="163" t="str">
        <x:v>Company component conventions; independent raw reconstruction</x:v>
      </x:c>
      <x:c r="H324" s="163" t="str">
        <x:f>IF(AND(ISNUMBER(D324),ISNUMBER(F324)),IF(ROUND(D324,O324)=ROUND(F324,O324),"Reproduced to precision","Unresolved published value"),"Not comparable")</x:f>
        <x:v>Reproduced to precision</x:v>
      </x:c>
      <x:c r="I324" s="163" t="str">
        <x:v>Tested the source-based convention shown in G against official published precision. Unmatched values remain unresolved; neither the standardized method nor the financial inputs were altered to force agreement.</x:v>
      </x:c>
      <x:c r="J324" s="163" t="str">
        <x:v>FY2025 AR PDF p166</x:v>
      </x:c>
      <x:c r="K324" s="163" t="str">
        <x:v>Added source comparison</x:v>
      </x:c>
      <x:c r="L324" s="163" t="str">
        <x:v>Source comparison</x:v>
      </x:c>
      <x:c r="M324" s="75" t="n">
        <x:f>IF(ISNUMBER(E324),E324-D324,"n/m")</x:f>
        <x:v>97.40813071445953</x:v>
      </x:c>
      <x:c r="N324" s="75" t="n">
        <x:f>IF(ISNUMBER(F324),F324-D324,"n/m")</x:f>
        <x:v>-0.0013290242526022844</x:v>
      </x:c>
      <x:c r="O324" s="75" t="n">
        <x:v>2</x:v>
      </x:c>
    </x:row>
    <x:row r="325" ht="112" customHeight="1">
      <x:c r="A325" s="157" t="str">
        <x:v>LUCK</x:v>
      </x:c>
      <x:c r="B325" s="157" t="str">
        <x:v>Debt-to-equity</x:v>
      </x:c>
      <x:c r="C325" s="157" t="str">
        <x:v>FY2021</x:v>
      </x:c>
      <x:c r="D325" s="158" t="n">
        <x:v>0.04</x:v>
      </x:c>
      <x:c r="E325" s="158" t="n">
        <x:f>LUCK!D156</x:f>
        <x:v>0.3813401556028255</x:v>
      </x:c>
      <x:c r="F325" s="158" t="n">
        <x:f>(LUCK!D43+LUCK!D55+LUCK!D45+LUCK!D57)/LUCK!D41</x:f>
        <x:v>0.04018446671738151</x:v>
      </x:c>
      <x:c r="G325" s="162" t="str">
        <x:v>Gross long-term financing before deferred grant / closing equity</x:v>
      </x:c>
      <x:c r="H325" s="162" t="str">
        <x:f>IF(AND(ISNUMBER(D325),ISNUMBER(F325)),IF(ROUND(D325,O325)=ROUND(F325,O325),"Reproduced to precision","Unresolved published value"),"Not comparable")</x:f>
        <x:v>Reproduced to precision</x:v>
      </x:c>
      <x:c r="I325" s="162" t="str">
        <x:v>Official long-term-financing note separates carrying loan balance and deferred government grant. Gross long-term borrowing / equity reproduces the financing-only series. Uniform D/E remains total liabilities / equity.</x:v>
      </x:c>
      <x:c r="J325" s="162" t="str">
        <x:v>FY2025 AR PDF p166</x:v>
      </x:c>
      <x:c r="K325" s="162" t="str">
        <x:v>Added source comparison</x:v>
      </x:c>
      <x:c r="L325" s="162" t="str">
        <x:v>Published methodology difference (reconstructed)</x:v>
      </x:c>
      <x:c r="M325" s="157" t="n">
        <x:f>IF(ISNUMBER(E325),E325-D325,"n/m")</x:f>
        <x:v>0.34134015560282555</x:v>
      </x:c>
      <x:c r="N325" s="157" t="n">
        <x:f>IF(ISNUMBER(F325),F325-D325,"n/m")</x:f>
        <x:v>0.00018446671738150955</x:v>
      </x:c>
      <x:c r="O325" s="157" t="n">
        <x:v>2</x:v>
      </x:c>
    </x:row>
    <x:row r="326" ht="112" customHeight="1">
      <x:c r="A326" s="75" t="str">
        <x:v>LUCK</x:v>
      </x:c>
      <x:c r="B326" s="75" t="str">
        <x:v>Debt-to-equity</x:v>
      </x:c>
      <x:c r="C326" s="75" t="str">
        <x:v>FY2022</x:v>
      </x:c>
      <x:c r="D326" s="159" t="n">
        <x:v>0.13</x:v>
      </x:c>
      <x:c r="E326" s="159" t="n">
        <x:f>LUCK!E156</x:f>
        <x:v>0.4389443113586675</x:v>
      </x:c>
      <x:c r="F326" s="159" t="n">
        <x:f>(LUCK!E43+LUCK!E55+LUCK!E45+LUCK!E57)/LUCK!E41</x:f>
        <x:v>0.13038790068710268</x:v>
      </x:c>
      <x:c r="G326" s="163" t="str">
        <x:v>Gross long-term financing before deferred grant / closing equity</x:v>
      </x:c>
      <x:c r="H326" s="163" t="str">
        <x:f>IF(AND(ISNUMBER(D326),ISNUMBER(F326)),IF(ROUND(D326,O326)=ROUND(F326,O326),"Reproduced to precision","Unresolved published value"),"Not comparable")</x:f>
        <x:v>Reproduced to precision</x:v>
      </x:c>
      <x:c r="I326" s="163" t="str">
        <x:v>Official long-term-financing note separates carrying loan balance and deferred government grant. Gross long-term borrowing / equity reproduces the financing-only series. Uniform D/E remains total liabilities / equity.</x:v>
      </x:c>
      <x:c r="J326" s="163" t="str">
        <x:v>FY2025 AR PDF p166</x:v>
      </x:c>
      <x:c r="K326" s="163" t="str">
        <x:v>Added source comparison</x:v>
      </x:c>
      <x:c r="L326" s="163" t="str">
        <x:v>Published methodology difference (reconstructed)</x:v>
      </x:c>
      <x:c r="M326" s="75" t="n">
        <x:f>IF(ISNUMBER(E326),E326-D326,"n/m")</x:f>
        <x:v>0.3089443113586675</x:v>
      </x:c>
      <x:c r="N326" s="75" t="n">
        <x:f>IF(ISNUMBER(F326),F326-D326,"n/m")</x:f>
        <x:v>0.0003879006871026769</x:v>
      </x:c>
      <x:c r="O326" s="75" t="n">
        <x:v>2</x:v>
      </x:c>
    </x:row>
    <x:row r="327" ht="112" customHeight="1">
      <x:c r="A327" s="157" t="str">
        <x:v>LUCK</x:v>
      </x:c>
      <x:c r="B327" s="157" t="str">
        <x:v>Debt-to-equity</x:v>
      </x:c>
      <x:c r="C327" s="157" t="str">
        <x:v>FY2023</x:v>
      </x:c>
      <x:c r="D327" s="158" t="n">
        <x:v>0.13</x:v>
      </x:c>
      <x:c r="E327" s="158" t="n">
        <x:f>LUCK!F156</x:f>
        <x:v>0.5511739536514938</x:v>
      </x:c>
      <x:c r="F327" s="158" t="n">
        <x:f>(LUCK!F43+LUCK!F55+LUCK!F45+LUCK!F57)/LUCK!F41</x:f>
        <x:v>0.12578231145237154</x:v>
      </x:c>
      <x:c r="G327" s="162" t="str">
        <x:v>Gross long-term financing before deferred grant / closing equity</x:v>
      </x:c>
      <x:c r="H327" s="162" t="str">
        <x:f>IF(AND(ISNUMBER(D327),ISNUMBER(F327)),IF(ROUND(D327,O327)=ROUND(F327,O327),"Reproduced to precision","Unresolved published value"),"Not comparable")</x:f>
        <x:v>Reproduced to precision</x:v>
      </x:c>
      <x:c r="I327" s="162" t="str">
        <x:v>Official long-term-financing note separates carrying loan balance and deferred government grant. Gross long-term borrowing / equity reproduces the financing-only series. Uniform D/E remains total liabilities / equity.</x:v>
      </x:c>
      <x:c r="J327" s="162" t="str">
        <x:v>FY2025 AR PDF p166</x:v>
      </x:c>
      <x:c r="K327" s="162" t="str">
        <x:v>Added source comparison</x:v>
      </x:c>
      <x:c r="L327" s="162" t="str">
        <x:v>Published methodology difference (reconstructed)</x:v>
      </x:c>
      <x:c r="M327" s="157" t="n">
        <x:f>IF(ISNUMBER(E327),E327-D327,"n/m")</x:f>
        <x:v>0.4211739536514938</x:v>
      </x:c>
      <x:c r="N327" s="157" t="n">
        <x:f>IF(ISNUMBER(F327),F327-D327,"n/m")</x:f>
        <x:v>-0.0042176885476284676</x:v>
      </x:c>
      <x:c r="O327" s="157" t="n">
        <x:v>2</x:v>
      </x:c>
    </x:row>
    <x:row r="328" ht="112" customHeight="1">
      <x:c r="A328" s="75" t="str">
        <x:v>LUCK</x:v>
      </x:c>
      <x:c r="B328" s="75" t="str">
        <x:v>Debt-to-equity</x:v>
      </x:c>
      <x:c r="C328" s="75" t="str">
        <x:v>FY2024</x:v>
      </x:c>
      <x:c r="D328" s="159" t="n">
        <x:v>0.11</x:v>
      </x:c>
      <x:c r="E328" s="159" t="n">
        <x:f>LUCK!G156</x:f>
        <x:v>0.5837579016050328</x:v>
      </x:c>
      <x:c r="F328" s="159" t="n">
        <x:f>(LUCK!G43+LUCK!G55+LUCK!G45+LUCK!G57)/LUCK!G41</x:f>
        <x:v>0.1125182411627371</x:v>
      </x:c>
      <x:c r="G328" s="163" t="str">
        <x:v>Gross long-term financing before deferred grant / closing equity</x:v>
      </x:c>
      <x:c r="H328" s="163" t="str">
        <x:f>IF(AND(ISNUMBER(D328),ISNUMBER(F328)),IF(ROUND(D328,O328)=ROUND(F328,O328),"Reproduced to precision","Unresolved published value"),"Not comparable")</x:f>
        <x:v>Reproduced to precision</x:v>
      </x:c>
      <x:c r="I328" s="163" t="str">
        <x:v>Official long-term-financing note separates carrying loan balance and deferred government grant. Gross long-term borrowing / equity reproduces the financing-only series. Uniform D/E remains total liabilities / equity.</x:v>
      </x:c>
      <x:c r="J328" s="163" t="str">
        <x:v>FY2025 AR PDF p166</x:v>
      </x:c>
      <x:c r="K328" s="163" t="str">
        <x:v>Added source comparison</x:v>
      </x:c>
      <x:c r="L328" s="163" t="str">
        <x:v>Published methodology difference (reconstructed)</x:v>
      </x:c>
      <x:c r="M328" s="75" t="n">
        <x:f>IF(ISNUMBER(E328),E328-D328,"n/m")</x:f>
        <x:v>0.47375790160503284</x:v>
      </x:c>
      <x:c r="N328" s="75" t="n">
        <x:f>IF(ISNUMBER(F328),F328-D328,"n/m")</x:f>
        <x:v>0.002518241162737106</x:v>
      </x:c>
      <x:c r="O328" s="75" t="n">
        <x:v>2</x:v>
      </x:c>
    </x:row>
    <x:row r="329" ht="112" customHeight="1">
      <x:c r="A329" s="157" t="str">
        <x:v>LUCK</x:v>
      </x:c>
      <x:c r="B329" s="157" t="str">
        <x:v>Debt-to-equity</x:v>
      </x:c>
      <x:c r="C329" s="157" t="str">
        <x:v>FY2025</x:v>
      </x:c>
      <x:c r="D329" s="158" t="n">
        <x:v>0.07</x:v>
      </x:c>
      <x:c r="E329" s="158" t="n">
        <x:f>LUCK!H156</x:f>
        <x:v>0.5163857850360184</x:v>
      </x:c>
      <x:c r="F329" s="158" t="n">
        <x:f>(LUCK!H43+LUCK!H55+LUCK!H45+LUCK!H57)/LUCK!H41</x:f>
        <x:v>0.0706794936513134</x:v>
      </x:c>
      <x:c r="G329" s="162" t="str">
        <x:v>Gross long-term financing before deferred grant / closing equity</x:v>
      </x:c>
      <x:c r="H329" s="162" t="str">
        <x:f>IF(AND(ISNUMBER(D329),ISNUMBER(F329)),IF(ROUND(D329,O329)=ROUND(F329,O329),"Reproduced to precision","Unresolved published value"),"Not comparable")</x:f>
        <x:v>Reproduced to precision</x:v>
      </x:c>
      <x:c r="I329" s="162" t="str">
        <x:v>Official long-term-financing note separates carrying loan balance and deferred government grant. Gross long-term borrowing / equity reproduces the financing-only series. Uniform D/E remains total liabilities / equity.</x:v>
      </x:c>
      <x:c r="J329" s="162" t="str">
        <x:v>FY2025 AR PDF p166</x:v>
      </x:c>
      <x:c r="K329" s="162" t="str">
        <x:v>Added source comparison</x:v>
      </x:c>
      <x:c r="L329" s="162" t="str">
        <x:v>Published methodology difference (reconstructed)</x:v>
      </x:c>
      <x:c r="M329" s="157" t="n">
        <x:f>IF(ISNUMBER(E329),E329-D329,"n/m")</x:f>
        <x:v>0.4463857850360184</x:v>
      </x:c>
      <x:c r="N329" s="157" t="n">
        <x:f>IF(ISNUMBER(F329),F329-D329,"n/m")</x:f>
        <x:v>0.0006794936513133953</x:v>
      </x:c>
      <x:c r="O329" s="157" t="n">
        <x:v>2</x:v>
      </x:c>
    </x:row>
    <x:row r="330" ht="112" customHeight="1">
      <x:c r="A330" s="75" t="str">
        <x:v>LUCK</x:v>
      </x:c>
      <x:c r="B330" s="75" t="str">
        <x:v>Gross profit margin</x:v>
      </x:c>
      <x:c r="C330" s="75" t="str">
        <x:v>FY2021</x:v>
      </x:c>
      <x:c r="D330" s="160" t="n">
        <x:v>0.3012</x:v>
      </x:c>
      <x:c r="E330" s="160" t="n">
        <x:f>LUCK!D161</x:f>
        <x:v>0.30117079055471246</x:v>
      </x:c>
      <x:c r="F330" s="160" t="n">
        <x:f>LUCK!D86/LUCK!D84</x:f>
        <x:v>0.30117079055471246</x:v>
      </x:c>
      <x:c r="G330" s="163" t="str">
        <x:v>Standard definition</x:v>
      </x:c>
      <x:c r="H330" s="163" t="str">
        <x:f>IF(AND(ISNUMBER(D330),ISNUMBER(F330)),IF(ROUND(D330,O330)=ROUND(F330,O330),"Reproduced to precision","Unresolved published value"),"Not comparable")</x:f>
        <x:v>Reproduced to precision</x:v>
      </x:c>
      <x:c r="I330" s="163" t="str">
        <x:v>Tested the source-based convention shown in G against official published precision. Unmatched values remain unresolved; neither the standardized method nor the financial inputs were altered to force agreement.</x:v>
      </x:c>
      <x:c r="J330" s="163" t="str">
        <x:v>FY2025 AR PDF p166</x:v>
      </x:c>
      <x:c r="K330" s="163" t="str">
        <x:v>Added source comparison</x:v>
      </x:c>
      <x:c r="L330" s="163" t="str">
        <x:v>Source comparison</x:v>
      </x:c>
      <x:c r="M330" s="75" t="n">
        <x:f>IF(ISNUMBER(E330),E330-D330,"n/m")</x:f>
        <x:v>-0.000029209445287559088</x:v>
      </x:c>
      <x:c r="N330" s="75" t="n">
        <x:f>IF(ISNUMBER(F330),F330-D330,"n/m")</x:f>
        <x:v>-0.000029209445287559088</x:v>
      </x:c>
      <x:c r="O330" s="75" t="n">
        <x:v>4</x:v>
      </x:c>
    </x:row>
    <x:row r="331" ht="112" customHeight="1">
      <x:c r="A331" s="157" t="str">
        <x:v>LUCK</x:v>
      </x:c>
      <x:c r="B331" s="157" t="str">
        <x:v>Gross profit margin</x:v>
      </x:c>
      <x:c r="C331" s="157" t="str">
        <x:v>FY2022</x:v>
      </x:c>
      <x:c r="D331" s="161" t="n">
        <x:v>0.2781</x:v>
      </x:c>
      <x:c r="E331" s="161" t="n">
        <x:f>LUCK!E161</x:f>
        <x:v>0.278096691443614</x:v>
      </x:c>
      <x:c r="F331" s="161" t="n">
        <x:f>LUCK!E86/LUCK!E84</x:f>
        <x:v>0.278096691443614</x:v>
      </x:c>
      <x:c r="G331" s="162" t="str">
        <x:v>Standard definition</x:v>
      </x:c>
      <x:c r="H331" s="162" t="str">
        <x:f>IF(AND(ISNUMBER(D331),ISNUMBER(F331)),IF(ROUND(D331,O331)=ROUND(F331,O331),"Reproduced to precision","Unresolved published value"),"Not comparable")</x:f>
        <x:v>Reproduced to precision</x:v>
      </x:c>
      <x:c r="I331" s="162" t="str">
        <x:v>Tested the source-based convention shown in G against official published precision. Unmatched values remain unresolved; neither the standardized method nor the financial inputs were altered to force agreement.</x:v>
      </x:c>
      <x:c r="J331" s="162" t="str">
        <x:v>FY2025 AR PDF p166</x:v>
      </x:c>
      <x:c r="K331" s="162" t="str">
        <x:v>Added source comparison</x:v>
      </x:c>
      <x:c r="L331" s="162" t="str">
        <x:v>Source comparison</x:v>
      </x:c>
      <x:c r="M331" s="157" t="n">
        <x:f>IF(ISNUMBER(E331),E331-D331,"n/m")</x:f>
        <x:v>-0.0000033085563860280054</x:v>
      </x:c>
      <x:c r="N331" s="157" t="n">
        <x:f>IF(ISNUMBER(F331),F331-D331,"n/m")</x:f>
        <x:v>-0.0000033085563860280054</x:v>
      </x:c>
      <x:c r="O331" s="157" t="n">
        <x:v>4</x:v>
      </x:c>
    </x:row>
    <x:row r="332" ht="112" customHeight="1">
      <x:c r="A332" s="75" t="str">
        <x:v>LUCK</x:v>
      </x:c>
      <x:c r="B332" s="75" t="str">
        <x:v>Gross profit margin</x:v>
      </x:c>
      <x:c r="C332" s="75" t="str">
        <x:v>FY2023</x:v>
      </x:c>
      <x:c r="D332" s="160" t="n">
        <x:v>0.2719</x:v>
      </x:c>
      <x:c r="E332" s="160" t="n">
        <x:f>LUCK!F161</x:f>
        <x:v>0.2719408759567914</x:v>
      </x:c>
      <x:c r="F332" s="160" t="n">
        <x:f>LUCK!F86/LUCK!F84</x:f>
        <x:v>0.2719408759567914</x:v>
      </x:c>
      <x:c r="G332" s="163" t="str">
        <x:v>Standard definition</x:v>
      </x:c>
      <x:c r="H332" s="163" t="str">
        <x:f>IF(AND(ISNUMBER(D332),ISNUMBER(F332)),IF(ROUND(D332,O332)=ROUND(F332,O332),"Reproduced to precision","Unresolved published value"),"Not comparable")</x:f>
        <x:v>Reproduced to precision</x:v>
      </x:c>
      <x:c r="I332" s="163" t="str">
        <x:v>Tested the source-based convention shown in G against official published precision. Unmatched values remain unresolved; neither the standardized method nor the financial inputs were altered to force agreement.</x:v>
      </x:c>
      <x:c r="J332" s="163" t="str">
        <x:v>FY2025 AR PDF p166</x:v>
      </x:c>
      <x:c r="K332" s="163" t="str">
        <x:v>Added source comparison</x:v>
      </x:c>
      <x:c r="L332" s="163" t="str">
        <x:v>Source comparison</x:v>
      </x:c>
      <x:c r="M332" s="75" t="n">
        <x:f>IF(ISNUMBER(E332),E332-D332,"n/m")</x:f>
        <x:v>0.00004087595679141964</x:v>
      </x:c>
      <x:c r="N332" s="75" t="n">
        <x:f>IF(ISNUMBER(F332),F332-D332,"n/m")</x:f>
        <x:v>0.00004087595679141964</x:v>
      </x:c>
      <x:c r="O332" s="75" t="n">
        <x:v>4</x:v>
      </x:c>
    </x:row>
    <x:row r="333" ht="112" customHeight="1">
      <x:c r="A333" s="157" t="str">
        <x:v>LUCK</x:v>
      </x:c>
      <x:c r="B333" s="157" t="str">
        <x:v>Gross profit margin</x:v>
      </x:c>
      <x:c r="C333" s="157" t="str">
        <x:v>FY2024</x:v>
      </x:c>
      <x:c r="D333" s="161" t="n">
        <x:v>0.3365</x:v>
      </x:c>
      <x:c r="E333" s="161" t="n">
        <x:f>LUCK!G161</x:f>
        <x:v>0.3364803079632158</x:v>
      </x:c>
      <x:c r="F333" s="161" t="n">
        <x:f>LUCK!G86/LUCK!G84</x:f>
        <x:v>0.3364803079632158</x:v>
      </x:c>
      <x:c r="G333" s="162" t="str">
        <x:v>Standard definition</x:v>
      </x:c>
      <x:c r="H333" s="162" t="str">
        <x:f>IF(AND(ISNUMBER(D333),ISNUMBER(F333)),IF(ROUND(D333,O333)=ROUND(F333,O333),"Reproduced to precision","Unresolved published value"),"Not comparable")</x:f>
        <x:v>Reproduced to precision</x:v>
      </x:c>
      <x:c r="I333" s="162" t="str">
        <x:v>Tested the source-based convention shown in G against official published precision. Unmatched values remain unresolved; neither the standardized method nor the financial inputs were altered to force agreement.</x:v>
      </x:c>
      <x:c r="J333" s="162" t="str">
        <x:v>FY2025 AR PDF p166</x:v>
      </x:c>
      <x:c r="K333" s="162" t="str">
        <x:v>Added source comparison</x:v>
      </x:c>
      <x:c r="L333" s="162" t="str">
        <x:v>Source comparison</x:v>
      </x:c>
      <x:c r="M333" s="157" t="n">
        <x:f>IF(ISNUMBER(E333),E333-D333,"n/m")</x:f>
        <x:v>-0.000019692036784202394</x:v>
      </x:c>
      <x:c r="N333" s="157" t="n">
        <x:f>IF(ISNUMBER(F333),F333-D333,"n/m")</x:f>
        <x:v>-0.000019692036784202394</x:v>
      </x:c>
      <x:c r="O333" s="157" t="n">
        <x:v>4</x:v>
      </x:c>
    </x:row>
    <x:row r="334" ht="112" customHeight="1">
      <x:c r="A334" s="75" t="str">
        <x:v>LUCK</x:v>
      </x:c>
      <x:c r="B334" s="75" t="str">
        <x:v>Gross profit margin</x:v>
      </x:c>
      <x:c r="C334" s="75" t="str">
        <x:v>FY2025</x:v>
      </x:c>
      <x:c r="D334" s="160" t="n">
        <x:v>0.3428</x:v>
      </x:c>
      <x:c r="E334" s="160" t="n">
        <x:f>LUCK!H161</x:f>
        <x:v>0.342816529820673</x:v>
      </x:c>
      <x:c r="F334" s="160" t="n">
        <x:f>LUCK!H86/LUCK!H84</x:f>
        <x:v>0.342816529820673</x:v>
      </x:c>
      <x:c r="G334" s="163" t="str">
        <x:v>Standard definition</x:v>
      </x:c>
      <x:c r="H334" s="163" t="str">
        <x:f>IF(AND(ISNUMBER(D334),ISNUMBER(F334)),IF(ROUND(D334,O334)=ROUND(F334,O334),"Reproduced to precision","Unresolved published value"),"Not comparable")</x:f>
        <x:v>Reproduced to precision</x:v>
      </x:c>
      <x:c r="I334" s="163" t="str">
        <x:v>Tested the source-based convention shown in G against official published precision. Unmatched values remain unresolved; neither the standardized method nor the financial inputs were altered to force agreement.</x:v>
      </x:c>
      <x:c r="J334" s="163" t="str">
        <x:v>FY2025 AR PDF p166</x:v>
      </x:c>
      <x:c r="K334" s="163" t="str">
        <x:v>Added source comparison</x:v>
      </x:c>
      <x:c r="L334" s="163" t="str">
        <x:v>Source comparison</x:v>
      </x:c>
      <x:c r="M334" s="75" t="n">
        <x:f>IF(ISNUMBER(E334),E334-D334,"n/m")</x:f>
        <x:v>0.000016529820673016893</x:v>
      </x:c>
      <x:c r="N334" s="75" t="n">
        <x:f>IF(ISNUMBER(F334),F334-D334,"n/m")</x:f>
        <x:v>0.000016529820673016893</x:v>
      </x:c>
      <x:c r="O334" s="75" t="n">
        <x:v>4</x:v>
      </x:c>
    </x:row>
    <x:row r="335" ht="112" customHeight="1">
      <x:c r="A335" s="157" t="str">
        <x:v>LUCK</x:v>
      </x:c>
      <x:c r="B335" s="157" t="str">
        <x:v>Net profit margin</x:v>
      </x:c>
      <x:c r="C335" s="157" t="str">
        <x:v>FY2021</x:v>
      </x:c>
      <x:c r="D335" s="161" t="n">
        <x:v>0.2235</x:v>
      </x:c>
      <x:c r="E335" s="161" t="n">
        <x:f>LUCK!D163</x:f>
        <x:v>0.22354637821997994</x:v>
      </x:c>
      <x:c r="F335" s="161" t="n">
        <x:f>LUCK!D99/LUCK!D84</x:f>
        <x:v>0.22354637821997994</x:v>
      </x:c>
      <x:c r="G335" s="162" t="str">
        <x:v>Standard definition</x:v>
      </x:c>
      <x:c r="H335" s="162" t="str">
        <x:f>IF(AND(ISNUMBER(D335),ISNUMBER(F335)),IF(ROUND(D335,O335)=ROUND(F335,O335),"Reproduced to precision","Unresolved published value"),"Not comparable")</x:f>
        <x:v>Reproduced to precision</x:v>
      </x:c>
      <x:c r="I335" s="162" t="str">
        <x:v>Tested the source-based convention shown in G against official published precision. Unmatched values remain unresolved; neither the standardized method nor the financial inputs were altered to force agreement.</x:v>
      </x:c>
      <x:c r="J335" s="162" t="str">
        <x:v>FY2025 AR PDF p166</x:v>
      </x:c>
      <x:c r="K335" s="162" t="str">
        <x:v>Added source comparison</x:v>
      </x:c>
      <x:c r="L335" s="162" t="str">
        <x:v>Source comparison</x:v>
      </x:c>
      <x:c r="M335" s="157" t="n">
        <x:f>IF(ISNUMBER(E335),E335-D335,"n/m")</x:f>
        <x:v>0.00004637821997993674</x:v>
      </x:c>
      <x:c r="N335" s="157" t="n">
        <x:f>IF(ISNUMBER(F335),F335-D335,"n/m")</x:f>
        <x:v>0.00004637821997993674</x:v>
      </x:c>
      <x:c r="O335" s="157" t="n">
        <x:v>4</x:v>
      </x:c>
    </x:row>
    <x:row r="336" ht="112" customHeight="1">
      <x:c r="A336" s="75" t="str">
        <x:v>LUCK</x:v>
      </x:c>
      <x:c r="B336" s="75" t="str">
        <x:v>Net profit margin</x:v>
      </x:c>
      <x:c r="C336" s="75" t="str">
        <x:v>FY2022</x:v>
      </x:c>
      <x:c r="D336" s="160" t="n">
        <x:v>0.1887</x:v>
      </x:c>
      <x:c r="E336" s="160" t="n">
        <x:f>LUCK!E163</x:f>
        <x:v>0.18865400166042842</x:v>
      </x:c>
      <x:c r="F336" s="160" t="n">
        <x:f>LUCK!E99/LUCK!E84</x:f>
        <x:v>0.18865400166042842</x:v>
      </x:c>
      <x:c r="G336" s="163" t="str">
        <x:v>Standard definition</x:v>
      </x:c>
      <x:c r="H336" s="163" t="str">
        <x:f>IF(AND(ISNUMBER(D336),ISNUMBER(F336)),IF(ROUND(D336,O336)=ROUND(F336,O336),"Reproduced to precision","Unresolved published value"),"Not comparable")</x:f>
        <x:v>Reproduced to precision</x:v>
      </x:c>
      <x:c r="I336" s="163" t="str">
        <x:v>Tested the source-based convention shown in G against official published precision. Unmatched values remain unresolved; neither the standardized method nor the financial inputs were altered to force agreement.</x:v>
      </x:c>
      <x:c r="J336" s="163" t="str">
        <x:v>FY2025 AR PDF p166</x:v>
      </x:c>
      <x:c r="K336" s="163" t="str">
        <x:v>Added source comparison</x:v>
      </x:c>
      <x:c r="L336" s="163" t="str">
        <x:v>Source comparison</x:v>
      </x:c>
      <x:c r="M336" s="75" t="n">
        <x:f>IF(ISNUMBER(E336),E336-D336,"n/m")</x:f>
        <x:v>-0.00004599833957158461</x:v>
      </x:c>
      <x:c r="N336" s="75" t="n">
        <x:f>IF(ISNUMBER(F336),F336-D336,"n/m")</x:f>
        <x:v>-0.00004599833957158461</x:v>
      </x:c>
      <x:c r="O336" s="75" t="n">
        <x:v>4</x:v>
      </x:c>
    </x:row>
    <x:row r="337" ht="112" customHeight="1">
      <x:c r="A337" s="157" t="str">
        <x:v>LUCK</x:v>
      </x:c>
      <x:c r="B337" s="157" t="str">
        <x:v>Net profit margin</x:v>
      </x:c>
      <x:c r="C337" s="157" t="str">
        <x:v>FY2023</x:v>
      </x:c>
      <x:c r="D337" s="161" t="n">
        <x:v>0.1432</x:v>
      </x:c>
      <x:c r="E337" s="161" t="n">
        <x:f>LUCK!F163</x:f>
        <x:v>0.14322765825125466</x:v>
      </x:c>
      <x:c r="F337" s="161" t="n">
        <x:f>LUCK!F99/LUCK!F84</x:f>
        <x:v>0.14322765825125466</x:v>
      </x:c>
      <x:c r="G337" s="162" t="str">
        <x:v>Standard definition</x:v>
      </x:c>
      <x:c r="H337" s="162" t="str">
        <x:f>IF(AND(ISNUMBER(D337),ISNUMBER(F337)),IF(ROUND(D337,O337)=ROUND(F337,O337),"Reproduced to precision","Unresolved published value"),"Not comparable")</x:f>
        <x:v>Reproduced to precision</x:v>
      </x:c>
      <x:c r="I337" s="162" t="str">
        <x:v>Tested the source-based convention shown in G against official published precision. Unmatched values remain unresolved; neither the standardized method nor the financial inputs were altered to force agreement.</x:v>
      </x:c>
      <x:c r="J337" s="162" t="str">
        <x:v>FY2025 AR PDF p166</x:v>
      </x:c>
      <x:c r="K337" s="162" t="str">
        <x:v>Added source comparison</x:v>
      </x:c>
      <x:c r="L337" s="162" t="str">
        <x:v>Source comparison</x:v>
      </x:c>
      <x:c r="M337" s="157" t="n">
        <x:f>IF(ISNUMBER(E337),E337-D337,"n/m")</x:f>
        <x:v>0.000027658251254669697</x:v>
      </x:c>
      <x:c r="N337" s="157" t="n">
        <x:f>IF(ISNUMBER(F337),F337-D337,"n/m")</x:f>
        <x:v>0.000027658251254669697</x:v>
      </x:c>
      <x:c r="O337" s="157" t="n">
        <x:v>4</x:v>
      </x:c>
    </x:row>
    <x:row r="338" ht="112" customHeight="1">
      <x:c r="A338" s="75" t="str">
        <x:v>LUCK</x:v>
      </x:c>
      <x:c r="B338" s="75" t="str">
        <x:v>Net profit margin</x:v>
      </x:c>
      <x:c r="C338" s="75" t="str">
        <x:v>FY2024</x:v>
      </x:c>
      <x:c r="D338" s="160" t="n">
        <x:v>0.2437</x:v>
      </x:c>
      <x:c r="E338" s="160" t="n">
        <x:f>LUCK!G163</x:f>
        <x:v>0.24371604713228476</x:v>
      </x:c>
      <x:c r="F338" s="160" t="n">
        <x:f>LUCK!G99/LUCK!G84</x:f>
        <x:v>0.24371604713228476</x:v>
      </x:c>
      <x:c r="G338" s="163" t="str">
        <x:v>Standard definition</x:v>
      </x:c>
      <x:c r="H338" s="163" t="str">
        <x:f>IF(AND(ISNUMBER(D338),ISNUMBER(F338)),IF(ROUND(D338,O338)=ROUND(F338,O338),"Reproduced to precision","Unresolved published value"),"Not comparable")</x:f>
        <x:v>Reproduced to precision</x:v>
      </x:c>
      <x:c r="I338" s="163" t="str">
        <x:v>Tested the source-based convention shown in G against official published precision. Unmatched values remain unresolved; neither the standardized method nor the financial inputs were altered to force agreement.</x:v>
      </x:c>
      <x:c r="J338" s="163" t="str">
        <x:v>FY2025 AR PDF p166</x:v>
      </x:c>
      <x:c r="K338" s="163" t="str">
        <x:v>Added source comparison</x:v>
      </x:c>
      <x:c r="L338" s="163" t="str">
        <x:v>Source comparison</x:v>
      </x:c>
      <x:c r="M338" s="75" t="n">
        <x:f>IF(ISNUMBER(E338),E338-D338,"n/m")</x:f>
        <x:v>0.000016047132284757737</x:v>
      </x:c>
      <x:c r="N338" s="75" t="n">
        <x:f>IF(ISNUMBER(F338),F338-D338,"n/m")</x:f>
        <x:v>0.000016047132284757737</x:v>
      </x:c>
      <x:c r="O338" s="75" t="n">
        <x:v>4</x:v>
      </x:c>
    </x:row>
    <x:row r="339" ht="112" customHeight="1">
      <x:c r="A339" s="157" t="str">
        <x:v>LUCK</x:v>
      </x:c>
      <x:c r="B339" s="157" t="str">
        <x:v>Net profit margin</x:v>
      </x:c>
      <x:c r="C339" s="157" t="str">
        <x:v>FY2025</x:v>
      </x:c>
      <x:c r="D339" s="161" t="n">
        <x:v>0.2658</x:v>
      </x:c>
      <x:c r="E339" s="161" t="n">
        <x:f>LUCK!H163</x:f>
        <x:v>0.26577542757733763</x:v>
      </x:c>
      <x:c r="F339" s="161" t="n">
        <x:f>LUCK!H99/LUCK!H84</x:f>
        <x:v>0.26577542757733763</x:v>
      </x:c>
      <x:c r="G339" s="162" t="str">
        <x:v>Standard definition</x:v>
      </x:c>
      <x:c r="H339" s="162" t="str">
        <x:f>IF(AND(ISNUMBER(D339),ISNUMBER(F339)),IF(ROUND(D339,O339)=ROUND(F339,O339),"Reproduced to precision","Unresolved published value"),"Not comparable")</x:f>
        <x:v>Reproduced to precision</x:v>
      </x:c>
      <x:c r="I339" s="162" t="str">
        <x:v>Tested the source-based convention shown in G against official published precision. Unmatched values remain unresolved; neither the standardized method nor the financial inputs were altered to force agreement.</x:v>
      </x:c>
      <x:c r="J339" s="162" t="str">
        <x:v>FY2025 AR PDF p166</x:v>
      </x:c>
      <x:c r="K339" s="162" t="str">
        <x:v>Added source comparison</x:v>
      </x:c>
      <x:c r="L339" s="162" t="str">
        <x:v>Source comparison</x:v>
      </x:c>
      <x:c r="M339" s="157" t="n">
        <x:f>IF(ISNUMBER(E339),E339-D339,"n/m")</x:f>
        <x:v>-0.000024572422662350046</x:v>
      </x:c>
      <x:c r="N339" s="157" t="n">
        <x:f>IF(ISNUMBER(F339),F339-D339,"n/m")</x:f>
        <x:v>-0.000024572422662350046</x:v>
      </x:c>
      <x:c r="O339" s="157" t="n">
        <x:v>4</x:v>
      </x:c>
    </x:row>
    <x:row r="340" ht="112" customHeight="1">
      <x:c r="A340" s="75" t="str">
        <x:v>LUCK</x:v>
      </x:c>
      <x:c r="B340" s="75" t="str">
        <x:v>Return on equity</x:v>
      </x:c>
      <x:c r="C340" s="75" t="str">
        <x:v>FY2021</x:v>
      </x:c>
      <x:c r="D340" s="160" t="n">
        <x:v>0.1238</x:v>
      </x:c>
      <x:c r="E340" s="160" t="n">
        <x:f>LUCK!D165</x:f>
        <x:v>0.13249756211762712</x:v>
      </x:c>
      <x:c r="F340" s="160" t="n">
        <x:f>LUCK!D99/LUCK!D41</x:f>
        <x:v>0.12429467254394423</x:v>
      </x:c>
      <x:c r="G340" s="163" t="str">
        <x:v>PAT / closing equity diagnostic</x:v>
      </x:c>
      <x:c r="H340" s="163" t="str">
        <x:f>IF(AND(ISNUMBER(D340),ISNUMBER(F340)),IF(ROUND(D340,O340)=ROUND(F340,O340),"Reproduced to precision","Unresolved published value"),"Not comparable")</x:f>
        <x:v>Unresolved published value</x:v>
      </x:c>
      <x:c r="I340" s="163" t="str">
        <x:v>The same p166 table reports a separate return on shareholder funds (12.43%,11.90%,9.99%,19.02%,18.81%), which reproduces PAT / closing equity more closely than its ROE series (12.38%,11.93%,10.18%,18.93%,18.50%). Average-equity and consolidated/standalone hypotheses checked; no disclosed common ROE denominator identified.</x:v>
      </x:c>
      <x:c r="J340" s="163" t="str">
        <x:v>FY2025 AR PDF p166</x:v>
      </x:c>
      <x:c r="K340" s="163" t="str">
        <x:v>Added source comparison</x:v>
      </x:c>
      <x:c r="L340" s="163" t="str">
        <x:v>Unresolved published ROE definition</x:v>
      </x:c>
      <x:c r="M340" s="75" t="n">
        <x:f>IF(ISNUMBER(E340),E340-D340,"n/m")</x:f>
        <x:v>0.008697562117627122</x:v>
      </x:c>
      <x:c r="N340" s="75" t="n">
        <x:f>IF(ISNUMBER(F340),F340-D340,"n/m")</x:f>
        <x:v>0.0004946725439442384</x:v>
      </x:c>
      <x:c r="O340" s="75" t="n">
        <x:v>4</x:v>
      </x:c>
    </x:row>
    <x:row r="341" ht="112" customHeight="1">
      <x:c r="A341" s="157" t="str">
        <x:v>LUCK</x:v>
      </x:c>
      <x:c r="B341" s="157" t="str">
        <x:v>Return on equity</x:v>
      </x:c>
      <x:c r="C341" s="157" t="str">
        <x:v>FY2022</x:v>
      </x:c>
      <x:c r="D341" s="161" t="n">
        <x:v>0.1193</x:v>
      </x:c>
      <x:c r="E341" s="161" t="n">
        <x:f>LUCK!E165</x:f>
        <x:v>0.1265705399848834</x:v>
      </x:c>
      <x:c r="F341" s="161" t="n">
        <x:f>LUCK!E99/LUCK!E41</x:f>
        <x:v>0.11901804448540206</x:v>
      </x:c>
      <x:c r="G341" s="162" t="str">
        <x:v>PAT / closing equity diagnostic</x:v>
      </x:c>
      <x:c r="H341" s="162" t="str">
        <x:f>IF(AND(ISNUMBER(D341),ISNUMBER(F341)),IF(ROUND(D341,O341)=ROUND(F341,O341),"Reproduced to precision","Unresolved published value"),"Not comparable")</x:f>
        <x:v>Unresolved published value</x:v>
      </x:c>
      <x:c r="I341" s="162" t="str">
        <x:v>The same p166 table reports a separate return on shareholder funds (12.43%,11.90%,9.99%,19.02%,18.81%), which reproduces PAT / closing equity more closely than its ROE series (12.38%,11.93%,10.18%,18.93%,18.50%). Average-equity and consolidated/standalone hypotheses checked; no disclosed common ROE denominator identified.</x:v>
      </x:c>
      <x:c r="J341" s="162" t="str">
        <x:v>FY2025 AR PDF p166</x:v>
      </x:c>
      <x:c r="K341" s="162" t="str">
        <x:v>Added source comparison</x:v>
      </x:c>
      <x:c r="L341" s="162" t="str">
        <x:v>Unresolved published ROE definition</x:v>
      </x:c>
      <x:c r="M341" s="157" t="n">
        <x:f>IF(ISNUMBER(E341),E341-D341,"n/m")</x:f>
        <x:v>0.0072705399848834035</x:v>
      </x:c>
      <x:c r="N341" s="157" t="n">
        <x:f>IF(ISNUMBER(F341),F341-D341,"n/m")</x:f>
        <x:v>-0.000281955514597948</x:v>
      </x:c>
      <x:c r="O341" s="157" t="n">
        <x:v>4</x:v>
      </x:c>
    </x:row>
    <x:row r="342" ht="112" customHeight="1">
      <x:c r="A342" s="75" t="str">
        <x:v>LUCK</x:v>
      </x:c>
      <x:c r="B342" s="75" t="str">
        <x:v>Return on equity</x:v>
      </x:c>
      <x:c r="C342" s="75" t="str">
        <x:v>FY2023</x:v>
      </x:c>
      <x:c r="D342" s="160" t="n">
        <x:v>0.1018</x:v>
      </x:c>
      <x:c r="E342" s="160" t="n">
        <x:f>LUCK!F165</x:f>
        <x:v>0.10323783929435384</x:v>
      </x:c>
      <x:c r="F342" s="160" t="n">
        <x:f>LUCK!F99/LUCK!F41</x:f>
        <x:v>0.09992124270689164</x:v>
      </x:c>
      <x:c r="G342" s="163" t="str">
        <x:v>PAT / closing equity diagnostic</x:v>
      </x:c>
      <x:c r="H342" s="163" t="str">
        <x:f>IF(AND(ISNUMBER(D342),ISNUMBER(F342)),IF(ROUND(D342,O342)=ROUND(F342,O342),"Reproduced to precision","Unresolved published value"),"Not comparable")</x:f>
        <x:v>Unresolved published value</x:v>
      </x:c>
      <x:c r="I342" s="163" t="str">
        <x:v>The same p166 table reports a separate return on shareholder funds (12.43%,11.90%,9.99%,19.02%,18.81%), which reproduces PAT / closing equity more closely than its ROE series (12.38%,11.93%,10.18%,18.93%,18.50%). Average-equity and consolidated/standalone hypotheses checked; no disclosed common ROE denominator identified.</x:v>
      </x:c>
      <x:c r="J342" s="163" t="str">
        <x:v>FY2025 AR PDF p166</x:v>
      </x:c>
      <x:c r="K342" s="163" t="str">
        <x:v>Added source comparison</x:v>
      </x:c>
      <x:c r="L342" s="163" t="str">
        <x:v>Unresolved published ROE definition</x:v>
      </x:c>
      <x:c r="M342" s="75" t="n">
        <x:f>IF(ISNUMBER(E342),E342-D342,"n/m")</x:f>
        <x:v>0.0014378392943538432</x:v>
      </x:c>
      <x:c r="N342" s="75" t="n">
        <x:f>IF(ISNUMBER(F342),F342-D342,"n/m")</x:f>
        <x:v>-0.0018787572931083657</x:v>
      </x:c>
      <x:c r="O342" s="75" t="n">
        <x:v>4</x:v>
      </x:c>
    </x:row>
    <x:row r="343" ht="112" customHeight="1">
      <x:c r="A343" s="157" t="str">
        <x:v>LUCK</x:v>
      </x:c>
      <x:c r="B343" s="157" t="str">
        <x:v>Return on equity</x:v>
      </x:c>
      <x:c r="C343" s="157" t="str">
        <x:v>FY2024</x:v>
      </x:c>
      <x:c r="D343" s="161" t="n">
        <x:v>0.1893</x:v>
      </x:c>
      <x:c r="E343" s="161" t="n">
        <x:f>LUCK!G165</x:f>
        <x:v>0.19715059997190104</x:v>
      </x:c>
      <x:c r="F343" s="161" t="n">
        <x:f>LUCK!G99/LUCK!G41</x:f>
        <x:v>0.19021586420101122</x:v>
      </x:c>
      <x:c r="G343" s="162" t="str">
        <x:v>PAT / closing equity diagnostic</x:v>
      </x:c>
      <x:c r="H343" s="162" t="str">
        <x:f>IF(AND(ISNUMBER(D343),ISNUMBER(F343)),IF(ROUND(D343,O343)=ROUND(F343,O343),"Reproduced to precision","Unresolved published value"),"Not comparable")</x:f>
        <x:v>Unresolved published value</x:v>
      </x:c>
      <x:c r="I343" s="162" t="str">
        <x:v>The same p166 table reports a separate return on shareholder funds (12.43%,11.90%,9.99%,19.02%,18.81%), which reproduces PAT / closing equity more closely than its ROE series (12.38%,11.93%,10.18%,18.93%,18.50%). Average-equity and consolidated/standalone hypotheses checked; no disclosed common ROE denominator identified.</x:v>
      </x:c>
      <x:c r="J343" s="162" t="str">
        <x:v>FY2025 AR PDF p166</x:v>
      </x:c>
      <x:c r="K343" s="162" t="str">
        <x:v>Added source comparison</x:v>
      </x:c>
      <x:c r="L343" s="162" t="str">
        <x:v>Unresolved published ROE definition</x:v>
      </x:c>
      <x:c r="M343" s="157" t="n">
        <x:f>IF(ISNUMBER(E343),E343-D343,"n/m")</x:f>
        <x:v>0.007850599971901046</x:v>
      </x:c>
      <x:c r="N343" s="157" t="n">
        <x:f>IF(ISNUMBER(F343),F343-D343,"n/m")</x:f>
        <x:v>0.0009158642010112239</x:v>
      </x:c>
      <x:c r="O343" s="157" t="n">
        <x:v>4</x:v>
      </x:c>
    </x:row>
    <x:row r="344" ht="112" customHeight="1">
      <x:c r="A344" s="75" t="str">
        <x:v>LUCK</x:v>
      </x:c>
      <x:c r="B344" s="75" t="str">
        <x:v>Return on equity</x:v>
      </x:c>
      <x:c r="C344" s="75" t="str">
        <x:v>FY2025</x:v>
      </x:c>
      <x:c r="D344" s="160" t="n">
        <x:v>0.185</x:v>
      </x:c>
      <x:c r="E344" s="160" t="n">
        <x:f>LUCK!H165</x:f>
        <x:v>0.2044798130421526</x:v>
      </x:c>
      <x:c r="F344" s="160" t="n">
        <x:f>LUCK!H99/LUCK!H41</x:f>
        <x:v>0.1881194176126028</x:v>
      </x:c>
      <x:c r="G344" s="163" t="str">
        <x:v>PAT / closing equity diagnostic</x:v>
      </x:c>
      <x:c r="H344" s="163" t="str">
        <x:f>IF(AND(ISNUMBER(D344),ISNUMBER(F344)),IF(ROUND(D344,O344)=ROUND(F344,O344),"Reproduced to precision","Unresolved published value"),"Not comparable")</x:f>
        <x:v>Unresolved published value</x:v>
      </x:c>
      <x:c r="I344" s="163" t="str">
        <x:v>The same p166 table reports a separate return on shareholder funds (12.43%,11.90%,9.99%,19.02%,18.81%), which reproduces PAT / closing equity more closely than its ROE series (12.38%,11.93%,10.18%,18.93%,18.50%). Average-equity and consolidated/standalone hypotheses checked; no disclosed common ROE denominator identified.</x:v>
      </x:c>
      <x:c r="J344" s="163" t="str">
        <x:v>FY2025 AR PDF p166</x:v>
      </x:c>
      <x:c r="K344" s="163" t="str">
        <x:v>Added source comparison</x:v>
      </x:c>
      <x:c r="L344" s="163" t="str">
        <x:v>Unresolved published ROE definition</x:v>
      </x:c>
      <x:c r="M344" s="75" t="n">
        <x:f>IF(ISNUMBER(E344),E344-D344,"n/m")</x:f>
        <x:v>0.0194798130421526</x:v>
      </x:c>
      <x:c r="N344" s="75" t="n">
        <x:f>IF(ISNUMBER(F344),F344-D344,"n/m")</x:f>
        <x:v>0.003119417612602815</x:v>
      </x:c>
      <x:c r="O344" s="75" t="n">
        <x:v>4</x:v>
      </x:c>
    </x:row>
    <x:row r="345" ht="112" customHeight="1">
      <x:c r="A345" s="157" t="str">
        <x:v>LUCK</x:v>
      </x:c>
      <x:c r="B345" s="157" t="str">
        <x:v>Book value per share (Rs)</x:v>
      </x:c>
      <x:c r="C345" s="157" t="str">
        <x:v>FY2021</x:v>
      </x:c>
      <x:c r="D345" s="158" t="n">
        <x:v>70.01</x:v>
      </x:c>
      <x:c r="E345" s="158" t="n">
        <x:f>LUCK!D169</x:f>
        <x:v>350.05878005411677</x:v>
      </x:c>
      <x:c r="F345" s="158" t="n">
        <x:f>LUCK!D41/(LUCK!D128+LUCK!D259)/'PSX Prices'!G11</x:f>
        <x:v>70.01175601082335</x:v>
      </x:c>
      <x:c r="G345" s="162" t="str">
        <x:v>Equity / issued shares including treasury held for cancellation; report split basis</x:v>
      </x:c>
      <x:c r="H345" s="162" t="str">
        <x:f>IF(AND(ISNUMBER(D345),ISNUMBER(F345)),IF(ROUND(D345,O345)=ROUND(F345,O345),"Reproduced to precision","Unresolved published value"),"Not comparable")</x:f>
        <x:v>Reproduced to precision</x:v>
      </x:c>
      <x:c r="I345" s="162" t="str">
        <x:v>FY2024 note19 PDF p260 distinguishes cancelled shares from1,536,361 FY2023 treasury shares held for cancellation. Adding this issued treasury block to net outstanding shares reproduces FY2023 published BVPS87.67; all five years agree. Main BVPS continues to exclude treasury shares.</x:v>
      </x:c>
      <x:c r="J345" s="162" t="str">
        <x:v>FY2025 AR PDF p166</x:v>
      </x:c>
      <x:c r="K345" s="162" t="str">
        <x:v>Added source comparison</x:v>
      </x:c>
      <x:c r="L345" s="162" t="str">
        <x:v>Published issued-share rather than treasury-net basis</x:v>
      </x:c>
      <x:c r="M345" s="157" t="n">
        <x:f>IF(ISNUMBER(E345),E345-D345,"n/m")</x:f>
        <x:v>280.0487800541168</x:v>
      </x:c>
      <x:c r="N345" s="157" t="n">
        <x:f>IF(ISNUMBER(F345),F345-D345,"n/m")</x:f>
        <x:v>0.0017560108233425353</x:v>
      </x:c>
      <x:c r="O345" s="157" t="n">
        <x:v>2</x:v>
      </x:c>
    </x:row>
    <x:row r="346" ht="112" customHeight="1">
      <x:c r="A346" s="75" t="str">
        <x:v>LUCK</x:v>
      </x:c>
      <x:c r="B346" s="75" t="str">
        <x:v>Book value per share (Rs)</x:v>
      </x:c>
      <x:c r="C346" s="75" t="str">
        <x:v>FY2022</x:v>
      </x:c>
      <x:c r="D346" s="159" t="n">
        <x:v>79.5</x:v>
      </x:c>
      <x:c r="E346" s="159" t="n">
        <x:f>LUCK!E169</x:f>
        <x:v>397.4961700811751</x:v>
      </x:c>
      <x:c r="F346" s="159" t="n">
        <x:f>LUCK!E41/(LUCK!E128+LUCK!E259)/'PSX Prices'!G12</x:f>
        <x:v>79.49923401623502</x:v>
      </x:c>
      <x:c r="G346" s="163" t="str">
        <x:v>Equity / issued shares including treasury held for cancellation; report split basis</x:v>
      </x:c>
      <x:c r="H346" s="163" t="str">
        <x:f>IF(AND(ISNUMBER(D346),ISNUMBER(F346)),IF(ROUND(D346,O346)=ROUND(F346,O346),"Reproduced to precision","Unresolved published value"),"Not comparable")</x:f>
        <x:v>Reproduced to precision</x:v>
      </x:c>
      <x:c r="I346" s="163" t="str">
        <x:v>FY2024 note19 PDF p260 distinguishes cancelled shares from1,536,361 FY2023 treasury shares held for cancellation. Adding this issued treasury block to net outstanding shares reproduces FY2023 published BVPS87.67; all five years agree. Main BVPS continues to exclude treasury shares.</x:v>
      </x:c>
      <x:c r="J346" s="163" t="str">
        <x:v>FY2025 AR PDF p166</x:v>
      </x:c>
      <x:c r="K346" s="163" t="str">
        <x:v>Added source comparison</x:v>
      </x:c>
      <x:c r="L346" s="163" t="str">
        <x:v>Published issued-share rather than treasury-net basis</x:v>
      </x:c>
      <x:c r="M346" s="75" t="n">
        <x:f>IF(ISNUMBER(E346),E346-D346,"n/m")</x:f>
        <x:v>317.9961700811751</x:v>
      </x:c>
      <x:c r="N346" s="75" t="n">
        <x:f>IF(ISNUMBER(F346),F346-D346,"n/m")</x:f>
        <x:v>-0.000765983764978273</x:v>
      </x:c>
      <x:c r="O346" s="75" t="n">
        <x:v>2</x:v>
      </x:c>
    </x:row>
    <x:row r="347" ht="112" customHeight="1">
      <x:c r="A347" s="157" t="str">
        <x:v>LUCK</x:v>
      </x:c>
      <x:c r="B347" s="157" t="str">
        <x:v>Book value per share (Rs)</x:v>
      </x:c>
      <x:c r="C347" s="157" t="str">
        <x:v>FY2023</x:v>
      </x:c>
      <x:c r="D347" s="158" t="n">
        <x:v>87.67</x:v>
      </x:c>
      <x:c r="E347" s="158" t="n">
        <x:f>LUCK!F169</x:f>
        <x:v>440.50456229600826</x:v>
      </x:c>
      <x:c r="F347" s="158" t="n">
        <x:f>LUCK!F41/(LUCK!F128+LUCK!F259)/'PSX Prices'!G13</x:f>
        <x:v>87.66898641911598</x:v>
      </x:c>
      <x:c r="G347" s="162" t="str">
        <x:v>Equity / issued shares including treasury held for cancellation; report split basis</x:v>
      </x:c>
      <x:c r="H347" s="162" t="str">
        <x:f>IF(AND(ISNUMBER(D347),ISNUMBER(F347)),IF(ROUND(D347,O347)=ROUND(F347,O347),"Reproduced to precision","Unresolved published value"),"Not comparable")</x:f>
        <x:v>Reproduced to precision</x:v>
      </x:c>
      <x:c r="I347" s="162" t="str">
        <x:v>FY2024 note19 PDF p260 distinguishes cancelled shares from1,536,361 FY2023 treasury shares held for cancellation. Adding this issued treasury block to net outstanding shares reproduces FY2023 published BVPS87.67; all five years agree. Main BVPS continues to exclude treasury shares.</x:v>
      </x:c>
      <x:c r="J347" s="162" t="str">
        <x:v>FY2025 AR PDF p166</x:v>
      </x:c>
      <x:c r="K347" s="162" t="str">
        <x:v>Added source comparison</x:v>
      </x:c>
      <x:c r="L347" s="162" t="str">
        <x:v>Published issued-share rather than treasury-net basis</x:v>
      </x:c>
      <x:c r="M347" s="157" t="n">
        <x:f>IF(ISNUMBER(E347),E347-D347,"n/m")</x:f>
        <x:v>352.83456229600824</x:v>
      </x:c>
      <x:c r="N347" s="157" t="n">
        <x:f>IF(ISNUMBER(F347),F347-D347,"n/m")</x:f>
        <x:v>-0.0010135808840203708</x:v>
      </x:c>
      <x:c r="O347" s="157" t="n">
        <x:v>2</x:v>
      </x:c>
    </x:row>
    <x:row r="348" ht="112" customHeight="1">
      <x:c r="A348" s="75" t="str">
        <x:v>LUCK</x:v>
      </x:c>
      <x:c r="B348" s="75" t="str">
        <x:v>Book value per share (Rs)</x:v>
      </x:c>
      <x:c r="C348" s="75" t="str">
        <x:v>FY2024</x:v>
      </x:c>
      <x:c r="D348" s="159" t="n">
        <x:v>100.86</x:v>
      </x:c>
      <x:c r="E348" s="159" t="n">
        <x:f>LUCK!G169</x:f>
        <x:v>504.3046996587031</x:v>
      </x:c>
      <x:c r="F348" s="159" t="n">
        <x:f>LUCK!G41/(LUCK!G128+LUCK!G259)/'PSX Prices'!G14</x:f>
        <x:v>100.86093993174062</x:v>
      </x:c>
      <x:c r="G348" s="163" t="str">
        <x:v>Equity / issued shares including treasury held for cancellation; report split basis</x:v>
      </x:c>
      <x:c r="H348" s="163" t="str">
        <x:f>IF(AND(ISNUMBER(D348),ISNUMBER(F348)),IF(ROUND(D348,O348)=ROUND(F348,O348),"Reproduced to precision","Unresolved published value"),"Not comparable")</x:f>
        <x:v>Reproduced to precision</x:v>
      </x:c>
      <x:c r="I348" s="163" t="str">
        <x:v>FY2024 note19 PDF p260 distinguishes cancelled shares from1,536,361 FY2023 treasury shares held for cancellation. Adding this issued treasury block to net outstanding shares reproduces FY2023 published BVPS87.67; all five years agree. Main BVPS continues to exclude treasury shares.</x:v>
      </x:c>
      <x:c r="J348" s="163" t="str">
        <x:v>FY2025 AR PDF p166</x:v>
      </x:c>
      <x:c r="K348" s="163" t="str">
        <x:v>Added source comparison</x:v>
      </x:c>
      <x:c r="L348" s="163" t="str">
        <x:v>Published issued-share rather than treasury-net basis</x:v>
      </x:c>
      <x:c r="M348" s="75" t="n">
        <x:f>IF(ISNUMBER(E348),E348-D348,"n/m")</x:f>
        <x:v>403.4446996587031</x:v>
      </x:c>
      <x:c r="N348" s="75" t="n">
        <x:f>IF(ISNUMBER(F348),F348-D348,"n/m")</x:f>
        <x:v>0.0009399317406177943</x:v>
      </x:c>
      <x:c r="O348" s="75" t="n">
        <x:v>2</x:v>
      </x:c>
    </x:row>
    <x:row r="349" ht="112" customHeight="1">
      <x:c r="A349" s="157" t="str">
        <x:v>LUCK</x:v>
      </x:c>
      <x:c r="B349" s="157" t="str">
        <x:v>Book value per share (Rs)</x:v>
      </x:c>
      <x:c r="C349" s="157" t="str">
        <x:v>FY2025</x:v>
      </x:c>
      <x:c r="D349" s="158" t="n">
        <x:v>120.08</x:v>
      </x:c>
      <x:c r="E349" s="158" t="n">
        <x:f>LUCK!H169</x:f>
        <x:v>120.07535836177475</x:v>
      </x:c>
      <x:c r="F349" s="158" t="n">
        <x:f>LUCK!H41/(LUCK!H128+LUCK!H259)/'PSX Prices'!G15</x:f>
        <x:v>120.07535836177475</x:v>
      </x:c>
      <x:c r="G349" s="162" t="str">
        <x:v>Equity / issued shares including treasury held for cancellation; report split basis</x:v>
      </x:c>
      <x:c r="H349" s="162" t="str">
        <x:f>IF(AND(ISNUMBER(D349),ISNUMBER(F349)),IF(ROUND(D349,O349)=ROUND(F349,O349),"Reproduced to precision","Unresolved published value"),"Not comparable")</x:f>
        <x:v>Reproduced to precision</x:v>
      </x:c>
      <x:c r="I349" s="162" t="str">
        <x:v>FY2024 note19 PDF p260 distinguishes cancelled shares from1,536,361 FY2023 treasury shares held for cancellation. Adding this issued treasury block to net outstanding shares reproduces FY2023 published BVPS87.67; all five years agree. Main BVPS continues to exclude treasury shares.</x:v>
      </x:c>
      <x:c r="J349" s="162" t="str">
        <x:v>FY2025 AR PDF p166</x:v>
      </x:c>
      <x:c r="K349" s="162" t="str">
        <x:v>Added source comparison</x:v>
      </x:c>
      <x:c r="L349" s="162" t="str">
        <x:v>Published issued-share rather than treasury-net basis</x:v>
      </x:c>
      <x:c r="M349" s="157" t="n">
        <x:f>IF(ISNUMBER(E349),E349-D349,"n/m")</x:f>
        <x:v>-0.004641638225251654</x:v>
      </x:c>
      <x:c r="N349" s="157" t="n">
        <x:f>IF(ISNUMBER(F349),F349-D349,"n/m")</x:f>
        <x:v>-0.004641638225251654</x:v>
      </x:c>
      <x:c r="O349" s="157" t="n">
        <x:v>2</x:v>
      </x:c>
    </x:row>
    <x:row r="350" ht="112" customHeight="1">
      <x:c r="A350" s="75" t="str">
        <x:v>LUCK</x:v>
      </x:c>
      <x:c r="B350" s="75" t="str">
        <x:v>Market-to-book ratio</x:v>
      </x:c>
      <x:c r="C350" s="75" t="str">
        <x:v>FY2021</x:v>
      </x:c>
      <x:c r="D350" s="159" t="n">
        <x:v>2.47</x:v>
      </x:c>
      <x:c r="E350" s="159" t="n">
        <x:f>LUCK!D170</x:f>
        <x:v>2.4665571875286716</x:v>
      </x:c>
      <x:c r="F350" s="159" t="n">
        <x:f>'PSX Prices'!F11/'PSX Prices'!M11</x:f>
        <x:v>2.4666476217683186</x:v>
      </x:c>
      <x:c r="G350" s="163" t="str">
        <x:v>Report price / reported BVPS</x:v>
      </x:c>
      <x:c r="H350" s="163" t="str">
        <x:f>IF(AND(ISNUMBER(D350),ISNUMBER(F350)),IF(ROUND(D350,O350)=ROUND(F350,O350),"Reproduced to precision","Unresolved published value"),"Not comparable")</x:f>
        <x:v>Reproduced to precision</x:v>
      </x:c>
      <x:c r="I350" s="163" t="str">
        <x:v>Tested the source-based convention shown in G against official published precision. Unmatched values remain unresolved; neither the standardized method nor the financial inputs were altered to force agreement.</x:v>
      </x:c>
      <x:c r="J350" s="163" t="str">
        <x:v>FY2025 AR PDF p166</x:v>
      </x:c>
      <x:c r="K350" s="163" t="str">
        <x:v>Added source comparison</x:v>
      </x:c>
      <x:c r="L350" s="163" t="str">
        <x:v>Source comparison</x:v>
      </x:c>
      <x:c r="M350" s="75" t="n">
        <x:f>IF(ISNUMBER(E350),E350-D350,"n/m")</x:f>
        <x:v>-0.0034428124713286046</x:v>
      </x:c>
      <x:c r="N350" s="75" t="n">
        <x:f>IF(ISNUMBER(F350),F350-D350,"n/m")</x:f>
        <x:v>-0.003352378231681552</x:v>
      </x:c>
      <x:c r="O350" s="75" t="n">
        <x:v>2</x:v>
      </x:c>
    </x:row>
    <x:row r="351" ht="112" customHeight="1">
      <x:c r="A351" s="157" t="str">
        <x:v>LUCK</x:v>
      </x:c>
      <x:c r="B351" s="157" t="str">
        <x:v>Market-to-book ratio</x:v>
      </x:c>
      <x:c r="C351" s="157" t="str">
        <x:v>FY2022</x:v>
      </x:c>
      <x:c r="D351" s="158" t="n">
        <x:v>1.15</x:v>
      </x:c>
      <x:c r="E351" s="158" t="n">
        <x:f>LUCK!E170</x:f>
        <x:v>1.154828736856148</x:v>
      </x:c>
      <x:c r="F351" s="158" t="n">
        <x:f>'PSX Prices'!F12/'PSX Prices'!M12</x:f>
        <x:v>1.1548427672955974</x:v>
      </x:c>
      <x:c r="G351" s="162" t="str">
        <x:v>Report price / reported BVPS</x:v>
      </x:c>
      <x:c r="H351" s="162" t="str">
        <x:f>IF(AND(ISNUMBER(D351),ISNUMBER(F351)),IF(ROUND(D351,O351)=ROUND(F351,O351),"Reproduced to precision","Unresolved published value"),"Not comparable")</x:f>
        <x:v>Reproduced to precision</x:v>
      </x:c>
      <x:c r="I351" s="162" t="str">
        <x:v>Tested the source-based convention shown in G against official published precision. Unmatched values remain unresolved; neither the standardized method nor the financial inputs were altered to force agreement.</x:v>
      </x:c>
      <x:c r="J351" s="162" t="str">
        <x:v>FY2025 AR PDF p166</x:v>
      </x:c>
      <x:c r="K351" s="162" t="str">
        <x:v>Added source comparison</x:v>
      </x:c>
      <x:c r="L351" s="162" t="str">
        <x:v>Source comparison</x:v>
      </x:c>
      <x:c r="M351" s="157" t="n">
        <x:f>IF(ISNUMBER(E351),E351-D351,"n/m")</x:f>
        <x:v>0.0048287368561481525</x:v>
      </x:c>
      <x:c r="N351" s="157" t="n">
        <x:f>IF(ISNUMBER(F351),F351-D351,"n/m")</x:f>
        <x:v>0.0048427672955975165</x:v>
      </x:c>
      <x:c r="O351" s="157" t="n">
        <x:v>2</x:v>
      </x:c>
    </x:row>
    <x:row r="352" ht="112" customHeight="1">
      <x:c r="A352" s="75" t="str">
        <x:v>LUCK</x:v>
      </x:c>
      <x:c r="B352" s="75" t="str">
        <x:v>Market-to-book ratio</x:v>
      </x:c>
      <x:c r="C352" s="75" t="str">
        <x:v>FY2023</x:v>
      </x:c>
      <x:c r="D352" s="159" t="n">
        <x:v>1.19</x:v>
      </x:c>
      <x:c r="E352" s="159" t="n">
        <x:f>LUCK!F170</x:f>
        <x:v>1.185209064075864</x:v>
      </x:c>
      <x:c r="F352" s="159" t="n">
        <x:f>'PSX Prices'!F13/'PSX Prices'!M13</x:f>
        <x:v>1.1910573742443253</x:v>
      </x:c>
      <x:c r="G352" s="163" t="str">
        <x:v>Report price / reported BVPS</x:v>
      </x:c>
      <x:c r="H352" s="163" t="str">
        <x:f>IF(AND(ISNUMBER(D352),ISNUMBER(F352)),IF(ROUND(D352,O352)=ROUND(F352,O352),"Reproduced to precision","Unresolved published value"),"Not comparable")</x:f>
        <x:v>Reproduced to precision</x:v>
      </x:c>
      <x:c r="I352" s="163" t="str">
        <x:v>Tested the source-based convention shown in G against official published precision. Unmatched values remain unresolved; neither the standardized method nor the financial inputs were altered to force agreement.</x:v>
      </x:c>
      <x:c r="J352" s="163" t="str">
        <x:v>FY2025 AR PDF p166</x:v>
      </x:c>
      <x:c r="K352" s="163" t="str">
        <x:v>Added source comparison</x:v>
      </x:c>
      <x:c r="L352" s="163" t="str">
        <x:v>Source comparison</x:v>
      </x:c>
      <x:c r="M352" s="75" t="n">
        <x:f>IF(ISNUMBER(E352),E352-D352,"n/m")</x:f>
        <x:v>-0.004790935924136042</x:v>
      </x:c>
      <x:c r="N352" s="75" t="n">
        <x:f>IF(ISNUMBER(F352),F352-D352,"n/m")</x:f>
        <x:v>0.001057374244325393</x:v>
      </x:c>
      <x:c r="O352" s="75" t="n">
        <x:v>2</x:v>
      </x:c>
    </x:row>
    <x:row r="353" ht="112" customHeight="1">
      <x:c r="A353" s="157" t="str">
        <x:v>LUCK</x:v>
      </x:c>
      <x:c r="B353" s="157" t="str">
        <x:v>Market-to-book ratio</x:v>
      </x:c>
      <x:c r="C353" s="157" t="str">
        <x:v>FY2024</x:v>
      </x:c>
      <x:c r="D353" s="158" t="n">
        <x:v>1.8</x:v>
      </x:c>
      <x:c r="E353" s="158" t="n">
        <x:f>LUCK!G170</x:f>
        <x:v>1.7979804681845026</x:v>
      </x:c>
      <x:c r="F353" s="158" t="n">
        <x:f>'PSX Prices'!F14/'PSX Prices'!M14</x:f>
        <x:v>1.7980368828078523</x:v>
      </x:c>
      <x:c r="G353" s="162" t="str">
        <x:v>Report price / reported BVPS</x:v>
      </x:c>
      <x:c r="H353" s="162" t="str">
        <x:f>IF(AND(ISNUMBER(D353),ISNUMBER(F353)),IF(ROUND(D353,O353)=ROUND(F353,O353),"Reproduced to precision","Unresolved published value"),"Not comparable")</x:f>
        <x:v>Reproduced to precision</x:v>
      </x:c>
      <x:c r="I353" s="162" t="str">
        <x:v>Tested the source-based convention shown in G against official published precision. Unmatched values remain unresolved; neither the standardized method nor the financial inputs were altered to force agreement.</x:v>
      </x:c>
      <x:c r="J353" s="162" t="str">
        <x:v>FY2025 AR PDF p166</x:v>
      </x:c>
      <x:c r="K353" s="162" t="str">
        <x:v>Added source comparison</x:v>
      </x:c>
      <x:c r="L353" s="162" t="str">
        <x:v>Source comparison</x:v>
      </x:c>
      <x:c r="M353" s="157" t="n">
        <x:f>IF(ISNUMBER(E353),E353-D353,"n/m")</x:f>
        <x:v>-0.0020195318154974107</x:v>
      </x:c>
      <x:c r="N353" s="157" t="n">
        <x:f>IF(ISNUMBER(F353),F353-D353,"n/m")</x:f>
        <x:v>-0.001963117192147701</x:v>
      </x:c>
      <x:c r="O353" s="157" t="n">
        <x:v>2</x:v>
      </x:c>
    </x:row>
    <x:row r="354" ht="112" customHeight="1">
      <x:c r="A354" s="75" t="str">
        <x:v>LUCK</x:v>
      </x:c>
      <x:c r="B354" s="75" t="str">
        <x:v>Market-to-book ratio</x:v>
      </x:c>
      <x:c r="C354" s="75" t="str">
        <x:v>FY2025</x:v>
      </x:c>
      <x:c r="D354" s="159" t="n">
        <x:v>2.96</x:v>
      </x:c>
      <x:c r="E354" s="159" t="n">
        <x:f>LUCK!H170</x:f>
        <x:v>2.9584754511387614</x:v>
      </x:c>
      <x:c r="F354" s="159" t="n">
        <x:f>'PSX Prices'!F15/'PSX Prices'!M15</x:f>
        <x:v>2.95836109260493</x:v>
      </x:c>
      <x:c r="G354" s="163" t="str">
        <x:v>Report price / reported BVPS</x:v>
      </x:c>
      <x:c r="H354" s="163" t="str">
        <x:f>IF(AND(ISNUMBER(D354),ISNUMBER(F354)),IF(ROUND(D354,O354)=ROUND(F354,O354),"Reproduced to precision","Unresolved published value"),"Not comparable")</x:f>
        <x:v>Reproduced to precision</x:v>
      </x:c>
      <x:c r="I354" s="163" t="str">
        <x:v>Tested the source-based convention shown in G against official published precision. Unmatched values remain unresolved; neither the standardized method nor the financial inputs were altered to force agreement.</x:v>
      </x:c>
      <x:c r="J354" s="163" t="str">
        <x:v>FY2025 AR PDF p166</x:v>
      </x:c>
      <x:c r="K354" s="163" t="str">
        <x:v>Added source comparison</x:v>
      </x:c>
      <x:c r="L354" s="163" t="str">
        <x:v>Source comparison</x:v>
      </x:c>
      <x:c r="M354" s="75" t="n">
        <x:f>IF(ISNUMBER(E354),E354-D354,"n/m")</x:f>
        <x:v>-0.0015245488612385394</x:v>
      </x:c>
      <x:c r="N354" s="75" t="n">
        <x:f>IF(ISNUMBER(F354),F354-D354,"n/m")</x:f>
        <x:v>-0.0016389073950699995</x:v>
      </x:c>
      <x:c r="O354" s="75" t="n">
        <x:v>2</x:v>
      </x:c>
    </x:row>
    <x:row r="355" ht="112" customHeight="1">
      <x:c r="A355" s="157" t="str">
        <x:v>LUCK</x:v>
      </x:c>
      <x:c r="B355" s="157" t="str">
        <x:v>Dividend yield</x:v>
      </x:c>
      <x:c r="C355" s="157" t="str">
        <x:v>FY2021</x:v>
      </x:c>
      <x:c r="D355" s="161" t="n">
        <x:v>0</x:v>
      </x:c>
      <x:c r="E355" s="161" t="n">
        <x:f>LUCK!D173</x:f>
        <x:v>0</x:v>
      </x:c>
      <x:c r="F355" s="161" t="n">
        <x:f>'PSX Prices'!N11/'PSX Prices'!F11</x:f>
        <x:v>0</x:v>
      </x:c>
      <x:c r="G355" s="162" t="str">
        <x:v>Report DPS / report price</x:v>
      </x:c>
      <x:c r="H355" s="162" t="str">
        <x:f>IF(AND(ISNUMBER(D355),ISNUMBER(F355)),IF(ROUND(D355,O355)=ROUND(F355,O355),"Reproduced to precision","Unresolved published value"),"Not comparable")</x:f>
        <x:v>Reproduced to precision</x:v>
      </x:c>
      <x:c r="I355" s="162" t="str">
        <x:v>Tested the source-based convention shown in G against official published precision. Unmatched values remain unresolved; neither the standardized method nor the financial inputs were altered to force agreement.</x:v>
      </x:c>
      <x:c r="J355" s="162" t="str">
        <x:v>FY2025 AR PDF p166</x:v>
      </x:c>
      <x:c r="K355" s="162" t="str">
        <x:v>Added source comparison</x:v>
      </x:c>
      <x:c r="L355" s="162" t="str">
        <x:v>Source comparison</x:v>
      </x:c>
      <x:c r="M355" s="157" t="n">
        <x:f>IF(ISNUMBER(E355),E355-D355,"n/m")</x:f>
        <x:v>0</x:v>
      </x:c>
      <x:c r="N355" s="157" t="n">
        <x:f>IF(ISNUMBER(F355),F355-D355,"n/m")</x:f>
        <x:v>0</x:v>
      </x:c>
      <x:c r="O355" s="157" t="n">
        <x:v>4</x:v>
      </x:c>
    </x:row>
    <x:row r="356" ht="112" customHeight="1">
      <x:c r="A356" s="75" t="str">
        <x:v>LUCK</x:v>
      </x:c>
      <x:c r="B356" s="75" t="str">
        <x:v>Dividend yield</x:v>
      </x:c>
      <x:c r="C356" s="75" t="str">
        <x:v>FY2022</x:v>
      </x:c>
      <x:c r="D356" s="160" t="n">
        <x:v>0</x:v>
      </x:c>
      <x:c r="E356" s="160" t="n">
        <x:f>LUCK!E173</x:f>
        <x:v>0</x:v>
      </x:c>
      <x:c r="F356" s="160" t="n">
        <x:f>'PSX Prices'!N12/'PSX Prices'!F12</x:f>
        <x:v>0</x:v>
      </x:c>
      <x:c r="G356" s="163" t="str">
        <x:v>Report DPS / report price</x:v>
      </x:c>
      <x:c r="H356" s="163" t="str">
        <x:f>IF(AND(ISNUMBER(D356),ISNUMBER(F356)),IF(ROUND(D356,O356)=ROUND(F356,O356),"Reproduced to precision","Unresolved published value"),"Not comparable")</x:f>
        <x:v>Reproduced to precision</x:v>
      </x:c>
      <x:c r="I356" s="163" t="str">
        <x:v>Tested the source-based convention shown in G against official published precision. Unmatched values remain unresolved; neither the standardized method nor the financial inputs were altered to force agreement.</x:v>
      </x:c>
      <x:c r="J356" s="163" t="str">
        <x:v>FY2025 AR PDF p166</x:v>
      </x:c>
      <x:c r="K356" s="163" t="str">
        <x:v>Added source comparison</x:v>
      </x:c>
      <x:c r="L356" s="163" t="str">
        <x:v>Source comparison</x:v>
      </x:c>
      <x:c r="M356" s="75" t="n">
        <x:f>IF(ISNUMBER(E356),E356-D356,"n/m")</x:f>
        <x:v>0</x:v>
      </x:c>
      <x:c r="N356" s="75" t="n">
        <x:f>IF(ISNUMBER(F356),F356-D356,"n/m")</x:f>
        <x:v>0</x:v>
      </x:c>
      <x:c r="O356" s="75" t="n">
        <x:v>4</x:v>
      </x:c>
    </x:row>
    <x:row r="357" ht="112" customHeight="1">
      <x:c r="A357" s="157" t="str">
        <x:v>LUCK</x:v>
      </x:c>
      <x:c r="B357" s="157" t="str">
        <x:v>Dividend yield</x:v>
      </x:c>
      <x:c r="C357" s="157" t="str">
        <x:v>FY2023</x:v>
      </x:c>
      <x:c r="D357" s="161" t="n">
        <x:v>0.0345</x:v>
      </x:c>
      <x:c r="E357" s="161" t="n">
        <x:f>LUCK!F173</x:f>
        <x:v>0.034476814342354764</x:v>
      </x:c>
      <x:c r="F357" s="161" t="n">
        <x:f>'PSX Prices'!N13/'PSX Prices'!F13</x:f>
        <x:v>0.034476153993487836</x:v>
      </x:c>
      <x:c r="G357" s="162" t="str">
        <x:v>Report DPS / report price</x:v>
      </x:c>
      <x:c r="H357" s="162" t="str">
        <x:f>IF(AND(ISNUMBER(D357),ISNUMBER(F357)),IF(ROUND(D357,O357)=ROUND(F357,O357),"Reproduced to precision","Unresolved published value"),"Not comparable")</x:f>
        <x:v>Reproduced to precision</x:v>
      </x:c>
      <x:c r="I357" s="162" t="str">
        <x:v>Tested the source-based convention shown in G against official published precision. Unmatched values remain unresolved; neither the standardized method nor the financial inputs were altered to force agreement.</x:v>
      </x:c>
      <x:c r="J357" s="162" t="str">
        <x:v>FY2025 AR PDF p166</x:v>
      </x:c>
      <x:c r="K357" s="162" t="str">
        <x:v>Added source comparison</x:v>
      </x:c>
      <x:c r="L357" s="162" t="str">
        <x:v>Source comparison</x:v>
      </x:c>
      <x:c r="M357" s="157" t="n">
        <x:f>IF(ISNUMBER(E357),E357-D357,"n/m")</x:f>
        <x:v>-0.000023185657645238833</x:v>
      </x:c>
      <x:c r="N357" s="157" t="n">
        <x:f>IF(ISNUMBER(F357),F357-D357,"n/m")</x:f>
        <x:v>-0.000023846006512166784</x:v>
      </x:c>
      <x:c r="O357" s="157" t="n">
        <x:v>4</x:v>
      </x:c>
    </x:row>
    <x:row r="358" ht="112" customHeight="1">
      <x:c r="A358" s="75" t="str">
        <x:v>LUCK</x:v>
      </x:c>
      <x:c r="B358" s="75" t="str">
        <x:v>Dividend yield</x:v>
      </x:c>
      <x:c r="C358" s="75" t="str">
        <x:v>FY2024</x:v>
      </x:c>
      <x:c r="D358" s="160" t="n">
        <x:v>0.0165</x:v>
      </x:c>
      <x:c r="E358" s="160" t="n">
        <x:f>LUCK!G173</x:f>
        <x:v>0.016542962072502287</x:v>
      </x:c>
      <x:c r="F358" s="160" t="n">
        <x:f>'PSX Prices'!N14/'PSX Prices'!F14</x:f>
        <x:v>0.016542597187758478</x:v>
      </x:c>
      <x:c r="G358" s="163" t="str">
        <x:v>Report DPS / report price</x:v>
      </x:c>
      <x:c r="H358" s="163" t="str">
        <x:f>IF(AND(ISNUMBER(D358),ISNUMBER(F358)),IF(ROUND(D358,O358)=ROUND(F358,O358),"Reproduced to precision","Unresolved published value"),"Not comparable")</x:f>
        <x:v>Reproduced to precision</x:v>
      </x:c>
      <x:c r="I358" s="163" t="str">
        <x:v>Tested the source-based convention shown in G against official published precision. Unmatched values remain unresolved; neither the standardized method nor the financial inputs were altered to force agreement.</x:v>
      </x:c>
      <x:c r="J358" s="163" t="str">
        <x:v>FY2025 AR PDF p166</x:v>
      </x:c>
      <x:c r="K358" s="163" t="str">
        <x:v>Added source comparison</x:v>
      </x:c>
      <x:c r="L358" s="163" t="str">
        <x:v>Source comparison</x:v>
      </x:c>
      <x:c r="M358" s="75" t="n">
        <x:f>IF(ISNUMBER(E358),E358-D358,"n/m")</x:f>
        <x:v>0.00004296207250228598</x:v>
      </x:c>
      <x:c r="N358" s="75" t="n">
        <x:f>IF(ISNUMBER(F358),F358-D358,"n/m")</x:f>
        <x:v>0.00004259718775847729</x:v>
      </x:c>
      <x:c r="O358" s="75" t="n">
        <x:v>4</x:v>
      </x:c>
    </x:row>
    <x:row r="359" ht="112" customHeight="1">
      <x:c r="A359" s="157" t="str">
        <x:v>LUCK</x:v>
      </x:c>
      <x:c r="B359" s="157" t="str">
        <x:v>Dividend yield</x:v>
      </x:c>
      <x:c r="C359" s="157" t="str">
        <x:v>FY2025</x:v>
      </x:c>
      <x:c r="D359" s="161" t="n">
        <x:v>0.0113</x:v>
      </x:c>
      <x:c r="E359" s="161" t="n">
        <x:f>LUCK!H173</x:f>
        <x:v>0.011259993244004052</x:v>
      </x:c>
      <x:c r="F359" s="161" t="n">
        <x:f>'PSX Prices'!N15/'PSX Prices'!F15</x:f>
        <x:v>0.011259993244004052</x:v>
      </x:c>
      <x:c r="G359" s="162" t="str">
        <x:v>Report DPS / report price</x:v>
      </x:c>
      <x:c r="H359" s="162" t="str">
        <x:f>IF(AND(ISNUMBER(D359),ISNUMBER(F359)),IF(ROUND(D359,O359)=ROUND(F359,O359),"Reproduced to precision","Unresolved published value"),"Not comparable")</x:f>
        <x:v>Reproduced to precision</x:v>
      </x:c>
      <x:c r="I359" s="162" t="str">
        <x:v>Tested the source-based convention shown in G against official published precision. Unmatched values remain unresolved; neither the standardized method nor the financial inputs were altered to force agreement.</x:v>
      </x:c>
      <x:c r="J359" s="162" t="str">
        <x:v>FY2025 AR PDF p166</x:v>
      </x:c>
      <x:c r="K359" s="162" t="str">
        <x:v>Added source comparison</x:v>
      </x:c>
      <x:c r="L359" s="162" t="str">
        <x:v>Source comparison</x:v>
      </x:c>
      <x:c r="M359" s="157" t="n">
        <x:f>IF(ISNUMBER(E359),E359-D359,"n/m")</x:f>
        <x:v>-0.000040006755995946816</x:v>
      </x:c>
      <x:c r="N359" s="157" t="n">
        <x:f>IF(ISNUMBER(F359),F359-D359,"n/m")</x:f>
        <x:v>-0.000040006755995946816</x:v>
      </x:c>
      <x:c r="O359" s="157" t="n">
        <x:v>4</x:v>
      </x:c>
    </x:row>
    <x:row r="360" ht="112" customHeight="1">
      <x:c r="A360" s="75" t="str">
        <x:v>LUCK</x:v>
      </x:c>
      <x:c r="B360" s="75" t="str">
        <x:v>Dividend payout ratio</x:v>
      </x:c>
      <x:c r="C360" s="75" t="str">
        <x:v>FY2021</x:v>
      </x:c>
      <x:c r="D360" s="160" t="n">
        <x:v>0</x:v>
      </x:c>
      <x:c r="E360" s="160" t="n">
        <x:f>LUCK!D174</x:f>
        <x:v>0</x:v>
      </x:c>
      <x:c r="F360" s="160" t="n">
        <x:f>'PSX Prices'!N11/'PSX Prices'!L11</x:f>
        <x:v>0</x:v>
      </x:c>
      <x:c r="G360" s="163" t="str">
        <x:v>Published report price or DPS / printed summary EPS</x:v>
      </x:c>
      <x:c r="H360" s="163" t="str">
        <x:f>IF(AND(ISNUMBER(D360),ISNUMBER(F360)),IF(ROUND(D360,O360)=ROUND(F360,O360),"Reproduced to precision","Unresolved published value"),"Not comparable")</x:f>
        <x:v>Reproduced to precision</x:v>
      </x:c>
      <x:c r="I360" s="163" t="str">
        <x:v>Company summary uses its printed EPS. FY2023 summary EPS8.49 conflicts with own-year audited EPS43.06/5=8.612. Reconstruction of the summary does not resolve that EPS source conflict; standardized financial and share basis retained.</x:v>
      </x:c>
      <x:c r="J360" s="163" t="str">
        <x:v>FY2025 AR PDF p166</x:v>
      </x:c>
      <x:c r="K360" s="163" t="str">
        <x:v>Added source comparison</x:v>
      </x:c>
      <x:c r="L360" s="163" t="str">
        <x:v>Source comparison</x:v>
      </x:c>
      <x:c r="M360" s="75" t="n">
        <x:f>IF(ISNUMBER(E360),E360-D360,"n/m")</x:f>
        <x:v>0</x:v>
      </x:c>
      <x:c r="N360" s="75" t="n">
        <x:f>IF(ISNUMBER(F360),F360-D360,"n/m")</x:f>
        <x:v>0</x:v>
      </x:c>
      <x:c r="O360" s="75" t="n">
        <x:v>4</x:v>
      </x:c>
    </x:row>
    <x:row r="361" ht="112" customHeight="1">
      <x:c r="A361" s="157" t="str">
        <x:v>LUCK</x:v>
      </x:c>
      <x:c r="B361" s="157" t="str">
        <x:v>Dividend payout ratio</x:v>
      </x:c>
      <x:c r="C361" s="157" t="str">
        <x:v>FY2022</x:v>
      </x:c>
      <x:c r="D361" s="161" t="n">
        <x:v>0</x:v>
      </x:c>
      <x:c r="E361" s="161" t="n">
        <x:f>LUCK!E174</x:f>
        <x:v>0</x:v>
      </x:c>
      <x:c r="F361" s="161" t="n">
        <x:f>'PSX Prices'!N12/'PSX Prices'!L12</x:f>
        <x:v>0</x:v>
      </x:c>
      <x:c r="G361" s="162" t="str">
        <x:v>Published report price or DPS / printed summary EPS</x:v>
      </x:c>
      <x:c r="H361" s="162" t="str">
        <x:f>IF(AND(ISNUMBER(D361),ISNUMBER(F361)),IF(ROUND(D361,O361)=ROUND(F361,O361),"Reproduced to precision","Unresolved published value"),"Not comparable")</x:f>
        <x:v>Reproduced to precision</x:v>
      </x:c>
      <x:c r="I361" s="162" t="str">
        <x:v>Company summary uses its printed EPS. FY2023 summary EPS8.49 conflicts with own-year audited EPS43.06/5=8.612. Reconstruction of the summary does not resolve that EPS source conflict; standardized financial and share basis retained.</x:v>
      </x:c>
      <x:c r="J361" s="162" t="str">
        <x:v>FY2025 AR PDF p166</x:v>
      </x:c>
      <x:c r="K361" s="162" t="str">
        <x:v>Added source comparison</x:v>
      </x:c>
      <x:c r="L361" s="162" t="str">
        <x:v>Source comparison</x:v>
      </x:c>
      <x:c r="M361" s="157" t="n">
        <x:f>IF(ISNUMBER(E361),E361-D361,"n/m")</x:f>
        <x:v>0</x:v>
      </x:c>
      <x:c r="N361" s="157" t="n">
        <x:f>IF(ISNUMBER(F361),F361-D361,"n/m")</x:f>
        <x:v>0</x:v>
      </x:c>
      <x:c r="O361" s="157" t="n">
        <x:v>4</x:v>
      </x:c>
    </x:row>
    <x:row r="362" ht="112" customHeight="1">
      <x:c r="A362" s="75" t="str">
        <x:v>LUCK</x:v>
      </x:c>
      <x:c r="B362" s="75" t="str">
        <x:v>Dividend payout ratio</x:v>
      </x:c>
      <x:c r="C362" s="75" t="str">
        <x:v>FY2023</x:v>
      </x:c>
      <x:c r="D362" s="160" t="n">
        <x:v>0.4241</x:v>
      </x:c>
      <x:c r="E362" s="160" t="n">
        <x:f>LUCK!F174</x:f>
        <x:v>0.4180066843394498</x:v>
      </x:c>
      <x:c r="F362" s="160" t="n">
        <x:f>'PSX Prices'!N13/'PSX Prices'!L13</x:f>
        <x:v>0.42402826855123676</x:v>
      </x:c>
      <x:c r="G362" s="163" t="str">
        <x:v>Published report price or DPS / printed summary EPS</x:v>
      </x:c>
      <x:c r="H362" s="163" t="str">
        <x:f>IF(AND(ISNUMBER(D362),ISNUMBER(F362)),IF(ROUND(D362,O362)=ROUND(F362,O362),"Reproduced to precision","Unresolved published value"),"Not comparable")</x:f>
        <x:v>Unresolved published value</x:v>
      </x:c>
      <x:c r="I362" s="163" t="str">
        <x:v>Company summary uses its printed EPS. FY2023 summary EPS8.49 conflicts with own-year audited EPS43.06/5=8.612. Reconstruction of the summary does not resolve that EPS source conflict; standardized financial and share basis retained.</x:v>
      </x:c>
      <x:c r="J362" s="163" t="str">
        <x:v>FY2025 AR PDF p166</x:v>
      </x:c>
      <x:c r="K362" s="163" t="str">
        <x:v>Added source comparison</x:v>
      </x:c>
      <x:c r="L362" s="163" t="str">
        <x:v>Source comparison</x:v>
      </x:c>
      <x:c r="M362" s="75" t="n">
        <x:f>IF(ISNUMBER(E362),E362-D362,"n/m")</x:f>
        <x:v>-0.006093315660550158</x:v>
      </x:c>
      <x:c r="N362" s="75" t="n">
        <x:f>IF(ISNUMBER(F362),F362-D362,"n/m")</x:f>
        <x:v>-0.00007173144876321258</x:v>
      </x:c>
      <x:c r="O362" s="75" t="n">
        <x:v>4</x:v>
      </x:c>
    </x:row>
    <x:row r="363" ht="112" customHeight="1">
      <x:c r="A363" s="157" t="str">
        <x:v>LUCK</x:v>
      </x:c>
      <x:c r="B363" s="157" t="str">
        <x:v>Dividend payout ratio</x:v>
      </x:c>
      <x:c r="C363" s="157" t="str">
        <x:v>FY2024</x:v>
      </x:c>
      <x:c r="D363" s="161" t="n">
        <x:v>0.1587</x:v>
      </x:c>
      <x:c r="E363" s="161" t="n">
        <x:f>LUCK!G174</x:f>
        <x:v>0.1586620110003583</x:v>
      </x:c>
      <x:c r="F363" s="161" t="n">
        <x:f>'PSX Prices'!N14/'PSX Prices'!L14</x:f>
        <x:v>0.15864621893178213</x:v>
      </x:c>
      <x:c r="G363" s="162" t="str">
        <x:v>Published report price or DPS / printed summary EPS</x:v>
      </x:c>
      <x:c r="H363" s="162" t="str">
        <x:f>IF(AND(ISNUMBER(D363),ISNUMBER(F363)),IF(ROUND(D363,O363)=ROUND(F363,O363),"Reproduced to precision","Unresolved published value"),"Not comparable")</x:f>
        <x:v>Unresolved published value</x:v>
      </x:c>
      <x:c r="I363" s="162" t="str">
        <x:v>Company summary uses its printed EPS. FY2023 summary EPS8.49 conflicts with own-year audited EPS43.06/5=8.612. Reconstruction of the summary does not resolve that EPS source conflict; standardized financial and share basis retained.</x:v>
      </x:c>
      <x:c r="J363" s="162" t="str">
        <x:v>FY2025 AR PDF p166</x:v>
      </x:c>
      <x:c r="K363" s="162" t="str">
        <x:v>Added source comparison</x:v>
      </x:c>
      <x:c r="L363" s="162" t="str">
        <x:v>Source comparison</x:v>
      </x:c>
      <x:c r="M363" s="157" t="n">
        <x:f>IF(ISNUMBER(E363),E363-D363,"n/m")</x:f>
        <x:v>-0.00003798899964171931</x:v>
      </x:c>
      <x:c r="N363" s="157" t="n">
        <x:f>IF(ISNUMBER(F363),F363-D363,"n/m")</x:f>
        <x:v>-0.000053781068217878536</x:v>
      </x:c>
      <x:c r="O363" s="157" t="n">
        <x:v>4</x:v>
      </x:c>
    </x:row>
    <x:row r="364" ht="112" customHeight="1">
      <x:c r="A364" s="75" t="str">
        <x:v>LUCK</x:v>
      </x:c>
      <x:c r="B364" s="75" t="str">
        <x:v>Dividend payout ratio</x:v>
      </x:c>
      <x:c r="C364" s="75" t="str">
        <x:v>FY2025</x:v>
      </x:c>
      <x:c r="D364" s="160" t="n">
        <x:v>0.1771</x:v>
      </x:c>
      <x:c r="E364" s="160" t="n">
        <x:f>LUCK!H174</x:f>
        <x:v>0.17708120732637533</x:v>
      </x:c>
      <x:c r="F364" s="160" t="n">
        <x:f>'PSX Prices'!N15/'PSX Prices'!L15</x:f>
        <x:v>0.17706949977866313</x:v>
      </x:c>
      <x:c r="G364" s="163" t="str">
        <x:v>Published report price or DPS / printed summary EPS</x:v>
      </x:c>
      <x:c r="H364" s="163" t="str">
        <x:f>IF(AND(ISNUMBER(D364),ISNUMBER(F364)),IF(ROUND(D364,O364)=ROUND(F364,O364),"Reproduced to precision","Unresolved published value"),"Not comparable")</x:f>
        <x:v>Reproduced to precision</x:v>
      </x:c>
      <x:c r="I364" s="163" t="str">
        <x:v>Company summary uses its printed EPS. FY2023 summary EPS8.49 conflicts with own-year audited EPS43.06/5=8.612. Reconstruction of the summary does not resolve that EPS source conflict; standardized financial and share basis retained.</x:v>
      </x:c>
      <x:c r="J364" s="163" t="str">
        <x:v>FY2025 AR PDF p166</x:v>
      </x:c>
      <x:c r="K364" s="163" t="str">
        <x:v>Added source comparison</x:v>
      </x:c>
      <x:c r="L364" s="163" t="str">
        <x:v>Source comparison</x:v>
      </x:c>
      <x:c r="M364" s="75" t="n">
        <x:f>IF(ISNUMBER(E364),E364-D364,"n/m")</x:f>
        <x:v>-0.000018792673624673517</x:v>
      </x:c>
      <x:c r="N364" s="75" t="n">
        <x:f>IF(ISNUMBER(F364),F364-D364,"n/m")</x:f>
        <x:v>-0.000030500221336882127</x:v>
      </x:c>
      <x:c r="O364" s="75" t="n">
        <x:v>4</x:v>
      </x:c>
    </x:row>
    <x:row r="365" ht="112" customHeight="1">
      <x:c r="A365" s="157" t="str">
        <x:v>DGKC</x:v>
      </x:c>
      <x:c r="B365" s="157" t="str">
        <x:v>Cash ratio</x:v>
      </x:c>
      <x:c r="C365" s="157" t="str">
        <x:v>FY2021</x:v>
      </x:c>
      <x:c r="D365" s="158" t="n">
        <x:v>0.33</x:v>
      </x:c>
      <x:c r="E365" s="158" t="n">
        <x:f>DGKC!D140</x:f>
        <x:v>0.020011480184397672</x:v>
      </x:c>
      <x:c r="F365" s="158" t="n">
        <x:f>DGKC!D34/DGKC!D61</x:f>
        <x:v>0.020011480184397672</x:v>
      </x:c>
      <x:c r="G365" s="162" t="str">
        <x:v>Cash and bank / CL</x:v>
      </x:c>
      <x:c r="H365" s="162" t="str">
        <x:f>IF(AND(ISNUMBER(D365),ISNUMBER(F365)),IF(ROUND(D365,O365)=ROUND(F365,O365),"Reproduced to precision","Unresolved published value"),"Not comparable")</x:f>
        <x:v>Unresolved published value</x:v>
      </x:c>
      <x:c r="I365" s="162" t="str">
        <x:v>FY2022–25 published values reproduce using cash/bank only. FY2021 changes from 0.02 in its own report to 0.33 in later six-year summaries, while source cash/bank stays unchanged. Inclusion of liquid investments is a hypothesis; no official consistent revised numerator disclosed.</x:v>
      </x:c>
      <x:c r="J365" s="162" t="str">
        <x:v>FY2025 AR PDF p108</x:v>
      </x:c>
      <x:c r="K365" s="162" t="str">
        <x:v>Added source comparison</x:v>
      </x:c>
      <x:c r="L365" s="162" t="str">
        <x:v>Official historical-series conflict (FY2021)</x:v>
      </x:c>
      <x:c r="M365" s="157" t="n">
        <x:f>IF(ISNUMBER(E365),E365-D365,"n/m")</x:f>
        <x:v>-0.3099885198156023</x:v>
      </x:c>
      <x:c r="N365" s="157" t="n">
        <x:f>IF(ISNUMBER(F365),F365-D365,"n/m")</x:f>
        <x:v>-0.3099885198156023</x:v>
      </x:c>
      <x:c r="O365" s="157" t="n">
        <x:v>2</x:v>
      </x:c>
    </x:row>
    <x:row r="366" ht="112" customHeight="1">
      <x:c r="A366" s="75" t="str">
        <x:v>DGKC</x:v>
      </x:c>
      <x:c r="B366" s="75" t="str">
        <x:v>Cash ratio</x:v>
      </x:c>
      <x:c r="C366" s="75" t="str">
        <x:v>FY2022</x:v>
      </x:c>
      <x:c r="D366" s="159" t="n">
        <x:v>0.01</x:v>
      </x:c>
      <x:c r="E366" s="159" t="n">
        <x:f>DGKC!E140</x:f>
        <x:v>0.008913248794490819</x:v>
      </x:c>
      <x:c r="F366" s="159" t="n">
        <x:f>DGKC!E34/DGKC!E61</x:f>
        <x:v>0.008913248794490819</x:v>
      </x:c>
      <x:c r="G366" s="163" t="str">
        <x:v>Cash and bank / CL</x:v>
      </x:c>
      <x:c r="H366" s="163" t="str">
        <x:f>IF(AND(ISNUMBER(D366),ISNUMBER(F366)),IF(ROUND(D366,O366)=ROUND(F366,O366),"Reproduced to precision","Unresolved published value"),"Not comparable")</x:f>
        <x:v>Reproduced to precision</x:v>
      </x:c>
      <x:c r="I366" s="163" t="str">
        <x:v>FY2022–25 published values reproduce using cash/bank only. FY2021 changes from 0.02 in its own report to 0.33 in later six-year summaries, while source cash/bank stays unchanged. Inclusion of liquid investments is a hypothesis; no official consistent revised numerator disclosed.</x:v>
      </x:c>
      <x:c r="J366" s="163" t="str">
        <x:v>FY2025 AR PDF p108</x:v>
      </x:c>
      <x:c r="K366" s="163" t="str">
        <x:v>Added source comparison</x:v>
      </x:c>
      <x:c r="L366" s="163" t="str">
        <x:v>Official historical-series conflict (FY2021)</x:v>
      </x:c>
      <x:c r="M366" s="75" t="n">
        <x:f>IF(ISNUMBER(E366),E366-D366,"n/m")</x:f>
        <x:v>-0.0010867512055091812</x:v>
      </x:c>
      <x:c r="N366" s="75" t="n">
        <x:f>IF(ISNUMBER(F366),F366-D366,"n/m")</x:f>
        <x:v>-0.0010867512055091812</x:v>
      </x:c>
      <x:c r="O366" s="75" t="n">
        <x:v>2</x:v>
      </x:c>
    </x:row>
    <x:row r="367" ht="112" customHeight="1">
      <x:c r="A367" s="157" t="str">
        <x:v>DGKC</x:v>
      </x:c>
      <x:c r="B367" s="157" t="str">
        <x:v>Cash ratio</x:v>
      </x:c>
      <x:c r="C367" s="157" t="str">
        <x:v>FY2023</x:v>
      </x:c>
      <x:c r="D367" s="158" t="n">
        <x:v>0.01</x:v>
      </x:c>
      <x:c r="E367" s="158" t="n">
        <x:f>DGKC!F140</x:f>
        <x:v>0.013866688142092815</x:v>
      </x:c>
      <x:c r="F367" s="158" t="n">
        <x:f>DGKC!F34/DGKC!F61</x:f>
        <x:v>0.013866688142092815</x:v>
      </x:c>
      <x:c r="G367" s="162" t="str">
        <x:v>Cash and bank / CL</x:v>
      </x:c>
      <x:c r="H367" s="162" t="str">
        <x:f>IF(AND(ISNUMBER(D367),ISNUMBER(F367)),IF(ROUND(D367,O367)=ROUND(F367,O367),"Reproduced to precision","Unresolved published value"),"Not comparable")</x:f>
        <x:v>Reproduced to precision</x:v>
      </x:c>
      <x:c r="I367" s="162" t="str">
        <x:v>FY2022–25 published values reproduce using cash/bank only. FY2021 changes from 0.02 in its own report to 0.33 in later six-year summaries, while source cash/bank stays unchanged. Inclusion of liquid investments is a hypothesis; no official consistent revised numerator disclosed.</x:v>
      </x:c>
      <x:c r="J367" s="162" t="str">
        <x:v>FY2025 AR PDF p108</x:v>
      </x:c>
      <x:c r="K367" s="162" t="str">
        <x:v>Added source comparison</x:v>
      </x:c>
      <x:c r="L367" s="162" t="str">
        <x:v>Official historical-series conflict (FY2021)</x:v>
      </x:c>
      <x:c r="M367" s="157" t="n">
        <x:f>IF(ISNUMBER(E367),E367-D367,"n/m")</x:f>
        <x:v>0.003866688142092815</x:v>
      </x:c>
      <x:c r="N367" s="157" t="n">
        <x:f>IF(ISNUMBER(F367),F367-D367,"n/m")</x:f>
        <x:v>0.003866688142092815</x:v>
      </x:c>
      <x:c r="O367" s="157" t="n">
        <x:v>2</x:v>
      </x:c>
    </x:row>
    <x:row r="368" ht="112" customHeight="1">
      <x:c r="A368" s="75" t="str">
        <x:v>DGKC</x:v>
      </x:c>
      <x:c r="B368" s="75" t="str">
        <x:v>Cash ratio</x:v>
      </x:c>
      <x:c r="C368" s="75" t="str">
        <x:v>FY2024</x:v>
      </x:c>
      <x:c r="D368" s="159" t="n">
        <x:v>0.02</x:v>
      </x:c>
      <x:c r="E368" s="159" t="n">
        <x:f>DGKC!G140</x:f>
        <x:v>0.022719990993528554</x:v>
      </x:c>
      <x:c r="F368" s="159" t="n">
        <x:f>DGKC!G34/DGKC!G61</x:f>
        <x:v>0.022719990993528554</x:v>
      </x:c>
      <x:c r="G368" s="163" t="str">
        <x:v>Cash and bank / CL</x:v>
      </x:c>
      <x:c r="H368" s="163" t="str">
        <x:f>IF(AND(ISNUMBER(D368),ISNUMBER(F368)),IF(ROUND(D368,O368)=ROUND(F368,O368),"Reproduced to precision","Unresolved published value"),"Not comparable")</x:f>
        <x:v>Reproduced to precision</x:v>
      </x:c>
      <x:c r="I368" s="163" t="str">
        <x:v>FY2022–25 published values reproduce using cash/bank only. FY2021 changes from 0.02 in its own report to 0.33 in later six-year summaries, while source cash/bank stays unchanged. Inclusion of liquid investments is a hypothesis; no official consistent revised numerator disclosed.</x:v>
      </x:c>
      <x:c r="J368" s="163" t="str">
        <x:v>FY2025 AR PDF p108</x:v>
      </x:c>
      <x:c r="K368" s="163" t="str">
        <x:v>Added source comparison</x:v>
      </x:c>
      <x:c r="L368" s="163" t="str">
        <x:v>Official historical-series conflict (FY2021)</x:v>
      </x:c>
      <x:c r="M368" s="75" t="n">
        <x:f>IF(ISNUMBER(E368),E368-D368,"n/m")</x:f>
        <x:v>0.002719990993528553</x:v>
      </x:c>
      <x:c r="N368" s="75" t="n">
        <x:f>IF(ISNUMBER(F368),F368-D368,"n/m")</x:f>
        <x:v>0.002719990993528553</x:v>
      </x:c>
      <x:c r="O368" s="75" t="n">
        <x:v>2</x:v>
      </x:c>
    </x:row>
    <x:row r="369" ht="112" customHeight="1">
      <x:c r="A369" s="157" t="str">
        <x:v>DGKC</x:v>
      </x:c>
      <x:c r="B369" s="157" t="str">
        <x:v>Cash ratio</x:v>
      </x:c>
      <x:c r="C369" s="157" t="str">
        <x:v>FY2025</x:v>
      </x:c>
      <x:c r="D369" s="158" t="n">
        <x:v>0.02</x:v>
      </x:c>
      <x:c r="E369" s="158" t="n">
        <x:f>DGKC!H140</x:f>
        <x:v>0.02195336946739058</x:v>
      </x:c>
      <x:c r="F369" s="158" t="n">
        <x:f>DGKC!H34/DGKC!H61</x:f>
        <x:v>0.02195336946739058</x:v>
      </x:c>
      <x:c r="G369" s="162" t="str">
        <x:v>Cash and bank / CL</x:v>
      </x:c>
      <x:c r="H369" s="162" t="str">
        <x:f>IF(AND(ISNUMBER(D369),ISNUMBER(F369)),IF(ROUND(D369,O369)=ROUND(F369,O369),"Reproduced to precision","Unresolved published value"),"Not comparable")</x:f>
        <x:v>Reproduced to precision</x:v>
      </x:c>
      <x:c r="I369" s="162" t="str">
        <x:v>FY2022–25 published values reproduce using cash/bank only. FY2021 changes from 0.02 in its own report to 0.33 in later six-year summaries, while source cash/bank stays unchanged. Inclusion of liquid investments is a hypothesis; no official consistent revised numerator disclosed.</x:v>
      </x:c>
      <x:c r="J369" s="162" t="str">
        <x:v>FY2025 AR PDF p108</x:v>
      </x:c>
      <x:c r="K369" s="162" t="str">
        <x:v>Added source comparison</x:v>
      </x:c>
      <x:c r="L369" s="162" t="str">
        <x:v>Official historical-series conflict (FY2021)</x:v>
      </x:c>
      <x:c r="M369" s="157" t="n">
        <x:f>IF(ISNUMBER(E369),E369-D369,"n/m")</x:f>
        <x:v>0.001953369467390581</x:v>
      </x:c>
      <x:c r="N369" s="157" t="n">
        <x:f>IF(ISNUMBER(F369),F369-D369,"n/m")</x:f>
        <x:v>0.001953369467390581</x:v>
      </x:c>
      <x:c r="O369" s="157" t="n">
        <x:v>2</x:v>
      </x:c>
    </x:row>
    <x:row r="370" ht="112" customHeight="1">
      <x:c r="A370" s="75" t="str">
        <x:v>DGKC</x:v>
      </x:c>
      <x:c r="B370" s="75" t="str">
        <x:v>Cash conversion cycle (days)</x:v>
      </x:c>
      <x:c r="C370" s="75" t="str">
        <x:v>FY2021</x:v>
      </x:c>
      <x:c r="D370" s="159" t="n">
        <x:v>30</x:v>
      </x:c>
      <x:c r="E370" s="159" t="n">
        <x:f>DGKC!D151</x:f>
        <x:v>97.32755795260586</x:v>
      </x:c>
      <x:c r="F370" s="159" t="n">
        <x:f>365*DGKC!D65/(-DGKC!D85)+365*DGKC!D32/DGKC!D84-365*AVERAGE(DGKC!C50,DGKC!D50)/(-DGKC!D85)</x:f>
        <x:v>38.17514937364754</x:v>
      </x:c>
      <x:c r="G370" s="163" t="str">
        <x:v>Company component conventions; independent raw reconstruction</x:v>
      </x:c>
      <x:c r="H370" s="163" t="str">
        <x:f>IF(AND(ISNUMBER(D370),ISNUMBER(F370)),IF(ROUND(D370,O370)=ROUND(F370,O370),"Reproduced to precision","Unresolved published value"),"Not comparable")</x:f>
        <x:v>Unresolved published value</x:v>
      </x:c>
      <x:c r="I370" s="163" t="str">
        <x:v>Tested the source-based convention shown in G against official published precision. Unmatched values remain unresolved; neither the standardized method nor the financial inputs were altered to force agreement.</x:v>
      </x:c>
      <x:c r="J370" s="163" t="str">
        <x:v>FY2025 AR PDF p108</x:v>
      </x:c>
      <x:c r="K370" s="163" t="str">
        <x:v>Added source comparison</x:v>
      </x:c>
      <x:c r="L370" s="163" t="str">
        <x:v>Source comparison</x:v>
      </x:c>
      <x:c r="M370" s="75" t="n">
        <x:f>IF(ISNUMBER(E370),E370-D370,"n/m")</x:f>
        <x:v>67.32755795260586</x:v>
      </x:c>
      <x:c r="N370" s="75" t="n">
        <x:f>IF(ISNUMBER(F370),F370-D370,"n/m")</x:f>
        <x:v>8.175149373647542</x:v>
      </x:c>
      <x:c r="O370" s="75" t="n">
        <x:v>0</x:v>
      </x:c>
    </x:row>
    <x:row r="371" ht="112" customHeight="1">
      <x:c r="A371" s="157" t="str">
        <x:v>DGKC</x:v>
      </x:c>
      <x:c r="B371" s="157" t="str">
        <x:v>Cash conversion cycle (days)</x:v>
      </x:c>
      <x:c r="C371" s="157" t="str">
        <x:v>FY2022</x:v>
      </x:c>
      <x:c r="D371" s="158" t="n">
        <x:v>92</x:v>
      </x:c>
      <x:c r="E371" s="158" t="n">
        <x:f>DGKC!E151</x:f>
        <x:v>113.97054065366662</x:v>
      </x:c>
      <x:c r="F371" s="158" t="n">
        <x:f>365*DGKC!E65/(-DGKC!E85)+365*DGKC!E32/DGKC!E84-365*AVERAGE(DGKC!D50,DGKC!E50)/(-DGKC!E85)</x:f>
        <x:v>78.51153878670519</x:v>
      </x:c>
      <x:c r="G371" s="162" t="str">
        <x:v>Company component conventions; independent raw reconstruction</x:v>
      </x:c>
      <x:c r="H371" s="162" t="str">
        <x:f>IF(AND(ISNUMBER(D371),ISNUMBER(F371)),IF(ROUND(D371,O371)=ROUND(F371,O371),"Reproduced to precision","Unresolved published value"),"Not comparable")</x:f>
        <x:v>Unresolved published value</x:v>
      </x:c>
      <x:c r="I371" s="162" t="str">
        <x:v>Tested the source-based convention shown in G against official published precision. Unmatched values remain unresolved; neither the standardized method nor the financial inputs were altered to force agreement.</x:v>
      </x:c>
      <x:c r="J371" s="162" t="str">
        <x:v>FY2025 AR PDF p108</x:v>
      </x:c>
      <x:c r="K371" s="162" t="str">
        <x:v>Added source comparison</x:v>
      </x:c>
      <x:c r="L371" s="162" t="str">
        <x:v>Source comparison</x:v>
      </x:c>
      <x:c r="M371" s="157" t="n">
        <x:f>IF(ISNUMBER(E371),E371-D371,"n/m")</x:f>
        <x:v>21.970540653666617</x:v>
      </x:c>
      <x:c r="N371" s="157" t="n">
        <x:f>IF(ISNUMBER(F371),F371-D371,"n/m")</x:f>
        <x:v>-13.488461213294812</x:v>
      </x:c>
      <x:c r="O371" s="157" t="n">
        <x:v>0</x:v>
      </x:c>
    </x:row>
    <x:row r="372" ht="112" customHeight="1">
      <x:c r="A372" s="75" t="str">
        <x:v>DGKC</x:v>
      </x:c>
      <x:c r="B372" s="75" t="str">
        <x:v>Cash conversion cycle (days)</x:v>
      </x:c>
      <x:c r="C372" s="75" t="str">
        <x:v>FY2023</x:v>
      </x:c>
      <x:c r="D372" s="159" t="n">
        <x:v>70</x:v>
      </x:c>
      <x:c r="E372" s="159" t="n">
        <x:f>DGKC!F151</x:f>
        <x:v>123.10632996704659</x:v>
      </x:c>
      <x:c r="F372" s="159" t="n">
        <x:f>365*DGKC!F65/(-DGKC!F85)+365*DGKC!F32/DGKC!F84-365*AVERAGE(DGKC!E50,DGKC!F50)/(-DGKC!F85)</x:f>
        <x:v>69.50994365232849</x:v>
      </x:c>
      <x:c r="G372" s="163" t="str">
        <x:v>Company component conventions; independent raw reconstruction</x:v>
      </x:c>
      <x:c r="H372" s="163" t="str">
        <x:f>IF(AND(ISNUMBER(D372),ISNUMBER(F372)),IF(ROUND(D372,O372)=ROUND(F372,O372),"Reproduced to precision","Unresolved published value"),"Not comparable")</x:f>
        <x:v>Reproduced to precision</x:v>
      </x:c>
      <x:c r="I372" s="163" t="str">
        <x:v>Tested the source-based convention shown in G against official published precision. Unmatched values remain unresolved; neither the standardized method nor the financial inputs were altered to force agreement.</x:v>
      </x:c>
      <x:c r="J372" s="163" t="str">
        <x:v>FY2025 AR PDF p108</x:v>
      </x:c>
      <x:c r="K372" s="163" t="str">
        <x:v>Added source comparison</x:v>
      </x:c>
      <x:c r="L372" s="163" t="str">
        <x:v>Source comparison</x:v>
      </x:c>
      <x:c r="M372" s="75" t="n">
        <x:f>IF(ISNUMBER(E372),E372-D372,"n/m")</x:f>
        <x:v>53.10632996704659</x:v>
      </x:c>
      <x:c r="N372" s="75" t="n">
        <x:f>IF(ISNUMBER(F372),F372-D372,"n/m")</x:f>
        <x:v>-0.49005634767151207</x:v>
      </x:c>
      <x:c r="O372" s="75" t="n">
        <x:v>0</x:v>
      </x:c>
    </x:row>
    <x:row r="373" ht="112" customHeight="1">
      <x:c r="A373" s="157" t="str">
        <x:v>DGKC</x:v>
      </x:c>
      <x:c r="B373" s="157" t="str">
        <x:v>Cash conversion cycle (days)</x:v>
      </x:c>
      <x:c r="C373" s="157" t="str">
        <x:v>FY2024</x:v>
      </x:c>
      <x:c r="D373" s="158" t="n">
        <x:v>61</x:v>
      </x:c>
      <x:c r="E373" s="158" t="n">
        <x:f>DGKC!G151</x:f>
        <x:v>108.89985368796259</x:v>
      </x:c>
      <x:c r="F373" s="158" t="n">
        <x:f>365*DGKC!G65/(-DGKC!G85)+365*DGKC!G32/DGKC!G84-365*AVERAGE(DGKC!F50,DGKC!G50)/(-DGKC!G85)</x:f>
        <x:v>51.83524626289527</x:v>
      </x:c>
      <x:c r="G373" s="162" t="str">
        <x:v>Company component conventions; independent raw reconstruction</x:v>
      </x:c>
      <x:c r="H373" s="162" t="str">
        <x:f>IF(AND(ISNUMBER(D373),ISNUMBER(F373)),IF(ROUND(D373,O373)=ROUND(F373,O373),"Reproduced to precision","Unresolved published value"),"Not comparable")</x:f>
        <x:v>Unresolved published value</x:v>
      </x:c>
      <x:c r="I373" s="162" t="str">
        <x:v>Tested the source-based convention shown in G against official published precision. Unmatched values remain unresolved; neither the standardized method nor the financial inputs were altered to force agreement.</x:v>
      </x:c>
      <x:c r="J373" s="162" t="str">
        <x:v>FY2025 AR PDF p108</x:v>
      </x:c>
      <x:c r="K373" s="162" t="str">
        <x:v>Added source comparison</x:v>
      </x:c>
      <x:c r="L373" s="162" t="str">
        <x:v>Source comparison</x:v>
      </x:c>
      <x:c r="M373" s="157" t="n">
        <x:f>IF(ISNUMBER(E373),E373-D373,"n/m")</x:f>
        <x:v>47.89985368796259</x:v>
      </x:c>
      <x:c r="N373" s="157" t="n">
        <x:f>IF(ISNUMBER(F373),F373-D373,"n/m")</x:f>
        <x:v>-9.164753737104732</x:v>
      </x:c>
      <x:c r="O373" s="157" t="n">
        <x:v>0</x:v>
      </x:c>
    </x:row>
    <x:row r="374" ht="112" customHeight="1">
      <x:c r="A374" s="75" t="str">
        <x:v>DGKC</x:v>
      </x:c>
      <x:c r="B374" s="75" t="str">
        <x:v>Cash conversion cycle (days)</x:v>
      </x:c>
      <x:c r="C374" s="75" t="str">
        <x:v>FY2025</x:v>
      </x:c>
      <x:c r="D374" s="159" t="n">
        <x:v>64</x:v>
      </x:c>
      <x:c r="E374" s="159" t="n">
        <x:f>DGKC!H151</x:f>
        <x:v>114.67287204684449</x:v>
      </x:c>
      <x:c r="F374" s="159" t="n">
        <x:f>365*DGKC!H65/(-DGKC!H85)+365*DGKC!H32/DGKC!H84-365*AVERAGE(DGKC!G50,DGKC!H50)/(-DGKC!H85)</x:f>
        <x:v>59.755136678362106</x:v>
      </x:c>
      <x:c r="G374" s="163" t="str">
        <x:v>Company component conventions; independent raw reconstruction</x:v>
      </x:c>
      <x:c r="H374" s="163" t="str">
        <x:f>IF(AND(ISNUMBER(D374),ISNUMBER(F374)),IF(ROUND(D374,O374)=ROUND(F374,O374),"Reproduced to precision","Unresolved published value"),"Not comparable")</x:f>
        <x:v>Unresolved published value</x:v>
      </x:c>
      <x:c r="I374" s="163" t="str">
        <x:v>Tested the source-based convention shown in G against official published precision. Unmatched values remain unresolved; neither the standardized method nor the financial inputs were altered to force agreement.</x:v>
      </x:c>
      <x:c r="J374" s="163" t="str">
        <x:v>FY2025 AR PDF p108</x:v>
      </x:c>
      <x:c r="K374" s="163" t="str">
        <x:v>Added source comparison</x:v>
      </x:c>
      <x:c r="L374" s="163" t="str">
        <x:v>Source comparison</x:v>
      </x:c>
      <x:c r="M374" s="75" t="n">
        <x:f>IF(ISNUMBER(E374),E374-D374,"n/m")</x:f>
        <x:v>50.67287204684449</x:v>
      </x:c>
      <x:c r="N374" s="75" t="n">
        <x:f>IF(ISNUMBER(F374),F374-D374,"n/m")</x:f>
        <x:v>-4.244863321637894</x:v>
      </x:c>
      <x:c r="O374" s="75" t="n">
        <x:v>0</x:v>
      </x:c>
    </x:row>
    <x:row r="375" ht="112" customHeight="1">
      <x:c r="A375" s="157" t="str">
        <x:v>DGKC</x:v>
      </x:c>
      <x:c r="B375" s="157" t="str">
        <x:v>Debt-to-equity</x:v>
      </x:c>
      <x:c r="C375" s="157" t="str">
        <x:v>FY2021</x:v>
      </x:c>
      <x:c r="D375" s="158" t="n">
        <x:v>0.3734</x:v>
      </x:c>
      <x:c r="E375" s="158" t="n">
        <x:f>DGKC!D156</x:f>
        <x:v>0.8766832975690517</x:v>
      </x:c>
      <x:c r="F375" s="158" t="n">
        <x:f>DGKC!D66/(DGKC!D66+DGKC!D41)</x:f>
        <x:v>0.37343360902882045</x:v>
      </x:c>
      <x:c r="G375" s="162" t="str">
        <x:v>Company financing-only definition; differs from total liabilities / equity</x:v>
      </x:c>
      <x:c r="H375" s="162" t="str">
        <x:f>IF(AND(ISNUMBER(D375),ISNUMBER(F375)),IF(ROUND(D375,O375)=ROUND(F375,O375),"Reproduced to precision","Unresolved published value"),"Not comparable")</x:f>
        <x:v>Reproduced to precision</x:v>
      </x:c>
      <x:c r="I375" s="162" t="str">
        <x:v>Standardized D/E uses TOTAL LIABILITIES / EQUITY for every company. Published financing-only or debt-share series is reconstructed separately. Deferred-grant gross-up is confined to FCCL published-convention reconstruction.</x:v>
      </x:c>
      <x:c r="J375" s="162" t="str">
        <x:v>FY2025 AR PDF p108</x:v>
      </x:c>
      <x:c r="K375" s="162" t="str">
        <x:v>Added source comparison</x:v>
      </x:c>
      <x:c r="L375" s="162" t="str">
        <x:v>Source comparison</x:v>
      </x:c>
      <x:c r="M375" s="157" t="n">
        <x:f>IF(ISNUMBER(E375),E375-D375,"n/m")</x:f>
        <x:v>0.5032832975690518</x:v>
      </x:c>
      <x:c r="N375" s="157" t="n">
        <x:f>IF(ISNUMBER(F375),F375-D375,"n/m")</x:f>
        <x:v>0.00003360902882043604</x:v>
      </x:c>
      <x:c r="O375" s="157" t="n">
        <x:v>2</x:v>
      </x:c>
    </x:row>
    <x:row r="376" ht="112" customHeight="1">
      <x:c r="A376" s="75" t="str">
        <x:v>DGKC</x:v>
      </x:c>
      <x:c r="B376" s="75" t="str">
        <x:v>Debt-to-equity</x:v>
      </x:c>
      <x:c r="C376" s="75" t="str">
        <x:v>FY2022</x:v>
      </x:c>
      <x:c r="D376" s="159" t="n">
        <x:v>0.3993</x:v>
      </x:c>
      <x:c r="E376" s="159" t="n">
        <x:f>DGKC!E156</x:f>
        <x:v>0.9531710543286772</x:v>
      </x:c>
      <x:c r="F376" s="159" t="n">
        <x:f>DGKC!E66/(DGKC!E66+DGKC!E41)</x:f>
        <x:v>0.39929807208366225</x:v>
      </x:c>
      <x:c r="G376" s="163" t="str">
        <x:v>Company financing-only definition; differs from total liabilities / equity</x:v>
      </x:c>
      <x:c r="H376" s="163" t="str">
        <x:f>IF(AND(ISNUMBER(D376),ISNUMBER(F376)),IF(ROUND(D376,O376)=ROUND(F376,O376),"Reproduced to precision","Unresolved published value"),"Not comparable")</x:f>
        <x:v>Reproduced to precision</x:v>
      </x:c>
      <x:c r="I376" s="163" t="str">
        <x:v>Standardized D/E uses TOTAL LIABILITIES / EQUITY for every company. Published financing-only or debt-share series is reconstructed separately. Deferred-grant gross-up is confined to FCCL published-convention reconstruction.</x:v>
      </x:c>
      <x:c r="J376" s="163" t="str">
        <x:v>FY2025 AR PDF p108</x:v>
      </x:c>
      <x:c r="K376" s="163" t="str">
        <x:v>Added source comparison</x:v>
      </x:c>
      <x:c r="L376" s="163" t="str">
        <x:v>Source comparison</x:v>
      </x:c>
      <x:c r="M376" s="75" t="n">
        <x:f>IF(ISNUMBER(E376),E376-D376,"n/m")</x:f>
        <x:v>0.5538710543286772</x:v>
      </x:c>
      <x:c r="N376" s="75" t="n">
        <x:f>IF(ISNUMBER(F376),F376-D376,"n/m")</x:f>
        <x:v>-0.0000019279163377405872</x:v>
      </x:c>
      <x:c r="O376" s="75" t="n">
        <x:v>2</x:v>
      </x:c>
    </x:row>
    <x:row r="377" ht="112" customHeight="1">
      <x:c r="A377" s="157" t="str">
        <x:v>DGKC</x:v>
      </x:c>
      <x:c r="B377" s="157" t="str">
        <x:v>Debt-to-equity</x:v>
      </x:c>
      <x:c r="C377" s="157" t="str">
        <x:v>FY2023</x:v>
      </x:c>
      <x:c r="D377" s="158" t="n">
        <x:v>0.3985</x:v>
      </x:c>
      <x:c r="E377" s="158" t="n">
        <x:f>DGKC!F156</x:f>
        <x:v>1.0985897415665749</x:v>
      </x:c>
      <x:c r="F377" s="158" t="n">
        <x:f>DGKC!F66/(DGKC!F66+DGKC!F41)</x:f>
        <x:v>0.39850127088453147</x:v>
      </x:c>
      <x:c r="G377" s="162" t="str">
        <x:v>Company financing-only definition; differs from total liabilities / equity</x:v>
      </x:c>
      <x:c r="H377" s="162" t="str">
        <x:f>IF(AND(ISNUMBER(D377),ISNUMBER(F377)),IF(ROUND(D377,O377)=ROUND(F377,O377),"Reproduced to precision","Unresolved published value"),"Not comparable")</x:f>
        <x:v>Reproduced to precision</x:v>
      </x:c>
      <x:c r="I377" s="162" t="str">
        <x:v>Standardized D/E uses TOTAL LIABILITIES / EQUITY for every company. Published financing-only or debt-share series is reconstructed separately. Deferred-grant gross-up is confined to FCCL published-convention reconstruction.</x:v>
      </x:c>
      <x:c r="J377" s="162" t="str">
        <x:v>FY2025 AR PDF p108</x:v>
      </x:c>
      <x:c r="K377" s="162" t="str">
        <x:v>Added source comparison</x:v>
      </x:c>
      <x:c r="L377" s="162" t="str">
        <x:v>Source comparison</x:v>
      </x:c>
      <x:c r="M377" s="157" t="n">
        <x:f>IF(ISNUMBER(E377),E377-D377,"n/m")</x:f>
        <x:v>0.7000897415665748</x:v>
      </x:c>
      <x:c r="N377" s="157" t="n">
        <x:f>IF(ISNUMBER(F377),F377-D377,"n/m")</x:f>
        <x:v>0.0000012708845314457484</x:v>
      </x:c>
      <x:c r="O377" s="157" t="n">
        <x:v>2</x:v>
      </x:c>
    </x:row>
    <x:row r="378" ht="112" customHeight="1">
      <x:c r="A378" s="75" t="str">
        <x:v>DGKC</x:v>
      </x:c>
      <x:c r="B378" s="75" t="str">
        <x:v>Debt-to-equity</x:v>
      </x:c>
      <x:c r="C378" s="75" t="str">
        <x:v>FY2024</x:v>
      </x:c>
      <x:c r="D378" s="159" t="n">
        <x:v>0.3115</x:v>
      </x:c>
      <x:c r="E378" s="159" t="n">
        <x:f>DGKC!G156</x:f>
        <x:v>0.8245253260560679</x:v>
      </x:c>
      <x:c r="F378" s="159" t="n">
        <x:f>DGKC!G66/(DGKC!G66+DGKC!G41)</x:f>
        <x:v>0.31153681009483003</x:v>
      </x:c>
      <x:c r="G378" s="163" t="str">
        <x:v>Company financing-only definition; differs from total liabilities / equity</x:v>
      </x:c>
      <x:c r="H378" s="163" t="str">
        <x:f>IF(AND(ISNUMBER(D378),ISNUMBER(F378)),IF(ROUND(D378,O378)=ROUND(F378,O378),"Reproduced to precision","Unresolved published value"),"Not comparable")</x:f>
        <x:v>Reproduced to precision</x:v>
      </x:c>
      <x:c r="I378" s="163" t="str">
        <x:v>Standardized D/E uses TOTAL LIABILITIES / EQUITY for every company. Published financing-only or debt-share series is reconstructed separately. Deferred-grant gross-up is confined to FCCL published-convention reconstruction.</x:v>
      </x:c>
      <x:c r="J378" s="163" t="str">
        <x:v>FY2025 AR PDF p108</x:v>
      </x:c>
      <x:c r="K378" s="163" t="str">
        <x:v>Added source comparison</x:v>
      </x:c>
      <x:c r="L378" s="163" t="str">
        <x:v>Source comparison</x:v>
      </x:c>
      <x:c r="M378" s="75" t="n">
        <x:f>IF(ISNUMBER(E378),E378-D378,"n/m")</x:f>
        <x:v>0.5130253260560679</x:v>
      </x:c>
      <x:c r="N378" s="75" t="n">
        <x:f>IF(ISNUMBER(F378),F378-D378,"n/m")</x:f>
        <x:v>0.00003681009483003095</x:v>
      </x:c>
      <x:c r="O378" s="75" t="n">
        <x:v>2</x:v>
      </x:c>
    </x:row>
    <x:row r="379" ht="112" customHeight="1">
      <x:c r="A379" s="157" t="str">
        <x:v>DGKC</x:v>
      </x:c>
      <x:c r="B379" s="157" t="str">
        <x:v>Debt-to-equity</x:v>
      </x:c>
      <x:c r="C379" s="157" t="str">
        <x:v>FY2025</x:v>
      </x:c>
      <x:c r="D379" s="158" t="n">
        <x:v>0.1879</x:v>
      </x:c>
      <x:c r="E379" s="158" t="n">
        <x:f>DGKC!H156</x:f>
        <x:v>0.5414399758278128</x:v>
      </x:c>
      <x:c r="F379" s="158" t="n">
        <x:f>DGKC!H66/(DGKC!H66+DGKC!H41)</x:f>
        <x:v>0.18792347676351873</x:v>
      </x:c>
      <x:c r="G379" s="162" t="str">
        <x:v>Company financing-only definition; differs from total liabilities / equity</x:v>
      </x:c>
      <x:c r="H379" s="162" t="str">
        <x:f>IF(AND(ISNUMBER(D379),ISNUMBER(F379)),IF(ROUND(D379,O379)=ROUND(F379,O379),"Reproduced to precision","Unresolved published value"),"Not comparable")</x:f>
        <x:v>Reproduced to precision</x:v>
      </x:c>
      <x:c r="I379" s="162" t="str">
        <x:v>Standardized D/E uses TOTAL LIABILITIES / EQUITY for every company. Published financing-only or debt-share series is reconstructed separately. Deferred-grant gross-up is confined to FCCL published-convention reconstruction.</x:v>
      </x:c>
      <x:c r="J379" s="162" t="str">
        <x:v>FY2025 AR PDF p108</x:v>
      </x:c>
      <x:c r="K379" s="162" t="str">
        <x:v>Added source comparison</x:v>
      </x:c>
      <x:c r="L379" s="162" t="str">
        <x:v>Source comparison</x:v>
      </x:c>
      <x:c r="M379" s="157" t="n">
        <x:f>IF(ISNUMBER(E379),E379-D379,"n/m")</x:f>
        <x:v>0.35353997582781277</x:v>
      </x:c>
      <x:c r="N379" s="157" t="n">
        <x:f>IF(ISNUMBER(F379),F379-D379,"n/m")</x:f>
        <x:v>0.00002347676351871497</x:v>
      </x:c>
      <x:c r="O379" s="157" t="n">
        <x:v>2</x:v>
      </x:c>
    </x:row>
    <x:row r="380" ht="112" customHeight="1">
      <x:c r="A380" s="75" t="str">
        <x:v>DGKC</x:v>
      </x:c>
      <x:c r="B380" s="75" t="str">
        <x:v>Book value per share (Rs)</x:v>
      </x:c>
      <x:c r="C380" s="75" t="str">
        <x:v>FY2021</x:v>
      </x:c>
      <x:c r="D380" s="159" t="n">
        <x:v>167.71</x:v>
      </x:c>
      <x:c r="E380" s="159" t="n">
        <x:f>DGKC!D169</x:f>
        <x:v>167.71209700741193</x:v>
      </x:c>
      <x:c r="F380" s="159" t="n">
        <x:f>DGKC!D41/(DGKC!D39/DGKC!D127)/'PSX Prices'!G16</x:f>
        <x:v>167.71209700741193</x:v>
      </x:c>
      <x:c r="G380" s="163" t="str">
        <x:v>Equity / issued shares, converted to report split basis</x:v>
      </x:c>
      <x:c r="H380" s="163" t="str">
        <x:f>IF(AND(ISNUMBER(D380),ISNUMBER(F380)),IF(ROUND(D380,O380)=ROUND(F380,O380),"Reproduced to precision","Unresolved published value"),"Not comparable")</x:f>
        <x:v>Reproduced to precision</x:v>
      </x:c>
      <x:c r="I380" s="163" t="str">
        <x:v>Tested the source-based convention shown in G against official published precision. Unmatched values remain unresolved; neither the standardized method nor the financial inputs were altered to force agreement.</x:v>
      </x:c>
      <x:c r="J380" s="163" t="str">
        <x:v>FY2025 AR PDF p108</x:v>
      </x:c>
      <x:c r="K380" s="163" t="str">
        <x:v>Added source comparison</x:v>
      </x:c>
      <x:c r="L380" s="163" t="str">
        <x:v>Source comparison</x:v>
      </x:c>
      <x:c r="M380" s="75" t="n">
        <x:f>IF(ISNUMBER(E380),E380-D380,"n/m")</x:f>
        <x:v>0.002097007411919094</x:v>
      </x:c>
      <x:c r="N380" s="75" t="n">
        <x:f>IF(ISNUMBER(F380),F380-D380,"n/m")</x:f>
        <x:v>0.002097007411919094</x:v>
      </x:c>
      <x:c r="O380" s="75" t="n">
        <x:v>2</x:v>
      </x:c>
    </x:row>
    <x:row r="381" ht="112" customHeight="1">
      <x:c r="A381" s="157" t="str">
        <x:v>DGKC</x:v>
      </x:c>
      <x:c r="B381" s="157" t="str">
        <x:v>Book value per share (Rs)</x:v>
      </x:c>
      <x:c r="C381" s="157" t="str">
        <x:v>FY2022</x:v>
      </x:c>
      <x:c r="D381" s="158" t="n">
        <x:v>159.59</x:v>
      </x:c>
      <x:c r="E381" s="158" t="n">
        <x:f>DGKC!E169</x:f>
        <x:v>159.58697532246367</x:v>
      </x:c>
      <x:c r="F381" s="158" t="n">
        <x:f>DGKC!E41/(DGKC!E39/DGKC!E127)/'PSX Prices'!G17</x:f>
        <x:v>159.58697532246367</x:v>
      </x:c>
      <x:c r="G381" s="162" t="str">
        <x:v>Equity / issued shares, converted to report split basis</x:v>
      </x:c>
      <x:c r="H381" s="162" t="str">
        <x:f>IF(AND(ISNUMBER(D381),ISNUMBER(F381)),IF(ROUND(D381,O381)=ROUND(F381,O381),"Reproduced to precision","Unresolved published value"),"Not comparable")</x:f>
        <x:v>Reproduced to precision</x:v>
      </x:c>
      <x:c r="I381" s="162" t="str">
        <x:v>Tested the source-based convention shown in G against official published precision. Unmatched values remain unresolved; neither the standardized method nor the financial inputs were altered to force agreement.</x:v>
      </x:c>
      <x:c r="J381" s="162" t="str">
        <x:v>FY2025 AR PDF p108</x:v>
      </x:c>
      <x:c r="K381" s="162" t="str">
        <x:v>Added source comparison</x:v>
      </x:c>
      <x:c r="L381" s="162" t="str">
        <x:v>Source comparison</x:v>
      </x:c>
      <x:c r="M381" s="157" t="n">
        <x:f>IF(ISNUMBER(E381),E381-D381,"n/m")</x:f>
        <x:v>-0.0030246775363309553</x:v>
      </x:c>
      <x:c r="N381" s="157" t="n">
        <x:f>IF(ISNUMBER(F381),F381-D381,"n/m")</x:f>
        <x:v>-0.0030246775363309553</x:v>
      </x:c>
      <x:c r="O381" s="157" t="n">
        <x:v>2</x:v>
      </x:c>
    </x:row>
    <x:row r="382" ht="112" customHeight="1">
      <x:c r="A382" s="75" t="str">
        <x:v>DGKC</x:v>
      </x:c>
      <x:c r="B382" s="75" t="str">
        <x:v>Book value per share (Rs)</x:v>
      </x:c>
      <x:c r="C382" s="75" t="str">
        <x:v>FY2023</x:v>
      </x:c>
      <x:c r="D382" s="159" t="n">
        <x:v>146.52</x:v>
      </x:c>
      <x:c r="E382" s="159" t="n">
        <x:f>DGKC!F169</x:f>
        <x:v>146.51786922779672</x:v>
      </x:c>
      <x:c r="F382" s="159" t="n">
        <x:f>DGKC!F41/(DGKC!F39/DGKC!F127)/'PSX Prices'!G18</x:f>
        <x:v>146.51786922779672</x:v>
      </x:c>
      <x:c r="G382" s="163" t="str">
        <x:v>Equity / issued shares, converted to report split basis</x:v>
      </x:c>
      <x:c r="H382" s="163" t="str">
        <x:f>IF(AND(ISNUMBER(D382),ISNUMBER(F382)),IF(ROUND(D382,O382)=ROUND(F382,O382),"Reproduced to precision","Unresolved published value"),"Not comparable")</x:f>
        <x:v>Reproduced to precision</x:v>
      </x:c>
      <x:c r="I382" s="163" t="str">
        <x:v>Tested the source-based convention shown in G against official published precision. Unmatched values remain unresolved; neither the standardized method nor the financial inputs were altered to force agreement.</x:v>
      </x:c>
      <x:c r="J382" s="163" t="str">
        <x:v>FY2025 AR PDF p108</x:v>
      </x:c>
      <x:c r="K382" s="163" t="str">
        <x:v>Added source comparison</x:v>
      </x:c>
      <x:c r="L382" s="163" t="str">
        <x:v>Source comparison</x:v>
      </x:c>
      <x:c r="M382" s="75" t="n">
        <x:f>IF(ISNUMBER(E382),E382-D382,"n/m")</x:f>
        <x:v>-0.002130772203287279</x:v>
      </x:c>
      <x:c r="N382" s="75" t="n">
        <x:f>IF(ISNUMBER(F382),F382-D382,"n/m")</x:f>
        <x:v>-0.002130772203287279</x:v>
      </x:c>
      <x:c r="O382" s="75" t="n">
        <x:v>2</x:v>
      </x:c>
    </x:row>
    <x:row r="383" ht="112" customHeight="1">
      <x:c r="A383" s="157" t="str">
        <x:v>DGKC</x:v>
      </x:c>
      <x:c r="B383" s="157" t="str">
        <x:v>Book value per share (Rs)</x:v>
      </x:c>
      <x:c r="C383" s="157" t="str">
        <x:v>FY2024</x:v>
      </x:c>
      <x:c r="D383" s="158" t="n">
        <x:v>173.12</x:v>
      </x:c>
      <x:c r="E383" s="158" t="n">
        <x:f>DGKC!G169</x:f>
        <x:v>173.12082034314415</x:v>
      </x:c>
      <x:c r="F383" s="158" t="n">
        <x:f>DGKC!G41/(DGKC!G39/DGKC!G127)/'PSX Prices'!G19</x:f>
        <x:v>173.12082034314415</x:v>
      </x:c>
      <x:c r="G383" s="162" t="str">
        <x:v>Equity / issued shares, converted to report split basis</x:v>
      </x:c>
      <x:c r="H383" s="162" t="str">
        <x:f>IF(AND(ISNUMBER(D383),ISNUMBER(F383)),IF(ROUND(D383,O383)=ROUND(F383,O383),"Reproduced to precision","Unresolved published value"),"Not comparable")</x:f>
        <x:v>Reproduced to precision</x:v>
      </x:c>
      <x:c r="I383" s="162" t="str">
        <x:v>Tested the source-based convention shown in G against official published precision. Unmatched values remain unresolved; neither the standardized method nor the financial inputs were altered to force agreement.</x:v>
      </x:c>
      <x:c r="J383" s="162" t="str">
        <x:v>FY2025 AR PDF p108</x:v>
      </x:c>
      <x:c r="K383" s="162" t="str">
        <x:v>Added source comparison</x:v>
      </x:c>
      <x:c r="L383" s="162" t="str">
        <x:v>Source comparison</x:v>
      </x:c>
      <x:c r="M383" s="157" t="n">
        <x:f>IF(ISNUMBER(E383),E383-D383,"n/m")</x:f>
        <x:v>0.0008203431441415887</x:v>
      </x:c>
      <x:c r="N383" s="157" t="n">
        <x:f>IF(ISNUMBER(F383),F383-D383,"n/m")</x:f>
        <x:v>0.0008203431441415887</x:v>
      </x:c>
      <x:c r="O383" s="157" t="n">
        <x:v>2</x:v>
      </x:c>
    </x:row>
    <x:row r="384" ht="112" customHeight="1">
      <x:c r="A384" s="75" t="str">
        <x:v>DGKC</x:v>
      </x:c>
      <x:c r="B384" s="75" t="str">
        <x:v>Book value per share (Rs)</x:v>
      </x:c>
      <x:c r="C384" s="75" t="str">
        <x:v>FY2025</x:v>
      </x:c>
      <x:c r="D384" s="159" t="n">
        <x:v>216.08</x:v>
      </x:c>
      <x:c r="E384" s="159" t="n">
        <x:f>DGKC!H169</x:f>
        <x:v>216.07703932560804</x:v>
      </x:c>
      <x:c r="F384" s="159" t="n">
        <x:f>DGKC!H41/(DGKC!H39/DGKC!H127)/'PSX Prices'!G20</x:f>
        <x:v>216.07703932560804</x:v>
      </x:c>
      <x:c r="G384" s="163" t="str">
        <x:v>Equity / issued shares, converted to report split basis</x:v>
      </x:c>
      <x:c r="H384" s="163" t="str">
        <x:f>IF(AND(ISNUMBER(D384),ISNUMBER(F384)),IF(ROUND(D384,O384)=ROUND(F384,O384),"Reproduced to precision","Unresolved published value"),"Not comparable")</x:f>
        <x:v>Reproduced to precision</x:v>
      </x:c>
      <x:c r="I384" s="163" t="str">
        <x:v>Tested the source-based convention shown in G against official published precision. Unmatched values remain unresolved; neither the standardized method nor the financial inputs were altered to force agreement.</x:v>
      </x:c>
      <x:c r="J384" s="163" t="str">
        <x:v>FY2025 AR PDF p108</x:v>
      </x:c>
      <x:c r="K384" s="163" t="str">
        <x:v>Added source comparison</x:v>
      </x:c>
      <x:c r="L384" s="163" t="str">
        <x:v>Source comparison</x:v>
      </x:c>
      <x:c r="M384" s="75" t="n">
        <x:f>IF(ISNUMBER(E384),E384-D384,"n/m")</x:f>
        <x:v>-0.0029606743919714518</x:v>
      </x:c>
      <x:c r="N384" s="75" t="n">
        <x:f>IF(ISNUMBER(F384),F384-D384,"n/m")</x:f>
        <x:v>-0.0029606743919714518</x:v>
      </x:c>
      <x:c r="O384" s="75" t="n">
        <x:v>2</x:v>
      </x:c>
    </x:row>
    <x:row r="385" ht="112" customHeight="1">
      <x:c r="A385" s="157" t="str">
        <x:v>DGKC</x:v>
      </x:c>
      <x:c r="B385" s="157" t="str">
        <x:v>Market-to-book ratio</x:v>
      </x:c>
      <x:c r="C385" s="157" t="str">
        <x:v>FY2021</x:v>
      </x:c>
      <x:c r="D385" s="158" t="n">
        <x:v>0.7</x:v>
      </x:c>
      <x:c r="E385" s="158" t="n">
        <x:f>DGKC!D170</x:f>
        <x:v>0.7031096868032638</x:v>
      </x:c>
      <x:c r="F385" s="158" t="n">
        <x:f>'PSX Prices'!F16/'PSX Prices'!M16</x:f>
        <x:v>0.7031184783256812</x:v>
      </x:c>
      <x:c r="G385" s="162" t="str">
        <x:v>Report price / reported BVPS</x:v>
      </x:c>
      <x:c r="H385" s="162" t="str">
        <x:f>IF(AND(ISNUMBER(D385),ISNUMBER(F385)),IF(ROUND(D385,O385)=ROUND(F385,O385),"Reproduced to precision","Unresolved published value"),"Not comparable")</x:f>
        <x:v>Reproduced to precision</x:v>
      </x:c>
      <x:c r="I385" s="162" t="str">
        <x:v>Tested the source-based convention shown in G against official published precision. Unmatched values remain unresolved; neither the standardized method nor the financial inputs were altered to force agreement.</x:v>
      </x:c>
      <x:c r="J385" s="162" t="str">
        <x:v>FY2025 AR PDF p108</x:v>
      </x:c>
      <x:c r="K385" s="162" t="str">
        <x:v>Added source comparison</x:v>
      </x:c>
      <x:c r="L385" s="162" t="str">
        <x:v>Source comparison</x:v>
      </x:c>
      <x:c r="M385" s="157" t="n">
        <x:f>IF(ISNUMBER(E385),E385-D385,"n/m")</x:f>
        <x:v>0.0031096868032638447</x:v>
      </x:c>
      <x:c r="N385" s="157" t="n">
        <x:f>IF(ISNUMBER(F385),F385-D385,"n/m")</x:f>
        <x:v>0.00311847832568124</x:v>
      </x:c>
      <x:c r="O385" s="157" t="n">
        <x:v>2</x:v>
      </x:c>
    </x:row>
    <x:row r="386" ht="112" customHeight="1">
      <x:c r="A386" s="75" t="str">
        <x:v>DGKC</x:v>
      </x:c>
      <x:c r="B386" s="75" t="str">
        <x:v>Market-to-book ratio</x:v>
      </x:c>
      <x:c r="C386" s="75" t="str">
        <x:v>FY2022</x:v>
      </x:c>
      <x:c r="D386" s="159" t="n">
        <x:v>0.39</x:v>
      </x:c>
      <x:c r="E386" s="159" t="n">
        <x:f>DGKC!E170</x:f>
        <x:v>0.3916359707533251</x:v>
      </x:c>
      <x:c r="F386" s="159" t="n">
        <x:f>'PSX Prices'!F17/'PSX Prices'!M17</x:f>
        <x:v>0.39162854815464626</x:v>
      </x:c>
      <x:c r="G386" s="163" t="str">
        <x:v>Report price / reported BVPS</x:v>
      </x:c>
      <x:c r="H386" s="163" t="str">
        <x:f>IF(AND(ISNUMBER(D386),ISNUMBER(F386)),IF(ROUND(D386,O386)=ROUND(F386,O386),"Reproduced to precision","Unresolved published value"),"Not comparable")</x:f>
        <x:v>Reproduced to precision</x:v>
      </x:c>
      <x:c r="I386" s="163" t="str">
        <x:v>Tested the source-based convention shown in G against official published precision. Unmatched values remain unresolved; neither the standardized method nor the financial inputs were altered to force agreement.</x:v>
      </x:c>
      <x:c r="J386" s="163" t="str">
        <x:v>FY2025 AR PDF p108</x:v>
      </x:c>
      <x:c r="K386" s="163" t="str">
        <x:v>Added source comparison</x:v>
      </x:c>
      <x:c r="L386" s="163" t="str">
        <x:v>Source comparison</x:v>
      </x:c>
      <x:c r="M386" s="75" t="n">
        <x:f>IF(ISNUMBER(E386),E386-D386,"n/m")</x:f>
        <x:v>0.001635970753325111</x:v>
      </x:c>
      <x:c r="N386" s="75" t="n">
        <x:f>IF(ISNUMBER(F386),F386-D386,"n/m")</x:f>
        <x:v>0.0016285481546462477</x:v>
      </x:c>
      <x:c r="O386" s="75" t="n">
        <x:v>2</x:v>
      </x:c>
    </x:row>
    <x:row r="387" ht="112" customHeight="1">
      <x:c r="A387" s="157" t="str">
        <x:v>DGKC</x:v>
      </x:c>
      <x:c r="B387" s="157" t="str">
        <x:v>Market-to-book ratio</x:v>
      </x:c>
      <x:c r="C387" s="157" t="str">
        <x:v>FY2023</x:v>
      </x:c>
      <x:c r="D387" s="158" t="n">
        <x:v>0.35</x:v>
      </x:c>
      <x:c r="E387" s="158" t="n">
        <x:f>DGKC!F170</x:f>
        <x:v>0.35012794187063967</x:v>
      </x:c>
      <x:c r="F387" s="158" t="n">
        <x:f>'PSX Prices'!F18/'PSX Prices'!M18</x:f>
        <x:v>0.3501228501228501</x:v>
      </x:c>
      <x:c r="G387" s="162" t="str">
        <x:v>Report price / reported BVPS</x:v>
      </x:c>
      <x:c r="H387" s="162" t="str">
        <x:f>IF(AND(ISNUMBER(D387),ISNUMBER(F387)),IF(ROUND(D387,O387)=ROUND(F387,O387),"Reproduced to precision","Unresolved published value"),"Not comparable")</x:f>
        <x:v>Reproduced to precision</x:v>
      </x:c>
      <x:c r="I387" s="162" t="str">
        <x:v>Tested the source-based convention shown in G against official published precision. Unmatched values remain unresolved; neither the standardized method nor the financial inputs were altered to force agreement.</x:v>
      </x:c>
      <x:c r="J387" s="162" t="str">
        <x:v>FY2025 AR PDF p108</x:v>
      </x:c>
      <x:c r="K387" s="162" t="str">
        <x:v>Added source comparison</x:v>
      </x:c>
      <x:c r="L387" s="162" t="str">
        <x:v>Source comparison</x:v>
      </x:c>
      <x:c r="M387" s="157" t="n">
        <x:f>IF(ISNUMBER(E387),E387-D387,"n/m")</x:f>
        <x:v>0.00012794187063969176</x:v>
      </x:c>
      <x:c r="N387" s="157" t="n">
        <x:f>IF(ISNUMBER(F387),F387-D387,"n/m")</x:f>
        <x:v>0.00012285012285012664</x:v>
      </x:c>
      <x:c r="O387" s="157" t="n">
        <x:v>2</x:v>
      </x:c>
    </x:row>
    <x:row r="388" ht="112" customHeight="1">
      <x:c r="A388" s="75" t="str">
        <x:v>DGKC</x:v>
      </x:c>
      <x:c r="B388" s="75" t="str">
        <x:v>Market-to-book ratio</x:v>
      </x:c>
      <x:c r="C388" s="75" t="str">
        <x:v>FY2024</x:v>
      </x:c>
      <x:c r="D388" s="159" t="n">
        <x:v>0.52</x:v>
      </x:c>
      <x:c r="E388" s="159" t="n">
        <x:f>DGKC!G170</x:f>
        <x:v>0.5214277509838222</x:v>
      </x:c>
      <x:c r="F388" s="159" t="n">
        <x:f>'PSX Prices'!F19/'PSX Prices'!M19</x:f>
        <x:v>0.5214302218114603</x:v>
      </x:c>
      <x:c r="G388" s="163" t="str">
        <x:v>Report price / reported BVPS</x:v>
      </x:c>
      <x:c r="H388" s="163" t="str">
        <x:f>IF(AND(ISNUMBER(D388),ISNUMBER(F388)),IF(ROUND(D388,O388)=ROUND(F388,O388),"Reproduced to precision","Unresolved published value"),"Not comparable")</x:f>
        <x:v>Reproduced to precision</x:v>
      </x:c>
      <x:c r="I388" s="163" t="str">
        <x:v>Tested the source-based convention shown in G against official published precision. Unmatched values remain unresolved; neither the standardized method nor the financial inputs were altered to force agreement.</x:v>
      </x:c>
      <x:c r="J388" s="163" t="str">
        <x:v>FY2025 AR PDF p108</x:v>
      </x:c>
      <x:c r="K388" s="163" t="str">
        <x:v>Added source comparison</x:v>
      </x:c>
      <x:c r="L388" s="163" t="str">
        <x:v>Source comparison</x:v>
      </x:c>
      <x:c r="M388" s="75" t="n">
        <x:f>IF(ISNUMBER(E388),E388-D388,"n/m")</x:f>
        <x:v>0.0014277509838221958</x:v>
      </x:c>
      <x:c r="N388" s="75" t="n">
        <x:f>IF(ISNUMBER(F388),F388-D388,"n/m")</x:f>
        <x:v>0.0014302218114602416</x:v>
      </x:c>
      <x:c r="O388" s="75" t="n">
        <x:v>2</x:v>
      </x:c>
    </x:row>
    <x:row r="389" ht="112" customHeight="1">
      <x:c r="A389" s="157" t="str">
        <x:v>DGKC</x:v>
      </x:c>
      <x:c r="B389" s="157" t="str">
        <x:v>Market-to-book ratio</x:v>
      </x:c>
      <x:c r="C389" s="157" t="str">
        <x:v>FY2025</x:v>
      </x:c>
      <x:c r="D389" s="158" t="n">
        <x:v>0.77</x:v>
      </x:c>
      <x:c r="E389" s="158" t="n">
        <x:f>DGKC!H170</x:f>
        <x:v>0.7662082029480072</x:v>
      </x:c>
      <x:c r="F389" s="158" t="n">
        <x:f>'PSX Prices'!F20/'PSX Prices'!M20</x:f>
        <x:v>0.7661977045538689</x:v>
      </x:c>
      <x:c r="G389" s="162" t="str">
        <x:v>Report price / reported BVPS</x:v>
      </x:c>
      <x:c r="H389" s="162" t="str">
        <x:f>IF(AND(ISNUMBER(D389),ISNUMBER(F389)),IF(ROUND(D389,O389)=ROUND(F389,O389),"Reproduced to precision","Unresolved published value"),"Not comparable")</x:f>
        <x:v>Reproduced to precision</x:v>
      </x:c>
      <x:c r="I389" s="162" t="str">
        <x:v>Tested the source-based convention shown in G against official published precision. Unmatched values remain unresolved; neither the standardized method nor the financial inputs were altered to force agreement.</x:v>
      </x:c>
      <x:c r="J389" s="162" t="str">
        <x:v>FY2025 AR PDF p108</x:v>
      </x:c>
      <x:c r="K389" s="162" t="str">
        <x:v>Added source comparison</x:v>
      </x:c>
      <x:c r="L389" s="162" t="str">
        <x:v>Source comparison</x:v>
      </x:c>
      <x:c r="M389" s="157" t="n">
        <x:f>IF(ISNUMBER(E389),E389-D389,"n/m")</x:f>
        <x:v>-0.00379179705199284</x:v>
      </x:c>
      <x:c r="N389" s="157" t="n">
        <x:f>IF(ISNUMBER(F389),F389-D389,"n/m")</x:f>
        <x:v>-0.0038022954461310876</x:v>
      </x:c>
      <x:c r="O389" s="157" t="n">
        <x:v>2</x:v>
      </x:c>
    </x:row>
    <x:row r="390" ht="112" customHeight="1">
      <x:c r="A390" s="75" t="str">
        <x:v>DGKC</x:v>
      </x:c>
      <x:c r="B390" s="75" t="str">
        <x:v>Earnings per share (Rs)</x:v>
      </x:c>
      <x:c r="C390" s="75" t="str">
        <x:v>FY2021</x:v>
      </x:c>
      <x:c r="D390" s="159" t="n">
        <x:v>8.49</x:v>
      </x:c>
      <x:c r="E390" s="159" t="n">
        <x:f>DGKC!D171</x:f>
        <x:v>8.493747127465003</x:v>
      </x:c>
      <x:c r="F390" s="159" t="n">
        <x:f>DGKC!D99/'PSX Prices'!O16</x:f>
        <x:v>8.493747127465003</x:v>
      </x:c>
      <x:c r="G390" s="163" t="str">
        <x:v>PAT / reported-basis weighted shares</x:v>
      </x:c>
      <x:c r="H390" s="163" t="str">
        <x:f>IF(AND(ISNUMBER(D390),ISNUMBER(F390)),IF(ROUND(D390,O390)=ROUND(F390,O390),"Reproduced to precision","Unresolved published value"),"Not comparable")</x:f>
        <x:v>Reproduced to precision</x:v>
      </x:c>
      <x:c r="I390" s="163" t="str">
        <x:v>Tested the source-based convention shown in G against official published precision. Unmatched values remain unresolved; neither the standardized method nor the financial inputs were altered to force agreement.</x:v>
      </x:c>
      <x:c r="J390" s="163" t="str">
        <x:v>FY2025 AR PDF p108</x:v>
      </x:c>
      <x:c r="K390" s="163" t="str">
        <x:v>Added source comparison</x:v>
      </x:c>
      <x:c r="L390" s="163" t="str">
        <x:v>Source comparison</x:v>
      </x:c>
      <x:c r="M390" s="75" t="n">
        <x:f>IF(ISNUMBER(E390),E390-D390,"n/m")</x:f>
        <x:v>0.0037471274650027198</x:v>
      </x:c>
      <x:c r="N390" s="75" t="n">
        <x:f>IF(ISNUMBER(F390),F390-D390,"n/m")</x:f>
        <x:v>0.0037471274650027198</x:v>
      </x:c>
      <x:c r="O390" s="75" t="n">
        <x:v>2</x:v>
      </x:c>
    </x:row>
    <x:row r="391" ht="112" customHeight="1">
      <x:c r="A391" s="157" t="str">
        <x:v>DGKC</x:v>
      </x:c>
      <x:c r="B391" s="157" t="str">
        <x:v>Earnings per share (Rs)</x:v>
      </x:c>
      <x:c r="C391" s="157" t="str">
        <x:v>FY2022</x:v>
      </x:c>
      <x:c r="D391" s="158" t="n">
        <x:v>6.78</x:v>
      </x:c>
      <x:c r="E391" s="158" t="n">
        <x:f>DGKC!E171</x:f>
        <x:v>6.783844570781772</x:v>
      </x:c>
      <x:c r="F391" s="158" t="n">
        <x:f>DGKC!E99/'PSX Prices'!O17</x:f>
        <x:v>6.783844570781772</x:v>
      </x:c>
      <x:c r="G391" s="162" t="str">
        <x:v>PAT / reported-basis weighted shares</x:v>
      </x:c>
      <x:c r="H391" s="162" t="str">
        <x:f>IF(AND(ISNUMBER(D391),ISNUMBER(F391)),IF(ROUND(D391,O391)=ROUND(F391,O391),"Reproduced to precision","Unresolved published value"),"Not comparable")</x:f>
        <x:v>Reproduced to precision</x:v>
      </x:c>
      <x:c r="I391" s="162" t="str">
        <x:v>Tested the source-based convention shown in G against official published precision. Unmatched values remain unresolved; neither the standardized method nor the financial inputs were altered to force agreement.</x:v>
      </x:c>
      <x:c r="J391" s="162" t="str">
        <x:v>FY2025 AR PDF p108</x:v>
      </x:c>
      <x:c r="K391" s="162" t="str">
        <x:v>Added source comparison</x:v>
      </x:c>
      <x:c r="L391" s="162" t="str">
        <x:v>Source comparison</x:v>
      </x:c>
      <x:c r="M391" s="157" t="n">
        <x:f>IF(ISNUMBER(E391),E391-D391,"n/m")</x:f>
        <x:v>0.0038445707817720276</x:v>
      </x:c>
      <x:c r="N391" s="157" t="n">
        <x:f>IF(ISNUMBER(F391),F391-D391,"n/m")</x:f>
        <x:v>0.0038445707817720276</x:v>
      </x:c>
      <x:c r="O391" s="157" t="n">
        <x:v>2</x:v>
      </x:c>
    </x:row>
    <x:row r="392" ht="112" customHeight="1">
      <x:c r="A392" s="75" t="str">
        <x:v>DGKC</x:v>
      </x:c>
      <x:c r="B392" s="75" t="str">
        <x:v>Earnings per share (Rs)</x:v>
      </x:c>
      <x:c r="C392" s="75" t="str">
        <x:v>FY2023</x:v>
      </x:c>
      <x:c r="D392" s="159" t="n">
        <x:v>-8.3</x:v>
      </x:c>
      <x:c r="E392" s="159" t="str">
        <x:f>DGKC!F171</x:f>
        <x:v>n/m</x:v>
      </x:c>
      <x:c r="F392" s="159" t="n">
        <x:f>DGKC!F99/'PSX Prices'!O18</x:f>
        <x:v>-8.299058065756444</x:v>
      </x:c>
      <x:c r="G392" s="163" t="str">
        <x:v>PAT / reported-basis weighted shares</x:v>
      </x:c>
      <x:c r="H392" s="163" t="str">
        <x:f>IF(AND(ISNUMBER(D392),ISNUMBER(F392)),IF(ROUND(D392,O392)=ROUND(F392,O392),"Reproduced to precision","Unresolved published value"),"Not comparable")</x:f>
        <x:v>Reproduced to precision</x:v>
      </x:c>
      <x:c r="I392" s="163" t="str">
        <x:v>Tested the source-based convention shown in G against official published precision. Unmatched values remain unresolved; neither the standardized method nor the financial inputs were altered to force agreement.</x:v>
      </x:c>
      <x:c r="J392" s="163" t="str">
        <x:v>FY2025 AR PDF p108</x:v>
      </x:c>
      <x:c r="K392" s="163" t="str">
        <x:v>Added source comparison</x:v>
      </x:c>
      <x:c r="L392" s="163" t="str">
        <x:v>Source comparison</x:v>
      </x:c>
      <x:c r="M392" s="75" t="str">
        <x:f>IF(ISNUMBER(E392),E392-D392,"n/m")</x:f>
        <x:v>n/m</x:v>
      </x:c>
      <x:c r="N392" s="75" t="n">
        <x:f>IF(ISNUMBER(F392),F392-D392,"n/m")</x:f>
        <x:v>0.0009419342435563749</x:v>
      </x:c>
      <x:c r="O392" s="75" t="n">
        <x:v>2</x:v>
      </x:c>
    </x:row>
    <x:row r="393" ht="112" customHeight="1">
      <x:c r="A393" s="157" t="str">
        <x:v>DGKC</x:v>
      </x:c>
      <x:c r="B393" s="157" t="str">
        <x:v>Earnings per share (Rs)</x:v>
      </x:c>
      <x:c r="C393" s="157" t="str">
        <x:v>FY2024</x:v>
      </x:c>
      <x:c r="D393" s="158" t="n">
        <x:v>1.24</x:v>
      </x:c>
      <x:c r="E393" s="158" t="n">
        <x:f>DGKC!G171</x:f>
        <x:v>1.2380103440270365</x:v>
      </x:c>
      <x:c r="F393" s="158" t="n">
        <x:f>DGKC!G99/'PSX Prices'!O19</x:f>
        <x:v>1.2380103440270365</x:v>
      </x:c>
      <x:c r="G393" s="162" t="str">
        <x:v>PAT / reported-basis weighted shares</x:v>
      </x:c>
      <x:c r="H393" s="162" t="str">
        <x:f>IF(AND(ISNUMBER(D393),ISNUMBER(F393)),IF(ROUND(D393,O393)=ROUND(F393,O393),"Reproduced to precision","Unresolved published value"),"Not comparable")</x:f>
        <x:v>Reproduced to precision</x:v>
      </x:c>
      <x:c r="I393" s="162" t="str">
        <x:v>Tested the source-based convention shown in G against official published precision. Unmatched values remain unresolved; neither the standardized method nor the financial inputs were altered to force agreement.</x:v>
      </x:c>
      <x:c r="J393" s="162" t="str">
        <x:v>FY2025 AR PDF p108</x:v>
      </x:c>
      <x:c r="K393" s="162" t="str">
        <x:v>Added source comparison</x:v>
      </x:c>
      <x:c r="L393" s="162" t="str">
        <x:v>Source comparison</x:v>
      </x:c>
      <x:c r="M393" s="157" t="n">
        <x:f>IF(ISNUMBER(E393),E393-D393,"n/m")</x:f>
        <x:v>-0.001989655972963522</x:v>
      </x:c>
      <x:c r="N393" s="157" t="n">
        <x:f>IF(ISNUMBER(F393),F393-D393,"n/m")</x:f>
        <x:v>-0.001989655972963522</x:v>
      </x:c>
      <x:c r="O393" s="157" t="n">
        <x:v>2</x:v>
      </x:c>
    </x:row>
    <x:row r="394" ht="112" customHeight="1">
      <x:c r="A394" s="75" t="str">
        <x:v>DGKC</x:v>
      </x:c>
      <x:c r="B394" s="75" t="str">
        <x:v>Earnings per share (Rs)</x:v>
      </x:c>
      <x:c r="C394" s="75" t="str">
        <x:v>FY2025</x:v>
      </x:c>
      <x:c r="D394" s="159" t="n">
        <x:v>19.8</x:v>
      </x:c>
      <x:c r="E394" s="159" t="n">
        <x:f>DGKC!H171</x:f>
        <x:v>19.800685803443983</x:v>
      </x:c>
      <x:c r="F394" s="159" t="n">
        <x:f>DGKC!H99/'PSX Prices'!O20</x:f>
        <x:v>19.800685803443983</x:v>
      </x:c>
      <x:c r="G394" s="163" t="str">
        <x:v>PAT / reported-basis weighted shares</x:v>
      </x:c>
      <x:c r="H394" s="163" t="str">
        <x:f>IF(AND(ISNUMBER(D394),ISNUMBER(F394)),IF(ROUND(D394,O394)=ROUND(F394,O394),"Reproduced to precision","Unresolved published value"),"Not comparable")</x:f>
        <x:v>Reproduced to precision</x:v>
      </x:c>
      <x:c r="I394" s="163" t="str">
        <x:v>Tested the source-based convention shown in G against official published precision. Unmatched values remain unresolved; neither the standardized method nor the financial inputs were altered to force agreement.</x:v>
      </x:c>
      <x:c r="J394" s="163" t="str">
        <x:v>FY2025 AR PDF p108</x:v>
      </x:c>
      <x:c r="K394" s="163" t="str">
        <x:v>Added source comparison</x:v>
      </x:c>
      <x:c r="L394" s="163" t="str">
        <x:v>Source comparison</x:v>
      </x:c>
      <x:c r="M394" s="75" t="n">
        <x:f>IF(ISNUMBER(E394),E394-D394,"n/m")</x:f>
        <x:v>0.0006858034439822802</x:v>
      </x:c>
      <x:c r="N394" s="75" t="n">
        <x:f>IF(ISNUMBER(F394),F394-D394,"n/m")</x:f>
        <x:v>0.0006858034439822802</x:v>
      </x:c>
      <x:c r="O394" s="75" t="n">
        <x:v>2</x:v>
      </x:c>
    </x:row>
    <x:row r="395" ht="112" customHeight="1">
      <x:c r="A395" s="157" t="str">
        <x:v>DGKC</x:v>
      </x:c>
      <x:c r="B395" s="157" t="str">
        <x:v>Dividend payout ratio</x:v>
      </x:c>
      <x:c r="C395" s="157" t="str">
        <x:v>FY2021</x:v>
      </x:c>
      <x:c r="D395" s="161" t="n">
        <x:v>0.12</x:v>
      </x:c>
      <x:c r="E395" s="161" t="n">
        <x:f>DGKC!D174</x:f>
        <x:v>0.11773366748421842</x:v>
      </x:c>
      <x:c r="F395" s="161" t="n">
        <x:f>'PSX Prices'!N16/(DGKC!D99/'PSX Prices'!O16)</x:f>
        <x:v>0.11773366748421842</x:v>
      </x:c>
      <x:c r="G395" s="162" t="str">
        <x:v>Report DPS / unrounded report-basis EPS</x:v>
      </x:c>
      <x:c r="H395" s="162" t="str">
        <x:f>IF(AND(ISNUMBER(D395),ISNUMBER(F395)),IF(ROUND(D395,O395)=ROUND(F395,O395),"Reproduced to precision","Unresolved published value"),"Not comparable")</x:f>
        <x:v>Reproduced to precision</x:v>
      </x:c>
      <x:c r="I395" s="162" t="str">
        <x:v>Printed payout is a whole percentage (12%, 15%, 10%); reconstruction is tested at that precision.</x:v>
      </x:c>
      <x:c r="J395" s="162" t="str">
        <x:v>FY2025 AR PDF p108</x:v>
      </x:c>
      <x:c r="K395" s="162" t="str">
        <x:v>Added source comparison</x:v>
      </x:c>
      <x:c r="L395" s="162" t="str">
        <x:v>Source comparison</x:v>
      </x:c>
      <x:c r="M395" s="157" t="n">
        <x:f>IF(ISNUMBER(E395),E395-D395,"n/m")</x:f>
        <x:v>-0.00226633251578158</x:v>
      </x:c>
      <x:c r="N395" s="157" t="n">
        <x:f>IF(ISNUMBER(F395),F395-D395,"n/m")</x:f>
        <x:v>-0.00226633251578158</x:v>
      </x:c>
      <x:c r="O395" s="157" t="n">
        <x:v>2</x:v>
      </x:c>
    </x:row>
    <x:row r="396" ht="112" customHeight="1">
      <x:c r="A396" s="75" t="str">
        <x:v>DGKC</x:v>
      </x:c>
      <x:c r="B396" s="75" t="str">
        <x:v>Dividend payout ratio</x:v>
      </x:c>
      <x:c r="C396" s="75" t="str">
        <x:v>FY2022</x:v>
      </x:c>
      <x:c r="D396" s="160" t="n">
        <x:v>0.15</x:v>
      </x:c>
      <x:c r="E396" s="160" t="n">
        <x:f>DGKC!E174</x:f>
        <x:v>0.14740903768742444</x:v>
      </x:c>
      <x:c r="F396" s="160" t="n">
        <x:f>'PSX Prices'!N17/(DGKC!E99/'PSX Prices'!O17)</x:f>
        <x:v>0.14740903768742444</x:v>
      </x:c>
      <x:c r="G396" s="163" t="str">
        <x:v>Report DPS / unrounded report-basis EPS</x:v>
      </x:c>
      <x:c r="H396" s="163" t="str">
        <x:f>IF(AND(ISNUMBER(D396),ISNUMBER(F396)),IF(ROUND(D396,O396)=ROUND(F396,O396),"Reproduced to precision","Unresolved published value"),"Not comparable")</x:f>
        <x:v>Reproduced to precision</x:v>
      </x:c>
      <x:c r="I396" s="163" t="str">
        <x:v>Printed payout is a whole percentage (12%, 15%, 10%); reconstruction is tested at that precision.</x:v>
      </x:c>
      <x:c r="J396" s="163" t="str">
        <x:v>FY2025 AR PDF p108</x:v>
      </x:c>
      <x:c r="K396" s="163" t="str">
        <x:v>Added source comparison</x:v>
      </x:c>
      <x:c r="L396" s="163" t="str">
        <x:v>Source comparison</x:v>
      </x:c>
      <x:c r="M396" s="75" t="n">
        <x:f>IF(ISNUMBER(E396),E396-D396,"n/m")</x:f>
        <x:v>-0.002590962312575551</x:v>
      </x:c>
      <x:c r="N396" s="75" t="n">
        <x:f>IF(ISNUMBER(F396),F396-D396,"n/m")</x:f>
        <x:v>-0.002590962312575551</x:v>
      </x:c>
      <x:c r="O396" s="75" t="n">
        <x:v>2</x:v>
      </x:c>
    </x:row>
    <x:row r="397" ht="112" customHeight="1">
      <x:c r="A397" s="157" t="str">
        <x:v>DGKC</x:v>
      </x:c>
      <x:c r="B397" s="157" t="str">
        <x:v>Dividend payout ratio</x:v>
      </x:c>
      <x:c r="C397" s="157" t="str">
        <x:v>FY2023</x:v>
      </x:c>
      <x:c r="D397" s="161" t="n">
        <x:v>0</x:v>
      </x:c>
      <x:c r="E397" s="161" t="str">
        <x:f>DGKC!F174</x:f>
        <x:v>n/m</x:v>
      </x:c>
      <x:c r="F397" s="161" t="n">
        <x:f>'PSX Prices'!N18/(DGKC!F99/'PSX Prices'!O18)</x:f>
        <x:v>0</x:v>
      </x:c>
      <x:c r="G397" s="162" t="str">
        <x:v>Report DPS / unrounded report-basis EPS</x:v>
      </x:c>
      <x:c r="H397" s="162" t="str">
        <x:f>IF(AND(ISNUMBER(D397),ISNUMBER(F397)),IF(ROUND(D397,O397)=ROUND(F397,O397),"Reproduced to precision","Unresolved published value"),"Not comparable")</x:f>
        <x:v>Reproduced to precision</x:v>
      </x:c>
      <x:c r="I397" s="162" t="str">
        <x:v>Printed payout is a whole percentage (12%, 15%, 10%); reconstruction is tested at that precision.</x:v>
      </x:c>
      <x:c r="J397" s="162" t="str">
        <x:v>FY2025 AR PDF p108</x:v>
      </x:c>
      <x:c r="K397" s="162" t="str">
        <x:v>Added source comparison</x:v>
      </x:c>
      <x:c r="L397" s="162" t="str">
        <x:v>Source comparison</x:v>
      </x:c>
      <x:c r="M397" s="157" t="str">
        <x:f>IF(ISNUMBER(E397),E397-D397,"n/m")</x:f>
        <x:v>n/m</x:v>
      </x:c>
      <x:c r="N397" s="157" t="n">
        <x:f>IF(ISNUMBER(F397),F397-D397,"n/m")</x:f>
        <x:v>0</x:v>
      </x:c>
      <x:c r="O397" s="157" t="n">
        <x:v>2</x:v>
      </x:c>
    </x:row>
    <x:row r="398" ht="112" customHeight="1">
      <x:c r="A398" s="75" t="str">
        <x:v>DGKC</x:v>
      </x:c>
      <x:c r="B398" s="75" t="str">
        <x:v>Dividend payout ratio</x:v>
      </x:c>
      <x:c r="C398" s="75" t="str">
        <x:v>FY2024</x:v>
      </x:c>
      <x:c r="D398" s="160" t="n">
        <x:v>0</x:v>
      </x:c>
      <x:c r="E398" s="160" t="n">
        <x:f>DGKC!G174</x:f>
        <x:v>0</x:v>
      </x:c>
      <x:c r="F398" s="160" t="n">
        <x:f>'PSX Prices'!N19/(DGKC!G99/'PSX Prices'!O19)</x:f>
        <x:v>0</x:v>
      </x:c>
      <x:c r="G398" s="163" t="str">
        <x:v>Report DPS / unrounded report-basis EPS</x:v>
      </x:c>
      <x:c r="H398" s="163" t="str">
        <x:f>IF(AND(ISNUMBER(D398),ISNUMBER(F398)),IF(ROUND(D398,O398)=ROUND(F398,O398),"Reproduced to precision","Unresolved published value"),"Not comparable")</x:f>
        <x:v>Reproduced to precision</x:v>
      </x:c>
      <x:c r="I398" s="163" t="str">
        <x:v>Printed payout is a whole percentage (12%, 15%, 10%); reconstruction is tested at that precision.</x:v>
      </x:c>
      <x:c r="J398" s="163" t="str">
        <x:v>FY2025 AR PDF p108</x:v>
      </x:c>
      <x:c r="K398" s="163" t="str">
        <x:v>Added source comparison</x:v>
      </x:c>
      <x:c r="L398" s="163" t="str">
        <x:v>Source comparison</x:v>
      </x:c>
      <x:c r="M398" s="75" t="n">
        <x:f>IF(ISNUMBER(E398),E398-D398,"n/m")</x:f>
        <x:v>0</x:v>
      </x:c>
      <x:c r="N398" s="75" t="n">
        <x:f>IF(ISNUMBER(F398),F398-D398,"n/m")</x:f>
        <x:v>0</x:v>
      </x:c>
      <x:c r="O398" s="75" t="n">
        <x:v>2</x:v>
      </x:c>
    </x:row>
    <x:row r="399" ht="112" customHeight="1">
      <x:c r="A399" s="157" t="str">
        <x:v>DGKC</x:v>
      </x:c>
      <x:c r="B399" s="157" t="str">
        <x:v>Dividend payout ratio</x:v>
      </x:c>
      <x:c r="C399" s="157" t="str">
        <x:v>FY2025</x:v>
      </x:c>
      <x:c r="D399" s="161" t="n">
        <x:v>0.1</x:v>
      </x:c>
      <x:c r="E399" s="161" t="n">
        <x:f>DGKC!H174</x:f>
        <x:v>0.10100660249111851</x:v>
      </x:c>
      <x:c r="F399" s="161" t="n">
        <x:f>'PSX Prices'!N20/(DGKC!H99/'PSX Prices'!O20)</x:f>
        <x:v>0.10100660249111851</x:v>
      </x:c>
      <x:c r="G399" s="162" t="str">
        <x:v>Report DPS / unrounded report-basis EPS</x:v>
      </x:c>
      <x:c r="H399" s="162" t="str">
        <x:f>IF(AND(ISNUMBER(D399),ISNUMBER(F399)),IF(ROUND(D399,O399)=ROUND(F399,O399),"Reproduced to precision","Unresolved published value"),"Not comparable")</x:f>
        <x:v>Reproduced to precision</x:v>
      </x:c>
      <x:c r="I399" s="162" t="str">
        <x:v>Printed payout is a whole percentage (12%, 15%, 10%); reconstruction is tested at that precision.</x:v>
      </x:c>
      <x:c r="J399" s="162" t="str">
        <x:v>FY2025 AR PDF p108</x:v>
      </x:c>
      <x:c r="K399" s="162" t="str">
        <x:v>Added source comparison</x:v>
      </x:c>
      <x:c r="L399" s="162" t="str">
        <x:v>Source comparison</x:v>
      </x:c>
      <x:c r="M399" s="157" t="n">
        <x:f>IF(ISNUMBER(E399),E399-D399,"n/m")</x:f>
        <x:v>0.0010066024911185023</x:v>
      </x:c>
      <x:c r="N399" s="157" t="n">
        <x:f>IF(ISNUMBER(F399),F399-D399,"n/m")</x:f>
        <x:v>0.0010066024911185023</x:v>
      </x:c>
      <x:c r="O399" s="157" t="n">
        <x:v>2</x:v>
      </x:c>
    </x:row>
    <x:row r="400" ht="112" customHeight="1">
      <x:c r="A400" s="75" t="str">
        <x:v>MLCF</x:v>
      </x:c>
      <x:c r="B400" s="75" t="str">
        <x:v>Cash ratio</x:v>
      </x:c>
      <x:c r="C400" s="75" t="str">
        <x:v>FY2021</x:v>
      </x:c>
      <x:c r="D400" s="159" t="n">
        <x:v>0.04</x:v>
      </x:c>
      <x:c r="E400" s="159" t="n">
        <x:f>MLCF!D140</x:f>
        <x:v>0.0428255580531044</x:v>
      </x:c>
      <x:c r="F400" s="159" t="n">
        <x:f>MLCF!D34/MLCF!D61</x:f>
        <x:v>0.0428255580531044</x:v>
      </x:c>
      <x:c r="G400" s="163" t="str">
        <x:v>Cash and bank / CL</x:v>
      </x:c>
      <x:c r="H400" s="163" t="str">
        <x:f>IF(AND(ISNUMBER(D400),ISNUMBER(F400)),IF(ROUND(D400,O400)=ROUND(F400,O400),"Reproduced to precision","Unresolved published value"),"Not comparable")</x:f>
        <x:v>Reproduced to precision</x:v>
      </x:c>
      <x:c r="I400" s="163" t="str">
        <x:v>Tested the source-based convention shown in G against official published precision. Unmatched values remain unresolved; neither the standardized method nor the financial inputs were altered to force agreement.</x:v>
      </x:c>
      <x:c r="J400" s="163" t="str">
        <x:v>FY2025 AR PDF p175</x:v>
      </x:c>
      <x:c r="K400" s="163" t="str">
        <x:v>Added source comparison</x:v>
      </x:c>
      <x:c r="L400" s="163" t="str">
        <x:v>Source comparison</x:v>
      </x:c>
      <x:c r="M400" s="75" t="n">
        <x:f>IF(ISNUMBER(E400),E400-D400,"n/m")</x:f>
        <x:v>0.0028255580531044017</x:v>
      </x:c>
      <x:c r="N400" s="75" t="n">
        <x:f>IF(ISNUMBER(F400),F400-D400,"n/m")</x:f>
        <x:v>0.0028255580531044017</x:v>
      </x:c>
      <x:c r="O400" s="75" t="n">
        <x:v>2</x:v>
      </x:c>
    </x:row>
    <x:row r="401" ht="112" customHeight="1">
      <x:c r="A401" s="157" t="str">
        <x:v>MLCF</x:v>
      </x:c>
      <x:c r="B401" s="157" t="str">
        <x:v>Cash ratio</x:v>
      </x:c>
      <x:c r="C401" s="157" t="str">
        <x:v>FY2022</x:v>
      </x:c>
      <x:c r="D401" s="158" t="n">
        <x:v>0.05</x:v>
      </x:c>
      <x:c r="E401" s="158" t="n">
        <x:f>MLCF!E140</x:f>
        <x:v>0.04900616554000333</x:v>
      </x:c>
      <x:c r="F401" s="158" t="n">
        <x:f>MLCF!E34/MLCF!E61</x:f>
        <x:v>0.04900616554000333</x:v>
      </x:c>
      <x:c r="G401" s="162" t="str">
        <x:v>Cash and bank / CL</x:v>
      </x:c>
      <x:c r="H401" s="162" t="str">
        <x:f>IF(AND(ISNUMBER(D401),ISNUMBER(F401)),IF(ROUND(D401,O401)=ROUND(F401,O401),"Reproduced to precision","Unresolved published value"),"Not comparable")</x:f>
        <x:v>Reproduced to precision</x:v>
      </x:c>
      <x:c r="I401" s="162" t="str">
        <x:v>Tested the source-based convention shown in G against official published precision. Unmatched values remain unresolved; neither the standardized method nor the financial inputs were altered to force agreement.</x:v>
      </x:c>
      <x:c r="J401" s="162" t="str">
        <x:v>FY2025 AR PDF p175</x:v>
      </x:c>
      <x:c r="K401" s="162" t="str">
        <x:v>Added source comparison</x:v>
      </x:c>
      <x:c r="L401" s="162" t="str">
        <x:v>Source comparison</x:v>
      </x:c>
      <x:c r="M401" s="157" t="n">
        <x:f>IF(ISNUMBER(E401),E401-D401,"n/m")</x:f>
        <x:v>-0.0009938344599966717</x:v>
      </x:c>
      <x:c r="N401" s="157" t="n">
        <x:f>IF(ISNUMBER(F401),F401-D401,"n/m")</x:f>
        <x:v>-0.0009938344599966717</x:v>
      </x:c>
      <x:c r="O401" s="157" t="n">
        <x:v>2</x:v>
      </x:c>
    </x:row>
    <x:row r="402" ht="112" customHeight="1">
      <x:c r="A402" s="75" t="str">
        <x:v>MLCF</x:v>
      </x:c>
      <x:c r="B402" s="75" t="str">
        <x:v>Cash ratio</x:v>
      </x:c>
      <x:c r="C402" s="75" t="str">
        <x:v>FY2023</x:v>
      </x:c>
      <x:c r="D402" s="159" t="n">
        <x:v>0.05</x:v>
      </x:c>
      <x:c r="E402" s="159" t="n">
        <x:f>MLCF!F140</x:f>
        <x:v>0.04568029853307005</x:v>
      </x:c>
      <x:c r="F402" s="159" t="n">
        <x:f>MLCF!F34/MLCF!F61</x:f>
        <x:v>0.04568029853307005</x:v>
      </x:c>
      <x:c r="G402" s="163" t="str">
        <x:v>Cash and bank / CL</x:v>
      </x:c>
      <x:c r="H402" s="163" t="str">
        <x:f>IF(AND(ISNUMBER(D402),ISNUMBER(F402)),IF(ROUND(D402,O402)=ROUND(F402,O402),"Reproduced to precision","Unresolved published value"),"Not comparable")</x:f>
        <x:v>Reproduced to precision</x:v>
      </x:c>
      <x:c r="I402" s="163" t="str">
        <x:v>Tested the source-based convention shown in G against official published precision. Unmatched values remain unresolved; neither the standardized method nor the financial inputs were altered to force agreement.</x:v>
      </x:c>
      <x:c r="J402" s="163" t="str">
        <x:v>FY2025 AR PDF p175</x:v>
      </x:c>
      <x:c r="K402" s="163" t="str">
        <x:v>Added source comparison</x:v>
      </x:c>
      <x:c r="L402" s="163" t="str">
        <x:v>Source comparison</x:v>
      </x:c>
      <x:c r="M402" s="75" t="n">
        <x:f>IF(ISNUMBER(E402),E402-D402,"n/m")</x:f>
        <x:v>-0.004319701466929955</x:v>
      </x:c>
      <x:c r="N402" s="75" t="n">
        <x:f>IF(ISNUMBER(F402),F402-D402,"n/m")</x:f>
        <x:v>-0.004319701466929955</x:v>
      </x:c>
      <x:c r="O402" s="75" t="n">
        <x:v>2</x:v>
      </x:c>
    </x:row>
    <x:row r="403" ht="112" customHeight="1">
      <x:c r="A403" s="157" t="str">
        <x:v>MLCF</x:v>
      </x:c>
      <x:c r="B403" s="157" t="str">
        <x:v>Cash ratio</x:v>
      </x:c>
      <x:c r="C403" s="157" t="str">
        <x:v>FY2024</x:v>
      </x:c>
      <x:c r="D403" s="158" t="n">
        <x:v>0.06</x:v>
      </x:c>
      <x:c r="E403" s="158" t="n">
        <x:f>MLCF!G140</x:f>
        <x:v>0.06094333738399166</x:v>
      </x:c>
      <x:c r="F403" s="158" t="n">
        <x:f>MLCF!G34/MLCF!G61</x:f>
        <x:v>0.06094333738399166</x:v>
      </x:c>
      <x:c r="G403" s="162" t="str">
        <x:v>Cash and bank / CL</x:v>
      </x:c>
      <x:c r="H403" s="162" t="str">
        <x:f>IF(AND(ISNUMBER(D403),ISNUMBER(F403)),IF(ROUND(D403,O403)=ROUND(F403,O403),"Reproduced to precision","Unresolved published value"),"Not comparable")</x:f>
        <x:v>Reproduced to precision</x:v>
      </x:c>
      <x:c r="I403" s="162" t="str">
        <x:v>Tested the source-based convention shown in G against official published precision. Unmatched values remain unresolved; neither the standardized method nor the financial inputs were altered to force agreement.</x:v>
      </x:c>
      <x:c r="J403" s="162" t="str">
        <x:v>FY2025 AR PDF p175</x:v>
      </x:c>
      <x:c r="K403" s="162" t="str">
        <x:v>Added source comparison</x:v>
      </x:c>
      <x:c r="L403" s="162" t="str">
        <x:v>Source comparison</x:v>
      </x:c>
      <x:c r="M403" s="157" t="n">
        <x:f>IF(ISNUMBER(E403),E403-D403,"n/m")</x:f>
        <x:v>0.0009433373839916603</x:v>
      </x:c>
      <x:c r="N403" s="157" t="n">
        <x:f>IF(ISNUMBER(F403),F403-D403,"n/m")</x:f>
        <x:v>0.0009433373839916603</x:v>
      </x:c>
      <x:c r="O403" s="157" t="n">
        <x:v>2</x:v>
      </x:c>
    </x:row>
    <x:row r="404" ht="112" customHeight="1">
      <x:c r="A404" s="75" t="str">
        <x:v>MLCF</x:v>
      </x:c>
      <x:c r="B404" s="75" t="str">
        <x:v>Cash ratio</x:v>
      </x:c>
      <x:c r="C404" s="75" t="str">
        <x:v>FY2025</x:v>
      </x:c>
      <x:c r="D404" s="159" t="n">
        <x:v>0.07</x:v>
      </x:c>
      <x:c r="E404" s="159" t="n">
        <x:f>MLCF!H140</x:f>
        <x:v>0.06924333482737245</x:v>
      </x:c>
      <x:c r="F404" s="159" t="n">
        <x:f>MLCF!H34/MLCF!H61</x:f>
        <x:v>0.06924333482737245</x:v>
      </x:c>
      <x:c r="G404" s="163" t="str">
        <x:v>Cash and bank / CL</x:v>
      </x:c>
      <x:c r="H404" s="163" t="str">
        <x:f>IF(AND(ISNUMBER(D404),ISNUMBER(F404)),IF(ROUND(D404,O404)=ROUND(F404,O404),"Reproduced to precision","Unresolved published value"),"Not comparable")</x:f>
        <x:v>Reproduced to precision</x:v>
      </x:c>
      <x:c r="I404" s="163" t="str">
        <x:v>Tested the source-based convention shown in G against official published precision. Unmatched values remain unresolved; neither the standardized method nor the financial inputs were altered to force agreement.</x:v>
      </x:c>
      <x:c r="J404" s="163" t="str">
        <x:v>FY2025 AR PDF p175</x:v>
      </x:c>
      <x:c r="K404" s="163" t="str">
        <x:v>Added source comparison</x:v>
      </x:c>
      <x:c r="L404" s="163" t="str">
        <x:v>Source comparison</x:v>
      </x:c>
      <x:c r="M404" s="75" t="n">
        <x:f>IF(ISNUMBER(E404),E404-D404,"n/m")</x:f>
        <x:v>-0.0007566651726275547</x:v>
      </x:c>
      <x:c r="N404" s="75" t="n">
        <x:f>IF(ISNUMBER(F404),F404-D404,"n/m")</x:f>
        <x:v>-0.0007566651726275547</x:v>
      </x:c>
      <x:c r="O404" s="75" t="n">
        <x:v>2</x:v>
      </x:c>
    </x:row>
    <x:row r="405" ht="112" customHeight="1">
      <x:c r="A405" s="157" t="str">
        <x:v>MLCF</x:v>
      </x:c>
      <x:c r="B405" s="157" t="str">
        <x:v>Inventory turnover</x:v>
      </x:c>
      <x:c r="C405" s="157" t="str">
        <x:v>FY2021</x:v>
      </x:c>
      <x:c r="D405" s="158" t="n">
        <x:v>14.04</x:v>
      </x:c>
      <x:c r="E405" s="158" t="n">
        <x:f>MLCF!D144</x:f>
        <x:v>2.5503561154199565</x:v>
      </x:c>
      <x:c r="F405" s="158" t="n">
        <x:f>(-MLCF!D85)/AVERAGE(MLCF!C31,MLCF!D31)</x:f>
        <x:v>14.319784241957235</x:v>
      </x:c>
      <x:c r="G405" s="162" t="str">
        <x:v>COGS / average stock-in-trade</x:v>
      </x:c>
      <x:c r="H405" s="162" t="str">
        <x:f>IF(AND(ISNUMBER(D405),ISNUMBER(F405)),IF(ROUND(D405,O405)=ROUND(F405,O405),"Reproduced to precision","Unresolved published value"),"Not comparable")</x:f>
        <x:v>Unresolved published value</x:v>
      </x:c>
      <x:c r="I405" s="162" t="str">
        <x:v>Tested the source-based convention shown in G against official published precision. Unmatched values remain unresolved; neither the standardized method nor the financial inputs were altered to force agreement.</x:v>
      </x:c>
      <x:c r="J405" s="162" t="str">
        <x:v>FY2025 AR PDF p175</x:v>
      </x:c>
      <x:c r="K405" s="162" t="str">
        <x:v>Added source comparison</x:v>
      </x:c>
      <x:c r="L405" s="162" t="str">
        <x:v>Official historical-series conflict / definition difference</x:v>
      </x:c>
      <x:c r="M405" s="157" t="n">
        <x:f>IF(ISNUMBER(E405),E405-D405,"n/m")</x:f>
        <x:v>-11.489643884580042</x:v>
      </x:c>
      <x:c r="N405" s="157" t="n">
        <x:f>IF(ISNUMBER(F405),F405-D405,"n/m")</x:f>
        <x:v>0.27978424195723584</x:v>
      </x:c>
      <x:c r="O405" s="157" t="n">
        <x:v>2</x:v>
      </x:c>
    </x:row>
    <x:row r="406" ht="112" customHeight="1">
      <x:c r="A406" s="75" t="str">
        <x:v>MLCF</x:v>
      </x:c>
      <x:c r="B406" s="75" t="str">
        <x:v>Inventory turnover</x:v>
      </x:c>
      <x:c r="C406" s="75" t="str">
        <x:v>FY2022</x:v>
      </x:c>
      <x:c r="D406" s="159" t="n">
        <x:v>14.67</x:v>
      </x:c>
      <x:c r="E406" s="159" t="n">
        <x:f>MLCF!E144</x:f>
        <x:v>2.6418827583195736</x:v>
      </x:c>
      <x:c r="F406" s="159" t="n">
        <x:f>(-MLCF!E85)/AVERAGE(MLCF!D31,MLCF!E31)</x:f>
        <x:v>14.958985547083621</x:v>
      </x:c>
      <x:c r="G406" s="163" t="str">
        <x:v>COGS / average stock-in-trade</x:v>
      </x:c>
      <x:c r="H406" s="163" t="str">
        <x:f>IF(AND(ISNUMBER(D406),ISNUMBER(F406)),IF(ROUND(D406,O406)=ROUND(F406,O406),"Reproduced to precision","Unresolved published value"),"Not comparable")</x:f>
        <x:v>Unresolved published value</x:v>
      </x:c>
      <x:c r="I406" s="163" t="str">
        <x:v>Tested the source-based convention shown in G against official published precision. Unmatched values remain unresolved; neither the standardized method nor the financial inputs were altered to force agreement.</x:v>
      </x:c>
      <x:c r="J406" s="163" t="str">
        <x:v>FY2025 AR PDF p175</x:v>
      </x:c>
      <x:c r="K406" s="163" t="str">
        <x:v>Added source comparison</x:v>
      </x:c>
      <x:c r="L406" s="163" t="str">
        <x:v>Official historical-series conflict / definition difference</x:v>
      </x:c>
      <x:c r="M406" s="75" t="n">
        <x:f>IF(ISNUMBER(E406),E406-D406,"n/m")</x:f>
        <x:v>-12.028117241680427</x:v>
      </x:c>
      <x:c r="N406" s="75" t="n">
        <x:f>IF(ISNUMBER(F406),F406-D406,"n/m")</x:f>
        <x:v>0.28898554708362134</x:v>
      </x:c>
      <x:c r="O406" s="75" t="n">
        <x:v>2</x:v>
      </x:c>
    </x:row>
    <x:row r="407" ht="112" customHeight="1">
      <x:c r="A407" s="157" t="str">
        <x:v>MLCF</x:v>
      </x:c>
      <x:c r="B407" s="157" t="str">
        <x:v>Inventory turnover</x:v>
      </x:c>
      <x:c r="C407" s="157" t="str">
        <x:v>FY2023</x:v>
      </x:c>
      <x:c r="D407" s="158" t="n">
        <x:v>13.36</x:v>
      </x:c>
      <x:c r="E407" s="158" t="n">
        <x:f>MLCF!F144</x:f>
        <x:v>2.991643999189634</x:v>
      </x:c>
      <x:c r="F407" s="158" t="n">
        <x:f>(-MLCF!F85)/AVERAGE(MLCF!E31,MLCF!F31)</x:f>
        <x:v>13.363895245003748</x:v>
      </x:c>
      <x:c r="G407" s="162" t="str">
        <x:v>COGS / average stock-in-trade</x:v>
      </x:c>
      <x:c r="H407" s="162" t="str">
        <x:f>IF(AND(ISNUMBER(D407),ISNUMBER(F407)),IF(ROUND(D407,O407)=ROUND(F407,O407),"Reproduced to precision","Unresolved published value"),"Not comparable")</x:f>
        <x:v>Reproduced to precision</x:v>
      </x:c>
      <x:c r="I407" s="162" t="str">
        <x:v>Tested the source-based convention shown in G against official published precision. Unmatched values remain unresolved; neither the standardized method nor the financial inputs were altered to force agreement.</x:v>
      </x:c>
      <x:c r="J407" s="162" t="str">
        <x:v>FY2025 AR PDF p175</x:v>
      </x:c>
      <x:c r="K407" s="162" t="str">
        <x:v>Added source comparison</x:v>
      </x:c>
      <x:c r="L407" s="162" t="str">
        <x:v>Official historical-series conflict / definition difference</x:v>
      </x:c>
      <x:c r="M407" s="157" t="n">
        <x:f>IF(ISNUMBER(E407),E407-D407,"n/m")</x:f>
        <x:v>-10.368356000810365</x:v>
      </x:c>
      <x:c r="N407" s="157" t="n">
        <x:f>IF(ISNUMBER(F407),F407-D407,"n/m")</x:f>
        <x:v>0.003895245003748826</x:v>
      </x:c>
      <x:c r="O407" s="157" t="n">
        <x:v>2</x:v>
      </x:c>
    </x:row>
    <x:row r="408" ht="112" customHeight="1">
      <x:c r="A408" s="75" t="str">
        <x:v>MLCF</x:v>
      </x:c>
      <x:c r="B408" s="75" t="str">
        <x:v>Inventory turnover</x:v>
      </x:c>
      <x:c r="C408" s="75" t="str">
        <x:v>FY2024</x:v>
      </x:c>
      <x:c r="D408" s="159" t="n">
        <x:v>12.76</x:v>
      </x:c>
      <x:c r="E408" s="159" t="n">
        <x:f>MLCF!G144</x:f>
        <x:v>3.101356599565812</x:v>
      </x:c>
      <x:c r="F408" s="159" t="n">
        <x:f>(-MLCF!G85)/AVERAGE(MLCF!F31,MLCF!G31)</x:f>
        <x:v>12.757553261335676</x:v>
      </x:c>
      <x:c r="G408" s="163" t="str">
        <x:v>COGS / average stock-in-trade</x:v>
      </x:c>
      <x:c r="H408" s="163" t="str">
        <x:f>IF(AND(ISNUMBER(D408),ISNUMBER(F408)),IF(ROUND(D408,O408)=ROUND(F408,O408),"Reproduced to precision","Unresolved published value"),"Not comparable")</x:f>
        <x:v>Reproduced to precision</x:v>
      </x:c>
      <x:c r="I408" s="163" t="str">
        <x:v>Tested the source-based convention shown in G against official published precision. Unmatched values remain unresolved; neither the standardized method nor the financial inputs were altered to force agreement.</x:v>
      </x:c>
      <x:c r="J408" s="163" t="str">
        <x:v>FY2025 AR PDF p175</x:v>
      </x:c>
      <x:c r="K408" s="163" t="str">
        <x:v>Added source comparison</x:v>
      </x:c>
      <x:c r="L408" s="163" t="str">
        <x:v>Official historical-series conflict / definition difference</x:v>
      </x:c>
      <x:c r="M408" s="75" t="n">
        <x:f>IF(ISNUMBER(E408),E408-D408,"n/m")</x:f>
        <x:v>-9.658643400434187</x:v>
      </x:c>
      <x:c r="N408" s="75" t="n">
        <x:f>IF(ISNUMBER(F408),F408-D408,"n/m")</x:f>
        <x:v>-0.0024467386643234335</x:v>
      </x:c>
      <x:c r="O408" s="75" t="n">
        <x:v>2</x:v>
      </x:c>
    </x:row>
    <x:row r="409" ht="112" customHeight="1">
      <x:c r="A409" s="157" t="str">
        <x:v>MLCF</x:v>
      </x:c>
      <x:c r="B409" s="157" t="str">
        <x:v>Inventory turnover</x:v>
      </x:c>
      <x:c r="C409" s="157" t="str">
        <x:v>FY2025</x:v>
      </x:c>
      <x:c r="D409" s="158" t="n">
        <x:v>11.74</x:v>
      </x:c>
      <x:c r="E409" s="158" t="n">
        <x:f>MLCF!H144</x:f>
        <x:v>2.786573287705566</x:v>
      </x:c>
      <x:c r="F409" s="158" t="n">
        <x:f>(-MLCF!H85)/AVERAGE(MLCF!G31,MLCF!H31)</x:f>
        <x:v>11.739822966093309</x:v>
      </x:c>
      <x:c r="G409" s="162" t="str">
        <x:v>COGS / average stock-in-trade</x:v>
      </x:c>
      <x:c r="H409" s="162" t="str">
        <x:f>IF(AND(ISNUMBER(D409),ISNUMBER(F409)),IF(ROUND(D409,O409)=ROUND(F409,O409),"Reproduced to precision","Unresolved published value"),"Not comparable")</x:f>
        <x:v>Reproduced to precision</x:v>
      </x:c>
      <x:c r="I409" s="162" t="str">
        <x:v>Tested the source-based convention shown in G against official published precision. Unmatched values remain unresolved; neither the standardized method nor the financial inputs were altered to force agreement.</x:v>
      </x:c>
      <x:c r="J409" s="162" t="str">
        <x:v>FY2025 AR PDF p175</x:v>
      </x:c>
      <x:c r="K409" s="162" t="str">
        <x:v>Added source comparison</x:v>
      </x:c>
      <x:c r="L409" s="162" t="str">
        <x:v>Official historical-series conflict / definition difference</x:v>
      </x:c>
      <x:c r="M409" s="157" t="n">
        <x:f>IF(ISNUMBER(E409),E409-D409,"n/m")</x:f>
        <x:v>-8.953426712294434</x:v>
      </x:c>
      <x:c r="N409" s="157" t="n">
        <x:f>IF(ISNUMBER(F409),F409-D409,"n/m")</x:f>
        <x:v>-0.00017703390669154828</x:v>
      </x:c>
      <x:c r="O409" s="157" t="n">
        <x:v>2</x:v>
      </x:c>
    </x:row>
    <x:row r="410" ht="112" customHeight="1">
      <x:c r="A410" s="75" t="str">
        <x:v>MLCF</x:v>
      </x:c>
      <x:c r="B410" s="75" t="str">
        <x:v>Receivables turnover</x:v>
      </x:c>
      <x:c r="C410" s="75" t="str">
        <x:v>FY2021</x:v>
      </x:c>
      <x:c r="D410" s="159" t="n">
        <x:v>15.02</x:v>
      </x:c>
      <x:c r="E410" s="159" t="n">
        <x:f>MLCF!D145</x:f>
        <x:v>15.020941563038772</x:v>
      </x:c>
      <x:c r="F410" s="159" t="n">
        <x:f>MLCF!D84/AVERAGE(MLCF!C32,MLCF!D32)</x:f>
        <x:v>15.020941563038772</x:v>
      </x:c>
      <x:c r="G410" s="163" t="str">
        <x:v>Sales / average trade debts</x:v>
      </x:c>
      <x:c r="H410" s="163" t="str">
        <x:f>IF(AND(ISNUMBER(D410),ISNUMBER(F410)),IF(ROUND(D410,O410)=ROUND(F410,O410),"Reproduced to precision","Unresolved published value"),"Not comparable")</x:f>
        <x:v>Reproduced to precision</x:v>
      </x:c>
      <x:c r="I410" s="163" t="str">
        <x:v>Tested the source-based convention shown in G against official published precision. Unmatched values remain unresolved; neither the standardized method nor the financial inputs were altered to force agreement.</x:v>
      </x:c>
      <x:c r="J410" s="163" t="str">
        <x:v>FY2025 AR PDF p175</x:v>
      </x:c>
      <x:c r="K410" s="163" t="str">
        <x:v>Added source comparison</x:v>
      </x:c>
      <x:c r="L410" s="163" t="str">
        <x:v>Source comparison</x:v>
      </x:c>
      <x:c r="M410" s="75" t="n">
        <x:f>IF(ISNUMBER(E410),E410-D410,"n/m")</x:f>
        <x:v>0.0009415630387721308</x:v>
      </x:c>
      <x:c r="N410" s="75" t="n">
        <x:f>IF(ISNUMBER(F410),F410-D410,"n/m")</x:f>
        <x:v>0.0009415630387721308</x:v>
      </x:c>
      <x:c r="O410" s="75" t="n">
        <x:v>2</x:v>
      </x:c>
    </x:row>
    <x:row r="411" ht="112" customHeight="1">
      <x:c r="A411" s="157" t="str">
        <x:v>MLCF</x:v>
      </x:c>
      <x:c r="B411" s="157" t="str">
        <x:v>Receivables turnover</x:v>
      </x:c>
      <x:c r="C411" s="157" t="str">
        <x:v>FY2022</x:v>
      </x:c>
      <x:c r="D411" s="158" t="n">
        <x:v>25.91</x:v>
      </x:c>
      <x:c r="E411" s="158" t="n">
        <x:f>MLCF!E145</x:f>
        <x:v>25.905344380386534</x:v>
      </x:c>
      <x:c r="F411" s="158" t="n">
        <x:f>MLCF!E84/AVERAGE(MLCF!D32,MLCF!E32)</x:f>
        <x:v>25.905344380386534</x:v>
      </x:c>
      <x:c r="G411" s="162" t="str">
        <x:v>Sales / average trade debts</x:v>
      </x:c>
      <x:c r="H411" s="162" t="str">
        <x:f>IF(AND(ISNUMBER(D411),ISNUMBER(F411)),IF(ROUND(D411,O411)=ROUND(F411,O411),"Reproduced to precision","Unresolved published value"),"Not comparable")</x:f>
        <x:v>Reproduced to precision</x:v>
      </x:c>
      <x:c r="I411" s="162" t="str">
        <x:v>Tested the source-based convention shown in G against official published precision. Unmatched values remain unresolved; neither the standardized method nor the financial inputs were altered to force agreement.</x:v>
      </x:c>
      <x:c r="J411" s="162" t="str">
        <x:v>FY2025 AR PDF p175</x:v>
      </x:c>
      <x:c r="K411" s="162" t="str">
        <x:v>Added source comparison</x:v>
      </x:c>
      <x:c r="L411" s="162" t="str">
        <x:v>Source comparison</x:v>
      </x:c>
      <x:c r="M411" s="157" t="n">
        <x:f>IF(ISNUMBER(E411),E411-D411,"n/m")</x:f>
        <x:v>-0.0046556196134659444</x:v>
      </x:c>
      <x:c r="N411" s="157" t="n">
        <x:f>IF(ISNUMBER(F411),F411-D411,"n/m")</x:f>
        <x:v>-0.0046556196134659444</x:v>
      </x:c>
      <x:c r="O411" s="157" t="n">
        <x:v>2</x:v>
      </x:c>
    </x:row>
    <x:row r="412" ht="112" customHeight="1">
      <x:c r="A412" s="75" t="str">
        <x:v>MLCF</x:v>
      </x:c>
      <x:c r="B412" s="75" t="str">
        <x:v>Receivables turnover</x:v>
      </x:c>
      <x:c r="C412" s="75" t="str">
        <x:v>FY2023</x:v>
      </x:c>
      <x:c r="D412" s="159" t="n">
        <x:v>26.6</x:v>
      </x:c>
      <x:c r="E412" s="159" t="n">
        <x:f>MLCF!F145</x:f>
        <x:v>26.600659453629234</x:v>
      </x:c>
      <x:c r="F412" s="159" t="n">
        <x:f>MLCF!F84/AVERAGE(MLCF!E32,MLCF!F32)</x:f>
        <x:v>26.600659453629234</x:v>
      </x:c>
      <x:c r="G412" s="163" t="str">
        <x:v>Sales / average trade debts</x:v>
      </x:c>
      <x:c r="H412" s="163" t="str">
        <x:f>IF(AND(ISNUMBER(D412),ISNUMBER(F412)),IF(ROUND(D412,O412)=ROUND(F412,O412),"Reproduced to precision","Unresolved published value"),"Not comparable")</x:f>
        <x:v>Reproduced to precision</x:v>
      </x:c>
      <x:c r="I412" s="163" t="str">
        <x:v>Tested the source-based convention shown in G against official published precision. Unmatched values remain unresolved; neither the standardized method nor the financial inputs were altered to force agreement.</x:v>
      </x:c>
      <x:c r="J412" s="163" t="str">
        <x:v>FY2025 AR PDF p175</x:v>
      </x:c>
      <x:c r="K412" s="163" t="str">
        <x:v>Added source comparison</x:v>
      </x:c>
      <x:c r="L412" s="163" t="str">
        <x:v>Source comparison</x:v>
      </x:c>
      <x:c r="M412" s="75" t="n">
        <x:f>IF(ISNUMBER(E412),E412-D412,"n/m")</x:f>
        <x:v>0.000659453629232587</x:v>
      </x:c>
      <x:c r="N412" s="75" t="n">
        <x:f>IF(ISNUMBER(F412),F412-D412,"n/m")</x:f>
        <x:v>0.000659453629232587</x:v>
      </x:c>
      <x:c r="O412" s="75" t="n">
        <x:v>2</x:v>
      </x:c>
    </x:row>
    <x:row r="413" ht="112" customHeight="1">
      <x:c r="A413" s="157" t="str">
        <x:v>MLCF</x:v>
      </x:c>
      <x:c r="B413" s="157" t="str">
        <x:v>Receivables turnover</x:v>
      </x:c>
      <x:c r="C413" s="157" t="str">
        <x:v>FY2024</x:v>
      </x:c>
      <x:c r="D413" s="158" t="n">
        <x:v>19.57</x:v>
      </x:c>
      <x:c r="E413" s="158" t="n">
        <x:f>MLCF!G145</x:f>
        <x:v>19.574371293114748</x:v>
      </x:c>
      <x:c r="F413" s="158" t="n">
        <x:f>MLCF!G84/AVERAGE(MLCF!F32,MLCF!G32)</x:f>
        <x:v>19.574371293114748</x:v>
      </x:c>
      <x:c r="G413" s="162" t="str">
        <x:v>Sales / average trade debts</x:v>
      </x:c>
      <x:c r="H413" s="162" t="str">
        <x:f>IF(AND(ISNUMBER(D413),ISNUMBER(F413)),IF(ROUND(D413,O413)=ROUND(F413,O413),"Reproduced to precision","Unresolved published value"),"Not comparable")</x:f>
        <x:v>Reproduced to precision</x:v>
      </x:c>
      <x:c r="I413" s="162" t="str">
        <x:v>Tested the source-based convention shown in G against official published precision. Unmatched values remain unresolved; neither the standardized method nor the financial inputs were altered to force agreement.</x:v>
      </x:c>
      <x:c r="J413" s="162" t="str">
        <x:v>FY2025 AR PDF p175</x:v>
      </x:c>
      <x:c r="K413" s="162" t="str">
        <x:v>Added source comparison</x:v>
      </x:c>
      <x:c r="L413" s="162" t="str">
        <x:v>Source comparison</x:v>
      </x:c>
      <x:c r="M413" s="157" t="n">
        <x:f>IF(ISNUMBER(E413),E413-D413,"n/m")</x:f>
        <x:v>0.004371293114747488</x:v>
      </x:c>
      <x:c r="N413" s="157" t="n">
        <x:f>IF(ISNUMBER(F413),F413-D413,"n/m")</x:f>
        <x:v>0.004371293114747488</x:v>
      </x:c>
      <x:c r="O413" s="157" t="n">
        <x:v>2</x:v>
      </x:c>
    </x:row>
    <x:row r="414" ht="112" customHeight="1">
      <x:c r="A414" s="75" t="str">
        <x:v>MLCF</x:v>
      </x:c>
      <x:c r="B414" s="75" t="str">
        <x:v>Receivables turnover</x:v>
      </x:c>
      <x:c r="C414" s="75" t="str">
        <x:v>FY2025</x:v>
      </x:c>
      <x:c r="D414" s="159" t="n">
        <x:v>15.67</x:v>
      </x:c>
      <x:c r="E414" s="159" t="n">
        <x:f>MLCF!H145</x:f>
        <x:v>15.67064847793373</x:v>
      </x:c>
      <x:c r="F414" s="159" t="n">
        <x:f>MLCF!H84/AVERAGE(MLCF!G32,MLCF!H32)</x:f>
        <x:v>15.67064847793373</x:v>
      </x:c>
      <x:c r="G414" s="163" t="str">
        <x:v>Sales / average trade debts</x:v>
      </x:c>
      <x:c r="H414" s="163" t="str">
        <x:f>IF(AND(ISNUMBER(D414),ISNUMBER(F414)),IF(ROUND(D414,O414)=ROUND(F414,O414),"Reproduced to precision","Unresolved published value"),"Not comparable")</x:f>
        <x:v>Reproduced to precision</x:v>
      </x:c>
      <x:c r="I414" s="163" t="str">
        <x:v>Tested the source-based convention shown in G against official published precision. Unmatched values remain unresolved; neither the standardized method nor the financial inputs were altered to force agreement.</x:v>
      </x:c>
      <x:c r="J414" s="163" t="str">
        <x:v>FY2025 AR PDF p175</x:v>
      </x:c>
      <x:c r="K414" s="163" t="str">
        <x:v>Added source comparison</x:v>
      </x:c>
      <x:c r="L414" s="163" t="str">
        <x:v>Source comparison</x:v>
      </x:c>
      <x:c r="M414" s="75" t="n">
        <x:f>IF(ISNUMBER(E414),E414-D414,"n/m")</x:f>
        <x:v>0.0006484779337299074</x:v>
      </x:c>
      <x:c r="N414" s="75" t="n">
        <x:f>IF(ISNUMBER(F414),F414-D414,"n/m")</x:f>
        <x:v>0.0006484779337299074</x:v>
      </x:c>
      <x:c r="O414" s="75" t="n">
        <x:v>2</x:v>
      </x:c>
    </x:row>
    <x:row r="415" ht="112" customHeight="1">
      <x:c r="A415" s="157" t="str">
        <x:v>MLCF</x:v>
      </x:c>
      <x:c r="B415" s="157" t="str">
        <x:v>Payables turnover</x:v>
      </x:c>
      <x:c r="C415" s="157" t="str">
        <x:v>FY2021</x:v>
      </x:c>
      <x:c r="D415" s="158" t="n">
        <x:v>7.46</x:v>
      </x:c>
      <x:c r="E415" s="158" t="n">
        <x:f>MLCF!D146</x:f>
        <x:v>7.260214629237185</x:v>
      </x:c>
      <x:c r="F415" s="158" t="n">
        <x:f>(-MLCF!D85)/(AVERAGE(MLCF!C51,MLCF!D51)-AVERAGE(MLCF!C253,MLCF!D253))</x:f>
        <x:v>7.602018186210061</x:v>
      </x:c>
      <x:c r="G415" s="162" t="str">
        <x:v>COGS / average trade creditors + import bills, excludes separately reported related supplier (company diagnostic)</x:v>
      </x:c>
      <x:c r="H415" s="162" t="str">
        <x:f>IF(AND(ISNUMBER(D415),ISNUMBER(F415)),IF(ROUND(D415,O415)=ROUND(F415,O415),"Reproduced to precision","Unresolved published value"),"Not comparable")</x:f>
        <x:v>Unresolved published value</x:v>
      </x:c>
      <x:c r="I415" s="162" t="str">
        <x:v>Tested the source-based convention shown in G against official published precision. Unmatched values remain unresolved; neither the standardized method nor the financial inputs were altered to force agreement.</x:v>
      </x:c>
      <x:c r="J415" s="162" t="str">
        <x:v>FY2025 AR PDF p175</x:v>
      </x:c>
      <x:c r="K415" s="162" t="str">
        <x:v>Added source comparison</x:v>
      </x:c>
      <x:c r="L415" s="162" t="str">
        <x:v>Source comparison</x:v>
      </x:c>
      <x:c r="M415" s="157" t="n">
        <x:f>IF(ISNUMBER(E415),E415-D415,"n/m")</x:f>
        <x:v>-0.19978537076281455</x:v>
      </x:c>
      <x:c r="N415" s="157" t="n">
        <x:f>IF(ISNUMBER(F415),F415-D415,"n/m")</x:f>
        <x:v>0.1420181862100609</x:v>
      </x:c>
      <x:c r="O415" s="157" t="n">
        <x:v>2</x:v>
      </x:c>
    </x:row>
    <x:row r="416" ht="112" customHeight="1">
      <x:c r="A416" s="75" t="str">
        <x:v>MLCF</x:v>
      </x:c>
      <x:c r="B416" s="75" t="str">
        <x:v>Payables turnover</x:v>
      </x:c>
      <x:c r="C416" s="75" t="str">
        <x:v>FY2022</x:v>
      </x:c>
      <x:c r="D416" s="159" t="n">
        <x:v>9.49</x:v>
      </x:c>
      <x:c r="E416" s="159" t="n">
        <x:f>MLCF!E146</x:f>
        <x:v>9.432516250291641</x:v>
      </x:c>
      <x:c r="F416" s="159" t="n">
        <x:f>(-MLCF!E85)/(AVERAGE(MLCF!D51,MLCF!E51)-AVERAGE(MLCF!D253,MLCF!E253))</x:f>
        <x:v>9.676565320005555</x:v>
      </x:c>
      <x:c r="G416" s="163" t="str">
        <x:v>COGS / average trade creditors + import bills, excludes separately reported related supplier (company diagnostic)</x:v>
      </x:c>
      <x:c r="H416" s="163" t="str">
        <x:f>IF(AND(ISNUMBER(D416),ISNUMBER(F416)),IF(ROUND(D416,O416)=ROUND(F416,O416),"Reproduced to precision","Unresolved published value"),"Not comparable")</x:f>
        <x:v>Unresolved published value</x:v>
      </x:c>
      <x:c r="I416" s="163" t="str">
        <x:v>Tested the source-based convention shown in G against official published precision. Unmatched values remain unresolved; neither the standardized method nor the financial inputs were altered to force agreement.</x:v>
      </x:c>
      <x:c r="J416" s="163" t="str">
        <x:v>FY2025 AR PDF p175</x:v>
      </x:c>
      <x:c r="K416" s="163" t="str">
        <x:v>Added source comparison</x:v>
      </x:c>
      <x:c r="L416" s="163" t="str">
        <x:v>Source comparison</x:v>
      </x:c>
      <x:c r="M416" s="75" t="n">
        <x:f>IF(ISNUMBER(E416),E416-D416,"n/m")</x:f>
        <x:v>-0.0574837497083589</x:v>
      </x:c>
      <x:c r="N416" s="75" t="n">
        <x:f>IF(ISNUMBER(F416),F416-D416,"n/m")</x:f>
        <x:v>0.18656532000555437</x:v>
      </x:c>
      <x:c r="O416" s="75" t="n">
        <x:v>2</x:v>
      </x:c>
    </x:row>
    <x:row r="417" ht="112" customHeight="1">
      <x:c r="A417" s="157" t="str">
        <x:v>MLCF</x:v>
      </x:c>
      <x:c r="B417" s="157" t="str">
        <x:v>Payables turnover</x:v>
      </x:c>
      <x:c r="C417" s="157" t="str">
        <x:v>FY2023</x:v>
      </x:c>
      <x:c r="D417" s="158" t="n">
        <x:v>10</x:v>
      </x:c>
      <x:c r="E417" s="158" t="n">
        <x:f>MLCF!F146</x:f>
        <x:v>8.141646254708599</x:v>
      </x:c>
      <x:c r="F417" s="158" t="n">
        <x:f>(-MLCF!F85)/(AVERAGE(MLCF!E51,MLCF!F51)-AVERAGE(MLCF!E253,MLCF!F253))</x:f>
        <x:v>10.00035671705504</x:v>
      </x:c>
      <x:c r="G417" s="162" t="str">
        <x:v>COGS / average trade creditors + import bills, excludes separately reported related supplier (company diagnostic)</x:v>
      </x:c>
      <x:c r="H417" s="162" t="str">
        <x:f>IF(AND(ISNUMBER(D417),ISNUMBER(F417)),IF(ROUND(D417,O417)=ROUND(F417,O417),"Reproduced to precision","Unresolved published value"),"Not comparable")</x:f>
        <x:v>Reproduced to precision</x:v>
      </x:c>
      <x:c r="I417" s="162" t="str">
        <x:v>Tested the source-based convention shown in G against official published precision. Unmatched values remain unresolved; neither the standardized method nor the financial inputs were altered to force agreement.</x:v>
      </x:c>
      <x:c r="J417" s="162" t="str">
        <x:v>FY2025 AR PDF p175</x:v>
      </x:c>
      <x:c r="K417" s="162" t="str">
        <x:v>Added source comparison</x:v>
      </x:c>
      <x:c r="L417" s="162" t="str">
        <x:v>Source comparison</x:v>
      </x:c>
      <x:c r="M417" s="157" t="n">
        <x:f>IF(ISNUMBER(E417),E417-D417,"n/m")</x:f>
        <x:v>-1.8583537452914012</x:v>
      </x:c>
      <x:c r="N417" s="157" t="n">
        <x:f>IF(ISNUMBER(F417),F417-D417,"n/m")</x:f>
        <x:v>0.00035671705503936835</x:v>
      </x:c>
      <x:c r="O417" s="157" t="n">
        <x:v>2</x:v>
      </x:c>
    </x:row>
    <x:row r="418" ht="112" customHeight="1">
      <x:c r="A418" s="75" t="str">
        <x:v>MLCF</x:v>
      </x:c>
      <x:c r="B418" s="75" t="str">
        <x:v>Payables turnover</x:v>
      </x:c>
      <x:c r="C418" s="75" t="str">
        <x:v>FY2024</x:v>
      </x:c>
      <x:c r="D418" s="159" t="n">
        <x:v>9.7</x:v>
      </x:c>
      <x:c r="E418" s="159" t="n">
        <x:f>MLCF!G146</x:f>
        <x:v>7.535611628959118</x:v>
      </x:c>
      <x:c r="F418" s="159" t="n">
        <x:f>(-MLCF!G85)/(AVERAGE(MLCF!F51,MLCF!G51)-AVERAGE(MLCF!F253,MLCF!G253))</x:f>
        <x:v>9.699427349071424</x:v>
      </x:c>
      <x:c r="G418" s="163" t="str">
        <x:v>COGS / average trade creditors + import bills, excludes separately reported related supplier (company diagnostic)</x:v>
      </x:c>
      <x:c r="H418" s="163" t="str">
        <x:f>IF(AND(ISNUMBER(D418),ISNUMBER(F418)),IF(ROUND(D418,O418)=ROUND(F418,O418),"Reproduced to precision","Unresolved published value"),"Not comparable")</x:f>
        <x:v>Reproduced to precision</x:v>
      </x:c>
      <x:c r="I418" s="163" t="str">
        <x:v>Tested the source-based convention shown in G against official published precision. Unmatched values remain unresolved; neither the standardized method nor the financial inputs were altered to force agreement.</x:v>
      </x:c>
      <x:c r="J418" s="163" t="str">
        <x:v>FY2025 AR PDF p175</x:v>
      </x:c>
      <x:c r="K418" s="163" t="str">
        <x:v>Added source comparison</x:v>
      </x:c>
      <x:c r="L418" s="163" t="str">
        <x:v>Source comparison</x:v>
      </x:c>
      <x:c r="M418" s="75" t="n">
        <x:f>IF(ISNUMBER(E418),E418-D418,"n/m")</x:f>
        <x:v>-2.1643883710408813</x:v>
      </x:c>
      <x:c r="N418" s="75" t="n">
        <x:f>IF(ISNUMBER(F418),F418-D418,"n/m")</x:f>
        <x:v>-0.0005726509285750581</x:v>
      </x:c>
      <x:c r="O418" s="75" t="n">
        <x:v>2</x:v>
      </x:c>
    </x:row>
    <x:row r="419" ht="112" customHeight="1">
      <x:c r="A419" s="157" t="str">
        <x:v>MLCF</x:v>
      </x:c>
      <x:c r="B419" s="157" t="str">
        <x:v>Payables turnover</x:v>
      </x:c>
      <x:c r="C419" s="157" t="str">
        <x:v>FY2025</x:v>
      </x:c>
      <x:c r="D419" s="158" t="n">
        <x:v>8.65</x:v>
      </x:c>
      <x:c r="E419" s="158" t="n">
        <x:f>MLCF!H146</x:f>
        <x:v>7.106573052099677</x:v>
      </x:c>
      <x:c r="F419" s="158" t="n">
        <x:f>(-MLCF!H85)/(AVERAGE(MLCF!G51,MLCF!H51)-AVERAGE(MLCF!G253,MLCF!H253))</x:f>
        <x:v>8.654036933716114</x:v>
      </x:c>
      <x:c r="G419" s="162" t="str">
        <x:v>COGS / average trade creditors + import bills, excludes separately reported related supplier (company diagnostic)</x:v>
      </x:c>
      <x:c r="H419" s="162" t="str">
        <x:f>IF(AND(ISNUMBER(D419),ISNUMBER(F419)),IF(ROUND(D419,O419)=ROUND(F419,O419),"Reproduced to precision","Unresolved published value"),"Not comparable")</x:f>
        <x:v>Reproduced to precision</x:v>
      </x:c>
      <x:c r="I419" s="162" t="str">
        <x:v>Tested the source-based convention shown in G against official published precision. Unmatched values remain unresolved; neither the standardized method nor the financial inputs were altered to force agreement.</x:v>
      </x:c>
      <x:c r="J419" s="162" t="str">
        <x:v>FY2025 AR PDF p175</x:v>
      </x:c>
      <x:c r="K419" s="162" t="str">
        <x:v>Added source comparison</x:v>
      </x:c>
      <x:c r="L419" s="162" t="str">
        <x:v>Source comparison</x:v>
      </x:c>
      <x:c r="M419" s="157" t="n">
        <x:f>IF(ISNUMBER(E419),E419-D419,"n/m")</x:f>
        <x:v>-1.5434269479003238</x:v>
      </x:c>
      <x:c r="N419" s="157" t="n">
        <x:f>IF(ISNUMBER(F419),F419-D419,"n/m")</x:f>
        <x:v>0.004036933716113467</x:v>
      </x:c>
      <x:c r="O419" s="157" t="n">
        <x:v>2</x:v>
      </x:c>
    </x:row>
    <x:row r="420" ht="112" customHeight="1">
      <x:c r="A420" s="75" t="str">
        <x:v>MLCF</x:v>
      </x:c>
      <x:c r="B420" s="75" t="str">
        <x:v>Cash conversion cycle (days)</x:v>
      </x:c>
      <x:c r="C420" s="75" t="str">
        <x:v>FY2021</x:v>
      </x:c>
      <x:c r="D420" s="159" t="n">
        <x:v>1.33</x:v>
      </x:c>
      <x:c r="E420" s="159" t="n">
        <x:f>MLCF!D151</x:f>
        <x:v>117.14268112684906</x:v>
      </x:c>
      <x:c r="F420" s="159" t="n">
        <x:f>365*AVERAGE(MLCF!C31,MLCF!D31)/(-MLCF!D85)+365*AVERAGE(MLCF!C32,MLCF!D32)/MLCF!D84-365*(AVERAGE(MLCF!C51,MLCF!D51)-AVERAGE(MLCF!C253,MLCF!D253))/(-MLCF!D85)</x:f>
        <x:v>1.7750539377888757</x:v>
      </x:c>
      <x:c r="G420" s="163" t="str">
        <x:v>Company component conventions; independent raw reconstruction</x:v>
      </x:c>
      <x:c r="H420" s="163" t="str">
        <x:f>IF(AND(ISNUMBER(D420),ISNUMBER(F420)),IF(ROUND(D420,O420)=ROUND(F420,O420),"Reproduced to precision","Unresolved published value"),"Not comparable")</x:f>
        <x:v>Unresolved published value</x:v>
      </x:c>
      <x:c r="I420" s="163" t="str">
        <x:v>Tested the source-based convention shown in G against official published precision. Unmatched values remain unresolved; neither the standardized method nor the financial inputs were altered to force agreement.</x:v>
      </x:c>
      <x:c r="J420" s="163" t="str">
        <x:v>FY2025 AR PDF p175</x:v>
      </x:c>
      <x:c r="K420" s="163" t="str">
        <x:v>Added source comparison</x:v>
      </x:c>
      <x:c r="L420" s="163" t="str">
        <x:v>Source comparison</x:v>
      </x:c>
      <x:c r="M420" s="75" t="n">
        <x:f>IF(ISNUMBER(E420),E420-D420,"n/m")</x:f>
        <x:v>115.81268112684906</x:v>
      </x:c>
      <x:c r="N420" s="75" t="n">
        <x:f>IF(ISNUMBER(F420),F420-D420,"n/m")</x:f>
        <x:v>0.4450539377888756</x:v>
      </x:c>
      <x:c r="O420" s="75" t="n">
        <x:v>2</x:v>
      </x:c>
    </x:row>
    <x:row r="421" ht="112" customHeight="1">
      <x:c r="A421" s="157" t="str">
        <x:v>MLCF</x:v>
      </x:c>
      <x:c r="B421" s="157" t="str">
        <x:v>Cash conversion cycle (days)</x:v>
      </x:c>
      <x:c r="C421" s="157" t="str">
        <x:v>FY2022</x:v>
      </x:c>
      <x:c r="D421" s="158" t="n">
        <x:v>0.51</x:v>
      </x:c>
      <x:c r="E421" s="158" t="n">
        <x:f>MLCF!E151</x:f>
        <x:v>113.55287092262091</x:v>
      </x:c>
      <x:c r="F421" s="158" t="n">
        <x:f>365*AVERAGE(MLCF!D31,MLCF!E31)/(-MLCF!E85)+365*AVERAGE(MLCF!D32,MLCF!E32)/MLCF!E84-365*(AVERAGE(MLCF!D51,MLCF!E51)-AVERAGE(MLCF!D253,MLCF!E253))/(-MLCF!E85)</x:f>
        <x:v>0.7698115654103717</x:v>
      </x:c>
      <x:c r="G421" s="162" t="str">
        <x:v>Company component conventions; independent raw reconstruction</x:v>
      </x:c>
      <x:c r="H421" s="162" t="str">
        <x:f>IF(AND(ISNUMBER(D421),ISNUMBER(F421)),IF(ROUND(D421,O421)=ROUND(F421,O421),"Reproduced to precision","Unresolved published value"),"Not comparable")</x:f>
        <x:v>Unresolved published value</x:v>
      </x:c>
      <x:c r="I421" s="162" t="str">
        <x:v>Tested the source-based convention shown in G against official published precision. Unmatched values remain unresolved; neither the standardized method nor the financial inputs were altered to force agreement.</x:v>
      </x:c>
      <x:c r="J421" s="162" t="str">
        <x:v>FY2025 AR PDF p175</x:v>
      </x:c>
      <x:c r="K421" s="162" t="str">
        <x:v>Added source comparison</x:v>
      </x:c>
      <x:c r="L421" s="162" t="str">
        <x:v>Source comparison</x:v>
      </x:c>
      <x:c r="M421" s="157" t="n">
        <x:f>IF(ISNUMBER(E421),E421-D421,"n/m")</x:f>
        <x:v>113.0428709226209</x:v>
      </x:c>
      <x:c r="N421" s="157" t="n">
        <x:f>IF(ISNUMBER(F421),F421-D421,"n/m")</x:f>
        <x:v>0.25981156541037165</x:v>
      </x:c>
      <x:c r="O421" s="157" t="n">
        <x:v>2</x:v>
      </x:c>
    </x:row>
    <x:row r="422" ht="112" customHeight="1">
      <x:c r="A422" s="75" t="str">
        <x:v>MLCF</x:v>
      </x:c>
      <x:c r="B422" s="75" t="str">
        <x:v>Cash conversion cycle (days)</x:v>
      </x:c>
      <x:c r="C422" s="75" t="str">
        <x:v>FY2023</x:v>
      </x:c>
      <x:c r="D422" s="159" t="n">
        <x:v>4.54</x:v>
      </x:c>
      <x:c r="E422" s="159" t="n">
        <x:f>MLCF!F151</x:f>
        <x:v>90.89673173756466</x:v>
      </x:c>
      <x:c r="F422" s="159" t="n">
        <x:f>365*AVERAGE(MLCF!E31,MLCF!F31)/(-MLCF!F85)+365*AVERAGE(MLCF!E32,MLCF!F32)/MLCF!F84-365*(AVERAGE(MLCF!E51,MLCF!F51)-AVERAGE(MLCF!E253,MLCF!F253))/(-MLCF!F85)</x:f>
        <x:v>4.5351623788220365</x:v>
      </x:c>
      <x:c r="G422" s="163" t="str">
        <x:v>Company component conventions; independent raw reconstruction</x:v>
      </x:c>
      <x:c r="H422" s="163" t="str">
        <x:f>IF(AND(ISNUMBER(D422),ISNUMBER(F422)),IF(ROUND(D422,O422)=ROUND(F422,O422),"Reproduced to precision","Unresolved published value"),"Not comparable")</x:f>
        <x:v>Reproduced to precision</x:v>
      </x:c>
      <x:c r="I422" s="163" t="str">
        <x:v>Tested the source-based convention shown in G against official published precision. Unmatched values remain unresolved; neither the standardized method nor the financial inputs were altered to force agreement.</x:v>
      </x:c>
      <x:c r="J422" s="163" t="str">
        <x:v>FY2025 AR PDF p175</x:v>
      </x:c>
      <x:c r="K422" s="163" t="str">
        <x:v>Added source comparison</x:v>
      </x:c>
      <x:c r="L422" s="163" t="str">
        <x:v>Source comparison</x:v>
      </x:c>
      <x:c r="M422" s="75" t="n">
        <x:f>IF(ISNUMBER(E422),E422-D422,"n/m")</x:f>
        <x:v>86.35673173756466</x:v>
      </x:c>
      <x:c r="N422" s="75" t="n">
        <x:f>IF(ISNUMBER(F422),F422-D422,"n/m")</x:f>
        <x:v>-0.0048376211779634914</x:v>
      </x:c>
      <x:c r="O422" s="75" t="n">
        <x:v>2</x:v>
      </x:c>
    </x:row>
    <x:row r="423" ht="112" customHeight="1">
      <x:c r="A423" s="157" t="str">
        <x:v>MLCF</x:v>
      </x:c>
      <x:c r="B423" s="157" t="str">
        <x:v>Cash conversion cycle (days)</x:v>
      </x:c>
      <x:c r="C423" s="157" t="str">
        <x:v>FY2024</x:v>
      </x:c>
      <x:c r="D423" s="158" t="n">
        <x:v>9.76</x:v>
      </x:c>
      <x:c r="E423" s="158" t="n">
        <x:f>MLCF!G151</x:f>
        <x:v>87.90058518831941</x:v>
      </x:c>
      <x:c r="F423" s="158" t="n">
        <x:f>365*AVERAGE(MLCF!F31,MLCF!G31)/(-MLCF!G85)+365*AVERAGE(MLCF!F32,MLCF!G32)/MLCF!G84-365*(AVERAGE(MLCF!F51,MLCF!G51)-AVERAGE(MLCF!F253,MLCF!G253))/(-MLCF!G85)</x:f>
        <x:v>9.626245517587314</x:v>
      </x:c>
      <x:c r="G423" s="162" t="str">
        <x:v>Company component conventions; independent raw reconstruction</x:v>
      </x:c>
      <x:c r="H423" s="162" t="str">
        <x:f>IF(AND(ISNUMBER(D423),ISNUMBER(F423)),IF(ROUND(D423,O423)=ROUND(F423,O423),"Reproduced to precision","Unresolved published value"),"Not comparable")</x:f>
        <x:v>Unresolved published value</x:v>
      </x:c>
      <x:c r="I423" s="162" t="str">
        <x:v>Tested the source-based convention shown in G against official published precision. Unmatched values remain unresolved; neither the standardized method nor the financial inputs were altered to force agreement.</x:v>
      </x:c>
      <x:c r="J423" s="162" t="str">
        <x:v>FY2025 AR PDF p175</x:v>
      </x:c>
      <x:c r="K423" s="162" t="str">
        <x:v>Added source comparison</x:v>
      </x:c>
      <x:c r="L423" s="162" t="str">
        <x:v>Source comparison</x:v>
      </x:c>
      <x:c r="M423" s="157" t="n">
        <x:f>IF(ISNUMBER(E423),E423-D423,"n/m")</x:f>
        <x:v>78.1405851883194</x:v>
      </x:c>
      <x:c r="N423" s="157" t="n">
        <x:f>IF(ISNUMBER(F423),F423-D423,"n/m")</x:f>
        <x:v>-0.1337544824126855</x:v>
      </x:c>
      <x:c r="O423" s="157" t="n">
        <x:v>2</x:v>
      </x:c>
    </x:row>
    <x:row r="424" ht="112" customHeight="1">
      <x:c r="A424" s="75" t="str">
        <x:v>MLCF</x:v>
      </x:c>
      <x:c r="B424" s="75" t="str">
        <x:v>Cash conversion cycle (days)</x:v>
      </x:c>
      <x:c r="C424" s="75" t="str">
        <x:v>FY2025</x:v>
      </x:c>
      <x:c r="D424" s="159" t="n">
        <x:v>12.21</x:v>
      </x:c>
      <x:c r="E424" s="159" t="n">
        <x:f>MLCF!H151</x:f>
        <x:v>102.9163012483726</x:v>
      </x:c>
      <x:c r="F424" s="159" t="n">
        <x:f>365*AVERAGE(MLCF!G31,MLCF!H31)/(-MLCF!H85)+365*AVERAGE(MLCF!G32,MLCF!H32)/MLCF!H84-365*(AVERAGE(MLCF!G51,MLCF!H51)-AVERAGE(MLCF!G253,MLCF!H253))/(-MLCF!H85)</x:f>
        <x:v>12.205862982549085</x:v>
      </x:c>
      <x:c r="G424" s="163" t="str">
        <x:v>Company component conventions; independent raw reconstruction</x:v>
      </x:c>
      <x:c r="H424" s="163" t="str">
        <x:f>IF(AND(ISNUMBER(D424),ISNUMBER(F424)),IF(ROUND(D424,O424)=ROUND(F424,O424),"Reproduced to precision","Unresolved published value"),"Not comparable")</x:f>
        <x:v>Reproduced to precision</x:v>
      </x:c>
      <x:c r="I424" s="163" t="str">
        <x:v>Tested the source-based convention shown in G against official published precision. Unmatched values remain unresolved; neither the standardized method nor the financial inputs were altered to force agreement.</x:v>
      </x:c>
      <x:c r="J424" s="163" t="str">
        <x:v>FY2025 AR PDF p175</x:v>
      </x:c>
      <x:c r="K424" s="163" t="str">
        <x:v>Added source comparison</x:v>
      </x:c>
      <x:c r="L424" s="163" t="str">
        <x:v>Source comparison</x:v>
      </x:c>
      <x:c r="M424" s="75" t="n">
        <x:f>IF(ISNUMBER(E424),E424-D424,"n/m")</x:f>
        <x:v>90.7063012483726</x:v>
      </x:c>
      <x:c r="N424" s="75" t="n">
        <x:f>IF(ISNUMBER(F424),F424-D424,"n/m")</x:f>
        <x:v>-0.004137017450915437</x:v>
      </x:c>
      <x:c r="O424" s="75" t="n">
        <x:v>2</x:v>
      </x:c>
    </x:row>
    <x:row r="425" ht="112" customHeight="1">
      <x:c r="A425" s="157" t="str">
        <x:v>MLCF</x:v>
      </x:c>
      <x:c r="B425" s="157" t="str">
        <x:v>Debt-to-equity</x:v>
      </x:c>
      <x:c r="C425" s="157" t="str">
        <x:v>FY2021</x:v>
      </x:c>
      <x:c r="D425" s="158" t="n">
        <x:v>0.28</x:v>
      </x:c>
      <x:c r="E425" s="158" t="n">
        <x:f>MLCF!D156</x:f>
        <x:v>0.7643791878658399</x:v>
      </x:c>
      <x:c r="F425" s="158" t="n">
        <x:f>(MLCF!D43+MLCF!D55+MLCF!D45+MLCF!D57+MLCF!D44+MLCF!D56)/(MLCF!D43+MLCF!D55+MLCF!D45+MLCF!D57+MLCF!D44+MLCF!D56+MLCF!D41)</x:f>
        <x:v>0.27779845315437596</x:v>
      </x:c>
      <x:c r="G425" s="162" t="str">
        <x:v>Gross long-term bank/subsidiary financing and leases / (same debt + equity)</x:v>
      </x:c>
      <x:c r="H425" s="162" t="str">
        <x:f>IF(AND(ISNUMBER(D425),ISNUMBER(F425)),IF(ROUND(D425,O425)=ROUND(F425,O425),"Reproduced to precision","Unresolved published value"),"Not comparable")</x:f>
        <x:v>Reproduced to precision</x:v>
      </x:c>
      <x:c r="I425" s="162" t="str">
        <x:v>Official financing/lease/grant notes support gross long-term financing and lease balances. Published ratio is a whole-percentage debt share of capital, not total liabilities / equity. Standardized D/E unchanged.</x:v>
      </x:c>
      <x:c r="J425" s="162" t="str">
        <x:v>FY2025 AR PDF p175</x:v>
      </x:c>
      <x:c r="K425" s="162" t="str">
        <x:v>Added source comparison</x:v>
      </x:c>
      <x:c r="L425" s="162" t="str">
        <x:v>Published methodology difference (reconstructed)</x:v>
      </x:c>
      <x:c r="M425" s="157" t="n">
        <x:f>IF(ISNUMBER(E425),E425-D425,"n/m")</x:f>
        <x:v>0.4843791878658399</x:v>
      </x:c>
      <x:c r="N425" s="157" t="n">
        <x:f>IF(ISNUMBER(F425),F425-D425,"n/m")</x:f>
        <x:v>-0.0022015468456240694</x:v>
      </x:c>
      <x:c r="O425" s="157" t="n">
        <x:v>2</x:v>
      </x:c>
    </x:row>
    <x:row r="426" ht="112" customHeight="1">
      <x:c r="A426" s="75" t="str">
        <x:v>MLCF</x:v>
      </x:c>
      <x:c r="B426" s="75" t="str">
        <x:v>Debt-to-equity</x:v>
      </x:c>
      <x:c r="C426" s="75" t="str">
        <x:v>FY2022</x:v>
      </x:c>
      <x:c r="D426" s="159" t="n">
        <x:v>0.36</x:v>
      </x:c>
      <x:c r="E426" s="159" t="n">
        <x:f>MLCF!E156</x:f>
        <x:v>1.027026790468161</x:v>
      </x:c>
      <x:c r="F426" s="159" t="n">
        <x:f>(MLCF!E43+MLCF!E55+MLCF!E45+MLCF!E57+MLCF!E44+MLCF!E56)/(MLCF!E43+MLCF!E55+MLCF!E45+MLCF!E57+MLCF!E44+MLCF!E56+MLCF!E41)</x:f>
        <x:v>0.35551036920968176</x:v>
      </x:c>
      <x:c r="G426" s="163" t="str">
        <x:v>Gross long-term bank/subsidiary financing and leases / (same debt + equity)</x:v>
      </x:c>
      <x:c r="H426" s="163" t="str">
        <x:f>IF(AND(ISNUMBER(D426),ISNUMBER(F426)),IF(ROUND(D426,O426)=ROUND(F426,O426),"Reproduced to precision","Unresolved published value"),"Not comparable")</x:f>
        <x:v>Reproduced to precision</x:v>
      </x:c>
      <x:c r="I426" s="163" t="str">
        <x:v>Official financing/lease/grant notes support gross long-term financing and lease balances. Published ratio is a whole-percentage debt share of capital, not total liabilities / equity. Standardized D/E unchanged.</x:v>
      </x:c>
      <x:c r="J426" s="163" t="str">
        <x:v>FY2025 AR PDF p175</x:v>
      </x:c>
      <x:c r="K426" s="163" t="str">
        <x:v>Added source comparison</x:v>
      </x:c>
      <x:c r="L426" s="163" t="str">
        <x:v>Published methodology difference (reconstructed)</x:v>
      </x:c>
      <x:c r="M426" s="75" t="n">
        <x:f>IF(ISNUMBER(E426),E426-D426,"n/m")</x:f>
        <x:v>0.6670267904681609</x:v>
      </x:c>
      <x:c r="N426" s="75" t="n">
        <x:f>IF(ISNUMBER(F426),F426-D426,"n/m")</x:f>
        <x:v>-0.004489630790318222</x:v>
      </x:c>
      <x:c r="O426" s="75" t="n">
        <x:v>2</x:v>
      </x:c>
    </x:row>
    <x:row r="427" ht="112" customHeight="1">
      <x:c r="A427" s="157" t="str">
        <x:v>MLCF</x:v>
      </x:c>
      <x:c r="B427" s="157" t="str">
        <x:v>Debt-to-equity</x:v>
      </x:c>
      <x:c r="C427" s="157" t="str">
        <x:v>FY2023</x:v>
      </x:c>
      <x:c r="D427" s="158" t="n">
        <x:v>0.32</x:v>
      </x:c>
      <x:c r="E427" s="158" t="n">
        <x:f>MLCF!F156</x:f>
        <x:v>0.9973611938820361</x:v>
      </x:c>
      <x:c r="F427" s="158" t="n">
        <x:f>(MLCF!F43+MLCF!F55+MLCF!F45+MLCF!F57+MLCF!F44+MLCF!F56)/(MLCF!F43+MLCF!F55+MLCF!F45+MLCF!F57+MLCF!F44+MLCF!F56+MLCF!F41)</x:f>
        <x:v>0.31506914660833507</x:v>
      </x:c>
      <x:c r="G427" s="162" t="str">
        <x:v>Gross long-term bank/subsidiary financing and leases / (same debt + equity)</x:v>
      </x:c>
      <x:c r="H427" s="162" t="str">
        <x:f>IF(AND(ISNUMBER(D427),ISNUMBER(F427)),IF(ROUND(D427,O427)=ROUND(F427,O427),"Reproduced to precision","Unresolved published value"),"Not comparable")</x:f>
        <x:v>Reproduced to precision</x:v>
      </x:c>
      <x:c r="I427" s="162" t="str">
        <x:v>Official financing/lease/grant notes support gross long-term financing and lease balances. Published ratio is a whole-percentage debt share of capital, not total liabilities / equity. Standardized D/E unchanged.</x:v>
      </x:c>
      <x:c r="J427" s="162" t="str">
        <x:v>FY2025 AR PDF p175</x:v>
      </x:c>
      <x:c r="K427" s="162" t="str">
        <x:v>Added source comparison</x:v>
      </x:c>
      <x:c r="L427" s="162" t="str">
        <x:v>Published methodology difference (reconstructed)</x:v>
      </x:c>
      <x:c r="M427" s="157" t="n">
        <x:f>IF(ISNUMBER(E427),E427-D427,"n/m")</x:f>
        <x:v>0.6773611938820361</x:v>
      </x:c>
      <x:c r="N427" s="157" t="n">
        <x:f>IF(ISNUMBER(F427),F427-D427,"n/m")</x:f>
        <x:v>-0.0049308533916649355</x:v>
      </x:c>
      <x:c r="O427" s="157" t="n">
        <x:v>2</x:v>
      </x:c>
    </x:row>
    <x:row r="428" ht="112" customHeight="1">
      <x:c r="A428" s="75" t="str">
        <x:v>MLCF</x:v>
      </x:c>
      <x:c r="B428" s="75" t="str">
        <x:v>Debt-to-equity</x:v>
      </x:c>
      <x:c r="C428" s="75" t="str">
        <x:v>FY2024</x:v>
      </x:c>
      <x:c r="D428" s="159" t="n">
        <x:v>0.26</x:v>
      </x:c>
      <x:c r="E428" s="159" t="n">
        <x:f>MLCF!G156</x:f>
        <x:v>0.8885102581523445</x:v>
      </x:c>
      <x:c r="F428" s="159" t="n">
        <x:f>(MLCF!G43+MLCF!G55+MLCF!G45+MLCF!G57+MLCF!G44+MLCF!G56)/(MLCF!G43+MLCF!G55+MLCF!G45+MLCF!G57+MLCF!G44+MLCF!G56+MLCF!G41)</x:f>
        <x:v>0.2585538948880502</x:v>
      </x:c>
      <x:c r="G428" s="163" t="str">
        <x:v>Gross long-term bank/subsidiary financing and leases / (same debt + equity)</x:v>
      </x:c>
      <x:c r="H428" s="163" t="str">
        <x:f>IF(AND(ISNUMBER(D428),ISNUMBER(F428)),IF(ROUND(D428,O428)=ROUND(F428,O428),"Reproduced to precision","Unresolved published value"),"Not comparable")</x:f>
        <x:v>Reproduced to precision</x:v>
      </x:c>
      <x:c r="I428" s="163" t="str">
        <x:v>Official financing/lease/grant notes support gross long-term financing and lease balances. Published ratio is a whole-percentage debt share of capital, not total liabilities / equity. Standardized D/E unchanged.</x:v>
      </x:c>
      <x:c r="J428" s="163" t="str">
        <x:v>FY2025 AR PDF p175</x:v>
      </x:c>
      <x:c r="K428" s="163" t="str">
        <x:v>Added source comparison</x:v>
      </x:c>
      <x:c r="L428" s="163" t="str">
        <x:v>Published methodology difference (reconstructed)</x:v>
      </x:c>
      <x:c r="M428" s="75" t="n">
        <x:f>IF(ISNUMBER(E428),E428-D428,"n/m")</x:f>
        <x:v>0.6285102581523445</x:v>
      </x:c>
      <x:c r="N428" s="75" t="n">
        <x:f>IF(ISNUMBER(F428),F428-D428,"n/m")</x:f>
        <x:v>-0.0014461051119498136</x:v>
      </x:c>
      <x:c r="O428" s="75" t="n">
        <x:v>2</x:v>
      </x:c>
    </x:row>
    <x:row r="429" ht="112" customHeight="1">
      <x:c r="A429" s="157" t="str">
        <x:v>MLCF</x:v>
      </x:c>
      <x:c r="B429" s="157" t="str">
        <x:v>Debt-to-equity</x:v>
      </x:c>
      <x:c r="C429" s="157" t="str">
        <x:v>FY2025</x:v>
      </x:c>
      <x:c r="D429" s="158" t="n">
        <x:v>0.17</x:v>
      </x:c>
      <x:c r="E429" s="158" t="n">
        <x:f>MLCF!H156</x:f>
        <x:v>0.6667172905971644</x:v>
      </x:c>
      <x:c r="F429" s="158" t="n">
        <x:f>(MLCF!H43+MLCF!H55+MLCF!H45+MLCF!H57+MLCF!H44+MLCF!H56)/(MLCF!H43+MLCF!H55+MLCF!H45+MLCF!H57+MLCF!H44+MLCF!H56+MLCF!H41)</x:f>
        <x:v>0.1658491251952962</x:v>
      </x:c>
      <x:c r="G429" s="162" t="str">
        <x:v>Gross long-term bank/subsidiary financing and leases / (same debt + equity)</x:v>
      </x:c>
      <x:c r="H429" s="162" t="str">
        <x:f>IF(AND(ISNUMBER(D429),ISNUMBER(F429)),IF(ROUND(D429,O429)=ROUND(F429,O429),"Reproduced to precision","Unresolved published value"),"Not comparable")</x:f>
        <x:v>Reproduced to precision</x:v>
      </x:c>
      <x:c r="I429" s="162" t="str">
        <x:v>Official financing/lease/grant notes support gross long-term financing and lease balances. Published ratio is a whole-percentage debt share of capital, not total liabilities / equity. Standardized D/E unchanged.</x:v>
      </x:c>
      <x:c r="J429" s="162" t="str">
        <x:v>FY2025 AR PDF p175</x:v>
      </x:c>
      <x:c r="K429" s="162" t="str">
        <x:v>Added source comparison</x:v>
      </x:c>
      <x:c r="L429" s="162" t="str">
        <x:v>Published methodology difference (reconstructed)</x:v>
      </x:c>
      <x:c r="M429" s="157" t="n">
        <x:f>IF(ISNUMBER(E429),E429-D429,"n/m")</x:f>
        <x:v>0.4967172905971644</x:v>
      </x:c>
      <x:c r="N429" s="157" t="n">
        <x:f>IF(ISNUMBER(F429),F429-D429,"n/m")</x:f>
        <x:v>-0.0041508748047038024</x:v>
      </x:c>
      <x:c r="O429" s="157" t="n">
        <x:v>2</x:v>
      </x:c>
    </x:row>
    <x:row r="430" ht="112" customHeight="1">
      <x:c r="A430" s="75" t="str">
        <x:v>MLCF</x:v>
      </x:c>
      <x:c r="B430" s="75" t="str">
        <x:v>Gross profit margin</x:v>
      </x:c>
      <x:c r="C430" s="75" t="str">
        <x:v>FY2021</x:v>
      </x:c>
      <x:c r="D430" s="160" t="n">
        <x:v>0.2236</x:v>
      </x:c>
      <x:c r="E430" s="160" t="n">
        <x:f>MLCF!D161</x:f>
        <x:v>0.20830714445240356</x:v>
      </x:c>
      <x:c r="F430" s="160" t="n">
        <x:f>MLCF!D86/MLCF!D84</x:f>
        <x:v>0.20830714445240356</x:v>
      </x:c>
      <x:c r="G430" s="163" t="str">
        <x:v>Standard definition</x:v>
      </x:c>
      <x:c r="H430" s="163" t="str">
        <x:f>IF(AND(ISNUMBER(D430),ISNUMBER(F430)),IF(ROUND(D430,O430)=ROUND(F430,O430),"Reproduced to precision","Unresolved published value"),"Not comparable")</x:f>
        <x:v>Unresolved published value</x:v>
      </x:c>
      <x:c r="I430" s="163" t="str">
        <x:v>FY2021/22 own-year audited gross margins are 20.83%/25.30%; latest six-year table shows 22.36%/26.74%. Later audited FY2023 cost-to-distribution reclassification is supported, but no revised FY2021/22 audited cost-of-sales statement was provided. Main inputs retain the audited statements; historical summary revision unresolved.</x:v>
      </x:c>
      <x:c r="J430" s="163" t="str">
        <x:v>FY2025 AR PDF p175</x:v>
      </x:c>
      <x:c r="K430" s="163" t="str">
        <x:v>Added source comparison</x:v>
      </x:c>
      <x:c r="L430" s="163" t="str">
        <x:v>Official historical gross-margin conflict</x:v>
      </x:c>
      <x:c r="M430" s="75" t="n">
        <x:f>IF(ISNUMBER(E430),E430-D430,"n/m")</x:f>
        <x:v>-0.015292855547596435</x:v>
      </x:c>
      <x:c r="N430" s="75" t="n">
        <x:f>IF(ISNUMBER(F430),F430-D430,"n/m")</x:f>
        <x:v>-0.015292855547596435</x:v>
      </x:c>
      <x:c r="O430" s="75" t="n">
        <x:v>4</x:v>
      </x:c>
    </x:row>
    <x:row r="431" ht="112" customHeight="1">
      <x:c r="A431" s="157" t="str">
        <x:v>MLCF</x:v>
      </x:c>
      <x:c r="B431" s="157" t="str">
        <x:v>Gross profit margin</x:v>
      </x:c>
      <x:c r="C431" s="157" t="str">
        <x:v>FY2022</x:v>
      </x:c>
      <x:c r="D431" s="161" t="n">
        <x:v>0.2674</x:v>
      </x:c>
      <x:c r="E431" s="161" t="n">
        <x:f>MLCF!E161</x:f>
        <x:v>0.25300003367709667</x:v>
      </x:c>
      <x:c r="F431" s="161" t="n">
        <x:f>MLCF!E86/MLCF!E84</x:f>
        <x:v>0.25300003367709667</x:v>
      </x:c>
      <x:c r="G431" s="162" t="str">
        <x:v>Standard definition</x:v>
      </x:c>
      <x:c r="H431" s="162" t="str">
        <x:f>IF(AND(ISNUMBER(D431),ISNUMBER(F431)),IF(ROUND(D431,O431)=ROUND(F431,O431),"Reproduced to precision","Unresolved published value"),"Not comparable")</x:f>
        <x:v>Unresolved published value</x:v>
      </x:c>
      <x:c r="I431" s="162" t="str">
        <x:v>FY2021/22 own-year audited gross margins are 20.83%/25.30%; latest six-year table shows 22.36%/26.74%. Later audited FY2023 cost-to-distribution reclassification is supported, but no revised FY2021/22 audited cost-of-sales statement was provided. Main inputs retain the audited statements; historical summary revision unresolved.</x:v>
      </x:c>
      <x:c r="J431" s="162" t="str">
        <x:v>FY2025 AR PDF p175</x:v>
      </x:c>
      <x:c r="K431" s="162" t="str">
        <x:v>Added source comparison</x:v>
      </x:c>
      <x:c r="L431" s="162" t="str">
        <x:v>Official historical gross-margin conflict</x:v>
      </x:c>
      <x:c r="M431" s="157" t="n">
        <x:f>IF(ISNUMBER(E431),E431-D431,"n/m")</x:f>
        <x:v>-0.014399966322903357</x:v>
      </x:c>
      <x:c r="N431" s="157" t="n">
        <x:f>IF(ISNUMBER(F431),F431-D431,"n/m")</x:f>
        <x:v>-0.014399966322903357</x:v>
      </x:c>
      <x:c r="O431" s="157" t="n">
        <x:v>4</x:v>
      </x:c>
    </x:row>
    <x:row r="432" ht="112" customHeight="1">
      <x:c r="A432" s="75" t="str">
        <x:v>MLCF</x:v>
      </x:c>
      <x:c r="B432" s="75" t="str">
        <x:v>Gross profit margin</x:v>
      </x:c>
      <x:c r="C432" s="75" t="str">
        <x:v>FY2023</x:v>
      </x:c>
      <x:c r="D432" s="160" t="n">
        <x:v>0.2928</x:v>
      </x:c>
      <x:c r="E432" s="160" t="n">
        <x:f>MLCF!F161</x:f>
        <x:v>0.2927632247172742</x:v>
      </x:c>
      <x:c r="F432" s="160" t="n">
        <x:f>MLCF!F86/MLCF!F84</x:f>
        <x:v>0.2927632247172742</x:v>
      </x:c>
      <x:c r="G432" s="163" t="str">
        <x:v>Standard definition</x:v>
      </x:c>
      <x:c r="H432" s="163" t="str">
        <x:f>IF(AND(ISNUMBER(D432),ISNUMBER(F432)),IF(ROUND(D432,O432)=ROUND(F432,O432),"Reproduced to precision","Unresolved published value"),"Not comparable")</x:f>
        <x:v>Reproduced to precision</x:v>
      </x:c>
      <x:c r="I432" s="163" t="str">
        <x:v>FY2021/22 own-year audited gross margins are 20.83%/25.30%; latest six-year table shows 22.36%/26.74%. Later audited FY2023 cost-to-distribution reclassification is supported, but no revised FY2021/22 audited cost-of-sales statement was provided. Main inputs retain the audited statements; historical summary revision unresolved.</x:v>
      </x:c>
      <x:c r="J432" s="163" t="str">
        <x:v>FY2025 AR PDF p175</x:v>
      </x:c>
      <x:c r="K432" s="163" t="str">
        <x:v>Added source comparison</x:v>
      </x:c>
      <x:c r="L432" s="163" t="str">
        <x:v>Official historical gross-margin conflict</x:v>
      </x:c>
      <x:c r="M432" s="75" t="n">
        <x:f>IF(ISNUMBER(E432),E432-D432,"n/m")</x:f>
        <x:v>-0.00003677528272583164</x:v>
      </x:c>
      <x:c r="N432" s="75" t="n">
        <x:f>IF(ISNUMBER(F432),F432-D432,"n/m")</x:f>
        <x:v>-0.00003677528272583164</x:v>
      </x:c>
      <x:c r="O432" s="75" t="n">
        <x:v>4</x:v>
      </x:c>
    </x:row>
    <x:row r="433" ht="112" customHeight="1">
      <x:c r="A433" s="157" t="str">
        <x:v>MLCF</x:v>
      </x:c>
      <x:c r="B433" s="157" t="str">
        <x:v>Gross profit margin</x:v>
      </x:c>
      <x:c r="C433" s="157" t="str">
        <x:v>FY2024</x:v>
      </x:c>
      <x:c r="D433" s="161" t="n">
        <x:v>0.3155</x:v>
      </x:c>
      <x:c r="E433" s="161" t="n">
        <x:f>MLCF!G161</x:f>
        <x:v>0.31547845382378364</x:v>
      </x:c>
      <x:c r="F433" s="161" t="n">
        <x:f>MLCF!G86/MLCF!G84</x:f>
        <x:v>0.31547845382378364</x:v>
      </x:c>
      <x:c r="G433" s="162" t="str">
        <x:v>Standard definition</x:v>
      </x:c>
      <x:c r="H433" s="162" t="str">
        <x:f>IF(AND(ISNUMBER(D433),ISNUMBER(F433)),IF(ROUND(D433,O433)=ROUND(F433,O433),"Reproduced to precision","Unresolved published value"),"Not comparable")</x:f>
        <x:v>Reproduced to precision</x:v>
      </x:c>
      <x:c r="I433" s="162" t="str">
        <x:v>FY2021/22 own-year audited gross margins are 20.83%/25.30%; latest six-year table shows 22.36%/26.74%. Later audited FY2023 cost-to-distribution reclassification is supported, but no revised FY2021/22 audited cost-of-sales statement was provided. Main inputs retain the audited statements; historical summary revision unresolved.</x:v>
      </x:c>
      <x:c r="J433" s="162" t="str">
        <x:v>FY2025 AR PDF p175</x:v>
      </x:c>
      <x:c r="K433" s="162" t="str">
        <x:v>Added source comparison</x:v>
      </x:c>
      <x:c r="L433" s="162" t="str">
        <x:v>Official historical gross-margin conflict</x:v>
      </x:c>
      <x:c r="M433" s="157" t="n">
        <x:f>IF(ISNUMBER(E433),E433-D433,"n/m")</x:f>
        <x:v>-0.000021546176216358237</x:v>
      </x:c>
      <x:c r="N433" s="157" t="n">
        <x:f>IF(ISNUMBER(F433),F433-D433,"n/m")</x:f>
        <x:v>-0.000021546176216358237</x:v>
      </x:c>
      <x:c r="O433" s="157" t="n">
        <x:v>4</x:v>
      </x:c>
    </x:row>
    <x:row r="434" ht="112" customHeight="1">
      <x:c r="A434" s="75" t="str">
        <x:v>MLCF</x:v>
      </x:c>
      <x:c r="B434" s="75" t="str">
        <x:v>Gross profit margin</x:v>
      </x:c>
      <x:c r="C434" s="75" t="str">
        <x:v>FY2025</x:v>
      </x:c>
      <x:c r="D434" s="160" t="n">
        <x:v>0.3444</x:v>
      </x:c>
      <x:c r="E434" s="160" t="n">
        <x:f>MLCF!H161</x:f>
        <x:v>0.3444440599046921</x:v>
      </x:c>
      <x:c r="F434" s="160" t="n">
        <x:f>MLCF!H86/MLCF!H84</x:f>
        <x:v>0.3444440599046921</x:v>
      </x:c>
      <x:c r="G434" s="163" t="str">
        <x:v>Standard definition</x:v>
      </x:c>
      <x:c r="H434" s="163" t="str">
        <x:f>IF(AND(ISNUMBER(D434),ISNUMBER(F434)),IF(ROUND(D434,O434)=ROUND(F434,O434),"Reproduced to precision","Unresolved published value"),"Not comparable")</x:f>
        <x:v>Reproduced to precision</x:v>
      </x:c>
      <x:c r="I434" s="163" t="str">
        <x:v>FY2021/22 own-year audited gross margins are 20.83%/25.30%; latest six-year table shows 22.36%/26.74%. Later audited FY2023 cost-to-distribution reclassification is supported, but no revised FY2021/22 audited cost-of-sales statement was provided. Main inputs retain the audited statements; historical summary revision unresolved.</x:v>
      </x:c>
      <x:c r="J434" s="163" t="str">
        <x:v>FY2025 AR PDF p175</x:v>
      </x:c>
      <x:c r="K434" s="163" t="str">
        <x:v>Added source comparison</x:v>
      </x:c>
      <x:c r="L434" s="163" t="str">
        <x:v>Official historical gross-margin conflict</x:v>
      </x:c>
      <x:c r="M434" s="75" t="n">
        <x:f>IF(ISNUMBER(E434),E434-D434,"n/m")</x:f>
        <x:v>0.00004405990469213972</x:v>
      </x:c>
      <x:c r="N434" s="75" t="n">
        <x:f>IF(ISNUMBER(F434),F434-D434,"n/m")</x:f>
        <x:v>0.00004405990469213972</x:v>
      </x:c>
      <x:c r="O434" s="75" t="n">
        <x:v>4</x:v>
      </x:c>
    </x:row>
    <x:row r="435" ht="112" customHeight="1">
      <x:c r="A435" s="157" t="str">
        <x:v>MLCF</x:v>
      </x:c>
      <x:c r="B435" s="157" t="str">
        <x:v>Net profit margin</x:v>
      </x:c>
      <x:c r="C435" s="157" t="str">
        <x:v>FY2021</x:v>
      </x:c>
      <x:c r="D435" s="161" t="n">
        <x:v>0.176</x:v>
      </x:c>
      <x:c r="E435" s="161" t="n">
        <x:f>MLCF!D163</x:f>
        <x:v>0.1759822170452098</x:v>
      </x:c>
      <x:c r="F435" s="161" t="n">
        <x:f>MLCF!D99/MLCF!D84</x:f>
        <x:v>0.1759822170452098</x:v>
      </x:c>
      <x:c r="G435" s="162" t="str">
        <x:v>Standard definition</x:v>
      </x:c>
      <x:c r="H435" s="162" t="str">
        <x:f>IF(AND(ISNUMBER(D435),ISNUMBER(F435)),IF(ROUND(D435,O435)=ROUND(F435,O435),"Reproduced to precision","Unresolved published value"),"Not comparable")</x:f>
        <x:v>Reproduced to precision</x:v>
      </x:c>
      <x:c r="I435" s="162" t="str">
        <x:v>Tested the source-based convention shown in G against official published precision. Unmatched values remain unresolved; neither the standardized method nor the financial inputs were altered to force agreement.</x:v>
      </x:c>
      <x:c r="J435" s="162" t="str">
        <x:v>FY2025 AR PDF p175</x:v>
      </x:c>
      <x:c r="K435" s="162" t="str">
        <x:v>Added source comparison</x:v>
      </x:c>
      <x:c r="L435" s="162" t="str">
        <x:v>Source comparison</x:v>
      </x:c>
      <x:c r="M435" s="157" t="n">
        <x:f>IF(ISNUMBER(E435),E435-D435,"n/m")</x:f>
        <x:v>-0.000017782954790185324</x:v>
      </x:c>
      <x:c r="N435" s="157" t="n">
        <x:f>IF(ISNUMBER(F435),F435-D435,"n/m")</x:f>
        <x:v>-0.000017782954790185324</x:v>
      </x:c>
      <x:c r="O435" s="157" t="n">
        <x:v>4</x:v>
      </x:c>
    </x:row>
    <x:row r="436" ht="112" customHeight="1">
      <x:c r="A436" s="75" t="str">
        <x:v>MLCF</x:v>
      </x:c>
      <x:c r="B436" s="75" t="str">
        <x:v>Net profit margin</x:v>
      </x:c>
      <x:c r="C436" s="75" t="str">
        <x:v>FY2022</x:v>
      </x:c>
      <x:c r="D436" s="160" t="n">
        <x:v>0.0747</x:v>
      </x:c>
      <x:c r="E436" s="160" t="n">
        <x:f>MLCF!E163</x:f>
        <x:v>0.07473965893633715</x:v>
      </x:c>
      <x:c r="F436" s="160" t="n">
        <x:f>MLCF!E99/MLCF!E84</x:f>
        <x:v>0.07473965893633715</x:v>
      </x:c>
      <x:c r="G436" s="163" t="str">
        <x:v>Standard definition</x:v>
      </x:c>
      <x:c r="H436" s="163" t="str">
        <x:f>IF(AND(ISNUMBER(D436),ISNUMBER(F436)),IF(ROUND(D436,O436)=ROUND(F436,O436),"Reproduced to precision","Unresolved published value"),"Not comparable")</x:f>
        <x:v>Reproduced to precision</x:v>
      </x:c>
      <x:c r="I436" s="163" t="str">
        <x:v>Tested the source-based convention shown in G against official published precision. Unmatched values remain unresolved; neither the standardized method nor the financial inputs were altered to force agreement.</x:v>
      </x:c>
      <x:c r="J436" s="163" t="str">
        <x:v>FY2025 AR PDF p175</x:v>
      </x:c>
      <x:c r="K436" s="163" t="str">
        <x:v>Added source comparison</x:v>
      </x:c>
      <x:c r="L436" s="163" t="str">
        <x:v>Source comparison</x:v>
      </x:c>
      <x:c r="M436" s="75" t="n">
        <x:f>IF(ISNUMBER(E436),E436-D436,"n/m")</x:f>
        <x:v>0.00003965893633714468</x:v>
      </x:c>
      <x:c r="N436" s="75" t="n">
        <x:f>IF(ISNUMBER(F436),F436-D436,"n/m")</x:f>
        <x:v>0.00003965893633714468</x:v>
      </x:c>
      <x:c r="O436" s="75" t="n">
        <x:v>4</x:v>
      </x:c>
    </x:row>
    <x:row r="437" ht="112" customHeight="1">
      <x:c r="A437" s="157" t="str">
        <x:v>MLCF</x:v>
      </x:c>
      <x:c r="B437" s="157" t="str">
        <x:v>Net profit margin</x:v>
      </x:c>
      <x:c r="C437" s="157" t="str">
        <x:v>FY2023</x:v>
      </x:c>
      <x:c r="D437" s="161" t="n">
        <x:v>0.0724</x:v>
      </x:c>
      <x:c r="E437" s="161" t="n">
        <x:f>MLCF!F163</x:f>
        <x:v>0.07235844154915244</x:v>
      </x:c>
      <x:c r="F437" s="161" t="n">
        <x:f>MLCF!F99/MLCF!F84</x:f>
        <x:v>0.07235844154915244</x:v>
      </x:c>
      <x:c r="G437" s="162" t="str">
        <x:v>Standard definition</x:v>
      </x:c>
      <x:c r="H437" s="162" t="str">
        <x:f>IF(AND(ISNUMBER(D437),ISNUMBER(F437)),IF(ROUND(D437,O437)=ROUND(F437,O437),"Reproduced to precision","Unresolved published value"),"Not comparable")</x:f>
        <x:v>Reproduced to precision</x:v>
      </x:c>
      <x:c r="I437" s="162" t="str">
        <x:v>Tested the source-based convention shown in G against official published precision. Unmatched values remain unresolved; neither the standardized method nor the financial inputs were altered to force agreement.</x:v>
      </x:c>
      <x:c r="J437" s="162" t="str">
        <x:v>FY2025 AR PDF p175</x:v>
      </x:c>
      <x:c r="K437" s="162" t="str">
        <x:v>Added source comparison</x:v>
      </x:c>
      <x:c r="L437" s="162" t="str">
        <x:v>Source comparison</x:v>
      </x:c>
      <x:c r="M437" s="157" t="n">
        <x:f>IF(ISNUMBER(E437),E437-D437,"n/m")</x:f>
        <x:v>-0.00004155845084756471</x:v>
      </x:c>
      <x:c r="N437" s="157" t="n">
        <x:f>IF(ISNUMBER(F437),F437-D437,"n/m")</x:f>
        <x:v>-0.00004155845084756471</x:v>
      </x:c>
      <x:c r="O437" s="157" t="n">
        <x:v>4</x:v>
      </x:c>
    </x:row>
    <x:row r="438" ht="112" customHeight="1">
      <x:c r="A438" s="75" t="str">
        <x:v>MLCF</x:v>
      </x:c>
      <x:c r="B438" s="75" t="str">
        <x:v>Net profit margin</x:v>
      </x:c>
      <x:c r="C438" s="75" t="str">
        <x:v>FY2024</x:v>
      </x:c>
      <x:c r="D438" s="160" t="n">
        <x:v>0.0793</x:v>
      </x:c>
      <x:c r="E438" s="160" t="n">
        <x:f>MLCF!G163</x:f>
        <x:v>0.07934297520984508</x:v>
      </x:c>
      <x:c r="F438" s="160" t="n">
        <x:f>MLCF!G99/MLCF!G84</x:f>
        <x:v>0.07934297520984508</x:v>
      </x:c>
      <x:c r="G438" s="163" t="str">
        <x:v>Standard definition</x:v>
      </x:c>
      <x:c r="H438" s="163" t="str">
        <x:f>IF(AND(ISNUMBER(D438),ISNUMBER(F438)),IF(ROUND(D438,O438)=ROUND(F438,O438),"Reproduced to precision","Unresolved published value"),"Not comparable")</x:f>
        <x:v>Reproduced to precision</x:v>
      </x:c>
      <x:c r="I438" s="163" t="str">
        <x:v>Tested the source-based convention shown in G against official published precision. Unmatched values remain unresolved; neither the standardized method nor the financial inputs were altered to force agreement.</x:v>
      </x:c>
      <x:c r="J438" s="163" t="str">
        <x:v>FY2025 AR PDF p175</x:v>
      </x:c>
      <x:c r="K438" s="163" t="str">
        <x:v>Added source comparison</x:v>
      </x:c>
      <x:c r="L438" s="163" t="str">
        <x:v>Source comparison</x:v>
      </x:c>
      <x:c r="M438" s="75" t="n">
        <x:f>IF(ISNUMBER(E438),E438-D438,"n/m")</x:f>
        <x:v>0.000042975209845086404</x:v>
      </x:c>
      <x:c r="N438" s="75" t="n">
        <x:f>IF(ISNUMBER(F438),F438-D438,"n/m")</x:f>
        <x:v>0.000042975209845086404</x:v>
      </x:c>
      <x:c r="O438" s="75" t="n">
        <x:v>4</x:v>
      </x:c>
    </x:row>
    <x:row r="439" ht="112" customHeight="1">
      <x:c r="A439" s="157" t="str">
        <x:v>MLCF</x:v>
      </x:c>
      <x:c r="B439" s="157" t="str">
        <x:v>Net profit margin</x:v>
      </x:c>
      <x:c r="C439" s="157" t="str">
        <x:v>FY2025</x:v>
      </x:c>
      <x:c r="D439" s="161" t="n">
        <x:v>0.2471</x:v>
      </x:c>
      <x:c r="E439" s="161" t="n">
        <x:f>MLCF!H163</x:f>
        <x:v>0.24711008947956384</x:v>
      </x:c>
      <x:c r="F439" s="161" t="n">
        <x:f>MLCF!H99/MLCF!H84</x:f>
        <x:v>0.24711008947956384</x:v>
      </x:c>
      <x:c r="G439" s="162" t="str">
        <x:v>Standard definition</x:v>
      </x:c>
      <x:c r="H439" s="162" t="str">
        <x:f>IF(AND(ISNUMBER(D439),ISNUMBER(F439)),IF(ROUND(D439,O439)=ROUND(F439,O439),"Reproduced to precision","Unresolved published value"),"Not comparable")</x:f>
        <x:v>Reproduced to precision</x:v>
      </x:c>
      <x:c r="I439" s="162" t="str">
        <x:v>Tested the source-based convention shown in G against official published precision. Unmatched values remain unresolved; neither the standardized method nor the financial inputs were altered to force agreement.</x:v>
      </x:c>
      <x:c r="J439" s="162" t="str">
        <x:v>FY2025 AR PDF p175</x:v>
      </x:c>
      <x:c r="K439" s="162" t="str">
        <x:v>Added source comparison</x:v>
      </x:c>
      <x:c r="L439" s="162" t="str">
        <x:v>Source comparison</x:v>
      </x:c>
      <x:c r="M439" s="157" t="n">
        <x:f>IF(ISNUMBER(E439),E439-D439,"n/m")</x:f>
        <x:v>0.000010089479563851755</x:v>
      </x:c>
      <x:c r="N439" s="157" t="n">
        <x:f>IF(ISNUMBER(F439),F439-D439,"n/m")</x:f>
        <x:v>0.000010089479563851755</x:v>
      </x:c>
      <x:c r="O439" s="157" t="n">
        <x:v>4</x:v>
      </x:c>
    </x:row>
    <x:row r="440" ht="112" customHeight="1">
      <x:c r="A440" s="75" t="str">
        <x:v>MLCF</x:v>
      </x:c>
      <x:c r="B440" s="75" t="str">
        <x:v>Return on equity</x:v>
      </x:c>
      <x:c r="C440" s="75" t="str">
        <x:v>FY2021</x:v>
      </x:c>
      <x:c r="D440" s="160" t="n">
        <x:v>0.1666</x:v>
      </x:c>
      <x:c r="E440" s="160" t="n">
        <x:f>MLCF!D165</x:f>
        <x:v>0.18163818640771748</x:v>
      </x:c>
      <x:c r="F440" s="160" t="n">
        <x:f>MLCF!D99/MLCF!D41</x:f>
        <x:v>0.16658725897109622</x:v>
      </x:c>
      <x:c r="G440" s="163" t="str">
        <x:v>PAT / closing equity</x:v>
      </x:c>
      <x:c r="H440" s="163" t="str">
        <x:f>IF(AND(ISNUMBER(D440),ISNUMBER(F440)),IF(ROUND(D440,O440)=ROUND(F440,O440),"Reproduced to precision","Unresolved published value"),"Not comparable")</x:f>
        <x:v>Reproduced to precision</x:v>
      </x:c>
      <x:c r="I440" s="163" t="str">
        <x:v>Tested the source-based convention shown in G against official published precision. Unmatched values remain unresolved; neither the standardized method nor the financial inputs were altered to force agreement.</x:v>
      </x:c>
      <x:c r="J440" s="163" t="str">
        <x:v>FY2025 AR PDF p175</x:v>
      </x:c>
      <x:c r="K440" s="163" t="str">
        <x:v>Added source comparison</x:v>
      </x:c>
      <x:c r="L440" s="163" t="str">
        <x:v>Source comparison</x:v>
      </x:c>
      <x:c r="M440" s="75" t="n">
        <x:f>IF(ISNUMBER(E440),E440-D440,"n/m")</x:f>
        <x:v>0.01503818640771748</x:v>
      </x:c>
      <x:c r="N440" s="75" t="n">
        <x:f>IF(ISNUMBER(F440),F440-D440,"n/m")</x:f>
        <x:v>-0.000012741028903778817</x:v>
      </x:c>
      <x:c r="O440" s="75" t="n">
        <x:v>4</x:v>
      </x:c>
    </x:row>
    <x:row r="441" ht="112" customHeight="1">
      <x:c r="A441" s="157" t="str">
        <x:v>MLCF</x:v>
      </x:c>
      <x:c r="B441" s="157" t="str">
        <x:v>Return on equity</x:v>
      </x:c>
      <x:c r="C441" s="157" t="str">
        <x:v>FY2022</x:v>
      </x:c>
      <x:c r="D441" s="161" t="n">
        <x:v>0.0894</x:v>
      </x:c>
      <x:c r="E441" s="161" t="n">
        <x:f>MLCF!E165</x:f>
        <x:v>0.09286217037724577</x:v>
      </x:c>
      <x:c r="F441" s="161" t="n">
        <x:f>MLCF!E99/MLCF!E41</x:f>
        <x:v>0.0894089760315925</x:v>
      </x:c>
      <x:c r="G441" s="162" t="str">
        <x:v>PAT / closing equity</x:v>
      </x:c>
      <x:c r="H441" s="162" t="str">
        <x:f>IF(AND(ISNUMBER(D441),ISNUMBER(F441)),IF(ROUND(D441,O441)=ROUND(F441,O441),"Reproduced to precision","Unresolved published value"),"Not comparable")</x:f>
        <x:v>Reproduced to precision</x:v>
      </x:c>
      <x:c r="I441" s="162" t="str">
        <x:v>Tested the source-based convention shown in G against official published precision. Unmatched values remain unresolved; neither the standardized method nor the financial inputs were altered to force agreement.</x:v>
      </x:c>
      <x:c r="J441" s="162" t="str">
        <x:v>FY2025 AR PDF p175</x:v>
      </x:c>
      <x:c r="K441" s="162" t="str">
        <x:v>Added source comparison</x:v>
      </x:c>
      <x:c r="L441" s="162" t="str">
        <x:v>Source comparison</x:v>
      </x:c>
      <x:c r="M441" s="157" t="n">
        <x:f>IF(ISNUMBER(E441),E441-D441,"n/m")</x:f>
        <x:v>0.003462170377245777</x:v>
      </x:c>
      <x:c r="N441" s="157" t="n">
        <x:f>IF(ISNUMBER(F441),F441-D441,"n/m")</x:f>
        <x:v>0.000008976031592500266</x:v>
      </x:c>
      <x:c r="O441" s="157" t="n">
        <x:v>4</x:v>
      </x:c>
    </x:row>
    <x:row r="442" ht="112" customHeight="1">
      <x:c r="A442" s="75" t="str">
        <x:v>MLCF</x:v>
      </x:c>
      <x:c r="B442" s="75" t="str">
        <x:v>Return on equity</x:v>
      </x:c>
      <x:c r="C442" s="75" t="str">
        <x:v>FY2023</x:v>
      </x:c>
      <x:c r="D442" s="160" t="n">
        <x:v>0.1</x:v>
      </x:c>
      <x:c r="E442" s="160" t="n">
        <x:f>MLCF!F165</x:f>
        <x:v>0.10510254167180039</x:v>
      </x:c>
      <x:c r="F442" s="160" t="n">
        <x:f>MLCF!F99/MLCF!F41</x:f>
        <x:v>0.10000796203977304</x:v>
      </x:c>
      <x:c r="G442" s="163" t="str">
        <x:v>PAT / closing equity</x:v>
      </x:c>
      <x:c r="H442" s="163" t="str">
        <x:f>IF(AND(ISNUMBER(D442),ISNUMBER(F442)),IF(ROUND(D442,O442)=ROUND(F442,O442),"Reproduced to precision","Unresolved published value"),"Not comparable")</x:f>
        <x:v>Reproduced to precision</x:v>
      </x:c>
      <x:c r="I442" s="163" t="str">
        <x:v>Tested the source-based convention shown in G against official published precision. Unmatched values remain unresolved; neither the standardized method nor the financial inputs were altered to force agreement.</x:v>
      </x:c>
      <x:c r="J442" s="163" t="str">
        <x:v>FY2025 AR PDF p175</x:v>
      </x:c>
      <x:c r="K442" s="163" t="str">
        <x:v>Added source comparison</x:v>
      </x:c>
      <x:c r="L442" s="163" t="str">
        <x:v>Source comparison</x:v>
      </x:c>
      <x:c r="M442" s="75" t="n">
        <x:f>IF(ISNUMBER(E442),E442-D442,"n/m")</x:f>
        <x:v>0.005102541671800381</x:v>
      </x:c>
      <x:c r="N442" s="75" t="n">
        <x:f>IF(ISNUMBER(F442),F442-D442,"n/m")</x:f>
        <x:v>0.000007962039773032337</x:v>
      </x:c>
      <x:c r="O442" s="75" t="n">
        <x:v>4</x:v>
      </x:c>
    </x:row>
    <x:row r="443" ht="112" customHeight="1">
      <x:c r="A443" s="157" t="str">
        <x:v>MLCF</x:v>
      </x:c>
      <x:c r="B443" s="157" t="str">
        <x:v>Return on equity</x:v>
      </x:c>
      <x:c r="C443" s="157" t="str">
        <x:v>FY2024</x:v>
      </x:c>
      <x:c r="D443" s="161" t="n">
        <x:v>0.1002</x:v>
      </x:c>
      <x:c r="E443" s="161" t="n">
        <x:f>MLCF!G165</x:f>
        <x:v>0.10812221617479151</x:v>
      </x:c>
      <x:c r="F443" s="161" t="n">
        <x:f>MLCF!G99/MLCF!G41</x:f>
        <x:v>0.10020784968682853</x:v>
      </x:c>
      <x:c r="G443" s="162" t="str">
        <x:v>PAT / closing equity</x:v>
      </x:c>
      <x:c r="H443" s="162" t="str">
        <x:f>IF(AND(ISNUMBER(D443),ISNUMBER(F443)),IF(ROUND(D443,O443)=ROUND(F443,O443),"Reproduced to precision","Unresolved published value"),"Not comparable")</x:f>
        <x:v>Reproduced to precision</x:v>
      </x:c>
      <x:c r="I443" s="162" t="str">
        <x:v>Tested the source-based convention shown in G against official published precision. Unmatched values remain unresolved; neither the standardized method nor the financial inputs were altered to force agreement.</x:v>
      </x:c>
      <x:c r="J443" s="162" t="str">
        <x:v>FY2025 AR PDF p175</x:v>
      </x:c>
      <x:c r="K443" s="162" t="str">
        <x:v>Added source comparison</x:v>
      </x:c>
      <x:c r="L443" s="162" t="str">
        <x:v>Source comparison</x:v>
      </x:c>
      <x:c r="M443" s="157" t="n">
        <x:f>IF(ISNUMBER(E443),E443-D443,"n/m")</x:f>
        <x:v>0.00792221617479151</x:v>
      </x:c>
      <x:c r="N443" s="157" t="n">
        <x:f>IF(ISNUMBER(F443),F443-D443,"n/m")</x:f>
        <x:v>0.000007849686828528823</x:v>
      </x:c>
      <x:c r="O443" s="157" t="n">
        <x:v>4</x:v>
      </x:c>
    </x:row>
    <x:row r="444" ht="112" customHeight="1">
      <x:c r="A444" s="75" t="str">
        <x:v>MLCF</x:v>
      </x:c>
      <x:c r="B444" s="75" t="str">
        <x:v>Return on equity</x:v>
      </x:c>
      <x:c r="C444" s="75" t="str">
        <x:v>FY2025</x:v>
      </x:c>
      <x:c r="D444" s="160" t="n">
        <x:v>0.2384</x:v>
      </x:c>
      <x:c r="E444" s="160" t="n">
        <x:f>MLCF!H165</x:f>
        <x:v>0.2746085954343051</x:v>
      </x:c>
      <x:c r="F444" s="160" t="n">
        <x:f>MLCF!H99/MLCF!H41</x:f>
        <x:v>0.2383990269906105</x:v>
      </x:c>
      <x:c r="G444" s="163" t="str">
        <x:v>PAT / closing equity</x:v>
      </x:c>
      <x:c r="H444" s="163" t="str">
        <x:f>IF(AND(ISNUMBER(D444),ISNUMBER(F444)),IF(ROUND(D444,O444)=ROUND(F444,O444),"Reproduced to precision","Unresolved published value"),"Not comparable")</x:f>
        <x:v>Reproduced to precision</x:v>
      </x:c>
      <x:c r="I444" s="163" t="str">
        <x:v>Tested the source-based convention shown in G against official published precision. Unmatched values remain unresolved; neither the standardized method nor the financial inputs were altered to force agreement.</x:v>
      </x:c>
      <x:c r="J444" s="163" t="str">
        <x:v>FY2025 AR PDF p175</x:v>
      </x:c>
      <x:c r="K444" s="163" t="str">
        <x:v>Added source comparison</x:v>
      </x:c>
      <x:c r="L444" s="163" t="str">
        <x:v>Source comparison</x:v>
      </x:c>
      <x:c r="M444" s="75" t="n">
        <x:f>IF(ISNUMBER(E444),E444-D444,"n/m")</x:f>
        <x:v>0.0362085954343051</x:v>
      </x:c>
      <x:c r="N444" s="75" t="n">
        <x:f>IF(ISNUMBER(F444),F444-D444,"n/m")</x:f>
        <x:v>-9.730093895043979e-7</x:v>
      </x:c>
      <x:c r="O444" s="75" t="n">
        <x:v>4</x:v>
      </x:c>
    </x:row>
    <x:row r="445" ht="112" customHeight="1">
      <x:c r="A445" s="157" t="str">
        <x:v>MLCF</x:v>
      </x:c>
      <x:c r="B445" s="157" t="str">
        <x:v>Book value per share (Rs)</x:v>
      </x:c>
      <x:c r="C445" s="157" t="str">
        <x:v>FY2021</x:v>
      </x:c>
      <x:c r="D445" s="158" t="n">
        <x:v>34.18</x:v>
      </x:c>
      <x:c r="E445" s="158" t="n">
        <x:f>MLCF!D169</x:f>
        <x:v>34.18097226539319</x:v>
      </x:c>
      <x:c r="F445" s="158" t="n">
        <x:f>MLCF!D41/(MLCF!D39/MLCF!D127)/'PSX Prices'!G21</x:f>
        <x:v>34.18097226539319</x:v>
      </x:c>
      <x:c r="G445" s="162" t="str">
        <x:v>Equity / issued shares, converted to report split basis</x:v>
      </x:c>
      <x:c r="H445" s="162" t="str">
        <x:f>IF(AND(ISNUMBER(D445),ISNUMBER(F445)),IF(ROUND(D445,O445)=ROUND(F445,O445),"Reproduced to precision","Unresolved published value"),"Not comparable")</x:f>
        <x:v>Reproduced to precision</x:v>
      </x:c>
      <x:c r="I445" s="162" t="str">
        <x:v>Uniform BVPS uses net year-end outstanding shares. Report summary may use issued rather than treasury-net shares, or weighted shares: KOHC FY2024/25 and MLCF FY2024 values are closer to weighted denominators; LUCK FY2023 is closer to issued shares before1.536361m treasury exclusion (FY2024 note19 PDF p260). These numerical explanations are supported by official share counts but not by an expressly disclosed BVPS denominator. No company-specific denominator substituted in main model.</x:v>
      </x:c>
      <x:c r="J445" s="162" t="str">
        <x:v>FY2025 AR PDF p175</x:v>
      </x:c>
      <x:c r="K445" s="162" t="str">
        <x:v>Added source comparison</x:v>
      </x:c>
      <x:c r="L445" s="162" t="str">
        <x:v>Per-share denominator convention / official conflict</x:v>
      </x:c>
      <x:c r="M445" s="157" t="n">
        <x:f>IF(ISNUMBER(E445),E445-D445,"n/m")</x:f>
        <x:v>0.0009722653931873992</x:v>
      </x:c>
      <x:c r="N445" s="157" t="n">
        <x:f>IF(ISNUMBER(F445),F445-D445,"n/m")</x:f>
        <x:v>0.0009722653931873992</x:v>
      </x:c>
      <x:c r="O445" s="157" t="n">
        <x:v>2</x:v>
      </x:c>
    </x:row>
    <x:row r="446" ht="112" customHeight="1">
      <x:c r="A446" s="75" t="str">
        <x:v>MLCF</x:v>
      </x:c>
      <x:c r="B446" s="75" t="str">
        <x:v>Book value per share (Rs)</x:v>
      </x:c>
      <x:c r="C446" s="75" t="str">
        <x:v>FY2022</x:v>
      </x:c>
      <x:c r="D446" s="159" t="n">
        <x:v>36.93</x:v>
      </x:c>
      <x:c r="E446" s="159" t="n">
        <x:f>MLCF!E169</x:f>
        <x:v>37.56155762745958</x:v>
      </x:c>
      <x:c r="F446" s="159" t="n">
        <x:f>MLCF!E41/(MLCF!E39/MLCF!E127)/'PSX Prices'!G22</x:f>
        <x:v>36.927350411008845</x:v>
      </x:c>
      <x:c r="G446" s="163" t="str">
        <x:v>Equity / issued shares, converted to report split basis</x:v>
      </x:c>
      <x:c r="H446" s="163" t="str">
        <x:f>IF(AND(ISNUMBER(D446),ISNUMBER(F446)),IF(ROUND(D446,O446)=ROUND(F446,O446),"Reproduced to precision","Unresolved published value"),"Not comparable")</x:f>
        <x:v>Reproduced to precision</x:v>
      </x:c>
      <x:c r="I446" s="163" t="str">
        <x:v>Uniform BVPS uses net year-end outstanding shares. Report summary may use issued rather than treasury-net shares, or weighted shares: KOHC FY2024/25 and MLCF FY2024 values are closer to weighted denominators; LUCK FY2023 is closer to issued shares before1.536361m treasury exclusion (FY2024 note19 PDF p260). These numerical explanations are supported by official share counts but not by an expressly disclosed BVPS denominator. No company-specific denominator substituted in main model.</x:v>
      </x:c>
      <x:c r="J446" s="163" t="str">
        <x:v>FY2025 AR PDF p175</x:v>
      </x:c>
      <x:c r="K446" s="163" t="str">
        <x:v>Added source comparison</x:v>
      </x:c>
      <x:c r="L446" s="163" t="str">
        <x:v>Per-share denominator convention / official conflict</x:v>
      </x:c>
      <x:c r="M446" s="75" t="n">
        <x:f>IF(ISNUMBER(E446),E446-D446,"n/m")</x:f>
        <x:v>0.6315576274595784</x:v>
      </x:c>
      <x:c r="N446" s="75" t="n">
        <x:f>IF(ISNUMBER(F446),F446-D446,"n/m")</x:f>
        <x:v>-0.002649588991154417</x:v>
      </x:c>
      <x:c r="O446" s="75" t="n">
        <x:v>2</x:v>
      </x:c>
    </x:row>
    <x:row r="447" ht="112" customHeight="1">
      <x:c r="A447" s="157" t="str">
        <x:v>MLCF</x:v>
      </x:c>
      <x:c r="B447" s="157" t="str">
        <x:v>Book value per share (Rs)</x:v>
      </x:c>
      <x:c r="C447" s="157" t="str">
        <x:v>FY2023</x:v>
      </x:c>
      <x:c r="D447" s="158" t="n">
        <x:v>41.84</x:v>
      </x:c>
      <x:c r="E447" s="158" t="n">
        <x:f>MLCF!F169</x:f>
        <x:v>41.84401454069526</x:v>
      </x:c>
      <x:c r="F447" s="158" t="n">
        <x:f>MLCF!F41/(MLCF!F39/MLCF!F127)/'PSX Prices'!G23</x:f>
        <x:v>41.84401454069526</x:v>
      </x:c>
      <x:c r="G447" s="162" t="str">
        <x:v>Equity / issued shares, converted to report split basis</x:v>
      </x:c>
      <x:c r="H447" s="162" t="str">
        <x:f>IF(AND(ISNUMBER(D447),ISNUMBER(F447)),IF(ROUND(D447,O447)=ROUND(F447,O447),"Reproduced to precision","Unresolved published value"),"Not comparable")</x:f>
        <x:v>Reproduced to precision</x:v>
      </x:c>
      <x:c r="I447" s="162" t="str">
        <x:v>Uniform BVPS uses net year-end outstanding shares. Report summary may use issued rather than treasury-net shares, or weighted shares: KOHC FY2024/25 and MLCF FY2024 values are closer to weighted denominators; LUCK FY2023 is closer to issued shares before1.536361m treasury exclusion (FY2024 note19 PDF p260). These numerical explanations are supported by official share counts but not by an expressly disclosed BVPS denominator. No company-specific denominator substituted in main model.</x:v>
      </x:c>
      <x:c r="J447" s="162" t="str">
        <x:v>FY2025 AR PDF p175</x:v>
      </x:c>
      <x:c r="K447" s="162" t="str">
        <x:v>Added source comparison</x:v>
      </x:c>
      <x:c r="L447" s="162" t="str">
        <x:v>Per-share denominator convention / official conflict</x:v>
      </x:c>
      <x:c r="M447" s="157" t="n">
        <x:f>IF(ISNUMBER(E447),E447-D447,"n/m")</x:f>
        <x:v>0.004014540695258972</x:v>
      </x:c>
      <x:c r="N447" s="157" t="n">
        <x:f>IF(ISNUMBER(F447),F447-D447,"n/m")</x:f>
        <x:v>0.004014540695258972</x:v>
      </x:c>
      <x:c r="O447" s="157" t="n">
        <x:v>2</x:v>
      </x:c>
    </x:row>
    <x:row r="448" ht="112" customHeight="1">
      <x:c r="A448" s="75" t="str">
        <x:v>MLCF</x:v>
      </x:c>
      <x:c r="B448" s="75" t="str">
        <x:v>Book value per share (Rs)</x:v>
      </x:c>
      <x:c r="C448" s="75" t="str">
        <x:v>FY2024</x:v>
      </x:c>
      <x:c r="D448" s="159" t="n">
        <x:v>49.69</x:v>
      </x:c>
      <x:c r="E448" s="159" t="n">
        <x:f>MLCF!G169</x:f>
        <x:v>50.22698213930126</x:v>
      </x:c>
      <x:c r="F448" s="159" t="n">
        <x:f>MLCF!G41/(MLCF!G39/MLCF!G127)/'PSX Prices'!G24</x:f>
        <x:v>50.22698213930126</x:v>
      </x:c>
      <x:c r="G448" s="163" t="str">
        <x:v>Equity / issued shares, converted to report split basis</x:v>
      </x:c>
      <x:c r="H448" s="163" t="str">
        <x:f>IF(AND(ISNUMBER(D448),ISNUMBER(F448)),IF(ROUND(D448,O448)=ROUND(F448,O448),"Reproduced to precision","Unresolved published value"),"Not comparable")</x:f>
        <x:v>Unresolved published value</x:v>
      </x:c>
      <x:c r="I448" s="163" t="str">
        <x:v>Uniform BVPS uses net year-end outstanding shares. Report summary may use issued rather than treasury-net shares, or weighted shares: KOHC FY2024/25 and MLCF FY2024 values are closer to weighted denominators; LUCK FY2023 is closer to issued shares before1.536361m treasury exclusion (FY2024 note19 PDF p260). These numerical explanations are supported by official share counts but not by an expressly disclosed BVPS denominator. No company-specific denominator substituted in main model.</x:v>
      </x:c>
      <x:c r="J448" s="163" t="str">
        <x:v>FY2025 AR PDF p175</x:v>
      </x:c>
      <x:c r="K448" s="163" t="str">
        <x:v>Added source comparison</x:v>
      </x:c>
      <x:c r="L448" s="163" t="str">
        <x:v>Per-share denominator convention / official conflict</x:v>
      </x:c>
      <x:c r="M448" s="75" t="n">
        <x:f>IF(ISNUMBER(E448),E448-D448,"n/m")</x:f>
        <x:v>0.5369821393012657</x:v>
      </x:c>
      <x:c r="N448" s="75" t="n">
        <x:f>IF(ISNUMBER(F448),F448-D448,"n/m")</x:f>
        <x:v>0.5369821393012657</x:v>
      </x:c>
      <x:c r="O448" s="75" t="n">
        <x:v>2</x:v>
      </x:c>
    </x:row>
    <x:row r="449" ht="112" customHeight="1">
      <x:c r="A449" s="157" t="str">
        <x:v>MLCF</x:v>
      </x:c>
      <x:c r="B449" s="157" t="str">
        <x:v>Book value per share (Rs)</x:v>
      </x:c>
      <x:c r="C449" s="157" t="str">
        <x:v>FY2025</x:v>
      </x:c>
      <x:c r="D449" s="158" t="n">
        <x:v>68.22</x:v>
      </x:c>
      <x:c r="E449" s="158" t="n">
        <x:f>MLCF!H169</x:f>
        <x:v>68.21701347489879</x:v>
      </x:c>
      <x:c r="F449" s="158" t="n">
        <x:f>MLCF!H41/(MLCF!H39/MLCF!H127)/'PSX Prices'!G25</x:f>
        <x:v>68.21701347489879</x:v>
      </x:c>
      <x:c r="G449" s="162" t="str">
        <x:v>Equity / issued shares, converted to report split basis</x:v>
      </x:c>
      <x:c r="H449" s="162" t="str">
        <x:f>IF(AND(ISNUMBER(D449),ISNUMBER(F449)),IF(ROUND(D449,O449)=ROUND(F449,O449),"Reproduced to precision","Unresolved published value"),"Not comparable")</x:f>
        <x:v>Reproduced to precision</x:v>
      </x:c>
      <x:c r="I449" s="162" t="str">
        <x:v>Uniform BVPS uses net year-end outstanding shares. Report summary may use issued rather than treasury-net shares, or weighted shares: KOHC FY2024/25 and MLCF FY2024 values are closer to weighted denominators; LUCK FY2023 is closer to issued shares before1.536361m treasury exclusion (FY2024 note19 PDF p260). These numerical explanations are supported by official share counts but not by an expressly disclosed BVPS denominator. No company-specific denominator substituted in main model.</x:v>
      </x:c>
      <x:c r="J449" s="162" t="str">
        <x:v>FY2025 AR PDF p175</x:v>
      </x:c>
      <x:c r="K449" s="162" t="str">
        <x:v>Added source comparison</x:v>
      </x:c>
      <x:c r="L449" s="162" t="str">
        <x:v>Per-share denominator convention / official conflict</x:v>
      </x:c>
      <x:c r="M449" s="157" t="n">
        <x:f>IF(ISNUMBER(E449),E449-D449,"n/m")</x:f>
        <x:v>-0.002986525101206894</x:v>
      </x:c>
      <x:c r="N449" s="157" t="n">
        <x:f>IF(ISNUMBER(F449),F449-D449,"n/m")</x:f>
        <x:v>-0.002986525101206894</x:v>
      </x:c>
      <x:c r="O449" s="157" t="n">
        <x:v>2</x:v>
      </x:c>
    </x:row>
    <x:row r="450" ht="112" customHeight="1">
      <x:c r="A450" s="75" t="str">
        <x:v>MLCF</x:v>
      </x:c>
      <x:c r="B450" s="75" t="str">
        <x:v>Market-to-book ratio</x:v>
      </x:c>
      <x:c r="C450" s="75" t="str">
        <x:v>FY2021</x:v>
      </x:c>
      <x:c r="D450" s="159" t="n">
        <x:v>1.37</x:v>
      </x:c>
      <x:c r="E450" s="159" t="n">
        <x:f>MLCF!D170</x:f>
        <x:v>1.3744489078669448</x:v>
      </x:c>
      <x:c r="F450" s="159" t="n">
        <x:f>'PSX Prices'!F21/'PSX Prices'!M21</x:f>
        <x:v>1.3744880046810999</x:v>
      </x:c>
      <x:c r="G450" s="163" t="str">
        <x:v>Report price / reported BVPS</x:v>
      </x:c>
      <x:c r="H450" s="163" t="str">
        <x:f>IF(AND(ISNUMBER(D450),ISNUMBER(F450)),IF(ROUND(D450,O450)=ROUND(F450,O450),"Reproduced to precision","Unresolved published value"),"Not comparable")</x:f>
        <x:v>Reproduced to precision</x:v>
      </x:c>
      <x:c r="I450" s="163" t="str">
        <x:v>Tested the source-based convention shown in G against official published precision. Unmatched values remain unresolved; neither the standardized method nor the financial inputs were altered to force agreement.</x:v>
      </x:c>
      <x:c r="J450" s="163" t="str">
        <x:v>FY2025 AR PDF p175</x:v>
      </x:c>
      <x:c r="K450" s="163" t="str">
        <x:v>Added source comparison</x:v>
      </x:c>
      <x:c r="L450" s="163" t="str">
        <x:v>Source comparison</x:v>
      </x:c>
      <x:c r="M450" s="75" t="n">
        <x:f>IF(ISNUMBER(E450),E450-D450,"n/m")</x:f>
        <x:v>0.00444890786694474</x:v>
      </x:c>
      <x:c r="N450" s="75" t="n">
        <x:f>IF(ISNUMBER(F450),F450-D450,"n/m")</x:f>
        <x:v>0.004488004681099778</x:v>
      </x:c>
      <x:c r="O450" s="75" t="n">
        <x:v>2</x:v>
      </x:c>
    </x:row>
    <x:row r="451" ht="112" customHeight="1">
      <x:c r="A451" s="157" t="str">
        <x:v>MLCF</x:v>
      </x:c>
      <x:c r="B451" s="157" t="str">
        <x:v>Market-to-book ratio</x:v>
      </x:c>
      <x:c r="C451" s="157" t="str">
        <x:v>FY2022</x:v>
      </x:c>
      <x:c r="D451" s="158" t="n">
        <x:v>0.74</x:v>
      </x:c>
      <x:c r="E451" s="158" t="n">
        <x:f>MLCF!E170</x:f>
        <x:v>0.7281380679486422</x:v>
      </x:c>
      <x:c r="F451" s="158" t="n">
        <x:f>'PSX Prices'!F22/'PSX Prices'!M22</x:f>
        <x:v>0.7405903059842947</x:v>
      </x:c>
      <x:c r="G451" s="162" t="str">
        <x:v>Report price / reported BVPS</x:v>
      </x:c>
      <x:c r="H451" s="162" t="str">
        <x:f>IF(AND(ISNUMBER(D451),ISNUMBER(F451)),IF(ROUND(D451,O451)=ROUND(F451,O451),"Reproduced to precision","Unresolved published value"),"Not comparable")</x:f>
        <x:v>Reproduced to precision</x:v>
      </x:c>
      <x:c r="I451" s="162" t="str">
        <x:v>Tested the source-based convention shown in G against official published precision. Unmatched values remain unresolved; neither the standardized method nor the financial inputs were altered to force agreement.</x:v>
      </x:c>
      <x:c r="J451" s="162" t="str">
        <x:v>FY2025 AR PDF p175</x:v>
      </x:c>
      <x:c r="K451" s="162" t="str">
        <x:v>Added source comparison</x:v>
      </x:c>
      <x:c r="L451" s="162" t="str">
        <x:v>Source comparison</x:v>
      </x:c>
      <x:c r="M451" s="157" t="n">
        <x:f>IF(ISNUMBER(E451),E451-D451,"n/m")</x:f>
        <x:v>-0.01186193205135777</x:v>
      </x:c>
      <x:c r="N451" s="157" t="n">
        <x:f>IF(ISNUMBER(F451),F451-D451,"n/m")</x:f>
        <x:v>0.000590305984294659</x:v>
      </x:c>
      <x:c r="O451" s="157" t="n">
        <x:v>2</x:v>
      </x:c>
    </x:row>
    <x:row r="452" ht="112" customHeight="1">
      <x:c r="A452" s="75" t="str">
        <x:v>MLCF</x:v>
      </x:c>
      <x:c r="B452" s="75" t="str">
        <x:v>Market-to-book ratio</x:v>
      </x:c>
      <x:c r="C452" s="75" t="str">
        <x:v>FY2023</x:v>
      </x:c>
      <x:c r="D452" s="159" t="n">
        <x:v>0.68</x:v>
      </x:c>
      <x:c r="E452" s="159" t="n">
        <x:f>MLCF!F170</x:f>
        <x:v>0.6770382887724061</x:v>
      </x:c>
      <x:c r="F452" s="159" t="n">
        <x:f>'PSX Prices'!F23/'PSX Prices'!M23</x:f>
        <x:v>0.6771032504780113</x:v>
      </x:c>
      <x:c r="G452" s="163" t="str">
        <x:v>Report price / reported BVPS</x:v>
      </x:c>
      <x:c r="H452" s="163" t="str">
        <x:f>IF(AND(ISNUMBER(D452),ISNUMBER(F452)),IF(ROUND(D452,O452)=ROUND(F452,O452),"Reproduced to precision","Unresolved published value"),"Not comparable")</x:f>
        <x:v>Reproduced to precision</x:v>
      </x:c>
      <x:c r="I452" s="163" t="str">
        <x:v>Tested the source-based convention shown in G against official published precision. Unmatched values remain unresolved; neither the standardized method nor the financial inputs were altered to force agreement.</x:v>
      </x:c>
      <x:c r="J452" s="163" t="str">
        <x:v>FY2025 AR PDF p175</x:v>
      </x:c>
      <x:c r="K452" s="163" t="str">
        <x:v>Added source comparison</x:v>
      </x:c>
      <x:c r="L452" s="163" t="str">
        <x:v>Source comparison</x:v>
      </x:c>
      <x:c r="M452" s="75" t="n">
        <x:f>IF(ISNUMBER(E452),E452-D452,"n/m")</x:f>
        <x:v>-0.0029617112275939217</x:v>
      </x:c>
      <x:c r="N452" s="75" t="n">
        <x:f>IF(ISNUMBER(F452),F452-D452,"n/m")</x:f>
        <x:v>-0.0028967495219887063</x:v>
      </x:c>
      <x:c r="O452" s="75" t="n">
        <x:v>2</x:v>
      </x:c>
    </x:row>
    <x:row r="453" ht="112" customHeight="1">
      <x:c r="A453" s="157" t="str">
        <x:v>MLCF</x:v>
      </x:c>
      <x:c r="B453" s="157" t="str">
        <x:v>Market-to-book ratio</x:v>
      </x:c>
      <x:c r="C453" s="157" t="str">
        <x:v>FY2024</x:v>
      </x:c>
      <x:c r="D453" s="158" t="n">
        <x:v>0.76</x:v>
      </x:c>
      <x:c r="E453" s="158" t="n">
        <x:f>MLCF!G170</x:f>
        <x:v>0.7565654630534934</x:v>
      </x:c>
      <x:c r="F453" s="158" t="n">
        <x:f>'PSX Prices'!F24/'PSX Prices'!M24</x:f>
        <x:v>0.7647413966592876</x:v>
      </x:c>
      <x:c r="G453" s="162" t="str">
        <x:v>Report price / reported BVPS</x:v>
      </x:c>
      <x:c r="H453" s="162" t="str">
        <x:f>IF(AND(ISNUMBER(D453),ISNUMBER(F453)),IF(ROUND(D453,O453)=ROUND(F453,O453),"Reproduced to precision","Unresolved published value"),"Not comparable")</x:f>
        <x:v>Reproduced to precision</x:v>
      </x:c>
      <x:c r="I453" s="162" t="str">
        <x:v>Tested the source-based convention shown in G against official published precision. Unmatched values remain unresolved; neither the standardized method nor the financial inputs were altered to force agreement.</x:v>
      </x:c>
      <x:c r="J453" s="162" t="str">
        <x:v>FY2025 AR PDF p175</x:v>
      </x:c>
      <x:c r="K453" s="162" t="str">
        <x:v>Added source comparison</x:v>
      </x:c>
      <x:c r="L453" s="162" t="str">
        <x:v>Source comparison</x:v>
      </x:c>
      <x:c r="M453" s="157" t="n">
        <x:f>IF(ISNUMBER(E453),E453-D453,"n/m")</x:f>
        <x:v>-0.003434536946506639</x:v>
      </x:c>
      <x:c r="N453" s="157" t="n">
        <x:f>IF(ISNUMBER(F453),F453-D453,"n/m")</x:f>
        <x:v>0.004741396659287633</x:v>
      </x:c>
      <x:c r="O453" s="157" t="n">
        <x:v>2</x:v>
      </x:c>
    </x:row>
    <x:row r="454" ht="112" customHeight="1">
      <x:c r="A454" s="75" t="str">
        <x:v>MLCF</x:v>
      </x:c>
      <x:c r="B454" s="75" t="str">
        <x:v>Market-to-book ratio</x:v>
      </x:c>
      <x:c r="C454" s="75" t="str">
        <x:v>FY2025</x:v>
      </x:c>
      <x:c r="D454" s="159" t="n">
        <x:v>1.24</x:v>
      </x:c>
      <x:c r="E454" s="159" t="n">
        <x:f>MLCF!H170</x:f>
        <x:v>1.2354689205356633</x:v>
      </x:c>
      <x:c r="F454" s="159" t="n">
        <x:f>'PSX Prices'!F25/'PSX Prices'!M25</x:f>
        <x:v>1.2354148343594253</x:v>
      </x:c>
      <x:c r="G454" s="163" t="str">
        <x:v>Report price / reported BVPS</x:v>
      </x:c>
      <x:c r="H454" s="163" t="str">
        <x:f>IF(AND(ISNUMBER(D454),ISNUMBER(F454)),IF(ROUND(D454,O454)=ROUND(F454,O454),"Reproduced to precision","Unresolved published value"),"Not comparable")</x:f>
        <x:v>Reproduced to precision</x:v>
      </x:c>
      <x:c r="I454" s="163" t="str">
        <x:v>Tested the source-based convention shown in G against official published precision. Unmatched values remain unresolved; neither the standardized method nor the financial inputs were altered to force agreement.</x:v>
      </x:c>
      <x:c r="J454" s="163" t="str">
        <x:v>FY2025 AR PDF p175</x:v>
      </x:c>
      <x:c r="K454" s="163" t="str">
        <x:v>Added source comparison</x:v>
      </x:c>
      <x:c r="L454" s="163" t="str">
        <x:v>Source comparison</x:v>
      </x:c>
      <x:c r="M454" s="75" t="n">
        <x:f>IF(ISNUMBER(E454),E454-D454,"n/m")</x:f>
        <x:v>-0.004531079464336729</x:v>
      </x:c>
      <x:c r="N454" s="75" t="n">
        <x:f>IF(ISNUMBER(F454),F454-D454,"n/m")</x:f>
        <x:v>-0.004585165640574651</x:v>
      </x:c>
      <x:c r="O454" s="75" t="n">
        <x:v>2</x:v>
      </x:c>
    </x:row>
    <x:row r="455" ht="112" customHeight="1">
      <x:c r="A455" s="157" t="str">
        <x:v>MLCF</x:v>
      </x:c>
      <x:c r="B455" s="157" t="str">
        <x:v>Earnings per share (Rs)</x:v>
      </x:c>
      <x:c r="C455" s="157" t="str">
        <x:v>FY2021</x:v>
      </x:c>
      <x:c r="D455" s="158" t="n">
        <x:v>5.69</x:v>
      </x:c>
      <x:c r="E455" s="158" t="n">
        <x:f>MLCF!D171</x:f>
        <x:v>5.694115515511503</x:v>
      </x:c>
      <x:c r="F455" s="158" t="n">
        <x:f>MLCF!D99/'PSX Prices'!O21</x:f>
        <x:v>5.694115515511503</x:v>
      </x:c>
      <x:c r="G455" s="162" t="str">
        <x:v>PAT / reported-basis weighted shares</x:v>
      </x:c>
      <x:c r="H455" s="162" t="str">
        <x:f>IF(AND(ISNUMBER(D455),ISNUMBER(F455)),IF(ROUND(D455,O455)=ROUND(F455,O455),"Reproduced to precision","Unresolved published value"),"Not comparable")</x:f>
        <x:v>Reproduced to precision</x:v>
      </x:c>
      <x:c r="I455" s="162" t="str">
        <x:v>Tested the source-based convention shown in G against official published precision. Unmatched values remain unresolved; neither the standardized method nor the financial inputs were altered to force agreement.</x:v>
      </x:c>
      <x:c r="J455" s="162" t="str">
        <x:v>FY2025 AR PDF p175</x:v>
      </x:c>
      <x:c r="K455" s="162" t="str">
        <x:v>Added source comparison</x:v>
      </x:c>
      <x:c r="L455" s="162" t="str">
        <x:v>Source comparison</x:v>
      </x:c>
      <x:c r="M455" s="157" t="n">
        <x:f>IF(ISNUMBER(E455),E455-D455,"n/m")</x:f>
        <x:v>0.0041155155115024655</x:v>
      </x:c>
      <x:c r="N455" s="157" t="n">
        <x:f>IF(ISNUMBER(F455),F455-D455,"n/m")</x:f>
        <x:v>0.0041155155115024655</x:v>
      </x:c>
      <x:c r="O455" s="157" t="n">
        <x:v>2</x:v>
      </x:c>
    </x:row>
    <x:row r="456" ht="112" customHeight="1">
      <x:c r="A456" s="75" t="str">
        <x:v>MLCF</x:v>
      </x:c>
      <x:c r="B456" s="75" t="str">
        <x:v>Earnings per share (Rs)</x:v>
      </x:c>
      <x:c r="C456" s="75" t="str">
        <x:v>FY2022</x:v>
      </x:c>
      <x:c r="D456" s="159" t="n">
        <x:v>3.3</x:v>
      </x:c>
      <x:c r="E456" s="159" t="n">
        <x:f>MLCF!E171</x:f>
        <x:v>3.3041099784606085</x:v>
      </x:c>
      <x:c r="F456" s="159" t="n">
        <x:f>MLCF!E99/'PSX Prices'!O22</x:f>
        <x:v>3.3041099784606085</x:v>
      </x:c>
      <x:c r="G456" s="163" t="str">
        <x:v>PAT / reported-basis weighted shares</x:v>
      </x:c>
      <x:c r="H456" s="163" t="str">
        <x:f>IF(AND(ISNUMBER(D456),ISNUMBER(F456)),IF(ROUND(D456,O456)=ROUND(F456,O456),"Reproduced to precision","Unresolved published value"),"Not comparable")</x:f>
        <x:v>Reproduced to precision</x:v>
      </x:c>
      <x:c r="I456" s="163" t="str">
        <x:v>Tested the source-based convention shown in G against official published precision. Unmatched values remain unresolved; neither the standardized method nor the financial inputs were altered to force agreement.</x:v>
      </x:c>
      <x:c r="J456" s="163" t="str">
        <x:v>FY2025 AR PDF p175</x:v>
      </x:c>
      <x:c r="K456" s="163" t="str">
        <x:v>Added source comparison</x:v>
      </x:c>
      <x:c r="L456" s="163" t="str">
        <x:v>Source comparison</x:v>
      </x:c>
      <x:c r="M456" s="75" t="n">
        <x:f>IF(ISNUMBER(E456),E456-D456,"n/m")</x:f>
        <x:v>0.0041099784606086764</x:v>
      </x:c>
      <x:c r="N456" s="75" t="n">
        <x:f>IF(ISNUMBER(F456),F456-D456,"n/m")</x:f>
        <x:v>0.0041099784606086764</x:v>
      </x:c>
      <x:c r="O456" s="75" t="n">
        <x:v>2</x:v>
      </x:c>
    </x:row>
    <x:row r="457" ht="112" customHeight="1">
      <x:c r="A457" s="157" t="str">
        <x:v>MLCF</x:v>
      </x:c>
      <x:c r="B457" s="157" t="str">
        <x:v>Earnings per share (Rs)</x:v>
      </x:c>
      <x:c r="C457" s="157" t="str">
        <x:v>FY2023</x:v>
      </x:c>
      <x:c r="D457" s="158" t="n">
        <x:v>4.18</x:v>
      </x:c>
      <x:c r="E457" s="158" t="n">
        <x:f>MLCF!F171</x:f>
        <x:v>4.18450538240459</x:v>
      </x:c>
      <x:c r="F457" s="158" t="n">
        <x:f>MLCF!F99/'PSX Prices'!O23</x:f>
        <x:v>4.18450538240459</x:v>
      </x:c>
      <x:c r="G457" s="162" t="str">
        <x:v>PAT / reported-basis weighted shares</x:v>
      </x:c>
      <x:c r="H457" s="162" t="str">
        <x:f>IF(AND(ISNUMBER(D457),ISNUMBER(F457)),IF(ROUND(D457,O457)=ROUND(F457,O457),"Reproduced to precision","Unresolved published value"),"Not comparable")</x:f>
        <x:v>Reproduced to precision</x:v>
      </x:c>
      <x:c r="I457" s="162" t="str">
        <x:v>Tested the source-based convention shown in G against official published precision. Unmatched values remain unresolved; neither the standardized method nor the financial inputs were altered to force agreement.</x:v>
      </x:c>
      <x:c r="J457" s="162" t="str">
        <x:v>FY2025 AR PDF p175</x:v>
      </x:c>
      <x:c r="K457" s="162" t="str">
        <x:v>Added source comparison</x:v>
      </x:c>
      <x:c r="L457" s="162" t="str">
        <x:v>Source comparison</x:v>
      </x:c>
      <x:c r="M457" s="157" t="n">
        <x:f>IF(ISNUMBER(E457),E457-D457,"n/m")</x:f>
        <x:v>0.004505382404590641</x:v>
      </x:c>
      <x:c r="N457" s="157" t="n">
        <x:f>IF(ISNUMBER(F457),F457-D457,"n/m")</x:f>
        <x:v>0.004505382404590641</x:v>
      </x:c>
      <x:c r="O457" s="157" t="n">
        <x:v>2</x:v>
      </x:c>
    </x:row>
    <x:row r="458" ht="112" customHeight="1">
      <x:c r="A458" s="75" t="str">
        <x:v>MLCF</x:v>
      </x:c>
      <x:c r="B458" s="75" t="str">
        <x:v>Earnings per share (Rs)</x:v>
      </x:c>
      <x:c r="C458" s="75" t="str">
        <x:v>FY2024</x:v>
      </x:c>
      <x:c r="D458" s="159" t="n">
        <x:v>4.98</x:v>
      </x:c>
      <x:c r="E458" s="159" t="n">
        <x:f>MLCF!G171</x:f>
        <x:v>4.979197496295721</x:v>
      </x:c>
      <x:c r="F458" s="159" t="n">
        <x:f>MLCF!G99/'PSX Prices'!O24</x:f>
        <x:v>4.979197496295721</x:v>
      </x:c>
      <x:c r="G458" s="163" t="str">
        <x:v>PAT / reported-basis weighted shares</x:v>
      </x:c>
      <x:c r="H458" s="163" t="str">
        <x:f>IF(AND(ISNUMBER(D458),ISNUMBER(F458)),IF(ROUND(D458,O458)=ROUND(F458,O458),"Reproduced to precision","Unresolved published value"),"Not comparable")</x:f>
        <x:v>Reproduced to precision</x:v>
      </x:c>
      <x:c r="I458" s="163" t="str">
        <x:v>Tested the source-based convention shown in G against official published precision. Unmatched values remain unresolved; neither the standardized method nor the financial inputs were altered to force agreement.</x:v>
      </x:c>
      <x:c r="J458" s="163" t="str">
        <x:v>FY2025 AR PDF p175</x:v>
      </x:c>
      <x:c r="K458" s="163" t="str">
        <x:v>Added source comparison</x:v>
      </x:c>
      <x:c r="L458" s="163" t="str">
        <x:v>Source comparison</x:v>
      </x:c>
      <x:c r="M458" s="75" t="n">
        <x:f>IF(ISNUMBER(E458),E458-D458,"n/m")</x:f>
        <x:v>-0.000802503704279367</x:v>
      </x:c>
      <x:c r="N458" s="75" t="n">
        <x:f>IF(ISNUMBER(F458),F458-D458,"n/m")</x:f>
        <x:v>-0.000802503704279367</x:v>
      </x:c>
      <x:c r="O458" s="75" t="n">
        <x:v>2</x:v>
      </x:c>
    </x:row>
    <x:row r="459" ht="112" customHeight="1">
      <x:c r="A459" s="157" t="str">
        <x:v>MLCF</x:v>
      </x:c>
      <x:c r="B459" s="157" t="str">
        <x:v>Earnings per share (Rs)</x:v>
      </x:c>
      <x:c r="C459" s="157" t="str">
        <x:v>FY2025</x:v>
      </x:c>
      <x:c r="D459" s="158" t="n">
        <x:v>16.26</x:v>
      </x:c>
      <x:c r="E459" s="158" t="n">
        <x:f>MLCF!H171</x:f>
        <x:v>16.262863426829693</x:v>
      </x:c>
      <x:c r="F459" s="158" t="n">
        <x:f>MLCF!H99/'PSX Prices'!O25</x:f>
        <x:v>16.262863426829693</x:v>
      </x:c>
      <x:c r="G459" s="162" t="str">
        <x:v>PAT / reported-basis weighted shares</x:v>
      </x:c>
      <x:c r="H459" s="162" t="str">
        <x:f>IF(AND(ISNUMBER(D459),ISNUMBER(F459)),IF(ROUND(D459,O459)=ROUND(F459,O459),"Reproduced to precision","Unresolved published value"),"Not comparable")</x:f>
        <x:v>Reproduced to precision</x:v>
      </x:c>
      <x:c r="I459" s="162" t="str">
        <x:v>Tested the source-based convention shown in G against official published precision. Unmatched values remain unresolved; neither the standardized method nor the financial inputs were altered to force agreement.</x:v>
      </x:c>
      <x:c r="J459" s="162" t="str">
        <x:v>FY2025 AR PDF p175</x:v>
      </x:c>
      <x:c r="K459" s="162" t="str">
        <x:v>Added source comparison</x:v>
      </x:c>
      <x:c r="L459" s="162" t="str">
        <x:v>Source comparison</x:v>
      </x:c>
      <x:c r="M459" s="157" t="n">
        <x:f>IF(ISNUMBER(E459),E459-D459,"n/m")</x:f>
        <x:v>0.002863426829691207</x:v>
      </x:c>
      <x:c r="N459" s="157" t="n">
        <x:f>IF(ISNUMBER(F459),F459-D459,"n/m")</x:f>
        <x:v>0.002863426829691207</x:v>
      </x:c>
      <x:c r="O459" s="157" t="n">
        <x:v>2</x:v>
      </x:c>
    </x:row>
    <x:row r="460" ht="112" customHeight="1">
      <x:c r="A460" s="75" t="str">
        <x:v>MLCF</x:v>
      </x:c>
      <x:c r="B460" s="75" t="str">
        <x:v>Dividend yield</x:v>
      </x:c>
      <x:c r="C460" s="75" t="str">
        <x:v>FY2021</x:v>
      </x:c>
      <x:c r="D460" s="160" t="n">
        <x:v>0</x:v>
      </x:c>
      <x:c r="E460" s="160" t="n">
        <x:f>MLCF!D173</x:f>
        <x:v>0</x:v>
      </x:c>
      <x:c r="F460" s="160" t="n">
        <x:f>'PSX Prices'!N21/'PSX Prices'!F21</x:f>
        <x:v>0</x:v>
      </x:c>
      <x:c r="G460" s="163" t="str">
        <x:v>Report DPS / report price</x:v>
      </x:c>
      <x:c r="H460" s="163" t="str">
        <x:f>IF(AND(ISNUMBER(D460),ISNUMBER(F460)),IF(ROUND(D460,O460)=ROUND(F460,O460),"Reproduced to precision","Unresolved published value"),"Not comparable")</x:f>
        <x:v>Reproduced to precision</x:v>
      </x:c>
      <x:c r="I460" s="163" t="str">
        <x:v>Tested the source-based convention shown in G against official published precision. Unmatched values remain unresolved; neither the standardized method nor the financial inputs were altered to force agreement.</x:v>
      </x:c>
      <x:c r="J460" s="163" t="str">
        <x:v>FY2025 AR PDF p175</x:v>
      </x:c>
      <x:c r="K460" s="163" t="str">
        <x:v>Added source comparison</x:v>
      </x:c>
      <x:c r="L460" s="163" t="str">
        <x:v>Source comparison</x:v>
      </x:c>
      <x:c r="M460" s="75" t="n">
        <x:f>IF(ISNUMBER(E460),E460-D460,"n/m")</x:f>
        <x:v>0</x:v>
      </x:c>
      <x:c r="N460" s="75" t="n">
        <x:f>IF(ISNUMBER(F460),F460-D460,"n/m")</x:f>
        <x:v>0</x:v>
      </x:c>
      <x:c r="O460" s="75" t="n">
        <x:v>4</x:v>
      </x:c>
    </x:row>
    <x:row r="461" ht="112" customHeight="1">
      <x:c r="A461" s="157" t="str">
        <x:v>MLCF</x:v>
      </x:c>
      <x:c r="B461" s="157" t="str">
        <x:v>Dividend yield</x:v>
      </x:c>
      <x:c r="C461" s="157" t="str">
        <x:v>FY2022</x:v>
      </x:c>
      <x:c r="D461" s="161" t="n">
        <x:v>0</x:v>
      </x:c>
      <x:c r="E461" s="161" t="n">
        <x:f>MLCF!E173</x:f>
        <x:v>0</x:v>
      </x:c>
      <x:c r="F461" s="161" t="n">
        <x:f>'PSX Prices'!N22/'PSX Prices'!F22</x:f>
        <x:v>0</x:v>
      </x:c>
      <x:c r="G461" s="162" t="str">
        <x:v>Report DPS / report price</x:v>
      </x:c>
      <x:c r="H461" s="162" t="str">
        <x:f>IF(AND(ISNUMBER(D461),ISNUMBER(F461)),IF(ROUND(D461,O461)=ROUND(F461,O461),"Reproduced to precision","Unresolved published value"),"Not comparable")</x:f>
        <x:v>Reproduced to precision</x:v>
      </x:c>
      <x:c r="I461" s="162" t="str">
        <x:v>Tested the source-based convention shown in G against official published precision. Unmatched values remain unresolved; neither the standardized method nor the financial inputs were altered to force agreement.</x:v>
      </x:c>
      <x:c r="J461" s="162" t="str">
        <x:v>FY2025 AR PDF p175</x:v>
      </x:c>
      <x:c r="K461" s="162" t="str">
        <x:v>Added source comparison</x:v>
      </x:c>
      <x:c r="L461" s="162" t="str">
        <x:v>Source comparison</x:v>
      </x:c>
      <x:c r="M461" s="157" t="n">
        <x:f>IF(ISNUMBER(E461),E461-D461,"n/m")</x:f>
        <x:v>0</x:v>
      </x:c>
      <x:c r="N461" s="157" t="n">
        <x:f>IF(ISNUMBER(F461),F461-D461,"n/m")</x:f>
        <x:v>0</x:v>
      </x:c>
      <x:c r="O461" s="157" t="n">
        <x:v>4</x:v>
      </x:c>
    </x:row>
    <x:row r="462" ht="112" customHeight="1">
      <x:c r="A462" s="75" t="str">
        <x:v>MLCF</x:v>
      </x:c>
      <x:c r="B462" s="75" t="str">
        <x:v>Dividend yield</x:v>
      </x:c>
      <x:c r="C462" s="75" t="str">
        <x:v>FY2023</x:v>
      </x:c>
      <x:c r="D462" s="160" t="n">
        <x:v>0</x:v>
      </x:c>
      <x:c r="E462" s="160" t="n">
        <x:f>MLCF!F173</x:f>
        <x:v>0</x:v>
      </x:c>
      <x:c r="F462" s="160" t="n">
        <x:f>'PSX Prices'!N23/'PSX Prices'!F23</x:f>
        <x:v>0</x:v>
      </x:c>
      <x:c r="G462" s="163" t="str">
        <x:v>Report DPS / report price</x:v>
      </x:c>
      <x:c r="H462" s="163" t="str">
        <x:f>IF(AND(ISNUMBER(D462),ISNUMBER(F462)),IF(ROUND(D462,O462)=ROUND(F462,O462),"Reproduced to precision","Unresolved published value"),"Not comparable")</x:f>
        <x:v>Reproduced to precision</x:v>
      </x:c>
      <x:c r="I462" s="163" t="str">
        <x:v>Tested the source-based convention shown in G against official published precision. Unmatched values remain unresolved; neither the standardized method nor the financial inputs were altered to force agreement.</x:v>
      </x:c>
      <x:c r="J462" s="163" t="str">
        <x:v>FY2025 AR PDF p175</x:v>
      </x:c>
      <x:c r="K462" s="163" t="str">
        <x:v>Added source comparison</x:v>
      </x:c>
      <x:c r="L462" s="163" t="str">
        <x:v>Source comparison</x:v>
      </x:c>
      <x:c r="M462" s="75" t="n">
        <x:f>IF(ISNUMBER(E462),E462-D462,"n/m")</x:f>
        <x:v>0</x:v>
      </x:c>
      <x:c r="N462" s="75" t="n">
        <x:f>IF(ISNUMBER(F462),F462-D462,"n/m")</x:f>
        <x:v>0</x:v>
      </x:c>
      <x:c r="O462" s="75" t="n">
        <x:v>4</x:v>
      </x:c>
    </x:row>
    <x:row r="463" ht="112" customHeight="1">
      <x:c r="A463" s="157" t="str">
        <x:v>MLCF</x:v>
      </x:c>
      <x:c r="B463" s="157" t="str">
        <x:v>Dividend yield</x:v>
      </x:c>
      <x:c r="C463" s="157" t="str">
        <x:v>FY2024</x:v>
      </x:c>
      <x:c r="D463" s="161" t="n">
        <x:v>0</x:v>
      </x:c>
      <x:c r="E463" s="161" t="n">
        <x:f>MLCF!G173</x:f>
        <x:v>0</x:v>
      </x:c>
      <x:c r="F463" s="161" t="n">
        <x:f>'PSX Prices'!N24/'PSX Prices'!F24</x:f>
        <x:v>0</x:v>
      </x:c>
      <x:c r="G463" s="162" t="str">
        <x:v>Report DPS / report price</x:v>
      </x:c>
      <x:c r="H463" s="162" t="str">
        <x:f>IF(AND(ISNUMBER(D463),ISNUMBER(F463)),IF(ROUND(D463,O463)=ROUND(F463,O463),"Reproduced to precision","Unresolved published value"),"Not comparable")</x:f>
        <x:v>Reproduced to precision</x:v>
      </x:c>
      <x:c r="I463" s="162" t="str">
        <x:v>Tested the source-based convention shown in G against official published precision. Unmatched values remain unresolved; neither the standardized method nor the financial inputs were altered to force agreement.</x:v>
      </x:c>
      <x:c r="J463" s="162" t="str">
        <x:v>FY2025 AR PDF p175</x:v>
      </x:c>
      <x:c r="K463" s="162" t="str">
        <x:v>Added source comparison</x:v>
      </x:c>
      <x:c r="L463" s="162" t="str">
        <x:v>Source comparison</x:v>
      </x:c>
      <x:c r="M463" s="157" t="n">
        <x:f>IF(ISNUMBER(E463),E463-D463,"n/m")</x:f>
        <x:v>0</x:v>
      </x:c>
      <x:c r="N463" s="157" t="n">
        <x:f>IF(ISNUMBER(F463),F463-D463,"n/m")</x:f>
        <x:v>0</x:v>
      </x:c>
      <x:c r="O463" s="157" t="n">
        <x:v>4</x:v>
      </x:c>
    </x:row>
    <x:row r="464" ht="112" customHeight="1">
      <x:c r="A464" s="75" t="str">
        <x:v>MLCF</x:v>
      </x:c>
      <x:c r="B464" s="75" t="str">
        <x:v>Dividend yield</x:v>
      </x:c>
      <x:c r="C464" s="75" t="str">
        <x:v>FY2025</x:v>
      </x:c>
      <x:c r="D464" s="160" t="n">
        <x:v>0</x:v>
      </x:c>
      <x:c r="E464" s="160" t="n">
        <x:f>MLCF!H173</x:f>
        <x:v>0</x:v>
      </x:c>
      <x:c r="F464" s="160" t="n">
        <x:f>'PSX Prices'!N25/'PSX Prices'!F25</x:f>
        <x:v>0</x:v>
      </x:c>
      <x:c r="G464" s="163" t="str">
        <x:v>Report DPS / report price</x:v>
      </x:c>
      <x:c r="H464" s="163" t="str">
        <x:f>IF(AND(ISNUMBER(D464),ISNUMBER(F464)),IF(ROUND(D464,O464)=ROUND(F464,O464),"Reproduced to precision","Unresolved published value"),"Not comparable")</x:f>
        <x:v>Reproduced to precision</x:v>
      </x:c>
      <x:c r="I464" s="163" t="str">
        <x:v>Tested the source-based convention shown in G against official published precision. Unmatched values remain unresolved; neither the standardized method nor the financial inputs were altered to force agreement.</x:v>
      </x:c>
      <x:c r="J464" s="163" t="str">
        <x:v>FY2025 AR PDF p175</x:v>
      </x:c>
      <x:c r="K464" s="163" t="str">
        <x:v>Added source comparison</x:v>
      </x:c>
      <x:c r="L464" s="163" t="str">
        <x:v>Source comparison</x:v>
      </x:c>
      <x:c r="M464" s="75" t="n">
        <x:f>IF(ISNUMBER(E464),E464-D464,"n/m")</x:f>
        <x:v>0</x:v>
      </x:c>
      <x:c r="N464" s="75" t="n">
        <x:f>IF(ISNUMBER(F464),F464-D464,"n/m")</x:f>
        <x:v>0</x:v>
      </x:c>
      <x:c r="O464" s="75" t="n">
        <x:v>4</x:v>
      </x:c>
    </x:row>
    <x:row r="465" ht="112" customHeight="1">
      <x:c r="A465" s="157" t="str">
        <x:v>MLCF</x:v>
      </x:c>
      <x:c r="B465" s="157" t="str">
        <x:v>Dividend payout ratio</x:v>
      </x:c>
      <x:c r="C465" s="157" t="str">
        <x:v>FY2021</x:v>
      </x:c>
      <x:c r="D465" s="161" t="n">
        <x:v>0</x:v>
      </x:c>
      <x:c r="E465" s="161" t="n">
        <x:f>MLCF!D174</x:f>
        <x:v>0</x:v>
      </x:c>
      <x:c r="F465" s="161" t="n">
        <x:f>'PSX Prices'!N21/(MLCF!D99/'PSX Prices'!O21)</x:f>
        <x:v>0</x:v>
      </x:c>
      <x:c r="G465" s="162" t="str">
        <x:v>Report DPS / unrounded report-basis EPS</x:v>
      </x:c>
      <x:c r="H465" s="162" t="str">
        <x:f>IF(AND(ISNUMBER(D465),ISNUMBER(F465)),IF(ROUND(D465,O465)=ROUND(F465,O465),"Reproduced to precision","Unresolved published value"),"Not comparable")</x:f>
        <x:v>Reproduced to precision</x:v>
      </x:c>
      <x:c r="I465" s="162" t="str">
        <x:v>Tested the source-based convention shown in G against official published precision. Unmatched values remain unresolved; neither the standardized method nor the financial inputs were altered to force agreement.</x:v>
      </x:c>
      <x:c r="J465" s="162" t="str">
        <x:v>FY2025 AR PDF p175</x:v>
      </x:c>
      <x:c r="K465" s="162" t="str">
        <x:v>Added source comparison</x:v>
      </x:c>
      <x:c r="L465" s="162" t="str">
        <x:v>Source comparison</x:v>
      </x:c>
      <x:c r="M465" s="157" t="n">
        <x:f>IF(ISNUMBER(E465),E465-D465,"n/m")</x:f>
        <x:v>0</x:v>
      </x:c>
      <x:c r="N465" s="157" t="n">
        <x:f>IF(ISNUMBER(F465),F465-D465,"n/m")</x:f>
        <x:v>0</x:v>
      </x:c>
      <x:c r="O465" s="157" t="n">
        <x:v>4</x:v>
      </x:c>
    </x:row>
    <x:row r="466" ht="112" customHeight="1">
      <x:c r="A466" s="75" t="str">
        <x:v>MLCF</x:v>
      </x:c>
      <x:c r="B466" s="75" t="str">
        <x:v>Dividend payout ratio</x:v>
      </x:c>
      <x:c r="C466" s="75" t="str">
        <x:v>FY2022</x:v>
      </x:c>
      <x:c r="D466" s="160" t="n">
        <x:v>0</x:v>
      </x:c>
      <x:c r="E466" s="160" t="n">
        <x:f>MLCF!E174</x:f>
        <x:v>0</x:v>
      </x:c>
      <x:c r="F466" s="160" t="n">
        <x:f>'PSX Prices'!N22/(MLCF!E99/'PSX Prices'!O22)</x:f>
        <x:v>0</x:v>
      </x:c>
      <x:c r="G466" s="163" t="str">
        <x:v>Report DPS / unrounded report-basis EPS</x:v>
      </x:c>
      <x:c r="H466" s="163" t="str">
        <x:f>IF(AND(ISNUMBER(D466),ISNUMBER(F466)),IF(ROUND(D466,O466)=ROUND(F466,O466),"Reproduced to precision","Unresolved published value"),"Not comparable")</x:f>
        <x:v>Reproduced to precision</x:v>
      </x:c>
      <x:c r="I466" s="163" t="str">
        <x:v>Tested the source-based convention shown in G against official published precision. Unmatched values remain unresolved; neither the standardized method nor the financial inputs were altered to force agreement.</x:v>
      </x:c>
      <x:c r="J466" s="163" t="str">
        <x:v>FY2025 AR PDF p175</x:v>
      </x:c>
      <x:c r="K466" s="163" t="str">
        <x:v>Added source comparison</x:v>
      </x:c>
      <x:c r="L466" s="163" t="str">
        <x:v>Source comparison</x:v>
      </x:c>
      <x:c r="M466" s="75" t="n">
        <x:f>IF(ISNUMBER(E466),E466-D466,"n/m")</x:f>
        <x:v>0</x:v>
      </x:c>
      <x:c r="N466" s="75" t="n">
        <x:f>IF(ISNUMBER(F466),F466-D466,"n/m")</x:f>
        <x:v>0</x:v>
      </x:c>
      <x:c r="O466" s="75" t="n">
        <x:v>4</x:v>
      </x:c>
    </x:row>
    <x:row r="467" ht="112" customHeight="1">
      <x:c r="A467" s="157" t="str">
        <x:v>MLCF</x:v>
      </x:c>
      <x:c r="B467" s="157" t="str">
        <x:v>Dividend payout ratio</x:v>
      </x:c>
      <x:c r="C467" s="157" t="str">
        <x:v>FY2023</x:v>
      </x:c>
      <x:c r="D467" s="161" t="n">
        <x:v>0</x:v>
      </x:c>
      <x:c r="E467" s="161" t="n">
        <x:f>MLCF!F174</x:f>
        <x:v>0</x:v>
      </x:c>
      <x:c r="F467" s="161" t="n">
        <x:f>'PSX Prices'!N23/(MLCF!F99/'PSX Prices'!O23)</x:f>
        <x:v>0</x:v>
      </x:c>
      <x:c r="G467" s="162" t="str">
        <x:v>Report DPS / unrounded report-basis EPS</x:v>
      </x:c>
      <x:c r="H467" s="162" t="str">
        <x:f>IF(AND(ISNUMBER(D467),ISNUMBER(F467)),IF(ROUND(D467,O467)=ROUND(F467,O467),"Reproduced to precision","Unresolved published value"),"Not comparable")</x:f>
        <x:v>Reproduced to precision</x:v>
      </x:c>
      <x:c r="I467" s="162" t="str">
        <x:v>Tested the source-based convention shown in G against official published precision. Unmatched values remain unresolved; neither the standardized method nor the financial inputs were altered to force agreement.</x:v>
      </x:c>
      <x:c r="J467" s="162" t="str">
        <x:v>FY2025 AR PDF p175</x:v>
      </x:c>
      <x:c r="K467" s="162" t="str">
        <x:v>Added source comparison</x:v>
      </x:c>
      <x:c r="L467" s="162" t="str">
        <x:v>Source comparison</x:v>
      </x:c>
      <x:c r="M467" s="157" t="n">
        <x:f>IF(ISNUMBER(E467),E467-D467,"n/m")</x:f>
        <x:v>0</x:v>
      </x:c>
      <x:c r="N467" s="157" t="n">
        <x:f>IF(ISNUMBER(F467),F467-D467,"n/m")</x:f>
        <x:v>0</x:v>
      </x:c>
      <x:c r="O467" s="157" t="n">
        <x:v>4</x:v>
      </x:c>
    </x:row>
    <x:row r="468" ht="112" customHeight="1">
      <x:c r="A468" s="75" t="str">
        <x:v>MLCF</x:v>
      </x:c>
      <x:c r="B468" s="75" t="str">
        <x:v>Dividend payout ratio</x:v>
      </x:c>
      <x:c r="C468" s="75" t="str">
        <x:v>FY2024</x:v>
      </x:c>
      <x:c r="D468" s="160" t="n">
        <x:v>0</x:v>
      </x:c>
      <x:c r="E468" s="160" t="n">
        <x:f>MLCF!G174</x:f>
        <x:v>0</x:v>
      </x:c>
      <x:c r="F468" s="160" t="n">
        <x:f>'PSX Prices'!N24/(MLCF!G99/'PSX Prices'!O24)</x:f>
        <x:v>0</x:v>
      </x:c>
      <x:c r="G468" s="163" t="str">
        <x:v>Report DPS / unrounded report-basis EPS</x:v>
      </x:c>
      <x:c r="H468" s="163" t="str">
        <x:f>IF(AND(ISNUMBER(D468),ISNUMBER(F468)),IF(ROUND(D468,O468)=ROUND(F468,O468),"Reproduced to precision","Unresolved published value"),"Not comparable")</x:f>
        <x:v>Reproduced to precision</x:v>
      </x:c>
      <x:c r="I468" s="163" t="str">
        <x:v>Tested the source-based convention shown in G against official published precision. Unmatched values remain unresolved; neither the standardized method nor the financial inputs were altered to force agreement.</x:v>
      </x:c>
      <x:c r="J468" s="163" t="str">
        <x:v>FY2025 AR PDF p175</x:v>
      </x:c>
      <x:c r="K468" s="163" t="str">
        <x:v>Added source comparison</x:v>
      </x:c>
      <x:c r="L468" s="163" t="str">
        <x:v>Source comparison</x:v>
      </x:c>
      <x:c r="M468" s="75" t="n">
        <x:f>IF(ISNUMBER(E468),E468-D468,"n/m")</x:f>
        <x:v>0</x:v>
      </x:c>
      <x:c r="N468" s="75" t="n">
        <x:f>IF(ISNUMBER(F468),F468-D468,"n/m")</x:f>
        <x:v>0</x:v>
      </x:c>
      <x:c r="O468" s="75" t="n">
        <x:v>4</x:v>
      </x:c>
    </x:row>
    <x:row r="469" ht="112" customHeight="1">
      <x:c r="A469" s="157" t="str">
        <x:v>MLCF</x:v>
      </x:c>
      <x:c r="B469" s="157" t="str">
        <x:v>Dividend payout ratio</x:v>
      </x:c>
      <x:c r="C469" s="157" t="str">
        <x:v>FY2025</x:v>
      </x:c>
      <x:c r="D469" s="161" t="n">
        <x:v>0</x:v>
      </x:c>
      <x:c r="E469" s="161" t="n">
        <x:f>MLCF!H174</x:f>
        <x:v>0</x:v>
      </x:c>
      <x:c r="F469" s="161" t="n">
        <x:f>'PSX Prices'!N25/(MLCF!H99/'PSX Prices'!O25)</x:f>
        <x:v>0</x:v>
      </x:c>
      <x:c r="G469" s="162" t="str">
        <x:v>Report DPS / unrounded report-basis EPS</x:v>
      </x:c>
      <x:c r="H469" s="162" t="str">
        <x:f>IF(AND(ISNUMBER(D469),ISNUMBER(F469)),IF(ROUND(D469,O469)=ROUND(F469,O469),"Reproduced to precision","Unresolved published value"),"Not comparable")</x:f>
        <x:v>Reproduced to precision</x:v>
      </x:c>
      <x:c r="I469" s="162" t="str">
        <x:v>Tested the source-based convention shown in G against official published precision. Unmatched values remain unresolved; neither the standardized method nor the financial inputs were altered to force agreement.</x:v>
      </x:c>
      <x:c r="J469" s="162" t="str">
        <x:v>FY2025 AR PDF p175</x:v>
      </x:c>
      <x:c r="K469" s="162" t="str">
        <x:v>Added source comparison</x:v>
      </x:c>
      <x:c r="L469" s="162" t="str">
        <x:v>Source comparison</x:v>
      </x:c>
      <x:c r="M469" s="157" t="n">
        <x:f>IF(ISNUMBER(E469),E469-D469,"n/m")</x:f>
        <x:v>0</x:v>
      </x:c>
      <x:c r="N469" s="157" t="n">
        <x:f>IF(ISNUMBER(F469),F469-D469,"n/m")</x:f>
        <x:v>0</x:v>
      </x:c>
      <x:c r="O469" s="157" t="n">
        <x:v>4</x:v>
      </x:c>
    </x:row>
    <x:row r="470" ht="112" customHeight="1">
      <x:c r="A470" s="75" t="str">
        <x:v>FCCL</x:v>
      </x:c>
      <x:c r="B470" s="75" t="str">
        <x:v>Current ratio</x:v>
      </x:c>
      <x:c r="C470" s="75" t="str">
        <x:v>FY2021</x:v>
      </x:c>
      <x:c r="D470" s="159" t="n">
        <x:v>2.02</x:v>
      </x:c>
      <x:c r="E470" s="159" t="n">
        <x:f>FCCL!D138</x:f>
        <x:v>2.01862288296847</x:v>
      </x:c>
      <x:c r="F470" s="159" t="n">
        <x:f>FCCL!D36/(FCCL!D61-FCCL!D256)</x:f>
        <x:v>2.01862288296847</x:v>
      </x:c>
      <x:c r="G470" s="163" t="str">
        <x:v>Current or quick assets / (CL excluding parent loan)</x:v>
      </x:c>
      <x:c r="H470" s="163" t="str">
        <x:f>IF(AND(ISNUMBER(D470),ISNUMBER(F470)),IF(ROUND(D470,O470)=ROUND(F470,O470),"Reproduced to precision","Unresolved published value"),"Not comparable")</x:f>
        <x:v>Reproduced to precision</x:v>
      </x:c>
      <x:c r="I470" s="163" t="str">
        <x:v>Official parent-loan note makes loan payable on demand subject to lenders consent. Published liquidity excludes the separately disclosed parent loan, whereas the uniform method uses ALL audited current liabilities, including on-demand parent financing.</x:v>
      </x:c>
      <x:c r="J470" s="163" t="str">
        <x:v>FY2025 AR PDF p214</x:v>
      </x:c>
      <x:c r="K470" s="163" t="str">
        <x:v>Added source comparison</x:v>
      </x:c>
      <x:c r="L470" s="163" t="str">
        <x:v>Published methodology difference (reconstructed)</x:v>
      </x:c>
      <x:c r="M470" s="75" t="n">
        <x:f>IF(ISNUMBER(E470),E470-D470,"n/m")</x:f>
        <x:v>-0.001377117031529984</x:v>
      </x:c>
      <x:c r="N470" s="75" t="n">
        <x:f>IF(ISNUMBER(F470),F470-D470,"n/m")</x:f>
        <x:v>-0.001377117031529984</x:v>
      </x:c>
      <x:c r="O470" s="75" t="n">
        <x:v>2</x:v>
      </x:c>
    </x:row>
    <x:row r="471" ht="112" customHeight="1">
      <x:c r="A471" s="157" t="str">
        <x:v>FCCL</x:v>
      </x:c>
      <x:c r="B471" s="157" t="str">
        <x:v>Current ratio</x:v>
      </x:c>
      <x:c r="C471" s="157" t="str">
        <x:v>FY2022</x:v>
      </x:c>
      <x:c r="D471" s="158" t="n">
        <x:v>1.46</x:v>
      </x:c>
      <x:c r="E471" s="158" t="n">
        <x:f>FCCL!E138</x:f>
        <x:v>1.0559688948718087</x:v>
      </x:c>
      <x:c r="F471" s="158" t="n">
        <x:f>FCCL!E36/(FCCL!E61-FCCL!E256)</x:f>
        <x:v>1.4594208527218508</x:v>
      </x:c>
      <x:c r="G471" s="162" t="str">
        <x:v>Current or quick assets / (CL excluding parent loan)</x:v>
      </x:c>
      <x:c r="H471" s="162" t="str">
        <x:f>IF(AND(ISNUMBER(D471),ISNUMBER(F471)),IF(ROUND(D471,O471)=ROUND(F471,O471),"Reproduced to precision","Unresolved published value"),"Not comparable")</x:f>
        <x:v>Reproduced to precision</x:v>
      </x:c>
      <x:c r="I471" s="162" t="str">
        <x:v>Official parent-loan note makes loan payable on demand subject to lenders consent. Published liquidity excludes the separately disclosed parent loan, whereas the uniform method uses ALL audited current liabilities, including on-demand parent financing.</x:v>
      </x:c>
      <x:c r="J471" s="162" t="str">
        <x:v>FY2025 AR PDF p214</x:v>
      </x:c>
      <x:c r="K471" s="162" t="str">
        <x:v>Added source comparison</x:v>
      </x:c>
      <x:c r="L471" s="162" t="str">
        <x:v>Published methodology difference (reconstructed)</x:v>
      </x:c>
      <x:c r="M471" s="157" t="n">
        <x:f>IF(ISNUMBER(E471),E471-D471,"n/m")</x:f>
        <x:v>-0.4040311051281913</x:v>
      </x:c>
      <x:c r="N471" s="157" t="n">
        <x:f>IF(ISNUMBER(F471),F471-D471,"n/m")</x:f>
        <x:v>-0.0005791472781491169</x:v>
      </x:c>
      <x:c r="O471" s="157" t="n">
        <x:v>2</x:v>
      </x:c>
    </x:row>
    <x:row r="472" ht="112" customHeight="1">
      <x:c r="A472" s="75" t="str">
        <x:v>FCCL</x:v>
      </x:c>
      <x:c r="B472" s="75" t="str">
        <x:v>Current ratio</x:v>
      </x:c>
      <x:c r="C472" s="75" t="str">
        <x:v>FY2023</x:v>
      </x:c>
      <x:c r="D472" s="159" t="n">
        <x:v>1.1</x:v>
      </x:c>
      <x:c r="E472" s="159" t="n">
        <x:f>FCCL!F138</x:f>
        <x:v>0.8121113755800701</x:v>
      </x:c>
      <x:c r="F472" s="159" t="n">
        <x:f>FCCL!F36/(FCCL!F61-FCCL!F256)</x:f>
        <x:v>1.096429288258142</x:v>
      </x:c>
      <x:c r="G472" s="163" t="str">
        <x:v>Current or quick assets / (CL excluding parent loan)</x:v>
      </x:c>
      <x:c r="H472" s="163" t="str">
        <x:f>IF(AND(ISNUMBER(D472),ISNUMBER(F472)),IF(ROUND(D472,O472)=ROUND(F472,O472),"Reproduced to precision","Unresolved published value"),"Not comparable")</x:f>
        <x:v>Reproduced to precision</x:v>
      </x:c>
      <x:c r="I472" s="163" t="str">
        <x:v>Official parent-loan note makes loan payable on demand subject to lenders consent. Published liquidity excludes the separately disclosed parent loan, whereas the uniform method uses ALL audited current liabilities, including on-demand parent financing.</x:v>
      </x:c>
      <x:c r="J472" s="163" t="str">
        <x:v>FY2025 AR PDF p214</x:v>
      </x:c>
      <x:c r="K472" s="163" t="str">
        <x:v>Added source comparison</x:v>
      </x:c>
      <x:c r="L472" s="163" t="str">
        <x:v>Published methodology difference (reconstructed)</x:v>
      </x:c>
      <x:c r="M472" s="75" t="n">
        <x:f>IF(ISNUMBER(E472),E472-D472,"n/m")</x:f>
        <x:v>-0.28788862441993</x:v>
      </x:c>
      <x:c r="N472" s="75" t="n">
        <x:f>IF(ISNUMBER(F472),F472-D472,"n/m")</x:f>
        <x:v>-0.00357071174185819</x:v>
      </x:c>
      <x:c r="O472" s="75" t="n">
        <x:v>2</x:v>
      </x:c>
    </x:row>
    <x:row r="473" ht="112" customHeight="1">
      <x:c r="A473" s="157" t="str">
        <x:v>FCCL</x:v>
      </x:c>
      <x:c r="B473" s="157" t="str">
        <x:v>Current ratio</x:v>
      </x:c>
      <x:c r="C473" s="157" t="str">
        <x:v>FY2024</x:v>
      </x:c>
      <x:c r="D473" s="158" t="n">
        <x:v>1.32</x:v>
      </x:c>
      <x:c r="E473" s="158" t="n">
        <x:f>FCCL!G138</x:f>
        <x:v>0.9597477311673009</x:v>
      </x:c>
      <x:c r="F473" s="158" t="n">
        <x:f>FCCL!G36/(FCCL!G61-FCCL!G256)</x:f>
        <x:v>1.323721779542507</x:v>
      </x:c>
      <x:c r="G473" s="162" t="str">
        <x:v>Current or quick assets / (CL excluding parent loan)</x:v>
      </x:c>
      <x:c r="H473" s="162" t="str">
        <x:f>IF(AND(ISNUMBER(D473),ISNUMBER(F473)),IF(ROUND(D473,O473)=ROUND(F473,O473),"Reproduced to precision","Unresolved published value"),"Not comparable")</x:f>
        <x:v>Reproduced to precision</x:v>
      </x:c>
      <x:c r="I473" s="162" t="str">
        <x:v>Official parent-loan note makes loan payable on demand subject to lenders consent. Published liquidity excludes the separately disclosed parent loan, whereas the uniform method uses ALL audited current liabilities, including on-demand parent financing.</x:v>
      </x:c>
      <x:c r="J473" s="162" t="str">
        <x:v>FY2025 AR PDF p214</x:v>
      </x:c>
      <x:c r="K473" s="162" t="str">
        <x:v>Added source comparison</x:v>
      </x:c>
      <x:c r="L473" s="162" t="str">
        <x:v>Published methodology difference (reconstructed)</x:v>
      </x:c>
      <x:c r="M473" s="157" t="n">
        <x:f>IF(ISNUMBER(E473),E473-D473,"n/m")</x:f>
        <x:v>-0.3602522688326991</x:v>
      </x:c>
      <x:c r="N473" s="157" t="n">
        <x:f>IF(ISNUMBER(F473),F473-D473,"n/m")</x:f>
        <x:v>0.0037217795425068534</x:v>
      </x:c>
      <x:c r="O473" s="157" t="n">
        <x:v>2</x:v>
      </x:c>
    </x:row>
    <x:row r="474" ht="112" customHeight="1">
      <x:c r="A474" s="75" t="str">
        <x:v>FCCL</x:v>
      </x:c>
      <x:c r="B474" s="75" t="str">
        <x:v>Current ratio</x:v>
      </x:c>
      <x:c r="C474" s="75" t="str">
        <x:v>FY2025</x:v>
      </x:c>
      <x:c r="D474" s="159" t="n">
        <x:v>1.75</x:v>
      </x:c>
      <x:c r="E474" s="159" t="n">
        <x:f>FCCL!H138</x:f>
        <x:v>1.3210140828410366</x:v>
      </x:c>
      <x:c r="F474" s="159" t="n">
        <x:f>FCCL!H36/(FCCL!H61-FCCL!H256)</x:f>
        <x:v>1.7546940945214227</x:v>
      </x:c>
      <x:c r="G474" s="163" t="str">
        <x:v>Current or quick assets / (CL excluding parent loan)</x:v>
      </x:c>
      <x:c r="H474" s="163" t="str">
        <x:f>IF(AND(ISNUMBER(D474),ISNUMBER(F474)),IF(ROUND(D474,O474)=ROUND(F474,O474),"Reproduced to precision","Unresolved published value"),"Not comparable")</x:f>
        <x:v>Reproduced to precision</x:v>
      </x:c>
      <x:c r="I474" s="163" t="str">
        <x:v>Official parent-loan note makes loan payable on demand subject to lenders consent. Published liquidity excludes the separately disclosed parent loan, whereas the uniform method uses ALL audited current liabilities, including on-demand parent financing.</x:v>
      </x:c>
      <x:c r="J474" s="163" t="str">
        <x:v>FY2025 AR PDF p214</x:v>
      </x:c>
      <x:c r="K474" s="163" t="str">
        <x:v>Added source comparison</x:v>
      </x:c>
      <x:c r="L474" s="163" t="str">
        <x:v>Published methodology difference (reconstructed)</x:v>
      </x:c>
      <x:c r="M474" s="75" t="n">
        <x:f>IF(ISNUMBER(E474),E474-D474,"n/m")</x:f>
        <x:v>-0.4289859171589634</x:v>
      </x:c>
      <x:c r="N474" s="75" t="n">
        <x:f>IF(ISNUMBER(F474),F474-D474,"n/m")</x:f>
        <x:v>0.004694094521422665</x:v>
      </x:c>
      <x:c r="O474" s="75" t="n">
        <x:v>2</x:v>
      </x:c>
    </x:row>
    <x:row r="475" ht="112" customHeight="1">
      <x:c r="A475" s="157" t="str">
        <x:v>FCCL</x:v>
      </x:c>
      <x:c r="B475" s="157" t="str">
        <x:v>Quick ratio</x:v>
      </x:c>
      <x:c r="C475" s="157" t="str">
        <x:v>FY2021</x:v>
      </x:c>
      <x:c r="D475" s="158" t="n">
        <x:v>1.14</x:v>
      </x:c>
      <x:c r="E475" s="158" t="n">
        <x:f>FCCL!D139</x:f>
        <x:v>1.1357988467684703</x:v>
      </x:c>
      <x:c r="F475" s="158" t="n">
        <x:f>(FCCL!D36-FCCL!D65)/(FCCL!D61-FCCL!D256)</x:f>
        <x:v>1.1357988467684703</x:v>
      </x:c>
      <x:c r="G475" s="162" t="str">
        <x:v>Current or quick assets / (CL excluding parent loan)</x:v>
      </x:c>
      <x:c r="H475" s="162" t="str">
        <x:f>IF(AND(ISNUMBER(D475),ISNUMBER(F475)),IF(ROUND(D475,O475)=ROUND(F475,O475),"Reproduced to precision","Unresolved published value"),"Not comparable")</x:f>
        <x:v>Reproduced to precision</x:v>
      </x:c>
      <x:c r="I475" s="162" t="str">
        <x:v>Official parent-loan note makes loan payable on demand subject to lenders consent. Published liquidity excludes the separately disclosed parent loan, whereas the uniform method uses ALL audited current liabilities, including on-demand parent financing.</x:v>
      </x:c>
      <x:c r="J475" s="162" t="str">
        <x:v>FY2025 AR PDF p214</x:v>
      </x:c>
      <x:c r="K475" s="162" t="str">
        <x:v>Added source comparison</x:v>
      </x:c>
      <x:c r="L475" s="162" t="str">
        <x:v>Published methodology difference (reconstructed)</x:v>
      </x:c>
      <x:c r="M475" s="157" t="n">
        <x:f>IF(ISNUMBER(E475),E475-D475,"n/m")</x:f>
        <x:v>-0.004201153231529586</x:v>
      </x:c>
      <x:c r="N475" s="157" t="n">
        <x:f>IF(ISNUMBER(F475),F475-D475,"n/m")</x:f>
        <x:v>-0.004201153231529586</x:v>
      </x:c>
      <x:c r="O475" s="157" t="n">
        <x:v>2</x:v>
      </x:c>
    </x:row>
    <x:row r="476" ht="112" customHeight="1">
      <x:c r="A476" s="75" t="str">
        <x:v>FCCL</x:v>
      </x:c>
      <x:c r="B476" s="75" t="str">
        <x:v>Quick ratio</x:v>
      </x:c>
      <x:c r="C476" s="75" t="str">
        <x:v>FY2022</x:v>
      </x:c>
      <x:c r="D476" s="159" t="n">
        <x:v>0.65</x:v>
      </x:c>
      <x:c r="E476" s="159" t="n">
        <x:f>FCCL!E139</x:f>
        <x:v>0.4707842106056928</x:v>
      </x:c>
      <x:c r="F476" s="159" t="n">
        <x:f>(FCCL!E36-FCCL!E65)/(FCCL!E61-FCCL!E256)</x:f>
        <x:v>0.6506558075970146</x:v>
      </x:c>
      <x:c r="G476" s="163" t="str">
        <x:v>Current or quick assets / (CL excluding parent loan)</x:v>
      </x:c>
      <x:c r="H476" s="163" t="str">
        <x:f>IF(AND(ISNUMBER(D476),ISNUMBER(F476)),IF(ROUND(D476,O476)=ROUND(F476,O476),"Reproduced to precision","Unresolved published value"),"Not comparable")</x:f>
        <x:v>Reproduced to precision</x:v>
      </x:c>
      <x:c r="I476" s="163" t="str">
        <x:v>Official parent-loan note makes loan payable on demand subject to lenders consent. Published liquidity excludes the separately disclosed parent loan, whereas the uniform method uses ALL audited current liabilities, including on-demand parent financing.</x:v>
      </x:c>
      <x:c r="J476" s="163" t="str">
        <x:v>FY2025 AR PDF p214</x:v>
      </x:c>
      <x:c r="K476" s="163" t="str">
        <x:v>Added source comparison</x:v>
      </x:c>
      <x:c r="L476" s="163" t="str">
        <x:v>Published methodology difference (reconstructed)</x:v>
      </x:c>
      <x:c r="M476" s="75" t="n">
        <x:f>IF(ISNUMBER(E476),E476-D476,"n/m")</x:f>
        <x:v>-0.1792157893943072</x:v>
      </x:c>
      <x:c r="N476" s="75" t="n">
        <x:f>IF(ISNUMBER(F476),F476-D476,"n/m")</x:f>
        <x:v>0.0006558075970145572</x:v>
      </x:c>
      <x:c r="O476" s="75" t="n">
        <x:v>2</x:v>
      </x:c>
    </x:row>
    <x:row r="477" ht="112" customHeight="1">
      <x:c r="A477" s="157" t="str">
        <x:v>FCCL</x:v>
      </x:c>
      <x:c r="B477" s="157" t="str">
        <x:v>Quick ratio</x:v>
      </x:c>
      <x:c r="C477" s="157" t="str">
        <x:v>FY2023</x:v>
      </x:c>
      <x:c r="D477" s="158" t="n">
        <x:v>0.38</x:v>
      </x:c>
      <x:c r="E477" s="158" t="n">
        <x:f>FCCL!F139</x:f>
        <x:v>0.2812171087331332</x:v>
      </x:c>
      <x:c r="F477" s="158" t="n">
        <x:f>(FCCL!F36-FCCL!F65)/(FCCL!F61-FCCL!F256)</x:f>
        <x:v>0.3796704290147965</x:v>
      </x:c>
      <x:c r="G477" s="162" t="str">
        <x:v>Current or quick assets / (CL excluding parent loan)</x:v>
      </x:c>
      <x:c r="H477" s="162" t="str">
        <x:f>IF(AND(ISNUMBER(D477),ISNUMBER(F477)),IF(ROUND(D477,O477)=ROUND(F477,O477),"Reproduced to precision","Unresolved published value"),"Not comparable")</x:f>
        <x:v>Reproduced to precision</x:v>
      </x:c>
      <x:c r="I477" s="162" t="str">
        <x:v>Official parent-loan note makes loan payable on demand subject to lenders consent. Published liquidity excludes the separately disclosed parent loan, whereas the uniform method uses ALL audited current liabilities, including on-demand parent financing.</x:v>
      </x:c>
      <x:c r="J477" s="162" t="str">
        <x:v>FY2025 AR PDF p214</x:v>
      </x:c>
      <x:c r="K477" s="162" t="str">
        <x:v>Added source comparison</x:v>
      </x:c>
      <x:c r="L477" s="162" t="str">
        <x:v>Published methodology difference (reconstructed)</x:v>
      </x:c>
      <x:c r="M477" s="157" t="n">
        <x:f>IF(ISNUMBER(E477),E477-D477,"n/m")</x:f>
        <x:v>-0.09878289126686679</x:v>
      </x:c>
      <x:c r="N477" s="157" t="n">
        <x:f>IF(ISNUMBER(F477),F477-D477,"n/m")</x:f>
        <x:v>-0.0003295709852035311</x:v>
      </x:c>
      <x:c r="O477" s="157" t="n">
        <x:v>2</x:v>
      </x:c>
    </x:row>
    <x:row r="478" ht="112" customHeight="1">
      <x:c r="A478" s="75" t="str">
        <x:v>FCCL</x:v>
      </x:c>
      <x:c r="B478" s="75" t="str">
        <x:v>Quick ratio</x:v>
      </x:c>
      <x:c r="C478" s="75" t="str">
        <x:v>FY2024</x:v>
      </x:c>
      <x:c r="D478" s="159" t="n">
        <x:v>0.47</x:v>
      </x:c>
      <x:c r="E478" s="159" t="n">
        <x:f>FCCL!G139</x:f>
        <x:v>0.3420463898878065</x:v>
      </x:c>
      <x:c r="F478" s="159" t="n">
        <x:f>(FCCL!G36-FCCL!G65)/(FCCL!G61-FCCL!G256)</x:f>
        <x:v>0.4717638200172528</x:v>
      </x:c>
      <x:c r="G478" s="163" t="str">
        <x:v>Current or quick assets / (CL excluding parent loan)</x:v>
      </x:c>
      <x:c r="H478" s="163" t="str">
        <x:f>IF(AND(ISNUMBER(D478),ISNUMBER(F478)),IF(ROUND(D478,O478)=ROUND(F478,O478),"Reproduced to precision","Unresolved published value"),"Not comparable")</x:f>
        <x:v>Reproduced to precision</x:v>
      </x:c>
      <x:c r="I478" s="163" t="str">
        <x:v>Official parent-loan note makes loan payable on demand subject to lenders consent. Published liquidity excludes the separately disclosed parent loan, whereas the uniform method uses ALL audited current liabilities, including on-demand parent financing.</x:v>
      </x:c>
      <x:c r="J478" s="163" t="str">
        <x:v>FY2025 AR PDF p214</x:v>
      </x:c>
      <x:c r="K478" s="163" t="str">
        <x:v>Added source comparison</x:v>
      </x:c>
      <x:c r="L478" s="163" t="str">
        <x:v>Published methodology difference (reconstructed)</x:v>
      </x:c>
      <x:c r="M478" s="75" t="n">
        <x:f>IF(ISNUMBER(E478),E478-D478,"n/m")</x:f>
        <x:v>-0.12795361011219347</x:v>
      </x:c>
      <x:c r="N478" s="75" t="n">
        <x:f>IF(ISNUMBER(F478),F478-D478,"n/m")</x:f>
        <x:v>0.0017638200172528373</x:v>
      </x:c>
      <x:c r="O478" s="75" t="n">
        <x:v>2</x:v>
      </x:c>
    </x:row>
    <x:row r="479" ht="112" customHeight="1">
      <x:c r="A479" s="157" t="str">
        <x:v>FCCL</x:v>
      </x:c>
      <x:c r="B479" s="157" t="str">
        <x:v>Quick ratio</x:v>
      </x:c>
      <x:c r="C479" s="157" t="str">
        <x:v>FY2025</x:v>
      </x:c>
      <x:c r="D479" s="158" t="n">
        <x:v>0.9</x:v>
      </x:c>
      <x:c r="E479" s="158" t="n">
        <x:f>FCCL!H139</x:f>
        <x:v>0.6775338076736492</x:v>
      </x:c>
      <x:c r="F479" s="158" t="n">
        <x:f>(FCCL!H36-FCCL!H65)/(FCCL!H61-FCCL!H256)</x:f>
        <x:v>0.8999635860101781</x:v>
      </x:c>
      <x:c r="G479" s="162" t="str">
        <x:v>Current or quick assets / (CL excluding parent loan)</x:v>
      </x:c>
      <x:c r="H479" s="162" t="str">
        <x:f>IF(AND(ISNUMBER(D479),ISNUMBER(F479)),IF(ROUND(D479,O479)=ROUND(F479,O479),"Reproduced to precision","Unresolved published value"),"Not comparable")</x:f>
        <x:v>Reproduced to precision</x:v>
      </x:c>
      <x:c r="I479" s="162" t="str">
        <x:v>Official parent-loan note makes loan payable on demand subject to lenders consent. Published liquidity excludes the separately disclosed parent loan, whereas the uniform method uses ALL audited current liabilities, including on-demand parent financing.</x:v>
      </x:c>
      <x:c r="J479" s="162" t="str">
        <x:v>FY2025 AR PDF p214</x:v>
      </x:c>
      <x:c r="K479" s="162" t="str">
        <x:v>Added source comparison</x:v>
      </x:c>
      <x:c r="L479" s="162" t="str">
        <x:v>Published methodology difference (reconstructed)</x:v>
      </x:c>
      <x:c r="M479" s="157" t="n">
        <x:f>IF(ISNUMBER(E479),E479-D479,"n/m")</x:f>
        <x:v>-0.2224661923263508</x:v>
      </x:c>
      <x:c r="N479" s="157" t="n">
        <x:f>IF(ISNUMBER(F479),F479-D479,"n/m")</x:f>
        <x:v>-0.000036413989821904025</x:v>
      </x:c>
      <x:c r="O479" s="157" t="n">
        <x:v>2</x:v>
      </x:c>
    </x:row>
    <x:row r="480" ht="112" customHeight="1">
      <x:c r="A480" s="75" t="str">
        <x:v>FCCL</x:v>
      </x:c>
      <x:c r="B480" s="75" t="str">
        <x:v>Cash ratio</x:v>
      </x:c>
      <x:c r="C480" s="75" t="str">
        <x:v>FY2021</x:v>
      </x:c>
      <x:c r="D480" s="159" t="n">
        <x:v>0.86</x:v>
      </x:c>
      <x:c r="E480" s="159" t="n">
        <x:f>FCCL!D140</x:f>
        <x:v>0.14618299383526975</x:v>
      </x:c>
      <x:c r="F480" s="159" t="n">
        <x:f>(FCCL!D34+FCCL!D33)/FCCL!D61</x:f>
        <x:v>0.8598647287426187</x:v>
      </x:c>
      <x:c r="G480" s="163" t="str">
        <x:v>Cash plus short-term investments / CL (diagnostic)</x:v>
      </x:c>
      <x:c r="H480" s="163" t="str">
        <x:f>IF(AND(ISNUMBER(D480),ISNUMBER(F480)),IF(ROUND(D480,O480)=ROUND(F480,O480),"Reproduced to precision","Unresolved published value"),"Not comparable")</x:f>
        <x:v>Reproduced to precision</x:v>
      </x:c>
      <x:c r="I480" s="163" t="str">
        <x:v>Tested the source-based convention shown in G against official published precision. Unmatched values remain unresolved; neither the standardized method nor the financial inputs were altered to force agreement.</x:v>
      </x:c>
      <x:c r="J480" s="163" t="str">
        <x:v>FY2025 AR PDF p214</x:v>
      </x:c>
      <x:c r="K480" s="163" t="str">
        <x:v>Added source comparison</x:v>
      </x:c>
      <x:c r="L480" s="163" t="str">
        <x:v>Source comparison</x:v>
      </x:c>
      <x:c r="M480" s="75" t="n">
        <x:f>IF(ISNUMBER(E480),E480-D480,"n/m")</x:f>
        <x:v>-0.7138170061647302</x:v>
      </x:c>
      <x:c r="N480" s="75" t="n">
        <x:f>IF(ISNUMBER(F480),F480-D480,"n/m")</x:f>
        <x:v>-0.00013527125738133083</x:v>
      </x:c>
      <x:c r="O480" s="75" t="n">
        <x:v>2</x:v>
      </x:c>
    </x:row>
    <x:row r="481" ht="112" customHeight="1">
      <x:c r="A481" s="157" t="str">
        <x:v>FCCL</x:v>
      </x:c>
      <x:c r="B481" s="157" t="str">
        <x:v>Cash ratio</x:v>
      </x:c>
      <x:c r="C481" s="157" t="str">
        <x:v>FY2022</x:v>
      </x:c>
      <x:c r="D481" s="158" t="n">
        <x:v>0.23</x:v>
      </x:c>
      <x:c r="E481" s="158" t="n">
        <x:f>FCCL!E140</x:f>
        <x:v>0.08632203736853207</x:v>
      </x:c>
      <x:c r="F481" s="158" t="n">
        <x:f>(FCCL!E34+FCCL!E33)/FCCL!E61</x:f>
        <x:v>0.23014051773694894</x:v>
      </x:c>
      <x:c r="G481" s="162" t="str">
        <x:v>Cash plus short-term investments / CL (diagnostic)</x:v>
      </x:c>
      <x:c r="H481" s="162" t="str">
        <x:f>IF(AND(ISNUMBER(D481),ISNUMBER(F481)),IF(ROUND(D481,O481)=ROUND(F481,O481),"Reproduced to precision","Unresolved published value"),"Not comparable")</x:f>
        <x:v>Reproduced to precision</x:v>
      </x:c>
      <x:c r="I481" s="162" t="str">
        <x:v>Tested the source-based convention shown in G against official published precision. Unmatched values remain unresolved; neither the standardized method nor the financial inputs were altered to force agreement.</x:v>
      </x:c>
      <x:c r="J481" s="162" t="str">
        <x:v>FY2025 AR PDF p214</x:v>
      </x:c>
      <x:c r="K481" s="162" t="str">
        <x:v>Added source comparison</x:v>
      </x:c>
      <x:c r="L481" s="162" t="str">
        <x:v>Source comparison</x:v>
      </x:c>
      <x:c r="M481" s="157" t="n">
        <x:f>IF(ISNUMBER(E481),E481-D481,"n/m")</x:f>
        <x:v>-0.14367796263146793</x:v>
      </x:c>
      <x:c r="N481" s="157" t="n">
        <x:f>IF(ISNUMBER(F481),F481-D481,"n/m")</x:f>
        <x:v>0.00014051773694892522</x:v>
      </x:c>
      <x:c r="O481" s="157" t="n">
        <x:v>2</x:v>
      </x:c>
    </x:row>
    <x:row r="482" ht="112" customHeight="1">
      <x:c r="A482" s="75" t="str">
        <x:v>FCCL</x:v>
      </x:c>
      <x:c r="B482" s="75" t="str">
        <x:v>Cash ratio</x:v>
      </x:c>
      <x:c r="C482" s="75" t="str">
        <x:v>FY2023</x:v>
      </x:c>
      <x:c r="D482" s="159" t="n">
        <x:v>0.04</x:v>
      </x:c>
      <x:c r="E482" s="159" t="n">
        <x:f>FCCL!F140</x:f>
        <x:v>0.03406683538776042</x:v>
      </x:c>
      <x:c r="F482" s="159" t="n">
        <x:f>(FCCL!F34+FCCL!F33)/FCCL!F61</x:f>
        <x:v>0.042842812939511914</x:v>
      </x:c>
      <x:c r="G482" s="163" t="str">
        <x:v>Cash plus short-term investments / CL (diagnostic)</x:v>
      </x:c>
      <x:c r="H482" s="163" t="str">
        <x:f>IF(AND(ISNUMBER(D482),ISNUMBER(F482)),IF(ROUND(D482,O482)=ROUND(F482,O482),"Reproduced to precision","Unresolved published value"),"Not comparable")</x:f>
        <x:v>Reproduced to precision</x:v>
      </x:c>
      <x:c r="I482" s="163" t="str">
        <x:v>Tested the source-based convention shown in G against official published precision. Unmatched values remain unresolved; neither the standardized method nor the financial inputs were altered to force agreement.</x:v>
      </x:c>
      <x:c r="J482" s="163" t="str">
        <x:v>FY2025 AR PDF p214</x:v>
      </x:c>
      <x:c r="K482" s="163" t="str">
        <x:v>Added source comparison</x:v>
      </x:c>
      <x:c r="L482" s="163" t="str">
        <x:v>Source comparison</x:v>
      </x:c>
      <x:c r="M482" s="75" t="n">
        <x:f>IF(ISNUMBER(E482),E482-D482,"n/m")</x:f>
        <x:v>-0.005933164612239583</x:v>
      </x:c>
      <x:c r="N482" s="75" t="n">
        <x:f>IF(ISNUMBER(F482),F482-D482,"n/m")</x:f>
        <x:v>0.002842812939511913</x:v>
      </x:c>
      <x:c r="O482" s="75" t="n">
        <x:v>2</x:v>
      </x:c>
    </x:row>
    <x:row r="483" ht="112" customHeight="1">
      <x:c r="A483" s="157" t="str">
        <x:v>FCCL</x:v>
      </x:c>
      <x:c r="B483" s="157" t="str">
        <x:v>Cash ratio</x:v>
      </x:c>
      <x:c r="C483" s="157" t="str">
        <x:v>FY2024</x:v>
      </x:c>
      <x:c r="D483" s="158" t="n">
        <x:v>0.12</x:v>
      </x:c>
      <x:c r="E483" s="158" t="n">
        <x:f>FCCL!G140</x:f>
        <x:v>0.10917301381732912</x:v>
      </x:c>
      <x:c r="F483" s="158" t="n">
        <x:f>(FCCL!G34+FCCL!G33)/FCCL!G61</x:f>
        <x:v>0.11847864025590918</x:v>
      </x:c>
      <x:c r="G483" s="162" t="str">
        <x:v>Cash plus short-term investments / CL (diagnostic)</x:v>
      </x:c>
      <x:c r="H483" s="162" t="str">
        <x:f>IF(AND(ISNUMBER(D483),ISNUMBER(F483)),IF(ROUND(D483,O483)=ROUND(F483,O483),"Reproduced to precision","Unresolved published value"),"Not comparable")</x:f>
        <x:v>Reproduced to precision</x:v>
      </x:c>
      <x:c r="I483" s="162" t="str">
        <x:v>Tested the source-based convention shown in G against official published precision. Unmatched values remain unresolved; neither the standardized method nor the financial inputs were altered to force agreement.</x:v>
      </x:c>
      <x:c r="J483" s="162" t="str">
        <x:v>FY2025 AR PDF p214</x:v>
      </x:c>
      <x:c r="K483" s="162" t="str">
        <x:v>Added source comparison</x:v>
      </x:c>
      <x:c r="L483" s="162" t="str">
        <x:v>Source comparison</x:v>
      </x:c>
      <x:c r="M483" s="157" t="n">
        <x:f>IF(ISNUMBER(E483),E483-D483,"n/m")</x:f>
        <x:v>-0.010826986182670875</x:v>
      </x:c>
      <x:c r="N483" s="157" t="n">
        <x:f>IF(ISNUMBER(F483),F483-D483,"n/m")</x:f>
        <x:v>-0.0015213597440908166</x:v>
      </x:c>
      <x:c r="O483" s="157" t="n">
        <x:v>2</x:v>
      </x:c>
    </x:row>
    <x:row r="484" ht="112" customHeight="1">
      <x:c r="A484" s="75" t="str">
        <x:v>FCCL</x:v>
      </x:c>
      <x:c r="B484" s="75" t="str">
        <x:v>Cash ratio</x:v>
      </x:c>
      <x:c r="C484" s="75" t="str">
        <x:v>FY2025</x:v>
      </x:c>
      <x:c r="D484" s="159" t="n">
        <x:v>0.39</x:v>
      </x:c>
      <x:c r="E484" s="159" t="n">
        <x:f>FCCL!H140</x:f>
        <x:v>0.08699594487108397</x:v>
      </x:c>
      <x:c r="F484" s="159" t="n">
        <x:f>(FCCL!H34+FCCL!H33)/FCCL!H61</x:f>
        <x:v>0.38761123338502496</x:v>
      </x:c>
      <x:c r="G484" s="163" t="str">
        <x:v>Cash plus short-term investments / CL (diagnostic)</x:v>
      </x:c>
      <x:c r="H484" s="163" t="str">
        <x:f>IF(AND(ISNUMBER(D484),ISNUMBER(F484)),IF(ROUND(D484,O484)=ROUND(F484,O484),"Reproduced to precision","Unresolved published value"),"Not comparable")</x:f>
        <x:v>Reproduced to precision</x:v>
      </x:c>
      <x:c r="I484" s="163" t="str">
        <x:v>Tested the source-based convention shown in G against official published precision. Unmatched values remain unresolved; neither the standardized method nor the financial inputs were altered to force agreement.</x:v>
      </x:c>
      <x:c r="J484" s="163" t="str">
        <x:v>FY2025 AR PDF p214</x:v>
      </x:c>
      <x:c r="K484" s="163" t="str">
        <x:v>Added source comparison</x:v>
      </x:c>
      <x:c r="L484" s="163" t="str">
        <x:v>Source comparison</x:v>
      </x:c>
      <x:c r="M484" s="75" t="n">
        <x:f>IF(ISNUMBER(E484),E484-D484,"n/m")</x:f>
        <x:v>-0.30300405512891604</x:v>
      </x:c>
      <x:c r="N484" s="75" t="n">
        <x:f>IF(ISNUMBER(F484),F484-D484,"n/m")</x:f>
        <x:v>-0.0023887666149750575</x:v>
      </x:c>
      <x:c r="O484" s="75" t="n">
        <x:v>2</x:v>
      </x:c>
    </x:row>
    <x:row r="485" ht="112" customHeight="1">
      <x:c r="A485" s="157" t="str">
        <x:v>FCCL</x:v>
      </x:c>
      <x:c r="B485" s="157" t="str">
        <x:v>Days inventory outstanding</x:v>
      </x:c>
      <x:c r="C485" s="157" t="str">
        <x:v>FY2021</x:v>
      </x:c>
      <x:c r="D485" s="158" t="n">
        <x:v>24</x:v>
      </x:c>
      <x:c r="E485" s="158" t="n">
        <x:f>FCCL!D147</x:f>
        <x:v>101.57512558439446</x:v>
      </x:c>
      <x:c r="F485" s="158" t="n">
        <x:f>365*AVERAGE(FCCL!C31,FCCL!D31)/(-FCCL!D85)</x:f>
        <x:v>23.825794150343164</x:v>
      </x:c>
      <x:c r="G485" s="162" t="str">
        <x:v>365 x average stock-in-trade / COGS</x:v>
      </x:c>
      <x:c r="H485" s="162" t="str">
        <x:f>IF(AND(ISNUMBER(D485),ISNUMBER(F485)),IF(ROUND(D485,O485)=ROUND(F485,O485),"Reproduced to precision","Unresolved published value"),"Not comparable")</x:f>
        <x:v>Reproduced to precision</x:v>
      </x:c>
      <x:c r="I485" s="162" t="str">
        <x:v>Tested the source-based convention shown in G against official published precision. Unmatched values remain unresolved; neither the standardized method nor the financial inputs were altered to force agreement.</x:v>
      </x:c>
      <x:c r="J485" s="162" t="str">
        <x:v>FY2025 AR PDF p214</x:v>
      </x:c>
      <x:c r="K485" s="162" t="str">
        <x:v>Added source comparison</x:v>
      </x:c>
      <x:c r="L485" s="162" t="str">
        <x:v>Source comparison</x:v>
      </x:c>
      <x:c r="M485" s="157" t="n">
        <x:f>IF(ISNUMBER(E485),E485-D485,"n/m")</x:f>
        <x:v>77.57512558439446</x:v>
      </x:c>
      <x:c r="N485" s="157" t="n">
        <x:f>IF(ISNUMBER(F485),F485-D485,"n/m")</x:f>
        <x:v>-0.17420584965683616</x:v>
      </x:c>
      <x:c r="O485" s="157" t="n">
        <x:v>0</x:v>
      </x:c>
    </x:row>
    <x:row r="486" ht="112" customHeight="1">
      <x:c r="A486" s="75" t="str">
        <x:v>FCCL</x:v>
      </x:c>
      <x:c r="B486" s="75" t="str">
        <x:v>Days inventory outstanding</x:v>
      </x:c>
      <x:c r="C486" s="75" t="str">
        <x:v>FY2022</x:v>
      </x:c>
      <x:c r="D486" s="159" t="n">
        <x:v>22</x:v>
      </x:c>
      <x:c r="E486" s="159" t="n">
        <x:f>FCCL!E147</x:f>
        <x:v>99.189403784088</x:v>
      </x:c>
      <x:c r="F486" s="159" t="n">
        <x:f>365*AVERAGE(FCCL!D31,FCCL!E31)/(-'Sources &amp; Validation'!E132)</x:f>
        <x:v>22.383948717708034</x:v>
      </x:c>
      <x:c r="G486" s="163" t="str">
        <x:v>Average stock-in-trade / own-year audited COGS x365</x:v>
      </x:c>
      <x:c r="H486" s="163" t="str">
        <x:f>IF(AND(ISNUMBER(D486),ISNUMBER(F486)),IF(ROUND(D486,O486)=ROUND(F486,O486),"Reproduced to precision","Unresolved published value"),"Not comparable")</x:f>
        <x:v>Reproduced to precision</x:v>
      </x:c>
      <x:c r="I486" s="163" t="str">
        <x:v>Using original FY2022 audited COGS39,843.851m (preserved in the restatement register E132), rather than later restated38,779.542m, reproduces22 whole days. Official reclassification shifted1,064.309m from COGS to distribution. The company inventory-days series appears unrevised; standardized calculations retain the latest audited COGS consistently.</x:v>
      </x:c>
      <x:c r="J486" s="163" t="str">
        <x:v>FY2025 AR PDF p214</x:v>
      </x:c>
      <x:c r="K486" s="163" t="str">
        <x:v>Added source comparison</x:v>
      </x:c>
      <x:c r="L486" s="163" t="str">
        <x:v>Published own-year versus restated cost basis (reconstructed)</x:v>
      </x:c>
      <x:c r="M486" s="75" t="n">
        <x:f>IF(ISNUMBER(E486),E486-D486,"n/m")</x:f>
        <x:v>77.189403784088</x:v>
      </x:c>
      <x:c r="N486" s="75" t="n">
        <x:f>IF(ISNUMBER(F486),F486-D486,"n/m")</x:f>
        <x:v>0.3839487177080336</x:v>
      </x:c>
      <x:c r="O486" s="75" t="n">
        <x:v>0</x:v>
      </x:c>
    </x:row>
    <x:row r="487" ht="112" customHeight="1">
      <x:c r="A487" s="157" t="str">
        <x:v>FCCL</x:v>
      </x:c>
      <x:c r="B487" s="157" t="str">
        <x:v>Days inventory outstanding</x:v>
      </x:c>
      <x:c r="C487" s="157" t="str">
        <x:v>FY2023</x:v>
      </x:c>
      <x:c r="D487" s="158" t="n">
        <x:v>41</x:v>
      </x:c>
      <x:c r="E487" s="158" t="n">
        <x:f>FCCL!F147</x:f>
        <x:v>117.81056267061489</x:v>
      </x:c>
      <x:c r="F487" s="158" t="n">
        <x:f>365*AVERAGE(FCCL!E31,FCCL!F31)/(-FCCL!F85)</x:f>
        <x:v>41.401894351888124</x:v>
      </x:c>
      <x:c r="G487" s="162" t="str">
        <x:v>365 x average stock-in-trade / COGS</x:v>
      </x:c>
      <x:c r="H487" s="162" t="str">
        <x:f>IF(AND(ISNUMBER(D487),ISNUMBER(F487)),IF(ROUND(D487,O487)=ROUND(F487,O487),"Reproduced to precision","Unresolved published value"),"Not comparable")</x:f>
        <x:v>Reproduced to precision</x:v>
      </x:c>
      <x:c r="I487" s="162" t="str">
        <x:v>Tested the source-based convention shown in G against official published precision. Unmatched values remain unresolved; neither the standardized method nor the financial inputs were altered to force agreement.</x:v>
      </x:c>
      <x:c r="J487" s="162" t="str">
        <x:v>FY2025 AR PDF p214</x:v>
      </x:c>
      <x:c r="K487" s="162" t="str">
        <x:v>Added source comparison</x:v>
      </x:c>
      <x:c r="L487" s="162" t="str">
        <x:v>Source comparison</x:v>
      </x:c>
      <x:c r="M487" s="157" t="n">
        <x:f>IF(ISNUMBER(E487),E487-D487,"n/m")</x:f>
        <x:v>76.81056267061489</x:v>
      </x:c>
      <x:c r="N487" s="157" t="n">
        <x:f>IF(ISNUMBER(F487),F487-D487,"n/m")</x:f>
        <x:v>0.4018943518881244</x:v>
      </x:c>
      <x:c r="O487" s="157" t="n">
        <x:v>0</x:v>
      </x:c>
    </x:row>
    <x:row r="488" ht="112" customHeight="1">
      <x:c r="A488" s="75" t="str">
        <x:v>FCCL</x:v>
      </x:c>
      <x:c r="B488" s="75" t="str">
        <x:v>Days inventory outstanding</x:v>
      </x:c>
      <x:c r="C488" s="75" t="str">
        <x:v>FY2024</x:v>
      </x:c>
      <x:c r="D488" s="159" t="n">
        <x:v>49</x:v>
      </x:c>
      <x:c r="E488" s="159" t="n">
        <x:f>FCCL!G147</x:f>
        <x:v>106.51412548353994</x:v>
      </x:c>
      <x:c r="F488" s="159" t="n">
        <x:f>365*AVERAGE(FCCL!F31,FCCL!G31)/(-FCCL!G85)</x:f>
        <x:v>49.055581292993985</x:v>
      </x:c>
      <x:c r="G488" s="163" t="str">
        <x:v>365 x average stock-in-trade / COGS</x:v>
      </x:c>
      <x:c r="H488" s="163" t="str">
        <x:f>IF(AND(ISNUMBER(D488),ISNUMBER(F488)),IF(ROUND(D488,O488)=ROUND(F488,O488),"Reproduced to precision","Unresolved published value"),"Not comparable")</x:f>
        <x:v>Reproduced to precision</x:v>
      </x:c>
      <x:c r="I488" s="163" t="str">
        <x:v>Tested the source-based convention shown in G against official published precision. Unmatched values remain unresolved; neither the standardized method nor the financial inputs were altered to force agreement.</x:v>
      </x:c>
      <x:c r="J488" s="163" t="str">
        <x:v>FY2025 AR PDF p214</x:v>
      </x:c>
      <x:c r="K488" s="163" t="str">
        <x:v>Added source comparison</x:v>
      </x:c>
      <x:c r="L488" s="163" t="str">
        <x:v>Source comparison</x:v>
      </x:c>
      <x:c r="M488" s="75" t="n">
        <x:f>IF(ISNUMBER(E488),E488-D488,"n/m")</x:f>
        <x:v>57.51412548353994</x:v>
      </x:c>
      <x:c r="N488" s="75" t="n">
        <x:f>IF(ISNUMBER(F488),F488-D488,"n/m")</x:f>
        <x:v>0.05558129299398473</x:v>
      </x:c>
      <x:c r="O488" s="75" t="n">
        <x:v>0</x:v>
      </x:c>
    </x:row>
    <x:row r="489" ht="112" customHeight="1">
      <x:c r="A489" s="157" t="str">
        <x:v>FCCL</x:v>
      </x:c>
      <x:c r="B489" s="157" t="str">
        <x:v>Days inventory outstanding</x:v>
      </x:c>
      <x:c r="C489" s="157" t="str">
        <x:v>FY2025</x:v>
      </x:c>
      <x:c r="D489" s="158" t="n">
        <x:v>54</x:v>
      </x:c>
      <x:c r="E489" s="158" t="n">
        <x:f>FCCL!H147</x:f>
        <x:v>115.47406099903009</x:v>
      </x:c>
      <x:c r="F489" s="158" t="n">
        <x:f>365*AVERAGE(FCCL!G31,FCCL!H31)/(-FCCL!H85)</x:f>
        <x:v>53.53458992351622</x:v>
      </x:c>
      <x:c r="G489" s="162" t="str">
        <x:v>365 x average stock-in-trade / COGS</x:v>
      </x:c>
      <x:c r="H489" s="162" t="str">
        <x:f>IF(AND(ISNUMBER(D489),ISNUMBER(F489)),IF(ROUND(D489,O489)=ROUND(F489,O489),"Reproduced to precision","Unresolved published value"),"Not comparable")</x:f>
        <x:v>Reproduced to precision</x:v>
      </x:c>
      <x:c r="I489" s="162" t="str">
        <x:v>Tested the source-based convention shown in G against official published precision. Unmatched values remain unresolved; neither the standardized method nor the financial inputs were altered to force agreement.</x:v>
      </x:c>
      <x:c r="J489" s="162" t="str">
        <x:v>FY2025 AR PDF p214</x:v>
      </x:c>
      <x:c r="K489" s="162" t="str">
        <x:v>Added source comparison</x:v>
      </x:c>
      <x:c r="L489" s="162" t="str">
        <x:v>Source comparison</x:v>
      </x:c>
      <x:c r="M489" s="157" t="n">
        <x:f>IF(ISNUMBER(E489),E489-D489,"n/m")</x:f>
        <x:v>61.47406099903009</x:v>
      </x:c>
      <x:c r="N489" s="157" t="n">
        <x:f>IF(ISNUMBER(F489),F489-D489,"n/m")</x:f>
        <x:v>-0.46541007648377786</x:v>
      </x:c>
      <x:c r="O489" s="157" t="n">
        <x:v>0</x:v>
      </x:c>
    </x:row>
    <x:row r="490" ht="112" customHeight="1">
      <x:c r="A490" s="75" t="str">
        <x:v>FCCL</x:v>
      </x:c>
      <x:c r="B490" s="75" t="str">
        <x:v>Days sales outstanding</x:v>
      </x:c>
      <x:c r="C490" s="75" t="str">
        <x:v>FY2021</x:v>
      </x:c>
      <x:c r="D490" s="159" t="n">
        <x:v>19</x:v>
      </x:c>
      <x:c r="E490" s="159" t="n">
        <x:f>FCCL!D148</x:f>
        <x:v>18.799738044359827</x:v>
      </x:c>
      <x:c r="F490" s="159" t="n">
        <x:f>365*AVERAGE(FCCL!C32,FCCL!D32)/FCCL!D84</x:f>
        <x:v>18.799738044359827</x:v>
      </x:c>
      <x:c r="G490" s="163" t="str">
        <x:v>365 x average trade debts / sales</x:v>
      </x:c>
      <x:c r="H490" s="163" t="str">
        <x:f>IF(AND(ISNUMBER(D490),ISNUMBER(F490)),IF(ROUND(D490,O490)=ROUND(F490,O490),"Reproduced to precision","Unresolved published value"),"Not comparable")</x:f>
        <x:v>Reproduced to precision</x:v>
      </x:c>
      <x:c r="I490" s="163"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0" s="163" t="str">
        <x:v>FY2025 AR PDF p214</x:v>
      </x:c>
      <x:c r="K490" s="163" t="str">
        <x:v>Added source comparison</x:v>
      </x:c>
      <x:c r="L490" s="163" t="str">
        <x:v>Unresolved published component definition</x:v>
      </x:c>
      <x:c r="M490" s="75" t="n">
        <x:f>IF(ISNUMBER(E490),E490-D490,"n/m")</x:f>
        <x:v>-0.20026195564017257</x:v>
      </x:c>
      <x:c r="N490" s="75" t="n">
        <x:f>IF(ISNUMBER(F490),F490-D490,"n/m")</x:f>
        <x:v>-0.20026195564017257</x:v>
      </x:c>
      <x:c r="O490" s="75" t="n">
        <x:v>0</x:v>
      </x:c>
    </x:row>
    <x:row r="491" ht="112" customHeight="1">
      <x:c r="A491" s="157" t="str">
        <x:v>FCCL</x:v>
      </x:c>
      <x:c r="B491" s="157" t="str">
        <x:v>Days sales outstanding</x:v>
      </x:c>
      <x:c r="C491" s="157" t="str">
        <x:v>FY2022</x:v>
      </x:c>
      <x:c r="D491" s="158" t="n">
        <x:v>13</x:v>
      </x:c>
      <x:c r="E491" s="158" t="n">
        <x:f>FCCL!E148</x:f>
        <x:v>12.994834386179642</x:v>
      </x:c>
      <x:c r="F491" s="158" t="n">
        <x:f>365*AVERAGE(FCCL!D32,FCCL!E32)/FCCL!E84</x:f>
        <x:v>12.994834386179642</x:v>
      </x:c>
      <x:c r="G491" s="162" t="str">
        <x:v>365 x average trade debts / sales</x:v>
      </x:c>
      <x:c r="H491" s="162" t="str">
        <x:f>IF(AND(ISNUMBER(D491),ISNUMBER(F491)),IF(ROUND(D491,O491)=ROUND(F491,O491),"Reproduced to precision","Unresolved published value"),"Not comparable")</x:f>
        <x:v>Reproduced to precision</x:v>
      </x:c>
      <x:c r="I491" s="162"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1" s="162" t="str">
        <x:v>FY2025 AR PDF p214</x:v>
      </x:c>
      <x:c r="K491" s="162" t="str">
        <x:v>Added source comparison</x:v>
      </x:c>
      <x:c r="L491" s="162" t="str">
        <x:v>Unresolved published component definition</x:v>
      </x:c>
      <x:c r="M491" s="157" t="n">
        <x:f>IF(ISNUMBER(E491),E491-D491,"n/m")</x:f>
        <x:v>-0.005165613820357962</x:v>
      </x:c>
      <x:c r="N491" s="157" t="n">
        <x:f>IF(ISNUMBER(F491),F491-D491,"n/m")</x:f>
        <x:v>-0.005165613820357962</x:v>
      </x:c>
      <x:c r="O491" s="157" t="n">
        <x:v>0</x:v>
      </x:c>
    </x:row>
    <x:row r="492" ht="112" customHeight="1">
      <x:c r="A492" s="75" t="str">
        <x:v>FCCL</x:v>
      </x:c>
      <x:c r="B492" s="75" t="str">
        <x:v>Days sales outstanding</x:v>
      </x:c>
      <x:c r="C492" s="75" t="str">
        <x:v>FY2023</x:v>
      </x:c>
      <x:c r="D492" s="159" t="n">
        <x:v>18</x:v>
      </x:c>
      <x:c r="E492" s="159" t="n">
        <x:f>FCCL!F148</x:f>
        <x:v>16.04687922960609</x:v>
      </x:c>
      <x:c r="F492" s="159" t="n">
        <x:f>365*AVERAGE(FCCL!E32,FCCL!F32)/FCCL!F84</x:f>
        <x:v>16.04687922960609</x:v>
      </x:c>
      <x:c r="G492" s="163" t="str">
        <x:v>365 x average trade debts / sales</x:v>
      </x:c>
      <x:c r="H492" s="163" t="str">
        <x:f>IF(AND(ISNUMBER(D492),ISNUMBER(F492)),IF(ROUND(D492,O492)=ROUND(F492,O492),"Reproduced to precision","Unresolved published value"),"Not comparable")</x:f>
        <x:v>Unresolved published value</x:v>
      </x:c>
      <x:c r="I492" s="163"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2" s="163" t="str">
        <x:v>FY2025 AR PDF p214</x:v>
      </x:c>
      <x:c r="K492" s="163" t="str">
        <x:v>Added source comparison</x:v>
      </x:c>
      <x:c r="L492" s="163" t="str">
        <x:v>Unresolved published component definition</x:v>
      </x:c>
      <x:c r="M492" s="75" t="n">
        <x:f>IF(ISNUMBER(E492),E492-D492,"n/m")</x:f>
        <x:v>-1.9531207703939089</x:v>
      </x:c>
      <x:c r="N492" s="75" t="n">
        <x:f>IF(ISNUMBER(F492),F492-D492,"n/m")</x:f>
        <x:v>-1.9531207703939089</x:v>
      </x:c>
      <x:c r="O492" s="75" t="n">
        <x:v>0</x:v>
      </x:c>
    </x:row>
    <x:row r="493" ht="112" customHeight="1">
      <x:c r="A493" s="157" t="str">
        <x:v>FCCL</x:v>
      </x:c>
      <x:c r="B493" s="157" t="str">
        <x:v>Days sales outstanding</x:v>
      </x:c>
      <x:c r="C493" s="157" t="str">
        <x:v>FY2024</x:v>
      </x:c>
      <x:c r="D493" s="158" t="n">
        <x:v>26</x:v>
      </x:c>
      <x:c r="E493" s="158" t="n">
        <x:f>FCCL!G148</x:f>
        <x:v>20.792904753499183</x:v>
      </x:c>
      <x:c r="F493" s="158" t="n">
        <x:f>365*AVERAGE(FCCL!F32,FCCL!G32)/FCCL!G84</x:f>
        <x:v>20.792904753499183</x:v>
      </x:c>
      <x:c r="G493" s="162" t="str">
        <x:v>365 x average trade debts / sales</x:v>
      </x:c>
      <x:c r="H493" s="162" t="str">
        <x:f>IF(AND(ISNUMBER(D493),ISNUMBER(F493)),IF(ROUND(D493,O493)=ROUND(F493,O493),"Reproduced to precision","Unresolved published value"),"Not comparable")</x:f>
        <x:v>Unresolved published value</x:v>
      </x:c>
      <x:c r="I493" s="162"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3" s="162" t="str">
        <x:v>FY2025 AR PDF p214</x:v>
      </x:c>
      <x:c r="K493" s="162" t="str">
        <x:v>Added source comparison</x:v>
      </x:c>
      <x:c r="L493" s="162" t="str">
        <x:v>Unresolved published component definition</x:v>
      </x:c>
      <x:c r="M493" s="157" t="n">
        <x:f>IF(ISNUMBER(E493),E493-D493,"n/m")</x:f>
        <x:v>-5.207095246500817</x:v>
      </x:c>
      <x:c r="N493" s="157" t="n">
        <x:f>IF(ISNUMBER(F493),F493-D493,"n/m")</x:f>
        <x:v>-5.207095246500817</x:v>
      </x:c>
      <x:c r="O493" s="157" t="n">
        <x:v>0</x:v>
      </x:c>
    </x:row>
    <x:row r="494" ht="112" customHeight="1">
      <x:c r="A494" s="75" t="str">
        <x:v>FCCL</x:v>
      </x:c>
      <x:c r="B494" s="75" t="str">
        <x:v>Days sales outstanding</x:v>
      </x:c>
      <x:c r="C494" s="75" t="str">
        <x:v>FY2025</x:v>
      </x:c>
      <x:c r="D494" s="159" t="n">
        <x:v>23</x:v>
      </x:c>
      <x:c r="E494" s="159" t="n">
        <x:f>FCCL!H148</x:f>
        <x:v>25.555492212987932</x:v>
      </x:c>
      <x:c r="F494" s="159" t="n">
        <x:f>365*AVERAGE(FCCL!G32,FCCL!H32)/FCCL!H84</x:f>
        <x:v>25.555492212987932</x:v>
      </x:c>
      <x:c r="G494" s="163" t="str">
        <x:v>365 x average trade debts / sales</x:v>
      </x:c>
      <x:c r="H494" s="163" t="str">
        <x:f>IF(AND(ISNUMBER(D494),ISNUMBER(F494)),IF(ROUND(D494,O494)=ROUND(F494,O494),"Reproduced to precision","Unresolved published value"),"Not comparable")</x:f>
        <x:v>Unresolved published value</x:v>
      </x:c>
      <x:c r="I494" s="163"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4" s="163" t="str">
        <x:v>FY2025 AR PDF p214</x:v>
      </x:c>
      <x:c r="K494" s="163" t="str">
        <x:v>Added source comparison</x:v>
      </x:c>
      <x:c r="L494" s="163" t="str">
        <x:v>Unresolved published component definition</x:v>
      </x:c>
      <x:c r="M494" s="75" t="n">
        <x:f>IF(ISNUMBER(E494),E494-D494,"n/m")</x:f>
        <x:v>2.5554922129879323</x:v>
      </x:c>
      <x:c r="N494" s="75" t="n">
        <x:f>IF(ISNUMBER(F494),F494-D494,"n/m")</x:f>
        <x:v>2.5554922129879323</x:v>
      </x:c>
      <x:c r="O494" s="75" t="n">
        <x:v>0</x:v>
      </x:c>
    </x:row>
    <x:row r="495" ht="112" customHeight="1">
      <x:c r="A495" s="157" t="str">
        <x:v>FCCL</x:v>
      </x:c>
      <x:c r="B495" s="157" t="str">
        <x:v>Days payables outstanding</x:v>
      </x:c>
      <x:c r="C495" s="157" t="str">
        <x:v>FY2021</x:v>
      </x:c>
      <x:c r="D495" s="158" t="n">
        <x:v>15</x:v>
      </x:c>
      <x:c r="E495" s="158" t="n">
        <x:f>FCCL!D149</x:f>
        <x:v>12.205077421282503</x:v>
      </x:c>
      <x:c r="F495" s="158" t="n">
        <x:f>365*AVERAGE(FCCL!C50,FCCL!D50)/(-FCCL!D85)</x:f>
        <x:v>29.92959584508713</x:v>
      </x:c>
      <x:c r="G495" s="162" t="str">
        <x:v>365 x average trade AND other payables / COGS diagnostic</x:v>
      </x:c>
      <x:c r="H495" s="162" t="str">
        <x:f>IF(AND(ISNUMBER(D495),ISNUMBER(F495)),IF(ROUND(D495,O495)=ROUND(F495,O495),"Reproduced to precision","Unresolved published value"),"Not comparable")</x:f>
        <x:v>Unresolved published value</x:v>
      </x:c>
      <x:c r="I495" s="162"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5" s="162" t="str">
        <x:v>FY2025 AR PDF p214</x:v>
      </x:c>
      <x:c r="K495" s="162" t="str">
        <x:v>Added source comparison</x:v>
      </x:c>
      <x:c r="L495" s="162" t="str">
        <x:v>Unresolved published component definition</x:v>
      </x:c>
      <x:c r="M495" s="157" t="n">
        <x:f>IF(ISNUMBER(E495),E495-D495,"n/m")</x:f>
        <x:v>-2.7949225787174967</x:v>
      </x:c>
      <x:c r="N495" s="157" t="n">
        <x:f>IF(ISNUMBER(F495),F495-D495,"n/m")</x:f>
        <x:v>14.929595845087128</x:v>
      </x:c>
      <x:c r="O495" s="157" t="n">
        <x:v>0</x:v>
      </x:c>
    </x:row>
    <x:row r="496" ht="112" customHeight="1">
      <x:c r="A496" s="75" t="str">
        <x:v>FCCL</x:v>
      </x:c>
      <x:c r="B496" s="75" t="str">
        <x:v>Days payables outstanding</x:v>
      </x:c>
      <x:c r="C496" s="75" t="str">
        <x:v>FY2022</x:v>
      </x:c>
      <x:c r="D496" s="159" t="n">
        <x:v>17</x:v>
      </x:c>
      <x:c r="E496" s="159" t="n">
        <x:f>FCCL!E149</x:f>
        <x:v>16.688960895928066</x:v>
      </x:c>
      <x:c r="F496" s="159" t="n">
        <x:f>365*AVERAGE(FCCL!D50,FCCL!E50)/(-FCCL!E85)</x:f>
        <x:v>41.13023968926709</x:v>
      </x:c>
      <x:c r="G496" s="163" t="str">
        <x:v>365 x average trade AND other payables / COGS diagnostic</x:v>
      </x:c>
      <x:c r="H496" s="163" t="str">
        <x:f>IF(AND(ISNUMBER(D496),ISNUMBER(F496)),IF(ROUND(D496,O496)=ROUND(F496,O496),"Reproduced to precision","Unresolved published value"),"Not comparable")</x:f>
        <x:v>Unresolved published value</x:v>
      </x:c>
      <x:c r="I496" s="163"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6" s="163" t="str">
        <x:v>FY2025 AR PDF p214</x:v>
      </x:c>
      <x:c r="K496" s="163" t="str">
        <x:v>Added source comparison</x:v>
      </x:c>
      <x:c r="L496" s="163" t="str">
        <x:v>Unresolved published component definition</x:v>
      </x:c>
      <x:c r="M496" s="75" t="n">
        <x:f>IF(ISNUMBER(E496),E496-D496,"n/m")</x:f>
        <x:v>-0.31103910407193425</x:v>
      </x:c>
      <x:c r="N496" s="75" t="n">
        <x:f>IF(ISNUMBER(F496),F496-D496,"n/m")</x:f>
        <x:v>24.130239689267093</x:v>
      </x:c>
      <x:c r="O496" s="75" t="n">
        <x:v>0</x:v>
      </x:c>
    </x:row>
    <x:row r="497" ht="112" customHeight="1">
      <x:c r="A497" s="157" t="str">
        <x:v>FCCL</x:v>
      </x:c>
      <x:c r="B497" s="157" t="str">
        <x:v>Days payables outstanding</x:v>
      </x:c>
      <x:c r="C497" s="157" t="str">
        <x:v>FY2023</x:v>
      </x:c>
      <x:c r="D497" s="158" t="n">
        <x:v>30</x:v>
      </x:c>
      <x:c r="E497" s="158" t="n">
        <x:f>FCCL!F149</x:f>
        <x:v>20.323804785769745</x:v>
      </x:c>
      <x:c r="F497" s="158" t="n">
        <x:f>365*AVERAGE(FCCL!E50,FCCL!F50)/(-FCCL!F85)</x:f>
        <x:v>51.44999757506741</x:v>
      </x:c>
      <x:c r="G497" s="162" t="str">
        <x:v>365 x average trade AND other payables / COGS diagnostic</x:v>
      </x:c>
      <x:c r="H497" s="162" t="str">
        <x:f>IF(AND(ISNUMBER(D497),ISNUMBER(F497)),IF(ROUND(D497,O497)=ROUND(F497,O497),"Reproduced to precision","Unresolved published value"),"Not comparable")</x:f>
        <x:v>Unresolved published value</x:v>
      </x:c>
      <x:c r="I497" s="162"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7" s="162" t="str">
        <x:v>FY2025 AR PDF p214</x:v>
      </x:c>
      <x:c r="K497" s="162" t="str">
        <x:v>Added source comparison</x:v>
      </x:c>
      <x:c r="L497" s="162" t="str">
        <x:v>Unresolved published component definition</x:v>
      </x:c>
      <x:c r="M497" s="157" t="n">
        <x:f>IF(ISNUMBER(E497),E497-D497,"n/m")</x:f>
        <x:v>-9.676195214230255</x:v>
      </x:c>
      <x:c r="N497" s="157" t="n">
        <x:f>IF(ISNUMBER(F497),F497-D497,"n/m")</x:f>
        <x:v>21.449997575067407</x:v>
      </x:c>
      <x:c r="O497" s="157" t="n">
        <x:v>0</x:v>
      </x:c>
    </x:row>
    <x:row r="498" ht="112" customHeight="1">
      <x:c r="A498" s="75" t="str">
        <x:v>FCCL</x:v>
      </x:c>
      <x:c r="B498" s="75" t="str">
        <x:v>Days payables outstanding</x:v>
      </x:c>
      <x:c r="C498" s="75" t="str">
        <x:v>FY2024</x:v>
      </x:c>
      <x:c r="D498" s="159" t="n">
        <x:v>36</x:v>
      </x:c>
      <x:c r="E498" s="159" t="n">
        <x:f>FCCL!G149</x:f>
        <x:v>17.96598297778959</x:v>
      </x:c>
      <x:c r="F498" s="159" t="n">
        <x:f>365*AVERAGE(FCCL!F50,FCCL!G50)/(-FCCL!G85)</x:f>
        <x:v>42.39716039987693</x:v>
      </x:c>
      <x:c r="G498" s="163" t="str">
        <x:v>365 x average trade AND other payables / COGS diagnostic</x:v>
      </x:c>
      <x:c r="H498" s="163" t="str">
        <x:f>IF(AND(ISNUMBER(D498),ISNUMBER(F498)),IF(ROUND(D498,O498)=ROUND(F498,O498),"Reproduced to precision","Unresolved published value"),"Not comparable")</x:f>
        <x:v>Unresolved published value</x:v>
      </x:c>
      <x:c r="I498" s="163"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8" s="163" t="str">
        <x:v>FY2025 AR PDF p214</x:v>
      </x:c>
      <x:c r="K498" s="163" t="str">
        <x:v>Added source comparison</x:v>
      </x:c>
      <x:c r="L498" s="163" t="str">
        <x:v>Unresolved published component definition</x:v>
      </x:c>
      <x:c r="M498" s="75" t="n">
        <x:f>IF(ISNUMBER(E498),E498-D498,"n/m")</x:f>
        <x:v>-18.03401702221041</x:v>
      </x:c>
      <x:c r="N498" s="75" t="n">
        <x:f>IF(ISNUMBER(F498),F498-D498,"n/m")</x:f>
        <x:v>6.397160399876931</x:v>
      </x:c>
      <x:c r="O498" s="75" t="n">
        <x:v>0</x:v>
      </x:c>
    </x:row>
    <x:row r="499" ht="112" customHeight="1">
      <x:c r="A499" s="157" t="str">
        <x:v>FCCL</x:v>
      </x:c>
      <x:c r="B499" s="157" t="str">
        <x:v>Days payables outstanding</x:v>
      </x:c>
      <x:c r="C499" s="157" t="str">
        <x:v>FY2025</x:v>
      </x:c>
      <x:c r="D499" s="158" t="n">
        <x:v>30</x:v>
      </x:c>
      <x:c r="E499" s="158" t="n">
        <x:f>FCCL!H149</x:f>
        <x:v>15.14066821634052</x:v>
      </x:c>
      <x:c r="F499" s="158" t="n">
        <x:f>365*AVERAGE(FCCL!G50,FCCL!H50)/(-FCCL!H85)</x:f>
        <x:v>31.94044763770755</x:v>
      </x:c>
      <x:c r="G499" s="162" t="str">
        <x:v>365 x average trade AND other payables / COGS diagnostic</x:v>
      </x:c>
      <x:c r="H499" s="162" t="str">
        <x:f>IF(AND(ISNUMBER(D499),ISNUMBER(F499)),IF(ROUND(D499,O499)=ROUND(F499,O499),"Reproduced to precision","Unresolved published value"),"Not comparable")</x:f>
        <x:v>Unresolved published value</x:v>
      </x:c>
      <x:c r="I499" s="162" t="str">
        <x:v>Tested closing versus average audited balances, narrow trade creditors versus total trade-and-other-payables, and sales/COGS bases. Company does not disclose a common component formula that reproduces the whole series. Audited net receivables and operating supplier balances remain in uniform calculations; no hardcoded adjustment.</x:v>
      </x:c>
      <x:c r="J499" s="162" t="str">
        <x:v>FY2025 AR PDF p214</x:v>
      </x:c>
      <x:c r="K499" s="162" t="str">
        <x:v>Added source comparison</x:v>
      </x:c>
      <x:c r="L499" s="162" t="str">
        <x:v>Unresolved published component definition</x:v>
      </x:c>
      <x:c r="M499" s="157" t="n">
        <x:f>IF(ISNUMBER(E499),E499-D499,"n/m")</x:f>
        <x:v>-14.85933178365948</x:v>
      </x:c>
      <x:c r="N499" s="157" t="n">
        <x:f>IF(ISNUMBER(F499),F499-D499,"n/m")</x:f>
        <x:v>1.9404476377075497</x:v>
      </x:c>
      <x:c r="O499" s="157" t="n">
        <x:v>0</x:v>
      </x:c>
    </x:row>
    <x:row r="500" ht="112" customHeight="1">
      <x:c r="A500" s="75" t="str">
        <x:v>FCCL</x:v>
      </x:c>
      <x:c r="B500" s="75" t="str">
        <x:v>Operating cycle (days)</x:v>
      </x:c>
      <x:c r="C500" s="75" t="str">
        <x:v>FY2021</x:v>
      </x:c>
      <x:c r="D500" s="159" t="n">
        <x:v>58</x:v>
      </x:c>
      <x:c r="E500" s="159" t="n">
        <x:f>FCCL!D150</x:f>
        <x:v>120.37486362875428</x:v>
      </x:c>
      <x:c r="F500" s="159" t="n">
        <x:f>D485+D490+D495</x:f>
        <x:v>58</x:v>
      </x:c>
      <x:c r="G500" s="163" t="str">
        <x:v>Sum of published DIO + DSO + DPO; source-component identity only</x:v>
      </x:c>
      <x:c r="H500" s="163" t="str">
        <x:f>IF(AND(ISNUMBER(D500),ISNUMBER(F500)),IF(ROUND(D500,O500)=ROUND(F500,O500),"Reproduced to precision","Unresolved published value"),"Not comparable")</x:f>
        <x:v>Reproduced to precision</x:v>
      </x:c>
      <x:c r="I500" s="163" t="str">
        <x:v>Four of five published cycles equal displayed DIO + DSO + DPO (adding, not subtracting, payables). FY2023 displayed components sum89 days versus reported90; rounding of hidden components is possible but unverified. Underlying company components remain separately investigated. Standard operating cycle is DIO + DSO.</x:v>
      </x:c>
      <x:c r="J500" s="163" t="str">
        <x:v>FY2025 AR PDF p214</x:v>
      </x:c>
      <x:c r="K500" s="163" t="str">
        <x:v>Added source comparison</x:v>
      </x:c>
      <x:c r="L500" s="163" t="str">
        <x:v>Published cycle definition differs (adds payables)</x:v>
      </x:c>
      <x:c r="M500" s="75" t="n">
        <x:f>IF(ISNUMBER(E500),E500-D500,"n/m")</x:f>
        <x:v>62.374863628754284</x:v>
      </x:c>
      <x:c r="N500" s="75" t="n">
        <x:f>IF(ISNUMBER(F500),F500-D500,"n/m")</x:f>
        <x:v>0</x:v>
      </x:c>
      <x:c r="O500" s="75" t="n">
        <x:v>0</x:v>
      </x:c>
    </x:row>
    <x:row r="501" ht="112" customHeight="1">
      <x:c r="A501" s="157" t="str">
        <x:v>FCCL</x:v>
      </x:c>
      <x:c r="B501" s="157" t="str">
        <x:v>Operating cycle (days)</x:v>
      </x:c>
      <x:c r="C501" s="157" t="str">
        <x:v>FY2022</x:v>
      </x:c>
      <x:c r="D501" s="158" t="n">
        <x:v>52</x:v>
      </x:c>
      <x:c r="E501" s="158" t="n">
        <x:f>FCCL!E150</x:f>
        <x:v>112.18423817026765</x:v>
      </x:c>
      <x:c r="F501" s="158" t="n">
        <x:f>D486+D491+D496</x:f>
        <x:v>52</x:v>
      </x:c>
      <x:c r="G501" s="162" t="str">
        <x:v>Sum of published DIO + DSO + DPO; source-component identity only</x:v>
      </x:c>
      <x:c r="H501" s="162" t="str">
        <x:f>IF(AND(ISNUMBER(D501),ISNUMBER(F501)),IF(ROUND(D501,O501)=ROUND(F501,O501),"Reproduced to precision","Unresolved published value"),"Not comparable")</x:f>
        <x:v>Reproduced to precision</x:v>
      </x:c>
      <x:c r="I501" s="162" t="str">
        <x:v>Four of five published cycles equal displayed DIO + DSO + DPO (adding, not subtracting, payables). FY2023 displayed components sum89 days versus reported90; rounding of hidden components is possible but unverified. Underlying company components remain separately investigated. Standard operating cycle is DIO + DSO.</x:v>
      </x:c>
      <x:c r="J501" s="162" t="str">
        <x:v>FY2025 AR PDF p214</x:v>
      </x:c>
      <x:c r="K501" s="162" t="str">
        <x:v>Added source comparison</x:v>
      </x:c>
      <x:c r="L501" s="162" t="str">
        <x:v>Published cycle definition differs (adds payables)</x:v>
      </x:c>
      <x:c r="M501" s="157" t="n">
        <x:f>IF(ISNUMBER(E501),E501-D501,"n/m")</x:f>
        <x:v>60.18423817026765</x:v>
      </x:c>
      <x:c r="N501" s="157" t="n">
        <x:f>IF(ISNUMBER(F501),F501-D501,"n/m")</x:f>
        <x:v>0</x:v>
      </x:c>
      <x:c r="O501" s="157" t="n">
        <x:v>0</x:v>
      </x:c>
    </x:row>
    <x:row r="502" ht="112" customHeight="1">
      <x:c r="A502" s="75" t="str">
        <x:v>FCCL</x:v>
      </x:c>
      <x:c r="B502" s="75" t="str">
        <x:v>Operating cycle (days)</x:v>
      </x:c>
      <x:c r="C502" s="75" t="str">
        <x:v>FY2023</x:v>
      </x:c>
      <x:c r="D502" s="159" t="n">
        <x:v>90</x:v>
      </x:c>
      <x:c r="E502" s="159" t="n">
        <x:f>FCCL!F150</x:f>
        <x:v>133.85744190022098</x:v>
      </x:c>
      <x:c r="F502" s="159" t="n">
        <x:f>D487+D492+D497</x:f>
        <x:v>89</x:v>
      </x:c>
      <x:c r="G502" s="163" t="str">
        <x:v>Sum of published DIO + DSO + DPO; source-component identity only</x:v>
      </x:c>
      <x:c r="H502" s="163" t="str">
        <x:f>IF(AND(ISNUMBER(D502),ISNUMBER(F502)),IF(ROUND(D502,O502)=ROUND(F502,O502),"Reproduced to precision","Unresolved published value"),"Not comparable")</x:f>
        <x:v>Unresolved published value</x:v>
      </x:c>
      <x:c r="I502" s="163" t="str">
        <x:v>Four of five published cycles equal displayed DIO + DSO + DPO (adding, not subtracting, payables). FY2023 displayed components sum89 days versus reported90; rounding of hidden components is possible but unverified. Underlying company components remain separately investigated. Standard operating cycle is DIO + DSO.</x:v>
      </x:c>
      <x:c r="J502" s="163" t="str">
        <x:v>FY2025 AR PDF p214</x:v>
      </x:c>
      <x:c r="K502" s="163" t="str">
        <x:v>Added source comparison</x:v>
      </x:c>
      <x:c r="L502" s="163" t="str">
        <x:v>Published cycle definition differs (adds payables)</x:v>
      </x:c>
      <x:c r="M502" s="75" t="n">
        <x:f>IF(ISNUMBER(E502),E502-D502,"n/m")</x:f>
        <x:v>43.85744190022098</x:v>
      </x:c>
      <x:c r="N502" s="75" t="n">
        <x:f>IF(ISNUMBER(F502),F502-D502,"n/m")</x:f>
        <x:v>-1</x:v>
      </x:c>
      <x:c r="O502" s="75" t="n">
        <x:v>0</x:v>
      </x:c>
    </x:row>
    <x:row r="503" ht="112" customHeight="1">
      <x:c r="A503" s="157" t="str">
        <x:v>FCCL</x:v>
      </x:c>
      <x:c r="B503" s="157" t="str">
        <x:v>Operating cycle (days)</x:v>
      </x:c>
      <x:c r="C503" s="157" t="str">
        <x:v>FY2024</x:v>
      </x:c>
      <x:c r="D503" s="158" t="n">
        <x:v>111</x:v>
      </x:c>
      <x:c r="E503" s="158" t="n">
        <x:f>FCCL!G150</x:f>
        <x:v>127.30703023703913</x:v>
      </x:c>
      <x:c r="F503" s="158" t="n">
        <x:f>D488+D493+D498</x:f>
        <x:v>111</x:v>
      </x:c>
      <x:c r="G503" s="162" t="str">
        <x:v>Sum of published DIO + DSO + DPO; source-component identity only</x:v>
      </x:c>
      <x:c r="H503" s="162" t="str">
        <x:f>IF(AND(ISNUMBER(D503),ISNUMBER(F503)),IF(ROUND(D503,O503)=ROUND(F503,O503),"Reproduced to precision","Unresolved published value"),"Not comparable")</x:f>
        <x:v>Reproduced to precision</x:v>
      </x:c>
      <x:c r="I503" s="162" t="str">
        <x:v>Four of five published cycles equal displayed DIO + DSO + DPO (adding, not subtracting, payables). FY2023 displayed components sum89 days versus reported90; rounding of hidden components is possible but unverified. Underlying company components remain separately investigated. Standard operating cycle is DIO + DSO.</x:v>
      </x:c>
      <x:c r="J503" s="162" t="str">
        <x:v>FY2025 AR PDF p214</x:v>
      </x:c>
      <x:c r="K503" s="162" t="str">
        <x:v>Added source comparison</x:v>
      </x:c>
      <x:c r="L503" s="162" t="str">
        <x:v>Published cycle definition differs (adds payables)</x:v>
      </x:c>
      <x:c r="M503" s="157" t="n">
        <x:f>IF(ISNUMBER(E503),E503-D503,"n/m")</x:f>
        <x:v>16.30703023703913</x:v>
      </x:c>
      <x:c r="N503" s="157" t="n">
        <x:f>IF(ISNUMBER(F503),F503-D503,"n/m")</x:f>
        <x:v>0</x:v>
      </x:c>
      <x:c r="O503" s="157" t="n">
        <x:v>0</x:v>
      </x:c>
    </x:row>
    <x:row r="504" ht="112" customHeight="1">
      <x:c r="A504" s="75" t="str">
        <x:v>FCCL</x:v>
      </x:c>
      <x:c r="B504" s="75" t="str">
        <x:v>Operating cycle (days)</x:v>
      </x:c>
      <x:c r="C504" s="75" t="str">
        <x:v>FY2025</x:v>
      </x:c>
      <x:c r="D504" s="159" t="n">
        <x:v>107</x:v>
      </x:c>
      <x:c r="E504" s="159" t="n">
        <x:f>FCCL!H150</x:f>
        <x:v>141.02955321201802</x:v>
      </x:c>
      <x:c r="F504" s="159" t="n">
        <x:f>D489+D494+D499</x:f>
        <x:v>107</x:v>
      </x:c>
      <x:c r="G504" s="163" t="str">
        <x:v>Sum of published DIO + DSO + DPO; source-component identity only</x:v>
      </x:c>
      <x:c r="H504" s="163" t="str">
        <x:f>IF(AND(ISNUMBER(D504),ISNUMBER(F504)),IF(ROUND(D504,O504)=ROUND(F504,O504),"Reproduced to precision","Unresolved published value"),"Not comparable")</x:f>
        <x:v>Reproduced to precision</x:v>
      </x:c>
      <x:c r="I504" s="163" t="str">
        <x:v>Four of five published cycles equal displayed DIO + DSO + DPO (adding, not subtracting, payables). FY2023 displayed components sum89 days versus reported90; rounding of hidden components is possible but unverified. Underlying company components remain separately investigated. Standard operating cycle is DIO + DSO.</x:v>
      </x:c>
      <x:c r="J504" s="163" t="str">
        <x:v>FY2025 AR PDF p214</x:v>
      </x:c>
      <x:c r="K504" s="163" t="str">
        <x:v>Added source comparison</x:v>
      </x:c>
      <x:c r="L504" s="163" t="str">
        <x:v>Published cycle definition differs (adds payables)</x:v>
      </x:c>
      <x:c r="M504" s="75" t="n">
        <x:f>IF(ISNUMBER(E504),E504-D504,"n/m")</x:f>
        <x:v>34.029553212018016</x:v>
      </x:c>
      <x:c r="N504" s="75" t="n">
        <x:f>IF(ISNUMBER(F504),F504-D504,"n/m")</x:f>
        <x:v>0</x:v>
      </x:c>
      <x:c r="O504" s="75" t="n">
        <x:v>0</x:v>
      </x:c>
    </x:row>
    <x:row r="505" ht="112" customHeight="1">
      <x:c r="A505" s="157" t="str">
        <x:v>FCCL</x:v>
      </x:c>
      <x:c r="B505" s="157" t="str">
        <x:v>Total asset turnover</x:v>
      </x:c>
      <x:c r="C505" s="157" t="str">
        <x:v>FY2021</x:v>
      </x:c>
      <x:c r="D505" s="158" t="n">
        <x:v>0.71</x:v>
      </x:c>
      <x:c r="E505" s="158" t="n">
        <x:f>FCCL!D152</x:f>
        <x:v>0.7673483591494026</x:v>
      </x:c>
      <x:c r="F505" s="158" t="n">
        <x:f>FCCL!D84/FCCL!D37</x:f>
        <x:v>0.7127663676426957</x:v>
      </x:c>
      <x:c r="G505" s="162" t="str">
        <x:v>Sales / closing assets</x:v>
      </x:c>
      <x:c r="H505" s="162" t="str">
        <x:f>IF(AND(ISNUMBER(D505),ISNUMBER(F505)),IF(ROUND(D505,O505)=ROUND(F505,O505),"Reproduced to precision","Unresolved published value"),"Not comparable")</x:f>
        <x:v>Reproduced to precision</x:v>
      </x:c>
      <x:c r="I505" s="162"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05" s="162" t="str">
        <x:v>FY2025 AR PDF p214</x:v>
      </x:c>
      <x:c r="K505" s="162" t="str">
        <x:v>Added source comparison</x:v>
      </x:c>
      <x:c r="L505" s="162" t="str">
        <x:v>Confirmed official within-report inconsistency</x:v>
      </x:c>
      <x:c r="M505" s="157" t="n">
        <x:f>IF(ISNUMBER(E505),E505-D505,"n/m")</x:f>
        <x:v>0.05734835914940262</x:v>
      </x:c>
      <x:c r="N505" s="157" t="n">
        <x:f>IF(ISNUMBER(F505),F505-D505,"n/m")</x:f>
        <x:v>0.0027663676426957773</x:v>
      </x:c>
      <x:c r="O505" s="157" t="n">
        <x:v>2</x:v>
      </x:c>
    </x:row>
    <x:row r="506" ht="112" customHeight="1">
      <x:c r="A506" s="75" t="str">
        <x:v>FCCL</x:v>
      </x:c>
      <x:c r="B506" s="75" t="str">
        <x:v>Total asset turnover</x:v>
      </x:c>
      <x:c r="C506" s="75" t="str">
        <x:v>FY2022</x:v>
      </x:c>
      <x:c r="D506" s="159" t="n">
        <x:v>0.08</x:v>
      </x:c>
      <x:c r="E506" s="159" t="n">
        <x:f>FCCL!E152</x:f>
        <x:v>0.7342538737719585</x:v>
      </x:c>
      <x:c r="F506" s="159" t="n">
        <x:f>FCCL!E84/FCCL!E37</x:f>
        <x:v>0.4770803467502796</x:v>
      </x:c>
      <x:c r="G506" s="163" t="str">
        <x:v>Sales / closing assets</x:v>
      </x:c>
      <x:c r="H506" s="163" t="str">
        <x:f>IF(AND(ISNUMBER(D506),ISNUMBER(F506)),IF(ROUND(D506,O506)=ROUND(F506,O506),"Reproduced to precision","Unresolved published value"),"Not comparable")</x:f>
        <x:v>Unresolved published value</x:v>
      </x:c>
      <x:c r="I506" s="163"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06" s="163" t="str">
        <x:v>FY2025 AR PDF p214</x:v>
      </x:c>
      <x:c r="K506" s="163" t="str">
        <x:v>Added source comparison</x:v>
      </x:c>
      <x:c r="L506" s="163" t="str">
        <x:v>Confirmed official within-report inconsistency</x:v>
      </x:c>
      <x:c r="M506" s="75" t="n">
        <x:f>IF(ISNUMBER(E506),E506-D506,"n/m")</x:f>
        <x:v>0.6542538737719585</x:v>
      </x:c>
      <x:c r="N506" s="75" t="n">
        <x:f>IF(ISNUMBER(F506),F506-D506,"n/m")</x:f>
        <x:v>0.3970803467502796</x:v>
      </x:c>
      <x:c r="O506" s="75" t="n">
        <x:v>2</x:v>
      </x:c>
    </x:row>
    <x:row r="507" ht="112" customHeight="1">
      <x:c r="A507" s="157" t="str">
        <x:v>FCCL</x:v>
      </x:c>
      <x:c r="B507" s="157" t="str">
        <x:v>Total asset turnover</x:v>
      </x:c>
      <x:c r="C507" s="157" t="str">
        <x:v>FY2023</x:v>
      </x:c>
      <x:c r="D507" s="158" t="n">
        <x:v>0.07</x:v>
      </x:c>
      <x:c r="E507" s="158" t="n">
        <x:f>FCCL!F152</x:f>
        <x:v>0.5391058922773014</x:v>
      </x:c>
      <x:c r="F507" s="158" t="n">
        <x:f>FCCL!F84/FCCL!F37</x:f>
        <x:v>0.4903120286608016</x:v>
      </x:c>
      <x:c r="G507" s="162" t="str">
        <x:v>Sales / closing assets</x:v>
      </x:c>
      <x:c r="H507" s="162" t="str">
        <x:f>IF(AND(ISNUMBER(D507),ISNUMBER(F507)),IF(ROUND(D507,O507)=ROUND(F507,O507),"Reproduced to precision","Unresolved published value"),"Not comparable")</x:f>
        <x:v>Unresolved published value</x:v>
      </x:c>
      <x:c r="I507" s="162"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07" s="162" t="str">
        <x:v>FY2025 AR PDF p214</x:v>
      </x:c>
      <x:c r="K507" s="162" t="str">
        <x:v>Added source comparison</x:v>
      </x:c>
      <x:c r="L507" s="162" t="str">
        <x:v>Confirmed official within-report inconsistency</x:v>
      </x:c>
      <x:c r="M507" s="157" t="n">
        <x:f>IF(ISNUMBER(E507),E507-D507,"n/m")</x:f>
        <x:v>0.46910589227730143</x:v>
      </x:c>
      <x:c r="N507" s="157" t="n">
        <x:f>IF(ISNUMBER(F507),F507-D507,"n/m")</x:f>
        <x:v>0.4203120286608016</x:v>
      </x:c>
      <x:c r="O507" s="157" t="n">
        <x:v>2</x:v>
      </x:c>
    </x:row>
    <x:row r="508" ht="112" customHeight="1">
      <x:c r="A508" s="75" t="str">
        <x:v>FCCL</x:v>
      </x:c>
      <x:c r="B508" s="75" t="str">
        <x:v>Total asset turnover</x:v>
      </x:c>
      <x:c r="C508" s="75" t="str">
        <x:v>FY2024</x:v>
      </x:c>
      <x:c r="D508" s="159" t="n">
        <x:v>0.07</x:v>
      </x:c>
      <x:c r="E508" s="159" t="n">
        <x:f>FCCL!G152</x:f>
        <x:v>0.5587159547520806</x:v>
      </x:c>
      <x:c r="F508" s="159" t="n">
        <x:f>FCCL!G84/FCCL!G37</x:f>
        <x:v>0.5420497976585013</x:v>
      </x:c>
      <x:c r="G508" s="163" t="str">
        <x:v>Sales / closing assets</x:v>
      </x:c>
      <x:c r="H508" s="163" t="str">
        <x:f>IF(AND(ISNUMBER(D508),ISNUMBER(F508)),IF(ROUND(D508,O508)=ROUND(F508,O508),"Reproduced to precision","Unresolved published value"),"Not comparable")</x:f>
        <x:v>Unresolved published value</x:v>
      </x:c>
      <x:c r="I508" s="163"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08" s="163" t="str">
        <x:v>FY2025 AR PDF p214</x:v>
      </x:c>
      <x:c r="K508" s="163" t="str">
        <x:v>Added source comparison</x:v>
      </x:c>
      <x:c r="L508" s="163" t="str">
        <x:v>Confirmed official within-report inconsistency</x:v>
      </x:c>
      <x:c r="M508" s="75" t="n">
        <x:f>IF(ISNUMBER(E508),E508-D508,"n/m")</x:f>
        <x:v>0.4887159547520806</x:v>
      </x:c>
      <x:c r="N508" s="75" t="n">
        <x:f>IF(ISNUMBER(F508),F508-D508,"n/m")</x:f>
        <x:v>0.47204979765850125</x:v>
      </x:c>
      <x:c r="O508" s="75" t="n">
        <x:v>2</x:v>
      </x:c>
    </x:row>
    <x:row r="509" ht="112" customHeight="1">
      <x:c r="A509" s="157" t="str">
        <x:v>FCCL</x:v>
      </x:c>
      <x:c r="B509" s="157" t="str">
        <x:v>Total asset turnover</x:v>
      </x:c>
      <x:c r="C509" s="157" t="str">
        <x:v>FY2025</x:v>
      </x:c>
      <x:c r="D509" s="158" t="n">
        <x:v>0.08</x:v>
      </x:c>
      <x:c r="E509" s="158" t="n">
        <x:f>FCCL!H152</x:f>
        <x:v>0.576736892706269</x:v>
      </x:c>
      <x:c r="F509" s="158" t="n">
        <x:f>FCCL!H84/FCCL!H37</x:f>
        <x:v>0.5530555650868044</x:v>
      </x:c>
      <x:c r="G509" s="162" t="str">
        <x:v>Sales / closing assets</x:v>
      </x:c>
      <x:c r="H509" s="162" t="str">
        <x:f>IF(AND(ISNUMBER(D509),ISNUMBER(F509)),IF(ROUND(D509,O509)=ROUND(F509,O509),"Reproduced to precision","Unresolved published value"),"Not comparable")</x:f>
        <x:v>Unresolved published value</x:v>
      </x:c>
      <x:c r="I509" s="162"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09" s="162" t="str">
        <x:v>FY2025 AR PDF p214</x:v>
      </x:c>
      <x:c r="K509" s="162" t="str">
        <x:v>Added source comparison</x:v>
      </x:c>
      <x:c r="L509" s="162" t="str">
        <x:v>Confirmed official within-report inconsistency</x:v>
      </x:c>
      <x:c r="M509" s="157" t="n">
        <x:f>IF(ISNUMBER(E509),E509-D509,"n/m")</x:f>
        <x:v>0.49673689270626903</x:v>
      </x:c>
      <x:c r="N509" s="157" t="n">
        <x:f>IF(ISNUMBER(F509),F509-D509,"n/m")</x:f>
        <x:v>0.4730555650868044</x:v>
      </x:c>
      <x:c r="O509" s="157" t="n">
        <x:v>2</x:v>
      </x:c>
    </x:row>
    <x:row r="510" ht="112" customHeight="1">
      <x:c r="A510" s="75" t="str">
        <x:v>FCCL</x:v>
      </x:c>
      <x:c r="B510" s="75" t="str">
        <x:v>Fixed asset turnover</x:v>
      </x:c>
      <x:c r="C510" s="75" t="str">
        <x:v>FY2021</x:v>
      </x:c>
      <x:c r="D510" s="159" t="n">
        <x:v>1.13</x:v>
      </x:c>
      <x:c r="E510" s="159" t="n">
        <x:f>FCCL!D153</x:f>
        <x:v>1.121529000686929</x:v>
      </x:c>
      <x:c r="F510" s="159" t="n">
        <x:f>FCCL!D84/FCCL!D20</x:f>
        <x:v>1.1329960510619466</x:v>
      </x:c>
      <x:c r="G510" s="163" t="str">
        <x:v>Sales / closing total PPE</x:v>
      </x:c>
      <x:c r="H510" s="163" t="str">
        <x:f>IF(AND(ISNUMBER(D510),ISNUMBER(F510)),IF(ROUND(D510,O510)=ROUND(F510,O510),"Reproduced to precision","Unresolved published value"),"Not comparable")</x:f>
        <x:v>Reproduced to precision</x:v>
      </x:c>
      <x:c r="I510" s="163"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10" s="163" t="str">
        <x:v>FY2025 AR PDF p214</x:v>
      </x:c>
      <x:c r="K510" s="163" t="str">
        <x:v>Added source comparison</x:v>
      </x:c>
      <x:c r="L510" s="163" t="str">
        <x:v>Confirmed official within-report inconsistency</x:v>
      </x:c>
      <x:c r="M510" s="75" t="n">
        <x:f>IF(ISNUMBER(E510),E510-D510,"n/m")</x:f>
        <x:v>-0.008470999313070937</x:v>
      </x:c>
      <x:c r="N510" s="75" t="n">
        <x:f>IF(ISNUMBER(F510),F510-D510,"n/m")</x:f>
        <x:v>0.0029960510619466696</x:v>
      </x:c>
      <x:c r="O510" s="75" t="n">
        <x:v>2</x:v>
      </x:c>
    </x:row>
    <x:row r="511" ht="112" customHeight="1">
      <x:c r="A511" s="157" t="str">
        <x:v>FCCL</x:v>
      </x:c>
      <x:c r="B511" s="157" t="str">
        <x:v>Fixed asset turnover</x:v>
      </x:c>
      <x:c r="C511" s="157" t="str">
        <x:v>FY2022</x:v>
      </x:c>
      <x:c r="D511" s="158" t="n">
        <x:v>0.16</x:v>
      </x:c>
      <x:c r="E511" s="158" t="n">
        <x:f>FCCL!E153</x:f>
        <x:v>1.6551596506379742</x:v>
      </x:c>
      <x:c r="F511" s="158" t="n">
        <x:f>FCCL!E84/FCCL!E20</x:f>
        <x:v>0.7317660131897828</x:v>
      </x:c>
      <x:c r="G511" s="162" t="str">
        <x:v>Sales / closing total PPE</x:v>
      </x:c>
      <x:c r="H511" s="162" t="str">
        <x:f>IF(AND(ISNUMBER(D511),ISNUMBER(F511)),IF(ROUND(D511,O511)=ROUND(F511,O511),"Reproduced to precision","Unresolved published value"),"Not comparable")</x:f>
        <x:v>Unresolved published value</x:v>
      </x:c>
      <x:c r="I511" s="162"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11" s="162" t="str">
        <x:v>FY2025 AR PDF p214</x:v>
      </x:c>
      <x:c r="K511" s="162" t="str">
        <x:v>Added source comparison</x:v>
      </x:c>
      <x:c r="L511" s="162" t="str">
        <x:v>Confirmed official within-report inconsistency</x:v>
      </x:c>
      <x:c r="M511" s="157" t="n">
        <x:f>IF(ISNUMBER(E511),E511-D511,"n/m")</x:f>
        <x:v>1.4951596506379743</x:v>
      </x:c>
      <x:c r="N511" s="157" t="n">
        <x:f>IF(ISNUMBER(F511),F511-D511,"n/m")</x:f>
        <x:v>0.5717660131897828</x:v>
      </x:c>
      <x:c r="O511" s="157" t="n">
        <x:v>2</x:v>
      </x:c>
    </x:row>
    <x:row r="512" ht="112" customHeight="1">
      <x:c r="A512" s="75" t="str">
        <x:v>FCCL</x:v>
      </x:c>
      <x:c r="B512" s="75" t="str">
        <x:v>Fixed asset turnover</x:v>
      </x:c>
      <x:c r="C512" s="75" t="str">
        <x:v>FY2023</x:v>
      </x:c>
      <x:c r="D512" s="159" t="n">
        <x:v>0.11</x:v>
      </x:c>
      <x:c r="E512" s="159" t="n">
        <x:f>FCCL!F153</x:f>
        <x:v>1.1919170397378338</x:v>
      </x:c>
      <x:c r="F512" s="159" t="n">
        <x:f>FCCL!F84/FCCL!F20</x:f>
        <x:v>0.651847393015292</x:v>
      </x:c>
      <x:c r="G512" s="163" t="str">
        <x:v>Sales / closing total PPE</x:v>
      </x:c>
      <x:c r="H512" s="163" t="str">
        <x:f>IF(AND(ISNUMBER(D512),ISNUMBER(F512)),IF(ROUND(D512,O512)=ROUND(F512,O512),"Reproduced to precision","Unresolved published value"),"Not comparable")</x:f>
        <x:v>Unresolved published value</x:v>
      </x:c>
      <x:c r="I512" s="163"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12" s="163" t="str">
        <x:v>FY2025 AR PDF p214</x:v>
      </x:c>
      <x:c r="K512" s="163" t="str">
        <x:v>Added source comparison</x:v>
      </x:c>
      <x:c r="L512" s="163" t="str">
        <x:v>Confirmed official within-report inconsistency</x:v>
      </x:c>
      <x:c r="M512" s="75" t="n">
        <x:f>IF(ISNUMBER(E512),E512-D512,"n/m")</x:f>
        <x:v>1.0819170397378337</x:v>
      </x:c>
      <x:c r="N512" s="75" t="n">
        <x:f>IF(ISNUMBER(F512),F512-D512,"n/m")</x:f>
        <x:v>0.5418473930152921</x:v>
      </x:c>
      <x:c r="O512" s="75" t="n">
        <x:v>2</x:v>
      </x:c>
    </x:row>
    <x:row r="513" ht="112" customHeight="1">
      <x:c r="A513" s="157" t="str">
        <x:v>FCCL</x:v>
      </x:c>
      <x:c r="B513" s="157" t="str">
        <x:v>Fixed asset turnover</x:v>
      </x:c>
      <x:c r="C513" s="157" t="str">
        <x:v>FY2024</x:v>
      </x:c>
      <x:c r="D513" s="158" t="n">
        <x:v>0.09</x:v>
      </x:c>
      <x:c r="E513" s="158" t="n">
        <x:f>FCCL!G153</x:f>
        <x:v>0.8889851122075039</x:v>
      </x:c>
      <x:c r="F513" s="158" t="n">
        <x:f>FCCL!G84/FCCL!G20</x:f>
        <x:v>0.7219608222290121</x:v>
      </x:c>
      <x:c r="G513" s="162" t="str">
        <x:v>Sales / closing total PPE</x:v>
      </x:c>
      <x:c r="H513" s="162" t="str">
        <x:f>IF(AND(ISNUMBER(D513),ISNUMBER(F513)),IF(ROUND(D513,O513)=ROUND(F513,O513),"Reproduced to precision","Unresolved published value"),"Not comparable")</x:f>
        <x:v>Unresolved published value</x:v>
      </x:c>
      <x:c r="I513" s="162"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13" s="162" t="str">
        <x:v>FY2025 AR PDF p214</x:v>
      </x:c>
      <x:c r="K513" s="162" t="str">
        <x:v>Added source comparison</x:v>
      </x:c>
      <x:c r="L513" s="162" t="str">
        <x:v>Confirmed official within-report inconsistency</x:v>
      </x:c>
      <x:c r="M513" s="157" t="n">
        <x:f>IF(ISNUMBER(E513),E513-D513,"n/m")</x:f>
        <x:v>0.7989851122075039</x:v>
      </x:c>
      <x:c r="N513" s="157" t="n">
        <x:f>IF(ISNUMBER(F513),F513-D513,"n/m")</x:f>
        <x:v>0.6319608222290122</x:v>
      </x:c>
      <x:c r="O513" s="157" t="n">
        <x:v>2</x:v>
      </x:c>
    </x:row>
    <x:row r="514" ht="112" customHeight="1">
      <x:c r="A514" s="75" t="str">
        <x:v>FCCL</x:v>
      </x:c>
      <x:c r="B514" s="75" t="str">
        <x:v>Fixed asset turnover</x:v>
      </x:c>
      <x:c r="C514" s="75" t="str">
        <x:v>FY2025</x:v>
      </x:c>
      <x:c r="D514" s="159" t="n">
        <x:v>0.12</x:v>
      </x:c>
      <x:c r="E514" s="159" t="n">
        <x:f>FCCL!H153</x:f>
        <x:v>0.8108018836700552</x:v>
      </x:c>
      <x:c r="F514" s="159" t="n">
        <x:f>FCCL!H84/FCCL!H20</x:f>
        <x:v>0.8118002149114416</x:v>
      </x:c>
      <x:c r="G514" s="163" t="str">
        <x:v>Sales / closing total PPE</x:v>
      </x:c>
      <x:c r="H514" s="163" t="str">
        <x:f>IF(AND(ISNUMBER(D514),ISNUMBER(F514)),IF(ROUND(D514,O514)=ROUND(F514,O514),"Reproduced to precision","Unresolved published value"),"Not comparable")</x:f>
        <x:v>Unresolved published value</x:v>
      </x:c>
      <x:c r="I514" s="163" t="str">
        <x:v>Published FY2022–25 turnovers are inconsistent with annual net revenue divided by audited closing or average total/PPE assets. No official monthly/quarterly scaling convention is disclosed. Standard annual-flow / average-asset calculation retained. Same-report DuPont analysis at PDF p212 explicitly prints turnover of 48%,49%,54%,55% for FY2022–25, consistent with sales / closing assets, contradicting p214/p215 totals of 0.08/0.07/0.07/0.08. This confirms an official within-report series inconsistency.</x:v>
      </x:c>
      <x:c r="J514" s="163" t="str">
        <x:v>FY2025 AR PDF p214</x:v>
      </x:c>
      <x:c r="K514" s="163" t="str">
        <x:v>Added source comparison</x:v>
      </x:c>
      <x:c r="L514" s="163" t="str">
        <x:v>Confirmed official within-report inconsistency</x:v>
      </x:c>
      <x:c r="M514" s="75" t="n">
        <x:f>IF(ISNUMBER(E514),E514-D514,"n/m")</x:f>
        <x:v>0.6908018836700552</x:v>
      </x:c>
      <x:c r="N514" s="75" t="n">
        <x:f>IF(ISNUMBER(F514),F514-D514,"n/m")</x:f>
        <x:v>0.6918002149114416</x:v>
      </x:c>
      <x:c r="O514" s="75" t="n">
        <x:v>2</x:v>
      </x:c>
    </x:row>
    <x:row r="515" ht="112" customHeight="1">
      <x:c r="A515" s="157" t="str">
        <x:v>FCCL</x:v>
      </x:c>
      <x:c r="B515" s="157" t="str">
        <x:v>Gross profit margin</x:v>
      </x:c>
      <x:c r="C515" s="157" t="str">
        <x:v>FY2021</x:v>
      </x:c>
      <x:c r="D515" s="161" t="n">
        <x:v>0.25</x:v>
      </x:c>
      <x:c r="E515" s="161" t="n">
        <x:f>FCCL!D161</x:f>
        <x:v>0.24985924725452316</x:v>
      </x:c>
      <x:c r="F515" s="161" t="n">
        <x:f>FCCL!D86/FCCL!D84</x:f>
        <x:v>0.24985924725452316</x:v>
      </x:c>
      <x:c r="G515" s="162" t="str">
        <x:v>Standard definition</x:v>
      </x:c>
      <x:c r="H515" s="162" t="str">
        <x:f>IF(AND(ISNUMBER(D515),ISNUMBER(F515)),IF(ROUND(D515,O515)=ROUND(F515,O515),"Reproduced to precision","Unresolved published value"),"Not comparable")</x:f>
        <x:v>Reproduced to precision</x:v>
      </x:c>
      <x:c r="I515" s="162" t="str">
        <x:v>Tested the source-based convention shown in G against official published precision. Unmatched values remain unresolved; neither the standardized method nor the financial inputs were altered to force agreement.</x:v>
      </x:c>
      <x:c r="J515" s="162" t="str">
        <x:v>FY2025 AR PDF p214</x:v>
      </x:c>
      <x:c r="K515" s="162" t="str">
        <x:v>Added source comparison</x:v>
      </x:c>
      <x:c r="L515" s="162" t="str">
        <x:v>Source comparison</x:v>
      </x:c>
      <x:c r="M515" s="157" t="n">
        <x:f>IF(ISNUMBER(E515),E515-D515,"n/m")</x:f>
        <x:v>-0.0001407527454768409</x:v>
      </x:c>
      <x:c r="N515" s="157" t="n">
        <x:f>IF(ISNUMBER(F515),F515-D515,"n/m")</x:f>
        <x:v>-0.0001407527454768409</x:v>
      </x:c>
      <x:c r="O515" s="157" t="n">
        <x:v>2</x:v>
      </x:c>
    </x:row>
    <x:row r="516" ht="112" customHeight="1">
      <x:c r="A516" s="75" t="str">
        <x:v>FCCL</x:v>
      </x:c>
      <x:c r="B516" s="75" t="str">
        <x:v>Gross profit margin</x:v>
      </x:c>
      <x:c r="C516" s="75" t="str">
        <x:v>FY2022</x:v>
      </x:c>
      <x:c r="D516" s="160" t="n">
        <x:v>0.29</x:v>
      </x:c>
      <x:c r="E516" s="160" t="n">
        <x:f>FCCL!E161</x:f>
        <x:v>0.28507903988852556</x:v>
      </x:c>
      <x:c r="F516" s="160" t="n">
        <x:f>FCCL!E86/FCCL!E84</x:f>
        <x:v>0.28507903988852556</x:v>
      </x:c>
      <x:c r="G516" s="163" t="str">
        <x:v>Standard definition</x:v>
      </x:c>
      <x:c r="H516" s="163" t="str">
        <x:f>IF(AND(ISNUMBER(D516),ISNUMBER(F516)),IF(ROUND(D516,O516)=ROUND(F516,O516),"Reproduced to precision","Unresolved published value"),"Not comparable")</x:f>
        <x:v>Reproduced to precision</x:v>
      </x:c>
      <x:c r="I516" s="163" t="str">
        <x:v>Tested the source-based convention shown in G against official published precision. Unmatched values remain unresolved; neither the standardized method nor the financial inputs were altered to force agreement.</x:v>
      </x:c>
      <x:c r="J516" s="163" t="str">
        <x:v>FY2025 AR PDF p214</x:v>
      </x:c>
      <x:c r="K516" s="163" t="str">
        <x:v>Added source comparison</x:v>
      </x:c>
      <x:c r="L516" s="163" t="str">
        <x:v>Source comparison</x:v>
      </x:c>
      <x:c r="M516" s="75" t="n">
        <x:f>IF(ISNUMBER(E516),E516-D516,"n/m")</x:f>
        <x:v>-0.004920960111474415</x:v>
      </x:c>
      <x:c r="N516" s="75" t="n">
        <x:f>IF(ISNUMBER(F516),F516-D516,"n/m")</x:f>
        <x:v>-0.004920960111474415</x:v>
      </x:c>
      <x:c r="O516" s="75" t="n">
        <x:v>2</x:v>
      </x:c>
    </x:row>
    <x:row r="517" ht="112" customHeight="1">
      <x:c r="A517" s="157" t="str">
        <x:v>FCCL</x:v>
      </x:c>
      <x:c r="B517" s="157" t="str">
        <x:v>Gross profit margin</x:v>
      </x:c>
      <x:c r="C517" s="157" t="str">
        <x:v>FY2023</x:v>
      </x:c>
      <x:c r="D517" s="161" t="n">
        <x:v>0.3</x:v>
      </x:c>
      <x:c r="E517" s="161" t="n">
        <x:f>FCCL!F161</x:f>
        <x:v>0.2999660404821077</x:v>
      </x:c>
      <x:c r="F517" s="161" t="n">
        <x:f>FCCL!F86/FCCL!F84</x:f>
        <x:v>0.2999660404821077</x:v>
      </x:c>
      <x:c r="G517" s="162" t="str">
        <x:v>Standard definition</x:v>
      </x:c>
      <x:c r="H517" s="162" t="str">
        <x:f>IF(AND(ISNUMBER(D517),ISNUMBER(F517)),IF(ROUND(D517,O517)=ROUND(F517,O517),"Reproduced to precision","Unresolved published value"),"Not comparable")</x:f>
        <x:v>Reproduced to precision</x:v>
      </x:c>
      <x:c r="I517" s="162" t="str">
        <x:v>Tested the source-based convention shown in G against official published precision. Unmatched values remain unresolved; neither the standardized method nor the financial inputs were altered to force agreement.</x:v>
      </x:c>
      <x:c r="J517" s="162" t="str">
        <x:v>FY2025 AR PDF p214</x:v>
      </x:c>
      <x:c r="K517" s="162" t="str">
        <x:v>Added source comparison</x:v>
      </x:c>
      <x:c r="L517" s="162" t="str">
        <x:v>Source comparison</x:v>
      </x:c>
      <x:c r="M517" s="157" t="n">
        <x:f>IF(ISNUMBER(E517),E517-D517,"n/m")</x:f>
        <x:v>-0.00003395951789231244</x:v>
      </x:c>
      <x:c r="N517" s="157" t="n">
        <x:f>IF(ISNUMBER(F517),F517-D517,"n/m")</x:f>
        <x:v>-0.00003395951789231244</x:v>
      </x:c>
      <x:c r="O517" s="157" t="n">
        <x:v>2</x:v>
      </x:c>
    </x:row>
    <x:row r="518" ht="112" customHeight="1">
      <x:c r="A518" s="75" t="str">
        <x:v>FCCL</x:v>
      </x:c>
      <x:c r="B518" s="75" t="str">
        <x:v>Gross profit margin</x:v>
      </x:c>
      <x:c r="C518" s="75" t="str">
        <x:v>FY2024</x:v>
      </x:c>
      <x:c r="D518" s="160" t="n">
        <x:v>0.32</x:v>
      </x:c>
      <x:c r="E518" s="160" t="n">
        <x:f>FCCL!G161</x:f>
        <x:v>0.3208998635022473</x:v>
      </x:c>
      <x:c r="F518" s="160" t="n">
        <x:f>FCCL!G86/FCCL!G84</x:f>
        <x:v>0.3208998635022473</x:v>
      </x:c>
      <x:c r="G518" s="163" t="str">
        <x:v>Standard definition</x:v>
      </x:c>
      <x:c r="H518" s="163" t="str">
        <x:f>IF(AND(ISNUMBER(D518),ISNUMBER(F518)),IF(ROUND(D518,O518)=ROUND(F518,O518),"Reproduced to precision","Unresolved published value"),"Not comparable")</x:f>
        <x:v>Reproduced to precision</x:v>
      </x:c>
      <x:c r="I518" s="163" t="str">
        <x:v>Tested the source-based convention shown in G against official published precision. Unmatched values remain unresolved; neither the standardized method nor the financial inputs were altered to force agreement.</x:v>
      </x:c>
      <x:c r="J518" s="163" t="str">
        <x:v>FY2025 AR PDF p214</x:v>
      </x:c>
      <x:c r="K518" s="163" t="str">
        <x:v>Added source comparison</x:v>
      </x:c>
      <x:c r="L518" s="163" t="str">
        <x:v>Source comparison</x:v>
      </x:c>
      <x:c r="M518" s="75" t="n">
        <x:f>IF(ISNUMBER(E518),E518-D518,"n/m")</x:f>
        <x:v>0.0008998635022473</x:v>
      </x:c>
      <x:c r="N518" s="75" t="n">
        <x:f>IF(ISNUMBER(F518),F518-D518,"n/m")</x:f>
        <x:v>0.0008998635022473</x:v>
      </x:c>
      <x:c r="O518" s="75" t="n">
        <x:v>2</x:v>
      </x:c>
    </x:row>
    <x:row r="519" ht="112" customHeight="1">
      <x:c r="A519" s="157" t="str">
        <x:v>FCCL</x:v>
      </x:c>
      <x:c r="B519" s="157" t="str">
        <x:v>Gross profit margin</x:v>
      </x:c>
      <x:c r="C519" s="157" t="str">
        <x:v>FY2025</x:v>
      </x:c>
      <x:c r="D519" s="161" t="n">
        <x:v>0.35</x:v>
      </x:c>
      <x:c r="E519" s="161" t="n">
        <x:f>FCCL!H161</x:f>
        <x:v>0.3549084220292905</x:v>
      </x:c>
      <x:c r="F519" s="161" t="n">
        <x:f>FCCL!H86/FCCL!H84</x:f>
        <x:v>0.3549084220292905</x:v>
      </x:c>
      <x:c r="G519" s="162" t="str">
        <x:v>Standard definition</x:v>
      </x:c>
      <x:c r="H519" s="162" t="str">
        <x:f>IF(AND(ISNUMBER(D519),ISNUMBER(F519)),IF(ROUND(D519,O519)=ROUND(F519,O519),"Reproduced to precision","Unresolved published value"),"Not comparable")</x:f>
        <x:v>Reproduced to precision</x:v>
      </x:c>
      <x:c r="I519" s="162" t="str">
        <x:v>Tested the source-based convention shown in G against official published precision. Unmatched values remain unresolved; neither the standardized method nor the financial inputs were altered to force agreement.</x:v>
      </x:c>
      <x:c r="J519" s="162" t="str">
        <x:v>FY2025 AR PDF p214</x:v>
      </x:c>
      <x:c r="K519" s="162" t="str">
        <x:v>Added source comparison</x:v>
      </x:c>
      <x:c r="L519" s="162" t="str">
        <x:v>Source comparison</x:v>
      </x:c>
      <x:c r="M519" s="157" t="n">
        <x:f>IF(ISNUMBER(E519),E519-D519,"n/m")</x:f>
        <x:v>0.004908422029290538</x:v>
      </x:c>
      <x:c r="N519" s="157" t="n">
        <x:f>IF(ISNUMBER(F519),F519-D519,"n/m")</x:f>
        <x:v>0.004908422029290538</x:v>
      </x:c>
      <x:c r="O519" s="157" t="n">
        <x:v>2</x:v>
      </x:c>
    </x:row>
    <x:row r="520" ht="112" customHeight="1">
      <x:c r="A520" s="75" t="str">
        <x:v>FCCL</x:v>
      </x:c>
      <x:c r="B520" s="75" t="str">
        <x:v>Net profit margin</x:v>
      </x:c>
      <x:c r="C520" s="75" t="str">
        <x:v>FY2021</x:v>
      </x:c>
      <x:c r="D520" s="160" t="n">
        <x:v>0.14</x:v>
      </x:c>
      <x:c r="E520" s="160" t="n">
        <x:f>FCCL!D163</x:f>
        <x:v>0.14302295902338913</x:v>
      </x:c>
      <x:c r="F520" s="160" t="n">
        <x:f>FCCL!D99/FCCL!D84</x:f>
        <x:v>0.14302295902338913</x:v>
      </x:c>
      <x:c r="G520" s="163" t="str">
        <x:v>Standard definition</x:v>
      </x:c>
      <x:c r="H520" s="163" t="str">
        <x:f>IF(AND(ISNUMBER(D520),ISNUMBER(F520)),IF(ROUND(D520,O520)=ROUND(F520,O520),"Reproduced to precision","Unresolved published value"),"Not comparable")</x:f>
        <x:v>Reproduced to precision</x:v>
      </x:c>
      <x:c r="I520" s="163" t="str">
        <x:v>Tested the source-based convention shown in G against official published precision. Unmatched values remain unresolved; neither the standardized method nor the financial inputs were altered to force agreement.</x:v>
      </x:c>
      <x:c r="J520" s="163" t="str">
        <x:v>FY2025 AR PDF p214</x:v>
      </x:c>
      <x:c r="K520" s="163" t="str">
        <x:v>Added source comparison</x:v>
      </x:c>
      <x:c r="L520" s="163" t="str">
        <x:v>Source comparison</x:v>
      </x:c>
      <x:c r="M520" s="75" t="n">
        <x:f>IF(ISNUMBER(E520),E520-D520,"n/m")</x:f>
        <x:v>0.0030229590233891157</x:v>
      </x:c>
      <x:c r="N520" s="75" t="n">
        <x:f>IF(ISNUMBER(F520),F520-D520,"n/m")</x:f>
        <x:v>0.0030229590233891157</x:v>
      </x:c>
      <x:c r="O520" s="75" t="n">
        <x:v>2</x:v>
      </x:c>
    </x:row>
    <x:row r="521" ht="112" customHeight="1">
      <x:c r="A521" s="157" t="str">
        <x:v>FCCL</x:v>
      </x:c>
      <x:c r="B521" s="157" t="str">
        <x:v>Net profit margin</x:v>
      </x:c>
      <x:c r="C521" s="157" t="str">
        <x:v>FY2022</x:v>
      </x:c>
      <x:c r="D521" s="161" t="n">
        <x:v>0.13</x:v>
      </x:c>
      <x:c r="E521" s="161" t="n">
        <x:f>FCCL!E163</x:f>
        <x:v>0.13112336204567002</x:v>
      </x:c>
      <x:c r="F521" s="161" t="n">
        <x:f>FCCL!E99/FCCL!E84</x:f>
        <x:v>0.13112336204567002</x:v>
      </x:c>
      <x:c r="G521" s="162" t="str">
        <x:v>Standard definition</x:v>
      </x:c>
      <x:c r="H521" s="162" t="str">
        <x:f>IF(AND(ISNUMBER(D521),ISNUMBER(F521)),IF(ROUND(D521,O521)=ROUND(F521,O521),"Reproduced to precision","Unresolved published value"),"Not comparable")</x:f>
        <x:v>Reproduced to precision</x:v>
      </x:c>
      <x:c r="I521" s="162" t="str">
        <x:v>Tested the source-based convention shown in G against official published precision. Unmatched values remain unresolved; neither the standardized method nor the financial inputs were altered to force agreement.</x:v>
      </x:c>
      <x:c r="J521" s="162" t="str">
        <x:v>FY2025 AR PDF p214</x:v>
      </x:c>
      <x:c r="K521" s="162" t="str">
        <x:v>Added source comparison</x:v>
      </x:c>
      <x:c r="L521" s="162" t="str">
        <x:v>Source comparison</x:v>
      </x:c>
      <x:c r="M521" s="157" t="n">
        <x:f>IF(ISNUMBER(E521),E521-D521,"n/m")</x:f>
        <x:v>0.0011233620456700122</x:v>
      </x:c>
      <x:c r="N521" s="157" t="n">
        <x:f>IF(ISNUMBER(F521),F521-D521,"n/m")</x:f>
        <x:v>0.0011233620456700122</x:v>
      </x:c>
      <x:c r="O521" s="157" t="n">
        <x:v>2</x:v>
      </x:c>
    </x:row>
    <x:row r="522" ht="112" customHeight="1">
      <x:c r="A522" s="75" t="str">
        <x:v>FCCL</x:v>
      </x:c>
      <x:c r="B522" s="75" t="str">
        <x:v>Net profit margin</x:v>
      </x:c>
      <x:c r="C522" s="75" t="str">
        <x:v>FY2023</x:v>
      </x:c>
      <x:c r="D522" s="160" t="n">
        <x:v>0.11</x:v>
      </x:c>
      <x:c r="E522" s="160" t="n">
        <x:f>FCCL!F163</x:f>
        <x:v>0.10929571726641699</x:v>
      </x:c>
      <x:c r="F522" s="160" t="n">
        <x:f>FCCL!F99/FCCL!F84</x:f>
        <x:v>0.10929571726641699</x:v>
      </x:c>
      <x:c r="G522" s="163" t="str">
        <x:v>Standard definition</x:v>
      </x:c>
      <x:c r="H522" s="163" t="str">
        <x:f>IF(AND(ISNUMBER(D522),ISNUMBER(F522)),IF(ROUND(D522,O522)=ROUND(F522,O522),"Reproduced to precision","Unresolved published value"),"Not comparable")</x:f>
        <x:v>Reproduced to precision</x:v>
      </x:c>
      <x:c r="I522" s="163" t="str">
        <x:v>Tested the source-based convention shown in G against official published precision. Unmatched values remain unresolved; neither the standardized method nor the financial inputs were altered to force agreement.</x:v>
      </x:c>
      <x:c r="J522" s="163" t="str">
        <x:v>FY2025 AR PDF p214</x:v>
      </x:c>
      <x:c r="K522" s="163" t="str">
        <x:v>Added source comparison</x:v>
      </x:c>
      <x:c r="L522" s="163" t="str">
        <x:v>Source comparison</x:v>
      </x:c>
      <x:c r="M522" s="75" t="n">
        <x:f>IF(ISNUMBER(E522),E522-D522,"n/m")</x:f>
        <x:v>-0.0007042827335830143</x:v>
      </x:c>
      <x:c r="N522" s="75" t="n">
        <x:f>IF(ISNUMBER(F522),F522-D522,"n/m")</x:f>
        <x:v>-0.0007042827335830143</x:v>
      </x:c>
      <x:c r="O522" s="75" t="n">
        <x:v>2</x:v>
      </x:c>
    </x:row>
    <x:row r="523" ht="112" customHeight="1">
      <x:c r="A523" s="157" t="str">
        <x:v>FCCL</x:v>
      </x:c>
      <x:c r="B523" s="157" t="str">
        <x:v>Net profit margin</x:v>
      </x:c>
      <x:c r="C523" s="157" t="str">
        <x:v>FY2024</x:v>
      </x:c>
      <x:c r="D523" s="161" t="n">
        <x:v>0.1</x:v>
      </x:c>
      <x:c r="E523" s="161" t="n">
        <x:f>FCCL!G163</x:f>
        <x:v>0.10275526425549537</x:v>
      </x:c>
      <x:c r="F523" s="161" t="n">
        <x:f>FCCL!G99/FCCL!G84</x:f>
        <x:v>0.10275526425549537</x:v>
      </x:c>
      <x:c r="G523" s="162" t="str">
        <x:v>Standard definition</x:v>
      </x:c>
      <x:c r="H523" s="162" t="str">
        <x:f>IF(AND(ISNUMBER(D523),ISNUMBER(F523)),IF(ROUND(D523,O523)=ROUND(F523,O523),"Reproduced to precision","Unresolved published value"),"Not comparable")</x:f>
        <x:v>Reproduced to precision</x:v>
      </x:c>
      <x:c r="I523" s="162" t="str">
        <x:v>Tested the source-based convention shown in G against official published precision. Unmatched values remain unresolved; neither the standardized method nor the financial inputs were altered to force agreement.</x:v>
      </x:c>
      <x:c r="J523" s="162" t="str">
        <x:v>FY2025 AR PDF p214</x:v>
      </x:c>
      <x:c r="K523" s="162" t="str">
        <x:v>Added source comparison</x:v>
      </x:c>
      <x:c r="L523" s="162" t="str">
        <x:v>Source comparison</x:v>
      </x:c>
      <x:c r="M523" s="157" t="n">
        <x:f>IF(ISNUMBER(E523),E523-D523,"n/m")</x:f>
        <x:v>0.0027552642554953682</x:v>
      </x:c>
      <x:c r="N523" s="157" t="n">
        <x:f>IF(ISNUMBER(F523),F523-D523,"n/m")</x:f>
        <x:v>0.0027552642554953682</x:v>
      </x:c>
      <x:c r="O523" s="157" t="n">
        <x:v>2</x:v>
      </x:c>
    </x:row>
    <x:row r="524" ht="112" customHeight="1">
      <x:c r="A524" s="75" t="str">
        <x:v>FCCL</x:v>
      </x:c>
      <x:c r="B524" s="75" t="str">
        <x:v>Net profit margin</x:v>
      </x:c>
      <x:c r="C524" s="75" t="str">
        <x:v>FY2025</x:v>
      </x:c>
      <x:c r="D524" s="160" t="n">
        <x:v>0.15</x:v>
      </x:c>
      <x:c r="E524" s="160" t="n">
        <x:f>FCCL!H163</x:f>
        <x:v>0.14980611609777766</x:v>
      </x:c>
      <x:c r="F524" s="160" t="n">
        <x:f>FCCL!H99/FCCL!H84</x:f>
        <x:v>0.14980611609777766</x:v>
      </x:c>
      <x:c r="G524" s="163" t="str">
        <x:v>Standard definition</x:v>
      </x:c>
      <x:c r="H524" s="163" t="str">
        <x:f>IF(AND(ISNUMBER(D524),ISNUMBER(F524)),IF(ROUND(D524,O524)=ROUND(F524,O524),"Reproduced to precision","Unresolved published value"),"Not comparable")</x:f>
        <x:v>Reproduced to precision</x:v>
      </x:c>
      <x:c r="I524" s="163" t="str">
        <x:v>Tested the source-based convention shown in G against official published precision. Unmatched values remain unresolved; neither the standardized method nor the financial inputs were altered to force agreement.</x:v>
      </x:c>
      <x:c r="J524" s="163" t="str">
        <x:v>FY2025 AR PDF p214</x:v>
      </x:c>
      <x:c r="K524" s="163" t="str">
        <x:v>Added source comparison</x:v>
      </x:c>
      <x:c r="L524" s="163" t="str">
        <x:v>Source comparison</x:v>
      </x:c>
      <x:c r="M524" s="75" t="n">
        <x:f>IF(ISNUMBER(E524),E524-D524,"n/m")</x:f>
        <x:v>-0.00019388390222233043</x:v>
      </x:c>
      <x:c r="N524" s="75" t="n">
        <x:f>IF(ISNUMBER(F524),F524-D524,"n/m")</x:f>
        <x:v>-0.00019388390222233043</x:v>
      </x:c>
      <x:c r="O524" s="75" t="n">
        <x:v>2</x:v>
      </x:c>
    </x:row>
    <x:row r="525" ht="112" customHeight="1">
      <x:c r="A525" s="157" t="str">
        <x:v>FCCL</x:v>
      </x:c>
      <x:c r="B525" s="157" t="str">
        <x:v>Return on equity</x:v>
      </x:c>
      <x:c r="C525" s="157" t="str">
        <x:v>FY2021</x:v>
      </x:c>
      <x:c r="D525" s="161" t="n">
        <x:v>0.15</x:v>
      </x:c>
      <x:c r="E525" s="161" t="n">
        <x:f>FCCL!D165</x:f>
        <x:v>0.16115839021414832</x:v>
      </x:c>
      <x:c r="F525" s="161" t="n">
        <x:f>FCCL!D99/FCCL!D41</x:f>
        <x:v>0.1491407487242795</x:v>
      </x:c>
      <x:c r="G525" s="162" t="str">
        <x:v>PAT / closing equity</x:v>
      </x:c>
      <x:c r="H525" s="162" t="str">
        <x:f>IF(AND(ISNUMBER(D525),ISNUMBER(F525)),IF(ROUND(D525,O525)=ROUND(F525,O525),"Reproduced to precision","Unresolved published value"),"Not comparable")</x:f>
        <x:v>Reproduced to precision</x:v>
      </x:c>
      <x:c r="I525" s="162" t="str">
        <x:v>Tested the source-based convention shown in G against official published precision. Unmatched values remain unresolved; neither the standardized method nor the financial inputs were altered to force agreement.</x:v>
      </x:c>
      <x:c r="J525" s="162" t="str">
        <x:v>FY2025 AR PDF p214</x:v>
      </x:c>
      <x:c r="K525" s="162" t="str">
        <x:v>Added source comparison</x:v>
      </x:c>
      <x:c r="L525" s="162" t="str">
        <x:v>Source comparison</x:v>
      </x:c>
      <x:c r="M525" s="157" t="n">
        <x:f>IF(ISNUMBER(E525),E525-D525,"n/m")</x:f>
        <x:v>0.011158390214148328</x:v>
      </x:c>
      <x:c r="N525" s="157" t="n">
        <x:f>IF(ISNUMBER(F525),F525-D525,"n/m")</x:f>
        <x:v>-0.0008592512757205073</x:v>
      </x:c>
      <x:c r="O525" s="157" t="n">
        <x:v>2</x:v>
      </x:c>
    </x:row>
    <x:row r="526" ht="112" customHeight="1">
      <x:c r="A526" s="75" t="str">
        <x:v>FCCL</x:v>
      </x:c>
      <x:c r="B526" s="75" t="str">
        <x:v>Return on equity</x:v>
      </x:c>
      <x:c r="C526" s="75" t="str">
        <x:v>FY2022</x:v>
      </x:c>
      <x:c r="D526" s="160" t="n">
        <x:v>0.12</x:v>
      </x:c>
      <x:c r="E526" s="160" t="n">
        <x:f>FCCL!E165</x:f>
        <x:v>0.17559284966237051</x:v>
      </x:c>
      <x:c r="F526" s="160" t="n">
        <x:f>FCCL!E99/FCCL!E41</x:f>
        <x:v>0.12319061073378482</x:v>
      </x:c>
      <x:c r="G526" s="163" t="str">
        <x:v>PAT / closing equity</x:v>
      </x:c>
      <x:c r="H526" s="163" t="str">
        <x:f>IF(AND(ISNUMBER(D526),ISNUMBER(F526)),IF(ROUND(D526,O526)=ROUND(F526,O526),"Reproduced to precision","Unresolved published value"),"Not comparable")</x:f>
        <x:v>Reproduced to precision</x:v>
      </x:c>
      <x:c r="I526" s="163" t="str">
        <x:v>Tested the source-based convention shown in G against official published precision. Unmatched values remain unresolved; neither the standardized method nor the financial inputs were altered to force agreement.</x:v>
      </x:c>
      <x:c r="J526" s="163" t="str">
        <x:v>FY2025 AR PDF p214</x:v>
      </x:c>
      <x:c r="K526" s="163" t="str">
        <x:v>Added source comparison</x:v>
      </x:c>
      <x:c r="L526" s="163" t="str">
        <x:v>Source comparison</x:v>
      </x:c>
      <x:c r="M526" s="75" t="n">
        <x:f>IF(ISNUMBER(E526),E526-D526,"n/m")</x:f>
        <x:v>0.05559284966237052</x:v>
      </x:c>
      <x:c r="N526" s="75" t="n">
        <x:f>IF(ISNUMBER(F526),F526-D526,"n/m")</x:f>
        <x:v>0.003190610733784821</x:v>
      </x:c>
      <x:c r="O526" s="75" t="n">
        <x:v>2</x:v>
      </x:c>
    </x:row>
    <x:row r="527" ht="112" customHeight="1">
      <x:c r="A527" s="157" t="str">
        <x:v>FCCL</x:v>
      </x:c>
      <x:c r="B527" s="157" t="str">
        <x:v>Return on equity</x:v>
      </x:c>
      <x:c r="C527" s="157" t="str">
        <x:v>FY2023</x:v>
      </x:c>
      <x:c r="D527" s="161" t="n">
        <x:v>0.11</x:v>
      </x:c>
      <x:c r="E527" s="161" t="n">
        <x:f>FCCL!F165</x:f>
        <x:v>0.12105723655011702</x:v>
      </x:c>
      <x:c r="F527" s="161" t="n">
        <x:f>FCCL!F99/FCCL!F41</x:f>
        <x:v>0.11414801492770245</x:v>
      </x:c>
      <x:c r="G527" s="162" t="str">
        <x:v>PAT / closing equity</x:v>
      </x:c>
      <x:c r="H527" s="162" t="str">
        <x:f>IF(AND(ISNUMBER(D527),ISNUMBER(F527)),IF(ROUND(D527,O527)=ROUND(F527,O527),"Reproduced to precision","Unresolved published value"),"Not comparable")</x:f>
        <x:v>Reproduced to precision</x:v>
      </x:c>
      <x:c r="I527" s="162" t="str">
        <x:v>Tested the source-based convention shown in G against official published precision. Unmatched values remain unresolved; neither the standardized method nor the financial inputs were altered to force agreement.</x:v>
      </x:c>
      <x:c r="J527" s="162" t="str">
        <x:v>FY2025 AR PDF p214</x:v>
      </x:c>
      <x:c r="K527" s="162" t="str">
        <x:v>Added source comparison</x:v>
      </x:c>
      <x:c r="L527" s="162" t="str">
        <x:v>Source comparison</x:v>
      </x:c>
      <x:c r="M527" s="157" t="n">
        <x:f>IF(ISNUMBER(E527),E527-D527,"n/m")</x:f>
        <x:v>0.01105723655011702</x:v>
      </x:c>
      <x:c r="N527" s="157" t="n">
        <x:f>IF(ISNUMBER(F527),F527-D527,"n/m")</x:f>
        <x:v>0.004148014927702448</x:v>
      </x:c>
      <x:c r="O527" s="157" t="n">
        <x:v>2</x:v>
      </x:c>
    </x:row>
    <x:row r="528" ht="112" customHeight="1">
      <x:c r="A528" s="75" t="str">
        <x:v>FCCL</x:v>
      </x:c>
      <x:c r="B528" s="75" t="str">
        <x:v>Return on equity</x:v>
      </x:c>
      <x:c r="C528" s="75" t="str">
        <x:v>FY2024</x:v>
      </x:c>
      <x:c r="D528" s="160" t="n">
        <x:v>0.11</x:v>
      </x:c>
      <x:c r="E528" s="160" t="n">
        <x:f>FCCL!G165</x:f>
        <x:v>0.11868144080382984</x:v>
      </x:c>
      <x:c r="F528" s="160" t="n">
        <x:f>FCCL!G99/FCCL!G41</x:f>
        <x:v>0.1120333038446799</x:v>
      </x:c>
      <x:c r="G528" s="163" t="str">
        <x:v>PAT / closing equity</x:v>
      </x:c>
      <x:c r="H528" s="163" t="str">
        <x:f>IF(AND(ISNUMBER(D528),ISNUMBER(F528)),IF(ROUND(D528,O528)=ROUND(F528,O528),"Reproduced to precision","Unresolved published value"),"Not comparable")</x:f>
        <x:v>Reproduced to precision</x:v>
      </x:c>
      <x:c r="I528" s="163" t="str">
        <x:v>Tested the source-based convention shown in G against official published precision. Unmatched values remain unresolved; neither the standardized method nor the financial inputs were altered to force agreement.</x:v>
      </x:c>
      <x:c r="J528" s="163" t="str">
        <x:v>FY2025 AR PDF p214</x:v>
      </x:c>
      <x:c r="K528" s="163" t="str">
        <x:v>Added source comparison</x:v>
      </x:c>
      <x:c r="L528" s="163" t="str">
        <x:v>Source comparison</x:v>
      </x:c>
      <x:c r="M528" s="75" t="n">
        <x:f>IF(ISNUMBER(E528),E528-D528,"n/m")</x:f>
        <x:v>0.008681440803829835</x:v>
      </x:c>
      <x:c r="N528" s="75" t="n">
        <x:f>IF(ISNUMBER(F528),F528-D528,"n/m")</x:f>
        <x:v>0.0020333038446798957</x:v>
      </x:c>
      <x:c r="O528" s="75" t="n">
        <x:v>2</x:v>
      </x:c>
    </x:row>
    <x:row r="529" ht="112" customHeight="1">
      <x:c r="A529" s="157" t="str">
        <x:v>FCCL</x:v>
      </x:c>
      <x:c r="B529" s="157" t="str">
        <x:v>Return on equity</x:v>
      </x:c>
      <x:c r="C529" s="157" t="str">
        <x:v>FY2025</x:v>
      </x:c>
      <x:c r="D529" s="161" t="n">
        <x:v>0.16</x:v>
      </x:c>
      <x:c r="E529" s="161" t="n">
        <x:f>FCCL!H165</x:f>
        <x:v>0.1690380202363196</x:v>
      </x:c>
      <x:c r="F529" s="161" t="n">
        <x:f>FCCL!H99/FCCL!H41</x:f>
        <x:v>0.15813282120245373</x:v>
      </x:c>
      <x:c r="G529" s="162" t="str">
        <x:v>PAT / closing equity</x:v>
      </x:c>
      <x:c r="H529" s="162" t="str">
        <x:f>IF(AND(ISNUMBER(D529),ISNUMBER(F529)),IF(ROUND(D529,O529)=ROUND(F529,O529),"Reproduced to precision","Unresolved published value"),"Not comparable")</x:f>
        <x:v>Reproduced to precision</x:v>
      </x:c>
      <x:c r="I529" s="162" t="str">
        <x:v>Tested the source-based convention shown in G against official published precision. Unmatched values remain unresolved; neither the standardized method nor the financial inputs were altered to force agreement.</x:v>
      </x:c>
      <x:c r="J529" s="162" t="str">
        <x:v>FY2025 AR PDF p214</x:v>
      </x:c>
      <x:c r="K529" s="162" t="str">
        <x:v>Added source comparison</x:v>
      </x:c>
      <x:c r="L529" s="162" t="str">
        <x:v>Source comparison</x:v>
      </x:c>
      <x:c r="M529" s="157" t="n">
        <x:f>IF(ISNUMBER(E529),E529-D529,"n/m")</x:f>
        <x:v>0.00903802023631961</x:v>
      </x:c>
      <x:c r="N529" s="157" t="n">
        <x:f>IF(ISNUMBER(F529),F529-D529,"n/m")</x:f>
        <x:v>-0.0018671787975462761</x:v>
      </x:c>
      <x:c r="O529" s="157" t="n">
        <x:v>2</x:v>
      </x:c>
    </x:row>
    <x:row r="530" ht="112" customHeight="1">
      <x:c r="A530" s="75" t="str">
        <x:v>FCCL</x:v>
      </x:c>
      <x:c r="B530" s="75" t="str">
        <x:v>Market-to-book ratio</x:v>
      </x:c>
      <x:c r="C530" s="75" t="str">
        <x:v>FY2021</x:v>
      </x:c>
      <x:c r="D530" s="159" t="n">
        <x:v>1.36</x:v>
      </x:c>
      <x:c r="E530" s="159" t="n">
        <x:f>FCCL!D170</x:f>
        <x:v>1.3634728296339984</x:v>
      </x:c>
      <x:c r="F530" s="159" t="n">
        <x:f>'PSX Prices'!F26/'PSX Prices'!M26</x:f>
        <x:v>1.3633669235328985</x:v>
      </x:c>
      <x:c r="G530" s="163" t="str">
        <x:v>Report price / reported BVPS</x:v>
      </x:c>
      <x:c r="H530" s="163" t="str">
        <x:f>IF(AND(ISNUMBER(D530),ISNUMBER(F530)),IF(ROUND(D530,O530)=ROUND(F530,O530),"Reproduced to precision","Unresolved published value"),"Not comparable")</x:f>
        <x:v>Reproduced to precision</x:v>
      </x:c>
      <x:c r="I530" s="163" t="str">
        <x:v>Tested the source-based convention shown in G against official published precision. Unmatched values remain unresolved; neither the standardized method nor the financial inputs were altered to force agreement.</x:v>
      </x:c>
      <x:c r="J530" s="163" t="str">
        <x:v>FY2025 AR PDF p216</x:v>
      </x:c>
      <x:c r="K530" s="163" t="str">
        <x:v>Added source comparison</x:v>
      </x:c>
      <x:c r="L530" s="163" t="str">
        <x:v>Source comparison</x:v>
      </x:c>
      <x:c r="M530" s="75" t="n">
        <x:f>IF(ISNUMBER(E530),E530-D530,"n/m")</x:f>
        <x:v>0.003472829633998309</x:v>
      </x:c>
      <x:c r="N530" s="75" t="n">
        <x:f>IF(ISNUMBER(F530),F530-D530,"n/m")</x:f>
        <x:v>0.0033669235328983582</x:v>
      </x:c>
      <x:c r="O530" s="75" t="n">
        <x:v>2</x:v>
      </x:c>
    </x:row>
    <x:row r="531" ht="112" customHeight="1">
      <x:c r="A531" s="157" t="str">
        <x:v>FCCL</x:v>
      </x:c>
      <x:c r="B531" s="157" t="str">
        <x:v>Market-to-book ratio</x:v>
      </x:c>
      <x:c r="C531" s="157" t="str">
        <x:v>FY2022</x:v>
      </x:c>
      <x:c r="D531" s="158" t="n">
        <x:v>0.54</x:v>
      </x:c>
      <x:c r="E531" s="158" t="n">
        <x:f>FCCL!E170</x:f>
        <x:v>0.535107187266134</x:v>
      </x:c>
      <x:c r="F531" s="158" t="n">
        <x:f>'PSX Prices'!F27/'PSX Prices'!M27</x:f>
        <x:v>0.5351208459214502</x:v>
      </x:c>
      <x:c r="G531" s="162" t="str">
        <x:v>Report price / reported BVPS</x:v>
      </x:c>
      <x:c r="H531" s="162" t="str">
        <x:f>IF(AND(ISNUMBER(D531),ISNUMBER(F531)),IF(ROUND(D531,O531)=ROUND(F531,O531),"Reproduced to precision","Unresolved published value"),"Not comparable")</x:f>
        <x:v>Reproduced to precision</x:v>
      </x:c>
      <x:c r="I531" s="162" t="str">
        <x:v>Tested the source-based convention shown in G against official published precision. Unmatched values remain unresolved; neither the standardized method nor the financial inputs were altered to force agreement.</x:v>
      </x:c>
      <x:c r="J531" s="162" t="str">
        <x:v>FY2025 AR PDF p216</x:v>
      </x:c>
      <x:c r="K531" s="162" t="str">
        <x:v>Added source comparison</x:v>
      </x:c>
      <x:c r="L531" s="162" t="str">
        <x:v>Source comparison</x:v>
      </x:c>
      <x:c r="M531" s="157" t="n">
        <x:f>IF(ISNUMBER(E531),E531-D531,"n/m")</x:f>
        <x:v>-0.004892812733865992</x:v>
      </x:c>
      <x:c r="N531" s="157" t="n">
        <x:f>IF(ISNUMBER(F531),F531-D531,"n/m")</x:f>
        <x:v>-0.0048791540785498855</x:v>
      </x:c>
      <x:c r="O531" s="157" t="n">
        <x:v>2</x:v>
      </x:c>
    </x:row>
    <x:row r="532" ht="112" customHeight="1">
      <x:c r="A532" s="75" t="str">
        <x:v>FCCL</x:v>
      </x:c>
      <x:c r="B532" s="75" t="str">
        <x:v>Market-to-book ratio</x:v>
      </x:c>
      <x:c r="C532" s="75" t="str">
        <x:v>FY2023</x:v>
      </x:c>
      <x:c r="D532" s="159" t="n">
        <x:v>0.44</x:v>
      </x:c>
      <x:c r="E532" s="159" t="n">
        <x:f>FCCL!F170</x:f>
        <x:v>0.4425801548818697</x:v>
      </x:c>
      <x:c r="F532" s="159" t="n">
        <x:f>'PSX Prices'!F28/'PSX Prices'!M28</x:f>
        <x:v>0.4426044410989838</x:v>
      </x:c>
      <x:c r="G532" s="163" t="str">
        <x:v>Report price / reported BVPS</x:v>
      </x:c>
      <x:c r="H532" s="163" t="str">
        <x:f>IF(AND(ISNUMBER(D532),ISNUMBER(F532)),IF(ROUND(D532,O532)=ROUND(F532,O532),"Reproduced to precision","Unresolved published value"),"Not comparable")</x:f>
        <x:v>Reproduced to precision</x:v>
      </x:c>
      <x:c r="I532" s="163" t="str">
        <x:v>Tested the source-based convention shown in G against official published precision. Unmatched values remain unresolved; neither the standardized method nor the financial inputs were altered to force agreement.</x:v>
      </x:c>
      <x:c r="J532" s="163" t="str">
        <x:v>FY2025 AR PDF p216</x:v>
      </x:c>
      <x:c r="K532" s="163" t="str">
        <x:v>Added source comparison</x:v>
      </x:c>
      <x:c r="L532" s="163" t="str">
        <x:v>Source comparison</x:v>
      </x:c>
      <x:c r="M532" s="75" t="n">
        <x:f>IF(ISNUMBER(E532),E532-D532,"n/m")</x:f>
        <x:v>0.0025801548818696896</x:v>
      </x:c>
      <x:c r="N532" s="75" t="n">
        <x:f>IF(ISNUMBER(F532),F532-D532,"n/m")</x:f>
        <x:v>0.0026044410989837785</x:v>
      </x:c>
      <x:c r="O532" s="75" t="n">
        <x:v>2</x:v>
      </x:c>
    </x:row>
    <x:row r="533" ht="112" customHeight="1">
      <x:c r="A533" s="157" t="str">
        <x:v>FCCL</x:v>
      </x:c>
      <x:c r="B533" s="157" t="str">
        <x:v>Market-to-book ratio</x:v>
      </x:c>
      <x:c r="C533" s="157" t="str">
        <x:v>FY2024</x:v>
      </x:c>
      <x:c r="D533" s="158" t="n">
        <x:v>0.77</x:v>
      </x:c>
      <x:c r="E533" s="158" t="n">
        <x:f>FCCL!G170</x:f>
        <x:v>0.7656078565151421</x:v>
      </x:c>
      <x:c r="F533" s="158" t="n">
        <x:f>'PSX Prices'!F29/'PSX Prices'!M29</x:f>
        <x:v>0.7657085561497325</x:v>
      </x:c>
      <x:c r="G533" s="162" t="str">
        <x:v>Report price / reported BVPS</x:v>
      </x:c>
      <x:c r="H533" s="162" t="str">
        <x:f>IF(AND(ISNUMBER(D533),ISNUMBER(F533)),IF(ROUND(D533,O533)=ROUND(F533,O533),"Reproduced to precision","Unresolved published value"),"Not comparable")</x:f>
        <x:v>Reproduced to precision</x:v>
      </x:c>
      <x:c r="I533" s="162" t="str">
        <x:v>Tested the source-based convention shown in G against official published precision. Unmatched values remain unresolved; neither the standardized method nor the financial inputs were altered to force agreement.</x:v>
      </x:c>
      <x:c r="J533" s="162" t="str">
        <x:v>FY2025 AR PDF p216</x:v>
      </x:c>
      <x:c r="K533" s="162" t="str">
        <x:v>Added source comparison</x:v>
      </x:c>
      <x:c r="L533" s="162" t="str">
        <x:v>Source comparison</x:v>
      </x:c>
      <x:c r="M533" s="157" t="n">
        <x:f>IF(ISNUMBER(E533),E533-D533,"n/m")</x:f>
        <x:v>-0.004392143484857947</x:v>
      </x:c>
      <x:c r="N533" s="157" t="n">
        <x:f>IF(ISNUMBER(F533),F533-D533,"n/m")</x:f>
        <x:v>-0.0042914438502674734</x:v>
      </x:c>
      <x:c r="O533" s="157" t="n">
        <x:v>2</x:v>
      </x:c>
    </x:row>
    <x:row r="534" ht="112" customHeight="1">
      <x:c r="A534" s="75" t="str">
        <x:v>FCCL</x:v>
      </x:c>
      <x:c r="B534" s="75" t="str">
        <x:v>Market-to-book ratio</x:v>
      </x:c>
      <x:c r="C534" s="75" t="str">
        <x:v>FY2025</x:v>
      </x:c>
      <x:c r="D534" s="159" t="n">
        <x:v>1.3</x:v>
      </x:c>
      <x:c r="E534" s="159" t="n">
        <x:f>FCCL!H170</x:f>
        <x:v>1.3001759998029245</x:v>
      </x:c>
      <x:c r="F534" s="159" t="n">
        <x:f>'PSX Prices'!F30/'PSX Prices'!M30</x:f>
        <x:v>1.3000582072176952</x:v>
      </x:c>
      <x:c r="G534" s="163" t="str">
        <x:v>Report price / reported BVPS</x:v>
      </x:c>
      <x:c r="H534" s="163" t="str">
        <x:f>IF(AND(ISNUMBER(D534),ISNUMBER(F534)),IF(ROUND(D534,O534)=ROUND(F534,O534),"Reproduced to precision","Unresolved published value"),"Not comparable")</x:f>
        <x:v>Reproduced to precision</x:v>
      </x:c>
      <x:c r="I534" s="163" t="str">
        <x:v>Tested the source-based convention shown in G against official published precision. Unmatched values remain unresolved; neither the standardized method nor the financial inputs were altered to force agreement.</x:v>
      </x:c>
      <x:c r="J534" s="163" t="str">
        <x:v>FY2025 AR PDF p216</x:v>
      </x:c>
      <x:c r="K534" s="163" t="str">
        <x:v>Added source comparison</x:v>
      </x:c>
      <x:c r="L534" s="163" t="str">
        <x:v>Source comparison</x:v>
      </x:c>
      <x:c r="M534" s="75" t="n">
        <x:f>IF(ISNUMBER(E534),E534-D534,"n/m")</x:f>
        <x:v>0.00017599980292448691</x:v>
      </x:c>
      <x:c r="N534" s="75" t="n">
        <x:f>IF(ISNUMBER(F534),F534-D534,"n/m")</x:f>
        <x:v>0.0000582072176951165</x:v>
      </x:c>
      <x:c r="O534" s="75" t="n">
        <x:v>2</x:v>
      </x:c>
    </x:row>
    <x:row r="535">
      <x:c r="A535" s="75" t="str">
        <x:v>MLCF</x:v>
      </x:c>
      <x:c r="B535" s="75" t="str">
        <x:v>Net working capital (PKR m)</x:v>
      </x:c>
      <x:c r="C535" s="75" t="str">
        <x:v>FY2021</x:v>
      </x:c>
      <x:c r="D535" s="172" t="n">
        <x:v>5473.968</x:v>
      </x:c>
      <x:c r="E535" s="172" t="n">
        <x:f>MLCF!D141</x:f>
        <x:v>5473.968000000003</x:v>
      </x:c>
      <x:c r="F535" s="172" t="n">
        <x:f>MLCF!D36-MLCF!D61</x:f>
        <x:v>5473.968000000003</x:v>
      </x:c>
      <x:c r="G535" s="163" t="str">
        <x:v>Audited current assets minus all current liabilities</x:v>
      </x:c>
      <x:c r="H535" s="163" t="str">
        <x:f>IF(ROUND(D535,O535)=ROUND(F535,O535),"Reproduced to precision","Unresolved published value")</x:f>
        <x:v>Reproduced to precision</x:v>
      </x:c>
      <x:c r="I535" s="163" t="str">
        <x:v>Official capital-employed reconciliation (PKR thousands) converted to PKR million. Reproduces standardized NWC.</x:v>
      </x:c>
      <x:c r="J535" s="163" t="str">
        <x:v>FY2025 AR PDF p179 capital-employed reconciliation</x:v>
      </x:c>
      <x:c r="K535" s="163" t="str">
        <x:v>Added source comparison</x:v>
      </x:c>
      <x:c r="L535" s="163" t="str">
        <x:v>Same definition; official accounting totals</x:v>
      </x:c>
      <x:c r="M535" s="75" t="n">
        <x:f>IF(ISNUMBER(E535),E535-D535,"n/m")</x:f>
        <x:v>2.7284841053187847e-12</x:v>
      </x:c>
      <x:c r="N535" s="75" t="n">
        <x:f>F535-D535</x:f>
        <x:v>2.7284841053187847e-12</x:v>
      </x:c>
      <x:c r="O535" s="75" t="n">
        <x:v>3</x:v>
      </x:c>
    </x:row>
    <x:row r="536">
      <x:c r="A536" s="75" t="str">
        <x:v>MLCF</x:v>
      </x:c>
      <x:c r="B536" s="75" t="str">
        <x:v>Net working capital (PKR m)</x:v>
      </x:c>
      <x:c r="C536" s="75" t="str">
        <x:v>FY2022</x:v>
      </x:c>
      <x:c r="D536" s="172" t="n">
        <x:v>4128.598</x:v>
      </x:c>
      <x:c r="E536" s="172" t="n">
        <x:f>MLCF!E141</x:f>
        <x:v>4128.598000000004</x:v>
      </x:c>
      <x:c r="F536" s="172" t="n">
        <x:f>MLCF!E36-MLCF!E61</x:f>
        <x:v>4128.598000000004</x:v>
      </x:c>
      <x:c r="G536" s="163" t="str">
        <x:v>Audited current assets minus all current liabilities</x:v>
      </x:c>
      <x:c r="H536" s="163" t="str">
        <x:f>IF(ROUND(D536,O536)=ROUND(F536,O536),"Reproduced to precision","Unresolved published value")</x:f>
        <x:v>Reproduced to precision</x:v>
      </x:c>
      <x:c r="I536" s="163" t="str">
        <x:v>Official capital-employed reconciliation (PKR thousands) converted to PKR million. Reproduces standardized NWC.</x:v>
      </x:c>
      <x:c r="J536" s="163" t="str">
        <x:v>FY2025 AR PDF p179 capital-employed reconciliation</x:v>
      </x:c>
      <x:c r="K536" s="163" t="str">
        <x:v>Added source comparison</x:v>
      </x:c>
      <x:c r="L536" s="163" t="str">
        <x:v>Same definition; official accounting totals</x:v>
      </x:c>
      <x:c r="M536" s="75" t="n">
        <x:f>IF(ISNUMBER(E536),E536-D536,"n/m")</x:f>
        <x:v>3.637978807091713e-12</x:v>
      </x:c>
      <x:c r="N536" s="75" t="n">
        <x:f>F536-D536</x:f>
        <x:v>3.637978807091713e-12</x:v>
      </x:c>
      <x:c r="O536" s="75" t="n">
        <x:v>3</x:v>
      </x:c>
    </x:row>
    <x:row r="537">
      <x:c r="A537" s="75" t="str">
        <x:v>MLCF</x:v>
      </x:c>
      <x:c r="B537" s="75" t="str">
        <x:v>Net working capital (PKR m)</x:v>
      </x:c>
      <x:c r="C537" s="75" t="str">
        <x:v>FY2023</x:v>
      </x:c>
      <x:c r="D537" s="172" t="n">
        <x:v>6024.646</x:v>
      </x:c>
      <x:c r="E537" s="172" t="n">
        <x:f>MLCF!F141</x:f>
        <x:v>6024.645999999997</x:v>
      </x:c>
      <x:c r="F537" s="172" t="n">
        <x:f>MLCF!F36-MLCF!F61</x:f>
        <x:v>6024.645999999997</x:v>
      </x:c>
      <x:c r="G537" s="163" t="str">
        <x:v>Audited current assets minus all current liabilities</x:v>
      </x:c>
      <x:c r="H537" s="163" t="str">
        <x:f>IF(ROUND(D537,O537)=ROUND(F537,O537),"Reproduced to precision","Unresolved published value")</x:f>
        <x:v>Reproduced to precision</x:v>
      </x:c>
      <x:c r="I537" s="163" t="str">
        <x:v>Official capital-employed reconciliation (PKR thousands) converted to PKR million. Reproduces standardized NWC.</x:v>
      </x:c>
      <x:c r="J537" s="163" t="str">
        <x:v>FY2025 AR PDF p179 capital-employed reconciliation</x:v>
      </x:c>
      <x:c r="K537" s="163" t="str">
        <x:v>Added source comparison</x:v>
      </x:c>
      <x:c r="L537" s="163" t="str">
        <x:v>Same definition; official accounting totals</x:v>
      </x:c>
      <x:c r="M537" s="75" t="n">
        <x:f>IF(ISNUMBER(E537),E537-D537,"n/m")</x:f>
        <x:v>-2.7284841053187847e-12</x:v>
      </x:c>
      <x:c r="N537" s="75" t="n">
        <x:f>F537-D537</x:f>
        <x:v>-2.7284841053187847e-12</x:v>
      </x:c>
      <x:c r="O537" s="75" t="n">
        <x:v>3</x:v>
      </x:c>
    </x:row>
    <x:row r="538">
      <x:c r="A538" s="75" t="str">
        <x:v>MLCF</x:v>
      </x:c>
      <x:c r="B538" s="75" t="str">
        <x:v>Net working capital (PKR m)</x:v>
      </x:c>
      <x:c r="C538" s="75" t="str">
        <x:v>FY2024</x:v>
      </x:c>
      <x:c r="D538" s="172" t="n">
        <x:v>8270.037</x:v>
      </x:c>
      <x:c r="E538" s="172" t="n">
        <x:f>MLCF!G141</x:f>
        <x:v>8270.037</x:v>
      </x:c>
      <x:c r="F538" s="172" t="n">
        <x:f>MLCF!G36-MLCF!G61</x:f>
        <x:v>8270.037</x:v>
      </x:c>
      <x:c r="G538" s="163" t="str">
        <x:v>Audited current assets minus all current liabilities</x:v>
      </x:c>
      <x:c r="H538" s="163" t="str">
        <x:f>IF(ROUND(D538,O538)=ROUND(F538,O538),"Reproduced to precision","Unresolved published value")</x:f>
        <x:v>Reproduced to precision</x:v>
      </x:c>
      <x:c r="I538" s="163" t="str">
        <x:v>Official capital-employed reconciliation (PKR thousands) converted to PKR million. Reproduces standardized NWC.</x:v>
      </x:c>
      <x:c r="J538" s="163" t="str">
        <x:v>FY2025 AR PDF p179 capital-employed reconciliation</x:v>
      </x:c>
      <x:c r="K538" s="163" t="str">
        <x:v>Added source comparison</x:v>
      </x:c>
      <x:c r="L538" s="163" t="str">
        <x:v>Same definition; official accounting totals</x:v>
      </x:c>
      <x:c r="M538" s="75" t="n">
        <x:f>IF(ISNUMBER(E538),E538-D538,"n/m")</x:f>
        <x:v>0</x:v>
      </x:c>
      <x:c r="N538" s="75" t="n">
        <x:f>F538-D538</x:f>
        <x:v>0</x:v>
      </x:c>
      <x:c r="O538" s="75" t="n">
        <x:v>3</x:v>
      </x:c>
    </x:row>
    <x:row r="539">
      <x:c r="A539" s="75" t="str">
        <x:v>MLCF</x:v>
      </x:c>
      <x:c r="B539" s="75" t="str">
        <x:v>Net working capital (PKR m)</x:v>
      </x:c>
      <x:c r="C539" s="75" t="str">
        <x:v>FY2025</x:v>
      </x:c>
      <x:c r="D539" s="172" t="n">
        <x:v>12422.113</x:v>
      </x:c>
      <x:c r="E539" s="172" t="n">
        <x:f>MLCF!H141</x:f>
        <x:v>12422.112999999994</x:v>
      </x:c>
      <x:c r="F539" s="172" t="n">
        <x:f>MLCF!H36-MLCF!H61</x:f>
        <x:v>12422.112999999994</x:v>
      </x:c>
      <x:c r="G539" s="163" t="str">
        <x:v>Audited current assets minus all current liabilities</x:v>
      </x:c>
      <x:c r="H539" s="163" t="str">
        <x:f>IF(ROUND(D539,O539)=ROUND(F539,O539),"Reproduced to precision","Unresolved published value")</x:f>
        <x:v>Reproduced to precision</x:v>
      </x:c>
      <x:c r="I539" s="163" t="str">
        <x:v>Official capital-employed reconciliation (PKR thousands) converted to PKR million. Reproduces standardized NWC.</x:v>
      </x:c>
      <x:c r="J539" s="163" t="str">
        <x:v>FY2025 AR PDF p179 capital-employed reconciliation</x:v>
      </x:c>
      <x:c r="K539" s="163" t="str">
        <x:v>Added source comparison</x:v>
      </x:c>
      <x:c r="L539" s="163" t="str">
        <x:v>Same definition; official accounting totals</x:v>
      </x:c>
      <x:c r="M539" s="75" t="n">
        <x:f>IF(ISNUMBER(E539),E539-D539,"n/m")</x:f>
        <x:v>-5.4569682106375694e-12</x:v>
      </x:c>
      <x:c r="N539" s="75" t="n">
        <x:f>F539-D539</x:f>
        <x:v>-5.4569682106375694e-12</x:v>
      </x:c>
      <x:c r="O539" s="75" t="n">
        <x:v>3</x:v>
      </x:c>
    </x:row>
    <x:row r="540">
      <x:c r="A540" s="75" t="str">
        <x:v>KOHC</x:v>
      </x:c>
      <x:c r="B540" s="75" t="str">
        <x:v>Dividend yield</x:v>
      </x:c>
      <x:c r="C540" s="75" t="str">
        <x:v>FY2021</x:v>
      </x:c>
      <x:c r="D540" s="160" t="n">
        <x:v>0</x:v>
      </x:c>
      <x:c r="E540" s="160" t="n">
        <x:f>KOHC!D173</x:f>
        <x:v>0</x:v>
      </x:c>
      <x:c r="F540" s="160" t="n">
        <x:f>KOHC!D131/KOHC!D130</x:f>
        <x:v>0</x:v>
      </x:c>
      <x:c r="G540" s="163" t="str">
        <x:v>DPS / price or signed EPS</x:v>
      </x:c>
      <x:c r="H540" s="163" t="str">
        <x:f>IF(ROUND(D540,O540)=ROUND(F540,O540),"Reproduced to precision","Unresolved published value")</x:f>
        <x:v>Reproduced to precision</x:v>
      </x:c>
      <x:c r="I540" s="163" t="str">
        <x:v>No dividends in official six-year table. Genuine numeric zero, rather than missing data. FY2025 table no longer prints these two ratios; its zero DPS still supports model zero.</x:v>
      </x:c>
      <x:c r="J540" s="163" t="str">
        <x:v>FY2024 AR PDF p43 Key financial data</x:v>
      </x:c>
      <x:c r="K540" s="163" t="str">
        <x:v>Added source comparison</x:v>
      </x:c>
      <x:c r="L540" s="163" t="str">
        <x:v>Zero dividends confirmed from official table</x:v>
      </x:c>
      <x:c r="M540" s="75" t="n">
        <x:f>IF(ISNUMBER(E540),E540-D540,"n/m")</x:f>
        <x:v>0</x:v>
      </x:c>
      <x:c r="N540" s="75" t="n">
        <x:f>F540-D540</x:f>
        <x:v>0</x:v>
      </x:c>
      <x:c r="O540" s="75" t="n">
        <x:v>4</x:v>
      </x:c>
    </x:row>
    <x:row r="541">
      <x:c r="A541" s="75" t="str">
        <x:v>KOHC</x:v>
      </x:c>
      <x:c r="B541" s="75" t="str">
        <x:v>Dividend yield</x:v>
      </x:c>
      <x:c r="C541" s="75" t="str">
        <x:v>FY2022</x:v>
      </x:c>
      <x:c r="D541" s="160" t="n">
        <x:v>0</x:v>
      </x:c>
      <x:c r="E541" s="160" t="n">
        <x:f>KOHC!E173</x:f>
        <x:v>0</x:v>
      </x:c>
      <x:c r="F541" s="160" t="n">
        <x:f>KOHC!E131/KOHC!E130</x:f>
        <x:v>0</x:v>
      </x:c>
      <x:c r="G541" s="163" t="str">
        <x:v>DPS / price or signed EPS</x:v>
      </x:c>
      <x:c r="H541" s="163" t="str">
        <x:f>IF(ROUND(D541,O541)=ROUND(F541,O541),"Reproduced to precision","Unresolved published value")</x:f>
        <x:v>Reproduced to precision</x:v>
      </x:c>
      <x:c r="I541" s="163" t="str">
        <x:v>No dividends in official six-year table. Genuine numeric zero, rather than missing data. FY2025 table no longer prints these two ratios; its zero DPS still supports model zero.</x:v>
      </x:c>
      <x:c r="J541" s="163" t="str">
        <x:v>FY2024 AR PDF p43 Key financial data</x:v>
      </x:c>
      <x:c r="K541" s="163" t="str">
        <x:v>Added source comparison</x:v>
      </x:c>
      <x:c r="L541" s="163" t="str">
        <x:v>Zero dividends confirmed from official table</x:v>
      </x:c>
      <x:c r="M541" s="75" t="n">
        <x:f>IF(ISNUMBER(E541),E541-D541,"n/m")</x:f>
        <x:v>0</x:v>
      </x:c>
      <x:c r="N541" s="75" t="n">
        <x:f>F541-D541</x:f>
        <x:v>0</x:v>
      </x:c>
      <x:c r="O541" s="75" t="n">
        <x:v>4</x:v>
      </x:c>
    </x:row>
    <x:row r="542">
      <x:c r="A542" s="75" t="str">
        <x:v>KOHC</x:v>
      </x:c>
      <x:c r="B542" s="75" t="str">
        <x:v>Dividend yield</x:v>
      </x:c>
      <x:c r="C542" s="75" t="str">
        <x:v>FY2023</x:v>
      </x:c>
      <x:c r="D542" s="160" t="n">
        <x:v>0</x:v>
      </x:c>
      <x:c r="E542" s="160" t="n">
        <x:f>KOHC!F173</x:f>
        <x:v>0</x:v>
      </x:c>
      <x:c r="F542" s="160" t="n">
        <x:f>KOHC!F131/KOHC!F130</x:f>
        <x:v>0</x:v>
      </x:c>
      <x:c r="G542" s="163" t="str">
        <x:v>DPS / price or signed EPS</x:v>
      </x:c>
      <x:c r="H542" s="163" t="str">
        <x:f>IF(ROUND(D542,O542)=ROUND(F542,O542),"Reproduced to precision","Unresolved published value")</x:f>
        <x:v>Reproduced to precision</x:v>
      </x:c>
      <x:c r="I542" s="163" t="str">
        <x:v>No dividends in official six-year table. Genuine numeric zero, rather than missing data. FY2025 table no longer prints these two ratios; its zero DPS still supports model zero.</x:v>
      </x:c>
      <x:c r="J542" s="163" t="str">
        <x:v>FY2024 AR PDF p43 Key financial data</x:v>
      </x:c>
      <x:c r="K542" s="163" t="str">
        <x:v>Added source comparison</x:v>
      </x:c>
      <x:c r="L542" s="163" t="str">
        <x:v>Zero dividends confirmed from official table</x:v>
      </x:c>
      <x:c r="M542" s="75" t="n">
        <x:f>IF(ISNUMBER(E542),E542-D542,"n/m")</x:f>
        <x:v>0</x:v>
      </x:c>
      <x:c r="N542" s="75" t="n">
        <x:f>F542-D542</x:f>
        <x:v>0</x:v>
      </x:c>
      <x:c r="O542" s="75" t="n">
        <x:v>4</x:v>
      </x:c>
    </x:row>
    <x:row r="543">
      <x:c r="A543" s="75" t="str">
        <x:v>KOHC</x:v>
      </x:c>
      <x:c r="B543" s="75" t="str">
        <x:v>Dividend yield</x:v>
      </x:c>
      <x:c r="C543" s="75" t="str">
        <x:v>FY2024</x:v>
      </x:c>
      <x:c r="D543" s="160" t="n">
        <x:v>0</x:v>
      </x:c>
      <x:c r="E543" s="160" t="n">
        <x:f>KOHC!G173</x:f>
        <x:v>0</x:v>
      </x:c>
      <x:c r="F543" s="160" t="n">
        <x:f>KOHC!G131/KOHC!G130</x:f>
        <x:v>0</x:v>
      </x:c>
      <x:c r="G543" s="163" t="str">
        <x:v>DPS / price or signed EPS</x:v>
      </x:c>
      <x:c r="H543" s="163" t="str">
        <x:f>IF(ROUND(D543,O543)=ROUND(F543,O543),"Reproduced to precision","Unresolved published value")</x:f>
        <x:v>Reproduced to precision</x:v>
      </x:c>
      <x:c r="I543" s="163" t="str">
        <x:v>No dividends in official six-year table. Genuine numeric zero, rather than missing data. FY2025 table no longer prints these two ratios; its zero DPS still supports model zero.</x:v>
      </x:c>
      <x:c r="J543" s="163" t="str">
        <x:v>FY2024 AR PDF p43 Key financial data</x:v>
      </x:c>
      <x:c r="K543" s="163" t="str">
        <x:v>Added source comparison</x:v>
      </x:c>
      <x:c r="L543" s="163" t="str">
        <x:v>Zero dividends confirmed from official table</x:v>
      </x:c>
      <x:c r="M543" s="75" t="n">
        <x:f>IF(ISNUMBER(E543),E543-D543,"n/m")</x:f>
        <x:v>0</x:v>
      </x:c>
      <x:c r="N543" s="75" t="n">
        <x:f>F543-D543</x:f>
        <x:v>0</x:v>
      </x:c>
      <x:c r="O543" s="75" t="n">
        <x:v>4</x:v>
      </x:c>
    </x:row>
    <x:row r="544">
      <x:c r="A544" s="75" t="str">
        <x:v>KOHC</x:v>
      </x:c>
      <x:c r="B544" s="75" t="str">
        <x:v>Dividend payout ratio</x:v>
      </x:c>
      <x:c r="C544" s="75" t="str">
        <x:v>FY2021</x:v>
      </x:c>
      <x:c r="D544" s="160" t="n">
        <x:v>0</x:v>
      </x:c>
      <x:c r="E544" s="160" t="n">
        <x:f>KOHC!D174</x:f>
        <x:v>0</x:v>
      </x:c>
      <x:c r="F544" s="160" t="n">
        <x:f>KOHC!D131/(KOHC!D99/KOHC!D129)</x:f>
        <x:v>0</x:v>
      </x:c>
      <x:c r="G544" s="163" t="str">
        <x:v>DPS / price or signed EPS</x:v>
      </x:c>
      <x:c r="H544" s="163" t="str">
        <x:f>IF(ROUND(D544,O544)=ROUND(F544,O544),"Reproduced to precision","Unresolved published value")</x:f>
        <x:v>Reproduced to precision</x:v>
      </x:c>
      <x:c r="I544" s="163" t="str">
        <x:v>No dividends in official six-year table. Genuine numeric zero, rather than missing data. FY2025 table no longer prints these two ratios; its zero DPS still supports model zero.</x:v>
      </x:c>
      <x:c r="J544" s="163" t="str">
        <x:v>FY2024 AR PDF p43 Key financial data</x:v>
      </x:c>
      <x:c r="K544" s="163" t="str">
        <x:v>Added source comparison</x:v>
      </x:c>
      <x:c r="L544" s="163" t="str">
        <x:v>Zero dividends confirmed from official table</x:v>
      </x:c>
      <x:c r="M544" s="75" t="n">
        <x:f>IF(ISNUMBER(E544),E544-D544,"n/m")</x:f>
        <x:v>0</x:v>
      </x:c>
      <x:c r="N544" s="75" t="n">
        <x:f>F544-D544</x:f>
        <x:v>0</x:v>
      </x:c>
      <x:c r="O544" s="75" t="n">
        <x:v>4</x:v>
      </x:c>
    </x:row>
    <x:row r="545">
      <x:c r="A545" s="75" t="str">
        <x:v>KOHC</x:v>
      </x:c>
      <x:c r="B545" s="75" t="str">
        <x:v>Dividend payout ratio</x:v>
      </x:c>
      <x:c r="C545" s="75" t="str">
        <x:v>FY2022</x:v>
      </x:c>
      <x:c r="D545" s="160" t="n">
        <x:v>0</x:v>
      </x:c>
      <x:c r="E545" s="160" t="n">
        <x:f>KOHC!E174</x:f>
        <x:v>0</x:v>
      </x:c>
      <x:c r="F545" s="160" t="n">
        <x:f>KOHC!E131/(KOHC!E99/KOHC!E129)</x:f>
        <x:v>0</x:v>
      </x:c>
      <x:c r="G545" s="163" t="str">
        <x:v>DPS / price or signed EPS</x:v>
      </x:c>
      <x:c r="H545" s="163" t="str">
        <x:f>IF(ROUND(D545,O545)=ROUND(F545,O545),"Reproduced to precision","Unresolved published value")</x:f>
        <x:v>Reproduced to precision</x:v>
      </x:c>
      <x:c r="I545" s="163" t="str">
        <x:v>No dividends in official six-year table. Genuine numeric zero, rather than missing data. FY2025 table no longer prints these two ratios; its zero DPS still supports model zero.</x:v>
      </x:c>
      <x:c r="J545" s="163" t="str">
        <x:v>FY2024 AR PDF p43 Key financial data</x:v>
      </x:c>
      <x:c r="K545" s="163" t="str">
        <x:v>Added source comparison</x:v>
      </x:c>
      <x:c r="L545" s="163" t="str">
        <x:v>Zero dividends confirmed from official table</x:v>
      </x:c>
      <x:c r="M545" s="75" t="n">
        <x:f>IF(ISNUMBER(E545),E545-D545,"n/m")</x:f>
        <x:v>0</x:v>
      </x:c>
      <x:c r="N545" s="75" t="n">
        <x:f>F545-D545</x:f>
        <x:v>0</x:v>
      </x:c>
      <x:c r="O545" s="75" t="n">
        <x:v>4</x:v>
      </x:c>
    </x:row>
    <x:row r="546">
      <x:c r="A546" s="75" t="str">
        <x:v>KOHC</x:v>
      </x:c>
      <x:c r="B546" s="75" t="str">
        <x:v>Dividend payout ratio</x:v>
      </x:c>
      <x:c r="C546" s="75" t="str">
        <x:v>FY2023</x:v>
      </x:c>
      <x:c r="D546" s="160" t="n">
        <x:v>0</x:v>
      </x:c>
      <x:c r="E546" s="160" t="n">
        <x:f>KOHC!F174</x:f>
        <x:v>0</x:v>
      </x:c>
      <x:c r="F546" s="160" t="n">
        <x:f>KOHC!F131/(KOHC!F99/KOHC!F129)</x:f>
        <x:v>0</x:v>
      </x:c>
      <x:c r="G546" s="163" t="str">
        <x:v>DPS / price or signed EPS</x:v>
      </x:c>
      <x:c r="H546" s="163" t="str">
        <x:f>IF(ROUND(D546,O546)=ROUND(F546,O546),"Reproduced to precision","Unresolved published value")</x:f>
        <x:v>Reproduced to precision</x:v>
      </x:c>
      <x:c r="I546" s="163" t="str">
        <x:v>No dividends in official six-year table. Genuine numeric zero, rather than missing data. FY2025 table no longer prints these two ratios; its zero DPS still supports model zero.</x:v>
      </x:c>
      <x:c r="J546" s="163" t="str">
        <x:v>FY2024 AR PDF p43 Key financial data</x:v>
      </x:c>
      <x:c r="K546" s="163" t="str">
        <x:v>Added source comparison</x:v>
      </x:c>
      <x:c r="L546" s="163" t="str">
        <x:v>Zero dividends confirmed from official table</x:v>
      </x:c>
      <x:c r="M546" s="75" t="n">
        <x:f>IF(ISNUMBER(E546),E546-D546,"n/m")</x:f>
        <x:v>0</x:v>
      </x:c>
      <x:c r="N546" s="75" t="n">
        <x:f>F546-D546</x:f>
        <x:v>0</x:v>
      </x:c>
      <x:c r="O546" s="75" t="n">
        <x:v>4</x:v>
      </x:c>
    </x:row>
    <x:row r="547">
      <x:c r="A547" s="75" t="str">
        <x:v>KOHC</x:v>
      </x:c>
      <x:c r="B547" s="75" t="str">
        <x:v>Dividend payout ratio</x:v>
      </x:c>
      <x:c r="C547" s="75" t="str">
        <x:v>FY2024</x:v>
      </x:c>
      <x:c r="D547" s="160" t="n">
        <x:v>0</x:v>
      </x:c>
      <x:c r="E547" s="160" t="n">
        <x:f>KOHC!G174</x:f>
        <x:v>0</x:v>
      </x:c>
      <x:c r="F547" s="160" t="n">
        <x:f>KOHC!G131/(KOHC!G99/KOHC!G129)</x:f>
        <x:v>0</x:v>
      </x:c>
      <x:c r="G547" s="163" t="str">
        <x:v>DPS / price or signed EPS</x:v>
      </x:c>
      <x:c r="H547" s="163" t="str">
        <x:f>IF(ROUND(D547,O547)=ROUND(F547,O547),"Reproduced to precision","Unresolved published value")</x:f>
        <x:v>Reproduced to precision</x:v>
      </x:c>
      <x:c r="I547" s="163" t="str">
        <x:v>No dividends in official six-year table. Genuine numeric zero, rather than missing data. FY2025 table no longer prints these two ratios; its zero DPS still supports model zero.</x:v>
      </x:c>
      <x:c r="J547" s="163" t="str">
        <x:v>FY2024 AR PDF p43 Key financial data</x:v>
      </x:c>
      <x:c r="K547" s="163" t="str">
        <x:v>Added source comparison</x:v>
      </x:c>
      <x:c r="L547" s="163" t="str">
        <x:v>Zero dividends confirmed from official table</x:v>
      </x:c>
      <x:c r="M547" s="75" t="n">
        <x:f>IF(ISNUMBER(E547),E547-D547,"n/m")</x:f>
        <x:v>0</x:v>
      </x:c>
      <x:c r="N547" s="75" t="n">
        <x:f>F547-D547</x:f>
        <x:v>0</x:v>
      </x:c>
      <x:c r="O547" s="75" t="n">
        <x:v>4</x:v>
      </x:c>
    </x:row>
    <x:row r="548">
      <x:c r="A548" s="75" t="str">
        <x:v>FCCL</x:v>
      </x:c>
      <x:c r="B548" s="75" t="str">
        <x:v>Return on assets (DuPont graphic)</x:v>
      </x:c>
      <x:c r="C548" s="75" t="str">
        <x:v>FY2025</x:v>
      </x:c>
      <x:c r="D548" s="160" t="n">
        <x:v>0.0825</x:v>
      </x:c>
      <x:c r="E548" s="160" t="n">
        <x:f>FCCL!H164</x:f>
        <x:v>0.08639871390662689</x:v>
      </x:c>
      <x:c r="F548" s="160" t="n">
        <x:f>ROUND(FCCL!H99/FCCL!H84,2)*ROUND(FCCL!H84/FCCL!H37,2)</x:f>
        <x:v>0.0825</x:v>
      </x:c>
      <x:c r="G548" s="163" t="str">
        <x:v>Product of rounded15% net margin and55% closing-asset turnover</x:v>
      </x:c>
      <x:c r="H548" s="163" t="str">
        <x:f>IF(ROUND(D548,O548)=ROUND(F548,O548),"Reproduced to precision","Unresolved published value")</x:f>
        <x:v>Reproduced to precision</x:v>
      </x:c>
      <x:c r="I548" s="163" t="str">
        <x:v>Visual inspection of official DuPont graphic PDF p213 confirms8.25%=15% x55%. The two factors are rounded to whole percentages; direct unrounded PAT/closing assets would be8.28%. Standardized ROA uses average assets without intermediate rounding.</x:v>
      </x:c>
      <x:c r="J548" s="163" t="str">
        <x:v>FY2025 AR PDF p213 DuPont graphic</x:v>
      </x:c>
      <x:c r="K548" s="163" t="str">
        <x:v>Added source comparison</x:v>
      </x:c>
      <x:c r="L548" s="163" t="str">
        <x:v>Published intermediate-rounding convention (official graphic)</x:v>
      </x:c>
      <x:c r="M548" s="75" t="n">
        <x:f>IF(ISNUMBER(E548),E548-D548,"n/m")</x:f>
        <x:v>0.0038987139066268828</x:v>
      </x:c>
      <x:c r="N548" s="75" t="n">
        <x:f>F548-D548</x:f>
        <x:v>0</x:v>
      </x:c>
      <x:c r="O548" s="75" t="n">
        <x:v>4</x:v>
      </x:c>
    </x:row>
  </x:sheetData>
  <x:pageMargins left="0.7" right="0.7" top="0.75" bottom="0.75" header="0.3" footer="0.3"/>
</x:worksheet>
</file>

<file path=xl/worksheets/sheet3.xml><?xml version="1.0" encoding="utf-8"?>
<x:worksheet xmlns:x="http://schemas.openxmlformats.org/spreadsheetml/2006/main">
  <x:sheetPr>
    <x:tabColor rgb="FF1F3864"/>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92" t="s">
        <x:v>79</x:v>
      </x:c>
      <x:c r="B1" s="193"/>
    </x:row>
    <x:row r="2" ht="15" hidden="0">
      <x:c r="A2" s="194" t="s">
        <x:v>80</x:v>
      </x:c>
      <x:c r="B2" s="193"/>
    </x:row>
    <x:row r="3" ht="15" hidden="0">
      <x:c r="A3" s="195" t="s">
        <x:v>81</x:v>
      </x:c>
      <x:c r="B3" s="193"/>
    </x:row>
    <x:row r="4">
      <x:c r="A4" s="193"/>
      <x:c r="B4" s="193"/>
    </x:row>
    <x:row r="5" ht="15" hidden="0">
      <x:c r="A5" s="196" t="s">
        <x:v>82</x:v>
      </x:c>
      <x:c r="B5" s="197"/>
      <x:c r="C5" s="20"/>
      <x:c r="D5" s="20"/>
      <x:c r="E5" s="20"/>
      <x:c r="F5" s="20"/>
      <x:c r="G5" s="20"/>
      <x:c r="H5" s="20"/>
      <x:c r="I5" s="20"/>
      <x:c r="J5" s="20"/>
    </x:row>
    <x:row r="6" ht="15" hidden="0" customHeight="1">
      <x:c r="A6" s="198" t="s">
        <x:v>18</x:v>
      </x:c>
      <x:c r="B6" s="199" t="s">
        <x:v>25</x:v>
      </x:c>
      <x:c r="C6" s="21"/>
      <x:c r="D6" s="21"/>
      <x:c r="E6" s="21"/>
      <x:c r="F6" s="21"/>
      <x:c r="G6" s="21"/>
      <x:c r="H6" s="21"/>
      <x:c r="I6" s="21"/>
      <x:c r="J6" s="21"/>
    </x:row>
    <x:row r="7" ht="15" hidden="0" customHeight="1">
      <x:c r="A7" s="198" t="s">
        <x:v>83</x:v>
      </x:c>
      <x:c r="B7" s="199" t="s">
        <x:v>24</x:v>
      </x:c>
      <x:c r="C7" s="21"/>
      <x:c r="D7" s="21"/>
      <x:c r="E7" s="21"/>
      <x:c r="F7" s="21"/>
      <x:c r="G7" s="21"/>
      <x:c r="H7" s="21"/>
      <x:c r="I7" s="21"/>
      <x:c r="J7" s="21"/>
    </x:row>
    <x:row r="8" ht="15" hidden="0" customHeight="1">
      <x:c r="A8" s="198" t="s">
        <x:v>84</x:v>
      </x:c>
      <x:c r="B8" s="199" t="s">
        <x:v>11</x:v>
      </x:c>
      <x:c r="C8" s="21"/>
      <x:c r="D8" s="21"/>
      <x:c r="E8" s="21"/>
      <x:c r="F8" s="21"/>
      <x:c r="G8" s="21"/>
      <x:c r="H8" s="21"/>
      <x:c r="I8" s="21"/>
      <x:c r="J8" s="21"/>
    </x:row>
    <x:row r="9" ht="15" hidden="0" customHeight="1">
      <x:c r="A9" s="198" t="s">
        <x:v>85</x:v>
      </x:c>
      <x:c r="B9" s="199" t="s">
        <x:v>86</x:v>
      </x:c>
      <x:c r="C9" s="21"/>
      <x:c r="D9" s="21"/>
      <x:c r="E9" s="21"/>
      <x:c r="F9" s="21"/>
      <x:c r="G9" s="21"/>
      <x:c r="H9" s="21"/>
      <x:c r="I9" s="21"/>
      <x:c r="J9" s="21"/>
    </x:row>
    <x:row r="10" ht="15" hidden="0" customHeight="1">
      <x:c r="A10" s="198" t="s">
        <x:v>87</x:v>
      </x:c>
      <x:c r="B10" s="199" t="s">
        <x:v>88</x:v>
      </x:c>
      <x:c r="C10" s="21"/>
      <x:c r="D10" s="21"/>
      <x:c r="E10" s="21"/>
      <x:c r="F10" s="21"/>
      <x:c r="G10" s="21"/>
      <x:c r="H10" s="21"/>
      <x:c r="I10" s="21"/>
      <x:c r="J10" s="21"/>
    </x:row>
    <x:row r="11" ht="15" hidden="0" customHeight="1">
      <x:c r="A11" s="198" t="s">
        <x:v>89</x:v>
      </x:c>
      <x:c r="B11" s="199" t="s">
        <x:v>90</x:v>
      </x:c>
      <x:c r="C11" s="21"/>
      <x:c r="D11" s="21"/>
      <x:c r="E11" s="21"/>
      <x:c r="F11" s="21"/>
      <x:c r="G11" s="21"/>
      <x:c r="H11" s="21"/>
      <x:c r="I11" s="21"/>
      <x:c r="J11" s="21"/>
    </x:row>
    <x:row r="12" ht="27.75" hidden="0" customHeight="1">
      <x:c r="A12" s="198" t="s">
        <x:v>91</x:v>
      </x:c>
      <x:c r="B12" s="199" t="s">
        <x:v>92</x:v>
      </x:c>
      <x:c r="C12" s="21"/>
      <x:c r="D12" s="21"/>
      <x:c r="E12" s="21"/>
      <x:c r="F12" s="21"/>
      <x:c r="G12" s="21"/>
      <x:c r="H12" s="21"/>
      <x:c r="I12" s="21"/>
      <x:c r="J12" s="21"/>
    </x:row>
    <x:row r="13" ht="27.75" hidden="0" customHeight="1">
      <x:c r="A13" s="198" t="s">
        <x:v>93</x:v>
      </x:c>
      <x:c r="B13" s="199" t="s">
        <x:v>94</x:v>
      </x:c>
      <x:c r="C13" s="21"/>
      <x:c r="D13" s="21"/>
      <x:c r="E13" s="21"/>
      <x:c r="F13" s="21"/>
      <x:c r="G13" s="21"/>
      <x:c r="H13" s="21"/>
      <x:c r="I13" s="21"/>
      <x:c r="J13" s="21"/>
    </x:row>
    <x:row r="14" ht="27.75" hidden="0" customHeight="1">
      <x:c r="A14" s="198" t="s">
        <x:v>95</x:v>
      </x:c>
      <x:c r="B14" s="199"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198" t="s">
        <x:v>96</x:v>
      </x:c>
      <x:c r="B15" s="199" t="s">
        <x:v>97</x:v>
      </x:c>
      <x:c r="C15" s="21"/>
      <x:c r="D15" s="21"/>
      <x:c r="E15" s="21"/>
      <x:c r="F15" s="21"/>
      <x:c r="G15" s="21"/>
      <x:c r="H15" s="21"/>
      <x:c r="I15" s="21"/>
      <x:c r="J15" s="21"/>
    </x:row>
    <x:row r="16">
      <x:c r="A16" s="193"/>
      <x:c r="B16" s="193"/>
    </x:row>
    <x:row r="17" ht="15" hidden="0">
      <x:c r="A17" s="200" t="s">
        <x:v>98</x:v>
      </x:c>
      <x:c r="B17" s="200" t="s">
        <x:v>99</x:v>
      </x:c>
      <x:c r="C17" s="23" t="s">
        <x:v>100</x:v>
      </x:c>
      <x:c r="D17" s="23" t="s">
        <x:v>101</x:v>
      </x:c>
      <x:c r="E17" s="23" t="s">
        <x:v>102</x:v>
      </x:c>
      <x:c r="F17" s="23" t="s">
        <x:v>103</x:v>
      </x:c>
      <x:c r="G17" s="23" t="s">
        <x:v>104</x:v>
      </x:c>
      <x:c r="H17" s="23" t="s">
        <x:v>105</x:v>
      </x:c>
      <x:c r="I17" s="23" t="s">
        <x:v>70</x:v>
      </x:c>
      <x:c r="J17" s="23" t="s">
        <x:v>106</x:v>
      </x:c>
    </x:row>
    <x:row r="18" ht="15" hidden="0">
      <x:c r="A18" s="196" t="s">
        <x:v>107</x:v>
      </x:c>
      <x:c r="B18" s="197"/>
      <x:c r="C18" s="20"/>
      <x:c r="D18" s="20"/>
      <x:c r="E18" s="20"/>
      <x:c r="F18" s="20"/>
      <x:c r="G18" s="20"/>
      <x:c r="H18" s="20"/>
      <x:c r="I18" s="20"/>
      <x:c r="J18" s="20"/>
    </x:row>
    <x:row r="19" ht="15" hidden="0">
      <x:c r="A19" s="201" t="s">
        <x:v>108</x:v>
      </x:c>
      <x:c r="B19" s="202"/>
      <x:c r="C19" s="25"/>
      <x:c r="D19" s="25"/>
      <x:c r="E19" s="25"/>
      <x:c r="F19" s="25"/>
      <x:c r="G19" s="25"/>
      <x:c r="H19" s="25"/>
      <x:c r="I19" s="25"/>
      <x:c r="J19" s="25"/>
    </x:row>
    <x:row r="20" ht="15" hidden="0">
      <x:c r="A20" s="193" t="s">
        <x:v>109</x:v>
      </x:c>
      <x:c r="B20" s="195" t="s">
        <x:v>110</x:v>
      </x:c>
      <x:c r="C20" s="26" t="n">
        <x:v>22777.666271</x:v>
      </x:c>
      <x:c r="D20" s="26" t="n">
        <x:v>22027.544913</x:v>
      </x:c>
      <x:c r="E20" s="26" t="n">
        <x:v>21331.296362</x:v>
      </x:c>
      <x:c r="F20" s="26" t="n">
        <x:v>22229.434463</x:v>
      </x:c>
      <x:c r="G20" s="26" t="n">
        <x:v>22156.640533</x:v>
      </x:c>
      <x:c r="H20" s="26" t="n">
        <x:v>23359.980509</x:v>
      </x:c>
      <x:c r="I20" s="9" t="s">
        <x:v>111</x:v>
      </x:c>
    </x:row>
    <x:row r="21" ht="15" hidden="0">
      <x:c r="A21" s="193" t="s">
        <x:v>112</x:v>
      </x:c>
      <x:c r="B21" s="195" t="s">
        <x:v>113</x:v>
      </x:c>
      <x:c r="C21" s="26" t="n">
        <x:v>164.578022</x:v>
      </x:c>
      <x:c r="D21" s="26" t="n">
        <x:v>273.939559</x:v>
      </x:c>
      <x:c r="E21" s="26" t="n">
        <x:v>130.897947</x:v>
      </x:c>
      <x:c r="F21" s="26" t="n">
        <x:v>1943.019581</x:v>
      </x:c>
      <x:c r="G21" s="26" t="n">
        <x:v>999.326605</x:v>
      </x:c>
      <x:c r="H21" s="26" t="n">
        <x:v>2486.634755</x:v>
      </x:c>
      <x:c r="I21" s="9" t="s">
        <x:v>111</x:v>
      </x:c>
    </x:row>
    <x:row r="22" ht="15" hidden="0">
      <x:c r="A22" s="193" t="s">
        <x:v>114</x:v>
      </x:c>
      <x:c r="B22" s="195" t="s">
        <x:v>115</x:v>
      </x:c>
      <x:c r="C22" s="27" t="n">
        <x:f aca="0">C20-C21</x:f>
        <x:v>22613.088248999997</x:v>
      </x:c>
      <x:c r="D22" s="27" t="n">
        <x:f aca="0">D20-D21</x:f>
        <x:v>21753.605354000003</x:v>
      </x:c>
      <x:c r="E22" s="27" t="n">
        <x:f aca="0">E20-E21</x:f>
        <x:v>21200.398415</x:v>
      </x:c>
      <x:c r="F22" s="27" t="n">
        <x:f aca="0">F20-F21</x:f>
        <x:v>20286.414882</x:v>
      </x:c>
      <x:c r="G22" s="27" t="n">
        <x:f aca="0">G20-G21</x:f>
        <x:v>21157.313928000003</x:v>
      </x:c>
      <x:c r="H22" s="27" t="n">
        <x:f aca="0">H20-H21</x:f>
        <x:v>20873.345754</x:v>
      </x:c>
      <x:c r="I22" s="9" t="s">
        <x:v>111</x:v>
      </x:c>
    </x:row>
    <x:row r="23" ht="15" hidden="0">
      <x:c r="A23" s="193" t="s">
        <x:v>116</x:v>
      </x:c>
      <x:c r="B23" s="195" t="s">
        <x:v>117</x:v>
      </x:c>
      <x:c r="C23" s="26" t="n">
        <x:v>0</x:v>
      </x:c>
      <x:c r="D23" s="26" t="n">
        <x:v>0</x:v>
      </x:c>
      <x:c r="E23" s="26" t="n">
        <x:v>0</x:v>
      </x:c>
      <x:c r="F23" s="26" t="n">
        <x:v>0</x:v>
      </x:c>
      <x:c r="G23" s="26" t="n">
        <x:v>0</x:v>
      </x:c>
      <x:c r="H23" s="26" t="n">
        <x:v>0</x:v>
      </x:c>
      <x:c r="I23" s="9" t="s">
        <x:v>111</x:v>
      </x:c>
    </x:row>
    <x:row r="24" ht="15" hidden="0">
      <x:c r="A24" s="193" t="s">
        <x:v>118</x:v>
      </x:c>
      <x:c r="B24" s="195" t="s">
        <x:v>119</x:v>
      </x:c>
      <x:c r="C24" s="26" t="n">
        <x:v>11.210982</x:v>
      </x:c>
      <x:c r="D24" s="26" t="n">
        <x:v>6.725911</x:v>
      </x:c>
      <x:c r="E24" s="26" t="n">
        <x:v>2.701357</x:v>
      </x:c>
      <x:c r="F24" s="26" t="n">
        <x:v>1.567709</x:v>
      </x:c>
      <x:c r="G24" s="26" t="n">
        <x:v>0.508226</x:v>
      </x:c>
      <x:c r="H24" s="26" t="n">
        <x:v>0.259742</x:v>
      </x:c>
      <x:c r="I24" s="9" t="s">
        <x:v>111</x:v>
      </x:c>
    </x:row>
    <x:row r="25" ht="15" hidden="0">
      <x:c r="A25" s="193" t="s">
        <x:v>120</x:v>
      </x:c>
      <x:c r="B25" s="195" t="s">
        <x:v>121</x:v>
      </x:c>
      <x:c r="C25" s="26" t="n">
        <x:v>3691.839635</x:v>
      </x:c>
      <x:c r="D25" s="26" t="n">
        <x:v>4134.086159</x:v>
      </x:c>
      <x:c r="E25" s="26" t="n">
        <x:v>4134.255209</x:v>
      </x:c>
      <x:c r="F25" s="26" t="n">
        <x:v>4324.910743</x:v>
      </x:c>
      <x:c r="G25" s="26" t="n">
        <x:v>4326.361559</x:v>
      </x:c>
      <x:c r="H25" s="26" t="n">
        <x:v>4326.361559</x:v>
      </x:c>
      <x:c r="I25" s="9" t="s">
        <x:v>111</x:v>
      </x:c>
    </x:row>
    <x:row r="26" ht="15" hidden="0">
      <x:c r="A26" s="193" t="s">
        <x:v>122</x:v>
      </x:c>
      <x:c r="B26" s="195" t="s">
        <x:v>123</x:v>
      </x:c>
      <x:c r="C26" s="26" t="n">
        <x:v>0</x:v>
      </x:c>
      <x:c r="D26" s="26" t="n">
        <x:v>0</x:v>
      </x:c>
      <x:c r="E26" s="26" t="n">
        <x:v>0</x:v>
      </x:c>
      <x:c r="F26" s="26" t="n">
        <x:v>0</x:v>
      </x:c>
      <x:c r="G26" s="26" t="n">
        <x:v>0</x:v>
      </x:c>
      <x:c r="H26" s="26" t="n">
        <x:v>0</x:v>
      </x:c>
      <x:c r="I26" s="9" t="s">
        <x:v>111</x:v>
      </x:c>
    </x:row>
    <x:row r="27" ht="15" hidden="0">
      <x:c r="A27" s="193" t="s">
        <x:v>124</x:v>
      </x:c>
      <x:c r="B27" s="195" t="s">
        <x:v>125</x:v>
      </x:c>
      <x:c r="C27" s="26" t="n">
        <x:v>38.32664</x:v>
      </x:c>
      <x:c r="D27" s="26" t="n">
        <x:v>69.76574</x:v>
      </x:c>
      <x:c r="E27" s="26" t="n">
        <x:v>106.583469</x:v>
      </x:c>
      <x:c r="F27" s="26" t="n">
        <x:v>60.785981</x:v>
      </x:c>
      <x:c r="G27" s="26" t="n">
        <x:v>147.388106</x:v>
      </x:c>
      <x:c r="H27" s="26" t="n">
        <x:v>492.917464</x:v>
      </x:c>
      <x:c r="I27" s="9" t="s">
        <x:v>111</x:v>
      </x:c>
    </x:row>
    <x:row r="28" ht="15" hidden="0">
      <x:c r="A28" s="198" t="s">
        <x:v>126</x:v>
      </x:c>
      <x:c r="B28" s="195" t="s">
        <x:v>127</x:v>
      </x:c>
      <x:c r="C28" s="28" t="n">
        <x:f aca="0">C20+C23+C24+C25+C26+C27</x:f>
        <x:v>26519.043528</x:v>
      </x:c>
      <x:c r="D28" s="28" t="n">
        <x:f aca="0">D20+D23+D24+D25+D26+D27</x:f>
        <x:v>26238.122723000004</x:v>
      </x:c>
      <x:c r="E28" s="28" t="n">
        <x:f aca="0">E20+E23+E24+E25+E26+E27</x:f>
        <x:v>25574.836397000003</x:v>
      </x:c>
      <x:c r="F28" s="28" t="n">
        <x:f aca="0">F20+F23+F24+F25+F26+F27</x:f>
        <x:v>26616.698896</x:v>
      </x:c>
      <x:c r="G28" s="28" t="n">
        <x:f aca="0">G20+G23+G24+G25+G26+G27</x:f>
        <x:v>26630.898424000003</x:v>
      </x:c>
      <x:c r="H28" s="28" t="n">
        <x:f aca="0">H20+H23+H24+H25+H26+H27</x:f>
        <x:v>28179.519274</x:v>
      </x:c>
      <x:c r="I28" s="9" t="s">
        <x:v>111</x:v>
      </x:c>
    </x:row>
    <x:row r="29" ht="15" hidden="0">
      <x:c r="A29" s="201" t="s">
        <x:v>128</x:v>
      </x:c>
      <x:c r="B29" s="202"/>
      <x:c r="C29" s="25"/>
      <x:c r="D29" s="25"/>
      <x:c r="E29" s="25"/>
      <x:c r="F29" s="25"/>
      <x:c r="G29" s="25"/>
      <x:c r="H29" s="25"/>
      <x:c r="I29" s="25"/>
      <x:c r="J29" s="25"/>
    </x:row>
    <x:row r="30" ht="15" hidden="0">
      <x:c r="A30" s="193" t="s">
        <x:v>129</x:v>
      </x:c>
      <x:c r="B30" s="195" t="s">
        <x:v>130</x:v>
      </x:c>
      <x:c r="C30" s="26" t="n">
        <x:v>2250.156437</x:v>
      </x:c>
      <x:c r="D30" s="26" t="n">
        <x:v>3070.769101</x:v>
      </x:c>
      <x:c r="E30" s="26" t="n">
        <x:v>4214.829636</x:v>
      </x:c>
      <x:c r="F30" s="26" t="n">
        <x:v>4713.129764</x:v>
      </x:c>
      <x:c r="G30" s="26" t="n">
        <x:v>5785.683486</x:v>
      </x:c>
      <x:c r="H30" s="26" t="n">
        <x:v>4991.311475</x:v>
      </x:c>
      <x:c r="I30" s="9" t="s">
        <x:v>111</x:v>
      </x:c>
    </x:row>
    <x:row r="31" ht="15" hidden="0">
      <x:c r="A31" s="193" t="s">
        <x:v>131</x:v>
      </x:c>
      <x:c r="B31" s="195" t="s">
        <x:v>132</x:v>
      </x:c>
      <x:c r="C31" s="26" t="n">
        <x:v>1016.024223</x:v>
      </x:c>
      <x:c r="D31" s="26" t="n">
        <x:v>1112.776266</x:v>
      </x:c>
      <x:c r="E31" s="26" t="n">
        <x:v>1456.156782</x:v>
      </x:c>
      <x:c r="F31" s="26" t="n">
        <x:v>2942.861554</x:v>
      </x:c>
      <x:c r="G31" s="26" t="n">
        <x:v>1793.74244</x:v>
      </x:c>
      <x:c r="H31" s="26" t="n">
        <x:v>2513.556552</x:v>
      </x:c>
      <x:c r="I31" s="9" t="s">
        <x:v>111</x:v>
      </x:c>
    </x:row>
    <x:row r="32" ht="15" hidden="0">
      <x:c r="A32" s="193" t="s">
        <x:v>133</x:v>
      </x:c>
      <x:c r="B32" s="195" t="s">
        <x:v>134</x:v>
      </x:c>
      <x:c r="C32" s="26" t="n">
        <x:v>494.315206</x:v>
      </x:c>
      <x:c r="D32" s="26" t="n">
        <x:v>983.568223</x:v>
      </x:c>
      <x:c r="E32" s="26" t="n">
        <x:v>916.039469</x:v>
      </x:c>
      <x:c r="F32" s="26" t="n">
        <x:v>1205.553375</x:v>
      </x:c>
      <x:c r="G32" s="26" t="n">
        <x:v>2110.247902</x:v>
      </x:c>
      <x:c r="H32" s="26" t="n">
        <x:v>1692.217832</x:v>
      </x:c>
      <x:c r="I32" s="9" t="s">
        <x:v>111</x:v>
      </x:c>
    </x:row>
    <x:row r="33" ht="15" hidden="0">
      <x:c r="A33" s="193" t="s">
        <x:v>135</x:v>
      </x:c>
      <x:c r="B33" s="195" t="s">
        <x:v>136</x:v>
      </x:c>
      <x:c r="C33" s="26" t="n">
        <x:v>160.1306</x:v>
      </x:c>
      <x:c r="D33" s="26" t="n">
        <x:v>2999.496423</x:v>
      </x:c>
      <x:c r="E33" s="26" t="n">
        <x:v>10124.095693</x:v>
      </x:c>
      <x:c r="F33" s="26" t="n">
        <x:v>12335.073816</x:v>
      </x:c>
      <x:c r="G33" s="26" t="n">
        <x:v>20279.745954</x:v>
      </x:c>
      <x:c r="H33" s="26" t="n">
        <x:v>26941.632205</x:v>
      </x:c>
      <x:c r="I33" s="9" t="s">
        <x:v>111</x:v>
      </x:c>
    </x:row>
    <x:row r="34" ht="15" hidden="0">
      <x:c r="A34" s="193" t="s">
        <x:v>137</x:v>
      </x:c>
      <x:c r="B34" s="195" t="s">
        <x:v>138</x:v>
      </x:c>
      <x:c r="C34" s="26" t="n">
        <x:v>891.606087</x:v>
      </x:c>
      <x:c r="D34" s="26" t="n">
        <x:v>1197.729351</x:v>
      </x:c>
      <x:c r="E34" s="26" t="n">
        <x:v>480.765632</x:v>
      </x:c>
      <x:c r="F34" s="26" t="n">
        <x:v>933.537193</x:v>
      </x:c>
      <x:c r="G34" s="26" t="n">
        <x:v>1102.649172</x:v>
      </x:c>
      <x:c r="H34" s="26" t="n">
        <x:v>1450.702723</x:v>
      </x:c>
      <x:c r="I34" s="9" t="s">
        <x:v>111</x:v>
      </x:c>
    </x:row>
    <x:row r="35" ht="15" hidden="0">
      <x:c r="A35" s="193" t="s">
        <x:v>139</x:v>
      </x:c>
      <x:c r="B35" s="195" t="s">
        <x:v>140</x:v>
      </x:c>
      <x:c r="C35" s="26" t="n">
        <x:v>425.391226</x:v>
      </x:c>
      <x:c r="D35" s="26" t="n">
        <x:v>484.45935</x:v>
      </x:c>
      <x:c r="E35" s="26" t="n">
        <x:v>583.944235</x:v>
      </x:c>
      <x:c r="F35" s="26" t="n">
        <x:v>783.220947</x:v>
      </x:c>
      <x:c r="G35" s="26" t="n">
        <x:v>1140.327819</x:v>
      </x:c>
      <x:c r="H35" s="26" t="n">
        <x:v>1025.371707</x:v>
      </x:c>
      <x:c r="I35" s="9" t="s">
        <x:v>111</x:v>
      </x:c>
    </x:row>
    <x:row r="36" ht="15" hidden="0">
      <x:c r="A36" s="198" t="s">
        <x:v>141</x:v>
      </x:c>
      <x:c r="B36" s="195" t="s">
        <x:v>142</x:v>
      </x:c>
      <x:c r="C36" s="28" t="n">
        <x:f aca="0">C30+C31+C32+C33+C34+C35</x:f>
        <x:v>5237.623779</x:v>
      </x:c>
      <x:c r="D36" s="28" t="n">
        <x:f aca="0">D30+D31+D32+D33+D34+D35</x:f>
        <x:v>9848.798713999999</x:v>
      </x:c>
      <x:c r="E36" s="28" t="n">
        <x:f aca="0">E30+E31+E32+E33+E34+E35</x:f>
        <x:v>17775.831446999997</x:v>
      </x:c>
      <x:c r="F36" s="28" t="n">
        <x:f aca="0">F30+F31+F32+F33+F34+F35</x:f>
        <x:v>22913.376649</x:v>
      </x:c>
      <x:c r="G36" s="28" t="n">
        <x:f aca="0">G30+G31+G32+G33+G34+G35</x:f>
        <x:v>32212.396773</x:v>
      </x:c>
      <x:c r="H36" s="28" t="n">
        <x:f aca="0">H30+H31+H32+H33+H34+H35</x:f>
        <x:v>38614.792494</x:v>
      </x:c>
      <x:c r="I36" s="9" t="s">
        <x:v>111</x:v>
      </x:c>
    </x:row>
    <x:row r="37" ht="15" hidden="0">
      <x:c r="A37" s="198" t="s">
        <x:v>143</x:v>
      </x:c>
      <x:c r="B37" s="195" t="s">
        <x:v>144</x:v>
      </x:c>
      <x:c r="C37" s="28" t="n">
        <x:f aca="0">C28+C36</x:f>
        <x:v>31756.667306999996</x:v>
      </x:c>
      <x:c r="D37" s="28" t="n">
        <x:f aca="0">D28+D36</x:f>
        <x:v>36086.921437000005</x:v>
      </x:c>
      <x:c r="E37" s="28" t="n">
        <x:f aca="0">E28+E36</x:f>
        <x:v>43350.667843999996</x:v>
      </x:c>
      <x:c r="F37" s="28" t="n">
        <x:f aca="0">F28+F36</x:f>
        <x:v>49530.075545</x:v>
      </x:c>
      <x:c r="G37" s="28" t="n">
        <x:f aca="0">G28+G36</x:f>
        <x:v>58843.295197</x:v>
      </x:c>
      <x:c r="H37" s="28" t="n">
        <x:f aca="0">H28+H36</x:f>
        <x:v>66794.311768</x:v>
      </x:c>
      <x:c r="I37" s="9" t="s">
        <x:v>111</x:v>
      </x:c>
    </x:row>
    <x:row r="38" ht="15" hidden="0">
      <x:c r="A38" s="201" t="s">
        <x:v>145</x:v>
      </x:c>
      <x:c r="B38" s="202"/>
      <x:c r="C38" s="25"/>
      <x:c r="D38" s="25"/>
      <x:c r="E38" s="25"/>
      <x:c r="F38" s="25"/>
      <x:c r="G38" s="25"/>
      <x:c r="H38" s="25"/>
      <x:c r="I38" s="25"/>
      <x:c r="J38" s="25"/>
    </x:row>
    <x:row r="39" ht="15" hidden="0">
      <x:c r="A39" s="193" t="s">
        <x:v>146</x:v>
      </x:c>
      <x:c r="B39" s="195" t="s">
        <x:v>147</x:v>
      </x:c>
      <x:c r="C39" s="26" t="n">
        <x:v>2008.61297</x:v>
      </x:c>
      <x:c r="D39" s="26" t="n">
        <x:v>2008.61297</x:v>
      </x:c>
      <x:c r="E39" s="26" t="n">
        <x:v>2008.61297</x:v>
      </x:c>
      <x:c r="F39" s="26" t="n">
        <x:v>2008.61297</x:v>
      </x:c>
      <x:c r="G39" s="26" t="n">
        <x:v>1958.61297</x:v>
      </x:c>
      <x:c r="H39" s="26" t="n">
        <x:v>1838.61297</x:v>
      </x:c>
      <x:c r="I39" s="9" t="s">
        <x:v>111</x:v>
      </x:c>
    </x:row>
    <x:row r="40" ht="15" hidden="0">
      <x:c r="A40" s="193" t="s">
        <x:v>148</x:v>
      </x:c>
      <x:c r="B40" s="195" t="s">
        <x:v>149</x:v>
      </x:c>
      <x:c r="C40" s="26" t="n">
        <x:v>16718.060354</x:v>
      </x:c>
      <x:c r="D40" s="26" t="n">
        <x:v>20214.926401</x:v>
      </x:c>
      <x:c r="E40" s="26" t="n">
        <x:v>25237.607261</x:v>
      </x:c>
      <x:c r="F40" s="26" t="n">
        <x:v>30601.432002</x:v>
      </x:c>
      <x:c r="G40" s="26" t="n">
        <x:v>39131.692321</x:v>
      </x:c>
      <x:c r="H40" s="26" t="n">
        <x:v>46116.581817</x:v>
      </x:c>
      <x:c r="I40" s="9" t="s">
        <x:v>111</x:v>
      </x:c>
    </x:row>
    <x:row r="41" ht="15" hidden="0">
      <x:c r="A41" s="198" t="s">
        <x:v>150</x:v>
      </x:c>
      <x:c r="B41" s="195" t="s">
        <x:v>151</x:v>
      </x:c>
      <x:c r="C41" s="28" t="n">
        <x:f aca="0">C39+C40</x:f>
        <x:v>18726.673324</x:v>
      </x:c>
      <x:c r="D41" s="28" t="n">
        <x:f aca="0">D39+D40</x:f>
        <x:v>22223.539371</x:v>
      </x:c>
      <x:c r="E41" s="28" t="n">
        <x:f aca="0">E39+E40</x:f>
        <x:v>27246.220231</x:v>
      </x:c>
      <x:c r="F41" s="28" t="n">
        <x:f aca="0">F39+F40</x:f>
        <x:v>32610.044972</x:v>
      </x:c>
      <x:c r="G41" s="28" t="n">
        <x:f aca="0">G39+G40</x:f>
        <x:v>41090.305291000004</x:v>
      </x:c>
      <x:c r="H41" s="28" t="n">
        <x:f aca="0">H39+H40</x:f>
        <x:v>47955.194787</x:v>
      </x:c>
      <x:c r="I41" s="9" t="s">
        <x:v>111</x:v>
      </x:c>
    </x:row>
    <x:row r="42" ht="15" hidden="0">
      <x:c r="A42" s="201" t="s">
        <x:v>152</x:v>
      </x:c>
      <x:c r="B42" s="202"/>
      <x:c r="C42" s="25"/>
      <x:c r="D42" s="25"/>
      <x:c r="E42" s="25"/>
      <x:c r="F42" s="25"/>
      <x:c r="G42" s="25"/>
      <x:c r="H42" s="25"/>
      <x:c r="I42" s="25"/>
      <x:c r="J42" s="25"/>
    </x:row>
    <x:row r="43" ht="15" hidden="0">
      <x:c r="A43" s="193" t="s">
        <x:v>153</x:v>
      </x:c>
      <x:c r="B43" s="195" t="s">
        <x:v>154</x:v>
      </x:c>
      <x:c r="C43" s="26" t="n">
        <x:v>5439.226142</x:v>
      </x:c>
      <x:c r="D43" s="26" t="n">
        <x:v>4405.765306</x:v>
      </x:c>
      <x:c r="E43" s="26" t="n">
        <x:v>3179.400118</x:v>
      </x:c>
      <x:c r="F43" s="26" t="n">
        <x:v>2149.017375</x:v>
      </x:c>
      <x:c r="G43" s="26" t="n">
        <x:v>1118.642478</x:v>
      </x:c>
      <x:c r="H43" s="26" t="n">
        <x:v>1448.977799</x:v>
      </x:c>
      <x:c r="I43" s="9" t="s">
        <x:v>111</x:v>
      </x:c>
    </x:row>
    <x:row r="44" ht="15" hidden="0">
      <x:c r="A44" s="193" t="s">
        <x:v>155</x:v>
      </x:c>
      <x:c r="B44" s="195" t="s">
        <x:v>156</x:v>
      </x:c>
      <x:c r="C44" s="26" t="n">
        <x:v>0</x:v>
      </x:c>
      <x:c r="D44" s="26" t="n">
        <x:v>0</x:v>
      </x:c>
      <x:c r="E44" s="26" t="n">
        <x:v>0</x:v>
      </x:c>
      <x:c r="F44" s="26" t="n">
        <x:v>0</x:v>
      </x:c>
      <x:c r="G44" s="26" t="n">
        <x:v>0</x:v>
      </x:c>
      <x:c r="H44" s="26" t="n">
        <x:v>0</x:v>
      </x:c>
      <x:c r="I44" s="9" t="s">
        <x:v>111</x:v>
      </x:c>
    </x:row>
    <x:row r="45" ht="15" hidden="0">
      <x:c r="A45" s="193" t="s">
        <x:v>157</x:v>
      </x:c>
      <x:c r="B45" s="195" t="s">
        <x:v>158</x:v>
      </x:c>
      <x:c r="C45" s="26" t="n">
        <x:v>0</x:v>
      </x:c>
      <x:c r="D45" s="26" t="n">
        <x:v>1.328937</x:v>
      </x:c>
      <x:c r="E45" s="26" t="n">
        <x:v>0</x:v>
      </x:c>
      <x:c r="F45" s="26" t="n">
        <x:v>0</x:v>
      </x:c>
      <x:c r="G45" s="26" t="n">
        <x:v>0</x:v>
      </x:c>
      <x:c r="H45" s="26" t="n">
        <x:v>0</x:v>
      </x:c>
      <x:c r="I45" s="9" t="s">
        <x:v>111</x:v>
      </x:c>
    </x:row>
    <x:row r="46" ht="15" hidden="0">
      <x:c r="A46" s="193" t="s">
        <x:v>159</x:v>
      </x:c>
      <x:c r="B46" s="195" t="s">
        <x:v>160</x:v>
      </x:c>
      <x:c r="C46" s="26" t="n">
        <x:v>1287.942113</x:v>
      </x:c>
      <x:c r="D46" s="26" t="n">
        <x:v>1857.649347</x:v>
      </x:c>
      <x:c r="E46" s="26" t="n">
        <x:v>3407.373618</x:v>
      </x:c>
      <x:c r="F46" s="26" t="n">
        <x:v>4823.158446</x:v>
      </x:c>
      <x:c r="G46" s="26" t="n">
        <x:v>5505.823994</x:v>
      </x:c>
      <x:c r="H46" s="26" t="n">
        <x:v>5688.11604</x:v>
      </x:c>
      <x:c r="I46" s="9" t="s">
        <x:v>111</x:v>
      </x:c>
    </x:row>
    <x:row r="47" ht="15" hidden="0">
      <x:c r="A47" s="193" t="s">
        <x:v>161</x:v>
      </x:c>
      <x:c r="B47" s="195" t="s">
        <x:v>162</x:v>
      </x:c>
      <x:c r="C47" s="26" t="n">
        <x:v>23.277456</x:v>
      </x:c>
      <x:c r="D47" s="26" t="n">
        <x:v>26.394536</x:v>
      </x:c>
      <x:c r="E47" s="26" t="n">
        <x:v>29.683198</x:v>
      </x:c>
      <x:c r="F47" s="26" t="n">
        <x:v>35.383341</x:v>
      </x:c>
      <x:c r="G47" s="26" t="n">
        <x:v>32.887203</x:v>
      </x:c>
      <x:c r="H47" s="26" t="n">
        <x:v>40.322031</x:v>
      </x:c>
      <x:c r="I47" s="9" t="s">
        <x:v>111</x:v>
      </x:c>
    </x:row>
    <x:row r="48" ht="15" hidden="0">
      <x:c r="A48" s="198" t="s">
        <x:v>163</x:v>
      </x:c>
      <x:c r="B48" s="195" t="s">
        <x:v>164</x:v>
      </x:c>
      <x:c r="C48" s="28" t="n">
        <x:f aca="0">C43+C44+C45+C46+C47</x:f>
        <x:v>6750.445711</x:v>
      </x:c>
      <x:c r="D48" s="28" t="n">
        <x:f aca="0">D43+D44+D45+D46+D47</x:f>
        <x:v>6291.138126</x:v>
      </x:c>
      <x:c r="E48" s="28" t="n">
        <x:f aca="0">E43+E44+E45+E46+E47</x:f>
        <x:v>6616.456934</x:v>
      </x:c>
      <x:c r="F48" s="28" t="n">
        <x:f aca="0">F43+F44+F45+F46+F47</x:f>
        <x:v>7007.5591620000005</x:v>
      </x:c>
      <x:c r="G48" s="28" t="n">
        <x:f aca="0">G43+G44+G45+G46+G47</x:f>
        <x:v>6657.353675</x:v>
      </x:c>
      <x:c r="H48" s="28" t="n">
        <x:f aca="0">H43+H44+H45+H46+H47</x:f>
        <x:v>7177.41587</x:v>
      </x:c>
      <x:c r="I48" s="9" t="s">
        <x:v>111</x:v>
      </x:c>
    </x:row>
    <x:row r="49" ht="15" hidden="0">
      <x:c r="A49" s="201" t="s">
        <x:v>165</x:v>
      </x:c>
      <x:c r="B49" s="202"/>
      <x:c r="C49" s="25"/>
      <x:c r="D49" s="25"/>
      <x:c r="E49" s="25"/>
      <x:c r="F49" s="25"/>
      <x:c r="G49" s="25"/>
      <x:c r="H49" s="25"/>
      <x:c r="I49" s="25"/>
      <x:c r="J49" s="25"/>
    </x:row>
    <x:row r="50" ht="15" hidden="0">
      <x:c r="A50" s="193" t="s">
        <x:v>166</x:v>
      </x:c>
      <x:c r="B50" s="195" t="s">
        <x:v>167</x:v>
      </x:c>
      <x:c r="C50" s="26" t="n">
        <x:v>4293.205395</x:v>
      </x:c>
      <x:c r="D50" s="26" t="n">
        <x:v>4985.385529</x:v>
      </x:c>
      <x:c r="E50" s="26" t="n">
        <x:v>5525.221208</x:v>
      </x:c>
      <x:c r="F50" s="26" t="n">
        <x:v>5307.075353</x:v>
      </x:c>
      <x:c r="G50" s="26" t="n">
        <x:v>6223.153321</x:v>
      </x:c>
      <x:c r="H50" s="26" t="n">
        <x:v>7710.012398</x:v>
      </x:c>
      <x:c r="I50" s="9" t="s">
        <x:v>111</x:v>
      </x:c>
    </x:row>
    <x:row r="51" ht="15" hidden="0">
      <x:c r="A51" s="193" t="s">
        <x:v>168</x:v>
      </x:c>
      <x:c r="B51" s="195" t="s">
        <x:v>169</x:v>
      </x:c>
      <x:c r="C51" s="26" t="n">
        <x:v>1091.300971</x:v>
      </x:c>
      <x:c r="D51" s="26" t="n">
        <x:v>1555.157545</x:v>
      </x:c>
      <x:c r="E51" s="26" t="n">
        <x:v>1281.559797</x:v>
      </x:c>
      <x:c r="F51" s="26" t="n">
        <x:v>674.674284</x:v>
      </x:c>
      <x:c r="G51" s="26" t="n">
        <x:v>1781.446871</x:v>
      </x:c>
      <x:c r="H51" s="26" t="n">
        <x:v>2107.135975</x:v>
      </x:c>
      <x:c r="I51" s="9" t="s">
        <x:v>111</x:v>
      </x:c>
    </x:row>
    <x:row r="52" ht="15" hidden="0">
      <x:c r="A52" s="193" t="s">
        <x:v>170</x:v>
      </x:c>
      <x:c r="B52" s="195" t="s">
        <x:v>171</x:v>
      </x:c>
      <x:c r="C52" s="26" t="n">
        <x:v>126.582689</x:v>
      </x:c>
      <x:c r="D52" s="26" t="n">
        <x:v>137.0915</x:v>
      </x:c>
      <x:c r="E52" s="26" t="n">
        <x:v>264.984408</x:v>
      </x:c>
      <x:c r="F52" s="26" t="n">
        <x:v>253.135945</x:v>
      </x:c>
      <x:c r="G52" s="26" t="n">
        <x:v>113.418606</x:v>
      </x:c>
      <x:c r="H52" s="26" t="n">
        <x:v>144.300907</x:v>
      </x:c>
      <x:c r="I52" s="9" t="s">
        <x:v>111</x:v>
      </x:c>
    </x:row>
    <x:row r="53" ht="15" hidden="0">
      <x:c r="A53" s="193" t="s">
        <x:v>172</x:v>
      </x:c>
      <x:c r="B53" s="195" t="s">
        <x:v>173</x:v>
      </x:c>
      <x:c r="C53" s="26" t="n">
        <x:v>208.766756</x:v>
      </x:c>
      <x:c r="D53" s="26" t="n">
        <x:v>122.613973</x:v>
      </x:c>
      <x:c r="E53" s="26" t="n">
        <x:v>142.171993</x:v>
      </x:c>
      <x:c r="F53" s="26" t="n">
        <x:v>192.67479</x:v>
      </x:c>
      <x:c r="G53" s="26" t="n">
        <x:v>0</x:v>
      </x:c>
      <x:c r="H53" s="26" t="n">
        <x:v>0</x:v>
      </x:c>
      <x:c r="I53" s="9" t="s">
        <x:v>111</x:v>
      </x:c>
    </x:row>
    <x:row r="54" ht="15" hidden="0">
      <x:c r="A54" s="193" t="s">
        <x:v>174</x:v>
      </x:c>
      <x:c r="B54" s="195" t="s">
        <x:v>175</x:v>
      </x:c>
      <x:c r="C54" s="26" t="n">
        <x:v>1301.6091</x:v>
      </x:c>
      <x:c r="D54" s="26" t="n">
        <x:v>498</x:v>
      </x:c>
      <x:c r="E54" s="26" t="n">
        <x:v>0</x:v>
      </x:c>
      <x:c r="F54" s="26" t="n">
        <x:v>0</x:v>
      </x:c>
      <x:c r="G54" s="26" t="n">
        <x:v>0.061253</x:v>
      </x:c>
      <x:c r="H54" s="26" t="n">
        <x:v>3.704884</x:v>
      </x:c>
      <x:c r="I54" s="9" t="s">
        <x:v>111</x:v>
      </x:c>
    </x:row>
    <x:row r="55" ht="15" hidden="0">
      <x:c r="A55" s="193" t="s">
        <x:v>176</x:v>
      </x:c>
      <x:c r="B55" s="195" t="s">
        <x:v>177</x:v>
      </x:c>
      <x:c r="C55" s="26" t="n">
        <x:v>248.496322</x:v>
      </x:c>
      <x:c r="D55" s="26" t="n">
        <x:v>1147.020843</x:v>
      </x:c>
      <x:c r="E55" s="26" t="n">
        <x:v>1071.912356</x:v>
      </x:c>
      <x:c r="F55" s="26" t="n">
        <x:v>1034.355873</x:v>
      </x:c>
      <x:c r="G55" s="26" t="n">
        <x:v>1169.295643</x:v>
      </x:c>
      <x:c r="H55" s="26" t="n">
        <x:v>837.359258</x:v>
      </x:c>
      <x:c r="I55" s="9" t="s">
        <x:v>111</x:v>
      </x:c>
    </x:row>
    <x:row r="56" ht="15" hidden="0">
      <x:c r="A56" s="193" t="s">
        <x:v>178</x:v>
      </x:c>
      <x:c r="B56" s="195" t="s">
        <x:v>179</x:v>
      </x:c>
      <x:c r="C56" s="26" t="n">
        <x:v>0</x:v>
      </x:c>
      <x:c r="D56" s="26" t="n">
        <x:v>0</x:v>
      </x:c>
      <x:c r="E56" s="26" t="n">
        <x:v>0</x:v>
      </x:c>
      <x:c r="F56" s="26" t="n">
        <x:v>0</x:v>
      </x:c>
      <x:c r="G56" s="26" t="n">
        <x:v>0</x:v>
      </x:c>
      <x:c r="H56" s="26" t="n">
        <x:v>0</x:v>
      </x:c>
      <x:c r="I56" s="9" t="s">
        <x:v>111</x:v>
      </x:c>
    </x:row>
    <x:row r="57" ht="15" hidden="0">
      <x:c r="A57" s="193" t="s">
        <x:v>180</x:v>
      </x:c>
      <x:c r="B57" s="195" t="s">
        <x:v>181</x:v>
      </x:c>
      <x:c r="C57" s="26" t="n">
        <x:v>0</x:v>
      </x:c>
      <x:c r="D57" s="26" t="n">
        <x:v>0</x:v>
      </x:c>
      <x:c r="E57" s="26" t="n">
        <x:v>0</x:v>
      </x:c>
      <x:c r="F57" s="26" t="n">
        <x:v>0</x:v>
      </x:c>
      <x:c r="G57" s="26" t="n">
        <x:v>0</x:v>
      </x:c>
      <x:c r="H57" s="26" t="n">
        <x:v>0</x:v>
      </x:c>
      <x:c r="I57" s="9" t="s">
        <x:v>111</x:v>
      </x:c>
    </x:row>
    <x:row r="58" ht="15" hidden="0">
      <x:c r="A58" s="193" t="s">
        <x:v>182</x:v>
      </x:c>
      <x:c r="B58" s="195" t="s">
        <x:v>183</x:v>
      </x:c>
      <x:c r="C58" s="26" t="n">
        <x:v>48.014348</x:v>
      </x:c>
      <x:c r="D58" s="26" t="n">
        <x:v>46.197552</x:v>
      </x:c>
      <x:c r="E58" s="26" t="n">
        <x:v>45.648049</x:v>
      </x:c>
      <x:c r="F58" s="26" t="n">
        <x:v>45.47522</x:v>
      </x:c>
      <x:c r="G58" s="26" t="n">
        <x:v>45.338931</x:v>
      </x:c>
      <x:c r="H58" s="26" t="n">
        <x:v>42.181257</x:v>
      </x:c>
      <x:c r="I58" s="9" t="s">
        <x:v>111</x:v>
      </x:c>
    </x:row>
    <x:row r="59" ht="15" hidden="0">
      <x:c r="A59" s="193" t="s">
        <x:v>184</x:v>
      </x:c>
      <x:c r="B59" s="195" t="s">
        <x:v>185</x:v>
      </x:c>
      <x:c r="C59" s="26" t="n">
        <x:v>52.873661</x:v>
      </x:c>
      <x:c r="D59" s="26" t="n">
        <x:v>635.934543</x:v>
      </x:c>
      <x:c r="E59" s="26" t="n">
        <x:v>2438.052665</x:v>
      </x:c>
      <x:c r="F59" s="26" t="n">
        <x:v>3079.75423</x:v>
      </x:c>
      <x:c r="G59" s="26" t="n">
        <x:v>3544.368477</x:v>
      </x:c>
      <x:c r="H59" s="26" t="n">
        <x:v>2924.142407</x:v>
      </x:c>
      <x:c r="I59" s="9" t="s">
        <x:v>111</x:v>
      </x:c>
    </x:row>
    <x:row r="60" ht="15" hidden="0">
      <x:c r="A60" s="193" t="s">
        <x:v>186</x:v>
      </x:c>
      <x:c r="B60" s="195" t="s">
        <x:v>187</x:v>
      </x:c>
      <x:c r="C60" s="26" t="n">
        <x:v>0</x:v>
      </x:c>
      <x:c r="D60" s="26" t="n">
        <x:v>0</x:v>
      </x:c>
      <x:c r="E60" s="26" t="n">
        <x:v>0</x:v>
      </x:c>
      <x:c r="F60" s="26" t="n">
        <x:v>0</x:v>
      </x:c>
      <x:c r="G60" s="26" t="n">
        <x:v>0</x:v>
      </x:c>
      <x:c r="H60" s="26" t="n">
        <x:v>0</x:v>
      </x:c>
      <x:c r="I60" s="9" t="s">
        <x:v>111</x:v>
      </x:c>
    </x:row>
    <x:row r="61" ht="15" hidden="0">
      <x:c r="A61" s="198" t="s">
        <x:v>188</x:v>
      </x:c>
      <x:c r="B61" s="195" t="s">
        <x:v>189</x:v>
      </x:c>
      <x:c r="C61" s="28" t="n">
        <x:f aca="0">C50+C52+C53+C54+C55+C56+C57+C58+C59+C60</x:f>
        <x:v>6279.548270999999</x:v>
      </x:c>
      <x:c r="D61" s="28" t="n">
        <x:f aca="0">D50+D52+D53+D54+D55+D56+D57+D58+D59+D60</x:f>
        <x:v>7572.24394</x:v>
      </x:c>
      <x:c r="E61" s="28" t="n">
        <x:f aca="0">E50+E52+E53+E54+E55+E56+E57+E58+E59+E60</x:f>
        <x:v>9487.990679</x:v>
      </x:c>
      <x:c r="F61" s="28" t="n">
        <x:f aca="0">F50+F52+F53+F54+F55+F56+F57+F58+F59+F60</x:f>
        <x:v>9912.471411</x:v>
      </x:c>
      <x:c r="G61" s="28" t="n">
        <x:f aca="0">G50+G52+G53+G54+G55+G56+G57+G58+G59+G60</x:f>
        <x:v>11095.636231</x:v>
      </x:c>
      <x:c r="H61" s="28" t="n">
        <x:f aca="0">H50+H52+H53+H54+H55+H56+H57+H58+H59+H60</x:f>
        <x:v>11661.701110999998</x:v>
      </x:c>
      <x:c r="I61" s="9" t="s">
        <x:v>111</x:v>
      </x:c>
      <x:c r="J61" s="9" t="s">
        <x:v>190</x:v>
      </x:c>
    </x:row>
    <x:row r="62" ht="15" hidden="0">
      <x:c r="A62" s="198" t="s">
        <x:v>191</x:v>
      </x:c>
      <x:c r="B62" s="195" t="s">
        <x:v>192</x:v>
      </x:c>
      <x:c r="C62" s="28" t="n">
        <x:f aca="0">C48+C61</x:f>
        <x:v>13029.993982</x:v>
      </x:c>
      <x:c r="D62" s="28" t="n">
        <x:f aca="0">D48+D61</x:f>
        <x:v>13863.382066</x:v>
      </x:c>
      <x:c r="E62" s="28" t="n">
        <x:f aca="0">E48+E61</x:f>
        <x:v>16104.447613</x:v>
      </x:c>
      <x:c r="F62" s="28" t="n">
        <x:f aca="0">F48+F61</x:f>
        <x:v>16920.030573</x:v>
      </x:c>
      <x:c r="G62" s="28" t="n">
        <x:f aca="0">G48+G61</x:f>
        <x:v>17752.989906000003</x:v>
      </x:c>
      <x:c r="H62" s="28" t="n">
        <x:f aca="0">H48+H61</x:f>
        <x:v>18839.116981</x:v>
      </x:c>
      <x:c r="I62" s="9" t="s">
        <x:v>111</x:v>
      </x:c>
    </x:row>
    <x:row r="63" ht="15" hidden="0">
      <x:c r="A63" s="198" t="s">
        <x:v>193</x:v>
      </x:c>
      <x:c r="B63" s="195" t="s">
        <x:v>194</x:v>
      </x:c>
      <x:c r="C63" s="28" t="n">
        <x:f aca="0">C41+C62</x:f>
        <x:v>31756.667306</x:v>
      </x:c>
      <x:c r="D63" s="28" t="n">
        <x:f aca="0">D41+D62</x:f>
        <x:v>36086.921437</x:v>
      </x:c>
      <x:c r="E63" s="28" t="n">
        <x:f aca="0">E41+E62</x:f>
        <x:v>43350.667843999996</x:v>
      </x:c>
      <x:c r="F63" s="28" t="n">
        <x:f aca="0">F41+F62</x:f>
        <x:v>49530.075545</x:v>
      </x:c>
      <x:c r="G63" s="28" t="n">
        <x:f aca="0">G41+G62</x:f>
        <x:v>58843.29519700001</x:v>
      </x:c>
      <x:c r="H63" s="28" t="n">
        <x:f aca="0">H41+H62</x:f>
        <x:v>66794.311768</x:v>
      </x:c>
      <x:c r="I63" s="9" t="s">
        <x:v>111</x:v>
      </x:c>
    </x:row>
    <x:row r="64" ht="15" hidden="0">
      <x:c r="A64" s="201" t="s">
        <x:v>195</x:v>
      </x:c>
      <x:c r="B64" s="202"/>
      <x:c r="C64" s="25"/>
      <x:c r="D64" s="25"/>
      <x:c r="E64" s="25"/>
      <x:c r="F64" s="25"/>
      <x:c r="G64" s="25"/>
      <x:c r="H64" s="25"/>
      <x:c r="I64" s="25"/>
      <x:c r="J64" s="25"/>
    </x:row>
    <x:row r="65" ht="15" hidden="0">
      <x:c r="A65" s="193" t="s">
        <x:v>196</x:v>
      </x:c>
      <x:c r="B65" s="195" t="s">
        <x:v>197</x:v>
      </x:c>
      <x:c r="C65" s="27" t="n">
        <x:f aca="0">C30+C31</x:f>
        <x:v>3266.18066</x:v>
      </x:c>
      <x:c r="D65" s="27" t="n">
        <x:f aca="0">D30+D31</x:f>
        <x:v>4183.545367</x:v>
      </x:c>
      <x:c r="E65" s="27" t="n">
        <x:f aca="0">E30+E31</x:f>
        <x:v>5670.986418</x:v>
      </x:c>
      <x:c r="F65" s="27" t="n">
        <x:f aca="0">F30+F31</x:f>
        <x:v>7655.991318</x:v>
      </x:c>
      <x:c r="G65" s="27" t="n">
        <x:f aca="0">G30+G31</x:f>
        <x:v>7579.425926</x:v>
      </x:c>
      <x:c r="H65" s="27" t="n">
        <x:f aca="0">H30+H31</x:f>
        <x:v>7504.868027</x:v>
      </x:c>
      <x:c r="I65" s="9" t="s">
        <x:v>111</x:v>
      </x:c>
    </x:row>
    <x:row r="66" ht="15" hidden="0">
      <x:c r="A66" s="193" t="s">
        <x:v>198</x:v>
      </x:c>
      <x:c r="B66" s="195" t="s">
        <x:v>199</x:v>
      </x:c>
      <x:c r="C66" s="27" t="n">
        <x:f aca="0">C43+C44+C54+C55+C56-C251-C252</x:f>
        <x:v>6989.331564</x:v>
      </x:c>
      <x:c r="D66" s="27" t="n">
        <x:f aca="0">D43+D44+D54+D55+D56-D251-D252</x:f>
        <x:v>6050.7861490000005</x:v>
      </x:c>
      <x:c r="E66" s="27" t="n">
        <x:f aca="0">E43+E44+E54+E55+E56-E251-E252</x:f>
        <x:v>4251.312474</x:v>
      </x:c>
      <x:c r="F66" s="27" t="n">
        <x:f aca="0">F43+F44+F54+F55+F56-F251-F252</x:f>
        <x:v>3183.373248</x:v>
      </x:c>
      <x:c r="G66" s="27" t="n">
        <x:f aca="0">G43+G44+G54+G55+G56-G251-G252</x:f>
        <x:v>2153.059604</x:v>
      </x:c>
      <x:c r="H66" s="27" t="n">
        <x:f aca="0">H43+H44+H54+H55+H56-H251-H252</x:f>
        <x:v>2242.621544</x:v>
      </x:c>
      <x:c r="I66" s="9" t="s">
        <x:v>111</x:v>
      </x:c>
    </x:row>
    <x:row r="67" ht="15" hidden="0">
      <x:c r="A67" s="193" t="s">
        <x:v>200</x:v>
      </x:c>
      <x:c r="B67" s="195" t="s">
        <x:v>201</x:v>
      </x:c>
      <x:c r="C67" s="27" t="n">
        <x:f aca="0">C43+C44</x:f>
        <x:v>5439.226142</x:v>
      </x:c>
      <x:c r="D67" s="27" t="n">
        <x:f aca="0">D43+D44</x:f>
        <x:v>4405.765306</x:v>
      </x:c>
      <x:c r="E67" s="27" t="n">
        <x:f aca="0">E43+E44</x:f>
        <x:v>3179.400118</x:v>
      </x:c>
      <x:c r="F67" s="27" t="n">
        <x:f aca="0">F43+F44</x:f>
        <x:v>2149.017375</x:v>
      </x:c>
      <x:c r="G67" s="27" t="n">
        <x:f aca="0">G43+G44</x:f>
        <x:v>1118.642478</x:v>
      </x:c>
      <x:c r="H67" s="27" t="n">
        <x:f aca="0">H43+H44</x:f>
        <x:v>1448.977799</x:v>
      </x:c>
      <x:c r="I67" s="9" t="s">
        <x:v>111</x:v>
      </x:c>
    </x:row>
    <x:row r="68" ht="15" hidden="0">
      <x:c r="A68" s="193"/>
      <x:c r="B68" s="195"/>
      <x:c r="C68" s="27">
        <x:f aca="0"/>
      </x:c>
      <x:c r="D68" s="27">
        <x:f aca="0"/>
      </x:c>
      <x:c r="E68" s="27">
        <x:f aca="0"/>
      </x:c>
      <x:c r="F68" s="27">
        <x:f aca="0"/>
      </x:c>
      <x:c r="G68" s="27">
        <x:f aca="0"/>
      </x:c>
      <x:c r="H68" s="27">
        <x:f aca="0"/>
      </x:c>
      <x:c r="I68" s="9" t="s">
        <x:v>111</x:v>
      </x:c>
    </x:row>
    <x:row r="69" ht="15" hidden="0">
      <x:c r="A69" s="193"/>
      <x:c r="B69" s="195"/>
      <x:c r="C69" s="27">
        <x:f aca="0"/>
      </x:c>
      <x:c r="D69" s="27">
        <x:f aca="0"/>
      </x:c>
      <x:c r="E69" s="27">
        <x:f aca="0"/>
      </x:c>
      <x:c r="F69" s="27">
        <x:f aca="0"/>
      </x:c>
      <x:c r="G69" s="27">
        <x:f aca="0"/>
      </x:c>
      <x:c r="H69" s="27">
        <x:f aca="0"/>
      </x:c>
      <x:c r="I69" s="9" t="s">
        <x:v>111</x:v>
      </x:c>
    </x:row>
    <x:row r="70" ht="15" hidden="0">
      <x:c r="A70" s="193" t="s">
        <x:v>202</x:v>
      </x:c>
      <x:c r="B70" s="195" t="s">
        <x:v>203</x:v>
      </x:c>
      <x:c r="C70" s="27" t="n">
        <x:f aca="0">C66+C41</x:f>
        <x:v>25716.004888</x:v>
      </x:c>
      <x:c r="D70" s="27" t="n">
        <x:f aca="0">D66+D41</x:f>
        <x:v>28274.32552</x:v>
      </x:c>
      <x:c r="E70" s="27" t="n">
        <x:f aca="0">E66+E41</x:f>
        <x:v>31497.532704999998</x:v>
      </x:c>
      <x:c r="F70" s="27" t="n">
        <x:f aca="0">F66+F41</x:f>
        <x:v>35793.41822</x:v>
      </x:c>
      <x:c r="G70" s="27" t="n">
        <x:f aca="0">G66+G41</x:f>
        <x:v>43243.364895000006</x:v>
      </x:c>
      <x:c r="H70" s="27" t="n">
        <x:f aca="0">H66+H41</x:f>
        <x:v>50197.816331</x:v>
      </x:c>
      <x:c r="I70" s="9" t="s">
        <x:v>111</x:v>
      </x:c>
    </x:row>
    <x:row r="71" ht="15" hidden="0">
      <x:c r="A71" s="193" t="s">
        <x:v>204</x:v>
      </x:c>
      <x:c r="B71" s="195" t="s">
        <x:v>205</x:v>
      </x:c>
      <x:c r="C71" s="27" t="n">
        <x:f aca="0">C37-C61</x:f>
        <x:v>25477.119035999996</x:v>
      </x:c>
      <x:c r="D71" s="27" t="n">
        <x:f aca="0">D37-D61</x:f>
        <x:v>28514.677497000004</x:v>
      </x:c>
      <x:c r="E71" s="27" t="n">
        <x:f aca="0">E37-E61</x:f>
        <x:v>33862.677164999994</x:v>
      </x:c>
      <x:c r="F71" s="27" t="n">
        <x:f aca="0">F37-F61</x:f>
        <x:v>39617.604134</x:v>
      </x:c>
      <x:c r="G71" s="27" t="n">
        <x:f aca="0">G37-G61</x:f>
        <x:v>47747.658966</x:v>
      </x:c>
      <x:c r="H71" s="27" t="n">
        <x:f aca="0">H37-H61</x:f>
        <x:v>55132.610657</x:v>
      </x:c>
      <x:c r="I71" s="9" t="s">
        <x:v>111</x:v>
      </x:c>
    </x:row>
    <x:row r="72" ht="15" hidden="0">
      <x:c r="A72" s="193" t="s">
        <x:v>206</x:v>
      </x:c>
      <x:c r="B72" s="195" t="s">
        <x:v>207</x:v>
      </x:c>
      <x:c r="C72" s="27" t="n">
        <x:f aca="0">C36-C34-C33</x:f>
        <x:v>4185.887091999999</x:v>
      </x:c>
      <x:c r="D72" s="27" t="n">
        <x:f aca="0">D36-D34-D33</x:f>
        <x:v>5651.572939999998</x:v>
      </x:c>
      <x:c r="E72" s="27" t="n">
        <x:f aca="0">E36-E34-E33</x:f>
        <x:v>7170.970121999999</x:v>
      </x:c>
      <x:c r="F72" s="27" t="n">
        <x:f aca="0">F36-F34-F33</x:f>
        <x:v>9644.765640000001</x:v>
      </x:c>
      <x:c r="G72" s="27" t="n">
        <x:f aca="0">G36-G34-G33</x:f>
        <x:v>10830.001646999997</x:v>
      </x:c>
      <x:c r="H72" s="27" t="n">
        <x:f aca="0">H36-H34-H33</x:f>
        <x:v>10222.457565999997</x:v>
      </x:c>
      <x:c r="I72" s="9" t="s">
        <x:v>111</x:v>
      </x:c>
    </x:row>
    <x:row r="73" ht="15" hidden="0">
      <x:c r="A73" s="193" t="s">
        <x:v>208</x:v>
      </x:c>
      <x:c r="B73" s="195" t="s">
        <x:v>209</x:v>
      </x:c>
      <x:c r="C73" s="27" t="n">
        <x:f aca="0">C61-C54-C55-C56-C57-C53-C58</x:f>
        <x:v>4472.661744999999</x:v>
      </x:c>
      <x:c r="D73" s="27" t="n">
        <x:f aca="0">D61-D54-D55-D56-D57-D53-D58</x:f>
        <x:v>5758.411572</x:v>
      </x:c>
      <x:c r="E73" s="27" t="n">
        <x:f aca="0">E61-E54-E55-E56-E57-E53-E58</x:f>
        <x:v>8228.258281</x:v>
      </x:c>
      <x:c r="F73" s="27" t="n">
        <x:f aca="0">F61-F54-F55-F56-F57-F53-F58</x:f>
        <x:v>8639.965528</x:v>
      </x:c>
      <x:c r="G73" s="27" t="n">
        <x:f aca="0">G61-G54-G55-G56-G57-G53-G58</x:f>
        <x:v>9880.940404</x:v>
      </x:c>
      <x:c r="H73" s="27" t="n">
        <x:f aca="0">H61-H54-H55-H56-H57-H53-H58</x:f>
        <x:v>10778.455711999997</x:v>
      </x:c>
      <x:c r="I73" s="9" t="s">
        <x:v>111</x:v>
      </x:c>
    </x:row>
    <x:row r="74" ht="15" hidden="0">
      <x:c r="A74" s="201" t="s">
        <x:v>210</x:v>
      </x:c>
      <x:c r="B74" s="202"/>
      <x:c r="C74" s="25"/>
      <x:c r="D74" s="25"/>
      <x:c r="E74" s="25"/>
      <x:c r="F74" s="25"/>
      <x:c r="G74" s="25"/>
      <x:c r="H74" s="25"/>
      <x:c r="I74" s="25"/>
      <x:c r="J74" s="25"/>
    </x:row>
    <x:row r="75" ht="15" hidden="0">
      <x:c r="A75" s="193" t="s">
        <x:v>211</x:v>
      </x:c>
      <x:c r="B75" s="195" t="s">
        <x:v>212</x:v>
      </x:c>
      <x:c r="C75" s="26" t="n">
        <x:v>31756.667306</x:v>
      </x:c>
      <x:c r="D75" s="26" t="n">
        <x:v>36086.921437</x:v>
      </x:c>
      <x:c r="E75" s="26" t="n">
        <x:v>43350.667844</x:v>
      </x:c>
      <x:c r="F75" s="26" t="n">
        <x:v>49530.075545</x:v>
      </x:c>
      <x:c r="G75" s="26" t="n">
        <x:v>58843.295197</x:v>
      </x:c>
      <x:c r="H75" s="26" t="n">
        <x:v>66794.311768</x:v>
      </x:c>
      <x:c r="I75" s="9" t="s">
        <x:v>111</x:v>
      </x:c>
    </x:row>
    <x:row r="76" ht="15" hidden="0">
      <x:c r="A76" s="193" t="s">
        <x:v>213</x:v>
      </x:c>
      <x:c r="B76" s="195" t="s">
        <x:v>214</x:v>
      </x:c>
      <x:c r="C76" s="26" t="n">
        <x:v>18726.673324</x:v>
      </x:c>
      <x:c r="D76" s="26" t="n">
        <x:v>22223.539371</x:v>
      </x:c>
      <x:c r="E76" s="26" t="n">
        <x:v>27246.220231</x:v>
      </x:c>
      <x:c r="F76" s="26" t="n">
        <x:v>32610.044972</x:v>
      </x:c>
      <x:c r="G76" s="26" t="n">
        <x:v>41090.305291</x:v>
      </x:c>
      <x:c r="H76" s="26" t="n">
        <x:v>47955.194787</x:v>
      </x:c>
      <x:c r="I76" s="9" t="s">
        <x:v>111</x:v>
      </x:c>
    </x:row>
    <x:row r="77" ht="15" hidden="0">
      <x:c r="A77" s="193" t="s">
        <x:v>215</x:v>
      </x:c>
      <x:c r="B77" s="195" t="s">
        <x:v>216</x:v>
      </x:c>
      <x:c r="C77" s="26" t="n">
        <x:v>5237.623778</x:v>
      </x:c>
      <x:c r="D77" s="26" t="n">
        <x:v>9848.798714</x:v>
      </x:c>
      <x:c r="E77" s="26" t="n">
        <x:v>17775.831447</x:v>
      </x:c>
      <x:c r="F77" s="26" t="n">
        <x:v>22913.376649</x:v>
      </x:c>
      <x:c r="G77" s="26" t="n">
        <x:v>32212.396773</x:v>
      </x:c>
      <x:c r="H77" s="26" t="n">
        <x:v>38614.792494</x:v>
      </x:c>
      <x:c r="I77" s="9" t="s">
        <x:v>111</x:v>
      </x:c>
    </x:row>
    <x:row r="78" ht="15" hidden="0">
      <x:c r="A78" s="193" t="s">
        <x:v>217</x:v>
      </x:c>
      <x:c r="B78" s="195" t="s">
        <x:v>218</x:v>
      </x:c>
      <x:c r="C78" s="26" t="n">
        <x:v>6279.548271</x:v>
      </x:c>
      <x:c r="D78" s="26" t="n">
        <x:v>7572.24394</x:v>
      </x:c>
      <x:c r="E78" s="26" t="n">
        <x:v>9487.990679</x:v>
      </x:c>
      <x:c r="F78" s="26" t="n">
        <x:v>9912.471411</x:v>
      </x:c>
      <x:c r="G78" s="26" t="n">
        <x:v>11095.636231</x:v>
      </x:c>
      <x:c r="H78" s="26" t="n">
        <x:v>11661.701111</x:v>
      </x:c>
      <x:c r="I78" s="9" t="s">
        <x:v>111</x:v>
      </x:c>
    </x:row>
    <x:row r="79" ht="15" hidden="0">
      <x:c r="A79" s="193" t="s">
        <x:v>219</x:v>
      </x:c>
      <x:c r="B79" s="195" t="s">
        <x:v>220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s="193" t="s">
        <x:v>221</x:v>
      </x:c>
      <x:c r="B80" s="195" t="s">
        <x:v>220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s="193" t="s">
        <x:v>222</x:v>
      </x:c>
      <x:c r="B81" s="195" t="s">
        <x:v>220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2">
      <x:c r="A82" s="193"/>
      <x:c r="B82" s="193"/>
    </x:row>
    <x:row r="83" ht="15" hidden="0">
      <x:c r="A83" s="196" t="s">
        <x:v>223</x:v>
      </x:c>
      <x:c r="B83" s="197"/>
      <x:c r="C83" s="20"/>
      <x:c r="D83" s="20"/>
      <x:c r="E83" s="20"/>
      <x:c r="F83" s="20"/>
      <x:c r="G83" s="20"/>
      <x:c r="H83" s="20"/>
      <x:c r="I83" s="20"/>
      <x:c r="J83" s="20"/>
    </x:row>
    <x:row r="84" ht="15" hidden="0">
      <x:c r="A84" s="193" t="s">
        <x:v>224</x:v>
      </x:c>
      <x:c r="B84" s="195" t="s">
        <x:v>225</x:v>
      </x:c>
      <x:c r="C84" s="30"/>
      <x:c r="D84" s="26" t="n">
        <x:v>24057.375992</x:v>
      </x:c>
      <x:c r="E84" s="26" t="n">
        <x:v>32876.949179</x:v>
      </x:c>
      <x:c r="F84" s="26" t="n">
        <x:v>38921.63535</x:v>
      </x:c>
      <x:c r="G84" s="26" t="n">
        <x:v>38647.767972</x:v>
      </x:c>
      <x:c r="H84" s="26" t="n">
        <x:v>37535.700372</x:v>
      </x:c>
      <x:c r="I84" s="9" t="s">
        <x:v>111</x:v>
      </x:c>
    </x:row>
    <x:row r="85" ht="15" hidden="0">
      <x:c r="A85" s="193" t="s">
        <x:v>226</x:v>
      </x:c>
      <x:c r="B85" s="195" t="s">
        <x:v>227</x:v>
      </x:c>
      <x:c r="C85" s="30"/>
      <x:c r="D85" s="26" t="n">
        <x:v>-18092.026933</x:v>
      </x:c>
      <x:c r="E85" s="26" t="n">
        <x:v>-23065.18067</x:v>
      </x:c>
      <x:c r="F85" s="26" t="n">
        <x:v>-28488.941331</x:v>
      </x:c>
      <x:c r="G85" s="26" t="n">
        <x:v>-27391.276477</x:v>
      </x:c>
      <x:c r="H85" s="26" t="n">
        <x:v>-22814.094271</x:v>
      </x:c>
      <x:c r="I85" s="9" t="s">
        <x:v>111</x:v>
      </x:c>
    </x:row>
    <x:row r="86" ht="15" hidden="0">
      <x:c r="A86" s="198" t="s">
        <x:v>228</x:v>
      </x:c>
      <x:c r="B86" s="195" t="s">
        <x:v>229</x:v>
      </x:c>
      <x:c r="C86" s="31"/>
      <x:c r="D86" s="28" t="n">
        <x:f aca="0">D84+D85</x:f>
        <x:v>5965.349059</x:v>
      </x:c>
      <x:c r="E86" s="28" t="n">
        <x:f aca="0">E84+E85</x:f>
        <x:v>9811.768509000001</x:v>
      </x:c>
      <x:c r="F86" s="28" t="n">
        <x:f aca="0">F84+F85</x:f>
        <x:v>10432.694018999995</x:v>
      </x:c>
      <x:c r="G86" s="28" t="n">
        <x:f aca="0">G84+G85</x:f>
        <x:v>11256.491495000002</x:v>
      </x:c>
      <x:c r="H86" s="28" t="n">
        <x:f aca="0">H84+H85</x:f>
        <x:v>14721.606100999998</x:v>
      </x:c>
      <x:c r="I86" s="9" t="s">
        <x:v>111</x:v>
      </x:c>
    </x:row>
    <x:row r="87" ht="15" hidden="0">
      <x:c r="A87" s="193" t="s">
        <x:v>230</x:v>
      </x:c>
      <x:c r="B87" s="195" t="s">
        <x:v>231</x:v>
      </x:c>
      <x:c r="C87" s="30"/>
      <x:c r="D87" s="26" t="n">
        <x:v>-94.165965</x:v>
      </x:c>
      <x:c r="E87" s="26" t="n">
        <x:v>-122.136736</x:v>
      </x:c>
      <x:c r="F87" s="26" t="n">
        <x:v>-176.123458</x:v>
      </x:c>
      <x:c r="G87" s="26" t="n">
        <x:v>-197.259359</x:v>
      </x:c>
      <x:c r="H87" s="26" t="n">
        <x:v>-225.600417</x:v>
      </x:c>
      <x:c r="I87" s="9" t="s">
        <x:v>111</x:v>
      </x:c>
    </x:row>
    <x:row r="88" ht="15" hidden="0">
      <x:c r="A88" s="193" t="s">
        <x:v>232</x:v>
      </x:c>
      <x:c r="B88" s="195" t="s">
        <x:v>233</x:v>
      </x:c>
      <x:c r="C88" s="30"/>
      <x:c r="D88" s="26" t="n">
        <x:v>-313.52467</x:v>
      </x:c>
      <x:c r="E88" s="26" t="n">
        <x:v>-353.522846</x:v>
      </x:c>
      <x:c r="F88" s="26" t="n">
        <x:v>-396.230055</x:v>
      </x:c>
      <x:c r="G88" s="26" t="n">
        <x:v>-488.042831</x:v>
      </x:c>
      <x:c r="H88" s="26" t="n">
        <x:v>-695.553118</x:v>
      </x:c>
      <x:c r="I88" s="9" t="s">
        <x:v>111</x:v>
      </x:c>
    </x:row>
    <x:row r="89" ht="15" hidden="0">
      <x:c r="A89" s="193" t="s">
        <x:v>234</x:v>
      </x:c>
      <x:c r="B89" s="195" t="s">
        <x:v>235</x:v>
      </x:c>
      <x:c r="C89" s="30"/>
      <x:c r="D89" s="26" t="n">
        <x:v>0</x:v>
      </x:c>
      <x:c r="E89" s="26" t="n">
        <x:v>0</x:v>
      </x:c>
      <x:c r="F89" s="26" t="n">
        <x:v>0</x:v>
      </x:c>
      <x:c r="G89" s="26" t="n">
        <x:v>2.010516</x:v>
      </x:c>
      <x:c r="H89" s="26" t="n">
        <x:v>-44.078565</x:v>
      </x:c>
      <x:c r="I89" s="9" t="s">
        <x:v>111</x:v>
      </x:c>
    </x:row>
    <x:row r="90" ht="15" hidden="0">
      <x:c r="A90" s="193" t="s">
        <x:v>236</x:v>
      </x:c>
      <x:c r="B90" s="195" t="s">
        <x:v>237</x:v>
      </x:c>
      <x:c r="C90" s="30"/>
      <x:c r="D90" s="26" t="n">
        <x:v>-325.323074</x:v>
      </x:c>
      <x:c r="E90" s="26" t="n">
        <x:v>-563.052382</x:v>
      </x:c>
      <x:c r="F90" s="26" t="n">
        <x:v>-736.512959</x:v>
      </x:c>
      <x:c r="G90" s="26" t="n">
        <x:v>-571.950389</x:v>
      </x:c>
      <x:c r="H90" s="26" t="n">
        <x:v>-940.359065</x:v>
      </x:c>
      <x:c r="I90" s="9" t="s">
        <x:v>111</x:v>
      </x:c>
    </x:row>
    <x:row r="91" ht="15" hidden="0">
      <x:c r="A91" s="193" t="s">
        <x:v>238</x:v>
      </x:c>
      <x:c r="B91" s="195" t="s">
        <x:v>239</x:v>
      </x:c>
      <x:c r="C91" s="30"/>
      <x:c r="D91" s="27" t="n">
        <x:f aca="0">D86+D87+D88+D89+D90</x:f>
        <x:v>5232.33535</x:v>
      </x:c>
      <x:c r="E91" s="27" t="n">
        <x:f aca="0">E86+E87+E88+E89+E90</x:f>
        <x:v>8773.056545000001</x:v>
      </x:c>
      <x:c r="F91" s="27" t="n">
        <x:f aca="0">F86+F87+F88+F89+F90</x:f>
        <x:v>9123.827546999995</x:v>
      </x:c>
      <x:c r="G91" s="27" t="n">
        <x:f aca="0">G86+G87+G88+G89+G90</x:f>
        <x:v>10001.249432000002</x:v>
      </x:c>
      <x:c r="H91" s="27" t="n">
        <x:f aca="0">H86+H87+H88+H89+H90</x:f>
        <x:v>12816.014935999998</x:v>
      </x:c>
      <x:c r="I91" s="9" t="s">
        <x:v>111</x:v>
      </x:c>
    </x:row>
    <x:row r="92" ht="15" hidden="0">
      <x:c r="A92" s="193" t="s">
        <x:v>240</x:v>
      </x:c>
      <x:c r="B92" s="195" t="s">
        <x:v>241</x:v>
      </x:c>
      <x:c r="C92" s="30"/>
      <x:c r="D92" s="26" t="n">
        <x:v>170.67467</x:v>
      </x:c>
      <x:c r="E92" s="26" t="n">
        <x:v>690.143396</x:v>
      </x:c>
      <x:c r="F92" s="26" t="n">
        <x:v>2085.808053</x:v>
      </x:c>
      <x:c r="G92" s="26" t="n">
        <x:v>4452.416513</x:v>
      </x:c>
      <x:c r="H92" s="26" t="n">
        <x:v>5280.719197</x:v>
      </x:c>
      <x:c r="I92" s="9" t="s">
        <x:v>111</x:v>
      </x:c>
    </x:row>
    <x:row r="93" ht="15" hidden="0">
      <x:c r="A93" s="193" t="s">
        <x:v>242</x:v>
      </x:c>
      <x:c r="B93" s="195" t="s">
        <x:v>243</x:v>
      </x:c>
      <x:c r="C93" s="30"/>
      <x:c r="D93" s="26" t="n">
        <x:v>0</x:v>
      </x:c>
      <x:c r="E93" s="26" t="n">
        <x:v>0</x:v>
      </x:c>
      <x:c r="F93" s="26" t="n">
        <x:v>0</x:v>
      </x:c>
      <x:c r="G93" s="26" t="n">
        <x:v>0</x:v>
      </x:c>
      <x:c r="H93" s="26" t="n">
        <x:v>0</x:v>
      </x:c>
      <x:c r="I93" s="9" t="s">
        <x:v>111</x:v>
      </x:c>
    </x:row>
    <x:row r="94" ht="15" hidden="0">
      <x:c r="A94" s="193" t="s">
        <x:v>244</x:v>
      </x:c>
      <x:c r="B94" s="195" t="s">
        <x:v>245</x:v>
      </x:c>
      <x:c r="C94" s="30"/>
      <x:c r="D94" s="26" t="n">
        <x:v>0</x:v>
      </x:c>
      <x:c r="E94" s="26" t="n">
        <x:v>0</x:v>
      </x:c>
      <x:c r="F94" s="26" t="n">
        <x:v>0</x:v>
      </x:c>
      <x:c r="G94" s="26" t="n">
        <x:v>0</x:v>
      </x:c>
      <x:c r="H94" s="26" t="n">
        <x:v>0</x:v>
      </x:c>
      <x:c r="I94" s="9" t="s">
        <x:v>111</x:v>
      </x:c>
    </x:row>
    <x:row r="95" ht="15" hidden="0">
      <x:c r="A95" s="193" t="s">
        <x:v>246</x:v>
      </x:c>
      <x:c r="B95" s="195" t="s">
        <x:v>247</x:v>
      </x:c>
      <x:c r="C95" s="30"/>
      <x:c r="D95" s="26" t="n">
        <x:v>-517.055413</x:v>
      </x:c>
      <x:c r="E95" s="26" t="n">
        <x:v>-537.710815</x:v>
      </x:c>
      <x:c r="F95" s="26" t="n">
        <x:v>-740.307772</x:v>
      </x:c>
      <x:c r="G95" s="26" t="n">
        <x:v>-677.380845</x:v>
      </x:c>
      <x:c r="H95" s="26" t="n">
        <x:v>-349.910716</x:v>
      </x:c>
      <x:c r="I95" s="9" t="s">
        <x:v>111</x:v>
      </x:c>
    </x:row>
    <x:row r="96" ht="15" hidden="0">
      <x:c r="A96" s="198" t="s">
        <x:v>248</x:v>
      </x:c>
      <x:c r="B96" s="195" t="s">
        <x:v>249</x:v>
      </x:c>
      <x:c r="C96" s="31"/>
      <x:c r="D96" s="28" t="n">
        <x:f aca="0">D91+D92+D93+D94+D95</x:f>
        <x:v>4885.954607000001</x:v>
      </x:c>
      <x:c r="E96" s="28" t="n">
        <x:f aca="0">E91+E92+E93+E94+E95</x:f>
        <x:v>8925.489126</x:v>
      </x:c>
      <x:c r="F96" s="28" t="n">
        <x:f aca="0">F91+F92+F93+F94+F95</x:f>
        <x:v>10469.327827999996</x:v>
      </x:c>
      <x:c r="G96" s="28" t="n">
        <x:f aca="0">G91+G92+G93+G94+G95</x:f>
        <x:v>13776.285100000003</x:v>
      </x:c>
      <x:c r="H96" s="28" t="n">
        <x:f aca="0">H91+H92+H93+H94+H95</x:f>
        <x:v>17746.823417</x:v>
      </x:c>
      <x:c r="I96" s="9" t="s">
        <x:v>111</x:v>
      </x:c>
    </x:row>
    <x:row r="97" ht="15" hidden="0">
      <x:c r="A97" s="193" t="s">
        <x:v>250</x:v>
      </x:c>
      <x:c r="B97" s="195" t="s">
        <x:v>251</x:v>
      </x:c>
      <x:c r="C97" s="30"/>
      <x:c r="D97" s="26" t="n">
        <x:v>0</x:v>
      </x:c>
      <x:c r="E97" s="26" t="n">
        <x:v>0</x:v>
      </x:c>
      <x:c r="F97" s="26" t="n">
        <x:v>-343.981005</x:v>
      </x:c>
      <x:c r="G97" s="26" t="n">
        <x:v>-844.151365</x:v>
      </x:c>
      <x:c r="H97" s="26" t="n">
        <x:v>-58.631368</x:v>
      </x:c>
      <x:c r="I97" s="9" t="s">
        <x:v>111</x:v>
      </x:c>
    </x:row>
    <x:row r="98" ht="15" hidden="0">
      <x:c r="A98" s="193" t="s">
        <x:v>252</x:v>
      </x:c>
      <x:c r="B98" s="195" t="s">
        <x:v>253</x:v>
      </x:c>
      <x:c r="C98" s="30"/>
      <x:c r="D98" s="26" t="n">
        <x:v>-1388.44736</x:v>
      </x:c>
      <x:c r="E98" s="26" t="n">
        <x:v>-3901.208866</x:v>
      </x:c>
      <x:c r="F98" s="26" t="n">
        <x:v>-4304.595678</x:v>
      </x:c>
      <x:c r="G98" s="26" t="n">
        <x:v>-4038.678948</x:v>
      </x:c>
      <x:c r="H98" s="26" t="n">
        <x:v>-6113.037978</x:v>
      </x:c>
      <x:c r="I98" s="9" t="s">
        <x:v>111</x:v>
      </x:c>
    </x:row>
    <x:row r="99" ht="15" hidden="0">
      <x:c r="A99" s="198" t="s">
        <x:v>254</x:v>
      </x:c>
      <x:c r="B99" s="195" t="s">
        <x:v>255</x:v>
      </x:c>
      <x:c r="C99" s="31"/>
      <x:c r="D99" s="28" t="n">
        <x:f aca="0">D96+D97+D98</x:f>
        <x:v>3497.5072470000005</x:v>
      </x:c>
      <x:c r="E99" s="28" t="n">
        <x:f aca="0">E96+E97+E98</x:f>
        <x:v>5024.28026</x:v>
      </x:c>
      <x:c r="F99" s="28" t="n">
        <x:f aca="0">F96+F97+F98</x:f>
        <x:v>5820.7511449999965</x:v>
      </x:c>
      <x:c r="G99" s="28" t="n">
        <x:f aca="0">G96+G97+G98</x:f>
        <x:v>8893.454787000002</x:v>
      </x:c>
      <x:c r="H99" s="28" t="n">
        <x:f aca="0">H96+H97+H98</x:f>
        <x:v>11575.154071</x:v>
      </x:c>
      <x:c r="I99" s="9" t="s">
        <x:v>111</x:v>
      </x:c>
    </x:row>
    <x:row r="100" ht="15" hidden="0">
      <x:c r="A100" s="193" t="s">
        <x:v>256</x:v>
      </x:c>
      <x:c r="B100" s="195" t="s">
        <x:v>257</x:v>
      </x:c>
      <x:c r="C100" s="30"/>
      <x:c r="D100" s="26" t="n">
        <x:v>5965.349059</x:v>
      </x:c>
      <x:c r="E100" s="26" t="n">
        <x:v>9811.768509</x:v>
      </x:c>
      <x:c r="F100" s="26" t="n">
        <x:v>10432.694019</x:v>
      </x:c>
      <x:c r="G100" s="26" t="n">
        <x:v>11256.491495</x:v>
      </x:c>
      <x:c r="H100" s="26" t="n">
        <x:v>14721.606101</x:v>
      </x:c>
      <x:c r="I100" s="9" t="s">
        <x:v>111</x:v>
      </x:c>
    </x:row>
    <x:row r="101" ht="15" hidden="0">
      <x:c r="A101" s="193" t="s">
        <x:v>258</x:v>
      </x:c>
      <x:c r="B101" s="195" t="s">
        <x:v>259</x:v>
      </x:c>
      <x:c r="C101" s="30"/>
      <x:c r="D101" s="26" t="n">
        <x:v>4885.954607</x:v>
      </x:c>
      <x:c r="E101" s="26" t="n">
        <x:v>8925.489126</x:v>
      </x:c>
      <x:c r="F101" s="26" t="n">
        <x:v>10469.327828</x:v>
      </x:c>
      <x:c r="G101" s="26" t="n">
        <x:v>13776.2851</x:v>
      </x:c>
      <x:c r="H101" s="26" t="n">
        <x:v>17746.823417</x:v>
      </x:c>
      <x:c r="I101" s="9" t="s">
        <x:v>111</x:v>
      </x:c>
    </x:row>
    <x:row r="102" ht="15" hidden="0">
      <x:c r="A102" s="193" t="s">
        <x:v>260</x:v>
      </x:c>
      <x:c r="B102" s="195" t="s">
        <x:v>261</x:v>
      </x:c>
      <x:c r="C102" s="30"/>
      <x:c r="D102" s="26" t="n">
        <x:v>3497.507247</x:v>
      </x:c>
      <x:c r="E102" s="26" t="n">
        <x:v>5024.28026</x:v>
      </x:c>
      <x:c r="F102" s="26" t="n">
        <x:v>5820.751145</x:v>
      </x:c>
      <x:c r="G102" s="26" t="n">
        <x:v>8893.454787</x:v>
      </x:c>
      <x:c r="H102" s="26" t="n">
        <x:v>11575.154071</x:v>
      </x:c>
      <x:c r="I102" s="9" t="s">
        <x:v>111</x:v>
      </x:c>
    </x:row>
    <x:row r="103" ht="15" hidden="0">
      <x:c r="A103" s="193" t="s">
        <x:v>262</x:v>
      </x:c>
      <x:c r="B103" s="195" t="s">
        <x:v>220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01" t="s">
        <x:v>263</x:v>
      </x:c>
      <x:c r="B104" s="202"/>
      <x:c r="C104" s="25"/>
      <x:c r="D104" s="25"/>
      <x:c r="E104" s="25"/>
      <x:c r="F104" s="25"/>
      <x:c r="G104" s="25"/>
      <x:c r="H104" s="25"/>
      <x:c r="I104" s="25"/>
      <x:c r="J104" s="25"/>
    </x:row>
    <x:row r="105" ht="15" hidden="0">
      <x:c r="A105" s="193" t="s">
        <x:v>264</x:v>
      </x:c>
      <x:c r="B105" s="195" t="s">
        <x:v>265</x:v>
      </x:c>
      <x:c r="C105" s="30"/>
      <x:c r="D105" s="26" t="n">
        <x:v>26.751082</x:v>
      </x:c>
      <x:c r="E105" s="26" t="n">
        <x:v>22.374466</x:v>
      </x:c>
      <x:c r="F105" s="26" t="n">
        <x:v>56.744443</x:v>
      </x:c>
      <x:c r="G105" s="26" t="n">
        <x:v>31.19671</x:v>
      </x:c>
      <x:c r="H105" s="26" t="n">
        <x:v>43.699977</x:v>
      </x:c>
      <x:c r="I105" s="9" t="s">
        <x:v>111</x:v>
      </x:c>
    </x:row>
    <x:row r="106" ht="15" hidden="0">
      <x:c r="A106" s="193" t="s">
        <x:v>266</x:v>
      </x:c>
      <x:c r="B106" s="195" t="s">
        <x:v>267</x:v>
      </x:c>
      <x:c r="C106" s="30"/>
      <x:c r="D106" s="27" t="n">
        <x:f aca="0">-D95-D105</x:f>
        <x:v>490.30433100000005</x:v>
      </x:c>
      <x:c r="E106" s="27" t="n">
        <x:f aca="0">-E95-E105</x:f>
        <x:v>515.336349</x:v>
      </x:c>
      <x:c r="F106" s="27" t="n">
        <x:f aca="0">-F95-F105</x:f>
        <x:v>683.563329</x:v>
      </x:c>
      <x:c r="G106" s="27" t="n">
        <x:f aca="0">-G95-G105</x:f>
        <x:v>646.184135</x:v>
      </x:c>
      <x:c r="H106" s="27" t="n">
        <x:f aca="0">-H95-H105</x:f>
        <x:v>306.210739</x:v>
      </x:c>
      <x:c r="I106" s="9" t="s">
        <x:v>111</x:v>
      </x:c>
    </x:row>
    <x:row r="107" ht="15" hidden="0">
      <x:c r="A107" s="193" t="s">
        <x:v>268</x:v>
      </x:c>
      <x:c r="B107" s="195" t="s">
        <x:v>269</x:v>
      </x:c>
      <x:c r="C107" s="30"/>
      <x:c r="D107" s="26" t="n">
        <x:v>1230.692701</x:v>
      </x:c>
      <x:c r="E107" s="26" t="n">
        <x:v>1118.109816</x:v>
      </x:c>
      <x:c r="F107" s="26" t="n">
        <x:v>1116.01339</x:v>
      </x:c>
      <x:c r="G107" s="26" t="n">
        <x:v>1182.787174</x:v>
      </x:c>
      <x:c r="H107" s="26" t="n">
        <x:v>1264.994747</x:v>
      </x:c>
      <x:c r="I107" s="9" t="s">
        <x:v>111</x:v>
      </x:c>
    </x:row>
    <x:row r="108" ht="15" hidden="0">
      <x:c r="A108" s="198" t="s">
        <x:v>270</x:v>
      </x:c>
      <x:c r="B108" s="195" t="s">
        <x:v>271</x:v>
      </x:c>
      <x:c r="C108" s="31"/>
      <x:c r="D108" s="28" t="n">
        <x:f aca="0">D96-D95</x:f>
        <x:v>5403.010020000001</x:v>
      </x:c>
      <x:c r="E108" s="28" t="n">
        <x:f aca="0">E96-E95</x:f>
        <x:v>9463.199941</x:v>
      </x:c>
      <x:c r="F108" s="28" t="n">
        <x:f aca="0">F96-F95</x:f>
        <x:v>11209.635599999996</x:v>
      </x:c>
      <x:c r="G108" s="28" t="n">
        <x:f aca="0">G96-G95</x:f>
        <x:v>14453.665945000002</x:v>
      </x:c>
      <x:c r="H108" s="28" t="n">
        <x:f aca="0">H96-H95</x:f>
        <x:v>18096.734132999998</x:v>
      </x:c>
      <x:c r="I108" s="9" t="s">
        <x:v>111</x:v>
      </x:c>
    </x:row>
    <x:row r="109" ht="15" hidden="0">
      <x:c r="A109" s="198" t="s">
        <x:v>272</x:v>
      </x:c>
      <x:c r="B109" s="195" t="s">
        <x:v>273</x:v>
      </x:c>
      <x:c r="C109" s="31"/>
      <x:c r="D109" s="28" t="n">
        <x:f aca="0">D108+D107</x:f>
        <x:v>6633.702721000001</x:v>
      </x:c>
      <x:c r="E109" s="28" t="n">
        <x:f aca="0">E108+E107</x:f>
        <x:v>10581.309757</x:v>
      </x:c>
      <x:c r="F109" s="28" t="n">
        <x:f aca="0">F108+F107</x:f>
        <x:v>12325.648989999996</x:v>
      </x:c>
      <x:c r="G109" s="28" t="n">
        <x:f aca="0">G108+G107</x:f>
        <x:v>15636.453119000002</x:v>
      </x:c>
      <x:c r="H109" s="28" t="n">
        <x:f aca="0">H108+H107</x:f>
        <x:v>19361.72888</x:v>
      </x:c>
      <x:c r="I109" s="9" t="s">
        <x:v>111</x:v>
      </x:c>
    </x:row>
    <x:row r="110" ht="15" hidden="0">
      <x:c r="A110" s="193" t="s">
        <x:v>274</x:v>
      </x:c>
      <x:c r="B110" s="195" t="s">
        <x:v>275</x:v>
      </x:c>
      <x:c r="C110" s="30"/>
      <x:c r="D110" s="27" t="n">
        <x:f aca="0">-(D97+D98)</x:f>
        <x:v>1388.44736</x:v>
      </x:c>
      <x:c r="E110" s="27" t="n">
        <x:f aca="0">-(E97+E98)</x:f>
        <x:v>3901.208866</x:v>
      </x:c>
      <x:c r="F110" s="27" t="n">
        <x:f aca="0">-(F97+F98)</x:f>
        <x:v>4648.576682999999</x:v>
      </x:c>
      <x:c r="G110" s="27" t="n">
        <x:f aca="0">-(G97+G98)</x:f>
        <x:v>4882.830313</x:v>
      </x:c>
      <x:c r="H110" s="27" t="n">
        <x:f aca="0">-(H97+H98)</x:f>
        <x:v>6171.669346000001</x:v>
      </x:c>
      <x:c r="I110" s="9" t="s">
        <x:v>111</x:v>
      </x:c>
    </x:row>
    <x:row r="111" ht="15" hidden="0">
      <x:c r="A111" s="193" t="s">
        <x:v>276</x:v>
      </x:c>
      <x:c r="B111" s="195" t="s">
        <x:v>277</x:v>
      </x:c>
      <x:c r="C111" s="30"/>
      <x:c r="D111" s="32" t="n">
        <x:f aca="0">IF(D96&lt;=0,"n/m",D110/D96)</x:f>
        <x:v>0.28417115419181377</x:v>
      </x:c>
      <x:c r="E111" s="32" t="n">
        <x:f aca="0">IF(E96&lt;=0,"n/m",E110/E96)</x:f>
        <x:v>0.43708628299548946</x:v>
      </x:c>
      <x:c r="F111" s="32" t="n">
        <x:f aca="0">IF(F96&lt;=0,"n/m",F110/F96)</x:f>
        <x:v>0.44401863800343316</x:v>
      </x:c>
      <x:c r="G111" s="32" t="n">
        <x:f aca="0">IF(G96&lt;=0,"n/m",G110/G96)</x:f>
        <x:v>0.35443737390423197</x:v>
      </x:c>
      <x:c r="H111" s="32" t="n">
        <x:f aca="0">IF(H96&lt;=0,"n/m",H110/H96)</x:f>
        <x:v>0.34776191778006016</x:v>
      </x:c>
      <x:c r="I111" s="9" t="s">
        <x:v>278</x:v>
      </x:c>
    </x:row>
    <x:row r="112" ht="15" hidden="0">
      <x:c r="A112" s="193" t="str">
        <x:v>NOPAT tax rate = actual audited ETR (no cap)</x:v>
      </x:c>
      <x:c r="B112" s="195" t="s">
        <x:v>279</x:v>
      </x:c>
      <x:c r="C112" s="30"/>
      <x:c r="D112" s="32" t="n">
        <x:f aca="0">D111</x:f>
        <x:v>0.28417115419181377</x:v>
      </x:c>
      <x:c r="E112" s="32" t="n">
        <x:f aca="0">E111</x:f>
        <x:v>0.43708628299548946</x:v>
      </x:c>
      <x:c r="F112" s="32" t="n">
        <x:f aca="0">F111</x:f>
        <x:v>0.44401863800343316</x:v>
      </x:c>
      <x:c r="G112" s="32" t="n">
        <x:f aca="0">G111</x:f>
        <x:v>0.35443737390423197</x:v>
      </x:c>
      <x:c r="H112" s="32" t="n">
        <x:f aca="0">H111</x:f>
        <x:v>0.34776191778006016</x:v>
      </x:c>
      <x:c r="I112" s="9" t="s">
        <x:v>278</x:v>
      </x:c>
    </x:row>
    <x:row r="113" ht="15" hidden="0">
      <x:c r="A113" s="193" t="s">
        <x:v>280</x:v>
      </x:c>
      <x:c r="B113" s="195" t="s">
        <x:v>281</x:v>
      </x:c>
      <x:c r="C113" s="30"/>
      <x:c r="D113" s="27" t="n">
        <x:f aca="0">IF(ISNUMBER(D112),D108*(1-D112),"n/m")</x:f>
        <x:v>3867.630426506666</x:v>
      </x:c>
      <x:c r="E113" s="27" t="n">
        <x:f aca="0">IF(ISNUMBER(E112),E108*(1-E112),"n/m")</x:f>
        <x:v>5326.965053545176</x:v>
      </x:c>
      <x:c r="F113" s="27" t="n">
        <x:f aca="0">IF(ISNUMBER(F112),F108*(1-F112),"n/m")</x:f>
        <x:v>6232.3484683731995</x:v>
      </x:c>
      <x:c r="G113" s="27" t="n">
        <x:f aca="0">IF(ISNUMBER(G112),G108*(1-G112),"n/m")</x:f>
        <x:v>9330.746544165173</x:v>
      </x:c>
      <x:c r="H113" s="27" t="n">
        <x:f aca="0">IF(ISNUMBER(H112),H108*(1-H112),"n/m")</x:f>
        <x:v>11803.379165352044</x:v>
      </x:c>
      <x:c r="I113" s="9" t="s">
        <x:v>111</x:v>
      </x:c>
    </x:row>
    <x:row r="114">
      <x:c r="A114" s="193"/>
      <x:c r="B114" s="193"/>
    </x:row>
    <x:row r="115" ht="15" hidden="0">
      <x:c r="A115" s="196" t="s">
        <x:v>282</x:v>
      </x:c>
      <x:c r="B115" s="197"/>
      <x:c r="C115" s="20"/>
      <x:c r="D115" s="20"/>
      <x:c r="E115" s="20"/>
      <x:c r="F115" s="20"/>
      <x:c r="G115" s="20"/>
      <x:c r="H115" s="20"/>
      <x:c r="I115" s="20"/>
      <x:c r="J115" s="20"/>
    </x:row>
    <x:row r="116" ht="15" hidden="0">
      <x:c r="A116" s="193" t="s">
        <x:v>283</x:v>
      </x:c>
      <x:c r="B116" s="195" t="s">
        <x:v>284</x:v>
      </x:c>
      <x:c r="C116" s="30"/>
      <x:c r="D116" s="26" t="n">
        <x:v>6012.030743</x:v>
      </x:c>
      <x:c r="E116" s="26" t="n">
        <x:v>9429.252992</x:v>
      </x:c>
      <x:c r="F116" s="26" t="n">
        <x:v>7862.593209</x:v>
      </x:c>
      <x:c r="G116" s="26" t="n">
        <x:v>11482.975487</x:v>
      </x:c>
      <x:c r="H116" s="26" t="n">
        <x:v>16574.725509</x:v>
      </x:c>
      <x:c r="I116" s="9" t="s">
        <x:v>111</x:v>
      </x:c>
    </x:row>
    <x:row r="117" ht="15" hidden="0">
      <x:c r="A117" s="193" t="s">
        <x:v>285</x:v>
      </x:c>
      <x:c r="B117" s="195" t="s">
        <x:v>286</x:v>
      </x:c>
      <x:c r="C117" s="30"/>
      <x:c r="D117" s="26" t="n">
        <x:v>5089.315864</x:v>
      </x:c>
      <x:c r="E117" s="26" t="n">
        <x:v>8181.35789</x:v>
      </x:c>
      <x:c r="F117" s="26" t="n">
        <x:v>4452.081761</x:v>
      </x:c>
      <x:c r="G117" s="26" t="n">
        <x:v>6647.173409</x:v>
      </x:c>
      <x:c r="H117" s="26" t="n">
        <x:v>9378.288538</x:v>
      </x:c>
      <x:c r="I117" s="9" t="s">
        <x:v>111</x:v>
      </x:c>
    </x:row>
    <x:row r="118" ht="15" hidden="0">
      <x:c r="A118" s="193" t="s">
        <x:v>287</x:v>
      </x:c>
      <x:c r="B118" s="195" t="s">
        <x:v>288</x:v>
      </x:c>
      <x:c r="C118" s="30"/>
      <x:c r="D118" s="26" t="n">
        <x:v>-599.227218</x:v>
      </x:c>
      <x:c r="E118" s="26" t="n">
        <x:v>-514.171817</x:v>
      </x:c>
      <x:c r="F118" s="26" t="n">
        <x:v>-685.823997</x:v>
      </x:c>
      <x:c r="G118" s="26" t="n">
        <x:v>-731.073634</x:v>
      </x:c>
      <x:c r="H118" s="26" t="n">
        <x:v>-391.061821</x:v>
      </x:c>
      <x:c r="I118" s="9" t="s">
        <x:v>111</x:v>
      </x:c>
    </x:row>
    <x:row r="119" ht="15" hidden="0">
      <x:c r="A119" s="193" t="s">
        <x:v>289</x:v>
      </x:c>
      <x:c r="B119" s="195" t="s">
        <x:v>290</x:v>
      </x:c>
      <x:c r="C119" s="30"/>
      <x:c r="D119" s="33" t="s">
        <x:v>291</x:v>
      </x:c>
      <x:c r="E119" s="33" t="s">
        <x:v>291</x:v>
      </x:c>
      <x:c r="F119" s="33" t="s">
        <x:v>291</x:v>
      </x:c>
      <x:c r="G119" s="33" t="s">
        <x:v>291</x:v>
      </x:c>
      <x:c r="H119" s="33" t="s">
        <x:v>291</x:v>
      </x:c>
      <x:c r="I119" s="9" t="s">
        <x:v>292</x:v>
      </x:c>
    </x:row>
    <x:row r="120" ht="15" hidden="0">
      <x:c r="A120" s="193" t="s">
        <x:v>293</x:v>
      </x:c>
      <x:c r="B120" s="195" t="s">
        <x:v>294</x:v>
      </x:c>
      <x:c r="C120" s="30"/>
      <x:c r="D120" s="27" t="n">
        <x:f aca="0">IF(D119="Financing",D117+D118,D117)</x:f>
        <x:v>5089.315864</x:v>
      </x:c>
      <x:c r="E120" s="27" t="n">
        <x:f aca="0">IF(E119="Financing",E117+E118,E117)</x:f>
        <x:v>8181.35789</x:v>
      </x:c>
      <x:c r="F120" s="27" t="n">
        <x:f aca="0">IF(F119="Financing",F117+F118,F117)</x:f>
        <x:v>4452.081761</x:v>
      </x:c>
      <x:c r="G120" s="27" t="n">
        <x:f aca="0">IF(G119="Financing",G117+G118,G117)</x:f>
        <x:v>6647.173409</x:v>
      </x:c>
      <x:c r="H120" s="27" t="n">
        <x:f aca="0">IF(H119="Financing",H117+H118,H117)</x:f>
        <x:v>9378.288538</x:v>
      </x:c>
      <x:c r="I120" s="9" t="s">
        <x:v>111</x:v>
      </x:c>
    </x:row>
    <x:row r="121" ht="15" hidden="0">
      <x:c r="A121" s="193" t="s">
        <x:v>295</x:v>
      </x:c>
      <x:c r="B121" s="195" t="s">
        <x:v>296</x:v>
      </x:c>
      <x:c r="C121" s="30"/>
      <x:c r="D121" s="26" t="n">
        <x:v>-610.597045</x:v>
      </x:c>
      <x:c r="E121" s="26" t="n">
        <x:v>-461.84737</x:v>
      </x:c>
      <x:c r="F121" s="26" t="n">
        <x:v>-2015.897038</x:v>
      </x:c>
      <x:c r="G121" s="26" t="n">
        <x:v>-1107.284933</x:v>
      </x:c>
      <x:c r="H121" s="26" t="n">
        <x:v>-2398.919336</x:v>
      </x:c>
      <x:c r="I121" s="9" t="s">
        <x:v>111</x:v>
      </x:c>
    </x:row>
    <x:row r="122" ht="15" hidden="0">
      <x:c r="A122" s="193" t="s">
        <x:v>297</x:v>
      </x:c>
      <x:c r="B122" s="195" t="s">
        <x:v>298</x:v>
      </x:c>
      <x:c r="C122" s="30"/>
      <x:c r="D122" s="26" t="n">
        <x:v>-3950.178348</x:v>
      </x:c>
      <x:c r="E122" s="26" t="n">
        <x:v>-7092.988516</x:v>
      </x:c>
      <x:c r="F122" s="26" t="n">
        <x:v>-2470.515763</x:v>
      </x:c>
      <x:c r="G122" s="26" t="n">
        <x:v>-5030.324094</x:v>
      </x:c>
      <x:c r="H122" s="26" t="n">
        <x:v>-4398.59577</x:v>
      </x:c>
      <x:c r="I122" s="9" t="s">
        <x:v>111</x:v>
      </x:c>
    </x:row>
    <x:row r="123" ht="15" hidden="0">
      <x:c r="A123" s="193" t="s">
        <x:v>299</x:v>
      </x:c>
      <x:c r="B123" s="195" t="s">
        <x:v>300</x:v>
      </x:c>
      <x:c r="C123" s="30"/>
      <x:c r="D123" s="26" t="n">
        <x:v>-943.014252</x:v>
      </x:c>
      <x:c r="E123" s="26" t="n">
        <x:v>-1805.333093</x:v>
      </x:c>
      <x:c r="F123" s="26" t="n">
        <x:v>-1528.794437</x:v>
      </x:c>
      <x:c r="G123" s="26" t="n">
        <x:v>-1447.737336</x:v>
      </x:c>
      <x:c r="H123" s="26" t="n">
        <x:v>-4631.639217</x:v>
      </x:c>
      <x:c r="I123" s="9" t="s">
        <x:v>111</x:v>
      </x:c>
    </x:row>
    <x:row r="124" ht="15" hidden="0">
      <x:c r="A124" s="193" t="s">
        <x:v>301</x:v>
      </x:c>
      <x:c r="B124" s="195" t="s">
        <x:v>302</x:v>
      </x:c>
      <x:c r="C124" s="30"/>
      <x:c r="D124" s="26" t="n">
        <x:v>-1.816796</x:v>
      </x:c>
      <x:c r="E124" s="26" t="n">
        <x:v>-0.549503</x:v>
      </x:c>
      <x:c r="F124" s="26" t="n">
        <x:v>-0.172829</x:v>
      </x:c>
      <x:c r="G124" s="26" t="n">
        <x:v>-0.136289</x:v>
      </x:c>
      <x:c r="H124" s="26" t="n">
        <x:v>-3.157674</x:v>
      </x:c>
      <x:c r="I124" s="9" t="s">
        <x:v>111</x:v>
      </x:c>
    </x:row>
    <x:row r="125">
      <x:c r="A125" s="193"/>
      <x:c r="B125" s="193"/>
    </x:row>
    <x:row r="126" ht="15" hidden="0">
      <x:c r="A126" s="196" t="s">
        <x:v>303</x:v>
      </x:c>
      <x:c r="B126" s="197"/>
      <x:c r="C126" s="20"/>
      <x:c r="D126" s="20"/>
      <x:c r="E126" s="20"/>
      <x:c r="F126" s="20"/>
      <x:c r="G126" s="20"/>
      <x:c r="H126" s="20"/>
      <x:c r="I126" s="20"/>
      <x:c r="J126" s="20"/>
    </x:row>
    <x:row r="127" ht="15" hidden="0">
      <x:c r="A127" s="193" t="s">
        <x:v>304</x:v>
      </x:c>
      <x:c r="B127" s="195" t="s">
        <x:v>305</x:v>
      </x:c>
      <x:c r="C127" s="30"/>
      <x:c r="D127" s="34" t="n">
        <x:v>10</x:v>
      </x:c>
      <x:c r="E127" s="34" t="n">
        <x:v>10</x:v>
      </x:c>
      <x:c r="F127" s="34" t="n">
        <x:v>10</x:v>
      </x:c>
      <x:c r="G127" s="34" t="n">
        <x:v>10</x:v>
      </x:c>
      <x:c r="H127" s="34" t="n">
        <x:v>10</x:v>
      </x:c>
      <x:c r="I127" s="9" t="s">
        <x:v>306</x:v>
      </x:c>
    </x:row>
    <x:row r="128" ht="15" hidden="0">
      <x:c r="A128" s="193" t="s">
        <x:v>307</x:v>
      </x:c>
      <x:c r="B128" s="195" t="s">
        <x:v>308</x:v>
      </x:c>
      <x:c r="C128" s="30"/>
      <x:c r="D128" s="35" t="n">
        <x:f aca="0">D39/D127-D135</x:f>
        <x:v>200.86129699999998</x:v>
      </x:c>
      <x:c r="E128" s="35" t="n">
        <x:f aca="0">E39/E127-E135</x:f>
        <x:v>200.86129699999998</x:v>
      </x:c>
      <x:c r="F128" s="35" t="n">
        <x:f aca="0">F39/F127-F135</x:f>
        <x:v>200.86129699999998</x:v>
      </x:c>
      <x:c r="G128" s="35" t="n">
        <x:f aca="0">G39/G127-G135</x:f>
        <x:v>195.86129699999998</x:v>
      </x:c>
      <x:c r="H128" s="35" t="n">
        <x:f aca="0">H39/H127-H135</x:f>
        <x:v>183.86129699999998</x:v>
      </x:c>
      <x:c r="I128" s="9" t="s">
        <x:v>309</x:v>
      </x:c>
    </x:row>
    <x:row r="129" ht="15" hidden="0">
      <x:c r="A129" s="193" t="s">
        <x:v>310</x:v>
      </x:c>
      <x:c r="B129" s="195" t="s">
        <x:v>311</x:v>
      </x:c>
      <x:c r="C129" s="30"/>
      <x:c r="D129" s="36" t="n">
        <x:v>200.861297</x:v>
      </x:c>
      <x:c r="E129" s="36" t="n">
        <x:v>200.861297</x:v>
      </x:c>
      <x:c r="F129" s="36" t="n">
        <x:v>200.861297</x:v>
      </x:c>
      <x:c r="G129" s="36" t="n">
        <x:v>196.435067</x:v>
      </x:c>
      <x:c r="H129" s="36" t="n">
        <x:v>193.42842</x:v>
      </x:c>
      <x:c r="I129" s="9" t="s">
        <x:v>309</x:v>
      </x:c>
    </x:row>
    <x:row r="130" ht="15" hidden="0">
      <x:c r="A130" s="193" t="str">
        <x:v>FY-end share price (Rs; last PSX close)</x:v>
      </x:c>
      <x:c r="B130" s="195" t="s">
        <x:v>312</x:v>
      </x:c>
      <x:c r="C130" s="30"/>
      <x:c r="D130" s="34" t="n">
        <x:v>206.49</x:v>
      </x:c>
      <x:c r="E130" s="34" t="n">
        <x:v>130.13</x:v>
      </x:c>
      <x:c r="F130" s="34" t="n">
        <x:v>173.47</x:v>
      </x:c>
      <x:c r="G130" s="34" t="n">
        <x:v>250.43</x:v>
      </x:c>
      <x:c r="H130" s="34" t="n">
        <x:v>379.36</x:v>
      </x:c>
      <x:c r="I130" s="9" t="s">
        <x:v>306</x:v>
      </x:c>
    </x:row>
    <x:row r="131" ht="15" hidden="0">
      <x:c r="A131" s="193" t="s">
        <x:v>313</x:v>
      </x:c>
      <x:c r="B131" s="195" t="s">
        <x:v>314</x:v>
      </x:c>
      <x:c r="C131" s="30"/>
      <x:c r="D131" s="34" t="n">
        <x:v>0</x:v>
      </x:c>
      <x:c r="E131" s="34" t="n">
        <x:v>0</x:v>
      </x:c>
      <x:c r="F131" s="34" t="n">
        <x:v>0</x:v>
      </x:c>
      <x:c r="G131" s="34" t="n">
        <x:v>0</x:v>
      </x:c>
      <x:c r="H131" s="34" t="n">
        <x:v>0</x:v>
      </x:c>
      <x:c r="I131" s="9" t="s">
        <x:v>306</x:v>
      </x:c>
    </x:row>
    <x:row r="132" ht="15" hidden="0">
      <x:c r="A132" s="193" t="str">
        <x:v>Reported EPS (Rs; own-year report basis)</x:v>
      </x:c>
      <x:c r="B132" s="195" t="s">
        <x:v>315</x:v>
      </x:c>
      <x:c r="C132" s="30"/>
      <x:c r="D132" s="34" t="n">
        <x:v>17.41</x:v>
      </x:c>
      <x:c r="E132" s="34" t="n">
        <x:v>25.01</x:v>
      </x:c>
      <x:c r="F132" s="34" t="n">
        <x:v>28.98</x:v>
      </x:c>
      <x:c r="G132" s="34" t="n">
        <x:v>45.27</x:v>
      </x:c>
      <x:c r="H132" s="34" t="n">
        <x:v>11.97</x:v>
      </x:c>
      <x:c r="I132" s="9" t="s">
        <x:v>306</x:v>
      </x:c>
    </x:row>
    <x:row r="133" ht="15" hidden="0">
      <x:c r="A133" s="193" t="s">
        <x:v>316</x:v>
      </x:c>
      <x:c r="B133" s="195" t="s">
        <x:v>317</x:v>
      </x:c>
      <x:c r="C133" s="30"/>
      <x:c r="D133" s="27" t="n">
        <x:f aca="0">D130*D128</x:f>
        <x:v>41475.84921753</x:v>
      </x:c>
      <x:c r="E133" s="27" t="n">
        <x:f aca="0">E130*E128</x:f>
        <x:v>26138.080578609995</x:v>
      </x:c>
      <x:c r="F133" s="27" t="n">
        <x:f aca="0">F130*F128</x:f>
        <x:v>34843.40919059</x:v>
      </x:c>
      <x:c r="G133" s="27" t="n">
        <x:f aca="0">G130*G128</x:f>
        <x:v>49049.54460771</x:v>
      </x:c>
      <x:c r="H133" s="27" t="n">
        <x:f aca="0">H130*H128</x:f>
        <x:v>69749.62162991999</x:v>
      </x:c>
      <x:c r="I133" s="9" t="s">
        <x:v>111</x:v>
      </x:c>
    </x:row>
    <x:row r="134" ht="15" hidden="0">
      <x:c r="A134" s="193" t="str">
        <x:v>Factor to FY2025 annual-report split basis (memo)</x:v>
      </x:c>
      <x:c r="B134" s="195" t="s">
        <x:v>318</x:v>
      </x:c>
      <x:c r="C134" s="30"/>
      <x:c r="D134" s="34" t="n">
        <x:v>5</x:v>
      </x:c>
      <x:c r="E134" s="34" t="n">
        <x:v>5</x:v>
      </x:c>
      <x:c r="F134" s="34" t="n">
        <x:v>5</x:v>
      </x:c>
      <x:c r="G134" s="34" t="n">
        <x:v>5</x:v>
      </x:c>
      <x:c r="H134" s="34" t="n">
        <x:v>5</x:v>
      </x:c>
      <x:c r="I134" s="9" t="s">
        <x:v>319</x:v>
      </x:c>
    </x:row>
    <x:row r="135">
      <x:c r="A135" s="193" t="str">
        <x:v>Treasury shares excluded (million)</x:v>
      </x:c>
      <x:c r="B135" s="195"/>
      <x:c r="C135" s="30"/>
      <x:c r="D135" s="34" t="n">
        <x:v>0</x:v>
      </x:c>
      <x:c r="E135" s="34" t="n">
        <x:v>0</x:v>
      </x:c>
      <x:c r="F135" s="34" t="n">
        <x:v>0</x:v>
      </x:c>
      <x:c r="G135" s="34" t="n">
        <x:v>0</x:v>
      </x:c>
      <x:c r="H135" s="34" t="n">
        <x:v>0</x:v>
      </x:c>
    </x:row>
    <x:row r="136" ht="15" hidden="0">
      <x:c r="A136" s="196" t="s">
        <x:v>320</x:v>
      </x:c>
      <x:c r="B136" s="197"/>
      <x:c r="C136" s="20"/>
      <x:c r="D136" s="20"/>
      <x:c r="E136" s="20"/>
      <x:c r="F136" s="20"/>
      <x:c r="G136" s="20"/>
      <x:c r="H136" s="20"/>
      <x:c r="I136" s="20"/>
      <x:c r="J136" s="20"/>
    </x:row>
    <x:row r="137" ht="22" hidden="0" customHeight="1">
      <x:c r="A137" s="203" t="str">
        <x:v>Liquidity</x:v>
      </x:c>
      <x:c r="B137" s="204"/>
      <x:c r="C137" s="129"/>
      <x:c r="D137" s="129"/>
      <x:c r="E137" s="129"/>
      <x:c r="F137" s="129"/>
      <x:c r="G137" s="129"/>
      <x:c r="H137" s="129"/>
      <x:c r="I137" s="25"/>
      <x:c r="J137" s="25"/>
    </x:row>
    <x:row r="138" ht="15" hidden="0">
      <x:c r="A138" s="207" t="str">
        <x:v>1. Current ratio</x:v>
      </x:c>
      <x:c r="B138" s="205" t="str">
        <x:v>Current Assets / Current Liabilities</x:v>
      </x:c>
      <x:c r="C138" s="30"/>
      <x:c r="D138" s="121" t="n">
        <x:f>IF(OR((D61)&lt;=0,(D36)&lt;0),"n/m",(D36)/(D61))</x:f>
        <x:v>1.3006446691414961</x:v>
      </x:c>
      <x:c r="E138" s="121" t="n">
        <x:f>IF(OR((E61)&lt;=0,(E36)&lt;0),"n/m",(E36)/(E61))</x:f>
        <x:v>1.8735085276109804</x:v>
      </x:c>
      <x:c r="F138" s="121" t="n">
        <x:f>IF(OR((F61)&lt;=0,(F36)&lt;0),"n/m",(F36)/(F61))</x:f>
        <x:v>2.311570515459215</x:v>
      </x:c>
      <x:c r="G138" s="121" t="n">
        <x:f>IF(OR((G61)&lt;=0,(G36)&lt;0),"n/m",(G36)/(G61))</x:f>
        <x:v>2.903159053016002</x:v>
      </x:c>
      <x:c r="H138" s="121" t="n">
        <x:f>IF(OR((H61)&lt;=0,(H36)&lt;0),"n/m",(H36)/(H61))</x:f>
        <x:v>3.311248687172772</x:v>
      </x:c>
      <x:c r="I138" s="9" t="s">
        <x:v>321</x:v>
      </x:c>
    </x:row>
    <x:row r="139" ht="15" hidden="0">
      <x:c r="A139" s="207" t="str">
        <x:v>2. Quick ratio</x:v>
      </x:c>
      <x:c r="B139" s="205" t="str">
        <x:v>(Current Assets - Inventories) / Current Liabilities</x:v>
      </x:c>
      <x:c r="C139" s="30"/>
      <x:c r="D139" s="121" t="n">
        <x:f>IF(OR((D61)&lt;=0,(D36-D65)&lt;0),"n/m",(D36-D65)/(D61))</x:f>
        <x:v>0.748160438555549</x:v>
      </x:c>
      <x:c r="E139" s="121" t="n">
        <x:f>IF(OR((E61)&lt;=0,(E36-E65)&lt;0),"n/m",(E36-E65)/(E61))</x:f>
        <x:v>1.2758070110452304</x:v>
      </x:c>
      <x:c r="F139" s="121" t="n">
        <x:f>IF(OR((F61)&lt;=0,(F36-F65)&lt;0),"n/m",(F36-F65)/(F61))</x:f>
        <x:v>1.5392110300634694</x:v>
      </x:c>
      <x:c r="G139" s="121" t="n">
        <x:f>IF(OR((G61)&lt;=0,(G36-G65)&lt;0),"n/m",(G36-G65)/(G61))</x:f>
        <x:v>2.220059339921235</x:v>
      </x:c>
      <x:c r="H139" s="121" t="n">
        <x:f>IF(OR((H61)&lt;=0,(H36-H65)&lt;0),"n/m",(H36-H65)/(H61))</x:f>
        <x:v>2.6677003784340947</x:v>
      </x:c>
      <x:c r="I139" s="9" t="s">
        <x:v>321</x:v>
      </x:c>
    </x:row>
    <x:row r="140" ht="15" hidden="0">
      <x:c r="A140" s="207" t="str">
        <x:v>3. Cash ratio</x:v>
      </x:c>
      <x:c r="B140" s="205" t="str">
        <x:v>Cash and Bank / Current Liabilities</x:v>
      </x:c>
      <x:c r="C140" s="30"/>
      <x:c r="D140" s="121" t="n">
        <x:f>IF(OR((D61)&lt;=0,(D34)&lt;0),"n/m",(D34)/(D61))</x:f>
        <x:v>0.15817363525137568</x:v>
      </x:c>
      <x:c r="E140" s="121" t="n">
        <x:f>IF(OR((E61)&lt;=0,(E34)&lt;0),"n/m",(E34)/(E61))</x:f>
        <x:v>0.05067096377572231</x:v>
      </x:c>
      <x:c r="F140" s="121" t="n">
        <x:f>IF(OR((F61)&lt;=0,(F34)&lt;0),"n/m",(F34)/(F61))</x:f>
        <x:v>0.09417804645207263</x:v>
      </x:c>
      <x:c r="G140" s="121" t="n">
        <x:f>IF(OR((G61)&lt;=0,(G34)&lt;0),"n/m",(G34)/(G61))</x:f>
        <x:v>0.09937683148978137</x:v>
      </x:c>
      <x:c r="H140" s="121" t="n">
        <x:f>IF(OR((H61)&lt;=0,(H34)&lt;0),"n/m",(H34)/(H61))</x:f>
        <x:v>0.1243988942257843</x:v>
      </x:c>
      <x:c r="I140" s="9" t="s">
        <x:v>321</x:v>
      </x:c>
    </x:row>
    <x:row r="141" ht="15" hidden="0">
      <x:c r="A141" s="207" t="str">
        <x:v>4. Net working capital (PKR m)</x:v>
      </x:c>
      <x:c r="B141" s="205" t="str">
        <x:v>Current Assets - Current Liabilities</x:v>
      </x:c>
      <x:c r="C141" s="30"/>
      <x:c r="D141" s="122" t="n">
        <x:f>IF(OR((1)&lt;=0,(D36-D61)&lt;0),"n/m",(D36-D61)/(1))</x:f>
        <x:v>2276.5547739999984</x:v>
      </x:c>
      <x:c r="E141" s="122" t="n">
        <x:f>IF(OR((1)&lt;=0,(E36-E61)&lt;0),"n/m",(E36-E61)/(1))</x:f>
        <x:v>8287.840767999996</x:v>
      </x:c>
      <x:c r="F141" s="122" t="n">
        <x:f>IF(OR((1)&lt;=0,(F36-F61)&lt;0),"n/m",(F36-F61)/(1))</x:f>
        <x:v>13000.905238000001</x:v>
      </x:c>
      <x:c r="G141" s="122" t="n">
        <x:f>IF(OR((1)&lt;=0,(G36-G61)&lt;0),"n/m",(G36-G61)/(1))</x:f>
        <x:v>21116.760542</x:v>
      </x:c>
      <x:c r="H141" s="122" t="n">
        <x:f>IF(OR((1)&lt;=0,(H36-H61)&lt;0),"n/m",(H36-H61)/(1))</x:f>
        <x:v>26953.091383000003</x:v>
      </x:c>
      <x:c r="I141" s="9" t="s">
        <x:v>111</x:v>
      </x:c>
    </x:row>
    <x:row r="142" ht="15" hidden="0">
      <x:c r="A142" s="207" t="str">
        <x:v>5. Net operating working capital (PKR m)</x:v>
      </x:c>
      <x:c r="B142" s="205" t="str">
        <x:v>Operating CA - Operating CL</x:v>
      </x:c>
      <x:c r="C142" s="30"/>
      <x:c r="D142" s="122" t="str">
        <x:f>IF(OR((1)&lt;=0,(D72-D73)&lt;0),"n/m",(D72-D73)/(1))</x:f>
        <x:v>n/m</x:v>
      </x:c>
      <x:c r="E142" s="122" t="str">
        <x:f>IF(OR((1)&lt;=0,(E72-E73)&lt;0),"n/m",(E72-E73)/(1))</x:f>
        <x:v>n/m</x:v>
      </x:c>
      <x:c r="F142" s="122" t="n">
        <x:f>IF(OR((1)&lt;=0,(F72-F73)&lt;0),"n/m",(F72-F73)/(1))</x:f>
        <x:v>1004.8001120000008</x:v>
      </x:c>
      <x:c r="G142" s="122" t="n">
        <x:f>IF(OR((1)&lt;=0,(G72-G73)&lt;0),"n/m",(G72-G73)/(1))</x:f>
        <x:v>949.0612429999965</x:v>
      </x:c>
      <x:c r="H142" s="122" t="str">
        <x:f>IF(OR((1)&lt;=0,(H72-H73)&lt;0),"n/m",(H72-H73)/(1))</x:f>
        <x:v>n/m</x:v>
      </x:c>
      <x:c r="I142" s="9" t="s">
        <x:v>111</x:v>
      </x:c>
    </x:row>
    <x:row r="143" ht="22" hidden="0" customHeight="1">
      <x:c r="A143" s="203" t="str">
        <x:v>Asset Management</x:v>
      </x:c>
      <x:c r="B143" s="204"/>
      <x:c r="C143" s="129"/>
      <x:c r="D143" s="129"/>
      <x:c r="E143" s="129"/>
      <x:c r="F143" s="129"/>
      <x:c r="G143" s="129"/>
      <x:c r="H143" s="129"/>
      <x:c r="I143" s="25"/>
      <x:c r="J143" s="25"/>
    </x:row>
    <x:row r="144" ht="15" hidden="0">
      <x:c r="A144" s="207" t="str">
        <x:v>6. Inventory turnover</x:v>
      </x:c>
      <x:c r="B144" s="205" t="str">
        <x:v>COGS / Average Inventory</x:v>
      </x:c>
      <x:c r="C144" s="30"/>
      <x:c r="D144" s="121" t="n">
        <x:f>IF(OR((AVERAGE(C65,D65))&lt;=0,(-D85)&lt;0),"n/m",(-D85)/(AVERAGE(C65,D65)))</x:f>
        <x:v>4.857098601325517</x:v>
      </x:c>
      <x:c r="E144" s="121" t="n">
        <x:f>IF(OR((AVERAGE(D65,E65))&lt;=0,(-E85)&lt;0),"n/m",(-E85)/(AVERAGE(D65,E65)))</x:f>
        <x:v>4.681131721571692</x:v>
      </x:c>
      <x:c r="F144" s="121" t="n">
        <x:f>IF(OR((AVERAGE(E65,F65))&lt;=0,(-F85)&lt;0),"n/m",(-F85)/(AVERAGE(E65,F65)))</x:f>
        <x:v>4.275379143771386</x:v>
      </x:c>
      <x:c r="G144" s="121" t="n">
        <x:f>IF(OR((AVERAGE(F65,G65))&lt;=0,(-G85)&lt;0),"n/m",(-G85)/(AVERAGE(F65,G65)))</x:f>
        <x:v>3.5957369645110586</x:v>
      </x:c>
      <x:c r="H144" s="121" t="n">
        <x:f>IF(OR((AVERAGE(G65,H65))&lt;=0,(-H85)&lt;0),"n/m",(-H85)/(AVERAGE(G65,H65)))</x:f>
        <x:v>3.024880626442934</x:v>
      </x:c>
      <x:c r="I144" s="9" t="s">
        <x:v>321</x:v>
      </x:c>
    </x:row>
    <x:row r="145" ht="15" hidden="0">
      <x:c r="A145" s="207" t="str">
        <x:v>7. Receivables turnover</x:v>
      </x:c>
      <x:c r="B145" s="205" t="str">
        <x:v>Net Sales / Average Trade Debts</x:v>
      </x:c>
      <x:c r="C145" s="30"/>
      <x:c r="D145" s="121" t="n">
        <x:f>IF(OR((AVERAGE(C32,D32))&lt;=0,(D84)&lt;0),"n/m",(D84)/(AVERAGE(C32,D32)))</x:f>
        <x:v>32.55652715218313</x:v>
      </x:c>
      <x:c r="E145" s="121" t="n">
        <x:f>IF(OR((AVERAGE(D32,E32))&lt;=0,(E84)&lt;0),"n/m",(E84)/(AVERAGE(D32,E32)))</x:f>
        <x:v>34.61446204651397</x:v>
      </x:c>
      <x:c r="F145" s="121" t="n">
        <x:f>IF(OR((AVERAGE(E32,F32))&lt;=0,(F84)&lt;0),"n/m",(F84)/(AVERAGE(E32,F32)))</x:f>
        <x:v>36.690956476472735</x:v>
      </x:c>
      <x:c r="G145" s="121" t="n">
        <x:f>IF(OR((AVERAGE(F32,G32))&lt;=0,(G84)&lt;0),"n/m",(G84)/(AVERAGE(F32,G32)))</x:f>
        <x:v>23.311269128267483</x:v>
      </x:c>
      <x:c r="H145" s="121" t="n">
        <x:f>IF(OR((AVERAGE(G32,H32))&lt;=0,(H84)&lt;0),"n/m",(H84)/(AVERAGE(G32,H32)))</x:f>
        <x:v>19.742821104933064</x:v>
      </x:c>
      <x:c r="I145" s="9" t="s">
        <x:v>321</x:v>
      </x:c>
    </x:row>
    <x:row r="146" ht="15" hidden="0">
      <x:c r="A146" s="207" t="str">
        <x:v>8. Payables turnover</x:v>
      </x:c>
      <x:c r="B146" s="205" t="str">
        <x:v>COGS / Average Trade Creditors</x:v>
      </x:c>
      <x:c r="C146" s="30"/>
      <x:c r="D146" s="121" t="n">
        <x:f>IF(OR((AVERAGE(C51,D51))&lt;=0,(-D85)&lt;0),"n/m",(-D85)/(AVERAGE(C51,D51)))</x:f>
        <x:v>13.672632178905467</x:v>
      </x:c>
      <x:c r="E146" s="121" t="n">
        <x:f>IF(OR((AVERAGE(D51,E51))&lt;=0,(-E85)&lt;0),"n/m",(-E85)/(AVERAGE(D51,E51)))</x:f>
        <x:v>16.26188152658038</x:v>
      </x:c>
      <x:c r="F146" s="121" t="n">
        <x:f>IF(OR((AVERAGE(E51,F51))&lt;=0,(-F85)&lt;0),"n/m",(-F85)/(AVERAGE(E51,F51)))</x:f>
        <x:v>29.126311219807445</x:v>
      </x:c>
      <x:c r="G146" s="121" t="n">
        <x:f>IF(OR((AVERAGE(F51,G51))&lt;=0,(-G85)&lt;0),"n/m",(-G85)/(AVERAGE(F51,G51)))</x:f>
        <x:v>22.3044994512903</x:v>
      </x:c>
      <x:c r="H146" s="121" t="n">
        <x:f>IF(OR((AVERAGE(G51,H51))&lt;=0,(-H85)&lt;0),"n/m",(-H85)/(AVERAGE(G51,H51)))</x:f>
        <x:v>11.733886186566796</x:v>
      </x:c>
      <x:c r="I146" s="9" t="s">
        <x:v>321</x:v>
      </x:c>
    </x:row>
    <x:row r="147" ht="15" hidden="0">
      <x:c r="A147" s="207" t="str">
        <x:v>9. Days inventory outstanding</x:v>
      </x:c>
      <x:c r="B147" s="205" t="str">
        <x:v>365 / Inventory Turnover</x:v>
      </x:c>
      <x:c r="C147" s="30"/>
      <x:c r="D147" s="123" t="n">
        <x:f>IF(OR((-D85)&lt;=0,(365*AVERAGE(C65,D65))&lt;0),"n/m",(365*AVERAGE(C65,D65))/(-D85))</x:f>
        <x:v>75.14774353157878</x:v>
      </x:c>
      <x:c r="E147" s="123" t="n">
        <x:f>IF(OR((-E85)&lt;=0,(365*AVERAGE(D65,E65))&lt;0),"n/m",(365*AVERAGE(D65,E65))/(-E85))</x:f>
        <x:v>77.97259759173176</x:v>
      </x:c>
      <x:c r="F147" s="123" t="n">
        <x:f>IF(OR((-F85)&lt;=0,(365*AVERAGE(E65,F65))&lt;0),"n/m",(365*AVERAGE(E65,F65))/(-F85))</x:f>
        <x:v>85.37254538740795</x:v>
      </x:c>
      <x:c r="G147" s="123" t="n">
        <x:f>IF(OR((-G85)&lt;=0,(365*AVERAGE(F65,G65))&lt;0),"n/m",(365*AVERAGE(F65,G65))/(-G85))</x:f>
        <x:v>101.50909357454404</x:v>
      </x:c>
      <x:c r="H147" s="123" t="n">
        <x:f>IF(OR((-H85)&lt;=0,(365*AVERAGE(G65,H65))&lt;0),"n/m",(365*AVERAGE(G65,H65))/(-H85))</x:f>
        <x:v>120.66591878345184</x:v>
      </x:c>
      <x:c r="I147" s="9" t="s">
        <x:v>322</x:v>
      </x:c>
    </x:row>
    <x:row r="148" ht="15" hidden="0">
      <x:c r="A148" s="207" t="str">
        <x:v>10. Days sales outstanding</x:v>
      </x:c>
      <x:c r="B148" s="205" t="str">
        <x:v>365 / Receivables Turnover</x:v>
      </x:c>
      <x:c r="C148" s="30"/>
      <x:c r="D148" s="123" t="n">
        <x:f>IF(OR((D84)&lt;=0,(365*AVERAGE(C32,D32))&lt;0),"n/m",(365*AVERAGE(C32,D32))/(D84))</x:f>
        <x:v>11.211269503464973</x:v>
      </x:c>
      <x:c r="E148" s="123" t="n">
        <x:f>IF(OR((E84)&lt;=0,(365*AVERAGE(D32,E32))&lt;0),"n/m",(365*AVERAGE(D32,E32))/(E84))</x:f>
        <x:v>10.544725482358297</x:v>
      </x:c>
      <x:c r="F148" s="123" t="n">
        <x:f>IF(OR((F84)&lt;=0,(365*AVERAGE(E32,F32))&lt;0),"n/m",(365*AVERAGE(E32,F32))/(F84))</x:f>
        <x:v>9.947955437848785</x:v>
      </x:c>
      <x:c r="G148" s="123" t="n">
        <x:f>IF(OR((G84)&lt;=0,(365*AVERAGE(F32,G32))&lt;0),"n/m",(365*AVERAGE(F32,G32))/(G84))</x:f>
        <x:v>15.65766316675557</x:v>
      </x:c>
      <x:c r="H148" s="123" t="n">
        <x:f>IF(OR((H84)&lt;=0,(365*AVERAGE(G32,H32))&lt;0),"n/m",(365*AVERAGE(G32,H32))/(H84))</x:f>
        <x:v>18.487732733839078</x:v>
      </x:c>
      <x:c r="I148" s="9" t="s">
        <x:v>322</x:v>
      </x:c>
    </x:row>
    <x:row r="149" ht="15" hidden="0">
      <x:c r="A149" s="207" t="str">
        <x:v>11. Days payables outstanding</x:v>
      </x:c>
      <x:c r="B149" s="205" t="str">
        <x:v>365 / Payables Turnover</x:v>
      </x:c>
      <x:c r="C149" s="30"/>
      <x:c r="D149" s="123" t="n">
        <x:f>IF(OR((-D85)&lt;=0,(365*AVERAGE(C51,D51))&lt;0),"n/m",(365*AVERAGE(C51,D51))/(-D85))</x:f>
        <x:v>26.695664391757177</x:v>
      </x:c>
      <x:c r="E149" s="123" t="n">
        <x:f>IF(OR((-E85)&lt;=0,(365*AVERAGE(D51,E51))&lt;0),"n/m",(365*AVERAGE(D51,E51))/(-E85))</x:f>
        <x:v>22.44512723840719</x:v>
      </x:c>
      <x:c r="F149" s="123" t="n">
        <x:f>IF(OR((-F85)&lt;=0,(365*AVERAGE(E51,F51))&lt;0),"n/m",(365*AVERAGE(E51,F51))/(-F85))</x:f>
        <x:v>12.531624662163896</x:v>
      </x:c>
      <x:c r="G149" s="123" t="n">
        <x:f>IF(OR((-G85)&lt;=0,(365*AVERAGE(F51,G51))&lt;0),"n/m",(365*AVERAGE(F51,G51))/(-G85))</x:f>
        <x:v>16.36441117170576</x:v>
      </x:c>
      <x:c r="H149" s="123" t="n">
        <x:f>IF(OR((-H85)&lt;=0,(365*AVERAGE(G51,H51))&lt;0),"n/m",(365*AVERAGE(G51,H51))/(-H85))</x:f>
        <x:v>31.10648886452127</x:v>
      </x:c>
      <x:c r="I149" s="9" t="s">
        <x:v>322</x:v>
      </x:c>
    </x:row>
    <x:row r="150" ht="15" hidden="0">
      <x:c r="A150" s="207" t="str">
        <x:v>12. Operating cycle (days)</x:v>
      </x:c>
      <x:c r="B150" s="205" t="str">
        <x:v>DIO + DSO</x:v>
      </x:c>
      <x:c r="C150" s="30"/>
      <x:c r="D150" s="123" t="n">
        <x:f>IF(OR((1)&lt;=0,(365*AVERAGE(C65,D65)/(-D85)+365*AVERAGE(C32,D32)/D84)&lt;0),"n/m",(365*AVERAGE(C65,D65)/(-D85)+365*AVERAGE(C32,D32)/D84)/(1))</x:f>
        <x:v>86.35901303504376</x:v>
      </x:c>
      <x:c r="E150" s="123" t="n">
        <x:f>IF(OR((1)&lt;=0,(365*AVERAGE(D65,E65)/(-E85)+365*AVERAGE(D32,E32)/E84)&lt;0),"n/m",(365*AVERAGE(D65,E65)/(-E85)+365*AVERAGE(D32,E32)/E84)/(1))</x:f>
        <x:v>88.51732307409006</x:v>
      </x:c>
      <x:c r="F150" s="123" t="n">
        <x:f>IF(OR((1)&lt;=0,(365*AVERAGE(E65,F65)/(-F85)+365*AVERAGE(E32,F32)/F84)&lt;0),"n/m",(365*AVERAGE(E65,F65)/(-F85)+365*AVERAGE(E32,F32)/F84)/(1))</x:f>
        <x:v>95.32050082525674</x:v>
      </x:c>
      <x:c r="G150" s="123" t="n">
        <x:f>IF(OR((1)&lt;=0,(365*AVERAGE(F65,G65)/(-G85)+365*AVERAGE(F32,G32)/G84)&lt;0),"n/m",(365*AVERAGE(F65,G65)/(-G85)+365*AVERAGE(F32,G32)/G84)/(1))</x:f>
        <x:v>117.16675674129961</x:v>
      </x:c>
      <x:c r="H150" s="123" t="n">
        <x:f>IF(OR((1)&lt;=0,(365*AVERAGE(G65,H65)/(-H85)+365*AVERAGE(G32,H32)/H84)&lt;0),"n/m",(365*AVERAGE(G65,H65)/(-H85)+365*AVERAGE(G32,H32)/H84)/(1))</x:f>
        <x:v>139.1536515172909</x:v>
      </x:c>
      <x:c r="I150" s="9" t="s">
        <x:v>322</x:v>
      </x:c>
    </x:row>
    <x:row r="151" ht="15" hidden="0">
      <x:c r="A151" s="207" t="str">
        <x:v>13. Cash conversion cycle (days)</x:v>
      </x:c>
      <x:c r="B151" s="205" t="str">
        <x:v>DIO + DSO - DPO</x:v>
      </x:c>
      <x:c r="C151" s="30"/>
      <x:c r="D151" s="123" t="n">
        <x:f>IF(OR((1)&lt;=0,(365*AVERAGE(C65,D65)/(-D85)+365*AVERAGE(C32,D32)/D84-365*AVERAGE(C51,D51)/(-D85))&lt;0),"n/m",(365*AVERAGE(C65,D65)/(-D85)+365*AVERAGE(C32,D32)/D84-365*AVERAGE(C51,D51)/(-D85))/(1))</x:f>
        <x:v>59.66334864328658</x:v>
      </x:c>
      <x:c r="E151" s="123" t="n">
        <x:f>IF(OR((1)&lt;=0,(365*AVERAGE(D65,E65)/(-E85)+365*AVERAGE(D32,E32)/E84-365*AVERAGE(D51,E51)/(-E85))&lt;0),"n/m",(365*AVERAGE(D65,E65)/(-E85)+365*AVERAGE(D32,E32)/E84-365*AVERAGE(D51,E51)/(-E85))/(1))</x:f>
        <x:v>66.07219583568286</x:v>
      </x:c>
      <x:c r="F151" s="123" t="n">
        <x:f>IF(OR((1)&lt;=0,(365*AVERAGE(E65,F65)/(-F85)+365*AVERAGE(E32,F32)/F84-365*AVERAGE(E51,F51)/(-F85))&lt;0),"n/m",(365*AVERAGE(E65,F65)/(-F85)+365*AVERAGE(E32,F32)/F84-365*AVERAGE(E51,F51)/(-F85))/(1))</x:f>
        <x:v>82.78887616309285</x:v>
      </x:c>
      <x:c r="G151" s="123" t="n">
        <x:f>IF(OR((1)&lt;=0,(365*AVERAGE(F65,G65)/(-G85)+365*AVERAGE(F32,G32)/G84-365*AVERAGE(F51,G51)/(-G85))&lt;0),"n/m",(365*AVERAGE(F65,G65)/(-G85)+365*AVERAGE(F32,G32)/G84-365*AVERAGE(F51,G51)/(-G85))/(1))</x:f>
        <x:v>100.80234556959385</x:v>
      </x:c>
      <x:c r="H151" s="123" t="n">
        <x:f>IF(OR((1)&lt;=0,(365*AVERAGE(G65,H65)/(-H85)+365*AVERAGE(G32,H32)/H84-365*AVERAGE(G51,H51)/(-H85))&lt;0),"n/m",(365*AVERAGE(G65,H65)/(-H85)+365*AVERAGE(G32,H32)/H84-365*AVERAGE(G51,H51)/(-H85))/(1))</x:f>
        <x:v>108.04716265276964</x:v>
      </x:c>
      <x:c r="I151" s="9" t="s">
        <x:v>322</x:v>
      </x:c>
    </x:row>
    <x:row r="152" ht="15" hidden="0">
      <x:c r="A152" s="207" t="str">
        <x:v>14. Total asset turnover</x:v>
      </x:c>
      <x:c r="B152" s="205" t="str">
        <x:v>Net Sales / Average Total Assets</x:v>
      </x:c>
      <x:c r="C152" s="30"/>
      <x:c r="D152" s="121" t="n">
        <x:f>IF(OR((AVERAGE(C37,D37))&lt;=0,(D84)&lt;0),"n/m",(D84)/(AVERAGE(C37,D37)))</x:f>
        <x:v>0.7092011621843222</x:v>
      </x:c>
      <x:c r="E152" s="121" t="n">
        <x:f>IF(OR((AVERAGE(D37,E37))&lt;=0,(E84)&lt;0),"n/m",(E84)/(AVERAGE(D37,E37)))</x:f>
        <x:v>0.8277428727778264</x:v>
      </x:c>
      <x:c r="F152" s="121" t="n">
        <x:f>IF(OR((AVERAGE(E37,F37))&lt;=0,(F84)&lt;0),"n/m",(F84)/(AVERAGE(E37,F37)))</x:f>
        <x:v>0.838099135080987</x:v>
      </x:c>
      <x:c r="G152" s="121" t="n">
        <x:f>IF(OR((AVERAGE(F37,G37))&lt;=0,(G84)&lt;0),"n/m",(G84)/(AVERAGE(F37,G37)))</x:f>
        <x:v>0.7132336607672219</x:v>
      </x:c>
      <x:c r="H152" s="121" t="n">
        <x:f>IF(OR((AVERAGE(G37,H37))&lt;=0,(H84)&lt;0),"n/m",(H84)/(AVERAGE(G37,H37)))</x:f>
        <x:v>0.59752332567838</x:v>
      </x:c>
      <x:c r="I152" s="9" t="s">
        <x:v>321</x:v>
      </x:c>
    </x:row>
    <x:row r="153" ht="15" hidden="0">
      <x:c r="A153" s="207" t="str">
        <x:v>15. Fixed asset turnover</x:v>
      </x:c>
      <x:c r="B153" s="205" t="str">
        <x:v>Net Sales / Average Operating Fixed Assets</x:v>
      </x:c>
      <x:c r="C153" s="30"/>
      <x:c r="D153" s="121" t="n">
        <x:f>IF(OR((AVERAGE(C22,D22))&lt;=0,(D84)&lt;0),"n/m",(D84)/(AVERAGE(C22,D22)))</x:f>
        <x:v>1.0844791007988606</x:v>
      </x:c>
      <x:c r="E153" s="121" t="n">
        <x:f>IF(OR((AVERAGE(D22,E22))&lt;=0,(E84)&lt;0),"n/m",(E84)/(AVERAGE(D22,E22)))</x:f>
        <x:v>1.5307978904973403</x:v>
      </x:c>
      <x:c r="F153" s="121" t="n">
        <x:f>IF(OR((AVERAGE(E22,F22))&lt;=0,(F84)&lt;0),"n/m",(F84)/(AVERAGE(E22,F22)))</x:f>
        <x:v>1.876337672472641</x:v>
      </x:c>
      <x:c r="G153" s="121" t="n">
        <x:f>IF(OR((AVERAGE(F22,G22))&lt;=0,(G84)&lt;0),"n/m",(G84)/(AVERAGE(F22,G22)))</x:f>
        <x:v>1.8650719460684553</x:v>
      </x:c>
      <x:c r="H153" s="121" t="n">
        <x:f>IF(OR((AVERAGE(G22,H22))&lt;=0,(H84)&lt;0),"n/m",(H84)/(AVERAGE(G22,H22)))</x:f>
        <x:v>1.7861104563188661</x:v>
      </x:c>
      <x:c r="I153" s="9" t="s">
        <x:v>321</x:v>
      </x:c>
    </x:row>
    <x:row r="154" ht="22" hidden="0" customHeight="1">
      <x:c r="A154" s="203" t="str">
        <x:v>Debt Management</x:v>
      </x:c>
      <x:c r="B154" s="204"/>
      <x:c r="C154" s="129"/>
      <x:c r="D154" s="129"/>
      <x:c r="E154" s="129"/>
      <x:c r="F154" s="129"/>
      <x:c r="G154" s="129"/>
      <x:c r="H154" s="129"/>
      <x:c r="I154" s="25"/>
      <x:c r="J154" s="25"/>
    </x:row>
    <x:row r="155" ht="15" hidden="0">
      <x:c r="A155" s="207" t="str">
        <x:v>16. Debt ratio</x:v>
      </x:c>
      <x:c r="B155" s="205" t="str">
        <x:v>Total Liabilities / Total Assets</x:v>
      </x:c>
      <x:c r="C155" s="30"/>
      <x:c r="D155" s="124" t="n">
        <x:f>IF(OR((D37)&lt;=0,(D62)&lt;0),"n/m",(D62)/(D37))</x:f>
        <x:v>0.384166382555034</x:v>
      </x:c>
      <x:c r="E155" s="124" t="n">
        <x:f>IF(OR((E37)&lt;=0,(E62)&lt;0),"n/m",(E62)/(E37))</x:f>
        <x:v>0.37149249167170456</x:v>
      </x:c>
      <x:c r="F155" s="124" t="n">
        <x:f>IF(OR((F37)&lt;=0,(F62)&lt;0),"n/m",(F62)/(F37))</x:f>
        <x:v>0.3416112409848334</x:v>
      </x:c>
      <x:c r="G155" s="124" t="n">
        <x:f>IF(OR((G37)&lt;=0,(G62)&lt;0),"n/m",(G62)/(G37))</x:f>
        <x:v>0.3016994518502951</x:v>
      </x:c>
      <x:c r="H155" s="124" t="n">
        <x:f>IF(OR((H37)&lt;=0,(H62)&lt;0),"n/m",(H62)/(H37))</x:f>
        <x:v>0.28204672647028445</x:v>
      </x:c>
      <x:c r="I155" s="9" t="s">
        <x:v>278</x:v>
      </x:c>
    </x:row>
    <x:row r="156" ht="15" hidden="0">
      <x:c r="A156" s="207" t="str">
        <x:v>17. Debt-to-equity</x:v>
      </x:c>
      <x:c r="B156" s="205" t="str">
        <x:v>Total Liabilities / Total Equity</x:v>
      </x:c>
      <x:c r="C156" s="30"/>
      <x:c r="D156" s="121" t="n">
        <x:f>IF(OR((D41)&lt;=0,(D62)&lt;0),"n/m",(D62)/(D41))</x:f>
        <x:v>0.6238152183846396</x:v>
      </x:c>
      <x:c r="E156" s="121" t="n">
        <x:f>IF(OR((E41)&lt;=0,(E62)&lt;0),"n/m",(E62)/(E41))</x:f>
        <x:v>0.5910708889696489</x:v>
      </x:c>
      <x:c r="F156" s="121" t="n">
        <x:f>IF(OR((F41)&lt;=0,(F62)&lt;0),"n/m",(F62)/(F41))</x:f>
        <x:v>0.5188594676127575</x:v>
      </x:c>
      <x:c r="G156" s="121" t="n">
        <x:f>IF(OR((G41)&lt;=0,(G62)&lt;0),"n/m",(G62)/(G41))</x:f>
        <x:v>0.4320481383692331</x:v>
      </x:c>
      <x:c r="H156" s="121" t="n">
        <x:f>IF(OR((H41)&lt;=0,(H62)&lt;0),"n/m",(H62)/(H41))</x:f>
        <x:v>0.3928483048536595</x:v>
      </x:c>
      <x:c r="I156" s="9" t="s">
        <x:v>321</x:v>
      </x:c>
    </x:row>
    <x:row r="157" ht="15" hidden="0">
      <x:c r="A157" s="207" t="str">
        <x:v>18. Total debt-to-capital</x:v>
      </x:c>
      <x:c r="B157" s="205" t="str">
        <x:v>Interest-bearing Debt / (IBD + Equity)</x:v>
      </x:c>
      <x:c r="C157" s="30"/>
      <x:c r="D157" s="124" t="n">
        <x:f>IF(OR((D66+D41)&lt;=0,(D66)&lt;0),"n/m",(D66)/(D66+D41))</x:f>
        <x:v>0.21400284667161887</x:v>
      </x:c>
      <x:c r="E157" s="124" t="n">
        <x:f>IF(OR((E66+E41)&lt;=0,(E66)&lt;0),"n/m",(E66)/(E66+E41))</x:f>
        <x:v>0.13497287275854264</x:v>
      </x:c>
      <x:c r="F157" s="124" t="n">
        <x:f>IF(OR((F66+F41)&lt;=0,(F66)&lt;0),"n/m",(F66)/(F66+F41))</x:f>
        <x:v>0.08893739146213345</x:v>
      </x:c>
      <x:c r="G157" s="124" t="n">
        <x:f>IF(OR((G66+G41)&lt;=0,(G66)&lt;0),"n/m",(G66)/(G66+G41))</x:f>
        <x:v>0.04978936327521882</x:v>
      </x:c>
      <x:c r="H157" s="124" t="n">
        <x:f>IF(OR((H66+H41)&lt;=0,(H66)&lt;0),"n/m",(H66)/(H66+H41))</x:f>
        <x:v>0.044675679300716</x:v>
      </x:c>
      <x:c r="I157" s="9" t="s">
        <x:v>278</x:v>
      </x:c>
    </x:row>
    <x:row r="158" ht="15" hidden="0">
      <x:c r="A158" s="207" t="str">
        <x:v>19. Long-term debt ratio</x:v>
      </x:c>
      <x:c r="B158" s="205" t="str">
        <x:v>Long-term IBD / Total Assets</x:v>
      </x:c>
      <x:c r="C158" s="30"/>
      <x:c r="D158" s="124" t="n">
        <x:f>IF(OR((D37)&lt;=0,(D67)&lt;0),"n/m",(D67)/(D37))</x:f>
        <x:v>0.1220875910318789</x:v>
      </x:c>
      <x:c r="E158" s="124" t="n">
        <x:f>IF(OR((E37)&lt;=0,(E67)&lt;0),"n/m",(E67)/(E37))</x:f>
        <x:v>0.07334143338786069</x:v>
      </x:c>
      <x:c r="F158" s="124" t="n">
        <x:f>IF(OR((F37)&lt;=0,(F67)&lt;0),"n/m",(F67)/(F37))</x:f>
        <x:v>0.04338813037035516</x:v>
      </x:c>
      <x:c r="G158" s="124" t="n">
        <x:f>IF(OR((G37)&lt;=0,(G67)&lt;0),"n/m",(G67)/(G37))</x:f>
        <x:v>0.01901053423767185</x:v>
      </x:c>
      <x:c r="H158" s="124" t="n">
        <x:f>IF(OR((H37)&lt;=0,(H67)&lt;0),"n/m",(H67)/(H37))</x:f>
        <x:v>0.02169313165517457</x:v>
      </x:c>
      <x:c r="I158" s="9" t="s">
        <x:v>278</x:v>
      </x:c>
    </x:row>
    <x:row r="159" ht="15" hidden="0">
      <x:c r="A159" s="207" t="str">
        <x:v>20. Times interest earned</x:v>
      </x:c>
      <x:c r="B159" s="205" t="str">
        <x:v>EBIT / Interest Expense</x:v>
      </x:c>
      <x:c r="C159" s="30"/>
      <x:c r="D159" s="121" t="n">
        <x:f>IF(OR((D106)&lt;=0,(D108)&lt;0),"n/m",(D108)/(D106))</x:f>
        <x:v>11.019706901181747</x:v>
      </x:c>
      <x:c r="E159" s="121" t="n">
        <x:f>IF(OR((E106)&lt;=0,(E108)&lt;0),"n/m",(E108)/(E106))</x:f>
        <x:v>18.36315245249661</x:v>
      </x:c>
      <x:c r="F159" s="121" t="n">
        <x:f>IF(OR((F106)&lt;=0,(F108)&lt;0),"n/m",(F108)/(F106))</x:f>
        <x:v>16.398825279873954</x:v>
      </x:c>
      <x:c r="G159" s="121" t="n">
        <x:f>IF(OR((G106)&lt;=0,(G108)&lt;0),"n/m",(G108)/(G106))</x:f>
        <x:v>22.367720224205137</x:v>
      </x:c>
      <x:c r="H159" s="121" t="n">
        <x:f>IF(OR((H106)&lt;=0,(H108)&lt;0),"n/m",(H108)/(H106))</x:f>
        <x:v>59.09895319837231</x:v>
      </x:c>
      <x:c r="I159" s="9" t="s">
        <x:v>321</x:v>
      </x:c>
    </x:row>
    <x:row r="160" ht="22" hidden="0" customHeight="1">
      <x:c r="A160" s="204" t="str">
        <x:v>Profitability</x:v>
      </x:c>
      <x:c r="B160" s="203" t="s">
        <x:v>323</x:v>
      </x:c>
      <x:c r="C160" s="129"/>
      <x:c r="D160" s="132" t="n">
        <x:f aca="0">IF(D109&lt;=0,"n/m",D68/D109)</x:f>
        <x:v>0</x:v>
      </x:c>
      <x:c r="E160" s="132" t="n">
        <x:f aca="0">IF(E109&lt;=0,"n/m",E68/E109)</x:f>
        <x:v>0</x:v>
      </x:c>
      <x:c r="F160" s="132" t="n">
        <x:f aca="0">IF(F109&lt;=0,"n/m",F68/F109)</x:f>
        <x:v>0</x:v>
      </x:c>
      <x:c r="G160" s="132" t="n">
        <x:f aca="0">IF(G109&lt;=0,"n/m",G68/G109)</x:f>
        <x:v>0</x:v>
      </x:c>
      <x:c r="H160" s="132" t="n">
        <x:f aca="0">IF(H109&lt;=0,"n/m",H68/H109)</x:f>
        <x:v>0</x:v>
      </x:c>
      <x:c r="I160" s="9" t="s">
        <x:v>321</x:v>
      </x:c>
    </x:row>
    <x:row r="161" ht="15" hidden="0">
      <x:c r="A161" s="207" t="str">
        <x:v>21. Gross profit margin</x:v>
      </x:c>
      <x:c r="B161" s="205" t="str">
        <x:v>Gross Profit / Net Sales</x:v>
      </x:c>
      <x:c r="C161" s="30"/>
      <x:c r="D161" s="124" t="n">
        <x:f>IF(OR((D84)&lt;=0,(D86)&lt;0),"n/m",(D86)/(D84))</x:f>
        <x:v>0.2479634130082893</x:v>
      </x:c>
      <x:c r="E161" s="124" t="n">
        <x:f>IF(OR((E84)&lt;=0,(E86)&lt;0),"n/m",(E86)/(E84))</x:f>
        <x:v>0.2984391421350988</x:v>
      </x:c>
      <x:c r="F161" s="124" t="n">
        <x:f>IF(OR((F84)&lt;=0,(F86)&lt;0),"n/m",(F86)/(F84))</x:f>
        <x:v>0.2680435681898961</x:v>
      </x:c>
      <x:c r="G161" s="124" t="n">
        <x:f>IF(OR((G84)&lt;=0,(G86)&lt;0),"n/m",(G86)/(G84))</x:f>
        <x:v>0.29125851467425595</x:v>
      </x:c>
      <x:c r="H161" s="124" t="n">
        <x:f>IF(OR((H84)&lt;=0,(H86)&lt;0),"n/m",(H86)/(H84))</x:f>
        <x:v>0.39220278175445145</x:v>
      </x:c>
      <x:c r="I161" s="25"/>
      <x:c r="J161" s="25"/>
    </x:row>
    <x:row r="162" ht="15" hidden="0">
      <x:c r="A162" s="207" t="str">
        <x:v>22. Operating margin</x:v>
      </x:c>
      <x:c r="B162" s="205" t="str">
        <x:v>Operating Profit / Net Sales</x:v>
      </x:c>
      <x:c r="C162" s="30"/>
      <x:c r="D162" s="124" t="n">
        <x:f>IF(OR((D84)&lt;=0,(D91)&lt;0),"n/m",(D91)/(D84))</x:f>
        <x:v>0.2174940172918257</x:v>
      </x:c>
      <x:c r="E162" s="124" t="n">
        <x:f>IF(OR((E84)&lt;=0,(E91)&lt;0),"n/m",(E91)/(E84))</x:f>
        <x:v>0.26684521417223683</x:v>
      </x:c>
      <x:c r="F162" s="124" t="n">
        <x:f>IF(OR((F84)&lt;=0,(F91)&lt;0),"n/m",(F91)/(F84))</x:f>
        <x:v>0.23441531849714523</x:v>
      </x:c>
      <x:c r="G162" s="124" t="n">
        <x:f>IF(OR((G84)&lt;=0,(G91)&lt;0),"n/m",(G91)/(G84))</x:f>
        <x:v>0.25877948344250634</x:v>
      </x:c>
      <x:c r="H162" s="124" t="n">
        <x:f>IF(OR((H84)&lt;=0,(H91)&lt;0),"n/m",(H91)/(H84))</x:f>
        <x:v>0.34143534845456586</x:v>
      </x:c>
      <x:c r="I162" s="9" t="s">
        <x:v>278</x:v>
      </x:c>
    </x:row>
    <x:row r="163" ht="15" hidden="0">
      <x:c r="A163" s="207" t="str">
        <x:v>23. Net profit margin</x:v>
      </x:c>
      <x:c r="B163" s="205" t="str">
        <x:v>Net Profit / Net Sales</x:v>
      </x:c>
      <x:c r="C163" s="30"/>
      <x:c r="D163" s="124" t="n">
        <x:f>IF(OR((D84)&lt;=0,(D99)&lt;0),"n/m",(D99)/(D84))</x:f>
        <x:v>0.1453819089897026</x:v>
      </x:c>
      <x:c r="E163" s="124" t="n">
        <x:f>IF(OR((E84)&lt;=0,(E99)&lt;0),"n/m",(E99)/(E84))</x:f>
        <x:v>0.15282075695786385</x:v>
      </x:c>
      <x:c r="F163" s="124" t="n">
        <x:f>IF(OR((F84)&lt;=0,(F99)&lt;0),"n/m",(F99)/(F84))</x:f>
        <x:v>0.14955052871384544</x:v>
      </x:c>
      <x:c r="G163" s="124" t="n">
        <x:f>IF(OR((G84)&lt;=0,(G99)&lt;0),"n/m",(G99)/(G84))</x:f>
        <x:v>0.23011561219895646</x:v>
      </x:c>
      <x:c r="H163" s="124" t="n">
        <x:f>IF(OR((H84)&lt;=0,(H99)&lt;0),"n/m",(H99)/(H84))</x:f>
        <x:v>0.3083771970759486</x:v>
      </x:c>
      <x:c r="I163" s="9" t="s">
        <x:v>278</x:v>
      </x:c>
    </x:row>
    <x:row r="164" ht="15" hidden="0">
      <x:c r="A164" s="207" t="str">
        <x:v>24. Return on assets</x:v>
      </x:c>
      <x:c r="B164" s="205" t="str">
        <x:v>Net Profit / Average Total Assets</x:v>
      </x:c>
      <x:c r="C164" s="30"/>
      <x:c r="D164" s="124" t="n">
        <x:f>IF(OR((AVERAGE(C37,D37))&lt;=0,(D99)&lt;0),"n/m",(D99)/(AVERAGE(C37,D37)))</x:f>
        <x:v>0.10310501881607244</x:v>
      </x:c>
      <x:c r="E164" s="124" t="n">
        <x:f>IF(OR((AVERAGE(D37,E37))&lt;=0,(E99)&lt;0),"n/m",(E99)/(AVERAGE(D37,E37)))</x:f>
        <x:v>0.12649629238438423</x:v>
      </x:c>
      <x:c r="F164" s="124" t="n">
        <x:f>IF(OR((AVERAGE(E37,F37))&lt;=0,(F99)&lt;0),"n/m",(F99)/(AVERAGE(E37,F37)))</x:f>
        <x:v>0.12533816876597817</x:v>
      </x:c>
      <x:c r="G164" s="124" t="n">
        <x:f>IF(OR((AVERAGE(F37,G37))&lt;=0,(G99)&lt;0),"n/m",(G99)/(AVERAGE(F37,G37)))</x:f>
        <x:v>0.1641262004883521</x:v>
      </x:c>
      <x:c r="H164" s="124" t="n">
        <x:f>IF(OR((AVERAGE(G37,H37))&lt;=0,(H99)&lt;0),"n/m",(H99)/(AVERAGE(G37,H37)))</x:f>
        <x:v>0.184262568360198</x:v>
      </x:c>
      <x:c r="I164" s="9" t="s">
        <x:v>278</x:v>
      </x:c>
    </x:row>
    <x:row r="165" ht="15" hidden="0">
      <x:c r="A165" s="207" t="str">
        <x:v>25. Return on equity</x:v>
      </x:c>
      <x:c r="B165" s="205" t="str">
        <x:v>Net Profit / Average Equity</x:v>
      </x:c>
      <x:c r="C165" s="30"/>
      <x:c r="D165" s="124" t="n">
        <x:f>IF(OR((AVERAGE(C41,D41))&lt;=0,(D99)&lt;0),"n/m",(D99)/(AVERAGE(C41,D41)))</x:f>
        <x:v>0.1708175375326949</x:v>
      </x:c>
      <x:c r="E165" s="124" t="n">
        <x:f>IF(OR((AVERAGE(D41,E41))&lt;=0,(E99)&lt;0),"n/m",(E99)/(AVERAGE(D41,E41)))</x:f>
        <x:v>0.2031253153612202</x:v>
      </x:c>
      <x:c r="F165" s="124" t="n">
        <x:f>IF(OR((AVERAGE(E41,F41))&lt;=0,(F99)&lt;0),"n/m",(F99)/(AVERAGE(E41,F41)))</x:f>
        <x:v>0.1944909568032407</x:v>
      </x:c>
      <x:c r="G165" s="124" t="n">
        <x:f>IF(OR((AVERAGE(F41,G41))&lt;=0,(G99)&lt;0),"n/m",(G99)/(AVERAGE(F41,G41)))</x:f>
        <x:v>0.24134090965005384</x:v>
      </x:c>
      <x:c r="H165" s="124" t="n">
        <x:f>IF(OR((AVERAGE(G41,H41))&lt;=0,(H99)&lt;0),"n/m",(H99)/(AVERAGE(G41,H41)))</x:f>
        <x:v>0.25998290898160303</x:v>
      </x:c>
      <x:c r="I165" s="9" t="s">
        <x:v>278</x:v>
      </x:c>
    </x:row>
    <x:row r="166" ht="15" hidden="0">
      <x:c r="A166" s="207" t="str">
        <x:v>26. Return on invested capital</x:v>
      </x:c>
      <x:c r="B166" s="205" t="str">
        <x:v>NOPAT / Average Invested Capital</x:v>
      </x:c>
      <x:c r="C166" s="30"/>
      <x:c r="D166" s="124" t="n">
        <x:f>IF(OR((AVERAGE(C70,D70))&lt;=0,(D113)&lt;0),"n/m",(D113)/(AVERAGE(C70,D70)))</x:f>
        <x:v>0.14327122643181978</x:v>
      </x:c>
      <x:c r="E166" s="124" t="n">
        <x:f>IF(OR((AVERAGE(D70,E70))&lt;=0,(E113)&lt;0),"n/m",(E113)/(AVERAGE(D70,E70)))</x:f>
        <x:v>0.17824324729851332</x:v>
      </x:c>
      <x:c r="F166" s="124" t="n">
        <x:f>IF(OR((AVERAGE(E70,F70))&lt;=0,(F113)&lt;0),"n/m",(F113)/(AVERAGE(E70,F70)))</x:f>
        <x:v>0.18523585661078099</x:v>
      </x:c>
      <x:c r="G166" s="124" t="n">
        <x:f>IF(OR((AVERAGE(F70,G70))&lt;=0,(G113)&lt;0),"n/m",(G113)/(AVERAGE(F70,G70)))</x:f>
        <x:v>0.23611149584842697</x:v>
      </x:c>
      <x:c r="H166" s="124" t="n">
        <x:f>IF(OR((AVERAGE(G70,H70))&lt;=0,(H113)&lt;0),"n/m",(H113)/(AVERAGE(G70,H70)))</x:f>
        <x:v>0.2526376274461683</x:v>
      </x:c>
      <x:c r="I166" s="9" t="s">
        <x:v>278</x:v>
      </x:c>
    </x:row>
    <x:row r="167" ht="15" hidden="0">
      <x:c r="A167" s="207" t="str">
        <x:v>27. Basic earning power</x:v>
      </x:c>
      <x:c r="B167" s="205" t="str">
        <x:v>EBIT / Average Total Assets</x:v>
      </x:c>
      <x:c r="C167" s="30"/>
      <x:c r="D167" s="124" t="n">
        <x:f>IF(OR((AVERAGE(C37,D37))&lt;=0,(D108)&lt;0),"n/m",(D108)/(AVERAGE(C37,D37)))</x:f>
        <x:v>0.15927842615719043</x:v>
      </x:c>
      <x:c r="E167" s="124" t="n">
        <x:f>IF(OR((AVERAGE(D37,E37))&lt;=0,(E108)&lt;0),"n/m",(E108)/(AVERAGE(D37,E37)))</x:f>
        <x:v>0.23825496283693048</x:v>
      </x:c>
      <x:c r="F167" s="124" t="n">
        <x:f>IF(OR((AVERAGE(E37,F37))&lt;=0,(F108)&lt;0),"n/m",(F108)/(AVERAGE(E37,F37)))</x:f>
        <x:v>0.24137695696625033</x:v>
      </x:c>
      <x:c r="G167" s="124" t="n">
        <x:f>IF(OR((AVERAGE(F37,G37))&lt;=0,(G108)&lt;0),"n/m",(G108)/(AVERAGE(F37,G37)))</x:f>
        <x:v>0.2667383296475893</x:v>
      </x:c>
      <x:c r="H167" s="124" t="n">
        <x:f>IF(OR((AVERAGE(G37,H37))&lt;=0,(H108)&lt;0),"n/m",(H108)/(AVERAGE(G37,H37)))</x:f>
        <x:v>0.28807830028219766</x:v>
      </x:c>
      <x:c r="I167" s="9" t="s">
        <x:v>278</x:v>
      </x:c>
    </x:row>
    <x:row r="168" ht="22" hidden="0" customHeight="1">
      <x:c r="A168" s="204" t="str">
        <x:v>Market Value</x:v>
      </x:c>
      <x:c r="B168" s="203" t="s">
        <x:v>324</x:v>
      </x:c>
      <x:c r="C168" s="129"/>
      <x:c r="D168" s="134" t="n">
        <x:f aca="0">D108/((C37+D37)/2)</x:f>
        <x:v>0.15927842615719043</x:v>
      </x:c>
      <x:c r="E168" s="134" t="n">
        <x:f aca="0">E108/((D37+E37)/2)</x:f>
        <x:v>0.23825496283693048</x:v>
      </x:c>
      <x:c r="F168" s="134" t="n">
        <x:f aca="0">F108/((E37+F37)/2)</x:f>
        <x:v>0.24137695696625033</x:v>
      </x:c>
      <x:c r="G168" s="134" t="n">
        <x:f aca="0">G108/((F37+G37)/2)</x:f>
        <x:v>0.2667383296475893</x:v>
      </x:c>
      <x:c r="H168" s="134" t="n">
        <x:f aca="0">H108/((G37+H37)/2)</x:f>
        <x:v>0.28807830028219766</x:v>
      </x:c>
      <x:c r="I168" s="9" t="s">
        <x:v>278</x:v>
      </x:c>
    </x:row>
    <x:row r="169" ht="15" hidden="0">
      <x:c r="A169" s="207" t="str">
        <x:v>28. Book value per share (Rs)</x:v>
      </x:c>
      <x:c r="B169" s="205" t="str">
        <x:v>Total Equity / Shares Outstanding</x:v>
      </x:c>
      <x:c r="C169" s="30"/>
      <x:c r="D169" s="125" t="n">
        <x:f>IF(OR((D128)&lt;=0,(D41)&lt;0),"n/m",(D41)/(D128))</x:f>
        <x:v>110.64122209168052</x:v>
      </x:c>
      <x:c r="E169" s="125" t="n">
        <x:f>IF(OR((E128)&lt;=0,(E41)&lt;0),"n/m",(E41)/(E128))</x:f>
        <x:v>135.64693964412666</x:v>
      </x:c>
      <x:c r="F169" s="125" t="n">
        <x:f>IF(OR((F128)&lt;=0,(F41)&lt;0),"n/m",(F41)/(F128))</x:f>
        <x:v>162.35106244484723</x:v>
      </x:c>
      <x:c r="G169" s="125" t="n">
        <x:f>IF(OR((G128)&lt;=0,(G41)&lt;0),"n/m",(G41)/(G128))</x:f>
        <x:v>209.7928785338331</x:v>
      </x:c>
      <x:c r="H169" s="125" t="n">
        <x:f>IF(OR((H128)&lt;=0,(H41)&lt;0),"n/m",(H41)/(H128))</x:f>
        <x:v>260.8226721418157</x:v>
      </x:c>
      <x:c r="I169" s="9" t="s">
        <x:v>278</x:v>
      </x:c>
    </x:row>
    <x:row r="170" ht="15" hidden="0">
      <x:c r="A170" s="207" t="str">
        <x:v>29. Market-to-book ratio</x:v>
      </x:c>
      <x:c r="B170" s="205" t="str">
        <x:v>Share Price / BVPS</x:v>
      </x:c>
      <x:c r="C170" s="30"/>
      <x:c r="D170" s="121" t="n">
        <x:f>IF(OR((D41/D128)&lt;=0,(D130)&lt;0),"n/m",(D130)/(D41/D128))</x:f>
        <x:v>1.8663025958706099</x:v>
      </x:c>
      <x:c r="E170" s="121" t="n">
        <x:f>IF(OR((E41/E128)&lt;=0,(E130)&lt;0),"n/m",(E130)/(E41/E128))</x:f>
        <x:v>0.959328683281757</x:v>
      </x:c>
      <x:c r="F170" s="121" t="n">
        <x:f>IF(OR((F41/F128)&lt;=0,(F130)&lt;0),"n/m",(F130)/(F41/F128))</x:f>
        <x:v>1.0684870021034203</x:v>
      </x:c>
      <x:c r="G170" s="121" t="n">
        <x:f>IF(OR((G41/G128)&lt;=0,(G130)&lt;0),"n/m",(G130)/(G41/G128))</x:f>
        <x:v>1.1937011482475721</x:v>
      </x:c>
      <x:c r="H170" s="121" t="n">
        <x:f>IF(OR((H41/H128)&lt;=0,(H130)&lt;0),"n/m",(H130)/(H41/H128))</x:f>
        <x:v>1.4544747850514033</x:v>
      </x:c>
      <x:c r="I170" s="25"/>
      <x:c r="J170" s="25"/>
    </x:row>
    <x:row r="171" ht="15" hidden="0">
      <x:c r="A171" s="207" t="str">
        <x:v>30. Earnings per share (Rs)</x:v>
      </x:c>
      <x:c r="B171" s="205" t="str">
        <x:v>Net Profit / Weighted Average Shares</x:v>
      </x:c>
      <x:c r="C171" s="30"/>
      <x:c r="D171" s="125" t="n">
        <x:f>IF(OR((D129)&lt;=0,(D99)&lt;0),"n/m",(D99)/(D129))</x:f>
        <x:v>17.412549352402124</x:v>
      </x:c>
      <x:c r="E171" s="125" t="n">
        <x:f>IF(OR((E129)&lt;=0,(E99)&lt;0),"n/m",(E99)/(E129))</x:f>
        <x:v>25.013680261160516</x:v>
      </x:c>
      <x:c r="F171" s="125" t="n">
        <x:f>IF(OR((F129)&lt;=0,(F99)&lt;0),"n/m",(F99)/(F129))</x:f>
        <x:v>28.978958275869324</x:v>
      </x:c>
      <x:c r="G171" s="125" t="n">
        <x:f>IF(OR((G129)&lt;=0,(G99)&lt;0),"n/m",(G99)/(G129))</x:f>
        <x:v>45.27427267861498</x:v>
      </x:c>
      <x:c r="H171" s="125" t="n">
        <x:f>IF(OR((H129)&lt;=0,(H99)&lt;0),"n/m",(H99)/(H129))</x:f>
        <x:v>59.84205460086993</x:v>
      </x:c>
      <x:c r="I171" s="9" t="s">
        <x:v>306</x:v>
      </x:c>
    </x:row>
    <x:row r="172" ht="15" hidden="0">
      <x:c r="A172" s="207" t="str">
        <x:v>31. Price-to-earnings ratio</x:v>
      </x:c>
      <x:c r="B172" s="205" t="str">
        <x:v>Share Price / EPS</x:v>
      </x:c>
      <x:c r="C172" s="30"/>
      <x:c r="D172" s="121" t="n">
        <x:f>IF(OR((D99/D129)&lt;=0,(D130)&lt;0),"n/m",(D130)/(D99/D129))</x:f>
        <x:v>11.858688571154802</x:v>
      </x:c>
      <x:c r="E172" s="121" t="n">
        <x:f>IF(OR((E99/E129)&lt;=0,(E130)&lt;0),"n/m",(E130)/(E99/E129))</x:f>
        <x:v>5.202353217973155</x:v>
      </x:c>
      <x:c r="F172" s="121" t="n">
        <x:f>IF(OR((F99/F129)&lt;=0,(F130)&lt;0),"n/m",(F130)/(F99/F129))</x:f>
        <x:v>5.986067488990722</x:v>
      </x:c>
      <x:c r="G172" s="121" t="n">
        <x:f>IF(OR((G99/G129)&lt;=0,(G130)&lt;0),"n/m",(G130)/(G99/G129))</x:f>
        <x:v>5.531397528519306</x:v>
      </x:c>
      <x:c r="H172" s="121" t="n">
        <x:f>IF(OR((H99/H129)&lt;=0,(H130)&lt;0),"n/m",(H130)/(H99/H129))</x:f>
        <x:v>6.339354531361382</x:v>
      </x:c>
      <x:c r="I172" s="9" t="s">
        <x:v>321</x:v>
      </x:c>
    </x:row>
    <x:row r="173" ht="15" hidden="0">
      <x:c r="A173" s="207" t="str">
        <x:v>32. Dividend yield</x:v>
      </x:c>
      <x:c r="B173" s="205" t="str">
        <x:v>DPS / Share Price</x:v>
      </x:c>
      <x:c r="C173" s="30"/>
      <x:c r="D173" s="124" t="n">
        <x:f>IF(OR((D130)&lt;=0,(D131)&lt;0),"n/m",(D131)/(D130))</x:f>
        <x:v>0</x:v>
      </x:c>
      <x:c r="E173" s="124" t="n">
        <x:f>IF(OR((E130)&lt;=0,(E131)&lt;0),"n/m",(E131)/(E130))</x:f>
        <x:v>0</x:v>
      </x:c>
      <x:c r="F173" s="124" t="n">
        <x:f>IF(OR((F130)&lt;=0,(F131)&lt;0),"n/m",(F131)/(F130))</x:f>
        <x:v>0</x:v>
      </x:c>
      <x:c r="G173" s="124" t="n">
        <x:f>IF(OR((G130)&lt;=0,(G131)&lt;0),"n/m",(G131)/(G130))</x:f>
        <x:v>0</x:v>
      </x:c>
      <x:c r="H173" s="124" t="n">
        <x:f>IF(OR((H130)&lt;=0,(H131)&lt;0),"n/m",(H131)/(H130))</x:f>
        <x:v>0</x:v>
      </x:c>
      <x:c r="I173" s="9" t="s">
        <x:v>306</x:v>
      </x:c>
    </x:row>
    <x:row r="174" ht="15" hidden="0">
      <x:c r="A174" s="207" t="str">
        <x:v>33. Dividend payout ratio</x:v>
      </x:c>
      <x:c r="B174" s="205" t="str">
        <x:v>DPS / EPS</x:v>
      </x:c>
      <x:c r="C174" s="30"/>
      <x:c r="D174" s="124" t="n">
        <x:f>IF(OR((D99/D129)&lt;=0,(D131)&lt;0),"n/m",(D131)/(D99/D129))</x:f>
        <x:v>0</x:v>
      </x:c>
      <x:c r="E174" s="124" t="n">
        <x:f>IF(OR((E99/E129)&lt;=0,(E131)&lt;0),"n/m",(E131)/(E99/E129))</x:f>
        <x:v>0</x:v>
      </x:c>
      <x:c r="F174" s="124" t="n">
        <x:f>IF(OR((F99/F129)&lt;=0,(F131)&lt;0),"n/m",(F131)/(F99/F129))</x:f>
        <x:v>0</x:v>
      </x:c>
      <x:c r="G174" s="124" t="n">
        <x:f>IF(OR((G99/G129)&lt;=0,(G131)&lt;0),"n/m",(G131)/(G99/G129))</x:f>
        <x:v>0</x:v>
      </x:c>
      <x:c r="H174" s="124" t="n">
        <x:f>IF(OR((H99/H129)&lt;=0,(H131)&lt;0),"n/m",(H131)/(H99/H129))</x:f>
        <x:v>0</x:v>
      </x:c>
      <x:c r="I174" s="9" t="s">
        <x:v>321</x:v>
      </x:c>
    </x:row>
    <x:row r="175" ht="15" hidden="0">
      <x:c r="A175" s="193"/>
      <x:c r="B175" s="193"/>
      <x:c r="C175"/>
      <x:c r="D175">
        <x:f aca="0"/>
      </x:c>
      <x:c r="E175">
        <x:f aca="0"/>
      </x:c>
      <x:c r="F175">
        <x:f aca="0"/>
      </x:c>
      <x:c r="G175">
        <x:f aca="0"/>
      </x:c>
      <x:c r="H175">
        <x:f aca="0"/>
      </x:c>
      <x:c r="I175" s="9" t="s">
        <x:v>278</x:v>
      </x:c>
    </x:row>
    <x:row r="176" ht="15" hidden="0">
      <x:c r="A176" s="206" t="str">
        <x:v>33 measures: 19 mandatory ratios and 14 additional measures. Ratios use one method across all five companies.</x:v>
      </x:c>
      <x:c r="B176" s="206"/>
      <x:c r="C176" s="135"/>
      <x:c r="D176" s="135">
        <x:f aca="0"/>
      </x:c>
      <x:c r="E176" s="135">
        <x:f aca="0"/>
      </x:c>
      <x:c r="F176" s="135">
        <x:f aca="0"/>
      </x:c>
      <x:c r="G176" s="135">
        <x:f aca="0"/>
      </x:c>
      <x:c r="H176" s="135">
        <x:f aca="0"/>
      </x:c>
      <x:c r="I176" s="9" t="s">
        <x:v>278</x:v>
      </x:c>
    </x:row>
    <x:row r="177" ht="15" hidden="0">
      <x:c r="A177" s="206" t="str">
        <x:v>n/m: negative calculated measures or non-positive denominators. Signed accounting inputs and raw workings are retained in the audit workbook.</x:v>
      </x:c>
      <x:c r="B177" s="206"/>
      <x:c r="C177" s="135"/>
      <x:c r="D177" s="135"/>
      <x:c r="E177" s="135"/>
      <x:c r="F177" s="135"/>
      <x:c r="G177" s="135"/>
      <x:c r="H177" s="135"/>
      <x:c r="I177" s="25"/>
      <x:c r="J177" s="25"/>
    </x:row>
    <x:row r="178" ht="15" hidden="0">
      <x:c r="A178" s="206" t="str">
        <x:v>DIO includes stores and stock; supplier payables include identified related operating suppliers, excluding contractor retentions, taxes and accruals.</x:v>
      </x:c>
      <x:c r="B178" s="206"/>
      <x:c r="C178" s="135"/>
      <x:c r="D178" s="135">
        <x:f aca="0"/>
      </x:c>
      <x:c r="E178" s="135">
        <x:f aca="0"/>
      </x:c>
      <x:c r="F178" s="135">
        <x:f aca="0"/>
      </x:c>
      <x:c r="G178" s="135">
        <x:f aca="0"/>
      </x:c>
      <x:c r="H178" s="135">
        <x:f aca="0"/>
      </x:c>
      <x:c r="I178" s="9" t="s">
        <x:v>321</x:v>
      </x:c>
    </x:row>
    <x:row r="179" ht="15" hidden="0">
      <x:c r="A179" s="193"/>
      <x:c r="B179" s="193"/>
      <x:c r="C179"/>
      <x:c r="D179"/>
      <x:c r="E179"/>
      <x:c r="F179"/>
      <x:c r="G179"/>
      <x:c r="H179"/>
      <x:c r="I179" s="25"/>
      <x:c r="J179" s="25"/>
    </x:row>
    <x:row r="180" ht="15" hidden="0">
      <x:c r="A180" s="193"/>
      <x:c r="B180" s="193"/>
      <x:c r="C180"/>
      <x:c r="D180">
        <x:f aca="0"/>
      </x:c>
      <x:c r="E180">
        <x:f aca="0"/>
      </x:c>
      <x:c r="F180">
        <x:f aca="0"/>
      </x:c>
      <x:c r="G180">
        <x:f aca="0"/>
      </x:c>
      <x:c r="H180">
        <x:f aca="0"/>
      </x:c>
      <x:c r="I180" s="9" t="s">
        <x:v>278</x:v>
      </x:c>
    </x:row>
    <x:row r="181" ht="15" hidden="0">
      <x:c r="A181" s="193"/>
      <x:c r="B181" s="193"/>
      <x:c r="C181"/>
      <x:c r="D181">
        <x:f aca="0"/>
      </x:c>
      <x:c r="E181">
        <x:f aca="0"/>
      </x:c>
      <x:c r="F181">
        <x:f aca="0"/>
      </x:c>
      <x:c r="G181">
        <x:f aca="0"/>
      </x:c>
      <x:c r="H181">
        <x:f aca="0"/>
      </x:c>
      <x:c r="I181" s="9" t="s">
        <x:v>278</x:v>
      </x:c>
    </x:row>
    <x:row r="182" ht="15" hidden="0">
      <x:c r="A182" s="193"/>
      <x:c r="B182" s="193"/>
      <x:c r="C182"/>
      <x:c r="D182">
        <x:f aca="0"/>
      </x:c>
      <x:c r="E182">
        <x:f aca="0"/>
      </x:c>
      <x:c r="F182">
        <x:f aca="0"/>
      </x:c>
      <x:c r="G182">
        <x:f aca="0"/>
      </x:c>
      <x:c r="H182">
        <x:f aca="0"/>
      </x:c>
      <x:c r="I182" s="9" t="s">
        <x:v>321</x:v>
      </x:c>
    </x:row>
    <x:row r="183" ht="15" hidden="0">
      <x:c r="A183" s="201"/>
      <x:c r="B183" s="202"/>
      <x:c r="C183" s="25"/>
      <x:c r="D183" s="25"/>
      <x:c r="E183" s="25"/>
      <x:c r="F183" s="25"/>
      <x:c r="G183" s="25"/>
      <x:c r="H183" s="25"/>
      <x:c r="I183" s="25"/>
      <x:c r="J183" s="25"/>
    </x:row>
    <x:row r="184" ht="15" hidden="0">
      <x:c r="A184" s="193"/>
      <x:c r="B184" s="195"/>
      <x:c r="C184" s="30"/>
      <x:c r="D184" s="37">
        <x:f aca="0"/>
      </x:c>
      <x:c r="E184" s="37">
        <x:f aca="0"/>
      </x:c>
      <x:c r="F184" s="37">
        <x:f aca="0"/>
      </x:c>
      <x:c r="G184" s="37">
        <x:f aca="0"/>
      </x:c>
      <x:c r="H184" s="37">
        <x:f aca="0"/>
      </x:c>
      <x:c r="I184" s="9"/>
    </x:row>
    <x:row r="185" ht="15" hidden="0">
      <x:c r="A185" s="193"/>
      <x:c r="B185" s="195"/>
      <x:c r="C185" s="30"/>
      <x:c r="D185" s="37">
        <x:f aca="0"/>
      </x:c>
      <x:c r="E185" s="37">
        <x:f aca="0"/>
      </x:c>
      <x:c r="F185" s="37">
        <x:f aca="0"/>
      </x:c>
      <x:c r="G185" s="37">
        <x:f aca="0"/>
      </x:c>
      <x:c r="H185" s="37">
        <x:f aca="0"/>
      </x:c>
      <x:c r="I185" s="9"/>
    </x:row>
    <x:row r="186" ht="15" hidden="0">
      <x:c r="A186" s="193"/>
      <x:c r="B186" s="195"/>
      <x:c r="C186" s="30"/>
      <x:c r="D186" s="39">
        <x:f aca="0"/>
      </x:c>
      <x:c r="E186" s="39">
        <x:f aca="0"/>
      </x:c>
      <x:c r="F186" s="39">
        <x:f aca="0"/>
      </x:c>
      <x:c r="G186" s="39">
        <x:f aca="0"/>
      </x:c>
      <x:c r="H186" s="39">
        <x:f aca="0"/>
      </x:c>
      <x:c r="I186" s="9"/>
    </x:row>
    <x:row r="187" ht="15" hidden="0">
      <x:c r="A187" s="193"/>
      <x:c r="B187" s="195"/>
      <x:c r="C187" s="30"/>
      <x:c r="D187" s="37">
        <x:f aca="0"/>
      </x:c>
      <x:c r="E187" s="37">
        <x:f aca="0"/>
      </x:c>
      <x:c r="F187" s="37">
        <x:f aca="0"/>
      </x:c>
      <x:c r="G187" s="37">
        <x:f aca="0"/>
      </x:c>
      <x:c r="H187" s="37">
        <x:f aca="0"/>
      </x:c>
      <x:c r="I187" s="9"/>
    </x:row>
    <x:row r="188" ht="15" hidden="0">
      <x:c r="A188" s="193"/>
      <x:c r="B188" s="195"/>
      <x:c r="C188" s="30"/>
      <x:c r="D188" s="41">
        <x:f aca="0"/>
      </x:c>
      <x:c r="E188" s="41">
        <x:f aca="0"/>
      </x:c>
      <x:c r="F188" s="41">
        <x:f aca="0"/>
      </x:c>
      <x:c r="G188" s="41">
        <x:f aca="0"/>
      </x:c>
      <x:c r="H188" s="41">
        <x:f aca="0"/>
      </x:c>
      <x:c r="I188" s="9"/>
    </x:row>
    <x:row r="189" ht="15" hidden="0">
      <x:c r="A189" s="193"/>
      <x:c r="B189" s="195"/>
      <x:c r="C189" s="30"/>
      <x:c r="D189" s="40">
        <x:f aca="0"/>
      </x:c>
      <x:c r="E189" s="40">
        <x:f aca="0"/>
      </x:c>
      <x:c r="F189" s="40">
        <x:f aca="0"/>
      </x:c>
      <x:c r="G189" s="40">
        <x:f aca="0"/>
      </x:c>
      <x:c r="H189" s="40">
        <x:f aca="0"/>
      </x:c>
      <x:c r="I189" s="9"/>
    </x:row>
    <x:row r="190">
      <x:c r="A190" s="193"/>
      <x:c r="B190" s="193"/>
    </x:row>
    <x:row r="191" ht="15" hidden="0">
      <x:c r="A191" s="196" t="s">
        <x:v>325</x:v>
      </x:c>
      <x:c r="B191" s="197"/>
      <x:c r="C191" s="20"/>
      <x:c r="D191" s="20"/>
      <x:c r="E191" s="20"/>
      <x:c r="F191" s="20"/>
      <x:c r="G191" s="20"/>
      <x:c r="H191" s="20"/>
      <x:c r="I191" s="20"/>
      <x:c r="J191" s="20"/>
    </x:row>
    <x:row r="192" ht="15" hidden="0">
      <x:c r="A192" s="201" t="s">
        <x:v>326</x:v>
      </x:c>
      <x:c r="B192" s="202"/>
      <x:c r="C192" s="25"/>
      <x:c r="D192" s="25"/>
      <x:c r="E192" s="25"/>
      <x:c r="F192" s="25"/>
      <x:c r="G192" s="25"/>
      <x:c r="H192" s="25"/>
      <x:c r="I192" s="25"/>
      <x:c r="J192" s="25"/>
    </x:row>
    <x:row r="193" ht="15" hidden="0">
      <x:c r="A193" s="193" t="s">
        <x:v>327</x:v>
      </x:c>
      <x:c r="B193" s="195" t="s">
        <x:v>328</x:v>
      </x:c>
      <x:c r="C193" s="42" t="n">
        <x:f aca="0">IF(C37=0,"n/m",C22/C37)</x:f>
        <x:v>0.7120737207841543</x:v>
      </x:c>
      <x:c r="D193" s="42" t="n">
        <x:f aca="0">IF(D37=0,"n/m",D22/D37)</x:f>
        <x:v>0.6028113368433801</x:v>
      </x:c>
      <x:c r="E193" s="42" t="n">
        <x:f aca="0">IF(E37=0,"n/m",E22/E37)</x:f>
        <x:v>0.48904433240315737</x:v>
      </x:c>
      <x:c r="F193" s="42" t="n">
        <x:f aca="0">IF(F37=0,"n/m",F22/F37)</x:f>
        <x:v>0.4095777092762357</x:v>
      </x:c>
      <x:c r="G193" s="42" t="n">
        <x:f aca="0">IF(G37=0,"n/m",G22/G37)</x:f>
        <x:v>0.35955352019576675</x:v>
      </x:c>
      <x:c r="H193" s="42" t="n">
        <x:f aca="0">IF(H37=0,"n/m",H22/H37)</x:f>
        <x:v>0.3125018463623135</x:v>
      </x:c>
      <x:c r="I193" s="11" t="s">
        <x:v>278</x:v>
      </x:c>
    </x:row>
    <x:row r="194" ht="15" hidden="0">
      <x:c r="A194" s="193" t="s">
        <x:v>329</x:v>
      </x:c>
      <x:c r="B194" s="195" t="s">
        <x:v>330</x:v>
      </x:c>
      <x:c r="C194" s="42" t="n">
        <x:f aca="0">IF(C37=0,"n/m",C21/C37)</x:f>
        <x:v>0.005182471460527684</x:v>
      </x:c>
      <x:c r="D194" s="42" t="n">
        <x:f aca="0">IF(D37=0,"n/m",D21/D37)</x:f>
        <x:v>0.00759110359353428</x:v>
      </x:c>
      <x:c r="E194" s="42" t="n">
        <x:f aca="0">IF(E37=0,"n/m",E21/E37)</x:f>
        <x:v>0.0030195139662217933</x:v>
      </x:c>
      <x:c r="F194" s="42" t="n">
        <x:f aca="0">IF(F37=0,"n/m",F21/F37)</x:f>
        <x:v>0.039229085754870115</x:v>
      </x:c>
      <x:c r="G194" s="42" t="n">
        <x:f aca="0">IF(G37=0,"n/m",G21/G37)</x:f>
        <x:v>0.01698284573721406</x:v>
      </x:c>
      <x:c r="H194" s="42" t="n">
        <x:f aca="0">IF(H37=0,"n/m",H21/H37)</x:f>
        <x:v>0.0372282412855297</x:v>
      </x:c>
      <x:c r="I194" s="11" t="s">
        <x:v>278</x:v>
      </x:c>
    </x:row>
    <x:row r="195" ht="15" hidden="0">
      <x:c r="A195" s="193" t="s">
        <x:v>126</x:v>
      </x:c>
      <x:c r="B195" s="195" t="s">
        <x:v>331</x:v>
      </x:c>
      <x:c r="C195" s="42" t="n">
        <x:f aca="0">IF(C37=0,"n/m",C28/C37)</x:f>
        <x:v>0.8350701058027745</x:v>
      </x:c>
      <x:c r="D195" s="42" t="n">
        <x:f aca="0">IF(D37=0,"n/m",D28/D37)</x:f>
        <x:v>0.7270812160800726</x:v>
      </x:c>
      <x:c r="E195" s="42" t="n">
        <x:f aca="0">IF(E37=0,"n/m",E28/E37)</x:f>
        <x:v>0.5899525351958268</x:v>
      </x:c>
      <x:c r="F195" s="42" t="n">
        <x:f aca="0">IF(F37=0,"n/m",F28/F37)</x:f>
        <x:v>0.5373845810474829</x:v>
      </x:c>
      <x:c r="G195" s="42" t="n">
        <x:f aca="0">IF(G37=0,"n/m",G28/G37)</x:f>
        <x:v>0.4525732003084308</x:v>
      </x:c>
      <x:c r="H195" s="42" t="n">
        <x:f aca="0">IF(H37=0,"n/m",H28/H37)</x:f>
        <x:v>0.42188501577615356</x:v>
      </x:c>
      <x:c r="I195" s="11" t="s">
        <x:v>278</x:v>
      </x:c>
    </x:row>
    <x:row r="196" ht="15" hidden="0">
      <x:c r="A196" s="193" t="s">
        <x:v>332</x:v>
      </x:c>
      <x:c r="B196" s="195" t="s">
        <x:v>333</x:v>
      </x:c>
      <x:c r="C196" s="42" t="n">
        <x:f aca="0">IF(C37=0,"n/m",C65/C37)</x:f>
        <x:v>0.10285023388710719</x:v>
      </x:c>
      <x:c r="D196" s="42" t="n">
        <x:f aca="0">IF(D37=0,"n/m",D65/D37)</x:f>
        <x:v>0.11592968312089379</x:v>
      </x:c>
      <x:c r="E196" s="42" t="n">
        <x:f aca="0">IF(E37=0,"n/m",E65/E37)</x:f>
        <x:v>0.13081658714941574</x:v>
      </x:c>
      <x:c r="F196" s="42" t="n">
        <x:f aca="0">IF(F37=0,"n/m",F65/F37)</x:f>
        <x:v>0.1545725750214985</x:v>
      </x:c>
      <x:c r="G196" s="42" t="n">
        <x:f aca="0">IF(G37=0,"n/m",G65/G37)</x:f>
        <x:v>0.1288069592402164</x:v>
      </x:c>
      <x:c r="H196" s="42" t="n">
        <x:f aca="0">IF(H37=0,"n/m",H65/H37)</x:f>
        <x:v>0.11235789138852169</x:v>
      </x:c>
      <x:c r="I196" s="11" t="s">
        <x:v>278</x:v>
      </x:c>
    </x:row>
    <x:row r="197" ht="15" hidden="0">
      <x:c r="A197" s="193" t="s">
        <x:v>133</x:v>
      </x:c>
      <x:c r="B197" s="195" t="s">
        <x:v>334</x:v>
      </x:c>
      <x:c r="C197" s="42" t="n">
        <x:f aca="0">IF(C37=0,"n/m",C32/C37)</x:f>
        <x:v>0.0155657141607879</x:v>
      </x:c>
      <x:c r="D197" s="42" t="n">
        <x:f aca="0">IF(D37=0,"n/m",D32/D37)</x:f>
        <x:v>0.027255531473281764</x:v>
      </x:c>
      <x:c r="E197" s="42" t="n">
        <x:f aca="0">IF(E37=0,"n/m",E32/E37)</x:f>
        <x:v>0.021130919419659774</x:v>
      </x:c>
      <x:c r="F197" s="42" t="n">
        <x:f aca="0">IF(F37=0,"n/m",F32/F37)</x:f>
        <x:v>0.024339825080717026</x:v>
      </x:c>
      <x:c r="G197" s="42" t="n">
        <x:f aca="0">IF(G37=0,"n/m",G32/G37)</x:f>
        <x:v>0.035862163988864895</x:v>
      </x:c>
      <x:c r="H197" s="42" t="n">
        <x:f aca="0">IF(H37=0,"n/m",H32/H37)</x:f>
        <x:v>0.025334759610633677</x:v>
      </x:c>
      <x:c r="I197" s="11" t="s">
        <x:v>278</x:v>
      </x:c>
    </x:row>
    <x:row r="198" ht="15" hidden="0">
      <x:c r="A198" s="193" t="s">
        <x:v>135</x:v>
      </x:c>
      <x:c r="B198" s="195" t="s">
        <x:v>335</x:v>
      </x:c>
      <x:c r="C198" s="42" t="n">
        <x:f aca="0">IF(C37=0,"n/m",C33/C37)</x:f>
        <x:v>0.005042424586055447</x:v>
      </x:c>
      <x:c r="D198" s="42" t="n">
        <x:f aca="0">IF(D37=0,"n/m",D33/D37)</x:f>
        <x:v>0.08311865638736946</x:v>
      </x:c>
      <x:c r="E198" s="42" t="n">
        <x:f aca="0">IF(E37=0,"n/m",E33/E37)</x:f>
        <x:v>0.23353955536353374</x:v>
      </x:c>
      <x:c r="F198" s="42" t="n">
        <x:f aca="0">IF(F37=0,"n/m",F33/F37)</x:f>
        <x:v>0.24904209574227493</x:v>
      </x:c>
      <x:c r="G198" s="42" t="n">
        <x:f aca="0">IF(G37=0,"n/m",G33/G37)</x:f>
        <x:v>0.34463987589590195</x:v>
      </x:c>
      <x:c r="H198" s="42" t="n">
        <x:f aca="0">IF(H37=0,"n/m",H33/H37)</x:f>
        <x:v>0.40335219409966694</x:v>
      </x:c>
      <x:c r="I198" s="11" t="s">
        <x:v>278</x:v>
      </x:c>
    </x:row>
    <x:row r="199" ht="15" hidden="0">
      <x:c r="A199" s="193" t="s">
        <x:v>336</x:v>
      </x:c>
      <x:c r="B199" s="195" t="s">
        <x:v>337</x:v>
      </x:c>
      <x:c r="C199" s="42" t="n">
        <x:f aca="0">IF(C37=0,"n/m",C34/C37)</x:f>
        <x:v>0.02807618565199588</x:v>
      </x:c>
      <x:c r="D199" s="42" t="n">
        <x:f aca="0">IF(D37=0,"n/m",D34/D37)</x:f>
        <x:v>0.033190122717754615</x:v>
      </x:c>
      <x:c r="E199" s="42" t="n">
        <x:f aca="0">IF(E37=0,"n/m",E34/E37)</x:f>
        <x:v>0.011090155144323594</x:v>
      </x:c>
      <x:c r="F199" s="42" t="n">
        <x:f aca="0">IF(F37=0,"n/m",F34/F37)</x:f>
        <x:v>0.018847885506490802</x:v>
      </x:c>
      <x:c r="G199" s="42" t="n">
        <x:f aca="0">IF(G37=0,"n/m",G34/G37)</x:f>
        <x:v>0.018738739363736656</x:v>
      </x:c>
      <x:c r="H199" s="42" t="n">
        <x:f aca="0">IF(H37=0,"n/m",H34/H37)</x:f>
        <x:v>0.021718956069774295</x:v>
      </x:c>
      <x:c r="I199" s="11" t="s">
        <x:v>278</x:v>
      </x:c>
    </x:row>
    <x:row r="200" ht="15" hidden="0">
      <x:c r="A200" s="193" t="s">
        <x:v>141</x:v>
      </x:c>
      <x:c r="B200" s="195" t="s">
        <x:v>338</x:v>
      </x:c>
      <x:c r="C200" s="42" t="n">
        <x:f aca="0">IF(C37=0,"n/m",C36/C37)</x:f>
        <x:v>0.1649298941972255</x:v>
      </x:c>
      <x:c r="D200" s="42" t="n">
        <x:f aca="0">IF(D37=0,"n/m",D36/D37)</x:f>
        <x:v>0.27291878391992735</x:v>
      </x:c>
      <x:c r="E200" s="42" t="n">
        <x:f aca="0">IF(E37=0,"n/m",E36/E37)</x:f>
        <x:v>0.4100474648041733</x:v>
      </x:c>
      <x:c r="F200" s="42" t="n">
        <x:f aca="0">IF(F37=0,"n/m",F36/F37)</x:f>
        <x:v>0.4626154189525172</x:v>
      </x:c>
      <x:c r="G200" s="42" t="n">
        <x:f aca="0">IF(G37=0,"n/m",G36/G37)</x:f>
        <x:v>0.5474267996915693</x:v>
      </x:c>
      <x:c r="H200" s="42" t="n">
        <x:f aca="0">IF(H37=0,"n/m",H36/H37)</x:f>
        <x:v>0.5781149842238464</x:v>
      </x:c>
      <x:c r="I200" s="11" t="s">
        <x:v>278</x:v>
      </x:c>
    </x:row>
    <x:row r="201" ht="15" hidden="0">
      <x:c r="A201" s="193" t="s">
        <x:v>150</x:v>
      </x:c>
      <x:c r="B201" s="195" t="s">
        <x:v>339</x:v>
      </x:c>
      <x:c r="C201" s="42" t="n">
        <x:f aca="0">IF(C37=0,"n/m",C41/C37)</x:f>
        <x:v>0.5896926507735953</x:v>
      </x:c>
      <x:c r="D201" s="42" t="n">
        <x:f aca="0">IF(D37=0,"n/m",D41/D37)</x:f>
        <x:v>0.6158336174449659</x:v>
      </x:c>
      <x:c r="E201" s="42" t="n">
        <x:f aca="0">IF(E37=0,"n/m",E41/E37)</x:f>
        <x:v>0.6285075083282955</x:v>
      </x:c>
      <x:c r="F201" s="42" t="n">
        <x:f aca="0">IF(F37=0,"n/m",F41/F37)</x:f>
        <x:v>0.6583887590151666</x:v>
      </x:c>
      <x:c r="G201" s="42" t="n">
        <x:f aca="0">IF(G37=0,"n/m",G41/G37)</x:f>
        <x:v>0.698300548149705</x:v>
      </x:c>
      <x:c r="H201" s="42" t="n">
        <x:f aca="0">IF(H37=0,"n/m",H41/H37)</x:f>
        <x:v>0.7179532735297155</x:v>
      </x:c>
      <x:c r="I201" s="11" t="s">
        <x:v>278</x:v>
      </x:c>
    </x:row>
    <x:row r="202" ht="15" hidden="0">
      <x:c r="A202" s="193" t="s">
        <x:v>340</x:v>
      </x:c>
      <x:c r="B202" s="195" t="s">
        <x:v>341</x:v>
      </x:c>
      <x:c r="C202" s="42" t="n">
        <x:f aca="0">IF(C37=0,"n/m",C67/C37)</x:f>
        <x:v>0.17127824180722684</x:v>
      </x:c>
      <x:c r="D202" s="42" t="n">
        <x:f aca="0">IF(D37=0,"n/m",D67/D37)</x:f>
        <x:v>0.1220875910318789</x:v>
      </x:c>
      <x:c r="E202" s="42" t="n">
        <x:f aca="0">IF(E37=0,"n/m",E67/E37)</x:f>
        <x:v>0.07334143338786069</x:v>
      </x:c>
      <x:c r="F202" s="42" t="n">
        <x:f aca="0">IF(F37=0,"n/m",F67/F37)</x:f>
        <x:v>0.04338813037035516</x:v>
      </x:c>
      <x:c r="G202" s="42" t="n">
        <x:f aca="0">IF(G37=0,"n/m",G67/G37)</x:f>
        <x:v>0.01901053423767185</x:v>
      </x:c>
      <x:c r="H202" s="42" t="n">
        <x:f aca="0">IF(H37=0,"n/m",H67/H37)</x:f>
        <x:v>0.02169313165517457</x:v>
      </x:c>
      <x:c r="I202" s="11" t="s">
        <x:v>278</x:v>
      </x:c>
    </x:row>
    <x:row r="203" ht="15" hidden="0">
      <x:c r="A203" s="193" t="s">
        <x:v>163</x:v>
      </x:c>
      <x:c r="B203" s="195" t="s">
        <x:v>342</x:v>
      </x:c>
      <x:c r="C203" s="42" t="n">
        <x:f aca="0">IF(C37=0,"n/m",C48/C37)</x:f>
        <x:v>0.21256782538739594</x:v>
      </x:c>
      <x:c r="D203" s="42" t="n">
        <x:f aca="0">IF(D37=0,"n/m",D48/D37)</x:f>
        <x:v>0.17433291274189106</x:v>
      </x:c>
      <x:c r="E203" s="42" t="n">
        <x:f aca="0">IF(E37=0,"n/m",E48/E37)</x:f>
        <x:v>0.15262641299575178</x:v>
      </x:c>
      <x:c r="F203" s="42" t="n">
        <x:f aca="0">IF(F37=0,"n/m",F48/F37)</x:f>
        <x:v>0.14148088984102922</x:v>
      </x:c>
      <x:c r="G203" s="42" t="n">
        <x:f aca="0">IF(G37=0,"n/m",G48/G37)</x:f>
        <x:v>0.11313699636826952</x:v>
      </x:c>
      <x:c r="H203" s="42" t="n">
        <x:f aca="0">IF(H37=0,"n/m",H48/H37)</x:f>
        <x:v>0.10745549553575273</x:v>
      </x:c>
      <x:c r="I203" s="11" t="s">
        <x:v>278</x:v>
      </x:c>
    </x:row>
    <x:row r="204" ht="15" hidden="0">
      <x:c r="A204" s="193" t="s">
        <x:v>166</x:v>
      </x:c>
      <x:c r="B204" s="195" t="s">
        <x:v>343</x:v>
      </x:c>
      <x:c r="C204" s="42" t="n">
        <x:f aca="0">IF(C37=0,"n/m",C50/C37)</x:f>
        <x:v>0.13519067833839307</x:v>
      </x:c>
      <x:c r="D204" s="42" t="n">
        <x:f aca="0">IF(D37=0,"n/m",D50/D37)</x:f>
        <x:v>0.13814937186324996</x:v>
      </x:c>
      <x:c r="E204" s="42" t="n">
        <x:f aca="0">IF(E37=0,"n/m",E50/E37)</x:f>
        <x:v>0.1274541196892939</x:v>
      </x:c>
      <x:c r="F204" s="42" t="n">
        <x:f aca="0">IF(F37=0,"n/m",F50/F37)</x:f>
        <x:v>0.10714854145898316</x:v>
      </x:c>
      <x:c r="G204" s="42" t="n">
        <x:f aca="0">IF(G37=0,"n/m",G50/G37)</x:f>
        <x:v>0.1057580698049907</x:v>
      </x:c>
      <x:c r="H204" s="42" t="n">
        <x:f aca="0">IF(H37=0,"n/m",H50/H37)</x:f>
        <x:v>0.11542917643615476</x:v>
      </x:c>
      <x:c r="I204" s="11" t="s">
        <x:v>278</x:v>
      </x:c>
    </x:row>
    <x:row r="205" ht="15" hidden="0">
      <x:c r="A205" s="193" t="s">
        <x:v>344</x:v>
      </x:c>
      <x:c r="B205" s="195" t="s">
        <x:v>345</x:v>
      </x:c>
      <x:c r="C205" s="42" t="n">
        <x:f aca="0">IF(C37=0,"n/m",C66/C37)</x:f>
        <x:v>0.2200902096064523</x:v>
      </x:c>
      <x:c r="D205" s="42" t="n">
        <x:f aca="0">IF(D37=0,"n/m",D66/D37)</x:f>
        <x:v>0.1676725502773455</x:v>
      </x:c>
      <x:c r="E205" s="42" t="n">
        <x:f aca="0">IF(E37=0,"n/m",E66/E37)</x:f>
        <x:v>0.09806798108159731</x:v>
      </x:c>
      <x:c r="F205" s="42" t="n">
        <x:f aca="0">IF(F37=0,"n/m",F66/F37)</x:f>
        <x:v>0.06427152014149022</x:v>
      </x:c>
      <x:c r="G205" s="42" t="n">
        <x:f aca="0">IF(G37=0,"n/m",G66/G37)</x:f>
        <x:v>0.03658971845121565</x:v>
      </x:c>
      <x:c r="H205" s="42" t="n">
        <x:f aca="0">IF(H37=0,"n/m",H66/H37)</x:f>
        <x:v>0.03357503782342138</x:v>
      </x:c>
      <x:c r="I205" s="11" t="s">
        <x:v>278</x:v>
      </x:c>
    </x:row>
    <x:row r="206" ht="15" hidden="0">
      <x:c r="A206" s="193" t="s">
        <x:v>188</x:v>
      </x:c>
      <x:c r="B206" s="195" t="s">
        <x:v>346</x:v>
      </x:c>
      <x:c r="C206" s="42" t="n">
        <x:f aca="0">IF(C37=0,"n/m",C61/C37)</x:f>
        <x:v>0.1977395238075194</x:v>
      </x:c>
      <x:c r="D206" s="42" t="n">
        <x:f aca="0">IF(D37=0,"n/m",D61/D37)</x:f>
        <x:v>0.2098334698131429</x:v>
      </x:c>
      <x:c r="E206" s="42" t="n">
        <x:f aca="0">IF(E37=0,"n/m",E61/E37)</x:f>
        <x:v>0.2188660786759528</x:v>
      </x:c>
      <x:c r="F206" s="42" t="n">
        <x:f aca="0">IF(F37=0,"n/m",F61/F37)</x:f>
        <x:v>0.20013035114380423</x:v>
      </x:c>
      <x:c r="G206" s="42" t="n">
        <x:f aca="0">IF(G37=0,"n/m",G61/G37)</x:f>
        <x:v>0.18856245548202555</x:v>
      </x:c>
      <x:c r="H206" s="42" t="n">
        <x:f aca="0">IF(H37=0,"n/m",H61/H37)</x:f>
        <x:v>0.17459123093453174</x:v>
      </x:c>
      <x:c r="I206" s="11" t="s">
        <x:v>278</x:v>
      </x:c>
    </x:row>
    <x:row r="207" ht="15" hidden="0">
      <x:c r="A207" s="193" t="s">
        <x:v>191</x:v>
      </x:c>
      <x:c r="B207" s="195" t="s">
        <x:v>347</x:v>
      </x:c>
      <x:c r="C207" s="42" t="n">
        <x:f aca="0">IF(C37=0,"n/m",C62/C37)</x:f>
        <x:v>0.41030734919491535</x:v>
      </x:c>
      <x:c r="D207" s="42" t="n">
        <x:f aca="0">IF(D37=0,"n/m",D62/D37)</x:f>
        <x:v>0.384166382555034</x:v>
      </x:c>
      <x:c r="E207" s="42" t="n">
        <x:f aca="0">IF(E37=0,"n/m",E62/E37)</x:f>
        <x:v>0.37149249167170456</x:v>
      </x:c>
      <x:c r="F207" s="42" t="n">
        <x:f aca="0">IF(F37=0,"n/m",F62/F37)</x:f>
        <x:v>0.3416112409848334</x:v>
      </x:c>
      <x:c r="G207" s="42" t="n">
        <x:f aca="0">IF(G37=0,"n/m",G62/G37)</x:f>
        <x:v>0.3016994518502951</x:v>
      </x:c>
      <x:c r="H207" s="42" t="n">
        <x:f aca="0">IF(H37=0,"n/m",H62/H37)</x:f>
        <x:v>0.28204672647028445</x:v>
      </x:c>
      <x:c r="I207" s="11" t="s">
        <x:v>278</x:v>
      </x:c>
    </x:row>
    <x:row r="208" ht="15" hidden="0">
      <x:c r="A208" s="201" t="s">
        <x:v>348</x:v>
      </x:c>
      <x:c r="B208" s="202"/>
      <x:c r="C208" s="25"/>
      <x:c r="D208" s="25"/>
      <x:c r="E208" s="25"/>
      <x:c r="F208" s="25"/>
      <x:c r="G208" s="25"/>
      <x:c r="H208" s="25"/>
      <x:c r="I208" s="25"/>
      <x:c r="J208" s="25"/>
    </x:row>
    <x:row r="209" ht="15" hidden="0">
      <x:c r="A209" s="193" t="s">
        <x:v>226</x:v>
      </x:c>
      <x:c r="B209" s="195" t="s">
        <x:v>349</x:v>
      </x:c>
      <x:c r="C209" s="30"/>
      <x:c r="D209" s="42" t="n">
        <x:f aca="0">IF(D84=0,"n/m",D85/D84)</x:f>
        <x:v>-0.7520365869917107</x:v>
      </x:c>
      <x:c r="E209" s="42" t="n">
        <x:f aca="0">IF(E84=0,"n/m",E85/E84)</x:f>
        <x:v>-0.7015608578649012</x:v>
      </x:c>
      <x:c r="F209" s="42" t="n">
        <x:f aca="0">IF(F84=0,"n/m",F85/F84)</x:f>
        <x:v>-0.731956431810104</x:v>
      </x:c>
      <x:c r="G209" s="42" t="n">
        <x:f aca="0">IF(G84=0,"n/m",G85/G84)</x:f>
        <x:v>-0.708741485325744</x:v>
      </x:c>
      <x:c r="H209" s="42" t="n">
        <x:f aca="0">IF(H84=0,"n/m",H85/H84)</x:f>
        <x:v>-0.6077972182455486</x:v>
      </x:c>
      <x:c r="I209" s="11" t="s">
        <x:v>278</x:v>
      </x:c>
    </x:row>
    <x:row r="210" ht="15" hidden="0">
      <x:c r="A210" s="193" t="s">
        <x:v>228</x:v>
      </x:c>
      <x:c r="B210" s="195" t="s">
        <x:v>350</x:v>
      </x:c>
      <x:c r="C210" s="30"/>
      <x:c r="D210" s="42" t="n">
        <x:f aca="0">IF(D84=0,"n/m",D86/D84)</x:f>
        <x:v>0.2479634130082893</x:v>
      </x:c>
      <x:c r="E210" s="42" t="n">
        <x:f aca="0">IF(E84=0,"n/m",E86/E84)</x:f>
        <x:v>0.2984391421350988</x:v>
      </x:c>
      <x:c r="F210" s="42" t="n">
        <x:f aca="0">IF(F84=0,"n/m",F86/F84)</x:f>
        <x:v>0.2680435681898961</x:v>
      </x:c>
      <x:c r="G210" s="42" t="n">
        <x:f aca="0">IF(G84=0,"n/m",G86/G84)</x:f>
        <x:v>0.29125851467425595</x:v>
      </x:c>
      <x:c r="H210" s="42" t="n">
        <x:f aca="0">IF(H84=0,"n/m",H86/H84)</x:f>
        <x:v>0.39220278175445145</x:v>
      </x:c>
      <x:c r="I210" s="11" t="s">
        <x:v>278</x:v>
      </x:c>
    </x:row>
    <x:row r="211" ht="15" hidden="0">
      <x:c r="A211" s="193" t="s">
        <x:v>351</x:v>
      </x:c>
      <x:c r="B211" s="195" t="s">
        <x:v>352</x:v>
      </x:c>
      <x:c r="C211" s="30"/>
      <x:c r="D211" s="42" t="n">
        <x:f aca="0">IF(D84=0,"n/m",D87/D84)</x:f>
        <x:v>-0.003914224270814647</x:v>
      </x:c>
      <x:c r="E211" s="42" t="n">
        <x:f aca="0">IF(E84=0,"n/m",E87/E84)</x:f>
        <x:v>-0.0037149656233314452</x:v>
      </x:c>
      <x:c r="F211" s="42" t="n">
        <x:f aca="0">IF(F84=0,"n/m",F87/F84)</x:f>
        <x:v>-0.004525078569187099</x:v>
      </x:c>
      <x:c r="G211" s="42" t="n">
        <x:f aca="0">IF(G84=0,"n/m",G87/G84)</x:f>
        <x:v>-0.005104029788807282</x:v>
      </x:c>
      <x:c r="H211" s="42" t="n">
        <x:f aca="0">IF(H84=0,"n/m",H87/H84)</x:f>
        <x:v>-0.0060102892649976526</x:v>
      </x:c>
      <x:c r="I211" s="11" t="s">
        <x:v>278</x:v>
      </x:c>
    </x:row>
    <x:row r="212" ht="15" hidden="0">
      <x:c r="A212" s="193" t="s">
        <x:v>353</x:v>
      </x:c>
      <x:c r="B212" s="195" t="s">
        <x:v>354</x:v>
      </x:c>
      <x:c r="C212" s="30"/>
      <x:c r="D212" s="42" t="n">
        <x:f aca="0">IF(D84=0,"n/m",D88/D84)</x:f>
        <x:v>-0.013032371864007903</x:v>
      </x:c>
      <x:c r="E212" s="42" t="n">
        <x:f aca="0">IF(E84=0,"n/m",E88/E84)</x:f>
        <x:v>-0.01075290909978384</x:v>
      </x:c>
      <x:c r="F212" s="42" t="n">
        <x:f aca="0">IF(F84=0,"n/m",F88/F84)</x:f>
        <x:v>-0.010180200586047575</x:v>
      </x:c>
      <x:c r="G212" s="42" t="n">
        <x:f aca="0">IF(G84=0,"n/m",G88/G84)</x:f>
        <x:v>-0.012627969391494565</x:v>
      </x:c>
      <x:c r="H212" s="42" t="n">
        <x:f aca="0">IF(H84=0,"n/m",H88/H84)</x:f>
        <x:v>-0.018530441982077747</x:v>
      </x:c>
      <x:c r="I212" s="11" t="s">
        <x:v>278</x:v>
      </x:c>
    </x:row>
    <x:row r="213" ht="15" hidden="0">
      <x:c r="A213" s="193" t="s">
        <x:v>355</x:v>
      </x:c>
      <x:c r="B213" s="195" t="s">
        <x:v>356</x:v>
      </x:c>
      <x:c r="C213" s="30"/>
      <x:c r="D213" s="42" t="n">
        <x:f aca="0">IF(D84=0,"n/m",(D90+D89)/D84)</x:f>
        <x:v>-0.01352279958164109</x:v>
      </x:c>
      <x:c r="E213" s="42" t="n">
        <x:f aca="0">IF(E84=0,"n/m",(E90+E89)/E84)</x:f>
        <x:v>-0.01712605323974668</x:v>
      </x:c>
      <x:c r="F213" s="42" t="n">
        <x:f aca="0">IF(F84=0,"n/m",(F90+F89)/F84)</x:f>
        <x:v>-0.018922970537516227</x:v>
      </x:c>
      <x:c r="G213" s="42" t="n">
        <x:f aca="0">IF(G84=0,"n/m",(G90+G89)/G84)</x:f>
        <x:v>-0.014747032051447753</x:v>
      </x:c>
      <x:c r="H213" s="42" t="n">
        <x:f aca="0">IF(H84=0,"n/m",(H90+H89)/H84)</x:f>
        <x:v>-0.026226702052810174</x:v>
      </x:c>
      <x:c r="I213" s="11" t="s">
        <x:v>278</x:v>
      </x:c>
    </x:row>
    <x:row r="214" ht="15" hidden="0">
      <x:c r="A214" s="193" t="s">
        <x:v>357</x:v>
      </x:c>
      <x:c r="B214" s="195" t="s">
        <x:v>358</x:v>
      </x:c>
      <x:c r="C214" s="30"/>
      <x:c r="D214" s="42" t="n">
        <x:f aca="0">IF(D84=0,"n/m",D91/D84)</x:f>
        <x:v>0.2174940172918257</x:v>
      </x:c>
      <x:c r="E214" s="42" t="n">
        <x:f aca="0">IF(E84=0,"n/m",E91/E84)</x:f>
        <x:v>0.26684521417223683</x:v>
      </x:c>
      <x:c r="F214" s="42" t="n">
        <x:f aca="0">IF(F84=0,"n/m",F91/F84)</x:f>
        <x:v>0.23441531849714523</x:v>
      </x:c>
      <x:c r="G214" s="42" t="n">
        <x:f aca="0">IF(G84=0,"n/m",G91/G84)</x:f>
        <x:v>0.25877948344250634</x:v>
      </x:c>
      <x:c r="H214" s="42" t="n">
        <x:f aca="0">IF(H84=0,"n/m",H91/H84)</x:f>
        <x:v>0.34143534845456586</x:v>
      </x:c>
      <x:c r="I214" s="11" t="s">
        <x:v>278</x:v>
      </x:c>
    </x:row>
    <x:row r="215" ht="15" hidden="0">
      <x:c r="A215" s="193" t="s">
        <x:v>240</x:v>
      </x:c>
      <x:c r="B215" s="195" t="s">
        <x:v>359</x:v>
      </x:c>
      <x:c r="C215" s="30"/>
      <x:c r="D215" s="42" t="n">
        <x:f aca="0">IF(D84=0,"n/m",(D92+D93+D94)/D84)</x:f>
        <x:v>0.007094484039188474</x:v>
      </x:c>
      <x:c r="E215" s="42" t="n">
        <x:f aca="0">IF(E84=0,"n/m",(E92+E93+E94)/E84)</x:f>
        <x:v>0.020991710399966976</x:v>
      </x:c>
      <x:c r="F215" s="42" t="n">
        <x:f aca="0">IF(F84=0,"n/m",(F92+F93+F94)/F84)</x:f>
        <x:v>0.053589938712582906</x:v>
      </x:c>
      <x:c r="G215" s="42" t="n">
        <x:f aca="0">IF(G84=0,"n/m",(G92+G93+G94)/G84)</x:f>
        <x:v>0.11520501044784114</x:v>
      </x:c>
      <x:c r="H215" s="42" t="n">
        <x:f aca="0">IF(H84=0,"n/m",(H92+H93+H94)/H84)</x:f>
        <x:v>0.14068524483798328</x:v>
      </x:c>
      <x:c r="I215" s="11" t="s">
        <x:v>278</x:v>
      </x:c>
    </x:row>
    <x:row r="216" ht="15" hidden="0">
      <x:c r="A216" s="193" t="s">
        <x:v>246</x:v>
      </x:c>
      <x:c r="B216" s="195" t="s">
        <x:v>360</x:v>
      </x:c>
      <x:c r="C216" s="30"/>
      <x:c r="D216" s="42" t="n">
        <x:f aca="0">IF(D84=0,"n/m",D95/D84)</x:f>
        <x:v>-0.021492593920963813</x:v>
      </x:c>
      <x:c r="E216" s="42" t="n">
        <x:f aca="0">IF(E84=0,"n/m",E95/E84)</x:f>
        <x:v>-0.01635525279649306</x:v>
      </x:c>
      <x:c r="F216" s="42" t="n">
        <x:f aca="0">IF(F84=0,"n/m",F95/F84)</x:f>
        <x:v>-0.01902046934417929</x:v>
      </x:c>
      <x:c r="G216" s="42" t="n">
        <x:f aca="0">IF(G84=0,"n/m",G95/G84)</x:f>
        <x:v>-0.017527036632251494</x:v>
      </x:c>
      <x:c r="H216" s="42" t="n">
        <x:f aca="0">IF(H84=0,"n/m",H95/H84)</x:f>
        <x:v>-0.009322077716205827</x:v>
      </x:c>
      <x:c r="I216" s="11" t="s">
        <x:v>278</x:v>
      </x:c>
    </x:row>
    <x:row r="217" ht="15" hidden="0">
      <x:c r="A217" s="193" t="s">
        <x:v>361</x:v>
      </x:c>
      <x:c r="B217" s="195" t="s">
        <x:v>362</x:v>
      </x:c>
      <x:c r="C217" s="30"/>
      <x:c r="D217" s="42" t="n">
        <x:f aca="0">IF(D84=0,"n/m",D96/D84)</x:f>
        <x:v>0.20309590741005035</x:v>
      </x:c>
      <x:c r="E217" s="42" t="n">
        <x:f aca="0">IF(E84=0,"n/m",E96/E84)</x:f>
        <x:v>0.2714816717757107</x:v>
      </x:c>
      <x:c r="F217" s="42" t="n">
        <x:f aca="0">IF(F84=0,"n/m",F96/F84)</x:f>
        <x:v>0.26898478786554886</x:v>
      </x:c>
      <x:c r="G217" s="42" t="n">
        <x:f aca="0">IF(G84=0,"n/m",G96/G84)</x:f>
        <x:v>0.356457457258096</x:v>
      </x:c>
      <x:c r="H217" s="42" t="n">
        <x:f aca="0">IF(H84=0,"n/m",H96/H84)</x:f>
        <x:v>0.4727985155763434</x:v>
      </x:c>
      <x:c r="I217" s="11" t="s">
        <x:v>278</x:v>
      </x:c>
    </x:row>
    <x:row r="218" ht="15" hidden="0">
      <x:c r="A218" s="193" t="s">
        <x:v>363</x:v>
      </x:c>
      <x:c r="B218" s="195" t="s">
        <x:v>364</x:v>
      </x:c>
      <x:c r="C218" s="30"/>
      <x:c r="D218" s="42" t="n">
        <x:f aca="0">IF(D84=0,"n/m",-D110/D84)</x:f>
        <x:v>-0.057713998420347745</x:v>
      </x:c>
      <x:c r="E218" s="42" t="n">
        <x:f aca="0">IF(E84=0,"n/m",-E110/E84)</x:f>
        <x:v>-0.11866091481784687</x:v>
      </x:c>
      <x:c r="F218" s="42" t="n">
        <x:f aca="0">IF(F84=0,"n/m",-F110/F84)</x:f>
        <x:v>-0.11943425915170339</x:v>
      </x:c>
      <x:c r="G218" s="42" t="n">
        <x:f aca="0">IF(G84=0,"n/m",-G110/G84)</x:f>
        <x:v>-0.12634184505913956</x:v>
      </x:c>
      <x:c r="H218" s="42" t="n">
        <x:f aca="0">IF(H84=0,"n/m",-H110/H84)</x:f>
        <x:v>-0.16442131850039482</x:v>
      </x:c>
      <x:c r="I218" s="11" t="s">
        <x:v>278</x:v>
      </x:c>
    </x:row>
    <x:row r="219" ht="15" hidden="0">
      <x:c r="A219" s="193" t="s">
        <x:v>365</x:v>
      </x:c>
      <x:c r="B219" s="195" t="s">
        <x:v>366</x:v>
      </x:c>
      <x:c r="C219" s="30"/>
      <x:c r="D219" s="42" t="n">
        <x:f aca="0">IF(D84=0,"n/m",D99/D84)</x:f>
        <x:v>0.1453819089897026</x:v>
      </x:c>
      <x:c r="E219" s="42" t="n">
        <x:f aca="0">IF(E84=0,"n/m",E99/E84)</x:f>
        <x:v>0.15282075695786385</x:v>
      </x:c>
      <x:c r="F219" s="42" t="n">
        <x:f aca="0">IF(F84=0,"n/m",F99/F84)</x:f>
        <x:v>0.14955052871384544</x:v>
      </x:c>
      <x:c r="G219" s="42" t="n">
        <x:f aca="0">IF(G84=0,"n/m",G99/G84)</x:f>
        <x:v>0.23011561219895646</x:v>
      </x:c>
      <x:c r="H219" s="42" t="n">
        <x:f aca="0">IF(H84=0,"n/m",H99/H84)</x:f>
        <x:v>0.3083771970759486</x:v>
      </x:c>
      <x:c r="I219" s="11" t="s">
        <x:v>278</x:v>
      </x:c>
    </x:row>
    <x:row r="220" ht="15" hidden="0">
      <x:c r="A220" s="193"/>
      <x:c r="B220" s="195"/>
      <x:c r="C220" s="30"/>
      <x:c r="D220" s="42">
        <x:f aca="0"/>
      </x:c>
      <x:c r="E220" s="42">
        <x:f aca="0"/>
      </x:c>
      <x:c r="F220" s="42">
        <x:f aca="0"/>
      </x:c>
      <x:c r="G220" s="42">
        <x:f aca="0"/>
      </x:c>
      <x:c r="H220" s="42">
        <x:f aca="0"/>
      </x:c>
      <x:c r="I220" s="11" t="s">
        <x:v>278</x:v>
      </x:c>
    </x:row>
    <x:row r="221">
      <x:c r="A221" s="193"/>
      <x:c r="B221" s="193"/>
    </x:row>
    <x:row r="222" ht="15" hidden="0">
      <x:c r="A222" s="196" t="s">
        <x:v>367</x:v>
      </x:c>
      <x:c r="B222" s="197"/>
      <x:c r="C222" s="20"/>
      <x:c r="D222" s="20"/>
      <x:c r="E222" s="20"/>
      <x:c r="F222" s="20"/>
      <x:c r="G222" s="20"/>
      <x:c r="H222" s="20"/>
      <x:c r="I222" s="20"/>
      <x:c r="J222" s="20"/>
    </x:row>
    <x:row r="223" ht="15" hidden="0">
      <x:c r="A223" s="193" t="s">
        <x:v>368</x:v>
      </x:c>
      <x:c r="B223" s="195" t="s">
        <x:v>369</x:v>
      </x:c>
      <x:c r="C223" s="30"/>
      <x:c r="D223" s="43" t="s">
        <x:v>370</x:v>
      </x:c>
      <x:c r="E223" s="44" t="n">
        <x:f aca="0">E84-D84</x:f>
        <x:v>8819.573187000002</x:v>
      </x:c>
      <x:c r="F223" s="44" t="n">
        <x:f aca="0">F84-E84</x:f>
        <x:v>6044.686170999994</x:v>
      </x:c>
      <x:c r="G223" s="44" t="n">
        <x:f aca="0">G84-F84</x:f>
        <x:v>-273.86737799999537</x:v>
      </x:c>
      <x:c r="H223" s="44" t="n">
        <x:f aca="0">H84-G84</x:f>
        <x:v>-1112.0676000000021</x:v>
      </x:c>
      <x:c r="I223" s="11" t="s">
        <x:v>111</x:v>
      </x:c>
    </x:row>
    <x:row r="224" ht="15" hidden="0">
      <x:c r="A224" s="193" t="s">
        <x:v>371</x:v>
      </x:c>
      <x:c r="B224" s="195" t="s">
        <x:v>372</x:v>
      </x:c>
      <x:c r="C224" s="30"/>
      <x:c r="D224" s="43" t="str">
        <x:f>IF(OR(C84&lt;=0,D84&lt;C84),"n/m",D84/C84-1)</x:f>
        <x:v>n/m</x:v>
      </x:c>
      <x:c r="E224" s="42" t="n">
        <x:f aca="0">IF(OR(D84&lt;=0,E84&lt;D84),"n/m",E84/D84-1)</x:f>
        <x:v>0.36660578401953936</x:v>
      </x:c>
      <x:c r="F224" s="42" t="n">
        <x:f aca="0">IF(OR(E84&lt;=0,F84&lt;E84),"n/m",F84/E84-1)</x:f>
        <x:v>0.1838578798199746</x:v>
      </x:c>
      <x:c r="G224" s="42" t="str">
        <x:f aca="0">IF(OR(F84&lt;=0,G84&lt;F84),"n/m",G84/F84-1)</x:f>
        <x:v>n/m</x:v>
      </x:c>
      <x:c r="H224" s="42" t="str">
        <x:f aca="0">IF(OR(G84&lt;=0,H84&lt;G84),"n/m",H84/G84-1)</x:f>
        <x:v>n/m</x:v>
      </x:c>
      <x:c r="I224" s="11" t="s">
        <x:v>278</x:v>
      </x:c>
    </x:row>
    <x:row r="225" ht="15" hidden="0">
      <x:c r="A225" s="193" t="s">
        <x:v>373</x:v>
      </x:c>
      <x:c r="B225" s="195" t="s">
        <x:v>369</x:v>
      </x:c>
      <x:c r="C225" s="30"/>
      <x:c r="D225" s="43" t="s">
        <x:v>370</x:v>
      </x:c>
      <x:c r="E225" s="44" t="n">
        <x:f aca="0">E86-D86</x:f>
        <x:v>3846.4194500000012</x:v>
      </x:c>
      <x:c r="F225" s="44" t="n">
        <x:f aca="0">F86-E86</x:f>
        <x:v>620.9255099999937</x:v>
      </x:c>
      <x:c r="G225" s="44" t="n">
        <x:f aca="0">G86-F86</x:f>
        <x:v>823.797476000007</x:v>
      </x:c>
      <x:c r="H225" s="44" t="n">
        <x:f aca="0">H86-G86</x:f>
        <x:v>3465.1146059999955</x:v>
      </x:c>
      <x:c r="I225" s="11" t="s">
        <x:v>111</x:v>
      </x:c>
    </x:row>
    <x:row r="226" ht="15" hidden="0">
      <x:c r="A226" s="193" t="s">
        <x:v>374</x:v>
      </x:c>
      <x:c r="B226" s="195" t="s">
        <x:v>372</x:v>
      </x:c>
      <x:c r="C226" s="30"/>
      <x:c r="D226" s="43" t="str">
        <x:f>IF(OR(C86&lt;=0,D86&lt;C86),"n/m",D86/C86-1)</x:f>
        <x:v>n/m</x:v>
      </x:c>
      <x:c r="E226" s="42" t="n">
        <x:f aca="0">IF(OR(D86&lt;=0,E86&lt;D86),"n/m",E86/D86-1)</x:f>
        <x:v>0.6447936930357592</x:v>
      </x:c>
      <x:c r="F226" s="42" t="n">
        <x:f aca="0">IF(OR(E86&lt;=0,F86&lt;E86),"n/m",F86/E86-1)</x:f>
        <x:v>0.06328375047071688</x:v>
      </x:c>
      <x:c r="G226" s="42" t="n">
        <x:f aca="0">IF(OR(F86&lt;=0,G86&lt;F86),"n/m",G86/F86-1)</x:f>
        <x:v>0.07896306308799139</x:v>
      </x:c>
      <x:c r="H226" s="42" t="n">
        <x:f aca="0">IF(OR(G86&lt;=0,H86&lt;G86),"n/m",H86/G86-1)</x:f>
        <x:v>0.307832561108331</x:v>
      </x:c>
      <x:c r="I226" s="11" t="s">
        <x:v>278</x:v>
      </x:c>
    </x:row>
    <x:row r="227" ht="15" hidden="0">
      <x:c r="A227" s="193" t="s">
        <x:v>375</x:v>
      </x:c>
      <x:c r="B227" s="195" t="s">
        <x:v>369</x:v>
      </x:c>
      <x:c r="C227" s="30"/>
      <x:c r="D227" s="43" t="s">
        <x:v>370</x:v>
      </x:c>
      <x:c r="E227" s="44" t="n">
        <x:f aca="0">E91-D91</x:f>
        <x:v>3540.721195000001</x:v>
      </x:c>
      <x:c r="F227" s="44" t="n">
        <x:f aca="0">F91-E91</x:f>
        <x:v>350.77100199999404</x:v>
      </x:c>
      <x:c r="G227" s="44" t="n">
        <x:f aca="0">G91-F91</x:f>
        <x:v>877.421885000007</x:v>
      </x:c>
      <x:c r="H227" s="44" t="n">
        <x:f aca="0">H91-G91</x:f>
        <x:v>2814.7655039999954</x:v>
      </x:c>
      <x:c r="I227" s="11" t="s">
        <x:v>111</x:v>
      </x:c>
    </x:row>
    <x:row r="228" ht="15" hidden="0">
      <x:c r="A228" s="193" t="s">
        <x:v>376</x:v>
      </x:c>
      <x:c r="B228" s="195" t="s">
        <x:v>372</x:v>
      </x:c>
      <x:c r="C228" s="30"/>
      <x:c r="D228" s="43" t="str">
        <x:f>IF(OR(C91&lt;=0,D91&lt;C91),"n/m",D91/C91-1)</x:f>
        <x:v>n/m</x:v>
      </x:c>
      <x:c r="E228" s="42" t="n">
        <x:f aca="0">IF(OR(D91&lt;=0,E91&lt;D91),"n/m",E91/D91-1)</x:f>
        <x:v>0.6766999739418462</x:v>
      </x:c>
      <x:c r="F228" s="42" t="n">
        <x:f aca="0">IF(OR(E91&lt;=0,F91&lt;E91),"n/m",F91/E91-1)</x:f>
        <x:v>0.039982758597390866</x:v>
      </x:c>
      <x:c r="G228" s="42" t="n">
        <x:f aca="0">IF(OR(F91&lt;=0,G91&lt;F91),"n/m",G91/F91-1)</x:f>
        <x:v>0.09616817947074319</x:v>
      </x:c>
      <x:c r="H228" s="42" t="n">
        <x:f aca="0">IF(OR(G91&lt;=0,H91&lt;G91),"n/m",H91/G91-1)</x:f>
        <x:v>0.28144138621259374</x:v>
      </x:c>
      <x:c r="I228" s="11" t="s">
        <x:v>278</x:v>
      </x:c>
    </x:row>
    <x:row r="229" ht="15" hidden="0">
      <x:c r="A229" s="193"/>
      <x:c r="B229" s="195"/>
      <x:c r="C229" s="30"/>
      <x:c r="D229" s="43"/>
      <x:c r="E229" s="44">
        <x:f aca="0"/>
      </x:c>
      <x:c r="F229" s="44">
        <x:f aca="0"/>
      </x:c>
      <x:c r="G229" s="44">
        <x:f aca="0"/>
      </x:c>
      <x:c r="H229" s="44">
        <x:f aca="0"/>
      </x:c>
      <x:c r="I229" s="11" t="s">
        <x:v>111</x:v>
      </x:c>
    </x:row>
    <x:row r="230" ht="15" hidden="0">
      <x:c r="A230" s="193"/>
      <x:c r="B230" s="195"/>
      <x:c r="C230" s="30"/>
      <x:c r="D230" s="43"/>
      <x:c r="E230" s="42">
        <x:f aca="0"/>
      </x:c>
      <x:c r="F230" s="42">
        <x:f aca="0"/>
      </x:c>
      <x:c r="G230" s="42">
        <x:f aca="0"/>
      </x:c>
      <x:c r="H230" s="42">
        <x:f aca="0"/>
      </x:c>
      <x:c r="I230" s="11" t="s">
        <x:v>278</x:v>
      </x:c>
    </x:row>
    <x:row r="231" ht="15" hidden="0">
      <x:c r="A231" s="193" t="s">
        <x:v>377</x:v>
      </x:c>
      <x:c r="B231" s="195" t="s">
        <x:v>369</x:v>
      </x:c>
      <x:c r="C231" s="30"/>
      <x:c r="D231" s="43" t="s">
        <x:v>370</x:v>
      </x:c>
      <x:c r="E231" s="44" t="n">
        <x:f aca="0">E99-D99</x:f>
        <x:v>1526.773013</x:v>
      </x:c>
      <x:c r="F231" s="44" t="n">
        <x:f aca="0">F99-E99</x:f>
        <x:v>796.4708849999961</x:v>
      </x:c>
      <x:c r="G231" s="44" t="n">
        <x:f aca="0">G99-F99</x:f>
        <x:v>3072.703642000006</x:v>
      </x:c>
      <x:c r="H231" s="44" t="n">
        <x:f aca="0">H99-G99</x:f>
        <x:v>2681.6992839999984</x:v>
      </x:c>
      <x:c r="I231" s="11" t="s">
        <x:v>111</x:v>
      </x:c>
    </x:row>
    <x:row r="232" ht="15" hidden="0">
      <x:c r="A232" s="193" t="s">
        <x:v>378</x:v>
      </x:c>
      <x:c r="B232" s="195" t="s">
        <x:v>372</x:v>
      </x:c>
      <x:c r="C232" s="30"/>
      <x:c r="D232" s="43" t="str">
        <x:f>IF(OR(C99&lt;=0,D99&lt;C99),"n/m",D99/C99-1)</x:f>
        <x:v>n/m</x:v>
      </x:c>
      <x:c r="E232" s="42" t="n">
        <x:f aca="0">IF(OR(D99&lt;=0,E99&lt;D99),"n/m",E99/D99-1)</x:f>
        <x:v>0.4365317653907923</x:v>
      </x:c>
      <x:c r="F232" s="42" t="n">
        <x:f aca="0">IF(OR(E99&lt;=0,F99&lt;E99),"n/m",F99/E99-1)</x:f>
        <x:v>0.15852437439467115</x:v>
      </x:c>
      <x:c r="G232" s="42" t="n">
        <x:f aca="0">IF(OR(F99&lt;=0,G99&lt;F99),"n/m",G99/F99-1)</x:f>
        <x:v>0.5278878215983254</x:v>
      </x:c>
      <x:c r="H232" s="42" t="n">
        <x:f aca="0">IF(OR(G99&lt;=0,H99&lt;G99),"n/m",H99/G99-1)</x:f>
        <x:v>0.30153628125708454</x:v>
      </x:c>
      <x:c r="I232" s="11" t="s">
        <x:v>278</x:v>
      </x:c>
    </x:row>
    <x:row r="233" ht="15" hidden="0">
      <x:c r="A233" s="193" t="s">
        <x:v>379</x:v>
      </x:c>
      <x:c r="B233" s="195" t="s">
        <x:v>369</x:v>
      </x:c>
      <x:c r="C233" s="30"/>
      <x:c r="D233" s="43" t="s">
        <x:v>370</x:v>
      </x:c>
      <x:c r="E233" s="44" t="n">
        <x:f aca="0">E117-D117</x:f>
        <x:v>3092.042026</x:v>
      </x:c>
      <x:c r="F233" s="44" t="n">
        <x:f aca="0">F117-E117</x:f>
        <x:v>-3729.276129</x:v>
      </x:c>
      <x:c r="G233" s="44" t="n">
        <x:f aca="0">G117-F117</x:f>
        <x:v>2195.0916479999996</x:v>
      </x:c>
      <x:c r="H233" s="44" t="n">
        <x:f aca="0">H117-G117</x:f>
        <x:v>2731.1151290000007</x:v>
      </x:c>
      <x:c r="I233" s="11" t="s">
        <x:v>111</x:v>
      </x:c>
    </x:row>
    <x:row r="234" ht="15" hidden="0">
      <x:c r="A234" s="193" t="s">
        <x:v>380</x:v>
      </x:c>
      <x:c r="B234" s="195" t="s">
        <x:v>372</x:v>
      </x:c>
      <x:c r="C234" s="30"/>
      <x:c r="D234" s="43" t="str">
        <x:f>IF(OR(C117&lt;=0,D117&lt;C117),"n/m",D117/C117-1)</x:f>
        <x:v>n/m</x:v>
      </x:c>
      <x:c r="E234" s="42" t="n">
        <x:f aca="0">IF(OR(D117&lt;=0,E117&lt;D117),"n/m",E117/D117-1)</x:f>
        <x:v>0.607555535680542</x:v>
      </x:c>
      <x:c r="F234" s="42" t="str">
        <x:f aca="0">IF(OR(E117&lt;=0,F117&lt;E117),"n/m",F117/E117-1)</x:f>
        <x:v>n/m</x:v>
      </x:c>
      <x:c r="G234" s="42" t="n">
        <x:f aca="0">IF(OR(F117&lt;=0,G117&lt;F117),"n/m",G117/F117-1)</x:f>
        <x:v>0.49304836834509325</x:v>
      </x:c>
      <x:c r="H234" s="42" t="n">
        <x:f aca="0">IF(OR(G117&lt;=0,H117&lt;G117),"n/m",H117/G117-1)</x:f>
        <x:v>0.4108686446034615</x:v>
      </x:c>
      <x:c r="I234" s="11" t="s">
        <x:v>278</x:v>
      </x:c>
    </x:row>
    <x:row r="235" ht="15" hidden="0">
      <x:c r="A235" s="193" t="s">
        <x:v>381</x:v>
      </x:c>
      <x:c r="B235" s="195" t="s">
        <x:v>369</x:v>
      </x:c>
      <x:c r="C235" s="30"/>
      <x:c r="D235" s="44" t="n">
        <x:f aca="0">D37-C37</x:f>
        <x:v>4330.254130000008</x:v>
      </x:c>
      <x:c r="E235" s="44" t="n">
        <x:f aca="0">E37-D37</x:f>
        <x:v>7263.746406999991</x:v>
      </x:c>
      <x:c r="F235" s="44" t="n">
        <x:f aca="0">F37-E37</x:f>
        <x:v>6179.407701000004</x:v>
      </x:c>
      <x:c r="G235" s="44" t="n">
        <x:f aca="0">G37-F37</x:f>
        <x:v>9313.219652</x:v>
      </x:c>
      <x:c r="H235" s="44" t="n">
        <x:f aca="0">H37-G37</x:f>
        <x:v>7951.016571</x:v>
      </x:c>
      <x:c r="I235" s="11" t="s">
        <x:v>111</x:v>
      </x:c>
    </x:row>
    <x:row r="236" ht="15" hidden="0">
      <x:c r="A236" s="193" t="s">
        <x:v>382</x:v>
      </x:c>
      <x:c r="B236" s="195" t="s">
        <x:v>372</x:v>
      </x:c>
      <x:c r="C236" s="30"/>
      <x:c r="D236" s="42" t="n">
        <x:f aca="0">IF(OR(C37&lt;=0,D37&lt;C37),"n/m",D37/C37-1)</x:f>
        <x:v>0.13635732264152</x:v>
      </x:c>
      <x:c r="E236" s="42" t="n">
        <x:f aca="0">IF(OR(D37&lt;=0,E37&lt;D37),"n/m",E37/D37-1)</x:f>
        <x:v>0.20128473468375319</x:v>
      </x:c>
      <x:c r="F236" s="42" t="n">
        <x:f aca="0">IF(OR(E37&lt;=0,F37&lt;E37),"n/m",F37/E37-1)</x:f>
        <x:v>0.1425446944263229</x:v>
      </x:c>
      <x:c r="G236" s="42" t="n">
        <x:f aca="0">IF(OR(F37&lt;=0,G37&lt;F37),"n/m",G37/F37-1)</x:f>
        <x:v>0.18803160603982083</x:v>
      </x:c>
      <x:c r="H236" s="42" t="n">
        <x:f aca="0">IF(OR(G37&lt;=0,H37&lt;G37),"n/m",H37/G37-1)</x:f>
        <x:v>0.13512187827654776</x:v>
      </x:c>
      <x:c r="I236" s="11" t="s">
        <x:v>278</x:v>
      </x:c>
    </x:row>
    <x:row r="237" ht="15" hidden="0">
      <x:c r="A237" s="193" t="s">
        <x:v>383</x:v>
      </x:c>
      <x:c r="B237" s="195" t="s">
        <x:v>369</x:v>
      </x:c>
      <x:c r="C237" s="30"/>
      <x:c r="D237" s="44" t="n">
        <x:f aca="0">D41-C41</x:f>
        <x:v>3496.8660469999995</x:v>
      </x:c>
      <x:c r="E237" s="44" t="n">
        <x:f aca="0">E41-D41</x:f>
        <x:v>5022.68086</x:v>
      </x:c>
      <x:c r="F237" s="44" t="n">
        <x:f aca="0">F41-E41</x:f>
        <x:v>5363.824741</x:v>
      </x:c>
      <x:c r="G237" s="44" t="n">
        <x:f aca="0">G41-F41</x:f>
        <x:v>8480.260319000005</x:v>
      </x:c>
      <x:c r="H237" s="44" t="n">
        <x:f aca="0">H41-G41</x:f>
        <x:v>6864.889495999996</x:v>
      </x:c>
      <x:c r="I237" s="11" t="s">
        <x:v>111</x:v>
      </x:c>
    </x:row>
    <x:row r="238" ht="15" hidden="0">
      <x:c r="A238" s="193" t="s">
        <x:v>384</x:v>
      </x:c>
      <x:c r="B238" s="195" t="s">
        <x:v>372</x:v>
      </x:c>
      <x:c r="C238" s="30"/>
      <x:c r="D238" s="42" t="n">
        <x:f aca="0">IF(OR(C41&lt;=0,D41&lt;C41),"n/m",D41/C41-1)</x:f>
        <x:v>0.18673183359900003</x:v>
      </x:c>
      <x:c r="E238" s="42" t="n">
        <x:f aca="0">IF(OR(D41&lt;=0,E41&lt;D41),"n/m",E41/D41-1)</x:f>
        <x:v>0.22600724286763296</x:v>
      </x:c>
      <x:c r="F238" s="42" t="n">
        <x:f aca="0">IF(OR(E41&lt;=0,F41&lt;E41),"n/m",F41/E41-1)</x:f>
        <x:v>0.19686491173910392</x:v>
      </x:c>
      <x:c r="G238" s="42" t="n">
        <x:f aca="0">IF(OR(F41&lt;=0,G41&lt;F41),"n/m",G41/F41-1)</x:f>
        <x:v>0.2600505557806321</x:v>
      </x:c>
      <x:c r="H238" s="42" t="n">
        <x:f aca="0">IF(OR(G41&lt;=0,H41&lt;G41),"n/m",H41/G41-1)</x:f>
        <x:v>0.16706834975751828</x:v>
      </x:c>
      <x:c r="I238" s="11" t="s">
        <x:v>278</x:v>
      </x:c>
    </x:row>
    <x:row r="239" ht="15" hidden="0">
      <x:c r="A239" s="193" t="s">
        <x:v>385</x:v>
      </x:c>
      <x:c r="B239" s="195" t="s">
        <x:v>369</x:v>
      </x:c>
      <x:c r="C239" s="30"/>
      <x:c r="D239" s="44" t="n">
        <x:f aca="0">D66-C66</x:f>
        <x:v>-938.5454149999996</x:v>
      </x:c>
      <x:c r="E239" s="44" t="n">
        <x:f aca="0">E66-D66</x:f>
        <x:v>-1799.4736750000002</x:v>
      </x:c>
      <x:c r="F239" s="44" t="n">
        <x:f aca="0">F66-E66</x:f>
        <x:v>-1067.9392260000004</x:v>
      </x:c>
      <x:c r="G239" s="44" t="n">
        <x:f aca="0">G66-F66</x:f>
        <x:v>-1030.3136439999998</x:v>
      </x:c>
      <x:c r="H239" s="44" t="n">
        <x:f aca="0">H66-G66</x:f>
        <x:v>89.56194000000005</x:v>
      </x:c>
      <x:c r="I239" s="11" t="s">
        <x:v>111</x:v>
      </x:c>
    </x:row>
    <x:row r="240" ht="15" hidden="0">
      <x:c r="A240" s="193" t="s">
        <x:v>386</x:v>
      </x:c>
      <x:c r="B240" s="195" t="s">
        <x:v>372</x:v>
      </x:c>
      <x:c r="C240" s="30"/>
      <x:c r="D240" s="42" t="str">
        <x:f aca="0">IF(OR(C66&lt;=0,D66&lt;C66),"n/m",D66/C66-1)</x:f>
        <x:v>n/m</x:v>
      </x:c>
      <x:c r="E240" s="42" t="str">
        <x:f aca="0">IF(OR(D66&lt;=0,E66&lt;D66),"n/m",E66/D66-1)</x:f>
        <x:v>n/m</x:v>
      </x:c>
      <x:c r="F240" s="42" t="str">
        <x:f aca="0">IF(OR(E66&lt;=0,F66&lt;E66),"n/m",F66/E66-1)</x:f>
        <x:v>n/m</x:v>
      </x:c>
      <x:c r="G240" s="42" t="str">
        <x:f aca="0">IF(OR(F66&lt;=0,G66&lt;F66),"n/m",G66/F66-1)</x:f>
        <x:v>n/m</x:v>
      </x:c>
      <x:c r="H240" s="42" t="n">
        <x:f aca="0">IF(OR(G66&lt;=0,H66&lt;G66),"n/m",H66/G66-1)</x:f>
        <x:v>0.0415975200285259</x:v>
      </x:c>
      <x:c r="I240" s="11" t="s">
        <x:v>278</x:v>
      </x:c>
    </x:row>
    <x:row r="241" ht="15" hidden="0">
      <x:c r="A241" s="193" t="s">
        <x:v>387</x:v>
      </x:c>
      <x:c r="B241" s="195" t="s">
        <x:v>369</x:v>
      </x:c>
      <x:c r="C241" s="30"/>
      <x:c r="D241" s="44" t="n">
        <x:f aca="0">D65-C65</x:f>
        <x:v>917.3647069999997</x:v>
      </x:c>
      <x:c r="E241" s="44" t="n">
        <x:f aca="0">E65-D65</x:f>
        <x:v>1487.4410510000007</x:v>
      </x:c>
      <x:c r="F241" s="44" t="n">
        <x:f aca="0">F65-E65</x:f>
        <x:v>1985.0049</x:v>
      </x:c>
      <x:c r="G241" s="44" t="n">
        <x:f aca="0">G65-F65</x:f>
        <x:v>-76.56539200000043</x:v>
      </x:c>
      <x:c r="H241" s="44" t="n">
        <x:f aca="0">H65-G65</x:f>
        <x:v>-74.55789899999945</x:v>
      </x:c>
      <x:c r="I241" s="11" t="s">
        <x:v>111</x:v>
      </x:c>
    </x:row>
    <x:row r="242" ht="15" hidden="0">
      <x:c r="A242" s="193" t="s">
        <x:v>388</x:v>
      </x:c>
      <x:c r="B242" s="195" t="s">
        <x:v>372</x:v>
      </x:c>
      <x:c r="C242" s="30"/>
      <x:c r="D242" s="42" t="n">
        <x:f aca="0">IF(OR(C65&lt;=0,D65&lt;C65),"n/m",D65/C65-1)</x:f>
        <x:v>0.2808677175254597</x:v>
      </x:c>
      <x:c r="E242" s="42" t="n">
        <x:f aca="0">IF(OR(D65&lt;=0,E65&lt;D65),"n/m",E65/D65-1)</x:f>
        <x:v>0.3555455769006366</x:v>
      </x:c>
      <x:c r="F242" s="42" t="n">
        <x:f aca="0">IF(OR(E65&lt;=0,F65&lt;E65),"n/m",F65/E65-1)</x:f>
        <x:v>0.3500281527212785</x:v>
      </x:c>
      <x:c r="G242" s="42" t="str">
        <x:f aca="0">IF(OR(F65&lt;=0,G65&lt;F65),"n/m",G65/F65-1)</x:f>
        <x:v>n/m</x:v>
      </x:c>
      <x:c r="H242" s="42" t="str">
        <x:f aca="0">IF(OR(G65&lt;=0,H65&lt;G65),"n/m",H65/G65-1)</x:f>
        <x:v>n/m</x:v>
      </x:c>
      <x:c r="I242" s="11" t="s">
        <x:v>278</x:v>
      </x:c>
    </x:row>
    <x:row r="243" ht="15" hidden="0">
      <x:c r="A243" s="193" t="s">
        <x:v>389</x:v>
      </x:c>
      <x:c r="B243" s="195" t="s">
        <x:v>369</x:v>
      </x:c>
      <x:c r="C243" s="30"/>
      <x:c r="D243" s="44" t="n">
        <x:f aca="0">D32-C32</x:f>
        <x:v>489.253017</x:v>
      </x:c>
      <x:c r="E243" s="44" t="n">
        <x:f aca="0">E32-D32</x:f>
        <x:v>-67.52875399999994</x:v>
      </x:c>
      <x:c r="F243" s="44" t="n">
        <x:f aca="0">F32-E32</x:f>
        <x:v>289.5139059999999</x:v>
      </x:c>
      <x:c r="G243" s="44" t="n">
        <x:f aca="0">G32-F32</x:f>
        <x:v>904.6945270000001</x:v>
      </x:c>
      <x:c r="H243" s="44" t="n">
        <x:f aca="0">H32-G32</x:f>
        <x:v>-418.03007</x:v>
      </x:c>
      <x:c r="I243" s="11" t="s">
        <x:v>111</x:v>
      </x:c>
    </x:row>
    <x:row r="244" ht="15" hidden="0">
      <x:c r="A244" s="193" t="s">
        <x:v>390</x:v>
      </x:c>
      <x:c r="B244" s="195" t="s">
        <x:v>372</x:v>
      </x:c>
      <x:c r="C244" s="30"/>
      <x:c r="D244" s="42" t="n">
        <x:f aca="0">IF(OR(C32&lt;=0,D32&lt;C32),"n/m",D32/C32-1)</x:f>
        <x:v>0.9897591881889225</x:v>
      </x:c>
      <x:c r="E244" s="42" t="str">
        <x:f aca="0">IF(OR(D32&lt;=0,E32&lt;D32),"n/m",E32/D32-1)</x:f>
        <x:v>n/m</x:v>
      </x:c>
      <x:c r="F244" s="42" t="n">
        <x:f aca="0">IF(OR(E32&lt;=0,F32&lt;E32),"n/m",F32/E32-1)</x:f>
        <x:v>0.3160495980768705</x:v>
      </x:c>
      <x:c r="G244" s="42" t="n">
        <x:f aca="0">IF(OR(F32&lt;=0,G32&lt;F32),"n/m",G32/F32-1)</x:f>
        <x:v>0.7504392138589469</x:v>
      </x:c>
      <x:c r="H244" s="42" t="str">
        <x:f aca="0">IF(OR(G32&lt;=0,H32&lt;G32),"n/m",H32/G32-1)</x:f>
        <x:v>n/m</x:v>
      </x:c>
      <x:c r="I244" s="11" t="s">
        <x:v>278</x:v>
      </x:c>
    </x:row>
    <x:row r="245" ht="15" hidden="0">
      <x:c r="A245" s="193" t="s">
        <x:v>391</x:v>
      </x:c>
      <x:c r="B245" s="195" t="s">
        <x:v>369</x:v>
      </x:c>
      <x:c r="C245" s="30"/>
      <x:c r="D245" s="44" t="n">
        <x:f aca="0">D34-C34</x:f>
        <x:v>306.12326399999995</x:v>
      </x:c>
      <x:c r="E245" s="44" t="n">
        <x:f aca="0">E34-D34</x:f>
        <x:v>-716.963719</x:v>
      </x:c>
      <x:c r="F245" s="44" t="n">
        <x:f aca="0">F34-E34</x:f>
        <x:v>452.771561</x:v>
      </x:c>
      <x:c r="G245" s="44" t="n">
        <x:f aca="0">G34-F34</x:f>
        <x:v>169.1119789999999</x:v>
      </x:c>
      <x:c r="H245" s="44" t="n">
        <x:f aca="0">H34-G34</x:f>
        <x:v>348.0535510000002</x:v>
      </x:c>
      <x:c r="I245" s="11" t="s">
        <x:v>111</x:v>
      </x:c>
    </x:row>
    <x:row r="246" ht="15" hidden="0">
      <x:c r="A246" s="193" t="s">
        <x:v>392</x:v>
      </x:c>
      <x:c r="B246" s="195" t="s">
        <x:v>372</x:v>
      </x:c>
      <x:c r="C246" s="30"/>
      <x:c r="D246" s="42" t="n">
        <x:f aca="0">IF(OR(C34&lt;=0,D34&lt;C34),"n/m",D34/C34-1)</x:f>
        <x:v>0.3433391364902154</x:v>
      </x:c>
      <x:c r="E246" s="42" t="str">
        <x:f aca="0">IF(OR(D34&lt;=0,E34&lt;D34),"n/m",E34/D34-1)</x:f>
        <x:v>n/m</x:v>
      </x:c>
      <x:c r="F246" s="42" t="n">
        <x:f aca="0">IF(OR(E34&lt;=0,F34&lt;E34),"n/m",F34/E34-1)</x:f>
        <x:v>0.9417718964570247</x:v>
      </x:c>
      <x:c r="G246" s="42" t="n">
        <x:f aca="0">IF(OR(F34&lt;=0,G34&lt;F34),"n/m",G34/F34-1)</x:f>
        <x:v>0.18115183869273</x:v>
      </x:c>
      <x:c r="H246" s="42" t="n">
        <x:f aca="0">IF(OR(G34&lt;=0,H34&lt;G34),"n/m",H34/G34-1)</x:f>
        <x:v>0.31565212203324466</x:v>
      </x:c>
      <x:c r="I246" s="11" t="s">
        <x:v>278</x:v>
      </x:c>
    </x:row>
    <x:row r="247">
      <x:c r="A247" s="193"/>
      <x:c r="B247" s="193"/>
    </x:row>
    <x:row r="248" ht="15" hidden="0">
      <x:c r="A248" s="196" t="s">
        <x:v>393</x:v>
      </x:c>
      <x:c r="B248" s="197"/>
      <x:c r="C248" s="20"/>
      <x:c r="D248" s="20"/>
      <x:c r="E248" s="20"/>
      <x:c r="F248" s="20"/>
      <x:c r="G248" s="20"/>
      <x:c r="H248" s="20"/>
      <x:c r="I248" s="20"/>
      <x:c r="J248" s="20"/>
    </x:row>
    <x:row r="249">
      <x:c r="A249" s="193"/>
      <x:c r="B249" s="193"/>
    </x:row>
    <x:row r="250" ht="22" hidden="0" customHeight="1">
      <x:c r="A250" s="204" t="str">
        <x:v>Financing classification (PKR million)</x:v>
      </x:c>
      <x:c r="B250" s="204"/>
      <x:c r="C250" s="129"/>
      <x:c r="D250" s="129"/>
      <x:c r="E250" s="129"/>
      <x:c r="F250" s="129"/>
      <x:c r="G250" s="129"/>
      <x:c r="H250" s="129"/>
      <x:c r="I250"/>
      <x:c r="J250"/>
    </x:row>
    <x:row r="251" ht="15" hidden="0">
      <x:c r="A251" s="193" t="str">
        <x:v>Interest-free parent loan excluded from IBD</x:v>
      </x:c>
      <x:c r="B251" s="193"/>
      <x:c r="C251" s="136" t="n">
        <x:v>0</x:v>
      </x:c>
      <x:c r="D251" s="136" t="n">
        <x:v>0</x:v>
      </x:c>
      <x:c r="E251" s="136" t="n">
        <x:v>0</x:v>
      </x:c>
      <x:c r="F251" s="136" t="n">
        <x:v>0</x:v>
      </x:c>
      <x:c r="G251" s="136" t="n">
        <x:v>0</x:v>
      </x:c>
      <x:c r="H251" s="136" t="n">
        <x:v>0</x:v>
      </x:c>
    </x:row>
    <x:row r="252" ht="15" hidden="0">
      <x:c r="A252" s="193" t="str">
        <x:v>Accrued interest within financing balances</x:v>
      </x:c>
      <x:c r="B252" s="193"/>
      <x:c r="C252" s="136" t="n">
        <x:v>0</x:v>
      </x:c>
      <x:c r="D252" s="136" t="n">
        <x:v>0</x:v>
      </x:c>
      <x:c r="E252" s="136" t="n">
        <x:v>0</x:v>
      </x:c>
      <x:c r="F252" s="136" t="n">
        <x:v>0</x:v>
      </x:c>
      <x:c r="G252" s="136" t="n">
        <x:v>134.93977</x:v>
      </x:c>
      <x:c r="H252" s="136" t="n">
        <x:v>47.420397</x:v>
      </x:c>
      <x:c r="I252"/>
      <x:c r="J252"/>
    </x:row>
    <x:row r="253" ht="15" hidden="0">
      <x:c r="A253" s="193" t="str">
        <x:v>Related operating supplier payable (included above)</x:v>
      </x:c>
      <x:c r="B253" s="193"/>
      <x:c r="C253" s="136" t="n">
        <x:v>0</x:v>
      </x:c>
      <x:c r="D253" s="136" t="n">
        <x:f aca="0"/>
        <x:v>0</x:v>
      </x:c>
      <x:c r="E253" s="136" t="n">
        <x:f aca="0"/>
        <x:v>0</x:v>
      </x:c>
      <x:c r="F253" s="136" t="n">
        <x:f aca="0"/>
        <x:v>0</x:v>
      </x:c>
      <x:c r="G253" s="136" t="n">
        <x:f aca="0"/>
        <x:v>0</x:v>
      </x:c>
      <x:c r="H253" s="136" t="n">
        <x:f aca="0"/>
        <x:v>0</x:v>
      </x:c>
      <x:c r="J253"/>
    </x:row>
    <x:row r="254" ht="15" hidden="0">
      <x:c r="A254" s="193" t="str">
        <x:v>Contractors bills (published-convention reconstruction)</x:v>
      </x:c>
      <x:c r="B254" s="193"/>
      <x:c r="C254" s="136" t="n">
        <x:v>187.147806</x:v>
      </x:c>
      <x:c r="D254" s="136" t="n">
        <x:v>117.088053</x:v>
      </x:c>
      <x:c r="E254" s="136" t="n">
        <x:v>43.471738</x:v>
      </x:c>
      <x:c r="F254" s="136" t="n">
        <x:v>38.593713</x:v>
      </x:c>
      <x:c r="G254" s="136" t="n">
        <x:v>46.432357</x:v>
      </x:c>
      <x:c r="H254" s="136" t="n">
        <x:v>67.320365</x:v>
      </x:c>
    </x:row>
    <x:row r="255" ht="15" hidden="0">
      <x:c r="A255" s="193" t="str">
        <x:v>Bank interest (published coverage reconstruction)</x:v>
      </x:c>
      <x:c r="B255" s="193"/>
      <x:c r="C255" s="136" t="n">
        <x:v>0</x:v>
      </x:c>
      <x:c r="D255" s="136" t="n">
        <x:f aca="0"/>
        <x:v>0</x:v>
      </x:c>
      <x:c r="E255" s="136" t="n">
        <x:f aca="0"/>
        <x:v>0</x:v>
      </x:c>
      <x:c r="F255" s="136" t="n">
        <x:f aca="0"/>
        <x:v>0</x:v>
      </x:c>
      <x:c r="G255" s="136" t="n">
        <x:f aca="0"/>
        <x:v>0</x:v>
      </x:c>
      <x:c r="H255" s="136" t="n">
        <x:f aca="0"/>
        <x:v>0</x:v>
      </x:c>
    </x:row>
    <x:row r="256" ht="15" hidden="0">
      <x:c r="A256" s="193" t="str">
        <x:v>Gross on-demand parent loan (published liquidity)</x:v>
      </x:c>
      <x:c r="B256" s="193"/>
      <x:c r="C256" s="136" t="n">
        <x:v>0</x:v>
      </x:c>
      <x:c r="D256" s="136" t="n">
        <x:f aca="0"/>
        <x:v>0</x:v>
      </x:c>
      <x:c r="E256" s="136" t="n">
        <x:f aca="0"/>
        <x:v>0</x:v>
      </x:c>
      <x:c r="F256" s="136" t="n">
        <x:f aca="0"/>
        <x:v>0</x:v>
      </x:c>
      <x:c r="G256" s="136" t="n">
        <x:f aca="0"/>
        <x:v>0</x:v>
      </x:c>
      <x:c r="H256" s="136" t="n">
        <x:f aca="0"/>
        <x:v>0</x:v>
      </x:c>
    </x:row>
    <x:row r="257" ht="15" hidden="0">
      <x:c r="A257" s="193" t="str">
        <x:v>Cash equivalents (published cash-ratio reconstruction)</x:v>
      </x:c>
      <x:c r="B257" s="193"/>
      <x:c r="C257" s="136" t="n">
        <x:v>0</x:v>
      </x:c>
      <x:c r="D257" s="136" t="n">
        <x:f aca="0"/>
        <x:v>0</x:v>
      </x:c>
      <x:c r="E257" s="136" t="n">
        <x:f aca="0"/>
        <x:v>0</x:v>
      </x:c>
      <x:c r="F257" s="136" t="n">
        <x:f aca="0"/>
        <x:v>0</x:v>
      </x:c>
      <x:c r="G257" s="136" t="n">
        <x:f aca="0"/>
        <x:v>0</x:v>
      </x:c>
      <x:c r="H257" s="136" t="n">
        <x:f aca="0"/>
        <x:v>0</x:v>
      </x:c>
      <x:c r="J257"/>
    </x:row>
    <x:row r="258" ht="15" hidden="0">
      <x:c r="A258" s="193"/>
      <x:c r="B258" s="193"/>
      <x:c r="D258"/>
      <x:c r="E258"/>
      <x:c r="F258"/>
      <x:c r="G258"/>
      <x:c r="H258"/>
    </x:row>
    <x:row r="259" ht="15" hidden="0">
      <x:c r="A259" s="193"/>
      <x:c r="B259" s="193"/>
      <x:c r="D259">
        <x:f aca="0"/>
      </x:c>
      <x:c r="E259">
        <x:f aca="0"/>
      </x:c>
      <x:c r="F259">
        <x:f aca="0"/>
      </x:c>
      <x:c r="G259">
        <x:f aca="0"/>
      </x:c>
      <x:c r="H259">
        <x:f aca="0"/>
      </x:c>
    </x:row>
    <x:row r="260" ht="15" hidden="0">
      <x:c r="A260" s="206" t="str">
        <x:v>Sources: KOHC FY2025 note 6.1 (PDF p89); FCCL FY2025 note 11 (PDF p268), FY2024 note 10; MLCF trade-payable and related-party notes.</x:v>
      </x:c>
      <x:c r="B260" s="206"/>
      <x:c r="C260" s="135"/>
      <x:c r="D260" s="135">
        <x:f aca="0"/>
      </x:c>
      <x:c r="E260" s="135">
        <x:f aca="0"/>
      </x:c>
      <x:c r="F260" s="135">
        <x:f aca="0"/>
      </x:c>
      <x:c r="G260" s="135">
        <x:f aca="0"/>
      </x:c>
      <x:c r="H260" s="135">
        <x:f aca="0"/>
      </x:c>
    </x:row>
    <x:row r="261" ht="15" hidden="0">
      <x:c r="A261" s="193" t="str">
        <x:v>Source control: FY2020 current-asset components differ from the printed subtotal by one rupee; no adjustment.</x:v>
      </x:c>
      <x:c r="B261" s="193"/>
      <x:c r="D261">
        <x:f aca="0"/>
      </x:c>
      <x:c r="E261">
        <x:f aca="0"/>
      </x:c>
      <x:c r="F261">
        <x:f aca="0"/>
      </x:c>
      <x:c r="G261">
        <x:f aca="0"/>
      </x:c>
      <x:c r="H261">
        <x:f aca="0"/>
      </x:c>
      <x:c r="J261"/>
    </x:row>
    <x:row r="262" ht="15" hidden="0">
      <x:c r="A262" s="193"/>
      <x:c r="B262" s="193"/>
      <x:c r="D262"/>
      <x:c r="E262"/>
      <x:c r="F262"/>
      <x:c r="G262"/>
      <x:c r="H262"/>
    </x:row>
    <x:row r="263" ht="15" hidden="0">
      <x:c r="A263" s="193"/>
      <x:c r="B263" s="193"/>
      <x:c r="D263">
        <x:f aca="0"/>
      </x:c>
      <x:c r="E263">
        <x:f aca="0"/>
      </x:c>
      <x:c r="F263">
        <x:f aca="0"/>
      </x:c>
      <x:c r="G263">
        <x:f aca="0"/>
      </x:c>
      <x:c r="H263">
        <x:f aca="0"/>
      </x:c>
    </x:row>
    <x:row r="264" ht="15" hidden="0">
      <x:c r="A264" s="193"/>
      <x:c r="B264" s="193"/>
      <x:c r="D264">
        <x:f aca="0"/>
      </x:c>
      <x:c r="E264">
        <x:f aca="0"/>
      </x:c>
      <x:c r="F264">
        <x:f aca="0"/>
      </x:c>
      <x:c r="G264">
        <x:f aca="0"/>
      </x:c>
      <x:c r="H264">
        <x:f aca="0"/>
      </x:c>
    </x:row>
    <x:row r="265" ht="15" hidden="0">
      <x:c r="A265" s="193"/>
      <x:c r="B265" s="193"/>
      <x:c r="D265">
        <x:f aca="0"/>
      </x:c>
      <x:c r="E265">
        <x:f aca="0"/>
      </x:c>
      <x:c r="F265">
        <x:f aca="0"/>
      </x:c>
      <x:c r="G265">
        <x:f aca="0"/>
      </x:c>
      <x:c r="H265">
        <x:f aca="0"/>
      </x:c>
      <x:c r="J265"/>
    </x:row>
    <x:row r="266" ht="15" hidden="0">
      <x:c r="A266" s="193"/>
      <x:c r="B266" s="193"/>
      <x:c r="D266"/>
      <x:c r="E266"/>
      <x:c r="F266"/>
      <x:c r="G266"/>
      <x:c r="H266"/>
    </x:row>
    <x:row r="267" ht="15" hidden="0">
      <x:c r="A267" s="193"/>
      <x:c r="B267" s="193"/>
      <x:c r="D267">
        <x:f aca="0"/>
      </x:c>
      <x:c r="E267">
        <x:f aca="0"/>
      </x:c>
      <x:c r="F267">
        <x:f aca="0"/>
      </x:c>
      <x:c r="G267">
        <x:f aca="0"/>
      </x:c>
      <x:c r="H267">
        <x:f aca="0"/>
      </x:c>
    </x:row>
    <x:row r="268" ht="15" hidden="0">
      <x:c r="A268" s="193"/>
      <x:c r="B268" s="193"/>
      <x:c r="D268">
        <x:f aca="0"/>
      </x:c>
      <x:c r="E268">
        <x:f aca="0"/>
      </x:c>
      <x:c r="F268">
        <x:f aca="0"/>
      </x:c>
      <x:c r="G268">
        <x:f aca="0"/>
      </x:c>
      <x:c r="H268">
        <x:f aca="0"/>
      </x:c>
    </x:row>
    <x:row r="269" ht="15" hidden="0">
      <x:c r="A269" s="193"/>
      <x:c r="B269" s="193"/>
      <x:c r="D269">
        <x:f aca="0"/>
      </x:c>
      <x:c r="E269">
        <x:f aca="0"/>
      </x:c>
      <x:c r="F269">
        <x:f aca="0"/>
      </x:c>
      <x:c r="G269">
        <x:f aca="0"/>
      </x:c>
      <x:c r="H269">
        <x:f aca="0"/>
      </x:c>
      <x:c r="J269"/>
    </x:row>
    <x:row r="270" ht="15" hidden="0">
      <x:c r="A270" s="193"/>
      <x:c r="B270" s="193"/>
      <x:c r="D270"/>
      <x:c r="E270"/>
      <x:c r="F270"/>
      <x:c r="G270"/>
      <x:c r="H270"/>
    </x:row>
    <x:row r="271" ht="15" hidden="0">
      <x:c r="A271" s="193"/>
      <x:c r="B271" s="193"/>
      <x:c r="D271">
        <x:f aca="0"/>
      </x:c>
      <x:c r="E271">
        <x:f aca="0"/>
      </x:c>
      <x:c r="F271">
        <x:f aca="0"/>
      </x:c>
      <x:c r="G271">
        <x:f aca="0"/>
      </x:c>
      <x:c r="H271">
        <x:f aca="0"/>
      </x:c>
    </x:row>
    <x:row r="272" ht="15" hidden="0">
      <x:c r="A272" s="193"/>
      <x:c r="B272" s="193"/>
      <x:c r="D272">
        <x:f aca="0"/>
      </x:c>
      <x:c r="E272">
        <x:f aca="0"/>
      </x:c>
      <x:c r="F272">
        <x:f aca="0"/>
      </x:c>
      <x:c r="G272">
        <x:f aca="0"/>
      </x:c>
      <x:c r="H272">
        <x:f aca="0"/>
      </x:c>
    </x:row>
    <x:row r="273" ht="15" hidden="0">
      <x:c r="A273" s="193"/>
      <x:c r="B273" s="193"/>
      <x:c r="D273">
        <x:f aca="0"/>
      </x:c>
      <x:c r="E273">
        <x:f aca="0"/>
      </x:c>
      <x:c r="F273">
        <x:f aca="0"/>
      </x:c>
      <x:c r="G273">
        <x:f aca="0"/>
      </x:c>
      <x:c r="H273">
        <x:f aca="0"/>
      </x:c>
      <x:c r="J273"/>
    </x:row>
    <x:row r="274" ht="15" hidden="0">
      <x:c r="A274" s="193"/>
      <x:c r="B274" s="193"/>
      <x:c r="D274"/>
      <x:c r="E274"/>
      <x:c r="F274"/>
      <x:c r="G274"/>
      <x:c r="H274"/>
    </x:row>
    <x:row r="275" ht="15" hidden="0">
      <x:c r="A275" s="193"/>
      <x:c r="B275" s="193"/>
      <x:c r="D275">
        <x:f aca="0"/>
      </x:c>
      <x:c r="E275">
        <x:f aca="0"/>
      </x:c>
      <x:c r="F275">
        <x:f aca="0"/>
      </x:c>
      <x:c r="G275">
        <x:f aca="0"/>
      </x:c>
      <x:c r="H275">
        <x:f aca="0"/>
      </x:c>
    </x:row>
    <x:row r="276" ht="15" hidden="0">
      <x:c r="A276" s="193"/>
      <x:c r="B276" s="193"/>
      <x:c r="D276">
        <x:f aca="0"/>
      </x:c>
      <x:c r="E276">
        <x:f aca="0"/>
      </x:c>
      <x:c r="F276">
        <x:f aca="0"/>
      </x:c>
      <x:c r="G276">
        <x:f aca="0"/>
      </x:c>
      <x:c r="H276">
        <x:f aca="0"/>
      </x:c>
    </x:row>
    <x:row r="277" ht="15" hidden="0">
      <x:c r="A277" s="193"/>
      <x:c r="B277" s="193"/>
      <x:c r="D277">
        <x:f aca="0"/>
      </x:c>
      <x:c r="E277">
        <x:f aca="0"/>
      </x:c>
      <x:c r="F277">
        <x:f aca="0"/>
      </x:c>
      <x:c r="G277">
        <x:f aca="0"/>
      </x:c>
      <x:c r="H277">
        <x:f aca="0"/>
      </x:c>
      <x:c r="J277"/>
    </x:row>
    <x:row r="278" ht="15" hidden="0">
      <x:c r="A278" s="193"/>
      <x:c r="B278" s="193"/>
      <x:c r="D278"/>
      <x:c r="E278"/>
      <x:c r="F278"/>
      <x:c r="G278"/>
      <x:c r="H278"/>
    </x:row>
    <x:row r="279" ht="15" hidden="0">
      <x:c r="A279" s="193"/>
      <x:c r="B279" s="193"/>
      <x:c r="D279">
        <x:f aca="0"/>
      </x:c>
      <x:c r="E279">
        <x:f aca="0"/>
      </x:c>
      <x:c r="F279">
        <x:f aca="0"/>
      </x:c>
      <x:c r="G279">
        <x:f aca="0"/>
      </x:c>
      <x:c r="H279">
        <x:f aca="0"/>
      </x:c>
    </x:row>
    <x:row r="280" ht="15" hidden="0">
      <x:c r="A280" s="193"/>
      <x:c r="B280" s="193"/>
      <x:c r="D280">
        <x:f aca="0"/>
      </x:c>
      <x:c r="E280">
        <x:f aca="0"/>
      </x:c>
      <x:c r="F280">
        <x:f aca="0"/>
      </x:c>
      <x:c r="G280">
        <x:f aca="0"/>
      </x:c>
      <x:c r="H280">
        <x:f aca="0"/>
      </x:c>
    </x:row>
    <x:row r="281" ht="15" hidden="0">
      <x:c r="A281" s="193"/>
      <x:c r="B281" s="193"/>
      <x:c r="D281">
        <x:f aca="0"/>
      </x:c>
      <x:c r="E281">
        <x:f aca="0"/>
      </x:c>
      <x:c r="F281">
        <x:f aca="0"/>
      </x:c>
      <x:c r="G281">
        <x:f aca="0"/>
      </x:c>
      <x:c r="H281">
        <x:f aca="0"/>
      </x:c>
      <x:c r="J281"/>
    </x:row>
    <x:row r="282" ht="15" hidden="0">
      <x:c r="A282" s="193"/>
      <x:c r="B282" s="193"/>
      <x:c r="D282"/>
      <x:c r="E282"/>
      <x:c r="F282"/>
      <x:c r="G282"/>
      <x:c r="H282"/>
    </x:row>
    <x:row r="283" ht="15" hidden="0">
      <x:c r="A283" s="193"/>
      <x:c r="B283" s="193"/>
      <x:c r="D283">
        <x:f aca="0"/>
      </x:c>
      <x:c r="E283">
        <x:f aca="0"/>
      </x:c>
      <x:c r="F283">
        <x:f aca="0"/>
      </x:c>
      <x:c r="G283">
        <x:f aca="0"/>
      </x:c>
      <x:c r="H283">
        <x:f aca="0"/>
      </x:c>
    </x:row>
    <x:row r="284" ht="15" hidden="0">
      <x:c r="A284" s="193"/>
      <x:c r="B284" s="193"/>
      <x:c r="D284">
        <x:f aca="0"/>
      </x:c>
      <x:c r="E284">
        <x:f aca="0"/>
      </x:c>
      <x:c r="F284">
        <x:f aca="0"/>
      </x:c>
      <x:c r="G284">
        <x:f aca="0"/>
      </x:c>
      <x:c r="H284">
        <x:f aca="0"/>
      </x:c>
    </x:row>
    <x:row r="285" ht="15" hidden="0">
      <x:c r="A285" s="193"/>
      <x:c r="B285" s="193"/>
      <x:c r="D285">
        <x:f aca="0"/>
      </x:c>
      <x:c r="E285">
        <x:f aca="0"/>
      </x:c>
      <x:c r="F285">
        <x:f aca="0"/>
      </x:c>
      <x:c r="G285">
        <x:f aca="0"/>
      </x:c>
      <x:c r="H285">
        <x:f aca="0"/>
      </x:c>
      <x:c r="J285"/>
    </x:row>
    <x:row r="286" ht="15" hidden="0">
      <x:c r="A286" s="193"/>
      <x:c r="B286" s="193"/>
      <x:c r="D286"/>
      <x:c r="E286"/>
      <x:c r="F286"/>
      <x:c r="G286"/>
      <x:c r="H286"/>
    </x:row>
    <x:row r="287" ht="15" hidden="0">
      <x:c r="A287" s="193"/>
      <x:c r="B287" s="193"/>
      <x:c r="D287">
        <x:f aca="0"/>
      </x:c>
      <x:c r="E287">
        <x:f aca="0"/>
      </x:c>
      <x:c r="F287">
        <x:f aca="0"/>
      </x:c>
      <x:c r="G287">
        <x:f aca="0"/>
      </x:c>
      <x:c r="H287">
        <x:f aca="0"/>
      </x:c>
    </x:row>
    <x:row r="288" ht="15" hidden="0">
      <x:c r="A288" s="193"/>
      <x:c r="B288" s="193"/>
      <x:c r="D288">
        <x:f aca="0"/>
      </x:c>
      <x:c r="E288">
        <x:f aca="0"/>
      </x:c>
      <x:c r="F288">
        <x:f aca="0"/>
      </x:c>
      <x:c r="G288">
        <x:f aca="0"/>
      </x:c>
      <x:c r="H288">
        <x:f aca="0"/>
      </x:c>
    </x:row>
    <x:row r="289" ht="15" hidden="0">
      <x:c r="A289" s="193"/>
      <x:c r="B289" s="193"/>
      <x:c r="D289">
        <x:f aca="0"/>
      </x:c>
      <x:c r="E289">
        <x:f aca="0"/>
      </x:c>
      <x:c r="F289">
        <x:f aca="0"/>
      </x:c>
      <x:c r="G289">
        <x:f aca="0"/>
      </x:c>
      <x:c r="H289">
        <x:f aca="0"/>
      </x:c>
      <x:c r="J289"/>
    </x:row>
    <x:row r="290" ht="15" hidden="0">
      <x:c r="A290" s="193"/>
      <x:c r="B290" s="193"/>
      <x:c r="D290"/>
      <x:c r="E290"/>
      <x:c r="F290"/>
      <x:c r="G290"/>
      <x:c r="H290"/>
    </x:row>
    <x:row r="291" ht="15" hidden="0">
      <x:c r="A291" s="193"/>
      <x:c r="B291" s="193"/>
      <x:c r="D291">
        <x:f aca="0"/>
      </x:c>
      <x:c r="E291">
        <x:f aca="0"/>
      </x:c>
      <x:c r="F291">
        <x:f aca="0"/>
      </x:c>
      <x:c r="G291">
        <x:f aca="0"/>
      </x:c>
      <x:c r="H291">
        <x:f aca="0"/>
      </x:c>
    </x:row>
    <x:row r="292" ht="15" hidden="0">
      <x:c r="A292" s="193"/>
      <x:c r="B292" s="193"/>
      <x:c r="D292">
        <x:f aca="0"/>
      </x:c>
      <x:c r="E292">
        <x:f aca="0"/>
      </x:c>
      <x:c r="F292">
        <x:f aca="0"/>
      </x:c>
      <x:c r="G292">
        <x:f aca="0"/>
      </x:c>
      <x:c r="H292">
        <x:f aca="0"/>
      </x:c>
    </x:row>
    <x:row r="293" ht="15" hidden="0">
      <x:c r="A293" s="193"/>
      <x:c r="B293" s="193"/>
      <x:c r="D293">
        <x:f aca="0"/>
      </x:c>
      <x:c r="E293">
        <x:f aca="0"/>
      </x:c>
      <x:c r="F293">
        <x:f aca="0"/>
      </x:c>
      <x:c r="G293">
        <x:f aca="0"/>
      </x:c>
      <x:c r="H293">
        <x:f aca="0"/>
      </x:c>
      <x:c r="J293"/>
    </x:row>
    <x:row r="294" ht="15" hidden="0">
      <x:c r="A294" s="193"/>
      <x:c r="B294" s="193"/>
      <x:c r="D294"/>
      <x:c r="E294"/>
      <x:c r="F294"/>
      <x:c r="G294"/>
      <x:c r="H294"/>
    </x:row>
    <x:row r="295" ht="15" hidden="0">
      <x:c r="A295" s="193"/>
      <x:c r="B295" s="193"/>
      <x:c r="D295">
        <x:f aca="0"/>
      </x:c>
      <x:c r="E295">
        <x:f aca="0"/>
      </x:c>
      <x:c r="F295">
        <x:f aca="0"/>
      </x:c>
      <x:c r="G295">
        <x:f aca="0"/>
      </x:c>
      <x:c r="H295">
        <x:f aca="0"/>
      </x:c>
    </x:row>
    <x:row r="296" ht="15" hidden="0">
      <x:c r="A296" s="193"/>
      <x:c r="B296" s="193"/>
      <x:c r="D296">
        <x:f aca="0"/>
      </x:c>
      <x:c r="E296">
        <x:f aca="0"/>
      </x:c>
      <x:c r="F296">
        <x:f aca="0"/>
      </x:c>
      <x:c r="G296">
        <x:f aca="0"/>
      </x:c>
      <x:c r="H296">
        <x:f aca="0"/>
      </x:c>
    </x:row>
    <x:row r="297" ht="15" hidden="0">
      <x:c r="A297" s="193"/>
      <x:c r="B297" s="193"/>
      <x:c r="D297">
        <x:f aca="0"/>
      </x:c>
      <x:c r="E297">
        <x:f aca="0"/>
      </x:c>
      <x:c r="F297">
        <x:f aca="0"/>
      </x:c>
      <x:c r="G297">
        <x:f aca="0"/>
      </x:c>
      <x:c r="H297">
        <x:f aca="0"/>
      </x:c>
      <x:c r="J297"/>
    </x:row>
    <x:row r="298" ht="15" hidden="0">
      <x:c r="A298" s="193"/>
      <x:c r="B298" s="193"/>
      <x:c r="D298"/>
      <x:c r="E298"/>
      <x:c r="F298"/>
      <x:c r="G298"/>
      <x:c r="H298"/>
    </x:row>
    <x:row r="299" ht="15" hidden="0">
      <x:c r="A299" s="193"/>
      <x:c r="B299" s="193"/>
      <x:c r="D299">
        <x:f aca="0"/>
      </x:c>
      <x:c r="E299">
        <x:f aca="0"/>
      </x:c>
      <x:c r="F299">
        <x:f aca="0"/>
      </x:c>
      <x:c r="G299">
        <x:f aca="0"/>
      </x:c>
      <x:c r="H299">
        <x:f aca="0"/>
      </x:c>
    </x:row>
    <x:row r="300" ht="15" hidden="0">
      <x:c r="A300" s="193"/>
      <x:c r="B300" s="193"/>
      <x:c r="D300">
        <x:f aca="0"/>
      </x:c>
      <x:c r="E300">
        <x:f aca="0"/>
      </x:c>
      <x:c r="F300">
        <x:f aca="0"/>
      </x:c>
      <x:c r="G300">
        <x:f aca="0"/>
      </x:c>
      <x:c r="H300">
        <x:f aca="0"/>
      </x:c>
    </x:row>
    <x:row r="301" ht="15" hidden="0">
      <x:c r="A301" s="193"/>
      <x:c r="B301" s="193"/>
      <x:c r="D301">
        <x:f aca="0"/>
      </x:c>
      <x:c r="E301">
        <x:f aca="0"/>
      </x:c>
      <x:c r="F301">
        <x:f aca="0"/>
      </x:c>
      <x:c r="G301">
        <x:f aca="0"/>
      </x:c>
      <x:c r="H301">
        <x:f aca="0"/>
      </x:c>
      <x:c r="J301"/>
    </x:row>
    <x:row r="302" ht="15" hidden="0">
      <x:c r="A302" s="193"/>
      <x:c r="B302" s="193"/>
      <x:c r="D302"/>
      <x:c r="E302"/>
      <x:c r="F302"/>
      <x:c r="G302"/>
      <x:c r="H302"/>
    </x:row>
    <x:row r="303" ht="15" hidden="0">
      <x:c r="A303" s="193"/>
      <x:c r="B303" s="193"/>
      <x:c r="D303">
        <x:f aca="0"/>
      </x:c>
      <x:c r="E303">
        <x:f aca="0"/>
      </x:c>
      <x:c r="F303">
        <x:f aca="0"/>
      </x:c>
      <x:c r="G303">
        <x:f aca="0"/>
      </x:c>
      <x:c r="H303">
        <x:f aca="0"/>
      </x:c>
    </x:row>
    <x:row r="304" ht="15" hidden="0">
      <x:c r="A304" s="193"/>
      <x:c r="B304" s="193"/>
      <x:c r="D304">
        <x:f aca="0"/>
      </x:c>
      <x:c r="E304">
        <x:f aca="0"/>
      </x:c>
      <x:c r="F304">
        <x:f aca="0"/>
      </x:c>
      <x:c r="G304">
        <x:f aca="0"/>
      </x:c>
      <x:c r="H304">
        <x:f aca="0"/>
      </x:c>
    </x:row>
    <x:row r="305" ht="15" hidden="0">
      <x:c r="A305" s="193"/>
      <x:c r="B305" s="193"/>
      <x:c r="D305">
        <x:f aca="0"/>
      </x:c>
      <x:c r="E305">
        <x:f aca="0"/>
      </x:c>
      <x:c r="F305">
        <x:f aca="0"/>
      </x:c>
      <x:c r="G305">
        <x:f aca="0"/>
      </x:c>
      <x:c r="H305">
        <x:f aca="0"/>
      </x:c>
      <x:c r="J305"/>
    </x:row>
    <x:row r="306" ht="15" hidden="0">
      <x:c r="A306" s="193"/>
      <x:c r="B306" s="193"/>
      <x:c r="D306"/>
      <x:c r="E306"/>
      <x:c r="F306"/>
      <x:c r="G306"/>
      <x:c r="H306"/>
    </x:row>
    <x:row r="307" ht="15" hidden="0">
      <x:c r="A307" s="193"/>
      <x:c r="B307" s="193"/>
      <x:c r="D307">
        <x:f aca="0"/>
      </x:c>
      <x:c r="E307">
        <x:f aca="0"/>
      </x:c>
      <x:c r="F307">
        <x:f aca="0"/>
      </x:c>
      <x:c r="G307">
        <x:f aca="0"/>
      </x:c>
      <x:c r="H307">
        <x:f aca="0"/>
      </x:c>
    </x:row>
    <x:row r="308" ht="15" hidden="0">
      <x:c r="A308" s="193"/>
      <x:c r="B308" s="193"/>
      <x:c r="D308">
        <x:f aca="0"/>
      </x:c>
      <x:c r="E308">
        <x:f aca="0"/>
      </x:c>
      <x:c r="F308">
        <x:f aca="0"/>
      </x:c>
      <x:c r="G308">
        <x:f aca="0"/>
      </x:c>
      <x:c r="H308">
        <x:f aca="0"/>
      </x:c>
    </x:row>
    <x:row r="309" ht="15" hidden="0">
      <x:c r="A309" s="193"/>
      <x:c r="B309" s="193"/>
      <x:c r="D309">
        <x:f aca="0"/>
      </x:c>
      <x:c r="E309">
        <x:f aca="0"/>
      </x:c>
      <x:c r="F309">
        <x:f aca="0"/>
      </x:c>
      <x:c r="G309">
        <x:f aca="0"/>
      </x:c>
      <x:c r="H309">
        <x:f aca="0"/>
      </x:c>
      <x:c r="J309"/>
    </x:row>
    <x:row r="310" ht="15" hidden="0">
      <x:c r="A310" s="193"/>
      <x:c r="B310" s="193"/>
      <x:c r="D310"/>
      <x:c r="E310"/>
      <x:c r="F310"/>
      <x:c r="G310"/>
      <x:c r="H310"/>
    </x:row>
    <x:row r="311" ht="15" hidden="0">
      <x:c r="A311" s="193"/>
      <x:c r="B311" s="193"/>
      <x:c r="D311">
        <x:f aca="0"/>
      </x:c>
      <x:c r="E311">
        <x:f aca="0"/>
      </x:c>
      <x:c r="F311">
        <x:f aca="0"/>
      </x:c>
      <x:c r="G311">
        <x:f aca="0"/>
      </x:c>
      <x:c r="H311">
        <x:f aca="0"/>
      </x:c>
    </x:row>
    <x:row r="312" ht="15" hidden="0">
      <x:c r="A312" s="193"/>
      <x:c r="B312" s="193"/>
      <x:c r="D312">
        <x:f aca="0"/>
      </x:c>
      <x:c r="E312">
        <x:f aca="0"/>
      </x:c>
      <x:c r="F312">
        <x:f aca="0"/>
      </x:c>
      <x:c r="G312">
        <x:f aca="0"/>
      </x:c>
      <x:c r="H312">
        <x:f aca="0"/>
      </x:c>
    </x:row>
    <x:row r="313" ht="15" hidden="0">
      <x:c r="A313" s="193"/>
      <x:c r="B313" s="193"/>
      <x:c r="D313">
        <x:f aca="0"/>
      </x:c>
      <x:c r="E313">
        <x:f aca="0"/>
      </x:c>
      <x:c r="F313">
        <x:f aca="0"/>
      </x:c>
      <x:c r="G313">
        <x:f aca="0"/>
      </x:c>
      <x:c r="H313">
        <x:f aca="0"/>
      </x:c>
      <x:c r="J313"/>
    </x:row>
    <x:row r="314" ht="15" hidden="0">
      <x:c r="A314" s="193"/>
      <x:c r="B314" s="193"/>
      <x:c r="D314"/>
      <x:c r="E314"/>
      <x:c r="F314"/>
      <x:c r="G314"/>
      <x:c r="H314"/>
    </x:row>
    <x:row r="315" ht="15" hidden="0">
      <x:c r="A315" s="193"/>
      <x:c r="B315" s="193"/>
      <x:c r="D315">
        <x:f aca="0"/>
      </x:c>
      <x:c r="E315">
        <x:f aca="0"/>
      </x:c>
      <x:c r="F315">
        <x:f aca="0"/>
      </x:c>
      <x:c r="G315">
        <x:f aca="0"/>
      </x:c>
      <x:c r="H315">
        <x:f aca="0"/>
      </x:c>
    </x:row>
    <x:row r="316" ht="15" hidden="0">
      <x:c r="A316" s="193"/>
      <x:c r="B316" s="193"/>
      <x:c r="D316">
        <x:f aca="0"/>
      </x:c>
      <x:c r="E316">
        <x:f aca="0"/>
      </x:c>
      <x:c r="F316">
        <x:f aca="0"/>
      </x:c>
      <x:c r="G316">
        <x:f aca="0"/>
      </x:c>
      <x:c r="H316">
        <x:f aca="0"/>
      </x:c>
    </x:row>
    <x:row r="317" ht="15" hidden="0">
      <x:c r="A317" s="193"/>
      <x:c r="B317" s="193"/>
      <x:c r="D317">
        <x:f aca="0"/>
      </x:c>
      <x:c r="E317">
        <x:f aca="0"/>
      </x:c>
      <x:c r="F317">
        <x:f aca="0"/>
      </x:c>
      <x:c r="G317">
        <x:f aca="0"/>
      </x:c>
      <x:c r="H317">
        <x:f aca="0"/>
      </x:c>
      <x:c r="J317"/>
    </x:row>
    <x:row r="318" ht="15" hidden="0">
      <x:c r="A318" s="193"/>
      <x:c r="B318" s="193"/>
      <x:c r="D318"/>
      <x:c r="E318"/>
      <x:c r="F318"/>
      <x:c r="G318"/>
      <x:c r="H318"/>
    </x:row>
    <x:row r="319" ht="15" hidden="0">
      <x:c r="A319" s="193"/>
      <x:c r="B319" s="193"/>
      <x:c r="D319">
        <x:f aca="0"/>
      </x:c>
      <x:c r="E319">
        <x:f aca="0"/>
      </x:c>
      <x:c r="F319">
        <x:f aca="0"/>
      </x:c>
      <x:c r="G319">
        <x:f aca="0"/>
      </x:c>
      <x:c r="H319">
        <x:f aca="0"/>
      </x:c>
    </x:row>
    <x:row r="320" ht="15" hidden="0">
      <x:c r="A320" s="193"/>
      <x:c r="B320" s="193"/>
      <x:c r="D320">
        <x:f aca="0"/>
      </x:c>
      <x:c r="E320">
        <x:f aca="0"/>
      </x:c>
      <x:c r="F320">
        <x:f aca="0"/>
      </x:c>
      <x:c r="G320">
        <x:f aca="0"/>
      </x:c>
      <x:c r="H320">
        <x:f aca="0"/>
      </x:c>
    </x:row>
    <x:row r="321">
      <x:c r="A321" s="193"/>
      <x:c r="B321" s="193"/>
    </x:row>
    <x:row r="322">
      <x:c r="A322" s="193"/>
      <x:c r="B322" s="193"/>
    </x:row>
    <x:row r="323">
      <x:c r="A323" s="193"/>
      <x:c r="B323" s="193"/>
    </x:row>
    <x:row r="324">
      <x:c r="A324" s="193"/>
      <x:c r="B324" s="193"/>
    </x:row>
    <x:row r="325">
      <x:c r="A325" s="193"/>
      <x:c r="B325" s="193"/>
    </x:row>
    <x:row r="326">
      <x:c r="A326" s="193"/>
      <x:c r="B326" s="193"/>
    </x:row>
    <x:row r="327">
      <x:c r="A327" s="193"/>
      <x:c r="B327" s="193"/>
    </x:row>
    <x:row r="328">
      <x:c r="A328" s="193"/>
      <x:c r="B328" s="193"/>
    </x:row>
    <x:row r="329">
      <x:c r="A329" s="193"/>
      <x:c r="B329" s="193"/>
    </x:row>
    <x:row r="330">
      <x:c r="A330" s="193"/>
      <x:c r="B330" s="193"/>
    </x:row>
    <x:row r="331">
      <x:c r="A331" s="193"/>
      <x:c r="B331" s="193"/>
    </x:row>
    <x:row r="332">
      <x:c r="A332" s="193"/>
      <x:c r="B332" s="193"/>
    </x:row>
    <x:row r="333">
      <x:c r="A333" s="193"/>
      <x:c r="B333" s="193"/>
    </x:row>
    <x:row r="334">
      <x:c r="A334" s="193"/>
      <x:c r="B334" s="193"/>
    </x:row>
    <x:row r="335">
      <x:c r="A335" s="193"/>
      <x:c r="B335" s="193"/>
    </x:row>
    <x:row r="336">
      <x:c r="A336" s="193"/>
      <x:c r="B336" s="193"/>
    </x:row>
    <x:row r="337">
      <x:c r="A337" s="193"/>
      <x:c r="B337" s="193"/>
    </x:row>
    <x:row r="338">
      <x:c r="A338" s="193"/>
      <x:c r="B338" s="193"/>
    </x:row>
    <x:row r="339">
      <x:c r="A339" s="193"/>
      <x:c r="B339" s="193"/>
    </x:row>
    <x:row r="340">
      <x:c r="A340" s="193"/>
      <x:c r="B340" s="193"/>
    </x:row>
    <x:row r="341">
      <x:c r="A341" s="193"/>
      <x:c r="B341" s="193"/>
    </x:row>
    <x:row r="342">
      <x:c r="A342" s="193"/>
      <x:c r="B342" s="193"/>
    </x:row>
    <x:row r="343">
      <x:c r="A343" s="193"/>
      <x:c r="B343" s="193"/>
    </x:row>
    <x:row r="344">
      <x:c r="A344" s="193"/>
      <x:c r="B344" s="193"/>
    </x:row>
    <x:row r="345">
      <x:c r="A345" s="193"/>
      <x:c r="B345" s="193"/>
    </x:row>
    <x:row r="346">
      <x:c r="A346" s="193"/>
      <x:c r="B346" s="193"/>
    </x:row>
    <x:row r="347">
      <x:c r="A347" s="193"/>
      <x:c r="B347" s="193"/>
    </x:row>
    <x:row r="348">
      <x:c r="A348" s="193"/>
      <x:c r="B348" s="193"/>
    </x:row>
    <x:row r="349">
      <x:c r="A349" s="193"/>
      <x:c r="B349" s="193"/>
    </x:row>
    <x:row r="350">
      <x:c r="A350" s="193"/>
      <x:c r="B350" s="193"/>
    </x:row>
    <x:row r="351">
      <x:c r="A351" s="193"/>
      <x:c r="B351" s="193"/>
    </x:row>
    <x:row r="352">
      <x:c r="A352" s="193"/>
      <x:c r="B352" s="193"/>
    </x:row>
    <x:row r="353">
      <x:c r="A353" s="193"/>
      <x:c r="B353" s="193"/>
    </x:row>
    <x:row r="354">
      <x:c r="A354" s="193"/>
      <x:c r="B354" s="193"/>
    </x:row>
    <x:row r="355">
      <x:c r="A355" s="193"/>
      <x:c r="B355" s="193"/>
    </x:row>
    <x:row r="356">
      <x:c r="A356" s="193"/>
      <x:c r="B356" s="193"/>
    </x:row>
    <x:row r="357">
      <x:c r="A357" s="193"/>
      <x:c r="B357" s="193"/>
    </x:row>
    <x:row r="358">
      <x:c r="A358" s="193"/>
      <x:c r="B358" s="193"/>
    </x:row>
    <x:row r="359">
      <x:c r="A359" s="193"/>
      <x:c r="B359" s="193"/>
    </x:row>
    <x:row r="360">
      <x:c r="A360" s="193"/>
      <x:c r="B360" s="193"/>
    </x:row>
    <x:row r="361">
      <x:c r="A361" s="193"/>
      <x:c r="B361" s="193"/>
    </x:row>
    <x:row r="362">
      <x:c r="A362" s="193"/>
      <x:c r="B362" s="193"/>
    </x:row>
    <x:row r="363">
      <x:c r="A363" s="193"/>
      <x:c r="B363" s="193"/>
    </x:row>
    <x:row r="364">
      <x:c r="A364" s="193"/>
      <x:c r="B364" s="193"/>
    </x:row>
    <x:row r="365">
      <x:c r="A365" s="193"/>
      <x:c r="B365" s="193"/>
    </x:row>
    <x:row r="366">
      <x:c r="A366" s="193"/>
      <x:c r="B366" s="193"/>
    </x:row>
    <x:row r="367">
      <x:c r="A367" s="193"/>
      <x:c r="B367" s="193"/>
    </x:row>
    <x:row r="368">
      <x:c r="A368" s="193"/>
      <x:c r="B368" s="193"/>
    </x:row>
    <x:row r="369">
      <x:c r="A369" s="193"/>
      <x:c r="B369" s="193"/>
    </x:row>
    <x:row r="370">
      <x:c r="A370" s="193"/>
      <x:c r="B370" s="193"/>
    </x:row>
    <x:row r="371">
      <x:c r="A371" s="193"/>
      <x:c r="B371" s="193"/>
    </x:row>
    <x:row r="372">
      <x:c r="A372" s="193"/>
      <x:c r="B372" s="193"/>
    </x:row>
    <x:row r="373">
      <x:c r="A373" s="193"/>
      <x:c r="B373" s="193"/>
    </x:row>
    <x:row r="374">
      <x:c r="A374" s="193"/>
      <x:c r="B374" s="193"/>
    </x:row>
    <x:row r="375">
      <x:c r="A375" s="193"/>
      <x:c r="B375" s="193"/>
    </x:row>
    <x:row r="376">
      <x:c r="A376" s="193"/>
      <x:c r="B376" s="193"/>
    </x:row>
    <x:row r="377">
      <x:c r="A377" s="193"/>
      <x:c r="B377" s="193"/>
    </x:row>
    <x:row r="378">
      <x:c r="A378" s="193"/>
      <x:c r="B378" s="193"/>
    </x:row>
    <x:row r="379">
      <x:c r="A379" s="193"/>
      <x:c r="B379" s="193"/>
    </x:row>
    <x:row r="380">
      <x:c r="A380" s="193"/>
      <x:c r="B380" s="193"/>
    </x:row>
    <x:row r="381">
      <x:c r="A381" s="193"/>
      <x:c r="B381" s="193"/>
    </x:row>
    <x:row r="382">
      <x:c r="A382" s="193"/>
      <x:c r="B382" s="193"/>
    </x:row>
    <x:row r="383">
      <x:c r="A383" s="193"/>
      <x:c r="B383" s="193"/>
    </x:row>
    <x:row r="384">
      <x:c r="A384" s="193"/>
      <x:c r="B384" s="193"/>
    </x:row>
    <x:row r="385">
      <x:c r="A385" s="193"/>
      <x:c r="B385" s="193"/>
    </x:row>
    <x:row r="386">
      <x:c r="A386" s="193"/>
      <x:c r="B386" s="193"/>
    </x:row>
    <x:row r="387">
      <x:c r="A387" s="193"/>
      <x:c r="B387" s="193"/>
    </x:row>
    <x:row r="388">
      <x:c r="A388" s="193"/>
      <x:c r="B388" s="193"/>
    </x:row>
    <x:row r="389">
      <x:c r="A389" s="193"/>
      <x:c r="B389" s="193"/>
    </x:row>
    <x:row r="390">
      <x:c r="A390" s="193"/>
      <x:c r="B390" s="193"/>
    </x:row>
    <x:row r="391">
      <x:c r="A391" s="193"/>
      <x:c r="B391" s="193"/>
    </x:row>
    <x:row r="392">
      <x:c r="A392" s="193"/>
      <x:c r="B392" s="193"/>
    </x:row>
    <x:row r="393">
      <x:c r="A393" s="193"/>
      <x:c r="B393" s="193"/>
    </x:row>
    <x:row r="394">
      <x:c r="A394" s="193"/>
      <x:c r="B394" s="193"/>
    </x:row>
    <x:row r="395">
      <x:c r="A395" s="193"/>
      <x:c r="B395" s="193"/>
    </x:row>
    <x:row r="396">
      <x:c r="A396" s="193"/>
      <x:c r="B396" s="193"/>
    </x:row>
    <x:row r="397">
      <x:c r="A397" s="193"/>
      <x:c r="B397" s="193"/>
    </x:row>
    <x:row r="398">
      <x:c r="A398" s="193"/>
      <x:c r="B398" s="193"/>
    </x:row>
    <x:row r="399">
      <x:c r="A399" s="193"/>
      <x:c r="B399" s="193"/>
    </x:row>
    <x:row r="400">
      <x:c r="A400" s="193"/>
      <x:c r="B400" s="193"/>
    </x:row>
  </x:sheetData>
  <x:mergeCells>
    <x:mergeCell ref="B6:J6"/>
    <x:mergeCell ref="B7:J7"/>
    <x:mergeCell ref="B8:J8"/>
    <x:mergeCell ref="B9:J9"/>
    <x:mergeCell ref="B10:J10"/>
    <x:mergeCell ref="B11:J11"/>
    <x:mergeCell ref="B12:J12"/>
    <x:mergeCell ref="B13:J13"/>
    <x:mergeCell ref="B14:J14"/>
    <x:mergeCell ref="B15:J15"/>
    <x:mergeCell ref="A137:H137"/>
    <x:mergeCell ref="A143:H143"/>
    <x:mergeCell ref="A154:H154"/>
    <x:mergeCell ref="A160:H160"/>
    <x:mergeCell ref="A168:H168"/>
    <x:mergeCell ref="A250:H250"/>
  </x:mergeCells>
  <x:pageMargins left="0.7" right="0.7" top="0.75" bottom="0.75" header="0.3" footer="0.3"/>
  <x:drawing xmlns:r="http://schemas.openxmlformats.org/officeDocument/2006/relationships" r:id="Ra535a1dfd94248f4"/>
</x:worksheet>
</file>

<file path=xl/worksheets/sheet4.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92" t="s">
        <x:v>394</x:v>
      </x:c>
      <x:c r="B1" s="193"/>
    </x:row>
    <x:row r="2" ht="15" hidden="0">
      <x:c r="A2" s="194" t="s">
        <x:v>395</x:v>
      </x:c>
      <x:c r="B2" s="193"/>
    </x:row>
    <x:row r="3" ht="15" hidden="0">
      <x:c r="A3" s="195" t="s">
        <x:v>81</x:v>
      </x:c>
      <x:c r="B3" s="193"/>
    </x:row>
    <x:row r="4">
      <x:c r="A4" s="193"/>
      <x:c r="B4" s="193"/>
    </x:row>
    <x:row r="5" ht="15" hidden="0">
      <x:c r="A5" s="196" t="s">
        <x:v>82</x:v>
      </x:c>
      <x:c r="B5" s="197"/>
      <x:c r="C5" s="20"/>
      <x:c r="D5" s="20"/>
      <x:c r="E5" s="20"/>
      <x:c r="F5" s="20"/>
      <x:c r="G5" s="20"/>
      <x:c r="H5" s="20"/>
      <x:c r="I5" s="20"/>
      <x:c r="J5" s="20"/>
    </x:row>
    <x:row r="6" ht="15" hidden="0" customHeight="1">
      <x:c r="A6" s="198" t="s">
        <x:v>18</x:v>
      </x:c>
      <x:c r="B6" s="199" t="s">
        <x:v>31</x:v>
      </x:c>
      <x:c r="C6" s="21"/>
      <x:c r="D6" s="21"/>
      <x:c r="E6" s="21"/>
      <x:c r="F6" s="21"/>
      <x:c r="G6" s="21"/>
      <x:c r="H6" s="21"/>
      <x:c r="I6" s="21"/>
      <x:c r="J6" s="21"/>
    </x:row>
    <x:row r="7" ht="15" hidden="0" customHeight="1">
      <x:c r="A7" s="198" t="s">
        <x:v>83</x:v>
      </x:c>
      <x:c r="B7" s="199" t="s">
        <x:v>30</x:v>
      </x:c>
      <x:c r="C7" s="21"/>
      <x:c r="D7" s="21"/>
      <x:c r="E7" s="21"/>
      <x:c r="F7" s="21"/>
      <x:c r="G7" s="21"/>
      <x:c r="H7" s="21"/>
      <x:c r="I7" s="21"/>
      <x:c r="J7" s="21"/>
    </x:row>
    <x:row r="8" ht="15" hidden="0" customHeight="1">
      <x:c r="A8" s="198" t="s">
        <x:v>84</x:v>
      </x:c>
      <x:c r="B8" s="199" t="s">
        <x:v>32</x:v>
      </x:c>
      <x:c r="C8" s="21"/>
      <x:c r="D8" s="21"/>
      <x:c r="E8" s="21"/>
      <x:c r="F8" s="21"/>
      <x:c r="G8" s="21"/>
      <x:c r="H8" s="21"/>
      <x:c r="I8" s="21"/>
      <x:c r="J8" s="21"/>
    </x:row>
    <x:row r="9" ht="15" hidden="0" customHeight="1">
      <x:c r="A9" s="198" t="s">
        <x:v>85</x:v>
      </x:c>
      <x:c r="B9" s="199" t="s">
        <x:v>86</x:v>
      </x:c>
      <x:c r="C9" s="21"/>
      <x:c r="D9" s="21"/>
      <x:c r="E9" s="21"/>
      <x:c r="F9" s="21"/>
      <x:c r="G9" s="21"/>
      <x:c r="H9" s="21"/>
      <x:c r="I9" s="21"/>
      <x:c r="J9" s="21"/>
    </x:row>
    <x:row r="10" ht="15" hidden="0" customHeight="1">
      <x:c r="A10" s="198" t="s">
        <x:v>87</x:v>
      </x:c>
      <x:c r="B10" s="199" t="s">
        <x:v>396</x:v>
      </x:c>
      <x:c r="C10" s="21"/>
      <x:c r="D10" s="21"/>
      <x:c r="E10" s="21"/>
      <x:c r="F10" s="21"/>
      <x:c r="G10" s="21"/>
      <x:c r="H10" s="21"/>
      <x:c r="I10" s="21"/>
      <x:c r="J10" s="21"/>
    </x:row>
    <x:row r="11" ht="15" hidden="0" customHeight="1">
      <x:c r="A11" s="198" t="s">
        <x:v>89</x:v>
      </x:c>
      <x:c r="B11" s="199" t="s">
        <x:v>397</x:v>
      </x:c>
      <x:c r="C11" s="21"/>
      <x:c r="D11" s="21"/>
      <x:c r="E11" s="21"/>
      <x:c r="F11" s="21"/>
      <x:c r="G11" s="21"/>
      <x:c r="H11" s="21"/>
      <x:c r="I11" s="21"/>
      <x:c r="J11" s="21"/>
    </x:row>
    <x:row r="12" ht="15" hidden="0" customHeight="1">
      <x:c r="A12" s="198" t="s">
        <x:v>91</x:v>
      </x:c>
      <x:c r="B12" s="199" t="s">
        <x:v>398</x:v>
      </x:c>
      <x:c r="C12" s="21"/>
      <x:c r="D12" s="21"/>
      <x:c r="E12" s="21"/>
      <x:c r="F12" s="21"/>
      <x:c r="G12" s="21"/>
      <x:c r="H12" s="21"/>
      <x:c r="I12" s="21"/>
      <x:c r="J12" s="21"/>
    </x:row>
    <x:row r="13" ht="27.75" hidden="0" customHeight="1">
      <x:c r="A13" s="198" t="s">
        <x:v>93</x:v>
      </x:c>
      <x:c r="B13" s="199" t="s">
        <x:v>94</x:v>
      </x:c>
      <x:c r="C13" s="21"/>
      <x:c r="D13" s="21"/>
      <x:c r="E13" s="21"/>
      <x:c r="F13" s="21"/>
      <x:c r="G13" s="21"/>
      <x:c r="H13" s="21"/>
      <x:c r="I13" s="21"/>
      <x:c r="J13" s="21"/>
    </x:row>
    <x:row r="14" ht="27.75" hidden="0" customHeight="1">
      <x:c r="A14" s="198" t="s">
        <x:v>95</x:v>
      </x:c>
      <x:c r="B14" s="199"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198" t="s">
        <x:v>96</x:v>
      </x:c>
      <x:c r="B15" s="199" t="s">
        <x:v>97</x:v>
      </x:c>
      <x:c r="C15" s="21"/>
      <x:c r="D15" s="21"/>
      <x:c r="E15" s="21"/>
      <x:c r="F15" s="21"/>
      <x:c r="G15" s="21"/>
      <x:c r="H15" s="21"/>
      <x:c r="I15" s="21"/>
      <x:c r="J15" s="21"/>
    </x:row>
    <x:row r="16">
      <x:c r="A16" s="193"/>
      <x:c r="B16" s="193"/>
    </x:row>
    <x:row r="17" ht="15" hidden="0">
      <x:c r="A17" s="200" t="s">
        <x:v>98</x:v>
      </x:c>
      <x:c r="B17" s="200" t="s">
        <x:v>99</x:v>
      </x:c>
      <x:c r="C17" s="23" t="s">
        <x:v>100</x:v>
      </x:c>
      <x:c r="D17" s="23" t="s">
        <x:v>101</x:v>
      </x:c>
      <x:c r="E17" s="23" t="s">
        <x:v>102</x:v>
      </x:c>
      <x:c r="F17" s="23" t="s">
        <x:v>103</x:v>
      </x:c>
      <x:c r="G17" s="23" t="s">
        <x:v>104</x:v>
      </x:c>
      <x:c r="H17" s="23" t="s">
        <x:v>105</x:v>
      </x:c>
      <x:c r="I17" s="23" t="s">
        <x:v>70</x:v>
      </x:c>
      <x:c r="J17" s="23" t="s">
        <x:v>106</x:v>
      </x:c>
    </x:row>
    <x:row r="18" ht="15" hidden="0">
      <x:c r="A18" s="196" t="s">
        <x:v>107</x:v>
      </x:c>
      <x:c r="B18" s="197"/>
      <x:c r="C18" s="20"/>
      <x:c r="D18" s="20"/>
      <x:c r="E18" s="20"/>
      <x:c r="F18" s="20"/>
      <x:c r="G18" s="20"/>
      <x:c r="H18" s="20"/>
      <x:c r="I18" s="20"/>
      <x:c r="J18" s="20"/>
    </x:row>
    <x:row r="19" ht="15" hidden="0">
      <x:c r="A19" s="201" t="s">
        <x:v>108</x:v>
      </x:c>
      <x:c r="B19" s="202"/>
      <x:c r="C19" s="25"/>
      <x:c r="D19" s="25"/>
      <x:c r="E19" s="25"/>
      <x:c r="F19" s="25"/>
      <x:c r="G19" s="25"/>
      <x:c r="H19" s="25"/>
      <x:c r="I19" s="25"/>
      <x:c r="J19" s="25"/>
    </x:row>
    <x:row r="20" ht="15" hidden="0">
      <x:c r="A20" s="193" t="s">
        <x:v>109</x:v>
      </x:c>
      <x:c r="B20" s="195" t="s">
        <x:v>399</x:v>
      </x:c>
      <x:c r="C20" s="26" t="n">
        <x:v>60247.57</x:v>
      </x:c>
      <x:c r="D20" s="26" t="n">
        <x:v>62389.947</x:v>
      </x:c>
      <x:c r="E20" s="26" t="n">
        <x:v>82301.05</x:v>
      </x:c>
      <x:c r="F20" s="26" t="n">
        <x:v>95620.306</x:v>
      </x:c>
      <x:c r="G20" s="26" t="n">
        <x:v>107258.973</x:v>
      </x:c>
      <x:c r="H20" s="26" t="n">
        <x:v>107409.588</x:v>
      </x:c>
      <x:c r="I20" s="9" t="s">
        <x:v>111</x:v>
      </x:c>
    </x:row>
    <x:row r="21" ht="15" hidden="0">
      <x:c r="A21" s="193" t="s">
        <x:v>112</x:v>
      </x:c>
      <x:c r="B21" s="195" t="s">
        <x:v>400</x:v>
      </x:c>
      <x:c r="C21" s="26" t="n">
        <x:v>334.191</x:v>
      </x:c>
      <x:c r="D21" s="26" t="n">
        <x:v>4015.044</x:v>
      </x:c>
      <x:c r="E21" s="26" t="n">
        <x:v>21911.214</x:v>
      </x:c>
      <x:c r="F21" s="26" t="n">
        <x:v>5562.145</x:v>
      </x:c>
      <x:c r="G21" s="26" t="n">
        <x:v>11633.303</x:v>
      </x:c>
      <x:c r="H21" s="26" t="n">
        <x:v>5420.742</x:v>
      </x:c>
      <x:c r="I21" s="9" t="s">
        <x:v>111</x:v>
      </x:c>
    </x:row>
    <x:row r="22" ht="15" hidden="0">
      <x:c r="A22" s="193" t="s">
        <x:v>114</x:v>
      </x:c>
      <x:c r="B22" s="195" t="s">
        <x:v>115</x:v>
      </x:c>
      <x:c r="C22" s="27" t="n">
        <x:f aca="0">C20-C21</x:f>
        <x:v>59913.379</x:v>
      </x:c>
      <x:c r="D22" s="27" t="n">
        <x:f aca="0">D20-D21</x:f>
        <x:v>58374.903</x:v>
      </x:c>
      <x:c r="E22" s="27" t="n">
        <x:f aca="0">E20-E21</x:f>
        <x:v>60389.836</x:v>
      </x:c>
      <x:c r="F22" s="27" t="n">
        <x:f aca="0">F20-F21</x:f>
        <x:v>90058.161</x:v>
      </x:c>
      <x:c r="G22" s="27" t="n">
        <x:f aca="0">G20-G21</x:f>
        <x:v>95625.67</x:v>
      </x:c>
      <x:c r="H22" s="27" t="n">
        <x:f aca="0">H20-H21</x:f>
        <x:v>101988.846</x:v>
      </x:c>
      <x:c r="I22" s="9" t="s">
        <x:v>111</x:v>
      </x:c>
    </x:row>
    <x:row r="23" ht="15" hidden="0">
      <x:c r="A23" s="193" t="s">
        <x:v>116</x:v>
      </x:c>
      <x:c r="B23" s="195" t="s">
        <x:v>401</x:v>
      </x:c>
      <x:c r="C23" s="26" t="n">
        <x:v>0</x:v>
      </x:c>
      <x:c r="D23" s="26" t="n">
        <x:v>0</x:v>
      </x:c>
      <x:c r="E23" s="26" t="n">
        <x:v>0</x:v>
      </x:c>
      <x:c r="F23" s="26" t="n">
        <x:v>0</x:v>
      </x:c>
      <x:c r="G23" s="26" t="n">
        <x:v>0</x:v>
      </x:c>
      <x:c r="H23" s="26" t="n">
        <x:v>0</x:v>
      </x:c>
      <x:c r="I23" s="9" t="s">
        <x:v>111</x:v>
      </x:c>
    </x:row>
    <x:row r="24" ht="15" hidden="0">
      <x:c r="A24" s="193" t="s">
        <x:v>118</x:v>
      </x:c>
      <x:c r="B24" s="195" t="s">
        <x:v>402</x:v>
      </x:c>
      <x:c r="C24" s="26" t="n">
        <x:v>11.323</x:v>
      </x:c>
      <x:c r="D24" s="26" t="n">
        <x:v>0.67</x:v>
      </x:c>
      <x:c r="E24" s="26" t="n">
        <x:v>51.352</x:v>
      </x:c>
      <x:c r="F24" s="26" t="n">
        <x:v>85.588</x:v>
      </x:c>
      <x:c r="G24" s="26" t="n">
        <x:v>69.394</x:v>
      </x:c>
      <x:c r="H24" s="26" t="n">
        <x:v>46.229</x:v>
      </x:c>
      <x:c r="I24" s="9" t="s">
        <x:v>111</x:v>
      </x:c>
    </x:row>
    <x:row r="25" ht="15" hidden="0">
      <x:c r="A25" s="193" t="s">
        <x:v>120</x:v>
      </x:c>
      <x:c r="B25" s="195" t="s">
        <x:v>403</x:v>
      </x:c>
      <x:c r="C25" s="26" t="n">
        <x:v>0</x:v>
      </x:c>
      <x:c r="D25" s="26" t="n">
        <x:v>0</x:v>
      </x:c>
      <x:c r="E25" s="26" t="n">
        <x:v>0</x:v>
      </x:c>
      <x:c r="F25" s="26" t="n">
        <x:v>0</x:v>
      </x:c>
      <x:c r="G25" s="26" t="n">
        <x:v>0</x:v>
      </x:c>
      <x:c r="H25" s="26" t="n">
        <x:v>0</x:v>
      </x:c>
      <x:c r="I25" s="9" t="s">
        <x:v>111</x:v>
      </x:c>
    </x:row>
    <x:row r="26" ht="15" hidden="0">
      <x:c r="A26" s="193" t="s">
        <x:v>122</x:v>
      </x:c>
      <x:c r="B26" s="195" t="s">
        <x:v>404</x:v>
      </x:c>
      <x:c r="C26" s="26" t="n">
        <x:v>47144.485</x:v>
      </x:c>
      <x:c r="D26" s="26" t="n">
        <x:v>53194.485</x:v>
      </x:c>
      <x:c r="E26" s="26" t="n">
        <x:v>57594.485</x:v>
      </x:c>
      <x:c r="F26" s="26" t="n">
        <x:v>57594.485</x:v>
      </x:c>
      <x:c r="G26" s="26" t="n">
        <x:v>58072.373</x:v>
      </x:c>
      <x:c r="H26" s="26" t="n">
        <x:v>58555.707</x:v>
      </x:c>
      <x:c r="I26" s="9" t="s">
        <x:v>111</x:v>
      </x:c>
    </x:row>
    <x:row r="27" ht="15" hidden="0">
      <x:c r="A27" s="193" t="s">
        <x:v>124</x:v>
      </x:c>
      <x:c r="B27" s="195" t="s">
        <x:v>405</x:v>
      </x:c>
      <x:c r="C27" s="26" t="n">
        <x:v>90.183</x:v>
      </x:c>
      <x:c r="D27" s="26" t="n">
        <x:v>106.592</x:v>
      </x:c>
      <x:c r="E27" s="26" t="n">
        <x:v>199.79</x:v>
      </x:c>
      <x:c r="F27" s="26" t="n">
        <x:v>202.046</x:v>
      </x:c>
      <x:c r="G27" s="26" t="n">
        <x:v>165.266</x:v>
      </x:c>
      <x:c r="H27" s="26" t="n">
        <x:v>189.147</x:v>
      </x:c>
      <x:c r="I27" s="9" t="s">
        <x:v>111</x:v>
      </x:c>
    </x:row>
    <x:row r="28" ht="15" hidden="0">
      <x:c r="A28" s="198" t="s">
        <x:v>126</x:v>
      </x:c>
      <x:c r="B28" s="195" t="s">
        <x:v>127</x:v>
      </x:c>
      <x:c r="C28" s="28" t="n">
        <x:f aca="0">C20+C23+C24+C25+C26+C27</x:f>
        <x:v>107493.561</x:v>
      </x:c>
      <x:c r="D28" s="28" t="n">
        <x:f aca="0">D20+D23+D24+D25+D26+D27</x:f>
        <x:v>115691.694</x:v>
      </x:c>
      <x:c r="E28" s="28" t="n">
        <x:f aca="0">E20+E23+E24+E25+E26+E27</x:f>
        <x:v>140146.677</x:v>
      </x:c>
      <x:c r="F28" s="28" t="n">
        <x:f aca="0">F20+F23+F24+F25+F26+F27</x:f>
        <x:v>153502.42500000002</x:v>
      </x:c>
      <x:c r="G28" s="28" t="n">
        <x:f aca="0">G20+G23+G24+G25+G26+G27</x:f>
        <x:v>165566.006</x:v>
      </x:c>
      <x:c r="H28" s="28" t="n">
        <x:f aca="0">H20+H23+H24+H25+H26+H27</x:f>
        <x:v>166200.671</x:v>
      </x:c>
      <x:c r="I28" s="9" t="s">
        <x:v>111</x:v>
      </x:c>
    </x:row>
    <x:row r="29" ht="15" hidden="0">
      <x:c r="A29" s="201" t="s">
        <x:v>128</x:v>
      </x:c>
      <x:c r="B29" s="202"/>
      <x:c r="C29" s="25"/>
      <x:c r="D29" s="25"/>
      <x:c r="E29" s="25"/>
      <x:c r="F29" s="25"/>
      <x:c r="G29" s="25"/>
      <x:c r="H29" s="25"/>
      <x:c r="I29" s="25"/>
      <x:c r="J29" s="25"/>
    </x:row>
    <x:row r="30" ht="15" hidden="0">
      <x:c r="A30" s="193" t="s">
        <x:v>129</x:v>
      </x:c>
      <x:c r="B30" s="195" t="s">
        <x:v>406</x:v>
      </x:c>
      <x:c r="C30" s="26" t="n">
        <x:v>6520.17</x:v>
      </x:c>
      <x:c r="D30" s="26" t="n">
        <x:v>10526.573</x:v>
      </x:c>
      <x:c r="E30" s="26" t="n">
        <x:v>11206.843</x:v>
      </x:c>
      <x:c r="F30" s="26" t="n">
        <x:v>14084.018</x:v>
      </x:c>
      <x:c r="G30" s="26" t="n">
        <x:v>14591.821</x:v>
      </x:c>
      <x:c r="H30" s="26" t="n">
        <x:v>19895.13</x:v>
      </x:c>
      <x:c r="I30" s="9" t="s">
        <x:v>111</x:v>
      </x:c>
    </x:row>
    <x:row r="31" ht="15" hidden="0">
      <x:c r="A31" s="193" t="s">
        <x:v>131</x:v>
      </x:c>
      <x:c r="B31" s="195" t="s">
        <x:v>407</x:v>
      </x:c>
      <x:c r="C31" s="26" t="n">
        <x:v>2915.552</x:v>
      </x:c>
      <x:c r="D31" s="26" t="n">
        <x:v>3105.037</x:v>
      </x:c>
      <x:c r="E31" s="26" t="n">
        <x:v>7171.364</x:v>
      </x:c>
      <x:c r="F31" s="26" t="n">
        <x:v>6048.507</x:v>
      </x:c>
      <x:c r="G31" s="26" t="n">
        <x:v>8505.426</x:v>
      </x:c>
      <x:c r="H31" s="26" t="n">
        <x:v>4774.577</x:v>
      </x:c>
      <x:c r="I31" s="9" t="s">
        <x:v>111</x:v>
      </x:c>
    </x:row>
    <x:row r="32" ht="15" hidden="0">
      <x:c r="A32" s="193" t="s">
        <x:v>133</x:v>
      </x:c>
      <x:c r="B32" s="195" t="s">
        <x:v>408</x:v>
      </x:c>
      <x:c r="C32" s="26" t="n">
        <x:v>3422.767</x:v>
      </x:c>
      <x:c r="D32" s="26" t="n">
        <x:v>2710.081</x:v>
      </x:c>
      <x:c r="E32" s="26" t="n">
        <x:v>3522.931</x:v>
      </x:c>
      <x:c r="F32" s="26" t="n">
        <x:v>5089.667</x:v>
      </x:c>
      <x:c r="G32" s="26" t="n">
        <x:v>6932.479</x:v>
      </x:c>
      <x:c r="H32" s="26" t="n">
        <x:v>6353.194</x:v>
      </x:c>
      <x:c r="I32" s="9" t="s">
        <x:v>111</x:v>
      </x:c>
    </x:row>
    <x:row r="33" ht="15" hidden="0">
      <x:c r="A33" s="193" t="s">
        <x:v>135</x:v>
      </x:c>
      <x:c r="B33" s="195" t="s">
        <x:v>409</x:v>
      </x:c>
      <x:c r="C33" s="26" t="n">
        <x:v>2970.999</x:v>
      </x:c>
      <x:c r="D33" s="26" t="n">
        <x:v>16227.103</x:v>
      </x:c>
      <x:c r="E33" s="26" t="n">
        <x:v>12751.155</x:v>
      </x:c>
      <x:c r="F33" s="26" t="n">
        <x:v>21898.496</x:v>
      </x:c>
      <x:c r="G33" s="26" t="n">
        <x:v>29837.628</x:v>
      </x:c>
      <x:c r="H33" s="26" t="n">
        <x:v>61298.052</x:v>
      </x:c>
      <x:c r="I33" s="9" t="s">
        <x:v>111</x:v>
      </x:c>
    </x:row>
    <x:row r="34" ht="15" hidden="0">
      <x:c r="A34" s="193" t="s">
        <x:v>137</x:v>
      </x:c>
      <x:c r="B34" s="195" t="s">
        <x:v>410</x:v>
      </x:c>
      <x:c r="C34" s="26" t="n">
        <x:v>7816.606</x:v>
      </x:c>
      <x:c r="D34" s="26" t="n">
        <x:v>2825.424</x:v>
      </x:c>
      <x:c r="E34" s="26" t="n">
        <x:v>3871.078</x:v>
      </x:c>
      <x:c r="F34" s="26" t="n">
        <x:v>4116.181</x:v>
      </x:c>
      <x:c r="G34" s="26" t="n">
        <x:v>2567.176</x:v>
      </x:c>
      <x:c r="H34" s="26" t="n">
        <x:v>2790.323</x:v>
      </x:c>
      <x:c r="I34" s="9" t="s">
        <x:v>111</x:v>
      </x:c>
    </x:row>
    <x:row r="35" ht="15" hidden="0">
      <x:c r="A35" s="193" t="s">
        <x:v>139</x:v>
      </x:c>
      <x:c r="B35" s="195" t="s">
        <x:v>411</x:v>
      </x:c>
      <x:c r="C35" s="26" t="n">
        <x:v>4728.819</x:v>
      </x:c>
      <x:c r="D35" s="26" t="n">
        <x:v>5282.15</x:v>
      </x:c>
      <x:c r="E35" s="26" t="n">
        <x:v>6292.32</x:v>
      </x:c>
      <x:c r="F35" s="26" t="n">
        <x:v>8339.773</x:v>
      </x:c>
      <x:c r="G35" s="26" t="n">
        <x:v>6017.554</x:v>
      </x:c>
      <x:c r="H35" s="26" t="n">
        <x:v>5436.083</x:v>
      </x:c>
      <x:c r="I35" s="9" t="s">
        <x:v>111</x:v>
      </x:c>
    </x:row>
    <x:row r="36" ht="15" hidden="0">
      <x:c r="A36" s="198" t="s">
        <x:v>141</x:v>
      </x:c>
      <x:c r="B36" s="195" t="s">
        <x:v>142</x:v>
      </x:c>
      <x:c r="C36" s="28" t="n">
        <x:f aca="0">C30+C31+C32+C33+C34+C35</x:f>
        <x:v>28374.912999999997</x:v>
      </x:c>
      <x:c r="D36" s="28" t="n">
        <x:f aca="0">D30+D31+D32+D33+D34+D35</x:f>
        <x:v>40676.368</x:v>
      </x:c>
      <x:c r="E36" s="28" t="n">
        <x:f aca="0">E30+E31+E32+E33+E34+E35</x:f>
        <x:v>44815.691000000006</x:v>
      </x:c>
      <x:c r="F36" s="28" t="n">
        <x:f aca="0">F30+F31+F32+F33+F34+F35</x:f>
        <x:v>59576.642</x:v>
      </x:c>
      <x:c r="G36" s="28" t="n">
        <x:f aca="0">G30+G31+G32+G33+G34+G35</x:f>
        <x:v>68452.084</x:v>
      </x:c>
      <x:c r="H36" s="28" t="n">
        <x:f aca="0">H30+H31+H32+H33+H34+H35</x:f>
        <x:v>100547.35900000001</x:v>
      </x:c>
      <x:c r="I36" s="9" t="s">
        <x:v>111</x:v>
      </x:c>
    </x:row>
    <x:row r="37" ht="15" hidden="0">
      <x:c r="A37" s="198" t="s">
        <x:v>143</x:v>
      </x:c>
      <x:c r="B37" s="195" t="s">
        <x:v>144</x:v>
      </x:c>
      <x:c r="C37" s="28" t="n">
        <x:f aca="0">C28+C36</x:f>
        <x:v>135868.474</x:v>
      </x:c>
      <x:c r="D37" s="28" t="n">
        <x:f aca="0">D28+D36</x:f>
        <x:v>156368.062</x:v>
      </x:c>
      <x:c r="E37" s="28" t="n">
        <x:f aca="0">E28+E36</x:f>
        <x:v>184962.36800000002</x:v>
      </x:c>
      <x:c r="F37" s="28" t="n">
        <x:f aca="0">F28+F36</x:f>
        <x:v>213079.067</x:v>
      </x:c>
      <x:c r="G37" s="28" t="n">
        <x:f aca="0">G28+G36</x:f>
        <x:v>234018.09</x:v>
      </x:c>
      <x:c r="H37" s="28" t="n">
        <x:f aca="0">H28+H36</x:f>
        <x:v>266748.03</x:v>
      </x:c>
      <x:c r="I37" s="9" t="s">
        <x:v>111</x:v>
      </x:c>
    </x:row>
    <x:row r="38" ht="15" hidden="0">
      <x:c r="A38" s="201" t="s">
        <x:v>145</x:v>
      </x:c>
      <x:c r="B38" s="202"/>
      <x:c r="C38" s="25"/>
      <x:c r="D38" s="25"/>
      <x:c r="E38" s="25"/>
      <x:c r="F38" s="25"/>
      <x:c r="G38" s="25"/>
      <x:c r="H38" s="25"/>
      <x:c r="I38" s="25"/>
      <x:c r="J38" s="25"/>
    </x:row>
    <x:row r="39" ht="15" hidden="0">
      <x:c r="A39" s="193" t="s">
        <x:v>146</x:v>
      </x:c>
      <x:c r="B39" s="195" t="s">
        <x:v>412</x:v>
      </x:c>
      <x:c r="C39" s="26" t="n">
        <x:v>3233.75</x:v>
      </x:c>
      <x:c r="D39" s="26" t="n">
        <x:v>3233.75</x:v>
      </x:c>
      <x:c r="E39" s="26" t="n">
        <x:v>3233.75</x:v>
      </x:c>
      <x:c r="F39" s="26" t="n">
        <x:v>3118.386</x:v>
      </x:c>
      <x:c r="G39" s="26" t="n">
        <x:v>2930</x:v>
      </x:c>
      <x:c r="H39" s="26" t="n">
        <x:v>2930</x:v>
      </x:c>
      <x:c r="I39" s="9" t="s">
        <x:v>111</x:v>
      </x:c>
    </x:row>
    <x:row r="40" ht="15" hidden="0">
      <x:c r="A40" s="193" t="s">
        <x:v>148</x:v>
      </x:c>
      <x:c r="B40" s="195" t="s">
        <x:v>413</x:v>
      </x:c>
      <x:c r="C40" s="26" t="n">
        <x:v>95950.111</x:v>
      </x:c>
      <x:c r="D40" s="26" t="n">
        <x:v>109966.508</x:v>
      </x:c>
      <x:c r="E40" s="26" t="n">
        <x:v>125306.574</x:v>
      </x:c>
      <x:c r="F40" s="26" t="n">
        <x:v>134247.94</x:v>
      </x:c>
      <x:c r="G40" s="26" t="n">
        <x:v>144831.277</x:v>
      </x:c>
      <x:c r="H40" s="26" t="n">
        <x:v>172980.4</x:v>
      </x:c>
      <x:c r="I40" s="9" t="s">
        <x:v>111</x:v>
      </x:c>
    </x:row>
    <x:row r="41" ht="15" hidden="0">
      <x:c r="A41" s="198" t="s">
        <x:v>150</x:v>
      </x:c>
      <x:c r="B41" s="195" t="s">
        <x:v>151</x:v>
      </x:c>
      <x:c r="C41" s="28" t="n">
        <x:f aca="0">C39+C40</x:f>
        <x:v>99183.861</x:v>
      </x:c>
      <x:c r="D41" s="28" t="n">
        <x:f aca="0">D39+D40</x:f>
        <x:v>113200.258</x:v>
      </x:c>
      <x:c r="E41" s="28" t="n">
        <x:f aca="0">E39+E40</x:f>
        <x:v>128540.324</x:v>
      </x:c>
      <x:c r="F41" s="28" t="n">
        <x:f aca="0">F39+F40</x:f>
        <x:v>137366.326</x:v>
      </x:c>
      <x:c r="G41" s="28" t="n">
        <x:f aca="0">G39+G40</x:f>
        <x:v>147761.277</x:v>
      </x:c>
      <x:c r="H41" s="28" t="n">
        <x:f aca="0">H39+H40</x:f>
        <x:v>175910.4</x:v>
      </x:c>
      <x:c r="I41" s="9" t="s">
        <x:v>111</x:v>
      </x:c>
    </x:row>
    <x:row r="42" ht="15" hidden="0">
      <x:c r="A42" s="201" t="s">
        <x:v>152</x:v>
      </x:c>
      <x:c r="B42" s="202"/>
      <x:c r="C42" s="25"/>
      <x:c r="D42" s="25"/>
      <x:c r="E42" s="25"/>
      <x:c r="F42" s="25"/>
      <x:c r="G42" s="25"/>
      <x:c r="H42" s="25"/>
      <x:c r="I42" s="25"/>
      <x:c r="J42" s="25"/>
    </x:row>
    <x:row r="43" ht="15" hidden="0">
      <x:c r="A43" s="193" t="s">
        <x:v>153</x:v>
      </x:c>
      <x:c r="B43" s="195" t="s">
        <x:v>414</x:v>
      </x:c>
      <x:c r="C43" s="26" t="n">
        <x:v>320.461</x:v>
      </x:c>
      <x:c r="D43" s="26" t="n">
        <x:v>2934.044</x:v>
      </x:c>
      <x:c r="E43" s="26" t="n">
        <x:v>14108.446</x:v>
      </x:c>
      <x:c r="F43" s="26" t="n">
        <x:v>14557.294</x:v>
      </x:c>
      <x:c r="G43" s="26" t="n">
        <x:v>12760.637</x:v>
      </x:c>
      <x:c r="H43" s="26" t="n">
        <x:v>9184.522</x:v>
      </x:c>
      <x:c r="I43" s="9" t="s">
        <x:v>111</x:v>
      </x:c>
    </x:row>
    <x:row r="44" ht="15" hidden="0">
      <x:c r="A44" s="193" t="s">
        <x:v>155</x:v>
      </x:c>
      <x:c r="B44" s="195" t="s">
        <x:v>415</x:v>
      </x:c>
      <x:c r="C44" s="26" t="n">
        <x:v>0</x:v>
      </x:c>
      <x:c r="D44" s="26" t="n">
        <x:v>0</x:v>
      </x:c>
      <x:c r="E44" s="26" t="n">
        <x:v>0</x:v>
      </x:c>
      <x:c r="F44" s="26" t="n">
        <x:v>0</x:v>
      </x:c>
      <x:c r="G44" s="26" t="n">
        <x:v>0</x:v>
      </x:c>
      <x:c r="H44" s="26" t="n">
        <x:v>0</x:v>
      </x:c>
      <x:c r="I44" s="9" t="s">
        <x:v>111</x:v>
      </x:c>
    </x:row>
    <x:row r="45" ht="15" hidden="0">
      <x:c r="A45" s="193" t="s">
        <x:v>157</x:v>
      </x:c>
      <x:c r="B45" s="195" t="s">
        <x:v>416</x:v>
      </x:c>
      <x:c r="C45" s="26" t="n">
        <x:v>59.72</x:v>
      </x:c>
      <x:c r="D45" s="26" t="n">
        <x:v>1107.94</x:v>
      </x:c>
      <x:c r="E45" s="26" t="n">
        <x:v>2164.455</x:v>
      </x:c>
      <x:c r="F45" s="26" t="n">
        <x:v>2121.307</x:v>
      </x:c>
      <x:c r="G45" s="26" t="n">
        <x:v>1766.055</x:v>
      </x:c>
      <x:c r="H45" s="26" t="n">
        <x:v>1382.651</x:v>
      </x:c>
      <x:c r="I45" s="9" t="s">
        <x:v>111</x:v>
      </x:c>
    </x:row>
    <x:row r="46" ht="15" hidden="0">
      <x:c r="A46" s="193" t="s">
        <x:v>159</x:v>
      </x:c>
      <x:c r="B46" s="195" t="s">
        <x:v>417</x:v>
      </x:c>
      <x:c r="C46" s="26" t="n">
        <x:v>5167.161</x:v>
      </x:c>
      <x:c r="D46" s="26" t="n">
        <x:v>6157.224</x:v>
      </x:c>
      <x:c r="E46" s="26" t="n">
        <x:v>6941.172</x:v>
      </x:c>
      <x:c r="F46" s="26" t="n">
        <x:v>10025.499</x:v>
      </x:c>
      <x:c r="G46" s="26" t="n">
        <x:v>0</x:v>
      </x:c>
      <x:c r="H46" s="26" t="n">
        <x:v>0</x:v>
      </x:c>
      <x:c r="I46" s="9" t="s">
        <x:v>111</x:v>
      </x:c>
    </x:row>
    <x:row r="47" ht="15" hidden="0">
      <x:c r="A47" s="193" t="s">
        <x:v>161</x:v>
      </x:c>
      <x:c r="B47" s="195" t="s">
        <x:v>418</x:v>
      </x:c>
      <x:c r="C47" s="26" t="n">
        <x:v>2181.519</x:v>
      </x:c>
      <x:c r="D47" s="26" t="n">
        <x:v>2581.53</x:v>
      </x:c>
      <x:c r="E47" s="26" t="n">
        <x:v>2846.613</x:v>
      </x:c>
      <x:c r="F47" s="26" t="n">
        <x:v>2827.762</x:v>
      </x:c>
      <x:c r="G47" s="26" t="n">
        <x:v>17541.648</x:v>
      </x:c>
      <x:c r="H47" s="26" t="n">
        <x:v>21629.074</x:v>
      </x:c>
      <x:c r="I47" s="9" t="s">
        <x:v>111</x:v>
      </x:c>
    </x:row>
    <x:row r="48" ht="15" hidden="0">
      <x:c r="A48" s="198" t="s">
        <x:v>163</x:v>
      </x:c>
      <x:c r="B48" s="195" t="s">
        <x:v>164</x:v>
      </x:c>
      <x:c r="C48" s="28" t="n">
        <x:f aca="0">C43+C44+C45+C46+C47</x:f>
        <x:v>7728.861000000001</x:v>
      </x:c>
      <x:c r="D48" s="28" t="n">
        <x:f aca="0">D43+D44+D45+D46+D47</x:f>
        <x:v>12780.738000000001</x:v>
      </x:c>
      <x:c r="E48" s="28" t="n">
        <x:f aca="0">E43+E44+E45+E46+E47</x:f>
        <x:v>26060.686</x:v>
      </x:c>
      <x:c r="F48" s="28" t="n">
        <x:f aca="0">F43+F44+F45+F46+F47</x:f>
        <x:v>29531.861999999997</x:v>
      </x:c>
      <x:c r="G48" s="28" t="n">
        <x:f aca="0">G43+G44+G45+G46+G47</x:f>
        <x:v>32068.340000000004</x:v>
      </x:c>
      <x:c r="H48" s="28" t="n">
        <x:f aca="0">H43+H44+H45+H46+H47</x:f>
        <x:v>32196.247000000003</x:v>
      </x:c>
      <x:c r="I48" s="9" t="s">
        <x:v>111</x:v>
      </x:c>
    </x:row>
    <x:row r="49" ht="15" hidden="0">
      <x:c r="A49" s="201" t="s">
        <x:v>165</x:v>
      </x:c>
      <x:c r="B49" s="202"/>
      <x:c r="C49" s="25"/>
      <x:c r="D49" s="25"/>
      <x:c r="E49" s="25"/>
      <x:c r="F49" s="25"/>
      <x:c r="G49" s="25"/>
      <x:c r="H49" s="25"/>
      <x:c r="I49" s="25"/>
      <x:c r="J49" s="25"/>
    </x:row>
    <x:row r="50" ht="15" hidden="0">
      <x:c r="A50" s="193" t="s">
        <x:v>166</x:v>
      </x:c>
      <x:c r="B50" s="195" t="s">
        <x:v>419</x:v>
      </x:c>
      <x:c r="C50" s="26" t="n">
        <x:v>19354.794</x:v>
      </x:c>
      <x:c r="D50" s="26" t="n">
        <x:v>20789.76</x:v>
      </x:c>
      <x:c r="E50" s="26" t="n">
        <x:v>23191.483</x:v>
      </x:c>
      <x:c r="F50" s="26" t="n">
        <x:v>29918.702</x:v>
      </x:c>
      <x:c r="G50" s="26" t="n">
        <x:v>30006.625</x:v>
      </x:c>
      <x:c r="H50" s="26" t="n">
        <x:v>27300.919</x:v>
      </x:c>
      <x:c r="I50" s="9" t="s">
        <x:v>111</x:v>
      </x:c>
    </x:row>
    <x:row r="51" ht="15" hidden="0">
      <x:c r="A51" s="193" t="s">
        <x:v>168</x:v>
      </x:c>
      <x:c r="B51" s="195" t="s">
        <x:v>420</x:v>
      </x:c>
      <x:c r="C51" s="26" t="n">
        <x:v>2599.29</x:v>
      </x:c>
      <x:c r="D51" s="26" t="n">
        <x:v>2882.434</x:v>
      </x:c>
      <x:c r="E51" s="26" t="n">
        <x:v>3352.998</x:v>
      </x:c>
      <x:c r="F51" s="26" t="n">
        <x:v>5030.546</x:v>
      </x:c>
      <x:c r="G51" s="26" t="n">
        <x:v>7172.144</x:v>
      </x:c>
      <x:c r="H51" s="26" t="n">
        <x:v>6426.975</x:v>
      </x:c>
      <x:c r="I51" s="9" t="s">
        <x:v>111</x:v>
      </x:c>
    </x:row>
    <x:row r="52" ht="15" hidden="0">
      <x:c r="A52" s="193" t="s">
        <x:v>170</x:v>
      </x:c>
      <x:c r="B52" s="195" t="s">
        <x:v>421</x:v>
      </x:c>
      <x:c r="C52" s="26" t="n">
        <x:v>0</x:v>
      </x:c>
      <x:c r="D52" s="26" t="n">
        <x:v>0</x:v>
      </x:c>
      <x:c r="E52" s="26" t="n">
        <x:v>0</x:v>
      </x:c>
      <x:c r="F52" s="26" t="n">
        <x:v>0</x:v>
      </x:c>
      <x:c r="G52" s="26" t="n">
        <x:v>0</x:v>
      </x:c>
      <x:c r="H52" s="26" t="n">
        <x:v>0</x:v>
      </x:c>
      <x:c r="I52" s="9" t="s">
        <x:v>111</x:v>
      </x:c>
    </x:row>
    <x:row r="53" ht="15" hidden="0">
      <x:c r="A53" s="193" t="s">
        <x:v>172</x:v>
      </x:c>
      <x:c r="B53" s="195" t="s">
        <x:v>422</x:v>
      </x:c>
      <x:c r="C53" s="26" t="n">
        <x:v>46.173</x:v>
      </x:c>
      <x:c r="D53" s="26" t="n">
        <x:v>70.868</x:v>
      </x:c>
      <x:c r="E53" s="26" t="n">
        <x:v>135.452</x:v>
      </x:c>
      <x:c r="F53" s="26" t="n">
        <x:v>497.745</x:v>
      </x:c>
      <x:c r="G53" s="26" t="n">
        <x:v>342.935</x:v>
      </x:c>
      <x:c r="H53" s="26" t="n">
        <x:v>185.616</x:v>
      </x:c>
      <x:c r="I53" s="9" t="s">
        <x:v>111</x:v>
      </x:c>
    </x:row>
    <x:row r="54" ht="15" hidden="0">
      <x:c r="A54" s="193" t="s">
        <x:v>174</x:v>
      </x:c>
      <x:c r="B54" s="195" t="s">
        <x:v>423</x:v>
      </x:c>
      <x:c r="C54" s="26" t="n">
        <x:v>7931.444</x:v>
      </x:c>
      <x:c r="D54" s="26" t="n">
        <x:v>7050</x:v>
      </x:c>
      <x:c r="E54" s="26" t="n">
        <x:v>1000</x:v>
      </x:c>
      <x:c r="F54" s="26" t="n">
        <x:v>5885</x:v>
      </x:c>
      <x:c r="G54" s="26" t="n">
        <x:v>5485</x:v>
      </x:c>
      <x:c r="H54" s="26" t="n">
        <x:v>6485</x:v>
      </x:c>
      <x:c r="I54" s="9" t="s">
        <x:v>111</x:v>
      </x:c>
    </x:row>
    <x:row r="55" ht="15" hidden="0">
      <x:c r="A55" s="193" t="s">
        <x:v>176</x:v>
      </x:c>
      <x:c r="B55" s="195" t="s">
        <x:v>424</x:v>
      </x:c>
      <x:c r="C55" s="26" t="n">
        <x:v>126.727</x:v>
      </x:c>
      <x:c r="D55" s="26" t="n">
        <x:v>506.908</x:v>
      </x:c>
      <x:c r="E55" s="26" t="n">
        <x:v>487.202</x:v>
      </x:c>
      <x:c r="F55" s="26" t="n">
        <x:v>599.653</x:v>
      </x:c>
      <x:c r="G55" s="26" t="n">
        <x:v>2099.147</x:v>
      </x:c>
      <x:c r="H55" s="26" t="n">
        <x:v>1866.085</x:v>
      </x:c>
      <x:c r="I55" s="9" t="s">
        <x:v>111</x:v>
      </x:c>
    </x:row>
    <x:row r="56" ht="15" hidden="0">
      <x:c r="A56" s="193" t="s">
        <x:v>178</x:v>
      </x:c>
      <x:c r="B56" s="195" t="s">
        <x:v>425</x:v>
      </x:c>
      <x:c r="C56" s="26" t="n">
        <x:v>0</x:v>
      </x:c>
      <x:c r="D56" s="26" t="n">
        <x:v>0</x:v>
      </x:c>
      <x:c r="E56" s="26" t="n">
        <x:v>0</x:v>
      </x:c>
      <x:c r="F56" s="26" t="n">
        <x:v>0</x:v>
      </x:c>
      <x:c r="G56" s="26" t="n">
        <x:v>0</x:v>
      </x:c>
      <x:c r="H56" s="26" t="n">
        <x:v>0</x:v>
      </x:c>
      <x:c r="I56" s="9" t="s">
        <x:v>111</x:v>
      </x:c>
    </x:row>
    <x:row r="57" ht="15" hidden="0">
      <x:c r="A57" s="193" t="s">
        <x:v>180</x:v>
      </x:c>
      <x:c r="B57" s="195" t="s">
        <x:v>426</x:v>
      </x:c>
      <x:c r="C57" s="26" t="n">
        <x:v>0</x:v>
      </x:c>
      <x:c r="D57" s="26" t="n">
        <x:v>0</x:v>
      </x:c>
      <x:c r="E57" s="26" t="n">
        <x:v>0</x:v>
      </x:c>
      <x:c r="F57" s="26" t="n">
        <x:v>0</x:v>
      </x:c>
      <x:c r="G57" s="26" t="n">
        <x:v>0</x:v>
      </x:c>
      <x:c r="H57" s="26" t="n">
        <x:v>0</x:v>
      </x:c>
      <x:c r="I57" s="9" t="s">
        <x:v>111</x:v>
      </x:c>
    </x:row>
    <x:row r="58" ht="15" hidden="0">
      <x:c r="A58" s="193" t="s">
        <x:v>182</x:v>
      </x:c>
      <x:c r="B58" s="195" t="s">
        <x:v>427</x:v>
      </x:c>
      <x:c r="C58" s="26" t="n">
        <x:v>73.347</x:v>
      </x:c>
      <x:c r="D58" s="26" t="n">
        <x:v>53.458</x:v>
      </x:c>
      <x:c r="E58" s="26" t="n">
        <x:v>51.03</x:v>
      </x:c>
      <x:c r="F58" s="26" t="n">
        <x:v>50.115</x:v>
      </x:c>
      <x:c r="G58" s="26" t="n">
        <x:v>59.148</x:v>
      </x:c>
      <x:c r="H58" s="26" t="n">
        <x:v>65.745</x:v>
      </x:c>
      <x:c r="I58" s="9" t="s">
        <x:v>111</x:v>
      </x:c>
    </x:row>
    <x:row r="59" ht="15" hidden="0">
      <x:c r="A59" s="193" t="s">
        <x:v>184</x:v>
      </x:c>
      <x:c r="B59" s="195" t="s">
        <x:v>428</x:v>
      </x:c>
      <x:c r="C59" s="26" t="n">
        <x:v>1422.867</x:v>
      </x:c>
      <x:c r="D59" s="26" t="n">
        <x:v>1916.072</x:v>
      </x:c>
      <x:c r="E59" s="26" t="n">
        <x:v>5496.191</x:v>
      </x:c>
      <x:c r="F59" s="26" t="n">
        <x:v>9229.664</x:v>
      </x:c>
      <x:c r="G59" s="26" t="n">
        <x:v>16195.618</x:v>
      </x:c>
      <x:c r="H59" s="26" t="n">
        <x:v>22738.018</x:v>
      </x:c>
      <x:c r="I59" s="9" t="s">
        <x:v>111</x:v>
      </x:c>
    </x:row>
    <x:row r="60" ht="15" hidden="0">
      <x:c r="A60" s="193" t="s">
        <x:v>186</x:v>
      </x:c>
      <x:c r="B60" s="195" t="s">
        <x:v>429</x:v>
      </x:c>
      <x:c r="C60" s="26" t="n">
        <x:v>0</x:v>
      </x:c>
      <x:c r="D60" s="26" t="n">
        <x:v>0</x:v>
      </x:c>
      <x:c r="E60" s="26" t="n">
        <x:v>0</x:v>
      </x:c>
      <x:c r="F60" s="26" t="n">
        <x:v>0</x:v>
      </x:c>
      <x:c r="G60" s="26" t="n">
        <x:v>0</x:v>
      </x:c>
      <x:c r="H60" s="26" t="n">
        <x:v>0</x:v>
      </x:c>
      <x:c r="I60" s="9" t="s">
        <x:v>111</x:v>
      </x:c>
    </x:row>
    <x:row r="61" ht="15" hidden="0">
      <x:c r="A61" s="198" t="s">
        <x:v>188</x:v>
      </x:c>
      <x:c r="B61" s="195" t="s">
        <x:v>189</x:v>
      </x:c>
      <x:c r="C61" s="28" t="n">
        <x:f aca="0">C50+C52+C53+C54+C55+C56+C57+C58+C59+C60</x:f>
        <x:v>28955.352</x:v>
      </x:c>
      <x:c r="D61" s="28" t="n">
        <x:f aca="0">D50+D52+D53+D54+D55+D56+D57+D58+D59+D60</x:f>
        <x:v>30387.065999999995</x:v>
      </x:c>
      <x:c r="E61" s="28" t="n">
        <x:f aca="0">E50+E52+E53+E54+E55+E56+E57+E58+E59+E60</x:f>
        <x:v>30361.358</x:v>
      </x:c>
      <x:c r="F61" s="28" t="n">
        <x:f aca="0">F50+F52+F53+F54+F55+F56+F57+F58+F59+F60</x:f>
        <x:v>46180.879</x:v>
      </x:c>
      <x:c r="G61" s="28" t="n">
        <x:f aca="0">G50+G52+G53+G54+G55+G56+G57+G58+G59+G60</x:f>
        <x:v>54188.473</x:v>
      </x:c>
      <x:c r="H61" s="28" t="n">
        <x:f aca="0">H50+H52+H53+H54+H55+H56+H57+H58+H59+H60</x:f>
        <x:v>58641.383</x:v>
      </x:c>
      <x:c r="I61" s="9" t="s">
        <x:v>111</x:v>
      </x:c>
      <x:c r="J61" s="9" t="s">
        <x:v>190</x:v>
      </x:c>
    </x:row>
    <x:row r="62" ht="15" hidden="0">
      <x:c r="A62" s="198" t="s">
        <x:v>191</x:v>
      </x:c>
      <x:c r="B62" s="195" t="s">
        <x:v>192</x:v>
      </x:c>
      <x:c r="C62" s="28" t="n">
        <x:f aca="0">C48+C61</x:f>
        <x:v>36684.213</x:v>
      </x:c>
      <x:c r="D62" s="28" t="n">
        <x:f aca="0">D48+D61</x:f>
        <x:v>43167.804</x:v>
      </x:c>
      <x:c r="E62" s="28" t="n">
        <x:f aca="0">E48+E61</x:f>
        <x:v>56422.044</x:v>
      </x:c>
      <x:c r="F62" s="28" t="n">
        <x:f aca="0">F48+F61</x:f>
        <x:v>75712.741</x:v>
      </x:c>
      <x:c r="G62" s="28" t="n">
        <x:f aca="0">G48+G61</x:f>
        <x:v>86256.813</x:v>
      </x:c>
      <x:c r="H62" s="28" t="n">
        <x:f aca="0">H48+H61</x:f>
        <x:v>90837.63</x:v>
      </x:c>
      <x:c r="I62" s="9" t="s">
        <x:v>111</x:v>
      </x:c>
    </x:row>
    <x:row r="63" ht="15" hidden="0">
      <x:c r="A63" s="198" t="s">
        <x:v>193</x:v>
      </x:c>
      <x:c r="B63" s="195" t="s">
        <x:v>194</x:v>
      </x:c>
      <x:c r="C63" s="28" t="n">
        <x:f aca="0">C41+C62</x:f>
        <x:v>135868.07400000002</x:v>
      </x:c>
      <x:c r="D63" s="28" t="n">
        <x:f aca="0">D41+D62</x:f>
        <x:v>156368.062</x:v>
      </x:c>
      <x:c r="E63" s="28" t="n">
        <x:f aca="0">E41+E62</x:f>
        <x:v>184962.368</x:v>
      </x:c>
      <x:c r="F63" s="28" t="n">
        <x:f aca="0">F41+F62</x:f>
        <x:v>213079.06699999998</x:v>
      </x:c>
      <x:c r="G63" s="28" t="n">
        <x:f aca="0">G41+G62</x:f>
        <x:v>234018.09</x:v>
      </x:c>
      <x:c r="H63" s="28" t="n">
        <x:f aca="0">H41+H62</x:f>
        <x:v>266748.03</x:v>
      </x:c>
      <x:c r="I63" s="9" t="s">
        <x:v>111</x:v>
      </x:c>
    </x:row>
    <x:row r="64" ht="15" hidden="0">
      <x:c r="A64" s="201" t="s">
        <x:v>195</x:v>
      </x:c>
      <x:c r="B64" s="202"/>
      <x:c r="C64" s="25"/>
      <x:c r="D64" s="25"/>
      <x:c r="E64" s="25"/>
      <x:c r="F64" s="25"/>
      <x:c r="G64" s="25"/>
      <x:c r="H64" s="25"/>
      <x:c r="I64" s="25"/>
      <x:c r="J64" s="25"/>
    </x:row>
    <x:row r="65" ht="15" hidden="0">
      <x:c r="A65" s="193" t="s">
        <x:v>196</x:v>
      </x:c>
      <x:c r="B65" s="195" t="s">
        <x:v>197</x:v>
      </x:c>
      <x:c r="C65" s="27" t="n">
        <x:f aca="0">C30+C31</x:f>
        <x:v>9435.722</x:v>
      </x:c>
      <x:c r="D65" s="27" t="n">
        <x:f aca="0">D30+D31</x:f>
        <x:v>13631.61</x:v>
      </x:c>
      <x:c r="E65" s="27" t="n">
        <x:f aca="0">E30+E31</x:f>
        <x:v>18378.207000000002</x:v>
      </x:c>
      <x:c r="F65" s="27" t="n">
        <x:f aca="0">F30+F31</x:f>
        <x:v>20132.525</x:v>
      </x:c>
      <x:c r="G65" s="27" t="n">
        <x:f aca="0">G30+G31</x:f>
        <x:v>23097.247</x:v>
      </x:c>
      <x:c r="H65" s="27" t="n">
        <x:f aca="0">H30+H31</x:f>
        <x:v>24669.707000000002</x:v>
      </x:c>
      <x:c r="I65" s="9" t="s">
        <x:v>111</x:v>
      </x:c>
    </x:row>
    <x:row r="66" ht="15" hidden="0">
      <x:c r="A66" s="193" t="s">
        <x:v>198</x:v>
      </x:c>
      <x:c r="B66" s="195" t="s">
        <x:v>199</x:v>
      </x:c>
      <x:c r="C66" s="27" t="n">
        <x:f aca="0">C43+C44+C54+C55+C56-C251-C252</x:f>
        <x:v>8378.632000000001</x:v>
      </x:c>
      <x:c r="D66" s="27" t="n">
        <x:f aca="0">D43+D44+D54+D55+D56-D251-D252</x:f>
        <x:v>10490.952</x:v>
      </x:c>
      <x:c r="E66" s="27" t="n">
        <x:f aca="0">E43+E44+E54+E55+E56-E251-E252</x:f>
        <x:v>15595.648</x:v>
      </x:c>
      <x:c r="F66" s="27" t="n">
        <x:f aca="0">F43+F44+F54+F55+F56-F251-F252</x:f>
        <x:v>21041.947</x:v>
      </x:c>
      <x:c r="G66" s="27" t="n">
        <x:f aca="0">G43+G44+G54+G55+G56-G251-G252</x:f>
        <x:v>20344.784000000003</x:v>
      </x:c>
      <x:c r="H66" s="27" t="n">
        <x:f aca="0">H43+H44+H54+H55+H56-H251-H252</x:f>
        <x:v>17535.607</x:v>
      </x:c>
      <x:c r="I66" s="9" t="s">
        <x:v>111</x:v>
      </x:c>
    </x:row>
    <x:row r="67" ht="15" hidden="0">
      <x:c r="A67" s="193" t="s">
        <x:v>200</x:v>
      </x:c>
      <x:c r="B67" s="195" t="s">
        <x:v>201</x:v>
      </x:c>
      <x:c r="C67" s="27" t="n">
        <x:f aca="0">C43+C44</x:f>
        <x:v>320.461</x:v>
      </x:c>
      <x:c r="D67" s="27" t="n">
        <x:f aca="0">D43+D44</x:f>
        <x:v>2934.044</x:v>
      </x:c>
      <x:c r="E67" s="27" t="n">
        <x:f aca="0">E43+E44</x:f>
        <x:v>14108.446</x:v>
      </x:c>
      <x:c r="F67" s="27" t="n">
        <x:f aca="0">F43+F44</x:f>
        <x:v>14557.294</x:v>
      </x:c>
      <x:c r="G67" s="27" t="n">
        <x:f aca="0">G43+G44</x:f>
        <x:v>12760.637</x:v>
      </x:c>
      <x:c r="H67" s="27" t="n">
        <x:f aca="0">H43+H44</x:f>
        <x:v>9184.522</x:v>
      </x:c>
      <x:c r="I67" s="9" t="s">
        <x:v>111</x:v>
      </x:c>
    </x:row>
    <x:row r="68" ht="15" hidden="0">
      <x:c r="A68" s="193"/>
      <x:c r="B68" s="195"/>
      <x:c r="C68" s="27">
        <x:f aca="0"/>
      </x:c>
      <x:c r="D68" s="27">
        <x:f aca="0"/>
      </x:c>
      <x:c r="E68" s="27">
        <x:f aca="0"/>
      </x:c>
      <x:c r="F68" s="27">
        <x:f aca="0"/>
      </x:c>
      <x:c r="G68" s="27">
        <x:f aca="0"/>
      </x:c>
      <x:c r="H68" s="27">
        <x:f aca="0"/>
      </x:c>
      <x:c r="I68" s="9" t="s">
        <x:v>111</x:v>
      </x:c>
    </x:row>
    <x:row r="69" ht="15" hidden="0">
      <x:c r="A69" s="193"/>
      <x:c r="B69" s="195"/>
      <x:c r="C69" s="27">
        <x:f aca="0"/>
      </x:c>
      <x:c r="D69" s="27">
        <x:f aca="0"/>
      </x:c>
      <x:c r="E69" s="27">
        <x:f aca="0"/>
      </x:c>
      <x:c r="F69" s="27">
        <x:f aca="0"/>
      </x:c>
      <x:c r="G69" s="27">
        <x:f aca="0"/>
      </x:c>
      <x:c r="H69" s="27">
        <x:f aca="0"/>
      </x:c>
      <x:c r="I69" s="9" t="s">
        <x:v>111</x:v>
      </x:c>
    </x:row>
    <x:row r="70" ht="15" hidden="0">
      <x:c r="A70" s="193" t="s">
        <x:v>202</x:v>
      </x:c>
      <x:c r="B70" s="195" t="s">
        <x:v>203</x:v>
      </x:c>
      <x:c r="C70" s="27" t="n">
        <x:f aca="0">C66+C41</x:f>
        <x:v>107562.493</x:v>
      </x:c>
      <x:c r="D70" s="27" t="n">
        <x:f aca="0">D66+D41</x:f>
        <x:v>123691.21</x:v>
      </x:c>
      <x:c r="E70" s="27" t="n">
        <x:f aca="0">E66+E41</x:f>
        <x:v>144135.97199999998</x:v>
      </x:c>
      <x:c r="F70" s="27" t="n">
        <x:f aca="0">F66+F41</x:f>
        <x:v>158408.273</x:v>
      </x:c>
      <x:c r="G70" s="27" t="n">
        <x:f aca="0">G66+G41</x:f>
        <x:v>168106.06100000002</x:v>
      </x:c>
      <x:c r="H70" s="27" t="n">
        <x:f aca="0">H66+H41</x:f>
        <x:v>193446.00699999998</x:v>
      </x:c>
      <x:c r="I70" s="9" t="s">
        <x:v>111</x:v>
      </x:c>
    </x:row>
    <x:row r="71" ht="15" hidden="0">
      <x:c r="A71" s="193" t="s">
        <x:v>204</x:v>
      </x:c>
      <x:c r="B71" s="195" t="s">
        <x:v>205</x:v>
      </x:c>
      <x:c r="C71" s="27" t="n">
        <x:f aca="0">C37-C61</x:f>
        <x:v>106913.12199999999</x:v>
      </x:c>
      <x:c r="D71" s="27" t="n">
        <x:f aca="0">D37-D61</x:f>
        <x:v>125980.99600000001</x:v>
      </x:c>
      <x:c r="E71" s="27" t="n">
        <x:f aca="0">E37-E61</x:f>
        <x:v>154601.01</x:v>
      </x:c>
      <x:c r="F71" s="27" t="n">
        <x:f aca="0">F37-F61</x:f>
        <x:v>166898.18800000002</x:v>
      </x:c>
      <x:c r="G71" s="27" t="n">
        <x:f aca="0">G37-G61</x:f>
        <x:v>179829.617</x:v>
      </x:c>
      <x:c r="H71" s="27" t="n">
        <x:f aca="0">H37-H61</x:f>
        <x:v>208106.64700000003</x:v>
      </x:c>
      <x:c r="I71" s="9" t="s">
        <x:v>111</x:v>
      </x:c>
    </x:row>
    <x:row r="72" ht="15" hidden="0">
      <x:c r="A72" s="193" t="s">
        <x:v>206</x:v>
      </x:c>
      <x:c r="B72" s="195" t="s">
        <x:v>207</x:v>
      </x:c>
      <x:c r="C72" s="27" t="n">
        <x:f aca="0">C36-C34-C33</x:f>
        <x:v>17587.307999999997</x:v>
      </x:c>
      <x:c r="D72" s="27" t="n">
        <x:f aca="0">D36-D34-D33</x:f>
        <x:v>21623.841000000004</x:v>
      </x:c>
      <x:c r="E72" s="27" t="n">
        <x:f aca="0">E36-E34-E33</x:f>
        <x:v>28193.458000000006</x:v>
      </x:c>
      <x:c r="F72" s="27" t="n">
        <x:f aca="0">F36-F34-F33</x:f>
        <x:v>33561.965000000004</x:v>
      </x:c>
      <x:c r="G72" s="27" t="n">
        <x:f aca="0">G36-G34-G33</x:f>
        <x:v>36047.28</x:v>
      </x:c>
      <x:c r="H72" s="27" t="n">
        <x:f aca="0">H36-H34-H33</x:f>
        <x:v>36458.984000000004</x:v>
      </x:c>
      <x:c r="I72" s="9" t="s">
        <x:v>111</x:v>
      </x:c>
    </x:row>
    <x:row r="73" ht="15" hidden="0">
      <x:c r="A73" s="193" t="s">
        <x:v>208</x:v>
      </x:c>
      <x:c r="B73" s="195" t="s">
        <x:v>209</x:v>
      </x:c>
      <x:c r="C73" s="27" t="n">
        <x:f aca="0">C61-C54-C55-C56-C57-C53-C58</x:f>
        <x:v>20777.661</x:v>
      </x:c>
      <x:c r="D73" s="27" t="n">
        <x:f aca="0">D61-D54-D55-D56-D57-D53-D58</x:f>
        <x:v>22705.832</x:v>
      </x:c>
      <x:c r="E73" s="27" t="n">
        <x:f aca="0">E61-E54-E55-E56-E57-E53-E58</x:f>
        <x:v>28687.674</x:v>
      </x:c>
      <x:c r="F73" s="27" t="n">
        <x:f aca="0">F61-F54-F55-F56-F57-F53-F58</x:f>
        <x:v>39148.366</x:v>
      </x:c>
      <x:c r="G73" s="27" t="n">
        <x:f aca="0">G61-G54-G55-G56-G57-G53-G58</x:f>
        <x:v>46202.243</x:v>
      </x:c>
      <x:c r="H73" s="27" t="n">
        <x:f aca="0">H61-H54-H55-H56-H57-H53-H58</x:f>
        <x:v>50038.937</x:v>
      </x:c>
      <x:c r="I73" s="9" t="s">
        <x:v>111</x:v>
      </x:c>
    </x:row>
    <x:row r="74" ht="15" hidden="0">
      <x:c r="A74" s="201" t="s">
        <x:v>210</x:v>
      </x:c>
      <x:c r="B74" s="202"/>
      <x:c r="C74" s="25"/>
      <x:c r="D74" s="25"/>
      <x:c r="E74" s="25"/>
      <x:c r="F74" s="25"/>
      <x:c r="G74" s="25"/>
      <x:c r="H74" s="25"/>
      <x:c r="I74" s="25"/>
      <x:c r="J74" s="25"/>
    </x:row>
    <x:row r="75" ht="15" hidden="0">
      <x:c r="A75" s="193" t="s">
        <x:v>211</x:v>
      </x:c>
      <x:c r="B75" s="195" t="s">
        <x:v>430</x:v>
      </x:c>
      <x:c r="C75" s="26" t="n">
        <x:v>135868.474</x:v>
      </x:c>
      <x:c r="D75" s="26" t="n">
        <x:v>156368.062</x:v>
      </x:c>
      <x:c r="E75" s="26" t="n">
        <x:v>184962.368</x:v>
      </x:c>
      <x:c r="F75" s="26" t="n">
        <x:v>213079.067</x:v>
      </x:c>
      <x:c r="G75" s="26" t="n">
        <x:v>234018.09</x:v>
      </x:c>
      <x:c r="H75" s="26" t="n">
        <x:v>266748.03</x:v>
      </x:c>
      <x:c r="I75" s="9" t="s">
        <x:v>111</x:v>
      </x:c>
    </x:row>
    <x:row r="76" ht="15" hidden="0">
      <x:c r="A76" s="193" t="s">
        <x:v>213</x:v>
      </x:c>
      <x:c r="B76" s="195" t="s">
        <x:v>431</x:v>
      </x:c>
      <x:c r="C76" s="26" t="n">
        <x:v>99183.861</x:v>
      </x:c>
      <x:c r="D76" s="26" t="n">
        <x:v>113200.258</x:v>
      </x:c>
      <x:c r="E76" s="26" t="n">
        <x:v>128540.324</x:v>
      </x:c>
      <x:c r="F76" s="26" t="n">
        <x:v>137366.326</x:v>
      </x:c>
      <x:c r="G76" s="26" t="n">
        <x:v>147761.277</x:v>
      </x:c>
      <x:c r="H76" s="26" t="n">
        <x:v>175910.4</x:v>
      </x:c>
      <x:c r="I76" s="9" t="s">
        <x:v>111</x:v>
      </x:c>
    </x:row>
    <x:row r="77" ht="15" hidden="0">
      <x:c r="A77" s="193" t="s">
        <x:v>215</x:v>
      </x:c>
      <x:c r="B77" s="195" t="s">
        <x:v>432</x:v>
      </x:c>
      <x:c r="C77" s="26" t="n">
        <x:v>28374.913</x:v>
      </x:c>
      <x:c r="D77" s="26" t="n">
        <x:v>40676.368</x:v>
      </x:c>
      <x:c r="E77" s="26" t="n">
        <x:v>44815.691</x:v>
      </x:c>
      <x:c r="F77" s="26" t="n">
        <x:v>59576.642</x:v>
      </x:c>
      <x:c r="G77" s="26" t="n">
        <x:v>68452.084</x:v>
      </x:c>
      <x:c r="H77" s="26" t="n">
        <x:v>100547.359</x:v>
      </x:c>
      <x:c r="I77" s="9" t="s">
        <x:v>111</x:v>
      </x:c>
    </x:row>
    <x:row r="78" ht="15" hidden="0">
      <x:c r="A78" s="193" t="s">
        <x:v>217</x:v>
      </x:c>
      <x:c r="B78" s="195" t="s">
        <x:v>433</x:v>
      </x:c>
      <x:c r="C78" s="26" t="n">
        <x:v>28955.352</x:v>
      </x:c>
      <x:c r="D78" s="26" t="n">
        <x:v>30387.066</x:v>
      </x:c>
      <x:c r="E78" s="26" t="n">
        <x:v>30361.358</x:v>
      </x:c>
      <x:c r="F78" s="26" t="n">
        <x:v>46180.879</x:v>
      </x:c>
      <x:c r="G78" s="26" t="n">
        <x:v>54188.473</x:v>
      </x:c>
      <x:c r="H78" s="26" t="n">
        <x:v>58641.383</x:v>
      </x:c>
      <x:c r="I78" s="9" t="s">
        <x:v>111</x:v>
      </x:c>
    </x:row>
    <x:row r="79" ht="15" hidden="0">
      <x:c r="A79" s="193" t="s">
        <x:v>219</x:v>
      </x:c>
      <x:c r="B79" s="195" t="s">
        <x:v>220</x:v>
      </x:c>
      <x:c r="C79" s="29" t="str">
        <x:f aca="0">IF(ABS(C37-C63)&lt;0.005,"PASS","FAIL")</x:f>
        <x:v>FAIL</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s="193" t="s">
        <x:v>221</x:v>
      </x:c>
      <x:c r="B80" s="195" t="s">
        <x:v>220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s="193" t="s">
        <x:v>222</x:v>
      </x:c>
      <x:c r="B81" s="195" t="s">
        <x:v>220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2">
      <x:c r="A82" s="193"/>
      <x:c r="B82" s="193"/>
    </x:row>
    <x:row r="83" ht="15" hidden="0">
      <x:c r="A83" s="196" t="s">
        <x:v>223</x:v>
      </x:c>
      <x:c r="B83" s="197"/>
      <x:c r="C83" s="20"/>
      <x:c r="D83" s="20"/>
      <x:c r="E83" s="20"/>
      <x:c r="F83" s="20"/>
      <x:c r="G83" s="20"/>
      <x:c r="H83" s="20"/>
      <x:c r="I83" s="20"/>
      <x:c r="J83" s="20"/>
    </x:row>
    <x:row r="84" ht="15" hidden="0">
      <x:c r="A84" s="193" t="s">
        <x:v>224</x:v>
      </x:c>
      <x:c r="B84" s="195" t="s">
        <x:v>434</x:v>
      </x:c>
      <x:c r="C84" s="30"/>
      <x:c r="D84" s="26" t="n">
        <x:v>62940.805</x:v>
      </x:c>
      <x:c r="E84" s="26" t="n">
        <x:v>81093.525</x:v>
      </x:c>
      <x:c r="F84" s="26" t="n">
        <x:v>95832.147</x:v>
      </x:c>
      <x:c r="G84" s="26" t="n">
        <x:v>115324.942</x:v>
      </x:c>
      <x:c r="H84" s="26" t="n">
        <x:v>124511.744</x:v>
      </x:c>
      <x:c r="I84" s="9" t="s">
        <x:v>111</x:v>
      </x:c>
    </x:row>
    <x:row r="85" ht="15" hidden="0">
      <x:c r="A85" s="193" t="s">
        <x:v>226</x:v>
      </x:c>
      <x:c r="B85" s="195" t="s">
        <x:v>435</x:v>
      </x:c>
      <x:c r="C85" s="30"/>
      <x:c r="D85" s="26" t="n">
        <x:v>-43984.873</x:v>
      </x:c>
      <x:c r="E85" s="26" t="n">
        <x:v>-58541.684</x:v>
      </x:c>
      <x:c r="F85" s="26" t="n">
        <x:v>-69771.469</x:v>
      </x:c>
      <x:c r="G85" s="26" t="n">
        <x:v>-76520.37</x:v>
      </x:c>
      <x:c r="H85" s="26" t="n">
        <x:v>-81827.06</x:v>
      </x:c>
      <x:c r="I85" s="9" t="s">
        <x:v>111</x:v>
      </x:c>
    </x:row>
    <x:row r="86" ht="15" hidden="0">
      <x:c r="A86" s="198" t="s">
        <x:v>228</x:v>
      </x:c>
      <x:c r="B86" s="195" t="s">
        <x:v>229</x:v>
      </x:c>
      <x:c r="C86" s="31"/>
      <x:c r="D86" s="28" t="n">
        <x:f aca="0">D84+D85</x:f>
        <x:v>18955.932</x:v>
      </x:c>
      <x:c r="E86" s="28" t="n">
        <x:f aca="0">E84+E85</x:f>
        <x:v>22551.840999999993</x:v>
      </x:c>
      <x:c r="F86" s="28" t="n">
        <x:f aca="0">F84+F85</x:f>
        <x:v>26060.678</x:v>
      </x:c>
      <x:c r="G86" s="28" t="n">
        <x:f aca="0">G84+G85</x:f>
        <x:v>38804.572</x:v>
      </x:c>
      <x:c r="H86" s="28" t="n">
        <x:f aca="0">H84+H85</x:f>
        <x:v>42684.68400000001</x:v>
      </x:c>
      <x:c r="I86" s="9" t="s">
        <x:v>111</x:v>
      </x:c>
    </x:row>
    <x:row r="87" ht="15" hidden="0">
      <x:c r="A87" s="193" t="s">
        <x:v>230</x:v>
      </x:c>
      <x:c r="B87" s="195" t="s">
        <x:v>436</x:v>
      </x:c>
      <x:c r="C87" s="30"/>
      <x:c r="D87" s="26" t="n">
        <x:v>-4859.096</x:v>
      </x:c>
      <x:c r="E87" s="26" t="n">
        <x:v>-4764.574</x:v>
      </x:c>
      <x:c r="F87" s="26" t="n">
        <x:v>-5326.894</x:v>
      </x:c>
      <x:c r="G87" s="26" t="n">
        <x:v>-7773.885</x:v>
      </x:c>
      <x:c r="H87" s="26" t="n">
        <x:v>-8972.815</x:v>
      </x:c>
      <x:c r="I87" s="9" t="s">
        <x:v>111</x:v>
      </x:c>
    </x:row>
    <x:row r="88" ht="15" hidden="0">
      <x:c r="A88" s="193" t="s">
        <x:v>232</x:v>
      </x:c>
      <x:c r="B88" s="195" t="s">
        <x:v>437</x:v>
      </x:c>
      <x:c r="C88" s="30"/>
      <x:c r="D88" s="26" t="n">
        <x:v>-1257.074</x:v>
      </x:c>
      <x:c r="E88" s="26" t="n">
        <x:v>-1512.279</x:v>
      </x:c>
      <x:c r="F88" s="26" t="n">
        <x:v>-1825.578</x:v>
      </x:c>
      <x:c r="G88" s="26" t="n">
        <x:v>-2160.682</x:v>
      </x:c>
      <x:c r="H88" s="26" t="n">
        <x:v>-2427.249</x:v>
      </x:c>
      <x:c r="I88" s="9" t="s">
        <x:v>111</x:v>
      </x:c>
    </x:row>
    <x:row r="89" ht="15" hidden="0">
      <x:c r="A89" s="193" t="s">
        <x:v>234</x:v>
      </x:c>
      <x:c r="B89" s="195" t="s">
        <x:v>438</x:v>
      </x:c>
      <x:c r="C89" s="30"/>
      <x:c r="D89" s="26" t="n">
        <x:v>0</x:v>
      </x:c>
      <x:c r="E89" s="26" t="n">
        <x:v>0</x:v>
      </x:c>
      <x:c r="F89" s="26" t="n">
        <x:v>0</x:v>
      </x:c>
      <x:c r="G89" s="26" t="n">
        <x:v>0</x:v>
      </x:c>
      <x:c r="H89" s="26" t="n">
        <x:v>0</x:v>
      </x:c>
      <x:c r="I89" s="9" t="s">
        <x:v>111</x:v>
      </x:c>
    </x:row>
    <x:row r="90" ht="15" hidden="0">
      <x:c r="A90" s="193" t="s">
        <x:v>236</x:v>
      </x:c>
      <x:c r="B90" s="195" t="s">
        <x:v>439</x:v>
      </x:c>
      <x:c r="C90" s="30"/>
      <x:c r="D90" s="26" t="n">
        <x:v>-1507.673</x:v>
      </x:c>
      <x:c r="E90" s="26" t="n">
        <x:v>-1847.039</x:v>
      </x:c>
      <x:c r="F90" s="26" t="n">
        <x:v>-2442.585</x:v>
      </x:c>
      <x:c r="G90" s="26" t="n">
        <x:v>-2476.636</x:v>
      </x:c>
      <x:c r="H90" s="26" t="n">
        <x:v>-3056.913</x:v>
      </x:c>
      <x:c r="I90" s="9" t="s">
        <x:v>111</x:v>
      </x:c>
    </x:row>
    <x:row r="91" ht="15" hidden="0">
      <x:c r="A91" s="193" t="s">
        <x:v>238</x:v>
      </x:c>
      <x:c r="B91" s="195" t="s">
        <x:v>239</x:v>
      </x:c>
      <x:c r="C91" s="30"/>
      <x:c r="D91" s="27" t="n">
        <x:f aca="0">D86+D87+D88+D89+D90</x:f>
        <x:v>11332.089</x:v>
      </x:c>
      <x:c r="E91" s="27" t="n">
        <x:f aca="0">E86+E87+E88+E89+E90</x:f>
        <x:v>14427.948999999991</x:v>
      </x:c>
      <x:c r="F91" s="27" t="n">
        <x:f aca="0">F86+F87+F88+F89+F90</x:f>
        <x:v>16465.621</x:v>
      </x:c>
      <x:c r="G91" s="27" t="n">
        <x:f aca="0">G86+G87+G88+G89+G90</x:f>
        <x:v>26393.369</x:v>
      </x:c>
      <x:c r="H91" s="27" t="n">
        <x:f aca="0">H86+H87+H88+H89+H90</x:f>
        <x:v>28227.707000000006</x:v>
      </x:c>
      <x:c r="I91" s="9" t="s">
        <x:v>111</x:v>
      </x:c>
    </x:row>
    <x:row r="92" ht="15" hidden="0">
      <x:c r="A92" s="193" t="s">
        <x:v>240</x:v>
      </x:c>
      <x:c r="B92" s="195" t="s">
        <x:v>440</x:v>
      </x:c>
      <x:c r="C92" s="30"/>
      <x:c r="D92" s="26" t="n">
        <x:v>5993.029</x:v>
      </x:c>
      <x:c r="E92" s="26" t="n">
        <x:v>7387.8</x:v>
      </x:c>
      <x:c r="F92" s="26" t="n">
        <x:v>6047.423</x:v>
      </x:c>
      <x:c r="G92" s="26" t="n">
        <x:v>16575.363</x:v>
      </x:c>
      <x:c r="H92" s="26" t="n">
        <x:v>20465.921</x:v>
      </x:c>
      <x:c r="I92" s="9" t="s">
        <x:v>111</x:v>
      </x:c>
    </x:row>
    <x:row r="93" ht="15" hidden="0">
      <x:c r="A93" s="193" t="s">
        <x:v>242</x:v>
      </x:c>
      <x:c r="B93" s="195" t="s">
        <x:v>441</x:v>
      </x:c>
      <x:c r="C93" s="30"/>
      <x:c r="D93" s="26" t="n">
        <x:v>0</x:v>
      </x:c>
      <x:c r="E93" s="26" t="n">
        <x:v>0</x:v>
      </x:c>
      <x:c r="F93" s="26" t="n">
        <x:v>0</x:v>
      </x:c>
      <x:c r="G93" s="26" t="n">
        <x:v>0</x:v>
      </x:c>
      <x:c r="H93" s="26" t="n">
        <x:v>0</x:v>
      </x:c>
      <x:c r="I93" s="9" t="s">
        <x:v>111</x:v>
      </x:c>
    </x:row>
    <x:row r="94" ht="15" hidden="0">
      <x:c r="A94" s="193" t="s">
        <x:v>244</x:v>
      </x:c>
      <x:c r="B94" s="195" t="s">
        <x:v>442</x:v>
      </x:c>
      <x:c r="C94" s="30"/>
      <x:c r="D94" s="26" t="n">
        <x:v>0</x:v>
      </x:c>
      <x:c r="E94" s="26" t="n">
        <x:v>0</x:v>
      </x:c>
      <x:c r="F94" s="26" t="n">
        <x:v>0</x:v>
      </x:c>
      <x:c r="G94" s="26" t="n">
        <x:v>0</x:v>
      </x:c>
      <x:c r="H94" s="26" t="n">
        <x:v>0</x:v>
      </x:c>
      <x:c r="I94" s="9" t="s">
        <x:v>111</x:v>
      </x:c>
    </x:row>
    <x:row r="95" ht="15" hidden="0">
      <x:c r="A95" s="193" t="s">
        <x:v>246</x:v>
      </x:c>
      <x:c r="B95" s="195" t="s">
        <x:v>443</x:v>
      </x:c>
      <x:c r="C95" s="30"/>
      <x:c r="D95" s="26" t="n">
        <x:v>-332.905</x:v>
      </x:c>
      <x:c r="E95" s="26" t="n">
        <x:v>-394.517</x:v>
      </x:c>
      <x:c r="F95" s="26" t="n">
        <x:v>-1169.77</x:v>
      </x:c>
      <x:c r="G95" s="26" t="n">
        <x:v>-1581.168</x:v>
      </x:c>
      <x:c r="H95" s="26" t="n">
        <x:v>-1370.569</x:v>
      </x:c>
      <x:c r="I95" s="9" t="s">
        <x:v>111</x:v>
      </x:c>
    </x:row>
    <x:row r="96" ht="15" hidden="0">
      <x:c r="A96" s="198" t="s">
        <x:v>248</x:v>
      </x:c>
      <x:c r="B96" s="195" t="s">
        <x:v>249</x:v>
      </x:c>
      <x:c r="C96" s="31"/>
      <x:c r="D96" s="28" t="n">
        <x:f aca="0">D91+D92+D93+D94+D95</x:f>
        <x:v>16992.213000000003</x:v>
      </x:c>
      <x:c r="E96" s="28" t="n">
        <x:f aca="0">E91+E92+E93+E94+E95</x:f>
        <x:v>21421.231999999993</x:v>
      </x:c>
      <x:c r="F96" s="28" t="n">
        <x:f aca="0">F91+F92+F93+F94+F95</x:f>
        <x:v>21343.273999999998</x:v>
      </x:c>
      <x:c r="G96" s="28" t="n">
        <x:f aca="0">G91+G92+G93+G94+G95</x:f>
        <x:v>41387.564000000006</x:v>
      </x:c>
      <x:c r="H96" s="28" t="n">
        <x:f aca="0">H91+H92+H93+H94+H95</x:f>
        <x:v>47323.059</x:v>
      </x:c>
      <x:c r="I96" s="9" t="s">
        <x:v>111</x:v>
      </x:c>
    </x:row>
    <x:row r="97" ht="15" hidden="0">
      <x:c r="A97" s="193" t="s">
        <x:v>250</x:v>
      </x:c>
      <x:c r="B97" s="195" t="s">
        <x:v>444</x:v>
      </x:c>
      <x:c r="C97" s="30"/>
      <x:c r="D97" s="26" t="n">
        <x:v>0</x:v>
      </x:c>
      <x:c r="E97" s="26" t="n">
        <x:v>0</x:v>
      </x:c>
      <x:c r="F97" s="26" t="n">
        <x:v>-437.833</x:v>
      </x:c>
      <x:c r="G97" s="26" t="n">
        <x:v>-953.051</x:v>
      </x:c>
      <x:c r="H97" s="26" t="n">
        <x:v>-329.6</x:v>
      </x:c>
      <x:c r="I97" s="9" t="s">
        <x:v>111</x:v>
      </x:c>
    </x:row>
    <x:row r="98" ht="15" hidden="0">
      <x:c r="A98" s="193" t="s">
        <x:v>252</x:v>
      </x:c>
      <x:c r="B98" s="195" t="s">
        <x:v>445</x:v>
      </x:c>
      <x:c r="C98" s="30"/>
      <x:c r="D98" s="26" t="n">
        <x:v>-2922.024</x:v>
      </x:c>
      <x:c r="E98" s="26" t="n">
        <x:v>-6122.614</x:v>
      </x:c>
      <x:c r="F98" s="26" t="n">
        <x:v>-7179.627</x:v>
      </x:c>
      <x:c r="G98" s="26" t="n">
        <x:v>-12327.974</x:v>
      </x:c>
      <x:c r="H98" s="26" t="n">
        <x:v>-13901.297</x:v>
      </x:c>
      <x:c r="I98" s="9" t="s">
        <x:v>111</x:v>
      </x:c>
    </x:row>
    <x:row r="99" ht="15" hidden="0">
      <x:c r="A99" s="198" t="s">
        <x:v>254</x:v>
      </x:c>
      <x:c r="B99" s="195" t="s">
        <x:v>255</x:v>
      </x:c>
      <x:c r="C99" s="31"/>
      <x:c r="D99" s="28" t="n">
        <x:f aca="0">D96+D97+D98</x:f>
        <x:v>14070.189000000004</x:v>
      </x:c>
      <x:c r="E99" s="28" t="n">
        <x:f aca="0">E96+E97+E98</x:f>
        <x:v>15298.617999999993</x:v>
      </x:c>
      <x:c r="F99" s="28" t="n">
        <x:f aca="0">F96+F97+F98</x:f>
        <x:v>13725.813999999998</x:v>
      </x:c>
      <x:c r="G99" s="28" t="n">
        <x:f aca="0">G96+G97+G98</x:f>
        <x:v>28106.539000000004</x:v>
      </x:c>
      <x:c r="H99" s="28" t="n">
        <x:f aca="0">H96+H97+H98</x:f>
        <x:v>33092.162000000004</x:v>
      </x:c>
      <x:c r="I99" s="9" t="s">
        <x:v>111</x:v>
      </x:c>
    </x:row>
    <x:row r="100" ht="15" hidden="0">
      <x:c r="A100" s="193" t="s">
        <x:v>256</x:v>
      </x:c>
      <x:c r="B100" s="195" t="s">
        <x:v>446</x:v>
      </x:c>
      <x:c r="C100" s="30"/>
      <x:c r="D100" s="26" t="n">
        <x:v>18955.932</x:v>
      </x:c>
      <x:c r="E100" s="26" t="n">
        <x:v>22551.841</x:v>
      </x:c>
      <x:c r="F100" s="26" t="n">
        <x:v>26060.678</x:v>
      </x:c>
      <x:c r="G100" s="26" t="n">
        <x:v>38804.572</x:v>
      </x:c>
      <x:c r="H100" s="26" t="n">
        <x:v>42684.684</x:v>
      </x:c>
      <x:c r="I100" s="9" t="s">
        <x:v>111</x:v>
      </x:c>
    </x:row>
    <x:row r="101" ht="15" hidden="0">
      <x:c r="A101" s="193" t="s">
        <x:v>258</x:v>
      </x:c>
      <x:c r="B101" s="195" t="s">
        <x:v>447</x:v>
      </x:c>
      <x:c r="C101" s="30"/>
      <x:c r="D101" s="26" t="n">
        <x:v>16992.213</x:v>
      </x:c>
      <x:c r="E101" s="26" t="n">
        <x:v>21421.232</x:v>
      </x:c>
      <x:c r="F101" s="26" t="n">
        <x:v>21343.274</x:v>
      </x:c>
      <x:c r="G101" s="26" t="n">
        <x:v>41387.564</x:v>
      </x:c>
      <x:c r="H101" s="26" t="n">
        <x:v>47323.059</x:v>
      </x:c>
      <x:c r="I101" s="9" t="s">
        <x:v>111</x:v>
      </x:c>
    </x:row>
    <x:row r="102" ht="15" hidden="0">
      <x:c r="A102" s="193" t="s">
        <x:v>260</x:v>
      </x:c>
      <x:c r="B102" s="195" t="s">
        <x:v>448</x:v>
      </x:c>
      <x:c r="C102" s="30"/>
      <x:c r="D102" s="26" t="n">
        <x:v>14070.189</x:v>
      </x:c>
      <x:c r="E102" s="26" t="n">
        <x:v>15298.618</x:v>
      </x:c>
      <x:c r="F102" s="26" t="n">
        <x:v>13725.814</x:v>
      </x:c>
      <x:c r="G102" s="26" t="n">
        <x:v>28106.539</x:v>
      </x:c>
      <x:c r="H102" s="26" t="n">
        <x:v>33092.162</x:v>
      </x:c>
      <x:c r="I102" s="9" t="s">
        <x:v>111</x:v>
      </x:c>
    </x:row>
    <x:row r="103" ht="15" hidden="0">
      <x:c r="A103" s="193" t="s">
        <x:v>262</x:v>
      </x:c>
      <x:c r="B103" s="195" t="s">
        <x:v>220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01" t="s">
        <x:v>263</x:v>
      </x:c>
      <x:c r="B104" s="202"/>
      <x:c r="C104" s="25"/>
      <x:c r="D104" s="25"/>
      <x:c r="E104" s="25"/>
      <x:c r="F104" s="25"/>
      <x:c r="G104" s="25"/>
      <x:c r="H104" s="25"/>
      <x:c r="I104" s="25"/>
      <x:c r="J104" s="25"/>
    </x:row>
    <x:row r="105" ht="15" hidden="0">
      <x:c r="A105" s="193" t="s">
        <x:v>264</x:v>
      </x:c>
      <x:c r="B105" s="195" t="s">
        <x:v>449</x:v>
      </x:c>
      <x:c r="C105" s="30"/>
      <x:c r="D105" s="26" t="n">
        <x:v>0</x:v>
      </x:c>
      <x:c r="E105" s="26" t="n">
        <x:v>0</x:v>
      </x:c>
      <x:c r="F105" s="26" t="n">
        <x:v>10.974</x:v>
      </x:c>
      <x:c r="G105" s="26" t="n">
        <x:v>20.633</x:v>
      </x:c>
      <x:c r="H105" s="26" t="n">
        <x:v>44.522</x:v>
      </x:c>
      <x:c r="I105" s="9" t="s">
        <x:v>111</x:v>
      </x:c>
    </x:row>
    <x:row r="106" ht="15" hidden="0">
      <x:c r="A106" s="193" t="s">
        <x:v>266</x:v>
      </x:c>
      <x:c r="B106" s="195" t="s">
        <x:v>267</x:v>
      </x:c>
      <x:c r="C106" s="30"/>
      <x:c r="D106" s="27" t="n">
        <x:f aca="0">-D95-D105</x:f>
        <x:v>332.905</x:v>
      </x:c>
      <x:c r="E106" s="27" t="n">
        <x:f aca="0">-E95-E105</x:f>
        <x:v>394.517</x:v>
      </x:c>
      <x:c r="F106" s="27" t="n">
        <x:f aca="0">-F95-F105</x:f>
        <x:v>1158.796</x:v>
      </x:c>
      <x:c r="G106" s="27" t="n">
        <x:f aca="0">-G95-G105</x:f>
        <x:v>1560.5349999999999</x:v>
      </x:c>
      <x:c r="H106" s="27" t="n">
        <x:f aca="0">-H95-H105</x:f>
        <x:v>1326.047</x:v>
      </x:c>
      <x:c r="I106" s="9" t="s">
        <x:v>111</x:v>
      </x:c>
    </x:row>
    <x:row r="107" ht="15" hidden="0">
      <x:c r="A107" s="193" t="s">
        <x:v>268</x:v>
      </x:c>
      <x:c r="B107" s="195" t="s">
        <x:v>450</x:v>
      </x:c>
      <x:c r="C107" s="30"/>
      <x:c r="D107" s="26" t="n">
        <x:v>4298.76</x:v>
      </x:c>
      <x:c r="E107" s="26" t="n">
        <x:v>4527.761</x:v>
      </x:c>
      <x:c r="F107" s="26" t="n">
        <x:v>5314.762</x:v>
      </x:c>
      <x:c r="G107" s="26" t="n">
        <x:v>6097.422</x:v>
      </x:c>
      <x:c r="H107" s="26" t="n">
        <x:v>6937.732</x:v>
      </x:c>
      <x:c r="I107" s="9" t="s">
        <x:v>111</x:v>
      </x:c>
    </x:row>
    <x:row r="108" ht="15" hidden="0">
      <x:c r="A108" s="198" t="s">
        <x:v>270</x:v>
      </x:c>
      <x:c r="B108" s="195" t="s">
        <x:v>271</x:v>
      </x:c>
      <x:c r="C108" s="31"/>
      <x:c r="D108" s="28" t="n">
        <x:f aca="0">D96-D95</x:f>
        <x:v>17325.118000000002</x:v>
      </x:c>
      <x:c r="E108" s="28" t="n">
        <x:f aca="0">E96-E95</x:f>
        <x:v>21815.748999999993</x:v>
      </x:c>
      <x:c r="F108" s="28" t="n">
        <x:f aca="0">F96-F95</x:f>
        <x:v>22513.043999999998</x:v>
      </x:c>
      <x:c r="G108" s="28" t="n">
        <x:f aca="0">G96-G95</x:f>
        <x:v>42968.732</x:v>
      </x:c>
      <x:c r="H108" s="28" t="n">
        <x:f aca="0">H96-H95</x:f>
        <x:v>48693.628000000004</x:v>
      </x:c>
      <x:c r="I108" s="9" t="s">
        <x:v>111</x:v>
      </x:c>
    </x:row>
    <x:row r="109" ht="15" hidden="0">
      <x:c r="A109" s="198" t="s">
        <x:v>272</x:v>
      </x:c>
      <x:c r="B109" s="195" t="s">
        <x:v>273</x:v>
      </x:c>
      <x:c r="C109" s="31"/>
      <x:c r="D109" s="28" t="n">
        <x:f aca="0">D108+D107</x:f>
        <x:v>21623.878000000004</x:v>
      </x:c>
      <x:c r="E109" s="28" t="n">
        <x:f aca="0">E108+E107</x:f>
        <x:v>26343.509999999995</x:v>
      </x:c>
      <x:c r="F109" s="28" t="n">
        <x:f aca="0">F108+F107</x:f>
        <x:v>27827.805999999997</x:v>
      </x:c>
      <x:c r="G109" s="28" t="n">
        <x:f aca="0">G108+G107</x:f>
        <x:v>49066.154</x:v>
      </x:c>
      <x:c r="H109" s="28" t="n">
        <x:f aca="0">H108+H107</x:f>
        <x:v>55631.36</x:v>
      </x:c>
      <x:c r="I109" s="9" t="s">
        <x:v>111</x:v>
      </x:c>
    </x:row>
    <x:row r="110" ht="15" hidden="0">
      <x:c r="A110" s="193" t="s">
        <x:v>274</x:v>
      </x:c>
      <x:c r="B110" s="195" t="s">
        <x:v>275</x:v>
      </x:c>
      <x:c r="C110" s="30"/>
      <x:c r="D110" s="27" t="n">
        <x:f aca="0">-(D97+D98)</x:f>
        <x:v>2922.024</x:v>
      </x:c>
      <x:c r="E110" s="27" t="n">
        <x:f aca="0">-(E97+E98)</x:f>
        <x:v>6122.614</x:v>
      </x:c>
      <x:c r="F110" s="27" t="n">
        <x:f aca="0">-(F97+F98)</x:f>
        <x:v>7617.46</x:v>
      </x:c>
      <x:c r="G110" s="27" t="n">
        <x:f aca="0">-(G97+G98)</x:f>
        <x:v>13281.025</x:v>
      </x:c>
      <x:c r="H110" s="27" t="n">
        <x:f aca="0">-(H97+H98)</x:f>
        <x:v>14230.897</x:v>
      </x:c>
      <x:c r="I110" s="9" t="s">
        <x:v>111</x:v>
      </x:c>
    </x:row>
    <x:row r="111" ht="15" hidden="0">
      <x:c r="A111" s="193" t="s">
        <x:v>276</x:v>
      </x:c>
      <x:c r="B111" s="195" t="s">
        <x:v>277</x:v>
      </x:c>
      <x:c r="C111" s="30"/>
      <x:c r="D111" s="32" t="n">
        <x:f aca="0">IF(D96&lt;=0,"n/m",D110/D96)</x:f>
        <x:v>0.17196253366174255</x:v>
      </x:c>
      <x:c r="E111" s="32" t="n">
        <x:f aca="0">IF(E96&lt;=0,"n/m",E110/E96)</x:f>
        <x:v>0.2858198818816771</x:v>
      </x:c>
      <x:c r="F111" s="32" t="n">
        <x:f aca="0">IF(F96&lt;=0,"n/m",F110/F96)</x:f>
        <x:v>0.35690213225955875</x:v>
      </x:c>
      <x:c r="G111" s="32" t="n">
        <x:f aca="0">IF(G96&lt;=0,"n/m",G110/G96)</x:f>
        <x:v>0.3208940975603202</x:v>
      </x:c>
      <x:c r="H111" s="32" t="n">
        <x:f aca="0">IF(H96&lt;=0,"n/m",H110/H96)</x:f>
        <x:v>0.30071802839288136</x:v>
      </x:c>
      <x:c r="I111" s="9" t="s">
        <x:v>278</x:v>
      </x:c>
    </x:row>
    <x:row r="112" ht="15" hidden="0">
      <x:c r="A112" s="193" t="str">
        <x:v>NOPAT tax rate = actual audited ETR (no cap)</x:v>
      </x:c>
      <x:c r="B112" s="195" t="s">
        <x:v>279</x:v>
      </x:c>
      <x:c r="C112" s="30"/>
      <x:c r="D112" s="32" t="n">
        <x:f aca="0">D111</x:f>
        <x:v>0.17196253366174255</x:v>
      </x:c>
      <x:c r="E112" s="32" t="n">
        <x:f aca="0">E111</x:f>
        <x:v>0.2858198818816771</x:v>
      </x:c>
      <x:c r="F112" s="32" t="n">
        <x:f aca="0">F111</x:f>
        <x:v>0.35690213225955875</x:v>
      </x:c>
      <x:c r="G112" s="32" t="n">
        <x:f aca="0">G111</x:f>
        <x:v>0.3208940975603202</x:v>
      </x:c>
      <x:c r="H112" s="32" t="n">
        <x:f aca="0">H111</x:f>
        <x:v>0.30071802839288136</x:v>
      </x:c>
      <x:c r="I112" s="9" t="s">
        <x:v>278</x:v>
      </x:c>
    </x:row>
    <x:row r="113" ht="15" hidden="0">
      <x:c r="A113" s="193" t="s">
        <x:v>280</x:v>
      </x:c>
      <x:c r="B113" s="195" t="s">
        <x:v>281</x:v>
      </x:c>
      <x:c r="C113" s="30"/>
      <x:c r="D113" s="27" t="n">
        <x:f aca="0">IF(ISNUMBER(D112),D108*(1-D112),"n/m")</x:f>
        <x:v>14345.84681273134</x:v>
      </x:c>
      <x:c r="E113" s="27" t="n">
        <x:f aca="0">IF(ISNUMBER(E112),E108*(1-E112),"n/m")</x:f>
        <x:v>15580.37419765968</x:v>
      </x:c>
      <x:c r="F113" s="27" t="n">
        <x:f aca="0">IF(ISNUMBER(F112),F108*(1-F112),"n/m")</x:f>
        <x:v>14478.090592746734</x:v>
      </x:c>
      <x:c r="G113" s="27" t="n">
        <x:f aca="0">IF(ISNUMBER(G112),G108*(1-G112),"n/m")</x:f>
        <x:v>29180.319521548747</x:v>
      </x:c>
      <x:c r="H113" s="27" t="n">
        <x:f aca="0">IF(ISNUMBER(H112),H108*(1-H112),"n/m")</x:f>
        <x:v>34050.576192543595</x:v>
      </x:c>
      <x:c r="I113" s="9" t="s">
        <x:v>111</x:v>
      </x:c>
    </x:row>
    <x:row r="114">
      <x:c r="A114" s="193"/>
      <x:c r="B114" s="193"/>
    </x:row>
    <x:row r="115" ht="15" hidden="0">
      <x:c r="A115" s="196" t="s">
        <x:v>282</x:v>
      </x:c>
      <x:c r="B115" s="197"/>
      <x:c r="C115" s="20"/>
      <x:c r="D115" s="20"/>
      <x:c r="E115" s="20"/>
      <x:c r="F115" s="20"/>
      <x:c r="G115" s="20"/>
      <x:c r="H115" s="20"/>
      <x:c r="I115" s="20"/>
      <x:c r="J115" s="20"/>
    </x:row>
    <x:row r="116" ht="15" hidden="0">
      <x:c r="A116" s="193" t="s">
        <x:v>283</x:v>
      </x:c>
      <x:c r="B116" s="195" t="s">
        <x:v>451</x:v>
      </x:c>
      <x:c r="C116" s="30"/>
      <x:c r="D116" s="26" t="n">
        <x:v>13285.674</x:v>
      </x:c>
      <x:c r="E116" s="26" t="n">
        <x:v>18126.508</x:v>
      </x:c>
      <x:c r="F116" s="26" t="n">
        <x:v>24515.258</x:v>
      </x:c>
      <x:c r="G116" s="26" t="n">
        <x:v>30937.432</x:v>
      </x:c>
      <x:c r="H116" s="26" t="n">
        <x:v>33808.781</x:v>
      </x:c>
      <x:c r="I116" s="9" t="s">
        <x:v>111</x:v>
      </x:c>
    </x:row>
    <x:row r="117" ht="15" hidden="0">
      <x:c r="A117" s="193" t="s">
        <x:v>285</x:v>
      </x:c>
      <x:c r="B117" s="195" t="s">
        <x:v>452</x:v>
      </x:c>
      <x:c r="C117" s="30"/>
      <x:c r="D117" s="26" t="n">
        <x:v>12492.631</x:v>
      </x:c>
      <x:c r="E117" s="26" t="n">
        <x:v>15469.449</x:v>
      </x:c>
      <x:c r="F117" s="26" t="n">
        <x:v>23242.896</x:v>
      </x:c>
      <x:c r="G117" s="26" t="n">
        <x:v>27580.741</x:v>
      </x:c>
      <x:c r="H117" s="26" t="n">
        <x:v>27572.567</x:v>
      </x:c>
      <x:c r="I117" s="9" t="s">
        <x:v>111</x:v>
      </x:c>
    </x:row>
    <x:row r="118" ht="15" hidden="0">
      <x:c r="A118" s="193" t="s">
        <x:v>287</x:v>
      </x:c>
      <x:c r="B118" s="195" t="s">
        <x:v>453</x:v>
      </x:c>
      <x:c r="C118" s="30"/>
      <x:c r="D118" s="26" t="n">
        <x:v>-308.21</x:v>
      </x:c>
      <x:c r="E118" s="26" t="n">
        <x:v>-329.933</x:v>
      </x:c>
      <x:c r="F118" s="26" t="n">
        <x:v>-807.477</x:v>
      </x:c>
      <x:c r="G118" s="26" t="n">
        <x:v>-1735.978</x:v>
      </x:c>
      <x:c r="H118" s="26" t="n">
        <x:v>-1527.888</x:v>
      </x:c>
      <x:c r="I118" s="9" t="s">
        <x:v>111</x:v>
      </x:c>
    </x:row>
    <x:row r="119" ht="15" hidden="0">
      <x:c r="A119" s="193" t="s">
        <x:v>289</x:v>
      </x:c>
      <x:c r="B119" s="195" t="s">
        <x:v>454</x:v>
      </x:c>
      <x:c r="C119" s="30"/>
      <x:c r="D119" s="33" t="s">
        <x:v>291</x:v>
      </x:c>
      <x:c r="E119" s="33" t="s">
        <x:v>291</x:v>
      </x:c>
      <x:c r="F119" s="33" t="s">
        <x:v>291</x:v>
      </x:c>
      <x:c r="G119" s="33" t="s">
        <x:v>291</x:v>
      </x:c>
      <x:c r="H119" s="33" t="s">
        <x:v>291</x:v>
      </x:c>
      <x:c r="I119" s="9" t="s">
        <x:v>292</x:v>
      </x:c>
    </x:row>
    <x:row r="120" ht="15" hidden="0">
      <x:c r="A120" s="193" t="s">
        <x:v>293</x:v>
      </x:c>
      <x:c r="B120" s="195" t="s">
        <x:v>294</x:v>
      </x:c>
      <x:c r="C120" s="30"/>
      <x:c r="D120" s="27" t="n">
        <x:f aca="0">IF(D119="Financing",D117+D118,D117)</x:f>
        <x:v>12492.631</x:v>
      </x:c>
      <x:c r="E120" s="27" t="n">
        <x:f aca="0">IF(E119="Financing",E117+E118,E117)</x:f>
        <x:v>15469.449</x:v>
      </x:c>
      <x:c r="F120" s="27" t="n">
        <x:f aca="0">IF(F119="Financing",F117+F118,F117)</x:f>
        <x:v>23242.896</x:v>
      </x:c>
      <x:c r="G120" s="27" t="n">
        <x:f aca="0">IF(G119="Financing",G117+G118,G117)</x:f>
        <x:v>27580.741</x:v>
      </x:c>
      <x:c r="H120" s="27" t="n">
        <x:f aca="0">IF(H119="Financing",H117+H118,H117)</x:f>
        <x:v>27572.567</x:v>
      </x:c>
      <x:c r="I120" s="9" t="s">
        <x:v>111</x:v>
      </x:c>
    </x:row>
    <x:row r="121" ht="15" hidden="0">
      <x:c r="A121" s="193" t="s">
        <x:v>295</x:v>
      </x:c>
      <x:c r="B121" s="195" t="s">
        <x:v>455</x:v>
      </x:c>
      <x:c r="C121" s="30"/>
      <x:c r="D121" s="26" t="n">
        <x:v>-6470.913</x:v>
      </x:c>
      <x:c r="E121" s="26" t="n">
        <x:v>-24537.83</x:v>
      </x:c>
      <x:c r="F121" s="26" t="n">
        <x:v>-18644.906</x:v>
      </x:c>
      <x:c r="G121" s="26" t="n">
        <x:v>-17709.902</x:v>
      </x:c>
      <x:c r="H121" s="26" t="n">
        <x:v>-7048.725</x:v>
      </x:c>
      <x:c r="I121" s="9" t="s">
        <x:v>111</x:v>
      </x:c>
    </x:row>
    <x:row r="122" ht="15" hidden="0">
      <x:c r="A122" s="193" t="s">
        <x:v>297</x:v>
      </x:c>
      <x:c r="B122" s="195" t="s">
        <x:v>456</x:v>
      </x:c>
      <x:c r="C122" s="30"/>
      <x:c r="D122" s="26" t="n">
        <x:v>-5762.325</x:v>
      </x:c>
      <x:c r="E122" s="26" t="n">
        <x:v>-24826.255</x:v>
      </x:c>
      <x:c r="F122" s="26" t="n">
        <x:v>-12978.915</x:v>
      </x:c>
      <x:c r="G122" s="26" t="n">
        <x:v>-2580.021</x:v>
      </x:c>
      <x:c r="H122" s="26" t="n">
        <x:v>11714.661</x:v>
      </x:c>
      <x:c r="I122" s="9" t="s">
        <x:v>111</x:v>
      </x:c>
    </x:row>
    <x:row r="123" ht="15" hidden="0">
      <x:c r="A123" s="193" t="s">
        <x:v>299</x:v>
      </x:c>
      <x:c r="B123" s="195" t="s">
        <x:v>457</x:v>
      </x:c>
      <x:c r="C123" s="30"/>
      <x:c r="D123" s="26" t="n">
        <x:v>4022.095</x:v>
      </x:c>
      <x:c r="E123" s="26" t="n">
        <x:v>6158.783</x:v>
      </x:c>
      <x:c r="F123" s="26" t="n">
        <x:v>244.582</x:v>
      </x:c>
      <x:c r="G123" s="26" t="n">
        <x:v>-18620.168</x:v>
      </x:c>
      <x:c r="H123" s="26" t="n">
        <x:v>-7580.984</x:v>
      </x:c>
      <x:c r="I123" s="9" t="s">
        <x:v>111</x:v>
      </x:c>
    </x:row>
    <x:row r="124" ht="15" hidden="0">
      <x:c r="A124" s="193" t="s">
        <x:v>301</x:v>
      </x:c>
      <x:c r="B124" s="195" t="s">
        <x:v>458</x:v>
      </x:c>
      <x:c r="C124" s="30"/>
      <x:c r="D124" s="26" t="n">
        <x:v>-19.889</x:v>
      </x:c>
      <x:c r="E124" s="26" t="n">
        <x:v>-2.428</x:v>
      </x:c>
      <x:c r="F124" s="26" t="n">
        <x:v>-0.915</x:v>
      </x:c>
      <x:c r="G124" s="26" t="n">
        <x:v>-5443.084</x:v>
      </x:c>
      <x:c r="H124" s="26" t="n">
        <x:v>-4388.403</x:v>
      </x:c>
      <x:c r="I124" s="9" t="s">
        <x:v>111</x:v>
      </x:c>
    </x:row>
    <x:row r="125">
      <x:c r="A125" s="193"/>
      <x:c r="B125" s="193"/>
    </x:row>
    <x:row r="126" ht="15" hidden="0">
      <x:c r="A126" s="196" t="s">
        <x:v>303</x:v>
      </x:c>
      <x:c r="B126" s="197"/>
      <x:c r="C126" s="20"/>
      <x:c r="D126" s="20"/>
      <x:c r="E126" s="20"/>
      <x:c r="F126" s="20"/>
      <x:c r="G126" s="20"/>
      <x:c r="H126" s="20"/>
      <x:c r="I126" s="20"/>
      <x:c r="J126" s="20"/>
    </x:row>
    <x:row r="127" ht="15" hidden="0">
      <x:c r="A127" s="193" t="s">
        <x:v>304</x:v>
      </x:c>
      <x:c r="B127" s="195" t="s">
        <x:v>459</x:v>
      </x:c>
      <x:c r="C127" s="30"/>
      <x:c r="D127" s="34" t="n">
        <x:v>10</x:v>
      </x:c>
      <x:c r="E127" s="34" t="n">
        <x:v>10</x:v>
      </x:c>
      <x:c r="F127" s="34" t="n">
        <x:v>10</x:v>
      </x:c>
      <x:c r="G127" s="34" t="n">
        <x:v>10</x:v>
      </x:c>
      <x:c r="H127" s="34" t="n">
        <x:v>2</x:v>
      </x:c>
      <x:c r="I127" s="9" t="s">
        <x:v>306</x:v>
      </x:c>
    </x:row>
    <x:row r="128" ht="15" hidden="0">
      <x:c r="A128" s="193" t="s">
        <x:v>307</x:v>
      </x:c>
      <x:c r="B128" s="195" t="s">
        <x:v>308</x:v>
      </x:c>
      <x:c r="C128" s="30"/>
      <x:c r="D128" s="35" t="n">
        <x:f aca="0">D39/D127-D135</x:f>
        <x:v>323.375</x:v>
      </x:c>
      <x:c r="E128" s="35" t="n">
        <x:f aca="0">E39/E127-E135</x:f>
        <x:v>323.375</x:v>
      </x:c>
      <x:c r="F128" s="35" t="n">
        <x:f aca="0">F39/F127-F135</x:f>
        <x:v>311.8386</x:v>
      </x:c>
      <x:c r="G128" s="35" t="n">
        <x:f aca="0">G39/G127-G135</x:f>
        <x:v>293</x:v>
      </x:c>
      <x:c r="H128" s="35" t="n">
        <x:f aca="0">H39/H127-H135</x:f>
        <x:v>1465</x:v>
      </x:c>
      <x:c r="I128" s="9" t="s">
        <x:v>309</x:v>
      </x:c>
    </x:row>
    <x:row r="129" ht="15" hidden="0">
      <x:c r="A129" s="193" t="s">
        <x:v>310</x:v>
      </x:c>
      <x:c r="B129" s="195" t="s">
        <x:v>460</x:v>
      </x:c>
      <x:c r="C129" s="30"/>
      <x:c r="D129" s="36" t="n">
        <x:v>323.375</x:v>
      </x:c>
      <x:c r="E129" s="36" t="n">
        <x:v>323.375</x:v>
      </x:c>
      <x:c r="F129" s="36" t="n">
        <x:v>318.749</x:v>
      </x:c>
      <x:c r="G129" s="36" t="n">
        <x:v>297.296</x:v>
      </x:c>
      <x:c r="H129" s="36" t="n">
        <x:v>1465</x:v>
      </x:c>
      <x:c r="I129" s="9" t="s">
        <x:v>309</x:v>
      </x:c>
    </x:row>
    <x:row r="130" ht="15" hidden="0">
      <x:c r="A130" s="193" t="str">
        <x:v>FY-end share price (Rs; last PSX close)</x:v>
      </x:c>
      <x:c r="B130" s="195" t="s">
        <x:v>461</x:v>
      </x:c>
      <x:c r="C130" s="30"/>
      <x:c r="D130" s="34" t="n">
        <x:v>863.44</x:v>
      </x:c>
      <x:c r="E130" s="34" t="n">
        <x:v>459.04</x:v>
      </x:c>
      <x:c r="F130" s="34" t="n">
        <x:v>522.09</x:v>
      </x:c>
      <x:c r="G130" s="34" t="n">
        <x:v>906.73</x:v>
      </x:c>
      <x:c r="H130" s="34" t="n">
        <x:v>355.24</x:v>
      </x:c>
      <x:c r="I130" s="9" t="s">
        <x:v>306</x:v>
      </x:c>
    </x:row>
    <x:row r="131" ht="15" hidden="0">
      <x:c r="A131" s="193" t="s">
        <x:v>313</x:v>
      </x:c>
      <x:c r="B131" s="195" t="s">
        <x:v>462</x:v>
      </x:c>
      <x:c r="C131" s="30"/>
      <x:c r="D131" s="34" t="n">
        <x:v>0</x:v>
      </x:c>
      <x:c r="E131" s="34" t="n">
        <x:v>0</x:v>
      </x:c>
      <x:c r="F131" s="34" t="n">
        <x:v>18</x:v>
      </x:c>
      <x:c r="G131" s="34" t="n">
        <x:v>15</x:v>
      </x:c>
      <x:c r="H131" s="34" t="n">
        <x:v>4</x:v>
      </x:c>
      <x:c r="I131" s="9" t="s">
        <x:v>306</x:v>
      </x:c>
    </x:row>
    <x:row r="132" ht="15" hidden="0">
      <x:c r="A132" s="193" t="str">
        <x:v>Reported EPS (Rs; own-year report basis)</x:v>
      </x:c>
      <x:c r="B132" s="195" t="s">
        <x:v>463</x:v>
      </x:c>
      <x:c r="C132" s="30"/>
      <x:c r="D132" s="34" t="n">
        <x:v>43.51</x:v>
      </x:c>
      <x:c r="E132" s="34" t="n">
        <x:v>47.31</x:v>
      </x:c>
      <x:c r="F132" s="34" t="n">
        <x:v>43.06</x:v>
      </x:c>
      <x:c r="G132" s="34" t="n">
        <x:v>94.54</x:v>
      </x:c>
      <x:c r="H132" s="34" t="n">
        <x:v>22.59</x:v>
      </x:c>
      <x:c r="I132" s="9" t="s">
        <x:v>306</x:v>
      </x:c>
    </x:row>
    <x:row r="133" ht="15" hidden="0">
      <x:c r="A133" s="193" t="s">
        <x:v>316</x:v>
      </x:c>
      <x:c r="B133" s="195" t="s">
        <x:v>317</x:v>
      </x:c>
      <x:c r="C133" s="30"/>
      <x:c r="D133" s="27" t="n">
        <x:f aca="0">D130*D128</x:f>
        <x:v>279214.91000000003</x:v>
      </x:c>
      <x:c r="E133" s="27" t="n">
        <x:f aca="0">E130*E128</x:f>
        <x:v>148442.06</x:v>
      </x:c>
      <x:c r="F133" s="27" t="n">
        <x:f aca="0">F130*F128</x:f>
        <x:v>162807.814674</x:v>
      </x:c>
      <x:c r="G133" s="27" t="n">
        <x:f aca="0">G130*G128</x:f>
        <x:v>265671.89</x:v>
      </x:c>
      <x:c r="H133" s="27" t="n">
        <x:f aca="0">H130*H128</x:f>
        <x:v>520426.60000000003</x:v>
      </x:c>
      <x:c r="I133" s="9" t="s">
        <x:v>111</x:v>
      </x:c>
    </x:row>
    <x:row r="134" ht="15" hidden="0">
      <x:c r="A134" s="193" t="str">
        <x:v>Factor to FY2025 annual-report split basis (memo)</x:v>
      </x:c>
      <x:c r="B134" s="195" t="s">
        <x:v>464</x:v>
      </x:c>
      <x:c r="C134" s="30"/>
      <x:c r="D134" s="34" t="n">
        <x:v>5</x:v>
      </x:c>
      <x:c r="E134" s="34" t="n">
        <x:v>5</x:v>
      </x:c>
      <x:c r="F134" s="34" t="n">
        <x:v>5</x:v>
      </x:c>
      <x:c r="G134" s="34" t="n">
        <x:v>5</x:v>
      </x:c>
      <x:c r="H134" s="34" t="n">
        <x:v>1</x:v>
      </x:c>
      <x:c r="I134" s="9" t="s">
        <x:v>319</x:v>
      </x:c>
    </x:row>
    <x:row r="135">
      <x:c r="A135" s="193" t="str">
        <x:v>Treasury shares excluded (million)</x:v>
      </x:c>
      <x:c r="B135" s="195"/>
      <x:c r="C135" s="30"/>
      <x:c r="D135" s="34" t="n">
        <x:v>0</x:v>
      </x:c>
      <x:c r="E135" s="34" t="n">
        <x:v>0</x:v>
      </x:c>
      <x:c r="F135" s="34" t="n">
        <x:v>0</x:v>
      </x:c>
      <x:c r="G135" s="34" t="n">
        <x:v>0</x:v>
      </x:c>
      <x:c r="H135" s="34" t="n">
        <x:v>0</x:v>
      </x:c>
    </x:row>
    <x:row r="136" ht="15" hidden="0">
      <x:c r="A136" s="196" t="s">
        <x:v>320</x:v>
      </x:c>
      <x:c r="B136" s="197"/>
      <x:c r="C136" s="20"/>
      <x:c r="D136" s="20"/>
      <x:c r="E136" s="20"/>
      <x:c r="F136" s="20"/>
      <x:c r="G136" s="20"/>
      <x:c r="H136" s="20"/>
      <x:c r="I136" s="20"/>
      <x:c r="J136" s="20"/>
    </x:row>
    <x:row r="137" ht="22" hidden="0" customHeight="1">
      <x:c r="A137" s="203" t="str">
        <x:v>Liquidity</x:v>
      </x:c>
      <x:c r="B137" s="204"/>
      <x:c r="C137" s="129"/>
      <x:c r="D137" s="129"/>
      <x:c r="E137" s="129"/>
      <x:c r="F137" s="129"/>
      <x:c r="G137" s="129"/>
      <x:c r="H137" s="129"/>
      <x:c r="I137" s="25"/>
      <x:c r="J137" s="25"/>
    </x:row>
    <x:row r="138" ht="15" hidden="0">
      <x:c r="A138" s="207" t="str">
        <x:v>1. Current ratio</x:v>
      </x:c>
      <x:c r="B138" s="205" t="str">
        <x:v>Current Assets / Current Liabilities</x:v>
      </x:c>
      <x:c r="C138" s="30"/>
      <x:c r="D138" s="121" t="n">
        <x:f>IF(OR((D61)&lt;=0,(D36)&lt;0),"n/m",(D36)/(D61))</x:f>
        <x:v>1.3386079458938223</x:v>
      </x:c>
      <x:c r="E138" s="121" t="n">
        <x:f>IF(OR((E61)&lt;=0,(E36)&lt;0),"n/m",(E36)/(E61))</x:f>
        <x:v>1.4760766300374313</x:v>
      </x:c>
      <x:c r="F138" s="121" t="n">
        <x:f>IF(OR((F61)&lt;=0,(F36)&lt;0),"n/m",(F36)/(F61))</x:f>
        <x:v>1.290071633326858</x:v>
      </x:c>
      <x:c r="G138" s="121" t="n">
        <x:f>IF(OR((G61)&lt;=0,(G36)&lt;0),"n/m",(G36)/(G61))</x:f>
        <x:v>1.2632222354743232</x:v>
      </x:c>
      <x:c r="H138" s="121" t="n">
        <x:f>IF(OR((H61)&lt;=0,(H36)&lt;0),"n/m",(H36)/(H61))</x:f>
        <x:v>1.7146143875904156</x:v>
      </x:c>
      <x:c r="I138" s="9" t="s">
        <x:v>321</x:v>
      </x:c>
    </x:row>
    <x:row r="139" ht="15" hidden="0">
      <x:c r="A139" s="207" t="str">
        <x:v>2. Quick ratio</x:v>
      </x:c>
      <x:c r="B139" s="205" t="str">
        <x:v>(Current Assets - Inventories) / Current Liabilities</x:v>
      </x:c>
      <x:c r="C139" s="30"/>
      <x:c r="D139" s="121" t="n">
        <x:f>IF(OR((D61)&lt;=0,(D36-D65)&lt;0),"n/m",(D36-D65)/(D61))</x:f>
        <x:v>0.890008861006851</x:v>
      </x:c>
      <x:c r="E139" s="121" t="n">
        <x:f>IF(OR((E61)&lt;=0,(E36-E65)&lt;0),"n/m",(E36-E65)/(E61))</x:f>
        <x:v>0.8707609191920863</x:v>
      </x:c>
      <x:c r="F139" s="121" t="n">
        <x:f>IF(OR((F61)&lt;=0,(F36-F65)&lt;0),"n/m",(F36-F65)/(F61))</x:f>
        <x:v>0.8541222656242641</x:v>
      </x:c>
      <x:c r="G139" s="121" t="n">
        <x:f>IF(OR((G61)&lt;=0,(G36-G65)&lt;0),"n/m",(G36-G65)/(G61))</x:f>
        <x:v>0.8369831163170072</x:v>
      </x:c>
      <x:c r="H139" s="121" t="n">
        <x:f>IF(OR((H61)&lt;=0,(H36-H65)&lt;0),"n/m",(H36-H65)/(H61))</x:f>
        <x:v>1.2939267138361998</x:v>
      </x:c>
      <x:c r="I139" s="9" t="s">
        <x:v>321</x:v>
      </x:c>
    </x:row>
    <x:row r="140" ht="15" hidden="0">
      <x:c r="A140" s="207" t="str">
        <x:v>3. Cash ratio</x:v>
      </x:c>
      <x:c r="B140" s="205" t="str">
        <x:v>Cash and Bank / Current Liabilities</x:v>
      </x:c>
      <x:c r="C140" s="30"/>
      <x:c r="D140" s="121" t="n">
        <x:f>IF(OR((D61)&lt;=0,(D34)&lt;0),"n/m",(D34)/(D61))</x:f>
        <x:v>0.09298113875159913</x:v>
      </x:c>
      <x:c r="E140" s="121" t="n">
        <x:f>IF(OR((E61)&lt;=0,(E34)&lt;0),"n/m",(E34)/(E61))</x:f>
        <x:v>0.12750015990720837</x:v>
      </x:c>
      <x:c r="F140" s="121" t="n">
        <x:f>IF(OR((F61)&lt;=0,(F34)&lt;0),"n/m",(F34)/(F61))</x:f>
        <x:v>0.08913171618062964</x:v>
      </x:c>
      <x:c r="G140" s="121" t="n">
        <x:f>IF(OR((G61)&lt;=0,(G34)&lt;0),"n/m",(G34)/(G61))</x:f>
        <x:v>0.04737494632853006</x:v>
      </x:c>
      <x:c r="H140" s="121" t="n">
        <x:f>IF(OR((H61)&lt;=0,(H34)&lt;0),"n/m",(H34)/(H61))</x:f>
        <x:v>0.04758283071188822</x:v>
      </x:c>
      <x:c r="I140" s="9" t="s">
        <x:v>321</x:v>
      </x:c>
    </x:row>
    <x:row r="141" ht="15" hidden="0">
      <x:c r="A141" s="207" t="str">
        <x:v>4. Net working capital (PKR m)</x:v>
      </x:c>
      <x:c r="B141" s="205" t="str">
        <x:v>Current Assets - Current Liabilities</x:v>
      </x:c>
      <x:c r="C141" s="30"/>
      <x:c r="D141" s="122" t="n">
        <x:f>IF(OR((1)&lt;=0,(D36-D61)&lt;0),"n/m",(D36-D61)/(1))</x:f>
        <x:v>10289.302000000007</x:v>
      </x:c>
      <x:c r="E141" s="122" t="n">
        <x:f>IF(OR((1)&lt;=0,(E36-E61)&lt;0),"n/m",(E36-E61)/(1))</x:f>
        <x:v>14454.333000000006</x:v>
      </x:c>
      <x:c r="F141" s="122" t="n">
        <x:f>IF(OR((1)&lt;=0,(F36-F61)&lt;0),"n/m",(F36-F61)/(1))</x:f>
        <x:v>13395.762999999999</x:v>
      </x:c>
      <x:c r="G141" s="122" t="n">
        <x:f>IF(OR((1)&lt;=0,(G36-G61)&lt;0),"n/m",(G36-G61)/(1))</x:f>
        <x:v>14263.611000000004</x:v>
      </x:c>
      <x:c r="H141" s="122" t="n">
        <x:f>IF(OR((1)&lt;=0,(H36-H61)&lt;0),"n/m",(H36-H61)/(1))</x:f>
        <x:v>41905.97600000001</x:v>
      </x:c>
      <x:c r="I141" s="9" t="s">
        <x:v>111</x:v>
      </x:c>
    </x:row>
    <x:row r="142" ht="15" hidden="0">
      <x:c r="A142" s="207" t="str">
        <x:v>5. Net operating working capital (PKR m)</x:v>
      </x:c>
      <x:c r="B142" s="205" t="str">
        <x:v>Operating CA - Operating CL</x:v>
      </x:c>
      <x:c r="C142" s="30"/>
      <x:c r="D142" s="122" t="str">
        <x:f>IF(OR((1)&lt;=0,(D72-D73)&lt;0),"n/m",(D72-D73)/(1))</x:f>
        <x:v>n/m</x:v>
      </x:c>
      <x:c r="E142" s="122" t="str">
        <x:f>IF(OR((1)&lt;=0,(E72-E73)&lt;0),"n/m",(E72-E73)/(1))</x:f>
        <x:v>n/m</x:v>
      </x:c>
      <x:c r="F142" s="122" t="str">
        <x:f>IF(OR((1)&lt;=0,(F72-F73)&lt;0),"n/m",(F72-F73)/(1))</x:f>
        <x:v>n/m</x:v>
      </x:c>
      <x:c r="G142" s="122" t="str">
        <x:f>IF(OR((1)&lt;=0,(G72-G73)&lt;0),"n/m",(G72-G73)/(1))</x:f>
        <x:v>n/m</x:v>
      </x:c>
      <x:c r="H142" s="122" t="str">
        <x:f>IF(OR((1)&lt;=0,(H72-H73)&lt;0),"n/m",(H72-H73)/(1))</x:f>
        <x:v>n/m</x:v>
      </x:c>
      <x:c r="I142" s="9" t="s">
        <x:v>111</x:v>
      </x:c>
    </x:row>
    <x:row r="143" ht="22" hidden="0" customHeight="1">
      <x:c r="A143" s="203" t="str">
        <x:v>Asset Management</x:v>
      </x:c>
      <x:c r="B143" s="204"/>
      <x:c r="C143" s="129"/>
      <x:c r="D143" s="129"/>
      <x:c r="E143" s="129"/>
      <x:c r="F143" s="129"/>
      <x:c r="G143" s="129"/>
      <x:c r="H143" s="129"/>
      <x:c r="I143" s="25"/>
      <x:c r="J143" s="25"/>
    </x:row>
    <x:row r="144" ht="15" hidden="0">
      <x:c r="A144" s="207" t="str">
        <x:v>6. Inventory turnover</x:v>
      </x:c>
      <x:c r="B144" s="205" t="str">
        <x:v>COGS / Average Inventory</x:v>
      </x:c>
      <x:c r="C144" s="30"/>
      <x:c r="D144" s="121" t="n">
        <x:f>IF(OR((AVERAGE(C65,D65))&lt;=0,(-D85)&lt;0),"n/m",(-D85)/(AVERAGE(C65,D65)))</x:f>
        <x:v>3.813607312713928</x:v>
      </x:c>
      <x:c r="E144" s="121" t="n">
        <x:f>IF(OR((AVERAGE(D65,E65))&lt;=0,(-E85)&lt;0),"n/m",(-E85)/(AVERAGE(D65,E65)))</x:f>
        <x:v>3.657733126059421</x:v>
      </x:c>
      <x:c r="F144" s="121" t="n">
        <x:f>IF(OR((AVERAGE(E65,F65))&lt;=0,(-F85)&lt;0),"n/m",(-F85)/(AVERAGE(E65,F65)))</x:f>
        <x:v>3.6234818387767853</x:v>
      </x:c>
      <x:c r="G144" s="121" t="n">
        <x:f>IF(OR((AVERAGE(F65,G65))&lt;=0,(-G85)&lt;0),"n/m",(-G85)/(AVERAGE(F65,G65)))</x:f>
        <x:v>3.5401699550948362</x:v>
      </x:c>
      <x:c r="H144" s="121" t="n">
        <x:f>IF(OR((AVERAGE(G65,H65))&lt;=0,(-H85)&lt;0),"n/m",(-H85)/(AVERAGE(G65,H65)))</x:f>
        <x:v>3.426094952590027</x:v>
      </x:c>
      <x:c r="I144" s="9" t="s">
        <x:v>321</x:v>
      </x:c>
    </x:row>
    <x:row r="145" ht="15" hidden="0">
      <x:c r="A145" s="207" t="str">
        <x:v>7. Receivables turnover</x:v>
      </x:c>
      <x:c r="B145" s="205" t="str">
        <x:v>Net Sales / Average Trade Debts</x:v>
      </x:c>
      <x:c r="C145" s="30"/>
      <x:c r="D145" s="121" t="n">
        <x:f>IF(OR((AVERAGE(C32,D32))&lt;=0,(D84)&lt;0),"n/m",(D84)/(AVERAGE(C32,D32)))</x:f>
        <x:v>20.525799758937445</x:v>
      </x:c>
      <x:c r="E145" s="121" t="n">
        <x:f>IF(OR((AVERAGE(D32,E32))&lt;=0,(E84)&lt;0),"n/m",(E84)/(AVERAGE(D32,E32)))</x:f>
        <x:v>26.020654219821807</x:v>
      </x:c>
      <x:c r="F145" s="121" t="n">
        <x:f>IF(OR((AVERAGE(E32,F32))&lt;=0,(F84)&lt;0),"n/m",(F84)/(AVERAGE(E32,F32)))</x:f>
        <x:v>22.253946370189343</x:v>
      </x:c>
      <x:c r="G145" s="121" t="n">
        <x:f>IF(OR((AVERAGE(F32,G32))&lt;=0,(G84)&lt;0),"n/m",(G84)/(AVERAGE(F32,G32)))</x:f>
        <x:v>19.185416979630755</x:v>
      </x:c>
      <x:c r="H145" s="121" t="n">
        <x:f>IF(OR((AVERAGE(G32,H32))&lt;=0,(H84)&lt;0),"n/m",(H84)/(AVERAGE(G32,H32)))</x:f>
        <x:v>18.743761644592638</x:v>
      </x:c>
      <x:c r="I145" s="9" t="s">
        <x:v>321</x:v>
      </x:c>
    </x:row>
    <x:row r="146" ht="15" hidden="0">
      <x:c r="A146" s="207" t="str">
        <x:v>8. Payables turnover</x:v>
      </x:c>
      <x:c r="B146" s="205" t="str">
        <x:v>COGS / Average Trade Creditors</x:v>
      </x:c>
      <x:c r="C146" s="30"/>
      <x:c r="D146" s="121" t="n">
        <x:f>IF(OR((AVERAGE(C51,D51))&lt;=0,(-D85)&lt;0),"n/m",(-D85)/(AVERAGE(C51,D51)))</x:f>
        <x:v>16.04782473542995</x:v>
      </x:c>
      <x:c r="E146" s="121" t="n">
        <x:f>IF(OR((AVERAGE(D51,E51))&lt;=0,(-E85)&lt;0),"n/m",(-E85)/(AVERAGE(D51,E51)))</x:f>
        <x:v>18.777106060975406</x:v>
      </x:c>
      <x:c r="F146" s="121" t="n">
        <x:f>IF(OR((AVERAGE(E51,F51))&lt;=0,(-F85)&lt;0),"n/m",(-F85)/(AVERAGE(E51,F51)))</x:f>
        <x:v>16.644862602259856</x:v>
      </x:c>
      <x:c r="G146" s="121" t="n">
        <x:f>IF(OR((AVERAGE(F51,G51))&lt;=0,(-G85)&lt;0),"n/m",(-G85)/(AVERAGE(F51,G51)))</x:f>
        <x:v>12.541557640159668</x:v>
      </x:c>
      <x:c r="H146" s="121" t="n">
        <x:f>IF(OR((AVERAGE(G51,H51))&lt;=0,(-H85)&lt;0),"n/m",(-H85)/(AVERAGE(G51,H51)))</x:f>
        <x:v>12.034170742972393</x:v>
      </x:c>
      <x:c r="I146" s="9" t="s">
        <x:v>321</x:v>
      </x:c>
    </x:row>
    <x:row r="147" ht="15" hidden="0">
      <x:c r="A147" s="207" t="str">
        <x:v>9. Days inventory outstanding</x:v>
      </x:c>
      <x:c r="B147" s="205" t="str">
        <x:v>365 / Inventory Turnover</x:v>
      </x:c>
      <x:c r="C147" s="30"/>
      <x:c r="D147" s="123" t="n">
        <x:f>IF(OR((-D85)&lt;=0,(365*AVERAGE(C65,D65))&lt;0),"n/m",(365*AVERAGE(C65,D65))/(-D85))</x:f>
        <x:v>95.70990667632485</x:v>
      </x:c>
      <x:c r="E147" s="123" t="n">
        <x:f>IF(OR((-E85)&lt;=0,(365*AVERAGE(D65,E65))&lt;0),"n/m",(365*AVERAGE(D65,E65))/(-E85))</x:f>
        <x:v>99.78858145761573</x:v>
      </x:c>
      <x:c r="F147" s="123" t="n">
        <x:f>IF(OR((-F85)&lt;=0,(365*AVERAGE(E65,F65))&lt;0),"n/m",(365*AVERAGE(E65,F65))/(-F85))</x:f>
        <x:v>100.73184197970664</x:v>
      </x:c>
      <x:c r="G147" s="123" t="n">
        <x:f>IF(OR((-G85)&lt;=0,(365*AVERAGE(F65,G65))&lt;0),"n/m",(365*AVERAGE(F65,G65))/(-G85))</x:f>
        <x:v>103.10239469568691</x:v>
      </x:c>
      <x:c r="H147" s="123" t="n">
        <x:f>IF(OR((-H85)&lt;=0,(365*AVERAGE(G65,H65))&lt;0),"n/m",(365*AVERAGE(G65,H65))/(-H85))</x:f>
        <x:v>106.53528435458882</x:v>
      </x:c>
      <x:c r="I147" s="9" t="s">
        <x:v>322</x:v>
      </x:c>
    </x:row>
    <x:row r="148" ht="15" hidden="0">
      <x:c r="A148" s="207" t="str">
        <x:v>10. Days sales outstanding</x:v>
      </x:c>
      <x:c r="B148" s="205" t="str">
        <x:v>365 / Receivables Turnover</x:v>
      </x:c>
      <x:c r="C148" s="30"/>
      <x:c r="D148" s="123" t="n">
        <x:f>IF(OR((D84)&lt;=0,(365*AVERAGE(C32,D32))&lt;0),"n/m",(365*AVERAGE(C32,D32))/(D84))</x:f>
        <x:v>17.78249833315605</x:v>
      </x:c>
      <x:c r="E148" s="123" t="n">
        <x:f>IF(OR((E84)&lt;=0,(365*AVERAGE(D32,E32))&lt;0),"n/m",(365*AVERAGE(D32,E32))/(E84))</x:f>
        <x:v>14.027318333985361</x:v>
      </x:c>
      <x:c r="F148" s="123" t="n">
        <x:f>IF(OR((F84)&lt;=0,(365*AVERAGE(E32,F32))&lt;0),"n/m",(365*AVERAGE(E32,F32))/(F84))</x:f>
        <x:v>16.40158531562483</x:v>
      </x:c>
      <x:c r="G148" s="123" t="n">
        <x:f>IF(OR((G84)&lt;=0,(365*AVERAGE(F32,G32))&lt;0),"n/m",(365*AVERAGE(F32,G32))/(G84))</x:f>
        <x:v>19.024866667611246</x:v>
      </x:c>
      <x:c r="H148" s="123" t="n">
        <x:f>IF(OR((H84)&lt;=0,(365*AVERAGE(G32,H32))&lt;0),"n/m",(365*AVERAGE(G32,H32))/(H84))</x:f>
        <x:v>19.473145621508603</x:v>
      </x:c>
      <x:c r="I148" s="9" t="s">
        <x:v>322</x:v>
      </x:c>
    </x:row>
    <x:row r="149" ht="15" hidden="0">
      <x:c r="A149" s="207" t="str">
        <x:v>11. Days payables outstanding</x:v>
      </x:c>
      <x:c r="B149" s="205" t="str">
        <x:v>365 / Payables Turnover</x:v>
      </x:c>
      <x:c r="C149" s="30"/>
      <x:c r="D149" s="123" t="n">
        <x:f>IF(OR((-D85)&lt;=0,(365*AVERAGE(C51,D51))&lt;0),"n/m",(365*AVERAGE(C51,D51))/(-D85))</x:f>
        <x:v>22.744515597441875</x:v>
      </x:c>
      <x:c r="E149" s="123" t="n">
        <x:f>IF(OR((-E85)&lt;=0,(365*AVERAGE(D51,E51))&lt;0),"n/m",(365*AVERAGE(D51,E51))/(-E85))</x:f>
        <x:v>19.438565176908817</x:v>
      </x:c>
      <x:c r="F149" s="123" t="n">
        <x:f>IF(OR((-F85)&lt;=0,(365*AVERAGE(E51,F51))&lt;0),"n/m",(365*AVERAGE(E51,F51))/(-F85))</x:f>
        <x:v>21.928688071624236</x:v>
      </x:c>
      <x:c r="G149" s="123" t="n">
        <x:f>IF(OR((-G85)&lt;=0,(365*AVERAGE(F51,G51))&lt;0),"n/m",(365*AVERAGE(F51,G51))/(-G85))</x:f>
        <x:v>29.103243031888116</x:v>
      </x:c>
      <x:c r="H149" s="123" t="n">
        <x:f>IF(OR((-H85)&lt;=0,(365*AVERAGE(G51,H51))&lt;0),"n/m",(365*AVERAGE(G51,H51))/(-H85))</x:f>
        <x:v>30.3302992616379</x:v>
      </x:c>
      <x:c r="I149" s="9" t="s">
        <x:v>322</x:v>
      </x:c>
    </x:row>
    <x:row r="150" ht="15" hidden="0">
      <x:c r="A150" s="207" t="str">
        <x:v>12. Operating cycle (days)</x:v>
      </x:c>
      <x:c r="B150" s="205" t="str">
        <x:v>DIO + DSO</x:v>
      </x:c>
      <x:c r="C150" s="30"/>
      <x:c r="D150" s="123" t="n">
        <x:f>IF(OR((1)&lt;=0,(365*AVERAGE(C65,D65)/(-D85)+365*AVERAGE(C32,D32)/D84)&lt;0),"n/m",(365*AVERAGE(C65,D65)/(-D85)+365*AVERAGE(C32,D32)/D84)/(1))</x:f>
        <x:v>113.4924050094809</x:v>
      </x:c>
      <x:c r="E150" s="123" t="n">
        <x:f>IF(OR((1)&lt;=0,(365*AVERAGE(D65,E65)/(-E85)+365*AVERAGE(D32,E32)/E84)&lt;0),"n/m",(365*AVERAGE(D65,E65)/(-E85)+365*AVERAGE(D32,E32)/E84)/(1))</x:f>
        <x:v>113.8158997916011</x:v>
      </x:c>
      <x:c r="F150" s="123" t="n">
        <x:f>IF(OR((1)&lt;=0,(365*AVERAGE(E65,F65)/(-F85)+365*AVERAGE(E32,F32)/F84)&lt;0),"n/m",(365*AVERAGE(E65,F65)/(-F85)+365*AVERAGE(E32,F32)/F84)/(1))</x:f>
        <x:v>117.13342729533147</x:v>
      </x:c>
      <x:c r="G150" s="123" t="n">
        <x:f>IF(OR((1)&lt;=0,(365*AVERAGE(F65,G65)/(-G85)+365*AVERAGE(F32,G32)/G84)&lt;0),"n/m",(365*AVERAGE(F65,G65)/(-G85)+365*AVERAGE(F32,G32)/G84)/(1))</x:f>
        <x:v>122.12726136329816</x:v>
      </x:c>
      <x:c r="H150" s="123" t="n">
        <x:f>IF(OR((1)&lt;=0,(365*AVERAGE(G65,H65)/(-H85)+365*AVERAGE(G32,H32)/H84)&lt;0),"n/m",(365*AVERAGE(G65,H65)/(-H85)+365*AVERAGE(G32,H32)/H84)/(1))</x:f>
        <x:v>126.00842997609743</x:v>
      </x:c>
      <x:c r="I150" s="9" t="s">
        <x:v>322</x:v>
      </x:c>
    </x:row>
    <x:row r="151" ht="15" hidden="0">
      <x:c r="A151" s="207" t="str">
        <x:v>13. Cash conversion cycle (days)</x:v>
      </x:c>
      <x:c r="B151" s="205" t="str">
        <x:v>DIO + DSO - DPO</x:v>
      </x:c>
      <x:c r="C151" s="30"/>
      <x:c r="D151" s="123" t="n">
        <x:f>IF(OR((1)&lt;=0,(365*AVERAGE(C65,D65)/(-D85)+365*AVERAGE(C32,D32)/D84-365*AVERAGE(C51,D51)/(-D85))&lt;0),"n/m",(365*AVERAGE(C65,D65)/(-D85)+365*AVERAGE(C32,D32)/D84-365*AVERAGE(C51,D51)/(-D85))/(1))</x:f>
        <x:v>90.74788941203903</x:v>
      </x:c>
      <x:c r="E151" s="123" t="n">
        <x:f>IF(OR((1)&lt;=0,(365*AVERAGE(D65,E65)/(-E85)+365*AVERAGE(D32,E32)/E84-365*AVERAGE(D51,E51)/(-E85))&lt;0),"n/m",(365*AVERAGE(D65,E65)/(-E85)+365*AVERAGE(D32,E32)/E84-365*AVERAGE(D51,E51)/(-E85))/(1))</x:f>
        <x:v>94.37733461469227</x:v>
      </x:c>
      <x:c r="F151" s="123" t="n">
        <x:f>IF(OR((1)&lt;=0,(365*AVERAGE(E65,F65)/(-F85)+365*AVERAGE(E32,F32)/F84-365*AVERAGE(E51,F51)/(-F85))&lt;0),"n/m",(365*AVERAGE(E65,F65)/(-F85)+365*AVERAGE(E32,F32)/F84-365*AVERAGE(E51,F51)/(-F85))/(1))</x:f>
        <x:v>95.20473922370724</x:v>
      </x:c>
      <x:c r="G151" s="123" t="n">
        <x:f>IF(OR((1)&lt;=0,(365*AVERAGE(F65,G65)/(-G85)+365*AVERAGE(F32,G32)/G84-365*AVERAGE(F51,G51)/(-G85))&lt;0),"n/m",(365*AVERAGE(F65,G65)/(-G85)+365*AVERAGE(F32,G32)/G84-365*AVERAGE(F51,G51)/(-G85))/(1))</x:f>
        <x:v>93.02401833141005</x:v>
      </x:c>
      <x:c r="H151" s="123" t="n">
        <x:f>IF(OR((1)&lt;=0,(365*AVERAGE(G65,H65)/(-H85)+365*AVERAGE(G32,H32)/H84-365*AVERAGE(G51,H51)/(-H85))&lt;0),"n/m",(365*AVERAGE(G65,H65)/(-H85)+365*AVERAGE(G32,H32)/H84-365*AVERAGE(G51,H51)/(-H85))/(1))</x:f>
        <x:v>95.67813071445953</x:v>
      </x:c>
      <x:c r="I151" s="9" t="s">
        <x:v>322</x:v>
      </x:c>
    </x:row>
    <x:row r="152" ht="15" hidden="0">
      <x:c r="A152" s="207" t="str">
        <x:v>14. Total asset turnover</x:v>
      </x:c>
      <x:c r="B152" s="205" t="str">
        <x:v>Net Sales / Average Total Assets</x:v>
      </x:c>
      <x:c r="C152" s="30"/>
      <x:c r="D152" s="121" t="n">
        <x:f>IF(OR((AVERAGE(C37,D37))&lt;=0,(D84)&lt;0),"n/m",(D84)/(AVERAGE(C37,D37)))</x:f>
        <x:v>0.43075247100519976</x:v>
      </x:c>
      <x:c r="E152" s="121" t="n">
        <x:f>IF(OR((AVERAGE(D37,E37))&lt;=0,(E84)&lt;0),"n/m",(E84)/(AVERAGE(D37,E37)))</x:f>
        <x:v>0.4751614147030488</x:v>
      </x:c>
      <x:c r="F152" s="121" t="n">
        <x:f>IF(OR((AVERAGE(E37,F37))&lt;=0,(F84)&lt;0),"n/m",(F84)/(AVERAGE(E37,F37)))</x:f>
        <x:v>0.4815184479475107</x:v>
      </x:c>
      <x:c r="G152" s="121" t="n">
        <x:f>IF(OR((AVERAGE(F37,G37))&lt;=0,(G84)&lt;0),"n/m",(G84)/(AVERAGE(F37,G37)))</x:f>
        <x:v>0.5158831372305058</x:v>
      </x:c>
      <x:c r="H152" s="121" t="n">
        <x:f>IF(OR((AVERAGE(G37,H37))&lt;=0,(H84)&lt;0),"n/m",(H84)/(AVERAGE(G37,H37)))</x:f>
        <x:v>0.49728501600707337</x:v>
      </x:c>
      <x:c r="I152" s="9" t="s">
        <x:v>321</x:v>
      </x:c>
    </x:row>
    <x:row r="153" ht="15" hidden="0">
      <x:c r="A153" s="207" t="str">
        <x:v>15. Fixed asset turnover</x:v>
      </x:c>
      <x:c r="B153" s="205" t="str">
        <x:v>Net Sales / Average Operating Fixed Assets</x:v>
      </x:c>
      <x:c r="C153" s="30"/>
      <x:c r="D153" s="121" t="n">
        <x:f>IF(OR((AVERAGE(C22,D22))&lt;=0,(D84)&lt;0),"n/m",(D84)/(AVERAGE(C22,D22)))</x:f>
        <x:v>1.064193408439223</x:v>
      </x:c>
      <x:c r="E153" s="121" t="n">
        <x:f>IF(OR((AVERAGE(D22,E22))&lt;=0,(E84)&lt;0),"n/m",(E84)/(AVERAGE(D22,E22)))</x:f>
        <x:v>1.3656161868044014</x:v>
      </x:c>
      <x:c r="F153" s="121" t="n">
        <x:f>IF(OR((AVERAGE(E22,F22))&lt;=0,(F84)&lt;0),"n/m",(F84)/(AVERAGE(E22,F22)))</x:f>
        <x:v>1.2739571002729932</x:v>
      </x:c>
      <x:c r="G153" s="121" t="n">
        <x:f>IF(OR((AVERAGE(F22,G22))&lt;=0,(G84)&lt;0),"n/m",(G84)/(AVERAGE(F22,G22)))</x:f>
        <x:v>1.242164612598929</x:v>
      </x:c>
      <x:c r="H153" s="121" t="n">
        <x:f>IF(OR((AVERAGE(G22,H22))&lt;=0,(H84)&lt;0),"n/m",(H84)/(AVERAGE(G22,H22)))</x:f>
        <x:v>1.2601477514941262</x:v>
      </x:c>
      <x:c r="I153" s="9" t="s">
        <x:v>321</x:v>
      </x:c>
    </x:row>
    <x:row r="154" ht="22" hidden="0" customHeight="1">
      <x:c r="A154" s="203" t="str">
        <x:v>Debt Management</x:v>
      </x:c>
      <x:c r="B154" s="204"/>
      <x:c r="C154" s="129"/>
      <x:c r="D154" s="129"/>
      <x:c r="E154" s="129"/>
      <x:c r="F154" s="129"/>
      <x:c r="G154" s="129"/>
      <x:c r="H154" s="129"/>
      <x:c r="I154" s="25"/>
      <x:c r="J154" s="25"/>
    </x:row>
    <x:row r="155" ht="15" hidden="0">
      <x:c r="A155" s="207" t="str">
        <x:v>16. Debt ratio</x:v>
      </x:c>
      <x:c r="B155" s="205" t="str">
        <x:v>Total Liabilities / Total Assets</x:v>
      </x:c>
      <x:c r="C155" s="30"/>
      <x:c r="D155" s="124" t="n">
        <x:f>IF(OR((D37)&lt;=0,(D62)&lt;0),"n/m",(D62)/(D37))</x:f>
        <x:v>0.27606535150381284</x:v>
      </x:c>
      <x:c r="E155" s="124" t="n">
        <x:f>IF(OR((E37)&lt;=0,(E62)&lt;0),"n/m",(E62)/(E37))</x:f>
        <x:v>0.3050460729395506</x:v>
      </x:c>
      <x:c r="F155" s="124" t="n">
        <x:f>IF(OR((F37)&lt;=0,(F62)&lt;0),"n/m",(F62)/(F37))</x:f>
        <x:v>0.35532697822447284</x:v>
      </x:c>
      <x:c r="G155" s="124" t="n">
        <x:f>IF(OR((G37)&lt;=0,(G62)&lt;0),"n/m",(G62)/(G37))</x:f>
        <x:v>0.3685903641039032</x:v>
      </x:c>
      <x:c r="H155" s="124" t="n">
        <x:f>IF(OR((H37)&lt;=0,(H62)&lt;0),"n/m",(H62)/(H37))</x:f>
        <x:v>0.34053721034041</x:v>
      </x:c>
      <x:c r="I155" s="9" t="s">
        <x:v>278</x:v>
      </x:c>
    </x:row>
    <x:row r="156" ht="15" hidden="0">
      <x:c r="A156" s="207" t="str">
        <x:v>17. Debt-to-equity</x:v>
      </x:c>
      <x:c r="B156" s="205" t="str">
        <x:v>Total Liabilities / Total Equity</x:v>
      </x:c>
      <x:c r="C156" s="30"/>
      <x:c r="D156" s="121" t="n">
        <x:f>IF(OR((D41)&lt;=0,(D62)&lt;0),"n/m",(D62)/(D41))</x:f>
        <x:v>0.3813401556028255</x:v>
      </x:c>
      <x:c r="E156" s="121" t="n">
        <x:f>IF(OR((E41)&lt;=0,(E62)&lt;0),"n/m",(E62)/(E41))</x:f>
        <x:v>0.4389443113586675</x:v>
      </x:c>
      <x:c r="F156" s="121" t="n">
        <x:f>IF(OR((F41)&lt;=0,(F62)&lt;0),"n/m",(F62)/(F41))</x:f>
        <x:v>0.5511739536514938</x:v>
      </x:c>
      <x:c r="G156" s="121" t="n">
        <x:f>IF(OR((G41)&lt;=0,(G62)&lt;0),"n/m",(G62)/(G41))</x:f>
        <x:v>0.5837579016050328</x:v>
      </x:c>
      <x:c r="H156" s="121" t="n">
        <x:f>IF(OR((H41)&lt;=0,(H62)&lt;0),"n/m",(H62)/(H41))</x:f>
        <x:v>0.5163857850360184</x:v>
      </x:c>
      <x:c r="I156" s="9" t="s">
        <x:v>321</x:v>
      </x:c>
    </x:row>
    <x:row r="157" ht="15" hidden="0">
      <x:c r="A157" s="207" t="str">
        <x:v>18. Total debt-to-capital</x:v>
      </x:c>
      <x:c r="B157" s="205" t="str">
        <x:v>Interest-bearing Debt / (IBD + Equity)</x:v>
      </x:c>
      <x:c r="C157" s="30"/>
      <x:c r="D157" s="124" t="n">
        <x:f>IF(OR((D66+D41)&lt;=0,(D66)&lt;0),"n/m",(D66)/(D66+D41))</x:f>
        <x:v>0.08481566313402544</x:v>
      </x:c>
      <x:c r="E157" s="124" t="n">
        <x:f>IF(OR((E66+E41)&lt;=0,(E66)&lt;0),"n/m",(E66)/(E66+E41))</x:f>
        <x:v>0.10820094237127705</x:v>
      </x:c>
      <x:c r="F157" s="124" t="n">
        <x:f>IF(OR((F66+F41)&lt;=0,(F66)&lt;0),"n/m",(F66)/(F66+F41))</x:f>
        <x:v>0.13283363678865434</x:v>
      </x:c>
      <x:c r="G157" s="124" t="n">
        <x:f>IF(OR((G66+G41)&lt;=0,(G66)&lt;0),"n/m",(G66)/(G66+G41))</x:f>
        <x:v>0.12102350075289672</x:v>
      </x:c>
      <x:c r="H157" s="124" t="n">
        <x:f>IF(OR((H66+H41)&lt;=0,(H66)&lt;0),"n/m",(H66)/(H66+H41))</x:f>
        <x:v>0.0906485859901983</x:v>
      </x:c>
      <x:c r="I157" s="9" t="s">
        <x:v>278</x:v>
      </x:c>
    </x:row>
    <x:row r="158" ht="15" hidden="0">
      <x:c r="A158" s="207" t="str">
        <x:v>19. Long-term debt ratio</x:v>
      </x:c>
      <x:c r="B158" s="205" t="str">
        <x:v>Long-term IBD / Total Assets</x:v>
      </x:c>
      <x:c r="C158" s="30"/>
      <x:c r="D158" s="124" t="n">
        <x:f>IF(OR((D37)&lt;=0,(D67)&lt;0),"n/m",(D67)/(D37))</x:f>
        <x:v>0.018763703805448454</x:v>
      </x:c>
      <x:c r="E158" s="124" t="n">
        <x:f>IF(OR((E37)&lt;=0,(E67)&lt;0),"n/m",(E67)/(E37))</x:f>
        <x:v>0.07627738632757988</x:v>
      </x:c>
      <x:c r="F158" s="124" t="n">
        <x:f>IF(OR((F37)&lt;=0,(F67)&lt;0),"n/m",(F67)/(F37))</x:f>
        <x:v>0.0683187429199697</x:v>
      </x:c>
      <x:c r="G158" s="124" t="n">
        <x:f>IF(OR((G37)&lt;=0,(G67)&lt;0),"n/m",(G67)/(G37))</x:f>
        <x:v>0.054528421285721974</x:v>
      </x:c>
      <x:c r="H158" s="124" t="n">
        <x:f>IF(OR((H37)&lt;=0,(H67)&lt;0),"n/m",(H67)/(H37))</x:f>
        <x:v>0.0344314520335914</x:v>
      </x:c>
      <x:c r="I158" s="9" t="s">
        <x:v>278</x:v>
      </x:c>
    </x:row>
    <x:row r="159" ht="15" hidden="0">
      <x:c r="A159" s="207" t="str">
        <x:v>20. Times interest earned</x:v>
      </x:c>
      <x:c r="B159" s="205" t="str">
        <x:v>EBIT / Interest Expense</x:v>
      </x:c>
      <x:c r="C159" s="30"/>
      <x:c r="D159" s="121" t="n">
        <x:f>IF(OR((D106)&lt;=0,(D108)&lt;0),"n/m",(D108)/(D106))</x:f>
        <x:v>52.04222826331838</x:v>
      </x:c>
      <x:c r="E159" s="121" t="n">
        <x:f>IF(OR((E106)&lt;=0,(E108)&lt;0),"n/m",(E108)/(E106))</x:f>
        <x:v>55.297361076962446</x:v>
      </x:c>
      <x:c r="F159" s="121" t="n">
        <x:f>IF(OR((F106)&lt;=0,(F108)&lt;0),"n/m",(F108)/(F106))</x:f>
        <x:v>19.427961435835122</x:v>
      </x:c>
      <x:c r="G159" s="121" t="n">
        <x:f>IF(OR((G106)&lt;=0,(G108)&lt;0),"n/m",(G108)/(G106))</x:f>
        <x:v>27.534616013098077</x:v>
      </x:c>
      <x:c r="H159" s="121" t="n">
        <x:f>IF(OR((H106)&lt;=0,(H108)&lt;0),"n/m",(H108)/(H106))</x:f>
        <x:v>36.7208914917797</x:v>
      </x:c>
      <x:c r="I159" s="9" t="s">
        <x:v>321</x:v>
      </x:c>
    </x:row>
    <x:row r="160" ht="22" hidden="0" customHeight="1">
      <x:c r="A160" s="204" t="str">
        <x:v>Profitability</x:v>
      </x:c>
      <x:c r="B160" s="203" t="s">
        <x:v>323</x:v>
      </x:c>
      <x:c r="C160" s="129"/>
      <x:c r="D160" s="132" t="n">
        <x:f aca="0">IF(D109&lt;=0,"n/m",D68/D109)</x:f>
        <x:v>0</x:v>
      </x:c>
      <x:c r="E160" s="132" t="n">
        <x:f aca="0">IF(E109&lt;=0,"n/m",E68/E109)</x:f>
        <x:v>0</x:v>
      </x:c>
      <x:c r="F160" s="132" t="n">
        <x:f aca="0">IF(F109&lt;=0,"n/m",F68/F109)</x:f>
        <x:v>0</x:v>
      </x:c>
      <x:c r="G160" s="132" t="n">
        <x:f aca="0">IF(G109&lt;=0,"n/m",G68/G109)</x:f>
        <x:v>0</x:v>
      </x:c>
      <x:c r="H160" s="132" t="n">
        <x:f aca="0">IF(H109&lt;=0,"n/m",H68/H109)</x:f>
        <x:v>0</x:v>
      </x:c>
      <x:c r="I160" s="9" t="s">
        <x:v>321</x:v>
      </x:c>
    </x:row>
    <x:row r="161" ht="15" hidden="0">
      <x:c r="A161" s="207" t="str">
        <x:v>21. Gross profit margin</x:v>
      </x:c>
      <x:c r="B161" s="205" t="str">
        <x:v>Gross Profit / Net Sales</x:v>
      </x:c>
      <x:c r="C161" s="30"/>
      <x:c r="D161" s="124" t="n">
        <x:f>IF(OR((D84)&lt;=0,(D86)&lt;0),"n/m",(D86)/(D84))</x:f>
        <x:v>0.30117079055471246</x:v>
      </x:c>
      <x:c r="E161" s="124" t="n">
        <x:f>IF(OR((E84)&lt;=0,(E86)&lt;0),"n/m",(E86)/(E84))</x:f>
        <x:v>0.278096691443614</x:v>
      </x:c>
      <x:c r="F161" s="124" t="n">
        <x:f>IF(OR((F84)&lt;=0,(F86)&lt;0),"n/m",(F86)/(F84))</x:f>
        <x:v>0.2719408759567914</x:v>
      </x:c>
      <x:c r="G161" s="124" t="n">
        <x:f>IF(OR((G84)&lt;=0,(G86)&lt;0),"n/m",(G86)/(G84))</x:f>
        <x:v>0.3364803079632158</x:v>
      </x:c>
      <x:c r="H161" s="124" t="n">
        <x:f>IF(OR((H84)&lt;=0,(H86)&lt;0),"n/m",(H86)/(H84))</x:f>
        <x:v>0.342816529820673</x:v>
      </x:c>
      <x:c r="I161" s="25"/>
      <x:c r="J161" s="25"/>
    </x:row>
    <x:row r="162" ht="15" hidden="0">
      <x:c r="A162" s="207" t="str">
        <x:v>22. Operating margin</x:v>
      </x:c>
      <x:c r="B162" s="205" t="str">
        <x:v>Operating Profit / Net Sales</x:v>
      </x:c>
      <x:c r="C162" s="30"/>
      <x:c r="D162" s="124" t="n">
        <x:f>IF(OR((D84)&lt;=0,(D91)&lt;0),"n/m",(D91)/(D84))</x:f>
        <x:v>0.18004359810777762</x:v>
      </x:c>
      <x:c r="E162" s="124" t="n">
        <x:f>IF(OR((E84)&lt;=0,(E91)&lt;0),"n/m",(E91)/(E84))</x:f>
        <x:v>0.1779173984606045</x:v>
      </x:c>
      <x:c r="F162" s="124" t="n">
        <x:f>IF(OR((F84)&lt;=0,(F91)&lt;0),"n/m",(F91)/(F84))</x:f>
        <x:v>0.17181730260097375</x:v>
      </x:c>
      <x:c r="G162" s="124" t="n">
        <x:f>IF(OR((G84)&lt;=0,(G91)&lt;0),"n/m",(G91)/(G84))</x:f>
        <x:v>0.22886089116784467</x:v>
      </x:c>
      <x:c r="H162" s="124" t="n">
        <x:f>IF(OR((H84)&lt;=0,(H91)&lt;0),"n/m",(H91)/(H84))</x:f>
        <x:v>0.22670718514712962</x:v>
      </x:c>
      <x:c r="I162" s="9" t="s">
        <x:v>278</x:v>
      </x:c>
    </x:row>
    <x:row r="163" ht="15" hidden="0">
      <x:c r="A163" s="207" t="str">
        <x:v>23. Net profit margin</x:v>
      </x:c>
      <x:c r="B163" s="205" t="str">
        <x:v>Net Profit / Net Sales</x:v>
      </x:c>
      <x:c r="C163" s="30"/>
      <x:c r="D163" s="124" t="n">
        <x:f>IF(OR((D84)&lt;=0,(D99)&lt;0),"n/m",(D99)/(D84))</x:f>
        <x:v>0.22354637821997994</x:v>
      </x:c>
      <x:c r="E163" s="124" t="n">
        <x:f>IF(OR((E84)&lt;=0,(E99)&lt;0),"n/m",(E99)/(E84))</x:f>
        <x:v>0.18865400166042842</x:v>
      </x:c>
      <x:c r="F163" s="124" t="n">
        <x:f>IF(OR((F84)&lt;=0,(F99)&lt;0),"n/m",(F99)/(F84))</x:f>
        <x:v>0.14322765825125466</x:v>
      </x:c>
      <x:c r="G163" s="124" t="n">
        <x:f>IF(OR((G84)&lt;=0,(G99)&lt;0),"n/m",(G99)/(G84))</x:f>
        <x:v>0.24371604713228476</x:v>
      </x:c>
      <x:c r="H163" s="124" t="n">
        <x:f>IF(OR((H84)&lt;=0,(H99)&lt;0),"n/m",(H99)/(H84))</x:f>
        <x:v>0.26577542757733763</x:v>
      </x:c>
      <x:c r="I163" s="9" t="s">
        <x:v>278</x:v>
      </x:c>
    </x:row>
    <x:row r="164" ht="15" hidden="0">
      <x:c r="A164" s="207" t="str">
        <x:v>24. Return on assets</x:v>
      </x:c>
      <x:c r="B164" s="205" t="str">
        <x:v>Net Profit / Average Total Assets</x:v>
      </x:c>
      <x:c r="C164" s="30"/>
      <x:c r="D164" s="124" t="n">
        <x:f>IF(OR((AVERAGE(C37,D37))&lt;=0,(D99)&lt;0),"n/m",(D99)/(AVERAGE(C37,D37)))</x:f>
        <x:v>0.09629315480251932</x:v>
      </x:c>
      <x:c r="E164" s="124" t="n">
        <x:f>IF(OR((AVERAGE(D37,E37))&lt;=0,(E99)&lt;0),"n/m",(E99)/(AVERAGE(D37,E37)))</x:f>
        <x:v>0.08964110231836049</x:v>
      </x:c>
      <x:c r="F164" s="124" t="n">
        <x:f>IF(OR((AVERAGE(E37,F37))&lt;=0,(F99)&lt;0),"n/m",(F99)/(AVERAGE(E37,F37)))</x:f>
        <x:v>0.06896675970430062</x:v>
      </x:c>
      <x:c r="G164" s="124" t="n">
        <x:f>IF(OR((AVERAGE(F37,G37))&lt;=0,(G99)&lt;0),"n/m",(G99)/(AVERAGE(F37,G37)))</x:f>
        <x:v>0.12572899898802087</x:v>
      </x:c>
      <x:c r="H164" s="124" t="n">
        <x:f>IF(OR((AVERAGE(G37,H37))&lt;=0,(H99)&lt;0),"n/m",(H99)/(AVERAGE(G37,H37)))</x:f>
        <x:v>0.1321661377570831</x:v>
      </x:c>
      <x:c r="I164" s="9" t="s">
        <x:v>278</x:v>
      </x:c>
    </x:row>
    <x:row r="165" ht="15" hidden="0">
      <x:c r="A165" s="207" t="str">
        <x:v>25. Return on equity</x:v>
      </x:c>
      <x:c r="B165" s="205" t="str">
        <x:v>Net Profit / Average Equity</x:v>
      </x:c>
      <x:c r="C165" s="30"/>
      <x:c r="D165" s="124" t="n">
        <x:f>IF(OR((AVERAGE(C41,D41))&lt;=0,(D99)&lt;0),"n/m",(D99)/(AVERAGE(C41,D41)))</x:f>
        <x:v>0.13249756211762712</x:v>
      </x:c>
      <x:c r="E165" s="124" t="n">
        <x:f>IF(OR((AVERAGE(D41,E41))&lt;=0,(E99)&lt;0),"n/m",(E99)/(AVERAGE(D41,E41)))</x:f>
        <x:v>0.1265705399848834</x:v>
      </x:c>
      <x:c r="F165" s="124" t="n">
        <x:f>IF(OR((AVERAGE(E41,F41))&lt;=0,(F99)&lt;0),"n/m",(F99)/(AVERAGE(E41,F41)))</x:f>
        <x:v>0.10323783929435384</x:v>
      </x:c>
      <x:c r="G165" s="124" t="n">
        <x:f>IF(OR((AVERAGE(F41,G41))&lt;=0,(G99)&lt;0),"n/m",(G99)/(AVERAGE(F41,G41)))</x:f>
        <x:v>0.19715059997190104</x:v>
      </x:c>
      <x:c r="H165" s="124" t="n">
        <x:f>IF(OR((AVERAGE(G41,H41))&lt;=0,(H99)&lt;0),"n/m",(H99)/(AVERAGE(G41,H41)))</x:f>
        <x:v>0.2044798130421526</x:v>
      </x:c>
      <x:c r="I165" s="9" t="s">
        <x:v>278</x:v>
      </x:c>
    </x:row>
    <x:row r="166" ht="15" hidden="0">
      <x:c r="A166" s="207" t="str">
        <x:v>26. Return on invested capital</x:v>
      </x:c>
      <x:c r="B166" s="205" t="str">
        <x:v>NOPAT / Average Invested Capital</x:v>
      </x:c>
      <x:c r="C166" s="30"/>
      <x:c r="D166" s="124" t="n">
        <x:f>IF(OR((AVERAGE(C70,D70))&lt;=0,(D113)&lt;0),"n/m",(D113)/(AVERAGE(C70,D70)))</x:f>
        <x:v>0.12407020191785936</x:v>
      </x:c>
      <x:c r="E166" s="124" t="n">
        <x:f>IF(OR((AVERAGE(D70,E70))&lt;=0,(E113)&lt;0),"n/m",(E113)/(AVERAGE(D70,E70)))</x:f>
        <x:v>0.11634647447890245</x:v>
      </x:c>
      <x:c r="F166" s="124" t="n">
        <x:f>IF(OR((AVERAGE(E70,F70))&lt;=0,(F113)&lt;0),"n/m",(F113)/(AVERAGE(E70,F70)))</x:f>
        <x:v>0.09570891419697462</x:v>
      </x:c>
      <x:c r="G166" s="124" t="n">
        <x:f>IF(OR((AVERAGE(F70,G70))&lt;=0,(G113)&lt;0),"n/m",(G113)/(AVERAGE(F70,G70)))</x:f>
        <x:v>0.1787383675569278</x:v>
      </x:c>
      <x:c r="H166" s="124" t="n">
        <x:f>IF(OR((AVERAGE(G70,H70))&lt;=0,(H113)&lt;0),"n/m",(H113)/(AVERAGE(G70,H70)))</x:f>
        <x:v>0.18835780074997993</x:v>
      </x:c>
      <x:c r="I166" s="9" t="s">
        <x:v>278</x:v>
      </x:c>
    </x:row>
    <x:row r="167" ht="15" hidden="0">
      <x:c r="A167" s="207" t="str">
        <x:v>27. Basic earning power</x:v>
      </x:c>
      <x:c r="B167" s="205" t="str">
        <x:v>EBIT / Average Total Assets</x:v>
      </x:c>
      <x:c r="C167" s="30"/>
      <x:c r="D167" s="124" t="n">
        <x:f>IF(OR((AVERAGE(C37,D37))&lt;=0,(D108)&lt;0),"n/m",(D108)/(AVERAGE(C37,D37)))</x:f>
        <x:v>0.11856914427701815</x:v>
      </x:c>
      <x:c r="E167" s="124" t="n">
        <x:f>IF(OR((AVERAGE(D37,E37))&lt;=0,(E108)&lt;0),"n/m",(E108)/(AVERAGE(D37,E37)))</x:f>
        <x:v>0.12782774158166904</x:v>
      </x:c>
      <x:c r="F167" s="124" t="n">
        <x:f>IF(OR((AVERAGE(E37,F37))&lt;=0,(F108)&lt;0),"n/m",(F108)/(AVERAGE(E37,F37)))</x:f>
        <x:v>0.11311909776428172</x:v>
      </x:c>
      <x:c r="G167" s="124" t="n">
        <x:f>IF(OR((AVERAGE(F37,G37))&lt;=0,(G108)&lt;0),"n/m",(G108)/(AVERAGE(F37,G37)))</x:f>
        <x:v>0.19221205649491527</x:v>
      </x:c>
      <x:c r="H167" s="124" t="n">
        <x:f>IF(OR((AVERAGE(G37,H37))&lt;=0,(H108)&lt;0),"n/m",(H108)/(AVERAGE(G37,H37)))</x:f>
        <x:v>0.19447652728583156</x:v>
      </x:c>
      <x:c r="I167" s="9" t="s">
        <x:v>278</x:v>
      </x:c>
    </x:row>
    <x:row r="168" ht="22" hidden="0" customHeight="1">
      <x:c r="A168" s="204" t="str">
        <x:v>Market Value</x:v>
      </x:c>
      <x:c r="B168" s="203" t="s">
        <x:v>324</x:v>
      </x:c>
      <x:c r="C168" s="129"/>
      <x:c r="D168" s="134" t="n">
        <x:f aca="0">D108/((C37+D37)/2)</x:f>
        <x:v>0.11856914427701815</x:v>
      </x:c>
      <x:c r="E168" s="134" t="n">
        <x:f aca="0">E108/((D37+E37)/2)</x:f>
        <x:v>0.12782774158166904</x:v>
      </x:c>
      <x:c r="F168" s="134" t="n">
        <x:f aca="0">F108/((E37+F37)/2)</x:f>
        <x:v>0.11311909776428172</x:v>
      </x:c>
      <x:c r="G168" s="134" t="n">
        <x:f aca="0">G108/((F37+G37)/2)</x:f>
        <x:v>0.19221205649491527</x:v>
      </x:c>
      <x:c r="H168" s="134" t="n">
        <x:f aca="0">H108/((G37+H37)/2)</x:f>
        <x:v>0.19447652728583156</x:v>
      </x:c>
      <x:c r="I168" s="9" t="s">
        <x:v>278</x:v>
      </x:c>
    </x:row>
    <x:row r="169" ht="15" hidden="0">
      <x:c r="A169" s="207" t="str">
        <x:v>28. Book value per share (Rs)</x:v>
      </x:c>
      <x:c r="B169" s="205" t="str">
        <x:v>Total Equity / Shares Outstanding</x:v>
      </x:c>
      <x:c r="C169" s="30"/>
      <x:c r="D169" s="125" t="n">
        <x:f>IF(OR((D128)&lt;=0,(D41)&lt;0),"n/m",(D41)/(D128))</x:f>
        <x:v>350.05878005411677</x:v>
      </x:c>
      <x:c r="E169" s="125" t="n">
        <x:f>IF(OR((E128)&lt;=0,(E41)&lt;0),"n/m",(E41)/(E128))</x:f>
        <x:v>397.4961700811751</x:v>
      </x:c>
      <x:c r="F169" s="125" t="n">
        <x:f>IF(OR((F128)&lt;=0,(F41)&lt;0),"n/m",(F41)/(F128))</x:f>
        <x:v>440.50456229600826</x:v>
      </x:c>
      <x:c r="G169" s="125" t="n">
        <x:f>IF(OR((G128)&lt;=0,(G41)&lt;0),"n/m",(G41)/(G128))</x:f>
        <x:v>504.3046996587031</x:v>
      </x:c>
      <x:c r="H169" s="125" t="n">
        <x:f>IF(OR((H128)&lt;=0,(H41)&lt;0),"n/m",(H41)/(H128))</x:f>
        <x:v>120.07535836177475</x:v>
      </x:c>
      <x:c r="I169" s="9" t="s">
        <x:v>278</x:v>
      </x:c>
    </x:row>
    <x:row r="170" ht="15" hidden="0">
      <x:c r="A170" s="207" t="str">
        <x:v>29. Market-to-book ratio</x:v>
      </x:c>
      <x:c r="B170" s="205" t="str">
        <x:v>Share Price / BVPS</x:v>
      </x:c>
      <x:c r="C170" s="30"/>
      <x:c r="D170" s="121" t="n">
        <x:f>IF(OR((D41/D128)&lt;=0,(D130)&lt;0),"n/m",(D130)/(D41/D128))</x:f>
        <x:v>2.4665571875286716</x:v>
      </x:c>
      <x:c r="E170" s="121" t="n">
        <x:f>IF(OR((E41/E128)&lt;=0,(E130)&lt;0),"n/m",(E130)/(E41/E128))</x:f>
        <x:v>1.154828736856148</x:v>
      </x:c>
      <x:c r="F170" s="121" t="n">
        <x:f>IF(OR((F41/F128)&lt;=0,(F130)&lt;0),"n/m",(F130)/(F41/F128))</x:f>
        <x:v>1.185209064075864</x:v>
      </x:c>
      <x:c r="G170" s="121" t="n">
        <x:f>IF(OR((G41/G128)&lt;=0,(G130)&lt;0),"n/m",(G130)/(G41/G128))</x:f>
        <x:v>1.7979804681845026</x:v>
      </x:c>
      <x:c r="H170" s="121" t="n">
        <x:f>IF(OR((H41/H128)&lt;=0,(H130)&lt;0),"n/m",(H130)/(H41/H128))</x:f>
        <x:v>2.9584754511387614</x:v>
      </x:c>
      <x:c r="I170" s="25"/>
      <x:c r="J170" s="25"/>
    </x:row>
    <x:row r="171" ht="15" hidden="0">
      <x:c r="A171" s="207" t="str">
        <x:v>30. Earnings per share (Rs)</x:v>
      </x:c>
      <x:c r="B171" s="205" t="str">
        <x:v>Net Profit / Weighted Average Shares</x:v>
      </x:c>
      <x:c r="C171" s="30"/>
      <x:c r="D171" s="125" t="n">
        <x:f>IF(OR((D129)&lt;=0,(D99)&lt;0),"n/m",(D99)/(D129))</x:f>
        <x:v>43.51044143795904</x:v>
      </x:c>
      <x:c r="E171" s="125" t="n">
        <x:f>IF(OR((E129)&lt;=0,(E99)&lt;0),"n/m",(E99)/(E129))</x:f>
        <x:v>47.30921685349824</x:v>
      </x:c>
      <x:c r="F171" s="125" t="n">
        <x:f>IF(OR((F129)&lt;=0,(F99)&lt;0),"n/m",(F99)/(F129))</x:f>
        <x:v>43.06151234984266</x:v>
      </x:c>
      <x:c r="G171" s="125" t="n">
        <x:f>IF(OR((G129)&lt;=0,(G99)&lt;0),"n/m",(G99)/(G129))</x:f>
        <x:v>94.54058917711643</x:v>
      </x:c>
      <x:c r="H171" s="125" t="n">
        <x:f>IF(OR((H129)&lt;=0,(H99)&lt;0),"n/m",(H99)/(H129))</x:f>
        <x:v>22.58850648464164</x:v>
      </x:c>
      <x:c r="I171" s="9" t="s">
        <x:v>306</x:v>
      </x:c>
    </x:row>
    <x:row r="172" ht="15" hidden="0">
      <x:c r="A172" s="207" t="str">
        <x:v>31. Price-to-earnings ratio</x:v>
      </x:c>
      <x:c r="B172" s="205" t="str">
        <x:v>Share Price / EPS</x:v>
      </x:c>
      <x:c r="C172" s="30"/>
      <x:c r="D172" s="121" t="n">
        <x:f>IF(OR((D99/D129)&lt;=0,(D130)&lt;0),"n/m",(D130)/(D99/D129))</x:f>
        <x:v>19.844432082610968</x:v>
      </x:c>
      <x:c r="E172" s="121" t="n">
        <x:f>IF(OR((E99/E129)&lt;=0,(E130)&lt;0),"n/m",(E130)/(E99/E129))</x:f>
        <x:v>9.702971863210132</x:v>
      </x:c>
      <x:c r="F172" s="121" t="n">
        <x:f>IF(OR((F99/F129)&lt;=0,(F130)&lt;0),"n/m",(F130)/(F99/F129))</x:f>
        <x:v>12.124283879265743</x:v>
      </x:c>
      <x:c r="G172" s="121" t="n">
        <x:f>IF(OR((G99/G129)&lt;=0,(G130)&lt;0),"n/m",(G130)/(G99/G129))</x:f>
        <x:v>9.590907015623658</x:v>
      </x:c>
      <x:c r="H172" s="121" t="n">
        <x:f>IF(OR((H99/H129)&lt;=0,(H130)&lt;0),"n/m",(H130)/(H99/H129))</x:f>
        <x:v>15.726582022655393</x:v>
      </x:c>
      <x:c r="I172" s="9" t="s">
        <x:v>321</x:v>
      </x:c>
    </x:row>
    <x:row r="173" ht="15" hidden="0">
      <x:c r="A173" s="207" t="str">
        <x:v>32. Dividend yield</x:v>
      </x:c>
      <x:c r="B173" s="205" t="str">
        <x:v>DPS / Share Price</x:v>
      </x:c>
      <x:c r="C173" s="30"/>
      <x:c r="D173" s="124" t="n">
        <x:f>IF(OR((D130)&lt;=0,(D131)&lt;0),"n/m",(D131)/(D130))</x:f>
        <x:v>0</x:v>
      </x:c>
      <x:c r="E173" s="124" t="n">
        <x:f>IF(OR((E130)&lt;=0,(E131)&lt;0),"n/m",(E131)/(E130))</x:f>
        <x:v>0</x:v>
      </x:c>
      <x:c r="F173" s="124" t="n">
        <x:f>IF(OR((F130)&lt;=0,(F131)&lt;0),"n/m",(F131)/(F130))</x:f>
        <x:v>0.034476814342354764</x:v>
      </x:c>
      <x:c r="G173" s="124" t="n">
        <x:f>IF(OR((G130)&lt;=0,(G131)&lt;0),"n/m",(G131)/(G130))</x:f>
        <x:v>0.016542962072502287</x:v>
      </x:c>
      <x:c r="H173" s="124" t="n">
        <x:f>IF(OR((H130)&lt;=0,(H131)&lt;0),"n/m",(H131)/(H130))</x:f>
        <x:v>0.011259993244004052</x:v>
      </x:c>
      <x:c r="I173" s="9" t="s">
        <x:v>306</x:v>
      </x:c>
    </x:row>
    <x:row r="174" ht="15" hidden="0">
      <x:c r="A174" s="207" t="str">
        <x:v>33. Dividend payout ratio</x:v>
      </x:c>
      <x:c r="B174" s="205" t="str">
        <x:v>DPS / EPS</x:v>
      </x:c>
      <x:c r="C174" s="30"/>
      <x:c r="D174" s="124" t="n">
        <x:f>IF(OR((D99/D129)&lt;=0,(D131)&lt;0),"n/m",(D131)/(D99/D129))</x:f>
        <x:v>0</x:v>
      </x:c>
      <x:c r="E174" s="124" t="n">
        <x:f>IF(OR((E99/E129)&lt;=0,(E131)&lt;0),"n/m",(E131)/(E99/E129))</x:f>
        <x:v>0</x:v>
      </x:c>
      <x:c r="F174" s="124" t="n">
        <x:f>IF(OR((F99/F129)&lt;=0,(F131)&lt;0),"n/m",(F131)/(F99/F129))</x:f>
        <x:v>0.4180066843394498</x:v>
      </x:c>
      <x:c r="G174" s="124" t="n">
        <x:f>IF(OR((G99/G129)&lt;=0,(G131)&lt;0),"n/m",(G131)/(G99/G129))</x:f>
        <x:v>0.1586620110003583</x:v>
      </x:c>
      <x:c r="H174" s="124" t="n">
        <x:f>IF(OR((H99/H129)&lt;=0,(H131)&lt;0),"n/m",(H131)/(H99/H129))</x:f>
        <x:v>0.17708120732637533</x:v>
      </x:c>
      <x:c r="I174" s="9" t="s">
        <x:v>321</x:v>
      </x:c>
    </x:row>
    <x:row r="175" ht="15" hidden="0">
      <x:c r="A175" s="193"/>
      <x:c r="B175" s="193"/>
      <x:c r="C175"/>
      <x:c r="D175">
        <x:f aca="0"/>
      </x:c>
      <x:c r="E175">
        <x:f aca="0"/>
      </x:c>
      <x:c r="F175">
        <x:f aca="0"/>
      </x:c>
      <x:c r="G175">
        <x:f aca="0"/>
      </x:c>
      <x:c r="H175">
        <x:f aca="0"/>
      </x:c>
      <x:c r="I175" s="9" t="s">
        <x:v>278</x:v>
      </x:c>
    </x:row>
    <x:row r="176" ht="15" hidden="0">
      <x:c r="A176" s="206" t="str">
        <x:v>33 measures: 19 mandatory ratios and 14 additional measures. Ratios use one method across all five companies.</x:v>
      </x:c>
      <x:c r="B176" s="206"/>
      <x:c r="C176" s="135"/>
      <x:c r="D176" s="135">
        <x:f aca="0"/>
      </x:c>
      <x:c r="E176" s="135">
        <x:f aca="0"/>
      </x:c>
      <x:c r="F176" s="135">
        <x:f aca="0"/>
      </x:c>
      <x:c r="G176" s="135">
        <x:f aca="0"/>
      </x:c>
      <x:c r="H176" s="135">
        <x:f aca="0"/>
      </x:c>
      <x:c r="I176" s="9" t="s">
        <x:v>278</x:v>
      </x:c>
    </x:row>
    <x:row r="177" ht="15" hidden="0">
      <x:c r="A177" s="206" t="str">
        <x:v>n/m: negative calculated measures or non-positive denominators. Signed accounting inputs and raw workings are retained in the audit workbook.</x:v>
      </x:c>
      <x:c r="B177" s="206"/>
      <x:c r="C177" s="135"/>
      <x:c r="D177" s="135"/>
      <x:c r="E177" s="135"/>
      <x:c r="F177" s="135"/>
      <x:c r="G177" s="135"/>
      <x:c r="H177" s="135"/>
      <x:c r="I177" s="25"/>
      <x:c r="J177" s="25"/>
    </x:row>
    <x:row r="178" ht="15" hidden="0">
      <x:c r="A178" s="206" t="str">
        <x:v>DIO includes stores and stock; supplier payables include identified related operating suppliers, excluding contractor retentions, taxes and accruals.</x:v>
      </x:c>
      <x:c r="B178" s="206"/>
      <x:c r="C178" s="135"/>
      <x:c r="D178" s="135">
        <x:f aca="0"/>
      </x:c>
      <x:c r="E178" s="135">
        <x:f aca="0"/>
      </x:c>
      <x:c r="F178" s="135">
        <x:f aca="0"/>
      </x:c>
      <x:c r="G178" s="135">
        <x:f aca="0"/>
      </x:c>
      <x:c r="H178" s="135">
        <x:f aca="0"/>
      </x:c>
      <x:c r="I178" s="9" t="s">
        <x:v>321</x:v>
      </x:c>
    </x:row>
    <x:row r="179" ht="15" hidden="0">
      <x:c r="A179" s="193"/>
      <x:c r="B179" s="193"/>
      <x:c r="C179"/>
      <x:c r="D179"/>
      <x:c r="E179"/>
      <x:c r="F179"/>
      <x:c r="G179"/>
      <x:c r="H179"/>
      <x:c r="I179" s="25"/>
      <x:c r="J179" s="25"/>
    </x:row>
    <x:row r="180" ht="15" hidden="0">
      <x:c r="A180" s="193"/>
      <x:c r="B180" s="193"/>
      <x:c r="C180"/>
      <x:c r="D180">
        <x:f aca="0"/>
      </x:c>
      <x:c r="E180">
        <x:f aca="0"/>
      </x:c>
      <x:c r="F180">
        <x:f aca="0"/>
      </x:c>
      <x:c r="G180">
        <x:f aca="0"/>
      </x:c>
      <x:c r="H180">
        <x:f aca="0"/>
      </x:c>
      <x:c r="I180" s="9" t="s">
        <x:v>278</x:v>
      </x:c>
    </x:row>
    <x:row r="181" ht="15" hidden="0">
      <x:c r="A181" s="193"/>
      <x:c r="B181" s="193"/>
      <x:c r="C181"/>
      <x:c r="D181">
        <x:f aca="0"/>
      </x:c>
      <x:c r="E181">
        <x:f aca="0"/>
      </x:c>
      <x:c r="F181">
        <x:f aca="0"/>
      </x:c>
      <x:c r="G181">
        <x:f aca="0"/>
      </x:c>
      <x:c r="H181">
        <x:f aca="0"/>
      </x:c>
      <x:c r="I181" s="9" t="s">
        <x:v>278</x:v>
      </x:c>
    </x:row>
    <x:row r="182" ht="15" hidden="0">
      <x:c r="A182" s="193"/>
      <x:c r="B182" s="193"/>
      <x:c r="C182"/>
      <x:c r="D182">
        <x:f aca="0"/>
      </x:c>
      <x:c r="E182">
        <x:f aca="0"/>
      </x:c>
      <x:c r="F182">
        <x:f aca="0"/>
      </x:c>
      <x:c r="G182">
        <x:f aca="0"/>
      </x:c>
      <x:c r="H182">
        <x:f aca="0"/>
      </x:c>
      <x:c r="I182" s="9" t="s">
        <x:v>321</x:v>
      </x:c>
    </x:row>
    <x:row r="183" ht="15" hidden="0">
      <x:c r="A183" s="201"/>
      <x:c r="B183" s="202"/>
      <x:c r="C183" s="25"/>
      <x:c r="D183" s="25"/>
      <x:c r="E183" s="25"/>
      <x:c r="F183" s="25"/>
      <x:c r="G183" s="25"/>
      <x:c r="H183" s="25"/>
      <x:c r="I183" s="25"/>
      <x:c r="J183" s="25"/>
    </x:row>
    <x:row r="184" ht="15" hidden="0">
      <x:c r="A184" s="193"/>
      <x:c r="B184" s="195"/>
      <x:c r="C184" s="30"/>
      <x:c r="D184" s="37">
        <x:f aca="0"/>
      </x:c>
      <x:c r="E184" s="37">
        <x:f aca="0"/>
      </x:c>
      <x:c r="F184" s="37">
        <x:f aca="0"/>
      </x:c>
      <x:c r="G184" s="37">
        <x:f aca="0"/>
      </x:c>
      <x:c r="H184" s="37">
        <x:f aca="0"/>
      </x:c>
      <x:c r="I184" s="9"/>
    </x:row>
    <x:row r="185" ht="15" hidden="0">
      <x:c r="A185" s="193"/>
      <x:c r="B185" s="195"/>
      <x:c r="C185" s="30"/>
      <x:c r="D185" s="37">
        <x:f aca="0"/>
      </x:c>
      <x:c r="E185" s="37">
        <x:f aca="0"/>
      </x:c>
      <x:c r="F185" s="37">
        <x:f aca="0"/>
      </x:c>
      <x:c r="G185" s="37">
        <x:f aca="0"/>
      </x:c>
      <x:c r="H185" s="37">
        <x:f aca="0"/>
      </x:c>
      <x:c r="I185" s="9"/>
    </x:row>
    <x:row r="186" ht="15" hidden="0">
      <x:c r="A186" s="193"/>
      <x:c r="B186" s="195"/>
      <x:c r="C186" s="30"/>
      <x:c r="D186" s="39">
        <x:f aca="0"/>
      </x:c>
      <x:c r="E186" s="39">
        <x:f aca="0"/>
      </x:c>
      <x:c r="F186" s="39">
        <x:f aca="0"/>
      </x:c>
      <x:c r="G186" s="39">
        <x:f aca="0"/>
      </x:c>
      <x:c r="H186" s="39">
        <x:f aca="0"/>
      </x:c>
      <x:c r="I186" s="9"/>
    </x:row>
    <x:row r="187" ht="15" hidden="0">
      <x:c r="A187" s="193"/>
      <x:c r="B187" s="195"/>
      <x:c r="C187" s="30"/>
      <x:c r="D187" s="37">
        <x:f aca="0"/>
      </x:c>
      <x:c r="E187" s="37">
        <x:f aca="0"/>
      </x:c>
      <x:c r="F187" s="37">
        <x:f aca="0"/>
      </x:c>
      <x:c r="G187" s="37">
        <x:f aca="0"/>
      </x:c>
      <x:c r="H187" s="37">
        <x:f aca="0"/>
      </x:c>
      <x:c r="I187" s="9"/>
    </x:row>
    <x:row r="188" ht="15" hidden="0">
      <x:c r="A188" s="193"/>
      <x:c r="B188" s="195"/>
      <x:c r="C188" s="30"/>
      <x:c r="D188" s="41">
        <x:f aca="0"/>
      </x:c>
      <x:c r="E188" s="41">
        <x:f aca="0"/>
      </x:c>
      <x:c r="F188" s="41">
        <x:f aca="0"/>
      </x:c>
      <x:c r="G188" s="41">
        <x:f aca="0"/>
      </x:c>
      <x:c r="H188" s="41">
        <x:f aca="0"/>
      </x:c>
      <x:c r="I188" s="9"/>
    </x:row>
    <x:row r="189" ht="15" hidden="0">
      <x:c r="A189" s="193"/>
      <x:c r="B189" s="195"/>
      <x:c r="C189" s="30"/>
      <x:c r="D189" s="40">
        <x:f aca="0"/>
      </x:c>
      <x:c r="E189" s="40">
        <x:f aca="0"/>
      </x:c>
      <x:c r="F189" s="40">
        <x:f aca="0"/>
      </x:c>
      <x:c r="G189" s="40">
        <x:f aca="0"/>
      </x:c>
      <x:c r="H189" s="40">
        <x:f aca="0"/>
      </x:c>
      <x:c r="I189" s="9"/>
    </x:row>
    <x:row r="190">
      <x:c r="A190" s="193"/>
      <x:c r="B190" s="193"/>
    </x:row>
    <x:row r="191" ht="15" hidden="0">
      <x:c r="A191" s="196" t="s">
        <x:v>325</x:v>
      </x:c>
      <x:c r="B191" s="197"/>
      <x:c r="C191" s="20"/>
      <x:c r="D191" s="20"/>
      <x:c r="E191" s="20"/>
      <x:c r="F191" s="20"/>
      <x:c r="G191" s="20"/>
      <x:c r="H191" s="20"/>
      <x:c r="I191" s="20"/>
      <x:c r="J191" s="20"/>
    </x:row>
    <x:row r="192" ht="15" hidden="0">
      <x:c r="A192" s="201" t="s">
        <x:v>326</x:v>
      </x:c>
      <x:c r="B192" s="202"/>
      <x:c r="C192" s="25"/>
      <x:c r="D192" s="25"/>
      <x:c r="E192" s="25"/>
      <x:c r="F192" s="25"/>
      <x:c r="G192" s="25"/>
      <x:c r="H192" s="25"/>
      <x:c r="I192" s="25"/>
      <x:c r="J192" s="25"/>
    </x:row>
    <x:row r="193" ht="15" hidden="0">
      <x:c r="A193" s="193" t="s">
        <x:v>327</x:v>
      </x:c>
      <x:c r="B193" s="195" t="s">
        <x:v>328</x:v>
      </x:c>
      <x:c r="C193" s="42" t="n">
        <x:f aca="0">IF(C37=0,"n/m",C22/C37)</x:f>
        <x:v>0.4409660109967821</x:v>
      </x:c>
      <x:c r="D193" s="42" t="n">
        <x:f aca="0">IF(D37=0,"n/m",D22/D37)</x:f>
        <x:v>0.37331730184134404</x:v>
      </x:c>
      <x:c r="E193" s="42" t="n">
        <x:f aca="0">IF(E37=0,"n/m",E22/E37)</x:f>
        <x:v>0.3264979609257598</x:v>
      </x:c>
      <x:c r="F193" s="42" t="n">
        <x:f aca="0">IF(F37=0,"n/m",F22/F37)</x:f>
        <x:v>0.42265137663663593</x:v>
      </x:c>
      <x:c r="G193" s="42" t="n">
        <x:f aca="0">IF(G37=0,"n/m",G22/G37)</x:f>
        <x:v>0.40862511953669906</x:v>
      </x:c>
      <x:c r="H193" s="42" t="n">
        <x:f aca="0">IF(H37=0,"n/m",H22/H37)</x:f>
        <x:v>0.3823415153244056</x:v>
      </x:c>
      <x:c r="I193" s="11" t="s">
        <x:v>278</x:v>
      </x:c>
    </x:row>
    <x:row r="194" ht="15" hidden="0">
      <x:c r="A194" s="193" t="s">
        <x:v>329</x:v>
      </x:c>
      <x:c r="B194" s="195" t="s">
        <x:v>330</x:v>
      </x:c>
      <x:c r="C194" s="42" t="n">
        <x:f aca="0">IF(C37=0,"n/m",C21/C37)</x:f>
        <x:v>0.0024596655144592263</x:v>
      </x:c>
      <x:c r="D194" s="42" t="n">
        <x:f aca="0">IF(D37=0,"n/m",D21/D37)</x:f>
        <x:v>0.025676880231463122</x:v>
      </x:c>
      <x:c r="E194" s="42" t="n">
        <x:f aca="0">IF(E37=0,"n/m",E21/E37)</x:f>
        <x:v>0.11846309190851188</x:v>
      </x:c>
      <x:c r="F194" s="42" t="n">
        <x:f aca="0">IF(F37=0,"n/m",F21/F37)</x:f>
        <x:v>0.02610366695476473</x:v>
      </x:c>
      <x:c r="G194" s="42" t="n">
        <x:f aca="0">IF(G37=0,"n/m",G21/G37)</x:f>
        <x:v>0.04971112703295715</x:v>
      </x:c>
      <x:c r="H194" s="42" t="n">
        <x:f aca="0">IF(H37=0,"n/m",H21/H37)</x:f>
        <x:v>0.02032158213127197</x:v>
      </x:c>
      <x:c r="I194" s="11" t="s">
        <x:v>278</x:v>
      </x:c>
    </x:row>
    <x:row r="195" ht="15" hidden="0">
      <x:c r="A195" s="193" t="s">
        <x:v>126</x:v>
      </x:c>
      <x:c r="B195" s="195" t="s">
        <x:v>331</x:v>
      </x:c>
      <x:c r="C195" s="42" t="n">
        <x:f aca="0">IF(C37=0,"n/m",C28/C37)</x:f>
        <x:v>0.7911589630424495</x:v>
      </x:c>
      <x:c r="D195" s="42" t="n">
        <x:f aca="0">IF(D37=0,"n/m",D28/D37)</x:f>
        <x:v>0.7398677998580042</x:v>
      </x:c>
      <x:c r="E195" s="42" t="n">
        <x:f aca="0">IF(E37=0,"n/m",E28/E37)</x:f>
        <x:v>0.757703734632117</x:v>
      </x:c>
      <x:c r="F195" s="42" t="n">
        <x:f aca="0">IF(F37=0,"n/m",F28/F37)</x:f>
        <x:v>0.7204012442949171</x:v>
      </x:c>
      <x:c r="G195" s="42" t="n">
        <x:f aca="0">IF(G37=0,"n/m",G28/G37)</x:f>
        <x:v>0.7074923395879352</x:v>
      </x:c>
      <x:c r="H195" s="42" t="n">
        <x:f aca="0">IF(H37=0,"n/m",H28/H37)</x:f>
        <x:v>0.6230624121197821</x:v>
      </x:c>
      <x:c r="I195" s="11" t="s">
        <x:v>278</x:v>
      </x:c>
    </x:row>
    <x:row r="196" ht="15" hidden="0">
      <x:c r="A196" s="193" t="s">
        <x:v>332</x:v>
      </x:c>
      <x:c r="B196" s="195" t="s">
        <x:v>333</x:v>
      </x:c>
      <x:c r="C196" s="42" t="n">
        <x:f aca="0">IF(C37=0,"n/m",C65/C37)</x:f>
        <x:v>0.06944747167764614</x:v>
      </x:c>
      <x:c r="D196" s="42" t="n">
        <x:f aca="0">IF(D37=0,"n/m",D65/D37)</x:f>
        <x:v>0.0871764337656113</x:v>
      </x:c>
      <x:c r="E196" s="42" t="n">
        <x:f aca="0">IF(E37=0,"n/m",E65/E37)</x:f>
        <x:v>0.09936187127535046</x:v>
      </x:c>
      <x:c r="F196" s="42" t="n">
        <x:f aca="0">IF(F37=0,"n/m",F65/F37)</x:f>
        <x:v>0.09448382369723818</x:v>
      </x:c>
      <x:c r="G196" s="42" t="n">
        <x:f aca="0">IF(G37=0,"n/m",G65/G37)</x:f>
        <x:v>0.09869855360327058</x:v>
      </x:c>
      <x:c r="H196" s="42" t="n">
        <x:f aca="0">IF(H37=0,"n/m",H65/H37)</x:f>
        <x:v>0.09248318347468208</x:v>
      </x:c>
      <x:c r="I196" s="11" t="s">
        <x:v>278</x:v>
      </x:c>
    </x:row>
    <x:row r="197" ht="15" hidden="0">
      <x:c r="A197" s="193" t="s">
        <x:v>133</x:v>
      </x:c>
      <x:c r="B197" s="195" t="s">
        <x:v>334</x:v>
      </x:c>
      <x:c r="C197" s="42" t="n">
        <x:f aca="0">IF(C37=0,"n/m",C32/C37)</x:f>
        <x:v>0.02519176744415338</x:v>
      </x:c>
      <x:c r="D197" s="42" t="n">
        <x:f aca="0">IF(D37=0,"n/m",D32/D37)</x:f>
        <x:v>0.017331422832368416</x:v>
      </x:c>
      <x:c r="E197" s="42" t="n">
        <x:f aca="0">IF(E37=0,"n/m",E32/E37)</x:f>
        <x:v>0.019046744687005734</x:v>
      </x:c>
      <x:c r="F197" s="42" t="n">
        <x:f aca="0">IF(F37=0,"n/m",F32/F37)</x:f>
        <x:v>0.023886283489311506</x:v>
      </x:c>
      <x:c r="G197" s="42" t="n">
        <x:f aca="0">IF(G37=0,"n/m",G32/G37)</x:f>
        <x:v>0.029623688493483562</x:v>
      </x:c>
      <x:c r="H197" s="42" t="n">
        <x:f aca="0">IF(H37=0,"n/m",H32/H37)</x:f>
        <x:v>0.02381721057133955</x:v>
      </x:c>
      <x:c r="I197" s="11" t="s">
        <x:v>278</x:v>
      </x:c>
    </x:row>
    <x:row r="198" ht="15" hidden="0">
      <x:c r="A198" s="193" t="s">
        <x:v>135</x:v>
      </x:c>
      <x:c r="B198" s="195" t="s">
        <x:v>335</x:v>
      </x:c>
      <x:c r="C198" s="42" t="n">
        <x:f aca="0">IF(C37=0,"n/m",C33/C37)</x:f>
        <x:v>0.021866728259566676</x:v>
      </x:c>
      <x:c r="D198" s="42" t="n">
        <x:f aca="0">IF(D37=0,"n/m",D33/D37)</x:f>
        <x:v>0.10377504710648648</x:v>
      </x:c>
      <x:c r="E198" s="42" t="n">
        <x:f aca="0">IF(E37=0,"n/m",E33/E37)</x:f>
        <x:v>0.06893918551042771</x:v>
      </x:c>
      <x:c r="F198" s="42" t="n">
        <x:f aca="0">IF(F37=0,"n/m",F33/F37)</x:f>
        <x:v>0.10277169084844923</x:v>
      </x:c>
      <x:c r="G198" s="42" t="n">
        <x:f aca="0">IF(G37=0,"n/m",G33/G37)</x:f>
        <x:v>0.127501373932246</x:v>
      </x:c>
      <x:c r="H198" s="42" t="n">
        <x:f aca="0">IF(H37=0,"n/m",H33/H37)</x:f>
        <x:v>0.22979758088560204</x:v>
      </x:c>
      <x:c r="I198" s="11" t="s">
        <x:v>278</x:v>
      </x:c>
    </x:row>
    <x:row r="199" ht="15" hidden="0">
      <x:c r="A199" s="193" t="s">
        <x:v>336</x:v>
      </x:c>
      <x:c r="B199" s="195" t="s">
        <x:v>337</x:v>
      </x:c>
      <x:c r="C199" s="42" t="n">
        <x:f aca="0">IF(C37=0,"n/m",C34/C37)</x:f>
        <x:v>0.05753068220961988</x:v>
      </x:c>
      <x:c r="D199" s="42" t="n">
        <x:f aca="0">IF(D37=0,"n/m",D34/D37)</x:f>
        <x:v>0.018069060675574528</x:v>
      </x:c>
      <x:c r="E199" s="42" t="n">
        <x:f aca="0">IF(E37=0,"n/m",E34/E37)</x:f>
        <x:v>0.020929003244595137</x:v>
      </x:c>
      <x:c r="F199" s="42" t="n">
        <x:f aca="0">IF(F37=0,"n/m",F34/F37)</x:f>
        <x:v>0.019317622598751097</x:v>
      </x:c>
      <x:c r="G199" s="42" t="n">
        <x:f aca="0">IF(G37=0,"n/m",G34/G37)</x:f>
        <x:v>0.010969989542261456</x:v>
      </x:c>
      <x:c r="H199" s="42" t="n">
        <x:f aca="0">IF(H37=0,"n/m",H34/H37)</x:f>
        <x:v>0.010460519614709056</x:v>
      </x:c>
      <x:c r="I199" s="11" t="s">
        <x:v>278</x:v>
      </x:c>
    </x:row>
    <x:row r="200" ht="15" hidden="0">
      <x:c r="A200" s="193" t="s">
        <x:v>141</x:v>
      </x:c>
      <x:c r="B200" s="195" t="s">
        <x:v>338</x:v>
      </x:c>
      <x:c r="C200" s="42" t="n">
        <x:f aca="0">IF(C37=0,"n/m",C36/C37)</x:f>
        <x:v>0.20884103695755057</x:v>
      </x:c>
      <x:c r="D200" s="42" t="n">
        <x:f aca="0">IF(D37=0,"n/m",D36/D37)</x:f>
        <x:v>0.26013220014199573</x:v>
      </x:c>
      <x:c r="E200" s="42" t="n">
        <x:f aca="0">IF(E37=0,"n/m",E36/E37)</x:f>
        <x:v>0.24229626536788285</x:v>
      </x:c>
      <x:c r="F200" s="42" t="n">
        <x:f aca="0">IF(F37=0,"n/m",F36/F37)</x:f>
        <x:v>0.2795987557050829</x:v>
      </x:c>
      <x:c r="G200" s="42" t="n">
        <x:f aca="0">IF(G37=0,"n/m",G36/G37)</x:f>
        <x:v>0.2925076604120647</x:v>
      </x:c>
      <x:c r="H200" s="42" t="n">
        <x:f aca="0">IF(H37=0,"n/m",H36/H37)</x:f>
        <x:v>0.3769375878802179</x:v>
      </x:c>
      <x:c r="I200" s="11" t="s">
        <x:v>278</x:v>
      </x:c>
    </x:row>
    <x:row r="201" ht="15" hidden="0">
      <x:c r="A201" s="193" t="s">
        <x:v>150</x:v>
      </x:c>
      <x:c r="B201" s="195" t="s">
        <x:v>339</x:v>
      </x:c>
      <x:c r="C201" s="42" t="n">
        <x:f aca="0">IF(C37=0,"n/m",C41/C37)</x:f>
        <x:v>0.72999907984541</x:v>
      </x:c>
      <x:c r="D201" s="42" t="n">
        <x:f aca="0">IF(D37=0,"n/m",D41/D37)</x:f>
        <x:v>0.7239346484961872</x:v>
      </x:c>
      <x:c r="E201" s="42" t="n">
        <x:f aca="0">IF(E37=0,"n/m",E41/E37)</x:f>
        <x:v>0.6949539270604493</x:v>
      </x:c>
      <x:c r="F201" s="42" t="n">
        <x:f aca="0">IF(F37=0,"n/m",F41/F37)</x:f>
        <x:v>0.6446730217755271</x:v>
      </x:c>
      <x:c r="G201" s="42" t="n">
        <x:f aca="0">IF(G37=0,"n/m",G41/G37)</x:f>
        <x:v>0.6314096358960968</x:v>
      </x:c>
      <x:c r="H201" s="42" t="n">
        <x:f aca="0">IF(H37=0,"n/m",H41/H37)</x:f>
        <x:v>0.6594627896595899</x:v>
      </x:c>
      <x:c r="I201" s="11" t="s">
        <x:v>278</x:v>
      </x:c>
    </x:row>
    <x:row r="202" ht="15" hidden="0">
      <x:c r="A202" s="193" t="s">
        <x:v>340</x:v>
      </x:c>
      <x:c r="B202" s="195" t="s">
        <x:v>341</x:v>
      </x:c>
      <x:c r="C202" s="42" t="n">
        <x:f aca="0">IF(C37=0,"n/m",C67/C37)</x:f>
        <x:v>0.0023586119028612923</x:v>
      </x:c>
      <x:c r="D202" s="42" t="n">
        <x:f aca="0">IF(D37=0,"n/m",D67/D37)</x:f>
        <x:v>0.018763703805448454</x:v>
      </x:c>
      <x:c r="E202" s="42" t="n">
        <x:f aca="0">IF(E37=0,"n/m",E67/E37)</x:f>
        <x:v>0.07627738632757988</x:v>
      </x:c>
      <x:c r="F202" s="42" t="n">
        <x:f aca="0">IF(F37=0,"n/m",F67/F37)</x:f>
        <x:v>0.0683187429199697</x:v>
      </x:c>
      <x:c r="G202" s="42" t="n">
        <x:f aca="0">IF(G37=0,"n/m",G67/G37)</x:f>
        <x:v>0.054528421285721974</x:v>
      </x:c>
      <x:c r="H202" s="42" t="n">
        <x:f aca="0">IF(H37=0,"n/m",H67/H37)</x:f>
        <x:v>0.0344314520335914</x:v>
      </x:c>
      <x:c r="I202" s="11" t="s">
        <x:v>278</x:v>
      </x:c>
    </x:row>
    <x:row r="203" ht="15" hidden="0">
      <x:c r="A203" s="193" t="s">
        <x:v>163</x:v>
      </x:c>
      <x:c r="B203" s="195" t="s">
        <x:v>342</x:v>
      </x:c>
      <x:c r="C203" s="42" t="n">
        <x:f aca="0">IF(C37=0,"n/m",C48/C37)</x:f>
        <x:v>0.056884873822900237</x:v>
      </x:c>
      <x:c r="D203" s="42" t="n">
        <x:f aca="0">IF(D37=0,"n/m",D48/D37)</x:f>
        <x:v>0.0817349645223588</x:v>
      </x:c>
      <x:c r="E203" s="42" t="n">
        <x:f aca="0">IF(E37=0,"n/m",E48/E37)</x:f>
        <x:v>0.14089723375513877</x:v>
      </x:c>
      <x:c r="F203" s="42" t="n">
        <x:f aca="0">IF(F37=0,"n/m",F48/F37)</x:f>
        <x:v>0.13859579176775724</x:v>
      </x:c>
      <x:c r="G203" s="42" t="n">
        <x:f aca="0">IF(G37=0,"n/m",G48/G37)</x:f>
        <x:v>0.13703359428324538</x:v>
      </x:c>
      <x:c r="H203" s="42" t="n">
        <x:f aca="0">IF(H37=0,"n/m",H48/H37)</x:f>
        <x:v>0.12069909944602028</x:v>
      </x:c>
      <x:c r="I203" s="11" t="s">
        <x:v>278</x:v>
      </x:c>
    </x:row>
    <x:row r="204" ht="15" hidden="0">
      <x:c r="A204" s="193" t="s">
        <x:v>166</x:v>
      </x:c>
      <x:c r="B204" s="195" t="s">
        <x:v>343</x:v>
      </x:c>
      <x:c r="C204" s="42" t="n">
        <x:f aca="0">IF(C37=0,"n/m",C50/C37)</x:f>
        <x:v>0.14245242792673157</x:v>
      </x:c>
      <x:c r="D204" s="42" t="n">
        <x:f aca="0">IF(D37=0,"n/m",D50/D37)</x:f>
        <x:v>0.13295400437974347</x:v>
      </x:c>
      <x:c r="E204" s="42" t="n">
        <x:f aca="0">IF(E37=0,"n/m",E50/E37)</x:f>
        <x:v>0.12538487288398037</x:v>
      </x:c>
      <x:c r="F204" s="42" t="n">
        <x:f aca="0">IF(F37=0,"n/m",F50/F37)</x:f>
        <x:v>0.1404112680857571</x:v>
      </x:c>
      <x:c r="G204" s="42" t="n">
        <x:f aca="0">IF(G37=0,"n/m",G50/G37)</x:f>
        <x:v>0.12822352750592914</x:v>
      </x:c>
      <x:c r="H204" s="42" t="n">
        <x:f aca="0">IF(H37=0,"n/m",H50/H37)</x:f>
        <x:v>0.10234721883419345</x:v>
      </x:c>
      <x:c r="I204" s="11" t="s">
        <x:v>278</x:v>
      </x:c>
    </x:row>
    <x:row r="205" ht="15" hidden="0">
      <x:c r="A205" s="193" t="s">
        <x:v>344</x:v>
      </x:c>
      <x:c r="B205" s="195" t="s">
        <x:v>345</x:v>
      </x:c>
      <x:c r="C205" s="42" t="n">
        <x:f aca="0">IF(C37=0,"n/m",C66/C37)</x:f>
        <x:v>0.06166722679169858</x:v>
      </x:c>
      <x:c r="D205" s="42" t="n">
        <x:f aca="0">IF(D37=0,"n/m",D66/D37)</x:f>
        <x:v>0.06709139875379411</x:v>
      </x:c>
      <x:c r="E205" s="42" t="n">
        <x:f aca="0">IF(E37=0,"n/m",E66/E37)</x:f>
        <x:v>0.08431795163868143</x:v>
      </x:c>
      <x:c r="F205" s="42" t="n">
        <x:f aca="0">IF(F37=0,"n/m",F66/F37)</x:f>
        <x:v>0.09875182624110138</x:v>
      </x:c>
      <x:c r="G205" s="42" t="n">
        <x:f aca="0">IF(G37=0,"n/m",G66/G37)</x:f>
        <x:v>0.08693680048409934</x:v>
      </x:c>
      <x:c r="H205" s="42" t="n">
        <x:f aca="0">IF(H37=0,"n/m",H66/H37)</x:f>
        <x:v>0.06573846862149271</x:v>
      </x:c>
      <x:c r="I205" s="11" t="s">
        <x:v>278</x:v>
      </x:c>
    </x:row>
    <x:row r="206" ht="15" hidden="0">
      <x:c r="A206" s="193" t="s">
        <x:v>188</x:v>
      </x:c>
      <x:c r="B206" s="195" t="s">
        <x:v>346</x:v>
      </x:c>
      <x:c r="C206" s="42" t="n">
        <x:f aca="0">IF(C37=0,"n/m",C61/C37)</x:f>
        <x:v>0.21311310230804537</x:v>
      </x:c>
      <x:c r="D206" s="42" t="n">
        <x:f aca="0">IF(D37=0,"n/m",D61/D37)</x:f>
        <x:v>0.19433038698145402</x:v>
      </x:c>
      <x:c r="E206" s="42" t="n">
        <x:f aca="0">IF(E37=0,"n/m",E61/E37)</x:f>
        <x:v>0.1641488391844118</x:v>
      </x:c>
      <x:c r="F206" s="42" t="n">
        <x:f aca="0">IF(F37=0,"n/m",F61/F37)</x:f>
        <x:v>0.2167311864567156</x:v>
      </x:c>
      <x:c r="G206" s="42" t="n">
        <x:f aca="0">IF(G37=0,"n/m",G61/G37)</x:f>
        <x:v>0.23155676982065787</x:v>
      </x:c>
      <x:c r="H206" s="42" t="n">
        <x:f aca="0">IF(H37=0,"n/m",H61/H37)</x:f>
        <x:v>0.21983811089438973</x:v>
      </x:c>
      <x:c r="I206" s="11" t="s">
        <x:v>278</x:v>
      </x:c>
    </x:row>
    <x:row r="207" ht="15" hidden="0">
      <x:c r="A207" s="193" t="s">
        <x:v>191</x:v>
      </x:c>
      <x:c r="B207" s="195" t="s">
        <x:v>347</x:v>
      </x:c>
      <x:c r="C207" s="42" t="n">
        <x:f aca="0">IF(C37=0,"n/m",C62/C37)</x:f>
        <x:v>0.2699979761309456</x:v>
      </x:c>
      <x:c r="D207" s="42" t="n">
        <x:f aca="0">IF(D37=0,"n/m",D62/D37)</x:f>
        <x:v>0.27606535150381284</x:v>
      </x:c>
      <x:c r="E207" s="42" t="n">
        <x:f aca="0">IF(E37=0,"n/m",E62/E37)</x:f>
        <x:v>0.3050460729395506</x:v>
      </x:c>
      <x:c r="F207" s="42" t="n">
        <x:f aca="0">IF(F37=0,"n/m",F62/F37)</x:f>
        <x:v>0.35532697822447284</x:v>
      </x:c>
      <x:c r="G207" s="42" t="n">
        <x:f aca="0">IF(G37=0,"n/m",G62/G37)</x:f>
        <x:v>0.3685903641039032</x:v>
      </x:c>
      <x:c r="H207" s="42" t="n">
        <x:f aca="0">IF(H37=0,"n/m",H62/H37)</x:f>
        <x:v>0.34053721034041</x:v>
      </x:c>
      <x:c r="I207" s="11" t="s">
        <x:v>278</x:v>
      </x:c>
    </x:row>
    <x:row r="208" ht="15" hidden="0">
      <x:c r="A208" s="201" t="s">
        <x:v>348</x:v>
      </x:c>
      <x:c r="B208" s="202"/>
      <x:c r="C208" s="25"/>
      <x:c r="D208" s="25"/>
      <x:c r="E208" s="25"/>
      <x:c r="F208" s="25"/>
      <x:c r="G208" s="25"/>
      <x:c r="H208" s="25"/>
      <x:c r="I208" s="25"/>
      <x:c r="J208" s="25"/>
    </x:row>
    <x:row r="209" ht="15" hidden="0">
      <x:c r="A209" s="193" t="s">
        <x:v>226</x:v>
      </x:c>
      <x:c r="B209" s="195" t="s">
        <x:v>349</x:v>
      </x:c>
      <x:c r="C209" s="30"/>
      <x:c r="D209" s="42" t="n">
        <x:f aca="0">IF(D84=0,"n/m",D85/D84)</x:f>
        <x:v>-0.6988292094452875</x:v>
      </x:c>
      <x:c r="E209" s="42" t="n">
        <x:f aca="0">IF(E84=0,"n/m",E85/E84)</x:f>
        <x:v>-0.7219033085563861</x:v>
      </x:c>
      <x:c r="F209" s="42" t="n">
        <x:f aca="0">IF(F84=0,"n/m",F85/F84)</x:f>
        <x:v>-0.7280591240432086</x:v>
      </x:c>
      <x:c r="G209" s="42" t="n">
        <x:f aca="0">IF(G84=0,"n/m",G85/G84)</x:f>
        <x:v>-0.6635196920367842</x:v>
      </x:c>
      <x:c r="H209" s="42" t="n">
        <x:f aca="0">IF(H84=0,"n/m",H85/H84)</x:f>
        <x:v>-0.657183470179327</x:v>
      </x:c>
      <x:c r="I209" s="11" t="s">
        <x:v>278</x:v>
      </x:c>
    </x:row>
    <x:row r="210" ht="15" hidden="0">
      <x:c r="A210" s="193" t="s">
        <x:v>228</x:v>
      </x:c>
      <x:c r="B210" s="195" t="s">
        <x:v>350</x:v>
      </x:c>
      <x:c r="C210" s="30"/>
      <x:c r="D210" s="42" t="n">
        <x:f aca="0">IF(D84=0,"n/m",D86/D84)</x:f>
        <x:v>0.30117079055471246</x:v>
      </x:c>
      <x:c r="E210" s="42" t="n">
        <x:f aca="0">IF(E84=0,"n/m",E86/E84)</x:f>
        <x:v>0.278096691443614</x:v>
      </x:c>
      <x:c r="F210" s="42" t="n">
        <x:f aca="0">IF(F84=0,"n/m",F86/F84)</x:f>
        <x:v>0.2719408759567914</x:v>
      </x:c>
      <x:c r="G210" s="42" t="n">
        <x:f aca="0">IF(G84=0,"n/m",G86/G84)</x:f>
        <x:v>0.3364803079632158</x:v>
      </x:c>
      <x:c r="H210" s="42" t="n">
        <x:f aca="0">IF(H84=0,"n/m",H86/H84)</x:f>
        <x:v>0.342816529820673</x:v>
      </x:c>
      <x:c r="I210" s="11" t="s">
        <x:v>278</x:v>
      </x:c>
    </x:row>
    <x:row r="211" ht="15" hidden="0">
      <x:c r="A211" s="193" t="s">
        <x:v>351</x:v>
      </x:c>
      <x:c r="B211" s="195" t="s">
        <x:v>352</x:v>
      </x:c>
      <x:c r="C211" s="30"/>
      <x:c r="D211" s="42" t="n">
        <x:f aca="0">IF(D84=0,"n/m",D87/D84)</x:f>
        <x:v>-0.0772010462846797</x:v>
      </x:c>
      <x:c r="E211" s="42" t="n">
        <x:f aca="0">IF(E84=0,"n/m",E87/E84)</x:f>
        <x:v>-0.05875406205365965</x:v>
      </x:c>
      <x:c r="F211" s="42" t="n">
        <x:f aca="0">IF(F84=0,"n/m",F87/F84)</x:f>
        <x:v>-0.055585668971811726</x:v>
      </x:c>
      <x:c r="G211" s="42" t="n">
        <x:f aca="0">IF(G84=0,"n/m",G87/G84)</x:f>
        <x:v>-0.06740853162536167</x:v>
      </x:c>
      <x:c r="H211" s="42" t="n">
        <x:f aca="0">IF(H84=0,"n/m",H87/H84)</x:f>
        <x:v>-0.07206400546441627</x:v>
      </x:c>
      <x:c r="I211" s="11" t="s">
        <x:v>278</x:v>
      </x:c>
    </x:row>
    <x:row r="212" ht="15" hidden="0">
      <x:c r="A212" s="193" t="s">
        <x:v>353</x:v>
      </x:c>
      <x:c r="B212" s="195" t="s">
        <x:v>354</x:v>
      </x:c>
      <x:c r="C212" s="30"/>
      <x:c r="D212" s="42" t="n">
        <x:f aca="0">IF(D84=0,"n/m",D88/D84)</x:f>
        <x:v>-0.019972321612346713</x:v>
      </x:c>
      <x:c r="E212" s="42" t="n">
        <x:f aca="0">IF(E84=0,"n/m",E88/E84)</x:f>
        <x:v>-0.018648578909351888</x:v>
      </x:c>
      <x:c r="F212" s="42" t="n">
        <x:f aca="0">IF(F84=0,"n/m",F88/F84)</x:f>
        <x:v>-0.019049745384500254</x:v>
      </x:c>
      <x:c r="G212" s="42" t="n">
        <x:f aca="0">IF(G84=0,"n/m",G88/G84)</x:f>
        <x:v>-0.018735600144502998</x:v>
      </x:c>
      <x:c r="H212" s="42" t="n">
        <x:f aca="0">IF(H84=0,"n/m",H88/H84)</x:f>
        <x:v>-0.019494137034977196</x:v>
      </x:c>
      <x:c r="I212" s="11" t="s">
        <x:v>278</x:v>
      </x:c>
    </x:row>
    <x:row r="213" ht="15" hidden="0">
      <x:c r="A213" s="193" t="s">
        <x:v>355</x:v>
      </x:c>
      <x:c r="B213" s="195" t="s">
        <x:v>356</x:v>
      </x:c>
      <x:c r="C213" s="30"/>
      <x:c r="D213" s="42" t="n">
        <x:f aca="0">IF(D84=0,"n/m",(D90+D89)/D84)</x:f>
        <x:v>-0.02395382454990844</x:v>
      </x:c>
      <x:c r="E213" s="42" t="n">
        <x:f aca="0">IF(E84=0,"n/m",(E90+E89)/E84)</x:f>
        <x:v>-0.0227766520199979</x:v>
      </x:c>
      <x:c r="F213" s="42" t="n">
        <x:f aca="0">IF(F84=0,"n/m",(F90+F89)/F84)</x:f>
        <x:v>-0.02548815899950567</x:v>
      </x:c>
      <x:c r="G213" s="42" t="n">
        <x:f aca="0">IF(G84=0,"n/m",(G90+G89)/G84)</x:f>
        <x:v>-0.02147528502550645</x:v>
      </x:c>
      <x:c r="H213" s="42" t="n">
        <x:f aca="0">IF(H84=0,"n/m",(H90+H89)/H84)</x:f>
        <x:v>-0.02455120217414993</x:v>
      </x:c>
      <x:c r="I213" s="11" t="s">
        <x:v>278</x:v>
      </x:c>
    </x:row>
    <x:row r="214" ht="15" hidden="0">
      <x:c r="A214" s="193" t="s">
        <x:v>357</x:v>
      </x:c>
      <x:c r="B214" s="195" t="s">
        <x:v>358</x:v>
      </x:c>
      <x:c r="C214" s="30"/>
      <x:c r="D214" s="42" t="n">
        <x:f aca="0">IF(D84=0,"n/m",D91/D84)</x:f>
        <x:v>0.18004359810777762</x:v>
      </x:c>
      <x:c r="E214" s="42" t="n">
        <x:f aca="0">IF(E84=0,"n/m",E91/E84)</x:f>
        <x:v>0.1779173984606045</x:v>
      </x:c>
      <x:c r="F214" s="42" t="n">
        <x:f aca="0">IF(F84=0,"n/m",F91/F84)</x:f>
        <x:v>0.17181730260097375</x:v>
      </x:c>
      <x:c r="G214" s="42" t="n">
        <x:f aca="0">IF(G84=0,"n/m",G91/G84)</x:f>
        <x:v>0.22886089116784467</x:v>
      </x:c>
      <x:c r="H214" s="42" t="n">
        <x:f aca="0">IF(H84=0,"n/m",H91/H84)</x:f>
        <x:v>0.22670718514712962</x:v>
      </x:c>
      <x:c r="I214" s="11" t="s">
        <x:v>278</x:v>
      </x:c>
    </x:row>
    <x:row r="215" ht="15" hidden="0">
      <x:c r="A215" s="193" t="s">
        <x:v>240</x:v>
      </x:c>
      <x:c r="B215" s="195" t="s">
        <x:v>359</x:v>
      </x:c>
      <x:c r="C215" s="30"/>
      <x:c r="D215" s="42" t="n">
        <x:f aca="0">IF(D84=0,"n/m",(D92+D93+D94)/D84)</x:f>
        <x:v>0.09521691055587866</x:v>
      </x:c>
      <x:c r="E215" s="42" t="n">
        <x:f aca="0">IF(E84=0,"n/m",(E92+E93+E94)/E84)</x:f>
        <x:v>0.09110221808707909</x:v>
      </x:c>
      <x:c r="F215" s="42" t="n">
        <x:f aca="0">IF(F84=0,"n/m",(F92+F93+F94)/F84)</x:f>
        <x:v>0.06310432552450275</x:v>
      </x:c>
      <x:c r="G215" s="42" t="n">
        <x:f aca="0">IF(G84=0,"n/m",(G92+G93+G94)/G84)</x:f>
        <x:v>0.14372747744369124</x:v>
      </x:c>
      <x:c r="H215" s="42" t="n">
        <x:f aca="0">IF(H84=0,"n/m",(H92+H93+H94)/H84)</x:f>
        <x:v>0.1643694027769782</x:v>
      </x:c>
      <x:c r="I215" s="11" t="s">
        <x:v>278</x:v>
      </x:c>
    </x:row>
    <x:row r="216" ht="15" hidden="0">
      <x:c r="A216" s="193" t="s">
        <x:v>246</x:v>
      </x:c>
      <x:c r="B216" s="195" t="s">
        <x:v>360</x:v>
      </x:c>
      <x:c r="C216" s="30"/>
      <x:c r="D216" s="42" t="n">
        <x:f aca="0">IF(D84=0,"n/m",D95/D84)</x:f>
        <x:v>-0.0052891760758382415</x:v>
      </x:c>
      <x:c r="E216" s="42" t="n">
        <x:f aca="0">IF(E84=0,"n/m",E95/E84)</x:f>
        <x:v>-0.004864963016467714</x:v>
      </x:c>
      <x:c r="F216" s="42" t="n">
        <x:f aca="0">IF(F84=0,"n/m",F95/F84)</x:f>
        <x:v>-0.012206446757370468</x:v>
      </x:c>
      <x:c r="G216" s="42" t="n">
        <x:f aca="0">IF(G84=0,"n/m",G95/G84)</x:f>
        <x:v>-0.013710546674283175</x:v>
      </x:c>
      <x:c r="H216" s="42" t="n">
        <x:f aca="0">IF(H84=0,"n/m",H95/H84)</x:f>
        <x:v>-0.011007548010892852</x:v>
      </x:c>
      <x:c r="I216" s="11" t="s">
        <x:v>278</x:v>
      </x:c>
    </x:row>
    <x:row r="217" ht="15" hidden="0">
      <x:c r="A217" s="193" t="s">
        <x:v>361</x:v>
      </x:c>
      <x:c r="B217" s="195" t="s">
        <x:v>362</x:v>
      </x:c>
      <x:c r="C217" s="30"/>
      <x:c r="D217" s="42" t="n">
        <x:f aca="0">IF(D84=0,"n/m",D96/D84)</x:f>
        <x:v>0.2699713325878181</x:v>
      </x:c>
      <x:c r="E217" s="42" t="n">
        <x:f aca="0">IF(E84=0,"n/m",E96/E84)</x:f>
        <x:v>0.26415465353121587</x:v>
      </x:c>
      <x:c r="F217" s="42" t="n">
        <x:f aca="0">IF(F84=0,"n/m",F96/F84)</x:f>
        <x:v>0.22271518136810603</x:v>
      </x:c>
      <x:c r="G217" s="42" t="n">
        <x:f aca="0">IF(G84=0,"n/m",G96/G84)</x:f>
        <x:v>0.3588778219372528</x:v>
      </x:c>
      <x:c r="H217" s="42" t="n">
        <x:f aca="0">IF(H84=0,"n/m",H96/H84)</x:f>
        <x:v>0.38006903991321495</x:v>
      </x:c>
      <x:c r="I217" s="11" t="s">
        <x:v>278</x:v>
      </x:c>
    </x:row>
    <x:row r="218" ht="15" hidden="0">
      <x:c r="A218" s="193" t="s">
        <x:v>363</x:v>
      </x:c>
      <x:c r="B218" s="195" t="s">
        <x:v>364</x:v>
      </x:c>
      <x:c r="C218" s="30"/>
      <x:c r="D218" s="42" t="n">
        <x:f aca="0">IF(D84=0,"n/m",-D110/D84)</x:f>
        <x:v>-0.04642495436783816</x:v>
      </x:c>
      <x:c r="E218" s="42" t="n">
        <x:f aca="0">IF(E84=0,"n/m",-E110/E84)</x:f>
        <x:v>-0.07550065187078746</x:v>
      </x:c>
      <x:c r="F218" s="42" t="n">
        <x:f aca="0">IF(F84=0,"n/m",-F110/F84)</x:f>
        <x:v>-0.07948752311685138</x:v>
      </x:c>
      <x:c r="G218" s="42" t="n">
        <x:f aca="0">IF(G84=0,"n/m",-G110/G84)</x:f>
        <x:v>-0.11516177480496803</x:v>
      </x:c>
      <x:c r="H218" s="42" t="n">
        <x:f aca="0">IF(H84=0,"n/m",-H110/H84)</x:f>
        <x:v>-0.11429361233587733</x:v>
      </x:c>
      <x:c r="I218" s="11" t="s">
        <x:v>278</x:v>
      </x:c>
    </x:row>
    <x:row r="219" ht="15" hidden="0">
      <x:c r="A219" s="193" t="s">
        <x:v>365</x:v>
      </x:c>
      <x:c r="B219" s="195" t="s">
        <x:v>366</x:v>
      </x:c>
      <x:c r="C219" s="30"/>
      <x:c r="D219" s="42" t="n">
        <x:f aca="0">IF(D84=0,"n/m",D99/D84)</x:f>
        <x:v>0.22354637821997994</x:v>
      </x:c>
      <x:c r="E219" s="42" t="n">
        <x:f aca="0">IF(E84=0,"n/m",E99/E84)</x:f>
        <x:v>0.18865400166042842</x:v>
      </x:c>
      <x:c r="F219" s="42" t="n">
        <x:f aca="0">IF(F84=0,"n/m",F99/F84)</x:f>
        <x:v>0.14322765825125466</x:v>
      </x:c>
      <x:c r="G219" s="42" t="n">
        <x:f aca="0">IF(G84=0,"n/m",G99/G84)</x:f>
        <x:v>0.24371604713228476</x:v>
      </x:c>
      <x:c r="H219" s="42" t="n">
        <x:f aca="0">IF(H84=0,"n/m",H99/H84)</x:f>
        <x:v>0.26577542757733763</x:v>
      </x:c>
      <x:c r="I219" s="11" t="s">
        <x:v>278</x:v>
      </x:c>
    </x:row>
    <x:row r="220" ht="15" hidden="0">
      <x:c r="A220" s="193"/>
      <x:c r="B220" s="195"/>
      <x:c r="C220" s="30"/>
      <x:c r="D220" s="42">
        <x:f aca="0"/>
      </x:c>
      <x:c r="E220" s="42">
        <x:f aca="0"/>
      </x:c>
      <x:c r="F220" s="42">
        <x:f aca="0"/>
      </x:c>
      <x:c r="G220" s="42">
        <x:f aca="0"/>
      </x:c>
      <x:c r="H220" s="42">
        <x:f aca="0"/>
      </x:c>
      <x:c r="I220" s="11" t="s">
        <x:v>278</x:v>
      </x:c>
    </x:row>
    <x:row r="221">
      <x:c r="A221" s="193"/>
      <x:c r="B221" s="193"/>
    </x:row>
    <x:row r="222" ht="15" hidden="0">
      <x:c r="A222" s="196" t="s">
        <x:v>367</x:v>
      </x:c>
      <x:c r="B222" s="197"/>
      <x:c r="C222" s="20"/>
      <x:c r="D222" s="20"/>
      <x:c r="E222" s="20"/>
      <x:c r="F222" s="20"/>
      <x:c r="G222" s="20"/>
      <x:c r="H222" s="20"/>
      <x:c r="I222" s="20"/>
      <x:c r="J222" s="20"/>
    </x:row>
    <x:row r="223" ht="15" hidden="0">
      <x:c r="A223" s="193" t="s">
        <x:v>368</x:v>
      </x:c>
      <x:c r="B223" s="195" t="s">
        <x:v>369</x:v>
      </x:c>
      <x:c r="C223" s="30"/>
      <x:c r="D223" s="43" t="s">
        <x:v>370</x:v>
      </x:c>
      <x:c r="E223" s="44" t="n">
        <x:f aca="0">E84-D84</x:f>
        <x:v>18152.719999999994</x:v>
      </x:c>
      <x:c r="F223" s="44" t="n">
        <x:f aca="0">F84-E84</x:f>
        <x:v>14738.622000000003</x:v>
      </x:c>
      <x:c r="G223" s="44" t="n">
        <x:f aca="0">G84-F84</x:f>
        <x:v>19492.795</x:v>
      </x:c>
      <x:c r="H223" s="44" t="n">
        <x:f aca="0">H84-G84</x:f>
        <x:v>9186.80200000001</x:v>
      </x:c>
      <x:c r="I223" s="11" t="s">
        <x:v>111</x:v>
      </x:c>
    </x:row>
    <x:row r="224" ht="15" hidden="0">
      <x:c r="A224" s="193" t="s">
        <x:v>371</x:v>
      </x:c>
      <x:c r="B224" s="195" t="s">
        <x:v>372</x:v>
      </x:c>
      <x:c r="C224" s="30"/>
      <x:c r="D224" s="43" t="str">
        <x:f>IF(OR(C84&lt;=0,D84&lt;C84),"n/m",D84/C84-1)</x:f>
        <x:v>n/m</x:v>
      </x:c>
      <x:c r="E224" s="42" t="n">
        <x:f aca="0">IF(OR(D84&lt;=0,E84&lt;D84),"n/m",E84/D84-1)</x:f>
        <x:v>0.28840940308914065</x:v>
      </x:c>
      <x:c r="F224" s="42" t="n">
        <x:f aca="0">IF(OR(E84&lt;=0,F84&lt;E84),"n/m",F84/E84-1)</x:f>
        <x:v>0.181748444157533</x:v>
      </x:c>
      <x:c r="G224" s="42" t="n">
        <x:f aca="0">IF(OR(F84&lt;=0,G84&lt;F84),"n/m",G84/F84-1)</x:f>
        <x:v>0.20340559624527654</x:v>
      </x:c>
      <x:c r="H224" s="42" t="n">
        <x:f aca="0">IF(OR(G84&lt;=0,H84&lt;G84),"n/m",H84/G84-1)</x:f>
        <x:v>0.07966014845253522</x:v>
      </x:c>
      <x:c r="I224" s="11" t="s">
        <x:v>278</x:v>
      </x:c>
    </x:row>
    <x:row r="225" ht="15" hidden="0">
      <x:c r="A225" s="193" t="s">
        <x:v>373</x:v>
      </x:c>
      <x:c r="B225" s="195" t="s">
        <x:v>369</x:v>
      </x:c>
      <x:c r="C225" s="30"/>
      <x:c r="D225" s="43" t="s">
        <x:v>370</x:v>
      </x:c>
      <x:c r="E225" s="44" t="n">
        <x:f aca="0">E86-D86</x:f>
        <x:v>3595.9089999999924</x:v>
      </x:c>
      <x:c r="F225" s="44" t="n">
        <x:f aca="0">F86-E86</x:f>
        <x:v>3508.837000000007</x:v>
      </x:c>
      <x:c r="G225" s="44" t="n">
        <x:f aca="0">G86-F86</x:f>
        <x:v>12743.894</x:v>
      </x:c>
      <x:c r="H225" s="44" t="n">
        <x:f aca="0">H86-G86</x:f>
        <x:v>3880.1120000000083</x:v>
      </x:c>
      <x:c r="I225" s="11" t="s">
        <x:v>111</x:v>
      </x:c>
    </x:row>
    <x:row r="226" ht="15" hidden="0">
      <x:c r="A226" s="193" t="s">
        <x:v>374</x:v>
      </x:c>
      <x:c r="B226" s="195" t="s">
        <x:v>372</x:v>
      </x:c>
      <x:c r="C226" s="30"/>
      <x:c r="D226" s="43" t="str">
        <x:f>IF(OR(C86&lt;=0,D86&lt;C86),"n/m",D86/C86-1)</x:f>
        <x:v>n/m</x:v>
      </x:c>
      <x:c r="E226" s="42" t="n">
        <x:f aca="0">IF(OR(D86&lt;=0,E86&lt;D86),"n/m",E86/D86-1)</x:f>
        <x:v>0.18969834878074</x:v>
      </x:c>
      <x:c r="F226" s="42" t="n">
        <x:f aca="0">IF(OR(E86&lt;=0,F86&lt;E86),"n/m",F86/E86-1)</x:f>
        <x:v>0.15558982523865827</x:v>
      </x:c>
      <x:c r="G226" s="42" t="n">
        <x:f aca="0">IF(OR(F86&lt;=0,G86&lt;F86),"n/m",G86/F86-1)</x:f>
        <x:v>0.4890085361555061</x:v>
      </x:c>
      <x:c r="H226" s="42" t="n">
        <x:f aca="0">IF(OR(G86&lt;=0,H86&lt;G86),"n/m",H86/G86-1)</x:f>
        <x:v>0.09999110414102774</x:v>
      </x:c>
      <x:c r="I226" s="11" t="s">
        <x:v>278</x:v>
      </x:c>
    </x:row>
    <x:row r="227" ht="15" hidden="0">
      <x:c r="A227" s="193" t="s">
        <x:v>375</x:v>
      </x:c>
      <x:c r="B227" s="195" t="s">
        <x:v>369</x:v>
      </x:c>
      <x:c r="C227" s="30"/>
      <x:c r="D227" s="43" t="s">
        <x:v>370</x:v>
      </x:c>
      <x:c r="E227" s="44" t="n">
        <x:f aca="0">E91-D91</x:f>
        <x:v>3095.8599999999915</x:v>
      </x:c>
      <x:c r="F227" s="44" t="n">
        <x:f aca="0">F91-E91</x:f>
        <x:v>2037.6720000000078</x:v>
      </x:c>
      <x:c r="G227" s="44" t="n">
        <x:f aca="0">G91-F91</x:f>
        <x:v>9927.748</x:v>
      </x:c>
      <x:c r="H227" s="44" t="n">
        <x:f aca="0">H91-G91</x:f>
        <x:v>1834.338000000007</x:v>
      </x:c>
      <x:c r="I227" s="11" t="s">
        <x:v>111</x:v>
      </x:c>
    </x:row>
    <x:row r="228" ht="15" hidden="0">
      <x:c r="A228" s="193" t="s">
        <x:v>376</x:v>
      </x:c>
      <x:c r="B228" s="195" t="s">
        <x:v>372</x:v>
      </x:c>
      <x:c r="C228" s="30"/>
      <x:c r="D228" s="43" t="str">
        <x:f>IF(OR(C91&lt;=0,D91&lt;C91),"n/m",D91/C91-1)</x:f>
        <x:v>n/m</x:v>
      </x:c>
      <x:c r="E228" s="42" t="n">
        <x:f aca="0">IF(OR(D91&lt;=0,E91&lt;D91),"n/m",E91/D91-1)</x:f>
        <x:v>0.27319411275361416</x:v>
      </x:c>
      <x:c r="F228" s="42" t="n">
        <x:f aca="0">IF(OR(E91&lt;=0,F91&lt;E91),"n/m",F91/E91-1)</x:f>
        <x:v>0.14123088458380395</x:v>
      </x:c>
      <x:c r="G228" s="42" t="n">
        <x:f aca="0">IF(OR(F91&lt;=0,G91&lt;F91),"n/m",G91/F91-1)</x:f>
        <x:v>0.6029379638945898</x:v>
      </x:c>
      <x:c r="H228" s="42" t="n">
        <x:f aca="0">IF(OR(G91&lt;=0,H91&lt;G91),"n/m",H91/G91-1)</x:f>
        <x:v>0.06949995659894759</x:v>
      </x:c>
      <x:c r="I228" s="11" t="s">
        <x:v>278</x:v>
      </x:c>
    </x:row>
    <x:row r="229" ht="15" hidden="0">
      <x:c r="A229" s="193"/>
      <x:c r="B229" s="195"/>
      <x:c r="C229" s="30"/>
      <x:c r="D229" s="43"/>
      <x:c r="E229" s="44">
        <x:f aca="0"/>
      </x:c>
      <x:c r="F229" s="44">
        <x:f aca="0"/>
      </x:c>
      <x:c r="G229" s="44">
        <x:f aca="0"/>
      </x:c>
      <x:c r="H229" s="44">
        <x:f aca="0"/>
      </x:c>
      <x:c r="I229" s="11" t="s">
        <x:v>111</x:v>
      </x:c>
    </x:row>
    <x:row r="230" ht="15" hidden="0">
      <x:c r="A230" s="193"/>
      <x:c r="B230" s="195"/>
      <x:c r="C230" s="30"/>
      <x:c r="D230" s="43"/>
      <x:c r="E230" s="42">
        <x:f aca="0"/>
      </x:c>
      <x:c r="F230" s="42">
        <x:f aca="0"/>
      </x:c>
      <x:c r="G230" s="42">
        <x:f aca="0"/>
      </x:c>
      <x:c r="H230" s="42">
        <x:f aca="0"/>
      </x:c>
      <x:c r="I230" s="11" t="s">
        <x:v>278</x:v>
      </x:c>
    </x:row>
    <x:row r="231" ht="15" hidden="0">
      <x:c r="A231" s="193" t="s">
        <x:v>377</x:v>
      </x:c>
      <x:c r="B231" s="195" t="s">
        <x:v>369</x:v>
      </x:c>
      <x:c r="C231" s="30"/>
      <x:c r="D231" s="43" t="s">
        <x:v>370</x:v>
      </x:c>
      <x:c r="E231" s="44" t="n">
        <x:f aca="0">E99-D99</x:f>
        <x:v>1228.4289999999892</x:v>
      </x:c>
      <x:c r="F231" s="44" t="n">
        <x:f aca="0">F99-E99</x:f>
        <x:v>-1572.8039999999946</x:v>
      </x:c>
      <x:c r="G231" s="44" t="n">
        <x:f aca="0">G99-F99</x:f>
        <x:v>14380.725000000006</x:v>
      </x:c>
      <x:c r="H231" s="44" t="n">
        <x:f aca="0">H99-G99</x:f>
        <x:v>4985.623</x:v>
      </x:c>
      <x:c r="I231" s="11" t="s">
        <x:v>111</x:v>
      </x:c>
    </x:row>
    <x:row r="232" ht="15" hidden="0">
      <x:c r="A232" s="193" t="s">
        <x:v>378</x:v>
      </x:c>
      <x:c r="B232" s="195" t="s">
        <x:v>372</x:v>
      </x:c>
      <x:c r="C232" s="30"/>
      <x:c r="D232" s="43" t="str">
        <x:f>IF(OR(C99&lt;=0,D99&lt;C99),"n/m",D99/C99-1)</x:f>
        <x:v>n/m</x:v>
      </x:c>
      <x:c r="E232" s="42" t="n">
        <x:f aca="0">IF(OR(D99&lt;=0,E99&lt;D99),"n/m",E99/D99-1)</x:f>
        <x:v>0.08730721385476681</x:v>
      </x:c>
      <x:c r="F232" s="42" t="str">
        <x:f aca="0">IF(OR(E99&lt;=0,F99&lt;E99),"n/m",F99/E99-1)</x:f>
        <x:v>n/m</x:v>
      </x:c>
      <x:c r="G232" s="42" t="n">
        <x:f aca="0">IF(OR(F99&lt;=0,G99&lt;F99),"n/m",G99/F99-1)</x:f>
        <x:v>1.0477138186485702</x:v>
      </x:c>
      <x:c r="H232" s="42" t="n">
        <x:f aca="0">IF(OR(G99&lt;=0,H99&lt;G99),"n/m",H99/G99-1)</x:f>
        <x:v>0.17738302819852692</x:v>
      </x:c>
      <x:c r="I232" s="11" t="s">
        <x:v>278</x:v>
      </x:c>
    </x:row>
    <x:row r="233" ht="15" hidden="0">
      <x:c r="A233" s="193" t="s">
        <x:v>379</x:v>
      </x:c>
      <x:c r="B233" s="195" t="s">
        <x:v>369</x:v>
      </x:c>
      <x:c r="C233" s="30"/>
      <x:c r="D233" s="43" t="s">
        <x:v>370</x:v>
      </x:c>
      <x:c r="E233" s="44" t="n">
        <x:f aca="0">E117-D117</x:f>
        <x:v>2976.818000000001</x:v>
      </x:c>
      <x:c r="F233" s="44" t="n">
        <x:f aca="0">F117-E117</x:f>
        <x:v>7773.447</x:v>
      </x:c>
      <x:c r="G233" s="44" t="n">
        <x:f aca="0">G117-F117</x:f>
        <x:v>4337.845000000001</x:v>
      </x:c>
      <x:c r="H233" s="44" t="n">
        <x:f aca="0">H117-G117</x:f>
        <x:v>-8.174000000002707</x:v>
      </x:c>
      <x:c r="I233" s="11" t="s">
        <x:v>111</x:v>
      </x:c>
    </x:row>
    <x:row r="234" ht="15" hidden="0">
      <x:c r="A234" s="193" t="s">
        <x:v>380</x:v>
      </x:c>
      <x:c r="B234" s="195" t="s">
        <x:v>372</x:v>
      </x:c>
      <x:c r="C234" s="30"/>
      <x:c r="D234" s="43" t="str">
        <x:f>IF(OR(C117&lt;=0,D117&lt;C117),"n/m",D117/C117-1)</x:f>
        <x:v>n/m</x:v>
      </x:c>
      <x:c r="E234" s="42" t="n">
        <x:f aca="0">IF(OR(D117&lt;=0,E117&lt;D117),"n/m",E117/D117-1)</x:f>
        <x:v>0.23828591431220536</x:v>
      </x:c>
      <x:c r="F234" s="42" t="n">
        <x:f aca="0">IF(OR(E117&lt;=0,F117&lt;E117),"n/m",F117/E117-1)</x:f>
        <x:v>0.5025031596147995</x:v>
      </x:c>
      <x:c r="G234" s="42" t="n">
        <x:f aca="0">IF(OR(F117&lt;=0,G117&lt;F117),"n/m",G117/F117-1)</x:f>
        <x:v>0.18663100329666316</x:v>
      </x:c>
      <x:c r="H234" s="42" t="str">
        <x:f aca="0">IF(OR(G117&lt;=0,H117&lt;G117),"n/m",H117/G117-1)</x:f>
        <x:v>n/m</x:v>
      </x:c>
      <x:c r="I234" s="11" t="s">
        <x:v>278</x:v>
      </x:c>
    </x:row>
    <x:row r="235" ht="15" hidden="0">
      <x:c r="A235" s="193" t="s">
        <x:v>381</x:v>
      </x:c>
      <x:c r="B235" s="195" t="s">
        <x:v>369</x:v>
      </x:c>
      <x:c r="C235" s="30"/>
      <x:c r="D235" s="44" t="n">
        <x:f aca="0">D37-C37</x:f>
        <x:v>20499.588000000018</x:v>
      </x:c>
      <x:c r="E235" s="44" t="n">
        <x:f aca="0">E37-D37</x:f>
        <x:v>28594.30600000001</x:v>
      </x:c>
      <x:c r="F235" s="44" t="n">
        <x:f aca="0">F37-E37</x:f>
        <x:v>28116.698999999993</x:v>
      </x:c>
      <x:c r="G235" s="44" t="n">
        <x:f aca="0">G37-F37</x:f>
        <x:v>20939.022999999986</x:v>
      </x:c>
      <x:c r="H235" s="44" t="n">
        <x:f aca="0">H37-G37</x:f>
        <x:v>32729.94000000003</x:v>
      </x:c>
      <x:c r="I235" s="11" t="s">
        <x:v>111</x:v>
      </x:c>
    </x:row>
    <x:row r="236" ht="15" hidden="0">
      <x:c r="A236" s="193" t="s">
        <x:v>382</x:v>
      </x:c>
      <x:c r="B236" s="195" t="s">
        <x:v>372</x:v>
      </x:c>
      <x:c r="C236" s="30"/>
      <x:c r="D236" s="42" t="n">
        <x:f aca="0">IF(OR(C37&lt;=0,D37&lt;C37),"n/m",D37/C37-1)</x:f>
        <x:v>0.15087817943697535</x:v>
      </x:c>
      <x:c r="E236" s="42" t="n">
        <x:f aca="0">IF(OR(D37&lt;=0,E37&lt;D37),"n/m",E37/D37-1)</x:f>
        <x:v>0.18286538589958368</x:v>
      </x:c>
      <x:c r="F236" s="42" t="n">
        <x:f aca="0">IF(OR(E37&lt;=0,F37&lt;E37),"n/m",F37/E37-1)</x:f>
        <x:v>0.1520130786820375</x:v>
      </x:c>
      <x:c r="G236" s="42" t="n">
        <x:f aca="0">IF(OR(F37&lt;=0,G37&lt;F37),"n/m",G37/F37-1)</x:f>
        <x:v>0.09826879427813529</x:v>
      </x:c>
      <x:c r="H236" s="42" t="n">
        <x:f aca="0">IF(OR(G37&lt;=0,H37&lt;G37),"n/m",H37/G37-1)</x:f>
        <x:v>0.13986072615155543</x:v>
      </x:c>
      <x:c r="I236" s="11" t="s">
        <x:v>278</x:v>
      </x:c>
    </x:row>
    <x:row r="237" ht="15" hidden="0">
      <x:c r="A237" s="193" t="s">
        <x:v>383</x:v>
      </x:c>
      <x:c r="B237" s="195" t="s">
        <x:v>369</x:v>
      </x:c>
      <x:c r="C237" s="30"/>
      <x:c r="D237" s="44" t="n">
        <x:f aca="0">D41-C41</x:f>
        <x:v>14016.396999999997</x:v>
      </x:c>
      <x:c r="E237" s="44" t="n">
        <x:f aca="0">E41-D41</x:f>
        <x:v>15340.065999999992</x:v>
      </x:c>
      <x:c r="F237" s="44" t="n">
        <x:f aca="0">F41-E41</x:f>
        <x:v>8826.002000000008</x:v>
      </x:c>
      <x:c r="G237" s="44" t="n">
        <x:f aca="0">G41-F41</x:f>
        <x:v>10394.951000000001</x:v>
      </x:c>
      <x:c r="H237" s="44" t="n">
        <x:f aca="0">H41-G41</x:f>
        <x:v>28149.122999999992</x:v>
      </x:c>
      <x:c r="I237" s="11" t="s">
        <x:v>111</x:v>
      </x:c>
    </x:row>
    <x:row r="238" ht="15" hidden="0">
      <x:c r="A238" s="193" t="s">
        <x:v>384</x:v>
      </x:c>
      <x:c r="B238" s="195" t="s">
        <x:v>372</x:v>
      </x:c>
      <x:c r="C238" s="30"/>
      <x:c r="D238" s="42" t="n">
        <x:f aca="0">IF(OR(C41&lt;=0,D41&lt;C41),"n/m",D41/C41-1)</x:f>
        <x:v>0.14131731572740436</x:v>
      </x:c>
      <x:c r="E238" s="42" t="n">
        <x:f aca="0">IF(OR(D41&lt;=0,E41&lt;D41),"n/m",E41/D41-1)</x:f>
        <x:v>0.13551264167613453</x:v>
      </x:c>
      <x:c r="F238" s="42" t="n">
        <x:f aca="0">IF(OR(E41&lt;=0,F41&lt;E41),"n/m",F41/E41-1)</x:f>
        <x:v>0.06866329355136847</x:v>
      </x:c>
      <x:c r="G238" s="42" t="n">
        <x:f aca="0">IF(OR(F41&lt;=0,G41&lt;F41),"n/m",G41/F41-1)</x:f>
        <x:v>0.07567321120607096</x:v>
      </x:c>
      <x:c r="H238" s="42" t="n">
        <x:f aca="0">IF(OR(G41&lt;=0,H41&lt;G41),"n/m",H41/G41-1)</x:f>
        <x:v>0.1905040587866602</x:v>
      </x:c>
      <x:c r="I238" s="11" t="s">
        <x:v>278</x:v>
      </x:c>
    </x:row>
    <x:row r="239" ht="15" hidden="0">
      <x:c r="A239" s="193" t="s">
        <x:v>385</x:v>
      </x:c>
      <x:c r="B239" s="195" t="s">
        <x:v>369</x:v>
      </x:c>
      <x:c r="C239" s="30"/>
      <x:c r="D239" s="44" t="n">
        <x:f aca="0">D66-C66</x:f>
        <x:v>2112.319999999998</x:v>
      </x:c>
      <x:c r="E239" s="44" t="n">
        <x:f aca="0">E66-D66</x:f>
        <x:v>5104.696</x:v>
      </x:c>
      <x:c r="F239" s="44" t="n">
        <x:f aca="0">F66-E66</x:f>
        <x:v>5446.299000000001</x:v>
      </x:c>
      <x:c r="G239" s="44" t="n">
        <x:f aca="0">G66-F66</x:f>
        <x:v>-697.1629999999968</x:v>
      </x:c>
      <x:c r="H239" s="44" t="n">
        <x:f aca="0">H66-G66</x:f>
        <x:v>-2809.1770000000033</x:v>
      </x:c>
      <x:c r="I239" s="11" t="s">
        <x:v>111</x:v>
      </x:c>
    </x:row>
    <x:row r="240" ht="15" hidden="0">
      <x:c r="A240" s="193" t="s">
        <x:v>386</x:v>
      </x:c>
      <x:c r="B240" s="195" t="s">
        <x:v>372</x:v>
      </x:c>
      <x:c r="C240" s="30"/>
      <x:c r="D240" s="42" t="n">
        <x:f aca="0">IF(OR(C66&lt;=0,D66&lt;C66),"n/m",D66/C66-1)</x:f>
        <x:v>0.2521079813506546</x:v>
      </x:c>
      <x:c r="E240" s="42" t="n">
        <x:f aca="0">IF(OR(D66&lt;=0,E66&lt;D66),"n/m",E66/D66-1)</x:f>
        <x:v>0.48658081745107595</x:v>
      </x:c>
      <x:c r="F240" s="42" t="n">
        <x:f aca="0">IF(OR(E66&lt;=0,F66&lt;E66),"n/m",F66/E66-1)</x:f>
        <x:v>0.34921915395884806</x:v>
      </x:c>
      <x:c r="G240" s="42" t="str">
        <x:f aca="0">IF(OR(F66&lt;=0,G66&lt;F66),"n/m",G66/F66-1)</x:f>
        <x:v>n/m</x:v>
      </x:c>
      <x:c r="H240" s="42" t="str">
        <x:f aca="0">IF(OR(G66&lt;=0,H66&lt;G66),"n/m",H66/G66-1)</x:f>
        <x:v>n/m</x:v>
      </x:c>
      <x:c r="I240" s="11" t="s">
        <x:v>278</x:v>
      </x:c>
    </x:row>
    <x:row r="241" ht="15" hidden="0">
      <x:c r="A241" s="193" t="s">
        <x:v>387</x:v>
      </x:c>
      <x:c r="B241" s="195" t="s">
        <x:v>369</x:v>
      </x:c>
      <x:c r="C241" s="30"/>
      <x:c r="D241" s="44" t="n">
        <x:f aca="0">D65-C65</x:f>
        <x:v>4195.888000000001</x:v>
      </x:c>
      <x:c r="E241" s="44" t="n">
        <x:f aca="0">E65-D65</x:f>
        <x:v>4746.597000000002</x:v>
      </x:c>
      <x:c r="F241" s="44" t="n">
        <x:f aca="0">F65-E65</x:f>
        <x:v>1754.3179999999993</x:v>
      </x:c>
      <x:c r="G241" s="44" t="n">
        <x:f aca="0">G65-F65</x:f>
        <x:v>2964.721999999998</x:v>
      </x:c>
      <x:c r="H241" s="44" t="n">
        <x:f aca="0">H65-G65</x:f>
        <x:v>1572.4600000000028</x:v>
      </x:c>
      <x:c r="I241" s="11" t="s">
        <x:v>111</x:v>
      </x:c>
    </x:row>
    <x:row r="242" ht="15" hidden="0">
      <x:c r="A242" s="193" t="s">
        <x:v>388</x:v>
      </x:c>
      <x:c r="B242" s="195" t="s">
        <x:v>372</x:v>
      </x:c>
      <x:c r="C242" s="30"/>
      <x:c r="D242" s="42" t="n">
        <x:f aca="0">IF(OR(C65&lt;=0,D65&lt;C65),"n/m",D65/C65-1)</x:f>
        <x:v>0.4446811807299962</x:v>
      </x:c>
      <x:c r="E242" s="42" t="n">
        <x:f aca="0">IF(OR(D65&lt;=0,E65&lt;D65),"n/m",E65/D65-1)</x:f>
        <x:v>0.34820516432028215</x:v>
      </x:c>
      <x:c r="F242" s="42" t="n">
        <x:f aca="0">IF(OR(E65&lt;=0,F65&lt;E65),"n/m",F65/E65-1)</x:f>
        <x:v>0.09545642836648849</x:v>
      </x:c>
      <x:c r="G242" s="42" t="n">
        <x:f aca="0">IF(OR(F65&lt;=0,G65&lt;F65),"n/m",G65/F65-1)</x:f>
        <x:v>0.14726031632892544</x:v>
      </x:c>
      <x:c r="H242" s="42" t="n">
        <x:f aca="0">IF(OR(G65&lt;=0,H65&lt;G65),"n/m",H65/G65-1)</x:f>
        <x:v>0.06807997507235397</x:v>
      </x:c>
      <x:c r="I242" s="11" t="s">
        <x:v>278</x:v>
      </x:c>
    </x:row>
    <x:row r="243" ht="15" hidden="0">
      <x:c r="A243" s="193" t="s">
        <x:v>389</x:v>
      </x:c>
      <x:c r="B243" s="195" t="s">
        <x:v>369</x:v>
      </x:c>
      <x:c r="C243" s="30"/>
      <x:c r="D243" s="44" t="n">
        <x:f aca="0">D32-C32</x:f>
        <x:v>-712.6859999999997</x:v>
      </x:c>
      <x:c r="E243" s="44" t="n">
        <x:f aca="0">E32-D32</x:f>
        <x:v>812.8499999999999</x:v>
      </x:c>
      <x:c r="F243" s="44" t="n">
        <x:f aca="0">F32-E32</x:f>
        <x:v>1566.7360000000003</x:v>
      </x:c>
      <x:c r="G243" s="44" t="n">
        <x:f aca="0">G32-F32</x:f>
        <x:v>1842.812</x:v>
      </x:c>
      <x:c r="H243" s="44" t="n">
        <x:f aca="0">H32-G32</x:f>
        <x:v>-579.2849999999999</x:v>
      </x:c>
      <x:c r="I243" s="11" t="s">
        <x:v>111</x:v>
      </x:c>
    </x:row>
    <x:row r="244" ht="15" hidden="0">
      <x:c r="A244" s="193" t="s">
        <x:v>390</x:v>
      </x:c>
      <x:c r="B244" s="195" t="s">
        <x:v>372</x:v>
      </x:c>
      <x:c r="C244" s="30"/>
      <x:c r="D244" s="42" t="str">
        <x:f aca="0">IF(OR(C32&lt;=0,D32&lt;C32),"n/m",D32/C32-1)</x:f>
        <x:v>n/m</x:v>
      </x:c>
      <x:c r="E244" s="42" t="n">
        <x:f aca="0">IF(OR(D32&lt;=0,E32&lt;D32),"n/m",E32/D32-1)</x:f>
        <x:v>0.2999356845791694</x:v>
      </x:c>
      <x:c r="F244" s="42" t="n">
        <x:f aca="0">IF(OR(E32&lt;=0,F32&lt;E32),"n/m",F32/E32-1)</x:f>
        <x:v>0.4447251450567724</x:v>
      </x:c>
      <x:c r="G244" s="42" t="n">
        <x:f aca="0">IF(OR(F32&lt;=0,G32&lt;F32),"n/m",G32/F32-1)</x:f>
        <x:v>0.36206926700705555</x:v>
      </x:c>
      <x:c r="H244" s="42" t="str">
        <x:f aca="0">IF(OR(G32&lt;=0,H32&lt;G32),"n/m",H32/G32-1)</x:f>
        <x:v>n/m</x:v>
      </x:c>
      <x:c r="I244" s="11" t="s">
        <x:v>278</x:v>
      </x:c>
    </x:row>
    <x:row r="245" ht="15" hidden="0">
      <x:c r="A245" s="193" t="s">
        <x:v>391</x:v>
      </x:c>
      <x:c r="B245" s="195" t="s">
        <x:v>369</x:v>
      </x:c>
      <x:c r="C245" s="30"/>
      <x:c r="D245" s="44" t="n">
        <x:f aca="0">D34-C34</x:f>
        <x:v>-4991.182</x:v>
      </x:c>
      <x:c r="E245" s="44" t="n">
        <x:f aca="0">E34-D34</x:f>
        <x:v>1045.654</x:v>
      </x:c>
      <x:c r="F245" s="44" t="n">
        <x:f aca="0">F34-E34</x:f>
        <x:v>245.1029999999996</x:v>
      </x:c>
      <x:c r="G245" s="44" t="n">
        <x:f aca="0">G34-F34</x:f>
        <x:v>-1549.0049999999997</x:v>
      </x:c>
      <x:c r="H245" s="44" t="n">
        <x:f aca="0">H34-G34</x:f>
        <x:v>223.14699999999993</x:v>
      </x:c>
      <x:c r="I245" s="11" t="s">
        <x:v>111</x:v>
      </x:c>
    </x:row>
    <x:row r="246" ht="15" hidden="0">
      <x:c r="A246" s="193" t="s">
        <x:v>392</x:v>
      </x:c>
      <x:c r="B246" s="195" t="s">
        <x:v>372</x:v>
      </x:c>
      <x:c r="C246" s="30"/>
      <x:c r="D246" s="42" t="str">
        <x:f aca="0">IF(OR(C34&lt;=0,D34&lt;C34),"n/m",D34/C34-1)</x:f>
        <x:v>n/m</x:v>
      </x:c>
      <x:c r="E246" s="42" t="n">
        <x:f aca="0">IF(OR(D34&lt;=0,E34&lt;D34),"n/m",E34/D34-1)</x:f>
        <x:v>0.37008746297900785</x:v>
      </x:c>
      <x:c r="F246" s="42" t="n">
        <x:f aca="0">IF(OR(E34&lt;=0,F34&lt;E34),"n/m",F34/E34-1)</x:f>
        <x:v>0.06331647153583564</x:v>
      </x:c>
      <x:c r="G246" s="42" t="str">
        <x:f aca="0">IF(OR(F34&lt;=0,G34&lt;F34),"n/m",G34/F34-1)</x:f>
        <x:v>n/m</x:v>
      </x:c>
      <x:c r="H246" s="42" t="n">
        <x:f aca="0">IF(OR(G34&lt;=0,H34&lt;G34),"n/m",H34/G34-1)</x:f>
        <x:v>0.08692314044693461</x:v>
      </x:c>
      <x:c r="I246" s="11" t="s">
        <x:v>278</x:v>
      </x:c>
    </x:row>
    <x:row r="247">
      <x:c r="A247" s="193"/>
      <x:c r="B247" s="193"/>
    </x:row>
    <x:row r="248" ht="15" hidden="0">
      <x:c r="A248" s="196" t="s">
        <x:v>393</x:v>
      </x:c>
      <x:c r="B248" s="197"/>
      <x:c r="C248" s="20"/>
      <x:c r="D248" s="20"/>
      <x:c r="E248" s="20"/>
      <x:c r="F248" s="20"/>
      <x:c r="G248" s="20"/>
      <x:c r="H248" s="20"/>
      <x:c r="I248" s="20"/>
      <x:c r="J248" s="20"/>
    </x:row>
    <x:row r="249">
      <x:c r="A249" s="193"/>
      <x:c r="B249" s="193"/>
    </x:row>
    <x:row r="250" ht="22" hidden="0" customHeight="1">
      <x:c r="A250" s="204" t="str">
        <x:v>Financing classification (PKR million)</x:v>
      </x:c>
      <x:c r="B250" s="204"/>
      <x:c r="C250" s="129"/>
      <x:c r="D250" s="129"/>
      <x:c r="E250" s="129"/>
      <x:c r="F250" s="129"/>
      <x:c r="G250" s="129"/>
      <x:c r="H250" s="129"/>
      <x:c r="I250"/>
      <x:c r="J250"/>
    </x:row>
    <x:row r="251" ht="15" hidden="0">
      <x:c r="A251" s="193" t="str">
        <x:v>Interest-free parent loan excluded from IBD</x:v>
      </x:c>
      <x:c r="B251" s="193"/>
      <x:c r="C251" s="136" t="n">
        <x:v>0</x:v>
      </x:c>
      <x:c r="D251" s="136" t="n">
        <x:v>0</x:v>
      </x:c>
      <x:c r="E251" s="136" t="n">
        <x:v>0</x:v>
      </x:c>
      <x:c r="F251" s="136" t="n">
        <x:v>0</x:v>
      </x:c>
      <x:c r="G251" s="136" t="n">
        <x:v>0</x:v>
      </x:c>
      <x:c r="H251" s="136" t="n">
        <x:v>0</x:v>
      </x:c>
    </x:row>
    <x:row r="252" ht="15" hidden="0">
      <x:c r="A252" s="193" t="str">
        <x:v>Accrued interest within financing balances</x:v>
      </x:c>
      <x:c r="B252" s="193"/>
      <x:c r="C252" s="136" t="n">
        <x:v>0</x:v>
      </x:c>
      <x:c r="D252" s="136" t="n">
        <x:v>0</x:v>
      </x:c>
      <x:c r="E252" s="136" t="n">
        <x:v>0</x:v>
      </x:c>
      <x:c r="F252" s="136" t="n">
        <x:v>0</x:v>
      </x:c>
      <x:c r="G252" s="136" t="n">
        <x:v>0</x:v>
      </x:c>
      <x:c r="H252" s="136" t="n">
        <x:v>0</x:v>
      </x:c>
      <x:c r="I252"/>
      <x:c r="J252"/>
    </x:row>
    <x:row r="253" ht="15" hidden="0">
      <x:c r="A253" s="193" t="str">
        <x:v>Related operating supplier payable (included above)</x:v>
      </x:c>
      <x:c r="B253" s="193"/>
      <x:c r="C253" s="136" t="n">
        <x:v>0</x:v>
      </x:c>
      <x:c r="D253" s="136" t="n">
        <x:f aca="0"/>
        <x:v>0</x:v>
      </x:c>
      <x:c r="E253" s="136" t="n">
        <x:f aca="0"/>
        <x:v>0</x:v>
      </x:c>
      <x:c r="F253" s="136" t="n">
        <x:f aca="0"/>
        <x:v>0</x:v>
      </x:c>
      <x:c r="G253" s="136" t="n">
        <x:f aca="0"/>
        <x:v>0</x:v>
      </x:c>
      <x:c r="H253" s="136" t="n">
        <x:f aca="0"/>
        <x:v>0</x:v>
      </x:c>
      <x:c r="J253"/>
    </x:row>
    <x:row r="254" ht="15" hidden="0">
      <x:c r="A254" s="193" t="str">
        <x:v>Contractors bills (published-convention reconstruction)</x:v>
      </x:c>
      <x:c r="B254" s="193"/>
      <x:c r="C254" s="136" t="n">
        <x:v>0</x:v>
      </x:c>
      <x:c r="D254" s="136" t="n">
        <x:v>0</x:v>
      </x:c>
      <x:c r="E254" s="136" t="n">
        <x:v>0</x:v>
      </x:c>
      <x:c r="F254" s="136" t="n">
        <x:v>0</x:v>
      </x:c>
      <x:c r="G254" s="136" t="n">
        <x:v>0</x:v>
      </x:c>
      <x:c r="H254" s="136" t="n">
        <x:v>0</x:v>
      </x:c>
    </x:row>
    <x:row r="255" ht="15" hidden="0">
      <x:c r="A255" s="193" t="str">
        <x:v>Bank interest (published coverage reconstruction)</x:v>
      </x:c>
      <x:c r="B255" s="193"/>
      <x:c r="C255" s="136" t="n">
        <x:v>0</x:v>
      </x:c>
      <x:c r="D255" s="136" t="n">
        <x:f aca="0"/>
        <x:v>0</x:v>
      </x:c>
      <x:c r="E255" s="136" t="n">
        <x:f aca="0"/>
        <x:v>0</x:v>
      </x:c>
      <x:c r="F255" s="136" t="n">
        <x:f aca="0"/>
        <x:v>0</x:v>
      </x:c>
      <x:c r="G255" s="136" t="n">
        <x:f aca="0"/>
        <x:v>0</x:v>
      </x:c>
      <x:c r="H255" s="136" t="n">
        <x:f aca="0"/>
        <x:v>0</x:v>
      </x:c>
    </x:row>
    <x:row r="256" ht="15" hidden="0">
      <x:c r="A256" s="193" t="str">
        <x:v>Gross on-demand parent loan (published liquidity)</x:v>
      </x:c>
      <x:c r="B256" s="193"/>
      <x:c r="C256" s="136" t="n">
        <x:v>0</x:v>
      </x:c>
      <x:c r="D256" s="136" t="n">
        <x:f aca="0"/>
        <x:v>0</x:v>
      </x:c>
      <x:c r="E256" s="136" t="n">
        <x:f aca="0"/>
        <x:v>0</x:v>
      </x:c>
      <x:c r="F256" s="136" t="n">
        <x:f aca="0"/>
        <x:v>0</x:v>
      </x:c>
      <x:c r="G256" s="136" t="n">
        <x:f aca="0"/>
        <x:v>0</x:v>
      </x:c>
      <x:c r="H256" s="136" t="n">
        <x:f aca="0"/>
        <x:v>0</x:v>
      </x:c>
    </x:row>
    <x:row r="257" ht="15" hidden="0">
      <x:c r="A257" s="193" t="str">
        <x:v>Cash equivalents (published cash-ratio reconstruction)</x:v>
      </x:c>
      <x:c r="B257" s="193"/>
      <x:c r="C257" s="136" t="n">
        <x:v>0</x:v>
      </x:c>
      <x:c r="D257" s="136" t="n">
        <x:f aca="0"/>
        <x:v>11641.039</x:v>
      </x:c>
      <x:c r="E257" s="136" t="n">
        <x:f aca="0"/>
        <x:v>14493.016</x:v>
      </x:c>
      <x:c r="F257" s="136" t="n">
        <x:f aca="0"/>
        <x:v>26001.579</x:v>
      </x:c>
      <x:c r="G257" s="136" t="n">
        <x:f aca="0"/>
        <x:v>32382.131</x:v>
      </x:c>
      <x:c r="H257" s="136" t="n">
        <x:f aca="0"/>
        <x:v>64088.375</x:v>
      </x:c>
      <x:c r="J257"/>
    </x:row>
    <x:row r="258" ht="15" hidden="0">
      <x:c r="A258" s="193"/>
      <x:c r="B258" s="193"/>
      <x:c r="D258"/>
      <x:c r="E258"/>
      <x:c r="F258"/>
      <x:c r="G258"/>
      <x:c r="H258"/>
    </x:row>
    <x:row r="259" ht="35" hidden="0" customHeight="1">
      <x:c r="A259" s="208" t="str">
        <x:v>Treasury held for cancellation (million shares; BVPS memo)</x:v>
      </x:c>
      <x:c r="B259" s="208"/>
      <x:c r="D259" t="n">
        <x:f aca="0"/>
        <x:v>0</x:v>
      </x:c>
      <x:c r="E259" t="n">
        <x:f aca="0"/>
        <x:v>0</x:v>
      </x:c>
      <x:c r="F259" t="n">
        <x:f aca="0"/>
        <x:v>1.536361</x:v>
      </x:c>
      <x:c r="G259" t="n">
        <x:f aca="0"/>
        <x:v>0</x:v>
      </x:c>
      <x:c r="H259" t="n">
        <x:f aca="0"/>
        <x:v>0</x:v>
      </x:c>
      <x:c r="I259" t="str">
        <x:v>million shares</x:v>
      </x:c>
    </x:row>
    <x:row r="260" ht="15" hidden="0">
      <x:c r="A260" s="206" t="str">
        <x:v>Sources: KOHC FY2025 note 6.1 (PDF p89); FCCL FY2025 note 11 (PDF p268), FY2024 note 10; MLCF trade-payable and related-party notes.</x:v>
      </x:c>
      <x:c r="B260" s="206"/>
      <x:c r="C260" s="135"/>
      <x:c r="D260" s="135">
        <x:f aca="0"/>
      </x:c>
      <x:c r="E260" s="135">
        <x:f aca="0"/>
      </x:c>
      <x:c r="F260" s="135">
        <x:f aca="0"/>
      </x:c>
      <x:c r="G260" s="135">
        <x:f aca="0"/>
      </x:c>
      <x:c r="H260" s="135">
        <x:f aca="0"/>
      </x:c>
    </x:row>
    <x:row r="261" ht="15" hidden="0">
      <x:c r="A261" s="193" t="str">
        <x:v>Cash-equivalent sources: FY2022 audited CF PDF p229 (FY2021/22);FY2025 audited CF PDF p243 and comparatives (FY2023-25).</x:v>
      </x:c>
      <x:c r="B261" s="193"/>
      <x:c r="D261">
        <x:f aca="0"/>
      </x:c>
      <x:c r="E261">
        <x:f aca="0"/>
      </x:c>
      <x:c r="F261">
        <x:f aca="0"/>
      </x:c>
      <x:c r="G261">
        <x:f aca="0"/>
      </x:c>
      <x:c r="H261">
        <x:f aca="0"/>
      </x:c>
      <x:c r="J261"/>
    </x:row>
    <x:row r="262" ht="15" hidden="0">
      <x:c r="A262" s="193" t="str">
        <x:v>BVPS memo source: FY2024 annual report note19, PDF p260:1,536,361 shares bought and held for cancellation at June2023.</x:v>
      </x:c>
      <x:c r="B262" s="193"/>
      <x:c r="D262"/>
      <x:c r="E262"/>
      <x:c r="F262"/>
      <x:c r="G262"/>
      <x:c r="H262"/>
    </x:row>
    <x:row r="263" ht="15" hidden="0">
      <x:c r="A263" s="193"/>
      <x:c r="B263" s="193"/>
      <x:c r="D263">
        <x:f aca="0"/>
      </x:c>
      <x:c r="E263">
        <x:f aca="0"/>
      </x:c>
      <x:c r="F263">
        <x:f aca="0"/>
      </x:c>
      <x:c r="G263">
        <x:f aca="0"/>
      </x:c>
      <x:c r="H263">
        <x:f aca="0"/>
      </x:c>
    </x:row>
    <x:row r="264" ht="15" hidden="0">
      <x:c r="A264" s="193"/>
      <x:c r="B264" s="193"/>
      <x:c r="D264">
        <x:f aca="0"/>
      </x:c>
      <x:c r="E264">
        <x:f aca="0"/>
      </x:c>
      <x:c r="F264">
        <x:f aca="0"/>
      </x:c>
      <x:c r="G264">
        <x:f aca="0"/>
      </x:c>
      <x:c r="H264">
        <x:f aca="0"/>
      </x:c>
    </x:row>
    <x:row r="265" ht="15" hidden="0">
      <x:c r="A265" s="193"/>
      <x:c r="B265" s="193"/>
      <x:c r="D265">
        <x:f aca="0"/>
      </x:c>
      <x:c r="E265">
        <x:f aca="0"/>
      </x:c>
      <x:c r="F265">
        <x:f aca="0"/>
      </x:c>
      <x:c r="G265">
        <x:f aca="0"/>
      </x:c>
      <x:c r="H265">
        <x:f aca="0"/>
      </x:c>
      <x:c r="J265"/>
    </x:row>
    <x:row r="266" ht="15" hidden="0">
      <x:c r="A266" s="193"/>
      <x:c r="B266" s="193"/>
      <x:c r="D266"/>
      <x:c r="E266"/>
      <x:c r="F266"/>
      <x:c r="G266"/>
      <x:c r="H266"/>
    </x:row>
    <x:row r="267" ht="15" hidden="0">
      <x:c r="A267" s="193"/>
      <x:c r="B267" s="193"/>
      <x:c r="D267">
        <x:f aca="0"/>
      </x:c>
      <x:c r="E267">
        <x:f aca="0"/>
      </x:c>
      <x:c r="F267">
        <x:f aca="0"/>
      </x:c>
      <x:c r="G267">
        <x:f aca="0"/>
      </x:c>
      <x:c r="H267">
        <x:f aca="0"/>
      </x:c>
    </x:row>
    <x:row r="268" ht="15" hidden="0">
      <x:c r="A268" s="193"/>
      <x:c r="B268" s="193"/>
      <x:c r="D268">
        <x:f aca="0"/>
      </x:c>
      <x:c r="E268">
        <x:f aca="0"/>
      </x:c>
      <x:c r="F268">
        <x:f aca="0"/>
      </x:c>
      <x:c r="G268">
        <x:f aca="0"/>
      </x:c>
      <x:c r="H268">
        <x:f aca="0"/>
      </x:c>
    </x:row>
    <x:row r="269" ht="15" hidden="0">
      <x:c r="A269" s="193"/>
      <x:c r="B269" s="193"/>
      <x:c r="D269">
        <x:f aca="0"/>
      </x:c>
      <x:c r="E269">
        <x:f aca="0"/>
      </x:c>
      <x:c r="F269">
        <x:f aca="0"/>
      </x:c>
      <x:c r="G269">
        <x:f aca="0"/>
      </x:c>
      <x:c r="H269">
        <x:f aca="0"/>
      </x:c>
      <x:c r="J269"/>
    </x:row>
    <x:row r="270" ht="15" hidden="0">
      <x:c r="A270" s="193"/>
      <x:c r="B270" s="193"/>
      <x:c r="D270"/>
      <x:c r="E270"/>
      <x:c r="F270"/>
      <x:c r="G270"/>
      <x:c r="H270"/>
    </x:row>
    <x:row r="271" ht="15" hidden="0">
      <x:c r="A271" s="193"/>
      <x:c r="B271" s="193"/>
      <x:c r="D271">
        <x:f aca="0"/>
      </x:c>
      <x:c r="E271">
        <x:f aca="0"/>
      </x:c>
      <x:c r="F271">
        <x:f aca="0"/>
      </x:c>
      <x:c r="G271">
        <x:f aca="0"/>
      </x:c>
      <x:c r="H271">
        <x:f aca="0"/>
      </x:c>
    </x:row>
    <x:row r="272" ht="15" hidden="0">
      <x:c r="A272" s="193"/>
      <x:c r="B272" s="193"/>
      <x:c r="D272">
        <x:f aca="0"/>
      </x:c>
      <x:c r="E272">
        <x:f aca="0"/>
      </x:c>
      <x:c r="F272">
        <x:f aca="0"/>
      </x:c>
      <x:c r="G272">
        <x:f aca="0"/>
      </x:c>
      <x:c r="H272">
        <x:f aca="0"/>
      </x:c>
    </x:row>
    <x:row r="273" ht="15" hidden="0">
      <x:c r="A273" s="193"/>
      <x:c r="B273" s="193"/>
      <x:c r="D273">
        <x:f aca="0"/>
      </x:c>
      <x:c r="E273">
        <x:f aca="0"/>
      </x:c>
      <x:c r="F273">
        <x:f aca="0"/>
      </x:c>
      <x:c r="G273">
        <x:f aca="0"/>
      </x:c>
      <x:c r="H273">
        <x:f aca="0"/>
      </x:c>
      <x:c r="J273"/>
    </x:row>
    <x:row r="274" ht="15" hidden="0">
      <x:c r="A274" s="193"/>
      <x:c r="B274" s="193"/>
      <x:c r="D274"/>
      <x:c r="E274"/>
      <x:c r="F274"/>
      <x:c r="G274"/>
      <x:c r="H274"/>
    </x:row>
    <x:row r="275" ht="15" hidden="0">
      <x:c r="A275" s="193"/>
      <x:c r="B275" s="193"/>
      <x:c r="D275">
        <x:f aca="0"/>
      </x:c>
      <x:c r="E275">
        <x:f aca="0"/>
      </x:c>
      <x:c r="F275">
        <x:f aca="0"/>
      </x:c>
      <x:c r="G275">
        <x:f aca="0"/>
      </x:c>
      <x:c r="H275">
        <x:f aca="0"/>
      </x:c>
    </x:row>
    <x:row r="276" ht="15" hidden="0">
      <x:c r="A276" s="193"/>
      <x:c r="B276" s="193"/>
      <x:c r="D276">
        <x:f aca="0"/>
      </x:c>
      <x:c r="E276">
        <x:f aca="0"/>
      </x:c>
      <x:c r="F276">
        <x:f aca="0"/>
      </x:c>
      <x:c r="G276">
        <x:f aca="0"/>
      </x:c>
      <x:c r="H276">
        <x:f aca="0"/>
      </x:c>
    </x:row>
    <x:row r="277" ht="15" hidden="0">
      <x:c r="A277" s="193"/>
      <x:c r="B277" s="193"/>
      <x:c r="D277">
        <x:f aca="0"/>
      </x:c>
      <x:c r="E277">
        <x:f aca="0"/>
      </x:c>
      <x:c r="F277">
        <x:f aca="0"/>
      </x:c>
      <x:c r="G277">
        <x:f aca="0"/>
      </x:c>
      <x:c r="H277">
        <x:f aca="0"/>
      </x:c>
      <x:c r="J277"/>
    </x:row>
    <x:row r="278" ht="15" hidden="0">
      <x:c r="A278" s="193"/>
      <x:c r="B278" s="193"/>
      <x:c r="D278"/>
      <x:c r="E278"/>
      <x:c r="F278"/>
      <x:c r="G278"/>
      <x:c r="H278"/>
    </x:row>
    <x:row r="279" ht="15" hidden="0">
      <x:c r="A279" s="193"/>
      <x:c r="B279" s="193"/>
      <x:c r="D279">
        <x:f aca="0"/>
      </x:c>
      <x:c r="E279">
        <x:f aca="0"/>
      </x:c>
      <x:c r="F279">
        <x:f aca="0"/>
      </x:c>
      <x:c r="G279">
        <x:f aca="0"/>
      </x:c>
      <x:c r="H279">
        <x:f aca="0"/>
      </x:c>
    </x:row>
    <x:row r="280" ht="15" hidden="0">
      <x:c r="A280" s="193"/>
      <x:c r="B280" s="193"/>
      <x:c r="D280">
        <x:f aca="0"/>
      </x:c>
      <x:c r="E280">
        <x:f aca="0"/>
      </x:c>
      <x:c r="F280">
        <x:f aca="0"/>
      </x:c>
      <x:c r="G280">
        <x:f aca="0"/>
      </x:c>
      <x:c r="H280">
        <x:f aca="0"/>
      </x:c>
    </x:row>
    <x:row r="281">
      <x:c r="A281" s="193"/>
      <x:c r="B281" s="193"/>
    </x:row>
    <x:row r="282">
      <x:c r="A282" s="193"/>
      <x:c r="B282" s="193"/>
    </x:row>
    <x:row r="283">
      <x:c r="A283" s="193"/>
      <x:c r="B283" s="193"/>
    </x:row>
    <x:row r="284">
      <x:c r="A284" s="193"/>
      <x:c r="B284" s="193"/>
    </x:row>
    <x:row r="285">
      <x:c r="A285" s="193"/>
      <x:c r="B285" s="193"/>
    </x:row>
    <x:row r="286">
      <x:c r="A286" s="193"/>
      <x:c r="B286" s="193"/>
    </x:row>
    <x:row r="287">
      <x:c r="A287" s="193"/>
      <x:c r="B287" s="193"/>
    </x:row>
    <x:row r="288">
      <x:c r="A288" s="193"/>
      <x:c r="B288" s="193"/>
    </x:row>
    <x:row r="289">
      <x:c r="A289" s="193"/>
      <x:c r="B289" s="193"/>
    </x:row>
    <x:row r="290">
      <x:c r="A290" s="193"/>
      <x:c r="B290" s="193"/>
    </x:row>
    <x:row r="291">
      <x:c r="A291" s="193"/>
      <x:c r="B291" s="193"/>
    </x:row>
    <x:row r="292">
      <x:c r="A292" s="193"/>
      <x:c r="B292" s="193"/>
    </x:row>
    <x:row r="293">
      <x:c r="A293" s="193"/>
      <x:c r="B293" s="193"/>
    </x:row>
    <x:row r="294">
      <x:c r="A294" s="193"/>
      <x:c r="B294" s="193"/>
    </x:row>
    <x:row r="295">
      <x:c r="A295" s="193"/>
      <x:c r="B295" s="193"/>
    </x:row>
    <x:row r="296">
      <x:c r="A296" s="193"/>
      <x:c r="B296" s="193"/>
    </x:row>
    <x:row r="297">
      <x:c r="A297" s="193"/>
      <x:c r="B297" s="193"/>
    </x:row>
    <x:row r="298">
      <x:c r="A298" s="193"/>
      <x:c r="B298" s="193"/>
    </x:row>
    <x:row r="299">
      <x:c r="A299" s="193"/>
      <x:c r="B299" s="193"/>
    </x:row>
    <x:row r="300">
      <x:c r="A300" s="193"/>
      <x:c r="B300" s="193"/>
    </x:row>
    <x:row r="301">
      <x:c r="A301" s="193"/>
      <x:c r="B301" s="193"/>
    </x:row>
    <x:row r="302">
      <x:c r="A302" s="193"/>
      <x:c r="B302" s="193"/>
    </x:row>
    <x:row r="303">
      <x:c r="A303" s="193"/>
      <x:c r="B303" s="193"/>
    </x:row>
    <x:row r="304">
      <x:c r="A304" s="193"/>
      <x:c r="B304" s="193"/>
    </x:row>
    <x:row r="305">
      <x:c r="A305" s="193"/>
      <x:c r="B305" s="193"/>
    </x:row>
    <x:row r="306">
      <x:c r="A306" s="193"/>
      <x:c r="B306" s="193"/>
    </x:row>
    <x:row r="307">
      <x:c r="A307" s="193"/>
      <x:c r="B307" s="193"/>
    </x:row>
    <x:row r="308">
      <x:c r="A308" s="193"/>
      <x:c r="B308" s="193"/>
    </x:row>
    <x:row r="309">
      <x:c r="A309" s="193"/>
      <x:c r="B309" s="193"/>
    </x:row>
    <x:row r="310">
      <x:c r="A310" s="193"/>
      <x:c r="B310" s="193"/>
    </x:row>
    <x:row r="311">
      <x:c r="A311" s="193"/>
      <x:c r="B311" s="193"/>
    </x:row>
    <x:row r="312">
      <x:c r="A312" s="193"/>
      <x:c r="B312" s="193"/>
    </x:row>
    <x:row r="313">
      <x:c r="A313" s="193"/>
      <x:c r="B313" s="193"/>
    </x:row>
    <x:row r="314">
      <x:c r="A314" s="193"/>
      <x:c r="B314" s="193"/>
    </x:row>
    <x:row r="315">
      <x:c r="A315" s="193"/>
      <x:c r="B315" s="193"/>
    </x:row>
    <x:row r="316">
      <x:c r="A316" s="193"/>
      <x:c r="B316" s="193"/>
    </x:row>
    <x:row r="317">
      <x:c r="A317" s="193"/>
      <x:c r="B317" s="193"/>
    </x:row>
    <x:row r="318">
      <x:c r="A318" s="193"/>
      <x:c r="B318" s="193"/>
    </x:row>
    <x:row r="319">
      <x:c r="A319" s="193"/>
      <x:c r="B319" s="193"/>
    </x:row>
    <x:row r="320">
      <x:c r="A320" s="193"/>
      <x:c r="B320" s="193"/>
    </x:row>
    <x:row r="321">
      <x:c r="A321" s="193"/>
      <x:c r="B321" s="193"/>
    </x:row>
    <x:row r="322">
      <x:c r="A322" s="193"/>
      <x:c r="B322" s="193"/>
    </x:row>
    <x:row r="323">
      <x:c r="A323" s="193"/>
      <x:c r="B323" s="193"/>
    </x:row>
    <x:row r="324">
      <x:c r="A324" s="193"/>
      <x:c r="B324" s="193"/>
    </x:row>
    <x:row r="325">
      <x:c r="A325" s="193"/>
      <x:c r="B325" s="193"/>
    </x:row>
    <x:row r="326">
      <x:c r="A326" s="193"/>
      <x:c r="B326" s="193"/>
    </x:row>
    <x:row r="327">
      <x:c r="A327" s="193"/>
      <x:c r="B327" s="193"/>
    </x:row>
    <x:row r="328">
      <x:c r="A328" s="193"/>
      <x:c r="B328" s="193"/>
    </x:row>
    <x:row r="329">
      <x:c r="A329" s="193"/>
      <x:c r="B329" s="193"/>
    </x:row>
    <x:row r="330">
      <x:c r="A330" s="193"/>
      <x:c r="B330" s="193"/>
    </x:row>
    <x:row r="331">
      <x:c r="A331" s="193"/>
      <x:c r="B331" s="193"/>
    </x:row>
    <x:row r="332">
      <x:c r="A332" s="193"/>
      <x:c r="B332" s="193"/>
    </x:row>
    <x:row r="333">
      <x:c r="A333" s="193"/>
      <x:c r="B333" s="193"/>
    </x:row>
    <x:row r="334">
      <x:c r="A334" s="193"/>
      <x:c r="B334" s="193"/>
    </x:row>
    <x:row r="335">
      <x:c r="A335" s="193"/>
      <x:c r="B335" s="193"/>
    </x:row>
    <x:row r="336">
      <x:c r="A336" s="193"/>
      <x:c r="B336" s="193"/>
    </x:row>
    <x:row r="337">
      <x:c r="A337" s="193"/>
      <x:c r="B337" s="193"/>
    </x:row>
    <x:row r="338">
      <x:c r="A338" s="193"/>
      <x:c r="B338" s="193"/>
    </x:row>
    <x:row r="339">
      <x:c r="A339" s="193"/>
      <x:c r="B339" s="193"/>
    </x:row>
    <x:row r="340">
      <x:c r="A340" s="193"/>
      <x:c r="B340" s="193"/>
    </x:row>
    <x:row r="341">
      <x:c r="A341" s="193"/>
      <x:c r="B341" s="193"/>
    </x:row>
    <x:row r="342">
      <x:c r="A342" s="193"/>
      <x:c r="B342" s="193"/>
    </x:row>
    <x:row r="343">
      <x:c r="A343" s="193"/>
      <x:c r="B343" s="193"/>
    </x:row>
    <x:row r="344">
      <x:c r="A344" s="193"/>
      <x:c r="B344" s="193"/>
    </x:row>
    <x:row r="345">
      <x:c r="A345" s="193"/>
      <x:c r="B345" s="193"/>
    </x:row>
    <x:row r="346">
      <x:c r="A346" s="193"/>
      <x:c r="B346" s="193"/>
    </x:row>
    <x:row r="347">
      <x:c r="A347" s="193"/>
      <x:c r="B347" s="193"/>
    </x:row>
    <x:row r="348">
      <x:c r="A348" s="193"/>
      <x:c r="B348" s="193"/>
    </x:row>
    <x:row r="349">
      <x:c r="A349" s="193"/>
      <x:c r="B349" s="193"/>
    </x:row>
    <x:row r="350">
      <x:c r="A350" s="193"/>
      <x:c r="B350" s="193"/>
    </x:row>
    <x:row r="351">
      <x:c r="A351" s="193"/>
      <x:c r="B351" s="193"/>
    </x:row>
    <x:row r="352">
      <x:c r="A352" s="193"/>
      <x:c r="B352" s="193"/>
    </x:row>
    <x:row r="353">
      <x:c r="A353" s="193"/>
      <x:c r="B353" s="193"/>
    </x:row>
    <x:row r="354">
      <x:c r="A354" s="193"/>
      <x:c r="B354" s="193"/>
    </x:row>
    <x:row r="355">
      <x:c r="A355" s="193"/>
      <x:c r="B355" s="193"/>
    </x:row>
    <x:row r="356">
      <x:c r="A356" s="193"/>
      <x:c r="B356" s="193"/>
    </x:row>
    <x:row r="357">
      <x:c r="A357" s="193"/>
      <x:c r="B357" s="193"/>
    </x:row>
    <x:row r="358">
      <x:c r="A358" s="193"/>
      <x:c r="B358" s="193"/>
    </x:row>
    <x:row r="359">
      <x:c r="A359" s="193"/>
      <x:c r="B359" s="193"/>
    </x:row>
    <x:row r="360">
      <x:c r="A360" s="193"/>
      <x:c r="B360" s="193"/>
    </x:row>
    <x:row r="361">
      <x:c r="A361" s="193"/>
      <x:c r="B361" s="193"/>
    </x:row>
    <x:row r="362">
      <x:c r="A362" s="193"/>
      <x:c r="B362" s="193"/>
    </x:row>
    <x:row r="363">
      <x:c r="A363" s="193"/>
      <x:c r="B363" s="193"/>
    </x:row>
    <x:row r="364">
      <x:c r="A364" s="193"/>
      <x:c r="B364" s="193"/>
    </x:row>
    <x:row r="365">
      <x:c r="A365" s="193"/>
      <x:c r="B365" s="193"/>
    </x:row>
    <x:row r="366">
      <x:c r="A366" s="193"/>
      <x:c r="B366" s="193"/>
    </x:row>
    <x:row r="367">
      <x:c r="A367" s="193"/>
      <x:c r="B367" s="193"/>
    </x:row>
    <x:row r="368">
      <x:c r="A368" s="193"/>
      <x:c r="B368" s="193"/>
    </x:row>
    <x:row r="369">
      <x:c r="A369" s="193"/>
      <x:c r="B369" s="193"/>
    </x:row>
    <x:row r="370">
      <x:c r="A370" s="193"/>
      <x:c r="B370" s="193"/>
    </x:row>
    <x:row r="371">
      <x:c r="A371" s="193"/>
      <x:c r="B371" s="193"/>
    </x:row>
    <x:row r="372">
      <x:c r="A372" s="193"/>
      <x:c r="B372" s="193"/>
    </x:row>
    <x:row r="373">
      <x:c r="A373" s="193"/>
      <x:c r="B373" s="193"/>
    </x:row>
    <x:row r="374">
      <x:c r="A374" s="193"/>
      <x:c r="B374" s="193"/>
    </x:row>
    <x:row r="375">
      <x:c r="A375" s="193"/>
      <x:c r="B375" s="193"/>
    </x:row>
    <x:row r="376">
      <x:c r="A376" s="193"/>
      <x:c r="B376" s="193"/>
    </x:row>
    <x:row r="377">
      <x:c r="A377" s="193"/>
      <x:c r="B377" s="193"/>
    </x:row>
    <x:row r="378">
      <x:c r="A378" s="193"/>
      <x:c r="B378" s="193"/>
    </x:row>
    <x:row r="379">
      <x:c r="A379" s="193"/>
      <x:c r="B379" s="193"/>
    </x:row>
    <x:row r="380">
      <x:c r="A380" s="193"/>
      <x:c r="B380" s="193"/>
    </x:row>
    <x:row r="381">
      <x:c r="A381" s="193"/>
      <x:c r="B381" s="193"/>
    </x:row>
    <x:row r="382">
      <x:c r="A382" s="193"/>
      <x:c r="B382" s="193"/>
    </x:row>
    <x:row r="383">
      <x:c r="A383" s="193"/>
      <x:c r="B383" s="193"/>
    </x:row>
    <x:row r="384">
      <x:c r="A384" s="193"/>
      <x:c r="B384" s="193"/>
    </x:row>
    <x:row r="385">
      <x:c r="A385" s="193"/>
      <x:c r="B385" s="193"/>
    </x:row>
    <x:row r="386">
      <x:c r="A386" s="193"/>
      <x:c r="B386" s="193"/>
    </x:row>
    <x:row r="387">
      <x:c r="A387" s="193"/>
      <x:c r="B387" s="193"/>
    </x:row>
    <x:row r="388">
      <x:c r="A388" s="193"/>
      <x:c r="B388" s="193"/>
    </x:row>
    <x:row r="389">
      <x:c r="A389" s="193"/>
      <x:c r="B389" s="193"/>
    </x:row>
    <x:row r="390">
      <x:c r="A390" s="193"/>
      <x:c r="B390" s="193"/>
    </x:row>
    <x:row r="391">
      <x:c r="A391" s="193"/>
      <x:c r="B391" s="193"/>
    </x:row>
    <x:row r="392">
      <x:c r="A392" s="193"/>
      <x:c r="B392" s="193"/>
    </x:row>
    <x:row r="393">
      <x:c r="A393" s="193"/>
      <x:c r="B393" s="193"/>
    </x:row>
    <x:row r="394">
      <x:c r="A394" s="193"/>
      <x:c r="B394" s="193"/>
    </x:row>
    <x:row r="395">
      <x:c r="A395" s="193"/>
      <x:c r="B395" s="193"/>
    </x:row>
    <x:row r="396">
      <x:c r="A396" s="193"/>
      <x:c r="B396" s="193"/>
    </x:row>
    <x:row r="397">
      <x:c r="A397" s="193"/>
      <x:c r="B397" s="193"/>
    </x:row>
    <x:row r="398">
      <x:c r="A398" s="193"/>
      <x:c r="B398" s="193"/>
    </x:row>
    <x:row r="399">
      <x:c r="A399" s="193"/>
      <x:c r="B399" s="193"/>
    </x:row>
    <x:row r="400">
      <x:c r="A400" s="193"/>
      <x:c r="B400" s="193"/>
    </x:row>
  </x:sheetData>
  <x:mergeCells>
    <x:mergeCell ref="B6:J6"/>
    <x:mergeCell ref="B7:J7"/>
    <x:mergeCell ref="B8:J8"/>
    <x:mergeCell ref="B9:J9"/>
    <x:mergeCell ref="B10:J10"/>
    <x:mergeCell ref="B11:J11"/>
    <x:mergeCell ref="B12:J12"/>
    <x:mergeCell ref="B13:J13"/>
    <x:mergeCell ref="B14:J14"/>
    <x:mergeCell ref="B15:J15"/>
    <x:mergeCell ref="A137:H137"/>
    <x:mergeCell ref="A143:H143"/>
    <x:mergeCell ref="A154:H154"/>
    <x:mergeCell ref="A160:H160"/>
    <x:mergeCell ref="A168:H168"/>
    <x:mergeCell ref="A250:H250"/>
    <x:mergeCell ref="A259:B259"/>
  </x:mergeCells>
  <x:pageMargins left="0.7" right="0.7" top="0.75" bottom="0.75" header="0.3" footer="0.3"/>
  <x:drawing xmlns:r="http://schemas.openxmlformats.org/officeDocument/2006/relationships" r:id="R0b29d91aceee4e97"/>
</x:worksheet>
</file>

<file path=xl/worksheets/sheet5.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92" t="s">
        <x:v>465</x:v>
      </x:c>
      <x:c r="B1" s="193"/>
    </x:row>
    <x:row r="2" ht="15" hidden="0">
      <x:c r="A2" s="194" t="s">
        <x:v>466</x:v>
      </x:c>
      <x:c r="B2" s="193"/>
    </x:row>
    <x:row r="3" ht="15" hidden="0">
      <x:c r="A3" s="195" t="s">
        <x:v>81</x:v>
      </x:c>
      <x:c r="B3" s="193"/>
    </x:row>
    <x:row r="4">
      <x:c r="A4" s="193"/>
      <x:c r="B4" s="193"/>
    </x:row>
    <x:row r="5" ht="15" hidden="0">
      <x:c r="A5" s="196" t="s">
        <x:v>82</x:v>
      </x:c>
      <x:c r="B5" s="197"/>
      <x:c r="C5" s="20"/>
      <x:c r="D5" s="20"/>
      <x:c r="E5" s="20"/>
      <x:c r="F5" s="20"/>
      <x:c r="G5" s="20"/>
      <x:c r="H5" s="20"/>
      <x:c r="I5" s="20"/>
      <x:c r="J5" s="20"/>
    </x:row>
    <x:row r="6" ht="15" hidden="0" customHeight="1">
      <x:c r="A6" s="198" t="s">
        <x:v>18</x:v>
      </x:c>
      <x:c r="B6" s="199" t="s">
        <x:v>37</x:v>
      </x:c>
      <x:c r="C6" s="21"/>
      <x:c r="D6" s="21"/>
      <x:c r="E6" s="21"/>
      <x:c r="F6" s="21"/>
      <x:c r="G6" s="21"/>
      <x:c r="H6" s="21"/>
      <x:c r="I6" s="21"/>
      <x:c r="J6" s="21"/>
    </x:row>
    <x:row r="7" ht="15" hidden="0" customHeight="1">
      <x:c r="A7" s="198" t="s">
        <x:v>83</x:v>
      </x:c>
      <x:c r="B7" s="199" t="s">
        <x:v>36</x:v>
      </x:c>
      <x:c r="C7" s="21"/>
      <x:c r="D7" s="21"/>
      <x:c r="E7" s="21"/>
      <x:c r="F7" s="21"/>
      <x:c r="G7" s="21"/>
      <x:c r="H7" s="21"/>
      <x:c r="I7" s="21"/>
      <x:c r="J7" s="21"/>
    </x:row>
    <x:row r="8" ht="15" hidden="0" customHeight="1">
      <x:c r="A8" s="198" t="s">
        <x:v>84</x:v>
      </x:c>
      <x:c r="B8" s="199" t="s">
        <x:v>38</x:v>
      </x:c>
      <x:c r="C8" s="21"/>
      <x:c r="D8" s="21"/>
      <x:c r="E8" s="21"/>
      <x:c r="F8" s="21"/>
      <x:c r="G8" s="21"/>
      <x:c r="H8" s="21"/>
      <x:c r="I8" s="21"/>
      <x:c r="J8" s="21"/>
    </x:row>
    <x:row r="9" ht="15" hidden="0" customHeight="1">
      <x:c r="A9" s="198" t="s">
        <x:v>85</x:v>
      </x:c>
      <x:c r="B9" s="199" t="s">
        <x:v>86</x:v>
      </x:c>
      <x:c r="C9" s="21"/>
      <x:c r="D9" s="21"/>
      <x:c r="E9" s="21"/>
      <x:c r="F9" s="21"/>
      <x:c r="G9" s="21"/>
      <x:c r="H9" s="21"/>
      <x:c r="I9" s="21"/>
      <x:c r="J9" s="21"/>
    </x:row>
    <x:row r="10" ht="15" hidden="0" customHeight="1">
      <x:c r="A10" s="198" t="s">
        <x:v>87</x:v>
      </x:c>
      <x:c r="B10" s="199" t="s">
        <x:v>396</x:v>
      </x:c>
      <x:c r="C10" s="21"/>
      <x:c r="D10" s="21"/>
      <x:c r="E10" s="21"/>
      <x:c r="F10" s="21"/>
      <x:c r="G10" s="21"/>
      <x:c r="H10" s="21"/>
      <x:c r="I10" s="21"/>
      <x:c r="J10" s="21"/>
    </x:row>
    <x:row r="11" ht="15" hidden="0" customHeight="1">
      <x:c r="A11" s="198" t="s">
        <x:v>89</x:v>
      </x:c>
      <x:c r="B11" s="199" t="s">
        <x:v>467</x:v>
      </x:c>
      <x:c r="C11" s="21"/>
      <x:c r="D11" s="21"/>
      <x:c r="E11" s="21"/>
      <x:c r="F11" s="21"/>
      <x:c r="G11" s="21"/>
      <x:c r="H11" s="21"/>
      <x:c r="I11" s="21"/>
      <x:c r="J11" s="21"/>
    </x:row>
    <x:row r="12" ht="27.75" hidden="0" customHeight="1">
      <x:c r="A12" s="198" t="s">
        <x:v>91</x:v>
      </x:c>
      <x:c r="B12" s="199" t="s">
        <x:v>468</x:v>
      </x:c>
      <x:c r="C12" s="21"/>
      <x:c r="D12" s="21"/>
      <x:c r="E12" s="21"/>
      <x:c r="F12" s="21"/>
      <x:c r="G12" s="21"/>
      <x:c r="H12" s="21"/>
      <x:c r="I12" s="21"/>
      <x:c r="J12" s="21"/>
    </x:row>
    <x:row r="13" ht="27.75" hidden="0" customHeight="1">
      <x:c r="A13" s="198" t="s">
        <x:v>93</x:v>
      </x:c>
      <x:c r="B13" s="199" t="s">
        <x:v>94</x:v>
      </x:c>
      <x:c r="C13" s="21"/>
      <x:c r="D13" s="21"/>
      <x:c r="E13" s="21"/>
      <x:c r="F13" s="21"/>
      <x:c r="G13" s="21"/>
      <x:c r="H13" s="21"/>
      <x:c r="I13" s="21"/>
      <x:c r="J13" s="21"/>
    </x:row>
    <x:row r="14" ht="27.75" hidden="0" customHeight="1">
      <x:c r="A14" s="198" t="s">
        <x:v>95</x:v>
      </x:c>
      <x:c r="B14" s="199"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198" t="s">
        <x:v>96</x:v>
      </x:c>
      <x:c r="B15" s="199" t="s">
        <x:v>97</x:v>
      </x:c>
      <x:c r="C15" s="21"/>
      <x:c r="D15" s="21"/>
      <x:c r="E15" s="21"/>
      <x:c r="F15" s="21"/>
      <x:c r="G15" s="21"/>
      <x:c r="H15" s="21"/>
      <x:c r="I15" s="21"/>
      <x:c r="J15" s="21"/>
    </x:row>
    <x:row r="16">
      <x:c r="A16" s="193"/>
      <x:c r="B16" s="193"/>
    </x:row>
    <x:row r="17" ht="15" hidden="0">
      <x:c r="A17" s="200" t="s">
        <x:v>98</x:v>
      </x:c>
      <x:c r="B17" s="200" t="s">
        <x:v>99</x:v>
      </x:c>
      <x:c r="C17" s="23" t="s">
        <x:v>100</x:v>
      </x:c>
      <x:c r="D17" s="23" t="s">
        <x:v>101</x:v>
      </x:c>
      <x:c r="E17" s="23" t="s">
        <x:v>102</x:v>
      </x:c>
      <x:c r="F17" s="23" t="s">
        <x:v>103</x:v>
      </x:c>
      <x:c r="G17" s="23" t="s">
        <x:v>104</x:v>
      </x:c>
      <x:c r="H17" s="23" t="s">
        <x:v>105</x:v>
      </x:c>
      <x:c r="I17" s="23" t="s">
        <x:v>70</x:v>
      </x:c>
      <x:c r="J17" s="23" t="s">
        <x:v>106</x:v>
      </x:c>
    </x:row>
    <x:row r="18" ht="15" hidden="0">
      <x:c r="A18" s="196" t="s">
        <x:v>107</x:v>
      </x:c>
      <x:c r="B18" s="197"/>
      <x:c r="C18" s="20"/>
      <x:c r="D18" s="20"/>
      <x:c r="E18" s="20"/>
      <x:c r="F18" s="20"/>
      <x:c r="G18" s="20"/>
      <x:c r="H18" s="20"/>
      <x:c r="I18" s="20"/>
      <x:c r="J18" s="20"/>
    </x:row>
    <x:row r="19" ht="15" hidden="0">
      <x:c r="A19" s="201" t="s">
        <x:v>108</x:v>
      </x:c>
      <x:c r="B19" s="202"/>
      <x:c r="C19" s="25"/>
      <x:c r="D19" s="25"/>
      <x:c r="E19" s="25"/>
      <x:c r="F19" s="25"/>
      <x:c r="G19" s="25"/>
      <x:c r="H19" s="25"/>
      <x:c r="I19" s="25"/>
      <x:c r="J19" s="25"/>
    </x:row>
    <x:row r="20" ht="15" hidden="0">
      <x:c r="A20" s="193" t="s">
        <x:v>109</x:v>
      </x:c>
      <x:c r="B20" s="195" t="s">
        <x:v>469</x:v>
      </x:c>
      <x:c r="C20" s="26" t="n">
        <x:v>83537.295</x:v>
      </x:c>
      <x:c r="D20" s="26" t="n">
        <x:v>85020.109</x:v>
      </x:c>
      <x:c r="E20" s="26" t="n">
        <x:v>82803.86</x:v>
      </x:c>
      <x:c r="F20" s="26" t="n">
        <x:v>82245.65</x:v>
      </x:c>
      <x:c r="G20" s="26" t="n">
        <x:v>79877.839</x:v>
      </x:c>
      <x:c r="H20" s="26" t="n">
        <x:v>77252.559</x:v>
      </x:c>
      <x:c r="I20" s="9" t="s">
        <x:v>111</x:v>
      </x:c>
    </x:row>
    <x:row r="21" ht="15" hidden="0">
      <x:c r="A21" s="193" t="s">
        <x:v>112</x:v>
      </x:c>
      <x:c r="B21" s="195" t="s">
        <x:v>470</x:v>
      </x:c>
      <x:c r="C21" s="26" t="n">
        <x:v>6358.259</x:v>
      </x:c>
      <x:c r="D21" s="26" t="n">
        <x:v>7726.72</x:v>
      </x:c>
      <x:c r="E21" s="26" t="n">
        <x:v>724.168</x:v>
      </x:c>
      <x:c r="F21" s="26" t="n">
        <x:v>2006.864</x:v>
      </x:c>
      <x:c r="G21" s="26" t="n">
        <x:v>1341.029</x:v>
      </x:c>
      <x:c r="H21" s="26" t="n">
        <x:v>798.312</x:v>
      </x:c>
      <x:c r="I21" s="9" t="s">
        <x:v>111</x:v>
      </x:c>
    </x:row>
    <x:row r="22" ht="15" hidden="0">
      <x:c r="A22" s="193" t="s">
        <x:v>114</x:v>
      </x:c>
      <x:c r="B22" s="195" t="s">
        <x:v>115</x:v>
      </x:c>
      <x:c r="C22" s="27" t="n">
        <x:f aca="0">C20-C21</x:f>
        <x:v>77179.036</x:v>
      </x:c>
      <x:c r="D22" s="27" t="n">
        <x:f aca="0">D20-D21</x:f>
        <x:v>77293.389</x:v>
      </x:c>
      <x:c r="E22" s="27" t="n">
        <x:f aca="0">E20-E21</x:f>
        <x:v>82079.692</x:v>
      </x:c>
      <x:c r="F22" s="27" t="n">
        <x:f aca="0">F20-F21</x:f>
        <x:v>80238.786</x:v>
      </x:c>
      <x:c r="G22" s="27" t="n">
        <x:f aca="0">G20-G21</x:f>
        <x:v>78536.81000000001</x:v>
      </x:c>
      <x:c r="H22" s="27" t="n">
        <x:f aca="0">H20-H21</x:f>
        <x:v>76454.24699999999</x:v>
      </x:c>
      <x:c r="I22" s="9" t="s">
        <x:v>111</x:v>
      </x:c>
    </x:row>
    <x:row r="23" ht="15" hidden="0">
      <x:c r="A23" s="193" t="s">
        <x:v>116</x:v>
      </x:c>
      <x:c r="B23" s="195" t="s">
        <x:v>471</x:v>
      </x:c>
      <x:c r="C23" s="26" t="n">
        <x:v>0</x:v>
      </x:c>
      <x:c r="D23" s="26" t="n">
        <x:v>0</x:v>
      </x:c>
      <x:c r="E23" s="26" t="n">
        <x:v>0</x:v>
      </x:c>
      <x:c r="F23" s="26" t="n">
        <x:v>0</x:v>
      </x:c>
      <x:c r="G23" s="26" t="n">
        <x:v>0</x:v>
      </x:c>
      <x:c r="H23" s="26" t="n">
        <x:v>0</x:v>
      </x:c>
      <x:c r="I23" s="9" t="s">
        <x:v>111</x:v>
      </x:c>
    </x:row>
    <x:row r="24" ht="15" hidden="0">
      <x:c r="A24" s="193" t="s">
        <x:v>118</x:v>
      </x:c>
      <x:c r="B24" s="195" t="s">
        <x:v>472</x:v>
      </x:c>
      <x:c r="C24" s="26" t="n">
        <x:v>0</x:v>
      </x:c>
      <x:c r="D24" s="26" t="n">
        <x:v>0</x:v>
      </x:c>
      <x:c r="E24" s="26" t="n">
        <x:v>17.319</x:v>
      </x:c>
      <x:c r="F24" s="26" t="n">
        <x:v>10.152</x:v>
      </x:c>
      <x:c r="G24" s="26" t="n">
        <x:v>42.762</x:v>
      </x:c>
      <x:c r="H24" s="26" t="n">
        <x:v>13.076</x:v>
      </x:c>
      <x:c r="I24" s="9" t="s">
        <x:v>111</x:v>
      </x:c>
    </x:row>
    <x:row r="25" ht="15" hidden="0">
      <x:c r="A25" s="193" t="s">
        <x:v>120</x:v>
      </x:c>
      <x:c r="B25" s="195" t="s">
        <x:v>473</x:v>
      </x:c>
      <x:c r="C25" s="26" t="n">
        <x:v>0</x:v>
      </x:c>
      <x:c r="D25" s="26" t="n">
        <x:v>0</x:v>
      </x:c>
      <x:c r="E25" s="26" t="n">
        <x:v>0</x:v>
      </x:c>
      <x:c r="F25" s="26" t="n">
        <x:v>0</x:v>
      </x:c>
      <x:c r="G25" s="26" t="n">
        <x:v>0</x:v>
      </x:c>
      <x:c r="H25" s="26" t="n">
        <x:v>0</x:v>
      </x:c>
      <x:c r="I25" s="9" t="s">
        <x:v>111</x:v>
      </x:c>
    </x:row>
    <x:row r="26" ht="15" hidden="0">
      <x:c r="A26" s="193" t="s">
        <x:v>122</x:v>
      </x:c>
      <x:c r="B26" s="195" t="s">
        <x:v>474</x:v>
      </x:c>
      <x:c r="C26" s="26" t="n">
        <x:v>11849.828</x:v>
      </x:c>
      <x:c r="D26" s="26" t="n">
        <x:v>15965.811</x:v>
      </x:c>
      <x:c r="E26" s="26" t="n">
        <x:v>12866.145</x:v>
      </x:c>
      <x:c r="F26" s="26" t="n">
        <x:v>13366.36</x:v>
      </x:c>
      <x:c r="G26" s="26" t="n">
        <x:v>16633.064</x:v>
      </x:c>
      <x:c r="H26" s="26" t="n">
        <x:v>20689.545</x:v>
      </x:c>
      <x:c r="I26" s="9" t="s">
        <x:v>111</x:v>
      </x:c>
    </x:row>
    <x:row r="27" ht="15" hidden="0">
      <x:c r="A27" s="193" t="s">
        <x:v>124</x:v>
      </x:c>
      <x:c r="B27" s="195" t="s">
        <x:v>475</x:v>
      </x:c>
      <x:c r="C27" s="26" t="n">
        <x:v>57.984</x:v>
      </x:c>
      <x:c r="D27" s="26" t="n">
        <x:v>57.513</x:v>
      </x:c>
      <x:c r="E27" s="26" t="n">
        <x:v>61.526</x:v>
      </x:c>
      <x:c r="F27" s="26" t="n">
        <x:v>64.426</x:v>
      </x:c>
      <x:c r="G27" s="26" t="n">
        <x:v>61.568</x:v>
      </x:c>
      <x:c r="H27" s="26" t="n">
        <x:v>61.013</x:v>
      </x:c>
      <x:c r="I27" s="9" t="s">
        <x:v>111</x:v>
      </x:c>
    </x:row>
    <x:row r="28" ht="15" hidden="0">
      <x:c r="A28" s="198" t="s">
        <x:v>126</x:v>
      </x:c>
      <x:c r="B28" s="195" t="s">
        <x:v>127</x:v>
      </x:c>
      <x:c r="C28" s="28" t="n">
        <x:f aca="0">C20+C23+C24+C25+C26+C27</x:f>
        <x:v>95445.10699999999</x:v>
      </x:c>
      <x:c r="D28" s="28" t="n">
        <x:f aca="0">D20+D23+D24+D25+D26+D27</x:f>
        <x:v>101043.433</x:v>
      </x:c>
      <x:c r="E28" s="28" t="n">
        <x:f aca="0">E20+E23+E24+E25+E26+E27</x:f>
        <x:v>95748.85</x:v>
      </x:c>
      <x:c r="F28" s="28" t="n">
        <x:f aca="0">F20+F23+F24+F25+F26+F27</x:f>
        <x:v>95686.588</x:v>
      </x:c>
      <x:c r="G28" s="28" t="n">
        <x:f aca="0">G20+G23+G24+G25+G26+G27</x:f>
        <x:v>96615.23300000001</x:v>
      </x:c>
      <x:c r="H28" s="28" t="n">
        <x:f aca="0">H20+H23+H24+H25+H26+H27</x:f>
        <x:v>98016.193</x:v>
      </x:c>
      <x:c r="I28" s="9" t="s">
        <x:v>111</x:v>
      </x:c>
    </x:row>
    <x:row r="29" ht="15" hidden="0">
      <x:c r="A29" s="201" t="s">
        <x:v>128</x:v>
      </x:c>
      <x:c r="B29" s="202"/>
      <x:c r="C29" s="25"/>
      <x:c r="D29" s="25"/>
      <x:c r="E29" s="25"/>
      <x:c r="F29" s="25"/>
      <x:c r="G29" s="25"/>
      <x:c r="H29" s="25"/>
      <x:c r="I29" s="25"/>
      <x:c r="J29" s="25"/>
    </x:row>
    <x:row r="30" ht="15" hidden="0">
      <x:c r="A30" s="193" t="s">
        <x:v>129</x:v>
      </x:c>
      <x:c r="B30" s="195" t="s">
        <x:v>476</x:v>
      </x:c>
      <x:c r="C30" s="26" t="n">
        <x:v>8237.99</x:v>
      </x:c>
      <x:c r="D30" s="26" t="n">
        <x:v>12879.348</x:v>
      </x:c>
      <x:c r="E30" s="26" t="n">
        <x:v>16813.883</x:v>
      </x:c>
      <x:c r="F30" s="26" t="n">
        <x:v>13852.005</x:v>
      </x:c>
      <x:c r="G30" s="26" t="n">
        <x:v>12559.774</x:v>
      </x:c>
      <x:c r="H30" s="26" t="n">
        <x:v>12306.679</x:v>
      </x:c>
      <x:c r="I30" s="9" t="s">
        <x:v>111</x:v>
      </x:c>
    </x:row>
    <x:row r="31" ht="15" hidden="0">
      <x:c r="A31" s="193" t="s">
        <x:v>131</x:v>
      </x:c>
      <x:c r="B31" s="195" t="s">
        <x:v>477</x:v>
      </x:c>
      <x:c r="C31" s="26" t="n">
        <x:v>4352.995</x:v>
      </x:c>
      <x:c r="D31" s="26" t="n">
        <x:v>2728.589</x:v>
      </x:c>
      <x:c r="E31" s="26" t="n">
        <x:v>5981.515</x:v>
      </x:c>
      <x:c r="F31" s="26" t="n">
        <x:v>8873.17</x:v>
      </x:c>
      <x:c r="G31" s="26" t="n">
        <x:v>7693.067</x:v>
      </x:c>
      <x:c r="H31" s="26" t="n">
        <x:v>8188.678</x:v>
      </x:c>
      <x:c r="I31" s="9" t="s">
        <x:v>111</x:v>
      </x:c>
    </x:row>
    <x:row r="32" ht="15" hidden="0">
      <x:c r="A32" s="193" t="s">
        <x:v>133</x:v>
      </x:c>
      <x:c r="B32" s="195" t="s">
        <x:v>478</x:v>
      </x:c>
      <x:c r="C32" s="26" t="n">
        <x:v>2286.084</x:v>
      </x:c>
      <x:c r="D32" s="26" t="n">
        <x:v>1676.245</x:v>
      </x:c>
      <x:c r="E32" s="26" t="n">
        <x:v>1467.862</x:v>
      </x:c>
      <x:c r="F32" s="26" t="n">
        <x:v>1193.44</x:v>
      </x:c>
      <x:c r="G32" s="26" t="n">
        <x:v>855.742</x:v>
      </x:c>
      <x:c r="H32" s="26" t="n">
        <x:v>1493.08</x:v>
      </x:c>
      <x:c r="I32" s="9" t="s">
        <x:v>111</x:v>
      </x:c>
    </x:row>
    <x:row r="33" ht="15" hidden="0">
      <x:c r="A33" s="193" t="s">
        <x:v>135</x:v>
      </x:c>
      <x:c r="B33" s="195" t="s">
        <x:v>479</x:v>
      </x:c>
      <x:c r="C33" s="26" t="n">
        <x:v>13126.388</x:v>
      </x:c>
      <x:c r="D33" s="26" t="n">
        <x:v>12946.786</x:v>
      </x:c>
      <x:c r="E33" s="26" t="n">
        <x:v>9962.421</x:v>
      </x:c>
      <x:c r="F33" s="26" t="n">
        <x:v>9270.898</x:v>
      </x:c>
      <x:c r="G33" s="26" t="n">
        <x:v>18384.882</x:v>
      </x:c>
      <x:c r="H33" s="26" t="n">
        <x:v>24005.1</x:v>
      </x:c>
      <x:c r="I33" s="9" t="s">
        <x:v>111</x:v>
      </x:c>
    </x:row>
    <x:row r="34" ht="15" hidden="0">
      <x:c r="A34" s="193" t="s">
        <x:v>137</x:v>
      </x:c>
      <x:c r="B34" s="195" t="s">
        <x:v>480</x:v>
      </x:c>
      <x:c r="C34" s="26" t="n">
        <x:v>347.834</x:v>
      </x:c>
      <x:c r="D34" s="26" t="n">
        <x:v>806.373</x:v>
      </x:c>
      <x:c r="E34" s="26" t="n">
        <x:v>410.803</x:v>
      </x:c>
      <x:c r="F34" s="26" t="n">
        <x:v>674.972</x:v>
      </x:c>
      <x:c r="G34" s="26" t="n">
        <x:v>732.168</x:v>
      </x:c>
      <x:c r="H34" s="26" t="n">
        <x:v>568.832</x:v>
      </x:c>
      <x:c r="I34" s="9" t="s">
        <x:v>111</x:v>
      </x:c>
    </x:row>
    <x:row r="35" ht="15" hidden="0">
      <x:c r="A35" s="193" t="s">
        <x:v>139</x:v>
      </x:c>
      <x:c r="B35" s="195" t="s">
        <x:v>481</x:v>
      </x:c>
      <x:c r="C35" s="26" t="n">
        <x:v>5755.136</x:v>
      </x:c>
      <x:c r="D35" s="26" t="n">
        <x:v>5813.923</x:v>
      </x:c>
      <x:c r="E35" s="26" t="n">
        <x:v>6176.679</x:v>
      </x:c>
      <x:c r="F35" s="26" t="n">
        <x:v>5162.181</x:v>
      </x:c>
      <x:c r="G35" s="26" t="n">
        <x:v>1544.888</x:v>
      </x:c>
      <x:c r="H35" s="26" t="n">
        <x:v>1345.673</x:v>
      </x:c>
      <x:c r="I35" s="9" t="s">
        <x:v>111</x:v>
      </x:c>
    </x:row>
    <x:row r="36" ht="15" hidden="0">
      <x:c r="A36" s="198" t="s">
        <x:v>141</x:v>
      </x:c>
      <x:c r="B36" s="195" t="s">
        <x:v>142</x:v>
      </x:c>
      <x:c r="C36" s="28" t="n">
        <x:f aca="0">C30+C31+C32+C33+C34+C35</x:f>
        <x:v>34106.427</x:v>
      </x:c>
      <x:c r="D36" s="28" t="n">
        <x:f aca="0">D30+D31+D32+D33+D34+D35</x:f>
        <x:v>36851.264</x:v>
      </x:c>
      <x:c r="E36" s="28" t="n">
        <x:f aca="0">E30+E31+E32+E33+E34+E35</x:f>
        <x:v>40813.163</x:v>
      </x:c>
      <x:c r="F36" s="28" t="n">
        <x:f aca="0">F30+F31+F32+F33+F34+F35</x:f>
        <x:v>39026.666</x:v>
      </x:c>
      <x:c r="G36" s="28" t="n">
        <x:f aca="0">G30+G31+G32+G33+G34+G35</x:f>
        <x:v>41770.52099999999</x:v>
      </x:c>
      <x:c r="H36" s="28" t="n">
        <x:f aca="0">H30+H31+H32+H33+H34+H35</x:f>
        <x:v>47908.042</x:v>
      </x:c>
      <x:c r="I36" s="9" t="s">
        <x:v>111</x:v>
      </x:c>
    </x:row>
    <x:row r="37" ht="15" hidden="0">
      <x:c r="A37" s="198" t="s">
        <x:v>143</x:v>
      </x:c>
      <x:c r="B37" s="195" t="s">
        <x:v>144</x:v>
      </x:c>
      <x:c r="C37" s="28" t="n">
        <x:f aca="0">C28+C36</x:f>
        <x:v>129551.53399999999</x:v>
      </x:c>
      <x:c r="D37" s="28" t="n">
        <x:f aca="0">D28+D36</x:f>
        <x:v>137894.69700000001</x:v>
      </x:c>
      <x:c r="E37" s="28" t="n">
        <x:f aca="0">E28+E36</x:f>
        <x:v>136562.013</x:v>
      </x:c>
      <x:c r="F37" s="28" t="n">
        <x:f aca="0">F28+F36</x:f>
        <x:v>134713.25400000002</x:v>
      </x:c>
      <x:c r="G37" s="28" t="n">
        <x:f aca="0">G28+G36</x:f>
        <x:v>138385.75400000002</x:v>
      </x:c>
      <x:c r="H37" s="28" t="n">
        <x:f aca="0">H28+H36</x:f>
        <x:v>145924.235</x:v>
      </x:c>
      <x:c r="I37" s="9" t="s">
        <x:v>111</x:v>
      </x:c>
    </x:row>
    <x:row r="38" ht="15" hidden="0">
      <x:c r="A38" s="201" t="s">
        <x:v>145</x:v>
      </x:c>
      <x:c r="B38" s="202"/>
      <x:c r="C38" s="25"/>
      <x:c r="D38" s="25"/>
      <x:c r="E38" s="25"/>
      <x:c r="F38" s="25"/>
      <x:c r="G38" s="25"/>
      <x:c r="H38" s="25"/>
      <x:c r="I38" s="25"/>
      <x:c r="J38" s="25"/>
    </x:row>
    <x:row r="39" ht="15" hidden="0">
      <x:c r="A39" s="193" t="s">
        <x:v>146</x:v>
      </x:c>
      <x:c r="B39" s="195" t="s">
        <x:v>482</x:v>
      </x:c>
      <x:c r="C39" s="26" t="n">
        <x:v>4381.191</x:v>
      </x:c>
      <x:c r="D39" s="26" t="n">
        <x:v>4381.191</x:v>
      </x:c>
      <x:c r="E39" s="26" t="n">
        <x:v>4381.191</x:v>
      </x:c>
      <x:c r="F39" s="26" t="n">
        <x:v>4381.191</x:v>
      </x:c>
      <x:c r="G39" s="26" t="n">
        <x:v>4381.191</x:v>
      </x:c>
      <x:c r="H39" s="26" t="n">
        <x:v>4381.191</x:v>
      </x:c>
      <x:c r="I39" s="9" t="s">
        <x:v>111</x:v>
      </x:c>
    </x:row>
    <x:row r="40" ht="15" hidden="0">
      <x:c r="A40" s="193" t="s">
        <x:v>148</x:v>
      </x:c>
      <x:c r="B40" s="195" t="s">
        <x:v>483</x:v>
      </x:c>
      <x:c r="C40" s="26" t="n">
        <x:v>62262.966</x:v>
      </x:c>
      <x:c r="D40" s="26" t="n">
        <x:v>69096.682</x:v>
      </x:c>
      <x:c r="E40" s="26" t="n">
        <x:v>65536.911</x:v>
      </x:c>
      <x:c r="F40" s="26" t="n">
        <x:v>59811.086</x:v>
      </x:c>
      <x:c r="G40" s="26" t="n">
        <x:v>71466.347</x:v>
      </x:c>
      <x:c r="H40" s="26" t="n">
        <x:v>90286.287</x:v>
      </x:c>
      <x:c r="I40" s="9" t="s">
        <x:v>111</x:v>
      </x:c>
    </x:row>
    <x:row r="41" ht="15" hidden="0">
      <x:c r="A41" s="198" t="s">
        <x:v>150</x:v>
      </x:c>
      <x:c r="B41" s="195" t="s">
        <x:v>151</x:v>
      </x:c>
      <x:c r="C41" s="28" t="n">
        <x:f aca="0">C39+C40</x:f>
        <x:v>66644.157</x:v>
      </x:c>
      <x:c r="D41" s="28" t="n">
        <x:f aca="0">D39+D40</x:f>
        <x:v>73477.873</x:v>
      </x:c>
      <x:c r="E41" s="28" t="n">
        <x:f aca="0">E39+E40</x:f>
        <x:v>69918.102</x:v>
      </x:c>
      <x:c r="F41" s="28" t="n">
        <x:f aca="0">F39+F40</x:f>
        <x:v>64192.277</x:v>
      </x:c>
      <x:c r="G41" s="28" t="n">
        <x:f aca="0">G39+G40</x:f>
        <x:v>75847.538</x:v>
      </x:c>
      <x:c r="H41" s="28" t="n">
        <x:f aca="0">H39+H40</x:f>
        <x:v>94667.478</x:v>
      </x:c>
      <x:c r="I41" s="9" t="s">
        <x:v>111</x:v>
      </x:c>
    </x:row>
    <x:row r="42" ht="15" hidden="0">
      <x:c r="A42" s="201" t="s">
        <x:v>152</x:v>
      </x:c>
      <x:c r="B42" s="202"/>
      <x:c r="C42" s="25"/>
      <x:c r="D42" s="25"/>
      <x:c r="E42" s="25"/>
      <x:c r="F42" s="25"/>
      <x:c r="G42" s="25"/>
      <x:c r="H42" s="25"/>
      <x:c r="I42" s="25"/>
      <x:c r="J42" s="25"/>
    </x:row>
    <x:row r="43" ht="15" hidden="0">
      <x:c r="A43" s="193" t="s">
        <x:v>153</x:v>
      </x:c>
      <x:c r="B43" s="195" t="s">
        <x:v>484</x:v>
      </x:c>
      <x:c r="C43" s="26" t="n">
        <x:v>21972</x:v>
      </x:c>
      <x:c r="D43" s="26" t="n">
        <x:v>19300.064</x:v>
      </x:c>
      <x:c r="E43" s="26" t="n">
        <x:v>14168.229</x:v>
      </x:c>
      <x:c r="F43" s="26" t="n">
        <x:v>9663.619</x:v>
      </x:c>
      <x:c r="G43" s="26" t="n">
        <x:v>15965.116</x:v>
      </x:c>
      <x:c r="H43" s="26" t="n">
        <x:v>10093.829</x:v>
      </x:c>
      <x:c r="I43" s="9" t="s">
        <x:v>111</x:v>
      </x:c>
    </x:row>
    <x:row r="44" ht="15" hidden="0">
      <x:c r="A44" s="193" t="s">
        <x:v>155</x:v>
      </x:c>
      <x:c r="B44" s="195" t="s">
        <x:v>485</x:v>
      </x:c>
      <x:c r="C44" s="26" t="n">
        <x:v>0</x:v>
      </x:c>
      <x:c r="D44" s="26" t="n">
        <x:v>0</x:v>
      </x:c>
      <x:c r="E44" s="26" t="n">
        <x:v>0</x:v>
      </x:c>
      <x:c r="F44" s="26" t="n">
        <x:v>0</x:v>
      </x:c>
      <x:c r="G44" s="26" t="n">
        <x:v>0</x:v>
      </x:c>
      <x:c r="H44" s="26" t="n">
        <x:v>0</x:v>
      </x:c>
      <x:c r="I44" s="9" t="s">
        <x:v>111</x:v>
      </x:c>
    </x:row>
    <x:row r="45" ht="15" hidden="0">
      <x:c r="A45" s="193" t="s">
        <x:v>157</x:v>
      </x:c>
      <x:c r="B45" s="195" t="s">
        <x:v>486</x:v>
      </x:c>
      <x:c r="C45" s="26" t="n">
        <x:v>0</x:v>
      </x:c>
      <x:c r="D45" s="26" t="n">
        <x:v>664.504</x:v>
      </x:c>
      <x:c r="E45" s="26" t="n">
        <x:v>450.684</x:v>
      </x:c>
      <x:c r="F45" s="26" t="n">
        <x:v>278.753</x:v>
      </x:c>
      <x:c r="G45" s="26" t="n">
        <x:v>154.614</x:v>
      </x:c>
      <x:c r="H45" s="26" t="n">
        <x:v>70.135</x:v>
      </x:c>
      <x:c r="I45" s="9" t="s">
        <x:v>111</x:v>
      </x:c>
    </x:row>
    <x:row r="46" ht="15" hidden="0">
      <x:c r="A46" s="193" t="s">
        <x:v>159</x:v>
      </x:c>
      <x:c r="B46" s="195" t="s">
        <x:v>487</x:v>
      </x:c>
      <x:c r="C46" s="26" t="n">
        <x:v>2535.349</x:v>
      </x:c>
      <x:c r="D46" s="26" t="n">
        <x:v>3378.941</x:v>
      </x:c>
      <x:c r="E46" s="26" t="n">
        <x:v>4942.15</x:v>
      </x:c>
      <x:c r="F46" s="26" t="n">
        <x:v>10613.603</x:v>
      </x:c>
      <x:c r="G46" s="26" t="n">
        <x:v>12675.472</x:v>
      </x:c>
      <x:c r="H46" s="26" t="n">
        <x:v>13286.942</x:v>
      </x:c>
      <x:c r="I46" s="9" t="s">
        <x:v>111</x:v>
      </x:c>
    </x:row>
    <x:row r="47" ht="15" hidden="0">
      <x:c r="A47" s="193" t="s">
        <x:v>161</x:v>
      </x:c>
      <x:c r="B47" s="195" t="s">
        <x:v>488</x:v>
      </x:c>
      <x:c r="C47" s="26" t="n">
        <x:v>775.771</x:v>
      </x:c>
      <x:c r="D47" s="26" t="n">
        <x:v>777.795</x:v>
      </x:c>
      <x:c r="E47" s="26" t="n">
        <x:v>993.817</x:v>
      </x:c>
      <x:c r="F47" s="26" t="n">
        <x:v>1289.212</x:v>
      </x:c>
      <x:c r="G47" s="26" t="n">
        <x:v>1517.297</x:v>
      </x:c>
      <x:c r="H47" s="26" t="n">
        <x:v>1894.931</x:v>
      </x:c>
      <x:c r="I47" s="9" t="s">
        <x:v>111</x:v>
      </x:c>
    </x:row>
    <x:row r="48" ht="15" hidden="0">
      <x:c r="A48" s="198" t="s">
        <x:v>163</x:v>
      </x:c>
      <x:c r="B48" s="195" t="s">
        <x:v>164</x:v>
      </x:c>
      <x:c r="C48" s="28" t="n">
        <x:f aca="0">C43+C44+C45+C46+C47</x:f>
        <x:v>25283.120000000003</x:v>
      </x:c>
      <x:c r="D48" s="28" t="n">
        <x:f aca="0">D43+D44+D45+D46+D47</x:f>
        <x:v>24121.303999999996</x:v>
      </x:c>
      <x:c r="E48" s="28" t="n">
        <x:f aca="0">E43+E44+E45+E46+E47</x:f>
        <x:v>20554.879999999997</x:v>
      </x:c>
      <x:c r="F48" s="28" t="n">
        <x:f aca="0">F43+F44+F45+F46+F47</x:f>
        <x:v>21845.186999999998</x:v>
      </x:c>
      <x:c r="G48" s="28" t="n">
        <x:f aca="0">G43+G44+G45+G46+G47</x:f>
        <x:v>30312.498999999996</x:v>
      </x:c>
      <x:c r="H48" s="28" t="n">
        <x:f aca="0">H43+H44+H45+H46+H47</x:f>
        <x:v>25345.837</x:v>
      </x:c>
      <x:c r="I48" s="9" t="s">
        <x:v>111</x:v>
      </x:c>
    </x:row>
    <x:row r="49" ht="15" hidden="0">
      <x:c r="A49" s="201" t="s">
        <x:v>165</x:v>
      </x:c>
      <x:c r="B49" s="202"/>
      <x:c r="C49" s="25"/>
      <x:c r="D49" s="25"/>
      <x:c r="E49" s="25"/>
      <x:c r="F49" s="25"/>
      <x:c r="G49" s="25"/>
      <x:c r="H49" s="25"/>
      <x:c r="I49" s="25"/>
      <x:c r="J49" s="25"/>
    </x:row>
    <x:row r="50" ht="15" hidden="0">
      <x:c r="A50" s="193" t="s">
        <x:v>166</x:v>
      </x:c>
      <x:c r="B50" s="195" t="s">
        <x:v>489</x:v>
      </x:c>
      <x:c r="C50" s="26" t="n">
        <x:v>11298.187</x:v>
      </x:c>
      <x:c r="D50" s="26" t="n">
        <x:v>14923.151</x:v>
      </x:c>
      <x:c r="E50" s="26" t="n">
        <x:v>12591.709</x:v>
      </x:c>
      <x:c r="F50" s="26" t="n">
        <x:v>13783.299</x:v>
      </x:c>
      <x:c r="G50" s="26" t="n">
        <x:v>12394.455</x:v>
      </x:c>
      <x:c r="H50" s="26" t="n">
        <x:v>13333.448</x:v>
      </x:c>
      <x:c r="I50" s="9" t="s">
        <x:v>111</x:v>
      </x:c>
    </x:row>
    <x:row r="51" ht="15" hidden="0">
      <x:c r="A51" s="193" t="s">
        <x:v>168</x:v>
      </x:c>
      <x:c r="B51" s="195" t="s">
        <x:v>490</x:v>
      </x:c>
      <x:c r="C51" s="26" t="n">
        <x:v>4325.32</x:v>
      </x:c>
      <x:c r="D51" s="26" t="n">
        <x:v>7375.63</x:v>
      </x:c>
      <x:c r="E51" s="26" t="n">
        <x:v>3871.207</x:v>
      </x:c>
      <x:c r="F51" s="26" t="n">
        <x:v>6530.049</x:v>
      </x:c>
      <x:c r="G51" s="26" t="n">
        <x:v>5046.744</x:v>
      </x:c>
      <x:c r="H51" s="26" t="n">
        <x:v>3900.142</x:v>
      </x:c>
      <x:c r="I51" s="9" t="s">
        <x:v>111</x:v>
      </x:c>
    </x:row>
    <x:row r="52" ht="15" hidden="0">
      <x:c r="A52" s="193" t="s">
        <x:v>170</x:v>
      </x:c>
      <x:c r="B52" s="195" t="s">
        <x:v>491</x:v>
      </x:c>
      <x:c r="C52" s="26" t="n">
        <x:v>0</x:v>
      </x:c>
      <x:c r="D52" s="26" t="n">
        <x:v>0</x:v>
      </x:c>
      <x:c r="E52" s="26" t="n">
        <x:v>0</x:v>
      </x:c>
      <x:c r="F52" s="26" t="n">
        <x:v>0</x:v>
      </x:c>
      <x:c r="G52" s="26" t="n">
        <x:v>0</x:v>
      </x:c>
      <x:c r="H52" s="26" t="n">
        <x:v>0</x:v>
      </x:c>
      <x:c r="I52" s="9" t="s">
        <x:v>111</x:v>
      </x:c>
    </x:row>
    <x:row r="53" ht="15" hidden="0">
      <x:c r="A53" s="193" t="s">
        <x:v>172</x:v>
      </x:c>
      <x:c r="B53" s="195" t="s">
        <x:v>492</x:v>
      </x:c>
      <x:c r="C53" s="26" t="n">
        <x:v>712.275</x:v>
      </x:c>
      <x:c r="D53" s="26" t="n">
        <x:v>507.769</x:v>
      </x:c>
      <x:c r="E53" s="26" t="n">
        <x:v>883.229</x:v>
      </x:c>
      <x:c r="F53" s="26" t="n">
        <x:v>1739.547</x:v>
      </x:c>
      <x:c r="G53" s="26" t="n">
        <x:v>1280.446</x:v>
      </x:c>
      <x:c r="H53" s="26" t="n">
        <x:v>229.652</x:v>
      </x:c>
      <x:c r="I53" s="9" t="s">
        <x:v>111</x:v>
      </x:c>
    </x:row>
    <x:row r="54" ht="15" hidden="0">
      <x:c r="A54" s="193" t="s">
        <x:v>174</x:v>
      </x:c>
      <x:c r="B54" s="195" t="s">
        <x:v>493</x:v>
      </x:c>
      <x:c r="C54" s="26" t="n">
        <x:v>23495.967</x:v>
      </x:c>
      <x:c r="D54" s="26" t="n">
        <x:v>18362.05</x:v>
      </x:c>
      <x:c r="E54" s="26" t="n">
        <x:v>25210.506</x:v>
      </x:c>
      <x:c r="F54" s="26" t="n">
        <x:v>25494.293</x:v>
      </x:c>
      <x:c r="G54" s="26" t="n">
        <x:v>13064.718</x:v>
      </x:c>
      <x:c r="H54" s="26" t="n">
        <x:v>9878.499</x:v>
      </x:c>
      <x:c r="I54" s="9" t="s">
        <x:v>111</x:v>
      </x:c>
    </x:row>
    <x:row r="55" ht="15" hidden="0">
      <x:c r="A55" s="193" t="s">
        <x:v>176</x:v>
      </x:c>
      <x:c r="B55" s="195" t="s">
        <x:v>494</x:v>
      </x:c>
      <x:c r="C55" s="26" t="n">
        <x:v>2010.621</x:v>
      </x:c>
      <x:c r="D55" s="26" t="n">
        <x:v>6130.703</x:v>
      </x:c>
      <x:c r="E55" s="26" t="n">
        <x:v>7097.166</x:v>
      </x:c>
      <x:c r="F55" s="26" t="n">
        <x:v>7370.364</x:v>
      </x:c>
      <x:c r="G55" s="26" t="n">
        <x:v>5291.972</x:v>
      </x:c>
      <x:c r="H55" s="26" t="n">
        <x:v>1934.772</x:v>
      </x:c>
      <x:c r="I55" s="9" t="s">
        <x:v>111</x:v>
      </x:c>
    </x:row>
    <x:row r="56" ht="15" hidden="0">
      <x:c r="A56" s="193" t="s">
        <x:v>178</x:v>
      </x:c>
      <x:c r="B56" s="195" t="s">
        <x:v>495</x:v>
      </x:c>
      <x:c r="C56" s="26" t="n">
        <x:v>0</x:v>
      </x:c>
      <x:c r="D56" s="26" t="n">
        <x:v>0</x:v>
      </x:c>
      <x:c r="E56" s="26" t="n">
        <x:v>0</x:v>
      </x:c>
      <x:c r="F56" s="26" t="n">
        <x:v>0</x:v>
      </x:c>
      <x:c r="G56" s="26" t="n">
        <x:v>0</x:v>
      </x:c>
      <x:c r="H56" s="26" t="n">
        <x:v>0</x:v>
      </x:c>
      <x:c r="I56" s="9" t="s">
        <x:v>111</x:v>
      </x:c>
    </x:row>
    <x:row r="57" ht="15" hidden="0">
      <x:c r="A57" s="193" t="s">
        <x:v>180</x:v>
      </x:c>
      <x:c r="B57" s="195" t="s">
        <x:v>496</x:v>
      </x:c>
      <x:c r="C57" s="26" t="n">
        <x:v>0</x:v>
      </x:c>
      <x:c r="D57" s="26" t="n">
        <x:v>262.523</x:v>
      </x:c>
      <x:c r="E57" s="26" t="n">
        <x:v>213.883</x:v>
      </x:c>
      <x:c r="F57" s="26" t="n">
        <x:v>171.581</x:v>
      </x:c>
      <x:c r="G57" s="26" t="n">
        <x:v>124.138</x:v>
      </x:c>
      <x:c r="H57" s="26" t="n">
        <x:v>79.465</x:v>
      </x:c>
      <x:c r="I57" s="9" t="s">
        <x:v>111</x:v>
      </x:c>
    </x:row>
    <x:row r="58" ht="15" hidden="0">
      <x:c r="A58" s="193" t="s">
        <x:v>182</x:v>
      </x:c>
      <x:c r="B58" s="195" t="s">
        <x:v>497</x:v>
      </x:c>
      <x:c r="C58" s="26" t="n">
        <x:v>33.837</x:v>
      </x:c>
      <x:c r="D58" s="26" t="n">
        <x:v>33.517</x:v>
      </x:c>
      <x:c r="E58" s="26" t="n">
        <x:v>34.512</x:v>
      </x:c>
      <x:c r="F58" s="26" t="n">
        <x:v>34.704</x:v>
      </x:c>
      <x:c r="G58" s="26" t="n">
        <x:v>34.201</x:v>
      </x:c>
      <x:c r="H58" s="26" t="n">
        <x:v>34.154</x:v>
      </x:c>
      <x:c r="I58" s="9" t="s">
        <x:v>111</x:v>
      </x:c>
    </x:row>
    <x:row r="59" ht="15" hidden="0">
      <x:c r="A59" s="193" t="s">
        <x:v>184</x:v>
      </x:c>
      <x:c r="B59" s="195" t="s">
        <x:v>498</x:v>
      </x:c>
      <x:c r="C59" s="26" t="n">
        <x:v>35.09</x:v>
      </x:c>
      <x:c r="D59" s="26" t="n">
        <x:v>35.09</x:v>
      </x:c>
      <x:c r="E59" s="26" t="n">
        <x:v>35.09</x:v>
      </x:c>
      <x:c r="F59" s="26" t="n">
        <x:v>35.09</x:v>
      </x:c>
      <x:c r="G59" s="26" t="n">
        <x:v>35.09</x:v>
      </x:c>
      <x:c r="H59" s="26" t="n">
        <x:v>365.924</x:v>
      </x:c>
      <x:c r="I59" s="9" t="s">
        <x:v>111</x:v>
      </x:c>
    </x:row>
    <x:row r="60" ht="15" hidden="0">
      <x:c r="A60" s="193" t="s">
        <x:v>186</x:v>
      </x:c>
      <x:c r="B60" s="195" t="s">
        <x:v>499</x:v>
      </x:c>
      <x:c r="C60" s="26" t="n">
        <x:v>38.28</x:v>
      </x:c>
      <x:c r="D60" s="26" t="n">
        <x:v>40.717</x:v>
      </x:c>
      <x:c r="E60" s="26" t="n">
        <x:v>22.936</x:v>
      </x:c>
      <x:c r="F60" s="26" t="n">
        <x:v>46.912</x:v>
      </x:c>
      <x:c r="G60" s="26" t="n">
        <x:v>0.697</x:v>
      </x:c>
      <x:c r="H60" s="26" t="n">
        <x:v>55.006</x:v>
      </x:c>
      <x:c r="I60" s="9" t="s">
        <x:v>111</x:v>
      </x:c>
    </x:row>
    <x:row r="61" ht="15" hidden="0">
      <x:c r="A61" s="198" t="s">
        <x:v>188</x:v>
      </x:c>
      <x:c r="B61" s="195" t="s">
        <x:v>189</x:v>
      </x:c>
      <x:c r="C61" s="28" t="n">
        <x:f aca="0">C50+C52+C53+C54+C55+C56+C57+C58+C59+C60</x:f>
        <x:v>37624.257</x:v>
      </x:c>
      <x:c r="D61" s="28" t="n">
        <x:f aca="0">D50+D52+D53+D54+D55+D56+D57+D58+D59+D60</x:f>
        <x:v>40295.52</x:v>
      </x:c>
      <x:c r="E61" s="28" t="n">
        <x:f aca="0">E50+E52+E53+E54+E55+E56+E57+E58+E59+E60</x:f>
        <x:v>46089.031</x:v>
      </x:c>
      <x:c r="F61" s="28" t="n">
        <x:f aca="0">F50+F52+F53+F54+F55+F56+F57+F58+F59+F60</x:f>
        <x:v>48675.78999999999</x:v>
      </x:c>
      <x:c r="G61" s="28" t="n">
        <x:f aca="0">G50+G52+G53+G54+G55+G56+G57+G58+G59+G60</x:f>
        <x:v>32225.717</x:v>
      </x:c>
      <x:c r="H61" s="28" t="n">
        <x:f aca="0">H50+H52+H53+H54+H55+H56+H57+H58+H59+H60</x:f>
        <x:v>25910.920000000002</x:v>
      </x:c>
      <x:c r="I61" s="9" t="s">
        <x:v>111</x:v>
      </x:c>
      <x:c r="J61" s="9" t="s">
        <x:v>190</x:v>
      </x:c>
    </x:row>
    <x:row r="62" ht="15" hidden="0">
      <x:c r="A62" s="198" t="s">
        <x:v>191</x:v>
      </x:c>
      <x:c r="B62" s="195" t="s">
        <x:v>192</x:v>
      </x:c>
      <x:c r="C62" s="28" t="n">
        <x:f aca="0">C48+C61</x:f>
        <x:v>62907.377</x:v>
      </x:c>
      <x:c r="D62" s="28" t="n">
        <x:f aca="0">D48+D61</x:f>
        <x:v>64416.82399999999</x:v>
      </x:c>
      <x:c r="E62" s="28" t="n">
        <x:f aca="0">E48+E61</x:f>
        <x:v>66643.911</x:v>
      </x:c>
      <x:c r="F62" s="28" t="n">
        <x:f aca="0">F48+F61</x:f>
        <x:v>70520.97699999998</x:v>
      </x:c>
      <x:c r="G62" s="28" t="n">
        <x:f aca="0">G48+G61</x:f>
        <x:v>62538.216</x:v>
      </x:c>
      <x:c r="H62" s="28" t="n">
        <x:f aca="0">H48+H61</x:f>
        <x:v>51256.757</x:v>
      </x:c>
      <x:c r="I62" s="9" t="s">
        <x:v>111</x:v>
      </x:c>
    </x:row>
    <x:row r="63" ht="15" hidden="0">
      <x:c r="A63" s="198" t="s">
        <x:v>193</x:v>
      </x:c>
      <x:c r="B63" s="195" t="s">
        <x:v>194</x:v>
      </x:c>
      <x:c r="C63" s="28" t="n">
        <x:f aca="0">C41+C62</x:f>
        <x:v>129551.53400000001</x:v>
      </x:c>
      <x:c r="D63" s="28" t="n">
        <x:f aca="0">D41+D62</x:f>
        <x:v>137894.697</x:v>
      </x:c>
      <x:c r="E63" s="28" t="n">
        <x:f aca="0">E41+E62</x:f>
        <x:v>136562.01299999998</x:v>
      </x:c>
      <x:c r="F63" s="28" t="n">
        <x:f aca="0">F41+F62</x:f>
        <x:v>134713.254</x:v>
      </x:c>
      <x:c r="G63" s="28" t="n">
        <x:f aca="0">G41+G62</x:f>
        <x:v>138385.75400000002</x:v>
      </x:c>
      <x:c r="H63" s="28" t="n">
        <x:f aca="0">H41+H62</x:f>
        <x:v>145924.235</x:v>
      </x:c>
      <x:c r="I63" s="9" t="s">
        <x:v>111</x:v>
      </x:c>
    </x:row>
    <x:row r="64" ht="15" hidden="0">
      <x:c r="A64" s="201" t="s">
        <x:v>195</x:v>
      </x:c>
      <x:c r="B64" s="202"/>
      <x:c r="C64" s="25"/>
      <x:c r="D64" s="25"/>
      <x:c r="E64" s="25"/>
      <x:c r="F64" s="25"/>
      <x:c r="G64" s="25"/>
      <x:c r="H64" s="25"/>
      <x:c r="I64" s="25"/>
      <x:c r="J64" s="25"/>
    </x:row>
    <x:row r="65" ht="15" hidden="0">
      <x:c r="A65" s="193" t="s">
        <x:v>196</x:v>
      </x:c>
      <x:c r="B65" s="195" t="s">
        <x:v>197</x:v>
      </x:c>
      <x:c r="C65" s="27" t="n">
        <x:f aca="0">C30+C31</x:f>
        <x:v>12590.985</x:v>
      </x:c>
      <x:c r="D65" s="27" t="n">
        <x:f aca="0">D30+D31</x:f>
        <x:v>15607.937</x:v>
      </x:c>
      <x:c r="E65" s="27" t="n">
        <x:f aca="0">E30+E31</x:f>
        <x:v>22795.398</x:v>
      </x:c>
      <x:c r="F65" s="27" t="n">
        <x:f aca="0">F30+F31</x:f>
        <x:v>22725.175</x:v>
      </x:c>
      <x:c r="G65" s="27" t="n">
        <x:f aca="0">G30+G31</x:f>
        <x:v>20252.841</x:v>
      </x:c>
      <x:c r="H65" s="27" t="n">
        <x:f aca="0">H30+H31</x:f>
        <x:v>20495.357</x:v>
      </x:c>
      <x:c r="I65" s="9" t="s">
        <x:v>111</x:v>
      </x:c>
    </x:row>
    <x:row r="66" ht="15" hidden="0">
      <x:c r="A66" s="193" t="s">
        <x:v>198</x:v>
      </x:c>
      <x:c r="B66" s="195" t="s">
        <x:v>199</x:v>
      </x:c>
      <x:c r="C66" s="27" t="n">
        <x:f aca="0">C43+C44+C54+C55+C56-C251-C252</x:f>
        <x:v>47478.588</x:v>
      </x:c>
      <x:c r="D66" s="27" t="n">
        <x:f aca="0">D43+D44+D54+D55+D56-D251-D252</x:f>
        <x:v>43792.817</x:v>
      </x:c>
      <x:c r="E66" s="27" t="n">
        <x:f aca="0">E43+E44+E54+E55+E56-E251-E252</x:f>
        <x:v>46475.901</x:v>
      </x:c>
      <x:c r="F66" s="27" t="n">
        <x:f aca="0">F43+F44+F54+F55+F56-F251-F252</x:f>
        <x:v>42528.276000000005</x:v>
      </x:c>
      <x:c r="G66" s="27" t="n">
        <x:f aca="0">G43+G44+G54+G55+G56-G251-G252</x:f>
        <x:v>34321.806000000004</x:v>
      </x:c>
      <x:c r="H66" s="27" t="n">
        <x:f aca="0">H43+H44+H54+H55+H56-H251-H252</x:f>
        <x:v>21907.100000000002</x:v>
      </x:c>
      <x:c r="I66" s="9" t="s">
        <x:v>111</x:v>
      </x:c>
    </x:row>
    <x:row r="67" ht="15" hidden="0">
      <x:c r="A67" s="193" t="s">
        <x:v>200</x:v>
      </x:c>
      <x:c r="B67" s="195" t="s">
        <x:v>201</x:v>
      </x:c>
      <x:c r="C67" s="27" t="n">
        <x:f aca="0">C43+C44</x:f>
        <x:v>21972</x:v>
      </x:c>
      <x:c r="D67" s="27" t="n">
        <x:f aca="0">D43+D44</x:f>
        <x:v>19300.064</x:v>
      </x:c>
      <x:c r="E67" s="27" t="n">
        <x:f aca="0">E43+E44</x:f>
        <x:v>14168.229</x:v>
      </x:c>
      <x:c r="F67" s="27" t="n">
        <x:f aca="0">F43+F44</x:f>
        <x:v>9663.619</x:v>
      </x:c>
      <x:c r="G67" s="27" t="n">
        <x:f aca="0">G43+G44</x:f>
        <x:v>15965.116</x:v>
      </x:c>
      <x:c r="H67" s="27" t="n">
        <x:f aca="0">H43+H44</x:f>
        <x:v>10093.829</x:v>
      </x:c>
      <x:c r="I67" s="9" t="s">
        <x:v>111</x:v>
      </x:c>
    </x:row>
    <x:row r="68" ht="15" hidden="0">
      <x:c r="A68" s="193"/>
      <x:c r="B68" s="195"/>
      <x:c r="C68" s="27">
        <x:f aca="0"/>
      </x:c>
      <x:c r="D68" s="27">
        <x:f aca="0"/>
      </x:c>
      <x:c r="E68" s="27">
        <x:f aca="0"/>
      </x:c>
      <x:c r="F68" s="27">
        <x:f aca="0"/>
      </x:c>
      <x:c r="G68" s="27">
        <x:f aca="0"/>
      </x:c>
      <x:c r="H68" s="27">
        <x:f aca="0"/>
      </x:c>
      <x:c r="I68" s="9" t="s">
        <x:v>111</x:v>
      </x:c>
    </x:row>
    <x:row r="69" ht="15" hidden="0">
      <x:c r="A69" s="193"/>
      <x:c r="B69" s="195"/>
      <x:c r="C69" s="27">
        <x:f aca="0"/>
      </x:c>
      <x:c r="D69" s="27">
        <x:f aca="0"/>
      </x:c>
      <x:c r="E69" s="27">
        <x:f aca="0"/>
      </x:c>
      <x:c r="F69" s="27">
        <x:f aca="0"/>
      </x:c>
      <x:c r="G69" s="27">
        <x:f aca="0"/>
      </x:c>
      <x:c r="H69" s="27">
        <x:f aca="0"/>
      </x:c>
      <x:c r="I69" s="9" t="s">
        <x:v>111</x:v>
      </x:c>
    </x:row>
    <x:row r="70" ht="15" hidden="0">
      <x:c r="A70" s="193" t="s">
        <x:v>202</x:v>
      </x:c>
      <x:c r="B70" s="195" t="s">
        <x:v>203</x:v>
      </x:c>
      <x:c r="C70" s="27" t="n">
        <x:f aca="0">C66+C41</x:f>
        <x:v>114122.74500000001</x:v>
      </x:c>
      <x:c r="D70" s="27" t="n">
        <x:f aca="0">D66+D41</x:f>
        <x:v>117270.69</x:v>
      </x:c>
      <x:c r="E70" s="27" t="n">
        <x:f aca="0">E66+E41</x:f>
        <x:v>116394.003</x:v>
      </x:c>
      <x:c r="F70" s="27" t="n">
        <x:f aca="0">F66+F41</x:f>
        <x:v>106720.55300000001</x:v>
      </x:c>
      <x:c r="G70" s="27" t="n">
        <x:f aca="0">G66+G41</x:f>
        <x:v>110169.34400000001</x:v>
      </x:c>
      <x:c r="H70" s="27" t="n">
        <x:f aca="0">H66+H41</x:f>
        <x:v>116574.57800000001</x:v>
      </x:c>
      <x:c r="I70" s="9" t="s">
        <x:v>111</x:v>
      </x:c>
    </x:row>
    <x:row r="71" ht="15" hidden="0">
      <x:c r="A71" s="193" t="s">
        <x:v>204</x:v>
      </x:c>
      <x:c r="B71" s="195" t="s">
        <x:v>205</x:v>
      </x:c>
      <x:c r="C71" s="27" t="n">
        <x:f aca="0">C37-C61</x:f>
        <x:v>91927.27699999999</x:v>
      </x:c>
      <x:c r="D71" s="27" t="n">
        <x:f aca="0">D37-D61</x:f>
        <x:v>97599.17700000003</x:v>
      </x:c>
      <x:c r="E71" s="27" t="n">
        <x:f aca="0">E37-E61</x:f>
        <x:v>90472.982</x:v>
      </x:c>
      <x:c r="F71" s="27" t="n">
        <x:f aca="0">F37-F61</x:f>
        <x:v>86037.46400000002</x:v>
      </x:c>
      <x:c r="G71" s="27" t="n">
        <x:f aca="0">G37-G61</x:f>
        <x:v>106160.03700000001</x:v>
      </x:c>
      <x:c r="H71" s="27" t="n">
        <x:f aca="0">H37-H61</x:f>
        <x:v>120013.31499999999</x:v>
      </x:c>
      <x:c r="I71" s="9" t="s">
        <x:v>111</x:v>
      </x:c>
    </x:row>
    <x:row r="72" ht="15" hidden="0">
      <x:c r="A72" s="193" t="s">
        <x:v>206</x:v>
      </x:c>
      <x:c r="B72" s="195" t="s">
        <x:v>207</x:v>
      </x:c>
      <x:c r="C72" s="27" t="n">
        <x:f aca="0">C36-C34-C33</x:f>
        <x:v>20632.205</x:v>
      </x:c>
      <x:c r="D72" s="27" t="n">
        <x:f aca="0">D36-D34-D33</x:f>
        <x:v>23098.105000000003</x:v>
      </x:c>
      <x:c r="E72" s="27" t="n">
        <x:f aca="0">E36-E34-E33</x:f>
        <x:v>30439.939</x:v>
      </x:c>
      <x:c r="F72" s="27" t="n">
        <x:f aca="0">F36-F34-F33</x:f>
        <x:v>29080.795999999995</x:v>
      </x:c>
      <x:c r="G72" s="27" t="n">
        <x:f aca="0">G36-G34-G33</x:f>
        <x:v>22653.470999999994</x:v>
      </x:c>
      <x:c r="H72" s="27" t="n">
        <x:f aca="0">H36-H34-H33</x:f>
        <x:v>23334.11</x:v>
      </x:c>
      <x:c r="I72" s="9" t="s">
        <x:v>111</x:v>
      </x:c>
    </x:row>
    <x:row r="73" ht="15" hidden="0">
      <x:c r="A73" s="193" t="s">
        <x:v>208</x:v>
      </x:c>
      <x:c r="B73" s="195" t="s">
        <x:v>209</x:v>
      </x:c>
      <x:c r="C73" s="27" t="n">
        <x:f aca="0">C61-C54-C55-C56-C57-C53-C58</x:f>
        <x:v>11371.556999999999</x:v>
      </x:c>
      <x:c r="D73" s="27" t="n">
        <x:f aca="0">D61-D54-D55-D56-D57-D53-D58</x:f>
        <x:v>14998.957999999997</x:v>
      </x:c>
      <x:c r="E73" s="27" t="n">
        <x:f aca="0">E61-E54-E55-E56-E57-E53-E58</x:f>
        <x:v>12649.735</x:v>
      </x:c>
      <x:c r="F73" s="27" t="n">
        <x:f aca="0">F61-F54-F55-F56-F57-F53-F58</x:f>
        <x:v>13865.300999999992</x:v>
      </x:c>
      <x:c r="G73" s="27" t="n">
        <x:f aca="0">G61-G54-G55-G56-G57-G53-G58</x:f>
        <x:v>12430.242</x:v>
      </x:c>
      <x:c r="H73" s="27" t="n">
        <x:f aca="0">H61-H54-H55-H56-H57-H53-H58</x:f>
        <x:v>13754.378</x:v>
      </x:c>
      <x:c r="I73" s="9" t="s">
        <x:v>111</x:v>
      </x:c>
    </x:row>
    <x:row r="74" ht="15" hidden="0">
      <x:c r="A74" s="201" t="s">
        <x:v>210</x:v>
      </x:c>
      <x:c r="B74" s="202"/>
      <x:c r="C74" s="25"/>
      <x:c r="D74" s="25"/>
      <x:c r="E74" s="25"/>
      <x:c r="F74" s="25"/>
      <x:c r="G74" s="25"/>
      <x:c r="H74" s="25"/>
      <x:c r="I74" s="25"/>
      <x:c r="J74" s="25"/>
    </x:row>
    <x:row r="75" ht="15" hidden="0">
      <x:c r="A75" s="193" t="s">
        <x:v>211</x:v>
      </x:c>
      <x:c r="B75" s="195" t="s">
        <x:v>500</x:v>
      </x:c>
      <x:c r="C75" s="26" t="n">
        <x:v>129551.534</x:v>
      </x:c>
      <x:c r="D75" s="26" t="n">
        <x:v>137894.697</x:v>
      </x:c>
      <x:c r="E75" s="26" t="n">
        <x:v>136562.013</x:v>
      </x:c>
      <x:c r="F75" s="26" t="n">
        <x:v>134713.254</x:v>
      </x:c>
      <x:c r="G75" s="26" t="n">
        <x:v>138385.754</x:v>
      </x:c>
      <x:c r="H75" s="26" t="n">
        <x:v>145924.235</x:v>
      </x:c>
      <x:c r="I75" s="9" t="s">
        <x:v>111</x:v>
      </x:c>
    </x:row>
    <x:row r="76" ht="15" hidden="0">
      <x:c r="A76" s="193" t="s">
        <x:v>213</x:v>
      </x:c>
      <x:c r="B76" s="195" t="s">
        <x:v>501</x:v>
      </x:c>
      <x:c r="C76" s="26" t="n">
        <x:v>66644.157</x:v>
      </x:c>
      <x:c r="D76" s="26" t="n">
        <x:v>73477.873</x:v>
      </x:c>
      <x:c r="E76" s="26" t="n">
        <x:v>69918.102</x:v>
      </x:c>
      <x:c r="F76" s="26" t="n">
        <x:v>64192.277</x:v>
      </x:c>
      <x:c r="G76" s="26" t="n">
        <x:v>75847.538</x:v>
      </x:c>
      <x:c r="H76" s="26" t="n">
        <x:v>94667.478</x:v>
      </x:c>
      <x:c r="I76" s="9" t="s">
        <x:v>111</x:v>
      </x:c>
    </x:row>
    <x:row r="77" ht="15" hidden="0">
      <x:c r="A77" s="193" t="s">
        <x:v>215</x:v>
      </x:c>
      <x:c r="B77" s="195" t="s">
        <x:v>502</x:v>
      </x:c>
      <x:c r="C77" s="26" t="n">
        <x:v>34106.427</x:v>
      </x:c>
      <x:c r="D77" s="26" t="n">
        <x:v>36851.264</x:v>
      </x:c>
      <x:c r="E77" s="26" t="n">
        <x:v>40813.163</x:v>
      </x:c>
      <x:c r="F77" s="26" t="n">
        <x:v>39026.666</x:v>
      </x:c>
      <x:c r="G77" s="26" t="n">
        <x:v>41770.521</x:v>
      </x:c>
      <x:c r="H77" s="26" t="n">
        <x:v>47908.042</x:v>
      </x:c>
      <x:c r="I77" s="9" t="s">
        <x:v>111</x:v>
      </x:c>
    </x:row>
    <x:row r="78" ht="15" hidden="0">
      <x:c r="A78" s="193" t="s">
        <x:v>217</x:v>
      </x:c>
      <x:c r="B78" s="195" t="s">
        <x:v>503</x:v>
      </x:c>
      <x:c r="C78" s="26" t="n">
        <x:v>37624.257</x:v>
      </x:c>
      <x:c r="D78" s="26" t="n">
        <x:v>40295.52</x:v>
      </x:c>
      <x:c r="E78" s="26" t="n">
        <x:v>46089.031</x:v>
      </x:c>
      <x:c r="F78" s="26" t="n">
        <x:v>48675.79</x:v>
      </x:c>
      <x:c r="G78" s="26" t="n">
        <x:v>32225.717</x:v>
      </x:c>
      <x:c r="H78" s="26" t="n">
        <x:v>25910.92</x:v>
      </x:c>
      <x:c r="I78" s="9" t="s">
        <x:v>111</x:v>
      </x:c>
    </x:row>
    <x:row r="79" ht="15" hidden="0">
      <x:c r="A79" s="193" t="s">
        <x:v>219</x:v>
      </x:c>
      <x:c r="B79" s="195" t="s">
        <x:v>220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s="193" t="s">
        <x:v>221</x:v>
      </x:c>
      <x:c r="B80" s="195" t="s">
        <x:v>220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s="193" t="s">
        <x:v>222</x:v>
      </x:c>
      <x:c r="B81" s="195" t="s">
        <x:v>220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2">
      <x:c r="A82" s="193"/>
      <x:c r="B82" s="193"/>
    </x:row>
    <x:row r="83" ht="15" hidden="0">
      <x:c r="A83" s="196" t="s">
        <x:v>223</x:v>
      </x:c>
      <x:c r="B83" s="197"/>
      <x:c r="C83" s="20"/>
      <x:c r="D83" s="20"/>
      <x:c r="E83" s="20"/>
      <x:c r="F83" s="20"/>
      <x:c r="G83" s="20"/>
      <x:c r="H83" s="20"/>
      <x:c r="I83" s="20"/>
      <x:c r="J83" s="20"/>
    </x:row>
    <x:row r="84" ht="15" hidden="0">
      <x:c r="A84" s="193" t="s">
        <x:v>224</x:v>
      </x:c>
      <x:c r="B84" s="195" t="s">
        <x:v>504</x:v>
      </x:c>
      <x:c r="C84" s="30"/>
      <x:c r="D84" s="26" t="n">
        <x:v>45107.69</x:v>
      </x:c>
      <x:c r="E84" s="26" t="n">
        <x:v>58043.863</x:v>
      </x:c>
      <x:c r="F84" s="26" t="n">
        <x:v>64983.821</x:v>
      </x:c>
      <x:c r="G84" s="26" t="n">
        <x:v>66038.689</x:v>
      </x:c>
      <x:c r="H84" s="26" t="n">
        <x:v>71892.837</x:v>
      </x:c>
      <x:c r="I84" s="9" t="s">
        <x:v>111</x:v>
      </x:c>
    </x:row>
    <x:row r="85" ht="15" hidden="0">
      <x:c r="A85" s="193" t="s">
        <x:v>226</x:v>
      </x:c>
      <x:c r="B85" s="195" t="s">
        <x:v>505</x:v>
      </x:c>
      <x:c r="C85" s="30"/>
      <x:c r="D85" s="26" t="n">
        <x:v>-37035.798</x:v>
      </x:c>
      <x:c r="E85" s="26" t="n">
        <x:v>-47615.551</x:v>
      </x:c>
      <x:c r="F85" s="26" t="n">
        <x:v>-55428.046</x:v>
      </x:c>
      <x:c r="G85" s="26" t="n">
        <x:v>-55510.429</x:v>
      </x:c>
      <x:c r="H85" s="26" t="n">
        <x:v>-53387.166</x:v>
      </x:c>
      <x:c r="I85" s="9" t="s">
        <x:v>111</x:v>
      </x:c>
    </x:row>
    <x:row r="86" ht="15" hidden="0">
      <x:c r="A86" s="198" t="s">
        <x:v>228</x:v>
      </x:c>
      <x:c r="B86" s="195" t="s">
        <x:v>229</x:v>
      </x:c>
      <x:c r="C86" s="31"/>
      <x:c r="D86" s="28" t="n">
        <x:f aca="0">D84+D85</x:f>
        <x:v>8071.892</x:v>
      </x:c>
      <x:c r="E86" s="28" t="n">
        <x:f aca="0">E84+E85</x:f>
        <x:v>10428.311999999998</x:v>
      </x:c>
      <x:c r="F86" s="28" t="n">
        <x:f aca="0">F84+F85</x:f>
        <x:v>9555.775000000001</x:v>
      </x:c>
      <x:c r="G86" s="28" t="n">
        <x:f aca="0">G84+G85</x:f>
        <x:v>10528.260000000002</x:v>
      </x:c>
      <x:c r="H86" s="28" t="n">
        <x:f aca="0">H84+H85</x:f>
        <x:v>18505.671000000002</x:v>
      </x:c>
      <x:c r="I86" s="9" t="s">
        <x:v>111</x:v>
      </x:c>
    </x:row>
    <x:row r="87" ht="15" hidden="0">
      <x:c r="A87" s="193" t="s">
        <x:v>230</x:v>
      </x:c>
      <x:c r="B87" s="195" t="s">
        <x:v>506</x:v>
      </x:c>
      <x:c r="C87" s="30"/>
      <x:c r="D87" s="26" t="n">
        <x:v>-1950.056</x:v>
      </x:c>
      <x:c r="E87" s="26" t="n">
        <x:v>-1748.859</x:v>
      </x:c>
      <x:c r="F87" s="26" t="n">
        <x:v>-1818.028</x:v>
      </x:c>
      <x:c r="G87" s="26" t="n">
        <x:v>-2608.537</x:v>
      </x:c>
      <x:c r="H87" s="26" t="n">
        <x:v>-3874.688</x:v>
      </x:c>
      <x:c r="I87" s="9" t="s">
        <x:v>111</x:v>
      </x:c>
    </x:row>
    <x:row r="88" ht="15" hidden="0">
      <x:c r="A88" s="193" t="s">
        <x:v>232</x:v>
      </x:c>
      <x:c r="B88" s="195" t="s">
        <x:v>507</x:v>
      </x:c>
      <x:c r="C88" s="30"/>
      <x:c r="D88" s="26" t="n">
        <x:v>-646.762</x:v>
      </x:c>
      <x:c r="E88" s="26" t="n">
        <x:v>-751.052</x:v>
      </x:c>
      <x:c r="F88" s="26" t="n">
        <x:v>-879.356</x:v>
      </x:c>
      <x:c r="G88" s="26" t="n">
        <x:v>-1206.105</x:v>
      </x:c>
      <x:c r="H88" s="26" t="n">
        <x:v>-1294.974</x:v>
      </x:c>
      <x:c r="I88" s="9" t="s">
        <x:v>111</x:v>
      </x:c>
    </x:row>
    <x:row r="89" ht="15" hidden="0">
      <x:c r="A89" s="193" t="s">
        <x:v>234</x:v>
      </x:c>
      <x:c r="B89" s="195" t="s">
        <x:v>508</x:v>
      </x:c>
      <x:c r="C89" s="30"/>
      <x:c r="D89" s="26" t="n">
        <x:v>104.703</x:v>
      </x:c>
      <x:c r="E89" s="26" t="n">
        <x:v>-8.99</x:v>
      </x:c>
      <x:c r="F89" s="26" t="n">
        <x:v>-104.094</x:v>
      </x:c>
      <x:c r="G89" s="26" t="n">
        <x:v>-103.367</x:v>
      </x:c>
      <x:c r="H89" s="26" t="n">
        <x:v>-6.899</x:v>
      </x:c>
      <x:c r="I89" s="9" t="s">
        <x:v>111</x:v>
      </x:c>
    </x:row>
    <x:row r="90" ht="15" hidden="0">
      <x:c r="A90" s="193" t="s">
        <x:v>236</x:v>
      </x:c>
      <x:c r="B90" s="195" t="s">
        <x:v>509</x:v>
      </x:c>
      <x:c r="C90" s="30"/>
      <x:c r="D90" s="26" t="n">
        <x:v>-414.315</x:v>
      </x:c>
      <x:c r="E90" s="26" t="n">
        <x:v>-1042.803</x:v>
      </x:c>
      <x:c r="F90" s="26" t="n">
        <x:v>-96.461</x:v>
      </x:c>
      <x:c r="G90" s="26" t="n">
        <x:v>-5.033</x:v>
      </x:c>
      <x:c r="H90" s="26" t="n">
        <x:v>-725.663</x:v>
      </x:c>
      <x:c r="I90" s="9" t="s">
        <x:v>111</x:v>
      </x:c>
    </x:row>
    <x:row r="91" ht="15" hidden="0">
      <x:c r="A91" s="193" t="s">
        <x:v>238</x:v>
      </x:c>
      <x:c r="B91" s="195" t="s">
        <x:v>239</x:v>
      </x:c>
      <x:c r="C91" s="30"/>
      <x:c r="D91" s="27" t="n">
        <x:f aca="0">D86+D87+D88+D89+D90</x:f>
        <x:v>5165.462</x:v>
      </x:c>
      <x:c r="E91" s="27" t="n">
        <x:f aca="0">E86+E87+E88+E89+E90</x:f>
        <x:v>6876.607999999998</x:v>
      </x:c>
      <x:c r="F91" s="27" t="n">
        <x:f aca="0">F86+F87+F88+F89+F90</x:f>
        <x:v>6657.836000000001</x:v>
      </x:c>
      <x:c r="G91" s="27" t="n">
        <x:f aca="0">G86+G87+G88+G89+G90</x:f>
        <x:v>6605.218000000002</x:v>
      </x:c>
      <x:c r="H91" s="27" t="n">
        <x:f aca="0">H86+H87+H88+H89+H90</x:f>
        <x:v>12603.447000000002</x:v>
      </x:c>
      <x:c r="I91" s="9" t="s">
        <x:v>111</x:v>
      </x:c>
    </x:row>
    <x:row r="92" ht="15" hidden="0">
      <x:c r="A92" s="193" t="s">
        <x:v>240</x:v>
      </x:c>
      <x:c r="B92" s="195" t="s">
        <x:v>510</x:v>
      </x:c>
      <x:c r="C92" s="30"/>
      <x:c r="D92" s="26" t="n">
        <x:v>2526.818</x:v>
      </x:c>
      <x:c r="E92" s="26" t="n">
        <x:v>2714.34</x:v>
      </x:c>
      <x:c r="F92" s="26" t="n">
        <x:v>3246.999</x:v>
      </x:c>
      <x:c r="G92" s="26" t="n">
        <x:v>4234.797</x:v>
      </x:c>
      <x:c r="H92" s="26" t="n">
        <x:v>4271.57</x:v>
      </x:c>
      <x:c r="I92" s="9" t="s">
        <x:v>111</x:v>
      </x:c>
    </x:row>
    <x:row r="93" ht="15" hidden="0">
      <x:c r="A93" s="193" t="s">
        <x:v>242</x:v>
      </x:c>
      <x:c r="B93" s="195" t="s">
        <x:v>511</x:v>
      </x:c>
      <x:c r="C93" s="30"/>
      <x:c r="D93" s="26" t="n">
        <x:v>0</x:v>
      </x:c>
      <x:c r="E93" s="26" t="n">
        <x:v>0</x:v>
      </x:c>
      <x:c r="F93" s="26" t="n">
        <x:v>0</x:v>
      </x:c>
      <x:c r="G93" s="26" t="n">
        <x:v>0</x:v>
      </x:c>
      <x:c r="H93" s="26" t="n">
        <x:v>0</x:v>
      </x:c>
      <x:c r="I93" s="9" t="s">
        <x:v>111</x:v>
      </x:c>
    </x:row>
    <x:row r="94" ht="15" hidden="0">
      <x:c r="A94" s="193" t="s">
        <x:v>244</x:v>
      </x:c>
      <x:c r="B94" s="195" t="s">
        <x:v>512</x:v>
      </x:c>
      <x:c r="C94" s="30"/>
      <x:c r="D94" s="26" t="n">
        <x:v>0</x:v>
      </x:c>
      <x:c r="E94" s="26" t="n">
        <x:v>0</x:v>
      </x:c>
      <x:c r="F94" s="26" t="n">
        <x:v>0</x:v>
      </x:c>
      <x:c r="G94" s="26" t="n">
        <x:v>0</x:v>
      </x:c>
      <x:c r="H94" s="26" t="n">
        <x:v>0</x:v>
      </x:c>
      <x:c r="I94" s="9" t="s">
        <x:v>111</x:v>
      </x:c>
    </x:row>
    <x:row r="95" ht="15" hidden="0">
      <x:c r="A95" s="193" t="s">
        <x:v>246</x:v>
      </x:c>
      <x:c r="B95" s="195" t="s">
        <x:v>513</x:v>
      </x:c>
      <x:c r="C95" s="30"/>
      <x:c r="D95" s="26" t="n">
        <x:v>-2920.875</x:v>
      </x:c>
      <x:c r="E95" s="26" t="n">
        <x:v>-3571.187</x:v>
      </x:c>
      <x:c r="F95" s="26" t="n">
        <x:v>-6742.292</x:v>
      </x:c>
      <x:c r="G95" s="26" t="n">
        <x:v>-8001.105</x:v>
      </x:c>
      <x:c r="H95" s="26" t="n">
        <x:v>-3870.405</x:v>
      </x:c>
      <x:c r="I95" s="9" t="s">
        <x:v>111</x:v>
      </x:c>
    </x:row>
    <x:row r="96" ht="15" hidden="0">
      <x:c r="A96" s="198" t="s">
        <x:v>248</x:v>
      </x:c>
      <x:c r="B96" s="195" t="s">
        <x:v>249</x:v>
      </x:c>
      <x:c r="C96" s="31"/>
      <x:c r="D96" s="28" t="n">
        <x:f aca="0">D91+D92+D93+D94+D95</x:f>
        <x:v>4771.405000000001</x:v>
      </x:c>
      <x:c r="E96" s="28" t="n">
        <x:f aca="0">E91+E92+E93+E94+E95</x:f>
        <x:v>6019.760999999999</x:v>
      </x:c>
      <x:c r="F96" s="28" t="n">
        <x:f aca="0">F91+F92+F93+F94+F95</x:f>
        <x:v>3162.5430000000006</x:v>
      </x:c>
      <x:c r="G96" s="28" t="n">
        <x:f aca="0">G91+G92+G93+G94+G95</x:f>
        <x:v>2838.9100000000017</x:v>
      </x:c>
      <x:c r="H96" s="28" t="n">
        <x:f aca="0">H91+H92+H93+H94+H95</x:f>
        <x:v>13004.612</x:v>
      </x:c>
      <x:c r="I96" s="9" t="s">
        <x:v>111</x:v>
      </x:c>
    </x:row>
    <x:row r="97" ht="15" hidden="0">
      <x:c r="A97" s="193" t="s">
        <x:v>250</x:v>
      </x:c>
      <x:c r="B97" s="195" t="s">
        <x:v>514</x:v>
      </x:c>
      <x:c r="C97" s="30"/>
      <x:c r="D97" s="26" t="n">
        <x:v>0</x:v>
      </x:c>
      <x:c r="E97" s="26" t="n">
        <x:v>0</x:v>
      </x:c>
      <x:c r="F97" s="26" t="n">
        <x:v>-364.054</x:v>
      </x:c>
      <x:c r="G97" s="26" t="n">
        <x:v>-520.848</x:v>
      </x:c>
      <x:c r="H97" s="26" t="n">
        <x:v>-577.125</x:v>
      </x:c>
      <x:c r="I97" s="9" t="s">
        <x:v>111</x:v>
      </x:c>
    </x:row>
    <x:row r="98" ht="15" hidden="0">
      <x:c r="A98" s="193" t="s">
        <x:v>252</x:v>
      </x:c>
      <x:c r="B98" s="195" t="s">
        <x:v>515</x:v>
      </x:c>
      <x:c r="C98" s="30"/>
      <x:c r="D98" s="26" t="n">
        <x:v>-1050.132</x:v>
      </x:c>
      <x:c r="E98" s="26" t="n">
        <x:v>-3047.629</x:v>
      </x:c>
      <x:c r="F98" s="26" t="n">
        <x:v>-6434.465</x:v>
      </x:c>
      <x:c r="G98" s="26" t="n">
        <x:v>-1775.666</x:v>
      </x:c>
      <x:c r="H98" s="26" t="n">
        <x:v>-3752.428</x:v>
      </x:c>
      <x:c r="I98" s="9" t="s">
        <x:v>111</x:v>
      </x:c>
    </x:row>
    <x:row r="99" ht="15" hidden="0">
      <x:c r="A99" s="198" t="s">
        <x:v>254</x:v>
      </x:c>
      <x:c r="B99" s="195" t="s">
        <x:v>255</x:v>
      </x:c>
      <x:c r="C99" s="31"/>
      <x:c r="D99" s="28" t="n">
        <x:f aca="0">D96+D97+D98</x:f>
        <x:v>3721.2730000000006</x:v>
      </x:c>
      <x:c r="E99" s="28" t="n">
        <x:f aca="0">E96+E97+E98</x:f>
        <x:v>2972.1319999999987</x:v>
      </x:c>
      <x:c r="F99" s="28" t="n">
        <x:f aca="0">F96+F97+F98</x:f>
        <x:v>-3635.9759999999997</x:v>
      </x:c>
      <x:c r="G99" s="28" t="n">
        <x:f aca="0">G96+G97+G98</x:f>
        <x:v>542.3960000000018</x:v>
      </x:c>
      <x:c r="H99" s="28" t="n">
        <x:f aca="0">H96+H97+H98</x:f>
        <x:v>8675.059</x:v>
      </x:c>
      <x:c r="I99" s="9" t="s">
        <x:v>111</x:v>
      </x:c>
    </x:row>
    <x:row r="100" ht="15" hidden="0">
      <x:c r="A100" s="193" t="s">
        <x:v>256</x:v>
      </x:c>
      <x:c r="B100" s="195" t="s">
        <x:v>516</x:v>
      </x:c>
      <x:c r="C100" s="30"/>
      <x:c r="D100" s="26" t="n">
        <x:v>8071.892</x:v>
      </x:c>
      <x:c r="E100" s="26" t="n">
        <x:v>10428.312</x:v>
      </x:c>
      <x:c r="F100" s="26" t="n">
        <x:v>9555.775</x:v>
      </x:c>
      <x:c r="G100" s="26" t="n">
        <x:v>10528.26</x:v>
      </x:c>
      <x:c r="H100" s="26" t="n">
        <x:v>18505.671</x:v>
      </x:c>
      <x:c r="I100" s="9" t="s">
        <x:v>111</x:v>
      </x:c>
    </x:row>
    <x:row r="101" ht="15" hidden="0">
      <x:c r="A101" s="193" t="s">
        <x:v>258</x:v>
      </x:c>
      <x:c r="B101" s="195" t="s">
        <x:v>517</x:v>
      </x:c>
      <x:c r="C101" s="30"/>
      <x:c r="D101" s="26" t="n">
        <x:v>4771.405</x:v>
      </x:c>
      <x:c r="E101" s="26" t="n">
        <x:v>6019.761</x:v>
      </x:c>
      <x:c r="F101" s="26" t="n">
        <x:v>3162.543</x:v>
      </x:c>
      <x:c r="G101" s="26" t="n">
        <x:v>2838.91</x:v>
      </x:c>
      <x:c r="H101" s="26" t="n">
        <x:v>13004.612</x:v>
      </x:c>
      <x:c r="I101" s="9" t="s">
        <x:v>111</x:v>
      </x:c>
    </x:row>
    <x:row r="102" ht="15" hidden="0">
      <x:c r="A102" s="193" t="s">
        <x:v>260</x:v>
      </x:c>
      <x:c r="B102" s="195" t="s">
        <x:v>518</x:v>
      </x:c>
      <x:c r="C102" s="30"/>
      <x:c r="D102" s="26" t="n">
        <x:v>3721.273</x:v>
      </x:c>
      <x:c r="E102" s="26" t="n">
        <x:v>2972.132</x:v>
      </x:c>
      <x:c r="F102" s="26" t="n">
        <x:v>-3635.976</x:v>
      </x:c>
      <x:c r="G102" s="26" t="n">
        <x:v>542.396</x:v>
      </x:c>
      <x:c r="H102" s="26" t="n">
        <x:v>8675.059</x:v>
      </x:c>
      <x:c r="I102" s="9" t="s">
        <x:v>111</x:v>
      </x:c>
    </x:row>
    <x:row r="103" ht="15" hidden="0">
      <x:c r="A103" s="193" t="s">
        <x:v>262</x:v>
      </x:c>
      <x:c r="B103" s="195" t="s">
        <x:v>220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01" t="s">
        <x:v>263</x:v>
      </x:c>
      <x:c r="B104" s="202"/>
      <x:c r="C104" s="25"/>
      <x:c r="D104" s="25"/>
      <x:c r="E104" s="25"/>
      <x:c r="F104" s="25"/>
      <x:c r="G104" s="25"/>
      <x:c r="H104" s="25"/>
      <x:c r="I104" s="25"/>
      <x:c r="J104" s="25"/>
    </x:row>
    <x:row r="105" ht="15" hidden="0">
      <x:c r="A105" s="193" t="s">
        <x:v>264</x:v>
      </x:c>
      <x:c r="B105" s="195" t="s">
        <x:v>519</x:v>
      </x:c>
      <x:c r="C105" s="30"/>
      <x:c r="D105" s="26" t="n">
        <x:v>34.766</x:v>
      </x:c>
      <x:c r="E105" s="26" t="n">
        <x:v>26.53</x:v>
      </x:c>
      <x:c r="F105" s="26" t="n">
        <x:v>38.493</x:v>
      </x:c>
      <x:c r="G105" s="26" t="n">
        <x:v>76.127</x:v>
      </x:c>
      <x:c r="H105" s="26" t="n">
        <x:v>53.669</x:v>
      </x:c>
      <x:c r="I105" s="9" t="s">
        <x:v>111</x:v>
      </x:c>
    </x:row>
    <x:row r="106" ht="15" hidden="0">
      <x:c r="A106" s="193" t="s">
        <x:v>266</x:v>
      </x:c>
      <x:c r="B106" s="195" t="s">
        <x:v>267</x:v>
      </x:c>
      <x:c r="C106" s="30"/>
      <x:c r="D106" s="27" t="n">
        <x:f aca="0">-D95-D105</x:f>
        <x:v>2886.109</x:v>
      </x:c>
      <x:c r="E106" s="27" t="n">
        <x:f aca="0">-E95-E105</x:f>
        <x:v>3544.6569999999997</x:v>
      </x:c>
      <x:c r="F106" s="27" t="n">
        <x:f aca="0">-F95-F105</x:f>
        <x:v>6703.799</x:v>
      </x:c>
      <x:c r="G106" s="27" t="n">
        <x:f aca="0">-G95-G105</x:f>
        <x:v>7924.977999999999</x:v>
      </x:c>
      <x:c r="H106" s="27" t="n">
        <x:f aca="0">-H95-H105</x:f>
        <x:v>3816.7360000000003</x:v>
      </x:c>
      <x:c r="I106" s="9" t="s">
        <x:v>111</x:v>
      </x:c>
    </x:row>
    <x:row r="107" ht="15" hidden="0">
      <x:c r="A107" s="193" t="s">
        <x:v>268</x:v>
      </x:c>
      <x:c r="B107" s="195" t="s">
        <x:v>520</x:v>
      </x:c>
      <x:c r="C107" s="30"/>
      <x:c r="D107" s="26" t="n">
        <x:v>3580.807</x:v>
      </x:c>
      <x:c r="E107" s="26" t="n">
        <x:v>3913.288</x:v>
      </x:c>
      <x:c r="F107" s="26" t="n">
        <x:v>3944.128</x:v>
      </x:c>
      <x:c r="G107" s="26" t="n">
        <x:v>3853.452</x:v>
      </x:c>
      <x:c r="H107" s="26" t="n">
        <x:v>3832.602</x:v>
      </x:c>
      <x:c r="I107" s="9" t="s">
        <x:v>111</x:v>
      </x:c>
    </x:row>
    <x:row r="108" ht="15" hidden="0">
      <x:c r="A108" s="198" t="s">
        <x:v>270</x:v>
      </x:c>
      <x:c r="B108" s="195" t="s">
        <x:v>271</x:v>
      </x:c>
      <x:c r="C108" s="31"/>
      <x:c r="D108" s="28" t="n">
        <x:f aca="0">D96-D95</x:f>
        <x:v>7692.280000000001</x:v>
      </x:c>
      <x:c r="E108" s="28" t="n">
        <x:f aca="0">E96-E95</x:f>
        <x:v>9590.947999999999</x:v>
      </x:c>
      <x:c r="F108" s="28" t="n">
        <x:f aca="0">F96-F95</x:f>
        <x:v>9904.835000000001</x:v>
      </x:c>
      <x:c r="G108" s="28" t="n">
        <x:f aca="0">G96-G95</x:f>
        <x:v>10840.015000000001</x:v>
      </x:c>
      <x:c r="H108" s="28" t="n">
        <x:f aca="0">H96-H95</x:f>
        <x:v>16875.017</x:v>
      </x:c>
      <x:c r="I108" s="9" t="s">
        <x:v>111</x:v>
      </x:c>
    </x:row>
    <x:row r="109" ht="15" hidden="0">
      <x:c r="A109" s="198" t="s">
        <x:v>272</x:v>
      </x:c>
      <x:c r="B109" s="195" t="s">
        <x:v>273</x:v>
      </x:c>
      <x:c r="C109" s="31"/>
      <x:c r="D109" s="28" t="n">
        <x:f aca="0">D108+D107</x:f>
        <x:v>11273.087</x:v>
      </x:c>
      <x:c r="E109" s="28" t="n">
        <x:f aca="0">E108+E107</x:f>
        <x:v>13504.235999999999</x:v>
      </x:c>
      <x:c r="F109" s="28" t="n">
        <x:f aca="0">F108+F107</x:f>
        <x:v>13848.963000000002</x:v>
      </x:c>
      <x:c r="G109" s="28" t="n">
        <x:f aca="0">G108+G107</x:f>
        <x:v>14693.467</x:v>
      </x:c>
      <x:c r="H109" s="28" t="n">
        <x:f aca="0">H108+H107</x:f>
        <x:v>20707.619</x:v>
      </x:c>
      <x:c r="I109" s="9" t="s">
        <x:v>111</x:v>
      </x:c>
    </x:row>
    <x:row r="110" ht="15" hidden="0">
      <x:c r="A110" s="193" t="s">
        <x:v>274</x:v>
      </x:c>
      <x:c r="B110" s="195" t="s">
        <x:v>275</x:v>
      </x:c>
      <x:c r="C110" s="30"/>
      <x:c r="D110" s="27" t="n">
        <x:f aca="0">-(D97+D98)</x:f>
        <x:v>1050.132</x:v>
      </x:c>
      <x:c r="E110" s="27" t="n">
        <x:f aca="0">-(E97+E98)</x:f>
        <x:v>3047.629</x:v>
      </x:c>
      <x:c r="F110" s="27" t="n">
        <x:f aca="0">-(F97+F98)</x:f>
        <x:v>6798.519</x:v>
      </x:c>
      <x:c r="G110" s="27" t="n">
        <x:f aca="0">-(G97+G98)</x:f>
        <x:v>2296.514</x:v>
      </x:c>
      <x:c r="H110" s="27" t="n">
        <x:f aca="0">-(H97+H98)</x:f>
        <x:v>4329.553</x:v>
      </x:c>
      <x:c r="I110" s="9" t="s">
        <x:v>111</x:v>
      </x:c>
    </x:row>
    <x:row r="111" ht="15" hidden="0">
      <x:c r="A111" s="193" t="s">
        <x:v>276</x:v>
      </x:c>
      <x:c r="B111" s="195" t="s">
        <x:v>277</x:v>
      </x:c>
      <x:c r="C111" s="30"/>
      <x:c r="D111" s="32" t="n">
        <x:f aca="0">IF(D96&lt;=0,"n/m",D110/D96)</x:f>
        <x:v>0.2200886321743805</x:v>
      </x:c>
      <x:c r="E111" s="32" t="n">
        <x:f aca="0">IF(E96&lt;=0,"n/m",E110/E96)</x:f>
        <x:v>0.5062707639057432</x:v>
      </x:c>
      <x:c r="F111" s="32" t="n">
        <x:f aca="0">IF(F96&lt;=0,"n/m",F110/F96)</x:f>
        <x:v>2.1497000989393658</x:v>
      </x:c>
      <x:c r="G111" s="32" t="n">
        <x:f aca="0">IF(G96&lt;=0,"n/m",G110/G96)</x:f>
        <x:v>0.8089421644222602</x:v>
      </x:c>
      <x:c r="H111" s="32" t="n">
        <x:f aca="0">IF(H96&lt;=0,"n/m",H110/H96)</x:f>
        <x:v>0.3329244271186253</x:v>
      </x:c>
      <x:c r="I111" s="9" t="s">
        <x:v>278</x:v>
      </x:c>
    </x:row>
    <x:row r="112" ht="15" hidden="0">
      <x:c r="A112" s="193" t="str">
        <x:v>NOPAT tax rate = actual audited ETR (no cap)</x:v>
      </x:c>
      <x:c r="B112" s="195" t="s">
        <x:v>279</x:v>
      </x:c>
      <x:c r="C112" s="30"/>
      <x:c r="D112" s="32" t="n">
        <x:f aca="0">D111</x:f>
        <x:v>0.2200886321743805</x:v>
      </x:c>
      <x:c r="E112" s="32" t="n">
        <x:f aca="0">E111</x:f>
        <x:v>0.5062707639057432</x:v>
      </x:c>
      <x:c r="F112" s="32" t="n">
        <x:f aca="0">F111</x:f>
        <x:v>2.1497000989393658</x:v>
      </x:c>
      <x:c r="G112" s="32" t="n">
        <x:f aca="0">G111</x:f>
        <x:v>0.8089421644222602</x:v>
      </x:c>
      <x:c r="H112" s="32" t="n">
        <x:f aca="0">H111</x:f>
        <x:v>0.3329244271186253</x:v>
      </x:c>
      <x:c r="I112" s="9" t="s">
        <x:v>278</x:v>
      </x:c>
    </x:row>
    <x:row r="113" ht="15" hidden="0">
      <x:c r="A113" s="193" t="s">
        <x:v>280</x:v>
      </x:c>
      <x:c r="B113" s="195" t="s">
        <x:v>281</x:v>
      </x:c>
      <x:c r="C113" s="30"/>
      <x:c r="D113" s="27" t="n">
        <x:f aca="0">IF(ISNUMBER(D112),D108*(1-D112),"n/m")</x:f>
        <x:v>5999.296616497657</x:v>
      </x:c>
      <x:c r="E113" s="27" t="n">
        <x:f aca="0">IF(ISNUMBER(E112),E108*(1-E112),"n/m")</x:f>
        <x:v>4735.331429459739</x:v>
      </x:c>
      <x:c r="F113" s="27" t="n">
        <x:f aca="0">IF(ISNUMBER(F112),F108*(1-F112),"n/m")</x:f>
        <x:v>-11387.589779478094</x:v>
      </x:c>
      <x:c r="G113" s="27" t="n">
        <x:f aca="0">IF(ISNUMBER(G112),G108*(1-G112),"n/m")</x:f>
        <x:v>2071.0698035302335</x:v>
      </x:c>
      <x:c r="H113" s="27" t="n">
        <x:f aca="0">IF(ISNUMBER(H112),H108*(1-H112),"n/m")</x:f>
        <x:v>11256.911632657935</x:v>
      </x:c>
      <x:c r="I113" s="9" t="s">
        <x:v>111</x:v>
      </x:c>
    </x:row>
    <x:row r="114">
      <x:c r="A114" s="193"/>
      <x:c r="B114" s="193"/>
    </x:row>
    <x:row r="115" ht="15" hidden="0">
      <x:c r="A115" s="196" t="s">
        <x:v>282</x:v>
      </x:c>
      <x:c r="B115" s="197"/>
      <x:c r="C115" s="20"/>
      <x:c r="D115" s="20"/>
      <x:c r="E115" s="20"/>
      <x:c r="F115" s="20"/>
      <x:c r="G115" s="20"/>
      <x:c r="H115" s="20"/>
      <x:c r="I115" s="20"/>
      <x:c r="J115" s="20"/>
    </x:row>
    <x:row r="116" ht="15" hidden="0">
      <x:c r="A116" s="193" t="s">
        <x:v>283</x:v>
      </x:c>
      <x:c r="B116" s="195" t="s">
        <x:v>521</x:v>
      </x:c>
      <x:c r="C116" s="30"/>
      <x:c r="D116" s="26" t="n">
        <x:v>10472.429</x:v>
      </x:c>
      <x:c r="E116" s="26" t="n">
        <x:v>941.866</x:v>
      </x:c>
      <x:c r="F116" s="26" t="n">
        <x:v>13397.298</x:v>
      </x:c>
      <x:c r="G116" s="26" t="n">
        <x:v>13222.675</x:v>
      </x:c>
      <x:c r="H116" s="26" t="n">
        <x:v>15811.428</x:v>
      </x:c>
      <x:c r="I116" s="9" t="s">
        <x:v>111</x:v>
      </x:c>
    </x:row>
    <x:row r="117" ht="15" hidden="0">
      <x:c r="A117" s="193" t="s">
        <x:v>285</x:v>
      </x:c>
      <x:c r="B117" s="195" t="s">
        <x:v>522</x:v>
      </x:c>
      <x:c r="C117" s="30"/>
      <x:c r="D117" s="26" t="n">
        <x:v>6161.19</x:v>
      </x:c>
      <x:c r="E117" s="26" t="n">
        <x:v>-3932.479</x:v>
      </x:c>
      <x:c r="F117" s="26" t="n">
        <x:v>6504.234</x:v>
      </x:c>
      <x:c r="G117" s="26" t="n">
        <x:v>6029.545</x:v>
      </x:c>
      <x:c r="H117" s="26" t="n">
        <x:v>10034.132</x:v>
      </x:c>
      <x:c r="I117" s="9" t="s">
        <x:v>111</x:v>
      </x:c>
    </x:row>
    <x:row r="118" ht="15" hidden="0">
      <x:c r="A118" s="193" t="s">
        <x:v>287</x:v>
      </x:c>
      <x:c r="B118" s="195" t="s">
        <x:v>523</x:v>
      </x:c>
      <x:c r="C118" s="30"/>
      <x:c r="D118" s="26" t="n">
        <x:v>-3125.381</x:v>
      </x:c>
      <x:c r="E118" s="26" t="n">
        <x:v>-3195.727</x:v>
      </x:c>
      <x:c r="F118" s="26" t="n">
        <x:v>-5998.599</x:v>
      </x:c>
      <x:c r="G118" s="26" t="n">
        <x:v>-8460.206</x:v>
      </x:c>
      <x:c r="H118" s="26" t="n">
        <x:v>-4921.199</x:v>
      </x:c>
      <x:c r="I118" s="9" t="s">
        <x:v>111</x:v>
      </x:c>
    </x:row>
    <x:row r="119" ht="15" hidden="0">
      <x:c r="A119" s="193" t="s">
        <x:v>289</x:v>
      </x:c>
      <x:c r="B119" s="195" t="s">
        <x:v>524</x:v>
      </x:c>
      <x:c r="C119" s="30"/>
      <x:c r="D119" s="33" t="s">
        <x:v>291</x:v>
      </x:c>
      <x:c r="E119" s="33" t="s">
        <x:v>291</x:v>
      </x:c>
      <x:c r="F119" s="33" t="s">
        <x:v>291</x:v>
      </x:c>
      <x:c r="G119" s="33" t="s">
        <x:v>291</x:v>
      </x:c>
      <x:c r="H119" s="33" t="s">
        <x:v>291</x:v>
      </x:c>
      <x:c r="I119" s="9" t="s">
        <x:v>292</x:v>
      </x:c>
    </x:row>
    <x:row r="120" ht="15" hidden="0">
      <x:c r="A120" s="193" t="s">
        <x:v>293</x:v>
      </x:c>
      <x:c r="B120" s="195" t="s">
        <x:v>294</x:v>
      </x:c>
      <x:c r="C120" s="30"/>
      <x:c r="D120" s="27" t="n">
        <x:f aca="0">IF(D119="Financing",D117+D118,D117)</x:f>
        <x:v>6161.19</x:v>
      </x:c>
      <x:c r="E120" s="27" t="n">
        <x:f aca="0">IF(E119="Financing",E117+E118,E117)</x:f>
        <x:v>-3932.479</x:v>
      </x:c>
      <x:c r="F120" s="27" t="n">
        <x:f aca="0">IF(F119="Financing",F117+F118,F117)</x:f>
        <x:v>6504.234</x:v>
      </x:c>
      <x:c r="G120" s="27" t="n">
        <x:f aca="0">IF(G119="Financing",G117+G118,G117)</x:f>
        <x:v>6029.545</x:v>
      </x:c>
      <x:c r="H120" s="27" t="n">
        <x:f aca="0">IF(H119="Financing",H117+H118,H117)</x:f>
        <x:v>10034.132</x:v>
      </x:c>
      <x:c r="I120" s="9" t="s">
        <x:v>111</x:v>
      </x:c>
    </x:row>
    <x:row r="121" ht="15" hidden="0">
      <x:c r="A121" s="193" t="s">
        <x:v>295</x:v>
      </x:c>
      <x:c r="B121" s="195" t="s">
        <x:v>525</x:v>
      </x:c>
      <x:c r="C121" s="30"/>
      <x:c r="D121" s="26" t="n">
        <x:v>-5087.104</x:v>
      </x:c>
      <x:c r="E121" s="26" t="n">
        <x:v>-1739.551</x:v>
      </x:c>
      <x:c r="F121" s="26" t="n">
        <x:v>-3418.069</x:v>
      </x:c>
      <x:c r="G121" s="26" t="n">
        <x:v>-1620.798</x:v>
      </x:c>
      <x:c r="H121" s="26" t="n">
        <x:v>-1211.491</x:v>
      </x:c>
      <x:c r="I121" s="9" t="s">
        <x:v>111</x:v>
      </x:c>
    </x:row>
    <x:row r="122" ht="15" hidden="0">
      <x:c r="A122" s="193" t="s">
        <x:v>297</x:v>
      </x:c>
      <x:c r="B122" s="195" t="s">
        <x:v>526</x:v>
      </x:c>
      <x:c r="C122" s="30"/>
      <x:c r="D122" s="26" t="n">
        <x:v>-2962.16</x:v>
      </x:c>
      <x:c r="E122" s="26" t="n">
        <x:v>1461.646</x:v>
      </x:c>
      <x:c r="F122" s="26" t="n">
        <x:v>-1747.152</x:v>
      </x:c>
      <x:c r="G122" s="26" t="n">
        <x:v>2277.223</x:v>
      </x:c>
      <x:c r="H122" s="26" t="n">
        <x:v>3000.535</x:v>
      </x:c>
      <x:c r="I122" s="9" t="s">
        <x:v>111</x:v>
      </x:c>
    </x:row>
    <x:row r="123" ht="15" hidden="0">
      <x:c r="A123" s="193" t="s">
        <x:v>299</x:v>
      </x:c>
      <x:c r="B123" s="195" t="s">
        <x:v>527</x:v>
      </x:c>
      <x:c r="C123" s="30"/>
      <x:c r="D123" s="26" t="n">
        <x:v>2374.853</x:v>
      </x:c>
      <x:c r="E123" s="26" t="n">
        <x:v>-4864.956</x:v>
      </x:c>
      <x:c r="F123" s="26" t="n">
        <x:v>-4883.569</x:v>
      </x:c>
      <x:c r="G123" s="26" t="n">
        <x:v>4051.021</x:v>
      </x:c>
      <x:c r="H123" s="26" t="n">
        <x:v>-9357.687</x:v>
      </x:c>
      <x:c r="I123" s="9" t="s">
        <x:v>111</x:v>
      </x:c>
    </x:row>
    <x:row r="124" ht="15" hidden="0">
      <x:c r="A124" s="193" t="s">
        <x:v>301</x:v>
      </x:c>
      <x:c r="B124" s="195" t="s">
        <x:v>528</x:v>
      </x:c>
      <x:c r="C124" s="30"/>
      <x:c r="D124" s="26" t="n">
        <x:v>-0.32</x:v>
      </x:c>
      <x:c r="E124" s="26" t="n">
        <x:v>-437.124</x:v>
      </x:c>
      <x:c r="F124" s="26" t="n">
        <x:v>-437.927</x:v>
      </x:c>
      <x:c r="G124" s="26" t="n">
        <x:v>-0.502</x:v>
      </x:c>
      <x:c r="H124" s="26" t="n">
        <x:v>-0.048</x:v>
      </x:c>
      <x:c r="I124" s="9" t="s">
        <x:v>111</x:v>
      </x:c>
    </x:row>
    <x:row r="125">
      <x:c r="A125" s="193"/>
      <x:c r="B125" s="193"/>
    </x:row>
    <x:row r="126" ht="15" hidden="0">
      <x:c r="A126" s="196" t="s">
        <x:v>303</x:v>
      </x:c>
      <x:c r="B126" s="197"/>
      <x:c r="C126" s="20"/>
      <x:c r="D126" s="20"/>
      <x:c r="E126" s="20"/>
      <x:c r="F126" s="20"/>
      <x:c r="G126" s="20"/>
      <x:c r="H126" s="20"/>
      <x:c r="I126" s="20"/>
      <x:c r="J126" s="20"/>
    </x:row>
    <x:row r="127" ht="15" hidden="0">
      <x:c r="A127" s="193" t="s">
        <x:v>304</x:v>
      </x:c>
      <x:c r="B127" s="195" t="s">
        <x:v>529</x:v>
      </x:c>
      <x:c r="C127" s="30"/>
      <x:c r="D127" s="34" t="n">
        <x:v>10</x:v>
      </x:c>
      <x:c r="E127" s="34" t="n">
        <x:v>10</x:v>
      </x:c>
      <x:c r="F127" s="34" t="n">
        <x:v>10</x:v>
      </x:c>
      <x:c r="G127" s="34" t="n">
        <x:v>10</x:v>
      </x:c>
      <x:c r="H127" s="34" t="n">
        <x:v>10</x:v>
      </x:c>
      <x:c r="I127" s="9" t="s">
        <x:v>306</x:v>
      </x:c>
    </x:row>
    <x:row r="128" ht="15" hidden="0">
      <x:c r="A128" s="193" t="s">
        <x:v>307</x:v>
      </x:c>
      <x:c r="B128" s="195" t="s">
        <x:v>308</x:v>
      </x:c>
      <x:c r="C128" s="30"/>
      <x:c r="D128" s="35" t="n">
        <x:f aca="0">D39/D127-D135</x:f>
        <x:v>438.1191</x:v>
      </x:c>
      <x:c r="E128" s="35" t="n">
        <x:f aca="0">E39/E127-E135</x:f>
        <x:v>438.1191</x:v>
      </x:c>
      <x:c r="F128" s="35" t="n">
        <x:f aca="0">F39/F127-F135</x:f>
        <x:v>438.1191</x:v>
      </x:c>
      <x:c r="G128" s="35" t="n">
        <x:f aca="0">G39/G127-G135</x:f>
        <x:v>438.1191</x:v>
      </x:c>
      <x:c r="H128" s="35" t="n">
        <x:f aca="0">H39/H127-H135</x:f>
        <x:v>438.1191</x:v>
      </x:c>
      <x:c r="I128" s="9" t="s">
        <x:v>309</x:v>
      </x:c>
    </x:row>
    <x:row r="129" ht="15" hidden="0">
      <x:c r="A129" s="193" t="s">
        <x:v>310</x:v>
      </x:c>
      <x:c r="B129" s="195" t="s">
        <x:v>530</x:v>
      </x:c>
      <x:c r="C129" s="30"/>
      <x:c r="D129" s="36" t="n">
        <x:v>438.119118</x:v>
      </x:c>
      <x:c r="E129" s="36" t="n">
        <x:v>438.119118</x:v>
      </x:c>
      <x:c r="F129" s="36" t="n">
        <x:v>438.119118</x:v>
      </x:c>
      <x:c r="G129" s="36" t="n">
        <x:v>438.119118</x:v>
      </x:c>
      <x:c r="H129" s="36" t="n">
        <x:v>438.119118</x:v>
      </x:c>
      <x:c r="I129" s="9" t="s">
        <x:v>309</x:v>
      </x:c>
    </x:row>
    <x:row r="130" ht="15" hidden="0">
      <x:c r="A130" s="193" t="str">
        <x:v>FY-end share price (Rs; last PSX close)</x:v>
      </x:c>
      <x:c r="B130" s="195" t="s">
        <x:v>531</x:v>
      </x:c>
      <x:c r="C130" s="30"/>
      <x:c r="D130" s="34" t="n">
        <x:v>117.92</x:v>
      </x:c>
      <x:c r="E130" s="34" t="n">
        <x:v>62.5</x:v>
      </x:c>
      <x:c r="F130" s="34" t="n">
        <x:v>51.3</x:v>
      </x:c>
      <x:c r="G130" s="34" t="n">
        <x:v>90.27</x:v>
      </x:c>
      <x:c r="H130" s="34" t="n">
        <x:v>165.56</x:v>
      </x:c>
      <x:c r="I130" s="9" t="s">
        <x:v>306</x:v>
      </x:c>
    </x:row>
    <x:row r="131" ht="15" hidden="0">
      <x:c r="A131" s="193" t="s">
        <x:v>313</x:v>
      </x:c>
      <x:c r="B131" s="195" t="s">
        <x:v>532</x:v>
      </x:c>
      <x:c r="C131" s="30"/>
      <x:c r="D131" s="34" t="n">
        <x:v>1</x:v>
      </x:c>
      <x:c r="E131" s="34" t="n">
        <x:v>1</x:v>
      </x:c>
      <x:c r="F131" s="34" t="n">
        <x:v>0</x:v>
      </x:c>
      <x:c r="G131" s="34" t="n">
        <x:v>0</x:v>
      </x:c>
      <x:c r="H131" s="34" t="n">
        <x:v>2</x:v>
      </x:c>
      <x:c r="I131" s="9" t="s">
        <x:v>306</x:v>
      </x:c>
    </x:row>
    <x:row r="132" ht="15" hidden="0">
      <x:c r="A132" s="193" t="str">
        <x:v>Reported EPS (Rs; own-year report basis)</x:v>
      </x:c>
      <x:c r="B132" s="195" t="s">
        <x:v>533</x:v>
      </x:c>
      <x:c r="C132" s="30"/>
      <x:c r="D132" s="34" t="n">
        <x:v>8.49</x:v>
      </x:c>
      <x:c r="E132" s="34" t="n">
        <x:v>6.78</x:v>
      </x:c>
      <x:c r="F132" s="34" t="n">
        <x:v>-8.3</x:v>
      </x:c>
      <x:c r="G132" s="34" t="n">
        <x:v>1.24</x:v>
      </x:c>
      <x:c r="H132" s="34" t="n">
        <x:v>19.8</x:v>
      </x:c>
      <x:c r="I132" s="9" t="s">
        <x:v>306</x:v>
      </x:c>
    </x:row>
    <x:row r="133" ht="15" hidden="0">
      <x:c r="A133" s="193" t="s">
        <x:v>316</x:v>
      </x:c>
      <x:c r="B133" s="195" t="s">
        <x:v>317</x:v>
      </x:c>
      <x:c r="C133" s="30"/>
      <x:c r="D133" s="27" t="n">
        <x:f aca="0">D130*D128</x:f>
        <x:v>51663.004272</x:v>
      </x:c>
      <x:c r="E133" s="27" t="n">
        <x:f aca="0">E130*E128</x:f>
        <x:v>27382.44375</x:v>
      </x:c>
      <x:c r="F133" s="27" t="n">
        <x:f aca="0">F130*F128</x:f>
        <x:v>22475.50983</x:v>
      </x:c>
      <x:c r="G133" s="27" t="n">
        <x:f aca="0">G130*G128</x:f>
        <x:v>39549.011157</x:v>
      </x:c>
      <x:c r="H133" s="27" t="n">
        <x:f aca="0">H130*H128</x:f>
        <x:v>72534.998196</x:v>
      </x:c>
      <x:c r="I133" s="9" t="s">
        <x:v>111</x:v>
      </x:c>
    </x:row>
    <x:row r="134" ht="15" hidden="0">
      <x:c r="A134" s="193" t="str">
        <x:v>Factor to FY2025 annual-report split basis (memo)</x:v>
      </x:c>
      <x:c r="B134" s="195" t="s">
        <x:v>534</x:v>
      </x:c>
      <x:c r="C134" s="30"/>
      <x:c r="D134" s="34" t="n">
        <x:v>1</x:v>
      </x:c>
      <x:c r="E134" s="34" t="n">
        <x:v>1</x:v>
      </x:c>
      <x:c r="F134" s="34" t="n">
        <x:v>1</x:v>
      </x:c>
      <x:c r="G134" s="34" t="n">
        <x:v>1</x:v>
      </x:c>
      <x:c r="H134" s="34" t="n">
        <x:v>1</x:v>
      </x:c>
      <x:c r="I134" s="9" t="s">
        <x:v>319</x:v>
      </x:c>
    </x:row>
    <x:row r="135">
      <x:c r="A135" s="193" t="str">
        <x:v>Treasury shares excluded (million)</x:v>
      </x:c>
      <x:c r="B135" s="195"/>
      <x:c r="C135" s="30"/>
      <x:c r="D135" s="34" t="n">
        <x:v>0</x:v>
      </x:c>
      <x:c r="E135" s="34" t="n">
        <x:v>0</x:v>
      </x:c>
      <x:c r="F135" s="34" t="n">
        <x:v>0</x:v>
      </x:c>
      <x:c r="G135" s="34" t="n">
        <x:v>0</x:v>
      </x:c>
      <x:c r="H135" s="34" t="n">
        <x:v>0</x:v>
      </x:c>
    </x:row>
    <x:row r="136" ht="15" hidden="0">
      <x:c r="A136" s="196" t="s">
        <x:v>320</x:v>
      </x:c>
      <x:c r="B136" s="197"/>
      <x:c r="C136" s="20"/>
      <x:c r="D136" s="20"/>
      <x:c r="E136" s="20"/>
      <x:c r="F136" s="20"/>
      <x:c r="G136" s="20"/>
      <x:c r="H136" s="20"/>
      <x:c r="I136" s="20"/>
      <x:c r="J136" s="20"/>
    </x:row>
    <x:row r="137" ht="22" hidden="0" customHeight="1">
      <x:c r="A137" s="203" t="str">
        <x:v>Liquidity</x:v>
      </x:c>
      <x:c r="B137" s="204"/>
      <x:c r="C137" s="129"/>
      <x:c r="D137" s="129"/>
      <x:c r="E137" s="129"/>
      <x:c r="F137" s="129"/>
      <x:c r="G137" s="129"/>
      <x:c r="H137" s="129"/>
      <x:c r="I137" s="25"/>
      <x:c r="J137" s="25"/>
    </x:row>
    <x:row r="138" ht="15" hidden="0">
      <x:c r="A138" s="207" t="str">
        <x:v>1. Current ratio</x:v>
      </x:c>
      <x:c r="B138" s="205" t="str">
        <x:v>Current Assets / Current Liabilities</x:v>
      </x:c>
      <x:c r="C138" s="30"/>
      <x:c r="D138" s="121" t="n">
        <x:f>IF(OR((D61)&lt;=0,(D36)&lt;0),"n/m",(D36)/(D61))</x:f>
        <x:v>0.9145250886450902</x:v>
      </x:c>
      <x:c r="E138" s="121" t="n">
        <x:f>IF(OR((E61)&lt;=0,(E36)&lt;0),"n/m",(E36)/(E61))</x:f>
        <x:v>0.8855287714771004</x:v>
      </x:c>
      <x:c r="F138" s="121" t="n">
        <x:f>IF(OR((F61)&lt;=0,(F36)&lt;0),"n/m",(F36)/(F61))</x:f>
        <x:v>0.8017674905738562</x:v>
      </x:c>
      <x:c r="G138" s="121" t="n">
        <x:f>IF(OR((G61)&lt;=0,(G36)&lt;0),"n/m",(G36)/(G61))</x:f>
        <x:v>1.296185931254842</x:v>
      </x:c>
      <x:c r="H138" s="121" t="n">
        <x:f>IF(OR((H61)&lt;=0,(H36)&lt;0),"n/m",(H36)/(H61))</x:f>
        <x:v>1.8489517932979607</x:v>
      </x:c>
      <x:c r="I138" s="9" t="s">
        <x:v>321</x:v>
      </x:c>
    </x:row>
    <x:row r="139" ht="15" hidden="0">
      <x:c r="A139" s="207" t="str">
        <x:v>2. Quick ratio</x:v>
      </x:c>
      <x:c r="B139" s="205" t="str">
        <x:v>(Current Assets - Inventories) / Current Liabilities</x:v>
      </x:c>
      <x:c r="C139" s="30"/>
      <x:c r="D139" s="121" t="n">
        <x:f>IF(OR((D61)&lt;=0,(D36-D65)&lt;0),"n/m",(D36-D65)/(D61))</x:f>
        <x:v>0.527188307782106</x:v>
      </x:c>
      <x:c r="E139" s="121" t="n">
        <x:f>IF(OR((E61)&lt;=0,(E36-E65)&lt;0),"n/m",(E36-E65)/(E61))</x:f>
        <x:v>0.3909339078966533</x:v>
      </x:c>
      <x:c r="F139" s="121" t="n">
        <x:f>IF(OR((F61)&lt;=0,(F36-F65)&lt;0),"n/m",(F36-F65)/(F61))</x:f>
        <x:v>0.3348993616744587</x:v>
      </x:c>
      <x:c r="G139" s="121" t="n">
        <x:f>IF(OR((G61)&lt;=0,(G36-G65)&lt;0),"n/m",(G36-G65)/(G61))</x:f>
        <x:v>0.6677176492302713</x:v>
      </x:c>
      <x:c r="H139" s="121" t="n">
        <x:f>IF(OR((H61)&lt;=0,(H36-H65)&lt;0),"n/m",(H36-H65)/(H61))</x:f>
        <x:v>1.0579587679634685</x:v>
      </x:c>
      <x:c r="I139" s="9" t="s">
        <x:v>321</x:v>
      </x:c>
    </x:row>
    <x:row r="140" ht="15" hidden="0">
      <x:c r="A140" s="207" t="str">
        <x:v>3. Cash ratio</x:v>
      </x:c>
      <x:c r="B140" s="205" t="str">
        <x:v>Cash and Bank / Current Liabilities</x:v>
      </x:c>
      <x:c r="C140" s="30"/>
      <x:c r="D140" s="121" t="n">
        <x:f>IF(OR((D61)&lt;=0,(D34)&lt;0),"n/m",(D34)/(D61))</x:f>
        <x:v>0.020011480184397672</x:v>
      </x:c>
      <x:c r="E140" s="121" t="n">
        <x:f>IF(OR((E61)&lt;=0,(E34)&lt;0),"n/m",(E34)/(E61))</x:f>
        <x:v>0.008913248794490819</x:v>
      </x:c>
      <x:c r="F140" s="121" t="n">
        <x:f>IF(OR((F61)&lt;=0,(F34)&lt;0),"n/m",(F34)/(F61))</x:f>
        <x:v>0.013866688142092815</x:v>
      </x:c>
      <x:c r="G140" s="121" t="n">
        <x:f>IF(OR((G61)&lt;=0,(G34)&lt;0),"n/m",(G34)/(G61))</x:f>
        <x:v>0.022719990993528554</x:v>
      </x:c>
      <x:c r="H140" s="121" t="n">
        <x:f>IF(OR((H61)&lt;=0,(H34)&lt;0),"n/m",(H34)/(H61))</x:f>
        <x:v>0.02195336946739058</x:v>
      </x:c>
      <x:c r="I140" s="9" t="s">
        <x:v>321</x:v>
      </x:c>
    </x:row>
    <x:row r="141" ht="15" hidden="0">
      <x:c r="A141" s="207" t="str">
        <x:v>4. Net working capital (PKR m)</x:v>
      </x:c>
      <x:c r="B141" s="205" t="str">
        <x:v>Current Assets - Current Liabilities</x:v>
      </x:c>
      <x:c r="C141" s="30"/>
      <x:c r="D141" s="122" t="str">
        <x:f>IF(OR((1)&lt;=0,(D36-D61)&lt;0),"n/m",(D36-D61)/(1))</x:f>
        <x:v>n/m</x:v>
      </x:c>
      <x:c r="E141" s="122" t="str">
        <x:f>IF(OR((1)&lt;=0,(E36-E61)&lt;0),"n/m",(E36-E61)/(1))</x:f>
        <x:v>n/m</x:v>
      </x:c>
      <x:c r="F141" s="122" t="str">
        <x:f>IF(OR((1)&lt;=0,(F36-F61)&lt;0),"n/m",(F36-F61)/(1))</x:f>
        <x:v>n/m</x:v>
      </x:c>
      <x:c r="G141" s="122" t="n">
        <x:f>IF(OR((1)&lt;=0,(G36-G61)&lt;0),"n/m",(G36-G61)/(1))</x:f>
        <x:v>9544.803999999993</x:v>
      </x:c>
      <x:c r="H141" s="122" t="n">
        <x:f>IF(OR((1)&lt;=0,(H36-H61)&lt;0),"n/m",(H36-H61)/(1))</x:f>
        <x:v>21997.122</x:v>
      </x:c>
      <x:c r="I141" s="9" t="s">
        <x:v>111</x:v>
      </x:c>
    </x:row>
    <x:row r="142" ht="15" hidden="0">
      <x:c r="A142" s="207" t="str">
        <x:v>5. Net operating working capital (PKR m)</x:v>
      </x:c>
      <x:c r="B142" s="205" t="str">
        <x:v>Operating CA - Operating CL</x:v>
      </x:c>
      <x:c r="C142" s="30"/>
      <x:c r="D142" s="122" t="n">
        <x:f>IF(OR((1)&lt;=0,(D72-D73)&lt;0),"n/m",(D72-D73)/(1))</x:f>
        <x:v>8099.147000000006</x:v>
      </x:c>
      <x:c r="E142" s="122" t="n">
        <x:f>IF(OR((1)&lt;=0,(E72-E73)&lt;0),"n/m",(E72-E73)/(1))</x:f>
        <x:v>17790.203999999998</x:v>
      </x:c>
      <x:c r="F142" s="122" t="n">
        <x:f>IF(OR((1)&lt;=0,(F72-F73)&lt;0),"n/m",(F72-F73)/(1))</x:f>
        <x:v>15215.495000000003</x:v>
      </x:c>
      <x:c r="G142" s="122" t="n">
        <x:f>IF(OR((1)&lt;=0,(G72-G73)&lt;0),"n/m",(G72-G73)/(1))</x:f>
        <x:v>10223.228999999994</x:v>
      </x:c>
      <x:c r="H142" s="122" t="n">
        <x:f>IF(OR((1)&lt;=0,(H72-H73)&lt;0),"n/m",(H72-H73)/(1))</x:f>
        <x:v>9579.732</x:v>
      </x:c>
      <x:c r="I142" s="9" t="s">
        <x:v>111</x:v>
      </x:c>
    </x:row>
    <x:row r="143" ht="22" hidden="0" customHeight="1">
      <x:c r="A143" s="203" t="str">
        <x:v>Asset Management</x:v>
      </x:c>
      <x:c r="B143" s="204"/>
      <x:c r="C143" s="129"/>
      <x:c r="D143" s="129"/>
      <x:c r="E143" s="129"/>
      <x:c r="F143" s="129"/>
      <x:c r="G143" s="129"/>
      <x:c r="H143" s="129"/>
      <x:c r="I143" s="25"/>
      <x:c r="J143" s="25"/>
    </x:row>
    <x:row r="144" ht="15" hidden="0">
      <x:c r="A144" s="207" t="str">
        <x:v>6. Inventory turnover</x:v>
      </x:c>
      <x:c r="B144" s="205" t="str">
        <x:v>COGS / Average Inventory</x:v>
      </x:c>
      <x:c r="C144" s="30"/>
      <x:c r="D144" s="121" t="n">
        <x:f>IF(OR((AVERAGE(C65,D65))&lt;=0,(-D85)&lt;0),"n/m",(-D85)/(AVERAGE(C65,D65)))</x:f>
        <x:v>2.626752753172622</x:v>
      </x:c>
      <x:c r="E144" s="121" t="n">
        <x:f>IF(OR((AVERAGE(D65,E65))&lt;=0,(-E85)&lt;0),"n/m",(-E85)/(AVERAGE(D65,E65)))</x:f>
        <x:v>2.479761249901864</x:v>
      </x:c>
      <x:c r="F144" s="121" t="n">
        <x:f>IF(OR((AVERAGE(E65,F65))&lt;=0,(-F85)&lt;0),"n/m",(-F85)/(AVERAGE(E65,F65)))</x:f>
        <x:v>2.4352964976956684</x:v>
      </x:c>
      <x:c r="G144" s="121" t="n">
        <x:f>IF(OR((AVERAGE(F65,G65))&lt;=0,(-G85)&lt;0),"n/m",(-G85)/(AVERAGE(F65,G65)))</x:f>
        <x:v>2.583201095183174</x:v>
      </x:c>
      <x:c r="H144" s="121" t="n">
        <x:f>IF(OR((AVERAGE(G65,H65))&lt;=0,(-H85)&lt;0),"n/m",(-H85)/(AVERAGE(G65,H65)))</x:f>
        <x:v>2.6203448800361673</x:v>
      </x:c>
      <x:c r="I144" s="9" t="s">
        <x:v>321</x:v>
      </x:c>
    </x:row>
    <x:row r="145" ht="15" hidden="0">
      <x:c r="A145" s="207" t="str">
        <x:v>7. Receivables turnover</x:v>
      </x:c>
      <x:c r="B145" s="205" t="str">
        <x:v>Net Sales / Average Trade Debts</x:v>
      </x:c>
      <x:c r="C145" s="30"/>
      <x:c r="D145" s="121" t="n">
        <x:f>IF(OR((AVERAGE(C32,D32))&lt;=0,(D84)&lt;0),"n/m",(D84)/(AVERAGE(C32,D32)))</x:f>
        <x:v>22.768270883109405</x:v>
      </x:c>
      <x:c r="E145" s="121" t="n">
        <x:f>IF(OR((AVERAGE(D32,E32))&lt;=0,(E84)&lt;0),"n/m",(E84)/(AVERAGE(D32,E32)))</x:f>
        <x:v>36.92232039176783</x:v>
      </x:c>
      <x:c r="F145" s="121" t="n">
        <x:f>IF(OR((AVERAGE(E32,F32))&lt;=0,(F84)&lt;0),"n/m",(F84)/(AVERAGE(E32,F32)))</x:f>
        <x:v>48.836111797909446</x:v>
      </x:c>
      <x:c r="G145" s="121" t="n">
        <x:f>IF(OR((AVERAGE(F32,G32))&lt;=0,(G84)&lt;0),"n/m",(G84)/(AVERAGE(F32,G32)))</x:f>
        <x:v>64.45370786977438</x:v>
      </x:c>
      <x:c r="H145" s="121" t="n">
        <x:f>IF(OR((AVERAGE(G32,H32))&lt;=0,(H84)&lt;0),"n/m",(H84)/(AVERAGE(G32,H32)))</x:f>
        <x:v>61.21607937936548</x:v>
      </x:c>
      <x:c r="I145" s="9" t="s">
        <x:v>321</x:v>
      </x:c>
    </x:row>
    <x:row r="146" ht="15" hidden="0">
      <x:c r="A146" s="207" t="str">
        <x:v>8. Payables turnover</x:v>
      </x:c>
      <x:c r="B146" s="205" t="str">
        <x:v>COGS / Average Trade Creditors</x:v>
      </x:c>
      <x:c r="C146" s="30"/>
      <x:c r="D146" s="121" t="n">
        <x:f>IF(OR((AVERAGE(C51,D51))&lt;=0,(-D85)&lt;0),"n/m",(-D85)/(AVERAGE(C51,D51)))</x:f>
        <x:v>6.330391634867254</x:v>
      </x:c>
      <x:c r="E146" s="121" t="n">
        <x:f>IF(OR((AVERAGE(D51,E51))&lt;=0,(-E85)&lt;0),"n/m",(-E85)/(AVERAGE(D51,E51)))</x:f>
        <x:v>8.467367491855711</x:v>
      </x:c>
      <x:c r="F146" s="121" t="n">
        <x:f>IF(OR((AVERAGE(E51,F51))&lt;=0,(-F85)&lt;0),"n/m",(-F85)/(AVERAGE(E51,F51)))</x:f>
        <x:v>10.657952462664126</x:v>
      </x:c>
      <x:c r="G146" s="121" t="n">
        <x:f>IF(OR((AVERAGE(F51,G51))&lt;=0,(-G85)&lt;0),"n/m",(-G85)/(AVERAGE(F51,G51)))</x:f>
        <x:v>9.58994930634071</x:v>
      </x:c>
      <x:c r="H146" s="121" t="n">
        <x:f>IF(OR((AVERAGE(G51,H51))&lt;=0,(-H85)&lt;0),"n/m",(-H85)/(AVERAGE(G51,H51)))</x:f>
        <x:v>11.93424527818953</x:v>
      </x:c>
      <x:c r="I146" s="9" t="s">
        <x:v>321</x:v>
      </x:c>
    </x:row>
    <x:row r="147" ht="15" hidden="0">
      <x:c r="A147" s="207" t="str">
        <x:v>9. Days inventory outstanding</x:v>
      </x:c>
      <x:c r="B147" s="205" t="str">
        <x:v>365 / Inventory Turnover</x:v>
      </x:c>
      <x:c r="C147" s="30"/>
      <x:c r="D147" s="123" t="n">
        <x:f>IF(OR((-D85)&lt;=0,(365*AVERAGE(C65,D65))&lt;0),"n/m",(365*AVERAGE(C65,D65))/(-D85))</x:f>
        <x:v>138.95483675010863</x:v>
      </x:c>
      <x:c r="E147" s="123" t="n">
        <x:f>IF(OR((-E85)&lt;=0,(365*AVERAGE(D65,E65))&lt;0),"n/m",(365*AVERAGE(D65,E65))/(-E85))</x:f>
        <x:v>147.19158951872677</x:v>
      </x:c>
      <x:c r="F147" s="123" t="n">
        <x:f>IF(OR((-F85)&lt;=0,(365*AVERAGE(E65,F65))&lt;0),"n/m",(365*AVERAGE(E65,F65))/(-F85))</x:f>
        <x:v>149.87908057411946</x:v>
      </x:c>
      <x:c r="G147" s="123" t="n">
        <x:f>IF(OR((-G85)&lt;=0,(365*AVERAGE(F65,G65))&lt;0),"n/m",(365*AVERAGE(F65,G65))/(-G85))</x:f>
        <x:v>141.2975554557505</x:v>
      </x:c>
      <x:c r="H147" s="123" t="n">
        <x:f>IF(OR((-H85)&lt;=0,(365*AVERAGE(G65,H65))&lt;0),"n/m",(365*AVERAGE(G65,H65))/(-H85))</x:f>
        <x:v>139.29464124392746</x:v>
      </x:c>
      <x:c r="I147" s="9" t="s">
        <x:v>322</x:v>
      </x:c>
    </x:row>
    <x:row r="148" ht="15" hidden="0">
      <x:c r="A148" s="207" t="str">
        <x:v>10. Days sales outstanding</x:v>
      </x:c>
      <x:c r="B148" s="205" t="str">
        <x:v>365 / Receivables Turnover</x:v>
      </x:c>
      <x:c r="C148" s="30"/>
      <x:c r="D148" s="123" t="n">
        <x:f>IF(OR((D84)&lt;=0,(365*AVERAGE(C32,D32))&lt;0),"n/m",(365*AVERAGE(C32,D32))/(D84))</x:f>
        <x:v>16.031081230273596</x:v>
      </x:c>
      <x:c r="E148" s="123" t="n">
        <x:f>IF(OR((E84)&lt;=0,(365*AVERAGE(D32,E32))&lt;0),"n/m",(365*AVERAGE(D32,E32))/(E84))</x:f>
        <x:v>9.885619216970449</x:v>
      </x:c>
      <x:c r="F148" s="123" t="n">
        <x:f>IF(OR((F84)&lt;=0,(365*AVERAGE(E32,F32))&lt;0),"n/m",(365*AVERAGE(E32,F32))/(F84))</x:f>
        <x:v>7.4739774843341396</x:v>
      </x:c>
      <x:c r="G148" s="123" t="n">
        <x:f>IF(OR((G84)&lt;=0,(365*AVERAGE(F32,G32))&lt;0),"n/m",(365*AVERAGE(F32,G32))/(G84))</x:f>
        <x:v>5.662979090938646</x:v>
      </x:c>
      <x:c r="H148" s="123" t="n">
        <x:f>IF(OR((H84)&lt;=0,(365*AVERAGE(G32,H32))&lt;0),"n/m",(365*AVERAGE(G32,H32))/(H84))</x:f>
        <x:v>5.962485734149008</x:v>
      </x:c>
      <x:c r="I148" s="9" t="s">
        <x:v>322</x:v>
      </x:c>
    </x:row>
    <x:row r="149" ht="15" hidden="0">
      <x:c r="A149" s="207" t="str">
        <x:v>11. Days payables outstanding</x:v>
      </x:c>
      <x:c r="B149" s="205" t="str">
        <x:v>365 / Payables Turnover</x:v>
      </x:c>
      <x:c r="C149" s="30"/>
      <x:c r="D149" s="123" t="n">
        <x:f>IF(OR((-D85)&lt;=0,(365*AVERAGE(C51,D51))&lt;0),"n/m",(365*AVERAGE(C51,D51))/(-D85))</x:f>
        <x:v>57.65836002777637</x:v>
      </x:c>
      <x:c r="E149" s="123" t="n">
        <x:f>IF(OR((-E85)&lt;=0,(365*AVERAGE(D51,E51))&lt;0),"n/m",(365*AVERAGE(D51,E51))/(-E85))</x:f>
        <x:v>43.106668082030595</x:v>
      </x:c>
      <x:c r="F149" s="123" t="n">
        <x:f>IF(OR((-F85)&lt;=0,(365*AVERAGE(E51,F51))&lt;0),"n/m",(365*AVERAGE(E51,F51))/(-F85))</x:f>
        <x:v>34.24672809140701</x:v>
      </x:c>
      <x:c r="G149" s="123" t="n">
        <x:f>IF(OR((-G85)&lt;=0,(365*AVERAGE(F51,G51))&lt;0),"n/m",(365*AVERAGE(F51,G51))/(-G85))</x:f>
        <x:v>38.06068085872657</x:v>
      </x:c>
      <x:c r="H149" s="123" t="n">
        <x:f>IF(OR((-H85)&lt;=0,(365*AVERAGE(G51,H51))&lt;0),"n/m",(365*AVERAGE(G51,H51))/(-H85))</x:f>
        <x:v>30.58425493123197</x:v>
      </x:c>
      <x:c r="I149" s="9" t="s">
        <x:v>322</x:v>
      </x:c>
    </x:row>
    <x:row r="150" ht="15" hidden="0">
      <x:c r="A150" s="207" t="str">
        <x:v>12. Operating cycle (days)</x:v>
      </x:c>
      <x:c r="B150" s="205" t="str">
        <x:v>DIO + DSO</x:v>
      </x:c>
      <x:c r="C150" s="30"/>
      <x:c r="D150" s="123" t="n">
        <x:f>IF(OR((1)&lt;=0,(365*AVERAGE(C65,D65)/(-D85)+365*AVERAGE(C32,D32)/D84)&lt;0),"n/m",(365*AVERAGE(C65,D65)/(-D85)+365*AVERAGE(C32,D32)/D84)/(1))</x:f>
        <x:v>154.98591798038223</x:v>
      </x:c>
      <x:c r="E150" s="123" t="n">
        <x:f>IF(OR((1)&lt;=0,(365*AVERAGE(D65,E65)/(-E85)+365*AVERAGE(D32,E32)/E84)&lt;0),"n/m",(365*AVERAGE(D65,E65)/(-E85)+365*AVERAGE(D32,E32)/E84)/(1))</x:f>
        <x:v>157.0772087356972</x:v>
      </x:c>
      <x:c r="F150" s="123" t="n">
        <x:f>IF(OR((1)&lt;=0,(365*AVERAGE(E65,F65)/(-F85)+365*AVERAGE(E32,F32)/F84)&lt;0),"n/m",(365*AVERAGE(E65,F65)/(-F85)+365*AVERAGE(E32,F32)/F84)/(1))</x:f>
        <x:v>157.3530580584536</x:v>
      </x:c>
      <x:c r="G150" s="123" t="n">
        <x:f>IF(OR((1)&lt;=0,(365*AVERAGE(F65,G65)/(-G85)+365*AVERAGE(F32,G32)/G84)&lt;0),"n/m",(365*AVERAGE(F65,G65)/(-G85)+365*AVERAGE(F32,G32)/G84)/(1))</x:f>
        <x:v>146.96053454668916</x:v>
      </x:c>
      <x:c r="H150" s="123" t="n">
        <x:f>IF(OR((1)&lt;=0,(365*AVERAGE(G65,H65)/(-H85)+365*AVERAGE(G32,H32)/H84)&lt;0),"n/m",(365*AVERAGE(G65,H65)/(-H85)+365*AVERAGE(G32,H32)/H84)/(1))</x:f>
        <x:v>145.25712697807646</x:v>
      </x:c>
      <x:c r="I150" s="9" t="s">
        <x:v>322</x:v>
      </x:c>
    </x:row>
    <x:row r="151" ht="15" hidden="0">
      <x:c r="A151" s="207" t="str">
        <x:v>13. Cash conversion cycle (days)</x:v>
      </x:c>
      <x:c r="B151" s="205" t="str">
        <x:v>DIO + DSO - DPO</x:v>
      </x:c>
      <x:c r="C151" s="30"/>
      <x:c r="D151" s="123" t="n">
        <x:f>IF(OR((1)&lt;=0,(365*AVERAGE(C65,D65)/(-D85)+365*AVERAGE(C32,D32)/D84-365*AVERAGE(C51,D51)/(-D85))&lt;0),"n/m",(365*AVERAGE(C65,D65)/(-D85)+365*AVERAGE(C32,D32)/D84-365*AVERAGE(C51,D51)/(-D85))/(1))</x:f>
        <x:v>97.32755795260586</x:v>
      </x:c>
      <x:c r="E151" s="123" t="n">
        <x:f>IF(OR((1)&lt;=0,(365*AVERAGE(D65,E65)/(-E85)+365*AVERAGE(D32,E32)/E84-365*AVERAGE(D51,E51)/(-E85))&lt;0),"n/m",(365*AVERAGE(D65,E65)/(-E85)+365*AVERAGE(D32,E32)/E84-365*AVERAGE(D51,E51)/(-E85))/(1))</x:f>
        <x:v>113.97054065366662</x:v>
      </x:c>
      <x:c r="F151" s="123" t="n">
        <x:f>IF(OR((1)&lt;=0,(365*AVERAGE(E65,F65)/(-F85)+365*AVERAGE(E32,F32)/F84-365*AVERAGE(E51,F51)/(-F85))&lt;0),"n/m",(365*AVERAGE(E65,F65)/(-F85)+365*AVERAGE(E32,F32)/F84-365*AVERAGE(E51,F51)/(-F85))/(1))</x:f>
        <x:v>123.10632996704659</x:v>
      </x:c>
      <x:c r="G151" s="123" t="n">
        <x:f>IF(OR((1)&lt;=0,(365*AVERAGE(F65,G65)/(-G85)+365*AVERAGE(F32,G32)/G84-365*AVERAGE(F51,G51)/(-G85))&lt;0),"n/m",(365*AVERAGE(F65,G65)/(-G85)+365*AVERAGE(F32,G32)/G84-365*AVERAGE(F51,G51)/(-G85))/(1))</x:f>
        <x:v>108.89985368796259</x:v>
      </x:c>
      <x:c r="H151" s="123" t="n">
        <x:f>IF(OR((1)&lt;=0,(365*AVERAGE(G65,H65)/(-H85)+365*AVERAGE(G32,H32)/H84-365*AVERAGE(G51,H51)/(-H85))&lt;0),"n/m",(365*AVERAGE(G65,H65)/(-H85)+365*AVERAGE(G32,H32)/H84-365*AVERAGE(G51,H51)/(-H85))/(1))</x:f>
        <x:v>114.67287204684449</x:v>
      </x:c>
      <x:c r="I151" s="9" t="s">
        <x:v>322</x:v>
      </x:c>
    </x:row>
    <x:row r="152" ht="15" hidden="0">
      <x:c r="A152" s="207" t="str">
        <x:v>14. Total asset turnover</x:v>
      </x:c>
      <x:c r="B152" s="205" t="str">
        <x:v>Net Sales / Average Total Assets</x:v>
      </x:c>
      <x:c r="C152" s="30"/>
      <x:c r="D152" s="121" t="n">
        <x:f>IF(OR((AVERAGE(C37,D37))&lt;=0,(D84)&lt;0),"n/m",(D84)/(AVERAGE(C37,D37)))</x:f>
        <x:v>0.337321560534536</x:v>
      </x:c>
      <x:c r="E152" s="121" t="n">
        <x:f>IF(OR((AVERAGE(D37,E37))&lt;=0,(E84)&lt;0),"n/m",(E84)/(AVERAGE(D37,E37)))</x:f>
        <x:v>0.42297281053904634</x:v>
      </x:c>
      <x:c r="F152" s="121" t="n">
        <x:f>IF(OR((AVERAGE(E37,F37))&lt;=0,(F84)&lt;0),"n/m",(F84)/(AVERAGE(E37,F37)))</x:f>
        <x:v>0.47909875248597583</x:v>
      </x:c>
      <x:c r="G152" s="121" t="n">
        <x:f>IF(OR((AVERAGE(F37,G37))&lt;=0,(G84)&lt;0),"n/m",(G84)/(AVERAGE(F37,G37)))</x:f>
        <x:v>0.48362452491954855</x:v>
      </x:c>
      <x:c r="H152" s="121" t="n">
        <x:f>IF(OR((AVERAGE(G37,H37))&lt;=0,(H84)&lt;0),"n/m",(H84)/(AVERAGE(G37,H37)))</x:f>
        <x:v>0.5057355687914292</x:v>
      </x:c>
      <x:c r="I152" s="9" t="s">
        <x:v>321</x:v>
      </x:c>
    </x:row>
    <x:row r="153" ht="15" hidden="0">
      <x:c r="A153" s="207" t="str">
        <x:v>15. Fixed asset turnover</x:v>
      </x:c>
      <x:c r="B153" s="205" t="str">
        <x:v>Net Sales / Average Operating Fixed Assets</x:v>
      </x:c>
      <x:c r="C153" s="30"/>
      <x:c r="D153" s="121" t="n">
        <x:f>IF(OR((AVERAGE(C22,D22))&lt;=0,(D84)&lt;0),"n/m",(D84)/(AVERAGE(C22,D22)))</x:f>
        <x:v>0.5840225528925309</x:v>
      </x:c>
      <x:c r="E153" s="121" t="n">
        <x:f>IF(OR((AVERAGE(D22,E22))&lt;=0,(E84)&lt;0),"n/m",(E84)/(AVERAGE(D22,E22)))</x:f>
        <x:v>0.7284023454374957</x:v>
      </x:c>
      <x:c r="F153" s="121" t="n">
        <x:f>IF(OR((AVERAGE(E22,F22))&lt;=0,(F84)&lt;0),"n/m",(F84)/(AVERAGE(E22,F22)))</x:f>
        <x:v>0.8006952973031204</x:v>
      </x:c>
      <x:c r="G153" s="121" t="n">
        <x:f>IF(OR((AVERAGE(F22,G22))&lt;=0,(G84)&lt;0),"n/m",(G84)/(AVERAGE(F22,G22)))</x:f>
        <x:v>0.8318493605276719</x:v>
      </x:c>
      <x:c r="H153" s="121" t="n">
        <x:f>IF(OR((AVERAGE(G22,H22))&lt;=0,(H84)&lt;0),"n/m",(H84)/(AVERAGE(G22,H22)))</x:f>
        <x:v>0.9277030351499571</x:v>
      </x:c>
      <x:c r="I153" s="9" t="s">
        <x:v>321</x:v>
      </x:c>
    </x:row>
    <x:row r="154" ht="22" hidden="0" customHeight="1">
      <x:c r="A154" s="203" t="str">
        <x:v>Debt Management</x:v>
      </x:c>
      <x:c r="B154" s="204"/>
      <x:c r="C154" s="129"/>
      <x:c r="D154" s="129"/>
      <x:c r="E154" s="129"/>
      <x:c r="F154" s="129"/>
      <x:c r="G154" s="129"/>
      <x:c r="H154" s="129"/>
      <x:c r="I154" s="25"/>
      <x:c r="J154" s="25"/>
    </x:row>
    <x:row r="155" ht="15" hidden="0">
      <x:c r="A155" s="207" t="str">
        <x:v>16. Debt ratio</x:v>
      </x:c>
      <x:c r="B155" s="205" t="str">
        <x:v>Total Liabilities / Total Assets</x:v>
      </x:c>
      <x:c r="C155" s="30"/>
      <x:c r="D155" s="124" t="n">
        <x:f>IF(OR((D37)&lt;=0,(D62)&lt;0),"n/m",(D62)/(D37))</x:f>
        <x:v>0.46714504184305206</x:v>
      </x:c>
      <x:c r="E155" s="124" t="n">
        <x:f>IF(OR((E37)&lt;=0,(E62)&lt;0),"n/m",(E62)/(E37))</x:f>
        <x:v>0.48801207258126744</x:v>
      </x:c>
      <x:c r="F155" s="124" t="n">
        <x:f>IF(OR((F37)&lt;=0,(F62)&lt;0),"n/m",(F62)/(F37))</x:f>
        <x:v>0.5234895224192266</x:v>
      </x:c>
      <x:c r="G155" s="124" t="n">
        <x:f>IF(OR((G37)&lt;=0,(G62)&lt;0),"n/m",(G62)/(G37))</x:f>
        <x:v>0.4519122394636083</x:v>
      </x:c>
      <x:c r="H155" s="124" t="n">
        <x:f>IF(OR((H37)&lt;=0,(H62)&lt;0),"n/m",(H62)/(H37))</x:f>
        <x:v>0.3512559582717703</x:v>
      </x:c>
      <x:c r="I155" s="9" t="s">
        <x:v>278</x:v>
      </x:c>
    </x:row>
    <x:row r="156" ht="15" hidden="0">
      <x:c r="A156" s="207" t="str">
        <x:v>17. Debt-to-equity</x:v>
      </x:c>
      <x:c r="B156" s="205" t="str">
        <x:v>Total Liabilities / Total Equity</x:v>
      </x:c>
      <x:c r="C156" s="30"/>
      <x:c r="D156" s="121" t="n">
        <x:f>IF(OR((D41)&lt;=0,(D62)&lt;0),"n/m",(D62)/(D41))</x:f>
        <x:v>0.8766832975690517</x:v>
      </x:c>
      <x:c r="E156" s="121" t="n">
        <x:f>IF(OR((E41)&lt;=0,(E62)&lt;0),"n/m",(E62)/(E41))</x:f>
        <x:v>0.9531710543286772</x:v>
      </x:c>
      <x:c r="F156" s="121" t="n">
        <x:f>IF(OR((F41)&lt;=0,(F62)&lt;0),"n/m",(F62)/(F41))</x:f>
        <x:v>1.0985897415665749</x:v>
      </x:c>
      <x:c r="G156" s="121" t="n">
        <x:f>IF(OR((G41)&lt;=0,(G62)&lt;0),"n/m",(G62)/(G41))</x:f>
        <x:v>0.8245253260560679</x:v>
      </x:c>
      <x:c r="H156" s="121" t="n">
        <x:f>IF(OR((H41)&lt;=0,(H62)&lt;0),"n/m",(H62)/(H41))</x:f>
        <x:v>0.5414399758278128</x:v>
      </x:c>
      <x:c r="I156" s="9" t="s">
        <x:v>321</x:v>
      </x:c>
    </x:row>
    <x:row r="157" ht="15" hidden="0">
      <x:c r="A157" s="207" t="str">
        <x:v>18. Total debt-to-capital</x:v>
      </x:c>
      <x:c r="B157" s="205" t="str">
        <x:v>Interest-bearing Debt / (IBD + Equity)</x:v>
      </x:c>
      <x:c r="C157" s="30"/>
      <x:c r="D157" s="124" t="n">
        <x:f>IF(OR((D66+D41)&lt;=0,(D66)&lt;0),"n/m",(D66)/(D66+D41))</x:f>
        <x:v>0.37343360902882045</x:v>
      </x:c>
      <x:c r="E157" s="124" t="n">
        <x:f>IF(OR((E66+E41)&lt;=0,(E66)&lt;0),"n/m",(E66)/(E66+E41))</x:f>
        <x:v>0.39929807208366225</x:v>
      </x:c>
      <x:c r="F157" s="124" t="n">
        <x:f>IF(OR((F66+F41)&lt;=0,(F66)&lt;0),"n/m",(F66)/(F66+F41))</x:f>
        <x:v>0.39850127088453147</x:v>
      </x:c>
      <x:c r="G157" s="124" t="n">
        <x:f>IF(OR((G66+G41)&lt;=0,(G66)&lt;0),"n/m",(G66)/(G66+G41))</x:f>
        <x:v>0.31153681009483003</x:v>
      </x:c>
      <x:c r="H157" s="124" t="n">
        <x:f>IF(OR((H66+H41)&lt;=0,(H66)&lt;0),"n/m",(H66)/(H66+H41))</x:f>
        <x:v>0.18792347676351873</x:v>
      </x:c>
      <x:c r="I157" s="9" t="s">
        <x:v>278</x:v>
      </x:c>
    </x:row>
    <x:row r="158" ht="15" hidden="0">
      <x:c r="A158" s="207" t="str">
        <x:v>19. Long-term debt ratio</x:v>
      </x:c>
      <x:c r="B158" s="205" t="str">
        <x:v>Long-term IBD / Total Assets</x:v>
      </x:c>
      <x:c r="C158" s="30"/>
      <x:c r="D158" s="124" t="n">
        <x:f>IF(OR((D37)&lt;=0,(D67)&lt;0),"n/m",(D67)/(D37))</x:f>
        <x:v>0.13996233662270563</x:v>
      </x:c>
      <x:c r="E158" s="124" t="n">
        <x:f>IF(OR((E37)&lt;=0,(E67)&lt;0),"n/m",(E67)/(E37))</x:f>
        <x:v>0.10374941529310935</x:v>
      </x:c>
      <x:c r="F158" s="124" t="n">
        <x:f>IF(OR((F37)&lt;=0,(F67)&lt;0),"n/m",(F67)/(F37))</x:f>
        <x:v>0.07173473071922083</x:v>
      </x:c>
      <x:c r="G158" s="124" t="n">
        <x:f>IF(OR((G37)&lt;=0,(G67)&lt;0),"n/m",(G67)/(G37))</x:f>
        <x:v>0.11536675950040348</x:v>
      </x:c>
      <x:c r="H158" s="124" t="n">
        <x:f>IF(OR((H37)&lt;=0,(H67)&lt;0),"n/m",(H67)/(H37))</x:f>
        <x:v>0.06917171092245233</x:v>
      </x:c>
      <x:c r="I158" s="9" t="s">
        <x:v>278</x:v>
      </x:c>
    </x:row>
    <x:row r="159" ht="15" hidden="0">
      <x:c r="A159" s="207" t="str">
        <x:v>20. Times interest earned</x:v>
      </x:c>
      <x:c r="B159" s="205" t="str">
        <x:v>EBIT / Interest Expense</x:v>
      </x:c>
      <x:c r="C159" s="30"/>
      <x:c r="D159" s="121" t="n">
        <x:f>IF(OR((D106)&lt;=0,(D108)&lt;0),"n/m",(D108)/(D106))</x:f>
        <x:v>2.665277021761826</x:v>
      </x:c>
      <x:c r="E159" s="121" t="n">
        <x:f>IF(OR((E106)&lt;=0,(E108)&lt;0),"n/m",(E108)/(E106))</x:f>
        <x:v>2.7057478339935286</x:v>
      </x:c>
      <x:c r="F159" s="121" t="n">
        <x:f>IF(OR((F106)&lt;=0,(F108)&lt;0),"n/m",(F108)/(F106))</x:f>
        <x:v>1.4774958199074884</x:v>
      </x:c>
      <x:c r="G159" s="121" t="n">
        <x:f>IF(OR((G106)&lt;=0,(G108)&lt;0),"n/m",(G108)/(G106))</x:f>
        <x:v>1.367829033720977</x:v>
      </x:c>
      <x:c r="H159" s="121" t="n">
        <x:f>IF(OR((H106)&lt;=0,(H108)&lt;0),"n/m",(H108)/(H106))</x:f>
        <x:v>4.421321516604763</x:v>
      </x:c>
      <x:c r="I159" s="9" t="s">
        <x:v>321</x:v>
      </x:c>
    </x:row>
    <x:row r="160" ht="22" hidden="0" customHeight="1">
      <x:c r="A160" s="204" t="str">
        <x:v>Profitability</x:v>
      </x:c>
      <x:c r="B160" s="203" t="s">
        <x:v>323</x:v>
      </x:c>
      <x:c r="C160" s="129"/>
      <x:c r="D160" s="132" t="n">
        <x:f aca="0">IF(D109&lt;=0,"n/m",D68/D109)</x:f>
        <x:v>0</x:v>
      </x:c>
      <x:c r="E160" s="132" t="n">
        <x:f aca="0">IF(E109&lt;=0,"n/m",E68/E109)</x:f>
        <x:v>0</x:v>
      </x:c>
      <x:c r="F160" s="132" t="n">
        <x:f aca="0">IF(F109&lt;=0,"n/m",F68/F109)</x:f>
        <x:v>0</x:v>
      </x:c>
      <x:c r="G160" s="132" t="n">
        <x:f aca="0">IF(G109&lt;=0,"n/m",G68/G109)</x:f>
        <x:v>0</x:v>
      </x:c>
      <x:c r="H160" s="132" t="n">
        <x:f aca="0">IF(H109&lt;=0,"n/m",H68/H109)</x:f>
        <x:v>0</x:v>
      </x:c>
      <x:c r="I160" s="9" t="s">
        <x:v>321</x:v>
      </x:c>
    </x:row>
    <x:row r="161" ht="15" hidden="0">
      <x:c r="A161" s="207" t="str">
        <x:v>21. Gross profit margin</x:v>
      </x:c>
      <x:c r="B161" s="205" t="str">
        <x:v>Gross Profit / Net Sales</x:v>
      </x:c>
      <x:c r="C161" s="30"/>
      <x:c r="D161" s="124" t="n">
        <x:f>IF(OR((D84)&lt;=0,(D86)&lt;0),"n/m",(D86)/(D84))</x:f>
        <x:v>0.1789471373949763</x:v>
      </x:c>
      <x:c r="E161" s="124" t="n">
        <x:f>IF(OR((E84)&lt;=0,(E86)&lt;0),"n/m",(E86)/(E84))</x:f>
        <x:v>0.1796626113599641</x:v>
      </x:c>
      <x:c r="F161" s="124" t="n">
        <x:f>IF(OR((F84)&lt;=0,(F86)&lt;0),"n/m",(F86)/(F84))</x:f>
        <x:v>0.147048524585835</x:v>
      </x:c>
      <x:c r="G161" s="124" t="n">
        <x:f>IF(OR((G84)&lt;=0,(G86)&lt;0),"n/m",(G86)/(G84))</x:f>
        <x:v>0.1594256360843263</x:v>
      </x:c>
      <x:c r="H161" s="124" t="n">
        <x:f>IF(OR((H84)&lt;=0,(H86)&lt;0),"n/m",(H86)/(H84))</x:f>
        <x:v>0.25740632547300923</x:v>
      </x:c>
      <x:c r="I161" s="25"/>
      <x:c r="J161" s="25"/>
    </x:row>
    <x:row r="162" ht="15" hidden="0">
      <x:c r="A162" s="207" t="str">
        <x:v>22. Operating margin</x:v>
      </x:c>
      <x:c r="B162" s="205" t="str">
        <x:v>Operating Profit / Net Sales</x:v>
      </x:c>
      <x:c r="C162" s="30"/>
      <x:c r="D162" s="124" t="n">
        <x:f>IF(OR((D84)&lt;=0,(D91)&lt;0),"n/m",(D91)/(D84))</x:f>
        <x:v>0.11451399971933833</x:v>
      </x:c>
      <x:c r="E162" s="124" t="n">
        <x:f>IF(OR((E84)&lt;=0,(E91)&lt;0),"n/m",(E91)/(E84))</x:f>
        <x:v>0.11847261096319517</x:v>
      </x:c>
      <x:c r="F162" s="124" t="n">
        <x:f>IF(OR((F84)&lt;=0,(F91)&lt;0),"n/m",(F91)/(F84))</x:f>
        <x:v>0.10245374767974941</x:v>
      </x:c>
      <x:c r="G162" s="124" t="n">
        <x:f>IF(OR((G84)&lt;=0,(G91)&lt;0),"n/m",(G91)/(G84))</x:f>
        <x:v>0.1000204289337119</x:v>
      </x:c>
      <x:c r="H162" s="124" t="n">
        <x:f>IF(OR((H84)&lt;=0,(H91)&lt;0),"n/m",(H91)/(H84))</x:f>
        <x:v>0.17530880023555062</x:v>
      </x:c>
      <x:c r="I162" s="9" t="s">
        <x:v>278</x:v>
      </x:c>
    </x:row>
    <x:row r="163" ht="15" hidden="0">
      <x:c r="A163" s="207" t="str">
        <x:v>23. Net profit margin</x:v>
      </x:c>
      <x:c r="B163" s="205" t="str">
        <x:v>Net Profit / Net Sales</x:v>
      </x:c>
      <x:c r="C163" s="30"/>
      <x:c r="D163" s="124" t="n">
        <x:f>IF(OR((D84)&lt;=0,(D99)&lt;0),"n/m",(D99)/(D84))</x:f>
        <x:v>0.08249752980035112</x:v>
      </x:c>
      <x:c r="E163" s="124" t="n">
        <x:f>IF(OR((E84)&lt;=0,(E99)&lt;0),"n/m",(E99)/(E84))</x:f>
        <x:v>0.05120493100192175</x:v>
      </x:c>
      <x:c r="F163" s="124" t="str">
        <x:f>IF(OR((F84)&lt;=0,(F99)&lt;0),"n/m",(F99)/(F84))</x:f>
        <x:v>n/m</x:v>
      </x:c>
      <x:c r="G163" s="124" t="n">
        <x:f>IF(OR((G84)&lt;=0,(G99)&lt;0),"n/m",(G99)/(G84))</x:f>
        <x:v>0.008213306596683071</x:v>
      </x:c>
      <x:c r="H163" s="124" t="n">
        <x:f>IF(OR((H84)&lt;=0,(H99)&lt;0),"n/m",(H99)/(H84))</x:f>
        <x:v>0.12066652759857006</x:v>
      </x:c>
      <x:c r="I163" s="9" t="s">
        <x:v>278</x:v>
      </x:c>
    </x:row>
    <x:row r="164" ht="15" hidden="0">
      <x:c r="A164" s="207" t="str">
        <x:v>24. Return on assets</x:v>
      </x:c>
      <x:c r="B164" s="205" t="str">
        <x:v>Net Profit / Average Total Assets</x:v>
      </x:c>
      <x:c r="C164" s="30"/>
      <x:c r="D164" s="124" t="n">
        <x:f>IF(OR((AVERAGE(C37,D37))&lt;=0,(D99)&lt;0),"n/m",(D99)/(AVERAGE(C37,D37)))</x:f>
        <x:v>0.02782819549249883</x:v>
      </x:c>
      <x:c r="E164" s="124" t="n">
        <x:f>IF(OR((AVERAGE(D37,E37))&lt;=0,(E99)&lt;0),"n/m",(E99)/(AVERAGE(D37,E37)))</x:f>
        <x:v>0.02165829357934079</x:v>
      </x:c>
      <x:c r="F164" s="124" t="str">
        <x:f>IF(OR((AVERAGE(E37,F37))&lt;=0,(F99)&lt;0),"n/m",(F99)/(AVERAGE(E37,F37)))</x:f>
        <x:v>n/m</x:v>
      </x:c>
      <x:c r="G164" s="124" t="n">
        <x:f>IF(OR((AVERAGE(F37,G37))&lt;=0,(G99)&lt;0),"n/m",(G99)/(AVERAGE(F37,G37)))</x:f>
        <x:v>0.003972156500839445</x:v>
      </x:c>
      <x:c r="H164" s="124" t="n">
        <x:f>IF(OR((AVERAGE(G37,H37))&lt;=0,(H99)&lt;0),"n/m",(H99)/(AVERAGE(G37,H37)))</x:f>
        <x:v>0.06102535496914953</x:v>
      </x:c>
      <x:c r="I164" s="9" t="s">
        <x:v>278</x:v>
      </x:c>
    </x:row>
    <x:row r="165" ht="15" hidden="0">
      <x:c r="A165" s="207" t="str">
        <x:v>25. Return on equity</x:v>
      </x:c>
      <x:c r="B165" s="205" t="str">
        <x:v>Net Profit / Average Equity</x:v>
      </x:c>
      <x:c r="C165" s="30"/>
      <x:c r="D165" s="124" t="n">
        <x:f>IF(OR((AVERAGE(C41,D41))&lt;=0,(D99)&lt;0),"n/m",(D99)/(AVERAGE(C41,D41)))</x:f>
        <x:v>0.05311474576838488</x:v>
      </x:c>
      <x:c r="E165" s="124" t="n">
        <x:f>IF(OR((AVERAGE(D41,E41))&lt;=0,(E99)&lt;0),"n/m",(E99)/(AVERAGE(D41,E41)))</x:f>
        <x:v>0.041453492679972344</x:v>
      </x:c>
      <x:c r="F165" s="124" t="str">
        <x:f>IF(OR((AVERAGE(E41,F41))&lt;=0,(F99)&lt;0),"n/m",(F99)/(AVERAGE(E41,F41)))</x:f>
        <x:v>n/m</x:v>
      </x:c>
      <x:c r="G165" s="124" t="n">
        <x:f>IF(OR((AVERAGE(F41,G41))&lt;=0,(G99)&lt;0),"n/m",(G99)/(AVERAGE(F41,G41)))</x:f>
        <x:v>0.007746311290114197</x:v>
      </x:c>
      <x:c r="H165" s="124" t="n">
        <x:f>IF(OR((AVERAGE(G41,H41))&lt;=0,(H99)&lt;0),"n/m",(H99)/(AVERAGE(G41,H41)))</x:f>
        <x:v>0.10175126160150023</x:v>
      </x:c>
      <x:c r="I165" s="9" t="s">
        <x:v>278</x:v>
      </x:c>
    </x:row>
    <x:row r="166" ht="15" hidden="0">
      <x:c r="A166" s="207" t="str">
        <x:v>26. Return on invested capital</x:v>
      </x:c>
      <x:c r="B166" s="205" t="str">
        <x:v>NOPAT / Average Invested Capital</x:v>
      </x:c>
      <x:c r="C166" s="30"/>
      <x:c r="D166" s="124" t="n">
        <x:f>IF(OR((AVERAGE(C70,D70))&lt;=0,(D113)&lt;0),"n/m",(D113)/(AVERAGE(C70,D70)))</x:f>
        <x:v>0.05185364586076227</x:v>
      </x:c>
      <x:c r="E166" s="124" t="n">
        <x:f>IF(OR((AVERAGE(D70,E70))&lt;=0,(E113)&lt;0),"n/m",(E113)/(AVERAGE(D70,E70)))</x:f>
        <x:v>0.0405309965203835</x:v>
      </x:c>
      <x:c r="F166" s="124" t="str">
        <x:f>IF(OR((AVERAGE(E70,F70))&lt;=0,(F113)&lt;0),"n/m",(F113)/(AVERAGE(E70,F70)))</x:f>
        <x:v>n/m</x:v>
      </x:c>
      <x:c r="G166" s="124" t="n">
        <x:f>IF(OR((AVERAGE(F70,G70))&lt;=0,(G113)&lt;0),"n/m",(G113)/(AVERAGE(F70,G70)))</x:f>
        <x:v>0.01909789097765336</x:v>
      </x:c>
      <x:c r="H166" s="124" t="n">
        <x:f>IF(OR((AVERAGE(G70,H70))&lt;=0,(H113)&lt;0),"n/m",(H113)/(AVERAGE(G70,H70)))</x:f>
        <x:v>0.09929184900187035</x:v>
      </x:c>
      <x:c r="I166" s="9" t="s">
        <x:v>278</x:v>
      </x:c>
    </x:row>
    <x:row r="167" ht="15" hidden="0">
      <x:c r="A167" s="207" t="str">
        <x:v>27. Basic earning power</x:v>
      </x:c>
      <x:c r="B167" s="205" t="str">
        <x:v>EBIT / Average Total Assets</x:v>
      </x:c>
      <x:c r="C167" s="30"/>
      <x:c r="D167" s="124" t="n">
        <x:f>IF(OR((AVERAGE(C37,D37))&lt;=0,(D108)&lt;0),"n/m",(D108)/(AVERAGE(C37,D37)))</x:f>
        <x:v>0.05752393646556941</x:v>
      </x:c>
      <x:c r="E167" s="124" t="n">
        <x:f>IF(OR((AVERAGE(D37,E37))&lt;=0,(E108)&lt;0),"n/m",(E108)/(AVERAGE(D37,E37)))</x:f>
        <x:v>0.06989042461377605</x:v>
      </x:c>
      <x:c r="F167" s="124" t="n">
        <x:f>IF(OR((AVERAGE(E37,F37))&lt;=0,(F108)&lt;0),"n/m",(F108)/(AVERAGE(E37,F37)))</x:f>
        <x:v>0.07302423924994239</x:v>
      </x:c>
      <x:c r="G167" s="124" t="n">
        <x:f>IF(OR((AVERAGE(F37,G37))&lt;=0,(G108)&lt;0),"n/m",(G108)/(AVERAGE(F37,G37)))</x:f>
        <x:v>0.07938523892404618</x:v>
      </x:c>
      <x:c r="H167" s="124" t="n">
        <x:f>IF(OR((AVERAGE(G37,H37))&lt;=0,(H108)&lt;0),"n/m",(H108)/(AVERAGE(G37,H37)))</x:f>
        <x:v>0.11870857622241335</x:v>
      </x:c>
      <x:c r="I167" s="9" t="s">
        <x:v>278</x:v>
      </x:c>
    </x:row>
    <x:row r="168" ht="22" hidden="0" customHeight="1">
      <x:c r="A168" s="204" t="str">
        <x:v>Market Value</x:v>
      </x:c>
      <x:c r="B168" s="203" t="s">
        <x:v>324</x:v>
      </x:c>
      <x:c r="C168" s="129"/>
      <x:c r="D168" s="134" t="n">
        <x:f aca="0">D108/((C37+D37)/2)</x:f>
        <x:v>0.05752393646556941</x:v>
      </x:c>
      <x:c r="E168" s="134" t="n">
        <x:f aca="0">E108/((D37+E37)/2)</x:f>
        <x:v>0.06989042461377605</x:v>
      </x:c>
      <x:c r="F168" s="134" t="n">
        <x:f aca="0">F108/((E37+F37)/2)</x:f>
        <x:v>0.07302423924994239</x:v>
      </x:c>
      <x:c r="G168" s="134" t="n">
        <x:f aca="0">G108/((F37+G37)/2)</x:f>
        <x:v>0.07938523892404618</x:v>
      </x:c>
      <x:c r="H168" s="134" t="n">
        <x:f aca="0">H108/((G37+H37)/2)</x:f>
        <x:v>0.11870857622241335</x:v>
      </x:c>
      <x:c r="I168" s="9" t="s">
        <x:v>278</x:v>
      </x:c>
    </x:row>
    <x:row r="169" ht="15" hidden="0">
      <x:c r="A169" s="207" t="str">
        <x:v>28. Book value per share (Rs)</x:v>
      </x:c>
      <x:c r="B169" s="205" t="str">
        <x:v>Total Equity / Shares Outstanding</x:v>
      </x:c>
      <x:c r="C169" s="30"/>
      <x:c r="D169" s="125" t="n">
        <x:f>IF(OR((D128)&lt;=0,(D41)&lt;0),"n/m",(D41)/(D128))</x:f>
        <x:v>167.71209700741193</x:v>
      </x:c>
      <x:c r="E169" s="125" t="n">
        <x:f>IF(OR((E128)&lt;=0,(E41)&lt;0),"n/m",(E41)/(E128))</x:f>
        <x:v>159.58697532246367</x:v>
      </x:c>
      <x:c r="F169" s="125" t="n">
        <x:f>IF(OR((F128)&lt;=0,(F41)&lt;0),"n/m",(F41)/(F128))</x:f>
        <x:v>146.51786922779672</x:v>
      </x:c>
      <x:c r="G169" s="125" t="n">
        <x:f>IF(OR((G128)&lt;=0,(G41)&lt;0),"n/m",(G41)/(G128))</x:f>
        <x:v>173.12082034314415</x:v>
      </x:c>
      <x:c r="H169" s="125" t="n">
        <x:f>IF(OR((H128)&lt;=0,(H41)&lt;0),"n/m",(H41)/(H128))</x:f>
        <x:v>216.07703932560804</x:v>
      </x:c>
      <x:c r="I169" s="9" t="s">
        <x:v>278</x:v>
      </x:c>
    </x:row>
    <x:row r="170" ht="15" hidden="0">
      <x:c r="A170" s="207" t="str">
        <x:v>29. Market-to-book ratio</x:v>
      </x:c>
      <x:c r="B170" s="205" t="str">
        <x:v>Share Price / BVPS</x:v>
      </x:c>
      <x:c r="C170" s="30"/>
      <x:c r="D170" s="121" t="n">
        <x:f>IF(OR((D41/D128)&lt;=0,(D130)&lt;0),"n/m",(D130)/(D41/D128))</x:f>
        <x:v>0.7031096868032638</x:v>
      </x:c>
      <x:c r="E170" s="121" t="n">
        <x:f>IF(OR((E41/E128)&lt;=0,(E130)&lt;0),"n/m",(E130)/(E41/E128))</x:f>
        <x:v>0.3916359707533251</x:v>
      </x:c>
      <x:c r="F170" s="121" t="n">
        <x:f>IF(OR((F41/F128)&lt;=0,(F130)&lt;0),"n/m",(F130)/(F41/F128))</x:f>
        <x:v>0.35012794187063967</x:v>
      </x:c>
      <x:c r="G170" s="121" t="n">
        <x:f>IF(OR((G41/G128)&lt;=0,(G130)&lt;0),"n/m",(G130)/(G41/G128))</x:f>
        <x:v>0.5214277509838222</x:v>
      </x:c>
      <x:c r="H170" s="121" t="n">
        <x:f>IF(OR((H41/H128)&lt;=0,(H130)&lt;0),"n/m",(H130)/(H41/H128))</x:f>
        <x:v>0.7662082029480072</x:v>
      </x:c>
      <x:c r="I170" s="25"/>
      <x:c r="J170" s="25"/>
    </x:row>
    <x:row r="171" ht="15" hidden="0">
      <x:c r="A171" s="207" t="str">
        <x:v>30. Earnings per share (Rs)</x:v>
      </x:c>
      <x:c r="B171" s="205" t="str">
        <x:v>Net Profit / Weighted Average Shares</x:v>
      </x:c>
      <x:c r="C171" s="30"/>
      <x:c r="D171" s="125" t="n">
        <x:f>IF(OR((D129)&lt;=0,(D99)&lt;0),"n/m",(D99)/(D129))</x:f>
        <x:v>8.493747127465003</x:v>
      </x:c>
      <x:c r="E171" s="125" t="n">
        <x:f>IF(OR((E129)&lt;=0,(E99)&lt;0),"n/m",(E99)/(E129))</x:f>
        <x:v>6.783844570781772</x:v>
      </x:c>
      <x:c r="F171" s="125" t="str">
        <x:f>IF(OR((F129)&lt;=0,(F99)&lt;0),"n/m",(F99)/(F129))</x:f>
        <x:v>n/m</x:v>
      </x:c>
      <x:c r="G171" s="125" t="n">
        <x:f>IF(OR((G129)&lt;=0,(G99)&lt;0),"n/m",(G99)/(G129))</x:f>
        <x:v>1.2380103440270365</x:v>
      </x:c>
      <x:c r="H171" s="125" t="n">
        <x:f>IF(OR((H129)&lt;=0,(H99)&lt;0),"n/m",(H99)/(H129))</x:f>
        <x:v>19.800685803443983</x:v>
      </x:c>
      <x:c r="I171" s="9" t="s">
        <x:v>306</x:v>
      </x:c>
    </x:row>
    <x:row r="172" ht="15" hidden="0">
      <x:c r="A172" s="207" t="str">
        <x:v>31. Price-to-earnings ratio</x:v>
      </x:c>
      <x:c r="B172" s="205" t="str">
        <x:v>Share Price / EPS</x:v>
      </x:c>
      <x:c r="C172" s="30"/>
      <x:c r="D172" s="121" t="n">
        <x:f>IF(OR((D99/D129)&lt;=0,(D130)&lt;0),"n/m",(D130)/(D99/D129))</x:f>
        <x:v>13.883154069739035</x:v>
      </x:c>
      <x:c r="E172" s="121" t="n">
        <x:f>IF(OR((E99/E129)&lt;=0,(E130)&lt;0),"n/m",(E130)/(E99/E129))</x:f>
        <x:v>9.213064855464028</x:v>
      </x:c>
      <x:c r="F172" s="121" t="str">
        <x:f>IF(OR((F99/F129)&lt;=0,(F130)&lt;0),"n/m",(F130)/(F99/F129))</x:f>
        <x:v>n/m</x:v>
      </x:c>
      <x:c r="G172" s="121" t="n">
        <x:f>IF(OR((G99/G129)&lt;=0,(G130)&lt;0),"n/m",(G130)/(G99/G129))</x:f>
        <x:v>72.91538429829842</x:v>
      </x:c>
      <x:c r="H172" s="121" t="n">
        <x:f>IF(OR((H99/H129)&lt;=0,(H130)&lt;0),"n/m",(H130)/(H99/H129))</x:f>
        <x:v>8.361326554214791</x:v>
      </x:c>
      <x:c r="I172" s="9" t="s">
        <x:v>321</x:v>
      </x:c>
    </x:row>
    <x:row r="173" ht="15" hidden="0">
      <x:c r="A173" s="207" t="str">
        <x:v>32. Dividend yield</x:v>
      </x:c>
      <x:c r="B173" s="205" t="str">
        <x:v>DPS / Share Price</x:v>
      </x:c>
      <x:c r="C173" s="30"/>
      <x:c r="D173" s="124" t="n">
        <x:f>IF(OR((D130)&lt;=0,(D131)&lt;0),"n/m",(D131)/(D130))</x:f>
        <x:v>0.008480325644504749</x:v>
      </x:c>
      <x:c r="E173" s="124" t="n">
        <x:f>IF(OR((E130)&lt;=0,(E131)&lt;0),"n/m",(E131)/(E130))</x:f>
        <x:v>0.016</x:v>
      </x:c>
      <x:c r="F173" s="124" t="n">
        <x:f>IF(OR((F130)&lt;=0,(F131)&lt;0),"n/m",(F131)/(F130))</x:f>
        <x:v>0</x:v>
      </x:c>
      <x:c r="G173" s="124" t="n">
        <x:f>IF(OR((G130)&lt;=0,(G131)&lt;0),"n/m",(G131)/(G130))</x:f>
        <x:v>0</x:v>
      </x:c>
      <x:c r="H173" s="124" t="n">
        <x:f>IF(OR((H130)&lt;=0,(H131)&lt;0),"n/m",(H131)/(H130))</x:f>
        <x:v>0.012080212611741966</x:v>
      </x:c>
      <x:c r="I173" s="9" t="s">
        <x:v>306</x:v>
      </x:c>
    </x:row>
    <x:row r="174" ht="15" hidden="0">
      <x:c r="A174" s="207" t="str">
        <x:v>33. Dividend payout ratio</x:v>
      </x:c>
      <x:c r="B174" s="205" t="str">
        <x:v>DPS / EPS</x:v>
      </x:c>
      <x:c r="C174" s="30"/>
      <x:c r="D174" s="124" t="n">
        <x:f>IF(OR((D99/D129)&lt;=0,(D131)&lt;0),"n/m",(D131)/(D99/D129))</x:f>
        <x:v>0.11773366748421842</x:v>
      </x:c>
      <x:c r="E174" s="124" t="n">
        <x:f>IF(OR((E99/E129)&lt;=0,(E131)&lt;0),"n/m",(E131)/(E99/E129))</x:f>
        <x:v>0.14740903768742444</x:v>
      </x:c>
      <x:c r="F174" s="124" t="str">
        <x:f>IF(OR((F99/F129)&lt;=0,(F131)&lt;0),"n/m",(F131)/(F99/F129))</x:f>
        <x:v>n/m</x:v>
      </x:c>
      <x:c r="G174" s="124" t="n">
        <x:f>IF(OR((G99/G129)&lt;=0,(G131)&lt;0),"n/m",(G131)/(G99/G129))</x:f>
        <x:v>0</x:v>
      </x:c>
      <x:c r="H174" s="124" t="n">
        <x:f>IF(OR((H99/H129)&lt;=0,(H131)&lt;0),"n/m",(H131)/(H99/H129))</x:f>
        <x:v>0.10100660249111851</x:v>
      </x:c>
      <x:c r="I174" s="9" t="s">
        <x:v>321</x:v>
      </x:c>
    </x:row>
    <x:row r="175" ht="15" hidden="0">
      <x:c r="A175" s="193"/>
      <x:c r="B175" s="193"/>
      <x:c r="C175"/>
      <x:c r="D175">
        <x:f aca="0"/>
      </x:c>
      <x:c r="E175">
        <x:f aca="0"/>
      </x:c>
      <x:c r="F175">
        <x:f aca="0"/>
      </x:c>
      <x:c r="G175">
        <x:f aca="0"/>
      </x:c>
      <x:c r="H175">
        <x:f aca="0"/>
      </x:c>
      <x:c r="I175" s="9" t="s">
        <x:v>278</x:v>
      </x:c>
    </x:row>
    <x:row r="176" ht="15" hidden="0">
      <x:c r="A176" s="206" t="str">
        <x:v>33 measures: 19 mandatory ratios and 14 additional measures. Ratios use one method across all five companies.</x:v>
      </x:c>
      <x:c r="B176" s="206"/>
      <x:c r="C176" s="135"/>
      <x:c r="D176" s="135">
        <x:f aca="0"/>
      </x:c>
      <x:c r="E176" s="135">
        <x:f aca="0"/>
      </x:c>
      <x:c r="F176" s="135">
        <x:f aca="0"/>
      </x:c>
      <x:c r="G176" s="135">
        <x:f aca="0"/>
      </x:c>
      <x:c r="H176" s="135">
        <x:f aca="0"/>
      </x:c>
      <x:c r="I176" s="9" t="s">
        <x:v>278</x:v>
      </x:c>
    </x:row>
    <x:row r="177" ht="15" hidden="0">
      <x:c r="A177" s="206" t="str">
        <x:v>n/m: negative calculated measures or non-positive denominators. Signed accounting inputs and raw workings are retained in the audit workbook.</x:v>
      </x:c>
      <x:c r="B177" s="206"/>
      <x:c r="C177" s="135"/>
      <x:c r="D177" s="135"/>
      <x:c r="E177" s="135"/>
      <x:c r="F177" s="135"/>
      <x:c r="G177" s="135"/>
      <x:c r="H177" s="135"/>
      <x:c r="I177" s="25"/>
      <x:c r="J177" s="25"/>
    </x:row>
    <x:row r="178" ht="15" hidden="0">
      <x:c r="A178" s="206" t="str">
        <x:v>DIO includes stores and stock; supplier payables include identified related operating suppliers, excluding contractor retentions, taxes and accruals.</x:v>
      </x:c>
      <x:c r="B178" s="206"/>
      <x:c r="C178" s="135"/>
      <x:c r="D178" s="135">
        <x:f aca="0"/>
      </x:c>
      <x:c r="E178" s="135">
        <x:f aca="0"/>
      </x:c>
      <x:c r="F178" s="135">
        <x:f aca="0"/>
      </x:c>
      <x:c r="G178" s="135">
        <x:f aca="0"/>
      </x:c>
      <x:c r="H178" s="135">
        <x:f aca="0"/>
      </x:c>
      <x:c r="I178" s="9" t="s">
        <x:v>321</x:v>
      </x:c>
    </x:row>
    <x:row r="179" ht="15" hidden="0">
      <x:c r="A179" s="193"/>
      <x:c r="B179" s="193"/>
      <x:c r="C179"/>
      <x:c r="D179"/>
      <x:c r="E179"/>
      <x:c r="F179"/>
      <x:c r="G179"/>
      <x:c r="H179"/>
      <x:c r="I179" s="25"/>
      <x:c r="J179" s="25"/>
    </x:row>
    <x:row r="180" ht="15" hidden="0">
      <x:c r="A180" s="193"/>
      <x:c r="B180" s="193"/>
      <x:c r="C180"/>
      <x:c r="D180">
        <x:f aca="0"/>
      </x:c>
      <x:c r="E180">
        <x:f aca="0"/>
      </x:c>
      <x:c r="F180">
        <x:f aca="0"/>
      </x:c>
      <x:c r="G180">
        <x:f aca="0"/>
      </x:c>
      <x:c r="H180">
        <x:f aca="0"/>
      </x:c>
      <x:c r="I180" s="9" t="s">
        <x:v>278</x:v>
      </x:c>
    </x:row>
    <x:row r="181" ht="15" hidden="0">
      <x:c r="A181" s="193"/>
      <x:c r="B181" s="193"/>
      <x:c r="C181"/>
      <x:c r="D181">
        <x:f aca="0"/>
      </x:c>
      <x:c r="E181">
        <x:f aca="0"/>
      </x:c>
      <x:c r="F181">
        <x:f aca="0"/>
      </x:c>
      <x:c r="G181">
        <x:f aca="0"/>
      </x:c>
      <x:c r="H181">
        <x:f aca="0"/>
      </x:c>
      <x:c r="I181" s="9" t="s">
        <x:v>278</x:v>
      </x:c>
    </x:row>
    <x:row r="182" ht="15" hidden="0">
      <x:c r="A182" s="193"/>
      <x:c r="B182" s="193"/>
      <x:c r="C182"/>
      <x:c r="D182">
        <x:f aca="0"/>
      </x:c>
      <x:c r="E182">
        <x:f aca="0"/>
      </x:c>
      <x:c r="F182">
        <x:f aca="0"/>
      </x:c>
      <x:c r="G182">
        <x:f aca="0"/>
      </x:c>
      <x:c r="H182">
        <x:f aca="0"/>
      </x:c>
      <x:c r="I182" s="9" t="s">
        <x:v>321</x:v>
      </x:c>
    </x:row>
    <x:row r="183" ht="15" hidden="0">
      <x:c r="A183" s="201"/>
      <x:c r="B183" s="202"/>
      <x:c r="C183" s="25"/>
      <x:c r="D183" s="25"/>
      <x:c r="E183" s="25"/>
      <x:c r="F183" s="25"/>
      <x:c r="G183" s="25"/>
      <x:c r="H183" s="25"/>
      <x:c r="I183" s="25"/>
      <x:c r="J183" s="25"/>
    </x:row>
    <x:row r="184" ht="15" hidden="0">
      <x:c r="A184" s="193"/>
      <x:c r="B184" s="195"/>
      <x:c r="C184" s="30"/>
      <x:c r="D184" s="37">
        <x:f aca="0"/>
      </x:c>
      <x:c r="E184" s="37">
        <x:f aca="0"/>
      </x:c>
      <x:c r="F184" s="37">
        <x:f aca="0"/>
      </x:c>
      <x:c r="G184" s="37">
        <x:f aca="0"/>
      </x:c>
      <x:c r="H184" s="37">
        <x:f aca="0"/>
      </x:c>
      <x:c r="I184" s="9"/>
    </x:row>
    <x:row r="185" ht="15" hidden="0">
      <x:c r="A185" s="193"/>
      <x:c r="B185" s="195"/>
      <x:c r="C185" s="30"/>
      <x:c r="D185" s="37">
        <x:f aca="0"/>
      </x:c>
      <x:c r="E185" s="37">
        <x:f aca="0"/>
      </x:c>
      <x:c r="F185" s="37">
        <x:f aca="0"/>
      </x:c>
      <x:c r="G185" s="37">
        <x:f aca="0"/>
      </x:c>
      <x:c r="H185" s="37">
        <x:f aca="0"/>
      </x:c>
      <x:c r="I185" s="9"/>
    </x:row>
    <x:row r="186" ht="15" hidden="0">
      <x:c r="A186" s="193"/>
      <x:c r="B186" s="195"/>
      <x:c r="C186" s="30"/>
      <x:c r="D186" s="39">
        <x:f aca="0"/>
      </x:c>
      <x:c r="E186" s="39">
        <x:f aca="0"/>
      </x:c>
      <x:c r="F186" s="39">
        <x:f aca="0"/>
      </x:c>
      <x:c r="G186" s="39">
        <x:f aca="0"/>
      </x:c>
      <x:c r="H186" s="39">
        <x:f aca="0"/>
      </x:c>
      <x:c r="I186" s="9"/>
    </x:row>
    <x:row r="187" ht="15" hidden="0">
      <x:c r="A187" s="193"/>
      <x:c r="B187" s="195"/>
      <x:c r="C187" s="30"/>
      <x:c r="D187" s="37">
        <x:f aca="0"/>
      </x:c>
      <x:c r="E187" s="37">
        <x:f aca="0"/>
      </x:c>
      <x:c r="F187" s="37">
        <x:f aca="0"/>
      </x:c>
      <x:c r="G187" s="37">
        <x:f aca="0"/>
      </x:c>
      <x:c r="H187" s="37">
        <x:f aca="0"/>
      </x:c>
      <x:c r="I187" s="9"/>
    </x:row>
    <x:row r="188" ht="15" hidden="0">
      <x:c r="A188" s="193"/>
      <x:c r="B188" s="195"/>
      <x:c r="C188" s="30"/>
      <x:c r="D188" s="41">
        <x:f aca="0"/>
      </x:c>
      <x:c r="E188" s="41">
        <x:f aca="0"/>
      </x:c>
      <x:c r="F188" s="41">
        <x:f aca="0"/>
      </x:c>
      <x:c r="G188" s="41">
        <x:f aca="0"/>
      </x:c>
      <x:c r="H188" s="41">
        <x:f aca="0"/>
      </x:c>
      <x:c r="I188" s="9"/>
    </x:row>
    <x:row r="189" ht="15" hidden="0">
      <x:c r="A189" s="193"/>
      <x:c r="B189" s="195"/>
      <x:c r="C189" s="30"/>
      <x:c r="D189" s="40">
        <x:f aca="0"/>
      </x:c>
      <x:c r="E189" s="40">
        <x:f aca="0"/>
      </x:c>
      <x:c r="F189" s="40">
        <x:f aca="0"/>
      </x:c>
      <x:c r="G189" s="40">
        <x:f aca="0"/>
      </x:c>
      <x:c r="H189" s="40">
        <x:f aca="0"/>
      </x:c>
      <x:c r="I189" s="9"/>
    </x:row>
    <x:row r="190">
      <x:c r="A190" s="193"/>
      <x:c r="B190" s="193"/>
    </x:row>
    <x:row r="191" ht="15" hidden="0">
      <x:c r="A191" s="196" t="s">
        <x:v>325</x:v>
      </x:c>
      <x:c r="B191" s="197"/>
      <x:c r="C191" s="20"/>
      <x:c r="D191" s="20"/>
      <x:c r="E191" s="20"/>
      <x:c r="F191" s="20"/>
      <x:c r="G191" s="20"/>
      <x:c r="H191" s="20"/>
      <x:c r="I191" s="20"/>
      <x:c r="J191" s="20"/>
    </x:row>
    <x:row r="192" ht="15" hidden="0">
      <x:c r="A192" s="201" t="s">
        <x:v>326</x:v>
      </x:c>
      <x:c r="B192" s="202"/>
      <x:c r="C192" s="25"/>
      <x:c r="D192" s="25"/>
      <x:c r="E192" s="25"/>
      <x:c r="F192" s="25"/>
      <x:c r="G192" s="25"/>
      <x:c r="H192" s="25"/>
      <x:c r="I192" s="25"/>
      <x:c r="J192" s="25"/>
    </x:row>
    <x:row r="193" ht="15" hidden="0">
      <x:c r="A193" s="193" t="s">
        <x:v>327</x:v>
      </x:c>
      <x:c r="B193" s="195" t="s">
        <x:v>328</x:v>
      </x:c>
      <x:c r="C193" s="42" t="n">
        <x:f aca="0">IF(C37=0,"n/m",C22/C37)</x:f>
        <x:v>0.5957400396355014</x:v>
      </x:c>
      <x:c r="D193" s="42" t="n">
        <x:f aca="0">IF(D37=0,"n/m",D22/D37)</x:f>
        <x:v>0.5605247386706973</x:v>
      </x:c>
      <x:c r="E193" s="42" t="n">
        <x:f aca="0">IF(E37=0,"n/m",E22/E37)</x:f>
        <x:v>0.6010433662837117</x:v>
      </x:c>
      <x:c r="F193" s="42" t="n">
        <x:f aca="0">IF(F37=0,"n/m",F22/F37)</x:f>
        <x:v>0.5956265149678589</x:v>
      </x:c>
      <x:c r="G193" s="42" t="n">
        <x:f aca="0">IF(G37=0,"n/m",G22/G37)</x:f>
        <x:v>0.5675209169290648</x:v>
      </x:c>
      <x:c r="H193" s="42" t="n">
        <x:f aca="0">IF(H37=0,"n/m",H22/H37)</x:f>
        <x:v>0.5239311139784286</x:v>
      </x:c>
      <x:c r="I193" s="11" t="s">
        <x:v>278</x:v>
      </x:c>
    </x:row>
    <x:row r="194" ht="15" hidden="0">
      <x:c r="A194" s="193" t="s">
        <x:v>329</x:v>
      </x:c>
      <x:c r="B194" s="195" t="s">
        <x:v>330</x:v>
      </x:c>
      <x:c r="C194" s="42" t="n">
        <x:f aca="0">IF(C37=0,"n/m",C21/C37)</x:f>
        <x:v>0.04907899430970845</x:v>
      </x:c>
      <x:c r="D194" s="42" t="n">
        <x:f aca="0">IF(D37=0,"n/m",D21/D37)</x:f>
        <x:v>0.05603348183868158</x:v>
      </x:c>
      <x:c r="E194" s="42" t="n">
        <x:f aca="0">IF(E37=0,"n/m",E21/E37)</x:f>
        <x:v>0.005302850947283561</x:v>
      </x:c>
      <x:c r="F194" s="42" t="n">
        <x:f aca="0">IF(F37=0,"n/m",F21/F37)</x:f>
        <x:v>0.014897301790364293</x:v>
      </x:c>
      <x:c r="G194" s="42" t="n">
        <x:f aca="0">IF(G37=0,"n/m",G21/G37)</x:f>
        <x:v>0.009690513374664273</x:v>
      </x:c>
      <x:c r="H194" s="42" t="n">
        <x:f aca="0">IF(H37=0,"n/m",H21/H37)</x:f>
        <x:v>0.005470729382271561</x:v>
      </x:c>
      <x:c r="I194" s="11" t="s">
        <x:v>278</x:v>
      </x:c>
    </x:row>
    <x:row r="195" ht="15" hidden="0">
      <x:c r="A195" s="193" t="s">
        <x:v>126</x:v>
      </x:c>
      <x:c r="B195" s="195" t="s">
        <x:v>331</x:v>
      </x:c>
      <x:c r="C195" s="42" t="n">
        <x:f aca="0">IF(C37=0,"n/m",C28/C37)</x:f>
        <x:v>0.7367346727056123</x:v>
      </x:c>
      <x:c r="D195" s="42" t="n">
        <x:f aca="0">IF(D37=0,"n/m",D28/D37)</x:f>
        <x:v>0.7327579319457078</x:v>
      </x:c>
      <x:c r="E195" s="42" t="n">
        <x:f aca="0">IF(E37=0,"n/m",E28/E37)</x:f>
        <x:v>0.7011382440591294</x:v>
      </x:c>
      <x:c r="F195" s="42" t="n">
        <x:f aca="0">IF(F37=0,"n/m",F28/F37)</x:f>
        <x:v>0.710298245783596</x:v>
      </x:c>
      <x:c r="G195" s="42" t="n">
        <x:f aca="0">IF(G37=0,"n/m",G28/G37)</x:f>
        <x:v>0.6981588075893996</x:v>
      </x:c>
      <x:c r="H195" s="42" t="n">
        <x:f aca="0">IF(H37=0,"n/m",H28/H37)</x:f>
        <x:v>0.671692354597576</x:v>
      </x:c>
      <x:c r="I195" s="11" t="s">
        <x:v>278</x:v>
      </x:c>
    </x:row>
    <x:row r="196" ht="15" hidden="0">
      <x:c r="A196" s="193" t="s">
        <x:v>332</x:v>
      </x:c>
      <x:c r="B196" s="195" t="s">
        <x:v>333</x:v>
      </x:c>
      <x:c r="C196" s="42" t="n">
        <x:f aca="0">IF(C37=0,"n/m",C65/C37)</x:f>
        <x:v>0.09718900742618765</x:v>
      </x:c>
      <x:c r="D196" s="42" t="n">
        <x:f aca="0">IF(D37=0,"n/m",D65/D37)</x:f>
        <x:v>0.11318736209268437</x:v>
      </x:c>
      <x:c r="E196" s="42" t="n">
        <x:f aca="0">IF(E37=0,"n/m",E65/E37)</x:f>
        <x:v>0.16692341815435893</x:v>
      </x:c>
      <x:c r="F196" s="42" t="n">
        <x:f aca="0">IF(F37=0,"n/m",F65/F37)</x:f>
        <x:v>0.16869294093363668</x:v>
      </x:c>
      <x:c r="G196" s="42" t="n">
        <x:f aca="0">IF(G37=0,"n/m",G65/G37)</x:f>
        <x:v>0.14635062074380864</x:v>
      </x:c>
      <x:c r="H196" s="42" t="n">
        <x:f aca="0">IF(H37=0,"n/m",H65/H37)</x:f>
        <x:v>0.14045204348681356</x:v>
      </x:c>
      <x:c r="I196" s="11" t="s">
        <x:v>278</x:v>
      </x:c>
    </x:row>
    <x:row r="197" ht="15" hidden="0">
      <x:c r="A197" s="193" t="s">
        <x:v>133</x:v>
      </x:c>
      <x:c r="B197" s="195" t="s">
        <x:v>334</x:v>
      </x:c>
      <x:c r="C197" s="42" t="n">
        <x:f aca="0">IF(C37=0,"n/m",C32/C37)</x:f>
        <x:v>0.017646136092838546</x:v>
      </x:c>
      <x:c r="D197" s="42" t="n">
        <x:f aca="0">IF(D37=0,"n/m",D32/D37)</x:f>
        <x:v>0.012155978703082394</x:v>
      </x:c>
      <x:c r="E197" s="42" t="n">
        <x:f aca="0">IF(E37=0,"n/m",E32/E37)</x:f>
        <x:v>0.010748684555492017</x:v>
      </x:c>
      <x:c r="F197" s="42" t="n">
        <x:f aca="0">IF(F37=0,"n/m",F32/F37)</x:f>
        <x:v>0.008859113446996091</x:v>
      </x:c>
      <x:c r="G197" s="42" t="n">
        <x:f aca="0">IF(G37=0,"n/m",G32/G37)</x:f>
        <x:v>0.00618374345093354</x:v>
      </x:c>
      <x:c r="H197" s="42" t="n">
        <x:f aca="0">IF(H37=0,"n/m",H32/H37)</x:f>
        <x:v>0.010231885060079294</x:v>
      </x:c>
      <x:c r="I197" s="11" t="s">
        <x:v>278</x:v>
      </x:c>
    </x:row>
    <x:row r="198" ht="15" hidden="0">
      <x:c r="A198" s="193" t="s">
        <x:v>135</x:v>
      </x:c>
      <x:c r="B198" s="195" t="s">
        <x:v>335</x:v>
      </x:c>
      <x:c r="C198" s="42" t="n">
        <x:f aca="0">IF(C37=0,"n/m",C33/C37)</x:f>
        <x:v>0.10132174891885111</x:v>
      </x:c>
      <x:c r="D198" s="42" t="n">
        <x:f aca="0">IF(D37=0,"n/m",D33/D37)</x:f>
        <x:v>0.09388893323432154</x:v>
      </x:c>
      <x:c r="E198" s="42" t="n">
        <x:f aca="0">IF(E37=0,"n/m",E33/E37)</x:f>
        <x:v>0.07295162674557236</x:v>
      </x:c>
      <x:c r="F198" s="42" t="n">
        <x:f aca="0">IF(F37=0,"n/m",F33/F37)</x:f>
        <x:v>0.06881949418280697</x:v>
      </x:c>
      <x:c r="G198" s="42" t="n">
        <x:f aca="0">IF(G37=0,"n/m",G33/G37)</x:f>
        <x:v>0.13285241774236387</x:v>
      </x:c>
      <x:c r="H198" s="42" t="n">
        <x:f aca="0">IF(H37=0,"n/m",H33/H37)</x:f>
        <x:v>0.16450386051364257</x:v>
      </x:c>
      <x:c r="I198" s="11" t="s">
        <x:v>278</x:v>
      </x:c>
    </x:row>
    <x:row r="199" ht="15" hidden="0">
      <x:c r="A199" s="193" t="s">
        <x:v>336</x:v>
      </x:c>
      <x:c r="B199" s="195" t="s">
        <x:v>337</x:v>
      </x:c>
      <x:c r="C199" s="42" t="n">
        <x:f aca="0">IF(C37=0,"n/m",C34/C37)</x:f>
        <x:v>0.002684908385569561</x:v>
      </x:c>
      <x:c r="D199" s="42" t="n">
        <x:f aca="0">IF(D37=0,"n/m",D34/D37)</x:f>
        <x:v>0.005847744819367492</x:v>
      </x:c>
      <x:c r="E199" s="42" t="n">
        <x:f aca="0">IF(E37=0,"n/m",E34/E37)</x:f>
        <x:v>0.0030081791486187303</x:v>
      </x:c>
      <x:c r="F199" s="42" t="n">
        <x:f aca="0">IF(F37=0,"n/m",F34/F37)</x:f>
        <x:v>0.005010434979174357</x:v>
      </x:c>
      <x:c r="G199" s="42" t="n">
        <x:f aca="0">IF(G37=0,"n/m",G34/G37)</x:f>
        <x:v>0.0052907758120825064</x:v>
      </x:c>
      <x:c r="H199" s="42" t="n">
        <x:f aca="0">IF(H37=0,"n/m",H34/H37)</x:f>
        <x:v>0.00389813247950212</x:v>
      </x:c>
      <x:c r="I199" s="11" t="s">
        <x:v>278</x:v>
      </x:c>
    </x:row>
    <x:row r="200" ht="15" hidden="0">
      <x:c r="A200" s="193" t="s">
        <x:v>141</x:v>
      </x:c>
      <x:c r="B200" s="195" t="s">
        <x:v>338</x:v>
      </x:c>
      <x:c r="C200" s="42" t="n">
        <x:f aca="0">IF(C37=0,"n/m",C36/C37)</x:f>
        <x:v>0.2632653272943878</x:v>
      </x:c>
      <x:c r="D200" s="42" t="n">
        <x:f aca="0">IF(D37=0,"n/m",D36/D37)</x:f>
        <x:v>0.2672420680542922</x:v>
      </x:c>
      <x:c r="E200" s="42" t="n">
        <x:f aca="0">IF(E37=0,"n/m",E36/E37)</x:f>
        <x:v>0.2988617559408706</x:v>
      </x:c>
      <x:c r="F200" s="42" t="n">
        <x:f aca="0">IF(F37=0,"n/m",F36/F37)</x:f>
        <x:v>0.28970175421640393</x:v>
      </x:c>
      <x:c r="G200" s="42" t="n">
        <x:f aca="0">IF(G37=0,"n/m",G36/G37)</x:f>
        <x:v>0.3018411924106002</x:v>
      </x:c>
      <x:c r="H200" s="42" t="n">
        <x:f aca="0">IF(H37=0,"n/m",H36/H37)</x:f>
        <x:v>0.32830764540242413</x:v>
      </x:c>
      <x:c r="I200" s="11" t="s">
        <x:v>278</x:v>
      </x:c>
    </x:row>
    <x:row r="201" ht="15" hidden="0">
      <x:c r="A201" s="193" t="s">
        <x:v>150</x:v>
      </x:c>
      <x:c r="B201" s="195" t="s">
        <x:v>339</x:v>
      </x:c>
      <x:c r="C201" s="42" t="n">
        <x:f aca="0">IF(C37=0,"n/m",C41/C37)</x:f>
        <x:v>0.5144219828381192</x:v>
      </x:c>
      <x:c r="D201" s="42" t="n">
        <x:f aca="0">IF(D37=0,"n/m",D41/D37)</x:f>
        <x:v>0.5328549581569478</x:v>
      </x:c>
      <x:c r="E201" s="42" t="n">
        <x:f aca="0">IF(E37=0,"n/m",E41/E37)</x:f>
        <x:v>0.5119879274187324</x:v>
      </x:c>
      <x:c r="F201" s="42" t="n">
        <x:f aca="0">IF(F37=0,"n/m",F41/F37)</x:f>
        <x:v>0.47651047758077314</x:v>
      </x:c>
      <x:c r="G201" s="42" t="n">
        <x:f aca="0">IF(G37=0,"n/m",G41/G37)</x:f>
        <x:v>0.5480877605363915</x:v>
      </x:c>
      <x:c r="H201" s="42" t="n">
        <x:f aca="0">IF(H37=0,"n/m",H41/H37)</x:f>
        <x:v>0.6487440417282297</x:v>
      </x:c>
      <x:c r="I201" s="11" t="s">
        <x:v>278</x:v>
      </x:c>
    </x:row>
    <x:row r="202" ht="15" hidden="0">
      <x:c r="A202" s="193" t="s">
        <x:v>340</x:v>
      </x:c>
      <x:c r="B202" s="195" t="s">
        <x:v>341</x:v>
      </x:c>
      <x:c r="C202" s="42" t="n">
        <x:f aca="0">IF(C37=0,"n/m",C67/C37)</x:f>
        <x:v>0.16960046185172922</x:v>
      </x:c>
      <x:c r="D202" s="42" t="n">
        <x:f aca="0">IF(D37=0,"n/m",D67/D37)</x:f>
        <x:v>0.13996233662270563</x:v>
      </x:c>
      <x:c r="E202" s="42" t="n">
        <x:f aca="0">IF(E37=0,"n/m",E67/E37)</x:f>
        <x:v>0.10374941529310935</x:v>
      </x:c>
      <x:c r="F202" s="42" t="n">
        <x:f aca="0">IF(F37=0,"n/m",F67/F37)</x:f>
        <x:v>0.07173473071922083</x:v>
      </x:c>
      <x:c r="G202" s="42" t="n">
        <x:f aca="0">IF(G37=0,"n/m",G67/G37)</x:f>
        <x:v>0.11536675950040348</x:v>
      </x:c>
      <x:c r="H202" s="42" t="n">
        <x:f aca="0">IF(H37=0,"n/m",H67/H37)</x:f>
        <x:v>0.06917171092245233</x:v>
      </x:c>
      <x:c r="I202" s="11" t="s">
        <x:v>278</x:v>
      </x:c>
    </x:row>
    <x:row r="203" ht="15" hidden="0">
      <x:c r="A203" s="193" t="s">
        <x:v>163</x:v>
      </x:c>
      <x:c r="B203" s="195" t="s">
        <x:v>342</x:v>
      </x:c>
      <x:c r="C203" s="42" t="n">
        <x:f aca="0">IF(C37=0,"n/m",C48/C37)</x:f>
        <x:v>0.19515878522905028</x:v>
      </x:c>
      <x:c r="D203" s="42" t="n">
        <x:f aca="0">IF(D37=0,"n/m",D48/D37)</x:f>
        <x:v>0.1749255375643633</x:v>
      </x:c>
      <x:c r="E203" s="42" t="n">
        <x:f aca="0">IF(E37=0,"n/m",E48/E37)</x:f>
        <x:v>0.1505168205158194</x:v>
      </x:c>
      <x:c r="F203" s="42" t="n">
        <x:f aca="0">IF(F37=0,"n/m",F48/F37)</x:f>
        <x:v>0.16216063639885053</x:v>
      </x:c>
      <x:c r="G203" s="42" t="n">
        <x:f aca="0">IF(G37=0,"n/m",G48/G37)</x:f>
        <x:v>0.21904349345092264</x:v>
      </x:c>
      <x:c r="H203" s="42" t="n">
        <x:f aca="0">IF(H37=0,"n/m",H48/H37)</x:f>
        <x:v>0.17369175860336017</x:v>
      </x:c>
      <x:c r="I203" s="11" t="s">
        <x:v>278</x:v>
      </x:c>
    </x:row>
    <x:row r="204" ht="15" hidden="0">
      <x:c r="A204" s="193" t="s">
        <x:v>166</x:v>
      </x:c>
      <x:c r="B204" s="195" t="s">
        <x:v>343</x:v>
      </x:c>
      <x:c r="C204" s="42" t="n">
        <x:f aca="0">IF(C37=0,"n/m",C50/C37)</x:f>
        <x:v>0.08720998239974527</x:v>
      </x:c>
      <x:c r="D204" s="42" t="n">
        <x:f aca="0">IF(D37=0,"n/m",D50/D37)</x:f>
        <x:v>0.10822135531433814</x:v>
      </x:c>
      <x:c r="E204" s="42" t="n">
        <x:f aca="0">IF(E37=0,"n/m",E50/E37)</x:f>
        <x:v>0.09220506291160192</x:v>
      </x:c>
      <x:c r="F204" s="42" t="n">
        <x:f aca="0">IF(F37=0,"n/m",F50/F37)</x:f>
        <x:v>0.10231583449094028</x:v>
      </x:c>
      <x:c r="G204" s="42" t="n">
        <x:f aca="0">IF(G37=0,"n/m",G50/G37)</x:f>
        <x:v>0.0895645298865084</x:v>
      </x:c>
      <x:c r="H204" s="42" t="n">
        <x:f aca="0">IF(H37=0,"n/m",H50/H37)</x:f>
        <x:v>0.09137240294595343</x:v>
      </x:c>
      <x:c r="I204" s="11" t="s">
        <x:v>278</x:v>
      </x:c>
    </x:row>
    <x:row r="205" ht="15" hidden="0">
      <x:c r="A205" s="193" t="s">
        <x:v>344</x:v>
      </x:c>
      <x:c r="B205" s="195" t="s">
        <x:v>345</x:v>
      </x:c>
      <x:c r="C205" s="42" t="n">
        <x:f aca="0">IF(C37=0,"n/m",C66/C37)</x:f>
        <x:v>0.366484182271435</x:v>
      </x:c>
      <x:c r="D205" s="42" t="n">
        <x:f aca="0">IF(D37=0,"n/m",D66/D37)</x:f>
        <x:v>0.31758158908750495</x:v>
      </x:c>
      <x:c r="E205" s="42" t="n">
        <x:f aca="0">IF(E37=0,"n/m",E66/E37)</x:f>
        <x:v>0.34032817749984395</x:v>
      </x:c>
      <x:c r="F205" s="42" t="n">
        <x:f aca="0">IF(F37=0,"n/m",F66/F37)</x:f>
        <x:v>0.3156948164877674</x:v>
      </x:c>
      <x:c r="G205" s="42" t="n">
        <x:f aca="0">IF(G37=0,"n/m",G66/G37)</x:f>
        <x:v>0.2480154568511438</x:v>
      </x:c>
      <x:c r="H205" s="42" t="n">
        <x:f aca="0">IF(H37=0,"n/m",H66/H37)</x:f>
        <x:v>0.15012653655508287</x:v>
      </x:c>
      <x:c r="I205" s="11" t="s">
        <x:v>278</x:v>
      </x:c>
    </x:row>
    <x:row r="206" ht="15" hidden="0">
      <x:c r="A206" s="193" t="s">
        <x:v>188</x:v>
      </x:c>
      <x:c r="B206" s="195" t="s">
        <x:v>346</x:v>
      </x:c>
      <x:c r="C206" s="42" t="n">
        <x:f aca="0">IF(C37=0,"n/m",C61/C37)</x:f>
        <x:v>0.2904192319328307</x:v>
      </x:c>
      <x:c r="D206" s="42" t="n">
        <x:f aca="0">IF(D37=0,"n/m",D61/D37)</x:f>
        <x:v>0.29221950427868876</x:v>
      </x:c>
      <x:c r="E206" s="42" t="n">
        <x:f aca="0">IF(E37=0,"n/m",E61/E37)</x:f>
        <x:v>0.3374952520654481</x:v>
      </x:c>
      <x:c r="F206" s="42" t="n">
        <x:f aca="0">IF(F37=0,"n/m",F61/F37)</x:f>
        <x:v>0.3613288860203762</x:v>
      </x:c>
      <x:c r="G206" s="42" t="n">
        <x:f aca="0">IF(G37=0,"n/m",G61/G37)</x:f>
        <x:v>0.23286874601268565</x:v>
      </x:c>
      <x:c r="H206" s="42" t="n">
        <x:f aca="0">IF(H37=0,"n/m",H61/H37)</x:f>
        <x:v>0.17756419966841014</x:v>
      </x:c>
      <x:c r="I206" s="11" t="s">
        <x:v>278</x:v>
      </x:c>
    </x:row>
    <x:row r="207" ht="15" hidden="0">
      <x:c r="A207" s="193" t="s">
        <x:v>191</x:v>
      </x:c>
      <x:c r="B207" s="195" t="s">
        <x:v>347</x:v>
      </x:c>
      <x:c r="C207" s="42" t="n">
        <x:f aca="0">IF(C37=0,"n/m",C62/C37)</x:f>
        <x:v>0.485578017161881</x:v>
      </x:c>
      <x:c r="D207" s="42" t="n">
        <x:f aca="0">IF(D37=0,"n/m",D62/D37)</x:f>
        <x:v>0.46714504184305206</x:v>
      </x:c>
      <x:c r="E207" s="42" t="n">
        <x:f aca="0">IF(E37=0,"n/m",E62/E37)</x:f>
        <x:v>0.48801207258126744</x:v>
      </x:c>
      <x:c r="F207" s="42" t="n">
        <x:f aca="0">IF(F37=0,"n/m",F62/F37)</x:f>
        <x:v>0.5234895224192266</x:v>
      </x:c>
      <x:c r="G207" s="42" t="n">
        <x:f aca="0">IF(G37=0,"n/m",G62/G37)</x:f>
        <x:v>0.4519122394636083</x:v>
      </x:c>
      <x:c r="H207" s="42" t="n">
        <x:f aca="0">IF(H37=0,"n/m",H62/H37)</x:f>
        <x:v>0.3512559582717703</x:v>
      </x:c>
      <x:c r="I207" s="11" t="s">
        <x:v>278</x:v>
      </x:c>
    </x:row>
    <x:row r="208" ht="15" hidden="0">
      <x:c r="A208" s="201" t="s">
        <x:v>348</x:v>
      </x:c>
      <x:c r="B208" s="202"/>
      <x:c r="C208" s="25"/>
      <x:c r="D208" s="25"/>
      <x:c r="E208" s="25"/>
      <x:c r="F208" s="25"/>
      <x:c r="G208" s="25"/>
      <x:c r="H208" s="25"/>
      <x:c r="I208" s="25"/>
      <x:c r="J208" s="25"/>
    </x:row>
    <x:row r="209" ht="15" hidden="0">
      <x:c r="A209" s="193" t="s">
        <x:v>226</x:v>
      </x:c>
      <x:c r="B209" s="195" t="s">
        <x:v>349</x:v>
      </x:c>
      <x:c r="C209" s="30"/>
      <x:c r="D209" s="42" t="n">
        <x:f aca="0">IF(D84=0,"n/m",D85/D84)</x:f>
        <x:v>-0.8210528626050236</x:v>
      </x:c>
      <x:c r="E209" s="42" t="n">
        <x:f aca="0">IF(E84=0,"n/m",E85/E84)</x:f>
        <x:v>-0.8203373886400359</x:v>
      </x:c>
      <x:c r="F209" s="42" t="n">
        <x:f aca="0">IF(F84=0,"n/m",F85/F84)</x:f>
        <x:v>-0.852951475414165</x:v>
      </x:c>
      <x:c r="G209" s="42" t="n">
        <x:f aca="0">IF(G84=0,"n/m",G85/G84)</x:f>
        <x:v>-0.8405743639156738</x:v>
      </x:c>
      <x:c r="H209" s="42" t="n">
        <x:f aca="0">IF(H84=0,"n/m",H85/H84)</x:f>
        <x:v>-0.7425936745269908</x:v>
      </x:c>
      <x:c r="I209" s="11" t="s">
        <x:v>278</x:v>
      </x:c>
    </x:row>
    <x:row r="210" ht="15" hidden="0">
      <x:c r="A210" s="193" t="s">
        <x:v>228</x:v>
      </x:c>
      <x:c r="B210" s="195" t="s">
        <x:v>350</x:v>
      </x:c>
      <x:c r="C210" s="30"/>
      <x:c r="D210" s="42" t="n">
        <x:f aca="0">IF(D84=0,"n/m",D86/D84)</x:f>
        <x:v>0.1789471373949763</x:v>
      </x:c>
      <x:c r="E210" s="42" t="n">
        <x:f aca="0">IF(E84=0,"n/m",E86/E84)</x:f>
        <x:v>0.1796626113599641</x:v>
      </x:c>
      <x:c r="F210" s="42" t="n">
        <x:f aca="0">IF(F84=0,"n/m",F86/F84)</x:f>
        <x:v>0.147048524585835</x:v>
      </x:c>
      <x:c r="G210" s="42" t="n">
        <x:f aca="0">IF(G84=0,"n/m",G86/G84)</x:f>
        <x:v>0.1594256360843263</x:v>
      </x:c>
      <x:c r="H210" s="42" t="n">
        <x:f aca="0">IF(H84=0,"n/m",H86/H84)</x:f>
        <x:v>0.25740632547300923</x:v>
      </x:c>
      <x:c r="I210" s="11" t="s">
        <x:v>278</x:v>
      </x:c>
    </x:row>
    <x:row r="211" ht="15" hidden="0">
      <x:c r="A211" s="193" t="s">
        <x:v>351</x:v>
      </x:c>
      <x:c r="B211" s="195" t="s">
        <x:v>352</x:v>
      </x:c>
      <x:c r="C211" s="30"/>
      <x:c r="D211" s="42" t="n">
        <x:f aca="0">IF(D84=0,"n/m",D87/D84)</x:f>
        <x:v>-0.04323112090200141</x:v>
      </x:c>
      <x:c r="E211" s="42" t="n">
        <x:f aca="0">IF(E84=0,"n/m",E87/E84)</x:f>
        <x:v>-0.030129955340842837</x:v>
      </x:c>
      <x:c r="F211" s="42" t="n">
        <x:f aca="0">IF(F84=0,"n/m",F87/F84)</x:f>
        <x:v>-0.02797662513566261</x:v>
      </x:c>
      <x:c r="G211" s="42" t="n">
        <x:f aca="0">IF(G84=0,"n/m",G87/G84)</x:f>
        <x:v>-0.03950013302050863</x:v>
      </x:c>
      <x:c r="H211" s="42" t="n">
        <x:f aca="0">IF(H84=0,"n/m",H87/H84)</x:f>
        <x:v>-0.053895327569282045</x:v>
      </x:c>
      <x:c r="I211" s="11" t="s">
        <x:v>278</x:v>
      </x:c>
    </x:row>
    <x:row r="212" ht="15" hidden="0">
      <x:c r="A212" s="193" t="s">
        <x:v>353</x:v>
      </x:c>
      <x:c r="B212" s="195" t="s">
        <x:v>354</x:v>
      </x:c>
      <x:c r="C212" s="30"/>
      <x:c r="D212" s="42" t="n">
        <x:f aca="0">IF(D84=0,"n/m",D88/D84)</x:f>
        <x:v>-0.014338176040493315</x:v>
      </x:c>
      <x:c r="E212" s="42" t="n">
        <x:f aca="0">IF(E84=0,"n/m",E88/E84)</x:f>
        <x:v>-0.012939386890910414</x:v>
      </x:c>
      <x:c r="F212" s="42" t="n">
        <x:f aca="0">IF(F84=0,"n/m",F88/F84)</x:f>
        <x:v>-0.013531922045642714</x:v>
      </x:c>
      <x:c r="G212" s="42" t="n">
        <x:f aca="0">IF(G84=0,"n/m",G88/G84)</x:f>
        <x:v>-0.018263612107744902</x:v>
      </x:c>
      <x:c r="H212" s="42" t="n">
        <x:f aca="0">IF(H84=0,"n/m",H88/H84)</x:f>
        <x:v>-0.018012559443161213</x:v>
      </x:c>
      <x:c r="I212" s="11" t="s">
        <x:v>278</x:v>
      </x:c>
    </x:row>
    <x:row r="213" ht="15" hidden="0">
      <x:c r="A213" s="193" t="s">
        <x:v>355</x:v>
      </x:c>
      <x:c r="B213" s="195" t="s">
        <x:v>356</x:v>
      </x:c>
      <x:c r="C213" s="30"/>
      <x:c r="D213" s="42" t="n">
        <x:f aca="0">IF(D84=0,"n/m",(D90+D89)/D84)</x:f>
        <x:v>-0.0068638407331432835</x:v>
      </x:c>
      <x:c r="E213" s="42" t="n">
        <x:f aca="0">IF(E84=0,"n/m",(E90+E89)/E84)</x:f>
        <x:v>-0.018120658165015655</x:v>
      </x:c>
      <x:c r="F213" s="42" t="n">
        <x:f aca="0">IF(F84=0,"n/m",(F90+F89)/F84)</x:f>
        <x:v>-0.0030862297247802647</x:v>
      </x:c>
      <x:c r="G213" s="42" t="n">
        <x:f aca="0">IF(G84=0,"n/m",(G90+G89)/G84)</x:f>
        <x:v>-0.0016414620223608619</x:v>
      </x:c>
      <x:c r="H213" s="42" t="n">
        <x:f aca="0">IF(H84=0,"n/m",(H90+H89)/H84)</x:f>
        <x:v>-0.01018963822501538</x:v>
      </x:c>
      <x:c r="I213" s="11" t="s">
        <x:v>278</x:v>
      </x:c>
    </x:row>
    <x:row r="214" ht="15" hidden="0">
      <x:c r="A214" s="193" t="s">
        <x:v>357</x:v>
      </x:c>
      <x:c r="B214" s="195" t="s">
        <x:v>358</x:v>
      </x:c>
      <x:c r="C214" s="30"/>
      <x:c r="D214" s="42" t="n">
        <x:f aca="0">IF(D84=0,"n/m",D91/D84)</x:f>
        <x:v>0.11451399971933833</x:v>
      </x:c>
      <x:c r="E214" s="42" t="n">
        <x:f aca="0">IF(E84=0,"n/m",E91/E84)</x:f>
        <x:v>0.11847261096319517</x:v>
      </x:c>
      <x:c r="F214" s="42" t="n">
        <x:f aca="0">IF(F84=0,"n/m",F91/F84)</x:f>
        <x:v>0.10245374767974941</x:v>
      </x:c>
      <x:c r="G214" s="42" t="n">
        <x:f aca="0">IF(G84=0,"n/m",G91/G84)</x:f>
        <x:v>0.1000204289337119</x:v>
      </x:c>
      <x:c r="H214" s="42" t="n">
        <x:f aca="0">IF(H84=0,"n/m",H91/H84)</x:f>
        <x:v>0.17530880023555062</x:v>
      </x:c>
      <x:c r="I214" s="11" t="s">
        <x:v>278</x:v>
      </x:c>
    </x:row>
    <x:row r="215" ht="15" hidden="0">
      <x:c r="A215" s="193" t="s">
        <x:v>240</x:v>
      </x:c>
      <x:c r="B215" s="195" t="s">
        <x:v>359</x:v>
      </x:c>
      <x:c r="C215" s="30"/>
      <x:c r="D215" s="42" t="n">
        <x:f aca="0">IF(D84=0,"n/m",(D92+D93+D94)/D84)</x:f>
        <x:v>0.0560174551168548</x:v>
      </x:c>
      <x:c r="E215" s="42" t="n">
        <x:f aca="0">IF(E84=0,"n/m",(E92+E93+E94)/E84)</x:f>
        <x:v>0.04676360014149989</x:v>
      </x:c>
      <x:c r="F215" s="42" t="n">
        <x:f aca="0">IF(F84=0,"n/m",(F92+F93+F94)/F84)</x:f>
        <x:v>0.04996626775763154</x:v>
      </x:c>
      <x:c r="G215" s="42" t="n">
        <x:f aca="0">IF(G84=0,"n/m",(G92+G93+G94)/G84)</x:f>
        <x:v>0.06412600044195305</x:v>
      </x:c>
      <x:c r="H215" s="42" t="n">
        <x:f aca="0">IF(H84=0,"n/m",(H92+H93+H94)/H84)</x:f>
        <x:v>0.05941579409364524</x:v>
      </x:c>
      <x:c r="I215" s="11" t="s">
        <x:v>278</x:v>
      </x:c>
    </x:row>
    <x:row r="216" ht="15" hidden="0">
      <x:c r="A216" s="193" t="s">
        <x:v>246</x:v>
      </x:c>
      <x:c r="B216" s="195" t="s">
        <x:v>360</x:v>
      </x:c>
      <x:c r="C216" s="30"/>
      <x:c r="D216" s="42" t="n">
        <x:f aca="0">IF(D84=0,"n/m",D95/D84)</x:f>
        <x:v>-0.06475337132094328</x:v>
      </x:c>
      <x:c r="E216" s="42" t="n">
        <x:f aca="0">IF(E84=0,"n/m",E95/E84)</x:f>
        <x:v>-0.06152566034414353</x:v>
      </x:c>
      <x:c r="F216" s="42" t="n">
        <x:f aca="0">IF(F84=0,"n/m",F95/F84)</x:f>
        <x:v>-0.10375339424870077</x:v>
      </x:c>
      <x:c r="G216" s="42" t="n">
        <x:f aca="0">IF(G84=0,"n/m",G95/G84)</x:f>
        <x:v>-0.12115784127695206</x:v>
      </x:c>
      <x:c r="H216" s="42" t="n">
        <x:f aca="0">IF(H84=0,"n/m",H95/H84)</x:f>
        <x:v>-0.05383575278855667</x:v>
      </x:c>
      <x:c r="I216" s="11" t="s">
        <x:v>278</x:v>
      </x:c>
    </x:row>
    <x:row r="217" ht="15" hidden="0">
      <x:c r="A217" s="193" t="s">
        <x:v>361</x:v>
      </x:c>
      <x:c r="B217" s="195" t="s">
        <x:v>362</x:v>
      </x:c>
      <x:c r="C217" s="30"/>
      <x:c r="D217" s="42" t="n">
        <x:f aca="0">IF(D84=0,"n/m",D96/D84)</x:f>
        <x:v>0.10577808351524985</x:v>
      </x:c>
      <x:c r="E217" s="42" t="n">
        <x:f aca="0">IF(E84=0,"n/m",E96/E84)</x:f>
        <x:v>0.10371055076055154</x:v>
      </x:c>
      <x:c r="F217" s="42" t="n">
        <x:f aca="0">IF(F84=0,"n/m",F96/F84)</x:f>
        <x:v>0.04866662118868018</x:v>
      </x:c>
      <x:c r="G217" s="42" t="n">
        <x:f aca="0">IF(G84=0,"n/m",G96/G84)</x:f>
        <x:v>0.042988588098712886</x:v>
      </x:c>
      <x:c r="H217" s="42" t="n">
        <x:f aca="0">IF(H84=0,"n/m",H96/H84)</x:f>
        <x:v>0.18088884154063914</x:v>
      </x:c>
      <x:c r="I217" s="11" t="s">
        <x:v>278</x:v>
      </x:c>
    </x:row>
    <x:row r="218" ht="15" hidden="0">
      <x:c r="A218" s="193" t="s">
        <x:v>363</x:v>
      </x:c>
      <x:c r="B218" s="195" t="s">
        <x:v>364</x:v>
      </x:c>
      <x:c r="C218" s="30"/>
      <x:c r="D218" s="42" t="n">
        <x:f aca="0">IF(D84=0,"n/m",-D110/D84)</x:f>
        <x:v>-0.023280553714898723</x:v>
      </x:c>
      <x:c r="E218" s="42" t="n">
        <x:f aca="0">IF(E84=0,"n/m",-E110/E84)</x:f>
        <x:v>-0.05250561975862978</x:v>
      </x:c>
      <x:c r="F218" s="42" t="n">
        <x:f aca="0">IF(F84=0,"n/m",-F110/F84)</x:f>
        <x:v>-0.10461864038435044</x:v>
      </x:c>
      <x:c r="G218" s="42" t="n">
        <x:f aca="0">IF(G84=0,"n/m",-G110/G84)</x:f>
        <x:v>-0.03477528150202982</x:v>
      </x:c>
      <x:c r="H218" s="42" t="n">
        <x:f aca="0">IF(H84=0,"n/m",-H110/H84)</x:f>
        <x:v>-0.06022231394206908</x:v>
      </x:c>
      <x:c r="I218" s="11" t="s">
        <x:v>278</x:v>
      </x:c>
    </x:row>
    <x:row r="219" ht="15" hidden="0">
      <x:c r="A219" s="193" t="s">
        <x:v>365</x:v>
      </x:c>
      <x:c r="B219" s="195" t="s">
        <x:v>366</x:v>
      </x:c>
      <x:c r="C219" s="30"/>
      <x:c r="D219" s="42" t="n">
        <x:f aca="0">IF(D84=0,"n/m",D99/D84)</x:f>
        <x:v>0.08249752980035112</x:v>
      </x:c>
      <x:c r="E219" s="42" t="n">
        <x:f aca="0">IF(E84=0,"n/m",E99/E84)</x:f>
        <x:v>0.05120493100192175</x:v>
      </x:c>
      <x:c r="F219" s="42" t="n">
        <x:f aca="0">IF(F84=0,"n/m",F99/F84)</x:f>
        <x:v>-0.05595201919567025</x:v>
      </x:c>
      <x:c r="G219" s="42" t="n">
        <x:f aca="0">IF(G84=0,"n/m",G99/G84)</x:f>
        <x:v>0.008213306596683071</x:v>
      </x:c>
      <x:c r="H219" s="42" t="n">
        <x:f aca="0">IF(H84=0,"n/m",H99/H84)</x:f>
        <x:v>0.12066652759857006</x:v>
      </x:c>
      <x:c r="I219" s="11" t="s">
        <x:v>278</x:v>
      </x:c>
    </x:row>
    <x:row r="220" ht="15" hidden="0">
      <x:c r="A220" s="193"/>
      <x:c r="B220" s="195"/>
      <x:c r="C220" s="30"/>
      <x:c r="D220" s="42">
        <x:f aca="0"/>
      </x:c>
      <x:c r="E220" s="42">
        <x:f aca="0"/>
      </x:c>
      <x:c r="F220" s="42">
        <x:f aca="0"/>
      </x:c>
      <x:c r="G220" s="42">
        <x:f aca="0"/>
      </x:c>
      <x:c r="H220" s="42">
        <x:f aca="0"/>
      </x:c>
      <x:c r="I220" s="11" t="s">
        <x:v>278</x:v>
      </x:c>
    </x:row>
    <x:row r="221">
      <x:c r="A221" s="193"/>
      <x:c r="B221" s="193"/>
    </x:row>
    <x:row r="222" ht="15" hidden="0">
      <x:c r="A222" s="196" t="s">
        <x:v>367</x:v>
      </x:c>
      <x:c r="B222" s="197"/>
      <x:c r="C222" s="20"/>
      <x:c r="D222" s="20"/>
      <x:c r="E222" s="20"/>
      <x:c r="F222" s="20"/>
      <x:c r="G222" s="20"/>
      <x:c r="H222" s="20"/>
      <x:c r="I222" s="20"/>
      <x:c r="J222" s="20"/>
    </x:row>
    <x:row r="223" ht="15" hidden="0">
      <x:c r="A223" s="193" t="s">
        <x:v>368</x:v>
      </x:c>
      <x:c r="B223" s="195" t="s">
        <x:v>369</x:v>
      </x:c>
      <x:c r="C223" s="30"/>
      <x:c r="D223" s="43" t="s">
        <x:v>370</x:v>
      </x:c>
      <x:c r="E223" s="44" t="n">
        <x:f aca="0">E84-D84</x:f>
        <x:v>12936.172999999995</x:v>
      </x:c>
      <x:c r="F223" s="44" t="n">
        <x:f aca="0">F84-E84</x:f>
        <x:v>6939.958000000006</x:v>
      </x:c>
      <x:c r="G223" s="44" t="n">
        <x:f aca="0">G84-F84</x:f>
        <x:v>1054.867999999995</x:v>
      </x:c>
      <x:c r="H223" s="44" t="n">
        <x:f aca="0">H84-G84</x:f>
        <x:v>5854.148000000001</x:v>
      </x:c>
      <x:c r="I223" s="11" t="s">
        <x:v>111</x:v>
      </x:c>
    </x:row>
    <x:row r="224" ht="15" hidden="0">
      <x:c r="A224" s="193" t="s">
        <x:v>371</x:v>
      </x:c>
      <x:c r="B224" s="195" t="s">
        <x:v>372</x:v>
      </x:c>
      <x:c r="C224" s="30"/>
      <x:c r="D224" s="43" t="str">
        <x:f>IF(OR(C84&lt;=0,D84&lt;C84),"n/m",D84/C84-1)</x:f>
        <x:v>n/m</x:v>
      </x:c>
      <x:c r="E224" s="42" t="n">
        <x:f aca="0">IF(OR(D84&lt;=0,E84&lt;D84),"n/m",E84/D84-1)</x:f>
        <x:v>0.28678420464448506</x:v>
      </x:c>
      <x:c r="F224" s="42" t="n">
        <x:f aca="0">IF(OR(E84&lt;=0,F84&lt;E84),"n/m",F84/E84-1)</x:f>
        <x:v>0.1195640269497571</x:v>
      </x:c>
      <x:c r="G224" s="42" t="n">
        <x:f aca="0">IF(OR(F84&lt;=0,G84&lt;F84),"n/m",G84/F84-1)</x:f>
        <x:v>0.01623277892508046</x:v>
      </x:c>
      <x:c r="H224" s="42" t="n">
        <x:f aca="0">IF(OR(G84&lt;=0,H84&lt;G84),"n/m",H84/G84-1)</x:f>
        <x:v>0.08864724737342988</x:v>
      </x:c>
      <x:c r="I224" s="11" t="s">
        <x:v>278</x:v>
      </x:c>
    </x:row>
    <x:row r="225" ht="15" hidden="0">
      <x:c r="A225" s="193" t="s">
        <x:v>373</x:v>
      </x:c>
      <x:c r="B225" s="195" t="s">
        <x:v>369</x:v>
      </x:c>
      <x:c r="C225" s="30"/>
      <x:c r="D225" s="43" t="s">
        <x:v>370</x:v>
      </x:c>
      <x:c r="E225" s="44" t="n">
        <x:f aca="0">E86-D86</x:f>
        <x:v>2356.4199999999983</x:v>
      </x:c>
      <x:c r="F225" s="44" t="n">
        <x:f aca="0">F86-E86</x:f>
        <x:v>-872.5369999999966</x:v>
      </x:c>
      <x:c r="G225" s="44" t="n">
        <x:f aca="0">G86-F86</x:f>
        <x:v>972.4850000000006</x:v>
      </x:c>
      <x:c r="H225" s="44" t="n">
        <x:f aca="0">H86-G86</x:f>
        <x:v>7977.411</x:v>
      </x:c>
      <x:c r="I225" s="11" t="s">
        <x:v>111</x:v>
      </x:c>
    </x:row>
    <x:row r="226" ht="15" hidden="0">
      <x:c r="A226" s="193" t="s">
        <x:v>374</x:v>
      </x:c>
      <x:c r="B226" s="195" t="s">
        <x:v>372</x:v>
      </x:c>
      <x:c r="C226" s="30"/>
      <x:c r="D226" s="43" t="str">
        <x:f>IF(OR(C86&lt;=0,D86&lt;C86),"n/m",D86/C86-1)</x:f>
        <x:v>n/m</x:v>
      </x:c>
      <x:c r="E226" s="42" t="n">
        <x:f aca="0">IF(OR(D86&lt;=0,E86&lt;D86),"n/m",E86/D86-1)</x:f>
        <x:v>0.2919290793286131</x:v>
      </x:c>
      <x:c r="F226" s="42" t="str">
        <x:f aca="0">IF(OR(E86&lt;=0,F86&lt;E86),"n/m",F86/E86-1)</x:f>
        <x:v>n/m</x:v>
      </x:c>
      <x:c r="G226" s="42" t="n">
        <x:f aca="0">IF(OR(F86&lt;=0,G86&lt;F86),"n/m",G86/F86-1)</x:f>
        <x:v>0.10176934890158051</x:v>
      </x:c>
      <x:c r="H226" s="42" t="n">
        <x:f aca="0">IF(OR(G86&lt;=0,H86&lt;G86),"n/m",H86/G86-1)</x:f>
        <x:v>0.7577140952066153</x:v>
      </x:c>
      <x:c r="I226" s="11" t="s">
        <x:v>278</x:v>
      </x:c>
    </x:row>
    <x:row r="227" ht="15" hidden="0">
      <x:c r="A227" s="193" t="s">
        <x:v>375</x:v>
      </x:c>
      <x:c r="B227" s="195" t="s">
        <x:v>369</x:v>
      </x:c>
      <x:c r="C227" s="30"/>
      <x:c r="D227" s="43" t="s">
        <x:v>370</x:v>
      </x:c>
      <x:c r="E227" s="44" t="n">
        <x:f aca="0">E91-D91</x:f>
        <x:v>1711.145999999998</x:v>
      </x:c>
      <x:c r="F227" s="44" t="n">
        <x:f aca="0">F91-E91</x:f>
        <x:v>-218.7719999999972</x:v>
      </x:c>
      <x:c r="G227" s="44" t="n">
        <x:f aca="0">G91-F91</x:f>
        <x:v>-52.61799999999948</x:v>
      </x:c>
      <x:c r="H227" s="44" t="n">
        <x:f aca="0">H91-G91</x:f>
        <x:v>5998.229</x:v>
      </x:c>
      <x:c r="I227" s="11" t="s">
        <x:v>111</x:v>
      </x:c>
    </x:row>
    <x:row r="228" ht="15" hidden="0">
      <x:c r="A228" s="193" t="s">
        <x:v>376</x:v>
      </x:c>
      <x:c r="B228" s="195" t="s">
        <x:v>372</x:v>
      </x:c>
      <x:c r="C228" s="30"/>
      <x:c r="D228" s="43" t="str">
        <x:f>IF(OR(C91&lt;=0,D91&lt;C91),"n/m",D91/C91-1)</x:f>
        <x:v>n/m</x:v>
      </x:c>
      <x:c r="E228" s="42" t="n">
        <x:f aca="0">IF(OR(D91&lt;=0,E91&lt;D91),"n/m",E91/D91-1)</x:f>
        <x:v>0.33126678697858924</x:v>
      </x:c>
      <x:c r="F228" s="42" t="str">
        <x:f aca="0">IF(OR(E91&lt;=0,F91&lt;E91),"n/m",F91/E91-1)</x:f>
        <x:v>n/m</x:v>
      </x:c>
      <x:c r="G228" s="42" t="str">
        <x:f aca="0">IF(OR(F91&lt;=0,G91&lt;F91),"n/m",G91/F91-1)</x:f>
        <x:v>n/m</x:v>
      </x:c>
      <x:c r="H228" s="42" t="n">
        <x:f aca="0">IF(OR(G91&lt;=0,H91&lt;G91),"n/m",H91/G91-1)</x:f>
        <x:v>0.9081046227391736</x:v>
      </x:c>
      <x:c r="I228" s="11" t="s">
        <x:v>278</x:v>
      </x:c>
    </x:row>
    <x:row r="229" ht="15" hidden="0">
      <x:c r="A229" s="193"/>
      <x:c r="B229" s="195"/>
      <x:c r="C229" s="30"/>
      <x:c r="D229" s="43"/>
      <x:c r="E229" s="44">
        <x:f aca="0"/>
      </x:c>
      <x:c r="F229" s="44">
        <x:f aca="0"/>
      </x:c>
      <x:c r="G229" s="44">
        <x:f aca="0"/>
      </x:c>
      <x:c r="H229" s="44">
        <x:f aca="0"/>
      </x:c>
      <x:c r="I229" s="11" t="s">
        <x:v>111</x:v>
      </x:c>
    </x:row>
    <x:row r="230" ht="15" hidden="0">
      <x:c r="A230" s="193"/>
      <x:c r="B230" s="195"/>
      <x:c r="C230" s="30"/>
      <x:c r="D230" s="43"/>
      <x:c r="E230" s="42">
        <x:f aca="0"/>
      </x:c>
      <x:c r="F230" s="42">
        <x:f aca="0"/>
      </x:c>
      <x:c r="G230" s="42">
        <x:f aca="0"/>
      </x:c>
      <x:c r="H230" s="42">
        <x:f aca="0"/>
      </x:c>
      <x:c r="I230" s="11" t="s">
        <x:v>278</x:v>
      </x:c>
    </x:row>
    <x:row r="231" ht="15" hidden="0">
      <x:c r="A231" s="193" t="s">
        <x:v>377</x:v>
      </x:c>
      <x:c r="B231" s="195" t="s">
        <x:v>369</x:v>
      </x:c>
      <x:c r="C231" s="30"/>
      <x:c r="D231" s="43" t="s">
        <x:v>370</x:v>
      </x:c>
      <x:c r="E231" s="44" t="n">
        <x:f aca="0">E99-D99</x:f>
        <x:v>-749.1410000000019</x:v>
      </x:c>
      <x:c r="F231" s="44" t="n">
        <x:f aca="0">F99-E99</x:f>
        <x:v>-6608.107999999998</x:v>
      </x:c>
      <x:c r="G231" s="44" t="n">
        <x:f aca="0">G99-F99</x:f>
        <x:v>4178.372000000001</x:v>
      </x:c>
      <x:c r="H231" s="44" t="n">
        <x:f aca="0">H99-G99</x:f>
        <x:v>8132.662999999998</x:v>
      </x:c>
      <x:c r="I231" s="11" t="s">
        <x:v>111</x:v>
      </x:c>
    </x:row>
    <x:row r="232" ht="15" hidden="0">
      <x:c r="A232" s="193" t="s">
        <x:v>378</x:v>
      </x:c>
      <x:c r="B232" s="195" t="s">
        <x:v>372</x:v>
      </x:c>
      <x:c r="C232" s="30"/>
      <x:c r="D232" s="43" t="str">
        <x:f>IF(OR(C99&lt;=0,D99&lt;C99),"n/m",D99/C99-1)</x:f>
        <x:v>n/m</x:v>
      </x:c>
      <x:c r="E232" s="42" t="str">
        <x:f aca="0">IF(OR(D99&lt;=0,E99&lt;D99),"n/m",E99/D99-1)</x:f>
        <x:v>n/m</x:v>
      </x:c>
      <x:c r="F232" s="42" t="str">
        <x:f aca="0">IF(OR(E99&lt;=0,F99&lt;E99),"n/m",F99/E99-1)</x:f>
        <x:v>n/m</x:v>
      </x:c>
      <x:c r="G232" s="42" t="str">
        <x:f aca="0">IF(OR(F99&lt;=0,G99&lt;F99),"n/m",G99/F99-1)</x:f>
        <x:v>n/m</x:v>
      </x:c>
      <x:c r="H232" s="42" t="n">
        <x:f aca="0">IF(OR(G99&lt;=0,H99&lt;G99),"n/m",H99/G99-1)</x:f>
        <x:v>14.993958288777888</x:v>
      </x:c>
      <x:c r="I232" s="11" t="s">
        <x:v>278</x:v>
      </x:c>
    </x:row>
    <x:row r="233" ht="15" hidden="0">
      <x:c r="A233" s="193" t="s">
        <x:v>379</x:v>
      </x:c>
      <x:c r="B233" s="195" t="s">
        <x:v>369</x:v>
      </x:c>
      <x:c r="C233" s="30"/>
      <x:c r="D233" s="43" t="s">
        <x:v>370</x:v>
      </x:c>
      <x:c r="E233" s="44" t="n">
        <x:f aca="0">E117-D117</x:f>
        <x:v>-10093.669</x:v>
      </x:c>
      <x:c r="F233" s="44" t="n">
        <x:f aca="0">F117-E117</x:f>
        <x:v>10436.713</x:v>
      </x:c>
      <x:c r="G233" s="44" t="n">
        <x:f aca="0">G117-F117</x:f>
        <x:v>-474.6890000000003</x:v>
      </x:c>
      <x:c r="H233" s="44" t="n">
        <x:f aca="0">H117-G117</x:f>
        <x:v>4004.5869999999995</x:v>
      </x:c>
      <x:c r="I233" s="11" t="s">
        <x:v>111</x:v>
      </x:c>
    </x:row>
    <x:row r="234" ht="15" hidden="0">
      <x:c r="A234" s="193" t="s">
        <x:v>380</x:v>
      </x:c>
      <x:c r="B234" s="195" t="s">
        <x:v>372</x:v>
      </x:c>
      <x:c r="C234" s="30"/>
      <x:c r="D234" s="43" t="str">
        <x:f>IF(OR(C117&lt;=0,D117&lt;C117),"n/m",D117/C117-1)</x:f>
        <x:v>n/m</x:v>
      </x:c>
      <x:c r="E234" s="42" t="str">
        <x:f aca="0">IF(OR(D117&lt;=0,E117&lt;D117),"n/m",E117/D117-1)</x:f>
        <x:v>n/m</x:v>
      </x:c>
      <x:c r="F234" s="42" t="str">
        <x:f aca="0">IF(OR(E117&lt;=0,F117&lt;E117),"n/m",F117/E117-1)</x:f>
        <x:v>n/m</x:v>
      </x:c>
      <x:c r="G234" s="42" t="str">
        <x:f aca="0">IF(OR(F117&lt;=0,G117&lt;F117),"n/m",G117/F117-1)</x:f>
        <x:v>n/m</x:v>
      </x:c>
      <x:c r="H234" s="42" t="n">
        <x:f aca="0">IF(OR(G117&lt;=0,H117&lt;G117),"n/m",H117/G117-1)</x:f>
        <x:v>0.664160728545852</x:v>
      </x:c>
      <x:c r="I234" s="11" t="s">
        <x:v>278</x:v>
      </x:c>
    </x:row>
    <x:row r="235" ht="15" hidden="0">
      <x:c r="A235" s="193" t="s">
        <x:v>381</x:v>
      </x:c>
      <x:c r="B235" s="195" t="s">
        <x:v>369</x:v>
      </x:c>
      <x:c r="C235" s="30"/>
      <x:c r="D235" s="44" t="n">
        <x:f aca="0">D37-C37</x:f>
        <x:v>8343.16300000003</x:v>
      </x:c>
      <x:c r="E235" s="44" t="n">
        <x:f aca="0">E37-D37</x:f>
        <x:v>-1332.6840000000084</x:v>
      </x:c>
      <x:c r="F235" s="44" t="n">
        <x:f aca="0">F37-E37</x:f>
        <x:v>-1848.758999999991</x:v>
      </x:c>
      <x:c r="G235" s="44" t="n">
        <x:f aca="0">G37-F37</x:f>
        <x:v>3672.5</x:v>
      </x:c>
      <x:c r="H235" s="44" t="n">
        <x:f aca="0">H37-G37</x:f>
        <x:v>7538.480999999971</x:v>
      </x:c>
      <x:c r="I235" s="11" t="s">
        <x:v>111</x:v>
      </x:c>
    </x:row>
    <x:row r="236" ht="15" hidden="0">
      <x:c r="A236" s="193" t="s">
        <x:v>382</x:v>
      </x:c>
      <x:c r="B236" s="195" t="s">
        <x:v>372</x:v>
      </x:c>
      <x:c r="C236" s="30"/>
      <x:c r="D236" s="42" t="n">
        <x:f aca="0">IF(OR(C37&lt;=0,D37&lt;C37),"n/m",D37/C37-1)</x:f>
        <x:v>0.06440034125724847</x:v>
      </x:c>
      <x:c r="E236" s="42" t="str">
        <x:f aca="0">IF(OR(D37&lt;=0,E37&lt;D37),"n/m",E37/D37-1)</x:f>
        <x:v>n/m</x:v>
      </x:c>
      <x:c r="F236" s="42" t="str">
        <x:f aca="0">IF(OR(E37&lt;=0,F37&lt;E37),"n/m",F37/E37-1)</x:f>
        <x:v>n/m</x:v>
      </x:c>
      <x:c r="G236" s="42" t="n">
        <x:f aca="0">IF(OR(F37&lt;=0,G37&lt;F37),"n/m",G37/F37-1)</x:f>
        <x:v>0.02726160857193749</x:v>
      </x:c>
      <x:c r="H236" s="42" t="n">
        <x:f aca="0">IF(OR(G37&lt;=0,H37&lt;G37),"n/m",H37/G37-1)</x:f>
        <x:v>0.05447440059473152</x:v>
      </x:c>
      <x:c r="I236" s="11" t="s">
        <x:v>278</x:v>
      </x:c>
    </x:row>
    <x:row r="237" ht="15" hidden="0">
      <x:c r="A237" s="193" t="s">
        <x:v>383</x:v>
      </x:c>
      <x:c r="B237" s="195" t="s">
        <x:v>369</x:v>
      </x:c>
      <x:c r="C237" s="30"/>
      <x:c r="D237" s="44" t="n">
        <x:f aca="0">D41-C41</x:f>
        <x:v>6833.716</x:v>
      </x:c>
      <x:c r="E237" s="44" t="n">
        <x:f aca="0">E41-D41</x:f>
        <x:v>-3559.771000000008</x:v>
      </x:c>
      <x:c r="F237" s="44" t="n">
        <x:f aca="0">F41-E41</x:f>
        <x:v>-5725.824999999997</x:v>
      </x:c>
      <x:c r="G237" s="44" t="n">
        <x:f aca="0">G41-F41</x:f>
        <x:v>11655.260999999999</x:v>
      </x:c>
      <x:c r="H237" s="44" t="n">
        <x:f aca="0">H41-G41</x:f>
        <x:v>18819.940000000002</x:v>
      </x:c>
      <x:c r="I237" s="11" t="s">
        <x:v>111</x:v>
      </x:c>
    </x:row>
    <x:row r="238" ht="15" hidden="0">
      <x:c r="A238" s="193" t="s">
        <x:v>384</x:v>
      </x:c>
      <x:c r="B238" s="195" t="s">
        <x:v>372</x:v>
      </x:c>
      <x:c r="C238" s="30"/>
      <x:c r="D238" s="42" t="n">
        <x:f aca="0">IF(OR(C41&lt;=0,D41&lt;C41),"n/m",D41/C41-1)</x:f>
        <x:v>0.1025403622406087</x:v>
      </x:c>
      <x:c r="E238" s="42" t="str">
        <x:f aca="0">IF(OR(D41&lt;=0,E41&lt;D41),"n/m",E41/D41-1)</x:f>
        <x:v>n/m</x:v>
      </x:c>
      <x:c r="F238" s="42" t="str">
        <x:f aca="0">IF(OR(E41&lt;=0,F41&lt;E41),"n/m",F41/E41-1)</x:f>
        <x:v>n/m</x:v>
      </x:c>
      <x:c r="G238" s="42" t="n">
        <x:f aca="0">IF(OR(F41&lt;=0,G41&lt;F41),"n/m",G41/F41-1)</x:f>
        <x:v>0.18156796338600034</x:v>
      </x:c>
      <x:c r="H238" s="42" t="n">
        <x:f aca="0">IF(OR(G41&lt;=0,H41&lt;G41),"n/m",H41/G41-1)</x:f>
        <x:v>0.24812855494399844</x:v>
      </x:c>
      <x:c r="I238" s="11" t="s">
        <x:v>278</x:v>
      </x:c>
    </x:row>
    <x:row r="239" ht="15" hidden="0">
      <x:c r="A239" s="193" t="s">
        <x:v>385</x:v>
      </x:c>
      <x:c r="B239" s="195" t="s">
        <x:v>369</x:v>
      </x:c>
      <x:c r="C239" s="30"/>
      <x:c r="D239" s="44" t="n">
        <x:f aca="0">D66-C66</x:f>
        <x:v>-3685.7710000000006</x:v>
      </x:c>
      <x:c r="E239" s="44" t="n">
        <x:f aca="0">E66-D66</x:f>
        <x:v>2683.0839999999953</x:v>
      </x:c>
      <x:c r="F239" s="44" t="n">
        <x:f aca="0">F66-E66</x:f>
        <x:v>-3947.6249999999927</x:v>
      </x:c>
      <x:c r="G239" s="44" t="n">
        <x:f aca="0">G66-F66</x:f>
        <x:v>-8206.470000000001</x:v>
      </x:c>
      <x:c r="H239" s="44" t="n">
        <x:f aca="0">H66-G66</x:f>
        <x:v>-12414.706000000002</x:v>
      </x:c>
      <x:c r="I239" s="11" t="s">
        <x:v>111</x:v>
      </x:c>
    </x:row>
    <x:row r="240" ht="15" hidden="0">
      <x:c r="A240" s="193" t="s">
        <x:v>386</x:v>
      </x:c>
      <x:c r="B240" s="195" t="s">
        <x:v>372</x:v>
      </x:c>
      <x:c r="C240" s="30"/>
      <x:c r="D240" s="42" t="str">
        <x:f aca="0">IF(OR(C66&lt;=0,D66&lt;C66),"n/m",D66/C66-1)</x:f>
        <x:v>n/m</x:v>
      </x:c>
      <x:c r="E240" s="42" t="n">
        <x:f aca="0">IF(OR(D66&lt;=0,E66&lt;D66),"n/m",E66/D66-1)</x:f>
        <x:v>0.06126767318941817</x:v>
      </x:c>
      <x:c r="F240" s="42" t="str">
        <x:f aca="0">IF(OR(E66&lt;=0,F66&lt;E66),"n/m",F66/E66-1)</x:f>
        <x:v>n/m</x:v>
      </x:c>
      <x:c r="G240" s="42" t="str">
        <x:f aca="0">IF(OR(F66&lt;=0,G66&lt;F66),"n/m",G66/F66-1)</x:f>
        <x:v>n/m</x:v>
      </x:c>
      <x:c r="H240" s="42" t="str">
        <x:f aca="0">IF(OR(G66&lt;=0,H66&lt;G66),"n/m",H66/G66-1)</x:f>
        <x:v>n/m</x:v>
      </x:c>
      <x:c r="I240" s="11" t="s">
        <x:v>278</x:v>
      </x:c>
    </x:row>
    <x:row r="241" ht="15" hidden="0">
      <x:c r="A241" s="193" t="s">
        <x:v>387</x:v>
      </x:c>
      <x:c r="B241" s="195" t="s">
        <x:v>369</x:v>
      </x:c>
      <x:c r="C241" s="30"/>
      <x:c r="D241" s="44" t="n">
        <x:f aca="0">D65-C65</x:f>
        <x:v>3016.9519999999993</x:v>
      </x:c>
      <x:c r="E241" s="44" t="n">
        <x:f aca="0">E65-D65</x:f>
        <x:v>7187.461000000001</x:v>
      </x:c>
      <x:c r="F241" s="44" t="n">
        <x:f aca="0">F65-E65</x:f>
        <x:v>-70.22300000000178</x:v>
      </x:c>
      <x:c r="G241" s="44" t="n">
        <x:f aca="0">G65-F65</x:f>
        <x:v>-2472.333999999999</x:v>
      </x:c>
      <x:c r="H241" s="44" t="n">
        <x:f aca="0">H65-G65</x:f>
        <x:v>242.51599999999962</x:v>
      </x:c>
      <x:c r="I241" s="11" t="s">
        <x:v>111</x:v>
      </x:c>
    </x:row>
    <x:row r="242" ht="15" hidden="0">
      <x:c r="A242" s="193" t="s">
        <x:v>388</x:v>
      </x:c>
      <x:c r="B242" s="195" t="s">
        <x:v>372</x:v>
      </x:c>
      <x:c r="C242" s="30"/>
      <x:c r="D242" s="42" t="n">
        <x:f aca="0">IF(OR(C65&lt;=0,D65&lt;C65),"n/m",D65/C65-1)</x:f>
        <x:v>0.23961207165285314</x:v>
      </x:c>
      <x:c r="E242" s="42" t="n">
        <x:f aca="0">IF(OR(D65&lt;=0,E65&lt;D65),"n/m",E65/D65-1)</x:f>
        <x:v>0.4605003851566034</x:v>
      </x:c>
      <x:c r="F242" s="42" t="str">
        <x:f aca="0">IF(OR(E65&lt;=0,F65&lt;E65),"n/m",F65/E65-1)</x:f>
        <x:v>n/m</x:v>
      </x:c>
      <x:c r="G242" s="42" t="str">
        <x:f aca="0">IF(OR(F65&lt;=0,G65&lt;F65),"n/m",G65/F65-1)</x:f>
        <x:v>n/m</x:v>
      </x:c>
      <x:c r="H242" s="42" t="n">
        <x:f aca="0">IF(OR(G65&lt;=0,H65&lt;G65),"n/m",H65/G65-1)</x:f>
        <x:v>0.011974418798824216</x:v>
      </x:c>
      <x:c r="I242" s="11" t="s">
        <x:v>278</x:v>
      </x:c>
    </x:row>
    <x:row r="243" ht="15" hidden="0">
      <x:c r="A243" s="193" t="s">
        <x:v>389</x:v>
      </x:c>
      <x:c r="B243" s="195" t="s">
        <x:v>369</x:v>
      </x:c>
      <x:c r="C243" s="30"/>
      <x:c r="D243" s="44" t="n">
        <x:f aca="0">D32-C32</x:f>
        <x:v>-609.8389999999999</x:v>
      </x:c>
      <x:c r="E243" s="44" t="n">
        <x:f aca="0">E32-D32</x:f>
        <x:v>-208.3829999999998</x:v>
      </x:c>
      <x:c r="F243" s="44" t="n">
        <x:f aca="0">F32-E32</x:f>
        <x:v>-274.422</x:v>
      </x:c>
      <x:c r="G243" s="44" t="n">
        <x:f aca="0">G32-F32</x:f>
        <x:v>-337.6980000000001</x:v>
      </x:c>
      <x:c r="H243" s="44" t="n">
        <x:f aca="0">H32-G32</x:f>
        <x:v>637.338</x:v>
      </x:c>
      <x:c r="I243" s="11" t="s">
        <x:v>111</x:v>
      </x:c>
    </x:row>
    <x:row r="244" ht="15" hidden="0">
      <x:c r="A244" s="193" t="s">
        <x:v>390</x:v>
      </x:c>
      <x:c r="B244" s="195" t="s">
        <x:v>372</x:v>
      </x:c>
      <x:c r="C244" s="30"/>
      <x:c r="D244" s="42" t="str">
        <x:f aca="0">IF(OR(C32&lt;=0,D32&lt;C32),"n/m",D32/C32-1)</x:f>
        <x:v>n/m</x:v>
      </x:c>
      <x:c r="E244" s="42" t="str">
        <x:f aca="0">IF(OR(D32&lt;=0,E32&lt;D32),"n/m",E32/D32-1)</x:f>
        <x:v>n/m</x:v>
      </x:c>
      <x:c r="F244" s="42" t="str">
        <x:f aca="0">IF(OR(E32&lt;=0,F32&lt;E32),"n/m",F32/E32-1)</x:f>
        <x:v>n/m</x:v>
      </x:c>
      <x:c r="G244" s="42" t="str">
        <x:f aca="0">IF(OR(F32&lt;=0,G32&lt;F32),"n/m",G32/F32-1)</x:f>
        <x:v>n/m</x:v>
      </x:c>
      <x:c r="H244" s="42" t="n">
        <x:f aca="0">IF(OR(G32&lt;=0,H32&lt;G32),"n/m",H32/G32-1)</x:f>
        <x:v>0.7447782158641272</x:v>
      </x:c>
      <x:c r="I244" s="11" t="s">
        <x:v>278</x:v>
      </x:c>
    </x:row>
    <x:row r="245" ht="15" hidden="0">
      <x:c r="A245" s="193" t="s">
        <x:v>391</x:v>
      </x:c>
      <x:c r="B245" s="195" t="s">
        <x:v>369</x:v>
      </x:c>
      <x:c r="C245" s="30"/>
      <x:c r="D245" s="44" t="n">
        <x:f aca="0">D34-C34</x:f>
        <x:v>458.53900000000004</x:v>
      </x:c>
      <x:c r="E245" s="44" t="n">
        <x:f aca="0">E34-D34</x:f>
        <x:v>-395.57000000000005</x:v>
      </x:c>
      <x:c r="F245" s="44" t="n">
        <x:f aca="0">F34-E34</x:f>
        <x:v>264.169</x:v>
      </x:c>
      <x:c r="G245" s="44" t="n">
        <x:f aca="0">G34-F34</x:f>
        <x:v>57.196000000000026</x:v>
      </x:c>
      <x:c r="H245" s="44" t="n">
        <x:f aca="0">H34-G34</x:f>
        <x:v>-163.336</x:v>
      </x:c>
      <x:c r="I245" s="11" t="s">
        <x:v>111</x:v>
      </x:c>
    </x:row>
    <x:row r="246" ht="15" hidden="0">
      <x:c r="A246" s="193" t="s">
        <x:v>392</x:v>
      </x:c>
      <x:c r="B246" s="195" t="s">
        <x:v>372</x:v>
      </x:c>
      <x:c r="C246" s="30"/>
      <x:c r="D246" s="42" t="n">
        <x:f aca="0">IF(OR(C34&lt;=0,D34&lt;C34),"n/m",D34/C34-1)</x:f>
        <x:v>1.3182696343658185</x:v>
      </x:c>
      <x:c r="E246" s="42" t="str">
        <x:f aca="0">IF(OR(D34&lt;=0,E34&lt;D34),"n/m",E34/D34-1)</x:f>
        <x:v>n/m</x:v>
      </x:c>
      <x:c r="F246" s="42" t="n">
        <x:f aca="0">IF(OR(E34&lt;=0,F34&lt;E34),"n/m",F34/E34-1)</x:f>
        <x:v>0.6430551870361219</x:v>
      </x:c>
      <x:c r="G246" s="42" t="n">
        <x:f aca="0">IF(OR(F34&lt;=0,G34&lt;F34),"n/m",G34/F34-1)</x:f>
        <x:v>0.08473832988627672</x:v>
      </x:c>
      <x:c r="H246" s="42" t="str">
        <x:f aca="0">IF(OR(G34&lt;=0,H34&lt;G34),"n/m",H34/G34-1)</x:f>
        <x:v>n/m</x:v>
      </x:c>
      <x:c r="I246" s="11" t="s">
        <x:v>278</x:v>
      </x:c>
    </x:row>
    <x:row r="247">
      <x:c r="A247" s="193"/>
      <x:c r="B247" s="193"/>
    </x:row>
    <x:row r="248" ht="15" hidden="0">
      <x:c r="A248" s="196" t="s">
        <x:v>393</x:v>
      </x:c>
      <x:c r="B248" s="197"/>
      <x:c r="C248" s="20"/>
      <x:c r="D248" s="20"/>
      <x:c r="E248" s="20"/>
      <x:c r="F248" s="20"/>
      <x:c r="G248" s="20"/>
      <x:c r="H248" s="20"/>
      <x:c r="I248" s="20"/>
      <x:c r="J248" s="20"/>
    </x:row>
    <x:row r="249">
      <x:c r="A249" s="193"/>
      <x:c r="B249" s="193"/>
    </x:row>
    <x:row r="250" ht="22" hidden="0" customHeight="1">
      <x:c r="A250" s="204" t="str">
        <x:v>Financing classification (PKR million)</x:v>
      </x:c>
      <x:c r="B250" s="204"/>
      <x:c r="C250" s="129"/>
      <x:c r="D250" s="129"/>
      <x:c r="E250" s="129"/>
      <x:c r="F250" s="129"/>
      <x:c r="G250" s="129"/>
      <x:c r="H250" s="129"/>
      <x:c r="I250"/>
      <x:c r="J250"/>
    </x:row>
    <x:row r="251" ht="15" hidden="0">
      <x:c r="A251" s="193" t="str">
        <x:v>Interest-free parent loan excluded from IBD</x:v>
      </x:c>
      <x:c r="B251" s="193"/>
      <x:c r="C251" s="136" t="n">
        <x:v>0</x:v>
      </x:c>
      <x:c r="D251" s="136" t="n">
        <x:v>0</x:v>
      </x:c>
      <x:c r="E251" s="136" t="n">
        <x:v>0</x:v>
      </x:c>
      <x:c r="F251" s="136" t="n">
        <x:v>0</x:v>
      </x:c>
      <x:c r="G251" s="136" t="n">
        <x:v>0</x:v>
      </x:c>
      <x:c r="H251" s="136" t="n">
        <x:v>0</x:v>
      </x:c>
    </x:row>
    <x:row r="252" ht="15" hidden="0">
      <x:c r="A252" s="193" t="str">
        <x:v>Accrued interest within financing balances</x:v>
      </x:c>
      <x:c r="B252" s="193"/>
      <x:c r="C252" s="136" t="n">
        <x:v>0</x:v>
      </x:c>
      <x:c r="D252" s="136" t="n">
        <x:v>0</x:v>
      </x:c>
      <x:c r="E252" s="136" t="n">
        <x:v>0</x:v>
      </x:c>
      <x:c r="F252" s="136" t="n">
        <x:v>0</x:v>
      </x:c>
      <x:c r="G252" s="136" t="n">
        <x:v>0</x:v>
      </x:c>
      <x:c r="H252" s="136" t="n">
        <x:v>0</x:v>
      </x:c>
      <x:c r="I252"/>
      <x:c r="J252"/>
    </x:row>
    <x:row r="253" ht="15" hidden="0">
      <x:c r="A253" s="193" t="str">
        <x:v>Related operating supplier payable (included above)</x:v>
      </x:c>
      <x:c r="B253" s="193"/>
      <x:c r="C253" s="136" t="n">
        <x:v>0</x:v>
      </x:c>
      <x:c r="D253" s="136" t="n">
        <x:f aca="0"/>
        <x:v>0</x:v>
      </x:c>
      <x:c r="E253" s="136" t="n">
        <x:f aca="0"/>
        <x:v>0</x:v>
      </x:c>
      <x:c r="F253" s="136" t="n">
        <x:f aca="0"/>
        <x:v>0</x:v>
      </x:c>
      <x:c r="G253" s="136" t="n">
        <x:f aca="0"/>
        <x:v>0</x:v>
      </x:c>
      <x:c r="H253" s="136" t="n">
        <x:f aca="0"/>
        <x:v>0</x:v>
      </x:c>
      <x:c r="J253"/>
    </x:row>
    <x:row r="254" ht="15" hidden="0">
      <x:c r="A254" s="193" t="str">
        <x:v>Contractors bills (published-convention reconstruction)</x:v>
      </x:c>
      <x:c r="B254" s="193"/>
      <x:c r="C254" s="136" t="n">
        <x:v>0</x:v>
      </x:c>
      <x:c r="D254" s="136" t="n">
        <x:v>0</x:v>
      </x:c>
      <x:c r="E254" s="136" t="n">
        <x:v>0</x:v>
      </x:c>
      <x:c r="F254" s="136" t="n">
        <x:v>0</x:v>
      </x:c>
      <x:c r="G254" s="136" t="n">
        <x:v>0</x:v>
      </x:c>
      <x:c r="H254" s="136" t="n">
        <x:v>0</x:v>
      </x:c>
    </x:row>
    <x:row r="255" ht="15" hidden="0">
      <x:c r="A255" s="193" t="str">
        <x:v>Bank interest (published coverage reconstruction)</x:v>
      </x:c>
      <x:c r="B255" s="193"/>
      <x:c r="C255" s="136" t="n">
        <x:v>0</x:v>
      </x:c>
      <x:c r="D255" s="136" t="n">
        <x:f aca="0"/>
        <x:v>0</x:v>
      </x:c>
      <x:c r="E255" s="136" t="n">
        <x:f aca="0"/>
        <x:v>0</x:v>
      </x:c>
      <x:c r="F255" s="136" t="n">
        <x:f aca="0"/>
        <x:v>0</x:v>
      </x:c>
      <x:c r="G255" s="136" t="n">
        <x:f aca="0"/>
        <x:v>0</x:v>
      </x:c>
      <x:c r="H255" s="136" t="n">
        <x:f aca="0"/>
        <x:v>0</x:v>
      </x:c>
    </x:row>
    <x:row r="256" ht="15" hidden="0">
      <x:c r="A256" s="193" t="str">
        <x:v>Gross on-demand parent loan (published liquidity)</x:v>
      </x:c>
      <x:c r="B256" s="193"/>
      <x:c r="C256" s="136" t="n">
        <x:v>0</x:v>
      </x:c>
      <x:c r="D256" s="136" t="n">
        <x:f aca="0"/>
        <x:v>0</x:v>
      </x:c>
      <x:c r="E256" s="136" t="n">
        <x:f aca="0"/>
        <x:v>0</x:v>
      </x:c>
      <x:c r="F256" s="136" t="n">
        <x:f aca="0"/>
        <x:v>0</x:v>
      </x:c>
      <x:c r="G256" s="136" t="n">
        <x:f aca="0"/>
        <x:v>0</x:v>
      </x:c>
      <x:c r="H256" s="136" t="n">
        <x:f aca="0"/>
        <x:v>0</x:v>
      </x:c>
    </x:row>
    <x:row r="257" ht="15" hidden="0">
      <x:c r="A257" s="193" t="str">
        <x:v>Cash equivalents (published cash-ratio reconstruction)</x:v>
      </x:c>
      <x:c r="B257" s="193"/>
      <x:c r="C257" s="136" t="n">
        <x:v>0</x:v>
      </x:c>
      <x:c r="D257" s="136" t="n">
        <x:f aca="0"/>
        <x:v>0</x:v>
      </x:c>
      <x:c r="E257" s="136" t="n">
        <x:f aca="0"/>
        <x:v>0</x:v>
      </x:c>
      <x:c r="F257" s="136" t="n">
        <x:f aca="0"/>
        <x:v>0</x:v>
      </x:c>
      <x:c r="G257" s="136" t="n">
        <x:f aca="0"/>
        <x:v>0</x:v>
      </x:c>
      <x:c r="H257" s="136" t="n">
        <x:f aca="0"/>
        <x:v>0</x:v>
      </x:c>
      <x:c r="J257"/>
    </x:row>
    <x:row r="258" ht="35" hidden="0" customHeight="1">
      <x:c r="A258" s="208" t="str">
        <x:v>ADP and other receivables (published quick exclusion)</x:v>
      </x:c>
      <x:c r="B258" s="208"/>
      <x:c r="D258" t="n">
        <x:v>488.566</x:v>
      </x:c>
      <x:c r="E258" t="n">
        <x:v>1430.613</x:v>
      </x:c>
      <x:c r="F258" t="n">
        <x:v>926.047</x:v>
      </x:c>
      <x:c r="G258" t="n">
        <x:v>160.289</x:v>
      </x:c>
      <x:c r="H258" t="n">
        <x:v>1345.673</x:v>
      </x:c>
    </x:row>
    <x:row r="259" ht="15" hidden="0">
      <x:c r="A259" s="193"/>
      <x:c r="B259" s="193"/>
      <x:c r="D259">
        <x:f aca="0"/>
      </x:c>
      <x:c r="E259">
        <x:f aca="0"/>
      </x:c>
      <x:c r="F259">
        <x:f aca="0"/>
      </x:c>
      <x:c r="G259">
        <x:f aca="0"/>
      </x:c>
      <x:c r="H259">
        <x:f aca="0"/>
      </x:c>
    </x:row>
    <x:row r="260" ht="15" hidden="0">
      <x:c r="A260" s="206" t="str">
        <x:v>Sources: KOHC FY2025 note 6.1 (PDF p89); FCCL FY2025 note 11 (PDF p268), FY2024 note 10; MLCF trade-payable and related-party notes.</x:v>
      </x:c>
      <x:c r="B260" s="206"/>
      <x:c r="C260" s="135"/>
      <x:c r="D260" s="135">
        <x:f aca="0"/>
      </x:c>
      <x:c r="E260" s="135">
        <x:f aca="0"/>
      </x:c>
      <x:c r="F260" s="135">
        <x:f aca="0"/>
      </x:c>
      <x:c r="G260" s="135">
        <x:f aca="0"/>
      </x:c>
      <x:c r="H260" s="135">
        <x:f aca="0"/>
      </x:c>
    </x:row>
    <x:row r="261" ht="15" hidden="0">
      <x:c r="A261" s="193"/>
      <x:c r="B261" s="193"/>
      <x:c r="D261">
        <x:f aca="0"/>
      </x:c>
      <x:c r="E261">
        <x:f aca="0"/>
      </x:c>
      <x:c r="F261">
        <x:f aca="0"/>
      </x:c>
      <x:c r="G261">
        <x:f aca="0"/>
      </x:c>
      <x:c r="H261">
        <x:f aca="0"/>
      </x:c>
      <x:c r="J261"/>
    </x:row>
    <x:row r="262" ht="15" hidden="0">
      <x:c r="A262" s="193"/>
      <x:c r="B262" s="193"/>
      <x:c r="D262"/>
      <x:c r="E262"/>
      <x:c r="F262"/>
      <x:c r="G262"/>
      <x:c r="H262"/>
    </x:row>
    <x:row r="263" ht="15" hidden="0">
      <x:c r="A263" s="193"/>
      <x:c r="B263" s="193"/>
      <x:c r="D263">
        <x:f aca="0"/>
      </x:c>
      <x:c r="E263">
        <x:f aca="0"/>
      </x:c>
      <x:c r="F263">
        <x:f aca="0"/>
      </x:c>
      <x:c r="G263">
        <x:f aca="0"/>
      </x:c>
      <x:c r="H263">
        <x:f aca="0"/>
      </x:c>
    </x:row>
    <x:row r="264" ht="15" hidden="0">
      <x:c r="A264" s="193"/>
      <x:c r="B264" s="193"/>
      <x:c r="D264">
        <x:f aca="0"/>
      </x:c>
      <x:c r="E264">
        <x:f aca="0"/>
      </x:c>
      <x:c r="F264">
        <x:f aca="0"/>
      </x:c>
      <x:c r="G264">
        <x:f aca="0"/>
      </x:c>
      <x:c r="H264">
        <x:f aca="0"/>
      </x:c>
    </x:row>
    <x:row r="265" ht="15" hidden="0">
      <x:c r="A265" s="193"/>
      <x:c r="B265" s="193"/>
      <x:c r="D265">
        <x:f aca="0"/>
      </x:c>
      <x:c r="E265">
        <x:f aca="0"/>
      </x:c>
      <x:c r="F265">
        <x:f aca="0"/>
      </x:c>
      <x:c r="G265">
        <x:f aca="0"/>
      </x:c>
      <x:c r="H265">
        <x:f aca="0"/>
      </x:c>
      <x:c r="J265"/>
    </x:row>
    <x:row r="266" ht="15" hidden="0">
      <x:c r="A266" s="193"/>
      <x:c r="B266" s="193"/>
      <x:c r="D266"/>
      <x:c r="E266"/>
      <x:c r="F266"/>
      <x:c r="G266"/>
      <x:c r="H266"/>
    </x:row>
    <x:row r="267" ht="15" hidden="0">
      <x:c r="A267" s="193"/>
      <x:c r="B267" s="193"/>
      <x:c r="D267">
        <x:f aca="0"/>
      </x:c>
      <x:c r="E267">
        <x:f aca="0"/>
      </x:c>
      <x:c r="F267">
        <x:f aca="0"/>
      </x:c>
      <x:c r="G267">
        <x:f aca="0"/>
      </x:c>
      <x:c r="H267">
        <x:f aca="0"/>
      </x:c>
    </x:row>
    <x:row r="268" ht="15" hidden="0">
      <x:c r="A268" s="193"/>
      <x:c r="B268" s="193"/>
      <x:c r="D268">
        <x:f aca="0"/>
      </x:c>
      <x:c r="E268">
        <x:f aca="0"/>
      </x:c>
      <x:c r="F268">
        <x:f aca="0"/>
      </x:c>
      <x:c r="G268">
        <x:f aca="0"/>
      </x:c>
      <x:c r="H268">
        <x:f aca="0"/>
      </x:c>
    </x:row>
    <x:row r="269" ht="15" hidden="0">
      <x:c r="A269" s="193"/>
      <x:c r="B269" s="193"/>
      <x:c r="D269">
        <x:f aca="0"/>
      </x:c>
      <x:c r="E269">
        <x:f aca="0"/>
      </x:c>
      <x:c r="F269">
        <x:f aca="0"/>
      </x:c>
      <x:c r="G269">
        <x:f aca="0"/>
      </x:c>
      <x:c r="H269">
        <x:f aca="0"/>
      </x:c>
      <x:c r="J269"/>
    </x:row>
    <x:row r="270" ht="15" hidden="0">
      <x:c r="A270" s="193"/>
      <x:c r="B270" s="193"/>
      <x:c r="D270"/>
      <x:c r="E270"/>
      <x:c r="F270"/>
      <x:c r="G270"/>
      <x:c r="H270"/>
    </x:row>
    <x:row r="271" ht="15" hidden="0">
      <x:c r="A271" s="193"/>
      <x:c r="B271" s="193"/>
      <x:c r="D271">
        <x:f aca="0"/>
      </x:c>
      <x:c r="E271">
        <x:f aca="0"/>
      </x:c>
      <x:c r="F271">
        <x:f aca="0"/>
      </x:c>
      <x:c r="G271">
        <x:f aca="0"/>
      </x:c>
      <x:c r="H271">
        <x:f aca="0"/>
      </x:c>
    </x:row>
    <x:row r="272" ht="15" hidden="0">
      <x:c r="A272" s="193"/>
      <x:c r="B272" s="193"/>
      <x:c r="D272">
        <x:f aca="0"/>
      </x:c>
      <x:c r="E272">
        <x:f aca="0"/>
      </x:c>
      <x:c r="F272">
        <x:f aca="0"/>
      </x:c>
      <x:c r="G272">
        <x:f aca="0"/>
      </x:c>
      <x:c r="H272">
        <x:f aca="0"/>
      </x:c>
    </x:row>
    <x:row r="273" ht="15" hidden="0">
      <x:c r="A273" s="193"/>
      <x:c r="B273" s="193"/>
      <x:c r="D273">
        <x:f aca="0"/>
      </x:c>
      <x:c r="E273">
        <x:f aca="0"/>
      </x:c>
      <x:c r="F273">
        <x:f aca="0"/>
      </x:c>
      <x:c r="G273">
        <x:f aca="0"/>
      </x:c>
      <x:c r="H273">
        <x:f aca="0"/>
      </x:c>
      <x:c r="J273"/>
    </x:row>
    <x:row r="274" ht="15" hidden="0">
      <x:c r="A274" s="193"/>
      <x:c r="B274" s="193"/>
      <x:c r="D274"/>
      <x:c r="E274"/>
      <x:c r="F274"/>
      <x:c r="G274"/>
      <x:c r="H274"/>
    </x:row>
    <x:row r="275" ht="15" hidden="0">
      <x:c r="A275" s="193"/>
      <x:c r="B275" s="193"/>
      <x:c r="D275">
        <x:f aca="0"/>
      </x:c>
      <x:c r="E275">
        <x:f aca="0"/>
      </x:c>
      <x:c r="F275">
        <x:f aca="0"/>
      </x:c>
      <x:c r="G275">
        <x:f aca="0"/>
      </x:c>
      <x:c r="H275">
        <x:f aca="0"/>
      </x:c>
    </x:row>
    <x:row r="276" ht="15" hidden="0">
      <x:c r="A276" s="193"/>
      <x:c r="B276" s="193"/>
      <x:c r="D276">
        <x:f aca="0"/>
      </x:c>
      <x:c r="E276">
        <x:f aca="0"/>
      </x:c>
      <x:c r="F276">
        <x:f aca="0"/>
      </x:c>
      <x:c r="G276">
        <x:f aca="0"/>
      </x:c>
      <x:c r="H276">
        <x:f aca="0"/>
      </x:c>
    </x:row>
    <x:row r="277" ht="15" hidden="0">
      <x:c r="A277" s="193"/>
      <x:c r="B277" s="193"/>
      <x:c r="D277">
        <x:f aca="0"/>
      </x:c>
      <x:c r="E277">
        <x:f aca="0"/>
      </x:c>
      <x:c r="F277">
        <x:f aca="0"/>
      </x:c>
      <x:c r="G277">
        <x:f aca="0"/>
      </x:c>
      <x:c r="H277">
        <x:f aca="0"/>
      </x:c>
      <x:c r="J277"/>
    </x:row>
    <x:row r="278" ht="15" hidden="0">
      <x:c r="A278" s="193"/>
      <x:c r="B278" s="193"/>
      <x:c r="D278"/>
      <x:c r="E278"/>
      <x:c r="F278"/>
      <x:c r="G278"/>
      <x:c r="H278"/>
    </x:row>
    <x:row r="279" ht="15" hidden="0">
      <x:c r="A279" s="193"/>
      <x:c r="B279" s="193"/>
      <x:c r="D279">
        <x:f aca="0"/>
      </x:c>
      <x:c r="E279">
        <x:f aca="0"/>
      </x:c>
      <x:c r="F279">
        <x:f aca="0"/>
      </x:c>
      <x:c r="G279">
        <x:f aca="0"/>
      </x:c>
      <x:c r="H279">
        <x:f aca="0"/>
      </x:c>
    </x:row>
    <x:row r="280" ht="15" hidden="0">
      <x:c r="A280" s="193"/>
      <x:c r="B280" s="193"/>
      <x:c r="D280">
        <x:f aca="0"/>
      </x:c>
      <x:c r="E280">
        <x:f aca="0"/>
      </x:c>
      <x:c r="F280">
        <x:f aca="0"/>
      </x:c>
      <x:c r="G280">
        <x:f aca="0"/>
      </x:c>
      <x:c r="H280">
        <x:f aca="0"/>
      </x:c>
    </x:row>
    <x:row r="281" ht="15" hidden="0">
      <x:c r="A281" s="193"/>
      <x:c r="B281" s="193"/>
      <x:c r="D281">
        <x:f aca="0"/>
      </x:c>
      <x:c r="E281">
        <x:f aca="0"/>
      </x:c>
      <x:c r="F281">
        <x:f aca="0"/>
      </x:c>
      <x:c r="G281">
        <x:f aca="0"/>
      </x:c>
      <x:c r="H281">
        <x:f aca="0"/>
      </x:c>
      <x:c r="J281"/>
    </x:row>
    <x:row r="282" ht="15" hidden="0">
      <x:c r="A282" s="193"/>
      <x:c r="B282" s="193"/>
      <x:c r="D282"/>
      <x:c r="E282"/>
      <x:c r="F282"/>
      <x:c r="G282"/>
      <x:c r="H282"/>
    </x:row>
    <x:row r="283" ht="15" hidden="0">
      <x:c r="A283" s="193"/>
      <x:c r="B283" s="193"/>
      <x:c r="D283">
        <x:f aca="0"/>
      </x:c>
      <x:c r="E283">
        <x:f aca="0"/>
      </x:c>
      <x:c r="F283">
        <x:f aca="0"/>
      </x:c>
      <x:c r="G283">
        <x:f aca="0"/>
      </x:c>
      <x:c r="H283">
        <x:f aca="0"/>
      </x:c>
    </x:row>
    <x:row r="284" ht="15" hidden="0">
      <x:c r="A284" s="193"/>
      <x:c r="B284" s="193"/>
      <x:c r="D284">
        <x:f aca="0"/>
      </x:c>
      <x:c r="E284">
        <x:f aca="0"/>
      </x:c>
      <x:c r="F284">
        <x:f aca="0"/>
      </x:c>
      <x:c r="G284">
        <x:f aca="0"/>
      </x:c>
      <x:c r="H284">
        <x:f aca="0"/>
      </x:c>
    </x:row>
    <x:row r="285" ht="15" hidden="0">
      <x:c r="A285" s="193"/>
      <x:c r="B285" s="193"/>
      <x:c r="D285">
        <x:f aca="0"/>
      </x:c>
      <x:c r="E285">
        <x:f aca="0"/>
      </x:c>
      <x:c r="F285">
        <x:f aca="0"/>
      </x:c>
      <x:c r="G285">
        <x:f aca="0"/>
      </x:c>
      <x:c r="H285">
        <x:f aca="0"/>
      </x:c>
      <x:c r="J285"/>
    </x:row>
    <x:row r="286" ht="15" hidden="0">
      <x:c r="A286" s="193"/>
      <x:c r="B286" s="193"/>
      <x:c r="D286"/>
      <x:c r="E286"/>
      <x:c r="F286"/>
      <x:c r="G286"/>
      <x:c r="H286"/>
    </x:row>
    <x:row r="287" ht="15" hidden="0">
      <x:c r="A287" s="193"/>
      <x:c r="B287" s="193"/>
      <x:c r="D287">
        <x:f aca="0"/>
      </x:c>
      <x:c r="E287">
        <x:f aca="0"/>
      </x:c>
      <x:c r="F287">
        <x:f aca="0"/>
      </x:c>
      <x:c r="G287">
        <x:f aca="0"/>
      </x:c>
      <x:c r="H287">
        <x:f aca="0"/>
      </x:c>
    </x:row>
    <x:row r="288" ht="15" hidden="0">
      <x:c r="A288" s="193"/>
      <x:c r="B288" s="193"/>
      <x:c r="D288">
        <x:f aca="0"/>
      </x:c>
      <x:c r="E288">
        <x:f aca="0"/>
      </x:c>
      <x:c r="F288">
        <x:f aca="0"/>
      </x:c>
      <x:c r="G288">
        <x:f aca="0"/>
      </x:c>
      <x:c r="H288">
        <x:f aca="0"/>
      </x:c>
    </x:row>
    <x:row r="289" ht="15" hidden="0">
      <x:c r="A289" s="193"/>
      <x:c r="B289" s="193"/>
      <x:c r="D289">
        <x:f aca="0"/>
      </x:c>
      <x:c r="E289">
        <x:f aca="0"/>
      </x:c>
      <x:c r="F289">
        <x:f aca="0"/>
      </x:c>
      <x:c r="G289">
        <x:f aca="0"/>
      </x:c>
      <x:c r="H289">
        <x:f aca="0"/>
      </x:c>
      <x:c r="J289"/>
    </x:row>
    <x:row r="290" ht="15" hidden="0">
      <x:c r="A290" s="193"/>
      <x:c r="B290" s="193"/>
      <x:c r="D290"/>
      <x:c r="E290"/>
      <x:c r="F290"/>
      <x:c r="G290"/>
      <x:c r="H290"/>
    </x:row>
    <x:row r="291" ht="15" hidden="0">
      <x:c r="A291" s="193"/>
      <x:c r="B291" s="193"/>
      <x:c r="D291">
        <x:f aca="0"/>
      </x:c>
      <x:c r="E291">
        <x:f aca="0"/>
      </x:c>
      <x:c r="F291">
        <x:f aca="0"/>
      </x:c>
      <x:c r="G291">
        <x:f aca="0"/>
      </x:c>
      <x:c r="H291">
        <x:f aca="0"/>
      </x:c>
    </x:row>
    <x:row r="292" ht="15" hidden="0">
      <x:c r="A292" s="193"/>
      <x:c r="B292" s="193"/>
      <x:c r="D292">
        <x:f aca="0"/>
      </x:c>
      <x:c r="E292">
        <x:f aca="0"/>
      </x:c>
      <x:c r="F292">
        <x:f aca="0"/>
      </x:c>
      <x:c r="G292">
        <x:f aca="0"/>
      </x:c>
      <x:c r="H292">
        <x:f aca="0"/>
      </x:c>
    </x:row>
    <x:row r="293" ht="15" hidden="0">
      <x:c r="A293" s="193"/>
      <x:c r="B293" s="193"/>
      <x:c r="D293">
        <x:f aca="0"/>
      </x:c>
      <x:c r="E293">
        <x:f aca="0"/>
      </x:c>
      <x:c r="F293">
        <x:f aca="0"/>
      </x:c>
      <x:c r="G293">
        <x:f aca="0"/>
      </x:c>
      <x:c r="H293">
        <x:f aca="0"/>
      </x:c>
      <x:c r="J293"/>
    </x:row>
    <x:row r="294" ht="15" hidden="0">
      <x:c r="A294" s="193"/>
      <x:c r="B294" s="193"/>
      <x:c r="D294"/>
      <x:c r="E294"/>
      <x:c r="F294"/>
      <x:c r="G294"/>
      <x:c r="H294"/>
    </x:row>
    <x:row r="295" ht="15" hidden="0">
      <x:c r="A295" s="193"/>
      <x:c r="B295" s="193"/>
      <x:c r="D295">
        <x:f aca="0"/>
      </x:c>
      <x:c r="E295">
        <x:f aca="0"/>
      </x:c>
      <x:c r="F295">
        <x:f aca="0"/>
      </x:c>
      <x:c r="G295">
        <x:f aca="0"/>
      </x:c>
      <x:c r="H295">
        <x:f aca="0"/>
      </x:c>
    </x:row>
    <x:row r="296" ht="15" hidden="0">
      <x:c r="A296" s="193"/>
      <x:c r="B296" s="193"/>
      <x:c r="D296">
        <x:f aca="0"/>
      </x:c>
      <x:c r="E296">
        <x:f aca="0"/>
      </x:c>
      <x:c r="F296">
        <x:f aca="0"/>
      </x:c>
      <x:c r="G296">
        <x:f aca="0"/>
      </x:c>
      <x:c r="H296">
        <x:f aca="0"/>
      </x:c>
    </x:row>
    <x:row r="297" ht="15" hidden="0">
      <x:c r="A297" s="193"/>
      <x:c r="B297" s="193"/>
      <x:c r="D297">
        <x:f aca="0"/>
      </x:c>
      <x:c r="E297">
        <x:f aca="0"/>
      </x:c>
      <x:c r="F297">
        <x:f aca="0"/>
      </x:c>
      <x:c r="G297">
        <x:f aca="0"/>
      </x:c>
      <x:c r="H297">
        <x:f aca="0"/>
      </x:c>
      <x:c r="J297"/>
    </x:row>
    <x:row r="298" ht="15" hidden="0">
      <x:c r="A298" s="193"/>
      <x:c r="B298" s="193"/>
      <x:c r="D298"/>
      <x:c r="E298"/>
      <x:c r="F298"/>
      <x:c r="G298"/>
      <x:c r="H298"/>
    </x:row>
    <x:row r="299" ht="15" hidden="0">
      <x:c r="A299" s="193"/>
      <x:c r="B299" s="193"/>
      <x:c r="D299">
        <x:f aca="0"/>
      </x:c>
      <x:c r="E299">
        <x:f aca="0"/>
      </x:c>
      <x:c r="F299">
        <x:f aca="0"/>
      </x:c>
      <x:c r="G299">
        <x:f aca="0"/>
      </x:c>
      <x:c r="H299">
        <x:f aca="0"/>
      </x:c>
    </x:row>
    <x:row r="300" ht="15" hidden="0">
      <x:c r="A300" s="193"/>
      <x:c r="B300" s="193"/>
      <x:c r="D300">
        <x:f aca="0"/>
      </x:c>
      <x:c r="E300">
        <x:f aca="0"/>
      </x:c>
      <x:c r="F300">
        <x:f aca="0"/>
      </x:c>
      <x:c r="G300">
        <x:f aca="0"/>
      </x:c>
      <x:c r="H300">
        <x:f aca="0"/>
      </x:c>
    </x:row>
    <x:row r="301" ht="15" hidden="0">
      <x:c r="A301" s="193"/>
      <x:c r="B301" s="193"/>
      <x:c r="D301">
        <x:f aca="0"/>
      </x:c>
      <x:c r="E301">
        <x:f aca="0"/>
      </x:c>
      <x:c r="F301">
        <x:f aca="0"/>
      </x:c>
      <x:c r="G301">
        <x:f aca="0"/>
      </x:c>
      <x:c r="H301">
        <x:f aca="0"/>
      </x:c>
      <x:c r="J301"/>
    </x:row>
    <x:row r="302" ht="15" hidden="0">
      <x:c r="A302" s="193"/>
      <x:c r="B302" s="193"/>
      <x:c r="D302"/>
      <x:c r="E302"/>
      <x:c r="F302"/>
      <x:c r="G302"/>
      <x:c r="H302"/>
    </x:row>
    <x:row r="303" ht="15" hidden="0">
      <x:c r="A303" s="193"/>
      <x:c r="B303" s="193"/>
      <x:c r="D303">
        <x:f aca="0"/>
      </x:c>
      <x:c r="E303">
        <x:f aca="0"/>
      </x:c>
      <x:c r="F303">
        <x:f aca="0"/>
      </x:c>
      <x:c r="G303">
        <x:f aca="0"/>
      </x:c>
      <x:c r="H303">
        <x:f aca="0"/>
      </x:c>
    </x:row>
    <x:row r="304" ht="15" hidden="0">
      <x:c r="A304" s="193"/>
      <x:c r="B304" s="193"/>
      <x:c r="D304">
        <x:f aca="0"/>
      </x:c>
      <x:c r="E304">
        <x:f aca="0"/>
      </x:c>
      <x:c r="F304">
        <x:f aca="0"/>
      </x:c>
      <x:c r="G304">
        <x:f aca="0"/>
      </x:c>
      <x:c r="H304">
        <x:f aca="0"/>
      </x:c>
    </x:row>
    <x:row r="305" ht="15" hidden="0">
      <x:c r="A305" s="193"/>
      <x:c r="B305" s="193"/>
      <x:c r="D305">
        <x:f aca="0"/>
      </x:c>
      <x:c r="E305">
        <x:f aca="0"/>
      </x:c>
      <x:c r="F305">
        <x:f aca="0"/>
      </x:c>
      <x:c r="G305">
        <x:f aca="0"/>
      </x:c>
      <x:c r="H305">
        <x:f aca="0"/>
      </x:c>
      <x:c r="J305"/>
    </x:row>
    <x:row r="306" ht="15" hidden="0">
      <x:c r="A306" s="193"/>
      <x:c r="B306" s="193"/>
      <x:c r="D306"/>
      <x:c r="E306"/>
      <x:c r="F306"/>
      <x:c r="G306"/>
      <x:c r="H306"/>
    </x:row>
    <x:row r="307" ht="15" hidden="0">
      <x:c r="A307" s="193"/>
      <x:c r="B307" s="193"/>
      <x:c r="D307">
        <x:f aca="0"/>
      </x:c>
      <x:c r="E307">
        <x:f aca="0"/>
      </x:c>
      <x:c r="F307">
        <x:f aca="0"/>
      </x:c>
      <x:c r="G307">
        <x:f aca="0"/>
      </x:c>
      <x:c r="H307">
        <x:f aca="0"/>
      </x:c>
    </x:row>
    <x:row r="308" ht="15" hidden="0">
      <x:c r="A308" s="193"/>
      <x:c r="B308" s="193"/>
      <x:c r="D308">
        <x:f aca="0"/>
      </x:c>
      <x:c r="E308">
        <x:f aca="0"/>
      </x:c>
      <x:c r="F308">
        <x:f aca="0"/>
      </x:c>
      <x:c r="G308">
        <x:f aca="0"/>
      </x:c>
      <x:c r="H308">
        <x:f aca="0"/>
      </x:c>
    </x:row>
    <x:row r="309" ht="15" hidden="0">
      <x:c r="A309" s="193"/>
      <x:c r="B309" s="193"/>
      <x:c r="D309">
        <x:f aca="0"/>
      </x:c>
      <x:c r="E309">
        <x:f aca="0"/>
      </x:c>
      <x:c r="F309">
        <x:f aca="0"/>
      </x:c>
      <x:c r="G309">
        <x:f aca="0"/>
      </x:c>
      <x:c r="H309">
        <x:f aca="0"/>
      </x:c>
      <x:c r="J309"/>
    </x:row>
    <x:row r="310" ht="15" hidden="0">
      <x:c r="A310" s="193"/>
      <x:c r="B310" s="193"/>
      <x:c r="D310"/>
      <x:c r="E310"/>
      <x:c r="F310"/>
      <x:c r="G310"/>
      <x:c r="H310"/>
    </x:row>
    <x:row r="311" ht="15" hidden="0">
      <x:c r="A311" s="193"/>
      <x:c r="B311" s="193"/>
      <x:c r="D311">
        <x:f aca="0"/>
      </x:c>
      <x:c r="E311">
        <x:f aca="0"/>
      </x:c>
      <x:c r="F311">
        <x:f aca="0"/>
      </x:c>
      <x:c r="G311">
        <x:f aca="0"/>
      </x:c>
      <x:c r="H311">
        <x:f aca="0"/>
      </x:c>
    </x:row>
    <x:row r="312" ht="15" hidden="0">
      <x:c r="A312" s="193"/>
      <x:c r="B312" s="193"/>
      <x:c r="D312">
        <x:f aca="0"/>
      </x:c>
      <x:c r="E312">
        <x:f aca="0"/>
      </x:c>
      <x:c r="F312">
        <x:f aca="0"/>
      </x:c>
      <x:c r="G312">
        <x:f aca="0"/>
      </x:c>
      <x:c r="H312">
        <x:f aca="0"/>
      </x:c>
    </x:row>
    <x:row r="313">
      <x:c r="A313" s="193"/>
      <x:c r="B313" s="193"/>
    </x:row>
    <x:row r="314">
      <x:c r="A314" s="193"/>
      <x:c r="B314" s="193"/>
    </x:row>
    <x:row r="315">
      <x:c r="A315" s="193"/>
      <x:c r="B315" s="193"/>
    </x:row>
    <x:row r="316">
      <x:c r="A316" s="193"/>
      <x:c r="B316" s="193"/>
    </x:row>
    <x:row r="317">
      <x:c r="A317" s="193"/>
      <x:c r="B317" s="193"/>
    </x:row>
    <x:row r="318">
      <x:c r="A318" s="193"/>
      <x:c r="B318" s="193"/>
    </x:row>
    <x:row r="319">
      <x:c r="A319" s="193"/>
      <x:c r="B319" s="193"/>
    </x:row>
    <x:row r="320">
      <x:c r="A320" s="193"/>
      <x:c r="B320" s="193"/>
    </x:row>
    <x:row r="321">
      <x:c r="A321" s="193"/>
      <x:c r="B321" s="193"/>
    </x:row>
    <x:row r="322">
      <x:c r="A322" s="193"/>
      <x:c r="B322" s="193"/>
    </x:row>
    <x:row r="323">
      <x:c r="A323" s="193"/>
      <x:c r="B323" s="193"/>
    </x:row>
    <x:row r="324">
      <x:c r="A324" s="193"/>
      <x:c r="B324" s="193"/>
    </x:row>
    <x:row r="325">
      <x:c r="A325" s="193"/>
      <x:c r="B325" s="193"/>
    </x:row>
    <x:row r="326">
      <x:c r="A326" s="193"/>
      <x:c r="B326" s="193"/>
    </x:row>
    <x:row r="327">
      <x:c r="A327" s="193"/>
      <x:c r="B327" s="193"/>
    </x:row>
    <x:row r="328">
      <x:c r="A328" s="193"/>
      <x:c r="B328" s="193"/>
    </x:row>
    <x:row r="329">
      <x:c r="A329" s="193"/>
      <x:c r="B329" s="193"/>
    </x:row>
    <x:row r="330">
      <x:c r="A330" s="193"/>
      <x:c r="B330" s="193"/>
    </x:row>
    <x:row r="331">
      <x:c r="A331" s="193"/>
      <x:c r="B331" s="193"/>
    </x:row>
    <x:row r="332">
      <x:c r="A332" s="193"/>
      <x:c r="B332" s="193"/>
    </x:row>
    <x:row r="333">
      <x:c r="A333" s="193"/>
      <x:c r="B333" s="193"/>
    </x:row>
    <x:row r="334">
      <x:c r="A334" s="193"/>
      <x:c r="B334" s="193"/>
    </x:row>
    <x:row r="335">
      <x:c r="A335" s="193"/>
      <x:c r="B335" s="193"/>
    </x:row>
    <x:row r="336">
      <x:c r="A336" s="193"/>
      <x:c r="B336" s="193"/>
    </x:row>
    <x:row r="337">
      <x:c r="A337" s="193"/>
      <x:c r="B337" s="193"/>
    </x:row>
    <x:row r="338">
      <x:c r="A338" s="193"/>
      <x:c r="B338" s="193"/>
    </x:row>
    <x:row r="339">
      <x:c r="A339" s="193"/>
      <x:c r="B339" s="193"/>
    </x:row>
    <x:row r="340">
      <x:c r="A340" s="193"/>
      <x:c r="B340" s="193"/>
    </x:row>
    <x:row r="341">
      <x:c r="A341" s="193"/>
      <x:c r="B341" s="193"/>
    </x:row>
    <x:row r="342">
      <x:c r="A342" s="193"/>
      <x:c r="B342" s="193"/>
    </x:row>
    <x:row r="343">
      <x:c r="A343" s="193"/>
      <x:c r="B343" s="193"/>
    </x:row>
    <x:row r="344">
      <x:c r="A344" s="193"/>
      <x:c r="B344" s="193"/>
    </x:row>
    <x:row r="345">
      <x:c r="A345" s="193"/>
      <x:c r="B345" s="193"/>
    </x:row>
    <x:row r="346">
      <x:c r="A346" s="193"/>
      <x:c r="B346" s="193"/>
    </x:row>
    <x:row r="347">
      <x:c r="A347" s="193"/>
      <x:c r="B347" s="193"/>
    </x:row>
    <x:row r="348">
      <x:c r="A348" s="193"/>
      <x:c r="B348" s="193"/>
    </x:row>
    <x:row r="349">
      <x:c r="A349" s="193"/>
      <x:c r="B349" s="193"/>
    </x:row>
    <x:row r="350">
      <x:c r="A350" s="193"/>
      <x:c r="B350" s="193"/>
    </x:row>
    <x:row r="351">
      <x:c r="A351" s="193"/>
      <x:c r="B351" s="193"/>
    </x:row>
    <x:row r="352">
      <x:c r="A352" s="193"/>
      <x:c r="B352" s="193"/>
    </x:row>
    <x:row r="353">
      <x:c r="A353" s="193"/>
      <x:c r="B353" s="193"/>
    </x:row>
    <x:row r="354">
      <x:c r="A354" s="193"/>
      <x:c r="B354" s="193"/>
    </x:row>
    <x:row r="355">
      <x:c r="A355" s="193"/>
      <x:c r="B355" s="193"/>
    </x:row>
    <x:row r="356">
      <x:c r="A356" s="193"/>
      <x:c r="B356" s="193"/>
    </x:row>
    <x:row r="357">
      <x:c r="A357" s="193"/>
      <x:c r="B357" s="193"/>
    </x:row>
    <x:row r="358">
      <x:c r="A358" s="193"/>
      <x:c r="B358" s="193"/>
    </x:row>
    <x:row r="359">
      <x:c r="A359" s="193"/>
      <x:c r="B359" s="193"/>
    </x:row>
    <x:row r="360">
      <x:c r="A360" s="193"/>
      <x:c r="B360" s="193"/>
    </x:row>
    <x:row r="361">
      <x:c r="A361" s="193"/>
      <x:c r="B361" s="193"/>
    </x:row>
    <x:row r="362">
      <x:c r="A362" s="193"/>
      <x:c r="B362" s="193"/>
    </x:row>
    <x:row r="363">
      <x:c r="A363" s="193"/>
      <x:c r="B363" s="193"/>
    </x:row>
    <x:row r="364">
      <x:c r="A364" s="193"/>
      <x:c r="B364" s="193"/>
    </x:row>
    <x:row r="365">
      <x:c r="A365" s="193"/>
      <x:c r="B365" s="193"/>
    </x:row>
    <x:row r="366">
      <x:c r="A366" s="193"/>
      <x:c r="B366" s="193"/>
    </x:row>
    <x:row r="367">
      <x:c r="A367" s="193"/>
      <x:c r="B367" s="193"/>
    </x:row>
    <x:row r="368">
      <x:c r="A368" s="193"/>
      <x:c r="B368" s="193"/>
    </x:row>
    <x:row r="369">
      <x:c r="A369" s="193"/>
      <x:c r="B369" s="193"/>
    </x:row>
    <x:row r="370">
      <x:c r="A370" s="193"/>
      <x:c r="B370" s="193"/>
    </x:row>
    <x:row r="371">
      <x:c r="A371" s="193"/>
      <x:c r="B371" s="193"/>
    </x:row>
    <x:row r="372">
      <x:c r="A372" s="193"/>
      <x:c r="B372" s="193"/>
    </x:row>
    <x:row r="373">
      <x:c r="A373" s="193"/>
      <x:c r="B373" s="193"/>
    </x:row>
    <x:row r="374">
      <x:c r="A374" s="193"/>
      <x:c r="B374" s="193"/>
    </x:row>
    <x:row r="375">
      <x:c r="A375" s="193"/>
      <x:c r="B375" s="193"/>
    </x:row>
    <x:row r="376">
      <x:c r="A376" s="193"/>
      <x:c r="B376" s="193"/>
    </x:row>
    <x:row r="377">
      <x:c r="A377" s="193"/>
      <x:c r="B377" s="193"/>
    </x:row>
    <x:row r="378">
      <x:c r="A378" s="193"/>
      <x:c r="B378" s="193"/>
    </x:row>
    <x:row r="379">
      <x:c r="A379" s="193"/>
      <x:c r="B379" s="193"/>
    </x:row>
    <x:row r="380">
      <x:c r="A380" s="193"/>
      <x:c r="B380" s="193"/>
    </x:row>
    <x:row r="381">
      <x:c r="A381" s="193"/>
      <x:c r="B381" s="193"/>
    </x:row>
    <x:row r="382">
      <x:c r="A382" s="193"/>
      <x:c r="B382" s="193"/>
    </x:row>
    <x:row r="383">
      <x:c r="A383" s="193"/>
      <x:c r="B383" s="193"/>
    </x:row>
    <x:row r="384">
      <x:c r="A384" s="193"/>
      <x:c r="B384" s="193"/>
    </x:row>
    <x:row r="385">
      <x:c r="A385" s="193"/>
      <x:c r="B385" s="193"/>
    </x:row>
    <x:row r="386">
      <x:c r="A386" s="193"/>
      <x:c r="B386" s="193"/>
    </x:row>
    <x:row r="387">
      <x:c r="A387" s="193"/>
      <x:c r="B387" s="193"/>
    </x:row>
    <x:row r="388">
      <x:c r="A388" s="193"/>
      <x:c r="B388" s="193"/>
    </x:row>
    <x:row r="389">
      <x:c r="A389" s="193"/>
      <x:c r="B389" s="193"/>
    </x:row>
    <x:row r="390">
      <x:c r="A390" s="193"/>
      <x:c r="B390" s="193"/>
    </x:row>
    <x:row r="391">
      <x:c r="A391" s="193"/>
      <x:c r="B391" s="193"/>
    </x:row>
    <x:row r="392">
      <x:c r="A392" s="193"/>
      <x:c r="B392" s="193"/>
    </x:row>
    <x:row r="393">
      <x:c r="A393" s="193"/>
      <x:c r="B393" s="193"/>
    </x:row>
    <x:row r="394">
      <x:c r="A394" s="193"/>
      <x:c r="B394" s="193"/>
    </x:row>
    <x:row r="395">
      <x:c r="A395" s="193"/>
      <x:c r="B395" s="193"/>
    </x:row>
    <x:row r="396">
      <x:c r="A396" s="193"/>
      <x:c r="B396" s="193"/>
    </x:row>
    <x:row r="397">
      <x:c r="A397" s="193"/>
      <x:c r="B397" s="193"/>
    </x:row>
    <x:row r="398">
      <x:c r="A398" s="193"/>
      <x:c r="B398" s="193"/>
    </x:row>
    <x:row r="399">
      <x:c r="A399" s="193"/>
      <x:c r="B399" s="193"/>
    </x:row>
    <x:row r="400">
      <x:c r="A400" s="193"/>
      <x:c r="B400" s="193"/>
    </x:row>
  </x:sheetData>
  <x:mergeCells>
    <x:mergeCell ref="B6:J6"/>
    <x:mergeCell ref="B7:J7"/>
    <x:mergeCell ref="B8:J8"/>
    <x:mergeCell ref="B9:J9"/>
    <x:mergeCell ref="B10:J10"/>
    <x:mergeCell ref="B11:J11"/>
    <x:mergeCell ref="B12:J12"/>
    <x:mergeCell ref="B13:J13"/>
    <x:mergeCell ref="B14:J14"/>
    <x:mergeCell ref="B15:J15"/>
    <x:mergeCell ref="A137:H137"/>
    <x:mergeCell ref="A143:H143"/>
    <x:mergeCell ref="A154:H154"/>
    <x:mergeCell ref="A160:H160"/>
    <x:mergeCell ref="A168:H168"/>
    <x:mergeCell ref="A250:H250"/>
    <x:mergeCell ref="A258:B258"/>
  </x:mergeCells>
  <x:pageMargins left="0.7" right="0.7" top="0.75" bottom="0.75" header="0.3" footer="0.3"/>
  <x:drawing xmlns:r="http://schemas.openxmlformats.org/officeDocument/2006/relationships" r:id="R54c35290d61e48f7"/>
</x:worksheet>
</file>

<file path=xl/worksheets/sheet6.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92" t="s">
        <x:v>535</x:v>
      </x:c>
      <x:c r="B1" s="193"/>
    </x:row>
    <x:row r="2" ht="15" hidden="0">
      <x:c r="A2" s="194" t="s">
        <x:v>536</x:v>
      </x:c>
      <x:c r="B2" s="193"/>
    </x:row>
    <x:row r="3" ht="15" hidden="0">
      <x:c r="A3" s="195" t="s">
        <x:v>81</x:v>
      </x:c>
      <x:c r="B3" s="193"/>
    </x:row>
    <x:row r="4">
      <x:c r="A4" s="193"/>
      <x:c r="B4" s="193"/>
    </x:row>
    <x:row r="5" ht="15" hidden="0">
      <x:c r="A5" s="196" t="s">
        <x:v>82</x:v>
      </x:c>
      <x:c r="B5" s="197"/>
      <x:c r="C5" s="20"/>
      <x:c r="D5" s="20"/>
      <x:c r="E5" s="20"/>
      <x:c r="F5" s="20"/>
      <x:c r="G5" s="20"/>
      <x:c r="H5" s="20"/>
      <x:c r="I5" s="20"/>
      <x:c r="J5" s="20"/>
    </x:row>
    <x:row r="6" ht="15" hidden="0" customHeight="1">
      <x:c r="A6" s="198" t="s">
        <x:v>18</x:v>
      </x:c>
      <x:c r="B6" s="199" t="s">
        <x:v>42</x:v>
      </x:c>
      <x:c r="C6" s="21"/>
      <x:c r="D6" s="21"/>
      <x:c r="E6" s="21"/>
      <x:c r="F6" s="21"/>
      <x:c r="G6" s="21"/>
      <x:c r="H6" s="21"/>
      <x:c r="I6" s="21"/>
      <x:c r="J6" s="21"/>
    </x:row>
    <x:row r="7" ht="15" hidden="0" customHeight="1">
      <x:c r="A7" s="198" t="s">
        <x:v>83</x:v>
      </x:c>
      <x:c r="B7" s="199" t="s">
        <x:v>41</x:v>
      </x:c>
      <x:c r="C7" s="21"/>
      <x:c r="D7" s="21"/>
      <x:c r="E7" s="21"/>
      <x:c r="F7" s="21"/>
      <x:c r="G7" s="21"/>
      <x:c r="H7" s="21"/>
      <x:c r="I7" s="21"/>
      <x:c r="J7" s="21"/>
    </x:row>
    <x:row r="8" ht="15" hidden="0" customHeight="1">
      <x:c r="A8" s="198" t="s">
        <x:v>84</x:v>
      </x:c>
      <x:c r="B8" s="199" t="s">
        <x:v>43</x:v>
      </x:c>
      <x:c r="C8" s="21"/>
      <x:c r="D8" s="21"/>
      <x:c r="E8" s="21"/>
      <x:c r="F8" s="21"/>
      <x:c r="G8" s="21"/>
      <x:c r="H8" s="21"/>
      <x:c r="I8" s="21"/>
      <x:c r="J8" s="21"/>
    </x:row>
    <x:row r="9" ht="15" hidden="0" customHeight="1">
      <x:c r="A9" s="198" t="s">
        <x:v>85</x:v>
      </x:c>
      <x:c r="B9" s="199" t="s">
        <x:v>86</x:v>
      </x:c>
      <x:c r="C9" s="21"/>
      <x:c r="D9" s="21"/>
      <x:c r="E9" s="21"/>
      <x:c r="F9" s="21"/>
      <x:c r="G9" s="21"/>
      <x:c r="H9" s="21"/>
      <x:c r="I9" s="21"/>
      <x:c r="J9" s="21"/>
    </x:row>
    <x:row r="10" ht="15" hidden="0" customHeight="1">
      <x:c r="A10" s="198" t="s">
        <x:v>87</x:v>
      </x:c>
      <x:c r="B10" s="199" t="s">
        <x:v>396</x:v>
      </x:c>
      <x:c r="C10" s="21"/>
      <x:c r="D10" s="21"/>
      <x:c r="E10" s="21"/>
      <x:c r="F10" s="21"/>
      <x:c r="G10" s="21"/>
      <x:c r="H10" s="21"/>
      <x:c r="I10" s="21"/>
      <x:c r="J10" s="21"/>
    </x:row>
    <x:row r="11" ht="15" hidden="0" customHeight="1">
      <x:c r="A11" s="198" t="s">
        <x:v>89</x:v>
      </x:c>
      <x:c r="B11" s="199" t="s">
        <x:v>467</x:v>
      </x:c>
      <x:c r="C11" s="21"/>
      <x:c r="D11" s="21"/>
      <x:c r="E11" s="21"/>
      <x:c r="F11" s="21"/>
      <x:c r="G11" s="21"/>
      <x:c r="H11" s="21"/>
      <x:c r="I11" s="21"/>
      <x:c r="J11" s="21"/>
    </x:row>
    <x:row r="12" ht="15" hidden="0" customHeight="1">
      <x:c r="A12" s="198" t="s">
        <x:v>91</x:v>
      </x:c>
      <x:c r="B12" s="199" t="s">
        <x:v>398</x:v>
      </x:c>
      <x:c r="C12" s="21"/>
      <x:c r="D12" s="21"/>
      <x:c r="E12" s="21"/>
      <x:c r="F12" s="21"/>
      <x:c r="G12" s="21"/>
      <x:c r="H12" s="21"/>
      <x:c r="I12" s="21"/>
      <x:c r="J12" s="21"/>
    </x:row>
    <x:row r="13" ht="27.75" hidden="0" customHeight="1">
      <x:c r="A13" s="198" t="s">
        <x:v>93</x:v>
      </x:c>
      <x:c r="B13" s="199" t="s">
        <x:v>94</x:v>
      </x:c>
      <x:c r="C13" s="21"/>
      <x:c r="D13" s="21"/>
      <x:c r="E13" s="21"/>
      <x:c r="F13" s="21"/>
      <x:c r="G13" s="21"/>
      <x:c r="H13" s="21"/>
      <x:c r="I13" s="21"/>
      <x:c r="J13" s="21"/>
    </x:row>
    <x:row r="14" ht="27.75" hidden="0" customHeight="1">
      <x:c r="A14" s="198" t="s">
        <x:v>95</x:v>
      </x:c>
      <x:c r="B14" s="199"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198" t="s">
        <x:v>96</x:v>
      </x:c>
      <x:c r="B15" s="199" t="s">
        <x:v>97</x:v>
      </x:c>
      <x:c r="C15" s="21"/>
      <x:c r="D15" s="21"/>
      <x:c r="E15" s="21"/>
      <x:c r="F15" s="21"/>
      <x:c r="G15" s="21"/>
      <x:c r="H15" s="21"/>
      <x:c r="I15" s="21"/>
      <x:c r="J15" s="21"/>
    </x:row>
    <x:row r="16">
      <x:c r="A16" s="193"/>
      <x:c r="B16" s="193"/>
    </x:row>
    <x:row r="17" ht="15" hidden="0">
      <x:c r="A17" s="200" t="s">
        <x:v>98</x:v>
      </x:c>
      <x:c r="B17" s="200" t="s">
        <x:v>99</x:v>
      </x:c>
      <x:c r="C17" s="23" t="s">
        <x:v>100</x:v>
      </x:c>
      <x:c r="D17" s="23" t="s">
        <x:v>101</x:v>
      </x:c>
      <x:c r="E17" s="23" t="s">
        <x:v>102</x:v>
      </x:c>
      <x:c r="F17" s="23" t="s">
        <x:v>103</x:v>
      </x:c>
      <x:c r="G17" s="23" t="s">
        <x:v>104</x:v>
      </x:c>
      <x:c r="H17" s="23" t="s">
        <x:v>105</x:v>
      </x:c>
      <x:c r="I17" s="23" t="s">
        <x:v>70</x:v>
      </x:c>
      <x:c r="J17" s="23" t="s">
        <x:v>106</x:v>
      </x:c>
    </x:row>
    <x:row r="18" ht="15" hidden="0">
      <x:c r="A18" s="196" t="s">
        <x:v>107</x:v>
      </x:c>
      <x:c r="B18" s="197"/>
      <x:c r="C18" s="20"/>
      <x:c r="D18" s="20"/>
      <x:c r="E18" s="20"/>
      <x:c r="F18" s="20"/>
      <x:c r="G18" s="20"/>
      <x:c r="H18" s="20"/>
      <x:c r="I18" s="20"/>
      <x:c r="J18" s="20"/>
    </x:row>
    <x:row r="19" ht="15" hidden="0">
      <x:c r="A19" s="201" t="s">
        <x:v>108</x:v>
      </x:c>
      <x:c r="B19" s="202"/>
      <x:c r="C19" s="25"/>
      <x:c r="D19" s="25"/>
      <x:c r="E19" s="25"/>
      <x:c r="F19" s="25"/>
      <x:c r="G19" s="25"/>
      <x:c r="H19" s="25"/>
      <x:c r="I19" s="25"/>
      <x:c r="J19" s="25"/>
    </x:row>
    <x:row r="20" ht="15" hidden="0">
      <x:c r="A20" s="193" t="s">
        <x:v>109</x:v>
      </x:c>
      <x:c r="B20" s="195" t="s">
        <x:v>537</x:v>
      </x:c>
      <x:c r="C20" s="26" t="n">
        <x:v>44297.941</x:v>
      </x:c>
      <x:c r="D20" s="26" t="n">
        <x:v>44215.539</x:v>
      </x:c>
      <x:c r="E20" s="26" t="n">
        <x:v>56784.84</x:v>
      </x:c>
      <x:c r="F20" s="26" t="n">
        <x:v>62354.608</x:v>
      </x:c>
      <x:c r="G20" s="26" t="n">
        <x:v>65995.598</x:v>
      </x:c>
      <x:c r="H20" s="26" t="n">
        <x:v>62836.212</x:v>
      </x:c>
      <x:c r="I20" s="9" t="s">
        <x:v>111</x:v>
      </x:c>
    </x:row>
    <x:row r="21" ht="15" hidden="0">
      <x:c r="A21" s="193" t="s">
        <x:v>112</x:v>
      </x:c>
      <x:c r="B21" s="195" t="s">
        <x:v>538</x:v>
      </x:c>
      <x:c r="C21" s="26" t="n">
        <x:v>871.386</x:v>
      </x:c>
      <x:c r="D21" s="26" t="n">
        <x:v>2854.293</x:v>
      </x:c>
      <x:c r="E21" s="26" t="n">
        <x:v>15352.8</x:v>
      </x:c>
      <x:c r="F21" s="26" t="n">
        <x:v>1676.796</x:v>
      </x:c>
      <x:c r="G21" s="26" t="n">
        <x:v>471.174</x:v>
      </x:c>
      <x:c r="H21" s="26" t="n">
        <x:v>125.704</x:v>
      </x:c>
      <x:c r="I21" s="9" t="s">
        <x:v>111</x:v>
      </x:c>
    </x:row>
    <x:row r="22" ht="15" hidden="0">
      <x:c r="A22" s="193" t="s">
        <x:v>114</x:v>
      </x:c>
      <x:c r="B22" s="195" t="s">
        <x:v>115</x:v>
      </x:c>
      <x:c r="C22" s="27" t="n">
        <x:f aca="0">C20-C21</x:f>
        <x:v>43426.555</x:v>
      </x:c>
      <x:c r="D22" s="27" t="n">
        <x:f aca="0">D20-D21</x:f>
        <x:v>41361.246</x:v>
      </x:c>
      <x:c r="E22" s="27" t="n">
        <x:f aca="0">E20-E21</x:f>
        <x:v>41432.03999999999</x:v>
      </x:c>
      <x:c r="F22" s="27" t="n">
        <x:f aca="0">F20-F21</x:f>
        <x:v>60677.812</x:v>
      </x:c>
      <x:c r="G22" s="27" t="n">
        <x:f aca="0">G20-G21</x:f>
        <x:v>65524.424</x:v>
      </x:c>
      <x:c r="H22" s="27" t="n">
        <x:f aca="0">H20-H21</x:f>
        <x:v>62710.508</x:v>
      </x:c>
      <x:c r="I22" s="9" t="s">
        <x:v>111</x:v>
      </x:c>
    </x:row>
    <x:row r="23" ht="15" hidden="0">
      <x:c r="A23" s="193" t="s">
        <x:v>116</x:v>
      </x:c>
      <x:c r="B23" s="195" t="s">
        <x:v>539</x:v>
      </x:c>
      <x:c r="C23" s="26" t="n">
        <x:v>0</x:v>
      </x:c>
      <x:c r="D23" s="26" t="n">
        <x:v>0</x:v>
      </x:c>
      <x:c r="E23" s="26" t="n">
        <x:v>0</x:v>
      </x:c>
      <x:c r="F23" s="26" t="n">
        <x:v>0</x:v>
      </x:c>
      <x:c r="G23" s="26" t="n">
        <x:v>0</x:v>
      </x:c>
      <x:c r="H23" s="26" t="n">
        <x:v>0</x:v>
      </x:c>
      <x:c r="I23" s="9" t="s">
        <x:v>111</x:v>
      </x:c>
    </x:row>
    <x:row r="24" ht="15" hidden="0">
      <x:c r="A24" s="193" t="s">
        <x:v>118</x:v>
      </x:c>
      <x:c r="B24" s="195" t="s">
        <x:v>540</x:v>
      </x:c>
      <x:c r="C24" s="26" t="n">
        <x:v>9.023</x:v>
      </x:c>
      <x:c r="D24" s="26" t="n">
        <x:v>6.017</x:v>
      </x:c>
      <x:c r="E24" s="26" t="n">
        <x:v>10.415</x:v>
      </x:c>
      <x:c r="F24" s="26" t="n">
        <x:v>6.946</x:v>
      </x:c>
      <x:c r="G24" s="26" t="n">
        <x:v>84.81</x:v>
      </x:c>
      <x:c r="H24" s="26" t="n">
        <x:v>62.426</x:v>
      </x:c>
      <x:c r="I24" s="9" t="s">
        <x:v>111</x:v>
      </x:c>
    </x:row>
    <x:row r="25" ht="15" hidden="0">
      <x:c r="A25" s="193" t="s">
        <x:v>120</x:v>
      </x:c>
      <x:c r="B25" s="195" t="s">
        <x:v>541</x:v>
      </x:c>
      <x:c r="C25" s="26" t="n">
        <x:v>0</x:v>
      </x:c>
      <x:c r="D25" s="26" t="n">
        <x:v>0</x:v>
      </x:c>
      <x:c r="E25" s="26" t="n">
        <x:v>0</x:v>
      </x:c>
      <x:c r="F25" s="26" t="n">
        <x:v>0</x:v>
      </x:c>
      <x:c r="G25" s="26" t="n">
        <x:v>0</x:v>
      </x:c>
      <x:c r="H25" s="26" t="n">
        <x:v>0</x:v>
      </x:c>
      <x:c r="I25" s="9" t="s">
        <x:v>111</x:v>
      </x:c>
    </x:row>
    <x:row r="26" ht="15" hidden="0">
      <x:c r="A26" s="193" t="s">
        <x:v>122</x:v>
      </x:c>
      <x:c r="B26" s="195" t="s">
        <x:v>542</x:v>
      </x:c>
      <x:c r="C26" s="26" t="n">
        <x:v>5020</x:v>
      </x:c>
      <x:c r="D26" s="26" t="n">
        <x:v>5020</x:v>
      </x:c>
      <x:c r="E26" s="26" t="n">
        <x:v>5020</x:v>
      </x:c>
      <x:c r="F26" s="26" t="n">
        <x:v>5030</x:v>
      </x:c>
      <x:c r="G26" s="26" t="n">
        <x:v>6322</x:v>
      </x:c>
      <x:c r="H26" s="26" t="n">
        <x:v>20371.11</x:v>
      </x:c>
      <x:c r="I26" s="9" t="s">
        <x:v>111</x:v>
      </x:c>
    </x:row>
    <x:row r="27" ht="15" hidden="0">
      <x:c r="A27" s="193" t="s">
        <x:v>124</x:v>
      </x:c>
      <x:c r="B27" s="195" t="s">
        <x:v>543</x:v>
      </x:c>
      <x:c r="C27" s="26" t="n">
        <x:v>75.616</x:v>
      </x:c>
      <x:c r="D27" s="26" t="n">
        <x:v>74.306</x:v>
      </x:c>
      <x:c r="E27" s="26" t="n">
        <x:v>76.966</x:v>
      </x:c>
      <x:c r="F27" s="26" t="n">
        <x:v>76.49</x:v>
      </x:c>
      <x:c r="G27" s="26" t="n">
        <x:v>95.437</x:v>
      </x:c>
      <x:c r="H27" s="26" t="n">
        <x:v>83.919</x:v>
      </x:c>
      <x:c r="I27" s="9" t="s">
        <x:v>111</x:v>
      </x:c>
    </x:row>
    <x:row r="28" ht="15" hidden="0">
      <x:c r="A28" s="198" t="s">
        <x:v>126</x:v>
      </x:c>
      <x:c r="B28" s="195" t="s">
        <x:v>127</x:v>
      </x:c>
      <x:c r="C28" s="28" t="n">
        <x:f aca="0">C20+C23+C24+C25+C26+C27</x:f>
        <x:v>49402.58</x:v>
      </x:c>
      <x:c r="D28" s="28" t="n">
        <x:f aca="0">D20+D23+D24+D25+D26+D27</x:f>
        <x:v>49315.861999999994</x:v>
      </x:c>
      <x:c r="E28" s="28" t="n">
        <x:f aca="0">E20+E23+E24+E25+E26+E27</x:f>
        <x:v>61892.221</x:v>
      </x:c>
      <x:c r="F28" s="28" t="n">
        <x:f aca="0">F20+F23+F24+F25+F26+F27</x:f>
        <x:v>67468.04400000001</x:v>
      </x:c>
      <x:c r="G28" s="28" t="n">
        <x:f aca="0">G20+G23+G24+G25+G26+G27</x:f>
        <x:v>72497.845</x:v>
      </x:c>
      <x:c r="H28" s="28" t="n">
        <x:f aca="0">H20+H23+H24+H25+H26+H27</x:f>
        <x:v>83353.66699999999</x:v>
      </x:c>
      <x:c r="I28" s="9" t="s">
        <x:v>111</x:v>
      </x:c>
    </x:row>
    <x:row r="29" ht="15" hidden="0">
      <x:c r="A29" s="201" t="s">
        <x:v>128</x:v>
      </x:c>
      <x:c r="B29" s="202"/>
      <x:c r="C29" s="25"/>
      <x:c r="D29" s="25"/>
      <x:c r="E29" s="25"/>
      <x:c r="F29" s="25"/>
      <x:c r="G29" s="25"/>
      <x:c r="H29" s="25"/>
      <x:c r="I29" s="25"/>
      <x:c r="J29" s="25"/>
    </x:row>
    <x:row r="30" ht="15" hidden="0">
      <x:c r="A30" s="193" t="s">
        <x:v>129</x:v>
      </x:c>
      <x:c r="B30" s="195" t="s">
        <x:v>544</x:v>
      </x:c>
      <x:c r="C30" s="26" t="n">
        <x:v>8395.61</x:v>
      </x:c>
      <x:c r="D30" s="26" t="n">
        <x:v>9738.717</x:v>
      </x:c>
      <x:c r="E30" s="26" t="n">
        <x:v>12853.605</x:v>
      </x:c>
      <x:c r="F30" s="26" t="n">
        <x:v>9925.855</x:v>
      </x:c>
      <x:c r="G30" s="26" t="n">
        <x:v>12277.288</x:v>
      </x:c>
      <x:c r="H30" s="26" t="n">
        <x:v>12461.312</x:v>
      </x:c>
      <x:c r="I30" s="9" t="s">
        <x:v>111</x:v>
      </x:c>
    </x:row>
    <x:row r="31" ht="15" hidden="0">
      <x:c r="A31" s="193" t="s">
        <x:v>131</x:v>
      </x:c>
      <x:c r="B31" s="195" t="s">
        <x:v>545</x:v>
      </x:c>
      <x:c r="C31" s="26" t="n">
        <x:v>1779.404</x:v>
      </x:c>
      <x:c r="D31" s="26" t="n">
        <x:v>2150.183</x:v>
      </x:c>
      <x:c r="E31" s="26" t="n">
        <x:v>2695.621</x:v>
      </x:c>
      <x:c r="F31" s="26" t="n">
        <x:v>3874.605</x:v>
      </x:c>
      <x:c r="G31" s="26" t="n">
        <x:v>3256.553</x:v>
      </x:c>
      <x:c r="H31" s="26" t="n">
        <x:v>4442.989</x:v>
      </x:c>
      <x:c r="I31" s="9" t="s">
        <x:v>111</x:v>
      </x:c>
    </x:row>
    <x:row r="32" ht="15" hidden="0">
      <x:c r="A32" s="193" t="s">
        <x:v>133</x:v>
      </x:c>
      <x:c r="B32" s="195" t="s">
        <x:v>546</x:v>
      </x:c>
      <x:c r="C32" s="26" t="n">
        <x:v>3052.13</x:v>
      </x:c>
      <x:c r="D32" s="26" t="n">
        <x:v>1679.704</x:v>
      </x:c>
      <x:c r="E32" s="26" t="n">
        <x:v>2066.212</x:v>
      </x:c>
      <x:c r="F32" s="26" t="n">
        <x:v>2600.985</x:v>
      </x:c>
      <x:c r="G32" s="26" t="n">
        <x:v>4188.745</x:v>
      </x:c>
      <x:c r="H32" s="26" t="n">
        <x:v>4610.182</x:v>
      </x:c>
      <x:c r="I32" s="9" t="s">
        <x:v>111</x:v>
      </x:c>
    </x:row>
    <x:row r="33" ht="15" hidden="0">
      <x:c r="A33" s="193" t="s">
        <x:v>135</x:v>
      </x:c>
      <x:c r="B33" s="195" t="s">
        <x:v>547</x:v>
      </x:c>
      <x:c r="C33" s="26" t="n">
        <x:v>75.245</x:v>
      </x:c>
      <x:c r="D33" s="26" t="n">
        <x:v>149.148</x:v>
      </x:c>
      <x:c r="E33" s="26" t="n">
        <x:v>198.346</x:v>
      </x:c>
      <x:c r="F33" s="26" t="n">
        <x:v>3689.556</x:v>
      </x:c>
      <x:c r="G33" s="26" t="n">
        <x:v>4220.262</x:v>
      </x:c>
      <x:c r="H33" s="26" t="n">
        <x:v>11102.413</x:v>
      </x:c>
      <x:c r="I33" s="9" t="s">
        <x:v>111</x:v>
      </x:c>
    </x:row>
    <x:row r="34" ht="15" hidden="0">
      <x:c r="A34" s="193" t="s">
        <x:v>137</x:v>
      </x:c>
      <x:c r="B34" s="195" t="s">
        <x:v>548</x:v>
      </x:c>
      <x:c r="C34" s="26" t="n">
        <x:v>1046.267</x:v>
      </x:c>
      <x:c r="D34" s="26" t="n">
        <x:v>490.329</x:v>
      </x:c>
      <x:c r="E34" s="26" t="n">
        <x:v>793.576</x:v>
      </x:c>
      <x:c r="F34" s="26" t="n">
        <x:v>740.707</x:v>
      </x:c>
      <x:c r="G34" s="26" t="n">
        <x:v>1133.412</x:v>
      </x:c>
      <x:c r="H34" s="26" t="n">
        <x:v>1615.481</x:v>
      </x:c>
      <x:c r="I34" s="9" t="s">
        <x:v>111</x:v>
      </x:c>
    </x:row>
    <x:row r="35" ht="15" hidden="0">
      <x:c r="A35" s="193" t="s">
        <x:v>139</x:v>
      </x:c>
      <x:c r="B35" s="195" t="s">
        <x:v>549</x:v>
      </x:c>
      <x:c r="C35" s="26" t="n">
        <x:v>2258.535</x:v>
      </x:c>
      <x:c r="D35" s="26" t="n">
        <x:v>2715.335</x:v>
      </x:c>
      <x:c r="E35" s="26" t="n">
        <x:v>1714.629</x:v>
      </x:c>
      <x:c r="F35" s="26" t="n">
        <x:v>1407.959</x:v>
      </x:c>
      <x:c r="G35" s="26" t="n">
        <x:v>1791.577</x:v>
      </x:c>
      <x:c r="H35" s="26" t="n">
        <x:v>1520.227</x:v>
      </x:c>
      <x:c r="I35" s="9" t="s">
        <x:v>111</x:v>
      </x:c>
    </x:row>
    <x:row r="36" ht="15" hidden="0">
      <x:c r="A36" s="198" t="s">
        <x:v>141</x:v>
      </x:c>
      <x:c r="B36" s="195" t="s">
        <x:v>142</x:v>
      </x:c>
      <x:c r="C36" s="28" t="n">
        <x:f aca="0">C30+C31+C32+C33+C34+C35</x:f>
        <x:v>16607.191</x:v>
      </x:c>
      <x:c r="D36" s="28" t="n">
        <x:f aca="0">D30+D31+D32+D33+D34+D35</x:f>
        <x:v>16923.416</x:v>
      </x:c>
      <x:c r="E36" s="28" t="n">
        <x:f aca="0">E30+E31+E32+E33+E34+E35</x:f>
        <x:v>20321.989</x:v>
      </x:c>
      <x:c r="F36" s="28" t="n">
        <x:f aca="0">F30+F31+F32+F33+F34+F35</x:f>
        <x:v>22239.666999999998</x:v>
      </x:c>
      <x:c r="G36" s="28" t="n">
        <x:f aca="0">G30+G31+G32+G33+G34+G35</x:f>
        <x:v>26867.837</x:v>
      </x:c>
      <x:c r="H36" s="28" t="n">
        <x:f aca="0">H30+H31+H32+H33+H34+H35</x:f>
        <x:v>35752.604</x:v>
      </x:c>
      <x:c r="I36" s="9" t="s">
        <x:v>111</x:v>
      </x:c>
    </x:row>
    <x:row r="37" ht="15" hidden="0">
      <x:c r="A37" s="198" t="s">
        <x:v>143</x:v>
      </x:c>
      <x:c r="B37" s="195" t="s">
        <x:v>144</x:v>
      </x:c>
      <x:c r="C37" s="28" t="n">
        <x:f aca="0">C28+C36</x:f>
        <x:v>66009.77100000001</x:v>
      </x:c>
      <x:c r="D37" s="28" t="n">
        <x:f aca="0">D28+D36</x:f>
        <x:v>66239.27799999999</x:v>
      </x:c>
      <x:c r="E37" s="28" t="n">
        <x:f aca="0">E28+E36</x:f>
        <x:v>82214.20999999999</x:v>
      </x:c>
      <x:c r="F37" s="28" t="n">
        <x:f aca="0">F28+F36</x:f>
        <x:v>89707.71100000001</x:v>
      </x:c>
      <x:c r="G37" s="28" t="n">
        <x:f aca="0">G28+G36</x:f>
        <x:v>99365.682</x:v>
      </x:c>
      <x:c r="H37" s="28" t="n">
        <x:f aca="0">H28+H36</x:f>
        <x:v>119106.27099999998</x:v>
      </x:c>
      <x:c r="I37" s="9" t="s">
        <x:v>111</x:v>
      </x:c>
    </x:row>
    <x:row r="38" ht="15" hidden="0">
      <x:c r="A38" s="201" t="s">
        <x:v>145</x:v>
      </x:c>
      <x:c r="B38" s="202"/>
      <x:c r="C38" s="25"/>
      <x:c r="D38" s="25"/>
      <x:c r="E38" s="25"/>
      <x:c r="F38" s="25"/>
      <x:c r="G38" s="25"/>
      <x:c r="H38" s="25"/>
      <x:c r="I38" s="25"/>
      <x:c r="J38" s="25"/>
    </x:row>
    <x:row r="39" ht="15" hidden="0">
      <x:c r="A39" s="193" t="s">
        <x:v>146</x:v>
      </x:c>
      <x:c r="B39" s="195" t="s">
        <x:v>550</x:v>
      </x:c>
      <x:c r="C39" s="26" t="n">
        <x:v>10983.462</x:v>
      </x:c>
      <x:c r="D39" s="26" t="n">
        <x:v>10983.462</x:v>
      </x:c>
      <x:c r="E39" s="26" t="n">
        <x:v>10983.462</x:v>
      </x:c>
      <x:c r="F39" s="26" t="n">
        <x:v>10733.462</x:v>
      </x:c>
      <x:c r="G39" s="26" t="n">
        <x:v>10475.626</x:v>
      </x:c>
      <x:c r="H39" s="26" t="n">
        <x:v>10475.626</x:v>
      </x:c>
      <x:c r="I39" s="9" t="s">
        <x:v>111</x:v>
      </x:c>
    </x:row>
    <x:row r="40" ht="15" hidden="0">
      <x:c r="A40" s="193" t="s">
        <x:v>148</x:v>
      </x:c>
      <x:c r="B40" s="195" t="s">
        <x:v>551</x:v>
      </x:c>
      <x:c r="C40" s="26" t="n">
        <x:v>20337.369</x:v>
      </x:c>
      <x:c r="D40" s="26" t="n">
        <x:v>26559.079</x:v>
      </x:c>
      <x:c r="E40" s="26" t="n">
        <x:v>29575.553</x:v>
      </x:c>
      <x:c r="F40" s="26" t="n">
        <x:v>34179.652</x:v>
      </x:c>
      <x:c r="G40" s="26" t="n">
        <x:v>42140.282</x:v>
      </x:c>
      <x:c r="H40" s="26" t="n">
        <x:v>60985.966</x:v>
      </x:c>
      <x:c r="I40" s="9" t="s">
        <x:v>111</x:v>
      </x:c>
    </x:row>
    <x:row r="41" ht="15" hidden="0">
      <x:c r="A41" s="198" t="s">
        <x:v>150</x:v>
      </x:c>
      <x:c r="B41" s="195" t="s">
        <x:v>151</x:v>
      </x:c>
      <x:c r="C41" s="28" t="n">
        <x:f aca="0">C39+C40</x:f>
        <x:v>31320.831</x:v>
      </x:c>
      <x:c r="D41" s="28" t="n">
        <x:f aca="0">D39+D40</x:f>
        <x:v>37542.541</x:v>
      </x:c>
      <x:c r="E41" s="28" t="n">
        <x:f aca="0">E39+E40</x:f>
        <x:v>40559.015</x:v>
      </x:c>
      <x:c r="F41" s="28" t="n">
        <x:f aca="0">F39+F40</x:f>
        <x:v>44913.114</x:v>
      </x:c>
      <x:c r="G41" s="28" t="n">
        <x:f aca="0">G39+G40</x:f>
        <x:v>52615.907999999996</x:v>
      </x:c>
      <x:c r="H41" s="28" t="n">
        <x:f aca="0">H39+H40</x:f>
        <x:v>71461.592</x:v>
      </x:c>
      <x:c r="I41" s="9" t="s">
        <x:v>111</x:v>
      </x:c>
    </x:row>
    <x:row r="42" ht="15" hidden="0">
      <x:c r="A42" s="201" t="s">
        <x:v>152</x:v>
      </x:c>
      <x:c r="B42" s="202"/>
      <x:c r="C42" s="25"/>
      <x:c r="D42" s="25"/>
      <x:c r="E42" s="25"/>
      <x:c r="F42" s="25"/>
      <x:c r="G42" s="25"/>
      <x:c r="H42" s="25"/>
      <x:c r="I42" s="25"/>
      <x:c r="J42" s="25"/>
    </x:row>
    <x:row r="43" ht="15" hidden="0">
      <x:c r="A43" s="193" t="s">
        <x:v>153</x:v>
      </x:c>
      <x:c r="B43" s="195" t="s">
        <x:v>552</x:v>
      </x:c>
      <x:c r="C43" s="26" t="n">
        <x:v>15173.102</x:v>
      </x:c>
      <x:c r="D43" s="26" t="n">
        <x:v>12636.749</x:v>
      </x:c>
      <x:c r="E43" s="26" t="n">
        <x:v>18747.868</x:v>
      </x:c>
      <x:c r="F43" s="26" t="n">
        <x:v>17233.337</x:v>
      </x:c>
      <x:c r="G43" s="26" t="n">
        <x:v>14285.786</x:v>
      </x:c>
      <x:c r="H43" s="26" t="n">
        <x:v>9781.639</x:v>
      </x:c>
      <x:c r="I43" s="9" t="s">
        <x:v>111</x:v>
      </x:c>
    </x:row>
    <x:row r="44" ht="15" hidden="0">
      <x:c r="A44" s="193" t="s">
        <x:v>155</x:v>
      </x:c>
      <x:c r="B44" s="195" t="s">
        <x:v>553</x:v>
      </x:c>
      <x:c r="C44" s="26" t="n">
        <x:v>0</x:v>
      </x:c>
      <x:c r="D44" s="26" t="n">
        <x:v>0</x:v>
      </x:c>
      <x:c r="E44" s="26" t="n">
        <x:v>27.136</x:v>
      </x:c>
      <x:c r="F44" s="26" t="n">
        <x:v>31.408</x:v>
      </x:c>
      <x:c r="G44" s="26" t="n">
        <x:v>34.67</x:v>
      </x:c>
      <x:c r="H44" s="26" t="n">
        <x:v>28.495</x:v>
      </x:c>
      <x:c r="I44" s="9" t="s">
        <x:v>111</x:v>
      </x:c>
    </x:row>
    <x:row r="45" ht="15" hidden="0">
      <x:c r="A45" s="193" t="s">
        <x:v>157</x:v>
      </x:c>
      <x:c r="B45" s="195" t="s">
        <x:v>554</x:v>
      </x:c>
      <x:c r="C45" s="26" t="n">
        <x:v>0</x:v>
      </x:c>
      <x:c r="D45" s="26" t="n">
        <x:v>49.569</x:v>
      </x:c>
      <x:c r="E45" s="26" t="n">
        <x:v>786.758</x:v>
      </x:c>
      <x:c r="F45" s="26" t="n">
        <x:v>605.926</x:v>
      </x:c>
      <x:c r="G45" s="26" t="n">
        <x:v>450.487</x:v>
      </x:c>
      <x:c r="H45" s="26" t="n">
        <x:v>322.304</x:v>
      </x:c>
      <x:c r="I45" s="9" t="s">
        <x:v>111</x:v>
      </x:c>
    </x:row>
    <x:row r="46" ht="15" hidden="0">
      <x:c r="A46" s="193" t="s">
        <x:v>159</x:v>
      </x:c>
      <x:c r="B46" s="195" t="s">
        <x:v>555</x:v>
      </x:c>
      <x:c r="C46" s="26" t="n">
        <x:v>3379.44</x:v>
      </x:c>
      <x:c r="D46" s="26" t="n">
        <x:v>3889.907</x:v>
      </x:c>
      <x:c r="E46" s="26" t="n">
        <x:v>5656.499</x:v>
      </x:c>
      <x:c r="F46" s="26" t="n">
        <x:v>8669.211</x:v>
      </x:c>
      <x:c r="G46" s="26" t="n">
        <x:v>13044.29</x:v>
      </x:c>
      <x:c r="H46" s="26" t="n">
        <x:v>13822.898</x:v>
      </x:c>
      <x:c r="I46" s="9" t="s">
        <x:v>111</x:v>
      </x:c>
    </x:row>
    <x:row r="47" ht="15" hidden="0">
      <x:c r="A47" s="193" t="s">
        <x:v>161</x:v>
      </x:c>
      <x:c r="B47" s="195" t="s">
        <x:v>556</x:v>
      </x:c>
      <x:c r="C47" s="26" t="n">
        <x:v>822.623</x:v>
      </x:c>
      <x:c r="D47" s="26" t="n">
        <x:v>671.064</x:v>
      </x:c>
      <x:c r="E47" s="26" t="n">
        <x:v>243.543</x:v>
      </x:c>
      <x:c r="F47" s="26" t="n">
        <x:v>2039.694</x:v>
      </x:c>
      <x:c r="G47" s="26" t="n">
        <x:v>336.741</x:v>
      </x:c>
      <x:c r="H47" s="26" t="n">
        <x:v>358.852</x:v>
      </x:c>
      <x:c r="I47" s="9" t="s">
        <x:v>111</x:v>
      </x:c>
    </x:row>
    <x:row r="48" ht="15" hidden="0">
      <x:c r="A48" s="198" t="s">
        <x:v>163</x:v>
      </x:c>
      <x:c r="B48" s="195" t="s">
        <x:v>164</x:v>
      </x:c>
      <x:c r="C48" s="28" t="n">
        <x:f aca="0">C43+C44+C45+C46+C47</x:f>
        <x:v>19375.165</x:v>
      </x:c>
      <x:c r="D48" s="28" t="n">
        <x:f aca="0">D43+D44+D45+D46+D47</x:f>
        <x:v>17247.288999999997</x:v>
      </x:c>
      <x:c r="E48" s="28" t="n">
        <x:f aca="0">E43+E44+E45+E46+E47</x:f>
        <x:v>25461.804</x:v>
      </x:c>
      <x:c r="F48" s="28" t="n">
        <x:f aca="0">F43+F44+F45+F46+F47</x:f>
        <x:v>28579.575999999997</x:v>
      </x:c>
      <x:c r="G48" s="28" t="n">
        <x:f aca="0">G43+G44+G45+G46+G47</x:f>
        <x:v>28151.974000000002</x:v>
      </x:c>
      <x:c r="H48" s="28" t="n">
        <x:f aca="0">H43+H44+H45+H46+H47</x:f>
        <x:v>24314.188</x:v>
      </x:c>
      <x:c r="I48" s="9" t="s">
        <x:v>111</x:v>
      </x:c>
    </x:row>
    <x:row r="49" ht="15" hidden="0">
      <x:c r="A49" s="201" t="s">
        <x:v>165</x:v>
      </x:c>
      <x:c r="B49" s="202"/>
      <x:c r="C49" s="25"/>
      <x:c r="D49" s="25"/>
      <x:c r="E49" s="25"/>
      <x:c r="F49" s="25"/>
      <x:c r="G49" s="25"/>
      <x:c r="H49" s="25"/>
      <x:c r="I49" s="25"/>
      <x:c r="J49" s="25"/>
    </x:row>
    <x:row r="50" ht="15" hidden="0">
      <x:c r="A50" s="193" t="s">
        <x:v>166</x:v>
      </x:c>
      <x:c r="B50" s="195" t="s">
        <x:v>557</x:v>
      </x:c>
      <x:c r="C50" s="26" t="n">
        <x:v>7951.221</x:v>
      </x:c>
      <x:c r="D50" s="26" t="n">
        <x:v>7511.637</x:v>
      </x:c>
      <x:c r="E50" s="26" t="n">
        <x:v>9117.414</x:v>
      </x:c>
      <x:c r="F50" s="26" t="n">
        <x:v>12518.18</x:v>
      </x:c>
      <x:c r="G50" s="26" t="n">
        <x:v>12482.233</x:v>
      </x:c>
      <x:c r="H50" s="26" t="n">
        <x:v>17926.267</x:v>
      </x:c>
      <x:c r="I50" s="9" t="s">
        <x:v>111</x:v>
      </x:c>
    </x:row>
    <x:row r="51" ht="15" hidden="0">
      <x:c r="A51" s="193" t="s">
        <x:v>168</x:v>
      </x:c>
      <x:c r="B51" s="195" t="s">
        <x:v>558</x:v>
      </x:c>
      <x:c r="C51" s="26" t="n">
        <x:f>3886.684+C253</x:f>
        <x:v>4173.943</x:v>
      </x:c>
      <x:c r="D51" s="26" t="n">
        <x:f>3515.408+D253</x:f>
        <x:v>3576.632</x:v>
      </x:c>
      <x:c r="E51" s="26" t="n">
        <x:f>3975.712+E253</x:f>
        <x:v>4108.307</x:v>
      </x:c>
      <x:c r="F51" s="26" t="n">
        <x:f>4804.356+F253</x:f>
        <x:v>6676.221</x:v>
      </x:c>
      <x:c r="G51" s="26" t="n">
        <x:f>4575.18+G253</x:f>
        <x:v>5396.6050000000005</x:v>
      </x:c>
      <x:c r="H51" s="26" t="n">
        <x:f>5869.802+H253</x:f>
        <x:v>7322.782999999999</x:v>
      </x:c>
      <x:c r="I51" s="9" t="s">
        <x:v>111</x:v>
      </x:c>
    </x:row>
    <x:row r="52" ht="15" hidden="0">
      <x:c r="A52" s="193" t="s">
        <x:v>170</x:v>
      </x:c>
      <x:c r="B52" s="195" t="s">
        <x:v>559</x:v>
      </x:c>
      <x:c r="C52" s="26" t="n">
        <x:v>0</x:v>
      </x:c>
      <x:c r="D52" s="26" t="n">
        <x:v>0</x:v>
      </x:c>
      <x:c r="E52" s="26" t="n">
        <x:v>0</x:v>
      </x:c>
      <x:c r="F52" s="26" t="n">
        <x:v>0</x:v>
      </x:c>
      <x:c r="G52" s="26" t="n">
        <x:v>0</x:v>
      </x:c>
      <x:c r="H52" s="26" t="n">
        <x:v>0</x:v>
      </x:c>
      <x:c r="I52" s="9" t="s">
        <x:v>111</x:v>
      </x:c>
    </x:row>
    <x:row r="53" ht="15" hidden="0">
      <x:c r="A53" s="193" t="s">
        <x:v>172</x:v>
      </x:c>
      <x:c r="B53" s="195" t="s">
        <x:v>560</x:v>
      </x:c>
      <x:c r="C53" s="26" t="n">
        <x:v>547.189</x:v>
      </x:c>
      <x:c r="D53" s="26" t="n">
        <x:v>260.953</x:v>
      </x:c>
      <x:c r="E53" s="26" t="n">
        <x:v>665.122</x:v>
      </x:c>
      <x:c r="F53" s="26" t="n">
        <x:v>880.039</x:v>
      </x:c>
      <x:c r="G53" s="26" t="n">
        <x:v>865.945</x:v>
      </x:c>
      <x:c r="H53" s="26" t="n">
        <x:v>320.434</x:v>
      </x:c>
      <x:c r="I53" s="9" t="s">
        <x:v>111</x:v>
      </x:c>
    </x:row>
    <x:row r="54" ht="15" hidden="0">
      <x:c r="A54" s="193" t="s">
        <x:v>174</x:v>
      </x:c>
      <x:c r="B54" s="195" t="s">
        <x:v>561</x:v>
      </x:c>
      <x:c r="C54" s="26" t="n">
        <x:v>6642.312</x:v>
      </x:c>
      <x:c r="D54" s="26" t="n">
        <x:v>1894.115</x:v>
      </x:c>
      <x:c r="E54" s="26" t="n">
        <x:v>3572.073</x:v>
      </x:c>
      <x:c r="F54" s="26" t="n">
        <x:v>0</x:v>
      </x:c>
      <x:c r="G54" s="26" t="n">
        <x:v>1645.316</x:v>
      </x:c>
      <x:c r="H54" s="26" t="n">
        <x:v>822.285</x:v>
      </x:c>
      <x:c r="I54" s="9" t="s">
        <x:v>111</x:v>
      </x:c>
    </x:row>
    <x:row r="55" ht="15" hidden="0">
      <x:c r="A55" s="193" t="s">
        <x:v>176</x:v>
      </x:c>
      <x:c r="B55" s="195" t="s">
        <x:v>562</x:v>
      </x:c>
      <x:c r="C55" s="26" t="n">
        <x:v>125</x:v>
      </x:c>
      <x:c r="D55" s="26" t="n">
        <x:v>1704.612</x:v>
      </x:c>
      <x:c r="E55" s="26" t="n">
        <x:v>2619.8</x:v>
      </x:c>
      <x:c r="F55" s="26" t="n">
        <x:v>2599.401</x:v>
      </x:c>
      <x:c r="G55" s="26" t="n">
        <x:v>3407.702</x:v>
      </x:c>
      <x:c r="H55" s="26" t="n">
        <x:v>3933.328</x:v>
      </x:c>
      <x:c r="I55" s="9" t="s">
        <x:v>111</x:v>
      </x:c>
    </x:row>
    <x:row r="56" ht="15" hidden="0">
      <x:c r="A56" s="193" t="s">
        <x:v>178</x:v>
      </x:c>
      <x:c r="B56" s="195" t="s">
        <x:v>563</x:v>
      </x:c>
      <x:c r="C56" s="26" t="n">
        <x:v>0</x:v>
      </x:c>
      <x:c r="D56" s="26" t="n">
        <x:v>0</x:v>
      </x:c>
      <x:c r="E56" s="26" t="n">
        <x:v>6.837</x:v>
      </x:c>
      <x:c r="F56" s="26" t="n">
        <x:v>10.257</x:v>
      </x:c>
      <x:c r="G56" s="26" t="n">
        <x:v>13.909</x:v>
      </x:c>
      <x:c r="H56" s="26" t="n">
        <x:v>14.323</x:v>
      </x:c>
      <x:c r="I56" s="9" t="s">
        <x:v>111</x:v>
      </x:c>
    </x:row>
    <x:row r="57" ht="15" hidden="0">
      <x:c r="A57" s="193" t="s">
        <x:v>180</x:v>
      </x:c>
      <x:c r="B57" s="195" t="s">
        <x:v>564</x:v>
      </x:c>
      <x:c r="C57" s="26" t="n">
        <x:v>0</x:v>
      </x:c>
      <x:c r="D57" s="26" t="n">
        <x:v>49.997</x:v>
      </x:c>
      <x:c r="E57" s="26" t="n">
        <x:v>184.576</x:v>
      </x:c>
      <x:c r="F57" s="26" t="n">
        <x:v>179.766</x:v>
      </x:c>
      <x:c r="G57" s="26" t="n">
        <x:v>155.439</x:v>
      </x:c>
      <x:c r="H57" s="26" t="n">
        <x:v>128.183</x:v>
      </x:c>
      <x:c r="I57" s="9" t="s">
        <x:v>111</x:v>
      </x:c>
    </x:row>
    <x:row r="58" ht="15" hidden="0">
      <x:c r="A58" s="193" t="s">
        <x:v>182</x:v>
      </x:c>
      <x:c r="B58" s="195" t="s">
        <x:v>565</x:v>
      </x:c>
      <x:c r="C58" s="26" t="n">
        <x:v>48.053</x:v>
      </x:c>
      <x:c r="D58" s="26" t="n">
        <x:v>28.134</x:v>
      </x:c>
      <x:c r="E58" s="26" t="n">
        <x:v>27.569</x:v>
      </x:c>
      <x:c r="F58" s="26" t="n">
        <x:v>27.378</x:v>
      </x:c>
      <x:c r="G58" s="26" t="n">
        <x:v>27.256</x:v>
      </x:c>
      <x:c r="H58" s="26" t="n">
        <x:v>26.877</x:v>
      </x:c>
      <x:c r="I58" s="9" t="s">
        <x:v>111</x:v>
      </x:c>
    </x:row>
    <x:row r="59" ht="15" hidden="0">
      <x:c r="A59" s="193" t="s">
        <x:v>184</x:v>
      </x:c>
      <x:c r="B59" s="195" t="s">
        <x:v>566</x:v>
      </x:c>
      <x:c r="C59" s="26" t="n">
        <x:v>0</x:v>
      </x:c>
      <x:c r="D59" s="26" t="n">
        <x:v>0</x:v>
      </x:c>
      <x:c r="E59" s="26" t="n">
        <x:v>0</x:v>
      </x:c>
      <x:c r="F59" s="26" t="n">
        <x:v>0</x:v>
      </x:c>
      <x:c r="G59" s="26" t="n">
        <x:v>0</x:v>
      </x:c>
      <x:c r="H59" s="26" t="n">
        <x:v>158.794</x:v>
      </x:c>
      <x:c r="I59" s="9" t="s">
        <x:v>111</x:v>
      </x:c>
    </x:row>
    <x:row r="60" ht="15" hidden="0">
      <x:c r="A60" s="193" t="s">
        <x:v>186</x:v>
      </x:c>
      <x:c r="B60" s="195" t="s">
        <x:v>567</x:v>
      </x:c>
      <x:c r="C60" s="26" t="n">
        <x:v>0</x:v>
      </x:c>
      <x:c r="D60" s="26" t="n">
        <x:v>0</x:v>
      </x:c>
      <x:c r="E60" s="26" t="n">
        <x:v>0</x:v>
      </x:c>
      <x:c r="F60" s="26" t="n">
        <x:v>0</x:v>
      </x:c>
      <x:c r="G60" s="26" t="n">
        <x:v>0</x:v>
      </x:c>
      <x:c r="H60" s="26" t="n">
        <x:v>0</x:v>
      </x:c>
      <x:c r="I60" s="9" t="s">
        <x:v>111</x:v>
      </x:c>
    </x:row>
    <x:row r="61" ht="15" hidden="0">
      <x:c r="A61" s="198" t="s">
        <x:v>188</x:v>
      </x:c>
      <x:c r="B61" s="195" t="s">
        <x:v>189</x:v>
      </x:c>
      <x:c r="C61" s="28" t="n">
        <x:f aca="0">C50+C52+C53+C54+C55+C56+C57+C58+C59+C60</x:f>
        <x:v>15313.775</x:v>
      </x:c>
      <x:c r="D61" s="28" t="n">
        <x:f aca="0">D50+D52+D53+D54+D55+D56+D57+D58+D59+D60</x:f>
        <x:v>11449.447999999999</x:v>
      </x:c>
      <x:c r="E61" s="28" t="n">
        <x:f aca="0">E50+E52+E53+E54+E55+E56+E57+E58+E59+E60</x:f>
        <x:v>16193.390999999998</x:v>
      </x:c>
      <x:c r="F61" s="28" t="n">
        <x:f aca="0">F50+F52+F53+F54+F55+F56+F57+F58+F59+F60</x:f>
        <x:v>16215.021</x:v>
      </x:c>
      <x:c r="G61" s="28" t="n">
        <x:f aca="0">G50+G52+G53+G54+G55+G56+G57+G58+G59+G60</x:f>
        <x:v>18597.8</x:v>
      </x:c>
      <x:c r="H61" s="28" t="n">
        <x:f aca="0">H50+H52+H53+H54+H55+H56+H57+H58+H59+H60</x:f>
        <x:v>23330.491000000005</x:v>
      </x:c>
      <x:c r="I61" s="9" t="s">
        <x:v>111</x:v>
      </x:c>
      <x:c r="J61" s="9" t="s">
        <x:v>190</x:v>
      </x:c>
    </x:row>
    <x:row r="62" ht="15" hidden="0">
      <x:c r="A62" s="198" t="s">
        <x:v>191</x:v>
      </x:c>
      <x:c r="B62" s="195" t="s">
        <x:v>192</x:v>
      </x:c>
      <x:c r="C62" s="28" t="n">
        <x:f aca="0">C48+C61</x:f>
        <x:v>34688.94</x:v>
      </x:c>
      <x:c r="D62" s="28" t="n">
        <x:f aca="0">D48+D61</x:f>
        <x:v>28696.736999999994</x:v>
      </x:c>
      <x:c r="E62" s="28" t="n">
        <x:f aca="0">E48+E61</x:f>
        <x:v>41655.195</x:v>
      </x:c>
      <x:c r="F62" s="28" t="n">
        <x:f aca="0">F48+F61</x:f>
        <x:v>44794.596999999994</x:v>
      </x:c>
      <x:c r="G62" s="28" t="n">
        <x:f aca="0">G48+G61</x:f>
        <x:v>46749.774000000005</x:v>
      </x:c>
      <x:c r="H62" s="28" t="n">
        <x:f aca="0">H48+H61</x:f>
        <x:v>47644.679000000004</x:v>
      </x:c>
      <x:c r="I62" s="9" t="s">
        <x:v>111</x:v>
      </x:c>
    </x:row>
    <x:row r="63" ht="15" hidden="0">
      <x:c r="A63" s="198" t="s">
        <x:v>193</x:v>
      </x:c>
      <x:c r="B63" s="195" t="s">
        <x:v>194</x:v>
      </x:c>
      <x:c r="C63" s="28" t="n">
        <x:f aca="0">C41+C62</x:f>
        <x:v>66009.77100000001</x:v>
      </x:c>
      <x:c r="D63" s="28" t="n">
        <x:f aca="0">D41+D62</x:f>
        <x:v>66239.27799999999</x:v>
      </x:c>
      <x:c r="E63" s="28" t="n">
        <x:f aca="0">E41+E62</x:f>
        <x:v>82214.20999999999</x:v>
      </x:c>
      <x:c r="F63" s="28" t="n">
        <x:f aca="0">F41+F62</x:f>
        <x:v>89707.711</x:v>
      </x:c>
      <x:c r="G63" s="28" t="n">
        <x:f aca="0">G41+G62</x:f>
        <x:v>99365.682</x:v>
      </x:c>
      <x:c r="H63" s="28" t="n">
        <x:f aca="0">H41+H62</x:f>
        <x:v>119106.27100000001</x:v>
      </x:c>
      <x:c r="I63" s="9" t="s">
        <x:v>111</x:v>
      </x:c>
    </x:row>
    <x:row r="64" ht="15" hidden="0">
      <x:c r="A64" s="201" t="s">
        <x:v>195</x:v>
      </x:c>
      <x:c r="B64" s="202"/>
      <x:c r="C64" s="25"/>
      <x:c r="D64" s="25"/>
      <x:c r="E64" s="25"/>
      <x:c r="F64" s="25"/>
      <x:c r="G64" s="25"/>
      <x:c r="H64" s="25"/>
      <x:c r="I64" s="25"/>
      <x:c r="J64" s="25"/>
    </x:row>
    <x:row r="65" ht="15" hidden="0">
      <x:c r="A65" s="193" t="s">
        <x:v>196</x:v>
      </x:c>
      <x:c r="B65" s="195" t="s">
        <x:v>197</x:v>
      </x:c>
      <x:c r="C65" s="27" t="n">
        <x:f aca="0">C30+C31</x:f>
        <x:v>10175.014000000001</x:v>
      </x:c>
      <x:c r="D65" s="27" t="n">
        <x:f aca="0">D30+D31</x:f>
        <x:v>11888.900000000001</x:v>
      </x:c>
      <x:c r="E65" s="27" t="n">
        <x:f aca="0">E30+E31</x:f>
        <x:v>15549.225999999999</x:v>
      </x:c>
      <x:c r="F65" s="27" t="n">
        <x:f aca="0">F30+F31</x:f>
        <x:v>13800.46</x:v>
      </x:c>
      <x:c r="G65" s="27" t="n">
        <x:f aca="0">G30+G31</x:f>
        <x:v>15533.841</x:v>
      </x:c>
      <x:c r="H65" s="27" t="n">
        <x:f aca="0">H30+H31</x:f>
        <x:v>16904.301</x:v>
      </x:c>
      <x:c r="I65" s="9" t="s">
        <x:v>111</x:v>
      </x:c>
    </x:row>
    <x:row r="66" ht="15" hidden="0">
      <x:c r="A66" s="193" t="s">
        <x:v>198</x:v>
      </x:c>
      <x:c r="B66" s="195" t="s">
        <x:v>199</x:v>
      </x:c>
      <x:c r="C66" s="27" t="n">
        <x:f aca="0">C43+C44+C54+C55+C56-C251-C252</x:f>
        <x:v>21940.414</x:v>
      </x:c>
      <x:c r="D66" s="27" t="n">
        <x:f aca="0">D43+D44+D54+D55+D56-D251-D252</x:f>
        <x:v>16235.475999999999</x:v>
      </x:c>
      <x:c r="E66" s="27" t="n">
        <x:f aca="0">E43+E44+E54+E55+E56-E251-E252</x:f>
        <x:v>24973.713999999996</x:v>
      </x:c>
      <x:c r="F66" s="27" t="n">
        <x:f aca="0">F43+F44+F54+F55+F56-F251-F252</x:f>
        <x:v>19874.403000000002</x:v>
      </x:c>
      <x:c r="G66" s="27" t="n">
        <x:f aca="0">G43+G44+G54+G55+G56-G251-G252</x:f>
        <x:v>19387.383</x:v>
      </x:c>
      <x:c r="H66" s="27" t="n">
        <x:f aca="0">H43+H44+H54+H55+H56-H251-H252</x:f>
        <x:v>14580.07</x:v>
      </x:c>
      <x:c r="I66" s="9" t="s">
        <x:v>111</x:v>
      </x:c>
    </x:row>
    <x:row r="67" ht="15" hidden="0">
      <x:c r="A67" s="193" t="s">
        <x:v>200</x:v>
      </x:c>
      <x:c r="B67" s="195" t="s">
        <x:v>201</x:v>
      </x:c>
      <x:c r="C67" s="27" t="n">
        <x:f aca="0">C43+C44</x:f>
        <x:v>15173.102</x:v>
      </x:c>
      <x:c r="D67" s="27" t="n">
        <x:f aca="0">D43+D44</x:f>
        <x:v>12636.749</x:v>
      </x:c>
      <x:c r="E67" s="27" t="n">
        <x:f aca="0">E43+E44</x:f>
        <x:v>18775.003999999997</x:v>
      </x:c>
      <x:c r="F67" s="27" t="n">
        <x:f aca="0">F43+F44</x:f>
        <x:v>17264.745</x:v>
      </x:c>
      <x:c r="G67" s="27" t="n">
        <x:f aca="0">G43+G44</x:f>
        <x:v>14320.456</x:v>
      </x:c>
      <x:c r="H67" s="27" t="n">
        <x:f aca="0">H43+H44</x:f>
        <x:v>9810.134</x:v>
      </x:c>
      <x:c r="I67" s="9" t="s">
        <x:v>111</x:v>
      </x:c>
    </x:row>
    <x:row r="68" ht="15" hidden="0">
      <x:c r="A68" s="193"/>
      <x:c r="B68" s="195"/>
      <x:c r="C68" s="27">
        <x:f aca="0"/>
      </x:c>
      <x:c r="D68" s="27">
        <x:f aca="0"/>
      </x:c>
      <x:c r="E68" s="27">
        <x:f aca="0"/>
      </x:c>
      <x:c r="F68" s="27">
        <x:f aca="0"/>
      </x:c>
      <x:c r="G68" s="27">
        <x:f aca="0"/>
      </x:c>
      <x:c r="H68" s="27">
        <x:f aca="0"/>
      </x:c>
      <x:c r="I68" s="9" t="s">
        <x:v>111</x:v>
      </x:c>
    </x:row>
    <x:row r="69" ht="15" hidden="0">
      <x:c r="A69" s="193"/>
      <x:c r="B69" s="195"/>
      <x:c r="C69" s="27">
        <x:f aca="0"/>
      </x:c>
      <x:c r="D69" s="27">
        <x:f aca="0"/>
      </x:c>
      <x:c r="E69" s="27">
        <x:f aca="0"/>
      </x:c>
      <x:c r="F69" s="27">
        <x:f aca="0"/>
      </x:c>
      <x:c r="G69" s="27">
        <x:f aca="0"/>
      </x:c>
      <x:c r="H69" s="27">
        <x:f aca="0"/>
      </x:c>
      <x:c r="I69" s="9" t="s">
        <x:v>111</x:v>
      </x:c>
    </x:row>
    <x:row r="70" ht="15" hidden="0">
      <x:c r="A70" s="193" t="s">
        <x:v>202</x:v>
      </x:c>
      <x:c r="B70" s="195" t="s">
        <x:v>203</x:v>
      </x:c>
      <x:c r="C70" s="27" t="n">
        <x:f aca="0">C66+C41</x:f>
        <x:v>53261.244999999995</x:v>
      </x:c>
      <x:c r="D70" s="27" t="n">
        <x:f aca="0">D66+D41</x:f>
        <x:v>53778.01699999999</x:v>
      </x:c>
      <x:c r="E70" s="27" t="n">
        <x:f aca="0">E66+E41</x:f>
        <x:v>65532.72899999999</x:v>
      </x:c>
      <x:c r="F70" s="27" t="n">
        <x:f aca="0">F66+F41</x:f>
        <x:v>64787.51700000001</x:v>
      </x:c>
      <x:c r="G70" s="27" t="n">
        <x:f aca="0">G66+G41</x:f>
        <x:v>72003.291</x:v>
      </x:c>
      <x:c r="H70" s="27" t="n">
        <x:f aca="0">H66+H41</x:f>
        <x:v>86041.66200000001</x:v>
      </x:c>
      <x:c r="I70" s="9" t="s">
        <x:v>111</x:v>
      </x:c>
    </x:row>
    <x:row r="71" ht="15" hidden="0">
      <x:c r="A71" s="193" t="s">
        <x:v>204</x:v>
      </x:c>
      <x:c r="B71" s="195" t="s">
        <x:v>205</x:v>
      </x:c>
      <x:c r="C71" s="27" t="n">
        <x:f aca="0">C37-C61</x:f>
        <x:v>50695.99600000001</x:v>
      </x:c>
      <x:c r="D71" s="27" t="n">
        <x:f aca="0">D37-D61</x:f>
        <x:v>54789.829999999994</x:v>
      </x:c>
      <x:c r="E71" s="27" t="n">
        <x:f aca="0">E37-E61</x:f>
        <x:v>66020.81899999999</x:v>
      </x:c>
      <x:c r="F71" s="27" t="n">
        <x:f aca="0">F37-F61</x:f>
        <x:v>73492.69</x:v>
      </x:c>
      <x:c r="G71" s="27" t="n">
        <x:f aca="0">G37-G61</x:f>
        <x:v>80767.882</x:v>
      </x:c>
      <x:c r="H71" s="27" t="n">
        <x:f aca="0">H37-H61</x:f>
        <x:v>95775.77999999997</x:v>
      </x:c>
      <x:c r="I71" s="9" t="s">
        <x:v>111</x:v>
      </x:c>
    </x:row>
    <x:row r="72" ht="15" hidden="0">
      <x:c r="A72" s="193" t="s">
        <x:v>206</x:v>
      </x:c>
      <x:c r="B72" s="195" t="s">
        <x:v>207</x:v>
      </x:c>
      <x:c r="C72" s="27" t="n">
        <x:f aca="0">C36-C34-C33</x:f>
        <x:v>15485.678999999998</x:v>
      </x:c>
      <x:c r="D72" s="27" t="n">
        <x:f aca="0">D36-D34-D33</x:f>
        <x:v>16283.939</x:v>
      </x:c>
      <x:c r="E72" s="27" t="n">
        <x:f aca="0">E36-E34-E33</x:f>
        <x:v>19330.067</x:v>
      </x:c>
      <x:c r="F72" s="27" t="n">
        <x:f aca="0">F36-F34-F33</x:f>
        <x:v>17809.404</x:v>
      </x:c>
      <x:c r="G72" s="27" t="n">
        <x:f aca="0">G36-G34-G33</x:f>
        <x:v>21514.163</x:v>
      </x:c>
      <x:c r="H72" s="27" t="n">
        <x:f aca="0">H36-H34-H33</x:f>
        <x:v>23034.71</x:v>
      </x:c>
      <x:c r="I72" s="9" t="s">
        <x:v>111</x:v>
      </x:c>
    </x:row>
    <x:row r="73" ht="15" hidden="0">
      <x:c r="A73" s="193" t="s">
        <x:v>208</x:v>
      </x:c>
      <x:c r="B73" s="195" t="s">
        <x:v>209</x:v>
      </x:c>
      <x:c r="C73" s="27" t="n">
        <x:f aca="0">C61-C54-C55-C56-C57-C53-C58</x:f>
        <x:v>7951.221</x:v>
      </x:c>
      <x:c r="D73" s="27" t="n">
        <x:f aca="0">D61-D54-D55-D56-D57-D53-D58</x:f>
        <x:v>7511.636999999999</x:v>
      </x:c>
      <x:c r="E73" s="27" t="n">
        <x:f aca="0">E61-E54-E55-E56-E57-E53-E58</x:f>
        <x:v>9117.413999999999</x:v>
      </x:c>
      <x:c r="F73" s="27" t="n">
        <x:f aca="0">F61-F54-F55-F56-F57-F53-F58</x:f>
        <x:v>12518.18</x:v>
      </x:c>
      <x:c r="G73" s="27" t="n">
        <x:f aca="0">G61-G54-G55-G56-G57-G53-G58</x:f>
        <x:v>12482.233</x:v>
      </x:c>
      <x:c r="H73" s="27" t="n">
        <x:f aca="0">H61-H54-H55-H56-H57-H53-H58</x:f>
        <x:v>18085.061</x:v>
      </x:c>
      <x:c r="I73" s="9" t="s">
        <x:v>111</x:v>
      </x:c>
    </x:row>
    <x:row r="74" ht="15" hidden="0">
      <x:c r="A74" s="201" t="s">
        <x:v>210</x:v>
      </x:c>
      <x:c r="B74" s="202"/>
      <x:c r="C74" s="25"/>
      <x:c r="D74" s="25"/>
      <x:c r="E74" s="25"/>
      <x:c r="F74" s="25"/>
      <x:c r="G74" s="25"/>
      <x:c r="H74" s="25"/>
      <x:c r="I74" s="25"/>
      <x:c r="J74" s="25"/>
    </x:row>
    <x:row r="75" ht="15" hidden="0">
      <x:c r="A75" s="193" t="s">
        <x:v>211</x:v>
      </x:c>
      <x:c r="B75" s="195" t="s">
        <x:v>568</x:v>
      </x:c>
      <x:c r="C75" s="26" t="n">
        <x:v>66009.771</x:v>
      </x:c>
      <x:c r="D75" s="26" t="n">
        <x:v>66239.278</x:v>
      </x:c>
      <x:c r="E75" s="26" t="n">
        <x:v>82214.21</x:v>
      </x:c>
      <x:c r="F75" s="26" t="n">
        <x:v>89707.711</x:v>
      </x:c>
      <x:c r="G75" s="26" t="n">
        <x:v>99365.682</x:v>
      </x:c>
      <x:c r="H75" s="26" t="n">
        <x:v>119106.271</x:v>
      </x:c>
      <x:c r="I75" s="9" t="s">
        <x:v>111</x:v>
      </x:c>
    </x:row>
    <x:row r="76" ht="15" hidden="0">
      <x:c r="A76" s="193" t="s">
        <x:v>213</x:v>
      </x:c>
      <x:c r="B76" s="195" t="s">
        <x:v>569</x:v>
      </x:c>
      <x:c r="C76" s="26" t="n">
        <x:v>31320.831</x:v>
      </x:c>
      <x:c r="D76" s="26" t="n">
        <x:v>37542.541</x:v>
      </x:c>
      <x:c r="E76" s="26" t="n">
        <x:v>40559.015</x:v>
      </x:c>
      <x:c r="F76" s="26" t="n">
        <x:v>44913.114</x:v>
      </x:c>
      <x:c r="G76" s="26" t="n">
        <x:v>52615.908</x:v>
      </x:c>
      <x:c r="H76" s="26" t="n">
        <x:v>71461.592</x:v>
      </x:c>
      <x:c r="I76" s="9" t="s">
        <x:v>111</x:v>
      </x:c>
    </x:row>
    <x:row r="77" ht="15" hidden="0">
      <x:c r="A77" s="193" t="s">
        <x:v>215</x:v>
      </x:c>
      <x:c r="B77" s="195" t="s">
        <x:v>570</x:v>
      </x:c>
      <x:c r="C77" s="26" t="n">
        <x:v>16607.191</x:v>
      </x:c>
      <x:c r="D77" s="26" t="n">
        <x:v>16923.416</x:v>
      </x:c>
      <x:c r="E77" s="26" t="n">
        <x:v>20321.989</x:v>
      </x:c>
      <x:c r="F77" s="26" t="n">
        <x:v>22239.667</x:v>
      </x:c>
      <x:c r="G77" s="26" t="n">
        <x:v>26867.837</x:v>
      </x:c>
      <x:c r="H77" s="26" t="n">
        <x:v>35752.604</x:v>
      </x:c>
      <x:c r="I77" s="9" t="s">
        <x:v>111</x:v>
      </x:c>
    </x:row>
    <x:row r="78" ht="15" hidden="0">
      <x:c r="A78" s="193" t="s">
        <x:v>217</x:v>
      </x:c>
      <x:c r="B78" s="195" t="s">
        <x:v>571</x:v>
      </x:c>
      <x:c r="C78" s="26" t="n">
        <x:v>15313.775</x:v>
      </x:c>
      <x:c r="D78" s="26" t="n">
        <x:v>11449.448</x:v>
      </x:c>
      <x:c r="E78" s="26" t="n">
        <x:v>16193.391</x:v>
      </x:c>
      <x:c r="F78" s="26" t="n">
        <x:v>16215.021</x:v>
      </x:c>
      <x:c r="G78" s="26" t="n">
        <x:v>18597.8</x:v>
      </x:c>
      <x:c r="H78" s="26" t="n">
        <x:v>23330.491</x:v>
      </x:c>
      <x:c r="I78" s="9" t="s">
        <x:v>111</x:v>
      </x:c>
    </x:row>
    <x:row r="79" ht="15" hidden="0">
      <x:c r="A79" s="193" t="s">
        <x:v>219</x:v>
      </x:c>
      <x:c r="B79" s="195" t="s">
        <x:v>220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s="193" t="s">
        <x:v>221</x:v>
      </x:c>
      <x:c r="B80" s="195" t="s">
        <x:v>220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s="193" t="s">
        <x:v>222</x:v>
      </x:c>
      <x:c r="B81" s="195" t="s">
        <x:v>220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2">
      <x:c r="A82" s="193"/>
      <x:c r="B82" s="193"/>
    </x:row>
    <x:row r="83" ht="15" hidden="0">
      <x:c r="A83" s="196" t="s">
        <x:v>223</x:v>
      </x:c>
      <x:c r="B83" s="197"/>
      <x:c r="C83" s="20"/>
      <x:c r="D83" s="20"/>
      <x:c r="E83" s="20"/>
      <x:c r="F83" s="20"/>
      <x:c r="G83" s="20"/>
      <x:c r="H83" s="20"/>
      <x:c r="I83" s="20"/>
      <x:c r="J83" s="20"/>
    </x:row>
    <x:row r="84" ht="15" hidden="0">
      <x:c r="A84" s="193" t="s">
        <x:v>224</x:v>
      </x:c>
      <x:c r="B84" s="195" t="s">
        <x:v>572</x:v>
      </x:c>
      <x:c r="C84" s="30"/>
      <x:c r="D84" s="26" t="n">
        <x:v>35538.301</x:v>
      </x:c>
      <x:c r="E84" s="26" t="n">
        <x:v>48519.622</x:v>
      </x:c>
      <x:c r="F84" s="26" t="n">
        <x:v>62075.259</x:v>
      </x:c>
      <x:c r="G84" s="26" t="n">
        <x:v>66452.348</x:v>
      </x:c>
      <x:c r="H84" s="26" t="n">
        <x:v>68942.446</x:v>
      </x:c>
      <x:c r="I84" s="9" t="s">
        <x:v>111</x:v>
      </x:c>
    </x:row>
    <x:row r="85" ht="15" hidden="0">
      <x:c r="A85" s="193" t="s">
        <x:v>226</x:v>
      </x:c>
      <x:c r="B85" s="195" t="s">
        <x:v>573</x:v>
      </x:c>
      <x:c r="C85" s="30"/>
      <x:c r="D85" s="26" t="n">
        <x:v>-28135.419</x:v>
      </x:c>
      <x:c r="E85" s="26" t="n">
        <x:v>-36244.156</x:v>
      </x:c>
      <x:c r="F85" s="26" t="n">
        <x:v>-43901.906</x:v>
      </x:c>
      <x:c r="G85" s="26" t="n">
        <x:v>-45488.064</x:v>
      </x:c>
      <x:c r="H85" s="26" t="n">
        <x:v>-45195.63</x:v>
      </x:c>
      <x:c r="I85" s="9" t="s">
        <x:v>111</x:v>
      </x:c>
    </x:row>
    <x:row r="86" ht="15" hidden="0">
      <x:c r="A86" s="198" t="s">
        <x:v>228</x:v>
      </x:c>
      <x:c r="B86" s="195" t="s">
        <x:v>229</x:v>
      </x:c>
      <x:c r="C86" s="31"/>
      <x:c r="D86" s="28" t="n">
        <x:f aca="0">D84+D85</x:f>
        <x:v>7402.881999999998</x:v>
      </x:c>
      <x:c r="E86" s="28" t="n">
        <x:f aca="0">E84+E85</x:f>
        <x:v>12275.466</x:v>
      </x:c>
      <x:c r="F86" s="28" t="n">
        <x:f aca="0">F84+F85</x:f>
        <x:v>18173.352999999996</x:v>
      </x:c>
      <x:c r="G86" s="28" t="n">
        <x:f aca="0">G84+G85</x:f>
        <x:v>20964.284</x:v>
      </x:c>
      <x:c r="H86" s="28" t="n">
        <x:f aca="0">H84+H85</x:f>
        <x:v>23746.816</x:v>
      </x:c>
      <x:c r="I86" s="9" t="s">
        <x:v>111</x:v>
      </x:c>
    </x:row>
    <x:row r="87" ht="15" hidden="0">
      <x:c r="A87" s="193" t="s">
        <x:v>230</x:v>
      </x:c>
      <x:c r="B87" s="195" t="s">
        <x:v>574</x:v>
      </x:c>
      <x:c r="C87" s="30"/>
      <x:c r="D87" s="26" t="n">
        <x:v>-1013.852</x:v>
      </x:c>
      <x:c r="E87" s="26" t="n">
        <x:v>-1483.876</x:v>
      </x:c>
      <x:c r="F87" s="26" t="n">
        <x:v>-3751.096</x:v>
      </x:c>
      <x:c r="G87" s="26" t="n">
        <x:v>-5471.808</x:v>
      </x:c>
      <x:c r="H87" s="26" t="n">
        <x:v>-4123.754</x:v>
      </x:c>
      <x:c r="I87" s="9" t="s">
        <x:v>111</x:v>
      </x:c>
    </x:row>
    <x:row r="88" ht="15" hidden="0">
      <x:c r="A88" s="193" t="s">
        <x:v>232</x:v>
      </x:c>
      <x:c r="B88" s="195" t="s">
        <x:v>575</x:v>
      </x:c>
      <x:c r="C88" s="30"/>
      <x:c r="D88" s="26" t="n">
        <x:v>-813.489</x:v>
      </x:c>
      <x:c r="E88" s="26" t="n">
        <x:v>-971.453</x:v>
      </x:c>
      <x:c r="F88" s="26" t="n">
        <x:v>-1380.607</x:v>
      </x:c>
      <x:c r="G88" s="26" t="n">
        <x:v>-1852.148</x:v>
      </x:c>
      <x:c r="H88" s="26" t="n">
        <x:v>-2176.32</x:v>
      </x:c>
      <x:c r="I88" s="9" t="s">
        <x:v>111</x:v>
      </x:c>
    </x:row>
    <x:row r="89" ht="15" hidden="0">
      <x:c r="A89" s="193" t="s">
        <x:v>234</x:v>
      </x:c>
      <x:c r="B89" s="195" t="s">
        <x:v>576</x:v>
      </x:c>
      <x:c r="C89" s="30"/>
      <x:c r="D89" s="26" t="n">
        <x:v>0</x:v>
      </x:c>
      <x:c r="E89" s="26" t="n">
        <x:v>-209.92</x:v>
      </x:c>
      <x:c r="F89" s="26" t="n">
        <x:v>-191.421</x:v>
      </x:c>
      <x:c r="G89" s="26" t="n">
        <x:v>-357.191</x:v>
      </x:c>
      <x:c r="H89" s="26" t="n">
        <x:v>-514.43</x:v>
      </x:c>
      <x:c r="I89" s="9" t="s">
        <x:v>111</x:v>
      </x:c>
    </x:row>
    <x:row r="90" ht="15" hidden="0">
      <x:c r="A90" s="193" t="s">
        <x:v>236</x:v>
      </x:c>
      <x:c r="B90" s="195" t="s">
        <x:v>577</x:v>
      </x:c>
      <x:c r="C90" s="30"/>
      <x:c r="D90" s="26" t="n">
        <x:v>-524.142</x:v>
      </x:c>
      <x:c r="E90" s="26" t="n">
        <x:v>-742.28</x:v>
      </x:c>
      <x:c r="F90" s="26" t="n">
        <x:v>-995.46</x:v>
      </x:c>
      <x:c r="G90" s="26" t="n">
        <x:v>-569.545</x:v>
      </x:c>
      <x:c r="H90" s="26" t="n">
        <x:v>-1207.018</x:v>
      </x:c>
      <x:c r="I90" s="9" t="s">
        <x:v>111</x:v>
      </x:c>
    </x:row>
    <x:row r="91" ht="15" hidden="0">
      <x:c r="A91" s="193" t="s">
        <x:v>238</x:v>
      </x:c>
      <x:c r="B91" s="195" t="s">
        <x:v>239</x:v>
      </x:c>
      <x:c r="C91" s="30"/>
      <x:c r="D91" s="27" t="n">
        <x:f aca="0">D86+D87+D88+D89+D90</x:f>
        <x:v>5051.398999999998</x:v>
      </x:c>
      <x:c r="E91" s="27" t="n">
        <x:f aca="0">E86+E87+E88+E89+E90</x:f>
        <x:v>8867.937</x:v>
      </x:c>
      <x:c r="F91" s="27" t="n">
        <x:f aca="0">F86+F87+F88+F89+F90</x:f>
        <x:v>11854.768999999997</x:v>
      </x:c>
      <x:c r="G91" s="27" t="n">
        <x:f aca="0">G86+G87+G88+G89+G90</x:f>
        <x:v>12713.591999999999</x:v>
      </x:c>
      <x:c r="H91" s="27" t="n">
        <x:f aca="0">H86+H87+H88+H89+H90</x:f>
        <x:v>15725.293999999998</x:v>
      </x:c>
      <x:c r="I91" s="9" t="s">
        <x:v>111</x:v>
      </x:c>
    </x:row>
    <x:row r="92" ht="15" hidden="0">
      <x:c r="A92" s="193" t="s">
        <x:v>240</x:v>
      </x:c>
      <x:c r="B92" s="195" t="s">
        <x:v>578</x:v>
      </x:c>
      <x:c r="C92" s="30"/>
      <x:c r="D92" s="26" t="n">
        <x:v>3732.132</x:v>
      </x:c>
      <x:c r="E92" s="26" t="n">
        <x:v>56.601</x:v>
      </x:c>
      <x:c r="F92" s="26" t="n">
        <x:v>146.646</x:v>
      </x:c>
      <x:c r="G92" s="26" t="n">
        <x:v>238.451</x:v>
      </x:c>
      <x:c r="H92" s="26" t="n">
        <x:v>8462.656</x:v>
      </x:c>
      <x:c r="I92" s="9" t="s">
        <x:v>111</x:v>
      </x:c>
    </x:row>
    <x:row r="93" ht="15" hidden="0">
      <x:c r="A93" s="193" t="s">
        <x:v>242</x:v>
      </x:c>
      <x:c r="B93" s="195" t="s">
        <x:v>579</x:v>
      </x:c>
      <x:c r="C93" s="30"/>
      <x:c r="D93" s="26" t="n">
        <x:v>0</x:v>
      </x:c>
      <x:c r="E93" s="26" t="n">
        <x:v>0</x:v>
      </x:c>
      <x:c r="F93" s="26" t="n">
        <x:v>0</x:v>
      </x:c>
      <x:c r="G93" s="26" t="n">
        <x:v>117.691</x:v>
      </x:c>
      <x:c r="H93" s="26" t="n">
        <x:v>1031.075</x:v>
      </x:c>
      <x:c r="I93" s="9" t="s">
        <x:v>111</x:v>
      </x:c>
    </x:row>
    <x:row r="94" ht="15" hidden="0">
      <x:c r="A94" s="193" t="s">
        <x:v>244</x:v>
      </x:c>
      <x:c r="B94" s="195" t="s">
        <x:v>580</x:v>
      </x:c>
      <x:c r="C94" s="30"/>
      <x:c r="D94" s="26" t="n">
        <x:v>0</x:v>
      </x:c>
      <x:c r="E94" s="26" t="n">
        <x:v>0</x:v>
      </x:c>
      <x:c r="F94" s="26" t="n">
        <x:v>0</x:v>
      </x:c>
      <x:c r="G94" s="26" t="n">
        <x:v>0</x:v>
      </x:c>
      <x:c r="H94" s="26" t="n">
        <x:v>0</x:v>
      </x:c>
      <x:c r="I94" s="9" t="s">
        <x:v>111</x:v>
      </x:c>
    </x:row>
    <x:row r="95" ht="15" hidden="0">
      <x:c r="A95" s="193" t="s">
        <x:v>246</x:v>
      </x:c>
      <x:c r="B95" s="195" t="s">
        <x:v>581</x:v>
      </x:c>
      <x:c r="C95" s="30"/>
      <x:c r="D95" s="26" t="n">
        <x:v>-1493.93</x:v>
      </x:c>
      <x:c r="E95" s="26" t="n">
        <x:v>-1741.026</x:v>
      </x:c>
      <x:c r="F95" s="26" t="n">
        <x:v>-2750.748</x:v>
      </x:c>
      <x:c r="G95" s="26" t="n">
        <x:v>-4138.286</x:v>
      </x:c>
      <x:c r="H95" s="26" t="n">
        <x:v>-3554.788</x:v>
      </x:c>
      <x:c r="I95" s="9" t="s">
        <x:v>111</x:v>
      </x:c>
    </x:row>
    <x:row r="96" ht="15" hidden="0">
      <x:c r="A96" s="198" t="s">
        <x:v>248</x:v>
      </x:c>
      <x:c r="B96" s="195" t="s">
        <x:v>249</x:v>
      </x:c>
      <x:c r="C96" s="31"/>
      <x:c r="D96" s="28" t="n">
        <x:f aca="0">D91+D92+D93+D94+D95</x:f>
        <x:v>7289.600999999997</x:v>
      </x:c>
      <x:c r="E96" s="28" t="n">
        <x:f aca="0">E91+E92+E93+E94+E95</x:f>
        <x:v>7183.512000000001</x:v>
      </x:c>
      <x:c r="F96" s="28" t="n">
        <x:f aca="0">F91+F92+F93+F94+F95</x:f>
        <x:v>9250.666999999998</x:v>
      </x:c>
      <x:c r="G96" s="28" t="n">
        <x:f aca="0">G91+G92+G93+G94+G95</x:f>
        <x:v>8931.447999999999</x:v>
      </x:c>
      <x:c r="H96" s="28" t="n">
        <x:f aca="0">H91+H92+H93+H94+H95</x:f>
        <x:v>21664.236999999997</x:v>
      </x:c>
      <x:c r="I96" s="9" t="s">
        <x:v>111</x:v>
      </x:c>
    </x:row>
    <x:row r="97" ht="15" hidden="0">
      <x:c r="A97" s="193" t="s">
        <x:v>250</x:v>
      </x:c>
      <x:c r="B97" s="195" t="s">
        <x:v>582</x:v>
      </x:c>
      <x:c r="C97" s="30"/>
      <x:c r="D97" s="26" t="n">
        <x:v>0</x:v>
      </x:c>
      <x:c r="E97" s="26" t="n">
        <x:v>0</x:v>
      </x:c>
      <x:c r="F97" s="26" t="n">
        <x:v>-12.192</x:v>
      </x:c>
      <x:c r="G97" s="26" t="n">
        <x:v>-45.804</x:v>
      </x:c>
      <x:c r="H97" s="26" t="n">
        <x:v>-38.972</x:v>
      </x:c>
      <x:c r="I97" s="9" t="s">
        <x:v>111</x:v>
      </x:c>
    </x:row>
    <x:row r="98" ht="15" hidden="0">
      <x:c r="A98" s="193" t="s">
        <x:v>252</x:v>
      </x:c>
      <x:c r="B98" s="195" t="s">
        <x:v>583</x:v>
      </x:c>
      <x:c r="C98" s="30"/>
      <x:c r="D98" s="26" t="n">
        <x:v>-1035.492</x:v>
      </x:c>
      <x:c r="E98" s="26" t="n">
        <x:v>-3557.172</x:v>
      </x:c>
      <x:c r="F98" s="26" t="n">
        <x:v>-4746.806</x:v>
      </x:c>
      <x:c r="G98" s="26" t="n">
        <x:v>-3613.117</x:v>
      </x:c>
      <x:c r="H98" s="26" t="n">
        <x:v>-4588.891</x:v>
      </x:c>
      <x:c r="I98" s="9" t="s">
        <x:v>111</x:v>
      </x:c>
    </x:row>
    <x:row r="99" ht="15" hidden="0">
      <x:c r="A99" s="198" t="s">
        <x:v>254</x:v>
      </x:c>
      <x:c r="B99" s="195" t="s">
        <x:v>255</x:v>
      </x:c>
      <x:c r="C99" s="31"/>
      <x:c r="D99" s="28" t="n">
        <x:f aca="0">D96+D97+D98</x:f>
        <x:v>6254.108999999997</x:v>
      </x:c>
      <x:c r="E99" s="28" t="n">
        <x:f aca="0">E96+E97+E98</x:f>
        <x:v>3626.3400000000006</x:v>
      </x:c>
      <x:c r="F99" s="28" t="n">
        <x:f aca="0">F96+F97+F98</x:f>
        <x:v>4491.668999999999</x:v>
      </x:c>
      <x:c r="G99" s="28" t="n">
        <x:f aca="0">G96+G97+G98</x:f>
        <x:v>5272.526999999998</x:v>
      </x:c>
      <x:c r="H99" s="28" t="n">
        <x:f aca="0">H96+H97+H98</x:f>
        <x:v>17036.373999999996</x:v>
      </x:c>
      <x:c r="I99" s="9" t="s">
        <x:v>111</x:v>
      </x:c>
    </x:row>
    <x:row r="100" ht="15" hidden="0">
      <x:c r="A100" s="193" t="s">
        <x:v>256</x:v>
      </x:c>
      <x:c r="B100" s="195" t="s">
        <x:v>584</x:v>
      </x:c>
      <x:c r="C100" s="30"/>
      <x:c r="D100" s="26" t="n">
        <x:v>7402.882</x:v>
      </x:c>
      <x:c r="E100" s="26" t="n">
        <x:v>12275.466</x:v>
      </x:c>
      <x:c r="F100" s="26" t="n">
        <x:v>18173.353</x:v>
      </x:c>
      <x:c r="G100" s="26" t="n">
        <x:v>20964.284</x:v>
      </x:c>
      <x:c r="H100" s="26" t="n">
        <x:v>23746.816</x:v>
      </x:c>
      <x:c r="I100" s="9" t="s">
        <x:v>111</x:v>
      </x:c>
    </x:row>
    <x:row r="101" ht="15" hidden="0">
      <x:c r="A101" s="193" t="s">
        <x:v>258</x:v>
      </x:c>
      <x:c r="B101" s="195" t="s">
        <x:v>585</x:v>
      </x:c>
      <x:c r="C101" s="30"/>
      <x:c r="D101" s="26" t="n">
        <x:v>7289.601</x:v>
      </x:c>
      <x:c r="E101" s="26" t="n">
        <x:v>7183.512</x:v>
      </x:c>
      <x:c r="F101" s="26" t="n">
        <x:v>9250.667</x:v>
      </x:c>
      <x:c r="G101" s="26" t="n">
        <x:v>8931.448</x:v>
      </x:c>
      <x:c r="H101" s="26" t="n">
        <x:v>21664.237</x:v>
      </x:c>
      <x:c r="I101" s="9" t="s">
        <x:v>111</x:v>
      </x:c>
    </x:row>
    <x:row r="102" ht="15" hidden="0">
      <x:c r="A102" s="193" t="s">
        <x:v>260</x:v>
      </x:c>
      <x:c r="B102" s="195" t="s">
        <x:v>586</x:v>
      </x:c>
      <x:c r="C102" s="30"/>
      <x:c r="D102" s="26" t="n">
        <x:v>6254.109</x:v>
      </x:c>
      <x:c r="E102" s="26" t="n">
        <x:v>3626.34</x:v>
      </x:c>
      <x:c r="F102" s="26" t="n">
        <x:v>4491.669</x:v>
      </x:c>
      <x:c r="G102" s="26" t="n">
        <x:v>5272.527</x:v>
      </x:c>
      <x:c r="H102" s="26" t="n">
        <x:v>17036.374</x:v>
      </x:c>
      <x:c r="I102" s="9" t="s">
        <x:v>111</x:v>
      </x:c>
    </x:row>
    <x:row r="103" ht="15" hidden="0">
      <x:c r="A103" s="193" t="s">
        <x:v>262</x:v>
      </x:c>
      <x:c r="B103" s="195" t="s">
        <x:v>220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01" t="s">
        <x:v>263</x:v>
      </x:c>
      <x:c r="B104" s="202"/>
      <x:c r="C104" s="25"/>
      <x:c r="D104" s="25"/>
      <x:c r="E104" s="25"/>
      <x:c r="F104" s="25"/>
      <x:c r="G104" s="25"/>
      <x:c r="H104" s="25"/>
      <x:c r="I104" s="25"/>
      <x:c r="J104" s="25"/>
    </x:row>
    <x:row r="105" ht="15" hidden="0">
      <x:c r="A105" s="193" t="s">
        <x:v>264</x:v>
      </x:c>
      <x:c r="B105" s="195" t="s">
        <x:v>587</x:v>
      </x:c>
      <x:c r="C105" s="30"/>
      <x:c r="D105" s="26" t="n">
        <x:v>46.652</x:v>
      </x:c>
      <x:c r="E105" s="26" t="n">
        <x:v>51.001</x:v>
      </x:c>
      <x:c r="F105" s="26" t="n">
        <x:v>67.573</x:v>
      </x:c>
      <x:c r="G105" s="26" t="n">
        <x:v>82.866</x:v>
      </x:c>
      <x:c r="H105" s="26" t="n">
        <x:v>140.834</x:v>
      </x:c>
      <x:c r="I105" s="9" t="s">
        <x:v>111</x:v>
      </x:c>
    </x:row>
    <x:row r="106" ht="15" hidden="0">
      <x:c r="A106" s="193" t="s">
        <x:v>266</x:v>
      </x:c>
      <x:c r="B106" s="195" t="s">
        <x:v>267</x:v>
      </x:c>
      <x:c r="C106" s="30"/>
      <x:c r="D106" s="27" t="n">
        <x:f aca="0">-D95-D105</x:f>
        <x:v>1447.278</x:v>
      </x:c>
      <x:c r="E106" s="27" t="n">
        <x:f aca="0">-E95-E105</x:f>
        <x:v>1690.025</x:v>
      </x:c>
      <x:c r="F106" s="27" t="n">
        <x:f aca="0">-F95-F105</x:f>
        <x:v>2683.175</x:v>
      </x:c>
      <x:c r="G106" s="27" t="n">
        <x:f aca="0">-G95-G105</x:f>
        <x:v>4055.42</x:v>
      </x:c>
      <x:c r="H106" s="27" t="n">
        <x:f aca="0">-H95-H105</x:f>
        <x:v>3413.954</x:v>
      </x:c>
      <x:c r="I106" s="9" t="s">
        <x:v>111</x:v>
      </x:c>
    </x:row>
    <x:row r="107" ht="15" hidden="0">
      <x:c r="A107" s="193" t="s">
        <x:v>268</x:v>
      </x:c>
      <x:c r="B107" s="195" t="s">
        <x:v>588</x:v>
      </x:c>
      <x:c r="C107" s="30"/>
      <x:c r="D107" s="26" t="n">
        <x:v>3287.702</x:v>
      </x:c>
      <x:c r="E107" s="26" t="n">
        <x:v>3233.977</x:v>
      </x:c>
      <x:c r="F107" s="26" t="n">
        <x:v>3475.349</x:v>
      </x:c>
      <x:c r="G107" s="26" t="n">
        <x:v>4520.347</x:v>
      </x:c>
      <x:c r="H107" s="26" t="n">
        <x:v>4413.3</x:v>
      </x:c>
      <x:c r="I107" s="9" t="s">
        <x:v>111</x:v>
      </x:c>
    </x:row>
    <x:row r="108" ht="15" hidden="0">
      <x:c r="A108" s="198" t="s">
        <x:v>270</x:v>
      </x:c>
      <x:c r="B108" s="195" t="s">
        <x:v>271</x:v>
      </x:c>
      <x:c r="C108" s="31"/>
      <x:c r="D108" s="28" t="n">
        <x:f aca="0">D96-D95</x:f>
        <x:v>8783.530999999997</x:v>
      </x:c>
      <x:c r="E108" s="28" t="n">
        <x:f aca="0">E96-E95</x:f>
        <x:v>8924.538</x:v>
      </x:c>
      <x:c r="F108" s="28" t="n">
        <x:f aca="0">F96-F95</x:f>
        <x:v>12001.414999999997</x:v>
      </x:c>
      <x:c r="G108" s="28" t="n">
        <x:f aca="0">G96-G95</x:f>
        <x:v>13069.733999999999</x:v>
      </x:c>
      <x:c r="H108" s="28" t="n">
        <x:f aca="0">H96-H95</x:f>
        <x:v>25219.024999999998</x:v>
      </x:c>
      <x:c r="I108" s="9" t="s">
        <x:v>111</x:v>
      </x:c>
    </x:row>
    <x:row r="109" ht="15" hidden="0">
      <x:c r="A109" s="198" t="s">
        <x:v>272</x:v>
      </x:c>
      <x:c r="B109" s="195" t="s">
        <x:v>273</x:v>
      </x:c>
      <x:c r="C109" s="31"/>
      <x:c r="D109" s="28" t="n">
        <x:f aca="0">D108+D107</x:f>
        <x:v>12071.232999999997</x:v>
      </x:c>
      <x:c r="E109" s="28" t="n">
        <x:f aca="0">E108+E107</x:f>
        <x:v>12158.515</x:v>
      </x:c>
      <x:c r="F109" s="28" t="n">
        <x:f aca="0">F108+F107</x:f>
        <x:v>15476.763999999997</x:v>
      </x:c>
      <x:c r="G109" s="28" t="n">
        <x:f aca="0">G108+G107</x:f>
        <x:v>17590.081</x:v>
      </x:c>
      <x:c r="H109" s="28" t="n">
        <x:f aca="0">H108+H107</x:f>
        <x:v>29632.324999999997</x:v>
      </x:c>
      <x:c r="I109" s="9" t="s">
        <x:v>111</x:v>
      </x:c>
    </x:row>
    <x:row r="110" ht="15" hidden="0">
      <x:c r="A110" s="193" t="s">
        <x:v>274</x:v>
      </x:c>
      <x:c r="B110" s="195" t="s">
        <x:v>275</x:v>
      </x:c>
      <x:c r="C110" s="30"/>
      <x:c r="D110" s="27" t="n">
        <x:f aca="0">-(D97+D98)</x:f>
        <x:v>1035.492</x:v>
      </x:c>
      <x:c r="E110" s="27" t="n">
        <x:f aca="0">-(E97+E98)</x:f>
        <x:v>3557.172</x:v>
      </x:c>
      <x:c r="F110" s="27" t="n">
        <x:f aca="0">-(F97+F98)</x:f>
        <x:v>4758.998</x:v>
      </x:c>
      <x:c r="G110" s="27" t="n">
        <x:f aca="0">-(G97+G98)</x:f>
        <x:v>3658.9210000000003</x:v>
      </x:c>
      <x:c r="H110" s="27" t="n">
        <x:f aca="0">-(H97+H98)</x:f>
        <x:v>4627.862999999999</x:v>
      </x:c>
      <x:c r="I110" s="9" t="s">
        <x:v>111</x:v>
      </x:c>
    </x:row>
    <x:row r="111" ht="15" hidden="0">
      <x:c r="A111" s="193" t="s">
        <x:v>276</x:v>
      </x:c>
      <x:c r="B111" s="195" t="s">
        <x:v>277</x:v>
      </x:c>
      <x:c r="C111" s="30"/>
      <x:c r="D111" s="32" t="n">
        <x:f aca="0">IF(D96&lt;=0,"n/m",D110/D96)</x:f>
        <x:v>0.14205057313836525</x:v>
      </x:c>
      <x:c r="E111" s="32" t="n">
        <x:f aca="0">IF(E96&lt;=0,"n/m",E110/E96)</x:f>
        <x:v>0.4951856417863574</x:v>
      </x:c>
      <x:c r="F111" s="32" t="n">
        <x:f aca="0">IF(F96&lt;=0,"n/m",F110/F96)</x:f>
        <x:v>0.5144491743135928</x:v>
      </x:c>
      <x:c r="G111" s="32" t="n">
        <x:f aca="0">IF(G96&lt;=0,"n/m",G110/G96)</x:f>
        <x:v>0.4096671670707819</x:v>
      </x:c>
      <x:c r="H111" s="32" t="n">
        <x:f aca="0">IF(H96&lt;=0,"n/m",H110/H96)</x:f>
        <x:v>0.2136176316756505</x:v>
      </x:c>
      <x:c r="I111" s="9" t="s">
        <x:v>278</x:v>
      </x:c>
    </x:row>
    <x:row r="112" ht="15" hidden="0">
      <x:c r="A112" s="193" t="str">
        <x:v>NOPAT tax rate = actual audited ETR (no cap)</x:v>
      </x:c>
      <x:c r="B112" s="195" t="s">
        <x:v>279</x:v>
      </x:c>
      <x:c r="C112" s="30"/>
      <x:c r="D112" s="32" t="n">
        <x:f aca="0">D111</x:f>
        <x:v>0.14205057313836525</x:v>
      </x:c>
      <x:c r="E112" s="32" t="n">
        <x:f aca="0">E111</x:f>
        <x:v>0.4951856417863574</x:v>
      </x:c>
      <x:c r="F112" s="32" t="n">
        <x:f aca="0">F111</x:f>
        <x:v>0.5144491743135928</x:v>
      </x:c>
      <x:c r="G112" s="32" t="n">
        <x:f aca="0">G111</x:f>
        <x:v>0.4096671670707819</x:v>
      </x:c>
      <x:c r="H112" s="32" t="n">
        <x:f aca="0">H111</x:f>
        <x:v>0.2136176316756505</x:v>
      </x:c>
      <x:c r="I112" s="9" t="s">
        <x:v>278</x:v>
      </x:c>
    </x:row>
    <x:row r="113" ht="15" hidden="0">
      <x:c r="A113" s="193" t="s">
        <x:v>280</x:v>
      </x:c>
      <x:c r="B113" s="195" t="s">
        <x:v>281</x:v>
      </x:c>
      <x:c r="C113" s="30"/>
      <x:c r="D113" s="27" t="n">
        <x:f aca="0">IF(ISNUMBER(D112),D108*(1-D112),"n/m")</x:f>
        <x:v>7535.825387271399</x:v>
      </x:c>
      <x:c r="E113" s="27" t="n">
        <x:f aca="0">IF(ISNUMBER(E112),E108*(1-E112),"n/m")</x:f>
        <x:v>4505.234922823266</x:v>
      </x:c>
      <x:c r="F113" s="27" t="n">
        <x:f aca="0">IF(ISNUMBER(F112),F108*(1-F112),"n/m")</x:f>
        <x:v>5827.296962655231</x:v>
      </x:c>
      <x:c r="G113" s="27" t="n">
        <x:f aca="0">IF(ISNUMBER(G112),G108*(1-G112),"n/m")</x:f>
        <x:v>7715.493097851321</x:v>
      </x:c>
      <x:c r="H113" s="27" t="n">
        <x:f aca="0">IF(ISNUMBER(H112),H108*(1-H112),"n/m")</x:f>
        <x:v>19831.796606330976</x:v>
      </x:c>
      <x:c r="I113" s="9" t="s">
        <x:v>111</x:v>
      </x:c>
    </x:row>
    <x:row r="114">
      <x:c r="A114" s="193"/>
      <x:c r="B114" s="193"/>
    </x:row>
    <x:row r="115" ht="15" hidden="0">
      <x:c r="A115" s="196" t="s">
        <x:v>282</x:v>
      </x:c>
      <x:c r="B115" s="197"/>
      <x:c r="C115" s="20"/>
      <x:c r="D115" s="20"/>
      <x:c r="E115" s="20"/>
      <x:c r="F115" s="20"/>
      <x:c r="G115" s="20"/>
      <x:c r="H115" s="20"/>
      <x:c r="I115" s="20"/>
      <x:c r="J115" s="20"/>
    </x:row>
    <x:row r="116" ht="15" hidden="0">
      <x:c r="A116" s="193" t="s">
        <x:v>283</x:v>
      </x:c>
      <x:c r="B116" s="195" t="s">
        <x:v>589</x:v>
      </x:c>
      <x:c r="C116" s="30"/>
      <x:c r="D116" s="26" t="n">
        <x:v>9013.169</x:v>
      </x:c>
      <x:c r="E116" s="26" t="n">
        <x:v>12905.198</x:v>
      </x:c>
      <x:c r="F116" s="26" t="n">
        <x:v>19906.827</x:v>
      </x:c>
      <x:c r="G116" s="26" t="n">
        <x:v>12810.292</x:v>
      </x:c>
      <x:c r="H116" s="26" t="n">
        <x:v>23320.309</x:v>
      </x:c>
      <x:c r="I116" s="9" t="s">
        <x:v>111</x:v>
      </x:c>
    </x:row>
    <x:row r="117" ht="15" hidden="0">
      <x:c r="A117" s="193" t="s">
        <x:v>285</x:v>
      </x:c>
      <x:c r="B117" s="195" t="s">
        <x:v>590</x:v>
      </x:c>
      <x:c r="C117" s="30"/>
      <x:c r="D117" s="26" t="n">
        <x:v>6551.967</x:v>
      </x:c>
      <x:c r="E117" s="26" t="n">
        <x:v>8330.107</x:v>
      </x:c>
      <x:c r="F117" s="26" t="n">
        <x:v>20143.665</x:v>
      </x:c>
      <x:c r="G117" s="26" t="n">
        <x:v>9496.243</x:v>
      </x:c>
      <x:c r="H117" s="26" t="n">
        <x:v>19316.637</x:v>
      </x:c>
      <x:c r="I117" s="9" t="s">
        <x:v>111</x:v>
      </x:c>
    </x:row>
    <x:row r="118" ht="15" hidden="0">
      <x:c r="A118" s="193" t="s">
        <x:v>287</x:v>
      </x:c>
      <x:c r="B118" s="195" t="s">
        <x:v>591</x:v>
      </x:c>
      <x:c r="C118" s="30"/>
      <x:c r="D118" s="26" t="n">
        <x:v>-1733.621</x:v>
      </x:c>
      <x:c r="E118" s="26" t="n">
        <x:v>-1296.781</x:v>
      </x:c>
      <x:c r="F118" s="26" t="n">
        <x:v>-2527.786</x:v>
      </x:c>
      <x:c r="G118" s="26" t="n">
        <x:v>-4145.538</x:v>
      </x:c>
      <x:c r="H118" s="26" t="n">
        <x:v>-4093.012</x:v>
      </x:c>
      <x:c r="I118" s="9" t="s">
        <x:v>111</x:v>
      </x:c>
    </x:row>
    <x:row r="119" ht="15" hidden="0">
      <x:c r="A119" s="193" t="s">
        <x:v>289</x:v>
      </x:c>
      <x:c r="B119" s="195" t="s">
        <x:v>592</x:v>
      </x:c>
      <x:c r="C119" s="30"/>
      <x:c r="D119" s="33" t="s">
        <x:v>593</x:v>
      </x:c>
      <x:c r="E119" s="33" t="s">
        <x:v>593</x:v>
      </x:c>
      <x:c r="F119" s="33" t="s">
        <x:v>593</x:v>
      </x:c>
      <x:c r="G119" s="33" t="s">
        <x:v>593</x:v>
      </x:c>
      <x:c r="H119" s="33" t="s">
        <x:v>593</x:v>
      </x:c>
      <x:c r="I119" s="9" t="s">
        <x:v>292</x:v>
      </x:c>
    </x:row>
    <x:row r="120" ht="15" hidden="0">
      <x:c r="A120" s="193" t="s">
        <x:v>293</x:v>
      </x:c>
      <x:c r="B120" s="195" t="s">
        <x:v>294</x:v>
      </x:c>
      <x:c r="C120" s="30"/>
      <x:c r="D120" s="27" t="n">
        <x:f aca="0">IF(D119="Financing",D117+D118,D117)</x:f>
        <x:v>4818.346</x:v>
      </x:c>
      <x:c r="E120" s="27" t="n">
        <x:f aca="0">IF(E119="Financing",E117+E118,E117)</x:f>
        <x:v>7033.326</x:v>
      </x:c>
      <x:c r="F120" s="27" t="n">
        <x:f aca="0">IF(F119="Financing",F117+F118,F117)</x:f>
        <x:v>17615.879</x:v>
      </x:c>
      <x:c r="G120" s="27" t="n">
        <x:f aca="0">IF(G119="Financing",G117+G118,G117)</x:f>
        <x:v>5350.705000000001</x:v>
      </x:c>
      <x:c r="H120" s="27" t="n">
        <x:f aca="0">IF(H119="Financing",H117+H118,H117)</x:f>
        <x:v>15223.624999999998</x:v>
      </x:c>
      <x:c r="I120" s="9" t="s">
        <x:v>111</x:v>
      </x:c>
    </x:row>
    <x:row r="121" ht="15" hidden="0">
      <x:c r="A121" s="193" t="s">
        <x:v>295</x:v>
      </x:c>
      <x:c r="B121" s="195" t="s">
        <x:v>594</x:v>
      </x:c>
      <x:c r="C121" s="30"/>
      <x:c r="D121" s="26" t="n">
        <x:v>-3285.3</x:v>
      </x:c>
      <x:c r="E121" s="26" t="n">
        <x:v>-15790.494</x:v>
      </x:c>
      <x:c r="F121" s="26" t="n">
        <x:v>-9071.126</x:v>
      </x:c>
      <x:c r="G121" s="26" t="n">
        <x:v>-3099.319</x:v>
      </x:c>
      <x:c r="H121" s="26" t="n">
        <x:v>-423.781</x:v>
      </x:c>
      <x:c r="I121" s="9" t="s">
        <x:v>111</x:v>
      </x:c>
    </x:row>
    <x:row r="122" ht="15" hidden="0">
      <x:c r="A122" s="193" t="s">
        <x:v>297</x:v>
      </x:c>
      <x:c r="B122" s="195" t="s">
        <x:v>595</x:v>
      </x:c>
      <x:c r="C122" s="30"/>
      <x:c r="D122" s="26" t="n">
        <x:v>251.007</x:v>
      </x:c>
      <x:c r="E122" s="26" t="n">
        <x:v>-15819.32</x:v>
      </x:c>
      <x:c r="F122" s="26" t="n">
        <x:v>-12174.483</x:v>
      </x:c>
      <x:c r="G122" s="26" t="n">
        <x:v>-3030.885</x:v>
      </x:c>
      <x:c r="H122" s="26" t="n">
        <x:v>-9999.04</x:v>
      </x:c>
      <x:c r="I122" s="9" t="s">
        <x:v>111</x:v>
      </x:c>
    </x:row>
    <x:row r="123" ht="15" hidden="0">
      <x:c r="A123" s="193" t="s">
        <x:v>299</x:v>
      </x:c>
      <x:c r="B123" s="195" t="s">
        <x:v>596</x:v>
      </x:c>
      <x:c r="C123" s="30"/>
      <x:c r="D123" s="26" t="n">
        <x:v>-6732.688</x:v>
      </x:c>
      <x:c r="E123" s="26" t="n">
        <x:v>6601.516</x:v>
      </x:c>
      <x:c r="F123" s="26" t="n">
        <x:v>-6632.403</x:v>
      </x:c>
      <x:c r="G123" s="26" t="n">
        <x:v>-7482.362</x:v>
      </x:c>
      <x:c r="H123" s="26" t="n">
        <x:v>-7569.161</x:v>
      </x:c>
      <x:c r="I123" s="9" t="s">
        <x:v>111</x:v>
      </x:c>
    </x:row>
    <x:row r="124" ht="15" hidden="0">
      <x:c r="A124" s="193" t="s">
        <x:v>301</x:v>
      </x:c>
      <x:c r="B124" s="195" t="s">
        <x:v>597</x:v>
      </x:c>
      <x:c r="C124" s="30"/>
      <x:c r="D124" s="26" t="n">
        <x:v>-19.919</x:v>
      </x:c>
      <x:c r="E124" s="26" t="n">
        <x:v>-0.565</x:v>
      </x:c>
      <x:c r="F124" s="26" t="n">
        <x:v>-0.191</x:v>
      </x:c>
      <x:c r="G124" s="26" t="n">
        <x:v>-0.122</x:v>
      </x:c>
      <x:c r="H124" s="26" t="n">
        <x:v>-0.379</x:v>
      </x:c>
      <x:c r="I124" s="9" t="s">
        <x:v>111</x:v>
      </x:c>
    </x:row>
    <x:row r="125">
      <x:c r="A125" s="193"/>
      <x:c r="B125" s="193"/>
    </x:row>
    <x:row r="126" ht="15" hidden="0">
      <x:c r="A126" s="196" t="s">
        <x:v>303</x:v>
      </x:c>
      <x:c r="B126" s="197"/>
      <x:c r="C126" s="20"/>
      <x:c r="D126" s="20"/>
      <x:c r="E126" s="20"/>
      <x:c r="F126" s="20"/>
      <x:c r="G126" s="20"/>
      <x:c r="H126" s="20"/>
      <x:c r="I126" s="20"/>
      <x:c r="J126" s="20"/>
    </x:row>
    <x:row r="127" ht="15" hidden="0">
      <x:c r="A127" s="193" t="s">
        <x:v>304</x:v>
      </x:c>
      <x:c r="B127" s="195" t="s">
        <x:v>598</x:v>
      </x:c>
      <x:c r="C127" s="30"/>
      <x:c r="D127" s="34" t="n">
        <x:v>10</x:v>
      </x:c>
      <x:c r="E127" s="34" t="n">
        <x:v>10</x:v>
      </x:c>
      <x:c r="F127" s="34" t="n">
        <x:v>10</x:v>
      </x:c>
      <x:c r="G127" s="34" t="n">
        <x:v>10</x:v>
      </x:c>
      <x:c r="H127" s="34" t="n">
        <x:v>10</x:v>
      </x:c>
      <x:c r="I127" s="9" t="s">
        <x:v>306</x:v>
      </x:c>
    </x:row>
    <x:row r="128" ht="15" hidden="0">
      <x:c r="A128" s="193" t="s">
        <x:v>307</x:v>
      </x:c>
      <x:c r="B128" s="195" t="s">
        <x:v>308</x:v>
      </x:c>
      <x:c r="C128" s="30"/>
      <x:c r="D128" s="35" t="n">
        <x:f aca="0">D39/D127-D135</x:f>
        <x:v>1098.3462</x:v>
      </x:c>
      <x:c r="E128" s="35" t="n">
        <x:f aca="0">E39/E127-E135</x:f>
        <x:v>1079.8011999999999</x:v>
      </x:c>
      <x:c r="F128" s="35" t="n">
        <x:f aca="0">F39/F127-F135</x:f>
        <x:v>1073.3462</x:v>
      </x:c>
      <x:c r="G128" s="35" t="n">
        <x:f aca="0">G39/G127-G135</x:f>
        <x:v>1047.5626</x:v>
      </x:c>
      <x:c r="H128" s="35" t="n">
        <x:f aca="0">H39/H127-H135</x:f>
        <x:v>1047.5626</x:v>
      </x:c>
      <x:c r="I128" s="9" t="s">
        <x:v>309</x:v>
      </x:c>
    </x:row>
    <x:row r="129" ht="15" hidden="0">
      <x:c r="A129" s="193" t="s">
        <x:v>310</x:v>
      </x:c>
      <x:c r="B129" s="195" t="s">
        <x:v>599</x:v>
      </x:c>
      <x:c r="C129" s="30"/>
      <x:c r="D129" s="36" t="n">
        <x:v>1098.346</x:v>
      </x:c>
      <x:c r="E129" s="36" t="n">
        <x:v>1097.524</x:v>
      </x:c>
      <x:c r="F129" s="36" t="n">
        <x:v>1073.405</x:v>
      </x:c>
      <x:c r="G129" s="36" t="n">
        <x:v>1058.911</x:v>
      </x:c>
      <x:c r="H129" s="36" t="n">
        <x:v>1047.563</x:v>
      </x:c>
      <x:c r="I129" s="9" t="s">
        <x:v>309</x:v>
      </x:c>
    </x:row>
    <x:row r="130" ht="15" hidden="0">
      <x:c r="A130" s="193" t="str">
        <x:v>FY-end share price (Rs; last PSX close)</x:v>
      </x:c>
      <x:c r="B130" s="195" t="s">
        <x:v>600</x:v>
      </x:c>
      <x:c r="C130" s="30"/>
      <x:c r="D130" s="34" t="n">
        <x:v>46.98</x:v>
      </x:c>
      <x:c r="E130" s="34" t="n">
        <x:v>27.35</x:v>
      </x:c>
      <x:c r="F130" s="34" t="n">
        <x:v>28.33</x:v>
      </x:c>
      <x:c r="G130" s="34" t="n">
        <x:v>38</x:v>
      </x:c>
      <x:c r="H130" s="34" t="n">
        <x:v>84.28</x:v>
      </x:c>
      <x:c r="I130" s="9" t="s">
        <x:v>306</x:v>
      </x:c>
    </x:row>
    <x:row r="131" ht="15" hidden="0">
      <x:c r="A131" s="193" t="s">
        <x:v>313</x:v>
      </x:c>
      <x:c r="B131" s="195" t="s">
        <x:v>601</x:v>
      </x:c>
      <x:c r="C131" s="30"/>
      <x:c r="D131" s="34" t="n">
        <x:v>0</x:v>
      </x:c>
      <x:c r="E131" s="34" t="n">
        <x:v>0</x:v>
      </x:c>
      <x:c r="F131" s="34" t="n">
        <x:v>0</x:v>
      </x:c>
      <x:c r="G131" s="34" t="n">
        <x:v>0</x:v>
      </x:c>
      <x:c r="H131" s="34" t="n">
        <x:v>0</x:v>
      </x:c>
      <x:c r="I131" s="9" t="s">
        <x:v>306</x:v>
      </x:c>
    </x:row>
    <x:row r="132" ht="15" hidden="0">
      <x:c r="A132" s="193" t="str">
        <x:v>Reported EPS (Rs; own-year report basis)</x:v>
      </x:c>
      <x:c r="B132" s="195" t="s">
        <x:v>602</x:v>
      </x:c>
      <x:c r="C132" s="30"/>
      <x:c r="D132" s="34" t="n">
        <x:v>5.69</x:v>
      </x:c>
      <x:c r="E132" s="34" t="n">
        <x:v>3.3</x:v>
      </x:c>
      <x:c r="F132" s="34" t="n">
        <x:v>4.18</x:v>
      </x:c>
      <x:c r="G132" s="34" t="n">
        <x:v>4.98</x:v>
      </x:c>
      <x:c r="H132" s="34" t="n">
        <x:v>16.26</x:v>
      </x:c>
      <x:c r="I132" s="9" t="s">
        <x:v>306</x:v>
      </x:c>
    </x:row>
    <x:row r="133" ht="15" hidden="0">
      <x:c r="A133" s="193" t="s">
        <x:v>316</x:v>
      </x:c>
      <x:c r="B133" s="195" t="s">
        <x:v>317</x:v>
      </x:c>
      <x:c r="C133" s="30"/>
      <x:c r="D133" s="27" t="n">
        <x:f aca="0">D130*D128</x:f>
        <x:v>51600.304476</x:v>
      </x:c>
      <x:c r="E133" s="27" t="n">
        <x:f aca="0">E130*E128</x:f>
        <x:v>29532.56282</x:v>
      </x:c>
      <x:c r="F133" s="27" t="n">
        <x:f aca="0">F130*F128</x:f>
        <x:v>30407.897845999996</x:v>
      </x:c>
      <x:c r="G133" s="27" t="n">
        <x:f aca="0">G130*G128</x:f>
        <x:v>39807.3788</x:v>
      </x:c>
      <x:c r="H133" s="27" t="n">
        <x:f aca="0">H130*H128</x:f>
        <x:v>88288.575928</x:v>
      </x:c>
      <x:c r="I133" s="9" t="s">
        <x:v>111</x:v>
      </x:c>
    </x:row>
    <x:row r="134" ht="15" hidden="0">
      <x:c r="A134" s="193" t="str">
        <x:v>Factor to FY2025 annual-report split basis (memo)</x:v>
      </x:c>
      <x:c r="B134" s="195" t="s">
        <x:v>603</x:v>
      </x:c>
      <x:c r="C134" s="30"/>
      <x:c r="D134" s="34" t="n">
        <x:v>1</x:v>
      </x:c>
      <x:c r="E134" s="34" t="n">
        <x:v>1</x:v>
      </x:c>
      <x:c r="F134" s="34" t="n">
        <x:v>1</x:v>
      </x:c>
      <x:c r="G134" s="34" t="n">
        <x:v>1</x:v>
      </x:c>
      <x:c r="H134" s="34" t="n">
        <x:v>1</x:v>
      </x:c>
      <x:c r="I134" s="9" t="s">
        <x:v>319</x:v>
      </x:c>
    </x:row>
    <x:row r="135">
      <x:c r="A135" s="193" t="str">
        <x:v>Treasury shares excluded (million)</x:v>
      </x:c>
      <x:c r="B135" s="195"/>
      <x:c r="C135" s="30"/>
      <x:c r="D135" s="34" t="n">
        <x:v>0</x:v>
      </x:c>
      <x:c r="E135" s="34" t="n">
        <x:v>18.545</x:v>
      </x:c>
      <x:c r="F135" s="34" t="n">
        <x:v>0</x:v>
      </x:c>
      <x:c r="G135" s="34" t="n">
        <x:v>0</x:v>
      </x:c>
      <x:c r="H135" s="34" t="n">
        <x:v>0</x:v>
      </x:c>
    </x:row>
    <x:row r="136" ht="15" hidden="0">
      <x:c r="A136" s="196" t="s">
        <x:v>320</x:v>
      </x:c>
      <x:c r="B136" s="197"/>
      <x:c r="C136" s="20"/>
      <x:c r="D136" s="20"/>
      <x:c r="E136" s="20"/>
      <x:c r="F136" s="20"/>
      <x:c r="G136" s="20"/>
      <x:c r="H136" s="20"/>
      <x:c r="I136" s="20"/>
      <x:c r="J136" s="20"/>
    </x:row>
    <x:row r="137" ht="22" hidden="0" customHeight="1">
      <x:c r="A137" s="203" t="str">
        <x:v>Liquidity</x:v>
      </x:c>
      <x:c r="B137" s="204"/>
      <x:c r="C137" s="129"/>
      <x:c r="D137" s="129"/>
      <x:c r="E137" s="129"/>
      <x:c r="F137" s="129"/>
      <x:c r="G137" s="129"/>
      <x:c r="H137" s="129"/>
      <x:c r="I137" s="25"/>
      <x:c r="J137" s="25"/>
    </x:row>
    <x:row r="138" ht="15" hidden="0">
      <x:c r="A138" s="207" t="str">
        <x:v>1. Current ratio</x:v>
      </x:c>
      <x:c r="B138" s="205" t="str">
        <x:v>Current Assets / Current Liabilities</x:v>
      </x:c>
      <x:c r="C138" s="30"/>
      <x:c r="D138" s="121" t="n">
        <x:f>IF(OR((D61)&lt;=0,(D36)&lt;0),"n/m",(D36)/(D61))</x:f>
        <x:v>1.4780988568182505</x:v>
      </x:c>
      <x:c r="E138" s="121" t="n">
        <x:f>IF(OR((E61)&lt;=0,(E36)&lt;0),"n/m",(E36)/(E61))</x:f>
        <x:v>1.2549557408945418</x:v>
      </x:c>
      <x:c r="F138" s="121" t="n">
        <x:f>IF(OR((F61)&lt;=0,(F36)&lt;0),"n/m",(F36)/(F61))</x:f>
        <x:v>1.3715472215546312</x:v>
      </x:c>
      <x:c r="G138" s="121" t="n">
        <x:f>IF(OR((G61)&lt;=0,(G36)&lt;0),"n/m",(G36)/(G61))</x:f>
        <x:v>1.444678241512437</x:v>
      </x:c>
      <x:c r="H138" s="121" t="n">
        <x:f>IF(OR((H61)&lt;=0,(H36)&lt;0),"n/m",(H36)/(H61))</x:f>
        <x:v>1.5324411303645513</x:v>
      </x:c>
      <x:c r="I138" s="9" t="s">
        <x:v>321</x:v>
      </x:c>
    </x:row>
    <x:row r="139" ht="15" hidden="0">
      <x:c r="A139" s="207" t="str">
        <x:v>2. Quick ratio</x:v>
      </x:c>
      <x:c r="B139" s="205" t="str">
        <x:v>(Current Assets - Inventories) / Current Liabilities</x:v>
      </x:c>
      <x:c r="C139" s="30"/>
      <x:c r="D139" s="121" t="n">
        <x:f>IF(OR((D61)&lt;=0,(D36-D65)&lt;0),"n/m",(D36-D65)/(D61))</x:f>
        <x:v>0.439716919103873</x:v>
      </x:c>
      <x:c r="E139" s="121" t="n">
        <x:f>IF(OR((E61)&lt;=0,(E36-E65)&lt;0),"n/m",(E36-E65)/(E61))</x:f>
        <x:v>0.29473524106223353</x:v>
      </x:c>
      <x:c r="F139" s="121" t="n">
        <x:f>IF(OR((F61)&lt;=0,(F36-F65)&lt;0),"n/m",(F36-F65)/(F61))</x:f>
        <x:v>0.5204561252187091</x:v>
      </x:c>
      <x:c r="G139" s="121" t="n">
        <x:f>IF(OR((G61)&lt;=0,(G36-G65)&lt;0),"n/m",(G36-G65)/(G61))</x:f>
        <x:v>0.6094267063846261</x:v>
      </x:c>
      <x:c r="H139" s="121" t="n">
        <x:f>IF(OR((H61)&lt;=0,(H36-H65)&lt;0),"n/m",(H36-H65)/(H61))</x:f>
        <x:v>0.8078828259550986</x:v>
      </x:c>
      <x:c r="I139" s="9" t="s">
        <x:v>321</x:v>
      </x:c>
    </x:row>
    <x:row r="140" ht="15" hidden="0">
      <x:c r="A140" s="207" t="str">
        <x:v>3. Cash ratio</x:v>
      </x:c>
      <x:c r="B140" s="205" t="str">
        <x:v>Cash and Bank / Current Liabilities</x:v>
      </x:c>
      <x:c r="C140" s="30"/>
      <x:c r="D140" s="121" t="n">
        <x:f>IF(OR((D61)&lt;=0,(D34)&lt;0),"n/m",(D34)/(D61))</x:f>
        <x:v>0.0428255580531044</x:v>
      </x:c>
      <x:c r="E140" s="121" t="n">
        <x:f>IF(OR((E61)&lt;=0,(E34)&lt;0),"n/m",(E34)/(E61))</x:f>
        <x:v>0.04900616554000333</x:v>
      </x:c>
      <x:c r="F140" s="121" t="n">
        <x:f>IF(OR((F61)&lt;=0,(F34)&lt;0),"n/m",(F34)/(F61))</x:f>
        <x:v>0.04568029853307005</x:v>
      </x:c>
      <x:c r="G140" s="121" t="n">
        <x:f>IF(OR((G61)&lt;=0,(G34)&lt;0),"n/m",(G34)/(G61))</x:f>
        <x:v>0.06094333738399166</x:v>
      </x:c>
      <x:c r="H140" s="121" t="n">
        <x:f>IF(OR((H61)&lt;=0,(H34)&lt;0),"n/m",(H34)/(H61))</x:f>
        <x:v>0.06924333482737245</x:v>
      </x:c>
      <x:c r="I140" s="9" t="s">
        <x:v>321</x:v>
      </x:c>
    </x:row>
    <x:row r="141" ht="15" hidden="0">
      <x:c r="A141" s="207" t="str">
        <x:v>4. Net working capital (PKR m)</x:v>
      </x:c>
      <x:c r="B141" s="205" t="str">
        <x:v>Current Assets - Current Liabilities</x:v>
      </x:c>
      <x:c r="C141" s="30"/>
      <x:c r="D141" s="122" t="n">
        <x:f>IF(OR((1)&lt;=0,(D36-D61)&lt;0),"n/m",(D36-D61)/(1))</x:f>
        <x:v>5473.968000000003</x:v>
      </x:c>
      <x:c r="E141" s="122" t="n">
        <x:f>IF(OR((1)&lt;=0,(E36-E61)&lt;0),"n/m",(E36-E61)/(1))</x:f>
        <x:v>4128.598000000004</x:v>
      </x:c>
      <x:c r="F141" s="122" t="n">
        <x:f>IF(OR((1)&lt;=0,(F36-F61)&lt;0),"n/m",(F36-F61)/(1))</x:f>
        <x:v>6024.645999999997</x:v>
      </x:c>
      <x:c r="G141" s="122" t="n">
        <x:f>IF(OR((1)&lt;=0,(G36-G61)&lt;0),"n/m",(G36-G61)/(1))</x:f>
        <x:v>8270.037</x:v>
      </x:c>
      <x:c r="H141" s="122" t="n">
        <x:f>IF(OR((1)&lt;=0,(H36-H61)&lt;0),"n/m",(H36-H61)/(1))</x:f>
        <x:v>12422.112999999994</x:v>
      </x:c>
      <x:c r="I141" s="9" t="s">
        <x:v>111</x:v>
      </x:c>
    </x:row>
    <x:row r="142" ht="15" hidden="0">
      <x:c r="A142" s="207" t="str">
        <x:v>5. Net operating working capital (PKR m)</x:v>
      </x:c>
      <x:c r="B142" s="205" t="str">
        <x:v>Operating CA - Operating CL</x:v>
      </x:c>
      <x:c r="C142" s="30"/>
      <x:c r="D142" s="122" t="n">
        <x:f>IF(OR((1)&lt;=0,(D72-D73)&lt;0),"n/m",(D72-D73)/(1))</x:f>
        <x:v>8772.302000000001</x:v>
      </x:c>
      <x:c r="E142" s="122" t="n">
        <x:f>IF(OR((1)&lt;=0,(E72-E73)&lt;0),"n/m",(E72-E73)/(1))</x:f>
        <x:v>10212.653</x:v>
      </x:c>
      <x:c r="F142" s="122" t="n">
        <x:f>IF(OR((1)&lt;=0,(F72-F73)&lt;0),"n/m",(F72-F73)/(1))</x:f>
        <x:v>5291.223999999998</x:v>
      </x:c>
      <x:c r="G142" s="122" t="n">
        <x:f>IF(OR((1)&lt;=0,(G72-G73)&lt;0),"n/m",(G72-G73)/(1))</x:f>
        <x:v>9031.93</x:v>
      </x:c>
      <x:c r="H142" s="122" t="n">
        <x:f>IF(OR((1)&lt;=0,(H72-H73)&lt;0),"n/m",(H72-H73)/(1))</x:f>
        <x:v>4949.648999999998</x:v>
      </x:c>
      <x:c r="I142" s="9" t="s">
        <x:v>111</x:v>
      </x:c>
    </x:row>
    <x:row r="143" ht="22" hidden="0" customHeight="1">
      <x:c r="A143" s="203" t="str">
        <x:v>Asset Management</x:v>
      </x:c>
      <x:c r="B143" s="204"/>
      <x:c r="C143" s="129"/>
      <x:c r="D143" s="129"/>
      <x:c r="E143" s="129"/>
      <x:c r="F143" s="129"/>
      <x:c r="G143" s="129"/>
      <x:c r="H143" s="129"/>
      <x:c r="I143" s="25"/>
      <x:c r="J143" s="25"/>
    </x:row>
    <x:row r="144" ht="15" hidden="0">
      <x:c r="A144" s="207" t="str">
        <x:v>6. Inventory turnover</x:v>
      </x:c>
      <x:c r="B144" s="205" t="str">
        <x:v>COGS / Average Inventory</x:v>
      </x:c>
      <x:c r="C144" s="30"/>
      <x:c r="D144" s="121" t="n">
        <x:f>IF(OR((AVERAGE(C65,D65))&lt;=0,(-D85)&lt;0),"n/m",(-D85)/(AVERAGE(C65,D65)))</x:f>
        <x:v>2.5503561154199565</x:v>
      </x:c>
      <x:c r="E144" s="121" t="n">
        <x:f>IF(OR((AVERAGE(D65,E65))&lt;=0,(-E85)&lt;0),"n/m",(-E85)/(AVERAGE(D65,E65)))</x:f>
        <x:v>2.6418827583195736</x:v>
      </x:c>
      <x:c r="F144" s="121" t="n">
        <x:f>IF(OR((AVERAGE(E65,F65))&lt;=0,(-F85)&lt;0),"n/m",(-F85)/(AVERAGE(E65,F65)))</x:f>
        <x:v>2.991643999189634</x:v>
      </x:c>
      <x:c r="G144" s="121" t="n">
        <x:f>IF(OR((AVERAGE(F65,G65))&lt;=0,(-G85)&lt;0),"n/m",(-G85)/(AVERAGE(F65,G65)))</x:f>
        <x:v>3.101356599565812</x:v>
      </x:c>
      <x:c r="H144" s="121" t="n">
        <x:f>IF(OR((AVERAGE(G65,H65))&lt;=0,(-H85)&lt;0),"n/m",(-H85)/(AVERAGE(G65,H65)))</x:f>
        <x:v>2.786573287705566</x:v>
      </x:c>
      <x:c r="I144" s="9" t="s">
        <x:v>321</x:v>
      </x:c>
    </x:row>
    <x:row r="145" ht="15" hidden="0">
      <x:c r="A145" s="207" t="str">
        <x:v>7. Receivables turnover</x:v>
      </x:c>
      <x:c r="B145" s="205" t="str">
        <x:v>Net Sales / Average Trade Debts</x:v>
      </x:c>
      <x:c r="C145" s="30"/>
      <x:c r="D145" s="121" t="n">
        <x:f>IF(OR((AVERAGE(C32,D32))&lt;=0,(D84)&lt;0),"n/m",(D84)/(AVERAGE(C32,D32)))</x:f>
        <x:v>15.020941563038772</x:v>
      </x:c>
      <x:c r="E145" s="121" t="n">
        <x:f>IF(OR((AVERAGE(D32,E32))&lt;=0,(E84)&lt;0),"n/m",(E84)/(AVERAGE(D32,E32)))</x:f>
        <x:v>25.905344380386534</x:v>
      </x:c>
      <x:c r="F145" s="121" t="n">
        <x:f>IF(OR((AVERAGE(E32,F32))&lt;=0,(F84)&lt;0),"n/m",(F84)/(AVERAGE(E32,F32)))</x:f>
        <x:v>26.600659453629234</x:v>
      </x:c>
      <x:c r="G145" s="121" t="n">
        <x:f>IF(OR((AVERAGE(F32,G32))&lt;=0,(G84)&lt;0),"n/m",(G84)/(AVERAGE(F32,G32)))</x:f>
        <x:v>19.574371293114748</x:v>
      </x:c>
      <x:c r="H145" s="121" t="n">
        <x:f>IF(OR((AVERAGE(G32,H32))&lt;=0,(H84)&lt;0),"n/m",(H84)/(AVERAGE(G32,H32)))</x:f>
        <x:v>15.67064847793373</x:v>
      </x:c>
      <x:c r="I145" s="9" t="s">
        <x:v>321</x:v>
      </x:c>
    </x:row>
    <x:row r="146" ht="15" hidden="0">
      <x:c r="A146" s="207" t="str">
        <x:v>8. Payables turnover</x:v>
      </x:c>
      <x:c r="B146" s="205" t="str">
        <x:v>COGS / Average Trade Creditors</x:v>
      </x:c>
      <x:c r="C146" s="30"/>
      <x:c r="D146" s="121" t="n">
        <x:f>IF(OR((AVERAGE(C51,D51))&lt;=0,(-D85)&lt;0),"n/m",(-D85)/(AVERAGE(C51,D51)))</x:f>
        <x:v>7.260214629237185</x:v>
      </x:c>
      <x:c r="E146" s="121" t="n">
        <x:f>IF(OR((AVERAGE(D51,E51))&lt;=0,(-E85)&lt;0),"n/m",(-E85)/(AVERAGE(D51,E51)))</x:f>
        <x:v>9.432516250291641</x:v>
      </x:c>
      <x:c r="F146" s="121" t="n">
        <x:f>IF(OR((AVERAGE(E51,F51))&lt;=0,(-F85)&lt;0),"n/m",(-F85)/(AVERAGE(E51,F51)))</x:f>
        <x:v>8.141646254708599</x:v>
      </x:c>
      <x:c r="G146" s="121" t="n">
        <x:f>IF(OR((AVERAGE(F51,G51))&lt;=0,(-G85)&lt;0),"n/m",(-G85)/(AVERAGE(F51,G51)))</x:f>
        <x:v>7.535611628959118</x:v>
      </x:c>
      <x:c r="H146" s="121" t="n">
        <x:f>IF(OR((AVERAGE(G51,H51))&lt;=0,(-H85)&lt;0),"n/m",(-H85)/(AVERAGE(G51,H51)))</x:f>
        <x:v>7.106573052099677</x:v>
      </x:c>
      <x:c r="I146" s="9" t="s">
        <x:v>321</x:v>
      </x:c>
    </x:row>
    <x:row r="147" ht="15" hidden="0">
      <x:c r="A147" s="207" t="str">
        <x:v>9. Days inventory outstanding</x:v>
      </x:c>
      <x:c r="B147" s="205" t="str">
        <x:v>365 / Inventory Turnover</x:v>
      </x:c>
      <x:c r="C147" s="30"/>
      <x:c r="D147" s="123" t="n">
        <x:f>IF(OR((-D85)&lt;=0,(365*AVERAGE(C65,D65))&lt;0),"n/m",(365*AVERAGE(C65,D65))/(-D85))</x:f>
        <x:v>143.11726813096334</x:v>
      </x:c>
      <x:c r="E147" s="123" t="n">
        <x:f>IF(OR((-E85)&lt;=0,(365*AVERAGE(D65,E65))&lt;0),"n/m",(365*AVERAGE(D65,E65))/(-E85))</x:f>
        <x:v>138.1590454196257</x:v>
      </x:c>
      <x:c r="F147" s="123" t="n">
        <x:f>IF(OR((-F85)&lt;=0,(365*AVERAGE(E65,F65))&lt;0),"n/m",(365*AVERAGE(E65,F65))/(-F85))</x:f>
        <x:v>122.0064954583065</x:v>
      </x:c>
      <x:c r="G147" s="123" t="n">
        <x:f>IF(OR((-G85)&lt;=0,(365*AVERAGE(F65,G65))&lt;0),"n/m",(365*AVERAGE(F65,G65))/(-G85))</x:f>
        <x:v>117.69043264844159</x:v>
      </x:c>
      <x:c r="H147" s="123" t="n">
        <x:f>IF(OR((-H85)&lt;=0,(365*AVERAGE(G65,H65))&lt;0),"n/m",(365*AVERAGE(G65,H65))/(-H85))</x:f>
        <x:v>130.98525045452405</x:v>
      </x:c>
      <x:c r="I147" s="9" t="s">
        <x:v>322</x:v>
      </x:c>
    </x:row>
    <x:row r="148" ht="15" hidden="0">
      <x:c r="A148" s="207" t="str">
        <x:v>10. Days sales outstanding</x:v>
      </x:c>
      <x:c r="B148" s="205" t="str">
        <x:v>365 / Receivables Turnover</x:v>
      </x:c>
      <x:c r="C148" s="30"/>
      <x:c r="D148" s="123" t="n">
        <x:f>IF(OR((D84)&lt;=0,(365*AVERAGE(C32,D32))&lt;0),"n/m",(365*AVERAGE(C32,D32))/(D84))</x:f>
        <x:v>24.299408826550263</x:v>
      </x:c>
      <x:c r="E148" s="123" t="n">
        <x:f>IF(OR((E84)&lt;=0,(365*AVERAGE(D32,E32))&lt;0),"n/m",(365*AVERAGE(D32,E32))/(E84))</x:f>
        <x:v>14.089756717395696</x:v>
      </x:c>
      <x:c r="F148" s="123" t="n">
        <x:f>IF(OR((F84)&lt;=0,(365*AVERAGE(E32,F32))&lt;0),"n/m",(365*AVERAGE(E32,F32))/(F84))</x:f>
        <x:v>13.72146433573479</x:v>
      </x:c>
      <x:c r="G148" s="123" t="n">
        <x:f>IF(OR((G84)&lt;=0,(365*AVERAGE(F32,G32))&lt;0),"n/m",(365*AVERAGE(F32,G32))/(G84))</x:f>
        <x:v>18.646831335440545</x:v>
      </x:c>
      <x:c r="H148" s="123" t="n">
        <x:f>IF(OR((H84)&lt;=0,(365*AVERAGE(G32,H32))&lt;0),"n/m",(365*AVERAGE(G32,H32))/(H84))</x:f>
        <x:v>23.29195250049585</x:v>
      </x:c>
      <x:c r="I148" s="9" t="s">
        <x:v>322</x:v>
      </x:c>
    </x:row>
    <x:row r="149" ht="15" hidden="0">
      <x:c r="A149" s="207" t="str">
        <x:v>11. Days payables outstanding</x:v>
      </x:c>
      <x:c r="B149" s="205" t="str">
        <x:v>365 / Payables Turnover</x:v>
      </x:c>
      <x:c r="C149" s="30"/>
      <x:c r="D149" s="123" t="n">
        <x:f>IF(OR((-D85)&lt;=0,(365*AVERAGE(C51,D51))&lt;0),"n/m",(365*AVERAGE(C51,D51))/(-D85))</x:f>
        <x:v>50.273995830664546</x:v>
      </x:c>
      <x:c r="E149" s="123" t="n">
        <x:f>IF(OR((-E85)&lt;=0,(365*AVERAGE(D51,E51))&lt;0),"n/m",(365*AVERAGE(D51,E51))/(-E85))</x:f>
        <x:v>38.69593121440047</x:v>
      </x:c>
      <x:c r="F149" s="123" t="n">
        <x:f>IF(OR((-F85)&lt;=0,(365*AVERAGE(E51,F51))&lt;0),"n/m",(365*AVERAGE(E51,F51))/(-F85))</x:f>
        <x:v>44.831228056476625</x:v>
      </x:c>
      <x:c r="G149" s="123" t="n">
        <x:f>IF(OR((-G85)&lt;=0,(365*AVERAGE(F51,G51))&lt;0),"n/m",(365*AVERAGE(F51,G51))/(-G85))</x:f>
        <x:v>48.43667879556273</x:v>
      </x:c>
      <x:c r="H149" s="123" t="n">
        <x:f>IF(OR((-H85)&lt;=0,(365*AVERAGE(G51,H51))&lt;0),"n/m",(365*AVERAGE(G51,H51))/(-H85))</x:f>
        <x:v>51.3609017066473</x:v>
      </x:c>
      <x:c r="I149" s="9" t="s">
        <x:v>322</x:v>
      </x:c>
    </x:row>
    <x:row r="150" ht="15" hidden="0">
      <x:c r="A150" s="207" t="str">
        <x:v>12. Operating cycle (days)</x:v>
      </x:c>
      <x:c r="B150" s="205" t="str">
        <x:v>DIO + DSO</x:v>
      </x:c>
      <x:c r="C150" s="30"/>
      <x:c r="D150" s="123" t="n">
        <x:f>IF(OR((1)&lt;=0,(365*AVERAGE(C65,D65)/(-D85)+365*AVERAGE(C32,D32)/D84)&lt;0),"n/m",(365*AVERAGE(C65,D65)/(-D85)+365*AVERAGE(C32,D32)/D84)/(1))</x:f>
        <x:v>167.4166769575136</x:v>
      </x:c>
      <x:c r="E150" s="123" t="n">
        <x:f>IF(OR((1)&lt;=0,(365*AVERAGE(D65,E65)/(-E85)+365*AVERAGE(D32,E32)/E84)&lt;0),"n/m",(365*AVERAGE(D65,E65)/(-E85)+365*AVERAGE(D32,E32)/E84)/(1))</x:f>
        <x:v>152.24880213702139</x:v>
      </x:c>
      <x:c r="F150" s="123" t="n">
        <x:f>IF(OR((1)&lt;=0,(365*AVERAGE(E65,F65)/(-F85)+365*AVERAGE(E32,F32)/F84)&lt;0),"n/m",(365*AVERAGE(E65,F65)/(-F85)+365*AVERAGE(E32,F32)/F84)/(1))</x:f>
        <x:v>135.72795979404128</x:v>
      </x:c>
      <x:c r="G150" s="123" t="n">
        <x:f>IF(OR((1)&lt;=0,(365*AVERAGE(F65,G65)/(-G85)+365*AVERAGE(F32,G32)/G84)&lt;0),"n/m",(365*AVERAGE(F65,G65)/(-G85)+365*AVERAGE(F32,G32)/G84)/(1))</x:f>
        <x:v>136.33726398388214</x:v>
      </x:c>
      <x:c r="H150" s="123" t="n">
        <x:f>IF(OR((1)&lt;=0,(365*AVERAGE(G65,H65)/(-H85)+365*AVERAGE(G32,H32)/H84)&lt;0),"n/m",(365*AVERAGE(G65,H65)/(-H85)+365*AVERAGE(G32,H32)/H84)/(1))</x:f>
        <x:v>154.2772029550199</x:v>
      </x:c>
      <x:c r="I150" s="9" t="s">
        <x:v>322</x:v>
      </x:c>
    </x:row>
    <x:row r="151" ht="15" hidden="0">
      <x:c r="A151" s="207" t="str">
        <x:v>13. Cash conversion cycle (days)</x:v>
      </x:c>
      <x:c r="B151" s="205" t="str">
        <x:v>DIO + DSO - DPO</x:v>
      </x:c>
      <x:c r="C151" s="30"/>
      <x:c r="D151" s="123" t="n">
        <x:f>IF(OR((1)&lt;=0,(365*AVERAGE(C65,D65)/(-D85)+365*AVERAGE(C32,D32)/D84-365*AVERAGE(C51,D51)/(-D85))&lt;0),"n/m",(365*AVERAGE(C65,D65)/(-D85)+365*AVERAGE(C32,D32)/D84-365*AVERAGE(C51,D51)/(-D85))/(1))</x:f>
        <x:v>117.14268112684906</x:v>
      </x:c>
      <x:c r="E151" s="123" t="n">
        <x:f>IF(OR((1)&lt;=0,(365*AVERAGE(D65,E65)/(-E85)+365*AVERAGE(D32,E32)/E84-365*AVERAGE(D51,E51)/(-E85))&lt;0),"n/m",(365*AVERAGE(D65,E65)/(-E85)+365*AVERAGE(D32,E32)/E84-365*AVERAGE(D51,E51)/(-E85))/(1))</x:f>
        <x:v>113.55287092262091</x:v>
      </x:c>
      <x:c r="F151" s="123" t="n">
        <x:f>IF(OR((1)&lt;=0,(365*AVERAGE(E65,F65)/(-F85)+365*AVERAGE(E32,F32)/F84-365*AVERAGE(E51,F51)/(-F85))&lt;0),"n/m",(365*AVERAGE(E65,F65)/(-F85)+365*AVERAGE(E32,F32)/F84-365*AVERAGE(E51,F51)/(-F85))/(1))</x:f>
        <x:v>90.89673173756466</x:v>
      </x:c>
      <x:c r="G151" s="123" t="n">
        <x:f>IF(OR((1)&lt;=0,(365*AVERAGE(F65,G65)/(-G85)+365*AVERAGE(F32,G32)/G84-365*AVERAGE(F51,G51)/(-G85))&lt;0),"n/m",(365*AVERAGE(F65,G65)/(-G85)+365*AVERAGE(F32,G32)/G84-365*AVERAGE(F51,G51)/(-G85))/(1))</x:f>
        <x:v>87.90058518831941</x:v>
      </x:c>
      <x:c r="H151" s="123" t="n">
        <x:f>IF(OR((1)&lt;=0,(365*AVERAGE(G65,H65)/(-H85)+365*AVERAGE(G32,H32)/H84-365*AVERAGE(G51,H51)/(-H85))&lt;0),"n/m",(365*AVERAGE(G65,H65)/(-H85)+365*AVERAGE(G32,H32)/H84-365*AVERAGE(G51,H51)/(-H85))/(1))</x:f>
        <x:v>102.9163012483726</x:v>
      </x:c>
      <x:c r="I151" s="9" t="s">
        <x:v>322</x:v>
      </x:c>
    </x:row>
    <x:row r="152" ht="15" hidden="0">
      <x:c r="A152" s="207" t="str">
        <x:v>14. Total asset turnover</x:v>
      </x:c>
      <x:c r="B152" s="205" t="str">
        <x:v>Net Sales / Average Total Assets</x:v>
      </x:c>
      <x:c r="C152" s="30"/>
      <x:c r="D152" s="121" t="n">
        <x:f>IF(OR((AVERAGE(C37,D37))&lt;=0,(D84)&lt;0),"n/m",(D84)/(AVERAGE(C37,D37)))</x:f>
        <x:v>0.5374450896807583</x:v>
      </x:c>
      <x:c r="E152" s="121" t="n">
        <x:f>IF(OR((AVERAGE(D37,E37))&lt;=0,(E84)&lt;0),"n/m",(E84)/(AVERAGE(D37,E37)))</x:f>
        <x:v>0.6536676591930263</x:v>
      </x:c>
      <x:c r="F152" s="121" t="n">
        <x:f>IF(OR((AVERAGE(E37,F37))&lt;=0,(F84)&lt;0),"n/m",(F84)/(AVERAGE(E37,F37)))</x:f>
        <x:v>0.7221331478723996</x:v>
      </x:c>
      <x:c r="G152" s="121" t="n">
        <x:f>IF(OR((AVERAGE(F37,G37))&lt;=0,(G84)&lt;0),"n/m",(G84)/(AVERAGE(F37,G37)))</x:f>
        <x:v>0.7029264873878895</x:v>
      </x:c>
      <x:c r="H152" s="121" t="n">
        <x:f>IF(OR((AVERAGE(G37,H37))&lt;=0,(H84)&lt;0),"n/m",(H84)/(AVERAGE(G37,H37)))</x:f>
        <x:v>0.6311331505330572</x:v>
      </x:c>
      <x:c r="I152" s="9" t="s">
        <x:v>321</x:v>
      </x:c>
    </x:row>
    <x:row r="153" ht="15" hidden="0">
      <x:c r="A153" s="207" t="str">
        <x:v>15. Fixed asset turnover</x:v>
      </x:c>
      <x:c r="B153" s="205" t="str">
        <x:v>Net Sales / Average Operating Fixed Assets</x:v>
      </x:c>
      <x:c r="C153" s="30"/>
      <x:c r="D153" s="121" t="n">
        <x:f>IF(OR((AVERAGE(C22,D22))&lt;=0,(D84)&lt;0),"n/m",(D84)/(AVERAGE(C22,D22)))</x:f>
        <x:v>0.838288069294308</x:v>
      </x:c>
      <x:c r="E153" s="121" t="n">
        <x:f>IF(OR((AVERAGE(D22,E22))&lt;=0,(E84)&lt;0),"n/m",(E84)/(AVERAGE(D22,E22)))</x:f>
        <x:v>1.172066585205955</x:v>
      </x:c>
      <x:c r="F153" s="121" t="n">
        <x:f>IF(OR((AVERAGE(E22,F22))&lt;=0,(F84)&lt;0),"n/m",(F84)/(AVERAGE(E22,F22)))</x:f>
        <x:v>1.2158524918829576</x:v>
      </x:c>
      <x:c r="G153" s="121" t="n">
        <x:f>IF(OR((AVERAGE(F22,G22))&lt;=0,(G84)&lt;0),"n/m",(G84)/(AVERAGE(F22,G22)))</x:f>
        <x:v>1.0531088846951966</x:v>
      </x:c>
      <x:c r="H153" s="121" t="n">
        <x:f>IF(OR((AVERAGE(G22,H22))&lt;=0,(H84)&lt;0),"n/m",(H84)/(AVERAGE(G22,H22)))</x:f>
        <x:v>1.0752521941525262</x:v>
      </x:c>
      <x:c r="I153" s="9" t="s">
        <x:v>321</x:v>
      </x:c>
    </x:row>
    <x:row r="154" ht="22" hidden="0" customHeight="1">
      <x:c r="A154" s="203" t="str">
        <x:v>Debt Management</x:v>
      </x:c>
      <x:c r="B154" s="204"/>
      <x:c r="C154" s="129"/>
      <x:c r="D154" s="129"/>
      <x:c r="E154" s="129"/>
      <x:c r="F154" s="129"/>
      <x:c r="G154" s="129"/>
      <x:c r="H154" s="129"/>
      <x:c r="I154" s="25"/>
      <x:c r="J154" s="25"/>
    </x:row>
    <x:row r="155" ht="15" hidden="0">
      <x:c r="A155" s="207" t="str">
        <x:v>16. Debt ratio</x:v>
      </x:c>
      <x:c r="B155" s="205" t="str">
        <x:v>Total Liabilities / Total Assets</x:v>
      </x:c>
      <x:c r="C155" s="30"/>
      <x:c r="D155" s="124" t="n">
        <x:f>IF(OR((D37)&lt;=0,(D62)&lt;0),"n/m",(D62)/(D37))</x:f>
        <x:v>0.4332284086792129</x:v>
      </x:c>
      <x:c r="E155" s="124" t="n">
        <x:f>IF(OR((E37)&lt;=0,(E62)&lt;0),"n/m",(E62)/(E37))</x:f>
        <x:v>0.5066666090934888</x:v>
      </x:c>
      <x:c r="F155" s="124" t="n">
        <x:f>IF(OR((F37)&lt;=0,(F62)&lt;0),"n/m",(F62)/(F37))</x:f>
        <x:v>0.49933942690835115</x:v>
      </x:c>
      <x:c r="G155" s="124" t="n">
        <x:f>IF(OR((G37)&lt;=0,(G62)&lt;0),"n/m",(G62)/(G37))</x:f>
        <x:v>0.4704820926001394</x:v>
      </x:c>
      <x:c r="H155" s="124" t="n">
        <x:f>IF(OR((H37)&lt;=0,(H62)&lt;0),"n/m",(H62)/(H37))</x:f>
        <x:v>0.4000182240614351</x:v>
      </x:c>
      <x:c r="I155" s="9" t="s">
        <x:v>278</x:v>
      </x:c>
    </x:row>
    <x:row r="156" ht="15" hidden="0">
      <x:c r="A156" s="207" t="str">
        <x:v>17. Debt-to-equity</x:v>
      </x:c>
      <x:c r="B156" s="205" t="str">
        <x:v>Total Liabilities / Total Equity</x:v>
      </x:c>
      <x:c r="C156" s="30"/>
      <x:c r="D156" s="121" t="n">
        <x:f>IF(OR((D41)&lt;=0,(D62)&lt;0),"n/m",(D62)/(D41))</x:f>
        <x:v>0.7643791878658399</x:v>
      </x:c>
      <x:c r="E156" s="121" t="n">
        <x:f>IF(OR((E41)&lt;=0,(E62)&lt;0),"n/m",(E62)/(E41))</x:f>
        <x:v>1.027026790468161</x:v>
      </x:c>
      <x:c r="F156" s="121" t="n">
        <x:f>IF(OR((F41)&lt;=0,(F62)&lt;0),"n/m",(F62)/(F41))</x:f>
        <x:v>0.9973611938820361</x:v>
      </x:c>
      <x:c r="G156" s="121" t="n">
        <x:f>IF(OR((G41)&lt;=0,(G62)&lt;0),"n/m",(G62)/(G41))</x:f>
        <x:v>0.8885102581523445</x:v>
      </x:c>
      <x:c r="H156" s="121" t="n">
        <x:f>IF(OR((H41)&lt;=0,(H62)&lt;0),"n/m",(H62)/(H41))</x:f>
        <x:v>0.6667172905971644</x:v>
      </x:c>
      <x:c r="I156" s="9" t="s">
        <x:v>321</x:v>
      </x:c>
    </x:row>
    <x:row r="157" ht="15" hidden="0">
      <x:c r="A157" s="207" t="str">
        <x:v>18. Total debt-to-capital</x:v>
      </x:c>
      <x:c r="B157" s="205" t="str">
        <x:v>Interest-bearing Debt / (IBD + Equity)</x:v>
      </x:c>
      <x:c r="C157" s="30"/>
      <x:c r="D157" s="124" t="n">
        <x:f>IF(OR((D66+D41)&lt;=0,(D66)&lt;0),"n/m",(D66)/(D66+D41))</x:f>
        <x:v>0.3018980041603245</x:v>
      </x:c>
      <x:c r="E157" s="124" t="n">
        <x:f>IF(OR((E66+E41)&lt;=0,(E66)&lt;0),"n/m",(E66)/(E66+E41))</x:f>
        <x:v>0.381087654689308</x:v>
      </x:c>
      <x:c r="F157" s="124" t="n">
        <x:f>IF(OR((F66+F41)&lt;=0,(F66)&lt;0),"n/m",(F66)/(F66+F41))</x:f>
        <x:v>0.30676284445350793</x:v>
      </x:c>
      <x:c r="G157" s="124" t="n">
        <x:f>IF(OR((G66+G41)&lt;=0,(G66)&lt;0),"n/m",(G66)/(G66+G41))</x:f>
        <x:v>0.2692569010491479</x:v>
      </x:c>
      <x:c r="H157" s="124" t="n">
        <x:f>IF(OR((H66+H41)&lt;=0,(H66)&lt;0),"n/m",(H66)/(H66+H41))</x:f>
        <x:v>0.1694536072536581</x:v>
      </x:c>
      <x:c r="I157" s="9" t="s">
        <x:v>278</x:v>
      </x:c>
    </x:row>
    <x:row r="158" ht="15" hidden="0">
      <x:c r="A158" s="207" t="str">
        <x:v>19. Long-term debt ratio</x:v>
      </x:c>
      <x:c r="B158" s="205" t="str">
        <x:v>Long-term IBD / Total Assets</x:v>
      </x:c>
      <x:c r="C158" s="30"/>
      <x:c r="D158" s="124" t="n">
        <x:f>IF(OR((D37)&lt;=0,(D67)&lt;0),"n/m",(D67)/(D37))</x:f>
        <x:v>0.19077425632568037</x:v>
      </x:c>
      <x:c r="E158" s="124" t="n">
        <x:f>IF(OR((E37)&lt;=0,(E67)&lt;0),"n/m",(E67)/(E37))</x:f>
        <x:v>0.22836689667151214</x:v>
      </x:c>
      <x:c r="F158" s="124" t="n">
        <x:f>IF(OR((F37)&lt;=0,(F67)&lt;0),"n/m",(F67)/(F37))</x:f>
        <x:v>0.19245552926882725</x:v>
      </x:c>
      <x:c r="G158" s="124" t="n">
        <x:f>IF(OR((G37)&lt;=0,(G67)&lt;0),"n/m",(G67)/(G37))</x:f>
        <x:v>0.1441187310524372</x:v>
      </x:c>
      <x:c r="H158" s="124" t="n">
        <x:f>IF(OR((H37)&lt;=0,(H67)&lt;0),"n/m",(H67)/(H37))</x:f>
        <x:v>0.08236454653172713</x:v>
      </x:c>
      <x:c r="I158" s="9" t="s">
        <x:v>278</x:v>
      </x:c>
    </x:row>
    <x:row r="159" ht="15" hidden="0">
      <x:c r="A159" s="207" t="str">
        <x:v>20. Times interest earned</x:v>
      </x:c>
      <x:c r="B159" s="205" t="str">
        <x:v>EBIT / Interest Expense</x:v>
      </x:c>
      <x:c r="C159" s="30"/>
      <x:c r="D159" s="121" t="n">
        <x:f>IF(OR((D106)&lt;=0,(D108)&lt;0),"n/m",(D108)/(D106))</x:f>
        <x:v>6.069000565198944</x:v>
      </x:c>
      <x:c r="E159" s="121" t="n">
        <x:f>IF(OR((E106)&lt;=0,(E108)&lt;0),"n/m",(E108)/(E106))</x:f>
        <x:v>5.280713598911259</x:v>
      </x:c>
      <x:c r="F159" s="121" t="n">
        <x:f>IF(OR((F106)&lt;=0,(F108)&lt;0),"n/m",(F108)/(F106))</x:f>
        <x:v>4.472840944030858</x:v>
      </x:c>
      <x:c r="G159" s="121" t="n">
        <x:f>IF(OR((G106)&lt;=0,(G108)&lt;0),"n/m",(G108)/(G106))</x:f>
        <x:v>3.222781857366191</x:v>
      </x:c>
      <x:c r="H159" s="121" t="n">
        <x:f>IF(OR((H106)&lt;=0,(H108)&lt;0),"n/m",(H108)/(H106))</x:f>
        <x:v>7.387043000579386</x:v>
      </x:c>
      <x:c r="I159" s="9" t="s">
        <x:v>321</x:v>
      </x:c>
    </x:row>
    <x:row r="160" ht="22" hidden="0" customHeight="1">
      <x:c r="A160" s="204" t="str">
        <x:v>Profitability</x:v>
      </x:c>
      <x:c r="B160" s="203" t="s">
        <x:v>323</x:v>
      </x:c>
      <x:c r="C160" s="129"/>
      <x:c r="D160" s="132" t="n">
        <x:f aca="0">IF(D109&lt;=0,"n/m",D68/D109)</x:f>
        <x:v>0</x:v>
      </x:c>
      <x:c r="E160" s="132" t="n">
        <x:f aca="0">IF(E109&lt;=0,"n/m",E68/E109)</x:f>
        <x:v>0</x:v>
      </x:c>
      <x:c r="F160" s="132" t="n">
        <x:f aca="0">IF(F109&lt;=0,"n/m",F68/F109)</x:f>
        <x:v>0</x:v>
      </x:c>
      <x:c r="G160" s="132" t="n">
        <x:f aca="0">IF(G109&lt;=0,"n/m",G68/G109)</x:f>
        <x:v>0</x:v>
      </x:c>
      <x:c r="H160" s="132" t="n">
        <x:f aca="0">IF(H109&lt;=0,"n/m",H68/H109)</x:f>
        <x:v>0</x:v>
      </x:c>
      <x:c r="I160" s="9" t="s">
        <x:v>321</x:v>
      </x:c>
    </x:row>
    <x:row r="161" ht="15" hidden="0">
      <x:c r="A161" s="207" t="str">
        <x:v>21. Gross profit margin</x:v>
      </x:c>
      <x:c r="B161" s="205" t="str">
        <x:v>Gross Profit / Net Sales</x:v>
      </x:c>
      <x:c r="C161" s="30"/>
      <x:c r="D161" s="124" t="n">
        <x:f>IF(OR((D84)&lt;=0,(D86)&lt;0),"n/m",(D86)/(D84))</x:f>
        <x:v>0.20830714445240356</x:v>
      </x:c>
      <x:c r="E161" s="124" t="n">
        <x:f>IF(OR((E84)&lt;=0,(E86)&lt;0),"n/m",(E86)/(E84))</x:f>
        <x:v>0.25300003367709667</x:v>
      </x:c>
      <x:c r="F161" s="124" t="n">
        <x:f>IF(OR((F84)&lt;=0,(F86)&lt;0),"n/m",(F86)/(F84))</x:f>
        <x:v>0.2927632247172742</x:v>
      </x:c>
      <x:c r="G161" s="124" t="n">
        <x:f>IF(OR((G84)&lt;=0,(G86)&lt;0),"n/m",(G86)/(G84))</x:f>
        <x:v>0.31547845382378364</x:v>
      </x:c>
      <x:c r="H161" s="124" t="n">
        <x:f>IF(OR((H84)&lt;=0,(H86)&lt;0),"n/m",(H86)/(H84))</x:f>
        <x:v>0.3444440599046921</x:v>
      </x:c>
      <x:c r="I161" s="25"/>
      <x:c r="J161" s="25"/>
    </x:row>
    <x:row r="162" ht="15" hidden="0">
      <x:c r="A162" s="207" t="str">
        <x:v>22. Operating margin</x:v>
      </x:c>
      <x:c r="B162" s="205" t="str">
        <x:v>Operating Profit / Net Sales</x:v>
      </x:c>
      <x:c r="C162" s="30"/>
      <x:c r="D162" s="124" t="n">
        <x:f>IF(OR((D84)&lt;=0,(D91)&lt;0),"n/m",(D91)/(D84))</x:f>
        <x:v>0.14213957498981164</x:v>
      </x:c>
      <x:c r="E162" s="124" t="n">
        <x:f>IF(OR((E84)&lt;=0,(E91)&lt;0),"n/m",(E91)/(E84))</x:f>
        <x:v>0.18277011721154793</x:v>
      </x:c>
      <x:c r="F162" s="124" t="n">
        <x:f>IF(OR((F84)&lt;=0,(F91)&lt;0),"n/m",(F91)/(F84))</x:f>
        <x:v>0.19097413673296146</x:v>
      </x:c>
      <x:c r="G162" s="124" t="n">
        <x:f>IF(OR((G84)&lt;=0,(G91)&lt;0),"n/m",(G91)/(G84))</x:f>
        <x:v>0.19131892826420518</x:v>
      </x:c>
      <x:c r="H162" s="124" t="n">
        <x:f>IF(OR((H84)&lt;=0,(H91)&lt;0),"n/m",(H91)/(H84))</x:f>
        <x:v>0.2280930676582029</x:v>
      </x:c>
      <x:c r="I162" s="9" t="s">
        <x:v>278</x:v>
      </x:c>
    </x:row>
    <x:row r="163" ht="15" hidden="0">
      <x:c r="A163" s="207" t="str">
        <x:v>23. Net profit margin</x:v>
      </x:c>
      <x:c r="B163" s="205" t="str">
        <x:v>Net Profit / Net Sales</x:v>
      </x:c>
      <x:c r="C163" s="30"/>
      <x:c r="D163" s="124" t="n">
        <x:f>IF(OR((D84)&lt;=0,(D99)&lt;0),"n/m",(D99)/(D84))</x:f>
        <x:v>0.1759822170452098</x:v>
      </x:c>
      <x:c r="E163" s="124" t="n">
        <x:f>IF(OR((E84)&lt;=0,(E99)&lt;0),"n/m",(E99)/(E84))</x:f>
        <x:v>0.07473965893633715</x:v>
      </x:c>
      <x:c r="F163" s="124" t="n">
        <x:f>IF(OR((F84)&lt;=0,(F99)&lt;0),"n/m",(F99)/(F84))</x:f>
        <x:v>0.07235844154915244</x:v>
      </x:c>
      <x:c r="G163" s="124" t="n">
        <x:f>IF(OR((G84)&lt;=0,(G99)&lt;0),"n/m",(G99)/(G84))</x:f>
        <x:v>0.07934297520984508</x:v>
      </x:c>
      <x:c r="H163" s="124" t="n">
        <x:f>IF(OR((H84)&lt;=0,(H99)&lt;0),"n/m",(H99)/(H84))</x:f>
        <x:v>0.24711008947956384</x:v>
      </x:c>
      <x:c r="I163" s="9" t="s">
        <x:v>278</x:v>
      </x:c>
    </x:row>
    <x:row r="164" ht="15" hidden="0">
      <x:c r="A164" s="207" t="str">
        <x:v>24. Return on assets</x:v>
      </x:c>
      <x:c r="B164" s="205" t="str">
        <x:v>Net Profit / Average Total Assets</x:v>
      </x:c>
      <x:c r="C164" s="30"/>
      <x:c r="D164" s="124" t="n">
        <x:f>IF(OR((AVERAGE(C37,D37))&lt;=0,(D99)&lt;0),"n/m",(D99)/(AVERAGE(C37,D37)))</x:f>
        <x:v>0.09458077842208146</x:v>
      </x:c>
      <x:c r="E164" s="124" t="n">
        <x:f>IF(OR((AVERAGE(D37,E37))&lt;=0,(E99)&lt;0),"n/m",(E99)/(AVERAGE(D37,E37)))</x:f>
        <x:v>0.04885489790580065</x:v>
      </x:c>
      <x:c r="F164" s="124" t="n">
        <x:f>IF(OR((AVERAGE(E37,F37))&lt;=0,(F99)&lt;0),"n/m",(F99)/(AVERAGE(E37,F37)))</x:f>
        <x:v>0.05225242917103048</x:v>
      </x:c>
      <x:c r="G164" s="124" t="n">
        <x:f>IF(OR((AVERAGE(F37,G37))&lt;=0,(G99)&lt;0),"n/m",(G99)/(AVERAGE(F37,G37)))</x:f>
        <x:v>0.0557722788631608</x:v>
      </x:c>
      <x:c r="H164" s="124" t="n">
        <x:f>IF(OR((AVERAGE(G37,H37))&lt;=0,(H99)&lt;0),"n/m",(H99)/(AVERAGE(G37,H37)))</x:f>
        <x:v>0.1559593693017428</x:v>
      </x:c>
      <x:c r="I164" s="9" t="s">
        <x:v>278</x:v>
      </x:c>
    </x:row>
    <x:row r="165" ht="15" hidden="0">
      <x:c r="A165" s="207" t="str">
        <x:v>25. Return on equity</x:v>
      </x:c>
      <x:c r="B165" s="205" t="str">
        <x:v>Net Profit / Average Equity</x:v>
      </x:c>
      <x:c r="C165" s="30"/>
      <x:c r="D165" s="124" t="n">
        <x:f>IF(OR((AVERAGE(C41,D41))&lt;=0,(D99)&lt;0),"n/m",(D99)/(AVERAGE(C41,D41)))</x:f>
        <x:v>0.18163818640771748</x:v>
      </x:c>
      <x:c r="E165" s="124" t="n">
        <x:f>IF(OR((AVERAGE(D41,E41))&lt;=0,(E99)&lt;0),"n/m",(E99)/(AVERAGE(D41,E41)))</x:f>
        <x:v>0.09286217037724577</x:v>
      </x:c>
      <x:c r="F165" s="124" t="n">
        <x:f>IF(OR((AVERAGE(E41,F41))&lt;=0,(F99)&lt;0),"n/m",(F99)/(AVERAGE(E41,F41)))</x:f>
        <x:v>0.10510254167180039</x:v>
      </x:c>
      <x:c r="G165" s="124" t="n">
        <x:f>IF(OR((AVERAGE(F41,G41))&lt;=0,(G99)&lt;0),"n/m",(G99)/(AVERAGE(F41,G41)))</x:f>
        <x:v>0.10812221617479151</x:v>
      </x:c>
      <x:c r="H165" s="124" t="n">
        <x:f>IF(OR((AVERAGE(G41,H41))&lt;=0,(H99)&lt;0),"n/m",(H99)/(AVERAGE(G41,H41)))</x:f>
        <x:v>0.2746085954343051</x:v>
      </x:c>
      <x:c r="I165" s="9" t="s">
        <x:v>278</x:v>
      </x:c>
    </x:row>
    <x:row r="166" ht="15" hidden="0">
      <x:c r="A166" s="207" t="str">
        <x:v>26. Return on invested capital</x:v>
      </x:c>
      <x:c r="B166" s="205" t="str">
        <x:v>NOPAT / Average Invested Capital</x:v>
      </x:c>
      <x:c r="C166" s="30"/>
      <x:c r="D166" s="124" t="n">
        <x:f>IF(OR((AVERAGE(C70,D70))&lt;=0,(D113)&lt;0),"n/m",(D113)/(AVERAGE(C70,D70)))</x:f>
        <x:v>0.140804883114224</x:v>
      </x:c>
      <x:c r="E166" s="124" t="n">
        <x:f>IF(OR((AVERAGE(D70,E70))&lt;=0,(E113)&lt;0),"n/m",(E113)/(AVERAGE(D70,E70)))</x:f>
        <x:v>0.07552102511911654</x:v>
      </x:c>
      <x:c r="F166" s="124" t="n">
        <x:f>IF(OR((AVERAGE(E70,F70))&lt;=0,(F113)&lt;0),"n/m",(F113)/(AVERAGE(E70,F70)))</x:f>
        <x:v>0.08943041686178571</x:v>
      </x:c>
      <x:c r="G166" s="124" t="n">
        <x:f>IF(OR((AVERAGE(F70,G70))&lt;=0,(G113)&lt;0),"n/m",(G113)/(AVERAGE(F70,G70)))</x:f>
        <x:v>0.1128071865450392</x:v>
      </x:c>
      <x:c r="H166" s="124" t="n">
        <x:f>IF(OR((AVERAGE(G70,H70))&lt;=0,(H113)&lt;0),"n/m",(H113)/(AVERAGE(G70,H70)))</x:f>
        <x:v>0.25096399764604915</x:v>
      </x:c>
      <x:c r="I166" s="9" t="s">
        <x:v>278</x:v>
      </x:c>
    </x:row>
    <x:row r="167" ht="15" hidden="0">
      <x:c r="A167" s="207" t="str">
        <x:v>27. Basic earning power</x:v>
      </x:c>
      <x:c r="B167" s="205" t="str">
        <x:v>EBIT / Average Total Assets</x:v>
      </x:c>
      <x:c r="C167" s="30"/>
      <x:c r="D167" s="124" t="n">
        <x:f>IF(OR((AVERAGE(C37,D37))&lt;=0,(D108)&lt;0),"n/m",(D108)/(AVERAGE(C37,D37)))</x:f>
        <x:v>0.13283318203671918</x:v>
      </x:c>
      <x:c r="E167" s="124" t="n">
        <x:f>IF(OR((AVERAGE(D37,E37))&lt;=0,(E108)&lt;0),"n/m",(E108)/(AVERAGE(D37,E37)))</x:f>
        <x:v>0.12023345655576649</x:v>
      </x:c>
      <x:c r="F167" s="124" t="n">
        <x:f>IF(OR((AVERAGE(E37,F37))&lt;=0,(F108)&lt;0),"n/m",(F108)/(AVERAGE(E37,F37)))</x:f>
        <x:v>0.1396147149844841</x:v>
      </x:c>
      <x:c r="G167" s="124" t="n">
        <x:f>IF(OR((AVERAGE(F37,G37))&lt;=0,(G108)&lt;0),"n/m",(G108)/(AVERAGE(F37,G37)))</x:f>
        <x:v>0.1382503777250139</x:v>
      </x:c>
      <x:c r="H167" s="124" t="n">
        <x:f>IF(OR((AVERAGE(G37,H37))&lt;=0,(H108)&lt;0),"n/m",(H108)/(AVERAGE(G37,H37)))</x:f>
        <x:v>0.23086739193474415</x:v>
      </x:c>
      <x:c r="I167" s="9" t="s">
        <x:v>278</x:v>
      </x:c>
    </x:row>
    <x:row r="168" ht="22" hidden="0" customHeight="1">
      <x:c r="A168" s="204" t="str">
        <x:v>Market Value</x:v>
      </x:c>
      <x:c r="B168" s="203" t="s">
        <x:v>324</x:v>
      </x:c>
      <x:c r="C168" s="129"/>
      <x:c r="D168" s="134" t="n">
        <x:f aca="0">D108/((C37+D37)/2)</x:f>
        <x:v>0.13283318203671918</x:v>
      </x:c>
      <x:c r="E168" s="134" t="n">
        <x:f aca="0">E108/((D37+E37)/2)</x:f>
        <x:v>0.12023345655576649</x:v>
      </x:c>
      <x:c r="F168" s="134" t="n">
        <x:f aca="0">F108/((E37+F37)/2)</x:f>
        <x:v>0.1396147149844841</x:v>
      </x:c>
      <x:c r="G168" s="134" t="n">
        <x:f aca="0">G108/((F37+G37)/2)</x:f>
        <x:v>0.1382503777250139</x:v>
      </x:c>
      <x:c r="H168" s="134" t="n">
        <x:f aca="0">H108/((G37+H37)/2)</x:f>
        <x:v>0.23086739193474415</x:v>
      </x:c>
      <x:c r="I168" s="9" t="s">
        <x:v>278</x:v>
      </x:c>
    </x:row>
    <x:row r="169" ht="15" hidden="0">
      <x:c r="A169" s="207" t="str">
        <x:v>28. Book value per share (Rs)</x:v>
      </x:c>
      <x:c r="B169" s="205" t="str">
        <x:v>Total Equity / Shares Outstanding</x:v>
      </x:c>
      <x:c r="C169" s="30"/>
      <x:c r="D169" s="125" t="n">
        <x:f>IF(OR((D128)&lt;=0,(D41)&lt;0),"n/m",(D41)/(D128))</x:f>
        <x:v>34.18097226539319</x:v>
      </x:c>
      <x:c r="E169" s="125" t="n">
        <x:f>IF(OR((E128)&lt;=0,(E41)&lt;0),"n/m",(E41)/(E128))</x:f>
        <x:v>37.56155762745958</x:v>
      </x:c>
      <x:c r="F169" s="125" t="n">
        <x:f>IF(OR((F128)&lt;=0,(F41)&lt;0),"n/m",(F41)/(F128))</x:f>
        <x:v>41.84401454069526</x:v>
      </x:c>
      <x:c r="G169" s="125" t="n">
        <x:f>IF(OR((G128)&lt;=0,(G41)&lt;0),"n/m",(G41)/(G128))</x:f>
        <x:v>50.22698213930126</x:v>
      </x:c>
      <x:c r="H169" s="125" t="n">
        <x:f>IF(OR((H128)&lt;=0,(H41)&lt;0),"n/m",(H41)/(H128))</x:f>
        <x:v>68.21701347489879</x:v>
      </x:c>
      <x:c r="I169" s="9" t="s">
        <x:v>278</x:v>
      </x:c>
    </x:row>
    <x:row r="170" ht="15" hidden="0">
      <x:c r="A170" s="207" t="str">
        <x:v>29. Market-to-book ratio</x:v>
      </x:c>
      <x:c r="B170" s="205" t="str">
        <x:v>Share Price / BVPS</x:v>
      </x:c>
      <x:c r="C170" s="30"/>
      <x:c r="D170" s="121" t="n">
        <x:f>IF(OR((D41/D128)&lt;=0,(D130)&lt;0),"n/m",(D130)/(D41/D128))</x:f>
        <x:v>1.3744489078669448</x:v>
      </x:c>
      <x:c r="E170" s="121" t="n">
        <x:f>IF(OR((E41/E128)&lt;=0,(E130)&lt;0),"n/m",(E130)/(E41/E128))</x:f>
        <x:v>0.7281380679486422</x:v>
      </x:c>
      <x:c r="F170" s="121" t="n">
        <x:f>IF(OR((F41/F128)&lt;=0,(F130)&lt;0),"n/m",(F130)/(F41/F128))</x:f>
        <x:v>0.6770382887724061</x:v>
      </x:c>
      <x:c r="G170" s="121" t="n">
        <x:f>IF(OR((G41/G128)&lt;=0,(G130)&lt;0),"n/m",(G130)/(G41/G128))</x:f>
        <x:v>0.7565654630534934</x:v>
      </x:c>
      <x:c r="H170" s="121" t="n">
        <x:f>IF(OR((H41/H128)&lt;=0,(H130)&lt;0),"n/m",(H130)/(H41/H128))</x:f>
        <x:v>1.2354689205356633</x:v>
      </x:c>
      <x:c r="I170" s="25"/>
      <x:c r="J170" s="25"/>
    </x:row>
    <x:row r="171" ht="15" hidden="0">
      <x:c r="A171" s="207" t="str">
        <x:v>30. Earnings per share (Rs)</x:v>
      </x:c>
      <x:c r="B171" s="205" t="str">
        <x:v>Net Profit / Weighted Average Shares</x:v>
      </x:c>
      <x:c r="C171" s="30"/>
      <x:c r="D171" s="125" t="n">
        <x:f>IF(OR((D129)&lt;=0,(D99)&lt;0),"n/m",(D99)/(D129))</x:f>
        <x:v>5.694115515511503</x:v>
      </x:c>
      <x:c r="E171" s="125" t="n">
        <x:f>IF(OR((E129)&lt;=0,(E99)&lt;0),"n/m",(E99)/(E129))</x:f>
        <x:v>3.3041099784606085</x:v>
      </x:c>
      <x:c r="F171" s="125" t="n">
        <x:f>IF(OR((F129)&lt;=0,(F99)&lt;0),"n/m",(F99)/(F129))</x:f>
        <x:v>4.18450538240459</x:v>
      </x:c>
      <x:c r="G171" s="125" t="n">
        <x:f>IF(OR((G129)&lt;=0,(G99)&lt;0),"n/m",(G99)/(G129))</x:f>
        <x:v>4.979197496295721</x:v>
      </x:c>
      <x:c r="H171" s="125" t="n">
        <x:f>IF(OR((H129)&lt;=0,(H99)&lt;0),"n/m",(H99)/(H129))</x:f>
        <x:v>16.262863426829693</x:v>
      </x:c>
      <x:c r="I171" s="9" t="s">
        <x:v>306</x:v>
      </x:c>
    </x:row>
    <x:row r="172" ht="15" hidden="0">
      <x:c r="A172" s="207" t="str">
        <x:v>31. Price-to-earnings ratio</x:v>
      </x:c>
      <x:c r="B172" s="205" t="str">
        <x:v>Share Price / EPS</x:v>
      </x:c>
      <x:c r="C172" s="30"/>
      <x:c r="D172" s="121" t="n">
        <x:f>IF(OR((D99/D129)&lt;=0,(D130)&lt;0),"n/m",(D130)/(D99/D129))</x:f>
        <x:v>8.250622923265333</x:v>
      </x:c>
      <x:c r="E172" s="121" t="n">
        <x:f>IF(OR((E99/E129)&lt;=0,(E130)&lt;0),"n/m",(E130)/(E99/E129))</x:f>
        <x:v>8.277569505341472</x:v>
      </x:c>
      <x:c r="F172" s="121" t="n">
        <x:f>IF(OR((F99/F129)&lt;=0,(F130)&lt;0),"n/m",(F130)/(F99/F129))</x:f>
        <x:v>6.770214735324442</x:v>
      </x:c>
      <x:c r="G172" s="121" t="n">
        <x:f>IF(OR((G99/G129)&lt;=0,(G130)&lt;0),"n/m",(G130)/(G99/G129))</x:f>
        <x:v>7.631751909473391</x:v>
      </x:c>
      <x:c r="H172" s="121" t="n">
        <x:f>IF(OR((H99/H129)&lt;=0,(H130)&lt;0),"n/m",(H130)/(H99/H129))</x:f>
        <x:v>5.182359206248938</x:v>
      </x:c>
      <x:c r="I172" s="9" t="s">
        <x:v>321</x:v>
      </x:c>
    </x:row>
    <x:row r="173" ht="15" hidden="0">
      <x:c r="A173" s="207" t="str">
        <x:v>32. Dividend yield</x:v>
      </x:c>
      <x:c r="B173" s="205" t="str">
        <x:v>DPS / Share Price</x:v>
      </x:c>
      <x:c r="C173" s="30"/>
      <x:c r="D173" s="124" t="n">
        <x:f>IF(OR((D130)&lt;=0,(D131)&lt;0),"n/m",(D131)/(D130))</x:f>
        <x:v>0</x:v>
      </x:c>
      <x:c r="E173" s="124" t="n">
        <x:f>IF(OR((E130)&lt;=0,(E131)&lt;0),"n/m",(E131)/(E130))</x:f>
        <x:v>0</x:v>
      </x:c>
      <x:c r="F173" s="124" t="n">
        <x:f>IF(OR((F130)&lt;=0,(F131)&lt;0),"n/m",(F131)/(F130))</x:f>
        <x:v>0</x:v>
      </x:c>
      <x:c r="G173" s="124" t="n">
        <x:f>IF(OR((G130)&lt;=0,(G131)&lt;0),"n/m",(G131)/(G130))</x:f>
        <x:v>0</x:v>
      </x:c>
      <x:c r="H173" s="124" t="n">
        <x:f>IF(OR((H130)&lt;=0,(H131)&lt;0),"n/m",(H131)/(H130))</x:f>
        <x:v>0</x:v>
      </x:c>
      <x:c r="I173" s="9" t="s">
        <x:v>306</x:v>
      </x:c>
    </x:row>
    <x:row r="174" ht="15" hidden="0">
      <x:c r="A174" s="207" t="str">
        <x:v>33. Dividend payout ratio</x:v>
      </x:c>
      <x:c r="B174" s="205" t="str">
        <x:v>DPS / EPS</x:v>
      </x:c>
      <x:c r="C174" s="30"/>
      <x:c r="D174" s="124" t="n">
        <x:f>IF(OR((D99/D129)&lt;=0,(D131)&lt;0),"n/m",(D131)/(D99/D129))</x:f>
        <x:v>0</x:v>
      </x:c>
      <x:c r="E174" s="124" t="n">
        <x:f>IF(OR((E99/E129)&lt;=0,(E131)&lt;0),"n/m",(E131)/(E99/E129))</x:f>
        <x:v>0</x:v>
      </x:c>
      <x:c r="F174" s="124" t="n">
        <x:f>IF(OR((F99/F129)&lt;=0,(F131)&lt;0),"n/m",(F131)/(F99/F129))</x:f>
        <x:v>0</x:v>
      </x:c>
      <x:c r="G174" s="124" t="n">
        <x:f>IF(OR((G99/G129)&lt;=0,(G131)&lt;0),"n/m",(G131)/(G99/G129))</x:f>
        <x:v>0</x:v>
      </x:c>
      <x:c r="H174" s="124" t="n">
        <x:f>IF(OR((H99/H129)&lt;=0,(H131)&lt;0),"n/m",(H131)/(H99/H129))</x:f>
        <x:v>0</x:v>
      </x:c>
      <x:c r="I174" s="9" t="s">
        <x:v>321</x:v>
      </x:c>
    </x:row>
    <x:row r="175" ht="15" hidden="0">
      <x:c r="A175" s="193"/>
      <x:c r="B175" s="193"/>
      <x:c r="C175"/>
      <x:c r="D175">
        <x:f aca="0"/>
      </x:c>
      <x:c r="E175">
        <x:f aca="0"/>
      </x:c>
      <x:c r="F175">
        <x:f aca="0"/>
      </x:c>
      <x:c r="G175">
        <x:f aca="0"/>
      </x:c>
      <x:c r="H175">
        <x:f aca="0"/>
      </x:c>
      <x:c r="I175" s="9" t="s">
        <x:v>278</x:v>
      </x:c>
    </x:row>
    <x:row r="176" ht="15" hidden="0">
      <x:c r="A176" s="206" t="str">
        <x:v>33 measures: 19 mandatory ratios and 14 additional measures. Ratios use one method across all five companies.</x:v>
      </x:c>
      <x:c r="B176" s="206"/>
      <x:c r="C176" s="135"/>
      <x:c r="D176" s="135">
        <x:f aca="0"/>
      </x:c>
      <x:c r="E176" s="135">
        <x:f aca="0"/>
      </x:c>
      <x:c r="F176" s="135">
        <x:f aca="0"/>
      </x:c>
      <x:c r="G176" s="135">
        <x:f aca="0"/>
      </x:c>
      <x:c r="H176" s="135">
        <x:f aca="0"/>
      </x:c>
      <x:c r="I176" s="9" t="s">
        <x:v>278</x:v>
      </x:c>
    </x:row>
    <x:row r="177" ht="15" hidden="0">
      <x:c r="A177" s="206" t="str">
        <x:v>n/m: negative calculated measures or non-positive denominators. Signed accounting inputs and raw workings are retained in the audit workbook.</x:v>
      </x:c>
      <x:c r="B177" s="206"/>
      <x:c r="C177" s="135"/>
      <x:c r="D177" s="135"/>
      <x:c r="E177" s="135"/>
      <x:c r="F177" s="135"/>
      <x:c r="G177" s="135"/>
      <x:c r="H177" s="135"/>
      <x:c r="I177" s="25"/>
      <x:c r="J177" s="25"/>
    </x:row>
    <x:row r="178" ht="15" hidden="0">
      <x:c r="A178" s="206" t="str">
        <x:v>DIO includes stores and stock; supplier payables include identified related operating suppliers, excluding contractor retentions, taxes and accruals.</x:v>
      </x:c>
      <x:c r="B178" s="206"/>
      <x:c r="C178" s="135"/>
      <x:c r="D178" s="135">
        <x:f aca="0"/>
      </x:c>
      <x:c r="E178" s="135">
        <x:f aca="0"/>
      </x:c>
      <x:c r="F178" s="135">
        <x:f aca="0"/>
      </x:c>
      <x:c r="G178" s="135">
        <x:f aca="0"/>
      </x:c>
      <x:c r="H178" s="135">
        <x:f aca="0"/>
      </x:c>
      <x:c r="I178" s="9" t="s">
        <x:v>321</x:v>
      </x:c>
    </x:row>
    <x:row r="179" ht="15" hidden="0">
      <x:c r="A179" s="193"/>
      <x:c r="B179" s="193"/>
      <x:c r="C179"/>
      <x:c r="D179"/>
      <x:c r="E179"/>
      <x:c r="F179"/>
      <x:c r="G179"/>
      <x:c r="H179"/>
      <x:c r="I179" s="25"/>
      <x:c r="J179" s="25"/>
    </x:row>
    <x:row r="180" ht="15" hidden="0">
      <x:c r="A180" s="193"/>
      <x:c r="B180" s="193"/>
      <x:c r="C180"/>
      <x:c r="D180">
        <x:f aca="0"/>
      </x:c>
      <x:c r="E180">
        <x:f aca="0"/>
      </x:c>
      <x:c r="F180">
        <x:f aca="0"/>
      </x:c>
      <x:c r="G180">
        <x:f aca="0"/>
      </x:c>
      <x:c r="H180">
        <x:f aca="0"/>
      </x:c>
      <x:c r="I180" s="9" t="s">
        <x:v>278</x:v>
      </x:c>
    </x:row>
    <x:row r="181" ht="15" hidden="0">
      <x:c r="A181" s="193"/>
      <x:c r="B181" s="193"/>
      <x:c r="C181"/>
      <x:c r="D181">
        <x:f aca="0"/>
      </x:c>
      <x:c r="E181">
        <x:f aca="0"/>
      </x:c>
      <x:c r="F181">
        <x:f aca="0"/>
      </x:c>
      <x:c r="G181">
        <x:f aca="0"/>
      </x:c>
      <x:c r="H181">
        <x:f aca="0"/>
      </x:c>
      <x:c r="I181" s="9" t="s">
        <x:v>278</x:v>
      </x:c>
    </x:row>
    <x:row r="182" ht="15" hidden="0">
      <x:c r="A182" s="193"/>
      <x:c r="B182" s="193"/>
      <x:c r="C182"/>
      <x:c r="D182">
        <x:f aca="0"/>
      </x:c>
      <x:c r="E182">
        <x:f aca="0"/>
      </x:c>
      <x:c r="F182">
        <x:f aca="0"/>
      </x:c>
      <x:c r="G182">
        <x:f aca="0"/>
      </x:c>
      <x:c r="H182">
        <x:f aca="0"/>
      </x:c>
      <x:c r="I182" s="9" t="s">
        <x:v>321</x:v>
      </x:c>
    </x:row>
    <x:row r="183" ht="15" hidden="0">
      <x:c r="A183" s="201"/>
      <x:c r="B183" s="202"/>
      <x:c r="C183" s="25"/>
      <x:c r="D183" s="25"/>
      <x:c r="E183" s="25"/>
      <x:c r="F183" s="25"/>
      <x:c r="G183" s="25"/>
      <x:c r="H183" s="25"/>
      <x:c r="I183" s="25"/>
      <x:c r="J183" s="25"/>
    </x:row>
    <x:row r="184" ht="15" hidden="0">
      <x:c r="A184" s="193"/>
      <x:c r="B184" s="195"/>
      <x:c r="C184" s="30"/>
      <x:c r="D184" s="37">
        <x:f aca="0"/>
      </x:c>
      <x:c r="E184" s="37">
        <x:f aca="0"/>
      </x:c>
      <x:c r="F184" s="37">
        <x:f aca="0"/>
      </x:c>
      <x:c r="G184" s="37">
        <x:f aca="0"/>
      </x:c>
      <x:c r="H184" s="37">
        <x:f aca="0"/>
      </x:c>
      <x:c r="I184" s="9"/>
    </x:row>
    <x:row r="185" ht="15" hidden="0">
      <x:c r="A185" s="193"/>
      <x:c r="B185" s="195"/>
      <x:c r="C185" s="30"/>
      <x:c r="D185" s="37">
        <x:f aca="0"/>
      </x:c>
      <x:c r="E185" s="37">
        <x:f aca="0"/>
      </x:c>
      <x:c r="F185" s="37">
        <x:f aca="0"/>
      </x:c>
      <x:c r="G185" s="37">
        <x:f aca="0"/>
      </x:c>
      <x:c r="H185" s="37">
        <x:f aca="0"/>
      </x:c>
      <x:c r="I185" s="9"/>
    </x:row>
    <x:row r="186" ht="15" hidden="0">
      <x:c r="A186" s="193"/>
      <x:c r="B186" s="195"/>
      <x:c r="C186" s="30"/>
      <x:c r="D186" s="39">
        <x:f aca="0"/>
      </x:c>
      <x:c r="E186" s="39">
        <x:f aca="0"/>
      </x:c>
      <x:c r="F186" s="39">
        <x:f aca="0"/>
      </x:c>
      <x:c r="G186" s="39">
        <x:f aca="0"/>
      </x:c>
      <x:c r="H186" s="39">
        <x:f aca="0"/>
      </x:c>
      <x:c r="I186" s="9"/>
    </x:row>
    <x:row r="187" ht="15" hidden="0">
      <x:c r="A187" s="193"/>
      <x:c r="B187" s="195"/>
      <x:c r="C187" s="30"/>
      <x:c r="D187" s="37">
        <x:f aca="0"/>
      </x:c>
      <x:c r="E187" s="37">
        <x:f aca="0"/>
      </x:c>
      <x:c r="F187" s="37">
        <x:f aca="0"/>
      </x:c>
      <x:c r="G187" s="37">
        <x:f aca="0"/>
      </x:c>
      <x:c r="H187" s="37">
        <x:f aca="0"/>
      </x:c>
      <x:c r="I187" s="9"/>
    </x:row>
    <x:row r="188" ht="15" hidden="0">
      <x:c r="A188" s="193"/>
      <x:c r="B188" s="195"/>
      <x:c r="C188" s="30"/>
      <x:c r="D188" s="41">
        <x:f aca="0"/>
      </x:c>
      <x:c r="E188" s="41">
        <x:f aca="0"/>
      </x:c>
      <x:c r="F188" s="41">
        <x:f aca="0"/>
      </x:c>
      <x:c r="G188" s="41">
        <x:f aca="0"/>
      </x:c>
      <x:c r="H188" s="41">
        <x:f aca="0"/>
      </x:c>
      <x:c r="I188" s="9"/>
    </x:row>
    <x:row r="189" ht="15" hidden="0">
      <x:c r="A189" s="193"/>
      <x:c r="B189" s="195"/>
      <x:c r="C189" s="30"/>
      <x:c r="D189" s="40">
        <x:f aca="0"/>
      </x:c>
      <x:c r="E189" s="40">
        <x:f aca="0"/>
      </x:c>
      <x:c r="F189" s="40">
        <x:f aca="0"/>
      </x:c>
      <x:c r="G189" s="40">
        <x:f aca="0"/>
      </x:c>
      <x:c r="H189" s="40">
        <x:f aca="0"/>
      </x:c>
      <x:c r="I189" s="9"/>
    </x:row>
    <x:row r="190">
      <x:c r="A190" s="193"/>
      <x:c r="B190" s="193"/>
    </x:row>
    <x:row r="191" ht="15" hidden="0">
      <x:c r="A191" s="196" t="s">
        <x:v>325</x:v>
      </x:c>
      <x:c r="B191" s="197"/>
      <x:c r="C191" s="20"/>
      <x:c r="D191" s="20"/>
      <x:c r="E191" s="20"/>
      <x:c r="F191" s="20"/>
      <x:c r="G191" s="20"/>
      <x:c r="H191" s="20"/>
      <x:c r="I191" s="20"/>
      <x:c r="J191" s="20"/>
    </x:row>
    <x:row r="192" ht="15" hidden="0">
      <x:c r="A192" s="201" t="s">
        <x:v>326</x:v>
      </x:c>
      <x:c r="B192" s="202"/>
      <x:c r="C192" s="25"/>
      <x:c r="D192" s="25"/>
      <x:c r="E192" s="25"/>
      <x:c r="F192" s="25"/>
      <x:c r="G192" s="25"/>
      <x:c r="H192" s="25"/>
      <x:c r="I192" s="25"/>
      <x:c r="J192" s="25"/>
    </x:row>
    <x:row r="193" ht="15" hidden="0">
      <x:c r="A193" s="193" t="s">
        <x:v>327</x:v>
      </x:c>
      <x:c r="B193" s="195" t="s">
        <x:v>328</x:v>
      </x:c>
      <x:c r="C193" s="42" t="n">
        <x:f aca="0">IF(C37=0,"n/m",C22/C37)</x:f>
        <x:v>0.6578807098118852</x:v>
      </x:c>
      <x:c r="D193" s="42" t="n">
        <x:f aca="0">IF(D37=0,"n/m",D22/D37)</x:f>
        <x:v>0.6244217516984409</x:v>
      </x:c>
      <x:c r="E193" s="42" t="n">
        <x:f aca="0">IF(E37=0,"n/m",E22/E37)</x:f>
        <x:v>0.5039522972975109</x:v>
      </x:c>
      <x:c r="F193" s="42" t="n">
        <x:f aca="0">IF(F37=0,"n/m",F22/F37)</x:f>
        <x:v>0.6763946078169355</x:v>
      </x:c>
      <x:c r="G193" s="42" t="n">
        <x:f aca="0">IF(G37=0,"n/m",G22/G37)</x:f>
        <x:v>0.6594271048227697</x:v>
      </x:c>
      <x:c r="H193" s="42" t="n">
        <x:f aca="0">IF(H37=0,"n/m",H22/H37)</x:f>
        <x:v>0.526508868705998</x:v>
      </x:c>
      <x:c r="I193" s="11" t="s">
        <x:v>278</x:v>
      </x:c>
    </x:row>
    <x:row r="194" ht="15" hidden="0">
      <x:c r="A194" s="193" t="s">
        <x:v>329</x:v>
      </x:c>
      <x:c r="B194" s="195" t="s">
        <x:v>330</x:v>
      </x:c>
      <x:c r="C194" s="42" t="n">
        <x:f aca="0">IF(C37=0,"n/m",C21/C37)</x:f>
        <x:v>0.013200863853928532</x:v>
      </x:c>
      <x:c r="D194" s="42" t="n">
        <x:f aca="0">IF(D37=0,"n/m",D21/D37)</x:f>
        <x:v>0.04309064177903631</x:v>
      </x:c>
      <x:c r="E194" s="42" t="n">
        <x:f aca="0">IF(E37=0,"n/m",E21/E37)</x:f>
        <x:v>0.1867414404395542</x:v>
      </x:c>
      <x:c r="F194" s="42" t="n">
        <x:f aca="0">IF(F37=0,"n/m",F21/F37)</x:f>
        <x:v>0.01869177110092576</x:v>
      </x:c>
      <x:c r="G194" s="42" t="n">
        <x:f aca="0">IF(G37=0,"n/m",G21/G37)</x:f>
        <x:v>0.004741818206410539</x:v>
      </x:c>
      <x:c r="H194" s="42" t="n">
        <x:f aca="0">IF(H37=0,"n/m",H21/H37)</x:f>
        <x:v>0.0010553936324645746</x:v>
      </x:c>
      <x:c r="I194" s="11" t="s">
        <x:v>278</x:v>
      </x:c>
    </x:row>
    <x:row r="195" ht="15" hidden="0">
      <x:c r="A195" s="193" t="s">
        <x:v>126</x:v>
      </x:c>
      <x:c r="B195" s="195" t="s">
        <x:v>331</x:v>
      </x:c>
      <x:c r="C195" s="42" t="n">
        <x:f aca="0">IF(C37=0,"n/m",C28/C37)</x:f>
        <x:v>0.7484131402304062</x:v>
      </x:c>
      <x:c r="D195" s="42" t="n">
        <x:f aca="0">IF(D37=0,"n/m",D28/D37)</x:f>
        <x:v>0.7445108625731096</x:v>
      </x:c>
      <x:c r="E195" s="42" t="n">
        <x:f aca="0">IF(E37=0,"n/m",E28/E37)</x:f>
        <x:v>0.752816587302852</x:v>
      </x:c>
      <x:c r="F195" s="42" t="n">
        <x:f aca="0">IF(F37=0,"n/m",F28/F37)</x:f>
        <x:v>0.7520874543326604</x:v>
      </x:c>
      <x:c r="G195" s="42" t="n">
        <x:f aca="0">IF(G37=0,"n/m",G28/G37)</x:f>
        <x:v>0.7296064752013678</x:v>
      </x:c>
      <x:c r="H195" s="42" t="n">
        <x:f aca="0">IF(H37=0,"n/m",H28/H37)</x:f>
        <x:v>0.6998260150382846</x:v>
      </x:c>
      <x:c r="I195" s="11" t="s">
        <x:v>278</x:v>
      </x:c>
    </x:row>
    <x:row r="196" ht="15" hidden="0">
      <x:c r="A196" s="193" t="s">
        <x:v>332</x:v>
      </x:c>
      <x:c r="B196" s="195" t="s">
        <x:v>333</x:v>
      </x:c>
      <x:c r="C196" s="42" t="n">
        <x:f aca="0">IF(C37=0,"n/m",C65/C37)</x:f>
        <x:v>0.1541440584606785</x:v>
      </x:c>
      <x:c r="D196" s="42" t="n">
        <x:f aca="0">IF(D37=0,"n/m",D65/D37)</x:f>
        <x:v>0.1794841423241359</x:v>
      </x:c>
      <x:c r="E196" s="42" t="n">
        <x:f aca="0">IF(E37=0,"n/m",E65/E37)</x:f>
        <x:v>0.18913063812204728</x:v>
      </x:c>
      <x:c r="F196" s="42" t="n">
        <x:f aca="0">IF(F37=0,"n/m",F65/F37)</x:f>
        <x:v>0.15383805746643114</x:v>
      </x:c>
      <x:c r="G196" s="42" t="n">
        <x:f aca="0">IF(G37=0,"n/m",G65/G37)</x:f>
        <x:v>0.156330039580466</x:v>
      </x:c>
      <x:c r="H196" s="42" t="n">
        <x:f aca="0">IF(H37=0,"n/m",H65/H37)</x:f>
        <x:v>0.14192620470839862</x:v>
      </x:c>
      <x:c r="I196" s="11" t="s">
        <x:v>278</x:v>
      </x:c>
    </x:row>
    <x:row r="197" ht="15" hidden="0">
      <x:c r="A197" s="193" t="s">
        <x:v>133</x:v>
      </x:c>
      <x:c r="B197" s="195" t="s">
        <x:v>334</x:v>
      </x:c>
      <x:c r="C197" s="42" t="n">
        <x:f aca="0">IF(C37=0,"n/m",C32/C37)</x:f>
        <x:v>0.046237548680482465</x:v>
      </x:c>
      <x:c r="D197" s="42" t="n">
        <x:f aca="0">IF(D37=0,"n/m",D32/D37)</x:f>
        <x:v>0.02535812663900111</x:v>
      </x:c>
      <x:c r="E197" s="42" t="n">
        <x:f aca="0">IF(E37=0,"n/m",E32/E37)</x:f>
        <x:v>0.025132054422222147</x:v>
      </x:c>
      <x:c r="F197" s="42" t="n">
        <x:f aca="0">IF(F37=0,"n/m",F32/F37)</x:f>
        <x:v>0.028993995845017155</x:v>
      </x:c>
      <x:c r="G197" s="42" t="n">
        <x:f aca="0">IF(G37=0,"n/m",G32/G37)</x:f>
        <x:v>0.042154845774620656</x:v>
      </x:c>
      <x:c r="H197" s="42" t="n">
        <x:f aca="0">IF(H37=0,"n/m",H32/H37)</x:f>
        <x:v>0.03870645904110289</x:v>
      </x:c>
      <x:c r="I197" s="11" t="s">
        <x:v>278</x:v>
      </x:c>
    </x:row>
    <x:row r="198" ht="15" hidden="0">
      <x:c r="A198" s="193" t="s">
        <x:v>135</x:v>
      </x:c>
      <x:c r="B198" s="195" t="s">
        <x:v>335</x:v>
      </x:c>
      <x:c r="C198" s="42" t="n">
        <x:f aca="0">IF(C37=0,"n/m",C33/C37)</x:f>
        <x:v>0.001139906999525873</x:v>
      </x:c>
      <x:c r="D198" s="42" t="n">
        <x:f aca="0">IF(D37=0,"n/m",D33/D37)</x:f>
        <x:v>0.0022516549772779834</x:v>
      </x:c>
      <x:c r="E198" s="42" t="n">
        <x:f aca="0">IF(E37=0,"n/m",E33/E37)</x:f>
        <x:v>0.0024125513095607197</x:v>
      </x:c>
      <x:c r="F198" s="42" t="n">
        <x:f aca="0">IF(F37=0,"n/m",F33/F37)</x:f>
        <x:v>0.041128638317390574</x:v>
      </x:c>
      <x:c r="G198" s="42" t="n">
        <x:f aca="0">IF(G37=0,"n/m",G33/G37)</x:f>
        <x:v>0.04247202771677247</x:v>
      </x:c>
      <x:c r="H198" s="42" t="n">
        <x:f aca="0">IF(H37=0,"n/m",H33/H37)</x:f>
        <x:v>0.0932143446922287</x:v>
      </x:c>
      <x:c r="I198" s="11" t="s">
        <x:v>278</x:v>
      </x:c>
    </x:row>
    <x:row r="199" ht="15" hidden="0">
      <x:c r="A199" s="193" t="s">
        <x:v>336</x:v>
      </x:c>
      <x:c r="B199" s="195" t="s">
        <x:v>337</x:v>
      </x:c>
      <x:c r="C199" s="42" t="n">
        <x:f aca="0">IF(C37=0,"n/m",C34/C37)</x:f>
        <x:v>0.01585018375537161</x:v>
      </x:c>
      <x:c r="D199" s="42" t="n">
        <x:f aca="0">IF(D37=0,"n/m",D34/D37)</x:f>
        <x:v>0.007402390466876769</x:v>
      </x:c>
      <x:c r="E199" s="42" t="n">
        <x:f aca="0">IF(E37=0,"n/m",E34/E37)</x:f>
        <x:v>0.009652540600949642</x:v>
      </x:c>
      <x:c r="F199" s="42" t="n">
        <x:f aca="0">IF(F37=0,"n/m",F34/F37)</x:f>
        <x:v>0.008256893323250662</x:v>
      </x:c>
      <x:c r="G199" s="42" t="n">
        <x:f aca="0">IF(G37=0,"n/m",G34/G37)</x:f>
        <x:v>0.011406473313392042</x:v>
      </x:c>
      <x:c r="H199" s="42" t="n">
        <x:f aca="0">IF(H37=0,"n/m",H34/H37)</x:f>
        <x:v>0.013563358053582253</x:v>
      </x:c>
      <x:c r="I199" s="11" t="s">
        <x:v>278</x:v>
      </x:c>
    </x:row>
    <x:row r="200" ht="15" hidden="0">
      <x:c r="A200" s="193" t="s">
        <x:v>141</x:v>
      </x:c>
      <x:c r="B200" s="195" t="s">
        <x:v>338</x:v>
      </x:c>
      <x:c r="C200" s="42" t="n">
        <x:f aca="0">IF(C37=0,"n/m",C36/C37)</x:f>
        <x:v>0.2515868597695938</x:v>
      </x:c>
      <x:c r="D200" s="42" t="n">
        <x:f aca="0">IF(D37=0,"n/m",D36/D37)</x:f>
        <x:v>0.2554891374268905</x:v>
      </x:c>
      <x:c r="E200" s="42" t="n">
        <x:f aca="0">IF(E37=0,"n/m",E36/E37)</x:f>
        <x:v>0.24718341269714814</x:v>
      </x:c>
      <x:c r="F200" s="42" t="n">
        <x:f aca="0">IF(F37=0,"n/m",F36/F37)</x:f>
        <x:v>0.2479125456673395</x:v>
      </x:c>
      <x:c r="G200" s="42" t="n">
        <x:f aca="0">IF(G37=0,"n/m",G36/G37)</x:f>
        <x:v>0.27039352479863216</x:v>
      </x:c>
      <x:c r="H200" s="42" t="n">
        <x:f aca="0">IF(H37=0,"n/m",H36/H37)</x:f>
        <x:v>0.30017398496171543</x:v>
      </x:c>
      <x:c r="I200" s="11" t="s">
        <x:v>278</x:v>
      </x:c>
    </x:row>
    <x:row r="201" ht="15" hidden="0">
      <x:c r="A201" s="193" t="s">
        <x:v>150</x:v>
      </x:c>
      <x:c r="B201" s="195" t="s">
        <x:v>339</x:v>
      </x:c>
      <x:c r="C201" s="42" t="n">
        <x:f aca="0">IF(C37=0,"n/m",C41/C37)</x:f>
        <x:v>0.4744877996925636</x:v>
      </x:c>
      <x:c r="D201" s="42" t="n">
        <x:f aca="0">IF(D37=0,"n/m",D41/D37)</x:f>
        <x:v>0.566771591320787</x:v>
      </x:c>
      <x:c r="E201" s="42" t="n">
        <x:f aca="0">IF(E37=0,"n/m",E41/E37)</x:f>
        <x:v>0.49333339090651124</x:v>
      </x:c>
      <x:c r="F201" s="42" t="n">
        <x:f aca="0">IF(F37=0,"n/m",F41/F37)</x:f>
        <x:v>0.5006605730916487</x:v>
      </x:c>
      <x:c r="G201" s="42" t="n">
        <x:f aca="0">IF(G37=0,"n/m",G41/G37)</x:f>
        <x:v>0.5295179073998606</x:v>
      </x:c>
      <x:c r="H201" s="42" t="n">
        <x:f aca="0">IF(H37=0,"n/m",H41/H37)</x:f>
        <x:v>0.5999817759385652</x:v>
      </x:c>
      <x:c r="I201" s="11" t="s">
        <x:v>278</x:v>
      </x:c>
    </x:row>
    <x:row r="202" ht="15" hidden="0">
      <x:c r="A202" s="193" t="s">
        <x:v>340</x:v>
      </x:c>
      <x:c r="B202" s="195" t="s">
        <x:v>341</x:v>
      </x:c>
      <x:c r="C202" s="42" t="n">
        <x:f aca="0">IF(C37=0,"n/m",C67/C37)</x:f>
        <x:v>0.22986145490491094</x:v>
      </x:c>
      <x:c r="D202" s="42" t="n">
        <x:f aca="0">IF(D37=0,"n/m",D67/D37)</x:f>
        <x:v>0.19077425632568037</x:v>
      </x:c>
      <x:c r="E202" s="42" t="n">
        <x:f aca="0">IF(E37=0,"n/m",E67/E37)</x:f>
        <x:v>0.22836689667151214</x:v>
      </x:c>
      <x:c r="F202" s="42" t="n">
        <x:f aca="0">IF(F37=0,"n/m",F67/F37)</x:f>
        <x:v>0.19245552926882725</x:v>
      </x:c>
      <x:c r="G202" s="42" t="n">
        <x:f aca="0">IF(G37=0,"n/m",G67/G37)</x:f>
        <x:v>0.1441187310524372</x:v>
      </x:c>
      <x:c r="H202" s="42" t="n">
        <x:f aca="0">IF(H37=0,"n/m",H67/H37)</x:f>
        <x:v>0.08236454653172713</x:v>
      </x:c>
      <x:c r="I202" s="11" t="s">
        <x:v>278</x:v>
      </x:c>
    </x:row>
    <x:row r="203" ht="15" hidden="0">
      <x:c r="A203" s="193" t="s">
        <x:v>163</x:v>
      </x:c>
      <x:c r="B203" s="195" t="s">
        <x:v>342</x:v>
      </x:c>
      <x:c r="C203" s="42" t="n">
        <x:f aca="0">IF(C37=0,"n/m",C48/C37)</x:f>
        <x:v>0.29351965181033574</x:v>
      </x:c>
      <x:c r="D203" s="42" t="n">
        <x:f aca="0">IF(D37=0,"n/m",D48/D37)</x:f>
        <x:v>0.26037857779790413</x:v>
      </x:c>
      <x:c r="E203" s="42" t="n">
        <x:f aca="0">IF(E37=0,"n/m",E48/E37)</x:f>
        <x:v>0.30970076827351384</x:v>
      </x:c>
      <x:c r="F203" s="42" t="n">
        <x:f aca="0">IF(F37=0,"n/m",F48/F37)</x:f>
        <x:v>0.3185855004147859</x:v>
      </x:c>
      <x:c r="G203" s="42" t="n">
        <x:f aca="0">IF(G37=0,"n/m",G48/G37)</x:f>
        <x:v>0.2833168699028302</x:v>
      </x:c>
      <x:c r="H203" s="42" t="n">
        <x:f aca="0">IF(H37=0,"n/m",H48/H37)</x:f>
        <x:v>0.20413860492702354</x:v>
      </x:c>
      <x:c r="I203" s="11" t="s">
        <x:v>278</x:v>
      </x:c>
    </x:row>
    <x:row r="204" ht="15" hidden="0">
      <x:c r="A204" s="193" t="s">
        <x:v>166</x:v>
      </x:c>
      <x:c r="B204" s="195" t="s">
        <x:v>343</x:v>
      </x:c>
      <x:c r="C204" s="42" t="n">
        <x:f aca="0">IF(C37=0,"n/m",C50/C37)</x:f>
        <x:v>0.12045521260784253</x:v>
      </x:c>
      <x:c r="D204" s="42" t="n">
        <x:f aca="0">IF(D37=0,"n/m",D50/D37)</x:f>
        <x:v>0.1134015530785224</x:v>
      </x:c>
      <x:c r="E204" s="42" t="n">
        <x:f aca="0">IF(E37=0,"n/m",E50/E37)</x:f>
        <x:v>0.11089827415479638</x:v>
      </x:c>
      <x:c r="F204" s="42" t="n">
        <x:f aca="0">IF(F37=0,"n/m",F50/F37)</x:f>
        <x:v>0.13954407999553126</x:v>
      </x:c>
      <x:c r="G204" s="42" t="n">
        <x:f aca="0">IF(G37=0,"n/m",G50/G37)</x:f>
        <x:v>0.12561915491104866</x:v>
      </x:c>
      <x:c r="H204" s="42" t="n">
        <x:f aca="0">IF(H37=0,"n/m",H50/H37)</x:f>
        <x:v>0.15050649180344167</x:v>
      </x:c>
      <x:c r="I204" s="11" t="s">
        <x:v>278</x:v>
      </x:c>
    </x:row>
    <x:row r="205" ht="15" hidden="0">
      <x:c r="A205" s="193" t="s">
        <x:v>344</x:v>
      </x:c>
      <x:c r="B205" s="195" t="s">
        <x:v>345</x:v>
      </x:c>
      <x:c r="C205" s="42" t="n">
        <x:f aca="0">IF(C37=0,"n/m",C66/C37)</x:f>
        <x:v>0.3323813076097476</x:v>
      </x:c>
      <x:c r="D205" s="42" t="n">
        <x:f aca="0">IF(D37=0,"n/m",D66/D37)</x:f>
        <x:v>0.24510345659262772</x:v>
      </x:c>
      <x:c r="E205" s="42" t="n">
        <x:f aca="0">IF(E37=0,"n/m",E66/E37)</x:f>
        <x:v>0.30376396002588846</x:v>
      </x:c>
      <x:c r="F205" s="42" t="n">
        <x:f aca="0">IF(F37=0,"n/m",F66/F37)</x:f>
        <x:v>0.2215462057659681</x:v>
      </x:c>
      <x:c r="G205" s="42" t="n">
        <x:f aca="0">IF(G37=0,"n/m",G66/G37)</x:f>
        <x:v>0.19511145709239938</x:v>
      </x:c>
      <x:c r="H205" s="42" t="n">
        <x:f aca="0">IF(H37=0,"n/m",H66/H37)</x:f>
        <x:v>0.12241227835938212</x:v>
      </x:c>
      <x:c r="I205" s="11" t="s">
        <x:v>278</x:v>
      </x:c>
    </x:row>
    <x:row r="206" ht="15" hidden="0">
      <x:c r="A206" s="193" t="s">
        <x:v>188</x:v>
      </x:c>
      <x:c r="B206" s="195" t="s">
        <x:v>346</x:v>
      </x:c>
      <x:c r="C206" s="42" t="n">
        <x:f aca="0">IF(C37=0,"n/m",C61/C37)</x:f>
        <x:v>0.2319925484971005</x:v>
      </x:c>
      <x:c r="D206" s="42" t="n">
        <x:f aca="0">IF(D37=0,"n/m",D61/D37)</x:f>
        <x:v>0.1728498308813088</x:v>
      </x:c>
      <x:c r="E206" s="42" t="n">
        <x:f aca="0">IF(E37=0,"n/m",E61/E37)</x:f>
        <x:v>0.19696584081997504</x:v>
      </x:c>
      <x:c r="F206" s="42" t="n">
        <x:f aca="0">IF(F37=0,"n/m",F61/F37)</x:f>
        <x:v>0.18075392649356528</x:v>
      </x:c>
      <x:c r="G206" s="42" t="n">
        <x:f aca="0">IF(G37=0,"n/m",G61/G37)</x:f>
        <x:v>0.18716522269730912</x:v>
      </x:c>
      <x:c r="H206" s="42" t="n">
        <x:f aca="0">IF(H37=0,"n/m",H61/H37)</x:f>
        <x:v>0.19587961913441157</x:v>
      </x:c>
      <x:c r="I206" s="11" t="s">
        <x:v>278</x:v>
      </x:c>
    </x:row>
    <x:row r="207" ht="15" hidden="0">
      <x:c r="A207" s="193" t="s">
        <x:v>191</x:v>
      </x:c>
      <x:c r="B207" s="195" t="s">
        <x:v>347</x:v>
      </x:c>
      <x:c r="C207" s="42" t="n">
        <x:f aca="0">IF(C37=0,"n/m",C62/C37)</x:f>
        <x:v>0.5255122003074363</x:v>
      </x:c>
      <x:c r="D207" s="42" t="n">
        <x:f aca="0">IF(D37=0,"n/m",D62/D37)</x:f>
        <x:v>0.4332284086792129</x:v>
      </x:c>
      <x:c r="E207" s="42" t="n">
        <x:f aca="0">IF(E37=0,"n/m",E62/E37)</x:f>
        <x:v>0.5066666090934888</x:v>
      </x:c>
      <x:c r="F207" s="42" t="n">
        <x:f aca="0">IF(F37=0,"n/m",F62/F37)</x:f>
        <x:v>0.49933942690835115</x:v>
      </x:c>
      <x:c r="G207" s="42" t="n">
        <x:f aca="0">IF(G37=0,"n/m",G62/G37)</x:f>
        <x:v>0.4704820926001394</x:v>
      </x:c>
      <x:c r="H207" s="42" t="n">
        <x:f aca="0">IF(H37=0,"n/m",H62/H37)</x:f>
        <x:v>0.4000182240614351</x:v>
      </x:c>
      <x:c r="I207" s="11" t="s">
        <x:v>278</x:v>
      </x:c>
    </x:row>
    <x:row r="208" ht="15" hidden="0">
      <x:c r="A208" s="201" t="s">
        <x:v>348</x:v>
      </x:c>
      <x:c r="B208" s="202"/>
      <x:c r="C208" s="25"/>
      <x:c r="D208" s="25"/>
      <x:c r="E208" s="25"/>
      <x:c r="F208" s="25"/>
      <x:c r="G208" s="25"/>
      <x:c r="H208" s="25"/>
      <x:c r="I208" s="25"/>
      <x:c r="J208" s="25"/>
    </x:row>
    <x:row r="209" ht="15" hidden="0">
      <x:c r="A209" s="193" t="s">
        <x:v>226</x:v>
      </x:c>
      <x:c r="B209" s="195" t="s">
        <x:v>349</x:v>
      </x:c>
      <x:c r="C209" s="30"/>
      <x:c r="D209" s="42" t="n">
        <x:f aca="0">IF(D84=0,"n/m",D85/D84)</x:f>
        <x:v>-0.7916928555475964</x:v>
      </x:c>
      <x:c r="E209" s="42" t="n">
        <x:f aca="0">IF(E84=0,"n/m",E85/E84)</x:f>
        <x:v>-0.7469999663229033</x:v>
      </x:c>
      <x:c r="F209" s="42" t="n">
        <x:f aca="0">IF(F84=0,"n/m",F85/F84)</x:f>
        <x:v>-0.7072367752827259</x:v>
      </x:c>
      <x:c r="G209" s="42" t="n">
        <x:f aca="0">IF(G84=0,"n/m",G85/G84)</x:f>
        <x:v>-0.6845215461762164</x:v>
      </x:c>
      <x:c r="H209" s="42" t="n">
        <x:f aca="0">IF(H84=0,"n/m",H85/H84)</x:f>
        <x:v>-0.6555559400953079</x:v>
      </x:c>
      <x:c r="I209" s="11" t="s">
        <x:v>278</x:v>
      </x:c>
    </x:row>
    <x:row r="210" ht="15" hidden="0">
      <x:c r="A210" s="193" t="s">
        <x:v>228</x:v>
      </x:c>
      <x:c r="B210" s="195" t="s">
        <x:v>350</x:v>
      </x:c>
      <x:c r="C210" s="30"/>
      <x:c r="D210" s="42" t="n">
        <x:f aca="0">IF(D84=0,"n/m",D86/D84)</x:f>
        <x:v>0.20830714445240356</x:v>
      </x:c>
      <x:c r="E210" s="42" t="n">
        <x:f aca="0">IF(E84=0,"n/m",E86/E84)</x:f>
        <x:v>0.25300003367709667</x:v>
      </x:c>
      <x:c r="F210" s="42" t="n">
        <x:f aca="0">IF(F84=0,"n/m",F86/F84)</x:f>
        <x:v>0.2927632247172742</x:v>
      </x:c>
      <x:c r="G210" s="42" t="n">
        <x:f aca="0">IF(G84=0,"n/m",G86/G84)</x:f>
        <x:v>0.31547845382378364</x:v>
      </x:c>
      <x:c r="H210" s="42" t="n">
        <x:f aca="0">IF(H84=0,"n/m",H86/H84)</x:f>
        <x:v>0.3444440599046921</x:v>
      </x:c>
      <x:c r="I210" s="11" t="s">
        <x:v>278</x:v>
      </x:c>
    </x:row>
    <x:row r="211" ht="15" hidden="0">
      <x:c r="A211" s="193" t="s">
        <x:v>351</x:v>
      </x:c>
      <x:c r="B211" s="195" t="s">
        <x:v>352</x:v>
      </x:c>
      <x:c r="C211" s="30"/>
      <x:c r="D211" s="42" t="n">
        <x:f aca="0">IF(D84=0,"n/m",D87/D84)</x:f>
        <x:v>-0.02852843190224541</x:v>
      </x:c>
      <x:c r="E211" s="42" t="n">
        <x:f aca="0">IF(E84=0,"n/m",E87/E84)</x:f>
        <x:v>-0.030583008251795527</x:v>
      </x:c>
      <x:c r="F211" s="42" t="n">
        <x:f aca="0">IF(F84=0,"n/m",F87/F84)</x:f>
        <x:v>-0.060428197327376434</x:v>
      </x:c>
      <x:c r="G211" s="42" t="n">
        <x:f aca="0">IF(G84=0,"n/m",G87/G84)</x:f>
        <x:v>-0.08234183087104763</x:v>
      </x:c>
      <x:c r="H211" s="42" t="n">
        <x:f aca="0">IF(H84=0,"n/m",H87/H84)</x:f>
        <x:v>-0.059814442905028346</x:v>
      </x:c>
      <x:c r="I211" s="11" t="s">
        <x:v>278</x:v>
      </x:c>
    </x:row>
    <x:row r="212" ht="15" hidden="0">
      <x:c r="A212" s="193" t="s">
        <x:v>353</x:v>
      </x:c>
      <x:c r="B212" s="195" t="s">
        <x:v>354</x:v>
      </x:c>
      <x:c r="C212" s="30"/>
      <x:c r="D212" s="42" t="n">
        <x:f aca="0">IF(D84=0,"n/m",D88/D84)</x:f>
        <x:v>-0.022890486520444522</x:v>
      </x:c>
      <x:c r="E212" s="42" t="n">
        <x:f aca="0">IF(E84=0,"n/m",E88/E84)</x:f>
        <x:v>-0.02002185837309285</x:v>
      </x:c>
      <x:c r="F212" s="42" t="n">
        <x:f aca="0">IF(F84=0,"n/m",F88/F84)</x:f>
        <x:v>-0.022240857666014732</x:v>
      </x:c>
      <x:c r="G212" s="42" t="n">
        <x:f aca="0">IF(G84=0,"n/m",G88/G84)</x:f>
        <x:v>-0.027871821775206498</x:v>
      </x:c>
      <x:c r="H212" s="42" t="n">
        <x:f aca="0">IF(H84=0,"n/m",H88/H84)</x:f>
        <x:v>-0.031567200270208</x:v>
      </x:c>
      <x:c r="I212" s="11" t="s">
        <x:v>278</x:v>
      </x:c>
    </x:row>
    <x:row r="213" ht="15" hidden="0">
      <x:c r="A213" s="193" t="s">
        <x:v>355</x:v>
      </x:c>
      <x:c r="B213" s="195" t="s">
        <x:v>356</x:v>
      </x:c>
      <x:c r="C213" s="30"/>
      <x:c r="D213" s="42" t="n">
        <x:f aca="0">IF(D84=0,"n/m",(D90+D89)/D84)</x:f>
        <x:v>-0.014748651039901993</x:v>
      </x:c>
      <x:c r="E213" s="42" t="n">
        <x:f aca="0">IF(E84=0,"n/m",(E90+E89)/E84)</x:f>
        <x:v>-0.01962504984066034</x:v>
      </x:c>
      <x:c r="F213" s="42" t="n">
        <x:f aca="0">IF(F84=0,"n/m",(F90+F89)/F84)</x:f>
        <x:v>-0.019120032990921555</x:v>
      </x:c>
      <x:c r="G213" s="42" t="n">
        <x:f aca="0">IF(G84=0,"n/m",(G90+G89)/G84)</x:f>
        <x:v>-0.013945872913324294</x:v>
      </x:c>
      <x:c r="H213" s="42" t="n">
        <x:f aca="0">IF(H84=0,"n/m",(H90+H89)/H84)</x:f>
        <x:v>-0.024969349071252853</x:v>
      </x:c>
      <x:c r="I213" s="11" t="s">
        <x:v>278</x:v>
      </x:c>
    </x:row>
    <x:row r="214" ht="15" hidden="0">
      <x:c r="A214" s="193" t="s">
        <x:v>357</x:v>
      </x:c>
      <x:c r="B214" s="195" t="s">
        <x:v>358</x:v>
      </x:c>
      <x:c r="C214" s="30"/>
      <x:c r="D214" s="42" t="n">
        <x:f aca="0">IF(D84=0,"n/m",D91/D84)</x:f>
        <x:v>0.14213957498981164</x:v>
      </x:c>
      <x:c r="E214" s="42" t="n">
        <x:f aca="0">IF(E84=0,"n/m",E91/E84)</x:f>
        <x:v>0.18277011721154793</x:v>
      </x:c>
      <x:c r="F214" s="42" t="n">
        <x:f aca="0">IF(F84=0,"n/m",F91/F84)</x:f>
        <x:v>0.19097413673296146</x:v>
      </x:c>
      <x:c r="G214" s="42" t="n">
        <x:f aca="0">IF(G84=0,"n/m",G91/G84)</x:f>
        <x:v>0.19131892826420518</x:v>
      </x:c>
      <x:c r="H214" s="42" t="n">
        <x:f aca="0">IF(H84=0,"n/m",H91/H84)</x:f>
        <x:v>0.2280930676582029</x:v>
      </x:c>
      <x:c r="I214" s="11" t="s">
        <x:v>278</x:v>
      </x:c>
    </x:row>
    <x:row r="215" ht="15" hidden="0">
      <x:c r="A215" s="193" t="s">
        <x:v>240</x:v>
      </x:c>
      <x:c r="B215" s="195" t="s">
        <x:v>359</x:v>
      </x:c>
      <x:c r="C215" s="30"/>
      <x:c r="D215" s="42" t="n">
        <x:f aca="0">IF(D84=0,"n/m",(D92+D93+D94)/D84)</x:f>
        <x:v>0.10501717569447117</x:v>
      </x:c>
      <x:c r="E215" s="42" t="n">
        <x:f aca="0">IF(E84=0,"n/m",(E92+E93+E94)/E84)</x:f>
        <x:v>0.0011665589645360385</x:v>
      </x:c>
      <x:c r="F215" s="42" t="n">
        <x:f aca="0">IF(F84=0,"n/m",(F92+F93+F94)/F84)</x:f>
        <x:v>0.002362390465418759</x:v>
      </x:c>
      <x:c r="G215" s="42" t="n">
        <x:f aca="0">IF(G84=0,"n/m",(G92+G93+G94)/G84)</x:f>
        <x:v>0.00535935916064245</x:v>
      </x:c>
      <x:c r="H215" s="42" t="n">
        <x:f aca="0">IF(H84=0,"n/m",(H92+H93+H94)/H84)</x:f>
        <x:v>0.13770516642243882</x:v>
      </x:c>
      <x:c r="I215" s="11" t="s">
        <x:v>278</x:v>
      </x:c>
    </x:row>
    <x:row r="216" ht="15" hidden="0">
      <x:c r="A216" s="193" t="s">
        <x:v>246</x:v>
      </x:c>
      <x:c r="B216" s="195" t="s">
        <x:v>360</x:v>
      </x:c>
      <x:c r="C216" s="30"/>
      <x:c r="D216" s="42" t="n">
        <x:f aca="0">IF(D84=0,"n/m",D95/D84)</x:f>
        <x:v>-0.04203718123722347</x:v>
      </x:c>
      <x:c r="E216" s="42" t="n">
        <x:f aca="0">IF(E84=0,"n/m",E95/E84)</x:f>
        <x:v>-0.035882925880997174</x:v>
      </x:c>
      <x:c r="F216" s="42" t="n">
        <x:f aca="0">IF(F84=0,"n/m",F95/F84)</x:f>
        <x:v>-0.04431311353851943</x:v>
      </x:c>
      <x:c r="G216" s="42" t="n">
        <x:f aca="0">IF(G84=0,"n/m",G95/G84)</x:f>
        <x:v>-0.062274488781043524</x:v>
      </x:c>
      <x:c r="H216" s="42" t="n">
        <x:f aca="0">IF(H84=0,"n/m",H95/H84)</x:f>
        <x:v>-0.05156167508185016</x:v>
      </x:c>
      <x:c r="I216" s="11" t="s">
        <x:v>278</x:v>
      </x:c>
    </x:row>
    <x:row r="217" ht="15" hidden="0">
      <x:c r="A217" s="193" t="s">
        <x:v>361</x:v>
      </x:c>
      <x:c r="B217" s="195" t="s">
        <x:v>362</x:v>
      </x:c>
      <x:c r="C217" s="30"/>
      <x:c r="D217" s="42" t="n">
        <x:f aca="0">IF(D84=0,"n/m",D96/D84)</x:f>
        <x:v>0.2051195694470593</x:v>
      </x:c>
      <x:c r="E217" s="42" t="n">
        <x:f aca="0">IF(E84=0,"n/m",E96/E84)</x:f>
        <x:v>0.1480537502950868</x:v>
      </x:c>
      <x:c r="F217" s="42" t="n">
        <x:f aca="0">IF(F84=0,"n/m",F96/F84)</x:f>
        <x:v>0.14902341365986083</x:v>
      </x:c>
      <x:c r="G217" s="42" t="n">
        <x:f aca="0">IF(G84=0,"n/m",G96/G84)</x:f>
        <x:v>0.1344037986438041</x:v>
      </x:c>
      <x:c r="H217" s="42" t="n">
        <x:f aca="0">IF(H84=0,"n/m",H96/H84)</x:f>
        <x:v>0.31423655899879155</x:v>
      </x:c>
      <x:c r="I217" s="11" t="s">
        <x:v>278</x:v>
      </x:c>
    </x:row>
    <x:row r="218" ht="15" hidden="0">
      <x:c r="A218" s="193" t="s">
        <x:v>363</x:v>
      </x:c>
      <x:c r="B218" s="195" t="s">
        <x:v>364</x:v>
      </x:c>
      <x:c r="C218" s="30"/>
      <x:c r="D218" s="42" t="n">
        <x:f aca="0">IF(D84=0,"n/m",-D110/D84)</x:f>
        <x:v>-0.029137352401849486</x:v>
      </x:c>
      <x:c r="E218" s="42" t="n">
        <x:f aca="0">IF(E84=0,"n/m",-E110/E84)</x:f>
        <x:v>-0.07331409135874965</x:v>
      </x:c>
      <x:c r="F218" s="42" t="n">
        <x:f aca="0">IF(F84=0,"n/m",-F110/F84)</x:f>
        <x:v>-0.07666497211070838</x:v>
      </x:c>
      <x:c r="G218" s="42" t="n">
        <x:f aca="0">IF(G84=0,"n/m",-G110/G84)</x:f>
        <x:v>-0.05506082343395903</x:v>
      </x:c>
      <x:c r="H218" s="42" t="n">
        <x:f aca="0">IF(H84=0,"n/m",-H110/H84)</x:f>
        <x:v>-0.06712646951922767</x:v>
      </x:c>
      <x:c r="I218" s="11" t="s">
        <x:v>278</x:v>
      </x:c>
    </x:row>
    <x:row r="219" ht="15" hidden="0">
      <x:c r="A219" s="193" t="s">
        <x:v>365</x:v>
      </x:c>
      <x:c r="B219" s="195" t="s">
        <x:v>366</x:v>
      </x:c>
      <x:c r="C219" s="30"/>
      <x:c r="D219" s="42" t="n">
        <x:f aca="0">IF(D84=0,"n/m",D99/D84)</x:f>
        <x:v>0.1759822170452098</x:v>
      </x:c>
      <x:c r="E219" s="42" t="n">
        <x:f aca="0">IF(E84=0,"n/m",E99/E84)</x:f>
        <x:v>0.07473965893633715</x:v>
      </x:c>
      <x:c r="F219" s="42" t="n">
        <x:f aca="0">IF(F84=0,"n/m",F99/F84)</x:f>
        <x:v>0.07235844154915244</x:v>
      </x:c>
      <x:c r="G219" s="42" t="n">
        <x:f aca="0">IF(G84=0,"n/m",G99/G84)</x:f>
        <x:v>0.07934297520984508</x:v>
      </x:c>
      <x:c r="H219" s="42" t="n">
        <x:f aca="0">IF(H84=0,"n/m",H99/H84)</x:f>
        <x:v>0.24711008947956384</x:v>
      </x:c>
      <x:c r="I219" s="11" t="s">
        <x:v>278</x:v>
      </x:c>
    </x:row>
    <x:row r="220" ht="15" hidden="0">
      <x:c r="A220" s="193"/>
      <x:c r="B220" s="195"/>
      <x:c r="C220" s="30"/>
      <x:c r="D220" s="42">
        <x:f aca="0"/>
      </x:c>
      <x:c r="E220" s="42">
        <x:f aca="0"/>
      </x:c>
      <x:c r="F220" s="42">
        <x:f aca="0"/>
      </x:c>
      <x:c r="G220" s="42">
        <x:f aca="0"/>
      </x:c>
      <x:c r="H220" s="42">
        <x:f aca="0"/>
      </x:c>
      <x:c r="I220" s="11" t="s">
        <x:v>278</x:v>
      </x:c>
    </x:row>
    <x:row r="221">
      <x:c r="A221" s="193"/>
      <x:c r="B221" s="193"/>
    </x:row>
    <x:row r="222" ht="15" hidden="0">
      <x:c r="A222" s="196" t="s">
        <x:v>367</x:v>
      </x:c>
      <x:c r="B222" s="197"/>
      <x:c r="C222" s="20"/>
      <x:c r="D222" s="20"/>
      <x:c r="E222" s="20"/>
      <x:c r="F222" s="20"/>
      <x:c r="G222" s="20"/>
      <x:c r="H222" s="20"/>
      <x:c r="I222" s="20"/>
      <x:c r="J222" s="20"/>
    </x:row>
    <x:row r="223" ht="15" hidden="0">
      <x:c r="A223" s="193" t="s">
        <x:v>368</x:v>
      </x:c>
      <x:c r="B223" s="195" t="s">
        <x:v>369</x:v>
      </x:c>
      <x:c r="C223" s="30"/>
      <x:c r="D223" s="43" t="s">
        <x:v>370</x:v>
      </x:c>
      <x:c r="E223" s="44" t="n">
        <x:f aca="0">E84-D84</x:f>
        <x:v>12981.321000000004</x:v>
      </x:c>
      <x:c r="F223" s="44" t="n">
        <x:f aca="0">F84-E84</x:f>
        <x:v>13555.636999999995</x:v>
      </x:c>
      <x:c r="G223" s="44" t="n">
        <x:f aca="0">G84-F84</x:f>
        <x:v>4377.089</x:v>
      </x:c>
      <x:c r="H223" s="44" t="n">
        <x:f aca="0">H84-G84</x:f>
        <x:v>2490.097999999998</x:v>
      </x:c>
      <x:c r="I223" s="11" t="s">
        <x:v>111</x:v>
      </x:c>
    </x:row>
    <x:row r="224" ht="15" hidden="0">
      <x:c r="A224" s="193" t="s">
        <x:v>371</x:v>
      </x:c>
      <x:c r="B224" s="195" t="s">
        <x:v>372</x:v>
      </x:c>
      <x:c r="C224" s="30"/>
      <x:c r="D224" s="43" t="str">
        <x:f>IF(OR(C84&lt;=0,D84&lt;C84),"n/m",D84/C84-1)</x:f>
        <x:v>n/m</x:v>
      </x:c>
      <x:c r="E224" s="42" t="n">
        <x:f aca="0">IF(OR(D84&lt;=0,E84&lt;D84),"n/m",E84/D84-1)</x:f>
        <x:v>0.3652769163050311</x:v>
      </x:c>
      <x:c r="F224" s="42" t="n">
        <x:f aca="0">IF(OR(E84&lt;=0,F84&lt;E84),"n/m",F84/E84-1)</x:f>
        <x:v>0.27938463741535324</x:v>
      </x:c>
      <x:c r="G224" s="42" t="n">
        <x:f aca="0">IF(OR(F84&lt;=0,G84&lt;F84),"n/m",G84/F84-1)</x:f>
        <x:v>0.0705126175953612</x:v>
      </x:c>
      <x:c r="H224" s="42" t="n">
        <x:f aca="0">IF(OR(G84&lt;=0,H84&lt;G84),"n/m",H84/G84-1)</x:f>
        <x:v>0.037471934024061904</x:v>
      </x:c>
      <x:c r="I224" s="11" t="s">
        <x:v>278</x:v>
      </x:c>
    </x:row>
    <x:row r="225" ht="15" hidden="0">
      <x:c r="A225" s="193" t="s">
        <x:v>373</x:v>
      </x:c>
      <x:c r="B225" s="195" t="s">
        <x:v>369</x:v>
      </x:c>
      <x:c r="C225" s="30"/>
      <x:c r="D225" s="43" t="s">
        <x:v>370</x:v>
      </x:c>
      <x:c r="E225" s="44" t="n">
        <x:f aca="0">E86-D86</x:f>
        <x:v>4872.584000000003</x:v>
      </x:c>
      <x:c r="F225" s="44" t="n">
        <x:f aca="0">F86-E86</x:f>
        <x:v>5897.886999999995</x:v>
      </x:c>
      <x:c r="G225" s="44" t="n">
        <x:f aca="0">G86-F86</x:f>
        <x:v>2790.931000000004</x:v>
      </x:c>
      <x:c r="H225" s="44" t="n">
        <x:f aca="0">H86-G86</x:f>
        <x:v>2782.5319999999992</x:v>
      </x:c>
      <x:c r="I225" s="11" t="s">
        <x:v>111</x:v>
      </x:c>
    </x:row>
    <x:row r="226" ht="15" hidden="0">
      <x:c r="A226" s="193" t="s">
        <x:v>374</x:v>
      </x:c>
      <x:c r="B226" s="195" t="s">
        <x:v>372</x:v>
      </x:c>
      <x:c r="C226" s="30"/>
      <x:c r="D226" s="43" t="str">
        <x:f>IF(OR(C86&lt;=0,D86&lt;C86),"n/m",D86/C86-1)</x:f>
        <x:v>n/m</x:v>
      </x:c>
      <x:c r="E226" s="42" t="n">
        <x:f aca="0">IF(OR(D86&lt;=0,E86&lt;D86),"n/m",E86/D86-1)</x:f>
        <x:v>0.6582009547092611</x:v>
      </x:c>
      <x:c r="F226" s="42" t="n">
        <x:f aca="0">IF(OR(E86&lt;=0,F86&lt;E86),"n/m",F86/E86-1)</x:f>
        <x:v>0.4804613527502739</x:v>
      </x:c>
      <x:c r="G226" s="42" t="n">
        <x:f aca="0">IF(OR(F86&lt;=0,G86&lt;F86),"n/m",G86/F86-1)</x:f>
        <x:v>0.15357270614839247</x:v>
      </x:c>
      <x:c r="H226" s="42" t="n">
        <x:f aca="0">IF(OR(G86&lt;=0,H86&lt;G86),"n/m",H86/G86-1)</x:f>
        <x:v>0.13272726127923096</x:v>
      </x:c>
      <x:c r="I226" s="11" t="s">
        <x:v>278</x:v>
      </x:c>
    </x:row>
    <x:row r="227" ht="15" hidden="0">
      <x:c r="A227" s="193" t="s">
        <x:v>375</x:v>
      </x:c>
      <x:c r="B227" s="195" t="s">
        <x:v>369</x:v>
      </x:c>
      <x:c r="C227" s="30"/>
      <x:c r="D227" s="43" t="s">
        <x:v>370</x:v>
      </x:c>
      <x:c r="E227" s="44" t="n">
        <x:f aca="0">E91-D91</x:f>
        <x:v>3816.5380000000023</x:v>
      </x:c>
      <x:c r="F227" s="44" t="n">
        <x:f aca="0">F91-E91</x:f>
        <x:v>2986.8319999999967</x:v>
      </x:c>
      <x:c r="G227" s="44" t="n">
        <x:f aca="0">G91-F91</x:f>
        <x:v>858.8230000000021</x:v>
      </x:c>
      <x:c r="H227" s="44" t="n">
        <x:f aca="0">H91-G91</x:f>
        <x:v>3011.7019999999993</x:v>
      </x:c>
      <x:c r="I227" s="11" t="s">
        <x:v>111</x:v>
      </x:c>
    </x:row>
    <x:row r="228" ht="15" hidden="0">
      <x:c r="A228" s="193" t="s">
        <x:v>376</x:v>
      </x:c>
      <x:c r="B228" s="195" t="s">
        <x:v>372</x:v>
      </x:c>
      <x:c r="C228" s="30"/>
      <x:c r="D228" s="43" t="str">
        <x:f>IF(OR(C91&lt;=0,D91&lt;C91),"n/m",D91/C91-1)</x:f>
        <x:v>n/m</x:v>
      </x:c>
      <x:c r="E228" s="42" t="n">
        <x:f aca="0">IF(OR(D91&lt;=0,E91&lt;D91),"n/m",E91/D91-1)</x:f>
        <x:v>0.7555407917687762</x:v>
      </x:c>
      <x:c r="F228" s="42" t="n">
        <x:f aca="0">IF(OR(E91&lt;=0,F91&lt;E91),"n/m",F91/E91-1)</x:f>
        <x:v>0.33681249652540335</x:v>
      </x:c>
      <x:c r="G228" s="42" t="n">
        <x:f aca="0">IF(OR(F91&lt;=0,G91&lt;F91),"n/m",G91/F91-1)</x:f>
        <x:v>0.07244535933175933</x:v>
      </x:c>
      <x:c r="H228" s="42" t="n">
        <x:f aca="0">IF(OR(G91&lt;=0,H91&lt;G91),"n/m",H91/G91-1)</x:f>
        <x:v>0.23688836325721319</x:v>
      </x:c>
      <x:c r="I228" s="11" t="s">
        <x:v>278</x:v>
      </x:c>
    </x:row>
    <x:row r="229" ht="15" hidden="0">
      <x:c r="A229" s="193"/>
      <x:c r="B229" s="195"/>
      <x:c r="C229" s="30"/>
      <x:c r="D229" s="43"/>
      <x:c r="E229" s="44">
        <x:f aca="0"/>
      </x:c>
      <x:c r="F229" s="44">
        <x:f aca="0"/>
      </x:c>
      <x:c r="G229" s="44">
        <x:f aca="0"/>
      </x:c>
      <x:c r="H229" s="44">
        <x:f aca="0"/>
      </x:c>
      <x:c r="I229" s="11" t="s">
        <x:v>111</x:v>
      </x:c>
    </x:row>
    <x:row r="230" ht="15" hidden="0">
      <x:c r="A230" s="193"/>
      <x:c r="B230" s="195"/>
      <x:c r="C230" s="30"/>
      <x:c r="D230" s="43"/>
      <x:c r="E230" s="42">
        <x:f aca="0"/>
      </x:c>
      <x:c r="F230" s="42">
        <x:f aca="0"/>
      </x:c>
      <x:c r="G230" s="42">
        <x:f aca="0"/>
      </x:c>
      <x:c r="H230" s="42">
        <x:f aca="0"/>
      </x:c>
      <x:c r="I230" s="11" t="s">
        <x:v>278</x:v>
      </x:c>
    </x:row>
    <x:row r="231" ht="15" hidden="0">
      <x:c r="A231" s="193" t="s">
        <x:v>377</x:v>
      </x:c>
      <x:c r="B231" s="195" t="s">
        <x:v>369</x:v>
      </x:c>
      <x:c r="C231" s="30"/>
      <x:c r="D231" s="43" t="s">
        <x:v>370</x:v>
      </x:c>
      <x:c r="E231" s="44" t="n">
        <x:f aca="0">E99-D99</x:f>
        <x:v>-2627.768999999996</x:v>
      </x:c>
      <x:c r="F231" s="44" t="n">
        <x:f aca="0">F99-E99</x:f>
        <x:v>865.3289999999984</x:v>
      </x:c>
      <x:c r="G231" s="44" t="n">
        <x:f aca="0">G99-F99</x:f>
        <x:v>780.8579999999993</x:v>
      </x:c>
      <x:c r="H231" s="44" t="n">
        <x:f aca="0">H99-G99</x:f>
        <x:v>11763.846999999998</x:v>
      </x:c>
      <x:c r="I231" s="11" t="s">
        <x:v>111</x:v>
      </x:c>
    </x:row>
    <x:row r="232" ht="15" hidden="0">
      <x:c r="A232" s="193" t="s">
        <x:v>378</x:v>
      </x:c>
      <x:c r="B232" s="195" t="s">
        <x:v>372</x:v>
      </x:c>
      <x:c r="C232" s="30"/>
      <x:c r="D232" s="43" t="str">
        <x:f>IF(OR(C99&lt;=0,D99&lt;C99),"n/m",D99/C99-1)</x:f>
        <x:v>n/m</x:v>
      </x:c>
      <x:c r="E232" s="42" t="str">
        <x:f aca="0">IF(OR(D99&lt;=0,E99&lt;D99),"n/m",E99/D99-1)</x:f>
        <x:v>n/m</x:v>
      </x:c>
      <x:c r="F232" s="42" t="n">
        <x:f aca="0">IF(OR(E99&lt;=0,F99&lt;E99),"n/m",F99/E99-1)</x:f>
        <x:v>0.2386232399609518</x:v>
      </x:c>
      <x:c r="G232" s="42" t="n">
        <x:f aca="0">IF(OR(F99&lt;=0,G99&lt;F99),"n/m",G99/F99-1)</x:f>
        <x:v>0.1738458466106918</x:v>
      </x:c>
      <x:c r="H232" s="42" t="n">
        <x:f aca="0">IF(OR(G99&lt;=0,H99&lt;G99),"n/m",H99/G99-1)</x:f>
        <x:v>2.231159176614933</x:v>
      </x:c>
      <x:c r="I232" s="11" t="s">
        <x:v>278</x:v>
      </x:c>
    </x:row>
    <x:row r="233" ht="15" hidden="0">
      <x:c r="A233" s="193" t="s">
        <x:v>379</x:v>
      </x:c>
      <x:c r="B233" s="195" t="s">
        <x:v>369</x:v>
      </x:c>
      <x:c r="C233" s="30"/>
      <x:c r="D233" s="43" t="s">
        <x:v>370</x:v>
      </x:c>
      <x:c r="E233" s="44" t="n">
        <x:f aca="0">E117-D117</x:f>
        <x:v>1778.1400000000003</x:v>
      </x:c>
      <x:c r="F233" s="44" t="n">
        <x:f aca="0">F117-E117</x:f>
        <x:v>11813.558</x:v>
      </x:c>
      <x:c r="G233" s="44" t="n">
        <x:f aca="0">G117-F117</x:f>
        <x:v>-10647.422</x:v>
      </x:c>
      <x:c r="H233" s="44" t="n">
        <x:f aca="0">H117-G117</x:f>
        <x:v>9820.393999999998</x:v>
      </x:c>
      <x:c r="I233" s="11" t="s">
        <x:v>111</x:v>
      </x:c>
    </x:row>
    <x:row r="234" ht="15" hidden="0">
      <x:c r="A234" s="193" t="s">
        <x:v>380</x:v>
      </x:c>
      <x:c r="B234" s="195" t="s">
        <x:v>372</x:v>
      </x:c>
      <x:c r="C234" s="30"/>
      <x:c r="D234" s="43" t="str">
        <x:f>IF(OR(C117&lt;=0,D117&lt;C117),"n/m",D117/C117-1)</x:f>
        <x:v>n/m</x:v>
      </x:c>
      <x:c r="E234" s="42" t="n">
        <x:f aca="0">IF(OR(D117&lt;=0,E117&lt;D117),"n/m",E117/D117-1)</x:f>
        <x:v>0.2713902557812029</x:v>
      </x:c>
      <x:c r="F234" s="42" t="n">
        <x:f aca="0">IF(OR(E117&lt;=0,F117&lt;E117),"n/m",F117/E117-1)</x:f>
        <x:v>1.4181760210283016</x:v>
      </x:c>
      <x:c r="G234" s="42" t="str">
        <x:f aca="0">IF(OR(F117&lt;=0,G117&lt;F117),"n/m",G117/F117-1)</x:f>
        <x:v>n/m</x:v>
      </x:c>
      <x:c r="H234" s="42" t="n">
        <x:f aca="0">IF(OR(G117&lt;=0,H117&lt;G117),"n/m",H117/G117-1)</x:f>
        <x:v>1.0341346572534</x:v>
      </x:c>
      <x:c r="I234" s="11" t="s">
        <x:v>278</x:v>
      </x:c>
    </x:row>
    <x:row r="235" ht="15" hidden="0">
      <x:c r="A235" s="193" t="s">
        <x:v>381</x:v>
      </x:c>
      <x:c r="B235" s="195" t="s">
        <x:v>369</x:v>
      </x:c>
      <x:c r="C235" s="30"/>
      <x:c r="D235" s="44" t="n">
        <x:f aca="0">D37-C37</x:f>
        <x:v>229.50699999998324</x:v>
      </x:c>
      <x:c r="E235" s="44" t="n">
        <x:f aca="0">E37-D37</x:f>
        <x:v>15974.932</x:v>
      </x:c>
      <x:c r="F235" s="44" t="n">
        <x:f aca="0">F37-E37</x:f>
        <x:v>7493.501000000018</x:v>
      </x:c>
      <x:c r="G235" s="44" t="n">
        <x:f aca="0">G37-F37</x:f>
        <x:v>9657.97099999999</x:v>
      </x:c>
      <x:c r="H235" s="44" t="n">
        <x:f aca="0">H37-G37</x:f>
        <x:v>19740.588999999978</x:v>
      </x:c>
      <x:c r="I235" s="11" t="s">
        <x:v>111</x:v>
      </x:c>
    </x:row>
    <x:row r="236" ht="15" hidden="0">
      <x:c r="A236" s="193" t="s">
        <x:v>382</x:v>
      </x:c>
      <x:c r="B236" s="195" t="s">
        <x:v>372</x:v>
      </x:c>
      <x:c r="C236" s="30"/>
      <x:c r="D236" s="42" t="n">
        <x:f aca="0">IF(OR(C37&lt;=0,D37&lt;C37),"n/m",D37/C37-1)</x:f>
        <x:v>0.0034768640539593054</x:v>
      </x:c>
      <x:c r="E236" s="42" t="n">
        <x:f aca="0">IF(OR(D37&lt;=0,E37&lt;D37),"n/m",E37/D37-1)</x:f>
        <x:v>0.24117008038644383</x:v>
      </x:c>
      <x:c r="F236" s="42" t="n">
        <x:f aca="0">IF(OR(E37&lt;=0,F37&lt;E37),"n/m",F37/E37-1)</x:f>
        <x:v>0.09114605613798421</x:v>
      </x:c>
      <x:c r="G236" s="42" t="n">
        <x:f aca="0">IF(OR(F37&lt;=0,G37&lt;F37),"n/m",G37/F37-1)</x:f>
        <x:v>0.10766043289188354</x:v>
      </x:c>
      <x:c r="H236" s="42" t="n">
        <x:f aca="0">IF(OR(G37&lt;=0,H37&lt;G37),"n/m",H37/G37-1)</x:f>
        <x:v>0.1986660646076981</x:v>
      </x:c>
      <x:c r="I236" s="11" t="s">
        <x:v>278</x:v>
      </x:c>
    </x:row>
    <x:row r="237" ht="15" hidden="0">
      <x:c r="A237" s="193" t="s">
        <x:v>383</x:v>
      </x:c>
      <x:c r="B237" s="195" t="s">
        <x:v>369</x:v>
      </x:c>
      <x:c r="C237" s="30"/>
      <x:c r="D237" s="44" t="n">
        <x:f aca="0">D41-C41</x:f>
        <x:v>6221.709999999999</x:v>
      </x:c>
      <x:c r="E237" s="44" t="n">
        <x:f aca="0">E41-D41</x:f>
        <x:v>3016.474000000002</x:v>
      </x:c>
      <x:c r="F237" s="44" t="n">
        <x:f aca="0">F41-E41</x:f>
        <x:v>4354.099000000002</x:v>
      </x:c>
      <x:c r="G237" s="44" t="n">
        <x:f aca="0">G41-F41</x:f>
        <x:v>7702.793999999994</x:v>
      </x:c>
      <x:c r="H237" s="44" t="n">
        <x:f aca="0">H41-G41</x:f>
        <x:v>18845.68400000001</x:v>
      </x:c>
      <x:c r="I237" s="11" t="s">
        <x:v>111</x:v>
      </x:c>
    </x:row>
    <x:row r="238" ht="15" hidden="0">
      <x:c r="A238" s="193" t="s">
        <x:v>384</x:v>
      </x:c>
      <x:c r="B238" s="195" t="s">
        <x:v>372</x:v>
      </x:c>
      <x:c r="C238" s="30"/>
      <x:c r="D238" s="42" t="n">
        <x:f aca="0">IF(OR(C41&lt;=0,D41&lt;C41),"n/m",D41/C41-1)</x:f>
        <x:v>0.19864447402433227</x:v>
      </x:c>
      <x:c r="E238" s="42" t="n">
        <x:f aca="0">IF(OR(D41&lt;=0,E41&lt;D41),"n/m",E41/D41-1)</x:f>
        <x:v>0.08034815757409719</x:v>
      </x:c>
      <x:c r="F238" s="42" t="n">
        <x:f aca="0">IF(OR(E41&lt;=0,F41&lt;E41),"n/m",F41/E41-1)</x:f>
        <x:v>0.10735218791679246</x:v>
      </x:c>
      <x:c r="G238" s="42" t="n">
        <x:f aca="0">IF(OR(F41&lt;=0,G41&lt;F41),"n/m",G41/F41-1)</x:f>
        <x:v>0.17150434058079322</x:v>
      </x:c>
      <x:c r="H238" s="42" t="n">
        <x:f aca="0">IF(OR(G41&lt;=0,H41&lt;G41),"n/m",H41/G41-1)</x:f>
        <x:v>0.3581746417832419</x:v>
      </x:c>
      <x:c r="I238" s="11" t="s">
        <x:v>278</x:v>
      </x:c>
    </x:row>
    <x:row r="239" ht="15" hidden="0">
      <x:c r="A239" s="193" t="s">
        <x:v>385</x:v>
      </x:c>
      <x:c r="B239" s="195" t="s">
        <x:v>369</x:v>
      </x:c>
      <x:c r="C239" s="30"/>
      <x:c r="D239" s="44" t="n">
        <x:f aca="0">D66-C66</x:f>
        <x:v>-5704.938000000002</x:v>
      </x:c>
      <x:c r="E239" s="44" t="n">
        <x:f aca="0">E66-D66</x:f>
        <x:v>8738.237999999998</x:v>
      </x:c>
      <x:c r="F239" s="44" t="n">
        <x:f aca="0">F66-E66</x:f>
        <x:v>-5099.310999999994</x:v>
      </x:c>
      <x:c r="G239" s="44" t="n">
        <x:f aca="0">G66-F66</x:f>
        <x:v>-487.02000000000044</x:v>
      </x:c>
      <x:c r="H239" s="44" t="n">
        <x:f aca="0">H66-G66</x:f>
        <x:v>-4807.313000000002</x:v>
      </x:c>
      <x:c r="I239" s="11" t="s">
        <x:v>111</x:v>
      </x:c>
    </x:row>
    <x:row r="240" ht="15" hidden="0">
      <x:c r="A240" s="193" t="s">
        <x:v>386</x:v>
      </x:c>
      <x:c r="B240" s="195" t="s">
        <x:v>372</x:v>
      </x:c>
      <x:c r="C240" s="30"/>
      <x:c r="D240" s="42" t="str">
        <x:f aca="0">IF(OR(C66&lt;=0,D66&lt;C66),"n/m",D66/C66-1)</x:f>
        <x:v>n/m</x:v>
      </x:c>
      <x:c r="E240" s="42" t="n">
        <x:f aca="0">IF(OR(D66&lt;=0,E66&lt;D66),"n/m",E66/D66-1)</x:f>
        <x:v>0.5382187747374945</x:v>
      </x:c>
      <x:c r="F240" s="42" t="str">
        <x:f aca="0">IF(OR(E66&lt;=0,F66&lt;E66),"n/m",F66/E66-1)</x:f>
        <x:v>n/m</x:v>
      </x:c>
      <x:c r="G240" s="42" t="str">
        <x:f aca="0">IF(OR(F66&lt;=0,G66&lt;F66),"n/m",G66/F66-1)</x:f>
        <x:v>n/m</x:v>
      </x:c>
      <x:c r="H240" s="42" t="str">
        <x:f aca="0">IF(OR(G66&lt;=0,H66&lt;G66),"n/m",H66/G66-1)</x:f>
        <x:v>n/m</x:v>
      </x:c>
      <x:c r="I240" s="11" t="s">
        <x:v>278</x:v>
      </x:c>
    </x:row>
    <x:row r="241" ht="15" hidden="0">
      <x:c r="A241" s="193" t="s">
        <x:v>387</x:v>
      </x:c>
      <x:c r="B241" s="195" t="s">
        <x:v>369</x:v>
      </x:c>
      <x:c r="C241" s="30"/>
      <x:c r="D241" s="44" t="n">
        <x:f aca="0">D65-C65</x:f>
        <x:v>1713.8860000000004</x:v>
      </x:c>
      <x:c r="E241" s="44" t="n">
        <x:f aca="0">E65-D65</x:f>
        <x:v>3660.3259999999973</x:v>
      </x:c>
      <x:c r="F241" s="44" t="n">
        <x:f aca="0">F65-E65</x:f>
        <x:v>-1748.7659999999996</x:v>
      </x:c>
      <x:c r="G241" s="44" t="n">
        <x:f aca="0">G65-F65</x:f>
        <x:v>1733.3810000000012</x:v>
      </x:c>
      <x:c r="H241" s="44" t="n">
        <x:f aca="0">H65-G65</x:f>
        <x:v>1370.4599999999991</x:v>
      </x:c>
      <x:c r="I241" s="11" t="s">
        <x:v>111</x:v>
      </x:c>
    </x:row>
    <x:row r="242" ht="15" hidden="0">
      <x:c r="A242" s="193" t="s">
        <x:v>388</x:v>
      </x:c>
      <x:c r="B242" s="195" t="s">
        <x:v>372</x:v>
      </x:c>
      <x:c r="C242" s="30"/>
      <x:c r="D242" s="42" t="n">
        <x:f aca="0">IF(OR(C65&lt;=0,D65&lt;C65),"n/m",D65/C65-1)</x:f>
        <x:v>0.16844065275978992</x:v>
      </x:c>
      <x:c r="E242" s="42" t="n">
        <x:f aca="0">IF(OR(D65&lt;=0,E65&lt;D65),"n/m",E65/D65-1)</x:f>
        <x:v>0.30787760011439214</x:v>
      </x:c>
      <x:c r="F242" s="42" t="str">
        <x:f aca="0">IF(OR(E65&lt;=0,F65&lt;E65),"n/m",F65/E65-1)</x:f>
        <x:v>n/m</x:v>
      </x:c>
      <x:c r="G242" s="42" t="n">
        <x:f aca="0">IF(OR(F65&lt;=0,G65&lt;F65),"n/m",G65/F65-1)</x:f>
        <x:v>0.1256031320695108</x:v>
      </x:c>
      <x:c r="H242" s="42" t="n">
        <x:f aca="0">IF(OR(G65&lt;=0,H65&lt;G65),"n/m",H65/G65-1)</x:f>
        <x:v>0.08822415524917493</x:v>
      </x:c>
      <x:c r="I242" s="11" t="s">
        <x:v>278</x:v>
      </x:c>
    </x:row>
    <x:row r="243" ht="15" hidden="0">
      <x:c r="A243" s="193" t="s">
        <x:v>389</x:v>
      </x:c>
      <x:c r="B243" s="195" t="s">
        <x:v>369</x:v>
      </x:c>
      <x:c r="C243" s="30"/>
      <x:c r="D243" s="44" t="n">
        <x:f aca="0">D32-C32</x:f>
        <x:v>-1372.4260000000002</x:v>
      </x:c>
      <x:c r="E243" s="44" t="n">
        <x:f aca="0">E32-D32</x:f>
        <x:v>386.50800000000004</x:v>
      </x:c>
      <x:c r="F243" s="44" t="n">
        <x:f aca="0">F32-E32</x:f>
        <x:v>534.7730000000001</x:v>
      </x:c>
      <x:c r="G243" s="44" t="n">
        <x:f aca="0">G32-F32</x:f>
        <x:v>1587.7599999999998</x:v>
      </x:c>
      <x:c r="H243" s="44" t="n">
        <x:f aca="0">H32-G32</x:f>
        <x:v>421.4369999999999</x:v>
      </x:c>
      <x:c r="I243" s="11" t="s">
        <x:v>111</x:v>
      </x:c>
    </x:row>
    <x:row r="244" ht="15" hidden="0">
      <x:c r="A244" s="193" t="s">
        <x:v>390</x:v>
      </x:c>
      <x:c r="B244" s="195" t="s">
        <x:v>372</x:v>
      </x:c>
      <x:c r="C244" s="30"/>
      <x:c r="D244" s="42" t="str">
        <x:f aca="0">IF(OR(C32&lt;=0,D32&lt;C32),"n/m",D32/C32-1)</x:f>
        <x:v>n/m</x:v>
      </x:c>
      <x:c r="E244" s="42" t="n">
        <x:f aca="0">IF(OR(D32&lt;=0,E32&lt;D32),"n/m",E32/D32-1)</x:f>
        <x:v>0.23010482799350362</x:v>
      </x:c>
      <x:c r="F244" s="42" t="n">
        <x:f aca="0">IF(OR(E32&lt;=0,F32&lt;E32),"n/m",F32/E32-1)</x:f>
        <x:v>0.25881806900743975</x:v>
      </x:c>
      <x:c r="G244" s="42" t="n">
        <x:f aca="0">IF(OR(F32&lt;=0,G32&lt;F32),"n/m",G32/F32-1)</x:f>
        <x:v>0.6104456580872246</x:v>
      </x:c>
      <x:c r="H244" s="42" t="n">
        <x:f aca="0">IF(OR(G32&lt;=0,H32&lt;G32),"n/m",H32/G32-1)</x:f>
        <x:v>0.1006117584145132</x:v>
      </x:c>
      <x:c r="I244" s="11" t="s">
        <x:v>278</x:v>
      </x:c>
    </x:row>
    <x:row r="245" ht="15" hidden="0">
      <x:c r="A245" s="193" t="s">
        <x:v>391</x:v>
      </x:c>
      <x:c r="B245" s="195" t="s">
        <x:v>369</x:v>
      </x:c>
      <x:c r="C245" s="30"/>
      <x:c r="D245" s="44" t="n">
        <x:f aca="0">D34-C34</x:f>
        <x:v>-555.9380000000001</x:v>
      </x:c>
      <x:c r="E245" s="44" t="n">
        <x:f aca="0">E34-D34</x:f>
        <x:v>303.247</x:v>
      </x:c>
      <x:c r="F245" s="44" t="n">
        <x:f aca="0">F34-E34</x:f>
        <x:v>-52.86900000000003</x:v>
      </x:c>
      <x:c r="G245" s="44" t="n">
        <x:f aca="0">G34-F34</x:f>
        <x:v>392.70500000000004</x:v>
      </x:c>
      <x:c r="H245" s="44" t="n">
        <x:f aca="0">H34-G34</x:f>
        <x:v>482.06899999999996</x:v>
      </x:c>
      <x:c r="I245" s="11" t="s">
        <x:v>111</x:v>
      </x:c>
    </x:row>
    <x:row r="246" ht="15" hidden="0">
      <x:c r="A246" s="193" t="s">
        <x:v>392</x:v>
      </x:c>
      <x:c r="B246" s="195" t="s">
        <x:v>372</x:v>
      </x:c>
      <x:c r="C246" s="30"/>
      <x:c r="D246" s="42" t="str">
        <x:f aca="0">IF(OR(C34&lt;=0,D34&lt;C34),"n/m",D34/C34-1)</x:f>
        <x:v>n/m</x:v>
      </x:c>
      <x:c r="E246" s="42" t="n">
        <x:f aca="0">IF(OR(D34&lt;=0,E34&lt;D34),"n/m",E34/D34-1)</x:f>
        <x:v>0.618456179422388</x:v>
      </x:c>
      <x:c r="F246" s="42" t="str">
        <x:f aca="0">IF(OR(E34&lt;=0,F34&lt;E34),"n/m",F34/E34-1)</x:f>
        <x:v>n/m</x:v>
      </x:c>
      <x:c r="G246" s="42" t="n">
        <x:f aca="0">IF(OR(F34&lt;=0,G34&lt;F34),"n/m",G34/F34-1)</x:f>
        <x:v>0.5301758995122228</x:v>
      </x:c>
      <x:c r="H246" s="42" t="n">
        <x:f aca="0">IF(OR(G34&lt;=0,H34&lt;G34),"n/m",H34/G34-1)</x:f>
        <x:v>0.4253254774080386</x:v>
      </x:c>
      <x:c r="I246" s="11" t="s">
        <x:v>278</x:v>
      </x:c>
    </x:row>
    <x:row r="247">
      <x:c r="A247" s="193"/>
      <x:c r="B247" s="193"/>
    </x:row>
    <x:row r="248" ht="15" hidden="0">
      <x:c r="A248" s="196" t="s">
        <x:v>393</x:v>
      </x:c>
      <x:c r="B248" s="197"/>
      <x:c r="C248" s="20"/>
      <x:c r="D248" s="20"/>
      <x:c r="E248" s="20"/>
      <x:c r="F248" s="20"/>
      <x:c r="G248" s="20"/>
      <x:c r="H248" s="20"/>
      <x:c r="I248" s="20"/>
      <x:c r="J248" s="20"/>
    </x:row>
    <x:row r="249">
      <x:c r="A249" s="193"/>
      <x:c r="B249" s="193"/>
    </x:row>
    <x:row r="250" ht="22" hidden="0" customHeight="1">
      <x:c r="A250" s="204" t="str">
        <x:v>Financing classification (PKR million)</x:v>
      </x:c>
      <x:c r="B250" s="204"/>
      <x:c r="C250" s="129"/>
      <x:c r="D250" s="129"/>
      <x:c r="E250" s="129"/>
      <x:c r="F250" s="129"/>
      <x:c r="G250" s="129"/>
      <x:c r="H250" s="129"/>
      <x:c r="I250"/>
      <x:c r="J250"/>
    </x:row>
    <x:row r="251" ht="15" hidden="0">
      <x:c r="A251" s="193" t="str">
        <x:v>Interest-free parent loan excluded from IBD</x:v>
      </x:c>
      <x:c r="B251" s="193"/>
      <x:c r="C251" s="136" t="n">
        <x:v>0</x:v>
      </x:c>
      <x:c r="D251" s="136" t="n">
        <x:v>0</x:v>
      </x:c>
      <x:c r="E251" s="136" t="n">
        <x:v>0</x:v>
      </x:c>
      <x:c r="F251" s="136" t="n">
        <x:v>0</x:v>
      </x:c>
      <x:c r="G251" s="136" t="n">
        <x:v>0</x:v>
      </x:c>
      <x:c r="H251" s="136" t="n">
        <x:v>0</x:v>
      </x:c>
    </x:row>
    <x:row r="252" ht="15" hidden="0">
      <x:c r="A252" s="193" t="str">
        <x:v>Accrued interest within financing balances</x:v>
      </x:c>
      <x:c r="B252" s="193"/>
      <x:c r="C252" s="136" t="n">
        <x:v>0</x:v>
      </x:c>
      <x:c r="D252" s="136" t="n">
        <x:v>0</x:v>
      </x:c>
      <x:c r="E252" s="136" t="n">
        <x:v>0</x:v>
      </x:c>
      <x:c r="F252" s="136" t="n">
        <x:v>0</x:v>
      </x:c>
      <x:c r="G252" s="136" t="n">
        <x:v>0</x:v>
      </x:c>
      <x:c r="H252" s="136" t="n">
        <x:v>0</x:v>
      </x:c>
      <x:c r="I252"/>
      <x:c r="J252"/>
    </x:row>
    <x:row r="253" ht="15" hidden="0">
      <x:c r="A253" s="193" t="str">
        <x:v>Related operating supplier payable (included above)</x:v>
      </x:c>
      <x:c r="B253" s="193"/>
      <x:c r="C253" s="136" t="n">
        <x:v>287.259</x:v>
      </x:c>
      <x:c r="D253" s="136" t="n">
        <x:f aca="0"/>
        <x:v>61.224</x:v>
      </x:c>
      <x:c r="E253" s="136" t="n">
        <x:f aca="0"/>
        <x:v>132.595</x:v>
      </x:c>
      <x:c r="F253" s="136" t="n">
        <x:f aca="0"/>
        <x:v>1871.865</x:v>
      </x:c>
      <x:c r="G253" s="136" t="n">
        <x:f aca="0"/>
        <x:v>821.425</x:v>
      </x:c>
      <x:c r="H253" s="136" t="n">
        <x:f aca="0"/>
        <x:v>1452.981</x:v>
      </x:c>
      <x:c r="J253"/>
    </x:row>
    <x:row r="254" ht="15" hidden="0">
      <x:c r="A254" s="193" t="str">
        <x:v>Contractors bills (published-convention reconstruction)</x:v>
      </x:c>
      <x:c r="B254" s="193"/>
      <x:c r="C254" s="136" t="n">
        <x:v>0</x:v>
      </x:c>
      <x:c r="D254" s="136" t="n">
        <x:v>0</x:v>
      </x:c>
      <x:c r="E254" s="136" t="n">
        <x:v>0</x:v>
      </x:c>
      <x:c r="F254" s="136" t="n">
        <x:v>0</x:v>
      </x:c>
      <x:c r="G254" s="136" t="n">
        <x:v>0</x:v>
      </x:c>
      <x:c r="H254" s="136" t="n">
        <x:v>0</x:v>
      </x:c>
    </x:row>
    <x:row r="255" ht="15" hidden="0">
      <x:c r="A255" s="193" t="str">
        <x:v>Bank interest (published coverage reconstruction)</x:v>
      </x:c>
      <x:c r="B255" s="193"/>
      <x:c r="C255" s="136" t="n">
        <x:v>0</x:v>
      </x:c>
      <x:c r="D255" s="136" t="n">
        <x:f aca="0"/>
        <x:v>0</x:v>
      </x:c>
      <x:c r="E255" s="136" t="n">
        <x:f aca="0"/>
        <x:v>0</x:v>
      </x:c>
      <x:c r="F255" s="136" t="n">
        <x:f aca="0"/>
        <x:v>0</x:v>
      </x:c>
      <x:c r="G255" s="136" t="n">
        <x:f aca="0"/>
        <x:v>0</x:v>
      </x:c>
      <x:c r="H255" s="136" t="n">
        <x:f aca="0"/>
        <x:v>0</x:v>
      </x:c>
    </x:row>
    <x:row r="256" ht="15" hidden="0">
      <x:c r="A256" s="193" t="str">
        <x:v>Gross on-demand parent loan (published liquidity)</x:v>
      </x:c>
      <x:c r="B256" s="193"/>
      <x:c r="C256" s="136" t="n">
        <x:v>0</x:v>
      </x:c>
      <x:c r="D256" s="136" t="n">
        <x:f aca="0"/>
        <x:v>0</x:v>
      </x:c>
      <x:c r="E256" s="136" t="n">
        <x:f aca="0"/>
        <x:v>0</x:v>
      </x:c>
      <x:c r="F256" s="136" t="n">
        <x:f aca="0"/>
        <x:v>0</x:v>
      </x:c>
      <x:c r="G256" s="136" t="n">
        <x:f aca="0"/>
        <x:v>0</x:v>
      </x:c>
      <x:c r="H256" s="136" t="n">
        <x:f aca="0"/>
        <x:v>0</x:v>
      </x:c>
    </x:row>
    <x:row r="257" ht="15" hidden="0">
      <x:c r="A257" s="193" t="str">
        <x:v>Cash equivalents (published cash-ratio reconstruction)</x:v>
      </x:c>
      <x:c r="B257" s="193"/>
      <x:c r="C257" s="136" t="n">
        <x:v>0</x:v>
      </x:c>
      <x:c r="D257" s="136" t="n">
        <x:f aca="0"/>
        <x:v>0</x:v>
      </x:c>
      <x:c r="E257" s="136" t="n">
        <x:f aca="0"/>
        <x:v>0</x:v>
      </x:c>
      <x:c r="F257" s="136" t="n">
        <x:f aca="0"/>
        <x:v>0</x:v>
      </x:c>
      <x:c r="G257" s="136" t="n">
        <x:f aca="0"/>
        <x:v>0</x:v>
      </x:c>
      <x:c r="H257" s="136" t="n">
        <x:f aca="0"/>
        <x:v>0</x:v>
      </x:c>
      <x:c r="J257"/>
    </x:row>
    <x:row r="258" ht="15" hidden="0">
      <x:c r="A258" s="193"/>
      <x:c r="B258" s="193"/>
      <x:c r="D258"/>
      <x:c r="E258"/>
      <x:c r="F258"/>
      <x:c r="G258"/>
      <x:c r="H258"/>
    </x:row>
    <x:row r="259" ht="15" hidden="0">
      <x:c r="A259" s="193"/>
      <x:c r="B259" s="193"/>
      <x:c r="D259">
        <x:f aca="0"/>
      </x:c>
      <x:c r="E259">
        <x:f aca="0"/>
      </x:c>
      <x:c r="F259">
        <x:f aca="0"/>
      </x:c>
      <x:c r="G259">
        <x:f aca="0"/>
      </x:c>
      <x:c r="H259">
        <x:f aca="0"/>
      </x:c>
    </x:row>
    <x:row r="260" ht="15" hidden="0">
      <x:c r="A260" s="206" t="str">
        <x:v>Sources: KOHC FY2025 note 6.1 (PDF p89); FCCL FY2025 note 11 (PDF p268), FY2024 note 10; MLCF trade-payable and related-party notes.</x:v>
      </x:c>
      <x:c r="B260" s="206"/>
      <x:c r="C260" s="135"/>
      <x:c r="D260" s="135">
        <x:f aca="0"/>
      </x:c>
      <x:c r="E260" s="135">
        <x:f aca="0"/>
      </x:c>
      <x:c r="F260" s="135">
        <x:f aca="0"/>
      </x:c>
      <x:c r="G260" s="135">
        <x:f aca="0"/>
      </x:c>
      <x:c r="H260" s="135">
        <x:f aca="0"/>
      </x:c>
    </x:row>
    <x:row r="261" ht="15" hidden="0">
      <x:c r="A261" s="193"/>
      <x:c r="B261" s="193"/>
      <x:c r="D261">
        <x:f aca="0"/>
      </x:c>
      <x:c r="E261">
        <x:f aca="0"/>
      </x:c>
      <x:c r="F261">
        <x:f aca="0"/>
      </x:c>
      <x:c r="G261">
        <x:f aca="0"/>
      </x:c>
      <x:c r="H261">
        <x:f aca="0"/>
      </x:c>
      <x:c r="J261"/>
    </x:row>
    <x:row r="262" ht="15" hidden="0">
      <x:c r="A262" s="193"/>
      <x:c r="B262" s="193"/>
      <x:c r="D262"/>
      <x:c r="E262"/>
      <x:c r="F262"/>
      <x:c r="G262"/>
      <x:c r="H262"/>
    </x:row>
    <x:row r="263" ht="15" hidden="0">
      <x:c r="A263" s="193"/>
      <x:c r="B263" s="193"/>
      <x:c r="D263">
        <x:f aca="0"/>
      </x:c>
      <x:c r="E263">
        <x:f aca="0"/>
      </x:c>
      <x:c r="F263">
        <x:f aca="0"/>
      </x:c>
      <x:c r="G263">
        <x:f aca="0"/>
      </x:c>
      <x:c r="H263">
        <x:f aca="0"/>
      </x:c>
    </x:row>
    <x:row r="264" ht="15" hidden="0">
      <x:c r="A264" s="193"/>
      <x:c r="B264" s="193"/>
      <x:c r="D264">
        <x:f aca="0"/>
      </x:c>
      <x:c r="E264">
        <x:f aca="0"/>
      </x:c>
      <x:c r="F264">
        <x:f aca="0"/>
      </x:c>
      <x:c r="G264">
        <x:f aca="0"/>
      </x:c>
      <x:c r="H264">
        <x:f aca="0"/>
      </x:c>
    </x:row>
    <x:row r="265" ht="15" hidden="0">
      <x:c r="A265" s="193"/>
      <x:c r="B265" s="193"/>
      <x:c r="D265">
        <x:f aca="0"/>
      </x:c>
      <x:c r="E265">
        <x:f aca="0"/>
      </x:c>
      <x:c r="F265">
        <x:f aca="0"/>
      </x:c>
      <x:c r="G265">
        <x:f aca="0"/>
      </x:c>
      <x:c r="H265">
        <x:f aca="0"/>
      </x:c>
      <x:c r="J265"/>
    </x:row>
    <x:row r="266" ht="15" hidden="0">
      <x:c r="A266" s="193"/>
      <x:c r="B266" s="193"/>
      <x:c r="D266"/>
      <x:c r="E266"/>
      <x:c r="F266"/>
      <x:c r="G266"/>
      <x:c r="H266"/>
    </x:row>
    <x:row r="267" ht="15" hidden="0">
      <x:c r="A267" s="193"/>
      <x:c r="B267" s="193"/>
      <x:c r="D267">
        <x:f aca="0"/>
      </x:c>
      <x:c r="E267">
        <x:f aca="0"/>
      </x:c>
      <x:c r="F267">
        <x:f aca="0"/>
      </x:c>
      <x:c r="G267">
        <x:f aca="0"/>
      </x:c>
      <x:c r="H267">
        <x:f aca="0"/>
      </x:c>
    </x:row>
    <x:row r="268" ht="15" hidden="0">
      <x:c r="A268" s="193"/>
      <x:c r="B268" s="193"/>
      <x:c r="D268">
        <x:f aca="0"/>
      </x:c>
      <x:c r="E268">
        <x:f aca="0"/>
      </x:c>
      <x:c r="F268">
        <x:f aca="0"/>
      </x:c>
      <x:c r="G268">
        <x:f aca="0"/>
      </x:c>
      <x:c r="H268">
        <x:f aca="0"/>
      </x:c>
    </x:row>
    <x:row r="269" ht="15" hidden="0">
      <x:c r="A269" s="193"/>
      <x:c r="B269" s="193"/>
      <x:c r="D269">
        <x:f aca="0"/>
      </x:c>
      <x:c r="E269">
        <x:f aca="0"/>
      </x:c>
      <x:c r="F269">
        <x:f aca="0"/>
      </x:c>
      <x:c r="G269">
        <x:f aca="0"/>
      </x:c>
      <x:c r="H269">
        <x:f aca="0"/>
      </x:c>
      <x:c r="J269"/>
    </x:row>
    <x:row r="270" ht="15" hidden="0">
      <x:c r="A270" s="193"/>
      <x:c r="B270" s="193"/>
      <x:c r="D270"/>
      <x:c r="E270"/>
      <x:c r="F270"/>
      <x:c r="G270"/>
      <x:c r="H270"/>
    </x:row>
    <x:row r="271" ht="15" hidden="0">
      <x:c r="A271" s="193"/>
      <x:c r="B271" s="193"/>
      <x:c r="D271">
        <x:f aca="0"/>
      </x:c>
      <x:c r="E271">
        <x:f aca="0"/>
      </x:c>
      <x:c r="F271">
        <x:f aca="0"/>
      </x:c>
      <x:c r="G271">
        <x:f aca="0"/>
      </x:c>
      <x:c r="H271">
        <x:f aca="0"/>
      </x:c>
    </x:row>
    <x:row r="272" ht="15" hidden="0">
      <x:c r="A272" s="193"/>
      <x:c r="B272" s="193"/>
      <x:c r="D272">
        <x:f aca="0"/>
      </x:c>
      <x:c r="E272">
        <x:f aca="0"/>
      </x:c>
      <x:c r="F272">
        <x:f aca="0"/>
      </x:c>
      <x:c r="G272">
        <x:f aca="0"/>
      </x:c>
      <x:c r="H272">
        <x:f aca="0"/>
      </x:c>
    </x:row>
    <x:row r="273" ht="15" hidden="0">
      <x:c r="A273" s="193"/>
      <x:c r="B273" s="193"/>
      <x:c r="D273">
        <x:f aca="0"/>
      </x:c>
      <x:c r="E273">
        <x:f aca="0"/>
      </x:c>
      <x:c r="F273">
        <x:f aca="0"/>
      </x:c>
      <x:c r="G273">
        <x:f aca="0"/>
      </x:c>
      <x:c r="H273">
        <x:f aca="0"/>
      </x:c>
      <x:c r="J273"/>
    </x:row>
    <x:row r="274" ht="15" hidden="0">
      <x:c r="A274" s="193"/>
      <x:c r="B274" s="193"/>
      <x:c r="D274"/>
      <x:c r="E274"/>
      <x:c r="F274"/>
      <x:c r="G274"/>
      <x:c r="H274"/>
    </x:row>
    <x:row r="275" ht="15" hidden="0">
      <x:c r="A275" s="193"/>
      <x:c r="B275" s="193"/>
      <x:c r="D275">
        <x:f aca="0"/>
      </x:c>
      <x:c r="E275">
        <x:f aca="0"/>
      </x:c>
      <x:c r="F275">
        <x:f aca="0"/>
      </x:c>
      <x:c r="G275">
        <x:f aca="0"/>
      </x:c>
      <x:c r="H275">
        <x:f aca="0"/>
      </x:c>
    </x:row>
    <x:row r="276" ht="15" hidden="0">
      <x:c r="A276" s="193"/>
      <x:c r="B276" s="193"/>
      <x:c r="D276">
        <x:f aca="0"/>
      </x:c>
      <x:c r="E276">
        <x:f aca="0"/>
      </x:c>
      <x:c r="F276">
        <x:f aca="0"/>
      </x:c>
      <x:c r="G276">
        <x:f aca="0"/>
      </x:c>
      <x:c r="H276">
        <x:f aca="0"/>
      </x:c>
    </x:row>
    <x:row r="277" ht="15" hidden="0">
      <x:c r="A277" s="193"/>
      <x:c r="B277" s="193"/>
      <x:c r="D277">
        <x:f aca="0"/>
      </x:c>
      <x:c r="E277">
        <x:f aca="0"/>
      </x:c>
      <x:c r="F277">
        <x:f aca="0"/>
      </x:c>
      <x:c r="G277">
        <x:f aca="0"/>
      </x:c>
      <x:c r="H277">
        <x:f aca="0"/>
      </x:c>
      <x:c r="J277"/>
    </x:row>
    <x:row r="278" ht="15" hidden="0">
      <x:c r="A278" s="193"/>
      <x:c r="B278" s="193"/>
      <x:c r="D278"/>
      <x:c r="E278"/>
      <x:c r="F278"/>
      <x:c r="G278"/>
      <x:c r="H278"/>
    </x:row>
    <x:row r="279" ht="15" hidden="0">
      <x:c r="A279" s="193"/>
      <x:c r="B279" s="193"/>
      <x:c r="D279">
        <x:f aca="0"/>
      </x:c>
      <x:c r="E279">
        <x:f aca="0"/>
      </x:c>
      <x:c r="F279">
        <x:f aca="0"/>
      </x:c>
      <x:c r="G279">
        <x:f aca="0"/>
      </x:c>
      <x:c r="H279">
        <x:f aca="0"/>
      </x:c>
    </x:row>
    <x:row r="280" ht="15" hidden="0">
      <x:c r="A280" s="193"/>
      <x:c r="B280" s="193"/>
      <x:c r="D280">
        <x:f aca="0"/>
      </x:c>
      <x:c r="E280">
        <x:f aca="0"/>
      </x:c>
      <x:c r="F280">
        <x:f aca="0"/>
      </x:c>
      <x:c r="G280">
        <x:f aca="0"/>
      </x:c>
      <x:c r="H280">
        <x:f aca="0"/>
      </x:c>
    </x:row>
    <x:row r="281" ht="15" hidden="0">
      <x:c r="A281" s="193"/>
      <x:c r="B281" s="193"/>
      <x:c r="D281">
        <x:f aca="0"/>
      </x:c>
      <x:c r="E281">
        <x:f aca="0"/>
      </x:c>
      <x:c r="F281">
        <x:f aca="0"/>
      </x:c>
      <x:c r="G281">
        <x:f aca="0"/>
      </x:c>
      <x:c r="H281">
        <x:f aca="0"/>
      </x:c>
      <x:c r="J281"/>
    </x:row>
    <x:row r="282" ht="15" hidden="0">
      <x:c r="A282" s="193"/>
      <x:c r="B282" s="193"/>
      <x:c r="D282"/>
      <x:c r="E282"/>
      <x:c r="F282"/>
      <x:c r="G282"/>
      <x:c r="H282"/>
    </x:row>
    <x:row r="283" ht="15" hidden="0">
      <x:c r="A283" s="193"/>
      <x:c r="B283" s="193"/>
      <x:c r="D283">
        <x:f aca="0"/>
      </x:c>
      <x:c r="E283">
        <x:f aca="0"/>
      </x:c>
      <x:c r="F283">
        <x:f aca="0"/>
      </x:c>
      <x:c r="G283">
        <x:f aca="0"/>
      </x:c>
      <x:c r="H283">
        <x:f aca="0"/>
      </x:c>
    </x:row>
    <x:row r="284" ht="15" hidden="0">
      <x:c r="A284" s="193"/>
      <x:c r="B284" s="193"/>
      <x:c r="D284">
        <x:f aca="0"/>
      </x:c>
      <x:c r="E284">
        <x:f aca="0"/>
      </x:c>
      <x:c r="F284">
        <x:f aca="0"/>
      </x:c>
      <x:c r="G284">
        <x:f aca="0"/>
      </x:c>
      <x:c r="H284">
        <x:f aca="0"/>
      </x:c>
    </x:row>
    <x:row r="285" ht="15" hidden="0">
      <x:c r="A285" s="193"/>
      <x:c r="B285" s="193"/>
      <x:c r="D285">
        <x:f aca="0"/>
      </x:c>
      <x:c r="E285">
        <x:f aca="0"/>
      </x:c>
      <x:c r="F285">
        <x:f aca="0"/>
      </x:c>
      <x:c r="G285">
        <x:f aca="0"/>
      </x:c>
      <x:c r="H285">
        <x:f aca="0"/>
      </x:c>
      <x:c r="J285"/>
    </x:row>
    <x:row r="286" ht="15" hidden="0">
      <x:c r="A286" s="193"/>
      <x:c r="B286" s="193"/>
      <x:c r="D286"/>
      <x:c r="E286"/>
      <x:c r="F286"/>
      <x:c r="G286"/>
      <x:c r="H286"/>
    </x:row>
    <x:row r="287" ht="15" hidden="0">
      <x:c r="A287" s="193"/>
      <x:c r="B287" s="193"/>
      <x:c r="D287">
        <x:f aca="0"/>
      </x:c>
      <x:c r="E287">
        <x:f aca="0"/>
      </x:c>
      <x:c r="F287">
        <x:f aca="0"/>
      </x:c>
      <x:c r="G287">
        <x:f aca="0"/>
      </x:c>
      <x:c r="H287">
        <x:f aca="0"/>
      </x:c>
    </x:row>
    <x:row r="288" ht="15" hidden="0">
      <x:c r="A288" s="193"/>
      <x:c r="B288" s="193"/>
      <x:c r="D288">
        <x:f aca="0"/>
      </x:c>
      <x:c r="E288">
        <x:f aca="0"/>
      </x:c>
      <x:c r="F288">
        <x:f aca="0"/>
      </x:c>
      <x:c r="G288">
        <x:f aca="0"/>
      </x:c>
      <x:c r="H288">
        <x:f aca="0"/>
      </x:c>
    </x:row>
    <x:row r="289" ht="15" hidden="0">
      <x:c r="A289" s="193"/>
      <x:c r="B289" s="193"/>
      <x:c r="D289">
        <x:f aca="0"/>
      </x:c>
      <x:c r="E289">
        <x:f aca="0"/>
      </x:c>
      <x:c r="F289">
        <x:f aca="0"/>
      </x:c>
      <x:c r="G289">
        <x:f aca="0"/>
      </x:c>
      <x:c r="H289">
        <x:f aca="0"/>
      </x:c>
      <x:c r="J289"/>
    </x:row>
    <x:row r="290" ht="15" hidden="0">
      <x:c r="A290" s="193"/>
      <x:c r="B290" s="193"/>
      <x:c r="D290"/>
      <x:c r="E290"/>
      <x:c r="F290"/>
      <x:c r="G290"/>
      <x:c r="H290"/>
    </x:row>
    <x:row r="291" ht="15" hidden="0">
      <x:c r="A291" s="193"/>
      <x:c r="B291" s="193"/>
      <x:c r="D291">
        <x:f aca="0"/>
      </x:c>
      <x:c r="E291">
        <x:f aca="0"/>
      </x:c>
      <x:c r="F291">
        <x:f aca="0"/>
      </x:c>
      <x:c r="G291">
        <x:f aca="0"/>
      </x:c>
      <x:c r="H291">
        <x:f aca="0"/>
      </x:c>
    </x:row>
    <x:row r="292" ht="15" hidden="0">
      <x:c r="A292" s="193"/>
      <x:c r="B292" s="193"/>
      <x:c r="D292">
        <x:f aca="0"/>
      </x:c>
      <x:c r="E292">
        <x:f aca="0"/>
      </x:c>
      <x:c r="F292">
        <x:f aca="0"/>
      </x:c>
      <x:c r="G292">
        <x:f aca="0"/>
      </x:c>
      <x:c r="H292">
        <x:f aca="0"/>
      </x:c>
    </x:row>
    <x:row r="293" ht="15" hidden="0">
      <x:c r="A293" s="193"/>
      <x:c r="B293" s="193"/>
      <x:c r="D293">
        <x:f aca="0"/>
      </x:c>
      <x:c r="E293">
        <x:f aca="0"/>
      </x:c>
      <x:c r="F293">
        <x:f aca="0"/>
      </x:c>
      <x:c r="G293">
        <x:f aca="0"/>
      </x:c>
      <x:c r="H293">
        <x:f aca="0"/>
      </x:c>
      <x:c r="J293"/>
    </x:row>
    <x:row r="294" ht="15" hidden="0">
      <x:c r="A294" s="193"/>
      <x:c r="B294" s="193"/>
      <x:c r="D294"/>
      <x:c r="E294"/>
      <x:c r="F294"/>
      <x:c r="G294"/>
      <x:c r="H294"/>
    </x:row>
    <x:row r="295" ht="15" hidden="0">
      <x:c r="A295" s="193"/>
      <x:c r="B295" s="193"/>
      <x:c r="D295">
        <x:f aca="0"/>
      </x:c>
      <x:c r="E295">
        <x:f aca="0"/>
      </x:c>
      <x:c r="F295">
        <x:f aca="0"/>
      </x:c>
      <x:c r="G295">
        <x:f aca="0"/>
      </x:c>
      <x:c r="H295">
        <x:f aca="0"/>
      </x:c>
    </x:row>
    <x:row r="296" ht="15" hidden="0">
      <x:c r="A296" s="193"/>
      <x:c r="B296" s="193"/>
      <x:c r="D296">
        <x:f aca="0"/>
      </x:c>
      <x:c r="E296">
        <x:f aca="0"/>
      </x:c>
      <x:c r="F296">
        <x:f aca="0"/>
      </x:c>
      <x:c r="G296">
        <x:f aca="0"/>
      </x:c>
      <x:c r="H296">
        <x:f aca="0"/>
      </x:c>
    </x:row>
    <x:row r="297">
      <x:c r="A297" s="193"/>
      <x:c r="B297" s="193"/>
    </x:row>
    <x:row r="298">
      <x:c r="A298" s="193"/>
      <x:c r="B298" s="193"/>
    </x:row>
    <x:row r="299">
      <x:c r="A299" s="193"/>
      <x:c r="B299" s="193"/>
    </x:row>
    <x:row r="300">
      <x:c r="A300" s="193"/>
      <x:c r="B300" s="193"/>
    </x:row>
    <x:row r="301">
      <x:c r="A301" s="193"/>
      <x:c r="B301" s="193"/>
    </x:row>
    <x:row r="302">
      <x:c r="A302" s="193"/>
      <x:c r="B302" s="193"/>
    </x:row>
    <x:row r="303">
      <x:c r="A303" s="193"/>
      <x:c r="B303" s="193"/>
    </x:row>
    <x:row r="304">
      <x:c r="A304" s="193"/>
      <x:c r="B304" s="193"/>
    </x:row>
    <x:row r="305">
      <x:c r="A305" s="193"/>
      <x:c r="B305" s="193"/>
    </x:row>
    <x:row r="306">
      <x:c r="A306" s="193"/>
      <x:c r="B306" s="193"/>
    </x:row>
    <x:row r="307">
      <x:c r="A307" s="193"/>
      <x:c r="B307" s="193"/>
    </x:row>
    <x:row r="308">
      <x:c r="A308" s="193"/>
      <x:c r="B308" s="193"/>
    </x:row>
    <x:row r="309">
      <x:c r="A309" s="193"/>
      <x:c r="B309" s="193"/>
    </x:row>
    <x:row r="310">
      <x:c r="A310" s="193"/>
      <x:c r="B310" s="193"/>
    </x:row>
    <x:row r="311">
      <x:c r="A311" s="193"/>
      <x:c r="B311" s="193"/>
    </x:row>
    <x:row r="312">
      <x:c r="A312" s="193"/>
      <x:c r="B312" s="193"/>
    </x:row>
    <x:row r="313">
      <x:c r="A313" s="193"/>
      <x:c r="B313" s="193"/>
    </x:row>
    <x:row r="314">
      <x:c r="A314" s="193"/>
      <x:c r="B314" s="193"/>
    </x:row>
    <x:row r="315">
      <x:c r="A315" s="193"/>
      <x:c r="B315" s="193"/>
    </x:row>
    <x:row r="316">
      <x:c r="A316" s="193"/>
      <x:c r="B316" s="193"/>
    </x:row>
    <x:row r="317">
      <x:c r="A317" s="193"/>
      <x:c r="B317" s="193"/>
    </x:row>
    <x:row r="318">
      <x:c r="A318" s="193"/>
      <x:c r="B318" s="193"/>
    </x:row>
    <x:row r="319">
      <x:c r="A319" s="193"/>
      <x:c r="B319" s="193"/>
    </x:row>
    <x:row r="320">
      <x:c r="A320" s="193"/>
      <x:c r="B320" s="193"/>
    </x:row>
    <x:row r="321">
      <x:c r="A321" s="193"/>
      <x:c r="B321" s="193"/>
    </x:row>
    <x:row r="322">
      <x:c r="A322" s="193"/>
      <x:c r="B322" s="193"/>
    </x:row>
    <x:row r="323">
      <x:c r="A323" s="193"/>
      <x:c r="B323" s="193"/>
    </x:row>
    <x:row r="324">
      <x:c r="A324" s="193"/>
      <x:c r="B324" s="193"/>
    </x:row>
    <x:row r="325">
      <x:c r="A325" s="193"/>
      <x:c r="B325" s="193"/>
    </x:row>
    <x:row r="326">
      <x:c r="A326" s="193"/>
      <x:c r="B326" s="193"/>
    </x:row>
    <x:row r="327">
      <x:c r="A327" s="193"/>
      <x:c r="B327" s="193"/>
    </x:row>
    <x:row r="328">
      <x:c r="A328" s="193"/>
      <x:c r="B328" s="193"/>
    </x:row>
    <x:row r="329">
      <x:c r="A329" s="193"/>
      <x:c r="B329" s="193"/>
    </x:row>
    <x:row r="330">
      <x:c r="A330" s="193"/>
      <x:c r="B330" s="193"/>
    </x:row>
    <x:row r="331">
      <x:c r="A331" s="193"/>
      <x:c r="B331" s="193"/>
    </x:row>
    <x:row r="332">
      <x:c r="A332" s="193"/>
      <x:c r="B332" s="193"/>
    </x:row>
    <x:row r="333">
      <x:c r="A333" s="193"/>
      <x:c r="B333" s="193"/>
    </x:row>
    <x:row r="334">
      <x:c r="A334" s="193"/>
      <x:c r="B334" s="193"/>
    </x:row>
    <x:row r="335">
      <x:c r="A335" s="193"/>
      <x:c r="B335" s="193"/>
    </x:row>
    <x:row r="336">
      <x:c r="A336" s="193"/>
      <x:c r="B336" s="193"/>
    </x:row>
    <x:row r="337">
      <x:c r="A337" s="193"/>
      <x:c r="B337" s="193"/>
    </x:row>
    <x:row r="338">
      <x:c r="A338" s="193"/>
      <x:c r="B338" s="193"/>
    </x:row>
    <x:row r="339">
      <x:c r="A339" s="193"/>
      <x:c r="B339" s="193"/>
    </x:row>
    <x:row r="340">
      <x:c r="A340" s="193"/>
      <x:c r="B340" s="193"/>
    </x:row>
    <x:row r="341">
      <x:c r="A341" s="193"/>
      <x:c r="B341" s="193"/>
    </x:row>
    <x:row r="342">
      <x:c r="A342" s="193"/>
      <x:c r="B342" s="193"/>
    </x:row>
    <x:row r="343">
      <x:c r="A343" s="193"/>
      <x:c r="B343" s="193"/>
    </x:row>
    <x:row r="344">
      <x:c r="A344" s="193"/>
      <x:c r="B344" s="193"/>
    </x:row>
    <x:row r="345">
      <x:c r="A345" s="193"/>
      <x:c r="B345" s="193"/>
    </x:row>
    <x:row r="346">
      <x:c r="A346" s="193"/>
      <x:c r="B346" s="193"/>
    </x:row>
    <x:row r="347">
      <x:c r="A347" s="193"/>
      <x:c r="B347" s="193"/>
    </x:row>
    <x:row r="348">
      <x:c r="A348" s="193"/>
      <x:c r="B348" s="193"/>
    </x:row>
    <x:row r="349">
      <x:c r="A349" s="193"/>
      <x:c r="B349" s="193"/>
    </x:row>
    <x:row r="350">
      <x:c r="A350" s="193"/>
      <x:c r="B350" s="193"/>
    </x:row>
    <x:row r="351">
      <x:c r="A351" s="193"/>
      <x:c r="B351" s="193"/>
    </x:row>
    <x:row r="352">
      <x:c r="A352" s="193"/>
      <x:c r="B352" s="193"/>
    </x:row>
    <x:row r="353">
      <x:c r="A353" s="193"/>
      <x:c r="B353" s="193"/>
    </x:row>
    <x:row r="354">
      <x:c r="A354" s="193"/>
      <x:c r="B354" s="193"/>
    </x:row>
    <x:row r="355">
      <x:c r="A355" s="193"/>
      <x:c r="B355" s="193"/>
    </x:row>
    <x:row r="356">
      <x:c r="A356" s="193"/>
      <x:c r="B356" s="193"/>
    </x:row>
    <x:row r="357">
      <x:c r="A357" s="193"/>
      <x:c r="B357" s="193"/>
    </x:row>
    <x:row r="358">
      <x:c r="A358" s="193"/>
      <x:c r="B358" s="193"/>
    </x:row>
    <x:row r="359">
      <x:c r="A359" s="193"/>
      <x:c r="B359" s="193"/>
    </x:row>
    <x:row r="360">
      <x:c r="A360" s="193"/>
      <x:c r="B360" s="193"/>
    </x:row>
    <x:row r="361">
      <x:c r="A361" s="193"/>
      <x:c r="B361" s="193"/>
    </x:row>
    <x:row r="362">
      <x:c r="A362" s="193"/>
      <x:c r="B362" s="193"/>
    </x:row>
    <x:row r="363">
      <x:c r="A363" s="193"/>
      <x:c r="B363" s="193"/>
    </x:row>
    <x:row r="364">
      <x:c r="A364" s="193"/>
      <x:c r="B364" s="193"/>
    </x:row>
    <x:row r="365">
      <x:c r="A365" s="193"/>
      <x:c r="B365" s="193"/>
    </x:row>
    <x:row r="366">
      <x:c r="A366" s="193"/>
      <x:c r="B366" s="193"/>
    </x:row>
    <x:row r="367">
      <x:c r="A367" s="193"/>
      <x:c r="B367" s="193"/>
    </x:row>
    <x:row r="368">
      <x:c r="A368" s="193"/>
      <x:c r="B368" s="193"/>
    </x:row>
    <x:row r="369">
      <x:c r="A369" s="193"/>
      <x:c r="B369" s="193"/>
    </x:row>
    <x:row r="370">
      <x:c r="A370" s="193"/>
      <x:c r="B370" s="193"/>
    </x:row>
    <x:row r="371">
      <x:c r="A371" s="193"/>
      <x:c r="B371" s="193"/>
    </x:row>
    <x:row r="372">
      <x:c r="A372" s="193"/>
      <x:c r="B372" s="193"/>
    </x:row>
    <x:row r="373">
      <x:c r="A373" s="193"/>
      <x:c r="B373" s="193"/>
    </x:row>
    <x:row r="374">
      <x:c r="A374" s="193"/>
      <x:c r="B374" s="193"/>
    </x:row>
    <x:row r="375">
      <x:c r="A375" s="193"/>
      <x:c r="B375" s="193"/>
    </x:row>
    <x:row r="376">
      <x:c r="A376" s="193"/>
      <x:c r="B376" s="193"/>
    </x:row>
    <x:row r="377">
      <x:c r="A377" s="193"/>
      <x:c r="B377" s="193"/>
    </x:row>
    <x:row r="378">
      <x:c r="A378" s="193"/>
      <x:c r="B378" s="193"/>
    </x:row>
    <x:row r="379">
      <x:c r="A379" s="193"/>
      <x:c r="B379" s="193"/>
    </x:row>
    <x:row r="380">
      <x:c r="A380" s="193"/>
      <x:c r="B380" s="193"/>
    </x:row>
    <x:row r="381">
      <x:c r="A381" s="193"/>
      <x:c r="B381" s="193"/>
    </x:row>
    <x:row r="382">
      <x:c r="A382" s="193"/>
      <x:c r="B382" s="193"/>
    </x:row>
    <x:row r="383">
      <x:c r="A383" s="193"/>
      <x:c r="B383" s="193"/>
    </x:row>
    <x:row r="384">
      <x:c r="A384" s="193"/>
      <x:c r="B384" s="193"/>
    </x:row>
    <x:row r="385">
      <x:c r="A385" s="193"/>
      <x:c r="B385" s="193"/>
    </x:row>
    <x:row r="386">
      <x:c r="A386" s="193"/>
      <x:c r="B386" s="193"/>
    </x:row>
    <x:row r="387">
      <x:c r="A387" s="193"/>
      <x:c r="B387" s="193"/>
    </x:row>
    <x:row r="388">
      <x:c r="A388" s="193"/>
      <x:c r="B388" s="193"/>
    </x:row>
    <x:row r="389">
      <x:c r="A389" s="193"/>
      <x:c r="B389" s="193"/>
    </x:row>
    <x:row r="390">
      <x:c r="A390" s="193"/>
      <x:c r="B390" s="193"/>
    </x:row>
    <x:row r="391">
      <x:c r="A391" s="193"/>
      <x:c r="B391" s="193"/>
    </x:row>
    <x:row r="392">
      <x:c r="A392" s="193"/>
      <x:c r="B392" s="193"/>
    </x:row>
    <x:row r="393">
      <x:c r="A393" s="193"/>
      <x:c r="B393" s="193"/>
    </x:row>
    <x:row r="394">
      <x:c r="A394" s="193"/>
      <x:c r="B394" s="193"/>
    </x:row>
    <x:row r="395">
      <x:c r="A395" s="193"/>
      <x:c r="B395" s="193"/>
    </x:row>
    <x:row r="396">
      <x:c r="A396" s="193"/>
      <x:c r="B396" s="193"/>
    </x:row>
    <x:row r="397">
      <x:c r="A397" s="193"/>
      <x:c r="B397" s="193"/>
    </x:row>
    <x:row r="398">
      <x:c r="A398" s="193"/>
      <x:c r="B398" s="193"/>
    </x:row>
    <x:row r="399">
      <x:c r="A399" s="193"/>
      <x:c r="B399" s="193"/>
    </x:row>
    <x:row r="400">
      <x:c r="A400" s="193"/>
      <x:c r="B400" s="193"/>
    </x:row>
  </x:sheetData>
  <x:mergeCells>
    <x:mergeCell ref="B6:J6"/>
    <x:mergeCell ref="B7:J7"/>
    <x:mergeCell ref="B8:J8"/>
    <x:mergeCell ref="B9:J9"/>
    <x:mergeCell ref="B10:J10"/>
    <x:mergeCell ref="B11:J11"/>
    <x:mergeCell ref="B12:J12"/>
    <x:mergeCell ref="B13:J13"/>
    <x:mergeCell ref="B14:J14"/>
    <x:mergeCell ref="B15:J15"/>
    <x:mergeCell ref="A137:H137"/>
    <x:mergeCell ref="A143:H143"/>
    <x:mergeCell ref="A154:H154"/>
    <x:mergeCell ref="A160:H160"/>
    <x:mergeCell ref="A168:H168"/>
    <x:mergeCell ref="A250:H250"/>
  </x:mergeCells>
  <x:pageMargins left="0.7" right="0.7" top="0.75" bottom="0.75" header="0.3" footer="0.3"/>
  <x:drawing xmlns:r="http://schemas.openxmlformats.org/officeDocument/2006/relationships" r:id="R324d8d49631e47d4"/>
</x:worksheet>
</file>

<file path=xl/worksheets/sheet7.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92" t="s">
        <x:v>604</x:v>
      </x:c>
      <x:c r="B1" s="193"/>
    </x:row>
    <x:row r="2" ht="15" hidden="0">
      <x:c r="A2" s="194" t="s">
        <x:v>605</x:v>
      </x:c>
      <x:c r="B2" s="193"/>
    </x:row>
    <x:row r="3" ht="15" hidden="0">
      <x:c r="A3" s="195" t="s">
        <x:v>81</x:v>
      </x:c>
      <x:c r="B3" s="193"/>
    </x:row>
    <x:row r="4">
      <x:c r="A4" s="193"/>
      <x:c r="B4" s="193"/>
    </x:row>
    <x:row r="5" ht="15" hidden="0">
      <x:c r="A5" s="196" t="s">
        <x:v>82</x:v>
      </x:c>
      <x:c r="B5" s="197"/>
      <x:c r="C5" s="20"/>
      <x:c r="D5" s="20"/>
      <x:c r="E5" s="20"/>
      <x:c r="F5" s="20"/>
      <x:c r="G5" s="20"/>
      <x:c r="H5" s="20"/>
      <x:c r="I5" s="20"/>
      <x:c r="J5" s="20"/>
    </x:row>
    <x:row r="6" ht="15" hidden="0" customHeight="1">
      <x:c r="A6" s="198" t="s">
        <x:v>18</x:v>
      </x:c>
      <x:c r="B6" s="199" t="s">
        <x:v>46</x:v>
      </x:c>
      <x:c r="C6" s="21"/>
      <x:c r="D6" s="21"/>
      <x:c r="E6" s="21"/>
      <x:c r="F6" s="21"/>
      <x:c r="G6" s="21"/>
      <x:c r="H6" s="21"/>
      <x:c r="I6" s="21"/>
      <x:c r="J6" s="21"/>
    </x:row>
    <x:row r="7" ht="15" hidden="0" customHeight="1">
      <x:c r="A7" s="198" t="s">
        <x:v>83</x:v>
      </x:c>
      <x:c r="B7" s="199" t="s">
        <x:v>45</x:v>
      </x:c>
      <x:c r="C7" s="21"/>
      <x:c r="D7" s="21"/>
      <x:c r="E7" s="21"/>
      <x:c r="F7" s="21"/>
      <x:c r="G7" s="21"/>
      <x:c r="H7" s="21"/>
      <x:c r="I7" s="21"/>
      <x:c r="J7" s="21"/>
    </x:row>
    <x:row r="8" ht="15" hidden="0" customHeight="1">
      <x:c r="A8" s="198" t="s">
        <x:v>84</x:v>
      </x:c>
      <x:c r="B8" s="199" t="s">
        <x:v>47</x:v>
      </x:c>
      <x:c r="C8" s="21"/>
      <x:c r="D8" s="21"/>
      <x:c r="E8" s="21"/>
      <x:c r="F8" s="21"/>
      <x:c r="G8" s="21"/>
      <x:c r="H8" s="21"/>
      <x:c r="I8" s="21"/>
      <x:c r="J8" s="21"/>
    </x:row>
    <x:row r="9" ht="15" hidden="0" customHeight="1">
      <x:c r="A9" s="198" t="s">
        <x:v>85</x:v>
      </x:c>
      <x:c r="B9" s="199" t="s">
        <x:v>86</x:v>
      </x:c>
      <x:c r="C9" s="21"/>
      <x:c r="D9" s="21"/>
      <x:c r="E9" s="21"/>
      <x:c r="F9" s="21"/>
      <x:c r="G9" s="21"/>
      <x:c r="H9" s="21"/>
      <x:c r="I9" s="21"/>
      <x:c r="J9" s="21"/>
    </x:row>
    <x:row r="10" ht="15" hidden="0" customHeight="1">
      <x:c r="A10" s="198" t="s">
        <x:v>87</x:v>
      </x:c>
      <x:c r="B10" s="199" t="s">
        <x:v>88</x:v>
      </x:c>
      <x:c r="C10" s="21"/>
      <x:c r="D10" s="21"/>
      <x:c r="E10" s="21"/>
      <x:c r="F10" s="21"/>
      <x:c r="G10" s="21"/>
      <x:c r="H10" s="21"/>
      <x:c r="I10" s="21"/>
      <x:c r="J10" s="21"/>
    </x:row>
    <x:row r="11" ht="15" hidden="0" customHeight="1">
      <x:c r="A11" s="198" t="s">
        <x:v>89</x:v>
      </x:c>
      <x:c r="B11" s="199" t="s">
        <x:v>467</x:v>
      </x:c>
      <x:c r="C11" s="21"/>
      <x:c r="D11" s="21"/>
      <x:c r="E11" s="21"/>
      <x:c r="F11" s="21"/>
      <x:c r="G11" s="21"/>
      <x:c r="H11" s="21"/>
      <x:c r="I11" s="21"/>
      <x:c r="J11" s="21"/>
    </x:row>
    <x:row r="12" ht="27.75" hidden="0" customHeight="1">
      <x:c r="A12" s="198" t="s">
        <x:v>91</x:v>
      </x:c>
      <x:c r="B12" s="199" t="s">
        <x:v>606</x:v>
      </x:c>
      <x:c r="C12" s="21"/>
      <x:c r="D12" s="21"/>
      <x:c r="E12" s="21"/>
      <x:c r="F12" s="21"/>
      <x:c r="G12" s="21"/>
      <x:c r="H12" s="21"/>
      <x:c r="I12" s="21"/>
      <x:c r="J12" s="21"/>
    </x:row>
    <x:row r="13" ht="27.75" hidden="0" customHeight="1">
      <x:c r="A13" s="198" t="s">
        <x:v>93</x:v>
      </x:c>
      <x:c r="B13" s="199" t="s">
        <x:v>94</x:v>
      </x:c>
      <x:c r="C13" s="21"/>
      <x:c r="D13" s="21"/>
      <x:c r="E13" s="21"/>
      <x:c r="F13" s="21"/>
      <x:c r="G13" s="21"/>
      <x:c r="H13" s="21"/>
      <x:c r="I13" s="21"/>
      <x:c r="J13" s="21"/>
    </x:row>
    <x:row r="14" ht="27.75" hidden="0" customHeight="1">
      <x:c r="A14" s="198" t="s">
        <x:v>95</x:v>
      </x:c>
      <x:c r="B14" s="199"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198" t="s">
        <x:v>96</x:v>
      </x:c>
      <x:c r="B15" s="199" t="s">
        <x:v>97</x:v>
      </x:c>
      <x:c r="C15" s="21"/>
      <x:c r="D15" s="21"/>
      <x:c r="E15" s="21"/>
      <x:c r="F15" s="21"/>
      <x:c r="G15" s="21"/>
      <x:c r="H15" s="21"/>
      <x:c r="I15" s="21"/>
      <x:c r="J15" s="21"/>
    </x:row>
    <x:row r="16">
      <x:c r="A16" s="193"/>
      <x:c r="B16" s="193"/>
    </x:row>
    <x:row r="17" ht="15" hidden="0">
      <x:c r="A17" s="200" t="s">
        <x:v>98</x:v>
      </x:c>
      <x:c r="B17" s="200" t="s">
        <x:v>99</x:v>
      </x:c>
      <x:c r="C17" s="23" t="s">
        <x:v>100</x:v>
      </x:c>
      <x:c r="D17" s="23" t="s">
        <x:v>101</x:v>
      </x:c>
      <x:c r="E17" s="23" t="s">
        <x:v>102</x:v>
      </x:c>
      <x:c r="F17" s="23" t="s">
        <x:v>103</x:v>
      </x:c>
      <x:c r="G17" s="23" t="s">
        <x:v>104</x:v>
      </x:c>
      <x:c r="H17" s="23" t="s">
        <x:v>105</x:v>
      </x:c>
      <x:c r="I17" s="23" t="s">
        <x:v>70</x:v>
      </x:c>
      <x:c r="J17" s="23" t="s">
        <x:v>106</x:v>
      </x:c>
    </x:row>
    <x:row r="18" ht="15" hidden="0">
      <x:c r="A18" s="196" t="s">
        <x:v>107</x:v>
      </x:c>
      <x:c r="B18" s="197"/>
      <x:c r="C18" s="20"/>
      <x:c r="D18" s="20"/>
      <x:c r="E18" s="20"/>
      <x:c r="F18" s="20"/>
      <x:c r="G18" s="20"/>
      <x:c r="H18" s="20"/>
      <x:c r="I18" s="20"/>
      <x:c r="J18" s="20"/>
    </x:row>
    <x:row r="19" ht="15" hidden="0">
      <x:c r="A19" s="201" t="s">
        <x:v>108</x:v>
      </x:c>
      <x:c r="B19" s="202"/>
      <x:c r="C19" s="25"/>
      <x:c r="D19" s="25"/>
      <x:c r="E19" s="25"/>
      <x:c r="F19" s="25"/>
      <x:c r="G19" s="25"/>
      <x:c r="H19" s="25"/>
      <x:c r="I19" s="25"/>
      <x:c r="J19" s="25"/>
    </x:row>
    <x:row r="20" ht="15" hidden="0">
      <x:c r="A20" s="193" t="s">
        <x:v>109</x:v>
      </x:c>
      <x:c r="B20" s="195" t="s">
        <x:v>607</x:v>
      </x:c>
      <x:c r="C20" s="26" t="n">
        <x:v>22065.172</x:v>
      </x:c>
      <x:c r="D20" s="26" t="n">
        <x:v>21422.215</x:v>
      </x:c>
      <x:c r="E20" s="26" t="n">
        <x:v>74126.315</x:v>
      </x:c>
      <x:c r="F20" s="26" t="n">
        <x:v>104425.181</x:v>
      </x:c>
      <x:c r="G20" s="26" t="n">
        <x:v>110845.663</x:v>
      </x:c>
      <x:c r="H20" s="26" t="n">
        <x:v>109579.089</x:v>
      </x:c>
      <x:c r="I20" s="9" t="s">
        <x:v>111</x:v>
      </x:c>
    </x:row>
    <x:row r="21" ht="15" hidden="0">
      <x:c r="A21" s="193" t="s">
        <x:v>112</x:v>
      </x:c>
      <x:c r="B21" s="195" t="s">
        <x:v>608</x:v>
      </x:c>
      <x:c r="C21" s="26" t="n">
        <x:v>2.808</x:v>
      </x:c>
      <x:c r="D21" s="26" t="n">
        <x:v>202.087</x:v>
      </x:c>
      <x:c r="E21" s="26" t="n">
        <x:v>29802.17</x:v>
      </x:c>
      <x:c r="F21" s="26" t="n">
        <x:v>34531.172</x:v>
      </x:c>
      <x:c r="G21" s="26" t="n">
        <x:v>700.153</x:v>
      </x:c>
      <x:c r="H21" s="26" t="n">
        <x:v>296.574</x:v>
      </x:c>
      <x:c r="I21" s="9" t="s">
        <x:v>111</x:v>
      </x:c>
    </x:row>
    <x:row r="22" ht="15" hidden="0">
      <x:c r="A22" s="193" t="s">
        <x:v>114</x:v>
      </x:c>
      <x:c r="B22" s="195" t="s">
        <x:v>115</x:v>
      </x:c>
      <x:c r="C22" s="27" t="n">
        <x:f aca="0">C20-C21</x:f>
        <x:v>22062.363999999998</x:v>
      </x:c>
      <x:c r="D22" s="27" t="n">
        <x:f aca="0">D20-D21</x:f>
        <x:v>21220.128</x:v>
      </x:c>
      <x:c r="E22" s="27" t="n">
        <x:f aca="0">E20-E21</x:f>
        <x:v>44324.145000000004</x:v>
      </x:c>
      <x:c r="F22" s="27" t="n">
        <x:f aca="0">F20-F21</x:f>
        <x:v>69894.00899999999</x:v>
      </x:c>
      <x:c r="G22" s="27" t="n">
        <x:f aca="0">G20-G21</x:f>
        <x:v>110145.51</x:v>
      </x:c>
      <x:c r="H22" s="27" t="n">
        <x:f aca="0">H20-H21</x:f>
        <x:v>109282.51500000001</x:v>
      </x:c>
      <x:c r="I22" s="9" t="s">
        <x:v>111</x:v>
      </x:c>
    </x:row>
    <x:row r="23" ht="15" hidden="0">
      <x:c r="A23" s="193" t="s">
        <x:v>116</x:v>
      </x:c>
      <x:c r="B23" s="195" t="s">
        <x:v>609</x:v>
      </x:c>
      <x:c r="C23" s="26" t="n">
        <x:v>60.322</x:v>
      </x:c>
      <x:c r="D23" s="26" t="n">
        <x:v>89.334</x:v>
      </x:c>
      <x:c r="E23" s="26" t="n">
        <x:v>132.263</x:v>
      </x:c>
      <x:c r="F23" s="26" t="n">
        <x:v>181.38</x:v>
      </x:c>
      <x:c r="G23" s="26" t="n">
        <x:v>131.165</x:v>
      </x:c>
      <x:c r="H23" s="26" t="n">
        <x:v>126.445</x:v>
      </x:c>
      <x:c r="I23" s="9" t="s">
        <x:v>111</x:v>
      </x:c>
    </x:row>
    <x:row r="24" ht="15" hidden="0">
      <x:c r="A24" s="193" t="s">
        <x:v>118</x:v>
      </x:c>
      <x:c r="B24" s="195" t="s">
        <x:v>610</x:v>
      </x:c>
      <x:c r="C24" s="26" t="n">
        <x:v>0</x:v>
      </x:c>
      <x:c r="D24" s="26" t="n">
        <x:v>0</x:v>
      </x:c>
      <x:c r="E24" s="26" t="n">
        <x:v>11029.756</x:v>
      </x:c>
      <x:c r="F24" s="26" t="n">
        <x:v>10957.737</x:v>
      </x:c>
      <x:c r="G24" s="26" t="n">
        <x:v>10745.7</x:v>
      </x:c>
      <x:c r="H24" s="26" t="n">
        <x:v>10533.667</x:v>
      </x:c>
      <x:c r="I24" s="9" t="s">
        <x:v>111</x:v>
      </x:c>
    </x:row>
    <x:row r="25" ht="15" hidden="0">
      <x:c r="A25" s="193" t="s">
        <x:v>120</x:v>
      </x:c>
      <x:c r="B25" s="195" t="s">
        <x:v>611</x:v>
      </x:c>
      <x:c r="C25" s="26" t="n">
        <x:v>0</x:v>
      </x:c>
      <x:c r="D25" s="26" t="n">
        <x:v>0</x:v>
      </x:c>
      <x:c r="E25" s="26" t="n">
        <x:v>0</x:v>
      </x:c>
      <x:c r="F25" s="26" t="n">
        <x:v>0</x:v>
      </x:c>
      <x:c r="G25" s="26" t="n">
        <x:v>0</x:v>
      </x:c>
      <x:c r="H25" s="26" t="n">
        <x:v>0</x:v>
      </x:c>
      <x:c r="I25" s="9" t="s">
        <x:v>111</x:v>
      </x:c>
    </x:row>
    <x:row r="26" ht="15" hidden="0">
      <x:c r="A26" s="193" t="s">
        <x:v>122</x:v>
      </x:c>
      <x:c r="B26" s="195" t="s">
        <x:v>612</x:v>
      </x:c>
      <x:c r="C26" s="26" t="n">
        <x:v>0</x:v>
      </x:c>
      <x:c r="D26" s="26" t="n">
        <x:v>15.349</x:v>
      </x:c>
      <x:c r="E26" s="26" t="n">
        <x:v>66.657</x:v>
      </x:c>
      <x:c r="F26" s="26" t="n">
        <x:v>0</x:v>
      </x:c>
      <x:c r="G26" s="26" t="n">
        <x:v>0</x:v>
      </x:c>
      <x:c r="H26" s="26" t="n">
        <x:v>0</x:v>
      </x:c>
      <x:c r="I26" s="9" t="s">
        <x:v>111</x:v>
      </x:c>
    </x:row>
    <x:row r="27" ht="15" hidden="0">
      <x:c r="A27" s="193" t="s">
        <x:v>124</x:v>
      </x:c>
      <x:c r="B27" s="195" t="s">
        <x:v>613</x:v>
      </x:c>
      <x:c r="C27" s="26" t="n">
        <x:v>99.101</x:v>
      </x:c>
      <x:c r="D27" s="26" t="n">
        <x:v>86.601</x:v>
      </x:c>
      <x:c r="E27" s="26" t="n">
        <x:v>126.274</x:v>
      </x:c>
      <x:c r="F27" s="26" t="n">
        <x:v>129.7</x:v>
      </x:c>
      <x:c r="G27" s="26" t="n">
        <x:v>129.7</x:v>
      </x:c>
      <x:c r="H27" s="26" t="n">
        <x:v>133.425</x:v>
      </x:c>
      <x:c r="I27" s="9" t="s">
        <x:v>111</x:v>
      </x:c>
    </x:row>
    <x:row r="28" ht="15" hidden="0">
      <x:c r="A28" s="198" t="s">
        <x:v>126</x:v>
      </x:c>
      <x:c r="B28" s="195" t="s">
        <x:v>127</x:v>
      </x:c>
      <x:c r="C28" s="28" t="n">
        <x:f aca="0">C20+C23+C24+C25+C26+C27</x:f>
        <x:v>22224.594999999998</x:v>
      </x:c>
      <x:c r="D28" s="28" t="n">
        <x:f aca="0">D20+D23+D24+D25+D26+D27</x:f>
        <x:v>21613.498999999996</x:v>
      </x:c>
      <x:c r="E28" s="28" t="n">
        <x:f aca="0">E20+E23+E24+E25+E26+E27</x:f>
        <x:v>85481.26500000001</x:v>
      </x:c>
      <x:c r="F28" s="28" t="n">
        <x:f aca="0">F20+F23+F24+F25+F26+F27</x:f>
        <x:v>115693.99799999999</x:v>
      </x:c>
      <x:c r="G28" s="28" t="n">
        <x:f aca="0">G20+G23+G24+G25+G26+G27</x:f>
        <x:v>121852.22799999999</x:v>
      </x:c>
      <x:c r="H28" s="28" t="n">
        <x:f aca="0">H20+H23+H24+H25+H26+H27</x:f>
        <x:v>120372.62600000002</x:v>
      </x:c>
      <x:c r="I28" s="9" t="s">
        <x:v>111</x:v>
      </x:c>
    </x:row>
    <x:row r="29" ht="15" hidden="0">
      <x:c r="A29" s="201" t="s">
        <x:v>128</x:v>
      </x:c>
      <x:c r="B29" s="202"/>
      <x:c r="C29" s="25"/>
      <x:c r="D29" s="25"/>
      <x:c r="E29" s="25"/>
      <x:c r="F29" s="25"/>
      <x:c r="G29" s="25"/>
      <x:c r="H29" s="25"/>
      <x:c r="I29" s="25"/>
      <x:c r="J29" s="25"/>
    </x:row>
    <x:row r="30" ht="15" hidden="0">
      <x:c r="A30" s="193" t="s">
        <x:v>129</x:v>
      </x:c>
      <x:c r="B30" s="195" t="s">
        <x:v>614</x:v>
      </x:c>
      <x:c r="C30" s="26" t="n">
        <x:v>3505.809</x:v>
      </x:c>
      <x:c r="D30" s="26" t="n">
        <x:v>4250.754</x:v>
      </x:c>
      <x:c r="E30" s="26" t="n">
        <x:v>11939.147</x:v>
      </x:c>
      <x:c r="F30" s="26" t="n">
        <x:v>8011.181</x:v>
      </x:c>
      <x:c r="G30" s="26" t="n">
        <x:v>9099.13</x:v>
      </x:c>
      <x:c r="H30" s="26" t="n">
        <x:v>10377.008</x:v>
      </x:c>
      <x:c r="I30" s="9" t="s">
        <x:v>111</x:v>
      </x:c>
    </x:row>
    <x:row r="31" ht="15" hidden="0">
      <x:c r="A31" s="193" t="s">
        <x:v>131</x:v>
      </x:c>
      <x:c r="B31" s="195" t="s">
        <x:v>615</x:v>
      </x:c>
      <x:c r="C31" s="26" t="n">
        <x:v>1187.752</x:v>
      </x:c>
      <x:c r="D31" s="26" t="n">
        <x:v>1189.198</x:v>
      </x:c>
      <x:c r="E31" s="26" t="n">
        <x:v>3697.721</x:v>
      </x:c>
      <x:c r="F31" s="26" t="n">
        <x:v>7112.327</x:v>
      </x:c>
      <x:c r="G31" s="26" t="n">
        <x:v>7495.705</x:v>
      </x:c>
      <x:c r="H31" s="26" t="n">
        <x:v>9337.617</x:v>
      </x:c>
      <x:c r="I31" s="9" t="s">
        <x:v>111</x:v>
      </x:c>
    </x:row>
    <x:row r="32" ht="15" hidden="0">
      <x:c r="A32" s="193" t="s">
        <x:v>133</x:v>
      </x:c>
      <x:c r="B32" s="195" t="s">
        <x:v>616</x:v>
      </x:c>
      <x:c r="C32" s="26" t="n">
        <x:v>1050.64</x:v>
      </x:c>
      <x:c r="D32" s="26" t="n">
        <x:v>1449.6</x:v>
      </x:c>
      <x:c r="E32" s="26" t="n">
        <x:v>2412.758</x:v>
      </x:c>
      <x:c r="F32" s="26" t="n">
        <x:v>3572.445</x:v>
      </x:c>
      <x:c r="G32" s="26" t="n">
        <x:v>5545.241</x:v>
      </x:c>
      <x:c r="H32" s="26" t="n">
        <x:v>6911.322</x:v>
      </x:c>
      <x:c r="I32" s="9" t="s">
        <x:v>111</x:v>
      </x:c>
    </x:row>
    <x:row r="33" ht="15" hidden="0">
      <x:c r="A33" s="193" t="s">
        <x:v>135</x:v>
      </x:c>
      <x:c r="B33" s="195" t="s">
        <x:v>617</x:v>
      </x:c>
      <x:c r="C33" s="26" t="n">
        <x:v>0</x:v>
      </x:c>
      <x:c r="D33" s="26" t="n">
        <x:v>4397.699</x:v>
      </x:c>
      <x:c r="E33" s="26" t="n">
        <x:v>3843.01</x:v>
      </x:c>
      <x:c r="F33" s="26" t="n">
        <x:v>250</x:v>
      </x:c>
      <x:c r="G33" s="26" t="n">
        <x:v>250</x:v>
      </x:c>
      <x:c r="H33" s="26" t="n">
        <x:v>9210.1</x:v>
      </x:c>
      <x:c r="I33" s="9" t="s">
        <x:v>111</x:v>
      </x:c>
    </x:row>
    <x:row r="34" ht="15" hidden="0">
      <x:c r="A34" s="193" t="s">
        <x:v>137</x:v>
      </x:c>
      <x:c r="B34" s="195" t="s">
        <x:v>618</x:v>
      </x:c>
      <x:c r="C34" s="26" t="n">
        <x:v>561.174</x:v>
      </x:c>
      <x:c r="D34" s="26" t="n">
        <x:v>900.778</x:v>
      </x:c>
      <x:c r="E34" s="26" t="n">
        <x:v>2306.633</x:v>
      </x:c>
      <x:c r="F34" s="26" t="n">
        <x:v>970.457</x:v>
      </x:c>
      <x:c r="G34" s="26" t="n">
        <x:v>2932.984</x:v>
      </x:c>
      <x:c r="H34" s="26" t="n">
        <x:v>2665.338</x:v>
      </x:c>
      <x:c r="I34" s="9" t="s">
        <x:v>111</x:v>
      </x:c>
    </x:row>
    <x:row r="35" ht="15" hidden="0">
      <x:c r="A35" s="193" t="s">
        <x:v>139</x:v>
      </x:c>
      <x:c r="B35" s="195" t="s">
        <x:v>619</x:v>
      </x:c>
      <x:c r="C35" s="26" t="n">
        <x:v>677.946</x:v>
      </x:c>
      <x:c r="D35" s="26" t="n">
        <x:v>250.703</x:v>
      </x:c>
      <x:c r="E35" s="26" t="n">
        <x:v>4017.543</x:v>
      </x:c>
      <x:c r="F35" s="26" t="n">
        <x:v>3218.089</x:v>
      </x:c>
      <x:c r="G35" s="26" t="n">
        <x:v>461.011</x:v>
      </x:c>
      <x:c r="H35" s="26" t="n">
        <x:v>1971.18</x:v>
      </x:c>
      <x:c r="I35" s="9" t="s">
        <x:v>111</x:v>
      </x:c>
    </x:row>
    <x:row r="36" ht="15" hidden="0">
      <x:c r="A36" s="198" t="s">
        <x:v>141</x:v>
      </x:c>
      <x:c r="B36" s="195" t="s">
        <x:v>142</x:v>
      </x:c>
      <x:c r="C36" s="28" t="n">
        <x:f aca="0">C30+C31+C32+C33+C34+C35</x:f>
        <x:v>6983.321</x:v>
      </x:c>
      <x:c r="D36" s="28" t="n">
        <x:f aca="0">D30+D31+D32+D33+D34+D35</x:f>
        <x:v>12438.732</x:v>
      </x:c>
      <x:c r="E36" s="28" t="n">
        <x:f aca="0">E30+E31+E32+E33+E34+E35</x:f>
        <x:v>28216.812</x:v>
      </x:c>
      <x:c r="F36" s="28" t="n">
        <x:f aca="0">F30+F31+F32+F33+F34+F35</x:f>
        <x:v>23134.499</x:v>
      </x:c>
      <x:c r="G36" s="28" t="n">
        <x:f aca="0">G30+G31+G32+G33+G34+G35</x:f>
        <x:v>25784.071</x:v>
      </x:c>
      <x:c r="H36" s="28" t="n">
        <x:f aca="0">H30+H31+H32+H33+H34+H35</x:f>
        <x:v>40472.565</x:v>
      </x:c>
      <x:c r="I36" s="9" t="s">
        <x:v>111</x:v>
      </x:c>
    </x:row>
    <x:row r="37" ht="15" hidden="0">
      <x:c r="A37" s="198" t="s">
        <x:v>143</x:v>
      </x:c>
      <x:c r="B37" s="195" t="s">
        <x:v>144</x:v>
      </x:c>
      <x:c r="C37" s="28" t="n">
        <x:f aca="0">C28+C36</x:f>
        <x:v>29207.915999999997</x:v>
      </x:c>
      <x:c r="D37" s="28" t="n">
        <x:f aca="0">D28+D36</x:f>
        <x:v>34052.231</x:v>
      </x:c>
      <x:c r="E37" s="28" t="n">
        <x:f aca="0">E28+E36</x:f>
        <x:v>113698.07700000002</x:v>
      </x:c>
      <x:c r="F37" s="28" t="n">
        <x:f aca="0">F28+F36</x:f>
        <x:v>138828.497</x:v>
      </x:c>
      <x:c r="G37" s="28" t="n">
        <x:f aca="0">G28+G36</x:f>
        <x:v>147636.299</x:v>
      </x:c>
      <x:c r="H37" s="28" t="n">
        <x:f aca="0">H28+H36</x:f>
        <x:v>160845.19100000002</x:v>
      </x:c>
      <x:c r="I37" s="9" t="s">
        <x:v>111</x:v>
      </x:c>
    </x:row>
    <x:row r="38" ht="15" hidden="0">
      <x:c r="A38" s="201" t="s">
        <x:v>145</x:v>
      </x:c>
      <x:c r="B38" s="202"/>
      <x:c r="C38" s="25"/>
      <x:c r="D38" s="25"/>
      <x:c r="E38" s="25"/>
      <x:c r="F38" s="25"/>
      <x:c r="G38" s="25"/>
      <x:c r="H38" s="25"/>
      <x:c r="I38" s="25"/>
      <x:c r="J38" s="25"/>
    </x:row>
    <x:row r="39" ht="15" hidden="0">
      <x:c r="A39" s="193" t="s">
        <x:v>146</x:v>
      </x:c>
      <x:c r="B39" s="195" t="s">
        <x:v>620</x:v>
      </x:c>
      <x:c r="C39" s="26" t="n">
        <x:v>13798.15</x:v>
      </x:c>
      <x:c r="D39" s="26" t="n">
        <x:v>13798.15</x:v>
      </x:c>
      <x:c r="E39" s="26" t="n">
        <x:v>21803.09</x:v>
      </x:c>
      <x:c r="F39" s="26" t="n">
        <x:v>24528.476</x:v>
      </x:c>
      <x:c r="G39" s="26" t="n">
        <x:v>24528.476</x:v>
      </x:c>
      <x:c r="H39" s="26" t="n">
        <x:v>24528.476</x:v>
      </x:c>
      <x:c r="I39" s="9" t="s">
        <x:v>111</x:v>
      </x:c>
    </x:row>
    <x:row r="40" ht="15" hidden="0">
      <x:c r="A40" s="193" t="s">
        <x:v>148</x:v>
      </x:c>
      <x:c r="B40" s="195" t="s">
        <x:v>621</x:v>
      </x:c>
      <x:c r="C40" s="26" t="n">
        <x:v>6006.17</x:v>
      </x:c>
      <x:c r="D40" s="26" t="n">
        <x:v>9477.521</x:v>
      </x:c>
      <x:c r="E40" s="26" t="n">
        <x:v>35932.966</x:v>
      </x:c>
      <x:c r="F40" s="26" t="n">
        <x:v>40647.261</x:v>
      </x:c>
      <x:c r="G40" s="26" t="n">
        <x:v>48870.377</x:v>
      </x:c>
      <x:c r="H40" s="26" t="n">
        <x:v>59743.732</x:v>
      </x:c>
      <x:c r="I40" s="9" t="s">
        <x:v>111</x:v>
      </x:c>
    </x:row>
    <x:row r="41" ht="15" hidden="0">
      <x:c r="A41" s="198" t="s">
        <x:v>150</x:v>
      </x:c>
      <x:c r="B41" s="195" t="s">
        <x:v>151</x:v>
      </x:c>
      <x:c r="C41" s="28" t="n">
        <x:f aca="0">C39+C40</x:f>
        <x:v>19804.32</x:v>
      </x:c>
      <x:c r="D41" s="28" t="n">
        <x:f aca="0">D39+D40</x:f>
        <x:v>23275.671000000002</x:v>
      </x:c>
      <x:c r="E41" s="28" t="n">
        <x:f aca="0">E39+E40</x:f>
        <x:v>57736.056</x:v>
      </x:c>
      <x:c r="F41" s="28" t="n">
        <x:f aca="0">F39+F40</x:f>
        <x:v>65175.736999999994</x:v>
      </x:c>
      <x:c r="G41" s="28" t="n">
        <x:f aca="0">G39+G40</x:f>
        <x:v>73398.853</x:v>
      </x:c>
      <x:c r="H41" s="28" t="n">
        <x:f aca="0">H39+H40</x:f>
        <x:v>84272.208</x:v>
      </x:c>
      <x:c r="I41" s="9" t="s">
        <x:v>111</x:v>
      </x:c>
    </x:row>
    <x:row r="42" ht="15" hidden="0">
      <x:c r="A42" s="201" t="s">
        <x:v>152</x:v>
      </x:c>
      <x:c r="B42" s="202"/>
      <x:c r="C42" s="25"/>
      <x:c r="D42" s="25"/>
      <x:c r="E42" s="25"/>
      <x:c r="F42" s="25"/>
      <x:c r="G42" s="25"/>
      <x:c r="H42" s="25"/>
      <x:c r="I42" s="25"/>
      <x:c r="J42" s="25"/>
    </x:row>
    <x:row r="43" ht="15" hidden="0">
      <x:c r="A43" s="193" t="s">
        <x:v>153</x:v>
      </x:c>
      <x:c r="B43" s="195" t="s">
        <x:v>622</x:v>
      </x:c>
      <x:c r="C43" s="26" t="n">
        <x:v>447.327</x:v>
      </x:c>
      <x:c r="D43" s="26" t="n">
        <x:v>491.502</x:v>
      </x:c>
      <x:c r="E43" s="26" t="n">
        <x:v>19555.997</x:v>
      </x:c>
      <x:c r="F43" s="26" t="n">
        <x:v>31777.087</x:v>
      </x:c>
      <x:c r="G43" s="26" t="n">
        <x:v>29908.287</x:v>
      </x:c>
      <x:c r="H43" s="26" t="n">
        <x:v>24208.633</x:v>
      </x:c>
      <x:c r="I43" s="9" t="s">
        <x:v>111</x:v>
      </x:c>
    </x:row>
    <x:row r="44" ht="15" hidden="0">
      <x:c r="A44" s="193" t="s">
        <x:v>155</x:v>
      </x:c>
      <x:c r="B44" s="195" t="s">
        <x:v>623</x:v>
      </x:c>
      <x:c r="C44" s="26" t="n">
        <x:v>57.656</x:v>
      </x:c>
      <x:c r="D44" s="26" t="n">
        <x:v>73.593</x:v>
      </x:c>
      <x:c r="E44" s="26" t="n">
        <x:v>89.965</x:v>
      </x:c>
      <x:c r="F44" s="26" t="n">
        <x:v>118.972</x:v>
      </x:c>
      <x:c r="G44" s="26" t="n">
        <x:v>117.454</x:v>
      </x:c>
      <x:c r="H44" s="26" t="n">
        <x:v>101.211</x:v>
      </x:c>
      <x:c r="I44" s="9" t="s">
        <x:v>111</x:v>
      </x:c>
    </x:row>
    <x:row r="45" ht="15" hidden="0">
      <x:c r="A45" s="193" t="s">
        <x:v>157</x:v>
      </x:c>
      <x:c r="B45" s="195" t="s">
        <x:v>624</x:v>
      </x:c>
      <x:c r="C45" s="26" t="n">
        <x:v>0</x:v>
      </x:c>
      <x:c r="D45" s="26" t="n">
        <x:v>6.607</x:v>
      </x:c>
      <x:c r="E45" s="26" t="n">
        <x:v>1982.301</x:v>
      </x:c>
      <x:c r="F45" s="26" t="n">
        <x:v>2745.849</x:v>
      </x:c>
      <x:c r="G45" s="26" t="n">
        <x:v>2164.959</x:v>
      </x:c>
      <x:c r="H45" s="26" t="n">
        <x:v>1647.63</x:v>
      </x:c>
      <x:c r="I45" s="9" t="s">
        <x:v>111</x:v>
      </x:c>
    </x:row>
    <x:row r="46" ht="15" hidden="0">
      <x:c r="A46" s="193" t="s">
        <x:v>159</x:v>
      </x:c>
      <x:c r="B46" s="195" t="s">
        <x:v>625</x:v>
      </x:c>
      <x:c r="C46" s="26" t="n">
        <x:v>3643.608</x:v>
      </x:c>
      <x:c r="D46" s="26" t="n">
        <x:v>3960.489</x:v>
      </x:c>
      <x:c r="E46" s="26" t="n">
        <x:v>7433.214</x:v>
      </x:c>
      <x:c r="F46" s="26" t="n">
        <x:v>10312.402</x:v>
      </x:c>
      <x:c r="G46" s="26" t="n">
        <x:v>14931.049</x:v>
      </x:c>
      <x:c r="H46" s="26" t="n">
        <x:v>19694.422</x:v>
      </x:c>
      <x:c r="I46" s="9" t="s">
        <x:v>111</x:v>
      </x:c>
    </x:row>
    <x:row r="47" ht="15" hidden="0">
      <x:c r="A47" s="193" t="s">
        <x:v>161</x:v>
      </x:c>
      <x:c r="B47" s="195" t="s">
        <x:v>626</x:v>
      </x:c>
      <x:c r="C47" s="26" t="n">
        <x:v>72.547</x:v>
      </x:c>
      <x:c r="D47" s="26" t="n">
        <x:v>82.38</x:v>
      </x:c>
      <x:c r="E47" s="26" t="n">
        <x:v>179.291</x:v>
      </x:c>
      <x:c r="F47" s="26" t="n">
        <x:v>211.595</x:v>
      </x:c>
      <x:c r="G47" s="26" t="n">
        <x:v>250.23</x:v>
      </x:c>
      <x:c r="H47" s="26" t="n">
        <x:v>283.59</x:v>
      </x:c>
      <x:c r="I47" s="9" t="s">
        <x:v>111</x:v>
      </x:c>
    </x:row>
    <x:row r="48" ht="15" hidden="0">
      <x:c r="A48" s="198" t="s">
        <x:v>163</x:v>
      </x:c>
      <x:c r="B48" s="195" t="s">
        <x:v>164</x:v>
      </x:c>
      <x:c r="C48" s="28" t="n">
        <x:f aca="0">C43+C44+C45+C46+C47</x:f>
        <x:v>4221.138</x:v>
      </x:c>
      <x:c r="D48" s="28" t="n">
        <x:f aca="0">D43+D44+D45+D46+D47</x:f>
        <x:v>4614.571</x:v>
      </x:c>
      <x:c r="E48" s="28" t="n">
        <x:f aca="0">E43+E44+E45+E46+E47</x:f>
        <x:v>29240.768</x:v>
      </x:c>
      <x:c r="F48" s="28" t="n">
        <x:f aca="0">F43+F44+F45+F46+F47</x:f>
        <x:v>45165.905000000006</x:v>
      </x:c>
      <x:c r="G48" s="28" t="n">
        <x:f aca="0">G43+G44+G45+G46+G47</x:f>
        <x:v>47371.97900000001</x:v>
      </x:c>
      <x:c r="H48" s="28" t="n">
        <x:f aca="0">H43+H44+H45+H46+H47</x:f>
        <x:v>45935.486</x:v>
      </x:c>
      <x:c r="I48" s="9" t="s">
        <x:v>111</x:v>
      </x:c>
    </x:row>
    <x:row r="49" ht="15" hidden="0">
      <x:c r="A49" s="201" t="s">
        <x:v>165</x:v>
      </x:c>
      <x:c r="B49" s="202"/>
      <x:c r="C49" s="25"/>
      <x:c r="D49" s="25"/>
      <x:c r="E49" s="25"/>
      <x:c r="F49" s="25"/>
      <x:c r="G49" s="25"/>
      <x:c r="H49" s="25"/>
      <x:c r="I49" s="25"/>
      <x:c r="J49" s="25"/>
    </x:row>
    <x:row r="50" ht="15" hidden="0">
      <x:c r="A50" s="193" t="s">
        <x:v>166</x:v>
      </x:c>
      <x:c r="B50" s="195" t="s">
        <x:v>627</x:v>
      </x:c>
      <x:c r="C50" s="26" t="n">
        <x:v>1163.246</x:v>
      </x:c>
      <x:c r="D50" s="26" t="n">
        <x:v>1822.642</x:v>
      </x:c>
      <x:c r="E50" s="26" t="n">
        <x:v>6917.149</x:v>
      </x:c>
      <x:c r="F50" s="26" t="n">
        <x:v>6516.462</x:v>
      </x:c>
      <x:c r="G50" s="26" t="n">
        <x:v>6108.79</x:v>
      </x:c>
      <x:c r="H50" s="26" t="n">
        <x:v>3934.508</x:v>
      </x:c>
      <x:c r="I50" s="9" t="s">
        <x:v>111</x:v>
      </x:c>
    </x:row>
    <x:row r="51" ht="15" hidden="0">
      <x:c r="A51" s="193" t="s">
        <x:v>168</x:v>
      </x:c>
      <x:c r="B51" s="195" t="s">
        <x:v>628</x:v>
      </x:c>
      <x:c r="C51" s="26" t="n">
        <x:v>354.586</x:v>
      </x:c>
      <x:c r="D51" s="26" t="n">
        <x:v>863.038</x:v>
      </x:c>
      <x:c r="E51" s="26" t="n">
        <x:v>2683.21</x:v>
      </x:c>
      <x:c r="F51" s="26" t="n">
        <x:v>2623.342</x:v>
      </x:c>
      <x:c r="G51" s="26" t="n">
        <x:v>2726.664</x:v>
      </x:c>
      <x:c r="H51" s="26" t="n">
        <x:v>2034.141</x:v>
      </x:c>
      <x:c r="I51" s="9" t="s">
        <x:v>111</x:v>
      </x:c>
    </x:row>
    <x:row r="52" ht="15" hidden="0">
      <x:c r="A52" s="193" t="s">
        <x:v>170</x:v>
      </x:c>
      <x:c r="B52" s="195" t="s">
        <x:v>629</x:v>
      </x:c>
      <x:c r="C52" s="26" t="n">
        <x:v>367.952</x:v>
      </x:c>
      <x:c r="D52" s="26" t="n">
        <x:v>435.097</x:v>
      </x:c>
      <x:c r="E52" s="26" t="n">
        <x:v>862.309</x:v>
      </x:c>
      <x:c r="F52" s="26" t="n">
        <x:v>584.809</x:v>
      </x:c>
      <x:c r="G52" s="26" t="n">
        <x:v>432.704</x:v>
      </x:c>
      <x:c r="H52" s="26" t="n">
        <x:v>588.076</x:v>
      </x:c>
      <x:c r="I52" s="9" t="s">
        <x:v>111</x:v>
      </x:c>
    </x:row>
    <x:row r="53" ht="15" hidden="0">
      <x:c r="A53" s="193" t="s">
        <x:v>172</x:v>
      </x:c>
      <x:c r="B53" s="195" t="s">
        <x:v>630</x:v>
      </x:c>
      <x:c r="C53" s="26" t="n">
        <x:v>0</x:v>
      </x:c>
      <x:c r="D53" s="26" t="n">
        <x:v>0</x:v>
      </x:c>
      <x:c r="E53" s="26" t="n">
        <x:v>0</x:v>
      </x:c>
      <x:c r="F53" s="26" t="n">
        <x:v>0</x:v>
      </x:c>
      <x:c r="G53" s="26" t="n">
        <x:v>0</x:v>
      </x:c>
      <x:c r="H53" s="26" t="n">
        <x:v>0</x:v>
      </x:c>
      <x:c r="I53" s="9" t="s">
        <x:v>111</x:v>
      </x:c>
    </x:row>
    <x:row r="54" ht="15" hidden="0">
      <x:c r="A54" s="193" t="s">
        <x:v>174</x:v>
      </x:c>
      <x:c r="B54" s="195" t="s">
        <x:v>631</x:v>
      </x:c>
      <x:c r="C54" s="26" t="n">
        <x:v>1869.167</x:v>
      </x:c>
      <x:c r="D54" s="26" t="n">
        <x:v>1616.787</x:v>
      </x:c>
      <x:c r="E54" s="26" t="n">
        <x:v>10605.249</x:v>
      </x:c>
      <x:c r="F54" s="26" t="n">
        <x:v>11917.981</x:v>
      </x:c>
      <x:c r="G54" s="26" t="n">
        <x:v>8837.934</x:v>
      </x:c>
      <x:c r="H54" s="26" t="n">
        <x:v>9764.648</x:v>
      </x:c>
      <x:c r="I54" s="9" t="s">
        <x:v>111</x:v>
      </x:c>
    </x:row>
    <x:row r="55" ht="15" hidden="0">
      <x:c r="A55" s="193" t="s">
        <x:v>176</x:v>
      </x:c>
      <x:c r="B55" s="195" t="s">
        <x:v>632</x:v>
      </x:c>
      <x:c r="C55" s="26" t="n">
        <x:v>303.912</x:v>
      </x:c>
      <x:c r="D55" s="26" t="n">
        <x:v>361.521</x:v>
      </x:c>
      <x:c r="E55" s="26" t="n">
        <x:v>2985.087</x:v>
      </x:c>
      <x:c r="F55" s="26" t="n">
        <x:v>4176.493</x:v>
      </x:c>
      <x:c r="G55" s="26" t="n">
        <x:v>5066.868</x:v>
      </x:c>
      <x:c r="H55" s="26" t="n">
        <x:v>6104.065</x:v>
      </x:c>
      <x:c r="I55" s="9" t="s">
        <x:v>111</x:v>
      </x:c>
    </x:row>
    <x:row r="56" ht="15" hidden="0">
      <x:c r="A56" s="193" t="s">
        <x:v>178</x:v>
      </x:c>
      <x:c r="B56" s="195" t="s">
        <x:v>633</x:v>
      </x:c>
      <x:c r="C56" s="26" t="n">
        <x:v>23.737</x:v>
      </x:c>
      <x:c r="D56" s="26" t="n">
        <x:v>24.686</x:v>
      </x:c>
      <x:c r="E56" s="26" t="n">
        <x:v>68.332</x:v>
      </x:c>
      <x:c r="F56" s="26" t="n">
        <x:v>50.463</x:v>
      </x:c>
      <x:c r="G56" s="26" t="n">
        <x:v>46.206</x:v>
      </x:c>
      <x:c r="H56" s="26" t="n">
        <x:v>43.099</x:v>
      </x:c>
      <x:c r="I56" s="9" t="s">
        <x:v>111</x:v>
      </x:c>
    </x:row>
    <x:row r="57" ht="15" hidden="0">
      <x:c r="A57" s="193" t="s">
        <x:v>180</x:v>
      </x:c>
      <x:c r="B57" s="195" t="s">
        <x:v>634</x:v>
      </x:c>
      <x:c r="C57" s="26" t="n">
        <x:v>0</x:v>
      </x:c>
      <x:c r="D57" s="26" t="n">
        <x:v>15.654</x:v>
      </x:c>
      <x:c r="E57" s="26" t="n">
        <x:v>366.464</x:v>
      </x:c>
      <x:c r="F57" s="26" t="n">
        <x:v>604.292</x:v>
      </x:c>
      <x:c r="G57" s="26" t="n">
        <x:v>580.891</x:v>
      </x:c>
      <x:c r="H57" s="26" t="n">
        <x:v>515.175</x:v>
      </x:c>
      <x:c r="I57" s="9" t="s">
        <x:v>111</x:v>
      </x:c>
    </x:row>
    <x:row r="58" ht="15" hidden="0">
      <x:c r="A58" s="193" t="s">
        <x:v>182</x:v>
      </x:c>
      <x:c r="B58" s="195" t="s">
        <x:v>635</x:v>
      </x:c>
      <x:c r="C58" s="26" t="n">
        <x:v>40.051</x:v>
      </x:c>
      <x:c r="D58" s="26" t="n">
        <x:v>38.479</x:v>
      </x:c>
      <x:c r="E58" s="26" t="n">
        <x:v>37.157</x:v>
      </x:c>
      <x:c r="F58" s="26" t="n">
        <x:v>36.001</x:v>
      </x:c>
      <x:c r="G58" s="26" t="n">
        <x:v>35.646</x:v>
      </x:c>
      <x:c r="H58" s="26" t="n">
        <x:v>41.182</x:v>
      </x:c>
      <x:c r="I58" s="9" t="s">
        <x:v>111</x:v>
      </x:c>
    </x:row>
    <x:row r="59" ht="15" hidden="0">
      <x:c r="A59" s="193" t="s">
        <x:v>184</x:v>
      </x:c>
      <x:c r="B59" s="195" t="s">
        <x:v>636</x:v>
      </x:c>
      <x:c r="C59" s="26" t="n">
        <x:v>0</x:v>
      </x:c>
      <x:c r="D59" s="26" t="n">
        <x:v>0</x:v>
      </x:c>
      <x:c r="E59" s="26" t="n">
        <x:v>0</x:v>
      </x:c>
      <x:c r="F59" s="26" t="n">
        <x:v>0</x:v>
      </x:c>
      <x:c r="G59" s="26" t="n">
        <x:v>56.81</x:v>
      </x:c>
      <x:c r="H59" s="26" t="n">
        <x:v>0</x:v>
      </x:c>
      <x:c r="I59" s="9" t="s">
        <x:v>111</x:v>
      </x:c>
    </x:row>
    <x:row r="60" ht="15" hidden="0">
      <x:c r="A60" s="193" t="s">
        <x:v>186</x:v>
      </x:c>
      <x:c r="B60" s="195" t="s">
        <x:v>637</x:v>
      </x:c>
      <x:c r="C60" s="26" t="n">
        <x:v>1414.393</x:v>
      </x:c>
      <x:c r="D60" s="26" t="n">
        <x:v>1847.123</x:v>
      </x:c>
      <x:c r="E60" s="26" t="n">
        <x:v>4879.506</x:v>
      </x:c>
      <x:c r="F60" s="26" t="n">
        <x:v>4600.354</x:v>
      </x:c>
      <x:c r="G60" s="26" t="n">
        <x:v>5699.618</x:v>
      </x:c>
      <x:c r="H60" s="26" t="n">
        <x:v>9646.744</x:v>
      </x:c>
      <x:c r="I60" s="9" t="s">
        <x:v>111</x:v>
      </x:c>
    </x:row>
    <x:row r="61" ht="15" hidden="0">
      <x:c r="A61" s="198" t="s">
        <x:v>188</x:v>
      </x:c>
      <x:c r="B61" s="195" t="s">
        <x:v>189</x:v>
      </x:c>
      <x:c r="C61" s="28" t="n">
        <x:f aca="0">C50+C52+C53+C54+C55+C56+C57+C58+C59+C60</x:f>
        <x:v>5182.458</x:v>
      </x:c>
      <x:c r="D61" s="28" t="n">
        <x:f aca="0">D50+D52+D53+D54+D55+D56+D57+D58+D59+D60</x:f>
        <x:v>6161.989</x:v>
      </x:c>
      <x:c r="E61" s="28" t="n">
        <x:f aca="0">E50+E52+E53+E54+E55+E56+E57+E58+E59+E60</x:f>
        <x:v>26721.253</x:v>
      </x:c>
      <x:c r="F61" s="28" t="n">
        <x:f aca="0">F50+F52+F53+F54+F55+F56+F57+F58+F59+F60</x:f>
        <x:v>28486.855000000003</x:v>
      </x:c>
      <x:c r="G61" s="28" t="n">
        <x:f aca="0">G50+G52+G53+G54+G55+G56+G57+G58+G59+G60</x:f>
        <x:v>26865.467000000004</x:v>
      </x:c>
      <x:c r="H61" s="28" t="n">
        <x:f aca="0">H50+H52+H53+H54+H55+H56+H57+H58+H59+H60</x:f>
        <x:v>30637.496999999996</x:v>
      </x:c>
      <x:c r="I61" s="9" t="s">
        <x:v>111</x:v>
      </x:c>
      <x:c r="J61" s="9" t="s">
        <x:v>190</x:v>
      </x:c>
    </x:row>
    <x:row r="62" ht="15" hidden="0">
      <x:c r="A62" s="198" t="s">
        <x:v>191</x:v>
      </x:c>
      <x:c r="B62" s="195" t="s">
        <x:v>192</x:v>
      </x:c>
      <x:c r="C62" s="28" t="n">
        <x:f aca="0">C48+C61</x:f>
        <x:v>9403.596</x:v>
      </x:c>
      <x:c r="D62" s="28" t="n">
        <x:f aca="0">D48+D61</x:f>
        <x:v>10776.56</x:v>
      </x:c>
      <x:c r="E62" s="28" t="n">
        <x:f aca="0">E48+E61</x:f>
        <x:v>55962.021</x:v>
      </x:c>
      <x:c r="F62" s="28" t="n">
        <x:f aca="0">F48+F61</x:f>
        <x:v>73652.76000000001</x:v>
      </x:c>
      <x:c r="G62" s="28" t="n">
        <x:f aca="0">G48+G61</x:f>
        <x:v>74237.44600000001</x:v>
      </x:c>
      <x:c r="H62" s="28" t="n">
        <x:f aca="0">H48+H61</x:f>
        <x:v>76572.983</x:v>
      </x:c>
      <x:c r="I62" s="9" t="s">
        <x:v>111</x:v>
      </x:c>
    </x:row>
    <x:row r="63" ht="15" hidden="0">
      <x:c r="A63" s="198" t="s">
        <x:v>193</x:v>
      </x:c>
      <x:c r="B63" s="195" t="s">
        <x:v>194</x:v>
      </x:c>
      <x:c r="C63" s="28" t="n">
        <x:f aca="0">C41+C62</x:f>
        <x:v>29207.915999999997</x:v>
      </x:c>
      <x:c r="D63" s="28" t="n">
        <x:f aca="0">D41+D62</x:f>
        <x:v>34052.231</x:v>
      </x:c>
      <x:c r="E63" s="28" t="n">
        <x:f aca="0">E41+E62</x:f>
        <x:v>113698.07699999999</x:v>
      </x:c>
      <x:c r="F63" s="28" t="n">
        <x:f aca="0">F41+F62</x:f>
        <x:v>138828.497</x:v>
      </x:c>
      <x:c r="G63" s="28" t="n">
        <x:f aca="0">G41+G62</x:f>
        <x:v>147636.299</x:v>
      </x:c>
      <x:c r="H63" s="28" t="n">
        <x:f aca="0">H41+H62</x:f>
        <x:v>160845.191</x:v>
      </x:c>
      <x:c r="I63" s="9" t="s">
        <x:v>111</x:v>
      </x:c>
    </x:row>
    <x:row r="64" ht="15" hidden="0">
      <x:c r="A64" s="201" t="s">
        <x:v>195</x:v>
      </x:c>
      <x:c r="B64" s="202"/>
      <x:c r="C64" s="25"/>
      <x:c r="D64" s="25"/>
      <x:c r="E64" s="25"/>
      <x:c r="F64" s="25"/>
      <x:c r="G64" s="25"/>
      <x:c r="H64" s="25"/>
      <x:c r="I64" s="25"/>
      <x:c r="J64" s="25"/>
    </x:row>
    <x:row r="65" ht="15" hidden="0">
      <x:c r="A65" s="193" t="s">
        <x:v>196</x:v>
      </x:c>
      <x:c r="B65" s="195" t="s">
        <x:v>197</x:v>
      </x:c>
      <x:c r="C65" s="27" t="n">
        <x:f aca="0">C30+C31</x:f>
        <x:v>4693.561</x:v>
      </x:c>
      <x:c r="D65" s="27" t="n">
        <x:f aca="0">D30+D31</x:f>
        <x:v>5439.952</x:v>
      </x:c>
      <x:c r="E65" s="27" t="n">
        <x:f aca="0">E30+E31</x:f>
        <x:v>15636.868</x:v>
      </x:c>
      <x:c r="F65" s="27" t="n">
        <x:f aca="0">F30+F31</x:f>
        <x:v>15123.508</x:v>
      </x:c>
      <x:c r="G65" s="27" t="n">
        <x:f aca="0">G30+G31</x:f>
        <x:v>16594.835</x:v>
      </x:c>
      <x:c r="H65" s="27" t="n">
        <x:f aca="0">H30+H31</x:f>
        <x:v>19714.625</x:v>
      </x:c>
      <x:c r="I65" s="9" t="s">
        <x:v>111</x:v>
      </x:c>
    </x:row>
    <x:row r="66" ht="15" hidden="0">
      <x:c r="A66" s="193" t="s">
        <x:v>198</x:v>
      </x:c>
      <x:c r="B66" s="195" t="s">
        <x:v>199</x:v>
      </x:c>
      <x:c r="C66" s="27" t="n">
        <x:f aca="0">C43+C44+C54+C55+C56-C251-C252</x:f>
        <x:v>2701.799</x:v>
      </x:c>
      <x:c r="D66" s="27" t="n">
        <x:f aca="0">D43+D44+D54+D55+D56-D251-D252</x:f>
        <x:v>2568.0890000000004</x:v>
      </x:c>
      <x:c r="E66" s="27" t="n">
        <x:f aca="0">E43+E44+E54+E55+E56-E251-E252</x:f>
        <x:v>25917.630000000005</x:v>
      </x:c>
      <x:c r="F66" s="27" t="n">
        <x:f aca="0">F43+F44+F54+F55+F56-F251-F252</x:f>
        <x:v>40653.99600000001</x:v>
      </x:c>
      <x:c r="G66" s="27" t="n">
        <x:f aca="0">G43+G44+G54+G55+G56-G251-G252</x:f>
        <x:v>36589.749</x:v>
      </x:c>
      <x:c r="H66" s="27" t="n">
        <x:f aca="0">H43+H44+H54+H55+H56-H251-H252</x:f>
        <x:v>40036.47</x:v>
      </x:c>
      <x:c r="I66" s="9" t="s">
        <x:v>111</x:v>
      </x:c>
    </x:row>
    <x:row r="67" ht="15" hidden="0">
      <x:c r="A67" s="193" t="s">
        <x:v>200</x:v>
      </x:c>
      <x:c r="B67" s="195" t="s">
        <x:v>201</x:v>
      </x:c>
      <x:c r="C67" s="27" t="n">
        <x:f aca="0">C43+C44</x:f>
        <x:v>504.983</x:v>
      </x:c>
      <x:c r="D67" s="27" t="n">
        <x:f aca="0">D43+D44</x:f>
        <x:v>565.095</x:v>
      </x:c>
      <x:c r="E67" s="27" t="n">
        <x:f aca="0">E43+E44</x:f>
        <x:v>19645.962</x:v>
      </x:c>
      <x:c r="F67" s="27" t="n">
        <x:f aca="0">F43+F44</x:f>
        <x:v>31896.059</x:v>
      </x:c>
      <x:c r="G67" s="27" t="n">
        <x:f aca="0">G43+G44</x:f>
        <x:v>30025.741</x:v>
      </x:c>
      <x:c r="H67" s="27" t="n">
        <x:f aca="0">H43+H44</x:f>
        <x:v>24309.844</x:v>
      </x:c>
      <x:c r="I67" s="9" t="s">
        <x:v>111</x:v>
      </x:c>
    </x:row>
    <x:row r="68" ht="15" hidden="0">
      <x:c r="A68" s="193"/>
      <x:c r="B68" s="195"/>
      <x:c r="C68" s="27">
        <x:f aca="0"/>
      </x:c>
      <x:c r="D68" s="27">
        <x:f aca="0"/>
      </x:c>
      <x:c r="E68" s="27">
        <x:f aca="0"/>
      </x:c>
      <x:c r="F68" s="27">
        <x:f aca="0"/>
      </x:c>
      <x:c r="G68" s="27">
        <x:f aca="0"/>
      </x:c>
      <x:c r="H68" s="27">
        <x:f aca="0"/>
      </x:c>
      <x:c r="I68" s="9" t="s">
        <x:v>111</x:v>
      </x:c>
    </x:row>
    <x:row r="69" ht="15" hidden="0">
      <x:c r="A69" s="193"/>
      <x:c r="B69" s="195"/>
      <x:c r="C69" s="27">
        <x:f aca="0"/>
      </x:c>
      <x:c r="D69" s="27">
        <x:f aca="0"/>
      </x:c>
      <x:c r="E69" s="27">
        <x:f aca="0"/>
      </x:c>
      <x:c r="F69" s="27">
        <x:f aca="0"/>
      </x:c>
      <x:c r="G69" s="27">
        <x:f aca="0"/>
      </x:c>
      <x:c r="H69" s="27">
        <x:f aca="0"/>
      </x:c>
      <x:c r="I69" s="9" t="s">
        <x:v>111</x:v>
      </x:c>
    </x:row>
    <x:row r="70" ht="15" hidden="0">
      <x:c r="A70" s="193" t="s">
        <x:v>202</x:v>
      </x:c>
      <x:c r="B70" s="195" t="s">
        <x:v>203</x:v>
      </x:c>
      <x:c r="C70" s="27" t="n">
        <x:f aca="0">C66+C41</x:f>
        <x:v>22506.119</x:v>
      </x:c>
      <x:c r="D70" s="27" t="n">
        <x:f aca="0">D66+D41</x:f>
        <x:v>25843.760000000002</x:v>
      </x:c>
      <x:c r="E70" s="27" t="n">
        <x:f aca="0">E66+E41</x:f>
        <x:v>83653.686</x:v>
      </x:c>
      <x:c r="F70" s="27" t="n">
        <x:f aca="0">F66+F41</x:f>
        <x:v>105829.73300000001</x:v>
      </x:c>
      <x:c r="G70" s="27" t="n">
        <x:f aca="0">G66+G41</x:f>
        <x:v>109988.60200000001</x:v>
      </x:c>
      <x:c r="H70" s="27" t="n">
        <x:f aca="0">H66+H41</x:f>
        <x:v>124308.678</x:v>
      </x:c>
      <x:c r="I70" s="9" t="s">
        <x:v>111</x:v>
      </x:c>
    </x:row>
    <x:row r="71" ht="15" hidden="0">
      <x:c r="A71" s="193" t="s">
        <x:v>204</x:v>
      </x:c>
      <x:c r="B71" s="195" t="s">
        <x:v>205</x:v>
      </x:c>
      <x:c r="C71" s="27" t="n">
        <x:f aca="0">C37-C61</x:f>
        <x:v>24025.458</x:v>
      </x:c>
      <x:c r="D71" s="27" t="n">
        <x:f aca="0">D37-D61</x:f>
        <x:v>27890.242</x:v>
      </x:c>
      <x:c r="E71" s="27" t="n">
        <x:f aca="0">E37-E61</x:f>
        <x:v>86976.82400000002</x:v>
      </x:c>
      <x:c r="F71" s="27" t="n">
        <x:f aca="0">F37-F61</x:f>
        <x:v>110341.64199999999</x:v>
      </x:c>
      <x:c r="G71" s="27" t="n">
        <x:f aca="0">G37-G61</x:f>
        <x:v>120770.832</x:v>
      </x:c>
      <x:c r="H71" s="27" t="n">
        <x:f aca="0">H37-H61</x:f>
        <x:v>130207.69400000002</x:v>
      </x:c>
      <x:c r="I71" s="9" t="s">
        <x:v>111</x:v>
      </x:c>
    </x:row>
    <x:row r="72" ht="15" hidden="0">
      <x:c r="A72" s="193" t="s">
        <x:v>206</x:v>
      </x:c>
      <x:c r="B72" s="195" t="s">
        <x:v>207</x:v>
      </x:c>
      <x:c r="C72" s="27" t="n">
        <x:f aca="0">C36-C34-C33</x:f>
        <x:v>6422.147</x:v>
      </x:c>
      <x:c r="D72" s="27" t="n">
        <x:f aca="0">D36-D34-D33</x:f>
        <x:v>7140.255</x:v>
      </x:c>
      <x:c r="E72" s="27" t="n">
        <x:f aca="0">E36-E34-E33</x:f>
        <x:v>22067.169</x:v>
      </x:c>
      <x:c r="F72" s="27" t="n">
        <x:f aca="0">F36-F34-F33</x:f>
        <x:v>21914.042</x:v>
      </x:c>
      <x:c r="G72" s="27" t="n">
        <x:f aca="0">G36-G34-G33</x:f>
        <x:v>22601.087</x:v>
      </x:c>
      <x:c r="H72" s="27" t="n">
        <x:f aca="0">H36-H34-H33</x:f>
        <x:v>28597.127</x:v>
      </x:c>
      <x:c r="I72" s="9" t="s">
        <x:v>111</x:v>
      </x:c>
    </x:row>
    <x:row r="73" ht="15" hidden="0">
      <x:c r="A73" s="193" t="s">
        <x:v>208</x:v>
      </x:c>
      <x:c r="B73" s="195" t="s">
        <x:v>209</x:v>
      </x:c>
      <x:c r="C73" s="27" t="n">
        <x:f aca="0">C61-C54-C55-C56-C57-C53-C58</x:f>
        <x:v>2945.591</x:v>
      </x:c>
      <x:c r="D73" s="27" t="n">
        <x:f aca="0">D61-D54-D55-D56-D57-D53-D58</x:f>
        <x:v>4104.861999999999</x:v>
      </x:c>
      <x:c r="E73" s="27" t="n">
        <x:f aca="0">E61-E54-E55-E56-E57-E53-E58</x:f>
        <x:v>12658.964000000002</x:v>
      </x:c>
      <x:c r="F73" s="27" t="n">
        <x:f aca="0">F61-F54-F55-F56-F57-F53-F58</x:f>
        <x:v>11701.625000000004</x:v>
      </x:c>
      <x:c r="G73" s="27" t="n">
        <x:f aca="0">G61-G54-G55-G56-G57-G53-G58</x:f>
        <x:v>12297.922000000002</x:v>
      </x:c>
      <x:c r="H73" s="27" t="n">
        <x:f aca="0">H61-H54-H55-H56-H57-H53-H58</x:f>
        <x:v>14169.327999999996</x:v>
      </x:c>
      <x:c r="I73" s="9" t="s">
        <x:v>111</x:v>
      </x:c>
    </x:row>
    <x:row r="74" ht="15" hidden="0">
      <x:c r="A74" s="201" t="s">
        <x:v>210</x:v>
      </x:c>
      <x:c r="B74" s="202"/>
      <x:c r="C74" s="25"/>
      <x:c r="D74" s="25"/>
      <x:c r="E74" s="25"/>
      <x:c r="F74" s="25"/>
      <x:c r="G74" s="25"/>
      <x:c r="H74" s="25"/>
      <x:c r="I74" s="25"/>
      <x:c r="J74" s="25"/>
    </x:row>
    <x:row r="75" ht="15" hidden="0">
      <x:c r="A75" s="193" t="s">
        <x:v>211</x:v>
      </x:c>
      <x:c r="B75" s="195" t="s">
        <x:v>638</x:v>
      </x:c>
      <x:c r="C75" s="26" t="n">
        <x:v>29207.916</x:v>
      </x:c>
      <x:c r="D75" s="26" t="n">
        <x:v>34052.231</x:v>
      </x:c>
      <x:c r="E75" s="26" t="n">
        <x:v>113698.077</x:v>
      </x:c>
      <x:c r="F75" s="26" t="n">
        <x:v>138828.497</x:v>
      </x:c>
      <x:c r="G75" s="26" t="n">
        <x:v>147636.299</x:v>
      </x:c>
      <x:c r="H75" s="26" t="n">
        <x:v>160845.191</x:v>
      </x:c>
      <x:c r="I75" s="9" t="s">
        <x:v>111</x:v>
      </x:c>
    </x:row>
    <x:row r="76" ht="15" hidden="0">
      <x:c r="A76" s="193" t="s">
        <x:v>213</x:v>
      </x:c>
      <x:c r="B76" s="195" t="s">
        <x:v>639</x:v>
      </x:c>
      <x:c r="C76" s="26" t="n">
        <x:v>19804.32</x:v>
      </x:c>
      <x:c r="D76" s="26" t="n">
        <x:v>23275.671</x:v>
      </x:c>
      <x:c r="E76" s="26" t="n">
        <x:v>57736.056</x:v>
      </x:c>
      <x:c r="F76" s="26" t="n">
        <x:v>65175.737</x:v>
      </x:c>
      <x:c r="G76" s="26" t="n">
        <x:v>73398.853</x:v>
      </x:c>
      <x:c r="H76" s="26" t="n">
        <x:v>84272.208</x:v>
      </x:c>
      <x:c r="I76" s="9" t="s">
        <x:v>111</x:v>
      </x:c>
    </x:row>
    <x:row r="77" ht="15" hidden="0">
      <x:c r="A77" s="193" t="s">
        <x:v>215</x:v>
      </x:c>
      <x:c r="B77" s="195" t="s">
        <x:v>640</x:v>
      </x:c>
      <x:c r="C77" s="26" t="n">
        <x:v>6983.321</x:v>
      </x:c>
      <x:c r="D77" s="26" t="n">
        <x:v>12438.732</x:v>
      </x:c>
      <x:c r="E77" s="26" t="n">
        <x:v>28216.812</x:v>
      </x:c>
      <x:c r="F77" s="26" t="n">
        <x:v>23134.499</x:v>
      </x:c>
      <x:c r="G77" s="26" t="n">
        <x:v>25784.071</x:v>
      </x:c>
      <x:c r="H77" s="26" t="n">
        <x:v>40472.565</x:v>
      </x:c>
      <x:c r="I77" s="9" t="s">
        <x:v>111</x:v>
      </x:c>
    </x:row>
    <x:row r="78" ht="15" hidden="0">
      <x:c r="A78" s="193" t="s">
        <x:v>217</x:v>
      </x:c>
      <x:c r="B78" s="195" t="s">
        <x:v>641</x:v>
      </x:c>
      <x:c r="C78" s="26" t="n">
        <x:v>5182.458</x:v>
      </x:c>
      <x:c r="D78" s="26" t="n">
        <x:v>6161.989</x:v>
      </x:c>
      <x:c r="E78" s="26" t="n">
        <x:v>26721.253</x:v>
      </x:c>
      <x:c r="F78" s="26" t="n">
        <x:v>28486.855</x:v>
      </x:c>
      <x:c r="G78" s="26" t="n">
        <x:v>26865.467</x:v>
      </x:c>
      <x:c r="H78" s="26" t="n">
        <x:v>30637.497</x:v>
      </x:c>
      <x:c r="I78" s="9" t="s">
        <x:v>111</x:v>
      </x:c>
    </x:row>
    <x:row r="79" ht="15" hidden="0">
      <x:c r="A79" s="193" t="s">
        <x:v>219</x:v>
      </x:c>
      <x:c r="B79" s="195" t="s">
        <x:v>220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s="193" t="s">
        <x:v>221</x:v>
      </x:c>
      <x:c r="B80" s="195" t="s">
        <x:v>220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s="193" t="s">
        <x:v>222</x:v>
      </x:c>
      <x:c r="B81" s="195" t="s">
        <x:v>220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2">
      <x:c r="A82" s="193"/>
      <x:c r="B82" s="193"/>
    </x:row>
    <x:row r="83" ht="15" hidden="0">
      <x:c r="A83" s="196" t="s">
        <x:v>223</x:v>
      </x:c>
      <x:c r="B83" s="197"/>
      <x:c r="C83" s="20"/>
      <x:c r="D83" s="20"/>
      <x:c r="E83" s="20"/>
      <x:c r="F83" s="20"/>
      <x:c r="G83" s="20"/>
      <x:c r="H83" s="20"/>
      <x:c r="I83" s="20"/>
      <x:c r="J83" s="20"/>
    </x:row>
    <x:row r="84" ht="15" hidden="0">
      <x:c r="A84" s="193" t="s">
        <x:v>224</x:v>
      </x:c>
      <x:c r="B84" s="195" t="s">
        <x:v>642</x:v>
      </x:c>
      <x:c r="C84" s="30"/>
      <x:c r="D84" s="26" t="n">
        <x:v>24271.285</x:v>
      </x:c>
      <x:c r="E84" s="26" t="n">
        <x:v>54243.118</x:v>
      </x:c>
      <x:c r="F84" s="26" t="n">
        <x:v>68069.282</x:v>
      </x:c>
      <x:c r="G84" s="26" t="n">
        <x:v>80026.226</x:v>
      </x:c>
      <x:c r="H84" s="26" t="n">
        <x:v>88956.328</x:v>
      </x:c>
      <x:c r="I84" s="9" t="s">
        <x:v>111</x:v>
      </x:c>
    </x:row>
    <x:row r="85" ht="15" hidden="0">
      <x:c r="A85" s="193" t="s">
        <x:v>226</x:v>
      </x:c>
      <x:c r="B85" s="195" t="s">
        <x:v>643</x:v>
      </x:c>
      <x:c r="C85" s="30"/>
      <x:c r="D85" s="26" t="n">
        <x:v>-18206.88</x:v>
      </x:c>
      <x:c r="E85" s="26" t="n">
        <x:v>-38779.542</x:v>
      </x:c>
      <x:c r="F85" s="26" t="n">
        <x:v>-47650.809</x:v>
      </x:c>
      <x:c r="G85" s="26" t="n">
        <x:v>-54345.821</x:v>
      </x:c>
      <x:c r="H85" s="26" t="n">
        <x:v>-57384.978</x:v>
      </x:c>
      <x:c r="I85" s="9" t="s">
        <x:v>111</x:v>
      </x:c>
    </x:row>
    <x:row r="86" ht="15" hidden="0">
      <x:c r="A86" s="198" t="s">
        <x:v>228</x:v>
      </x:c>
      <x:c r="B86" s="195" t="s">
        <x:v>229</x:v>
      </x:c>
      <x:c r="C86" s="31"/>
      <x:c r="D86" s="28" t="n">
        <x:f aca="0">D84+D85</x:f>
        <x:v>6064.404999999999</x:v>
      </x:c>
      <x:c r="E86" s="28" t="n">
        <x:f aca="0">E84+E85</x:f>
        <x:v>15463.576000000001</x:v>
      </x:c>
      <x:c r="F86" s="28" t="n">
        <x:f aca="0">F84+F85</x:f>
        <x:v>20418.473000000005</x:v>
      </x:c>
      <x:c r="G86" s="28" t="n">
        <x:f aca="0">G84+G85</x:f>
        <x:v>25680.40499999999</x:v>
      </x:c>
      <x:c r="H86" s="28" t="n">
        <x:f aca="0">H84+H85</x:f>
        <x:v>31571.34999999999</x:v>
      </x:c>
      <x:c r="I86" s="9" t="s">
        <x:v>111</x:v>
      </x:c>
    </x:row>
    <x:row r="87" ht="15" hidden="0">
      <x:c r="A87" s="193" t="s">
        <x:v>230</x:v>
      </x:c>
      <x:c r="B87" s="195" t="s">
        <x:v>644</x:v>
      </x:c>
      <x:c r="C87" s="30"/>
      <x:c r="D87" s="26" t="n">
        <x:v>-189.537</x:v>
      </x:c>
      <x:c r="E87" s="26" t="n">
        <x:v>-1603.323</x:v>
      </x:c>
      <x:c r="F87" s="26" t="n">
        <x:v>-2705.263</x:v>
      </x:c>
      <x:c r="G87" s="26" t="n">
        <x:v>-3285.923</x:v>
      </x:c>
      <x:c r="H87" s="26" t="n">
        <x:v>-2935.139</x:v>
      </x:c>
      <x:c r="I87" s="9" t="s">
        <x:v>111</x:v>
      </x:c>
    </x:row>
    <x:row r="88" ht="15" hidden="0">
      <x:c r="A88" s="193" t="s">
        <x:v>232</x:v>
      </x:c>
      <x:c r="B88" s="195" t="s">
        <x:v>645</x:v>
      </x:c>
      <x:c r="C88" s="30"/>
      <x:c r="D88" s="26" t="n">
        <x:v>-524.709</x:v>
      </x:c>
      <x:c r="E88" s="26" t="n">
        <x:v>-1299.439</x:v>
      </x:c>
      <x:c r="F88" s="26" t="n">
        <x:v>-1381.633</x:v>
      </x:c>
      <x:c r="G88" s="26" t="n">
        <x:v>-1516.046</x:v>
      </x:c>
      <x:c r="H88" s="26" t="n">
        <x:v>-1688.886</x:v>
      </x:c>
      <x:c r="I88" s="9" t="s">
        <x:v>111</x:v>
      </x:c>
    </x:row>
    <x:row r="89" ht="15" hidden="0">
      <x:c r="A89" s="193" t="s">
        <x:v>234</x:v>
      </x:c>
      <x:c r="B89" s="195" t="s">
        <x:v>646</x:v>
      </x:c>
      <x:c r="C89" s="30"/>
      <x:c r="D89" s="26" t="n">
        <x:v>0</x:v>
      </x:c>
      <x:c r="E89" s="26" t="n">
        <x:v>0</x:v>
      </x:c>
      <x:c r="F89" s="26" t="n">
        <x:v>0</x:v>
      </x:c>
      <x:c r="G89" s="26" t="n">
        <x:v>0</x:v>
      </x:c>
      <x:c r="H89" s="26" t="n">
        <x:v>0</x:v>
      </x:c>
      <x:c r="I89" s="9" t="s">
        <x:v>111</x:v>
      </x:c>
    </x:row>
    <x:row r="90" ht="15" hidden="0">
      <x:c r="A90" s="193" t="s">
        <x:v>236</x:v>
      </x:c>
      <x:c r="B90" s="195" t="s">
        <x:v>647</x:v>
      </x:c>
      <x:c r="C90" s="30"/>
      <x:c r="D90" s="26" t="n">
        <x:v>-377.946</x:v>
      </x:c>
      <x:c r="E90" s="26" t="n">
        <x:v>-808.964</x:v>
      </x:c>
      <x:c r="F90" s="26" t="n">
        <x:v>-750.078</x:v>
      </x:c>
      <x:c r="G90" s="26" t="n">
        <x:v>-826.875</x:v>
      </x:c>
      <x:c r="H90" s="26" t="n">
        <x:v>-1479.276</x:v>
      </x:c>
      <x:c r="I90" s="9" t="s">
        <x:v>111</x:v>
      </x:c>
    </x:row>
    <x:row r="91" ht="15" hidden="0">
      <x:c r="A91" s="193" t="s">
        <x:v>238</x:v>
      </x:c>
      <x:c r="B91" s="195" t="s">
        <x:v>239</x:v>
      </x:c>
      <x:c r="C91" s="30"/>
      <x:c r="D91" s="27" t="n">
        <x:f aca="0">D86+D87+D88+D89+D90</x:f>
        <x:v>4972.212999999999</x:v>
      </x:c>
      <x:c r="E91" s="27" t="n">
        <x:f aca="0">E86+E87+E88+E89+E90</x:f>
        <x:v>11751.85</x:v>
      </x:c>
      <x:c r="F91" s="27" t="n">
        <x:f aca="0">F86+F87+F88+F89+F90</x:f>
        <x:v>15581.499000000007</x:v>
      </x:c>
      <x:c r="G91" s="27" t="n">
        <x:f aca="0">G86+G87+G88+G89+G90</x:f>
        <x:v>20051.560999999994</x:v>
      </x:c>
      <x:c r="H91" s="27" t="n">
        <x:f aca="0">H86+H87+H88+H89+H90</x:f>
        <x:v>25468.04899999999</x:v>
      </x:c>
      <x:c r="I91" s="9" t="s">
        <x:v>111</x:v>
      </x:c>
    </x:row>
    <x:row r="92" ht="15" hidden="0">
      <x:c r="A92" s="193" t="s">
        <x:v>240</x:v>
      </x:c>
      <x:c r="B92" s="195" t="s">
        <x:v>648</x:v>
      </x:c>
      <x:c r="C92" s="30"/>
      <x:c r="D92" s="26" t="n">
        <x:v>81.71</x:v>
      </x:c>
      <x:c r="E92" s="26" t="n">
        <x:v>230.695</x:v>
      </x:c>
      <x:c r="F92" s="26" t="n">
        <x:v>436.173</x:v>
      </x:c>
      <x:c r="G92" s="26" t="n">
        <x:v>540.373</x:v>
      </x:c>
      <x:c r="H92" s="26" t="n">
        <x:v>760.772</x:v>
      </x:c>
      <x:c r="I92" s="9" t="s">
        <x:v>111</x:v>
      </x:c>
    </x:row>
    <x:row r="93" ht="15" hidden="0">
      <x:c r="A93" s="193" t="s">
        <x:v>242</x:v>
      </x:c>
      <x:c r="B93" s="195" t="s">
        <x:v>649</x:v>
      </x:c>
      <x:c r="C93" s="30"/>
      <x:c r="D93" s="26" t="n">
        <x:v>160.543</x:v>
      </x:c>
      <x:c r="E93" s="26" t="n">
        <x:v>745.852</x:v>
      </x:c>
      <x:c r="F93" s="26" t="n">
        <x:v>527.702</x:v>
      </x:c>
      <x:c r="G93" s="26" t="n">
        <x:v>299.318</x:v>
      </x:c>
      <x:c r="H93" s="26" t="n">
        <x:v>1068.831</x:v>
      </x:c>
      <x:c r="I93" s="9" t="s">
        <x:v>111</x:v>
      </x:c>
    </x:row>
    <x:row r="94" ht="15" hidden="0">
      <x:c r="A94" s="193" t="s">
        <x:v>244</x:v>
      </x:c>
      <x:c r="B94" s="195" t="s">
        <x:v>650</x:v>
      </x:c>
      <x:c r="C94" s="30"/>
      <x:c r="D94" s="26" t="n">
        <x:v>2.849</x:v>
      </x:c>
      <x:c r="E94" s="26" t="n">
        <x:v>1.308</x:v>
      </x:c>
      <x:c r="F94" s="26" t="n">
        <x:v>0</x:v>
      </x:c>
      <x:c r="G94" s="26" t="n">
        <x:v>0</x:v>
      </x:c>
      <x:c r="H94" s="26" t="n">
        <x:v>0</x:v>
      </x:c>
      <x:c r="I94" s="9" t="s">
        <x:v>111</x:v>
      </x:c>
    </x:row>
    <x:row r="95" ht="15" hidden="0">
      <x:c r="A95" s="193" t="s">
        <x:v>246</x:v>
      </x:c>
      <x:c r="B95" s="195" t="s">
        <x:v>651</x:v>
      </x:c>
      <x:c r="C95" s="30"/>
      <x:c r="D95" s="26" t="n">
        <x:v>-109.623</x:v>
      </x:c>
      <x:c r="E95" s="26" t="n">
        <x:v>-1201.612</x:v>
      </x:c>
      <x:c r="F95" s="26" t="n">
        <x:v>-3645.265</x:v>
      </x:c>
      <x:c r="G95" s="26" t="n">
        <x:v>-5536.298</x:v>
      </x:c>
      <x:c r="H95" s="26" t="n">
        <x:v>-5772.132</x:v>
      </x:c>
      <x:c r="I95" s="9" t="s">
        <x:v>111</x:v>
      </x:c>
    </x:row>
    <x:row r="96" ht="15" hidden="0">
      <x:c r="A96" s="198" t="s">
        <x:v>248</x:v>
      </x:c>
      <x:c r="B96" s="195" t="s">
        <x:v>249</x:v>
      </x:c>
      <x:c r="C96" s="31"/>
      <x:c r="D96" s="28" t="n">
        <x:f aca="0">D91+D92+D93+D94+D95</x:f>
        <x:v>5107.691999999999</x:v>
      </x:c>
      <x:c r="E96" s="28" t="n">
        <x:f aca="0">E91+E92+E93+E94+E95</x:f>
        <x:v>11528.093</x:v>
      </x:c>
      <x:c r="F96" s="28" t="n">
        <x:f aca="0">F91+F92+F93+F94+F95</x:f>
        <x:v>12900.109000000008</x:v>
      </x:c>
      <x:c r="G96" s="28" t="n">
        <x:f aca="0">G91+G92+G93+G94+G95</x:f>
        <x:v>15354.953999999994</x:v>
      </x:c>
      <x:c r="H96" s="28" t="n">
        <x:f aca="0">H91+H92+H93+H94+H95</x:f>
        <x:v>21525.51999999999</x:v>
      </x:c>
      <x:c r="I96" s="9" t="s">
        <x:v>111</x:v>
      </x:c>
    </x:row>
    <x:row r="97" ht="15" hidden="0">
      <x:c r="A97" s="193" t="s">
        <x:v>250</x:v>
      </x:c>
      <x:c r="B97" s="195" t="s">
        <x:v>652</x:v>
      </x:c>
      <x:c r="C97" s="30"/>
      <x:c r="D97" s="26" t="n">
        <x:v>0</x:v>
      </x:c>
      <x:c r="E97" s="26" t="n">
        <x:v>0</x:v>
      </x:c>
      <x:c r="F97" s="26" t="n">
        <x:v>-45.66</x:v>
      </x:c>
      <x:c r="G97" s="26" t="n">
        <x:v>-55.223</x:v>
      </x:c>
      <x:c r="H97" s="26" t="n">
        <x:v>0</x:v>
      </x:c>
      <x:c r="I97" s="9" t="s">
        <x:v>111</x:v>
      </x:c>
    </x:row>
    <x:row r="98" ht="15" hidden="0">
      <x:c r="A98" s="193" t="s">
        <x:v>252</x:v>
      </x:c>
      <x:c r="B98" s="195" t="s">
        <x:v>653</x:v>
      </x:c>
      <x:c r="C98" s="30"/>
      <x:c r="D98" s="26" t="n">
        <x:v>-1636.341</x:v>
      </x:c>
      <x:c r="E98" s="26" t="n">
        <x:v>-4415.553</x:v>
      </x:c>
      <x:c r="F98" s="26" t="n">
        <x:v>-5414.768</x:v>
      </x:c>
      <x:c r="G98" s="26" t="n">
        <x:v>-7076.615</x:v>
      </x:c>
      <x:c r="H98" s="26" t="n">
        <x:v>-8199.318</x:v>
      </x:c>
      <x:c r="I98" s="9" t="s">
        <x:v>111</x:v>
      </x:c>
    </x:row>
    <x:row r="99" ht="15" hidden="0">
      <x:c r="A99" s="198" t="s">
        <x:v>254</x:v>
      </x:c>
      <x:c r="B99" s="195" t="s">
        <x:v>255</x:v>
      </x:c>
      <x:c r="C99" s="31"/>
      <x:c r="D99" s="28" t="n">
        <x:f aca="0">D96+D97+D98</x:f>
        <x:v>3471.350999999999</x:v>
      </x:c>
      <x:c r="E99" s="28" t="n">
        <x:f aca="0">E96+E97+E98</x:f>
        <x:v>7112.540000000001</x:v>
      </x:c>
      <x:c r="F99" s="28" t="n">
        <x:f aca="0">F96+F97+F98</x:f>
        <x:v>7439.681000000008</x:v>
      </x:c>
      <x:c r="G99" s="28" t="n">
        <x:f aca="0">G96+G97+G98</x:f>
        <x:v>8223.115999999995</x:v>
      </x:c>
      <x:c r="H99" s="28" t="n">
        <x:f aca="0">H96+H97+H98</x:f>
        <x:v>13326.20199999999</x:v>
      </x:c>
      <x:c r="I99" s="9" t="s">
        <x:v>111</x:v>
      </x:c>
    </x:row>
    <x:row r="100" ht="15" hidden="0">
      <x:c r="A100" s="193" t="s">
        <x:v>256</x:v>
      </x:c>
      <x:c r="B100" s="195" t="s">
        <x:v>654</x:v>
      </x:c>
      <x:c r="C100" s="30"/>
      <x:c r="D100" s="26" t="n">
        <x:v>6064.405</x:v>
      </x:c>
      <x:c r="E100" s="26" t="n">
        <x:v>15463.576</x:v>
      </x:c>
      <x:c r="F100" s="26" t="n">
        <x:v>20418.473</x:v>
      </x:c>
      <x:c r="G100" s="26" t="n">
        <x:v>25680.405</x:v>
      </x:c>
      <x:c r="H100" s="26" t="n">
        <x:v>31571.35</x:v>
      </x:c>
      <x:c r="I100" s="9" t="s">
        <x:v>111</x:v>
      </x:c>
    </x:row>
    <x:row r="101" ht="15" hidden="0">
      <x:c r="A101" s="193" t="s">
        <x:v>258</x:v>
      </x:c>
      <x:c r="B101" s="195" t="s">
        <x:v>655</x:v>
      </x:c>
      <x:c r="C101" s="30"/>
      <x:c r="D101" s="26" t="n">
        <x:v>5107.692</x:v>
      </x:c>
      <x:c r="E101" s="26" t="n">
        <x:v>11528.093</x:v>
      </x:c>
      <x:c r="F101" s="26" t="n">
        <x:v>12900.109</x:v>
      </x:c>
      <x:c r="G101" s="26" t="n">
        <x:v>15354.954</x:v>
      </x:c>
      <x:c r="H101" s="26" t="n">
        <x:v>21525.52</x:v>
      </x:c>
      <x:c r="I101" s="9" t="s">
        <x:v>111</x:v>
      </x:c>
    </x:row>
    <x:row r="102" ht="15" hidden="0">
      <x:c r="A102" s="193" t="s">
        <x:v>260</x:v>
      </x:c>
      <x:c r="B102" s="195" t="s">
        <x:v>656</x:v>
      </x:c>
      <x:c r="C102" s="30"/>
      <x:c r="D102" s="26" t="n">
        <x:v>3471.351</x:v>
      </x:c>
      <x:c r="E102" s="26" t="n">
        <x:v>7112.54</x:v>
      </x:c>
      <x:c r="F102" s="26" t="n">
        <x:v>7439.681</x:v>
      </x:c>
      <x:c r="G102" s="26" t="n">
        <x:v>8223.116</x:v>
      </x:c>
      <x:c r="H102" s="26" t="n">
        <x:v>13326.202</x:v>
      </x:c>
      <x:c r="I102" s="9" t="s">
        <x:v>111</x:v>
      </x:c>
    </x:row>
    <x:row r="103" ht="15" hidden="0">
      <x:c r="A103" s="193" t="s">
        <x:v>262</x:v>
      </x:c>
      <x:c r="B103" s="195" t="s">
        <x:v>220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01" t="s">
        <x:v>263</x:v>
      </x:c>
      <x:c r="B104" s="202"/>
      <x:c r="C104" s="25"/>
      <x:c r="D104" s="25"/>
      <x:c r="E104" s="25"/>
      <x:c r="F104" s="25"/>
      <x:c r="G104" s="25"/>
      <x:c r="H104" s="25"/>
      <x:c r="I104" s="25"/>
      <x:c r="J104" s="25"/>
    </x:row>
    <x:row r="105" ht="15" hidden="0">
      <x:c r="A105" s="193" t="s">
        <x:v>264</x:v>
      </x:c>
      <x:c r="B105" s="195" t="s">
        <x:v>657</x:v>
      </x:c>
      <x:c r="C105" s="30"/>
      <x:c r="D105" s="26" t="n">
        <x:v>17.511</x:v>
      </x:c>
      <x:c r="E105" s="26" t="n">
        <x:v>206.388</x:v>
      </x:c>
      <x:c r="F105" s="26" t="n">
        <x:v>1020.455</x:v>
      </x:c>
      <x:c r="G105" s="26" t="n">
        <x:v>12.561</x:v>
      </x:c>
      <x:c r="H105" s="26" t="n">
        <x:v>97.854</x:v>
      </x:c>
      <x:c r="I105" s="9" t="s">
        <x:v>111</x:v>
      </x:c>
    </x:row>
    <x:row r="106" ht="15" hidden="0">
      <x:c r="A106" s="193" t="s">
        <x:v>266</x:v>
      </x:c>
      <x:c r="B106" s="195" t="s">
        <x:v>267</x:v>
      </x:c>
      <x:c r="C106" s="30"/>
      <x:c r="D106" s="27" t="n">
        <x:f aca="0">-D95-D105</x:f>
        <x:v>92.11200000000001</x:v>
      </x:c>
      <x:c r="E106" s="27" t="n">
        <x:f aca="0">-E95-E105</x:f>
        <x:v>995.224</x:v>
      </x:c>
      <x:c r="F106" s="27" t="n">
        <x:f aca="0">-F95-F105</x:f>
        <x:v>2624.81</x:v>
      </x:c>
      <x:c r="G106" s="27" t="n">
        <x:f aca="0">-G95-G105</x:f>
        <x:v>5523.737</x:v>
      </x:c>
      <x:c r="H106" s="27" t="n">
        <x:f aca="0">-H95-H105</x:f>
        <x:v>5674.277999999999</x:v>
      </x:c>
      <x:c r="I106" s="9" t="s">
        <x:v>111</x:v>
      </x:c>
    </x:row>
    <x:row r="107" ht="15" hidden="0">
      <x:c r="A107" s="193" t="s">
        <x:v>268</x:v>
      </x:c>
      <x:c r="B107" s="195" t="s">
        <x:v>658</x:v>
      </x:c>
      <x:c r="C107" s="30"/>
      <x:c r="D107" s="26" t="n">
        <x:v>1599.551</x:v>
      </x:c>
      <x:c r="E107" s="26" t="n">
        <x:v>2950.143</x:v>
      </x:c>
      <x:c r="F107" s="26" t="n">
        <x:v>3649.886</x:v>
      </x:c>
      <x:c r="G107" s="26" t="n">
        <x:v>4058.051</x:v>
      </x:c>
      <x:c r="H107" s="26" t="n">
        <x:v>4969.739</x:v>
      </x:c>
      <x:c r="I107" s="9" t="s">
        <x:v>111</x:v>
      </x:c>
    </x:row>
    <x:row r="108" ht="15" hidden="0">
      <x:c r="A108" s="198" t="s">
        <x:v>270</x:v>
      </x:c>
      <x:c r="B108" s="195" t="s">
        <x:v>271</x:v>
      </x:c>
      <x:c r="C108" s="31"/>
      <x:c r="D108" s="28" t="n">
        <x:f aca="0">D96-D95</x:f>
        <x:v>5217.314999999999</x:v>
      </x:c>
      <x:c r="E108" s="28" t="n">
        <x:f aca="0">E96-E95</x:f>
        <x:v>12729.705000000002</x:v>
      </x:c>
      <x:c r="F108" s="28" t="n">
        <x:f aca="0">F96-F95</x:f>
        <x:v>16545.374000000007</x:v>
      </x:c>
      <x:c r="G108" s="28" t="n">
        <x:f aca="0">G96-G95</x:f>
        <x:v>20891.251999999993</x:v>
      </x:c>
      <x:c r="H108" s="28" t="n">
        <x:f aca="0">H96-H95</x:f>
        <x:v>27297.651999999987</x:v>
      </x:c>
      <x:c r="I108" s="9" t="s">
        <x:v>111</x:v>
      </x:c>
    </x:row>
    <x:row r="109" ht="15" hidden="0">
      <x:c r="A109" s="198" t="s">
        <x:v>272</x:v>
      </x:c>
      <x:c r="B109" s="195" t="s">
        <x:v>273</x:v>
      </x:c>
      <x:c r="C109" s="31"/>
      <x:c r="D109" s="28" t="n">
        <x:f aca="0">D108+D107</x:f>
        <x:v>6816.865999999998</x:v>
      </x:c>
      <x:c r="E109" s="28" t="n">
        <x:f aca="0">E108+E107</x:f>
        <x:v>15679.848000000002</x:v>
      </x:c>
      <x:c r="F109" s="28" t="n">
        <x:f aca="0">F108+F107</x:f>
        <x:v>20195.260000000006</x:v>
      </x:c>
      <x:c r="G109" s="28" t="n">
        <x:f aca="0">G108+G107</x:f>
        <x:v>24949.302999999993</x:v>
      </x:c>
      <x:c r="H109" s="28" t="n">
        <x:f aca="0">H108+H107</x:f>
        <x:v>32267.39099999999</x:v>
      </x:c>
      <x:c r="I109" s="9" t="s">
        <x:v>111</x:v>
      </x:c>
    </x:row>
    <x:row r="110" ht="15" hidden="0">
      <x:c r="A110" s="193" t="s">
        <x:v>274</x:v>
      </x:c>
      <x:c r="B110" s="195" t="s">
        <x:v>275</x:v>
      </x:c>
      <x:c r="C110" s="30"/>
      <x:c r="D110" s="27" t="n">
        <x:f aca="0">-(D97+D98)</x:f>
        <x:v>1636.341</x:v>
      </x:c>
      <x:c r="E110" s="27" t="n">
        <x:f aca="0">-(E97+E98)</x:f>
        <x:v>4415.553</x:v>
      </x:c>
      <x:c r="F110" s="27" t="n">
        <x:f aca="0">-(F97+F98)</x:f>
        <x:v>5460.428</x:v>
      </x:c>
      <x:c r="G110" s="27" t="n">
        <x:f aca="0">-(G97+G98)</x:f>
        <x:v>7131.838</x:v>
      </x:c>
      <x:c r="H110" s="27" t="n">
        <x:f aca="0">-(H97+H98)</x:f>
        <x:v>8199.318</x:v>
      </x:c>
      <x:c r="I110" s="9" t="s">
        <x:v>111</x:v>
      </x:c>
    </x:row>
    <x:row r="111" ht="15" hidden="0">
      <x:c r="A111" s="193" t="s">
        <x:v>276</x:v>
      </x:c>
      <x:c r="B111" s="195" t="s">
        <x:v>277</x:v>
      </x:c>
      <x:c r="C111" s="30"/>
      <x:c r="D111" s="32" t="n">
        <x:f aca="0">IF(D96&lt;=0,"n/m",D110/D96)</x:f>
        <x:v>0.32036798616674617</x:v>
      </x:c>
      <x:c r="E111" s="32" t="n">
        <x:f aca="0">IF(E96&lt;=0,"n/m",E110/E96)</x:f>
        <x:v>0.383025449222174</x:v>
      </x:c>
      <x:c r="F111" s="32" t="n">
        <x:f aca="0">IF(F96&lt;=0,"n/m",F110/F96)</x:f>
        <x:v>0.42328541565036365</x:v>
      </x:c>
      <x:c r="G111" s="32" t="n">
        <x:f aca="0">IF(G96&lt;=0,"n/m",G110/G96)</x:f>
        <x:v>0.4644649537862505</x:v>
      </x:c>
      <x:c r="H111" s="32" t="n">
        <x:f aca="0">IF(H96&lt;=0,"n/m",H110/H96)</x:f>
        <x:v>0.3809114948210312</x:v>
      </x:c>
      <x:c r="I111" s="9" t="s">
        <x:v>278</x:v>
      </x:c>
    </x:row>
    <x:row r="112" ht="15" hidden="0">
      <x:c r="A112" s="193" t="str">
        <x:v>NOPAT tax rate = actual audited ETR (no cap)</x:v>
      </x:c>
      <x:c r="B112" s="195" t="s">
        <x:v>279</x:v>
      </x:c>
      <x:c r="C112" s="30"/>
      <x:c r="D112" s="32" t="n">
        <x:f aca="0">D111</x:f>
        <x:v>0.32036798616674617</x:v>
      </x:c>
      <x:c r="E112" s="32" t="n">
        <x:f aca="0">E111</x:f>
        <x:v>0.383025449222174</x:v>
      </x:c>
      <x:c r="F112" s="32" t="n">
        <x:f aca="0">F111</x:f>
        <x:v>0.42328541565036365</x:v>
      </x:c>
      <x:c r="G112" s="32" t="n">
        <x:f aca="0">G111</x:f>
        <x:v>0.4644649537862505</x:v>
      </x:c>
      <x:c r="H112" s="32" t="n">
        <x:f aca="0">H111</x:f>
        <x:v>0.3809114948210312</x:v>
      </x:c>
      <x:c r="I112" s="9" t="s">
        <x:v>278</x:v>
      </x:c>
    </x:row>
    <x:row r="113" ht="15" hidden="0">
      <x:c r="A113" s="193" t="s">
        <x:v>280</x:v>
      </x:c>
      <x:c r="B113" s="195" t="s">
        <x:v>281</x:v>
      </x:c>
      <x:c r="C113" s="30"/>
      <x:c r="D113" s="27" t="n">
        <x:f aca="0">IF(ISNUMBER(D112),D108*(1-D112),"n/m")</x:f>
        <x:v>3545.854300252442</x:v>
      </x:c>
      <x:c r="E113" s="27" t="n">
        <x:f aca="0">IF(ISNUMBER(E112),E108*(1-E112),"n/m")</x:f>
        <x:v>7853.904023909246</x:v>
      </x:c>
      <x:c r="F113" s="27" t="n">
        <x:f aca="0">IF(ISNUMBER(F112),F108*(1-F112),"n/m")</x:f>
        <x:v>9541.958489319286</x:v>
      </x:c>
      <x:c r="G113" s="27" t="n">
        <x:f aca="0">IF(ISNUMBER(G112),G108*(1-G112),"n/m")</x:f>
        <x:v>11187.997605283083</x:v>
      </x:c>
      <x:c r="H113" s="27" t="n">
        <x:f aca="0">IF(ISNUMBER(H112),H108*(1-H112),"n/m")</x:f>
        <x:v>16899.662571575678</x:v>
      </x:c>
      <x:c r="I113" s="9" t="s">
        <x:v>111</x:v>
      </x:c>
    </x:row>
    <x:row r="114">
      <x:c r="A114" s="193"/>
      <x:c r="B114" s="193"/>
    </x:row>
    <x:row r="115" ht="15" hidden="0">
      <x:c r="A115" s="196" t="s">
        <x:v>282</x:v>
      </x:c>
      <x:c r="B115" s="197"/>
      <x:c r="C115" s="20"/>
      <x:c r="D115" s="20"/>
      <x:c r="E115" s="20"/>
      <x:c r="F115" s="20"/>
      <x:c r="G115" s="20"/>
      <x:c r="H115" s="20"/>
      <x:c r="I115" s="20"/>
      <x:c r="J115" s="20"/>
    </x:row>
    <x:row r="116" ht="15" hidden="0">
      <x:c r="A116" s="193" t="s">
        <x:v>283</x:v>
      </x:c>
      <x:c r="B116" s="195" t="s">
        <x:v>659</x:v>
      </x:c>
      <x:c r="C116" s="30"/>
      <x:c r="D116" s="26" t="n">
        <x:v>0</x:v>
      </x:c>
      <x:c r="E116" s="26" t="n">
        <x:v>0</x:v>
      </x:c>
      <x:c r="F116" s="26" t="n">
        <x:v>0</x:v>
      </x:c>
      <x:c r="G116" s="26" t="n">
        <x:v>0</x:v>
      </x:c>
      <x:c r="H116" s="26" t="n">
        <x:v>0</x:v>
      </x:c>
      <x:c r="I116" s="9" t="s">
        <x:v>111</x:v>
      </x:c>
    </x:row>
    <x:row r="117" ht="15" hidden="0">
      <x:c r="A117" s="193" t="s">
        <x:v>285</x:v>
      </x:c>
      <x:c r="B117" s="195" t="s">
        <x:v>660</x:v>
      </x:c>
      <x:c r="C117" s="30"/>
      <x:c r="D117" s="26" t="n">
        <x:v>5739.097</x:v>
      </x:c>
      <x:c r="E117" s="26" t="n">
        <x:v>7567.564</x:v>
      </x:c>
      <x:c r="F117" s="26" t="n">
        <x:v>16030.998</x:v>
      </x:c>
      <x:c r="G117" s="26" t="n">
        <x:v>22284.607</x:v>
      </x:c>
      <x:c r="H117" s="26" t="n">
        <x:v>24313.208</x:v>
      </x:c>
      <x:c r="I117" s="9" t="s">
        <x:v>111</x:v>
      </x:c>
    </x:row>
    <x:row r="118" ht="15" hidden="0">
      <x:c r="A118" s="193" t="s">
        <x:v>287</x:v>
      </x:c>
      <x:c r="B118" s="195" t="s">
        <x:v>661</x:v>
      </x:c>
      <x:c r="C118" s="30"/>
      <x:c r="D118" s="26" t="n">
        <x:v>-94.843</x:v>
      </x:c>
      <x:c r="E118" s="26" t="n">
        <x:v>-985.172</x:v>
      </x:c>
      <x:c r="F118" s="26" t="n">
        <x:v>-2483.101</x:v>
      </x:c>
      <x:c r="G118" s="26" t="n">
        <x:v>-6993.06</x:v>
      </x:c>
      <x:c r="H118" s="26" t="n">
        <x:v>-5559.451</x:v>
      </x:c>
      <x:c r="I118" s="9" t="s">
        <x:v>111</x:v>
      </x:c>
    </x:row>
    <x:row r="119" ht="15" hidden="0">
      <x:c r="A119" s="193" t="s">
        <x:v>289</x:v>
      </x:c>
      <x:c r="B119" s="195" t="s">
        <x:v>662</x:v>
      </x:c>
      <x:c r="C119" s="30"/>
      <x:c r="D119" s="33" t="s">
        <x:v>593</x:v>
      </x:c>
      <x:c r="E119" s="33" t="s">
        <x:v>593</x:v>
      </x:c>
      <x:c r="F119" s="33" t="s">
        <x:v>593</x:v>
      </x:c>
      <x:c r="G119" s="33" t="s">
        <x:v>593</x:v>
      </x:c>
      <x:c r="H119" s="33" t="s">
        <x:v>593</x:v>
      </x:c>
      <x:c r="I119" s="9" t="s">
        <x:v>292</x:v>
      </x:c>
    </x:row>
    <x:row r="120" ht="15" hidden="0">
      <x:c r="A120" s="193" t="s">
        <x:v>293</x:v>
      </x:c>
      <x:c r="B120" s="195" t="s">
        <x:v>294</x:v>
      </x:c>
      <x:c r="C120" s="30"/>
      <x:c r="D120" s="27" t="n">
        <x:f aca="0">IF(D119="Financing",D117+D118,D117)</x:f>
        <x:v>5644.254</x:v>
      </x:c>
      <x:c r="E120" s="27" t="n">
        <x:f aca="0">IF(E119="Financing",E117+E118,E117)</x:f>
        <x:v>6582.392</x:v>
      </x:c>
      <x:c r="F120" s="27" t="n">
        <x:f aca="0">IF(F119="Financing",F117+F118,F117)</x:f>
        <x:v>13547.896999999999</x:v>
      </x:c>
      <x:c r="G120" s="27" t="n">
        <x:f aca="0">IF(G119="Financing",G117+G118,G117)</x:f>
        <x:v>15291.546999999999</x:v>
      </x:c>
      <x:c r="H120" s="27" t="n">
        <x:f aca="0">IF(H119="Financing",H117+H118,H117)</x:f>
        <x:v>18753.756999999998</x:v>
      </x:c>
      <x:c r="I120" s="9" t="s">
        <x:v>111</x:v>
      </x:c>
    </x:row>
    <x:row r="121" ht="15" hidden="0">
      <x:c r="A121" s="193" t="s">
        <x:v>295</x:v>
      </x:c>
      <x:c r="B121" s="195" t="s">
        <x:v>663</x:v>
      </x:c>
      <x:c r="C121" s="30"/>
      <x:c r="D121" s="26" t="n">
        <x:v>-1007.205</x:v>
      </x:c>
      <x:c r="E121" s="26" t="n">
        <x:v>-28425.596</x:v>
      </x:c>
      <x:c r="F121" s="26" t="n">
        <x:v>-33903.442</x:v>
      </x:c>
      <x:c r="G121" s="26" t="n">
        <x:v>-8478.876</x:v>
      </x:c>
      <x:c r="H121" s="26" t="n">
        <x:v>-3477.647</x:v>
      </x:c>
      <x:c r="I121" s="9" t="s">
        <x:v>111</x:v>
      </x:c>
    </x:row>
    <x:row r="122" ht="15" hidden="0">
      <x:c r="A122" s="193" t="s">
        <x:v>297</x:v>
      </x:c>
      <x:c r="B122" s="195" t="s">
        <x:v>664</x:v>
      </x:c>
      <x:c r="C122" s="30"/>
      <x:c r="D122" s="26" t="n">
        <x:v>-5141.658</x:v>
      </x:c>
      <x:c r="E122" s="26" t="n">
        <x:v>-26064.704</x:v>
      </x:c>
      <x:c r="F122" s="26" t="n">
        <x:v>-29667.173</x:v>
      </x:c>
      <x:c r="G122" s="26" t="n">
        <x:v>-8158.036</x:v>
      </x:c>
      <x:c r="H122" s="26" t="n">
        <x:v>-11259.19</x:v>
      </x:c>
      <x:c r="I122" s="9" t="s">
        <x:v>111</x:v>
      </x:c>
    </x:row>
    <x:row r="123" ht="15" hidden="0">
      <x:c r="A123" s="193" t="s">
        <x:v>299</x:v>
      </x:c>
      <x:c r="B123" s="195" t="s">
        <x:v>665</x:v>
      </x:c>
      <x:c r="C123" s="30"/>
      <x:c r="D123" s="26" t="n">
        <x:v>-5.455</x:v>
      </x:c>
      <x:c r="E123" s="26" t="n">
        <x:v>19345.923</x:v>
      </x:c>
      <x:c r="F123" s="26" t="n">
        <x:v>10897.767</x:v>
      </x:c>
      <x:c r="G123" s="26" t="n">
        <x:v>-8479.996</x:v>
      </x:c>
      <x:c r="H123" s="26" t="n">
        <x:v>-12739.192</x:v>
      </x:c>
      <x:c r="I123" s="9" t="s">
        <x:v>111</x:v>
      </x:c>
    </x:row>
    <x:row r="124" ht="15" hidden="0">
      <x:c r="A124" s="193" t="s">
        <x:v>301</x:v>
      </x:c>
      <x:c r="B124" s="195" t="s">
        <x:v>666</x:v>
      </x:c>
      <x:c r="C124" s="30"/>
      <x:c r="D124" s="26" t="n">
        <x:v>-1.572</x:v>
      </x:c>
      <x:c r="E124" s="26" t="n">
        <x:v>-1.322</x:v>
      </x:c>
      <x:c r="F124" s="26" t="n">
        <x:v>-1.156</x:v>
      </x:c>
      <x:c r="G124" s="26" t="n">
        <x:v>-0.355</x:v>
      </x:c>
      <x:c r="H124" s="26" t="n">
        <x:v>-2447.311</x:v>
      </x:c>
      <x:c r="I124" s="9" t="s">
        <x:v>111</x:v>
      </x:c>
    </x:row>
    <x:row r="125">
      <x:c r="A125" s="193"/>
      <x:c r="B125" s="193"/>
    </x:row>
    <x:row r="126" ht="15" hidden="0">
      <x:c r="A126" s="196" t="s">
        <x:v>303</x:v>
      </x:c>
      <x:c r="B126" s="197"/>
      <x:c r="C126" s="20"/>
      <x:c r="D126" s="20"/>
      <x:c r="E126" s="20"/>
      <x:c r="F126" s="20"/>
      <x:c r="G126" s="20"/>
      <x:c r="H126" s="20"/>
      <x:c r="I126" s="20"/>
      <x:c r="J126" s="20"/>
    </x:row>
    <x:row r="127" ht="15" hidden="0">
      <x:c r="A127" s="193" t="s">
        <x:v>304</x:v>
      </x:c>
      <x:c r="B127" s="195" t="s">
        <x:v>667</x:v>
      </x:c>
      <x:c r="C127" s="30"/>
      <x:c r="D127" s="34" t="n">
        <x:v>10</x:v>
      </x:c>
      <x:c r="E127" s="34" t="n">
        <x:v>10</x:v>
      </x:c>
      <x:c r="F127" s="34" t="n">
        <x:v>10</x:v>
      </x:c>
      <x:c r="G127" s="34" t="n">
        <x:v>10</x:v>
      </x:c>
      <x:c r="H127" s="34" t="n">
        <x:v>10</x:v>
      </x:c>
      <x:c r="I127" s="9" t="s">
        <x:v>306</x:v>
      </x:c>
    </x:row>
    <x:row r="128" ht="15" hidden="0">
      <x:c r="A128" s="193" t="s">
        <x:v>307</x:v>
      </x:c>
      <x:c r="B128" s="195" t="s">
        <x:v>308</x:v>
      </x:c>
      <x:c r="C128" s="30"/>
      <x:c r="D128" s="35" t="n">
        <x:f aca="0">D39/D127-D135</x:f>
        <x:v>1379.815</x:v>
      </x:c>
      <x:c r="E128" s="35" t="n">
        <x:f aca="0">E39/E127-E135</x:f>
        <x:v>2180.309</x:v>
      </x:c>
      <x:c r="F128" s="35" t="n">
        <x:f aca="0">F39/F127-F135</x:f>
        <x:v>2452.8476</x:v>
      </x:c>
      <x:c r="G128" s="35" t="n">
        <x:f aca="0">G39/G127-G135</x:f>
        <x:v>2452.8476</x:v>
      </x:c>
      <x:c r="H128" s="35" t="n">
        <x:f aca="0">H39/H127-H135</x:f>
        <x:v>2452.8476</x:v>
      </x:c>
      <x:c r="I128" s="9" t="s">
        <x:v>309</x:v>
      </x:c>
    </x:row>
    <x:row r="129" ht="15" hidden="0">
      <x:c r="A129" s="193" t="s">
        <x:v>310</x:v>
      </x:c>
      <x:c r="B129" s="195" t="s">
        <x:v>668</x:v>
      </x:c>
      <x:c r="C129" s="30"/>
      <x:c r="D129" s="36" t="n">
        <x:v>1379.815</x:v>
      </x:c>
      <x:c r="E129" s="36" t="n">
        <x:v>2180.309</x:v>
      </x:c>
      <x:c r="F129" s="36" t="n">
        <x:f>F128</x:f>
        <x:v>2452.8476</x:v>
      </x:c>
      <x:c r="G129" s="36" t="n">
        <x:v>2452.847</x:v>
      </x:c>
      <x:c r="H129" s="36" t="n">
        <x:v>2452.847</x:v>
      </x:c>
      <x:c r="I129" s="9" t="s">
        <x:v>309</x:v>
      </x:c>
    </x:row>
    <x:row r="130" ht="15" hidden="0">
      <x:c r="A130" s="193" t="str">
        <x:v>FY-end share price (Rs; last PSX close)</x:v>
      </x:c>
      <x:c r="B130" s="195" t="s">
        <x:v>669</x:v>
      </x:c>
      <x:c r="C130" s="30"/>
      <x:c r="D130" s="34" t="n">
        <x:v>23</x:v>
      </x:c>
      <x:c r="E130" s="34" t="n">
        <x:v>14.17</x:v>
      </x:c>
      <x:c r="F130" s="34" t="n">
        <x:v>11.76</x:v>
      </x:c>
      <x:c r="G130" s="34" t="n">
        <x:v>22.91</x:v>
      </x:c>
      <x:c r="H130" s="34" t="n">
        <x:v>44.67</x:v>
      </x:c>
      <x:c r="I130" s="9" t="s">
        <x:v>306</x:v>
      </x:c>
    </x:row>
    <x:row r="131" ht="15" hidden="0">
      <x:c r="A131" s="193" t="s">
        <x:v>313</x:v>
      </x:c>
      <x:c r="B131" s="195" t="s">
        <x:v>670</x:v>
      </x:c>
      <x:c r="C131" s="30"/>
      <x:c r="D131" s="34" t="n">
        <x:v>0</x:v>
      </x:c>
      <x:c r="E131" s="34" t="n">
        <x:v>0</x:v>
      </x:c>
      <x:c r="F131" s="34" t="n">
        <x:v>0</x:v>
      </x:c>
      <x:c r="G131" s="34" t="n">
        <x:v>1</x:v>
      </x:c>
      <x:c r="H131" s="34" t="n">
        <x:v>1.25</x:v>
      </x:c>
      <x:c r="I131" s="9" t="s">
        <x:v>306</x:v>
      </x:c>
    </x:row>
    <x:row r="132" ht="15" hidden="0">
      <x:c r="A132" s="193" t="str">
        <x:v>Reported EPS (Rs; own-year report basis)</x:v>
      </x:c>
      <x:c r="B132" s="195" t="s">
        <x:v>671</x:v>
      </x:c>
      <x:c r="C132" s="30"/>
      <x:c r="D132" s="34" t="n">
        <x:v>2.52</x:v>
      </x:c>
      <x:c r="E132" s="34" t="n">
        <x:v>3.26</x:v>
      </x:c>
      <x:c r="F132" s="34" t="n">
        <x:v>3.16</x:v>
      </x:c>
      <x:c r="G132" s="34" t="n">
        <x:v>3.35</x:v>
      </x:c>
      <x:c r="H132" s="34" t="n">
        <x:v>5.43</x:v>
      </x:c>
      <x:c r="I132" s="9" t="s">
        <x:v>306</x:v>
      </x:c>
    </x:row>
    <x:row r="133" ht="15" hidden="0">
      <x:c r="A133" s="193" t="s">
        <x:v>316</x:v>
      </x:c>
      <x:c r="B133" s="195" t="s">
        <x:v>317</x:v>
      </x:c>
      <x:c r="C133" s="30"/>
      <x:c r="D133" s="27" t="n">
        <x:f aca="0">D130*D128</x:f>
        <x:v>31735.745000000003</x:v>
      </x:c>
      <x:c r="E133" s="27" t="n">
        <x:f aca="0">E130*E128</x:f>
        <x:v>30894.978530000004</x:v>
      </x:c>
      <x:c r="F133" s="27" t="n">
        <x:f aca="0">F130*F128</x:f>
        <x:v>28845.487776</x:v>
      </x:c>
      <x:c r="G133" s="27" t="n">
        <x:f aca="0">G130*G128</x:f>
        <x:v>56194.738516000005</x:v>
      </x:c>
      <x:c r="H133" s="27" t="n">
        <x:f aca="0">H130*H128</x:f>
        <x:v>109568.702292</x:v>
      </x:c>
      <x:c r="I133" s="9" t="s">
        <x:v>111</x:v>
      </x:c>
    </x:row>
    <x:row r="134" ht="15" hidden="0">
      <x:c r="A134" s="193" t="str">
        <x:v>Factor to FY2025 annual-report split basis (memo)</x:v>
      </x:c>
      <x:c r="B134" s="195" t="s">
        <x:v>672</x:v>
      </x:c>
      <x:c r="C134" s="30"/>
      <x:c r="D134" s="34" t="n">
        <x:v>1</x:v>
      </x:c>
      <x:c r="E134" s="34" t="n">
        <x:v>1</x:v>
      </x:c>
      <x:c r="F134" s="34" t="n">
        <x:v>1</x:v>
      </x:c>
      <x:c r="G134" s="34" t="n">
        <x:v>1</x:v>
      </x:c>
      <x:c r="H134" s="34" t="n">
        <x:v>1</x:v>
      </x:c>
      <x:c r="I134" s="9" t="s">
        <x:v>319</x:v>
      </x:c>
    </x:row>
    <x:row r="135">
      <x:c r="A135" s="193" t="str">
        <x:v>Treasury shares excluded (million)</x:v>
      </x:c>
      <x:c r="B135" s="195"/>
      <x:c r="C135" s="30"/>
      <x:c r="D135" s="34" t="n">
        <x:v>0</x:v>
      </x:c>
      <x:c r="E135" s="34" t="n">
        <x:v>0</x:v>
      </x:c>
      <x:c r="F135" s="34" t="n">
        <x:v>0</x:v>
      </x:c>
      <x:c r="G135" s="34" t="n">
        <x:v>0</x:v>
      </x:c>
      <x:c r="H135" s="34" t="n">
        <x:v>0</x:v>
      </x:c>
    </x:row>
    <x:row r="136" ht="15" hidden="0">
      <x:c r="A136" s="196" t="s">
        <x:v>320</x:v>
      </x:c>
      <x:c r="B136" s="197"/>
      <x:c r="C136" s="20"/>
      <x:c r="D136" s="20"/>
      <x:c r="E136" s="20"/>
      <x:c r="F136" s="20"/>
      <x:c r="G136" s="20"/>
      <x:c r="H136" s="20"/>
      <x:c r="I136" s="20"/>
      <x:c r="J136" s="20"/>
    </x:row>
    <x:row r="137" ht="22" hidden="0" customHeight="1">
      <x:c r="A137" s="203" t="str">
        <x:v>Liquidity</x:v>
      </x:c>
      <x:c r="B137" s="204"/>
      <x:c r="C137" s="129"/>
      <x:c r="D137" s="129"/>
      <x:c r="E137" s="129"/>
      <x:c r="F137" s="129"/>
      <x:c r="G137" s="129"/>
      <x:c r="H137" s="129"/>
      <x:c r="I137" s="25"/>
      <x:c r="J137" s="25"/>
    </x:row>
    <x:row r="138" ht="15" hidden="0">
      <x:c r="A138" s="207" t="str">
        <x:v>1. Current ratio</x:v>
      </x:c>
      <x:c r="B138" s="205" t="str">
        <x:v>Current Assets / Current Liabilities</x:v>
      </x:c>
      <x:c r="C138" s="30"/>
      <x:c r="D138" s="121" t="n">
        <x:f>IF(OR((D61)&lt;=0,(D36)&lt;0),"n/m",(D36)/(D61))</x:f>
        <x:v>2.01862288296847</x:v>
      </x:c>
      <x:c r="E138" s="121" t="n">
        <x:f>IF(OR((E61)&lt;=0,(E36)&lt;0),"n/m",(E36)/(E61))</x:f>
        <x:v>1.0559688948718087</x:v>
      </x:c>
      <x:c r="F138" s="121" t="n">
        <x:f>IF(OR((F61)&lt;=0,(F36)&lt;0),"n/m",(F36)/(F61))</x:f>
        <x:v>0.8121113755800701</x:v>
      </x:c>
      <x:c r="G138" s="121" t="n">
        <x:f>IF(OR((G61)&lt;=0,(G36)&lt;0),"n/m",(G36)/(G61))</x:f>
        <x:v>0.9597477311673009</x:v>
      </x:c>
      <x:c r="H138" s="121" t="n">
        <x:f>IF(OR((H61)&lt;=0,(H36)&lt;0),"n/m",(H36)/(H61))</x:f>
        <x:v>1.3210140828410366</x:v>
      </x:c>
      <x:c r="I138" s="9" t="s">
        <x:v>321</x:v>
      </x:c>
    </x:row>
    <x:row r="139" ht="15" hidden="0">
      <x:c r="A139" s="207" t="str">
        <x:v>2. Quick ratio</x:v>
      </x:c>
      <x:c r="B139" s="205" t="str">
        <x:v>(Current Assets - Inventories) / Current Liabilities</x:v>
      </x:c>
      <x:c r="C139" s="30"/>
      <x:c r="D139" s="121" t="n">
        <x:f>IF(OR((D61)&lt;=0,(D36-D65)&lt;0),"n/m",(D36-D65)/(D61))</x:f>
        <x:v>1.1357988467684703</x:v>
      </x:c>
      <x:c r="E139" s="121" t="n">
        <x:f>IF(OR((E61)&lt;=0,(E36-E65)&lt;0),"n/m",(E36-E65)/(E61))</x:f>
        <x:v>0.4707842106056928</x:v>
      </x:c>
      <x:c r="F139" s="121" t="n">
        <x:f>IF(OR((F61)&lt;=0,(F36-F65)&lt;0),"n/m",(F36-F65)/(F61))</x:f>
        <x:v>0.2812171087331332</x:v>
      </x:c>
      <x:c r="G139" s="121" t="n">
        <x:f>IF(OR((G61)&lt;=0,(G36-G65)&lt;0),"n/m",(G36-G65)/(G61))</x:f>
        <x:v>0.3420463898878065</x:v>
      </x:c>
      <x:c r="H139" s="121" t="n">
        <x:f>IF(OR((H61)&lt;=0,(H36-H65)&lt;0),"n/m",(H36-H65)/(H61))</x:f>
        <x:v>0.6775338076736492</x:v>
      </x:c>
      <x:c r="I139" s="9" t="s">
        <x:v>321</x:v>
      </x:c>
    </x:row>
    <x:row r="140" ht="15" hidden="0">
      <x:c r="A140" s="207" t="str">
        <x:v>3. Cash ratio</x:v>
      </x:c>
      <x:c r="B140" s="205" t="str">
        <x:v>Cash and Bank / Current Liabilities</x:v>
      </x:c>
      <x:c r="C140" s="30"/>
      <x:c r="D140" s="121" t="n">
        <x:f>IF(OR((D61)&lt;=0,(D34)&lt;0),"n/m",(D34)/(D61))</x:f>
        <x:v>0.14618299383526975</x:v>
      </x:c>
      <x:c r="E140" s="121" t="n">
        <x:f>IF(OR((E61)&lt;=0,(E34)&lt;0),"n/m",(E34)/(E61))</x:f>
        <x:v>0.08632203736853207</x:v>
      </x:c>
      <x:c r="F140" s="121" t="n">
        <x:f>IF(OR((F61)&lt;=0,(F34)&lt;0),"n/m",(F34)/(F61))</x:f>
        <x:v>0.03406683538776042</x:v>
      </x:c>
      <x:c r="G140" s="121" t="n">
        <x:f>IF(OR((G61)&lt;=0,(G34)&lt;0),"n/m",(G34)/(G61))</x:f>
        <x:v>0.10917301381732912</x:v>
      </x:c>
      <x:c r="H140" s="121" t="n">
        <x:f>IF(OR((H61)&lt;=0,(H34)&lt;0),"n/m",(H34)/(H61))</x:f>
        <x:v>0.08699594487108397</x:v>
      </x:c>
      <x:c r="I140" s="9" t="s">
        <x:v>321</x:v>
      </x:c>
    </x:row>
    <x:row r="141" ht="15" hidden="0">
      <x:c r="A141" s="207" t="str">
        <x:v>4. Net working capital (PKR m)</x:v>
      </x:c>
      <x:c r="B141" s="205" t="str">
        <x:v>Current Assets - Current Liabilities</x:v>
      </x:c>
      <x:c r="C141" s="30"/>
      <x:c r="D141" s="122" t="n">
        <x:f>IF(OR((1)&lt;=0,(D36-D61)&lt;0),"n/m",(D36-D61)/(1))</x:f>
        <x:v>6276.743</x:v>
      </x:c>
      <x:c r="E141" s="122" t="n">
        <x:f>IF(OR((1)&lt;=0,(E36-E61)&lt;0),"n/m",(E36-E61)/(1))</x:f>
        <x:v>1495.559000000001</x:v>
      </x:c>
      <x:c r="F141" s="122" t="str">
        <x:f>IF(OR((1)&lt;=0,(F36-F61)&lt;0),"n/m",(F36-F61)/(1))</x:f>
        <x:v>n/m</x:v>
      </x:c>
      <x:c r="G141" s="122" t="str">
        <x:f>IF(OR((1)&lt;=0,(G36-G61)&lt;0),"n/m",(G36-G61)/(1))</x:f>
        <x:v>n/m</x:v>
      </x:c>
      <x:c r="H141" s="122" t="n">
        <x:f>IF(OR((1)&lt;=0,(H36-H61)&lt;0),"n/m",(H36-H61)/(1))</x:f>
        <x:v>9835.068000000007</x:v>
      </x:c>
      <x:c r="I141" s="9" t="s">
        <x:v>111</x:v>
      </x:c>
    </x:row>
    <x:row r="142" ht="15" hidden="0">
      <x:c r="A142" s="207" t="str">
        <x:v>5. Net operating working capital (PKR m)</x:v>
      </x:c>
      <x:c r="B142" s="205" t="str">
        <x:v>Operating CA - Operating CL</x:v>
      </x:c>
      <x:c r="C142" s="30"/>
      <x:c r="D142" s="122" t="n">
        <x:f>IF(OR((1)&lt;=0,(D72-D73)&lt;0),"n/m",(D72-D73)/(1))</x:f>
        <x:v>3035.393000000001</x:v>
      </x:c>
      <x:c r="E142" s="122" t="n">
        <x:f>IF(OR((1)&lt;=0,(E72-E73)&lt;0),"n/m",(E72-E73)/(1))</x:f>
        <x:v>9408.205</x:v>
      </x:c>
      <x:c r="F142" s="122" t="n">
        <x:f>IF(OR((1)&lt;=0,(F72-F73)&lt;0),"n/m",(F72-F73)/(1))</x:f>
        <x:v>10212.416999999998</x:v>
      </x:c>
      <x:c r="G142" s="122" t="n">
        <x:f>IF(OR((1)&lt;=0,(G72-G73)&lt;0),"n/m",(G72-G73)/(1))</x:f>
        <x:v>10303.164999999997</x:v>
      </x:c>
      <x:c r="H142" s="122" t="n">
        <x:f>IF(OR((1)&lt;=0,(H72-H73)&lt;0),"n/m",(H72-H73)/(1))</x:f>
        <x:v>14427.799000000005</x:v>
      </x:c>
      <x:c r="I142" s="9" t="s">
        <x:v>111</x:v>
      </x:c>
    </x:row>
    <x:row r="143" ht="22" hidden="0" customHeight="1">
      <x:c r="A143" s="203" t="str">
        <x:v>Asset Management</x:v>
      </x:c>
      <x:c r="B143" s="204"/>
      <x:c r="C143" s="129"/>
      <x:c r="D143" s="129"/>
      <x:c r="E143" s="129"/>
      <x:c r="F143" s="129"/>
      <x:c r="G143" s="129"/>
      <x:c r="H143" s="129"/>
      <x:c r="I143" s="25"/>
      <x:c r="J143" s="25"/>
    </x:row>
    <x:row r="144" ht="15" hidden="0">
      <x:c r="A144" s="207" t="str">
        <x:v>6. Inventory turnover</x:v>
      </x:c>
      <x:c r="B144" s="205" t="str">
        <x:v>COGS / Average Inventory</x:v>
      </x:c>
      <x:c r="C144" s="30"/>
      <x:c r="D144" s="121" t="n">
        <x:f>IF(OR((AVERAGE(C65,D65))&lt;=0,(-D85)&lt;0),"n/m",(-D85)/(AVERAGE(C65,D65)))</x:f>
        <x:v>3.593399445976929</x:v>
      </x:c>
      <x:c r="E144" s="121" t="n">
        <x:f>IF(OR((AVERAGE(D65,E65))&lt;=0,(-E85)&lt;0),"n/m",(-E85)/(AVERAGE(D65,E65)))</x:f>
        <x:v>3.679828550986344</x:v>
      </x:c>
      <x:c r="F144" s="121" t="n">
        <x:f>IF(OR((AVERAGE(E65,F65))&lt;=0,(-F85)&lt;0),"n/m",(-F85)/(AVERAGE(E65,F65)))</x:f>
        <x:v>3.0981941833220765</x:v>
      </x:c>
      <x:c r="G144" s="121" t="n">
        <x:f>IF(OR((AVERAGE(F65,G65))&lt;=0,(-G85)&lt;0),"n/m",(-G85)/(AVERAGE(F65,G65)))</x:f>
        <x:v>3.4267755412065504</x:v>
      </x:c>
      <x:c r="H144" s="121" t="n">
        <x:f>IF(OR((AVERAGE(G65,H65))&lt;=0,(-H85)&lt;0),"n/m",(-H85)/(AVERAGE(G65,H65)))</x:f>
        <x:v>3.1608830315846066</x:v>
      </x:c>
      <x:c r="I144" s="9" t="s">
        <x:v>321</x:v>
      </x:c>
    </x:row>
    <x:row r="145" ht="15" hidden="0">
      <x:c r="A145" s="207" t="str">
        <x:v>7. Receivables turnover</x:v>
      </x:c>
      <x:c r="B145" s="205" t="str">
        <x:v>Net Sales / Average Trade Debts</x:v>
      </x:c>
      <x:c r="C145" s="30"/>
      <x:c r="D145" s="121" t="n">
        <x:f>IF(OR((AVERAGE(C32,D32))&lt;=0,(D84)&lt;0),"n/m",(D84)/(AVERAGE(C32,D32)))</x:f>
        <x:v>19.415164144242155</x:v>
      </x:c>
      <x:c r="E145" s="121" t="n">
        <x:f>IF(OR((AVERAGE(D32,E32))&lt;=0,(E84)&lt;0),"n/m",(E84)/(AVERAGE(D32,E32)))</x:f>
        <x:v>28.088084014998095</x:v>
      </x:c>
      <x:c r="F145" s="121" t="n">
        <x:f>IF(OR((AVERAGE(E32,F32))&lt;=0,(F84)&lt;0),"n/m",(F84)/(AVERAGE(E32,F32)))</x:f>
        <x:v>22.74585573789227</x:v>
      </x:c>
      <x:c r="G145" s="121" t="n">
        <x:f>IF(OR((AVERAGE(F32,G32))&lt;=0,(G84)&lt;0),"n/m",(G84)/(AVERAGE(F32,G32)))</x:f>
        <x:v>17.554064923929165</x:v>
      </x:c>
      <x:c r="H145" s="121" t="n">
        <x:f>IF(OR((AVERAGE(G32,H32))&lt;=0,(H84)&lt;0),"n/m",(H84)/(AVERAGE(G32,H32)))</x:f>
        <x:v>14.28264409693107</x:v>
      </x:c>
      <x:c r="I145" s="9" t="s">
        <x:v>321</x:v>
      </x:c>
    </x:row>
    <x:row r="146" ht="15" hidden="0">
      <x:c r="A146" s="207" t="str">
        <x:v>8. Payables turnover</x:v>
      </x:c>
      <x:c r="B146" s="205" t="str">
        <x:v>COGS / Average Trade Creditors</x:v>
      </x:c>
      <x:c r="C146" s="30"/>
      <x:c r="D146" s="121" t="n">
        <x:f>IF(OR((AVERAGE(C51,D51))&lt;=0,(-D85)&lt;0),"n/m",(-D85)/(AVERAGE(C51,D51)))</x:f>
        <x:v>29.905586617872185</x:v>
      </x:c>
      <x:c r="E146" s="121" t="n">
        <x:f>IF(OR((AVERAGE(D51,E51))&lt;=0,(-E85)&lt;0),"n/m",(-E85)/(AVERAGE(D51,E51)))</x:f>
        <x:v>21.870744516457957</x:v>
      </x:c>
      <x:c r="F146" s="121" t="n">
        <x:f>IF(OR((AVERAGE(E51,F51))&lt;=0,(-F85)&lt;0),"n/m",(-F85)/(AVERAGE(E51,F51)))</x:f>
        <x:v>17.959235676951813</x:v>
      </x:c>
      <x:c r="G146" s="121" t="n">
        <x:f>IF(OR((AVERAGE(F51,G51))&lt;=0,(-G85)&lt;0),"n/m",(-G85)/(AVERAGE(F51,G51)))</x:f>
        <x:v>20.3161719818632</x:v>
      </x:c>
      <x:c r="H146" s="121" t="n">
        <x:f>IF(OR((AVERAGE(G51,H51))&lt;=0,(-H85)&lt;0),"n/m",(-H85)/(AVERAGE(G51,H51)))</x:f>
        <x:v>24.107258331311616</x:v>
      </x:c>
      <x:c r="I146" s="9" t="s">
        <x:v>321</x:v>
      </x:c>
    </x:row>
    <x:row r="147" ht="15" hidden="0">
      <x:c r="A147" s="207" t="str">
        <x:v>9. Days inventory outstanding</x:v>
      </x:c>
      <x:c r="B147" s="205" t="str">
        <x:v>365 / Inventory Turnover</x:v>
      </x:c>
      <x:c r="C147" s="30"/>
      <x:c r="D147" s="123" t="n">
        <x:f>IF(OR((-D85)&lt;=0,(365*AVERAGE(C65,D65))&lt;0),"n/m",(365*AVERAGE(C65,D65))/(-D85))</x:f>
        <x:v>101.57512558439446</x:v>
      </x:c>
      <x:c r="E147" s="123" t="n">
        <x:f>IF(OR((-E85)&lt;=0,(365*AVERAGE(D65,E65))&lt;0),"n/m",(365*AVERAGE(D65,E65))/(-E85))</x:f>
        <x:v>99.189403784088</x:v>
      </x:c>
      <x:c r="F147" s="123" t="n">
        <x:f>IF(OR((-F85)&lt;=0,(365*AVERAGE(E65,F65))&lt;0),"n/m",(365*AVERAGE(E65,F65))/(-F85))</x:f>
        <x:v>117.81056267061489</x:v>
      </x:c>
      <x:c r="G147" s="123" t="n">
        <x:f>IF(OR((-G85)&lt;=0,(365*AVERAGE(F65,G65))&lt;0),"n/m",(365*AVERAGE(F65,G65))/(-G85))</x:f>
        <x:v>106.51412548353994</x:v>
      </x:c>
      <x:c r="H147" s="123" t="n">
        <x:f>IF(OR((-H85)&lt;=0,(365*AVERAGE(G65,H65))&lt;0),"n/m",(365*AVERAGE(G65,H65))/(-H85))</x:f>
        <x:v>115.47406099903009</x:v>
      </x:c>
      <x:c r="I147" s="9" t="s">
        <x:v>322</x:v>
      </x:c>
    </x:row>
    <x:row r="148" ht="15" hidden="0">
      <x:c r="A148" s="207" t="str">
        <x:v>10. Days sales outstanding</x:v>
      </x:c>
      <x:c r="B148" s="205" t="str">
        <x:v>365 / Receivables Turnover</x:v>
      </x:c>
      <x:c r="C148" s="30"/>
      <x:c r="D148" s="123" t="n">
        <x:f>IF(OR((D84)&lt;=0,(365*AVERAGE(C32,D32))&lt;0),"n/m",(365*AVERAGE(C32,D32))/(D84))</x:f>
        <x:v>18.799738044359827</x:v>
      </x:c>
      <x:c r="E148" s="123" t="n">
        <x:f>IF(OR((E84)&lt;=0,(365*AVERAGE(D32,E32))&lt;0),"n/m",(365*AVERAGE(D32,E32))/(E84))</x:f>
        <x:v>12.994834386179642</x:v>
      </x:c>
      <x:c r="F148" s="123" t="n">
        <x:f>IF(OR((F84)&lt;=0,(365*AVERAGE(E32,F32))&lt;0),"n/m",(365*AVERAGE(E32,F32))/(F84))</x:f>
        <x:v>16.04687922960609</x:v>
      </x:c>
      <x:c r="G148" s="123" t="n">
        <x:f>IF(OR((G84)&lt;=0,(365*AVERAGE(F32,G32))&lt;0),"n/m",(365*AVERAGE(F32,G32))/(G84))</x:f>
        <x:v>20.792904753499183</x:v>
      </x:c>
      <x:c r="H148" s="123" t="n">
        <x:f>IF(OR((H84)&lt;=0,(365*AVERAGE(G32,H32))&lt;0),"n/m",(365*AVERAGE(G32,H32))/(H84))</x:f>
        <x:v>25.555492212987932</x:v>
      </x:c>
      <x:c r="I148" s="9" t="s">
        <x:v>322</x:v>
      </x:c>
    </x:row>
    <x:row r="149" ht="15" hidden="0">
      <x:c r="A149" s="207" t="str">
        <x:v>11. Days payables outstanding</x:v>
      </x:c>
      <x:c r="B149" s="205" t="str">
        <x:v>365 / Payables Turnover</x:v>
      </x:c>
      <x:c r="C149" s="30"/>
      <x:c r="D149" s="123" t="n">
        <x:f>IF(OR((-D85)&lt;=0,(365*AVERAGE(C51,D51))&lt;0),"n/m",(365*AVERAGE(C51,D51))/(-D85))</x:f>
        <x:v>12.205077421282503</x:v>
      </x:c>
      <x:c r="E149" s="123" t="n">
        <x:f>IF(OR((-E85)&lt;=0,(365*AVERAGE(D51,E51))&lt;0),"n/m",(365*AVERAGE(D51,E51))/(-E85))</x:f>
        <x:v>16.688960895928066</x:v>
      </x:c>
      <x:c r="F149" s="123" t="n">
        <x:f>IF(OR((-F85)&lt;=0,(365*AVERAGE(E51,F51))&lt;0),"n/m",(365*AVERAGE(E51,F51))/(-F85))</x:f>
        <x:v>20.323804785769745</x:v>
      </x:c>
      <x:c r="G149" s="123" t="n">
        <x:f>IF(OR((-G85)&lt;=0,(365*AVERAGE(F51,G51))&lt;0),"n/m",(365*AVERAGE(F51,G51))/(-G85))</x:f>
        <x:v>17.96598297778959</x:v>
      </x:c>
      <x:c r="H149" s="123" t="n">
        <x:f>IF(OR((-H85)&lt;=0,(365*AVERAGE(G51,H51))&lt;0),"n/m",(365*AVERAGE(G51,H51))/(-H85))</x:f>
        <x:v>15.14066821634052</x:v>
      </x:c>
      <x:c r="I149" s="9" t="s">
        <x:v>322</x:v>
      </x:c>
    </x:row>
    <x:row r="150" ht="15" hidden="0">
      <x:c r="A150" s="207" t="str">
        <x:v>12. Operating cycle (days)</x:v>
      </x:c>
      <x:c r="B150" s="205" t="str">
        <x:v>DIO + DSO</x:v>
      </x:c>
      <x:c r="C150" s="30"/>
      <x:c r="D150" s="123" t="n">
        <x:f>IF(OR((1)&lt;=0,(365*AVERAGE(C65,D65)/(-D85)+365*AVERAGE(C32,D32)/D84)&lt;0),"n/m",(365*AVERAGE(C65,D65)/(-D85)+365*AVERAGE(C32,D32)/D84)/(1))</x:f>
        <x:v>120.37486362875428</x:v>
      </x:c>
      <x:c r="E150" s="123" t="n">
        <x:f>IF(OR((1)&lt;=0,(365*AVERAGE(D65,E65)/(-E85)+365*AVERAGE(D32,E32)/E84)&lt;0),"n/m",(365*AVERAGE(D65,E65)/(-E85)+365*AVERAGE(D32,E32)/E84)/(1))</x:f>
        <x:v>112.18423817026765</x:v>
      </x:c>
      <x:c r="F150" s="123" t="n">
        <x:f>IF(OR((1)&lt;=0,(365*AVERAGE(E65,F65)/(-F85)+365*AVERAGE(E32,F32)/F84)&lt;0),"n/m",(365*AVERAGE(E65,F65)/(-F85)+365*AVERAGE(E32,F32)/F84)/(1))</x:f>
        <x:v>133.85744190022098</x:v>
      </x:c>
      <x:c r="G150" s="123" t="n">
        <x:f>IF(OR((1)&lt;=0,(365*AVERAGE(F65,G65)/(-G85)+365*AVERAGE(F32,G32)/G84)&lt;0),"n/m",(365*AVERAGE(F65,G65)/(-G85)+365*AVERAGE(F32,G32)/G84)/(1))</x:f>
        <x:v>127.30703023703913</x:v>
      </x:c>
      <x:c r="H150" s="123" t="n">
        <x:f>IF(OR((1)&lt;=0,(365*AVERAGE(G65,H65)/(-H85)+365*AVERAGE(G32,H32)/H84)&lt;0),"n/m",(365*AVERAGE(G65,H65)/(-H85)+365*AVERAGE(G32,H32)/H84)/(1))</x:f>
        <x:v>141.02955321201802</x:v>
      </x:c>
      <x:c r="I150" s="9" t="s">
        <x:v>322</x:v>
      </x:c>
    </x:row>
    <x:row r="151" ht="15" hidden="0">
      <x:c r="A151" s="207" t="str">
        <x:v>13. Cash conversion cycle (days)</x:v>
      </x:c>
      <x:c r="B151" s="205" t="str">
        <x:v>DIO + DSO - DPO</x:v>
      </x:c>
      <x:c r="C151" s="30"/>
      <x:c r="D151" s="123" t="n">
        <x:f>IF(OR((1)&lt;=0,(365*AVERAGE(C65,D65)/(-D85)+365*AVERAGE(C32,D32)/D84-365*AVERAGE(C51,D51)/(-D85))&lt;0),"n/m",(365*AVERAGE(C65,D65)/(-D85)+365*AVERAGE(C32,D32)/D84-365*AVERAGE(C51,D51)/(-D85))/(1))</x:f>
        <x:v>108.16978620747179</x:v>
      </x:c>
      <x:c r="E151" s="123" t="n">
        <x:f>IF(OR((1)&lt;=0,(365*AVERAGE(D65,E65)/(-E85)+365*AVERAGE(D32,E32)/E84-365*AVERAGE(D51,E51)/(-E85))&lt;0),"n/m",(365*AVERAGE(D65,E65)/(-E85)+365*AVERAGE(D32,E32)/E84-365*AVERAGE(D51,E51)/(-E85))/(1))</x:f>
        <x:v>95.49527727433959</x:v>
      </x:c>
      <x:c r="F151" s="123" t="n">
        <x:f>IF(OR((1)&lt;=0,(365*AVERAGE(E65,F65)/(-F85)+365*AVERAGE(E32,F32)/F84-365*AVERAGE(E51,F51)/(-F85))&lt;0),"n/m",(365*AVERAGE(E65,F65)/(-F85)+365*AVERAGE(E32,F32)/F84-365*AVERAGE(E51,F51)/(-F85))/(1))</x:f>
        <x:v>113.53363711445124</x:v>
      </x:c>
      <x:c r="G151" s="123" t="n">
        <x:f>IF(OR((1)&lt;=0,(365*AVERAGE(F65,G65)/(-G85)+365*AVERAGE(F32,G32)/G84-365*AVERAGE(F51,G51)/(-G85))&lt;0),"n/m",(365*AVERAGE(F65,G65)/(-G85)+365*AVERAGE(F32,G32)/G84-365*AVERAGE(F51,G51)/(-G85))/(1))</x:f>
        <x:v>109.34104725924954</x:v>
      </x:c>
      <x:c r="H151" s="123" t="n">
        <x:f>IF(OR((1)&lt;=0,(365*AVERAGE(G65,H65)/(-H85)+365*AVERAGE(G32,H32)/H84-365*AVERAGE(G51,H51)/(-H85))&lt;0),"n/m",(365*AVERAGE(G65,H65)/(-H85)+365*AVERAGE(G32,H32)/H84-365*AVERAGE(G51,H51)/(-H85))/(1))</x:f>
        <x:v>125.8888849956775</x:v>
      </x:c>
      <x:c r="I151" s="9" t="s">
        <x:v>322</x:v>
      </x:c>
    </x:row>
    <x:row r="152" ht="15" hidden="0">
      <x:c r="A152" s="207" t="str">
        <x:v>14. Total asset turnover</x:v>
      </x:c>
      <x:c r="B152" s="205" t="str">
        <x:v>Net Sales / Average Total Assets</x:v>
      </x:c>
      <x:c r="C152" s="30"/>
      <x:c r="D152" s="121" t="n">
        <x:f>IF(OR((AVERAGE(C37,D37))&lt;=0,(D84)&lt;0),"n/m",(D84)/(AVERAGE(C37,D37)))</x:f>
        <x:v>0.7673483591494026</x:v>
      </x:c>
      <x:c r="E152" s="121" t="n">
        <x:f>IF(OR((AVERAGE(D37,E37))&lt;=0,(E84)&lt;0),"n/m",(E84)/(AVERAGE(D37,E37)))</x:f>
        <x:v>0.7342538737719585</x:v>
      </x:c>
      <x:c r="F152" s="121" t="n">
        <x:f>IF(OR((AVERAGE(E37,F37))&lt;=0,(F84)&lt;0),"n/m",(F84)/(AVERAGE(E37,F37)))</x:f>
        <x:v>0.5391058922773014</x:v>
      </x:c>
      <x:c r="G152" s="121" t="n">
        <x:f>IF(OR((AVERAGE(F37,G37))&lt;=0,(G84)&lt;0),"n/m",(G84)/(AVERAGE(F37,G37)))</x:f>
        <x:v>0.5587159547520806</x:v>
      </x:c>
      <x:c r="H152" s="121" t="n">
        <x:f>IF(OR((AVERAGE(G37,H37))&lt;=0,(H84)&lt;0),"n/m",(H84)/(AVERAGE(G37,H37)))</x:f>
        <x:v>0.576736892706269</x:v>
      </x:c>
      <x:c r="I152" s="9" t="s">
        <x:v>321</x:v>
      </x:c>
    </x:row>
    <x:row r="153" ht="15" hidden="0">
      <x:c r="A153" s="207" t="str">
        <x:v>15. Fixed asset turnover</x:v>
      </x:c>
      <x:c r="B153" s="205" t="str">
        <x:v>Net Sales / Average Operating Fixed Assets</x:v>
      </x:c>
      <x:c r="C153" s="30"/>
      <x:c r="D153" s="121" t="n">
        <x:f>IF(OR((AVERAGE(C22,D22))&lt;=0,(D84)&lt;0),"n/m",(D84)/(AVERAGE(C22,D22)))</x:f>
        <x:v>1.121529000686929</x:v>
      </x:c>
      <x:c r="E153" s="121" t="n">
        <x:f>IF(OR((AVERAGE(D22,E22))&lt;=0,(E84)&lt;0),"n/m",(E84)/(AVERAGE(D22,E22)))</x:f>
        <x:v>1.6551596506379742</x:v>
      </x:c>
      <x:c r="F153" s="121" t="n">
        <x:f>IF(OR((AVERAGE(E22,F22))&lt;=0,(F84)&lt;0),"n/m",(F84)/(AVERAGE(E22,F22)))</x:f>
        <x:v>1.1919170397378338</x:v>
      </x:c>
      <x:c r="G153" s="121" t="n">
        <x:f>IF(OR((AVERAGE(F22,G22))&lt;=0,(G84)&lt;0),"n/m",(G84)/(AVERAGE(F22,G22)))</x:f>
        <x:v>0.8889851122075039</x:v>
      </x:c>
      <x:c r="H153" s="121" t="n">
        <x:f>IF(OR((AVERAGE(G22,H22))&lt;=0,(H84)&lt;0),"n/m",(H84)/(AVERAGE(G22,H22)))</x:f>
        <x:v>0.8108018836700552</x:v>
      </x:c>
      <x:c r="I153" s="9" t="s">
        <x:v>321</x:v>
      </x:c>
    </x:row>
    <x:row r="154" ht="22" hidden="0" customHeight="1">
      <x:c r="A154" s="203" t="str">
        <x:v>Debt Management</x:v>
      </x:c>
      <x:c r="B154" s="204"/>
      <x:c r="C154" s="129"/>
      <x:c r="D154" s="129"/>
      <x:c r="E154" s="129"/>
      <x:c r="F154" s="129"/>
      <x:c r="G154" s="129"/>
      <x:c r="H154" s="129"/>
      <x:c r="I154" s="25"/>
      <x:c r="J154" s="25"/>
    </x:row>
    <x:row r="155" ht="15" hidden="0">
      <x:c r="A155" s="207" t="str">
        <x:v>16. Debt ratio</x:v>
      </x:c>
      <x:c r="B155" s="205" t="str">
        <x:v>Total Liabilities / Total Assets</x:v>
      </x:c>
      <x:c r="C155" s="30"/>
      <x:c r="D155" s="124" t="n">
        <x:f>IF(OR((D37)&lt;=0,(D62)&lt;0),"n/m",(D62)/(D37))</x:f>
        <x:v>0.3164714817070282</x:v>
      </x:c>
      <x:c r="E155" s="124" t="n">
        <x:f>IF(OR((E37)&lt;=0,(E62)&lt;0),"n/m",(E62)/(E37))</x:f>
        <x:v>0.4921984828292214</x:v>
      </x:c>
      <x:c r="F155" s="124" t="n">
        <x:f>IF(OR((F37)&lt;=0,(F62)&lt;0),"n/m",(F62)/(F37))</x:f>
        <x:v>0.530530558146142</x:v>
      </x:c>
      <x:c r="G155" s="124" t="n">
        <x:f>IF(OR((G37)&lt;=0,(G62)&lt;0),"n/m",(G62)/(G37))</x:f>
        <x:v>0.5028400637434024</x:v>
      </x:c>
      <x:c r="H155" s="124" t="n">
        <x:f>IF(OR((H37)&lt;=0,(H62)&lt;0),"n/m",(H62)/(H37))</x:f>
        <x:v>0.4760663500346739</x:v>
      </x:c>
      <x:c r="I155" s="9" t="s">
        <x:v>278</x:v>
      </x:c>
    </x:row>
    <x:row r="156" ht="15" hidden="0">
      <x:c r="A156" s="207" t="str">
        <x:v>17. Debt-to-equity</x:v>
      </x:c>
      <x:c r="B156" s="205" t="str">
        <x:v>Total Liabilities / Total Equity</x:v>
      </x:c>
      <x:c r="C156" s="30"/>
      <x:c r="D156" s="121" t="n">
        <x:f>IF(OR((D41)&lt;=0,(D62)&lt;0),"n/m",(D62)/(D41))</x:f>
        <x:v>0.4629967488370152</x:v>
      </x:c>
      <x:c r="E156" s="121" t="n">
        <x:f>IF(OR((E41)&lt;=0,(E62)&lt;0),"n/m",(E62)/(E41))</x:f>
        <x:v>0.9692733601339171</x:v>
      </x:c>
      <x:c r="F156" s="121" t="n">
        <x:f>IF(OR((F41)&lt;=0,(F62)&lt;0),"n/m",(F62)/(F41))</x:f>
        <x:v>1.130064091181662</x:v>
      </x:c>
      <x:c r="G156" s="121" t="n">
        <x:f>IF(OR((G41)&lt;=0,(G62)&lt;0),"n/m",(G62)/(G41))</x:f>
        <x:v>1.0114251512894896</x:v>
      </x:c>
      <x:c r="H156" s="121" t="n">
        <x:f>IF(OR((H41)&lt;=0,(H62)&lt;0),"n/m",(H62)/(H41))</x:f>
        <x:v>0.9086386225931091</x:v>
      </x:c>
      <x:c r="I156" s="9" t="s">
        <x:v>321</x:v>
      </x:c>
    </x:row>
    <x:row r="157" ht="15" hidden="0">
      <x:c r="A157" s="207" t="str">
        <x:v>18. Total debt-to-capital</x:v>
      </x:c>
      <x:c r="B157" s="205" t="str">
        <x:v>Interest-bearing Debt / (IBD + Equity)</x:v>
      </x:c>
      <x:c r="C157" s="30"/>
      <x:c r="D157" s="124" t="n">
        <x:f>IF(OR((D66+D41)&lt;=0,(D66)&lt;0),"n/m",(D66)/(D66+D41))</x:f>
        <x:v>0.09936978984482135</x:v>
      </x:c>
      <x:c r="E157" s="124" t="n">
        <x:f>IF(OR((E66+E41)&lt;=0,(E66)&lt;0),"n/m",(E66)/(E66+E41))</x:f>
        <x:v>0.3098205379736645</x:v>
      </x:c>
      <x:c r="F157" s="124" t="n">
        <x:f>IF(OR((F66+F41)&lt;=0,(F66)&lt;0),"n/m",(F66)/(F66+F41))</x:f>
        <x:v>0.3841453138694019</x:v>
      </x:c>
      <x:c r="G157" s="124" t="n">
        <x:f>IF(OR((G66+G41)&lt;=0,(G66)&lt;0),"n/m",(G66)/(G66+G41))</x:f>
        <x:v>0.3326685523287222</x:v>
      </x:c>
      <x:c r="H157" s="124" t="n">
        <x:f>IF(OR((H66+H41)&lt;=0,(H66)&lt;0),"n/m",(H66)/(H66+H41))</x:f>
        <x:v>0.3220730092552348</x:v>
      </x:c>
      <x:c r="I157" s="9" t="s">
        <x:v>278</x:v>
      </x:c>
    </x:row>
    <x:row r="158" ht="15" hidden="0">
      <x:c r="A158" s="207" t="str">
        <x:v>19. Long-term debt ratio</x:v>
      </x:c>
      <x:c r="B158" s="205" t="str">
        <x:v>Long-term IBD / Total Assets</x:v>
      </x:c>
      <x:c r="C158" s="30"/>
      <x:c r="D158" s="124" t="n">
        <x:f>IF(OR((D37)&lt;=0,(D67)&lt;0),"n/m",(D67)/(D37))</x:f>
        <x:v>0.01659494791985876</x:v>
      </x:c>
      <x:c r="E158" s="124" t="n">
        <x:f>IF(OR((E37)&lt;=0,(E67)&lt;0),"n/m",(E67)/(E37))</x:f>
        <x:v>0.1727906268810509</x:v>
      </x:c>
      <x:c r="F158" s="124" t="n">
        <x:f>IF(OR((F37)&lt;=0,(F67)&lt;0),"n/m",(F67)/(F37))</x:f>
        <x:v>0.22975152572601862</x:v>
      </x:c>
      <x:c r="G158" s="124" t="n">
        <x:f>IF(OR((G37)&lt;=0,(G67)&lt;0),"n/m",(G67)/(G37))</x:f>
        <x:v>0.203376413547186</x:v>
      </x:c>
      <x:c r="H158" s="124" t="n">
        <x:f>IF(OR((H37)&lt;=0,(H67)&lt;0),"n/m",(H67)/(H37))</x:f>
        <x:v>0.15113814624398686</x:v>
      </x:c>
      <x:c r="I158" s="9" t="s">
        <x:v>278</x:v>
      </x:c>
    </x:row>
    <x:row r="159" ht="15" hidden="0">
      <x:c r="A159" s="207" t="str">
        <x:v>20. Times interest earned</x:v>
      </x:c>
      <x:c r="B159" s="205" t="str">
        <x:v>EBIT / Interest Expense</x:v>
      </x:c>
      <x:c r="C159" s="30"/>
      <x:c r="D159" s="121" t="n">
        <x:f>IF(OR((D106)&lt;=0,(D108)&lt;0),"n/m",(D108)/(D106))</x:f>
        <x:v>56.640991401771736</x:v>
      </x:c>
      <x:c r="E159" s="121" t="n">
        <x:f>IF(OR((E106)&lt;=0,(E108)&lt;0),"n/m",(E108)/(E106))</x:f>
        <x:v>12.790793831338474</x:v>
      </x:c>
      <x:c r="F159" s="121" t="n">
        <x:f>IF(OR((F106)&lt;=0,(F108)&lt;0),"n/m",(F108)/(F106))</x:f>
        <x:v>6.303455869186725</x:v>
      </x:c>
      <x:c r="G159" s="121" t="n">
        <x:f>IF(OR((G106)&lt;=0,(G108)&lt;0),"n/m",(G108)/(G106))</x:f>
        <x:v>3.782086656189459</x:v>
      </x:c>
      <x:c r="H159" s="121" t="n">
        <x:f>IF(OR((H106)&lt;=0,(H108)&lt;0),"n/m",(H108)/(H106))</x:f>
        <x:v>4.810770991481205</x:v>
      </x:c>
      <x:c r="I159" s="9" t="s">
        <x:v>321</x:v>
      </x:c>
    </x:row>
    <x:row r="160" ht="22" hidden="0" customHeight="1">
      <x:c r="A160" s="204" t="str">
        <x:v>Profitability</x:v>
      </x:c>
      <x:c r="B160" s="203" t="s">
        <x:v>323</x:v>
      </x:c>
      <x:c r="C160" s="129"/>
      <x:c r="D160" s="132" t="n">
        <x:f aca="0">IF(D109&lt;=0,"n/m",D68/D109)</x:f>
        <x:v>0</x:v>
      </x:c>
      <x:c r="E160" s="132" t="n">
        <x:f aca="0">IF(E109&lt;=0,"n/m",E68/E109)</x:f>
        <x:v>0</x:v>
      </x:c>
      <x:c r="F160" s="132" t="n">
        <x:f aca="0">IF(F109&lt;=0,"n/m",F68/F109)</x:f>
        <x:v>0</x:v>
      </x:c>
      <x:c r="G160" s="132" t="n">
        <x:f aca="0">IF(G109&lt;=0,"n/m",G68/G109)</x:f>
        <x:v>0</x:v>
      </x:c>
      <x:c r="H160" s="132" t="n">
        <x:f aca="0">IF(H109&lt;=0,"n/m",H68/H109)</x:f>
        <x:v>0</x:v>
      </x:c>
      <x:c r="I160" s="9" t="s">
        <x:v>321</x:v>
      </x:c>
    </x:row>
    <x:row r="161" ht="15" hidden="0">
      <x:c r="A161" s="207" t="str">
        <x:v>21. Gross profit margin</x:v>
      </x:c>
      <x:c r="B161" s="205" t="str">
        <x:v>Gross Profit / Net Sales</x:v>
      </x:c>
      <x:c r="C161" s="30"/>
      <x:c r="D161" s="124" t="n">
        <x:f>IF(OR((D84)&lt;=0,(D86)&lt;0),"n/m",(D86)/(D84))</x:f>
        <x:v>0.24985924725452316</x:v>
      </x:c>
      <x:c r="E161" s="124" t="n">
        <x:f>IF(OR((E84)&lt;=0,(E86)&lt;0),"n/m",(E86)/(E84))</x:f>
        <x:v>0.28507903988852556</x:v>
      </x:c>
      <x:c r="F161" s="124" t="n">
        <x:f>IF(OR((F84)&lt;=0,(F86)&lt;0),"n/m",(F86)/(F84))</x:f>
        <x:v>0.2999660404821077</x:v>
      </x:c>
      <x:c r="G161" s="124" t="n">
        <x:f>IF(OR((G84)&lt;=0,(G86)&lt;0),"n/m",(G86)/(G84))</x:f>
        <x:v>0.3208998635022473</x:v>
      </x:c>
      <x:c r="H161" s="124" t="n">
        <x:f>IF(OR((H84)&lt;=0,(H86)&lt;0),"n/m",(H86)/(H84))</x:f>
        <x:v>0.3549084220292905</x:v>
      </x:c>
      <x:c r="I161" s="25"/>
      <x:c r="J161" s="25"/>
    </x:row>
    <x:row r="162" ht="15" hidden="0">
      <x:c r="A162" s="207" t="str">
        <x:v>22. Operating margin</x:v>
      </x:c>
      <x:c r="B162" s="205" t="str">
        <x:v>Operating Profit / Net Sales</x:v>
      </x:c>
      <x:c r="C162" s="30"/>
      <x:c r="D162" s="124" t="n">
        <x:f>IF(OR((D84)&lt;=0,(D91)&lt;0),"n/m",(D91)/(D84))</x:f>
        <x:v>0.20485989925955708</x:v>
      </x:c>
      <x:c r="E162" s="124" t="n">
        <x:f>IF(OR((E84)&lt;=0,(E91)&lt;0),"n/m",(E91)/(E84))</x:f>
        <x:v>0.21665144691719232</x:v>
      </x:c>
      <x:c r="F162" s="124" t="n">
        <x:f>IF(OR((F84)&lt;=0,(F91)&lt;0),"n/m",(F91)/(F84))</x:f>
        <x:v>0.2289064691471258</x:v>
      </x:c>
      <x:c r="G162" s="124" t="n">
        <x:f>IF(OR((G84)&lt;=0,(G91)&lt;0),"n/m",(G91)/(G84))</x:f>
        <x:v>0.25056237189043495</x:v>
      </x:c>
      <x:c r="H162" s="124" t="n">
        <x:f>IF(OR((H84)&lt;=0,(H91)&lt;0),"n/m",(H91)/(H84))</x:f>
        <x:v>0.2862983395627571</x:v>
      </x:c>
      <x:c r="I162" s="9" t="s">
        <x:v>278</x:v>
      </x:c>
    </x:row>
    <x:row r="163" ht="15" hidden="0">
      <x:c r="A163" s="207" t="str">
        <x:v>23. Net profit margin</x:v>
      </x:c>
      <x:c r="B163" s="205" t="str">
        <x:v>Net Profit / Net Sales</x:v>
      </x:c>
      <x:c r="C163" s="30"/>
      <x:c r="D163" s="124" t="n">
        <x:f>IF(OR((D84)&lt;=0,(D99)&lt;0),"n/m",(D99)/(D84))</x:f>
        <x:v>0.14302295902338913</x:v>
      </x:c>
      <x:c r="E163" s="124" t="n">
        <x:f>IF(OR((E84)&lt;=0,(E99)&lt;0),"n/m",(E99)/(E84))</x:f>
        <x:v>0.13112336204567002</x:v>
      </x:c>
      <x:c r="F163" s="124" t="n">
        <x:f>IF(OR((F84)&lt;=0,(F99)&lt;0),"n/m",(F99)/(F84))</x:f>
        <x:v>0.10929571726641699</x:v>
      </x:c>
      <x:c r="G163" s="124" t="n">
        <x:f>IF(OR((G84)&lt;=0,(G99)&lt;0),"n/m",(G99)/(G84))</x:f>
        <x:v>0.10275526425549537</x:v>
      </x:c>
      <x:c r="H163" s="124" t="n">
        <x:f>IF(OR((H84)&lt;=0,(H99)&lt;0),"n/m",(H99)/(H84))</x:f>
        <x:v>0.14980611609777766</x:v>
      </x:c>
      <x:c r="I163" s="9" t="s">
        <x:v>278</x:v>
      </x:c>
    </x:row>
    <x:row r="164" ht="15" hidden="0">
      <x:c r="A164" s="207" t="str">
        <x:v>24. Return on assets</x:v>
      </x:c>
      <x:c r="B164" s="205" t="str">
        <x:v>Net Profit / Average Total Assets</x:v>
      </x:c>
      <x:c r="C164" s="30"/>
      <x:c r="D164" s="124" t="n">
        <x:f>IF(OR((AVERAGE(C37,D37))&lt;=0,(D99)&lt;0),"n/m",(D99)/(AVERAGE(C37,D37)))</x:f>
        <x:v>0.10974843292728989</x:v>
      </x:c>
      <x:c r="E164" s="124" t="n">
        <x:f>IF(OR((AVERAGE(D37,E37))&lt;=0,(E99)&lt;0),"n/m",(E99)/(AVERAGE(D37,E37)))</x:f>
        <x:v>0.09627783652403621</x:v>
      </x:c>
      <x:c r="F164" s="124" t="n">
        <x:f>IF(OR((AVERAGE(E37,F37))&lt;=0,(F99)&lt;0),"n/m",(F99)/(AVERAGE(E37,F37)))</x:f>
        <x:v>0.0589219651789994</x:v>
      </x:c>
      <x:c r="G164" s="124" t="n">
        <x:f>IF(OR((AVERAGE(F37,G37))&lt;=0,(G99)&lt;0),"n/m",(G99)/(AVERAGE(F37,G37)))</x:f>
        <x:v>0.05741100557431145</x:v>
      </x:c>
      <x:c r="H164" s="124" t="n">
        <x:f>IF(OR((AVERAGE(G37,H37))&lt;=0,(H99)&lt;0),"n/m",(H99)/(AVERAGE(G37,H37)))</x:f>
        <x:v>0.08639871390662689</x:v>
      </x:c>
      <x:c r="I164" s="9" t="s">
        <x:v>278</x:v>
      </x:c>
    </x:row>
    <x:row r="165" ht="15" hidden="0">
      <x:c r="A165" s="207" t="str">
        <x:v>25. Return on equity</x:v>
      </x:c>
      <x:c r="B165" s="205" t="str">
        <x:v>Net Profit / Average Equity</x:v>
      </x:c>
      <x:c r="C165" s="30"/>
      <x:c r="D165" s="124" t="n">
        <x:f>IF(OR((AVERAGE(C41,D41))&lt;=0,(D99)&lt;0),"n/m",(D99)/(AVERAGE(C41,D41)))</x:f>
        <x:v>0.16115839021414832</x:v>
      </x:c>
      <x:c r="E165" s="124" t="n">
        <x:f>IF(OR((AVERAGE(D41,E41))&lt;=0,(E99)&lt;0),"n/m",(E99)/(AVERAGE(D41,E41)))</x:f>
        <x:v>0.17559284966237051</x:v>
      </x:c>
      <x:c r="F165" s="124" t="n">
        <x:f>IF(OR((AVERAGE(E41,F41))&lt;=0,(F99)&lt;0),"n/m",(F99)/(AVERAGE(E41,F41)))</x:f>
        <x:v>0.12105723655011702</x:v>
      </x:c>
      <x:c r="G165" s="124" t="n">
        <x:f>IF(OR((AVERAGE(F41,G41))&lt;=0,(G99)&lt;0),"n/m",(G99)/(AVERAGE(F41,G41)))</x:f>
        <x:v>0.11868144080382984</x:v>
      </x:c>
      <x:c r="H165" s="124" t="n">
        <x:f>IF(OR((AVERAGE(G41,H41))&lt;=0,(H99)&lt;0),"n/m",(H99)/(AVERAGE(G41,H41)))</x:f>
        <x:v>0.1690380202363196</x:v>
      </x:c>
      <x:c r="I165" s="9" t="s">
        <x:v>278</x:v>
      </x:c>
    </x:row>
    <x:row r="166" ht="15" hidden="0">
      <x:c r="A166" s="207" t="str">
        <x:v>26. Return on invested capital</x:v>
      </x:c>
      <x:c r="B166" s="205" t="str">
        <x:v>NOPAT / Average Invested Capital</x:v>
      </x:c>
      <x:c r="C166" s="30"/>
      <x:c r="D166" s="124" t="n">
        <x:f>IF(OR((AVERAGE(C70,D70))&lt;=0,(D113)&lt;0),"n/m",(D113)/(AVERAGE(C70,D70)))</x:f>
        <x:v>0.14667479520486254</x:v>
      </x:c>
      <x:c r="E166" s="124" t="n">
        <x:f>IF(OR((AVERAGE(D70,E70))&lt;=0,(E113)&lt;0),"n/m",(E113)/(AVERAGE(D70,E70)))</x:f>
        <x:v>0.14345364774826339</x:v>
      </x:c>
      <x:c r="F166" s="124" t="n">
        <x:f>IF(OR((AVERAGE(E70,F70))&lt;=0,(F113)&lt;0),"n/m",(F113)/(AVERAGE(E70,F70)))</x:f>
        <x:v>0.1007154983763438</x:v>
      </x:c>
      <x:c r="G166" s="124" t="n">
        <x:f>IF(OR((AVERAGE(F70,G70))&lt;=0,(G113)&lt;0),"n/m",(G113)/(AVERAGE(F70,G70)))</x:f>
        <x:v>0.10367976942536491</x:v>
      </x:c>
      <x:c r="H166" s="124" t="n">
        <x:f>IF(OR((AVERAGE(G70,H70))&lt;=0,(H113)&lt;0),"n/m",(H113)/(AVERAGE(G70,H70)))</x:f>
        <x:v>0.1442582907627069</x:v>
      </x:c>
      <x:c r="I166" s="9" t="s">
        <x:v>278</x:v>
      </x:c>
    </x:row>
    <x:row r="167" ht="15" hidden="0">
      <x:c r="A167" s="207" t="str">
        <x:v>27. Basic earning power</x:v>
      </x:c>
      <x:c r="B167" s="205" t="str">
        <x:v>EBIT / Average Total Assets</x:v>
      </x:c>
      <x:c r="C167" s="30"/>
      <x:c r="D167" s="124" t="n">
        <x:f>IF(OR((AVERAGE(C37,D37))&lt;=0,(D108)&lt;0),"n/m",(D108)/(AVERAGE(C37,D37)))</x:f>
        <x:v>0.16494792527118216</x:v>
      </x:c>
      <x:c r="E167" s="124" t="n">
        <x:f>IF(OR((AVERAGE(D37,E37))&lt;=0,(E108)&lt;0),"n/m",(E108)/(AVERAGE(D37,E37)))</x:f>
        <x:v>0.1723137524694703</x:v>
      </x:c>
      <x:c r="F167" s="124" t="n">
        <x:f>IF(OR((AVERAGE(E37,F37))&lt;=0,(F108)&lt;0),"n/m",(F108)/(AVERAGE(E37,F37)))</x:f>
        <x:v>0.13103867634936517</x:v>
      </x:c>
      <x:c r="G167" s="124" t="n">
        <x:f>IF(OR((AVERAGE(F37,G37))&lt;=0,(G108)&lt;0),"n/m",(G108)/(AVERAGE(F37,G37)))</x:f>
        <x:v>0.1458556324666155</x:v>
      </x:c>
      <x:c r="H167" s="124" t="n">
        <x:f>IF(OR((AVERAGE(G37,H37))&lt;=0,(H108)&lt;0),"n/m",(H108)/(AVERAGE(G37,H37)))</x:f>
        <x:v>0.1769808100965798</x:v>
      </x:c>
      <x:c r="I167" s="9" t="s">
        <x:v>278</x:v>
      </x:c>
    </x:row>
    <x:row r="168" ht="22" hidden="0" customHeight="1">
      <x:c r="A168" s="204" t="str">
        <x:v>Market Value</x:v>
      </x:c>
      <x:c r="B168" s="203" t="s">
        <x:v>324</x:v>
      </x:c>
      <x:c r="C168" s="129"/>
      <x:c r="D168" s="134" t="n">
        <x:f aca="0">D108/((C37+D37)/2)</x:f>
        <x:v>0.16494792527118216</x:v>
      </x:c>
      <x:c r="E168" s="134" t="n">
        <x:f aca="0">E108/((D37+E37)/2)</x:f>
        <x:v>0.1723137524694703</x:v>
      </x:c>
      <x:c r="F168" s="134" t="n">
        <x:f aca="0">F108/((E37+F37)/2)</x:f>
        <x:v>0.13103867634936517</x:v>
      </x:c>
      <x:c r="G168" s="134" t="n">
        <x:f aca="0">G108/((F37+G37)/2)</x:f>
        <x:v>0.1458556324666155</x:v>
      </x:c>
      <x:c r="H168" s="134" t="n">
        <x:f aca="0">H108/((G37+H37)/2)</x:f>
        <x:v>0.1769808100965798</x:v>
      </x:c>
      <x:c r="I168" s="9" t="s">
        <x:v>278</x:v>
      </x:c>
    </x:row>
    <x:row r="169" ht="15" hidden="0">
      <x:c r="A169" s="207" t="str">
        <x:v>28. Book value per share (Rs)</x:v>
      </x:c>
      <x:c r="B169" s="205" t="str">
        <x:v>Total Equity / Shares Outstanding</x:v>
      </x:c>
      <x:c r="C169" s="30"/>
      <x:c r="D169" s="125" t="n">
        <x:f>IF(OR((D128)&lt;=0,(D41)&lt;0),"n/m",(D41)/(D128))</x:f>
        <x:v>16.868689643176804</x:v>
      </x:c>
      <x:c r="E169" s="125" t="n">
        <x:f>IF(OR((E128)&lt;=0,(E41)&lt;0),"n/m",(E41)/(E128))</x:f>
        <x:v>26.480675904195227</x:v>
      </x:c>
      <x:c r="F169" s="125" t="n">
        <x:f>IF(OR((F128)&lt;=0,(F41)&lt;0),"n/m",(F41)/(F128))</x:f>
        <x:v>26.57145800660424</x:v>
      </x:c>
      <x:c r="G169" s="125" t="n">
        <x:f>IF(OR((G128)&lt;=0,(G41)&lt;0),"n/m",(G41)/(G128))</x:f>
        <x:v>29.923935347634316</x:v>
      </x:c>
      <x:c r="H169" s="125" t="n">
        <x:f>IF(OR((H128)&lt;=0,(H41)&lt;0),"n/m",(H41)/(H128))</x:f>
        <x:v>34.35688707280468</x:v>
      </x:c>
      <x:c r="I169" s="9" t="s">
        <x:v>278</x:v>
      </x:c>
    </x:row>
    <x:row r="170" ht="15" hidden="0">
      <x:c r="A170" s="207" t="str">
        <x:v>29. Market-to-book ratio</x:v>
      </x:c>
      <x:c r="B170" s="205" t="str">
        <x:v>Share Price / BVPS</x:v>
      </x:c>
      <x:c r="C170" s="30"/>
      <x:c r="D170" s="121" t="n">
        <x:f>IF(OR((D41/D128)&lt;=0,(D130)&lt;0),"n/m",(D130)/(D41/D128))</x:f>
        <x:v>1.3634728296339984</x:v>
      </x:c>
      <x:c r="E170" s="121" t="n">
        <x:f>IF(OR((E41/E128)&lt;=0,(E130)&lt;0),"n/m",(E130)/(E41/E128))</x:f>
        <x:v>0.535107187266134</x:v>
      </x:c>
      <x:c r="F170" s="121" t="n">
        <x:f>IF(OR((F41/F128)&lt;=0,(F130)&lt;0),"n/m",(F130)/(F41/F128))</x:f>
        <x:v>0.4425801548818697</x:v>
      </x:c>
      <x:c r="G170" s="121" t="n">
        <x:f>IF(OR((G41/G128)&lt;=0,(G130)&lt;0),"n/m",(G130)/(G41/G128))</x:f>
        <x:v>0.7656078565151421</x:v>
      </x:c>
      <x:c r="H170" s="121" t="n">
        <x:f>IF(OR((H41/H128)&lt;=0,(H130)&lt;0),"n/m",(H130)/(H41/H128))</x:f>
        <x:v>1.3001759998029245</x:v>
      </x:c>
      <x:c r="I170" s="25"/>
      <x:c r="J170" s="25"/>
    </x:row>
    <x:row r="171" ht="15" hidden="0">
      <x:c r="A171" s="207" t="str">
        <x:v>30. Earnings per share (Rs)</x:v>
      </x:c>
      <x:c r="B171" s="205" t="str">
        <x:v>Net Profit / Weighted Average Shares</x:v>
      </x:c>
      <x:c r="C171" s="30"/>
      <x:c r="D171" s="125" t="n">
        <x:f>IF(OR((D129)&lt;=0,(D99)&lt;0),"n/m",(D99)/(D129))</x:f>
        <x:v>2.5158090033808875</x:v>
      </x:c>
      <x:c r="E171" s="125" t="n">
        <x:f>IF(OR((E129)&lt;=0,(E99)&lt;0),"n/m",(E99)/(E129))</x:f>
        <x:v>3.2621706372812294</x:v>
      </x:c>
      <x:c r="F171" s="125" t="n">
        <x:f>IF(OR((F129)&lt;=0,(F99)&lt;0),"n/m",(F99)/(F129))</x:f>
        <x:v>3.0330791851886794</x:v>
      </x:c>
      <x:c r="G171" s="125" t="n">
        <x:f>IF(OR((G129)&lt;=0,(G99)&lt;0),"n/m",(G99)/(G129))</x:f>
        <x:v>3.3524781610919856</x:v>
      </x:c>
      <x:c r="H171" s="125" t="n">
        <x:f>IF(OR((H129)&lt;=0,(H99)&lt;0),"n/m",(H99)/(H129))</x:f>
        <x:v>5.432952809531124</x:v>
      </x:c>
      <x:c r="I171" s="9" t="s">
        <x:v>306</x:v>
      </x:c>
    </x:row>
    <x:row r="172" ht="15" hidden="0">
      <x:c r="A172" s="207" t="str">
        <x:v>31. Price-to-earnings ratio</x:v>
      </x:c>
      <x:c r="B172" s="205" t="str">
        <x:v>Share Price / EPS</x:v>
      </x:c>
      <x:c r="C172" s="30"/>
      <x:c r="D172" s="121" t="n">
        <x:f>IF(OR((D99/D129)&lt;=0,(D130)&lt;0),"n/m",(D130)/(D99/D129))</x:f>
        <x:v>9.14218844478706</x:v>
      </x:c>
      <x:c r="E172" s="121" t="n">
        <x:f>IF(OR((E99/E129)&lt;=0,(E130)&lt;0),"n/m",(E130)/(E99/E129))</x:f>
        <x:v>4.343733536823694</x:v>
      </x:c>
      <x:c r="F172" s="121" t="n">
        <x:f>IF(OR((F99/F129)&lt;=0,(F130)&lt;0),"n/m",(F130)/(F99/F129))</x:f>
        <x:v>3.877247932539039</x:v>
      </x:c>
      <x:c r="G172" s="121" t="n">
        <x:f>IF(OR((G99/G129)&lt;=0,(G130)&lt;0),"n/m",(G130)/(G99/G129))</x:f>
        <x:v>6.833750705936781</x:v>
      </x:c>
      <x:c r="H172" s="121" t="n">
        <x:f>IF(OR((H99/H129)&lt;=0,(H130)&lt;0),"n/m",(H130)/(H99/H129))</x:f>
        <x:v>8.222048224242743</x:v>
      </x:c>
      <x:c r="I172" s="9" t="s">
        <x:v>321</x:v>
      </x:c>
    </x:row>
    <x:row r="173" ht="15" hidden="0">
      <x:c r="A173" s="207" t="str">
        <x:v>32. Dividend yield</x:v>
      </x:c>
      <x:c r="B173" s="205" t="str">
        <x:v>DPS / Share Price</x:v>
      </x:c>
      <x:c r="C173" s="30"/>
      <x:c r="D173" s="124" t="n">
        <x:f>IF(OR((D130)&lt;=0,(D131)&lt;0),"n/m",(D131)/(D130))</x:f>
        <x:v>0</x:v>
      </x:c>
      <x:c r="E173" s="124" t="n">
        <x:f>IF(OR((E130)&lt;=0,(E131)&lt;0),"n/m",(E131)/(E130))</x:f>
        <x:v>0</x:v>
      </x:c>
      <x:c r="F173" s="124" t="n">
        <x:f>IF(OR((F130)&lt;=0,(F131)&lt;0),"n/m",(F131)/(F130))</x:f>
        <x:v>0</x:v>
      </x:c>
      <x:c r="G173" s="124" t="n">
        <x:f>IF(OR((G130)&lt;=0,(G131)&lt;0),"n/m",(G131)/(G130))</x:f>
        <x:v>0.04364906154517678</x:v>
      </x:c>
      <x:c r="H173" s="124" t="n">
        <x:f>IF(OR((H130)&lt;=0,(H131)&lt;0),"n/m",(H131)/(H130))</x:f>
        <x:v>0.027982986344302664</x:v>
      </x:c>
      <x:c r="I173" s="9" t="s">
        <x:v>306</x:v>
      </x:c>
    </x:row>
    <x:row r="174" ht="15" hidden="0">
      <x:c r="A174" s="207" t="str">
        <x:v>33. Dividend payout ratio</x:v>
      </x:c>
      <x:c r="B174" s="205" t="str">
        <x:v>DPS / EPS</x:v>
      </x:c>
      <x:c r="C174" s="30"/>
      <x:c r="D174" s="124" t="n">
        <x:f>IF(OR((D99/D129)&lt;=0,(D131)&lt;0),"n/m",(D131)/(D99/D129))</x:f>
        <x:v>0</x:v>
      </x:c>
      <x:c r="E174" s="124" t="n">
        <x:f>IF(OR((E99/E129)&lt;=0,(E131)&lt;0),"n/m",(E131)/(E99/E129))</x:f>
        <x:v>0</x:v>
      </x:c>
      <x:c r="F174" s="124" t="n">
        <x:f>IF(OR((F99/F129)&lt;=0,(F131)&lt;0),"n/m",(F131)/(F99/F129))</x:f>
        <x:v>0</x:v>
      </x:c>
      <x:c r="G174" s="124" t="n">
        <x:f>IF(OR((G99/G129)&lt;=0,(G131)&lt;0),"n/m",(G131)/(G99/G129))</x:f>
        <x:v>0.29828680514782985</x:v>
      </x:c>
      <x:c r="H174" s="124" t="n">
        <x:f>IF(OR((H99/H129)&lt;=0,(H131)&lt;0),"n/m",(H131)/(H99/H129))</x:f>
        <x:v>0.23007746318118263</x:v>
      </x:c>
      <x:c r="I174" s="9" t="s">
        <x:v>321</x:v>
      </x:c>
    </x:row>
    <x:row r="175" ht="15" hidden="0">
      <x:c r="A175" s="193"/>
      <x:c r="B175" s="193"/>
      <x:c r="C175"/>
      <x:c r="D175">
        <x:f aca="0"/>
      </x:c>
      <x:c r="E175">
        <x:f aca="0"/>
      </x:c>
      <x:c r="F175">
        <x:f aca="0"/>
      </x:c>
      <x:c r="G175">
        <x:f aca="0"/>
      </x:c>
      <x:c r="H175">
        <x:f aca="0"/>
      </x:c>
      <x:c r="I175" s="9" t="s">
        <x:v>278</x:v>
      </x:c>
    </x:row>
    <x:row r="176" ht="15" hidden="0">
      <x:c r="A176" s="206" t="str">
        <x:v>33 measures: 19 mandatory ratios and 14 additional measures. Ratios use one method across all five companies.</x:v>
      </x:c>
      <x:c r="B176" s="206"/>
      <x:c r="C176" s="135"/>
      <x:c r="D176" s="135">
        <x:f aca="0"/>
      </x:c>
      <x:c r="E176" s="135">
        <x:f aca="0"/>
      </x:c>
      <x:c r="F176" s="135">
        <x:f aca="0"/>
      </x:c>
      <x:c r="G176" s="135">
        <x:f aca="0"/>
      </x:c>
      <x:c r="H176" s="135">
        <x:f aca="0"/>
      </x:c>
      <x:c r="I176" s="9" t="s">
        <x:v>278</x:v>
      </x:c>
    </x:row>
    <x:row r="177" ht="15" hidden="0">
      <x:c r="A177" s="206" t="str">
        <x:v>n/m: negative calculated measures or non-positive denominators. Signed accounting inputs and raw workings are retained in the audit workbook.</x:v>
      </x:c>
      <x:c r="B177" s="206"/>
      <x:c r="C177" s="135"/>
      <x:c r="D177" s="135"/>
      <x:c r="E177" s="135"/>
      <x:c r="F177" s="135"/>
      <x:c r="G177" s="135"/>
      <x:c r="H177" s="135"/>
      <x:c r="I177" s="25"/>
      <x:c r="J177" s="25"/>
    </x:row>
    <x:row r="178" ht="15" hidden="0">
      <x:c r="A178" s="206" t="str">
        <x:v>DIO includes stores and stock; supplier payables include identified related operating suppliers, excluding contractor retentions, taxes and accruals.</x:v>
      </x:c>
      <x:c r="B178" s="206"/>
      <x:c r="C178" s="135"/>
      <x:c r="D178" s="135">
        <x:f aca="0"/>
      </x:c>
      <x:c r="E178" s="135">
        <x:f aca="0"/>
      </x:c>
      <x:c r="F178" s="135">
        <x:f aca="0"/>
      </x:c>
      <x:c r="G178" s="135">
        <x:f aca="0"/>
      </x:c>
      <x:c r="H178" s="135">
        <x:f aca="0"/>
      </x:c>
      <x:c r="I178" s="9" t="s">
        <x:v>321</x:v>
      </x:c>
    </x:row>
    <x:row r="179" ht="15" hidden="0">
      <x:c r="A179" s="193"/>
      <x:c r="B179" s="193"/>
      <x:c r="C179"/>
      <x:c r="D179"/>
      <x:c r="E179"/>
      <x:c r="F179"/>
      <x:c r="G179"/>
      <x:c r="H179"/>
      <x:c r="I179" s="25"/>
      <x:c r="J179" s="25"/>
    </x:row>
    <x:row r="180" ht="15" hidden="0">
      <x:c r="A180" s="193"/>
      <x:c r="B180" s="193"/>
      <x:c r="C180"/>
      <x:c r="D180">
        <x:f aca="0"/>
      </x:c>
      <x:c r="E180">
        <x:f aca="0"/>
      </x:c>
      <x:c r="F180">
        <x:f aca="0"/>
      </x:c>
      <x:c r="G180">
        <x:f aca="0"/>
      </x:c>
      <x:c r="H180">
        <x:f aca="0"/>
      </x:c>
      <x:c r="I180" s="9" t="s">
        <x:v>278</x:v>
      </x:c>
    </x:row>
    <x:row r="181" ht="15" hidden="0">
      <x:c r="A181" s="193"/>
      <x:c r="B181" s="193"/>
      <x:c r="C181"/>
      <x:c r="D181">
        <x:f aca="0"/>
      </x:c>
      <x:c r="E181">
        <x:f aca="0"/>
      </x:c>
      <x:c r="F181">
        <x:f aca="0"/>
      </x:c>
      <x:c r="G181">
        <x:f aca="0"/>
      </x:c>
      <x:c r="H181">
        <x:f aca="0"/>
      </x:c>
      <x:c r="I181" s="9" t="s">
        <x:v>278</x:v>
      </x:c>
    </x:row>
    <x:row r="182" ht="15" hidden="0">
      <x:c r="A182" s="193"/>
      <x:c r="B182" s="193"/>
      <x:c r="C182"/>
      <x:c r="D182">
        <x:f aca="0"/>
      </x:c>
      <x:c r="E182">
        <x:f aca="0"/>
      </x:c>
      <x:c r="F182">
        <x:f aca="0"/>
      </x:c>
      <x:c r="G182">
        <x:f aca="0"/>
      </x:c>
      <x:c r="H182">
        <x:f aca="0"/>
      </x:c>
      <x:c r="I182" s="9" t="s">
        <x:v>321</x:v>
      </x:c>
    </x:row>
    <x:row r="183" ht="15" hidden="0">
      <x:c r="A183" s="201"/>
      <x:c r="B183" s="202"/>
      <x:c r="C183" s="25"/>
      <x:c r="D183" s="25"/>
      <x:c r="E183" s="25"/>
      <x:c r="F183" s="25"/>
      <x:c r="G183" s="25"/>
      <x:c r="H183" s="25"/>
      <x:c r="I183" s="25"/>
      <x:c r="J183" s="25"/>
    </x:row>
    <x:row r="184" ht="15" hidden="0">
      <x:c r="A184" s="193"/>
      <x:c r="B184" s="195"/>
      <x:c r="C184" s="30"/>
      <x:c r="D184" s="37">
        <x:f aca="0"/>
      </x:c>
      <x:c r="E184" s="37">
        <x:f aca="0"/>
      </x:c>
      <x:c r="F184" s="37">
        <x:f aca="0"/>
      </x:c>
      <x:c r="G184" s="37">
        <x:f aca="0"/>
      </x:c>
      <x:c r="H184" s="37">
        <x:f aca="0"/>
      </x:c>
      <x:c r="I184" s="9"/>
    </x:row>
    <x:row r="185" ht="15" hidden="0">
      <x:c r="A185" s="193"/>
      <x:c r="B185" s="195"/>
      <x:c r="C185" s="30"/>
      <x:c r="D185" s="37">
        <x:f aca="0"/>
      </x:c>
      <x:c r="E185" s="37">
        <x:f aca="0"/>
      </x:c>
      <x:c r="F185" s="37">
        <x:f aca="0"/>
      </x:c>
      <x:c r="G185" s="37">
        <x:f aca="0"/>
      </x:c>
      <x:c r="H185" s="37">
        <x:f aca="0"/>
      </x:c>
      <x:c r="I185" s="9"/>
    </x:row>
    <x:row r="186" ht="15" hidden="0">
      <x:c r="A186" s="193"/>
      <x:c r="B186" s="195"/>
      <x:c r="C186" s="30"/>
      <x:c r="D186" s="39">
        <x:f aca="0"/>
      </x:c>
      <x:c r="E186" s="39">
        <x:f aca="0"/>
      </x:c>
      <x:c r="F186" s="39">
        <x:f aca="0"/>
      </x:c>
      <x:c r="G186" s="39">
        <x:f aca="0"/>
      </x:c>
      <x:c r="H186" s="39">
        <x:f aca="0"/>
      </x:c>
      <x:c r="I186" s="9"/>
    </x:row>
    <x:row r="187" ht="15" hidden="0">
      <x:c r="A187" s="193"/>
      <x:c r="B187" s="195"/>
      <x:c r="C187" s="30"/>
      <x:c r="D187" s="37">
        <x:f aca="0"/>
      </x:c>
      <x:c r="E187" s="37">
        <x:f aca="0"/>
      </x:c>
      <x:c r="F187" s="37">
        <x:f aca="0"/>
      </x:c>
      <x:c r="G187" s="37">
        <x:f aca="0"/>
      </x:c>
      <x:c r="H187" s="37">
        <x:f aca="0"/>
      </x:c>
      <x:c r="I187" s="9"/>
    </x:row>
    <x:row r="188" ht="15" hidden="0">
      <x:c r="A188" s="193"/>
      <x:c r="B188" s="195"/>
      <x:c r="C188" s="30"/>
      <x:c r="D188" s="41">
        <x:f aca="0"/>
      </x:c>
      <x:c r="E188" s="41">
        <x:f aca="0"/>
      </x:c>
      <x:c r="F188" s="41">
        <x:f aca="0"/>
      </x:c>
      <x:c r="G188" s="41">
        <x:f aca="0"/>
      </x:c>
      <x:c r="H188" s="41">
        <x:f aca="0"/>
      </x:c>
      <x:c r="I188" s="9"/>
    </x:row>
    <x:row r="189" ht="15" hidden="0">
      <x:c r="A189" s="193"/>
      <x:c r="B189" s="195"/>
      <x:c r="C189" s="30"/>
      <x:c r="D189" s="40">
        <x:f aca="0"/>
      </x:c>
      <x:c r="E189" s="40">
        <x:f aca="0"/>
      </x:c>
      <x:c r="F189" s="40">
        <x:f aca="0"/>
      </x:c>
      <x:c r="G189" s="40">
        <x:f aca="0"/>
      </x:c>
      <x:c r="H189" s="40">
        <x:f aca="0"/>
      </x:c>
      <x:c r="I189" s="9"/>
    </x:row>
    <x:row r="190">
      <x:c r="A190" s="193"/>
      <x:c r="B190" s="193"/>
    </x:row>
    <x:row r="191" ht="15" hidden="0">
      <x:c r="A191" s="196" t="s">
        <x:v>325</x:v>
      </x:c>
      <x:c r="B191" s="197"/>
      <x:c r="C191" s="20"/>
      <x:c r="D191" s="20"/>
      <x:c r="E191" s="20"/>
      <x:c r="F191" s="20"/>
      <x:c r="G191" s="20"/>
      <x:c r="H191" s="20"/>
      <x:c r="I191" s="20"/>
      <x:c r="J191" s="20"/>
    </x:row>
    <x:row r="192" ht="15" hidden="0">
      <x:c r="A192" s="201" t="s">
        <x:v>326</x:v>
      </x:c>
      <x:c r="B192" s="202"/>
      <x:c r="C192" s="25"/>
      <x:c r="D192" s="25"/>
      <x:c r="E192" s="25"/>
      <x:c r="F192" s="25"/>
      <x:c r="G192" s="25"/>
      <x:c r="H192" s="25"/>
      <x:c r="I192" s="25"/>
      <x:c r="J192" s="25"/>
    </x:row>
    <x:row r="193" ht="15" hidden="0">
      <x:c r="A193" s="193" t="s">
        <x:v>327</x:v>
      </x:c>
      <x:c r="B193" s="195" t="s">
        <x:v>328</x:v>
      </x:c>
      <x:c r="C193" s="42" t="n">
        <x:f aca="0">IF(C37=0,"n/m",C22/C37)</x:f>
        <x:v>0.755355637149874</x:v>
      </x:c>
      <x:c r="D193" s="42" t="n">
        <x:f aca="0">IF(D37=0,"n/m",D22/D37)</x:f>
        <x:v>0.6231641034033865</x:v>
      </x:c>
      <x:c r="E193" s="42" t="n">
        <x:f aca="0">IF(E37=0,"n/m",E22/E37)</x:f>
        <x:v>0.38984076221447433</x:v>
      </x:c>
      <x:c r="F193" s="42" t="n">
        <x:f aca="0">IF(F37=0,"n/m",F22/F37)</x:f>
        <x:v>0.5034557782470266</x:v>
      </x:c>
      <x:c r="G193" s="42" t="n">
        <x:f aca="0">IF(G37=0,"n/m",G22/G37)</x:f>
        <x:v>0.7460598155471236</x:v>
      </x:c>
      <x:c r="H193" s="42" t="n">
        <x:f aca="0">IF(H37=0,"n/m",H22/H37)</x:f>
        <x:v>0.6794266855015889</x:v>
      </x:c>
      <x:c r="I193" s="11" t="s">
        <x:v>278</x:v>
      </x:c>
    </x:row>
    <x:row r="194" ht="15" hidden="0">
      <x:c r="A194" s="193" t="s">
        <x:v>329</x:v>
      </x:c>
      <x:c r="B194" s="195" t="s">
        <x:v>330</x:v>
      </x:c>
      <x:c r="C194" s="42" t="n">
        <x:f aca="0">IF(C37=0,"n/m",C21/C37)</x:f>
        <x:v>0.00009613832085794824</x:v>
      </x:c>
      <x:c r="D194" s="42" t="n">
        <x:f aca="0">IF(D37=0,"n/m",D21/D37)</x:f>
        <x:v>0.005934618498271082</x:v>
      </x:c>
      <x:c r="E194" s="42" t="n">
        <x:f aca="0">IF(E37=0,"n/m",E21/E37)</x:f>
        <x:v>0.2621167462665177</x:v>
      </x:c>
      <x:c r="F194" s="42" t="n">
        <x:f aca="0">IF(F37=0,"n/m",F21/F37)</x:f>
        <x:v>0.24873259270393167</x:v>
      </x:c>
      <x:c r="G194" s="42" t="n">
        <x:f aca="0">IF(G37=0,"n/m",G21/G37)</x:f>
        <x:v>0.004742417716661944</x:v>
      </x:c>
      <x:c r="H194" s="42" t="n">
        <x:f aca="0">IF(H37=0,"n/m",H21/H37)</x:f>
        <x:v>0.001843847479406456</x:v>
      </x:c>
      <x:c r="I194" s="11" t="s">
        <x:v>278</x:v>
      </x:c>
    </x:row>
    <x:row r="195" ht="15" hidden="0">
      <x:c r="A195" s="193" t="s">
        <x:v>126</x:v>
      </x:c>
      <x:c r="B195" s="195" t="s">
        <x:v>331</x:v>
      </x:c>
      <x:c r="C195" s="42" t="n">
        <x:f aca="0">IF(C37=0,"n/m",C28/C37)</x:f>
        <x:v>0.7609099875526895</x:v>
      </x:c>
      <x:c r="D195" s="42" t="n">
        <x:f aca="0">IF(D37=0,"n/m",D28/D37)</x:f>
        <x:v>0.6347160924639562</x:v>
      </x:c>
      <x:c r="E195" s="42" t="n">
        <x:f aca="0">IF(E37=0,"n/m",E28/E37)</x:f>
        <x:v>0.751826831688631</x:v>
      </x:c>
      <x:c r="F195" s="42" t="n">
        <x:f aca="0">IF(F37=0,"n/m",F28/F37)</x:f>
        <x:v>0.8333591481581767</x:v>
      </x:c>
      <x:c r="G195" s="42" t="n">
        <x:f aca="0">IF(G37=0,"n/m",G28/G37)</x:f>
        <x:v>0.8253541224302838</x:v>
      </x:c>
      <x:c r="H195" s="42" t="n">
        <x:f aca="0">IF(H37=0,"n/m",H28/H37)</x:f>
        <x:v>0.7483756601712761</x:v>
      </x:c>
      <x:c r="I195" s="11" t="s">
        <x:v>278</x:v>
      </x:c>
    </x:row>
    <x:row r="196" ht="15" hidden="0">
      <x:c r="A196" s="193" t="s">
        <x:v>332</x:v>
      </x:c>
      <x:c r="B196" s="195" t="s">
        <x:v>333</x:v>
      </x:c>
      <x:c r="C196" s="42" t="n">
        <x:f aca="0">IF(C37=0,"n/m",C65/C37)</x:f>
        <x:v>0.1606948267038292</x:v>
      </x:c>
      <x:c r="D196" s="42" t="n">
        <x:f aca="0">IF(D37=0,"n/m",D65/D37)</x:f>
        <x:v>0.15975317446895038</x:v>
      </x:c>
      <x:c r="E196" s="42" t="n">
        <x:f aca="0">IF(E37=0,"n/m",E65/E37)</x:f>
        <x:v>0.1375297490739443</x:v>
      </x:c>
      <x:c r="F196" s="42" t="n">
        <x:f aca="0">IF(F37=0,"n/m",F65/F37)</x:f>
        <x:v>0.10893662559784105</x:v>
      </x:c>
      <x:c r="G196" s="42" t="n">
        <x:f aca="0">IF(G37=0,"n/m",G65/G37)</x:f>
        <x:v>0.11240348825054196</x:v>
      </x:c>
      <x:c r="H196" s="42" t="n">
        <x:f aca="0">IF(H37=0,"n/m",H65/H37)</x:f>
        <x:v>0.12256894270466562</x:v>
      </x:c>
      <x:c r="I196" s="11" t="s">
        <x:v>278</x:v>
      </x:c>
    </x:row>
    <x:row r="197" ht="15" hidden="0">
      <x:c r="A197" s="193" t="s">
        <x:v>133</x:v>
      </x:c>
      <x:c r="B197" s="195" t="s">
        <x:v>334</x:v>
      </x:c>
      <x:c r="C197" s="42" t="n">
        <x:f aca="0">IF(C37=0,"n/m",C32/C37)</x:f>
        <x:v>0.035971070308473914</x:v>
      </x:c>
      <x:c r="D197" s="42" t="n">
        <x:f aca="0">IF(D37=0,"n/m",D32/D37)</x:f>
        <x:v>0.04256989798994374</x:v>
      </x:c>
      <x:c r="E197" s="42" t="n">
        <x:f aca="0">IF(E37=0,"n/m",E32/E37)</x:f>
        <x:v>0.021220745888252793</x:v>
      </x:c>
      <x:c r="F197" s="42" t="n">
        <x:f aca="0">IF(F37=0,"n/m",F32/F37)</x:f>
        <x:v>0.02573279317430052</x:v>
      </x:c>
      <x:c r="G197" s="42" t="n">
        <x:f aca="0">IF(G37=0,"n/m",G32/G37)</x:f>
        <x:v>0.0375601463702365</x:v>
      </x:c>
      <x:c r="H197" s="42" t="n">
        <x:f aca="0">IF(H37=0,"n/m",H32/H37)</x:f>
        <x:v>0.04296878232436554</x:v>
      </x:c>
      <x:c r="I197" s="11" t="s">
        <x:v>278</x:v>
      </x:c>
    </x:row>
    <x:row r="198" ht="15" hidden="0">
      <x:c r="A198" s="193" t="s">
        <x:v>135</x:v>
      </x:c>
      <x:c r="B198" s="195" t="s">
        <x:v>335</x:v>
      </x:c>
      <x:c r="C198" s="42" t="n">
        <x:f aca="0">IF(C37=0,"n/m",C33/C37)</x:f>
        <x:v>0</x:v>
      </x:c>
      <x:c r="D198" s="42" t="n">
        <x:f aca="0">IF(D37=0,"n/m",D33/D37)</x:f>
        <x:v>0.12914569386070474</x:v>
      </x:c>
      <x:c r="E198" s="42" t="n">
        <x:f aca="0">IF(E37=0,"n/m",E33/E37)</x:f>
        <x:v>0.03380013190548508</x:v>
      </x:c>
      <x:c r="F198" s="42" t="n">
        <x:f aca="0">IF(F37=0,"n/m",F33/F37)</x:f>
        <x:v>0.0018007830193537283</x:v>
      </x:c>
      <x:c r="G198" s="42" t="n">
        <x:f aca="0">IF(G37=0,"n/m",G33/G37)</x:f>
        <x:v>0.0016933504950567746</x:v>
      </x:c>
      <x:c r="H198" s="42" t="n">
        <x:f aca="0">IF(H37=0,"n/m",H33/H37)</x:f>
        <x:v>0.05726064884339625</x:v>
      </x:c>
      <x:c r="I198" s="11" t="s">
        <x:v>278</x:v>
      </x:c>
    </x:row>
    <x:row r="199" ht="15" hidden="0">
      <x:c r="A199" s="193" t="s">
        <x:v>336</x:v>
      </x:c>
      <x:c r="B199" s="195" t="s">
        <x:v>337</x:v>
      </x:c>
      <x:c r="C199" s="42" t="n">
        <x:f aca="0">IF(C37=0,"n/m",C34/C37)</x:f>
        <x:v>0.019213079084450944</x:v>
      </x:c>
      <x:c r="D199" s="42" t="n">
        <x:f aca="0">IF(D37=0,"n/m",D34/D37)</x:f>
        <x:v>0.02645283358966994</x:v>
      </x:c>
      <x:c r="E199" s="42" t="n">
        <x:f aca="0">IF(E37=0,"n/m",E34/E37)</x:f>
        <x:v>0.020287352793134747</x:v>
      </x:c>
      <x:c r="F199" s="42" t="n">
        <x:f aca="0">IF(F37=0,"n/m",F34/F37)</x:f>
        <x:v>0.006990329946451844</x:v>
      </x:c>
      <x:c r="G199" s="42" t="n">
        <x:f aca="0">IF(G37=0,"n/m",G34/G37)</x:f>
        <x:v>0.019866279633574395</x:v>
      </x:c>
      <x:c r="H199" s="42" t="n">
        <x:f aca="0">IF(H37=0,"n/m",H34/H37)</x:f>
        <x:v>0.016570828033024624</x:v>
      </x:c>
      <x:c r="I199" s="11" t="s">
        <x:v>278</x:v>
      </x:c>
    </x:row>
    <x:row r="200" ht="15" hidden="0">
      <x:c r="A200" s="193" t="s">
        <x:v>141</x:v>
      </x:c>
      <x:c r="B200" s="195" t="s">
        <x:v>338</x:v>
      </x:c>
      <x:c r="C200" s="42" t="n">
        <x:f aca="0">IF(C37=0,"n/m",C36/C37)</x:f>
        <x:v>0.23909001244731054</x:v>
      </x:c>
      <x:c r="D200" s="42" t="n">
        <x:f aca="0">IF(D37=0,"n/m",D36/D37)</x:f>
        <x:v>0.3652839075360437</x:v>
      </x:c>
      <x:c r="E200" s="42" t="n">
        <x:f aca="0">IF(E37=0,"n/m",E36/E37)</x:f>
        <x:v>0.24817316831136904</x:v>
      </x:c>
      <x:c r="F200" s="42" t="n">
        <x:f aca="0">IF(F37=0,"n/m",F36/F37)</x:f>
        <x:v>0.16664085184182323</x:v>
      </x:c>
      <x:c r="G200" s="42" t="n">
        <x:f aca="0">IF(G37=0,"n/m",G36/G37)</x:f>
        <x:v>0.1746458775697161</x:v>
      </x:c>
      <x:c r="H200" s="42" t="n">
        <x:f aca="0">IF(H37=0,"n/m",H36/H37)</x:f>
        <x:v>0.25162433982872384</x:v>
      </x:c>
      <x:c r="I200" s="11" t="s">
        <x:v>278</x:v>
      </x:c>
    </x:row>
    <x:row r="201" ht="15" hidden="0">
      <x:c r="A201" s="193" t="s">
        <x:v>150</x:v>
      </x:c>
      <x:c r="B201" s="195" t="s">
        <x:v>339</x:v>
      </x:c>
      <x:c r="C201" s="42" t="n">
        <x:f aca="0">IF(C37=0,"n/m",C41/C37)</x:f>
        <x:v>0.6780463214150575</x:v>
      </x:c>
      <x:c r="D201" s="42" t="n">
        <x:f aca="0">IF(D37=0,"n/m",D41/D37)</x:f>
        <x:v>0.6835285182929718</x:v>
      </x:c>
      <x:c r="E201" s="42" t="n">
        <x:f aca="0">IF(E37=0,"n/m",E41/E37)</x:f>
        <x:v>0.5078015171707784</x:v>
      </x:c>
      <x:c r="F201" s="42" t="n">
        <x:f aca="0">IF(F37=0,"n/m",F41/F37)</x:f>
        <x:v>0.46946944185385797</x:v>
      </x:c>
      <x:c r="G201" s="42" t="n">
        <x:f aca="0">IF(G37=0,"n/m",G41/G37)</x:f>
        <x:v>0.4971599362565977</x:v>
      </x:c>
      <x:c r="H201" s="42" t="n">
        <x:f aca="0">IF(H37=0,"n/m",H41/H37)</x:f>
        <x:v>0.5239336499653259</x:v>
      </x:c>
      <x:c r="I201" s="11" t="s">
        <x:v>278</x:v>
      </x:c>
    </x:row>
    <x:row r="202" ht="15" hidden="0">
      <x:c r="A202" s="193" t="s">
        <x:v>340</x:v>
      </x:c>
      <x:c r="B202" s="195" t="s">
        <x:v>341</x:v>
      </x:c>
      <x:c r="C202" s="42" t="n">
        <x:f aca="0">IF(C37=0,"n/m",C67/C37)</x:f>
        <x:v>0.017289251311185642</x:v>
      </x:c>
      <x:c r="D202" s="42" t="n">
        <x:f aca="0">IF(D37=0,"n/m",D67/D37)</x:f>
        <x:v>0.01659494791985876</x:v>
      </x:c>
      <x:c r="E202" s="42" t="n">
        <x:f aca="0">IF(E37=0,"n/m",E67/E37)</x:f>
        <x:v>0.1727906268810509</x:v>
      </x:c>
      <x:c r="F202" s="42" t="n">
        <x:f aca="0">IF(F37=0,"n/m",F67/F37)</x:f>
        <x:v>0.22975152572601862</x:v>
      </x:c>
      <x:c r="G202" s="42" t="n">
        <x:f aca="0">IF(G37=0,"n/m",G67/G37)</x:f>
        <x:v>0.203376413547186</x:v>
      </x:c>
      <x:c r="H202" s="42" t="n">
        <x:f aca="0">IF(H37=0,"n/m",H67/H37)</x:f>
        <x:v>0.15113814624398686</x:v>
      </x:c>
      <x:c r="I202" s="11" t="s">
        <x:v>278</x:v>
      </x:c>
    </x:row>
    <x:row r="203" ht="15" hidden="0">
      <x:c r="A203" s="193" t="s">
        <x:v>163</x:v>
      </x:c>
      <x:c r="B203" s="195" t="s">
        <x:v>342</x:v>
      </x:c>
      <x:c r="C203" s="42" t="n">
        <x:f aca="0">IF(C37=0,"n/m",C48/C37)</x:f>
        <x:v>0.14452034167723574</x:v>
      </x:c>
      <x:c r="D203" s="42" t="n">
        <x:f aca="0">IF(D37=0,"n/m",D48/D37)</x:f>
        <x:v>0.1355144983011539</x:v>
      </x:c>
      <x:c r="E203" s="42" t="n">
        <x:f aca="0">IF(E37=0,"n/m",E48/E37)</x:f>
        <x:v>0.25717909019692564</x:v>
      </x:c>
      <x:c r="F203" s="42" t="n">
        <x:f aca="0">IF(F37=0,"n/m",F48/F37)</x:f>
        <x:v>0.3253359791109746</x:v>
      </x:c>
      <x:c r="G203" s="42" t="n">
        <x:f aca="0">IF(G37=0,"n/m",G48/G37)</x:f>
        <x:v>0.32086945636587655</x:v>
      </x:c>
      <x:c r="H203" s="42" t="n">
        <x:f aca="0">IF(H37=0,"n/m",H48/H37)</x:f>
        <x:v>0.285588183982448</x:v>
      </x:c>
      <x:c r="I203" s="11" t="s">
        <x:v>278</x:v>
      </x:c>
    </x:row>
    <x:row r="204" ht="15" hidden="0">
      <x:c r="A204" s="193" t="s">
        <x:v>166</x:v>
      </x:c>
      <x:c r="B204" s="195" t="s">
        <x:v>343</x:v>
      </x:c>
      <x:c r="C204" s="42" t="n">
        <x:f aca="0">IF(C37=0,"n/m",C50/C37)</x:f>
        <x:v>0.03982639500880515</x:v>
      </x:c>
      <x:c r="D204" s="42" t="n">
        <x:f aca="0">IF(D37=0,"n/m",D50/D37)</x:f>
        <x:v>0.05352489239251314</x:v>
      </x:c>
      <x:c r="E204" s="42" t="n">
        <x:f aca="0">IF(E37=0,"n/m",E50/E37)</x:f>
        <x:v>0.060837871514748655</x:v>
      </x:c>
      <x:c r="F204" s="42" t="n">
        <x:f aca="0">IF(F37=0,"n/m",F50/F37)</x:f>
        <x:v>0.04693893646345534</x:v>
      </x:c>
      <x:c r="G204" s="42" t="n">
        <x:f aca="0">IF(G37=0,"n/m",G50/G37)</x:f>
        <x:v>0.041377290282791496</x:v>
      </x:c>
      <x:c r="H204" s="42" t="n">
        <x:f aca="0">IF(H37=0,"n/m",H50/H37)</x:f>
        <x:v>0.024461458720267237</x:v>
      </x:c>
      <x:c r="I204" s="11" t="s">
        <x:v>278</x:v>
      </x:c>
    </x:row>
    <x:row r="205" ht="15" hidden="0">
      <x:c r="A205" s="193" t="s">
        <x:v>344</x:v>
      </x:c>
      <x:c r="B205" s="195" t="s">
        <x:v>345</x:v>
      </x:c>
      <x:c r="C205" s="42" t="n">
        <x:f aca="0">IF(C37=0,"n/m",C66/C37)</x:f>
        <x:v>0.09250228602410389</x:v>
      </x:c>
      <x:c r="D205" s="42" t="n">
        <x:f aca="0">IF(D37=0,"n/m",D66/D37)</x:f>
        <x:v>0.07541617464065718</x:v>
      </x:c>
      <x:c r="E205" s="42" t="n">
        <x:f aca="0">IF(E37=0,"n/m",E66/E37)</x:f>
        <x:v>0.2279513487286157</x:v>
      </x:c>
      <x:c r="F205" s="42" t="n">
        <x:f aca="0">IF(F37=0,"n/m",F66/F37)</x:f>
        <x:v>0.2928361026626976</x:v>
      </x:c>
      <x:c r="G205" s="42" t="n">
        <x:f aca="0">IF(G37=0,"n/m",G66/G37)</x:f>
        <x:v>0.2478370783326125</x:v>
      </x:c>
      <x:c r="H205" s="42" t="n">
        <x:f aca="0">IF(H37=0,"n/m",H66/H37)</x:f>
        <x:v>0.24891306821849585</x:v>
      </x:c>
      <x:c r="I205" s="11" t="s">
        <x:v>278</x:v>
      </x:c>
    </x:row>
    <x:row r="206" ht="15" hidden="0">
      <x:c r="A206" s="193" t="s">
        <x:v>188</x:v>
      </x:c>
      <x:c r="B206" s="195" t="s">
        <x:v>346</x:v>
      </x:c>
      <x:c r="C206" s="42" t="n">
        <x:f aca="0">IF(C37=0,"n/m",C61/C37)</x:f>
        <x:v>0.1774333369077068</x:v>
      </x:c>
      <x:c r="D206" s="42" t="n">
        <x:f aca="0">IF(D37=0,"n/m",D61/D37)</x:f>
        <x:v>0.18095698340587432</x:v>
      </x:c>
      <x:c r="E206" s="42" t="n">
        <x:f aca="0">IF(E37=0,"n/m",E61/E37)</x:f>
        <x:v>0.23501939263229576</x:v>
      </x:c>
      <x:c r="F206" s="42" t="n">
        <x:f aca="0">IF(F37=0,"n/m",F61/F37)</x:f>
        <x:v>0.2051945790351674</x:v>
      </x:c>
      <x:c r="G206" s="42" t="n">
        <x:f aca="0">IF(G37=0,"n/m",G61/G37)</x:f>
        <x:v>0.1819706073775258</x:v>
      </x:c>
      <x:c r="H206" s="42" t="n">
        <x:f aca="0">IF(H37=0,"n/m",H61/H37)</x:f>
        <x:v>0.1904781660522259</x:v>
      </x:c>
      <x:c r="I206" s="11" t="s">
        <x:v>278</x:v>
      </x:c>
    </x:row>
    <x:row r="207" ht="15" hidden="0">
      <x:c r="A207" s="193" t="s">
        <x:v>191</x:v>
      </x:c>
      <x:c r="B207" s="195" t="s">
        <x:v>347</x:v>
      </x:c>
      <x:c r="C207" s="42" t="n">
        <x:f aca="0">IF(C37=0,"n/m",C62/C37)</x:f>
        <x:v>0.32195367858494256</x:v>
      </x:c>
      <x:c r="D207" s="42" t="n">
        <x:f aca="0">IF(D37=0,"n/m",D62/D37)</x:f>
        <x:v>0.3164714817070282</x:v>
      </x:c>
      <x:c r="E207" s="42" t="n">
        <x:f aca="0">IF(E37=0,"n/m",E62/E37)</x:f>
        <x:v>0.4921984828292214</x:v>
      </x:c>
      <x:c r="F207" s="42" t="n">
        <x:f aca="0">IF(F37=0,"n/m",F62/F37)</x:f>
        <x:v>0.530530558146142</x:v>
      </x:c>
      <x:c r="G207" s="42" t="n">
        <x:f aca="0">IF(G37=0,"n/m",G62/G37)</x:f>
        <x:v>0.5028400637434024</x:v>
      </x:c>
      <x:c r="H207" s="42" t="n">
        <x:f aca="0">IF(H37=0,"n/m",H62/H37)</x:f>
        <x:v>0.4760663500346739</x:v>
      </x:c>
      <x:c r="I207" s="11" t="s">
        <x:v>278</x:v>
      </x:c>
    </x:row>
    <x:row r="208" ht="15" hidden="0">
      <x:c r="A208" s="201" t="s">
        <x:v>348</x:v>
      </x:c>
      <x:c r="B208" s="202"/>
      <x:c r="C208" s="25"/>
      <x:c r="D208" s="25"/>
      <x:c r="E208" s="25"/>
      <x:c r="F208" s="25"/>
      <x:c r="G208" s="25"/>
      <x:c r="H208" s="25"/>
      <x:c r="I208" s="25"/>
      <x:c r="J208" s="25"/>
    </x:row>
    <x:row r="209" ht="15" hidden="0">
      <x:c r="A209" s="193" t="s">
        <x:v>226</x:v>
      </x:c>
      <x:c r="B209" s="195" t="s">
        <x:v>349</x:v>
      </x:c>
      <x:c r="C209" s="30"/>
      <x:c r="D209" s="42" t="n">
        <x:f aca="0">IF(D84=0,"n/m",D85/D84)</x:f>
        <x:v>-0.7501407527454769</x:v>
      </x:c>
      <x:c r="E209" s="42" t="n">
        <x:f aca="0">IF(E84=0,"n/m",E85/E84)</x:f>
        <x:v>-0.7149209601114744</x:v>
      </x:c>
      <x:c r="F209" s="42" t="n">
        <x:f aca="0">IF(F84=0,"n/m",F85/F84)</x:f>
        <x:v>-0.7000339595178923</x:v>
      </x:c>
      <x:c r="G209" s="42" t="n">
        <x:f aca="0">IF(G84=0,"n/m",G85/G84)</x:f>
        <x:v>-0.6791001364977527</x:v>
      </x:c>
      <x:c r="H209" s="42" t="n">
        <x:f aca="0">IF(H84=0,"n/m",H85/H84)</x:f>
        <x:v>-0.6450915779707095</x:v>
      </x:c>
      <x:c r="I209" s="11" t="s">
        <x:v>278</x:v>
      </x:c>
    </x:row>
    <x:row r="210" ht="15" hidden="0">
      <x:c r="A210" s="193" t="s">
        <x:v>228</x:v>
      </x:c>
      <x:c r="B210" s="195" t="s">
        <x:v>350</x:v>
      </x:c>
      <x:c r="C210" s="30"/>
      <x:c r="D210" s="42" t="n">
        <x:f aca="0">IF(D84=0,"n/m",D86/D84)</x:f>
        <x:v>0.24985924725452316</x:v>
      </x:c>
      <x:c r="E210" s="42" t="n">
        <x:f aca="0">IF(E84=0,"n/m",E86/E84)</x:f>
        <x:v>0.28507903988852556</x:v>
      </x:c>
      <x:c r="F210" s="42" t="n">
        <x:f aca="0">IF(F84=0,"n/m",F86/F84)</x:f>
        <x:v>0.2999660404821077</x:v>
      </x:c>
      <x:c r="G210" s="42" t="n">
        <x:f aca="0">IF(G84=0,"n/m",G86/G84)</x:f>
        <x:v>0.3208998635022473</x:v>
      </x:c>
      <x:c r="H210" s="42" t="n">
        <x:f aca="0">IF(H84=0,"n/m",H86/H84)</x:f>
        <x:v>0.3549084220292905</x:v>
      </x:c>
      <x:c r="I210" s="11" t="s">
        <x:v>278</x:v>
      </x:c>
    </x:row>
    <x:row r="211" ht="15" hidden="0">
      <x:c r="A211" s="193" t="s">
        <x:v>351</x:v>
      </x:c>
      <x:c r="B211" s="195" t="s">
        <x:v>352</x:v>
      </x:c>
      <x:c r="C211" s="30"/>
      <x:c r="D211" s="42" t="n">
        <x:f aca="0">IF(D84=0,"n/m",D87/D84)</x:f>
        <x:v>-0.007809104462330693</x:v>
      </x:c>
      <x:c r="E211" s="42" t="n">
        <x:f aca="0">IF(E84=0,"n/m",E87/E84)</x:f>
        <x:v>-0.029558090668755435</x:v>
      </x:c>
      <x:c r="F211" s="42" t="n">
        <x:f aca="0">IF(F84=0,"n/m",F87/F84)</x:f>
        <x:v>-0.039742787355976514</x:v>
      </x:c>
      <x:c r="G211" s="42" t="n">
        <x:f aca="0">IF(G84=0,"n/m",G87/G84)</x:f>
        <x:v>-0.04106057681640516</x:v>
      </x:c>
      <x:c r="H211" s="42" t="n">
        <x:f aca="0">IF(H84=0,"n/m",H87/H84)</x:f>
        <x:v>-0.03299528056059149</x:v>
      </x:c>
      <x:c r="I211" s="11" t="s">
        <x:v>278</x:v>
      </x:c>
    </x:row>
    <x:row r="212" ht="15" hidden="0">
      <x:c r="A212" s="193" t="s">
        <x:v>353</x:v>
      </x:c>
      <x:c r="B212" s="195" t="s">
        <x:v>354</x:v>
      </x:c>
      <x:c r="C212" s="30"/>
      <x:c r="D212" s="42" t="n">
        <x:f aca="0">IF(D84=0,"n/m",D88/D84)</x:f>
        <x:v>-0.021618509279586966</x:v>
      </x:c>
      <x:c r="E212" s="42" t="n">
        <x:f aca="0">IF(E84=0,"n/m",E88/E84)</x:f>
        <x:v>-0.023955831595079028</x:v>
      </x:c>
      <x:c r="F212" s="42" t="n">
        <x:f aca="0">IF(F84=0,"n/m",F88/F84)</x:f>
        <x:v>-0.02029745223403414</x:v>
      </x:c>
      <x:c r="G212" s="42" t="n">
        <x:f aca="0">IF(G84=0,"n/m",G88/G84)</x:f>
        <x:v>-0.01894436456368691</x:v>
      </x:c>
      <x:c r="H212" s="42" t="n">
        <x:f aca="0">IF(H84=0,"n/m",H88/H84)</x:f>
        <x:v>-0.01898556334294734</x:v>
      </x:c>
      <x:c r="I212" s="11" t="s">
        <x:v>278</x:v>
      </x:c>
    </x:row>
    <x:row r="213" ht="15" hidden="0">
      <x:c r="A213" s="193" t="s">
        <x:v>355</x:v>
      </x:c>
      <x:c r="B213" s="195" t="s">
        <x:v>356</x:v>
      </x:c>
      <x:c r="C213" s="30"/>
      <x:c r="D213" s="42" t="n">
        <x:f aca="0">IF(D84=0,"n/m",(D90+D89)/D84)</x:f>
        <x:v>-0.015571734253048407</x:v>
      </x:c>
      <x:c r="E213" s="42" t="n">
        <x:f aca="0">IF(E84=0,"n/m",(E90+E89)/E84)</x:f>
        <x:v>-0.014913670707498784</x:v>
      </x:c>
      <x:c r="F213" s="42" t="n">
        <x:f aca="0">IF(F84=0,"n/m",(F90+F89)/F84)</x:f>
        <x:v>-0.011019331744971246</x:v>
      </x:c>
      <x:c r="G213" s="42" t="n">
        <x:f aca="0">IF(G84=0,"n/m",(G90+G89)/G84)</x:f>
        <x:v>-0.010332550231720286</x:v>
      </x:c>
      <x:c r="H213" s="42" t="n">
        <x:f aca="0">IF(H84=0,"n/m",(H90+H89)/H84)</x:f>
        <x:v>-0.016629238562994645</x:v>
      </x:c>
      <x:c r="I213" s="11" t="s">
        <x:v>278</x:v>
      </x:c>
    </x:row>
    <x:row r="214" ht="15" hidden="0">
      <x:c r="A214" s="193" t="s">
        <x:v>357</x:v>
      </x:c>
      <x:c r="B214" s="195" t="s">
        <x:v>358</x:v>
      </x:c>
      <x:c r="C214" s="30"/>
      <x:c r="D214" s="42" t="n">
        <x:f aca="0">IF(D84=0,"n/m",D91/D84)</x:f>
        <x:v>0.20485989925955708</x:v>
      </x:c>
      <x:c r="E214" s="42" t="n">
        <x:f aca="0">IF(E84=0,"n/m",E91/E84)</x:f>
        <x:v>0.21665144691719232</x:v>
      </x:c>
      <x:c r="F214" s="42" t="n">
        <x:f aca="0">IF(F84=0,"n/m",F91/F84)</x:f>
        <x:v>0.2289064691471258</x:v>
      </x:c>
      <x:c r="G214" s="42" t="n">
        <x:f aca="0">IF(G84=0,"n/m",G91/G84)</x:f>
        <x:v>0.25056237189043495</x:v>
      </x:c>
      <x:c r="H214" s="42" t="n">
        <x:f aca="0">IF(H84=0,"n/m",H91/H84)</x:f>
        <x:v>0.2862983395627571</x:v>
      </x:c>
      <x:c r="I214" s="11" t="s">
        <x:v>278</x:v>
      </x:c>
    </x:row>
    <x:row r="215" ht="15" hidden="0">
      <x:c r="A215" s="193" t="s">
        <x:v>240</x:v>
      </x:c>
      <x:c r="B215" s="195" t="s">
        <x:v>359</x:v>
      </x:c>
      <x:c r="C215" s="30"/>
      <x:c r="D215" s="42" t="n">
        <x:f aca="0">IF(D84=0,"n/m",(D92+D93+D94)/D84)</x:f>
        <x:v>0.010098435249719987</x:v>
      </x:c>
      <x:c r="E215" s="42" t="n">
        <x:f aca="0">IF(E84=0,"n/m",(E92+E93+E94)/E84)</x:f>
        <x:v>0.018027263845710344</x:v>
      </x:c>
      <x:c r="F215" s="42" t="n">
        <x:f aca="0">IF(F84=0,"n/m",(F92+F93+F94)/F84)</x:f>
        <x:v>0.014160205186239512</x:v>
      </x:c>
      <x:c r="G215" s="42" t="n">
        <x:f aca="0">IF(G84=0,"n/m",(G92+G93+G94)/G84)</x:f>
        <x:v>0.010492697731366216</x:v>
      </x:c>
      <x:c r="H215" s="42" t="n">
        <x:f aca="0">IF(H84=0,"n/m",(H92+H93+H94)/H84)</x:f>
        <x:v>0.020567429446952893</x:v>
      </x:c>
      <x:c r="I215" s="11" t="s">
        <x:v>278</x:v>
      </x:c>
    </x:row>
    <x:row r="216" ht="15" hidden="0">
      <x:c r="A216" s="193" t="s">
        <x:v>246</x:v>
      </x:c>
      <x:c r="B216" s="195" t="s">
        <x:v>360</x:v>
      </x:c>
      <x:c r="C216" s="30"/>
      <x:c r="D216" s="42" t="n">
        <x:f aca="0">IF(D84=0,"n/m",D95/D84)</x:f>
        <x:v>-0.004516571743111253</x:v>
      </x:c>
      <x:c r="E216" s="42" t="n">
        <x:f aca="0">IF(E84=0,"n/m",E95/E84)</x:f>
        <x:v>-0.022152340136494367</x:v>
      </x:c>
      <x:c r="F216" s="42" t="n">
        <x:f aca="0">IF(F84=0,"n/m",F95/F84)</x:f>
        <x:v>-0.05355227634103735</x:v>
      </x:c>
      <x:c r="G216" s="42" t="n">
        <x:f aca="0">IF(G84=0,"n/m",G95/G84)</x:f>
        <x:v>-0.06918104572368564</x:v>
      </x:c>
      <x:c r="H216" s="42" t="n">
        <x:f aca="0">IF(H84=0,"n/m",H95/H84)</x:f>
        <x:v>-0.06488725568798208</x:v>
      </x:c>
      <x:c r="I216" s="11" t="s">
        <x:v>278</x:v>
      </x:c>
    </x:row>
    <x:row r="217" ht="15" hidden="0">
      <x:c r="A217" s="193" t="s">
        <x:v>361</x:v>
      </x:c>
      <x:c r="B217" s="195" t="s">
        <x:v>362</x:v>
      </x:c>
      <x:c r="C217" s="30"/>
      <x:c r="D217" s="42" t="n">
        <x:f aca="0">IF(D84=0,"n/m",D96/D84)</x:f>
        <x:v>0.21044176276616583</x:v>
      </x:c>
      <x:c r="E217" s="42" t="n">
        <x:f aca="0">IF(E84=0,"n/m",E96/E84)</x:f>
        <x:v>0.2125263706264083</x:v>
      </x:c>
      <x:c r="F217" s="42" t="n">
        <x:f aca="0">IF(F84=0,"n/m",F96/F84)</x:f>
        <x:v>0.18951439799232797</x:v>
      </x:c>
      <x:c r="G217" s="42" t="n">
        <x:f aca="0">IF(G84=0,"n/m",G96/G84)</x:f>
        <x:v>0.19187402389811553</x:v>
      </x:c>
      <x:c r="H217" s="42" t="n">
        <x:f aca="0">IF(H84=0,"n/m",H96/H84)</x:f>
        <x:v>0.24197851332172784</x:v>
      </x:c>
      <x:c r="I217" s="11" t="s">
        <x:v>278</x:v>
      </x:c>
    </x:row>
    <x:row r="218" ht="15" hidden="0">
      <x:c r="A218" s="193" t="s">
        <x:v>363</x:v>
      </x:c>
      <x:c r="B218" s="195" t="s">
        <x:v>364</x:v>
      </x:c>
      <x:c r="C218" s="30"/>
      <x:c r="D218" s="42" t="n">
        <x:f aca="0">IF(D84=0,"n/m",-D110/D84)</x:f>
        <x:v>-0.0674188037427767</x:v>
      </x:c>
      <x:c r="E218" s="42" t="n">
        <x:f aca="0">IF(E84=0,"n/m",-E110/E84)</x:f>
        <x:v>-0.08140300858073829</x:v>
      </x:c>
      <x:c r="F218" s="42" t="n">
        <x:f aca="0">IF(F84=0,"n/m",-F110/F84)</x:f>
        <x:v>-0.08021868072591098</x:v>
      </x:c>
      <x:c r="G218" s="42" t="n">
        <x:f aca="0">IF(G84=0,"n/m",-G110/G84)</x:f>
        <x:v>-0.08911875964262016</x:v>
      </x:c>
      <x:c r="H218" s="42" t="n">
        <x:f aca="0">IF(H84=0,"n/m",-H110/H84)</x:f>
        <x:v>-0.09217239722395015</x:v>
      </x:c>
      <x:c r="I218" s="11" t="s">
        <x:v>278</x:v>
      </x:c>
    </x:row>
    <x:row r="219" ht="15" hidden="0">
      <x:c r="A219" s="193" t="s">
        <x:v>365</x:v>
      </x:c>
      <x:c r="B219" s="195" t="s">
        <x:v>366</x:v>
      </x:c>
      <x:c r="C219" s="30"/>
      <x:c r="D219" s="42" t="n">
        <x:f aca="0">IF(D84=0,"n/m",D99/D84)</x:f>
        <x:v>0.14302295902338913</x:v>
      </x:c>
      <x:c r="E219" s="42" t="n">
        <x:f aca="0">IF(E84=0,"n/m",E99/E84)</x:f>
        <x:v>0.13112336204567002</x:v>
      </x:c>
      <x:c r="F219" s="42" t="n">
        <x:f aca="0">IF(F84=0,"n/m",F99/F84)</x:f>
        <x:v>0.10929571726641699</x:v>
      </x:c>
      <x:c r="G219" s="42" t="n">
        <x:f aca="0">IF(G84=0,"n/m",G99/G84)</x:f>
        <x:v>0.10275526425549537</x:v>
      </x:c>
      <x:c r="H219" s="42" t="n">
        <x:f aca="0">IF(H84=0,"n/m",H99/H84)</x:f>
        <x:v>0.14980611609777766</x:v>
      </x:c>
      <x:c r="I219" s="11" t="s">
        <x:v>278</x:v>
      </x:c>
    </x:row>
    <x:row r="220" ht="15" hidden="0">
      <x:c r="A220" s="193"/>
      <x:c r="B220" s="195"/>
      <x:c r="C220" s="30"/>
      <x:c r="D220" s="42">
        <x:f aca="0"/>
      </x:c>
      <x:c r="E220" s="42">
        <x:f aca="0"/>
      </x:c>
      <x:c r="F220" s="42">
        <x:f aca="0"/>
      </x:c>
      <x:c r="G220" s="42">
        <x:f aca="0"/>
      </x:c>
      <x:c r="H220" s="42">
        <x:f aca="0"/>
      </x:c>
      <x:c r="I220" s="11" t="s">
        <x:v>278</x:v>
      </x:c>
    </x:row>
    <x:row r="221">
      <x:c r="A221" s="193"/>
      <x:c r="B221" s="193"/>
    </x:row>
    <x:row r="222" ht="15" hidden="0">
      <x:c r="A222" s="196" t="s">
        <x:v>367</x:v>
      </x:c>
      <x:c r="B222" s="197"/>
      <x:c r="C222" s="20"/>
      <x:c r="D222" s="20"/>
      <x:c r="E222" s="20"/>
      <x:c r="F222" s="20"/>
      <x:c r="G222" s="20"/>
      <x:c r="H222" s="20"/>
      <x:c r="I222" s="20"/>
      <x:c r="J222" s="20"/>
    </x:row>
    <x:row r="223" ht="15" hidden="0">
      <x:c r="A223" s="193" t="s">
        <x:v>368</x:v>
      </x:c>
      <x:c r="B223" s="195" t="s">
        <x:v>369</x:v>
      </x:c>
      <x:c r="C223" s="30"/>
      <x:c r="D223" s="43" t="s">
        <x:v>370</x:v>
      </x:c>
      <x:c r="E223" s="44" t="n">
        <x:f aca="0">E84-D84</x:f>
        <x:v>29971.833000000002</x:v>
      </x:c>
      <x:c r="F223" s="44" t="n">
        <x:f aca="0">F84-E84</x:f>
        <x:v>13826.164000000004</x:v>
      </x:c>
      <x:c r="G223" s="44" t="n">
        <x:f aca="0">G84-F84</x:f>
        <x:v>11956.943999999989</x:v>
      </x:c>
      <x:c r="H223" s="44" t="n">
        <x:f aca="0">H84-G84</x:f>
        <x:v>8930.101999999999</x:v>
      </x:c>
      <x:c r="I223" s="11" t="s">
        <x:v>111</x:v>
      </x:c>
    </x:row>
    <x:row r="224" ht="15" hidden="0">
      <x:c r="A224" s="193" t="s">
        <x:v>371</x:v>
      </x:c>
      <x:c r="B224" s="195" t="s">
        <x:v>372</x:v>
      </x:c>
      <x:c r="C224" s="30"/>
      <x:c r="D224" s="43" t="str">
        <x:f>IF(OR(C84&lt;=0,D84&lt;C84),"n/m",D84/C84-1)</x:f>
        <x:v>n/m</x:v>
      </x:c>
      <x:c r="E224" s="42" t="n">
        <x:f aca="0">IF(OR(D84&lt;=0,E84&lt;D84),"n/m",E84/D84-1)</x:f>
        <x:v>1.234867993186187</x:v>
      </x:c>
      <x:c r="F224" s="42" t="n">
        <x:f aca="0">IF(OR(E84&lt;=0,F84&lt;E84),"n/m",F84/E84-1)</x:f>
        <x:v>0.25489250083300896</x:v>
      </x:c>
      <x:c r="G224" s="42" t="n">
        <x:f aca="0">IF(OR(F84&lt;=0,G84&lt;F84),"n/m",G84/F84-1)</x:f>
        <x:v>0.1756584416447935</x:v>
      </x:c>
      <x:c r="H224" s="42" t="n">
        <x:f aca="0">IF(OR(G84&lt;=0,H84&lt;G84),"n/m",H84/G84-1)</x:f>
        <x:v>0.11158969310885669</x:v>
      </x:c>
      <x:c r="I224" s="11" t="s">
        <x:v>278</x:v>
      </x:c>
    </x:row>
    <x:row r="225" ht="15" hidden="0">
      <x:c r="A225" s="193" t="s">
        <x:v>373</x:v>
      </x:c>
      <x:c r="B225" s="195" t="s">
        <x:v>369</x:v>
      </x:c>
      <x:c r="C225" s="30"/>
      <x:c r="D225" s="43" t="s">
        <x:v>370</x:v>
      </x:c>
      <x:c r="E225" s="44" t="n">
        <x:f aca="0">E86-D86</x:f>
        <x:v>9399.171000000002</x:v>
      </x:c>
      <x:c r="F225" s="44" t="n">
        <x:f aca="0">F86-E86</x:f>
        <x:v>4954.8970000000045</x:v>
      </x:c>
      <x:c r="G225" s="44" t="n">
        <x:f aca="0">G86-F86</x:f>
        <x:v>5261.931999999986</x:v>
      </x:c>
      <x:c r="H225" s="44" t="n">
        <x:f aca="0">H86-G86</x:f>
        <x:v>5890.945</x:v>
      </x:c>
      <x:c r="I225" s="11" t="s">
        <x:v>111</x:v>
      </x:c>
    </x:row>
    <x:row r="226" ht="15" hidden="0">
      <x:c r="A226" s="193" t="s">
        <x:v>374</x:v>
      </x:c>
      <x:c r="B226" s="195" t="s">
        <x:v>372</x:v>
      </x:c>
      <x:c r="C226" s="30"/>
      <x:c r="D226" s="43" t="str">
        <x:f>IF(OR(C86&lt;=0,D86&lt;C86),"n/m",D86/C86-1)</x:f>
        <x:v>n/m</x:v>
      </x:c>
      <x:c r="E226" s="42" t="n">
        <x:f aca="0">IF(OR(D86&lt;=0,E86&lt;D86),"n/m",E86/D86-1)</x:f>
        <x:v>1.5498917041325577</x:v>
      </x:c>
      <x:c r="F226" s="42" t="n">
        <x:f aca="0">IF(OR(E86&lt;=0,F86&lt;E86),"n/m",F86/E86-1)</x:f>
        <x:v>0.3204237493319788</x:v>
      </x:c>
      <x:c r="G226" s="42" t="n">
        <x:f aca="0">IF(OR(F86&lt;=0,G86&lt;F86),"n/m",G86/F86-1)</x:f>
        <x:v>0.25770448162308646</x:v>
      </x:c>
      <x:c r="H226" s="42" t="n">
        <x:f aca="0">IF(OR(G86&lt;=0,H86&lt;G86),"n/m",H86/G86-1)</x:f>
        <x:v>0.22939455199402037</x:v>
      </x:c>
      <x:c r="I226" s="11" t="s">
        <x:v>278</x:v>
      </x:c>
    </x:row>
    <x:row r="227" ht="15" hidden="0">
      <x:c r="A227" s="193" t="s">
        <x:v>375</x:v>
      </x:c>
      <x:c r="B227" s="195" t="s">
        <x:v>369</x:v>
      </x:c>
      <x:c r="C227" s="30"/>
      <x:c r="D227" s="43" t="s">
        <x:v>370</x:v>
      </x:c>
      <x:c r="E227" s="44" t="n">
        <x:f aca="0">E91-D91</x:f>
        <x:v>6779.6370000000015</x:v>
      </x:c>
      <x:c r="F227" s="44" t="n">
        <x:f aca="0">F91-E91</x:f>
        <x:v>3829.6490000000067</x:v>
      </x:c>
      <x:c r="G227" s="44" t="n">
        <x:f aca="0">G91-F91</x:f>
        <x:v>4470.061999999987</x:v>
      </x:c>
      <x:c r="H227" s="44" t="n">
        <x:f aca="0">H91-G91</x:f>
        <x:v>5416.487999999998</x:v>
      </x:c>
      <x:c r="I227" s="11" t="s">
        <x:v>111</x:v>
      </x:c>
    </x:row>
    <x:row r="228" ht="15" hidden="0">
      <x:c r="A228" s="193" t="s">
        <x:v>376</x:v>
      </x:c>
      <x:c r="B228" s="195" t="s">
        <x:v>372</x:v>
      </x:c>
      <x:c r="C228" s="30"/>
      <x:c r="D228" s="43" t="str">
        <x:f>IF(OR(C91&lt;=0,D91&lt;C91),"n/m",D91/C91-1)</x:f>
        <x:v>n/m</x:v>
      </x:c>
      <x:c r="E228" s="42" t="n">
        <x:f aca="0">IF(OR(D91&lt;=0,E91&lt;D91),"n/m",E91/D91-1)</x:f>
        <x:v>1.3635049423667094</x:v>
      </x:c>
      <x:c r="F228" s="42" t="n">
        <x:f aca="0">IF(OR(E91&lt;=0,F91&lt;E91),"n/m",F91/E91-1)</x:f>
        <x:v>0.325876266289989</x:v>
      </x:c>
      <x:c r="G228" s="42" t="n">
        <x:f aca="0">IF(OR(F91&lt;=0,G91&lt;F91),"n/m",G91/F91-1)</x:f>
        <x:v>0.28688266770738724</x:v>
      </x:c>
      <x:c r="H228" s="42" t="n">
        <x:f aca="0">IF(OR(G91&lt;=0,H91&lt;G91),"n/m",H91/G91-1)</x:f>
        <x:v>0.2701279965185752</x:v>
      </x:c>
      <x:c r="I228" s="11" t="s">
        <x:v>278</x:v>
      </x:c>
    </x:row>
    <x:row r="229" ht="15" hidden="0">
      <x:c r="A229" s="193"/>
      <x:c r="B229" s="195"/>
      <x:c r="C229" s="30"/>
      <x:c r="D229" s="43"/>
      <x:c r="E229" s="44">
        <x:f aca="0"/>
      </x:c>
      <x:c r="F229" s="44">
        <x:f aca="0"/>
      </x:c>
      <x:c r="G229" s="44">
        <x:f aca="0"/>
      </x:c>
      <x:c r="H229" s="44">
        <x:f aca="0"/>
      </x:c>
      <x:c r="I229" s="11" t="s">
        <x:v>111</x:v>
      </x:c>
    </x:row>
    <x:row r="230" ht="15" hidden="0">
      <x:c r="A230" s="193"/>
      <x:c r="B230" s="195"/>
      <x:c r="C230" s="30"/>
      <x:c r="D230" s="43"/>
      <x:c r="E230" s="42">
        <x:f aca="0"/>
      </x:c>
      <x:c r="F230" s="42">
        <x:f aca="0"/>
      </x:c>
      <x:c r="G230" s="42">
        <x:f aca="0"/>
      </x:c>
      <x:c r="H230" s="42">
        <x:f aca="0"/>
      </x:c>
      <x:c r="I230" s="11" t="s">
        <x:v>278</x:v>
      </x:c>
    </x:row>
    <x:row r="231" ht="15" hidden="0">
      <x:c r="A231" s="193" t="s">
        <x:v>377</x:v>
      </x:c>
      <x:c r="B231" s="195" t="s">
        <x:v>369</x:v>
      </x:c>
      <x:c r="C231" s="30"/>
      <x:c r="D231" s="43" t="s">
        <x:v>370</x:v>
      </x:c>
      <x:c r="E231" s="44" t="n">
        <x:f aca="0">E99-D99</x:f>
        <x:v>3641.1890000000017</x:v>
      </x:c>
      <x:c r="F231" s="44" t="n">
        <x:f aca="0">F99-E99</x:f>
        <x:v>327.1410000000069</x:v>
      </x:c>
      <x:c r="G231" s="44" t="n">
        <x:f aca="0">G99-F99</x:f>
        <x:v>783.4349999999868</x:v>
      </x:c>
      <x:c r="H231" s="44" t="n">
        <x:f aca="0">H99-G99</x:f>
        <x:v>5103.085999999996</x:v>
      </x:c>
      <x:c r="I231" s="11" t="s">
        <x:v>111</x:v>
      </x:c>
    </x:row>
    <x:row r="232" ht="15" hidden="0">
      <x:c r="A232" s="193" t="s">
        <x:v>378</x:v>
      </x:c>
      <x:c r="B232" s="195" t="s">
        <x:v>372</x:v>
      </x:c>
      <x:c r="C232" s="30"/>
      <x:c r="D232" s="43" t="str">
        <x:f>IF(OR(C99&lt;=0,D99&lt;C99),"n/m",D99/C99-1)</x:f>
        <x:v>n/m</x:v>
      </x:c>
      <x:c r="E232" s="42" t="n">
        <x:f aca="0">IF(OR(D99&lt;=0,E99&lt;D99),"n/m",E99/D99-1)</x:f>
        <x:v>1.0489256200251726</x:v>
      </x:c>
      <x:c r="F232" s="42" t="n">
        <x:f aca="0">IF(OR(E99&lt;=0,F99&lt;E99),"n/m",F99/E99-1)</x:f>
        <x:v>0.04599496101252254</x:v>
      </x:c>
      <x:c r="G232" s="42" t="n">
        <x:f aca="0">IF(OR(F99&lt;=0,G99&lt;F99),"n/m",G99/F99-1)</x:f>
        <x:v>0.1053049183157162</x:v>
      </x:c>
      <x:c r="H232" s="42" t="n">
        <x:f aca="0">IF(OR(G99&lt;=0,H99&lt;G99),"n/m",H99/G99-1)</x:f>
        <x:v>0.6205781360739651</x:v>
      </x:c>
      <x:c r="I232" s="11" t="s">
        <x:v>278</x:v>
      </x:c>
    </x:row>
    <x:row r="233" ht="15" hidden="0">
      <x:c r="A233" s="193" t="s">
        <x:v>379</x:v>
      </x:c>
      <x:c r="B233" s="195" t="s">
        <x:v>369</x:v>
      </x:c>
      <x:c r="C233" s="30"/>
      <x:c r="D233" s="43" t="s">
        <x:v>370</x:v>
      </x:c>
      <x:c r="E233" s="44" t="n">
        <x:f aca="0">E117-D117</x:f>
        <x:v>1828.4670000000006</x:v>
      </x:c>
      <x:c r="F233" s="44" t="n">
        <x:f aca="0">F117-E117</x:f>
        <x:v>8463.434</x:v>
      </x:c>
      <x:c r="G233" s="44" t="n">
        <x:f aca="0">G117-F117</x:f>
        <x:v>6253.609</x:v>
      </x:c>
      <x:c r="H233" s="44" t="n">
        <x:f aca="0">H117-G117</x:f>
        <x:v>2028.6009999999987</x:v>
      </x:c>
      <x:c r="I233" s="11" t="s">
        <x:v>111</x:v>
      </x:c>
    </x:row>
    <x:row r="234" ht="15" hidden="0">
      <x:c r="A234" s="193" t="s">
        <x:v>380</x:v>
      </x:c>
      <x:c r="B234" s="195" t="s">
        <x:v>372</x:v>
      </x:c>
      <x:c r="C234" s="30"/>
      <x:c r="D234" s="43" t="str">
        <x:f>IF(OR(C117&lt;=0,D117&lt;C117),"n/m",D117/C117-1)</x:f>
        <x:v>n/m</x:v>
      </x:c>
      <x:c r="E234" s="42" t="n">
        <x:f aca="0">IF(OR(D117&lt;=0,E117&lt;D117),"n/m",E117/D117-1)</x:f>
        <x:v>0.31859837880419173</x:v>
      </x:c>
      <x:c r="F234" s="42" t="n">
        <x:f aca="0">IF(OR(E117&lt;=0,F117&lt;E117),"n/m",F117/E117-1)</x:f>
        <x:v>1.118382877237642</x:v>
      </x:c>
      <x:c r="G234" s="42" t="n">
        <x:f aca="0">IF(OR(F117&lt;=0,G117&lt;F117),"n/m",G117/F117-1)</x:f>
        <x:v>0.39009480258184803</x:v>
      </x:c>
      <x:c r="H234" s="42" t="n">
        <x:f aca="0">IF(OR(G117&lt;=0,H117&lt;G117),"n/m",H117/G117-1)</x:f>
        <x:v>0.0910314909300396</x:v>
      </x:c>
      <x:c r="I234" s="11" t="s">
        <x:v>278</x:v>
      </x:c>
    </x:row>
    <x:row r="235" ht="15" hidden="0">
      <x:c r="A235" s="193" t="s">
        <x:v>381</x:v>
      </x:c>
      <x:c r="B235" s="195" t="s">
        <x:v>369</x:v>
      </x:c>
      <x:c r="C235" s="30"/>
      <x:c r="D235" s="44" t="n">
        <x:f aca="0">D37-C37</x:f>
        <x:v>4844.315000000002</x:v>
      </x:c>
      <x:c r="E235" s="44" t="n">
        <x:f aca="0">E37-D37</x:f>
        <x:v>79645.84600000002</x:v>
      </x:c>
      <x:c r="F235" s="44" t="n">
        <x:f aca="0">F37-E37</x:f>
        <x:v>25130.419999999984</x:v>
      </x:c>
      <x:c r="G235" s="44" t="n">
        <x:f aca="0">G37-F37</x:f>
        <x:v>8807.801999999996</x:v>
      </x:c>
      <x:c r="H235" s="44" t="n">
        <x:f aca="0">H37-G37</x:f>
        <x:v>13208.892000000022</x:v>
      </x:c>
      <x:c r="I235" s="11" t="s">
        <x:v>111</x:v>
      </x:c>
    </x:row>
    <x:row r="236" ht="15" hidden="0">
      <x:c r="A236" s="193" t="s">
        <x:v>382</x:v>
      </x:c>
      <x:c r="B236" s="195" t="s">
        <x:v>372</x:v>
      </x:c>
      <x:c r="C236" s="30"/>
      <x:c r="D236" s="42" t="n">
        <x:f aca="0">IF(OR(C37&lt;=0,D37&lt;C37),"n/m",D37/C37-1)</x:f>
        <x:v>0.16585623568624341</x:v>
      </x:c>
      <x:c r="E236" s="42" t="n">
        <x:f aca="0">IF(OR(D37&lt;=0,E37&lt;D37),"n/m",E37/D37-1)</x:f>
        <x:v>2.3389318015609613</x:v>
      </x:c>
      <x:c r="F236" s="42" t="n">
        <x:f aca="0">IF(OR(E37&lt;=0,F37&lt;E37),"n/m",F37/E37-1)</x:f>
        <x:v>0.2210276608284234</x:v>
      </x:c>
      <x:c r="G236" s="42" t="n">
        <x:f aca="0">IF(OR(F37&lt;=0,G37&lt;F37),"n/m",G37/F37-1)</x:f>
        <x:v>0.06344376111771921</x:v>
      </x:c>
      <x:c r="H236" s="42" t="n">
        <x:f aca="0">IF(OR(G37&lt;=0,H37&lt;G37),"n/m",H37/G37-1)</x:f>
        <x:v>0.08946913522940592</x:v>
      </x:c>
      <x:c r="I236" s="11" t="s">
        <x:v>278</x:v>
      </x:c>
    </x:row>
    <x:row r="237" ht="15" hidden="0">
      <x:c r="A237" s="193" t="s">
        <x:v>383</x:v>
      </x:c>
      <x:c r="B237" s="195" t="s">
        <x:v>369</x:v>
      </x:c>
      <x:c r="C237" s="30"/>
      <x:c r="D237" s="44" t="n">
        <x:f aca="0">D41-C41</x:f>
        <x:v>3471.3510000000024</x:v>
      </x:c>
      <x:c r="E237" s="44" t="n">
        <x:f aca="0">E41-D41</x:f>
        <x:v>34460.384999999995</x:v>
      </x:c>
      <x:c r="F237" s="44" t="n">
        <x:f aca="0">F41-E41</x:f>
        <x:v>7439.680999999997</x:v>
      </x:c>
      <x:c r="G237" s="44" t="n">
        <x:f aca="0">G41-F41</x:f>
        <x:v>8223.116000000009</x:v>
      </x:c>
      <x:c r="H237" s="44" t="n">
        <x:f aca="0">H41-G41</x:f>
        <x:v>10873.354999999996</x:v>
      </x:c>
      <x:c r="I237" s="11" t="s">
        <x:v>111</x:v>
      </x:c>
    </x:row>
    <x:row r="238" ht="15" hidden="0">
      <x:c r="A238" s="193" t="s">
        <x:v>384</x:v>
      </x:c>
      <x:c r="B238" s="195" t="s">
        <x:v>372</x:v>
      </x:c>
      <x:c r="C238" s="30"/>
      <x:c r="D238" s="42" t="n">
        <x:f aca="0">IF(OR(C41&lt;=0,D41&lt;C41),"n/m",D41/C41-1)</x:f>
        <x:v>0.175282514118132</x:v>
      </x:c>
      <x:c r="E238" s="42" t="n">
        <x:f aca="0">IF(OR(D41&lt;=0,E41&lt;D41),"n/m",E41/D41-1)</x:f>
        <x:v>1.4805323979703955</x:v>
      </x:c>
      <x:c r="F238" s="42" t="n">
        <x:f aca="0">IF(OR(E41&lt;=0,F41&lt;E41),"n/m",F41/E41-1)</x:f>
        <x:v>0.1288567580715938</x:v>
      </x:c>
      <x:c r="G238" s="42" t="n">
        <x:f aca="0">IF(OR(F41&lt;=0,G41&lt;F41),"n/m",G41/F41-1)</x:f>
        <x:v>0.1261683623155656</x:v>
      </x:c>
      <x:c r="H238" s="42" t="n">
        <x:f aca="0">IF(OR(G41&lt;=0,H41&lt;G41),"n/m",H41/G41-1)</x:f>
        <x:v>0.14814066644883406</x:v>
      </x:c>
      <x:c r="I238" s="11" t="s">
        <x:v>278</x:v>
      </x:c>
    </x:row>
    <x:row r="239" ht="15" hidden="0">
      <x:c r="A239" s="193" t="s">
        <x:v>385</x:v>
      </x:c>
      <x:c r="B239" s="195" t="s">
        <x:v>369</x:v>
      </x:c>
      <x:c r="C239" s="30"/>
      <x:c r="D239" s="44" t="n">
        <x:f aca="0">D66-C66</x:f>
        <x:v>-133.70999999999958</x:v>
      </x:c>
      <x:c r="E239" s="44" t="n">
        <x:f aca="0">E66-D66</x:f>
        <x:v>23349.541000000005</x:v>
      </x:c>
      <x:c r="F239" s="44" t="n">
        <x:f aca="0">F66-E66</x:f>
        <x:v>14736.366000000002</x:v>
      </x:c>
      <x:c r="G239" s="44" t="n">
        <x:f aca="0">G66-F66</x:f>
        <x:v>-4064.247000000003</x:v>
      </x:c>
      <x:c r="H239" s="44" t="n">
        <x:f aca="0">H66-G66</x:f>
        <x:v>3446.7209999999977</x:v>
      </x:c>
      <x:c r="I239" s="11" t="s">
        <x:v>111</x:v>
      </x:c>
    </x:row>
    <x:row r="240" ht="15" hidden="0">
      <x:c r="A240" s="193" t="s">
        <x:v>386</x:v>
      </x:c>
      <x:c r="B240" s="195" t="s">
        <x:v>372</x:v>
      </x:c>
      <x:c r="C240" s="30"/>
      <x:c r="D240" s="42" t="str">
        <x:f aca="0">IF(OR(C66&lt;=0,D66&lt;C66),"n/m",D66/C66-1)</x:f>
        <x:v>n/m</x:v>
      </x:c>
      <x:c r="E240" s="42" t="n">
        <x:f aca="0">IF(OR(D66&lt;=0,E66&lt;D66),"n/m",E66/D66-1)</x:f>
        <x:v>9.092185278625468</x:v>
      </x:c>
      <x:c r="F240" s="42" t="n">
        <x:f aca="0">IF(OR(E66&lt;=0,F66&lt;E66),"n/m",F66/E66-1)</x:f>
        <x:v>0.5685846275296005</x:v>
      </x:c>
      <x:c r="G240" s="42" t="str">
        <x:f aca="0">IF(OR(F66&lt;=0,G66&lt;F66),"n/m",G66/F66-1)</x:f>
        <x:v>n/m</x:v>
      </x:c>
      <x:c r="H240" s="42" t="n">
        <x:f aca="0">IF(OR(G66&lt;=0,H66&lt;G66),"n/m",H66/G66-1)</x:f>
        <x:v>0.09419908838401692</x:v>
      </x:c>
      <x:c r="I240" s="11" t="s">
        <x:v>278</x:v>
      </x:c>
    </x:row>
    <x:row r="241" ht="15" hidden="0">
      <x:c r="A241" s="193" t="s">
        <x:v>387</x:v>
      </x:c>
      <x:c r="B241" s="195" t="s">
        <x:v>369</x:v>
      </x:c>
      <x:c r="C241" s="30"/>
      <x:c r="D241" s="44" t="n">
        <x:f aca="0">D65-C65</x:f>
        <x:v>746.3910000000005</x:v>
      </x:c>
      <x:c r="E241" s="44" t="n">
        <x:f aca="0">E65-D65</x:f>
        <x:v>10196.916000000001</x:v>
      </x:c>
      <x:c r="F241" s="44" t="n">
        <x:f aca="0">F65-E65</x:f>
        <x:v>-513.3600000000006</x:v>
      </x:c>
      <x:c r="G241" s="44" t="n">
        <x:f aca="0">G65-F65</x:f>
        <x:v>1471.3269999999993</x:v>
      </x:c>
      <x:c r="H241" s="44" t="n">
        <x:f aca="0">H65-G65</x:f>
        <x:v>3119.790000000001</x:v>
      </x:c>
      <x:c r="I241" s="11" t="s">
        <x:v>111</x:v>
      </x:c>
    </x:row>
    <x:row r="242" ht="15" hidden="0">
      <x:c r="A242" s="193" t="s">
        <x:v>388</x:v>
      </x:c>
      <x:c r="B242" s="195" t="s">
        <x:v>372</x:v>
      </x:c>
      <x:c r="C242" s="30"/>
      <x:c r="D242" s="42" t="n">
        <x:f aca="0">IF(OR(C65&lt;=0,D65&lt;C65),"n/m",D65/C65-1)</x:f>
        <x:v>0.15902445925385877</x:v>
      </x:c>
      <x:c r="E242" s="42" t="n">
        <x:f aca="0">IF(OR(D65&lt;=0,E65&lt;D65),"n/m",E65/D65-1)</x:f>
        <x:v>1.874449627496713</x:v>
      </x:c>
      <x:c r="F242" s="42" t="str">
        <x:f aca="0">IF(OR(E65&lt;=0,F65&lt;E65),"n/m",F65/E65-1)</x:f>
        <x:v>n/m</x:v>
      </x:c>
      <x:c r="G242" s="42" t="n">
        <x:f aca="0">IF(OR(F65&lt;=0,G65&lt;F65),"n/m",G65/F65-1)</x:f>
        <x:v>0.09728741506269567</x:v>
      </x:c>
      <x:c r="H242" s="42" t="n">
        <x:f aca="0">IF(OR(G65&lt;=0,H65&lt;G65),"n/m",H65/G65-1)</x:f>
        <x:v>0.18799765107637412</x:v>
      </x:c>
      <x:c r="I242" s="11" t="s">
        <x:v>278</x:v>
      </x:c>
    </x:row>
    <x:row r="243" ht="15" hidden="0">
      <x:c r="A243" s="193" t="s">
        <x:v>389</x:v>
      </x:c>
      <x:c r="B243" s="195" t="s">
        <x:v>369</x:v>
      </x:c>
      <x:c r="C243" s="30"/>
      <x:c r="D243" s="44" t="n">
        <x:f aca="0">D32-C32</x:f>
        <x:v>398.9599999999998</x:v>
      </x:c>
      <x:c r="E243" s="44" t="n">
        <x:f aca="0">E32-D32</x:f>
        <x:v>963.1579999999999</x:v>
      </x:c>
      <x:c r="F243" s="44" t="n">
        <x:f aca="0">F32-E32</x:f>
        <x:v>1159.6870000000004</x:v>
      </x:c>
      <x:c r="G243" s="44" t="n">
        <x:f aca="0">G32-F32</x:f>
        <x:v>1972.7959999999998</x:v>
      </x:c>
      <x:c r="H243" s="44" t="n">
        <x:f aca="0">H32-G32</x:f>
        <x:v>1366.0810000000001</x:v>
      </x:c>
      <x:c r="I243" s="11" t="s">
        <x:v>111</x:v>
      </x:c>
    </x:row>
    <x:row r="244" ht="15" hidden="0">
      <x:c r="A244" s="193" t="s">
        <x:v>390</x:v>
      </x:c>
      <x:c r="B244" s="195" t="s">
        <x:v>372</x:v>
      </x:c>
      <x:c r="C244" s="30"/>
      <x:c r="D244" s="42" t="n">
        <x:f aca="0">IF(OR(C32&lt;=0,D32&lt;C32),"n/m",D32/C32-1)</x:f>
        <x:v>0.37973045001142136</x:v>
      </x:c>
      <x:c r="E244" s="42" t="n">
        <x:f aca="0">IF(OR(D32&lt;=0,E32&lt;D32),"n/m",E32/D32-1)</x:f>
        <x:v>0.664430187637969</x:v>
      </x:c>
      <x:c r="F244" s="42" t="n">
        <x:f aca="0">IF(OR(E32&lt;=0,F32&lt;E32),"n/m",F32/E32-1)</x:f>
        <x:v>0.48064787268346043</x:v>
      </x:c>
      <x:c r="G244" s="42" t="n">
        <x:f aca="0">IF(OR(F32&lt;=0,G32&lt;F32),"n/m",G32/F32-1)</x:f>
        <x:v>0.5522257165610667</x:v>
      </x:c>
      <x:c r="H244" s="42" t="n">
        <x:f aca="0">IF(OR(G32&lt;=0,H32&lt;G32),"n/m",H32/G32-1)</x:f>
        <x:v>0.2463519619796506</x:v>
      </x:c>
      <x:c r="I244" s="11" t="s">
        <x:v>278</x:v>
      </x:c>
    </x:row>
    <x:row r="245" ht="15" hidden="0">
      <x:c r="A245" s="193" t="s">
        <x:v>391</x:v>
      </x:c>
      <x:c r="B245" s="195" t="s">
        <x:v>369</x:v>
      </x:c>
      <x:c r="C245" s="30"/>
      <x:c r="D245" s="44" t="n">
        <x:f aca="0">D34-C34</x:f>
        <x:v>339.60400000000004</x:v>
      </x:c>
      <x:c r="E245" s="44" t="n">
        <x:f aca="0">E34-D34</x:f>
        <x:v>1405.8549999999998</x:v>
      </x:c>
      <x:c r="F245" s="44" t="n">
        <x:f aca="0">F34-E34</x:f>
        <x:v>-1336.176</x:v>
      </x:c>
      <x:c r="G245" s="44" t="n">
        <x:f aca="0">G34-F34</x:f>
        <x:v>1962.527</x:v>
      </x:c>
      <x:c r="H245" s="44" t="n">
        <x:f aca="0">H34-G34</x:f>
        <x:v>-267.64599999999973</x:v>
      </x:c>
      <x:c r="I245" s="11" t="s">
        <x:v>111</x:v>
      </x:c>
    </x:row>
    <x:row r="246" ht="15" hidden="0">
      <x:c r="A246" s="193" t="s">
        <x:v>392</x:v>
      </x:c>
      <x:c r="B246" s="195" t="s">
        <x:v>372</x:v>
      </x:c>
      <x:c r="C246" s="30"/>
      <x:c r="D246" s="42" t="n">
        <x:f aca="0">IF(OR(C34&lt;=0,D34&lt;C34),"n/m",D34/C34-1)</x:f>
        <x:v>0.6051670248443444</x:v>
      </x:c>
      <x:c r="E246" s="42" t="n">
        <x:f aca="0">IF(OR(D34&lt;=0,E34&lt;D34),"n/m",E34/D34-1)</x:f>
        <x:v>1.5607119623259003</x:v>
      </x:c>
      <x:c r="F246" s="42" t="str">
        <x:f aca="0">IF(OR(E34&lt;=0,F34&lt;E34),"n/m",F34/E34-1)</x:f>
        <x:v>n/m</x:v>
      </x:c>
      <x:c r="G246" s="42" t="n">
        <x:f aca="0">IF(OR(F34&lt;=0,G34&lt;F34),"n/m",G34/F34-1)</x:f>
        <x:v>2.0222709506964245</x:v>
      </x:c>
      <x:c r="H246" s="42" t="str">
        <x:f aca="0">IF(OR(G34&lt;=0,H34&lt;G34),"n/m",H34/G34-1)</x:f>
        <x:v>n/m</x:v>
      </x:c>
      <x:c r="I246" s="11" t="s">
        <x:v>278</x:v>
      </x:c>
    </x:row>
    <x:row r="247">
      <x:c r="A247" s="193"/>
      <x:c r="B247" s="193"/>
    </x:row>
    <x:row r="248" ht="15" hidden="0">
      <x:c r="A248" s="196" t="s">
        <x:v>393</x:v>
      </x:c>
      <x:c r="B248" s="197"/>
      <x:c r="C248" s="20"/>
      <x:c r="D248" s="20"/>
      <x:c r="E248" s="20"/>
      <x:c r="F248" s="20"/>
      <x:c r="G248" s="20"/>
      <x:c r="H248" s="20"/>
      <x:c r="I248" s="20"/>
      <x:c r="J248" s="20"/>
    </x:row>
    <x:row r="249">
      <x:c r="A249" s="193"/>
      <x:c r="B249" s="193"/>
    </x:row>
    <x:row r="250" ht="22" hidden="0" customHeight="1">
      <x:c r="A250" s="204" t="str">
        <x:v>Financing classification (PKR million)</x:v>
      </x:c>
      <x:c r="B250" s="204"/>
      <x:c r="C250" s="129"/>
      <x:c r="D250" s="129"/>
      <x:c r="E250" s="129"/>
      <x:c r="F250" s="129"/>
      <x:c r="G250" s="129"/>
      <x:c r="H250" s="129"/>
      <x:c r="I250"/>
      <x:c r="J250"/>
    </x:row>
    <x:row r="251" ht="15" hidden="0">
      <x:c r="A251" s="193" t="str">
        <x:v>Interest-free parent loan excluded from IBD</x:v>
      </x:c>
      <x:c r="B251" s="193"/>
      <x:c r="C251" s="136" t="n">
        <x:v>0</x:v>
      </x:c>
      <x:c r="D251" s="136" t="n">
        <x:v>0</x:v>
      </x:c>
      <x:c r="E251" s="136" t="n">
        <x:v>7387</x:v>
      </x:c>
      <x:c r="F251" s="136" t="n">
        <x:v>7387</x:v>
      </x:c>
      <x:c r="G251" s="136" t="n">
        <x:v>7387</x:v>
      </x:c>
      <x:c r="H251" s="136" t="n">
        <x:v>0</x:v>
      </x:c>
    </x:row>
    <x:row r="252" ht="15" hidden="0">
      <x:c r="A252" s="193" t="str">
        <x:v>Accrued interest within financing balances</x:v>
      </x:c>
      <x:c r="B252" s="193"/>
      <x:c r="C252" s="136" t="n">
        <x:v>0</x:v>
      </x:c>
      <x:c r="D252" s="136" t="n">
        <x:v>0</x:v>
      </x:c>
      <x:c r="E252" s="136" t="n">
        <x:v>0</x:v>
      </x:c>
      <x:c r="F252" s="136" t="n">
        <x:v>0</x:v>
      </x:c>
      <x:c r="G252" s="136" t="n">
        <x:v>0</x:v>
      </x:c>
      <x:c r="H252" s="136" t="n">
        <x:v>185.186</x:v>
      </x:c>
      <x:c r="I252"/>
      <x:c r="J252"/>
    </x:row>
    <x:row r="253" ht="15" hidden="0">
      <x:c r="A253" s="193" t="str">
        <x:v>Related operating supplier payable (included above)</x:v>
      </x:c>
      <x:c r="B253" s="193"/>
      <x:c r="C253" s="136" t="n">
        <x:v>0</x:v>
      </x:c>
      <x:c r="D253" s="136" t="n">
        <x:f aca="0"/>
        <x:v>0</x:v>
      </x:c>
      <x:c r="E253" s="136" t="n">
        <x:f aca="0"/>
        <x:v>0</x:v>
      </x:c>
      <x:c r="F253" s="136" t="n">
        <x:f aca="0"/>
        <x:v>0</x:v>
      </x:c>
      <x:c r="G253" s="136" t="n">
        <x:f aca="0"/>
        <x:v>0</x:v>
      </x:c>
      <x:c r="H253" s="136" t="n">
        <x:f aca="0"/>
        <x:v>0</x:v>
      </x:c>
      <x:c r="J253"/>
    </x:row>
    <x:row r="254" ht="15" hidden="0">
      <x:c r="A254" s="193" t="str">
        <x:v>Contractors bills (published-convention reconstruction)</x:v>
      </x:c>
      <x:c r="B254" s="193"/>
      <x:c r="C254" s="136" t="n">
        <x:v>0</x:v>
      </x:c>
      <x:c r="D254" s="136" t="n">
        <x:v>0</x:v>
      </x:c>
      <x:c r="E254" s="136" t="n">
        <x:v>0</x:v>
      </x:c>
      <x:c r="F254" s="136" t="n">
        <x:v>0</x:v>
      </x:c>
      <x:c r="G254" s="136" t="n">
        <x:v>0</x:v>
      </x:c>
      <x:c r="H254" s="136" t="n">
        <x:v>0</x:v>
      </x:c>
    </x:row>
    <x:row r="255" ht="15" hidden="0">
      <x:c r="A255" s="193" t="str">
        <x:v>Bank interest (published coverage reconstruction)</x:v>
      </x:c>
      <x:c r="B255" s="193"/>
      <x:c r="C255" s="136" t="n">
        <x:v>0</x:v>
      </x:c>
      <x:c r="D255" s="136" t="n">
        <x:f aca="0"/>
        <x:v>0</x:v>
      </x:c>
      <x:c r="E255" s="136" t="n">
        <x:f aca="0"/>
        <x:v>0</x:v>
      </x:c>
      <x:c r="F255" s="136" t="n">
        <x:f aca="0"/>
        <x:v>2591.899</x:v>
      </x:c>
      <x:c r="G255" s="136" t="n">
        <x:f aca="0"/>
        <x:v>5468.892</x:v>
      </x:c>
      <x:c r="H255" s="136" t="n">
        <x:f aca="0"/>
        <x:v>5646.343</x:v>
      </x:c>
    </x:row>
    <x:row r="256" ht="15" hidden="0">
      <x:c r="A256" s="193" t="str">
        <x:v>Gross on-demand parent loan (published liquidity)</x:v>
      </x:c>
      <x:c r="B256" s="193"/>
      <x:c r="C256" s="136" t="n">
        <x:v>0</x:v>
      </x:c>
      <x:c r="D256" s="136" t="n">
        <x:f aca="0"/>
        <x:v>0</x:v>
      </x:c>
      <x:c r="E256" s="136" t="n">
        <x:f aca="0"/>
        <x:v>7387</x:v>
      </x:c>
      <x:c r="F256" s="136" t="n">
        <x:f aca="0"/>
        <x:v>7387</x:v>
      </x:c>
      <x:c r="G256" s="136" t="n">
        <x:f aca="0"/>
        <x:v>7387</x:v>
      </x:c>
      <x:c r="H256" s="136" t="n">
        <x:f aca="0"/>
        <x:v>7572.186</x:v>
      </x:c>
    </x:row>
    <x:row r="257" ht="15" hidden="0">
      <x:c r="A257" s="193" t="str">
        <x:v>Cash equivalents (published cash-ratio reconstruction)</x:v>
      </x:c>
      <x:c r="B257" s="193"/>
      <x:c r="C257" s="136" t="n">
        <x:v>0</x:v>
      </x:c>
      <x:c r="D257" s="136" t="n">
        <x:f aca="0"/>
        <x:v>0</x:v>
      </x:c>
      <x:c r="E257" s="136" t="n">
        <x:f aca="0"/>
        <x:v>0</x:v>
      </x:c>
      <x:c r="F257" s="136" t="n">
        <x:f aca="0"/>
        <x:v>0</x:v>
      </x:c>
      <x:c r="G257" s="136" t="n">
        <x:f aca="0"/>
        <x:v>0</x:v>
      </x:c>
      <x:c r="H257" s="136" t="n">
        <x:f aca="0"/>
        <x:v>0</x:v>
      </x:c>
      <x:c r="J257"/>
    </x:row>
    <x:row r="258" ht="15" hidden="0">
      <x:c r="A258" s="193"/>
      <x:c r="B258" s="193"/>
      <x:c r="D258"/>
      <x:c r="E258"/>
      <x:c r="F258"/>
      <x:c r="G258"/>
      <x:c r="H258"/>
    </x:row>
    <x:row r="259" ht="15" hidden="0">
      <x:c r="A259" s="193"/>
      <x:c r="B259" s="193"/>
      <x:c r="D259">
        <x:f aca="0"/>
      </x:c>
      <x:c r="E259">
        <x:f aca="0"/>
      </x:c>
      <x:c r="F259">
        <x:f aca="0"/>
      </x:c>
      <x:c r="G259">
        <x:f aca="0"/>
      </x:c>
      <x:c r="H259">
        <x:f aca="0"/>
      </x:c>
    </x:row>
    <x:row r="260" ht="15" hidden="0">
      <x:c r="A260" s="206" t="str">
        <x:v>Sources: KOHC FY2025 note 6.1 (PDF p89); FCCL FY2025 note 11 (PDF p268), FY2024 note 10; MLCF trade-payable and related-party notes.</x:v>
      </x:c>
      <x:c r="B260" s="206"/>
      <x:c r="C260" s="135"/>
      <x:c r="D260" s="135">
        <x:f aca="0"/>
      </x:c>
      <x:c r="E260" s="135">
        <x:f aca="0"/>
      </x:c>
      <x:c r="F260" s="135">
        <x:f aca="0"/>
      </x:c>
      <x:c r="G260" s="135">
        <x:f aca="0"/>
      </x:c>
      <x:c r="H260" s="135">
        <x:f aca="0"/>
      </x:c>
    </x:row>
    <x:row r="261" ht="15" hidden="0">
      <x:c r="A261" s="193"/>
      <x:c r="B261" s="193"/>
      <x:c r="D261">
        <x:f aca="0"/>
      </x:c>
      <x:c r="E261">
        <x:f aca="0"/>
      </x:c>
      <x:c r="F261">
        <x:f aca="0"/>
      </x:c>
      <x:c r="G261">
        <x:f aca="0"/>
      </x:c>
      <x:c r="H261">
        <x:f aca="0"/>
      </x:c>
      <x:c r="J261"/>
    </x:row>
    <x:row r="262" ht="15" hidden="0">
      <x:c r="A262" s="193"/>
      <x:c r="B262" s="193"/>
      <x:c r="D262"/>
      <x:c r="E262"/>
      <x:c r="F262"/>
      <x:c r="G262"/>
      <x:c r="H262"/>
    </x:row>
    <x:row r="263" ht="15" hidden="0">
      <x:c r="A263" s="193"/>
      <x:c r="B263" s="193"/>
      <x:c r="D263">
        <x:f aca="0"/>
      </x:c>
      <x:c r="E263">
        <x:f aca="0"/>
      </x:c>
      <x:c r="F263">
        <x:f aca="0"/>
      </x:c>
      <x:c r="G263">
        <x:f aca="0"/>
      </x:c>
      <x:c r="H263">
        <x:f aca="0"/>
      </x:c>
    </x:row>
    <x:row r="264" ht="15" hidden="0">
      <x:c r="A264" s="193"/>
      <x:c r="B264" s="193"/>
      <x:c r="D264">
        <x:f aca="0"/>
      </x:c>
      <x:c r="E264">
        <x:f aca="0"/>
      </x:c>
      <x:c r="F264">
        <x:f aca="0"/>
      </x:c>
      <x:c r="G264">
        <x:f aca="0"/>
      </x:c>
      <x:c r="H264">
        <x:f aca="0"/>
      </x:c>
    </x:row>
    <x:row r="265" ht="15" hidden="0">
      <x:c r="A265" s="193"/>
      <x:c r="B265" s="193"/>
      <x:c r="D265">
        <x:f aca="0"/>
      </x:c>
      <x:c r="E265">
        <x:f aca="0"/>
      </x:c>
      <x:c r="F265">
        <x:f aca="0"/>
      </x:c>
      <x:c r="G265">
        <x:f aca="0"/>
      </x:c>
      <x:c r="H265">
        <x:f aca="0"/>
      </x:c>
      <x:c r="J265"/>
    </x:row>
    <x:row r="266" ht="15" hidden="0">
      <x:c r="A266" s="193"/>
      <x:c r="B266" s="193"/>
      <x:c r="D266"/>
      <x:c r="E266"/>
      <x:c r="F266"/>
      <x:c r="G266"/>
      <x:c r="H266"/>
    </x:row>
    <x:row r="267" ht="15" hidden="0">
      <x:c r="A267" s="193"/>
      <x:c r="B267" s="193"/>
      <x:c r="D267">
        <x:f aca="0"/>
      </x:c>
      <x:c r="E267">
        <x:f aca="0"/>
      </x:c>
      <x:c r="F267">
        <x:f aca="0"/>
      </x:c>
      <x:c r="G267">
        <x:f aca="0"/>
      </x:c>
      <x:c r="H267">
        <x:f aca="0"/>
      </x:c>
    </x:row>
    <x:row r="268" ht="15" hidden="0">
      <x:c r="A268" s="193"/>
      <x:c r="B268" s="193"/>
      <x:c r="D268">
        <x:f aca="0"/>
      </x:c>
      <x:c r="E268">
        <x:f aca="0"/>
      </x:c>
      <x:c r="F268">
        <x:f aca="0"/>
      </x:c>
      <x:c r="G268">
        <x:f aca="0"/>
      </x:c>
      <x:c r="H268">
        <x:f aca="0"/>
      </x:c>
    </x:row>
    <x:row r="269" ht="15" hidden="0">
      <x:c r="A269" s="193"/>
      <x:c r="B269" s="193"/>
      <x:c r="D269">
        <x:f aca="0"/>
      </x:c>
      <x:c r="E269">
        <x:f aca="0"/>
      </x:c>
      <x:c r="F269">
        <x:f aca="0"/>
      </x:c>
      <x:c r="G269">
        <x:f aca="0"/>
      </x:c>
      <x:c r="H269">
        <x:f aca="0"/>
      </x:c>
      <x:c r="J269"/>
    </x:row>
    <x:row r="270" ht="15" hidden="0">
      <x:c r="A270" s="193"/>
      <x:c r="B270" s="193"/>
      <x:c r="D270"/>
      <x:c r="E270"/>
      <x:c r="F270"/>
      <x:c r="G270"/>
      <x:c r="H270"/>
    </x:row>
    <x:row r="271" ht="15" hidden="0">
      <x:c r="A271" s="193"/>
      <x:c r="B271" s="193"/>
      <x:c r="D271">
        <x:f aca="0"/>
      </x:c>
      <x:c r="E271">
        <x:f aca="0"/>
      </x:c>
      <x:c r="F271">
        <x:f aca="0"/>
      </x:c>
      <x:c r="G271">
        <x:f aca="0"/>
      </x:c>
      <x:c r="H271">
        <x:f aca="0"/>
      </x:c>
    </x:row>
    <x:row r="272" ht="15" hidden="0">
      <x:c r="A272" s="193"/>
      <x:c r="B272" s="193"/>
      <x:c r="D272">
        <x:f aca="0"/>
      </x:c>
      <x:c r="E272">
        <x:f aca="0"/>
      </x:c>
      <x:c r="F272">
        <x:f aca="0"/>
      </x:c>
      <x:c r="G272">
        <x:f aca="0"/>
      </x:c>
      <x:c r="H272">
        <x:f aca="0"/>
      </x:c>
    </x:row>
    <x:row r="273" ht="15" hidden="0">
      <x:c r="A273" s="193"/>
      <x:c r="B273" s="193"/>
      <x:c r="D273">
        <x:f aca="0"/>
      </x:c>
      <x:c r="E273">
        <x:f aca="0"/>
      </x:c>
      <x:c r="F273">
        <x:f aca="0"/>
      </x:c>
      <x:c r="G273">
        <x:f aca="0"/>
      </x:c>
      <x:c r="H273">
        <x:f aca="0"/>
      </x:c>
      <x:c r="J273"/>
    </x:row>
    <x:row r="274" ht="15" hidden="0">
      <x:c r="A274" s="193"/>
      <x:c r="B274" s="193"/>
      <x:c r="D274"/>
      <x:c r="E274"/>
      <x:c r="F274"/>
      <x:c r="G274"/>
      <x:c r="H274"/>
    </x:row>
    <x:row r="275" ht="15" hidden="0">
      <x:c r="A275" s="193"/>
      <x:c r="B275" s="193"/>
      <x:c r="D275">
        <x:f aca="0"/>
      </x:c>
      <x:c r="E275">
        <x:f aca="0"/>
      </x:c>
      <x:c r="F275">
        <x:f aca="0"/>
      </x:c>
      <x:c r="G275">
        <x:f aca="0"/>
      </x:c>
      <x:c r="H275">
        <x:f aca="0"/>
      </x:c>
    </x:row>
    <x:row r="276" ht="15" hidden="0">
      <x:c r="A276" s="193"/>
      <x:c r="B276" s="193"/>
      <x:c r="D276">
        <x:f aca="0"/>
      </x:c>
      <x:c r="E276">
        <x:f aca="0"/>
      </x:c>
      <x:c r="F276">
        <x:f aca="0"/>
      </x:c>
      <x:c r="G276">
        <x:f aca="0"/>
      </x:c>
      <x:c r="H276">
        <x:f aca="0"/>
      </x:c>
    </x:row>
    <x:row r="277" ht="15" hidden="0">
      <x:c r="A277" s="193"/>
      <x:c r="B277" s="193"/>
      <x:c r="D277">
        <x:f aca="0"/>
      </x:c>
      <x:c r="E277">
        <x:f aca="0"/>
      </x:c>
      <x:c r="F277">
        <x:f aca="0"/>
      </x:c>
      <x:c r="G277">
        <x:f aca="0"/>
      </x:c>
      <x:c r="H277">
        <x:f aca="0"/>
      </x:c>
      <x:c r="J277"/>
    </x:row>
    <x:row r="278" ht="15" hidden="0">
      <x:c r="A278" s="193"/>
      <x:c r="B278" s="193"/>
      <x:c r="D278"/>
      <x:c r="E278"/>
      <x:c r="F278"/>
      <x:c r="G278"/>
      <x:c r="H278"/>
    </x:row>
    <x:row r="279" ht="15" hidden="0">
      <x:c r="A279" s="193"/>
      <x:c r="B279" s="193"/>
      <x:c r="D279">
        <x:f aca="0"/>
      </x:c>
      <x:c r="E279">
        <x:f aca="0"/>
      </x:c>
      <x:c r="F279">
        <x:f aca="0"/>
      </x:c>
      <x:c r="G279">
        <x:f aca="0"/>
      </x:c>
      <x:c r="H279">
        <x:f aca="0"/>
      </x:c>
    </x:row>
    <x:row r="280" ht="15" hidden="0">
      <x:c r="A280" s="193"/>
      <x:c r="B280" s="193"/>
      <x:c r="D280">
        <x:f aca="0"/>
      </x:c>
      <x:c r="E280">
        <x:f aca="0"/>
      </x:c>
      <x:c r="F280">
        <x:f aca="0"/>
      </x:c>
      <x:c r="G280">
        <x:f aca="0"/>
      </x:c>
      <x:c r="H280">
        <x:f aca="0"/>
      </x:c>
    </x:row>
    <x:row r="281">
      <x:c r="A281" s="193"/>
      <x:c r="B281" s="193"/>
    </x:row>
    <x:row r="282">
      <x:c r="A282" s="193"/>
      <x:c r="B282" s="193"/>
    </x:row>
    <x:row r="283">
      <x:c r="A283" s="193"/>
      <x:c r="B283" s="193"/>
    </x:row>
    <x:row r="284">
      <x:c r="A284" s="193"/>
      <x:c r="B284" s="193"/>
    </x:row>
    <x:row r="285">
      <x:c r="A285" s="193"/>
      <x:c r="B285" s="193"/>
    </x:row>
    <x:row r="286">
      <x:c r="A286" s="193"/>
      <x:c r="B286" s="193"/>
    </x:row>
    <x:row r="287">
      <x:c r="A287" s="193"/>
      <x:c r="B287" s="193"/>
    </x:row>
    <x:row r="288">
      <x:c r="A288" s="193"/>
      <x:c r="B288" s="193"/>
    </x:row>
    <x:row r="289">
      <x:c r="A289" s="193"/>
      <x:c r="B289" s="193"/>
    </x:row>
    <x:row r="290">
      <x:c r="A290" s="193"/>
      <x:c r="B290" s="193"/>
    </x:row>
    <x:row r="291">
      <x:c r="A291" s="193"/>
      <x:c r="B291" s="193"/>
    </x:row>
    <x:row r="292">
      <x:c r="A292" s="193"/>
      <x:c r="B292" s="193"/>
    </x:row>
    <x:row r="293">
      <x:c r="A293" s="193"/>
      <x:c r="B293" s="193"/>
    </x:row>
    <x:row r="294">
      <x:c r="A294" s="193"/>
      <x:c r="B294" s="193"/>
    </x:row>
    <x:row r="295">
      <x:c r="A295" s="193"/>
      <x:c r="B295" s="193"/>
    </x:row>
    <x:row r="296">
      <x:c r="A296" s="193"/>
      <x:c r="B296" s="193"/>
    </x:row>
    <x:row r="297">
      <x:c r="A297" s="193"/>
      <x:c r="B297" s="193"/>
    </x:row>
    <x:row r="298">
      <x:c r="A298" s="193"/>
      <x:c r="B298" s="193"/>
    </x:row>
    <x:row r="299">
      <x:c r="A299" s="193"/>
      <x:c r="B299" s="193"/>
    </x:row>
    <x:row r="300">
      <x:c r="A300" s="193"/>
      <x:c r="B300" s="193"/>
    </x:row>
    <x:row r="301">
      <x:c r="A301" s="193"/>
      <x:c r="B301" s="193"/>
    </x:row>
    <x:row r="302">
      <x:c r="A302" s="193"/>
      <x:c r="B302" s="193"/>
    </x:row>
    <x:row r="303">
      <x:c r="A303" s="193"/>
      <x:c r="B303" s="193"/>
    </x:row>
    <x:row r="304">
      <x:c r="A304" s="193"/>
      <x:c r="B304" s="193"/>
    </x:row>
    <x:row r="305">
      <x:c r="A305" s="193"/>
      <x:c r="B305" s="193"/>
    </x:row>
    <x:row r="306">
      <x:c r="A306" s="193"/>
      <x:c r="B306" s="193"/>
    </x:row>
    <x:row r="307">
      <x:c r="A307" s="193"/>
      <x:c r="B307" s="193"/>
    </x:row>
    <x:row r="308">
      <x:c r="A308" s="193"/>
      <x:c r="B308" s="193"/>
    </x:row>
    <x:row r="309">
      <x:c r="A309" s="193"/>
      <x:c r="B309" s="193"/>
    </x:row>
    <x:row r="310">
      <x:c r="A310" s="193"/>
      <x:c r="B310" s="193"/>
    </x:row>
    <x:row r="311">
      <x:c r="A311" s="193"/>
      <x:c r="B311" s="193"/>
    </x:row>
    <x:row r="312">
      <x:c r="A312" s="193"/>
      <x:c r="B312" s="193"/>
    </x:row>
    <x:row r="313">
      <x:c r="A313" s="193"/>
      <x:c r="B313" s="193"/>
    </x:row>
    <x:row r="314">
      <x:c r="A314" s="193"/>
      <x:c r="B314" s="193"/>
    </x:row>
    <x:row r="315">
      <x:c r="A315" s="193"/>
      <x:c r="B315" s="193"/>
    </x:row>
    <x:row r="316">
      <x:c r="A316" s="193"/>
      <x:c r="B316" s="193"/>
    </x:row>
    <x:row r="317">
      <x:c r="A317" s="193"/>
      <x:c r="B317" s="193"/>
    </x:row>
    <x:row r="318">
      <x:c r="A318" s="193"/>
      <x:c r="B318" s="193"/>
    </x:row>
    <x:row r="319">
      <x:c r="A319" s="193"/>
      <x:c r="B319" s="193"/>
    </x:row>
    <x:row r="320">
      <x:c r="A320" s="193"/>
      <x:c r="B320" s="193"/>
    </x:row>
    <x:row r="321">
      <x:c r="A321" s="193"/>
      <x:c r="B321" s="193"/>
    </x:row>
    <x:row r="322">
      <x:c r="A322" s="193"/>
      <x:c r="B322" s="193"/>
    </x:row>
    <x:row r="323">
      <x:c r="A323" s="193"/>
      <x:c r="B323" s="193"/>
    </x:row>
    <x:row r="324">
      <x:c r="A324" s="193"/>
      <x:c r="B324" s="193"/>
    </x:row>
    <x:row r="325">
      <x:c r="A325" s="193"/>
      <x:c r="B325" s="193"/>
    </x:row>
    <x:row r="326">
      <x:c r="A326" s="193"/>
      <x:c r="B326" s="193"/>
    </x:row>
    <x:row r="327">
      <x:c r="A327" s="193"/>
      <x:c r="B327" s="193"/>
    </x:row>
    <x:row r="328">
      <x:c r="A328" s="193"/>
      <x:c r="B328" s="193"/>
    </x:row>
    <x:row r="329">
      <x:c r="A329" s="193"/>
      <x:c r="B329" s="193"/>
    </x:row>
    <x:row r="330">
      <x:c r="A330" s="193"/>
      <x:c r="B330" s="193"/>
    </x:row>
    <x:row r="331">
      <x:c r="A331" s="193"/>
      <x:c r="B331" s="193"/>
    </x:row>
    <x:row r="332">
      <x:c r="A332" s="193"/>
      <x:c r="B332" s="193"/>
    </x:row>
    <x:row r="333">
      <x:c r="A333" s="193"/>
      <x:c r="B333" s="193"/>
    </x:row>
    <x:row r="334">
      <x:c r="A334" s="193"/>
      <x:c r="B334" s="193"/>
    </x:row>
    <x:row r="335">
      <x:c r="A335" s="193"/>
      <x:c r="B335" s="193"/>
    </x:row>
    <x:row r="336">
      <x:c r="A336" s="193"/>
      <x:c r="B336" s="193"/>
    </x:row>
    <x:row r="337">
      <x:c r="A337" s="193"/>
      <x:c r="B337" s="193"/>
    </x:row>
    <x:row r="338">
      <x:c r="A338" s="193"/>
      <x:c r="B338" s="193"/>
    </x:row>
    <x:row r="339">
      <x:c r="A339" s="193"/>
      <x:c r="B339" s="193"/>
    </x:row>
    <x:row r="340">
      <x:c r="A340" s="193"/>
      <x:c r="B340" s="193"/>
    </x:row>
    <x:row r="341">
      <x:c r="A341" s="193"/>
      <x:c r="B341" s="193"/>
    </x:row>
    <x:row r="342">
      <x:c r="A342" s="193"/>
      <x:c r="B342" s="193"/>
    </x:row>
    <x:row r="343">
      <x:c r="A343" s="193"/>
      <x:c r="B343" s="193"/>
    </x:row>
    <x:row r="344">
      <x:c r="A344" s="193"/>
      <x:c r="B344" s="193"/>
    </x:row>
    <x:row r="345">
      <x:c r="A345" s="193"/>
      <x:c r="B345" s="193"/>
    </x:row>
    <x:row r="346">
      <x:c r="A346" s="193"/>
      <x:c r="B346" s="193"/>
    </x:row>
    <x:row r="347">
      <x:c r="A347" s="193"/>
      <x:c r="B347" s="193"/>
    </x:row>
    <x:row r="348">
      <x:c r="A348" s="193"/>
      <x:c r="B348" s="193"/>
    </x:row>
    <x:row r="349">
      <x:c r="A349" s="193"/>
      <x:c r="B349" s="193"/>
    </x:row>
    <x:row r="350">
      <x:c r="A350" s="193"/>
      <x:c r="B350" s="193"/>
    </x:row>
    <x:row r="351">
      <x:c r="A351" s="193"/>
      <x:c r="B351" s="193"/>
    </x:row>
    <x:row r="352">
      <x:c r="A352" s="193"/>
      <x:c r="B352" s="193"/>
    </x:row>
    <x:row r="353">
      <x:c r="A353" s="193"/>
      <x:c r="B353" s="193"/>
    </x:row>
    <x:row r="354">
      <x:c r="A354" s="193"/>
      <x:c r="B354" s="193"/>
    </x:row>
    <x:row r="355">
      <x:c r="A355" s="193"/>
      <x:c r="B355" s="193"/>
    </x:row>
    <x:row r="356">
      <x:c r="A356" s="193"/>
      <x:c r="B356" s="193"/>
    </x:row>
    <x:row r="357">
      <x:c r="A357" s="193"/>
      <x:c r="B357" s="193"/>
    </x:row>
    <x:row r="358">
      <x:c r="A358" s="193"/>
      <x:c r="B358" s="193"/>
    </x:row>
    <x:row r="359">
      <x:c r="A359" s="193"/>
      <x:c r="B359" s="193"/>
    </x:row>
    <x:row r="360">
      <x:c r="A360" s="193"/>
      <x:c r="B360" s="193"/>
    </x:row>
    <x:row r="361">
      <x:c r="A361" s="193"/>
      <x:c r="B361" s="193"/>
    </x:row>
    <x:row r="362">
      <x:c r="A362" s="193"/>
      <x:c r="B362" s="193"/>
    </x:row>
    <x:row r="363">
      <x:c r="A363" s="193"/>
      <x:c r="B363" s="193"/>
    </x:row>
    <x:row r="364">
      <x:c r="A364" s="193"/>
      <x:c r="B364" s="193"/>
    </x:row>
    <x:row r="365">
      <x:c r="A365" s="193"/>
      <x:c r="B365" s="193"/>
    </x:row>
    <x:row r="366">
      <x:c r="A366" s="193"/>
      <x:c r="B366" s="193"/>
    </x:row>
    <x:row r="367">
      <x:c r="A367" s="193"/>
      <x:c r="B367" s="193"/>
    </x:row>
    <x:row r="368">
      <x:c r="A368" s="193"/>
      <x:c r="B368" s="193"/>
    </x:row>
    <x:row r="369">
      <x:c r="A369" s="193"/>
      <x:c r="B369" s="193"/>
    </x:row>
    <x:row r="370">
      <x:c r="A370" s="193"/>
      <x:c r="B370" s="193"/>
    </x:row>
    <x:row r="371">
      <x:c r="A371" s="193"/>
      <x:c r="B371" s="193"/>
    </x:row>
    <x:row r="372">
      <x:c r="A372" s="193"/>
      <x:c r="B372" s="193"/>
    </x:row>
    <x:row r="373">
      <x:c r="A373" s="193"/>
      <x:c r="B373" s="193"/>
    </x:row>
    <x:row r="374">
      <x:c r="A374" s="193"/>
      <x:c r="B374" s="193"/>
    </x:row>
    <x:row r="375">
      <x:c r="A375" s="193"/>
      <x:c r="B375" s="193"/>
    </x:row>
    <x:row r="376">
      <x:c r="A376" s="193"/>
      <x:c r="B376" s="193"/>
    </x:row>
    <x:row r="377">
      <x:c r="A377" s="193"/>
      <x:c r="B377" s="193"/>
    </x:row>
    <x:row r="378">
      <x:c r="A378" s="193"/>
      <x:c r="B378" s="193"/>
    </x:row>
    <x:row r="379">
      <x:c r="A379" s="193"/>
      <x:c r="B379" s="193"/>
    </x:row>
    <x:row r="380">
      <x:c r="A380" s="193"/>
      <x:c r="B380" s="193"/>
    </x:row>
    <x:row r="381">
      <x:c r="A381" s="193"/>
      <x:c r="B381" s="193"/>
    </x:row>
    <x:row r="382">
      <x:c r="A382" s="193"/>
      <x:c r="B382" s="193"/>
    </x:row>
    <x:row r="383">
      <x:c r="A383" s="193"/>
      <x:c r="B383" s="193"/>
    </x:row>
    <x:row r="384">
      <x:c r="A384" s="193"/>
      <x:c r="B384" s="193"/>
    </x:row>
    <x:row r="385">
      <x:c r="A385" s="193"/>
      <x:c r="B385" s="193"/>
    </x:row>
    <x:row r="386">
      <x:c r="A386" s="193"/>
      <x:c r="B386" s="193"/>
    </x:row>
    <x:row r="387">
      <x:c r="A387" s="193"/>
      <x:c r="B387" s="193"/>
    </x:row>
    <x:row r="388">
      <x:c r="A388" s="193"/>
      <x:c r="B388" s="193"/>
    </x:row>
    <x:row r="389">
      <x:c r="A389" s="193"/>
      <x:c r="B389" s="193"/>
    </x:row>
    <x:row r="390">
      <x:c r="A390" s="193"/>
      <x:c r="B390" s="193"/>
    </x:row>
    <x:row r="391">
      <x:c r="A391" s="193"/>
      <x:c r="B391" s="193"/>
    </x:row>
    <x:row r="392">
      <x:c r="A392" s="193"/>
      <x:c r="B392" s="193"/>
    </x:row>
    <x:row r="393">
      <x:c r="A393" s="193"/>
      <x:c r="B393" s="193"/>
    </x:row>
    <x:row r="394">
      <x:c r="A394" s="193"/>
      <x:c r="B394" s="193"/>
    </x:row>
    <x:row r="395">
      <x:c r="A395" s="193"/>
      <x:c r="B395" s="193"/>
    </x:row>
    <x:row r="396">
      <x:c r="A396" s="193"/>
      <x:c r="B396" s="193"/>
    </x:row>
    <x:row r="397">
      <x:c r="A397" s="193"/>
      <x:c r="B397" s="193"/>
    </x:row>
    <x:row r="398">
      <x:c r="A398" s="193"/>
      <x:c r="B398" s="193"/>
    </x:row>
    <x:row r="399">
      <x:c r="A399" s="193"/>
      <x:c r="B399" s="193"/>
    </x:row>
    <x:row r="400">
      <x:c r="A400" s="193"/>
      <x:c r="B400" s="193"/>
    </x:row>
  </x:sheetData>
  <x:mergeCells>
    <x:mergeCell ref="B6:J6"/>
    <x:mergeCell ref="B7:J7"/>
    <x:mergeCell ref="B8:J8"/>
    <x:mergeCell ref="B9:J9"/>
    <x:mergeCell ref="B10:J10"/>
    <x:mergeCell ref="B11:J11"/>
    <x:mergeCell ref="B12:J12"/>
    <x:mergeCell ref="B13:J13"/>
    <x:mergeCell ref="B14:J14"/>
    <x:mergeCell ref="B15:J15"/>
    <x:mergeCell ref="A137:H137"/>
    <x:mergeCell ref="A143:H143"/>
    <x:mergeCell ref="A154:H154"/>
    <x:mergeCell ref="A160:H160"/>
    <x:mergeCell ref="A168:H168"/>
    <x:mergeCell ref="A250:H250"/>
  </x:mergeCells>
  <x:pageMargins left="0.7" right="0.7" top="0.75" bottom="0.75" header="0.3" footer="0.3"/>
  <x:drawing xmlns:r="http://schemas.openxmlformats.org/officeDocument/2006/relationships" r:id="Rdd2a6a155bda433f"/>
</x:worksheet>
</file>

<file path=xl/worksheets/sheet8.xml><?xml version="1.0" encoding="utf-8"?>
<x:worksheet xmlns:x="http://schemas.openxmlformats.org/spreadsheetml/2006/main">
  <x:sheetViews>
    <x:sheetView showGridLines="0" workbookViewId="0">
      <x:pane xSplit="4" ySplit="4" topLeftCell="E5" activePane="bottomRight" state="frozen"/>
    </x:sheetView>
  </x:sheetViews>
  <x:sheetFormatPr defaultColWidth="8.6796875" defaultRowHeight="15"/>
  <x:cols>
    <x:col min="1" max="1" width="16" hidden="0" customWidth="1"/>
    <x:col min="2" max="2" width="6" hidden="0" customWidth="1"/>
    <x:col min="3" max="3" width="44" hidden="0" customWidth="1"/>
    <x:col min="4" max="4" width="8" hidden="0" customWidth="1"/>
    <x:col min="5" max="9" width="11" hidden="0" customWidth="1"/>
    <x:col min="10" max="10" width="12" hidden="0" customWidth="1"/>
    <x:col min="11" max="11" width="7" hidden="0" customWidth="1"/>
    <x:col min="12" max="13" width="12" hidden="0" customWidth="1"/>
    <x:col min="14" max="14" width="11" hidden="0" customWidth="1"/>
    <x:col min="15" max="15" width="10" hidden="0" customWidth="1"/>
    <x:col min="16" max="16" width="30" hidden="0" customWidth="1"/>
    <x:col min="17" max="17" width="40" hidden="0" customWidth="1"/>
    <x:col min="18" max="18" width="8" hidden="0" customWidth="1"/>
  </x:cols>
  <x:sheetData>
    <x:row r="1" ht="17.350000381469727" hidden="0">
      <x:c r="A1" s="17" t="s">
        <x:v>673</x:v>
      </x:c>
    </x:row>
    <x:row r="2" ht="15" hidden="0">
      <x:c r="A2" s="45" t="s">
        <x:v>674</x:v>
      </x:c>
    </x:row>
    <x:row r="4" ht="30" hidden="0" customHeight="1">
      <x:c r="A4" s="53" t="s">
        <x:v>71</x:v>
      </x:c>
      <x:c r="B4" s="53" t="s">
        <x:v>675</x:v>
      </x:c>
      <x:c r="C4" s="53" t="s">
        <x:v>68</x:v>
      </x:c>
      <x:c r="D4" s="53" t="s">
        <x:v>676</x:v>
      </x:c>
      <x:c r="E4" s="53" t="s">
        <x:v>24</x:v>
      </x:c>
      <x:c r="F4" s="53" t="s">
        <x:v>30</x:v>
      </x:c>
      <x:c r="G4" s="53" t="s">
        <x:v>36</x:v>
      </x:c>
      <x:c r="H4" s="53" t="s">
        <x:v>41</x:v>
      </x:c>
      <x:c r="I4" s="53" t="s">
        <x:v>45</x:v>
      </x:c>
      <x:c r="J4" s="53" t="s">
        <x:v>677</x:v>
      </x:c>
      <x:c r="K4" s="53" t="s">
        <x:v>678</x:v>
      </x:c>
      <x:c r="L4" s="53" t="s">
        <x:v>679</x:v>
      </x:c>
      <x:c r="M4" s="53" t="s">
        <x:v>680</x:v>
      </x:c>
      <x:c r="N4" s="53" t="s">
        <x:v>681</x:v>
      </x:c>
      <x:c r="O4" s="53" t="s">
        <x:v>682</x:v>
      </x:c>
      <x:c r="P4" s="53" t="s">
        <x:v>683</x:v>
      </x:c>
      <x:c r="Q4" s="53" t="s">
        <x:v>684</x:v>
      </x:c>
      <x:c r="R4" s="53" t="s">
        <x:v>685</x:v>
      </x:c>
    </x:row>
    <x:row r="5" ht="22" hidden="0" customHeight="1">
      <x:c r="A5" s="128" t="str">
        <x:v>LIQUIDITY</x:v>
      </x:c>
      <x:c r="B5" s="129"/>
      <x:c r="C5" s="129"/>
      <x:c r="D5" s="129"/>
      <x:c r="E5" s="129"/>
      <x:c r="F5" s="129"/>
      <x:c r="G5" s="129"/>
      <x:c r="H5" s="129"/>
      <x:c r="I5" s="129"/>
      <x:c r="J5" s="129"/>
      <x:c r="K5" s="129"/>
      <x:c r="L5" s="129"/>
      <x:c r="M5" s="129"/>
      <x:c r="N5" s="129"/>
      <x:c r="O5" s="129"/>
      <x:c r="P5" s="129"/>
      <x:c r="Q5" s="129"/>
      <x:c r="R5" s="129"/>
    </x:row>
    <x:row r="6" ht="15" hidden="0">
      <x:c r="A6" s="54" t="str">
        <x:v>Liquidity</x:v>
      </x:c>
      <x:c r="B6" s="25" t="n">
        <x:v>1</x:v>
      </x:c>
      <x:c r="C6" s="24" t="str">
        <x:v>1. Current ratio</x:v>
      </x:c>
      <x:c r="D6" s="25"/>
      <x:c r="E6" s="25"/>
      <x:c r="F6" s="25"/>
      <x:c r="G6" s="25"/>
      <x:c r="H6" s="25"/>
      <x:c r="I6" s="25"/>
      <x:c r="J6" s="25"/>
      <x:c r="K6" s="25"/>
      <x:c r="L6" s="25"/>
      <x:c r="M6" s="25"/>
      <x:c r="N6" s="25"/>
      <x:c r="O6" s="25"/>
      <x:c r="P6" s="25"/>
      <x:c r="Q6" s="55"/>
      <x:c r="R6" s="25"/>
    </x:row>
    <x:row r="7" ht="15" hidden="0">
      <x:c r="A7"/>
      <x:c r="B7"/>
      <x:c r="C7" s="56" t="str">
        <x:v>Current ratio</x:v>
      </x:c>
      <x:c r="D7" s="11" t="str">
        <x:v>FY2021</x:v>
      </x:c>
      <x:c r="E7" s="138" t="n">
        <x:f>KOHC!D138</x:f>
        <x:v>1.3006446691414961</x:v>
      </x:c>
      <x:c r="F7" s="138" t="n">
        <x:f>LUCK!D138</x:f>
        <x:v>1.3386079458938223</x:v>
      </x:c>
      <x:c r="G7" s="138" t="n">
        <x:f>DGKC!D138</x:f>
        <x:v>0.9145250886450902</x:v>
      </x:c>
      <x:c r="H7" s="138" t="n">
        <x:f>MLCF!D138</x:f>
        <x:v>1.4780988568182505</x:v>
      </x:c>
      <x:c r="I7" s="138" t="n">
        <x:f>FCCL!D138</x:f>
        <x:v>2.01862288296847</x:v>
      </x:c>
      <x:c r="J7" s="139" t="n">
        <x:f>IF(COUNT(E7:I7)=0,"n/m",AVERAGE(E7:I7))</x:f>
        <x:v>1.410099888693426</x:v>
      </x:c>
      <x:c r="K7" s="11" t="n">
        <x:f>COUNT(E7:I7)</x:f>
        <x:v>5</x:v>
      </x:c>
      <x:c r="L7" s="140" t="n">
        <x:f>IF(AND(ISNUMBER(E7),ISNUMBER(J7)),E7-J7,"n/m")</x:f>
        <x:v>-0.10945521955192983</x:v>
      </x:c>
      <x:c r="M7" s="140" t="n">
        <x:f>IF(COUNT(F7:I7)=0,"n/m",AVERAGE(F7:I7))</x:f>
        <x:v>1.437463693581408</x:v>
      </x:c>
      <x:c r="N7" s="140" t="n">
        <x:f>IF(COUNT(E7:I7)=0,"n/m",MEDIAN(E7:I7))</x:f>
        <x:v>1.3386079458938223</x:v>
      </x:c>
      <x:c r="O7" s="11" t="str">
        <x:v>Higher</x:v>
      </x:c>
      <x:c r="P7" s="9" t="str">
        <x:f>IF(NOT(ISNUMBER(L7)),"n/m",IF(O7="Higher",IF(L7&gt;=0,"Above avg - favourable","Below avg - unfavourable"),IF(O7="Lower",IF(L7&lt;=0,"Below avg - favourable","Above avg - unfavourable"),IF(L7&gt;=0,"Above avg - context-dependent","Below avg - context-dependent"))))&amp;IF(K7&lt;5," (N="&amp;K7&amp;")","")</x:f>
        <x:v>Below avg - unfavourable</x:v>
      </x:c>
      <x:c r="Q7"/>
      <x:c r="R7" s="59" t="str">
        <x:f>IF(K7=0,"n/m",IF(ABS(J7-SUM(E7:I7)/K7)&lt;0.000000001,"OK","ERR"))</x:f>
        <x:v>OK</x:v>
      </x:c>
    </x:row>
    <x:row r="8" ht="15" hidden="0">
      <x:c r="A8"/>
      <x:c r="B8"/>
      <x:c r="C8" s="56" t="str">
        <x:v>Current ratio</x:v>
      </x:c>
      <x:c r="D8" s="11" t="str">
        <x:v>FY2022</x:v>
      </x:c>
      <x:c r="E8" s="138" t="n">
        <x:f>KOHC!E138</x:f>
        <x:v>1.8735085276109804</x:v>
      </x:c>
      <x:c r="F8" s="138" t="n">
        <x:f>LUCK!E138</x:f>
        <x:v>1.4760766300374313</x:v>
      </x:c>
      <x:c r="G8" s="138" t="n">
        <x:f>DGKC!E138</x:f>
        <x:v>0.8855287714771004</x:v>
      </x:c>
      <x:c r="H8" s="138" t="n">
        <x:f>MLCF!E138</x:f>
        <x:v>1.2549557408945418</x:v>
      </x:c>
      <x:c r="I8" s="138" t="n">
        <x:f>FCCL!E138</x:f>
        <x:v>1.0559688948718087</x:v>
      </x:c>
      <x:c r="J8" s="139" t="n">
        <x:f>IF(COUNT(E8:I8)=0,"n/m",AVERAGE(E8:I8))</x:f>
        <x:v>1.3092077129783726</x:v>
      </x:c>
      <x:c r="K8" s="11" t="n">
        <x:f>COUNT(E8:I8)</x:f>
        <x:v>5</x:v>
      </x:c>
      <x:c r="L8" s="140" t="n">
        <x:f>IF(AND(ISNUMBER(E8),ISNUMBER(J8)),E8-J8,"n/m")</x:f>
        <x:v>0.5643008146326078</x:v>
      </x:c>
      <x:c r="M8" s="140" t="n">
        <x:f>IF(COUNT(F8:I8)=0,"n/m",AVERAGE(F8:I8))</x:f>
        <x:v>1.1681325093202206</x:v>
      </x:c>
      <x:c r="N8" s="140" t="n">
        <x:f>IF(COUNT(E8:I8)=0,"n/m",MEDIAN(E8:I8))</x:f>
        <x:v>1.2549557408945418</x:v>
      </x:c>
      <x:c r="O8" s="11" t="str">
        <x:v>Higher</x:v>
      </x:c>
      <x:c r="P8" s="9" t="str">
        <x:f>IF(NOT(ISNUMBER(L8)),"n/m",IF(O8="Higher",IF(L8&gt;=0,"Above avg - favourable","Below avg - unfavourable"),IF(O8="Lower",IF(L8&lt;=0,"Below avg - favourable","Above avg - unfavourable"),IF(L8&gt;=0,"Above avg - context-dependent","Below avg - context-dependent"))))&amp;IF(K8&lt;5," (N="&amp;K8&amp;")","")</x:f>
        <x:v>Above avg - favourable</x:v>
      </x:c>
      <x:c r="Q8"/>
      <x:c r="R8" s="59" t="str">
        <x:f>IF(K8=0,"n/m",IF(ABS(J8-SUM(E8:I8)/K8)&lt;0.000000001,"OK","ERR"))</x:f>
        <x:v>OK</x:v>
      </x:c>
    </x:row>
    <x:row r="9" ht="15" hidden="0">
      <x:c r="A9"/>
      <x:c r="B9"/>
      <x:c r="C9" s="56" t="str">
        <x:v>Current ratio</x:v>
      </x:c>
      <x:c r="D9" s="11" t="str">
        <x:v>FY2023</x:v>
      </x:c>
      <x:c r="E9" s="138" t="n">
        <x:f>KOHC!F138</x:f>
        <x:v>2.311570515459215</x:v>
      </x:c>
      <x:c r="F9" s="138" t="n">
        <x:f>LUCK!F138</x:f>
        <x:v>1.290071633326858</x:v>
      </x:c>
      <x:c r="G9" s="138" t="n">
        <x:f>DGKC!F138</x:f>
        <x:v>0.8017674905738562</x:v>
      </x:c>
      <x:c r="H9" s="138" t="n">
        <x:f>MLCF!F138</x:f>
        <x:v>1.3715472215546312</x:v>
      </x:c>
      <x:c r="I9" s="138" t="n">
        <x:f>FCCL!F138</x:f>
        <x:v>0.8121113755800701</x:v>
      </x:c>
      <x:c r="J9" s="139" t="n">
        <x:f>IF(COUNT(E9:I9)=0,"n/m",AVERAGE(E9:I9))</x:f>
        <x:v>1.3174136472989262</x:v>
      </x:c>
      <x:c r="K9" s="11" t="n">
        <x:f>COUNT(E9:I9)</x:f>
        <x:v>5</x:v>
      </x:c>
      <x:c r="L9" s="140" t="n">
        <x:f>IF(AND(ISNUMBER(E9),ISNUMBER(J9)),E9-J9,"n/m")</x:f>
        <x:v>0.9941568681602888</x:v>
      </x:c>
      <x:c r="M9" s="140" t="n">
        <x:f>IF(COUNT(F9:I9)=0,"n/m",AVERAGE(F9:I9))</x:f>
        <x:v>1.068874430258854</x:v>
      </x:c>
      <x:c r="N9" s="140" t="n">
        <x:f>IF(COUNT(E9:I9)=0,"n/m",MEDIAN(E9:I9))</x:f>
        <x:v>1.290071633326858</x:v>
      </x:c>
      <x:c r="O9" s="11" t="str">
        <x:v>Higher</x:v>
      </x:c>
      <x:c r="P9" s="9" t="str">
        <x:f>IF(NOT(ISNUMBER(L9)),"n/m",IF(O9="Higher",IF(L9&gt;=0,"Above avg - favourable","Below avg - unfavourable"),IF(O9="Lower",IF(L9&lt;=0,"Below avg - favourable","Above avg - unfavourable"),IF(L9&gt;=0,"Above avg - context-dependent","Below avg - context-dependent"))))&amp;IF(K9&lt;5," (N="&amp;K9&amp;")","")</x:f>
        <x:v>Above avg - favourable</x:v>
      </x:c>
      <x:c r="Q9"/>
      <x:c r="R9" s="59" t="str">
        <x:f>IF(K9=0,"n/m",IF(ABS(J9-SUM(E9:I9)/K9)&lt;0.000000001,"OK","ERR"))</x:f>
        <x:v>OK</x:v>
      </x:c>
    </x:row>
    <x:row r="10" ht="15" hidden="0">
      <x:c r="A10"/>
      <x:c r="B10"/>
      <x:c r="C10" s="56" t="str">
        <x:v>Current ratio</x:v>
      </x:c>
      <x:c r="D10" s="11" t="str">
        <x:v>FY2024</x:v>
      </x:c>
      <x:c r="E10" s="138" t="n">
        <x:f>KOHC!G138</x:f>
        <x:v>2.903159053016002</x:v>
      </x:c>
      <x:c r="F10" s="138" t="n">
        <x:f>LUCK!G138</x:f>
        <x:v>1.2632222354743232</x:v>
      </x:c>
      <x:c r="G10" s="138" t="n">
        <x:f>DGKC!G138</x:f>
        <x:v>1.296185931254842</x:v>
      </x:c>
      <x:c r="H10" s="138" t="n">
        <x:f>MLCF!G138</x:f>
        <x:v>1.444678241512437</x:v>
      </x:c>
      <x:c r="I10" s="138" t="n">
        <x:f>FCCL!G138</x:f>
        <x:v>0.9597477311673009</x:v>
      </x:c>
      <x:c r="J10" s="139" t="n">
        <x:f>IF(COUNT(E10:I10)=0,"n/m",AVERAGE(E10:I10))</x:f>
        <x:v>1.5733986384849812</x:v>
      </x:c>
      <x:c r="K10" s="11" t="n">
        <x:f>COUNT(E10:I10)</x:f>
        <x:v>5</x:v>
      </x:c>
      <x:c r="L10" s="140" t="n">
        <x:f>IF(AND(ISNUMBER(E10),ISNUMBER(J10)),E10-J10,"n/m")</x:f>
        <x:v>1.3297604145310207</x:v>
      </x:c>
      <x:c r="M10" s="140" t="n">
        <x:f>IF(COUNT(F10:I10)=0,"n/m",AVERAGE(F10:I10))</x:f>
        <x:v>1.2409585348522258</x:v>
      </x:c>
      <x:c r="N10" s="140" t="n">
        <x:f>IF(COUNT(E10:I10)=0,"n/m",MEDIAN(E10:I10))</x:f>
        <x:v>1.296185931254842</x:v>
      </x:c>
      <x:c r="O10" s="11" t="str">
        <x:v>Higher</x:v>
      </x:c>
      <x:c r="P10" s="9" t="str">
        <x:f>IF(NOT(ISNUMBER(L10)),"n/m",IF(O10="Higher",IF(L10&gt;=0,"Above avg - favourable","Below avg - unfavourable"),IF(O10="Lower",IF(L10&lt;=0,"Below avg - favourable","Above avg - unfavourable"),IF(L10&gt;=0,"Above avg - context-dependent","Below avg - context-dependent"))))&amp;IF(K10&lt;5," (N="&amp;K10&amp;")","")</x:f>
        <x:v>Above avg - favourable</x:v>
      </x:c>
      <x:c r="Q10"/>
      <x:c r="R10" s="59" t="str">
        <x:f>IF(K10=0,"n/m",IF(ABS(J10-SUM(E10:I10)/K10)&lt;0.000000001,"OK","ERR"))</x:f>
        <x:v>OK</x:v>
      </x:c>
    </x:row>
    <x:row r="11" ht="15" hidden="0">
      <x:c r="A11"/>
      <x:c r="B11"/>
      <x:c r="C11" s="56" t="str">
        <x:v>Current ratio</x:v>
      </x:c>
      <x:c r="D11" s="11" t="str">
        <x:v>FY2025</x:v>
      </x:c>
      <x:c r="E11" s="138" t="n">
        <x:f>KOHC!H138</x:f>
        <x:v>3.311248687172772</x:v>
      </x:c>
      <x:c r="F11" s="138" t="n">
        <x:f>LUCK!H138</x:f>
        <x:v>1.7146143875904156</x:v>
      </x:c>
      <x:c r="G11" s="138" t="n">
        <x:f>DGKC!H138</x:f>
        <x:v>1.8489517932979607</x:v>
      </x:c>
      <x:c r="H11" s="138" t="n">
        <x:f>MLCF!H138</x:f>
        <x:v>1.5324411303645513</x:v>
      </x:c>
      <x:c r="I11" s="138" t="n">
        <x:f>FCCL!H138</x:f>
        <x:v>1.3210140828410366</x:v>
      </x:c>
      <x:c r="J11" s="139" t="n">
        <x:f>IF(COUNT(E11:I11)=0,"n/m",AVERAGE(E11:I11))</x:f>
        <x:v>1.9456540162533476</x:v>
      </x:c>
      <x:c r="K11" s="11" t="n">
        <x:f>COUNT(E11:I11)</x:f>
        <x:v>5</x:v>
      </x:c>
      <x:c r="L11" s="140" t="n">
        <x:f>IF(AND(ISNUMBER(E11),ISNUMBER(J11)),E11-J11,"n/m")</x:f>
        <x:v>1.3655946709194244</x:v>
      </x:c>
      <x:c r="M11" s="140" t="n">
        <x:f>IF(COUNT(F11:I11)=0,"n/m",AVERAGE(F11:I11))</x:f>
        <x:v>1.6042553485234912</x:v>
      </x:c>
      <x:c r="N11" s="140" t="n">
        <x:f>IF(COUNT(E11:I11)=0,"n/m",MEDIAN(E11:I11))</x:f>
        <x:v>1.7146143875904156</x:v>
      </x:c>
      <x:c r="O11" s="11" t="str">
        <x:v>Higher</x:v>
      </x:c>
      <x:c r="P11" s="9" t="str">
        <x:f>IF(NOT(ISNUMBER(L11)),"n/m",IF(O11="Higher",IF(L11&gt;=0,"Above avg - favourable","Below avg - unfavourable"),IF(O11="Lower",IF(L11&lt;=0,"Below avg - favourable","Above avg - unfavourable"),IF(L11&gt;=0,"Above avg - context-dependent","Below avg - context-dependent"))))&amp;IF(K11&lt;5," (N="&amp;K11&amp;")","")</x:f>
        <x:v>Above avg - favourable</x:v>
      </x:c>
      <x:c r="Q11"/>
      <x:c r="R11" s="59" t="str">
        <x:f>IF(K11=0,"n/m",IF(ABS(J11-SUM(E11:I11)/K11)&lt;0.000000001,"OK","ERR"))</x:f>
        <x:v>OK</x:v>
      </x:c>
    </x:row>
    <x:row r="12" ht="15" hidden="0">
      <x:c r="A12" s="54" t="str">
        <x:v>Liquidity</x:v>
      </x:c>
      <x:c r="B12" s="25" t="n">
        <x:v>2</x:v>
      </x:c>
      <x:c r="C12" s="24" t="str">
        <x:v>2. Quick ratio</x:v>
      </x:c>
      <x:c r="D12" s="25"/>
      <x:c r="E12" s="25"/>
      <x:c r="F12" s="25"/>
      <x:c r="G12" s="25"/>
      <x:c r="H12" s="25"/>
      <x:c r="I12" s="25"/>
      <x:c r="J12" s="25"/>
      <x:c r="K12" s="25"/>
      <x:c r="L12" s="25"/>
      <x:c r="M12" s="25"/>
      <x:c r="N12" s="25"/>
      <x:c r="O12" s="25"/>
      <x:c r="P12" s="25"/>
      <x:c r="Q12" s="55"/>
      <x:c r="R12" s="25"/>
    </x:row>
    <x:row r="13" ht="15" hidden="0">
      <x:c r="A13"/>
      <x:c r="B13"/>
      <x:c r="C13" s="56" t="str">
        <x:v>Quick ratio</x:v>
      </x:c>
      <x:c r="D13" s="11" t="str">
        <x:v>FY2021</x:v>
      </x:c>
      <x:c r="E13" s="138" t="n">
        <x:f>KOHC!D139</x:f>
        <x:v>0.748160438555549</x:v>
      </x:c>
      <x:c r="F13" s="138" t="n">
        <x:f>LUCK!D139</x:f>
        <x:v>0.890008861006851</x:v>
      </x:c>
      <x:c r="G13" s="138" t="n">
        <x:f>DGKC!D139</x:f>
        <x:v>0.527188307782106</x:v>
      </x:c>
      <x:c r="H13" s="138" t="n">
        <x:f>MLCF!D139</x:f>
        <x:v>0.439716919103873</x:v>
      </x:c>
      <x:c r="I13" s="138" t="n">
        <x:f>FCCL!D139</x:f>
        <x:v>1.1357988467684703</x:v>
      </x:c>
      <x:c r="J13" s="139" t="n">
        <x:f>IF(COUNT(E13:I13)=0,"n/m",AVERAGE(E13:I13))</x:f>
        <x:v>0.74817467464337</x:v>
      </x:c>
      <x:c r="K13" s="11" t="n">
        <x:f>COUNT(E13:I13)</x:f>
        <x:v>5</x:v>
      </x:c>
      <x:c r="L13" s="140" t="n">
        <x:f>IF(AND(ISNUMBER(E13),ISNUMBER(J13)),E13-J13,"n/m")</x:f>
        <x:v>-0.000014236087820918009</x:v>
      </x:c>
      <x:c r="M13" s="140" t="n">
        <x:f>IF(COUNT(F13:I13)=0,"n/m",AVERAGE(F13:I13))</x:f>
        <x:v>0.7481782336653251</x:v>
      </x:c>
      <x:c r="N13" s="140" t="n">
        <x:f>IF(COUNT(E13:I13)=0,"n/m",MEDIAN(E13:I13))</x:f>
        <x:v>0.748160438555549</x:v>
      </x:c>
      <x:c r="O13" s="11" t="str">
        <x:v>Higher</x:v>
      </x:c>
      <x:c r="P13" s="9" t="str">
        <x:f>IF(NOT(ISNUMBER(L13)),"n/m",IF(O13="Higher",IF(L13&gt;=0,"Above avg - favourable","Below avg - unfavourable"),IF(O13="Lower",IF(L13&lt;=0,"Below avg - favourable","Above avg - unfavourable"),IF(L13&gt;=0,"Above avg - context-dependent","Below avg - context-dependent"))))&amp;IF(K13&lt;5," (N="&amp;K13&amp;")","")</x:f>
        <x:v>Below avg - unfavourable</x:v>
      </x:c>
      <x:c r="Q13"/>
      <x:c r="R13" s="59" t="str">
        <x:f>IF(K13=0,"n/m",IF(ABS(J13-SUM(E13:I13)/K13)&lt;0.000000001,"OK","ERR"))</x:f>
        <x:v>OK</x:v>
      </x:c>
    </x:row>
    <x:row r="14" ht="15" hidden="0">
      <x:c r="A14"/>
      <x:c r="B14"/>
      <x:c r="C14" s="56" t="str">
        <x:v>Quick ratio</x:v>
      </x:c>
      <x:c r="D14" s="11" t="str">
        <x:v>FY2022</x:v>
      </x:c>
      <x:c r="E14" s="138" t="n">
        <x:f>KOHC!E139</x:f>
        <x:v>1.2758070110452304</x:v>
      </x:c>
      <x:c r="F14" s="138" t="n">
        <x:f>LUCK!E139</x:f>
        <x:v>0.8707609191920863</x:v>
      </x:c>
      <x:c r="G14" s="138" t="n">
        <x:f>DGKC!E139</x:f>
        <x:v>0.3909339078966533</x:v>
      </x:c>
      <x:c r="H14" s="138" t="n">
        <x:f>MLCF!E139</x:f>
        <x:v>0.29473524106223353</x:v>
      </x:c>
      <x:c r="I14" s="138" t="n">
        <x:f>FCCL!E139</x:f>
        <x:v>0.4707842106056928</x:v>
      </x:c>
      <x:c r="J14" s="139" t="n">
        <x:f>IF(COUNT(E14:I14)=0,"n/m",AVERAGE(E14:I14))</x:f>
        <x:v>0.6606042579603792</x:v>
      </x:c>
      <x:c r="K14" s="11" t="n">
        <x:f>COUNT(E14:I14)</x:f>
        <x:v>5</x:v>
      </x:c>
      <x:c r="L14" s="140" t="n">
        <x:f>IF(AND(ISNUMBER(E14),ISNUMBER(J14)),E14-J14,"n/m")</x:f>
        <x:v>0.6152027530848512</x:v>
      </x:c>
      <x:c r="M14" s="140" t="n">
        <x:f>IF(COUNT(F14:I14)=0,"n/m",AVERAGE(F14:I14))</x:f>
        <x:v>0.5068035696891665</x:v>
      </x:c>
      <x:c r="N14" s="140" t="n">
        <x:f>IF(COUNT(E14:I14)=0,"n/m",MEDIAN(E14:I14))</x:f>
        <x:v>0.4707842106056928</x:v>
      </x:c>
      <x:c r="O14" s="11" t="str">
        <x:v>Higher</x:v>
      </x:c>
      <x:c r="P14" s="9" t="str">
        <x:f>IF(NOT(ISNUMBER(L14)),"n/m",IF(O14="Higher",IF(L14&gt;=0,"Above avg - favourable","Below avg - unfavourable"),IF(O14="Lower",IF(L14&lt;=0,"Below avg - favourable","Above avg - unfavourable"),IF(L14&gt;=0,"Above avg - context-dependent","Below avg - context-dependent"))))&amp;IF(K14&lt;5," (N="&amp;K14&amp;")","")</x:f>
        <x:v>Above avg - favourable</x:v>
      </x:c>
      <x:c r="Q14"/>
      <x:c r="R14" s="59" t="str">
        <x:f>IF(K14=0,"n/m",IF(ABS(J14-SUM(E14:I14)/K14)&lt;0.000000001,"OK","ERR"))</x:f>
        <x:v>OK</x:v>
      </x:c>
    </x:row>
    <x:row r="15" ht="15" hidden="0">
      <x:c r="A15"/>
      <x:c r="B15"/>
      <x:c r="C15" s="56" t="str">
        <x:v>Quick ratio</x:v>
      </x:c>
      <x:c r="D15" s="11" t="str">
        <x:v>FY2023</x:v>
      </x:c>
      <x:c r="E15" s="138" t="n">
        <x:f>KOHC!F139</x:f>
        <x:v>1.5392110300634694</x:v>
      </x:c>
      <x:c r="F15" s="138" t="n">
        <x:f>LUCK!F139</x:f>
        <x:v>0.8541222656242641</x:v>
      </x:c>
      <x:c r="G15" s="138" t="n">
        <x:f>DGKC!F139</x:f>
        <x:v>0.3348993616744587</x:v>
      </x:c>
      <x:c r="H15" s="138" t="n">
        <x:f>MLCF!F139</x:f>
        <x:v>0.5204561252187091</x:v>
      </x:c>
      <x:c r="I15" s="138" t="n">
        <x:f>FCCL!F139</x:f>
        <x:v>0.2812171087331332</x:v>
      </x:c>
      <x:c r="J15" s="139" t="n">
        <x:f>IF(COUNT(E15:I15)=0,"n/m",AVERAGE(E15:I15))</x:f>
        <x:v>0.7059811782628069</x:v>
      </x:c>
      <x:c r="K15" s="11" t="n">
        <x:f>COUNT(E15:I15)</x:f>
        <x:v>5</x:v>
      </x:c>
      <x:c r="L15" s="140" t="n">
        <x:f>IF(AND(ISNUMBER(E15),ISNUMBER(J15)),E15-J15,"n/m")</x:f>
        <x:v>0.8332298518006624</x:v>
      </x:c>
      <x:c r="M15" s="140" t="n">
        <x:f>IF(COUNT(F15:I15)=0,"n/m",AVERAGE(F15:I15))</x:f>
        <x:v>0.4976737153126413</x:v>
      </x:c>
      <x:c r="N15" s="140" t="n">
        <x:f>IF(COUNT(E15:I15)=0,"n/m",MEDIAN(E15:I15))</x:f>
        <x:v>0.5204561252187091</x:v>
      </x:c>
      <x:c r="O15" s="11" t="str">
        <x:v>Higher</x:v>
      </x:c>
      <x:c r="P15" s="9" t="str">
        <x:f>IF(NOT(ISNUMBER(L15)),"n/m",IF(O15="Higher",IF(L15&gt;=0,"Above avg - favourable","Below avg - unfavourable"),IF(O15="Lower",IF(L15&lt;=0,"Below avg - favourable","Above avg - unfavourable"),IF(L15&gt;=0,"Above avg - context-dependent","Below avg - context-dependent"))))&amp;IF(K15&lt;5," (N="&amp;K15&amp;")","")</x:f>
        <x:v>Above avg - favourable</x:v>
      </x:c>
      <x:c r="Q15"/>
      <x:c r="R15" s="59" t="str">
        <x:f>IF(K15=0,"n/m",IF(ABS(J15-SUM(E15:I15)/K15)&lt;0.000000001,"OK","ERR"))</x:f>
        <x:v>OK</x:v>
      </x:c>
    </x:row>
    <x:row r="16" ht="15" hidden="0">
      <x:c r="A16"/>
      <x:c r="B16"/>
      <x:c r="C16" s="56" t="str">
        <x:v>Quick ratio</x:v>
      </x:c>
      <x:c r="D16" s="11" t="str">
        <x:v>FY2024</x:v>
      </x:c>
      <x:c r="E16" s="138" t="n">
        <x:f>KOHC!G139</x:f>
        <x:v>2.220059339921235</x:v>
      </x:c>
      <x:c r="F16" s="138" t="n">
        <x:f>LUCK!G139</x:f>
        <x:v>0.8369831163170072</x:v>
      </x:c>
      <x:c r="G16" s="138" t="n">
        <x:f>DGKC!G139</x:f>
        <x:v>0.6677176492302713</x:v>
      </x:c>
      <x:c r="H16" s="138" t="n">
        <x:f>MLCF!G139</x:f>
        <x:v>0.6094267063846261</x:v>
      </x:c>
      <x:c r="I16" s="138" t="n">
        <x:f>FCCL!G139</x:f>
        <x:v>0.3420463898878065</x:v>
      </x:c>
      <x:c r="J16" s="139" t="n">
        <x:f>IF(COUNT(E16:I16)=0,"n/m",AVERAGE(E16:I16))</x:f>
        <x:v>0.9352466403481893</x:v>
      </x:c>
      <x:c r="K16" s="11" t="n">
        <x:f>COUNT(E16:I16)</x:f>
        <x:v>5</x:v>
      </x:c>
      <x:c r="L16" s="140" t="n">
        <x:f>IF(AND(ISNUMBER(E16),ISNUMBER(J16)),E16-J16,"n/m")</x:f>
        <x:v>1.2848126995730458</x:v>
      </x:c>
      <x:c r="M16" s="140" t="n">
        <x:f>IF(COUNT(F16:I16)=0,"n/m",AVERAGE(F16:I16))</x:f>
        <x:v>0.6140434654549278</x:v>
      </x:c>
      <x:c r="N16" s="140" t="n">
        <x:f>IF(COUNT(E16:I16)=0,"n/m",MEDIAN(E16:I16))</x:f>
        <x:v>0.6677176492302713</x:v>
      </x:c>
      <x:c r="O16" s="11" t="str">
        <x:v>Higher</x:v>
      </x:c>
      <x:c r="P16" s="9" t="str">
        <x:f>IF(NOT(ISNUMBER(L16)),"n/m",IF(O16="Higher",IF(L16&gt;=0,"Above avg - favourable","Below avg - unfavourable"),IF(O16="Lower",IF(L16&lt;=0,"Below avg - favourable","Above avg - unfavourable"),IF(L16&gt;=0,"Above avg - context-dependent","Below avg - context-dependent"))))&amp;IF(K16&lt;5," (N="&amp;K16&amp;")","")</x:f>
        <x:v>Above avg - favourable</x:v>
      </x:c>
      <x:c r="Q16"/>
      <x:c r="R16" s="59" t="str">
        <x:f>IF(K16=0,"n/m",IF(ABS(J16-SUM(E16:I16)/K16)&lt;0.000000001,"OK","ERR"))</x:f>
        <x:v>OK</x:v>
      </x:c>
    </x:row>
    <x:row r="17" ht="15" hidden="0">
      <x:c r="A17"/>
      <x:c r="B17"/>
      <x:c r="C17" s="56" t="str">
        <x:v>Quick ratio</x:v>
      </x:c>
      <x:c r="D17" s="11" t="str">
        <x:v>FY2025</x:v>
      </x:c>
      <x:c r="E17" s="138" t="n">
        <x:f>KOHC!H139</x:f>
        <x:v>2.6677003784340947</x:v>
      </x:c>
      <x:c r="F17" s="138" t="n">
        <x:f>LUCK!H139</x:f>
        <x:v>1.2939267138361998</x:v>
      </x:c>
      <x:c r="G17" s="138" t="n">
        <x:f>DGKC!H139</x:f>
        <x:v>1.0579587679634685</x:v>
      </x:c>
      <x:c r="H17" s="138" t="n">
        <x:f>MLCF!H139</x:f>
        <x:v>0.8078828259550986</x:v>
      </x:c>
      <x:c r="I17" s="138" t="n">
        <x:f>FCCL!H139</x:f>
        <x:v>0.6775338076736492</x:v>
      </x:c>
      <x:c r="J17" s="139" t="n">
        <x:f>IF(COUNT(E17:I17)=0,"n/m",AVERAGE(E17:I17))</x:f>
        <x:v>1.3010004987725021</x:v>
      </x:c>
      <x:c r="K17" s="11" t="n">
        <x:f>COUNT(E17:I17)</x:f>
        <x:v>5</x:v>
      </x:c>
      <x:c r="L17" s="140" t="n">
        <x:f>IF(AND(ISNUMBER(E17),ISNUMBER(J17)),E17-J17,"n/m")</x:f>
        <x:v>1.3666998796615926</x:v>
      </x:c>
      <x:c r="M17" s="140" t="n">
        <x:f>IF(COUNT(F17:I17)=0,"n/m",AVERAGE(F17:I17))</x:f>
        <x:v>0.9593255288571041</x:v>
      </x:c>
      <x:c r="N17" s="140" t="n">
        <x:f>IF(COUNT(E17:I17)=0,"n/m",MEDIAN(E17:I17))</x:f>
        <x:v>1.0579587679634685</x:v>
      </x:c>
      <x:c r="O17" s="11" t="str">
        <x:v>Higher</x:v>
      </x:c>
      <x:c r="P17" s="9" t="str">
        <x:f>IF(NOT(ISNUMBER(L17)),"n/m",IF(O17="Higher",IF(L17&gt;=0,"Above avg - favourable","Below avg - unfavourable"),IF(O17="Lower",IF(L17&lt;=0,"Below avg - favourable","Above avg - unfavourable"),IF(L17&gt;=0,"Above avg - context-dependent","Below avg - context-dependent"))))&amp;IF(K17&lt;5," (N="&amp;K17&amp;")","")</x:f>
        <x:v>Above avg - favourable</x:v>
      </x:c>
      <x:c r="Q17"/>
      <x:c r="R17" s="59" t="str">
        <x:f>IF(K17=0,"n/m",IF(ABS(J17-SUM(E17:I17)/K17)&lt;0.000000001,"OK","ERR"))</x:f>
        <x:v>OK</x:v>
      </x:c>
    </x:row>
    <x:row r="18" ht="15" hidden="0">
      <x:c r="A18" s="54" t="str">
        <x:v>Liquidity</x:v>
      </x:c>
      <x:c r="B18" s="25" t="n">
        <x:v>3</x:v>
      </x:c>
      <x:c r="C18" s="24" t="str">
        <x:v>3. Cash ratio</x:v>
      </x:c>
      <x:c r="D18" s="25"/>
      <x:c r="E18" s="25"/>
      <x:c r="F18" s="25"/>
      <x:c r="G18" s="25"/>
      <x:c r="H18" s="25"/>
      <x:c r="I18" s="25"/>
      <x:c r="J18" s="25"/>
      <x:c r="K18" s="25"/>
      <x:c r="L18" s="25"/>
      <x:c r="M18" s="25"/>
      <x:c r="N18" s="25"/>
      <x:c r="O18" s="25"/>
      <x:c r="P18" s="25"/>
      <x:c r="Q18" s="55"/>
      <x:c r="R18" s="25"/>
    </x:row>
    <x:row r="19" ht="15" hidden="0">
      <x:c r="A19"/>
      <x:c r="B19"/>
      <x:c r="C19" s="56" t="str">
        <x:v>Cash ratio</x:v>
      </x:c>
      <x:c r="D19" s="11" t="str">
        <x:v>FY2021</x:v>
      </x:c>
      <x:c r="E19" s="138" t="n">
        <x:f>KOHC!D140</x:f>
        <x:v>0.15817363525137568</x:v>
      </x:c>
      <x:c r="F19" s="138" t="n">
        <x:f>LUCK!D140</x:f>
        <x:v>0.09298113875159913</x:v>
      </x:c>
      <x:c r="G19" s="138" t="n">
        <x:f>DGKC!D140</x:f>
        <x:v>0.020011480184397672</x:v>
      </x:c>
      <x:c r="H19" s="138" t="n">
        <x:f>MLCF!D140</x:f>
        <x:v>0.0428255580531044</x:v>
      </x:c>
      <x:c r="I19" s="138" t="n">
        <x:f>FCCL!D140</x:f>
        <x:v>0.14618299383526975</x:v>
      </x:c>
      <x:c r="J19" s="139" t="n">
        <x:f>IF(COUNT(E19:I19)=0,"n/m",AVERAGE(E19:I19))</x:f>
        <x:v>0.09203496121514934</x:v>
      </x:c>
      <x:c r="K19" s="11" t="n">
        <x:f>COUNT(E19:I19)</x:f>
        <x:v>5</x:v>
      </x:c>
      <x:c r="L19" s="140" t="n">
        <x:f>IF(AND(ISNUMBER(E19),ISNUMBER(J19)),E19-J19,"n/m")</x:f>
        <x:v>0.06613867403622634</x:v>
      </x:c>
      <x:c r="M19" s="140" t="n">
        <x:f>IF(COUNT(F19:I19)=0,"n/m",AVERAGE(F19:I19))</x:f>
        <x:v>0.07550029270609274</x:v>
      </x:c>
      <x:c r="N19" s="140" t="n">
        <x:f>IF(COUNT(E19:I19)=0,"n/m",MEDIAN(E19:I19))</x:f>
        <x:v>0.09298113875159913</x:v>
      </x:c>
      <x:c r="O19" s="11" t="str">
        <x:v>Higher</x:v>
      </x:c>
      <x:c r="P19" s="9" t="str">
        <x:f>IF(NOT(ISNUMBER(L19)),"n/m",IF(O19="Higher",IF(L19&gt;=0,"Above avg - favourable","Below avg - unfavourable"),IF(O19="Lower",IF(L19&lt;=0,"Below avg - favourable","Above avg - unfavourable"),IF(L19&gt;=0,"Above avg - context-dependent","Below avg - context-dependent"))))&amp;IF(K19&lt;5," (N="&amp;K19&amp;")","")</x:f>
        <x:v>Above avg - favourable</x:v>
      </x:c>
      <x:c r="Q19"/>
      <x:c r="R19" s="59" t="str">
        <x:f>IF(K19=0,"n/m",IF(ABS(J19-SUM(E19:I19)/K19)&lt;0.000000001,"OK","ERR"))</x:f>
        <x:v>OK</x:v>
      </x:c>
    </x:row>
    <x:row r="20" ht="15" hidden="0">
      <x:c r="A20"/>
      <x:c r="B20"/>
      <x:c r="C20" s="56" t="str">
        <x:v>Cash ratio</x:v>
      </x:c>
      <x:c r="D20" s="11" t="str">
        <x:v>FY2022</x:v>
      </x:c>
      <x:c r="E20" s="138" t="n">
        <x:f>KOHC!E140</x:f>
        <x:v>0.05067096377572231</x:v>
      </x:c>
      <x:c r="F20" s="138" t="n">
        <x:f>LUCK!E140</x:f>
        <x:v>0.12750015990720837</x:v>
      </x:c>
      <x:c r="G20" s="138" t="n">
        <x:f>DGKC!E140</x:f>
        <x:v>0.008913248794490819</x:v>
      </x:c>
      <x:c r="H20" s="138" t="n">
        <x:f>MLCF!E140</x:f>
        <x:v>0.04900616554000333</x:v>
      </x:c>
      <x:c r="I20" s="138" t="n">
        <x:f>FCCL!E140</x:f>
        <x:v>0.08632203736853207</x:v>
      </x:c>
      <x:c r="J20" s="139" t="n">
        <x:f>IF(COUNT(E20:I20)=0,"n/m",AVERAGE(E20:I20))</x:f>
        <x:v>0.06448251507719138</x:v>
      </x:c>
      <x:c r="K20" s="11" t="n">
        <x:f>COUNT(E20:I20)</x:f>
        <x:v>5</x:v>
      </x:c>
      <x:c r="L20" s="140" t="n">
        <x:f>IF(AND(ISNUMBER(E20),ISNUMBER(J20)),E20-J20,"n/m")</x:f>
        <x:v>-0.01381155130146907</x:v>
      </x:c>
      <x:c r="M20" s="140" t="n">
        <x:f>IF(COUNT(F20:I20)=0,"n/m",AVERAGE(F20:I20))</x:f>
        <x:v>0.06793540290255864</x:v>
      </x:c>
      <x:c r="N20" s="140" t="n">
        <x:f>IF(COUNT(E20:I20)=0,"n/m",MEDIAN(E20:I20))</x:f>
        <x:v>0.05067096377572231</x:v>
      </x:c>
      <x:c r="O20" s="11" t="str">
        <x:v>Higher</x:v>
      </x:c>
      <x:c r="P20" s="9" t="str">
        <x:f>IF(NOT(ISNUMBER(L20)),"n/m",IF(O20="Higher",IF(L20&gt;=0,"Above avg - favourable","Below avg - unfavourable"),IF(O20="Lower",IF(L20&lt;=0,"Below avg - favourable","Above avg - unfavourable"),IF(L20&gt;=0,"Above avg - context-dependent","Below avg - context-dependent"))))&amp;IF(K20&lt;5," (N="&amp;K20&amp;")","")</x:f>
        <x:v>Below avg - unfavourable</x:v>
      </x:c>
      <x:c r="Q20"/>
      <x:c r="R20" s="59" t="str">
        <x:f>IF(K20=0,"n/m",IF(ABS(J20-SUM(E20:I20)/K20)&lt;0.000000001,"OK","ERR"))</x:f>
        <x:v>OK</x:v>
      </x:c>
    </x:row>
    <x:row r="21" ht="15" hidden="0">
      <x:c r="A21"/>
      <x:c r="B21"/>
      <x:c r="C21" s="56" t="str">
        <x:v>Cash ratio</x:v>
      </x:c>
      <x:c r="D21" s="11" t="str">
        <x:v>FY2023</x:v>
      </x:c>
      <x:c r="E21" s="138" t="n">
        <x:f>KOHC!F140</x:f>
        <x:v>0.09417804645207263</x:v>
      </x:c>
      <x:c r="F21" s="138" t="n">
        <x:f>LUCK!F140</x:f>
        <x:v>0.08913171618062964</x:v>
      </x:c>
      <x:c r="G21" s="138" t="n">
        <x:f>DGKC!F140</x:f>
        <x:v>0.013866688142092815</x:v>
      </x:c>
      <x:c r="H21" s="138" t="n">
        <x:f>MLCF!F140</x:f>
        <x:v>0.04568029853307005</x:v>
      </x:c>
      <x:c r="I21" s="138" t="n">
        <x:f>FCCL!F140</x:f>
        <x:v>0.03406683538776042</x:v>
      </x:c>
      <x:c r="J21" s="139" t="n">
        <x:f>IF(COUNT(E21:I21)=0,"n/m",AVERAGE(E21:I21))</x:f>
        <x:v>0.05538471693912511</x:v>
      </x:c>
      <x:c r="K21" s="11" t="n">
        <x:f>COUNT(E21:I21)</x:f>
        <x:v>5</x:v>
      </x:c>
      <x:c r="L21" s="140" t="n">
        <x:f>IF(AND(ISNUMBER(E21),ISNUMBER(J21)),E21-J21,"n/m")</x:f>
        <x:v>0.03879332951294752</x:v>
      </x:c>
      <x:c r="M21" s="140" t="n">
        <x:f>IF(COUNT(F21:I21)=0,"n/m",AVERAGE(F21:I21))</x:f>
        <x:v>0.04568638456088823</x:v>
      </x:c>
      <x:c r="N21" s="140" t="n">
        <x:f>IF(COUNT(E21:I21)=0,"n/m",MEDIAN(E21:I21))</x:f>
        <x:v>0.04568029853307005</x:v>
      </x:c>
      <x:c r="O21" s="11" t="str">
        <x:v>Higher</x:v>
      </x:c>
      <x:c r="P21" s="9" t="str">
        <x:f>IF(NOT(ISNUMBER(L21)),"n/m",IF(O21="Higher",IF(L21&gt;=0,"Above avg - favourable","Below avg - unfavourable"),IF(O21="Lower",IF(L21&lt;=0,"Below avg - favourable","Above avg - unfavourable"),IF(L21&gt;=0,"Above avg - context-dependent","Below avg - context-dependent"))))&amp;IF(K21&lt;5," (N="&amp;K21&amp;")","")</x:f>
        <x:v>Above avg - favourable</x:v>
      </x:c>
      <x:c r="Q21"/>
      <x:c r="R21" s="59" t="str">
        <x:f>IF(K21=0,"n/m",IF(ABS(J21-SUM(E21:I21)/K21)&lt;0.000000001,"OK","ERR"))</x:f>
        <x:v>OK</x:v>
      </x:c>
    </x:row>
    <x:row r="22" ht="15" hidden="0">
      <x:c r="A22"/>
      <x:c r="B22"/>
      <x:c r="C22" s="56" t="str">
        <x:v>Cash ratio</x:v>
      </x:c>
      <x:c r="D22" s="11" t="str">
        <x:v>FY2024</x:v>
      </x:c>
      <x:c r="E22" s="138" t="n">
        <x:f>KOHC!G140</x:f>
        <x:v>0.09937683148978137</x:v>
      </x:c>
      <x:c r="F22" s="138" t="n">
        <x:f>LUCK!G140</x:f>
        <x:v>0.04737494632853006</x:v>
      </x:c>
      <x:c r="G22" s="138" t="n">
        <x:f>DGKC!G140</x:f>
        <x:v>0.022719990993528554</x:v>
      </x:c>
      <x:c r="H22" s="138" t="n">
        <x:f>MLCF!G140</x:f>
        <x:v>0.06094333738399166</x:v>
      </x:c>
      <x:c r="I22" s="138" t="n">
        <x:f>FCCL!G140</x:f>
        <x:v>0.10917301381732912</x:v>
      </x:c>
      <x:c r="J22" s="139" t="n">
        <x:f>IF(COUNT(E22:I22)=0,"n/m",AVERAGE(E22:I22))</x:f>
        <x:v>0.06791762400263215</x:v>
      </x:c>
      <x:c r="K22" s="11" t="n">
        <x:f>COUNT(E22:I22)</x:f>
        <x:v>5</x:v>
      </x:c>
      <x:c r="L22" s="140" t="n">
        <x:f>IF(AND(ISNUMBER(E22),ISNUMBER(J22)),E22-J22,"n/m")</x:f>
        <x:v>0.03145920748714921</x:v>
      </x:c>
      <x:c r="M22" s="140" t="n">
        <x:f>IF(COUNT(F22:I22)=0,"n/m",AVERAGE(F22:I22))</x:f>
        <x:v>0.060052822130844855</x:v>
      </x:c>
      <x:c r="N22" s="140" t="n">
        <x:f>IF(COUNT(E22:I22)=0,"n/m",MEDIAN(E22:I22))</x:f>
        <x:v>0.06094333738399166</x:v>
      </x:c>
      <x:c r="O22" s="11" t="str">
        <x:v>Higher</x:v>
      </x:c>
      <x:c r="P22" s="9" t="str">
        <x:f>IF(NOT(ISNUMBER(L22)),"n/m",IF(O22="Higher",IF(L22&gt;=0,"Above avg - favourable","Below avg - unfavourable"),IF(O22="Lower",IF(L22&lt;=0,"Below avg - favourable","Above avg - unfavourable"),IF(L22&gt;=0,"Above avg - context-dependent","Below avg - context-dependent"))))&amp;IF(K22&lt;5," (N="&amp;K22&amp;")","")</x:f>
        <x:v>Above avg - favourable</x:v>
      </x:c>
      <x:c r="Q22"/>
      <x:c r="R22" s="59" t="str">
        <x:f>IF(K22=0,"n/m",IF(ABS(J22-SUM(E22:I22)/K22)&lt;0.000000001,"OK","ERR"))</x:f>
        <x:v>OK</x:v>
      </x:c>
    </x:row>
    <x:row r="23" ht="15" hidden="0">
      <x:c r="A23"/>
      <x:c r="B23"/>
      <x:c r="C23" s="56" t="str">
        <x:v>Cash ratio</x:v>
      </x:c>
      <x:c r="D23" s="11" t="str">
        <x:v>FY2025</x:v>
      </x:c>
      <x:c r="E23" s="138" t="n">
        <x:f>KOHC!H140</x:f>
        <x:v>0.1243988942257843</x:v>
      </x:c>
      <x:c r="F23" s="138" t="n">
        <x:f>LUCK!H140</x:f>
        <x:v>0.04758283071188822</x:v>
      </x:c>
      <x:c r="G23" s="138" t="n">
        <x:f>DGKC!H140</x:f>
        <x:v>0.02195336946739058</x:v>
      </x:c>
      <x:c r="H23" s="138" t="n">
        <x:f>MLCF!H140</x:f>
        <x:v>0.06924333482737245</x:v>
      </x:c>
      <x:c r="I23" s="138" t="n">
        <x:f>FCCL!H140</x:f>
        <x:v>0.08699594487108397</x:v>
      </x:c>
      <x:c r="J23" s="139" t="n">
        <x:f>IF(COUNT(E23:I23)=0,"n/m",AVERAGE(E23:I23))</x:f>
        <x:v>0.0700348748207039</x:v>
      </x:c>
      <x:c r="K23" s="11" t="n">
        <x:f>COUNT(E23:I23)</x:f>
        <x:v>5</x:v>
      </x:c>
      <x:c r="L23" s="140" t="n">
        <x:f>IF(AND(ISNUMBER(E23),ISNUMBER(J23)),E23-J23,"n/m")</x:f>
        <x:v>0.0543640194050804</x:v>
      </x:c>
      <x:c r="M23" s="140" t="n">
        <x:f>IF(COUNT(F23:I23)=0,"n/m",AVERAGE(F23:I23))</x:f>
        <x:v>0.056443869969433805</x:v>
      </x:c>
      <x:c r="N23" s="140" t="n">
        <x:f>IF(COUNT(E23:I23)=0,"n/m",MEDIAN(E23:I23))</x:f>
        <x:v>0.06924333482737245</x:v>
      </x:c>
      <x:c r="O23" s="11" t="str">
        <x:v>Higher</x:v>
      </x:c>
      <x:c r="P23" s="9" t="str">
        <x:f>IF(NOT(ISNUMBER(L23)),"n/m",IF(O23="Higher",IF(L23&gt;=0,"Above avg - favourable","Below avg - unfavourable"),IF(O23="Lower",IF(L23&lt;=0,"Below avg - favourable","Above avg - unfavourable"),IF(L23&gt;=0,"Above avg - context-dependent","Below avg - context-dependent"))))&amp;IF(K23&lt;5," (N="&amp;K23&amp;")","")</x:f>
        <x:v>Above avg - favourable</x:v>
      </x:c>
      <x:c r="Q23"/>
      <x:c r="R23" s="59" t="str">
        <x:f>IF(K23=0,"n/m",IF(ABS(J23-SUM(E23:I23)/K23)&lt;0.000000001,"OK","ERR"))</x:f>
        <x:v>OK</x:v>
      </x:c>
    </x:row>
    <x:row r="24" ht="15" hidden="0">
      <x:c r="A24" s="54" t="str">
        <x:v>Liquidity</x:v>
      </x:c>
      <x:c r="B24" s="25" t="n">
        <x:v>4</x:v>
      </x:c>
      <x:c r="C24" s="24" t="str">
        <x:v>4. Net working capital (PKR m)</x:v>
      </x:c>
      <x:c r="D24" s="25"/>
      <x:c r="E24" s="25"/>
      <x:c r="F24" s="25"/>
      <x:c r="G24" s="25"/>
      <x:c r="H24" s="25"/>
      <x:c r="I24" s="25"/>
      <x:c r="J24" s="25"/>
      <x:c r="K24" s="25"/>
      <x:c r="L24" s="25"/>
      <x:c r="M24" s="25"/>
      <x:c r="N24" s="25"/>
      <x:c r="O24" s="25"/>
      <x:c r="P24" s="25"/>
      <x:c r="Q24" s="55" t="s">
        <x:v>686</x:v>
      </x:c>
      <x:c r="R24" s="25"/>
    </x:row>
    <x:row r="25" ht="15" hidden="0">
      <x:c r="A25"/>
      <x:c r="B25"/>
      <x:c r="C25" s="56" t="str">
        <x:v>Net working capital (PKR m)</x:v>
      </x:c>
      <x:c r="D25" s="11" t="str">
        <x:v>FY2021</x:v>
      </x:c>
      <x:c r="E25" s="141" t="n">
        <x:f>KOHC!D141</x:f>
        <x:v>2276.5547739999984</x:v>
      </x:c>
      <x:c r="F25" s="141" t="n">
        <x:f>LUCK!D141</x:f>
        <x:v>10289.302000000007</x:v>
      </x:c>
      <x:c r="G25" s="141" t="str">
        <x:f>DGKC!D141</x:f>
        <x:v>n/m</x:v>
      </x:c>
      <x:c r="H25" s="141" t="n">
        <x:f>MLCF!D141</x:f>
        <x:v>5473.968000000003</x:v>
      </x:c>
      <x:c r="I25" s="141" t="n">
        <x:f>FCCL!D141</x:f>
        <x:v>6276.743</x:v>
      </x:c>
      <x:c r="J25" s="142" t="n">
        <x:f>IF(COUNT(E25:I25)=0,"n/m",AVERAGE(E25:I25))</x:f>
        <x:v>6079.1419435000025</x:v>
      </x:c>
      <x:c r="K25" s="11" t="n">
        <x:f>COUNT(E25:I25)</x:f>
        <x:v>4</x:v>
      </x:c>
      <x:c r="L25" s="143" t="n">
        <x:f>IF(AND(ISNUMBER(E25),ISNUMBER(J25)),E25-J25,"n/m")</x:f>
        <x:v>-3802.587169500004</x:v>
      </x:c>
      <x:c r="M25" s="143" t="n">
        <x:f>IF(COUNT(F25:I25)=0,"n/m",AVERAGE(F25:I25))</x:f>
        <x:v>7346.671000000003</x:v>
      </x:c>
      <x:c r="N25" s="143" t="n">
        <x:f>IF(COUNT(E25:I25)=0,"n/m",MEDIAN(E25:I25))</x:f>
        <x:v>5875.3555000000015</x:v>
      </x:c>
      <x:c r="O25" s="11" t="str">
        <x:v>Context</x:v>
      </x:c>
      <x:c r="P25" s="9" t="str">
        <x:f>IF(NOT(ISNUMBER(L25)),"n/m",IF(O25="Higher",IF(L25&gt;=0,"Above avg - favourable","Below avg - unfavourable"),IF(O25="Lower",IF(L25&lt;=0,"Below avg - favourable","Above avg - unfavourable"),IF(L25&gt;=0,"Above avg - context-dependent","Below avg - context-dependent"))))&amp;IF(K25&lt;5," (N="&amp;K25&amp;")","")</x:f>
        <x:v>Below avg - context-dependent (N=4)</x:v>
      </x:c>
      <x:c r="Q25"/>
      <x:c r="R25" s="59" t="str">
        <x:f>IF(K25=0,"n/m",IF(ABS(J25-SUM(E25:I25)/K25)&lt;0.000000001,"OK","ERR"))</x:f>
        <x:v>OK</x:v>
      </x:c>
    </x:row>
    <x:row r="26" ht="15" hidden="0">
      <x:c r="A26"/>
      <x:c r="B26"/>
      <x:c r="C26" s="56" t="str">
        <x:v>Net working capital (PKR m)</x:v>
      </x:c>
      <x:c r="D26" s="11" t="str">
        <x:v>FY2022</x:v>
      </x:c>
      <x:c r="E26" s="141" t="n">
        <x:f>KOHC!E141</x:f>
        <x:v>8287.840767999996</x:v>
      </x:c>
      <x:c r="F26" s="141" t="n">
        <x:f>LUCK!E141</x:f>
        <x:v>14454.333000000006</x:v>
      </x:c>
      <x:c r="G26" s="141" t="str">
        <x:f>DGKC!E141</x:f>
        <x:v>n/m</x:v>
      </x:c>
      <x:c r="H26" s="141" t="n">
        <x:f>MLCF!E141</x:f>
        <x:v>4128.598000000004</x:v>
      </x:c>
      <x:c r="I26" s="141" t="n">
        <x:f>FCCL!E141</x:f>
        <x:v>1495.559000000001</x:v>
      </x:c>
      <x:c r="J26" s="142" t="n">
        <x:f>IF(COUNT(E26:I26)=0,"n/m",AVERAGE(E26:I26))</x:f>
        <x:v>7091.582692000002</x:v>
      </x:c>
      <x:c r="K26" s="11" t="n">
        <x:f>COUNT(E26:I26)</x:f>
        <x:v>4</x:v>
      </x:c>
      <x:c r="L26" s="143" t="n">
        <x:f>IF(AND(ISNUMBER(E26),ISNUMBER(J26)),E26-J26,"n/m")</x:f>
        <x:v>1196.2580759999946</x:v>
      </x:c>
      <x:c r="M26" s="143" t="n">
        <x:f>IF(COUNT(F26:I26)=0,"n/m",AVERAGE(F26:I26))</x:f>
        <x:v>6692.8300000000045</x:v>
      </x:c>
      <x:c r="N26" s="143" t="n">
        <x:f>IF(COUNT(E26:I26)=0,"n/m",MEDIAN(E26:I26))</x:f>
        <x:v>6208.219384</x:v>
      </x:c>
      <x:c r="O26" s="11" t="str">
        <x:v>Context</x:v>
      </x:c>
      <x:c r="P26" s="9" t="str">
        <x:f>IF(NOT(ISNUMBER(L26)),"n/m",IF(O26="Higher",IF(L26&gt;=0,"Above avg - favourable","Below avg - unfavourable"),IF(O26="Lower",IF(L26&lt;=0,"Below avg - favourable","Above avg - unfavourable"),IF(L26&gt;=0,"Above avg - context-dependent","Below avg - context-dependent"))))&amp;IF(K26&lt;5," (N="&amp;K26&amp;")","")</x:f>
        <x:v>Above avg - context-dependent (N=4)</x:v>
      </x:c>
      <x:c r="Q26"/>
      <x:c r="R26" s="59" t="str">
        <x:f>IF(K26=0,"n/m",IF(ABS(J26-SUM(E26:I26)/K26)&lt;0.000000001,"OK","ERR"))</x:f>
        <x:v>OK</x:v>
      </x:c>
    </x:row>
    <x:row r="27" ht="15" hidden="0">
      <x:c r="A27"/>
      <x:c r="B27"/>
      <x:c r="C27" s="56" t="str">
        <x:v>Net working capital (PKR m)</x:v>
      </x:c>
      <x:c r="D27" s="11" t="str">
        <x:v>FY2023</x:v>
      </x:c>
      <x:c r="E27" s="141" t="n">
        <x:f>KOHC!F141</x:f>
        <x:v>13000.905238000001</x:v>
      </x:c>
      <x:c r="F27" s="141" t="n">
        <x:f>LUCK!F141</x:f>
        <x:v>13395.762999999999</x:v>
      </x:c>
      <x:c r="G27" s="141" t="str">
        <x:f>DGKC!F141</x:f>
        <x:v>n/m</x:v>
      </x:c>
      <x:c r="H27" s="141" t="n">
        <x:f>MLCF!F141</x:f>
        <x:v>6024.645999999997</x:v>
      </x:c>
      <x:c r="I27" s="141" t="str">
        <x:f>FCCL!F141</x:f>
        <x:v>n/m</x:v>
      </x:c>
      <x:c r="J27" s="142" t="n">
        <x:f>IF(COUNT(E27:I27)=0,"n/m",AVERAGE(E27:I27))</x:f>
        <x:v>10807.104745999999</x:v>
      </x:c>
      <x:c r="K27" s="11" t="n">
        <x:f>COUNT(E27:I27)</x:f>
        <x:v>3</x:v>
      </x:c>
      <x:c r="L27" s="143" t="n">
        <x:f>IF(AND(ISNUMBER(E27),ISNUMBER(J27)),E27-J27,"n/m")</x:f>
        <x:v>2193.800492000002</x:v>
      </x:c>
      <x:c r="M27" s="143" t="n">
        <x:f>IF(COUNT(F27:I27)=0,"n/m",AVERAGE(F27:I27))</x:f>
        <x:v>9710.204499999998</x:v>
      </x:c>
      <x:c r="N27" s="143" t="n">
        <x:f>IF(COUNT(E27:I27)=0,"n/m",MEDIAN(E27:I27))</x:f>
        <x:v>13000.905238000001</x:v>
      </x:c>
      <x:c r="O27" s="11" t="str">
        <x:v>Context</x:v>
      </x:c>
      <x:c r="P27" s="9" t="str">
        <x:f>IF(NOT(ISNUMBER(L27)),"n/m",IF(O27="Higher",IF(L27&gt;=0,"Above avg - favourable","Below avg - unfavourable"),IF(O27="Lower",IF(L27&lt;=0,"Below avg - favourable","Above avg - unfavourable"),IF(L27&gt;=0,"Above avg - context-dependent","Below avg - context-dependent"))))&amp;IF(K27&lt;5," (N="&amp;K27&amp;")","")</x:f>
        <x:v>Above avg - context-dependent (N=3)</x:v>
      </x:c>
      <x:c r="Q27"/>
      <x:c r="R27" s="59" t="str">
        <x:f>IF(K27=0,"n/m",IF(ABS(J27-SUM(E27:I27)/K27)&lt;0.000000001,"OK","ERR"))</x:f>
        <x:v>OK</x:v>
      </x:c>
    </x:row>
    <x:row r="28" ht="15" hidden="0">
      <x:c r="A28"/>
      <x:c r="B28"/>
      <x:c r="C28" s="56" t="str">
        <x:v>Net working capital (PKR m)</x:v>
      </x:c>
      <x:c r="D28" s="11" t="str">
        <x:v>FY2024</x:v>
      </x:c>
      <x:c r="E28" s="141" t="n">
        <x:f>KOHC!G141</x:f>
        <x:v>21116.760542</x:v>
      </x:c>
      <x:c r="F28" s="141" t="n">
        <x:f>LUCK!G141</x:f>
        <x:v>14263.611000000004</x:v>
      </x:c>
      <x:c r="G28" s="141" t="n">
        <x:f>DGKC!G141</x:f>
        <x:v>9544.803999999993</x:v>
      </x:c>
      <x:c r="H28" s="141" t="n">
        <x:f>MLCF!G141</x:f>
        <x:v>8270.037</x:v>
      </x:c>
      <x:c r="I28" s="141" t="str">
        <x:f>FCCL!G141</x:f>
        <x:v>n/m</x:v>
      </x:c>
      <x:c r="J28" s="142" t="n">
        <x:f>IF(COUNT(E28:I28)=0,"n/m",AVERAGE(E28:I28))</x:f>
        <x:v>13298.803135499998</x:v>
      </x:c>
      <x:c r="K28" s="11" t="n">
        <x:f>COUNT(E28:I28)</x:f>
        <x:v>4</x:v>
      </x:c>
      <x:c r="L28" s="143" t="n">
        <x:f>IF(AND(ISNUMBER(E28),ISNUMBER(J28)),E28-J28,"n/m")</x:f>
        <x:v>7817.9574065000015</x:v>
      </x:c>
      <x:c r="M28" s="143" t="n">
        <x:f>IF(COUNT(F28:I28)=0,"n/m",AVERAGE(F28:I28))</x:f>
        <x:v>10692.817333333332</x:v>
      </x:c>
      <x:c r="N28" s="143" t="n">
        <x:f>IF(COUNT(E28:I28)=0,"n/m",MEDIAN(E28:I28))</x:f>
        <x:v>11904.207499999999</x:v>
      </x:c>
      <x:c r="O28" s="11" t="str">
        <x:v>Context</x:v>
      </x:c>
      <x:c r="P28" s="9" t="str">
        <x:f>IF(NOT(ISNUMBER(L28)),"n/m",IF(O28="Higher",IF(L28&gt;=0,"Above avg - favourable","Below avg - unfavourable"),IF(O28="Lower",IF(L28&lt;=0,"Below avg - favourable","Above avg - unfavourable"),IF(L28&gt;=0,"Above avg - context-dependent","Below avg - context-dependent"))))&amp;IF(K28&lt;5," (N="&amp;K28&amp;")","")</x:f>
        <x:v>Above avg - context-dependent (N=4)</x:v>
      </x:c>
      <x:c r="Q28"/>
      <x:c r="R28" s="59" t="str">
        <x:f>IF(K28=0,"n/m",IF(ABS(J28-SUM(E28:I28)/K28)&lt;0.000000001,"OK","ERR"))</x:f>
        <x:v>OK</x:v>
      </x:c>
    </x:row>
    <x:row r="29" ht="15" hidden="0">
      <x:c r="A29"/>
      <x:c r="B29"/>
      <x:c r="C29" s="56" t="str">
        <x:v>Net working capital (PKR m)</x:v>
      </x:c>
      <x:c r="D29" s="11" t="str">
        <x:v>FY2025</x:v>
      </x:c>
      <x:c r="E29" s="141" t="n">
        <x:f>KOHC!H141</x:f>
        <x:v>26953.091383000003</x:v>
      </x:c>
      <x:c r="F29" s="141" t="n">
        <x:f>LUCK!H141</x:f>
        <x:v>41905.97600000001</x:v>
      </x:c>
      <x:c r="G29" s="141" t="n">
        <x:f>DGKC!H141</x:f>
        <x:v>21997.122</x:v>
      </x:c>
      <x:c r="H29" s="141" t="n">
        <x:f>MLCF!H141</x:f>
        <x:v>12422.112999999994</x:v>
      </x:c>
      <x:c r="I29" s="141" t="n">
        <x:f>FCCL!H141</x:f>
        <x:v>9835.068000000007</x:v>
      </x:c>
      <x:c r="J29" s="142" t="n">
        <x:f>IF(COUNT(E29:I29)=0,"n/m",AVERAGE(E29:I29))</x:f>
        <x:v>22622.674076600008</x:v>
      </x:c>
      <x:c r="K29" s="11" t="n">
        <x:f>COUNT(E29:I29)</x:f>
        <x:v>5</x:v>
      </x:c>
      <x:c r="L29" s="143" t="n">
        <x:f>IF(AND(ISNUMBER(E29),ISNUMBER(J29)),E29-J29,"n/m")</x:f>
        <x:v>4330.417306399995</x:v>
      </x:c>
      <x:c r="M29" s="143" t="n">
        <x:f>IF(COUNT(F29:I29)=0,"n/m",AVERAGE(F29:I29))</x:f>
        <x:v>21540.069750000002</x:v>
      </x:c>
      <x:c r="N29" s="143" t="n">
        <x:f>IF(COUNT(E29:I29)=0,"n/m",MEDIAN(E29:I29))</x:f>
        <x:v>21997.122</x:v>
      </x:c>
      <x:c r="O29" s="11" t="str">
        <x:v>Context</x:v>
      </x:c>
      <x:c r="P29" s="9" t="str">
        <x:f>IF(NOT(ISNUMBER(L29)),"n/m",IF(O29="Higher",IF(L29&gt;=0,"Above avg - favourable","Below avg - unfavourable"),IF(O29="Lower",IF(L29&lt;=0,"Below avg - favourable","Above avg - unfavourable"),IF(L29&gt;=0,"Above avg - context-dependent","Below avg - context-dependent"))))&amp;IF(K29&lt;5," (N="&amp;K29&amp;")","")</x:f>
        <x:v>Above avg - context-dependent</x:v>
      </x:c>
      <x:c r="Q29"/>
      <x:c r="R29" s="59" t="str">
        <x:f>IF(K29=0,"n/m",IF(ABS(J29-SUM(E29:I29)/K29)&lt;0.000000001,"OK","ERR"))</x:f>
        <x:v>OK</x:v>
      </x:c>
    </x:row>
    <x:row r="30" ht="15" hidden="0">
      <x:c r="A30" s="54" t="str">
        <x:v>Liquidity</x:v>
      </x:c>
      <x:c r="B30" s="25" t="n">
        <x:v>5</x:v>
      </x:c>
      <x:c r="C30" s="24" t="str">
        <x:v>5. Net operating working capital (PKR m)</x:v>
      </x:c>
      <x:c r="D30" s="25"/>
      <x:c r="E30" s="25"/>
      <x:c r="F30" s="25"/>
      <x:c r="G30" s="25"/>
      <x:c r="H30" s="25"/>
      <x:c r="I30" s="25"/>
      <x:c r="J30" s="25"/>
      <x:c r="K30" s="25"/>
      <x:c r="L30" s="25"/>
      <x:c r="M30" s="25"/>
      <x:c r="N30" s="25"/>
      <x:c r="O30" s="25"/>
      <x:c r="P30" s="25"/>
      <x:c r="Q30" s="55" t="s">
        <x:v>686</x:v>
      </x:c>
      <x:c r="R30" s="25"/>
    </x:row>
    <x:row r="31" ht="15" hidden="0">
      <x:c r="A31"/>
      <x:c r="B31"/>
      <x:c r="C31" s="56" t="str">
        <x:v>Net operating working capital (PKR m)</x:v>
      </x:c>
      <x:c r="D31" s="11" t="str">
        <x:v>FY2021</x:v>
      </x:c>
      <x:c r="E31" s="141" t="str">
        <x:f>KOHC!D142</x:f>
        <x:v>n/m</x:v>
      </x:c>
      <x:c r="F31" s="141" t="str">
        <x:f>LUCK!D142</x:f>
        <x:v>n/m</x:v>
      </x:c>
      <x:c r="G31" s="141" t="n">
        <x:f>DGKC!D142</x:f>
        <x:v>8099.147000000006</x:v>
      </x:c>
      <x:c r="H31" s="141" t="n">
        <x:f>MLCF!D142</x:f>
        <x:v>8772.302000000001</x:v>
      </x:c>
      <x:c r="I31" s="141" t="n">
        <x:f>FCCL!D142</x:f>
        <x:v>3035.393000000001</x:v>
      </x:c>
      <x:c r="J31" s="142" t="n">
        <x:f>IF(COUNT(E31:I31)=0,"n/m",AVERAGE(E31:I31))</x:f>
        <x:v>6635.614000000002</x:v>
      </x:c>
      <x:c r="K31" s="11" t="n">
        <x:f>COUNT(E31:I31)</x:f>
        <x:v>3</x:v>
      </x:c>
      <x:c r="L31" s="143" t="str">
        <x:f>IF(AND(ISNUMBER(E31),ISNUMBER(J31)),E31-J31,"n/m")</x:f>
        <x:v>n/m</x:v>
      </x:c>
      <x:c r="M31" s="143" t="n">
        <x:f>IF(COUNT(F31:I31)=0,"n/m",AVERAGE(F31:I31))</x:f>
        <x:v>6635.614000000002</x:v>
      </x:c>
      <x:c r="N31" s="143" t="n">
        <x:f>IF(COUNT(E31:I31)=0,"n/m",MEDIAN(E31:I31))</x:f>
        <x:v>8099.147000000006</x:v>
      </x:c>
      <x:c r="O31" s="11" t="str">
        <x:v>Context</x:v>
      </x:c>
      <x:c r="P31" s="9" t="str">
        <x:f>IF(NOT(ISNUMBER(L31)),"n/m",IF(O31="Higher",IF(L31&gt;=0,"Above avg - favourable","Below avg - unfavourable"),IF(O31="Lower",IF(L31&lt;=0,"Below avg - favourable","Above avg - unfavourable"),IF(L31&gt;=0,"Above avg - context-dependent","Below avg - context-dependent"))))&amp;IF(K31&lt;5," (N="&amp;K31&amp;")","")</x:f>
        <x:v>n/m (N=3)</x:v>
      </x:c>
      <x:c r="Q31"/>
      <x:c r="R31" s="59" t="str">
        <x:f>IF(K31=0,"n/m",IF(ABS(J31-SUM(E31:I31)/K31)&lt;0.000000001,"OK","ERR"))</x:f>
        <x:v>OK</x:v>
      </x:c>
    </x:row>
    <x:row r="32" ht="15" hidden="0">
      <x:c r="A32"/>
      <x:c r="B32"/>
      <x:c r="C32" s="56" t="str">
        <x:v>Net operating working capital (PKR m)</x:v>
      </x:c>
      <x:c r="D32" s="11" t="str">
        <x:v>FY2022</x:v>
      </x:c>
      <x:c r="E32" s="141" t="str">
        <x:f>KOHC!E142</x:f>
        <x:v>n/m</x:v>
      </x:c>
      <x:c r="F32" s="141" t="str">
        <x:f>LUCK!E142</x:f>
        <x:v>n/m</x:v>
      </x:c>
      <x:c r="G32" s="141" t="n">
        <x:f>DGKC!E142</x:f>
        <x:v>17790.203999999998</x:v>
      </x:c>
      <x:c r="H32" s="141" t="n">
        <x:f>MLCF!E142</x:f>
        <x:v>10212.653</x:v>
      </x:c>
      <x:c r="I32" s="141" t="n">
        <x:f>FCCL!E142</x:f>
        <x:v>9408.205</x:v>
      </x:c>
      <x:c r="J32" s="142" t="n">
        <x:f>IF(COUNT(E32:I32)=0,"n/m",AVERAGE(E32:I32))</x:f>
        <x:v>12470.354</x:v>
      </x:c>
      <x:c r="K32" s="11" t="n">
        <x:f>COUNT(E32:I32)</x:f>
        <x:v>3</x:v>
      </x:c>
      <x:c r="L32" s="143" t="str">
        <x:f>IF(AND(ISNUMBER(E32),ISNUMBER(J32)),E32-J32,"n/m")</x:f>
        <x:v>n/m</x:v>
      </x:c>
      <x:c r="M32" s="143" t="n">
        <x:f>IF(COUNT(F32:I32)=0,"n/m",AVERAGE(F32:I32))</x:f>
        <x:v>12470.354</x:v>
      </x:c>
      <x:c r="N32" s="143" t="n">
        <x:f>IF(COUNT(E32:I32)=0,"n/m",MEDIAN(E32:I32))</x:f>
        <x:v>10212.653</x:v>
      </x:c>
      <x:c r="O32" s="11" t="str">
        <x:v>Context</x:v>
      </x:c>
      <x:c r="P32" s="9" t="str">
        <x:f>IF(NOT(ISNUMBER(L32)),"n/m",IF(O32="Higher",IF(L32&gt;=0,"Above avg - favourable","Below avg - unfavourable"),IF(O32="Lower",IF(L32&lt;=0,"Below avg - favourable","Above avg - unfavourable"),IF(L32&gt;=0,"Above avg - context-dependent","Below avg - context-dependent"))))&amp;IF(K32&lt;5," (N="&amp;K32&amp;")","")</x:f>
        <x:v>n/m (N=3)</x:v>
      </x:c>
      <x:c r="Q32"/>
      <x:c r="R32" s="59" t="str">
        <x:f>IF(K32=0,"n/m",IF(ABS(J32-SUM(E32:I32)/K32)&lt;0.000000001,"OK","ERR"))</x:f>
        <x:v>OK</x:v>
      </x:c>
    </x:row>
    <x:row r="33" ht="15" hidden="0">
      <x:c r="A33"/>
      <x:c r="B33"/>
      <x:c r="C33" s="56" t="str">
        <x:v>Net operating working capital (PKR m)</x:v>
      </x:c>
      <x:c r="D33" s="11" t="str">
        <x:v>FY2023</x:v>
      </x:c>
      <x:c r="E33" s="141" t="n">
        <x:f>KOHC!F142</x:f>
        <x:v>1004.8001120000008</x:v>
      </x:c>
      <x:c r="F33" s="141" t="str">
        <x:f>LUCK!F142</x:f>
        <x:v>n/m</x:v>
      </x:c>
      <x:c r="G33" s="141" t="n">
        <x:f>DGKC!F142</x:f>
        <x:v>15215.495000000003</x:v>
      </x:c>
      <x:c r="H33" s="141" t="n">
        <x:f>MLCF!F142</x:f>
        <x:v>5291.223999999998</x:v>
      </x:c>
      <x:c r="I33" s="141" t="n">
        <x:f>FCCL!F142</x:f>
        <x:v>10212.416999999998</x:v>
      </x:c>
      <x:c r="J33" s="142" t="n">
        <x:f>IF(COUNT(E33:I33)=0,"n/m",AVERAGE(E33:I33))</x:f>
        <x:v>7930.984028</x:v>
      </x:c>
      <x:c r="K33" s="11" t="n">
        <x:f>COUNT(E33:I33)</x:f>
        <x:v>4</x:v>
      </x:c>
      <x:c r="L33" s="143" t="n">
        <x:f>IF(AND(ISNUMBER(E33),ISNUMBER(J33)),E33-J33,"n/m")</x:f>
        <x:v>-6926.183915999999</x:v>
      </x:c>
      <x:c r="M33" s="143" t="n">
        <x:f>IF(COUNT(F33:I33)=0,"n/m",AVERAGE(F33:I33))</x:f>
        <x:v>10239.712</x:v>
      </x:c>
      <x:c r="N33" s="143" t="n">
        <x:f>IF(COUNT(E33:I33)=0,"n/m",MEDIAN(E33:I33))</x:f>
        <x:v>7751.820499999998</x:v>
      </x:c>
      <x:c r="O33" s="11" t="str">
        <x:v>Context</x:v>
      </x:c>
      <x:c r="P33" s="9" t="str">
        <x:f>IF(NOT(ISNUMBER(L33)),"n/m",IF(O33="Higher",IF(L33&gt;=0,"Above avg - favourable","Below avg - unfavourable"),IF(O33="Lower",IF(L33&lt;=0,"Below avg - favourable","Above avg - unfavourable"),IF(L33&gt;=0,"Above avg - context-dependent","Below avg - context-dependent"))))&amp;IF(K33&lt;5," (N="&amp;K33&amp;")","")</x:f>
        <x:v>Below avg - context-dependent (N=4)</x:v>
      </x:c>
      <x:c r="Q33"/>
      <x:c r="R33" s="59" t="str">
        <x:f>IF(K33=0,"n/m",IF(ABS(J33-SUM(E33:I33)/K33)&lt;0.000000001,"OK","ERR"))</x:f>
        <x:v>OK</x:v>
      </x:c>
    </x:row>
    <x:row r="34" ht="15" hidden="0">
      <x:c r="A34"/>
      <x:c r="B34"/>
      <x:c r="C34" s="56" t="str">
        <x:v>Net operating working capital (PKR m)</x:v>
      </x:c>
      <x:c r="D34" s="11" t="str">
        <x:v>FY2024</x:v>
      </x:c>
      <x:c r="E34" s="141" t="n">
        <x:f>KOHC!G142</x:f>
        <x:v>949.0612429999965</x:v>
      </x:c>
      <x:c r="F34" s="141" t="str">
        <x:f>LUCK!G142</x:f>
        <x:v>n/m</x:v>
      </x:c>
      <x:c r="G34" s="141" t="n">
        <x:f>DGKC!G142</x:f>
        <x:v>10223.228999999994</x:v>
      </x:c>
      <x:c r="H34" s="141" t="n">
        <x:f>MLCF!G142</x:f>
        <x:v>9031.93</x:v>
      </x:c>
      <x:c r="I34" s="141" t="n">
        <x:f>FCCL!G142</x:f>
        <x:v>10303.164999999997</x:v>
      </x:c>
      <x:c r="J34" s="142" t="n">
        <x:f>IF(COUNT(E34:I34)=0,"n/m",AVERAGE(E34:I34))</x:f>
        <x:v>7626.8463107499965</x:v>
      </x:c>
      <x:c r="K34" s="11" t="n">
        <x:f>COUNT(E34:I34)</x:f>
        <x:v>4</x:v>
      </x:c>
      <x:c r="L34" s="143" t="n">
        <x:f>IF(AND(ISNUMBER(E34),ISNUMBER(J34)),E34-J34,"n/m")</x:f>
        <x:v>-6677.78506775</x:v>
      </x:c>
      <x:c r="M34" s="143" t="n">
        <x:f>IF(COUNT(F34:I34)=0,"n/m",AVERAGE(F34:I34))</x:f>
        <x:v>9852.774666666663</x:v>
      </x:c>
      <x:c r="N34" s="143" t="n">
        <x:f>IF(COUNT(E34:I34)=0,"n/m",MEDIAN(E34:I34))</x:f>
        <x:v>9627.579499999996</x:v>
      </x:c>
      <x:c r="O34" s="11" t="str">
        <x:v>Context</x:v>
      </x:c>
      <x:c r="P34" s="9" t="str">
        <x:f>IF(NOT(ISNUMBER(L34)),"n/m",IF(O34="Higher",IF(L34&gt;=0,"Above avg - favourable","Below avg - unfavourable"),IF(O34="Lower",IF(L34&lt;=0,"Below avg - favourable","Above avg - unfavourable"),IF(L34&gt;=0,"Above avg - context-dependent","Below avg - context-dependent"))))&amp;IF(K34&lt;5," (N="&amp;K34&amp;")","")</x:f>
        <x:v>Below avg - context-dependent (N=4)</x:v>
      </x:c>
      <x:c r="Q34"/>
      <x:c r="R34" s="59" t="str">
        <x:f>IF(K34=0,"n/m",IF(ABS(J34-SUM(E34:I34)/K34)&lt;0.000000001,"OK","ERR"))</x:f>
        <x:v>OK</x:v>
      </x:c>
    </x:row>
    <x:row r="35" ht="15" hidden="0">
      <x:c r="A35"/>
      <x:c r="B35"/>
      <x:c r="C35" s="56" t="str">
        <x:v>Net operating working capital (PKR m)</x:v>
      </x:c>
      <x:c r="D35" s="11" t="str">
        <x:v>FY2025</x:v>
      </x:c>
      <x:c r="E35" s="141" t="str">
        <x:f>KOHC!H142</x:f>
        <x:v>n/m</x:v>
      </x:c>
      <x:c r="F35" s="141" t="str">
        <x:f>LUCK!H142</x:f>
        <x:v>n/m</x:v>
      </x:c>
      <x:c r="G35" s="141" t="n">
        <x:f>DGKC!H142</x:f>
        <x:v>9579.732</x:v>
      </x:c>
      <x:c r="H35" s="141" t="n">
        <x:f>MLCF!H142</x:f>
        <x:v>4949.648999999998</x:v>
      </x:c>
      <x:c r="I35" s="141" t="n">
        <x:f>FCCL!H142</x:f>
        <x:v>14427.799000000005</x:v>
      </x:c>
      <x:c r="J35" s="142" t="n">
        <x:f>IF(COUNT(E35:I35)=0,"n/m",AVERAGE(E35:I35))</x:f>
        <x:v>9652.393333333333</x:v>
      </x:c>
      <x:c r="K35" s="11" t="n">
        <x:f>COUNT(E35:I35)</x:f>
        <x:v>3</x:v>
      </x:c>
      <x:c r="L35" s="143" t="str">
        <x:f>IF(AND(ISNUMBER(E35),ISNUMBER(J35)),E35-J35,"n/m")</x:f>
        <x:v>n/m</x:v>
      </x:c>
      <x:c r="M35" s="143" t="n">
        <x:f>IF(COUNT(F35:I35)=0,"n/m",AVERAGE(F35:I35))</x:f>
        <x:v>9652.393333333333</x:v>
      </x:c>
      <x:c r="N35" s="143" t="n">
        <x:f>IF(COUNT(E35:I35)=0,"n/m",MEDIAN(E35:I35))</x:f>
        <x:v>9579.732</x:v>
      </x:c>
      <x:c r="O35" s="11" t="str">
        <x:v>Context</x:v>
      </x:c>
      <x:c r="P35" s="9" t="str">
        <x:f>IF(NOT(ISNUMBER(L35)),"n/m",IF(O35="Higher",IF(L35&gt;=0,"Above avg - favourable","Below avg - unfavourable"),IF(O35="Lower",IF(L35&lt;=0,"Below avg - favourable","Above avg - unfavourable"),IF(L35&gt;=0,"Above avg - context-dependent","Below avg - context-dependent"))))&amp;IF(K35&lt;5," (N="&amp;K35&amp;")","")</x:f>
        <x:v>n/m (N=3)</x:v>
      </x:c>
      <x:c r="Q35"/>
      <x:c r="R35" s="59" t="str">
        <x:f>IF(K35=0,"n/m",IF(ABS(J35-SUM(E35:I35)/K35)&lt;0.000000001,"OK","ERR"))</x:f>
        <x:v>OK</x:v>
      </x:c>
    </x:row>
    <x:row r="36" ht="22" hidden="0" customHeight="1">
      <x:c r="A36" s="128" t="str">
        <x:v>ASSET MANAGEMENT</x:v>
      </x:c>
      <x:c r="B36" s="129"/>
      <x:c r="C36" s="129"/>
      <x:c r="D36" s="129"/>
      <x:c r="E36" s="129"/>
      <x:c r="F36" s="129"/>
      <x:c r="G36" s="129"/>
      <x:c r="H36" s="129"/>
      <x:c r="I36" s="129"/>
      <x:c r="J36" s="129"/>
      <x:c r="K36" s="129"/>
      <x:c r="L36" s="129"/>
      <x:c r="M36" s="129"/>
      <x:c r="N36" s="129"/>
      <x:c r="O36" s="129"/>
      <x:c r="P36" s="129"/>
      <x:c r="Q36" s="129"/>
      <x:c r="R36" s="129"/>
    </x:row>
    <x:row r="37" ht="15" hidden="0">
      <x:c r="A37" s="54" t="str">
        <x:v>Asset Management</x:v>
      </x:c>
      <x:c r="B37" s="25" t="n">
        <x:v>6</x:v>
      </x:c>
      <x:c r="C37" s="24" t="str">
        <x:v>6. Inventory turnover</x:v>
      </x:c>
      <x:c r="D37" s="25"/>
      <x:c r="E37" s="25"/>
      <x:c r="F37" s="25"/>
      <x:c r="G37" s="25"/>
      <x:c r="H37" s="25"/>
      <x:c r="I37" s="25"/>
      <x:c r="J37" s="25"/>
      <x:c r="K37" s="25"/>
      <x:c r="L37" s="25"/>
      <x:c r="M37" s="25"/>
      <x:c r="N37" s="25"/>
      <x:c r="O37" s="25"/>
      <x:c r="P37" s="25"/>
      <x:c r="Q37" s="55" t="s">
        <x:v>687</x:v>
      </x:c>
      <x:c r="R37" s="25"/>
    </x:row>
    <x:row r="38" ht="15" hidden="0">
      <x:c r="A38"/>
      <x:c r="B38"/>
      <x:c r="C38" s="56" t="str">
        <x:v>Inventory turnover</x:v>
      </x:c>
      <x:c r="D38" s="11" t="str">
        <x:v>FY2021</x:v>
      </x:c>
      <x:c r="E38" s="138" t="n">
        <x:f>KOHC!D144</x:f>
        <x:v>4.857098601325517</x:v>
      </x:c>
      <x:c r="F38" s="138" t="n">
        <x:f>LUCK!D144</x:f>
        <x:v>3.813607312713928</x:v>
      </x:c>
      <x:c r="G38" s="138" t="n">
        <x:f>DGKC!D144</x:f>
        <x:v>2.626752753172622</x:v>
      </x:c>
      <x:c r="H38" s="138" t="n">
        <x:f>MLCF!D144</x:f>
        <x:v>2.5503561154199565</x:v>
      </x:c>
      <x:c r="I38" s="138" t="n">
        <x:f>FCCL!D144</x:f>
        <x:v>3.593399445976929</x:v>
      </x:c>
      <x:c r="J38" s="139" t="n">
        <x:f>IF(COUNT(E38:I38)=0,"n/m",AVERAGE(E38:I38))</x:f>
        <x:v>3.4882428457217904</x:v>
      </x:c>
      <x:c r="K38" s="11" t="n">
        <x:f>COUNT(E38:I38)</x:f>
        <x:v>5</x:v>
      </x:c>
      <x:c r="L38" s="140" t="n">
        <x:f>IF(AND(ISNUMBER(E38),ISNUMBER(J38)),E38-J38,"n/m")</x:f>
        <x:v>1.3688557556037266</x:v>
      </x:c>
      <x:c r="M38" s="140" t="n">
        <x:f>IF(COUNT(F38:I38)=0,"n/m",AVERAGE(F38:I38))</x:f>
        <x:v>3.1460289068208587</x:v>
      </x:c>
      <x:c r="N38" s="140" t="n">
        <x:f>IF(COUNT(E38:I38)=0,"n/m",MEDIAN(E38:I38))</x:f>
        <x:v>3.593399445976929</x:v>
      </x:c>
      <x:c r="O38" s="11" t="str">
        <x:v>Higher</x:v>
      </x:c>
      <x:c r="P38" s="9" t="str">
        <x:f>IF(NOT(ISNUMBER(L38)),"n/m",IF(O38="Higher",IF(L38&gt;=0,"Above avg - favourable","Below avg - unfavourable"),IF(O38="Lower",IF(L38&lt;=0,"Below avg - favourable","Above avg - unfavourable"),IF(L38&gt;=0,"Above avg - context-dependent","Below avg - context-dependent"))))&amp;IF(K38&lt;5," (N="&amp;K38&amp;")","")</x:f>
        <x:v>Above avg - favourable</x:v>
      </x:c>
      <x:c r="Q38"/>
      <x:c r="R38" s="59" t="str">
        <x:f>IF(K38=0,"n/m",IF(ABS(J38-SUM(E38:I38)/K38)&lt;0.000000001,"OK","ERR"))</x:f>
        <x:v>OK</x:v>
      </x:c>
    </x:row>
    <x:row r="39" ht="15" hidden="0">
      <x:c r="A39"/>
      <x:c r="B39"/>
      <x:c r="C39" s="56" t="str">
        <x:v>Inventory turnover</x:v>
      </x:c>
      <x:c r="D39" s="11" t="str">
        <x:v>FY2022</x:v>
      </x:c>
      <x:c r="E39" s="138" t="n">
        <x:f>KOHC!E144</x:f>
        <x:v>4.681131721571692</x:v>
      </x:c>
      <x:c r="F39" s="138" t="n">
        <x:f>LUCK!E144</x:f>
        <x:v>3.657733126059421</x:v>
      </x:c>
      <x:c r="G39" s="138" t="n">
        <x:f>DGKC!E144</x:f>
        <x:v>2.479761249901864</x:v>
      </x:c>
      <x:c r="H39" s="138" t="n">
        <x:f>MLCF!E144</x:f>
        <x:v>2.6418827583195736</x:v>
      </x:c>
      <x:c r="I39" s="138" t="n">
        <x:f>FCCL!E144</x:f>
        <x:v>3.679828550986344</x:v>
      </x:c>
      <x:c r="J39" s="139" t="n">
        <x:f>IF(COUNT(E39:I39)=0,"n/m",AVERAGE(E39:I39))</x:f>
        <x:v>3.428067481367779</x:v>
      </x:c>
      <x:c r="K39" s="11" t="n">
        <x:f>COUNT(E39:I39)</x:f>
        <x:v>5</x:v>
      </x:c>
      <x:c r="L39" s="140" t="n">
        <x:f>IF(AND(ISNUMBER(E39),ISNUMBER(J39)),E39-J39,"n/m")</x:f>
        <x:v>1.253064240203913</x:v>
      </x:c>
      <x:c r="M39" s="140" t="n">
        <x:f>IF(COUNT(F39:I39)=0,"n/m",AVERAGE(F39:I39))</x:f>
        <x:v>3.114801421316801</x:v>
      </x:c>
      <x:c r="N39" s="140" t="n">
        <x:f>IF(COUNT(E39:I39)=0,"n/m",MEDIAN(E39:I39))</x:f>
        <x:v>3.657733126059421</x:v>
      </x:c>
      <x:c r="O39" s="11" t="str">
        <x:v>Higher</x:v>
      </x:c>
      <x:c r="P39" s="9" t="str">
        <x:f>IF(NOT(ISNUMBER(L39)),"n/m",IF(O39="Higher",IF(L39&gt;=0,"Above avg - favourable","Below avg - unfavourable"),IF(O39="Lower",IF(L39&lt;=0,"Below avg - favourable","Above avg - unfavourable"),IF(L39&gt;=0,"Above avg - context-dependent","Below avg - context-dependent"))))&amp;IF(K39&lt;5," (N="&amp;K39&amp;")","")</x:f>
        <x:v>Above avg - favourable</x:v>
      </x:c>
      <x:c r="Q39"/>
      <x:c r="R39" s="59" t="str">
        <x:f>IF(K39=0,"n/m",IF(ABS(J39-SUM(E39:I39)/K39)&lt;0.000000001,"OK","ERR"))</x:f>
        <x:v>OK</x:v>
      </x:c>
    </x:row>
    <x:row r="40" ht="15" hidden="0">
      <x:c r="A40"/>
      <x:c r="B40"/>
      <x:c r="C40" s="56" t="str">
        <x:v>Inventory turnover</x:v>
      </x:c>
      <x:c r="D40" s="11" t="str">
        <x:v>FY2023</x:v>
      </x:c>
      <x:c r="E40" s="138" t="n">
        <x:f>KOHC!F144</x:f>
        <x:v>4.275379143771386</x:v>
      </x:c>
      <x:c r="F40" s="138" t="n">
        <x:f>LUCK!F144</x:f>
        <x:v>3.6234818387767853</x:v>
      </x:c>
      <x:c r="G40" s="138" t="n">
        <x:f>DGKC!F144</x:f>
        <x:v>2.4352964976956684</x:v>
      </x:c>
      <x:c r="H40" s="138" t="n">
        <x:f>MLCF!F144</x:f>
        <x:v>2.991643999189634</x:v>
      </x:c>
      <x:c r="I40" s="138" t="n">
        <x:f>FCCL!F144</x:f>
        <x:v>3.0981941833220765</x:v>
      </x:c>
      <x:c r="J40" s="139" t="n">
        <x:f>IF(COUNT(E40:I40)=0,"n/m",AVERAGE(E40:I40))</x:f>
        <x:v>3.28479913255111</x:v>
      </x:c>
      <x:c r="K40" s="11" t="n">
        <x:f>COUNT(E40:I40)</x:f>
        <x:v>5</x:v>
      </x:c>
      <x:c r="L40" s="140" t="n">
        <x:f>IF(AND(ISNUMBER(E40),ISNUMBER(J40)),E40-J40,"n/m")</x:f>
        <x:v>0.9905800112202758</x:v>
      </x:c>
      <x:c r="M40" s="140" t="n">
        <x:f>IF(COUNT(F40:I40)=0,"n/m",AVERAGE(F40:I40))</x:f>
        <x:v>3.037154129746041</x:v>
      </x:c>
      <x:c r="N40" s="140" t="n">
        <x:f>IF(COUNT(E40:I40)=0,"n/m",MEDIAN(E40:I40))</x:f>
        <x:v>3.0981941833220765</x:v>
      </x:c>
      <x:c r="O40" s="11" t="str">
        <x:v>Higher</x:v>
      </x:c>
      <x:c r="P40" s="9" t="str">
        <x:f>IF(NOT(ISNUMBER(L40)),"n/m",IF(O40="Higher",IF(L40&gt;=0,"Above avg - favourable","Below avg - unfavourable"),IF(O40="Lower",IF(L40&lt;=0,"Below avg - favourable","Above avg - unfavourable"),IF(L40&gt;=0,"Above avg - context-dependent","Below avg - context-dependent"))))&amp;IF(K40&lt;5," (N="&amp;K40&amp;")","")</x:f>
        <x:v>Above avg - favourable</x:v>
      </x:c>
      <x:c r="Q40"/>
      <x:c r="R40" s="59" t="str">
        <x:f>IF(K40=0,"n/m",IF(ABS(J40-SUM(E40:I40)/K40)&lt;0.000000001,"OK","ERR"))</x:f>
        <x:v>OK</x:v>
      </x:c>
    </x:row>
    <x:row r="41" ht="15" hidden="0">
      <x:c r="A41"/>
      <x:c r="B41"/>
      <x:c r="C41" s="56" t="str">
        <x:v>Inventory turnover</x:v>
      </x:c>
      <x:c r="D41" s="11" t="str">
        <x:v>FY2024</x:v>
      </x:c>
      <x:c r="E41" s="138" t="n">
        <x:f>KOHC!G144</x:f>
        <x:v>3.5957369645110586</x:v>
      </x:c>
      <x:c r="F41" s="138" t="n">
        <x:f>LUCK!G144</x:f>
        <x:v>3.5401699550948362</x:v>
      </x:c>
      <x:c r="G41" s="138" t="n">
        <x:f>DGKC!G144</x:f>
        <x:v>2.583201095183174</x:v>
      </x:c>
      <x:c r="H41" s="138" t="n">
        <x:f>MLCF!G144</x:f>
        <x:v>3.101356599565812</x:v>
      </x:c>
      <x:c r="I41" s="138" t="n">
        <x:f>FCCL!G144</x:f>
        <x:v>3.4267755412065504</x:v>
      </x:c>
      <x:c r="J41" s="139" t="n">
        <x:f>IF(COUNT(E41:I41)=0,"n/m",AVERAGE(E41:I41))</x:f>
        <x:v>3.2494480311122858</x:v>
      </x:c>
      <x:c r="K41" s="11" t="n">
        <x:f>COUNT(E41:I41)</x:f>
        <x:v>5</x:v>
      </x:c>
      <x:c r="L41" s="140" t="n">
        <x:f>IF(AND(ISNUMBER(E41),ISNUMBER(J41)),E41-J41,"n/m")</x:f>
        <x:v>0.34628893339877287</x:v>
      </x:c>
      <x:c r="M41" s="140" t="n">
        <x:f>IF(COUNT(F41:I41)=0,"n/m",AVERAGE(F41:I41))</x:f>
        <x:v>3.162875797762593</x:v>
      </x:c>
      <x:c r="N41" s="140" t="n">
        <x:f>IF(COUNT(E41:I41)=0,"n/m",MEDIAN(E41:I41))</x:f>
        <x:v>3.4267755412065504</x:v>
      </x:c>
      <x:c r="O41" s="11" t="str">
        <x:v>Higher</x:v>
      </x:c>
      <x:c r="P41" s="9" t="str">
        <x:f>IF(NOT(ISNUMBER(L41)),"n/m",IF(O41="Higher",IF(L41&gt;=0,"Above avg - favourable","Below avg - unfavourable"),IF(O41="Lower",IF(L41&lt;=0,"Below avg - favourable","Above avg - unfavourable"),IF(L41&gt;=0,"Above avg - context-dependent","Below avg - context-dependent"))))&amp;IF(K41&lt;5," (N="&amp;K41&amp;")","")</x:f>
        <x:v>Above avg - favourable</x:v>
      </x:c>
      <x:c r="Q41"/>
      <x:c r="R41" s="59" t="str">
        <x:f>IF(K41=0,"n/m",IF(ABS(J41-SUM(E41:I41)/K41)&lt;0.000000001,"OK","ERR"))</x:f>
        <x:v>OK</x:v>
      </x:c>
    </x:row>
    <x:row r="42" ht="15" hidden="0">
      <x:c r="A42"/>
      <x:c r="B42"/>
      <x:c r="C42" s="56" t="str">
        <x:v>Inventory turnover</x:v>
      </x:c>
      <x:c r="D42" s="11" t="str">
        <x:v>FY2025</x:v>
      </x:c>
      <x:c r="E42" s="138" t="n">
        <x:f>KOHC!H144</x:f>
        <x:v>3.024880626442934</x:v>
      </x:c>
      <x:c r="F42" s="138" t="n">
        <x:f>LUCK!H144</x:f>
        <x:v>3.426094952590027</x:v>
      </x:c>
      <x:c r="G42" s="138" t="n">
        <x:f>DGKC!H144</x:f>
        <x:v>2.6203448800361673</x:v>
      </x:c>
      <x:c r="H42" s="138" t="n">
        <x:f>MLCF!H144</x:f>
        <x:v>2.786573287705566</x:v>
      </x:c>
      <x:c r="I42" s="138" t="n">
        <x:f>FCCL!H144</x:f>
        <x:v>3.1608830315846066</x:v>
      </x:c>
      <x:c r="J42" s="139" t="n">
        <x:f>IF(COUNT(E42:I42)=0,"n/m",AVERAGE(E42:I42))</x:f>
        <x:v>3.00375535567186</x:v>
      </x:c>
      <x:c r="K42" s="11" t="n">
        <x:f>COUNT(E42:I42)</x:f>
        <x:v>5</x:v>
      </x:c>
      <x:c r="L42" s="140" t="n">
        <x:f>IF(AND(ISNUMBER(E42),ISNUMBER(J42)),E42-J42,"n/m")</x:f>
        <x:v>0.021125270771074067</x:v>
      </x:c>
      <x:c r="M42" s="140" t="n">
        <x:f>IF(COUNT(F42:I42)=0,"n/m",AVERAGE(F42:I42))</x:f>
        <x:v>2.9984740379790917</x:v>
      </x:c>
      <x:c r="N42" s="140" t="n">
        <x:f>IF(COUNT(E42:I42)=0,"n/m",MEDIAN(E42:I42))</x:f>
        <x:v>3.024880626442934</x:v>
      </x:c>
      <x:c r="O42" s="11" t="str">
        <x:v>Higher</x:v>
      </x:c>
      <x:c r="P42" s="9" t="str">
        <x:f>IF(NOT(ISNUMBER(L42)),"n/m",IF(O42="Higher",IF(L42&gt;=0,"Above avg - favourable","Below avg - unfavourable"),IF(O42="Lower",IF(L42&lt;=0,"Below avg - favourable","Above avg - unfavourable"),IF(L42&gt;=0,"Above avg - context-dependent","Below avg - context-dependent"))))&amp;IF(K42&lt;5," (N="&amp;K42&amp;")","")</x:f>
        <x:v>Above avg - favourable</x:v>
      </x:c>
      <x:c r="Q42"/>
      <x:c r="R42" s="59" t="str">
        <x:f>IF(K42=0,"n/m",IF(ABS(J42-SUM(E42:I42)/K42)&lt;0.000000001,"OK","ERR"))</x:f>
        <x:v>OK</x:v>
      </x:c>
    </x:row>
    <x:row r="43" ht="15" hidden="0">
      <x:c r="A43" s="54" t="str">
        <x:v>Asset Management</x:v>
      </x:c>
      <x:c r="B43" s="25" t="n">
        <x:v>7</x:v>
      </x:c>
      <x:c r="C43" s="24" t="str">
        <x:v>7. Receivables turnover</x:v>
      </x:c>
      <x:c r="D43" s="25"/>
      <x:c r="E43" s="25"/>
      <x:c r="F43" s="25"/>
      <x:c r="G43" s="25"/>
      <x:c r="H43" s="25"/>
      <x:c r="I43" s="25"/>
      <x:c r="J43" s="25"/>
      <x:c r="K43" s="25"/>
      <x:c r="L43" s="25"/>
      <x:c r="M43" s="25"/>
      <x:c r="N43" s="25"/>
      <x:c r="O43" s="25"/>
      <x:c r="P43" s="25"/>
      <x:c r="Q43" s="55" t="s">
        <x:v>688</x:v>
      </x:c>
      <x:c r="R43" s="25"/>
    </x:row>
    <x:row r="44" ht="15" hidden="0">
      <x:c r="A44"/>
      <x:c r="B44"/>
      <x:c r="C44" s="56" t="str">
        <x:v>Receivables turnover</x:v>
      </x:c>
      <x:c r="D44" s="11" t="str">
        <x:v>FY2021</x:v>
      </x:c>
      <x:c r="E44" s="138" t="n">
        <x:f>KOHC!D145</x:f>
        <x:v>32.55652715218313</x:v>
      </x:c>
      <x:c r="F44" s="138" t="n">
        <x:f>LUCK!D145</x:f>
        <x:v>20.525799758937445</x:v>
      </x:c>
      <x:c r="G44" s="138" t="n">
        <x:f>DGKC!D145</x:f>
        <x:v>22.768270883109405</x:v>
      </x:c>
      <x:c r="H44" s="138" t="n">
        <x:f>MLCF!D145</x:f>
        <x:v>15.020941563038772</x:v>
      </x:c>
      <x:c r="I44" s="138" t="n">
        <x:f>FCCL!D145</x:f>
        <x:v>19.415164144242155</x:v>
      </x:c>
      <x:c r="J44" s="139" t="n">
        <x:f>IF(COUNT(E44:I44)=0,"n/m",AVERAGE(E44:I44))</x:f>
        <x:v>22.057340700302184</x:v>
      </x:c>
      <x:c r="K44" s="11" t="n">
        <x:f>COUNT(E44:I44)</x:f>
        <x:v>5</x:v>
      </x:c>
      <x:c r="L44" s="140" t="n">
        <x:f>IF(AND(ISNUMBER(E44),ISNUMBER(J44)),E44-J44,"n/m")</x:f>
        <x:v>10.499186451880945</x:v>
      </x:c>
      <x:c r="M44" s="140" t="n">
        <x:f>IF(COUNT(F44:I44)=0,"n/m",AVERAGE(F44:I44))</x:f>
        <x:v>19.432544087331944</x:v>
      </x:c>
      <x:c r="N44" s="140" t="n">
        <x:f>IF(COUNT(E44:I44)=0,"n/m",MEDIAN(E44:I44))</x:f>
        <x:v>20.525799758937445</x:v>
      </x:c>
      <x:c r="O44" s="11" t="str">
        <x:v>Higher</x:v>
      </x:c>
      <x:c r="P44" s="9" t="str">
        <x:f>IF(NOT(ISNUMBER(L44)),"n/m",IF(O44="Higher",IF(L44&gt;=0,"Above avg - favourable","Below avg - unfavourable"),IF(O44="Lower",IF(L44&lt;=0,"Below avg - favourable","Above avg - unfavourable"),IF(L44&gt;=0,"Above avg - context-dependent","Below avg - context-dependent"))))&amp;IF(K44&lt;5," (N="&amp;K44&amp;")","")</x:f>
        <x:v>Above avg - favourable</x:v>
      </x:c>
      <x:c r="Q44"/>
      <x:c r="R44" s="59" t="str">
        <x:f>IF(K44=0,"n/m",IF(ABS(J44-SUM(E44:I44)/K44)&lt;0.000000001,"OK","ERR"))</x:f>
        <x:v>OK</x:v>
      </x:c>
    </x:row>
    <x:row r="45" ht="15" hidden="0">
      <x:c r="A45"/>
      <x:c r="B45"/>
      <x:c r="C45" s="56" t="str">
        <x:v>Receivables turnover</x:v>
      </x:c>
      <x:c r="D45" s="11" t="str">
        <x:v>FY2022</x:v>
      </x:c>
      <x:c r="E45" s="138" t="n">
        <x:f>KOHC!E145</x:f>
        <x:v>34.61446204651397</x:v>
      </x:c>
      <x:c r="F45" s="138" t="n">
        <x:f>LUCK!E145</x:f>
        <x:v>26.020654219821807</x:v>
      </x:c>
      <x:c r="G45" s="138" t="n">
        <x:f>DGKC!E145</x:f>
        <x:v>36.92232039176783</x:v>
      </x:c>
      <x:c r="H45" s="138" t="n">
        <x:f>MLCF!E145</x:f>
        <x:v>25.905344380386534</x:v>
      </x:c>
      <x:c r="I45" s="138" t="n">
        <x:f>FCCL!E145</x:f>
        <x:v>28.088084014998095</x:v>
      </x:c>
      <x:c r="J45" s="139" t="n">
        <x:f>IF(COUNT(E45:I45)=0,"n/m",AVERAGE(E45:I45))</x:f>
        <x:v>30.31017301069765</x:v>
      </x:c>
      <x:c r="K45" s="11" t="n">
        <x:f>COUNT(E45:I45)</x:f>
        <x:v>5</x:v>
      </x:c>
      <x:c r="L45" s="140" t="n">
        <x:f>IF(AND(ISNUMBER(E45),ISNUMBER(J45)),E45-J45,"n/m")</x:f>
        <x:v>4.304289035816321</x:v>
      </x:c>
      <x:c r="M45" s="140" t="n">
        <x:f>IF(COUNT(F45:I45)=0,"n/m",AVERAGE(F45:I45))</x:f>
        <x:v>29.23410075174357</x:v>
      </x:c>
      <x:c r="N45" s="140" t="n">
        <x:f>IF(COUNT(E45:I45)=0,"n/m",MEDIAN(E45:I45))</x:f>
        <x:v>28.088084014998095</x:v>
      </x:c>
      <x:c r="O45" s="11" t="str">
        <x:v>Higher</x:v>
      </x:c>
      <x:c r="P45" s="9" t="str">
        <x:f>IF(NOT(ISNUMBER(L45)),"n/m",IF(O45="Higher",IF(L45&gt;=0,"Above avg - favourable","Below avg - unfavourable"),IF(O45="Lower",IF(L45&lt;=0,"Below avg - favourable","Above avg - unfavourable"),IF(L45&gt;=0,"Above avg - context-dependent","Below avg - context-dependent"))))&amp;IF(K45&lt;5," (N="&amp;K45&amp;")","")</x:f>
        <x:v>Above avg - favourable</x:v>
      </x:c>
      <x:c r="Q45"/>
      <x:c r="R45" s="59" t="str">
        <x:f>IF(K45=0,"n/m",IF(ABS(J45-SUM(E45:I45)/K45)&lt;0.000000001,"OK","ERR"))</x:f>
        <x:v>OK</x:v>
      </x:c>
    </x:row>
    <x:row r="46" ht="15" hidden="0">
      <x:c r="A46"/>
      <x:c r="B46"/>
      <x:c r="C46" s="56" t="str">
        <x:v>Receivables turnover</x:v>
      </x:c>
      <x:c r="D46" s="11" t="str">
        <x:v>FY2023</x:v>
      </x:c>
      <x:c r="E46" s="138" t="n">
        <x:f>KOHC!F145</x:f>
        <x:v>36.690956476472735</x:v>
      </x:c>
      <x:c r="F46" s="138" t="n">
        <x:f>LUCK!F145</x:f>
        <x:v>22.253946370189343</x:v>
      </x:c>
      <x:c r="G46" s="138" t="n">
        <x:f>DGKC!F145</x:f>
        <x:v>48.836111797909446</x:v>
      </x:c>
      <x:c r="H46" s="138" t="n">
        <x:f>MLCF!F145</x:f>
        <x:v>26.600659453629234</x:v>
      </x:c>
      <x:c r="I46" s="138" t="n">
        <x:f>FCCL!F145</x:f>
        <x:v>22.74585573789227</x:v>
      </x:c>
      <x:c r="J46" s="139" t="n">
        <x:f>IF(COUNT(E46:I46)=0,"n/m",AVERAGE(E46:I46))</x:f>
        <x:v>31.4255059672186</x:v>
      </x:c>
      <x:c r="K46" s="11" t="n">
        <x:f>COUNT(E46:I46)</x:f>
        <x:v>5</x:v>
      </x:c>
      <x:c r="L46" s="140" t="n">
        <x:f>IF(AND(ISNUMBER(E46),ISNUMBER(J46)),E46-J46,"n/m")</x:f>
        <x:v>5.2654505092541335</x:v>
      </x:c>
      <x:c r="M46" s="140" t="n">
        <x:f>IF(COUNT(F46:I46)=0,"n/m",AVERAGE(F46:I46))</x:f>
        <x:v>30.109143339905074</x:v>
      </x:c>
      <x:c r="N46" s="140" t="n">
        <x:f>IF(COUNT(E46:I46)=0,"n/m",MEDIAN(E46:I46))</x:f>
        <x:v>26.600659453629234</x:v>
      </x:c>
      <x:c r="O46" s="11" t="str">
        <x:v>Higher</x:v>
      </x:c>
      <x:c r="P46" s="9" t="str">
        <x:f>IF(NOT(ISNUMBER(L46)),"n/m",IF(O46="Higher",IF(L46&gt;=0,"Above avg - favourable","Below avg - unfavourable"),IF(O46="Lower",IF(L46&lt;=0,"Below avg - favourable","Above avg - unfavourable"),IF(L46&gt;=0,"Above avg - context-dependent","Below avg - context-dependent"))))&amp;IF(K46&lt;5," (N="&amp;K46&amp;")","")</x:f>
        <x:v>Above avg - favourable</x:v>
      </x:c>
      <x:c r="Q46"/>
      <x:c r="R46" s="59" t="str">
        <x:f>IF(K46=0,"n/m",IF(ABS(J46-SUM(E46:I46)/K46)&lt;0.000000001,"OK","ERR"))</x:f>
        <x:v>OK</x:v>
      </x:c>
    </x:row>
    <x:row r="47" ht="15" hidden="0">
      <x:c r="A47"/>
      <x:c r="B47"/>
      <x:c r="C47" s="56" t="str">
        <x:v>Receivables turnover</x:v>
      </x:c>
      <x:c r="D47" s="11" t="str">
        <x:v>FY2024</x:v>
      </x:c>
      <x:c r="E47" s="138" t="n">
        <x:f>KOHC!G145</x:f>
        <x:v>23.311269128267483</x:v>
      </x:c>
      <x:c r="F47" s="138" t="n">
        <x:f>LUCK!G145</x:f>
        <x:v>19.185416979630755</x:v>
      </x:c>
      <x:c r="G47" s="138" t="n">
        <x:f>DGKC!G145</x:f>
        <x:v>64.45370786977438</x:v>
      </x:c>
      <x:c r="H47" s="138" t="n">
        <x:f>MLCF!G145</x:f>
        <x:v>19.574371293114748</x:v>
      </x:c>
      <x:c r="I47" s="138" t="n">
        <x:f>FCCL!G145</x:f>
        <x:v>17.554064923929165</x:v>
      </x:c>
      <x:c r="J47" s="139" t="n">
        <x:f>IF(COUNT(E47:I47)=0,"n/m",AVERAGE(E47:I47))</x:f>
        <x:v>28.81576603894331</x:v>
      </x:c>
      <x:c r="K47" s="11" t="n">
        <x:f>COUNT(E47:I47)</x:f>
        <x:v>5</x:v>
      </x:c>
      <x:c r="L47" s="140" t="n">
        <x:f>IF(AND(ISNUMBER(E47),ISNUMBER(J47)),E47-J47,"n/m")</x:f>
        <x:v>-5.504496910675826</x:v>
      </x:c>
      <x:c r="M47" s="140" t="n">
        <x:f>IF(COUNT(F47:I47)=0,"n/m",AVERAGE(F47:I47))</x:f>
        <x:v>30.191890266612262</x:v>
      </x:c>
      <x:c r="N47" s="140" t="n">
        <x:f>IF(COUNT(E47:I47)=0,"n/m",MEDIAN(E47:I47))</x:f>
        <x:v>19.574371293114748</x:v>
      </x:c>
      <x:c r="O47" s="11" t="str">
        <x:v>Higher</x:v>
      </x:c>
      <x:c r="P47" s="9" t="str">
        <x:f>IF(NOT(ISNUMBER(L47)),"n/m",IF(O47="Higher",IF(L47&gt;=0,"Above avg - favourable","Below avg - unfavourable"),IF(O47="Lower",IF(L47&lt;=0,"Below avg - favourable","Above avg - unfavourable"),IF(L47&gt;=0,"Above avg - context-dependent","Below avg - context-dependent"))))&amp;IF(K47&lt;5," (N="&amp;K47&amp;")","")</x:f>
        <x:v>Below avg - unfavourable</x:v>
      </x:c>
      <x:c r="Q47"/>
      <x:c r="R47" s="59" t="str">
        <x:f>IF(K47=0,"n/m",IF(ABS(J47-SUM(E47:I47)/K47)&lt;0.000000001,"OK","ERR"))</x:f>
        <x:v>OK</x:v>
      </x:c>
    </x:row>
    <x:row r="48" ht="15" hidden="0">
      <x:c r="A48"/>
      <x:c r="B48"/>
      <x:c r="C48" s="56" t="str">
        <x:v>Receivables turnover</x:v>
      </x:c>
      <x:c r="D48" s="11" t="str">
        <x:v>FY2025</x:v>
      </x:c>
      <x:c r="E48" s="138" t="n">
        <x:f>KOHC!H145</x:f>
        <x:v>19.742821104933064</x:v>
      </x:c>
      <x:c r="F48" s="138" t="n">
        <x:f>LUCK!H145</x:f>
        <x:v>18.743761644592638</x:v>
      </x:c>
      <x:c r="G48" s="138" t="n">
        <x:f>DGKC!H145</x:f>
        <x:v>61.21607937936548</x:v>
      </x:c>
      <x:c r="H48" s="138" t="n">
        <x:f>MLCF!H145</x:f>
        <x:v>15.67064847793373</x:v>
      </x:c>
      <x:c r="I48" s="138" t="n">
        <x:f>FCCL!H145</x:f>
        <x:v>14.28264409693107</x:v>
      </x:c>
      <x:c r="J48" s="139" t="n">
        <x:f>IF(COUNT(E48:I48)=0,"n/m",AVERAGE(E48:I48))</x:f>
        <x:v>25.931190940751197</x:v>
      </x:c>
      <x:c r="K48" s="11" t="n">
        <x:f>COUNT(E48:I48)</x:f>
        <x:v>5</x:v>
      </x:c>
      <x:c r="L48" s="140" t="n">
        <x:f>IF(AND(ISNUMBER(E48),ISNUMBER(J48)),E48-J48,"n/m")</x:f>
        <x:v>-6.188369835818133</x:v>
      </x:c>
      <x:c r="M48" s="140" t="n">
        <x:f>IF(COUNT(F48:I48)=0,"n/m",AVERAGE(F48:I48))</x:f>
        <x:v>27.478283399705727</x:v>
      </x:c>
      <x:c r="N48" s="140" t="n">
        <x:f>IF(COUNT(E48:I48)=0,"n/m",MEDIAN(E48:I48))</x:f>
        <x:v>18.743761644592638</x:v>
      </x:c>
      <x:c r="O48" s="11" t="str">
        <x:v>Higher</x:v>
      </x:c>
      <x:c r="P48" s="9" t="str">
        <x:f>IF(NOT(ISNUMBER(L48)),"n/m",IF(O48="Higher",IF(L48&gt;=0,"Above avg - favourable","Below avg - unfavourable"),IF(O48="Lower",IF(L48&lt;=0,"Below avg - favourable","Above avg - unfavourable"),IF(L48&gt;=0,"Above avg - context-dependent","Below avg - context-dependent"))))&amp;IF(K48&lt;5," (N="&amp;K48&amp;")","")</x:f>
        <x:v>Below avg - unfavourable</x:v>
      </x:c>
      <x:c r="Q48"/>
      <x:c r="R48" s="59" t="str">
        <x:f>IF(K48=0,"n/m",IF(ABS(J48-SUM(E48:I48)/K48)&lt;0.000000001,"OK","ERR"))</x:f>
        <x:v>OK</x:v>
      </x:c>
    </x:row>
    <x:row r="49" ht="15" hidden="0">
      <x:c r="A49" s="54" t="str">
        <x:v>Asset Management</x:v>
      </x:c>
      <x:c r="B49" s="25" t="n">
        <x:v>8</x:v>
      </x:c>
      <x:c r="C49" s="24" t="str">
        <x:v>8. Payables turnover</x:v>
      </x:c>
      <x:c r="D49" s="25"/>
      <x:c r="E49" s="25"/>
      <x:c r="F49" s="25"/>
      <x:c r="G49" s="25"/>
      <x:c r="H49" s="25"/>
      <x:c r="I49" s="25"/>
      <x:c r="J49" s="25"/>
      <x:c r="K49" s="25"/>
      <x:c r="L49" s="25"/>
      <x:c r="M49" s="25"/>
      <x:c r="N49" s="25"/>
      <x:c r="O49" s="25"/>
      <x:c r="P49" s="25"/>
      <x:c r="Q49" s="55" t="s">
        <x:v>689</x:v>
      </x:c>
      <x:c r="R49" s="25"/>
    </x:row>
    <x:row r="50" ht="15" hidden="0">
      <x:c r="A50"/>
      <x:c r="B50"/>
      <x:c r="C50" s="56" t="str">
        <x:v>Payables turnover</x:v>
      </x:c>
      <x:c r="D50" s="11" t="str">
        <x:v>FY2021</x:v>
      </x:c>
      <x:c r="E50" s="138" t="n">
        <x:f>KOHC!D146</x:f>
        <x:v>13.672632178905467</x:v>
      </x:c>
      <x:c r="F50" s="138" t="n">
        <x:f>LUCK!D146</x:f>
        <x:v>16.04782473542995</x:v>
      </x:c>
      <x:c r="G50" s="138" t="n">
        <x:f>DGKC!D146</x:f>
        <x:v>6.330391634867254</x:v>
      </x:c>
      <x:c r="H50" s="138" t="n">
        <x:f>MLCF!D146</x:f>
        <x:v>7.260214629237185</x:v>
      </x:c>
      <x:c r="I50" s="138" t="n">
        <x:f>FCCL!D146</x:f>
        <x:v>29.905586617872185</x:v>
      </x:c>
      <x:c r="J50" s="139" t="n">
        <x:f>IF(COUNT(E50:I50)=0,"n/m",AVERAGE(E50:I50))</x:f>
        <x:v>14.643329959262408</x:v>
      </x:c>
      <x:c r="K50" s="11" t="n">
        <x:f>COUNT(E50:I50)</x:f>
        <x:v>5</x:v>
      </x:c>
      <x:c r="L50" s="140" t="n">
        <x:f>IF(AND(ISNUMBER(E50),ISNUMBER(J50)),E50-J50,"n/m")</x:f>
        <x:v>-0.9706977803569412</x:v>
      </x:c>
      <x:c r="M50" s="140" t="n">
        <x:f>IF(COUNT(F50:I50)=0,"n/m",AVERAGE(F50:I50))</x:f>
        <x:v>14.886004404351644</x:v>
      </x:c>
      <x:c r="N50" s="140" t="n">
        <x:f>IF(COUNT(E50:I50)=0,"n/m",MEDIAN(E50:I50))</x:f>
        <x:v>13.672632178905467</x:v>
      </x:c>
      <x:c r="O50" s="11" t="str">
        <x:v>Context</x:v>
      </x:c>
      <x:c r="P50" s="9" t="str">
        <x:f>IF(NOT(ISNUMBER(L50)),"n/m",IF(O50="Higher",IF(L50&gt;=0,"Above avg - favourable","Below avg - unfavourable"),IF(O50="Lower",IF(L50&lt;=0,"Below avg - favourable","Above avg - unfavourable"),IF(L50&gt;=0,"Above avg - context-dependent","Below avg - context-dependent"))))&amp;IF(K50&lt;5," (N="&amp;K50&amp;")","")</x:f>
        <x:v>Below avg - context-dependent</x:v>
      </x:c>
      <x:c r="Q50"/>
      <x:c r="R50" s="59" t="str">
        <x:f>IF(K50=0,"n/m",IF(ABS(J50-SUM(E50:I50)/K50)&lt;0.000000001,"OK","ERR"))</x:f>
        <x:v>OK</x:v>
      </x:c>
    </x:row>
    <x:row r="51" ht="15" hidden="0">
      <x:c r="A51"/>
      <x:c r="B51"/>
      <x:c r="C51" s="56" t="str">
        <x:v>Payables turnover</x:v>
      </x:c>
      <x:c r="D51" s="11" t="str">
        <x:v>FY2022</x:v>
      </x:c>
      <x:c r="E51" s="138" t="n">
        <x:f>KOHC!E146</x:f>
        <x:v>16.26188152658038</x:v>
      </x:c>
      <x:c r="F51" s="138" t="n">
        <x:f>LUCK!E146</x:f>
        <x:v>18.777106060975406</x:v>
      </x:c>
      <x:c r="G51" s="138" t="n">
        <x:f>DGKC!E146</x:f>
        <x:v>8.467367491855711</x:v>
      </x:c>
      <x:c r="H51" s="138" t="n">
        <x:f>MLCF!E146</x:f>
        <x:v>9.432516250291641</x:v>
      </x:c>
      <x:c r="I51" s="138" t="n">
        <x:f>FCCL!E146</x:f>
        <x:v>21.870744516457957</x:v>
      </x:c>
      <x:c r="J51" s="139" t="n">
        <x:f>IF(COUNT(E51:I51)=0,"n/m",AVERAGE(E51:I51))</x:f>
        <x:v>14.961923169232218</x:v>
      </x:c>
      <x:c r="K51" s="11" t="n">
        <x:f>COUNT(E51:I51)</x:f>
        <x:v>5</x:v>
      </x:c>
      <x:c r="L51" s="140" t="n">
        <x:f>IF(AND(ISNUMBER(E51),ISNUMBER(J51)),E51-J51,"n/m")</x:f>
        <x:v>1.2999583573481637</x:v>
      </x:c>
      <x:c r="M51" s="140" t="n">
        <x:f>IF(COUNT(F51:I51)=0,"n/m",AVERAGE(F51:I51))</x:f>
        <x:v>14.636933579895178</x:v>
      </x:c>
      <x:c r="N51" s="140" t="n">
        <x:f>IF(COUNT(E51:I51)=0,"n/m",MEDIAN(E51:I51))</x:f>
        <x:v>16.26188152658038</x:v>
      </x:c>
      <x:c r="O51" s="11" t="str">
        <x:v>Context</x:v>
      </x:c>
      <x:c r="P51" s="9" t="str">
        <x:f>IF(NOT(ISNUMBER(L51)),"n/m",IF(O51="Higher",IF(L51&gt;=0,"Above avg - favourable","Below avg - unfavourable"),IF(O51="Lower",IF(L51&lt;=0,"Below avg - favourable","Above avg - unfavourable"),IF(L51&gt;=0,"Above avg - context-dependent","Below avg - context-dependent"))))&amp;IF(K51&lt;5," (N="&amp;K51&amp;")","")</x:f>
        <x:v>Above avg - context-dependent</x:v>
      </x:c>
      <x:c r="Q51"/>
      <x:c r="R51" s="59" t="str">
        <x:f>IF(K51=0,"n/m",IF(ABS(J51-SUM(E51:I51)/K51)&lt;0.000000001,"OK","ERR"))</x:f>
        <x:v>OK</x:v>
      </x:c>
    </x:row>
    <x:row r="52" ht="15" hidden="0">
      <x:c r="A52"/>
      <x:c r="B52"/>
      <x:c r="C52" s="56" t="str">
        <x:v>Payables turnover</x:v>
      </x:c>
      <x:c r="D52" s="11" t="str">
        <x:v>FY2023</x:v>
      </x:c>
      <x:c r="E52" s="138" t="n">
        <x:f>KOHC!F146</x:f>
        <x:v>29.126311219807445</x:v>
      </x:c>
      <x:c r="F52" s="138" t="n">
        <x:f>LUCK!F146</x:f>
        <x:v>16.644862602259856</x:v>
      </x:c>
      <x:c r="G52" s="138" t="n">
        <x:f>DGKC!F146</x:f>
        <x:v>10.657952462664126</x:v>
      </x:c>
      <x:c r="H52" s="138" t="n">
        <x:f>MLCF!F146</x:f>
        <x:v>8.141646254708599</x:v>
      </x:c>
      <x:c r="I52" s="138" t="n">
        <x:f>FCCL!F146</x:f>
        <x:v>17.959235676951813</x:v>
      </x:c>
      <x:c r="J52" s="139" t="n">
        <x:f>IF(COUNT(E52:I52)=0,"n/m",AVERAGE(E52:I52))</x:f>
        <x:v>16.50600164327837</x:v>
      </x:c>
      <x:c r="K52" s="11" t="n">
        <x:f>COUNT(E52:I52)</x:f>
        <x:v>5</x:v>
      </x:c>
      <x:c r="L52" s="140" t="n">
        <x:f>IF(AND(ISNUMBER(E52),ISNUMBER(J52)),E52-J52,"n/m")</x:f>
        <x:v>12.620309576529074</x:v>
      </x:c>
      <x:c r="M52" s="140" t="n">
        <x:f>IF(COUNT(F52:I52)=0,"n/m",AVERAGE(F52:I52))</x:f>
        <x:v>13.350924249146098</x:v>
      </x:c>
      <x:c r="N52" s="140" t="n">
        <x:f>IF(COUNT(E52:I52)=0,"n/m",MEDIAN(E52:I52))</x:f>
        <x:v>16.644862602259856</x:v>
      </x:c>
      <x:c r="O52" s="11" t="str">
        <x:v>Context</x:v>
      </x:c>
      <x:c r="P52" s="9" t="str">
        <x:f>IF(NOT(ISNUMBER(L52)),"n/m",IF(O52="Higher",IF(L52&gt;=0,"Above avg - favourable","Below avg - unfavourable"),IF(O52="Lower",IF(L52&lt;=0,"Below avg - favourable","Above avg - unfavourable"),IF(L52&gt;=0,"Above avg - context-dependent","Below avg - context-dependent"))))&amp;IF(K52&lt;5," (N="&amp;K52&amp;")","")</x:f>
        <x:v>Above avg - context-dependent</x:v>
      </x:c>
      <x:c r="Q52"/>
      <x:c r="R52" s="59" t="str">
        <x:f>IF(K52=0,"n/m",IF(ABS(J52-SUM(E52:I52)/K52)&lt;0.000000001,"OK","ERR"))</x:f>
        <x:v>OK</x:v>
      </x:c>
    </x:row>
    <x:row r="53" ht="15" hidden="0">
      <x:c r="A53"/>
      <x:c r="B53"/>
      <x:c r="C53" s="56" t="str">
        <x:v>Payables turnover</x:v>
      </x:c>
      <x:c r="D53" s="11" t="str">
        <x:v>FY2024</x:v>
      </x:c>
      <x:c r="E53" s="138" t="n">
        <x:f>KOHC!G146</x:f>
        <x:v>22.3044994512903</x:v>
      </x:c>
      <x:c r="F53" s="138" t="n">
        <x:f>LUCK!G146</x:f>
        <x:v>12.541557640159668</x:v>
      </x:c>
      <x:c r="G53" s="138" t="n">
        <x:f>DGKC!G146</x:f>
        <x:v>9.58994930634071</x:v>
      </x:c>
      <x:c r="H53" s="138" t="n">
        <x:f>MLCF!G146</x:f>
        <x:v>7.535611628959118</x:v>
      </x:c>
      <x:c r="I53" s="138" t="n">
        <x:f>FCCL!G146</x:f>
        <x:v>20.3161719818632</x:v>
      </x:c>
      <x:c r="J53" s="139" t="n">
        <x:f>IF(COUNT(E53:I53)=0,"n/m",AVERAGE(E53:I53))</x:f>
        <x:v>14.4575580017226</x:v>
      </x:c>
      <x:c r="K53" s="11" t="n">
        <x:f>COUNT(E53:I53)</x:f>
        <x:v>5</x:v>
      </x:c>
      <x:c r="L53" s="140" t="n">
        <x:f>IF(AND(ISNUMBER(E53),ISNUMBER(J53)),E53-J53,"n/m")</x:f>
        <x:v>7.8469414495677015</x:v>
      </x:c>
      <x:c r="M53" s="140" t="n">
        <x:f>IF(COUNT(F53:I53)=0,"n/m",AVERAGE(F53:I53))</x:f>
        <x:v>12.495822639330674</x:v>
      </x:c>
      <x:c r="N53" s="140" t="n">
        <x:f>IF(COUNT(E53:I53)=0,"n/m",MEDIAN(E53:I53))</x:f>
        <x:v>12.541557640159668</x:v>
      </x:c>
      <x:c r="O53" s="11" t="str">
        <x:v>Context</x:v>
      </x:c>
      <x:c r="P53" s="9" t="str">
        <x:f>IF(NOT(ISNUMBER(L53)),"n/m",IF(O53="Higher",IF(L53&gt;=0,"Above avg - favourable","Below avg - unfavourable"),IF(O53="Lower",IF(L53&lt;=0,"Below avg - favourable","Above avg - unfavourable"),IF(L53&gt;=0,"Above avg - context-dependent","Below avg - context-dependent"))))&amp;IF(K53&lt;5," (N="&amp;K53&amp;")","")</x:f>
        <x:v>Above avg - context-dependent</x:v>
      </x:c>
      <x:c r="Q53"/>
      <x:c r="R53" s="59" t="str">
        <x:f>IF(K53=0,"n/m",IF(ABS(J53-SUM(E53:I53)/K53)&lt;0.000000001,"OK","ERR"))</x:f>
        <x:v>OK</x:v>
      </x:c>
    </x:row>
    <x:row r="54" ht="15" hidden="0">
      <x:c r="A54"/>
      <x:c r="B54"/>
      <x:c r="C54" s="56" t="str">
        <x:v>Payables turnover</x:v>
      </x:c>
      <x:c r="D54" s="11" t="str">
        <x:v>FY2025</x:v>
      </x:c>
      <x:c r="E54" s="138" t="n">
        <x:f>KOHC!H146</x:f>
        <x:v>11.733886186566796</x:v>
      </x:c>
      <x:c r="F54" s="138" t="n">
        <x:f>LUCK!H146</x:f>
        <x:v>12.034170742972393</x:v>
      </x:c>
      <x:c r="G54" s="138" t="n">
        <x:f>DGKC!H146</x:f>
        <x:v>11.93424527818953</x:v>
      </x:c>
      <x:c r="H54" s="138" t="n">
        <x:f>MLCF!H146</x:f>
        <x:v>7.106573052099677</x:v>
      </x:c>
      <x:c r="I54" s="138" t="n">
        <x:f>FCCL!H146</x:f>
        <x:v>24.107258331311616</x:v>
      </x:c>
      <x:c r="J54" s="139" t="n">
        <x:f>IF(COUNT(E54:I54)=0,"n/m",AVERAGE(E54:I54))</x:f>
        <x:v>13.383226718228002</x:v>
      </x:c>
      <x:c r="K54" s="11" t="n">
        <x:f>COUNT(E54:I54)</x:f>
        <x:v>5</x:v>
      </x:c>
      <x:c r="L54" s="140" t="n">
        <x:f>IF(AND(ISNUMBER(E54),ISNUMBER(J54)),E54-J54,"n/m")</x:f>
        <x:v>-1.6493405316612062</x:v>
      </x:c>
      <x:c r="M54" s="140" t="n">
        <x:f>IF(COUNT(F54:I54)=0,"n/m",AVERAGE(F54:I54))</x:f>
        <x:v>13.795561851143304</x:v>
      </x:c>
      <x:c r="N54" s="140" t="n">
        <x:f>IF(COUNT(E54:I54)=0,"n/m",MEDIAN(E54:I54))</x:f>
        <x:v>11.93424527818953</x:v>
      </x:c>
      <x:c r="O54" s="11" t="str">
        <x:v>Context</x:v>
      </x:c>
      <x:c r="P54" s="9" t="str">
        <x:f>IF(NOT(ISNUMBER(L54)),"n/m",IF(O54="Higher",IF(L54&gt;=0,"Above avg - favourable","Below avg - unfavourable"),IF(O54="Lower",IF(L54&lt;=0,"Below avg - favourable","Above avg - unfavourable"),IF(L54&gt;=0,"Above avg - context-dependent","Below avg - context-dependent"))))&amp;IF(K54&lt;5," (N="&amp;K54&amp;")","")</x:f>
        <x:v>Below avg - context-dependent</x:v>
      </x:c>
      <x:c r="Q54"/>
      <x:c r="R54" s="59" t="str">
        <x:f>IF(K54=0,"n/m",IF(ABS(J54-SUM(E54:I54)/K54)&lt;0.000000001,"OK","ERR"))</x:f>
        <x:v>OK</x:v>
      </x:c>
    </x:row>
    <x:row r="55" ht="15" hidden="0">
      <x:c r="A55" s="54" t="str">
        <x:v>Asset Management</x:v>
      </x:c>
      <x:c r="B55" s="25" t="n">
        <x:v>9</x:v>
      </x:c>
      <x:c r="C55" s="24" t="str">
        <x:v>9. Days inventory outstanding</x:v>
      </x:c>
      <x:c r="D55" s="25"/>
      <x:c r="E55" s="25"/>
      <x:c r="F55" s="25"/>
      <x:c r="G55" s="25"/>
      <x:c r="H55" s="25"/>
      <x:c r="I55" s="25"/>
      <x:c r="J55" s="25"/>
      <x:c r="K55" s="25"/>
      <x:c r="L55" s="25"/>
      <x:c r="M55" s="25"/>
      <x:c r="N55" s="25"/>
      <x:c r="O55" s="25"/>
      <x:c r="P55" s="25"/>
      <x:c r="Q55" s="55"/>
      <x:c r="R55" s="25"/>
    </x:row>
    <x:row r="56" ht="15" hidden="0">
      <x:c r="A56"/>
      <x:c r="B56"/>
      <x:c r="C56" s="56" t="str">
        <x:v>Days inventory outstanding</x:v>
      </x:c>
      <x:c r="D56" s="11" t="str">
        <x:v>FY2021</x:v>
      </x:c>
      <x:c r="E56" s="144" t="n">
        <x:f>KOHC!D147</x:f>
        <x:v>75.14774353157878</x:v>
      </x:c>
      <x:c r="F56" s="144" t="n">
        <x:f>LUCK!D147</x:f>
        <x:v>95.70990667632485</x:v>
      </x:c>
      <x:c r="G56" s="144" t="n">
        <x:f>DGKC!D147</x:f>
        <x:v>138.95483675010863</x:v>
      </x:c>
      <x:c r="H56" s="144" t="n">
        <x:f>MLCF!D147</x:f>
        <x:v>143.11726813096334</x:v>
      </x:c>
      <x:c r="I56" s="144" t="n">
        <x:f>FCCL!D147</x:f>
        <x:v>101.57512558439446</x:v>
      </x:c>
      <x:c r="J56" s="145" t="n">
        <x:f>IF(COUNT(E56:I56)=0,"n/m",AVERAGE(E56:I56))</x:f>
        <x:v>110.90097613467401</x:v>
      </x:c>
      <x:c r="K56" s="11" t="n">
        <x:f>COUNT(E56:I56)</x:f>
        <x:v>5</x:v>
      </x:c>
      <x:c r="L56" s="146" t="n">
        <x:f>IF(AND(ISNUMBER(E56),ISNUMBER(J56)),E56-J56,"n/m")</x:f>
        <x:v>-35.75323260309523</x:v>
      </x:c>
      <x:c r="M56" s="146" t="n">
        <x:f>IF(COUNT(F56:I56)=0,"n/m",AVERAGE(F56:I56))</x:f>
        <x:v>119.83928428544782</x:v>
      </x:c>
      <x:c r="N56" s="146" t="n">
        <x:f>IF(COUNT(E56:I56)=0,"n/m",MEDIAN(E56:I56))</x:f>
        <x:v>101.57512558439446</x:v>
      </x:c>
      <x:c r="O56" s="11" t="str">
        <x:v>Lower</x:v>
      </x:c>
      <x:c r="P56" s="9" t="str">
        <x:f>IF(NOT(ISNUMBER(L56)),"n/m",IF(O56="Higher",IF(L56&gt;=0,"Above avg - favourable","Below avg - unfavourable"),IF(O56="Lower",IF(L56&lt;=0,"Below avg - favourable","Above avg - unfavourable"),IF(L56&gt;=0,"Above avg - context-dependent","Below avg - context-dependent"))))&amp;IF(K56&lt;5," (N="&amp;K56&amp;")","")</x:f>
        <x:v>Below avg - favourable</x:v>
      </x:c>
      <x:c r="Q56"/>
      <x:c r="R56" s="59" t="str">
        <x:f>IF(K56=0,"n/m",IF(ABS(J56-SUM(E56:I56)/K56)&lt;0.000000001,"OK","ERR"))</x:f>
        <x:v>OK</x:v>
      </x:c>
    </x:row>
    <x:row r="57" ht="15" hidden="0">
      <x:c r="A57"/>
      <x:c r="B57"/>
      <x:c r="C57" s="56" t="str">
        <x:v>Days inventory outstanding</x:v>
      </x:c>
      <x:c r="D57" s="11" t="str">
        <x:v>FY2022</x:v>
      </x:c>
      <x:c r="E57" s="144" t="n">
        <x:f>KOHC!E147</x:f>
        <x:v>77.97259759173176</x:v>
      </x:c>
      <x:c r="F57" s="144" t="n">
        <x:f>LUCK!E147</x:f>
        <x:v>99.78858145761573</x:v>
      </x:c>
      <x:c r="G57" s="144" t="n">
        <x:f>DGKC!E147</x:f>
        <x:v>147.19158951872677</x:v>
      </x:c>
      <x:c r="H57" s="144" t="n">
        <x:f>MLCF!E147</x:f>
        <x:v>138.1590454196257</x:v>
      </x:c>
      <x:c r="I57" s="144" t="n">
        <x:f>FCCL!E147</x:f>
        <x:v>99.189403784088</x:v>
      </x:c>
      <x:c r="J57" s="145" t="n">
        <x:f>IF(COUNT(E57:I57)=0,"n/m",AVERAGE(E57:I57))</x:f>
        <x:v>112.46024355435759</x:v>
      </x:c>
      <x:c r="K57" s="11" t="n">
        <x:f>COUNT(E57:I57)</x:f>
        <x:v>5</x:v>
      </x:c>
      <x:c r="L57" s="146" t="n">
        <x:f>IF(AND(ISNUMBER(E57),ISNUMBER(J57)),E57-J57,"n/m")</x:f>
        <x:v>-34.487645962625834</x:v>
      </x:c>
      <x:c r="M57" s="146" t="n">
        <x:f>IF(COUNT(F57:I57)=0,"n/m",AVERAGE(F57:I57))</x:f>
        <x:v>121.08215504501405</x:v>
      </x:c>
      <x:c r="N57" s="146" t="n">
        <x:f>IF(COUNT(E57:I57)=0,"n/m",MEDIAN(E57:I57))</x:f>
        <x:v>99.78858145761573</x:v>
      </x:c>
      <x:c r="O57" s="11" t="str">
        <x:v>Lower</x:v>
      </x:c>
      <x:c r="P57" s="9" t="str">
        <x:f>IF(NOT(ISNUMBER(L57)),"n/m",IF(O57="Higher",IF(L57&gt;=0,"Above avg - favourable","Below avg - unfavourable"),IF(O57="Lower",IF(L57&lt;=0,"Below avg - favourable","Above avg - unfavourable"),IF(L57&gt;=0,"Above avg - context-dependent","Below avg - context-dependent"))))&amp;IF(K57&lt;5," (N="&amp;K57&amp;")","")</x:f>
        <x:v>Below avg - favourable</x:v>
      </x:c>
      <x:c r="Q57"/>
      <x:c r="R57" s="59" t="str">
        <x:f>IF(K57=0,"n/m",IF(ABS(J57-SUM(E57:I57)/K57)&lt;0.000000001,"OK","ERR"))</x:f>
        <x:v>OK</x:v>
      </x:c>
    </x:row>
    <x:row r="58" ht="15" hidden="0">
      <x:c r="A58"/>
      <x:c r="B58"/>
      <x:c r="C58" s="56" t="str">
        <x:v>Days inventory outstanding</x:v>
      </x:c>
      <x:c r="D58" s="11" t="str">
        <x:v>FY2023</x:v>
      </x:c>
      <x:c r="E58" s="144" t="n">
        <x:f>KOHC!F147</x:f>
        <x:v>85.37254538740795</x:v>
      </x:c>
      <x:c r="F58" s="144" t="n">
        <x:f>LUCK!F147</x:f>
        <x:v>100.73184197970664</x:v>
      </x:c>
      <x:c r="G58" s="144" t="n">
        <x:f>DGKC!F147</x:f>
        <x:v>149.87908057411946</x:v>
      </x:c>
      <x:c r="H58" s="144" t="n">
        <x:f>MLCF!F147</x:f>
        <x:v>122.0064954583065</x:v>
      </x:c>
      <x:c r="I58" s="144" t="n">
        <x:f>FCCL!F147</x:f>
        <x:v>117.81056267061489</x:v>
      </x:c>
      <x:c r="J58" s="145" t="n">
        <x:f>IF(COUNT(E58:I58)=0,"n/m",AVERAGE(E58:I58))</x:f>
        <x:v>115.16010521403109</x:v>
      </x:c>
      <x:c r="K58" s="11" t="n">
        <x:f>COUNT(E58:I58)</x:f>
        <x:v>5</x:v>
      </x:c>
      <x:c r="L58" s="146" t="n">
        <x:f>IF(AND(ISNUMBER(E58),ISNUMBER(J58)),E58-J58,"n/m")</x:f>
        <x:v>-29.787559826623138</x:v>
      </x:c>
      <x:c r="M58" s="146" t="n">
        <x:f>IF(COUNT(F58:I58)=0,"n/m",AVERAGE(F58:I58))</x:f>
        <x:v>122.60699517068687</x:v>
      </x:c>
      <x:c r="N58" s="146" t="n">
        <x:f>IF(COUNT(E58:I58)=0,"n/m",MEDIAN(E58:I58))</x:f>
        <x:v>117.81056267061489</x:v>
      </x:c>
      <x:c r="O58" s="11" t="str">
        <x:v>Lower</x:v>
      </x:c>
      <x:c r="P58" s="9" t="str">
        <x:f>IF(NOT(ISNUMBER(L58)),"n/m",IF(O58="Higher",IF(L58&gt;=0,"Above avg - favourable","Below avg - unfavourable"),IF(O58="Lower",IF(L58&lt;=0,"Below avg - favourable","Above avg - unfavourable"),IF(L58&gt;=0,"Above avg - context-dependent","Below avg - context-dependent"))))&amp;IF(K58&lt;5," (N="&amp;K58&amp;")","")</x:f>
        <x:v>Below avg - favourable</x:v>
      </x:c>
      <x:c r="Q58"/>
      <x:c r="R58" s="59" t="str">
        <x:f>IF(K58=0,"n/m",IF(ABS(J58-SUM(E58:I58)/K58)&lt;0.000000001,"OK","ERR"))</x:f>
        <x:v>OK</x:v>
      </x:c>
    </x:row>
    <x:row r="59" ht="15" hidden="0">
      <x:c r="A59"/>
      <x:c r="B59"/>
      <x:c r="C59" s="56" t="str">
        <x:v>Days inventory outstanding</x:v>
      </x:c>
      <x:c r="D59" s="11" t="str">
        <x:v>FY2024</x:v>
      </x:c>
      <x:c r="E59" s="144" t="n">
        <x:f>KOHC!G147</x:f>
        <x:v>101.50909357454404</x:v>
      </x:c>
      <x:c r="F59" s="144" t="n">
        <x:f>LUCK!G147</x:f>
        <x:v>103.10239469568691</x:v>
      </x:c>
      <x:c r="G59" s="144" t="n">
        <x:f>DGKC!G147</x:f>
        <x:v>141.2975554557505</x:v>
      </x:c>
      <x:c r="H59" s="144" t="n">
        <x:f>MLCF!G147</x:f>
        <x:v>117.69043264844159</x:v>
      </x:c>
      <x:c r="I59" s="144" t="n">
        <x:f>FCCL!G147</x:f>
        <x:v>106.51412548353994</x:v>
      </x:c>
      <x:c r="J59" s="145" t="n">
        <x:f>IF(COUNT(E59:I59)=0,"n/m",AVERAGE(E59:I59))</x:f>
        <x:v>114.0227203715926</x:v>
      </x:c>
      <x:c r="K59" s="11" t="n">
        <x:f>COUNT(E59:I59)</x:f>
        <x:v>5</x:v>
      </x:c>
      <x:c r="L59" s="146" t="n">
        <x:f>IF(AND(ISNUMBER(E59),ISNUMBER(J59)),E59-J59,"n/m")</x:f>
        <x:v>-12.513626797048559</x:v>
      </x:c>
      <x:c r="M59" s="146" t="n">
        <x:f>IF(COUNT(F59:I59)=0,"n/m",AVERAGE(F59:I59))</x:f>
        <x:v>117.15112707085474</x:v>
      </x:c>
      <x:c r="N59" s="146" t="n">
        <x:f>IF(COUNT(E59:I59)=0,"n/m",MEDIAN(E59:I59))</x:f>
        <x:v>106.51412548353994</x:v>
      </x:c>
      <x:c r="O59" s="11" t="str">
        <x:v>Lower</x:v>
      </x:c>
      <x:c r="P59" s="9" t="str">
        <x:f>IF(NOT(ISNUMBER(L59)),"n/m",IF(O59="Higher",IF(L59&gt;=0,"Above avg - favourable","Below avg - unfavourable"),IF(O59="Lower",IF(L59&lt;=0,"Below avg - favourable","Above avg - unfavourable"),IF(L59&gt;=0,"Above avg - context-dependent","Below avg - context-dependent"))))&amp;IF(K59&lt;5," (N="&amp;K59&amp;")","")</x:f>
        <x:v>Below avg - favourable</x:v>
      </x:c>
      <x:c r="Q59"/>
      <x:c r="R59" s="59" t="str">
        <x:f>IF(K59=0,"n/m",IF(ABS(J59-SUM(E59:I59)/K59)&lt;0.000000001,"OK","ERR"))</x:f>
        <x:v>OK</x:v>
      </x:c>
    </x:row>
    <x:row r="60" ht="15" hidden="0">
      <x:c r="A60"/>
      <x:c r="B60"/>
      <x:c r="C60" s="56" t="str">
        <x:v>Days inventory outstanding</x:v>
      </x:c>
      <x:c r="D60" s="11" t="str">
        <x:v>FY2025</x:v>
      </x:c>
      <x:c r="E60" s="144" t="n">
        <x:f>KOHC!H147</x:f>
        <x:v>120.66591878345184</x:v>
      </x:c>
      <x:c r="F60" s="144" t="n">
        <x:f>LUCK!H147</x:f>
        <x:v>106.53528435458882</x:v>
      </x:c>
      <x:c r="G60" s="144" t="n">
        <x:f>DGKC!H147</x:f>
        <x:v>139.29464124392746</x:v>
      </x:c>
      <x:c r="H60" s="144" t="n">
        <x:f>MLCF!H147</x:f>
        <x:v>130.98525045452405</x:v>
      </x:c>
      <x:c r="I60" s="144" t="n">
        <x:f>FCCL!H147</x:f>
        <x:v>115.47406099903009</x:v>
      </x:c>
      <x:c r="J60" s="145" t="n">
        <x:f>IF(COUNT(E60:I60)=0,"n/m",AVERAGE(E60:I60))</x:f>
        <x:v>122.59103116710443</x:v>
      </x:c>
      <x:c r="K60" s="11" t="n">
        <x:f>COUNT(E60:I60)</x:f>
        <x:v>5</x:v>
      </x:c>
      <x:c r="L60" s="146" t="n">
        <x:f>IF(AND(ISNUMBER(E60),ISNUMBER(J60)),E60-J60,"n/m")</x:f>
        <x:v>-1.9251123836525892</x:v>
      </x:c>
      <x:c r="M60" s="146" t="n">
        <x:f>IF(COUNT(F60:I60)=0,"n/m",AVERAGE(F60:I60))</x:f>
        <x:v>123.0723092630176</x:v>
      </x:c>
      <x:c r="N60" s="146" t="n">
        <x:f>IF(COUNT(E60:I60)=0,"n/m",MEDIAN(E60:I60))</x:f>
        <x:v>120.66591878345184</x:v>
      </x:c>
      <x:c r="O60" s="11" t="str">
        <x:v>Lower</x:v>
      </x:c>
      <x:c r="P60" s="9" t="str">
        <x:f>IF(NOT(ISNUMBER(L60)),"n/m",IF(O60="Higher",IF(L60&gt;=0,"Above avg - favourable","Below avg - unfavourable"),IF(O60="Lower",IF(L60&lt;=0,"Below avg - favourable","Above avg - unfavourable"),IF(L60&gt;=0,"Above avg - context-dependent","Below avg - context-dependent"))))&amp;IF(K60&lt;5," (N="&amp;K60&amp;")","")</x:f>
        <x:v>Below avg - favourable</x:v>
      </x:c>
      <x:c r="Q60"/>
      <x:c r="R60" s="59" t="str">
        <x:f>IF(K60=0,"n/m",IF(ABS(J60-SUM(E60:I60)/K60)&lt;0.000000001,"OK","ERR"))</x:f>
        <x:v>OK</x:v>
      </x:c>
    </x:row>
    <x:row r="61" ht="15" hidden="0">
      <x:c r="A61" s="54" t="str">
        <x:v>Asset Management</x:v>
      </x:c>
      <x:c r="B61" s="25" t="n">
        <x:v>10</x:v>
      </x:c>
      <x:c r="C61" s="24" t="str">
        <x:v>10. Days sales outstanding</x:v>
      </x:c>
      <x:c r="D61" s="25"/>
      <x:c r="E61" s="25"/>
      <x:c r="F61" s="25"/>
      <x:c r="G61" s="25"/>
      <x:c r="H61" s="25"/>
      <x:c r="I61" s="25"/>
      <x:c r="J61" s="25"/>
      <x:c r="K61" s="25"/>
      <x:c r="L61" s="25"/>
      <x:c r="M61" s="25"/>
      <x:c r="N61" s="25"/>
      <x:c r="O61" s="25"/>
      <x:c r="P61" s="25"/>
      <x:c r="Q61" s="55"/>
      <x:c r="R61" s="25"/>
    </x:row>
    <x:row r="62" ht="15" hidden="0">
      <x:c r="A62"/>
      <x:c r="B62"/>
      <x:c r="C62" s="56" t="str">
        <x:v>Days sales outstanding</x:v>
      </x:c>
      <x:c r="D62" s="11" t="str">
        <x:v>FY2021</x:v>
      </x:c>
      <x:c r="E62" s="144" t="n">
        <x:f>KOHC!D148</x:f>
        <x:v>11.211269503464973</x:v>
      </x:c>
      <x:c r="F62" s="144" t="n">
        <x:f>LUCK!D148</x:f>
        <x:v>17.78249833315605</x:v>
      </x:c>
      <x:c r="G62" s="144" t="n">
        <x:f>DGKC!D148</x:f>
        <x:v>16.031081230273596</x:v>
      </x:c>
      <x:c r="H62" s="144" t="n">
        <x:f>MLCF!D148</x:f>
        <x:v>24.299408826550263</x:v>
      </x:c>
      <x:c r="I62" s="144" t="n">
        <x:f>FCCL!D148</x:f>
        <x:v>18.799738044359827</x:v>
      </x:c>
      <x:c r="J62" s="145" t="n">
        <x:f>IF(COUNT(E62:I62)=0,"n/m",AVERAGE(E62:I62))</x:f>
        <x:v>17.624799187560942</x:v>
      </x:c>
      <x:c r="K62" s="11" t="n">
        <x:f>COUNT(E62:I62)</x:f>
        <x:v>5</x:v>
      </x:c>
      <x:c r="L62" s="146" t="n">
        <x:f>IF(AND(ISNUMBER(E62),ISNUMBER(J62)),E62-J62,"n/m")</x:f>
        <x:v>-6.41352968409597</x:v>
      </x:c>
      <x:c r="M62" s="146" t="n">
        <x:f>IF(COUNT(F62:I62)=0,"n/m",AVERAGE(F62:I62))</x:f>
        <x:v>19.228181608584933</x:v>
      </x:c>
      <x:c r="N62" s="146" t="n">
        <x:f>IF(COUNT(E62:I62)=0,"n/m",MEDIAN(E62:I62))</x:f>
        <x:v>17.78249833315605</x:v>
      </x:c>
      <x:c r="O62" s="11" t="str">
        <x:v>Lower</x:v>
      </x:c>
      <x:c r="P62" s="9" t="str">
        <x:f>IF(NOT(ISNUMBER(L62)),"n/m",IF(O62="Higher",IF(L62&gt;=0,"Above avg - favourable","Below avg - unfavourable"),IF(O62="Lower",IF(L62&lt;=0,"Below avg - favourable","Above avg - unfavourable"),IF(L62&gt;=0,"Above avg - context-dependent","Below avg - context-dependent"))))&amp;IF(K62&lt;5," (N="&amp;K62&amp;")","")</x:f>
        <x:v>Below avg - favourable</x:v>
      </x:c>
      <x:c r="Q62"/>
      <x:c r="R62" s="59" t="str">
        <x:f>IF(K62=0,"n/m",IF(ABS(J62-SUM(E62:I62)/K62)&lt;0.000000001,"OK","ERR"))</x:f>
        <x:v>OK</x:v>
      </x:c>
    </x:row>
    <x:row r="63" ht="15" hidden="0">
      <x:c r="A63"/>
      <x:c r="B63"/>
      <x:c r="C63" s="56" t="str">
        <x:v>Days sales outstanding</x:v>
      </x:c>
      <x:c r="D63" s="11" t="str">
        <x:v>FY2022</x:v>
      </x:c>
      <x:c r="E63" s="144" t="n">
        <x:f>KOHC!E148</x:f>
        <x:v>10.544725482358297</x:v>
      </x:c>
      <x:c r="F63" s="144" t="n">
        <x:f>LUCK!E148</x:f>
        <x:v>14.027318333985361</x:v>
      </x:c>
      <x:c r="G63" s="144" t="n">
        <x:f>DGKC!E148</x:f>
        <x:v>9.885619216970449</x:v>
      </x:c>
      <x:c r="H63" s="144" t="n">
        <x:f>MLCF!E148</x:f>
        <x:v>14.089756717395696</x:v>
      </x:c>
      <x:c r="I63" s="144" t="n">
        <x:f>FCCL!E148</x:f>
        <x:v>12.994834386179642</x:v>
      </x:c>
      <x:c r="J63" s="145" t="n">
        <x:f>IF(COUNT(E63:I63)=0,"n/m",AVERAGE(E63:I63))</x:f>
        <x:v>12.308450827377888</x:v>
      </x:c>
      <x:c r="K63" s="11" t="n">
        <x:f>COUNT(E63:I63)</x:f>
        <x:v>5</x:v>
      </x:c>
      <x:c r="L63" s="146" t="n">
        <x:f>IF(AND(ISNUMBER(E63),ISNUMBER(J63)),E63-J63,"n/m")</x:f>
        <x:v>-1.7637253450195907</x:v>
      </x:c>
      <x:c r="M63" s="146" t="n">
        <x:f>IF(COUNT(F63:I63)=0,"n/m",AVERAGE(F63:I63))</x:f>
        <x:v>12.749382163632786</x:v>
      </x:c>
      <x:c r="N63" s="146" t="n">
        <x:f>IF(COUNT(E63:I63)=0,"n/m",MEDIAN(E63:I63))</x:f>
        <x:v>12.994834386179642</x:v>
      </x:c>
      <x:c r="O63" s="11" t="str">
        <x:v>Lower</x:v>
      </x:c>
      <x:c r="P63" s="9" t="str">
        <x:f>IF(NOT(ISNUMBER(L63)),"n/m",IF(O63="Higher",IF(L63&gt;=0,"Above avg - favourable","Below avg - unfavourable"),IF(O63="Lower",IF(L63&lt;=0,"Below avg - favourable","Above avg - unfavourable"),IF(L63&gt;=0,"Above avg - context-dependent","Below avg - context-dependent"))))&amp;IF(K63&lt;5," (N="&amp;K63&amp;")","")</x:f>
        <x:v>Below avg - favourable</x:v>
      </x:c>
      <x:c r="Q63"/>
      <x:c r="R63" s="59" t="str">
        <x:f>IF(K63=0,"n/m",IF(ABS(J63-SUM(E63:I63)/K63)&lt;0.000000001,"OK","ERR"))</x:f>
        <x:v>OK</x:v>
      </x:c>
    </x:row>
    <x:row r="64" ht="15" hidden="0">
      <x:c r="A64"/>
      <x:c r="B64"/>
      <x:c r="C64" s="56" t="str">
        <x:v>Days sales outstanding</x:v>
      </x:c>
      <x:c r="D64" s="11" t="str">
        <x:v>FY2023</x:v>
      </x:c>
      <x:c r="E64" s="144" t="n">
        <x:f>KOHC!F148</x:f>
        <x:v>9.947955437848785</x:v>
      </x:c>
      <x:c r="F64" s="144" t="n">
        <x:f>LUCK!F148</x:f>
        <x:v>16.40158531562483</x:v>
      </x:c>
      <x:c r="G64" s="144" t="n">
        <x:f>DGKC!F148</x:f>
        <x:v>7.4739774843341396</x:v>
      </x:c>
      <x:c r="H64" s="144" t="n">
        <x:f>MLCF!F148</x:f>
        <x:v>13.72146433573479</x:v>
      </x:c>
      <x:c r="I64" s="144" t="n">
        <x:f>FCCL!F148</x:f>
        <x:v>16.04687922960609</x:v>
      </x:c>
      <x:c r="J64" s="145" t="n">
        <x:f>IF(COUNT(E64:I64)=0,"n/m",AVERAGE(E64:I64))</x:f>
        <x:v>12.718372360629726</x:v>
      </x:c>
      <x:c r="K64" s="11" t="n">
        <x:f>COUNT(E64:I64)</x:f>
        <x:v>5</x:v>
      </x:c>
      <x:c r="L64" s="146" t="n">
        <x:f>IF(AND(ISNUMBER(E64),ISNUMBER(J64)),E64-J64,"n/m")</x:f>
        <x:v>-2.7704169227809405</x:v>
      </x:c>
      <x:c r="M64" s="146" t="n">
        <x:f>IF(COUNT(F64:I64)=0,"n/m",AVERAGE(F64:I64))</x:f>
        <x:v>13.410976591324962</x:v>
      </x:c>
      <x:c r="N64" s="146" t="n">
        <x:f>IF(COUNT(E64:I64)=0,"n/m",MEDIAN(E64:I64))</x:f>
        <x:v>13.72146433573479</x:v>
      </x:c>
      <x:c r="O64" s="11" t="str">
        <x:v>Lower</x:v>
      </x:c>
      <x:c r="P64" s="9" t="str">
        <x:f>IF(NOT(ISNUMBER(L64)),"n/m",IF(O64="Higher",IF(L64&gt;=0,"Above avg - favourable","Below avg - unfavourable"),IF(O64="Lower",IF(L64&lt;=0,"Below avg - favourable","Above avg - unfavourable"),IF(L64&gt;=0,"Above avg - context-dependent","Below avg - context-dependent"))))&amp;IF(K64&lt;5," (N="&amp;K64&amp;")","")</x:f>
        <x:v>Below avg - favourable</x:v>
      </x:c>
      <x:c r="Q64"/>
      <x:c r="R64" s="59" t="str">
        <x:f>IF(K64=0,"n/m",IF(ABS(J64-SUM(E64:I64)/K64)&lt;0.000000001,"OK","ERR"))</x:f>
        <x:v>OK</x:v>
      </x:c>
    </x:row>
    <x:row r="65" ht="15" hidden="0">
      <x:c r="A65"/>
      <x:c r="B65"/>
      <x:c r="C65" s="56" t="str">
        <x:v>Days sales outstanding</x:v>
      </x:c>
      <x:c r="D65" s="11" t="str">
        <x:v>FY2024</x:v>
      </x:c>
      <x:c r="E65" s="144" t="n">
        <x:f>KOHC!G148</x:f>
        <x:v>15.65766316675557</x:v>
      </x:c>
      <x:c r="F65" s="144" t="n">
        <x:f>LUCK!G148</x:f>
        <x:v>19.024866667611246</x:v>
      </x:c>
      <x:c r="G65" s="144" t="n">
        <x:f>DGKC!G148</x:f>
        <x:v>5.662979090938646</x:v>
      </x:c>
      <x:c r="H65" s="144" t="n">
        <x:f>MLCF!G148</x:f>
        <x:v>18.646831335440545</x:v>
      </x:c>
      <x:c r="I65" s="144" t="n">
        <x:f>FCCL!G148</x:f>
        <x:v>20.792904753499183</x:v>
      </x:c>
      <x:c r="J65" s="145" t="n">
        <x:f>IF(COUNT(E65:I65)=0,"n/m",AVERAGE(E65:I65))</x:f>
        <x:v>15.957049002849038</x:v>
      </x:c>
      <x:c r="K65" s="11" t="n">
        <x:f>COUNT(E65:I65)</x:f>
        <x:v>5</x:v>
      </x:c>
      <x:c r="L65" s="146" t="n">
        <x:f>IF(AND(ISNUMBER(E65),ISNUMBER(J65)),E65-J65,"n/m")</x:f>
        <x:v>-0.29938583609346736</x:v>
      </x:c>
      <x:c r="M65" s="146" t="n">
        <x:f>IF(COUNT(F65:I65)=0,"n/m",AVERAGE(F65:I65))</x:f>
        <x:v>16.031895461872406</x:v>
      </x:c>
      <x:c r="N65" s="146" t="n">
        <x:f>IF(COUNT(E65:I65)=0,"n/m",MEDIAN(E65:I65))</x:f>
        <x:v>18.646831335440545</x:v>
      </x:c>
      <x:c r="O65" s="11" t="str">
        <x:v>Lower</x:v>
      </x:c>
      <x:c r="P65" s="9" t="str">
        <x:f>IF(NOT(ISNUMBER(L65)),"n/m",IF(O65="Higher",IF(L65&gt;=0,"Above avg - favourable","Below avg - unfavourable"),IF(O65="Lower",IF(L65&lt;=0,"Below avg - favourable","Above avg - unfavourable"),IF(L65&gt;=0,"Above avg - context-dependent","Below avg - context-dependent"))))&amp;IF(K65&lt;5," (N="&amp;K65&amp;")","")</x:f>
        <x:v>Below avg - favourable</x:v>
      </x:c>
      <x:c r="Q65"/>
      <x:c r="R65" s="59" t="str">
        <x:f>IF(K65=0,"n/m",IF(ABS(J65-SUM(E65:I65)/K65)&lt;0.000000001,"OK","ERR"))</x:f>
        <x:v>OK</x:v>
      </x:c>
    </x:row>
    <x:row r="66" ht="15" hidden="0">
      <x:c r="A66"/>
      <x:c r="B66"/>
      <x:c r="C66" s="56" t="str">
        <x:v>Days sales outstanding</x:v>
      </x:c>
      <x:c r="D66" s="11" t="str">
        <x:v>FY2025</x:v>
      </x:c>
      <x:c r="E66" s="144" t="n">
        <x:f>KOHC!H148</x:f>
        <x:v>18.487732733839078</x:v>
      </x:c>
      <x:c r="F66" s="144" t="n">
        <x:f>LUCK!H148</x:f>
        <x:v>19.473145621508603</x:v>
      </x:c>
      <x:c r="G66" s="144" t="n">
        <x:f>DGKC!H148</x:f>
        <x:v>5.962485734149008</x:v>
      </x:c>
      <x:c r="H66" s="144" t="n">
        <x:f>MLCF!H148</x:f>
        <x:v>23.29195250049585</x:v>
      </x:c>
      <x:c r="I66" s="144" t="n">
        <x:f>FCCL!H148</x:f>
        <x:v>25.555492212987932</x:v>
      </x:c>
      <x:c r="J66" s="145" t="n">
        <x:f>IF(COUNT(E66:I66)=0,"n/m",AVERAGE(E66:I66))</x:f>
        <x:v>18.554161760596095</x:v>
      </x:c>
      <x:c r="K66" s="11" t="n">
        <x:f>COUNT(E66:I66)</x:f>
        <x:v>5</x:v>
      </x:c>
      <x:c r="L66" s="146" t="n">
        <x:f>IF(AND(ISNUMBER(E66),ISNUMBER(J66)),E66-J66,"n/m")</x:f>
        <x:v>-0.06642902675701734</x:v>
      </x:c>
      <x:c r="M66" s="146" t="n">
        <x:f>IF(COUNT(F66:I66)=0,"n/m",AVERAGE(F66:I66))</x:f>
        <x:v>18.570769017285347</x:v>
      </x:c>
      <x:c r="N66" s="146" t="n">
        <x:f>IF(COUNT(E66:I66)=0,"n/m",MEDIAN(E66:I66))</x:f>
        <x:v>19.473145621508603</x:v>
      </x:c>
      <x:c r="O66" s="11" t="str">
        <x:v>Lower</x:v>
      </x:c>
      <x:c r="P66" s="9" t="str">
        <x:f>IF(NOT(ISNUMBER(L66)),"n/m",IF(O66="Higher",IF(L66&gt;=0,"Above avg - favourable","Below avg - unfavourable"),IF(O66="Lower",IF(L66&lt;=0,"Below avg - favourable","Above avg - unfavourable"),IF(L66&gt;=0,"Above avg - context-dependent","Below avg - context-dependent"))))&amp;IF(K66&lt;5," (N="&amp;K66&amp;")","")</x:f>
        <x:v>Below avg - favourable</x:v>
      </x:c>
      <x:c r="Q66"/>
      <x:c r="R66" s="59" t="str">
        <x:f>IF(K66=0,"n/m",IF(ABS(J66-SUM(E66:I66)/K66)&lt;0.000000001,"OK","ERR"))</x:f>
        <x:v>OK</x:v>
      </x:c>
    </x:row>
    <x:row r="67" ht="15" hidden="0">
      <x:c r="A67" s="54" t="str">
        <x:v>Asset Management</x:v>
      </x:c>
      <x:c r="B67" s="25" t="n">
        <x:v>11</x:v>
      </x:c>
      <x:c r="C67" s="24" t="str">
        <x:v>11. Days payables outstanding</x:v>
      </x:c>
      <x:c r="D67" s="25"/>
      <x:c r="E67" s="25"/>
      <x:c r="F67" s="25"/>
      <x:c r="G67" s="25"/>
      <x:c r="H67" s="25"/>
      <x:c r="I67" s="25"/>
      <x:c r="J67" s="25"/>
      <x:c r="K67" s="25"/>
      <x:c r="L67" s="25"/>
      <x:c r="M67" s="25"/>
      <x:c r="N67" s="25"/>
      <x:c r="O67" s="25"/>
      <x:c r="P67" s="25"/>
      <x:c r="Q67" s="55" t="s">
        <x:v>690</x:v>
      </x:c>
      <x:c r="R67" s="25"/>
    </x:row>
    <x:row r="68" ht="15" hidden="0">
      <x:c r="A68"/>
      <x:c r="B68"/>
      <x:c r="C68" s="56" t="str">
        <x:v>Days payables outstanding</x:v>
      </x:c>
      <x:c r="D68" s="11" t="str">
        <x:v>FY2021</x:v>
      </x:c>
      <x:c r="E68" s="144" t="n">
        <x:f>KOHC!D149</x:f>
        <x:v>26.695664391757177</x:v>
      </x:c>
      <x:c r="F68" s="144" t="n">
        <x:f>LUCK!D149</x:f>
        <x:v>22.744515597441875</x:v>
      </x:c>
      <x:c r="G68" s="144" t="n">
        <x:f>DGKC!D149</x:f>
        <x:v>57.65836002777637</x:v>
      </x:c>
      <x:c r="H68" s="144" t="n">
        <x:f>MLCF!D149</x:f>
        <x:v>50.273995830664546</x:v>
      </x:c>
      <x:c r="I68" s="144" t="n">
        <x:f>FCCL!D149</x:f>
        <x:v>12.205077421282503</x:v>
      </x:c>
      <x:c r="J68" s="145" t="n">
        <x:f>IF(COUNT(E68:I68)=0,"n/m",AVERAGE(E68:I68))</x:f>
        <x:v>33.91552265378449</x:v>
      </x:c>
      <x:c r="K68" s="11" t="n">
        <x:f>COUNT(E68:I68)</x:f>
        <x:v>5</x:v>
      </x:c>
      <x:c r="L68" s="146" t="n">
        <x:f>IF(AND(ISNUMBER(E68),ISNUMBER(J68)),E68-J68,"n/m")</x:f>
        <x:v>-7.219858262027316</x:v>
      </x:c>
      <x:c r="M68" s="146" t="n">
        <x:f>IF(COUNT(F68:I68)=0,"n/m",AVERAGE(F68:I68))</x:f>
        <x:v>35.72048721929133</x:v>
      </x:c>
      <x:c r="N68" s="146" t="n">
        <x:f>IF(COUNT(E68:I68)=0,"n/m",MEDIAN(E68:I68))</x:f>
        <x:v>26.695664391757177</x:v>
      </x:c>
      <x:c r="O68" s="11" t="str">
        <x:v>Context</x:v>
      </x:c>
      <x:c r="P68" s="9" t="str">
        <x:f>IF(NOT(ISNUMBER(L68)),"n/m",IF(O68="Higher",IF(L68&gt;=0,"Above avg - favourable","Below avg - unfavourable"),IF(O68="Lower",IF(L68&lt;=0,"Below avg - favourable","Above avg - unfavourable"),IF(L68&gt;=0,"Above avg - context-dependent","Below avg - context-dependent"))))&amp;IF(K68&lt;5," (N="&amp;K68&amp;")","")</x:f>
        <x:v>Below avg - context-dependent</x:v>
      </x:c>
      <x:c r="Q68"/>
      <x:c r="R68" s="59" t="str">
        <x:f>IF(K68=0,"n/m",IF(ABS(J68-SUM(E68:I68)/K68)&lt;0.000000001,"OK","ERR"))</x:f>
        <x:v>OK</x:v>
      </x:c>
    </x:row>
    <x:row r="69" ht="15" hidden="0">
      <x:c r="A69"/>
      <x:c r="B69"/>
      <x:c r="C69" s="56" t="str">
        <x:v>Days payables outstanding</x:v>
      </x:c>
      <x:c r="D69" s="11" t="str">
        <x:v>FY2022</x:v>
      </x:c>
      <x:c r="E69" s="144" t="n">
        <x:f>KOHC!E149</x:f>
        <x:v>22.44512723840719</x:v>
      </x:c>
      <x:c r="F69" s="144" t="n">
        <x:f>LUCK!E149</x:f>
        <x:v>19.438565176908817</x:v>
      </x:c>
      <x:c r="G69" s="144" t="n">
        <x:f>DGKC!E149</x:f>
        <x:v>43.106668082030595</x:v>
      </x:c>
      <x:c r="H69" s="144" t="n">
        <x:f>MLCF!E149</x:f>
        <x:v>38.69593121440047</x:v>
      </x:c>
      <x:c r="I69" s="144" t="n">
        <x:f>FCCL!E149</x:f>
        <x:v>16.688960895928066</x:v>
      </x:c>
      <x:c r="J69" s="145" t="n">
        <x:f>IF(COUNT(E69:I69)=0,"n/m",AVERAGE(E69:I69))</x:f>
        <x:v>28.075050521535026</x:v>
      </x:c>
      <x:c r="K69" s="11" t="n">
        <x:f>COUNT(E69:I69)</x:f>
        <x:v>5</x:v>
      </x:c>
      <x:c r="L69" s="146" t="n">
        <x:f>IF(AND(ISNUMBER(E69),ISNUMBER(J69)),E69-J69,"n/m")</x:f>
        <x:v>-5.629923283127837</x:v>
      </x:c>
      <x:c r="M69" s="146" t="n">
        <x:f>IF(COUNT(F69:I69)=0,"n/m",AVERAGE(F69:I69))</x:f>
        <x:v>29.482531342316985</x:v>
      </x:c>
      <x:c r="N69" s="146" t="n">
        <x:f>IF(COUNT(E69:I69)=0,"n/m",MEDIAN(E69:I69))</x:f>
        <x:v>22.44512723840719</x:v>
      </x:c>
      <x:c r="O69" s="11" t="str">
        <x:v>Context</x:v>
      </x:c>
      <x:c r="P69" s="9" t="str">
        <x:f>IF(NOT(ISNUMBER(L69)),"n/m",IF(O69="Higher",IF(L69&gt;=0,"Above avg - favourable","Below avg - unfavourable"),IF(O69="Lower",IF(L69&lt;=0,"Below avg - favourable","Above avg - unfavourable"),IF(L69&gt;=0,"Above avg - context-dependent","Below avg - context-dependent"))))&amp;IF(K69&lt;5," (N="&amp;K69&amp;")","")</x:f>
        <x:v>Below avg - context-dependent</x:v>
      </x:c>
      <x:c r="Q69"/>
      <x:c r="R69" s="59" t="str">
        <x:f>IF(K69=0,"n/m",IF(ABS(J69-SUM(E69:I69)/K69)&lt;0.000000001,"OK","ERR"))</x:f>
        <x:v>OK</x:v>
      </x:c>
    </x:row>
    <x:row r="70" ht="15" hidden="0">
      <x:c r="A70"/>
      <x:c r="B70"/>
      <x:c r="C70" s="56" t="str">
        <x:v>Days payables outstanding</x:v>
      </x:c>
      <x:c r="D70" s="11" t="str">
        <x:v>FY2023</x:v>
      </x:c>
      <x:c r="E70" s="144" t="n">
        <x:f>KOHC!F149</x:f>
        <x:v>12.531624662163896</x:v>
      </x:c>
      <x:c r="F70" s="144" t="n">
        <x:f>LUCK!F149</x:f>
        <x:v>21.928688071624236</x:v>
      </x:c>
      <x:c r="G70" s="144" t="n">
        <x:f>DGKC!F149</x:f>
        <x:v>34.24672809140701</x:v>
      </x:c>
      <x:c r="H70" s="144" t="n">
        <x:f>MLCF!F149</x:f>
        <x:v>44.831228056476625</x:v>
      </x:c>
      <x:c r="I70" s="144" t="n">
        <x:f>FCCL!F149</x:f>
        <x:v>20.323804785769745</x:v>
      </x:c>
      <x:c r="J70" s="145" t="n">
        <x:f>IF(COUNT(E70:I70)=0,"n/m",AVERAGE(E70:I70))</x:f>
        <x:v>26.7724147334883</x:v>
      </x:c>
      <x:c r="K70" s="11" t="n">
        <x:f>COUNT(E70:I70)</x:f>
        <x:v>5</x:v>
      </x:c>
      <x:c r="L70" s="146" t="n">
        <x:f>IF(AND(ISNUMBER(E70),ISNUMBER(J70)),E70-J70,"n/m")</x:f>
        <x:v>-14.240790071324405</x:v>
      </x:c>
      <x:c r="M70" s="146" t="n">
        <x:f>IF(COUNT(F70:I70)=0,"n/m",AVERAGE(F70:I70))</x:f>
        <x:v>30.332612251319404</x:v>
      </x:c>
      <x:c r="N70" s="146" t="n">
        <x:f>IF(COUNT(E70:I70)=0,"n/m",MEDIAN(E70:I70))</x:f>
        <x:v>21.928688071624236</x:v>
      </x:c>
      <x:c r="O70" s="11" t="str">
        <x:v>Context</x:v>
      </x:c>
      <x:c r="P70" s="9" t="str">
        <x:f>IF(NOT(ISNUMBER(L70)),"n/m",IF(O70="Higher",IF(L70&gt;=0,"Above avg - favourable","Below avg - unfavourable"),IF(O70="Lower",IF(L70&lt;=0,"Below avg - favourable","Above avg - unfavourable"),IF(L70&gt;=0,"Above avg - context-dependent","Below avg - context-dependent"))))&amp;IF(K70&lt;5," (N="&amp;K70&amp;")","")</x:f>
        <x:v>Below avg - context-dependent</x:v>
      </x:c>
      <x:c r="Q70"/>
      <x:c r="R70" s="59" t="str">
        <x:f>IF(K70=0,"n/m",IF(ABS(J70-SUM(E70:I70)/K70)&lt;0.000000001,"OK","ERR"))</x:f>
        <x:v>OK</x:v>
      </x:c>
    </x:row>
    <x:row r="71" ht="15" hidden="0">
      <x:c r="A71"/>
      <x:c r="B71"/>
      <x:c r="C71" s="56" t="str">
        <x:v>Days payables outstanding</x:v>
      </x:c>
      <x:c r="D71" s="11" t="str">
        <x:v>FY2024</x:v>
      </x:c>
      <x:c r="E71" s="144" t="n">
        <x:f>KOHC!G149</x:f>
        <x:v>16.36441117170576</x:v>
      </x:c>
      <x:c r="F71" s="144" t="n">
        <x:f>LUCK!G149</x:f>
        <x:v>29.103243031888116</x:v>
      </x:c>
      <x:c r="G71" s="144" t="n">
        <x:f>DGKC!G149</x:f>
        <x:v>38.06068085872657</x:v>
      </x:c>
      <x:c r="H71" s="144" t="n">
        <x:f>MLCF!G149</x:f>
        <x:v>48.43667879556273</x:v>
      </x:c>
      <x:c r="I71" s="144" t="n">
        <x:f>FCCL!G149</x:f>
        <x:v>17.96598297778959</x:v>
      </x:c>
      <x:c r="J71" s="145" t="n">
        <x:f>IF(COUNT(E71:I71)=0,"n/m",AVERAGE(E71:I71))</x:f>
        <x:v>29.986199367134553</x:v>
      </x:c>
      <x:c r="K71" s="11" t="n">
        <x:f>COUNT(E71:I71)</x:f>
        <x:v>5</x:v>
      </x:c>
      <x:c r="L71" s="146" t="n">
        <x:f>IF(AND(ISNUMBER(E71),ISNUMBER(J71)),E71-J71,"n/m")</x:f>
        <x:v>-13.621788195428792</x:v>
      </x:c>
      <x:c r="M71" s="146" t="n">
        <x:f>IF(COUNT(F71:I71)=0,"n/m",AVERAGE(F71:I71))</x:f>
        <x:v>33.39164641599175</x:v>
      </x:c>
      <x:c r="N71" s="146" t="n">
        <x:f>IF(COUNT(E71:I71)=0,"n/m",MEDIAN(E71:I71))</x:f>
        <x:v>29.103243031888116</x:v>
      </x:c>
      <x:c r="O71" s="11" t="str">
        <x:v>Context</x:v>
      </x:c>
      <x:c r="P71" s="9" t="str">
        <x:f>IF(NOT(ISNUMBER(L71)),"n/m",IF(O71="Higher",IF(L71&gt;=0,"Above avg - favourable","Below avg - unfavourable"),IF(O71="Lower",IF(L71&lt;=0,"Below avg - favourable","Above avg - unfavourable"),IF(L71&gt;=0,"Above avg - context-dependent","Below avg - context-dependent"))))&amp;IF(K71&lt;5," (N="&amp;K71&amp;")","")</x:f>
        <x:v>Below avg - context-dependent</x:v>
      </x:c>
      <x:c r="Q71"/>
      <x:c r="R71" s="59" t="str">
        <x:f>IF(K71=0,"n/m",IF(ABS(J71-SUM(E71:I71)/K71)&lt;0.000000001,"OK","ERR"))</x:f>
        <x:v>OK</x:v>
      </x:c>
    </x:row>
    <x:row r="72" ht="15" hidden="0">
      <x:c r="A72"/>
      <x:c r="B72"/>
      <x:c r="C72" s="56" t="str">
        <x:v>Days payables outstanding</x:v>
      </x:c>
      <x:c r="D72" s="11" t="str">
        <x:v>FY2025</x:v>
      </x:c>
      <x:c r="E72" s="144" t="n">
        <x:f>KOHC!H149</x:f>
        <x:v>31.10648886452127</x:v>
      </x:c>
      <x:c r="F72" s="144" t="n">
        <x:f>LUCK!H149</x:f>
        <x:v>30.3302992616379</x:v>
      </x:c>
      <x:c r="G72" s="144" t="n">
        <x:f>DGKC!H149</x:f>
        <x:v>30.58425493123197</x:v>
      </x:c>
      <x:c r="H72" s="144" t="n">
        <x:f>MLCF!H149</x:f>
        <x:v>51.3609017066473</x:v>
      </x:c>
      <x:c r="I72" s="144" t="n">
        <x:f>FCCL!H149</x:f>
        <x:v>15.14066821634052</x:v>
      </x:c>
      <x:c r="J72" s="145" t="n">
        <x:f>IF(COUNT(E72:I72)=0,"n/m",AVERAGE(E72:I72))</x:f>
        <x:v>31.704522596075794</x:v>
      </x:c>
      <x:c r="K72" s="11" t="n">
        <x:f>COUNT(E72:I72)</x:f>
        <x:v>5</x:v>
      </x:c>
      <x:c r="L72" s="146" t="n">
        <x:f>IF(AND(ISNUMBER(E72),ISNUMBER(J72)),E72-J72,"n/m")</x:f>
        <x:v>-0.5980337315545228</x:v>
      </x:c>
      <x:c r="M72" s="146" t="n">
        <x:f>IF(COUNT(F72:I72)=0,"n/m",AVERAGE(F72:I72))</x:f>
        <x:v>31.85403102896442</x:v>
      </x:c>
      <x:c r="N72" s="146" t="n">
        <x:f>IF(COUNT(E72:I72)=0,"n/m",MEDIAN(E72:I72))</x:f>
        <x:v>30.58425493123197</x:v>
      </x:c>
      <x:c r="O72" s="11" t="str">
        <x:v>Context</x:v>
      </x:c>
      <x:c r="P72" s="9" t="str">
        <x:f>IF(NOT(ISNUMBER(L72)),"n/m",IF(O72="Higher",IF(L72&gt;=0,"Above avg - favourable","Below avg - unfavourable"),IF(O72="Lower",IF(L72&lt;=0,"Below avg - favourable","Above avg - unfavourable"),IF(L72&gt;=0,"Above avg - context-dependent","Below avg - context-dependent"))))&amp;IF(K72&lt;5," (N="&amp;K72&amp;")","")</x:f>
        <x:v>Below avg - context-dependent</x:v>
      </x:c>
      <x:c r="Q72"/>
      <x:c r="R72" s="59" t="str">
        <x:f>IF(K72=0,"n/m",IF(ABS(J72-SUM(E72:I72)/K72)&lt;0.000000001,"OK","ERR"))</x:f>
        <x:v>OK</x:v>
      </x:c>
    </x:row>
    <x:row r="73" ht="15" hidden="0">
      <x:c r="A73" s="54" t="str">
        <x:v>Asset Management</x:v>
      </x:c>
      <x:c r="B73" s="25" t="n">
        <x:v>12</x:v>
      </x:c>
      <x:c r="C73" s="24" t="str">
        <x:v>12. Operating cycle (days)</x:v>
      </x:c>
      <x:c r="D73" s="25"/>
      <x:c r="E73" s="25"/>
      <x:c r="F73" s="25"/>
      <x:c r="G73" s="25"/>
      <x:c r="H73" s="25"/>
      <x:c r="I73" s="25"/>
      <x:c r="J73" s="25"/>
      <x:c r="K73" s="25"/>
      <x:c r="L73" s="25"/>
      <x:c r="M73" s="25"/>
      <x:c r="N73" s="25"/>
      <x:c r="O73" s="25"/>
      <x:c r="P73" s="25"/>
      <x:c r="Q73" s="55"/>
      <x:c r="R73" s="25"/>
    </x:row>
    <x:row r="74" ht="15" hidden="0">
      <x:c r="A74"/>
      <x:c r="B74"/>
      <x:c r="C74" s="56" t="str">
        <x:v>Operating cycle (days)</x:v>
      </x:c>
      <x:c r="D74" s="11" t="str">
        <x:v>FY2021</x:v>
      </x:c>
      <x:c r="E74" s="144" t="n">
        <x:f>KOHC!D150</x:f>
        <x:v>86.35901303504376</x:v>
      </x:c>
      <x:c r="F74" s="144" t="n">
        <x:f>LUCK!D150</x:f>
        <x:v>113.4924050094809</x:v>
      </x:c>
      <x:c r="G74" s="144" t="n">
        <x:f>DGKC!D150</x:f>
        <x:v>154.98591798038223</x:v>
      </x:c>
      <x:c r="H74" s="144" t="n">
        <x:f>MLCF!D150</x:f>
        <x:v>167.4166769575136</x:v>
      </x:c>
      <x:c r="I74" s="144" t="n">
        <x:f>FCCL!D150</x:f>
        <x:v>120.37486362875428</x:v>
      </x:c>
      <x:c r="J74" s="145" t="n">
        <x:f>IF(COUNT(E74:I74)=0,"n/m",AVERAGE(E74:I74))</x:f>
        <x:v>128.52577532223495</x:v>
      </x:c>
      <x:c r="K74" s="11" t="n">
        <x:f>COUNT(E74:I74)</x:f>
        <x:v>5</x:v>
      </x:c>
      <x:c r="L74" s="146" t="n">
        <x:f>IF(AND(ISNUMBER(E74),ISNUMBER(J74)),E74-J74,"n/m")</x:f>
        <x:v>-42.16676228719119</x:v>
      </x:c>
      <x:c r="M74" s="146" t="n">
        <x:f>IF(COUNT(F74:I74)=0,"n/m",AVERAGE(F74:I74))</x:f>
        <x:v>139.06746589403275</x:v>
      </x:c>
      <x:c r="N74" s="146" t="n">
        <x:f>IF(COUNT(E74:I74)=0,"n/m",MEDIAN(E74:I74))</x:f>
        <x:v>120.37486362875428</x:v>
      </x:c>
      <x:c r="O74" s="11" t="str">
        <x:v>Lower</x:v>
      </x:c>
      <x:c r="P74" s="9" t="str">
        <x:f>IF(NOT(ISNUMBER(L74)),"n/m",IF(O74="Higher",IF(L74&gt;=0,"Above avg - favourable","Below avg - unfavourable"),IF(O74="Lower",IF(L74&lt;=0,"Below avg - favourable","Above avg - unfavourable"),IF(L74&gt;=0,"Above avg - context-dependent","Below avg - context-dependent"))))&amp;IF(K74&lt;5," (N="&amp;K74&amp;")","")</x:f>
        <x:v>Below avg - favourable</x:v>
      </x:c>
      <x:c r="Q74"/>
      <x:c r="R74" s="59" t="str">
        <x:f>IF(K74=0,"n/m",IF(ABS(J74-SUM(E74:I74)/K74)&lt;0.000000001,"OK","ERR"))</x:f>
        <x:v>OK</x:v>
      </x:c>
    </x:row>
    <x:row r="75" ht="15" hidden="0">
      <x:c r="A75"/>
      <x:c r="B75"/>
      <x:c r="C75" s="56" t="str">
        <x:v>Operating cycle (days)</x:v>
      </x:c>
      <x:c r="D75" s="11" t="str">
        <x:v>FY2022</x:v>
      </x:c>
      <x:c r="E75" s="144" t="n">
        <x:f>KOHC!E150</x:f>
        <x:v>88.51732307409006</x:v>
      </x:c>
      <x:c r="F75" s="144" t="n">
        <x:f>LUCK!E150</x:f>
        <x:v>113.8158997916011</x:v>
      </x:c>
      <x:c r="G75" s="144" t="n">
        <x:f>DGKC!E150</x:f>
        <x:v>157.0772087356972</x:v>
      </x:c>
      <x:c r="H75" s="144" t="n">
        <x:f>MLCF!E150</x:f>
        <x:v>152.24880213702139</x:v>
      </x:c>
      <x:c r="I75" s="144" t="n">
        <x:f>FCCL!E150</x:f>
        <x:v>112.18423817026765</x:v>
      </x:c>
      <x:c r="J75" s="145" t="n">
        <x:f>IF(COUNT(E75:I75)=0,"n/m",AVERAGE(E75:I75))</x:f>
        <x:v>124.76869438173549</x:v>
      </x:c>
      <x:c r="K75" s="11" t="n">
        <x:f>COUNT(E75:I75)</x:f>
        <x:v>5</x:v>
      </x:c>
      <x:c r="L75" s="146" t="n">
        <x:f>IF(AND(ISNUMBER(E75),ISNUMBER(J75)),E75-J75,"n/m")</x:f>
        <x:v>-36.25137130764543</x:v>
      </x:c>
      <x:c r="M75" s="146" t="n">
        <x:f>IF(COUNT(F75:I75)=0,"n/m",AVERAGE(F75:I75))</x:f>
        <x:v>133.83153720864684</x:v>
      </x:c>
      <x:c r="N75" s="146" t="n">
        <x:f>IF(COUNT(E75:I75)=0,"n/m",MEDIAN(E75:I75))</x:f>
        <x:v>113.8158997916011</x:v>
      </x:c>
      <x:c r="O75" s="11" t="str">
        <x:v>Lower</x:v>
      </x:c>
      <x:c r="P75" s="9" t="str">
        <x:f>IF(NOT(ISNUMBER(L75)),"n/m",IF(O75="Higher",IF(L75&gt;=0,"Above avg - favourable","Below avg - unfavourable"),IF(O75="Lower",IF(L75&lt;=0,"Below avg - favourable","Above avg - unfavourable"),IF(L75&gt;=0,"Above avg - context-dependent","Below avg - context-dependent"))))&amp;IF(K75&lt;5," (N="&amp;K75&amp;")","")</x:f>
        <x:v>Below avg - favourable</x:v>
      </x:c>
      <x:c r="Q75"/>
      <x:c r="R75" s="59" t="str">
        <x:f>IF(K75=0,"n/m",IF(ABS(J75-SUM(E75:I75)/K75)&lt;0.000000001,"OK","ERR"))</x:f>
        <x:v>OK</x:v>
      </x:c>
    </x:row>
    <x:row r="76" ht="15" hidden="0">
      <x:c r="A76"/>
      <x:c r="B76"/>
      <x:c r="C76" s="56" t="str">
        <x:v>Operating cycle (days)</x:v>
      </x:c>
      <x:c r="D76" s="11" t="str">
        <x:v>FY2023</x:v>
      </x:c>
      <x:c r="E76" s="144" t="n">
        <x:f>KOHC!F150</x:f>
        <x:v>95.32050082525674</x:v>
      </x:c>
      <x:c r="F76" s="144" t="n">
        <x:f>LUCK!F150</x:f>
        <x:v>117.13342729533147</x:v>
      </x:c>
      <x:c r="G76" s="144" t="n">
        <x:f>DGKC!F150</x:f>
        <x:v>157.3530580584536</x:v>
      </x:c>
      <x:c r="H76" s="144" t="n">
        <x:f>MLCF!F150</x:f>
        <x:v>135.72795979404128</x:v>
      </x:c>
      <x:c r="I76" s="144" t="n">
        <x:f>FCCL!F150</x:f>
        <x:v>133.85744190022098</x:v>
      </x:c>
      <x:c r="J76" s="145" t="n">
        <x:f>IF(COUNT(E76:I76)=0,"n/m",AVERAGE(E76:I76))</x:f>
        <x:v>127.87847757466082</x:v>
      </x:c>
      <x:c r="K76" s="11" t="n">
        <x:f>COUNT(E76:I76)</x:f>
        <x:v>5</x:v>
      </x:c>
      <x:c r="L76" s="146" t="n">
        <x:f>IF(AND(ISNUMBER(E76),ISNUMBER(J76)),E76-J76,"n/m")</x:f>
        <x:v>-32.55797674940408</x:v>
      </x:c>
      <x:c r="M76" s="146" t="n">
        <x:f>IF(COUNT(F76:I76)=0,"n/m",AVERAGE(F76:I76))</x:f>
        <x:v>136.01797176201183</x:v>
      </x:c>
      <x:c r="N76" s="146" t="n">
        <x:f>IF(COUNT(E76:I76)=0,"n/m",MEDIAN(E76:I76))</x:f>
        <x:v>133.85744190022098</x:v>
      </x:c>
      <x:c r="O76" s="11" t="str">
        <x:v>Lower</x:v>
      </x:c>
      <x:c r="P76" s="9" t="str">
        <x:f>IF(NOT(ISNUMBER(L76)),"n/m",IF(O76="Higher",IF(L76&gt;=0,"Above avg - favourable","Below avg - unfavourable"),IF(O76="Lower",IF(L76&lt;=0,"Below avg - favourable","Above avg - unfavourable"),IF(L76&gt;=0,"Above avg - context-dependent","Below avg - context-dependent"))))&amp;IF(K76&lt;5," (N="&amp;K76&amp;")","")</x:f>
        <x:v>Below avg - favourable</x:v>
      </x:c>
      <x:c r="Q76"/>
      <x:c r="R76" s="59" t="str">
        <x:f>IF(K76=0,"n/m",IF(ABS(J76-SUM(E76:I76)/K76)&lt;0.000000001,"OK","ERR"))</x:f>
        <x:v>OK</x:v>
      </x:c>
    </x:row>
    <x:row r="77" ht="15" hidden="0">
      <x:c r="A77"/>
      <x:c r="B77"/>
      <x:c r="C77" s="56" t="str">
        <x:v>Operating cycle (days)</x:v>
      </x:c>
      <x:c r="D77" s="11" t="str">
        <x:v>FY2024</x:v>
      </x:c>
      <x:c r="E77" s="144" t="n">
        <x:f>KOHC!G150</x:f>
        <x:v>117.16675674129961</x:v>
      </x:c>
      <x:c r="F77" s="144" t="n">
        <x:f>LUCK!G150</x:f>
        <x:v>122.12726136329816</x:v>
      </x:c>
      <x:c r="G77" s="144" t="n">
        <x:f>DGKC!G150</x:f>
        <x:v>146.96053454668916</x:v>
      </x:c>
      <x:c r="H77" s="144" t="n">
        <x:f>MLCF!G150</x:f>
        <x:v>136.33726398388214</x:v>
      </x:c>
      <x:c r="I77" s="144" t="n">
        <x:f>FCCL!G150</x:f>
        <x:v>127.30703023703913</x:v>
      </x:c>
      <x:c r="J77" s="145" t="n">
        <x:f>IF(COUNT(E77:I77)=0,"n/m",AVERAGE(E77:I77))</x:f>
        <x:v>129.97976937444164</x:v>
      </x:c>
      <x:c r="K77" s="11" t="n">
        <x:f>COUNT(E77:I77)</x:f>
        <x:v>5</x:v>
      </x:c>
      <x:c r="L77" s="146" t="n">
        <x:f>IF(AND(ISNUMBER(E77),ISNUMBER(J77)),E77-J77,"n/m")</x:f>
        <x:v>-12.813012633142037</x:v>
      </x:c>
      <x:c r="M77" s="146" t="n">
        <x:f>IF(COUNT(F77:I77)=0,"n/m",AVERAGE(F77:I77))</x:f>
        <x:v>133.18302253272716</x:v>
      </x:c>
      <x:c r="N77" s="146" t="n">
        <x:f>IF(COUNT(E77:I77)=0,"n/m",MEDIAN(E77:I77))</x:f>
        <x:v>127.30703023703913</x:v>
      </x:c>
      <x:c r="O77" s="11" t="str">
        <x:v>Lower</x:v>
      </x:c>
      <x:c r="P77" s="9" t="str">
        <x:f>IF(NOT(ISNUMBER(L77)),"n/m",IF(O77="Higher",IF(L77&gt;=0,"Above avg - favourable","Below avg - unfavourable"),IF(O77="Lower",IF(L77&lt;=0,"Below avg - favourable","Above avg - unfavourable"),IF(L77&gt;=0,"Above avg - context-dependent","Below avg - context-dependent"))))&amp;IF(K77&lt;5," (N="&amp;K77&amp;")","")</x:f>
        <x:v>Below avg - favourable</x:v>
      </x:c>
      <x:c r="Q77"/>
      <x:c r="R77" s="59" t="str">
        <x:f>IF(K77=0,"n/m",IF(ABS(J77-SUM(E77:I77)/K77)&lt;0.000000001,"OK","ERR"))</x:f>
        <x:v>OK</x:v>
      </x:c>
    </x:row>
    <x:row r="78" ht="15" hidden="0">
      <x:c r="A78"/>
      <x:c r="B78"/>
      <x:c r="C78" s="56" t="str">
        <x:v>Operating cycle (days)</x:v>
      </x:c>
      <x:c r="D78" s="11" t="str">
        <x:v>FY2025</x:v>
      </x:c>
      <x:c r="E78" s="144" t="n">
        <x:f>KOHC!H150</x:f>
        <x:v>139.1536515172909</x:v>
      </x:c>
      <x:c r="F78" s="144" t="n">
        <x:f>LUCK!H150</x:f>
        <x:v>126.00842997609743</x:v>
      </x:c>
      <x:c r="G78" s="144" t="n">
        <x:f>DGKC!H150</x:f>
        <x:v>145.25712697807646</x:v>
      </x:c>
      <x:c r="H78" s="144" t="n">
        <x:f>MLCF!H150</x:f>
        <x:v>154.2772029550199</x:v>
      </x:c>
      <x:c r="I78" s="144" t="n">
        <x:f>FCCL!H150</x:f>
        <x:v>141.02955321201802</x:v>
      </x:c>
      <x:c r="J78" s="145" t="n">
        <x:f>IF(COUNT(E78:I78)=0,"n/m",AVERAGE(E78:I78))</x:f>
        <x:v>141.14519292770055</x:v>
      </x:c>
      <x:c r="K78" s="11" t="n">
        <x:f>COUNT(E78:I78)</x:f>
        <x:v>5</x:v>
      </x:c>
      <x:c r="L78" s="146" t="n">
        <x:f>IF(AND(ISNUMBER(E78),ISNUMBER(J78)),E78-J78,"n/m")</x:f>
        <x:v>-1.9915414104096385</x:v>
      </x:c>
      <x:c r="M78" s="146" t="n">
        <x:f>IF(COUNT(F78:I78)=0,"n/m",AVERAGE(F78:I78))</x:f>
        <x:v>141.64307828030297</x:v>
      </x:c>
      <x:c r="N78" s="146" t="n">
        <x:f>IF(COUNT(E78:I78)=0,"n/m",MEDIAN(E78:I78))</x:f>
        <x:v>141.02955321201802</x:v>
      </x:c>
      <x:c r="O78" s="11" t="str">
        <x:v>Lower</x:v>
      </x:c>
      <x:c r="P78" s="9" t="str">
        <x:f>IF(NOT(ISNUMBER(L78)),"n/m",IF(O78="Higher",IF(L78&gt;=0,"Above avg - favourable","Below avg - unfavourable"),IF(O78="Lower",IF(L78&lt;=0,"Below avg - favourable","Above avg - unfavourable"),IF(L78&gt;=0,"Above avg - context-dependent","Below avg - context-dependent"))))&amp;IF(K78&lt;5," (N="&amp;K78&amp;")","")</x:f>
        <x:v>Below avg - favourable</x:v>
      </x:c>
      <x:c r="Q78"/>
      <x:c r="R78" s="59" t="str">
        <x:f>IF(K78=0,"n/m",IF(ABS(J78-SUM(E78:I78)/K78)&lt;0.000000001,"OK","ERR"))</x:f>
        <x:v>OK</x:v>
      </x:c>
    </x:row>
    <x:row r="79" ht="15" hidden="0">
      <x:c r="A79" s="54" t="str">
        <x:v>Asset Management</x:v>
      </x:c>
      <x:c r="B79" s="25" t="n">
        <x:v>13</x:v>
      </x:c>
      <x:c r="C79" s="24" t="str">
        <x:v>13. Cash conversion cycle (days)</x:v>
      </x:c>
      <x:c r="D79" s="25"/>
      <x:c r="E79" s="25"/>
      <x:c r="F79" s="25"/>
      <x:c r="G79" s="25"/>
      <x:c r="H79" s="25"/>
      <x:c r="I79" s="25"/>
      <x:c r="J79" s="25"/>
      <x:c r="K79" s="25"/>
      <x:c r="L79" s="25"/>
      <x:c r="M79" s="25"/>
      <x:c r="N79" s="25"/>
      <x:c r="O79" s="25"/>
      <x:c r="P79" s="25"/>
      <x:c r="Q79" s="55"/>
      <x:c r="R79" s="25"/>
    </x:row>
    <x:row r="80" ht="15" hidden="0">
      <x:c r="A80"/>
      <x:c r="B80"/>
      <x:c r="C80" s="56" t="str">
        <x:v>Cash conversion cycle (days)</x:v>
      </x:c>
      <x:c r="D80" s="11" t="str">
        <x:v>FY2021</x:v>
      </x:c>
      <x:c r="E80" s="144" t="n">
        <x:f>KOHC!D151</x:f>
        <x:v>59.66334864328658</x:v>
      </x:c>
      <x:c r="F80" s="144" t="n">
        <x:f>LUCK!D151</x:f>
        <x:v>90.74788941203903</x:v>
      </x:c>
      <x:c r="G80" s="144" t="n">
        <x:f>DGKC!D151</x:f>
        <x:v>97.32755795260586</x:v>
      </x:c>
      <x:c r="H80" s="144" t="n">
        <x:f>MLCF!D151</x:f>
        <x:v>117.14268112684906</x:v>
      </x:c>
      <x:c r="I80" s="144" t="n">
        <x:f>FCCL!D151</x:f>
        <x:v>108.16978620747179</x:v>
      </x:c>
      <x:c r="J80" s="145" t="n">
        <x:f>IF(COUNT(E80:I80)=0,"n/m",AVERAGE(E80:I80))</x:f>
        <x:v>94.61025266845047</x:v>
      </x:c>
      <x:c r="K80" s="11" t="n">
        <x:f>COUNT(E80:I80)</x:f>
        <x:v>5</x:v>
      </x:c>
      <x:c r="L80" s="146" t="n">
        <x:f>IF(AND(ISNUMBER(E80),ISNUMBER(J80)),E80-J80,"n/m")</x:f>
        <x:v>-34.94690402516389</x:v>
      </x:c>
      <x:c r="M80" s="146" t="n">
        <x:f>IF(COUNT(F80:I80)=0,"n/m",AVERAGE(F80:I80))</x:f>
        <x:v>103.34697867474145</x:v>
      </x:c>
      <x:c r="N80" s="146" t="n">
        <x:f>IF(COUNT(E80:I80)=0,"n/m",MEDIAN(E80:I80))</x:f>
        <x:v>97.32755795260586</x:v>
      </x:c>
      <x:c r="O80" s="11" t="str">
        <x:v>Lower</x:v>
      </x:c>
      <x:c r="P80" s="9" t="str">
        <x:f>IF(NOT(ISNUMBER(L80)),"n/m",IF(O80="Higher",IF(L80&gt;=0,"Above avg - favourable","Below avg - unfavourable"),IF(O80="Lower",IF(L80&lt;=0,"Below avg - favourable","Above avg - unfavourable"),IF(L80&gt;=0,"Above avg - context-dependent","Below avg - context-dependent"))))&amp;IF(K80&lt;5," (N="&amp;K80&amp;")","")</x:f>
        <x:v>Below avg - favourable</x:v>
      </x:c>
      <x:c r="Q80"/>
      <x:c r="R80" s="59" t="str">
        <x:f>IF(K80=0,"n/m",IF(ABS(J80-SUM(E80:I80)/K80)&lt;0.000000001,"OK","ERR"))</x:f>
        <x:v>OK</x:v>
      </x:c>
    </x:row>
    <x:row r="81" ht="15" hidden="0">
      <x:c r="A81"/>
      <x:c r="B81"/>
      <x:c r="C81" s="56" t="str">
        <x:v>Cash conversion cycle (days)</x:v>
      </x:c>
      <x:c r="D81" s="11" t="str">
        <x:v>FY2022</x:v>
      </x:c>
      <x:c r="E81" s="144" t="n">
        <x:f>KOHC!E151</x:f>
        <x:v>66.07219583568286</x:v>
      </x:c>
      <x:c r="F81" s="144" t="n">
        <x:f>LUCK!E151</x:f>
        <x:v>94.37733461469227</x:v>
      </x:c>
      <x:c r="G81" s="144" t="n">
        <x:f>DGKC!E151</x:f>
        <x:v>113.97054065366662</x:v>
      </x:c>
      <x:c r="H81" s="144" t="n">
        <x:f>MLCF!E151</x:f>
        <x:v>113.55287092262091</x:v>
      </x:c>
      <x:c r="I81" s="144" t="n">
        <x:f>FCCL!E151</x:f>
        <x:v>95.49527727433959</x:v>
      </x:c>
      <x:c r="J81" s="145" t="n">
        <x:f>IF(COUNT(E81:I81)=0,"n/m",AVERAGE(E81:I81))</x:f>
        <x:v>96.69364386020045</x:v>
      </x:c>
      <x:c r="K81" s="11" t="n">
        <x:f>COUNT(E81:I81)</x:f>
        <x:v>5</x:v>
      </x:c>
      <x:c r="L81" s="146" t="n">
        <x:f>IF(AND(ISNUMBER(E81),ISNUMBER(J81)),E81-J81,"n/m")</x:f>
        <x:v>-30.62144802451759</x:v>
      </x:c>
      <x:c r="M81" s="146" t="n">
        <x:f>IF(COUNT(F81:I81)=0,"n/m",AVERAGE(F81:I81))</x:f>
        <x:v>104.34900586632985</x:v>
      </x:c>
      <x:c r="N81" s="146" t="n">
        <x:f>IF(COUNT(E81:I81)=0,"n/m",MEDIAN(E81:I81))</x:f>
        <x:v>95.49527727433959</x:v>
      </x:c>
      <x:c r="O81" s="11" t="str">
        <x:v>Lower</x:v>
      </x:c>
      <x:c r="P81" s="9" t="str">
        <x:f>IF(NOT(ISNUMBER(L81)),"n/m",IF(O81="Higher",IF(L81&gt;=0,"Above avg - favourable","Below avg - unfavourable"),IF(O81="Lower",IF(L81&lt;=0,"Below avg - favourable","Above avg - unfavourable"),IF(L81&gt;=0,"Above avg - context-dependent","Below avg - context-dependent"))))&amp;IF(K81&lt;5," (N="&amp;K81&amp;")","")</x:f>
        <x:v>Below avg - favourable</x:v>
      </x:c>
      <x:c r="Q81"/>
      <x:c r="R81" s="59" t="str">
        <x:f>IF(K81=0,"n/m",IF(ABS(J81-SUM(E81:I81)/K81)&lt;0.000000001,"OK","ERR"))</x:f>
        <x:v>OK</x:v>
      </x:c>
    </x:row>
    <x:row r="82" ht="15" hidden="0">
      <x:c r="A82"/>
      <x:c r="B82"/>
      <x:c r="C82" s="56" t="str">
        <x:v>Cash conversion cycle (days)</x:v>
      </x:c>
      <x:c r="D82" s="11" t="str">
        <x:v>FY2023</x:v>
      </x:c>
      <x:c r="E82" s="144" t="n">
        <x:f>KOHC!F151</x:f>
        <x:v>82.78887616309285</x:v>
      </x:c>
      <x:c r="F82" s="144" t="n">
        <x:f>LUCK!F151</x:f>
        <x:v>95.20473922370724</x:v>
      </x:c>
      <x:c r="G82" s="144" t="n">
        <x:f>DGKC!F151</x:f>
        <x:v>123.10632996704659</x:v>
      </x:c>
      <x:c r="H82" s="144" t="n">
        <x:f>MLCF!F151</x:f>
        <x:v>90.89673173756466</x:v>
      </x:c>
      <x:c r="I82" s="144" t="n">
        <x:f>FCCL!F151</x:f>
        <x:v>113.53363711445124</x:v>
      </x:c>
      <x:c r="J82" s="145" t="n">
        <x:f>IF(COUNT(E82:I82)=0,"n/m",AVERAGE(E82:I82))</x:f>
        <x:v>101.10606284117253</x:v>
      </x:c>
      <x:c r="K82" s="11" t="n">
        <x:f>COUNT(E82:I82)</x:f>
        <x:v>5</x:v>
      </x:c>
      <x:c r="L82" s="146" t="n">
        <x:f>IF(AND(ISNUMBER(E82),ISNUMBER(J82)),E82-J82,"n/m")</x:f>
        <x:v>-18.31718667807968</x:v>
      </x:c>
      <x:c r="M82" s="146" t="n">
        <x:f>IF(COUNT(F82:I82)=0,"n/m",AVERAGE(F82:I82))</x:f>
        <x:v>105.68535951069242</x:v>
      </x:c>
      <x:c r="N82" s="146" t="n">
        <x:f>IF(COUNT(E82:I82)=0,"n/m",MEDIAN(E82:I82))</x:f>
        <x:v>95.20473922370724</x:v>
      </x:c>
      <x:c r="O82" s="11" t="str">
        <x:v>Lower</x:v>
      </x:c>
      <x:c r="P82" s="9" t="str">
        <x:f>IF(NOT(ISNUMBER(L82)),"n/m",IF(O82="Higher",IF(L82&gt;=0,"Above avg - favourable","Below avg - unfavourable"),IF(O82="Lower",IF(L82&lt;=0,"Below avg - favourable","Above avg - unfavourable"),IF(L82&gt;=0,"Above avg - context-dependent","Below avg - context-dependent"))))&amp;IF(K82&lt;5," (N="&amp;K82&amp;")","")</x:f>
        <x:v>Below avg - favourable</x:v>
      </x:c>
      <x:c r="Q82"/>
      <x:c r="R82" s="59" t="str">
        <x:f>IF(K82=0,"n/m",IF(ABS(J82-SUM(E82:I82)/K82)&lt;0.000000001,"OK","ERR"))</x:f>
        <x:v>OK</x:v>
      </x:c>
    </x:row>
    <x:row r="83" ht="15" hidden="0">
      <x:c r="A83"/>
      <x:c r="B83"/>
      <x:c r="C83" s="56" t="str">
        <x:v>Cash conversion cycle (days)</x:v>
      </x:c>
      <x:c r="D83" s="11" t="str">
        <x:v>FY2024</x:v>
      </x:c>
      <x:c r="E83" s="144" t="n">
        <x:f>KOHC!G151</x:f>
        <x:v>100.80234556959385</x:v>
      </x:c>
      <x:c r="F83" s="144" t="n">
        <x:f>LUCK!G151</x:f>
        <x:v>93.02401833141005</x:v>
      </x:c>
      <x:c r="G83" s="144" t="n">
        <x:f>DGKC!G151</x:f>
        <x:v>108.89985368796259</x:v>
      </x:c>
      <x:c r="H83" s="144" t="n">
        <x:f>MLCF!G151</x:f>
        <x:v>87.90058518831941</x:v>
      </x:c>
      <x:c r="I83" s="144" t="n">
        <x:f>FCCL!G151</x:f>
        <x:v>109.34104725924954</x:v>
      </x:c>
      <x:c r="J83" s="145" t="n">
        <x:f>IF(COUNT(E83:I83)=0,"n/m",AVERAGE(E83:I83))</x:f>
        <x:v>99.99357000730708</x:v>
      </x:c>
      <x:c r="K83" s="11" t="n">
        <x:f>COUNT(E83:I83)</x:f>
        <x:v>5</x:v>
      </x:c>
      <x:c r="L83" s="146" t="n">
        <x:f>IF(AND(ISNUMBER(E83),ISNUMBER(J83)),E83-J83,"n/m")</x:f>
        <x:v>0.808775562286769</x:v>
      </x:c>
      <x:c r="M83" s="146" t="n">
        <x:f>IF(COUNT(F83:I83)=0,"n/m",AVERAGE(F83:I83))</x:f>
        <x:v>99.79137611673539</x:v>
      </x:c>
      <x:c r="N83" s="146" t="n">
        <x:f>IF(COUNT(E83:I83)=0,"n/m",MEDIAN(E83:I83))</x:f>
        <x:v>100.80234556959385</x:v>
      </x:c>
      <x:c r="O83" s="11" t="str">
        <x:v>Lower</x:v>
      </x:c>
      <x:c r="P83" s="9" t="str">
        <x:f>IF(NOT(ISNUMBER(L83)),"n/m",IF(O83="Higher",IF(L83&gt;=0,"Above avg - favourable","Below avg - unfavourable"),IF(O83="Lower",IF(L83&lt;=0,"Below avg - favourable","Above avg - unfavourable"),IF(L83&gt;=0,"Above avg - context-dependent","Below avg - context-dependent"))))&amp;IF(K83&lt;5," (N="&amp;K83&amp;")","")</x:f>
        <x:v>Above avg - unfavourable</x:v>
      </x:c>
      <x:c r="Q83"/>
      <x:c r="R83" s="59" t="str">
        <x:f>IF(K83=0,"n/m",IF(ABS(J83-SUM(E83:I83)/K83)&lt;0.000000001,"OK","ERR"))</x:f>
        <x:v>OK</x:v>
      </x:c>
    </x:row>
    <x:row r="84" ht="15" hidden="0">
      <x:c r="A84"/>
      <x:c r="B84"/>
      <x:c r="C84" s="56" t="str">
        <x:v>Cash conversion cycle (days)</x:v>
      </x:c>
      <x:c r="D84" s="11" t="str">
        <x:v>FY2025</x:v>
      </x:c>
      <x:c r="E84" s="144" t="n">
        <x:f>KOHC!H151</x:f>
        <x:v>108.04716265276964</x:v>
      </x:c>
      <x:c r="F84" s="144" t="n">
        <x:f>LUCK!H151</x:f>
        <x:v>95.67813071445953</x:v>
      </x:c>
      <x:c r="G84" s="144" t="n">
        <x:f>DGKC!H151</x:f>
        <x:v>114.67287204684449</x:v>
      </x:c>
      <x:c r="H84" s="144" t="n">
        <x:f>MLCF!H151</x:f>
        <x:v>102.9163012483726</x:v>
      </x:c>
      <x:c r="I84" s="144" t="n">
        <x:f>FCCL!H151</x:f>
        <x:v>125.8888849956775</x:v>
      </x:c>
      <x:c r="J84" s="145" t="n">
        <x:f>IF(COUNT(E84:I84)=0,"n/m",AVERAGE(E84:I84))</x:f>
        <x:v>109.44067033162476</x:v>
      </x:c>
      <x:c r="K84" s="11" t="n">
        <x:f>COUNT(E84:I84)</x:f>
        <x:v>5</x:v>
      </x:c>
      <x:c r="L84" s="146" t="n">
        <x:f>IF(AND(ISNUMBER(E84),ISNUMBER(J84)),E84-J84,"n/m")</x:f>
        <x:v>-1.3935076788551157</x:v>
      </x:c>
      <x:c r="M84" s="146" t="n">
        <x:f>IF(COUNT(F84:I84)=0,"n/m",AVERAGE(F84:I84))</x:f>
        <x:v>109.78904725133853</x:v>
      </x:c>
      <x:c r="N84" s="146" t="n">
        <x:f>IF(COUNT(E84:I84)=0,"n/m",MEDIAN(E84:I84))</x:f>
        <x:v>108.04716265276964</x:v>
      </x:c>
      <x:c r="O84" s="11" t="str">
        <x:v>Lower</x:v>
      </x:c>
      <x:c r="P84" s="9" t="str">
        <x:f>IF(NOT(ISNUMBER(L84)),"n/m",IF(O84="Higher",IF(L84&gt;=0,"Above avg - favourable","Below avg - unfavourable"),IF(O84="Lower",IF(L84&lt;=0,"Below avg - favourable","Above avg - unfavourable"),IF(L84&gt;=0,"Above avg - context-dependent","Below avg - context-dependent"))))&amp;IF(K84&lt;5," (N="&amp;K84&amp;")","")</x:f>
        <x:v>Below avg - favourable</x:v>
      </x:c>
      <x:c r="Q84"/>
      <x:c r="R84" s="59" t="str">
        <x:f>IF(K84=0,"n/m",IF(ABS(J84-SUM(E84:I84)/K84)&lt;0.000000001,"OK","ERR"))</x:f>
        <x:v>OK</x:v>
      </x:c>
    </x:row>
    <x:row r="85" ht="15" hidden="0">
      <x:c r="A85" s="54" t="str">
        <x:v>Asset Management</x:v>
      </x:c>
      <x:c r="B85" s="25" t="n">
        <x:v>14</x:v>
      </x:c>
      <x:c r="C85" s="24" t="str">
        <x:v>14. Total asset turnover</x:v>
      </x:c>
      <x:c r="D85" s="25"/>
      <x:c r="E85" s="25"/>
      <x:c r="F85" s="25"/>
      <x:c r="G85" s="25"/>
      <x:c r="H85" s="25"/>
      <x:c r="I85" s="25"/>
      <x:c r="J85" s="25"/>
      <x:c r="K85" s="25"/>
      <x:c r="L85" s="25"/>
      <x:c r="M85" s="25"/>
      <x:c r="N85" s="25"/>
      <x:c r="O85" s="25"/>
      <x:c r="P85" s="25"/>
      <x:c r="Q85" s="55"/>
      <x:c r="R85" s="25"/>
    </x:row>
    <x:row r="86" ht="15" hidden="0">
      <x:c r="A86"/>
      <x:c r="B86"/>
      <x:c r="C86" s="56" t="str">
        <x:v>Total asset turnover</x:v>
      </x:c>
      <x:c r="D86" s="11" t="str">
        <x:v>FY2021</x:v>
      </x:c>
      <x:c r="E86" s="138" t="n">
        <x:f>KOHC!D152</x:f>
        <x:v>0.7092011621843222</x:v>
      </x:c>
      <x:c r="F86" s="138" t="n">
        <x:f>LUCK!D152</x:f>
        <x:v>0.43075247100519976</x:v>
      </x:c>
      <x:c r="G86" s="138" t="n">
        <x:f>DGKC!D152</x:f>
        <x:v>0.337321560534536</x:v>
      </x:c>
      <x:c r="H86" s="138" t="n">
        <x:f>MLCF!D152</x:f>
        <x:v>0.5374450896807583</x:v>
      </x:c>
      <x:c r="I86" s="138" t="n">
        <x:f>FCCL!D152</x:f>
        <x:v>0.7673483591494026</x:v>
      </x:c>
      <x:c r="J86" s="139" t="n">
        <x:f>IF(COUNT(E86:I86)=0,"n/m",AVERAGE(E86:I86))</x:f>
        <x:v>0.5564137285108437</x:v>
      </x:c>
      <x:c r="K86" s="11" t="n">
        <x:f>COUNT(E86:I86)</x:f>
        <x:v>5</x:v>
      </x:c>
      <x:c r="L86" s="140" t="n">
        <x:f>IF(AND(ISNUMBER(E86),ISNUMBER(J86)),E86-J86,"n/m")</x:f>
        <x:v>0.15278743367347847</x:v>
      </x:c>
      <x:c r="M86" s="140" t="n">
        <x:f>IF(COUNT(F86:I86)=0,"n/m",AVERAGE(F86:I86))</x:f>
        <x:v>0.5182168700924741</x:v>
      </x:c>
      <x:c r="N86" s="140" t="n">
        <x:f>IF(COUNT(E86:I86)=0,"n/m",MEDIAN(E86:I86))</x:f>
        <x:v>0.5374450896807583</x:v>
      </x:c>
      <x:c r="O86" s="11" t="str">
        <x:v>Higher</x:v>
      </x:c>
      <x:c r="P86" s="9" t="str">
        <x:f>IF(NOT(ISNUMBER(L86)),"n/m",IF(O86="Higher",IF(L86&gt;=0,"Above avg - favourable","Below avg - unfavourable"),IF(O86="Lower",IF(L86&lt;=0,"Below avg - favourable","Above avg - unfavourable"),IF(L86&gt;=0,"Above avg - context-dependent","Below avg - context-dependent"))))&amp;IF(K86&lt;5," (N="&amp;K86&amp;")","")</x:f>
        <x:v>Above avg - favourable</x:v>
      </x:c>
      <x:c r="Q86"/>
      <x:c r="R86" s="59" t="str">
        <x:f>IF(K86=0,"n/m",IF(ABS(J86-SUM(E86:I86)/K86)&lt;0.000000001,"OK","ERR"))</x:f>
        <x:v>OK</x:v>
      </x:c>
    </x:row>
    <x:row r="87" ht="15" hidden="0">
      <x:c r="A87"/>
      <x:c r="B87"/>
      <x:c r="C87" s="56" t="str">
        <x:v>Total asset turnover</x:v>
      </x:c>
      <x:c r="D87" s="11" t="str">
        <x:v>FY2022</x:v>
      </x:c>
      <x:c r="E87" s="138" t="n">
        <x:f>KOHC!E152</x:f>
        <x:v>0.8277428727778264</x:v>
      </x:c>
      <x:c r="F87" s="138" t="n">
        <x:f>LUCK!E152</x:f>
        <x:v>0.4751614147030488</x:v>
      </x:c>
      <x:c r="G87" s="138" t="n">
        <x:f>DGKC!E152</x:f>
        <x:v>0.42297281053904634</x:v>
      </x:c>
      <x:c r="H87" s="138" t="n">
        <x:f>MLCF!E152</x:f>
        <x:v>0.6536676591930263</x:v>
      </x:c>
      <x:c r="I87" s="138" t="n">
        <x:f>FCCL!E152</x:f>
        <x:v>0.7342538737719585</x:v>
      </x:c>
      <x:c r="J87" s="139" t="n">
        <x:f>IF(COUNT(E87:I87)=0,"n/m",AVERAGE(E87:I87))</x:f>
        <x:v>0.6227597261969813</x:v>
      </x:c>
      <x:c r="K87" s="11" t="n">
        <x:f>COUNT(E87:I87)</x:f>
        <x:v>5</x:v>
      </x:c>
      <x:c r="L87" s="140" t="n">
        <x:f>IF(AND(ISNUMBER(E87),ISNUMBER(J87)),E87-J87,"n/m")</x:f>
        <x:v>0.20498314658084515</x:v>
      </x:c>
      <x:c r="M87" s="140" t="n">
        <x:f>IF(COUNT(F87:I87)=0,"n/m",AVERAGE(F87:I87))</x:f>
        <x:v>0.57151393955177</x:v>
      </x:c>
      <x:c r="N87" s="140" t="n">
        <x:f>IF(COUNT(E87:I87)=0,"n/m",MEDIAN(E87:I87))</x:f>
        <x:v>0.6536676591930263</x:v>
      </x:c>
      <x:c r="O87" s="11" t="str">
        <x:v>Higher</x:v>
      </x:c>
      <x:c r="P87" s="9" t="str">
        <x:f>IF(NOT(ISNUMBER(L87)),"n/m",IF(O87="Higher",IF(L87&gt;=0,"Above avg - favourable","Below avg - unfavourable"),IF(O87="Lower",IF(L87&lt;=0,"Below avg - favourable","Above avg - unfavourable"),IF(L87&gt;=0,"Above avg - context-dependent","Below avg - context-dependent"))))&amp;IF(K87&lt;5," (N="&amp;K87&amp;")","")</x:f>
        <x:v>Above avg - favourable</x:v>
      </x:c>
      <x:c r="Q87"/>
      <x:c r="R87" s="59" t="str">
        <x:f>IF(K87=0,"n/m",IF(ABS(J87-SUM(E87:I87)/K87)&lt;0.000000001,"OK","ERR"))</x:f>
        <x:v>OK</x:v>
      </x:c>
    </x:row>
    <x:row r="88" ht="15" hidden="0">
      <x:c r="A88"/>
      <x:c r="B88"/>
      <x:c r="C88" s="56" t="str">
        <x:v>Total asset turnover</x:v>
      </x:c>
      <x:c r="D88" s="11" t="str">
        <x:v>FY2023</x:v>
      </x:c>
      <x:c r="E88" s="138" t="n">
        <x:f>KOHC!F152</x:f>
        <x:v>0.838099135080987</x:v>
      </x:c>
      <x:c r="F88" s="138" t="n">
        <x:f>LUCK!F152</x:f>
        <x:v>0.4815184479475107</x:v>
      </x:c>
      <x:c r="G88" s="138" t="n">
        <x:f>DGKC!F152</x:f>
        <x:v>0.47909875248597583</x:v>
      </x:c>
      <x:c r="H88" s="138" t="n">
        <x:f>MLCF!F152</x:f>
        <x:v>0.7221331478723996</x:v>
      </x:c>
      <x:c r="I88" s="138" t="n">
        <x:f>FCCL!F152</x:f>
        <x:v>0.5391058922773014</x:v>
      </x:c>
      <x:c r="J88" s="139" t="n">
        <x:f>IF(COUNT(E88:I88)=0,"n/m",AVERAGE(E88:I88))</x:f>
        <x:v>0.6119910751328349</x:v>
      </x:c>
      <x:c r="K88" s="11" t="n">
        <x:f>COUNT(E88:I88)</x:f>
        <x:v>5</x:v>
      </x:c>
      <x:c r="L88" s="140" t="n">
        <x:f>IF(AND(ISNUMBER(E88),ISNUMBER(J88)),E88-J88,"n/m")</x:f>
        <x:v>0.22610805994815208</x:v>
      </x:c>
      <x:c r="M88" s="140" t="n">
        <x:f>IF(COUNT(F88:I88)=0,"n/m",AVERAGE(F88:I88))</x:f>
        <x:v>0.5554640601457969</x:v>
      </x:c>
      <x:c r="N88" s="140" t="n">
        <x:f>IF(COUNT(E88:I88)=0,"n/m",MEDIAN(E88:I88))</x:f>
        <x:v>0.5391058922773014</x:v>
      </x:c>
      <x:c r="O88" s="11" t="str">
        <x:v>Higher</x:v>
      </x:c>
      <x:c r="P88" s="9" t="str">
        <x:f>IF(NOT(ISNUMBER(L88)),"n/m",IF(O88="Higher",IF(L88&gt;=0,"Above avg - favourable","Below avg - unfavourable"),IF(O88="Lower",IF(L88&lt;=0,"Below avg - favourable","Above avg - unfavourable"),IF(L88&gt;=0,"Above avg - context-dependent","Below avg - context-dependent"))))&amp;IF(K88&lt;5," (N="&amp;K88&amp;")","")</x:f>
        <x:v>Above avg - favourable</x:v>
      </x:c>
      <x:c r="Q88"/>
      <x:c r="R88" s="59" t="str">
        <x:f>IF(K88=0,"n/m",IF(ABS(J88-SUM(E88:I88)/K88)&lt;0.000000001,"OK","ERR"))</x:f>
        <x:v>OK</x:v>
      </x:c>
    </x:row>
    <x:row r="89" ht="15" hidden="0">
      <x:c r="A89"/>
      <x:c r="B89"/>
      <x:c r="C89" s="56" t="str">
        <x:v>Total asset turnover</x:v>
      </x:c>
      <x:c r="D89" s="11" t="str">
        <x:v>FY2024</x:v>
      </x:c>
      <x:c r="E89" s="138" t="n">
        <x:f>KOHC!G152</x:f>
        <x:v>0.7132336607672219</x:v>
      </x:c>
      <x:c r="F89" s="138" t="n">
        <x:f>LUCK!G152</x:f>
        <x:v>0.5158831372305058</x:v>
      </x:c>
      <x:c r="G89" s="138" t="n">
        <x:f>DGKC!G152</x:f>
        <x:v>0.48362452491954855</x:v>
      </x:c>
      <x:c r="H89" s="138" t="n">
        <x:f>MLCF!G152</x:f>
        <x:v>0.7029264873878895</x:v>
      </x:c>
      <x:c r="I89" s="138" t="n">
        <x:f>FCCL!G152</x:f>
        <x:v>0.5587159547520806</x:v>
      </x:c>
      <x:c r="J89" s="139" t="n">
        <x:f>IF(COUNT(E89:I89)=0,"n/m",AVERAGE(E89:I89))</x:f>
        <x:v>0.5948767530114493</x:v>
      </x:c>
      <x:c r="K89" s="11" t="n">
        <x:f>COUNT(E89:I89)</x:f>
        <x:v>5</x:v>
      </x:c>
      <x:c r="L89" s="140" t="n">
        <x:f>IF(AND(ISNUMBER(E89),ISNUMBER(J89)),E89-J89,"n/m")</x:f>
        <x:v>0.11835690775577268</x:v>
      </x:c>
      <x:c r="M89" s="140" t="n">
        <x:f>IF(COUNT(F89:I89)=0,"n/m",AVERAGE(F89:I89))</x:f>
        <x:v>0.5652875260725061</x:v>
      </x:c>
      <x:c r="N89" s="140" t="n">
        <x:f>IF(COUNT(E89:I89)=0,"n/m",MEDIAN(E89:I89))</x:f>
        <x:v>0.5587159547520806</x:v>
      </x:c>
      <x:c r="O89" s="11" t="str">
        <x:v>Higher</x:v>
      </x:c>
      <x:c r="P89" s="9" t="str">
        <x:f>IF(NOT(ISNUMBER(L89)),"n/m",IF(O89="Higher",IF(L89&gt;=0,"Above avg - favourable","Below avg - unfavourable"),IF(O89="Lower",IF(L89&lt;=0,"Below avg - favourable","Above avg - unfavourable"),IF(L89&gt;=0,"Above avg - context-dependent","Below avg - context-dependent"))))&amp;IF(K89&lt;5," (N="&amp;K89&amp;")","")</x:f>
        <x:v>Above avg - favourable</x:v>
      </x:c>
      <x:c r="Q89"/>
      <x:c r="R89" s="59" t="str">
        <x:f>IF(K89=0,"n/m",IF(ABS(J89-SUM(E89:I89)/K89)&lt;0.000000001,"OK","ERR"))</x:f>
        <x:v>OK</x:v>
      </x:c>
    </x:row>
    <x:row r="90" ht="15" hidden="0">
      <x:c r="A90"/>
      <x:c r="B90"/>
      <x:c r="C90" s="56" t="str">
        <x:v>Total asset turnover</x:v>
      </x:c>
      <x:c r="D90" s="11" t="str">
        <x:v>FY2025</x:v>
      </x:c>
      <x:c r="E90" s="138" t="n">
        <x:f>KOHC!H152</x:f>
        <x:v>0.59752332567838</x:v>
      </x:c>
      <x:c r="F90" s="138" t="n">
        <x:f>LUCK!H152</x:f>
        <x:v>0.49728501600707337</x:v>
      </x:c>
      <x:c r="G90" s="138" t="n">
        <x:f>DGKC!H152</x:f>
        <x:v>0.5057355687914292</x:v>
      </x:c>
      <x:c r="H90" s="138" t="n">
        <x:f>MLCF!H152</x:f>
        <x:v>0.6311331505330572</x:v>
      </x:c>
      <x:c r="I90" s="138" t="n">
        <x:f>FCCL!H152</x:f>
        <x:v>0.576736892706269</x:v>
      </x:c>
      <x:c r="J90" s="139" t="n">
        <x:f>IF(COUNT(E90:I90)=0,"n/m",AVERAGE(E90:I90))</x:f>
        <x:v>0.5616827907432418</x:v>
      </x:c>
      <x:c r="K90" s="11" t="n">
        <x:f>COUNT(E90:I90)</x:f>
        <x:v>5</x:v>
      </x:c>
      <x:c r="L90" s="140" t="n">
        <x:f>IF(AND(ISNUMBER(E90),ISNUMBER(J90)),E90-J90,"n/m")</x:f>
        <x:v>0.03584053493513817</x:v>
      </x:c>
      <x:c r="M90" s="140" t="n">
        <x:f>IF(COUNT(F90:I90)=0,"n/m",AVERAGE(F90:I90))</x:f>
        <x:v>0.5527226570094572</x:v>
      </x:c>
      <x:c r="N90" s="140" t="n">
        <x:f>IF(COUNT(E90:I90)=0,"n/m",MEDIAN(E90:I90))</x:f>
        <x:v>0.576736892706269</x:v>
      </x:c>
      <x:c r="O90" s="11" t="str">
        <x:v>Higher</x:v>
      </x:c>
      <x:c r="P90" s="9" t="str">
        <x:f>IF(NOT(ISNUMBER(L90)),"n/m",IF(O90="Higher",IF(L90&gt;=0,"Above avg - favourable","Below avg - unfavourable"),IF(O90="Lower",IF(L90&lt;=0,"Below avg - favourable","Above avg - unfavourable"),IF(L90&gt;=0,"Above avg - context-dependent","Below avg - context-dependent"))))&amp;IF(K90&lt;5," (N="&amp;K90&amp;")","")</x:f>
        <x:v>Above avg - favourable</x:v>
      </x:c>
      <x:c r="Q90"/>
      <x:c r="R90" s="59" t="str">
        <x:f>IF(K90=0,"n/m",IF(ABS(J90-SUM(E90:I90)/K90)&lt;0.000000001,"OK","ERR"))</x:f>
        <x:v>OK</x:v>
      </x:c>
    </x:row>
    <x:row r="91" ht="15" hidden="0">
      <x:c r="A91" s="54" t="str">
        <x:v>Asset Management</x:v>
      </x:c>
      <x:c r="B91" s="25" t="n">
        <x:v>15</x:v>
      </x:c>
      <x:c r="C91" s="24" t="str">
        <x:v>15. Fixed asset turnover</x:v>
      </x:c>
      <x:c r="D91" s="25"/>
      <x:c r="E91" s="25"/>
      <x:c r="F91" s="25"/>
      <x:c r="G91" s="25"/>
      <x:c r="H91" s="25"/>
      <x:c r="I91" s="25"/>
      <x:c r="J91" s="25"/>
      <x:c r="K91" s="25"/>
      <x:c r="L91" s="25"/>
      <x:c r="M91" s="25"/>
      <x:c r="N91" s="25"/>
      <x:c r="O91" s="25"/>
      <x:c r="P91" s="25"/>
      <x:c r="Q91" s="55" t="s">
        <x:v>691</x:v>
      </x:c>
      <x:c r="R91" s="25"/>
    </x:row>
    <x:row r="92" ht="15" hidden="0">
      <x:c r="A92"/>
      <x:c r="B92"/>
      <x:c r="C92" s="56" t="str">
        <x:v>Fixed asset turnover</x:v>
      </x:c>
      <x:c r="D92" s="11" t="str">
        <x:v>FY2021</x:v>
      </x:c>
      <x:c r="E92" s="138" t="n">
        <x:f>KOHC!D153</x:f>
        <x:v>1.0844791007988606</x:v>
      </x:c>
      <x:c r="F92" s="138" t="n">
        <x:f>LUCK!D153</x:f>
        <x:v>1.064193408439223</x:v>
      </x:c>
      <x:c r="G92" s="138" t="n">
        <x:f>DGKC!D153</x:f>
        <x:v>0.5840225528925309</x:v>
      </x:c>
      <x:c r="H92" s="138" t="n">
        <x:f>MLCF!D153</x:f>
        <x:v>0.838288069294308</x:v>
      </x:c>
      <x:c r="I92" s="138" t="n">
        <x:f>FCCL!D153</x:f>
        <x:v>1.121529000686929</x:v>
      </x:c>
      <x:c r="J92" s="139" t="n">
        <x:f>IF(COUNT(E92:I92)=0,"n/m",AVERAGE(E92:I92))</x:f>
        <x:v>0.9385024264223703</x:v>
      </x:c>
      <x:c r="K92" s="11" t="n">
        <x:f>COUNT(E92:I92)</x:f>
        <x:v>5</x:v>
      </x:c>
      <x:c r="L92" s="140" t="n">
        <x:f>IF(AND(ISNUMBER(E92),ISNUMBER(J92)),E92-J92,"n/m")</x:f>
        <x:v>0.1459766743764903</x:v>
      </x:c>
      <x:c r="M92" s="140" t="n">
        <x:f>IF(COUNT(F92:I92)=0,"n/m",AVERAGE(F92:I92))</x:f>
        <x:v>0.9020082578282477</x:v>
      </x:c>
      <x:c r="N92" s="140" t="n">
        <x:f>IF(COUNT(E92:I92)=0,"n/m",MEDIAN(E92:I92))</x:f>
        <x:v>1.064193408439223</x:v>
      </x:c>
      <x:c r="O92" s="11" t="str">
        <x:v>Higher</x:v>
      </x:c>
      <x:c r="P92" s="9" t="str">
        <x:f>IF(NOT(ISNUMBER(L92)),"n/m",IF(O92="Higher",IF(L92&gt;=0,"Above avg - favourable","Below avg - unfavourable"),IF(O92="Lower",IF(L92&lt;=0,"Below avg - favourable","Above avg - unfavourable"),IF(L92&gt;=0,"Above avg - context-dependent","Below avg - context-dependent"))))&amp;IF(K92&lt;5," (N="&amp;K92&amp;")","")</x:f>
        <x:v>Above avg - favourable</x:v>
      </x:c>
      <x:c r="Q92"/>
      <x:c r="R92" s="59" t="str">
        <x:f>IF(K92=0,"n/m",IF(ABS(J92-SUM(E92:I92)/K92)&lt;0.000000001,"OK","ERR"))</x:f>
        <x:v>OK</x:v>
      </x:c>
    </x:row>
    <x:row r="93" ht="15" hidden="0">
      <x:c r="A93"/>
      <x:c r="B93"/>
      <x:c r="C93" s="56" t="str">
        <x:v>Fixed asset turnover</x:v>
      </x:c>
      <x:c r="D93" s="11" t="str">
        <x:v>FY2022</x:v>
      </x:c>
      <x:c r="E93" s="138" t="n">
        <x:f>KOHC!E153</x:f>
        <x:v>1.5307978904973403</x:v>
      </x:c>
      <x:c r="F93" s="138" t="n">
        <x:f>LUCK!E153</x:f>
        <x:v>1.3656161868044014</x:v>
      </x:c>
      <x:c r="G93" s="138" t="n">
        <x:f>DGKC!E153</x:f>
        <x:v>0.7284023454374957</x:v>
      </x:c>
      <x:c r="H93" s="138" t="n">
        <x:f>MLCF!E153</x:f>
        <x:v>1.172066585205955</x:v>
      </x:c>
      <x:c r="I93" s="138" t="n">
        <x:f>FCCL!E153</x:f>
        <x:v>1.6551596506379742</x:v>
      </x:c>
      <x:c r="J93" s="139" t="n">
        <x:f>IF(COUNT(E93:I93)=0,"n/m",AVERAGE(E93:I93))</x:f>
        <x:v>1.2904085317166332</x:v>
      </x:c>
      <x:c r="K93" s="11" t="n">
        <x:f>COUNT(E93:I93)</x:f>
        <x:v>5</x:v>
      </x:c>
      <x:c r="L93" s="140" t="n">
        <x:f>IF(AND(ISNUMBER(E93),ISNUMBER(J93)),E93-J93,"n/m")</x:f>
        <x:v>0.2403893587807071</x:v>
      </x:c>
      <x:c r="M93" s="140" t="n">
        <x:f>IF(COUNT(F93:I93)=0,"n/m",AVERAGE(F93:I93))</x:f>
        <x:v>1.2303111920214564</x:v>
      </x:c>
      <x:c r="N93" s="140" t="n">
        <x:f>IF(COUNT(E93:I93)=0,"n/m",MEDIAN(E93:I93))</x:f>
        <x:v>1.3656161868044014</x:v>
      </x:c>
      <x:c r="O93" s="11" t="str">
        <x:v>Higher</x:v>
      </x:c>
      <x:c r="P93" s="9" t="str">
        <x:f>IF(NOT(ISNUMBER(L93)),"n/m",IF(O93="Higher",IF(L93&gt;=0,"Above avg - favourable","Below avg - unfavourable"),IF(O93="Lower",IF(L93&lt;=0,"Below avg - favourable","Above avg - unfavourable"),IF(L93&gt;=0,"Above avg - context-dependent","Below avg - context-dependent"))))&amp;IF(K93&lt;5," (N="&amp;K93&amp;")","")</x:f>
        <x:v>Above avg - favourable</x:v>
      </x:c>
      <x:c r="Q93"/>
      <x:c r="R93" s="59" t="str">
        <x:f>IF(K93=0,"n/m",IF(ABS(J93-SUM(E93:I93)/K93)&lt;0.000000001,"OK","ERR"))</x:f>
        <x:v>OK</x:v>
      </x:c>
    </x:row>
    <x:row r="94" ht="15" hidden="0">
      <x:c r="A94"/>
      <x:c r="B94"/>
      <x:c r="C94" s="56" t="str">
        <x:v>Fixed asset turnover</x:v>
      </x:c>
      <x:c r="D94" s="11" t="str">
        <x:v>FY2023</x:v>
      </x:c>
      <x:c r="E94" s="138" t="n">
        <x:f>KOHC!F153</x:f>
        <x:v>1.876337672472641</x:v>
      </x:c>
      <x:c r="F94" s="138" t="n">
        <x:f>LUCK!F153</x:f>
        <x:v>1.2739571002729932</x:v>
      </x:c>
      <x:c r="G94" s="138" t="n">
        <x:f>DGKC!F153</x:f>
        <x:v>0.8006952973031204</x:v>
      </x:c>
      <x:c r="H94" s="138" t="n">
        <x:f>MLCF!F153</x:f>
        <x:v>1.2158524918829576</x:v>
      </x:c>
      <x:c r="I94" s="138" t="n">
        <x:f>FCCL!F153</x:f>
        <x:v>1.1919170397378338</x:v>
      </x:c>
      <x:c r="J94" s="139" t="n">
        <x:f>IF(COUNT(E94:I94)=0,"n/m",AVERAGE(E94:I94))</x:f>
        <x:v>1.2717519203339092</x:v>
      </x:c>
      <x:c r="K94" s="11" t="n">
        <x:f>COUNT(E94:I94)</x:f>
        <x:v>5</x:v>
      </x:c>
      <x:c r="L94" s="140" t="n">
        <x:f>IF(AND(ISNUMBER(E94),ISNUMBER(J94)),E94-J94,"n/m")</x:f>
        <x:v>0.6045857521387319</x:v>
      </x:c>
      <x:c r="M94" s="140" t="n">
        <x:f>IF(COUNT(F94:I94)=0,"n/m",AVERAGE(F94:I94))</x:f>
        <x:v>1.1206054822992262</x:v>
      </x:c>
      <x:c r="N94" s="140" t="n">
        <x:f>IF(COUNT(E94:I94)=0,"n/m",MEDIAN(E94:I94))</x:f>
        <x:v>1.2158524918829576</x:v>
      </x:c>
      <x:c r="O94" s="11" t="str">
        <x:v>Higher</x:v>
      </x:c>
      <x:c r="P94" s="9" t="str">
        <x:f>IF(NOT(ISNUMBER(L94)),"n/m",IF(O94="Higher",IF(L94&gt;=0,"Above avg - favourable","Below avg - unfavourable"),IF(O94="Lower",IF(L94&lt;=0,"Below avg - favourable","Above avg - unfavourable"),IF(L94&gt;=0,"Above avg - context-dependent","Below avg - context-dependent"))))&amp;IF(K94&lt;5," (N="&amp;K94&amp;")","")</x:f>
        <x:v>Above avg - favourable</x:v>
      </x:c>
      <x:c r="Q94"/>
      <x:c r="R94" s="59" t="str">
        <x:f>IF(K94=0,"n/m",IF(ABS(J94-SUM(E94:I94)/K94)&lt;0.000000001,"OK","ERR"))</x:f>
        <x:v>OK</x:v>
      </x:c>
    </x:row>
    <x:row r="95" ht="15" hidden="0">
      <x:c r="A95"/>
      <x:c r="B95"/>
      <x:c r="C95" s="56" t="str">
        <x:v>Fixed asset turnover</x:v>
      </x:c>
      <x:c r="D95" s="11" t="str">
        <x:v>FY2024</x:v>
      </x:c>
      <x:c r="E95" s="138" t="n">
        <x:f>KOHC!G153</x:f>
        <x:v>1.8650719460684553</x:v>
      </x:c>
      <x:c r="F95" s="138" t="n">
        <x:f>LUCK!G153</x:f>
        <x:v>1.242164612598929</x:v>
      </x:c>
      <x:c r="G95" s="138" t="n">
        <x:f>DGKC!G153</x:f>
        <x:v>0.8318493605276719</x:v>
      </x:c>
      <x:c r="H95" s="138" t="n">
        <x:f>MLCF!G153</x:f>
        <x:v>1.0531088846951966</x:v>
      </x:c>
      <x:c r="I95" s="138" t="n">
        <x:f>FCCL!G153</x:f>
        <x:v>0.8889851122075039</x:v>
      </x:c>
      <x:c r="J95" s="139" t="n">
        <x:f>IF(COUNT(E95:I95)=0,"n/m",AVERAGE(E95:I95))</x:f>
        <x:v>1.1762359832195513</x:v>
      </x:c>
      <x:c r="K95" s="11" t="n">
        <x:f>COUNT(E95:I95)</x:f>
        <x:v>5</x:v>
      </x:c>
      <x:c r="L95" s="140" t="n">
        <x:f>IF(AND(ISNUMBER(E95),ISNUMBER(J95)),E95-J95,"n/m")</x:f>
        <x:v>0.688835962848904</x:v>
      </x:c>
      <x:c r="M95" s="140" t="n">
        <x:f>IF(COUNT(F95:I95)=0,"n/m",AVERAGE(F95:I95))</x:f>
        <x:v>1.0040269925073253</x:v>
      </x:c>
      <x:c r="N95" s="140" t="n">
        <x:f>IF(COUNT(E95:I95)=0,"n/m",MEDIAN(E95:I95))</x:f>
        <x:v>1.0531088846951966</x:v>
      </x:c>
      <x:c r="O95" s="11" t="str">
        <x:v>Higher</x:v>
      </x:c>
      <x:c r="P95" s="9" t="str">
        <x:f>IF(NOT(ISNUMBER(L95)),"n/m",IF(O95="Higher",IF(L95&gt;=0,"Above avg - favourable","Below avg - unfavourable"),IF(O95="Lower",IF(L95&lt;=0,"Below avg - favourable","Above avg - unfavourable"),IF(L95&gt;=0,"Above avg - context-dependent","Below avg - context-dependent"))))&amp;IF(K95&lt;5," (N="&amp;K95&amp;")","")</x:f>
        <x:v>Above avg - favourable</x:v>
      </x:c>
      <x:c r="Q95"/>
      <x:c r="R95" s="59" t="str">
        <x:f>IF(K95=0,"n/m",IF(ABS(J95-SUM(E95:I95)/K95)&lt;0.000000001,"OK","ERR"))</x:f>
        <x:v>OK</x:v>
      </x:c>
    </x:row>
    <x:row r="96" ht="15" hidden="0">
      <x:c r="A96"/>
      <x:c r="B96"/>
      <x:c r="C96" s="56" t="str">
        <x:v>Fixed asset turnover</x:v>
      </x:c>
      <x:c r="D96" s="11" t="str">
        <x:v>FY2025</x:v>
      </x:c>
      <x:c r="E96" s="138" t="n">
        <x:f>KOHC!H153</x:f>
        <x:v>1.7861104563188661</x:v>
      </x:c>
      <x:c r="F96" s="138" t="n">
        <x:f>LUCK!H153</x:f>
        <x:v>1.2601477514941262</x:v>
      </x:c>
      <x:c r="G96" s="138" t="n">
        <x:f>DGKC!H153</x:f>
        <x:v>0.9277030351499571</x:v>
      </x:c>
      <x:c r="H96" s="138" t="n">
        <x:f>MLCF!H153</x:f>
        <x:v>1.0752521941525262</x:v>
      </x:c>
      <x:c r="I96" s="138" t="n">
        <x:f>FCCL!H153</x:f>
        <x:v>0.8108018836700552</x:v>
      </x:c>
      <x:c r="J96" s="139" t="n">
        <x:f>IF(COUNT(E96:I96)=0,"n/m",AVERAGE(E96:I96))</x:f>
        <x:v>1.172003064157106</x:v>
      </x:c>
      <x:c r="K96" s="11" t="n">
        <x:f>COUNT(E96:I96)</x:f>
        <x:v>5</x:v>
      </x:c>
      <x:c r="L96" s="140" t="n">
        <x:f>IF(AND(ISNUMBER(E96),ISNUMBER(J96)),E96-J96,"n/m")</x:f>
        <x:v>0.6141073921617601</x:v>
      </x:c>
      <x:c r="M96" s="140" t="n">
        <x:f>IF(COUNT(F96:I96)=0,"n/m",AVERAGE(F96:I96))</x:f>
        <x:v>1.018476216116666</x:v>
      </x:c>
      <x:c r="N96" s="140" t="n">
        <x:f>IF(COUNT(E96:I96)=0,"n/m",MEDIAN(E96:I96))</x:f>
        <x:v>1.0752521941525262</x:v>
      </x:c>
      <x:c r="O96" s="11" t="str">
        <x:v>Higher</x:v>
      </x:c>
      <x:c r="P96" s="9" t="str">
        <x:f>IF(NOT(ISNUMBER(L96)),"n/m",IF(O96="Higher",IF(L96&gt;=0,"Above avg - favourable","Below avg - unfavourable"),IF(O96="Lower",IF(L96&lt;=0,"Below avg - favourable","Above avg - unfavourable"),IF(L96&gt;=0,"Above avg - context-dependent","Below avg - context-dependent"))))&amp;IF(K96&lt;5," (N="&amp;K96&amp;")","")</x:f>
        <x:v>Above avg - favourable</x:v>
      </x:c>
      <x:c r="Q96"/>
      <x:c r="R96" s="59" t="str">
        <x:f>IF(K96=0,"n/m",IF(ABS(J96-SUM(E96:I96)/K96)&lt;0.000000001,"OK","ERR"))</x:f>
        <x:v>OK</x:v>
      </x:c>
    </x:row>
    <x:row r="97" ht="22" hidden="0" customHeight="1">
      <x:c r="A97" s="128" t="str">
        <x:v>DEBT MANAGEMENT</x:v>
      </x:c>
      <x:c r="B97" s="129"/>
      <x:c r="C97" s="129"/>
      <x:c r="D97" s="129"/>
      <x:c r="E97" s="129"/>
      <x:c r="F97" s="129"/>
      <x:c r="G97" s="129"/>
      <x:c r="H97" s="129"/>
      <x:c r="I97" s="129"/>
      <x:c r="J97" s="129"/>
      <x:c r="K97" s="129"/>
      <x:c r="L97" s="129"/>
      <x:c r="M97" s="129"/>
      <x:c r="N97" s="129"/>
      <x:c r="O97" s="129"/>
      <x:c r="P97" s="129"/>
      <x:c r="Q97" s="129"/>
      <x:c r="R97" s="129"/>
    </x:row>
    <x:row r="98" ht="15" hidden="0">
      <x:c r="A98" s="54" t="str">
        <x:v>Debt Management</x:v>
      </x:c>
      <x:c r="B98" s="25" t="n">
        <x:v>16</x:v>
      </x:c>
      <x:c r="C98" s="24" t="str">
        <x:v>16. Debt ratio</x:v>
      </x:c>
      <x:c r="D98" s="25"/>
      <x:c r="E98" s="25"/>
      <x:c r="F98" s="25"/>
      <x:c r="G98" s="25"/>
      <x:c r="H98" s="25"/>
      <x:c r="I98" s="25"/>
      <x:c r="J98" s="25"/>
      <x:c r="K98" s="25"/>
      <x:c r="L98" s="25"/>
      <x:c r="M98" s="25"/>
      <x:c r="N98" s="25"/>
      <x:c r="O98" s="25"/>
      <x:c r="P98" s="25"/>
      <x:c r="Q98" s="55"/>
      <x:c r="R98" s="25"/>
    </x:row>
    <x:row r="99" ht="15" hidden="0">
      <x:c r="A99"/>
      <x:c r="B99"/>
      <x:c r="C99" s="56" t="str">
        <x:v>Debt ratio</x:v>
      </x:c>
      <x:c r="D99" s="11" t="str">
        <x:v>FY2021</x:v>
      </x:c>
      <x:c r="E99" s="147" t="n">
        <x:f>KOHC!D155</x:f>
        <x:v>0.384166382555034</x:v>
      </x:c>
      <x:c r="F99" s="147" t="n">
        <x:f>LUCK!D155</x:f>
        <x:v>0.27606535150381284</x:v>
      </x:c>
      <x:c r="G99" s="147" t="n">
        <x:f>DGKC!D155</x:f>
        <x:v>0.46714504184305206</x:v>
      </x:c>
      <x:c r="H99" s="147" t="n">
        <x:f>MLCF!D155</x:f>
        <x:v>0.4332284086792129</x:v>
      </x:c>
      <x:c r="I99" s="147" t="n">
        <x:f>FCCL!D155</x:f>
        <x:v>0.3164714817070282</x:v>
      </x:c>
      <x:c r="J99" s="148" t="n">
        <x:f>IF(COUNT(E99:I99)=0,"n/m",AVERAGE(E99:I99))</x:f>
        <x:v>0.375415333257628</x:v>
      </x:c>
      <x:c r="K99" s="11" t="n">
        <x:f>COUNT(E99:I99)</x:f>
        <x:v>5</x:v>
      </x:c>
      <x:c r="L99" s="149" t="n">
        <x:f>IF(AND(ISNUMBER(E99),ISNUMBER(J99)),E99-J99,"n/m")</x:f>
        <x:v>0.008751049297406</x:v>
      </x:c>
      <x:c r="M99" s="149" t="n">
        <x:f>IF(COUNT(F99:I99)=0,"n/m",AVERAGE(F99:I99))</x:f>
        <x:v>0.3732275709332765</x:v>
      </x:c>
      <x:c r="N99" s="149" t="n">
        <x:f>IF(COUNT(E99:I99)=0,"n/m",MEDIAN(E99:I99))</x:f>
        <x:v>0.384166382555034</x:v>
      </x:c>
      <x:c r="O99" s="11" t="str">
        <x:v>Lower</x:v>
      </x:c>
      <x:c r="P99" s="9" t="str">
        <x:f>IF(NOT(ISNUMBER(L99)),"n/m",IF(O99="Higher",IF(L99&gt;=0,"Above avg - favourable","Below avg - unfavourable"),IF(O99="Lower",IF(L99&lt;=0,"Below avg - favourable","Above avg - unfavourable"),IF(L99&gt;=0,"Above avg - context-dependent","Below avg - context-dependent"))))&amp;IF(K99&lt;5," (N="&amp;K99&amp;")","")</x:f>
        <x:v>Above avg - unfavourable</x:v>
      </x:c>
      <x:c r="Q99"/>
      <x:c r="R99" s="59" t="str">
        <x:f>IF(K99=0,"n/m",IF(ABS(J99-SUM(E99:I99)/K99)&lt;0.000000001,"OK","ERR"))</x:f>
        <x:v>OK</x:v>
      </x:c>
    </x:row>
    <x:row r="100" ht="15" hidden="0">
      <x:c r="A100"/>
      <x:c r="B100"/>
      <x:c r="C100" s="56" t="str">
        <x:v>Debt ratio</x:v>
      </x:c>
      <x:c r="D100" s="11" t="str">
        <x:v>FY2022</x:v>
      </x:c>
      <x:c r="E100" s="147" t="n">
        <x:f>KOHC!E155</x:f>
        <x:v>0.37149249167170456</x:v>
      </x:c>
      <x:c r="F100" s="147" t="n">
        <x:f>LUCK!E155</x:f>
        <x:v>0.3050460729395506</x:v>
      </x:c>
      <x:c r="G100" s="147" t="n">
        <x:f>DGKC!E155</x:f>
        <x:v>0.48801207258126744</x:v>
      </x:c>
      <x:c r="H100" s="147" t="n">
        <x:f>MLCF!E155</x:f>
        <x:v>0.5066666090934888</x:v>
      </x:c>
      <x:c r="I100" s="147" t="n">
        <x:f>FCCL!E155</x:f>
        <x:v>0.4921984828292214</x:v>
      </x:c>
      <x:c r="J100" s="148" t="n">
        <x:f>IF(COUNT(E100:I100)=0,"n/m",AVERAGE(E100:I100))</x:f>
        <x:v>0.43268314582304657</x:v>
      </x:c>
      <x:c r="K100" s="11" t="n">
        <x:f>COUNT(E100:I100)</x:f>
        <x:v>5</x:v>
      </x:c>
      <x:c r="L100" s="149" t="n">
        <x:f>IF(AND(ISNUMBER(E100),ISNUMBER(J100)),E100-J100,"n/m")</x:f>
        <x:v>-0.061190654151342005</x:v>
      </x:c>
      <x:c r="M100" s="149" t="n">
        <x:f>IF(COUNT(F100:I100)=0,"n/m",AVERAGE(F100:I100))</x:f>
        <x:v>0.4479808093608821</x:v>
      </x:c>
      <x:c r="N100" s="149" t="n">
        <x:f>IF(COUNT(E100:I100)=0,"n/m",MEDIAN(E100:I100))</x:f>
        <x:v>0.48801207258126744</x:v>
      </x:c>
      <x:c r="O100" s="11" t="str">
        <x:v>Lower</x:v>
      </x:c>
      <x:c r="P100" s="9" t="str">
        <x:f>IF(NOT(ISNUMBER(L100)),"n/m",IF(O100="Higher",IF(L100&gt;=0,"Above avg - favourable","Below avg - unfavourable"),IF(O100="Lower",IF(L100&lt;=0,"Below avg - favourable","Above avg - unfavourable"),IF(L100&gt;=0,"Above avg - context-dependent","Below avg - context-dependent"))))&amp;IF(K100&lt;5," (N="&amp;K100&amp;")","")</x:f>
        <x:v>Below avg - favourable</x:v>
      </x:c>
      <x:c r="Q100"/>
      <x:c r="R100" s="59" t="str">
        <x:f>IF(K100=0,"n/m",IF(ABS(J100-SUM(E100:I100)/K100)&lt;0.000000001,"OK","ERR"))</x:f>
        <x:v>OK</x:v>
      </x:c>
    </x:row>
    <x:row r="101" ht="15" hidden="0">
      <x:c r="A101"/>
      <x:c r="B101"/>
      <x:c r="C101" s="56" t="str">
        <x:v>Debt ratio</x:v>
      </x:c>
      <x:c r="D101" s="11" t="str">
        <x:v>FY2023</x:v>
      </x:c>
      <x:c r="E101" s="147" t="n">
        <x:f>KOHC!F155</x:f>
        <x:v>0.3416112409848334</x:v>
      </x:c>
      <x:c r="F101" s="147" t="n">
        <x:f>LUCK!F155</x:f>
        <x:v>0.35532697822447284</x:v>
      </x:c>
      <x:c r="G101" s="147" t="n">
        <x:f>DGKC!F155</x:f>
        <x:v>0.5234895224192266</x:v>
      </x:c>
      <x:c r="H101" s="147" t="n">
        <x:f>MLCF!F155</x:f>
        <x:v>0.49933942690835115</x:v>
      </x:c>
      <x:c r="I101" s="147" t="n">
        <x:f>FCCL!F155</x:f>
        <x:v>0.530530558146142</x:v>
      </x:c>
      <x:c r="J101" s="148" t="n">
        <x:f>IF(COUNT(E101:I101)=0,"n/m",AVERAGE(E101:I101))</x:f>
        <x:v>0.4500595453366052</x:v>
      </x:c>
      <x:c r="K101" s="11" t="n">
        <x:f>COUNT(E101:I101)</x:f>
        <x:v>5</x:v>
      </x:c>
      <x:c r="L101" s="149" t="n">
        <x:f>IF(AND(ISNUMBER(E101),ISNUMBER(J101)),E101-J101,"n/m")</x:f>
        <x:v>-0.10844830435177177</x:v>
      </x:c>
      <x:c r="M101" s="149" t="n">
        <x:f>IF(COUNT(F101:I101)=0,"n/m",AVERAGE(F101:I101))</x:f>
        <x:v>0.47717162142454816</x:v>
      </x:c>
      <x:c r="N101" s="149" t="n">
        <x:f>IF(COUNT(E101:I101)=0,"n/m",MEDIAN(E101:I101))</x:f>
        <x:v>0.49933942690835115</x:v>
      </x:c>
      <x:c r="O101" s="11" t="str">
        <x:v>Lower</x:v>
      </x:c>
      <x:c r="P101" s="9" t="str">
        <x:f>IF(NOT(ISNUMBER(L101)),"n/m",IF(O101="Higher",IF(L101&gt;=0,"Above avg - favourable","Below avg - unfavourable"),IF(O101="Lower",IF(L101&lt;=0,"Below avg - favourable","Above avg - unfavourable"),IF(L101&gt;=0,"Above avg - context-dependent","Below avg - context-dependent"))))&amp;IF(K101&lt;5," (N="&amp;K101&amp;")","")</x:f>
        <x:v>Below avg - favourable</x:v>
      </x:c>
      <x:c r="Q101"/>
      <x:c r="R101" s="59" t="str">
        <x:f>IF(K101=0,"n/m",IF(ABS(J101-SUM(E101:I101)/K101)&lt;0.000000001,"OK","ERR"))</x:f>
        <x:v>OK</x:v>
      </x:c>
    </x:row>
    <x:row r="102" ht="15" hidden="0">
      <x:c r="A102"/>
      <x:c r="B102"/>
      <x:c r="C102" s="56" t="str">
        <x:v>Debt ratio</x:v>
      </x:c>
      <x:c r="D102" s="11" t="str">
        <x:v>FY2024</x:v>
      </x:c>
      <x:c r="E102" s="147" t="n">
        <x:f>KOHC!G155</x:f>
        <x:v>0.3016994518502951</x:v>
      </x:c>
      <x:c r="F102" s="147" t="n">
        <x:f>LUCK!G155</x:f>
        <x:v>0.3685903641039032</x:v>
      </x:c>
      <x:c r="G102" s="147" t="n">
        <x:f>DGKC!G155</x:f>
        <x:v>0.4519122394636083</x:v>
      </x:c>
      <x:c r="H102" s="147" t="n">
        <x:f>MLCF!G155</x:f>
        <x:v>0.4704820926001394</x:v>
      </x:c>
      <x:c r="I102" s="147" t="n">
        <x:f>FCCL!G155</x:f>
        <x:v>0.5028400637434024</x:v>
      </x:c>
      <x:c r="J102" s="148" t="n">
        <x:f>IF(COUNT(E102:I102)=0,"n/m",AVERAGE(E102:I102))</x:f>
        <x:v>0.41910484235226975</x:v>
      </x:c>
      <x:c r="K102" s="11" t="n">
        <x:f>COUNT(E102:I102)</x:f>
        <x:v>5</x:v>
      </x:c>
      <x:c r="L102" s="149" t="n">
        <x:f>IF(AND(ISNUMBER(E102),ISNUMBER(J102)),E102-J102,"n/m")</x:f>
        <x:v>-0.11740539050197463</x:v>
      </x:c>
      <x:c r="M102" s="149" t="n">
        <x:f>IF(COUNT(F102:I102)=0,"n/m",AVERAGE(F102:I102))</x:f>
        <x:v>0.4484561899777634</x:v>
      </x:c>
      <x:c r="N102" s="149" t="n">
        <x:f>IF(COUNT(E102:I102)=0,"n/m",MEDIAN(E102:I102))</x:f>
        <x:v>0.4519122394636083</x:v>
      </x:c>
      <x:c r="O102" s="11" t="str">
        <x:v>Lower</x:v>
      </x:c>
      <x:c r="P102" s="9" t="str">
        <x:f>IF(NOT(ISNUMBER(L102)),"n/m",IF(O102="Higher",IF(L102&gt;=0,"Above avg - favourable","Below avg - unfavourable"),IF(O102="Lower",IF(L102&lt;=0,"Below avg - favourable","Above avg - unfavourable"),IF(L102&gt;=0,"Above avg - context-dependent","Below avg - context-dependent"))))&amp;IF(K102&lt;5," (N="&amp;K102&amp;")","")</x:f>
        <x:v>Below avg - favourable</x:v>
      </x:c>
      <x:c r="Q102"/>
      <x:c r="R102" s="59" t="str">
        <x:f>IF(K102=0,"n/m",IF(ABS(J102-SUM(E102:I102)/K102)&lt;0.000000001,"OK","ERR"))</x:f>
        <x:v>OK</x:v>
      </x:c>
    </x:row>
    <x:row r="103" ht="15" hidden="0">
      <x:c r="A103"/>
      <x:c r="B103"/>
      <x:c r="C103" s="56" t="str">
        <x:v>Debt ratio</x:v>
      </x:c>
      <x:c r="D103" s="11" t="str">
        <x:v>FY2025</x:v>
      </x:c>
      <x:c r="E103" s="147" t="n">
        <x:f>KOHC!H155</x:f>
        <x:v>0.28204672647028445</x:v>
      </x:c>
      <x:c r="F103" s="147" t="n">
        <x:f>LUCK!H155</x:f>
        <x:v>0.34053721034041</x:v>
      </x:c>
      <x:c r="G103" s="147" t="n">
        <x:f>DGKC!H155</x:f>
        <x:v>0.3512559582717703</x:v>
      </x:c>
      <x:c r="H103" s="147" t="n">
        <x:f>MLCF!H155</x:f>
        <x:v>0.4000182240614351</x:v>
      </x:c>
      <x:c r="I103" s="147" t="n">
        <x:f>FCCL!H155</x:f>
        <x:v>0.4760663500346739</x:v>
      </x:c>
      <x:c r="J103" s="148" t="n">
        <x:f>IF(COUNT(E103:I103)=0,"n/m",AVERAGE(E103:I103))</x:f>
        <x:v>0.36998489383571476</x:v>
      </x:c>
      <x:c r="K103" s="11" t="n">
        <x:f>COUNT(E103:I103)</x:f>
        <x:v>5</x:v>
      </x:c>
      <x:c r="L103" s="149" t="n">
        <x:f>IF(AND(ISNUMBER(E103),ISNUMBER(J103)),E103-J103,"n/m")</x:f>
        <x:v>-0.08793816736543031</x:v>
      </x:c>
      <x:c r="M103" s="149" t="n">
        <x:f>IF(COUNT(F103:I103)=0,"n/m",AVERAGE(F103:I103))</x:f>
        <x:v>0.3919694356770723</x:v>
      </x:c>
      <x:c r="N103" s="149" t="n">
        <x:f>IF(COUNT(E103:I103)=0,"n/m",MEDIAN(E103:I103))</x:f>
        <x:v>0.3512559582717703</x:v>
      </x:c>
      <x:c r="O103" s="11" t="str">
        <x:v>Lower</x:v>
      </x:c>
      <x:c r="P103" s="9" t="str">
        <x:f>IF(NOT(ISNUMBER(L103)),"n/m",IF(O103="Higher",IF(L103&gt;=0,"Above avg - favourable","Below avg - unfavourable"),IF(O103="Lower",IF(L103&lt;=0,"Below avg - favourable","Above avg - unfavourable"),IF(L103&gt;=0,"Above avg - context-dependent","Below avg - context-dependent"))))&amp;IF(K103&lt;5," (N="&amp;K103&amp;")","")</x:f>
        <x:v>Below avg - favourable</x:v>
      </x:c>
      <x:c r="Q103"/>
      <x:c r="R103" s="59" t="str">
        <x:f>IF(K103=0,"n/m",IF(ABS(J103-SUM(E103:I103)/K103)&lt;0.000000001,"OK","ERR"))</x:f>
        <x:v>OK</x:v>
      </x:c>
    </x:row>
    <x:row r="104" ht="15" hidden="0">
      <x:c r="A104" s="54" t="str">
        <x:v>Debt Management</x:v>
      </x:c>
      <x:c r="B104" s="25" t="n">
        <x:v>17</x:v>
      </x:c>
      <x:c r="C104" s="24" t="str">
        <x:v>17. Debt-to-equity</x:v>
      </x:c>
      <x:c r="D104" s="25"/>
      <x:c r="E104" s="25"/>
      <x:c r="F104" s="25"/>
      <x:c r="G104" s="25"/>
      <x:c r="H104" s="25"/>
      <x:c r="I104" s="25"/>
      <x:c r="J104" s="25"/>
      <x:c r="K104" s="25"/>
      <x:c r="L104" s="25"/>
      <x:c r="M104" s="25"/>
      <x:c r="N104" s="25"/>
      <x:c r="O104" s="25"/>
      <x:c r="P104" s="25"/>
      <x:c r="Q104" s="55" t="s">
        <x:v>692</x:v>
      </x:c>
      <x:c r="R104" s="25"/>
    </x:row>
    <x:row r="105" ht="15" hidden="0">
      <x:c r="A105"/>
      <x:c r="B105"/>
      <x:c r="C105" s="56" t="str">
        <x:v>Debt-to-equity</x:v>
      </x:c>
      <x:c r="D105" s="11" t="str">
        <x:v>FY2021</x:v>
      </x:c>
      <x:c r="E105" s="138" t="n">
        <x:f>KOHC!D156</x:f>
        <x:v>0.6238152183846396</x:v>
      </x:c>
      <x:c r="F105" s="138" t="n">
        <x:f>LUCK!D156</x:f>
        <x:v>0.3813401556028255</x:v>
      </x:c>
      <x:c r="G105" s="138" t="n">
        <x:f>DGKC!D156</x:f>
        <x:v>0.8766832975690517</x:v>
      </x:c>
      <x:c r="H105" s="138" t="n">
        <x:f>MLCF!D156</x:f>
        <x:v>0.7643791878658399</x:v>
      </x:c>
      <x:c r="I105" s="138" t="n">
        <x:f>FCCL!D156</x:f>
        <x:v>0.4629967488370152</x:v>
      </x:c>
      <x:c r="J105" s="139" t="n">
        <x:f>IF(COUNT(E105:I105)=0,"n/m",AVERAGE(E105:I105))</x:f>
        <x:v>0.6218429216518744</x:v>
      </x:c>
      <x:c r="K105" s="11" t="n">
        <x:f>COUNT(E105:I105)</x:f>
        <x:v>5</x:v>
      </x:c>
      <x:c r="L105" s="140" t="n">
        <x:f>IF(AND(ISNUMBER(E105),ISNUMBER(J105)),E105-J105,"n/m")</x:f>
        <x:v>0.001972296732765222</x:v>
      </x:c>
      <x:c r="M105" s="140" t="n">
        <x:f>IF(COUNT(F105:I105)=0,"n/m",AVERAGE(F105:I105))</x:f>
        <x:v>0.621349847468683</x:v>
      </x:c>
      <x:c r="N105" s="140" t="n">
        <x:f>IF(COUNT(E105:I105)=0,"n/m",MEDIAN(E105:I105))</x:f>
        <x:v>0.6238152183846396</x:v>
      </x:c>
      <x:c r="O105" s="11" t="str">
        <x:v>Lower</x:v>
      </x:c>
      <x:c r="P105" s="9" t="str">
        <x:f>IF(NOT(ISNUMBER(L105)),"n/m",IF(O105="Higher",IF(L105&gt;=0,"Above avg - favourable","Below avg - unfavourable"),IF(O105="Lower",IF(L105&lt;=0,"Below avg - favourable","Above avg - unfavourable"),IF(L105&gt;=0,"Above avg - context-dependent","Below avg - context-dependent"))))&amp;IF(K105&lt;5," (N="&amp;K105&amp;")","")</x:f>
        <x:v>Above avg - unfavourable</x:v>
      </x:c>
      <x:c r="Q105"/>
      <x:c r="R105" s="59" t="str">
        <x:f>IF(K105=0,"n/m",IF(ABS(J105-SUM(E105:I105)/K105)&lt;0.000000001,"OK","ERR"))</x:f>
        <x:v>OK</x:v>
      </x:c>
    </x:row>
    <x:row r="106" ht="15" hidden="0">
      <x:c r="A106"/>
      <x:c r="B106"/>
      <x:c r="C106" s="56" t="str">
        <x:v>Debt-to-equity</x:v>
      </x:c>
      <x:c r="D106" s="11" t="str">
        <x:v>FY2022</x:v>
      </x:c>
      <x:c r="E106" s="138" t="n">
        <x:f>KOHC!E156</x:f>
        <x:v>0.5910708889696489</x:v>
      </x:c>
      <x:c r="F106" s="138" t="n">
        <x:f>LUCK!E156</x:f>
        <x:v>0.4389443113586675</x:v>
      </x:c>
      <x:c r="G106" s="138" t="n">
        <x:f>DGKC!E156</x:f>
        <x:v>0.9531710543286772</x:v>
      </x:c>
      <x:c r="H106" s="138" t="n">
        <x:f>MLCF!E156</x:f>
        <x:v>1.027026790468161</x:v>
      </x:c>
      <x:c r="I106" s="138" t="n">
        <x:f>FCCL!E156</x:f>
        <x:v>0.9692733601339171</x:v>
      </x:c>
      <x:c r="J106" s="139" t="n">
        <x:f>IF(COUNT(E106:I106)=0,"n/m",AVERAGE(E106:I106))</x:f>
        <x:v>0.7958972810518143</x:v>
      </x:c>
      <x:c r="K106" s="11" t="n">
        <x:f>COUNT(E106:I106)</x:f>
        <x:v>5</x:v>
      </x:c>
      <x:c r="L106" s="140" t="n">
        <x:f>IF(AND(ISNUMBER(E106),ISNUMBER(J106)),E106-J106,"n/m")</x:f>
        <x:v>-0.20482639208216546</x:v>
      </x:c>
      <x:c r="M106" s="140" t="n">
        <x:f>IF(COUNT(F106:I106)=0,"n/m",AVERAGE(F106:I106))</x:f>
        <x:v>0.8471038790723557</x:v>
      </x:c>
      <x:c r="N106" s="140" t="n">
        <x:f>IF(COUNT(E106:I106)=0,"n/m",MEDIAN(E106:I106))</x:f>
        <x:v>0.9531710543286772</x:v>
      </x:c>
      <x:c r="O106" s="11" t="str">
        <x:v>Lower</x:v>
      </x:c>
      <x:c r="P106" s="9" t="str">
        <x:f>IF(NOT(ISNUMBER(L106)),"n/m",IF(O106="Higher",IF(L106&gt;=0,"Above avg - favourable","Below avg - unfavourable"),IF(O106="Lower",IF(L106&lt;=0,"Below avg - favourable","Above avg - unfavourable"),IF(L106&gt;=0,"Above avg - context-dependent","Below avg - context-dependent"))))&amp;IF(K106&lt;5," (N="&amp;K106&amp;")","")</x:f>
        <x:v>Below avg - favourable</x:v>
      </x:c>
      <x:c r="Q106"/>
      <x:c r="R106" s="59" t="str">
        <x:f>IF(K106=0,"n/m",IF(ABS(J106-SUM(E106:I106)/K106)&lt;0.000000001,"OK","ERR"))</x:f>
        <x:v>OK</x:v>
      </x:c>
    </x:row>
    <x:row r="107" ht="15" hidden="0">
      <x:c r="A107"/>
      <x:c r="B107"/>
      <x:c r="C107" s="56" t="str">
        <x:v>Debt-to-equity</x:v>
      </x:c>
      <x:c r="D107" s="11" t="str">
        <x:v>FY2023</x:v>
      </x:c>
      <x:c r="E107" s="138" t="n">
        <x:f>KOHC!F156</x:f>
        <x:v>0.5188594676127575</x:v>
      </x:c>
      <x:c r="F107" s="138" t="n">
        <x:f>LUCK!F156</x:f>
        <x:v>0.5511739536514938</x:v>
      </x:c>
      <x:c r="G107" s="138" t="n">
        <x:f>DGKC!F156</x:f>
        <x:v>1.0985897415665749</x:v>
      </x:c>
      <x:c r="H107" s="138" t="n">
        <x:f>MLCF!F156</x:f>
        <x:v>0.9973611938820361</x:v>
      </x:c>
      <x:c r="I107" s="138" t="n">
        <x:f>FCCL!F156</x:f>
        <x:v>1.130064091181662</x:v>
      </x:c>
      <x:c r="J107" s="139" t="n">
        <x:f>IF(COUNT(E107:I107)=0,"n/m",AVERAGE(E107:I107))</x:f>
        <x:v>0.859209689578905</x:v>
      </x:c>
      <x:c r="K107" s="11" t="n">
        <x:f>COUNT(E107:I107)</x:f>
        <x:v>5</x:v>
      </x:c>
      <x:c r="L107" s="140" t="n">
        <x:f>IF(AND(ISNUMBER(E107),ISNUMBER(J107)),E107-J107,"n/m")</x:f>
        <x:v>-0.3403502219661475</x:v>
      </x:c>
      <x:c r="M107" s="140" t="n">
        <x:f>IF(COUNT(F107:I107)=0,"n/m",AVERAGE(F107:I107))</x:f>
        <x:v>0.9442972450704417</x:v>
      </x:c>
      <x:c r="N107" s="140" t="n">
        <x:f>IF(COUNT(E107:I107)=0,"n/m",MEDIAN(E107:I107))</x:f>
        <x:v>0.9973611938820361</x:v>
      </x:c>
      <x:c r="O107" s="11" t="str">
        <x:v>Lower</x:v>
      </x:c>
      <x:c r="P107" s="9" t="str">
        <x:f>IF(NOT(ISNUMBER(L107)),"n/m",IF(O107="Higher",IF(L107&gt;=0,"Above avg - favourable","Below avg - unfavourable"),IF(O107="Lower",IF(L107&lt;=0,"Below avg - favourable","Above avg - unfavourable"),IF(L107&gt;=0,"Above avg - context-dependent","Below avg - context-dependent"))))&amp;IF(K107&lt;5," (N="&amp;K107&amp;")","")</x:f>
        <x:v>Below avg - favourable</x:v>
      </x:c>
      <x:c r="Q107"/>
      <x:c r="R107" s="59" t="str">
        <x:f>IF(K107=0,"n/m",IF(ABS(J107-SUM(E107:I107)/K107)&lt;0.000000001,"OK","ERR"))</x:f>
        <x:v>OK</x:v>
      </x:c>
    </x:row>
    <x:row r="108" ht="15" hidden="0">
      <x:c r="A108"/>
      <x:c r="B108"/>
      <x:c r="C108" s="56" t="str">
        <x:v>Debt-to-equity</x:v>
      </x:c>
      <x:c r="D108" s="11" t="str">
        <x:v>FY2024</x:v>
      </x:c>
      <x:c r="E108" s="138" t="n">
        <x:f>KOHC!G156</x:f>
        <x:v>0.4320481383692331</x:v>
      </x:c>
      <x:c r="F108" s="138" t="n">
        <x:f>LUCK!G156</x:f>
        <x:v>0.5837579016050328</x:v>
      </x:c>
      <x:c r="G108" s="138" t="n">
        <x:f>DGKC!G156</x:f>
        <x:v>0.8245253260560679</x:v>
      </x:c>
      <x:c r="H108" s="138" t="n">
        <x:f>MLCF!G156</x:f>
        <x:v>0.8885102581523445</x:v>
      </x:c>
      <x:c r="I108" s="138" t="n">
        <x:f>FCCL!G156</x:f>
        <x:v>1.0114251512894896</x:v>
      </x:c>
      <x:c r="J108" s="139" t="n">
        <x:f>IF(COUNT(E108:I108)=0,"n/m",AVERAGE(E108:I108))</x:f>
        <x:v>0.7480533550944335</x:v>
      </x:c>
      <x:c r="K108" s="11" t="n">
        <x:f>COUNT(E108:I108)</x:f>
        <x:v>5</x:v>
      </x:c>
      <x:c r="L108" s="140" t="n">
        <x:f>IF(AND(ISNUMBER(E108),ISNUMBER(J108)),E108-J108,"n/m")</x:f>
        <x:v>-0.3160052167252004</x:v>
      </x:c>
      <x:c r="M108" s="140" t="n">
        <x:f>IF(COUNT(F108:I108)=0,"n/m",AVERAGE(F108:I108))</x:f>
        <x:v>0.8270546592757337</x:v>
      </x:c>
      <x:c r="N108" s="140" t="n">
        <x:f>IF(COUNT(E108:I108)=0,"n/m",MEDIAN(E108:I108))</x:f>
        <x:v>0.8245253260560679</x:v>
      </x:c>
      <x:c r="O108" s="11" t="str">
        <x:v>Lower</x:v>
      </x:c>
      <x:c r="P108" s="9" t="str">
        <x:f>IF(NOT(ISNUMBER(L108)),"n/m",IF(O108="Higher",IF(L108&gt;=0,"Above avg - favourable","Below avg - unfavourable"),IF(O108="Lower",IF(L108&lt;=0,"Below avg - favourable","Above avg - unfavourable"),IF(L108&gt;=0,"Above avg - context-dependent","Below avg - context-dependent"))))&amp;IF(K108&lt;5," (N="&amp;K108&amp;")","")</x:f>
        <x:v>Below avg - favourable</x:v>
      </x:c>
      <x:c r="Q108"/>
      <x:c r="R108" s="59" t="str">
        <x:f>IF(K108=0,"n/m",IF(ABS(J108-SUM(E108:I108)/K108)&lt;0.000000001,"OK","ERR"))</x:f>
        <x:v>OK</x:v>
      </x:c>
    </x:row>
    <x:row r="109" ht="15" hidden="0">
      <x:c r="A109"/>
      <x:c r="B109"/>
      <x:c r="C109" s="56" t="str">
        <x:v>Debt-to-equity</x:v>
      </x:c>
      <x:c r="D109" s="11" t="str">
        <x:v>FY2025</x:v>
      </x:c>
      <x:c r="E109" s="138" t="n">
        <x:f>KOHC!H156</x:f>
        <x:v>0.3928483048536595</x:v>
      </x:c>
      <x:c r="F109" s="138" t="n">
        <x:f>LUCK!H156</x:f>
        <x:v>0.5163857850360184</x:v>
      </x:c>
      <x:c r="G109" s="138" t="n">
        <x:f>DGKC!H156</x:f>
        <x:v>0.5414399758278128</x:v>
      </x:c>
      <x:c r="H109" s="138" t="n">
        <x:f>MLCF!H156</x:f>
        <x:v>0.6667172905971644</x:v>
      </x:c>
      <x:c r="I109" s="138" t="n">
        <x:f>FCCL!H156</x:f>
        <x:v>0.9086386225931091</x:v>
      </x:c>
      <x:c r="J109" s="139" t="n">
        <x:f>IF(COUNT(E109:I109)=0,"n/m",AVERAGE(E109:I109))</x:f>
        <x:v>0.6052059957815528</x:v>
      </x:c>
      <x:c r="K109" s="11" t="n">
        <x:f>COUNT(E109:I109)</x:f>
        <x:v>5</x:v>
      </x:c>
      <x:c r="L109" s="140" t="n">
        <x:f>IF(AND(ISNUMBER(E109),ISNUMBER(J109)),E109-J109,"n/m")</x:f>
        <x:v>-0.21235769092789325</x:v>
      </x:c>
      <x:c r="M109" s="140" t="n">
        <x:f>IF(COUNT(F109:I109)=0,"n/m",AVERAGE(F109:I109))</x:f>
        <x:v>0.6582954185135261</x:v>
      </x:c>
      <x:c r="N109" s="140" t="n">
        <x:f>IF(COUNT(E109:I109)=0,"n/m",MEDIAN(E109:I109))</x:f>
        <x:v>0.5414399758278128</x:v>
      </x:c>
      <x:c r="O109" s="11" t="str">
        <x:v>Lower</x:v>
      </x:c>
      <x:c r="P109" s="9" t="str">
        <x:f>IF(NOT(ISNUMBER(L109)),"n/m",IF(O109="Higher",IF(L109&gt;=0,"Above avg - favourable","Below avg - unfavourable"),IF(O109="Lower",IF(L109&lt;=0,"Below avg - favourable","Above avg - unfavourable"),IF(L109&gt;=0,"Above avg - context-dependent","Below avg - context-dependent"))))&amp;IF(K109&lt;5," (N="&amp;K109&amp;")","")</x:f>
        <x:v>Below avg - favourable</x:v>
      </x:c>
      <x:c r="Q109"/>
      <x:c r="R109" s="59" t="str">
        <x:f>IF(K109=0,"n/m",IF(ABS(J109-SUM(E109:I109)/K109)&lt;0.000000001,"OK","ERR"))</x:f>
        <x:v>OK</x:v>
      </x:c>
    </x:row>
    <x:row r="110" ht="15" hidden="0">
      <x:c r="A110" s="54" t="str">
        <x:v>Debt Management</x:v>
      </x:c>
      <x:c r="B110" s="25" t="n">
        <x:v>18</x:v>
      </x:c>
      <x:c r="C110" s="24" t="str">
        <x:v>18. Total debt-to-capital</x:v>
      </x:c>
      <x:c r="D110" s="25"/>
      <x:c r="E110" s="25"/>
      <x:c r="F110" s="25"/>
      <x:c r="G110" s="25"/>
      <x:c r="H110" s="25"/>
      <x:c r="I110" s="25"/>
      <x:c r="J110" s="25"/>
      <x:c r="K110" s="25"/>
      <x:c r="L110" s="25"/>
      <x:c r="M110" s="25"/>
      <x:c r="N110" s="25"/>
      <x:c r="O110" s="25"/>
      <x:c r="P110" s="25"/>
      <x:c r="Q110" s="55" t="s">
        <x:v>693</x:v>
      </x:c>
      <x:c r="R110" s="25"/>
    </x:row>
    <x:row r="111" ht="15" hidden="0">
      <x:c r="A111"/>
      <x:c r="B111"/>
      <x:c r="C111" s="56" t="str">
        <x:v>Total debt-to-capital</x:v>
      </x:c>
      <x:c r="D111" s="11" t="str">
        <x:v>FY2021</x:v>
      </x:c>
      <x:c r="E111" s="147" t="n">
        <x:f>KOHC!D157</x:f>
        <x:v>0.21400284667161887</x:v>
      </x:c>
      <x:c r="F111" s="147" t="n">
        <x:f>LUCK!D157</x:f>
        <x:v>0.08481566313402544</x:v>
      </x:c>
      <x:c r="G111" s="147" t="n">
        <x:f>DGKC!D157</x:f>
        <x:v>0.37343360902882045</x:v>
      </x:c>
      <x:c r="H111" s="147" t="n">
        <x:f>MLCF!D157</x:f>
        <x:v>0.3018980041603245</x:v>
      </x:c>
      <x:c r="I111" s="147" t="n">
        <x:f>FCCL!D157</x:f>
        <x:v>0.09936978984482135</x:v>
      </x:c>
      <x:c r="J111" s="148" t="n">
        <x:f>IF(COUNT(E111:I111)=0,"n/m",AVERAGE(E111:I111))</x:f>
        <x:v>0.21470398256792214</x:v>
      </x:c>
      <x:c r="K111" s="11" t="n">
        <x:f>COUNT(E111:I111)</x:f>
        <x:v>5</x:v>
      </x:c>
      <x:c r="L111" s="149" t="n">
        <x:f>IF(AND(ISNUMBER(E111),ISNUMBER(J111)),E111-J111,"n/m")</x:f>
        <x:v>-0.0007011358963032732</x:v>
      </x:c>
      <x:c r="M111" s="149" t="n">
        <x:f>IF(COUNT(F111:I111)=0,"n/m",AVERAGE(F111:I111))</x:f>
        <x:v>0.21487926654199793</x:v>
      </x:c>
      <x:c r="N111" s="149" t="n">
        <x:f>IF(COUNT(E111:I111)=0,"n/m",MEDIAN(E111:I111))</x:f>
        <x:v>0.21400284667161887</x:v>
      </x:c>
      <x:c r="O111" s="11" t="str">
        <x:v>Lower</x:v>
      </x:c>
      <x:c r="P111" s="9" t="str">
        <x:f>IF(NOT(ISNUMBER(L111)),"n/m",IF(O111="Higher",IF(L111&gt;=0,"Above avg - favourable","Below avg - unfavourable"),IF(O111="Lower",IF(L111&lt;=0,"Below avg - favourable","Above avg - unfavourable"),IF(L111&gt;=0,"Above avg - context-dependent","Below avg - context-dependent"))))&amp;IF(K111&lt;5," (N="&amp;K111&amp;")","")</x:f>
        <x:v>Below avg - favourable</x:v>
      </x:c>
      <x:c r="Q111"/>
      <x:c r="R111" s="59" t="str">
        <x:f>IF(K111=0,"n/m",IF(ABS(J111-SUM(E111:I111)/K111)&lt;0.000000001,"OK","ERR"))</x:f>
        <x:v>OK</x:v>
      </x:c>
    </x:row>
    <x:row r="112" ht="15" hidden="0">
      <x:c r="A112"/>
      <x:c r="B112"/>
      <x:c r="C112" s="56" t="str">
        <x:v>Total debt-to-capital</x:v>
      </x:c>
      <x:c r="D112" s="11" t="str">
        <x:v>FY2022</x:v>
      </x:c>
      <x:c r="E112" s="147" t="n">
        <x:f>KOHC!E157</x:f>
        <x:v>0.13497287275854264</x:v>
      </x:c>
      <x:c r="F112" s="147" t="n">
        <x:f>LUCK!E157</x:f>
        <x:v>0.10820094237127705</x:v>
      </x:c>
      <x:c r="G112" s="147" t="n">
        <x:f>DGKC!E157</x:f>
        <x:v>0.39929807208366225</x:v>
      </x:c>
      <x:c r="H112" s="147" t="n">
        <x:f>MLCF!E157</x:f>
        <x:v>0.381087654689308</x:v>
      </x:c>
      <x:c r="I112" s="147" t="n">
        <x:f>FCCL!E157</x:f>
        <x:v>0.3098205379736645</x:v>
      </x:c>
      <x:c r="J112" s="148" t="n">
        <x:f>IF(COUNT(E112:I112)=0,"n/m",AVERAGE(E112:I112))</x:f>
        <x:v>0.2666760159752909</x:v>
      </x:c>
      <x:c r="K112" s="11" t="n">
        <x:f>COUNT(E112:I112)</x:f>
        <x:v>5</x:v>
      </x:c>
      <x:c r="L112" s="149" t="n">
        <x:f>IF(AND(ISNUMBER(E112),ISNUMBER(J112)),E112-J112,"n/m")</x:f>
        <x:v>-0.13170314321674825</x:v>
      </x:c>
      <x:c r="M112" s="149" t="n">
        <x:f>IF(COUNT(F112:I112)=0,"n/m",AVERAGE(F112:I112))</x:f>
        <x:v>0.2996018017794779</x:v>
      </x:c>
      <x:c r="N112" s="149" t="n">
        <x:f>IF(COUNT(E112:I112)=0,"n/m",MEDIAN(E112:I112))</x:f>
        <x:v>0.3098205379736645</x:v>
      </x:c>
      <x:c r="O112" s="11" t="str">
        <x:v>Lower</x:v>
      </x:c>
      <x:c r="P112" s="9" t="str">
        <x:f>IF(NOT(ISNUMBER(L112)),"n/m",IF(O112="Higher",IF(L112&gt;=0,"Above avg - favourable","Below avg - unfavourable"),IF(O112="Lower",IF(L112&lt;=0,"Below avg - favourable","Above avg - unfavourable"),IF(L112&gt;=0,"Above avg - context-dependent","Below avg - context-dependent"))))&amp;IF(K112&lt;5," (N="&amp;K112&amp;")","")</x:f>
        <x:v>Below avg - favourable</x:v>
      </x:c>
      <x:c r="Q112"/>
      <x:c r="R112" s="59" t="str">
        <x:f>IF(K112=0,"n/m",IF(ABS(J112-SUM(E112:I112)/K112)&lt;0.000000001,"OK","ERR"))</x:f>
        <x:v>OK</x:v>
      </x:c>
    </x:row>
    <x:row r="113" ht="15" hidden="0">
      <x:c r="A113"/>
      <x:c r="B113"/>
      <x:c r="C113" s="56" t="str">
        <x:v>Total debt-to-capital</x:v>
      </x:c>
      <x:c r="D113" s="11" t="str">
        <x:v>FY2023</x:v>
      </x:c>
      <x:c r="E113" s="147" t="n">
        <x:f>KOHC!F157</x:f>
        <x:v>0.08893739146213345</x:v>
      </x:c>
      <x:c r="F113" s="147" t="n">
        <x:f>LUCK!F157</x:f>
        <x:v>0.13283363678865434</x:v>
      </x:c>
      <x:c r="G113" s="147" t="n">
        <x:f>DGKC!F157</x:f>
        <x:v>0.39850127088453147</x:v>
      </x:c>
      <x:c r="H113" s="147" t="n">
        <x:f>MLCF!F157</x:f>
        <x:v>0.30676284445350793</x:v>
      </x:c>
      <x:c r="I113" s="147" t="n">
        <x:f>FCCL!F157</x:f>
        <x:v>0.3841453138694019</x:v>
      </x:c>
      <x:c r="J113" s="148" t="n">
        <x:f>IF(COUNT(E113:I113)=0,"n/m",AVERAGE(E113:I113))</x:f>
        <x:v>0.26223609149164584</x:v>
      </x:c>
      <x:c r="K113" s="11" t="n">
        <x:f>COUNT(E113:I113)</x:f>
        <x:v>5</x:v>
      </x:c>
      <x:c r="L113" s="149" t="n">
        <x:f>IF(AND(ISNUMBER(E113),ISNUMBER(J113)),E113-J113,"n/m")</x:f>
        <x:v>-0.1732987000295124</x:v>
      </x:c>
      <x:c r="M113" s="149" t="n">
        <x:f>IF(COUNT(F113:I113)=0,"n/m",AVERAGE(F113:I113))</x:f>
        <x:v>0.3055607664990239</x:v>
      </x:c>
      <x:c r="N113" s="149" t="n">
        <x:f>IF(COUNT(E113:I113)=0,"n/m",MEDIAN(E113:I113))</x:f>
        <x:v>0.30676284445350793</x:v>
      </x:c>
      <x:c r="O113" s="11" t="str">
        <x:v>Lower</x:v>
      </x:c>
      <x:c r="P113" s="9" t="str">
        <x:f>IF(NOT(ISNUMBER(L113)),"n/m",IF(O113="Higher",IF(L113&gt;=0,"Above avg - favourable","Below avg - unfavourable"),IF(O113="Lower",IF(L113&lt;=0,"Below avg - favourable","Above avg - unfavourable"),IF(L113&gt;=0,"Above avg - context-dependent","Below avg - context-dependent"))))&amp;IF(K113&lt;5," (N="&amp;K113&amp;")","")</x:f>
        <x:v>Below avg - favourable</x:v>
      </x:c>
      <x:c r="Q113"/>
      <x:c r="R113" s="59" t="str">
        <x:f>IF(K113=0,"n/m",IF(ABS(J113-SUM(E113:I113)/K113)&lt;0.000000001,"OK","ERR"))</x:f>
        <x:v>OK</x:v>
      </x:c>
    </x:row>
    <x:row r="114" ht="15" hidden="0">
      <x:c r="A114"/>
      <x:c r="B114"/>
      <x:c r="C114" s="56" t="str">
        <x:v>Total debt-to-capital</x:v>
      </x:c>
      <x:c r="D114" s="11" t="str">
        <x:v>FY2024</x:v>
      </x:c>
      <x:c r="E114" s="147" t="n">
        <x:f>KOHC!G157</x:f>
        <x:v>0.04978936327521882</x:v>
      </x:c>
      <x:c r="F114" s="147" t="n">
        <x:f>LUCK!G157</x:f>
        <x:v>0.12102350075289672</x:v>
      </x:c>
      <x:c r="G114" s="147" t="n">
        <x:f>DGKC!G157</x:f>
        <x:v>0.31153681009483003</x:v>
      </x:c>
      <x:c r="H114" s="147" t="n">
        <x:f>MLCF!G157</x:f>
        <x:v>0.2692569010491479</x:v>
      </x:c>
      <x:c r="I114" s="147" t="n">
        <x:f>FCCL!G157</x:f>
        <x:v>0.3326685523287222</x:v>
      </x:c>
      <x:c r="J114" s="148" t="n">
        <x:f>IF(COUNT(E114:I114)=0,"n/m",AVERAGE(E114:I114))</x:f>
        <x:v>0.21685502550016317</x:v>
      </x:c>
      <x:c r="K114" s="11" t="n">
        <x:f>COUNT(E114:I114)</x:f>
        <x:v>5</x:v>
      </x:c>
      <x:c r="L114" s="149" t="n">
        <x:f>IF(AND(ISNUMBER(E114),ISNUMBER(J114)),E114-J114,"n/m")</x:f>
        <x:v>-0.16706566222494434</x:v>
      </x:c>
      <x:c r="M114" s="149" t="n">
        <x:f>IF(COUNT(F114:I114)=0,"n/m",AVERAGE(F114:I114))</x:f>
        <x:v>0.2586214410563992</x:v>
      </x:c>
      <x:c r="N114" s="149" t="n">
        <x:f>IF(COUNT(E114:I114)=0,"n/m",MEDIAN(E114:I114))</x:f>
        <x:v>0.2692569010491479</x:v>
      </x:c>
      <x:c r="O114" s="11" t="str">
        <x:v>Lower</x:v>
      </x:c>
      <x:c r="P114" s="9" t="str">
        <x:f>IF(NOT(ISNUMBER(L114)),"n/m",IF(O114="Higher",IF(L114&gt;=0,"Above avg - favourable","Below avg - unfavourable"),IF(O114="Lower",IF(L114&lt;=0,"Below avg - favourable","Above avg - unfavourable"),IF(L114&gt;=0,"Above avg - context-dependent","Below avg - context-dependent"))))&amp;IF(K114&lt;5," (N="&amp;K114&amp;")","")</x:f>
        <x:v>Below avg - favourable</x:v>
      </x:c>
      <x:c r="Q114"/>
      <x:c r="R114" s="59" t="str">
        <x:f>IF(K114=0,"n/m",IF(ABS(J114-SUM(E114:I114)/K114)&lt;0.000000001,"OK","ERR"))</x:f>
        <x:v>OK</x:v>
      </x:c>
    </x:row>
    <x:row r="115" ht="15" hidden="0">
      <x:c r="A115"/>
      <x:c r="B115"/>
      <x:c r="C115" s="56" t="str">
        <x:v>Total debt-to-capital</x:v>
      </x:c>
      <x:c r="D115" s="11" t="str">
        <x:v>FY2025</x:v>
      </x:c>
      <x:c r="E115" s="147" t="n">
        <x:f>KOHC!H157</x:f>
        <x:v>0.044675679300716</x:v>
      </x:c>
      <x:c r="F115" s="147" t="n">
        <x:f>LUCK!H157</x:f>
        <x:v>0.0906485859901983</x:v>
      </x:c>
      <x:c r="G115" s="147" t="n">
        <x:f>DGKC!H157</x:f>
        <x:v>0.18792347676351873</x:v>
      </x:c>
      <x:c r="H115" s="147" t="n">
        <x:f>MLCF!H157</x:f>
        <x:v>0.1694536072536581</x:v>
      </x:c>
      <x:c r="I115" s="147" t="n">
        <x:f>FCCL!H157</x:f>
        <x:v>0.3220730092552348</x:v>
      </x:c>
      <x:c r="J115" s="148" t="n">
        <x:f>IF(COUNT(E115:I115)=0,"n/m",AVERAGE(E115:I115))</x:f>
        <x:v>0.16295487171266518</x:v>
      </x:c>
      <x:c r="K115" s="11" t="n">
        <x:f>COUNT(E115:I115)</x:f>
        <x:v>5</x:v>
      </x:c>
      <x:c r="L115" s="149" t="n">
        <x:f>IF(AND(ISNUMBER(E115),ISNUMBER(J115)),E115-J115,"n/m")</x:f>
        <x:v>-0.11827919241194917</x:v>
      </x:c>
      <x:c r="M115" s="149" t="n">
        <x:f>IF(COUNT(F115:I115)=0,"n/m",AVERAGE(F115:I115))</x:f>
        <x:v>0.19252466981565247</x:v>
      </x:c>
      <x:c r="N115" s="149" t="n">
        <x:f>IF(COUNT(E115:I115)=0,"n/m",MEDIAN(E115:I115))</x:f>
        <x:v>0.1694536072536581</x:v>
      </x:c>
      <x:c r="O115" s="11" t="str">
        <x:v>Lower</x:v>
      </x:c>
      <x:c r="P115" s="9" t="str">
        <x:f>IF(NOT(ISNUMBER(L115)),"n/m",IF(O115="Higher",IF(L115&gt;=0,"Above avg - favourable","Below avg - unfavourable"),IF(O115="Lower",IF(L115&lt;=0,"Below avg - favourable","Above avg - unfavourable"),IF(L115&gt;=0,"Above avg - context-dependent","Below avg - context-dependent"))))&amp;IF(K115&lt;5," (N="&amp;K115&amp;")","")</x:f>
        <x:v>Below avg - favourable</x:v>
      </x:c>
      <x:c r="Q115"/>
      <x:c r="R115" s="59" t="str">
        <x:f>IF(K115=0,"n/m",IF(ABS(J115-SUM(E115:I115)/K115)&lt;0.000000001,"OK","ERR"))</x:f>
        <x:v>OK</x:v>
      </x:c>
    </x:row>
    <x:row r="116" ht="15" hidden="0">
      <x:c r="A116" s="54" t="str">
        <x:v>Debt Management</x:v>
      </x:c>
      <x:c r="B116" s="25" t="n">
        <x:v>19</x:v>
      </x:c>
      <x:c r="C116" s="24" t="str">
        <x:v>19. Long-term debt ratio</x:v>
      </x:c>
      <x:c r="D116" s="25"/>
      <x:c r="E116" s="25"/>
      <x:c r="F116" s="25"/>
      <x:c r="G116" s="25"/>
      <x:c r="H116" s="25"/>
      <x:c r="I116" s="25"/>
      <x:c r="J116" s="25"/>
      <x:c r="K116" s="25"/>
      <x:c r="L116" s="25"/>
      <x:c r="M116" s="25"/>
      <x:c r="N116" s="25"/>
      <x:c r="O116" s="25"/>
      <x:c r="P116" s="25"/>
      <x:c r="Q116" s="55"/>
      <x:c r="R116" s="25"/>
    </x:row>
    <x:row r="117" ht="15" hidden="0">
      <x:c r="A117"/>
      <x:c r="B117"/>
      <x:c r="C117" s="56" t="str">
        <x:v>Long-term debt ratio</x:v>
      </x:c>
      <x:c r="D117" s="11" t="str">
        <x:v>FY2021</x:v>
      </x:c>
      <x:c r="E117" s="147" t="n">
        <x:f>KOHC!D158</x:f>
        <x:v>0.1220875910318789</x:v>
      </x:c>
      <x:c r="F117" s="147" t="n">
        <x:f>LUCK!D158</x:f>
        <x:v>0.018763703805448454</x:v>
      </x:c>
      <x:c r="G117" s="147" t="n">
        <x:f>DGKC!D158</x:f>
        <x:v>0.13996233662270563</x:v>
      </x:c>
      <x:c r="H117" s="147" t="n">
        <x:f>MLCF!D158</x:f>
        <x:v>0.19077425632568037</x:v>
      </x:c>
      <x:c r="I117" s="147" t="n">
        <x:f>FCCL!D158</x:f>
        <x:v>0.01659494791985876</x:v>
      </x:c>
      <x:c r="J117" s="148" t="n">
        <x:f>IF(COUNT(E117:I117)=0,"n/m",AVERAGE(E117:I117))</x:f>
        <x:v>0.09763656714111443</x:v>
      </x:c>
      <x:c r="K117" s="11" t="n">
        <x:f>COUNT(E117:I117)</x:f>
        <x:v>5</x:v>
      </x:c>
      <x:c r="L117" s="149" t="n">
        <x:f>IF(AND(ISNUMBER(E117),ISNUMBER(J117)),E117-J117,"n/m")</x:f>
        <x:v>0.024451023890764464</x:v>
      </x:c>
      <x:c r="M117" s="149" t="n">
        <x:f>IF(COUNT(F117:I117)=0,"n/m",AVERAGE(F117:I117))</x:f>
        <x:v>0.0915238111684233</x:v>
      </x:c>
      <x:c r="N117" s="149" t="n">
        <x:f>IF(COUNT(E117:I117)=0,"n/m",MEDIAN(E117:I117))</x:f>
        <x:v>0.1220875910318789</x:v>
      </x:c>
      <x:c r="O117" s="11" t="str">
        <x:v>Lower</x:v>
      </x:c>
      <x:c r="P117" s="9" t="str">
        <x:f>IF(NOT(ISNUMBER(L117)),"n/m",IF(O117="Higher",IF(L117&gt;=0,"Above avg - favourable","Below avg - unfavourable"),IF(O117="Lower",IF(L117&lt;=0,"Below avg - favourable","Above avg - unfavourable"),IF(L117&gt;=0,"Above avg - context-dependent","Below avg - context-dependent"))))&amp;IF(K117&lt;5," (N="&amp;K117&amp;")","")</x:f>
        <x:v>Above avg - unfavourable</x:v>
      </x:c>
      <x:c r="Q117"/>
      <x:c r="R117" s="59" t="str">
        <x:f>IF(K117=0,"n/m",IF(ABS(J117-SUM(E117:I117)/K117)&lt;0.000000001,"OK","ERR"))</x:f>
        <x:v>OK</x:v>
      </x:c>
    </x:row>
    <x:row r="118" ht="15" hidden="0">
      <x:c r="A118"/>
      <x:c r="B118"/>
      <x:c r="C118" s="56" t="str">
        <x:v>Long-term debt ratio</x:v>
      </x:c>
      <x:c r="D118" s="11" t="str">
        <x:v>FY2022</x:v>
      </x:c>
      <x:c r="E118" s="147" t="n">
        <x:f>KOHC!E158</x:f>
        <x:v>0.07334143338786069</x:v>
      </x:c>
      <x:c r="F118" s="147" t="n">
        <x:f>LUCK!E158</x:f>
        <x:v>0.07627738632757988</x:v>
      </x:c>
      <x:c r="G118" s="147" t="n">
        <x:f>DGKC!E158</x:f>
        <x:v>0.10374941529310935</x:v>
      </x:c>
      <x:c r="H118" s="147" t="n">
        <x:f>MLCF!E158</x:f>
        <x:v>0.22836689667151214</x:v>
      </x:c>
      <x:c r="I118" s="147" t="n">
        <x:f>FCCL!E158</x:f>
        <x:v>0.1727906268810509</x:v>
      </x:c>
      <x:c r="J118" s="148" t="n">
        <x:f>IF(COUNT(E118:I118)=0,"n/m",AVERAGE(E118:I118))</x:f>
        <x:v>0.13090515171222256</x:v>
      </x:c>
      <x:c r="K118" s="11" t="n">
        <x:f>COUNT(E118:I118)</x:f>
        <x:v>5</x:v>
      </x:c>
      <x:c r="L118" s="149" t="n">
        <x:f>IF(AND(ISNUMBER(E118),ISNUMBER(J118)),E118-J118,"n/m")</x:f>
        <x:v>-0.05756371832436187</x:v>
      </x:c>
      <x:c r="M118" s="149" t="n">
        <x:f>IF(COUNT(F118:I118)=0,"n/m",AVERAGE(F118:I118))</x:f>
        <x:v>0.14529608129331306</x:v>
      </x:c>
      <x:c r="N118" s="149" t="n">
        <x:f>IF(COUNT(E118:I118)=0,"n/m",MEDIAN(E118:I118))</x:f>
        <x:v>0.10374941529310935</x:v>
      </x:c>
      <x:c r="O118" s="11" t="str">
        <x:v>Lower</x:v>
      </x:c>
      <x:c r="P118" s="9" t="str">
        <x:f>IF(NOT(ISNUMBER(L118)),"n/m",IF(O118="Higher",IF(L118&gt;=0,"Above avg - favourable","Below avg - unfavourable"),IF(O118="Lower",IF(L118&lt;=0,"Below avg - favourable","Above avg - unfavourable"),IF(L118&gt;=0,"Above avg - context-dependent","Below avg - context-dependent"))))&amp;IF(K118&lt;5," (N="&amp;K118&amp;")","")</x:f>
        <x:v>Below avg - favourable</x:v>
      </x:c>
      <x:c r="Q118"/>
      <x:c r="R118" s="59" t="str">
        <x:f>IF(K118=0,"n/m",IF(ABS(J118-SUM(E118:I118)/K118)&lt;0.000000001,"OK","ERR"))</x:f>
        <x:v>OK</x:v>
      </x:c>
    </x:row>
    <x:row r="119" ht="15" hidden="0">
      <x:c r="A119"/>
      <x:c r="B119"/>
      <x:c r="C119" s="56" t="str">
        <x:v>Long-term debt ratio</x:v>
      </x:c>
      <x:c r="D119" s="11" t="str">
        <x:v>FY2023</x:v>
      </x:c>
      <x:c r="E119" s="147" t="n">
        <x:f>KOHC!F158</x:f>
        <x:v>0.04338813037035516</x:v>
      </x:c>
      <x:c r="F119" s="147" t="n">
        <x:f>LUCK!F158</x:f>
        <x:v>0.0683187429199697</x:v>
      </x:c>
      <x:c r="G119" s="147" t="n">
        <x:f>DGKC!F158</x:f>
        <x:v>0.07173473071922083</x:v>
      </x:c>
      <x:c r="H119" s="147" t="n">
        <x:f>MLCF!F158</x:f>
        <x:v>0.19245552926882725</x:v>
      </x:c>
      <x:c r="I119" s="147" t="n">
        <x:f>FCCL!F158</x:f>
        <x:v>0.22975152572601862</x:v>
      </x:c>
      <x:c r="J119" s="148" t="n">
        <x:f>IF(COUNT(E119:I119)=0,"n/m",AVERAGE(E119:I119))</x:f>
        <x:v>0.12112973180087831</x:v>
      </x:c>
      <x:c r="K119" s="11" t="n">
        <x:f>COUNT(E119:I119)</x:f>
        <x:v>5</x:v>
      </x:c>
      <x:c r="L119" s="149" t="n">
        <x:f>IF(AND(ISNUMBER(E119),ISNUMBER(J119)),E119-J119,"n/m")</x:f>
        <x:v>-0.07774160143052315</x:v>
      </x:c>
      <x:c r="M119" s="149" t="n">
        <x:f>IF(COUNT(F119:I119)=0,"n/m",AVERAGE(F119:I119))</x:f>
        <x:v>0.1405651321585091</x:v>
      </x:c>
      <x:c r="N119" s="149" t="n">
        <x:f>IF(COUNT(E119:I119)=0,"n/m",MEDIAN(E119:I119))</x:f>
        <x:v>0.07173473071922083</x:v>
      </x:c>
      <x:c r="O119" s="11" t="str">
        <x:v>Lower</x:v>
      </x:c>
      <x:c r="P119" s="9" t="str">
        <x:f>IF(NOT(ISNUMBER(L119)),"n/m",IF(O119="Higher",IF(L119&gt;=0,"Above avg - favourable","Below avg - unfavourable"),IF(O119="Lower",IF(L119&lt;=0,"Below avg - favourable","Above avg - unfavourable"),IF(L119&gt;=0,"Above avg - context-dependent","Below avg - context-dependent"))))&amp;IF(K119&lt;5," (N="&amp;K119&amp;")","")</x:f>
        <x:v>Below avg - favourable</x:v>
      </x:c>
      <x:c r="Q119"/>
      <x:c r="R119" s="59" t="str">
        <x:f>IF(K119=0,"n/m",IF(ABS(J119-SUM(E119:I119)/K119)&lt;0.000000001,"OK","ERR"))</x:f>
        <x:v>OK</x:v>
      </x:c>
    </x:row>
    <x:row r="120" ht="15" hidden="0">
      <x:c r="A120"/>
      <x:c r="B120"/>
      <x:c r="C120" s="56" t="str">
        <x:v>Long-term debt ratio</x:v>
      </x:c>
      <x:c r="D120" s="11" t="str">
        <x:v>FY2024</x:v>
      </x:c>
      <x:c r="E120" s="147" t="n">
        <x:f>KOHC!G158</x:f>
        <x:v>0.01901053423767185</x:v>
      </x:c>
      <x:c r="F120" s="147" t="n">
        <x:f>LUCK!G158</x:f>
        <x:v>0.054528421285721974</x:v>
      </x:c>
      <x:c r="G120" s="147" t="n">
        <x:f>DGKC!G158</x:f>
        <x:v>0.11536675950040348</x:v>
      </x:c>
      <x:c r="H120" s="147" t="n">
        <x:f>MLCF!G158</x:f>
        <x:v>0.1441187310524372</x:v>
      </x:c>
      <x:c r="I120" s="147" t="n">
        <x:f>FCCL!G158</x:f>
        <x:v>0.203376413547186</x:v>
      </x:c>
      <x:c r="J120" s="148" t="n">
        <x:f>IF(COUNT(E120:I120)=0,"n/m",AVERAGE(E120:I120))</x:f>
        <x:v>0.10728017192468409</x:v>
      </x:c>
      <x:c r="K120" s="11" t="n">
        <x:f>COUNT(E120:I120)</x:f>
        <x:v>5</x:v>
      </x:c>
      <x:c r="L120" s="149" t="n">
        <x:f>IF(AND(ISNUMBER(E120),ISNUMBER(J120)),E120-J120,"n/m")</x:f>
        <x:v>-0.08826963768701224</x:v>
      </x:c>
      <x:c r="M120" s="149" t="n">
        <x:f>IF(COUNT(F120:I120)=0,"n/m",AVERAGE(F120:I120))</x:f>
        <x:v>0.12934758134643715</x:v>
      </x:c>
      <x:c r="N120" s="149" t="n">
        <x:f>IF(COUNT(E120:I120)=0,"n/m",MEDIAN(E120:I120))</x:f>
        <x:v>0.11536675950040348</x:v>
      </x:c>
      <x:c r="O120" s="11" t="str">
        <x:v>Lower</x:v>
      </x:c>
      <x:c r="P120" s="9" t="str">
        <x:f>IF(NOT(ISNUMBER(L120)),"n/m",IF(O120="Higher",IF(L120&gt;=0,"Above avg - favourable","Below avg - unfavourable"),IF(O120="Lower",IF(L120&lt;=0,"Below avg - favourable","Above avg - unfavourable"),IF(L120&gt;=0,"Above avg - context-dependent","Below avg - context-dependent"))))&amp;IF(K120&lt;5," (N="&amp;K120&amp;")","")</x:f>
        <x:v>Below avg - favourable</x:v>
      </x:c>
      <x:c r="Q120"/>
      <x:c r="R120" s="59" t="str">
        <x:f>IF(K120=0,"n/m",IF(ABS(J120-SUM(E120:I120)/K120)&lt;0.000000001,"OK","ERR"))</x:f>
        <x:v>OK</x:v>
      </x:c>
    </x:row>
    <x:row r="121" ht="15" hidden="0">
      <x:c r="A121"/>
      <x:c r="B121"/>
      <x:c r="C121" s="56" t="str">
        <x:v>Long-term debt ratio</x:v>
      </x:c>
      <x:c r="D121" s="11" t="str">
        <x:v>FY2025</x:v>
      </x:c>
      <x:c r="E121" s="147" t="n">
        <x:f>KOHC!H158</x:f>
        <x:v>0.02169313165517457</x:v>
      </x:c>
      <x:c r="F121" s="147" t="n">
        <x:f>LUCK!H158</x:f>
        <x:v>0.0344314520335914</x:v>
      </x:c>
      <x:c r="G121" s="147" t="n">
        <x:f>DGKC!H158</x:f>
        <x:v>0.06917171092245233</x:v>
      </x:c>
      <x:c r="H121" s="147" t="n">
        <x:f>MLCF!H158</x:f>
        <x:v>0.08236454653172713</x:v>
      </x:c>
      <x:c r="I121" s="147" t="n">
        <x:f>FCCL!H158</x:f>
        <x:v>0.15113814624398686</x:v>
      </x:c>
      <x:c r="J121" s="148" t="n">
        <x:f>IF(COUNT(E121:I121)=0,"n/m",AVERAGE(E121:I121))</x:f>
        <x:v>0.07175979747738645</x:v>
      </x:c>
      <x:c r="K121" s="11" t="n">
        <x:f>COUNT(E121:I121)</x:f>
        <x:v>5</x:v>
      </x:c>
      <x:c r="L121" s="149" t="n">
        <x:f>IF(AND(ISNUMBER(E121),ISNUMBER(J121)),E121-J121,"n/m")</x:f>
        <x:v>-0.05006666582221188</x:v>
      </x:c>
      <x:c r="M121" s="149" t="n">
        <x:f>IF(COUNT(F121:I121)=0,"n/m",AVERAGE(F121:I121))</x:f>
        <x:v>0.08427646393293943</x:v>
      </x:c>
      <x:c r="N121" s="149" t="n">
        <x:f>IF(COUNT(E121:I121)=0,"n/m",MEDIAN(E121:I121))</x:f>
        <x:v>0.06917171092245233</x:v>
      </x:c>
      <x:c r="O121" s="11" t="str">
        <x:v>Lower</x:v>
      </x:c>
      <x:c r="P121" s="9" t="str">
        <x:f>IF(NOT(ISNUMBER(L121)),"n/m",IF(O121="Higher",IF(L121&gt;=0,"Above avg - favourable","Below avg - unfavourable"),IF(O121="Lower",IF(L121&lt;=0,"Below avg - favourable","Above avg - unfavourable"),IF(L121&gt;=0,"Above avg - context-dependent","Below avg - context-dependent"))))&amp;IF(K121&lt;5," (N="&amp;K121&amp;")","")</x:f>
        <x:v>Below avg - favourable</x:v>
      </x:c>
      <x:c r="Q121"/>
      <x:c r="R121" s="59" t="str">
        <x:f>IF(K121=0,"n/m",IF(ABS(J121-SUM(E121:I121)/K121)&lt;0.000000001,"OK","ERR"))</x:f>
        <x:v>OK</x:v>
      </x:c>
    </x:row>
    <x:row r="122" ht="15" hidden="0">
      <x:c r="A122" s="54" t="str">
        <x:v>Debt Management</x:v>
      </x:c>
      <x:c r="B122" s="25" t="n">
        <x:v>20</x:v>
      </x:c>
      <x:c r="C122" s="24" t="str">
        <x:v>20. Times interest earned</x:v>
      </x:c>
      <x:c r="D122" s="25"/>
      <x:c r="E122" s="25"/>
      <x:c r="F122" s="25"/>
      <x:c r="G122" s="25"/>
      <x:c r="H122" s="25"/>
      <x:c r="I122" s="25"/>
      <x:c r="J122" s="25"/>
      <x:c r="K122" s="25"/>
      <x:c r="L122" s="25"/>
      <x:c r="M122" s="25"/>
      <x:c r="N122" s="25"/>
      <x:c r="O122" s="25"/>
      <x:c r="P122" s="25"/>
      <x:c r="Q122" s="55" t="s">
        <x:v>694</x:v>
      </x:c>
      <x:c r="R122" s="25"/>
    </x:row>
    <x:row r="123" ht="15" hidden="0">
      <x:c r="A123"/>
      <x:c r="B123"/>
      <x:c r="C123" s="56" t="str">
        <x:v>Times interest earned</x:v>
      </x:c>
      <x:c r="D123" s="11" t="str">
        <x:v>FY2021</x:v>
      </x:c>
      <x:c r="E123" s="138" t="n">
        <x:f>KOHC!D159</x:f>
        <x:v>11.019706901181747</x:v>
      </x:c>
      <x:c r="F123" s="138" t="n">
        <x:f>LUCK!D159</x:f>
        <x:v>52.04222826331838</x:v>
      </x:c>
      <x:c r="G123" s="138" t="n">
        <x:f>DGKC!D159</x:f>
        <x:v>2.665277021761826</x:v>
      </x:c>
      <x:c r="H123" s="138" t="n">
        <x:f>MLCF!D159</x:f>
        <x:v>6.069000565198944</x:v>
      </x:c>
      <x:c r="I123" s="138" t="n">
        <x:f>FCCL!D159</x:f>
        <x:v>56.640991401771736</x:v>
      </x:c>
      <x:c r="J123" s="139" t="n">
        <x:f>IF(COUNT(E123:I123)=0,"n/m",AVERAGE(E123:I123))</x:f>
        <x:v>25.68744083064653</x:v>
      </x:c>
      <x:c r="K123" s="11" t="n">
        <x:f>COUNT(E123:I123)</x:f>
        <x:v>5</x:v>
      </x:c>
      <x:c r="L123" s="140" t="n">
        <x:f>IF(AND(ISNUMBER(E123),ISNUMBER(J123)),E123-J123,"n/m")</x:f>
        <x:v>-14.667733929464783</x:v>
      </x:c>
      <x:c r="M123" s="140" t="n">
        <x:f>IF(COUNT(F123:I123)=0,"n/m",AVERAGE(F123:I123))</x:f>
        <x:v>29.35437431301272</x:v>
      </x:c>
      <x:c r="N123" s="140" t="n">
        <x:f>IF(COUNT(E123:I123)=0,"n/m",MEDIAN(E123:I123))</x:f>
        <x:v>11.019706901181747</x:v>
      </x:c>
      <x:c r="O123" s="11" t="str">
        <x:v>Higher</x:v>
      </x:c>
      <x:c r="P123" s="9" t="str">
        <x:f>IF(NOT(ISNUMBER(L123)),"n/m",IF(O123="Higher",IF(L123&gt;=0,"Above avg - favourable","Below avg - unfavourable"),IF(O123="Lower",IF(L123&lt;=0,"Below avg - favourable","Above avg - unfavourable"),IF(L123&gt;=0,"Above avg - context-dependent","Below avg - context-dependent"))))&amp;IF(K123&lt;5," (N="&amp;K123&amp;")","")</x:f>
        <x:v>Below avg - unfavourable</x:v>
      </x:c>
      <x:c r="Q123"/>
      <x:c r="R123" s="59" t="str">
        <x:f>IF(K123=0,"n/m",IF(ABS(J123-SUM(E123:I123)/K123)&lt;0.000000001,"OK","ERR"))</x:f>
        <x:v>OK</x:v>
      </x:c>
    </x:row>
    <x:row r="124" ht="15" hidden="0">
      <x:c r="A124"/>
      <x:c r="B124"/>
      <x:c r="C124" s="56" t="str">
        <x:v>Times interest earned</x:v>
      </x:c>
      <x:c r="D124" s="11" t="str">
        <x:v>FY2022</x:v>
      </x:c>
      <x:c r="E124" s="138" t="n">
        <x:f>KOHC!E159</x:f>
        <x:v>18.36315245249661</x:v>
      </x:c>
      <x:c r="F124" s="138" t="n">
        <x:f>LUCK!E159</x:f>
        <x:v>55.297361076962446</x:v>
      </x:c>
      <x:c r="G124" s="138" t="n">
        <x:f>DGKC!E159</x:f>
        <x:v>2.7057478339935286</x:v>
      </x:c>
      <x:c r="H124" s="138" t="n">
        <x:f>MLCF!E159</x:f>
        <x:v>5.280713598911259</x:v>
      </x:c>
      <x:c r="I124" s="138" t="n">
        <x:f>FCCL!E159</x:f>
        <x:v>12.790793831338474</x:v>
      </x:c>
      <x:c r="J124" s="139" t="n">
        <x:f>IF(COUNT(E124:I124)=0,"n/m",AVERAGE(E124:I124))</x:f>
        <x:v>18.887553758740463</x:v>
      </x:c>
      <x:c r="K124" s="11" t="n">
        <x:f>COUNT(E124:I124)</x:f>
        <x:v>5</x:v>
      </x:c>
      <x:c r="L124" s="140" t="n">
        <x:f>IF(AND(ISNUMBER(E124),ISNUMBER(J124)),E124-J124,"n/m")</x:f>
        <x:v>-0.5244013062438526</x:v>
      </x:c>
      <x:c r="M124" s="140" t="n">
        <x:f>IF(COUNT(F124:I124)=0,"n/m",AVERAGE(F124:I124))</x:f>
        <x:v>19.018654085301428</x:v>
      </x:c>
      <x:c r="N124" s="140" t="n">
        <x:f>IF(COUNT(E124:I124)=0,"n/m",MEDIAN(E124:I124))</x:f>
        <x:v>12.790793831338474</x:v>
      </x:c>
      <x:c r="O124" s="11" t="str">
        <x:v>Higher</x:v>
      </x:c>
      <x:c r="P124" s="9" t="str">
        <x:f>IF(NOT(ISNUMBER(L124)),"n/m",IF(O124="Higher",IF(L124&gt;=0,"Above avg - favourable","Below avg - unfavourable"),IF(O124="Lower",IF(L124&lt;=0,"Below avg - favourable","Above avg - unfavourable"),IF(L124&gt;=0,"Above avg - context-dependent","Below avg - context-dependent"))))&amp;IF(K124&lt;5," (N="&amp;K124&amp;")","")</x:f>
        <x:v>Below avg - unfavourable</x:v>
      </x:c>
      <x:c r="Q124"/>
      <x:c r="R124" s="59" t="str">
        <x:f>IF(K124=0,"n/m",IF(ABS(J124-SUM(E124:I124)/K124)&lt;0.000000001,"OK","ERR"))</x:f>
        <x:v>OK</x:v>
      </x:c>
    </x:row>
    <x:row r="125" ht="15" hidden="0">
      <x:c r="A125"/>
      <x:c r="B125"/>
      <x:c r="C125" s="56" t="str">
        <x:v>Times interest earned</x:v>
      </x:c>
      <x:c r="D125" s="11" t="str">
        <x:v>FY2023</x:v>
      </x:c>
      <x:c r="E125" s="138" t="n">
        <x:f>KOHC!F159</x:f>
        <x:v>16.398825279873954</x:v>
      </x:c>
      <x:c r="F125" s="138" t="n">
        <x:f>LUCK!F159</x:f>
        <x:v>19.427961435835122</x:v>
      </x:c>
      <x:c r="G125" s="138" t="n">
        <x:f>DGKC!F159</x:f>
        <x:v>1.4774958199074884</x:v>
      </x:c>
      <x:c r="H125" s="138" t="n">
        <x:f>MLCF!F159</x:f>
        <x:v>4.472840944030858</x:v>
      </x:c>
      <x:c r="I125" s="138" t="n">
        <x:f>FCCL!F159</x:f>
        <x:v>6.303455869186725</x:v>
      </x:c>
      <x:c r="J125" s="139" t="n">
        <x:f>IF(COUNT(E125:I125)=0,"n/m",AVERAGE(E125:I125))</x:f>
        <x:v>9.61611586976683</x:v>
      </x:c>
      <x:c r="K125" s="11" t="n">
        <x:f>COUNT(E125:I125)</x:f>
        <x:v>5</x:v>
      </x:c>
      <x:c r="L125" s="140" t="n">
        <x:f>IF(AND(ISNUMBER(E125),ISNUMBER(J125)),E125-J125,"n/m")</x:f>
        <x:v>6.782709410107124</x:v>
      </x:c>
      <x:c r="M125" s="140" t="n">
        <x:f>IF(COUNT(F125:I125)=0,"n/m",AVERAGE(F125:I125))</x:f>
        <x:v>7.920438517240048</x:v>
      </x:c>
      <x:c r="N125" s="140" t="n">
        <x:f>IF(COUNT(E125:I125)=0,"n/m",MEDIAN(E125:I125))</x:f>
        <x:v>6.303455869186725</x:v>
      </x:c>
      <x:c r="O125" s="11" t="str">
        <x:v>Higher</x:v>
      </x:c>
      <x:c r="P125" s="9" t="str">
        <x:f>IF(NOT(ISNUMBER(L125)),"n/m",IF(O125="Higher",IF(L125&gt;=0,"Above avg - favourable","Below avg - unfavourable"),IF(O125="Lower",IF(L125&lt;=0,"Below avg - favourable","Above avg - unfavourable"),IF(L125&gt;=0,"Above avg - context-dependent","Below avg - context-dependent"))))&amp;IF(K125&lt;5," (N="&amp;K125&amp;")","")</x:f>
        <x:v>Above avg - favourable</x:v>
      </x:c>
      <x:c r="Q125"/>
      <x:c r="R125" s="59" t="str">
        <x:f>IF(K125=0,"n/m",IF(ABS(J125-SUM(E125:I125)/K125)&lt;0.000000001,"OK","ERR"))</x:f>
        <x:v>OK</x:v>
      </x:c>
    </x:row>
    <x:row r="126" ht="15" hidden="0">
      <x:c r="A126"/>
      <x:c r="B126"/>
      <x:c r="C126" s="56" t="str">
        <x:v>Times interest earned</x:v>
      </x:c>
      <x:c r="D126" s="11" t="str">
        <x:v>FY2024</x:v>
      </x:c>
      <x:c r="E126" s="138" t="n">
        <x:f>KOHC!G159</x:f>
        <x:v>22.367720224205137</x:v>
      </x:c>
      <x:c r="F126" s="138" t="n">
        <x:f>LUCK!G159</x:f>
        <x:v>27.534616013098077</x:v>
      </x:c>
      <x:c r="G126" s="138" t="n">
        <x:f>DGKC!G159</x:f>
        <x:v>1.367829033720977</x:v>
      </x:c>
      <x:c r="H126" s="138" t="n">
        <x:f>MLCF!G159</x:f>
        <x:v>3.222781857366191</x:v>
      </x:c>
      <x:c r="I126" s="138" t="n">
        <x:f>FCCL!G159</x:f>
        <x:v>3.782086656189459</x:v>
      </x:c>
      <x:c r="J126" s="139" t="n">
        <x:f>IF(COUNT(E126:I126)=0,"n/m",AVERAGE(E126:I126))</x:f>
        <x:v>11.65500675691597</x:v>
      </x:c>
      <x:c r="K126" s="11" t="n">
        <x:f>COUNT(E126:I126)</x:f>
        <x:v>5</x:v>
      </x:c>
      <x:c r="L126" s="140" t="n">
        <x:f>IF(AND(ISNUMBER(E126),ISNUMBER(J126)),E126-J126,"n/m")</x:f>
        <x:v>10.712713467289166</x:v>
      </x:c>
      <x:c r="M126" s="140" t="n">
        <x:f>IF(COUNT(F126:I126)=0,"n/m",AVERAGE(F126:I126))</x:f>
        <x:v>8.976828390093676</x:v>
      </x:c>
      <x:c r="N126" s="140" t="n">
        <x:f>IF(COUNT(E126:I126)=0,"n/m",MEDIAN(E126:I126))</x:f>
        <x:v>3.782086656189459</x:v>
      </x:c>
      <x:c r="O126" s="11" t="str">
        <x:v>Higher</x:v>
      </x:c>
      <x:c r="P126" s="9" t="str">
        <x:f>IF(NOT(ISNUMBER(L126)),"n/m",IF(O126="Higher",IF(L126&gt;=0,"Above avg - favourable","Below avg - unfavourable"),IF(O126="Lower",IF(L126&lt;=0,"Below avg - favourable","Above avg - unfavourable"),IF(L126&gt;=0,"Above avg - context-dependent","Below avg - context-dependent"))))&amp;IF(K126&lt;5," (N="&amp;K126&amp;")","")</x:f>
        <x:v>Above avg - favourable</x:v>
      </x:c>
      <x:c r="Q126"/>
      <x:c r="R126" s="59" t="str">
        <x:f>IF(K126=0,"n/m",IF(ABS(J126-SUM(E126:I126)/K126)&lt;0.000000001,"OK","ERR"))</x:f>
        <x:v>OK</x:v>
      </x:c>
    </x:row>
    <x:row r="127" ht="15" hidden="0">
      <x:c r="A127"/>
      <x:c r="B127"/>
      <x:c r="C127" s="56" t="str">
        <x:v>Times interest earned</x:v>
      </x:c>
      <x:c r="D127" s="11" t="str">
        <x:v>FY2025</x:v>
      </x:c>
      <x:c r="E127" s="138" t="n">
        <x:f>KOHC!H159</x:f>
        <x:v>59.09895319837231</x:v>
      </x:c>
      <x:c r="F127" s="138" t="n">
        <x:f>LUCK!H159</x:f>
        <x:v>36.7208914917797</x:v>
      </x:c>
      <x:c r="G127" s="138" t="n">
        <x:f>DGKC!H159</x:f>
        <x:v>4.421321516604763</x:v>
      </x:c>
      <x:c r="H127" s="138" t="n">
        <x:f>MLCF!H159</x:f>
        <x:v>7.387043000579386</x:v>
      </x:c>
      <x:c r="I127" s="138" t="n">
        <x:f>FCCL!H159</x:f>
        <x:v>4.810770991481205</x:v>
      </x:c>
      <x:c r="J127" s="139" t="n">
        <x:f>IF(COUNT(E127:I127)=0,"n/m",AVERAGE(E127:I127))</x:f>
        <x:v>22.487796039763474</x:v>
      </x:c>
      <x:c r="K127" s="11" t="n">
        <x:f>COUNT(E127:I127)</x:f>
        <x:v>5</x:v>
      </x:c>
      <x:c r="L127" s="140" t="n">
        <x:f>IF(AND(ISNUMBER(E127),ISNUMBER(J127)),E127-J127,"n/m")</x:f>
        <x:v>36.61115715860883</x:v>
      </x:c>
      <x:c r="M127" s="140" t="n">
        <x:f>IF(COUNT(F127:I127)=0,"n/m",AVERAGE(F127:I127))</x:f>
        <x:v>13.335006750111265</x:v>
      </x:c>
      <x:c r="N127" s="140" t="n">
        <x:f>IF(COUNT(E127:I127)=0,"n/m",MEDIAN(E127:I127))</x:f>
        <x:v>7.387043000579386</x:v>
      </x:c>
      <x:c r="O127" s="11" t="str">
        <x:v>Higher</x:v>
      </x:c>
      <x:c r="P127" s="9" t="str">
        <x:f>IF(NOT(ISNUMBER(L127)),"n/m",IF(O127="Higher",IF(L127&gt;=0,"Above avg - favourable","Below avg - unfavourable"),IF(O127="Lower",IF(L127&lt;=0,"Below avg - favourable","Above avg - unfavourable"),IF(L127&gt;=0,"Above avg - context-dependent","Below avg - context-dependent"))))&amp;IF(K127&lt;5," (N="&amp;K127&amp;")","")</x:f>
        <x:v>Above avg - favourable</x:v>
      </x:c>
      <x:c r="Q127"/>
      <x:c r="R127" s="59" t="str">
        <x:f>IF(K127=0,"n/m",IF(ABS(J127-SUM(E127:I127)/K127)&lt;0.000000001,"OK","ERR"))</x:f>
        <x:v>OK</x:v>
      </x:c>
    </x:row>
    <x:row r="128" ht="22" hidden="0" customHeight="1">
      <x:c r="A128" s="128" t="str">
        <x:v>PROFITABILITY</x:v>
      </x:c>
      <x:c r="B128" s="129" t="n">
        <x:v>21</x:v>
      </x:c>
      <x:c r="C128" s="128" t="s">
        <x:v>695</x:v>
      </x:c>
      <x:c r="D128" s="129"/>
      <x:c r="E128" s="129"/>
      <x:c r="F128" s="129"/>
      <x:c r="G128" s="129"/>
      <x:c r="H128" s="129"/>
      <x:c r="I128" s="129"/>
      <x:c r="J128" s="129"/>
      <x:c r="K128" s="129"/>
      <x:c r="L128" s="129"/>
      <x:c r="M128" s="129"/>
      <x:c r="N128" s="129"/>
      <x:c r="O128" s="129"/>
      <x:c r="P128" s="129"/>
      <x:c r="Q128" s="128" t="s">
        <x:v>696</x:v>
      </x:c>
      <x:c r="R128" s="129"/>
    </x:row>
    <x:row r="129" ht="15" hidden="0">
      <x:c r="A129" s="54" t="str">
        <x:v>Profitability</x:v>
      </x:c>
      <x:c r="B129" s="25" t="n">
        <x:v>21</x:v>
      </x:c>
      <x:c r="C129" s="24" t="str">
        <x:v>21. Gross profit margin</x:v>
      </x:c>
      <x:c r="D129" s="25"/>
      <x:c r="E129" s="25"/>
      <x:c r="F129" s="25"/>
      <x:c r="G129" s="25"/>
      <x:c r="H129" s="25"/>
      <x:c r="I129" s="25"/>
      <x:c r="J129" s="25"/>
      <x:c r="K129" s="25"/>
      <x:c r="L129" s="25"/>
      <x:c r="M129" s="25"/>
      <x:c r="N129" s="25"/>
      <x:c r="O129" s="25"/>
      <x:c r="P129" s="25"/>
      <x:c r="Q129" s="55"/>
      <x:c r="R129" s="25"/>
    </x:row>
    <x:row r="130" ht="15" hidden="0">
      <x:c r="A130"/>
      <x:c r="B130"/>
      <x:c r="C130" s="56" t="str">
        <x:v>Gross profit margin</x:v>
      </x:c>
      <x:c r="D130" s="11" t="str">
        <x:v>FY2021</x:v>
      </x:c>
      <x:c r="E130" s="147" t="n">
        <x:f>KOHC!D161</x:f>
        <x:v>0.2479634130082893</x:v>
      </x:c>
      <x:c r="F130" s="147" t="n">
        <x:f>LUCK!D161</x:f>
        <x:v>0.30117079055471246</x:v>
      </x:c>
      <x:c r="G130" s="147" t="n">
        <x:f>DGKC!D161</x:f>
        <x:v>0.1789471373949763</x:v>
      </x:c>
      <x:c r="H130" s="147" t="n">
        <x:f>MLCF!D161</x:f>
        <x:v>0.20830714445240356</x:v>
      </x:c>
      <x:c r="I130" s="147" t="n">
        <x:f>FCCL!D161</x:f>
        <x:v>0.24985924725452316</x:v>
      </x:c>
      <x:c r="J130" s="148" t="n">
        <x:f>IF(COUNT(E130:I130)=0,"n/m",AVERAGE(E130:I130))</x:f>
        <x:v>0.23724954653298097</x:v>
      </x:c>
      <x:c r="K130" s="11" t="n">
        <x:f>COUNT(E130:I130)</x:f>
        <x:v>5</x:v>
      </x:c>
      <x:c r="L130" s="149" t="n">
        <x:f>IF(AND(ISNUMBER(E130),ISNUMBER(J130)),E130-J130,"n/m")</x:f>
        <x:v>0.010713866475308337</x:v>
      </x:c>
      <x:c r="M130" s="149" t="n">
        <x:f>IF(COUNT(F130:I130)=0,"n/m",AVERAGE(F130:I130))</x:f>
        <x:v>0.23457107991415388</x:v>
      </x:c>
      <x:c r="N130" s="149" t="n">
        <x:f>IF(COUNT(E130:I130)=0,"n/m",MEDIAN(E130:I130))</x:f>
        <x:v>0.2479634130082893</x:v>
      </x:c>
      <x:c r="O130" s="11" t="str">
        <x:v>Higher</x:v>
      </x:c>
      <x:c r="P130" s="9" t="str">
        <x:f>IF(NOT(ISNUMBER(L130)),"n/m",IF(O130="Higher",IF(L130&gt;=0,"Above avg - favourable","Below avg - unfavourable"),IF(O130="Lower",IF(L130&lt;=0,"Below avg - favourable","Above avg - unfavourable"),IF(L130&gt;=0,"Above avg - context-dependent","Below avg - context-dependent"))))&amp;IF(K130&lt;5," (N="&amp;K130&amp;")","")</x:f>
        <x:v>Above avg - favourable</x:v>
      </x:c>
      <x:c r="Q130"/>
      <x:c r="R130" s="59" t="str">
        <x:f>IF(K130=0,"n/m",IF(ABS(J130-SUM(E130:I130)/K130)&lt;0.000000001,"OK","ERR"))</x:f>
        <x:v>OK</x:v>
      </x:c>
    </x:row>
    <x:row r="131" ht="15" hidden="0">
      <x:c r="A131"/>
      <x:c r="B131"/>
      <x:c r="C131" s="56" t="str">
        <x:v>Gross profit margin</x:v>
      </x:c>
      <x:c r="D131" s="11" t="str">
        <x:v>FY2022</x:v>
      </x:c>
      <x:c r="E131" s="147" t="n">
        <x:f>KOHC!E161</x:f>
        <x:v>0.2984391421350988</x:v>
      </x:c>
      <x:c r="F131" s="147" t="n">
        <x:f>LUCK!E161</x:f>
        <x:v>0.278096691443614</x:v>
      </x:c>
      <x:c r="G131" s="147" t="n">
        <x:f>DGKC!E161</x:f>
        <x:v>0.1796626113599641</x:v>
      </x:c>
      <x:c r="H131" s="147" t="n">
        <x:f>MLCF!E161</x:f>
        <x:v>0.25300003367709667</x:v>
      </x:c>
      <x:c r="I131" s="147" t="n">
        <x:f>FCCL!E161</x:f>
        <x:v>0.28507903988852556</x:v>
      </x:c>
      <x:c r="J131" s="148" t="n">
        <x:f>IF(COUNT(E131:I131)=0,"n/m",AVERAGE(E131:I131))</x:f>
        <x:v>0.25885550370085986</x:v>
      </x:c>
      <x:c r="K131" s="11" t="n">
        <x:f>COUNT(E131:I131)</x:f>
        <x:v>5</x:v>
      </x:c>
      <x:c r="L131" s="149" t="n">
        <x:f>IF(AND(ISNUMBER(E131),ISNUMBER(J131)),E131-J131,"n/m")</x:f>
        <x:v>0.039583638434238955</x:v>
      </x:c>
      <x:c r="M131" s="149" t="n">
        <x:f>IF(COUNT(F131:I131)=0,"n/m",AVERAGE(F131:I131))</x:f>
        <x:v>0.2489595940923001</x:v>
      </x:c>
      <x:c r="N131" s="149" t="n">
        <x:f>IF(COUNT(E131:I131)=0,"n/m",MEDIAN(E131:I131))</x:f>
        <x:v>0.278096691443614</x:v>
      </x:c>
      <x:c r="O131" s="11" t="str">
        <x:v>Higher</x:v>
      </x:c>
      <x:c r="P131" s="9" t="str">
        <x:f>IF(NOT(ISNUMBER(L131)),"n/m",IF(O131="Higher",IF(L131&gt;=0,"Above avg - favourable","Below avg - unfavourable"),IF(O131="Lower",IF(L131&lt;=0,"Below avg - favourable","Above avg - unfavourable"),IF(L131&gt;=0,"Above avg - context-dependent","Below avg - context-dependent"))))&amp;IF(K131&lt;5," (N="&amp;K131&amp;")","")</x:f>
        <x:v>Above avg - favourable</x:v>
      </x:c>
      <x:c r="Q131"/>
      <x:c r="R131" s="59" t="str">
        <x:f>IF(K131=0,"n/m",IF(ABS(J131-SUM(E131:I131)/K131)&lt;0.000000001,"OK","ERR"))</x:f>
        <x:v>OK</x:v>
      </x:c>
    </x:row>
    <x:row r="132" ht="15" hidden="0">
      <x:c r="A132"/>
      <x:c r="B132"/>
      <x:c r="C132" s="56" t="str">
        <x:v>Gross profit margin</x:v>
      </x:c>
      <x:c r="D132" s="11" t="str">
        <x:v>FY2023</x:v>
      </x:c>
      <x:c r="E132" s="147" t="n">
        <x:f>KOHC!F161</x:f>
        <x:v>0.2680435681898961</x:v>
      </x:c>
      <x:c r="F132" s="147" t="n">
        <x:f>LUCK!F161</x:f>
        <x:v>0.2719408759567914</x:v>
      </x:c>
      <x:c r="G132" s="147" t="n">
        <x:f>DGKC!F161</x:f>
        <x:v>0.147048524585835</x:v>
      </x:c>
      <x:c r="H132" s="147" t="n">
        <x:f>MLCF!F161</x:f>
        <x:v>0.2927632247172742</x:v>
      </x:c>
      <x:c r="I132" s="147" t="n">
        <x:f>FCCL!F161</x:f>
        <x:v>0.2999660404821077</x:v>
      </x:c>
      <x:c r="J132" s="148" t="n">
        <x:f>IF(COUNT(E132:I132)=0,"n/m",AVERAGE(E132:I132))</x:f>
        <x:v>0.25595244678638085</x:v>
      </x:c>
      <x:c r="K132" s="11" t="n">
        <x:f>COUNT(E132:I132)</x:f>
        <x:v>5</x:v>
      </x:c>
      <x:c r="L132" s="149" t="n">
        <x:f>IF(AND(ISNUMBER(E132),ISNUMBER(J132)),E132-J132,"n/m")</x:f>
        <x:v>0.01209112140351526</x:v>
      </x:c>
      <x:c r="M132" s="149" t="n">
        <x:f>IF(COUNT(F132:I132)=0,"n/m",AVERAGE(F132:I132))</x:f>
        <x:v>0.2529296664355021</x:v>
      </x:c>
      <x:c r="N132" s="149" t="n">
        <x:f>IF(COUNT(E132:I132)=0,"n/m",MEDIAN(E132:I132))</x:f>
        <x:v>0.2719408759567914</x:v>
      </x:c>
      <x:c r="O132" s="11" t="str">
        <x:v>Higher</x:v>
      </x:c>
      <x:c r="P132" s="9" t="str">
        <x:f>IF(NOT(ISNUMBER(L132)),"n/m",IF(O132="Higher",IF(L132&gt;=0,"Above avg - favourable","Below avg - unfavourable"),IF(O132="Lower",IF(L132&lt;=0,"Below avg - favourable","Above avg - unfavourable"),IF(L132&gt;=0,"Above avg - context-dependent","Below avg - context-dependent"))))&amp;IF(K132&lt;5," (N="&amp;K132&amp;")","")</x:f>
        <x:v>Above avg - favourable</x:v>
      </x:c>
      <x:c r="Q132"/>
      <x:c r="R132" s="59" t="str">
        <x:f>IF(K132=0,"n/m",IF(ABS(J132-SUM(E132:I132)/K132)&lt;0.000000001,"OK","ERR"))</x:f>
        <x:v>OK</x:v>
      </x:c>
    </x:row>
    <x:row r="133" ht="15" hidden="0">
      <x:c r="A133"/>
      <x:c r="B133"/>
      <x:c r="C133" s="56" t="str">
        <x:v>Gross profit margin</x:v>
      </x:c>
      <x:c r="D133" s="11" t="str">
        <x:v>FY2024</x:v>
      </x:c>
      <x:c r="E133" s="147" t="n">
        <x:f>KOHC!G161</x:f>
        <x:v>0.29125851467425595</x:v>
      </x:c>
      <x:c r="F133" s="147" t="n">
        <x:f>LUCK!G161</x:f>
        <x:v>0.3364803079632158</x:v>
      </x:c>
      <x:c r="G133" s="147" t="n">
        <x:f>DGKC!G161</x:f>
        <x:v>0.1594256360843263</x:v>
      </x:c>
      <x:c r="H133" s="147" t="n">
        <x:f>MLCF!G161</x:f>
        <x:v>0.31547845382378364</x:v>
      </x:c>
      <x:c r="I133" s="147" t="n">
        <x:f>FCCL!G161</x:f>
        <x:v>0.3208998635022473</x:v>
      </x:c>
      <x:c r="J133" s="148" t="n">
        <x:f>IF(COUNT(E133:I133)=0,"n/m",AVERAGE(E133:I133))</x:f>
        <x:v>0.2847085552095658</x:v>
      </x:c>
      <x:c r="K133" s="11" t="n">
        <x:f>COUNT(E133:I133)</x:f>
        <x:v>5</x:v>
      </x:c>
      <x:c r="L133" s="149" t="n">
        <x:f>IF(AND(ISNUMBER(E133),ISNUMBER(J133)),E133-J133,"n/m")</x:f>
        <x:v>0.006549959464690169</x:v>
      </x:c>
      <x:c r="M133" s="149" t="n">
        <x:f>IF(COUNT(F133:I133)=0,"n/m",AVERAGE(F133:I133))</x:f>
        <x:v>0.28307106534339327</x:v>
      </x:c>
      <x:c r="N133" s="149" t="n">
        <x:f>IF(COUNT(E133:I133)=0,"n/m",MEDIAN(E133:I133))</x:f>
        <x:v>0.31547845382378364</x:v>
      </x:c>
      <x:c r="O133" s="11" t="str">
        <x:v>Higher</x:v>
      </x:c>
      <x:c r="P133" s="9" t="str">
        <x:f>IF(NOT(ISNUMBER(L133)),"n/m",IF(O133="Higher",IF(L133&gt;=0,"Above avg - favourable","Below avg - unfavourable"),IF(O133="Lower",IF(L133&lt;=0,"Below avg - favourable","Above avg - unfavourable"),IF(L133&gt;=0,"Above avg - context-dependent","Below avg - context-dependent"))))&amp;IF(K133&lt;5," (N="&amp;K133&amp;")","")</x:f>
        <x:v>Above avg - favourable</x:v>
      </x:c>
      <x:c r="Q133"/>
      <x:c r="R133" s="59" t="str">
        <x:f>IF(K133=0,"n/m",IF(ABS(J133-SUM(E133:I133)/K133)&lt;0.000000001,"OK","ERR"))</x:f>
        <x:v>OK</x:v>
      </x:c>
    </x:row>
    <x:row r="134" ht="15" hidden="0">
      <x:c r="A134"/>
      <x:c r="B134"/>
      <x:c r="C134" s="56" t="str">
        <x:v>Gross profit margin</x:v>
      </x:c>
      <x:c r="D134" s="11" t="str">
        <x:v>FY2025</x:v>
      </x:c>
      <x:c r="E134" s="147" t="n">
        <x:f>KOHC!H161</x:f>
        <x:v>0.39220278175445145</x:v>
      </x:c>
      <x:c r="F134" s="147" t="n">
        <x:f>LUCK!H161</x:f>
        <x:v>0.342816529820673</x:v>
      </x:c>
      <x:c r="G134" s="147" t="n">
        <x:f>DGKC!H161</x:f>
        <x:v>0.25740632547300923</x:v>
      </x:c>
      <x:c r="H134" s="147" t="n">
        <x:f>MLCF!H161</x:f>
        <x:v>0.3444440599046921</x:v>
      </x:c>
      <x:c r="I134" s="147" t="n">
        <x:f>FCCL!H161</x:f>
        <x:v>0.3549084220292905</x:v>
      </x:c>
      <x:c r="J134" s="148" t="n">
        <x:f>IF(COUNT(E134:I134)=0,"n/m",AVERAGE(E134:I134))</x:f>
        <x:v>0.33835562379642325</x:v>
      </x:c>
      <x:c r="K134" s="11" t="n">
        <x:f>COUNT(E134:I134)</x:f>
        <x:v>5</x:v>
      </x:c>
      <x:c r="L134" s="149" t="n">
        <x:f>IF(AND(ISNUMBER(E134),ISNUMBER(J134)),E134-J134,"n/m")</x:f>
        <x:v>0.05384715795802819</x:v>
      </x:c>
      <x:c r="M134" s="149" t="n">
        <x:f>IF(COUNT(F134:I134)=0,"n/m",AVERAGE(F134:I134))</x:f>
        <x:v>0.3248938343069162</x:v>
      </x:c>
      <x:c r="N134" s="149" t="n">
        <x:f>IF(COUNT(E134:I134)=0,"n/m",MEDIAN(E134:I134))</x:f>
        <x:v>0.3444440599046921</x:v>
      </x:c>
      <x:c r="O134" s="11" t="str">
        <x:v>Higher</x:v>
      </x:c>
      <x:c r="P134" s="9" t="str">
        <x:f>IF(NOT(ISNUMBER(L134)),"n/m",IF(O134="Higher",IF(L134&gt;=0,"Above avg - favourable","Below avg - unfavourable"),IF(O134="Lower",IF(L134&lt;=0,"Below avg - favourable","Above avg - unfavourable"),IF(L134&gt;=0,"Above avg - context-dependent","Below avg - context-dependent"))))&amp;IF(K134&lt;5," (N="&amp;K134&amp;")","")</x:f>
        <x:v>Above avg - favourable</x:v>
      </x:c>
      <x:c r="Q134"/>
      <x:c r="R134" s="59" t="str">
        <x:f>IF(K134=0,"n/m",IF(ABS(J134-SUM(E134:I134)/K134)&lt;0.000000001,"OK","ERR"))</x:f>
        <x:v>OK</x:v>
      </x:c>
    </x:row>
    <x:row r="135" ht="15" hidden="0">
      <x:c r="A135" s="54" t="str">
        <x:v>Profitability</x:v>
      </x:c>
      <x:c r="B135" s="25" t="n">
        <x:v>22</x:v>
      </x:c>
      <x:c r="C135" s="24" t="str">
        <x:v>22. Operating margin</x:v>
      </x:c>
      <x:c r="D135" s="25"/>
      <x:c r="E135" s="25"/>
      <x:c r="F135" s="25"/>
      <x:c r="G135" s="25"/>
      <x:c r="H135" s="25"/>
      <x:c r="I135" s="25"/>
      <x:c r="J135" s="25"/>
      <x:c r="K135" s="25"/>
      <x:c r="L135" s="25"/>
      <x:c r="M135" s="25"/>
      <x:c r="N135" s="25"/>
      <x:c r="O135" s="25"/>
      <x:c r="P135" s="25"/>
      <x:c r="Q135" s="55"/>
      <x:c r="R135" s="25"/>
    </x:row>
    <x:row r="136" ht="15" hidden="0">
      <x:c r="A136"/>
      <x:c r="B136"/>
      <x:c r="C136" s="56" t="str">
        <x:v>Operating margin</x:v>
      </x:c>
      <x:c r="D136" s="11" t="str">
        <x:v>FY2021</x:v>
      </x:c>
      <x:c r="E136" s="147" t="n">
        <x:f>KOHC!D162</x:f>
        <x:v>0.2174940172918257</x:v>
      </x:c>
      <x:c r="F136" s="147" t="n">
        <x:f>LUCK!D162</x:f>
        <x:v>0.18004359810777762</x:v>
      </x:c>
      <x:c r="G136" s="147" t="n">
        <x:f>DGKC!D162</x:f>
        <x:v>0.11451399971933833</x:v>
      </x:c>
      <x:c r="H136" s="147" t="n">
        <x:f>MLCF!D162</x:f>
        <x:v>0.14213957498981164</x:v>
      </x:c>
      <x:c r="I136" s="147" t="n">
        <x:f>FCCL!D162</x:f>
        <x:v>0.20485989925955708</x:v>
      </x:c>
      <x:c r="J136" s="148" t="n">
        <x:f>IF(COUNT(E136:I136)=0,"n/m",AVERAGE(E136:I136))</x:f>
        <x:v>0.17181021787366207</x:v>
      </x:c>
      <x:c r="K136" s="11" t="n">
        <x:f>COUNT(E136:I136)</x:f>
        <x:v>5</x:v>
      </x:c>
      <x:c r="L136" s="149" t="n">
        <x:f>IF(AND(ISNUMBER(E136),ISNUMBER(J136)),E136-J136,"n/m")</x:f>
        <x:v>0.04568379941816361</x:v>
      </x:c>
      <x:c r="M136" s="149" t="n">
        <x:f>IF(COUNT(F136:I136)=0,"n/m",AVERAGE(F136:I136))</x:f>
        <x:v>0.16038926801912115</x:v>
      </x:c>
      <x:c r="N136" s="149" t="n">
        <x:f>IF(COUNT(E136:I136)=0,"n/m",MEDIAN(E136:I136))</x:f>
        <x:v>0.18004359810777762</x:v>
      </x:c>
      <x:c r="O136" s="11" t="str">
        <x:v>Higher</x:v>
      </x:c>
      <x:c r="P136" s="9" t="str">
        <x:f>IF(NOT(ISNUMBER(L136)),"n/m",IF(O136="Higher",IF(L136&gt;=0,"Above avg - favourable","Below avg - unfavourable"),IF(O136="Lower",IF(L136&lt;=0,"Below avg - favourable","Above avg - unfavourable"),IF(L136&gt;=0,"Above avg - context-dependent","Below avg - context-dependent"))))&amp;IF(K136&lt;5," (N="&amp;K136&amp;")","")</x:f>
        <x:v>Above avg - favourable</x:v>
      </x:c>
      <x:c r="Q136"/>
      <x:c r="R136" s="59" t="str">
        <x:f>IF(K136=0,"n/m",IF(ABS(J136-SUM(E136:I136)/K136)&lt;0.000000001,"OK","ERR"))</x:f>
        <x:v>OK</x:v>
      </x:c>
    </x:row>
    <x:row r="137" ht="15" hidden="0">
      <x:c r="A137"/>
      <x:c r="B137"/>
      <x:c r="C137" s="56" t="str">
        <x:v>Operating margin</x:v>
      </x:c>
      <x:c r="D137" s="11" t="str">
        <x:v>FY2022</x:v>
      </x:c>
      <x:c r="E137" s="147" t="n">
        <x:f>KOHC!E162</x:f>
        <x:v>0.26684521417223683</x:v>
      </x:c>
      <x:c r="F137" s="147" t="n">
        <x:f>LUCK!E162</x:f>
        <x:v>0.1779173984606045</x:v>
      </x:c>
      <x:c r="G137" s="147" t="n">
        <x:f>DGKC!E162</x:f>
        <x:v>0.11847261096319517</x:v>
      </x:c>
      <x:c r="H137" s="147" t="n">
        <x:f>MLCF!E162</x:f>
        <x:v>0.18277011721154793</x:v>
      </x:c>
      <x:c r="I137" s="147" t="n">
        <x:f>FCCL!E162</x:f>
        <x:v>0.21665144691719232</x:v>
      </x:c>
      <x:c r="J137" s="148" t="n">
        <x:f>IF(COUNT(E137:I137)=0,"n/m",AVERAGE(E137:I137))</x:f>
        <x:v>0.19253135754495534</x:v>
      </x:c>
      <x:c r="K137" s="11" t="n">
        <x:f>COUNT(E137:I137)</x:f>
        <x:v>5</x:v>
      </x:c>
      <x:c r="L137" s="149" t="n">
        <x:f>IF(AND(ISNUMBER(E137),ISNUMBER(J137)),E137-J137,"n/m")</x:f>
        <x:v>0.07431385662728149</x:v>
      </x:c>
      <x:c r="M137" s="149" t="n">
        <x:f>IF(COUNT(F137:I137)=0,"n/m",AVERAGE(F137:I137))</x:f>
        <x:v>0.17395289338813497</x:v>
      </x:c>
      <x:c r="N137" s="149" t="n">
        <x:f>IF(COUNT(E137:I137)=0,"n/m",MEDIAN(E137:I137))</x:f>
        <x:v>0.18277011721154793</x:v>
      </x:c>
      <x:c r="O137" s="11" t="str">
        <x:v>Higher</x:v>
      </x:c>
      <x:c r="P137" s="9" t="str">
        <x:f>IF(NOT(ISNUMBER(L137)),"n/m",IF(O137="Higher",IF(L137&gt;=0,"Above avg - favourable","Below avg - unfavourable"),IF(O137="Lower",IF(L137&lt;=0,"Below avg - favourable","Above avg - unfavourable"),IF(L137&gt;=0,"Above avg - context-dependent","Below avg - context-dependent"))))&amp;IF(K137&lt;5," (N="&amp;K137&amp;")","")</x:f>
        <x:v>Above avg - favourable</x:v>
      </x:c>
      <x:c r="Q137"/>
      <x:c r="R137" s="59" t="str">
        <x:f>IF(K137=0,"n/m",IF(ABS(J137-SUM(E137:I137)/K137)&lt;0.000000001,"OK","ERR"))</x:f>
        <x:v>OK</x:v>
      </x:c>
    </x:row>
    <x:row r="138" ht="15" hidden="0">
      <x:c r="A138"/>
      <x:c r="B138"/>
      <x:c r="C138" s="56" t="str">
        <x:v>Operating margin</x:v>
      </x:c>
      <x:c r="D138" s="11" t="str">
        <x:v>FY2023</x:v>
      </x:c>
      <x:c r="E138" s="147" t="n">
        <x:f>KOHC!F162</x:f>
        <x:v>0.23441531849714523</x:v>
      </x:c>
      <x:c r="F138" s="147" t="n">
        <x:f>LUCK!F162</x:f>
        <x:v>0.17181730260097375</x:v>
      </x:c>
      <x:c r="G138" s="147" t="n">
        <x:f>DGKC!F162</x:f>
        <x:v>0.10245374767974941</x:v>
      </x:c>
      <x:c r="H138" s="147" t="n">
        <x:f>MLCF!F162</x:f>
        <x:v>0.19097413673296146</x:v>
      </x:c>
      <x:c r="I138" s="147" t="n">
        <x:f>FCCL!F162</x:f>
        <x:v>0.2289064691471258</x:v>
      </x:c>
      <x:c r="J138" s="148" t="n">
        <x:f>IF(COUNT(E138:I138)=0,"n/m",AVERAGE(E138:I138))</x:f>
        <x:v>0.18571339493159114</x:v>
      </x:c>
      <x:c r="K138" s="11" t="n">
        <x:f>COUNT(E138:I138)</x:f>
        <x:v>5</x:v>
      </x:c>
      <x:c r="L138" s="149" t="n">
        <x:f>IF(AND(ISNUMBER(E138),ISNUMBER(J138)),E138-J138,"n/m")</x:f>
        <x:v>0.048701923565554084</x:v>
      </x:c>
      <x:c r="M138" s="149" t="n">
        <x:f>IF(COUNT(F138:I138)=0,"n/m",AVERAGE(F138:I138))</x:f>
        <x:v>0.17353791404020263</x:v>
      </x:c>
      <x:c r="N138" s="149" t="n">
        <x:f>IF(COUNT(E138:I138)=0,"n/m",MEDIAN(E138:I138))</x:f>
        <x:v>0.19097413673296146</x:v>
      </x:c>
      <x:c r="O138" s="11" t="str">
        <x:v>Higher</x:v>
      </x:c>
      <x:c r="P138" s="9" t="str">
        <x:f>IF(NOT(ISNUMBER(L138)),"n/m",IF(O138="Higher",IF(L138&gt;=0,"Above avg - favourable","Below avg - unfavourable"),IF(O138="Lower",IF(L138&lt;=0,"Below avg - favourable","Above avg - unfavourable"),IF(L138&gt;=0,"Above avg - context-dependent","Below avg - context-dependent"))))&amp;IF(K138&lt;5," (N="&amp;K138&amp;")","")</x:f>
        <x:v>Above avg - favourable</x:v>
      </x:c>
      <x:c r="Q138"/>
      <x:c r="R138" s="59" t="str">
        <x:f>IF(K138=0,"n/m",IF(ABS(J138-SUM(E138:I138)/K138)&lt;0.000000001,"OK","ERR"))</x:f>
        <x:v>OK</x:v>
      </x:c>
    </x:row>
    <x:row r="139" ht="15" hidden="0">
      <x:c r="A139"/>
      <x:c r="B139"/>
      <x:c r="C139" s="56" t="str">
        <x:v>Operating margin</x:v>
      </x:c>
      <x:c r="D139" s="11" t="str">
        <x:v>FY2024</x:v>
      </x:c>
      <x:c r="E139" s="147" t="n">
        <x:f>KOHC!G162</x:f>
        <x:v>0.25877948344250634</x:v>
      </x:c>
      <x:c r="F139" s="147" t="n">
        <x:f>LUCK!G162</x:f>
        <x:v>0.22886089116784467</x:v>
      </x:c>
      <x:c r="G139" s="147" t="n">
        <x:f>DGKC!G162</x:f>
        <x:v>0.1000204289337119</x:v>
      </x:c>
      <x:c r="H139" s="147" t="n">
        <x:f>MLCF!G162</x:f>
        <x:v>0.19131892826420518</x:v>
      </x:c>
      <x:c r="I139" s="147" t="n">
        <x:f>FCCL!G162</x:f>
        <x:v>0.25056237189043495</x:v>
      </x:c>
      <x:c r="J139" s="148" t="n">
        <x:f>IF(COUNT(E139:I139)=0,"n/m",AVERAGE(E139:I139))</x:f>
        <x:v>0.20590842073974064</x:v>
      </x:c>
      <x:c r="K139" s="11" t="n">
        <x:f>COUNT(E139:I139)</x:f>
        <x:v>5</x:v>
      </x:c>
      <x:c r="L139" s="149" t="n">
        <x:f>IF(AND(ISNUMBER(E139),ISNUMBER(J139)),E139-J139,"n/m")</x:f>
        <x:v>0.0528710627027657</x:v>
      </x:c>
      <x:c r="M139" s="149" t="n">
        <x:f>IF(COUNT(F139:I139)=0,"n/m",AVERAGE(F139:I139))</x:f>
        <x:v>0.19269065506404917</x:v>
      </x:c>
      <x:c r="N139" s="149" t="n">
        <x:f>IF(COUNT(E139:I139)=0,"n/m",MEDIAN(E139:I139))</x:f>
        <x:v>0.22886089116784467</x:v>
      </x:c>
      <x:c r="O139" s="11" t="str">
        <x:v>Higher</x:v>
      </x:c>
      <x:c r="P139" s="9" t="str">
        <x:f>IF(NOT(ISNUMBER(L139)),"n/m",IF(O139="Higher",IF(L139&gt;=0,"Above avg - favourable","Below avg - unfavourable"),IF(O139="Lower",IF(L139&lt;=0,"Below avg - favourable","Above avg - unfavourable"),IF(L139&gt;=0,"Above avg - context-dependent","Below avg - context-dependent"))))&amp;IF(K139&lt;5," (N="&amp;K139&amp;")","")</x:f>
        <x:v>Above avg - favourable</x:v>
      </x:c>
      <x:c r="Q139"/>
      <x:c r="R139" s="59" t="str">
        <x:f>IF(K139=0,"n/m",IF(ABS(J139-SUM(E139:I139)/K139)&lt;0.000000001,"OK","ERR"))</x:f>
        <x:v>OK</x:v>
      </x:c>
    </x:row>
    <x:row r="140" ht="15" hidden="0">
      <x:c r="A140"/>
      <x:c r="B140"/>
      <x:c r="C140" s="56" t="str">
        <x:v>Operating margin</x:v>
      </x:c>
      <x:c r="D140" s="11" t="str">
        <x:v>FY2025</x:v>
      </x:c>
      <x:c r="E140" s="147" t="n">
        <x:f>KOHC!H162</x:f>
        <x:v>0.34143534845456586</x:v>
      </x:c>
      <x:c r="F140" s="147" t="n">
        <x:f>LUCK!H162</x:f>
        <x:v>0.22670718514712962</x:v>
      </x:c>
      <x:c r="G140" s="147" t="n">
        <x:f>DGKC!H162</x:f>
        <x:v>0.17530880023555062</x:v>
      </x:c>
      <x:c r="H140" s="147" t="n">
        <x:f>MLCF!H162</x:f>
        <x:v>0.2280930676582029</x:v>
      </x:c>
      <x:c r="I140" s="147" t="n">
        <x:f>FCCL!H162</x:f>
        <x:v>0.2862983395627571</x:v>
      </x:c>
      <x:c r="J140" s="148" t="n">
        <x:f>IF(COUNT(E140:I140)=0,"n/m",AVERAGE(E140:I140))</x:f>
        <x:v>0.2515685482116412</x:v>
      </x:c>
      <x:c r="K140" s="11" t="n">
        <x:f>COUNT(E140:I140)</x:f>
        <x:v>5</x:v>
      </x:c>
      <x:c r="L140" s="149" t="n">
        <x:f>IF(AND(ISNUMBER(E140),ISNUMBER(J140)),E140-J140,"n/m")</x:f>
        <x:v>0.08986680024292465</x:v>
      </x:c>
      <x:c r="M140" s="149" t="n">
        <x:f>IF(COUNT(F140:I140)=0,"n/m",AVERAGE(F140:I140))</x:f>
        <x:v>0.22910184815091006</x:v>
      </x:c>
      <x:c r="N140" s="149" t="n">
        <x:f>IF(COUNT(E140:I140)=0,"n/m",MEDIAN(E140:I140))</x:f>
        <x:v>0.2280930676582029</x:v>
      </x:c>
      <x:c r="O140" s="11" t="str">
        <x:v>Higher</x:v>
      </x:c>
      <x:c r="P140" s="9" t="str">
        <x:f>IF(NOT(ISNUMBER(L140)),"n/m",IF(O140="Higher",IF(L140&gt;=0,"Above avg - favourable","Below avg - unfavourable"),IF(O140="Lower",IF(L140&lt;=0,"Below avg - favourable","Above avg - unfavourable"),IF(L140&gt;=0,"Above avg - context-dependent","Below avg - context-dependent"))))&amp;IF(K140&lt;5," (N="&amp;K140&amp;")","")</x:f>
        <x:v>Above avg - favourable</x:v>
      </x:c>
      <x:c r="Q140"/>
      <x:c r="R140" s="59" t="str">
        <x:f>IF(K140=0,"n/m",IF(ABS(J140-SUM(E140:I140)/K140)&lt;0.000000001,"OK","ERR"))</x:f>
        <x:v>OK</x:v>
      </x:c>
    </x:row>
    <x:row r="141" ht="15" hidden="0">
      <x:c r="A141" s="54" t="str">
        <x:v>Profitability</x:v>
      </x:c>
      <x:c r="B141" s="25" t="n">
        <x:v>23</x:v>
      </x:c>
      <x:c r="C141" s="24" t="str">
        <x:v>23. Net profit margin</x:v>
      </x:c>
      <x:c r="D141" s="25"/>
      <x:c r="E141" s="25"/>
      <x:c r="F141" s="25"/>
      <x:c r="G141" s="25"/>
      <x:c r="H141" s="25"/>
      <x:c r="I141" s="25"/>
      <x:c r="J141" s="25"/>
      <x:c r="K141" s="25"/>
      <x:c r="L141" s="25"/>
      <x:c r="M141" s="25"/>
      <x:c r="N141" s="25"/>
      <x:c r="O141" s="25"/>
      <x:c r="P141" s="25"/>
      <x:c r="Q141" s="55"/>
      <x:c r="R141" s="25"/>
    </x:row>
    <x:row r="142" ht="15" hidden="0">
      <x:c r="A142"/>
      <x:c r="B142"/>
      <x:c r="C142" s="56" t="str">
        <x:v>Net profit margin</x:v>
      </x:c>
      <x:c r="D142" s="11" t="str">
        <x:v>FY2021</x:v>
      </x:c>
      <x:c r="E142" s="147" t="n">
        <x:f>KOHC!D163</x:f>
        <x:v>0.1453819089897026</x:v>
      </x:c>
      <x:c r="F142" s="147" t="n">
        <x:f>LUCK!D163</x:f>
        <x:v>0.22354637821997994</x:v>
      </x:c>
      <x:c r="G142" s="147" t="n">
        <x:f>DGKC!D163</x:f>
        <x:v>0.08249752980035112</x:v>
      </x:c>
      <x:c r="H142" s="147" t="n">
        <x:f>MLCF!D163</x:f>
        <x:v>0.1759822170452098</x:v>
      </x:c>
      <x:c r="I142" s="147" t="n">
        <x:f>FCCL!D163</x:f>
        <x:v>0.14302295902338913</x:v>
      </x:c>
      <x:c r="J142" s="148" t="n">
        <x:f>IF(COUNT(E142:I142)=0,"n/m",AVERAGE(E142:I142))</x:f>
        <x:v>0.15408619861572653</x:v>
      </x:c>
      <x:c r="K142" s="11" t="n">
        <x:f>COUNT(E142:I142)</x:f>
        <x:v>5</x:v>
      </x:c>
      <x:c r="L142" s="149" t="n">
        <x:f>IF(AND(ISNUMBER(E142),ISNUMBER(J142)),E142-J142,"n/m")</x:f>
        <x:v>-0.008704289626023931</x:v>
      </x:c>
      <x:c r="M142" s="149" t="n">
        <x:f>IF(COUNT(F142:I142)=0,"n/m",AVERAGE(F142:I142))</x:f>
        <x:v>0.1562622710222325</x:v>
      </x:c>
      <x:c r="N142" s="149" t="n">
        <x:f>IF(COUNT(E142:I142)=0,"n/m",MEDIAN(E142:I142))</x:f>
        <x:v>0.1453819089897026</x:v>
      </x:c>
      <x:c r="O142" s="11" t="str">
        <x:v>Higher</x:v>
      </x:c>
      <x:c r="P142" s="9" t="str">
        <x:f>IF(NOT(ISNUMBER(L142)),"n/m",IF(O142="Higher",IF(L142&gt;=0,"Above avg - favourable","Below avg - unfavourable"),IF(O142="Lower",IF(L142&lt;=0,"Below avg - favourable","Above avg - unfavourable"),IF(L142&gt;=0,"Above avg - context-dependent","Below avg - context-dependent"))))&amp;IF(K142&lt;5," (N="&amp;K142&amp;")","")</x:f>
        <x:v>Below avg - unfavourable</x:v>
      </x:c>
      <x:c r="Q142"/>
      <x:c r="R142" s="59" t="str">
        <x:f>IF(K142=0,"n/m",IF(ABS(J142-SUM(E142:I142)/K142)&lt;0.000000001,"OK","ERR"))</x:f>
        <x:v>OK</x:v>
      </x:c>
    </x:row>
    <x:row r="143" ht="15" hidden="0">
      <x:c r="A143"/>
      <x:c r="B143"/>
      <x:c r="C143" s="56" t="str">
        <x:v>Net profit margin</x:v>
      </x:c>
      <x:c r="D143" s="11" t="str">
        <x:v>FY2022</x:v>
      </x:c>
      <x:c r="E143" s="147" t="n">
        <x:f>KOHC!E163</x:f>
        <x:v>0.15282075695786385</x:v>
      </x:c>
      <x:c r="F143" s="147" t="n">
        <x:f>LUCK!E163</x:f>
        <x:v>0.18865400166042842</x:v>
      </x:c>
      <x:c r="G143" s="147" t="n">
        <x:f>DGKC!E163</x:f>
        <x:v>0.05120493100192175</x:v>
      </x:c>
      <x:c r="H143" s="147" t="n">
        <x:f>MLCF!E163</x:f>
        <x:v>0.07473965893633715</x:v>
      </x:c>
      <x:c r="I143" s="147" t="n">
        <x:f>FCCL!E163</x:f>
        <x:v>0.13112336204567002</x:v>
      </x:c>
      <x:c r="J143" s="148" t="n">
        <x:f>IF(COUNT(E143:I143)=0,"n/m",AVERAGE(E143:I143))</x:f>
        <x:v>0.11970854212044424</x:v>
      </x:c>
      <x:c r="K143" s="11" t="n">
        <x:f>COUNT(E143:I143)</x:f>
        <x:v>5</x:v>
      </x:c>
      <x:c r="L143" s="149" t="n">
        <x:f>IF(AND(ISNUMBER(E143),ISNUMBER(J143)),E143-J143,"n/m")</x:f>
        <x:v>0.03311221483741961</x:v>
      </x:c>
      <x:c r="M143" s="149" t="n">
        <x:f>IF(COUNT(F143:I143)=0,"n/m",AVERAGE(F143:I143))</x:f>
        <x:v>0.11143048841108932</x:v>
      </x:c>
      <x:c r="N143" s="149" t="n">
        <x:f>IF(COUNT(E143:I143)=0,"n/m",MEDIAN(E143:I143))</x:f>
        <x:v>0.13112336204567002</x:v>
      </x:c>
      <x:c r="O143" s="11" t="str">
        <x:v>Higher</x:v>
      </x:c>
      <x:c r="P143" s="9" t="str">
        <x:f>IF(NOT(ISNUMBER(L143)),"n/m",IF(O143="Higher",IF(L143&gt;=0,"Above avg - favourable","Below avg - unfavourable"),IF(O143="Lower",IF(L143&lt;=0,"Below avg - favourable","Above avg - unfavourable"),IF(L143&gt;=0,"Above avg - context-dependent","Below avg - context-dependent"))))&amp;IF(K143&lt;5," (N="&amp;K143&amp;")","")</x:f>
        <x:v>Above avg - favourable</x:v>
      </x:c>
      <x:c r="Q143"/>
      <x:c r="R143" s="59" t="str">
        <x:f>IF(K143=0,"n/m",IF(ABS(J143-SUM(E143:I143)/K143)&lt;0.000000001,"OK","ERR"))</x:f>
        <x:v>OK</x:v>
      </x:c>
    </x:row>
    <x:row r="144" ht="15" hidden="0">
      <x:c r="A144"/>
      <x:c r="B144"/>
      <x:c r="C144" s="56" t="str">
        <x:v>Net profit margin</x:v>
      </x:c>
      <x:c r="D144" s="11" t="str">
        <x:v>FY2023</x:v>
      </x:c>
      <x:c r="E144" s="147" t="n">
        <x:f>KOHC!F163</x:f>
        <x:v>0.14955052871384544</x:v>
      </x:c>
      <x:c r="F144" s="147" t="n">
        <x:f>LUCK!F163</x:f>
        <x:v>0.14322765825125466</x:v>
      </x:c>
      <x:c r="G144" s="147" t="str">
        <x:f>DGKC!F163</x:f>
        <x:v>n/m</x:v>
      </x:c>
      <x:c r="H144" s="147" t="n">
        <x:f>MLCF!F163</x:f>
        <x:v>0.07235844154915244</x:v>
      </x:c>
      <x:c r="I144" s="147" t="n">
        <x:f>FCCL!F163</x:f>
        <x:v>0.10929571726641699</x:v>
      </x:c>
      <x:c r="J144" s="148" t="n">
        <x:f>IF(COUNT(E144:I144)=0,"n/m",AVERAGE(E144:I144))</x:f>
        <x:v>0.11860808644516738</x:v>
      </x:c>
      <x:c r="K144" s="11" t="n">
        <x:f>COUNT(E144:I144)</x:f>
        <x:v>4</x:v>
      </x:c>
      <x:c r="L144" s="149" t="n">
        <x:f>IF(AND(ISNUMBER(E144),ISNUMBER(J144)),E144-J144,"n/m")</x:f>
        <x:v>0.030942442268678066</x:v>
      </x:c>
      <x:c r="M144" s="149" t="n">
        <x:f>IF(COUNT(F144:I144)=0,"n/m",AVERAGE(F144:I144))</x:f>
        <x:v>0.10829393902227469</x:v>
      </x:c>
      <x:c r="N144" s="149" t="n">
        <x:f>IF(COUNT(E144:I144)=0,"n/m",MEDIAN(E144:I144))</x:f>
        <x:v>0.12626168775883584</x:v>
      </x:c>
      <x:c r="O144" s="11" t="str">
        <x:v>Higher</x:v>
      </x:c>
      <x:c r="P144" s="9" t="str">
        <x:f>IF(NOT(ISNUMBER(L144)),"n/m",IF(O144="Higher",IF(L144&gt;=0,"Above avg - favourable","Below avg - unfavourable"),IF(O144="Lower",IF(L144&lt;=0,"Below avg - favourable","Above avg - unfavourable"),IF(L144&gt;=0,"Above avg - context-dependent","Below avg - context-dependent"))))&amp;IF(K144&lt;5," (N="&amp;K144&amp;")","")</x:f>
        <x:v>Above avg - favourable (N=4)</x:v>
      </x:c>
      <x:c r="Q144"/>
      <x:c r="R144" s="59" t="str">
        <x:f>IF(K144=0,"n/m",IF(ABS(J144-SUM(E144:I144)/K144)&lt;0.000000001,"OK","ERR"))</x:f>
        <x:v>OK</x:v>
      </x:c>
    </x:row>
    <x:row r="145" ht="15" hidden="0">
      <x:c r="A145"/>
      <x:c r="B145"/>
      <x:c r="C145" s="56" t="str">
        <x:v>Net profit margin</x:v>
      </x:c>
      <x:c r="D145" s="11" t="str">
        <x:v>FY2024</x:v>
      </x:c>
      <x:c r="E145" s="147" t="n">
        <x:f>KOHC!G163</x:f>
        <x:v>0.23011561219895646</x:v>
      </x:c>
      <x:c r="F145" s="147" t="n">
        <x:f>LUCK!G163</x:f>
        <x:v>0.24371604713228476</x:v>
      </x:c>
      <x:c r="G145" s="147" t="n">
        <x:f>DGKC!G163</x:f>
        <x:v>0.008213306596683071</x:v>
      </x:c>
      <x:c r="H145" s="147" t="n">
        <x:f>MLCF!G163</x:f>
        <x:v>0.07934297520984508</x:v>
      </x:c>
      <x:c r="I145" s="147" t="n">
        <x:f>FCCL!G163</x:f>
        <x:v>0.10275526425549537</x:v>
      </x:c>
      <x:c r="J145" s="148" t="n">
        <x:f>IF(COUNT(E145:I145)=0,"n/m",AVERAGE(E145:I145))</x:f>
        <x:v>0.13282864107865294</x:v>
      </x:c>
      <x:c r="K145" s="11" t="n">
        <x:f>COUNT(E145:I145)</x:f>
        <x:v>5</x:v>
      </x:c>
      <x:c r="L145" s="149" t="n">
        <x:f>IF(AND(ISNUMBER(E145),ISNUMBER(J145)),E145-J145,"n/m")</x:f>
        <x:v>0.09728697112030352</x:v>
      </x:c>
      <x:c r="M145" s="149" t="n">
        <x:f>IF(COUNT(F145:I145)=0,"n/m",AVERAGE(F145:I145))</x:f>
        <x:v>0.10850689829857707</x:v>
      </x:c>
      <x:c r="N145" s="149" t="n">
        <x:f>IF(COUNT(E145:I145)=0,"n/m",MEDIAN(E145:I145))</x:f>
        <x:v>0.10275526425549537</x:v>
      </x:c>
      <x:c r="O145" s="11" t="str">
        <x:v>Higher</x:v>
      </x:c>
      <x:c r="P145" s="9" t="str">
        <x:f>IF(NOT(ISNUMBER(L145)),"n/m",IF(O145="Higher",IF(L145&gt;=0,"Above avg - favourable","Below avg - unfavourable"),IF(O145="Lower",IF(L145&lt;=0,"Below avg - favourable","Above avg - unfavourable"),IF(L145&gt;=0,"Above avg - context-dependent","Below avg - context-dependent"))))&amp;IF(K145&lt;5," (N="&amp;K145&amp;")","")</x:f>
        <x:v>Above avg - favourable</x:v>
      </x:c>
      <x:c r="Q145"/>
      <x:c r="R145" s="59" t="str">
        <x:f>IF(K145=0,"n/m",IF(ABS(J145-SUM(E145:I145)/K145)&lt;0.000000001,"OK","ERR"))</x:f>
        <x:v>OK</x:v>
      </x:c>
    </x:row>
    <x:row r="146" ht="15" hidden="0">
      <x:c r="A146"/>
      <x:c r="B146"/>
      <x:c r="C146" s="56" t="str">
        <x:v>Net profit margin</x:v>
      </x:c>
      <x:c r="D146" s="11" t="str">
        <x:v>FY2025</x:v>
      </x:c>
      <x:c r="E146" s="147" t="n">
        <x:f>KOHC!H163</x:f>
        <x:v>0.3083771970759486</x:v>
      </x:c>
      <x:c r="F146" s="147" t="n">
        <x:f>LUCK!H163</x:f>
        <x:v>0.26577542757733763</x:v>
      </x:c>
      <x:c r="G146" s="147" t="n">
        <x:f>DGKC!H163</x:f>
        <x:v>0.12066652759857006</x:v>
      </x:c>
      <x:c r="H146" s="147" t="n">
        <x:f>MLCF!H163</x:f>
        <x:v>0.24711008947956384</x:v>
      </x:c>
      <x:c r="I146" s="147" t="n">
        <x:f>FCCL!H163</x:f>
        <x:v>0.14980611609777766</x:v>
      </x:c>
      <x:c r="J146" s="148" t="n">
        <x:f>IF(COUNT(E146:I146)=0,"n/m",AVERAGE(E146:I146))</x:f>
        <x:v>0.21834707156583955</x:v>
      </x:c>
      <x:c r="K146" s="11" t="n">
        <x:f>COUNT(E146:I146)</x:f>
        <x:v>5</x:v>
      </x:c>
      <x:c r="L146" s="149" t="n">
        <x:f>IF(AND(ISNUMBER(E146),ISNUMBER(J146)),E146-J146,"n/m")</x:f>
        <x:v>0.09003012551010903</x:v>
      </x:c>
      <x:c r="M146" s="149" t="n">
        <x:f>IF(COUNT(F146:I146)=0,"n/m",AVERAGE(F146:I146))</x:f>
        <x:v>0.1958395401883123</x:v>
      </x:c>
      <x:c r="N146" s="149" t="n">
        <x:f>IF(COUNT(E146:I146)=0,"n/m",MEDIAN(E146:I146))</x:f>
        <x:v>0.24711008947956384</x:v>
      </x:c>
      <x:c r="O146" s="11" t="str">
        <x:v>Higher</x:v>
      </x:c>
      <x:c r="P146" s="9" t="str">
        <x:f>IF(NOT(ISNUMBER(L146)),"n/m",IF(O146="Higher",IF(L146&gt;=0,"Above avg - favourable","Below avg - unfavourable"),IF(O146="Lower",IF(L146&lt;=0,"Below avg - favourable","Above avg - unfavourable"),IF(L146&gt;=0,"Above avg - context-dependent","Below avg - context-dependent"))))&amp;IF(K146&lt;5," (N="&amp;K146&amp;")","")</x:f>
        <x:v>Above avg - favourable</x:v>
      </x:c>
      <x:c r="Q146"/>
      <x:c r="R146" s="59" t="str">
        <x:f>IF(K146=0,"n/m",IF(ABS(J146-SUM(E146:I146)/K146)&lt;0.000000001,"OK","ERR"))</x:f>
        <x:v>OK</x:v>
      </x:c>
    </x:row>
    <x:row r="147" ht="15" hidden="0">
      <x:c r="A147" s="54" t="str">
        <x:v>Profitability</x:v>
      </x:c>
      <x:c r="B147" s="25" t="n">
        <x:v>24</x:v>
      </x:c>
      <x:c r="C147" s="24" t="str">
        <x:v>24. Return on assets</x:v>
      </x:c>
      <x:c r="D147" s="25"/>
      <x:c r="E147" s="25"/>
      <x:c r="F147" s="25"/>
      <x:c r="G147" s="25"/>
      <x:c r="H147" s="25"/>
      <x:c r="I147" s="25"/>
      <x:c r="J147" s="25"/>
      <x:c r="K147" s="25"/>
      <x:c r="L147" s="25"/>
      <x:c r="M147" s="25"/>
      <x:c r="N147" s="25"/>
      <x:c r="O147" s="25"/>
      <x:c r="P147" s="25"/>
      <x:c r="Q147" s="55"/>
      <x:c r="R147" s="25"/>
    </x:row>
    <x:row r="148" ht="15" hidden="0">
      <x:c r="A148"/>
      <x:c r="B148"/>
      <x:c r="C148" s="56" t="str">
        <x:v>Return on assets</x:v>
      </x:c>
      <x:c r="D148" s="11" t="str">
        <x:v>FY2021</x:v>
      </x:c>
      <x:c r="E148" s="147" t="n">
        <x:f>KOHC!D164</x:f>
        <x:v>0.10310501881607244</x:v>
      </x:c>
      <x:c r="F148" s="147" t="n">
        <x:f>LUCK!D164</x:f>
        <x:v>0.09629315480251932</x:v>
      </x:c>
      <x:c r="G148" s="147" t="n">
        <x:f>DGKC!D164</x:f>
        <x:v>0.02782819549249883</x:v>
      </x:c>
      <x:c r="H148" s="147" t="n">
        <x:f>MLCF!D164</x:f>
        <x:v>0.09458077842208146</x:v>
      </x:c>
      <x:c r="I148" s="147" t="n">
        <x:f>FCCL!D164</x:f>
        <x:v>0.10974843292728989</x:v>
      </x:c>
      <x:c r="J148" s="148" t="n">
        <x:f>IF(COUNT(E148:I148)=0,"n/m",AVERAGE(E148:I148))</x:f>
        <x:v>0.08631111609209238</x:v>
      </x:c>
      <x:c r="K148" s="11" t="n">
        <x:f>COUNT(E148:I148)</x:f>
        <x:v>5</x:v>
      </x:c>
      <x:c r="L148" s="149" t="n">
        <x:f>IF(AND(ISNUMBER(E148),ISNUMBER(J148)),E148-J148,"n/m")</x:f>
        <x:v>0.016793902723980056</x:v>
      </x:c>
      <x:c r="M148" s="149" t="n">
        <x:f>IF(COUNT(F148:I148)=0,"n/m",AVERAGE(F148:I148))</x:f>
        <x:v>0.08211264041109737</x:v>
      </x:c>
      <x:c r="N148" s="149" t="n">
        <x:f>IF(COUNT(E148:I148)=0,"n/m",MEDIAN(E148:I148))</x:f>
        <x:v>0.09629315480251932</x:v>
      </x:c>
      <x:c r="O148" s="11" t="str">
        <x:v>Higher</x:v>
      </x:c>
      <x:c r="P148" s="9" t="str">
        <x:f>IF(NOT(ISNUMBER(L148)),"n/m",IF(O148="Higher",IF(L148&gt;=0,"Above avg - favourable","Below avg - unfavourable"),IF(O148="Lower",IF(L148&lt;=0,"Below avg - favourable","Above avg - unfavourable"),IF(L148&gt;=0,"Above avg - context-dependent","Below avg - context-dependent"))))&amp;IF(K148&lt;5," (N="&amp;K148&amp;")","")</x:f>
        <x:v>Above avg - favourable</x:v>
      </x:c>
      <x:c r="Q148"/>
      <x:c r="R148" s="59" t="str">
        <x:f>IF(K148=0,"n/m",IF(ABS(J148-SUM(E148:I148)/K148)&lt;0.000000001,"OK","ERR"))</x:f>
        <x:v>OK</x:v>
      </x:c>
    </x:row>
    <x:row r="149" ht="15" hidden="0">
      <x:c r="A149"/>
      <x:c r="B149"/>
      <x:c r="C149" s="56" t="str">
        <x:v>Return on assets</x:v>
      </x:c>
      <x:c r="D149" s="11" t="str">
        <x:v>FY2022</x:v>
      </x:c>
      <x:c r="E149" s="147" t="n">
        <x:f>KOHC!E164</x:f>
        <x:v>0.12649629238438423</x:v>
      </x:c>
      <x:c r="F149" s="147" t="n">
        <x:f>LUCK!E164</x:f>
        <x:v>0.08964110231836049</x:v>
      </x:c>
      <x:c r="G149" s="147" t="n">
        <x:f>DGKC!E164</x:f>
        <x:v>0.02165829357934079</x:v>
      </x:c>
      <x:c r="H149" s="147" t="n">
        <x:f>MLCF!E164</x:f>
        <x:v>0.04885489790580065</x:v>
      </x:c>
      <x:c r="I149" s="147" t="n">
        <x:f>FCCL!E164</x:f>
        <x:v>0.09627783652403621</x:v>
      </x:c>
      <x:c r="J149" s="148" t="n">
        <x:f>IF(COUNT(E149:I149)=0,"n/m",AVERAGE(E149:I149))</x:f>
        <x:v>0.07658568454238449</x:v>
      </x:c>
      <x:c r="K149" s="11" t="n">
        <x:f>COUNT(E149:I149)</x:f>
        <x:v>5</x:v>
      </x:c>
      <x:c r="L149" s="149" t="n">
        <x:f>IF(AND(ISNUMBER(E149),ISNUMBER(J149)),E149-J149,"n/m")</x:f>
        <x:v>0.04991060784199974</x:v>
      </x:c>
      <x:c r="M149" s="149" t="n">
        <x:f>IF(COUNT(F149:I149)=0,"n/m",AVERAGE(F149:I149))</x:f>
        <x:v>0.06410803258188454</x:v>
      </x:c>
      <x:c r="N149" s="149" t="n">
        <x:f>IF(COUNT(E149:I149)=0,"n/m",MEDIAN(E149:I149))</x:f>
        <x:v>0.08964110231836049</x:v>
      </x:c>
      <x:c r="O149" s="11" t="str">
        <x:v>Higher</x:v>
      </x:c>
      <x:c r="P149" s="9" t="str">
        <x:f>IF(NOT(ISNUMBER(L149)),"n/m",IF(O149="Higher",IF(L149&gt;=0,"Above avg - favourable","Below avg - unfavourable"),IF(O149="Lower",IF(L149&lt;=0,"Below avg - favourable","Above avg - unfavourable"),IF(L149&gt;=0,"Above avg - context-dependent","Below avg - context-dependent"))))&amp;IF(K149&lt;5," (N="&amp;K149&amp;")","")</x:f>
        <x:v>Above avg - favourable</x:v>
      </x:c>
      <x:c r="Q149"/>
      <x:c r="R149" s="59" t="str">
        <x:f>IF(K149=0,"n/m",IF(ABS(J149-SUM(E149:I149)/K149)&lt;0.000000001,"OK","ERR"))</x:f>
        <x:v>OK</x:v>
      </x:c>
    </x:row>
    <x:row r="150" ht="15" hidden="0">
      <x:c r="A150"/>
      <x:c r="B150"/>
      <x:c r="C150" s="56" t="str">
        <x:v>Return on assets</x:v>
      </x:c>
      <x:c r="D150" s="11" t="str">
        <x:v>FY2023</x:v>
      </x:c>
      <x:c r="E150" s="147" t="n">
        <x:f>KOHC!F164</x:f>
        <x:v>0.12533816876597817</x:v>
      </x:c>
      <x:c r="F150" s="147" t="n">
        <x:f>LUCK!F164</x:f>
        <x:v>0.06896675970430062</x:v>
      </x:c>
      <x:c r="G150" s="147" t="str">
        <x:f>DGKC!F164</x:f>
        <x:v>n/m</x:v>
      </x:c>
      <x:c r="H150" s="147" t="n">
        <x:f>MLCF!F164</x:f>
        <x:v>0.05225242917103048</x:v>
      </x:c>
      <x:c r="I150" s="147" t="n">
        <x:f>FCCL!F164</x:f>
        <x:v>0.0589219651789994</x:v>
      </x:c>
      <x:c r="J150" s="148" t="n">
        <x:f>IF(COUNT(E150:I150)=0,"n/m",AVERAGE(E150:I150))</x:f>
        <x:v>0.07636983070507718</x:v>
      </x:c>
      <x:c r="K150" s="11" t="n">
        <x:f>COUNT(E150:I150)</x:f>
        <x:v>4</x:v>
      </x:c>
      <x:c r="L150" s="149" t="n">
        <x:f>IF(AND(ISNUMBER(E150),ISNUMBER(J150)),E150-J150,"n/m")</x:f>
        <x:v>0.04896833806090099</x:v>
      </x:c>
      <x:c r="M150" s="149" t="n">
        <x:f>IF(COUNT(F150:I150)=0,"n/m",AVERAGE(F150:I150))</x:f>
        <x:v>0.060047051351443496</x:v>
      </x:c>
      <x:c r="N150" s="149" t="n">
        <x:f>IF(COUNT(E150:I150)=0,"n/m",MEDIAN(E150:I150))</x:f>
        <x:v>0.06394436244165001</x:v>
      </x:c>
      <x:c r="O150" s="11" t="str">
        <x:v>Higher</x:v>
      </x:c>
      <x:c r="P150" s="9" t="str">
        <x:f>IF(NOT(ISNUMBER(L150)),"n/m",IF(O150="Higher",IF(L150&gt;=0,"Above avg - favourable","Below avg - unfavourable"),IF(O150="Lower",IF(L150&lt;=0,"Below avg - favourable","Above avg - unfavourable"),IF(L150&gt;=0,"Above avg - context-dependent","Below avg - context-dependent"))))&amp;IF(K150&lt;5," (N="&amp;K150&amp;")","")</x:f>
        <x:v>Above avg - favourable (N=4)</x:v>
      </x:c>
      <x:c r="Q150"/>
      <x:c r="R150" s="59" t="str">
        <x:f>IF(K150=0,"n/m",IF(ABS(J150-SUM(E150:I150)/K150)&lt;0.000000001,"OK","ERR"))</x:f>
        <x:v>OK</x:v>
      </x:c>
    </x:row>
    <x:row r="151" ht="15" hidden="0">
      <x:c r="A151"/>
      <x:c r="B151"/>
      <x:c r="C151" s="56" t="str">
        <x:v>Return on assets</x:v>
      </x:c>
      <x:c r="D151" s="11" t="str">
        <x:v>FY2024</x:v>
      </x:c>
      <x:c r="E151" s="147" t="n">
        <x:f>KOHC!G164</x:f>
        <x:v>0.1641262004883521</x:v>
      </x:c>
      <x:c r="F151" s="147" t="n">
        <x:f>LUCK!G164</x:f>
        <x:v>0.12572899898802087</x:v>
      </x:c>
      <x:c r="G151" s="147" t="n">
        <x:f>DGKC!G164</x:f>
        <x:v>0.003972156500839445</x:v>
      </x:c>
      <x:c r="H151" s="147" t="n">
        <x:f>MLCF!G164</x:f>
        <x:v>0.0557722788631608</x:v>
      </x:c>
      <x:c r="I151" s="147" t="n">
        <x:f>FCCL!G164</x:f>
        <x:v>0.05741100557431145</x:v>
      </x:c>
      <x:c r="J151" s="148" t="n">
        <x:f>IF(COUNT(E151:I151)=0,"n/m",AVERAGE(E151:I151))</x:f>
        <x:v>0.08140212808293693</x:v>
      </x:c>
      <x:c r="K151" s="11" t="n">
        <x:f>COUNT(E151:I151)</x:f>
        <x:v>5</x:v>
      </x:c>
      <x:c r="L151" s="149" t="n">
        <x:f>IF(AND(ISNUMBER(E151),ISNUMBER(J151)),E151-J151,"n/m")</x:f>
        <x:v>0.08272407240541518</x:v>
      </x:c>
      <x:c r="M151" s="149" t="n">
        <x:f>IF(COUNT(F151:I151)=0,"n/m",AVERAGE(F151:I151))</x:f>
        <x:v>0.06072110998158314</x:v>
      </x:c>
      <x:c r="N151" s="149" t="n">
        <x:f>IF(COUNT(E151:I151)=0,"n/m",MEDIAN(E151:I151))</x:f>
        <x:v>0.05741100557431145</x:v>
      </x:c>
      <x:c r="O151" s="11" t="str">
        <x:v>Higher</x:v>
      </x:c>
      <x:c r="P151" s="9" t="str">
        <x:f>IF(NOT(ISNUMBER(L151)),"n/m",IF(O151="Higher",IF(L151&gt;=0,"Above avg - favourable","Below avg - unfavourable"),IF(O151="Lower",IF(L151&lt;=0,"Below avg - favourable","Above avg - unfavourable"),IF(L151&gt;=0,"Above avg - context-dependent","Below avg - context-dependent"))))&amp;IF(K151&lt;5," (N="&amp;K151&amp;")","")</x:f>
        <x:v>Above avg - favourable</x:v>
      </x:c>
      <x:c r="Q151"/>
      <x:c r="R151" s="59" t="str">
        <x:f>IF(K151=0,"n/m",IF(ABS(J151-SUM(E151:I151)/K151)&lt;0.000000001,"OK","ERR"))</x:f>
        <x:v>OK</x:v>
      </x:c>
    </x:row>
    <x:row r="152" ht="15" hidden="0">
      <x:c r="A152"/>
      <x:c r="B152"/>
      <x:c r="C152" s="56" t="str">
        <x:v>Return on assets</x:v>
      </x:c>
      <x:c r="D152" s="11" t="str">
        <x:v>FY2025</x:v>
      </x:c>
      <x:c r="E152" s="147" t="n">
        <x:f>KOHC!H164</x:f>
        <x:v>0.184262568360198</x:v>
      </x:c>
      <x:c r="F152" s="147" t="n">
        <x:f>LUCK!H164</x:f>
        <x:v>0.1321661377570831</x:v>
      </x:c>
      <x:c r="G152" s="147" t="n">
        <x:f>DGKC!H164</x:f>
        <x:v>0.06102535496914953</x:v>
      </x:c>
      <x:c r="H152" s="147" t="n">
        <x:f>MLCF!H164</x:f>
        <x:v>0.1559593693017428</x:v>
      </x:c>
      <x:c r="I152" s="147" t="n">
        <x:f>FCCL!H164</x:f>
        <x:v>0.08639871390662689</x:v>
      </x:c>
      <x:c r="J152" s="148" t="n">
        <x:f>IF(COUNT(E152:I152)=0,"n/m",AVERAGE(E152:I152))</x:f>
        <x:v>0.12396242885896007</x:v>
      </x:c>
      <x:c r="K152" s="11" t="n">
        <x:f>COUNT(E152:I152)</x:f>
        <x:v>5</x:v>
      </x:c>
      <x:c r="L152" s="149" t="n">
        <x:f>IF(AND(ISNUMBER(E152),ISNUMBER(J152)),E152-J152,"n/m")</x:f>
        <x:v>0.06030013950123793</x:v>
      </x:c>
      <x:c r="M152" s="149" t="n">
        <x:f>IF(COUNT(F152:I152)=0,"n/m",AVERAGE(F152:I152))</x:f>
        <x:v>0.10888739398365059</x:v>
      </x:c>
      <x:c r="N152" s="149" t="n">
        <x:f>IF(COUNT(E152:I152)=0,"n/m",MEDIAN(E152:I152))</x:f>
        <x:v>0.1321661377570831</x:v>
      </x:c>
      <x:c r="O152" s="11" t="str">
        <x:v>Higher</x:v>
      </x:c>
      <x:c r="P152" s="9" t="str">
        <x:f>IF(NOT(ISNUMBER(L152)),"n/m",IF(O152="Higher",IF(L152&gt;=0,"Above avg - favourable","Below avg - unfavourable"),IF(O152="Lower",IF(L152&lt;=0,"Below avg - favourable","Above avg - unfavourable"),IF(L152&gt;=0,"Above avg - context-dependent","Below avg - context-dependent"))))&amp;IF(K152&lt;5," (N="&amp;K152&amp;")","")</x:f>
        <x:v>Above avg - favourable</x:v>
      </x:c>
      <x:c r="Q152"/>
      <x:c r="R152" s="59" t="str">
        <x:f>IF(K152=0,"n/m",IF(ABS(J152-SUM(E152:I152)/K152)&lt;0.000000001,"OK","ERR"))</x:f>
        <x:v>OK</x:v>
      </x:c>
    </x:row>
    <x:row r="153" ht="15" hidden="0">
      <x:c r="A153" s="54" t="str">
        <x:v>Profitability</x:v>
      </x:c>
      <x:c r="B153" s="25" t="n">
        <x:v>25</x:v>
      </x:c>
      <x:c r="C153" s="24" t="str">
        <x:v>25. Return on equity</x:v>
      </x:c>
      <x:c r="D153" s="25"/>
      <x:c r="E153" s="25"/>
      <x:c r="F153" s="25"/>
      <x:c r="G153" s="25"/>
      <x:c r="H153" s="25"/>
      <x:c r="I153" s="25"/>
      <x:c r="J153" s="25"/>
      <x:c r="K153" s="25"/>
      <x:c r="L153" s="25"/>
      <x:c r="M153" s="25"/>
      <x:c r="N153" s="25"/>
      <x:c r="O153" s="25"/>
      <x:c r="P153" s="25"/>
      <x:c r="Q153" s="55" t="s">
        <x:v>697</x:v>
      </x:c>
      <x:c r="R153" s="25"/>
    </x:row>
    <x:row r="154" ht="15" hidden="0">
      <x:c r="A154"/>
      <x:c r="B154"/>
      <x:c r="C154" s="56" t="str">
        <x:v>Return on equity</x:v>
      </x:c>
      <x:c r="D154" s="11" t="str">
        <x:v>FY2021</x:v>
      </x:c>
      <x:c r="E154" s="147" t="n">
        <x:f>KOHC!D165</x:f>
        <x:v>0.1708175375326949</x:v>
      </x:c>
      <x:c r="F154" s="147" t="n">
        <x:f>LUCK!D165</x:f>
        <x:v>0.13249756211762712</x:v>
      </x:c>
      <x:c r="G154" s="147" t="n">
        <x:f>DGKC!D165</x:f>
        <x:v>0.05311474576838488</x:v>
      </x:c>
      <x:c r="H154" s="147" t="n">
        <x:f>MLCF!D165</x:f>
        <x:v>0.18163818640771748</x:v>
      </x:c>
      <x:c r="I154" s="147" t="n">
        <x:f>FCCL!D165</x:f>
        <x:v>0.16115839021414832</x:v>
      </x:c>
      <x:c r="J154" s="148" t="n">
        <x:f>IF(COUNT(E154:I154)=0,"n/m",AVERAGE(E154:I154))</x:f>
        <x:v>0.13984528440811456</x:v>
      </x:c>
      <x:c r="K154" s="11" t="n">
        <x:f>COUNT(E154:I154)</x:f>
        <x:v>5</x:v>
      </x:c>
      <x:c r="L154" s="149" t="n">
        <x:f>IF(AND(ISNUMBER(E154),ISNUMBER(J154)),E154-J154,"n/m")</x:f>
        <x:v>0.03097225312458035</x:v>
      </x:c>
      <x:c r="M154" s="149" t="n">
        <x:f>IF(COUNT(F154:I154)=0,"n/m",AVERAGE(F154:I154))</x:f>
        <x:v>0.13210222112696945</x:v>
      </x:c>
      <x:c r="N154" s="149" t="n">
        <x:f>IF(COUNT(E154:I154)=0,"n/m",MEDIAN(E154:I154))</x:f>
        <x:v>0.16115839021414832</x:v>
      </x:c>
      <x:c r="O154" s="11" t="str">
        <x:v>Higher</x:v>
      </x:c>
      <x:c r="P154" s="9" t="str">
        <x:f>IF(NOT(ISNUMBER(L154)),"n/m",IF(O154="Higher",IF(L154&gt;=0,"Above avg - favourable","Below avg - unfavourable"),IF(O154="Lower",IF(L154&lt;=0,"Below avg - favourable","Above avg - unfavourable"),IF(L154&gt;=0,"Above avg - context-dependent","Below avg - context-dependent"))))&amp;IF(K154&lt;5," (N="&amp;K154&amp;")","")</x:f>
        <x:v>Above avg - favourable</x:v>
      </x:c>
      <x:c r="Q154"/>
      <x:c r="R154" s="59" t="str">
        <x:f>IF(K154=0,"n/m",IF(ABS(J154-SUM(E154:I154)/K154)&lt;0.000000001,"OK","ERR"))</x:f>
        <x:v>OK</x:v>
      </x:c>
    </x:row>
    <x:row r="155" ht="15" hidden="0">
      <x:c r="A155"/>
      <x:c r="B155"/>
      <x:c r="C155" s="56" t="str">
        <x:v>Return on equity</x:v>
      </x:c>
      <x:c r="D155" s="11" t="str">
        <x:v>FY2022</x:v>
      </x:c>
      <x:c r="E155" s="147" t="n">
        <x:f>KOHC!E165</x:f>
        <x:v>0.2031253153612202</x:v>
      </x:c>
      <x:c r="F155" s="147" t="n">
        <x:f>LUCK!E165</x:f>
        <x:v>0.1265705399848834</x:v>
      </x:c>
      <x:c r="G155" s="147" t="n">
        <x:f>DGKC!E165</x:f>
        <x:v>0.041453492679972344</x:v>
      </x:c>
      <x:c r="H155" s="147" t="n">
        <x:f>MLCF!E165</x:f>
        <x:v>0.09286217037724577</x:v>
      </x:c>
      <x:c r="I155" s="147" t="n">
        <x:f>FCCL!E165</x:f>
        <x:v>0.17559284966237051</x:v>
      </x:c>
      <x:c r="J155" s="148" t="n">
        <x:f>IF(COUNT(E155:I155)=0,"n/m",AVERAGE(E155:I155))</x:f>
        <x:v>0.12792087361313845</x:v>
      </x:c>
      <x:c r="K155" s="11" t="n">
        <x:f>COUNT(E155:I155)</x:f>
        <x:v>5</x:v>
      </x:c>
      <x:c r="L155" s="149" t="n">
        <x:f>IF(AND(ISNUMBER(E155),ISNUMBER(J155)),E155-J155,"n/m")</x:f>
        <x:v>0.07520444174808175</x:v>
      </x:c>
      <x:c r="M155" s="149" t="n">
        <x:f>IF(COUNT(F155:I155)=0,"n/m",AVERAGE(F155:I155))</x:f>
        <x:v>0.10911976317611802</x:v>
      </x:c>
      <x:c r="N155" s="149" t="n">
        <x:f>IF(COUNT(E155:I155)=0,"n/m",MEDIAN(E155:I155))</x:f>
        <x:v>0.1265705399848834</x:v>
      </x:c>
      <x:c r="O155" s="11" t="str">
        <x:v>Higher</x:v>
      </x:c>
      <x:c r="P155" s="9" t="str">
        <x:f>IF(NOT(ISNUMBER(L155)),"n/m",IF(O155="Higher",IF(L155&gt;=0,"Above avg - favourable","Below avg - unfavourable"),IF(O155="Lower",IF(L155&lt;=0,"Below avg - favourable","Above avg - unfavourable"),IF(L155&gt;=0,"Above avg - context-dependent","Below avg - context-dependent"))))&amp;IF(K155&lt;5," (N="&amp;K155&amp;")","")</x:f>
        <x:v>Above avg - favourable</x:v>
      </x:c>
      <x:c r="Q155"/>
      <x:c r="R155" s="59" t="str">
        <x:f>IF(K155=0,"n/m",IF(ABS(J155-SUM(E155:I155)/K155)&lt;0.000000001,"OK","ERR"))</x:f>
        <x:v>OK</x:v>
      </x:c>
    </x:row>
    <x:row r="156" ht="15" hidden="0">
      <x:c r="A156"/>
      <x:c r="B156"/>
      <x:c r="C156" s="56" t="str">
        <x:v>Return on equity</x:v>
      </x:c>
      <x:c r="D156" s="11" t="str">
        <x:v>FY2023</x:v>
      </x:c>
      <x:c r="E156" s="147" t="n">
        <x:f>KOHC!F165</x:f>
        <x:v>0.1944909568032407</x:v>
      </x:c>
      <x:c r="F156" s="147" t="n">
        <x:f>LUCK!F165</x:f>
        <x:v>0.10323783929435384</x:v>
      </x:c>
      <x:c r="G156" s="147" t="str">
        <x:f>DGKC!F165</x:f>
        <x:v>n/m</x:v>
      </x:c>
      <x:c r="H156" s="147" t="n">
        <x:f>MLCF!F165</x:f>
        <x:v>0.10510254167180039</x:v>
      </x:c>
      <x:c r="I156" s="147" t="n">
        <x:f>FCCL!F165</x:f>
        <x:v>0.12105723655011702</x:v>
      </x:c>
      <x:c r="J156" s="148" t="n">
        <x:f>IF(COUNT(E156:I156)=0,"n/m",AVERAGE(E156:I156))</x:f>
        <x:v>0.13097214357987796</x:v>
      </x:c>
      <x:c r="K156" s="11" t="n">
        <x:f>COUNT(E156:I156)</x:f>
        <x:v>4</x:v>
      </x:c>
      <x:c r="L156" s="149" t="n">
        <x:f>IF(AND(ISNUMBER(E156),ISNUMBER(J156)),E156-J156,"n/m")</x:f>
        <x:v>0.06351881322336272</x:v>
      </x:c>
      <x:c r="M156" s="149" t="n">
        <x:f>IF(COUNT(F156:I156)=0,"n/m",AVERAGE(F156:I156))</x:f>
        <x:v>0.10979920583875709</x:v>
      </x:c>
      <x:c r="N156" s="149" t="n">
        <x:f>IF(COUNT(E156:I156)=0,"n/m",MEDIAN(E156:I156))</x:f>
        <x:v>0.1130798891109587</x:v>
      </x:c>
      <x:c r="O156" s="11" t="str">
        <x:v>Higher</x:v>
      </x:c>
      <x:c r="P156" s="9" t="str">
        <x:f>IF(NOT(ISNUMBER(L156)),"n/m",IF(O156="Higher",IF(L156&gt;=0,"Above avg - favourable","Below avg - unfavourable"),IF(O156="Lower",IF(L156&lt;=0,"Below avg - favourable","Above avg - unfavourable"),IF(L156&gt;=0,"Above avg - context-dependent","Below avg - context-dependent"))))&amp;IF(K156&lt;5," (N="&amp;K156&amp;")","")</x:f>
        <x:v>Above avg - favourable (N=4)</x:v>
      </x:c>
      <x:c r="Q156"/>
      <x:c r="R156" s="59" t="str">
        <x:f>IF(K156=0,"n/m",IF(ABS(J156-SUM(E156:I156)/K156)&lt;0.000000001,"OK","ERR"))</x:f>
        <x:v>OK</x:v>
      </x:c>
    </x:row>
    <x:row r="157" ht="15" hidden="0">
      <x:c r="A157"/>
      <x:c r="B157"/>
      <x:c r="C157" s="56" t="str">
        <x:v>Return on equity</x:v>
      </x:c>
      <x:c r="D157" s="11" t="str">
        <x:v>FY2024</x:v>
      </x:c>
      <x:c r="E157" s="147" t="n">
        <x:f>KOHC!G165</x:f>
        <x:v>0.24134090965005384</x:v>
      </x:c>
      <x:c r="F157" s="147" t="n">
        <x:f>LUCK!G165</x:f>
        <x:v>0.19715059997190104</x:v>
      </x:c>
      <x:c r="G157" s="147" t="n">
        <x:f>DGKC!G165</x:f>
        <x:v>0.007746311290114197</x:v>
      </x:c>
      <x:c r="H157" s="147" t="n">
        <x:f>MLCF!G165</x:f>
        <x:v>0.10812221617479151</x:v>
      </x:c>
      <x:c r="I157" s="147" t="n">
        <x:f>FCCL!G165</x:f>
        <x:v>0.11868144080382984</x:v>
      </x:c>
      <x:c r="J157" s="148" t="n">
        <x:f>IF(COUNT(E157:I157)=0,"n/m",AVERAGE(E157:I157))</x:f>
        <x:v>0.13460829557813808</x:v>
      </x:c>
      <x:c r="K157" s="11" t="n">
        <x:f>COUNT(E157:I157)</x:f>
        <x:v>5</x:v>
      </x:c>
      <x:c r="L157" s="149" t="n">
        <x:f>IF(AND(ISNUMBER(E157),ISNUMBER(J157)),E157-J157,"n/m")</x:f>
        <x:v>0.10673261407191575</x:v>
      </x:c>
      <x:c r="M157" s="149" t="n">
        <x:f>IF(COUNT(F157:I157)=0,"n/m",AVERAGE(F157:I157))</x:f>
        <x:v>0.10792514206015913</x:v>
      </x:c>
      <x:c r="N157" s="149" t="n">
        <x:f>IF(COUNT(E157:I157)=0,"n/m",MEDIAN(E157:I157))</x:f>
        <x:v>0.11868144080382984</x:v>
      </x:c>
      <x:c r="O157" s="11" t="str">
        <x:v>Higher</x:v>
      </x:c>
      <x:c r="P157" s="9" t="str">
        <x:f>IF(NOT(ISNUMBER(L157)),"n/m",IF(O157="Higher",IF(L157&gt;=0,"Above avg - favourable","Below avg - unfavourable"),IF(O157="Lower",IF(L157&lt;=0,"Below avg - favourable","Above avg - unfavourable"),IF(L157&gt;=0,"Above avg - context-dependent","Below avg - context-dependent"))))&amp;IF(K157&lt;5," (N="&amp;K157&amp;")","")</x:f>
        <x:v>Above avg - favourable</x:v>
      </x:c>
      <x:c r="Q157"/>
      <x:c r="R157" s="59" t="str">
        <x:f>IF(K157=0,"n/m",IF(ABS(J157-SUM(E157:I157)/K157)&lt;0.000000001,"OK","ERR"))</x:f>
        <x:v>OK</x:v>
      </x:c>
    </x:row>
    <x:row r="158" ht="15" hidden="0">
      <x:c r="A158"/>
      <x:c r="B158"/>
      <x:c r="C158" s="56" t="str">
        <x:v>Return on equity</x:v>
      </x:c>
      <x:c r="D158" s="11" t="str">
        <x:v>FY2025</x:v>
      </x:c>
      <x:c r="E158" s="147" t="n">
        <x:f>KOHC!H165</x:f>
        <x:v>0.25998290898160303</x:v>
      </x:c>
      <x:c r="F158" s="147" t="n">
        <x:f>LUCK!H165</x:f>
        <x:v>0.2044798130421526</x:v>
      </x:c>
      <x:c r="G158" s="147" t="n">
        <x:f>DGKC!H165</x:f>
        <x:v>0.10175126160150023</x:v>
      </x:c>
      <x:c r="H158" s="147" t="n">
        <x:f>MLCF!H165</x:f>
        <x:v>0.2746085954343051</x:v>
      </x:c>
      <x:c r="I158" s="147" t="n">
        <x:f>FCCL!H165</x:f>
        <x:v>0.1690380202363196</x:v>
      </x:c>
      <x:c r="J158" s="148" t="n">
        <x:f>IF(COUNT(E158:I158)=0,"n/m",AVERAGE(E158:I158))</x:f>
        <x:v>0.2019721198591761</x:v>
      </x:c>
      <x:c r="K158" s="11" t="n">
        <x:f>COUNT(E158:I158)</x:f>
        <x:v>5</x:v>
      </x:c>
      <x:c r="L158" s="149" t="n">
        <x:f>IF(AND(ISNUMBER(E158),ISNUMBER(J158)),E158-J158,"n/m")</x:f>
        <x:v>0.05801078912242694</x:v>
      </x:c>
      <x:c r="M158" s="149" t="n">
        <x:f>IF(COUNT(F158:I158)=0,"n/m",AVERAGE(F158:I158))</x:f>
        <x:v>0.18746942257856938</x:v>
      </x:c>
      <x:c r="N158" s="149" t="n">
        <x:f>IF(COUNT(E158:I158)=0,"n/m",MEDIAN(E158:I158))</x:f>
        <x:v>0.2044798130421526</x:v>
      </x:c>
      <x:c r="O158" s="11" t="str">
        <x:v>Higher</x:v>
      </x:c>
      <x:c r="P158" s="9" t="str">
        <x:f>IF(NOT(ISNUMBER(L158)),"n/m",IF(O158="Higher",IF(L158&gt;=0,"Above avg - favourable","Below avg - unfavourable"),IF(O158="Lower",IF(L158&lt;=0,"Below avg - favourable","Above avg - unfavourable"),IF(L158&gt;=0,"Above avg - context-dependent","Below avg - context-dependent"))))&amp;IF(K158&lt;5," (N="&amp;K158&amp;")","")</x:f>
        <x:v>Above avg - favourable</x:v>
      </x:c>
      <x:c r="Q158"/>
      <x:c r="R158" s="59" t="str">
        <x:f>IF(K158=0,"n/m",IF(ABS(J158-SUM(E158:I158)/K158)&lt;0.000000001,"OK","ERR"))</x:f>
        <x:v>OK</x:v>
      </x:c>
    </x:row>
    <x:row r="159" ht="15" hidden="0">
      <x:c r="A159" s="54" t="str">
        <x:v>Profitability</x:v>
      </x:c>
      <x:c r="B159" s="25" t="n">
        <x:v>26</x:v>
      </x:c>
      <x:c r="C159" s="24" t="str">
        <x:v>26. Return on invested capital</x:v>
      </x:c>
      <x:c r="D159" s="25"/>
      <x:c r="E159" s="25"/>
      <x:c r="F159" s="25"/>
      <x:c r="G159" s="25"/>
      <x:c r="H159" s="25"/>
      <x:c r="I159" s="25"/>
      <x:c r="J159" s="25"/>
      <x:c r="K159" s="25"/>
      <x:c r="L159" s="25"/>
      <x:c r="M159" s="25"/>
      <x:c r="N159" s="25"/>
      <x:c r="O159" s="25"/>
      <x:c r="P159" s="25"/>
      <x:c r="Q159" s="55"/>
      <x:c r="R159" s="25"/>
    </x:row>
    <x:row r="160" ht="15" hidden="0">
      <x:c r="A160"/>
      <x:c r="B160"/>
      <x:c r="C160" s="56" t="str">
        <x:v>Return on invested capital</x:v>
      </x:c>
      <x:c r="D160" s="11" t="str">
        <x:v>FY2021</x:v>
      </x:c>
      <x:c r="E160" s="147" t="n">
        <x:f>KOHC!D166</x:f>
        <x:v>0.14327122643181978</x:v>
      </x:c>
      <x:c r="F160" s="147" t="n">
        <x:f>LUCK!D166</x:f>
        <x:v>0.12407020191785936</x:v>
      </x:c>
      <x:c r="G160" s="147" t="n">
        <x:f>DGKC!D166</x:f>
        <x:v>0.05185364586076227</x:v>
      </x:c>
      <x:c r="H160" s="147" t="n">
        <x:f>MLCF!D166</x:f>
        <x:v>0.140804883114224</x:v>
      </x:c>
      <x:c r="I160" s="147" t="n">
        <x:f>FCCL!D166</x:f>
        <x:v>0.14667479520486254</x:v>
      </x:c>
      <x:c r="J160" s="148" t="n">
        <x:f>IF(COUNT(E160:I160)=0,"n/m",AVERAGE(E160:I160))</x:f>
        <x:v>0.12133495050590559</x:v>
      </x:c>
      <x:c r="K160" s="11" t="n">
        <x:f>COUNT(E160:I160)</x:f>
        <x:v>5</x:v>
      </x:c>
      <x:c r="L160" s="149" t="n">
        <x:f>IF(AND(ISNUMBER(E160),ISNUMBER(J160)),E160-J160,"n/m")</x:f>
        <x:v>0.021936275925914184</x:v>
      </x:c>
      <x:c r="M160" s="149" t="n">
        <x:f>IF(COUNT(F160:I160)=0,"n/m",AVERAGE(F160:I160))</x:f>
        <x:v>0.11585088152442705</x:v>
      </x:c>
      <x:c r="N160" s="149" t="n">
        <x:f>IF(COUNT(E160:I160)=0,"n/m",MEDIAN(E160:I160))</x:f>
        <x:v>0.140804883114224</x:v>
      </x:c>
      <x:c r="O160" s="11" t="str">
        <x:v>Higher</x:v>
      </x:c>
      <x:c r="P160" s="9" t="str">
        <x:f>IF(NOT(ISNUMBER(L160)),"n/m",IF(O160="Higher",IF(L160&gt;=0,"Above avg - favourable","Below avg - unfavourable"),IF(O160="Lower",IF(L160&lt;=0,"Below avg - favourable","Above avg - unfavourable"),IF(L160&gt;=0,"Above avg - context-dependent","Below avg - context-dependent"))))&amp;IF(K160&lt;5," (N="&amp;K160&amp;")","")</x:f>
        <x:v>Above avg - favourable</x:v>
      </x:c>
      <x:c r="Q160"/>
      <x:c r="R160" s="59" t="str">
        <x:f>IF(K160=0,"n/m",IF(ABS(J160-SUM(E160:I160)/K160)&lt;0.000000001,"OK","ERR"))</x:f>
        <x:v>OK</x:v>
      </x:c>
    </x:row>
    <x:row r="161" ht="15" hidden="0">
      <x:c r="A161"/>
      <x:c r="B161"/>
      <x:c r="C161" s="56" t="str">
        <x:v>Return on invested capital</x:v>
      </x:c>
      <x:c r="D161" s="11" t="str">
        <x:v>FY2022</x:v>
      </x:c>
      <x:c r="E161" s="147" t="n">
        <x:f>KOHC!E166</x:f>
        <x:v>0.17824324729851332</x:v>
      </x:c>
      <x:c r="F161" s="147" t="n">
        <x:f>LUCK!E166</x:f>
        <x:v>0.11634647447890245</x:v>
      </x:c>
      <x:c r="G161" s="147" t="n">
        <x:f>DGKC!E166</x:f>
        <x:v>0.0405309965203835</x:v>
      </x:c>
      <x:c r="H161" s="147" t="n">
        <x:f>MLCF!E166</x:f>
        <x:v>0.07552102511911654</x:v>
      </x:c>
      <x:c r="I161" s="147" t="n">
        <x:f>FCCL!E166</x:f>
        <x:v>0.14345364774826339</x:v>
      </x:c>
      <x:c r="J161" s="148" t="n">
        <x:f>IF(COUNT(E161:I161)=0,"n/m",AVERAGE(E161:I161))</x:f>
        <x:v>0.11081907823303586</x:v>
      </x:c>
      <x:c r="K161" s="11" t="n">
        <x:f>COUNT(E161:I161)</x:f>
        <x:v>5</x:v>
      </x:c>
      <x:c r="L161" s="149" t="n">
        <x:f>IF(AND(ISNUMBER(E161),ISNUMBER(J161)),E161-J161,"n/m")</x:f>
        <x:v>0.06742416906547746</x:v>
      </x:c>
      <x:c r="M161" s="149" t="n">
        <x:f>IF(COUNT(F161:I161)=0,"n/m",AVERAGE(F161:I161))</x:f>
        <x:v>0.09396303596666647</x:v>
      </x:c>
      <x:c r="N161" s="149" t="n">
        <x:f>IF(COUNT(E161:I161)=0,"n/m",MEDIAN(E161:I161))</x:f>
        <x:v>0.11634647447890245</x:v>
      </x:c>
      <x:c r="O161" s="11" t="str">
        <x:v>Higher</x:v>
      </x:c>
      <x:c r="P161" s="9" t="str">
        <x:f>IF(NOT(ISNUMBER(L161)),"n/m",IF(O161="Higher",IF(L161&gt;=0,"Above avg - favourable","Below avg - unfavourable"),IF(O161="Lower",IF(L161&lt;=0,"Below avg - favourable","Above avg - unfavourable"),IF(L161&gt;=0,"Above avg - context-dependent","Below avg - context-dependent"))))&amp;IF(K161&lt;5," (N="&amp;K161&amp;")","")</x:f>
        <x:v>Above avg - favourable</x:v>
      </x:c>
      <x:c r="Q161"/>
      <x:c r="R161" s="59" t="str">
        <x:f>IF(K161=0,"n/m",IF(ABS(J161-SUM(E161:I161)/K161)&lt;0.000000001,"OK","ERR"))</x:f>
        <x:v>OK</x:v>
      </x:c>
    </x:row>
    <x:row r="162" ht="15" hidden="0">
      <x:c r="A162"/>
      <x:c r="B162"/>
      <x:c r="C162" s="56" t="str">
        <x:v>Return on invested capital</x:v>
      </x:c>
      <x:c r="D162" s="11" t="str">
        <x:v>FY2023</x:v>
      </x:c>
      <x:c r="E162" s="147" t="n">
        <x:f>KOHC!F166</x:f>
        <x:v>0.18523585661078099</x:v>
      </x:c>
      <x:c r="F162" s="147" t="n">
        <x:f>LUCK!F166</x:f>
        <x:v>0.09570891419697462</x:v>
      </x:c>
      <x:c r="G162" s="147" t="str">
        <x:f>DGKC!F166</x:f>
        <x:v>n/m</x:v>
      </x:c>
      <x:c r="H162" s="147" t="n">
        <x:f>MLCF!F166</x:f>
        <x:v>0.08943041686178571</x:v>
      </x:c>
      <x:c r="I162" s="147" t="n">
        <x:f>FCCL!F166</x:f>
        <x:v>0.1007154983763438</x:v>
      </x:c>
      <x:c r="J162" s="148" t="n">
        <x:f>IF(COUNT(E162:I162)=0,"n/m",AVERAGE(E162:I162))</x:f>
        <x:v>0.11777267151147128</x:v>
      </x:c>
      <x:c r="K162" s="11" t="n">
        <x:f>COUNT(E162:I162)</x:f>
        <x:v>4</x:v>
      </x:c>
      <x:c r="L162" s="149" t="n">
        <x:f>IF(AND(ISNUMBER(E162),ISNUMBER(J162)),E162-J162,"n/m")</x:f>
        <x:v>0.06746318509930971</x:v>
      </x:c>
      <x:c r="M162" s="149" t="n">
        <x:f>IF(COUNT(F162:I162)=0,"n/m",AVERAGE(F162:I162))</x:f>
        <x:v>0.09528494314503472</x:v>
      </x:c>
      <x:c r="N162" s="149" t="n">
        <x:f>IF(COUNT(E162:I162)=0,"n/m",MEDIAN(E162:I162))</x:f>
        <x:v>0.09821220628665922</x:v>
      </x:c>
      <x:c r="O162" s="11" t="str">
        <x:v>Higher</x:v>
      </x:c>
      <x:c r="P162" s="9" t="str">
        <x:f>IF(NOT(ISNUMBER(L162)),"n/m",IF(O162="Higher",IF(L162&gt;=0,"Above avg - favourable","Below avg - unfavourable"),IF(O162="Lower",IF(L162&lt;=0,"Below avg - favourable","Above avg - unfavourable"),IF(L162&gt;=0,"Above avg - context-dependent","Below avg - context-dependent"))))&amp;IF(K162&lt;5," (N="&amp;K162&amp;")","")</x:f>
        <x:v>Above avg - favourable (N=4)</x:v>
      </x:c>
      <x:c r="Q162"/>
      <x:c r="R162" s="59" t="str">
        <x:f>IF(K162=0,"n/m",IF(ABS(J162-SUM(E162:I162)/K162)&lt;0.000000001,"OK","ERR"))</x:f>
        <x:v>OK</x:v>
      </x:c>
    </x:row>
    <x:row r="163" ht="15" hidden="0">
      <x:c r="A163"/>
      <x:c r="B163"/>
      <x:c r="C163" s="56" t="str">
        <x:v>Return on invested capital</x:v>
      </x:c>
      <x:c r="D163" s="11" t="str">
        <x:v>FY2024</x:v>
      </x:c>
      <x:c r="E163" s="147" t="n">
        <x:f>KOHC!G166</x:f>
        <x:v>0.23611149584842697</x:v>
      </x:c>
      <x:c r="F163" s="147" t="n">
        <x:f>LUCK!G166</x:f>
        <x:v>0.1787383675569278</x:v>
      </x:c>
      <x:c r="G163" s="147" t="n">
        <x:f>DGKC!G166</x:f>
        <x:v>0.01909789097765336</x:v>
      </x:c>
      <x:c r="H163" s="147" t="n">
        <x:f>MLCF!G166</x:f>
        <x:v>0.1128071865450392</x:v>
      </x:c>
      <x:c r="I163" s="147" t="n">
        <x:f>FCCL!G166</x:f>
        <x:v>0.10367976942536491</x:v>
      </x:c>
      <x:c r="J163" s="148" t="n">
        <x:f>IF(COUNT(E163:I163)=0,"n/m",AVERAGE(E163:I163))</x:f>
        <x:v>0.13008694207068244</x:v>
      </x:c>
      <x:c r="K163" s="11" t="n">
        <x:f>COUNT(E163:I163)</x:f>
        <x:v>5</x:v>
      </x:c>
      <x:c r="L163" s="149" t="n">
        <x:f>IF(AND(ISNUMBER(E163),ISNUMBER(J163)),E163-J163,"n/m")</x:f>
        <x:v>0.10602455377774453</x:v>
      </x:c>
      <x:c r="M163" s="149" t="n">
        <x:f>IF(COUNT(F163:I163)=0,"n/m",AVERAGE(F163:I163))</x:f>
        <x:v>0.1035808036262463</x:v>
      </x:c>
      <x:c r="N163" s="149" t="n">
        <x:f>IF(COUNT(E163:I163)=0,"n/m",MEDIAN(E163:I163))</x:f>
        <x:v>0.1128071865450392</x:v>
      </x:c>
      <x:c r="O163" s="11" t="str">
        <x:v>Higher</x:v>
      </x:c>
      <x:c r="P163" s="9" t="str">
        <x:f>IF(NOT(ISNUMBER(L163)),"n/m",IF(O163="Higher",IF(L163&gt;=0,"Above avg - favourable","Below avg - unfavourable"),IF(O163="Lower",IF(L163&lt;=0,"Below avg - favourable","Above avg - unfavourable"),IF(L163&gt;=0,"Above avg - context-dependent","Below avg - context-dependent"))))&amp;IF(K163&lt;5," (N="&amp;K163&amp;")","")</x:f>
        <x:v>Above avg - favourable</x:v>
      </x:c>
      <x:c r="Q163"/>
      <x:c r="R163" s="59" t="str">
        <x:f>IF(K163=0,"n/m",IF(ABS(J163-SUM(E163:I163)/K163)&lt;0.000000001,"OK","ERR"))</x:f>
        <x:v>OK</x:v>
      </x:c>
    </x:row>
    <x:row r="164" ht="15" hidden="0">
      <x:c r="A164"/>
      <x:c r="B164"/>
      <x:c r="C164" s="56" t="str">
        <x:v>Return on invested capital</x:v>
      </x:c>
      <x:c r="D164" s="11" t="str">
        <x:v>FY2025</x:v>
      </x:c>
      <x:c r="E164" s="147" t="n">
        <x:f>KOHC!H166</x:f>
        <x:v>0.2526376274461683</x:v>
      </x:c>
      <x:c r="F164" s="147" t="n">
        <x:f>LUCK!H166</x:f>
        <x:v>0.18835780074997993</x:v>
      </x:c>
      <x:c r="G164" s="147" t="n">
        <x:f>DGKC!H166</x:f>
        <x:v>0.09929184900187035</x:v>
      </x:c>
      <x:c r="H164" s="147" t="n">
        <x:f>MLCF!H166</x:f>
        <x:v>0.25096399764604915</x:v>
      </x:c>
      <x:c r="I164" s="147" t="n">
        <x:f>FCCL!H166</x:f>
        <x:v>0.1442582907627069</x:v>
      </x:c>
      <x:c r="J164" s="148" t="n">
        <x:f>IF(COUNT(E164:I164)=0,"n/m",AVERAGE(E164:I164))</x:f>
        <x:v>0.18710191312135493</x:v>
      </x:c>
      <x:c r="K164" s="11" t="n">
        <x:f>COUNT(E164:I164)</x:f>
        <x:v>5</x:v>
      </x:c>
      <x:c r="L164" s="149" t="n">
        <x:f>IF(AND(ISNUMBER(E164),ISNUMBER(J164)),E164-J164,"n/m")</x:f>
        <x:v>0.06553571432481337</x:v>
      </x:c>
      <x:c r="M164" s="149" t="n">
        <x:f>IF(COUNT(F164:I164)=0,"n/m",AVERAGE(F164:I164))</x:f>
        <x:v>0.17071798454015158</x:v>
      </x:c>
      <x:c r="N164" s="149" t="n">
        <x:f>IF(COUNT(E164:I164)=0,"n/m",MEDIAN(E164:I164))</x:f>
        <x:v>0.18835780074997993</x:v>
      </x:c>
      <x:c r="O164" s="11" t="str">
        <x:v>Higher</x:v>
      </x:c>
      <x:c r="P164" s="9" t="str">
        <x:f>IF(NOT(ISNUMBER(L164)),"n/m",IF(O164="Higher",IF(L164&gt;=0,"Above avg - favourable","Below avg - unfavourable"),IF(O164="Lower",IF(L164&lt;=0,"Below avg - favourable","Above avg - unfavourable"),IF(L164&gt;=0,"Above avg - context-dependent","Below avg - context-dependent"))))&amp;IF(K164&lt;5," (N="&amp;K164&amp;")","")</x:f>
        <x:v>Above avg - favourable</x:v>
      </x:c>
      <x:c r="Q164"/>
      <x:c r="R164" s="59" t="str">
        <x:f>IF(K164=0,"n/m",IF(ABS(J164-SUM(E164:I164)/K164)&lt;0.000000001,"OK","ERR"))</x:f>
        <x:v>OK</x:v>
      </x:c>
    </x:row>
    <x:row r="165" ht="15" hidden="0">
      <x:c r="A165" s="54" t="str">
        <x:v>Profitability</x:v>
      </x:c>
      <x:c r="B165" s="25" t="n">
        <x:v>27</x:v>
      </x:c>
      <x:c r="C165" s="24" t="str">
        <x:v>27. Basic earning power</x:v>
      </x:c>
      <x:c r="D165" s="25"/>
      <x:c r="E165" s="25"/>
      <x:c r="F165" s="25"/>
      <x:c r="G165" s="25"/>
      <x:c r="H165" s="25"/>
      <x:c r="I165" s="25"/>
      <x:c r="J165" s="25"/>
      <x:c r="K165" s="25"/>
      <x:c r="L165" s="25"/>
      <x:c r="M165" s="25"/>
      <x:c r="N165" s="25"/>
      <x:c r="O165" s="25"/>
      <x:c r="P165" s="25"/>
      <x:c r="Q165" s="55"/>
      <x:c r="R165" s="25"/>
    </x:row>
    <x:row r="166" ht="15" hidden="0">
      <x:c r="A166"/>
      <x:c r="B166"/>
      <x:c r="C166" s="56" t="str">
        <x:v>Basic earning power</x:v>
      </x:c>
      <x:c r="D166" s="11" t="str">
        <x:v>FY2021</x:v>
      </x:c>
      <x:c r="E166" s="147" t="n">
        <x:f>KOHC!D167</x:f>
        <x:v>0.15927842615719043</x:v>
      </x:c>
      <x:c r="F166" s="147" t="n">
        <x:f>LUCK!D167</x:f>
        <x:v>0.11856914427701815</x:v>
      </x:c>
      <x:c r="G166" s="147" t="n">
        <x:f>DGKC!D167</x:f>
        <x:v>0.05752393646556941</x:v>
      </x:c>
      <x:c r="H166" s="147" t="n">
        <x:f>MLCF!D167</x:f>
        <x:v>0.13283318203671918</x:v>
      </x:c>
      <x:c r="I166" s="147" t="n">
        <x:f>FCCL!D167</x:f>
        <x:v>0.16494792527118216</x:v>
      </x:c>
      <x:c r="J166" s="148" t="n">
        <x:f>IF(COUNT(E166:I166)=0,"n/m",AVERAGE(E166:I166))</x:f>
        <x:v>0.12663052284153586</x:v>
      </x:c>
      <x:c r="K166" s="11" t="n">
        <x:f>COUNT(E166:I166)</x:f>
        <x:v>5</x:v>
      </x:c>
      <x:c r="L166" s="149" t="n">
        <x:f>IF(AND(ISNUMBER(E166),ISNUMBER(J166)),E166-J166,"n/m")</x:f>
        <x:v>0.032647903315654564</x:v>
      </x:c>
      <x:c r="M166" s="149" t="n">
        <x:f>IF(COUNT(F166:I166)=0,"n/m",AVERAGE(F166:I166))</x:f>
        <x:v>0.11846854701262222</x:v>
      </x:c>
      <x:c r="N166" s="149" t="n">
        <x:f>IF(COUNT(E166:I166)=0,"n/m",MEDIAN(E166:I166))</x:f>
        <x:v>0.13283318203671918</x:v>
      </x:c>
      <x:c r="O166" s="11" t="str">
        <x:v>Higher</x:v>
      </x:c>
      <x:c r="P166" s="9" t="str">
        <x:f>IF(NOT(ISNUMBER(L166)),"n/m",IF(O166="Higher",IF(L166&gt;=0,"Above avg - favourable","Below avg - unfavourable"),IF(O166="Lower",IF(L166&lt;=0,"Below avg - favourable","Above avg - unfavourable"),IF(L166&gt;=0,"Above avg - context-dependent","Below avg - context-dependent"))))&amp;IF(K166&lt;5," (N="&amp;K166&amp;")","")</x:f>
        <x:v>Above avg - favourable</x:v>
      </x:c>
      <x:c r="Q166"/>
      <x:c r="R166" s="59" t="str">
        <x:f>IF(K166=0,"n/m",IF(ABS(J166-SUM(E166:I166)/K166)&lt;0.000000001,"OK","ERR"))</x:f>
        <x:v>OK</x:v>
      </x:c>
    </x:row>
    <x:row r="167" ht="15" hidden="0">
      <x:c r="A167"/>
      <x:c r="B167"/>
      <x:c r="C167" s="56" t="str">
        <x:v>Basic earning power</x:v>
      </x:c>
      <x:c r="D167" s="11" t="str">
        <x:v>FY2022</x:v>
      </x:c>
      <x:c r="E167" s="147" t="n">
        <x:f>KOHC!E167</x:f>
        <x:v>0.23825496283693048</x:v>
      </x:c>
      <x:c r="F167" s="147" t="n">
        <x:f>LUCK!E167</x:f>
        <x:v>0.12782774158166904</x:v>
      </x:c>
      <x:c r="G167" s="147" t="n">
        <x:f>DGKC!E167</x:f>
        <x:v>0.06989042461377605</x:v>
      </x:c>
      <x:c r="H167" s="147" t="n">
        <x:f>MLCF!E167</x:f>
        <x:v>0.12023345655576649</x:v>
      </x:c>
      <x:c r="I167" s="147" t="n">
        <x:f>FCCL!E167</x:f>
        <x:v>0.1723137524694703</x:v>
      </x:c>
      <x:c r="J167" s="148" t="n">
        <x:f>IF(COUNT(E167:I167)=0,"n/m",AVERAGE(E167:I167))</x:f>
        <x:v>0.1457040676115225</x:v>
      </x:c>
      <x:c r="K167" s="11" t="n">
        <x:f>COUNT(E167:I167)</x:f>
        <x:v>5</x:v>
      </x:c>
      <x:c r="L167" s="149" t="n">
        <x:f>IF(AND(ISNUMBER(E167),ISNUMBER(J167)),E167-J167,"n/m")</x:f>
        <x:v>0.09255089522540799</x:v>
      </x:c>
      <x:c r="M167" s="149" t="n">
        <x:f>IF(COUNT(F167:I167)=0,"n/m",AVERAGE(F167:I167))</x:f>
        <x:v>0.12256634380517048</x:v>
      </x:c>
      <x:c r="N167" s="149" t="n">
        <x:f>IF(COUNT(E167:I167)=0,"n/m",MEDIAN(E167:I167))</x:f>
        <x:v>0.12782774158166904</x:v>
      </x:c>
      <x:c r="O167" s="11" t="str">
        <x:v>Higher</x:v>
      </x:c>
      <x:c r="P167" s="9" t="str">
        <x:f>IF(NOT(ISNUMBER(L167)),"n/m",IF(O167="Higher",IF(L167&gt;=0,"Above avg - favourable","Below avg - unfavourable"),IF(O167="Lower",IF(L167&lt;=0,"Below avg - favourable","Above avg - unfavourable"),IF(L167&gt;=0,"Above avg - context-dependent","Below avg - context-dependent"))))&amp;IF(K167&lt;5," (N="&amp;K167&amp;")","")</x:f>
        <x:v>Above avg - favourable</x:v>
      </x:c>
      <x:c r="Q167"/>
      <x:c r="R167" s="59" t="str">
        <x:f>IF(K167=0,"n/m",IF(ABS(J167-SUM(E167:I167)/K167)&lt;0.000000001,"OK","ERR"))</x:f>
        <x:v>OK</x:v>
      </x:c>
    </x:row>
    <x:row r="168" ht="15" hidden="0">
      <x:c r="A168"/>
      <x:c r="B168"/>
      <x:c r="C168" s="56" t="str">
        <x:v>Basic earning power</x:v>
      </x:c>
      <x:c r="D168" s="11" t="str">
        <x:v>FY2023</x:v>
      </x:c>
      <x:c r="E168" s="147" t="n">
        <x:f>KOHC!F167</x:f>
        <x:v>0.24137695696625033</x:v>
      </x:c>
      <x:c r="F168" s="147" t="n">
        <x:f>LUCK!F167</x:f>
        <x:v>0.11311909776428172</x:v>
      </x:c>
      <x:c r="G168" s="147" t="n">
        <x:f>DGKC!F167</x:f>
        <x:v>0.07302423924994239</x:v>
      </x:c>
      <x:c r="H168" s="147" t="n">
        <x:f>MLCF!F167</x:f>
        <x:v>0.1396147149844841</x:v>
      </x:c>
      <x:c r="I168" s="147" t="n">
        <x:f>FCCL!F167</x:f>
        <x:v>0.13103867634936517</x:v>
      </x:c>
      <x:c r="J168" s="148" t="n">
        <x:f>IF(COUNT(E168:I168)=0,"n/m",AVERAGE(E168:I168))</x:f>
        <x:v>0.13963473706286472</x:v>
      </x:c>
      <x:c r="K168" s="11" t="n">
        <x:f>COUNT(E168:I168)</x:f>
        <x:v>5</x:v>
      </x:c>
      <x:c r="L168" s="149" t="n">
        <x:f>IF(AND(ISNUMBER(E168),ISNUMBER(J168)),E168-J168,"n/m")</x:f>
        <x:v>0.10174221990338561</x:v>
      </x:c>
      <x:c r="M168" s="149" t="n">
        <x:f>IF(COUNT(F168:I168)=0,"n/m",AVERAGE(F168:I168))</x:f>
        <x:v>0.11419918208701835</x:v>
      </x:c>
      <x:c r="N168" s="149" t="n">
        <x:f>IF(COUNT(E168:I168)=0,"n/m",MEDIAN(E168:I168))</x:f>
        <x:v>0.13103867634936517</x:v>
      </x:c>
      <x:c r="O168" s="11" t="str">
        <x:v>Higher</x:v>
      </x:c>
      <x:c r="P168" s="9" t="str">
        <x:f>IF(NOT(ISNUMBER(L168)),"n/m",IF(O168="Higher",IF(L168&gt;=0,"Above avg - favourable","Below avg - unfavourable"),IF(O168="Lower",IF(L168&lt;=0,"Below avg - favourable","Above avg - unfavourable"),IF(L168&gt;=0,"Above avg - context-dependent","Below avg - context-dependent"))))&amp;IF(K168&lt;5," (N="&amp;K168&amp;")","")</x:f>
        <x:v>Above avg - favourable</x:v>
      </x:c>
      <x:c r="Q168"/>
      <x:c r="R168" s="59" t="str">
        <x:f>IF(K168=0,"n/m",IF(ABS(J168-SUM(E168:I168)/K168)&lt;0.000000001,"OK","ERR"))</x:f>
        <x:v>OK</x:v>
      </x:c>
    </x:row>
    <x:row r="169" ht="15" hidden="0">
      <x:c r="A169"/>
      <x:c r="B169"/>
      <x:c r="C169" s="56" t="str">
        <x:v>Basic earning power</x:v>
      </x:c>
      <x:c r="D169" s="11" t="str">
        <x:v>FY2024</x:v>
      </x:c>
      <x:c r="E169" s="147" t="n">
        <x:f>KOHC!G167</x:f>
        <x:v>0.2667383296475893</x:v>
      </x:c>
      <x:c r="F169" s="147" t="n">
        <x:f>LUCK!G167</x:f>
        <x:v>0.19221205649491527</x:v>
      </x:c>
      <x:c r="G169" s="147" t="n">
        <x:f>DGKC!G167</x:f>
        <x:v>0.07938523892404618</x:v>
      </x:c>
      <x:c r="H169" s="147" t="n">
        <x:f>MLCF!G167</x:f>
        <x:v>0.1382503777250139</x:v>
      </x:c>
      <x:c r="I169" s="147" t="n">
        <x:f>FCCL!G167</x:f>
        <x:v>0.1458556324666155</x:v>
      </x:c>
      <x:c r="J169" s="148" t="n">
        <x:f>IF(COUNT(E169:I169)=0,"n/m",AVERAGE(E169:I169))</x:f>
        <x:v>0.16448832705163602</x:v>
      </x:c>
      <x:c r="K169" s="11" t="n">
        <x:f>COUNT(E169:I169)</x:f>
        <x:v>5</x:v>
      </x:c>
      <x:c r="L169" s="149" t="n">
        <x:f>IF(AND(ISNUMBER(E169),ISNUMBER(J169)),E169-J169,"n/m")</x:f>
        <x:v>0.1022500025959533</x:v>
      </x:c>
      <x:c r="M169" s="149" t="n">
        <x:f>IF(COUNT(F169:I169)=0,"n/m",AVERAGE(F169:I169))</x:f>
        <x:v>0.1389258264026477</x:v>
      </x:c>
      <x:c r="N169" s="149" t="n">
        <x:f>IF(COUNT(E169:I169)=0,"n/m",MEDIAN(E169:I169))</x:f>
        <x:v>0.1458556324666155</x:v>
      </x:c>
      <x:c r="O169" s="11" t="str">
        <x:v>Higher</x:v>
      </x:c>
      <x:c r="P169" s="9" t="str">
        <x:f>IF(NOT(ISNUMBER(L169)),"n/m",IF(O169="Higher",IF(L169&gt;=0,"Above avg - favourable","Below avg - unfavourable"),IF(O169="Lower",IF(L169&lt;=0,"Below avg - favourable","Above avg - unfavourable"),IF(L169&gt;=0,"Above avg - context-dependent","Below avg - context-dependent"))))&amp;IF(K169&lt;5," (N="&amp;K169&amp;")","")</x:f>
        <x:v>Above avg - favourable</x:v>
      </x:c>
      <x:c r="Q169"/>
      <x:c r="R169" s="59" t="str">
        <x:f>IF(K169=0,"n/m",IF(ABS(J169-SUM(E169:I169)/K169)&lt;0.000000001,"OK","ERR"))</x:f>
        <x:v>OK</x:v>
      </x:c>
    </x:row>
    <x:row r="170" ht="15" hidden="0">
      <x:c r="A170"/>
      <x:c r="B170"/>
      <x:c r="C170" s="56" t="str">
        <x:v>Basic earning power</x:v>
      </x:c>
      <x:c r="D170" s="11" t="str">
        <x:v>FY2025</x:v>
      </x:c>
      <x:c r="E170" s="147" t="n">
        <x:f>KOHC!H167</x:f>
        <x:v>0.28807830028219766</x:v>
      </x:c>
      <x:c r="F170" s="147" t="n">
        <x:f>LUCK!H167</x:f>
        <x:v>0.19447652728583156</x:v>
      </x:c>
      <x:c r="G170" s="147" t="n">
        <x:f>DGKC!H167</x:f>
        <x:v>0.11870857622241335</x:v>
      </x:c>
      <x:c r="H170" s="147" t="n">
        <x:f>MLCF!H167</x:f>
        <x:v>0.23086739193474415</x:v>
      </x:c>
      <x:c r="I170" s="147" t="n">
        <x:f>FCCL!H167</x:f>
        <x:v>0.1769808100965798</x:v>
      </x:c>
      <x:c r="J170" s="148" t="n">
        <x:f>IF(COUNT(E170:I170)=0,"n/m",AVERAGE(E170:I170))</x:f>
        <x:v>0.20182232116435334</x:v>
      </x:c>
      <x:c r="K170" s="11" t="n">
        <x:f>COUNT(E170:I170)</x:f>
        <x:v>5</x:v>
      </x:c>
      <x:c r="L170" s="149" t="n">
        <x:f>IF(AND(ISNUMBER(E170),ISNUMBER(J170)),E170-J170,"n/m")</x:f>
        <x:v>0.08625597911784433</x:v>
      </x:c>
      <x:c r="M170" s="149" t="n">
        <x:f>IF(COUNT(F170:I170)=0,"n/m",AVERAGE(F170:I170))</x:f>
        <x:v>0.1802583263848922</x:v>
      </x:c>
      <x:c r="N170" s="149" t="n">
        <x:f>IF(COUNT(E170:I170)=0,"n/m",MEDIAN(E170:I170))</x:f>
        <x:v>0.19447652728583156</x:v>
      </x:c>
      <x:c r="O170" s="11" t="str">
        <x:v>Higher</x:v>
      </x:c>
      <x:c r="P170" s="9" t="str">
        <x:f>IF(NOT(ISNUMBER(L170)),"n/m",IF(O170="Higher",IF(L170&gt;=0,"Above avg - favourable","Below avg - unfavourable"),IF(O170="Lower",IF(L170&lt;=0,"Below avg - favourable","Above avg - unfavourable"),IF(L170&gt;=0,"Above avg - context-dependent","Below avg - context-dependent"))))&amp;IF(K170&lt;5," (N="&amp;K170&amp;")","")</x:f>
        <x:v>Above avg - favourable</x:v>
      </x:c>
      <x:c r="Q170"/>
      <x:c r="R170" s="59" t="str">
        <x:f>IF(K170=0,"n/m",IF(ABS(J170-SUM(E170:I170)/K170)&lt;0.000000001,"OK","ERR"))</x:f>
        <x:v>OK</x:v>
      </x:c>
    </x:row>
    <x:row r="171" ht="22" hidden="0" customHeight="1">
      <x:c r="A171" s="128" t="str">
        <x:v>MARKET VALUE</x:v>
      </x:c>
      <x:c r="B171" s="129" t="n">
        <x:v>28</x:v>
      </x:c>
      <x:c r="C171" s="128" t="s">
        <x:v>698</x:v>
      </x:c>
      <x:c r="D171" s="129"/>
      <x:c r="E171" s="129"/>
      <x:c r="F171" s="129"/>
      <x:c r="G171" s="129"/>
      <x:c r="H171" s="129"/>
      <x:c r="I171" s="129"/>
      <x:c r="J171" s="129"/>
      <x:c r="K171" s="129"/>
      <x:c r="L171" s="129"/>
      <x:c r="M171" s="129"/>
      <x:c r="N171" s="129"/>
      <x:c r="O171" s="129"/>
      <x:c r="P171" s="129"/>
      <x:c r="Q171" s="128"/>
      <x:c r="R171" s="129"/>
    </x:row>
    <x:row r="172" ht="15" hidden="0">
      <x:c r="A172" s="54" t="str">
        <x:v>Market Value</x:v>
      </x:c>
      <x:c r="B172" s="25" t="n">
        <x:v>28</x:v>
      </x:c>
      <x:c r="C172" s="24" t="str">
        <x:v>28. Book value per share (Rs)</x:v>
      </x:c>
      <x:c r="D172" s="25"/>
      <x:c r="E172" s="25"/>
      <x:c r="F172" s="25"/>
      <x:c r="G172" s="25"/>
      <x:c r="H172" s="25"/>
      <x:c r="I172" s="25"/>
      <x:c r="J172" s="25"/>
      <x:c r="K172" s="25"/>
      <x:c r="L172" s="25"/>
      <x:c r="M172" s="25"/>
      <x:c r="N172" s="25"/>
      <x:c r="O172" s="25"/>
      <x:c r="P172" s="25"/>
      <x:c r="Q172" s="55" t="s">
        <x:v>699</x:v>
      </x:c>
      <x:c r="R172" s="25"/>
    </x:row>
    <x:row r="173" ht="15" hidden="0">
      <x:c r="A173"/>
      <x:c r="B173"/>
      <x:c r="C173" s="56" t="str">
        <x:v>Book value per share (Rs)</x:v>
      </x:c>
      <x:c r="D173" s="11" t="str">
        <x:v>FY2021</x:v>
      </x:c>
      <x:c r="E173" s="151" t="n">
        <x:f>KOHC!D169</x:f>
        <x:v>110.64122209168052</x:v>
      </x:c>
      <x:c r="F173" s="151" t="n">
        <x:f>LUCK!D169</x:f>
        <x:v>350.05878005411677</x:v>
      </x:c>
      <x:c r="G173" s="151" t="n">
        <x:f>DGKC!D169</x:f>
        <x:v>167.71209700741193</x:v>
      </x:c>
      <x:c r="H173" s="151" t="n">
        <x:f>MLCF!D169</x:f>
        <x:v>34.18097226539319</x:v>
      </x:c>
      <x:c r="I173" s="151" t="n">
        <x:f>FCCL!D169</x:f>
        <x:v>16.868689643176804</x:v>
      </x:c>
      <x:c r="J173" s="152" t="n">
        <x:f>IF(COUNT(E173:I173)=0,"n/m",AVERAGE(E173:I173))</x:f>
        <x:v>135.89235221235583</x:v>
      </x:c>
      <x:c r="K173" s="11" t="n">
        <x:f>COUNT(E173:I173)</x:f>
        <x:v>5</x:v>
      </x:c>
      <x:c r="L173" s="153" t="n">
        <x:f>IF(AND(ISNUMBER(E173),ISNUMBER(J173)),E173-J173,"n/m")</x:f>
        <x:v>-25.251130120675313</x:v>
      </x:c>
      <x:c r="M173" s="153" t="n">
        <x:f>IF(COUNT(F173:I173)=0,"n/m",AVERAGE(F173:I173))</x:f>
        <x:v>142.20513474252468</x:v>
      </x:c>
      <x:c r="N173" s="153" t="n">
        <x:f>IF(COUNT(E173:I173)=0,"n/m",MEDIAN(E173:I173))</x:f>
        <x:v>110.64122209168052</x:v>
      </x:c>
      <x:c r="O173" s="11" t="str">
        <x:v>Context</x:v>
      </x:c>
      <x:c r="P173" s="9" t="str">
        <x:f>IF(NOT(ISNUMBER(L173)),"n/m",IF(O173="Higher",IF(L173&gt;=0,"Above avg - favourable","Below avg - unfavourable"),IF(O173="Lower",IF(L173&lt;=0,"Below avg - favourable","Above avg - unfavourable"),IF(L173&gt;=0,"Above avg - context-dependent","Below avg - context-dependent"))))&amp;IF(K173&lt;5," (N="&amp;K173&amp;")","")</x:f>
        <x:v>Below avg - context-dependent</x:v>
      </x:c>
      <x:c r="Q173"/>
      <x:c r="R173" s="59" t="str">
        <x:f>IF(K173=0,"n/m",IF(ABS(J173-SUM(E173:I173)/K173)&lt;0.000000001,"OK","ERR"))</x:f>
        <x:v>OK</x:v>
      </x:c>
    </x:row>
    <x:row r="174" ht="15" hidden="0">
      <x:c r="A174"/>
      <x:c r="B174"/>
      <x:c r="C174" s="56" t="str">
        <x:v>Book value per share (Rs)</x:v>
      </x:c>
      <x:c r="D174" s="11" t="str">
        <x:v>FY2022</x:v>
      </x:c>
      <x:c r="E174" s="151" t="n">
        <x:f>KOHC!E169</x:f>
        <x:v>135.64693964412666</x:v>
      </x:c>
      <x:c r="F174" s="151" t="n">
        <x:f>LUCK!E169</x:f>
        <x:v>397.4961700811751</x:v>
      </x:c>
      <x:c r="G174" s="151" t="n">
        <x:f>DGKC!E169</x:f>
        <x:v>159.58697532246367</x:v>
      </x:c>
      <x:c r="H174" s="151" t="n">
        <x:f>MLCF!E169</x:f>
        <x:v>37.56155762745958</x:v>
      </x:c>
      <x:c r="I174" s="151" t="n">
        <x:f>FCCL!E169</x:f>
        <x:v>26.480675904195227</x:v>
      </x:c>
      <x:c r="J174" s="152" t="n">
        <x:f>IF(COUNT(E174:I174)=0,"n/m",AVERAGE(E174:I174))</x:f>
        <x:v>151.35446371588404</x:v>
      </x:c>
      <x:c r="K174" s="11" t="n">
        <x:f>COUNT(E174:I174)</x:f>
        <x:v>5</x:v>
      </x:c>
      <x:c r="L174" s="153" t="n">
        <x:f>IF(AND(ISNUMBER(E174),ISNUMBER(J174)),E174-J174,"n/m")</x:f>
        <x:v>-15.707524071757376</x:v>
      </x:c>
      <x:c r="M174" s="153" t="n">
        <x:f>IF(COUNT(F174:I174)=0,"n/m",AVERAGE(F174:I174))</x:f>
        <x:v>155.2813447338234</x:v>
      </x:c>
      <x:c r="N174" s="153" t="n">
        <x:f>IF(COUNT(E174:I174)=0,"n/m",MEDIAN(E174:I174))</x:f>
        <x:v>135.64693964412666</x:v>
      </x:c>
      <x:c r="O174" s="11" t="str">
        <x:v>Context</x:v>
      </x:c>
      <x:c r="P174" s="9" t="str">
        <x:f>IF(NOT(ISNUMBER(L174)),"n/m",IF(O174="Higher",IF(L174&gt;=0,"Above avg - favourable","Below avg - unfavourable"),IF(O174="Lower",IF(L174&lt;=0,"Below avg - favourable","Above avg - unfavourable"),IF(L174&gt;=0,"Above avg - context-dependent","Below avg - context-dependent"))))&amp;IF(K174&lt;5," (N="&amp;K174&amp;")","")</x:f>
        <x:v>Below avg - context-dependent</x:v>
      </x:c>
      <x:c r="Q174"/>
      <x:c r="R174" s="59" t="str">
        <x:f>IF(K174=0,"n/m",IF(ABS(J174-SUM(E174:I174)/K174)&lt;0.000000001,"OK","ERR"))</x:f>
        <x:v>OK</x:v>
      </x:c>
    </x:row>
    <x:row r="175" ht="15" hidden="0">
      <x:c r="A175"/>
      <x:c r="B175"/>
      <x:c r="C175" s="56" t="str">
        <x:v>Book value per share (Rs)</x:v>
      </x:c>
      <x:c r="D175" s="11" t="str">
        <x:v>FY2023</x:v>
      </x:c>
      <x:c r="E175" s="151" t="n">
        <x:f>KOHC!F169</x:f>
        <x:v>162.35106244484723</x:v>
      </x:c>
      <x:c r="F175" s="151" t="n">
        <x:f>LUCK!F169</x:f>
        <x:v>440.50456229600826</x:v>
      </x:c>
      <x:c r="G175" s="151" t="n">
        <x:f>DGKC!F169</x:f>
        <x:v>146.51786922779672</x:v>
      </x:c>
      <x:c r="H175" s="151" t="n">
        <x:f>MLCF!F169</x:f>
        <x:v>41.84401454069526</x:v>
      </x:c>
      <x:c r="I175" s="151" t="n">
        <x:f>FCCL!F169</x:f>
        <x:v>26.57145800660424</x:v>
      </x:c>
      <x:c r="J175" s="152" t="n">
        <x:f>IF(COUNT(E175:I175)=0,"n/m",AVERAGE(E175:I175))</x:f>
        <x:v>163.55779330319035</x:v>
      </x:c>
      <x:c r="K175" s="11" t="n">
        <x:f>COUNT(E175:I175)</x:f>
        <x:v>5</x:v>
      </x:c>
      <x:c r="L175" s="153" t="n">
        <x:f>IF(AND(ISNUMBER(E175),ISNUMBER(J175)),E175-J175,"n/m")</x:f>
        <x:v>-1.2067308583431213</x:v>
      </x:c>
      <x:c r="M175" s="153" t="n">
        <x:f>IF(COUNT(F175:I175)=0,"n/m",AVERAGE(F175:I175))</x:f>
        <x:v>163.8594760177761</x:v>
      </x:c>
      <x:c r="N175" s="153" t="n">
        <x:f>IF(COUNT(E175:I175)=0,"n/m",MEDIAN(E175:I175))</x:f>
        <x:v>146.51786922779672</x:v>
      </x:c>
      <x:c r="O175" s="11" t="str">
        <x:v>Context</x:v>
      </x:c>
      <x:c r="P175" s="9" t="str">
        <x:f>IF(NOT(ISNUMBER(L175)),"n/m",IF(O175="Higher",IF(L175&gt;=0,"Above avg - favourable","Below avg - unfavourable"),IF(O175="Lower",IF(L175&lt;=0,"Below avg - favourable","Above avg - unfavourable"),IF(L175&gt;=0,"Above avg - context-dependent","Below avg - context-dependent"))))&amp;IF(K175&lt;5," (N="&amp;K175&amp;")","")</x:f>
        <x:v>Below avg - context-dependent</x:v>
      </x:c>
      <x:c r="Q175"/>
      <x:c r="R175" s="59" t="str">
        <x:f>IF(K175=0,"n/m",IF(ABS(J175-SUM(E175:I175)/K175)&lt;0.000000001,"OK","ERR"))</x:f>
        <x:v>OK</x:v>
      </x:c>
    </x:row>
    <x:row r="176" ht="15" hidden="0">
      <x:c r="A176"/>
      <x:c r="B176"/>
      <x:c r="C176" s="56" t="str">
        <x:v>Book value per share (Rs)</x:v>
      </x:c>
      <x:c r="D176" s="11" t="str">
        <x:v>FY2024</x:v>
      </x:c>
      <x:c r="E176" s="151" t="n">
        <x:f>KOHC!G169</x:f>
        <x:v>209.7928785338331</x:v>
      </x:c>
      <x:c r="F176" s="151" t="n">
        <x:f>LUCK!G169</x:f>
        <x:v>504.3046996587031</x:v>
      </x:c>
      <x:c r="G176" s="151" t="n">
        <x:f>DGKC!G169</x:f>
        <x:v>173.12082034314415</x:v>
      </x:c>
      <x:c r="H176" s="151" t="n">
        <x:f>MLCF!G169</x:f>
        <x:v>50.22698213930126</x:v>
      </x:c>
      <x:c r="I176" s="151" t="n">
        <x:f>FCCL!G169</x:f>
        <x:v>29.923935347634316</x:v>
      </x:c>
      <x:c r="J176" s="152" t="n">
        <x:f>IF(COUNT(E176:I176)=0,"n/m",AVERAGE(E176:I176))</x:f>
        <x:v>193.47386320452318</x:v>
      </x:c>
      <x:c r="K176" s="11" t="n">
        <x:f>COUNT(E176:I176)</x:f>
        <x:v>5</x:v>
      </x:c>
      <x:c r="L176" s="153" t="n">
        <x:f>IF(AND(ISNUMBER(E176),ISNUMBER(J176)),E176-J176,"n/m")</x:f>
        <x:v>16.319015329309906</x:v>
      </x:c>
      <x:c r="M176" s="153" t="n">
        <x:f>IF(COUNT(F176:I176)=0,"n/m",AVERAGE(F176:I176))</x:f>
        <x:v>189.39410937219571</x:v>
      </x:c>
      <x:c r="N176" s="153" t="n">
        <x:f>IF(COUNT(E176:I176)=0,"n/m",MEDIAN(E176:I176))</x:f>
        <x:v>173.12082034314415</x:v>
      </x:c>
      <x:c r="O176" s="11" t="str">
        <x:v>Context</x:v>
      </x:c>
      <x:c r="P176" s="9" t="str">
        <x:f>IF(NOT(ISNUMBER(L176)),"n/m",IF(O176="Higher",IF(L176&gt;=0,"Above avg - favourable","Below avg - unfavourable"),IF(O176="Lower",IF(L176&lt;=0,"Below avg - favourable","Above avg - unfavourable"),IF(L176&gt;=0,"Above avg - context-dependent","Below avg - context-dependent"))))&amp;IF(K176&lt;5," (N="&amp;K176&amp;")","")</x:f>
        <x:v>Above avg - context-dependent</x:v>
      </x:c>
      <x:c r="Q176"/>
      <x:c r="R176" s="59" t="str">
        <x:f>IF(K176=0,"n/m",IF(ABS(J176-SUM(E176:I176)/K176)&lt;0.000000001,"OK","ERR"))</x:f>
        <x:v>OK</x:v>
      </x:c>
    </x:row>
    <x:row r="177" ht="15" hidden="0">
      <x:c r="A177"/>
      <x:c r="B177"/>
      <x:c r="C177" s="56" t="str">
        <x:v>Book value per share (Rs)</x:v>
      </x:c>
      <x:c r="D177" s="11" t="str">
        <x:v>FY2025</x:v>
      </x:c>
      <x:c r="E177" s="151" t="n">
        <x:f>KOHC!H169</x:f>
        <x:v>260.8226721418157</x:v>
      </x:c>
      <x:c r="F177" s="151" t="n">
        <x:f>LUCK!H169</x:f>
        <x:v>120.07535836177475</x:v>
      </x:c>
      <x:c r="G177" s="151" t="n">
        <x:f>DGKC!H169</x:f>
        <x:v>216.07703932560804</x:v>
      </x:c>
      <x:c r="H177" s="151" t="n">
        <x:f>MLCF!H169</x:f>
        <x:v>68.21701347489879</x:v>
      </x:c>
      <x:c r="I177" s="151" t="n">
        <x:f>FCCL!H169</x:f>
        <x:v>34.35688707280468</x:v>
      </x:c>
      <x:c r="J177" s="152" t="n">
        <x:f>IF(COUNT(E177:I177)=0,"n/m",AVERAGE(E177:I177))</x:f>
        <x:v>139.90979407538038</x:v>
      </x:c>
      <x:c r="K177" s="11" t="n">
        <x:f>COUNT(E177:I177)</x:f>
        <x:v>5</x:v>
      </x:c>
      <x:c r="L177" s="153" t="n">
        <x:f>IF(AND(ISNUMBER(E177),ISNUMBER(J177)),E177-J177,"n/m")</x:f>
        <x:v>120.91287806643533</x:v>
      </x:c>
      <x:c r="M177" s="153" t="n">
        <x:f>IF(COUNT(F177:I177)=0,"n/m",AVERAGE(F177:I177))</x:f>
        <x:v>109.68157455877157</x:v>
      </x:c>
      <x:c r="N177" s="153" t="n">
        <x:f>IF(COUNT(E177:I177)=0,"n/m",MEDIAN(E177:I177))</x:f>
        <x:v>120.07535836177475</x:v>
      </x:c>
      <x:c r="O177" s="11" t="str">
        <x:v>Context</x:v>
      </x:c>
      <x:c r="P177" s="9" t="str">
        <x:f>IF(NOT(ISNUMBER(L177)),"n/m",IF(O177="Higher",IF(L177&gt;=0,"Above avg - favourable","Below avg - unfavourable"),IF(O177="Lower",IF(L177&lt;=0,"Below avg - favourable","Above avg - unfavourable"),IF(L177&gt;=0,"Above avg - context-dependent","Below avg - context-dependent"))))&amp;IF(K177&lt;5," (N="&amp;K177&amp;")","")</x:f>
        <x:v>Above avg - context-dependent</x:v>
      </x:c>
      <x:c r="Q177"/>
      <x:c r="R177" s="59" t="str">
        <x:f>IF(K177=0,"n/m",IF(ABS(J177-SUM(E177:I177)/K177)&lt;0.000000001,"OK","ERR"))</x:f>
        <x:v>OK</x:v>
      </x:c>
    </x:row>
    <x:row r="178" ht="15" hidden="0">
      <x:c r="A178" s="54" t="str">
        <x:v>Market Value</x:v>
      </x:c>
      <x:c r="B178" s="25" t="n">
        <x:v>29</x:v>
      </x:c>
      <x:c r="C178" s="24" t="str">
        <x:v>29. Market-to-book ratio</x:v>
      </x:c>
      <x:c r="D178" s="25"/>
      <x:c r="E178" s="25"/>
      <x:c r="F178" s="25"/>
      <x:c r="G178" s="25"/>
      <x:c r="H178" s="25"/>
      <x:c r="I178" s="25"/>
      <x:c r="J178" s="25"/>
      <x:c r="K178" s="25"/>
      <x:c r="L178" s="25"/>
      <x:c r="M178" s="25"/>
      <x:c r="N178" s="25"/>
      <x:c r="O178" s="25"/>
      <x:c r="P178" s="25"/>
      <x:c r="Q178" s="55" t="s">
        <x:v>700</x:v>
      </x:c>
      <x:c r="R178" s="25"/>
    </x:row>
    <x:row r="179" ht="15" hidden="0">
      <x:c r="A179"/>
      <x:c r="B179"/>
      <x:c r="C179" s="56" t="str">
        <x:v>Market-to-book ratio</x:v>
      </x:c>
      <x:c r="D179" s="11" t="str">
        <x:v>FY2021</x:v>
      </x:c>
      <x:c r="E179" s="138" t="n">
        <x:f>KOHC!D170</x:f>
        <x:v>1.8663025958706099</x:v>
      </x:c>
      <x:c r="F179" s="138" t="n">
        <x:f>LUCK!D170</x:f>
        <x:v>2.4665571875286716</x:v>
      </x:c>
      <x:c r="G179" s="138" t="n">
        <x:f>DGKC!D170</x:f>
        <x:v>0.7031096868032638</x:v>
      </x:c>
      <x:c r="H179" s="138" t="n">
        <x:f>MLCF!D170</x:f>
        <x:v>1.3744489078669448</x:v>
      </x:c>
      <x:c r="I179" s="138" t="n">
        <x:f>FCCL!D170</x:f>
        <x:v>1.3634728296339984</x:v>
      </x:c>
      <x:c r="J179" s="139" t="n">
        <x:f>IF(COUNT(E179:I179)=0,"n/m",AVERAGE(E179:I179))</x:f>
        <x:v>1.5547782415406979</x:v>
      </x:c>
      <x:c r="K179" s="11" t="n">
        <x:f>COUNT(E179:I179)</x:f>
        <x:v>5</x:v>
      </x:c>
      <x:c r="L179" s="140" t="n">
        <x:f>IF(AND(ISNUMBER(E179),ISNUMBER(J179)),E179-J179,"n/m")</x:f>
        <x:v>0.311524354329912</x:v>
      </x:c>
      <x:c r="M179" s="140" t="n">
        <x:f>IF(COUNT(F179:I179)=0,"n/m",AVERAGE(F179:I179))</x:f>
        <x:v>1.4768971529582196</x:v>
      </x:c>
      <x:c r="N179" s="140" t="n">
        <x:f>IF(COUNT(E179:I179)=0,"n/m",MEDIAN(E179:I179))</x:f>
        <x:v>1.3744489078669448</x:v>
      </x:c>
      <x:c r="O179" s="11" t="str">
        <x:v>Context</x:v>
      </x:c>
      <x:c r="P179" s="9" t="str">
        <x:f>IF(NOT(ISNUMBER(L179)),"n/m",IF(O179="Higher",IF(L179&gt;=0,"Above avg - favourable","Below avg - unfavourable"),IF(O179="Lower",IF(L179&lt;=0,"Below avg - favourable","Above avg - unfavourable"),IF(L179&gt;=0,"Above avg - context-dependent","Below avg - context-dependent"))))&amp;IF(K179&lt;5," (N="&amp;K179&amp;")","")</x:f>
        <x:v>Above avg - context-dependent</x:v>
      </x:c>
      <x:c r="Q179"/>
      <x:c r="R179" s="59" t="str">
        <x:f>IF(K179=0,"n/m",IF(ABS(J179-SUM(E179:I179)/K179)&lt;0.000000001,"OK","ERR"))</x:f>
        <x:v>OK</x:v>
      </x:c>
    </x:row>
    <x:row r="180" ht="15" hidden="0">
      <x:c r="A180"/>
      <x:c r="B180"/>
      <x:c r="C180" s="56" t="str">
        <x:v>Market-to-book ratio</x:v>
      </x:c>
      <x:c r="D180" s="11" t="str">
        <x:v>FY2022</x:v>
      </x:c>
      <x:c r="E180" s="138" t="n">
        <x:f>KOHC!E170</x:f>
        <x:v>0.959328683281757</x:v>
      </x:c>
      <x:c r="F180" s="138" t="n">
        <x:f>LUCK!E170</x:f>
        <x:v>1.154828736856148</x:v>
      </x:c>
      <x:c r="G180" s="138" t="n">
        <x:f>DGKC!E170</x:f>
        <x:v>0.3916359707533251</x:v>
      </x:c>
      <x:c r="H180" s="138" t="n">
        <x:f>MLCF!E170</x:f>
        <x:v>0.7281380679486422</x:v>
      </x:c>
      <x:c r="I180" s="138" t="n">
        <x:f>FCCL!E170</x:f>
        <x:v>0.535107187266134</x:v>
      </x:c>
      <x:c r="J180" s="139" t="n">
        <x:f>IF(COUNT(E180:I180)=0,"n/m",AVERAGE(E180:I180))</x:f>
        <x:v>0.7538077292212013</x:v>
      </x:c>
      <x:c r="K180" s="11" t="n">
        <x:f>COUNT(E180:I180)</x:f>
        <x:v>5</x:v>
      </x:c>
      <x:c r="L180" s="140" t="n">
        <x:f>IF(AND(ISNUMBER(E180),ISNUMBER(J180)),E180-J180,"n/m")</x:f>
        <x:v>0.2055209540605557</x:v>
      </x:c>
      <x:c r="M180" s="140" t="n">
        <x:f>IF(COUNT(F180:I180)=0,"n/m",AVERAGE(F180:I180))</x:f>
        <x:v>0.7024274907060624</x:v>
      </x:c>
      <x:c r="N180" s="140" t="n">
        <x:f>IF(COUNT(E180:I180)=0,"n/m",MEDIAN(E180:I180))</x:f>
        <x:v>0.7281380679486422</x:v>
      </x:c>
      <x:c r="O180" s="11" t="str">
        <x:v>Context</x:v>
      </x:c>
      <x:c r="P180" s="9" t="str">
        <x:f>IF(NOT(ISNUMBER(L180)),"n/m",IF(O180="Higher",IF(L180&gt;=0,"Above avg - favourable","Below avg - unfavourable"),IF(O180="Lower",IF(L180&lt;=0,"Below avg - favourable","Above avg - unfavourable"),IF(L180&gt;=0,"Above avg - context-dependent","Below avg - context-dependent"))))&amp;IF(K180&lt;5," (N="&amp;K180&amp;")","")</x:f>
        <x:v>Above avg - context-dependent</x:v>
      </x:c>
      <x:c r="Q180"/>
      <x:c r="R180" s="59" t="str">
        <x:f>IF(K180=0,"n/m",IF(ABS(J180-SUM(E180:I180)/K180)&lt;0.000000001,"OK","ERR"))</x:f>
        <x:v>OK</x:v>
      </x:c>
    </x:row>
    <x:row r="181" ht="15" hidden="0">
      <x:c r="A181"/>
      <x:c r="B181"/>
      <x:c r="C181" s="56" t="str">
        <x:v>Market-to-book ratio</x:v>
      </x:c>
      <x:c r="D181" s="11" t="str">
        <x:v>FY2023</x:v>
      </x:c>
      <x:c r="E181" s="138" t="n">
        <x:f>KOHC!F170</x:f>
        <x:v>1.0684870021034203</x:v>
      </x:c>
      <x:c r="F181" s="138" t="n">
        <x:f>LUCK!F170</x:f>
        <x:v>1.185209064075864</x:v>
      </x:c>
      <x:c r="G181" s="138" t="n">
        <x:f>DGKC!F170</x:f>
        <x:v>0.35012794187063967</x:v>
      </x:c>
      <x:c r="H181" s="138" t="n">
        <x:f>MLCF!F170</x:f>
        <x:v>0.6770382887724061</x:v>
      </x:c>
      <x:c r="I181" s="138" t="n">
        <x:f>FCCL!F170</x:f>
        <x:v>0.4425801548818697</x:v>
      </x:c>
      <x:c r="J181" s="139" t="n">
        <x:f>IF(COUNT(E181:I181)=0,"n/m",AVERAGE(E181:I181))</x:f>
        <x:v>0.7446884903408398</x:v>
      </x:c>
      <x:c r="K181" s="11" t="n">
        <x:f>COUNT(E181:I181)</x:f>
        <x:v>5</x:v>
      </x:c>
      <x:c r="L181" s="140" t="n">
        <x:f>IF(AND(ISNUMBER(E181),ISNUMBER(J181)),E181-J181,"n/m")</x:f>
        <x:v>0.32379851176258045</x:v>
      </x:c>
      <x:c r="M181" s="140" t="n">
        <x:f>IF(COUNT(F181:I181)=0,"n/m",AVERAGE(F181:I181))</x:f>
        <x:v>0.6637388624001948</x:v>
      </x:c>
      <x:c r="N181" s="140" t="n">
        <x:f>IF(COUNT(E181:I181)=0,"n/m",MEDIAN(E181:I181))</x:f>
        <x:v>0.6770382887724061</x:v>
      </x:c>
      <x:c r="O181" s="11" t="str">
        <x:v>Context</x:v>
      </x:c>
      <x:c r="P181" s="9" t="str">
        <x:f>IF(NOT(ISNUMBER(L181)),"n/m",IF(O181="Higher",IF(L181&gt;=0,"Above avg - favourable","Below avg - unfavourable"),IF(O181="Lower",IF(L181&lt;=0,"Below avg - favourable","Above avg - unfavourable"),IF(L181&gt;=0,"Above avg - context-dependent","Below avg - context-dependent"))))&amp;IF(K181&lt;5," (N="&amp;K181&amp;")","")</x:f>
        <x:v>Above avg - context-dependent</x:v>
      </x:c>
      <x:c r="Q181"/>
      <x:c r="R181" s="59" t="str">
        <x:f>IF(K181=0,"n/m",IF(ABS(J181-SUM(E181:I181)/K181)&lt;0.000000001,"OK","ERR"))</x:f>
        <x:v>OK</x:v>
      </x:c>
    </x:row>
    <x:row r="182" ht="15" hidden="0">
      <x:c r="A182"/>
      <x:c r="B182"/>
      <x:c r="C182" s="56" t="str">
        <x:v>Market-to-book ratio</x:v>
      </x:c>
      <x:c r="D182" s="11" t="str">
        <x:v>FY2024</x:v>
      </x:c>
      <x:c r="E182" s="138" t="n">
        <x:f>KOHC!G170</x:f>
        <x:v>1.1937011482475721</x:v>
      </x:c>
      <x:c r="F182" s="138" t="n">
        <x:f>LUCK!G170</x:f>
        <x:v>1.7979804681845026</x:v>
      </x:c>
      <x:c r="G182" s="138" t="n">
        <x:f>DGKC!G170</x:f>
        <x:v>0.5214277509838222</x:v>
      </x:c>
      <x:c r="H182" s="138" t="n">
        <x:f>MLCF!G170</x:f>
        <x:v>0.7565654630534934</x:v>
      </x:c>
      <x:c r="I182" s="138" t="n">
        <x:f>FCCL!G170</x:f>
        <x:v>0.7656078565151421</x:v>
      </x:c>
      <x:c r="J182" s="139" t="n">
        <x:f>IF(COUNT(E182:I182)=0,"n/m",AVERAGE(E182:I182))</x:f>
        <x:v>1.0070565373969065</x:v>
      </x:c>
      <x:c r="K182" s="11" t="n">
        <x:f>COUNT(E182:I182)</x:f>
        <x:v>5</x:v>
      </x:c>
      <x:c r="L182" s="140" t="n">
        <x:f>IF(AND(ISNUMBER(E182),ISNUMBER(J182)),E182-J182,"n/m")</x:f>
        <x:v>0.18664461085066564</x:v>
      </x:c>
      <x:c r="M182" s="140" t="n">
        <x:f>IF(COUNT(F182:I182)=0,"n/m",AVERAGE(F182:I182))</x:f>
        <x:v>0.9603953846842401</x:v>
      </x:c>
      <x:c r="N182" s="140" t="n">
        <x:f>IF(COUNT(E182:I182)=0,"n/m",MEDIAN(E182:I182))</x:f>
        <x:v>0.7656078565151421</x:v>
      </x:c>
      <x:c r="O182" s="11" t="str">
        <x:v>Context</x:v>
      </x:c>
      <x:c r="P182" s="9" t="str">
        <x:f>IF(NOT(ISNUMBER(L182)),"n/m",IF(O182="Higher",IF(L182&gt;=0,"Above avg - favourable","Below avg - unfavourable"),IF(O182="Lower",IF(L182&lt;=0,"Below avg - favourable","Above avg - unfavourable"),IF(L182&gt;=0,"Above avg - context-dependent","Below avg - context-dependent"))))&amp;IF(K182&lt;5," (N="&amp;K182&amp;")","")</x:f>
        <x:v>Above avg - context-dependent</x:v>
      </x:c>
      <x:c r="Q182"/>
      <x:c r="R182" s="59" t="str">
        <x:f>IF(K182=0,"n/m",IF(ABS(J182-SUM(E182:I182)/K182)&lt;0.000000001,"OK","ERR"))</x:f>
        <x:v>OK</x:v>
      </x:c>
    </x:row>
    <x:row r="183" ht="15" hidden="0">
      <x:c r="A183"/>
      <x:c r="B183"/>
      <x:c r="C183" s="56" t="str">
        <x:v>Market-to-book ratio</x:v>
      </x:c>
      <x:c r="D183" s="11" t="str">
        <x:v>FY2025</x:v>
      </x:c>
      <x:c r="E183" s="138" t="n">
        <x:f>KOHC!H170</x:f>
        <x:v>1.4544747850514033</x:v>
      </x:c>
      <x:c r="F183" s="138" t="n">
        <x:f>LUCK!H170</x:f>
        <x:v>2.9584754511387614</x:v>
      </x:c>
      <x:c r="G183" s="138" t="n">
        <x:f>DGKC!H170</x:f>
        <x:v>0.7662082029480072</x:v>
      </x:c>
      <x:c r="H183" s="138" t="n">
        <x:f>MLCF!H170</x:f>
        <x:v>1.2354689205356633</x:v>
      </x:c>
      <x:c r="I183" s="138" t="n">
        <x:f>FCCL!H170</x:f>
        <x:v>1.3001759998029245</x:v>
      </x:c>
      <x:c r="J183" s="139" t="n">
        <x:f>IF(COUNT(E183:I183)=0,"n/m",AVERAGE(E183:I183))</x:f>
        <x:v>1.542960671895352</x:v>
      </x:c>
      <x:c r="K183" s="11" t="n">
        <x:f>COUNT(E183:I183)</x:f>
        <x:v>5</x:v>
      </x:c>
      <x:c r="L183" s="140" t="n">
        <x:f>IF(AND(ISNUMBER(E183),ISNUMBER(J183)),E183-J183,"n/m")</x:f>
        <x:v>-0.08848588684394865</x:v>
      </x:c>
      <x:c r="M183" s="140" t="n">
        <x:f>IF(COUNT(F183:I183)=0,"n/m",AVERAGE(F183:I183))</x:f>
        <x:v>1.5650821436063391</x:v>
      </x:c>
      <x:c r="N183" s="140" t="n">
        <x:f>IF(COUNT(E183:I183)=0,"n/m",MEDIAN(E183:I183))</x:f>
        <x:v>1.3001759998029245</x:v>
      </x:c>
      <x:c r="O183" s="11" t="str">
        <x:v>Context</x:v>
      </x:c>
      <x:c r="P183" s="9" t="str">
        <x:f>IF(NOT(ISNUMBER(L183)),"n/m",IF(O183="Higher",IF(L183&gt;=0,"Above avg - favourable","Below avg - unfavourable"),IF(O183="Lower",IF(L183&lt;=0,"Below avg - favourable","Above avg - unfavourable"),IF(L183&gt;=0,"Above avg - context-dependent","Below avg - context-dependent"))))&amp;IF(K183&lt;5," (N="&amp;K183&amp;")","")</x:f>
        <x:v>Below avg - context-dependent</x:v>
      </x:c>
      <x:c r="Q183"/>
      <x:c r="R183" s="59" t="str">
        <x:f>IF(K183=0,"n/m",IF(ABS(J183-SUM(E183:I183)/K183)&lt;0.000000001,"OK","ERR"))</x:f>
        <x:v>OK</x:v>
      </x:c>
    </x:row>
    <x:row r="184" ht="15" hidden="0">
      <x:c r="A184" s="54" t="str">
        <x:v>Market Value</x:v>
      </x:c>
      <x:c r="B184" s="25" t="n">
        <x:v>30</x:v>
      </x:c>
      <x:c r="C184" s="24" t="str">
        <x:v>30. Earnings per share (Rs)</x:v>
      </x:c>
      <x:c r="D184" s="25"/>
      <x:c r="E184" s="25"/>
      <x:c r="F184" s="25"/>
      <x:c r="G184" s="25"/>
      <x:c r="H184" s="25"/>
      <x:c r="I184" s="25"/>
      <x:c r="J184" s="25"/>
      <x:c r="K184" s="25"/>
      <x:c r="L184" s="25"/>
      <x:c r="M184" s="25"/>
      <x:c r="N184" s="25"/>
      <x:c r="O184" s="25"/>
      <x:c r="P184" s="25"/>
      <x:c r="Q184" s="55" t="s">
        <x:v>701</x:v>
      </x:c>
      <x:c r="R184" s="25"/>
    </x:row>
    <x:row r="185" ht="15" hidden="0">
      <x:c r="A185"/>
      <x:c r="B185"/>
      <x:c r="C185" s="56" t="str">
        <x:v>Earnings per share (Rs)</x:v>
      </x:c>
      <x:c r="D185" s="11" t="str">
        <x:v>FY2021</x:v>
      </x:c>
      <x:c r="E185" s="151" t="n">
        <x:f>KOHC!D171</x:f>
        <x:v>17.412549352402124</x:v>
      </x:c>
      <x:c r="F185" s="151" t="n">
        <x:f>LUCK!D171</x:f>
        <x:v>43.51044143795904</x:v>
      </x:c>
      <x:c r="G185" s="151" t="n">
        <x:f>DGKC!D171</x:f>
        <x:v>8.493747127465003</x:v>
      </x:c>
      <x:c r="H185" s="151" t="n">
        <x:f>MLCF!D171</x:f>
        <x:v>5.694115515511503</x:v>
      </x:c>
      <x:c r="I185" s="151" t="n">
        <x:f>FCCL!D171</x:f>
        <x:v>2.5158090033808875</x:v>
      </x:c>
      <x:c r="J185" s="152" t="n">
        <x:f>IF(COUNT(E185:I185)=0,"n/m",AVERAGE(E185:I185))</x:f>
        <x:v>15.525332487343713</x:v>
      </x:c>
      <x:c r="K185" s="11" t="n">
        <x:f>COUNT(E185:I185)</x:f>
        <x:v>5</x:v>
      </x:c>
      <x:c r="L185" s="153" t="n">
        <x:f>IF(AND(ISNUMBER(E185),ISNUMBER(J185)),E185-J185,"n/m")</x:f>
        <x:v>1.8872168650584111</x:v>
      </x:c>
      <x:c r="M185" s="153" t="n">
        <x:f>IF(COUNT(F185:I185)=0,"n/m",AVERAGE(F185:I185))</x:f>
        <x:v>15.05352827107911</x:v>
      </x:c>
      <x:c r="N185" s="153" t="n">
        <x:f>IF(COUNT(E185:I185)=0,"n/m",MEDIAN(E185:I185))</x:f>
        <x:v>8.493747127465003</x:v>
      </x:c>
      <x:c r="O185" s="11" t="str">
        <x:v>Context</x:v>
      </x:c>
      <x:c r="P185" s="9" t="str">
        <x:f>IF(NOT(ISNUMBER(L185)),"n/m",IF(O185="Higher",IF(L185&gt;=0,"Above avg - favourable","Below avg - unfavourable"),IF(O185="Lower",IF(L185&lt;=0,"Below avg - favourable","Above avg - unfavourable"),IF(L185&gt;=0,"Above avg - context-dependent","Below avg - context-dependent"))))&amp;IF(K185&lt;5," (N="&amp;K185&amp;")","")</x:f>
        <x:v>Above avg - context-dependent</x:v>
      </x:c>
      <x:c r="Q185"/>
      <x:c r="R185" s="59" t="str">
        <x:f>IF(K185=0,"n/m",IF(ABS(J185-SUM(E185:I185)/K185)&lt;0.000000001,"OK","ERR"))</x:f>
        <x:v>OK</x:v>
      </x:c>
    </x:row>
    <x:row r="186" ht="15" hidden="0">
      <x:c r="A186"/>
      <x:c r="B186"/>
      <x:c r="C186" s="56" t="str">
        <x:v>Earnings per share (Rs)</x:v>
      </x:c>
      <x:c r="D186" s="11" t="str">
        <x:v>FY2022</x:v>
      </x:c>
      <x:c r="E186" s="151" t="n">
        <x:f>KOHC!E171</x:f>
        <x:v>25.013680261160516</x:v>
      </x:c>
      <x:c r="F186" s="151" t="n">
        <x:f>LUCK!E171</x:f>
        <x:v>47.30921685349824</x:v>
      </x:c>
      <x:c r="G186" s="151" t="n">
        <x:f>DGKC!E171</x:f>
        <x:v>6.783844570781772</x:v>
      </x:c>
      <x:c r="H186" s="151" t="n">
        <x:f>MLCF!E171</x:f>
        <x:v>3.3041099784606085</x:v>
      </x:c>
      <x:c r="I186" s="151" t="n">
        <x:f>FCCL!E171</x:f>
        <x:v>3.2621706372812294</x:v>
      </x:c>
      <x:c r="J186" s="152" t="n">
        <x:f>IF(COUNT(E186:I186)=0,"n/m",AVERAGE(E186:I186))</x:f>
        <x:v>17.13460446023647</x:v>
      </x:c>
      <x:c r="K186" s="11" t="n">
        <x:f>COUNT(E186:I186)</x:f>
        <x:v>5</x:v>
      </x:c>
      <x:c r="L186" s="153" t="n">
        <x:f>IF(AND(ISNUMBER(E186),ISNUMBER(J186)),E186-J186,"n/m")</x:f>
        <x:v>7.879075800924046</x:v>
      </x:c>
      <x:c r="M186" s="153" t="n">
        <x:f>IF(COUNT(F186:I186)=0,"n/m",AVERAGE(F186:I186))</x:f>
        <x:v>15.164835510005464</x:v>
      </x:c>
      <x:c r="N186" s="153" t="n">
        <x:f>IF(COUNT(E186:I186)=0,"n/m",MEDIAN(E186:I186))</x:f>
        <x:v>6.783844570781772</x:v>
      </x:c>
      <x:c r="O186" s="11" t="str">
        <x:v>Context</x:v>
      </x:c>
      <x:c r="P186" s="9" t="str">
        <x:f>IF(NOT(ISNUMBER(L186)),"n/m",IF(O186="Higher",IF(L186&gt;=0,"Above avg - favourable","Below avg - unfavourable"),IF(O186="Lower",IF(L186&lt;=0,"Below avg - favourable","Above avg - unfavourable"),IF(L186&gt;=0,"Above avg - context-dependent","Below avg - context-dependent"))))&amp;IF(K186&lt;5," (N="&amp;K186&amp;")","")</x:f>
        <x:v>Above avg - context-dependent</x:v>
      </x:c>
      <x:c r="Q186"/>
      <x:c r="R186" s="59" t="str">
        <x:f>IF(K186=0,"n/m",IF(ABS(J186-SUM(E186:I186)/K186)&lt;0.000000001,"OK","ERR"))</x:f>
        <x:v>OK</x:v>
      </x:c>
    </x:row>
    <x:row r="187" ht="15" hidden="0">
      <x:c r="A187"/>
      <x:c r="B187"/>
      <x:c r="C187" s="56" t="str">
        <x:v>Earnings per share (Rs)</x:v>
      </x:c>
      <x:c r="D187" s="11" t="str">
        <x:v>FY2023</x:v>
      </x:c>
      <x:c r="E187" s="151" t="n">
        <x:f>KOHC!F171</x:f>
        <x:v>28.978958275869324</x:v>
      </x:c>
      <x:c r="F187" s="151" t="n">
        <x:f>LUCK!F171</x:f>
        <x:v>43.06151234984266</x:v>
      </x:c>
      <x:c r="G187" s="151" t="str">
        <x:f>DGKC!F171</x:f>
        <x:v>n/m</x:v>
      </x:c>
      <x:c r="H187" s="151" t="n">
        <x:f>MLCF!F171</x:f>
        <x:v>4.18450538240459</x:v>
      </x:c>
      <x:c r="I187" s="151" t="n">
        <x:f>FCCL!F171</x:f>
        <x:v>3.0330791851886794</x:v>
      </x:c>
      <x:c r="J187" s="152" t="n">
        <x:f>IF(COUNT(E187:I187)=0,"n/m",AVERAGE(E187:I187))</x:f>
        <x:v>19.814513798326313</x:v>
      </x:c>
      <x:c r="K187" s="11" t="n">
        <x:f>COUNT(E187:I187)</x:f>
        <x:v>4</x:v>
      </x:c>
      <x:c r="L187" s="153" t="n">
        <x:f>IF(AND(ISNUMBER(E187),ISNUMBER(J187)),E187-J187,"n/m")</x:f>
        <x:v>9.164444477543011</x:v>
      </x:c>
      <x:c r="M187" s="153" t="n">
        <x:f>IF(COUNT(F187:I187)=0,"n/m",AVERAGE(F187:I187))</x:f>
        <x:v>16.759698972478642</x:v>
      </x:c>
      <x:c r="N187" s="153" t="n">
        <x:f>IF(COUNT(E187:I187)=0,"n/m",MEDIAN(E187:I187))</x:f>
        <x:v>16.581731829136956</x:v>
      </x:c>
      <x:c r="O187" s="11" t="str">
        <x:v>Context</x:v>
      </x:c>
      <x:c r="P187" s="9" t="str">
        <x:f>IF(NOT(ISNUMBER(L187)),"n/m",IF(O187="Higher",IF(L187&gt;=0,"Above avg - favourable","Below avg - unfavourable"),IF(O187="Lower",IF(L187&lt;=0,"Below avg - favourable","Above avg - unfavourable"),IF(L187&gt;=0,"Above avg - context-dependent","Below avg - context-dependent"))))&amp;IF(K187&lt;5," (N="&amp;K187&amp;")","")</x:f>
        <x:v>Above avg - context-dependent (N=4)</x:v>
      </x:c>
      <x:c r="Q187"/>
      <x:c r="R187" s="59" t="str">
        <x:f>IF(K187=0,"n/m",IF(ABS(J187-SUM(E187:I187)/K187)&lt;0.000000001,"OK","ERR"))</x:f>
        <x:v>OK</x:v>
      </x:c>
    </x:row>
    <x:row r="188" ht="15" hidden="0">
      <x:c r="A188"/>
      <x:c r="B188"/>
      <x:c r="C188" s="56" t="str">
        <x:v>Earnings per share (Rs)</x:v>
      </x:c>
      <x:c r="D188" s="11" t="str">
        <x:v>FY2024</x:v>
      </x:c>
      <x:c r="E188" s="151" t="n">
        <x:f>KOHC!G171</x:f>
        <x:v>45.27427267861498</x:v>
      </x:c>
      <x:c r="F188" s="151" t="n">
        <x:f>LUCK!G171</x:f>
        <x:v>94.54058917711643</x:v>
      </x:c>
      <x:c r="G188" s="151" t="n">
        <x:f>DGKC!G171</x:f>
        <x:v>1.2380103440270365</x:v>
      </x:c>
      <x:c r="H188" s="151" t="n">
        <x:f>MLCF!G171</x:f>
        <x:v>4.979197496295721</x:v>
      </x:c>
      <x:c r="I188" s="151" t="n">
        <x:f>FCCL!G171</x:f>
        <x:v>3.3524781610919856</x:v>
      </x:c>
      <x:c r="J188" s="152" t="n">
        <x:f>IF(COUNT(E188:I188)=0,"n/m",AVERAGE(E188:I188))</x:f>
        <x:v>29.87690957142923</x:v>
      </x:c>
      <x:c r="K188" s="11" t="n">
        <x:f>COUNT(E188:I188)</x:f>
        <x:v>5</x:v>
      </x:c>
      <x:c r="L188" s="153" t="n">
        <x:f>IF(AND(ISNUMBER(E188),ISNUMBER(J188)),E188-J188,"n/m")</x:f>
        <x:v>15.397363107185747</x:v>
      </x:c>
      <x:c r="M188" s="153" t="n">
        <x:f>IF(COUNT(F188:I188)=0,"n/m",AVERAGE(F188:I188))</x:f>
        <x:v>26.027568794632792</x:v>
      </x:c>
      <x:c r="N188" s="153" t="n">
        <x:f>IF(COUNT(E188:I188)=0,"n/m",MEDIAN(E188:I188))</x:f>
        <x:v>4.979197496295721</x:v>
      </x:c>
      <x:c r="O188" s="11" t="str">
        <x:v>Context</x:v>
      </x:c>
      <x:c r="P188" s="9" t="str">
        <x:f>IF(NOT(ISNUMBER(L188)),"n/m",IF(O188="Higher",IF(L188&gt;=0,"Above avg - favourable","Below avg - unfavourable"),IF(O188="Lower",IF(L188&lt;=0,"Below avg - favourable","Above avg - unfavourable"),IF(L188&gt;=0,"Above avg - context-dependent","Below avg - context-dependent"))))&amp;IF(K188&lt;5," (N="&amp;K188&amp;")","")</x:f>
        <x:v>Above avg - context-dependent</x:v>
      </x:c>
      <x:c r="Q188"/>
      <x:c r="R188" s="59" t="str">
        <x:f>IF(K188=0,"n/m",IF(ABS(J188-SUM(E188:I188)/K188)&lt;0.000000001,"OK","ERR"))</x:f>
        <x:v>OK</x:v>
      </x:c>
    </x:row>
    <x:row r="189" ht="15" hidden="0">
      <x:c r="A189"/>
      <x:c r="B189"/>
      <x:c r="C189" s="56" t="str">
        <x:v>Earnings per share (Rs)</x:v>
      </x:c>
      <x:c r="D189" s="11" t="str">
        <x:v>FY2025</x:v>
      </x:c>
      <x:c r="E189" s="151" t="n">
        <x:f>KOHC!H171</x:f>
        <x:v>59.84205460086993</x:v>
      </x:c>
      <x:c r="F189" s="151" t="n">
        <x:f>LUCK!H171</x:f>
        <x:v>22.58850648464164</x:v>
      </x:c>
      <x:c r="G189" s="151" t="n">
        <x:f>DGKC!H171</x:f>
        <x:v>19.800685803443983</x:v>
      </x:c>
      <x:c r="H189" s="151" t="n">
        <x:f>MLCF!H171</x:f>
        <x:v>16.262863426829693</x:v>
      </x:c>
      <x:c r="I189" s="151" t="n">
        <x:f>FCCL!H171</x:f>
        <x:v>5.432952809531124</x:v>
      </x:c>
      <x:c r="J189" s="152" t="n">
        <x:f>IF(COUNT(E189:I189)=0,"n/m",AVERAGE(E189:I189))</x:f>
        <x:v>24.785412625063277</x:v>
      </x:c>
      <x:c r="K189" s="11" t="n">
        <x:f>COUNT(E189:I189)</x:f>
        <x:v>5</x:v>
      </x:c>
      <x:c r="L189" s="153" t="n">
        <x:f>IF(AND(ISNUMBER(E189),ISNUMBER(J189)),E189-J189,"n/m")</x:f>
        <x:v>35.056641975806656</x:v>
      </x:c>
      <x:c r="M189" s="153" t="n">
        <x:f>IF(COUNT(F189:I189)=0,"n/m",AVERAGE(F189:I189))</x:f>
        <x:v>16.021252131111613</x:v>
      </x:c>
      <x:c r="N189" s="153" t="n">
        <x:f>IF(COUNT(E189:I189)=0,"n/m",MEDIAN(E189:I189))</x:f>
        <x:v>19.800685803443983</x:v>
      </x:c>
      <x:c r="O189" s="11" t="str">
        <x:v>Context</x:v>
      </x:c>
      <x:c r="P189" s="9" t="str">
        <x:f>IF(NOT(ISNUMBER(L189)),"n/m",IF(O189="Higher",IF(L189&gt;=0,"Above avg - favourable","Below avg - unfavourable"),IF(O189="Lower",IF(L189&lt;=0,"Below avg - favourable","Above avg - unfavourable"),IF(L189&gt;=0,"Above avg - context-dependent","Below avg - context-dependent"))))&amp;IF(K189&lt;5," (N="&amp;K189&amp;")","")</x:f>
        <x:v>Above avg - context-dependent</x:v>
      </x:c>
      <x:c r="Q189"/>
      <x:c r="R189" s="59" t="str">
        <x:f>IF(K189=0,"n/m",IF(ABS(J189-SUM(E189:I189)/K189)&lt;0.000000001,"OK","ERR"))</x:f>
        <x:v>OK</x:v>
      </x:c>
    </x:row>
    <x:row r="190" ht="15" hidden="0">
      <x:c r="A190" s="54" t="str">
        <x:v>Market Value</x:v>
      </x:c>
      <x:c r="B190" s="25" t="n">
        <x:v>31</x:v>
      </x:c>
      <x:c r="C190" s="24" t="str">
        <x:v>31. Price-to-earnings ratio</x:v>
      </x:c>
      <x:c r="D190" s="25"/>
      <x:c r="E190" s="25"/>
      <x:c r="F190" s="25"/>
      <x:c r="G190" s="25"/>
      <x:c r="H190" s="25"/>
      <x:c r="I190" s="25"/>
      <x:c r="J190" s="25"/>
      <x:c r="K190" s="25"/>
      <x:c r="L190" s="25"/>
      <x:c r="M190" s="25"/>
      <x:c r="N190" s="25"/>
      <x:c r="O190" s="25"/>
      <x:c r="P190" s="25"/>
      <x:c r="Q190" s="55" t="s">
        <x:v>702</x:v>
      </x:c>
      <x:c r="R190" s="25"/>
    </x:row>
    <x:row r="191" ht="15" hidden="0">
      <x:c r="A191"/>
      <x:c r="B191"/>
      <x:c r="C191" s="56" t="str">
        <x:v>Price-to-earnings ratio</x:v>
      </x:c>
      <x:c r="D191" s="11" t="str">
        <x:v>FY2021</x:v>
      </x:c>
      <x:c r="E191" s="138" t="n">
        <x:f>KOHC!D172</x:f>
        <x:v>11.858688571154802</x:v>
      </x:c>
      <x:c r="F191" s="138" t="n">
        <x:f>LUCK!D172</x:f>
        <x:v>19.844432082610968</x:v>
      </x:c>
      <x:c r="G191" s="138" t="n">
        <x:f>DGKC!D172</x:f>
        <x:v>13.883154069739035</x:v>
      </x:c>
      <x:c r="H191" s="138" t="n">
        <x:f>MLCF!D172</x:f>
        <x:v>8.250622923265333</x:v>
      </x:c>
      <x:c r="I191" s="138" t="n">
        <x:f>FCCL!D172</x:f>
        <x:v>9.14218844478706</x:v>
      </x:c>
      <x:c r="J191" s="139" t="n">
        <x:f>IF(COUNT(E191:I191)=0,"n/m",AVERAGE(E191:I191))</x:f>
        <x:v>12.59581721831144</x:v>
      </x:c>
      <x:c r="K191" s="11" t="n">
        <x:f>COUNT(E191:I191)</x:f>
        <x:v>5</x:v>
      </x:c>
      <x:c r="L191" s="140" t="n">
        <x:f>IF(AND(ISNUMBER(E191),ISNUMBER(J191)),E191-J191,"n/m")</x:f>
        <x:v>-0.7371286471566378</x:v>
      </x:c>
      <x:c r="M191" s="140" t="n">
        <x:f>IF(COUNT(F191:I191)=0,"n/m",AVERAGE(F191:I191))</x:f>
        <x:v>12.780099380100598</x:v>
      </x:c>
      <x:c r="N191" s="140" t="n">
        <x:f>IF(COUNT(E191:I191)=0,"n/m",MEDIAN(E191:I191))</x:f>
        <x:v>11.858688571154802</x:v>
      </x:c>
      <x:c r="O191" s="11" t="str">
        <x:v>Context</x:v>
      </x:c>
      <x:c r="P191" s="9" t="str">
        <x:f>IF(NOT(ISNUMBER(L191)),"n/m",IF(O191="Higher",IF(L191&gt;=0,"Above avg - favourable","Below avg - unfavourable"),IF(O191="Lower",IF(L191&lt;=0,"Below avg - favourable","Above avg - unfavourable"),IF(L191&gt;=0,"Above avg - context-dependent","Below avg - context-dependent"))))&amp;IF(K191&lt;5," (N="&amp;K191&amp;")","")</x:f>
        <x:v>Below avg - context-dependent</x:v>
      </x:c>
      <x:c r="Q191"/>
      <x:c r="R191" s="59" t="str">
        <x:f>IF(K191=0,"n/m",IF(ABS(J191-SUM(E191:I191)/K191)&lt;0.000000001,"OK","ERR"))</x:f>
        <x:v>OK</x:v>
      </x:c>
    </x:row>
    <x:row r="192" ht="15" hidden="0">
      <x:c r="A192"/>
      <x:c r="B192"/>
      <x:c r="C192" s="56" t="str">
        <x:v>Price-to-earnings ratio</x:v>
      </x:c>
      <x:c r="D192" s="11" t="str">
        <x:v>FY2022</x:v>
      </x:c>
      <x:c r="E192" s="138" t="n">
        <x:f>KOHC!E172</x:f>
        <x:v>5.202353217973155</x:v>
      </x:c>
      <x:c r="F192" s="138" t="n">
        <x:f>LUCK!E172</x:f>
        <x:v>9.702971863210132</x:v>
      </x:c>
      <x:c r="G192" s="138" t="n">
        <x:f>DGKC!E172</x:f>
        <x:v>9.213064855464028</x:v>
      </x:c>
      <x:c r="H192" s="138" t="n">
        <x:f>MLCF!E172</x:f>
        <x:v>8.277569505341472</x:v>
      </x:c>
      <x:c r="I192" s="138" t="n">
        <x:f>FCCL!E172</x:f>
        <x:v>4.343733536823694</x:v>
      </x:c>
      <x:c r="J192" s="139" t="n">
        <x:f>IF(COUNT(E192:I192)=0,"n/m",AVERAGE(E192:I192))</x:f>
        <x:v>7.347938595762495</x:v>
      </x:c>
      <x:c r="K192" s="11" t="n">
        <x:f>COUNT(E192:I192)</x:f>
        <x:v>5</x:v>
      </x:c>
      <x:c r="L192" s="140" t="n">
        <x:f>IF(AND(ISNUMBER(E192),ISNUMBER(J192)),E192-J192,"n/m")</x:f>
        <x:v>-2.1455853777893408</x:v>
      </x:c>
      <x:c r="M192" s="140" t="n">
        <x:f>IF(COUNT(F192:I192)=0,"n/m",AVERAGE(F192:I192))</x:f>
        <x:v>7.884334940209832</x:v>
      </x:c>
      <x:c r="N192" s="140" t="n">
        <x:f>IF(COUNT(E192:I192)=0,"n/m",MEDIAN(E192:I192))</x:f>
        <x:v>8.277569505341472</x:v>
      </x:c>
      <x:c r="O192" s="11" t="str">
        <x:v>Context</x:v>
      </x:c>
      <x:c r="P192" s="9" t="str">
        <x:f>IF(NOT(ISNUMBER(L192)),"n/m",IF(O192="Higher",IF(L192&gt;=0,"Above avg - favourable","Below avg - unfavourable"),IF(O192="Lower",IF(L192&lt;=0,"Below avg - favourable","Above avg - unfavourable"),IF(L192&gt;=0,"Above avg - context-dependent","Below avg - context-dependent"))))&amp;IF(K192&lt;5," (N="&amp;K192&amp;")","")</x:f>
        <x:v>Below avg - context-dependent</x:v>
      </x:c>
      <x:c r="Q192"/>
      <x:c r="R192" s="59" t="str">
        <x:f>IF(K192=0,"n/m",IF(ABS(J192-SUM(E192:I192)/K192)&lt;0.000000001,"OK","ERR"))</x:f>
        <x:v>OK</x:v>
      </x:c>
    </x:row>
    <x:row r="193" ht="15" hidden="0">
      <x:c r="A193"/>
      <x:c r="B193"/>
      <x:c r="C193" s="56" t="str">
        <x:v>Price-to-earnings ratio</x:v>
      </x:c>
      <x:c r="D193" s="11" t="str">
        <x:v>FY2023</x:v>
      </x:c>
      <x:c r="E193" s="138" t="n">
        <x:f>KOHC!F172</x:f>
        <x:v>5.986067488990722</x:v>
      </x:c>
      <x:c r="F193" s="138" t="n">
        <x:f>LUCK!F172</x:f>
        <x:v>12.124283879265743</x:v>
      </x:c>
      <x:c r="G193" s="138" t="str">
        <x:f>DGKC!F172</x:f>
        <x:v>n/m</x:v>
      </x:c>
      <x:c r="H193" s="138" t="n">
        <x:f>MLCF!F172</x:f>
        <x:v>6.770214735324442</x:v>
      </x:c>
      <x:c r="I193" s="138" t="n">
        <x:f>FCCL!F172</x:f>
        <x:v>3.877247932539039</x:v>
      </x:c>
      <x:c r="J193" s="139" t="n">
        <x:f>IF(COUNT(E193:I193)=0,"n/m",AVERAGE(E193:I193))</x:f>
        <x:v>7.189453509029987</x:v>
      </x:c>
      <x:c r="K193" s="11" t="n">
        <x:f>COUNT(E193:I193)</x:f>
        <x:v>4</x:v>
      </x:c>
      <x:c r="L193" s="140" t="n">
        <x:f>IF(AND(ISNUMBER(E193),ISNUMBER(J193)),E193-J193,"n/m")</x:f>
        <x:v>-1.2033860200392654</x:v>
      </x:c>
      <x:c r="M193" s="140" t="n">
        <x:f>IF(COUNT(F193:I193)=0,"n/m",AVERAGE(F193:I193))</x:f>
        <x:v>7.590582182376408</x:v>
      </x:c>
      <x:c r="N193" s="140" t="n">
        <x:f>IF(COUNT(E193:I193)=0,"n/m",MEDIAN(E193:I193))</x:f>
        <x:v>6.378141112157582</x:v>
      </x:c>
      <x:c r="O193" s="11" t="str">
        <x:v>Context</x:v>
      </x:c>
      <x:c r="P193" s="9" t="str">
        <x:f>IF(NOT(ISNUMBER(L193)),"n/m",IF(O193="Higher",IF(L193&gt;=0,"Above avg - favourable","Below avg - unfavourable"),IF(O193="Lower",IF(L193&lt;=0,"Below avg - favourable","Above avg - unfavourable"),IF(L193&gt;=0,"Above avg - context-dependent","Below avg - context-dependent"))))&amp;IF(K193&lt;5," (N="&amp;K193&amp;")","")</x:f>
        <x:v>Below avg - context-dependent (N=4)</x:v>
      </x:c>
      <x:c r="Q193"/>
      <x:c r="R193" s="59" t="str">
        <x:f>IF(K193=0,"n/m",IF(ABS(J193-SUM(E193:I193)/K193)&lt;0.000000001,"OK","ERR"))</x:f>
        <x:v>OK</x:v>
      </x:c>
    </x:row>
    <x:row r="194" ht="15" hidden="0">
      <x:c r="A194"/>
      <x:c r="B194"/>
      <x:c r="C194" s="56" t="str">
        <x:v>Price-to-earnings ratio</x:v>
      </x:c>
      <x:c r="D194" s="11" t="str">
        <x:v>FY2024</x:v>
      </x:c>
      <x:c r="E194" s="138" t="n">
        <x:f>KOHC!G172</x:f>
        <x:v>5.531397528519306</x:v>
      </x:c>
      <x:c r="F194" s="138" t="n">
        <x:f>LUCK!G172</x:f>
        <x:v>9.590907015623658</x:v>
      </x:c>
      <x:c r="G194" s="138" t="n">
        <x:f>DGKC!G172</x:f>
        <x:v>72.91538429829842</x:v>
      </x:c>
      <x:c r="H194" s="138" t="n">
        <x:f>MLCF!G172</x:f>
        <x:v>7.631751909473391</x:v>
      </x:c>
      <x:c r="I194" s="138" t="n">
        <x:f>FCCL!G172</x:f>
        <x:v>6.833750705936781</x:v>
      </x:c>
      <x:c r="J194" s="139" t="n">
        <x:f>IF(COUNT(E194:I194)=0,"n/m",AVERAGE(E194:I194))</x:f>
        <x:v>20.50063829157031</x:v>
      </x:c>
      <x:c r="K194" s="11" t="n">
        <x:f>COUNT(E194:I194)</x:f>
        <x:v>5</x:v>
      </x:c>
      <x:c r="L194" s="140" t="n">
        <x:f>IF(AND(ISNUMBER(E194),ISNUMBER(J194)),E194-J194,"n/m")</x:f>
        <x:v>-14.969240763051005</x:v>
      </x:c>
      <x:c r="M194" s="140" t="n">
        <x:f>IF(COUNT(F194:I194)=0,"n/m",AVERAGE(F194:I194))</x:f>
        <x:v>24.242948482333063</x:v>
      </x:c>
      <x:c r="N194" s="140" t="n">
        <x:f>IF(COUNT(E194:I194)=0,"n/m",MEDIAN(E194:I194))</x:f>
        <x:v>7.631751909473391</x:v>
      </x:c>
      <x:c r="O194" s="11" t="str">
        <x:v>Context</x:v>
      </x:c>
      <x:c r="P194" s="9" t="str">
        <x:f>IF(NOT(ISNUMBER(L194)),"n/m",IF(O194="Higher",IF(L194&gt;=0,"Above avg - favourable","Below avg - unfavourable"),IF(O194="Lower",IF(L194&lt;=0,"Below avg - favourable","Above avg - unfavourable"),IF(L194&gt;=0,"Above avg - context-dependent","Below avg - context-dependent"))))&amp;IF(K194&lt;5," (N="&amp;K194&amp;")","")</x:f>
        <x:v>Below avg - context-dependent</x:v>
      </x:c>
      <x:c r="Q194"/>
      <x:c r="R194" s="59" t="str">
        <x:f>IF(K194=0,"n/m",IF(ABS(J194-SUM(E194:I194)/K194)&lt;0.000000001,"OK","ERR"))</x:f>
        <x:v>OK</x:v>
      </x:c>
    </x:row>
    <x:row r="195" ht="15" hidden="0">
      <x:c r="A195"/>
      <x:c r="B195"/>
      <x:c r="C195" s="56" t="str">
        <x:v>Price-to-earnings ratio</x:v>
      </x:c>
      <x:c r="D195" s="11" t="str">
        <x:v>FY2025</x:v>
      </x:c>
      <x:c r="E195" s="138" t="n">
        <x:f>KOHC!H172</x:f>
        <x:v>6.339354531361382</x:v>
      </x:c>
      <x:c r="F195" s="138" t="n">
        <x:f>LUCK!H172</x:f>
        <x:v>15.726582022655393</x:v>
      </x:c>
      <x:c r="G195" s="138" t="n">
        <x:f>DGKC!H172</x:f>
        <x:v>8.361326554214791</x:v>
      </x:c>
      <x:c r="H195" s="138" t="n">
        <x:f>MLCF!H172</x:f>
        <x:v>5.182359206248938</x:v>
      </x:c>
      <x:c r="I195" s="138" t="n">
        <x:f>FCCL!H172</x:f>
        <x:v>8.222048224242743</x:v>
      </x:c>
      <x:c r="J195" s="139" t="n">
        <x:f>IF(COUNT(E195:I195)=0,"n/m",AVERAGE(E195:I195))</x:f>
        <x:v>8.76633410774465</x:v>
      </x:c>
      <x:c r="K195" s="11" t="n">
        <x:f>COUNT(E195:I195)</x:f>
        <x:v>5</x:v>
      </x:c>
      <x:c r="L195" s="140" t="n">
        <x:f>IF(AND(ISNUMBER(E195),ISNUMBER(J195)),E195-J195,"n/m")</x:f>
        <x:v>-2.4269795763832676</x:v>
      </x:c>
      <x:c r="M195" s="140" t="n">
        <x:f>IF(COUNT(F195:I195)=0,"n/m",AVERAGE(F195:I195))</x:f>
        <x:v>9.373079001840466</x:v>
      </x:c>
      <x:c r="N195" s="140" t="n">
        <x:f>IF(COUNT(E195:I195)=0,"n/m",MEDIAN(E195:I195))</x:f>
        <x:v>8.222048224242743</x:v>
      </x:c>
      <x:c r="O195" s="11" t="str">
        <x:v>Context</x:v>
      </x:c>
      <x:c r="P195" s="9" t="str">
        <x:f>IF(NOT(ISNUMBER(L195)),"n/m",IF(O195="Higher",IF(L195&gt;=0,"Above avg - favourable","Below avg - unfavourable"),IF(O195="Lower",IF(L195&lt;=0,"Below avg - favourable","Above avg - unfavourable"),IF(L195&gt;=0,"Above avg - context-dependent","Below avg - context-dependent"))))&amp;IF(K195&lt;5," (N="&amp;K195&amp;")","")</x:f>
        <x:v>Below avg - context-dependent</x:v>
      </x:c>
      <x:c r="Q195"/>
      <x:c r="R195" s="59" t="str">
        <x:f>IF(K195=0,"n/m",IF(ABS(J195-SUM(E195:I195)/K195)&lt;0.000000001,"OK","ERR"))</x:f>
        <x:v>OK</x:v>
      </x:c>
    </x:row>
    <x:row r="196" ht="15" hidden="0">
      <x:c r="A196" s="54" t="str">
        <x:v>Market Value</x:v>
      </x:c>
      <x:c r="B196" s="25" t="n">
        <x:v>32</x:v>
      </x:c>
      <x:c r="C196" s="24" t="str">
        <x:v>32. Dividend yield</x:v>
      </x:c>
      <x:c r="D196" s="25"/>
      <x:c r="E196" s="25"/>
      <x:c r="F196" s="25"/>
      <x:c r="G196" s="25"/>
      <x:c r="H196" s="25"/>
      <x:c r="I196" s="25"/>
      <x:c r="J196" s="25"/>
      <x:c r="K196" s="25"/>
      <x:c r="L196" s="25"/>
      <x:c r="M196" s="25"/>
      <x:c r="N196" s="25"/>
      <x:c r="O196" s="25"/>
      <x:c r="P196" s="25"/>
      <x:c r="Q196" s="55" t="s">
        <x:v>703</x:v>
      </x:c>
      <x:c r="R196" s="25"/>
    </x:row>
    <x:row r="197" ht="15" hidden="0">
      <x:c r="A197"/>
      <x:c r="B197"/>
      <x:c r="C197" s="56" t="str">
        <x:v>Dividend yield</x:v>
      </x:c>
      <x:c r="D197" s="11" t="str">
        <x:v>FY2021</x:v>
      </x:c>
      <x:c r="E197" s="147" t="n">
        <x:f>KOHC!D173</x:f>
        <x:v>0</x:v>
      </x:c>
      <x:c r="F197" s="147" t="n">
        <x:f>LUCK!D173</x:f>
        <x:v>0</x:v>
      </x:c>
      <x:c r="G197" s="147" t="n">
        <x:f>DGKC!D173</x:f>
        <x:v>0.008480325644504749</x:v>
      </x:c>
      <x:c r="H197" s="147" t="n">
        <x:f>MLCF!D173</x:f>
        <x:v>0</x:v>
      </x:c>
      <x:c r="I197" s="147" t="n">
        <x:f>FCCL!D173</x:f>
        <x:v>0</x:v>
      </x:c>
      <x:c r="J197" s="148" t="n">
        <x:f>IF(COUNT(E197:I197)=0,"n/m",AVERAGE(E197:I197))</x:f>
        <x:v>0.0016960651289009497</x:v>
      </x:c>
      <x:c r="K197" s="11" t="n">
        <x:f>COUNT(E197:I197)</x:f>
        <x:v>5</x:v>
      </x:c>
      <x:c r="L197" s="149" t="n">
        <x:f>IF(AND(ISNUMBER(E197),ISNUMBER(J197)),E197-J197,"n/m")</x:f>
        <x:v>-0.0016960651289009497</x:v>
      </x:c>
      <x:c r="M197" s="149" t="n">
        <x:f>IF(COUNT(F197:I197)=0,"n/m",AVERAGE(F197:I197))</x:f>
        <x:v>0.002120081411126187</x:v>
      </x:c>
      <x:c r="N197" s="149" t="n">
        <x:f>IF(COUNT(E197:I197)=0,"n/m",MEDIAN(E197:I197))</x:f>
        <x:v>0</x:v>
      </x:c>
      <x:c r="O197" s="11" t="str">
        <x:v>Context</x:v>
      </x:c>
      <x:c r="P197" s="9" t="str">
        <x:f>IF(NOT(ISNUMBER(L197)),"n/m",IF(O197="Higher",IF(L197&gt;=0,"Above avg - favourable","Below avg - unfavourable"),IF(O197="Lower",IF(L197&lt;=0,"Below avg - favourable","Above avg - unfavourable"),IF(L197&gt;=0,"Above avg - context-dependent","Below avg - context-dependent"))))&amp;IF(K197&lt;5," (N="&amp;K197&amp;")","")</x:f>
        <x:v>Below avg - context-dependent</x:v>
      </x:c>
      <x:c r="Q197"/>
      <x:c r="R197" s="59" t="str">
        <x:f>IF(K197=0,"n/m",IF(ABS(J197-SUM(E197:I197)/K197)&lt;0.000000001,"OK","ERR"))</x:f>
        <x:v>OK</x:v>
      </x:c>
    </x:row>
    <x:row r="198" ht="15" hidden="0">
      <x:c r="A198"/>
      <x:c r="B198"/>
      <x:c r="C198" s="56" t="str">
        <x:v>Dividend yield</x:v>
      </x:c>
      <x:c r="D198" s="11" t="str">
        <x:v>FY2022</x:v>
      </x:c>
      <x:c r="E198" s="147" t="n">
        <x:f>KOHC!E173</x:f>
        <x:v>0</x:v>
      </x:c>
      <x:c r="F198" s="147" t="n">
        <x:f>LUCK!E173</x:f>
        <x:v>0</x:v>
      </x:c>
      <x:c r="G198" s="147" t="n">
        <x:f>DGKC!E173</x:f>
        <x:v>0.016</x:v>
      </x:c>
      <x:c r="H198" s="147" t="n">
        <x:f>MLCF!E173</x:f>
        <x:v>0</x:v>
      </x:c>
      <x:c r="I198" s="147" t="n">
        <x:f>FCCL!E173</x:f>
        <x:v>0</x:v>
      </x:c>
      <x:c r="J198" s="148" t="n">
        <x:f>IF(COUNT(E198:I198)=0,"n/m",AVERAGE(E198:I198))</x:f>
        <x:v>0.0032</x:v>
      </x:c>
      <x:c r="K198" s="11" t="n">
        <x:f>COUNT(E198:I198)</x:f>
        <x:v>5</x:v>
      </x:c>
      <x:c r="L198" s="149" t="n">
        <x:f>IF(AND(ISNUMBER(E198),ISNUMBER(J198)),E198-J198,"n/m")</x:f>
        <x:v>-0.0032</x:v>
      </x:c>
      <x:c r="M198" s="149" t="n">
        <x:f>IF(COUNT(F198:I198)=0,"n/m",AVERAGE(F198:I198))</x:f>
        <x:v>0.004</x:v>
      </x:c>
      <x:c r="N198" s="149" t="n">
        <x:f>IF(COUNT(E198:I198)=0,"n/m",MEDIAN(E198:I198))</x:f>
        <x:v>0</x:v>
      </x:c>
      <x:c r="O198" s="11" t="str">
        <x:v>Context</x:v>
      </x:c>
      <x:c r="P198" s="9" t="str">
        <x:f>IF(NOT(ISNUMBER(L198)),"n/m",IF(O198="Higher",IF(L198&gt;=0,"Above avg - favourable","Below avg - unfavourable"),IF(O198="Lower",IF(L198&lt;=0,"Below avg - favourable","Above avg - unfavourable"),IF(L198&gt;=0,"Above avg - context-dependent","Below avg - context-dependent"))))&amp;IF(K198&lt;5," (N="&amp;K198&amp;")","")</x:f>
        <x:v>Below avg - context-dependent</x:v>
      </x:c>
      <x:c r="Q198"/>
      <x:c r="R198" s="59" t="str">
        <x:f>IF(K198=0,"n/m",IF(ABS(J198-SUM(E198:I198)/K198)&lt;0.000000001,"OK","ERR"))</x:f>
        <x:v>OK</x:v>
      </x:c>
    </x:row>
    <x:row r="199" ht="15" hidden="0">
      <x:c r="A199"/>
      <x:c r="B199"/>
      <x:c r="C199" s="56" t="str">
        <x:v>Dividend yield</x:v>
      </x:c>
      <x:c r="D199" s="11" t="str">
        <x:v>FY2023</x:v>
      </x:c>
      <x:c r="E199" s="147" t="n">
        <x:f>KOHC!F173</x:f>
        <x:v>0</x:v>
      </x:c>
      <x:c r="F199" s="147" t="n">
        <x:f>LUCK!F173</x:f>
        <x:v>0.034476814342354764</x:v>
      </x:c>
      <x:c r="G199" s="147" t="n">
        <x:f>DGKC!F173</x:f>
        <x:v>0</x:v>
      </x:c>
      <x:c r="H199" s="147" t="n">
        <x:f>MLCF!F173</x:f>
        <x:v>0</x:v>
      </x:c>
      <x:c r="I199" s="147" t="n">
        <x:f>FCCL!F173</x:f>
        <x:v>0</x:v>
      </x:c>
      <x:c r="J199" s="148" t="n">
        <x:f>IF(COUNT(E199:I199)=0,"n/m",AVERAGE(E199:I199))</x:f>
        <x:v>0.006895362868470953</x:v>
      </x:c>
      <x:c r="K199" s="11" t="n">
        <x:f>COUNT(E199:I199)</x:f>
        <x:v>5</x:v>
      </x:c>
      <x:c r="L199" s="149" t="n">
        <x:f>IF(AND(ISNUMBER(E199),ISNUMBER(J199)),E199-J199,"n/m")</x:f>
        <x:v>-0.006895362868470953</x:v>
      </x:c>
      <x:c r="M199" s="149" t="n">
        <x:f>IF(COUNT(F199:I199)=0,"n/m",AVERAGE(F199:I199))</x:f>
        <x:v>0.008619203585588691</x:v>
      </x:c>
      <x:c r="N199" s="149" t="n">
        <x:f>IF(COUNT(E199:I199)=0,"n/m",MEDIAN(E199:I199))</x:f>
        <x:v>0</x:v>
      </x:c>
      <x:c r="O199" s="11" t="str">
        <x:v>Context</x:v>
      </x:c>
      <x:c r="P199" s="9" t="str">
        <x:f>IF(NOT(ISNUMBER(L199)),"n/m",IF(O199="Higher",IF(L199&gt;=0,"Above avg - favourable","Below avg - unfavourable"),IF(O199="Lower",IF(L199&lt;=0,"Below avg - favourable","Above avg - unfavourable"),IF(L199&gt;=0,"Above avg - context-dependent","Below avg - context-dependent"))))&amp;IF(K199&lt;5," (N="&amp;K199&amp;")","")</x:f>
        <x:v>Below avg - context-dependent</x:v>
      </x:c>
      <x:c r="Q199"/>
      <x:c r="R199" s="59" t="str">
        <x:f>IF(K199=0,"n/m",IF(ABS(J199-SUM(E199:I199)/K199)&lt;0.000000001,"OK","ERR"))</x:f>
        <x:v>OK</x:v>
      </x:c>
    </x:row>
    <x:row r="200" ht="15" hidden="0">
      <x:c r="A200"/>
      <x:c r="B200"/>
      <x:c r="C200" s="56" t="str">
        <x:v>Dividend yield</x:v>
      </x:c>
      <x:c r="D200" s="11" t="str">
        <x:v>FY2024</x:v>
      </x:c>
      <x:c r="E200" s="147" t="n">
        <x:f>KOHC!G173</x:f>
        <x:v>0</x:v>
      </x:c>
      <x:c r="F200" s="147" t="n">
        <x:f>LUCK!G173</x:f>
        <x:v>0.016542962072502287</x:v>
      </x:c>
      <x:c r="G200" s="147" t="n">
        <x:f>DGKC!G173</x:f>
        <x:v>0</x:v>
      </x:c>
      <x:c r="H200" s="147" t="n">
        <x:f>MLCF!G173</x:f>
        <x:v>0</x:v>
      </x:c>
      <x:c r="I200" s="147" t="n">
        <x:f>FCCL!G173</x:f>
        <x:v>0.04364906154517678</x:v>
      </x:c>
      <x:c r="J200" s="148" t="n">
        <x:f>IF(COUNT(E200:I200)=0,"n/m",AVERAGE(E200:I200))</x:f>
        <x:v>0.012038404723535814</x:v>
      </x:c>
      <x:c r="K200" s="11" t="n">
        <x:f>COUNT(E200:I200)</x:f>
        <x:v>5</x:v>
      </x:c>
      <x:c r="L200" s="149" t="n">
        <x:f>IF(AND(ISNUMBER(E200),ISNUMBER(J200)),E200-J200,"n/m")</x:f>
        <x:v>-0.012038404723535814</x:v>
      </x:c>
      <x:c r="M200" s="149" t="n">
        <x:f>IF(COUNT(F200:I200)=0,"n/m",AVERAGE(F200:I200))</x:f>
        <x:v>0.015048005904419768</x:v>
      </x:c>
      <x:c r="N200" s="149" t="n">
        <x:f>IF(COUNT(E200:I200)=0,"n/m",MEDIAN(E200:I200))</x:f>
        <x:v>0</x:v>
      </x:c>
      <x:c r="O200" s="11" t="str">
        <x:v>Context</x:v>
      </x:c>
      <x:c r="P200" s="9" t="str">
        <x:f>IF(NOT(ISNUMBER(L200)),"n/m",IF(O200="Higher",IF(L200&gt;=0,"Above avg - favourable","Below avg - unfavourable"),IF(O200="Lower",IF(L200&lt;=0,"Below avg - favourable","Above avg - unfavourable"),IF(L200&gt;=0,"Above avg - context-dependent","Below avg - context-dependent"))))&amp;IF(K200&lt;5," (N="&amp;K200&amp;")","")</x:f>
        <x:v>Below avg - context-dependent</x:v>
      </x:c>
      <x:c r="Q200"/>
      <x:c r="R200" s="59" t="str">
        <x:f>IF(K200=0,"n/m",IF(ABS(J200-SUM(E200:I200)/K200)&lt;0.000000001,"OK","ERR"))</x:f>
        <x:v>OK</x:v>
      </x:c>
    </x:row>
    <x:row r="201" ht="15" hidden="0">
      <x:c r="A201"/>
      <x:c r="B201"/>
      <x:c r="C201" s="56" t="str">
        <x:v>Dividend yield</x:v>
      </x:c>
      <x:c r="D201" s="11" t="str">
        <x:v>FY2025</x:v>
      </x:c>
      <x:c r="E201" s="147" t="n">
        <x:f>KOHC!H173</x:f>
        <x:v>0</x:v>
      </x:c>
      <x:c r="F201" s="147" t="n">
        <x:f>LUCK!H173</x:f>
        <x:v>0.011259993244004052</x:v>
      </x:c>
      <x:c r="G201" s="147" t="n">
        <x:f>DGKC!H173</x:f>
        <x:v>0.012080212611741966</x:v>
      </x:c>
      <x:c r="H201" s="147" t="n">
        <x:f>MLCF!H173</x:f>
        <x:v>0</x:v>
      </x:c>
      <x:c r="I201" s="147" t="n">
        <x:f>FCCL!H173</x:f>
        <x:v>0.027982986344302664</x:v>
      </x:c>
      <x:c r="J201" s="148" t="n">
        <x:f>IF(COUNT(E201:I201)=0,"n/m",AVERAGE(E201:I201))</x:f>
        <x:v>0.010264638440009737</x:v>
      </x:c>
      <x:c r="K201" s="11" t="n">
        <x:f>COUNT(E201:I201)</x:f>
        <x:v>5</x:v>
      </x:c>
      <x:c r="L201" s="149" t="n">
        <x:f>IF(AND(ISNUMBER(E201),ISNUMBER(J201)),E201-J201,"n/m")</x:f>
        <x:v>-0.010264638440009737</x:v>
      </x:c>
      <x:c r="M201" s="149" t="n">
        <x:f>IF(COUNT(F201:I201)=0,"n/m",AVERAGE(F201:I201))</x:f>
        <x:v>0.01283079805001217</x:v>
      </x:c>
      <x:c r="N201" s="149" t="n">
        <x:f>IF(COUNT(E201:I201)=0,"n/m",MEDIAN(E201:I201))</x:f>
        <x:v>0.011259993244004052</x:v>
      </x:c>
      <x:c r="O201" s="11" t="str">
        <x:v>Context</x:v>
      </x:c>
      <x:c r="P201" s="9" t="str">
        <x:f>IF(NOT(ISNUMBER(L201)),"n/m",IF(O201="Higher",IF(L201&gt;=0,"Above avg - favourable","Below avg - unfavourable"),IF(O201="Lower",IF(L201&lt;=0,"Below avg - favourable","Above avg - unfavourable"),IF(L201&gt;=0,"Above avg - context-dependent","Below avg - context-dependent"))))&amp;IF(K201&lt;5," (N="&amp;K201&amp;")","")</x:f>
        <x:v>Below avg - context-dependent</x:v>
      </x:c>
      <x:c r="Q201"/>
      <x:c r="R201" s="59" t="str">
        <x:f>IF(K201=0,"n/m",IF(ABS(J201-SUM(E201:I201)/K201)&lt;0.000000001,"OK","ERR"))</x:f>
        <x:v>OK</x:v>
      </x:c>
    </x:row>
    <x:row r="202" ht="15" hidden="0">
      <x:c r="A202" s="54" t="str">
        <x:v>Market Value</x:v>
      </x:c>
      <x:c r="B202" s="25" t="n">
        <x:v>33</x:v>
      </x:c>
      <x:c r="C202" s="24" t="str">
        <x:v>33. Dividend payout ratio</x:v>
      </x:c>
      <x:c r="D202" s="25"/>
      <x:c r="E202" s="25"/>
      <x:c r="F202" s="25"/>
      <x:c r="G202" s="25"/>
      <x:c r="H202" s="25"/>
      <x:c r="I202" s="25"/>
      <x:c r="J202" s="25"/>
      <x:c r="K202" s="25"/>
      <x:c r="L202" s="25"/>
      <x:c r="M202" s="25"/>
      <x:c r="N202" s="25"/>
      <x:c r="O202" s="25"/>
      <x:c r="P202" s="25"/>
      <x:c r="Q202" s="55" t="s">
        <x:v>704</x:v>
      </x:c>
      <x:c r="R202" s="25"/>
    </x:row>
    <x:row r="203" ht="15" hidden="0">
      <x:c r="A203"/>
      <x:c r="B203"/>
      <x:c r="C203" s="56" t="str">
        <x:v>Dividend payout ratio</x:v>
      </x:c>
      <x:c r="D203" s="11" t="str">
        <x:v>FY2021</x:v>
      </x:c>
      <x:c r="E203" s="147" t="n">
        <x:f>KOHC!D174</x:f>
        <x:v>0</x:v>
      </x:c>
      <x:c r="F203" s="147" t="n">
        <x:f>LUCK!D174</x:f>
        <x:v>0</x:v>
      </x:c>
      <x:c r="G203" s="147" t="n">
        <x:f>DGKC!D174</x:f>
        <x:v>0.11773366748421842</x:v>
      </x:c>
      <x:c r="H203" s="147" t="n">
        <x:f>MLCF!D174</x:f>
        <x:v>0</x:v>
      </x:c>
      <x:c r="I203" s="147" t="n">
        <x:f>FCCL!D174</x:f>
        <x:v>0</x:v>
      </x:c>
      <x:c r="J203" s="148" t="n">
        <x:f>IF(COUNT(E203:I203)=0,"n/m",AVERAGE(E203:I203))</x:f>
        <x:v>0.023546733496843684</x:v>
      </x:c>
      <x:c r="K203" s="11" t="n">
        <x:f>COUNT(E203:I203)</x:f>
        <x:v>5</x:v>
      </x:c>
      <x:c r="L203" s="149" t="n">
        <x:f>IF(AND(ISNUMBER(E203),ISNUMBER(J203)),E203-J203,"n/m")</x:f>
        <x:v>-0.023546733496843684</x:v>
      </x:c>
      <x:c r="M203" s="149" t="n">
        <x:f>IF(COUNT(F203:I203)=0,"n/m",AVERAGE(F203:I203))</x:f>
        <x:v>0.029433416871054604</x:v>
      </x:c>
      <x:c r="N203" s="149" t="n">
        <x:f>IF(COUNT(E203:I203)=0,"n/m",MEDIAN(E203:I203))</x:f>
        <x:v>0</x:v>
      </x:c>
      <x:c r="O203" s="11" t="str">
        <x:v>Context</x:v>
      </x:c>
      <x:c r="P203" s="9" t="str">
        <x:f>IF(NOT(ISNUMBER(L203)),"n/m",IF(O203="Higher",IF(L203&gt;=0,"Above avg - favourable","Below avg - unfavourable"),IF(O203="Lower",IF(L203&lt;=0,"Below avg - favourable","Above avg - unfavourable"),IF(L203&gt;=0,"Above avg - context-dependent","Below avg - context-dependent"))))&amp;IF(K203&lt;5," (N="&amp;K203&amp;")","")</x:f>
        <x:v>Below avg - context-dependent</x:v>
      </x:c>
      <x:c r="Q203"/>
      <x:c r="R203" s="59" t="str">
        <x:f>IF(K203=0,"n/m",IF(ABS(J203-SUM(E203:I203)/K203)&lt;0.000000001,"OK","ERR"))</x:f>
        <x:v>OK</x:v>
      </x:c>
    </x:row>
    <x:row r="204" ht="15" hidden="0">
      <x:c r="A204"/>
      <x:c r="B204"/>
      <x:c r="C204" s="56" t="str">
        <x:v>Dividend payout ratio</x:v>
      </x:c>
      <x:c r="D204" s="11" t="str">
        <x:v>FY2022</x:v>
      </x:c>
      <x:c r="E204" s="147" t="n">
        <x:f>KOHC!E174</x:f>
        <x:v>0</x:v>
      </x:c>
      <x:c r="F204" s="147" t="n">
        <x:f>LUCK!E174</x:f>
        <x:v>0</x:v>
      </x:c>
      <x:c r="G204" s="147" t="n">
        <x:f>DGKC!E174</x:f>
        <x:v>0.14740903768742444</x:v>
      </x:c>
      <x:c r="H204" s="147" t="n">
        <x:f>MLCF!E174</x:f>
        <x:v>0</x:v>
      </x:c>
      <x:c r="I204" s="147" t="n">
        <x:f>FCCL!E174</x:f>
        <x:v>0</x:v>
      </x:c>
      <x:c r="J204" s="148" t="n">
        <x:f>IF(COUNT(E204:I204)=0,"n/m",AVERAGE(E204:I204))</x:f>
        <x:v>0.02948180753748489</x:v>
      </x:c>
      <x:c r="K204" s="11" t="n">
        <x:f>COUNT(E204:I204)</x:f>
        <x:v>5</x:v>
      </x:c>
      <x:c r="L204" s="149" t="n">
        <x:f>IF(AND(ISNUMBER(E204),ISNUMBER(J204)),E204-J204,"n/m")</x:f>
        <x:v>-0.02948180753748489</x:v>
      </x:c>
      <x:c r="M204" s="149" t="n">
        <x:f>IF(COUNT(F204:I204)=0,"n/m",AVERAGE(F204:I204))</x:f>
        <x:v>0.03685225942185611</x:v>
      </x:c>
      <x:c r="N204" s="149" t="n">
        <x:f>IF(COUNT(E204:I204)=0,"n/m",MEDIAN(E204:I204))</x:f>
        <x:v>0</x:v>
      </x:c>
      <x:c r="O204" s="11" t="str">
        <x:v>Context</x:v>
      </x:c>
      <x:c r="P204" s="9" t="str">
        <x:f>IF(NOT(ISNUMBER(L204)),"n/m",IF(O204="Higher",IF(L204&gt;=0,"Above avg - favourable","Below avg - unfavourable"),IF(O204="Lower",IF(L204&lt;=0,"Below avg - favourable","Above avg - unfavourable"),IF(L204&gt;=0,"Above avg - context-dependent","Below avg - context-dependent"))))&amp;IF(K204&lt;5," (N="&amp;K204&amp;")","")</x:f>
        <x:v>Below avg - context-dependent</x:v>
      </x:c>
      <x:c r="Q204"/>
      <x:c r="R204" s="59" t="str">
        <x:f>IF(K204=0,"n/m",IF(ABS(J204-SUM(E204:I204)/K204)&lt;0.000000001,"OK","ERR"))</x:f>
        <x:v>OK</x:v>
      </x:c>
    </x:row>
    <x:row r="205" ht="15" hidden="0">
      <x:c r="A205"/>
      <x:c r="B205"/>
      <x:c r="C205" s="56" t="str">
        <x:v>Dividend payout ratio</x:v>
      </x:c>
      <x:c r="D205" s="11" t="str">
        <x:v>FY2023</x:v>
      </x:c>
      <x:c r="E205" s="147" t="n">
        <x:f>KOHC!F174</x:f>
        <x:v>0</x:v>
      </x:c>
      <x:c r="F205" s="147" t="n">
        <x:f>LUCK!F174</x:f>
        <x:v>0.4180066843394498</x:v>
      </x:c>
      <x:c r="G205" s="147" t="str">
        <x:f>DGKC!F174</x:f>
        <x:v>n/m</x:v>
      </x:c>
      <x:c r="H205" s="147" t="n">
        <x:f>MLCF!F174</x:f>
        <x:v>0</x:v>
      </x:c>
      <x:c r="I205" s="147" t="n">
        <x:f>FCCL!F174</x:f>
        <x:v>0</x:v>
      </x:c>
      <x:c r="J205" s="148" t="n">
        <x:f>IF(COUNT(E205:I205)=0,"n/m",AVERAGE(E205:I205))</x:f>
        <x:v>0.10450167108486245</x:v>
      </x:c>
      <x:c r="K205" s="11" t="n">
        <x:f>COUNT(E205:I205)</x:f>
        <x:v>4</x:v>
      </x:c>
      <x:c r="L205" s="149" t="n">
        <x:f>IF(AND(ISNUMBER(E205),ISNUMBER(J205)),E205-J205,"n/m")</x:f>
        <x:v>-0.10450167108486245</x:v>
      </x:c>
      <x:c r="M205" s="149" t="n">
        <x:f>IF(COUNT(F205:I205)=0,"n/m",AVERAGE(F205:I205))</x:f>
        <x:v>0.13933556144648326</x:v>
      </x:c>
      <x:c r="N205" s="149" t="n">
        <x:f>IF(COUNT(E205:I205)=0,"n/m",MEDIAN(E205:I205))</x:f>
        <x:v>0</x:v>
      </x:c>
      <x:c r="O205" s="11" t="str">
        <x:v>Context</x:v>
      </x:c>
      <x:c r="P205" s="9" t="str">
        <x:f>IF(NOT(ISNUMBER(L205)),"n/m",IF(O205="Higher",IF(L205&gt;=0,"Above avg - favourable","Below avg - unfavourable"),IF(O205="Lower",IF(L205&lt;=0,"Below avg - favourable","Above avg - unfavourable"),IF(L205&gt;=0,"Above avg - context-dependent","Below avg - context-dependent"))))&amp;IF(K205&lt;5," (N="&amp;K205&amp;")","")</x:f>
        <x:v>Below avg - context-dependent (N=4)</x:v>
      </x:c>
      <x:c r="Q205"/>
      <x:c r="R205" s="59" t="str">
        <x:f>IF(K205=0,"n/m",IF(ABS(J205-SUM(E205:I205)/K205)&lt;0.000000001,"OK","ERR"))</x:f>
        <x:v>OK</x:v>
      </x:c>
    </x:row>
    <x:row r="206" ht="15" hidden="0">
      <x:c r="A206"/>
      <x:c r="B206"/>
      <x:c r="C206" s="56" t="str">
        <x:v>Dividend payout ratio</x:v>
      </x:c>
      <x:c r="D206" s="11" t="str">
        <x:v>FY2024</x:v>
      </x:c>
      <x:c r="E206" s="147" t="n">
        <x:f>KOHC!G174</x:f>
        <x:v>0</x:v>
      </x:c>
      <x:c r="F206" s="147" t="n">
        <x:f>LUCK!G174</x:f>
        <x:v>0.1586620110003583</x:v>
      </x:c>
      <x:c r="G206" s="147" t="n">
        <x:f>DGKC!G174</x:f>
        <x:v>0</x:v>
      </x:c>
      <x:c r="H206" s="147" t="n">
        <x:f>MLCF!G174</x:f>
        <x:v>0</x:v>
      </x:c>
      <x:c r="I206" s="147" t="n">
        <x:f>FCCL!G174</x:f>
        <x:v>0.29828680514782985</x:v>
      </x:c>
      <x:c r="J206" s="148" t="n">
        <x:f>IF(COUNT(E206:I206)=0,"n/m",AVERAGE(E206:I206))</x:f>
        <x:v>0.09138976322963763</x:v>
      </x:c>
      <x:c r="K206" s="11" t="n">
        <x:f>COUNT(E206:I206)</x:f>
        <x:v>5</x:v>
      </x:c>
      <x:c r="L206" s="149" t="n">
        <x:f>IF(AND(ISNUMBER(E206),ISNUMBER(J206)),E206-J206,"n/m")</x:f>
        <x:v>-0.09138976322963763</x:v>
      </x:c>
      <x:c r="M206" s="149" t="n">
        <x:f>IF(COUNT(F206:I206)=0,"n/m",AVERAGE(F206:I206))</x:f>
        <x:v>0.11423720403704704</x:v>
      </x:c>
      <x:c r="N206" s="149" t="n">
        <x:f>IF(COUNT(E206:I206)=0,"n/m",MEDIAN(E206:I206))</x:f>
        <x:v>0</x:v>
      </x:c>
      <x:c r="O206" s="11" t="str">
        <x:v>Context</x:v>
      </x:c>
      <x:c r="P206" s="9" t="str">
        <x:f>IF(NOT(ISNUMBER(L206)),"n/m",IF(O206="Higher",IF(L206&gt;=0,"Above avg - favourable","Below avg - unfavourable"),IF(O206="Lower",IF(L206&lt;=0,"Below avg - favourable","Above avg - unfavourable"),IF(L206&gt;=0,"Above avg - context-dependent","Below avg - context-dependent"))))&amp;IF(K206&lt;5," (N="&amp;K206&amp;")","")</x:f>
        <x:v>Below avg - context-dependent</x:v>
      </x:c>
      <x:c r="Q206"/>
      <x:c r="R206" s="59" t="str">
        <x:f>IF(K206=0,"n/m",IF(ABS(J206-SUM(E206:I206)/K206)&lt;0.000000001,"OK","ERR"))</x:f>
        <x:v>OK</x:v>
      </x:c>
    </x:row>
    <x:row r="207" ht="15" hidden="0">
      <x:c r="A207"/>
      <x:c r="B207"/>
      <x:c r="C207" s="56" t="str">
        <x:v>Dividend payout ratio</x:v>
      </x:c>
      <x:c r="D207" s="11" t="str">
        <x:v>FY2025</x:v>
      </x:c>
      <x:c r="E207" s="147" t="n">
        <x:f>KOHC!H174</x:f>
        <x:v>0</x:v>
      </x:c>
      <x:c r="F207" s="147" t="n">
        <x:f>LUCK!H174</x:f>
        <x:v>0.17708120732637533</x:v>
      </x:c>
      <x:c r="G207" s="147" t="n">
        <x:f>DGKC!H174</x:f>
        <x:v>0.10100660249111851</x:v>
      </x:c>
      <x:c r="H207" s="147" t="n">
        <x:f>MLCF!H174</x:f>
        <x:v>0</x:v>
      </x:c>
      <x:c r="I207" s="147" t="n">
        <x:f>FCCL!H174</x:f>
        <x:v>0.23007746318118263</x:v>
      </x:c>
      <x:c r="J207" s="148" t="n">
        <x:f>IF(COUNT(E207:I207)=0,"n/m",AVERAGE(E207:I207))</x:f>
        <x:v>0.10163305459973529</x:v>
      </x:c>
      <x:c r="K207" s="11" t="n">
        <x:f>COUNT(E207:I207)</x:f>
        <x:v>5</x:v>
      </x:c>
      <x:c r="L207" s="149" t="n">
        <x:f>IF(AND(ISNUMBER(E207),ISNUMBER(J207)),E207-J207,"n/m")</x:f>
        <x:v>-0.10163305459973529</x:v>
      </x:c>
      <x:c r="M207" s="149" t="n">
        <x:f>IF(COUNT(F207:I207)=0,"n/m",AVERAGE(F207:I207))</x:f>
        <x:v>0.1270413182496691</x:v>
      </x:c>
      <x:c r="N207" s="149" t="n">
        <x:f>IF(COUNT(E207:I207)=0,"n/m",MEDIAN(E207:I207))</x:f>
        <x:v>0.10100660249111851</x:v>
      </x:c>
      <x:c r="O207" s="11" t="str">
        <x:v>Context</x:v>
      </x:c>
      <x:c r="P207" s="9" t="str">
        <x:f>IF(NOT(ISNUMBER(L207)),"n/m",IF(O207="Higher",IF(L207&gt;=0,"Above avg - favourable","Below avg - unfavourable"),IF(O207="Lower",IF(L207&lt;=0,"Below avg - favourable","Above avg - unfavourable"),IF(L207&gt;=0,"Above avg - context-dependent","Below avg - context-dependent"))))&amp;IF(K207&lt;5," (N="&amp;K207&amp;")","")</x:f>
        <x:v>Below avg - context-dependent</x:v>
      </x:c>
      <x:c r="Q207"/>
      <x:c r="R207" s="59" t="str">
        <x:f>IF(K207=0,"n/m",IF(ABS(J207-SUM(E207:I207)/K207)&lt;0.000000001,"OK","ERR"))</x:f>
        <x:v>OK</x:v>
      </x:c>
    </x:row>
    <x:row r="208" ht="15" hidden="0">
      <x:c r="A208"/>
      <x:c r="B208"/>
      <x:c r="C208"/>
      <x:c r="D208"/>
      <x:c r="E208"/>
      <x:c r="F208"/>
      <x:c r="G208"/>
      <x:c r="H208"/>
      <x:c r="I208"/>
      <x:c r="J208"/>
      <x:c r="K208"/>
      <x:c r="L208"/>
      <x:c r="M208"/>
      <x:c r="N208"/>
      <x:c r="O208"/>
      <x:c r="P208"/>
      <x:c r="Q208"/>
      <x:c r="R208"/>
    </x:row>
    <x:row r="209" ht="15" hidden="0">
      <x:c r="C209"/>
      <x:c r="D209"/>
      <x:c r="E209">
        <x:f aca="0"/>
      </x:c>
      <x:c r="F209">
        <x:f aca="0"/>
      </x:c>
      <x:c r="G209">
        <x:f aca="0"/>
      </x:c>
      <x:c r="H209">
        <x:f aca="0"/>
      </x:c>
      <x:c r="I209">
        <x:f aca="0"/>
      </x:c>
      <x:c r="J209">
        <x:f aca="0"/>
      </x:c>
      <x:c r="K209">
        <x:f aca="0"/>
      </x:c>
      <x:c r="L209">
        <x:f aca="0"/>
      </x:c>
      <x:c r="M209">
        <x:f aca="0"/>
      </x:c>
      <x:c r="N209">
        <x:f aca="0"/>
      </x:c>
      <x:c r="O209"/>
      <x:c r="P209">
        <x:f aca="0"/>
      </x:c>
      <x:c r="R209">
        <x:f aca="0"/>
      </x:c>
    </x:row>
    <x:row r="210" ht="15" hidden="0">
      <x:c r="C210"/>
      <x:c r="D210"/>
      <x:c r="E210">
        <x:f aca="0"/>
      </x:c>
      <x:c r="F210">
        <x:f aca="0"/>
      </x:c>
      <x:c r="G210">
        <x:f aca="0"/>
      </x:c>
      <x:c r="H210">
        <x:f aca="0"/>
      </x:c>
      <x:c r="I210">
        <x:f aca="0"/>
      </x:c>
      <x:c r="J210">
        <x:f aca="0"/>
      </x:c>
      <x:c r="K210">
        <x:f aca="0"/>
      </x:c>
      <x:c r="L210">
        <x:f aca="0"/>
      </x:c>
      <x:c r="M210">
        <x:f aca="0"/>
      </x:c>
      <x:c r="N210">
        <x:f aca="0"/>
      </x:c>
      <x:c r="O210"/>
      <x:c r="P210">
        <x:f aca="0"/>
      </x:c>
      <x:c r="R210">
        <x:f aca="0"/>
      </x:c>
    </x:row>
    <x:row r="211" ht="15" hidden="0">
      <x:c r="C211"/>
      <x:c r="D211"/>
      <x:c r="E211">
        <x:f aca="0"/>
      </x:c>
      <x:c r="F211">
        <x:f aca="0"/>
      </x:c>
      <x:c r="G211">
        <x:f aca="0"/>
      </x:c>
      <x:c r="H211">
        <x:f aca="0"/>
      </x:c>
      <x:c r="I211">
        <x:f aca="0"/>
      </x:c>
      <x:c r="J211">
        <x:f aca="0"/>
      </x:c>
      <x:c r="K211">
        <x:f aca="0"/>
      </x:c>
      <x:c r="L211">
        <x:f aca="0"/>
      </x:c>
      <x:c r="M211">
        <x:f aca="0"/>
      </x:c>
      <x:c r="N211">
        <x:f aca="0"/>
      </x:c>
      <x:c r="O211"/>
      <x:c r="P211">
        <x:f aca="0"/>
      </x:c>
      <x:c r="R211">
        <x:f aca="0"/>
      </x:c>
    </x:row>
    <x:row r="212" ht="15" hidden="0">
      <x:c r="C212"/>
      <x:c r="D212"/>
      <x:c r="E212">
        <x:f aca="0"/>
      </x:c>
      <x:c r="F212">
        <x:f aca="0"/>
      </x:c>
      <x:c r="G212">
        <x:f aca="0"/>
      </x:c>
      <x:c r="H212">
        <x:f aca="0"/>
      </x:c>
      <x:c r="I212">
        <x:f aca="0"/>
      </x:c>
      <x:c r="J212">
        <x:f aca="0"/>
      </x:c>
      <x:c r="K212">
        <x:f aca="0"/>
      </x:c>
      <x:c r="L212">
        <x:f aca="0"/>
      </x:c>
      <x:c r="M212">
        <x:f aca="0"/>
      </x:c>
      <x:c r="N212">
        <x:f aca="0"/>
      </x:c>
      <x:c r="O212"/>
      <x:c r="P212">
        <x:f aca="0"/>
      </x:c>
      <x:c r="R212">
        <x:f aca="0"/>
      </x:c>
    </x:row>
    <x:row r="213" ht="15" hidden="0">
      <x:c r="C213"/>
      <x:c r="D213"/>
      <x:c r="E213">
        <x:f aca="0"/>
      </x:c>
      <x:c r="F213">
        <x:f aca="0"/>
      </x:c>
      <x:c r="G213">
        <x:f aca="0"/>
      </x:c>
      <x:c r="H213">
        <x:f aca="0"/>
      </x:c>
      <x:c r="I213">
        <x:f aca="0"/>
      </x:c>
      <x:c r="J213">
        <x:f aca="0"/>
      </x:c>
      <x:c r="K213">
        <x:f aca="0"/>
      </x:c>
      <x:c r="L213">
        <x:f aca="0"/>
      </x:c>
      <x:c r="M213">
        <x:f aca="0"/>
      </x:c>
      <x:c r="N213">
        <x:f aca="0"/>
      </x:c>
      <x:c r="O213"/>
      <x:c r="P213">
        <x:f aca="0"/>
      </x:c>
      <x:c r="R213">
        <x:f aca="0"/>
      </x:c>
    </x:row>
    <x:row r="214" ht="15" hidden="0">
      <x:c r="A214"/>
      <x:c r="B214"/>
      <x:c r="C214"/>
      <x:c r="D214"/>
      <x:c r="E214"/>
      <x:c r="F214"/>
      <x:c r="G214"/>
      <x:c r="H214"/>
      <x:c r="I214"/>
      <x:c r="J214"/>
      <x:c r="K214"/>
      <x:c r="L214"/>
      <x:c r="M214"/>
      <x:c r="N214"/>
      <x:c r="O214"/>
      <x:c r="P214"/>
      <x:c r="Q214"/>
      <x:c r="R214"/>
    </x:row>
    <x:row r="215" ht="15" hidden="0">
      <x:c r="C215"/>
      <x:c r="D215"/>
      <x:c r="E215">
        <x:f aca="0"/>
      </x:c>
      <x:c r="F215">
        <x:f aca="0"/>
      </x:c>
      <x:c r="G215">
        <x:f aca="0"/>
      </x:c>
      <x:c r="H215">
        <x:f aca="0"/>
      </x:c>
      <x:c r="I215">
        <x:f aca="0"/>
      </x:c>
      <x:c r="J215">
        <x:f aca="0"/>
      </x:c>
      <x:c r="K215">
        <x:f aca="0"/>
      </x:c>
      <x:c r="L215">
        <x:f aca="0"/>
      </x:c>
      <x:c r="M215">
        <x:f aca="0"/>
      </x:c>
      <x:c r="N215">
        <x:f aca="0"/>
      </x:c>
      <x:c r="O215"/>
      <x:c r="P215">
        <x:f aca="0"/>
      </x:c>
      <x:c r="R215">
        <x:f aca="0"/>
      </x:c>
    </x:row>
    <x:row r="216" ht="15" hidden="0">
      <x:c r="C216"/>
      <x:c r="D216"/>
      <x:c r="E216">
        <x:f aca="0"/>
      </x:c>
      <x:c r="F216">
        <x:f aca="0"/>
      </x:c>
      <x:c r="G216">
        <x:f aca="0"/>
      </x:c>
      <x:c r="H216">
        <x:f aca="0"/>
      </x:c>
      <x:c r="I216">
        <x:f aca="0"/>
      </x:c>
      <x:c r="J216">
        <x:f aca="0"/>
      </x:c>
      <x:c r="K216">
        <x:f aca="0"/>
      </x:c>
      <x:c r="L216">
        <x:f aca="0"/>
      </x:c>
      <x:c r="M216">
        <x:f aca="0"/>
      </x:c>
      <x:c r="N216">
        <x:f aca="0"/>
      </x:c>
      <x:c r="O216"/>
      <x:c r="P216">
        <x:f aca="0"/>
      </x:c>
      <x:c r="R216">
        <x:f aca="0"/>
      </x:c>
    </x:row>
    <x:row r="217" ht="15" hidden="0">
      <x:c r="C217"/>
      <x:c r="D217"/>
      <x:c r="E217">
        <x:f aca="0"/>
      </x:c>
      <x:c r="F217">
        <x:f aca="0"/>
      </x:c>
      <x:c r="G217">
        <x:f aca="0"/>
      </x:c>
      <x:c r="H217">
        <x:f aca="0"/>
      </x:c>
      <x:c r="I217">
        <x:f aca="0"/>
      </x:c>
      <x:c r="J217">
        <x:f aca="0"/>
      </x:c>
      <x:c r="K217">
        <x:f aca="0"/>
      </x:c>
      <x:c r="L217">
        <x:f aca="0"/>
      </x:c>
      <x:c r="M217">
        <x:f aca="0"/>
      </x:c>
      <x:c r="N217">
        <x:f aca="0"/>
      </x:c>
      <x:c r="O217"/>
      <x:c r="P217">
        <x:f aca="0"/>
      </x:c>
      <x:c r="R217">
        <x:f aca="0"/>
      </x:c>
    </x:row>
    <x:row r="218" ht="15" hidden="0">
      <x:c r="C218"/>
      <x:c r="D218"/>
      <x:c r="E218">
        <x:f aca="0"/>
      </x:c>
      <x:c r="F218">
        <x:f aca="0"/>
      </x:c>
      <x:c r="G218">
        <x:f aca="0"/>
      </x:c>
      <x:c r="H218">
        <x:f aca="0"/>
      </x:c>
      <x:c r="I218">
        <x:f aca="0"/>
      </x:c>
      <x:c r="J218">
        <x:f aca="0"/>
      </x:c>
      <x:c r="K218">
        <x:f aca="0"/>
      </x:c>
      <x:c r="L218">
        <x:f aca="0"/>
      </x:c>
      <x:c r="M218">
        <x:f aca="0"/>
      </x:c>
      <x:c r="N218">
        <x:f aca="0"/>
      </x:c>
      <x:c r="O218"/>
      <x:c r="P218">
        <x:f aca="0"/>
      </x:c>
      <x:c r="R218">
        <x:f aca="0"/>
      </x:c>
    </x:row>
    <x:row r="219" ht="15" hidden="0">
      <x:c r="C219"/>
      <x:c r="D219"/>
      <x:c r="E219">
        <x:f aca="0"/>
      </x:c>
      <x:c r="F219">
        <x:f aca="0"/>
      </x:c>
      <x:c r="G219">
        <x:f aca="0"/>
      </x:c>
      <x:c r="H219">
        <x:f aca="0"/>
      </x:c>
      <x:c r="I219">
        <x:f aca="0"/>
      </x:c>
      <x:c r="J219">
        <x:f aca="0"/>
      </x:c>
      <x:c r="K219">
        <x:f aca="0"/>
      </x:c>
      <x:c r="L219">
        <x:f aca="0"/>
      </x:c>
      <x:c r="M219">
        <x:f aca="0"/>
      </x:c>
      <x:c r="N219">
        <x:f aca="0"/>
      </x:c>
      <x:c r="O219"/>
      <x:c r="P219">
        <x:f aca="0"/>
      </x:c>
      <x:c r="R219">
        <x:f aca="0"/>
      </x:c>
    </x:row>
    <x:row r="220" ht="15" hidden="0">
      <x:c r="A220"/>
      <x:c r="B220"/>
      <x:c r="C220"/>
      <x:c r="D220"/>
      <x:c r="E220"/>
      <x:c r="F220"/>
      <x:c r="G220"/>
      <x:c r="H220"/>
      <x:c r="I220"/>
      <x:c r="J220"/>
      <x:c r="K220"/>
      <x:c r="L220"/>
      <x:c r="M220"/>
      <x:c r="N220"/>
      <x:c r="O220"/>
      <x:c r="P220"/>
      <x:c r="Q220"/>
      <x:c r="R220"/>
    </x:row>
    <x:row r="221" ht="15" hidden="0">
      <x:c r="A221"/>
      <x:c r="B221"/>
      <x:c r="C221"/>
      <x:c r="D221"/>
      <x:c r="E221"/>
      <x:c r="F221"/>
      <x:c r="G221"/>
      <x:c r="H221"/>
      <x:c r="I221"/>
      <x:c r="J221"/>
      <x:c r="K221"/>
      <x:c r="L221"/>
      <x:c r="M221"/>
      <x:c r="N221"/>
      <x:c r="O221"/>
      <x:c r="P221"/>
      <x:c r="Q221"/>
      <x:c r="R221"/>
    </x:row>
    <x:row r="222" ht="15" hidden="0">
      <x:c r="C222"/>
      <x:c r="D222"/>
      <x:c r="E222">
        <x:f aca="0"/>
      </x:c>
      <x:c r="F222">
        <x:f aca="0"/>
      </x:c>
      <x:c r="G222">
        <x:f aca="0"/>
      </x:c>
      <x:c r="H222">
        <x:f aca="0"/>
      </x:c>
      <x:c r="I222">
        <x:f aca="0"/>
      </x:c>
      <x:c r="J222">
        <x:f aca="0"/>
      </x:c>
      <x:c r="K222">
        <x:f aca="0"/>
      </x:c>
      <x:c r="L222">
        <x:f aca="0"/>
      </x:c>
      <x:c r="M222">
        <x:f aca="0"/>
      </x:c>
      <x:c r="N222">
        <x:f aca="0"/>
      </x:c>
      <x:c r="O222"/>
      <x:c r="P222">
        <x:f aca="0"/>
      </x:c>
      <x:c r="R222">
        <x:f aca="0"/>
      </x:c>
    </x:row>
    <x:row r="223" ht="15" hidden="0">
      <x:c r="C223"/>
      <x:c r="D223"/>
      <x:c r="E223">
        <x:f aca="0"/>
      </x:c>
      <x:c r="F223">
        <x:f aca="0"/>
      </x:c>
      <x:c r="G223">
        <x:f aca="0"/>
      </x:c>
      <x:c r="H223">
        <x:f aca="0"/>
      </x:c>
      <x:c r="I223">
        <x:f aca="0"/>
      </x:c>
      <x:c r="J223">
        <x:f aca="0"/>
      </x:c>
      <x:c r="K223">
        <x:f aca="0"/>
      </x:c>
      <x:c r="L223">
        <x:f aca="0"/>
      </x:c>
      <x:c r="M223">
        <x:f aca="0"/>
      </x:c>
      <x:c r="N223">
        <x:f aca="0"/>
      </x:c>
      <x:c r="O223"/>
      <x:c r="P223">
        <x:f aca="0"/>
      </x:c>
      <x:c r="R223">
        <x:f aca="0"/>
      </x:c>
    </x:row>
    <x:row r="224" ht="15" hidden="0">
      <x:c r="C224"/>
      <x:c r="D224"/>
      <x:c r="E224">
        <x:f aca="0"/>
      </x:c>
      <x:c r="F224">
        <x:f aca="0"/>
      </x:c>
      <x:c r="G224">
        <x:f aca="0"/>
      </x:c>
      <x:c r="H224">
        <x:f aca="0"/>
      </x:c>
      <x:c r="I224">
        <x:f aca="0"/>
      </x:c>
      <x:c r="J224">
        <x:f aca="0"/>
      </x:c>
      <x:c r="K224">
        <x:f aca="0"/>
      </x:c>
      <x:c r="L224">
        <x:f aca="0"/>
      </x:c>
      <x:c r="M224">
        <x:f aca="0"/>
      </x:c>
      <x:c r="N224">
        <x:f aca="0"/>
      </x:c>
      <x:c r="O224"/>
      <x:c r="P224">
        <x:f aca="0"/>
      </x:c>
      <x:c r="R224">
        <x:f aca="0"/>
      </x:c>
    </x:row>
    <x:row r="225" ht="15" hidden="0">
      <x:c r="C225"/>
      <x:c r="D225"/>
      <x:c r="E225">
        <x:f aca="0"/>
      </x:c>
      <x:c r="F225">
        <x:f aca="0"/>
      </x:c>
      <x:c r="G225">
        <x:f aca="0"/>
      </x:c>
      <x:c r="H225">
        <x:f aca="0"/>
      </x:c>
      <x:c r="I225">
        <x:f aca="0"/>
      </x:c>
      <x:c r="J225">
        <x:f aca="0"/>
      </x:c>
      <x:c r="K225">
        <x:f aca="0"/>
      </x:c>
      <x:c r="L225">
        <x:f aca="0"/>
      </x:c>
      <x:c r="M225">
        <x:f aca="0"/>
      </x:c>
      <x:c r="N225">
        <x:f aca="0"/>
      </x:c>
      <x:c r="O225"/>
      <x:c r="P225">
        <x:f aca="0"/>
      </x:c>
      <x:c r="R225">
        <x:f aca="0"/>
      </x:c>
    </x:row>
    <x:row r="226" ht="15" hidden="0">
      <x:c r="C226"/>
      <x:c r="D226"/>
      <x:c r="E226">
        <x:f aca="0"/>
      </x:c>
      <x:c r="F226">
        <x:f aca="0"/>
      </x:c>
      <x:c r="G226">
        <x:f aca="0"/>
      </x:c>
      <x:c r="H226">
        <x:f aca="0"/>
      </x:c>
      <x:c r="I226">
        <x:f aca="0"/>
      </x:c>
      <x:c r="J226">
        <x:f aca="0"/>
      </x:c>
      <x:c r="K226">
        <x:f aca="0"/>
      </x:c>
      <x:c r="L226">
        <x:f aca="0"/>
      </x:c>
      <x:c r="M226">
        <x:f aca="0"/>
      </x:c>
      <x:c r="N226">
        <x:f aca="0"/>
      </x:c>
      <x:c r="O226"/>
      <x:c r="P226">
        <x:f aca="0"/>
      </x:c>
      <x:c r="R226">
        <x:f aca="0"/>
      </x:c>
    </x:row>
    <x:row r="227" ht="15" hidden="0">
      <x:c r="A227"/>
      <x:c r="B227"/>
      <x:c r="C227"/>
      <x:c r="D227"/>
      <x:c r="E227"/>
      <x:c r="F227"/>
      <x:c r="G227"/>
      <x:c r="H227"/>
      <x:c r="I227"/>
      <x:c r="J227"/>
      <x:c r="K227"/>
      <x:c r="L227"/>
      <x:c r="M227"/>
      <x:c r="N227"/>
      <x:c r="O227"/>
      <x:c r="P227"/>
      <x:c r="Q227"/>
      <x:c r="R227"/>
    </x:row>
    <x:row r="228" ht="15" hidden="0">
      <x:c r="A228" s="54" t="s">
        <x:v>705</x:v>
      </x:c>
      <x:c r="B228" s="25" t="s">
        <x:v>706</x:v>
      </x:c>
      <x:c r="C228" s="24" t="s">
        <x:v>707</x:v>
      </x:c>
      <x:c r="D228" s="25"/>
      <x:c r="E228" s="25"/>
      <x:c r="F228" s="25"/>
      <x:c r="G228" s="25"/>
      <x:c r="H228" s="25"/>
      <x:c r="I228" s="25"/>
      <x:c r="J228" s="25"/>
      <x:c r="K228" s="25"/>
      <x:c r="L228" s="25"/>
      <x:c r="M228" s="25"/>
      <x:c r="N228" s="25"/>
      <x:c r="O228" s="25"/>
      <x:c r="P228" s="25"/>
      <x:c r="Q228" s="55" t="s">
        <x:v>705</x:v>
      </x:c>
      <x:c r="R228" s="25"/>
    </x:row>
    <x:row r="229" ht="15" hidden="0">
      <x:c r="C229" s="56" t="s">
        <x:v>707</x:v>
      </x:c>
      <x:c r="D229" s="11" t="s">
        <x:v>101</x:v>
      </x:c>
      <x:c r="E229" s="65" t="n">
        <x:f aca="0">KOHC!D180</x:f>
        <x:v>0</x:v>
      </x:c>
      <x:c r="F229" s="65" t="n">
        <x:f aca="0">LUCK!D180</x:f>
        <x:v>0</x:v>
      </x:c>
      <x:c r="G229" s="65" t="n">
        <x:f aca="0">DGKC!D180</x:f>
        <x:v>0</x:v>
      </x:c>
      <x:c r="H229" s="65" t="n">
        <x:f aca="0">MLCF!D180</x:f>
        <x:v>0</x:v>
      </x:c>
      <x:c r="I229" s="65" t="n">
        <x:f aca="0">FCCL!D180</x:f>
        <x:v>0</x:v>
      </x:c>
      <x:c r="J229" s="66" t="n">
        <x:f aca="0">IF(COUNT(E229:I229)=0,"n/m",AVERAGE(E229:I229))</x:f>
        <x:v>0</x:v>
      </x:c>
      <x:c r="K229" s="11" t="n">
        <x:f aca="0">COUNT(E229:I229)</x:f>
        <x:v>5</x:v>
      </x:c>
      <x:c r="L229" s="42" t="n">
        <x:f aca="0">IF(AND(ISNUMBER(E229),ISNUMBER(J229)),E229-J229,"n/m")</x:f>
        <x:v>0</x:v>
      </x:c>
      <x:c r="M229" s="42" t="n">
        <x:f aca="0">IF(COUNT(F229:I229)=0,"n/m",AVERAGE(F229:I229))</x:f>
        <x:v>0</x:v>
      </x:c>
      <x:c r="N229" s="42" t="n">
        <x:f aca="0">IF(COUNT(E229:I229)=0,"n/m",MEDIAN(E229:I229))</x:f>
        <x:v>0</x:v>
      </x:c>
      <x:c r="O229" s="11" t="s">
        <x:v>708</x:v>
      </x:c>
      <x:c r="P229" s="9" t="str">
        <x:f aca="0">IF(NOT(ISNUMBER(L229)),"n/m",IF(O229="Higher",IF(L229&gt;=0,"Above avg - favourable","Below avg - unfavourable"),IF(O229="Lower",IF(L229&lt;=0,"Below avg - favourable","Above avg - unfavourable"),IF(L229&gt;=0,"Above avg - context-dependent","Below avg - context-dependent"))))&amp;IF(K229&lt;5," (N="&amp;K229&amp;")","")</x:f>
        <x:v>Above avg - favourable</x:v>
      </x:c>
      <x:c r="R229" s="59" t="str">
        <x:f aca="0">IF(K229=0,"n/m",IF(ABS(J229-SUM(E229:I229)/K229)&lt;0.000000001,"OK","ERR"))</x:f>
        <x:v>OK</x:v>
      </x:c>
    </x:row>
    <x:row r="230" ht="15" hidden="0">
      <x:c r="C230" s="56" t="s">
        <x:v>707</x:v>
      </x:c>
      <x:c r="D230" s="11" t="s">
        <x:v>102</x:v>
      </x:c>
      <x:c r="E230" s="65" t="n">
        <x:f aca="0">KOHC!E180</x:f>
        <x:v>0</x:v>
      </x:c>
      <x:c r="F230" s="65" t="n">
        <x:f aca="0">LUCK!E180</x:f>
        <x:v>0</x:v>
      </x:c>
      <x:c r="G230" s="65" t="n">
        <x:f aca="0">DGKC!E180</x:f>
        <x:v>0</x:v>
      </x:c>
      <x:c r="H230" s="65" t="n">
        <x:f aca="0">MLCF!E180</x:f>
        <x:v>0</x:v>
      </x:c>
      <x:c r="I230" s="65" t="n">
        <x:f aca="0">FCCL!E180</x:f>
        <x:v>0</x:v>
      </x:c>
      <x:c r="J230" s="66" t="n">
        <x:f aca="0">IF(COUNT(E230:I230)=0,"n/m",AVERAGE(E230:I230))</x:f>
        <x:v>0</x:v>
      </x:c>
      <x:c r="K230" s="11" t="n">
        <x:f aca="0">COUNT(E230:I230)</x:f>
        <x:v>5</x:v>
      </x:c>
      <x:c r="L230" s="42" t="n">
        <x:f aca="0">IF(AND(ISNUMBER(E230),ISNUMBER(J230)),E230-J230,"n/m")</x:f>
        <x:v>0</x:v>
      </x:c>
      <x:c r="M230" s="42" t="n">
        <x:f aca="0">IF(COUNT(F230:I230)=0,"n/m",AVERAGE(F230:I230))</x:f>
        <x:v>0</x:v>
      </x:c>
      <x:c r="N230" s="42" t="n">
        <x:f aca="0">IF(COUNT(E230:I230)=0,"n/m",MEDIAN(E230:I230))</x:f>
        <x:v>0</x:v>
      </x:c>
      <x:c r="O230" s="11" t="s">
        <x:v>708</x:v>
      </x:c>
      <x:c r="P230" s="9" t="str">
        <x:f aca="0">IF(NOT(ISNUMBER(L230)),"n/m",IF(O230="Higher",IF(L230&gt;=0,"Above avg - favourable","Below avg - unfavourable"),IF(O230="Lower",IF(L230&lt;=0,"Below avg - favourable","Above avg - unfavourable"),IF(L230&gt;=0,"Above avg - context-dependent","Below avg - context-dependent"))))&amp;IF(K230&lt;5," (N="&amp;K230&amp;")","")</x:f>
        <x:v>Above avg - favourable</x:v>
      </x:c>
      <x:c r="R230" s="59" t="str">
        <x:f aca="0">IF(K230=0,"n/m",IF(ABS(J230-SUM(E230:I230)/K230)&lt;0.000000001,"OK","ERR"))</x:f>
        <x:v>OK</x:v>
      </x:c>
    </x:row>
    <x:row r="231" ht="15" hidden="0">
      <x:c r="C231" s="56" t="s">
        <x:v>707</x:v>
      </x:c>
      <x:c r="D231" s="11" t="s">
        <x:v>103</x:v>
      </x:c>
      <x:c r="E231" s="65" t="n">
        <x:f aca="0">KOHC!F180</x:f>
        <x:v>0</x:v>
      </x:c>
      <x:c r="F231" s="65" t="n">
        <x:f aca="0">LUCK!F180</x:f>
        <x:v>0</x:v>
      </x:c>
      <x:c r="G231" s="65" t="n">
        <x:f aca="0">DGKC!F180</x:f>
        <x:v>0</x:v>
      </x:c>
      <x:c r="H231" s="65" t="n">
        <x:f aca="0">MLCF!F180</x:f>
        <x:v>0</x:v>
      </x:c>
      <x:c r="I231" s="65" t="n">
        <x:f aca="0">FCCL!F180</x:f>
        <x:v>0</x:v>
      </x:c>
      <x:c r="J231" s="66" t="n">
        <x:f aca="0">IF(COUNT(E231:I231)=0,"n/m",AVERAGE(E231:I231))</x:f>
        <x:v>0</x:v>
      </x:c>
      <x:c r="K231" s="11" t="n">
        <x:f aca="0">COUNT(E231:I231)</x:f>
        <x:v>5</x:v>
      </x:c>
      <x:c r="L231" s="42" t="n">
        <x:f aca="0">IF(AND(ISNUMBER(E231),ISNUMBER(J231)),E231-J231,"n/m")</x:f>
        <x:v>0</x:v>
      </x:c>
      <x:c r="M231" s="42" t="n">
        <x:f aca="0">IF(COUNT(F231:I231)=0,"n/m",AVERAGE(F231:I231))</x:f>
        <x:v>0</x:v>
      </x:c>
      <x:c r="N231" s="42" t="n">
        <x:f aca="0">IF(COUNT(E231:I231)=0,"n/m",MEDIAN(E231:I231))</x:f>
        <x:v>0</x:v>
      </x:c>
      <x:c r="O231" s="11" t="s">
        <x:v>708</x:v>
      </x:c>
      <x:c r="P231" s="9" t="str">
        <x:f aca="0">IF(NOT(ISNUMBER(L231)),"n/m",IF(O231="Higher",IF(L231&gt;=0,"Above avg - favourable","Below avg - unfavourable"),IF(O231="Lower",IF(L231&lt;=0,"Below avg - favourable","Above avg - unfavourable"),IF(L231&gt;=0,"Above avg - context-dependent","Below avg - context-dependent"))))&amp;IF(K231&lt;5," (N="&amp;K231&amp;")","")</x:f>
        <x:v>Above avg - favourable</x:v>
      </x:c>
      <x:c r="R231" s="59" t="str">
        <x:f aca="0">IF(K231=0,"n/m",IF(ABS(J231-SUM(E231:I231)/K231)&lt;0.000000001,"OK","ERR"))</x:f>
        <x:v>OK</x:v>
      </x:c>
    </x:row>
    <x:row r="232" ht="15" hidden="0">
      <x:c r="C232" s="56" t="s">
        <x:v>707</x:v>
      </x:c>
      <x:c r="D232" s="11" t="s">
        <x:v>104</x:v>
      </x:c>
      <x:c r="E232" s="65" t="n">
        <x:f aca="0">KOHC!G180</x:f>
        <x:v>0</x:v>
      </x:c>
      <x:c r="F232" s="65" t="n">
        <x:f aca="0">LUCK!G180</x:f>
        <x:v>0</x:v>
      </x:c>
      <x:c r="G232" s="65" t="n">
        <x:f aca="0">DGKC!G180</x:f>
        <x:v>0</x:v>
      </x:c>
      <x:c r="H232" s="65" t="n">
        <x:f aca="0">MLCF!G180</x:f>
        <x:v>0</x:v>
      </x:c>
      <x:c r="I232" s="65" t="n">
        <x:f aca="0">FCCL!G180</x:f>
        <x:v>0</x:v>
      </x:c>
      <x:c r="J232" s="66" t="n">
        <x:f aca="0">IF(COUNT(E232:I232)=0,"n/m",AVERAGE(E232:I232))</x:f>
        <x:v>0</x:v>
      </x:c>
      <x:c r="K232" s="11" t="n">
        <x:f aca="0">COUNT(E232:I232)</x:f>
        <x:v>5</x:v>
      </x:c>
      <x:c r="L232" s="42" t="n">
        <x:f aca="0">IF(AND(ISNUMBER(E232),ISNUMBER(J232)),E232-J232,"n/m")</x:f>
        <x:v>0</x:v>
      </x:c>
      <x:c r="M232" s="42" t="n">
        <x:f aca="0">IF(COUNT(F232:I232)=0,"n/m",AVERAGE(F232:I232))</x:f>
        <x:v>0</x:v>
      </x:c>
      <x:c r="N232" s="42" t="n">
        <x:f aca="0">IF(COUNT(E232:I232)=0,"n/m",MEDIAN(E232:I232))</x:f>
        <x:v>0</x:v>
      </x:c>
      <x:c r="O232" s="11" t="s">
        <x:v>708</x:v>
      </x:c>
      <x:c r="P232" s="9" t="str">
        <x:f aca="0">IF(NOT(ISNUMBER(L232)),"n/m",IF(O232="Higher",IF(L232&gt;=0,"Above avg - favourable","Below avg - unfavourable"),IF(O232="Lower",IF(L232&lt;=0,"Below avg - favourable","Above avg - unfavourable"),IF(L232&gt;=0,"Above avg - context-dependent","Below avg - context-dependent"))))&amp;IF(K232&lt;5," (N="&amp;K232&amp;")","")</x:f>
        <x:v>Above avg - favourable</x:v>
      </x:c>
      <x:c r="R232" s="59" t="str">
        <x:f aca="0">IF(K232=0,"n/m",IF(ABS(J232-SUM(E232:I232)/K232)&lt;0.000000001,"OK","ERR"))</x:f>
        <x:v>OK</x:v>
      </x:c>
    </x:row>
    <x:row r="233" ht="15" hidden="0">
      <x:c r="C233" s="56" t="s">
        <x:v>707</x:v>
      </x:c>
      <x:c r="D233" s="11" t="s">
        <x:v>105</x:v>
      </x:c>
      <x:c r="E233" s="65" t="n">
        <x:f aca="0">KOHC!H180</x:f>
        <x:v>0</x:v>
      </x:c>
      <x:c r="F233" s="65" t="n">
        <x:f aca="0">LUCK!H180</x:f>
        <x:v>0</x:v>
      </x:c>
      <x:c r="G233" s="65" t="n">
        <x:f aca="0">DGKC!H180</x:f>
        <x:v>0</x:v>
      </x:c>
      <x:c r="H233" s="65" t="n">
        <x:f aca="0">MLCF!H180</x:f>
        <x:v>0</x:v>
      </x:c>
      <x:c r="I233" s="65" t="n">
        <x:f aca="0">FCCL!H180</x:f>
        <x:v>0</x:v>
      </x:c>
      <x:c r="J233" s="66" t="str">
        <x:f aca="0">IF(COUNT(E233:I233)=0,"n/m",AVERAGE(E233:I233))</x:f>
        <x:v>n/m</x:v>
      </x:c>
      <x:c r="K233" s="11" t="n">
        <x:f aca="0">COUNT(E233:I233)</x:f>
        <x:v>0</x:v>
      </x:c>
      <x:c r="L233" s="42" t="str">
        <x:f aca="0">IF(AND(ISNUMBER(E233),ISNUMBER(J233)),E233-J233,"n/m")</x:f>
        <x:v>n/m</x:v>
      </x:c>
      <x:c r="M233" s="42" t="str">
        <x:f aca="0">IF(COUNT(F233:I233)=0,"n/m",AVERAGE(F233:I233))</x:f>
        <x:v>n/m</x:v>
      </x:c>
      <x:c r="N233" s="42" t="str">
        <x:f aca="0">IF(COUNT(E233:I233)=0,"n/m",MEDIAN(E233:I233))</x:f>
        <x:v>n/m</x:v>
      </x:c>
      <x:c r="O233" s="11" t="s">
        <x:v>708</x:v>
      </x:c>
      <x:c r="P233" s="9" t="str">
        <x:f aca="0">IF(NOT(ISNUMBER(L233)),"n/m",IF(O233="Higher",IF(L233&gt;=0,"Above avg - favourable","Below avg - unfavourable"),IF(O233="Lower",IF(L233&lt;=0,"Below avg - favourable","Above avg - unfavourable"),IF(L233&gt;=0,"Above avg - context-dependent","Below avg - context-dependent"))))&amp;IF(K233&lt;5," (N="&amp;K233&amp;")","")</x:f>
        <x:v>n/m (N=0)</x:v>
      </x:c>
      <x:c r="R233" s="59" t="str">
        <x:f aca="0">IF(K233=0,"n/m",IF(ABS(J233-SUM(E233:I233)/K233)&lt;0.000000001,"OK","ERR"))</x:f>
        <x:v>n/m</x:v>
      </x:c>
    </x:row>
    <x:row r="234" ht="15" hidden="0">
      <x:c r="A234" s="54" t="s">
        <x:v>705</x:v>
      </x:c>
      <x:c r="B234" s="25" t="s">
        <x:v>709</x:v>
      </x:c>
      <x:c r="C234" s="24" t="s">
        <x:v>710</x:v>
      </x:c>
      <x:c r="D234" s="25"/>
      <x:c r="E234" s="25"/>
      <x:c r="F234" s="25"/>
      <x:c r="G234" s="25"/>
      <x:c r="H234" s="25"/>
      <x:c r="I234" s="25"/>
      <x:c r="J234" s="25"/>
      <x:c r="K234" s="25"/>
      <x:c r="L234" s="25"/>
      <x:c r="M234" s="25"/>
      <x:c r="N234" s="25"/>
      <x:c r="O234" s="25"/>
      <x:c r="P234" s="25"/>
      <x:c r="Q234" s="55" t="s">
        <x:v>705</x:v>
      </x:c>
      <x:c r="R234" s="25"/>
    </x:row>
    <x:row r="235" ht="15" hidden="0">
      <x:c r="C235" s="56" t="s">
        <x:v>710</x:v>
      </x:c>
      <x:c r="D235" s="11" t="s">
        <x:v>101</x:v>
      </x:c>
      <x:c r="E235" s="65" t="n">
        <x:f aca="0">KOHC!D181</x:f>
        <x:v>0</x:v>
      </x:c>
      <x:c r="F235" s="65" t="n">
        <x:f aca="0">LUCK!D181</x:f>
        <x:v>0</x:v>
      </x:c>
      <x:c r="G235" s="65" t="n">
        <x:f aca="0">DGKC!D181</x:f>
        <x:v>0</x:v>
      </x:c>
      <x:c r="H235" s="65" t="n">
        <x:f aca="0">MLCF!D181</x:f>
        <x:v>0</x:v>
      </x:c>
      <x:c r="I235" s="65" t="n">
        <x:f aca="0">FCCL!D181</x:f>
        <x:v>0</x:v>
      </x:c>
      <x:c r="J235" s="66" t="n">
        <x:f aca="0">IF(COUNT(E235:I235)=0,"n/m",AVERAGE(E235:I235))</x:f>
        <x:v>0</x:v>
      </x:c>
      <x:c r="K235" s="11" t="n">
        <x:f aca="0">COUNT(E235:I235)</x:f>
        <x:v>5</x:v>
      </x:c>
      <x:c r="L235" s="42" t="n">
        <x:f aca="0">IF(AND(ISNUMBER(E235),ISNUMBER(J235)),E235-J235,"n/m")</x:f>
        <x:v>0</x:v>
      </x:c>
      <x:c r="M235" s="42" t="n">
        <x:f aca="0">IF(COUNT(F235:I235)=0,"n/m",AVERAGE(F235:I235))</x:f>
        <x:v>0</x:v>
      </x:c>
      <x:c r="N235" s="42" t="n">
        <x:f aca="0">IF(COUNT(E235:I235)=0,"n/m",MEDIAN(E235:I235))</x:f>
        <x:v>0</x:v>
      </x:c>
      <x:c r="O235" s="11" t="s">
        <x:v>708</x:v>
      </x:c>
      <x:c r="P235" s="9" t="str">
        <x:f aca="0">IF(NOT(ISNUMBER(L235)),"n/m",IF(O235="Higher",IF(L235&gt;=0,"Above avg - favourable","Below avg - unfavourable"),IF(O235="Lower",IF(L235&lt;=0,"Below avg - favourable","Above avg - unfavourable"),IF(L235&gt;=0,"Above avg - context-dependent","Below avg - context-dependent"))))&amp;IF(K235&lt;5," (N="&amp;K235&amp;")","")</x:f>
        <x:v>Above avg - favourable</x:v>
      </x:c>
      <x:c r="R235" s="59" t="str">
        <x:f aca="0">IF(K235=0,"n/m",IF(ABS(J235-SUM(E235:I235)/K235)&lt;0.000000001,"OK","ERR"))</x:f>
        <x:v>OK</x:v>
      </x:c>
    </x:row>
    <x:row r="236" ht="15" hidden="0">
      <x:c r="C236" s="56" t="s">
        <x:v>710</x:v>
      </x:c>
      <x:c r="D236" s="11" t="s">
        <x:v>102</x:v>
      </x:c>
      <x:c r="E236" s="65" t="n">
        <x:f aca="0">KOHC!E181</x:f>
        <x:v>0</x:v>
      </x:c>
      <x:c r="F236" s="65" t="n">
        <x:f aca="0">LUCK!E181</x:f>
        <x:v>0</x:v>
      </x:c>
      <x:c r="G236" s="65" t="n">
        <x:f aca="0">DGKC!E181</x:f>
        <x:v>0</x:v>
      </x:c>
      <x:c r="H236" s="65" t="n">
        <x:f aca="0">MLCF!E181</x:f>
        <x:v>0</x:v>
      </x:c>
      <x:c r="I236" s="65" t="n">
        <x:f aca="0">FCCL!E181</x:f>
        <x:v>0</x:v>
      </x:c>
      <x:c r="J236" s="66" t="n">
        <x:f aca="0">IF(COUNT(E236:I236)=0,"n/m",AVERAGE(E236:I236))</x:f>
        <x:v>0</x:v>
      </x:c>
      <x:c r="K236" s="11" t="n">
        <x:f aca="0">COUNT(E236:I236)</x:f>
        <x:v>5</x:v>
      </x:c>
      <x:c r="L236" s="42" t="n">
        <x:f aca="0">IF(AND(ISNUMBER(E236),ISNUMBER(J236)),E236-J236,"n/m")</x:f>
        <x:v>0</x:v>
      </x:c>
      <x:c r="M236" s="42" t="n">
        <x:f aca="0">IF(COUNT(F236:I236)=0,"n/m",AVERAGE(F236:I236))</x:f>
        <x:v>0</x:v>
      </x:c>
      <x:c r="N236" s="42" t="n">
        <x:f aca="0">IF(COUNT(E236:I236)=0,"n/m",MEDIAN(E236:I236))</x:f>
        <x:v>0</x:v>
      </x:c>
      <x:c r="O236" s="11" t="s">
        <x:v>708</x:v>
      </x:c>
      <x:c r="P236" s="9" t="str">
        <x:f aca="0">IF(NOT(ISNUMBER(L236)),"n/m",IF(O236="Higher",IF(L236&gt;=0,"Above avg - favourable","Below avg - unfavourable"),IF(O236="Lower",IF(L236&lt;=0,"Below avg - favourable","Above avg - unfavourable"),IF(L236&gt;=0,"Above avg - context-dependent","Below avg - context-dependent"))))&amp;IF(K236&lt;5," (N="&amp;K236&amp;")","")</x:f>
        <x:v>Above avg - favourable</x:v>
      </x:c>
      <x:c r="R236" s="59" t="str">
        <x:f aca="0">IF(K236=0,"n/m",IF(ABS(J236-SUM(E236:I236)/K236)&lt;0.000000001,"OK","ERR"))</x:f>
        <x:v>OK</x:v>
      </x:c>
    </x:row>
    <x:row r="237" ht="15" hidden="0">
      <x:c r="C237" s="56" t="s">
        <x:v>710</x:v>
      </x:c>
      <x:c r="D237" s="11" t="s">
        <x:v>103</x:v>
      </x:c>
      <x:c r="E237" s="65" t="n">
        <x:f aca="0">KOHC!F181</x:f>
        <x:v>0</x:v>
      </x:c>
      <x:c r="F237" s="65" t="n">
        <x:f aca="0">LUCK!F181</x:f>
        <x:v>0</x:v>
      </x:c>
      <x:c r="G237" s="65" t="n">
        <x:f aca="0">DGKC!F181</x:f>
        <x:v>0</x:v>
      </x:c>
      <x:c r="H237" s="65" t="n">
        <x:f aca="0">MLCF!F181</x:f>
        <x:v>0</x:v>
      </x:c>
      <x:c r="I237" s="65" t="n">
        <x:f aca="0">FCCL!F181</x:f>
        <x:v>0</x:v>
      </x:c>
      <x:c r="J237" s="66" t="n">
        <x:f aca="0">IF(COUNT(E237:I237)=0,"n/m",AVERAGE(E237:I237))</x:f>
        <x:v>0</x:v>
      </x:c>
      <x:c r="K237" s="11" t="n">
        <x:f aca="0">COUNT(E237:I237)</x:f>
        <x:v>5</x:v>
      </x:c>
      <x:c r="L237" s="42" t="n">
        <x:f aca="0">IF(AND(ISNUMBER(E237),ISNUMBER(J237)),E237-J237,"n/m")</x:f>
        <x:v>0</x:v>
      </x:c>
      <x:c r="M237" s="42" t="n">
        <x:f aca="0">IF(COUNT(F237:I237)=0,"n/m",AVERAGE(F237:I237))</x:f>
        <x:v>0</x:v>
      </x:c>
      <x:c r="N237" s="42" t="n">
        <x:f aca="0">IF(COUNT(E237:I237)=0,"n/m",MEDIAN(E237:I237))</x:f>
        <x:v>0</x:v>
      </x:c>
      <x:c r="O237" s="11" t="s">
        <x:v>708</x:v>
      </x:c>
      <x:c r="P237" s="9" t="str">
        <x:f aca="0">IF(NOT(ISNUMBER(L237)),"n/m",IF(O237="Higher",IF(L237&gt;=0,"Above avg - favourable","Below avg - unfavourable"),IF(O237="Lower",IF(L237&lt;=0,"Below avg - favourable","Above avg - unfavourable"),IF(L237&gt;=0,"Above avg - context-dependent","Below avg - context-dependent"))))&amp;IF(K237&lt;5," (N="&amp;K237&amp;")","")</x:f>
        <x:v>Above avg - favourable</x:v>
      </x:c>
      <x:c r="R237" s="59" t="str">
        <x:f aca="0">IF(K237=0,"n/m",IF(ABS(J237-SUM(E237:I237)/K237)&lt;0.000000001,"OK","ERR"))</x:f>
        <x:v>OK</x:v>
      </x:c>
    </x:row>
    <x:row r="238" ht="15" hidden="0">
      <x:c r="C238" s="56" t="s">
        <x:v>710</x:v>
      </x:c>
      <x:c r="D238" s="11" t="s">
        <x:v>104</x:v>
      </x:c>
      <x:c r="E238" s="65" t="n">
        <x:f aca="0">KOHC!G181</x:f>
        <x:v>0</x:v>
      </x:c>
      <x:c r="F238" s="65" t="n">
        <x:f aca="0">LUCK!G181</x:f>
        <x:v>0</x:v>
      </x:c>
      <x:c r="G238" s="65" t="n">
        <x:f aca="0">DGKC!G181</x:f>
        <x:v>0</x:v>
      </x:c>
      <x:c r="H238" s="65" t="n">
        <x:f aca="0">MLCF!G181</x:f>
        <x:v>0</x:v>
      </x:c>
      <x:c r="I238" s="65" t="n">
        <x:f aca="0">FCCL!G181</x:f>
        <x:v>0</x:v>
      </x:c>
      <x:c r="J238" s="66" t="n">
        <x:f aca="0">IF(COUNT(E238:I238)=0,"n/m",AVERAGE(E238:I238))</x:f>
        <x:v>0</x:v>
      </x:c>
      <x:c r="K238" s="11" t="n">
        <x:f aca="0">COUNT(E238:I238)</x:f>
        <x:v>5</x:v>
      </x:c>
      <x:c r="L238" s="42" t="n">
        <x:f aca="0">IF(AND(ISNUMBER(E238),ISNUMBER(J238)),E238-J238,"n/m")</x:f>
        <x:v>0</x:v>
      </x:c>
      <x:c r="M238" s="42" t="n">
        <x:f aca="0">IF(COUNT(F238:I238)=0,"n/m",AVERAGE(F238:I238))</x:f>
        <x:v>0</x:v>
      </x:c>
      <x:c r="N238" s="42" t="n">
        <x:f aca="0">IF(COUNT(E238:I238)=0,"n/m",MEDIAN(E238:I238))</x:f>
        <x:v>0</x:v>
      </x:c>
      <x:c r="O238" s="11" t="s">
        <x:v>708</x:v>
      </x:c>
      <x:c r="P238" s="9" t="str">
        <x:f aca="0">IF(NOT(ISNUMBER(L238)),"n/m",IF(O238="Higher",IF(L238&gt;=0,"Above avg - favourable","Below avg - unfavourable"),IF(O238="Lower",IF(L238&lt;=0,"Below avg - favourable","Above avg - unfavourable"),IF(L238&gt;=0,"Above avg - context-dependent","Below avg - context-dependent"))))&amp;IF(K238&lt;5," (N="&amp;K238&amp;")","")</x:f>
        <x:v>Above avg - favourable</x:v>
      </x:c>
      <x:c r="R238" s="59" t="str">
        <x:f aca="0">IF(K238=0,"n/m",IF(ABS(J238-SUM(E238:I238)/K238)&lt;0.000000001,"OK","ERR"))</x:f>
        <x:v>OK</x:v>
      </x:c>
    </x:row>
    <x:row r="239" ht="15" hidden="0">
      <x:c r="C239" s="56" t="s">
        <x:v>710</x:v>
      </x:c>
      <x:c r="D239" s="11" t="s">
        <x:v>105</x:v>
      </x:c>
      <x:c r="E239" s="65" t="n">
        <x:f aca="0">KOHC!H181</x:f>
        <x:v>0</x:v>
      </x:c>
      <x:c r="F239" s="65" t="n">
        <x:f aca="0">LUCK!H181</x:f>
        <x:v>0</x:v>
      </x:c>
      <x:c r="G239" s="65" t="n">
        <x:f aca="0">DGKC!H181</x:f>
        <x:v>0</x:v>
      </x:c>
      <x:c r="H239" s="65" t="n">
        <x:f aca="0">MLCF!H181</x:f>
        <x:v>0</x:v>
      </x:c>
      <x:c r="I239" s="65" t="n">
        <x:f aca="0">FCCL!H181</x:f>
        <x:v>0</x:v>
      </x:c>
      <x:c r="J239" s="66" t="str">
        <x:f aca="0">IF(COUNT(E239:I239)=0,"n/m",AVERAGE(E239:I239))</x:f>
        <x:v>n/m</x:v>
      </x:c>
      <x:c r="K239" s="11" t="n">
        <x:f aca="0">COUNT(E239:I239)</x:f>
        <x:v>0</x:v>
      </x:c>
      <x:c r="L239" s="42" t="str">
        <x:f aca="0">IF(AND(ISNUMBER(E239),ISNUMBER(J239)),E239-J239,"n/m")</x:f>
        <x:v>n/m</x:v>
      </x:c>
      <x:c r="M239" s="42" t="str">
        <x:f aca="0">IF(COUNT(F239:I239)=0,"n/m",AVERAGE(F239:I239))</x:f>
        <x:v>n/m</x:v>
      </x:c>
      <x:c r="N239" s="42" t="str">
        <x:f aca="0">IF(COUNT(E239:I239)=0,"n/m",MEDIAN(E239:I239))</x:f>
        <x:v>n/m</x:v>
      </x:c>
      <x:c r="O239" s="11" t="s">
        <x:v>708</x:v>
      </x:c>
      <x:c r="P239" s="9" t="str">
        <x:f aca="0">IF(NOT(ISNUMBER(L239)),"n/m",IF(O239="Higher",IF(L239&gt;=0,"Above avg - favourable","Below avg - unfavourable"),IF(O239="Lower",IF(L239&lt;=0,"Below avg - favourable","Above avg - unfavourable"),IF(L239&gt;=0,"Above avg - context-dependent","Below avg - context-dependent"))))&amp;IF(K239&lt;5," (N="&amp;K239&amp;")","")</x:f>
        <x:v>n/m (N=0)</x:v>
      </x:c>
      <x:c r="R239" s="59" t="str">
        <x:f aca="0">IF(K239=0,"n/m",IF(ABS(J239-SUM(E239:I239)/K239)&lt;0.000000001,"OK","ERR"))</x:f>
        <x:v>n/m</x:v>
      </x:c>
    </x:row>
    <x:row r="240" ht="15" hidden="0">
      <x:c r="A240" s="54" t="s">
        <x:v>705</x:v>
      </x:c>
      <x:c r="B240" s="25" t="s">
        <x:v>711</x:v>
      </x:c>
      <x:c r="C240" s="24" t="s">
        <x:v>712</x:v>
      </x:c>
      <x:c r="D240" s="25"/>
      <x:c r="E240" s="25"/>
      <x:c r="F240" s="25"/>
      <x:c r="G240" s="25"/>
      <x:c r="H240" s="25"/>
      <x:c r="I240" s="25"/>
      <x:c r="J240" s="25"/>
      <x:c r="K240" s="25"/>
      <x:c r="L240" s="25"/>
      <x:c r="M240" s="25"/>
      <x:c r="N240" s="25"/>
      <x:c r="O240" s="25"/>
      <x:c r="P240" s="25"/>
      <x:c r="Q240" s="55" t="s">
        <x:v>705</x:v>
      </x:c>
      <x:c r="R240" s="25"/>
    </x:row>
    <x:row r="241" ht="15" hidden="0">
      <x:c r="C241" s="56" t="s">
        <x:v>712</x:v>
      </x:c>
      <x:c r="D241" s="11" t="s">
        <x:v>101</x:v>
      </x:c>
      <x:c r="E241" s="57" t="n">
        <x:f aca="0">KOHC!D182</x:f>
        <x:v>0</x:v>
      </x:c>
      <x:c r="F241" s="57" t="n">
        <x:f aca="0">LUCK!D182</x:f>
        <x:v>0</x:v>
      </x:c>
      <x:c r="G241" s="57" t="n">
        <x:f aca="0">DGKC!D182</x:f>
        <x:v>0</x:v>
      </x:c>
      <x:c r="H241" s="57" t="n">
        <x:f aca="0">MLCF!D182</x:f>
        <x:v>0</x:v>
      </x:c>
      <x:c r="I241" s="57" t="n">
        <x:f aca="0">FCCL!D182</x:f>
        <x:v>0</x:v>
      </x:c>
      <x:c r="J241" s="58" t="n">
        <x:f aca="0">IF(COUNT(E241:I241)=0,"n/m",AVERAGE(E241:I241))</x:f>
        <x:v>0</x:v>
      </x:c>
      <x:c r="K241" s="11" t="n">
        <x:f aca="0">COUNT(E241:I241)</x:f>
        <x:v>5</x:v>
      </x:c>
      <x:c r="L241" s="46" t="n">
        <x:f aca="0">IF(AND(ISNUMBER(E241),ISNUMBER(J241)),E241-J241,"n/m")</x:f>
        <x:v>0</x:v>
      </x:c>
      <x:c r="M241" s="46" t="n">
        <x:f aca="0">IF(COUNT(F241:I241)=0,"n/m",AVERAGE(F241:I241))</x:f>
        <x:v>0</x:v>
      </x:c>
      <x:c r="N241" s="46" t="n">
        <x:f aca="0">IF(COUNT(E241:I241)=0,"n/m",MEDIAN(E241:I241))</x:f>
        <x:v>0</x:v>
      </x:c>
      <x:c r="O241" s="11" t="s">
        <x:v>713</x:v>
      </x:c>
      <x:c r="P241" s="9" t="str">
        <x:f aca="0">IF(NOT(ISNUMBER(L241)),"n/m",IF(O241="Higher",IF(L241&gt;=0,"Above avg - favourable","Below avg - unfavourable"),IF(O241="Lower",IF(L241&lt;=0,"Below avg - favourable","Above avg - unfavourable"),IF(L241&gt;=0,"Above avg - context-dependent","Below avg - context-dependent"))))&amp;IF(K241&lt;5," (N="&amp;K241&amp;")","")</x:f>
        <x:v>Below avg - favourable</x:v>
      </x:c>
      <x:c r="R241" s="59" t="str">
        <x:f aca="0">IF(K241=0,"n/m",IF(ABS(J241-SUM(E241:I241)/K241)&lt;0.000000001,"OK","ERR"))</x:f>
        <x:v>OK</x:v>
      </x:c>
    </x:row>
    <x:row r="242" ht="15" hidden="0">
      <x:c r="C242" s="56" t="s">
        <x:v>712</x:v>
      </x:c>
      <x:c r="D242" s="11" t="s">
        <x:v>102</x:v>
      </x:c>
      <x:c r="E242" s="57" t="n">
        <x:f aca="0">KOHC!E182</x:f>
        <x:v>0</x:v>
      </x:c>
      <x:c r="F242" s="57" t="n">
        <x:f aca="0">LUCK!E182</x:f>
        <x:v>0</x:v>
      </x:c>
      <x:c r="G242" s="57" t="n">
        <x:f aca="0">DGKC!E182</x:f>
        <x:v>0</x:v>
      </x:c>
      <x:c r="H242" s="57" t="n">
        <x:f aca="0">MLCF!E182</x:f>
        <x:v>0</x:v>
      </x:c>
      <x:c r="I242" s="57" t="n">
        <x:f aca="0">FCCL!E182</x:f>
        <x:v>0</x:v>
      </x:c>
      <x:c r="J242" s="58" t="n">
        <x:f aca="0">IF(COUNT(E242:I242)=0,"n/m",AVERAGE(E242:I242))</x:f>
        <x:v>0</x:v>
      </x:c>
      <x:c r="K242" s="11" t="n">
        <x:f aca="0">COUNT(E242:I242)</x:f>
        <x:v>5</x:v>
      </x:c>
      <x:c r="L242" s="46" t="n">
        <x:f aca="0">IF(AND(ISNUMBER(E242),ISNUMBER(J242)),E242-J242,"n/m")</x:f>
        <x:v>0</x:v>
      </x:c>
      <x:c r="M242" s="46" t="n">
        <x:f aca="0">IF(COUNT(F242:I242)=0,"n/m",AVERAGE(F242:I242))</x:f>
        <x:v>0</x:v>
      </x:c>
      <x:c r="N242" s="46" t="n">
        <x:f aca="0">IF(COUNT(E242:I242)=0,"n/m",MEDIAN(E242:I242))</x:f>
        <x:v>0</x:v>
      </x:c>
      <x:c r="O242" s="11" t="s">
        <x:v>713</x:v>
      </x:c>
      <x:c r="P242" s="9" t="str">
        <x:f aca="0">IF(NOT(ISNUMBER(L242)),"n/m",IF(O242="Higher",IF(L242&gt;=0,"Above avg - favourable","Below avg - unfavourable"),IF(O242="Lower",IF(L242&lt;=0,"Below avg - favourable","Above avg - unfavourable"),IF(L242&gt;=0,"Above avg - context-dependent","Below avg - context-dependent"))))&amp;IF(K242&lt;5," (N="&amp;K242&amp;")","")</x:f>
        <x:v>Below avg - favourable</x:v>
      </x:c>
      <x:c r="R242" s="59" t="str">
        <x:f aca="0">IF(K242=0,"n/m",IF(ABS(J242-SUM(E242:I242)/K242)&lt;0.000000001,"OK","ERR"))</x:f>
        <x:v>OK</x:v>
      </x:c>
    </x:row>
    <x:row r="243" ht="15" hidden="0">
      <x:c r="C243" s="56" t="s">
        <x:v>712</x:v>
      </x:c>
      <x:c r="D243" s="11" t="s">
        <x:v>103</x:v>
      </x:c>
      <x:c r="E243" s="57" t="n">
        <x:f aca="0">KOHC!F182</x:f>
        <x:v>0</x:v>
      </x:c>
      <x:c r="F243" s="57" t="n">
        <x:f aca="0">LUCK!F182</x:f>
        <x:v>0</x:v>
      </x:c>
      <x:c r="G243" s="57" t="n">
        <x:f aca="0">DGKC!F182</x:f>
        <x:v>0</x:v>
      </x:c>
      <x:c r="H243" s="57" t="n">
        <x:f aca="0">MLCF!F182</x:f>
        <x:v>0</x:v>
      </x:c>
      <x:c r="I243" s="57" t="n">
        <x:f aca="0">FCCL!F182</x:f>
        <x:v>0</x:v>
      </x:c>
      <x:c r="J243" s="58" t="n">
        <x:f aca="0">IF(COUNT(E243:I243)=0,"n/m",AVERAGE(E243:I243))</x:f>
        <x:v>0</x:v>
      </x:c>
      <x:c r="K243" s="11" t="n">
        <x:f aca="0">COUNT(E243:I243)</x:f>
        <x:v>5</x:v>
      </x:c>
      <x:c r="L243" s="46" t="n">
        <x:f aca="0">IF(AND(ISNUMBER(E243),ISNUMBER(J243)),E243-J243,"n/m")</x:f>
        <x:v>0</x:v>
      </x:c>
      <x:c r="M243" s="46" t="n">
        <x:f aca="0">IF(COUNT(F243:I243)=0,"n/m",AVERAGE(F243:I243))</x:f>
        <x:v>0</x:v>
      </x:c>
      <x:c r="N243" s="46" t="n">
        <x:f aca="0">IF(COUNT(E243:I243)=0,"n/m",MEDIAN(E243:I243))</x:f>
        <x:v>0</x:v>
      </x:c>
      <x:c r="O243" s="11" t="s">
        <x:v>713</x:v>
      </x:c>
      <x:c r="P243" s="9" t="str">
        <x:f aca="0">IF(NOT(ISNUMBER(L243)),"n/m",IF(O243="Higher",IF(L243&gt;=0,"Above avg - favourable","Below avg - unfavourable"),IF(O243="Lower",IF(L243&lt;=0,"Below avg - favourable","Above avg - unfavourable"),IF(L243&gt;=0,"Above avg - context-dependent","Below avg - context-dependent"))))&amp;IF(K243&lt;5," (N="&amp;K243&amp;")","")</x:f>
        <x:v>Below avg - favourable</x:v>
      </x:c>
      <x:c r="R243" s="59" t="str">
        <x:f aca="0">IF(K243=0,"n/m",IF(ABS(J243-SUM(E243:I243)/K243)&lt;0.000000001,"OK","ERR"))</x:f>
        <x:v>OK</x:v>
      </x:c>
    </x:row>
    <x:row r="244" ht="15" hidden="0">
      <x:c r="C244" s="56" t="s">
        <x:v>712</x:v>
      </x:c>
      <x:c r="D244" s="11" t="s">
        <x:v>104</x:v>
      </x:c>
      <x:c r="E244" s="57" t="n">
        <x:f aca="0">KOHC!G182</x:f>
        <x:v>0</x:v>
      </x:c>
      <x:c r="F244" s="57" t="n">
        <x:f aca="0">LUCK!G182</x:f>
        <x:v>0</x:v>
      </x:c>
      <x:c r="G244" s="57" t="n">
        <x:f aca="0">DGKC!G182</x:f>
        <x:v>0</x:v>
      </x:c>
      <x:c r="H244" s="57" t="n">
        <x:f aca="0">MLCF!G182</x:f>
        <x:v>0</x:v>
      </x:c>
      <x:c r="I244" s="57" t="n">
        <x:f aca="0">FCCL!G182</x:f>
        <x:v>0</x:v>
      </x:c>
      <x:c r="J244" s="58" t="n">
        <x:f aca="0">IF(COUNT(E244:I244)=0,"n/m",AVERAGE(E244:I244))</x:f>
        <x:v>0</x:v>
      </x:c>
      <x:c r="K244" s="11" t="n">
        <x:f aca="0">COUNT(E244:I244)</x:f>
        <x:v>5</x:v>
      </x:c>
      <x:c r="L244" s="46" t="n">
        <x:f aca="0">IF(AND(ISNUMBER(E244),ISNUMBER(J244)),E244-J244,"n/m")</x:f>
        <x:v>0</x:v>
      </x:c>
      <x:c r="M244" s="46" t="n">
        <x:f aca="0">IF(COUNT(F244:I244)=0,"n/m",AVERAGE(F244:I244))</x:f>
        <x:v>0</x:v>
      </x:c>
      <x:c r="N244" s="46" t="n">
        <x:f aca="0">IF(COUNT(E244:I244)=0,"n/m",MEDIAN(E244:I244))</x:f>
        <x:v>0</x:v>
      </x:c>
      <x:c r="O244" s="11" t="s">
        <x:v>713</x:v>
      </x:c>
      <x:c r="P244" s="9" t="str">
        <x:f aca="0">IF(NOT(ISNUMBER(L244)),"n/m",IF(O244="Higher",IF(L244&gt;=0,"Above avg - favourable","Below avg - unfavourable"),IF(O244="Lower",IF(L244&lt;=0,"Below avg - favourable","Above avg - unfavourable"),IF(L244&gt;=0,"Above avg - context-dependent","Below avg - context-dependent"))))&amp;IF(K244&lt;5," (N="&amp;K244&amp;")","")</x:f>
        <x:v>Below avg - favourable</x:v>
      </x:c>
      <x:c r="R244" s="59" t="str">
        <x:f aca="0">IF(K244=0,"n/m",IF(ABS(J244-SUM(E244:I244)/K244)&lt;0.000000001,"OK","ERR"))</x:f>
        <x:v>OK</x:v>
      </x:c>
    </x:row>
    <x:row r="245" ht="15" hidden="0">
      <x:c r="C245" s="56" t="s">
        <x:v>712</x:v>
      </x:c>
      <x:c r="D245" s="11" t="s">
        <x:v>105</x:v>
      </x:c>
      <x:c r="E245" s="57" t="n">
        <x:f aca="0">KOHC!H182</x:f>
        <x:v>0</x:v>
      </x:c>
      <x:c r="F245" s="57" t="n">
        <x:f aca="0">LUCK!H182</x:f>
        <x:v>0</x:v>
      </x:c>
      <x:c r="G245" s="57" t="n">
        <x:f aca="0">DGKC!H182</x:f>
        <x:v>0</x:v>
      </x:c>
      <x:c r="H245" s="57" t="n">
        <x:f aca="0">MLCF!H182</x:f>
        <x:v>0</x:v>
      </x:c>
      <x:c r="I245" s="57" t="n">
        <x:f aca="0">FCCL!H182</x:f>
        <x:v>0</x:v>
      </x:c>
      <x:c r="J245" s="58" t="n">
        <x:f aca="0">IF(COUNT(E245:I245)=0,"n/m",AVERAGE(E245:I245))</x:f>
        <x:v>0</x:v>
      </x:c>
      <x:c r="K245" s="11" t="n">
        <x:f aca="0">COUNT(E245:I245)</x:f>
        <x:v>5</x:v>
      </x:c>
      <x:c r="L245" s="46" t="n">
        <x:f aca="0">IF(AND(ISNUMBER(E245),ISNUMBER(J245)),E245-J245,"n/m")</x:f>
        <x:v>0</x:v>
      </x:c>
      <x:c r="M245" s="46" t="n">
        <x:f aca="0">IF(COUNT(F245:I245)=0,"n/m",AVERAGE(F245:I245))</x:f>
        <x:v>0</x:v>
      </x:c>
      <x:c r="N245" s="46" t="n">
        <x:f aca="0">IF(COUNT(E245:I245)=0,"n/m",MEDIAN(E245:I245))</x:f>
        <x:v>0</x:v>
      </x:c>
      <x:c r="O245" s="11" t="s">
        <x:v>713</x:v>
      </x:c>
      <x:c r="P245" s="9" t="str">
        <x:f aca="0">IF(NOT(ISNUMBER(L245)),"n/m",IF(O245="Higher",IF(L245&gt;=0,"Above avg - favourable","Below avg - unfavourable"),IF(O245="Lower",IF(L245&lt;=0,"Below avg - favourable","Above avg - unfavourable"),IF(L245&gt;=0,"Above avg - context-dependent","Below avg - context-dependent"))))&amp;IF(K245&lt;5," (N="&amp;K245&amp;")","")</x:f>
        <x:v>Below avg - favourable</x:v>
      </x:c>
      <x:c r="R245" s="59" t="str">
        <x:f aca="0">IF(K245=0,"n/m",IF(ABS(J245-SUM(E245:I245)/K245)&lt;0.000000001,"OK","ERR"))</x:f>
        <x:v>OK</x:v>
      </x:c>
    </x:row>
  </x:sheetData>
  <x:mergeCells>
    <x:mergeCell ref="A5:R5"/>
    <x:mergeCell ref="A36:R36"/>
    <x:mergeCell ref="A97:R97"/>
    <x:mergeCell ref="A128:R128"/>
    <x:mergeCell ref="A171:R171"/>
  </x:mergeCells>
  <x:pageMargins left="0.7" right="0.7" top="0.75" bottom="0.75" header="0.3" footer="0.3"/>
  <x:drawing xmlns:r="http://schemas.openxmlformats.org/officeDocument/2006/relationships" r:id="Rcb8c8be6299745df"/>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ColWidth="8.6796875" defaultRowHeight="15"/>
  <x:cols>
    <x:col min="1" max="1" width="12" hidden="0" customWidth="1"/>
    <x:col min="2" max="2" width="10" hidden="0" customWidth="1"/>
    <x:col min="3" max="3" width="7" hidden="0" customWidth="1"/>
    <x:col min="4" max="4" width="30" hidden="0" customWidth="1"/>
    <x:col min="5" max="5" width="12" hidden="0" customWidth="1"/>
    <x:col min="6" max="6" width="40" hidden="0" customWidth="1"/>
    <x:col min="7" max="7" width="34" hidden="0" customWidth="1"/>
    <x:col min="8" max="8" width="13" hidden="0" customWidth="1"/>
    <x:col min="9" max="9" width="24" hidden="0" customWidth="1"/>
    <x:col min="10" max="10" width="8" hidden="0" customWidth="1"/>
    <x:col min="11" max="12" width="9" hidden="0" customWidth="1"/>
    <x:col min="13" max="13" width="12" hidden="0" customWidth="1"/>
    <x:col min="14" max="14" width="18" hidden="0" customWidth="1"/>
    <x:col min="15" max="16" width="14" hidden="0" customWidth="1"/>
    <x:col min="17" max="17" width="10" hidden="0" customWidth="1"/>
    <x:col min="18" max="18" width="22" hidden="0" customWidth="1"/>
    <x:col min="19" max="19" width="50" hidden="0" customWidth="1"/>
  </x:cols>
  <x:sheetData>
    <x:row r="1" ht="17.350000381469727" hidden="0">
      <x:c r="A1" s="17" t="s">
        <x:v>714</x:v>
      </x:c>
    </x:row>
    <x:row r="3" ht="15" hidden="0">
      <x:c r="A3" s="5" t="s">
        <x:v>715</x:v>
      </x:c>
      <x:c r="B3" s="20"/>
      <x:c r="C3" s="20"/>
      <x:c r="D3" s="20"/>
      <x:c r="E3" s="20"/>
      <x:c r="F3" s="20"/>
      <x:c r="G3" s="20"/>
      <x:c r="H3" s="20"/>
      <x:c r="I3" s="20"/>
      <x:c r="J3" s="20"/>
      <x:c r="K3" s="20"/>
      <x:c r="L3" s="20"/>
      <x:c r="M3" s="20"/>
      <x:c r="N3" s="20"/>
      <x:c r="O3" s="20"/>
      <x:c r="P3" s="20"/>
      <x:c r="Q3" s="20"/>
      <x:c r="R3" s="20"/>
      <x:c r="S3" s="20"/>
    </x:row>
    <x:row r="4" ht="15" hidden="0">
      <x:c r="A4" s="24" t="s">
        <x:v>18</x:v>
      </x:c>
      <x:c r="B4" s="24" t="s">
        <x:v>716</x:v>
      </x:c>
      <x:c r="C4" s="24"/>
      <x:c r="D4" s="24"/>
      <x:c r="E4" s="24" t="s">
        <x:v>717</x:v>
      </x:c>
      <x:c r="F4" s="24" t="s">
        <x:v>101</x:v>
      </x:c>
      <x:c r="G4" s="24" t="s">
        <x:v>102</x:v>
      </x:c>
      <x:c r="H4" s="24" t="s">
        <x:v>103</x:v>
      </x:c>
      <x:c r="I4" s="24" t="s">
        <x:v>104</x:v>
      </x:c>
      <x:c r="J4" s="24" t="s">
        <x:v>105</x:v>
      </x:c>
    </x:row>
    <x:row r="5" ht="15" hidden="0">
      <x:c r="A5" t="str">
        <x:v>KOHC</x:v>
      </x:c>
      <x:c r="B5" t="str">
        <x:v>Assets = equity + liabilities</x:v>
      </x:c>
      <x:c r="C5" t="str">
        <x:f>IF(ABS(KOHC!C37-KOHC!C63)&lt;0.000001,"PASS","REVIEW: official footing")</x:f>
        <x:v>PASS</x:v>
      </x:c>
      <x:c r="D5" t="str">
        <x:f>IF(ABS(KOHC!D37-KOHC!D63)&lt;0.000001,"PASS","REVIEW: official footing")</x:f>
        <x:v>PASS</x:v>
      </x:c>
      <x:c r="E5" t="str">
        <x:f aca="0">IF(ABS(KOHC!E37-KOHC!E63)&lt;0.000001,"PASS","REVIEW: official footing")</x:f>
        <x:v>PASS</x:v>
      </x:c>
      <x:c r="F5" t="str">
        <x:f aca="0">IF(ABS(KOHC!F37-KOHC!F63)&lt;0.000001,"PASS","REVIEW: official footing")</x:f>
        <x:v>PASS</x:v>
      </x:c>
      <x:c r="G5" t="str">
        <x:f aca="0">IF(ABS(KOHC!G37-KOHC!G63)&lt;0.000001,"PASS","REVIEW: official footing")</x:f>
        <x:v>PASS</x:v>
      </x:c>
      <x:c r="H5" t="str">
        <x:f aca="0">IF(ABS(KOHC!H37-KOHC!H63)&lt;0.000001,"PASS","REVIEW: official footing")</x:f>
        <x:v>PASS</x:v>
      </x:c>
      <x:c r="I5" t="str">
        <x:f aca="0">KOHC!G79</x:f>
        <x:v>PASS</x:v>
      </x:c>
      <x:c r="J5" t="str">
        <x:f aca="0">KOHC!H79</x:f>
        <x:v>PASS</x:v>
      </x:c>
    </x:row>
    <x:row r="6" ht="15" hidden="0">
      <x:c r="A6" t="str">
        <x:v>KOHC</x:v>
      </x:c>
      <x:c r="B6" t="str">
        <x:v>Assets = audited printed total</x:v>
      </x:c>
      <x:c r="C6" t="str">
        <x:f>IF(ABS(KOHC!C37-KOHC!C75)&lt;0.000001,"PASS","REVIEW")</x:f>
        <x:v>PASS</x:v>
      </x:c>
      <x:c r="D6" t="str">
        <x:f>IF(ABS(KOHC!D37-KOHC!D75)&lt;0.000001,"PASS","REVIEW")</x:f>
        <x:v>PASS</x:v>
      </x:c>
      <x:c r="E6" t="str">
        <x:f aca="0">IF(ABS(KOHC!E37-KOHC!E75)&lt;0.000001,"PASS","REVIEW")</x:f>
        <x:v>PASS</x:v>
      </x:c>
      <x:c r="F6" t="str">
        <x:f aca="0">IF(ABS(KOHC!F37-KOHC!F75)&lt;0.000001,"PASS","REVIEW")</x:f>
        <x:v>PASS</x:v>
      </x:c>
      <x:c r="G6" t="str">
        <x:f aca="0">IF(ABS(KOHC!G37-KOHC!G75)&lt;0.000001,"PASS","REVIEW")</x:f>
        <x:v>PASS</x:v>
      </x:c>
      <x:c r="H6" t="str">
        <x:f aca="0">IF(ABS(KOHC!H37-KOHC!H75)&lt;0.000001,"PASS","REVIEW")</x:f>
        <x:v>PASS</x:v>
      </x:c>
      <x:c r="I6" t="str">
        <x:f aca="0">KOHC!G80</x:f>
        <x:v>PASS</x:v>
      </x:c>
      <x:c r="J6" t="str">
        <x:f aca="0">KOHC!H80</x:f>
        <x:v>PASS</x:v>
      </x:c>
    </x:row>
    <x:row r="7" ht="15" hidden="0">
      <x:c r="A7" t="str">
        <x:v>KOHC</x:v>
      </x:c>
      <x:c r="B7" t="str">
        <x:v>Equity / CA / CL = audited controls</x:v>
      </x:c>
      <x:c r="C7" t="str">
        <x:f>IF(AND(ABS(KOHC!C41-KOHC!C76)&lt;0.000001,ABS(KOHC!C36-KOHC!C77)&lt;0.000001,ABS(KOHC!C61-KOHC!C78)&lt;0.000001),"PASS","REVIEW")</x:f>
        <x:v>REVIEW</x:v>
      </x:c>
      <x:c r="D7" t="str">
        <x:f>IF(AND(ABS(KOHC!D41-KOHC!D76)&lt;0.000001,ABS(KOHC!D36-KOHC!D77)&lt;0.000001,ABS(KOHC!D61-KOHC!D78)&lt;0.000001),"PASS","REVIEW")</x:f>
        <x:v>PASS</x:v>
      </x:c>
      <x:c r="E7" t="str">
        <x:f aca="0">IF(AND(ABS(KOHC!E41-KOHC!E76)&lt;0.000001,ABS(KOHC!E36-KOHC!E77)&lt;0.000001,ABS(KOHC!E61-KOHC!E78)&lt;0.000001),"PASS","REVIEW")</x:f>
        <x:v>PASS</x:v>
      </x:c>
      <x:c r="F7" t="str">
        <x:f aca="0">IF(AND(ABS(KOHC!F41-KOHC!F76)&lt;0.000001,ABS(KOHC!F36-KOHC!F77)&lt;0.000001,ABS(KOHC!F61-KOHC!F78)&lt;0.000001),"PASS","REVIEW")</x:f>
        <x:v>PASS</x:v>
      </x:c>
      <x:c r="G7" t="str">
        <x:f aca="0">IF(AND(ABS(KOHC!G41-KOHC!G76)&lt;0.000001,ABS(KOHC!G36-KOHC!G77)&lt;0.000001,ABS(KOHC!G61-KOHC!G78)&lt;0.000001),"PASS","REVIEW")</x:f>
        <x:v>PASS</x:v>
      </x:c>
      <x:c r="H7" t="str">
        <x:f aca="0">IF(AND(ABS(KOHC!H41-KOHC!H76)&lt;0.000001,ABS(KOHC!H36-KOHC!H77)&lt;0.000001,ABS(KOHC!H61-KOHC!H78)&lt;0.000001),"PASS","REVIEW")</x:f>
        <x:v>PASS</x:v>
      </x:c>
      <x:c r="I7" t="str">
        <x:f aca="0">KOHC!G81</x:f>
        <x:v>PASS</x:v>
      </x:c>
      <x:c r="J7" t="str">
        <x:f aca="0">KOHC!H81</x:f>
        <x:v>PASS</x:v>
      </x:c>
    </x:row>
    <x:row r="8" ht="15" hidden="0">
      <x:c r="A8" t="str">
        <x:v>KOHC</x:v>
      </x:c>
      <x:c r="B8" t="str">
        <x:v>GP / PBT / PAT = audited controls</x:v>
      </x:c>
      <x:c r="D8" t="str">
        <x:f>IF(AND(ABS(KOHC!D86-KOHC!D100)&lt;0.000001,ABS(KOHC!D96-KOHC!D101)&lt;0.000001,ABS(KOHC!D99-KOHC!D102)&lt;0.000001),"PASS","REVIEW")</x:f>
        <x:v>PASS</x:v>
      </x:c>
      <x:c r="E8" t="str">
        <x:f>IF(AND(ABS(KOHC!E86-KOHC!E100)&lt;0.000001,ABS(KOHC!E96-KOHC!E101)&lt;0.000001,ABS(KOHC!E99-KOHC!E102)&lt;0.000001),"PASS","REVIEW")</x:f>
        <x:v>PASS</x:v>
      </x:c>
      <x:c r="F8" t="str">
        <x:f aca="0">IF(AND(ABS(KOHC!F86-KOHC!F100)&lt;0.000001,ABS(KOHC!F96-KOHC!F101)&lt;0.000001,ABS(KOHC!F99-KOHC!F102)&lt;0.000001),"PASS","REVIEW")</x:f>
        <x:v>PASS</x:v>
      </x:c>
      <x:c r="G8" t="str">
        <x:f aca="0">IF(AND(ABS(KOHC!G86-KOHC!G100)&lt;0.000001,ABS(KOHC!G96-KOHC!G101)&lt;0.000001,ABS(KOHC!G99-KOHC!G102)&lt;0.000001),"PASS","REVIEW")</x:f>
        <x:v>PASS</x:v>
      </x:c>
      <x:c r="H8" t="str">
        <x:f aca="0">IF(AND(ABS(KOHC!H86-KOHC!H100)&lt;0.000001,ABS(KOHC!H96-KOHC!H101)&lt;0.000001,ABS(KOHC!H99-KOHC!H102)&lt;0.000001),"PASS","REVIEW")</x:f>
        <x:v>PASS</x:v>
      </x:c>
      <x:c r="I8" t="str">
        <x:f aca="0">KOHC!G103</x:f>
        <x:v>PASS</x:v>
      </x:c>
      <x:c r="J8" t="str">
        <x:f aca="0">KOHC!H103</x:f>
        <x:v>PASS</x:v>
      </x:c>
    </x:row>
    <x:row r="9" ht="15" hidden="0">
      <x:c r="A9" t="str">
        <x:v>KOHC</x:v>
      </x:c>
      <x:c r="B9" t="str">
        <x:v>Signed EPS / share-basis source check</x:v>
      </x:c>
      <x:c r="D9" t="str">
        <x:f>IF(ABS((KOHC!D99/KOHC!D129)/1-KOHC!D132)&lt;=0.01,"PASS","REVIEW: source EPS")</x:f>
        <x:v>PASS</x:v>
      </x:c>
      <x:c r="E9" t="str">
        <x:f>IF(ABS((KOHC!E99/KOHC!E129)/1-KOHC!E132)&lt;=0.01,"PASS","REVIEW: source EPS")</x:f>
        <x:v>PASS</x:v>
      </x:c>
      <x:c r="F9" t="str">
        <x:f aca="0">IF(ABS((KOHC!F99/KOHC!F129)/1-KOHC!F132)&lt;=0.01,"PASS","REVIEW: source EPS")</x:f>
        <x:v>PASS</x:v>
      </x:c>
      <x:c r="G9" t="str">
        <x:f aca="0">IF(ABS((KOHC!G99/KOHC!G129)/1-KOHC!G132)&lt;=0.01,"PASS","REVIEW: source EPS")</x:f>
        <x:v>PASS</x:v>
      </x:c>
      <x:c r="H9" t="str">
        <x:f aca="0">IF(ABS((KOHC!H99/KOHC!H129)/5-KOHC!H132)&lt;=0.01,"PASS","REVIEW: source EPS")</x:f>
        <x:v>PASS</x:v>
      </x:c>
      <x:c r="I9" t="str">
        <x:f aca="0">IF(ABS(KOHC!G171/1-KOHC!G132)&lt;=0.01,"PASS","REVIEW")</x:f>
        <x:v>PASS</x:v>
      </x:c>
      <x:c r="J9" t="str">
        <x:f aca="0">IF(ABS(KOHC!H171/5-KOHC!H132)&lt;=0.01,"PASS","REVIEW")</x:f>
        <x:v>PASS</x:v>
      </x:c>
    </x:row>
    <x:row r="10" ht="15" hidden="0">
      <x:c r="A10" t="str">
        <x:v>KOHC</x:v>
      </x:c>
      <x:c r="B10" t="str">
        <x:v>Opening denominator balances present</x:v>
      </x:c>
      <x:c r="C10" t="str">
        <x:f>IF(COUNT(KOHC!C65,KOHC!C32,KOHC!C51,KOHC!C22,KOHC!C37,KOHC!C41,KOHC!C70)=7,"PASS","REVIEW")</x:f>
        <x:v>PASS</x:v>
      </x:c>
      <x:c r="D10" t="str">
        <x:f>IF(COUNT(KOHC!D65,KOHC!D32,KOHC!D51,KOHC!D22,KOHC!D37,KOHC!D41,KOHC!D70)=7,"PASS","REVIEW")</x:f>
        <x:v>PASS</x:v>
      </x:c>
      <x:c r="E10" t="str">
        <x:f>IF(COUNT(KOHC!E65,KOHC!E32,KOHC!E51,KOHC!E22,KOHC!E37,KOHC!E41,KOHC!E70)=7,"PASS","REVIEW")</x:f>
        <x:v>PASS</x:v>
      </x:c>
      <x:c r="F10" t="str">
        <x:f aca="0">IF(COUNT(KOHC!F65,KOHC!F32,KOHC!F51,KOHC!F22,KOHC!F37,KOHC!F41,KOHC!F70)=7,"PASS","REVIEW")</x:f>
        <x:v>PASS</x:v>
      </x:c>
      <x:c r="G10" t="str">
        <x:f aca="0">IF(COUNT(KOHC!G65,KOHC!G32,KOHC!G51,KOHC!G22,KOHC!G37,KOHC!G41,KOHC!G70)=7,"PASS","REVIEW")</x:f>
        <x:v>PASS</x:v>
      </x:c>
      <x:c r="H10" t="str">
        <x:f aca="0">IF(COUNT(KOHC!H65,KOHC!H32,KOHC!H51,KOHC!H22,KOHC!H37,KOHC!H41,KOHC!H70)=7,"PASS","REVIEW")</x:f>
        <x:v>PASS</x:v>
      </x:c>
      <x:c r="I10" t="str">
        <x:f aca="0">IF(AND(ISNUMBER(KOHC!F37),ISNUMBER(KOHC!F51),ISNUMBER(KOHC!F21)),"PASS","FAIL")</x:f>
        <x:v>PASS</x:v>
      </x:c>
      <x:c r="J10" t="str">
        <x:f aca="0">IF(AND(ISNUMBER(KOHC!G37),ISNUMBER(KOHC!G51),ISNUMBER(KOHC!G21)),"PASS","FAIL")</x:f>
        <x:v>PASS</x:v>
      </x:c>
    </x:row>
    <x:row r="11" ht="15" hidden="0">
      <x:c r="A11" t="str">
        <x:v>KOHC</x:v>
      </x:c>
      <x:c r="B11" t="str">
        <x:v>All 33 independent checks</x:v>
      </x:c>
      <x:c r="D11" t="str">
        <x:f>IF(COUNTIFS('Ratio Verification'!A6:A830,"KOHC",'Ratio Verification'!B6:B830,2021,'Ratio Verification'!N6:N830,"PASS")=33,"PASS","FAIL")</x:f>
        <x:v>PASS</x:v>
      </x:c>
      <x:c r="E11" t="str">
        <x:f>IF(COUNTIFS('Ratio Verification'!A6:A830,"KOHC",'Ratio Verification'!B6:B830,2022,'Ratio Verification'!N6:N830,"PASS")=33,"PASS","FAIL")</x:f>
        <x:v>PASS</x:v>
      </x:c>
      <x:c r="F11" t="str">
        <x:f aca="0">IF(COUNTIFS('Ratio Verification'!A6:A830,"KOHC",'Ratio Verification'!B6:B830,2023,'Ratio Verification'!N6:N830,"PASS")=33,"PASS","FAIL")</x:f>
        <x:v>PASS</x:v>
      </x:c>
      <x:c r="G11" t="str">
        <x:f aca="0">IF(COUNTIFS('Ratio Verification'!A6:A830,"KOHC",'Ratio Verification'!B6:B830,2024,'Ratio Verification'!N6:N830,"PASS")=33,"PASS","FAIL")</x:f>
        <x:v>PASS</x:v>
      </x:c>
      <x:c r="H11" t="str">
        <x:f aca="0">IF(COUNTIFS('Ratio Verification'!A6:A830,"KOHC",'Ratio Verification'!B6:B830,2025,'Ratio Verification'!N6:N830,"PASS")=33,"PASS","FAIL")</x:f>
        <x:v>PASS</x:v>
      </x:c>
      <x:c r="I11" t="str">
        <x:f aca="0">IF(SUMPRODUCT(--ISERROR(KOHC!G138:G189))=0,"PASS","FAIL")</x:f>
        <x:v>PASS</x:v>
      </x:c>
      <x:c r="J11" t="str">
        <x:f aca="0">IF(SUMPRODUCT(--ISERROR(KOHC!H138:H189))=0,"PASS","FAIL")</x:f>
        <x:v>PASS</x:v>
      </x:c>
    </x:row>
    <x:row r="12" ht="15" hidden="0">
      <x:c r="A12" t="str">
        <x:v>KOHC</x:v>
      </x:c>
      <x:c r="B12" t="str">
        <x:v>n/m results (informational)</x:v>
      </x:c>
      <x:c r="D12" t="n">
        <x:f>COUNTIF(KOHC!D138:D174,"n/m")</x:f>
        <x:v>1</x:v>
      </x:c>
      <x:c r="E12" t="n">
        <x:f>COUNTIF(KOHC!E138:E174,"n/m")</x:f>
        <x:v>1</x:v>
      </x:c>
      <x:c r="F12" t="n">
        <x:f aca="0">COUNTIF(KOHC!F138:F174,"n/m")</x:f>
        <x:v>0</x:v>
      </x:c>
      <x:c r="G12" t="n">
        <x:f aca="0">COUNTIF(KOHC!G138:G174,"n/m")</x:f>
        <x:v>0</x:v>
      </x:c>
      <x:c r="H12" t="n">
        <x:f aca="0">COUNTIF(KOHC!H138:H174,"n/m")</x:f>
        <x:v>1</x:v>
      </x:c>
      <x:c r="I12" t="n">
        <x:f aca="0">COUNTIF(KOHC!G138:G182,"n/m")</x:f>
        <x:v>0</x:v>
      </x:c>
      <x:c r="J12" t="n">
        <x:f aca="0">COUNTIF(KOHC!H138:H182,"n/m")</x:f>
        <x:v>1</x:v>
      </x:c>
    </x:row>
    <x:row r="13" ht="15" hidden="0">
      <x:c r="A13" t="str">
        <x:v>KOHC</x:v>
      </x:c>
      <x:c r="B13" t="str">
        <x:v>PSX historical price evidence</x:v>
      </x:c>
      <x:c r="D13" t="str">
        <x:v>Verified official CLOSE</x:v>
      </x:c>
      <x:c r="E13" t="str">
        <x:v>Verified official CLOSE</x:v>
      </x:c>
      <x:c r="F13" t="str">
        <x:v>Verified official CLOSE</x:v>
      </x:c>
      <x:c r="G13" t="str">
        <x:v>Verified official CLOSE</x:v>
      </x:c>
      <x:c r="H13" t="str">
        <x:v>Verified official CLOSE</x:v>
      </x:c>
      <x:c r="I13" t="str">
        <x:v>VERIFIED PSX</x:v>
      </x:c>
      <x:c r="J13" t="str">
        <x:v>VERIFIED PSX</x:v>
      </x:c>
      <x:c r="K13" s="9" t="str">
        <x:v>25 observations verified independently against PSX historical CLOSE records on 22 October 2026; see PSX Prices and Price Evidence.</x:v>
      </x:c>
    </x:row>
    <x:row r="14" ht="15" hidden="0">
      <x:c r="A14" t="str">
        <x:v>LUCK</x:v>
      </x:c>
      <x:c r="B14" t="str">
        <x:v>Assets = equity + liabilities</x:v>
      </x:c>
      <x:c r="C14" t="str">
        <x:f>IF(ABS(LUCK!C37-LUCK!C63)&lt;0.000001,"PASS","REVIEW: official footing")</x:f>
        <x:v>REVIEW: official footing</x:v>
      </x:c>
      <x:c r="D14" t="str">
        <x:f>IF(ABS(LUCK!D37-LUCK!D63)&lt;0.000001,"PASS","REVIEW: official footing")</x:f>
        <x:v>PASS</x:v>
      </x:c>
      <x:c r="E14" t="str">
        <x:f aca="0">IF(ABS(LUCK!E37-LUCK!E63)&lt;0.000001,"PASS","REVIEW: official footing")</x:f>
        <x:v>PASS</x:v>
      </x:c>
      <x:c r="F14" t="str">
        <x:f aca="0">IF(ABS(LUCK!F37-LUCK!F63)&lt;0.000001,"PASS","REVIEW: official footing")</x:f>
        <x:v>PASS</x:v>
      </x:c>
      <x:c r="G14" t="str">
        <x:f aca="0">IF(ABS(LUCK!G37-LUCK!G63)&lt;0.000001,"PASS","REVIEW: official footing")</x:f>
        <x:v>PASS</x:v>
      </x:c>
      <x:c r="H14" t="str">
        <x:f aca="0">IF(ABS(LUCK!H37-LUCK!H63)&lt;0.000001,"PASS","REVIEW: official footing")</x:f>
        <x:v>PASS</x:v>
      </x:c>
      <x:c r="I14" t="str">
        <x:f aca="0">LUCK!G79</x:f>
        <x:v>PASS</x:v>
      </x:c>
      <x:c r="J14" t="str">
        <x:f aca="0">LUCK!H79</x:f>
        <x:v>PASS</x:v>
      </x:c>
    </x:row>
    <x:row r="15" ht="15" hidden="0">
      <x:c r="A15" t="str">
        <x:v>LUCK</x:v>
      </x:c>
      <x:c r="B15" t="str">
        <x:v>Assets = audited printed total</x:v>
      </x:c>
      <x:c r="C15" t="str">
        <x:f>IF(ABS(LUCK!C37-LUCK!C75)&lt;0.000001,"PASS","REVIEW")</x:f>
        <x:v>PASS</x:v>
      </x:c>
      <x:c r="D15" t="str">
        <x:f>IF(ABS(LUCK!D37-LUCK!D75)&lt;0.000001,"PASS","REVIEW")</x:f>
        <x:v>PASS</x:v>
      </x:c>
      <x:c r="E15" t="str">
        <x:f aca="0">IF(ABS(LUCK!E37-LUCK!E75)&lt;0.000001,"PASS","REVIEW")</x:f>
        <x:v>PASS</x:v>
      </x:c>
      <x:c r="F15" t="str">
        <x:f aca="0">IF(ABS(LUCK!F37-LUCK!F75)&lt;0.000001,"PASS","REVIEW")</x:f>
        <x:v>PASS</x:v>
      </x:c>
      <x:c r="G15" t="str">
        <x:f aca="0">IF(ABS(LUCK!G37-LUCK!G75)&lt;0.000001,"PASS","REVIEW")</x:f>
        <x:v>PASS</x:v>
      </x:c>
      <x:c r="H15" t="str">
        <x:f aca="0">IF(ABS(LUCK!H37-LUCK!H75)&lt;0.000001,"PASS","REVIEW")</x:f>
        <x:v>PASS</x:v>
      </x:c>
      <x:c r="I15" t="str">
        <x:f aca="0">LUCK!G80</x:f>
        <x:v>PASS</x:v>
      </x:c>
      <x:c r="J15" t="str">
        <x:f aca="0">LUCK!H80</x:f>
        <x:v>PASS</x:v>
      </x:c>
    </x:row>
    <x:row r="16" ht="15" hidden="0">
      <x:c r="A16" t="str">
        <x:v>LUCK</x:v>
      </x:c>
      <x:c r="B16" t="str">
        <x:v>Equity / CA / CL = audited controls</x:v>
      </x:c>
      <x:c r="C16" t="str">
        <x:f>IF(AND(ABS(LUCK!C41-LUCK!C76)&lt;0.000001,ABS(LUCK!C36-LUCK!C77)&lt;0.000001,ABS(LUCK!C61-LUCK!C78)&lt;0.000001),"PASS","REVIEW")</x:f>
        <x:v>PASS</x:v>
      </x:c>
      <x:c r="D16" t="str">
        <x:f>IF(AND(ABS(LUCK!D41-LUCK!D76)&lt;0.000001,ABS(LUCK!D36-LUCK!D77)&lt;0.000001,ABS(LUCK!D61-LUCK!D78)&lt;0.000001),"PASS","REVIEW")</x:f>
        <x:v>PASS</x:v>
      </x:c>
      <x:c r="E16" t="str">
        <x:f aca="0">IF(AND(ABS(LUCK!E41-LUCK!E76)&lt;0.000001,ABS(LUCK!E36-LUCK!E77)&lt;0.000001,ABS(LUCK!E61-LUCK!E78)&lt;0.000001),"PASS","REVIEW")</x:f>
        <x:v>PASS</x:v>
      </x:c>
      <x:c r="F16" t="str">
        <x:f aca="0">IF(AND(ABS(LUCK!F41-LUCK!F76)&lt;0.000001,ABS(LUCK!F36-LUCK!F77)&lt;0.000001,ABS(LUCK!F61-LUCK!F78)&lt;0.000001),"PASS","REVIEW")</x:f>
        <x:v>PASS</x:v>
      </x:c>
      <x:c r="G16" t="str">
        <x:f aca="0">IF(AND(ABS(LUCK!G41-LUCK!G76)&lt;0.000001,ABS(LUCK!G36-LUCK!G77)&lt;0.000001,ABS(LUCK!G61-LUCK!G78)&lt;0.000001),"PASS","REVIEW")</x:f>
        <x:v>PASS</x:v>
      </x:c>
      <x:c r="H16" t="str">
        <x:f aca="0">IF(AND(ABS(LUCK!H41-LUCK!H76)&lt;0.000001,ABS(LUCK!H36-LUCK!H77)&lt;0.000001,ABS(LUCK!H61-LUCK!H78)&lt;0.000001),"PASS","REVIEW")</x:f>
        <x:v>PASS</x:v>
      </x:c>
      <x:c r="I16" t="str">
        <x:f aca="0">LUCK!G81</x:f>
        <x:v>PASS</x:v>
      </x:c>
      <x:c r="J16" t="str">
        <x:f aca="0">LUCK!H81</x:f>
        <x:v>PASS</x:v>
      </x:c>
    </x:row>
    <x:row r="17" ht="15" hidden="0">
      <x:c r="A17" t="str">
        <x:v>LUCK</x:v>
      </x:c>
      <x:c r="B17" t="str">
        <x:v>GP / PBT / PAT = audited controls</x:v>
      </x:c>
      <x:c r="D17" t="str">
        <x:f>IF(AND(ABS(LUCK!D86-LUCK!D100)&lt;0.000001,ABS(LUCK!D96-LUCK!D101)&lt;0.000001,ABS(LUCK!D99-LUCK!D102)&lt;0.000001),"PASS","REVIEW")</x:f>
        <x:v>PASS</x:v>
      </x:c>
      <x:c r="E17" t="str">
        <x:f>IF(AND(ABS(LUCK!E86-LUCK!E100)&lt;0.000001,ABS(LUCK!E96-LUCK!E101)&lt;0.000001,ABS(LUCK!E99-LUCK!E102)&lt;0.000001),"PASS","REVIEW")</x:f>
        <x:v>PASS</x:v>
      </x:c>
      <x:c r="F17" t="str">
        <x:f aca="0">IF(AND(ABS(LUCK!F86-LUCK!F100)&lt;0.000001,ABS(LUCK!F96-LUCK!F101)&lt;0.000001,ABS(LUCK!F99-LUCK!F102)&lt;0.000001),"PASS","REVIEW")</x:f>
        <x:v>PASS</x:v>
      </x:c>
      <x:c r="G17" t="str">
        <x:f aca="0">IF(AND(ABS(LUCK!G86-LUCK!G100)&lt;0.000001,ABS(LUCK!G96-LUCK!G101)&lt;0.000001,ABS(LUCK!G99-LUCK!G102)&lt;0.000001),"PASS","REVIEW")</x:f>
        <x:v>PASS</x:v>
      </x:c>
      <x:c r="H17" t="str">
        <x:f aca="0">IF(AND(ABS(LUCK!H86-LUCK!H100)&lt;0.000001,ABS(LUCK!H96-LUCK!H101)&lt;0.000001,ABS(LUCK!H99-LUCK!H102)&lt;0.000001),"PASS","REVIEW")</x:f>
        <x:v>PASS</x:v>
      </x:c>
      <x:c r="I17" t="str">
        <x:f aca="0">LUCK!G103</x:f>
        <x:v>PASS</x:v>
      </x:c>
      <x:c r="J17" t="str">
        <x:f aca="0">LUCK!H103</x:f>
        <x:v>PASS</x:v>
      </x:c>
    </x:row>
    <x:row r="18" ht="15" hidden="0">
      <x:c r="A18" t="str">
        <x:v>LUCK</x:v>
      </x:c>
      <x:c r="B18" t="str">
        <x:v>Signed EPS / share-basis source check</x:v>
      </x:c>
      <x:c r="D18" t="str">
        <x:f>IF(ABS((LUCK!D99/LUCK!D129)/1-LUCK!D132)&lt;=0.01,"PASS","REVIEW: source EPS")</x:f>
        <x:v>PASS</x:v>
      </x:c>
      <x:c r="E18" t="str">
        <x:f>IF(ABS((LUCK!E99/LUCK!E129)/1-LUCK!E132)&lt;=0.01,"PASS","REVIEW: source EPS")</x:f>
        <x:v>PASS</x:v>
      </x:c>
      <x:c r="F18" t="str">
        <x:f aca="0">IF(ABS((LUCK!F99/LUCK!F129)/1-LUCK!F132)&lt;=0.01,"PASS","REVIEW: source EPS")</x:f>
        <x:v>PASS</x:v>
      </x:c>
      <x:c r="G18" t="str">
        <x:f aca="0">IF(ABS((LUCK!G99/LUCK!G129)/1-LUCK!G132)&lt;=0.01,"PASS","REVIEW: source EPS")</x:f>
        <x:v>PASS</x:v>
      </x:c>
      <x:c r="H18" t="str">
        <x:f aca="0">IF(ABS((LUCK!H99/LUCK!H129)/1-LUCK!H132)&lt;=0.01,"PASS","REVIEW: source EPS")</x:f>
        <x:v>PASS</x:v>
      </x:c>
      <x:c r="I18" t="str">
        <x:f aca="0">IF(ABS(LUCK!G171/1-LUCK!G132)&lt;=0.01,"PASS","REVIEW")</x:f>
        <x:v>PASS</x:v>
      </x:c>
      <x:c r="J18" t="str">
        <x:f aca="0">IF(ABS(LUCK!H171/1-LUCK!H132)&lt;=0.01,"PASS","REVIEW")</x:f>
        <x:v>PASS</x:v>
      </x:c>
    </x:row>
    <x:row r="19" ht="15" hidden="0">
      <x:c r="A19" t="str">
        <x:v>LUCK</x:v>
      </x:c>
      <x:c r="B19" t="str">
        <x:v>Opening denominator balances present</x:v>
      </x:c>
      <x:c r="C19" t="str">
        <x:f>IF(COUNT(LUCK!C65,LUCK!C32,LUCK!C51,LUCK!C22,LUCK!C37,LUCK!C41,LUCK!C70)=7,"PASS","REVIEW")</x:f>
        <x:v>PASS</x:v>
      </x:c>
      <x:c r="D19" t="str">
        <x:f>IF(COUNT(LUCK!D65,LUCK!D32,LUCK!D51,LUCK!D22,LUCK!D37,LUCK!D41,LUCK!D70)=7,"PASS","REVIEW")</x:f>
        <x:v>PASS</x:v>
      </x:c>
      <x:c r="E19" t="str">
        <x:f>IF(COUNT(LUCK!E65,LUCK!E32,LUCK!E51,LUCK!E22,LUCK!E37,LUCK!E41,LUCK!E70)=7,"PASS","REVIEW")</x:f>
        <x:v>PASS</x:v>
      </x:c>
      <x:c r="F19" t="str">
        <x:f aca="0">IF(COUNT(LUCK!F65,LUCK!F32,LUCK!F51,LUCK!F22,LUCK!F37,LUCK!F41,LUCK!F70)=7,"PASS","REVIEW")</x:f>
        <x:v>PASS</x:v>
      </x:c>
      <x:c r="G19" t="str">
        <x:f aca="0">IF(COUNT(LUCK!G65,LUCK!G32,LUCK!G51,LUCK!G22,LUCK!G37,LUCK!G41,LUCK!G70)=7,"PASS","REVIEW")</x:f>
        <x:v>PASS</x:v>
      </x:c>
      <x:c r="H19" t="str">
        <x:f aca="0">IF(COUNT(LUCK!H65,LUCK!H32,LUCK!H51,LUCK!H22,LUCK!H37,LUCK!H41,LUCK!H70)=7,"PASS","REVIEW")</x:f>
        <x:v>PASS</x:v>
      </x:c>
      <x:c r="I19" t="str">
        <x:f aca="0">IF(AND(ISNUMBER(LUCK!F37),ISNUMBER(LUCK!F51),ISNUMBER(LUCK!F21)),"PASS","FAIL")</x:f>
        <x:v>PASS</x:v>
      </x:c>
      <x:c r="J19" t="str">
        <x:f aca="0">IF(AND(ISNUMBER(LUCK!G37),ISNUMBER(LUCK!G51),ISNUMBER(LUCK!G21)),"PASS","FAIL")</x:f>
        <x:v>PASS</x:v>
      </x:c>
    </x:row>
    <x:row r="20" ht="15" hidden="0">
      <x:c r="A20" t="str">
        <x:v>LUCK</x:v>
      </x:c>
      <x:c r="B20" t="str">
        <x:v>All 33 independent checks</x:v>
      </x:c>
      <x:c r="D20" t="str">
        <x:f>IF(COUNTIFS('Ratio Verification'!A6:A830,"LUCK",'Ratio Verification'!B6:B830,2021,'Ratio Verification'!N6:N830,"PASS")=33,"PASS","FAIL")</x:f>
        <x:v>PASS</x:v>
      </x:c>
      <x:c r="E20" t="str">
        <x:f>IF(COUNTIFS('Ratio Verification'!A6:A830,"LUCK",'Ratio Verification'!B6:B830,2022,'Ratio Verification'!N6:N830,"PASS")=33,"PASS","FAIL")</x:f>
        <x:v>PASS</x:v>
      </x:c>
      <x:c r="F20" t="str">
        <x:f aca="0">IF(COUNTIFS('Ratio Verification'!A6:A830,"LUCK",'Ratio Verification'!B6:B830,2023,'Ratio Verification'!N6:N830,"PASS")=33,"PASS","FAIL")</x:f>
        <x:v>PASS</x:v>
      </x:c>
      <x:c r="G20" t="str">
        <x:f aca="0">IF(COUNTIFS('Ratio Verification'!A6:A830,"LUCK",'Ratio Verification'!B6:B830,2024,'Ratio Verification'!N6:N830,"PASS")=33,"PASS","FAIL")</x:f>
        <x:v>PASS</x:v>
      </x:c>
      <x:c r="H20" t="str">
        <x:f aca="0">IF(COUNTIFS('Ratio Verification'!A6:A830,"LUCK",'Ratio Verification'!B6:B830,2025,'Ratio Verification'!N6:N830,"PASS")=33,"PASS","FAIL")</x:f>
        <x:v>PASS</x:v>
      </x:c>
      <x:c r="I20" t="str">
        <x:f aca="0">IF(SUMPRODUCT(--ISERROR(LUCK!G138:G189))=0,"PASS","FAIL")</x:f>
        <x:v>PASS</x:v>
      </x:c>
      <x:c r="J20" t="str">
        <x:f aca="0">IF(SUMPRODUCT(--ISERROR(LUCK!H138:H189))=0,"PASS","FAIL")</x:f>
        <x:v>PASS</x:v>
      </x:c>
    </x:row>
    <x:row r="21" ht="15" hidden="0">
      <x:c r="A21" t="str">
        <x:v>LUCK</x:v>
      </x:c>
      <x:c r="B21" t="str">
        <x:v>n/m results (informational)</x:v>
      </x:c>
      <x:c r="D21" t="n">
        <x:f>COUNTIF(LUCK!D138:D174,"n/m")</x:f>
        <x:v>1</x:v>
      </x:c>
      <x:c r="E21" t="n">
        <x:f>COUNTIF(LUCK!E138:E174,"n/m")</x:f>
        <x:v>1</x:v>
      </x:c>
      <x:c r="F21" t="n">
        <x:f aca="0">COUNTIF(LUCK!F138:F174,"n/m")</x:f>
        <x:v>1</x:v>
      </x:c>
      <x:c r="G21" t="n">
        <x:f aca="0">COUNTIF(LUCK!G138:G174,"n/m")</x:f>
        <x:v>1</x:v>
      </x:c>
      <x:c r="H21" t="n">
        <x:f aca="0">COUNTIF(LUCK!H138:H174,"n/m")</x:f>
        <x:v>1</x:v>
      </x:c>
      <x:c r="I21" t="n">
        <x:f aca="0">COUNTIF(LUCK!G138:G182,"n/m")</x:f>
        <x:v>1</x:v>
      </x:c>
      <x:c r="J21" t="n">
        <x:f aca="0">COUNTIF(LUCK!H138:H182,"n/m")</x:f>
        <x:v>1</x:v>
      </x:c>
    </x:row>
    <x:row r="22" ht="15" hidden="0">
      <x:c r="A22" t="str">
        <x:v>LUCK</x:v>
      </x:c>
      <x:c r="B22" t="str">
        <x:v>PSX historical price evidence</x:v>
      </x:c>
      <x:c r="D22" t="str">
        <x:v>Verified official CLOSE</x:v>
      </x:c>
      <x:c r="E22" t="str">
        <x:v>Verified official CLOSE</x:v>
      </x:c>
      <x:c r="F22" t="str">
        <x:v>Verified official CLOSE</x:v>
      </x:c>
      <x:c r="G22" t="str">
        <x:v>Verified official CLOSE</x:v>
      </x:c>
      <x:c r="H22" t="str">
        <x:v>Verified official CLOSE</x:v>
      </x:c>
      <x:c r="I22" t="str">
        <x:v>VERIFIED PSX</x:v>
      </x:c>
      <x:c r="J22" t="str">
        <x:v>VERIFIED PSX</x:v>
      </x:c>
      <x:c r="K22" s="9" t="str">
        <x:v>25 observations verified independently against PSX historical CLOSE records on 22 October 2026; see PSX Prices and Price Evidence.</x:v>
      </x:c>
    </x:row>
    <x:row r="23" ht="15" hidden="0">
      <x:c r="A23" t="str">
        <x:v>DGKC</x:v>
      </x:c>
      <x:c r="B23" t="str">
        <x:v>Assets = equity + liabilities</x:v>
      </x:c>
      <x:c r="C23" t="str">
        <x:f>IF(ABS(DGKC!C37-DGKC!C63)&lt;0.000001,"PASS","REVIEW: official footing")</x:f>
        <x:v>PASS</x:v>
      </x:c>
      <x:c r="D23" t="str">
        <x:f>IF(ABS(DGKC!D37-DGKC!D63)&lt;0.000001,"PASS","REVIEW: official footing")</x:f>
        <x:v>PASS</x:v>
      </x:c>
      <x:c r="E23" t="str">
        <x:f aca="0">IF(ABS(DGKC!E37-DGKC!E63)&lt;0.000001,"PASS","REVIEW: official footing")</x:f>
        <x:v>PASS</x:v>
      </x:c>
      <x:c r="F23" t="str">
        <x:f aca="0">IF(ABS(DGKC!F37-DGKC!F63)&lt;0.000001,"PASS","REVIEW: official footing")</x:f>
        <x:v>PASS</x:v>
      </x:c>
      <x:c r="G23" t="str">
        <x:f aca="0">IF(ABS(DGKC!G37-DGKC!G63)&lt;0.000001,"PASS","REVIEW: official footing")</x:f>
        <x:v>PASS</x:v>
      </x:c>
      <x:c r="H23" t="str">
        <x:f aca="0">IF(ABS(DGKC!H37-DGKC!H63)&lt;0.000001,"PASS","REVIEW: official footing")</x:f>
        <x:v>PASS</x:v>
      </x:c>
      <x:c r="I23" t="str">
        <x:f aca="0">DGKC!G79</x:f>
        <x:v>PASS</x:v>
      </x:c>
      <x:c r="J23" t="str">
        <x:f aca="0">DGKC!H79</x:f>
        <x:v>PASS</x:v>
      </x:c>
    </x:row>
    <x:row r="24" ht="15" hidden="0">
      <x:c r="A24" t="str">
        <x:v>DGKC</x:v>
      </x:c>
      <x:c r="B24" t="str">
        <x:v>Assets = audited printed total</x:v>
      </x:c>
      <x:c r="C24" t="str">
        <x:f>IF(ABS(DGKC!C37-DGKC!C75)&lt;0.000001,"PASS","REVIEW")</x:f>
        <x:v>PASS</x:v>
      </x:c>
      <x:c r="D24" t="str">
        <x:f>IF(ABS(DGKC!D37-DGKC!D75)&lt;0.000001,"PASS","REVIEW")</x:f>
        <x:v>PASS</x:v>
      </x:c>
      <x:c r="E24" t="str">
        <x:f aca="0">IF(ABS(DGKC!E37-DGKC!E75)&lt;0.000001,"PASS","REVIEW")</x:f>
        <x:v>PASS</x:v>
      </x:c>
      <x:c r="F24" t="str">
        <x:f aca="0">IF(ABS(DGKC!F37-DGKC!F75)&lt;0.000001,"PASS","REVIEW")</x:f>
        <x:v>PASS</x:v>
      </x:c>
      <x:c r="G24" t="str">
        <x:f aca="0">IF(ABS(DGKC!G37-DGKC!G75)&lt;0.000001,"PASS","REVIEW")</x:f>
        <x:v>PASS</x:v>
      </x:c>
      <x:c r="H24" t="str">
        <x:f aca="0">IF(ABS(DGKC!H37-DGKC!H75)&lt;0.000001,"PASS","REVIEW")</x:f>
        <x:v>PASS</x:v>
      </x:c>
      <x:c r="I24" t="str">
        <x:f aca="0">DGKC!G80</x:f>
        <x:v>PASS</x:v>
      </x:c>
      <x:c r="J24" t="str">
        <x:f aca="0">DGKC!H80</x:f>
        <x:v>PASS</x:v>
      </x:c>
    </x:row>
    <x:row r="25" ht="15" hidden="0">
      <x:c r="A25" t="str">
        <x:v>DGKC</x:v>
      </x:c>
      <x:c r="B25" t="str">
        <x:v>Equity / CA / CL = audited controls</x:v>
      </x:c>
      <x:c r="C25" t="str">
        <x:f>IF(AND(ABS(DGKC!C41-DGKC!C76)&lt;0.000001,ABS(DGKC!C36-DGKC!C77)&lt;0.000001,ABS(DGKC!C61-DGKC!C78)&lt;0.000001),"PASS","REVIEW")</x:f>
        <x:v>PASS</x:v>
      </x:c>
      <x:c r="D25" t="str">
        <x:f>IF(AND(ABS(DGKC!D41-DGKC!D76)&lt;0.000001,ABS(DGKC!D36-DGKC!D77)&lt;0.000001,ABS(DGKC!D61-DGKC!D78)&lt;0.000001),"PASS","REVIEW")</x:f>
        <x:v>PASS</x:v>
      </x:c>
      <x:c r="E25" t="str">
        <x:f aca="0">IF(AND(ABS(DGKC!E41-DGKC!E76)&lt;0.000001,ABS(DGKC!E36-DGKC!E77)&lt;0.000001,ABS(DGKC!E61-DGKC!E78)&lt;0.000001),"PASS","REVIEW")</x:f>
        <x:v>PASS</x:v>
      </x:c>
      <x:c r="F25" t="str">
        <x:f aca="0">IF(AND(ABS(DGKC!F41-DGKC!F76)&lt;0.000001,ABS(DGKC!F36-DGKC!F77)&lt;0.000001,ABS(DGKC!F61-DGKC!F78)&lt;0.000001),"PASS","REVIEW")</x:f>
        <x:v>PASS</x:v>
      </x:c>
      <x:c r="G25" t="str">
        <x:f aca="0">IF(AND(ABS(DGKC!G41-DGKC!G76)&lt;0.000001,ABS(DGKC!G36-DGKC!G77)&lt;0.000001,ABS(DGKC!G61-DGKC!G78)&lt;0.000001),"PASS","REVIEW")</x:f>
        <x:v>PASS</x:v>
      </x:c>
      <x:c r="H25" t="str">
        <x:f aca="0">IF(AND(ABS(DGKC!H41-DGKC!H76)&lt;0.000001,ABS(DGKC!H36-DGKC!H77)&lt;0.000001,ABS(DGKC!H61-DGKC!H78)&lt;0.000001),"PASS","REVIEW")</x:f>
        <x:v>PASS</x:v>
      </x:c>
      <x:c r="I25" t="str">
        <x:f aca="0">DGKC!G81</x:f>
        <x:v>PASS</x:v>
      </x:c>
      <x:c r="J25" t="str">
        <x:f aca="0">DGKC!H81</x:f>
        <x:v>PASS</x:v>
      </x:c>
    </x:row>
    <x:row r="26" ht="15" hidden="0">
      <x:c r="A26" t="str">
        <x:v>DGKC</x:v>
      </x:c>
      <x:c r="B26" t="str">
        <x:v>GP / PBT / PAT = audited controls</x:v>
      </x:c>
      <x:c r="D26" t="str">
        <x:f>IF(AND(ABS(DGKC!D86-DGKC!D100)&lt;0.000001,ABS(DGKC!D96-DGKC!D101)&lt;0.000001,ABS(DGKC!D99-DGKC!D102)&lt;0.000001),"PASS","REVIEW")</x:f>
        <x:v>PASS</x:v>
      </x:c>
      <x:c r="E26" t="str">
        <x:f>IF(AND(ABS(DGKC!E86-DGKC!E100)&lt;0.000001,ABS(DGKC!E96-DGKC!E101)&lt;0.000001,ABS(DGKC!E99-DGKC!E102)&lt;0.000001),"PASS","REVIEW")</x:f>
        <x:v>PASS</x:v>
      </x:c>
      <x:c r="F26" t="str">
        <x:f aca="0">IF(AND(ABS(DGKC!F86-DGKC!F100)&lt;0.000001,ABS(DGKC!F96-DGKC!F101)&lt;0.000001,ABS(DGKC!F99-DGKC!F102)&lt;0.000001),"PASS","REVIEW")</x:f>
        <x:v>PASS</x:v>
      </x:c>
      <x:c r="G26" t="str">
        <x:f aca="0">IF(AND(ABS(DGKC!G86-DGKC!G100)&lt;0.000001,ABS(DGKC!G96-DGKC!G101)&lt;0.000001,ABS(DGKC!G99-DGKC!G102)&lt;0.000001),"PASS","REVIEW")</x:f>
        <x:v>PASS</x:v>
      </x:c>
      <x:c r="H26" t="str">
        <x:f aca="0">IF(AND(ABS(DGKC!H86-DGKC!H100)&lt;0.000001,ABS(DGKC!H96-DGKC!H101)&lt;0.000001,ABS(DGKC!H99-DGKC!H102)&lt;0.000001),"PASS","REVIEW")</x:f>
        <x:v>PASS</x:v>
      </x:c>
      <x:c r="I26" t="str">
        <x:f aca="0">DGKC!G103</x:f>
        <x:v>PASS</x:v>
      </x:c>
      <x:c r="J26" t="str">
        <x:f aca="0">DGKC!H103</x:f>
        <x:v>PASS</x:v>
      </x:c>
    </x:row>
    <x:row r="27" ht="15" hidden="0">
      <x:c r="A27" t="str">
        <x:v>DGKC</x:v>
      </x:c>
      <x:c r="B27" t="str">
        <x:v>Signed EPS / share-basis source check</x:v>
      </x:c>
      <x:c r="D27" t="str">
        <x:f>IF(ABS((DGKC!D99/DGKC!D129)/1-DGKC!D132)&lt;=0.01,"PASS","REVIEW: source EPS")</x:f>
        <x:v>PASS</x:v>
      </x:c>
      <x:c r="E27" t="str">
        <x:f>IF(ABS((DGKC!E99/DGKC!E129)/1-DGKC!E132)&lt;=0.01,"PASS","REVIEW: source EPS")</x:f>
        <x:v>PASS</x:v>
      </x:c>
      <x:c r="F27" t="str">
        <x:f aca="0">IF(ABS((DGKC!F99/DGKC!F129)/1-DGKC!F132)&lt;=0.01,"PASS","REVIEW: source EPS")</x:f>
        <x:v>PASS</x:v>
      </x:c>
      <x:c r="G27" t="str">
        <x:f aca="0">IF(ABS((DGKC!G99/DGKC!G129)/1-DGKC!G132)&lt;=0.01,"PASS","REVIEW: source EPS")</x:f>
        <x:v>PASS</x:v>
      </x:c>
      <x:c r="H27" t="str">
        <x:f aca="0">IF(ABS((DGKC!H99/DGKC!H129)/1-DGKC!H132)&lt;=0.01,"PASS","REVIEW: source EPS")</x:f>
        <x:v>PASS</x:v>
      </x:c>
      <x:c r="I27" t="str">
        <x:f aca="0">IF(ABS(DGKC!G171/1-DGKC!G132)&lt;=0.01,"PASS","REVIEW")</x:f>
        <x:v>PASS</x:v>
      </x:c>
      <x:c r="J27" t="str">
        <x:f aca="0">IF(ABS(DGKC!H171/1-DGKC!H132)&lt;=0.01,"PASS","REVIEW")</x:f>
        <x:v>PASS</x:v>
      </x:c>
    </x:row>
    <x:row r="28" ht="15" hidden="0">
      <x:c r="A28" t="str">
        <x:v>DGKC</x:v>
      </x:c>
      <x:c r="B28" t="str">
        <x:v>Opening denominator balances present</x:v>
      </x:c>
      <x:c r="C28" t="str">
        <x:f>IF(COUNT(DGKC!C65,DGKC!C32,DGKC!C51,DGKC!C22,DGKC!C37,DGKC!C41,DGKC!C70)=7,"PASS","REVIEW")</x:f>
        <x:v>PASS</x:v>
      </x:c>
      <x:c r="D28" t="str">
        <x:f>IF(COUNT(DGKC!D65,DGKC!D32,DGKC!D51,DGKC!D22,DGKC!D37,DGKC!D41,DGKC!D70)=7,"PASS","REVIEW")</x:f>
        <x:v>PASS</x:v>
      </x:c>
      <x:c r="E28" t="str">
        <x:f>IF(COUNT(DGKC!E65,DGKC!E32,DGKC!E51,DGKC!E22,DGKC!E37,DGKC!E41,DGKC!E70)=7,"PASS","REVIEW")</x:f>
        <x:v>PASS</x:v>
      </x:c>
      <x:c r="F28" t="str">
        <x:f aca="0">IF(COUNT(DGKC!F65,DGKC!F32,DGKC!F51,DGKC!F22,DGKC!F37,DGKC!F41,DGKC!F70)=7,"PASS","REVIEW")</x:f>
        <x:v>PASS</x:v>
      </x:c>
      <x:c r="G28" t="str">
        <x:f aca="0">IF(COUNT(DGKC!G65,DGKC!G32,DGKC!G51,DGKC!G22,DGKC!G37,DGKC!G41,DGKC!G70)=7,"PASS","REVIEW")</x:f>
        <x:v>PASS</x:v>
      </x:c>
      <x:c r="H28" t="str">
        <x:f aca="0">IF(COUNT(DGKC!H65,DGKC!H32,DGKC!H51,DGKC!H22,DGKC!H37,DGKC!H41,DGKC!H70)=7,"PASS","REVIEW")</x:f>
        <x:v>PASS</x:v>
      </x:c>
      <x:c r="I28" t="str">
        <x:f aca="0">IF(AND(ISNUMBER(DGKC!F37),ISNUMBER(DGKC!F51),ISNUMBER(DGKC!F21)),"PASS","FAIL")</x:f>
        <x:v>PASS</x:v>
      </x:c>
      <x:c r="J28" t="str">
        <x:f aca="0">IF(AND(ISNUMBER(DGKC!G37),ISNUMBER(DGKC!G51),ISNUMBER(DGKC!G21)),"PASS","FAIL")</x:f>
        <x:v>PASS</x:v>
      </x:c>
    </x:row>
    <x:row r="29" ht="15" hidden="0">
      <x:c r="A29" t="str">
        <x:v>DGKC</x:v>
      </x:c>
      <x:c r="B29" t="str">
        <x:v>All 33 independent checks</x:v>
      </x:c>
      <x:c r="D29" t="str">
        <x:f>IF(COUNTIFS('Ratio Verification'!A6:A830,"DGKC",'Ratio Verification'!B6:B830,2021,'Ratio Verification'!N6:N830,"PASS")=33,"PASS","FAIL")</x:f>
        <x:v>PASS</x:v>
      </x:c>
      <x:c r="E29" t="str">
        <x:f>IF(COUNTIFS('Ratio Verification'!A6:A830,"DGKC",'Ratio Verification'!B6:B830,2022,'Ratio Verification'!N6:N830,"PASS")=33,"PASS","FAIL")</x:f>
        <x:v>PASS</x:v>
      </x:c>
      <x:c r="F29" t="str">
        <x:f aca="0">IF(COUNTIFS('Ratio Verification'!A6:A830,"DGKC",'Ratio Verification'!B6:B830,2023,'Ratio Verification'!N6:N830,"PASS")=33,"PASS","FAIL")</x:f>
        <x:v>PASS</x:v>
      </x:c>
      <x:c r="G29" t="str">
        <x:f aca="0">IF(COUNTIFS('Ratio Verification'!A6:A830,"DGKC",'Ratio Verification'!B6:B830,2024,'Ratio Verification'!N6:N830,"PASS")=33,"PASS","FAIL")</x:f>
        <x:v>PASS</x:v>
      </x:c>
      <x:c r="H29" t="str">
        <x:f aca="0">IF(COUNTIFS('Ratio Verification'!A6:A830,"DGKC",'Ratio Verification'!B6:B830,2025,'Ratio Verification'!N6:N830,"PASS")=33,"PASS","FAIL")</x:f>
        <x:v>PASS</x:v>
      </x:c>
      <x:c r="I29" t="str">
        <x:f aca="0">IF(SUMPRODUCT(--ISERROR(DGKC!G138:G189))=0,"PASS","FAIL")</x:f>
        <x:v>PASS</x:v>
      </x:c>
      <x:c r="J29" t="str">
        <x:f aca="0">IF(SUMPRODUCT(--ISERROR(DGKC!H138:H189))=0,"PASS","FAIL")</x:f>
        <x:v>PASS</x:v>
      </x:c>
    </x:row>
    <x:row r="30" ht="15" hidden="0">
      <x:c r="A30" t="str">
        <x:v>DGKC</x:v>
      </x:c>
      <x:c r="B30" t="str">
        <x:v>n/m results (informational)</x:v>
      </x:c>
      <x:c r="D30" t="n">
        <x:f>COUNTIF(DGKC!D138:D174,"n/m")</x:f>
        <x:v>1</x:v>
      </x:c>
      <x:c r="E30" t="n">
        <x:f>COUNTIF(DGKC!E138:E174,"n/m")</x:f>
        <x:v>1</x:v>
      </x:c>
      <x:c r="F30" t="n">
        <x:f aca="0">COUNTIF(DGKC!F138:F174,"n/m")</x:f>
        <x:v>8</x:v>
      </x:c>
      <x:c r="G30" t="n">
        <x:f aca="0">COUNTIF(DGKC!G138:G174,"n/m")</x:f>
        <x:v>0</x:v>
      </x:c>
      <x:c r="H30" t="n">
        <x:f aca="0">COUNTIF(DGKC!H138:H174,"n/m")</x:f>
        <x:v>0</x:v>
      </x:c>
      <x:c r="I30" t="n">
        <x:f aca="0">COUNTIF(DGKC!G138:G182,"n/m")</x:f>
        <x:v>0</x:v>
      </x:c>
      <x:c r="J30" t="n">
        <x:f aca="0">COUNTIF(DGKC!H138:H182,"n/m")</x:f>
        <x:v>0</x:v>
      </x:c>
    </x:row>
    <x:row r="31" ht="15" hidden="0">
      <x:c r="A31" t="str">
        <x:v>DGKC</x:v>
      </x:c>
      <x:c r="B31" t="str">
        <x:v>PSX historical price evidence</x:v>
      </x:c>
      <x:c r="D31" t="str">
        <x:v>Verified official CLOSE</x:v>
      </x:c>
      <x:c r="E31" t="str">
        <x:v>Verified official CLOSE</x:v>
      </x:c>
      <x:c r="F31" t="str">
        <x:v>Verified official CLOSE</x:v>
      </x:c>
      <x:c r="G31" t="str">
        <x:v>Verified official CLOSE</x:v>
      </x:c>
      <x:c r="H31" t="str">
        <x:v>Verified official CLOSE</x:v>
      </x:c>
      <x:c r="I31" t="str">
        <x:v>VERIFIED PSX</x:v>
      </x:c>
      <x:c r="J31" t="str">
        <x:v>VERIFIED PSX</x:v>
      </x:c>
      <x:c r="K31" s="9" t="str">
        <x:v>25 observations verified independently against PSX historical CLOSE records on 22 October 2026; see PSX Prices and Price Evidence.</x:v>
      </x:c>
    </x:row>
    <x:row r="32" ht="15" hidden="0">
      <x:c r="A32" t="str">
        <x:v>MLCF</x:v>
      </x:c>
      <x:c r="B32" t="str">
        <x:v>Assets = equity + liabilities</x:v>
      </x:c>
      <x:c r="C32" t="str">
        <x:f>IF(ABS(MLCF!C37-MLCF!C63)&lt;0.000001,"PASS","REVIEW: official footing")</x:f>
        <x:v>PASS</x:v>
      </x:c>
      <x:c r="D32" t="str">
        <x:f>IF(ABS(MLCF!D37-MLCF!D63)&lt;0.000001,"PASS","REVIEW: official footing")</x:f>
        <x:v>PASS</x:v>
      </x:c>
      <x:c r="E32" t="str">
        <x:f aca="0">IF(ABS(MLCF!E37-MLCF!E63)&lt;0.000001,"PASS","REVIEW: official footing")</x:f>
        <x:v>PASS</x:v>
      </x:c>
      <x:c r="F32" t="str">
        <x:f aca="0">IF(ABS(MLCF!F37-MLCF!F63)&lt;0.000001,"PASS","REVIEW: official footing")</x:f>
        <x:v>PASS</x:v>
      </x:c>
      <x:c r="G32" t="str">
        <x:f aca="0">IF(ABS(MLCF!G37-MLCF!G63)&lt;0.000001,"PASS","REVIEW: official footing")</x:f>
        <x:v>PASS</x:v>
      </x:c>
      <x:c r="H32" t="str">
        <x:f aca="0">IF(ABS(MLCF!H37-MLCF!H63)&lt;0.000001,"PASS","REVIEW: official footing")</x:f>
        <x:v>PASS</x:v>
      </x:c>
      <x:c r="I32" t="str">
        <x:f aca="0">MLCF!G79</x:f>
        <x:v>PASS</x:v>
      </x:c>
      <x:c r="J32" t="str">
        <x:f aca="0">MLCF!H79</x:f>
        <x:v>PASS</x:v>
      </x:c>
    </x:row>
    <x:row r="33" ht="15" hidden="0">
      <x:c r="A33" t="str">
        <x:v>MLCF</x:v>
      </x:c>
      <x:c r="B33" t="str">
        <x:v>Assets = audited printed total</x:v>
      </x:c>
      <x:c r="C33" t="str">
        <x:f>IF(ABS(MLCF!C37-MLCF!C75)&lt;0.000001,"PASS","REVIEW")</x:f>
        <x:v>PASS</x:v>
      </x:c>
      <x:c r="D33" t="str">
        <x:f>IF(ABS(MLCF!D37-MLCF!D75)&lt;0.000001,"PASS","REVIEW")</x:f>
        <x:v>PASS</x:v>
      </x:c>
      <x:c r="E33" t="str">
        <x:f aca="0">IF(ABS(MLCF!E37-MLCF!E75)&lt;0.000001,"PASS","REVIEW")</x:f>
        <x:v>PASS</x:v>
      </x:c>
      <x:c r="F33" t="str">
        <x:f aca="0">IF(ABS(MLCF!F37-MLCF!F75)&lt;0.000001,"PASS","REVIEW")</x:f>
        <x:v>PASS</x:v>
      </x:c>
      <x:c r="G33" t="str">
        <x:f aca="0">IF(ABS(MLCF!G37-MLCF!G75)&lt;0.000001,"PASS","REVIEW")</x:f>
        <x:v>PASS</x:v>
      </x:c>
      <x:c r="H33" t="str">
        <x:f aca="0">IF(ABS(MLCF!H37-MLCF!H75)&lt;0.000001,"PASS","REVIEW")</x:f>
        <x:v>PASS</x:v>
      </x:c>
      <x:c r="I33" t="str">
        <x:f aca="0">MLCF!G80</x:f>
        <x:v>PASS</x:v>
      </x:c>
      <x:c r="J33" t="str">
        <x:f aca="0">MLCF!H80</x:f>
        <x:v>PASS</x:v>
      </x:c>
    </x:row>
    <x:row r="34" ht="15" hidden="0">
      <x:c r="A34" t="str">
        <x:v>MLCF</x:v>
      </x:c>
      <x:c r="B34" t="str">
        <x:v>Equity / CA / CL = audited controls</x:v>
      </x:c>
      <x:c r="C34" t="str">
        <x:f>IF(AND(ABS(MLCF!C41-MLCF!C76)&lt;0.000001,ABS(MLCF!C36-MLCF!C77)&lt;0.000001,ABS(MLCF!C61-MLCF!C78)&lt;0.000001),"PASS","REVIEW")</x:f>
        <x:v>PASS</x:v>
      </x:c>
      <x:c r="D34" t="str">
        <x:f>IF(AND(ABS(MLCF!D41-MLCF!D76)&lt;0.000001,ABS(MLCF!D36-MLCF!D77)&lt;0.000001,ABS(MLCF!D61-MLCF!D78)&lt;0.000001),"PASS","REVIEW")</x:f>
        <x:v>PASS</x:v>
      </x:c>
      <x:c r="E34" t="str">
        <x:f aca="0">IF(AND(ABS(MLCF!E41-MLCF!E76)&lt;0.000001,ABS(MLCF!E36-MLCF!E77)&lt;0.000001,ABS(MLCF!E61-MLCF!E78)&lt;0.000001),"PASS","REVIEW")</x:f>
        <x:v>PASS</x:v>
      </x:c>
      <x:c r="F34" t="str">
        <x:f aca="0">IF(AND(ABS(MLCF!F41-MLCF!F76)&lt;0.000001,ABS(MLCF!F36-MLCF!F77)&lt;0.000001,ABS(MLCF!F61-MLCF!F78)&lt;0.000001),"PASS","REVIEW")</x:f>
        <x:v>PASS</x:v>
      </x:c>
      <x:c r="G34" t="str">
        <x:f aca="0">IF(AND(ABS(MLCF!G41-MLCF!G76)&lt;0.000001,ABS(MLCF!G36-MLCF!G77)&lt;0.000001,ABS(MLCF!G61-MLCF!G78)&lt;0.000001),"PASS","REVIEW")</x:f>
        <x:v>PASS</x:v>
      </x:c>
      <x:c r="H34" t="str">
        <x:f aca="0">IF(AND(ABS(MLCF!H41-MLCF!H76)&lt;0.000001,ABS(MLCF!H36-MLCF!H77)&lt;0.000001,ABS(MLCF!H61-MLCF!H78)&lt;0.000001),"PASS","REVIEW")</x:f>
        <x:v>PASS</x:v>
      </x:c>
      <x:c r="I34" t="str">
        <x:f aca="0">MLCF!G81</x:f>
        <x:v>PASS</x:v>
      </x:c>
      <x:c r="J34" t="str">
        <x:f aca="0">MLCF!H81</x:f>
        <x:v>PASS</x:v>
      </x:c>
    </x:row>
    <x:row r="35" ht="15" hidden="0">
      <x:c r="A35" t="str">
        <x:v>MLCF</x:v>
      </x:c>
      <x:c r="B35" t="str">
        <x:v>GP / PBT / PAT = audited controls</x:v>
      </x:c>
      <x:c r="D35" t="str">
        <x:f>IF(AND(ABS(MLCF!D86-MLCF!D100)&lt;0.000001,ABS(MLCF!D96-MLCF!D101)&lt;0.000001,ABS(MLCF!D99-MLCF!D102)&lt;0.000001),"PASS","REVIEW")</x:f>
        <x:v>PASS</x:v>
      </x:c>
      <x:c r="E35" t="str">
        <x:f>IF(AND(ABS(MLCF!E86-MLCF!E100)&lt;0.000001,ABS(MLCF!E96-MLCF!E101)&lt;0.000001,ABS(MLCF!E99-MLCF!E102)&lt;0.000001),"PASS","REVIEW")</x:f>
        <x:v>PASS</x:v>
      </x:c>
      <x:c r="F35" t="str">
        <x:f aca="0">IF(AND(ABS(MLCF!F86-MLCF!F100)&lt;0.000001,ABS(MLCF!F96-MLCF!F101)&lt;0.000001,ABS(MLCF!F99-MLCF!F102)&lt;0.000001),"PASS","REVIEW")</x:f>
        <x:v>PASS</x:v>
      </x:c>
      <x:c r="G35" t="str">
        <x:f aca="0">IF(AND(ABS(MLCF!G86-MLCF!G100)&lt;0.000001,ABS(MLCF!G96-MLCF!G101)&lt;0.000001,ABS(MLCF!G99-MLCF!G102)&lt;0.000001),"PASS","REVIEW")</x:f>
        <x:v>PASS</x:v>
      </x:c>
      <x:c r="H35" t="str">
        <x:f aca="0">IF(AND(ABS(MLCF!H86-MLCF!H100)&lt;0.000001,ABS(MLCF!H96-MLCF!H101)&lt;0.000001,ABS(MLCF!H99-MLCF!H102)&lt;0.000001),"PASS","REVIEW")</x:f>
        <x:v>PASS</x:v>
      </x:c>
      <x:c r="I35" t="str">
        <x:f aca="0">MLCF!G103</x:f>
        <x:v>PASS</x:v>
      </x:c>
      <x:c r="J35" t="str">
        <x:f aca="0">MLCF!H103</x:f>
        <x:v>PASS</x:v>
      </x:c>
    </x:row>
    <x:row r="36" ht="15" hidden="0">
      <x:c r="A36" t="str">
        <x:v>MLCF</x:v>
      </x:c>
      <x:c r="B36" t="str">
        <x:v>Signed EPS / share-basis source check</x:v>
      </x:c>
      <x:c r="D36" t="str">
        <x:f>IF(ABS((MLCF!D99/MLCF!D129)/1-MLCF!D132)&lt;=0.01,"PASS","REVIEW: source EPS")</x:f>
        <x:v>PASS</x:v>
      </x:c>
      <x:c r="E36" t="str">
        <x:f>IF(ABS((MLCF!E99/MLCF!E129)/1-MLCF!E132)&lt;=0.01,"PASS","REVIEW: source EPS")</x:f>
        <x:v>PASS</x:v>
      </x:c>
      <x:c r="F36" t="str">
        <x:f aca="0">IF(ABS((MLCF!F99/MLCF!F129)/1-MLCF!F132)&lt;=0.01,"PASS","REVIEW: source EPS")</x:f>
        <x:v>PASS</x:v>
      </x:c>
      <x:c r="G36" t="str">
        <x:f aca="0">IF(ABS((MLCF!G99/MLCF!G129)/1-MLCF!G132)&lt;=0.01,"PASS","REVIEW: source EPS")</x:f>
        <x:v>PASS</x:v>
      </x:c>
      <x:c r="H36" t="str">
        <x:f aca="0">IF(ABS((MLCF!H99/MLCF!H129)/1-MLCF!H132)&lt;=0.01,"PASS","REVIEW: source EPS")</x:f>
        <x:v>PASS</x:v>
      </x:c>
      <x:c r="I36" t="str">
        <x:f aca="0">IF(ABS(MLCF!G171/1-MLCF!G132)&lt;=0.01,"PASS","REVIEW")</x:f>
        <x:v>PASS</x:v>
      </x:c>
      <x:c r="J36" t="str">
        <x:f aca="0">IF(ABS(MLCF!H171/1-MLCF!H132)&lt;=0.01,"PASS","REVIEW")</x:f>
        <x:v>PASS</x:v>
      </x:c>
    </x:row>
    <x:row r="37" ht="15" hidden="0">
      <x:c r="A37" t="str">
        <x:v>MLCF</x:v>
      </x:c>
      <x:c r="B37" t="str">
        <x:v>Opening denominator balances present</x:v>
      </x:c>
      <x:c r="C37" t="str">
        <x:f>IF(COUNT(MLCF!C65,MLCF!C32,MLCF!C51,MLCF!C22,MLCF!C37,MLCF!C41,MLCF!C70)=7,"PASS","REVIEW")</x:f>
        <x:v>PASS</x:v>
      </x:c>
      <x:c r="D37" t="str">
        <x:f>IF(COUNT(MLCF!D65,MLCF!D32,MLCF!D51,MLCF!D22,MLCF!D37,MLCF!D41,MLCF!D70)=7,"PASS","REVIEW")</x:f>
        <x:v>PASS</x:v>
      </x:c>
      <x:c r="E37" t="str">
        <x:f>IF(COUNT(MLCF!E65,MLCF!E32,MLCF!E51,MLCF!E22,MLCF!E37,MLCF!E41,MLCF!E70)=7,"PASS","REVIEW")</x:f>
        <x:v>PASS</x:v>
      </x:c>
      <x:c r="F37" t="str">
        <x:f aca="0">IF(COUNT(MLCF!F65,MLCF!F32,MLCF!F51,MLCF!F22,MLCF!F37,MLCF!F41,MLCF!F70)=7,"PASS","REVIEW")</x:f>
        <x:v>PASS</x:v>
      </x:c>
      <x:c r="G37" t="str">
        <x:f aca="0">IF(COUNT(MLCF!G65,MLCF!G32,MLCF!G51,MLCF!G22,MLCF!G37,MLCF!G41,MLCF!G70)=7,"PASS","REVIEW")</x:f>
        <x:v>PASS</x:v>
      </x:c>
      <x:c r="H37" t="str">
        <x:f aca="0">IF(COUNT(MLCF!H65,MLCF!H32,MLCF!H51,MLCF!H22,MLCF!H37,MLCF!H41,MLCF!H70)=7,"PASS","REVIEW")</x:f>
        <x:v>PASS</x:v>
      </x:c>
      <x:c r="I37" t="str">
        <x:f aca="0">IF(AND(ISNUMBER(MLCF!F37),ISNUMBER(MLCF!F51),ISNUMBER(MLCF!F21)),"PASS","FAIL")</x:f>
        <x:v>PASS</x:v>
      </x:c>
      <x:c r="J37" t="str">
        <x:f aca="0">IF(AND(ISNUMBER(MLCF!G37),ISNUMBER(MLCF!G51),ISNUMBER(MLCF!G21)),"PASS","FAIL")</x:f>
        <x:v>PASS</x:v>
      </x:c>
    </x:row>
    <x:row r="38" ht="15" hidden="0">
      <x:c r="A38" t="str">
        <x:v>MLCF</x:v>
      </x:c>
      <x:c r="B38" t="str">
        <x:v>All 33 independent checks</x:v>
      </x:c>
      <x:c r="D38" t="str">
        <x:f>IF(COUNTIFS('Ratio Verification'!A6:A830,"MLCF",'Ratio Verification'!B6:B830,2021,'Ratio Verification'!N6:N830,"PASS")=33,"PASS","FAIL")</x:f>
        <x:v>PASS</x:v>
      </x:c>
      <x:c r="E38" t="str">
        <x:f>IF(COUNTIFS('Ratio Verification'!A6:A830,"MLCF",'Ratio Verification'!B6:B830,2022,'Ratio Verification'!N6:N830,"PASS")=33,"PASS","FAIL")</x:f>
        <x:v>PASS</x:v>
      </x:c>
      <x:c r="F38" t="str">
        <x:f aca="0">IF(COUNTIFS('Ratio Verification'!A6:A830,"MLCF",'Ratio Verification'!B6:B830,2023,'Ratio Verification'!N6:N830,"PASS")=33,"PASS","FAIL")</x:f>
        <x:v>PASS</x:v>
      </x:c>
      <x:c r="G38" t="str">
        <x:f aca="0">IF(COUNTIFS('Ratio Verification'!A6:A830,"MLCF",'Ratio Verification'!B6:B830,2024,'Ratio Verification'!N6:N830,"PASS")=33,"PASS","FAIL")</x:f>
        <x:v>PASS</x:v>
      </x:c>
      <x:c r="H38" t="str">
        <x:f aca="0">IF(COUNTIFS('Ratio Verification'!A6:A830,"MLCF",'Ratio Verification'!B6:B830,2025,'Ratio Verification'!N6:N830,"PASS")=33,"PASS","FAIL")</x:f>
        <x:v>PASS</x:v>
      </x:c>
      <x:c r="I38" t="str">
        <x:f aca="0">IF(SUMPRODUCT(--ISERROR(MLCF!G138:G189))=0,"PASS","FAIL")</x:f>
        <x:v>PASS</x:v>
      </x:c>
      <x:c r="J38" t="str">
        <x:f aca="0">IF(SUMPRODUCT(--ISERROR(MLCF!H138:H189))=0,"PASS","FAIL")</x:f>
        <x:v>PASS</x:v>
      </x:c>
    </x:row>
    <x:row r="39" ht="15" hidden="0">
      <x:c r="A39" t="str">
        <x:v>MLCF</x:v>
      </x:c>
      <x:c r="B39" t="str">
        <x:v>n/m results (informational)</x:v>
      </x:c>
      <x:c r="D39" t="n">
        <x:f>COUNTIF(MLCF!D138:D174,"n/m")</x:f>
        <x:v>0</x:v>
      </x:c>
      <x:c r="E39" t="n">
        <x:f>COUNTIF(MLCF!E138:E174,"n/m")</x:f>
        <x:v>0</x:v>
      </x:c>
      <x:c r="F39" t="n">
        <x:f aca="0">COUNTIF(MLCF!F138:F174,"n/m")</x:f>
        <x:v>0</x:v>
      </x:c>
      <x:c r="G39" t="n">
        <x:f aca="0">COUNTIF(MLCF!G138:G174,"n/m")</x:f>
        <x:v>0</x:v>
      </x:c>
      <x:c r="H39" t="n">
        <x:f aca="0">COUNTIF(MLCF!H138:H174,"n/m")</x:f>
        <x:v>0</x:v>
      </x:c>
      <x:c r="I39" t="n">
        <x:f aca="0">COUNTIF(MLCF!G138:G182,"n/m")</x:f>
        <x:v>0</x:v>
      </x:c>
      <x:c r="J39" t="n">
        <x:f aca="0">COUNTIF(MLCF!H138:H182,"n/m")</x:f>
        <x:v>0</x:v>
      </x:c>
    </x:row>
    <x:row r="40" ht="15" hidden="0">
      <x:c r="A40" t="str">
        <x:v>MLCF</x:v>
      </x:c>
      <x:c r="B40" t="str">
        <x:v>PSX historical price evidence</x:v>
      </x:c>
      <x:c r="D40" t="str">
        <x:v>Verified official CLOSE</x:v>
      </x:c>
      <x:c r="E40" t="str">
        <x:v>Verified official CLOSE</x:v>
      </x:c>
      <x:c r="F40" t="str">
        <x:v>Verified official CLOSE</x:v>
      </x:c>
      <x:c r="G40" t="str">
        <x:v>Verified official CLOSE</x:v>
      </x:c>
      <x:c r="H40" t="str">
        <x:v>Verified official CLOSE</x:v>
      </x:c>
      <x:c r="I40" t="str">
        <x:v>VERIFIED PSX</x:v>
      </x:c>
      <x:c r="J40" t="str">
        <x:v>VERIFIED PSX</x:v>
      </x:c>
      <x:c r="K40" s="9" t="str">
        <x:v>25 observations verified independently against PSX historical CLOSE records on 22 October 2026; see PSX Prices and Price Evidence.</x:v>
      </x:c>
    </x:row>
    <x:row r="41" ht="15" hidden="0">
      <x:c r="A41" t="str">
        <x:v>FCCL</x:v>
      </x:c>
      <x:c r="B41" t="str">
        <x:v>Assets = equity + liabilities</x:v>
      </x:c>
      <x:c r="C41" t="str">
        <x:f>IF(ABS(FCCL!C37-FCCL!C63)&lt;0.000001,"PASS","REVIEW: official footing")</x:f>
        <x:v>PASS</x:v>
      </x:c>
      <x:c r="D41" t="str">
        <x:f>IF(ABS(FCCL!D37-FCCL!D63)&lt;0.000001,"PASS","REVIEW: official footing")</x:f>
        <x:v>PASS</x:v>
      </x:c>
      <x:c r="E41" t="str">
        <x:f aca="0">IF(ABS(FCCL!E37-FCCL!E63)&lt;0.000001,"PASS","REVIEW: official footing")</x:f>
        <x:v>PASS</x:v>
      </x:c>
      <x:c r="F41" t="str">
        <x:f aca="0">IF(ABS(FCCL!F37-FCCL!F63)&lt;0.000001,"PASS","REVIEW: official footing")</x:f>
        <x:v>PASS</x:v>
      </x:c>
      <x:c r="G41" t="str">
        <x:f aca="0">IF(ABS(FCCL!G37-FCCL!G63)&lt;0.000001,"PASS","REVIEW: official footing")</x:f>
        <x:v>PASS</x:v>
      </x:c>
      <x:c r="H41" t="str">
        <x:f aca="0">IF(ABS(FCCL!H37-FCCL!H63)&lt;0.000001,"PASS","REVIEW: official footing")</x:f>
        <x:v>PASS</x:v>
      </x:c>
      <x:c r="I41" t="str">
        <x:f aca="0">FCCL!G79</x:f>
        <x:v>PASS</x:v>
      </x:c>
      <x:c r="J41" t="str">
        <x:f aca="0">FCCL!H79</x:f>
        <x:v>PASS</x:v>
      </x:c>
    </x:row>
    <x:row r="42" ht="15" hidden="0">
      <x:c r="A42" t="str">
        <x:v>FCCL</x:v>
      </x:c>
      <x:c r="B42" t="str">
        <x:v>Assets = audited printed total</x:v>
      </x:c>
      <x:c r="C42" t="str">
        <x:f>IF(ABS(FCCL!C37-FCCL!C75)&lt;0.000001,"PASS","REVIEW")</x:f>
        <x:v>PASS</x:v>
      </x:c>
      <x:c r="D42" t="str">
        <x:f>IF(ABS(FCCL!D37-FCCL!D75)&lt;0.000001,"PASS","REVIEW")</x:f>
        <x:v>PASS</x:v>
      </x:c>
      <x:c r="E42" t="str">
        <x:f aca="0">IF(ABS(FCCL!E37-FCCL!E75)&lt;0.000001,"PASS","REVIEW")</x:f>
        <x:v>PASS</x:v>
      </x:c>
      <x:c r="F42" t="str">
        <x:f aca="0">IF(ABS(FCCL!F37-FCCL!F75)&lt;0.000001,"PASS","REVIEW")</x:f>
        <x:v>PASS</x:v>
      </x:c>
      <x:c r="G42" t="str">
        <x:f aca="0">IF(ABS(FCCL!G37-FCCL!G75)&lt;0.000001,"PASS","REVIEW")</x:f>
        <x:v>PASS</x:v>
      </x:c>
      <x:c r="H42" t="str">
        <x:f aca="0">IF(ABS(FCCL!H37-FCCL!H75)&lt;0.000001,"PASS","REVIEW")</x:f>
        <x:v>PASS</x:v>
      </x:c>
      <x:c r="I42" t="str">
        <x:f aca="0">FCCL!G80</x:f>
        <x:v>PASS</x:v>
      </x:c>
      <x:c r="J42" t="str">
        <x:f aca="0">FCCL!H80</x:f>
        <x:v>PASS</x:v>
      </x:c>
    </x:row>
    <x:row r="43" ht="15" hidden="0">
      <x:c r="A43" t="str">
        <x:v>FCCL</x:v>
      </x:c>
      <x:c r="B43" t="str">
        <x:v>Equity / CA / CL = audited controls</x:v>
      </x:c>
      <x:c r="C43" t="str">
        <x:f>IF(AND(ABS(FCCL!C41-FCCL!C76)&lt;0.000001,ABS(FCCL!C36-FCCL!C77)&lt;0.000001,ABS(FCCL!C61-FCCL!C78)&lt;0.000001),"PASS","REVIEW")</x:f>
        <x:v>PASS</x:v>
      </x:c>
      <x:c r="D43" t="str">
        <x:f>IF(AND(ABS(FCCL!D41-FCCL!D76)&lt;0.000001,ABS(FCCL!D36-FCCL!D77)&lt;0.000001,ABS(FCCL!D61-FCCL!D78)&lt;0.000001),"PASS","REVIEW")</x:f>
        <x:v>PASS</x:v>
      </x:c>
      <x:c r="E43" t="str">
        <x:f aca="0">IF(AND(ABS(FCCL!E41-FCCL!E76)&lt;0.000001,ABS(FCCL!E36-FCCL!E77)&lt;0.000001,ABS(FCCL!E61-FCCL!E78)&lt;0.000001),"PASS","REVIEW")</x:f>
        <x:v>PASS</x:v>
      </x:c>
      <x:c r="F43" t="str">
        <x:f aca="0">IF(AND(ABS(FCCL!F41-FCCL!F76)&lt;0.000001,ABS(FCCL!F36-FCCL!F77)&lt;0.000001,ABS(FCCL!F61-FCCL!F78)&lt;0.000001),"PASS","REVIEW")</x:f>
        <x:v>PASS</x:v>
      </x:c>
      <x:c r="G43" t="str">
        <x:f aca="0">IF(AND(ABS(FCCL!G41-FCCL!G76)&lt;0.000001,ABS(FCCL!G36-FCCL!G77)&lt;0.000001,ABS(FCCL!G61-FCCL!G78)&lt;0.000001),"PASS","REVIEW")</x:f>
        <x:v>PASS</x:v>
      </x:c>
      <x:c r="H43" t="str">
        <x:f aca="0">IF(AND(ABS(FCCL!H41-FCCL!H76)&lt;0.000001,ABS(FCCL!H36-FCCL!H77)&lt;0.000001,ABS(FCCL!H61-FCCL!H78)&lt;0.000001),"PASS","REVIEW")</x:f>
        <x:v>PASS</x:v>
      </x:c>
      <x:c r="I43" t="str">
        <x:f aca="0">FCCL!G81</x:f>
        <x:v>PASS</x:v>
      </x:c>
      <x:c r="J43" t="str">
        <x:f aca="0">FCCL!H81</x:f>
        <x:v>PASS</x:v>
      </x:c>
    </x:row>
    <x:row r="44" ht="15" hidden="0">
      <x:c r="A44" t="str">
        <x:v>FCCL</x:v>
      </x:c>
      <x:c r="B44" t="str">
        <x:v>GP / PBT / PAT = audited controls</x:v>
      </x:c>
      <x:c r="D44" t="str">
        <x:f>IF(AND(ABS(FCCL!D86-FCCL!D100)&lt;0.000001,ABS(FCCL!D96-FCCL!D101)&lt;0.000001,ABS(FCCL!D99-FCCL!D102)&lt;0.000001),"PASS","REVIEW")</x:f>
        <x:v>PASS</x:v>
      </x:c>
      <x:c r="E44" t="str">
        <x:f>IF(AND(ABS(FCCL!E86-FCCL!E100)&lt;0.000001,ABS(FCCL!E96-FCCL!E101)&lt;0.000001,ABS(FCCL!E99-FCCL!E102)&lt;0.000001),"PASS","REVIEW")</x:f>
        <x:v>PASS</x:v>
      </x:c>
      <x:c r="F44" t="str">
        <x:f aca="0">IF(AND(ABS(FCCL!F86-FCCL!F100)&lt;0.000001,ABS(FCCL!F96-FCCL!F101)&lt;0.000001,ABS(FCCL!F99-FCCL!F102)&lt;0.000001),"PASS","REVIEW")</x:f>
        <x:v>PASS</x:v>
      </x:c>
      <x:c r="G44" t="str">
        <x:f aca="0">IF(AND(ABS(FCCL!G86-FCCL!G100)&lt;0.000001,ABS(FCCL!G96-FCCL!G101)&lt;0.000001,ABS(FCCL!G99-FCCL!G102)&lt;0.000001),"PASS","REVIEW")</x:f>
        <x:v>PASS</x:v>
      </x:c>
      <x:c r="H44" t="str">
        <x:f aca="0">IF(AND(ABS(FCCL!H86-FCCL!H100)&lt;0.000001,ABS(FCCL!H96-FCCL!H101)&lt;0.000001,ABS(FCCL!H99-FCCL!H102)&lt;0.000001),"PASS","REVIEW")</x:f>
        <x:v>PASS</x:v>
      </x:c>
      <x:c r="I44" t="str">
        <x:f aca="0">FCCL!G103</x:f>
        <x:v>PASS</x:v>
      </x:c>
      <x:c r="J44" t="str">
        <x:f aca="0">FCCL!H103</x:f>
        <x:v>PASS</x:v>
      </x:c>
    </x:row>
    <x:row r="45" ht="15" hidden="0">
      <x:c r="A45" t="str">
        <x:v>FCCL</x:v>
      </x:c>
      <x:c r="B45" t="str">
        <x:v>Signed EPS / share-basis source check</x:v>
      </x:c>
      <x:c r="D45" t="str">
        <x:f>IF(ABS((FCCL!D99/FCCL!D129)/1-FCCL!D132)&lt;=0.01,"PASS","REVIEW: source EPS")</x:f>
        <x:v>PASS</x:v>
      </x:c>
      <x:c r="E45" t="str">
        <x:f>IF(ABS((FCCL!E99/FCCL!E129)/1-FCCL!E132)&lt;=0.01,"PASS","REVIEW: source EPS")</x:f>
        <x:v>PASS</x:v>
      </x:c>
      <x:c r="F45" t="str">
        <x:f aca="0">IF(ABS((FCCL!F99/FCCL!F129)/1-FCCL!F132)&lt;=0.01,"PASS","REVIEW: source EPS")</x:f>
        <x:v>REVIEW: source EPS</x:v>
      </x:c>
      <x:c r="G45" t="str">
        <x:f aca="0">IF(ABS((FCCL!G99/FCCL!G129)/1-FCCL!G132)&lt;=0.01,"PASS","REVIEW: source EPS")</x:f>
        <x:v>PASS</x:v>
      </x:c>
      <x:c r="H45" t="str">
        <x:f aca="0">IF(ABS((FCCL!H99/FCCL!H129)/1-FCCL!H132)&lt;=0.01,"PASS","REVIEW: source EPS")</x:f>
        <x:v>PASS</x:v>
      </x:c>
      <x:c r="I45" t="str">
        <x:f aca="0">IF(ABS(FCCL!G171/1-FCCL!G132)&lt;=0.01,"PASS","REVIEW")</x:f>
        <x:v>PASS</x:v>
      </x:c>
      <x:c r="J45" t="str">
        <x:f aca="0">IF(ABS(FCCL!H171/1-FCCL!H132)&lt;=0.01,"PASS","REVIEW")</x:f>
        <x:v>PASS</x:v>
      </x:c>
    </x:row>
    <x:row r="46" ht="15" hidden="0">
      <x:c r="A46" t="str">
        <x:v>FCCL</x:v>
      </x:c>
      <x:c r="B46" t="str">
        <x:v>Opening denominator balances present</x:v>
      </x:c>
      <x:c r="C46" t="str">
        <x:f>IF(COUNT(FCCL!C65,FCCL!C32,FCCL!C51,FCCL!C22,FCCL!C37,FCCL!C41,FCCL!C70)=7,"PASS","REVIEW")</x:f>
        <x:v>PASS</x:v>
      </x:c>
      <x:c r="D46" t="str">
        <x:f>IF(COUNT(FCCL!D65,FCCL!D32,FCCL!D51,FCCL!D22,FCCL!D37,FCCL!D41,FCCL!D70)=7,"PASS","REVIEW")</x:f>
        <x:v>PASS</x:v>
      </x:c>
      <x:c r="E46" t="str">
        <x:f>IF(COUNT(FCCL!E65,FCCL!E32,FCCL!E51,FCCL!E22,FCCL!E37,FCCL!E41,FCCL!E70)=7,"PASS","REVIEW")</x:f>
        <x:v>PASS</x:v>
      </x:c>
      <x:c r="F46" t="str">
        <x:f aca="0">IF(COUNT(FCCL!F65,FCCL!F32,FCCL!F51,FCCL!F22,FCCL!F37,FCCL!F41,FCCL!F70)=7,"PASS","REVIEW")</x:f>
        <x:v>PASS</x:v>
      </x:c>
      <x:c r="G46" t="str">
        <x:f aca="0">IF(COUNT(FCCL!G65,FCCL!G32,FCCL!G51,FCCL!G22,FCCL!G37,FCCL!G41,FCCL!G70)=7,"PASS","REVIEW")</x:f>
        <x:v>PASS</x:v>
      </x:c>
      <x:c r="H46" t="str">
        <x:f aca="0">IF(COUNT(FCCL!H65,FCCL!H32,FCCL!H51,FCCL!H22,FCCL!H37,FCCL!H41,FCCL!H70)=7,"PASS","REVIEW")</x:f>
        <x:v>PASS</x:v>
      </x:c>
      <x:c r="I46" t="str">
        <x:f aca="0">IF(AND(ISNUMBER(FCCL!F37),ISNUMBER(FCCL!F51),ISNUMBER(FCCL!F21)),"PASS","FAIL")</x:f>
        <x:v>PASS</x:v>
      </x:c>
      <x:c r="J46" t="str">
        <x:f aca="0">IF(AND(ISNUMBER(FCCL!G37),ISNUMBER(FCCL!G51),ISNUMBER(FCCL!G21)),"PASS","FAIL")</x:f>
        <x:v>PASS</x:v>
      </x:c>
    </x:row>
    <x:row r="47" ht="15" hidden="0">
      <x:c r="A47" t="str">
        <x:v>FCCL</x:v>
      </x:c>
      <x:c r="B47" t="str">
        <x:v>All 33 independent checks</x:v>
      </x:c>
      <x:c r="D47" t="str">
        <x:f>IF(COUNTIFS('Ratio Verification'!A6:A830,"FCCL",'Ratio Verification'!B6:B830,2021,'Ratio Verification'!N6:N830,"PASS")=33,"PASS","FAIL")</x:f>
        <x:v>PASS</x:v>
      </x:c>
      <x:c r="E47" t="str">
        <x:f>IF(COUNTIFS('Ratio Verification'!A6:A830,"FCCL",'Ratio Verification'!B6:B830,2022,'Ratio Verification'!N6:N830,"PASS")=33,"PASS","FAIL")</x:f>
        <x:v>PASS</x:v>
      </x:c>
      <x:c r="F47" t="str">
        <x:f aca="0">IF(COUNTIFS('Ratio Verification'!A6:A830,"FCCL",'Ratio Verification'!B6:B830,2023,'Ratio Verification'!N6:N830,"PASS")=33,"PASS","FAIL")</x:f>
        <x:v>PASS</x:v>
      </x:c>
      <x:c r="G47" t="str">
        <x:f aca="0">IF(COUNTIFS('Ratio Verification'!A6:A830,"FCCL",'Ratio Verification'!B6:B830,2024,'Ratio Verification'!N6:N830,"PASS")=33,"PASS","FAIL")</x:f>
        <x:v>PASS</x:v>
      </x:c>
      <x:c r="H47" t="str">
        <x:f aca="0">IF(COUNTIFS('Ratio Verification'!A6:A830,"FCCL",'Ratio Verification'!B6:B830,2025,'Ratio Verification'!N6:N830,"PASS")=33,"PASS","FAIL")</x:f>
        <x:v>PASS</x:v>
      </x:c>
      <x:c r="I47" t="str">
        <x:f aca="0">IF(SUMPRODUCT(--ISERROR(FCCL!G138:G189))=0,"PASS","FAIL")</x:f>
        <x:v>PASS</x:v>
      </x:c>
      <x:c r="J47" t="str">
        <x:f aca="0">IF(SUMPRODUCT(--ISERROR(FCCL!H138:H189))=0,"PASS","FAIL")</x:f>
        <x:v>PASS</x:v>
      </x:c>
    </x:row>
    <x:row r="48" ht="15" hidden="0">
      <x:c r="A48" t="str">
        <x:v>FCCL</x:v>
      </x:c>
      <x:c r="B48" t="str">
        <x:v>n/m results (informational)</x:v>
      </x:c>
      <x:c r="D48" t="n">
        <x:f>COUNTIF(FCCL!D138:D174,"n/m")</x:f>
        <x:v>0</x:v>
      </x:c>
      <x:c r="E48" t="n">
        <x:f>COUNTIF(FCCL!E138:E174,"n/m")</x:f>
        <x:v>0</x:v>
      </x:c>
      <x:c r="F48" t="n">
        <x:f aca="0">COUNTIF(FCCL!F138:F174,"n/m")</x:f>
        <x:v>1</x:v>
      </x:c>
      <x:c r="G48" t="n">
        <x:f aca="0">COUNTIF(FCCL!G138:G174,"n/m")</x:f>
        <x:v>1</x:v>
      </x:c>
      <x:c r="H48" t="n">
        <x:f aca="0">COUNTIF(FCCL!H138:H174,"n/m")</x:f>
        <x:v>0</x:v>
      </x:c>
      <x:c r="I48" t="n">
        <x:f aca="0">COUNTIF(FCCL!G138:G182,"n/m")</x:f>
        <x:v>1</x:v>
      </x:c>
      <x:c r="J48" t="n">
        <x:f aca="0">COUNTIF(FCCL!H138:H182,"n/m")</x:f>
        <x:v>0</x:v>
      </x:c>
    </x:row>
    <x:row r="49" ht="15" hidden="0">
      <x:c r="A49" t="str">
        <x:v>FCCL</x:v>
      </x:c>
      <x:c r="B49" t="str">
        <x:v>PSX historical price evidence</x:v>
      </x:c>
      <x:c r="D49" t="str">
        <x:v>Verified official CLOSE</x:v>
      </x:c>
      <x:c r="E49" t="str">
        <x:v>Verified official CLOSE</x:v>
      </x:c>
      <x:c r="F49" t="str">
        <x:v>Verified official CLOSE</x:v>
      </x:c>
      <x:c r="G49" t="str">
        <x:v>Verified official CLOSE</x:v>
      </x:c>
      <x:c r="H49" t="str">
        <x:v>Verified official CLOSE</x:v>
      </x:c>
      <x:c r="I49" t="str">
        <x:v>VERIFIED PSX</x:v>
      </x:c>
      <x:c r="J49" t="str">
        <x:v>VERIFIED PSX</x:v>
      </x:c>
      <x:c r="K49" s="9" t="str">
        <x:v>25 observations verified independently against PSX historical CLOSE records on 22 October 2026; see PSX Prices and Price Evidence.</x:v>
      </x:c>
    </x:row>
    <x:row r="50" ht="15" hidden="0">
      <x:c r="A50" t="s">
        <x:v>718</x:v>
      </x:c>
      <x:c r="B50" t="s">
        <x:v>719</x:v>
      </x:c>
      <x:c r="D50" t="str">
        <x:f>IF(COUNTIF('Industry Comparison'!R7:R208,"ERR")=0,"PASS","FAIL")</x:f>
        <x:v>PASS</x:v>
      </x:c>
      <x:c r="F50" t="str">
        <x:f aca="0">IF(AND(ABS(SUM('Industry Comparison'!E5:E400)-SUM(KOHC!D138:H182))&lt;0.000001,ABS(SUM('Industry Comparison'!F5:F400)-SUM(LUCK!D138:H182))&lt;0.000001,ABS(SUM('Industry Comparison'!G5:G400)-SUM(DGKC!D138:H182))&lt;0.000001,ABS(SUM('Industry Comparison'!H5:H400)-SUM(MLCF!D138:H182))&lt;0.000001,ABS(SUM('Industry Comparison'!I5:I400)-SUM(FCCL!D138:H182))&lt;0.000001),"PASS","FAIL")</x:f>
        <x:v>FAIL</x:v>
      </x:c>
    </x:row>
    <x:row r="51" ht="15" hidden="0">
      <x:c r="A51" t="s">
        <x:v>718</x:v>
      </x:c>
      <x:c r="B51" t="s">
        <x:v>720</x:v>
      </x:c>
      <x:c r="D51" t="str">
        <x:f>IF(COUNTIF('Ratio Verification'!N6:N830,"FAIL")=0,"PASS","FAIL")</x:f>
        <x:v>PASS</x:v>
      </x:c>
      <x:c r="F51" t="str">
        <x:f aca="0">IF(COUNTIF('Industry Comparison'!R:R,"ERR")=0,"PASS","FAIL")</x:f>
        <x:v>PASS</x:v>
      </x:c>
    </x:row>
    <x:row r="52" ht="15" hidden="0">
      <x:c r="A52" t="s">
        <x:v>718</x:v>
      </x:c>
      <x:c r="B52" t="s">
        <x:v>721</x:v>
      </x:c>
      <x:c r="D52" t="str">
        <x:f>IF(COUNTIF('Input Review'!J6:J1715,"&gt;0.000001")+COUNTIF('Input Review'!J6:J1715,"&lt;-0.000001")=0,"PASS","FAIL")</x:f>
        <x:v>PASS</x:v>
      </x:c>
      <x:c r="F52" t="str">
        <x:f aca="0">IF(COUNTIF(Q:Q,"FAIL")=0,"PASS","FAIL")</x:f>
        <x:v>PASS</x:v>
      </x:c>
    </x:row>
    <x:row r="53" ht="15" hidden="0">
      <x:c r="A53" t="s">
        <x:v>718</x:v>
      </x:c>
      <x:c r="B53" t="s">
        <x:v>722</x:v>
      </x:c>
      <x:c r="D53" t="str">
        <x:v>Native source references checked after export</x:v>
      </x:c>
      <x:c r="F53" t="s">
        <x:v>723</x:v>
      </x:c>
    </x:row>
    <x:row r="55" ht="15" hidden="0">
      <x:c r="A55" s="5" t="s">
        <x:v>724</x:v>
      </x:c>
      <x:c r="B55" s="20"/>
      <x:c r="C55" s="20"/>
      <x:c r="D55" s="20"/>
      <x:c r="E55" s="20"/>
      <x:c r="F55" s="20"/>
      <x:c r="G55" s="20"/>
      <x:c r="H55" s="20"/>
      <x:c r="I55" s="20"/>
      <x:c r="J55" s="20"/>
      <x:c r="K55" s="20"/>
      <x:c r="L55" s="20"/>
      <x:c r="M55" s="20"/>
      <x:c r="N55" s="20"/>
      <x:c r="O55" s="20"/>
      <x:c r="P55" s="20"/>
      <x:c r="Q55" s="20"/>
      <x:c r="R55" s="20"/>
      <x:c r="S55" s="20"/>
    </x:row>
    <x:row r="56" ht="15" hidden="0">
      <x:c r="A56" s="24" t="s">
        <x:v>18</x:v>
      </x:c>
      <x:c r="B56" s="24" t="s">
        <x:v>725</x:v>
      </x:c>
      <x:c r="C56" s="25"/>
      <x:c r="D56" s="24" t="s">
        <x:v>726</x:v>
      </x:c>
      <x:c r="E56" s="25"/>
      <x:c r="F56" s="25"/>
      <x:c r="G56" s="25"/>
      <x:c r="H56" s="25"/>
      <x:c r="I56" s="25"/>
      <x:c r="J56" s="24" t="s">
        <x:v>727</x:v>
      </x:c>
    </x:row>
    <x:row r="57" ht="27.75" hidden="0" customHeight="1">
      <x:c r="A57" t="s">
        <x:v>728</x:v>
      </x:c>
      <x:c r="B57" t="s">
        <x:v>95</x:v>
      </x:c>
      <x:c r="D57" s="12" t="str">
        <x:v>Replaced report-wide split basis with actual FY-end market basis. KOHC Rs 10 through FY2025. LUCK Rs 10 FY2021–24 and Rs 2 FY2025. Verified split dates and adjustments appear on Corporate Actions.</x:v>
      </x:c>
      <x:c r="E57" s="12"/>
      <x:c r="F57" s="12"/>
      <x:c r="G57" s="12"/>
      <x:c r="H57" s="12"/>
      <x:c r="I57" s="12"/>
      <x:c r="J57" s="2" t="str">
        <x:v>CORRECTED</x:v>
      </x:c>
    </x:row>
    <x:row r="58" ht="27.75" hidden="0" customHeight="1">
      <x:c r="A58" t="s">
        <x:v>729</x:v>
      </x:c>
      <x:c r="B58" t="s">
        <x:v>730</x:v>
      </x:c>
      <x:c r="D58" s="12" t="str">
        <x:v>All 25 historical prices retrieved from PSX. KOHC FY2024 and FY2025 report prices disagree beyond rounding after confirmed split conversion. PSX close governs. See PSX Prices.</x:v>
      </x:c>
      <x:c r="E58" s="12"/>
      <x:c r="F58" s="12"/>
      <x:c r="G58" s="12"/>
      <x:c r="H58" s="12"/>
      <x:c r="I58" s="12"/>
      <x:c r="J58" s="2" t="str">
        <x:v>PRICES VERIFIED; 2 REPORT DIFFERENCES</x:v>
      </x:c>
    </x:row>
    <x:row r="59" ht="27.75" hidden="0" customHeight="1">
      <x:c r="A59" t="s">
        <x:v>24</x:v>
      </x:c>
      <x:c r="B59" t="s">
        <x:v>731</x:v>
      </x:c>
      <x:c r="D59" s="12" t="s">
        <x:v>732</x:v>
      </x:c>
      <x:c r="E59" s="12"/>
      <x:c r="F59" s="12"/>
      <x:c r="G59" s="12"/>
      <x:c r="H59" s="12"/>
      <x:c r="I59" s="12"/>
      <x:c r="J59" s="2" t="s">
        <x:v>733</x:v>
      </x:c>
    </x:row>
    <x:row r="60" ht="27.75" hidden="0" customHeight="1">
      <x:c r="A60" t="s">
        <x:v>24</x:v>
      </x:c>
      <x:c r="B60" t="s">
        <x:v>734</x:v>
      </x:c>
      <x:c r="D60" s="12" t="s">
        <x:v>735</x:v>
      </x:c>
      <x:c r="E60" s="12"/>
      <x:c r="F60" s="12"/>
      <x:c r="G60" s="12"/>
      <x:c r="H60" s="12"/>
      <x:c r="I60" s="12"/>
      <x:c r="J60" s="2" t="s">
        <x:v>736</x:v>
      </x:c>
    </x:row>
    <x:row r="61" ht="27.75" hidden="0" customHeight="1">
      <x:c r="A61" t="s">
        <x:v>24</x:v>
      </x:c>
      <x:c r="B61" t="s">
        <x:v>737</x:v>
      </x:c>
      <x:c r="C61" t="str">
        <x:v>Embedded accrued markup removed from IBD: FY2024 134.939770m, FY2025 47.420397m, per FY2025 note 6.1. Gross statement liabilities unchanged.</x:v>
      </x:c>
      <x:c r="D61" s="12" t="s">
        <x:v>738</x:v>
      </x:c>
      <x:c r="E61" s="12"/>
      <x:c r="F61" s="12"/>
      <x:c r="G61" s="12"/>
      <x:c r="H61" s="12"/>
      <x:c r="I61" s="12"/>
      <x:c r="J61" s="2" t="s">
        <x:v>733</x:v>
      </x:c>
    </x:row>
    <x:row r="62" ht="27.75" hidden="0" customHeight="1">
      <x:c r="A62" t="s">
        <x:v>30</x:v>
      </x:c>
      <x:c r="B62" t="s">
        <x:v>739</x:v>
      </x:c>
      <x:c r="C62" t="str">
        <x:v>Removed the 0.400m plug. Component sum retained; the FY2020 printed NCL subtotal conflict remains explicit.</x:v>
      </x:c>
      <x:c r="D62" s="12" t="s">
        <x:v>740</x:v>
      </x:c>
      <x:c r="E62" s="12"/>
      <x:c r="F62" s="12"/>
      <x:c r="G62" s="12"/>
      <x:c r="H62" s="12"/>
      <x:c r="I62" s="12"/>
      <x:c r="J62" s="2" t="s">
        <x:v>733</x:v>
      </x:c>
    </x:row>
    <x:row r="63" ht="27.75" hidden="0" customHeight="1">
      <x:c r="A63" t="s">
        <x:v>30</x:v>
      </x:c>
      <x:c r="B63" t="s">
        <x:v>741</x:v>
      </x:c>
      <x:c r="D63" s="12" t="s">
        <x:v>742</x:v>
      </x:c>
      <x:c r="E63" s="12"/>
      <x:c r="F63" s="12"/>
      <x:c r="G63" s="12"/>
      <x:c r="H63" s="12"/>
      <x:c r="I63" s="12"/>
      <x:c r="J63" s="2" t="s">
        <x:v>736</x:v>
      </x:c>
    </x:row>
    <x:row r="64" ht="27.75" hidden="0" customHeight="1">
      <x:c r="A64" t="s">
        <x:v>45</x:v>
      </x:c>
      <x:c r="B64" t="s">
        <x:v>743</x:v>
      </x:c>
      <x:c r="C64" t="str">
        <x:v>The reported2,353.539m weighted count numerically reconstructs by weighting272.5386m bonus shares for232/365days from11-Nov-2022, after10-Nov after-hours credit. IAS33 retrospective full-bonus treatment still gives2,452.8476m. Official accounting rationale remains unexplained; main correction preserved.</x:v>
      </x:c>
      <x:c r="D64" s="12" t="str">
        <x:v>FY2023 published WAVG 2,353.539m cannot be reconstructed from opening 2,180.309m and the sole 12.5% bonus issue. Standardized EPS uses full-year bonus denominator equal to closing shares per IAS 33.26–28. Company disclosure remains unreconciled.</x:v>
      </x:c>
      <x:c r="E64" s="12"/>
      <x:c r="F64" s="12"/>
      <x:c r="G64" s="12"/>
      <x:c r="H64" s="12"/>
      <x:c r="I64" s="12"/>
      <x:c r="J64" s="2" t="str">
        <x:v>CORRECTED BASIS; REPORT UNRESOLVED</x:v>
      </x:c>
    </x:row>
    <x:row r="65" ht="27.75" hidden="0" customHeight="1">
      <x:c r="A65" t="s">
        <x:v>45</x:v>
      </x:c>
      <x:c r="B65" t="s">
        <x:v>744</x:v>
      </x:c>
      <x:c r="D65" s="12" t="s">
        <x:v>745</x:v>
      </x:c>
      <x:c r="E65" s="12"/>
      <x:c r="F65" s="12"/>
      <x:c r="G65" s="12"/>
      <x:c r="H65" s="12"/>
      <x:c r="I65" s="12"/>
      <x:c r="J65" s="2" t="s">
        <x:v>733</x:v>
      </x:c>
    </x:row>
    <x:row r="66" ht="27.75" hidden="0" customHeight="1">
      <x:c r="A66" t="s">
        <x:v>45</x:v>
      </x:c>
      <x:c r="B66" t="s">
        <x:v>746</x:v>
      </x:c>
      <x:c r="D66" s="12" t="s">
        <x:v>747</x:v>
      </x:c>
      <x:c r="E66" s="12"/>
      <x:c r="F66" s="12"/>
      <x:c r="G66" s="12"/>
      <x:c r="H66" s="12"/>
      <x:c r="I66" s="12"/>
      <x:c r="J66" s="2" t="s">
        <x:v>736</x:v>
      </x:c>
    </x:row>
    <x:row r="67" ht="27.75" hidden="0" customHeight="1">
      <x:c r="A67" t="s">
        <x:v>41</x:v>
      </x:c>
      <x:c r="B67" t="s">
        <x:v>748</x:v>
      </x:c>
      <x:c r="D67" s="12" t="s">
        <x:v>749</x:v>
      </x:c>
      <x:c r="E67" s="12"/>
      <x:c r="F67" s="12"/>
      <x:c r="G67" s="12"/>
      <x:c r="H67" s="12"/>
      <x:c r="I67" s="12"/>
      <x:c r="J67" s="2" t="s">
        <x:v>733</x:v>
      </x:c>
    </x:row>
    <x:row r="68" ht="27.75" hidden="0" customHeight="1">
      <x:c r="A68" t="s">
        <x:v>45</x:v>
      </x:c>
      <x:c r="B68" t="s">
        <x:v>748</x:v>
      </x:c>
      <x:c r="D68" s="12" t="s">
        <x:v>750</x:v>
      </x:c>
      <x:c r="E68" s="12"/>
      <x:c r="F68" s="12"/>
      <x:c r="G68" s="12"/>
      <x:c r="H68" s="12"/>
      <x:c r="I68" s="12"/>
      <x:c r="J68" s="2" t="s">
        <x:v>733</x:v>
      </x:c>
    </x:row>
    <x:row r="69" ht="27.75" hidden="0" customHeight="1">
      <x:c r="A69" t="s">
        <x:v>751</x:v>
      </x:c>
      <x:c r="B69" t="s">
        <x:v>752</x:v>
      </x:c>
      <x:c r="C69" t="str">
        <x:v>Finance cost paid classifications retained as cash-flow information; OCF ratio removed from the 33-measure scope.</x:v>
      </x:c>
      <x:c r="D69" s="12" t="s">
        <x:v>753</x:v>
      </x:c>
      <x:c r="E69" s="12"/>
      <x:c r="F69" s="12"/>
      <x:c r="G69" s="12"/>
      <x:c r="H69" s="12"/>
      <x:c r="I69" s="12"/>
      <x:c r="J69" s="2" t="s">
        <x:v>736</x:v>
      </x:c>
    </x:row>
    <x:row r="70" ht="27.75" hidden="0" customHeight="1">
      <x:c r="A70" t="s">
        <x:v>729</x:v>
      </x:c>
      <x:c r="B70" t="s">
        <x:v>754</x:v>
      </x:c>
      <x:c r="D70" s="12" t="s">
        <x:v>755</x:v>
      </x:c>
      <x:c r="E70" s="12"/>
      <x:c r="F70" s="12"/>
      <x:c r="G70" s="12"/>
      <x:c r="H70" s="12"/>
      <x:c r="I70" s="12"/>
      <x:c r="J70" s="2" t="s">
        <x:v>736</x:v>
      </x:c>
    </x:row>
    <x:row r="71" ht="38" customHeight="1">
      <x:c r="A71" t="str">
        <x:v>KOHC</x:v>
      </x:c>
      <x:c r="B71" t="str">
        <x:v>FY2020 audited footing</x:v>
      </x:c>
      <x:c r="C71" s="174" t="str">
        <x:v>FY2021 comparative current-asset components sum to5,237,623,779 rupees versus printed5,237,623,778. The one-rupee difference is retained; no balancing adjustment.</x:v>
      </x:c>
      <x:c r="D71" s="174"/>
      <x:c r="E71" s="174"/>
      <x:c r="F71" s="174"/>
      <x:c r="G71" s="174"/>
      <x:c r="H71" s="174"/>
    </x:row>
    <x:row r="72" ht="15" hidden="0">
      <x:c r="A72" s="5" t="s">
        <x:v>756</x:v>
      </x:c>
      <x:c r="B72" s="20"/>
      <x:c r="C72" s="20"/>
      <x:c r="D72" s="20"/>
      <x:c r="E72" s="20"/>
      <x:c r="F72" s="20"/>
      <x:c r="G72" s="20"/>
      <x:c r="H72" s="20"/>
      <x:c r="I72" s="20"/>
      <x:c r="J72" s="20"/>
      <x:c r="K72" s="20"/>
      <x:c r="L72" s="20"/>
      <x:c r="M72" s="20"/>
      <x:c r="N72" s="20"/>
      <x:c r="O72" s="20"/>
      <x:c r="P72" s="20"/>
      <x:c r="Q72" s="20"/>
      <x:c r="R72" s="20"/>
      <x:c r="S72" s="20"/>
    </x:row>
    <x:row r="73" ht="15" hidden="0">
      <x:c r="A73" s="24" t="s">
        <x:v>18</x:v>
      </x:c>
      <x:c r="B73" s="24" t="s">
        <x:v>757</x:v>
      </x:c>
      <x:c r="C73" s="24" t="s">
        <x:v>758</x:v>
      </x:c>
      <x:c r="D73" s="24" t="s">
        <x:v>71</x:v>
      </x:c>
      <x:c r="E73" s="24" t="s">
        <x:v>759</x:v>
      </x:c>
      <x:c r="F73" s="24" t="s">
        <x:v>760</x:v>
      </x:c>
      <x:c r="G73" s="24" t="s">
        <x:v>761</x:v>
      </x:c>
      <x:c r="H73" s="24" t="s">
        <x:v>762</x:v>
      </x:c>
    </x:row>
    <x:row r="74" ht="15" hidden="0">
      <x:c r="A74" t="s">
        <x:v>24</x:v>
      </x:c>
      <x:c r="B74" t="s">
        <x:v>101</x:v>
      </x:c>
      <x:c r="C74" t="s">
        <x:v>763</x:v>
      </x:c>
      <x:c r="D74" t="s">
        <x:v>764</x:v>
      </x:c>
      <x:c r="E74" s="44" t="n">
        <x:v>4136.086159</x:v>
      </x:c>
      <x:c r="F74" s="44" t="n">
        <x:v>4134.086159</x:v>
      </x:c>
      <x:c r="G74" s="44" t="n">
        <x:f aca="0">F74-E74</x:f>
        <x:v>-2</x:v>
      </x:c>
      <x:c r="H74" s="11" t="s">
        <x:v>765</x:v>
      </x:c>
    </x:row>
    <x:row r="75" ht="15" hidden="0">
      <x:c r="A75" t="s">
        <x:v>24</x:v>
      </x:c>
      <x:c r="B75" t="s">
        <x:v>101</x:v>
      </x:c>
      <x:c r="C75" t="s">
        <x:v>763</x:v>
      </x:c>
      <x:c r="D75" t="s">
        <x:v>766</x:v>
      </x:c>
      <x:c r="E75" s="44" t="n">
        <x:v>43.32664</x:v>
      </x:c>
      <x:c r="F75" s="44" t="n">
        <x:v>69.76574</x:v>
      </x:c>
      <x:c r="G75" s="44" t="n">
        <x:f aca="0">F75-E75</x:f>
        <x:v>26.439099999999996</x:v>
      </x:c>
      <x:c r="H75" s="11" t="s">
        <x:v>765</x:v>
      </x:c>
    </x:row>
    <x:row r="76" ht="15" hidden="0">
      <x:c r="A76" t="s">
        <x:v>24</x:v>
      </x:c>
      <x:c r="B76" t="s">
        <x:v>101</x:v>
      </x:c>
      <x:c r="C76" t="s">
        <x:v>763</x:v>
      </x:c>
      <x:c r="D76" t="s">
        <x:v>767</x:v>
      </x:c>
      <x:c r="E76" s="44" t="n">
        <x:v>22051.984013</x:v>
      </x:c>
      <x:c r="F76" s="44" t="n">
        <x:v>22027.544913</x:v>
      </x:c>
      <x:c r="G76" s="44" t="n">
        <x:f aca="0">F76-E76</x:f>
        <x:v>-24.4390999999996</x:v>
      </x:c>
      <x:c r="H76" s="11" t="s">
        <x:v>765</x:v>
      </x:c>
    </x:row>
    <x:row r="77" ht="15" hidden="0">
      <x:c r="A77" t="s">
        <x:v>24</x:v>
      </x:c>
      <x:c r="B77" t="s">
        <x:v>103</x:v>
      </x:c>
      <x:c r="C77" t="s">
        <x:v>763</x:v>
      </x:c>
      <x:c r="D77" t="s">
        <x:v>768</x:v>
      </x:c>
      <x:c r="E77" s="44" t="n">
        <x:v>5171.144705</x:v>
      </x:c>
      <x:c r="F77" s="44" t="n">
        <x:v>5307.075353</x:v>
      </x:c>
      <x:c r="G77" s="44" t="n">
        <x:f aca="0">F77-E77</x:f>
        <x:v>135.93064800000047</x:v>
      </x:c>
      <x:c r="H77" s="11" t="s">
        <x:v>769</x:v>
      </x:c>
    </x:row>
    <x:row r="78" ht="15" hidden="0">
      <x:c r="A78" t="s">
        <x:v>24</x:v>
      </x:c>
      <x:c r="B78" t="s">
        <x:v>103</x:v>
      </x:c>
      <x:c r="C78" t="s">
        <x:v>763</x:v>
      </x:c>
      <x:c r="D78" t="s">
        <x:v>770</x:v>
      </x:c>
      <x:c r="E78" s="44" t="n">
        <x:v>3215.684878</x:v>
      </x:c>
      <x:c r="F78" s="44" t="n">
        <x:v>3079.75423</x:v>
      </x:c>
      <x:c r="G78" s="44" t="n">
        <x:f aca="0">F78-E78</x:f>
        <x:v>-135.93064800000002</x:v>
      </x:c>
      <x:c r="H78" s="11" t="s">
        <x:v>769</x:v>
      </x:c>
    </x:row>
    <x:row r="79" ht="15" hidden="0">
      <x:c r="A79" t="s">
        <x:v>24</x:v>
      </x:c>
      <x:c r="B79" t="s">
        <x:v>103</x:v>
      </x:c>
      <x:c r="C79" t="s">
        <x:v>771</x:v>
      </x:c>
      <x:c r="D79" t="s">
        <x:v>772</x:v>
      </x:c>
      <x:c r="E79" s="44" t="n">
        <x:v>11209.6356</x:v>
      </x:c>
      <x:c r="F79" s="44" t="n">
        <x:v>9123.827547</x:v>
      </x:c>
      <x:c r="G79" s="44" t="n">
        <x:f aca="0">F79-E79</x:f>
        <x:v>-2085.808052999999</x:v>
      </x:c>
      <x:c r="H79" s="11" t="s">
        <x:v>769</x:v>
      </x:c>
    </x:row>
    <x:row r="80" ht="15" hidden="0">
      <x:c r="A80" t="s">
        <x:v>24</x:v>
      </x:c>
      <x:c r="B80" t="s">
        <x:v>103</x:v>
      </x:c>
      <x:c r="C80" t="s">
        <x:v>771</x:v>
      </x:c>
      <x:c r="D80" t="s">
        <x:v>773</x:v>
      </x:c>
      <x:c r="E80" s="44" t="n">
        <x:v>10469.327828</x:v>
      </x:c>
      <x:c r="F80" s="44" t="n">
        <x:v>10125.346823</x:v>
      </x:c>
      <x:c r="G80" s="44" t="n">
        <x:f aca="0">F80-E80</x:f>
        <x:v>-343.98100499999964</x:v>
      </x:c>
      <x:c r="H80" s="11" t="s">
        <x:v>769</x:v>
      </x:c>
    </x:row>
    <x:row r="81" ht="15" hidden="0">
      <x:c r="A81" t="s">
        <x:v>24</x:v>
      </x:c>
      <x:c r="B81" t="s">
        <x:v>103</x:v>
      </x:c>
      <x:c r="C81" t="s">
        <x:v>771</x:v>
      </x:c>
      <x:c r="D81" t="s">
        <x:v>774</x:v>
      </x:c>
      <x:c r="E81" s="44" t="n">
        <x:v>-4648.576683</x:v>
      </x:c>
      <x:c r="F81" s="44" t="n">
        <x:v>-4304.595678</x:v>
      </x:c>
      <x:c r="G81" s="44" t="n">
        <x:f aca="0">F81-E81</x:f>
        <x:v>343.98100500000055</x:v>
      </x:c>
      <x:c r="H81" s="11" t="s">
        <x:v>769</x:v>
      </x:c>
    </x:row>
    <x:row r="82" ht="15" hidden="0">
      <x:c r="A82" t="s">
        <x:v>24</x:v>
      </x:c>
      <x:c r="B82" t="s">
        <x:v>103</x:v>
      </x:c>
      <x:c r="C82" t="s">
        <x:v>775</x:v>
      </x:c>
      <x:c r="D82" t="s">
        <x:v>776</x:v>
      </x:c>
      <x:c r="E82" s="44" t="n">
        <x:v>-3669.822246</x:v>
      </x:c>
      <x:c r="F82" s="44" t="n">
        <x:v>-2470.515763</x:v>
      </x:c>
      <x:c r="G82" s="44" t="n">
        <x:f aca="0">F82-E82</x:f>
        <x:v>1199.3064830000003</x:v>
      </x:c>
      <x:c r="H82" s="11" t="s">
        <x:v>769</x:v>
      </x:c>
    </x:row>
    <x:row r="83" ht="15" hidden="0">
      <x:c r="A83" t="s">
        <x:v>24</x:v>
      </x:c>
      <x:c r="B83" t="s">
        <x:v>103</x:v>
      </x:c>
      <x:c r="C83" t="s">
        <x:v>775</x:v>
      </x:c>
      <x:c r="D83" t="s">
        <x:v>777</x:v>
      </x:c>
      <x:c r="E83" s="44" t="n">
        <x:v>5651.388244</x:v>
      </x:c>
      <x:c r="F83" s="44" t="n">
        <x:v>4452.081761</x:v>
      </x:c>
      <x:c r="G83" s="44" t="n">
        <x:f aca="0">F83-E83</x:f>
        <x:v>-1199.3064829999994</x:v>
      </x:c>
      <x:c r="H83" s="11" t="s">
        <x:v>769</x:v>
      </x:c>
    </x:row>
    <x:row r="84" ht="15" hidden="0">
      <x:c r="A84" t="s">
        <x:v>24</x:v>
      </x:c>
      <x:c r="B84" t="s">
        <x:v>103</x:v>
      </x:c>
      <x:c r="C84" t="s">
        <x:v>775</x:v>
      </x:c>
      <x:c r="D84" t="s">
        <x:v>778</x:v>
      </x:c>
      <x:c r="E84" s="44" t="n">
        <x:v>9061.899692</x:v>
      </x:c>
      <x:c r="F84" s="44" t="n">
        <x:v>7862.593209</x:v>
      </x:c>
      <x:c r="G84" s="44" t="n">
        <x:f aca="0">F84-E84</x:f>
        <x:v>-1199.3064830000012</x:v>
      </x:c>
      <x:c r="H84" s="11" t="s">
        <x:v>769</x:v>
      </x:c>
    </x:row>
    <x:row r="85" ht="15" hidden="0">
      <x:c r="A85" t="s">
        <x:v>24</x:v>
      </x:c>
      <x:c r="B85" t="s">
        <x:v>103</x:v>
      </x:c>
      <x:c r="C85" t="s">
        <x:v>775</x:v>
      </x:c>
      <x:c r="D85" t="s">
        <x:v>779</x:v>
      </x:c>
      <x:c r="E85" s="44" t="n">
        <x:v>-2455.159642</x:v>
      </x:c>
      <x:c r="F85" s="44" t="n">
        <x:v>-2247.109285</x:v>
      </x:c>
      <x:c r="G85" s="44" t="n">
        <x:f aca="0">F85-E85</x:f>
        <x:v>208.05035700000008</x:v>
      </x:c>
      <x:c r="H85" s="11" t="s">
        <x:v>769</x:v>
      </x:c>
    </x:row>
    <x:row r="86" ht="15" hidden="0">
      <x:c r="A86" t="s">
        <x:v>24</x:v>
      </x:c>
      <x:c r="B86" t="s">
        <x:v>104</x:v>
      </x:c>
      <x:c r="C86" t="s">
        <x:v>763</x:v>
      </x:c>
      <x:c r="D86" t="s">
        <x:v>780</x:v>
      </x:c>
      <x:c r="E86" s="44" t="n">
        <x:v>135.001023</x:v>
      </x:c>
      <x:c r="F86" s="44" t="n">
        <x:v>0</x:v>
      </x:c>
      <x:c r="G86" s="44" t="n">
        <x:f aca="0">F86-E86</x:f>
        <x:v>-135.001023</x:v>
      </x:c>
      <x:c r="H86" s="11" t="s">
        <x:v>781</x:v>
      </x:c>
    </x:row>
    <x:row r="87" ht="15" hidden="0">
      <x:c r="A87" t="s">
        <x:v>24</x:v>
      </x:c>
      <x:c r="B87" t="s">
        <x:v>104</x:v>
      </x:c>
      <x:c r="C87" t="s">
        <x:v>763</x:v>
      </x:c>
      <x:c r="D87" t="s">
        <x:v>782</x:v>
      </x:c>
      <x:c r="E87" s="44" t="n">
        <x:v>1222.138891</x:v>
      </x:c>
      <x:c r="F87" s="44" t="n">
        <x:v>1140.327819</x:v>
      </x:c>
      <x:c r="G87" s="44" t="n">
        <x:f aca="0">F87-E87</x:f>
        <x:v>-81.81107199999997</x:v>
      </x:c>
      <x:c r="H87" s="11" t="s">
        <x:v>781</x:v>
      </x:c>
    </x:row>
    <x:row r="88" ht="15" hidden="0">
      <x:c r="A88" t="s">
        <x:v>24</x:v>
      </x:c>
      <x:c r="B88" t="s">
        <x:v>104</x:v>
      </x:c>
      <x:c r="C88" t="s">
        <x:v>763</x:v>
      </x:c>
      <x:c r="D88" t="s">
        <x:v>783</x:v>
      </x:c>
      <x:c r="E88" s="44" t="n">
        <x:v>1034.355873</x:v>
      </x:c>
      <x:c r="F88" s="44" t="n">
        <x:v>1169.295643</x:v>
      </x:c>
      <x:c r="G88" s="44" t="n">
        <x:f aca="0">F88-E88</x:f>
        <x:v>134.93976999999995</x:v>
      </x:c>
      <x:c r="H88" s="11" t="s">
        <x:v>781</x:v>
      </x:c>
    </x:row>
    <x:row r="89" ht="15" hidden="0">
      <x:c r="A89" t="s">
        <x:v>24</x:v>
      </x:c>
      <x:c r="B89" t="s">
        <x:v>104</x:v>
      </x:c>
      <x:c r="C89" t="s">
        <x:v>763</x:v>
      </x:c>
      <x:c r="D89" t="s">
        <x:v>766</x:v>
      </x:c>
      <x:c r="E89" s="44" t="n">
        <x:v>64.527034</x:v>
      </x:c>
      <x:c r="F89" s="44" t="n">
        <x:v>147.388106</x:v>
      </x:c>
      <x:c r="G89" s="44" t="n">
        <x:f aca="0">F89-E89</x:f>
        <x:v>82.861072</x:v>
      </x:c>
      <x:c r="H89" s="11" t="s">
        <x:v>781</x:v>
      </x:c>
    </x:row>
    <x:row r="90" ht="15" hidden="0">
      <x:c r="A90" t="s">
        <x:v>24</x:v>
      </x:c>
      <x:c r="B90" t="s">
        <x:v>104</x:v>
      </x:c>
      <x:c r="C90" t="s">
        <x:v>763</x:v>
      </x:c>
      <x:c r="D90" t="s">
        <x:v>767</x:v>
      </x:c>
      <x:c r="E90" s="44" t="n">
        <x:v>22157.690533</x:v>
      </x:c>
      <x:c r="F90" s="44" t="n">
        <x:v>22156.640533</x:v>
      </x:c>
      <x:c r="G90" s="44" t="n">
        <x:f aca="0">F90-E90</x:f>
        <x:v>-1.0499999999992724</x:v>
      </x:c>
      <x:c r="H90" s="11" t="s">
        <x:v>781</x:v>
      </x:c>
    </x:row>
    <x:row r="91" ht="15" hidden="0">
      <x:c r="A91" t="s">
        <x:v>24</x:v>
      </x:c>
      <x:c r="B91" t="s">
        <x:v>104</x:v>
      </x:c>
      <x:c r="C91" t="s">
        <x:v>763</x:v>
      </x:c>
      <x:c r="D91" t="s">
        <x:v>784</x:v>
      </x:c>
      <x:c r="E91" s="44" t="n">
        <x:v>0</x:v>
      </x:c>
      <x:c r="F91" s="44" t="n">
        <x:v>0.061253</x:v>
      </x:c>
      <x:c r="G91" s="44" t="n">
        <x:f aca="0">F91-E91</x:f>
        <x:v>0.061253</x:v>
      </x:c>
      <x:c r="H91" s="11" t="s">
        <x:v>781</x:v>
      </x:c>
    </x:row>
    <x:row r="92" ht="15" hidden="0">
      <x:c r="A92" t="s">
        <x:v>24</x:v>
      </x:c>
      <x:c r="B92" t="s">
        <x:v>104</x:v>
      </x:c>
      <x:c r="C92" t="s">
        <x:v>771</x:v>
      </x:c>
      <x:c r="D92" t="s">
        <x:v>772</x:v>
      </x:c>
      <x:c r="E92" s="44" t="n">
        <x:v>9999.238916</x:v>
      </x:c>
      <x:c r="F92" s="44" t="n">
        <x:v>10001.249432</x:v>
      </x:c>
      <x:c r="G92" s="44" t="n">
        <x:f aca="0">F92-E92</x:f>
        <x:v>2.0105160000002797</x:v>
      </x:c>
      <x:c r="H92" s="11" t="s">
        <x:v>781</x:v>
      </x:c>
    </x:row>
    <x:row r="93" ht="15" hidden="0">
      <x:c r="A93" t="s">
        <x:v>24</x:v>
      </x:c>
      <x:c r="B93" t="s">
        <x:v>104</x:v>
      </x:c>
      <x:c r="C93" t="s">
        <x:v>771</x:v>
      </x:c>
      <x:c r="D93" t="s">
        <x:v>785</x:v>
      </x:c>
      <x:c r="E93" s="44" t="n">
        <x:v>4454.427029</x:v>
      </x:c>
      <x:c r="F93" s="44" t="n">
        <x:v>4452.416513</x:v>
      </x:c>
      <x:c r="G93" s="44" t="n">
        <x:f aca="0">F93-E93</x:f>
        <x:v>-2.0105160000002797</x:v>
      </x:c>
      <x:c r="H93" s="11" t="s">
        <x:v>781</x:v>
      </x:c>
    </x:row>
    <x:row r="94" ht="15" hidden="0">
      <x:c r="A94" t="s">
        <x:v>24</x:v>
      </x:c>
      <x:c r="B94" t="s">
        <x:v>104</x:v>
      </x:c>
      <x:c r="C94" t="s">
        <x:v>771</x:v>
      </x:c>
      <x:c r="D94" t="s">
        <x:v>786</x:v>
      </x:c>
      <x:c r="E94" s="44" t="n">
        <x:v>8893.454788</x:v>
      </x:c>
      <x:c r="F94" s="44" t="n">
        <x:v>8893.454787</x:v>
      </x:c>
      <x:c r="G94" s="44" t="n">
        <x:f aca="0">F94-E94</x:f>
        <x:v>-9.999985195463523e-7</x:v>
      </x:c>
      <x:c r="H94" s="11" t="s">
        <x:v>781</x:v>
      </x:c>
    </x:row>
    <x:row r="95" ht="15" hidden="0">
      <x:c r="A95" t="s">
        <x:v>24</x:v>
      </x:c>
      <x:c r="B95" t="s">
        <x:v>104</x:v>
      </x:c>
      <x:c r="C95" t="s">
        <x:v>771</x:v>
      </x:c>
      <x:c r="D95" t="s">
        <x:v>774</x:v>
      </x:c>
      <x:c r="E95" s="44" t="n">
        <x:v>-4038.678947</x:v>
      </x:c>
      <x:c r="F95" s="44" t="n">
        <x:v>-4038.678948</x:v>
      </x:c>
      <x:c r="G95" s="44" t="n">
        <x:f aca="0">F95-E95</x:f>
        <x:v>-0.0000010000003385357559</x:v>
      </x:c>
      <x:c r="H95" s="11" t="s">
        <x:v>781</x:v>
      </x:c>
    </x:row>
    <x:row r="96" ht="15" hidden="0">
      <x:c r="A96" t="s">
        <x:v>24</x:v>
      </x:c>
      <x:c r="B96" t="s">
        <x:v>104</x:v>
      </x:c>
      <x:c r="C96" t="s">
        <x:v>775</x:v>
      </x:c>
      <x:c r="D96" t="s">
        <x:v>787</x:v>
      </x:c>
      <x:c r="E96" s="44" t="n">
        <x:v>-1110.54388</x:v>
      </x:c>
      <x:c r="F96" s="44" t="n">
        <x:v>-1107.284933</x:v>
      </x:c>
      <x:c r="G96" s="44" t="n">
        <x:f aca="0">F96-E96</x:f>
        <x:v>3.2589470000000347</x:v>
      </x:c>
      <x:c r="H96" s="11" t="s">
        <x:v>781</x:v>
      </x:c>
    </x:row>
    <x:row r="97" ht="15" hidden="0">
      <x:c r="A97" t="s">
        <x:v>24</x:v>
      </x:c>
      <x:c r="B97" t="s">
        <x:v>104</x:v>
      </x:c>
      <x:c r="C97" t="s">
        <x:v>775</x:v>
      </x:c>
      <x:c r="D97" t="s">
        <x:v>776</x:v>
      </x:c>
      <x:c r="E97" s="44" t="n">
        <x:v>-4962.132518</x:v>
      </x:c>
      <x:c r="F97" s="44" t="n">
        <x:v>-5030.324094</x:v>
      </x:c>
      <x:c r="G97" s="44" t="n">
        <x:f aca="0">F97-E97</x:f>
        <x:v>-68.19157599999926</x:v>
      </x:c>
      <x:c r="H97" s="11" t="s">
        <x:v>781</x:v>
      </x:c>
    </x:row>
    <x:row r="98" ht="15" hidden="0">
      <x:c r="A98" t="s">
        <x:v>24</x:v>
      </x:c>
      <x:c r="B98" t="s">
        <x:v>104</x:v>
      </x:c>
      <x:c r="C98" t="s">
        <x:v>775</x:v>
      </x:c>
      <x:c r="D98" t="s">
        <x:v>777</x:v>
      </x:c>
      <x:c r="E98" s="44" t="n">
        <x:v>6578.981833</x:v>
      </x:c>
      <x:c r="F98" s="44" t="n">
        <x:v>6647.173409</x:v>
      </x:c>
      <x:c r="G98" s="44" t="n">
        <x:f aca="0">F98-E98</x:f>
        <x:v>68.19157600000017</x:v>
      </x:c>
      <x:c r="H98" s="11" t="s">
        <x:v>781</x:v>
      </x:c>
    </x:row>
    <x:row r="99" ht="15" hidden="0">
      <x:c r="A99" t="s">
        <x:v>24</x:v>
      </x:c>
      <x:c r="B99" t="s">
        <x:v>104</x:v>
      </x:c>
      <x:c r="C99" t="s">
        <x:v>775</x:v>
      </x:c>
      <x:c r="D99" t="s">
        <x:v>778</x:v>
      </x:c>
      <x:c r="E99" s="44" t="n">
        <x:v>11414.783911</x:v>
      </x:c>
      <x:c r="F99" s="44" t="n">
        <x:v>11482.975487</x:v>
      </x:c>
      <x:c r="G99" s="44" t="n">
        <x:f aca="0">F99-E99</x:f>
        <x:v>68.19157599999926</x:v>
      </x:c>
      <x:c r="H99" s="11" t="s">
        <x:v>781</x:v>
      </x:c>
    </x:row>
    <x:row r="100" ht="15" hidden="0">
      <x:c r="A100" t="s">
        <x:v>30</x:v>
      </x:c>
      <x:c r="B100" t="s">
        <x:v>101</x:v>
      </x:c>
      <x:c r="C100" t="s">
        <x:v>771</x:v>
      </x:c>
      <x:c r="D100" t="s">
        <x:v>788</x:v>
      </x:c>
      <x:c r="E100" s="44" t="n">
        <x:v>-1361.005</x:v>
      </x:c>
      <x:c r="F100" s="44" t="n">
        <x:v>-1507.673</x:v>
      </x:c>
      <x:c r="G100" s="44" t="n">
        <x:f aca="0">F100-E100</x:f>
        <x:v>-146.6679999999999</x:v>
      </x:c>
      <x:c r="H100" s="11" t="s">
        <x:v>789</x:v>
      </x:c>
    </x:row>
    <x:row r="101" ht="15" hidden="0">
      <x:c r="A101" t="s">
        <x:v>30</x:v>
      </x:c>
      <x:c r="B101" t="s">
        <x:v>101</x:v>
      </x:c>
      <x:c r="C101" t="s">
        <x:v>771</x:v>
      </x:c>
      <x:c r="D101" t="s">
        <x:v>785</x:v>
      </x:c>
      <x:c r="E101" s="44" t="n">
        <x:v>5846.361</x:v>
      </x:c>
      <x:c r="F101" s="44" t="n">
        <x:v>5993.029</x:v>
      </x:c>
      <x:c r="G101" s="44" t="n">
        <x:f aca="0">F101-E101</x:f>
        <x:v>146.66800000000057</x:v>
      </x:c>
      <x:c r="H101" s="11" t="s">
        <x:v>789</x:v>
      </x:c>
    </x:row>
    <x:row r="102" ht="15" hidden="0">
      <x:c r="A102" t="s">
        <x:v>30</x:v>
      </x:c>
      <x:c r="B102" t="s">
        <x:v>102</x:v>
      </x:c>
      <x:c r="C102" t="s">
        <x:v>775</x:v>
      </x:c>
      <x:c r="D102" t="s">
        <x:v>787</x:v>
      </x:c>
      <x:c r="E102" s="44" t="n">
        <x:v>-24591.059</x:v>
      </x:c>
      <x:c r="F102" s="44" t="n">
        <x:v>-24537.83</x:v>
      </x:c>
      <x:c r="G102" s="44" t="n">
        <x:f aca="0">F102-E102</x:f>
        <x:v>53.22899999999936</x:v>
      </x:c>
      <x:c r="H102" s="11" t="s">
        <x:v>790</x:v>
      </x:c>
    </x:row>
    <x:row r="103" ht="15" hidden="0">
      <x:c r="A103" t="s">
        <x:v>30</x:v>
      </x:c>
      <x:c r="B103" t="s">
        <x:v>102</x:v>
      </x:c>
      <x:c r="C103" t="s">
        <x:v>775</x:v>
      </x:c>
      <x:c r="D103" t="s">
        <x:v>791</x:v>
      </x:c>
      <x:c r="E103" s="44" t="n">
        <x:v>12208.783</x:v>
      </x:c>
      <x:c r="F103" s="44" t="n">
        <x:v>6158.783</x:v>
      </x:c>
      <x:c r="G103" s="44" t="n">
        <x:f aca="0">F103-E103</x:f>
        <x:v>-6049.999999999999</x:v>
      </x:c>
      <x:c r="H103" s="11" t="s">
        <x:v>790</x:v>
      </x:c>
    </x:row>
    <x:row r="104" ht="15" hidden="0">
      <x:c r="A104" t="s">
        <x:v>30</x:v>
      </x:c>
      <x:c r="B104" t="s">
        <x:v>103</x:v>
      </x:c>
      <x:c r="C104" t="s">
        <x:v>771</x:v>
      </x:c>
      <x:c r="D104" t="s">
        <x:v>773</x:v>
      </x:c>
      <x:c r="E104" s="44" t="n">
        <x:v>21343.274</x:v>
      </x:c>
      <x:c r="F104" s="44" t="n">
        <x:v>20905.441</x:v>
      </x:c>
      <x:c r="G104" s="44" t="n">
        <x:f aca="0">F104-E104</x:f>
        <x:v>-437.83300000000236</x:v>
      </x:c>
      <x:c r="H104" s="11" t="s">
        <x:v>792</x:v>
      </x:c>
    </x:row>
    <x:row r="105" ht="15" hidden="0">
      <x:c r="A105" t="s">
        <x:v>30</x:v>
      </x:c>
      <x:c r="B105" t="s">
        <x:v>103</x:v>
      </x:c>
      <x:c r="C105" t="s">
        <x:v>771</x:v>
      </x:c>
      <x:c r="D105" t="s">
        <x:v>774</x:v>
      </x:c>
      <x:c r="E105" s="44" t="n">
        <x:v>-7617.46</x:v>
      </x:c>
      <x:c r="F105" s="44" t="n">
        <x:v>-7179.627</x:v>
      </x:c>
      <x:c r="G105" s="44" t="n">
        <x:f aca="0">F105-E105</x:f>
        <x:v>437.83299999999963</x:v>
      </x:c>
      <x:c r="H105" s="11" t="s">
        <x:v>792</x:v>
      </x:c>
    </x:row>
    <x:row r="106" ht="15" hidden="0">
      <x:c r="A106" t="s">
        <x:v>30</x:v>
      </x:c>
      <x:c r="B106" t="s">
        <x:v>104</x:v>
      </x:c>
      <x:c r="C106" t="s">
        <x:v>763</x:v>
      </x:c>
      <x:c r="D106" t="s">
        <x:v>793</x:v>
      </x:c>
      <x:c r="E106" s="44" t="n">
        <x:v>14015.32</x:v>
      </x:c>
      <x:c r="F106" s="44" t="n">
        <x:v>0</x:v>
      </x:c>
      <x:c r="G106" s="44" t="n">
        <x:f aca="0">F106-E106</x:f>
        <x:v>-14015.32</x:v>
      </x:c>
      <x:c r="H106" s="11" t="s">
        <x:v>794</x:v>
      </x:c>
    </x:row>
    <x:row r="107" ht="15" hidden="0">
      <x:c r="A107" t="s">
        <x:v>30</x:v>
      </x:c>
      <x:c r="B107" t="s">
        <x:v>104</x:v>
      </x:c>
      <x:c r="C107" t="s">
        <x:v>763</x:v>
      </x:c>
      <x:c r="D107" t="s">
        <x:v>795</x:v>
      </x:c>
      <x:c r="E107" s="44" t="n">
        <x:v>3526.328</x:v>
      </x:c>
      <x:c r="F107" s="44" t="n">
        <x:v>17541.648</x:v>
      </x:c>
      <x:c r="G107" s="44" t="n">
        <x:f aca="0">F107-E107</x:f>
        <x:v>14015.320000000002</x:v>
      </x:c>
      <x:c r="H107" s="11" t="s">
        <x:v>794</x:v>
      </x:c>
    </x:row>
    <x:row r="108" ht="15" hidden="0">
      <x:c r="A108" t="s">
        <x:v>36</x:v>
      </x:c>
      <x:c r="B108" t="s">
        <x:v>103</x:v>
      </x:c>
      <x:c r="C108" t="s">
        <x:v>771</x:v>
      </x:c>
      <x:c r="D108" t="s">
        <x:v>773</x:v>
      </x:c>
      <x:c r="E108" s="44" t="n">
        <x:v>3162.543</x:v>
      </x:c>
      <x:c r="F108" s="44" t="n">
        <x:v>2798.489</x:v>
      </x:c>
      <x:c r="G108" s="44" t="n">
        <x:f aca="0">F108-E108</x:f>
        <x:v>-364.0540000000001</x:v>
      </x:c>
      <x:c r="H108" s="11" t="s">
        <x:v>796</x:v>
      </x:c>
    </x:row>
    <x:row r="109" ht="15" hidden="0">
      <x:c r="A109" t="s">
        <x:v>36</x:v>
      </x:c>
      <x:c r="B109" t="s">
        <x:v>103</x:v>
      </x:c>
      <x:c r="C109" t="s">
        <x:v>771</x:v>
      </x:c>
      <x:c r="D109" t="s">
        <x:v>774</x:v>
      </x:c>
      <x:c r="E109" s="44" t="n">
        <x:v>-6798.519</x:v>
      </x:c>
      <x:c r="F109" s="44" t="n">
        <x:v>-6434.465</x:v>
      </x:c>
      <x:c r="G109" s="44" t="n">
        <x:f aca="0">F109-E109</x:f>
        <x:v>364.0540000000001</x:v>
      </x:c>
      <x:c r="H109" s="11" t="s">
        <x:v>796</x:v>
      </x:c>
    </x:row>
    <x:row r="110" ht="15" hidden="0">
      <x:c r="A110" t="s">
        <x:v>36</x:v>
      </x:c>
      <x:c r="B110" t="s">
        <x:v>103</x:v>
      </x:c>
      <x:c r="C110" t="s">
        <x:v>775</x:v>
      </x:c>
      <x:c r="D110" t="s">
        <x:v>779</x:v>
      </x:c>
      <x:c r="E110" s="44" t="n">
        <x:v>-925.544</x:v>
      </x:c>
      <x:c r="F110" s="44" t="n">
        <x:v>-561.49</x:v>
      </x:c>
      <x:c r="G110" s="44" t="n">
        <x:f aca="0">F110-E110</x:f>
        <x:v>364.054</x:v>
      </x:c>
      <x:c r="H110" s="11" t="s">
        <x:v>796</x:v>
      </x:c>
    </x:row>
    <x:row r="111" ht="15" hidden="0">
      <x:c r="A111" t="s">
        <x:v>41</x:v>
      </x:c>
      <x:c r="B111" t="s">
        <x:v>101</x:v>
      </x:c>
      <x:c r="C111" t="s">
        <x:v>771</x:v>
      </x:c>
      <x:c r="D111" t="s">
        <x:v>797</x:v>
      </x:c>
      <x:c r="E111" s="44" t="n">
        <x:v>-972.547</x:v>
      </x:c>
      <x:c r="F111" s="44" t="n">
        <x:v>-813.489</x:v>
      </x:c>
      <x:c r="G111" s="44" t="n">
        <x:f aca="0">F111-E111</x:f>
        <x:v>159.058</x:v>
      </x:c>
      <x:c r="H111" s="11" t="s">
        <x:v>789</x:v>
      </x:c>
    </x:row>
    <x:row r="112" ht="15" hidden="0">
      <x:c r="A112" t="s">
        <x:v>41</x:v>
      </x:c>
      <x:c r="B112" t="s">
        <x:v>101</x:v>
      </x:c>
      <x:c r="C112" t="s">
        <x:v>771</x:v>
      </x:c>
      <x:c r="D112" t="s">
        <x:v>798</x:v>
      </x:c>
      <x:c r="E112" s="44" t="n">
        <x:v>7504.762</x:v>
      </x:c>
      <x:c r="F112" s="44" t="n">
        <x:v>7402.882</x:v>
      </x:c>
      <x:c r="G112" s="44" t="n">
        <x:f aca="0">F112-E112</x:f>
        <x:v>-101.88000000000011</x:v>
      </x:c>
      <x:c r="H112" s="11" t="s">
        <x:v>789</x:v>
      </x:c>
    </x:row>
    <x:row r="113" ht="15" hidden="0">
      <x:c r="A113" t="s">
        <x:v>41</x:v>
      </x:c>
      <x:c r="B113" t="s">
        <x:v>101</x:v>
      </x:c>
      <x:c r="C113" t="s">
        <x:v>771</x:v>
      </x:c>
      <x:c r="D113" t="s">
        <x:v>788</x:v>
      </x:c>
      <x:c r="E113" s="44" t="n">
        <x:v>-365.084</x:v>
      </x:c>
      <x:c r="F113" s="44" t="n">
        <x:v>-524.142</x:v>
      </x:c>
      <x:c r="G113" s="44" t="n">
        <x:f aca="0">F113-E113</x:f>
        <x:v>-159.05800000000005</x:v>
      </x:c>
      <x:c r="H113" s="11" t="s">
        <x:v>789</x:v>
      </x:c>
    </x:row>
    <x:row r="114" ht="15" hidden="0">
      <x:c r="A114" t="s">
        <x:v>41</x:v>
      </x:c>
      <x:c r="B114" t="s">
        <x:v>101</x:v>
      </x:c>
      <x:c r="C114" t="s">
        <x:v>771</x:v>
      </x:c>
      <x:c r="D114" t="s">
        <x:v>799</x:v>
      </x:c>
      <x:c r="E114" s="44" t="n">
        <x:v>35640.181</x:v>
      </x:c>
      <x:c r="F114" s="44" t="n">
        <x:v>35538.301</x:v>
      </x:c>
      <x:c r="G114" s="44" t="n">
        <x:f aca="0">F114-E114</x:f>
        <x:v>-101.87999999999738</x:v>
      </x:c>
      <x:c r="H114" s="11" t="s">
        <x:v>789</x:v>
      </x:c>
    </x:row>
    <x:row r="115" ht="15" hidden="0">
      <x:c r="A115" t="s">
        <x:v>41</x:v>
      </x:c>
      <x:c r="B115" t="s">
        <x:v>101</x:v>
      </x:c>
      <x:c r="C115" t="s">
        <x:v>771</x:v>
      </x:c>
      <x:c r="D115" t="s">
        <x:v>800</x:v>
      </x:c>
      <x:c r="E115" s="44" t="n">
        <x:v>-1115.732</x:v>
      </x:c>
      <x:c r="F115" s="44" t="n">
        <x:v>-1013.852</x:v>
      </x:c>
      <x:c r="G115" s="44" t="n">
        <x:f aca="0">F115-E115</x:f>
        <x:v>101.88</x:v>
      </x:c>
      <x:c r="H115" s="11" t="s">
        <x:v>789</x:v>
      </x:c>
    </x:row>
    <x:row r="116" ht="15" hidden="0">
      <x:c r="A116" t="s">
        <x:v>41</x:v>
      </x:c>
      <x:c r="B116" t="s">
        <x:v>101</x:v>
      </x:c>
      <x:c r="C116" t="s">
        <x:v>775</x:v>
      </x:c>
      <x:c r="D116" t="s">
        <x:v>778</x:v>
      </x:c>
      <x:c r="E116" s="44" t="n">
        <x:v>9013.17</x:v>
      </x:c>
      <x:c r="F116" s="44" t="n">
        <x:v>9013.169</x:v>
      </x:c>
      <x:c r="G116" s="44" t="n">
        <x:f aca="0">F116-E116</x:f>
        <x:v>-0.0010000000002037268</x:v>
      </x:c>
      <x:c r="H116" s="11" t="s">
        <x:v>789</x:v>
      </x:c>
    </x:row>
    <x:row r="117" ht="15" hidden="0">
      <x:c r="A117" t="s">
        <x:v>41</x:v>
      </x:c>
      <x:c r="B117" t="s">
        <x:v>102</x:v>
      </x:c>
      <x:c r="C117" t="s">
        <x:v>771</x:v>
      </x:c>
      <x:c r="D117" t="s">
        <x:v>788</x:v>
      </x:c>
      <x:c r="E117" s="44" t="n">
        <x:v>-952.2</x:v>
      </x:c>
      <x:c r="F117" s="44" t="n">
        <x:v>-742.28</x:v>
      </x:c>
      <x:c r="G117" s="44" t="n">
        <x:f aca="0">F117-E117</x:f>
        <x:v>209.92000000000007</x:v>
      </x:c>
      <x:c r="H117" s="11" t="s">
        <x:v>790</x:v>
      </x:c>
    </x:row>
    <x:row r="118" ht="15" hidden="0">
      <x:c r="A118" t="s">
        <x:v>41</x:v>
      </x:c>
      <x:c r="B118" t="s">
        <x:v>102</x:v>
      </x:c>
      <x:c r="C118" t="s">
        <x:v>775</x:v>
      </x:c>
      <x:c r="D118" t="s">
        <x:v>777</x:v>
      </x:c>
      <x:c r="E118" s="44" t="n">
        <x:v>8334.083</x:v>
      </x:c>
      <x:c r="F118" s="44" t="n">
        <x:v>8330.107</x:v>
      </x:c>
      <x:c r="G118" s="44" t="n">
        <x:f aca="0">F118-E118</x:f>
        <x:v>-3.9760000000005675</x:v>
      </x:c>
      <x:c r="H118" s="11" t="s">
        <x:v>790</x:v>
      </x:c>
    </x:row>
    <x:row r="119" ht="15" hidden="0">
      <x:c r="A119" t="s">
        <x:v>41</x:v>
      </x:c>
      <x:c r="B119" t="s">
        <x:v>102</x:v>
      </x:c>
      <x:c r="C119" t="s">
        <x:v>775</x:v>
      </x:c>
      <x:c r="D119" t="s">
        <x:v>778</x:v>
      </x:c>
      <x:c r="E119" s="44" t="n">
        <x:v>12909.174</x:v>
      </x:c>
      <x:c r="F119" s="44" t="n">
        <x:v>12905.198</x:v>
      </x:c>
      <x:c r="G119" s="44" t="n">
        <x:f aca="0">F119-E119</x:f>
        <x:v>-3.9760000000005675</x:v>
      </x:c>
      <x:c r="H119" s="11" t="s">
        <x:v>790</x:v>
      </x:c>
    </x:row>
    <x:row r="120" ht="15" hidden="0">
      <x:c r="A120" t="s">
        <x:v>41</x:v>
      </x:c>
      <x:c r="B120" t="s">
        <x:v>103</x:v>
      </x:c>
      <x:c r="C120" t="s">
        <x:v>763</x:v>
      </x:c>
      <x:c r="D120" t="s">
        <x:v>801</x:v>
      </x:c>
      <x:c r="E120" s="44" t="n">
        <x:v>2600.988</x:v>
      </x:c>
      <x:c r="F120" s="44" t="n">
        <x:v>2600.985</x:v>
      </x:c>
      <x:c r="G120" s="44" t="n">
        <x:f aca="0">F120-E120</x:f>
        <x:v>-0.0029999999997016857</x:v>
      </x:c>
      <x:c r="H120" s="11" t="s">
        <x:v>792</x:v>
      </x:c>
    </x:row>
    <x:row r="121" ht="15" hidden="0">
      <x:c r="A121" t="s">
        <x:v>41</x:v>
      </x:c>
      <x:c r="B121" t="s">
        <x:v>103</x:v>
      </x:c>
      <x:c r="C121" t="s">
        <x:v>763</x:v>
      </x:c>
      <x:c r="D121" t="s">
        <x:v>802</x:v>
      </x:c>
      <x:c r="E121" s="44" t="n">
        <x:v>9925.852</x:v>
      </x:c>
      <x:c r="F121" s="44" t="n">
        <x:v>9925.855</x:v>
      </x:c>
      <x:c r="G121" s="44" t="n">
        <x:f aca="0">F121-E121</x:f>
        <x:v>0.002999999998792191</x:v>
      </x:c>
      <x:c r="H121" s="11" t="s">
        <x:v>792</x:v>
      </x:c>
    </x:row>
    <x:row r="122" ht="15" hidden="0">
      <x:c r="A122" t="s">
        <x:v>41</x:v>
      </x:c>
      <x:c r="B122" t="s">
        <x:v>103</x:v>
      </x:c>
      <x:c r="C122" t="s">
        <x:v>771</x:v>
      </x:c>
      <x:c r="D122" t="s">
        <x:v>803</x:v>
      </x:c>
      <x:c r="E122" s="44" t="n">
        <x:v>-45651.503</x:v>
      </x:c>
      <x:c r="F122" s="44" t="n">
        <x:v>-43901.906</x:v>
      </x:c>
      <x:c r="G122" s="44" t="n">
        <x:f aca="0">F122-E122</x:f>
        <x:v>1749.5969999999943</x:v>
      </x:c>
      <x:c r="H122" s="11" t="s">
        <x:v>792</x:v>
      </x:c>
    </x:row>
    <x:row r="123" ht="15" hidden="0">
      <x:c r="A123" t="s">
        <x:v>41</x:v>
      </x:c>
      <x:c r="B123" t="s">
        <x:v>103</x:v>
      </x:c>
      <x:c r="C123" t="s">
        <x:v>771</x:v>
      </x:c>
      <x:c r="D123" t="s">
        <x:v>798</x:v>
      </x:c>
      <x:c r="E123" s="44" t="n">
        <x:v>16423.756</x:v>
      </x:c>
      <x:c r="F123" s="44" t="n">
        <x:v>18173.353</x:v>
      </x:c>
      <x:c r="G123" s="44" t="n">
        <x:f aca="0">F123-E123</x:f>
        <x:v>1749.596999999998</x:v>
      </x:c>
      <x:c r="H123" s="11" t="s">
        <x:v>792</x:v>
      </x:c>
    </x:row>
    <x:row r="124" ht="15" hidden="0">
      <x:c r="A124" t="s">
        <x:v>41</x:v>
      </x:c>
      <x:c r="B124" t="s">
        <x:v>103</x:v>
      </x:c>
      <x:c r="C124" t="s">
        <x:v>771</x:v>
      </x:c>
      <x:c r="D124" t="s">
        <x:v>773</x:v>
      </x:c>
      <x:c r="E124" s="44" t="n">
        <x:v>9250.667</x:v>
      </x:c>
      <x:c r="F124" s="44" t="n">
        <x:v>9238.475</x:v>
      </x:c>
      <x:c r="G124" s="44" t="n">
        <x:f aca="0">F124-E124</x:f>
        <x:v>-12.191999999999098</x:v>
      </x:c>
      <x:c r="H124" s="11" t="s">
        <x:v>792</x:v>
      </x:c>
    </x:row>
    <x:row r="125" ht="15" hidden="0">
      <x:c r="A125" t="s">
        <x:v>41</x:v>
      </x:c>
      <x:c r="B125" t="s">
        <x:v>103</x:v>
      </x:c>
      <x:c r="C125" t="s">
        <x:v>771</x:v>
      </x:c>
      <x:c r="D125" t="s">
        <x:v>800</x:v>
      </x:c>
      <x:c r="E125" s="44" t="n">
        <x:v>-2001.499</x:v>
      </x:c>
      <x:c r="F125" s="44" t="n">
        <x:v>-3751.096</x:v>
      </x:c>
      <x:c r="G125" s="44" t="n">
        <x:f aca="0">F125-E125</x:f>
        <x:v>-1749.597</x:v>
      </x:c>
      <x:c r="H125" s="11" t="s">
        <x:v>792</x:v>
      </x:c>
    </x:row>
    <x:row r="126" ht="15" hidden="0">
      <x:c r="A126" t="s">
        <x:v>41</x:v>
      </x:c>
      <x:c r="B126" t="s">
        <x:v>103</x:v>
      </x:c>
      <x:c r="C126" t="s">
        <x:v>771</x:v>
      </x:c>
      <x:c r="D126" t="s">
        <x:v>774</x:v>
      </x:c>
      <x:c r="E126" s="44" t="n">
        <x:v>-4758.998</x:v>
      </x:c>
      <x:c r="F126" s="44" t="n">
        <x:v>-4746.806</x:v>
      </x:c>
      <x:c r="G126" s="44" t="n">
        <x:f aca="0">F126-E126</x:f>
        <x:v>12.192000000000007</x:v>
      </x:c>
      <x:c r="H126" s="11" t="s">
        <x:v>792</x:v>
      </x:c>
    </x:row>
    <x:row r="127" ht="15" hidden="0">
      <x:c r="A127" t="s">
        <x:v>41</x:v>
      </x:c>
      <x:c r="B127" t="s">
        <x:v>103</x:v>
      </x:c>
      <x:c r="C127" t="s">
        <x:v>775</x:v>
      </x:c>
      <x:c r="D127" t="s">
        <x:v>778</x:v>
      </x:c>
      <x:c r="E127" s="44" t="n">
        <x:v>15897.923</x:v>
      </x:c>
      <x:c r="F127" s="44" t="n">
        <x:v>19906.827</x:v>
      </x:c>
      <x:c r="G127" s="44" t="n">
        <x:f aca="0">F127-E127</x:f>
        <x:v>4008.9040000000005</x:v>
      </x:c>
      <x:c r="H127" s="11" t="s">
        <x:v>792</x:v>
      </x:c>
    </x:row>
    <x:row r="128" ht="15" hidden="0">
      <x:c r="A128" t="s">
        <x:v>41</x:v>
      </x:c>
      <x:c r="B128" t="s">
        <x:v>104</x:v>
      </x:c>
      <x:c r="C128" t="s">
        <x:v>771</x:v>
      </x:c>
      <x:c r="D128" t="s">
        <x:v>772</x:v>
      </x:c>
      <x:c r="E128" s="44" t="n">
        <x:v>13069.734</x:v>
      </x:c>
      <x:c r="F128" s="44" t="n">
        <x:v>12952.043</x:v>
      </x:c>
      <x:c r="G128" s="44" t="n">
        <x:f aca="0">F128-E128</x:f>
        <x:v>-117.69100000000071</x:v>
      </x:c>
      <x:c r="H128" s="11" t="s">
        <x:v>794</x:v>
      </x:c>
    </x:row>
    <x:row r="129" ht="15" hidden="0">
      <x:c r="A129" t="s">
        <x:v>41</x:v>
      </x:c>
      <x:c r="B129" t="s">
        <x:v>104</x:v>
      </x:c>
      <x:c r="C129" t="s">
        <x:v>771</x:v>
      </x:c>
      <x:c r="D129" t="s">
        <x:v>785</x:v>
      </x:c>
      <x:c r="E129" s="44" t="n">
        <x:v>356.142</x:v>
      </x:c>
      <x:c r="F129" s="44" t="n">
        <x:v>238.451</x:v>
      </x:c>
      <x:c r="G129" s="44" t="n">
        <x:f aca="0">F129-E129</x:f>
        <x:v>-117.691</x:v>
      </x:c>
      <x:c r="H129" s="11" t="s">
        <x:v>794</x:v>
      </x:c>
    </x:row>
    <x:row r="130" ht="15" hidden="0">
      <x:c r="A130" t="s">
        <x:v>45</x:v>
      </x:c>
      <x:c r="B130" t="s">
        <x:v>101</x:v>
      </x:c>
      <x:c r="C130" t="s">
        <x:v>763</x:v>
      </x:c>
      <x:c r="D130" t="s">
        <x:v>804</x:v>
      </x:c>
      <x:c r="E130" s="44" t="n">
        <x:v>0</x:v>
      </x:c>
      <x:c r="F130" s="44" t="n">
        <x:v>15.654</x:v>
      </x:c>
      <x:c r="G130" s="44" t="n">
        <x:f aca="0">F130-E130</x:f>
        <x:v>15.654</x:v>
      </x:c>
      <x:c r="H130" s="11" t="s">
        <x:v>805</x:v>
      </x:c>
    </x:row>
    <x:row r="131" ht="15" hidden="0">
      <x:c r="A131" t="s">
        <x:v>45</x:v>
      </x:c>
      <x:c r="B131" t="s">
        <x:v>101</x:v>
      </x:c>
      <x:c r="C131" t="s">
        <x:v>763</x:v>
      </x:c>
      <x:c r="D131" t="s">
        <x:v>806</x:v>
      </x:c>
      <x:c r="E131" s="44" t="n">
        <x:v>22.261</x:v>
      </x:c>
      <x:c r="F131" s="44" t="n">
        <x:v>6.607</x:v>
      </x:c>
      <x:c r="G131" s="44" t="n">
        <x:f aca="0">F131-E131</x:f>
        <x:v>-15.654</x:v>
      </x:c>
      <x:c r="H131" s="11" t="s">
        <x:v>805</x:v>
      </x:c>
    </x:row>
    <x:row r="132" ht="15" hidden="0">
      <x:c r="A132" t="s">
        <x:v>45</x:v>
      </x:c>
      <x:c r="B132" t="s">
        <x:v>102</x:v>
      </x:c>
      <x:c r="C132" t="s">
        <x:v>771</x:v>
      </x:c>
      <x:c r="D132" t="s">
        <x:v>803</x:v>
      </x:c>
      <x:c r="E132" s="44" t="n">
        <x:v>-39843.851</x:v>
      </x:c>
      <x:c r="F132" s="44" t="n">
        <x:v>-38779.542</x:v>
      </x:c>
      <x:c r="G132" s="44" t="n">
        <x:f aca="0">F132-E132</x:f>
        <x:v>1064.309000000001</x:v>
      </x:c>
      <x:c r="H132" s="11" t="s">
        <x:v>807</x:v>
      </x:c>
    </x:row>
    <x:row r="133" ht="15" hidden="0">
      <x:c r="A133" t="s">
        <x:v>45</x:v>
      </x:c>
      <x:c r="B133" t="s">
        <x:v>102</x:v>
      </x:c>
      <x:c r="C133" t="s">
        <x:v>771</x:v>
      </x:c>
      <x:c r="D133" t="s">
        <x:v>798</x:v>
      </x:c>
      <x:c r="E133" s="44" t="n">
        <x:v>14399.267</x:v>
      </x:c>
      <x:c r="F133" s="44" t="n">
        <x:v>15463.576</x:v>
      </x:c>
      <x:c r="G133" s="44" t="n">
        <x:f aca="0">F133-E133</x:f>
        <x:v>1064.3089999999993</x:v>
      </x:c>
      <x:c r="H133" s="11" t="s">
        <x:v>807</x:v>
      </x:c>
    </x:row>
    <x:row r="134" ht="15" hidden="0">
      <x:c r="A134" t="s">
        <x:v>45</x:v>
      </x:c>
      <x:c r="B134" t="s">
        <x:v>102</x:v>
      </x:c>
      <x:c r="C134" t="s">
        <x:v>771</x:v>
      </x:c>
      <x:c r="D134" t="s">
        <x:v>800</x:v>
      </x:c>
      <x:c r="E134" s="44" t="n">
        <x:v>-539.014</x:v>
      </x:c>
      <x:c r="F134" s="44" t="n">
        <x:v>-1603.323</x:v>
      </x:c>
      <x:c r="G134" s="44" t="n">
        <x:f aca="0">F134-E134</x:f>
        <x:v>-1064.3090000000002</x:v>
      </x:c>
      <x:c r="H134" s="11" t="s">
        <x:v>807</x:v>
      </x:c>
    </x:row>
    <x:row r="135" ht="15" hidden="0">
      <x:c r="A135" t="s">
        <x:v>45</x:v>
      </x:c>
      <x:c r="B135" t="s">
        <x:v>103</x:v>
      </x:c>
      <x:c r="C135" t="s">
        <x:v>771</x:v>
      </x:c>
      <x:c r="D135" t="s">
        <x:v>773</x:v>
      </x:c>
      <x:c r="E135" s="44" t="n">
        <x:v>12900.109</x:v>
      </x:c>
      <x:c r="F135" s="44" t="n">
        <x:v>12854.449</x:v>
      </x:c>
      <x:c r="G135" s="44" t="n">
        <x:f aca="0">F135-E135</x:f>
        <x:v>-45.659999999999854</x:v>
      </x:c>
      <x:c r="H135" s="11" t="s">
        <x:v>808</x:v>
      </x:c>
    </x:row>
    <x:row r="136" ht="15" hidden="0">
      <x:c r="A136" t="s">
        <x:v>45</x:v>
      </x:c>
      <x:c r="B136" t="s">
        <x:v>103</x:v>
      </x:c>
      <x:c r="C136" t="s">
        <x:v>771</x:v>
      </x:c>
      <x:c r="D136" t="s">
        <x:v>774</x:v>
      </x:c>
      <x:c r="E136" s="44" t="n">
        <x:v>-5460.428</x:v>
      </x:c>
      <x:c r="F136" s="44" t="n">
        <x:v>-5414.768</x:v>
      </x:c>
      <x:c r="G136" s="44" t="n">
        <x:f aca="0">F136-E136</x:f>
        <x:v>45.659999999999854</x:v>
      </x:c>
      <x:c r="H136" s="11" t="s">
        <x:v>808</x:v>
      </x:c>
    </x:row>
    <x:row r="137" ht="15" hidden="0">
      <x:c r="A137" t="s">
        <x:v>45</x:v>
      </x:c>
      <x:c r="B137" t="s">
        <x:v>103</x:v>
      </x:c>
      <x:c r="C137" t="s">
        <x:v>775</x:v>
      </x:c>
      <x:c r="D137" t="s">
        <x:v>791</x:v>
      </x:c>
      <x:c r="E137" s="44" t="n">
        <x:v>10817.936</x:v>
      </x:c>
      <x:c r="F137" s="44" t="n">
        <x:v>10897.767</x:v>
      </x:c>
      <x:c r="G137" s="44" t="n">
        <x:f aca="0">F137-E137</x:f>
        <x:v>79.83100000000013</x:v>
      </x:c>
      <x:c r="H137" s="11" t="s">
        <x:v>808</x:v>
      </x:c>
    </x:row>
    <x:row r="138" ht="15" hidden="0">
      <x:c r="A138" t="s">
        <x:v>45</x:v>
      </x:c>
      <x:c r="B138" t="s">
        <x:v>103</x:v>
      </x:c>
      <x:c r="C138" t="s">
        <x:v>775</x:v>
      </x:c>
      <x:c r="D138" t="s">
        <x:v>777</x:v>
      </x:c>
      <x:c r="E138" s="44" t="n">
        <x:v>16200.329</x:v>
      </x:c>
      <x:c r="F138" s="44" t="n">
        <x:v>16030.998</x:v>
      </x:c>
      <x:c r="G138" s="44" t="n">
        <x:f aca="0">F138-E138</x:f>
        <x:v>-169.33100000000013</x:v>
      </x:c>
      <x:c r="H138" s="11" t="s">
        <x:v>808</x:v>
      </x:c>
    </x:row>
    <x:row r="139" ht="15" hidden="0">
      <x:c r="A139" t="s">
        <x:v>45</x:v>
      </x:c>
      <x:c r="B139" t="s">
        <x:v>103</x:v>
      </x:c>
      <x:c r="C139" t="s">
        <x:v>775</x:v>
      </x:c>
      <x:c r="D139" t="s">
        <x:v>809</x:v>
      </x:c>
      <x:c r="E139" s="44" t="n">
        <x:v>-2562.932</x:v>
      </x:c>
      <x:c r="F139" s="44" t="n">
        <x:v>-2483.101</x:v>
      </x:c>
      <x:c r="G139" s="44" t="n">
        <x:f aca="0">F139-E139</x:f>
        <x:v>79.83099999999968</x:v>
      </x:c>
      <x:c r="H139" s="11" t="s">
        <x:v>808</x:v>
      </x:c>
    </x:row>
    <x:row r="140" ht="15" hidden="0">
      <x:c r="A140" t="s">
        <x:v>45</x:v>
      </x:c>
      <x:c r="B140" t="s">
        <x:v>104</x:v>
      </x:c>
      <x:c r="C140" t="s">
        <x:v>763</x:v>
      </x:c>
      <x:c r="D140" t="s">
        <x:v>810</x:v>
      </x:c>
      <x:c r="E140" s="44" t="n">
        <x:v>5842.217</x:v>
      </x:c>
      <x:c r="F140" s="44" t="n">
        <x:v>5699.618</x:v>
      </x:c>
      <x:c r="G140" s="44" t="n">
        <x:f aca="0">F140-E140</x:f>
        <x:v>-142.59899999999925</x:v>
      </x:c>
      <x:c r="H140" s="11" t="s">
        <x:v>811</x:v>
      </x:c>
    </x:row>
    <x:row r="141" ht="15" hidden="0">
      <x:c r="A141" t="s">
        <x:v>45</x:v>
      </x:c>
      <x:c r="B141" t="s">
        <x:v>104</x:v>
      </x:c>
      <x:c r="C141" t="s">
        <x:v>763</x:v>
      </x:c>
      <x:c r="D141" t="s">
        <x:v>768</x:v>
      </x:c>
      <x:c r="E141" s="44" t="n">
        <x:v>5966.191</x:v>
      </x:c>
      <x:c r="F141" s="44" t="n">
        <x:v>6108.79</x:v>
      </x:c>
      <x:c r="G141" s="44" t="n">
        <x:f aca="0">F141-E141</x:f>
        <x:v>142.59900000000016</x:v>
      </x:c>
      <x:c r="H141" s="11" t="s">
        <x:v>811</x:v>
      </x:c>
    </x:row>
    <x:row r="142" ht="15" hidden="0">
      <x:c r="A142" t="s">
        <x:v>45</x:v>
      </x:c>
      <x:c r="B142" t="s">
        <x:v>104</x:v>
      </x:c>
      <x:c r="C142" t="s">
        <x:v>775</x:v>
      </x:c>
      <x:c r="D142" t="s">
        <x:v>776</x:v>
      </x:c>
      <x:c r="E142" s="44" t="n">
        <x:v>-8158.037</x:v>
      </x:c>
      <x:c r="F142" s="44" t="n">
        <x:v>-8158.036</x:v>
      </x:c>
      <x:c r="G142" s="44" t="n">
        <x:f aca="0">F142-E142</x:f>
        <x:v>0.0010000000002037268</x:v>
      </x:c>
      <x:c r="H142" s="11" t="s">
        <x:v>811</x:v>
      </x:c>
    </x:row>
    <x:row r="143" ht="15" hidden="0">
      <x:c r="A143" t="s">
        <x:v>45</x:v>
      </x:c>
      <x:c r="B143" t="s">
        <x:v>104</x:v>
      </x:c>
      <x:c r="C143" t="s">
        <x:v>775</x:v>
      </x:c>
      <x:c r="D143" t="s">
        <x:v>777</x:v>
      </x:c>
      <x:c r="E143" s="44" t="n">
        <x:v>21684.607</x:v>
      </x:c>
      <x:c r="F143" s="44" t="n">
        <x:v>22284.607</x:v>
      </x:c>
      <x:c r="G143" s="44" t="n">
        <x:f aca="0">F143-E143</x:f>
        <x:v>600</x:v>
      </x:c>
      <x:c r="H143" s="11" t="s">
        <x:v>811</x:v>
      </x:c>
    </x:row>
    <x:row r="144" ht="15" hidden="0">
      <x:c r="A144" t="s">
        <x:v>45</x:v>
      </x:c>
      <x:c r="B144" t="s">
        <x:v>104</x:v>
      </x:c>
      <x:c r="C144" t="s">
        <x:v>775</x:v>
      </x:c>
      <x:c r="D144" t="s">
        <x:v>809</x:v>
      </x:c>
      <x:c r="E144" s="44" t="n">
        <x:v>-6993.06</x:v>
      </x:c>
      <x:c r="F144" s="44" t="n">
        <x:v>0</x:v>
      </x:c>
      <x:c r="G144" s="44" t="n">
        <x:f aca="0">F144-E144</x:f>
        <x:v>6993.06</x:v>
      </x:c>
      <x:c r="H144" s="11" t="s">
        <x:v>811</x:v>
      </x:c>
    </x:row>
    <x:row r="146" ht="15" hidden="0">
      <x:c r="A146" s="5" t="s">
        <x:v>812</x:v>
      </x:c>
      <x:c r="B146" s="20"/>
      <x:c r="C146" s="20"/>
      <x:c r="D146" s="20"/>
      <x:c r="E146" s="20"/>
      <x:c r="F146" s="20"/>
      <x:c r="G146" s="20"/>
      <x:c r="H146" s="20"/>
      <x:c r="I146" s="20"/>
      <x:c r="J146" s="20"/>
      <x:c r="K146" s="20"/>
      <x:c r="L146" s="20"/>
      <x:c r="M146" s="20"/>
      <x:c r="N146" s="20"/>
      <x:c r="O146" s="20"/>
      <x:c r="P146" s="20"/>
      <x:c r="Q146" s="20"/>
      <x:c r="R146" s="20"/>
      <x:c r="S146" s="20"/>
    </x:row>
    <x:row r="147" ht="30" hidden="0" customHeight="1">
      <x:c r="A147" s="69" t="s">
        <x:v>813</x:v>
      </x:c>
      <x:c r="B147" s="69" t="s">
        <x:v>18</x:v>
      </x:c>
      <x:c r="C147" s="69" t="s">
        <x:v>757</x:v>
      </x:c>
      <x:c r="D147" s="69" t="s">
        <x:v>814</x:v>
      </x:c>
      <x:c r="E147" s="69" t="s">
        <x:v>815</x:v>
      </x:c>
      <x:c r="F147" s="69" t="s">
        <x:v>816</x:v>
      </x:c>
      <x:c r="G147" s="69" t="s">
        <x:v>817</x:v>
      </x:c>
      <x:c r="H147" s="69" t="s">
        <x:v>818</x:v>
      </x:c>
      <x:c r="I147" s="69" t="s">
        <x:v>819</x:v>
      </x:c>
      <x:c r="J147" s="69" t="s">
        <x:v>820</x:v>
      </x:c>
      <x:c r="K147" s="69" t="s">
        <x:v>821</x:v>
      </x:c>
      <x:c r="L147" s="69" t="s">
        <x:v>822</x:v>
      </x:c>
      <x:c r="M147" s="69" t="s">
        <x:v>22</x:v>
      </x:c>
      <x:c r="N147" s="69" t="s">
        <x:v>823</x:v>
      </x:c>
      <x:c r="O147" s="69" t="s">
        <x:v>824</x:v>
      </x:c>
      <x:c r="P147" s="69" t="s">
        <x:v>825</x:v>
      </x:c>
      <x:c r="Q147" s="69" t="s">
        <x:v>826</x:v>
      </x:c>
      <x:c r="R147" s="69" t="s">
        <x:v>827</x:v>
      </x:c>
      <x:c r="S147" s="69" t="s">
        <x:v>828</x:v>
      </x:c>
    </x:row>
    <x:row r="148" ht="15" hidden="0">
      <x:c r="A148" s="70" t="s">
        <x:v>829</x:v>
      </x:c>
      <x:c r="B148" s="70" t="s">
        <x:v>24</x:v>
      </x:c>
      <x:c r="C148" s="70" t="s">
        <x:v>717</x:v>
      </x:c>
      <x:c r="D148" s="70" t="s">
        <x:v>109</x:v>
      </x:c>
      <x:c r="E148" s="70" t="s">
        <x:v>763</x:v>
      </x:c>
      <x:c r="F148" s="70" t="s">
        <x:v>830</x:v>
      </x:c>
      <x:c r="G148" s="70" t="s">
        <x:v>831</x:v>
      </x:c>
      <x:c r="H148" s="70" t="s">
        <x:v>832</x:v>
      </x:c>
      <x:c r="I148" s="70" t="s">
        <x:v>833</x:v>
      </x:c>
      <x:c r="J148" s="70" t="n">
        <x:v>45</x:v>
      </x:c>
      <x:c r="K148" s="70" t="s">
        <x:v>834</x:v>
      </x:c>
      <x:c r="L148" s="70" t="s">
        <x:v>835</x:v>
      </x:c>
      <x:c r="M148" s="70" t="s">
        <x:v>28</x:v>
      </x:c>
      <x:c r="N148" s="71" t="n">
        <x:v>22777666271</x:v>
      </x:c>
      <x:c r="O148" s="72" t="n">
        <x:f aca="0">N148/1000000</x:f>
        <x:v>22777.666271</x:v>
      </x:c>
      <x:c r="P148" s="73" t="n">
        <x:f aca="0">KOHC!C20</x:f>
        <x:v>22777.666271</x:v>
      </x:c>
      <x:c r="Q148" s="70" t="str">
        <x:f aca="0">IF(ABS(O148-P148)&lt;0.000001,"PASS","FAIL")</x:f>
        <x:v>PASS</x:v>
      </x:c>
      <x:c r="R148" s="70" t="s">
        <x:v>27</x:v>
      </x:c>
      <x:c r="S148" s="70"/>
    </x:row>
    <x:row r="149" ht="15" hidden="0">
      <x:c r="A149" s="70" t="s">
        <x:v>836</x:v>
      </x:c>
      <x:c r="B149" s="70" t="s">
        <x:v>24</x:v>
      </x:c>
      <x:c r="C149" s="70" t="s">
        <x:v>101</x:v>
      </x:c>
      <x:c r="D149" s="70" t="s">
        <x:v>109</x:v>
      </x:c>
      <x:c r="E149" s="70" t="s">
        <x:v>763</x:v>
      </x:c>
      <x:c r="F149" s="70" t="s">
        <x:v>830</x:v>
      </x:c>
      <x:c r="G149" s="70" t="s">
        <x:v>837</x:v>
      </x:c>
      <x:c r="H149" s="70" t="s">
        <x:v>838</x:v>
      </x:c>
      <x:c r="I149" s="70" t="s">
        <x:v>833</x:v>
      </x:c>
      <x:c r="J149" s="70" t="n">
        <x:v>53</x:v>
      </x:c>
      <x:c r="K149" s="70" t="s">
        <x:v>834</x:v>
      </x:c>
      <x:c r="L149" s="70" t="s">
        <x:v>835</x:v>
      </x:c>
      <x:c r="M149" s="70" t="s">
        <x:v>28</x:v>
      </x:c>
      <x:c r="N149" s="71" t="n">
        <x:v>22027544913</x:v>
      </x:c>
      <x:c r="O149" s="72" t="n">
        <x:f aca="0">N149/1000000</x:f>
        <x:v>22027.544913</x:v>
      </x:c>
      <x:c r="P149" s="73" t="n">
        <x:f aca="0">KOHC!D20</x:f>
        <x:v>22027.544913</x:v>
      </x:c>
      <x:c r="Q149" s="70" t="str">
        <x:f aca="0">IF(ABS(O149-P149)&lt;0.000001,"PASS","FAIL")</x:f>
        <x:v>PASS</x:v>
      </x:c>
      <x:c r="R149" s="70" t="s">
        <x:v>27</x:v>
      </x:c>
      <x:c r="S149" s="70" t="s">
        <x:v>839</x:v>
      </x:c>
    </x:row>
    <x:row r="150" ht="15" hidden="0">
      <x:c r="A150" s="70" t="s">
        <x:v>840</x:v>
      </x:c>
      <x:c r="B150" s="70" t="s">
        <x:v>24</x:v>
      </x:c>
      <x:c r="C150" s="70" t="s">
        <x:v>102</x:v>
      </x:c>
      <x:c r="D150" s="70" t="s">
        <x:v>109</x:v>
      </x:c>
      <x:c r="E150" s="70" t="s">
        <x:v>763</x:v>
      </x:c>
      <x:c r="F150" s="70" t="s">
        <x:v>830</x:v>
      </x:c>
      <x:c r="G150" s="70" t="s">
        <x:v>841</x:v>
      </x:c>
      <x:c r="H150" s="70" t="s">
        <x:v>842</x:v>
      </x:c>
      <x:c r="I150" s="70" t="s">
        <x:v>833</x:v>
      </x:c>
      <x:c r="J150" s="70" t="n">
        <x:v>53</x:v>
      </x:c>
      <x:c r="K150" s="70" t="s">
        <x:v>834</x:v>
      </x:c>
      <x:c r="L150" s="70" t="s">
        <x:v>835</x:v>
      </x:c>
      <x:c r="M150" s="70" t="s">
        <x:v>28</x:v>
      </x:c>
      <x:c r="N150" s="71" t="n">
        <x:v>21331296362</x:v>
      </x:c>
      <x:c r="O150" s="72" t="n">
        <x:f aca="0">N150/1000000</x:f>
        <x:v>21331.296362</x:v>
      </x:c>
      <x:c r="P150" s="73" t="n">
        <x:f aca="0">KOHC!E20</x:f>
        <x:v>21331.296362</x:v>
      </x:c>
      <x:c r="Q150" s="70" t="str">
        <x:f aca="0">IF(ABS(O150-P150)&lt;0.000001,"PASS","FAIL")</x:f>
        <x:v>PASS</x:v>
      </x:c>
      <x:c r="R150" s="70" t="s">
        <x:v>27</x:v>
      </x:c>
      <x:c r="S150" s="70"/>
    </x:row>
    <x:row r="151" ht="15" hidden="0">
      <x:c r="A151" s="70" t="s">
        <x:v>843</x:v>
      </x:c>
      <x:c r="B151" s="70" t="s">
        <x:v>24</x:v>
      </x:c>
      <x:c r="C151" s="70" t="s">
        <x:v>103</x:v>
      </x:c>
      <x:c r="D151" s="70" t="s">
        <x:v>109</x:v>
      </x:c>
      <x:c r="E151" s="70" t="s">
        <x:v>763</x:v>
      </x:c>
      <x:c r="F151" s="70" t="s">
        <x:v>830</x:v>
      </x:c>
      <x:c r="G151" s="70" t="s">
        <x:v>844</x:v>
      </x:c>
      <x:c r="H151" s="70" t="s">
        <x:v>845</x:v>
      </x:c>
      <x:c r="I151" s="70" t="s">
        <x:v>833</x:v>
      </x:c>
      <x:c r="J151" s="70" t="n">
        <x:v>59</x:v>
      </x:c>
      <x:c r="K151" s="70" t="s">
        <x:v>834</x:v>
      </x:c>
      <x:c r="L151" s="70" t="s">
        <x:v>846</x:v>
      </x:c>
      <x:c r="M151" s="70" t="s">
        <x:v>28</x:v>
      </x:c>
      <x:c r="N151" s="71" t="n">
        <x:v>22229434463</x:v>
      </x:c>
      <x:c r="O151" s="72" t="n">
        <x:f aca="0">N151/1000000</x:f>
        <x:v>22229.434463</x:v>
      </x:c>
      <x:c r="P151" s="73" t="n">
        <x:f aca="0">KOHC!F20</x:f>
        <x:v>22229.434463</x:v>
      </x:c>
      <x:c r="Q151" s="70" t="str">
        <x:f aca="0">IF(ABS(O151-P151)&lt;0.000001,"PASS","FAIL")</x:f>
        <x:v>PASS</x:v>
      </x:c>
      <x:c r="R151" s="70" t="s">
        <x:v>27</x:v>
      </x:c>
      <x:c r="S151" s="70"/>
    </x:row>
    <x:row r="152" ht="15" hidden="0">
      <x:c r="A152" s="70" t="s">
        <x:v>847</x:v>
      </x:c>
      <x:c r="B152" s="70" t="s">
        <x:v>24</x:v>
      </x:c>
      <x:c r="C152" s="70" t="s">
        <x:v>104</x:v>
      </x:c>
      <x:c r="D152" s="70" t="s">
        <x:v>109</x:v>
      </x:c>
      <x:c r="E152" s="70" t="s">
        <x:v>763</x:v>
      </x:c>
      <x:c r="F152" s="70" t="s">
        <x:v>830</x:v>
      </x:c>
      <x:c r="G152" s="70" t="s">
        <x:v>848</x:v>
      </x:c>
      <x:c r="H152" s="70" t="s">
        <x:v>849</x:v>
      </x:c>
      <x:c r="I152" s="70" t="s">
        <x:v>833</x:v>
      </x:c>
      <x:c r="J152" s="70" t="n">
        <x:v>69</x:v>
      </x:c>
      <x:c r="K152" s="70" t="s">
        <x:v>834</x:v>
      </x:c>
      <x:c r="L152" s="70" t="s">
        <x:v>850</x:v>
      </x:c>
      <x:c r="M152" s="70" t="s">
        <x:v>28</x:v>
      </x:c>
      <x:c r="N152" s="71" t="n">
        <x:v>22156640533</x:v>
      </x:c>
      <x:c r="O152" s="72" t="n">
        <x:f aca="0">N152/1000000</x:f>
        <x:v>22156.640533</x:v>
      </x:c>
      <x:c r="P152" s="73" t="n">
        <x:f aca="0">KOHC!G20</x:f>
        <x:v>22156.640533</x:v>
      </x:c>
      <x:c r="Q152" s="70" t="str">
        <x:f aca="0">IF(ABS(O152-P152)&lt;0.000001,"PASS","FAIL")</x:f>
        <x:v>PASS</x:v>
      </x:c>
      <x:c r="R152" s="70" t="s">
        <x:v>27</x:v>
      </x:c>
      <x:c r="S152" s="70" t="s">
        <x:v>839</x:v>
      </x:c>
    </x:row>
    <x:row r="153" ht="15" hidden="0">
      <x:c r="A153" s="70" t="s">
        <x:v>851</x:v>
      </x:c>
      <x:c r="B153" s="70" t="s">
        <x:v>24</x:v>
      </x:c>
      <x:c r="C153" s="70" t="s">
        <x:v>105</x:v>
      </x:c>
      <x:c r="D153" s="70" t="s">
        <x:v>109</x:v>
      </x:c>
      <x:c r="E153" s="70" t="s">
        <x:v>763</x:v>
      </x:c>
      <x:c r="F153" s="70" t="s">
        <x:v>830</x:v>
      </x:c>
      <x:c r="G153" s="70" t="s">
        <x:v>848</x:v>
      </x:c>
      <x:c r="H153" s="70" t="s">
        <x:v>849</x:v>
      </x:c>
      <x:c r="I153" s="70" t="s">
        <x:v>852</x:v>
      </x:c>
      <x:c r="J153" s="70" t="n">
        <x:v>69</x:v>
      </x:c>
      <x:c r="K153" s="70" t="s">
        <x:v>834</x:v>
      </x:c>
      <x:c r="L153" s="70" t="s">
        <x:v>850</x:v>
      </x:c>
      <x:c r="M153" s="70" t="s">
        <x:v>28</x:v>
      </x:c>
      <x:c r="N153" s="71" t="n">
        <x:v>23359980509</x:v>
      </x:c>
      <x:c r="O153" s="72" t="n">
        <x:f aca="0">N153/1000000</x:f>
        <x:v>23359.980509</x:v>
      </x:c>
      <x:c r="P153" s="73" t="n">
        <x:f aca="0">KOHC!H20</x:f>
        <x:v>23359.980509</x:v>
      </x:c>
      <x:c r="Q153" s="70" t="str">
        <x:f aca="0">IF(ABS(O153-P153)&lt;0.000001,"PASS","FAIL")</x:f>
        <x:v>PASS</x:v>
      </x:c>
      <x:c r="R153" s="70" t="s">
        <x:v>27</x:v>
      </x:c>
      <x:c r="S153" s="70"/>
    </x:row>
    <x:row r="154" ht="15" hidden="0">
      <x:c r="A154" s="70" t="s">
        <x:v>853</x:v>
      </x:c>
      <x:c r="B154" s="70" t="s">
        <x:v>24</x:v>
      </x:c>
      <x:c r="C154" s="70" t="s">
        <x:v>717</x:v>
      </x:c>
      <x:c r="D154" s="70" t="s">
        <x:v>854</x:v>
      </x:c>
      <x:c r="E154" s="70" t="s">
        <x:v>855</x:v>
      </x:c>
      <x:c r="F154" s="70" t="s">
        <x:v>856</x:v>
      </x:c>
      <x:c r="G154" s="70" t="s">
        <x:v>831</x:v>
      </x:c>
      <x:c r="H154" s="70" t="s">
        <x:v>832</x:v>
      </x:c>
      <x:c r="I154" s="70" t="s">
        <x:v>833</x:v>
      </x:c>
      <x:c r="J154" s="70" t="n">
        <x:v>74</x:v>
      </x:c>
      <x:c r="K154" s="70" t="s">
        <x:v>857</x:v>
      </x:c>
      <x:c r="L154" s="70"/>
      <x:c r="M154" s="70" t="s">
        <x:v>28</x:v>
      </x:c>
      <x:c r="N154" s="71" t="n">
        <x:v>164578022</x:v>
      </x:c>
      <x:c r="O154" s="72" t="n">
        <x:f aca="0">N154/1000000</x:f>
        <x:v>164.578022</x:v>
      </x:c>
      <x:c r="P154" s="73" t="n">
        <x:f aca="0">KOHC!C21</x:f>
        <x:v>164.578022</x:v>
      </x:c>
      <x:c r="Q154" s="70" t="str">
        <x:f aca="0">IF(ABS(O154-P154)&lt;0.000001,"PASS","FAIL")</x:f>
        <x:v>PASS</x:v>
      </x:c>
      <x:c r="R154" s="70" t="s">
        <x:v>27</x:v>
      </x:c>
      <x:c r="S154" s="70"/>
    </x:row>
    <x:row r="155" ht="15" hidden="0">
      <x:c r="A155" s="70" t="s">
        <x:v>858</x:v>
      </x:c>
      <x:c r="B155" s="70" t="s">
        <x:v>24</x:v>
      </x:c>
      <x:c r="C155" s="70" t="s">
        <x:v>101</x:v>
      </x:c>
      <x:c r="D155" s="70" t="s">
        <x:v>854</x:v>
      </x:c>
      <x:c r="E155" s="70" t="s">
        <x:v>855</x:v>
      </x:c>
      <x:c r="F155" s="70" t="s">
        <x:v>856</x:v>
      </x:c>
      <x:c r="G155" s="70" t="s">
        <x:v>837</x:v>
      </x:c>
      <x:c r="H155" s="70" t="s">
        <x:v>838</x:v>
      </x:c>
      <x:c r="I155" s="70" t="s">
        <x:v>833</x:v>
      </x:c>
      <x:c r="J155" s="70" t="n">
        <x:v>83</x:v>
      </x:c>
      <x:c r="K155" s="70" t="s">
        <x:v>834</x:v>
      </x:c>
      <x:c r="L155" s="70"/>
      <x:c r="M155" s="70" t="s">
        <x:v>28</x:v>
      </x:c>
      <x:c r="N155" s="71" t="n">
        <x:v>273939559</x:v>
      </x:c>
      <x:c r="O155" s="72" t="n">
        <x:f aca="0">N155/1000000</x:f>
        <x:v>273.939559</x:v>
      </x:c>
      <x:c r="P155" s="73" t="n">
        <x:f aca="0">KOHC!D21</x:f>
        <x:v>273.939559</x:v>
      </x:c>
      <x:c r="Q155" s="70" t="str">
        <x:f aca="0">IF(ABS(O155-P155)&lt;0.000001,"PASS","FAIL")</x:f>
        <x:v>PASS</x:v>
      </x:c>
      <x:c r="R155" s="70" t="s">
        <x:v>27</x:v>
      </x:c>
      <x:c r="S155" s="70"/>
    </x:row>
    <x:row r="156" ht="15" hidden="0">
      <x:c r="A156" s="70" t="s">
        <x:v>859</x:v>
      </x:c>
      <x:c r="B156" s="70" t="s">
        <x:v>24</x:v>
      </x:c>
      <x:c r="C156" s="70" t="s">
        <x:v>102</x:v>
      </x:c>
      <x:c r="D156" s="70" t="s">
        <x:v>854</x:v>
      </x:c>
      <x:c r="E156" s="70" t="s">
        <x:v>855</x:v>
      </x:c>
      <x:c r="F156" s="70" t="s">
        <x:v>856</x:v>
      </x:c>
      <x:c r="G156" s="70" t="s">
        <x:v>841</x:v>
      </x:c>
      <x:c r="H156" s="70" t="s">
        <x:v>842</x:v>
      </x:c>
      <x:c r="I156" s="70" t="s">
        <x:v>833</x:v>
      </x:c>
      <x:c r="J156" s="70" t="n">
        <x:v>81</x:v>
      </x:c>
      <x:c r="K156" s="70" t="s">
        <x:v>834</x:v>
      </x:c>
      <x:c r="L156" s="70"/>
      <x:c r="M156" s="70" t="s">
        <x:v>28</x:v>
      </x:c>
      <x:c r="N156" s="71" t="n">
        <x:v>130897947</x:v>
      </x:c>
      <x:c r="O156" s="72" t="n">
        <x:f aca="0">N156/1000000</x:f>
        <x:v>130.897947</x:v>
      </x:c>
      <x:c r="P156" s="73" t="n">
        <x:f aca="0">KOHC!E21</x:f>
        <x:v>130.897947</x:v>
      </x:c>
      <x:c r="Q156" s="70" t="str">
        <x:f aca="0">IF(ABS(O156-P156)&lt;0.000001,"PASS","FAIL")</x:f>
        <x:v>PASS</x:v>
      </x:c>
      <x:c r="R156" s="70" t="s">
        <x:v>27</x:v>
      </x:c>
      <x:c r="S156" s="70"/>
    </x:row>
    <x:row r="157" ht="15" hidden="0">
      <x:c r="A157" s="70" t="s">
        <x:v>860</x:v>
      </x:c>
      <x:c r="B157" s="70" t="s">
        <x:v>24</x:v>
      </x:c>
      <x:c r="C157" s="70" t="s">
        <x:v>103</x:v>
      </x:c>
      <x:c r="D157" s="70" t="s">
        <x:v>854</x:v>
      </x:c>
      <x:c r="E157" s="70" t="s">
        <x:v>855</x:v>
      </x:c>
      <x:c r="F157" s="70" t="s">
        <x:v>856</x:v>
      </x:c>
      <x:c r="G157" s="70" t="s">
        <x:v>844</x:v>
      </x:c>
      <x:c r="H157" s="70" t="s">
        <x:v>845</x:v>
      </x:c>
      <x:c r="I157" s="70" t="s">
        <x:v>833</x:v>
      </x:c>
      <x:c r="J157" s="70" t="n">
        <x:v>89</x:v>
      </x:c>
      <x:c r="K157" s="70" t="s">
        <x:v>834</x:v>
      </x:c>
      <x:c r="L157" s="70"/>
      <x:c r="M157" s="70" t="s">
        <x:v>28</x:v>
      </x:c>
      <x:c r="N157" s="71" t="n">
        <x:v>1943019581</x:v>
      </x:c>
      <x:c r="O157" s="72" t="n">
        <x:f aca="0">N157/1000000</x:f>
        <x:v>1943.019581</x:v>
      </x:c>
      <x:c r="P157" s="73" t="n">
        <x:f aca="0">KOHC!F21</x:f>
        <x:v>1943.019581</x:v>
      </x:c>
      <x:c r="Q157" s="70" t="str">
        <x:f aca="0">IF(ABS(O157-P157)&lt;0.000001,"PASS","FAIL")</x:f>
        <x:v>PASS</x:v>
      </x:c>
      <x:c r="R157" s="70" t="s">
        <x:v>27</x:v>
      </x:c>
      <x:c r="S157" s="70"/>
    </x:row>
    <x:row r="158" ht="15" hidden="0">
      <x:c r="A158" s="70" t="s">
        <x:v>861</x:v>
      </x:c>
      <x:c r="B158" s="70" t="s">
        <x:v>24</x:v>
      </x:c>
      <x:c r="C158" s="70" t="s">
        <x:v>104</x:v>
      </x:c>
      <x:c r="D158" s="70" t="s">
        <x:v>854</x:v>
      </x:c>
      <x:c r="E158" s="70" t="s">
        <x:v>855</x:v>
      </x:c>
      <x:c r="F158" s="70" t="s">
        <x:v>856</x:v>
      </x:c>
      <x:c r="G158" s="70" t="s">
        <x:v>848</x:v>
      </x:c>
      <x:c r="H158" s="70" t="s">
        <x:v>849</x:v>
      </x:c>
      <x:c r="I158" s="70" t="s">
        <x:v>833</x:v>
      </x:c>
      <x:c r="J158" s="70" t="n">
        <x:v>97</x:v>
      </x:c>
      <x:c r="K158" s="70" t="s">
        <x:v>834</x:v>
      </x:c>
      <x:c r="L158" s="70"/>
      <x:c r="M158" s="70" t="s">
        <x:v>28</x:v>
      </x:c>
      <x:c r="N158" s="71" t="n">
        <x:v>999326605</x:v>
      </x:c>
      <x:c r="O158" s="72" t="n">
        <x:f aca="0">N158/1000000</x:f>
        <x:v>999.326605</x:v>
      </x:c>
      <x:c r="P158" s="73" t="n">
        <x:f aca="0">KOHC!G21</x:f>
        <x:v>999.326605</x:v>
      </x:c>
      <x:c r="Q158" s="70" t="str">
        <x:f aca="0">IF(ABS(O158-P158)&lt;0.000001,"PASS","FAIL")</x:f>
        <x:v>PASS</x:v>
      </x:c>
      <x:c r="R158" s="70" t="s">
        <x:v>27</x:v>
      </x:c>
      <x:c r="S158" s="70"/>
    </x:row>
    <x:row r="159" ht="15" hidden="0">
      <x:c r="A159" s="70" t="s">
        <x:v>862</x:v>
      </x:c>
      <x:c r="B159" s="70" t="s">
        <x:v>24</x:v>
      </x:c>
      <x:c r="C159" s="70" t="s">
        <x:v>105</x:v>
      </x:c>
      <x:c r="D159" s="70" t="s">
        <x:v>854</x:v>
      </x:c>
      <x:c r="E159" s="70" t="s">
        <x:v>855</x:v>
      </x:c>
      <x:c r="F159" s="70" t="s">
        <x:v>856</x:v>
      </x:c>
      <x:c r="G159" s="70" t="s">
        <x:v>848</x:v>
      </x:c>
      <x:c r="H159" s="70" t="s">
        <x:v>849</x:v>
      </x:c>
      <x:c r="I159" s="70" t="s">
        <x:v>852</x:v>
      </x:c>
      <x:c r="J159" s="70" t="n">
        <x:v>97</x:v>
      </x:c>
      <x:c r="K159" s="70" t="s">
        <x:v>834</x:v>
      </x:c>
      <x:c r="L159" s="70"/>
      <x:c r="M159" s="70" t="s">
        <x:v>28</x:v>
      </x:c>
      <x:c r="N159" s="71" t="n">
        <x:v>2486634755</x:v>
      </x:c>
      <x:c r="O159" s="72" t="n">
        <x:f aca="0">N159/1000000</x:f>
        <x:v>2486.634755</x:v>
      </x:c>
      <x:c r="P159" s="73" t="n">
        <x:f aca="0">KOHC!H21</x:f>
        <x:v>2486.634755</x:v>
      </x:c>
      <x:c r="Q159" s="70" t="str">
        <x:f aca="0">IF(ABS(O159-P159)&lt;0.000001,"PASS","FAIL")</x:f>
        <x:v>PASS</x:v>
      </x:c>
      <x:c r="R159" s="70" t="s">
        <x:v>27</x:v>
      </x:c>
      <x:c r="S159" s="70"/>
    </x:row>
    <x:row r="160" ht="15" hidden="0">
      <x:c r="A160" s="70" t="s">
        <x:v>863</x:v>
      </x:c>
      <x:c r="B160" s="70" t="s">
        <x:v>24</x:v>
      </x:c>
      <x:c r="C160" s="70" t="s">
        <x:v>717</x:v>
      </x:c>
      <x:c r="D160" s="70" t="s">
        <x:v>116</x:v>
      </x:c>
      <x:c r="E160" s="70" t="s">
        <x:v>763</x:v>
      </x:c>
      <x:c r="F160" s="70"/>
      <x:c r="G160" s="70" t="s">
        <x:v>831</x:v>
      </x:c>
      <x:c r="H160" s="70" t="s">
        <x:v>832</x:v>
      </x:c>
      <x:c r="I160" s="70" t="s">
        <x:v>833</x:v>
      </x:c>
      <x:c r="J160" s="70" t="n">
        <x:v>44</x:v>
      </x:c>
      <x:c r="K160" s="70" t="s">
        <x:v>864</x:v>
      </x:c>
      <x:c r="L160" s="70"/>
      <x:c r="M160" s="70" t="s">
        <x:v>28</x:v>
      </x:c>
      <x:c r="N160" s="71" t="n">
        <x:v>0</x:v>
      </x:c>
      <x:c r="O160" s="72" t="n">
        <x:f aca="0">N160/1000000</x:f>
        <x:v>0</x:v>
      </x:c>
      <x:c r="P160" s="73" t="n">
        <x:f aca="0">KOHC!C23</x:f>
        <x:v>0</x:v>
      </x:c>
      <x:c r="Q160" s="70" t="str">
        <x:f aca="0">IF(ABS(O160-P160)&lt;0.000001,"PASS","FAIL")</x:f>
        <x:v>PASS</x:v>
      </x:c>
      <x:c r="R160" s="70" t="s">
        <x:v>27</x:v>
      </x:c>
      <x:c r="S160" s="70"/>
    </x:row>
    <x:row r="161" ht="15" hidden="0">
      <x:c r="A161" s="70" t="s">
        <x:v>865</x:v>
      </x:c>
      <x:c r="B161" s="70" t="s">
        <x:v>24</x:v>
      </x:c>
      <x:c r="C161" s="70" t="s">
        <x:v>101</x:v>
      </x:c>
      <x:c r="D161" s="70" t="s">
        <x:v>116</x:v>
      </x:c>
      <x:c r="E161" s="70" t="s">
        <x:v>763</x:v>
      </x:c>
      <x:c r="F161" s="70"/>
      <x:c r="G161" s="70" t="s">
        <x:v>837</x:v>
      </x:c>
      <x:c r="H161" s="70" t="s">
        <x:v>838</x:v>
      </x:c>
      <x:c r="I161" s="70" t="s">
        <x:v>833</x:v>
      </x:c>
      <x:c r="J161" s="70" t="n">
        <x:v>52</x:v>
      </x:c>
      <x:c r="K161" s="70" t="s">
        <x:v>864</x:v>
      </x:c>
      <x:c r="L161" s="70"/>
      <x:c r="M161" s="70" t="s">
        <x:v>28</x:v>
      </x:c>
      <x:c r="N161" s="71" t="n">
        <x:v>0</x:v>
      </x:c>
      <x:c r="O161" s="72" t="n">
        <x:f aca="0">N161/1000000</x:f>
        <x:v>0</x:v>
      </x:c>
      <x:c r="P161" s="73" t="n">
        <x:f aca="0">KOHC!D23</x:f>
        <x:v>0</x:v>
      </x:c>
      <x:c r="Q161" s="70" t="str">
        <x:f aca="0">IF(ABS(O161-P161)&lt;0.000001,"PASS","FAIL")</x:f>
        <x:v>PASS</x:v>
      </x:c>
      <x:c r="R161" s="70" t="s">
        <x:v>27</x:v>
      </x:c>
      <x:c r="S161" s="70"/>
    </x:row>
    <x:row r="162" ht="15" hidden="0">
      <x:c r="A162" s="70" t="s">
        <x:v>866</x:v>
      </x:c>
      <x:c r="B162" s="70" t="s">
        <x:v>24</x:v>
      </x:c>
      <x:c r="C162" s="70" t="s">
        <x:v>102</x:v>
      </x:c>
      <x:c r="D162" s="70" t="s">
        <x:v>116</x:v>
      </x:c>
      <x:c r="E162" s="70" t="s">
        <x:v>763</x:v>
      </x:c>
      <x:c r="F162" s="70"/>
      <x:c r="G162" s="70" t="s">
        <x:v>841</x:v>
      </x:c>
      <x:c r="H162" s="70" t="s">
        <x:v>842</x:v>
      </x:c>
      <x:c r="I162" s="70" t="s">
        <x:v>833</x:v>
      </x:c>
      <x:c r="J162" s="70" t="n">
        <x:v>52</x:v>
      </x:c>
      <x:c r="K162" s="70" t="s">
        <x:v>864</x:v>
      </x:c>
      <x:c r="L162" s="70"/>
      <x:c r="M162" s="70" t="s">
        <x:v>28</x:v>
      </x:c>
      <x:c r="N162" s="71" t="n">
        <x:v>0</x:v>
      </x:c>
      <x:c r="O162" s="72" t="n">
        <x:f aca="0">N162/1000000</x:f>
        <x:v>0</x:v>
      </x:c>
      <x:c r="P162" s="73" t="n">
        <x:f aca="0">KOHC!E23</x:f>
        <x:v>0</x:v>
      </x:c>
      <x:c r="Q162" s="70" t="str">
        <x:f aca="0">IF(ABS(O162-P162)&lt;0.000001,"PASS","FAIL")</x:f>
        <x:v>PASS</x:v>
      </x:c>
      <x:c r="R162" s="70" t="s">
        <x:v>27</x:v>
      </x:c>
      <x:c r="S162" s="70"/>
    </x:row>
    <x:row r="163" ht="15" hidden="0">
      <x:c r="A163" s="70" t="s">
        <x:v>867</x:v>
      </x:c>
      <x:c r="B163" s="70" t="s">
        <x:v>24</x:v>
      </x:c>
      <x:c r="C163" s="70" t="s">
        <x:v>103</x:v>
      </x:c>
      <x:c r="D163" s="70" t="s">
        <x:v>116</x:v>
      </x:c>
      <x:c r="E163" s="70" t="s">
        <x:v>763</x:v>
      </x:c>
      <x:c r="F163" s="70"/>
      <x:c r="G163" s="70" t="s">
        <x:v>844</x:v>
      </x:c>
      <x:c r="H163" s="70" t="s">
        <x:v>845</x:v>
      </x:c>
      <x:c r="I163" s="70" t="s">
        <x:v>833</x:v>
      </x:c>
      <x:c r="J163" s="70" t="n">
        <x:v>58</x:v>
      </x:c>
      <x:c r="K163" s="70" t="s">
        <x:v>864</x:v>
      </x:c>
      <x:c r="L163" s="70"/>
      <x:c r="M163" s="70" t="s">
        <x:v>28</x:v>
      </x:c>
      <x:c r="N163" s="71" t="n">
        <x:v>0</x:v>
      </x:c>
      <x:c r="O163" s="72" t="n">
        <x:f aca="0">N163/1000000</x:f>
        <x:v>0</x:v>
      </x:c>
      <x:c r="P163" s="73" t="n">
        <x:f aca="0">KOHC!F23</x:f>
        <x:v>0</x:v>
      </x:c>
      <x:c r="Q163" s="70" t="str">
        <x:f aca="0">IF(ABS(O163-P163)&lt;0.000001,"PASS","FAIL")</x:f>
        <x:v>PASS</x:v>
      </x:c>
      <x:c r="R163" s="70" t="s">
        <x:v>27</x:v>
      </x:c>
      <x:c r="S163" s="70"/>
    </x:row>
    <x:row r="164" ht="15" hidden="0">
      <x:c r="A164" s="70" t="s">
        <x:v>868</x:v>
      </x:c>
      <x:c r="B164" s="70" t="s">
        <x:v>24</x:v>
      </x:c>
      <x:c r="C164" s="70" t="s">
        <x:v>104</x:v>
      </x:c>
      <x:c r="D164" s="70" t="s">
        <x:v>116</x:v>
      </x:c>
      <x:c r="E164" s="70" t="s">
        <x:v>763</x:v>
      </x:c>
      <x:c r="F164" s="70"/>
      <x:c r="G164" s="70" t="s">
        <x:v>848</x:v>
      </x:c>
      <x:c r="H164" s="70" t="s">
        <x:v>849</x:v>
      </x:c>
      <x:c r="I164" s="70" t="s">
        <x:v>833</x:v>
      </x:c>
      <x:c r="J164" s="70" t="n">
        <x:v>68</x:v>
      </x:c>
      <x:c r="K164" s="70" t="s">
        <x:v>869</x:v>
      </x:c>
      <x:c r="L164" s="70"/>
      <x:c r="M164" s="70" t="s">
        <x:v>28</x:v>
      </x:c>
      <x:c r="N164" s="71" t="n">
        <x:v>0</x:v>
      </x:c>
      <x:c r="O164" s="72" t="n">
        <x:f aca="0">N164/1000000</x:f>
        <x:v>0</x:v>
      </x:c>
      <x:c r="P164" s="73" t="n">
        <x:f aca="0">KOHC!G23</x:f>
        <x:v>0</x:v>
      </x:c>
      <x:c r="Q164" s="70" t="str">
        <x:f aca="0">IF(ABS(O164-P164)&lt;0.000001,"PASS","FAIL")</x:f>
        <x:v>PASS</x:v>
      </x:c>
      <x:c r="R164" s="70" t="s">
        <x:v>27</x:v>
      </x:c>
      <x:c r="S164" s="70"/>
    </x:row>
    <x:row r="165" ht="15" hidden="0">
      <x:c r="A165" s="70" t="s">
        <x:v>870</x:v>
      </x:c>
      <x:c r="B165" s="70" t="s">
        <x:v>24</x:v>
      </x:c>
      <x:c r="C165" s="70" t="s">
        <x:v>105</x:v>
      </x:c>
      <x:c r="D165" s="70" t="s">
        <x:v>116</x:v>
      </x:c>
      <x:c r="E165" s="70" t="s">
        <x:v>763</x:v>
      </x:c>
      <x:c r="F165" s="70"/>
      <x:c r="G165" s="70" t="s">
        <x:v>848</x:v>
      </x:c>
      <x:c r="H165" s="70" t="s">
        <x:v>849</x:v>
      </x:c>
      <x:c r="I165" s="70" t="s">
        <x:v>852</x:v>
      </x:c>
      <x:c r="J165" s="70" t="n">
        <x:v>68</x:v>
      </x:c>
      <x:c r="K165" s="70" t="s">
        <x:v>869</x:v>
      </x:c>
      <x:c r="L165" s="70"/>
      <x:c r="M165" s="70" t="s">
        <x:v>28</x:v>
      </x:c>
      <x:c r="N165" s="71" t="n">
        <x:v>0</x:v>
      </x:c>
      <x:c r="O165" s="72" t="n">
        <x:f aca="0">N165/1000000</x:f>
        <x:v>0</x:v>
      </x:c>
      <x:c r="P165" s="73" t="n">
        <x:f aca="0">KOHC!H23</x:f>
        <x:v>0</x:v>
      </x:c>
      <x:c r="Q165" s="70" t="str">
        <x:f aca="0">IF(ABS(O165-P165)&lt;0.000001,"PASS","FAIL")</x:f>
        <x:v>PASS</x:v>
      </x:c>
      <x:c r="R165" s="70" t="s">
        <x:v>27</x:v>
      </x:c>
      <x:c r="S165" s="70"/>
    </x:row>
    <x:row r="166" ht="15" hidden="0">
      <x:c r="A166" s="70" t="s">
        <x:v>871</x:v>
      </x:c>
      <x:c r="B166" s="70" t="s">
        <x:v>24</x:v>
      </x:c>
      <x:c r="C166" s="70" t="s">
        <x:v>717</x:v>
      </x:c>
      <x:c r="D166" s="70" t="s">
        <x:v>118</x:v>
      </x:c>
      <x:c r="E166" s="70" t="s">
        <x:v>763</x:v>
      </x:c>
      <x:c r="F166" s="70" t="s">
        <x:v>872</x:v>
      </x:c>
      <x:c r="G166" s="70" t="s">
        <x:v>831</x:v>
      </x:c>
      <x:c r="H166" s="70" t="s">
        <x:v>832</x:v>
      </x:c>
      <x:c r="I166" s="70" t="s">
        <x:v>833</x:v>
      </x:c>
      <x:c r="J166" s="70" t="n">
        <x:v>45</x:v>
      </x:c>
      <x:c r="K166" s="70" t="s">
        <x:v>834</x:v>
      </x:c>
      <x:c r="L166" s="70" t="s">
        <x:v>873</x:v>
      </x:c>
      <x:c r="M166" s="70" t="s">
        <x:v>28</x:v>
      </x:c>
      <x:c r="N166" s="71" t="n">
        <x:v>11210982</x:v>
      </x:c>
      <x:c r="O166" s="72" t="n">
        <x:f aca="0">N166/1000000</x:f>
        <x:v>11.210982</x:v>
      </x:c>
      <x:c r="P166" s="73" t="n">
        <x:f aca="0">KOHC!C24</x:f>
        <x:v>11.210982</x:v>
      </x:c>
      <x:c r="Q166" s="70" t="str">
        <x:f aca="0">IF(ABS(O166-P166)&lt;0.000001,"PASS","FAIL")</x:f>
        <x:v>PASS</x:v>
      </x:c>
      <x:c r="R166" s="70" t="s">
        <x:v>27</x:v>
      </x:c>
      <x:c r="S166" s="70"/>
    </x:row>
    <x:row r="167" ht="15" hidden="0">
      <x:c r="A167" s="70" t="s">
        <x:v>874</x:v>
      </x:c>
      <x:c r="B167" s="70" t="s">
        <x:v>24</x:v>
      </x:c>
      <x:c r="C167" s="70" t="s">
        <x:v>101</x:v>
      </x:c>
      <x:c r="D167" s="70" t="s">
        <x:v>118</x:v>
      </x:c>
      <x:c r="E167" s="70" t="s">
        <x:v>763</x:v>
      </x:c>
      <x:c r="F167" s="70" t="s">
        <x:v>872</x:v>
      </x:c>
      <x:c r="G167" s="70" t="s">
        <x:v>837</x:v>
      </x:c>
      <x:c r="H167" s="70" t="s">
        <x:v>838</x:v>
      </x:c>
      <x:c r="I167" s="70" t="s">
        <x:v>833</x:v>
      </x:c>
      <x:c r="J167" s="70" t="n">
        <x:v>53</x:v>
      </x:c>
      <x:c r="K167" s="70" t="s">
        <x:v>834</x:v>
      </x:c>
      <x:c r="L167" s="70" t="s">
        <x:v>873</x:v>
      </x:c>
      <x:c r="M167" s="70" t="s">
        <x:v>28</x:v>
      </x:c>
      <x:c r="N167" s="71" t="n">
        <x:v>6725911</x:v>
      </x:c>
      <x:c r="O167" s="72" t="n">
        <x:f aca="0">N167/1000000</x:f>
        <x:v>6.725911</x:v>
      </x:c>
      <x:c r="P167" s="73" t="n">
        <x:f aca="0">KOHC!D24</x:f>
        <x:v>6.725911</x:v>
      </x:c>
      <x:c r="Q167" s="70" t="str">
        <x:f aca="0">IF(ABS(O167-P167)&lt;0.000001,"PASS","FAIL")</x:f>
        <x:v>PASS</x:v>
      </x:c>
      <x:c r="R167" s="70" t="s">
        <x:v>27</x:v>
      </x:c>
      <x:c r="S167" s="70"/>
    </x:row>
    <x:row r="168" ht="15" hidden="0">
      <x:c r="A168" s="70" t="s">
        <x:v>875</x:v>
      </x:c>
      <x:c r="B168" s="70" t="s">
        <x:v>24</x:v>
      </x:c>
      <x:c r="C168" s="70" t="s">
        <x:v>102</x:v>
      </x:c>
      <x:c r="D168" s="70" t="s">
        <x:v>118</x:v>
      </x:c>
      <x:c r="E168" s="70" t="s">
        <x:v>763</x:v>
      </x:c>
      <x:c r="F168" s="70" t="s">
        <x:v>872</x:v>
      </x:c>
      <x:c r="G168" s="70" t="s">
        <x:v>841</x:v>
      </x:c>
      <x:c r="H168" s="70" t="s">
        <x:v>842</x:v>
      </x:c>
      <x:c r="I168" s="70" t="s">
        <x:v>833</x:v>
      </x:c>
      <x:c r="J168" s="70" t="n">
        <x:v>53</x:v>
      </x:c>
      <x:c r="K168" s="70" t="s">
        <x:v>834</x:v>
      </x:c>
      <x:c r="L168" s="70" t="s">
        <x:v>873</x:v>
      </x:c>
      <x:c r="M168" s="70" t="s">
        <x:v>28</x:v>
      </x:c>
      <x:c r="N168" s="71" t="n">
        <x:v>2701357</x:v>
      </x:c>
      <x:c r="O168" s="72" t="n">
        <x:f aca="0">N168/1000000</x:f>
        <x:v>2.701357</x:v>
      </x:c>
      <x:c r="P168" s="73" t="n">
        <x:f aca="0">KOHC!E24</x:f>
        <x:v>2.701357</x:v>
      </x:c>
      <x:c r="Q168" s="70" t="str">
        <x:f aca="0">IF(ABS(O168-P168)&lt;0.000001,"PASS","FAIL")</x:f>
        <x:v>PASS</x:v>
      </x:c>
      <x:c r="R168" s="70" t="s">
        <x:v>27</x:v>
      </x:c>
      <x:c r="S168" s="70"/>
    </x:row>
    <x:row r="169" ht="15" hidden="0">
      <x:c r="A169" s="70" t="s">
        <x:v>876</x:v>
      </x:c>
      <x:c r="B169" s="70" t="s">
        <x:v>24</x:v>
      </x:c>
      <x:c r="C169" s="70" t="s">
        <x:v>103</x:v>
      </x:c>
      <x:c r="D169" s="70" t="s">
        <x:v>118</x:v>
      </x:c>
      <x:c r="E169" s="70" t="s">
        <x:v>763</x:v>
      </x:c>
      <x:c r="F169" s="70" t="s">
        <x:v>872</x:v>
      </x:c>
      <x:c r="G169" s="70" t="s">
        <x:v>844</x:v>
      </x:c>
      <x:c r="H169" s="70" t="s">
        <x:v>845</x:v>
      </x:c>
      <x:c r="I169" s="70" t="s">
        <x:v>833</x:v>
      </x:c>
      <x:c r="J169" s="70" t="n">
        <x:v>59</x:v>
      </x:c>
      <x:c r="K169" s="70" t="s">
        <x:v>834</x:v>
      </x:c>
      <x:c r="L169" s="70" t="s">
        <x:v>835</x:v>
      </x:c>
      <x:c r="M169" s="70" t="s">
        <x:v>28</x:v>
      </x:c>
      <x:c r="N169" s="71" t="n">
        <x:v>1567709</x:v>
      </x:c>
      <x:c r="O169" s="72" t="n">
        <x:f aca="0">N169/1000000</x:f>
        <x:v>1.567709</x:v>
      </x:c>
      <x:c r="P169" s="73" t="n">
        <x:f aca="0">KOHC!F24</x:f>
        <x:v>1.567709</x:v>
      </x:c>
      <x:c r="Q169" s="70" t="str">
        <x:f aca="0">IF(ABS(O169-P169)&lt;0.000001,"PASS","FAIL")</x:f>
        <x:v>PASS</x:v>
      </x:c>
      <x:c r="R169" s="70" t="s">
        <x:v>27</x:v>
      </x:c>
      <x:c r="S169" s="70"/>
    </x:row>
    <x:row r="170" ht="15" hidden="0">
      <x:c r="A170" s="70" t="s">
        <x:v>877</x:v>
      </x:c>
      <x:c r="B170" s="70" t="s">
        <x:v>24</x:v>
      </x:c>
      <x:c r="C170" s="70" t="s">
        <x:v>104</x:v>
      </x:c>
      <x:c r="D170" s="70" t="s">
        <x:v>118</x:v>
      </x:c>
      <x:c r="E170" s="70" t="s">
        <x:v>763</x:v>
      </x:c>
      <x:c r="F170" s="70" t="s">
        <x:v>872</x:v>
      </x:c>
      <x:c r="G170" s="70" t="s">
        <x:v>848</x:v>
      </x:c>
      <x:c r="H170" s="70" t="s">
        <x:v>849</x:v>
      </x:c>
      <x:c r="I170" s="70" t="s">
        <x:v>833</x:v>
      </x:c>
      <x:c r="J170" s="70" t="n">
        <x:v>69</x:v>
      </x:c>
      <x:c r="K170" s="70" t="s">
        <x:v>834</x:v>
      </x:c>
      <x:c r="L170" s="70" t="s">
        <x:v>846</x:v>
      </x:c>
      <x:c r="M170" s="70" t="s">
        <x:v>28</x:v>
      </x:c>
      <x:c r="N170" s="71" t="n">
        <x:v>508226</x:v>
      </x:c>
      <x:c r="O170" s="72" t="n">
        <x:f aca="0">N170/1000000</x:f>
        <x:v>0.508226</x:v>
      </x:c>
      <x:c r="P170" s="73" t="n">
        <x:f aca="0">KOHC!G24</x:f>
        <x:v>0.508226</x:v>
      </x:c>
      <x:c r="Q170" s="70" t="str">
        <x:f aca="0">IF(ABS(O170-P170)&lt;0.000001,"PASS","FAIL")</x:f>
        <x:v>PASS</x:v>
      </x:c>
      <x:c r="R170" s="70" t="s">
        <x:v>27</x:v>
      </x:c>
      <x:c r="S170" s="70"/>
    </x:row>
    <x:row r="171" ht="15" hidden="0">
      <x:c r="A171" s="70" t="s">
        <x:v>878</x:v>
      </x:c>
      <x:c r="B171" s="70" t="s">
        <x:v>24</x:v>
      </x:c>
      <x:c r="C171" s="70" t="s">
        <x:v>105</x:v>
      </x:c>
      <x:c r="D171" s="70" t="s">
        <x:v>118</x:v>
      </x:c>
      <x:c r="E171" s="70" t="s">
        <x:v>763</x:v>
      </x:c>
      <x:c r="F171" s="70" t="s">
        <x:v>872</x:v>
      </x:c>
      <x:c r="G171" s="70" t="s">
        <x:v>848</x:v>
      </x:c>
      <x:c r="H171" s="70" t="s">
        <x:v>849</x:v>
      </x:c>
      <x:c r="I171" s="70" t="s">
        <x:v>852</x:v>
      </x:c>
      <x:c r="J171" s="70" t="n">
        <x:v>69</x:v>
      </x:c>
      <x:c r="K171" s="70" t="s">
        <x:v>834</x:v>
      </x:c>
      <x:c r="L171" s="70" t="s">
        <x:v>846</x:v>
      </x:c>
      <x:c r="M171" s="70" t="s">
        <x:v>28</x:v>
      </x:c>
      <x:c r="N171" s="71" t="n">
        <x:v>259742</x:v>
      </x:c>
      <x:c r="O171" s="72" t="n">
        <x:f aca="0">N171/1000000</x:f>
        <x:v>0.259742</x:v>
      </x:c>
      <x:c r="P171" s="73" t="n">
        <x:f aca="0">KOHC!H24</x:f>
        <x:v>0.259742</x:v>
      </x:c>
      <x:c r="Q171" s="70" t="str">
        <x:f aca="0">IF(ABS(O171-P171)&lt;0.000001,"PASS","FAIL")</x:f>
        <x:v>PASS</x:v>
      </x:c>
      <x:c r="R171" s="70" t="s">
        <x:v>27</x:v>
      </x:c>
      <x:c r="S171" s="70"/>
    </x:row>
    <x:row r="172" ht="15" hidden="0">
      <x:c r="A172" s="70" t="s">
        <x:v>879</x:v>
      </x:c>
      <x:c r="B172" s="70" t="s">
        <x:v>24</x:v>
      </x:c>
      <x:c r="C172" s="70" t="s">
        <x:v>717</x:v>
      </x:c>
      <x:c r="D172" s="70" t="s">
        <x:v>120</x:v>
      </x:c>
      <x:c r="E172" s="70" t="s">
        <x:v>763</x:v>
      </x:c>
      <x:c r="F172" s="70" t="s">
        <x:v>120</x:v>
      </x:c>
      <x:c r="G172" s="70" t="s">
        <x:v>831</x:v>
      </x:c>
      <x:c r="H172" s="70" t="s">
        <x:v>832</x:v>
      </x:c>
      <x:c r="I172" s="70" t="s">
        <x:v>833</x:v>
      </x:c>
      <x:c r="J172" s="70" t="n">
        <x:v>45</x:v>
      </x:c>
      <x:c r="K172" s="70" t="s">
        <x:v>834</x:v>
      </x:c>
      <x:c r="L172" s="70" t="s">
        <x:v>880</x:v>
      </x:c>
      <x:c r="M172" s="70" t="s">
        <x:v>28</x:v>
      </x:c>
      <x:c r="N172" s="71" t="n">
        <x:v>3691839635</x:v>
      </x:c>
      <x:c r="O172" s="72" t="n">
        <x:f aca="0">N172/1000000</x:f>
        <x:v>3691.839635</x:v>
      </x:c>
      <x:c r="P172" s="73" t="n">
        <x:f aca="0">KOHC!C25</x:f>
        <x:v>3691.839635</x:v>
      </x:c>
      <x:c r="Q172" s="70" t="str">
        <x:f aca="0">IF(ABS(O172-P172)&lt;0.000001,"PASS","FAIL")</x:f>
        <x:v>PASS</x:v>
      </x:c>
      <x:c r="R172" s="70" t="s">
        <x:v>27</x:v>
      </x:c>
      <x:c r="S172" s="70"/>
    </x:row>
    <x:row r="173" ht="15" hidden="0">
      <x:c r="A173" s="70" t="s">
        <x:v>881</x:v>
      </x:c>
      <x:c r="B173" s="70" t="s">
        <x:v>24</x:v>
      </x:c>
      <x:c r="C173" s="70" t="s">
        <x:v>101</x:v>
      </x:c>
      <x:c r="D173" s="70" t="s">
        <x:v>120</x:v>
      </x:c>
      <x:c r="E173" s="70" t="s">
        <x:v>763</x:v>
      </x:c>
      <x:c r="F173" s="70" t="s">
        <x:v>120</x:v>
      </x:c>
      <x:c r="G173" s="70" t="s">
        <x:v>837</x:v>
      </x:c>
      <x:c r="H173" s="70" t="s">
        <x:v>838</x:v>
      </x:c>
      <x:c r="I173" s="70" t="s">
        <x:v>833</x:v>
      </x:c>
      <x:c r="J173" s="70" t="n">
        <x:v>53</x:v>
      </x:c>
      <x:c r="K173" s="70" t="s">
        <x:v>834</x:v>
      </x:c>
      <x:c r="L173" s="70" t="s">
        <x:v>882</x:v>
      </x:c>
      <x:c r="M173" s="70" t="s">
        <x:v>28</x:v>
      </x:c>
      <x:c r="N173" s="71" t="n">
        <x:v>4134086159</x:v>
      </x:c>
      <x:c r="O173" s="72" t="n">
        <x:f aca="0">N173/1000000</x:f>
        <x:v>4134.086159</x:v>
      </x:c>
      <x:c r="P173" s="73" t="n">
        <x:f aca="0">KOHC!D25</x:f>
        <x:v>4134.086159</x:v>
      </x:c>
      <x:c r="Q173" s="70" t="str">
        <x:f aca="0">IF(ABS(O173-P173)&lt;0.000001,"PASS","FAIL")</x:f>
        <x:v>PASS</x:v>
      </x:c>
      <x:c r="R173" s="70" t="s">
        <x:v>27</x:v>
      </x:c>
      <x:c r="S173" s="70" t="s">
        <x:v>839</x:v>
      </x:c>
    </x:row>
    <x:row r="174" ht="15" hidden="0">
      <x:c r="A174" s="70" t="s">
        <x:v>883</x:v>
      </x:c>
      <x:c r="B174" s="70" t="s">
        <x:v>24</x:v>
      </x:c>
      <x:c r="C174" s="70" t="s">
        <x:v>102</x:v>
      </x:c>
      <x:c r="D174" s="70" t="s">
        <x:v>120</x:v>
      </x:c>
      <x:c r="E174" s="70" t="s">
        <x:v>763</x:v>
      </x:c>
      <x:c r="F174" s="70" t="s">
        <x:v>120</x:v>
      </x:c>
      <x:c r="G174" s="70" t="s">
        <x:v>841</x:v>
      </x:c>
      <x:c r="H174" s="70" t="s">
        <x:v>842</x:v>
      </x:c>
      <x:c r="I174" s="70" t="s">
        <x:v>833</x:v>
      </x:c>
      <x:c r="J174" s="70" t="n">
        <x:v>53</x:v>
      </x:c>
      <x:c r="K174" s="70" t="s">
        <x:v>834</x:v>
      </x:c>
      <x:c r="L174" s="70" t="s">
        <x:v>882</x:v>
      </x:c>
      <x:c r="M174" s="70" t="s">
        <x:v>28</x:v>
      </x:c>
      <x:c r="N174" s="71" t="n">
        <x:v>4134255209</x:v>
      </x:c>
      <x:c r="O174" s="72" t="n">
        <x:f aca="0">N174/1000000</x:f>
        <x:v>4134.255209</x:v>
      </x:c>
      <x:c r="P174" s="73" t="n">
        <x:f aca="0">KOHC!E25</x:f>
        <x:v>4134.255209</x:v>
      </x:c>
      <x:c r="Q174" s="70" t="str">
        <x:f aca="0">IF(ABS(O174-P174)&lt;0.000001,"PASS","FAIL")</x:f>
        <x:v>PASS</x:v>
      </x:c>
      <x:c r="R174" s="70" t="s">
        <x:v>27</x:v>
      </x:c>
      <x:c r="S174" s="70"/>
    </x:row>
    <x:row r="175" ht="15" hidden="0">
      <x:c r="A175" s="70" t="s">
        <x:v>884</x:v>
      </x:c>
      <x:c r="B175" s="70" t="s">
        <x:v>24</x:v>
      </x:c>
      <x:c r="C175" s="70" t="s">
        <x:v>103</x:v>
      </x:c>
      <x:c r="D175" s="70" t="s">
        <x:v>120</x:v>
      </x:c>
      <x:c r="E175" s="70" t="s">
        <x:v>763</x:v>
      </x:c>
      <x:c r="F175" s="70" t="s">
        <x:v>120</x:v>
      </x:c>
      <x:c r="G175" s="70" t="s">
        <x:v>844</x:v>
      </x:c>
      <x:c r="H175" s="70" t="s">
        <x:v>845</x:v>
      </x:c>
      <x:c r="I175" s="70" t="s">
        <x:v>833</x:v>
      </x:c>
      <x:c r="J175" s="70" t="n">
        <x:v>59</x:v>
      </x:c>
      <x:c r="K175" s="70" t="s">
        <x:v>834</x:v>
      </x:c>
      <x:c r="L175" s="70" t="s">
        <x:v>880</x:v>
      </x:c>
      <x:c r="M175" s="70" t="s">
        <x:v>28</x:v>
      </x:c>
      <x:c r="N175" s="71" t="n">
        <x:v>4324910743</x:v>
      </x:c>
      <x:c r="O175" s="72" t="n">
        <x:f aca="0">N175/1000000</x:f>
        <x:v>4324.910743</x:v>
      </x:c>
      <x:c r="P175" s="73" t="n">
        <x:f aca="0">KOHC!F25</x:f>
        <x:v>4324.910743</x:v>
      </x:c>
      <x:c r="Q175" s="70" t="str">
        <x:f aca="0">IF(ABS(O175-P175)&lt;0.000001,"PASS","FAIL")</x:f>
        <x:v>PASS</x:v>
      </x:c>
      <x:c r="R175" s="70" t="s">
        <x:v>27</x:v>
      </x:c>
      <x:c r="S175" s="70"/>
    </x:row>
    <x:row r="176" ht="15" hidden="0">
      <x:c r="A176" s="70" t="s">
        <x:v>885</x:v>
      </x:c>
      <x:c r="B176" s="70" t="s">
        <x:v>24</x:v>
      </x:c>
      <x:c r="C176" s="70" t="s">
        <x:v>104</x:v>
      </x:c>
      <x:c r="D176" s="70" t="s">
        <x:v>120</x:v>
      </x:c>
      <x:c r="E176" s="70" t="s">
        <x:v>763</x:v>
      </x:c>
      <x:c r="F176" s="70" t="s">
        <x:v>120</x:v>
      </x:c>
      <x:c r="G176" s="70" t="s">
        <x:v>848</x:v>
      </x:c>
      <x:c r="H176" s="70" t="s">
        <x:v>849</x:v>
      </x:c>
      <x:c r="I176" s="70" t="s">
        <x:v>833</x:v>
      </x:c>
      <x:c r="J176" s="70" t="n">
        <x:v>69</x:v>
      </x:c>
      <x:c r="K176" s="70" t="s">
        <x:v>834</x:v>
      </x:c>
      <x:c r="L176" s="70" t="s">
        <x:v>886</x:v>
      </x:c>
      <x:c r="M176" s="70" t="s">
        <x:v>28</x:v>
      </x:c>
      <x:c r="N176" s="71" t="n">
        <x:v>4326361559</x:v>
      </x:c>
      <x:c r="O176" s="72" t="n">
        <x:f aca="0">N176/1000000</x:f>
        <x:v>4326.361559</x:v>
      </x:c>
      <x:c r="P176" s="73" t="n">
        <x:f aca="0">KOHC!G25</x:f>
        <x:v>4326.361559</x:v>
      </x:c>
      <x:c r="Q176" s="70" t="str">
        <x:f aca="0">IF(ABS(O176-P176)&lt;0.000001,"PASS","FAIL")</x:f>
        <x:v>PASS</x:v>
      </x:c>
      <x:c r="R176" s="70" t="s">
        <x:v>27</x:v>
      </x:c>
      <x:c r="S176" s="70"/>
    </x:row>
    <x:row r="177" ht="15" hidden="0">
      <x:c r="A177" s="70" t="s">
        <x:v>887</x:v>
      </x:c>
      <x:c r="B177" s="70" t="s">
        <x:v>24</x:v>
      </x:c>
      <x:c r="C177" s="70" t="s">
        <x:v>105</x:v>
      </x:c>
      <x:c r="D177" s="70" t="s">
        <x:v>120</x:v>
      </x:c>
      <x:c r="E177" s="70" t="s">
        <x:v>763</x:v>
      </x:c>
      <x:c r="F177" s="70" t="s">
        <x:v>120</x:v>
      </x:c>
      <x:c r="G177" s="70" t="s">
        <x:v>848</x:v>
      </x:c>
      <x:c r="H177" s="70" t="s">
        <x:v>849</x:v>
      </x:c>
      <x:c r="I177" s="70" t="s">
        <x:v>852</x:v>
      </x:c>
      <x:c r="J177" s="70" t="n">
        <x:v>69</x:v>
      </x:c>
      <x:c r="K177" s="70" t="s">
        <x:v>834</x:v>
      </x:c>
      <x:c r="L177" s="70" t="s">
        <x:v>886</x:v>
      </x:c>
      <x:c r="M177" s="70" t="s">
        <x:v>28</x:v>
      </x:c>
      <x:c r="N177" s="71" t="n">
        <x:v>4326361559</x:v>
      </x:c>
      <x:c r="O177" s="72" t="n">
        <x:f aca="0">N177/1000000</x:f>
        <x:v>4326.361559</x:v>
      </x:c>
      <x:c r="P177" s="73" t="n">
        <x:f aca="0">KOHC!H25</x:f>
        <x:v>4326.361559</x:v>
      </x:c>
      <x:c r="Q177" s="70" t="str">
        <x:f aca="0">IF(ABS(O177-P177)&lt;0.000001,"PASS","FAIL")</x:f>
        <x:v>PASS</x:v>
      </x:c>
      <x:c r="R177" s="70" t="s">
        <x:v>27</x:v>
      </x:c>
      <x:c r="S177" s="70"/>
    </x:row>
    <x:row r="178" ht="15" hidden="0">
      <x:c r="A178" s="70" t="s">
        <x:v>888</x:v>
      </x:c>
      <x:c r="B178" s="70" t="s">
        <x:v>24</x:v>
      </x:c>
      <x:c r="C178" s="70" t="s">
        <x:v>717</x:v>
      </x:c>
      <x:c r="D178" s="70" t="s">
        <x:v>122</x:v>
      </x:c>
      <x:c r="E178" s="70" t="s">
        <x:v>763</x:v>
      </x:c>
      <x:c r="F178" s="70"/>
      <x:c r="G178" s="70" t="s">
        <x:v>831</x:v>
      </x:c>
      <x:c r="H178" s="70" t="s">
        <x:v>832</x:v>
      </x:c>
      <x:c r="I178" s="70" t="s">
        <x:v>833</x:v>
      </x:c>
      <x:c r="J178" s="70" t="n">
        <x:v>44</x:v>
      </x:c>
      <x:c r="K178" s="70" t="s">
        <x:v>864</x:v>
      </x:c>
      <x:c r="L178" s="70"/>
      <x:c r="M178" s="70" t="s">
        <x:v>28</x:v>
      </x:c>
      <x:c r="N178" s="71" t="n">
        <x:v>0</x:v>
      </x:c>
      <x:c r="O178" s="72" t="n">
        <x:f aca="0">N178/1000000</x:f>
        <x:v>0</x:v>
      </x:c>
      <x:c r="P178" s="73" t="n">
        <x:f aca="0">KOHC!C26</x:f>
        <x:v>0</x:v>
      </x:c>
      <x:c r="Q178" s="70" t="str">
        <x:f aca="0">IF(ABS(O178-P178)&lt;0.000001,"PASS","FAIL")</x:f>
        <x:v>PASS</x:v>
      </x:c>
      <x:c r="R178" s="70" t="s">
        <x:v>27</x:v>
      </x:c>
      <x:c r="S178" s="70"/>
    </x:row>
    <x:row r="179" ht="15" hidden="0">
      <x:c r="A179" s="70" t="s">
        <x:v>889</x:v>
      </x:c>
      <x:c r="B179" s="70" t="s">
        <x:v>24</x:v>
      </x:c>
      <x:c r="C179" s="70" t="s">
        <x:v>101</x:v>
      </x:c>
      <x:c r="D179" s="70" t="s">
        <x:v>122</x:v>
      </x:c>
      <x:c r="E179" s="70" t="s">
        <x:v>763</x:v>
      </x:c>
      <x:c r="F179" s="70"/>
      <x:c r="G179" s="70" t="s">
        <x:v>837</x:v>
      </x:c>
      <x:c r="H179" s="70" t="s">
        <x:v>838</x:v>
      </x:c>
      <x:c r="I179" s="70" t="s">
        <x:v>833</x:v>
      </x:c>
      <x:c r="J179" s="70" t="n">
        <x:v>52</x:v>
      </x:c>
      <x:c r="K179" s="70" t="s">
        <x:v>864</x:v>
      </x:c>
      <x:c r="L179" s="70"/>
      <x:c r="M179" s="70" t="s">
        <x:v>28</x:v>
      </x:c>
      <x:c r="N179" s="71" t="n">
        <x:v>0</x:v>
      </x:c>
      <x:c r="O179" s="72" t="n">
        <x:f aca="0">N179/1000000</x:f>
        <x:v>0</x:v>
      </x:c>
      <x:c r="P179" s="73" t="n">
        <x:f aca="0">KOHC!D26</x:f>
        <x:v>0</x:v>
      </x:c>
      <x:c r="Q179" s="70" t="str">
        <x:f aca="0">IF(ABS(O179-P179)&lt;0.000001,"PASS","FAIL")</x:f>
        <x:v>PASS</x:v>
      </x:c>
      <x:c r="R179" s="70" t="s">
        <x:v>27</x:v>
      </x:c>
      <x:c r="S179" s="70"/>
    </x:row>
    <x:row r="180" ht="15" hidden="0">
      <x:c r="A180" s="70" t="s">
        <x:v>890</x:v>
      </x:c>
      <x:c r="B180" s="70" t="s">
        <x:v>24</x:v>
      </x:c>
      <x:c r="C180" s="70" t="s">
        <x:v>102</x:v>
      </x:c>
      <x:c r="D180" s="70" t="s">
        <x:v>122</x:v>
      </x:c>
      <x:c r="E180" s="70" t="s">
        <x:v>763</x:v>
      </x:c>
      <x:c r="F180" s="70"/>
      <x:c r="G180" s="70" t="s">
        <x:v>841</x:v>
      </x:c>
      <x:c r="H180" s="70" t="s">
        <x:v>842</x:v>
      </x:c>
      <x:c r="I180" s="70" t="s">
        <x:v>833</x:v>
      </x:c>
      <x:c r="J180" s="70" t="n">
        <x:v>52</x:v>
      </x:c>
      <x:c r="K180" s="70" t="s">
        <x:v>864</x:v>
      </x:c>
      <x:c r="L180" s="70"/>
      <x:c r="M180" s="70" t="s">
        <x:v>28</x:v>
      </x:c>
      <x:c r="N180" s="71" t="n">
        <x:v>0</x:v>
      </x:c>
      <x:c r="O180" s="72" t="n">
        <x:f aca="0">N180/1000000</x:f>
        <x:v>0</x:v>
      </x:c>
      <x:c r="P180" s="73" t="n">
        <x:f aca="0">KOHC!E26</x:f>
        <x:v>0</x:v>
      </x:c>
      <x:c r="Q180" s="70" t="str">
        <x:f aca="0">IF(ABS(O180-P180)&lt;0.000001,"PASS","FAIL")</x:f>
        <x:v>PASS</x:v>
      </x:c>
      <x:c r="R180" s="70" t="s">
        <x:v>27</x:v>
      </x:c>
      <x:c r="S180" s="70"/>
    </x:row>
    <x:row r="181" ht="15" hidden="0">
      <x:c r="A181" s="70" t="s">
        <x:v>891</x:v>
      </x:c>
      <x:c r="B181" s="70" t="s">
        <x:v>24</x:v>
      </x:c>
      <x:c r="C181" s="70" t="s">
        <x:v>103</x:v>
      </x:c>
      <x:c r="D181" s="70" t="s">
        <x:v>122</x:v>
      </x:c>
      <x:c r="E181" s="70" t="s">
        <x:v>763</x:v>
      </x:c>
      <x:c r="F181" s="70"/>
      <x:c r="G181" s="70" t="s">
        <x:v>844</x:v>
      </x:c>
      <x:c r="H181" s="70" t="s">
        <x:v>845</x:v>
      </x:c>
      <x:c r="I181" s="70" t="s">
        <x:v>833</x:v>
      </x:c>
      <x:c r="J181" s="70" t="n">
        <x:v>58</x:v>
      </x:c>
      <x:c r="K181" s="70" t="s">
        <x:v>864</x:v>
      </x:c>
      <x:c r="L181" s="70"/>
      <x:c r="M181" s="70" t="s">
        <x:v>28</x:v>
      </x:c>
      <x:c r="N181" s="71" t="n">
        <x:v>0</x:v>
      </x:c>
      <x:c r="O181" s="72" t="n">
        <x:f aca="0">N181/1000000</x:f>
        <x:v>0</x:v>
      </x:c>
      <x:c r="P181" s="73" t="n">
        <x:f aca="0">KOHC!F26</x:f>
        <x:v>0</x:v>
      </x:c>
      <x:c r="Q181" s="70" t="str">
        <x:f aca="0">IF(ABS(O181-P181)&lt;0.000001,"PASS","FAIL")</x:f>
        <x:v>PASS</x:v>
      </x:c>
      <x:c r="R181" s="70" t="s">
        <x:v>27</x:v>
      </x:c>
      <x:c r="S181" s="70"/>
    </x:row>
    <x:row r="182" ht="15" hidden="0">
      <x:c r="A182" s="70" t="s">
        <x:v>892</x:v>
      </x:c>
      <x:c r="B182" s="70" t="s">
        <x:v>24</x:v>
      </x:c>
      <x:c r="C182" s="70" t="s">
        <x:v>104</x:v>
      </x:c>
      <x:c r="D182" s="70" t="s">
        <x:v>122</x:v>
      </x:c>
      <x:c r="E182" s="70" t="s">
        <x:v>763</x:v>
      </x:c>
      <x:c r="F182" s="70"/>
      <x:c r="G182" s="70" t="s">
        <x:v>848</x:v>
      </x:c>
      <x:c r="H182" s="70" t="s">
        <x:v>849</x:v>
      </x:c>
      <x:c r="I182" s="70" t="s">
        <x:v>833</x:v>
      </x:c>
      <x:c r="J182" s="70" t="n">
        <x:v>68</x:v>
      </x:c>
      <x:c r="K182" s="70" t="s">
        <x:v>869</x:v>
      </x:c>
      <x:c r="L182" s="70"/>
      <x:c r="M182" s="70" t="s">
        <x:v>28</x:v>
      </x:c>
      <x:c r="N182" s="71" t="n">
        <x:v>0</x:v>
      </x:c>
      <x:c r="O182" s="72" t="n">
        <x:f aca="0">N182/1000000</x:f>
        <x:v>0</x:v>
      </x:c>
      <x:c r="P182" s="73" t="n">
        <x:f aca="0">KOHC!G26</x:f>
        <x:v>0</x:v>
      </x:c>
      <x:c r="Q182" s="70" t="str">
        <x:f aca="0">IF(ABS(O182-P182)&lt;0.000001,"PASS","FAIL")</x:f>
        <x:v>PASS</x:v>
      </x:c>
      <x:c r="R182" s="70" t="s">
        <x:v>27</x:v>
      </x:c>
      <x:c r="S182" s="70"/>
    </x:row>
    <x:row r="183" ht="15" hidden="0">
      <x:c r="A183" s="70" t="s">
        <x:v>893</x:v>
      </x:c>
      <x:c r="B183" s="70" t="s">
        <x:v>24</x:v>
      </x:c>
      <x:c r="C183" s="70" t="s">
        <x:v>105</x:v>
      </x:c>
      <x:c r="D183" s="70" t="s">
        <x:v>122</x:v>
      </x:c>
      <x:c r="E183" s="70" t="s">
        <x:v>763</x:v>
      </x:c>
      <x:c r="F183" s="70"/>
      <x:c r="G183" s="70" t="s">
        <x:v>848</x:v>
      </x:c>
      <x:c r="H183" s="70" t="s">
        <x:v>849</x:v>
      </x:c>
      <x:c r="I183" s="70" t="s">
        <x:v>852</x:v>
      </x:c>
      <x:c r="J183" s="70" t="n">
        <x:v>68</x:v>
      </x:c>
      <x:c r="K183" s="70" t="s">
        <x:v>869</x:v>
      </x:c>
      <x:c r="L183" s="70"/>
      <x:c r="M183" s="70" t="s">
        <x:v>28</x:v>
      </x:c>
      <x:c r="N183" s="71" t="n">
        <x:v>0</x:v>
      </x:c>
      <x:c r="O183" s="72" t="n">
        <x:f aca="0">N183/1000000</x:f>
        <x:v>0</x:v>
      </x:c>
      <x:c r="P183" s="73" t="n">
        <x:f aca="0">KOHC!H26</x:f>
        <x:v>0</x:v>
      </x:c>
      <x:c r="Q183" s="70" t="str">
        <x:f aca="0">IF(ABS(O183-P183)&lt;0.000001,"PASS","FAIL")</x:f>
        <x:v>PASS</x:v>
      </x:c>
      <x:c r="R183" s="70" t="s">
        <x:v>27</x:v>
      </x:c>
      <x:c r="S183" s="70"/>
    </x:row>
    <x:row r="184" ht="15" hidden="0">
      <x:c r="A184" s="70" t="s">
        <x:v>894</x:v>
      </x:c>
      <x:c r="B184" s="70" t="s">
        <x:v>24</x:v>
      </x:c>
      <x:c r="C184" s="70" t="s">
        <x:v>717</x:v>
      </x:c>
      <x:c r="D184" s="70" t="s">
        <x:v>124</x:v>
      </x:c>
      <x:c r="E184" s="70" t="s">
        <x:v>763</x:v>
      </x:c>
      <x:c r="F184" s="70" t="s">
        <x:v>895</x:v>
      </x:c>
      <x:c r="G184" s="70" t="s">
        <x:v>831</x:v>
      </x:c>
      <x:c r="H184" s="70" t="s">
        <x:v>832</x:v>
      </x:c>
      <x:c r="I184" s="70" t="s">
        <x:v>833</x:v>
      </x:c>
      <x:c r="J184" s="70" t="n">
        <x:v>45</x:v>
      </x:c>
      <x:c r="K184" s="70" t="s">
        <x:v>834</x:v>
      </x:c>
      <x:c r="L184" s="70" t="s">
        <x:v>886</x:v>
      </x:c>
      <x:c r="M184" s="70" t="s">
        <x:v>28</x:v>
      </x:c>
      <x:c r="N184" s="71" t="n">
        <x:v>38326640</x:v>
      </x:c>
      <x:c r="O184" s="72" t="n">
        <x:f aca="0">N184/1000000</x:f>
        <x:v>38.32664</x:v>
      </x:c>
      <x:c r="P184" s="73" t="n">
        <x:f aca="0">KOHC!C27</x:f>
        <x:v>38.32664</x:v>
      </x:c>
      <x:c r="Q184" s="70" t="str">
        <x:f aca="0">IF(ABS(O184-P184)&lt;0.000001,"PASS","FAIL")</x:f>
        <x:v>PASS</x:v>
      </x:c>
      <x:c r="R184" s="70" t="s">
        <x:v>27</x:v>
      </x:c>
      <x:c r="S184" s="70"/>
    </x:row>
    <x:row r="185" ht="15" hidden="0">
      <x:c r="A185" s="70" t="s">
        <x:v>896</x:v>
      </x:c>
      <x:c r="B185" s="70" t="s">
        <x:v>24</x:v>
      </x:c>
      <x:c r="C185" s="70" t="s">
        <x:v>101</x:v>
      </x:c>
      <x:c r="D185" s="70" t="s">
        <x:v>124</x:v>
      </x:c>
      <x:c r="E185" s="70" t="s">
        <x:v>763</x:v>
      </x:c>
      <x:c r="F185" s="70" t="s">
        <x:v>897</x:v>
      </x:c>
      <x:c r="G185" s="70" t="s">
        <x:v>837</x:v>
      </x:c>
      <x:c r="H185" s="70" t="s">
        <x:v>838</x:v>
      </x:c>
      <x:c r="I185" s="70" t="s">
        <x:v>833</x:v>
      </x:c>
      <x:c r="J185" s="70" t="n">
        <x:v>53</x:v>
      </x:c>
      <x:c r="K185" s="70" t="s">
        <x:v>834</x:v>
      </x:c>
      <x:c r="L185" s="70" t="s">
        <x:v>880</x:v>
      </x:c>
      <x:c r="M185" s="70" t="s">
        <x:v>28</x:v>
      </x:c>
      <x:c r="N185" s="71" t="n">
        <x:v>69765740</x:v>
      </x:c>
      <x:c r="O185" s="72" t="n">
        <x:f aca="0">N185/1000000</x:f>
        <x:v>69.76574</x:v>
      </x:c>
      <x:c r="P185" s="73" t="n">
        <x:f aca="0">KOHC!D27</x:f>
        <x:v>69.76574</x:v>
      </x:c>
      <x:c r="Q185" s="70" t="str">
        <x:f aca="0">IF(ABS(O185-P185)&lt;0.000001,"PASS","FAIL")</x:f>
        <x:v>PASS</x:v>
      </x:c>
      <x:c r="R185" s="70" t="s">
        <x:v>27</x:v>
      </x:c>
      <x:c r="S185" s="70" t="s">
        <x:v>839</x:v>
      </x:c>
    </x:row>
    <x:row r="186" ht="15" hidden="0">
      <x:c r="A186" s="70" t="s">
        <x:v>898</x:v>
      </x:c>
      <x:c r="B186" s="70" t="s">
        <x:v>24</x:v>
      </x:c>
      <x:c r="C186" s="70" t="s">
        <x:v>102</x:v>
      </x:c>
      <x:c r="D186" s="70" t="s">
        <x:v>124</x:v>
      </x:c>
      <x:c r="E186" s="70" t="s">
        <x:v>763</x:v>
      </x:c>
      <x:c r="F186" s="70" t="s">
        <x:v>897</x:v>
      </x:c>
      <x:c r="G186" s="70" t="s">
        <x:v>841</x:v>
      </x:c>
      <x:c r="H186" s="70" t="s">
        <x:v>842</x:v>
      </x:c>
      <x:c r="I186" s="70" t="s">
        <x:v>833</x:v>
      </x:c>
      <x:c r="J186" s="70" t="n">
        <x:v>53</x:v>
      </x:c>
      <x:c r="K186" s="70" t="s">
        <x:v>834</x:v>
      </x:c>
      <x:c r="L186" s="70" t="s">
        <x:v>880</x:v>
      </x:c>
      <x:c r="M186" s="70" t="s">
        <x:v>28</x:v>
      </x:c>
      <x:c r="N186" s="71" t="n">
        <x:v>106583469</x:v>
      </x:c>
      <x:c r="O186" s="72" t="n">
        <x:f aca="0">N186/1000000</x:f>
        <x:v>106.583469</x:v>
      </x:c>
      <x:c r="P186" s="73" t="n">
        <x:f aca="0">KOHC!E27</x:f>
        <x:v>106.583469</x:v>
      </x:c>
      <x:c r="Q186" s="70" t="str">
        <x:f aca="0">IF(ABS(O186-P186)&lt;0.000001,"PASS","FAIL")</x:f>
        <x:v>PASS</x:v>
      </x:c>
      <x:c r="R186" s="70" t="s">
        <x:v>27</x:v>
      </x:c>
      <x:c r="S186" s="70"/>
    </x:row>
    <x:row r="187" ht="15" hidden="0">
      <x:c r="A187" s="70" t="s">
        <x:v>899</x:v>
      </x:c>
      <x:c r="B187" s="70" t="s">
        <x:v>24</x:v>
      </x:c>
      <x:c r="C187" s="70" t="s">
        <x:v>103</x:v>
      </x:c>
      <x:c r="D187" s="70" t="s">
        <x:v>124</x:v>
      </x:c>
      <x:c r="E187" s="70" t="s">
        <x:v>763</x:v>
      </x:c>
      <x:c r="F187" s="70" t="s">
        <x:v>897</x:v>
      </x:c>
      <x:c r="G187" s="70" t="s">
        <x:v>844</x:v>
      </x:c>
      <x:c r="H187" s="70" t="s">
        <x:v>845</x:v>
      </x:c>
      <x:c r="I187" s="70" t="s">
        <x:v>833</x:v>
      </x:c>
      <x:c r="J187" s="70" t="n">
        <x:v>59</x:v>
      </x:c>
      <x:c r="K187" s="70" t="s">
        <x:v>834</x:v>
      </x:c>
      <x:c r="L187" s="70" t="s">
        <x:v>886</x:v>
      </x:c>
      <x:c r="M187" s="70" t="s">
        <x:v>28</x:v>
      </x:c>
      <x:c r="N187" s="71" t="n">
        <x:v>60785981</x:v>
      </x:c>
      <x:c r="O187" s="72" t="n">
        <x:f aca="0">N187/1000000</x:f>
        <x:v>60.785981</x:v>
      </x:c>
      <x:c r="P187" s="73" t="n">
        <x:f aca="0">KOHC!F27</x:f>
        <x:v>60.785981</x:v>
      </x:c>
      <x:c r="Q187" s="70" t="str">
        <x:f aca="0">IF(ABS(O187-P187)&lt;0.000001,"PASS","FAIL")</x:f>
        <x:v>PASS</x:v>
      </x:c>
      <x:c r="R187" s="70" t="s">
        <x:v>27</x:v>
      </x:c>
      <x:c r="S187" s="70"/>
    </x:row>
    <x:row r="188" ht="15" hidden="0">
      <x:c r="A188" s="70" t="s">
        <x:v>900</x:v>
      </x:c>
      <x:c r="B188" s="70" t="s">
        <x:v>24</x:v>
      </x:c>
      <x:c r="C188" s="70" t="s">
        <x:v>104</x:v>
      </x:c>
      <x:c r="D188" s="70" t="s">
        <x:v>124</x:v>
      </x:c>
      <x:c r="E188" s="70" t="s">
        <x:v>763</x:v>
      </x:c>
      <x:c r="F188" s="70" t="s">
        <x:v>897</x:v>
      </x:c>
      <x:c r="G188" s="70" t="s">
        <x:v>848</x:v>
      </x:c>
      <x:c r="H188" s="70" t="s">
        <x:v>849</x:v>
      </x:c>
      <x:c r="I188" s="70" t="s">
        <x:v>833</x:v>
      </x:c>
      <x:c r="J188" s="70" t="n">
        <x:v>69</x:v>
      </x:c>
      <x:c r="K188" s="70" t="s">
        <x:v>834</x:v>
      </x:c>
      <x:c r="L188" s="70" t="s">
        <x:v>873</x:v>
      </x:c>
      <x:c r="M188" s="70" t="s">
        <x:v>28</x:v>
      </x:c>
      <x:c r="N188" s="71" t="n">
        <x:v>147388106</x:v>
      </x:c>
      <x:c r="O188" s="72" t="n">
        <x:f aca="0">N188/1000000</x:f>
        <x:v>147.388106</x:v>
      </x:c>
      <x:c r="P188" s="73" t="n">
        <x:f aca="0">KOHC!G27</x:f>
        <x:v>147.388106</x:v>
      </x:c>
      <x:c r="Q188" s="70" t="str">
        <x:f aca="0">IF(ABS(O188-P188)&lt;0.000001,"PASS","FAIL")</x:f>
        <x:v>PASS</x:v>
      </x:c>
      <x:c r="R188" s="70" t="s">
        <x:v>27</x:v>
      </x:c>
      <x:c r="S188" s="70" t="s">
        <x:v>839</x:v>
      </x:c>
    </x:row>
    <x:row r="189" ht="15" hidden="0">
      <x:c r="A189" s="70" t="s">
        <x:v>901</x:v>
      </x:c>
      <x:c r="B189" s="70" t="s">
        <x:v>24</x:v>
      </x:c>
      <x:c r="C189" s="70" t="s">
        <x:v>105</x:v>
      </x:c>
      <x:c r="D189" s="70" t="s">
        <x:v>124</x:v>
      </x:c>
      <x:c r="E189" s="70" t="s">
        <x:v>763</x:v>
      </x:c>
      <x:c r="F189" s="70" t="s">
        <x:v>897</x:v>
      </x:c>
      <x:c r="G189" s="70" t="s">
        <x:v>848</x:v>
      </x:c>
      <x:c r="H189" s="70" t="s">
        <x:v>849</x:v>
      </x:c>
      <x:c r="I189" s="70" t="s">
        <x:v>852</x:v>
      </x:c>
      <x:c r="J189" s="70" t="n">
        <x:v>69</x:v>
      </x:c>
      <x:c r="K189" s="70" t="s">
        <x:v>834</x:v>
      </x:c>
      <x:c r="L189" s="70" t="s">
        <x:v>873</x:v>
      </x:c>
      <x:c r="M189" s="70" t="s">
        <x:v>28</x:v>
      </x:c>
      <x:c r="N189" s="71" t="n">
        <x:v>492917464</x:v>
      </x:c>
      <x:c r="O189" s="72" t="n">
        <x:f aca="0">N189/1000000</x:f>
        <x:v>492.917464</x:v>
      </x:c>
      <x:c r="P189" s="73" t="n">
        <x:f aca="0">KOHC!H27</x:f>
        <x:v>492.917464</x:v>
      </x:c>
      <x:c r="Q189" s="70" t="str">
        <x:f aca="0">IF(ABS(O189-P189)&lt;0.000001,"PASS","FAIL")</x:f>
        <x:v>PASS</x:v>
      </x:c>
      <x:c r="R189" s="70" t="s">
        <x:v>27</x:v>
      </x:c>
      <x:c r="S189" s="70"/>
    </x:row>
    <x:row r="190" ht="15" hidden="0">
      <x:c r="A190" s="70" t="s">
        <x:v>902</x:v>
      </x:c>
      <x:c r="B190" s="70" t="s">
        <x:v>24</x:v>
      </x:c>
      <x:c r="C190" s="70" t="s">
        <x:v>717</x:v>
      </x:c>
      <x:c r="D190" s="70" t="s">
        <x:v>129</x:v>
      </x:c>
      <x:c r="E190" s="70" t="s">
        <x:v>763</x:v>
      </x:c>
      <x:c r="F190" s="70" t="s">
        <x:v>129</x:v>
      </x:c>
      <x:c r="G190" s="70" t="s">
        <x:v>831</x:v>
      </x:c>
      <x:c r="H190" s="70" t="s">
        <x:v>832</x:v>
      </x:c>
      <x:c r="I190" s="70" t="s">
        <x:v>833</x:v>
      </x:c>
      <x:c r="J190" s="70" t="n">
        <x:v>45</x:v>
      </x:c>
      <x:c r="K190" s="70" t="s">
        <x:v>834</x:v>
      </x:c>
      <x:c r="L190" s="70" t="s">
        <x:v>882</x:v>
      </x:c>
      <x:c r="M190" s="70" t="s">
        <x:v>28</x:v>
      </x:c>
      <x:c r="N190" s="71" t="n">
        <x:v>2250156437</x:v>
      </x:c>
      <x:c r="O190" s="72" t="n">
        <x:f aca="0">N190/1000000</x:f>
        <x:v>2250.156437</x:v>
      </x:c>
      <x:c r="P190" s="73" t="n">
        <x:f aca="0">KOHC!C30</x:f>
        <x:v>2250.156437</x:v>
      </x:c>
      <x:c r="Q190" s="70" t="str">
        <x:f aca="0">IF(ABS(O190-P190)&lt;0.000001,"PASS","FAIL")</x:f>
        <x:v>PASS</x:v>
      </x:c>
      <x:c r="R190" s="70" t="s">
        <x:v>27</x:v>
      </x:c>
      <x:c r="S190" s="70"/>
    </x:row>
    <x:row r="191" ht="15" hidden="0">
      <x:c r="A191" s="70" t="s">
        <x:v>903</x:v>
      </x:c>
      <x:c r="B191" s="70" t="s">
        <x:v>24</x:v>
      </x:c>
      <x:c r="C191" s="70" t="s">
        <x:v>101</x:v>
      </x:c>
      <x:c r="D191" s="70" t="s">
        <x:v>129</x:v>
      </x:c>
      <x:c r="E191" s="70" t="s">
        <x:v>763</x:v>
      </x:c>
      <x:c r="F191" s="70" t="s">
        <x:v>129</x:v>
      </x:c>
      <x:c r="G191" s="70" t="s">
        <x:v>837</x:v>
      </x:c>
      <x:c r="H191" s="70" t="s">
        <x:v>838</x:v>
      </x:c>
      <x:c r="I191" s="70" t="s">
        <x:v>833</x:v>
      </x:c>
      <x:c r="J191" s="70" t="n">
        <x:v>53</x:v>
      </x:c>
      <x:c r="K191" s="70" t="s">
        <x:v>834</x:v>
      </x:c>
      <x:c r="L191" s="70" t="s">
        <x:v>904</x:v>
      </x:c>
      <x:c r="M191" s="70" t="s">
        <x:v>28</x:v>
      </x:c>
      <x:c r="N191" s="71" t="n">
        <x:v>3070769101</x:v>
      </x:c>
      <x:c r="O191" s="72" t="n">
        <x:f aca="0">N191/1000000</x:f>
        <x:v>3070.769101</x:v>
      </x:c>
      <x:c r="P191" s="73" t="n">
        <x:f aca="0">KOHC!D30</x:f>
        <x:v>3070.769101</x:v>
      </x:c>
      <x:c r="Q191" s="70" t="str">
        <x:f aca="0">IF(ABS(O191-P191)&lt;0.000001,"PASS","FAIL")</x:f>
        <x:v>PASS</x:v>
      </x:c>
      <x:c r="R191" s="70" t="s">
        <x:v>27</x:v>
      </x:c>
      <x:c r="S191" s="70"/>
    </x:row>
    <x:row r="192" ht="15" hidden="0">
      <x:c r="A192" s="70" t="s">
        <x:v>905</x:v>
      </x:c>
      <x:c r="B192" s="70" t="s">
        <x:v>24</x:v>
      </x:c>
      <x:c r="C192" s="70" t="s">
        <x:v>102</x:v>
      </x:c>
      <x:c r="D192" s="70" t="s">
        <x:v>129</x:v>
      </x:c>
      <x:c r="E192" s="70" t="s">
        <x:v>763</x:v>
      </x:c>
      <x:c r="F192" s="70" t="s">
        <x:v>129</x:v>
      </x:c>
      <x:c r="G192" s="70" t="s">
        <x:v>841</x:v>
      </x:c>
      <x:c r="H192" s="70" t="s">
        <x:v>842</x:v>
      </x:c>
      <x:c r="I192" s="70" t="s">
        <x:v>833</x:v>
      </x:c>
      <x:c r="J192" s="70" t="n">
        <x:v>53</x:v>
      </x:c>
      <x:c r="K192" s="70" t="s">
        <x:v>834</x:v>
      </x:c>
      <x:c r="L192" s="70" t="s">
        <x:v>904</x:v>
      </x:c>
      <x:c r="M192" s="70" t="s">
        <x:v>28</x:v>
      </x:c>
      <x:c r="N192" s="71" t="n">
        <x:v>4214829636</x:v>
      </x:c>
      <x:c r="O192" s="72" t="n">
        <x:f aca="0">N192/1000000</x:f>
        <x:v>4214.829636</x:v>
      </x:c>
      <x:c r="P192" s="73" t="n">
        <x:f aca="0">KOHC!E30</x:f>
        <x:v>4214.829636</x:v>
      </x:c>
      <x:c r="Q192" s="70" t="str">
        <x:f aca="0">IF(ABS(O192-P192)&lt;0.000001,"PASS","FAIL")</x:f>
        <x:v>PASS</x:v>
      </x:c>
      <x:c r="R192" s="70" t="s">
        <x:v>27</x:v>
      </x:c>
      <x:c r="S192" s="70"/>
    </x:row>
    <x:row r="193" ht="15" hidden="0">
      <x:c r="A193" s="70" t="s">
        <x:v>906</x:v>
      </x:c>
      <x:c r="B193" s="70" t="s">
        <x:v>24</x:v>
      </x:c>
      <x:c r="C193" s="70" t="s">
        <x:v>103</x:v>
      </x:c>
      <x:c r="D193" s="70" t="s">
        <x:v>129</x:v>
      </x:c>
      <x:c r="E193" s="70" t="s">
        <x:v>763</x:v>
      </x:c>
      <x:c r="F193" s="70" t="s">
        <x:v>129</x:v>
      </x:c>
      <x:c r="G193" s="70" t="s">
        <x:v>844</x:v>
      </x:c>
      <x:c r="H193" s="70" t="s">
        <x:v>845</x:v>
      </x:c>
      <x:c r="I193" s="70" t="s">
        <x:v>833</x:v>
      </x:c>
      <x:c r="J193" s="70" t="n">
        <x:v>59</x:v>
      </x:c>
      <x:c r="K193" s="70" t="s">
        <x:v>834</x:v>
      </x:c>
      <x:c r="L193" s="70" t="s">
        <x:v>882</x:v>
      </x:c>
      <x:c r="M193" s="70" t="s">
        <x:v>28</x:v>
      </x:c>
      <x:c r="N193" s="71" t="n">
        <x:v>4713129764</x:v>
      </x:c>
      <x:c r="O193" s="72" t="n">
        <x:f aca="0">N193/1000000</x:f>
        <x:v>4713.129764</x:v>
      </x:c>
      <x:c r="P193" s="73" t="n">
        <x:f aca="0">KOHC!F30</x:f>
        <x:v>4713.129764</x:v>
      </x:c>
      <x:c r="Q193" s="70" t="str">
        <x:f aca="0">IF(ABS(O193-P193)&lt;0.000001,"PASS","FAIL")</x:f>
        <x:v>PASS</x:v>
      </x:c>
      <x:c r="R193" s="70" t="s">
        <x:v>27</x:v>
      </x:c>
      <x:c r="S193" s="70"/>
    </x:row>
    <x:row r="194" ht="15" hidden="0">
      <x:c r="A194" s="70" t="s">
        <x:v>907</x:v>
      </x:c>
      <x:c r="B194" s="70" t="s">
        <x:v>24</x:v>
      </x:c>
      <x:c r="C194" s="70" t="s">
        <x:v>104</x:v>
      </x:c>
      <x:c r="D194" s="70" t="s">
        <x:v>129</x:v>
      </x:c>
      <x:c r="E194" s="70" t="s">
        <x:v>763</x:v>
      </x:c>
      <x:c r="F194" s="70" t="s">
        <x:v>129</x:v>
      </x:c>
      <x:c r="G194" s="70" t="s">
        <x:v>848</x:v>
      </x:c>
      <x:c r="H194" s="70" t="s">
        <x:v>849</x:v>
      </x:c>
      <x:c r="I194" s="70" t="s">
        <x:v>833</x:v>
      </x:c>
      <x:c r="J194" s="70" t="n">
        <x:v>69</x:v>
      </x:c>
      <x:c r="K194" s="70" t="s">
        <x:v>834</x:v>
      </x:c>
      <x:c r="L194" s="70" t="s">
        <x:v>880</x:v>
      </x:c>
      <x:c r="M194" s="70" t="s">
        <x:v>28</x:v>
      </x:c>
      <x:c r="N194" s="71" t="n">
        <x:v>5785683486</x:v>
      </x:c>
      <x:c r="O194" s="72" t="n">
        <x:f aca="0">N194/1000000</x:f>
        <x:v>5785.683486</x:v>
      </x:c>
      <x:c r="P194" s="73" t="n">
        <x:f aca="0">KOHC!G30</x:f>
        <x:v>5785.683486</x:v>
      </x:c>
      <x:c r="Q194" s="70" t="str">
        <x:f aca="0">IF(ABS(O194-P194)&lt;0.000001,"PASS","FAIL")</x:f>
        <x:v>PASS</x:v>
      </x:c>
      <x:c r="R194" s="70" t="s">
        <x:v>27</x:v>
      </x:c>
      <x:c r="S194" s="70"/>
    </x:row>
    <x:row r="195" ht="15" hidden="0">
      <x:c r="A195" s="70" t="s">
        <x:v>908</x:v>
      </x:c>
      <x:c r="B195" s="70" t="s">
        <x:v>24</x:v>
      </x:c>
      <x:c r="C195" s="70" t="s">
        <x:v>105</x:v>
      </x:c>
      <x:c r="D195" s="70" t="s">
        <x:v>129</x:v>
      </x:c>
      <x:c r="E195" s="70" t="s">
        <x:v>763</x:v>
      </x:c>
      <x:c r="F195" s="70" t="s">
        <x:v>129</x:v>
      </x:c>
      <x:c r="G195" s="70" t="s">
        <x:v>848</x:v>
      </x:c>
      <x:c r="H195" s="70" t="s">
        <x:v>849</x:v>
      </x:c>
      <x:c r="I195" s="70" t="s">
        <x:v>852</x:v>
      </x:c>
      <x:c r="J195" s="70" t="n">
        <x:v>69</x:v>
      </x:c>
      <x:c r="K195" s="70" t="s">
        <x:v>834</x:v>
      </x:c>
      <x:c r="L195" s="70" t="s">
        <x:v>880</x:v>
      </x:c>
      <x:c r="M195" s="70" t="s">
        <x:v>28</x:v>
      </x:c>
      <x:c r="N195" s="71" t="n">
        <x:v>4991311475</x:v>
      </x:c>
      <x:c r="O195" s="72" t="n">
        <x:f aca="0">N195/1000000</x:f>
        <x:v>4991.311475</x:v>
      </x:c>
      <x:c r="P195" s="73" t="n">
        <x:f aca="0">KOHC!H30</x:f>
        <x:v>4991.311475</x:v>
      </x:c>
      <x:c r="Q195" s="70" t="str">
        <x:f aca="0">IF(ABS(O195-P195)&lt;0.000001,"PASS","FAIL")</x:f>
        <x:v>PASS</x:v>
      </x:c>
      <x:c r="R195" s="70" t="s">
        <x:v>27</x:v>
      </x:c>
      <x:c r="S195" s="70"/>
    </x:row>
    <x:row r="196" ht="15" hidden="0">
      <x:c r="A196" s="70" t="s">
        <x:v>909</x:v>
      </x:c>
      <x:c r="B196" s="70" t="s">
        <x:v>24</x:v>
      </x:c>
      <x:c r="C196" s="70" t="s">
        <x:v>717</x:v>
      </x:c>
      <x:c r="D196" s="70" t="s">
        <x:v>131</x:v>
      </x:c>
      <x:c r="E196" s="70" t="s">
        <x:v>763</x:v>
      </x:c>
      <x:c r="F196" s="70" t="s">
        <x:v>131</x:v>
      </x:c>
      <x:c r="G196" s="70" t="s">
        <x:v>831</x:v>
      </x:c>
      <x:c r="H196" s="70" t="s">
        <x:v>832</x:v>
      </x:c>
      <x:c r="I196" s="70" t="s">
        <x:v>833</x:v>
      </x:c>
      <x:c r="J196" s="70" t="n">
        <x:v>45</x:v>
      </x:c>
      <x:c r="K196" s="70" t="s">
        <x:v>834</x:v>
      </x:c>
      <x:c r="L196" s="70" t="s">
        <x:v>904</x:v>
      </x:c>
      <x:c r="M196" s="70" t="s">
        <x:v>28</x:v>
      </x:c>
      <x:c r="N196" s="71" t="n">
        <x:v>1016024223</x:v>
      </x:c>
      <x:c r="O196" s="72" t="n">
        <x:f aca="0">N196/1000000</x:f>
        <x:v>1016.024223</x:v>
      </x:c>
      <x:c r="P196" s="73" t="n">
        <x:f aca="0">KOHC!C31</x:f>
        <x:v>1016.024223</x:v>
      </x:c>
      <x:c r="Q196" s="70" t="str">
        <x:f aca="0">IF(ABS(O196-P196)&lt;0.000001,"PASS","FAIL")</x:f>
        <x:v>PASS</x:v>
      </x:c>
      <x:c r="R196" s="70" t="s">
        <x:v>27</x:v>
      </x:c>
      <x:c r="S196" s="70"/>
    </x:row>
    <x:row r="197" ht="15" hidden="0">
      <x:c r="A197" s="70" t="s">
        <x:v>910</x:v>
      </x:c>
      <x:c r="B197" s="70" t="s">
        <x:v>24</x:v>
      </x:c>
      <x:c r="C197" s="70" t="s">
        <x:v>101</x:v>
      </x:c>
      <x:c r="D197" s="70" t="s">
        <x:v>131</x:v>
      </x:c>
      <x:c r="E197" s="70" t="s">
        <x:v>763</x:v>
      </x:c>
      <x:c r="F197" s="70" t="s">
        <x:v>131</x:v>
      </x:c>
      <x:c r="G197" s="70" t="s">
        <x:v>837</x:v>
      </x:c>
      <x:c r="H197" s="70" t="s">
        <x:v>838</x:v>
      </x:c>
      <x:c r="I197" s="70" t="s">
        <x:v>833</x:v>
      </x:c>
      <x:c r="J197" s="70" t="n">
        <x:v>53</x:v>
      </x:c>
      <x:c r="K197" s="70" t="s">
        <x:v>834</x:v>
      </x:c>
      <x:c r="L197" s="70" t="s">
        <x:v>911</x:v>
      </x:c>
      <x:c r="M197" s="70" t="s">
        <x:v>28</x:v>
      </x:c>
      <x:c r="N197" s="71" t="n">
        <x:v>1112776266</x:v>
      </x:c>
      <x:c r="O197" s="72" t="n">
        <x:f aca="0">N197/1000000</x:f>
        <x:v>1112.776266</x:v>
      </x:c>
      <x:c r="P197" s="73" t="n">
        <x:f aca="0">KOHC!D31</x:f>
        <x:v>1112.776266</x:v>
      </x:c>
      <x:c r="Q197" s="70" t="str">
        <x:f aca="0">IF(ABS(O197-P197)&lt;0.000001,"PASS","FAIL")</x:f>
        <x:v>PASS</x:v>
      </x:c>
      <x:c r="R197" s="70" t="s">
        <x:v>27</x:v>
      </x:c>
      <x:c r="S197" s="70"/>
    </x:row>
    <x:row r="198" ht="15" hidden="0">
      <x:c r="A198" s="70" t="s">
        <x:v>912</x:v>
      </x:c>
      <x:c r="B198" s="70" t="s">
        <x:v>24</x:v>
      </x:c>
      <x:c r="C198" s="70" t="s">
        <x:v>102</x:v>
      </x:c>
      <x:c r="D198" s="70" t="s">
        <x:v>131</x:v>
      </x:c>
      <x:c r="E198" s="70" t="s">
        <x:v>763</x:v>
      </x:c>
      <x:c r="F198" s="70" t="s">
        <x:v>131</x:v>
      </x:c>
      <x:c r="G198" s="70" t="s">
        <x:v>841</x:v>
      </x:c>
      <x:c r="H198" s="70" t="s">
        <x:v>842</x:v>
      </x:c>
      <x:c r="I198" s="70" t="s">
        <x:v>833</x:v>
      </x:c>
      <x:c r="J198" s="70" t="n">
        <x:v>53</x:v>
      </x:c>
      <x:c r="K198" s="70" t="s">
        <x:v>834</x:v>
      </x:c>
      <x:c r="L198" s="70" t="s">
        <x:v>911</x:v>
      </x:c>
      <x:c r="M198" s="70" t="s">
        <x:v>28</x:v>
      </x:c>
      <x:c r="N198" s="71" t="n">
        <x:v>1456156782</x:v>
      </x:c>
      <x:c r="O198" s="72" t="n">
        <x:f aca="0">N198/1000000</x:f>
        <x:v>1456.156782</x:v>
      </x:c>
      <x:c r="P198" s="73" t="n">
        <x:f aca="0">KOHC!E31</x:f>
        <x:v>1456.156782</x:v>
      </x:c>
      <x:c r="Q198" s="70" t="str">
        <x:f aca="0">IF(ABS(O198-P198)&lt;0.000001,"PASS","FAIL")</x:f>
        <x:v>PASS</x:v>
      </x:c>
      <x:c r="R198" s="70" t="s">
        <x:v>27</x:v>
      </x:c>
      <x:c r="S198" s="70"/>
    </x:row>
    <x:row r="199" ht="15" hidden="0">
      <x:c r="A199" s="70" t="s">
        <x:v>913</x:v>
      </x:c>
      <x:c r="B199" s="70" t="s">
        <x:v>24</x:v>
      </x:c>
      <x:c r="C199" s="70" t="s">
        <x:v>103</x:v>
      </x:c>
      <x:c r="D199" s="70" t="s">
        <x:v>131</x:v>
      </x:c>
      <x:c r="E199" s="70" t="s">
        <x:v>763</x:v>
      </x:c>
      <x:c r="F199" s="70" t="s">
        <x:v>131</x:v>
      </x:c>
      <x:c r="G199" s="70" t="s">
        <x:v>844</x:v>
      </x:c>
      <x:c r="H199" s="70" t="s">
        <x:v>845</x:v>
      </x:c>
      <x:c r="I199" s="70" t="s">
        <x:v>833</x:v>
      </x:c>
      <x:c r="J199" s="70" t="n">
        <x:v>59</x:v>
      </x:c>
      <x:c r="K199" s="70" t="s">
        <x:v>834</x:v>
      </x:c>
      <x:c r="L199" s="70" t="s">
        <x:v>904</x:v>
      </x:c>
      <x:c r="M199" s="70" t="s">
        <x:v>28</x:v>
      </x:c>
      <x:c r="N199" s="71" t="n">
        <x:v>2942861554</x:v>
      </x:c>
      <x:c r="O199" s="72" t="n">
        <x:f aca="0">N199/1000000</x:f>
        <x:v>2942.861554</x:v>
      </x:c>
      <x:c r="P199" s="73" t="n">
        <x:f aca="0">KOHC!F31</x:f>
        <x:v>2942.861554</x:v>
      </x:c>
      <x:c r="Q199" s="70" t="str">
        <x:f aca="0">IF(ABS(O199-P199)&lt;0.000001,"PASS","FAIL")</x:f>
        <x:v>PASS</x:v>
      </x:c>
      <x:c r="R199" s="70" t="s">
        <x:v>27</x:v>
      </x:c>
      <x:c r="S199" s="70"/>
    </x:row>
    <x:row r="200" ht="15" hidden="0">
      <x:c r="A200" s="70" t="s">
        <x:v>914</x:v>
      </x:c>
      <x:c r="B200" s="70" t="s">
        <x:v>24</x:v>
      </x:c>
      <x:c r="C200" s="70" t="s">
        <x:v>104</x:v>
      </x:c>
      <x:c r="D200" s="70" t="s">
        <x:v>131</x:v>
      </x:c>
      <x:c r="E200" s="70" t="s">
        <x:v>763</x:v>
      </x:c>
      <x:c r="F200" s="70" t="s">
        <x:v>131</x:v>
      </x:c>
      <x:c r="G200" s="70" t="s">
        <x:v>848</x:v>
      </x:c>
      <x:c r="H200" s="70" t="s">
        <x:v>849</x:v>
      </x:c>
      <x:c r="I200" s="70" t="s">
        <x:v>833</x:v>
      </x:c>
      <x:c r="J200" s="70" t="n">
        <x:v>69</x:v>
      </x:c>
      <x:c r="K200" s="70" t="s">
        <x:v>834</x:v>
      </x:c>
      <x:c r="L200" s="70" t="s">
        <x:v>882</x:v>
      </x:c>
      <x:c r="M200" s="70" t="s">
        <x:v>28</x:v>
      </x:c>
      <x:c r="N200" s="71" t="n">
        <x:v>1793742440</x:v>
      </x:c>
      <x:c r="O200" s="72" t="n">
        <x:f aca="0">N200/1000000</x:f>
        <x:v>1793.74244</x:v>
      </x:c>
      <x:c r="P200" s="73" t="n">
        <x:f aca="0">KOHC!G31</x:f>
        <x:v>1793.74244</x:v>
      </x:c>
      <x:c r="Q200" s="70" t="str">
        <x:f aca="0">IF(ABS(O200-P200)&lt;0.000001,"PASS","FAIL")</x:f>
        <x:v>PASS</x:v>
      </x:c>
      <x:c r="R200" s="70" t="s">
        <x:v>27</x:v>
      </x:c>
      <x:c r="S200" s="70"/>
    </x:row>
    <x:row r="201" ht="15" hidden="0">
      <x:c r="A201" s="70" t="s">
        <x:v>915</x:v>
      </x:c>
      <x:c r="B201" s="70" t="s">
        <x:v>24</x:v>
      </x:c>
      <x:c r="C201" s="70" t="s">
        <x:v>105</x:v>
      </x:c>
      <x:c r="D201" s="70" t="s">
        <x:v>131</x:v>
      </x:c>
      <x:c r="E201" s="70" t="s">
        <x:v>763</x:v>
      </x:c>
      <x:c r="F201" s="70" t="s">
        <x:v>131</x:v>
      </x:c>
      <x:c r="G201" s="70" t="s">
        <x:v>848</x:v>
      </x:c>
      <x:c r="H201" s="70" t="s">
        <x:v>849</x:v>
      </x:c>
      <x:c r="I201" s="70" t="s">
        <x:v>852</x:v>
      </x:c>
      <x:c r="J201" s="70" t="n">
        <x:v>69</x:v>
      </x:c>
      <x:c r="K201" s="70" t="s">
        <x:v>834</x:v>
      </x:c>
      <x:c r="L201" s="70" t="s">
        <x:v>882</x:v>
      </x:c>
      <x:c r="M201" s="70" t="s">
        <x:v>28</x:v>
      </x:c>
      <x:c r="N201" s="71" t="n">
        <x:v>2513556552</x:v>
      </x:c>
      <x:c r="O201" s="72" t="n">
        <x:f aca="0">N201/1000000</x:f>
        <x:v>2513.556552</x:v>
      </x:c>
      <x:c r="P201" s="73" t="n">
        <x:f aca="0">KOHC!H31</x:f>
        <x:v>2513.556552</x:v>
      </x:c>
      <x:c r="Q201" s="70" t="str">
        <x:f aca="0">IF(ABS(O201-P201)&lt;0.000001,"PASS","FAIL")</x:f>
        <x:v>PASS</x:v>
      </x:c>
      <x:c r="R201" s="70" t="s">
        <x:v>27</x:v>
      </x:c>
      <x:c r="S201" s="70"/>
    </x:row>
    <x:row r="202" ht="15" hidden="0">
      <x:c r="A202" s="70" t="s">
        <x:v>916</x:v>
      </x:c>
      <x:c r="B202" s="70" t="s">
        <x:v>24</x:v>
      </x:c>
      <x:c r="C202" s="70" t="s">
        <x:v>717</x:v>
      </x:c>
      <x:c r="D202" s="70" t="s">
        <x:v>133</x:v>
      </x:c>
      <x:c r="E202" s="70" t="s">
        <x:v>763</x:v>
      </x:c>
      <x:c r="F202" s="70" t="s">
        <x:v>917</x:v>
      </x:c>
      <x:c r="G202" s="70" t="s">
        <x:v>831</x:v>
      </x:c>
      <x:c r="H202" s="70" t="s">
        <x:v>832</x:v>
      </x:c>
      <x:c r="I202" s="70" t="s">
        <x:v>833</x:v>
      </x:c>
      <x:c r="J202" s="70" t="n">
        <x:v>45</x:v>
      </x:c>
      <x:c r="K202" s="70" t="s">
        <x:v>834</x:v>
      </x:c>
      <x:c r="L202" s="70" t="s">
        <x:v>911</x:v>
      </x:c>
      <x:c r="M202" s="70" t="s">
        <x:v>28</x:v>
      </x:c>
      <x:c r="N202" s="71" t="n">
        <x:v>494315206</x:v>
      </x:c>
      <x:c r="O202" s="72" t="n">
        <x:f aca="0">N202/1000000</x:f>
        <x:v>494.315206</x:v>
      </x:c>
      <x:c r="P202" s="73" t="n">
        <x:f aca="0">KOHC!C32</x:f>
        <x:v>494.315206</x:v>
      </x:c>
      <x:c r="Q202" s="70" t="str">
        <x:f aca="0">IF(ABS(O202-P202)&lt;0.000001,"PASS","FAIL")</x:f>
        <x:v>PASS</x:v>
      </x:c>
      <x:c r="R202" s="70" t="s">
        <x:v>27</x:v>
      </x:c>
      <x:c r="S202" s="70"/>
    </x:row>
    <x:row r="203" ht="15" hidden="0">
      <x:c r="A203" s="70" t="s">
        <x:v>918</x:v>
      </x:c>
      <x:c r="B203" s="70" t="s">
        <x:v>24</x:v>
      </x:c>
      <x:c r="C203" s="70" t="s">
        <x:v>101</x:v>
      </x:c>
      <x:c r="D203" s="70" t="s">
        <x:v>133</x:v>
      </x:c>
      <x:c r="E203" s="70" t="s">
        <x:v>763</x:v>
      </x:c>
      <x:c r="F203" s="70" t="s">
        <x:v>917</x:v>
      </x:c>
      <x:c r="G203" s="70" t="s">
        <x:v>837</x:v>
      </x:c>
      <x:c r="H203" s="70" t="s">
        <x:v>838</x:v>
      </x:c>
      <x:c r="I203" s="70" t="s">
        <x:v>833</x:v>
      </x:c>
      <x:c r="J203" s="70" t="n">
        <x:v>53</x:v>
      </x:c>
      <x:c r="K203" s="70" t="s">
        <x:v>834</x:v>
      </x:c>
      <x:c r="L203" s="70" t="s">
        <x:v>919</x:v>
      </x:c>
      <x:c r="M203" s="70" t="s">
        <x:v>28</x:v>
      </x:c>
      <x:c r="N203" s="71" t="n">
        <x:v>983568223</x:v>
      </x:c>
      <x:c r="O203" s="72" t="n">
        <x:f aca="0">N203/1000000</x:f>
        <x:v>983.568223</x:v>
      </x:c>
      <x:c r="P203" s="73" t="n">
        <x:f aca="0">KOHC!D32</x:f>
        <x:v>983.568223</x:v>
      </x:c>
      <x:c r="Q203" s="70" t="str">
        <x:f aca="0">IF(ABS(O203-P203)&lt;0.000001,"PASS","FAIL")</x:f>
        <x:v>PASS</x:v>
      </x:c>
      <x:c r="R203" s="70" t="s">
        <x:v>27</x:v>
      </x:c>
      <x:c r="S203" s="70"/>
    </x:row>
    <x:row r="204" ht="15" hidden="0">
      <x:c r="A204" s="70" t="s">
        <x:v>920</x:v>
      </x:c>
      <x:c r="B204" s="70" t="s">
        <x:v>24</x:v>
      </x:c>
      <x:c r="C204" s="70" t="s">
        <x:v>102</x:v>
      </x:c>
      <x:c r="D204" s="70" t="s">
        <x:v>133</x:v>
      </x:c>
      <x:c r="E204" s="70" t="s">
        <x:v>763</x:v>
      </x:c>
      <x:c r="F204" s="70" t="s">
        <x:v>917</x:v>
      </x:c>
      <x:c r="G204" s="70" t="s">
        <x:v>841</x:v>
      </x:c>
      <x:c r="H204" s="70" t="s">
        <x:v>842</x:v>
      </x:c>
      <x:c r="I204" s="70" t="s">
        <x:v>833</x:v>
      </x:c>
      <x:c r="J204" s="70" t="n">
        <x:v>53</x:v>
      </x:c>
      <x:c r="K204" s="70" t="s">
        <x:v>834</x:v>
      </x:c>
      <x:c r="L204" s="70" t="s">
        <x:v>919</x:v>
      </x:c>
      <x:c r="M204" s="70" t="s">
        <x:v>28</x:v>
      </x:c>
      <x:c r="N204" s="71" t="n">
        <x:v>916039469</x:v>
      </x:c>
      <x:c r="O204" s="72" t="n">
        <x:f aca="0">N204/1000000</x:f>
        <x:v>916.039469</x:v>
      </x:c>
      <x:c r="P204" s="73" t="n">
        <x:f aca="0">KOHC!E32</x:f>
        <x:v>916.039469</x:v>
      </x:c>
      <x:c r="Q204" s="70" t="str">
        <x:f aca="0">IF(ABS(O204-P204)&lt;0.000001,"PASS","FAIL")</x:f>
        <x:v>PASS</x:v>
      </x:c>
      <x:c r="R204" s="70" t="s">
        <x:v>27</x:v>
      </x:c>
      <x:c r="S204" s="70"/>
    </x:row>
    <x:row r="205" ht="15" hidden="0">
      <x:c r="A205" s="70" t="s">
        <x:v>921</x:v>
      </x:c>
      <x:c r="B205" s="70" t="s">
        <x:v>24</x:v>
      </x:c>
      <x:c r="C205" s="70" t="s">
        <x:v>103</x:v>
      </x:c>
      <x:c r="D205" s="70" t="s">
        <x:v>133</x:v>
      </x:c>
      <x:c r="E205" s="70" t="s">
        <x:v>763</x:v>
      </x:c>
      <x:c r="F205" s="70" t="s">
        <x:v>917</x:v>
      </x:c>
      <x:c r="G205" s="70" t="s">
        <x:v>844</x:v>
      </x:c>
      <x:c r="H205" s="70" t="s">
        <x:v>845</x:v>
      </x:c>
      <x:c r="I205" s="70" t="s">
        <x:v>833</x:v>
      </x:c>
      <x:c r="J205" s="70" t="n">
        <x:v>59</x:v>
      </x:c>
      <x:c r="K205" s="70" t="s">
        <x:v>834</x:v>
      </x:c>
      <x:c r="L205" s="70" t="s">
        <x:v>911</x:v>
      </x:c>
      <x:c r="M205" s="70" t="s">
        <x:v>28</x:v>
      </x:c>
      <x:c r="N205" s="71" t="n">
        <x:v>1205553375</x:v>
      </x:c>
      <x:c r="O205" s="72" t="n">
        <x:f aca="0">N205/1000000</x:f>
        <x:v>1205.553375</x:v>
      </x:c>
      <x:c r="P205" s="73" t="n">
        <x:f aca="0">KOHC!F32</x:f>
        <x:v>1205.553375</x:v>
      </x:c>
      <x:c r="Q205" s="70" t="str">
        <x:f aca="0">IF(ABS(O205-P205)&lt;0.000001,"PASS","FAIL")</x:f>
        <x:v>PASS</x:v>
      </x:c>
      <x:c r="R205" s="70" t="s">
        <x:v>27</x:v>
      </x:c>
      <x:c r="S205" s="70"/>
    </x:row>
    <x:row r="206" ht="15" hidden="0">
      <x:c r="A206" s="70" t="s">
        <x:v>922</x:v>
      </x:c>
      <x:c r="B206" s="70" t="s">
        <x:v>24</x:v>
      </x:c>
      <x:c r="C206" s="70" t="s">
        <x:v>104</x:v>
      </x:c>
      <x:c r="D206" s="70" t="s">
        <x:v>133</x:v>
      </x:c>
      <x:c r="E206" s="70" t="s">
        <x:v>763</x:v>
      </x:c>
      <x:c r="F206" s="70" t="s">
        <x:v>917</x:v>
      </x:c>
      <x:c r="G206" s="70" t="s">
        <x:v>848</x:v>
      </x:c>
      <x:c r="H206" s="70" t="s">
        <x:v>849</x:v>
      </x:c>
      <x:c r="I206" s="70" t="s">
        <x:v>833</x:v>
      </x:c>
      <x:c r="J206" s="70" t="n">
        <x:v>69</x:v>
      </x:c>
      <x:c r="K206" s="70" t="s">
        <x:v>834</x:v>
      </x:c>
      <x:c r="L206" s="70" t="s">
        <x:v>904</x:v>
      </x:c>
      <x:c r="M206" s="70" t="s">
        <x:v>28</x:v>
      </x:c>
      <x:c r="N206" s="71" t="n">
        <x:v>2110247902</x:v>
      </x:c>
      <x:c r="O206" s="72" t="n">
        <x:f aca="0">N206/1000000</x:f>
        <x:v>2110.247902</x:v>
      </x:c>
      <x:c r="P206" s="73" t="n">
        <x:f aca="0">KOHC!G32</x:f>
        <x:v>2110.247902</x:v>
      </x:c>
      <x:c r="Q206" s="70" t="str">
        <x:f aca="0">IF(ABS(O206-P206)&lt;0.000001,"PASS","FAIL")</x:f>
        <x:v>PASS</x:v>
      </x:c>
      <x:c r="R206" s="70" t="s">
        <x:v>27</x:v>
      </x:c>
      <x:c r="S206" s="70"/>
    </x:row>
    <x:row r="207" ht="15" hidden="0">
      <x:c r="A207" s="70" t="s">
        <x:v>923</x:v>
      </x:c>
      <x:c r="B207" s="70" t="s">
        <x:v>24</x:v>
      </x:c>
      <x:c r="C207" s="70" t="s">
        <x:v>105</x:v>
      </x:c>
      <x:c r="D207" s="70" t="s">
        <x:v>133</x:v>
      </x:c>
      <x:c r="E207" s="70" t="s">
        <x:v>763</x:v>
      </x:c>
      <x:c r="F207" s="70" t="s">
        <x:v>917</x:v>
      </x:c>
      <x:c r="G207" s="70" t="s">
        <x:v>848</x:v>
      </x:c>
      <x:c r="H207" s="70" t="s">
        <x:v>849</x:v>
      </x:c>
      <x:c r="I207" s="70" t="s">
        <x:v>852</x:v>
      </x:c>
      <x:c r="J207" s="70" t="n">
        <x:v>69</x:v>
      </x:c>
      <x:c r="K207" s="70" t="s">
        <x:v>834</x:v>
      </x:c>
      <x:c r="L207" s="70" t="s">
        <x:v>904</x:v>
      </x:c>
      <x:c r="M207" s="70" t="s">
        <x:v>28</x:v>
      </x:c>
      <x:c r="N207" s="71" t="n">
        <x:v>1692217832</x:v>
      </x:c>
      <x:c r="O207" s="72" t="n">
        <x:f aca="0">N207/1000000</x:f>
        <x:v>1692.217832</x:v>
      </x:c>
      <x:c r="P207" s="73" t="n">
        <x:f aca="0">KOHC!H32</x:f>
        <x:v>1692.217832</x:v>
      </x:c>
      <x:c r="Q207" s="70" t="str">
        <x:f aca="0">IF(ABS(O207-P207)&lt;0.000001,"PASS","FAIL")</x:f>
        <x:v>PASS</x:v>
      </x:c>
      <x:c r="R207" s="70" t="s">
        <x:v>27</x:v>
      </x:c>
      <x:c r="S207" s="70"/>
    </x:row>
    <x:row r="208" ht="15" hidden="0">
      <x:c r="A208" s="70" t="s">
        <x:v>924</x:v>
      </x:c>
      <x:c r="B208" s="70" t="s">
        <x:v>24</x:v>
      </x:c>
      <x:c r="C208" s="70" t="s">
        <x:v>717</x:v>
      </x:c>
      <x:c r="D208" s="70" t="s">
        <x:v>135</x:v>
      </x:c>
      <x:c r="E208" s="70" t="s">
        <x:v>763</x:v>
      </x:c>
      <x:c r="F208" s="70" t="s">
        <x:v>925</x:v>
      </x:c>
      <x:c r="G208" s="70" t="s">
        <x:v>831</x:v>
      </x:c>
      <x:c r="H208" s="70" t="s">
        <x:v>832</x:v>
      </x:c>
      <x:c r="I208" s="70" t="s">
        <x:v>833</x:v>
      </x:c>
      <x:c r="J208" s="70" t="n">
        <x:v>45</x:v>
      </x:c>
      <x:c r="K208" s="70" t="s">
        <x:v>834</x:v>
      </x:c>
      <x:c r="L208" s="70" t="s">
        <x:v>919</x:v>
      </x:c>
      <x:c r="M208" s="70" t="s">
        <x:v>28</x:v>
      </x:c>
      <x:c r="N208" s="71" t="n">
        <x:v>160130600</x:v>
      </x:c>
      <x:c r="O208" s="72" t="n">
        <x:f aca="0">N208/1000000</x:f>
        <x:v>160.1306</x:v>
      </x:c>
      <x:c r="P208" s="73" t="n">
        <x:f aca="0">KOHC!C33</x:f>
        <x:v>160.1306</x:v>
      </x:c>
      <x:c r="Q208" s="70" t="str">
        <x:f aca="0">IF(ABS(O208-P208)&lt;0.000001,"PASS","FAIL")</x:f>
        <x:v>PASS</x:v>
      </x:c>
      <x:c r="R208" s="70" t="s">
        <x:v>27</x:v>
      </x:c>
      <x:c r="S208" s="70"/>
    </x:row>
    <x:row r="209" ht="15" hidden="0">
      <x:c r="A209" s="70" t="s">
        <x:v>926</x:v>
      </x:c>
      <x:c r="B209" s="70" t="s">
        <x:v>24</x:v>
      </x:c>
      <x:c r="C209" s="70" t="s">
        <x:v>101</x:v>
      </x:c>
      <x:c r="D209" s="70" t="s">
        <x:v>135</x:v>
      </x:c>
      <x:c r="E209" s="70" t="s">
        <x:v>763</x:v>
      </x:c>
      <x:c r="F209" s="70" t="s">
        <x:v>925</x:v>
      </x:c>
      <x:c r="G209" s="70" t="s">
        <x:v>837</x:v>
      </x:c>
      <x:c r="H209" s="70" t="s">
        <x:v>838</x:v>
      </x:c>
      <x:c r="I209" s="70" t="s">
        <x:v>833</x:v>
      </x:c>
      <x:c r="J209" s="70" t="n">
        <x:v>53</x:v>
      </x:c>
      <x:c r="K209" s="70" t="s">
        <x:v>834</x:v>
      </x:c>
      <x:c r="L209" s="70" t="s">
        <x:v>927</x:v>
      </x:c>
      <x:c r="M209" s="70" t="s">
        <x:v>28</x:v>
      </x:c>
      <x:c r="N209" s="71" t="n">
        <x:v>2999496423</x:v>
      </x:c>
      <x:c r="O209" s="72" t="n">
        <x:f aca="0">N209/1000000</x:f>
        <x:v>2999.496423</x:v>
      </x:c>
      <x:c r="P209" s="73" t="n">
        <x:f aca="0">KOHC!D33</x:f>
        <x:v>2999.496423</x:v>
      </x:c>
      <x:c r="Q209" s="70" t="str">
        <x:f aca="0">IF(ABS(O209-P209)&lt;0.000001,"PASS","FAIL")</x:f>
        <x:v>PASS</x:v>
      </x:c>
      <x:c r="R209" s="70" t="s">
        <x:v>27</x:v>
      </x:c>
      <x:c r="S209" s="70"/>
    </x:row>
    <x:row r="210" ht="15" hidden="0">
      <x:c r="A210" s="70" t="s">
        <x:v>928</x:v>
      </x:c>
      <x:c r="B210" s="70" t="s">
        <x:v>24</x:v>
      </x:c>
      <x:c r="C210" s="70" t="s">
        <x:v>102</x:v>
      </x:c>
      <x:c r="D210" s="70" t="s">
        <x:v>135</x:v>
      </x:c>
      <x:c r="E210" s="70" t="s">
        <x:v>763</x:v>
      </x:c>
      <x:c r="F210" s="70" t="s">
        <x:v>925</x:v>
      </x:c>
      <x:c r="G210" s="70" t="s">
        <x:v>841</x:v>
      </x:c>
      <x:c r="H210" s="70" t="s">
        <x:v>842</x:v>
      </x:c>
      <x:c r="I210" s="70" t="s">
        <x:v>833</x:v>
      </x:c>
      <x:c r="J210" s="70" t="n">
        <x:v>53</x:v>
      </x:c>
      <x:c r="K210" s="70" t="s">
        <x:v>834</x:v>
      </x:c>
      <x:c r="L210" s="70" t="s">
        <x:v>927</x:v>
      </x:c>
      <x:c r="M210" s="70" t="s">
        <x:v>28</x:v>
      </x:c>
      <x:c r="N210" s="71" t="n">
        <x:v>10124095693</x:v>
      </x:c>
      <x:c r="O210" s="72" t="n">
        <x:f aca="0">N210/1000000</x:f>
        <x:v>10124.095693</x:v>
      </x:c>
      <x:c r="P210" s="73" t="n">
        <x:f aca="0">KOHC!E33</x:f>
        <x:v>10124.095693</x:v>
      </x:c>
      <x:c r="Q210" s="70" t="str">
        <x:f aca="0">IF(ABS(O210-P210)&lt;0.000001,"PASS","FAIL")</x:f>
        <x:v>PASS</x:v>
      </x:c>
      <x:c r="R210" s="70" t="s">
        <x:v>27</x:v>
      </x:c>
      <x:c r="S210" s="70"/>
    </x:row>
    <x:row r="211" ht="15" hidden="0">
      <x:c r="A211" s="70" t="s">
        <x:v>929</x:v>
      </x:c>
      <x:c r="B211" s="70" t="s">
        <x:v>24</x:v>
      </x:c>
      <x:c r="C211" s="70" t="s">
        <x:v>103</x:v>
      </x:c>
      <x:c r="D211" s="70" t="s">
        <x:v>135</x:v>
      </x:c>
      <x:c r="E211" s="70" t="s">
        <x:v>763</x:v>
      </x:c>
      <x:c r="F211" s="70" t="s">
        <x:v>925</x:v>
      </x:c>
      <x:c r="G211" s="70" t="s">
        <x:v>844</x:v>
      </x:c>
      <x:c r="H211" s="70" t="s">
        <x:v>845</x:v>
      </x:c>
      <x:c r="I211" s="70" t="s">
        <x:v>833</x:v>
      </x:c>
      <x:c r="J211" s="70" t="n">
        <x:v>59</x:v>
      </x:c>
      <x:c r="K211" s="70" t="s">
        <x:v>834</x:v>
      </x:c>
      <x:c r="L211" s="70" t="s">
        <x:v>919</x:v>
      </x:c>
      <x:c r="M211" s="70" t="s">
        <x:v>28</x:v>
      </x:c>
      <x:c r="N211" s="71" t="n">
        <x:v>12335073816</x:v>
      </x:c>
      <x:c r="O211" s="72" t="n">
        <x:f aca="0">N211/1000000</x:f>
        <x:v>12335.073816</x:v>
      </x:c>
      <x:c r="P211" s="73" t="n">
        <x:f aca="0">KOHC!F33</x:f>
        <x:v>12335.073816</x:v>
      </x:c>
      <x:c r="Q211" s="70" t="str">
        <x:f aca="0">IF(ABS(O211-P211)&lt;0.000001,"PASS","FAIL")</x:f>
        <x:v>PASS</x:v>
      </x:c>
      <x:c r="R211" s="70" t="s">
        <x:v>27</x:v>
      </x:c>
      <x:c r="S211" s="70"/>
    </x:row>
    <x:row r="212" ht="15" hidden="0">
      <x:c r="A212" s="70" t="s">
        <x:v>930</x:v>
      </x:c>
      <x:c r="B212" s="70" t="s">
        <x:v>24</x:v>
      </x:c>
      <x:c r="C212" s="70" t="s">
        <x:v>104</x:v>
      </x:c>
      <x:c r="D212" s="70" t="s">
        <x:v>135</x:v>
      </x:c>
      <x:c r="E212" s="70" t="s">
        <x:v>763</x:v>
      </x:c>
      <x:c r="F212" s="70" t="s">
        <x:v>925</x:v>
      </x:c>
      <x:c r="G212" s="70" t="s">
        <x:v>848</x:v>
      </x:c>
      <x:c r="H212" s="70" t="s">
        <x:v>849</x:v>
      </x:c>
      <x:c r="I212" s="70" t="s">
        <x:v>833</x:v>
      </x:c>
      <x:c r="J212" s="70" t="n">
        <x:v>69</x:v>
      </x:c>
      <x:c r="K212" s="70" t="s">
        <x:v>834</x:v>
      </x:c>
      <x:c r="L212" s="70" t="s">
        <x:v>911</x:v>
      </x:c>
      <x:c r="M212" s="70" t="s">
        <x:v>28</x:v>
      </x:c>
      <x:c r="N212" s="71" t="n">
        <x:v>20279745954</x:v>
      </x:c>
      <x:c r="O212" s="72" t="n">
        <x:f aca="0">N212/1000000</x:f>
        <x:v>20279.745954</x:v>
      </x:c>
      <x:c r="P212" s="73" t="n">
        <x:f aca="0">KOHC!G33</x:f>
        <x:v>20279.745954</x:v>
      </x:c>
      <x:c r="Q212" s="70" t="str">
        <x:f aca="0">IF(ABS(O212-P212)&lt;0.000001,"PASS","FAIL")</x:f>
        <x:v>PASS</x:v>
      </x:c>
      <x:c r="R212" s="70" t="s">
        <x:v>27</x:v>
      </x:c>
      <x:c r="S212" s="70"/>
    </x:row>
    <x:row r="213" ht="15" hidden="0">
      <x:c r="A213" s="70" t="s">
        <x:v>931</x:v>
      </x:c>
      <x:c r="B213" s="70" t="s">
        <x:v>24</x:v>
      </x:c>
      <x:c r="C213" s="70" t="s">
        <x:v>105</x:v>
      </x:c>
      <x:c r="D213" s="70" t="s">
        <x:v>135</x:v>
      </x:c>
      <x:c r="E213" s="70" t="s">
        <x:v>763</x:v>
      </x:c>
      <x:c r="F213" s="70" t="s">
        <x:v>925</x:v>
      </x:c>
      <x:c r="G213" s="70" t="s">
        <x:v>848</x:v>
      </x:c>
      <x:c r="H213" s="70" t="s">
        <x:v>849</x:v>
      </x:c>
      <x:c r="I213" s="70" t="s">
        <x:v>852</x:v>
      </x:c>
      <x:c r="J213" s="70" t="n">
        <x:v>69</x:v>
      </x:c>
      <x:c r="K213" s="70" t="s">
        <x:v>834</x:v>
      </x:c>
      <x:c r="L213" s="70" t="s">
        <x:v>911</x:v>
      </x:c>
      <x:c r="M213" s="70" t="s">
        <x:v>28</x:v>
      </x:c>
      <x:c r="N213" s="71" t="n">
        <x:v>26941632205</x:v>
      </x:c>
      <x:c r="O213" s="72" t="n">
        <x:f aca="0">N213/1000000</x:f>
        <x:v>26941.632205</x:v>
      </x:c>
      <x:c r="P213" s="73" t="n">
        <x:f aca="0">KOHC!H33</x:f>
        <x:v>26941.632205</x:v>
      </x:c>
      <x:c r="Q213" s="70" t="str">
        <x:f aca="0">IF(ABS(O213-P213)&lt;0.000001,"PASS","FAIL")</x:f>
        <x:v>PASS</x:v>
      </x:c>
      <x:c r="R213" s="70" t="s">
        <x:v>27</x:v>
      </x:c>
      <x:c r="S213" s="70"/>
    </x:row>
    <x:row r="214" ht="15" hidden="0">
      <x:c r="A214" s="70" t="s">
        <x:v>932</x:v>
      </x:c>
      <x:c r="B214" s="70" t="s">
        <x:v>24</x:v>
      </x:c>
      <x:c r="C214" s="70" t="s">
        <x:v>717</x:v>
      </x:c>
      <x:c r="D214" s="70" t="s">
        <x:v>137</x:v>
      </x:c>
      <x:c r="E214" s="70" t="s">
        <x:v>763</x:v>
      </x:c>
      <x:c r="F214" s="70" t="s">
        <x:v>137</x:v>
      </x:c>
      <x:c r="G214" s="70" t="s">
        <x:v>831</x:v>
      </x:c>
      <x:c r="H214" s="70" t="s">
        <x:v>832</x:v>
      </x:c>
      <x:c r="I214" s="70" t="s">
        <x:v>833</x:v>
      </x:c>
      <x:c r="J214" s="70" t="n">
        <x:v>45</x:v>
      </x:c>
      <x:c r="K214" s="70" t="s">
        <x:v>834</x:v>
      </x:c>
      <x:c r="L214" s="70" t="s">
        <x:v>933</x:v>
      </x:c>
      <x:c r="M214" s="70" t="s">
        <x:v>28</x:v>
      </x:c>
      <x:c r="N214" s="71" t="n">
        <x:v>891606087</x:v>
      </x:c>
      <x:c r="O214" s="72" t="n">
        <x:f aca="0">N214/1000000</x:f>
        <x:v>891.606087</x:v>
      </x:c>
      <x:c r="P214" s="73" t="n">
        <x:f aca="0">KOHC!C34</x:f>
        <x:v>891.606087</x:v>
      </x:c>
      <x:c r="Q214" s="70" t="str">
        <x:f aca="0">IF(ABS(O214-P214)&lt;0.000001,"PASS","FAIL")</x:f>
        <x:v>PASS</x:v>
      </x:c>
      <x:c r="R214" s="70" t="s">
        <x:v>27</x:v>
      </x:c>
      <x:c r="S214" s="70"/>
    </x:row>
    <x:row r="215" ht="15" hidden="0">
      <x:c r="A215" s="70" t="s">
        <x:v>934</x:v>
      </x:c>
      <x:c r="B215" s="70" t="s">
        <x:v>24</x:v>
      </x:c>
      <x:c r="C215" s="70" t="s">
        <x:v>101</x:v>
      </x:c>
      <x:c r="D215" s="70" t="s">
        <x:v>137</x:v>
      </x:c>
      <x:c r="E215" s="70" t="s">
        <x:v>763</x:v>
      </x:c>
      <x:c r="F215" s="70" t="s">
        <x:v>137</x:v>
      </x:c>
      <x:c r="G215" s="70" t="s">
        <x:v>837</x:v>
      </x:c>
      <x:c r="H215" s="70" t="s">
        <x:v>838</x:v>
      </x:c>
      <x:c r="I215" s="70" t="s">
        <x:v>833</x:v>
      </x:c>
      <x:c r="J215" s="70" t="n">
        <x:v>53</x:v>
      </x:c>
      <x:c r="K215" s="70" t="s">
        <x:v>834</x:v>
      </x:c>
      <x:c r="L215" s="70" t="s">
        <x:v>935</x:v>
      </x:c>
      <x:c r="M215" s="70" t="s">
        <x:v>28</x:v>
      </x:c>
      <x:c r="N215" s="71" t="n">
        <x:v>1197729351</x:v>
      </x:c>
      <x:c r="O215" s="72" t="n">
        <x:f aca="0">N215/1000000</x:f>
        <x:v>1197.729351</x:v>
      </x:c>
      <x:c r="P215" s="73" t="n">
        <x:f aca="0">KOHC!D34</x:f>
        <x:v>1197.729351</x:v>
      </x:c>
      <x:c r="Q215" s="70" t="str">
        <x:f aca="0">IF(ABS(O215-P215)&lt;0.000001,"PASS","FAIL")</x:f>
        <x:v>PASS</x:v>
      </x:c>
      <x:c r="R215" s="70" t="s">
        <x:v>27</x:v>
      </x:c>
      <x:c r="S215" s="70"/>
    </x:row>
    <x:row r="216" ht="15" hidden="0">
      <x:c r="A216" s="70" t="s">
        <x:v>936</x:v>
      </x:c>
      <x:c r="B216" s="70" t="s">
        <x:v>24</x:v>
      </x:c>
      <x:c r="C216" s="70" t="s">
        <x:v>102</x:v>
      </x:c>
      <x:c r="D216" s="70" t="s">
        <x:v>137</x:v>
      </x:c>
      <x:c r="E216" s="70" t="s">
        <x:v>763</x:v>
      </x:c>
      <x:c r="F216" s="70" t="s">
        <x:v>137</x:v>
      </x:c>
      <x:c r="G216" s="70" t="s">
        <x:v>841</x:v>
      </x:c>
      <x:c r="H216" s="70" t="s">
        <x:v>842</x:v>
      </x:c>
      <x:c r="I216" s="70" t="s">
        <x:v>833</x:v>
      </x:c>
      <x:c r="J216" s="70" t="n">
        <x:v>53</x:v>
      </x:c>
      <x:c r="K216" s="70" t="s">
        <x:v>834</x:v>
      </x:c>
      <x:c r="L216" s="70" t="s">
        <x:v>935</x:v>
      </x:c>
      <x:c r="M216" s="70" t="s">
        <x:v>28</x:v>
      </x:c>
      <x:c r="N216" s="71" t="n">
        <x:v>480765632</x:v>
      </x:c>
      <x:c r="O216" s="72" t="n">
        <x:f aca="0">N216/1000000</x:f>
        <x:v>480.765632</x:v>
      </x:c>
      <x:c r="P216" s="73" t="n">
        <x:f aca="0">KOHC!E34</x:f>
        <x:v>480.765632</x:v>
      </x:c>
      <x:c r="Q216" s="70" t="str">
        <x:f aca="0">IF(ABS(O216-P216)&lt;0.000001,"PASS","FAIL")</x:f>
        <x:v>PASS</x:v>
      </x:c>
      <x:c r="R216" s="70" t="s">
        <x:v>27</x:v>
      </x:c>
      <x:c r="S216" s="70"/>
    </x:row>
    <x:row r="217" ht="15" hidden="0">
      <x:c r="A217" s="70" t="s">
        <x:v>937</x:v>
      </x:c>
      <x:c r="B217" s="70" t="s">
        <x:v>24</x:v>
      </x:c>
      <x:c r="C217" s="70" t="s">
        <x:v>103</x:v>
      </x:c>
      <x:c r="D217" s="70" t="s">
        <x:v>137</x:v>
      </x:c>
      <x:c r="E217" s="70" t="s">
        <x:v>763</x:v>
      </x:c>
      <x:c r="F217" s="70" t="s">
        <x:v>137</x:v>
      </x:c>
      <x:c r="G217" s="70" t="s">
        <x:v>844</x:v>
      </x:c>
      <x:c r="H217" s="70" t="s">
        <x:v>845</x:v>
      </x:c>
      <x:c r="I217" s="70" t="s">
        <x:v>833</x:v>
      </x:c>
      <x:c r="J217" s="70" t="n">
        <x:v>59</x:v>
      </x:c>
      <x:c r="K217" s="70" t="s">
        <x:v>834</x:v>
      </x:c>
      <x:c r="L217" s="70" t="s">
        <x:v>933</x:v>
      </x:c>
      <x:c r="M217" s="70" t="s">
        <x:v>28</x:v>
      </x:c>
      <x:c r="N217" s="71" t="n">
        <x:v>933537193</x:v>
      </x:c>
      <x:c r="O217" s="72" t="n">
        <x:f aca="0">N217/1000000</x:f>
        <x:v>933.537193</x:v>
      </x:c>
      <x:c r="P217" s="73" t="n">
        <x:f aca="0">KOHC!F34</x:f>
        <x:v>933.537193</x:v>
      </x:c>
      <x:c r="Q217" s="70" t="str">
        <x:f aca="0">IF(ABS(O217-P217)&lt;0.000001,"PASS","FAIL")</x:f>
        <x:v>PASS</x:v>
      </x:c>
      <x:c r="R217" s="70" t="s">
        <x:v>27</x:v>
      </x:c>
      <x:c r="S217" s="70"/>
    </x:row>
    <x:row r="218" ht="15" hidden="0">
      <x:c r="A218" s="70" t="s">
        <x:v>938</x:v>
      </x:c>
      <x:c r="B218" s="70" t="s">
        <x:v>24</x:v>
      </x:c>
      <x:c r="C218" s="70" t="s">
        <x:v>104</x:v>
      </x:c>
      <x:c r="D218" s="70" t="s">
        <x:v>137</x:v>
      </x:c>
      <x:c r="E218" s="70" t="s">
        <x:v>763</x:v>
      </x:c>
      <x:c r="F218" s="70" t="s">
        <x:v>137</x:v>
      </x:c>
      <x:c r="G218" s="70" t="s">
        <x:v>848</x:v>
      </x:c>
      <x:c r="H218" s="70" t="s">
        <x:v>849</x:v>
      </x:c>
      <x:c r="I218" s="70" t="s">
        <x:v>833</x:v>
      </x:c>
      <x:c r="J218" s="70" t="n">
        <x:v>69</x:v>
      </x:c>
      <x:c r="K218" s="70" t="s">
        <x:v>834</x:v>
      </x:c>
      <x:c r="L218" s="70" t="s">
        <x:v>927</x:v>
      </x:c>
      <x:c r="M218" s="70" t="s">
        <x:v>28</x:v>
      </x:c>
      <x:c r="N218" s="71" t="n">
        <x:v>1102649172</x:v>
      </x:c>
      <x:c r="O218" s="72" t="n">
        <x:f aca="0">N218/1000000</x:f>
        <x:v>1102.649172</x:v>
      </x:c>
      <x:c r="P218" s="73" t="n">
        <x:f aca="0">KOHC!G34</x:f>
        <x:v>1102.649172</x:v>
      </x:c>
      <x:c r="Q218" s="70" t="str">
        <x:f aca="0">IF(ABS(O218-P218)&lt;0.000001,"PASS","FAIL")</x:f>
        <x:v>PASS</x:v>
      </x:c>
      <x:c r="R218" s="70" t="s">
        <x:v>27</x:v>
      </x:c>
      <x:c r="S218" s="70"/>
    </x:row>
    <x:row r="219" ht="15" hidden="0">
      <x:c r="A219" s="70" t="s">
        <x:v>939</x:v>
      </x:c>
      <x:c r="B219" s="70" t="s">
        <x:v>24</x:v>
      </x:c>
      <x:c r="C219" s="70" t="s">
        <x:v>105</x:v>
      </x:c>
      <x:c r="D219" s="70" t="s">
        <x:v>137</x:v>
      </x:c>
      <x:c r="E219" s="70" t="s">
        <x:v>763</x:v>
      </x:c>
      <x:c r="F219" s="70" t="s">
        <x:v>137</x:v>
      </x:c>
      <x:c r="G219" s="70" t="s">
        <x:v>848</x:v>
      </x:c>
      <x:c r="H219" s="70" t="s">
        <x:v>849</x:v>
      </x:c>
      <x:c r="I219" s="70" t="s">
        <x:v>852</x:v>
      </x:c>
      <x:c r="J219" s="70" t="n">
        <x:v>69</x:v>
      </x:c>
      <x:c r="K219" s="70" t="s">
        <x:v>834</x:v>
      </x:c>
      <x:c r="L219" s="70" t="s">
        <x:v>927</x:v>
      </x:c>
      <x:c r="M219" s="70" t="s">
        <x:v>28</x:v>
      </x:c>
      <x:c r="N219" s="71" t="n">
        <x:v>1450702723</x:v>
      </x:c>
      <x:c r="O219" s="72" t="n">
        <x:f aca="0">N219/1000000</x:f>
        <x:v>1450.702723</x:v>
      </x:c>
      <x:c r="P219" s="73" t="n">
        <x:f aca="0">KOHC!H34</x:f>
        <x:v>1450.702723</x:v>
      </x:c>
      <x:c r="Q219" s="70" t="str">
        <x:f aca="0">IF(ABS(O219-P219)&lt;0.000001,"PASS","FAIL")</x:f>
        <x:v>PASS</x:v>
      </x:c>
      <x:c r="R219" s="70" t="s">
        <x:v>27</x:v>
      </x:c>
      <x:c r="S219" s="70"/>
    </x:row>
    <x:row r="220" ht="15" hidden="0">
      <x:c r="A220" s="70" t="s">
        <x:v>940</x:v>
      </x:c>
      <x:c r="B220" s="70" t="s">
        <x:v>24</x:v>
      </x:c>
      <x:c r="C220" s="70" t="s">
        <x:v>717</x:v>
      </x:c>
      <x:c r="D220" s="70" t="s">
        <x:v>139</x:v>
      </x:c>
      <x:c r="E220" s="70" t="s">
        <x:v>763</x:v>
      </x:c>
      <x:c r="F220" s="70" t="s">
        <x:v>941</x:v>
      </x:c>
      <x:c r="G220" s="70" t="s">
        <x:v>831</x:v>
      </x:c>
      <x:c r="H220" s="70" t="s">
        <x:v>832</x:v>
      </x:c>
      <x:c r="I220" s="70" t="s">
        <x:v>833</x:v>
      </x:c>
      <x:c r="J220" s="70" t="n">
        <x:v>45</x:v>
      </x:c>
      <x:c r="K220" s="70" t="s">
        <x:v>834</x:v>
      </x:c>
      <x:c r="L220" s="70" t="s">
        <x:v>927</x:v>
      </x:c>
      <x:c r="M220" s="70" t="s">
        <x:v>28</x:v>
      </x:c>
      <x:c r="N220" s="71" t="n">
        <x:v>425391226</x:v>
      </x:c>
      <x:c r="O220" s="72" t="n">
        <x:f aca="0">N220/1000000</x:f>
        <x:v>425.391226</x:v>
      </x:c>
      <x:c r="P220" s="73" t="n">
        <x:f aca="0">KOHC!C35</x:f>
        <x:v>425.391226</x:v>
      </x:c>
      <x:c r="Q220" s="70" t="str">
        <x:f aca="0">IF(ABS(O220-P220)&lt;0.000001,"PASS","FAIL")</x:f>
        <x:v>PASS</x:v>
      </x:c>
      <x:c r="R220" s="70" t="s">
        <x:v>27</x:v>
      </x:c>
      <x:c r="S220" s="70"/>
    </x:row>
    <x:row r="221" ht="15" hidden="0">
      <x:c r="A221" s="70" t="s">
        <x:v>942</x:v>
      </x:c>
      <x:c r="B221" s="70" t="s">
        <x:v>24</x:v>
      </x:c>
      <x:c r="C221" s="70" t="s">
        <x:v>101</x:v>
      </x:c>
      <x:c r="D221" s="70" t="s">
        <x:v>139</x:v>
      </x:c>
      <x:c r="E221" s="70" t="s">
        <x:v>763</x:v>
      </x:c>
      <x:c r="F221" s="70" t="s">
        <x:v>941</x:v>
      </x:c>
      <x:c r="G221" s="70" t="s">
        <x:v>837</x:v>
      </x:c>
      <x:c r="H221" s="70" t="s">
        <x:v>838</x:v>
      </x:c>
      <x:c r="I221" s="70" t="s">
        <x:v>833</x:v>
      </x:c>
      <x:c r="J221" s="70" t="n">
        <x:v>53</x:v>
      </x:c>
      <x:c r="K221" s="70" t="s">
        <x:v>834</x:v>
      </x:c>
      <x:c r="L221" s="70" t="s">
        <x:v>933</x:v>
      </x:c>
      <x:c r="M221" s="70" t="s">
        <x:v>28</x:v>
      </x:c>
      <x:c r="N221" s="71" t="n">
        <x:v>484459350</x:v>
      </x:c>
      <x:c r="O221" s="72" t="n">
        <x:f aca="0">N221/1000000</x:f>
        <x:v>484.45935</x:v>
      </x:c>
      <x:c r="P221" s="73" t="n">
        <x:f aca="0">KOHC!D35</x:f>
        <x:v>484.45935</x:v>
      </x:c>
      <x:c r="Q221" s="70" t="str">
        <x:f aca="0">IF(ABS(O221-P221)&lt;0.000001,"PASS","FAIL")</x:f>
        <x:v>PASS</x:v>
      </x:c>
      <x:c r="R221" s="70" t="s">
        <x:v>27</x:v>
      </x:c>
      <x:c r="S221" s="70"/>
    </x:row>
    <x:row r="222" ht="15" hidden="0">
      <x:c r="A222" s="70" t="s">
        <x:v>943</x:v>
      </x:c>
      <x:c r="B222" s="70" t="s">
        <x:v>24</x:v>
      </x:c>
      <x:c r="C222" s="70" t="s">
        <x:v>102</x:v>
      </x:c>
      <x:c r="D222" s="70" t="s">
        <x:v>139</x:v>
      </x:c>
      <x:c r="E222" s="70" t="s">
        <x:v>763</x:v>
      </x:c>
      <x:c r="F222" s="70" t="s">
        <x:v>944</x:v>
      </x:c>
      <x:c r="G222" s="70" t="s">
        <x:v>841</x:v>
      </x:c>
      <x:c r="H222" s="70" t="s">
        <x:v>842</x:v>
      </x:c>
      <x:c r="I222" s="70" t="s">
        <x:v>833</x:v>
      </x:c>
      <x:c r="J222" s="70" t="n">
        <x:v>53</x:v>
      </x:c>
      <x:c r="K222" s="70" t="s">
        <x:v>834</x:v>
      </x:c>
      <x:c r="L222" s="70" t="s">
        <x:v>933</x:v>
      </x:c>
      <x:c r="M222" s="70" t="s">
        <x:v>28</x:v>
      </x:c>
      <x:c r="N222" s="71" t="n">
        <x:v>583944235</x:v>
      </x:c>
      <x:c r="O222" s="72" t="n">
        <x:f aca="0">N222/1000000</x:f>
        <x:v>583.944235</x:v>
      </x:c>
      <x:c r="P222" s="73" t="n">
        <x:f aca="0">KOHC!E35</x:f>
        <x:v>583.944235</x:v>
      </x:c>
      <x:c r="Q222" s="70" t="str">
        <x:f aca="0">IF(ABS(O222-P222)&lt;0.000001,"PASS","FAIL")</x:f>
        <x:v>PASS</x:v>
      </x:c>
      <x:c r="R222" s="70" t="s">
        <x:v>27</x:v>
      </x:c>
      <x:c r="S222" s="70"/>
    </x:row>
    <x:row r="223" ht="15" hidden="0">
      <x:c r="A223" s="70" t="s">
        <x:v>945</x:v>
      </x:c>
      <x:c r="B223" s="70" t="s">
        <x:v>24</x:v>
      </x:c>
      <x:c r="C223" s="70" t="s">
        <x:v>103</x:v>
      </x:c>
      <x:c r="D223" s="70" t="s">
        <x:v>139</x:v>
      </x:c>
      <x:c r="E223" s="70" t="s">
        <x:v>763</x:v>
      </x:c>
      <x:c r="F223" s="70" t="s">
        <x:v>944</x:v>
      </x:c>
      <x:c r="G223" s="70" t="s">
        <x:v>844</x:v>
      </x:c>
      <x:c r="H223" s="70" t="s">
        <x:v>845</x:v>
      </x:c>
      <x:c r="I223" s="70" t="s">
        <x:v>833</x:v>
      </x:c>
      <x:c r="J223" s="70" t="n">
        <x:v>59</x:v>
      </x:c>
      <x:c r="K223" s="70" t="s">
        <x:v>834</x:v>
      </x:c>
      <x:c r="L223" s="70" t="s">
        <x:v>927</x:v>
      </x:c>
      <x:c r="M223" s="70" t="s">
        <x:v>28</x:v>
      </x:c>
      <x:c r="N223" s="71" t="n">
        <x:v>783220947</x:v>
      </x:c>
      <x:c r="O223" s="72" t="n">
        <x:f aca="0">N223/1000000</x:f>
        <x:v>783.220947</x:v>
      </x:c>
      <x:c r="P223" s="73" t="n">
        <x:f aca="0">KOHC!F35</x:f>
        <x:v>783.220947</x:v>
      </x:c>
      <x:c r="Q223" s="70" t="str">
        <x:f aca="0">IF(ABS(O223-P223)&lt;0.000001,"PASS","FAIL")</x:f>
        <x:v>PASS</x:v>
      </x:c>
      <x:c r="R223" s="70" t="s">
        <x:v>27</x:v>
      </x:c>
      <x:c r="S223" s="70"/>
    </x:row>
    <x:row r="224" ht="15" hidden="0">
      <x:c r="A224" s="70" t="s">
        <x:v>946</x:v>
      </x:c>
      <x:c r="B224" s="70" t="s">
        <x:v>24</x:v>
      </x:c>
      <x:c r="C224" s="70" t="s">
        <x:v>104</x:v>
      </x:c>
      <x:c r="D224" s="70" t="s">
        <x:v>139</x:v>
      </x:c>
      <x:c r="E224" s="70" t="s">
        <x:v>763</x:v>
      </x:c>
      <x:c r="F224" s="70" t="s">
        <x:v>947</x:v>
      </x:c>
      <x:c r="G224" s="70" t="s">
        <x:v>848</x:v>
      </x:c>
      <x:c r="H224" s="70" t="s">
        <x:v>849</x:v>
      </x:c>
      <x:c r="I224" s="70" t="s">
        <x:v>833</x:v>
      </x:c>
      <x:c r="J224" s="70" t="n">
        <x:v>69</x:v>
      </x:c>
      <x:c r="K224" s="70" t="s">
        <x:v>834</x:v>
      </x:c>
      <x:c r="L224" s="70" t="s">
        <x:v>919</x:v>
      </x:c>
      <x:c r="M224" s="70" t="s">
        <x:v>28</x:v>
      </x:c>
      <x:c r="N224" s="71" t="n">
        <x:v>1140327819</x:v>
      </x:c>
      <x:c r="O224" s="72" t="n">
        <x:f aca="0">N224/1000000</x:f>
        <x:v>1140.327819</x:v>
      </x:c>
      <x:c r="P224" s="73" t="n">
        <x:f aca="0">KOHC!G35</x:f>
        <x:v>1140.327819</x:v>
      </x:c>
      <x:c r="Q224" s="70" t="str">
        <x:f aca="0">IF(ABS(O224-P224)&lt;0.000001,"PASS","FAIL")</x:f>
        <x:v>PASS</x:v>
      </x:c>
      <x:c r="R224" s="70" t="s">
        <x:v>27</x:v>
      </x:c>
      <x:c r="S224" s="70" t="s">
        <x:v>839</x:v>
      </x:c>
    </x:row>
    <x:row r="225" ht="15" hidden="0">
      <x:c r="A225" s="70" t="s">
        <x:v>948</x:v>
      </x:c>
      <x:c r="B225" s="70" t="s">
        <x:v>24</x:v>
      </x:c>
      <x:c r="C225" s="70" t="s">
        <x:v>105</x:v>
      </x:c>
      <x:c r="D225" s="70" t="s">
        <x:v>139</x:v>
      </x:c>
      <x:c r="E225" s="70" t="s">
        <x:v>763</x:v>
      </x:c>
      <x:c r="F225" s="70" t="s">
        <x:v>947</x:v>
      </x:c>
      <x:c r="G225" s="70" t="s">
        <x:v>848</x:v>
      </x:c>
      <x:c r="H225" s="70" t="s">
        <x:v>849</x:v>
      </x:c>
      <x:c r="I225" s="70" t="s">
        <x:v>852</x:v>
      </x:c>
      <x:c r="J225" s="70" t="n">
        <x:v>69</x:v>
      </x:c>
      <x:c r="K225" s="70" t="s">
        <x:v>834</x:v>
      </x:c>
      <x:c r="L225" s="70" t="s">
        <x:v>919</x:v>
      </x:c>
      <x:c r="M225" s="70" t="s">
        <x:v>28</x:v>
      </x:c>
      <x:c r="N225" s="71" t="n">
        <x:v>1025371707</x:v>
      </x:c>
      <x:c r="O225" s="72" t="n">
        <x:f aca="0">N225/1000000</x:f>
        <x:v>1025.371707</x:v>
      </x:c>
      <x:c r="P225" s="73" t="n">
        <x:f aca="0">KOHC!H35</x:f>
        <x:v>1025.371707</x:v>
      </x:c>
      <x:c r="Q225" s="70" t="str">
        <x:f aca="0">IF(ABS(O225-P225)&lt;0.000001,"PASS","FAIL")</x:f>
        <x:v>PASS</x:v>
      </x:c>
      <x:c r="R225" s="70" t="s">
        <x:v>27</x:v>
      </x:c>
      <x:c r="S225" s="70"/>
    </x:row>
    <x:row r="226" ht="15" hidden="0">
      <x:c r="A226" s="70" t="s">
        <x:v>949</x:v>
      </x:c>
      <x:c r="B226" s="70" t="s">
        <x:v>24</x:v>
      </x:c>
      <x:c r="C226" s="70" t="s">
        <x:v>717</x:v>
      </x:c>
      <x:c r="D226" s="70" t="s">
        <x:v>146</x:v>
      </x:c>
      <x:c r="E226" s="70" t="s">
        <x:v>763</x:v>
      </x:c>
      <x:c r="F226" s="70" t="s">
        <x:v>950</x:v>
      </x:c>
      <x:c r="G226" s="70" t="s">
        <x:v>831</x:v>
      </x:c>
      <x:c r="H226" s="70" t="s">
        <x:v>832</x:v>
      </x:c>
      <x:c r="I226" s="70" t="s">
        <x:v>833</x:v>
      </x:c>
      <x:c r="J226" s="70" t="n">
        <x:v>44</x:v>
      </x:c>
      <x:c r="K226" s="70" t="s">
        <x:v>864</x:v>
      </x:c>
      <x:c r="L226" s="70" t="s">
        <x:v>951</x:v>
      </x:c>
      <x:c r="M226" s="70" t="s">
        <x:v>28</x:v>
      </x:c>
      <x:c r="N226" s="71" t="n">
        <x:v>2008612970</x:v>
      </x:c>
      <x:c r="O226" s="72" t="n">
        <x:f aca="0">N226/1000000</x:f>
        <x:v>2008.61297</x:v>
      </x:c>
      <x:c r="P226" s="73" t="n">
        <x:f aca="0">KOHC!C39</x:f>
        <x:v>2008.61297</x:v>
      </x:c>
      <x:c r="Q226" s="70" t="str">
        <x:f aca="0">IF(ABS(O226-P226)&lt;0.000001,"PASS","FAIL")</x:f>
        <x:v>PASS</x:v>
      </x:c>
      <x:c r="R226" s="70" t="s">
        <x:v>27</x:v>
      </x:c>
      <x:c r="S226" s="70"/>
    </x:row>
    <x:row r="227" ht="15" hidden="0">
      <x:c r="A227" s="70" t="s">
        <x:v>952</x:v>
      </x:c>
      <x:c r="B227" s="70" t="s">
        <x:v>24</x:v>
      </x:c>
      <x:c r="C227" s="70" t="s">
        <x:v>101</x:v>
      </x:c>
      <x:c r="D227" s="70" t="s">
        <x:v>146</x:v>
      </x:c>
      <x:c r="E227" s="70" t="s">
        <x:v>763</x:v>
      </x:c>
      <x:c r="F227" s="70" t="s">
        <x:v>950</x:v>
      </x:c>
      <x:c r="G227" s="70" t="s">
        <x:v>837</x:v>
      </x:c>
      <x:c r="H227" s="70" t="s">
        <x:v>838</x:v>
      </x:c>
      <x:c r="I227" s="70" t="s">
        <x:v>833</x:v>
      </x:c>
      <x:c r="J227" s="70" t="n">
        <x:v>52</x:v>
      </x:c>
      <x:c r="K227" s="70" t="s">
        <x:v>864</x:v>
      </x:c>
      <x:c r="L227" s="70" t="s">
        <x:v>951</x:v>
      </x:c>
      <x:c r="M227" s="70" t="s">
        <x:v>28</x:v>
      </x:c>
      <x:c r="N227" s="71" t="n">
        <x:v>2008612970</x:v>
      </x:c>
      <x:c r="O227" s="72" t="n">
        <x:f aca="0">N227/1000000</x:f>
        <x:v>2008.61297</x:v>
      </x:c>
      <x:c r="P227" s="73" t="n">
        <x:f aca="0">KOHC!D39</x:f>
        <x:v>2008.61297</x:v>
      </x:c>
      <x:c r="Q227" s="70" t="str">
        <x:f aca="0">IF(ABS(O227-P227)&lt;0.000001,"PASS","FAIL")</x:f>
        <x:v>PASS</x:v>
      </x:c>
      <x:c r="R227" s="70" t="s">
        <x:v>27</x:v>
      </x:c>
      <x:c r="S227" s="70"/>
    </x:row>
    <x:row r="228" ht="15" hidden="0">
      <x:c r="A228" s="70" t="s">
        <x:v>953</x:v>
      </x:c>
      <x:c r="B228" s="70" t="s">
        <x:v>24</x:v>
      </x:c>
      <x:c r="C228" s="70" t="s">
        <x:v>102</x:v>
      </x:c>
      <x:c r="D228" s="70" t="s">
        <x:v>146</x:v>
      </x:c>
      <x:c r="E228" s="70" t="s">
        <x:v>763</x:v>
      </x:c>
      <x:c r="F228" s="70" t="s">
        <x:v>950</x:v>
      </x:c>
      <x:c r="G228" s="70" t="s">
        <x:v>841</x:v>
      </x:c>
      <x:c r="H228" s="70" t="s">
        <x:v>842</x:v>
      </x:c>
      <x:c r="I228" s="70" t="s">
        <x:v>833</x:v>
      </x:c>
      <x:c r="J228" s="70" t="n">
        <x:v>52</x:v>
      </x:c>
      <x:c r="K228" s="70" t="s">
        <x:v>864</x:v>
      </x:c>
      <x:c r="L228" s="70" t="s">
        <x:v>951</x:v>
      </x:c>
      <x:c r="M228" s="70" t="s">
        <x:v>28</x:v>
      </x:c>
      <x:c r="N228" s="71" t="n">
        <x:v>2008612970</x:v>
      </x:c>
      <x:c r="O228" s="72" t="n">
        <x:f aca="0">N228/1000000</x:f>
        <x:v>2008.61297</x:v>
      </x:c>
      <x:c r="P228" s="73" t="n">
        <x:f aca="0">KOHC!E39</x:f>
        <x:v>2008.61297</x:v>
      </x:c>
      <x:c r="Q228" s="70" t="str">
        <x:f aca="0">IF(ABS(O228-P228)&lt;0.000001,"PASS","FAIL")</x:f>
        <x:v>PASS</x:v>
      </x:c>
      <x:c r="R228" s="70" t="s">
        <x:v>27</x:v>
      </x:c>
      <x:c r="S228" s="70"/>
    </x:row>
    <x:row r="229" ht="15" hidden="0">
      <x:c r="A229" s="70" t="s">
        <x:v>954</x:v>
      </x:c>
      <x:c r="B229" s="70" t="s">
        <x:v>24</x:v>
      </x:c>
      <x:c r="C229" s="70" t="s">
        <x:v>103</x:v>
      </x:c>
      <x:c r="D229" s="70" t="s">
        <x:v>146</x:v>
      </x:c>
      <x:c r="E229" s="70" t="s">
        <x:v>763</x:v>
      </x:c>
      <x:c r="F229" s="70" t="s">
        <x:v>950</x:v>
      </x:c>
      <x:c r="G229" s="70" t="s">
        <x:v>844</x:v>
      </x:c>
      <x:c r="H229" s="70" t="s">
        <x:v>845</x:v>
      </x:c>
      <x:c r="I229" s="70" t="s">
        <x:v>833</x:v>
      </x:c>
      <x:c r="J229" s="70" t="n">
        <x:v>58</x:v>
      </x:c>
      <x:c r="K229" s="70" t="s">
        <x:v>864</x:v>
      </x:c>
      <x:c r="L229" s="70" t="s">
        <x:v>951</x:v>
      </x:c>
      <x:c r="M229" s="70" t="s">
        <x:v>28</x:v>
      </x:c>
      <x:c r="N229" s="71" t="n">
        <x:v>2008612970</x:v>
      </x:c>
      <x:c r="O229" s="72" t="n">
        <x:f aca="0">N229/1000000</x:f>
        <x:v>2008.61297</x:v>
      </x:c>
      <x:c r="P229" s="73" t="n">
        <x:f aca="0">KOHC!F39</x:f>
        <x:v>2008.61297</x:v>
      </x:c>
      <x:c r="Q229" s="70" t="str">
        <x:f aca="0">IF(ABS(O229-P229)&lt;0.000001,"PASS","FAIL")</x:f>
        <x:v>PASS</x:v>
      </x:c>
      <x:c r="R229" s="70" t="s">
        <x:v>27</x:v>
      </x:c>
      <x:c r="S229" s="70"/>
    </x:row>
    <x:row r="230" ht="15" hidden="0">
      <x:c r="A230" s="70" t="s">
        <x:v>955</x:v>
      </x:c>
      <x:c r="B230" s="70" t="s">
        <x:v>24</x:v>
      </x:c>
      <x:c r="C230" s="70" t="s">
        <x:v>104</x:v>
      </x:c>
      <x:c r="D230" s="70" t="s">
        <x:v>146</x:v>
      </x:c>
      <x:c r="E230" s="70" t="s">
        <x:v>763</x:v>
      </x:c>
      <x:c r="F230" s="70" t="s">
        <x:v>950</x:v>
      </x:c>
      <x:c r="G230" s="70" t="s">
        <x:v>848</x:v>
      </x:c>
      <x:c r="H230" s="70" t="s">
        <x:v>849</x:v>
      </x:c>
      <x:c r="I230" s="70" t="s">
        <x:v>833</x:v>
      </x:c>
      <x:c r="J230" s="70" t="n">
        <x:v>68</x:v>
      </x:c>
      <x:c r="K230" s="70" t="s">
        <x:v>869</x:v>
      </x:c>
      <x:c r="L230" s="70" t="s">
        <x:v>951</x:v>
      </x:c>
      <x:c r="M230" s="70" t="s">
        <x:v>28</x:v>
      </x:c>
      <x:c r="N230" s="71" t="n">
        <x:v>1958612970</x:v>
      </x:c>
      <x:c r="O230" s="72" t="n">
        <x:f aca="0">N230/1000000</x:f>
        <x:v>1958.61297</x:v>
      </x:c>
      <x:c r="P230" s="73" t="n">
        <x:f aca="0">KOHC!G39</x:f>
        <x:v>1958.61297</x:v>
      </x:c>
      <x:c r="Q230" s="70" t="str">
        <x:f aca="0">IF(ABS(O230-P230)&lt;0.000001,"PASS","FAIL")</x:f>
        <x:v>PASS</x:v>
      </x:c>
      <x:c r="R230" s="70" t="s">
        <x:v>27</x:v>
      </x:c>
      <x:c r="S230" s="70"/>
    </x:row>
    <x:row r="231" ht="15" hidden="0">
      <x:c r="A231" s="70" t="s">
        <x:v>956</x:v>
      </x:c>
      <x:c r="B231" s="70" t="s">
        <x:v>24</x:v>
      </x:c>
      <x:c r="C231" s="70" t="s">
        <x:v>105</x:v>
      </x:c>
      <x:c r="D231" s="70" t="s">
        <x:v>146</x:v>
      </x:c>
      <x:c r="E231" s="70" t="s">
        <x:v>763</x:v>
      </x:c>
      <x:c r="F231" s="70" t="s">
        <x:v>950</x:v>
      </x:c>
      <x:c r="G231" s="70" t="s">
        <x:v>848</x:v>
      </x:c>
      <x:c r="H231" s="70" t="s">
        <x:v>849</x:v>
      </x:c>
      <x:c r="I231" s="70" t="s">
        <x:v>852</x:v>
      </x:c>
      <x:c r="J231" s="70" t="n">
        <x:v>68</x:v>
      </x:c>
      <x:c r="K231" s="70" t="s">
        <x:v>869</x:v>
      </x:c>
      <x:c r="L231" s="70" t="s">
        <x:v>951</x:v>
      </x:c>
      <x:c r="M231" s="70" t="s">
        <x:v>28</x:v>
      </x:c>
      <x:c r="N231" s="71" t="n">
        <x:v>1838612970</x:v>
      </x:c>
      <x:c r="O231" s="72" t="n">
        <x:f aca="0">N231/1000000</x:f>
        <x:v>1838.61297</x:v>
      </x:c>
      <x:c r="P231" s="73" t="n">
        <x:f aca="0">KOHC!H39</x:f>
        <x:v>1838.61297</x:v>
      </x:c>
      <x:c r="Q231" s="70" t="str">
        <x:f aca="0">IF(ABS(O231-P231)&lt;0.000001,"PASS","FAIL")</x:f>
        <x:v>PASS</x:v>
      </x:c>
      <x:c r="R231" s="70" t="s">
        <x:v>27</x:v>
      </x:c>
      <x:c r="S231" s="70"/>
    </x:row>
    <x:row r="232" ht="15" hidden="0">
      <x:c r="A232" s="70" t="s">
        <x:v>957</x:v>
      </x:c>
      <x:c r="B232" s="70" t="s">
        <x:v>24</x:v>
      </x:c>
      <x:c r="C232" s="70" t="s">
        <x:v>717</x:v>
      </x:c>
      <x:c r="D232" s="70" t="s">
        <x:v>148</x:v>
      </x:c>
      <x:c r="E232" s="70" t="s">
        <x:v>763</x:v>
      </x:c>
      <x:c r="F232" s="70" t="s">
        <x:v>958</x:v>
      </x:c>
      <x:c r="G232" s="70" t="s">
        <x:v>831</x:v>
      </x:c>
      <x:c r="H232" s="70" t="s">
        <x:v>832</x:v>
      </x:c>
      <x:c r="I232" s="70" t="s">
        <x:v>833</x:v>
      </x:c>
      <x:c r="J232" s="70" t="n">
        <x:v>44</x:v>
      </x:c>
      <x:c r="K232" s="70" t="s">
        <x:v>864</x:v>
      </x:c>
      <x:c r="L232" s="70"/>
      <x:c r="M232" s="70" t="s">
        <x:v>28</x:v>
      </x:c>
      <x:c r="N232" s="71" t="n">
        <x:v>16718060354</x:v>
      </x:c>
      <x:c r="O232" s="72" t="n">
        <x:f aca="0">N232/1000000</x:f>
        <x:v>16718.060354</x:v>
      </x:c>
      <x:c r="P232" s="73" t="n">
        <x:f aca="0">KOHC!C40</x:f>
        <x:v>16718.060354</x:v>
      </x:c>
      <x:c r="Q232" s="70" t="str">
        <x:f aca="0">IF(ABS(O232-P232)&lt;0.000001,"PASS","FAIL")</x:f>
        <x:v>PASS</x:v>
      </x:c>
      <x:c r="R232" s="70" t="s">
        <x:v>27</x:v>
      </x:c>
      <x:c r="S232" s="70"/>
    </x:row>
    <x:row r="233" ht="15" hidden="0">
      <x:c r="A233" s="70" t="s">
        <x:v>959</x:v>
      </x:c>
      <x:c r="B233" s="70" t="s">
        <x:v>24</x:v>
      </x:c>
      <x:c r="C233" s="70" t="s">
        <x:v>101</x:v>
      </x:c>
      <x:c r="D233" s="70" t="s">
        <x:v>148</x:v>
      </x:c>
      <x:c r="E233" s="70" t="s">
        <x:v>763</x:v>
      </x:c>
      <x:c r="F233" s="70" t="s">
        <x:v>958</x:v>
      </x:c>
      <x:c r="G233" s="70" t="s">
        <x:v>837</x:v>
      </x:c>
      <x:c r="H233" s="70" t="s">
        <x:v>838</x:v>
      </x:c>
      <x:c r="I233" s="70" t="s">
        <x:v>833</x:v>
      </x:c>
      <x:c r="J233" s="70" t="n">
        <x:v>52</x:v>
      </x:c>
      <x:c r="K233" s="70" t="s">
        <x:v>864</x:v>
      </x:c>
      <x:c r="L233" s="70"/>
      <x:c r="M233" s="70" t="s">
        <x:v>28</x:v>
      </x:c>
      <x:c r="N233" s="71" t="n">
        <x:v>20214926401</x:v>
      </x:c>
      <x:c r="O233" s="72" t="n">
        <x:f aca="0">N233/1000000</x:f>
        <x:v>20214.926401</x:v>
      </x:c>
      <x:c r="P233" s="73" t="n">
        <x:f aca="0">KOHC!D40</x:f>
        <x:v>20214.926401</x:v>
      </x:c>
      <x:c r="Q233" s="70" t="str">
        <x:f aca="0">IF(ABS(O233-P233)&lt;0.000001,"PASS","FAIL")</x:f>
        <x:v>PASS</x:v>
      </x:c>
      <x:c r="R233" s="70" t="s">
        <x:v>27</x:v>
      </x:c>
      <x:c r="S233" s="70"/>
    </x:row>
    <x:row r="234" ht="15" hidden="0">
      <x:c r="A234" s="70" t="s">
        <x:v>960</x:v>
      </x:c>
      <x:c r="B234" s="70" t="s">
        <x:v>24</x:v>
      </x:c>
      <x:c r="C234" s="70" t="s">
        <x:v>102</x:v>
      </x:c>
      <x:c r="D234" s="70" t="s">
        <x:v>148</x:v>
      </x:c>
      <x:c r="E234" s="70" t="s">
        <x:v>763</x:v>
      </x:c>
      <x:c r="F234" s="70" t="s">
        <x:v>958</x:v>
      </x:c>
      <x:c r="G234" s="70" t="s">
        <x:v>841</x:v>
      </x:c>
      <x:c r="H234" s="70" t="s">
        <x:v>842</x:v>
      </x:c>
      <x:c r="I234" s="70" t="s">
        <x:v>833</x:v>
      </x:c>
      <x:c r="J234" s="70" t="n">
        <x:v>52</x:v>
      </x:c>
      <x:c r="K234" s="70" t="s">
        <x:v>864</x:v>
      </x:c>
      <x:c r="L234" s="70"/>
      <x:c r="M234" s="70" t="s">
        <x:v>28</x:v>
      </x:c>
      <x:c r="N234" s="71" t="n">
        <x:v>25237607261</x:v>
      </x:c>
      <x:c r="O234" s="72" t="n">
        <x:f aca="0">N234/1000000</x:f>
        <x:v>25237.607261</x:v>
      </x:c>
      <x:c r="P234" s="73" t="n">
        <x:f aca="0">KOHC!E40</x:f>
        <x:v>25237.607261</x:v>
      </x:c>
      <x:c r="Q234" s="70" t="str">
        <x:f aca="0">IF(ABS(O234-P234)&lt;0.000001,"PASS","FAIL")</x:f>
        <x:v>PASS</x:v>
      </x:c>
      <x:c r="R234" s="70" t="s">
        <x:v>27</x:v>
      </x:c>
      <x:c r="S234" s="70"/>
    </x:row>
    <x:row r="235" ht="15" hidden="0">
      <x:c r="A235" s="70" t="s">
        <x:v>961</x:v>
      </x:c>
      <x:c r="B235" s="70" t="s">
        <x:v>24</x:v>
      </x:c>
      <x:c r="C235" s="70" t="s">
        <x:v>103</x:v>
      </x:c>
      <x:c r="D235" s="70" t="s">
        <x:v>148</x:v>
      </x:c>
      <x:c r="E235" s="70" t="s">
        <x:v>763</x:v>
      </x:c>
      <x:c r="F235" s="70" t="s">
        <x:v>958</x:v>
      </x:c>
      <x:c r="G235" s="70" t="s">
        <x:v>844</x:v>
      </x:c>
      <x:c r="H235" s="70" t="s">
        <x:v>845</x:v>
      </x:c>
      <x:c r="I235" s="70" t="s">
        <x:v>833</x:v>
      </x:c>
      <x:c r="J235" s="70" t="n">
        <x:v>58</x:v>
      </x:c>
      <x:c r="K235" s="70" t="s">
        <x:v>864</x:v>
      </x:c>
      <x:c r="L235" s="70"/>
      <x:c r="M235" s="70" t="s">
        <x:v>28</x:v>
      </x:c>
      <x:c r="N235" s="71" t="n">
        <x:v>30601432002</x:v>
      </x:c>
      <x:c r="O235" s="72" t="n">
        <x:f aca="0">N235/1000000</x:f>
        <x:v>30601.432002</x:v>
      </x:c>
      <x:c r="P235" s="73" t="n">
        <x:f aca="0">KOHC!F40</x:f>
        <x:v>30601.432002</x:v>
      </x:c>
      <x:c r="Q235" s="70" t="str">
        <x:f aca="0">IF(ABS(O235-P235)&lt;0.000001,"PASS","FAIL")</x:f>
        <x:v>PASS</x:v>
      </x:c>
      <x:c r="R235" s="70" t="s">
        <x:v>27</x:v>
      </x:c>
      <x:c r="S235" s="70"/>
    </x:row>
    <x:row r="236" ht="15" hidden="0">
      <x:c r="A236" s="70" t="s">
        <x:v>962</x:v>
      </x:c>
      <x:c r="B236" s="70" t="s">
        <x:v>24</x:v>
      </x:c>
      <x:c r="C236" s="70" t="s">
        <x:v>104</x:v>
      </x:c>
      <x:c r="D236" s="70" t="s">
        <x:v>148</x:v>
      </x:c>
      <x:c r="E236" s="70" t="s">
        <x:v>763</x:v>
      </x:c>
      <x:c r="F236" s="70" t="s">
        <x:v>958</x:v>
      </x:c>
      <x:c r="G236" s="70" t="s">
        <x:v>848</x:v>
      </x:c>
      <x:c r="H236" s="70" t="s">
        <x:v>849</x:v>
      </x:c>
      <x:c r="I236" s="70" t="s">
        <x:v>833</x:v>
      </x:c>
      <x:c r="J236" s="70" t="n">
        <x:v>68</x:v>
      </x:c>
      <x:c r="K236" s="70" t="s">
        <x:v>869</x:v>
      </x:c>
      <x:c r="L236" s="70"/>
      <x:c r="M236" s="70" t="s">
        <x:v>28</x:v>
      </x:c>
      <x:c r="N236" s="71" t="n">
        <x:v>39131692321</x:v>
      </x:c>
      <x:c r="O236" s="72" t="n">
        <x:f aca="0">N236/1000000</x:f>
        <x:v>39131.692321</x:v>
      </x:c>
      <x:c r="P236" s="73" t="n">
        <x:f aca="0">KOHC!G40</x:f>
        <x:v>39131.692321</x:v>
      </x:c>
      <x:c r="Q236" s="70" t="str">
        <x:f aca="0">IF(ABS(O236-P236)&lt;0.000001,"PASS","FAIL")</x:f>
        <x:v>PASS</x:v>
      </x:c>
      <x:c r="R236" s="70" t="s">
        <x:v>27</x:v>
      </x:c>
      <x:c r="S236" s="70"/>
    </x:row>
    <x:row r="237" ht="15" hidden="0">
      <x:c r="A237" s="70" t="s">
        <x:v>963</x:v>
      </x:c>
      <x:c r="B237" s="70" t="s">
        <x:v>24</x:v>
      </x:c>
      <x:c r="C237" s="70" t="s">
        <x:v>105</x:v>
      </x:c>
      <x:c r="D237" s="70" t="s">
        <x:v>148</x:v>
      </x:c>
      <x:c r="E237" s="70" t="s">
        <x:v>763</x:v>
      </x:c>
      <x:c r="F237" s="70" t="s">
        <x:v>958</x:v>
      </x:c>
      <x:c r="G237" s="70" t="s">
        <x:v>848</x:v>
      </x:c>
      <x:c r="H237" s="70" t="s">
        <x:v>849</x:v>
      </x:c>
      <x:c r="I237" s="70" t="s">
        <x:v>852</x:v>
      </x:c>
      <x:c r="J237" s="70" t="n">
        <x:v>68</x:v>
      </x:c>
      <x:c r="K237" s="70" t="s">
        <x:v>869</x:v>
      </x:c>
      <x:c r="L237" s="70"/>
      <x:c r="M237" s="70" t="s">
        <x:v>28</x:v>
      </x:c>
      <x:c r="N237" s="71" t="n">
        <x:v>46116581817</x:v>
      </x:c>
      <x:c r="O237" s="72" t="n">
        <x:f aca="0">N237/1000000</x:f>
        <x:v>46116.581817</x:v>
      </x:c>
      <x:c r="P237" s="73" t="n">
        <x:f aca="0">KOHC!H40</x:f>
        <x:v>46116.581817</x:v>
      </x:c>
      <x:c r="Q237" s="70" t="str">
        <x:f aca="0">IF(ABS(O237-P237)&lt;0.000001,"PASS","FAIL")</x:f>
        <x:v>PASS</x:v>
      </x:c>
      <x:c r="R237" s="70" t="s">
        <x:v>27</x:v>
      </x:c>
      <x:c r="S237" s="70"/>
    </x:row>
    <x:row r="238" ht="15" hidden="0">
      <x:c r="A238" s="70" t="s">
        <x:v>964</x:v>
      </x:c>
      <x:c r="B238" s="70" t="s">
        <x:v>24</x:v>
      </x:c>
      <x:c r="C238" s="70" t="s">
        <x:v>717</x:v>
      </x:c>
      <x:c r="D238" s="70" t="s">
        <x:v>153</x:v>
      </x:c>
      <x:c r="E238" s="70" t="s">
        <x:v>763</x:v>
      </x:c>
      <x:c r="F238" s="70" t="s">
        <x:v>965</x:v>
      </x:c>
      <x:c r="G238" s="70" t="s">
        <x:v>831</x:v>
      </x:c>
      <x:c r="H238" s="70" t="s">
        <x:v>832</x:v>
      </x:c>
      <x:c r="I238" s="70" t="s">
        <x:v>833</x:v>
      </x:c>
      <x:c r="J238" s="70" t="n">
        <x:v>44</x:v>
      </x:c>
      <x:c r="K238" s="70" t="s">
        <x:v>864</x:v>
      </x:c>
      <x:c r="L238" s="70" t="s">
        <x:v>966</x:v>
      </x:c>
      <x:c r="M238" s="70" t="s">
        <x:v>28</x:v>
      </x:c>
      <x:c r="N238" s="71" t="n">
        <x:v>5439226142</x:v>
      </x:c>
      <x:c r="O238" s="72" t="n">
        <x:f aca="0">N238/1000000</x:f>
        <x:v>5439.226142</x:v>
      </x:c>
      <x:c r="P238" s="73" t="n">
        <x:f aca="0">KOHC!C43</x:f>
        <x:v>5439.226142</x:v>
      </x:c>
      <x:c r="Q238" s="70" t="str">
        <x:f aca="0">IF(ABS(O238-P238)&lt;0.000001,"PASS","FAIL")</x:f>
        <x:v>PASS</x:v>
      </x:c>
      <x:c r="R238" s="70" t="s">
        <x:v>27</x:v>
      </x:c>
      <x:c r="S238" s="70"/>
    </x:row>
    <x:row r="239" ht="15" hidden="0">
      <x:c r="A239" s="70" t="s">
        <x:v>967</x:v>
      </x:c>
      <x:c r="B239" s="70" t="s">
        <x:v>24</x:v>
      </x:c>
      <x:c r="C239" s="70" t="s">
        <x:v>101</x:v>
      </x:c>
      <x:c r="D239" s="70" t="s">
        <x:v>153</x:v>
      </x:c>
      <x:c r="E239" s="70" t="s">
        <x:v>763</x:v>
      </x:c>
      <x:c r="F239" s="70" t="s">
        <x:v>965</x:v>
      </x:c>
      <x:c r="G239" s="70" t="s">
        <x:v>837</x:v>
      </x:c>
      <x:c r="H239" s="70" t="s">
        <x:v>838</x:v>
      </x:c>
      <x:c r="I239" s="70" t="s">
        <x:v>833</x:v>
      </x:c>
      <x:c r="J239" s="70" t="n">
        <x:v>52</x:v>
      </x:c>
      <x:c r="K239" s="70" t="s">
        <x:v>864</x:v>
      </x:c>
      <x:c r="L239" s="70" t="s">
        <x:v>966</x:v>
      </x:c>
      <x:c r="M239" s="70" t="s">
        <x:v>28</x:v>
      </x:c>
      <x:c r="N239" s="71" t="n">
        <x:v>4405765306</x:v>
      </x:c>
      <x:c r="O239" s="72" t="n">
        <x:f aca="0">N239/1000000</x:f>
        <x:v>4405.765306</x:v>
      </x:c>
      <x:c r="P239" s="73" t="n">
        <x:f aca="0">KOHC!D43</x:f>
        <x:v>4405.765306</x:v>
      </x:c>
      <x:c r="Q239" s="70" t="str">
        <x:f aca="0">IF(ABS(O239-P239)&lt;0.000001,"PASS","FAIL")</x:f>
        <x:v>PASS</x:v>
      </x:c>
      <x:c r="R239" s="70" t="s">
        <x:v>27</x:v>
      </x:c>
      <x:c r="S239" s="70"/>
    </x:row>
    <x:row r="240" ht="15" hidden="0">
      <x:c r="A240" s="70" t="s">
        <x:v>968</x:v>
      </x:c>
      <x:c r="B240" s="70" t="s">
        <x:v>24</x:v>
      </x:c>
      <x:c r="C240" s="70" t="s">
        <x:v>102</x:v>
      </x:c>
      <x:c r="D240" s="70" t="s">
        <x:v>153</x:v>
      </x:c>
      <x:c r="E240" s="70" t="s">
        <x:v>763</x:v>
      </x:c>
      <x:c r="F240" s="70" t="s">
        <x:v>965</x:v>
      </x:c>
      <x:c r="G240" s="70" t="s">
        <x:v>841</x:v>
      </x:c>
      <x:c r="H240" s="70" t="s">
        <x:v>842</x:v>
      </x:c>
      <x:c r="I240" s="70" t="s">
        <x:v>833</x:v>
      </x:c>
      <x:c r="J240" s="70" t="n">
        <x:v>52</x:v>
      </x:c>
      <x:c r="K240" s="70" t="s">
        <x:v>864</x:v>
      </x:c>
      <x:c r="L240" s="70" t="s">
        <x:v>966</x:v>
      </x:c>
      <x:c r="M240" s="70" t="s">
        <x:v>28</x:v>
      </x:c>
      <x:c r="N240" s="71" t="n">
        <x:v>3179400118</x:v>
      </x:c>
      <x:c r="O240" s="72" t="n">
        <x:f aca="0">N240/1000000</x:f>
        <x:v>3179.400118</x:v>
      </x:c>
      <x:c r="P240" s="73" t="n">
        <x:f aca="0">KOHC!E43</x:f>
        <x:v>3179.400118</x:v>
      </x:c>
      <x:c r="Q240" s="70" t="str">
        <x:f aca="0">IF(ABS(O240-P240)&lt;0.000001,"PASS","FAIL")</x:f>
        <x:v>PASS</x:v>
      </x:c>
      <x:c r="R240" s="70" t="s">
        <x:v>27</x:v>
      </x:c>
      <x:c r="S240" s="70"/>
    </x:row>
    <x:row r="241" ht="15" hidden="0">
      <x:c r="A241" s="70" t="s">
        <x:v>969</x:v>
      </x:c>
      <x:c r="B241" s="70" t="s">
        <x:v>24</x:v>
      </x:c>
      <x:c r="C241" s="70" t="s">
        <x:v>103</x:v>
      </x:c>
      <x:c r="D241" s="70" t="s">
        <x:v>153</x:v>
      </x:c>
      <x:c r="E241" s="70" t="s">
        <x:v>763</x:v>
      </x:c>
      <x:c r="F241" s="70" t="s">
        <x:v>965</x:v>
      </x:c>
      <x:c r="G241" s="70" t="s">
        <x:v>844</x:v>
      </x:c>
      <x:c r="H241" s="70" t="s">
        <x:v>845</x:v>
      </x:c>
      <x:c r="I241" s="70" t="s">
        <x:v>833</x:v>
      </x:c>
      <x:c r="J241" s="70" t="n">
        <x:v>58</x:v>
      </x:c>
      <x:c r="K241" s="70" t="s">
        <x:v>864</x:v>
      </x:c>
      <x:c r="L241" s="70" t="s">
        <x:v>966</x:v>
      </x:c>
      <x:c r="M241" s="70" t="s">
        <x:v>28</x:v>
      </x:c>
      <x:c r="N241" s="71" t="n">
        <x:v>2149017375</x:v>
      </x:c>
      <x:c r="O241" s="72" t="n">
        <x:f aca="0">N241/1000000</x:f>
        <x:v>2149.017375</x:v>
      </x:c>
      <x:c r="P241" s="73" t="n">
        <x:f aca="0">KOHC!F43</x:f>
        <x:v>2149.017375</x:v>
      </x:c>
      <x:c r="Q241" s="70" t="str">
        <x:f aca="0">IF(ABS(O241-P241)&lt;0.000001,"PASS","FAIL")</x:f>
        <x:v>PASS</x:v>
      </x:c>
      <x:c r="R241" s="70" t="s">
        <x:v>27</x:v>
      </x:c>
      <x:c r="S241" s="70"/>
    </x:row>
    <x:row r="242" ht="15" hidden="0">
      <x:c r="A242" s="70" t="s">
        <x:v>970</x:v>
      </x:c>
      <x:c r="B242" s="70" t="s">
        <x:v>24</x:v>
      </x:c>
      <x:c r="C242" s="70" t="s">
        <x:v>104</x:v>
      </x:c>
      <x:c r="D242" s="70" t="s">
        <x:v>153</x:v>
      </x:c>
      <x:c r="E242" s="70" t="s">
        <x:v>763</x:v>
      </x:c>
      <x:c r="F242" s="70" t="s">
        <x:v>965</x:v>
      </x:c>
      <x:c r="G242" s="70" t="s">
        <x:v>848</x:v>
      </x:c>
      <x:c r="H242" s="70" t="s">
        <x:v>849</x:v>
      </x:c>
      <x:c r="I242" s="70" t="s">
        <x:v>833</x:v>
      </x:c>
      <x:c r="J242" s="70" t="n">
        <x:v>68</x:v>
      </x:c>
      <x:c r="K242" s="70" t="s">
        <x:v>869</x:v>
      </x:c>
      <x:c r="L242" s="70" t="s">
        <x:v>966</x:v>
      </x:c>
      <x:c r="M242" s="70" t="s">
        <x:v>28</x:v>
      </x:c>
      <x:c r="N242" s="71" t="n">
        <x:v>1118642478</x:v>
      </x:c>
      <x:c r="O242" s="72" t="n">
        <x:f aca="0">N242/1000000</x:f>
        <x:v>1118.642478</x:v>
      </x:c>
      <x:c r="P242" s="73" t="n">
        <x:f aca="0">KOHC!G43</x:f>
        <x:v>1118.642478</x:v>
      </x:c>
      <x:c r="Q242" s="70" t="str">
        <x:f aca="0">IF(ABS(O242-P242)&lt;0.000001,"PASS","FAIL")</x:f>
        <x:v>PASS</x:v>
      </x:c>
      <x:c r="R242" s="70" t="s">
        <x:v>27</x:v>
      </x:c>
      <x:c r="S242" s="70"/>
    </x:row>
    <x:row r="243" ht="15" hidden="0">
      <x:c r="A243" s="70" t="s">
        <x:v>971</x:v>
      </x:c>
      <x:c r="B243" s="70" t="s">
        <x:v>24</x:v>
      </x:c>
      <x:c r="C243" s="70" t="s">
        <x:v>105</x:v>
      </x:c>
      <x:c r="D243" s="70" t="s">
        <x:v>153</x:v>
      </x:c>
      <x:c r="E243" s="70" t="s">
        <x:v>763</x:v>
      </x:c>
      <x:c r="F243" s="70" t="s">
        <x:v>965</x:v>
      </x:c>
      <x:c r="G243" s="70" t="s">
        <x:v>848</x:v>
      </x:c>
      <x:c r="H243" s="70" t="s">
        <x:v>849</x:v>
      </x:c>
      <x:c r="I243" s="70" t="s">
        <x:v>852</x:v>
      </x:c>
      <x:c r="J243" s="70" t="n">
        <x:v>68</x:v>
      </x:c>
      <x:c r="K243" s="70" t="s">
        <x:v>869</x:v>
      </x:c>
      <x:c r="L243" s="70" t="s">
        <x:v>966</x:v>
      </x:c>
      <x:c r="M243" s="70" t="s">
        <x:v>28</x:v>
      </x:c>
      <x:c r="N243" s="71" t="n">
        <x:v>1448977799</x:v>
      </x:c>
      <x:c r="O243" s="72" t="n">
        <x:f aca="0">N243/1000000</x:f>
        <x:v>1448.977799</x:v>
      </x:c>
      <x:c r="P243" s="73" t="n">
        <x:f aca="0">KOHC!H43</x:f>
        <x:v>1448.977799</x:v>
      </x:c>
      <x:c r="Q243" s="70" t="str">
        <x:f aca="0">IF(ABS(O243-P243)&lt;0.000001,"PASS","FAIL")</x:f>
        <x:v>PASS</x:v>
      </x:c>
      <x:c r="R243" s="70" t="s">
        <x:v>27</x:v>
      </x:c>
      <x:c r="S243" s="70"/>
    </x:row>
    <x:row r="244" ht="15" hidden="0">
      <x:c r="A244" s="70" t="s">
        <x:v>972</x:v>
      </x:c>
      <x:c r="B244" s="70" t="s">
        <x:v>24</x:v>
      </x:c>
      <x:c r="C244" s="70" t="s">
        <x:v>717</x:v>
      </x:c>
      <x:c r="D244" s="70" t="s">
        <x:v>155</x:v>
      </x:c>
      <x:c r="E244" s="70" t="s">
        <x:v>763</x:v>
      </x:c>
      <x:c r="F244" s="70"/>
      <x:c r="G244" s="70" t="s">
        <x:v>831</x:v>
      </x:c>
      <x:c r="H244" s="70" t="s">
        <x:v>832</x:v>
      </x:c>
      <x:c r="I244" s="70" t="s">
        <x:v>833</x:v>
      </x:c>
      <x:c r="J244" s="70" t="n">
        <x:v>44</x:v>
      </x:c>
      <x:c r="K244" s="70" t="s">
        <x:v>864</x:v>
      </x:c>
      <x:c r="L244" s="70"/>
      <x:c r="M244" s="70" t="s">
        <x:v>28</x:v>
      </x:c>
      <x:c r="N244" s="71" t="n">
        <x:v>0</x:v>
      </x:c>
      <x:c r="O244" s="72" t="n">
        <x:f aca="0">N244/1000000</x:f>
        <x:v>0</x:v>
      </x:c>
      <x:c r="P244" s="73" t="n">
        <x:f aca="0">KOHC!C44</x:f>
        <x:v>0</x:v>
      </x:c>
      <x:c r="Q244" s="70" t="str">
        <x:f aca="0">IF(ABS(O244-P244)&lt;0.000001,"PASS","FAIL")</x:f>
        <x:v>PASS</x:v>
      </x:c>
      <x:c r="R244" s="70" t="s">
        <x:v>27</x:v>
      </x:c>
      <x:c r="S244" s="70"/>
    </x:row>
    <x:row r="245" ht="15" hidden="0">
      <x:c r="A245" s="70" t="s">
        <x:v>973</x:v>
      </x:c>
      <x:c r="B245" s="70" t="s">
        <x:v>24</x:v>
      </x:c>
      <x:c r="C245" s="70" t="s">
        <x:v>101</x:v>
      </x:c>
      <x:c r="D245" s="70" t="s">
        <x:v>155</x:v>
      </x:c>
      <x:c r="E245" s="70" t="s">
        <x:v>763</x:v>
      </x:c>
      <x:c r="F245" s="70"/>
      <x:c r="G245" s="70" t="s">
        <x:v>837</x:v>
      </x:c>
      <x:c r="H245" s="70" t="s">
        <x:v>838</x:v>
      </x:c>
      <x:c r="I245" s="70" t="s">
        <x:v>833</x:v>
      </x:c>
      <x:c r="J245" s="70" t="n">
        <x:v>52</x:v>
      </x:c>
      <x:c r="K245" s="70" t="s">
        <x:v>864</x:v>
      </x:c>
      <x:c r="L245" s="70"/>
      <x:c r="M245" s="70" t="s">
        <x:v>28</x:v>
      </x:c>
      <x:c r="N245" s="71" t="n">
        <x:v>0</x:v>
      </x:c>
      <x:c r="O245" s="72" t="n">
        <x:f aca="0">N245/1000000</x:f>
        <x:v>0</x:v>
      </x:c>
      <x:c r="P245" s="73" t="n">
        <x:f aca="0">KOHC!D44</x:f>
        <x:v>0</x:v>
      </x:c>
      <x:c r="Q245" s="70" t="str">
        <x:f aca="0">IF(ABS(O245-P245)&lt;0.000001,"PASS","FAIL")</x:f>
        <x:v>PASS</x:v>
      </x:c>
      <x:c r="R245" s="70" t="s">
        <x:v>27</x:v>
      </x:c>
      <x:c r="S245" s="70"/>
    </x:row>
    <x:row r="246" ht="15" hidden="0">
      <x:c r="A246" s="70" t="s">
        <x:v>974</x:v>
      </x:c>
      <x:c r="B246" s="70" t="s">
        <x:v>24</x:v>
      </x:c>
      <x:c r="C246" s="70" t="s">
        <x:v>102</x:v>
      </x:c>
      <x:c r="D246" s="70" t="s">
        <x:v>155</x:v>
      </x:c>
      <x:c r="E246" s="70" t="s">
        <x:v>763</x:v>
      </x:c>
      <x:c r="F246" s="70"/>
      <x:c r="G246" s="70" t="s">
        <x:v>841</x:v>
      </x:c>
      <x:c r="H246" s="70" t="s">
        <x:v>842</x:v>
      </x:c>
      <x:c r="I246" s="70" t="s">
        <x:v>833</x:v>
      </x:c>
      <x:c r="J246" s="70" t="n">
        <x:v>52</x:v>
      </x:c>
      <x:c r="K246" s="70" t="s">
        <x:v>864</x:v>
      </x:c>
      <x:c r="L246" s="70"/>
      <x:c r="M246" s="70" t="s">
        <x:v>28</x:v>
      </x:c>
      <x:c r="N246" s="71" t="n">
        <x:v>0</x:v>
      </x:c>
      <x:c r="O246" s="72" t="n">
        <x:f aca="0">N246/1000000</x:f>
        <x:v>0</x:v>
      </x:c>
      <x:c r="P246" s="73" t="n">
        <x:f aca="0">KOHC!E44</x:f>
        <x:v>0</x:v>
      </x:c>
      <x:c r="Q246" s="70" t="str">
        <x:f aca="0">IF(ABS(O246-P246)&lt;0.000001,"PASS","FAIL")</x:f>
        <x:v>PASS</x:v>
      </x:c>
      <x:c r="R246" s="70" t="s">
        <x:v>27</x:v>
      </x:c>
      <x:c r="S246" s="70"/>
    </x:row>
    <x:row r="247" ht="15" hidden="0">
      <x:c r="A247" s="70" t="s">
        <x:v>975</x:v>
      </x:c>
      <x:c r="B247" s="70" t="s">
        <x:v>24</x:v>
      </x:c>
      <x:c r="C247" s="70" t="s">
        <x:v>103</x:v>
      </x:c>
      <x:c r="D247" s="70" t="s">
        <x:v>155</x:v>
      </x:c>
      <x:c r="E247" s="70" t="s">
        <x:v>763</x:v>
      </x:c>
      <x:c r="F247" s="70"/>
      <x:c r="G247" s="70" t="s">
        <x:v>844</x:v>
      </x:c>
      <x:c r="H247" s="70" t="s">
        <x:v>845</x:v>
      </x:c>
      <x:c r="I247" s="70" t="s">
        <x:v>833</x:v>
      </x:c>
      <x:c r="J247" s="70" t="n">
        <x:v>58</x:v>
      </x:c>
      <x:c r="K247" s="70" t="s">
        <x:v>864</x:v>
      </x:c>
      <x:c r="L247" s="70"/>
      <x:c r="M247" s="70" t="s">
        <x:v>28</x:v>
      </x:c>
      <x:c r="N247" s="71" t="n">
        <x:v>0</x:v>
      </x:c>
      <x:c r="O247" s="72" t="n">
        <x:f aca="0">N247/1000000</x:f>
        <x:v>0</x:v>
      </x:c>
      <x:c r="P247" s="73" t="n">
        <x:f aca="0">KOHC!F44</x:f>
        <x:v>0</x:v>
      </x:c>
      <x:c r="Q247" s="70" t="str">
        <x:f aca="0">IF(ABS(O247-P247)&lt;0.000001,"PASS","FAIL")</x:f>
        <x:v>PASS</x:v>
      </x:c>
      <x:c r="R247" s="70" t="s">
        <x:v>27</x:v>
      </x:c>
      <x:c r="S247" s="70"/>
    </x:row>
    <x:row r="248" ht="15" hidden="0">
      <x:c r="A248" s="70" t="s">
        <x:v>976</x:v>
      </x:c>
      <x:c r="B248" s="70" t="s">
        <x:v>24</x:v>
      </x:c>
      <x:c r="C248" s="70" t="s">
        <x:v>104</x:v>
      </x:c>
      <x:c r="D248" s="70" t="s">
        <x:v>155</x:v>
      </x:c>
      <x:c r="E248" s="70" t="s">
        <x:v>763</x:v>
      </x:c>
      <x:c r="F248" s="70"/>
      <x:c r="G248" s="70" t="s">
        <x:v>848</x:v>
      </x:c>
      <x:c r="H248" s="70" t="s">
        <x:v>849</x:v>
      </x:c>
      <x:c r="I248" s="70" t="s">
        <x:v>833</x:v>
      </x:c>
      <x:c r="J248" s="70" t="n">
        <x:v>68</x:v>
      </x:c>
      <x:c r="K248" s="70" t="s">
        <x:v>869</x:v>
      </x:c>
      <x:c r="L248" s="70"/>
      <x:c r="M248" s="70" t="s">
        <x:v>28</x:v>
      </x:c>
      <x:c r="N248" s="71" t="n">
        <x:v>0</x:v>
      </x:c>
      <x:c r="O248" s="72" t="n">
        <x:f aca="0">N248/1000000</x:f>
        <x:v>0</x:v>
      </x:c>
      <x:c r="P248" s="73" t="n">
        <x:f aca="0">KOHC!G44</x:f>
        <x:v>0</x:v>
      </x:c>
      <x:c r="Q248" s="70" t="str">
        <x:f aca="0">IF(ABS(O248-P248)&lt;0.000001,"PASS","FAIL")</x:f>
        <x:v>PASS</x:v>
      </x:c>
      <x:c r="R248" s="70" t="s">
        <x:v>27</x:v>
      </x:c>
      <x:c r="S248" s="70"/>
    </x:row>
    <x:row r="249" ht="15" hidden="0">
      <x:c r="A249" s="70" t="s">
        <x:v>977</x:v>
      </x:c>
      <x:c r="B249" s="70" t="s">
        <x:v>24</x:v>
      </x:c>
      <x:c r="C249" s="70" t="s">
        <x:v>105</x:v>
      </x:c>
      <x:c r="D249" s="70" t="s">
        <x:v>155</x:v>
      </x:c>
      <x:c r="E249" s="70" t="s">
        <x:v>763</x:v>
      </x:c>
      <x:c r="F249" s="70"/>
      <x:c r="G249" s="70" t="s">
        <x:v>848</x:v>
      </x:c>
      <x:c r="H249" s="70" t="s">
        <x:v>849</x:v>
      </x:c>
      <x:c r="I249" s="70" t="s">
        <x:v>852</x:v>
      </x:c>
      <x:c r="J249" s="70" t="n">
        <x:v>68</x:v>
      </x:c>
      <x:c r="K249" s="70" t="s">
        <x:v>869</x:v>
      </x:c>
      <x:c r="L249" s="70"/>
      <x:c r="M249" s="70" t="s">
        <x:v>28</x:v>
      </x:c>
      <x:c r="N249" s="71" t="n">
        <x:v>0</x:v>
      </x:c>
      <x:c r="O249" s="72" t="n">
        <x:f aca="0">N249/1000000</x:f>
        <x:v>0</x:v>
      </x:c>
      <x:c r="P249" s="73" t="n">
        <x:f aca="0">KOHC!H44</x:f>
        <x:v>0</x:v>
      </x:c>
      <x:c r="Q249" s="70" t="str">
        <x:f aca="0">IF(ABS(O249-P249)&lt;0.000001,"PASS","FAIL")</x:f>
        <x:v>PASS</x:v>
      </x:c>
      <x:c r="R249" s="70" t="s">
        <x:v>27</x:v>
      </x:c>
      <x:c r="S249" s="70"/>
    </x:row>
    <x:row r="250" ht="15" hidden="0">
      <x:c r="A250" s="70" t="s">
        <x:v>978</x:v>
      </x:c>
      <x:c r="B250" s="70" t="s">
        <x:v>24</x:v>
      </x:c>
      <x:c r="C250" s="70" t="s">
        <x:v>717</x:v>
      </x:c>
      <x:c r="D250" s="70" t="s">
        <x:v>157</x:v>
      </x:c>
      <x:c r="E250" s="70" t="s">
        <x:v>763</x:v>
      </x:c>
      <x:c r="F250" s="70" t="s">
        <x:v>979</x:v>
      </x:c>
      <x:c r="G250" s="70" t="s">
        <x:v>831</x:v>
      </x:c>
      <x:c r="H250" s="70" t="s">
        <x:v>832</x:v>
      </x:c>
      <x:c r="I250" s="70" t="s">
        <x:v>833</x:v>
      </x:c>
      <x:c r="J250" s="70" t="n">
        <x:v>44</x:v>
      </x:c>
      <x:c r="K250" s="70" t="s">
        <x:v>864</x:v>
      </x:c>
      <x:c r="L250" s="70" t="s">
        <x:v>980</x:v>
      </x:c>
      <x:c r="M250" s="70" t="s">
        <x:v>28</x:v>
      </x:c>
      <x:c r="N250" s="71" t="n">
        <x:v>0</x:v>
      </x:c>
      <x:c r="O250" s="72" t="n">
        <x:f aca="0">N250/1000000</x:f>
        <x:v>0</x:v>
      </x:c>
      <x:c r="P250" s="73" t="n">
        <x:f aca="0">KOHC!C45</x:f>
        <x:v>0</x:v>
      </x:c>
      <x:c r="Q250" s="70" t="str">
        <x:f aca="0">IF(ABS(O250-P250)&lt;0.000001,"PASS","FAIL")</x:f>
        <x:v>PASS</x:v>
      </x:c>
      <x:c r="R250" s="70" t="s">
        <x:v>27</x:v>
      </x:c>
      <x:c r="S250" s="70"/>
    </x:row>
    <x:row r="251" ht="15" hidden="0">
      <x:c r="A251" s="70" t="s">
        <x:v>981</x:v>
      </x:c>
      <x:c r="B251" s="70" t="s">
        <x:v>24</x:v>
      </x:c>
      <x:c r="C251" s="70" t="s">
        <x:v>101</x:v>
      </x:c>
      <x:c r="D251" s="70" t="s">
        <x:v>157</x:v>
      </x:c>
      <x:c r="E251" s="70" t="s">
        <x:v>763</x:v>
      </x:c>
      <x:c r="F251" s="70" t="s">
        <x:v>979</x:v>
      </x:c>
      <x:c r="G251" s="70" t="s">
        <x:v>837</x:v>
      </x:c>
      <x:c r="H251" s="70" t="s">
        <x:v>838</x:v>
      </x:c>
      <x:c r="I251" s="70" t="s">
        <x:v>833</x:v>
      </x:c>
      <x:c r="J251" s="70" t="n">
        <x:v>52</x:v>
      </x:c>
      <x:c r="K251" s="70" t="s">
        <x:v>864</x:v>
      </x:c>
      <x:c r="L251" s="70" t="s">
        <x:v>980</x:v>
      </x:c>
      <x:c r="M251" s="70" t="s">
        <x:v>28</x:v>
      </x:c>
      <x:c r="N251" s="71" t="n">
        <x:v>1328937</x:v>
      </x:c>
      <x:c r="O251" s="72" t="n">
        <x:f aca="0">N251/1000000</x:f>
        <x:v>1.328937</x:v>
      </x:c>
      <x:c r="P251" s="73" t="n">
        <x:f aca="0">KOHC!D45</x:f>
        <x:v>1.328937</x:v>
      </x:c>
      <x:c r="Q251" s="70" t="str">
        <x:f aca="0">IF(ABS(O251-P251)&lt;0.000001,"PASS","FAIL")</x:f>
        <x:v>PASS</x:v>
      </x:c>
      <x:c r="R251" s="70" t="s">
        <x:v>27</x:v>
      </x:c>
      <x:c r="S251" s="70"/>
    </x:row>
    <x:row r="252" ht="15" hidden="0">
      <x:c r="A252" s="70" t="s">
        <x:v>982</x:v>
      </x:c>
      <x:c r="B252" s="70" t="s">
        <x:v>24</x:v>
      </x:c>
      <x:c r="C252" s="70" t="s">
        <x:v>102</x:v>
      </x:c>
      <x:c r="D252" s="70" t="s">
        <x:v>157</x:v>
      </x:c>
      <x:c r="E252" s="70" t="s">
        <x:v>763</x:v>
      </x:c>
      <x:c r="F252" s="70"/>
      <x:c r="G252" s="70" t="s">
        <x:v>841</x:v>
      </x:c>
      <x:c r="H252" s="70" t="s">
        <x:v>842</x:v>
      </x:c>
      <x:c r="I252" s="70" t="s">
        <x:v>833</x:v>
      </x:c>
      <x:c r="J252" s="70" t="n">
        <x:v>52</x:v>
      </x:c>
      <x:c r="K252" s="70" t="s">
        <x:v>864</x:v>
      </x:c>
      <x:c r="L252" s="70"/>
      <x:c r="M252" s="70" t="s">
        <x:v>28</x:v>
      </x:c>
      <x:c r="N252" s="71" t="n">
        <x:v>0</x:v>
      </x:c>
      <x:c r="O252" s="72" t="n">
        <x:f aca="0">N252/1000000</x:f>
        <x:v>0</x:v>
      </x:c>
      <x:c r="P252" s="73" t="n">
        <x:f aca="0">KOHC!E45</x:f>
        <x:v>0</x:v>
      </x:c>
      <x:c r="Q252" s="70" t="str">
        <x:f aca="0">IF(ABS(O252-P252)&lt;0.000001,"PASS","FAIL")</x:f>
        <x:v>PASS</x:v>
      </x:c>
      <x:c r="R252" s="70" t="s">
        <x:v>27</x:v>
      </x:c>
      <x:c r="S252" s="70"/>
    </x:row>
    <x:row r="253" ht="15" hidden="0">
      <x:c r="A253" s="70" t="s">
        <x:v>983</x:v>
      </x:c>
      <x:c r="B253" s="70" t="s">
        <x:v>24</x:v>
      </x:c>
      <x:c r="C253" s="70" t="s">
        <x:v>103</x:v>
      </x:c>
      <x:c r="D253" s="70" t="s">
        <x:v>157</x:v>
      </x:c>
      <x:c r="E253" s="70" t="s">
        <x:v>763</x:v>
      </x:c>
      <x:c r="F253" s="70"/>
      <x:c r="G253" s="70" t="s">
        <x:v>844</x:v>
      </x:c>
      <x:c r="H253" s="70" t="s">
        <x:v>845</x:v>
      </x:c>
      <x:c r="I253" s="70" t="s">
        <x:v>833</x:v>
      </x:c>
      <x:c r="J253" s="70" t="n">
        <x:v>58</x:v>
      </x:c>
      <x:c r="K253" s="70" t="s">
        <x:v>864</x:v>
      </x:c>
      <x:c r="L253" s="70"/>
      <x:c r="M253" s="70" t="s">
        <x:v>28</x:v>
      </x:c>
      <x:c r="N253" s="71" t="n">
        <x:v>0</x:v>
      </x:c>
      <x:c r="O253" s="72" t="n">
        <x:f aca="0">N253/1000000</x:f>
        <x:v>0</x:v>
      </x:c>
      <x:c r="P253" s="73" t="n">
        <x:f aca="0">KOHC!F45</x:f>
        <x:v>0</x:v>
      </x:c>
      <x:c r="Q253" s="70" t="str">
        <x:f aca="0">IF(ABS(O253-P253)&lt;0.000001,"PASS","FAIL")</x:f>
        <x:v>PASS</x:v>
      </x:c>
      <x:c r="R253" s="70" t="s">
        <x:v>27</x:v>
      </x:c>
      <x:c r="S253" s="70"/>
    </x:row>
    <x:row r="254" ht="15" hidden="0">
      <x:c r="A254" s="70" t="s">
        <x:v>984</x:v>
      </x:c>
      <x:c r="B254" s="70" t="s">
        <x:v>24</x:v>
      </x:c>
      <x:c r="C254" s="70" t="s">
        <x:v>104</x:v>
      </x:c>
      <x:c r="D254" s="70" t="s">
        <x:v>157</x:v>
      </x:c>
      <x:c r="E254" s="70" t="s">
        <x:v>763</x:v>
      </x:c>
      <x:c r="F254" s="70"/>
      <x:c r="G254" s="70" t="s">
        <x:v>848</x:v>
      </x:c>
      <x:c r="H254" s="70" t="s">
        <x:v>849</x:v>
      </x:c>
      <x:c r="I254" s="70" t="s">
        <x:v>833</x:v>
      </x:c>
      <x:c r="J254" s="70" t="n">
        <x:v>68</x:v>
      </x:c>
      <x:c r="K254" s="70" t="s">
        <x:v>869</x:v>
      </x:c>
      <x:c r="L254" s="70"/>
      <x:c r="M254" s="70" t="s">
        <x:v>28</x:v>
      </x:c>
      <x:c r="N254" s="71" t="n">
        <x:v>0</x:v>
      </x:c>
      <x:c r="O254" s="72" t="n">
        <x:f aca="0">N254/1000000</x:f>
        <x:v>0</x:v>
      </x:c>
      <x:c r="P254" s="73" t="n">
        <x:f aca="0">KOHC!G45</x:f>
        <x:v>0</x:v>
      </x:c>
      <x:c r="Q254" s="70" t="str">
        <x:f aca="0">IF(ABS(O254-P254)&lt;0.000001,"PASS","FAIL")</x:f>
        <x:v>PASS</x:v>
      </x:c>
      <x:c r="R254" s="70" t="s">
        <x:v>27</x:v>
      </x:c>
      <x:c r="S254" s="70"/>
    </x:row>
    <x:row r="255" ht="15" hidden="0">
      <x:c r="A255" s="70" t="s">
        <x:v>985</x:v>
      </x:c>
      <x:c r="B255" s="70" t="s">
        <x:v>24</x:v>
      </x:c>
      <x:c r="C255" s="70" t="s">
        <x:v>105</x:v>
      </x:c>
      <x:c r="D255" s="70" t="s">
        <x:v>157</x:v>
      </x:c>
      <x:c r="E255" s="70" t="s">
        <x:v>763</x:v>
      </x:c>
      <x:c r="F255" s="70"/>
      <x:c r="G255" s="70" t="s">
        <x:v>848</x:v>
      </x:c>
      <x:c r="H255" s="70" t="s">
        <x:v>849</x:v>
      </x:c>
      <x:c r="I255" s="70" t="s">
        <x:v>852</x:v>
      </x:c>
      <x:c r="J255" s="70" t="n">
        <x:v>68</x:v>
      </x:c>
      <x:c r="K255" s="70" t="s">
        <x:v>869</x:v>
      </x:c>
      <x:c r="L255" s="70"/>
      <x:c r="M255" s="70" t="s">
        <x:v>28</x:v>
      </x:c>
      <x:c r="N255" s="71" t="n">
        <x:v>0</x:v>
      </x:c>
      <x:c r="O255" s="72" t="n">
        <x:f aca="0">N255/1000000</x:f>
        <x:v>0</x:v>
      </x:c>
      <x:c r="P255" s="73" t="n">
        <x:f aca="0">KOHC!H45</x:f>
        <x:v>0</x:v>
      </x:c>
      <x:c r="Q255" s="70" t="str">
        <x:f aca="0">IF(ABS(O255-P255)&lt;0.000001,"PASS","FAIL")</x:f>
        <x:v>PASS</x:v>
      </x:c>
      <x:c r="R255" s="70" t="s">
        <x:v>27</x:v>
      </x:c>
      <x:c r="S255" s="70"/>
    </x:row>
    <x:row r="256" ht="15" hidden="0">
      <x:c r="A256" s="70" t="s">
        <x:v>986</x:v>
      </x:c>
      <x:c r="B256" s="70" t="s">
        <x:v>24</x:v>
      </x:c>
      <x:c r="C256" s="70" t="s">
        <x:v>717</x:v>
      </x:c>
      <x:c r="D256" s="70" t="s">
        <x:v>159</x:v>
      </x:c>
      <x:c r="E256" s="70" t="s">
        <x:v>763</x:v>
      </x:c>
      <x:c r="F256" s="70" t="s">
        <x:v>987</x:v>
      </x:c>
      <x:c r="G256" s="70" t="s">
        <x:v>831</x:v>
      </x:c>
      <x:c r="H256" s="70" t="s">
        <x:v>832</x:v>
      </x:c>
      <x:c r="I256" s="70" t="s">
        <x:v>833</x:v>
      </x:c>
      <x:c r="J256" s="70" t="n">
        <x:v>44</x:v>
      </x:c>
      <x:c r="K256" s="70" t="s">
        <x:v>864</x:v>
      </x:c>
      <x:c r="L256" s="70"/>
      <x:c r="M256" s="70" t="s">
        <x:v>28</x:v>
      </x:c>
      <x:c r="N256" s="71" t="n">
        <x:v>1287942113</x:v>
      </x:c>
      <x:c r="O256" s="72" t="n">
        <x:f aca="0">N256/1000000</x:f>
        <x:v>1287.942113</x:v>
      </x:c>
      <x:c r="P256" s="73" t="n">
        <x:f aca="0">KOHC!C46</x:f>
        <x:v>1287.942113</x:v>
      </x:c>
      <x:c r="Q256" s="70" t="str">
        <x:f aca="0">IF(ABS(O256-P256)&lt;0.000001,"PASS","FAIL")</x:f>
        <x:v>PASS</x:v>
      </x:c>
      <x:c r="R256" s="70" t="s">
        <x:v>27</x:v>
      </x:c>
      <x:c r="S256" s="70"/>
    </x:row>
    <x:row r="257" ht="15" hidden="0">
      <x:c r="A257" s="70" t="s">
        <x:v>988</x:v>
      </x:c>
      <x:c r="B257" s="70" t="s">
        <x:v>24</x:v>
      </x:c>
      <x:c r="C257" s="70" t="s">
        <x:v>101</x:v>
      </x:c>
      <x:c r="D257" s="70" t="s">
        <x:v>159</x:v>
      </x:c>
      <x:c r="E257" s="70" t="s">
        <x:v>763</x:v>
      </x:c>
      <x:c r="F257" s="70" t="s">
        <x:v>987</x:v>
      </x:c>
      <x:c r="G257" s="70" t="s">
        <x:v>837</x:v>
      </x:c>
      <x:c r="H257" s="70" t="s">
        <x:v>838</x:v>
      </x:c>
      <x:c r="I257" s="70" t="s">
        <x:v>833</x:v>
      </x:c>
      <x:c r="J257" s="70" t="n">
        <x:v>52</x:v>
      </x:c>
      <x:c r="K257" s="70" t="s">
        <x:v>864</x:v>
      </x:c>
      <x:c r="L257" s="70"/>
      <x:c r="M257" s="70" t="s">
        <x:v>28</x:v>
      </x:c>
      <x:c r="N257" s="71" t="n">
        <x:v>1857649347</x:v>
      </x:c>
      <x:c r="O257" s="72" t="n">
        <x:f aca="0">N257/1000000</x:f>
        <x:v>1857.649347</x:v>
      </x:c>
      <x:c r="P257" s="73" t="n">
        <x:f aca="0">KOHC!D46</x:f>
        <x:v>1857.649347</x:v>
      </x:c>
      <x:c r="Q257" s="70" t="str">
        <x:f aca="0">IF(ABS(O257-P257)&lt;0.000001,"PASS","FAIL")</x:f>
        <x:v>PASS</x:v>
      </x:c>
      <x:c r="R257" s="70" t="s">
        <x:v>27</x:v>
      </x:c>
      <x:c r="S257" s="70"/>
    </x:row>
    <x:row r="258" ht="15" hidden="0">
      <x:c r="A258" s="70" t="s">
        <x:v>989</x:v>
      </x:c>
      <x:c r="B258" s="70" t="s">
        <x:v>24</x:v>
      </x:c>
      <x:c r="C258" s="70" t="s">
        <x:v>102</x:v>
      </x:c>
      <x:c r="D258" s="70" t="s">
        <x:v>159</x:v>
      </x:c>
      <x:c r="E258" s="70" t="s">
        <x:v>763</x:v>
      </x:c>
      <x:c r="F258" s="70" t="s">
        <x:v>987</x:v>
      </x:c>
      <x:c r="G258" s="70" t="s">
        <x:v>841</x:v>
      </x:c>
      <x:c r="H258" s="70" t="s">
        <x:v>842</x:v>
      </x:c>
      <x:c r="I258" s="70" t="s">
        <x:v>833</x:v>
      </x:c>
      <x:c r="J258" s="70" t="n">
        <x:v>52</x:v>
      </x:c>
      <x:c r="K258" s="70" t="s">
        <x:v>864</x:v>
      </x:c>
      <x:c r="L258" s="70"/>
      <x:c r="M258" s="70" t="s">
        <x:v>28</x:v>
      </x:c>
      <x:c r="N258" s="71" t="n">
        <x:v>3407373618</x:v>
      </x:c>
      <x:c r="O258" s="72" t="n">
        <x:f aca="0">N258/1000000</x:f>
        <x:v>3407.373618</x:v>
      </x:c>
      <x:c r="P258" s="73" t="n">
        <x:f aca="0">KOHC!E46</x:f>
        <x:v>3407.373618</x:v>
      </x:c>
      <x:c r="Q258" s="70" t="str">
        <x:f aca="0">IF(ABS(O258-P258)&lt;0.000001,"PASS","FAIL")</x:f>
        <x:v>PASS</x:v>
      </x:c>
      <x:c r="R258" s="70" t="s">
        <x:v>27</x:v>
      </x:c>
      <x:c r="S258" s="70"/>
    </x:row>
    <x:row r="259" ht="15" hidden="0">
      <x:c r="A259" s="70" t="s">
        <x:v>990</x:v>
      </x:c>
      <x:c r="B259" s="70" t="s">
        <x:v>24</x:v>
      </x:c>
      <x:c r="C259" s="70" t="s">
        <x:v>103</x:v>
      </x:c>
      <x:c r="D259" s="70" t="s">
        <x:v>159</x:v>
      </x:c>
      <x:c r="E259" s="70" t="s">
        <x:v>763</x:v>
      </x:c>
      <x:c r="F259" s="70" t="s">
        <x:v>987</x:v>
      </x:c>
      <x:c r="G259" s="70" t="s">
        <x:v>844</x:v>
      </x:c>
      <x:c r="H259" s="70" t="s">
        <x:v>845</x:v>
      </x:c>
      <x:c r="I259" s="70" t="s">
        <x:v>833</x:v>
      </x:c>
      <x:c r="J259" s="70" t="n">
        <x:v>58</x:v>
      </x:c>
      <x:c r="K259" s="70" t="s">
        <x:v>864</x:v>
      </x:c>
      <x:c r="L259" s="70"/>
      <x:c r="M259" s="70" t="s">
        <x:v>28</x:v>
      </x:c>
      <x:c r="N259" s="71" t="n">
        <x:v>4823158446</x:v>
      </x:c>
      <x:c r="O259" s="72" t="n">
        <x:f aca="0">N259/1000000</x:f>
        <x:v>4823.158446</x:v>
      </x:c>
      <x:c r="P259" s="73" t="n">
        <x:f aca="0">KOHC!F46</x:f>
        <x:v>4823.158446</x:v>
      </x:c>
      <x:c r="Q259" s="70" t="str">
        <x:f aca="0">IF(ABS(O259-P259)&lt;0.000001,"PASS","FAIL")</x:f>
        <x:v>PASS</x:v>
      </x:c>
      <x:c r="R259" s="70" t="s">
        <x:v>27</x:v>
      </x:c>
      <x:c r="S259" s="70"/>
    </x:row>
    <x:row r="260" ht="15" hidden="0">
      <x:c r="A260" s="70" t="s">
        <x:v>991</x:v>
      </x:c>
      <x:c r="B260" s="70" t="s">
        <x:v>24</x:v>
      </x:c>
      <x:c r="C260" s="70" t="s">
        <x:v>104</x:v>
      </x:c>
      <x:c r="D260" s="70" t="s">
        <x:v>159</x:v>
      </x:c>
      <x:c r="E260" s="70" t="s">
        <x:v>763</x:v>
      </x:c>
      <x:c r="F260" s="70" t="s">
        <x:v>987</x:v>
      </x:c>
      <x:c r="G260" s="70" t="s">
        <x:v>848</x:v>
      </x:c>
      <x:c r="H260" s="70" t="s">
        <x:v>849</x:v>
      </x:c>
      <x:c r="I260" s="70" t="s">
        <x:v>833</x:v>
      </x:c>
      <x:c r="J260" s="70" t="n">
        <x:v>68</x:v>
      </x:c>
      <x:c r="K260" s="70" t="s">
        <x:v>869</x:v>
      </x:c>
      <x:c r="L260" s="70"/>
      <x:c r="M260" s="70" t="s">
        <x:v>28</x:v>
      </x:c>
      <x:c r="N260" s="71" t="n">
        <x:v>5505823994</x:v>
      </x:c>
      <x:c r="O260" s="72" t="n">
        <x:f aca="0">N260/1000000</x:f>
        <x:v>5505.823994</x:v>
      </x:c>
      <x:c r="P260" s="73" t="n">
        <x:f aca="0">KOHC!G46</x:f>
        <x:v>5505.823994</x:v>
      </x:c>
      <x:c r="Q260" s="70" t="str">
        <x:f aca="0">IF(ABS(O260-P260)&lt;0.000001,"PASS","FAIL")</x:f>
        <x:v>PASS</x:v>
      </x:c>
      <x:c r="R260" s="70" t="s">
        <x:v>27</x:v>
      </x:c>
      <x:c r="S260" s="70"/>
    </x:row>
    <x:row r="261" ht="15" hidden="0">
      <x:c r="A261" s="70" t="s">
        <x:v>992</x:v>
      </x:c>
      <x:c r="B261" s="70" t="s">
        <x:v>24</x:v>
      </x:c>
      <x:c r="C261" s="70" t="s">
        <x:v>105</x:v>
      </x:c>
      <x:c r="D261" s="70" t="s">
        <x:v>159</x:v>
      </x:c>
      <x:c r="E261" s="70" t="s">
        <x:v>763</x:v>
      </x:c>
      <x:c r="F261" s="70" t="s">
        <x:v>987</x:v>
      </x:c>
      <x:c r="G261" s="70" t="s">
        <x:v>848</x:v>
      </x:c>
      <x:c r="H261" s="70" t="s">
        <x:v>849</x:v>
      </x:c>
      <x:c r="I261" s="70" t="s">
        <x:v>852</x:v>
      </x:c>
      <x:c r="J261" s="70" t="n">
        <x:v>68</x:v>
      </x:c>
      <x:c r="K261" s="70" t="s">
        <x:v>869</x:v>
      </x:c>
      <x:c r="L261" s="70"/>
      <x:c r="M261" s="70" t="s">
        <x:v>28</x:v>
      </x:c>
      <x:c r="N261" s="71" t="n">
        <x:v>5688116040</x:v>
      </x:c>
      <x:c r="O261" s="72" t="n">
        <x:f aca="0">N261/1000000</x:f>
        <x:v>5688.11604</x:v>
      </x:c>
      <x:c r="P261" s="73" t="n">
        <x:f aca="0">KOHC!H46</x:f>
        <x:v>5688.11604</x:v>
      </x:c>
      <x:c r="Q261" s="70" t="str">
        <x:f aca="0">IF(ABS(O261-P261)&lt;0.000001,"PASS","FAIL")</x:f>
        <x:v>PASS</x:v>
      </x:c>
      <x:c r="R261" s="70" t="s">
        <x:v>27</x:v>
      </x:c>
      <x:c r="S261" s="70"/>
    </x:row>
    <x:row r="262" ht="15" hidden="0">
      <x:c r="A262" s="70" t="s">
        <x:v>993</x:v>
      </x:c>
      <x:c r="B262" s="70" t="s">
        <x:v>24</x:v>
      </x:c>
      <x:c r="C262" s="70" t="s">
        <x:v>717</x:v>
      </x:c>
      <x:c r="D262" s="70" t="s">
        <x:v>161</x:v>
      </x:c>
      <x:c r="E262" s="70" t="s">
        <x:v>763</x:v>
      </x:c>
      <x:c r="F262" s="70" t="s">
        <x:v>994</x:v>
      </x:c>
      <x:c r="G262" s="70" t="s">
        <x:v>831</x:v>
      </x:c>
      <x:c r="H262" s="70" t="s">
        <x:v>832</x:v>
      </x:c>
      <x:c r="I262" s="70" t="s">
        <x:v>833</x:v>
      </x:c>
      <x:c r="J262" s="70" t="n">
        <x:v>44</x:v>
      </x:c>
      <x:c r="K262" s="70" t="s">
        <x:v>864</x:v>
      </x:c>
      <x:c r="L262" s="70" t="s">
        <x:v>995</x:v>
      </x:c>
      <x:c r="M262" s="70" t="s">
        <x:v>28</x:v>
      </x:c>
      <x:c r="N262" s="71" t="n">
        <x:v>23277456</x:v>
      </x:c>
      <x:c r="O262" s="72" t="n">
        <x:f aca="0">N262/1000000</x:f>
        <x:v>23.277456</x:v>
      </x:c>
      <x:c r="P262" s="73" t="n">
        <x:f aca="0">KOHC!C47</x:f>
        <x:v>23.277456</x:v>
      </x:c>
      <x:c r="Q262" s="70" t="str">
        <x:f aca="0">IF(ABS(O262-P262)&lt;0.000001,"PASS","FAIL")</x:f>
        <x:v>PASS</x:v>
      </x:c>
      <x:c r="R262" s="70" t="s">
        <x:v>27</x:v>
      </x:c>
      <x:c r="S262" s="70"/>
    </x:row>
    <x:row r="263" ht="15" hidden="0">
      <x:c r="A263" s="70" t="s">
        <x:v>996</x:v>
      </x:c>
      <x:c r="B263" s="70" t="s">
        <x:v>24</x:v>
      </x:c>
      <x:c r="C263" s="70" t="s">
        <x:v>101</x:v>
      </x:c>
      <x:c r="D263" s="70" t="s">
        <x:v>161</x:v>
      </x:c>
      <x:c r="E263" s="70" t="s">
        <x:v>763</x:v>
      </x:c>
      <x:c r="F263" s="70" t="s">
        <x:v>994</x:v>
      </x:c>
      <x:c r="G263" s="70" t="s">
        <x:v>837</x:v>
      </x:c>
      <x:c r="H263" s="70" t="s">
        <x:v>838</x:v>
      </x:c>
      <x:c r="I263" s="70" t="s">
        <x:v>833</x:v>
      </x:c>
      <x:c r="J263" s="70" t="n">
        <x:v>52</x:v>
      </x:c>
      <x:c r="K263" s="70" t="s">
        <x:v>864</x:v>
      </x:c>
      <x:c r="L263" s="70" t="s">
        <x:v>995</x:v>
      </x:c>
      <x:c r="M263" s="70" t="s">
        <x:v>28</x:v>
      </x:c>
      <x:c r="N263" s="71" t="n">
        <x:v>26394536</x:v>
      </x:c>
      <x:c r="O263" s="72" t="n">
        <x:f aca="0">N263/1000000</x:f>
        <x:v>26.394536</x:v>
      </x:c>
      <x:c r="P263" s="73" t="n">
        <x:f aca="0">KOHC!D47</x:f>
        <x:v>26.394536</x:v>
      </x:c>
      <x:c r="Q263" s="70" t="str">
        <x:f aca="0">IF(ABS(O263-P263)&lt;0.000001,"PASS","FAIL")</x:f>
        <x:v>PASS</x:v>
      </x:c>
      <x:c r="R263" s="70" t="s">
        <x:v>27</x:v>
      </x:c>
      <x:c r="S263" s="70"/>
    </x:row>
    <x:row r="264" ht="15" hidden="0">
      <x:c r="A264" s="70" t="s">
        <x:v>997</x:v>
      </x:c>
      <x:c r="B264" s="70" t="s">
        <x:v>24</x:v>
      </x:c>
      <x:c r="C264" s="70" t="s">
        <x:v>102</x:v>
      </x:c>
      <x:c r="D264" s="70" t="s">
        <x:v>161</x:v>
      </x:c>
      <x:c r="E264" s="70" t="s">
        <x:v>763</x:v>
      </x:c>
      <x:c r="F264" s="70" t="s">
        <x:v>994</x:v>
      </x:c>
      <x:c r="G264" s="70" t="s">
        <x:v>841</x:v>
      </x:c>
      <x:c r="H264" s="70" t="s">
        <x:v>842</x:v>
      </x:c>
      <x:c r="I264" s="70" t="s">
        <x:v>833</x:v>
      </x:c>
      <x:c r="J264" s="70" t="n">
        <x:v>52</x:v>
      </x:c>
      <x:c r="K264" s="70" t="s">
        <x:v>864</x:v>
      </x:c>
      <x:c r="L264" s="70" t="s">
        <x:v>995</x:v>
      </x:c>
      <x:c r="M264" s="70" t="s">
        <x:v>28</x:v>
      </x:c>
      <x:c r="N264" s="71" t="n">
        <x:v>29683198</x:v>
      </x:c>
      <x:c r="O264" s="72" t="n">
        <x:f aca="0">N264/1000000</x:f>
        <x:v>29.683198</x:v>
      </x:c>
      <x:c r="P264" s="73" t="n">
        <x:f aca="0">KOHC!E47</x:f>
        <x:v>29.683198</x:v>
      </x:c>
      <x:c r="Q264" s="70" t="str">
        <x:f aca="0">IF(ABS(O264-P264)&lt;0.000001,"PASS","FAIL")</x:f>
        <x:v>PASS</x:v>
      </x:c>
      <x:c r="R264" s="70" t="s">
        <x:v>27</x:v>
      </x:c>
      <x:c r="S264" s="70"/>
    </x:row>
    <x:row r="265" ht="15" hidden="0">
      <x:c r="A265" s="70" t="s">
        <x:v>998</x:v>
      </x:c>
      <x:c r="B265" s="70" t="s">
        <x:v>24</x:v>
      </x:c>
      <x:c r="C265" s="70" t="s">
        <x:v>103</x:v>
      </x:c>
      <x:c r="D265" s="70" t="s">
        <x:v>161</x:v>
      </x:c>
      <x:c r="E265" s="70" t="s">
        <x:v>763</x:v>
      </x:c>
      <x:c r="F265" s="70" t="s">
        <x:v>994</x:v>
      </x:c>
      <x:c r="G265" s="70" t="s">
        <x:v>844</x:v>
      </x:c>
      <x:c r="H265" s="70" t="s">
        <x:v>845</x:v>
      </x:c>
      <x:c r="I265" s="70" t="s">
        <x:v>833</x:v>
      </x:c>
      <x:c r="J265" s="70" t="n">
        <x:v>58</x:v>
      </x:c>
      <x:c r="K265" s="70" t="s">
        <x:v>864</x:v>
      </x:c>
      <x:c r="L265" s="70" t="s">
        <x:v>995</x:v>
      </x:c>
      <x:c r="M265" s="70" t="s">
        <x:v>28</x:v>
      </x:c>
      <x:c r="N265" s="71" t="n">
        <x:v>35383341</x:v>
      </x:c>
      <x:c r="O265" s="72" t="n">
        <x:f aca="0">N265/1000000</x:f>
        <x:v>35.383341</x:v>
      </x:c>
      <x:c r="P265" s="73" t="n">
        <x:f aca="0">KOHC!F47</x:f>
        <x:v>35.383341</x:v>
      </x:c>
      <x:c r="Q265" s="70" t="str">
        <x:f aca="0">IF(ABS(O265-P265)&lt;0.000001,"PASS","FAIL")</x:f>
        <x:v>PASS</x:v>
      </x:c>
      <x:c r="R265" s="70" t="s">
        <x:v>27</x:v>
      </x:c>
      <x:c r="S265" s="70"/>
    </x:row>
    <x:row r="266" ht="15" hidden="0">
      <x:c r="A266" s="70" t="s">
        <x:v>999</x:v>
      </x:c>
      <x:c r="B266" s="70" t="s">
        <x:v>24</x:v>
      </x:c>
      <x:c r="C266" s="70" t="s">
        <x:v>104</x:v>
      </x:c>
      <x:c r="D266" s="70" t="s">
        <x:v>161</x:v>
      </x:c>
      <x:c r="E266" s="70" t="s">
        <x:v>763</x:v>
      </x:c>
      <x:c r="F266" s="70" t="s">
        <x:v>994</x:v>
      </x:c>
      <x:c r="G266" s="70" t="s">
        <x:v>848</x:v>
      </x:c>
      <x:c r="H266" s="70" t="s">
        <x:v>849</x:v>
      </x:c>
      <x:c r="I266" s="70" t="s">
        <x:v>833</x:v>
      </x:c>
      <x:c r="J266" s="70" t="n">
        <x:v>68</x:v>
      </x:c>
      <x:c r="K266" s="70" t="s">
        <x:v>869</x:v>
      </x:c>
      <x:c r="L266" s="70" t="s">
        <x:v>995</x:v>
      </x:c>
      <x:c r="M266" s="70" t="s">
        <x:v>28</x:v>
      </x:c>
      <x:c r="N266" s="71" t="n">
        <x:v>32887203</x:v>
      </x:c>
      <x:c r="O266" s="72" t="n">
        <x:f aca="0">N266/1000000</x:f>
        <x:v>32.887203</x:v>
      </x:c>
      <x:c r="P266" s="73" t="n">
        <x:f aca="0">KOHC!G47</x:f>
        <x:v>32.887203</x:v>
      </x:c>
      <x:c r="Q266" s="70" t="str">
        <x:f aca="0">IF(ABS(O266-P266)&lt;0.000001,"PASS","FAIL")</x:f>
        <x:v>PASS</x:v>
      </x:c>
      <x:c r="R266" s="70" t="s">
        <x:v>27</x:v>
      </x:c>
      <x:c r="S266" s="70"/>
    </x:row>
    <x:row r="267" ht="15" hidden="0">
      <x:c r="A267" s="70" t="s">
        <x:v>1000</x:v>
      </x:c>
      <x:c r="B267" s="70" t="s">
        <x:v>24</x:v>
      </x:c>
      <x:c r="C267" s="70" t="s">
        <x:v>105</x:v>
      </x:c>
      <x:c r="D267" s="70" t="s">
        <x:v>161</x:v>
      </x:c>
      <x:c r="E267" s="70" t="s">
        <x:v>763</x:v>
      </x:c>
      <x:c r="F267" s="70" t="s">
        <x:v>994</x:v>
      </x:c>
      <x:c r="G267" s="70" t="s">
        <x:v>848</x:v>
      </x:c>
      <x:c r="H267" s="70" t="s">
        <x:v>849</x:v>
      </x:c>
      <x:c r="I267" s="70" t="s">
        <x:v>852</x:v>
      </x:c>
      <x:c r="J267" s="70" t="n">
        <x:v>68</x:v>
      </x:c>
      <x:c r="K267" s="70" t="s">
        <x:v>869</x:v>
      </x:c>
      <x:c r="L267" s="70" t="s">
        <x:v>995</x:v>
      </x:c>
      <x:c r="M267" s="70" t="s">
        <x:v>28</x:v>
      </x:c>
      <x:c r="N267" s="71" t="n">
        <x:v>40322031</x:v>
      </x:c>
      <x:c r="O267" s="72" t="n">
        <x:f aca="0">N267/1000000</x:f>
        <x:v>40.322031</x:v>
      </x:c>
      <x:c r="P267" s="73" t="n">
        <x:f aca="0">KOHC!H47</x:f>
        <x:v>40.322031</x:v>
      </x:c>
      <x:c r="Q267" s="70" t="str">
        <x:f aca="0">IF(ABS(O267-P267)&lt;0.000001,"PASS","FAIL")</x:f>
        <x:v>PASS</x:v>
      </x:c>
      <x:c r="R267" s="70" t="s">
        <x:v>27</x:v>
      </x:c>
      <x:c r="S267" s="70"/>
    </x:row>
    <x:row r="268" ht="15" hidden="0">
      <x:c r="A268" s="70" t="s">
        <x:v>1001</x:v>
      </x:c>
      <x:c r="B268" s="70" t="s">
        <x:v>24</x:v>
      </x:c>
      <x:c r="C268" s="70" t="s">
        <x:v>717</x:v>
      </x:c>
      <x:c r="D268" s="70" t="s">
        <x:v>166</x:v>
      </x:c>
      <x:c r="E268" s="70" t="s">
        <x:v>763</x:v>
      </x:c>
      <x:c r="F268" s="70" t="s">
        <x:v>166</x:v>
      </x:c>
      <x:c r="G268" s="70" t="s">
        <x:v>831</x:v>
      </x:c>
      <x:c r="H268" s="70" t="s">
        <x:v>832</x:v>
      </x:c>
      <x:c r="I268" s="70" t="s">
        <x:v>833</x:v>
      </x:c>
      <x:c r="J268" s="70" t="n">
        <x:v>44</x:v>
      </x:c>
      <x:c r="K268" s="70" t="s">
        <x:v>864</x:v>
      </x:c>
      <x:c r="L268" s="70" t="s">
        <x:v>1002</x:v>
      </x:c>
      <x:c r="M268" s="70" t="s">
        <x:v>28</x:v>
      </x:c>
      <x:c r="N268" s="71" t="n">
        <x:v>4293205395</x:v>
      </x:c>
      <x:c r="O268" s="72" t="n">
        <x:f aca="0">N268/1000000</x:f>
        <x:v>4293.205395</x:v>
      </x:c>
      <x:c r="P268" s="73" t="n">
        <x:f aca="0">KOHC!C50</x:f>
        <x:v>4293.205395</x:v>
      </x:c>
      <x:c r="Q268" s="70" t="str">
        <x:f aca="0">IF(ABS(O268-P268)&lt;0.000001,"PASS","FAIL")</x:f>
        <x:v>PASS</x:v>
      </x:c>
      <x:c r="R268" s="70" t="s">
        <x:v>27</x:v>
      </x:c>
      <x:c r="S268" s="70"/>
    </x:row>
    <x:row r="269" ht="15" hidden="0">
      <x:c r="A269" s="70" t="s">
        <x:v>1003</x:v>
      </x:c>
      <x:c r="B269" s="70" t="s">
        <x:v>24</x:v>
      </x:c>
      <x:c r="C269" s="70" t="s">
        <x:v>101</x:v>
      </x:c>
      <x:c r="D269" s="70" t="s">
        <x:v>166</x:v>
      </x:c>
      <x:c r="E269" s="70" t="s">
        <x:v>763</x:v>
      </x:c>
      <x:c r="F269" s="70" t="s">
        <x:v>166</x:v>
      </x:c>
      <x:c r="G269" s="70" t="s">
        <x:v>837</x:v>
      </x:c>
      <x:c r="H269" s="70" t="s">
        <x:v>838</x:v>
      </x:c>
      <x:c r="I269" s="70" t="s">
        <x:v>833</x:v>
      </x:c>
      <x:c r="J269" s="70" t="n">
        <x:v>52</x:v>
      </x:c>
      <x:c r="K269" s="70" t="s">
        <x:v>864</x:v>
      </x:c>
      <x:c r="L269" s="70" t="s">
        <x:v>1002</x:v>
      </x:c>
      <x:c r="M269" s="70" t="s">
        <x:v>28</x:v>
      </x:c>
      <x:c r="N269" s="71" t="n">
        <x:v>4985385529</x:v>
      </x:c>
      <x:c r="O269" s="72" t="n">
        <x:f aca="0">N269/1000000</x:f>
        <x:v>4985.385529</x:v>
      </x:c>
      <x:c r="P269" s="73" t="n">
        <x:f aca="0">KOHC!D50</x:f>
        <x:v>4985.385529</x:v>
      </x:c>
      <x:c r="Q269" s="70" t="str">
        <x:f aca="0">IF(ABS(O269-P269)&lt;0.000001,"PASS","FAIL")</x:f>
        <x:v>PASS</x:v>
      </x:c>
      <x:c r="R269" s="70" t="s">
        <x:v>27</x:v>
      </x:c>
      <x:c r="S269" s="70"/>
    </x:row>
    <x:row r="270" ht="15" hidden="0">
      <x:c r="A270" s="70" t="s">
        <x:v>1004</x:v>
      </x:c>
      <x:c r="B270" s="70" t="s">
        <x:v>24</x:v>
      </x:c>
      <x:c r="C270" s="70" t="s">
        <x:v>102</x:v>
      </x:c>
      <x:c r="D270" s="70" t="s">
        <x:v>166</x:v>
      </x:c>
      <x:c r="E270" s="70" t="s">
        <x:v>763</x:v>
      </x:c>
      <x:c r="F270" s="70" t="s">
        <x:v>166</x:v>
      </x:c>
      <x:c r="G270" s="70" t="s">
        <x:v>841</x:v>
      </x:c>
      <x:c r="H270" s="70" t="s">
        <x:v>842</x:v>
      </x:c>
      <x:c r="I270" s="70" t="s">
        <x:v>833</x:v>
      </x:c>
      <x:c r="J270" s="70" t="n">
        <x:v>52</x:v>
      </x:c>
      <x:c r="K270" s="70" t="s">
        <x:v>864</x:v>
      </x:c>
      <x:c r="L270" s="70" t="s">
        <x:v>1002</x:v>
      </x:c>
      <x:c r="M270" s="70" t="s">
        <x:v>28</x:v>
      </x:c>
      <x:c r="N270" s="71" t="n">
        <x:v>5525221208</x:v>
      </x:c>
      <x:c r="O270" s="72" t="n">
        <x:f aca="0">N270/1000000</x:f>
        <x:v>5525.221208</x:v>
      </x:c>
      <x:c r="P270" s="73" t="n">
        <x:f aca="0">KOHC!E50</x:f>
        <x:v>5525.221208</x:v>
      </x:c>
      <x:c r="Q270" s="70" t="str">
        <x:f aca="0">IF(ABS(O270-P270)&lt;0.000001,"PASS","FAIL")</x:f>
        <x:v>PASS</x:v>
      </x:c>
      <x:c r="R270" s="70" t="s">
        <x:v>27</x:v>
      </x:c>
      <x:c r="S270" s="70"/>
    </x:row>
    <x:row r="271" ht="15" hidden="0">
      <x:c r="A271" s="70" t="s">
        <x:v>1005</x:v>
      </x:c>
      <x:c r="B271" s="70" t="s">
        <x:v>24</x:v>
      </x:c>
      <x:c r="C271" s="70" t="s">
        <x:v>103</x:v>
      </x:c>
      <x:c r="D271" s="70" t="s">
        <x:v>166</x:v>
      </x:c>
      <x:c r="E271" s="70" t="s">
        <x:v>763</x:v>
      </x:c>
      <x:c r="F271" s="70" t="s">
        <x:v>166</x:v>
      </x:c>
      <x:c r="G271" s="70" t="s">
        <x:v>844</x:v>
      </x:c>
      <x:c r="H271" s="70" t="s">
        <x:v>845</x:v>
      </x:c>
      <x:c r="I271" s="70" t="s">
        <x:v>833</x:v>
      </x:c>
      <x:c r="J271" s="70" t="n">
        <x:v>58</x:v>
      </x:c>
      <x:c r="K271" s="70" t="s">
        <x:v>864</x:v>
      </x:c>
      <x:c r="L271" s="70" t="s">
        <x:v>1002</x:v>
      </x:c>
      <x:c r="M271" s="70" t="s">
        <x:v>28</x:v>
      </x:c>
      <x:c r="N271" s="71" t="n">
        <x:v>5307075353</x:v>
      </x:c>
      <x:c r="O271" s="72" t="n">
        <x:f aca="0">N271/1000000</x:f>
        <x:v>5307.075353</x:v>
      </x:c>
      <x:c r="P271" s="73" t="n">
        <x:f aca="0">KOHC!F50</x:f>
        <x:v>5307.075353</x:v>
      </x:c>
      <x:c r="Q271" s="70" t="str">
        <x:f aca="0">IF(ABS(O271-P271)&lt;0.000001,"PASS","FAIL")</x:f>
        <x:v>PASS</x:v>
      </x:c>
      <x:c r="R271" s="70" t="s">
        <x:v>27</x:v>
      </x:c>
      <x:c r="S271" s="70" t="s">
        <x:v>839</x:v>
      </x:c>
    </x:row>
    <x:row r="272" ht="15" hidden="0">
      <x:c r="A272" s="70" t="s">
        <x:v>1006</x:v>
      </x:c>
      <x:c r="B272" s="70" t="s">
        <x:v>24</x:v>
      </x:c>
      <x:c r="C272" s="70" t="s">
        <x:v>104</x:v>
      </x:c>
      <x:c r="D272" s="70" t="s">
        <x:v>166</x:v>
      </x:c>
      <x:c r="E272" s="70" t="s">
        <x:v>763</x:v>
      </x:c>
      <x:c r="F272" s="70" t="s">
        <x:v>166</x:v>
      </x:c>
      <x:c r="G272" s="70" t="s">
        <x:v>848</x:v>
      </x:c>
      <x:c r="H272" s="70" t="s">
        <x:v>849</x:v>
      </x:c>
      <x:c r="I272" s="70" t="s">
        <x:v>833</x:v>
      </x:c>
      <x:c r="J272" s="70" t="n">
        <x:v>68</x:v>
      </x:c>
      <x:c r="K272" s="70" t="s">
        <x:v>869</x:v>
      </x:c>
      <x:c r="L272" s="70" t="s">
        <x:v>1002</x:v>
      </x:c>
      <x:c r="M272" s="70" t="s">
        <x:v>28</x:v>
      </x:c>
      <x:c r="N272" s="71" t="n">
        <x:v>6223153321</x:v>
      </x:c>
      <x:c r="O272" s="72" t="n">
        <x:f aca="0">N272/1000000</x:f>
        <x:v>6223.153321</x:v>
      </x:c>
      <x:c r="P272" s="73" t="n">
        <x:f aca="0">KOHC!G50</x:f>
        <x:v>6223.153321</x:v>
      </x:c>
      <x:c r="Q272" s="70" t="str">
        <x:f aca="0">IF(ABS(O272-P272)&lt;0.000001,"PASS","FAIL")</x:f>
        <x:v>PASS</x:v>
      </x:c>
      <x:c r="R272" s="70" t="s">
        <x:v>27</x:v>
      </x:c>
      <x:c r="S272" s="70"/>
    </x:row>
    <x:row r="273" ht="15" hidden="0">
      <x:c r="A273" s="70" t="s">
        <x:v>1007</x:v>
      </x:c>
      <x:c r="B273" s="70" t="s">
        <x:v>24</x:v>
      </x:c>
      <x:c r="C273" s="70" t="s">
        <x:v>105</x:v>
      </x:c>
      <x:c r="D273" s="70" t="s">
        <x:v>166</x:v>
      </x:c>
      <x:c r="E273" s="70" t="s">
        <x:v>763</x:v>
      </x:c>
      <x:c r="F273" s="70" t="s">
        <x:v>166</x:v>
      </x:c>
      <x:c r="G273" s="70" t="s">
        <x:v>848</x:v>
      </x:c>
      <x:c r="H273" s="70" t="s">
        <x:v>849</x:v>
      </x:c>
      <x:c r="I273" s="70" t="s">
        <x:v>852</x:v>
      </x:c>
      <x:c r="J273" s="70" t="n">
        <x:v>68</x:v>
      </x:c>
      <x:c r="K273" s="70" t="s">
        <x:v>869</x:v>
      </x:c>
      <x:c r="L273" s="70" t="s">
        <x:v>1002</x:v>
      </x:c>
      <x:c r="M273" s="70" t="s">
        <x:v>28</x:v>
      </x:c>
      <x:c r="N273" s="71" t="n">
        <x:v>7710012398</x:v>
      </x:c>
      <x:c r="O273" s="72" t="n">
        <x:f aca="0">N273/1000000</x:f>
        <x:v>7710.012398</x:v>
      </x:c>
      <x:c r="P273" s="73" t="n">
        <x:f aca="0">KOHC!H50</x:f>
        <x:v>7710.012398</x:v>
      </x:c>
      <x:c r="Q273" s="70" t="str">
        <x:f aca="0">IF(ABS(O273-P273)&lt;0.000001,"PASS","FAIL")</x:f>
        <x:v>PASS</x:v>
      </x:c>
      <x:c r="R273" s="70" t="s">
        <x:v>27</x:v>
      </x:c>
      <x:c r="S273" s="70"/>
    </x:row>
    <x:row r="274" ht="15" hidden="0">
      <x:c r="A274" s="70" t="s">
        <x:v>1008</x:v>
      </x:c>
      <x:c r="B274" s="70" t="s">
        <x:v>24</x:v>
      </x:c>
      <x:c r="C274" s="70" t="s">
        <x:v>717</x:v>
      </x:c>
      <x:c r="D274" s="70" t="s">
        <x:v>1009</x:v>
      </x:c>
      <x:c r="E274" s="70" t="s">
        <x:v>855</x:v>
      </x:c>
      <x:c r="F274" s="70" t="s">
        <x:v>1010</x:v>
      </x:c>
      <x:c r="G274" s="70" t="s">
        <x:v>831</x:v>
      </x:c>
      <x:c r="H274" s="70" t="s">
        <x:v>832</x:v>
      </x:c>
      <x:c r="I274" s="70" t="s">
        <x:v>833</x:v>
      </x:c>
      <x:c r="J274" s="70" t="n">
        <x:v>67</x:v>
      </x:c>
      <x:c r="K274" s="70" t="s">
        <x:v>864</x:v>
      </x:c>
      <x:c r="L274" s="70"/>
      <x:c r="M274" s="70" t="s">
        <x:v>28</x:v>
      </x:c>
      <x:c r="N274" s="71" t="n">
        <x:v>1091300971</x:v>
      </x:c>
      <x:c r="O274" s="72" t="n">
        <x:f aca="0">N274/1000000</x:f>
        <x:v>1091.300971</x:v>
      </x:c>
      <x:c r="P274" s="73" t="n">
        <x:f aca="0">KOHC!C51</x:f>
        <x:v>1091.300971</x:v>
      </x:c>
      <x:c r="Q274" s="70" t="str">
        <x:f aca="0">IF(ABS(O274-P274)&lt;0.000001,"PASS","FAIL")</x:f>
        <x:v>PASS</x:v>
      </x:c>
      <x:c r="R274" s="70" t="s">
        <x:v>27</x:v>
      </x:c>
      <x:c r="S274" s="70"/>
    </x:row>
    <x:row r="275" ht="15" hidden="0">
      <x:c r="A275" s="70" t="s">
        <x:v>1011</x:v>
      </x:c>
      <x:c r="B275" s="70" t="s">
        <x:v>24</x:v>
      </x:c>
      <x:c r="C275" s="70" t="s">
        <x:v>101</x:v>
      </x:c>
      <x:c r="D275" s="70" t="s">
        <x:v>1009</x:v>
      </x:c>
      <x:c r="E275" s="70" t="s">
        <x:v>855</x:v>
      </x:c>
      <x:c r="F275" s="70" t="s">
        <x:v>1010</x:v>
      </x:c>
      <x:c r="G275" s="70" t="s">
        <x:v>837</x:v>
      </x:c>
      <x:c r="H275" s="70" t="s">
        <x:v>838</x:v>
      </x:c>
      <x:c r="I275" s="70" t="s">
        <x:v>833</x:v>
      </x:c>
      <x:c r="J275" s="70" t="n">
        <x:v>75</x:v>
      </x:c>
      <x:c r="K275" s="70" t="s">
        <x:v>834</x:v>
      </x:c>
      <x:c r="L275" s="70"/>
      <x:c r="M275" s="70" t="s">
        <x:v>28</x:v>
      </x:c>
      <x:c r="N275" s="71" t="n">
        <x:v>1555157545</x:v>
      </x:c>
      <x:c r="O275" s="72" t="n">
        <x:f aca="0">N275/1000000</x:f>
        <x:v>1555.157545</x:v>
      </x:c>
      <x:c r="P275" s="73" t="n">
        <x:f aca="0">KOHC!D51</x:f>
        <x:v>1555.157545</x:v>
      </x:c>
      <x:c r="Q275" s="70" t="str">
        <x:f aca="0">IF(ABS(O275-P275)&lt;0.000001,"PASS","FAIL")</x:f>
        <x:v>PASS</x:v>
      </x:c>
      <x:c r="R275" s="70" t="s">
        <x:v>27</x:v>
      </x:c>
      <x:c r="S275" s="70"/>
    </x:row>
    <x:row r="276" ht="15" hidden="0">
      <x:c r="A276" s="70" t="s">
        <x:v>1012</x:v>
      </x:c>
      <x:c r="B276" s="70" t="s">
        <x:v>24</x:v>
      </x:c>
      <x:c r="C276" s="70" t="s">
        <x:v>102</x:v>
      </x:c>
      <x:c r="D276" s="70" t="s">
        <x:v>1009</x:v>
      </x:c>
      <x:c r="E276" s="70" t="s">
        <x:v>855</x:v>
      </x:c>
      <x:c r="F276" s="70" t="s">
        <x:v>1010</x:v>
      </x:c>
      <x:c r="G276" s="70" t="s">
        <x:v>841</x:v>
      </x:c>
      <x:c r="H276" s="70" t="s">
        <x:v>842</x:v>
      </x:c>
      <x:c r="I276" s="70" t="s">
        <x:v>833</x:v>
      </x:c>
      <x:c r="J276" s="70" t="n">
        <x:v>75</x:v>
      </x:c>
      <x:c r="K276" s="70" t="s">
        <x:v>834</x:v>
      </x:c>
      <x:c r="L276" s="70"/>
      <x:c r="M276" s="70" t="s">
        <x:v>28</x:v>
      </x:c>
      <x:c r="N276" s="71" t="n">
        <x:v>1281559797</x:v>
      </x:c>
      <x:c r="O276" s="72" t="n">
        <x:f aca="0">N276/1000000</x:f>
        <x:v>1281.559797</x:v>
      </x:c>
      <x:c r="P276" s="73" t="n">
        <x:f aca="0">KOHC!E51</x:f>
        <x:v>1281.559797</x:v>
      </x:c>
      <x:c r="Q276" s="70" t="str">
        <x:f aca="0">IF(ABS(O276-P276)&lt;0.000001,"PASS","FAIL")</x:f>
        <x:v>PASS</x:v>
      </x:c>
      <x:c r="R276" s="70" t="s">
        <x:v>27</x:v>
      </x:c>
      <x:c r="S276" s="70"/>
    </x:row>
    <x:row r="277" ht="15" hidden="0">
      <x:c r="A277" s="70" t="s">
        <x:v>1013</x:v>
      </x:c>
      <x:c r="B277" s="70" t="s">
        <x:v>24</x:v>
      </x:c>
      <x:c r="C277" s="70" t="s">
        <x:v>103</x:v>
      </x:c>
      <x:c r="D277" s="70" t="s">
        <x:v>1009</x:v>
      </x:c>
      <x:c r="E277" s="70" t="s">
        <x:v>855</x:v>
      </x:c>
      <x:c r="F277" s="70" t="s">
        <x:v>1010</x:v>
      </x:c>
      <x:c r="G277" s="70" t="s">
        <x:v>844</x:v>
      </x:c>
      <x:c r="H277" s="70" t="s">
        <x:v>845</x:v>
      </x:c>
      <x:c r="I277" s="70" t="s">
        <x:v>833</x:v>
      </x:c>
      <x:c r="J277" s="70" t="n">
        <x:v>83</x:v>
      </x:c>
      <x:c r="K277" s="70" t="s">
        <x:v>834</x:v>
      </x:c>
      <x:c r="L277" s="70"/>
      <x:c r="M277" s="70" t="s">
        <x:v>28</x:v>
      </x:c>
      <x:c r="N277" s="71" t="n">
        <x:v>674674284</x:v>
      </x:c>
      <x:c r="O277" s="72" t="n">
        <x:f aca="0">N277/1000000</x:f>
        <x:v>674.674284</x:v>
      </x:c>
      <x:c r="P277" s="73" t="n">
        <x:f aca="0">KOHC!F51</x:f>
        <x:v>674.674284</x:v>
      </x:c>
      <x:c r="Q277" s="70" t="str">
        <x:f aca="0">IF(ABS(O277-P277)&lt;0.000001,"PASS","FAIL")</x:f>
        <x:v>PASS</x:v>
      </x:c>
      <x:c r="R277" s="70" t="s">
        <x:v>27</x:v>
      </x:c>
      <x:c r="S277" s="70"/>
    </x:row>
    <x:row r="278" ht="15" hidden="0">
      <x:c r="A278" s="70" t="s">
        <x:v>1014</x:v>
      </x:c>
      <x:c r="B278" s="70" t="s">
        <x:v>24</x:v>
      </x:c>
      <x:c r="C278" s="70" t="s">
        <x:v>104</x:v>
      </x:c>
      <x:c r="D278" s="70" t="s">
        <x:v>1009</x:v>
      </x:c>
      <x:c r="E278" s="70" t="s">
        <x:v>855</x:v>
      </x:c>
      <x:c r="F278" s="70" t="s">
        <x:v>1015</x:v>
      </x:c>
      <x:c r="G278" s="70" t="s">
        <x:v>848</x:v>
      </x:c>
      <x:c r="H278" s="70" t="s">
        <x:v>849</x:v>
      </x:c>
      <x:c r="I278" s="70" t="s">
        <x:v>833</x:v>
      </x:c>
      <x:c r="J278" s="70" t="n">
        <x:v>91</x:v>
      </x:c>
      <x:c r="K278" s="70" t="s">
        <x:v>834</x:v>
      </x:c>
      <x:c r="L278" s="70"/>
      <x:c r="M278" s="70" t="s">
        <x:v>28</x:v>
      </x:c>
      <x:c r="N278" s="71" t="n">
        <x:v>1781446871</x:v>
      </x:c>
      <x:c r="O278" s="72" t="n">
        <x:f aca="0">N278/1000000</x:f>
        <x:v>1781.446871</x:v>
      </x:c>
      <x:c r="P278" s="73" t="n">
        <x:f aca="0">KOHC!G51</x:f>
        <x:v>1781.446871</x:v>
      </x:c>
      <x:c r="Q278" s="70" t="str">
        <x:f aca="0">IF(ABS(O278-P278)&lt;0.000001,"PASS","FAIL")</x:f>
        <x:v>PASS</x:v>
      </x:c>
      <x:c r="R278" s="70" t="s">
        <x:v>27</x:v>
      </x:c>
      <x:c r="S278" s="70"/>
    </x:row>
    <x:row r="279" ht="15" hidden="0">
      <x:c r="A279" s="70" t="s">
        <x:v>1016</x:v>
      </x:c>
      <x:c r="B279" s="70" t="s">
        <x:v>24</x:v>
      </x:c>
      <x:c r="C279" s="70" t="s">
        <x:v>105</x:v>
      </x:c>
      <x:c r="D279" s="70" t="s">
        <x:v>1009</x:v>
      </x:c>
      <x:c r="E279" s="70" t="s">
        <x:v>855</x:v>
      </x:c>
      <x:c r="F279" s="70" t="s">
        <x:v>1015</x:v>
      </x:c>
      <x:c r="G279" s="70" t="s">
        <x:v>848</x:v>
      </x:c>
      <x:c r="H279" s="70" t="s">
        <x:v>849</x:v>
      </x:c>
      <x:c r="I279" s="70" t="s">
        <x:v>852</x:v>
      </x:c>
      <x:c r="J279" s="70" t="n">
        <x:v>91</x:v>
      </x:c>
      <x:c r="K279" s="70" t="s">
        <x:v>834</x:v>
      </x:c>
      <x:c r="L279" s="70"/>
      <x:c r="M279" s="70" t="s">
        <x:v>28</x:v>
      </x:c>
      <x:c r="N279" s="71" t="n">
        <x:v>2107135975</x:v>
      </x:c>
      <x:c r="O279" s="72" t="n">
        <x:f aca="0">N279/1000000</x:f>
        <x:v>2107.135975</x:v>
      </x:c>
      <x:c r="P279" s="73" t="n">
        <x:f aca="0">KOHC!H51</x:f>
        <x:v>2107.135975</x:v>
      </x:c>
      <x:c r="Q279" s="70" t="str">
        <x:f aca="0">IF(ABS(O279-P279)&lt;0.000001,"PASS","FAIL")</x:f>
        <x:v>PASS</x:v>
      </x:c>
      <x:c r="R279" s="70" t="s">
        <x:v>27</x:v>
      </x:c>
      <x:c r="S279" s="70"/>
    </x:row>
    <x:row r="280" ht="15" hidden="0">
      <x:c r="A280" s="70" t="s">
        <x:v>1017</x:v>
      </x:c>
      <x:c r="B280" s="70" t="s">
        <x:v>24</x:v>
      </x:c>
      <x:c r="C280" s="70" t="s">
        <x:v>717</x:v>
      </x:c>
      <x:c r="D280" s="70" t="s">
        <x:v>170</x:v>
      </x:c>
      <x:c r="E280" s="70" t="s">
        <x:v>763</x:v>
      </x:c>
      <x:c r="F280" s="70" t="s">
        <x:v>1018</x:v>
      </x:c>
      <x:c r="G280" s="70" t="s">
        <x:v>831</x:v>
      </x:c>
      <x:c r="H280" s="70" t="s">
        <x:v>832</x:v>
      </x:c>
      <x:c r="I280" s="70" t="s">
        <x:v>833</x:v>
      </x:c>
      <x:c r="J280" s="70" t="n">
        <x:v>44</x:v>
      </x:c>
      <x:c r="K280" s="70" t="s">
        <x:v>864</x:v>
      </x:c>
      <x:c r="L280" s="70" t="s">
        <x:v>1019</x:v>
      </x:c>
      <x:c r="M280" s="70" t="s">
        <x:v>28</x:v>
      </x:c>
      <x:c r="N280" s="71" t="n">
        <x:v>126582689</x:v>
      </x:c>
      <x:c r="O280" s="72" t="n">
        <x:f aca="0">N280/1000000</x:f>
        <x:v>126.582689</x:v>
      </x:c>
      <x:c r="P280" s="73" t="n">
        <x:f aca="0">KOHC!C52</x:f>
        <x:v>126.582689</x:v>
      </x:c>
      <x:c r="Q280" s="70" t="str">
        <x:f aca="0">IF(ABS(O280-P280)&lt;0.000001,"PASS","FAIL")</x:f>
        <x:v>PASS</x:v>
      </x:c>
      <x:c r="R280" s="70" t="s">
        <x:v>27</x:v>
      </x:c>
      <x:c r="S280" s="70"/>
    </x:row>
    <x:row r="281" ht="15" hidden="0">
      <x:c r="A281" s="70" t="s">
        <x:v>1020</x:v>
      </x:c>
      <x:c r="B281" s="70" t="s">
        <x:v>24</x:v>
      </x:c>
      <x:c r="C281" s="70" t="s">
        <x:v>101</x:v>
      </x:c>
      <x:c r="D281" s="70" t="s">
        <x:v>170</x:v>
      </x:c>
      <x:c r="E281" s="70" t="s">
        <x:v>763</x:v>
      </x:c>
      <x:c r="F281" s="70" t="s">
        <x:v>1018</x:v>
      </x:c>
      <x:c r="G281" s="70" t="s">
        <x:v>837</x:v>
      </x:c>
      <x:c r="H281" s="70" t="s">
        <x:v>838</x:v>
      </x:c>
      <x:c r="I281" s="70" t="s">
        <x:v>833</x:v>
      </x:c>
      <x:c r="J281" s="70" t="n">
        <x:v>52</x:v>
      </x:c>
      <x:c r="K281" s="70" t="s">
        <x:v>864</x:v>
      </x:c>
      <x:c r="L281" s="70" t="s">
        <x:v>1019</x:v>
      </x:c>
      <x:c r="M281" s="70" t="s">
        <x:v>28</x:v>
      </x:c>
      <x:c r="N281" s="71" t="n">
        <x:v>137091500</x:v>
      </x:c>
      <x:c r="O281" s="72" t="n">
        <x:f aca="0">N281/1000000</x:f>
        <x:v>137.0915</x:v>
      </x:c>
      <x:c r="P281" s="73" t="n">
        <x:f aca="0">KOHC!D52</x:f>
        <x:v>137.0915</x:v>
      </x:c>
      <x:c r="Q281" s="70" t="str">
        <x:f aca="0">IF(ABS(O281-P281)&lt;0.000001,"PASS","FAIL")</x:f>
        <x:v>PASS</x:v>
      </x:c>
      <x:c r="R281" s="70" t="s">
        <x:v>27</x:v>
      </x:c>
      <x:c r="S281" s="70"/>
    </x:row>
    <x:row r="282" ht="15" hidden="0">
      <x:c r="A282" s="70" t="s">
        <x:v>1021</x:v>
      </x:c>
      <x:c r="B282" s="70" t="s">
        <x:v>24</x:v>
      </x:c>
      <x:c r="C282" s="70" t="s">
        <x:v>102</x:v>
      </x:c>
      <x:c r="D282" s="70" t="s">
        <x:v>170</x:v>
      </x:c>
      <x:c r="E282" s="70" t="s">
        <x:v>763</x:v>
      </x:c>
      <x:c r="F282" s="70" t="s">
        <x:v>1018</x:v>
      </x:c>
      <x:c r="G282" s="70" t="s">
        <x:v>841</x:v>
      </x:c>
      <x:c r="H282" s="70" t="s">
        <x:v>842</x:v>
      </x:c>
      <x:c r="I282" s="70" t="s">
        <x:v>833</x:v>
      </x:c>
      <x:c r="J282" s="70" t="n">
        <x:v>52</x:v>
      </x:c>
      <x:c r="K282" s="70" t="s">
        <x:v>864</x:v>
      </x:c>
      <x:c r="L282" s="70" t="s">
        <x:v>1019</x:v>
      </x:c>
      <x:c r="M282" s="70" t="s">
        <x:v>28</x:v>
      </x:c>
      <x:c r="N282" s="71" t="n">
        <x:v>264984408</x:v>
      </x:c>
      <x:c r="O282" s="72" t="n">
        <x:f aca="0">N282/1000000</x:f>
        <x:v>264.984408</x:v>
      </x:c>
      <x:c r="P282" s="73" t="n">
        <x:f aca="0">KOHC!E52</x:f>
        <x:v>264.984408</x:v>
      </x:c>
      <x:c r="Q282" s="70" t="str">
        <x:f aca="0">IF(ABS(O282-P282)&lt;0.000001,"PASS","FAIL")</x:f>
        <x:v>PASS</x:v>
      </x:c>
      <x:c r="R282" s="70" t="s">
        <x:v>27</x:v>
      </x:c>
      <x:c r="S282" s="70"/>
    </x:row>
    <x:row r="283" ht="15" hidden="0">
      <x:c r="A283" s="70" t="s">
        <x:v>1022</x:v>
      </x:c>
      <x:c r="B283" s="70" t="s">
        <x:v>24</x:v>
      </x:c>
      <x:c r="C283" s="70" t="s">
        <x:v>103</x:v>
      </x:c>
      <x:c r="D283" s="70" t="s">
        <x:v>170</x:v>
      </x:c>
      <x:c r="E283" s="70" t="s">
        <x:v>763</x:v>
      </x:c>
      <x:c r="F283" s="70" t="s">
        <x:v>1018</x:v>
      </x:c>
      <x:c r="G283" s="70" t="s">
        <x:v>844</x:v>
      </x:c>
      <x:c r="H283" s="70" t="s">
        <x:v>845</x:v>
      </x:c>
      <x:c r="I283" s="70" t="s">
        <x:v>833</x:v>
      </x:c>
      <x:c r="J283" s="70" t="n">
        <x:v>58</x:v>
      </x:c>
      <x:c r="K283" s="70" t="s">
        <x:v>864</x:v>
      </x:c>
      <x:c r="L283" s="70"/>
      <x:c r="M283" s="70" t="s">
        <x:v>28</x:v>
      </x:c>
      <x:c r="N283" s="71" t="n">
        <x:v>253135945</x:v>
      </x:c>
      <x:c r="O283" s="72" t="n">
        <x:f aca="0">N283/1000000</x:f>
        <x:v>253.135945</x:v>
      </x:c>
      <x:c r="P283" s="73" t="n">
        <x:f aca="0">KOHC!F52</x:f>
        <x:v>253.135945</x:v>
      </x:c>
      <x:c r="Q283" s="70" t="str">
        <x:f aca="0">IF(ABS(O283-P283)&lt;0.000001,"PASS","FAIL")</x:f>
        <x:v>PASS</x:v>
      </x:c>
      <x:c r="R283" s="70" t="s">
        <x:v>27</x:v>
      </x:c>
      <x:c r="S283" s="70"/>
    </x:row>
    <x:row r="284" ht="15" hidden="0">
      <x:c r="A284" s="70" t="s">
        <x:v>1023</x:v>
      </x:c>
      <x:c r="B284" s="70" t="s">
        <x:v>24</x:v>
      </x:c>
      <x:c r="C284" s="70" t="s">
        <x:v>104</x:v>
      </x:c>
      <x:c r="D284" s="70" t="s">
        <x:v>170</x:v>
      </x:c>
      <x:c r="E284" s="70" t="s">
        <x:v>763</x:v>
      </x:c>
      <x:c r="F284" s="70" t="s">
        <x:v>1018</x:v>
      </x:c>
      <x:c r="G284" s="70" t="s">
        <x:v>848</x:v>
      </x:c>
      <x:c r="H284" s="70" t="s">
        <x:v>849</x:v>
      </x:c>
      <x:c r="I284" s="70" t="s">
        <x:v>833</x:v>
      </x:c>
      <x:c r="J284" s="70" t="n">
        <x:v>68</x:v>
      </x:c>
      <x:c r="K284" s="70" t="s">
        <x:v>869</x:v>
      </x:c>
      <x:c r="L284" s="70" t="s">
        <x:v>1024</x:v>
      </x:c>
      <x:c r="M284" s="70" t="s">
        <x:v>28</x:v>
      </x:c>
      <x:c r="N284" s="71" t="n">
        <x:v>113418606</x:v>
      </x:c>
      <x:c r="O284" s="72" t="n">
        <x:f aca="0">N284/1000000</x:f>
        <x:v>113.418606</x:v>
      </x:c>
      <x:c r="P284" s="73" t="n">
        <x:f aca="0">KOHC!G52</x:f>
        <x:v>113.418606</x:v>
      </x:c>
      <x:c r="Q284" s="70" t="str">
        <x:f aca="0">IF(ABS(O284-P284)&lt;0.000001,"PASS","FAIL")</x:f>
        <x:v>PASS</x:v>
      </x:c>
      <x:c r="R284" s="70" t="s">
        <x:v>27</x:v>
      </x:c>
      <x:c r="S284" s="70"/>
    </x:row>
    <x:row r="285" ht="15" hidden="0">
      <x:c r="A285" s="70" t="s">
        <x:v>1025</x:v>
      </x:c>
      <x:c r="B285" s="70" t="s">
        <x:v>24</x:v>
      </x:c>
      <x:c r="C285" s="70" t="s">
        <x:v>105</x:v>
      </x:c>
      <x:c r="D285" s="70" t="s">
        <x:v>170</x:v>
      </x:c>
      <x:c r="E285" s="70" t="s">
        <x:v>763</x:v>
      </x:c>
      <x:c r="F285" s="70" t="s">
        <x:v>1018</x:v>
      </x:c>
      <x:c r="G285" s="70" t="s">
        <x:v>848</x:v>
      </x:c>
      <x:c r="H285" s="70" t="s">
        <x:v>849</x:v>
      </x:c>
      <x:c r="I285" s="70" t="s">
        <x:v>852</x:v>
      </x:c>
      <x:c r="J285" s="70" t="n">
        <x:v>68</x:v>
      </x:c>
      <x:c r="K285" s="70" t="s">
        <x:v>869</x:v>
      </x:c>
      <x:c r="L285" s="70" t="s">
        <x:v>1024</x:v>
      </x:c>
      <x:c r="M285" s="70" t="s">
        <x:v>28</x:v>
      </x:c>
      <x:c r="N285" s="71" t="n">
        <x:v>144300907</x:v>
      </x:c>
      <x:c r="O285" s="72" t="n">
        <x:f aca="0">N285/1000000</x:f>
        <x:v>144.300907</x:v>
      </x:c>
      <x:c r="P285" s="73" t="n">
        <x:f aca="0">KOHC!H52</x:f>
        <x:v>144.300907</x:v>
      </x:c>
      <x:c r="Q285" s="70" t="str">
        <x:f aca="0">IF(ABS(O285-P285)&lt;0.000001,"PASS","FAIL")</x:f>
        <x:v>PASS</x:v>
      </x:c>
      <x:c r="R285" s="70" t="s">
        <x:v>27</x:v>
      </x:c>
      <x:c r="S285" s="70"/>
    </x:row>
    <x:row r="286" ht="15" hidden="0">
      <x:c r="A286" s="70" t="s">
        <x:v>1026</x:v>
      </x:c>
      <x:c r="B286" s="70" t="s">
        <x:v>24</x:v>
      </x:c>
      <x:c r="C286" s="70" t="s">
        <x:v>717</x:v>
      </x:c>
      <x:c r="D286" s="70" t="s">
        <x:v>172</x:v>
      </x:c>
      <x:c r="E286" s="70" t="s">
        <x:v>763</x:v>
      </x:c>
      <x:c r="F286" s="70" t="s">
        <x:v>1027</x:v>
      </x:c>
      <x:c r="G286" s="70" t="s">
        <x:v>831</x:v>
      </x:c>
      <x:c r="H286" s="70" t="s">
        <x:v>832</x:v>
      </x:c>
      <x:c r="I286" s="70" t="s">
        <x:v>833</x:v>
      </x:c>
      <x:c r="J286" s="70" t="n">
        <x:v>44</x:v>
      </x:c>
      <x:c r="K286" s="70" t="s">
        <x:v>864</x:v>
      </x:c>
      <x:c r="L286" s="70" t="s">
        <x:v>850</x:v>
      </x:c>
      <x:c r="M286" s="70" t="s">
        <x:v>28</x:v>
      </x:c>
      <x:c r="N286" s="71" t="n">
        <x:v>208766756</x:v>
      </x:c>
      <x:c r="O286" s="72" t="n">
        <x:f aca="0">N286/1000000</x:f>
        <x:v>208.766756</x:v>
      </x:c>
      <x:c r="P286" s="73" t="n">
        <x:f aca="0">KOHC!C53</x:f>
        <x:v>208.766756</x:v>
      </x:c>
      <x:c r="Q286" s="70" t="str">
        <x:f aca="0">IF(ABS(O286-P286)&lt;0.000001,"PASS","FAIL")</x:f>
        <x:v>PASS</x:v>
      </x:c>
      <x:c r="R286" s="70" t="s">
        <x:v>27</x:v>
      </x:c>
      <x:c r="S286" s="70"/>
    </x:row>
    <x:row r="287" ht="15" hidden="0">
      <x:c r="A287" s="70" t="s">
        <x:v>1028</x:v>
      </x:c>
      <x:c r="B287" s="70" t="s">
        <x:v>24</x:v>
      </x:c>
      <x:c r="C287" s="70" t="s">
        <x:v>101</x:v>
      </x:c>
      <x:c r="D287" s="70" t="s">
        <x:v>172</x:v>
      </x:c>
      <x:c r="E287" s="70" t="s">
        <x:v>763</x:v>
      </x:c>
      <x:c r="F287" s="70" t="s">
        <x:v>1027</x:v>
      </x:c>
      <x:c r="G287" s="70" t="s">
        <x:v>837</x:v>
      </x:c>
      <x:c r="H287" s="70" t="s">
        <x:v>838</x:v>
      </x:c>
      <x:c r="I287" s="70" t="s">
        <x:v>833</x:v>
      </x:c>
      <x:c r="J287" s="70" t="n">
        <x:v>52</x:v>
      </x:c>
      <x:c r="K287" s="70" t="s">
        <x:v>864</x:v>
      </x:c>
      <x:c r="L287" s="70" t="s">
        <x:v>850</x:v>
      </x:c>
      <x:c r="M287" s="70" t="s">
        <x:v>28</x:v>
      </x:c>
      <x:c r="N287" s="71" t="n">
        <x:v>122613973</x:v>
      </x:c>
      <x:c r="O287" s="72" t="n">
        <x:f aca="0">N287/1000000</x:f>
        <x:v>122.613973</x:v>
      </x:c>
      <x:c r="P287" s="73" t="n">
        <x:f aca="0">KOHC!D53</x:f>
        <x:v>122.613973</x:v>
      </x:c>
      <x:c r="Q287" s="70" t="str">
        <x:f aca="0">IF(ABS(O287-P287)&lt;0.000001,"PASS","FAIL")</x:f>
        <x:v>PASS</x:v>
      </x:c>
      <x:c r="R287" s="70" t="s">
        <x:v>27</x:v>
      </x:c>
      <x:c r="S287" s="70"/>
    </x:row>
    <x:row r="288" ht="15" hidden="0">
      <x:c r="A288" s="70" t="s">
        <x:v>1029</x:v>
      </x:c>
      <x:c r="B288" s="70" t="s">
        <x:v>24</x:v>
      </x:c>
      <x:c r="C288" s="70" t="s">
        <x:v>102</x:v>
      </x:c>
      <x:c r="D288" s="70" t="s">
        <x:v>172</x:v>
      </x:c>
      <x:c r="E288" s="70" t="s">
        <x:v>763</x:v>
      </x:c>
      <x:c r="F288" s="70" t="s">
        <x:v>1027</x:v>
      </x:c>
      <x:c r="G288" s="70" t="s">
        <x:v>841</x:v>
      </x:c>
      <x:c r="H288" s="70" t="s">
        <x:v>842</x:v>
      </x:c>
      <x:c r="I288" s="70" t="s">
        <x:v>833</x:v>
      </x:c>
      <x:c r="J288" s="70" t="n">
        <x:v>52</x:v>
      </x:c>
      <x:c r="K288" s="70" t="s">
        <x:v>864</x:v>
      </x:c>
      <x:c r="L288" s="70" t="s">
        <x:v>850</x:v>
      </x:c>
      <x:c r="M288" s="70" t="s">
        <x:v>28</x:v>
      </x:c>
      <x:c r="N288" s="71" t="n">
        <x:v>142171993</x:v>
      </x:c>
      <x:c r="O288" s="72" t="n">
        <x:f aca="0">N288/1000000</x:f>
        <x:v>142.171993</x:v>
      </x:c>
      <x:c r="P288" s="73" t="n">
        <x:f aca="0">KOHC!E53</x:f>
        <x:v>142.171993</x:v>
      </x:c>
      <x:c r="Q288" s="70" t="str">
        <x:f aca="0">IF(ABS(O288-P288)&lt;0.000001,"PASS","FAIL")</x:f>
        <x:v>PASS</x:v>
      </x:c>
      <x:c r="R288" s="70" t="s">
        <x:v>27</x:v>
      </x:c>
      <x:c r="S288" s="70"/>
    </x:row>
    <x:row r="289" ht="15" hidden="0">
      <x:c r="A289" s="70" t="s">
        <x:v>1030</x:v>
      </x:c>
      <x:c r="B289" s="70" t="s">
        <x:v>24</x:v>
      </x:c>
      <x:c r="C289" s="70" t="s">
        <x:v>103</x:v>
      </x:c>
      <x:c r="D289" s="70" t="s">
        <x:v>172</x:v>
      </x:c>
      <x:c r="E289" s="70" t="s">
        <x:v>763</x:v>
      </x:c>
      <x:c r="F289" s="70" t="s">
        <x:v>1027</x:v>
      </x:c>
      <x:c r="G289" s="70" t="s">
        <x:v>844</x:v>
      </x:c>
      <x:c r="H289" s="70" t="s">
        <x:v>845</x:v>
      </x:c>
      <x:c r="I289" s="70" t="s">
        <x:v>833</x:v>
      </x:c>
      <x:c r="J289" s="70" t="n">
        <x:v>58</x:v>
      </x:c>
      <x:c r="K289" s="70" t="s">
        <x:v>864</x:v>
      </x:c>
      <x:c r="L289" s="70" t="s">
        <x:v>1031</x:v>
      </x:c>
      <x:c r="M289" s="70" t="s">
        <x:v>28</x:v>
      </x:c>
      <x:c r="N289" s="71" t="n">
        <x:v>192674790</x:v>
      </x:c>
      <x:c r="O289" s="72" t="n">
        <x:f aca="0">N289/1000000</x:f>
        <x:v>192.67479</x:v>
      </x:c>
      <x:c r="P289" s="73" t="n">
        <x:f aca="0">KOHC!F53</x:f>
        <x:v>192.67479</x:v>
      </x:c>
      <x:c r="Q289" s="70" t="str">
        <x:f aca="0">IF(ABS(O289-P289)&lt;0.000001,"PASS","FAIL")</x:f>
        <x:v>PASS</x:v>
      </x:c>
      <x:c r="R289" s="70" t="s">
        <x:v>27</x:v>
      </x:c>
      <x:c r="S289" s="70"/>
    </x:row>
    <x:row r="290" ht="15" hidden="0">
      <x:c r="A290" s="70" t="s">
        <x:v>1032</x:v>
      </x:c>
      <x:c r="B290" s="70" t="s">
        <x:v>24</x:v>
      </x:c>
      <x:c r="C290" s="70" t="s">
        <x:v>104</x:v>
      </x:c>
      <x:c r="D290" s="70" t="s">
        <x:v>172</x:v>
      </x:c>
      <x:c r="E290" s="70" t="s">
        <x:v>763</x:v>
      </x:c>
      <x:c r="F290" s="70"/>
      <x:c r="G290" s="70" t="s">
        <x:v>848</x:v>
      </x:c>
      <x:c r="H290" s="70" t="s">
        <x:v>849</x:v>
      </x:c>
      <x:c r="I290" s="70" t="s">
        <x:v>833</x:v>
      </x:c>
      <x:c r="J290" s="70" t="n">
        <x:v>68</x:v>
      </x:c>
      <x:c r="K290" s="70" t="s">
        <x:v>869</x:v>
      </x:c>
      <x:c r="L290" s="70"/>
      <x:c r="M290" s="70" t="s">
        <x:v>28</x:v>
      </x:c>
      <x:c r="N290" s="71" t="n">
        <x:v>0</x:v>
      </x:c>
      <x:c r="O290" s="72" t="n">
        <x:f aca="0">N290/1000000</x:f>
        <x:v>0</x:v>
      </x:c>
      <x:c r="P290" s="73" t="n">
        <x:f aca="0">KOHC!G53</x:f>
        <x:v>0</x:v>
      </x:c>
      <x:c r="Q290" s="70" t="str">
        <x:f aca="0">IF(ABS(O290-P290)&lt;0.000001,"PASS","FAIL")</x:f>
        <x:v>PASS</x:v>
      </x:c>
      <x:c r="R290" s="70" t="s">
        <x:v>27</x:v>
      </x:c>
      <x:c r="S290" s="70" t="s">
        <x:v>839</x:v>
      </x:c>
    </x:row>
    <x:row r="291" ht="15" hidden="0">
      <x:c r="A291" s="70" t="s">
        <x:v>1033</x:v>
      </x:c>
      <x:c r="B291" s="70" t="s">
        <x:v>24</x:v>
      </x:c>
      <x:c r="C291" s="70" t="s">
        <x:v>105</x:v>
      </x:c>
      <x:c r="D291" s="70" t="s">
        <x:v>172</x:v>
      </x:c>
      <x:c r="E291" s="70" t="s">
        <x:v>763</x:v>
      </x:c>
      <x:c r="F291" s="70"/>
      <x:c r="G291" s="70" t="s">
        <x:v>848</x:v>
      </x:c>
      <x:c r="H291" s="70" t="s">
        <x:v>849</x:v>
      </x:c>
      <x:c r="I291" s="70" t="s">
        <x:v>852</x:v>
      </x:c>
      <x:c r="J291" s="70" t="n">
        <x:v>68</x:v>
      </x:c>
      <x:c r="K291" s="70" t="s">
        <x:v>869</x:v>
      </x:c>
      <x:c r="L291" s="70"/>
      <x:c r="M291" s="70" t="s">
        <x:v>28</x:v>
      </x:c>
      <x:c r="N291" s="71" t="n">
        <x:v>0</x:v>
      </x:c>
      <x:c r="O291" s="72" t="n">
        <x:f aca="0">N291/1000000</x:f>
        <x:v>0</x:v>
      </x:c>
      <x:c r="P291" s="73" t="n">
        <x:f aca="0">KOHC!H53</x:f>
        <x:v>0</x:v>
      </x:c>
      <x:c r="Q291" s="70" t="str">
        <x:f aca="0">IF(ABS(O291-P291)&lt;0.000001,"PASS","FAIL")</x:f>
        <x:v>PASS</x:v>
      </x:c>
      <x:c r="R291" s="70" t="s">
        <x:v>27</x:v>
      </x:c>
      <x:c r="S291" s="70"/>
    </x:row>
    <x:row r="292" ht="15" hidden="0">
      <x:c r="A292" s="70" t="s">
        <x:v>1034</x:v>
      </x:c>
      <x:c r="B292" s="70" t="s">
        <x:v>24</x:v>
      </x:c>
      <x:c r="C292" s="70" t="s">
        <x:v>717</x:v>
      </x:c>
      <x:c r="D292" s="70" t="s">
        <x:v>174</x:v>
      </x:c>
      <x:c r="E292" s="70" t="s">
        <x:v>763</x:v>
      </x:c>
      <x:c r="F292" s="70" t="s">
        <x:v>1035</x:v>
      </x:c>
      <x:c r="G292" s="70" t="s">
        <x:v>831</x:v>
      </x:c>
      <x:c r="H292" s="70" t="s">
        <x:v>832</x:v>
      </x:c>
      <x:c r="I292" s="70" t="s">
        <x:v>833</x:v>
      </x:c>
      <x:c r="J292" s="70" t="n">
        <x:v>44</x:v>
      </x:c>
      <x:c r="K292" s="70" t="s">
        <x:v>864</x:v>
      </x:c>
      <x:c r="L292" s="70" t="s">
        <x:v>1031</x:v>
      </x:c>
      <x:c r="M292" s="70" t="s">
        <x:v>28</x:v>
      </x:c>
      <x:c r="N292" s="71" t="n">
        <x:v>1301609100</x:v>
      </x:c>
      <x:c r="O292" s="72" t="n">
        <x:f aca="0">N292/1000000</x:f>
        <x:v>1301.6091</x:v>
      </x:c>
      <x:c r="P292" s="73" t="n">
        <x:f aca="0">KOHC!C54</x:f>
        <x:v>1301.6091</x:v>
      </x:c>
      <x:c r="Q292" s="70" t="str">
        <x:f aca="0">IF(ABS(O292-P292)&lt;0.000001,"PASS","FAIL")</x:f>
        <x:v>PASS</x:v>
      </x:c>
      <x:c r="R292" s="70" t="s">
        <x:v>27</x:v>
      </x:c>
      <x:c r="S292" s="70"/>
    </x:row>
    <x:row r="293" ht="15" hidden="0">
      <x:c r="A293" s="70" t="s">
        <x:v>1036</x:v>
      </x:c>
      <x:c r="B293" s="70" t="s">
        <x:v>24</x:v>
      </x:c>
      <x:c r="C293" s="70" t="s">
        <x:v>101</x:v>
      </x:c>
      <x:c r="D293" s="70" t="s">
        <x:v>174</x:v>
      </x:c>
      <x:c r="E293" s="70" t="s">
        <x:v>763</x:v>
      </x:c>
      <x:c r="F293" s="70" t="s">
        <x:v>1035</x:v>
      </x:c>
      <x:c r="G293" s="70" t="s">
        <x:v>837</x:v>
      </x:c>
      <x:c r="H293" s="70" t="s">
        <x:v>838</x:v>
      </x:c>
      <x:c r="I293" s="70" t="s">
        <x:v>833</x:v>
      </x:c>
      <x:c r="J293" s="70" t="n">
        <x:v>52</x:v>
      </x:c>
      <x:c r="K293" s="70" t="s">
        <x:v>864</x:v>
      </x:c>
      <x:c r="L293" s="70" t="s">
        <x:v>1031</x:v>
      </x:c>
      <x:c r="M293" s="70" t="s">
        <x:v>28</x:v>
      </x:c>
      <x:c r="N293" s="71" t="n">
        <x:v>498000000</x:v>
      </x:c>
      <x:c r="O293" s="72" t="n">
        <x:f aca="0">N293/1000000</x:f>
        <x:v>498</x:v>
      </x:c>
      <x:c r="P293" s="73" t="n">
        <x:f aca="0">KOHC!D54</x:f>
        <x:v>498</x:v>
      </x:c>
      <x:c r="Q293" s="70" t="str">
        <x:f aca="0">IF(ABS(O293-P293)&lt;0.000001,"PASS","FAIL")</x:f>
        <x:v>PASS</x:v>
      </x:c>
      <x:c r="R293" s="70" t="s">
        <x:v>27</x:v>
      </x:c>
      <x:c r="S293" s="70"/>
    </x:row>
    <x:row r="294" ht="15" hidden="0">
      <x:c r="A294" s="70" t="s">
        <x:v>1037</x:v>
      </x:c>
      <x:c r="B294" s="70" t="s">
        <x:v>24</x:v>
      </x:c>
      <x:c r="C294" s="70" t="s">
        <x:v>102</x:v>
      </x:c>
      <x:c r="D294" s="70" t="s">
        <x:v>174</x:v>
      </x:c>
      <x:c r="E294" s="70" t="s">
        <x:v>763</x:v>
      </x:c>
      <x:c r="F294" s="70"/>
      <x:c r="G294" s="70" t="s">
        <x:v>841</x:v>
      </x:c>
      <x:c r="H294" s="70" t="s">
        <x:v>842</x:v>
      </x:c>
      <x:c r="I294" s="70" t="s">
        <x:v>833</x:v>
      </x:c>
      <x:c r="J294" s="70" t="n">
        <x:v>52</x:v>
      </x:c>
      <x:c r="K294" s="70" t="s">
        <x:v>864</x:v>
      </x:c>
      <x:c r="L294" s="70"/>
      <x:c r="M294" s="70" t="s">
        <x:v>28</x:v>
      </x:c>
      <x:c r="N294" s="71" t="n">
        <x:v>0</x:v>
      </x:c>
      <x:c r="O294" s="72" t="n">
        <x:f aca="0">N294/1000000</x:f>
        <x:v>0</x:v>
      </x:c>
      <x:c r="P294" s="73" t="n">
        <x:f aca="0">KOHC!E54</x:f>
        <x:v>0</x:v>
      </x:c>
      <x:c r="Q294" s="70" t="str">
        <x:f aca="0">IF(ABS(O294-P294)&lt;0.000001,"PASS","FAIL")</x:f>
        <x:v>PASS</x:v>
      </x:c>
      <x:c r="R294" s="70" t="s">
        <x:v>27</x:v>
      </x:c>
      <x:c r="S294" s="70"/>
    </x:row>
    <x:row r="295" ht="15" hidden="0">
      <x:c r="A295" s="70" t="s">
        <x:v>1038</x:v>
      </x:c>
      <x:c r="B295" s="70" t="s">
        <x:v>24</x:v>
      </x:c>
      <x:c r="C295" s="70" t="s">
        <x:v>103</x:v>
      </x:c>
      <x:c r="D295" s="70" t="s">
        <x:v>174</x:v>
      </x:c>
      <x:c r="E295" s="70" t="s">
        <x:v>763</x:v>
      </x:c>
      <x:c r="F295" s="70"/>
      <x:c r="G295" s="70" t="s">
        <x:v>844</x:v>
      </x:c>
      <x:c r="H295" s="70" t="s">
        <x:v>845</x:v>
      </x:c>
      <x:c r="I295" s="70" t="s">
        <x:v>833</x:v>
      </x:c>
      <x:c r="J295" s="70" t="n">
        <x:v>58</x:v>
      </x:c>
      <x:c r="K295" s="70" t="s">
        <x:v>864</x:v>
      </x:c>
      <x:c r="L295" s="70"/>
      <x:c r="M295" s="70" t="s">
        <x:v>28</x:v>
      </x:c>
      <x:c r="N295" s="71" t="n">
        <x:v>0</x:v>
      </x:c>
      <x:c r="O295" s="72" t="n">
        <x:f aca="0">N295/1000000</x:f>
        <x:v>0</x:v>
      </x:c>
      <x:c r="P295" s="73" t="n">
        <x:f aca="0">KOHC!F54</x:f>
        <x:v>0</x:v>
      </x:c>
      <x:c r="Q295" s="70" t="str">
        <x:f aca="0">IF(ABS(O295-P295)&lt;0.000001,"PASS","FAIL")</x:f>
        <x:v>PASS</x:v>
      </x:c>
      <x:c r="R295" s="70" t="s">
        <x:v>27</x:v>
      </x:c>
      <x:c r="S295" s="70"/>
    </x:row>
    <x:row r="296" ht="15" hidden="0">
      <x:c r="A296" s="70" t="s">
        <x:v>1039</x:v>
      </x:c>
      <x:c r="B296" s="70" t="s">
        <x:v>24</x:v>
      </x:c>
      <x:c r="C296" s="70" t="s">
        <x:v>104</x:v>
      </x:c>
      <x:c r="D296" s="70" t="s">
        <x:v>174</x:v>
      </x:c>
      <x:c r="E296" s="70" t="s">
        <x:v>763</x:v>
      </x:c>
      <x:c r="F296" s="70" t="s">
        <x:v>1035</x:v>
      </x:c>
      <x:c r="G296" s="70" t="s">
        <x:v>848</x:v>
      </x:c>
      <x:c r="H296" s="70" t="s">
        <x:v>849</x:v>
      </x:c>
      <x:c r="I296" s="70" t="s">
        <x:v>833</x:v>
      </x:c>
      <x:c r="J296" s="70" t="n">
        <x:v>68</x:v>
      </x:c>
      <x:c r="K296" s="70" t="s">
        <x:v>869</x:v>
      </x:c>
      <x:c r="L296" s="70" t="s">
        <x:v>1040</x:v>
      </x:c>
      <x:c r="M296" s="70" t="s">
        <x:v>28</x:v>
      </x:c>
      <x:c r="N296" s="71" t="n">
        <x:v>61253</x:v>
      </x:c>
      <x:c r="O296" s="72" t="n">
        <x:f aca="0">N296/1000000</x:f>
        <x:v>0.061253</x:v>
      </x:c>
      <x:c r="P296" s="73" t="n">
        <x:f aca="0">KOHC!G54</x:f>
        <x:v>0.061253</x:v>
      </x:c>
      <x:c r="Q296" s="70" t="str">
        <x:f aca="0">IF(ABS(O296-P296)&lt;0.000001,"PASS","FAIL")</x:f>
        <x:v>PASS</x:v>
      </x:c>
      <x:c r="R296" s="70" t="s">
        <x:v>27</x:v>
      </x:c>
      <x:c r="S296" s="70" t="s">
        <x:v>839</x:v>
      </x:c>
    </x:row>
    <x:row r="297" ht="15" hidden="0">
      <x:c r="A297" s="70" t="s">
        <x:v>1041</x:v>
      </x:c>
      <x:c r="B297" s="70" t="s">
        <x:v>24</x:v>
      </x:c>
      <x:c r="C297" s="70" t="s">
        <x:v>105</x:v>
      </x:c>
      <x:c r="D297" s="70" t="s">
        <x:v>174</x:v>
      </x:c>
      <x:c r="E297" s="70" t="s">
        <x:v>763</x:v>
      </x:c>
      <x:c r="F297" s="70" t="s">
        <x:v>1035</x:v>
      </x:c>
      <x:c r="G297" s="70" t="s">
        <x:v>848</x:v>
      </x:c>
      <x:c r="H297" s="70" t="s">
        <x:v>849</x:v>
      </x:c>
      <x:c r="I297" s="70" t="s">
        <x:v>852</x:v>
      </x:c>
      <x:c r="J297" s="70" t="n">
        <x:v>68</x:v>
      </x:c>
      <x:c r="K297" s="70" t="s">
        <x:v>869</x:v>
      </x:c>
      <x:c r="L297" s="70" t="s">
        <x:v>1040</x:v>
      </x:c>
      <x:c r="M297" s="70" t="s">
        <x:v>28</x:v>
      </x:c>
      <x:c r="N297" s="71" t="n">
        <x:v>3704884</x:v>
      </x:c>
      <x:c r="O297" s="72" t="n">
        <x:f aca="0">N297/1000000</x:f>
        <x:v>3.704884</x:v>
      </x:c>
      <x:c r="P297" s="73" t="n">
        <x:f aca="0">KOHC!H54</x:f>
        <x:v>3.704884</x:v>
      </x:c>
      <x:c r="Q297" s="70" t="str">
        <x:f aca="0">IF(ABS(O297-P297)&lt;0.000001,"PASS","FAIL")</x:f>
        <x:v>PASS</x:v>
      </x:c>
      <x:c r="R297" s="70" t="s">
        <x:v>27</x:v>
      </x:c>
      <x:c r="S297" s="70"/>
    </x:row>
    <x:row r="298" ht="15" hidden="0">
      <x:c r="A298" s="70" t="s">
        <x:v>1042</x:v>
      </x:c>
      <x:c r="B298" s="70" t="s">
        <x:v>24</x:v>
      </x:c>
      <x:c r="C298" s="70" t="s">
        <x:v>717</x:v>
      </x:c>
      <x:c r="D298" s="70" t="s">
        <x:v>176</x:v>
      </x:c>
      <x:c r="E298" s="70" t="s">
        <x:v>763</x:v>
      </x:c>
      <x:c r="F298" s="70" t="s">
        <x:v>1043</x:v>
      </x:c>
      <x:c r="G298" s="70" t="s">
        <x:v>831</x:v>
      </x:c>
      <x:c r="H298" s="70" t="s">
        <x:v>832</x:v>
      </x:c>
      <x:c r="I298" s="70" t="s">
        <x:v>833</x:v>
      </x:c>
      <x:c r="J298" s="70" t="n">
        <x:v>44</x:v>
      </x:c>
      <x:c r="K298" s="70" t="s">
        <x:v>864</x:v>
      </x:c>
      <x:c r="L298" s="70" t="s">
        <x:v>966</x:v>
      </x:c>
      <x:c r="M298" s="70" t="s">
        <x:v>28</x:v>
      </x:c>
      <x:c r="N298" s="71" t="n">
        <x:v>248496322</x:v>
      </x:c>
      <x:c r="O298" s="72" t="n">
        <x:f aca="0">N298/1000000</x:f>
        <x:v>248.496322</x:v>
      </x:c>
      <x:c r="P298" s="73" t="n">
        <x:f aca="0">KOHC!C55</x:f>
        <x:v>248.496322</x:v>
      </x:c>
      <x:c r="Q298" s="70" t="str">
        <x:f aca="0">IF(ABS(O298-P298)&lt;0.000001,"PASS","FAIL")</x:f>
        <x:v>PASS</x:v>
      </x:c>
      <x:c r="R298" s="70" t="s">
        <x:v>27</x:v>
      </x:c>
      <x:c r="S298" s="70"/>
    </x:row>
    <x:row r="299" ht="15" hidden="0">
      <x:c r="A299" s="70" t="s">
        <x:v>1044</x:v>
      </x:c>
      <x:c r="B299" s="70" t="s">
        <x:v>24</x:v>
      </x:c>
      <x:c r="C299" s="70" t="s">
        <x:v>101</x:v>
      </x:c>
      <x:c r="D299" s="70" t="s">
        <x:v>176</x:v>
      </x:c>
      <x:c r="E299" s="70" t="s">
        <x:v>763</x:v>
      </x:c>
      <x:c r="F299" s="70" t="s">
        <x:v>1043</x:v>
      </x:c>
      <x:c r="G299" s="70" t="s">
        <x:v>837</x:v>
      </x:c>
      <x:c r="H299" s="70" t="s">
        <x:v>838</x:v>
      </x:c>
      <x:c r="I299" s="70" t="s">
        <x:v>833</x:v>
      </x:c>
      <x:c r="J299" s="70" t="n">
        <x:v>52</x:v>
      </x:c>
      <x:c r="K299" s="70" t="s">
        <x:v>864</x:v>
      </x:c>
      <x:c r="L299" s="70" t="s">
        <x:v>966</x:v>
      </x:c>
      <x:c r="M299" s="70" t="s">
        <x:v>28</x:v>
      </x:c>
      <x:c r="N299" s="71" t="n">
        <x:v>1147020843</x:v>
      </x:c>
      <x:c r="O299" s="72" t="n">
        <x:f aca="0">N299/1000000</x:f>
        <x:v>1147.020843</x:v>
      </x:c>
      <x:c r="P299" s="73" t="n">
        <x:f aca="0">KOHC!D55</x:f>
        <x:v>1147.020843</x:v>
      </x:c>
      <x:c r="Q299" s="70" t="str">
        <x:f aca="0">IF(ABS(O299-P299)&lt;0.000001,"PASS","FAIL")</x:f>
        <x:v>PASS</x:v>
      </x:c>
      <x:c r="R299" s="70" t="s">
        <x:v>27</x:v>
      </x:c>
      <x:c r="S299" s="70"/>
    </x:row>
    <x:row r="300" ht="15" hidden="0">
      <x:c r="A300" s="70" t="s">
        <x:v>1045</x:v>
      </x:c>
      <x:c r="B300" s="70" t="s">
        <x:v>24</x:v>
      </x:c>
      <x:c r="C300" s="70" t="s">
        <x:v>102</x:v>
      </x:c>
      <x:c r="D300" s="70" t="s">
        <x:v>176</x:v>
      </x:c>
      <x:c r="E300" s="70" t="s">
        <x:v>763</x:v>
      </x:c>
      <x:c r="F300" s="70" t="s">
        <x:v>1043</x:v>
      </x:c>
      <x:c r="G300" s="70" t="s">
        <x:v>841</x:v>
      </x:c>
      <x:c r="H300" s="70" t="s">
        <x:v>842</x:v>
      </x:c>
      <x:c r="I300" s="70" t="s">
        <x:v>833</x:v>
      </x:c>
      <x:c r="J300" s="70" t="n">
        <x:v>52</x:v>
      </x:c>
      <x:c r="K300" s="70" t="s">
        <x:v>864</x:v>
      </x:c>
      <x:c r="L300" s="70" t="s">
        <x:v>966</x:v>
      </x:c>
      <x:c r="M300" s="70" t="s">
        <x:v>28</x:v>
      </x:c>
      <x:c r="N300" s="71" t="n">
        <x:v>1071912356</x:v>
      </x:c>
      <x:c r="O300" s="72" t="n">
        <x:f aca="0">N300/1000000</x:f>
        <x:v>1071.912356</x:v>
      </x:c>
      <x:c r="P300" s="73" t="n">
        <x:f aca="0">KOHC!E55</x:f>
        <x:v>1071.912356</x:v>
      </x:c>
      <x:c r="Q300" s="70" t="str">
        <x:f aca="0">IF(ABS(O300-P300)&lt;0.000001,"PASS","FAIL")</x:f>
        <x:v>PASS</x:v>
      </x:c>
      <x:c r="R300" s="70" t="s">
        <x:v>27</x:v>
      </x:c>
      <x:c r="S300" s="70"/>
    </x:row>
    <x:row r="301" ht="15" hidden="0">
      <x:c r="A301" s="70" t="s">
        <x:v>1046</x:v>
      </x:c>
      <x:c r="B301" s="70" t="s">
        <x:v>24</x:v>
      </x:c>
      <x:c r="C301" s="70" t="s">
        <x:v>103</x:v>
      </x:c>
      <x:c r="D301" s="70" t="s">
        <x:v>176</x:v>
      </x:c>
      <x:c r="E301" s="70" t="s">
        <x:v>763</x:v>
      </x:c>
      <x:c r="F301" s="70" t="s">
        <x:v>1043</x:v>
      </x:c>
      <x:c r="G301" s="70" t="s">
        <x:v>844</x:v>
      </x:c>
      <x:c r="H301" s="70" t="s">
        <x:v>845</x:v>
      </x:c>
      <x:c r="I301" s="70" t="s">
        <x:v>833</x:v>
      </x:c>
      <x:c r="J301" s="70" t="n">
        <x:v>58</x:v>
      </x:c>
      <x:c r="K301" s="70" t="s">
        <x:v>864</x:v>
      </x:c>
      <x:c r="L301" s="70" t="s">
        <x:v>966</x:v>
      </x:c>
      <x:c r="M301" s="70" t="s">
        <x:v>28</x:v>
      </x:c>
      <x:c r="N301" s="71" t="n">
        <x:v>1034355873</x:v>
      </x:c>
      <x:c r="O301" s="72" t="n">
        <x:f aca="0">N301/1000000</x:f>
        <x:v>1034.355873</x:v>
      </x:c>
      <x:c r="P301" s="73" t="n">
        <x:f aca="0">KOHC!F55</x:f>
        <x:v>1034.355873</x:v>
      </x:c>
      <x:c r="Q301" s="70" t="str">
        <x:f aca="0">IF(ABS(O301-P301)&lt;0.000001,"PASS","FAIL")</x:f>
        <x:v>PASS</x:v>
      </x:c>
      <x:c r="R301" s="70" t="s">
        <x:v>27</x:v>
      </x:c>
      <x:c r="S301" s="70"/>
    </x:row>
    <x:row r="302" ht="15" hidden="0">
      <x:c r="A302" s="70" t="s">
        <x:v>1047</x:v>
      </x:c>
      <x:c r="B302" s="70" t="s">
        <x:v>24</x:v>
      </x:c>
      <x:c r="C302" s="70" t="s">
        <x:v>104</x:v>
      </x:c>
      <x:c r="D302" s="70" t="s">
        <x:v>176</x:v>
      </x:c>
      <x:c r="E302" s="70" t="s">
        <x:v>763</x:v>
      </x:c>
      <x:c r="F302" s="70" t="s">
        <x:v>1043</x:v>
      </x:c>
      <x:c r="G302" s="70" t="s">
        <x:v>848</x:v>
      </x:c>
      <x:c r="H302" s="70" t="s">
        <x:v>849</x:v>
      </x:c>
      <x:c r="I302" s="70" t="s">
        <x:v>833</x:v>
      </x:c>
      <x:c r="J302" s="70" t="n">
        <x:v>68</x:v>
      </x:c>
      <x:c r="K302" s="70" t="s">
        <x:v>869</x:v>
      </x:c>
      <x:c r="L302" s="70" t="s">
        <x:v>966</x:v>
      </x:c>
      <x:c r="M302" s="70" t="s">
        <x:v>28</x:v>
      </x:c>
      <x:c r="N302" s="71" t="n">
        <x:v>1169295643</x:v>
      </x:c>
      <x:c r="O302" s="72" t="n">
        <x:f aca="0">N302/1000000</x:f>
        <x:v>1169.295643</x:v>
      </x:c>
      <x:c r="P302" s="73" t="n">
        <x:f aca="0">KOHC!G55</x:f>
        <x:v>1169.295643</x:v>
      </x:c>
      <x:c r="Q302" s="70" t="str">
        <x:f aca="0">IF(ABS(O302-P302)&lt;0.000001,"PASS","FAIL")</x:f>
        <x:v>PASS</x:v>
      </x:c>
      <x:c r="R302" s="70" t="s">
        <x:v>27</x:v>
      </x:c>
      <x:c r="S302" s="70" t="s">
        <x:v>839</x:v>
      </x:c>
    </x:row>
    <x:row r="303" ht="15" hidden="0">
      <x:c r="A303" s="70" t="s">
        <x:v>1048</x:v>
      </x:c>
      <x:c r="B303" s="70" t="s">
        <x:v>24</x:v>
      </x:c>
      <x:c r="C303" s="70" t="s">
        <x:v>105</x:v>
      </x:c>
      <x:c r="D303" s="70" t="s">
        <x:v>176</x:v>
      </x:c>
      <x:c r="E303" s="70" t="s">
        <x:v>763</x:v>
      </x:c>
      <x:c r="F303" s="70" t="s">
        <x:v>1043</x:v>
      </x:c>
      <x:c r="G303" s="70" t="s">
        <x:v>848</x:v>
      </x:c>
      <x:c r="H303" s="70" t="s">
        <x:v>849</x:v>
      </x:c>
      <x:c r="I303" s="70" t="s">
        <x:v>852</x:v>
      </x:c>
      <x:c r="J303" s="70" t="n">
        <x:v>68</x:v>
      </x:c>
      <x:c r="K303" s="70" t="s">
        <x:v>869</x:v>
      </x:c>
      <x:c r="L303" s="70" t="s">
        <x:v>966</x:v>
      </x:c>
      <x:c r="M303" s="70" t="s">
        <x:v>28</x:v>
      </x:c>
      <x:c r="N303" s="71" t="n">
        <x:v>837359258</x:v>
      </x:c>
      <x:c r="O303" s="72" t="n">
        <x:f aca="0">N303/1000000</x:f>
        <x:v>837.359258</x:v>
      </x:c>
      <x:c r="P303" s="73" t="n">
        <x:f aca="0">KOHC!H55</x:f>
        <x:v>837.359258</x:v>
      </x:c>
      <x:c r="Q303" s="70" t="str">
        <x:f aca="0">IF(ABS(O303-P303)&lt;0.000001,"PASS","FAIL")</x:f>
        <x:v>PASS</x:v>
      </x:c>
      <x:c r="R303" s="70" t="s">
        <x:v>27</x:v>
      </x:c>
      <x:c r="S303" s="70"/>
    </x:row>
    <x:row r="304" ht="15" hidden="0">
      <x:c r="A304" s="70" t="s">
        <x:v>1049</x:v>
      </x:c>
      <x:c r="B304" s="70" t="s">
        <x:v>24</x:v>
      </x:c>
      <x:c r="C304" s="70" t="s">
        <x:v>717</x:v>
      </x:c>
      <x:c r="D304" s="70" t="s">
        <x:v>178</x:v>
      </x:c>
      <x:c r="E304" s="70" t="s">
        <x:v>763</x:v>
      </x:c>
      <x:c r="F304" s="70"/>
      <x:c r="G304" s="70" t="s">
        <x:v>831</x:v>
      </x:c>
      <x:c r="H304" s="70" t="s">
        <x:v>832</x:v>
      </x:c>
      <x:c r="I304" s="70" t="s">
        <x:v>833</x:v>
      </x:c>
      <x:c r="J304" s="70" t="n">
        <x:v>44</x:v>
      </x:c>
      <x:c r="K304" s="70" t="s">
        <x:v>864</x:v>
      </x:c>
      <x:c r="L304" s="70"/>
      <x:c r="M304" s="70" t="s">
        <x:v>28</x:v>
      </x:c>
      <x:c r="N304" s="71" t="n">
        <x:v>0</x:v>
      </x:c>
      <x:c r="O304" s="72" t="n">
        <x:f aca="0">N304/1000000</x:f>
        <x:v>0</x:v>
      </x:c>
      <x:c r="P304" s="73" t="n">
        <x:f aca="0">KOHC!C56</x:f>
        <x:v>0</x:v>
      </x:c>
      <x:c r="Q304" s="70" t="str">
        <x:f aca="0">IF(ABS(O304-P304)&lt;0.000001,"PASS","FAIL")</x:f>
        <x:v>PASS</x:v>
      </x:c>
      <x:c r="R304" s="70" t="s">
        <x:v>27</x:v>
      </x:c>
      <x:c r="S304" s="70"/>
    </x:row>
    <x:row r="305" ht="15" hidden="0">
      <x:c r="A305" s="70" t="s">
        <x:v>1050</x:v>
      </x:c>
      <x:c r="B305" s="70" t="s">
        <x:v>24</x:v>
      </x:c>
      <x:c r="C305" s="70" t="s">
        <x:v>101</x:v>
      </x:c>
      <x:c r="D305" s="70" t="s">
        <x:v>178</x:v>
      </x:c>
      <x:c r="E305" s="70" t="s">
        <x:v>763</x:v>
      </x:c>
      <x:c r="F305" s="70"/>
      <x:c r="G305" s="70" t="s">
        <x:v>837</x:v>
      </x:c>
      <x:c r="H305" s="70" t="s">
        <x:v>838</x:v>
      </x:c>
      <x:c r="I305" s="70" t="s">
        <x:v>833</x:v>
      </x:c>
      <x:c r="J305" s="70" t="n">
        <x:v>52</x:v>
      </x:c>
      <x:c r="K305" s="70" t="s">
        <x:v>864</x:v>
      </x:c>
      <x:c r="L305" s="70"/>
      <x:c r="M305" s="70" t="s">
        <x:v>28</x:v>
      </x:c>
      <x:c r="N305" s="71" t="n">
        <x:v>0</x:v>
      </x:c>
      <x:c r="O305" s="72" t="n">
        <x:f aca="0">N305/1000000</x:f>
        <x:v>0</x:v>
      </x:c>
      <x:c r="P305" s="73" t="n">
        <x:f aca="0">KOHC!D56</x:f>
        <x:v>0</x:v>
      </x:c>
      <x:c r="Q305" s="70" t="str">
        <x:f aca="0">IF(ABS(O305-P305)&lt;0.000001,"PASS","FAIL")</x:f>
        <x:v>PASS</x:v>
      </x:c>
      <x:c r="R305" s="70" t="s">
        <x:v>27</x:v>
      </x:c>
      <x:c r="S305" s="70"/>
    </x:row>
    <x:row r="306" ht="15" hidden="0">
      <x:c r="A306" s="70" t="s">
        <x:v>1051</x:v>
      </x:c>
      <x:c r="B306" s="70" t="s">
        <x:v>24</x:v>
      </x:c>
      <x:c r="C306" s="70" t="s">
        <x:v>102</x:v>
      </x:c>
      <x:c r="D306" s="70" t="s">
        <x:v>178</x:v>
      </x:c>
      <x:c r="E306" s="70" t="s">
        <x:v>763</x:v>
      </x:c>
      <x:c r="F306" s="70"/>
      <x:c r="G306" s="70" t="s">
        <x:v>841</x:v>
      </x:c>
      <x:c r="H306" s="70" t="s">
        <x:v>842</x:v>
      </x:c>
      <x:c r="I306" s="70" t="s">
        <x:v>833</x:v>
      </x:c>
      <x:c r="J306" s="70" t="n">
        <x:v>52</x:v>
      </x:c>
      <x:c r="K306" s="70" t="s">
        <x:v>864</x:v>
      </x:c>
      <x:c r="L306" s="70"/>
      <x:c r="M306" s="70" t="s">
        <x:v>28</x:v>
      </x:c>
      <x:c r="N306" s="71" t="n">
        <x:v>0</x:v>
      </x:c>
      <x:c r="O306" s="72" t="n">
        <x:f aca="0">N306/1000000</x:f>
        <x:v>0</x:v>
      </x:c>
      <x:c r="P306" s="73" t="n">
        <x:f aca="0">KOHC!E56</x:f>
        <x:v>0</x:v>
      </x:c>
      <x:c r="Q306" s="70" t="str">
        <x:f aca="0">IF(ABS(O306-P306)&lt;0.000001,"PASS","FAIL")</x:f>
        <x:v>PASS</x:v>
      </x:c>
      <x:c r="R306" s="70" t="s">
        <x:v>27</x:v>
      </x:c>
      <x:c r="S306" s="70"/>
    </x:row>
    <x:row r="307" ht="15" hidden="0">
      <x:c r="A307" s="70" t="s">
        <x:v>1052</x:v>
      </x:c>
      <x:c r="B307" s="70" t="s">
        <x:v>24</x:v>
      </x:c>
      <x:c r="C307" s="70" t="s">
        <x:v>103</x:v>
      </x:c>
      <x:c r="D307" s="70" t="s">
        <x:v>178</x:v>
      </x:c>
      <x:c r="E307" s="70" t="s">
        <x:v>763</x:v>
      </x:c>
      <x:c r="F307" s="70"/>
      <x:c r="G307" s="70" t="s">
        <x:v>844</x:v>
      </x:c>
      <x:c r="H307" s="70" t="s">
        <x:v>845</x:v>
      </x:c>
      <x:c r="I307" s="70" t="s">
        <x:v>833</x:v>
      </x:c>
      <x:c r="J307" s="70" t="n">
        <x:v>58</x:v>
      </x:c>
      <x:c r="K307" s="70" t="s">
        <x:v>864</x:v>
      </x:c>
      <x:c r="L307" s="70"/>
      <x:c r="M307" s="70" t="s">
        <x:v>28</x:v>
      </x:c>
      <x:c r="N307" s="71" t="n">
        <x:v>0</x:v>
      </x:c>
      <x:c r="O307" s="72" t="n">
        <x:f aca="0">N307/1000000</x:f>
        <x:v>0</x:v>
      </x:c>
      <x:c r="P307" s="73" t="n">
        <x:f aca="0">KOHC!F56</x:f>
        <x:v>0</x:v>
      </x:c>
      <x:c r="Q307" s="70" t="str">
        <x:f aca="0">IF(ABS(O307-P307)&lt;0.000001,"PASS","FAIL")</x:f>
        <x:v>PASS</x:v>
      </x:c>
      <x:c r="R307" s="70" t="s">
        <x:v>27</x:v>
      </x:c>
      <x:c r="S307" s="70"/>
    </x:row>
    <x:row r="308" ht="15" hidden="0">
      <x:c r="A308" s="70" t="s">
        <x:v>1053</x:v>
      </x:c>
      <x:c r="B308" s="70" t="s">
        <x:v>24</x:v>
      </x:c>
      <x:c r="C308" s="70" t="s">
        <x:v>104</x:v>
      </x:c>
      <x:c r="D308" s="70" t="s">
        <x:v>178</x:v>
      </x:c>
      <x:c r="E308" s="70" t="s">
        <x:v>763</x:v>
      </x:c>
      <x:c r="F308" s="70"/>
      <x:c r="G308" s="70" t="s">
        <x:v>848</x:v>
      </x:c>
      <x:c r="H308" s="70" t="s">
        <x:v>849</x:v>
      </x:c>
      <x:c r="I308" s="70" t="s">
        <x:v>833</x:v>
      </x:c>
      <x:c r="J308" s="70" t="n">
        <x:v>68</x:v>
      </x:c>
      <x:c r="K308" s="70" t="s">
        <x:v>869</x:v>
      </x:c>
      <x:c r="L308" s="70"/>
      <x:c r="M308" s="70" t="s">
        <x:v>28</x:v>
      </x:c>
      <x:c r="N308" s="71" t="n">
        <x:v>0</x:v>
      </x:c>
      <x:c r="O308" s="72" t="n">
        <x:f aca="0">N308/1000000</x:f>
        <x:v>0</x:v>
      </x:c>
      <x:c r="P308" s="73" t="n">
        <x:f aca="0">KOHC!G56</x:f>
        <x:v>0</x:v>
      </x:c>
      <x:c r="Q308" s="70" t="str">
        <x:f aca="0">IF(ABS(O308-P308)&lt;0.000001,"PASS","FAIL")</x:f>
        <x:v>PASS</x:v>
      </x:c>
      <x:c r="R308" s="70" t="s">
        <x:v>27</x:v>
      </x:c>
      <x:c r="S308" s="70"/>
    </x:row>
    <x:row r="309" ht="15" hidden="0">
      <x:c r="A309" s="70" t="s">
        <x:v>1054</x:v>
      </x:c>
      <x:c r="B309" s="70" t="s">
        <x:v>24</x:v>
      </x:c>
      <x:c r="C309" s="70" t="s">
        <x:v>105</x:v>
      </x:c>
      <x:c r="D309" s="70" t="s">
        <x:v>178</x:v>
      </x:c>
      <x:c r="E309" s="70" t="s">
        <x:v>763</x:v>
      </x:c>
      <x:c r="F309" s="70"/>
      <x:c r="G309" s="70" t="s">
        <x:v>848</x:v>
      </x:c>
      <x:c r="H309" s="70" t="s">
        <x:v>849</x:v>
      </x:c>
      <x:c r="I309" s="70" t="s">
        <x:v>852</x:v>
      </x:c>
      <x:c r="J309" s="70" t="n">
        <x:v>68</x:v>
      </x:c>
      <x:c r="K309" s="70" t="s">
        <x:v>869</x:v>
      </x:c>
      <x:c r="L309" s="70"/>
      <x:c r="M309" s="70" t="s">
        <x:v>28</x:v>
      </x:c>
      <x:c r="N309" s="71" t="n">
        <x:v>0</x:v>
      </x:c>
      <x:c r="O309" s="72" t="n">
        <x:f aca="0">N309/1000000</x:f>
        <x:v>0</x:v>
      </x:c>
      <x:c r="P309" s="73" t="n">
        <x:f aca="0">KOHC!H56</x:f>
        <x:v>0</x:v>
      </x:c>
      <x:c r="Q309" s="70" t="str">
        <x:f aca="0">IF(ABS(O309-P309)&lt;0.000001,"PASS","FAIL")</x:f>
        <x:v>PASS</x:v>
      </x:c>
      <x:c r="R309" s="70" t="s">
        <x:v>27</x:v>
      </x:c>
      <x:c r="S309" s="70"/>
    </x:row>
    <x:row r="310" ht="15" hidden="0">
      <x:c r="A310" s="70" t="s">
        <x:v>1055</x:v>
      </x:c>
      <x:c r="B310" s="70" t="s">
        <x:v>24</x:v>
      </x:c>
      <x:c r="C310" s="70" t="s">
        <x:v>717</x:v>
      </x:c>
      <x:c r="D310" s="70" t="s">
        <x:v>180</x:v>
      </x:c>
      <x:c r="E310" s="70" t="s">
        <x:v>763</x:v>
      </x:c>
      <x:c r="F310" s="70"/>
      <x:c r="G310" s="70" t="s">
        <x:v>831</x:v>
      </x:c>
      <x:c r="H310" s="70" t="s">
        <x:v>832</x:v>
      </x:c>
      <x:c r="I310" s="70" t="s">
        <x:v>833</x:v>
      </x:c>
      <x:c r="J310" s="70" t="n">
        <x:v>44</x:v>
      </x:c>
      <x:c r="K310" s="70" t="s">
        <x:v>864</x:v>
      </x:c>
      <x:c r="L310" s="70"/>
      <x:c r="M310" s="70" t="s">
        <x:v>28</x:v>
      </x:c>
      <x:c r="N310" s="71" t="n">
        <x:v>0</x:v>
      </x:c>
      <x:c r="O310" s="72" t="n">
        <x:f aca="0">N310/1000000</x:f>
        <x:v>0</x:v>
      </x:c>
      <x:c r="P310" s="73" t="n">
        <x:f aca="0">KOHC!C57</x:f>
        <x:v>0</x:v>
      </x:c>
      <x:c r="Q310" s="70" t="str">
        <x:f aca="0">IF(ABS(O310-P310)&lt;0.000001,"PASS","FAIL")</x:f>
        <x:v>PASS</x:v>
      </x:c>
      <x:c r="R310" s="70" t="s">
        <x:v>27</x:v>
      </x:c>
      <x:c r="S310" s="70"/>
    </x:row>
    <x:row r="311" ht="15" hidden="0">
      <x:c r="A311" s="70" t="s">
        <x:v>1056</x:v>
      </x:c>
      <x:c r="B311" s="70" t="s">
        <x:v>24</x:v>
      </x:c>
      <x:c r="C311" s="70" t="s">
        <x:v>101</x:v>
      </x:c>
      <x:c r="D311" s="70" t="s">
        <x:v>180</x:v>
      </x:c>
      <x:c r="E311" s="70" t="s">
        <x:v>763</x:v>
      </x:c>
      <x:c r="F311" s="70"/>
      <x:c r="G311" s="70" t="s">
        <x:v>837</x:v>
      </x:c>
      <x:c r="H311" s="70" t="s">
        <x:v>838</x:v>
      </x:c>
      <x:c r="I311" s="70" t="s">
        <x:v>833</x:v>
      </x:c>
      <x:c r="J311" s="70" t="n">
        <x:v>52</x:v>
      </x:c>
      <x:c r="K311" s="70" t="s">
        <x:v>864</x:v>
      </x:c>
      <x:c r="L311" s="70"/>
      <x:c r="M311" s="70" t="s">
        <x:v>28</x:v>
      </x:c>
      <x:c r="N311" s="71" t="n">
        <x:v>0</x:v>
      </x:c>
      <x:c r="O311" s="72" t="n">
        <x:f aca="0">N311/1000000</x:f>
        <x:v>0</x:v>
      </x:c>
      <x:c r="P311" s="73" t="n">
        <x:f aca="0">KOHC!D57</x:f>
        <x:v>0</x:v>
      </x:c>
      <x:c r="Q311" s="70" t="str">
        <x:f aca="0">IF(ABS(O311-P311)&lt;0.000001,"PASS","FAIL")</x:f>
        <x:v>PASS</x:v>
      </x:c>
      <x:c r="R311" s="70" t="s">
        <x:v>27</x:v>
      </x:c>
      <x:c r="S311" s="70"/>
    </x:row>
    <x:row r="312" ht="15" hidden="0">
      <x:c r="A312" s="70" t="s">
        <x:v>1057</x:v>
      </x:c>
      <x:c r="B312" s="70" t="s">
        <x:v>24</x:v>
      </x:c>
      <x:c r="C312" s="70" t="s">
        <x:v>102</x:v>
      </x:c>
      <x:c r="D312" s="70" t="s">
        <x:v>180</x:v>
      </x:c>
      <x:c r="E312" s="70" t="s">
        <x:v>763</x:v>
      </x:c>
      <x:c r="F312" s="70"/>
      <x:c r="G312" s="70" t="s">
        <x:v>841</x:v>
      </x:c>
      <x:c r="H312" s="70" t="s">
        <x:v>842</x:v>
      </x:c>
      <x:c r="I312" s="70" t="s">
        <x:v>833</x:v>
      </x:c>
      <x:c r="J312" s="70" t="n">
        <x:v>52</x:v>
      </x:c>
      <x:c r="K312" s="70" t="s">
        <x:v>864</x:v>
      </x:c>
      <x:c r="L312" s="70"/>
      <x:c r="M312" s="70" t="s">
        <x:v>28</x:v>
      </x:c>
      <x:c r="N312" s="71" t="n">
        <x:v>0</x:v>
      </x:c>
      <x:c r="O312" s="72" t="n">
        <x:f aca="0">N312/1000000</x:f>
        <x:v>0</x:v>
      </x:c>
      <x:c r="P312" s="73" t="n">
        <x:f aca="0">KOHC!E57</x:f>
        <x:v>0</x:v>
      </x:c>
      <x:c r="Q312" s="70" t="str">
        <x:f aca="0">IF(ABS(O312-P312)&lt;0.000001,"PASS","FAIL")</x:f>
        <x:v>PASS</x:v>
      </x:c>
      <x:c r="R312" s="70" t="s">
        <x:v>27</x:v>
      </x:c>
      <x:c r="S312" s="70"/>
    </x:row>
    <x:row r="313" ht="15" hidden="0">
      <x:c r="A313" s="70" t="s">
        <x:v>1058</x:v>
      </x:c>
      <x:c r="B313" s="70" t="s">
        <x:v>24</x:v>
      </x:c>
      <x:c r="C313" s="70" t="s">
        <x:v>103</x:v>
      </x:c>
      <x:c r="D313" s="70" t="s">
        <x:v>180</x:v>
      </x:c>
      <x:c r="E313" s="70" t="s">
        <x:v>763</x:v>
      </x:c>
      <x:c r="F313" s="70"/>
      <x:c r="G313" s="70" t="s">
        <x:v>844</x:v>
      </x:c>
      <x:c r="H313" s="70" t="s">
        <x:v>845</x:v>
      </x:c>
      <x:c r="I313" s="70" t="s">
        <x:v>833</x:v>
      </x:c>
      <x:c r="J313" s="70" t="n">
        <x:v>58</x:v>
      </x:c>
      <x:c r="K313" s="70" t="s">
        <x:v>864</x:v>
      </x:c>
      <x:c r="L313" s="70"/>
      <x:c r="M313" s="70" t="s">
        <x:v>28</x:v>
      </x:c>
      <x:c r="N313" s="71" t="n">
        <x:v>0</x:v>
      </x:c>
      <x:c r="O313" s="72" t="n">
        <x:f aca="0">N313/1000000</x:f>
        <x:v>0</x:v>
      </x:c>
      <x:c r="P313" s="73" t="n">
        <x:f aca="0">KOHC!F57</x:f>
        <x:v>0</x:v>
      </x:c>
      <x:c r="Q313" s="70" t="str">
        <x:f aca="0">IF(ABS(O313-P313)&lt;0.000001,"PASS","FAIL")</x:f>
        <x:v>PASS</x:v>
      </x:c>
      <x:c r="R313" s="70" t="s">
        <x:v>27</x:v>
      </x:c>
      <x:c r="S313" s="70"/>
    </x:row>
    <x:row r="314" ht="15" hidden="0">
      <x:c r="A314" s="70" t="s">
        <x:v>1059</x:v>
      </x:c>
      <x:c r="B314" s="70" t="s">
        <x:v>24</x:v>
      </x:c>
      <x:c r="C314" s="70" t="s">
        <x:v>104</x:v>
      </x:c>
      <x:c r="D314" s="70" t="s">
        <x:v>180</x:v>
      </x:c>
      <x:c r="E314" s="70" t="s">
        <x:v>763</x:v>
      </x:c>
      <x:c r="F314" s="70"/>
      <x:c r="G314" s="70" t="s">
        <x:v>848</x:v>
      </x:c>
      <x:c r="H314" s="70" t="s">
        <x:v>849</x:v>
      </x:c>
      <x:c r="I314" s="70" t="s">
        <x:v>833</x:v>
      </x:c>
      <x:c r="J314" s="70" t="n">
        <x:v>68</x:v>
      </x:c>
      <x:c r="K314" s="70" t="s">
        <x:v>869</x:v>
      </x:c>
      <x:c r="L314" s="70"/>
      <x:c r="M314" s="70" t="s">
        <x:v>28</x:v>
      </x:c>
      <x:c r="N314" s="71" t="n">
        <x:v>0</x:v>
      </x:c>
      <x:c r="O314" s="72" t="n">
        <x:f aca="0">N314/1000000</x:f>
        <x:v>0</x:v>
      </x:c>
      <x:c r="P314" s="73" t="n">
        <x:f aca="0">KOHC!G57</x:f>
        <x:v>0</x:v>
      </x:c>
      <x:c r="Q314" s="70" t="str">
        <x:f aca="0">IF(ABS(O314-P314)&lt;0.000001,"PASS","FAIL")</x:f>
        <x:v>PASS</x:v>
      </x:c>
      <x:c r="R314" s="70" t="s">
        <x:v>27</x:v>
      </x:c>
      <x:c r="S314" s="70"/>
    </x:row>
    <x:row r="315" ht="15" hidden="0">
      <x:c r="A315" s="70" t="s">
        <x:v>1060</x:v>
      </x:c>
      <x:c r="B315" s="70" t="s">
        <x:v>24</x:v>
      </x:c>
      <x:c r="C315" s="70" t="s">
        <x:v>105</x:v>
      </x:c>
      <x:c r="D315" s="70" t="s">
        <x:v>180</x:v>
      </x:c>
      <x:c r="E315" s="70" t="s">
        <x:v>763</x:v>
      </x:c>
      <x:c r="F315" s="70"/>
      <x:c r="G315" s="70" t="s">
        <x:v>848</x:v>
      </x:c>
      <x:c r="H315" s="70" t="s">
        <x:v>849</x:v>
      </x:c>
      <x:c r="I315" s="70" t="s">
        <x:v>852</x:v>
      </x:c>
      <x:c r="J315" s="70" t="n">
        <x:v>68</x:v>
      </x:c>
      <x:c r="K315" s="70" t="s">
        <x:v>869</x:v>
      </x:c>
      <x:c r="L315" s="70"/>
      <x:c r="M315" s="70" t="s">
        <x:v>28</x:v>
      </x:c>
      <x:c r="N315" s="71" t="n">
        <x:v>0</x:v>
      </x:c>
      <x:c r="O315" s="72" t="n">
        <x:f aca="0">N315/1000000</x:f>
        <x:v>0</x:v>
      </x:c>
      <x:c r="P315" s="73" t="n">
        <x:f aca="0">KOHC!H57</x:f>
        <x:v>0</x:v>
      </x:c>
      <x:c r="Q315" s="70" t="str">
        <x:f aca="0">IF(ABS(O315-P315)&lt;0.000001,"PASS","FAIL")</x:f>
        <x:v>PASS</x:v>
      </x:c>
      <x:c r="R315" s="70" t="s">
        <x:v>27</x:v>
      </x:c>
      <x:c r="S315" s="70"/>
    </x:row>
    <x:row r="316" ht="15" hidden="0">
      <x:c r="A316" s="70" t="s">
        <x:v>1061</x:v>
      </x:c>
      <x:c r="B316" s="70" t="s">
        <x:v>24</x:v>
      </x:c>
      <x:c r="C316" s="70" t="s">
        <x:v>717</x:v>
      </x:c>
      <x:c r="D316" s="70" t="s">
        <x:v>182</x:v>
      </x:c>
      <x:c r="E316" s="70" t="s">
        <x:v>763</x:v>
      </x:c>
      <x:c r="F316" s="70" t="s">
        <x:v>1062</x:v>
      </x:c>
      <x:c r="G316" s="70" t="s">
        <x:v>831</x:v>
      </x:c>
      <x:c r="H316" s="70" t="s">
        <x:v>832</x:v>
      </x:c>
      <x:c r="I316" s="70" t="s">
        <x:v>833</x:v>
      </x:c>
      <x:c r="J316" s="70" t="n">
        <x:v>44</x:v>
      </x:c>
      <x:c r="K316" s="70" t="s">
        <x:v>864</x:v>
      </x:c>
      <x:c r="L316" s="70" t="s">
        <x:v>1040</x:v>
      </x:c>
      <x:c r="M316" s="70" t="s">
        <x:v>28</x:v>
      </x:c>
      <x:c r="N316" s="71" t="n">
        <x:v>48014348</x:v>
      </x:c>
      <x:c r="O316" s="72" t="n">
        <x:f aca="0">N316/1000000</x:f>
        <x:v>48.014348</x:v>
      </x:c>
      <x:c r="P316" s="73" t="n">
        <x:f aca="0">KOHC!C58</x:f>
        <x:v>48.014348</x:v>
      </x:c>
      <x:c r="Q316" s="70" t="str">
        <x:f aca="0">IF(ABS(O316-P316)&lt;0.000001,"PASS","FAIL")</x:f>
        <x:v>PASS</x:v>
      </x:c>
      <x:c r="R316" s="70" t="s">
        <x:v>27</x:v>
      </x:c>
      <x:c r="S316" s="70"/>
    </x:row>
    <x:row r="317" ht="15" hidden="0">
      <x:c r="A317" s="70" t="s">
        <x:v>1063</x:v>
      </x:c>
      <x:c r="B317" s="70" t="s">
        <x:v>24</x:v>
      </x:c>
      <x:c r="C317" s="70" t="s">
        <x:v>101</x:v>
      </x:c>
      <x:c r="D317" s="70" t="s">
        <x:v>182</x:v>
      </x:c>
      <x:c r="E317" s="70" t="s">
        <x:v>763</x:v>
      </x:c>
      <x:c r="F317" s="70" t="s">
        <x:v>1062</x:v>
      </x:c>
      <x:c r="G317" s="70" t="s">
        <x:v>837</x:v>
      </x:c>
      <x:c r="H317" s="70" t="s">
        <x:v>838</x:v>
      </x:c>
      <x:c r="I317" s="70" t="s">
        <x:v>833</x:v>
      </x:c>
      <x:c r="J317" s="70" t="n">
        <x:v>52</x:v>
      </x:c>
      <x:c r="K317" s="70" t="s">
        <x:v>864</x:v>
      </x:c>
      <x:c r="L317" s="70" t="s">
        <x:v>1040</x:v>
      </x:c>
      <x:c r="M317" s="70" t="s">
        <x:v>28</x:v>
      </x:c>
      <x:c r="N317" s="71" t="n">
        <x:v>46197552</x:v>
      </x:c>
      <x:c r="O317" s="72" t="n">
        <x:f aca="0">N317/1000000</x:f>
        <x:v>46.197552</x:v>
      </x:c>
      <x:c r="P317" s="73" t="n">
        <x:f aca="0">KOHC!D58</x:f>
        <x:v>46.197552</x:v>
      </x:c>
      <x:c r="Q317" s="70" t="str">
        <x:f aca="0">IF(ABS(O317-P317)&lt;0.000001,"PASS","FAIL")</x:f>
        <x:v>PASS</x:v>
      </x:c>
      <x:c r="R317" s="70" t="s">
        <x:v>27</x:v>
      </x:c>
      <x:c r="S317" s="70"/>
    </x:row>
    <x:row r="318" ht="15" hidden="0">
      <x:c r="A318" s="70" t="s">
        <x:v>1064</x:v>
      </x:c>
      <x:c r="B318" s="70" t="s">
        <x:v>24</x:v>
      </x:c>
      <x:c r="C318" s="70" t="s">
        <x:v>102</x:v>
      </x:c>
      <x:c r="D318" s="70" t="s">
        <x:v>182</x:v>
      </x:c>
      <x:c r="E318" s="70" t="s">
        <x:v>763</x:v>
      </x:c>
      <x:c r="F318" s="70" t="s">
        <x:v>1062</x:v>
      </x:c>
      <x:c r="G318" s="70" t="s">
        <x:v>841</x:v>
      </x:c>
      <x:c r="H318" s="70" t="s">
        <x:v>842</x:v>
      </x:c>
      <x:c r="I318" s="70" t="s">
        <x:v>833</x:v>
      </x:c>
      <x:c r="J318" s="70" t="n">
        <x:v>52</x:v>
      </x:c>
      <x:c r="K318" s="70" t="s">
        <x:v>864</x:v>
      </x:c>
      <x:c r="L318" s="70" t="s">
        <x:v>1040</x:v>
      </x:c>
      <x:c r="M318" s="70" t="s">
        <x:v>28</x:v>
      </x:c>
      <x:c r="N318" s="71" t="n">
        <x:v>45648049</x:v>
      </x:c>
      <x:c r="O318" s="72" t="n">
        <x:f aca="0">N318/1000000</x:f>
        <x:v>45.648049</x:v>
      </x:c>
      <x:c r="P318" s="73" t="n">
        <x:f aca="0">KOHC!E58</x:f>
        <x:v>45.648049</x:v>
      </x:c>
      <x:c r="Q318" s="70" t="str">
        <x:f aca="0">IF(ABS(O318-P318)&lt;0.000001,"PASS","FAIL")</x:f>
        <x:v>PASS</x:v>
      </x:c>
      <x:c r="R318" s="70" t="s">
        <x:v>27</x:v>
      </x:c>
      <x:c r="S318" s="70"/>
    </x:row>
    <x:row r="319" ht="15" hidden="0">
      <x:c r="A319" s="70" t="s">
        <x:v>1065</x:v>
      </x:c>
      <x:c r="B319" s="70" t="s">
        <x:v>24</x:v>
      </x:c>
      <x:c r="C319" s="70" t="s">
        <x:v>103</x:v>
      </x:c>
      <x:c r="D319" s="70" t="s">
        <x:v>182</x:v>
      </x:c>
      <x:c r="E319" s="70" t="s">
        <x:v>763</x:v>
      </x:c>
      <x:c r="F319" s="70" t="s">
        <x:v>1062</x:v>
      </x:c>
      <x:c r="G319" s="70" t="s">
        <x:v>844</x:v>
      </x:c>
      <x:c r="H319" s="70" t="s">
        <x:v>845</x:v>
      </x:c>
      <x:c r="I319" s="70" t="s">
        <x:v>833</x:v>
      </x:c>
      <x:c r="J319" s="70" t="n">
        <x:v>58</x:v>
      </x:c>
      <x:c r="K319" s="70" t="s">
        <x:v>864</x:v>
      </x:c>
      <x:c r="L319" s="70" t="s">
        <x:v>1019</x:v>
      </x:c>
      <x:c r="M319" s="70" t="s">
        <x:v>28</x:v>
      </x:c>
      <x:c r="N319" s="71" t="n">
        <x:v>45475220</x:v>
      </x:c>
      <x:c r="O319" s="72" t="n">
        <x:f aca="0">N319/1000000</x:f>
        <x:v>45.47522</x:v>
      </x:c>
      <x:c r="P319" s="73" t="n">
        <x:f aca="0">KOHC!F58</x:f>
        <x:v>45.47522</x:v>
      </x:c>
      <x:c r="Q319" s="70" t="str">
        <x:f aca="0">IF(ABS(O319-P319)&lt;0.000001,"PASS","FAIL")</x:f>
        <x:v>PASS</x:v>
      </x:c>
      <x:c r="R319" s="70" t="s">
        <x:v>27</x:v>
      </x:c>
      <x:c r="S319" s="70"/>
    </x:row>
    <x:row r="320" ht="15" hidden="0">
      <x:c r="A320" s="70" t="s">
        <x:v>1066</x:v>
      </x:c>
      <x:c r="B320" s="70" t="s">
        <x:v>24</x:v>
      </x:c>
      <x:c r="C320" s="70" t="s">
        <x:v>104</x:v>
      </x:c>
      <x:c r="D320" s="70" t="s">
        <x:v>182</x:v>
      </x:c>
      <x:c r="E320" s="70" t="s">
        <x:v>763</x:v>
      </x:c>
      <x:c r="F320" s="70" t="s">
        <x:v>1062</x:v>
      </x:c>
      <x:c r="G320" s="70" t="s">
        <x:v>848</x:v>
      </x:c>
      <x:c r="H320" s="70" t="s">
        <x:v>849</x:v>
      </x:c>
      <x:c r="I320" s="70" t="s">
        <x:v>833</x:v>
      </x:c>
      <x:c r="J320" s="70" t="n">
        <x:v>68</x:v>
      </x:c>
      <x:c r="K320" s="70" t="s">
        <x:v>869</x:v>
      </x:c>
      <x:c r="L320" s="70" t="s">
        <x:v>1019</x:v>
      </x:c>
      <x:c r="M320" s="70" t="s">
        <x:v>28</x:v>
      </x:c>
      <x:c r="N320" s="71" t="n">
        <x:v>45338931</x:v>
      </x:c>
      <x:c r="O320" s="72" t="n">
        <x:f aca="0">N320/1000000</x:f>
        <x:v>45.338931</x:v>
      </x:c>
      <x:c r="P320" s="73" t="n">
        <x:f aca="0">KOHC!G58</x:f>
        <x:v>45.338931</x:v>
      </x:c>
      <x:c r="Q320" s="70" t="str">
        <x:f aca="0">IF(ABS(O320-P320)&lt;0.000001,"PASS","FAIL")</x:f>
        <x:v>PASS</x:v>
      </x:c>
      <x:c r="R320" s="70" t="s">
        <x:v>27</x:v>
      </x:c>
      <x:c r="S320" s="70"/>
    </x:row>
    <x:row r="321" ht="15" hidden="0">
      <x:c r="A321" s="70" t="s">
        <x:v>1067</x:v>
      </x:c>
      <x:c r="B321" s="70" t="s">
        <x:v>24</x:v>
      </x:c>
      <x:c r="C321" s="70" t="s">
        <x:v>105</x:v>
      </x:c>
      <x:c r="D321" s="70" t="s">
        <x:v>182</x:v>
      </x:c>
      <x:c r="E321" s="70" t="s">
        <x:v>763</x:v>
      </x:c>
      <x:c r="F321" s="70" t="s">
        <x:v>1062</x:v>
      </x:c>
      <x:c r="G321" s="70" t="s">
        <x:v>848</x:v>
      </x:c>
      <x:c r="H321" s="70" t="s">
        <x:v>849</x:v>
      </x:c>
      <x:c r="I321" s="70" t="s">
        <x:v>852</x:v>
      </x:c>
      <x:c r="J321" s="70" t="n">
        <x:v>68</x:v>
      </x:c>
      <x:c r="K321" s="70" t="s">
        <x:v>869</x:v>
      </x:c>
      <x:c r="L321" s="70" t="s">
        <x:v>1019</x:v>
      </x:c>
      <x:c r="M321" s="70" t="s">
        <x:v>28</x:v>
      </x:c>
      <x:c r="N321" s="71" t="n">
        <x:v>42181257</x:v>
      </x:c>
      <x:c r="O321" s="72" t="n">
        <x:f aca="0">N321/1000000</x:f>
        <x:v>42.181257</x:v>
      </x:c>
      <x:c r="P321" s="73" t="n">
        <x:f aca="0">KOHC!H58</x:f>
        <x:v>42.181257</x:v>
      </x:c>
      <x:c r="Q321" s="70" t="str">
        <x:f aca="0">IF(ABS(O321-P321)&lt;0.000001,"PASS","FAIL")</x:f>
        <x:v>PASS</x:v>
      </x:c>
      <x:c r="R321" s="70" t="s">
        <x:v>27</x:v>
      </x:c>
      <x:c r="S321" s="70"/>
    </x:row>
    <x:row r="322" ht="15" hidden="0">
      <x:c r="A322" s="70" t="s">
        <x:v>1068</x:v>
      </x:c>
      <x:c r="B322" s="70" t="s">
        <x:v>24</x:v>
      </x:c>
      <x:c r="C322" s="70" t="s">
        <x:v>717</x:v>
      </x:c>
      <x:c r="D322" s="70" t="s">
        <x:v>184</x:v>
      </x:c>
      <x:c r="E322" s="70" t="s">
        <x:v>763</x:v>
      </x:c>
      <x:c r="F322" s="70" t="s">
        <x:v>1069</x:v>
      </x:c>
      <x:c r="G322" s="70" t="s">
        <x:v>831</x:v>
      </x:c>
      <x:c r="H322" s="70" t="s">
        <x:v>832</x:v>
      </x:c>
      <x:c r="I322" s="70" t="s">
        <x:v>833</x:v>
      </x:c>
      <x:c r="J322" s="70" t="n">
        <x:v>44</x:v>
      </x:c>
      <x:c r="K322" s="70" t="s">
        <x:v>864</x:v>
      </x:c>
      <x:c r="L322" s="70"/>
      <x:c r="M322" s="70" t="s">
        <x:v>28</x:v>
      </x:c>
      <x:c r="N322" s="71" t="n">
        <x:v>52873661</x:v>
      </x:c>
      <x:c r="O322" s="72" t="n">
        <x:f aca="0">N322/1000000</x:f>
        <x:v>52.873661</x:v>
      </x:c>
      <x:c r="P322" s="73" t="n">
        <x:f aca="0">KOHC!C59</x:f>
        <x:v>52.873661</x:v>
      </x:c>
      <x:c r="Q322" s="70" t="str">
        <x:f aca="0">IF(ABS(O322-P322)&lt;0.000001,"PASS","FAIL")</x:f>
        <x:v>PASS</x:v>
      </x:c>
      <x:c r="R322" s="70" t="s">
        <x:v>27</x:v>
      </x:c>
      <x:c r="S322" s="70"/>
    </x:row>
    <x:row r="323" ht="15" hidden="0">
      <x:c r="A323" s="70" t="s">
        <x:v>1070</x:v>
      </x:c>
      <x:c r="B323" s="70" t="s">
        <x:v>24</x:v>
      </x:c>
      <x:c r="C323" s="70" t="s">
        <x:v>101</x:v>
      </x:c>
      <x:c r="D323" s="70" t="s">
        <x:v>184</x:v>
      </x:c>
      <x:c r="E323" s="70" t="s">
        <x:v>763</x:v>
      </x:c>
      <x:c r="F323" s="70" t="s">
        <x:v>1069</x:v>
      </x:c>
      <x:c r="G323" s="70" t="s">
        <x:v>837</x:v>
      </x:c>
      <x:c r="H323" s="70" t="s">
        <x:v>838</x:v>
      </x:c>
      <x:c r="I323" s="70" t="s">
        <x:v>833</x:v>
      </x:c>
      <x:c r="J323" s="70" t="n">
        <x:v>52</x:v>
      </x:c>
      <x:c r="K323" s="70" t="s">
        <x:v>864</x:v>
      </x:c>
      <x:c r="L323" s="70"/>
      <x:c r="M323" s="70" t="s">
        <x:v>28</x:v>
      </x:c>
      <x:c r="N323" s="71" t="n">
        <x:v>635934543</x:v>
      </x:c>
      <x:c r="O323" s="72" t="n">
        <x:f aca="0">N323/1000000</x:f>
        <x:v>635.934543</x:v>
      </x:c>
      <x:c r="P323" s="73" t="n">
        <x:f aca="0">KOHC!D59</x:f>
        <x:v>635.934543</x:v>
      </x:c>
      <x:c r="Q323" s="70" t="str">
        <x:f aca="0">IF(ABS(O323-P323)&lt;0.000001,"PASS","FAIL")</x:f>
        <x:v>PASS</x:v>
      </x:c>
      <x:c r="R323" s="70" t="s">
        <x:v>27</x:v>
      </x:c>
      <x:c r="S323" s="70"/>
    </x:row>
    <x:row r="324" ht="15" hidden="0">
      <x:c r="A324" s="70" t="s">
        <x:v>1071</x:v>
      </x:c>
      <x:c r="B324" s="70" t="s">
        <x:v>24</x:v>
      </x:c>
      <x:c r="C324" s="70" t="s">
        <x:v>102</x:v>
      </x:c>
      <x:c r="D324" s="70" t="s">
        <x:v>184</x:v>
      </x:c>
      <x:c r="E324" s="70" t="s">
        <x:v>763</x:v>
      </x:c>
      <x:c r="F324" s="70" t="s">
        <x:v>1069</x:v>
      </x:c>
      <x:c r="G324" s="70" t="s">
        <x:v>841</x:v>
      </x:c>
      <x:c r="H324" s="70" t="s">
        <x:v>842</x:v>
      </x:c>
      <x:c r="I324" s="70" t="s">
        <x:v>833</x:v>
      </x:c>
      <x:c r="J324" s="70" t="n">
        <x:v>52</x:v>
      </x:c>
      <x:c r="K324" s="70" t="s">
        <x:v>864</x:v>
      </x:c>
      <x:c r="L324" s="70"/>
      <x:c r="M324" s="70" t="s">
        <x:v>28</x:v>
      </x:c>
      <x:c r="N324" s="71" t="n">
        <x:v>2438052665</x:v>
      </x:c>
      <x:c r="O324" s="72" t="n">
        <x:f aca="0">N324/1000000</x:f>
        <x:v>2438.052665</x:v>
      </x:c>
      <x:c r="P324" s="73" t="n">
        <x:f aca="0">KOHC!E59</x:f>
        <x:v>2438.052665</x:v>
      </x:c>
      <x:c r="Q324" s="70" t="str">
        <x:f aca="0">IF(ABS(O324-P324)&lt;0.000001,"PASS","FAIL")</x:f>
        <x:v>PASS</x:v>
      </x:c>
      <x:c r="R324" s="70" t="s">
        <x:v>27</x:v>
      </x:c>
      <x:c r="S324" s="70"/>
    </x:row>
    <x:row r="325" ht="15" hidden="0">
      <x:c r="A325" s="70" t="s">
        <x:v>1072</x:v>
      </x:c>
      <x:c r="B325" s="70" t="s">
        <x:v>24</x:v>
      </x:c>
      <x:c r="C325" s="70" t="s">
        <x:v>103</x:v>
      </x:c>
      <x:c r="D325" s="70" t="s">
        <x:v>184</x:v>
      </x:c>
      <x:c r="E325" s="70" t="s">
        <x:v>763</x:v>
      </x:c>
      <x:c r="F325" s="70" t="s">
        <x:v>1069</x:v>
      </x:c>
      <x:c r="G325" s="70" t="s">
        <x:v>844</x:v>
      </x:c>
      <x:c r="H325" s="70" t="s">
        <x:v>845</x:v>
      </x:c>
      <x:c r="I325" s="70" t="s">
        <x:v>833</x:v>
      </x:c>
      <x:c r="J325" s="70" t="n">
        <x:v>58</x:v>
      </x:c>
      <x:c r="K325" s="70" t="s">
        <x:v>864</x:v>
      </x:c>
      <x:c r="L325" s="70"/>
      <x:c r="M325" s="70" t="s">
        <x:v>28</x:v>
      </x:c>
      <x:c r="N325" s="71" t="n">
        <x:v>3079754230</x:v>
      </x:c>
      <x:c r="O325" s="72" t="n">
        <x:f aca="0">N325/1000000</x:f>
        <x:v>3079.75423</x:v>
      </x:c>
      <x:c r="P325" s="73" t="n">
        <x:f aca="0">KOHC!F59</x:f>
        <x:v>3079.75423</x:v>
      </x:c>
      <x:c r="Q325" s="70" t="str">
        <x:f aca="0">IF(ABS(O325-P325)&lt;0.000001,"PASS","FAIL")</x:f>
        <x:v>PASS</x:v>
      </x:c>
      <x:c r="R325" s="70" t="s">
        <x:v>27</x:v>
      </x:c>
      <x:c r="S325" s="70" t="s">
        <x:v>839</x:v>
      </x:c>
    </x:row>
    <x:row r="326" ht="15" hidden="0">
      <x:c r="A326" s="70" t="s">
        <x:v>1073</x:v>
      </x:c>
      <x:c r="B326" s="70" t="s">
        <x:v>24</x:v>
      </x:c>
      <x:c r="C326" s="70" t="s">
        <x:v>104</x:v>
      </x:c>
      <x:c r="D326" s="70" t="s">
        <x:v>184</x:v>
      </x:c>
      <x:c r="E326" s="70" t="s">
        <x:v>763</x:v>
      </x:c>
      <x:c r="F326" s="70" t="s">
        <x:v>1069</x:v>
      </x:c>
      <x:c r="G326" s="70" t="s">
        <x:v>848</x:v>
      </x:c>
      <x:c r="H326" s="70" t="s">
        <x:v>849</x:v>
      </x:c>
      <x:c r="I326" s="70" t="s">
        <x:v>833</x:v>
      </x:c>
      <x:c r="J326" s="70" t="n">
        <x:v>68</x:v>
      </x:c>
      <x:c r="K326" s="70" t="s">
        <x:v>869</x:v>
      </x:c>
      <x:c r="L326" s="70"/>
      <x:c r="M326" s="70" t="s">
        <x:v>28</x:v>
      </x:c>
      <x:c r="N326" s="71" t="n">
        <x:v>3544368477</x:v>
      </x:c>
      <x:c r="O326" s="72" t="n">
        <x:f aca="0">N326/1000000</x:f>
        <x:v>3544.368477</x:v>
      </x:c>
      <x:c r="P326" s="73" t="n">
        <x:f aca="0">KOHC!G59</x:f>
        <x:v>3544.368477</x:v>
      </x:c>
      <x:c r="Q326" s="70" t="str">
        <x:f aca="0">IF(ABS(O326-P326)&lt;0.000001,"PASS","FAIL")</x:f>
        <x:v>PASS</x:v>
      </x:c>
      <x:c r="R326" s="70" t="s">
        <x:v>27</x:v>
      </x:c>
      <x:c r="S326" s="70"/>
    </x:row>
    <x:row r="327" ht="15" hidden="0">
      <x:c r="A327" s="70" t="s">
        <x:v>1074</x:v>
      </x:c>
      <x:c r="B327" s="70" t="s">
        <x:v>24</x:v>
      </x:c>
      <x:c r="C327" s="70" t="s">
        <x:v>105</x:v>
      </x:c>
      <x:c r="D327" s="70" t="s">
        <x:v>184</x:v>
      </x:c>
      <x:c r="E327" s="70" t="s">
        <x:v>763</x:v>
      </x:c>
      <x:c r="F327" s="70" t="s">
        <x:v>1069</x:v>
      </x:c>
      <x:c r="G327" s="70" t="s">
        <x:v>848</x:v>
      </x:c>
      <x:c r="H327" s="70" t="s">
        <x:v>849</x:v>
      </x:c>
      <x:c r="I327" s="70" t="s">
        <x:v>852</x:v>
      </x:c>
      <x:c r="J327" s="70" t="n">
        <x:v>68</x:v>
      </x:c>
      <x:c r="K327" s="70" t="s">
        <x:v>869</x:v>
      </x:c>
      <x:c r="L327" s="70"/>
      <x:c r="M327" s="70" t="s">
        <x:v>28</x:v>
      </x:c>
      <x:c r="N327" s="71" t="n">
        <x:v>2924142407</x:v>
      </x:c>
      <x:c r="O327" s="72" t="n">
        <x:f aca="0">N327/1000000</x:f>
        <x:v>2924.142407</x:v>
      </x:c>
      <x:c r="P327" s="73" t="n">
        <x:f aca="0">KOHC!H59</x:f>
        <x:v>2924.142407</x:v>
      </x:c>
      <x:c r="Q327" s="70" t="str">
        <x:f aca="0">IF(ABS(O327-P327)&lt;0.000001,"PASS","FAIL")</x:f>
        <x:v>PASS</x:v>
      </x:c>
      <x:c r="R327" s="70" t="s">
        <x:v>27</x:v>
      </x:c>
      <x:c r="S327" s="70"/>
    </x:row>
    <x:row r="328" ht="15" hidden="0">
      <x:c r="A328" s="70" t="s">
        <x:v>1075</x:v>
      </x:c>
      <x:c r="B328" s="70" t="s">
        <x:v>24</x:v>
      </x:c>
      <x:c r="C328" s="70" t="s">
        <x:v>717</x:v>
      </x:c>
      <x:c r="D328" s="70" t="s">
        <x:v>186</x:v>
      </x:c>
      <x:c r="E328" s="70" t="s">
        <x:v>763</x:v>
      </x:c>
      <x:c r="F328" s="70"/>
      <x:c r="G328" s="70" t="s">
        <x:v>831</x:v>
      </x:c>
      <x:c r="H328" s="70" t="s">
        <x:v>832</x:v>
      </x:c>
      <x:c r="I328" s="70" t="s">
        <x:v>833</x:v>
      </x:c>
      <x:c r="J328" s="70" t="n">
        <x:v>44</x:v>
      </x:c>
      <x:c r="K328" s="70" t="s">
        <x:v>864</x:v>
      </x:c>
      <x:c r="L328" s="70"/>
      <x:c r="M328" s="70" t="s">
        <x:v>28</x:v>
      </x:c>
      <x:c r="N328" s="71" t="n">
        <x:v>0</x:v>
      </x:c>
      <x:c r="O328" s="72" t="n">
        <x:f aca="0">N328/1000000</x:f>
        <x:v>0</x:v>
      </x:c>
      <x:c r="P328" s="73" t="n">
        <x:f aca="0">KOHC!C60</x:f>
        <x:v>0</x:v>
      </x:c>
      <x:c r="Q328" s="70" t="str">
        <x:f aca="0">IF(ABS(O328-P328)&lt;0.000001,"PASS","FAIL")</x:f>
        <x:v>PASS</x:v>
      </x:c>
      <x:c r="R328" s="70" t="s">
        <x:v>27</x:v>
      </x:c>
      <x:c r="S328" s="70"/>
    </x:row>
    <x:row r="329" ht="15" hidden="0">
      <x:c r="A329" s="70" t="s">
        <x:v>1076</x:v>
      </x:c>
      <x:c r="B329" s="70" t="s">
        <x:v>24</x:v>
      </x:c>
      <x:c r="C329" s="70" t="s">
        <x:v>101</x:v>
      </x:c>
      <x:c r="D329" s="70" t="s">
        <x:v>186</x:v>
      </x:c>
      <x:c r="E329" s="70" t="s">
        <x:v>763</x:v>
      </x:c>
      <x:c r="F329" s="70"/>
      <x:c r="G329" s="70" t="s">
        <x:v>837</x:v>
      </x:c>
      <x:c r="H329" s="70" t="s">
        <x:v>838</x:v>
      </x:c>
      <x:c r="I329" s="70" t="s">
        <x:v>833</x:v>
      </x:c>
      <x:c r="J329" s="70" t="n">
        <x:v>52</x:v>
      </x:c>
      <x:c r="K329" s="70" t="s">
        <x:v>864</x:v>
      </x:c>
      <x:c r="L329" s="70"/>
      <x:c r="M329" s="70" t="s">
        <x:v>28</x:v>
      </x:c>
      <x:c r="N329" s="71" t="n">
        <x:v>0</x:v>
      </x:c>
      <x:c r="O329" s="72" t="n">
        <x:f aca="0">N329/1000000</x:f>
        <x:v>0</x:v>
      </x:c>
      <x:c r="P329" s="73" t="n">
        <x:f aca="0">KOHC!D60</x:f>
        <x:v>0</x:v>
      </x:c>
      <x:c r="Q329" s="70" t="str">
        <x:f aca="0">IF(ABS(O329-P329)&lt;0.000001,"PASS","FAIL")</x:f>
        <x:v>PASS</x:v>
      </x:c>
      <x:c r="R329" s="70" t="s">
        <x:v>27</x:v>
      </x:c>
      <x:c r="S329" s="70"/>
    </x:row>
    <x:row r="330" ht="15" hidden="0">
      <x:c r="A330" s="70" t="s">
        <x:v>1077</x:v>
      </x:c>
      <x:c r="B330" s="70" t="s">
        <x:v>24</x:v>
      </x:c>
      <x:c r="C330" s="70" t="s">
        <x:v>102</x:v>
      </x:c>
      <x:c r="D330" s="70" t="s">
        <x:v>186</x:v>
      </x:c>
      <x:c r="E330" s="70" t="s">
        <x:v>763</x:v>
      </x:c>
      <x:c r="F330" s="70"/>
      <x:c r="G330" s="70" t="s">
        <x:v>841</x:v>
      </x:c>
      <x:c r="H330" s="70" t="s">
        <x:v>842</x:v>
      </x:c>
      <x:c r="I330" s="70" t="s">
        <x:v>833</x:v>
      </x:c>
      <x:c r="J330" s="70" t="n">
        <x:v>52</x:v>
      </x:c>
      <x:c r="K330" s="70" t="s">
        <x:v>864</x:v>
      </x:c>
      <x:c r="L330" s="70"/>
      <x:c r="M330" s="70" t="s">
        <x:v>28</x:v>
      </x:c>
      <x:c r="N330" s="71" t="n">
        <x:v>0</x:v>
      </x:c>
      <x:c r="O330" s="72" t="n">
        <x:f aca="0">N330/1000000</x:f>
        <x:v>0</x:v>
      </x:c>
      <x:c r="P330" s="73" t="n">
        <x:f aca="0">KOHC!E60</x:f>
        <x:v>0</x:v>
      </x:c>
      <x:c r="Q330" s="70" t="str">
        <x:f aca="0">IF(ABS(O330-P330)&lt;0.000001,"PASS","FAIL")</x:f>
        <x:v>PASS</x:v>
      </x:c>
      <x:c r="R330" s="70" t="s">
        <x:v>27</x:v>
      </x:c>
      <x:c r="S330" s="70"/>
    </x:row>
    <x:row r="331" ht="15" hidden="0">
      <x:c r="A331" s="70" t="s">
        <x:v>1078</x:v>
      </x:c>
      <x:c r="B331" s="70" t="s">
        <x:v>24</x:v>
      </x:c>
      <x:c r="C331" s="70" t="s">
        <x:v>103</x:v>
      </x:c>
      <x:c r="D331" s="70" t="s">
        <x:v>186</x:v>
      </x:c>
      <x:c r="E331" s="70" t="s">
        <x:v>763</x:v>
      </x:c>
      <x:c r="F331" s="70"/>
      <x:c r="G331" s="70" t="s">
        <x:v>844</x:v>
      </x:c>
      <x:c r="H331" s="70" t="s">
        <x:v>845</x:v>
      </x:c>
      <x:c r="I331" s="70" t="s">
        <x:v>833</x:v>
      </x:c>
      <x:c r="J331" s="70" t="n">
        <x:v>58</x:v>
      </x:c>
      <x:c r="K331" s="70" t="s">
        <x:v>864</x:v>
      </x:c>
      <x:c r="L331" s="70"/>
      <x:c r="M331" s="70" t="s">
        <x:v>28</x:v>
      </x:c>
      <x:c r="N331" s="71" t="n">
        <x:v>0</x:v>
      </x:c>
      <x:c r="O331" s="72" t="n">
        <x:f aca="0">N331/1000000</x:f>
        <x:v>0</x:v>
      </x:c>
      <x:c r="P331" s="73" t="n">
        <x:f aca="0">KOHC!F60</x:f>
        <x:v>0</x:v>
      </x:c>
      <x:c r="Q331" s="70" t="str">
        <x:f aca="0">IF(ABS(O331-P331)&lt;0.000001,"PASS","FAIL")</x:f>
        <x:v>PASS</x:v>
      </x:c>
      <x:c r="R331" s="70" t="s">
        <x:v>27</x:v>
      </x:c>
      <x:c r="S331" s="70"/>
    </x:row>
    <x:row r="332" ht="15" hidden="0">
      <x:c r="A332" s="70" t="s">
        <x:v>1079</x:v>
      </x:c>
      <x:c r="B332" s="70" t="s">
        <x:v>24</x:v>
      </x:c>
      <x:c r="C332" s="70" t="s">
        <x:v>104</x:v>
      </x:c>
      <x:c r="D332" s="70" t="s">
        <x:v>186</x:v>
      </x:c>
      <x:c r="E332" s="70" t="s">
        <x:v>763</x:v>
      </x:c>
      <x:c r="F332" s="70"/>
      <x:c r="G332" s="70" t="s">
        <x:v>848</x:v>
      </x:c>
      <x:c r="H332" s="70" t="s">
        <x:v>849</x:v>
      </x:c>
      <x:c r="I332" s="70" t="s">
        <x:v>833</x:v>
      </x:c>
      <x:c r="J332" s="70" t="n">
        <x:v>68</x:v>
      </x:c>
      <x:c r="K332" s="70" t="s">
        <x:v>869</x:v>
      </x:c>
      <x:c r="L332" s="70"/>
      <x:c r="M332" s="70" t="s">
        <x:v>28</x:v>
      </x:c>
      <x:c r="N332" s="71" t="n">
        <x:v>0</x:v>
      </x:c>
      <x:c r="O332" s="72" t="n">
        <x:f aca="0">N332/1000000</x:f>
        <x:v>0</x:v>
      </x:c>
      <x:c r="P332" s="73" t="n">
        <x:f aca="0">KOHC!G60</x:f>
        <x:v>0</x:v>
      </x:c>
      <x:c r="Q332" s="70" t="str">
        <x:f aca="0">IF(ABS(O332-P332)&lt;0.000001,"PASS","FAIL")</x:f>
        <x:v>PASS</x:v>
      </x:c>
      <x:c r="R332" s="70" t="s">
        <x:v>27</x:v>
      </x:c>
      <x:c r="S332" s="70"/>
    </x:row>
    <x:row r="333" ht="15" hidden="0">
      <x:c r="A333" s="70" t="s">
        <x:v>1080</x:v>
      </x:c>
      <x:c r="B333" s="70" t="s">
        <x:v>24</x:v>
      </x:c>
      <x:c r="C333" s="70" t="s">
        <x:v>105</x:v>
      </x:c>
      <x:c r="D333" s="70" t="s">
        <x:v>186</x:v>
      </x:c>
      <x:c r="E333" s="70" t="s">
        <x:v>763</x:v>
      </x:c>
      <x:c r="F333" s="70"/>
      <x:c r="G333" s="70" t="s">
        <x:v>848</x:v>
      </x:c>
      <x:c r="H333" s="70" t="s">
        <x:v>849</x:v>
      </x:c>
      <x:c r="I333" s="70" t="s">
        <x:v>852</x:v>
      </x:c>
      <x:c r="J333" s="70" t="n">
        <x:v>68</x:v>
      </x:c>
      <x:c r="K333" s="70" t="s">
        <x:v>869</x:v>
      </x:c>
      <x:c r="L333" s="70"/>
      <x:c r="M333" s="70" t="s">
        <x:v>28</x:v>
      </x:c>
      <x:c r="N333" s="71" t="n">
        <x:v>0</x:v>
      </x:c>
      <x:c r="O333" s="72" t="n">
        <x:f aca="0">N333/1000000</x:f>
        <x:v>0</x:v>
      </x:c>
      <x:c r="P333" s="73" t="n">
        <x:f aca="0">KOHC!H60</x:f>
        <x:v>0</x:v>
      </x:c>
      <x:c r="Q333" s="70" t="str">
        <x:f aca="0">IF(ABS(O333-P333)&lt;0.000001,"PASS","FAIL")</x:f>
        <x:v>PASS</x:v>
      </x:c>
      <x:c r="R333" s="70" t="s">
        <x:v>27</x:v>
      </x:c>
      <x:c r="S333" s="70"/>
    </x:row>
    <x:row r="334" ht="15" hidden="0">
      <x:c r="A334" s="70" t="s">
        <x:v>1081</x:v>
      </x:c>
      <x:c r="B334" s="70" t="s">
        <x:v>24</x:v>
      </x:c>
      <x:c r="C334" s="70" t="s">
        <x:v>717</x:v>
      </x:c>
      <x:c r="D334" s="70" t="s">
        <x:v>211</x:v>
      </x:c>
      <x:c r="E334" s="70" t="s">
        <x:v>763</x:v>
      </x:c>
      <x:c r="F334" s="70"/>
      <x:c r="G334" s="70" t="s">
        <x:v>831</x:v>
      </x:c>
      <x:c r="H334" s="70" t="s">
        <x:v>832</x:v>
      </x:c>
      <x:c r="I334" s="70" t="s">
        <x:v>833</x:v>
      </x:c>
      <x:c r="J334" s="70" t="n">
        <x:v>45</x:v>
      </x:c>
      <x:c r="K334" s="70" t="s">
        <x:v>834</x:v>
      </x:c>
      <x:c r="L334" s="70"/>
      <x:c r="M334" s="70" t="s">
        <x:v>28</x:v>
      </x:c>
      <x:c r="N334" s="71" t="n">
        <x:v>31756667306</x:v>
      </x:c>
      <x:c r="O334" s="72" t="n">
        <x:f aca="0">N334/1000000</x:f>
        <x:v>31756.667306</x:v>
      </x:c>
      <x:c r="P334" s="73" t="n">
        <x:f aca="0">KOHC!C75</x:f>
        <x:v>31756.667306</x:v>
      </x:c>
      <x:c r="Q334" s="70" t="str">
        <x:f aca="0">IF(ABS(O334-P334)&lt;0.000001,"PASS","FAIL")</x:f>
        <x:v>PASS</x:v>
      </x:c>
      <x:c r="R334" s="70" t="s">
        <x:v>27</x:v>
      </x:c>
      <x:c r="S334" s="70"/>
    </x:row>
    <x:row r="335" ht="15" hidden="0">
      <x:c r="A335" s="70" t="s">
        <x:v>1082</x:v>
      </x:c>
      <x:c r="B335" s="70" t="s">
        <x:v>24</x:v>
      </x:c>
      <x:c r="C335" s="70" t="s">
        <x:v>101</x:v>
      </x:c>
      <x:c r="D335" s="70" t="s">
        <x:v>211</x:v>
      </x:c>
      <x:c r="E335" s="70" t="s">
        <x:v>763</x:v>
      </x:c>
      <x:c r="F335" s="70"/>
      <x:c r="G335" s="70" t="s">
        <x:v>837</x:v>
      </x:c>
      <x:c r="H335" s="70" t="s">
        <x:v>838</x:v>
      </x:c>
      <x:c r="I335" s="70" t="s">
        <x:v>833</x:v>
      </x:c>
      <x:c r="J335" s="70" t="n">
        <x:v>53</x:v>
      </x:c>
      <x:c r="K335" s="70" t="s">
        <x:v>834</x:v>
      </x:c>
      <x:c r="L335" s="70"/>
      <x:c r="M335" s="70" t="s">
        <x:v>28</x:v>
      </x:c>
      <x:c r="N335" s="71" t="n">
        <x:v>36086921437</x:v>
      </x:c>
      <x:c r="O335" s="72" t="n">
        <x:f aca="0">N335/1000000</x:f>
        <x:v>36086.921437</x:v>
      </x:c>
      <x:c r="P335" s="73" t="n">
        <x:f aca="0">KOHC!D75</x:f>
        <x:v>36086.921437</x:v>
      </x:c>
      <x:c r="Q335" s="70" t="str">
        <x:f aca="0">IF(ABS(O335-P335)&lt;0.000001,"PASS","FAIL")</x:f>
        <x:v>PASS</x:v>
      </x:c>
      <x:c r="R335" s="70" t="s">
        <x:v>27</x:v>
      </x:c>
      <x:c r="S335" s="70"/>
    </x:row>
    <x:row r="336" ht="15" hidden="0">
      <x:c r="A336" s="70" t="s">
        <x:v>1083</x:v>
      </x:c>
      <x:c r="B336" s="70" t="s">
        <x:v>24</x:v>
      </x:c>
      <x:c r="C336" s="70" t="s">
        <x:v>102</x:v>
      </x:c>
      <x:c r="D336" s="70" t="s">
        <x:v>211</x:v>
      </x:c>
      <x:c r="E336" s="70" t="s">
        <x:v>763</x:v>
      </x:c>
      <x:c r="F336" s="70"/>
      <x:c r="G336" s="70" t="s">
        <x:v>841</x:v>
      </x:c>
      <x:c r="H336" s="70" t="s">
        <x:v>842</x:v>
      </x:c>
      <x:c r="I336" s="70" t="s">
        <x:v>833</x:v>
      </x:c>
      <x:c r="J336" s="70" t="n">
        <x:v>53</x:v>
      </x:c>
      <x:c r="K336" s="70" t="s">
        <x:v>834</x:v>
      </x:c>
      <x:c r="L336" s="70"/>
      <x:c r="M336" s="70" t="s">
        <x:v>28</x:v>
      </x:c>
      <x:c r="N336" s="71" t="n">
        <x:v>43350667844</x:v>
      </x:c>
      <x:c r="O336" s="72" t="n">
        <x:f aca="0">N336/1000000</x:f>
        <x:v>43350.667844</x:v>
      </x:c>
      <x:c r="P336" s="73" t="n">
        <x:f aca="0">KOHC!E75</x:f>
        <x:v>43350.667844</x:v>
      </x:c>
      <x:c r="Q336" s="70" t="str">
        <x:f aca="0">IF(ABS(O336-P336)&lt;0.000001,"PASS","FAIL")</x:f>
        <x:v>PASS</x:v>
      </x:c>
      <x:c r="R336" s="70" t="s">
        <x:v>27</x:v>
      </x:c>
      <x:c r="S336" s="70"/>
    </x:row>
    <x:row r="337" ht="15" hidden="0">
      <x:c r="A337" s="70" t="s">
        <x:v>1084</x:v>
      </x:c>
      <x:c r="B337" s="70" t="s">
        <x:v>24</x:v>
      </x:c>
      <x:c r="C337" s="70" t="s">
        <x:v>103</x:v>
      </x:c>
      <x:c r="D337" s="70" t="s">
        <x:v>211</x:v>
      </x:c>
      <x:c r="E337" s="70" t="s">
        <x:v>763</x:v>
      </x:c>
      <x:c r="F337" s="70"/>
      <x:c r="G337" s="70" t="s">
        <x:v>844</x:v>
      </x:c>
      <x:c r="H337" s="70" t="s">
        <x:v>845</x:v>
      </x:c>
      <x:c r="I337" s="70" t="s">
        <x:v>833</x:v>
      </x:c>
      <x:c r="J337" s="70" t="n">
        <x:v>59</x:v>
      </x:c>
      <x:c r="K337" s="70" t="s">
        <x:v>834</x:v>
      </x:c>
      <x:c r="L337" s="70"/>
      <x:c r="M337" s="70" t="s">
        <x:v>28</x:v>
      </x:c>
      <x:c r="N337" s="71" t="n">
        <x:v>49530075545</x:v>
      </x:c>
      <x:c r="O337" s="72" t="n">
        <x:f aca="0">N337/1000000</x:f>
        <x:v>49530.075545</x:v>
      </x:c>
      <x:c r="P337" s="73" t="n">
        <x:f aca="0">KOHC!F75</x:f>
        <x:v>49530.075545</x:v>
      </x:c>
      <x:c r="Q337" s="70" t="str">
        <x:f aca="0">IF(ABS(O337-P337)&lt;0.000001,"PASS","FAIL")</x:f>
        <x:v>PASS</x:v>
      </x:c>
      <x:c r="R337" s="70" t="s">
        <x:v>27</x:v>
      </x:c>
      <x:c r="S337" s="70"/>
    </x:row>
    <x:row r="338" ht="15" hidden="0">
      <x:c r="A338" s="70" t="s">
        <x:v>1085</x:v>
      </x:c>
      <x:c r="B338" s="70" t="s">
        <x:v>24</x:v>
      </x:c>
      <x:c r="C338" s="70" t="s">
        <x:v>104</x:v>
      </x:c>
      <x:c r="D338" s="70" t="s">
        <x:v>211</x:v>
      </x:c>
      <x:c r="E338" s="70" t="s">
        <x:v>763</x:v>
      </x:c>
      <x:c r="F338" s="70"/>
      <x:c r="G338" s="70" t="s">
        <x:v>848</x:v>
      </x:c>
      <x:c r="H338" s="70" t="s">
        <x:v>849</x:v>
      </x:c>
      <x:c r="I338" s="70" t="s">
        <x:v>833</x:v>
      </x:c>
      <x:c r="J338" s="70" t="n">
        <x:v>69</x:v>
      </x:c>
      <x:c r="K338" s="70" t="s">
        <x:v>834</x:v>
      </x:c>
      <x:c r="L338" s="70"/>
      <x:c r="M338" s="70" t="s">
        <x:v>28</x:v>
      </x:c>
      <x:c r="N338" s="71" t="n">
        <x:v>58843295197</x:v>
      </x:c>
      <x:c r="O338" s="72" t="n">
        <x:f aca="0">N338/1000000</x:f>
        <x:v>58843.295197</x:v>
      </x:c>
      <x:c r="P338" s="73" t="n">
        <x:f aca="0">KOHC!G75</x:f>
        <x:v>58843.295197</x:v>
      </x:c>
      <x:c r="Q338" s="70" t="str">
        <x:f aca="0">IF(ABS(O338-P338)&lt;0.000001,"PASS","FAIL")</x:f>
        <x:v>PASS</x:v>
      </x:c>
      <x:c r="R338" s="70" t="s">
        <x:v>27</x:v>
      </x:c>
      <x:c r="S338" s="70"/>
    </x:row>
    <x:row r="339" ht="15" hidden="0">
      <x:c r="A339" s="70" t="s">
        <x:v>1086</x:v>
      </x:c>
      <x:c r="B339" s="70" t="s">
        <x:v>24</x:v>
      </x:c>
      <x:c r="C339" s="70" t="s">
        <x:v>105</x:v>
      </x:c>
      <x:c r="D339" s="70" t="s">
        <x:v>211</x:v>
      </x:c>
      <x:c r="E339" s="70" t="s">
        <x:v>763</x:v>
      </x:c>
      <x:c r="F339" s="70"/>
      <x:c r="G339" s="70" t="s">
        <x:v>848</x:v>
      </x:c>
      <x:c r="H339" s="70" t="s">
        <x:v>849</x:v>
      </x:c>
      <x:c r="I339" s="70" t="s">
        <x:v>852</x:v>
      </x:c>
      <x:c r="J339" s="70" t="n">
        <x:v>69</x:v>
      </x:c>
      <x:c r="K339" s="70" t="s">
        <x:v>834</x:v>
      </x:c>
      <x:c r="L339" s="70"/>
      <x:c r="M339" s="70" t="s">
        <x:v>28</x:v>
      </x:c>
      <x:c r="N339" s="71" t="n">
        <x:v>66794311768</x:v>
      </x:c>
      <x:c r="O339" s="72" t="n">
        <x:f aca="0">N339/1000000</x:f>
        <x:v>66794.311768</x:v>
      </x:c>
      <x:c r="P339" s="73" t="n">
        <x:f aca="0">KOHC!H75</x:f>
        <x:v>66794.311768</x:v>
      </x:c>
      <x:c r="Q339" s="70" t="str">
        <x:f aca="0">IF(ABS(O339-P339)&lt;0.000001,"PASS","FAIL")</x:f>
        <x:v>PASS</x:v>
      </x:c>
      <x:c r="R339" s="70" t="s">
        <x:v>27</x:v>
      </x:c>
      <x:c r="S339" s="70"/>
    </x:row>
    <x:row r="340" ht="15" hidden="0">
      <x:c r="A340" s="70" t="s">
        <x:v>1087</x:v>
      </x:c>
      <x:c r="B340" s="70" t="s">
        <x:v>24</x:v>
      </x:c>
      <x:c r="C340" s="70" t="s">
        <x:v>717</x:v>
      </x:c>
      <x:c r="D340" s="70" t="s">
        <x:v>213</x:v>
      </x:c>
      <x:c r="E340" s="70" t="s">
        <x:v>763</x:v>
      </x:c>
      <x:c r="F340" s="70"/>
      <x:c r="G340" s="70" t="s">
        <x:v>831</x:v>
      </x:c>
      <x:c r="H340" s="70" t="s">
        <x:v>832</x:v>
      </x:c>
      <x:c r="I340" s="70" t="s">
        <x:v>833</x:v>
      </x:c>
      <x:c r="J340" s="70" t="n">
        <x:v>44</x:v>
      </x:c>
      <x:c r="K340" s="70" t="s">
        <x:v>864</x:v>
      </x:c>
      <x:c r="L340" s="70"/>
      <x:c r="M340" s="70" t="s">
        <x:v>28</x:v>
      </x:c>
      <x:c r="N340" s="71" t="n">
        <x:v>18726673324</x:v>
      </x:c>
      <x:c r="O340" s="72" t="n">
        <x:f aca="0">N340/1000000</x:f>
        <x:v>18726.673324</x:v>
      </x:c>
      <x:c r="P340" s="73" t="n">
        <x:f aca="0">KOHC!C76</x:f>
        <x:v>18726.673324</x:v>
      </x:c>
      <x:c r="Q340" s="70" t="str">
        <x:f aca="0">IF(ABS(O340-P340)&lt;0.000001,"PASS","FAIL")</x:f>
        <x:v>PASS</x:v>
      </x:c>
      <x:c r="R340" s="70" t="s">
        <x:v>27</x:v>
      </x:c>
      <x:c r="S340" s="70"/>
    </x:row>
    <x:row r="341" ht="15" hidden="0">
      <x:c r="A341" s="70" t="s">
        <x:v>1088</x:v>
      </x:c>
      <x:c r="B341" s="70" t="s">
        <x:v>24</x:v>
      </x:c>
      <x:c r="C341" s="70" t="s">
        <x:v>101</x:v>
      </x:c>
      <x:c r="D341" s="70" t="s">
        <x:v>213</x:v>
      </x:c>
      <x:c r="E341" s="70" t="s">
        <x:v>763</x:v>
      </x:c>
      <x:c r="F341" s="70"/>
      <x:c r="G341" s="70" t="s">
        <x:v>837</x:v>
      </x:c>
      <x:c r="H341" s="70" t="s">
        <x:v>838</x:v>
      </x:c>
      <x:c r="I341" s="70" t="s">
        <x:v>833</x:v>
      </x:c>
      <x:c r="J341" s="70" t="n">
        <x:v>52</x:v>
      </x:c>
      <x:c r="K341" s="70" t="s">
        <x:v>864</x:v>
      </x:c>
      <x:c r="L341" s="70"/>
      <x:c r="M341" s="70" t="s">
        <x:v>28</x:v>
      </x:c>
      <x:c r="N341" s="71" t="n">
        <x:v>22223539371</x:v>
      </x:c>
      <x:c r="O341" s="72" t="n">
        <x:f aca="0">N341/1000000</x:f>
        <x:v>22223.539371</x:v>
      </x:c>
      <x:c r="P341" s="73" t="n">
        <x:f aca="0">KOHC!D76</x:f>
        <x:v>22223.539371</x:v>
      </x:c>
      <x:c r="Q341" s="70" t="str">
        <x:f aca="0">IF(ABS(O341-P341)&lt;0.000001,"PASS","FAIL")</x:f>
        <x:v>PASS</x:v>
      </x:c>
      <x:c r="R341" s="70" t="s">
        <x:v>27</x:v>
      </x:c>
      <x:c r="S341" s="70"/>
    </x:row>
    <x:row r="342" ht="15" hidden="0">
      <x:c r="A342" s="70" t="s">
        <x:v>1089</x:v>
      </x:c>
      <x:c r="B342" s="70" t="s">
        <x:v>24</x:v>
      </x:c>
      <x:c r="C342" s="70" t="s">
        <x:v>102</x:v>
      </x:c>
      <x:c r="D342" s="70" t="s">
        <x:v>213</x:v>
      </x:c>
      <x:c r="E342" s="70" t="s">
        <x:v>763</x:v>
      </x:c>
      <x:c r="F342" s="70"/>
      <x:c r="G342" s="70" t="s">
        <x:v>841</x:v>
      </x:c>
      <x:c r="H342" s="70" t="s">
        <x:v>842</x:v>
      </x:c>
      <x:c r="I342" s="70" t="s">
        <x:v>833</x:v>
      </x:c>
      <x:c r="J342" s="70" t="n">
        <x:v>52</x:v>
      </x:c>
      <x:c r="K342" s="70" t="s">
        <x:v>864</x:v>
      </x:c>
      <x:c r="L342" s="70"/>
      <x:c r="M342" s="70" t="s">
        <x:v>28</x:v>
      </x:c>
      <x:c r="N342" s="71" t="n">
        <x:v>27246220231</x:v>
      </x:c>
      <x:c r="O342" s="72" t="n">
        <x:f aca="0">N342/1000000</x:f>
        <x:v>27246.220231</x:v>
      </x:c>
      <x:c r="P342" s="73" t="n">
        <x:f aca="0">KOHC!E76</x:f>
        <x:v>27246.220231</x:v>
      </x:c>
      <x:c r="Q342" s="70" t="str">
        <x:f aca="0">IF(ABS(O342-P342)&lt;0.000001,"PASS","FAIL")</x:f>
        <x:v>PASS</x:v>
      </x:c>
      <x:c r="R342" s="70" t="s">
        <x:v>27</x:v>
      </x:c>
      <x:c r="S342" s="70"/>
    </x:row>
    <x:row r="343" ht="15" hidden="0">
      <x:c r="A343" s="70" t="s">
        <x:v>1090</x:v>
      </x:c>
      <x:c r="B343" s="70" t="s">
        <x:v>24</x:v>
      </x:c>
      <x:c r="C343" s="70" t="s">
        <x:v>103</x:v>
      </x:c>
      <x:c r="D343" s="70" t="s">
        <x:v>213</x:v>
      </x:c>
      <x:c r="E343" s="70" t="s">
        <x:v>763</x:v>
      </x:c>
      <x:c r="F343" s="70"/>
      <x:c r="G343" s="70" t="s">
        <x:v>844</x:v>
      </x:c>
      <x:c r="H343" s="70" t="s">
        <x:v>845</x:v>
      </x:c>
      <x:c r="I343" s="70" t="s">
        <x:v>833</x:v>
      </x:c>
      <x:c r="J343" s="70" t="n">
        <x:v>58</x:v>
      </x:c>
      <x:c r="K343" s="70" t="s">
        <x:v>864</x:v>
      </x:c>
      <x:c r="L343" s="70"/>
      <x:c r="M343" s="70" t="s">
        <x:v>28</x:v>
      </x:c>
      <x:c r="N343" s="71" t="n">
        <x:v>32610044972</x:v>
      </x:c>
      <x:c r="O343" s="72" t="n">
        <x:f aca="0">N343/1000000</x:f>
        <x:v>32610.044972</x:v>
      </x:c>
      <x:c r="P343" s="73" t="n">
        <x:f aca="0">KOHC!F76</x:f>
        <x:v>32610.044972</x:v>
      </x:c>
      <x:c r="Q343" s="70" t="str">
        <x:f aca="0">IF(ABS(O343-P343)&lt;0.000001,"PASS","FAIL")</x:f>
        <x:v>PASS</x:v>
      </x:c>
      <x:c r="R343" s="70" t="s">
        <x:v>27</x:v>
      </x:c>
      <x:c r="S343" s="70"/>
    </x:row>
    <x:row r="344" ht="15" hidden="0">
      <x:c r="A344" s="70" t="s">
        <x:v>1091</x:v>
      </x:c>
      <x:c r="B344" s="70" t="s">
        <x:v>24</x:v>
      </x:c>
      <x:c r="C344" s="70" t="s">
        <x:v>104</x:v>
      </x:c>
      <x:c r="D344" s="70" t="s">
        <x:v>213</x:v>
      </x:c>
      <x:c r="E344" s="70" t="s">
        <x:v>763</x:v>
      </x:c>
      <x:c r="F344" s="70"/>
      <x:c r="G344" s="70" t="s">
        <x:v>848</x:v>
      </x:c>
      <x:c r="H344" s="70" t="s">
        <x:v>849</x:v>
      </x:c>
      <x:c r="I344" s="70" t="s">
        <x:v>833</x:v>
      </x:c>
      <x:c r="J344" s="70" t="n">
        <x:v>68</x:v>
      </x:c>
      <x:c r="K344" s="70" t="s">
        <x:v>869</x:v>
      </x:c>
      <x:c r="L344" s="70"/>
      <x:c r="M344" s="70" t="s">
        <x:v>28</x:v>
      </x:c>
      <x:c r="N344" s="71" t="n">
        <x:v>41090305291</x:v>
      </x:c>
      <x:c r="O344" s="72" t="n">
        <x:f aca="0">N344/1000000</x:f>
        <x:v>41090.305291</x:v>
      </x:c>
      <x:c r="P344" s="73" t="n">
        <x:f aca="0">KOHC!G76</x:f>
        <x:v>41090.305291</x:v>
      </x:c>
      <x:c r="Q344" s="70" t="str">
        <x:f aca="0">IF(ABS(O344-P344)&lt;0.000001,"PASS","FAIL")</x:f>
        <x:v>PASS</x:v>
      </x:c>
      <x:c r="R344" s="70" t="s">
        <x:v>27</x:v>
      </x:c>
      <x:c r="S344" s="70"/>
    </x:row>
    <x:row r="345" ht="15" hidden="0">
      <x:c r="A345" s="70" t="s">
        <x:v>1092</x:v>
      </x:c>
      <x:c r="B345" s="70" t="s">
        <x:v>24</x:v>
      </x:c>
      <x:c r="C345" s="70" t="s">
        <x:v>105</x:v>
      </x:c>
      <x:c r="D345" s="70" t="s">
        <x:v>213</x:v>
      </x:c>
      <x:c r="E345" s="70" t="s">
        <x:v>763</x:v>
      </x:c>
      <x:c r="F345" s="70"/>
      <x:c r="G345" s="70" t="s">
        <x:v>848</x:v>
      </x:c>
      <x:c r="H345" s="70" t="s">
        <x:v>849</x:v>
      </x:c>
      <x:c r="I345" s="70" t="s">
        <x:v>852</x:v>
      </x:c>
      <x:c r="J345" s="70" t="n">
        <x:v>68</x:v>
      </x:c>
      <x:c r="K345" s="70" t="s">
        <x:v>869</x:v>
      </x:c>
      <x:c r="L345" s="70"/>
      <x:c r="M345" s="70" t="s">
        <x:v>28</x:v>
      </x:c>
      <x:c r="N345" s="71" t="n">
        <x:v>47955194787</x:v>
      </x:c>
      <x:c r="O345" s="72" t="n">
        <x:f aca="0">N345/1000000</x:f>
        <x:v>47955.194787</x:v>
      </x:c>
      <x:c r="P345" s="73" t="n">
        <x:f aca="0">KOHC!H76</x:f>
        <x:v>47955.194787</x:v>
      </x:c>
      <x:c r="Q345" s="70" t="str">
        <x:f aca="0">IF(ABS(O345-P345)&lt;0.000001,"PASS","FAIL")</x:f>
        <x:v>PASS</x:v>
      </x:c>
      <x:c r="R345" s="70" t="s">
        <x:v>27</x:v>
      </x:c>
      <x:c r="S345" s="70"/>
    </x:row>
    <x:row r="346" ht="15" hidden="0">
      <x:c r="A346" s="70" t="s">
        <x:v>1093</x:v>
      </x:c>
      <x:c r="B346" s="70" t="s">
        <x:v>24</x:v>
      </x:c>
      <x:c r="C346" s="70" t="s">
        <x:v>717</x:v>
      </x:c>
      <x:c r="D346" s="70" t="s">
        <x:v>215</x:v>
      </x:c>
      <x:c r="E346" s="70" t="s">
        <x:v>763</x:v>
      </x:c>
      <x:c r="F346" s="70"/>
      <x:c r="G346" s="70" t="s">
        <x:v>831</x:v>
      </x:c>
      <x:c r="H346" s="70" t="s">
        <x:v>832</x:v>
      </x:c>
      <x:c r="I346" s="70" t="s">
        <x:v>833</x:v>
      </x:c>
      <x:c r="J346" s="70" t="n">
        <x:v>45</x:v>
      </x:c>
      <x:c r="K346" s="70" t="s">
        <x:v>864</x:v>
      </x:c>
      <x:c r="L346" s="70"/>
      <x:c r="M346" s="70" t="s">
        <x:v>28</x:v>
      </x:c>
      <x:c r="N346" s="71" t="n">
        <x:v>5237623778</x:v>
      </x:c>
      <x:c r="O346" s="72" t="n">
        <x:f aca="0">N346/1000000</x:f>
        <x:v>5237.623778</x:v>
      </x:c>
      <x:c r="P346" s="73" t="n">
        <x:f aca="0">KOHC!C77</x:f>
        <x:v>5237.623778</x:v>
      </x:c>
      <x:c r="Q346" s="70" t="str">
        <x:f aca="0">IF(ABS(O346-P346)&lt;0.000001,"PASS","FAIL")</x:f>
        <x:v>PASS</x:v>
      </x:c>
      <x:c r="R346" s="70" t="s">
        <x:v>27</x:v>
      </x:c>
      <x:c r="S346" s="70"/>
    </x:row>
    <x:row r="347" ht="15" hidden="0">
      <x:c r="A347" s="70" t="s">
        <x:v>1094</x:v>
      </x:c>
      <x:c r="B347" s="70" t="s">
        <x:v>24</x:v>
      </x:c>
      <x:c r="C347" s="70" t="s">
        <x:v>101</x:v>
      </x:c>
      <x:c r="D347" s="70" t="s">
        <x:v>215</x:v>
      </x:c>
      <x:c r="E347" s="70" t="s">
        <x:v>763</x:v>
      </x:c>
      <x:c r="F347" s="70"/>
      <x:c r="G347" s="70" t="s">
        <x:v>837</x:v>
      </x:c>
      <x:c r="H347" s="70" t="s">
        <x:v>838</x:v>
      </x:c>
      <x:c r="I347" s="70" t="s">
        <x:v>833</x:v>
      </x:c>
      <x:c r="J347" s="70" t="n">
        <x:v>53</x:v>
      </x:c>
      <x:c r="K347" s="70" t="s">
        <x:v>864</x:v>
      </x:c>
      <x:c r="L347" s="70"/>
      <x:c r="M347" s="70" t="s">
        <x:v>28</x:v>
      </x:c>
      <x:c r="N347" s="71" t="n">
        <x:v>9848798714</x:v>
      </x:c>
      <x:c r="O347" s="72" t="n">
        <x:f aca="0">N347/1000000</x:f>
        <x:v>9848.798714</x:v>
      </x:c>
      <x:c r="P347" s="73" t="n">
        <x:f aca="0">KOHC!D77</x:f>
        <x:v>9848.798714</x:v>
      </x:c>
      <x:c r="Q347" s="70" t="str">
        <x:f aca="0">IF(ABS(O347-P347)&lt;0.000001,"PASS","FAIL")</x:f>
        <x:v>PASS</x:v>
      </x:c>
      <x:c r="R347" s="70" t="s">
        <x:v>27</x:v>
      </x:c>
      <x:c r="S347" s="70"/>
    </x:row>
    <x:row r="348" ht="15" hidden="0">
      <x:c r="A348" s="70" t="s">
        <x:v>1095</x:v>
      </x:c>
      <x:c r="B348" s="70" t="s">
        <x:v>24</x:v>
      </x:c>
      <x:c r="C348" s="70" t="s">
        <x:v>102</x:v>
      </x:c>
      <x:c r="D348" s="70" t="s">
        <x:v>215</x:v>
      </x:c>
      <x:c r="E348" s="70" t="s">
        <x:v>763</x:v>
      </x:c>
      <x:c r="F348" s="70"/>
      <x:c r="G348" s="70" t="s">
        <x:v>841</x:v>
      </x:c>
      <x:c r="H348" s="70" t="s">
        <x:v>842</x:v>
      </x:c>
      <x:c r="I348" s="70" t="s">
        <x:v>833</x:v>
      </x:c>
      <x:c r="J348" s="70" t="n">
        <x:v>53</x:v>
      </x:c>
      <x:c r="K348" s="70" t="s">
        <x:v>864</x:v>
      </x:c>
      <x:c r="L348" s="70"/>
      <x:c r="M348" s="70" t="s">
        <x:v>28</x:v>
      </x:c>
      <x:c r="N348" s="71" t="n">
        <x:v>17775831447</x:v>
      </x:c>
      <x:c r="O348" s="72" t="n">
        <x:f aca="0">N348/1000000</x:f>
        <x:v>17775.831447</x:v>
      </x:c>
      <x:c r="P348" s="73" t="n">
        <x:f aca="0">KOHC!E77</x:f>
        <x:v>17775.831447</x:v>
      </x:c>
      <x:c r="Q348" s="70" t="str">
        <x:f aca="0">IF(ABS(O348-P348)&lt;0.000001,"PASS","FAIL")</x:f>
        <x:v>PASS</x:v>
      </x:c>
      <x:c r="R348" s="70" t="s">
        <x:v>27</x:v>
      </x:c>
      <x:c r="S348" s="70"/>
    </x:row>
    <x:row r="349" ht="15" hidden="0">
      <x:c r="A349" s="70" t="s">
        <x:v>1096</x:v>
      </x:c>
      <x:c r="B349" s="70" t="s">
        <x:v>24</x:v>
      </x:c>
      <x:c r="C349" s="70" t="s">
        <x:v>103</x:v>
      </x:c>
      <x:c r="D349" s="70" t="s">
        <x:v>215</x:v>
      </x:c>
      <x:c r="E349" s="70" t="s">
        <x:v>763</x:v>
      </x:c>
      <x:c r="F349" s="70"/>
      <x:c r="G349" s="70" t="s">
        <x:v>844</x:v>
      </x:c>
      <x:c r="H349" s="70" t="s">
        <x:v>845</x:v>
      </x:c>
      <x:c r="I349" s="70" t="s">
        <x:v>833</x:v>
      </x:c>
      <x:c r="J349" s="70" t="n">
        <x:v>59</x:v>
      </x:c>
      <x:c r="K349" s="70" t="s">
        <x:v>864</x:v>
      </x:c>
      <x:c r="L349" s="70"/>
      <x:c r="M349" s="70" t="s">
        <x:v>28</x:v>
      </x:c>
      <x:c r="N349" s="71" t="n">
        <x:v>22913376649</x:v>
      </x:c>
      <x:c r="O349" s="72" t="n">
        <x:f aca="0">N349/1000000</x:f>
        <x:v>22913.376649</x:v>
      </x:c>
      <x:c r="P349" s="73" t="n">
        <x:f aca="0">KOHC!F77</x:f>
        <x:v>22913.376649</x:v>
      </x:c>
      <x:c r="Q349" s="70" t="str">
        <x:f aca="0">IF(ABS(O349-P349)&lt;0.000001,"PASS","FAIL")</x:f>
        <x:v>PASS</x:v>
      </x:c>
      <x:c r="R349" s="70" t="s">
        <x:v>27</x:v>
      </x:c>
      <x:c r="S349" s="70"/>
    </x:row>
    <x:row r="350" ht="15" hidden="0">
      <x:c r="A350" s="70" t="s">
        <x:v>1097</x:v>
      </x:c>
      <x:c r="B350" s="70" t="s">
        <x:v>24</x:v>
      </x:c>
      <x:c r="C350" s="70" t="s">
        <x:v>104</x:v>
      </x:c>
      <x:c r="D350" s="70" t="s">
        <x:v>215</x:v>
      </x:c>
      <x:c r="E350" s="70" t="s">
        <x:v>763</x:v>
      </x:c>
      <x:c r="F350" s="70"/>
      <x:c r="G350" s="70" t="s">
        <x:v>848</x:v>
      </x:c>
      <x:c r="H350" s="70" t="s">
        <x:v>849</x:v>
      </x:c>
      <x:c r="I350" s="70" t="s">
        <x:v>833</x:v>
      </x:c>
      <x:c r="J350" s="70" t="n">
        <x:v>69</x:v>
      </x:c>
      <x:c r="K350" s="70" t="s">
        <x:v>869</x:v>
      </x:c>
      <x:c r="L350" s="70"/>
      <x:c r="M350" s="70" t="s">
        <x:v>28</x:v>
      </x:c>
      <x:c r="N350" s="71" t="n">
        <x:v>32212396773</x:v>
      </x:c>
      <x:c r="O350" s="72" t="n">
        <x:f aca="0">N350/1000000</x:f>
        <x:v>32212.396773</x:v>
      </x:c>
      <x:c r="P350" s="73" t="n">
        <x:f aca="0">KOHC!G77</x:f>
        <x:v>32212.396773</x:v>
      </x:c>
      <x:c r="Q350" s="70" t="str">
        <x:f aca="0">IF(ABS(O350-P350)&lt;0.000001,"PASS","FAIL")</x:f>
        <x:v>PASS</x:v>
      </x:c>
      <x:c r="R350" s="70" t="s">
        <x:v>27</x:v>
      </x:c>
      <x:c r="S350" s="70"/>
    </x:row>
    <x:row r="351" ht="15" hidden="0">
      <x:c r="A351" s="70" t="s">
        <x:v>1098</x:v>
      </x:c>
      <x:c r="B351" s="70" t="s">
        <x:v>24</x:v>
      </x:c>
      <x:c r="C351" s="70" t="s">
        <x:v>105</x:v>
      </x:c>
      <x:c r="D351" s="70" t="s">
        <x:v>215</x:v>
      </x:c>
      <x:c r="E351" s="70" t="s">
        <x:v>763</x:v>
      </x:c>
      <x:c r="F351" s="70"/>
      <x:c r="G351" s="70" t="s">
        <x:v>848</x:v>
      </x:c>
      <x:c r="H351" s="70" t="s">
        <x:v>849</x:v>
      </x:c>
      <x:c r="I351" s="70" t="s">
        <x:v>852</x:v>
      </x:c>
      <x:c r="J351" s="70" t="n">
        <x:v>69</x:v>
      </x:c>
      <x:c r="K351" s="70" t="s">
        <x:v>869</x:v>
      </x:c>
      <x:c r="L351" s="70"/>
      <x:c r="M351" s="70" t="s">
        <x:v>28</x:v>
      </x:c>
      <x:c r="N351" s="71" t="n">
        <x:v>38614792494</x:v>
      </x:c>
      <x:c r="O351" s="72" t="n">
        <x:f aca="0">N351/1000000</x:f>
        <x:v>38614.792494</x:v>
      </x:c>
      <x:c r="P351" s="73" t="n">
        <x:f aca="0">KOHC!H77</x:f>
        <x:v>38614.792494</x:v>
      </x:c>
      <x:c r="Q351" s="70" t="str">
        <x:f aca="0">IF(ABS(O351-P351)&lt;0.000001,"PASS","FAIL")</x:f>
        <x:v>PASS</x:v>
      </x:c>
      <x:c r="R351" s="70" t="s">
        <x:v>27</x:v>
      </x:c>
      <x:c r="S351" s="70"/>
    </x:row>
    <x:row r="352" ht="15" hidden="0">
      <x:c r="A352" s="70" t="s">
        <x:v>1099</x:v>
      </x:c>
      <x:c r="B352" s="70" t="s">
        <x:v>24</x:v>
      </x:c>
      <x:c r="C352" s="70" t="s">
        <x:v>717</x:v>
      </x:c>
      <x:c r="D352" s="70" t="s">
        <x:v>217</x:v>
      </x:c>
      <x:c r="E352" s="70" t="s">
        <x:v>763</x:v>
      </x:c>
      <x:c r="F352" s="70"/>
      <x:c r="G352" s="70" t="s">
        <x:v>831</x:v>
      </x:c>
      <x:c r="H352" s="70" t="s">
        <x:v>832</x:v>
      </x:c>
      <x:c r="I352" s="70" t="s">
        <x:v>833</x:v>
      </x:c>
      <x:c r="J352" s="70" t="n">
        <x:v>44</x:v>
      </x:c>
      <x:c r="K352" s="70" t="s">
        <x:v>864</x:v>
      </x:c>
      <x:c r="L352" s="70"/>
      <x:c r="M352" s="70" t="s">
        <x:v>28</x:v>
      </x:c>
      <x:c r="N352" s="71" t="n">
        <x:v>6279548271</x:v>
      </x:c>
      <x:c r="O352" s="72" t="n">
        <x:f aca="0">N352/1000000</x:f>
        <x:v>6279.548271</x:v>
      </x:c>
      <x:c r="P352" s="73" t="n">
        <x:f aca="0">KOHC!C78</x:f>
        <x:v>6279.548271</x:v>
      </x:c>
      <x:c r="Q352" s="70" t="str">
        <x:f aca="0">IF(ABS(O352-P352)&lt;0.000001,"PASS","FAIL")</x:f>
        <x:v>PASS</x:v>
      </x:c>
      <x:c r="R352" s="70" t="s">
        <x:v>27</x:v>
      </x:c>
      <x:c r="S352" s="70"/>
    </x:row>
    <x:row r="353" ht="15" hidden="0">
      <x:c r="A353" s="70" t="s">
        <x:v>1100</x:v>
      </x:c>
      <x:c r="B353" s="70" t="s">
        <x:v>24</x:v>
      </x:c>
      <x:c r="C353" s="70" t="s">
        <x:v>101</x:v>
      </x:c>
      <x:c r="D353" s="70" t="s">
        <x:v>217</x:v>
      </x:c>
      <x:c r="E353" s="70" t="s">
        <x:v>763</x:v>
      </x:c>
      <x:c r="F353" s="70"/>
      <x:c r="G353" s="70" t="s">
        <x:v>837</x:v>
      </x:c>
      <x:c r="H353" s="70" t="s">
        <x:v>838</x:v>
      </x:c>
      <x:c r="I353" s="70" t="s">
        <x:v>833</x:v>
      </x:c>
      <x:c r="J353" s="70" t="n">
        <x:v>52</x:v>
      </x:c>
      <x:c r="K353" s="70" t="s">
        <x:v>864</x:v>
      </x:c>
      <x:c r="L353" s="70"/>
      <x:c r="M353" s="70" t="s">
        <x:v>28</x:v>
      </x:c>
      <x:c r="N353" s="71" t="n">
        <x:v>7572243940</x:v>
      </x:c>
      <x:c r="O353" s="72" t="n">
        <x:f aca="0">N353/1000000</x:f>
        <x:v>7572.24394</x:v>
      </x:c>
      <x:c r="P353" s="73" t="n">
        <x:f aca="0">KOHC!D78</x:f>
        <x:v>7572.24394</x:v>
      </x:c>
      <x:c r="Q353" s="70" t="str">
        <x:f aca="0">IF(ABS(O353-P353)&lt;0.000001,"PASS","FAIL")</x:f>
        <x:v>PASS</x:v>
      </x:c>
      <x:c r="R353" s="70" t="s">
        <x:v>27</x:v>
      </x:c>
      <x:c r="S353" s="70"/>
    </x:row>
    <x:row r="354" ht="15" hidden="0">
      <x:c r="A354" s="70" t="s">
        <x:v>1101</x:v>
      </x:c>
      <x:c r="B354" s="70" t="s">
        <x:v>24</x:v>
      </x:c>
      <x:c r="C354" s="70" t="s">
        <x:v>102</x:v>
      </x:c>
      <x:c r="D354" s="70" t="s">
        <x:v>217</x:v>
      </x:c>
      <x:c r="E354" s="70" t="s">
        <x:v>763</x:v>
      </x:c>
      <x:c r="F354" s="70"/>
      <x:c r="G354" s="70" t="s">
        <x:v>841</x:v>
      </x:c>
      <x:c r="H354" s="70" t="s">
        <x:v>842</x:v>
      </x:c>
      <x:c r="I354" s="70" t="s">
        <x:v>833</x:v>
      </x:c>
      <x:c r="J354" s="70" t="n">
        <x:v>52</x:v>
      </x:c>
      <x:c r="K354" s="70" t="s">
        <x:v>864</x:v>
      </x:c>
      <x:c r="L354" s="70"/>
      <x:c r="M354" s="70" t="s">
        <x:v>28</x:v>
      </x:c>
      <x:c r="N354" s="71" t="n">
        <x:v>9487990679</x:v>
      </x:c>
      <x:c r="O354" s="72" t="n">
        <x:f aca="0">N354/1000000</x:f>
        <x:v>9487.990679</x:v>
      </x:c>
      <x:c r="P354" s="73" t="n">
        <x:f aca="0">KOHC!E78</x:f>
        <x:v>9487.990679</x:v>
      </x:c>
      <x:c r="Q354" s="70" t="str">
        <x:f aca="0">IF(ABS(O354-P354)&lt;0.000001,"PASS","FAIL")</x:f>
        <x:v>PASS</x:v>
      </x:c>
      <x:c r="R354" s="70" t="s">
        <x:v>27</x:v>
      </x:c>
      <x:c r="S354" s="70"/>
    </x:row>
    <x:row r="355" ht="15" hidden="0">
      <x:c r="A355" s="70" t="s">
        <x:v>1102</x:v>
      </x:c>
      <x:c r="B355" s="70" t="s">
        <x:v>24</x:v>
      </x:c>
      <x:c r="C355" s="70" t="s">
        <x:v>103</x:v>
      </x:c>
      <x:c r="D355" s="70" t="s">
        <x:v>217</x:v>
      </x:c>
      <x:c r="E355" s="70" t="s">
        <x:v>763</x:v>
      </x:c>
      <x:c r="F355" s="70"/>
      <x:c r="G355" s="70" t="s">
        <x:v>844</x:v>
      </x:c>
      <x:c r="H355" s="70" t="s">
        <x:v>845</x:v>
      </x:c>
      <x:c r="I355" s="70" t="s">
        <x:v>833</x:v>
      </x:c>
      <x:c r="J355" s="70" t="n">
        <x:v>58</x:v>
      </x:c>
      <x:c r="K355" s="70" t="s">
        <x:v>864</x:v>
      </x:c>
      <x:c r="L355" s="70"/>
      <x:c r="M355" s="70" t="s">
        <x:v>28</x:v>
      </x:c>
      <x:c r="N355" s="71" t="n">
        <x:v>9912471411</x:v>
      </x:c>
      <x:c r="O355" s="72" t="n">
        <x:f aca="0">N355/1000000</x:f>
        <x:v>9912.471411</x:v>
      </x:c>
      <x:c r="P355" s="73" t="n">
        <x:f aca="0">KOHC!F78</x:f>
        <x:v>9912.471411</x:v>
      </x:c>
      <x:c r="Q355" s="70" t="str">
        <x:f aca="0">IF(ABS(O355-P355)&lt;0.000001,"PASS","FAIL")</x:f>
        <x:v>PASS</x:v>
      </x:c>
      <x:c r="R355" s="70" t="s">
        <x:v>27</x:v>
      </x:c>
      <x:c r="S355" s="70"/>
    </x:row>
    <x:row r="356" ht="15" hidden="0">
      <x:c r="A356" s="70" t="s">
        <x:v>1103</x:v>
      </x:c>
      <x:c r="B356" s="70" t="s">
        <x:v>24</x:v>
      </x:c>
      <x:c r="C356" s="70" t="s">
        <x:v>104</x:v>
      </x:c>
      <x:c r="D356" s="70" t="s">
        <x:v>217</x:v>
      </x:c>
      <x:c r="E356" s="70" t="s">
        <x:v>763</x:v>
      </x:c>
      <x:c r="F356" s="70"/>
      <x:c r="G356" s="70" t="s">
        <x:v>848</x:v>
      </x:c>
      <x:c r="H356" s="70" t="s">
        <x:v>849</x:v>
      </x:c>
      <x:c r="I356" s="70" t="s">
        <x:v>833</x:v>
      </x:c>
      <x:c r="J356" s="70" t="n">
        <x:v>68</x:v>
      </x:c>
      <x:c r="K356" s="70" t="s">
        <x:v>869</x:v>
      </x:c>
      <x:c r="L356" s="70"/>
      <x:c r="M356" s="70" t="s">
        <x:v>28</x:v>
      </x:c>
      <x:c r="N356" s="71" t="n">
        <x:v>11095636231</x:v>
      </x:c>
      <x:c r="O356" s="72" t="n">
        <x:f aca="0">N356/1000000</x:f>
        <x:v>11095.636231</x:v>
      </x:c>
      <x:c r="P356" s="73" t="n">
        <x:f aca="0">KOHC!G78</x:f>
        <x:v>11095.636231</x:v>
      </x:c>
      <x:c r="Q356" s="70" t="str">
        <x:f aca="0">IF(ABS(O356-P356)&lt;0.000001,"PASS","FAIL")</x:f>
        <x:v>PASS</x:v>
      </x:c>
      <x:c r="R356" s="70" t="s">
        <x:v>27</x:v>
      </x:c>
      <x:c r="S356" s="70"/>
    </x:row>
    <x:row r="357" ht="15" hidden="0">
      <x:c r="A357" s="70" t="s">
        <x:v>1104</x:v>
      </x:c>
      <x:c r="B357" s="70" t="s">
        <x:v>24</x:v>
      </x:c>
      <x:c r="C357" s="70" t="s">
        <x:v>105</x:v>
      </x:c>
      <x:c r="D357" s="70" t="s">
        <x:v>217</x:v>
      </x:c>
      <x:c r="E357" s="70" t="s">
        <x:v>763</x:v>
      </x:c>
      <x:c r="F357" s="70"/>
      <x:c r="G357" s="70" t="s">
        <x:v>848</x:v>
      </x:c>
      <x:c r="H357" s="70" t="s">
        <x:v>849</x:v>
      </x:c>
      <x:c r="I357" s="70" t="s">
        <x:v>852</x:v>
      </x:c>
      <x:c r="J357" s="70" t="n">
        <x:v>68</x:v>
      </x:c>
      <x:c r="K357" s="70" t="s">
        <x:v>869</x:v>
      </x:c>
      <x:c r="L357" s="70"/>
      <x:c r="M357" s="70" t="s">
        <x:v>28</x:v>
      </x:c>
      <x:c r="N357" s="71" t="n">
        <x:v>11661701111</x:v>
      </x:c>
      <x:c r="O357" s="72" t="n">
        <x:f aca="0">N357/1000000</x:f>
        <x:v>11661.701111</x:v>
      </x:c>
      <x:c r="P357" s="73" t="n">
        <x:f aca="0">KOHC!H78</x:f>
        <x:v>11661.701111</x:v>
      </x:c>
      <x:c r="Q357" s="70" t="str">
        <x:f aca="0">IF(ABS(O357-P357)&lt;0.000001,"PASS","FAIL")</x:f>
        <x:v>PASS</x:v>
      </x:c>
      <x:c r="R357" s="70" t="s">
        <x:v>27</x:v>
      </x:c>
      <x:c r="S357" s="70"/>
    </x:row>
    <x:row r="358" ht="15" hidden="0">
      <x:c r="A358" s="70" t="s">
        <x:v>1105</x:v>
      </x:c>
      <x:c r="B358" s="70" t="s">
        <x:v>24</x:v>
      </x:c>
      <x:c r="C358" s="70" t="s">
        <x:v>101</x:v>
      </x:c>
      <x:c r="D358" s="70" t="s">
        <x:v>224</x:v>
      </x:c>
      <x:c r="E358" s="70" t="s">
        <x:v>1106</x:v>
      </x:c>
      <x:c r="F358" s="70" t="s">
        <x:v>1107</x:v>
      </x:c>
      <x:c r="G358" s="70" t="s">
        <x:v>837</x:v>
      </x:c>
      <x:c r="H358" s="70" t="s">
        <x:v>838</x:v>
      </x:c>
      <x:c r="I358" s="70" t="s">
        <x:v>833</x:v>
      </x:c>
      <x:c r="J358" s="70" t="n">
        <x:v>54</x:v>
      </x:c>
      <x:c r="K358" s="70" t="s">
        <x:v>864</x:v>
      </x:c>
      <x:c r="L358" s="70"/>
      <x:c r="M358" s="70" t="s">
        <x:v>28</x:v>
      </x:c>
      <x:c r="N358" s="71" t="n">
        <x:v>24057375992</x:v>
      </x:c>
      <x:c r="O358" s="72" t="n">
        <x:f aca="0">N358/1000000</x:f>
        <x:v>24057.375992</x:v>
      </x:c>
      <x:c r="P358" s="73" t="n">
        <x:f aca="0">KOHC!D84</x:f>
        <x:v>24057.375992</x:v>
      </x:c>
      <x:c r="Q358" s="70" t="str">
        <x:f aca="0">IF(ABS(O358-P358)&lt;0.000001,"PASS","FAIL")</x:f>
        <x:v>PASS</x:v>
      </x:c>
      <x:c r="R358" s="70" t="s">
        <x:v>27</x:v>
      </x:c>
      <x:c r="S358" s="70"/>
    </x:row>
    <x:row r="359" ht="15" hidden="0">
      <x:c r="A359" s="70" t="s">
        <x:v>1108</x:v>
      </x:c>
      <x:c r="B359" s="70" t="s">
        <x:v>24</x:v>
      </x:c>
      <x:c r="C359" s="70" t="s">
        <x:v>102</x:v>
      </x:c>
      <x:c r="D359" s="70" t="s">
        <x:v>224</x:v>
      </x:c>
      <x:c r="E359" s="70" t="s">
        <x:v>1106</x:v>
      </x:c>
      <x:c r="F359" s="70" t="s">
        <x:v>1107</x:v>
      </x:c>
      <x:c r="G359" s="70" t="s">
        <x:v>841</x:v>
      </x:c>
      <x:c r="H359" s="70" t="s">
        <x:v>842</x:v>
      </x:c>
      <x:c r="I359" s="70" t="s">
        <x:v>833</x:v>
      </x:c>
      <x:c r="J359" s="70" t="n">
        <x:v>54</x:v>
      </x:c>
      <x:c r="K359" s="70" t="s">
        <x:v>864</x:v>
      </x:c>
      <x:c r="L359" s="70"/>
      <x:c r="M359" s="70" t="s">
        <x:v>28</x:v>
      </x:c>
      <x:c r="N359" s="71" t="n">
        <x:v>32876949179</x:v>
      </x:c>
      <x:c r="O359" s="72" t="n">
        <x:f aca="0">N359/1000000</x:f>
        <x:v>32876.949179</x:v>
      </x:c>
      <x:c r="P359" s="73" t="n">
        <x:f aca="0">KOHC!E84</x:f>
        <x:v>32876.949179</x:v>
      </x:c>
      <x:c r="Q359" s="70" t="str">
        <x:f aca="0">IF(ABS(O359-P359)&lt;0.000001,"PASS","FAIL")</x:f>
        <x:v>PASS</x:v>
      </x:c>
      <x:c r="R359" s="70" t="s">
        <x:v>27</x:v>
      </x:c>
      <x:c r="S359" s="70"/>
    </x:row>
    <x:row r="360" ht="15" hidden="0">
      <x:c r="A360" s="70" t="s">
        <x:v>1109</x:v>
      </x:c>
      <x:c r="B360" s="70" t="s">
        <x:v>24</x:v>
      </x:c>
      <x:c r="C360" s="70" t="s">
        <x:v>103</x:v>
      </x:c>
      <x:c r="D360" s="70" t="s">
        <x:v>224</x:v>
      </x:c>
      <x:c r="E360" s="70" t="s">
        <x:v>1106</x:v>
      </x:c>
      <x:c r="F360" s="70" t="s">
        <x:v>1107</x:v>
      </x:c>
      <x:c r="G360" s="70" t="s">
        <x:v>844</x:v>
      </x:c>
      <x:c r="H360" s="70" t="s">
        <x:v>845</x:v>
      </x:c>
      <x:c r="I360" s="70" t="s">
        <x:v>833</x:v>
      </x:c>
      <x:c r="J360" s="70" t="n">
        <x:v>60</x:v>
      </x:c>
      <x:c r="K360" s="70" t="s">
        <x:v>864</x:v>
      </x:c>
      <x:c r="L360" s="70"/>
      <x:c r="M360" s="70" t="s">
        <x:v>28</x:v>
      </x:c>
      <x:c r="N360" s="71" t="n">
        <x:v>38921635350</x:v>
      </x:c>
      <x:c r="O360" s="72" t="n">
        <x:f aca="0">N360/1000000</x:f>
        <x:v>38921.63535</x:v>
      </x:c>
      <x:c r="P360" s="73" t="n">
        <x:f aca="0">KOHC!F84</x:f>
        <x:v>38921.63535</x:v>
      </x:c>
      <x:c r="Q360" s="70" t="str">
        <x:f aca="0">IF(ABS(O360-P360)&lt;0.000001,"PASS","FAIL")</x:f>
        <x:v>PASS</x:v>
      </x:c>
      <x:c r="R360" s="70" t="s">
        <x:v>27</x:v>
      </x:c>
      <x:c r="S360" s="70"/>
    </x:row>
    <x:row r="361" ht="15" hidden="0">
      <x:c r="A361" s="70" t="s">
        <x:v>1110</x:v>
      </x:c>
      <x:c r="B361" s="70" t="s">
        <x:v>24</x:v>
      </x:c>
      <x:c r="C361" s="70" t="s">
        <x:v>104</x:v>
      </x:c>
      <x:c r="D361" s="70" t="s">
        <x:v>224</x:v>
      </x:c>
      <x:c r="E361" s="70" t="s">
        <x:v>1106</x:v>
      </x:c>
      <x:c r="F361" s="70" t="s">
        <x:v>1107</x:v>
      </x:c>
      <x:c r="G361" s="70" t="s">
        <x:v>848</x:v>
      </x:c>
      <x:c r="H361" s="70" t="s">
        <x:v>849</x:v>
      </x:c>
      <x:c r="I361" s="70" t="s">
        <x:v>833</x:v>
      </x:c>
      <x:c r="J361" s="70" t="n">
        <x:v>70</x:v>
      </x:c>
      <x:c r="K361" s="70" t="s">
        <x:v>1111</x:v>
      </x:c>
      <x:c r="L361" s="70"/>
      <x:c r="M361" s="70" t="s">
        <x:v>28</x:v>
      </x:c>
      <x:c r="N361" s="71" t="n">
        <x:v>38647767972</x:v>
      </x:c>
      <x:c r="O361" s="72" t="n">
        <x:f aca="0">N361/1000000</x:f>
        <x:v>38647.767972</x:v>
      </x:c>
      <x:c r="P361" s="73" t="n">
        <x:f aca="0">KOHC!G84</x:f>
        <x:v>38647.767972</x:v>
      </x:c>
      <x:c r="Q361" s="70" t="str">
        <x:f aca="0">IF(ABS(O361-P361)&lt;0.000001,"PASS","FAIL")</x:f>
        <x:v>PASS</x:v>
      </x:c>
      <x:c r="R361" s="70" t="s">
        <x:v>27</x:v>
      </x:c>
      <x:c r="S361" s="70"/>
    </x:row>
    <x:row r="362" ht="15" hidden="0">
      <x:c r="A362" s="70" t="s">
        <x:v>1112</x:v>
      </x:c>
      <x:c r="B362" s="70" t="s">
        <x:v>24</x:v>
      </x:c>
      <x:c r="C362" s="70" t="s">
        <x:v>105</x:v>
      </x:c>
      <x:c r="D362" s="70" t="s">
        <x:v>224</x:v>
      </x:c>
      <x:c r="E362" s="70" t="s">
        <x:v>1106</x:v>
      </x:c>
      <x:c r="F362" s="70" t="s">
        <x:v>1107</x:v>
      </x:c>
      <x:c r="G362" s="70" t="s">
        <x:v>848</x:v>
      </x:c>
      <x:c r="H362" s="70" t="s">
        <x:v>849</x:v>
      </x:c>
      <x:c r="I362" s="70" t="s">
        <x:v>852</x:v>
      </x:c>
      <x:c r="J362" s="70" t="n">
        <x:v>70</x:v>
      </x:c>
      <x:c r="K362" s="70" t="s">
        <x:v>1111</x:v>
      </x:c>
      <x:c r="L362" s="70"/>
      <x:c r="M362" s="70" t="s">
        <x:v>28</x:v>
      </x:c>
      <x:c r="N362" s="71" t="n">
        <x:v>37535700372</x:v>
      </x:c>
      <x:c r="O362" s="72" t="n">
        <x:f aca="0">N362/1000000</x:f>
        <x:v>37535.700372</x:v>
      </x:c>
      <x:c r="P362" s="73" t="n">
        <x:f aca="0">KOHC!H84</x:f>
        <x:v>37535.700372</x:v>
      </x:c>
      <x:c r="Q362" s="70" t="str">
        <x:f aca="0">IF(ABS(O362-P362)&lt;0.000001,"PASS","FAIL")</x:f>
        <x:v>PASS</x:v>
      </x:c>
      <x:c r="R362" s="70" t="s">
        <x:v>27</x:v>
      </x:c>
      <x:c r="S362" s="70"/>
    </x:row>
    <x:row r="363" ht="15" hidden="0">
      <x:c r="A363" s="70" t="s">
        <x:v>1113</x:v>
      </x:c>
      <x:c r="B363" s="70" t="s">
        <x:v>24</x:v>
      </x:c>
      <x:c r="C363" s="70" t="s">
        <x:v>101</x:v>
      </x:c>
      <x:c r="D363" s="70" t="s">
        <x:v>226</x:v>
      </x:c>
      <x:c r="E363" s="70" t="s">
        <x:v>1106</x:v>
      </x:c>
      <x:c r="F363" s="70" t="s">
        <x:v>226</x:v>
      </x:c>
      <x:c r="G363" s="70" t="s">
        <x:v>837</x:v>
      </x:c>
      <x:c r="H363" s="70" t="s">
        <x:v>838</x:v>
      </x:c>
      <x:c r="I363" s="70" t="s">
        <x:v>833</x:v>
      </x:c>
      <x:c r="J363" s="70" t="n">
        <x:v>54</x:v>
      </x:c>
      <x:c r="K363" s="70" t="s">
        <x:v>864</x:v>
      </x:c>
      <x:c r="L363" s="70"/>
      <x:c r="M363" s="70" t="s">
        <x:v>28</x:v>
      </x:c>
      <x:c r="N363" s="71" t="n">
        <x:v>-18092026933</x:v>
      </x:c>
      <x:c r="O363" s="72" t="n">
        <x:f aca="0">N363/1000000</x:f>
        <x:v>-18092.026933</x:v>
      </x:c>
      <x:c r="P363" s="73" t="n">
        <x:f aca="0">KOHC!D85</x:f>
        <x:v>-18092.026933</x:v>
      </x:c>
      <x:c r="Q363" s="70" t="str">
        <x:f aca="0">IF(ABS(O363-P363)&lt;0.000001,"PASS","FAIL")</x:f>
        <x:v>PASS</x:v>
      </x:c>
      <x:c r="R363" s="70" t="s">
        <x:v>27</x:v>
      </x:c>
      <x:c r="S363" s="70"/>
    </x:row>
    <x:row r="364" ht="15" hidden="0">
      <x:c r="A364" s="70" t="s">
        <x:v>1114</x:v>
      </x:c>
      <x:c r="B364" s="70" t="s">
        <x:v>24</x:v>
      </x:c>
      <x:c r="C364" s="70" t="s">
        <x:v>102</x:v>
      </x:c>
      <x:c r="D364" s="70" t="s">
        <x:v>226</x:v>
      </x:c>
      <x:c r="E364" s="70" t="s">
        <x:v>1106</x:v>
      </x:c>
      <x:c r="F364" s="70" t="s">
        <x:v>226</x:v>
      </x:c>
      <x:c r="G364" s="70" t="s">
        <x:v>841</x:v>
      </x:c>
      <x:c r="H364" s="70" t="s">
        <x:v>842</x:v>
      </x:c>
      <x:c r="I364" s="70" t="s">
        <x:v>833</x:v>
      </x:c>
      <x:c r="J364" s="70" t="n">
        <x:v>54</x:v>
      </x:c>
      <x:c r="K364" s="70" t="s">
        <x:v>864</x:v>
      </x:c>
      <x:c r="L364" s="70"/>
      <x:c r="M364" s="70" t="s">
        <x:v>28</x:v>
      </x:c>
      <x:c r="N364" s="71" t="n">
        <x:v>-23065180670</x:v>
      </x:c>
      <x:c r="O364" s="72" t="n">
        <x:f aca="0">N364/1000000</x:f>
        <x:v>-23065.18067</x:v>
      </x:c>
      <x:c r="P364" s="73" t="n">
        <x:f aca="0">KOHC!E85</x:f>
        <x:v>-23065.18067</x:v>
      </x:c>
      <x:c r="Q364" s="70" t="str">
        <x:f aca="0">IF(ABS(O364-P364)&lt;0.000001,"PASS","FAIL")</x:f>
        <x:v>PASS</x:v>
      </x:c>
      <x:c r="R364" s="70" t="s">
        <x:v>27</x:v>
      </x:c>
      <x:c r="S364" s="70"/>
    </x:row>
    <x:row r="365" ht="15" hidden="0">
      <x:c r="A365" s="70" t="s">
        <x:v>1115</x:v>
      </x:c>
      <x:c r="B365" s="70" t="s">
        <x:v>24</x:v>
      </x:c>
      <x:c r="C365" s="70" t="s">
        <x:v>103</x:v>
      </x:c>
      <x:c r="D365" s="70" t="s">
        <x:v>226</x:v>
      </x:c>
      <x:c r="E365" s="70" t="s">
        <x:v>1106</x:v>
      </x:c>
      <x:c r="F365" s="70" t="s">
        <x:v>226</x:v>
      </x:c>
      <x:c r="G365" s="70" t="s">
        <x:v>844</x:v>
      </x:c>
      <x:c r="H365" s="70" t="s">
        <x:v>845</x:v>
      </x:c>
      <x:c r="I365" s="70" t="s">
        <x:v>833</x:v>
      </x:c>
      <x:c r="J365" s="70" t="n">
        <x:v>60</x:v>
      </x:c>
      <x:c r="K365" s="70" t="s">
        <x:v>864</x:v>
      </x:c>
      <x:c r="L365" s="70"/>
      <x:c r="M365" s="70" t="s">
        <x:v>28</x:v>
      </x:c>
      <x:c r="N365" s="71" t="n">
        <x:v>-28488941331</x:v>
      </x:c>
      <x:c r="O365" s="72" t="n">
        <x:f aca="0">N365/1000000</x:f>
        <x:v>-28488.941331</x:v>
      </x:c>
      <x:c r="P365" s="73" t="n">
        <x:f aca="0">KOHC!F85</x:f>
        <x:v>-28488.941331</x:v>
      </x:c>
      <x:c r="Q365" s="70" t="str">
        <x:f aca="0">IF(ABS(O365-P365)&lt;0.000001,"PASS","FAIL")</x:f>
        <x:v>PASS</x:v>
      </x:c>
      <x:c r="R365" s="70" t="s">
        <x:v>27</x:v>
      </x:c>
      <x:c r="S365" s="70"/>
    </x:row>
    <x:row r="366" ht="15" hidden="0">
      <x:c r="A366" s="70" t="s">
        <x:v>1116</x:v>
      </x:c>
      <x:c r="B366" s="70" t="s">
        <x:v>24</x:v>
      </x:c>
      <x:c r="C366" s="70" t="s">
        <x:v>104</x:v>
      </x:c>
      <x:c r="D366" s="70" t="s">
        <x:v>226</x:v>
      </x:c>
      <x:c r="E366" s="70" t="s">
        <x:v>1106</x:v>
      </x:c>
      <x:c r="F366" s="70" t="s">
        <x:v>226</x:v>
      </x:c>
      <x:c r="G366" s="70" t="s">
        <x:v>848</x:v>
      </x:c>
      <x:c r="H366" s="70" t="s">
        <x:v>849</x:v>
      </x:c>
      <x:c r="I366" s="70" t="s">
        <x:v>833</x:v>
      </x:c>
      <x:c r="J366" s="70" t="n">
        <x:v>70</x:v>
      </x:c>
      <x:c r="K366" s="70" t="s">
        <x:v>1111</x:v>
      </x:c>
      <x:c r="L366" s="70"/>
      <x:c r="M366" s="70" t="s">
        <x:v>28</x:v>
      </x:c>
      <x:c r="N366" s="71" t="n">
        <x:v>-27391276477</x:v>
      </x:c>
      <x:c r="O366" s="72" t="n">
        <x:f aca="0">N366/1000000</x:f>
        <x:v>-27391.276477</x:v>
      </x:c>
      <x:c r="P366" s="73" t="n">
        <x:f aca="0">KOHC!G85</x:f>
        <x:v>-27391.276477</x:v>
      </x:c>
      <x:c r="Q366" s="70" t="str">
        <x:f aca="0">IF(ABS(O366-P366)&lt;0.000001,"PASS","FAIL")</x:f>
        <x:v>PASS</x:v>
      </x:c>
      <x:c r="R366" s="70" t="s">
        <x:v>27</x:v>
      </x:c>
      <x:c r="S366" s="70"/>
    </x:row>
    <x:row r="367" ht="15" hidden="0">
      <x:c r="A367" s="70" t="s">
        <x:v>1117</x:v>
      </x:c>
      <x:c r="B367" s="70" t="s">
        <x:v>24</x:v>
      </x:c>
      <x:c r="C367" s="70" t="s">
        <x:v>105</x:v>
      </x:c>
      <x:c r="D367" s="70" t="s">
        <x:v>226</x:v>
      </x:c>
      <x:c r="E367" s="70" t="s">
        <x:v>1106</x:v>
      </x:c>
      <x:c r="F367" s="70" t="s">
        <x:v>226</x:v>
      </x:c>
      <x:c r="G367" s="70" t="s">
        <x:v>848</x:v>
      </x:c>
      <x:c r="H367" s="70" t="s">
        <x:v>849</x:v>
      </x:c>
      <x:c r="I367" s="70" t="s">
        <x:v>852</x:v>
      </x:c>
      <x:c r="J367" s="70" t="n">
        <x:v>70</x:v>
      </x:c>
      <x:c r="K367" s="70" t="s">
        <x:v>1111</x:v>
      </x:c>
      <x:c r="L367" s="70"/>
      <x:c r="M367" s="70" t="s">
        <x:v>28</x:v>
      </x:c>
      <x:c r="N367" s="71" t="n">
        <x:v>-22814094271</x:v>
      </x:c>
      <x:c r="O367" s="72" t="n">
        <x:f aca="0">N367/1000000</x:f>
        <x:v>-22814.094271</x:v>
      </x:c>
      <x:c r="P367" s="73" t="n">
        <x:f aca="0">KOHC!H85</x:f>
        <x:v>-22814.094271</x:v>
      </x:c>
      <x:c r="Q367" s="70" t="str">
        <x:f aca="0">IF(ABS(O367-P367)&lt;0.000001,"PASS","FAIL")</x:f>
        <x:v>PASS</x:v>
      </x:c>
      <x:c r="R367" s="70" t="s">
        <x:v>27</x:v>
      </x:c>
      <x:c r="S367" s="70"/>
    </x:row>
    <x:row r="368" ht="15" hidden="0">
      <x:c r="A368" s="70" t="s">
        <x:v>1118</x:v>
      </x:c>
      <x:c r="B368" s="70" t="s">
        <x:v>24</x:v>
      </x:c>
      <x:c r="C368" s="70" t="s">
        <x:v>101</x:v>
      </x:c>
      <x:c r="D368" s="70" t="s">
        <x:v>230</x:v>
      </x:c>
      <x:c r="E368" s="70" t="s">
        <x:v>1106</x:v>
      </x:c>
      <x:c r="F368" s="70" t="s">
        <x:v>230</x:v>
      </x:c>
      <x:c r="G368" s="70" t="s">
        <x:v>837</x:v>
      </x:c>
      <x:c r="H368" s="70" t="s">
        <x:v>838</x:v>
      </x:c>
      <x:c r="I368" s="70" t="s">
        <x:v>833</x:v>
      </x:c>
      <x:c r="J368" s="70" t="n">
        <x:v>54</x:v>
      </x:c>
      <x:c r="K368" s="70" t="s">
        <x:v>864</x:v>
      </x:c>
      <x:c r="L368" s="70"/>
      <x:c r="M368" s="70" t="s">
        <x:v>28</x:v>
      </x:c>
      <x:c r="N368" s="71" t="n">
        <x:v>-94165965</x:v>
      </x:c>
      <x:c r="O368" s="72" t="n">
        <x:f aca="0">N368/1000000</x:f>
        <x:v>-94.165965</x:v>
      </x:c>
      <x:c r="P368" s="73" t="n">
        <x:f aca="0">KOHC!D87</x:f>
        <x:v>-94.165965</x:v>
      </x:c>
      <x:c r="Q368" s="70" t="str">
        <x:f aca="0">IF(ABS(O368-P368)&lt;0.000001,"PASS","FAIL")</x:f>
        <x:v>PASS</x:v>
      </x:c>
      <x:c r="R368" s="70" t="s">
        <x:v>27</x:v>
      </x:c>
      <x:c r="S368" s="70"/>
    </x:row>
    <x:row r="369" ht="15" hidden="0">
      <x:c r="A369" s="70" t="s">
        <x:v>1119</x:v>
      </x:c>
      <x:c r="B369" s="70" t="s">
        <x:v>24</x:v>
      </x:c>
      <x:c r="C369" s="70" t="s">
        <x:v>102</x:v>
      </x:c>
      <x:c r="D369" s="70" t="s">
        <x:v>230</x:v>
      </x:c>
      <x:c r="E369" s="70" t="s">
        <x:v>1106</x:v>
      </x:c>
      <x:c r="F369" s="70" t="s">
        <x:v>230</x:v>
      </x:c>
      <x:c r="G369" s="70" t="s">
        <x:v>841</x:v>
      </x:c>
      <x:c r="H369" s="70" t="s">
        <x:v>842</x:v>
      </x:c>
      <x:c r="I369" s="70" t="s">
        <x:v>833</x:v>
      </x:c>
      <x:c r="J369" s="70" t="n">
        <x:v>54</x:v>
      </x:c>
      <x:c r="K369" s="70" t="s">
        <x:v>864</x:v>
      </x:c>
      <x:c r="L369" s="70"/>
      <x:c r="M369" s="70" t="s">
        <x:v>28</x:v>
      </x:c>
      <x:c r="N369" s="71" t="n">
        <x:v>-122136736</x:v>
      </x:c>
      <x:c r="O369" s="72" t="n">
        <x:f aca="0">N369/1000000</x:f>
        <x:v>-122.136736</x:v>
      </x:c>
      <x:c r="P369" s="73" t="n">
        <x:f aca="0">KOHC!E87</x:f>
        <x:v>-122.136736</x:v>
      </x:c>
      <x:c r="Q369" s="70" t="str">
        <x:f aca="0">IF(ABS(O369-P369)&lt;0.000001,"PASS","FAIL")</x:f>
        <x:v>PASS</x:v>
      </x:c>
      <x:c r="R369" s="70" t="s">
        <x:v>27</x:v>
      </x:c>
      <x:c r="S369" s="70"/>
    </x:row>
    <x:row r="370" ht="15" hidden="0">
      <x:c r="A370" s="70" t="s">
        <x:v>1120</x:v>
      </x:c>
      <x:c r="B370" s="70" t="s">
        <x:v>24</x:v>
      </x:c>
      <x:c r="C370" s="70" t="s">
        <x:v>103</x:v>
      </x:c>
      <x:c r="D370" s="70" t="s">
        <x:v>230</x:v>
      </x:c>
      <x:c r="E370" s="70" t="s">
        <x:v>1106</x:v>
      </x:c>
      <x:c r="F370" s="70" t="s">
        <x:v>230</x:v>
      </x:c>
      <x:c r="G370" s="70" t="s">
        <x:v>844</x:v>
      </x:c>
      <x:c r="H370" s="70" t="s">
        <x:v>845</x:v>
      </x:c>
      <x:c r="I370" s="70" t="s">
        <x:v>833</x:v>
      </x:c>
      <x:c r="J370" s="70" t="n">
        <x:v>60</x:v>
      </x:c>
      <x:c r="K370" s="70" t="s">
        <x:v>864</x:v>
      </x:c>
      <x:c r="L370" s="70"/>
      <x:c r="M370" s="70" t="s">
        <x:v>28</x:v>
      </x:c>
      <x:c r="N370" s="71" t="n">
        <x:v>-176123458</x:v>
      </x:c>
      <x:c r="O370" s="72" t="n">
        <x:f aca="0">N370/1000000</x:f>
        <x:v>-176.123458</x:v>
      </x:c>
      <x:c r="P370" s="73" t="n">
        <x:f aca="0">KOHC!F87</x:f>
        <x:v>-176.123458</x:v>
      </x:c>
      <x:c r="Q370" s="70" t="str">
        <x:f aca="0">IF(ABS(O370-P370)&lt;0.000001,"PASS","FAIL")</x:f>
        <x:v>PASS</x:v>
      </x:c>
      <x:c r="R370" s="70" t="s">
        <x:v>27</x:v>
      </x:c>
      <x:c r="S370" s="70"/>
    </x:row>
    <x:row r="371" ht="15" hidden="0">
      <x:c r="A371" s="70" t="s">
        <x:v>1121</x:v>
      </x:c>
      <x:c r="B371" s="70" t="s">
        <x:v>24</x:v>
      </x:c>
      <x:c r="C371" s="70" t="s">
        <x:v>104</x:v>
      </x:c>
      <x:c r="D371" s="70" t="s">
        <x:v>230</x:v>
      </x:c>
      <x:c r="E371" s="70" t="s">
        <x:v>1106</x:v>
      </x:c>
      <x:c r="F371" s="70" t="s">
        <x:v>230</x:v>
      </x:c>
      <x:c r="G371" s="70" t="s">
        <x:v>848</x:v>
      </x:c>
      <x:c r="H371" s="70" t="s">
        <x:v>849</x:v>
      </x:c>
      <x:c r="I371" s="70" t="s">
        <x:v>833</x:v>
      </x:c>
      <x:c r="J371" s="70" t="n">
        <x:v>70</x:v>
      </x:c>
      <x:c r="K371" s="70" t="s">
        <x:v>1111</x:v>
      </x:c>
      <x:c r="L371" s="70"/>
      <x:c r="M371" s="70" t="s">
        <x:v>28</x:v>
      </x:c>
      <x:c r="N371" s="71" t="n">
        <x:v>-197259359</x:v>
      </x:c>
      <x:c r="O371" s="72" t="n">
        <x:f aca="0">N371/1000000</x:f>
        <x:v>-197.259359</x:v>
      </x:c>
      <x:c r="P371" s="73" t="n">
        <x:f aca="0">KOHC!G87</x:f>
        <x:v>-197.259359</x:v>
      </x:c>
      <x:c r="Q371" s="70" t="str">
        <x:f aca="0">IF(ABS(O371-P371)&lt;0.000001,"PASS","FAIL")</x:f>
        <x:v>PASS</x:v>
      </x:c>
      <x:c r="R371" s="70" t="s">
        <x:v>27</x:v>
      </x:c>
      <x:c r="S371" s="70"/>
    </x:row>
    <x:row r="372" ht="15" hidden="0">
      <x:c r="A372" s="70" t="s">
        <x:v>1122</x:v>
      </x:c>
      <x:c r="B372" s="70" t="s">
        <x:v>24</x:v>
      </x:c>
      <x:c r="C372" s="70" t="s">
        <x:v>105</x:v>
      </x:c>
      <x:c r="D372" s="70" t="s">
        <x:v>230</x:v>
      </x:c>
      <x:c r="E372" s="70" t="s">
        <x:v>1106</x:v>
      </x:c>
      <x:c r="F372" s="70" t="s">
        <x:v>230</x:v>
      </x:c>
      <x:c r="G372" s="70" t="s">
        <x:v>848</x:v>
      </x:c>
      <x:c r="H372" s="70" t="s">
        <x:v>849</x:v>
      </x:c>
      <x:c r="I372" s="70" t="s">
        <x:v>852</x:v>
      </x:c>
      <x:c r="J372" s="70" t="n">
        <x:v>70</x:v>
      </x:c>
      <x:c r="K372" s="70" t="s">
        <x:v>1111</x:v>
      </x:c>
      <x:c r="L372" s="70"/>
      <x:c r="M372" s="70" t="s">
        <x:v>28</x:v>
      </x:c>
      <x:c r="N372" s="71" t="n">
        <x:v>-225600417</x:v>
      </x:c>
      <x:c r="O372" s="72" t="n">
        <x:f aca="0">N372/1000000</x:f>
        <x:v>-225.600417</x:v>
      </x:c>
      <x:c r="P372" s="73" t="n">
        <x:f aca="0">KOHC!H87</x:f>
        <x:v>-225.600417</x:v>
      </x:c>
      <x:c r="Q372" s="70" t="str">
        <x:f aca="0">IF(ABS(O372-P372)&lt;0.000001,"PASS","FAIL")</x:f>
        <x:v>PASS</x:v>
      </x:c>
      <x:c r="R372" s="70" t="s">
        <x:v>27</x:v>
      </x:c>
      <x:c r="S372" s="70"/>
    </x:row>
    <x:row r="373" ht="15" hidden="0">
      <x:c r="A373" s="70" t="s">
        <x:v>1123</x:v>
      </x:c>
      <x:c r="B373" s="70" t="s">
        <x:v>24</x:v>
      </x:c>
      <x:c r="C373" s="70" t="s">
        <x:v>101</x:v>
      </x:c>
      <x:c r="D373" s="70" t="s">
        <x:v>232</x:v>
      </x:c>
      <x:c r="E373" s="70" t="s">
        <x:v>1106</x:v>
      </x:c>
      <x:c r="F373" s="70" t="s">
        <x:v>1124</x:v>
      </x:c>
      <x:c r="G373" s="70" t="s">
        <x:v>837</x:v>
      </x:c>
      <x:c r="H373" s="70" t="s">
        <x:v>838</x:v>
      </x:c>
      <x:c r="I373" s="70" t="s">
        <x:v>833</x:v>
      </x:c>
      <x:c r="J373" s="70" t="n">
        <x:v>54</x:v>
      </x:c>
      <x:c r="K373" s="70" t="s">
        <x:v>864</x:v>
      </x:c>
      <x:c r="L373" s="70"/>
      <x:c r="M373" s="70" t="s">
        <x:v>28</x:v>
      </x:c>
      <x:c r="N373" s="71" t="n">
        <x:v>-313524670</x:v>
      </x:c>
      <x:c r="O373" s="72" t="n">
        <x:f aca="0">N373/1000000</x:f>
        <x:v>-313.52467</x:v>
      </x:c>
      <x:c r="P373" s="73" t="n">
        <x:f aca="0">KOHC!D88</x:f>
        <x:v>-313.52467</x:v>
      </x:c>
      <x:c r="Q373" s="70" t="str">
        <x:f aca="0">IF(ABS(O373-P373)&lt;0.000001,"PASS","FAIL")</x:f>
        <x:v>PASS</x:v>
      </x:c>
      <x:c r="R373" s="70" t="s">
        <x:v>27</x:v>
      </x:c>
      <x:c r="S373" s="70"/>
    </x:row>
    <x:row r="374" ht="15" hidden="0">
      <x:c r="A374" s="70" t="s">
        <x:v>1125</x:v>
      </x:c>
      <x:c r="B374" s="70" t="s">
        <x:v>24</x:v>
      </x:c>
      <x:c r="C374" s="70" t="s">
        <x:v>102</x:v>
      </x:c>
      <x:c r="D374" s="70" t="s">
        <x:v>232</x:v>
      </x:c>
      <x:c r="E374" s="70" t="s">
        <x:v>1106</x:v>
      </x:c>
      <x:c r="F374" s="70" t="s">
        <x:v>1124</x:v>
      </x:c>
      <x:c r="G374" s="70" t="s">
        <x:v>841</x:v>
      </x:c>
      <x:c r="H374" s="70" t="s">
        <x:v>842</x:v>
      </x:c>
      <x:c r="I374" s="70" t="s">
        <x:v>833</x:v>
      </x:c>
      <x:c r="J374" s="70" t="n">
        <x:v>54</x:v>
      </x:c>
      <x:c r="K374" s="70" t="s">
        <x:v>864</x:v>
      </x:c>
      <x:c r="L374" s="70"/>
      <x:c r="M374" s="70" t="s">
        <x:v>28</x:v>
      </x:c>
      <x:c r="N374" s="71" t="n">
        <x:v>-353522846</x:v>
      </x:c>
      <x:c r="O374" s="72" t="n">
        <x:f aca="0">N374/1000000</x:f>
        <x:v>-353.522846</x:v>
      </x:c>
      <x:c r="P374" s="73" t="n">
        <x:f aca="0">KOHC!E88</x:f>
        <x:v>-353.522846</x:v>
      </x:c>
      <x:c r="Q374" s="70" t="str">
        <x:f aca="0">IF(ABS(O374-P374)&lt;0.000001,"PASS","FAIL")</x:f>
        <x:v>PASS</x:v>
      </x:c>
      <x:c r="R374" s="70" t="s">
        <x:v>27</x:v>
      </x:c>
      <x:c r="S374" s="70"/>
    </x:row>
    <x:row r="375" ht="15" hidden="0">
      <x:c r="A375" s="70" t="s">
        <x:v>1126</x:v>
      </x:c>
      <x:c r="B375" s="70" t="s">
        <x:v>24</x:v>
      </x:c>
      <x:c r="C375" s="70" t="s">
        <x:v>103</x:v>
      </x:c>
      <x:c r="D375" s="70" t="s">
        <x:v>232</x:v>
      </x:c>
      <x:c r="E375" s="70" t="s">
        <x:v>1106</x:v>
      </x:c>
      <x:c r="F375" s="70" t="s">
        <x:v>1124</x:v>
      </x:c>
      <x:c r="G375" s="70" t="s">
        <x:v>844</x:v>
      </x:c>
      <x:c r="H375" s="70" t="s">
        <x:v>845</x:v>
      </x:c>
      <x:c r="I375" s="70" t="s">
        <x:v>833</x:v>
      </x:c>
      <x:c r="J375" s="70" t="n">
        <x:v>60</x:v>
      </x:c>
      <x:c r="K375" s="70" t="s">
        <x:v>864</x:v>
      </x:c>
      <x:c r="L375" s="70"/>
      <x:c r="M375" s="70" t="s">
        <x:v>28</x:v>
      </x:c>
      <x:c r="N375" s="71" t="n">
        <x:v>-396230055</x:v>
      </x:c>
      <x:c r="O375" s="72" t="n">
        <x:f aca="0">N375/1000000</x:f>
        <x:v>-396.230055</x:v>
      </x:c>
      <x:c r="P375" s="73" t="n">
        <x:f aca="0">KOHC!F88</x:f>
        <x:v>-396.230055</x:v>
      </x:c>
      <x:c r="Q375" s="70" t="str">
        <x:f aca="0">IF(ABS(O375-P375)&lt;0.000001,"PASS","FAIL")</x:f>
        <x:v>PASS</x:v>
      </x:c>
      <x:c r="R375" s="70" t="s">
        <x:v>27</x:v>
      </x:c>
      <x:c r="S375" s="70"/>
    </x:row>
    <x:row r="376" ht="15" hidden="0">
      <x:c r="A376" s="70" t="s">
        <x:v>1127</x:v>
      </x:c>
      <x:c r="B376" s="70" t="s">
        <x:v>24</x:v>
      </x:c>
      <x:c r="C376" s="70" t="s">
        <x:v>104</x:v>
      </x:c>
      <x:c r="D376" s="70" t="s">
        <x:v>232</x:v>
      </x:c>
      <x:c r="E376" s="70" t="s">
        <x:v>1106</x:v>
      </x:c>
      <x:c r="F376" s="70" t="s">
        <x:v>1124</x:v>
      </x:c>
      <x:c r="G376" s="70" t="s">
        <x:v>848</x:v>
      </x:c>
      <x:c r="H376" s="70" t="s">
        <x:v>849</x:v>
      </x:c>
      <x:c r="I376" s="70" t="s">
        <x:v>833</x:v>
      </x:c>
      <x:c r="J376" s="70" t="n">
        <x:v>70</x:v>
      </x:c>
      <x:c r="K376" s="70" t="s">
        <x:v>1111</x:v>
      </x:c>
      <x:c r="L376" s="70"/>
      <x:c r="M376" s="70" t="s">
        <x:v>28</x:v>
      </x:c>
      <x:c r="N376" s="71" t="n">
        <x:v>-488042831</x:v>
      </x:c>
      <x:c r="O376" s="72" t="n">
        <x:f aca="0">N376/1000000</x:f>
        <x:v>-488.042831</x:v>
      </x:c>
      <x:c r="P376" s="73" t="n">
        <x:f aca="0">KOHC!G88</x:f>
        <x:v>-488.042831</x:v>
      </x:c>
      <x:c r="Q376" s="70" t="str">
        <x:f aca="0">IF(ABS(O376-P376)&lt;0.000001,"PASS","FAIL")</x:f>
        <x:v>PASS</x:v>
      </x:c>
      <x:c r="R376" s="70" t="s">
        <x:v>27</x:v>
      </x:c>
      <x:c r="S376" s="70"/>
    </x:row>
    <x:row r="377" ht="15" hidden="0">
      <x:c r="A377" s="70" t="s">
        <x:v>1128</x:v>
      </x:c>
      <x:c r="B377" s="70" t="s">
        <x:v>24</x:v>
      </x:c>
      <x:c r="C377" s="70" t="s">
        <x:v>105</x:v>
      </x:c>
      <x:c r="D377" s="70" t="s">
        <x:v>232</x:v>
      </x:c>
      <x:c r="E377" s="70" t="s">
        <x:v>1106</x:v>
      </x:c>
      <x:c r="F377" s="70" t="s">
        <x:v>1124</x:v>
      </x:c>
      <x:c r="G377" s="70" t="s">
        <x:v>848</x:v>
      </x:c>
      <x:c r="H377" s="70" t="s">
        <x:v>849</x:v>
      </x:c>
      <x:c r="I377" s="70" t="s">
        <x:v>852</x:v>
      </x:c>
      <x:c r="J377" s="70" t="n">
        <x:v>70</x:v>
      </x:c>
      <x:c r="K377" s="70" t="s">
        <x:v>1111</x:v>
      </x:c>
      <x:c r="L377" s="70"/>
      <x:c r="M377" s="70" t="s">
        <x:v>28</x:v>
      </x:c>
      <x:c r="N377" s="71" t="n">
        <x:v>-695553118</x:v>
      </x:c>
      <x:c r="O377" s="72" t="n">
        <x:f aca="0">N377/1000000</x:f>
        <x:v>-695.553118</x:v>
      </x:c>
      <x:c r="P377" s="73" t="n">
        <x:f aca="0">KOHC!H88</x:f>
        <x:v>-695.553118</x:v>
      </x:c>
      <x:c r="Q377" s="70" t="str">
        <x:f aca="0">IF(ABS(O377-P377)&lt;0.000001,"PASS","FAIL")</x:f>
        <x:v>PASS</x:v>
      </x:c>
      <x:c r="R377" s="70" t="s">
        <x:v>27</x:v>
      </x:c>
      <x:c r="S377" s="70"/>
    </x:row>
    <x:row r="378" ht="15" hidden="0">
      <x:c r="A378" s="70" t="s">
        <x:v>1129</x:v>
      </x:c>
      <x:c r="B378" s="70" t="s">
        <x:v>24</x:v>
      </x:c>
      <x:c r="C378" s="70" t="s">
        <x:v>101</x:v>
      </x:c>
      <x:c r="D378" s="70" t="s">
        <x:v>234</x:v>
      </x:c>
      <x:c r="E378" s="70" t="s">
        <x:v>1106</x:v>
      </x:c>
      <x:c r="F378" s="70"/>
      <x:c r="G378" s="70" t="s">
        <x:v>837</x:v>
      </x:c>
      <x:c r="H378" s="70" t="s">
        <x:v>838</x:v>
      </x:c>
      <x:c r="I378" s="70" t="s">
        <x:v>833</x:v>
      </x:c>
      <x:c r="J378" s="70" t="n">
        <x:v>54</x:v>
      </x:c>
      <x:c r="K378" s="70" t="s">
        <x:v>864</x:v>
      </x:c>
      <x:c r="L378" s="70"/>
      <x:c r="M378" s="70" t="s">
        <x:v>28</x:v>
      </x:c>
      <x:c r="N378" s="71" t="n">
        <x:v>0</x:v>
      </x:c>
      <x:c r="O378" s="72" t="n">
        <x:f aca="0">N378/1000000</x:f>
        <x:v>0</x:v>
      </x:c>
      <x:c r="P378" s="73" t="n">
        <x:f aca="0">KOHC!D89</x:f>
        <x:v>0</x:v>
      </x:c>
      <x:c r="Q378" s="70" t="str">
        <x:f aca="0">IF(ABS(O378-P378)&lt;0.000001,"PASS","FAIL")</x:f>
        <x:v>PASS</x:v>
      </x:c>
      <x:c r="R378" s="70" t="s">
        <x:v>27</x:v>
      </x:c>
      <x:c r="S378" s="70"/>
    </x:row>
    <x:row r="379" ht="15" hidden="0">
      <x:c r="A379" s="70" t="s">
        <x:v>1130</x:v>
      </x:c>
      <x:c r="B379" s="70" t="s">
        <x:v>24</x:v>
      </x:c>
      <x:c r="C379" s="70" t="s">
        <x:v>102</x:v>
      </x:c>
      <x:c r="D379" s="70" t="s">
        <x:v>234</x:v>
      </x:c>
      <x:c r="E379" s="70" t="s">
        <x:v>1106</x:v>
      </x:c>
      <x:c r="F379" s="70"/>
      <x:c r="G379" s="70" t="s">
        <x:v>841</x:v>
      </x:c>
      <x:c r="H379" s="70" t="s">
        <x:v>842</x:v>
      </x:c>
      <x:c r="I379" s="70" t="s">
        <x:v>833</x:v>
      </x:c>
      <x:c r="J379" s="70" t="n">
        <x:v>54</x:v>
      </x:c>
      <x:c r="K379" s="70" t="s">
        <x:v>864</x:v>
      </x:c>
      <x:c r="L379" s="70"/>
      <x:c r="M379" s="70" t="s">
        <x:v>28</x:v>
      </x:c>
      <x:c r="N379" s="71" t="n">
        <x:v>0</x:v>
      </x:c>
      <x:c r="O379" s="72" t="n">
        <x:f aca="0">N379/1000000</x:f>
        <x:v>0</x:v>
      </x:c>
      <x:c r="P379" s="73" t="n">
        <x:f aca="0">KOHC!E89</x:f>
        <x:v>0</x:v>
      </x:c>
      <x:c r="Q379" s="70" t="str">
        <x:f aca="0">IF(ABS(O379-P379)&lt;0.000001,"PASS","FAIL")</x:f>
        <x:v>PASS</x:v>
      </x:c>
      <x:c r="R379" s="70" t="s">
        <x:v>27</x:v>
      </x:c>
      <x:c r="S379" s="70"/>
    </x:row>
    <x:row r="380" ht="15" hidden="0">
      <x:c r="A380" s="70" t="s">
        <x:v>1131</x:v>
      </x:c>
      <x:c r="B380" s="70" t="s">
        <x:v>24</x:v>
      </x:c>
      <x:c r="C380" s="70" t="s">
        <x:v>103</x:v>
      </x:c>
      <x:c r="D380" s="70" t="s">
        <x:v>234</x:v>
      </x:c>
      <x:c r="E380" s="70" t="s">
        <x:v>1106</x:v>
      </x:c>
      <x:c r="F380" s="70"/>
      <x:c r="G380" s="70" t="s">
        <x:v>844</x:v>
      </x:c>
      <x:c r="H380" s="70" t="s">
        <x:v>845</x:v>
      </x:c>
      <x:c r="I380" s="70" t="s">
        <x:v>833</x:v>
      </x:c>
      <x:c r="J380" s="70" t="n">
        <x:v>60</x:v>
      </x:c>
      <x:c r="K380" s="70" t="s">
        <x:v>864</x:v>
      </x:c>
      <x:c r="L380" s="70"/>
      <x:c r="M380" s="70" t="s">
        <x:v>28</x:v>
      </x:c>
      <x:c r="N380" s="71" t="n">
        <x:v>0</x:v>
      </x:c>
      <x:c r="O380" s="72" t="n">
        <x:f aca="0">N380/1000000</x:f>
        <x:v>0</x:v>
      </x:c>
      <x:c r="P380" s="73" t="n">
        <x:f aca="0">KOHC!F89</x:f>
        <x:v>0</x:v>
      </x:c>
      <x:c r="Q380" s="70" t="str">
        <x:f aca="0">IF(ABS(O380-P380)&lt;0.000001,"PASS","FAIL")</x:f>
        <x:v>PASS</x:v>
      </x:c>
      <x:c r="R380" s="70" t="s">
        <x:v>27</x:v>
      </x:c>
      <x:c r="S380" s="70"/>
    </x:row>
    <x:row r="381" ht="15" hidden="0">
      <x:c r="A381" s="70" t="s">
        <x:v>1132</x:v>
      </x:c>
      <x:c r="B381" s="70" t="s">
        <x:v>24</x:v>
      </x:c>
      <x:c r="C381" s="70" t="s">
        <x:v>104</x:v>
      </x:c>
      <x:c r="D381" s="70" t="s">
        <x:v>234</x:v>
      </x:c>
      <x:c r="E381" s="70" t="s">
        <x:v>1106</x:v>
      </x:c>
      <x:c r="F381" s="70" t="s">
        <x:v>1133</x:v>
      </x:c>
      <x:c r="G381" s="70" t="s">
        <x:v>848</x:v>
      </x:c>
      <x:c r="H381" s="70" t="s">
        <x:v>849</x:v>
      </x:c>
      <x:c r="I381" s="70" t="s">
        <x:v>833</x:v>
      </x:c>
      <x:c r="J381" s="70" t="n">
        <x:v>70</x:v>
      </x:c>
      <x:c r="K381" s="70" t="s">
        <x:v>1111</x:v>
      </x:c>
      <x:c r="L381" s="70"/>
      <x:c r="M381" s="70" t="s">
        <x:v>28</x:v>
      </x:c>
      <x:c r="N381" s="71" t="n">
        <x:v>2010516</x:v>
      </x:c>
      <x:c r="O381" s="72" t="n">
        <x:f aca="0">N381/1000000</x:f>
        <x:v>2.010516</x:v>
      </x:c>
      <x:c r="P381" s="73" t="n">
        <x:f aca="0">KOHC!G89</x:f>
        <x:v>2.010516</x:v>
      </x:c>
      <x:c r="Q381" s="70" t="str">
        <x:f aca="0">IF(ABS(O381-P381)&lt;0.000001,"PASS","FAIL")</x:f>
        <x:v>PASS</x:v>
      </x:c>
      <x:c r="R381" s="70" t="s">
        <x:v>27</x:v>
      </x:c>
      <x:c r="S381" s="70"/>
    </x:row>
    <x:row r="382" ht="15" hidden="0">
      <x:c r="A382" s="70" t="s">
        <x:v>1134</x:v>
      </x:c>
      <x:c r="B382" s="70" t="s">
        <x:v>24</x:v>
      </x:c>
      <x:c r="C382" s="70" t="s">
        <x:v>105</x:v>
      </x:c>
      <x:c r="D382" s="70" t="s">
        <x:v>234</x:v>
      </x:c>
      <x:c r="E382" s="70" t="s">
        <x:v>1106</x:v>
      </x:c>
      <x:c r="F382" s="70" t="s">
        <x:v>1133</x:v>
      </x:c>
      <x:c r="G382" s="70" t="s">
        <x:v>848</x:v>
      </x:c>
      <x:c r="H382" s="70" t="s">
        <x:v>849</x:v>
      </x:c>
      <x:c r="I382" s="70" t="s">
        <x:v>852</x:v>
      </x:c>
      <x:c r="J382" s="70" t="n">
        <x:v>70</x:v>
      </x:c>
      <x:c r="K382" s="70" t="s">
        <x:v>1111</x:v>
      </x:c>
      <x:c r="L382" s="70"/>
      <x:c r="M382" s="70" t="s">
        <x:v>28</x:v>
      </x:c>
      <x:c r="N382" s="71" t="n">
        <x:v>-44078565</x:v>
      </x:c>
      <x:c r="O382" s="72" t="n">
        <x:f aca="0">N382/1000000</x:f>
        <x:v>-44.078565</x:v>
      </x:c>
      <x:c r="P382" s="73" t="n">
        <x:f aca="0">KOHC!H89</x:f>
        <x:v>-44.078565</x:v>
      </x:c>
      <x:c r="Q382" s="70" t="str">
        <x:f aca="0">IF(ABS(O382-P382)&lt;0.000001,"PASS","FAIL")</x:f>
        <x:v>PASS</x:v>
      </x:c>
      <x:c r="R382" s="70" t="s">
        <x:v>27</x:v>
      </x:c>
      <x:c r="S382" s="70"/>
    </x:row>
    <x:row r="383" ht="15" hidden="0">
      <x:c r="A383" s="70" t="s">
        <x:v>1135</x:v>
      </x:c>
      <x:c r="B383" s="70" t="s">
        <x:v>24</x:v>
      </x:c>
      <x:c r="C383" s="70" t="s">
        <x:v>101</x:v>
      </x:c>
      <x:c r="D383" s="70" t="s">
        <x:v>236</x:v>
      </x:c>
      <x:c r="E383" s="70" t="s">
        <x:v>1106</x:v>
      </x:c>
      <x:c r="F383" s="70" t="s">
        <x:v>1136</x:v>
      </x:c>
      <x:c r="G383" s="70" t="s">
        <x:v>837</x:v>
      </x:c>
      <x:c r="H383" s="70" t="s">
        <x:v>838</x:v>
      </x:c>
      <x:c r="I383" s="70" t="s">
        <x:v>833</x:v>
      </x:c>
      <x:c r="J383" s="70" t="n">
        <x:v>54</x:v>
      </x:c>
      <x:c r="K383" s="70" t="s">
        <x:v>864</x:v>
      </x:c>
      <x:c r="L383" s="70"/>
      <x:c r="M383" s="70" t="s">
        <x:v>28</x:v>
      </x:c>
      <x:c r="N383" s="71" t="n">
        <x:v>-325323074</x:v>
      </x:c>
      <x:c r="O383" s="72" t="n">
        <x:f aca="0">N383/1000000</x:f>
        <x:v>-325.323074</x:v>
      </x:c>
      <x:c r="P383" s="73" t="n">
        <x:f aca="0">KOHC!D90</x:f>
        <x:v>-325.323074</x:v>
      </x:c>
      <x:c r="Q383" s="70" t="str">
        <x:f aca="0">IF(ABS(O383-P383)&lt;0.000001,"PASS","FAIL")</x:f>
        <x:v>PASS</x:v>
      </x:c>
      <x:c r="R383" s="70" t="s">
        <x:v>27</x:v>
      </x:c>
      <x:c r="S383" s="70"/>
    </x:row>
    <x:row r="384" ht="15" hidden="0">
      <x:c r="A384" s="70" t="s">
        <x:v>1137</x:v>
      </x:c>
      <x:c r="B384" s="70" t="s">
        <x:v>24</x:v>
      </x:c>
      <x:c r="C384" s="70" t="s">
        <x:v>102</x:v>
      </x:c>
      <x:c r="D384" s="70" t="s">
        <x:v>236</x:v>
      </x:c>
      <x:c r="E384" s="70" t="s">
        <x:v>1106</x:v>
      </x:c>
      <x:c r="F384" s="70" t="s">
        <x:v>1136</x:v>
      </x:c>
      <x:c r="G384" s="70" t="s">
        <x:v>841</x:v>
      </x:c>
      <x:c r="H384" s="70" t="s">
        <x:v>842</x:v>
      </x:c>
      <x:c r="I384" s="70" t="s">
        <x:v>833</x:v>
      </x:c>
      <x:c r="J384" s="70" t="n">
        <x:v>54</x:v>
      </x:c>
      <x:c r="K384" s="70" t="s">
        <x:v>864</x:v>
      </x:c>
      <x:c r="L384" s="70"/>
      <x:c r="M384" s="70" t="s">
        <x:v>28</x:v>
      </x:c>
      <x:c r="N384" s="71" t="n">
        <x:v>-563052382</x:v>
      </x:c>
      <x:c r="O384" s="72" t="n">
        <x:f aca="0">N384/1000000</x:f>
        <x:v>-563.052382</x:v>
      </x:c>
      <x:c r="P384" s="73" t="n">
        <x:f aca="0">KOHC!E90</x:f>
        <x:v>-563.052382</x:v>
      </x:c>
      <x:c r="Q384" s="70" t="str">
        <x:f aca="0">IF(ABS(O384-P384)&lt;0.000001,"PASS","FAIL")</x:f>
        <x:v>PASS</x:v>
      </x:c>
      <x:c r="R384" s="70" t="s">
        <x:v>27</x:v>
      </x:c>
      <x:c r="S384" s="70"/>
    </x:row>
    <x:row r="385" ht="15" hidden="0">
      <x:c r="A385" s="70" t="s">
        <x:v>1138</x:v>
      </x:c>
      <x:c r="B385" s="70" t="s">
        <x:v>24</x:v>
      </x:c>
      <x:c r="C385" s="70" t="s">
        <x:v>103</x:v>
      </x:c>
      <x:c r="D385" s="70" t="s">
        <x:v>236</x:v>
      </x:c>
      <x:c r="E385" s="70" t="s">
        <x:v>1106</x:v>
      </x:c>
      <x:c r="F385" s="70" t="s">
        <x:v>1136</x:v>
      </x:c>
      <x:c r="G385" s="70" t="s">
        <x:v>844</x:v>
      </x:c>
      <x:c r="H385" s="70" t="s">
        <x:v>845</x:v>
      </x:c>
      <x:c r="I385" s="70" t="s">
        <x:v>833</x:v>
      </x:c>
      <x:c r="J385" s="70" t="n">
        <x:v>60</x:v>
      </x:c>
      <x:c r="K385" s="70" t="s">
        <x:v>864</x:v>
      </x:c>
      <x:c r="L385" s="70"/>
      <x:c r="M385" s="70" t="s">
        <x:v>28</x:v>
      </x:c>
      <x:c r="N385" s="71" t="n">
        <x:v>-736512959</x:v>
      </x:c>
      <x:c r="O385" s="72" t="n">
        <x:f aca="0">N385/1000000</x:f>
        <x:v>-736.512959</x:v>
      </x:c>
      <x:c r="P385" s="73" t="n">
        <x:f aca="0">KOHC!F90</x:f>
        <x:v>-736.512959</x:v>
      </x:c>
      <x:c r="Q385" s="70" t="str">
        <x:f aca="0">IF(ABS(O385-P385)&lt;0.000001,"PASS","FAIL")</x:f>
        <x:v>PASS</x:v>
      </x:c>
      <x:c r="R385" s="70" t="s">
        <x:v>27</x:v>
      </x:c>
      <x:c r="S385" s="70"/>
    </x:row>
    <x:row r="386" ht="15" hidden="0">
      <x:c r="A386" s="70" t="s">
        <x:v>1139</x:v>
      </x:c>
      <x:c r="B386" s="70" t="s">
        <x:v>24</x:v>
      </x:c>
      <x:c r="C386" s="70" t="s">
        <x:v>104</x:v>
      </x:c>
      <x:c r="D386" s="70" t="s">
        <x:v>236</x:v>
      </x:c>
      <x:c r="E386" s="70" t="s">
        <x:v>1106</x:v>
      </x:c>
      <x:c r="F386" s="70" t="s">
        <x:v>1136</x:v>
      </x:c>
      <x:c r="G386" s="70" t="s">
        <x:v>848</x:v>
      </x:c>
      <x:c r="H386" s="70" t="s">
        <x:v>849</x:v>
      </x:c>
      <x:c r="I386" s="70" t="s">
        <x:v>833</x:v>
      </x:c>
      <x:c r="J386" s="70" t="n">
        <x:v>70</x:v>
      </x:c>
      <x:c r="K386" s="70" t="s">
        <x:v>1111</x:v>
      </x:c>
      <x:c r="L386" s="70"/>
      <x:c r="M386" s="70" t="s">
        <x:v>28</x:v>
      </x:c>
      <x:c r="N386" s="71" t="n">
        <x:v>-571950389</x:v>
      </x:c>
      <x:c r="O386" s="72" t="n">
        <x:f aca="0">N386/1000000</x:f>
        <x:v>-571.950389</x:v>
      </x:c>
      <x:c r="P386" s="73" t="n">
        <x:f aca="0">KOHC!G90</x:f>
        <x:v>-571.950389</x:v>
      </x:c>
      <x:c r="Q386" s="70" t="str">
        <x:f aca="0">IF(ABS(O386-P386)&lt;0.000001,"PASS","FAIL")</x:f>
        <x:v>PASS</x:v>
      </x:c>
      <x:c r="R386" s="70" t="s">
        <x:v>27</x:v>
      </x:c>
      <x:c r="S386" s="70"/>
    </x:row>
    <x:row r="387" ht="15" hidden="0">
      <x:c r="A387" s="70" t="s">
        <x:v>1140</x:v>
      </x:c>
      <x:c r="B387" s="70" t="s">
        <x:v>24</x:v>
      </x:c>
      <x:c r="C387" s="70" t="s">
        <x:v>105</x:v>
      </x:c>
      <x:c r="D387" s="70" t="s">
        <x:v>236</x:v>
      </x:c>
      <x:c r="E387" s="70" t="s">
        <x:v>1106</x:v>
      </x:c>
      <x:c r="F387" s="70" t="s">
        <x:v>1136</x:v>
      </x:c>
      <x:c r="G387" s="70" t="s">
        <x:v>848</x:v>
      </x:c>
      <x:c r="H387" s="70" t="s">
        <x:v>849</x:v>
      </x:c>
      <x:c r="I387" s="70" t="s">
        <x:v>852</x:v>
      </x:c>
      <x:c r="J387" s="70" t="n">
        <x:v>70</x:v>
      </x:c>
      <x:c r="K387" s="70" t="s">
        <x:v>1111</x:v>
      </x:c>
      <x:c r="L387" s="70"/>
      <x:c r="M387" s="70" t="s">
        <x:v>28</x:v>
      </x:c>
      <x:c r="N387" s="71" t="n">
        <x:v>-940359065</x:v>
      </x:c>
      <x:c r="O387" s="72" t="n">
        <x:f aca="0">N387/1000000</x:f>
        <x:v>-940.359065</x:v>
      </x:c>
      <x:c r="P387" s="73" t="n">
        <x:f aca="0">KOHC!H90</x:f>
        <x:v>-940.359065</x:v>
      </x:c>
      <x:c r="Q387" s="70" t="str">
        <x:f aca="0">IF(ABS(O387-P387)&lt;0.000001,"PASS","FAIL")</x:f>
        <x:v>PASS</x:v>
      </x:c>
      <x:c r="R387" s="70" t="s">
        <x:v>27</x:v>
      </x:c>
      <x:c r="S387" s="70"/>
    </x:row>
    <x:row r="388" ht="15" hidden="0">
      <x:c r="A388" s="70" t="s">
        <x:v>1141</x:v>
      </x:c>
      <x:c r="B388" s="70" t="s">
        <x:v>24</x:v>
      </x:c>
      <x:c r="C388" s="70" t="s">
        <x:v>101</x:v>
      </x:c>
      <x:c r="D388" s="70" t="s">
        <x:v>240</x:v>
      </x:c>
      <x:c r="E388" s="70" t="s">
        <x:v>1106</x:v>
      </x:c>
      <x:c r="F388" s="70" t="s">
        <x:v>240</x:v>
      </x:c>
      <x:c r="G388" s="70" t="s">
        <x:v>837</x:v>
      </x:c>
      <x:c r="H388" s="70" t="s">
        <x:v>838</x:v>
      </x:c>
      <x:c r="I388" s="70" t="s">
        <x:v>833</x:v>
      </x:c>
      <x:c r="J388" s="70" t="n">
        <x:v>54</x:v>
      </x:c>
      <x:c r="K388" s="70" t="s">
        <x:v>864</x:v>
      </x:c>
      <x:c r="L388" s="70"/>
      <x:c r="M388" s="70" t="s">
        <x:v>28</x:v>
      </x:c>
      <x:c r="N388" s="71" t="n">
        <x:v>170674670</x:v>
      </x:c>
      <x:c r="O388" s="72" t="n">
        <x:f aca="0">N388/1000000</x:f>
        <x:v>170.67467</x:v>
      </x:c>
      <x:c r="P388" s="73" t="n">
        <x:f aca="0">KOHC!D92</x:f>
        <x:v>170.67467</x:v>
      </x:c>
      <x:c r="Q388" s="70" t="str">
        <x:f aca="0">IF(ABS(O388-P388)&lt;0.000001,"PASS","FAIL")</x:f>
        <x:v>PASS</x:v>
      </x:c>
      <x:c r="R388" s="70" t="s">
        <x:v>27</x:v>
      </x:c>
      <x:c r="S388" s="70"/>
    </x:row>
    <x:row r="389" ht="15" hidden="0">
      <x:c r="A389" s="70" t="s">
        <x:v>1142</x:v>
      </x:c>
      <x:c r="B389" s="70" t="s">
        <x:v>24</x:v>
      </x:c>
      <x:c r="C389" s="70" t="s">
        <x:v>102</x:v>
      </x:c>
      <x:c r="D389" s="70" t="s">
        <x:v>240</x:v>
      </x:c>
      <x:c r="E389" s="70" t="s">
        <x:v>1106</x:v>
      </x:c>
      <x:c r="F389" s="70" t="s">
        <x:v>240</x:v>
      </x:c>
      <x:c r="G389" s="70" t="s">
        <x:v>841</x:v>
      </x:c>
      <x:c r="H389" s="70" t="s">
        <x:v>842</x:v>
      </x:c>
      <x:c r="I389" s="70" t="s">
        <x:v>833</x:v>
      </x:c>
      <x:c r="J389" s="70" t="n">
        <x:v>54</x:v>
      </x:c>
      <x:c r="K389" s="70" t="s">
        <x:v>864</x:v>
      </x:c>
      <x:c r="L389" s="70"/>
      <x:c r="M389" s="70" t="s">
        <x:v>28</x:v>
      </x:c>
      <x:c r="N389" s="71" t="n">
        <x:v>690143396</x:v>
      </x:c>
      <x:c r="O389" s="72" t="n">
        <x:f aca="0">N389/1000000</x:f>
        <x:v>690.143396</x:v>
      </x:c>
      <x:c r="P389" s="73" t="n">
        <x:f aca="0">KOHC!E92</x:f>
        <x:v>690.143396</x:v>
      </x:c>
      <x:c r="Q389" s="70" t="str">
        <x:f aca="0">IF(ABS(O389-P389)&lt;0.000001,"PASS","FAIL")</x:f>
        <x:v>PASS</x:v>
      </x:c>
      <x:c r="R389" s="70" t="s">
        <x:v>27</x:v>
      </x:c>
      <x:c r="S389" s="70"/>
    </x:row>
    <x:row r="390" ht="15" hidden="0">
      <x:c r="A390" s="70" t="s">
        <x:v>1143</x:v>
      </x:c>
      <x:c r="B390" s="70" t="s">
        <x:v>24</x:v>
      </x:c>
      <x:c r="C390" s="70" t="s">
        <x:v>103</x:v>
      </x:c>
      <x:c r="D390" s="70" t="s">
        <x:v>240</x:v>
      </x:c>
      <x:c r="E390" s="70" t="s">
        <x:v>1106</x:v>
      </x:c>
      <x:c r="F390" s="70" t="s">
        <x:v>240</x:v>
      </x:c>
      <x:c r="G390" s="70" t="s">
        <x:v>844</x:v>
      </x:c>
      <x:c r="H390" s="70" t="s">
        <x:v>845</x:v>
      </x:c>
      <x:c r="I390" s="70" t="s">
        <x:v>833</x:v>
      </x:c>
      <x:c r="J390" s="70" t="n">
        <x:v>60</x:v>
      </x:c>
      <x:c r="K390" s="70" t="s">
        <x:v>864</x:v>
      </x:c>
      <x:c r="L390" s="70"/>
      <x:c r="M390" s="70" t="s">
        <x:v>28</x:v>
      </x:c>
      <x:c r="N390" s="71" t="n">
        <x:v>2085808053</x:v>
      </x:c>
      <x:c r="O390" s="72" t="n">
        <x:f aca="0">N390/1000000</x:f>
        <x:v>2085.808053</x:v>
      </x:c>
      <x:c r="P390" s="73" t="n">
        <x:f aca="0">KOHC!F92</x:f>
        <x:v>2085.808053</x:v>
      </x:c>
      <x:c r="Q390" s="70" t="str">
        <x:f aca="0">IF(ABS(O390-P390)&lt;0.000001,"PASS","FAIL")</x:f>
        <x:v>PASS</x:v>
      </x:c>
      <x:c r="R390" s="70" t="s">
        <x:v>27</x:v>
      </x:c>
      <x:c r="S390" s="70"/>
    </x:row>
    <x:row r="391" ht="15" hidden="0">
      <x:c r="A391" s="70" t="s">
        <x:v>1144</x:v>
      </x:c>
      <x:c r="B391" s="70" t="s">
        <x:v>24</x:v>
      </x:c>
      <x:c r="C391" s="70" t="s">
        <x:v>104</x:v>
      </x:c>
      <x:c r="D391" s="70" t="s">
        <x:v>240</x:v>
      </x:c>
      <x:c r="E391" s="70" t="s">
        <x:v>1106</x:v>
      </x:c>
      <x:c r="F391" s="70" t="s">
        <x:v>240</x:v>
      </x:c>
      <x:c r="G391" s="70" t="s">
        <x:v>848</x:v>
      </x:c>
      <x:c r="H391" s="70" t="s">
        <x:v>849</x:v>
      </x:c>
      <x:c r="I391" s="70" t="s">
        <x:v>833</x:v>
      </x:c>
      <x:c r="J391" s="70" t="n">
        <x:v>70</x:v>
      </x:c>
      <x:c r="K391" s="70" t="s">
        <x:v>1111</x:v>
      </x:c>
      <x:c r="L391" s="70"/>
      <x:c r="M391" s="70" t="s">
        <x:v>28</x:v>
      </x:c>
      <x:c r="N391" s="71" t="n">
        <x:v>4452416513</x:v>
      </x:c>
      <x:c r="O391" s="72" t="n">
        <x:f aca="0">N391/1000000</x:f>
        <x:v>4452.416513</x:v>
      </x:c>
      <x:c r="P391" s="73" t="n">
        <x:f aca="0">KOHC!G92</x:f>
        <x:v>4452.416513</x:v>
      </x:c>
      <x:c r="Q391" s="70" t="str">
        <x:f aca="0">IF(ABS(O391-P391)&lt;0.000001,"PASS","FAIL")</x:f>
        <x:v>PASS</x:v>
      </x:c>
      <x:c r="R391" s="70" t="s">
        <x:v>27</x:v>
      </x:c>
      <x:c r="S391" s="70" t="s">
        <x:v>839</x:v>
      </x:c>
    </x:row>
    <x:row r="392" ht="15" hidden="0">
      <x:c r="A392" s="70" t="s">
        <x:v>1145</x:v>
      </x:c>
      <x:c r="B392" s="70" t="s">
        <x:v>24</x:v>
      </x:c>
      <x:c r="C392" s="70" t="s">
        <x:v>105</x:v>
      </x:c>
      <x:c r="D392" s="70" t="s">
        <x:v>240</x:v>
      </x:c>
      <x:c r="E392" s="70" t="s">
        <x:v>1106</x:v>
      </x:c>
      <x:c r="F392" s="70" t="s">
        <x:v>240</x:v>
      </x:c>
      <x:c r="G392" s="70" t="s">
        <x:v>848</x:v>
      </x:c>
      <x:c r="H392" s="70" t="s">
        <x:v>849</x:v>
      </x:c>
      <x:c r="I392" s="70" t="s">
        <x:v>852</x:v>
      </x:c>
      <x:c r="J392" s="70" t="n">
        <x:v>70</x:v>
      </x:c>
      <x:c r="K392" s="70" t="s">
        <x:v>1111</x:v>
      </x:c>
      <x:c r="L392" s="70"/>
      <x:c r="M392" s="70" t="s">
        <x:v>28</x:v>
      </x:c>
      <x:c r="N392" s="71" t="n">
        <x:v>5280719197</x:v>
      </x:c>
      <x:c r="O392" s="72" t="n">
        <x:f aca="0">N392/1000000</x:f>
        <x:v>5280.719197</x:v>
      </x:c>
      <x:c r="P392" s="73" t="n">
        <x:f aca="0">KOHC!H92</x:f>
        <x:v>5280.719197</x:v>
      </x:c>
      <x:c r="Q392" s="70" t="str">
        <x:f aca="0">IF(ABS(O392-P392)&lt;0.000001,"PASS","FAIL")</x:f>
        <x:v>PASS</x:v>
      </x:c>
      <x:c r="R392" s="70" t="s">
        <x:v>27</x:v>
      </x:c>
      <x:c r="S392" s="70"/>
    </x:row>
    <x:row r="393" ht="15" hidden="0">
      <x:c r="A393" s="70" t="s">
        <x:v>1146</x:v>
      </x:c>
      <x:c r="B393" s="70" t="s">
        <x:v>24</x:v>
      </x:c>
      <x:c r="C393" s="70" t="s">
        <x:v>101</x:v>
      </x:c>
      <x:c r="D393" s="70" t="s">
        <x:v>242</x:v>
      </x:c>
      <x:c r="E393" s="70" t="s">
        <x:v>1106</x:v>
      </x:c>
      <x:c r="F393" s="70"/>
      <x:c r="G393" s="70" t="s">
        <x:v>837</x:v>
      </x:c>
      <x:c r="H393" s="70" t="s">
        <x:v>838</x:v>
      </x:c>
      <x:c r="I393" s="70" t="s">
        <x:v>833</x:v>
      </x:c>
      <x:c r="J393" s="70" t="n">
        <x:v>54</x:v>
      </x:c>
      <x:c r="K393" s="70" t="s">
        <x:v>864</x:v>
      </x:c>
      <x:c r="L393" s="70"/>
      <x:c r="M393" s="70" t="s">
        <x:v>28</x:v>
      </x:c>
      <x:c r="N393" s="71" t="n">
        <x:v>0</x:v>
      </x:c>
      <x:c r="O393" s="72" t="n">
        <x:f aca="0">N393/1000000</x:f>
        <x:v>0</x:v>
      </x:c>
      <x:c r="P393" s="73" t="n">
        <x:f aca="0">KOHC!D93</x:f>
        <x:v>0</x:v>
      </x:c>
      <x:c r="Q393" s="70" t="str">
        <x:f aca="0">IF(ABS(O393-P393)&lt;0.000001,"PASS","FAIL")</x:f>
        <x:v>PASS</x:v>
      </x:c>
      <x:c r="R393" s="70" t="s">
        <x:v>27</x:v>
      </x:c>
      <x:c r="S393" s="70"/>
    </x:row>
    <x:row r="394" ht="15" hidden="0">
      <x:c r="A394" s="70" t="s">
        <x:v>1147</x:v>
      </x:c>
      <x:c r="B394" s="70" t="s">
        <x:v>24</x:v>
      </x:c>
      <x:c r="C394" s="70" t="s">
        <x:v>102</x:v>
      </x:c>
      <x:c r="D394" s="70" t="s">
        <x:v>242</x:v>
      </x:c>
      <x:c r="E394" s="70" t="s">
        <x:v>1106</x:v>
      </x:c>
      <x:c r="F394" s="70"/>
      <x:c r="G394" s="70" t="s">
        <x:v>841</x:v>
      </x:c>
      <x:c r="H394" s="70" t="s">
        <x:v>842</x:v>
      </x:c>
      <x:c r="I394" s="70" t="s">
        <x:v>833</x:v>
      </x:c>
      <x:c r="J394" s="70" t="n">
        <x:v>54</x:v>
      </x:c>
      <x:c r="K394" s="70" t="s">
        <x:v>864</x:v>
      </x:c>
      <x:c r="L394" s="70"/>
      <x:c r="M394" s="70" t="s">
        <x:v>28</x:v>
      </x:c>
      <x:c r="N394" s="71" t="n">
        <x:v>0</x:v>
      </x:c>
      <x:c r="O394" s="72" t="n">
        <x:f aca="0">N394/1000000</x:f>
        <x:v>0</x:v>
      </x:c>
      <x:c r="P394" s="73" t="n">
        <x:f aca="0">KOHC!E93</x:f>
        <x:v>0</x:v>
      </x:c>
      <x:c r="Q394" s="70" t="str">
        <x:f aca="0">IF(ABS(O394-P394)&lt;0.000001,"PASS","FAIL")</x:f>
        <x:v>PASS</x:v>
      </x:c>
      <x:c r="R394" s="70" t="s">
        <x:v>27</x:v>
      </x:c>
      <x:c r="S394" s="70"/>
    </x:row>
    <x:row r="395" ht="15" hidden="0">
      <x:c r="A395" s="70" t="s">
        <x:v>1148</x:v>
      </x:c>
      <x:c r="B395" s="70" t="s">
        <x:v>24</x:v>
      </x:c>
      <x:c r="C395" s="70" t="s">
        <x:v>103</x:v>
      </x:c>
      <x:c r="D395" s="70" t="s">
        <x:v>242</x:v>
      </x:c>
      <x:c r="E395" s="70" t="s">
        <x:v>1106</x:v>
      </x:c>
      <x:c r="F395" s="70"/>
      <x:c r="G395" s="70" t="s">
        <x:v>844</x:v>
      </x:c>
      <x:c r="H395" s="70" t="s">
        <x:v>845</x:v>
      </x:c>
      <x:c r="I395" s="70" t="s">
        <x:v>833</x:v>
      </x:c>
      <x:c r="J395" s="70" t="n">
        <x:v>60</x:v>
      </x:c>
      <x:c r="K395" s="70" t="s">
        <x:v>864</x:v>
      </x:c>
      <x:c r="L395" s="70"/>
      <x:c r="M395" s="70" t="s">
        <x:v>28</x:v>
      </x:c>
      <x:c r="N395" s="71" t="n">
        <x:v>0</x:v>
      </x:c>
      <x:c r="O395" s="72" t="n">
        <x:f aca="0">N395/1000000</x:f>
        <x:v>0</x:v>
      </x:c>
      <x:c r="P395" s="73" t="n">
        <x:f aca="0">KOHC!F93</x:f>
        <x:v>0</x:v>
      </x:c>
      <x:c r="Q395" s="70" t="str">
        <x:f aca="0">IF(ABS(O395-P395)&lt;0.000001,"PASS","FAIL")</x:f>
        <x:v>PASS</x:v>
      </x:c>
      <x:c r="R395" s="70" t="s">
        <x:v>27</x:v>
      </x:c>
      <x:c r="S395" s="70"/>
    </x:row>
    <x:row r="396" ht="15" hidden="0">
      <x:c r="A396" s="70" t="s">
        <x:v>1149</x:v>
      </x:c>
      <x:c r="B396" s="70" t="s">
        <x:v>24</x:v>
      </x:c>
      <x:c r="C396" s="70" t="s">
        <x:v>104</x:v>
      </x:c>
      <x:c r="D396" s="70" t="s">
        <x:v>242</x:v>
      </x:c>
      <x:c r="E396" s="70" t="s">
        <x:v>1106</x:v>
      </x:c>
      <x:c r="F396" s="70"/>
      <x:c r="G396" s="70" t="s">
        <x:v>848</x:v>
      </x:c>
      <x:c r="H396" s="70" t="s">
        <x:v>849</x:v>
      </x:c>
      <x:c r="I396" s="70" t="s">
        <x:v>833</x:v>
      </x:c>
      <x:c r="J396" s="70" t="n">
        <x:v>70</x:v>
      </x:c>
      <x:c r="K396" s="70" t="s">
        <x:v>1111</x:v>
      </x:c>
      <x:c r="L396" s="70"/>
      <x:c r="M396" s="70" t="s">
        <x:v>28</x:v>
      </x:c>
      <x:c r="N396" s="71" t="n">
        <x:v>0</x:v>
      </x:c>
      <x:c r="O396" s="72" t="n">
        <x:f aca="0">N396/1000000</x:f>
        <x:v>0</x:v>
      </x:c>
      <x:c r="P396" s="73" t="n">
        <x:f aca="0">KOHC!G93</x:f>
        <x:v>0</x:v>
      </x:c>
      <x:c r="Q396" s="70" t="str">
        <x:f aca="0">IF(ABS(O396-P396)&lt;0.000001,"PASS","FAIL")</x:f>
        <x:v>PASS</x:v>
      </x:c>
      <x:c r="R396" s="70" t="s">
        <x:v>27</x:v>
      </x:c>
      <x:c r="S396" s="70"/>
    </x:row>
    <x:row r="397" ht="15" hidden="0">
      <x:c r="A397" s="70" t="s">
        <x:v>1150</x:v>
      </x:c>
      <x:c r="B397" s="70" t="s">
        <x:v>24</x:v>
      </x:c>
      <x:c r="C397" s="70" t="s">
        <x:v>105</x:v>
      </x:c>
      <x:c r="D397" s="70" t="s">
        <x:v>242</x:v>
      </x:c>
      <x:c r="E397" s="70" t="s">
        <x:v>1106</x:v>
      </x:c>
      <x:c r="F397" s="70"/>
      <x:c r="G397" s="70" t="s">
        <x:v>848</x:v>
      </x:c>
      <x:c r="H397" s="70" t="s">
        <x:v>849</x:v>
      </x:c>
      <x:c r="I397" s="70" t="s">
        <x:v>852</x:v>
      </x:c>
      <x:c r="J397" s="70" t="n">
        <x:v>70</x:v>
      </x:c>
      <x:c r="K397" s="70" t="s">
        <x:v>1111</x:v>
      </x:c>
      <x:c r="L397" s="70"/>
      <x:c r="M397" s="70" t="s">
        <x:v>28</x:v>
      </x:c>
      <x:c r="N397" s="71" t="n">
        <x:v>0</x:v>
      </x:c>
      <x:c r="O397" s="72" t="n">
        <x:f aca="0">N397/1000000</x:f>
        <x:v>0</x:v>
      </x:c>
      <x:c r="P397" s="73" t="n">
        <x:f aca="0">KOHC!H93</x:f>
        <x:v>0</x:v>
      </x:c>
      <x:c r="Q397" s="70" t="str">
        <x:f aca="0">IF(ABS(O397-P397)&lt;0.000001,"PASS","FAIL")</x:f>
        <x:v>PASS</x:v>
      </x:c>
      <x:c r="R397" s="70" t="s">
        <x:v>27</x:v>
      </x:c>
      <x:c r="S397" s="70"/>
    </x:row>
    <x:row r="398" ht="15" hidden="0">
      <x:c r="A398" s="70" t="s">
        <x:v>1151</x:v>
      </x:c>
      <x:c r="B398" s="70" t="s">
        <x:v>24</x:v>
      </x:c>
      <x:c r="C398" s="70" t="s">
        <x:v>101</x:v>
      </x:c>
      <x:c r="D398" s="70" t="s">
        <x:v>244</x:v>
      </x:c>
      <x:c r="E398" s="70" t="s">
        <x:v>1106</x:v>
      </x:c>
      <x:c r="F398" s="70"/>
      <x:c r="G398" s="70" t="s">
        <x:v>837</x:v>
      </x:c>
      <x:c r="H398" s="70" t="s">
        <x:v>838</x:v>
      </x:c>
      <x:c r="I398" s="70" t="s">
        <x:v>833</x:v>
      </x:c>
      <x:c r="J398" s="70" t="n">
        <x:v>54</x:v>
      </x:c>
      <x:c r="K398" s="70" t="s">
        <x:v>864</x:v>
      </x:c>
      <x:c r="L398" s="70"/>
      <x:c r="M398" s="70" t="s">
        <x:v>28</x:v>
      </x:c>
      <x:c r="N398" s="71" t="n">
        <x:v>0</x:v>
      </x:c>
      <x:c r="O398" s="72" t="n">
        <x:f aca="0">N398/1000000</x:f>
        <x:v>0</x:v>
      </x:c>
      <x:c r="P398" s="73" t="n">
        <x:f aca="0">KOHC!D94</x:f>
        <x:v>0</x:v>
      </x:c>
      <x:c r="Q398" s="70" t="str">
        <x:f aca="0">IF(ABS(O398-P398)&lt;0.000001,"PASS","FAIL")</x:f>
        <x:v>PASS</x:v>
      </x:c>
      <x:c r="R398" s="70" t="s">
        <x:v>27</x:v>
      </x:c>
      <x:c r="S398" s="70"/>
    </x:row>
    <x:row r="399" ht="15" hidden="0">
      <x:c r="A399" s="70" t="s">
        <x:v>1152</x:v>
      </x:c>
      <x:c r="B399" s="70" t="s">
        <x:v>24</x:v>
      </x:c>
      <x:c r="C399" s="70" t="s">
        <x:v>102</x:v>
      </x:c>
      <x:c r="D399" s="70" t="s">
        <x:v>244</x:v>
      </x:c>
      <x:c r="E399" s="70" t="s">
        <x:v>1106</x:v>
      </x:c>
      <x:c r="F399" s="70"/>
      <x:c r="G399" s="70" t="s">
        <x:v>841</x:v>
      </x:c>
      <x:c r="H399" s="70" t="s">
        <x:v>842</x:v>
      </x:c>
      <x:c r="I399" s="70" t="s">
        <x:v>833</x:v>
      </x:c>
      <x:c r="J399" s="70" t="n">
        <x:v>54</x:v>
      </x:c>
      <x:c r="K399" s="70" t="s">
        <x:v>864</x:v>
      </x:c>
      <x:c r="L399" s="70"/>
      <x:c r="M399" s="70" t="s">
        <x:v>28</x:v>
      </x:c>
      <x:c r="N399" s="71" t="n">
        <x:v>0</x:v>
      </x:c>
      <x:c r="O399" s="72" t="n">
        <x:f aca="0">N399/1000000</x:f>
        <x:v>0</x:v>
      </x:c>
      <x:c r="P399" s="73" t="n">
        <x:f aca="0">KOHC!E94</x:f>
        <x:v>0</x:v>
      </x:c>
      <x:c r="Q399" s="70" t="str">
        <x:f aca="0">IF(ABS(O399-P399)&lt;0.000001,"PASS","FAIL")</x:f>
        <x:v>PASS</x:v>
      </x:c>
      <x:c r="R399" s="70" t="s">
        <x:v>27</x:v>
      </x:c>
      <x:c r="S399" s="70"/>
    </x:row>
    <x:row r="400" ht="15" hidden="0">
      <x:c r="A400" s="70" t="s">
        <x:v>1153</x:v>
      </x:c>
      <x:c r="B400" s="70" t="s">
        <x:v>24</x:v>
      </x:c>
      <x:c r="C400" s="70" t="s">
        <x:v>103</x:v>
      </x:c>
      <x:c r="D400" s="70" t="s">
        <x:v>244</x:v>
      </x:c>
      <x:c r="E400" s="70" t="s">
        <x:v>1106</x:v>
      </x:c>
      <x:c r="F400" s="70"/>
      <x:c r="G400" s="70" t="s">
        <x:v>844</x:v>
      </x:c>
      <x:c r="H400" s="70" t="s">
        <x:v>845</x:v>
      </x:c>
      <x:c r="I400" s="70" t="s">
        <x:v>833</x:v>
      </x:c>
      <x:c r="J400" s="70" t="n">
        <x:v>60</x:v>
      </x:c>
      <x:c r="K400" s="70" t="s">
        <x:v>864</x:v>
      </x:c>
      <x:c r="L400" s="70"/>
      <x:c r="M400" s="70" t="s">
        <x:v>28</x:v>
      </x:c>
      <x:c r="N400" s="71" t="n">
        <x:v>0</x:v>
      </x:c>
      <x:c r="O400" s="72" t="n">
        <x:f aca="0">N400/1000000</x:f>
        <x:v>0</x:v>
      </x:c>
      <x:c r="P400" s="73" t="n">
        <x:f aca="0">KOHC!F94</x:f>
        <x:v>0</x:v>
      </x:c>
      <x:c r="Q400" s="70" t="str">
        <x:f aca="0">IF(ABS(O400-P400)&lt;0.000001,"PASS","FAIL")</x:f>
        <x:v>PASS</x:v>
      </x:c>
      <x:c r="R400" s="70" t="s">
        <x:v>27</x:v>
      </x:c>
      <x:c r="S400" s="70"/>
    </x:row>
    <x:row r="401" ht="15" hidden="0">
      <x:c r="A401" s="70" t="s">
        <x:v>1154</x:v>
      </x:c>
      <x:c r="B401" s="70" t="s">
        <x:v>24</x:v>
      </x:c>
      <x:c r="C401" s="70" t="s">
        <x:v>104</x:v>
      </x:c>
      <x:c r="D401" s="70" t="s">
        <x:v>244</x:v>
      </x:c>
      <x:c r="E401" s="70" t="s">
        <x:v>1106</x:v>
      </x:c>
      <x:c r="F401" s="70"/>
      <x:c r="G401" s="70" t="s">
        <x:v>848</x:v>
      </x:c>
      <x:c r="H401" s="70" t="s">
        <x:v>849</x:v>
      </x:c>
      <x:c r="I401" s="70" t="s">
        <x:v>833</x:v>
      </x:c>
      <x:c r="J401" s="70" t="n">
        <x:v>70</x:v>
      </x:c>
      <x:c r="K401" s="70" t="s">
        <x:v>1111</x:v>
      </x:c>
      <x:c r="L401" s="70"/>
      <x:c r="M401" s="70" t="s">
        <x:v>28</x:v>
      </x:c>
      <x:c r="N401" s="71" t="n">
        <x:v>0</x:v>
      </x:c>
      <x:c r="O401" s="72" t="n">
        <x:f aca="0">N401/1000000</x:f>
        <x:v>0</x:v>
      </x:c>
      <x:c r="P401" s="73" t="n">
        <x:f aca="0">KOHC!G94</x:f>
        <x:v>0</x:v>
      </x:c>
      <x:c r="Q401" s="70" t="str">
        <x:f aca="0">IF(ABS(O401-P401)&lt;0.000001,"PASS","FAIL")</x:f>
        <x:v>PASS</x:v>
      </x:c>
      <x:c r="R401" s="70" t="s">
        <x:v>27</x:v>
      </x:c>
      <x:c r="S401" s="70"/>
    </x:row>
    <x:row r="402" ht="15" hidden="0">
      <x:c r="A402" s="70" t="s">
        <x:v>1155</x:v>
      </x:c>
      <x:c r="B402" s="70" t="s">
        <x:v>24</x:v>
      </x:c>
      <x:c r="C402" s="70" t="s">
        <x:v>105</x:v>
      </x:c>
      <x:c r="D402" s="70" t="s">
        <x:v>244</x:v>
      </x:c>
      <x:c r="E402" s="70" t="s">
        <x:v>1106</x:v>
      </x:c>
      <x:c r="F402" s="70"/>
      <x:c r="G402" s="70" t="s">
        <x:v>848</x:v>
      </x:c>
      <x:c r="H402" s="70" t="s">
        <x:v>849</x:v>
      </x:c>
      <x:c r="I402" s="70" t="s">
        <x:v>852</x:v>
      </x:c>
      <x:c r="J402" s="70" t="n">
        <x:v>70</x:v>
      </x:c>
      <x:c r="K402" s="70" t="s">
        <x:v>1111</x:v>
      </x:c>
      <x:c r="L402" s="70"/>
      <x:c r="M402" s="70" t="s">
        <x:v>28</x:v>
      </x:c>
      <x:c r="N402" s="71" t="n">
        <x:v>0</x:v>
      </x:c>
      <x:c r="O402" s="72" t="n">
        <x:f aca="0">N402/1000000</x:f>
        <x:v>0</x:v>
      </x:c>
      <x:c r="P402" s="73" t="n">
        <x:f aca="0">KOHC!H94</x:f>
        <x:v>0</x:v>
      </x:c>
      <x:c r="Q402" s="70" t="str">
        <x:f aca="0">IF(ABS(O402-P402)&lt;0.000001,"PASS","FAIL")</x:f>
        <x:v>PASS</x:v>
      </x:c>
      <x:c r="R402" s="70" t="s">
        <x:v>27</x:v>
      </x:c>
      <x:c r="S402" s="70"/>
    </x:row>
    <x:row r="403" ht="15" hidden="0">
      <x:c r="A403" s="70" t="s">
        <x:v>1156</x:v>
      </x:c>
      <x:c r="B403" s="70" t="s">
        <x:v>24</x:v>
      </x:c>
      <x:c r="C403" s="70" t="s">
        <x:v>101</x:v>
      </x:c>
      <x:c r="D403" s="70" t="s">
        <x:v>246</x:v>
      </x:c>
      <x:c r="E403" s="70" t="s">
        <x:v>1106</x:v>
      </x:c>
      <x:c r="F403" s="70" t="s">
        <x:v>246</x:v>
      </x:c>
      <x:c r="G403" s="70" t="s">
        <x:v>837</x:v>
      </x:c>
      <x:c r="H403" s="70" t="s">
        <x:v>838</x:v>
      </x:c>
      <x:c r="I403" s="70" t="s">
        <x:v>833</x:v>
      </x:c>
      <x:c r="J403" s="70" t="n">
        <x:v>54</x:v>
      </x:c>
      <x:c r="K403" s="70" t="s">
        <x:v>864</x:v>
      </x:c>
      <x:c r="L403" s="70"/>
      <x:c r="M403" s="70" t="s">
        <x:v>28</x:v>
      </x:c>
      <x:c r="N403" s="71" t="n">
        <x:v>-517055413</x:v>
      </x:c>
      <x:c r="O403" s="72" t="n">
        <x:f aca="0">N403/1000000</x:f>
        <x:v>-517.055413</x:v>
      </x:c>
      <x:c r="P403" s="73" t="n">
        <x:f aca="0">KOHC!D95</x:f>
        <x:v>-517.055413</x:v>
      </x:c>
      <x:c r="Q403" s="70" t="str">
        <x:f aca="0">IF(ABS(O403-P403)&lt;0.000001,"PASS","FAIL")</x:f>
        <x:v>PASS</x:v>
      </x:c>
      <x:c r="R403" s="70" t="s">
        <x:v>27</x:v>
      </x:c>
      <x:c r="S403" s="70"/>
    </x:row>
    <x:row r="404" ht="15" hidden="0">
      <x:c r="A404" s="70" t="s">
        <x:v>1157</x:v>
      </x:c>
      <x:c r="B404" s="70" t="s">
        <x:v>24</x:v>
      </x:c>
      <x:c r="C404" s="70" t="s">
        <x:v>102</x:v>
      </x:c>
      <x:c r="D404" s="70" t="s">
        <x:v>246</x:v>
      </x:c>
      <x:c r="E404" s="70" t="s">
        <x:v>1106</x:v>
      </x:c>
      <x:c r="F404" s="70" t="s">
        <x:v>246</x:v>
      </x:c>
      <x:c r="G404" s="70" t="s">
        <x:v>841</x:v>
      </x:c>
      <x:c r="H404" s="70" t="s">
        <x:v>842</x:v>
      </x:c>
      <x:c r="I404" s="70" t="s">
        <x:v>833</x:v>
      </x:c>
      <x:c r="J404" s="70" t="n">
        <x:v>54</x:v>
      </x:c>
      <x:c r="K404" s="70" t="s">
        <x:v>864</x:v>
      </x:c>
      <x:c r="L404" s="70"/>
      <x:c r="M404" s="70" t="s">
        <x:v>28</x:v>
      </x:c>
      <x:c r="N404" s="71" t="n">
        <x:v>-537710815</x:v>
      </x:c>
      <x:c r="O404" s="72" t="n">
        <x:f aca="0">N404/1000000</x:f>
        <x:v>-537.710815</x:v>
      </x:c>
      <x:c r="P404" s="73" t="n">
        <x:f aca="0">KOHC!E95</x:f>
        <x:v>-537.710815</x:v>
      </x:c>
      <x:c r="Q404" s="70" t="str">
        <x:f aca="0">IF(ABS(O404-P404)&lt;0.000001,"PASS","FAIL")</x:f>
        <x:v>PASS</x:v>
      </x:c>
      <x:c r="R404" s="70" t="s">
        <x:v>27</x:v>
      </x:c>
      <x:c r="S404" s="70"/>
    </x:row>
    <x:row r="405" ht="15" hidden="0">
      <x:c r="A405" s="70" t="s">
        <x:v>1158</x:v>
      </x:c>
      <x:c r="B405" s="70" t="s">
        <x:v>24</x:v>
      </x:c>
      <x:c r="C405" s="70" t="s">
        <x:v>103</x:v>
      </x:c>
      <x:c r="D405" s="70" t="s">
        <x:v>246</x:v>
      </x:c>
      <x:c r="E405" s="70" t="s">
        <x:v>1106</x:v>
      </x:c>
      <x:c r="F405" s="70" t="s">
        <x:v>246</x:v>
      </x:c>
      <x:c r="G405" s="70" t="s">
        <x:v>844</x:v>
      </x:c>
      <x:c r="H405" s="70" t="s">
        <x:v>845</x:v>
      </x:c>
      <x:c r="I405" s="70" t="s">
        <x:v>833</x:v>
      </x:c>
      <x:c r="J405" s="70" t="n">
        <x:v>60</x:v>
      </x:c>
      <x:c r="K405" s="70" t="s">
        <x:v>864</x:v>
      </x:c>
      <x:c r="L405" s="70"/>
      <x:c r="M405" s="70" t="s">
        <x:v>28</x:v>
      </x:c>
      <x:c r="N405" s="71" t="n">
        <x:v>-740307772</x:v>
      </x:c>
      <x:c r="O405" s="72" t="n">
        <x:f aca="0">N405/1000000</x:f>
        <x:v>-740.307772</x:v>
      </x:c>
      <x:c r="P405" s="73" t="n">
        <x:f aca="0">KOHC!F95</x:f>
        <x:v>-740.307772</x:v>
      </x:c>
      <x:c r="Q405" s="70" t="str">
        <x:f aca="0">IF(ABS(O405-P405)&lt;0.000001,"PASS","FAIL")</x:f>
        <x:v>PASS</x:v>
      </x:c>
      <x:c r="R405" s="70" t="s">
        <x:v>27</x:v>
      </x:c>
      <x:c r="S405" s="70"/>
    </x:row>
    <x:row r="406" ht="15" hidden="0">
      <x:c r="A406" s="70" t="s">
        <x:v>1159</x:v>
      </x:c>
      <x:c r="B406" s="70" t="s">
        <x:v>24</x:v>
      </x:c>
      <x:c r="C406" s="70" t="s">
        <x:v>104</x:v>
      </x:c>
      <x:c r="D406" s="70" t="s">
        <x:v>246</x:v>
      </x:c>
      <x:c r="E406" s="70" t="s">
        <x:v>1106</x:v>
      </x:c>
      <x:c r="F406" s="70" t="s">
        <x:v>246</x:v>
      </x:c>
      <x:c r="G406" s="70" t="s">
        <x:v>848</x:v>
      </x:c>
      <x:c r="H406" s="70" t="s">
        <x:v>849</x:v>
      </x:c>
      <x:c r="I406" s="70" t="s">
        <x:v>833</x:v>
      </x:c>
      <x:c r="J406" s="70" t="n">
        <x:v>70</x:v>
      </x:c>
      <x:c r="K406" s="70" t="s">
        <x:v>1111</x:v>
      </x:c>
      <x:c r="L406" s="70"/>
      <x:c r="M406" s="70" t="s">
        <x:v>28</x:v>
      </x:c>
      <x:c r="N406" s="71" t="n">
        <x:v>-677380845</x:v>
      </x:c>
      <x:c r="O406" s="72" t="n">
        <x:f aca="0">N406/1000000</x:f>
        <x:v>-677.380845</x:v>
      </x:c>
      <x:c r="P406" s="73" t="n">
        <x:f aca="0">KOHC!G95</x:f>
        <x:v>-677.380845</x:v>
      </x:c>
      <x:c r="Q406" s="70" t="str">
        <x:f aca="0">IF(ABS(O406-P406)&lt;0.000001,"PASS","FAIL")</x:f>
        <x:v>PASS</x:v>
      </x:c>
      <x:c r="R406" s="70" t="s">
        <x:v>27</x:v>
      </x:c>
      <x:c r="S406" s="70"/>
    </x:row>
    <x:row r="407" ht="15" hidden="0">
      <x:c r="A407" s="70" t="s">
        <x:v>1160</x:v>
      </x:c>
      <x:c r="B407" s="70" t="s">
        <x:v>24</x:v>
      </x:c>
      <x:c r="C407" s="70" t="s">
        <x:v>105</x:v>
      </x:c>
      <x:c r="D407" s="70" t="s">
        <x:v>246</x:v>
      </x:c>
      <x:c r="E407" s="70" t="s">
        <x:v>1106</x:v>
      </x:c>
      <x:c r="F407" s="70" t="s">
        <x:v>246</x:v>
      </x:c>
      <x:c r="G407" s="70" t="s">
        <x:v>848</x:v>
      </x:c>
      <x:c r="H407" s="70" t="s">
        <x:v>849</x:v>
      </x:c>
      <x:c r="I407" s="70" t="s">
        <x:v>852</x:v>
      </x:c>
      <x:c r="J407" s="70" t="n">
        <x:v>70</x:v>
      </x:c>
      <x:c r="K407" s="70" t="s">
        <x:v>1111</x:v>
      </x:c>
      <x:c r="L407" s="70"/>
      <x:c r="M407" s="70" t="s">
        <x:v>28</x:v>
      </x:c>
      <x:c r="N407" s="71" t="n">
        <x:v>-349910716</x:v>
      </x:c>
      <x:c r="O407" s="72" t="n">
        <x:f aca="0">N407/1000000</x:f>
        <x:v>-349.910716</x:v>
      </x:c>
      <x:c r="P407" s="73" t="n">
        <x:f aca="0">KOHC!H95</x:f>
        <x:v>-349.910716</x:v>
      </x:c>
      <x:c r="Q407" s="70" t="str">
        <x:f aca="0">IF(ABS(O407-P407)&lt;0.000001,"PASS","FAIL")</x:f>
        <x:v>PASS</x:v>
      </x:c>
      <x:c r="R407" s="70" t="s">
        <x:v>27</x:v>
      </x:c>
      <x:c r="S407" s="70"/>
    </x:row>
    <x:row r="408" ht="15" hidden="0">
      <x:c r="A408" s="70" t="s">
        <x:v>1161</x:v>
      </x:c>
      <x:c r="B408" s="70" t="s">
        <x:v>24</x:v>
      </x:c>
      <x:c r="C408" s="70" t="s">
        <x:v>101</x:v>
      </x:c>
      <x:c r="D408" s="70" t="s">
        <x:v>250</x:v>
      </x:c>
      <x:c r="E408" s="70" t="s">
        <x:v>1106</x:v>
      </x:c>
      <x:c r="F408" s="70"/>
      <x:c r="G408" s="70" t="s">
        <x:v>837</x:v>
      </x:c>
      <x:c r="H408" s="70" t="s">
        <x:v>838</x:v>
      </x:c>
      <x:c r="I408" s="70" t="s">
        <x:v>833</x:v>
      </x:c>
      <x:c r="J408" s="70" t="n">
        <x:v>54</x:v>
      </x:c>
      <x:c r="K408" s="70" t="s">
        <x:v>864</x:v>
      </x:c>
      <x:c r="L408" s="70"/>
      <x:c r="M408" s="70" t="s">
        <x:v>28</x:v>
      </x:c>
      <x:c r="N408" s="71" t="n">
        <x:v>0</x:v>
      </x:c>
      <x:c r="O408" s="72" t="n">
        <x:f aca="0">N408/1000000</x:f>
        <x:v>0</x:v>
      </x:c>
      <x:c r="P408" s="73" t="n">
        <x:f aca="0">KOHC!D97</x:f>
        <x:v>0</x:v>
      </x:c>
      <x:c r="Q408" s="70" t="str">
        <x:f aca="0">IF(ABS(O408-P408)&lt;0.000001,"PASS","FAIL")</x:f>
        <x:v>PASS</x:v>
      </x:c>
      <x:c r="R408" s="70" t="s">
        <x:v>27</x:v>
      </x:c>
      <x:c r="S408" s="70"/>
    </x:row>
    <x:row r="409" ht="15" hidden="0">
      <x:c r="A409" s="70" t="s">
        <x:v>1162</x:v>
      </x:c>
      <x:c r="B409" s="70" t="s">
        <x:v>24</x:v>
      </x:c>
      <x:c r="C409" s="70" t="s">
        <x:v>102</x:v>
      </x:c>
      <x:c r="D409" s="70" t="s">
        <x:v>250</x:v>
      </x:c>
      <x:c r="E409" s="70" t="s">
        <x:v>1106</x:v>
      </x:c>
      <x:c r="F409" s="70"/>
      <x:c r="G409" s="70" t="s">
        <x:v>841</x:v>
      </x:c>
      <x:c r="H409" s="70" t="s">
        <x:v>842</x:v>
      </x:c>
      <x:c r="I409" s="70" t="s">
        <x:v>833</x:v>
      </x:c>
      <x:c r="J409" s="70" t="n">
        <x:v>54</x:v>
      </x:c>
      <x:c r="K409" s="70" t="s">
        <x:v>864</x:v>
      </x:c>
      <x:c r="L409" s="70"/>
      <x:c r="M409" s="70" t="s">
        <x:v>28</x:v>
      </x:c>
      <x:c r="N409" s="71" t="n">
        <x:v>0</x:v>
      </x:c>
      <x:c r="O409" s="72" t="n">
        <x:f aca="0">N409/1000000</x:f>
        <x:v>0</x:v>
      </x:c>
      <x:c r="P409" s="73" t="n">
        <x:f aca="0">KOHC!E97</x:f>
        <x:v>0</x:v>
      </x:c>
      <x:c r="Q409" s="70" t="str">
        <x:f aca="0">IF(ABS(O409-P409)&lt;0.000001,"PASS","FAIL")</x:f>
        <x:v>PASS</x:v>
      </x:c>
      <x:c r="R409" s="70" t="s">
        <x:v>27</x:v>
      </x:c>
      <x:c r="S409" s="70"/>
    </x:row>
    <x:row r="410" ht="15" hidden="0">
      <x:c r="A410" s="70" t="s">
        <x:v>1163</x:v>
      </x:c>
      <x:c r="B410" s="70" t="s">
        <x:v>24</x:v>
      </x:c>
      <x:c r="C410" s="70" t="s">
        <x:v>103</x:v>
      </x:c>
      <x:c r="D410" s="70" t="s">
        <x:v>250</x:v>
      </x:c>
      <x:c r="E410" s="70" t="s">
        <x:v>1106</x:v>
      </x:c>
      <x:c r="F410" s="70" t="s">
        <x:v>1164</x:v>
      </x:c>
      <x:c r="G410" s="70" t="s">
        <x:v>844</x:v>
      </x:c>
      <x:c r="H410" s="70" t="s">
        <x:v>845</x:v>
      </x:c>
      <x:c r="I410" s="70" t="s">
        <x:v>833</x:v>
      </x:c>
      <x:c r="J410" s="70" t="n">
        <x:v>60</x:v>
      </x:c>
      <x:c r="K410" s="70" t="s">
        <x:v>864</x:v>
      </x:c>
      <x:c r="L410" s="70"/>
      <x:c r="M410" s="70" t="s">
        <x:v>28</x:v>
      </x:c>
      <x:c r="N410" s="71" t="n">
        <x:v>-343981005</x:v>
      </x:c>
      <x:c r="O410" s="72" t="n">
        <x:f aca="0">N410/1000000</x:f>
        <x:v>-343.981005</x:v>
      </x:c>
      <x:c r="P410" s="73" t="n">
        <x:f aca="0">KOHC!F97</x:f>
        <x:v>-343.981005</x:v>
      </x:c>
      <x:c r="Q410" s="70" t="str">
        <x:f aca="0">IF(ABS(O410-P410)&lt;0.000001,"PASS","FAIL")</x:f>
        <x:v>PASS</x:v>
      </x:c>
      <x:c r="R410" s="70" t="s">
        <x:v>27</x:v>
      </x:c>
      <x:c r="S410" s="70"/>
    </x:row>
    <x:row r="411" ht="15" hidden="0">
      <x:c r="A411" s="70" t="s">
        <x:v>1165</x:v>
      </x:c>
      <x:c r="B411" s="70" t="s">
        <x:v>24</x:v>
      </x:c>
      <x:c r="C411" s="70" t="s">
        <x:v>104</x:v>
      </x:c>
      <x:c r="D411" s="70" t="s">
        <x:v>250</x:v>
      </x:c>
      <x:c r="E411" s="70" t="s">
        <x:v>1106</x:v>
      </x:c>
      <x:c r="F411" s="70" t="s">
        <x:v>1164</x:v>
      </x:c>
      <x:c r="G411" s="70" t="s">
        <x:v>848</x:v>
      </x:c>
      <x:c r="H411" s="70" t="s">
        <x:v>849</x:v>
      </x:c>
      <x:c r="I411" s="70" t="s">
        <x:v>833</x:v>
      </x:c>
      <x:c r="J411" s="70" t="n">
        <x:v>70</x:v>
      </x:c>
      <x:c r="K411" s="70" t="s">
        <x:v>1111</x:v>
      </x:c>
      <x:c r="L411" s="70"/>
      <x:c r="M411" s="70" t="s">
        <x:v>28</x:v>
      </x:c>
      <x:c r="N411" s="71" t="n">
        <x:v>-844151365</x:v>
      </x:c>
      <x:c r="O411" s="72" t="n">
        <x:f aca="0">N411/1000000</x:f>
        <x:v>-844.151365</x:v>
      </x:c>
      <x:c r="P411" s="73" t="n">
        <x:f aca="0">KOHC!G97</x:f>
        <x:v>-844.151365</x:v>
      </x:c>
      <x:c r="Q411" s="70" t="str">
        <x:f aca="0">IF(ABS(O411-P411)&lt;0.000001,"PASS","FAIL")</x:f>
        <x:v>PASS</x:v>
      </x:c>
      <x:c r="R411" s="70" t="s">
        <x:v>27</x:v>
      </x:c>
      <x:c r="S411" s="70"/>
    </x:row>
    <x:row r="412" ht="15" hidden="0">
      <x:c r="A412" s="70" t="s">
        <x:v>1166</x:v>
      </x:c>
      <x:c r="B412" s="70" t="s">
        <x:v>24</x:v>
      </x:c>
      <x:c r="C412" s="70" t="s">
        <x:v>105</x:v>
      </x:c>
      <x:c r="D412" s="70" t="s">
        <x:v>250</x:v>
      </x:c>
      <x:c r="E412" s="70" t="s">
        <x:v>1106</x:v>
      </x:c>
      <x:c r="F412" s="70" t="s">
        <x:v>1164</x:v>
      </x:c>
      <x:c r="G412" s="70" t="s">
        <x:v>848</x:v>
      </x:c>
      <x:c r="H412" s="70" t="s">
        <x:v>849</x:v>
      </x:c>
      <x:c r="I412" s="70" t="s">
        <x:v>852</x:v>
      </x:c>
      <x:c r="J412" s="70" t="n">
        <x:v>70</x:v>
      </x:c>
      <x:c r="K412" s="70" t="s">
        <x:v>1111</x:v>
      </x:c>
      <x:c r="L412" s="70"/>
      <x:c r="M412" s="70" t="s">
        <x:v>28</x:v>
      </x:c>
      <x:c r="N412" s="71" t="n">
        <x:v>-58631368</x:v>
      </x:c>
      <x:c r="O412" s="72" t="n">
        <x:f aca="0">N412/1000000</x:f>
        <x:v>-58.631368</x:v>
      </x:c>
      <x:c r="P412" s="73" t="n">
        <x:f aca="0">KOHC!H97</x:f>
        <x:v>-58.631368</x:v>
      </x:c>
      <x:c r="Q412" s="70" t="str">
        <x:f aca="0">IF(ABS(O412-P412)&lt;0.000001,"PASS","FAIL")</x:f>
        <x:v>PASS</x:v>
      </x:c>
      <x:c r="R412" s="70" t="s">
        <x:v>27</x:v>
      </x:c>
      <x:c r="S412" s="70"/>
    </x:row>
    <x:row r="413" ht="15" hidden="0">
      <x:c r="A413" s="70" t="s">
        <x:v>1167</x:v>
      </x:c>
      <x:c r="B413" s="70" t="s">
        <x:v>24</x:v>
      </x:c>
      <x:c r="C413" s="70" t="s">
        <x:v>101</x:v>
      </x:c>
      <x:c r="D413" s="70" t="s">
        <x:v>252</x:v>
      </x:c>
      <x:c r="E413" s="70" t="s">
        <x:v>1106</x:v>
      </x:c>
      <x:c r="F413" s="70" t="s">
        <x:v>1168</x:v>
      </x:c>
      <x:c r="G413" s="70" t="s">
        <x:v>837</x:v>
      </x:c>
      <x:c r="H413" s="70" t="s">
        <x:v>838</x:v>
      </x:c>
      <x:c r="I413" s="70" t="s">
        <x:v>833</x:v>
      </x:c>
      <x:c r="J413" s="70" t="n">
        <x:v>54</x:v>
      </x:c>
      <x:c r="K413" s="70" t="s">
        <x:v>864</x:v>
      </x:c>
      <x:c r="L413" s="70"/>
      <x:c r="M413" s="70" t="s">
        <x:v>28</x:v>
      </x:c>
      <x:c r="N413" s="71" t="n">
        <x:v>-1388447360</x:v>
      </x:c>
      <x:c r="O413" s="72" t="n">
        <x:f aca="0">N413/1000000</x:f>
        <x:v>-1388.44736</x:v>
      </x:c>
      <x:c r="P413" s="73" t="n">
        <x:f aca="0">KOHC!D98</x:f>
        <x:v>-1388.44736</x:v>
      </x:c>
      <x:c r="Q413" s="70" t="str">
        <x:f aca="0">IF(ABS(O413-P413)&lt;0.000001,"PASS","FAIL")</x:f>
        <x:v>PASS</x:v>
      </x:c>
      <x:c r="R413" s="70" t="s">
        <x:v>27</x:v>
      </x:c>
      <x:c r="S413" s="70"/>
    </x:row>
    <x:row r="414" ht="15" hidden="0">
      <x:c r="A414" s="70" t="s">
        <x:v>1169</x:v>
      </x:c>
      <x:c r="B414" s="70" t="s">
        <x:v>24</x:v>
      </x:c>
      <x:c r="C414" s="70" t="s">
        <x:v>102</x:v>
      </x:c>
      <x:c r="D414" s="70" t="s">
        <x:v>252</x:v>
      </x:c>
      <x:c r="E414" s="70" t="s">
        <x:v>1106</x:v>
      </x:c>
      <x:c r="F414" s="70" t="s">
        <x:v>1168</x:v>
      </x:c>
      <x:c r="G414" s="70" t="s">
        <x:v>841</x:v>
      </x:c>
      <x:c r="H414" s="70" t="s">
        <x:v>842</x:v>
      </x:c>
      <x:c r="I414" s="70" t="s">
        <x:v>833</x:v>
      </x:c>
      <x:c r="J414" s="70" t="n">
        <x:v>54</x:v>
      </x:c>
      <x:c r="K414" s="70" t="s">
        <x:v>864</x:v>
      </x:c>
      <x:c r="L414" s="70"/>
      <x:c r="M414" s="70" t="s">
        <x:v>28</x:v>
      </x:c>
      <x:c r="N414" s="71" t="n">
        <x:v>-3901208866</x:v>
      </x:c>
      <x:c r="O414" s="72" t="n">
        <x:f aca="0">N414/1000000</x:f>
        <x:v>-3901.208866</x:v>
      </x:c>
      <x:c r="P414" s="73" t="n">
        <x:f aca="0">KOHC!E98</x:f>
        <x:v>-3901.208866</x:v>
      </x:c>
      <x:c r="Q414" s="70" t="str">
        <x:f aca="0">IF(ABS(O414-P414)&lt;0.000001,"PASS","FAIL")</x:f>
        <x:v>PASS</x:v>
      </x:c>
      <x:c r="R414" s="70" t="s">
        <x:v>27</x:v>
      </x:c>
      <x:c r="S414" s="70"/>
    </x:row>
    <x:row r="415" ht="15" hidden="0">
      <x:c r="A415" s="70" t="s">
        <x:v>1170</x:v>
      </x:c>
      <x:c r="B415" s="70" t="s">
        <x:v>24</x:v>
      </x:c>
      <x:c r="C415" s="70" t="s">
        <x:v>103</x:v>
      </x:c>
      <x:c r="D415" s="70" t="s">
        <x:v>252</x:v>
      </x:c>
      <x:c r="E415" s="70" t="s">
        <x:v>1106</x:v>
      </x:c>
      <x:c r="F415" s="70" t="s">
        <x:v>1168</x:v>
      </x:c>
      <x:c r="G415" s="70" t="s">
        <x:v>844</x:v>
      </x:c>
      <x:c r="H415" s="70" t="s">
        <x:v>845</x:v>
      </x:c>
      <x:c r="I415" s="70" t="s">
        <x:v>833</x:v>
      </x:c>
      <x:c r="J415" s="70" t="n">
        <x:v>60</x:v>
      </x:c>
      <x:c r="K415" s="70" t="s">
        <x:v>864</x:v>
      </x:c>
      <x:c r="L415" s="70"/>
      <x:c r="M415" s="70" t="s">
        <x:v>28</x:v>
      </x:c>
      <x:c r="N415" s="71" t="n">
        <x:v>-4304595678</x:v>
      </x:c>
      <x:c r="O415" s="72" t="n">
        <x:f aca="0">N415/1000000</x:f>
        <x:v>-4304.595678</x:v>
      </x:c>
      <x:c r="P415" s="73" t="n">
        <x:f aca="0">KOHC!F98</x:f>
        <x:v>-4304.595678</x:v>
      </x:c>
      <x:c r="Q415" s="70" t="str">
        <x:f aca="0">IF(ABS(O415-P415)&lt;0.000001,"PASS","FAIL")</x:f>
        <x:v>PASS</x:v>
      </x:c>
      <x:c r="R415" s="70" t="s">
        <x:v>27</x:v>
      </x:c>
      <x:c r="S415" s="70" t="s">
        <x:v>839</x:v>
      </x:c>
    </x:row>
    <x:row r="416" ht="15" hidden="0">
      <x:c r="A416" s="70" t="s">
        <x:v>1171</x:v>
      </x:c>
      <x:c r="B416" s="70" t="s">
        <x:v>24</x:v>
      </x:c>
      <x:c r="C416" s="70" t="s">
        <x:v>104</x:v>
      </x:c>
      <x:c r="D416" s="70" t="s">
        <x:v>252</x:v>
      </x:c>
      <x:c r="E416" s="70" t="s">
        <x:v>1106</x:v>
      </x:c>
      <x:c r="F416" s="70" t="s">
        <x:v>1168</x:v>
      </x:c>
      <x:c r="G416" s="70" t="s">
        <x:v>848</x:v>
      </x:c>
      <x:c r="H416" s="70" t="s">
        <x:v>849</x:v>
      </x:c>
      <x:c r="I416" s="70" t="s">
        <x:v>833</x:v>
      </x:c>
      <x:c r="J416" s="70" t="n">
        <x:v>70</x:v>
      </x:c>
      <x:c r="K416" s="70" t="s">
        <x:v>1111</x:v>
      </x:c>
      <x:c r="L416" s="70"/>
      <x:c r="M416" s="70" t="s">
        <x:v>28</x:v>
      </x:c>
      <x:c r="N416" s="71" t="n">
        <x:v>-4038678948</x:v>
      </x:c>
      <x:c r="O416" s="72" t="n">
        <x:f aca="0">N416/1000000</x:f>
        <x:v>-4038.678948</x:v>
      </x:c>
      <x:c r="P416" s="73" t="n">
        <x:f aca="0">KOHC!G98</x:f>
        <x:v>-4038.678948</x:v>
      </x:c>
      <x:c r="Q416" s="70" t="str">
        <x:f aca="0">IF(ABS(O416-P416)&lt;0.000001,"PASS","FAIL")</x:f>
        <x:v>PASS</x:v>
      </x:c>
      <x:c r="R416" s="70" t="s">
        <x:v>27</x:v>
      </x:c>
      <x:c r="S416" s="70" t="s">
        <x:v>839</x:v>
      </x:c>
    </x:row>
    <x:row r="417" ht="15" hidden="0">
      <x:c r="A417" s="70" t="s">
        <x:v>1172</x:v>
      </x:c>
      <x:c r="B417" s="70" t="s">
        <x:v>24</x:v>
      </x:c>
      <x:c r="C417" s="70" t="s">
        <x:v>105</x:v>
      </x:c>
      <x:c r="D417" s="70" t="s">
        <x:v>252</x:v>
      </x:c>
      <x:c r="E417" s="70" t="s">
        <x:v>1106</x:v>
      </x:c>
      <x:c r="F417" s="70" t="s">
        <x:v>1168</x:v>
      </x:c>
      <x:c r="G417" s="70" t="s">
        <x:v>848</x:v>
      </x:c>
      <x:c r="H417" s="70" t="s">
        <x:v>849</x:v>
      </x:c>
      <x:c r="I417" s="70" t="s">
        <x:v>852</x:v>
      </x:c>
      <x:c r="J417" s="70" t="n">
        <x:v>70</x:v>
      </x:c>
      <x:c r="K417" s="70" t="s">
        <x:v>1111</x:v>
      </x:c>
      <x:c r="L417" s="70"/>
      <x:c r="M417" s="70" t="s">
        <x:v>28</x:v>
      </x:c>
      <x:c r="N417" s="71" t="n">
        <x:v>-6113037978</x:v>
      </x:c>
      <x:c r="O417" s="72" t="n">
        <x:f aca="0">N417/1000000</x:f>
        <x:v>-6113.037978</x:v>
      </x:c>
      <x:c r="P417" s="73" t="n">
        <x:f aca="0">KOHC!H98</x:f>
        <x:v>-6113.037978</x:v>
      </x:c>
      <x:c r="Q417" s="70" t="str">
        <x:f aca="0">IF(ABS(O417-P417)&lt;0.000001,"PASS","FAIL")</x:f>
        <x:v>PASS</x:v>
      </x:c>
      <x:c r="R417" s="70" t="s">
        <x:v>27</x:v>
      </x:c>
      <x:c r="S417" s="70"/>
    </x:row>
    <x:row r="418" ht="15" hidden="0">
      <x:c r="A418" s="70" t="s">
        <x:v>1173</x:v>
      </x:c>
      <x:c r="B418" s="70" t="s">
        <x:v>24</x:v>
      </x:c>
      <x:c r="C418" s="70" t="s">
        <x:v>101</x:v>
      </x:c>
      <x:c r="D418" s="70" t="s">
        <x:v>256</x:v>
      </x:c>
      <x:c r="E418" s="70" t="s">
        <x:v>1106</x:v>
      </x:c>
      <x:c r="F418" s="70" t="s">
        <x:v>1174</x:v>
      </x:c>
      <x:c r="G418" s="70" t="s">
        <x:v>837</x:v>
      </x:c>
      <x:c r="H418" s="70" t="s">
        <x:v>838</x:v>
      </x:c>
      <x:c r="I418" s="70" t="s">
        <x:v>833</x:v>
      </x:c>
      <x:c r="J418" s="70" t="n">
        <x:v>54</x:v>
      </x:c>
      <x:c r="K418" s="70" t="s">
        <x:v>864</x:v>
      </x:c>
      <x:c r="L418" s="70"/>
      <x:c r="M418" s="70" t="s">
        <x:v>28</x:v>
      </x:c>
      <x:c r="N418" s="71" t="n">
        <x:v>5965349059</x:v>
      </x:c>
      <x:c r="O418" s="72" t="n">
        <x:f aca="0">N418/1000000</x:f>
        <x:v>5965.349059</x:v>
      </x:c>
      <x:c r="P418" s="73" t="n">
        <x:f aca="0">KOHC!D100</x:f>
        <x:v>5965.349059</x:v>
      </x:c>
      <x:c r="Q418" s="70" t="str">
        <x:f aca="0">IF(ABS(O418-P418)&lt;0.000001,"PASS","FAIL")</x:f>
        <x:v>PASS</x:v>
      </x:c>
      <x:c r="R418" s="70" t="s">
        <x:v>27</x:v>
      </x:c>
      <x:c r="S418" s="70"/>
    </x:row>
    <x:row r="419" ht="15" hidden="0">
      <x:c r="A419" s="70" t="s">
        <x:v>1175</x:v>
      </x:c>
      <x:c r="B419" s="70" t="s">
        <x:v>24</x:v>
      </x:c>
      <x:c r="C419" s="70" t="s">
        <x:v>102</x:v>
      </x:c>
      <x:c r="D419" s="70" t="s">
        <x:v>256</x:v>
      </x:c>
      <x:c r="E419" s="70" t="s">
        <x:v>1106</x:v>
      </x:c>
      <x:c r="F419" s="70" t="s">
        <x:v>1174</x:v>
      </x:c>
      <x:c r="G419" s="70" t="s">
        <x:v>841</x:v>
      </x:c>
      <x:c r="H419" s="70" t="s">
        <x:v>842</x:v>
      </x:c>
      <x:c r="I419" s="70" t="s">
        <x:v>833</x:v>
      </x:c>
      <x:c r="J419" s="70" t="n">
        <x:v>54</x:v>
      </x:c>
      <x:c r="K419" s="70" t="s">
        <x:v>864</x:v>
      </x:c>
      <x:c r="L419" s="70"/>
      <x:c r="M419" s="70" t="s">
        <x:v>28</x:v>
      </x:c>
      <x:c r="N419" s="71" t="n">
        <x:v>9811768509</x:v>
      </x:c>
      <x:c r="O419" s="72" t="n">
        <x:f aca="0">N419/1000000</x:f>
        <x:v>9811.768509</x:v>
      </x:c>
      <x:c r="P419" s="73" t="n">
        <x:f aca="0">KOHC!E100</x:f>
        <x:v>9811.768509</x:v>
      </x:c>
      <x:c r="Q419" s="70" t="str">
        <x:f aca="0">IF(ABS(O419-P419)&lt;0.000001,"PASS","FAIL")</x:f>
        <x:v>PASS</x:v>
      </x:c>
      <x:c r="R419" s="70" t="s">
        <x:v>27</x:v>
      </x:c>
      <x:c r="S419" s="70"/>
    </x:row>
    <x:row r="420" ht="15" hidden="0">
      <x:c r="A420" s="70" t="s">
        <x:v>1176</x:v>
      </x:c>
      <x:c r="B420" s="70" t="s">
        <x:v>24</x:v>
      </x:c>
      <x:c r="C420" s="70" t="s">
        <x:v>103</x:v>
      </x:c>
      <x:c r="D420" s="70" t="s">
        <x:v>256</x:v>
      </x:c>
      <x:c r="E420" s="70" t="s">
        <x:v>1106</x:v>
      </x:c>
      <x:c r="F420" s="70" t="s">
        <x:v>1174</x:v>
      </x:c>
      <x:c r="G420" s="70" t="s">
        <x:v>844</x:v>
      </x:c>
      <x:c r="H420" s="70" t="s">
        <x:v>845</x:v>
      </x:c>
      <x:c r="I420" s="70" t="s">
        <x:v>833</x:v>
      </x:c>
      <x:c r="J420" s="70" t="n">
        <x:v>60</x:v>
      </x:c>
      <x:c r="K420" s="70" t="s">
        <x:v>864</x:v>
      </x:c>
      <x:c r="L420" s="70"/>
      <x:c r="M420" s="70" t="s">
        <x:v>28</x:v>
      </x:c>
      <x:c r="N420" s="71" t="n">
        <x:v>10432694019</x:v>
      </x:c>
      <x:c r="O420" s="72" t="n">
        <x:f aca="0">N420/1000000</x:f>
        <x:v>10432.694019</x:v>
      </x:c>
      <x:c r="P420" s="73" t="n">
        <x:f aca="0">KOHC!F100</x:f>
        <x:v>10432.694019</x:v>
      </x:c>
      <x:c r="Q420" s="70" t="str">
        <x:f aca="0">IF(ABS(O420-P420)&lt;0.000001,"PASS","FAIL")</x:f>
        <x:v>PASS</x:v>
      </x:c>
      <x:c r="R420" s="70" t="s">
        <x:v>27</x:v>
      </x:c>
      <x:c r="S420" s="70"/>
    </x:row>
    <x:row r="421" ht="15" hidden="0">
      <x:c r="A421" s="70" t="s">
        <x:v>1177</x:v>
      </x:c>
      <x:c r="B421" s="70" t="s">
        <x:v>24</x:v>
      </x:c>
      <x:c r="C421" s="70" t="s">
        <x:v>104</x:v>
      </x:c>
      <x:c r="D421" s="70" t="s">
        <x:v>256</x:v>
      </x:c>
      <x:c r="E421" s="70" t="s">
        <x:v>1106</x:v>
      </x:c>
      <x:c r="F421" s="70" t="s">
        <x:v>1174</x:v>
      </x:c>
      <x:c r="G421" s="70" t="s">
        <x:v>848</x:v>
      </x:c>
      <x:c r="H421" s="70" t="s">
        <x:v>849</x:v>
      </x:c>
      <x:c r="I421" s="70" t="s">
        <x:v>833</x:v>
      </x:c>
      <x:c r="J421" s="70" t="n">
        <x:v>70</x:v>
      </x:c>
      <x:c r="K421" s="70" t="s">
        <x:v>1111</x:v>
      </x:c>
      <x:c r="L421" s="70"/>
      <x:c r="M421" s="70" t="s">
        <x:v>28</x:v>
      </x:c>
      <x:c r="N421" s="71" t="n">
        <x:v>11256491495</x:v>
      </x:c>
      <x:c r="O421" s="72" t="n">
        <x:f aca="0">N421/1000000</x:f>
        <x:v>11256.491495</x:v>
      </x:c>
      <x:c r="P421" s="73" t="n">
        <x:f aca="0">KOHC!G100</x:f>
        <x:v>11256.491495</x:v>
      </x:c>
      <x:c r="Q421" s="70" t="str">
        <x:f aca="0">IF(ABS(O421-P421)&lt;0.000001,"PASS","FAIL")</x:f>
        <x:v>PASS</x:v>
      </x:c>
      <x:c r="R421" s="70" t="s">
        <x:v>27</x:v>
      </x:c>
      <x:c r="S421" s="70"/>
    </x:row>
    <x:row r="422" ht="15" hidden="0">
      <x:c r="A422" s="70" t="s">
        <x:v>1178</x:v>
      </x:c>
      <x:c r="B422" s="70" t="s">
        <x:v>24</x:v>
      </x:c>
      <x:c r="C422" s="70" t="s">
        <x:v>105</x:v>
      </x:c>
      <x:c r="D422" s="70" t="s">
        <x:v>256</x:v>
      </x:c>
      <x:c r="E422" s="70" t="s">
        <x:v>1106</x:v>
      </x:c>
      <x:c r="F422" s="70" t="s">
        <x:v>1174</x:v>
      </x:c>
      <x:c r="G422" s="70" t="s">
        <x:v>848</x:v>
      </x:c>
      <x:c r="H422" s="70" t="s">
        <x:v>849</x:v>
      </x:c>
      <x:c r="I422" s="70" t="s">
        <x:v>852</x:v>
      </x:c>
      <x:c r="J422" s="70" t="n">
        <x:v>70</x:v>
      </x:c>
      <x:c r="K422" s="70" t="s">
        <x:v>1111</x:v>
      </x:c>
      <x:c r="L422" s="70"/>
      <x:c r="M422" s="70" t="s">
        <x:v>28</x:v>
      </x:c>
      <x:c r="N422" s="71" t="n">
        <x:v>14721606101</x:v>
      </x:c>
      <x:c r="O422" s="72" t="n">
        <x:f aca="0">N422/1000000</x:f>
        <x:v>14721.606101</x:v>
      </x:c>
      <x:c r="P422" s="73" t="n">
        <x:f aca="0">KOHC!H100</x:f>
        <x:v>14721.606101</x:v>
      </x:c>
      <x:c r="Q422" s="70" t="str">
        <x:f aca="0">IF(ABS(O422-P422)&lt;0.000001,"PASS","FAIL")</x:f>
        <x:v>PASS</x:v>
      </x:c>
      <x:c r="R422" s="70" t="s">
        <x:v>27</x:v>
      </x:c>
      <x:c r="S422" s="70"/>
    </x:row>
    <x:row r="423" ht="15" hidden="0">
      <x:c r="A423" s="70" t="s">
        <x:v>1179</x:v>
      </x:c>
      <x:c r="B423" s="70" t="s">
        <x:v>24</x:v>
      </x:c>
      <x:c r="C423" s="70" t="s">
        <x:v>101</x:v>
      </x:c>
      <x:c r="D423" s="70" t="s">
        <x:v>258</x:v>
      </x:c>
      <x:c r="E423" s="70" t="s">
        <x:v>1106</x:v>
      </x:c>
      <x:c r="F423" s="70" t="s">
        <x:v>1180</x:v>
      </x:c>
      <x:c r="G423" s="70" t="s">
        <x:v>837</x:v>
      </x:c>
      <x:c r="H423" s="70" t="s">
        <x:v>838</x:v>
      </x:c>
      <x:c r="I423" s="70" t="s">
        <x:v>833</x:v>
      </x:c>
      <x:c r="J423" s="70" t="n">
        <x:v>54</x:v>
      </x:c>
      <x:c r="K423" s="70" t="s">
        <x:v>864</x:v>
      </x:c>
      <x:c r="L423" s="70"/>
      <x:c r="M423" s="70" t="s">
        <x:v>28</x:v>
      </x:c>
      <x:c r="N423" s="71" t="n">
        <x:v>4885954607</x:v>
      </x:c>
      <x:c r="O423" s="72" t="n">
        <x:f aca="0">N423/1000000</x:f>
        <x:v>4885.954607</x:v>
      </x:c>
      <x:c r="P423" s="73" t="n">
        <x:f aca="0">KOHC!D101</x:f>
        <x:v>4885.954607</x:v>
      </x:c>
      <x:c r="Q423" s="70" t="str">
        <x:f aca="0">IF(ABS(O423-P423)&lt;0.000001,"PASS","FAIL")</x:f>
        <x:v>PASS</x:v>
      </x:c>
      <x:c r="R423" s="70" t="s">
        <x:v>27</x:v>
      </x:c>
      <x:c r="S423" s="70"/>
    </x:row>
    <x:row r="424" ht="15" hidden="0">
      <x:c r="A424" s="70" t="s">
        <x:v>1181</x:v>
      </x:c>
      <x:c r="B424" s="70" t="s">
        <x:v>24</x:v>
      </x:c>
      <x:c r="C424" s="70" t="s">
        <x:v>102</x:v>
      </x:c>
      <x:c r="D424" s="70" t="s">
        <x:v>258</x:v>
      </x:c>
      <x:c r="E424" s="70" t="s">
        <x:v>1106</x:v>
      </x:c>
      <x:c r="F424" s="70" t="s">
        <x:v>1180</x:v>
      </x:c>
      <x:c r="G424" s="70" t="s">
        <x:v>841</x:v>
      </x:c>
      <x:c r="H424" s="70" t="s">
        <x:v>842</x:v>
      </x:c>
      <x:c r="I424" s="70" t="s">
        <x:v>833</x:v>
      </x:c>
      <x:c r="J424" s="70" t="n">
        <x:v>54</x:v>
      </x:c>
      <x:c r="K424" s="70" t="s">
        <x:v>864</x:v>
      </x:c>
      <x:c r="L424" s="70"/>
      <x:c r="M424" s="70" t="s">
        <x:v>28</x:v>
      </x:c>
      <x:c r="N424" s="71" t="n">
        <x:v>8925489126</x:v>
      </x:c>
      <x:c r="O424" s="72" t="n">
        <x:f aca="0">N424/1000000</x:f>
        <x:v>8925.489126</x:v>
      </x:c>
      <x:c r="P424" s="73" t="n">
        <x:f aca="0">KOHC!E101</x:f>
        <x:v>8925.489126</x:v>
      </x:c>
      <x:c r="Q424" s="70" t="str">
        <x:f aca="0">IF(ABS(O424-P424)&lt;0.000001,"PASS","FAIL")</x:f>
        <x:v>PASS</x:v>
      </x:c>
      <x:c r="R424" s="70" t="s">
        <x:v>27</x:v>
      </x:c>
      <x:c r="S424" s="70"/>
    </x:row>
    <x:row r="425" ht="15" hidden="0">
      <x:c r="A425" s="70" t="s">
        <x:v>1182</x:v>
      </x:c>
      <x:c r="B425" s="70" t="s">
        <x:v>24</x:v>
      </x:c>
      <x:c r="C425" s="70" t="s">
        <x:v>103</x:v>
      </x:c>
      <x:c r="D425" s="70" t="s">
        <x:v>258</x:v>
      </x:c>
      <x:c r="E425" s="70" t="s">
        <x:v>1106</x:v>
      </x:c>
      <x:c r="F425" s="70" t="s">
        <x:v>1183</x:v>
      </x:c>
      <x:c r="G425" s="70" t="s">
        <x:v>844</x:v>
      </x:c>
      <x:c r="H425" s="70" t="s">
        <x:v>845</x:v>
      </x:c>
      <x:c r="I425" s="70" t="s">
        <x:v>833</x:v>
      </x:c>
      <x:c r="J425" s="70" t="n">
        <x:v>60</x:v>
      </x:c>
      <x:c r="K425" s="70" t="s">
        <x:v>864</x:v>
      </x:c>
      <x:c r="L425" s="70"/>
      <x:c r="M425" s="70" t="s">
        <x:v>28</x:v>
      </x:c>
      <x:c r="N425" s="71" t="n">
        <x:v>10469327828</x:v>
      </x:c>
      <x:c r="O425" s="72" t="n">
        <x:f aca="0">N425/1000000</x:f>
        <x:v>10469.327828</x:v>
      </x:c>
      <x:c r="P425" s="73" t="n">
        <x:f aca="0">KOHC!F101</x:f>
        <x:v>10469.327828</x:v>
      </x:c>
      <x:c r="Q425" s="70" t="str">
        <x:f aca="0">IF(ABS(O425-P425)&lt;0.000001,"PASS","FAIL")</x:f>
        <x:v>PASS</x:v>
      </x:c>
      <x:c r="R425" s="70" t="s">
        <x:v>27</x:v>
      </x:c>
      <x:c r="S425" s="70"/>
    </x:row>
    <x:row r="426" ht="15" hidden="0">
      <x:c r="A426" s="70" t="s">
        <x:v>1184</x:v>
      </x:c>
      <x:c r="B426" s="70" t="s">
        <x:v>24</x:v>
      </x:c>
      <x:c r="C426" s="70" t="s">
        <x:v>104</x:v>
      </x:c>
      <x:c r="D426" s="70" t="s">
        <x:v>258</x:v>
      </x:c>
      <x:c r="E426" s="70" t="s">
        <x:v>1106</x:v>
      </x:c>
      <x:c r="F426" s="70" t="s">
        <x:v>1183</x:v>
      </x:c>
      <x:c r="G426" s="70" t="s">
        <x:v>848</x:v>
      </x:c>
      <x:c r="H426" s="70" t="s">
        <x:v>849</x:v>
      </x:c>
      <x:c r="I426" s="70" t="s">
        <x:v>833</x:v>
      </x:c>
      <x:c r="J426" s="70" t="n">
        <x:v>70</x:v>
      </x:c>
      <x:c r="K426" s="70" t="s">
        <x:v>1111</x:v>
      </x:c>
      <x:c r="L426" s="70"/>
      <x:c r="M426" s="70" t="s">
        <x:v>28</x:v>
      </x:c>
      <x:c r="N426" s="71" t="n">
        <x:v>13776285100</x:v>
      </x:c>
      <x:c r="O426" s="72" t="n">
        <x:f aca="0">N426/1000000</x:f>
        <x:v>13776.2851</x:v>
      </x:c>
      <x:c r="P426" s="73" t="n">
        <x:f aca="0">KOHC!G101</x:f>
        <x:v>13776.2851</x:v>
      </x:c>
      <x:c r="Q426" s="70" t="str">
        <x:f aca="0">IF(ABS(O426-P426)&lt;0.000001,"PASS","FAIL")</x:f>
        <x:v>PASS</x:v>
      </x:c>
      <x:c r="R426" s="70" t="s">
        <x:v>27</x:v>
      </x:c>
      <x:c r="S426" s="70"/>
    </x:row>
    <x:row r="427" ht="15" hidden="0">
      <x:c r="A427" s="70" t="s">
        <x:v>1185</x:v>
      </x:c>
      <x:c r="B427" s="70" t="s">
        <x:v>24</x:v>
      </x:c>
      <x:c r="C427" s="70" t="s">
        <x:v>105</x:v>
      </x:c>
      <x:c r="D427" s="70" t="s">
        <x:v>258</x:v>
      </x:c>
      <x:c r="E427" s="70" t="s">
        <x:v>1106</x:v>
      </x:c>
      <x:c r="F427" s="70" t="s">
        <x:v>1183</x:v>
      </x:c>
      <x:c r="G427" s="70" t="s">
        <x:v>848</x:v>
      </x:c>
      <x:c r="H427" s="70" t="s">
        <x:v>849</x:v>
      </x:c>
      <x:c r="I427" s="70" t="s">
        <x:v>852</x:v>
      </x:c>
      <x:c r="J427" s="70" t="n">
        <x:v>70</x:v>
      </x:c>
      <x:c r="K427" s="70" t="s">
        <x:v>1111</x:v>
      </x:c>
      <x:c r="L427" s="70"/>
      <x:c r="M427" s="70" t="s">
        <x:v>28</x:v>
      </x:c>
      <x:c r="N427" s="71" t="n">
        <x:v>17746823417</x:v>
      </x:c>
      <x:c r="O427" s="72" t="n">
        <x:f aca="0">N427/1000000</x:f>
        <x:v>17746.823417</x:v>
      </x:c>
      <x:c r="P427" s="73" t="n">
        <x:f aca="0">KOHC!H101</x:f>
        <x:v>17746.823417</x:v>
      </x:c>
      <x:c r="Q427" s="70" t="str">
        <x:f aca="0">IF(ABS(O427-P427)&lt;0.000001,"PASS","FAIL")</x:f>
        <x:v>PASS</x:v>
      </x:c>
      <x:c r="R427" s="70" t="s">
        <x:v>27</x:v>
      </x:c>
      <x:c r="S427" s="70"/>
    </x:row>
    <x:row r="428" ht="15" hidden="0">
      <x:c r="A428" s="70" t="s">
        <x:v>1186</x:v>
      </x:c>
      <x:c r="B428" s="70" t="s">
        <x:v>24</x:v>
      </x:c>
      <x:c r="C428" s="70" t="s">
        <x:v>101</x:v>
      </x:c>
      <x:c r="D428" s="70" t="s">
        <x:v>260</x:v>
      </x:c>
      <x:c r="E428" s="70" t="s">
        <x:v>1106</x:v>
      </x:c>
      <x:c r="F428" s="70" t="s">
        <x:v>1187</x:v>
      </x:c>
      <x:c r="G428" s="70" t="s">
        <x:v>837</x:v>
      </x:c>
      <x:c r="H428" s="70" t="s">
        <x:v>838</x:v>
      </x:c>
      <x:c r="I428" s="70" t="s">
        <x:v>833</x:v>
      </x:c>
      <x:c r="J428" s="70" t="n">
        <x:v>54</x:v>
      </x:c>
      <x:c r="K428" s="70" t="s">
        <x:v>864</x:v>
      </x:c>
      <x:c r="L428" s="70"/>
      <x:c r="M428" s="70" t="s">
        <x:v>28</x:v>
      </x:c>
      <x:c r="N428" s="71" t="n">
        <x:v>3497507247</x:v>
      </x:c>
      <x:c r="O428" s="72" t="n">
        <x:f aca="0">N428/1000000</x:f>
        <x:v>3497.507247</x:v>
      </x:c>
      <x:c r="P428" s="73" t="n">
        <x:f aca="0">KOHC!D102</x:f>
        <x:v>3497.507247</x:v>
      </x:c>
      <x:c r="Q428" s="70" t="str">
        <x:f aca="0">IF(ABS(O428-P428)&lt;0.000001,"PASS","FAIL")</x:f>
        <x:v>PASS</x:v>
      </x:c>
      <x:c r="R428" s="70" t="s">
        <x:v>27</x:v>
      </x:c>
      <x:c r="S428" s="70"/>
    </x:row>
    <x:row r="429" ht="15" hidden="0">
      <x:c r="A429" s="70" t="s">
        <x:v>1188</x:v>
      </x:c>
      <x:c r="B429" s="70" t="s">
        <x:v>24</x:v>
      </x:c>
      <x:c r="C429" s="70" t="s">
        <x:v>102</x:v>
      </x:c>
      <x:c r="D429" s="70" t="s">
        <x:v>260</x:v>
      </x:c>
      <x:c r="E429" s="70" t="s">
        <x:v>1106</x:v>
      </x:c>
      <x:c r="F429" s="70" t="s">
        <x:v>1187</x:v>
      </x:c>
      <x:c r="G429" s="70" t="s">
        <x:v>841</x:v>
      </x:c>
      <x:c r="H429" s="70" t="s">
        <x:v>842</x:v>
      </x:c>
      <x:c r="I429" s="70" t="s">
        <x:v>833</x:v>
      </x:c>
      <x:c r="J429" s="70" t="n">
        <x:v>54</x:v>
      </x:c>
      <x:c r="K429" s="70" t="s">
        <x:v>864</x:v>
      </x:c>
      <x:c r="L429" s="70"/>
      <x:c r="M429" s="70" t="s">
        <x:v>28</x:v>
      </x:c>
      <x:c r="N429" s="71" t="n">
        <x:v>5024280260</x:v>
      </x:c>
      <x:c r="O429" s="72" t="n">
        <x:f aca="0">N429/1000000</x:f>
        <x:v>5024.28026</x:v>
      </x:c>
      <x:c r="P429" s="73" t="n">
        <x:f aca="0">KOHC!E102</x:f>
        <x:v>5024.28026</x:v>
      </x:c>
      <x:c r="Q429" s="70" t="str">
        <x:f aca="0">IF(ABS(O429-P429)&lt;0.000001,"PASS","FAIL")</x:f>
        <x:v>PASS</x:v>
      </x:c>
      <x:c r="R429" s="70" t="s">
        <x:v>27</x:v>
      </x:c>
      <x:c r="S429" s="70"/>
    </x:row>
    <x:row r="430" ht="15" hidden="0">
      <x:c r="A430" s="70" t="s">
        <x:v>1189</x:v>
      </x:c>
      <x:c r="B430" s="70" t="s">
        <x:v>24</x:v>
      </x:c>
      <x:c r="C430" s="70" t="s">
        <x:v>103</x:v>
      </x:c>
      <x:c r="D430" s="70" t="s">
        <x:v>260</x:v>
      </x:c>
      <x:c r="E430" s="70" t="s">
        <x:v>1106</x:v>
      </x:c>
      <x:c r="F430" s="70" t="s">
        <x:v>1187</x:v>
      </x:c>
      <x:c r="G430" s="70" t="s">
        <x:v>844</x:v>
      </x:c>
      <x:c r="H430" s="70" t="s">
        <x:v>845</x:v>
      </x:c>
      <x:c r="I430" s="70" t="s">
        <x:v>833</x:v>
      </x:c>
      <x:c r="J430" s="70" t="n">
        <x:v>60</x:v>
      </x:c>
      <x:c r="K430" s="70" t="s">
        <x:v>864</x:v>
      </x:c>
      <x:c r="L430" s="70"/>
      <x:c r="M430" s="70" t="s">
        <x:v>28</x:v>
      </x:c>
      <x:c r="N430" s="71" t="n">
        <x:v>5820751145</x:v>
      </x:c>
      <x:c r="O430" s="72" t="n">
        <x:f aca="0">N430/1000000</x:f>
        <x:v>5820.751145</x:v>
      </x:c>
      <x:c r="P430" s="73" t="n">
        <x:f aca="0">KOHC!F102</x:f>
        <x:v>5820.751145</x:v>
      </x:c>
      <x:c r="Q430" s="70" t="str">
        <x:f aca="0">IF(ABS(O430-P430)&lt;0.000001,"PASS","FAIL")</x:f>
        <x:v>PASS</x:v>
      </x:c>
      <x:c r="R430" s="70" t="s">
        <x:v>27</x:v>
      </x:c>
      <x:c r="S430" s="70"/>
    </x:row>
    <x:row r="431" ht="15" hidden="0">
      <x:c r="A431" s="70" t="s">
        <x:v>1190</x:v>
      </x:c>
      <x:c r="B431" s="70" t="s">
        <x:v>24</x:v>
      </x:c>
      <x:c r="C431" s="70" t="s">
        <x:v>104</x:v>
      </x:c>
      <x:c r="D431" s="70" t="s">
        <x:v>260</x:v>
      </x:c>
      <x:c r="E431" s="70" t="s">
        <x:v>1106</x:v>
      </x:c>
      <x:c r="F431" s="70" t="s">
        <x:v>1187</x:v>
      </x:c>
      <x:c r="G431" s="70" t="s">
        <x:v>848</x:v>
      </x:c>
      <x:c r="H431" s="70" t="s">
        <x:v>849</x:v>
      </x:c>
      <x:c r="I431" s="70" t="s">
        <x:v>833</x:v>
      </x:c>
      <x:c r="J431" s="70" t="n">
        <x:v>70</x:v>
      </x:c>
      <x:c r="K431" s="70" t="s">
        <x:v>1111</x:v>
      </x:c>
      <x:c r="L431" s="70"/>
      <x:c r="M431" s="70" t="s">
        <x:v>28</x:v>
      </x:c>
      <x:c r="N431" s="71" t="n">
        <x:v>8893454787</x:v>
      </x:c>
      <x:c r="O431" s="72" t="n">
        <x:f aca="0">N431/1000000</x:f>
        <x:v>8893.454787</x:v>
      </x:c>
      <x:c r="P431" s="73" t="n">
        <x:f aca="0">KOHC!G102</x:f>
        <x:v>8893.454787</x:v>
      </x:c>
      <x:c r="Q431" s="70" t="str">
        <x:f aca="0">IF(ABS(O431-P431)&lt;0.000001,"PASS","FAIL")</x:f>
        <x:v>PASS</x:v>
      </x:c>
      <x:c r="R431" s="70" t="s">
        <x:v>27</x:v>
      </x:c>
      <x:c r="S431" s="70"/>
    </x:row>
    <x:row r="432" ht="15" hidden="0">
      <x:c r="A432" s="70" t="s">
        <x:v>1191</x:v>
      </x:c>
      <x:c r="B432" s="70" t="s">
        <x:v>24</x:v>
      </x:c>
      <x:c r="C432" s="70" t="s">
        <x:v>105</x:v>
      </x:c>
      <x:c r="D432" s="70" t="s">
        <x:v>260</x:v>
      </x:c>
      <x:c r="E432" s="70" t="s">
        <x:v>1106</x:v>
      </x:c>
      <x:c r="F432" s="70" t="s">
        <x:v>1187</x:v>
      </x:c>
      <x:c r="G432" s="70" t="s">
        <x:v>848</x:v>
      </x:c>
      <x:c r="H432" s="70" t="s">
        <x:v>849</x:v>
      </x:c>
      <x:c r="I432" s="70" t="s">
        <x:v>852</x:v>
      </x:c>
      <x:c r="J432" s="70" t="n">
        <x:v>70</x:v>
      </x:c>
      <x:c r="K432" s="70" t="s">
        <x:v>1111</x:v>
      </x:c>
      <x:c r="L432" s="70"/>
      <x:c r="M432" s="70" t="s">
        <x:v>28</x:v>
      </x:c>
      <x:c r="N432" s="71" t="n">
        <x:v>11575154071</x:v>
      </x:c>
      <x:c r="O432" s="72" t="n">
        <x:f aca="0">N432/1000000</x:f>
        <x:v>11575.154071</x:v>
      </x:c>
      <x:c r="P432" s="73" t="n">
        <x:f aca="0">KOHC!H102</x:f>
        <x:v>11575.154071</x:v>
      </x:c>
      <x:c r="Q432" s="70" t="str">
        <x:f aca="0">IF(ABS(O432-P432)&lt;0.000001,"PASS","FAIL")</x:f>
        <x:v>PASS</x:v>
      </x:c>
      <x:c r="R432" s="70" t="s">
        <x:v>27</x:v>
      </x:c>
      <x:c r="S432" s="70"/>
    </x:row>
    <x:row r="433" ht="15" hidden="0">
      <x:c r="A433" s="70" t="s">
        <x:v>1192</x:v>
      </x:c>
      <x:c r="B433" s="70" t="s">
        <x:v>24</x:v>
      </x:c>
      <x:c r="C433" s="70" t="s">
        <x:v>101</x:v>
      </x:c>
      <x:c r="D433" s="70" t="s">
        <x:v>264</x:v>
      </x:c>
      <x:c r="E433" s="70" t="s">
        <x:v>855</x:v>
      </x:c>
      <x:c r="F433" s="70" t="s">
        <x:v>1193</x:v>
      </x:c>
      <x:c r="G433" s="70" t="s">
        <x:v>837</x:v>
      </x:c>
      <x:c r="H433" s="70" t="s">
        <x:v>838</x:v>
      </x:c>
      <x:c r="I433" s="70" t="s">
        <x:v>833</x:v>
      </x:c>
      <x:c r="J433" s="70" t="n">
        <x:v>94</x:v>
      </x:c>
      <x:c r="K433" s="70" t="s">
        <x:v>1194</x:v>
      </x:c>
      <x:c r="L433" s="70"/>
      <x:c r="M433" s="70" t="s">
        <x:v>28</x:v>
      </x:c>
      <x:c r="N433" s="71" t="n">
        <x:v>26751082</x:v>
      </x:c>
      <x:c r="O433" s="72" t="n">
        <x:f aca="0">N433/1000000</x:f>
        <x:v>26.751082</x:v>
      </x:c>
      <x:c r="P433" s="73" t="n">
        <x:f aca="0">KOHC!D105</x:f>
        <x:v>26.751082</x:v>
      </x:c>
      <x:c r="Q433" s="70" t="str">
        <x:f aca="0">IF(ABS(O433-P433)&lt;0.000001,"PASS","FAIL")</x:f>
        <x:v>PASS</x:v>
      </x:c>
      <x:c r="R433" s="70" t="s">
        <x:v>27</x:v>
      </x:c>
      <x:c r="S433" s="70"/>
    </x:row>
    <x:row r="434" ht="15" hidden="0">
      <x:c r="A434" s="70" t="s">
        <x:v>1195</x:v>
      </x:c>
      <x:c r="B434" s="70" t="s">
        <x:v>24</x:v>
      </x:c>
      <x:c r="C434" s="70" t="s">
        <x:v>102</x:v>
      </x:c>
      <x:c r="D434" s="70" t="s">
        <x:v>264</x:v>
      </x:c>
      <x:c r="E434" s="70" t="s">
        <x:v>855</x:v>
      </x:c>
      <x:c r="F434" s="70" t="s">
        <x:v>1193</x:v>
      </x:c>
      <x:c r="G434" s="70" t="s">
        <x:v>841</x:v>
      </x:c>
      <x:c r="H434" s="70" t="s">
        <x:v>842</x:v>
      </x:c>
      <x:c r="I434" s="70" t="s">
        <x:v>833</x:v>
      </x:c>
      <x:c r="J434" s="70" t="n">
        <x:v>92</x:v>
      </x:c>
      <x:c r="K434" s="70" t="s">
        <x:v>1196</x:v>
      </x:c>
      <x:c r="L434" s="70"/>
      <x:c r="M434" s="70" t="s">
        <x:v>28</x:v>
      </x:c>
      <x:c r="N434" s="71" t="n">
        <x:v>22374466</x:v>
      </x:c>
      <x:c r="O434" s="72" t="n">
        <x:f aca="0">N434/1000000</x:f>
        <x:v>22.374466</x:v>
      </x:c>
      <x:c r="P434" s="73" t="n">
        <x:f aca="0">KOHC!E105</x:f>
        <x:v>22.374466</x:v>
      </x:c>
      <x:c r="Q434" s="70" t="str">
        <x:f aca="0">IF(ABS(O434-P434)&lt;0.000001,"PASS","FAIL")</x:f>
        <x:v>PASS</x:v>
      </x:c>
      <x:c r="R434" s="70" t="s">
        <x:v>27</x:v>
      </x:c>
      <x:c r="S434" s="70"/>
    </x:row>
    <x:row r="435" ht="15" hidden="0">
      <x:c r="A435" s="70" t="s">
        <x:v>1197</x:v>
      </x:c>
      <x:c r="B435" s="70" t="s">
        <x:v>24</x:v>
      </x:c>
      <x:c r="C435" s="70" t="s">
        <x:v>103</x:v>
      </x:c>
      <x:c r="D435" s="70" t="s">
        <x:v>264</x:v>
      </x:c>
      <x:c r="E435" s="70" t="s">
        <x:v>855</x:v>
      </x:c>
      <x:c r="F435" s="70" t="s">
        <x:v>1193</x:v>
      </x:c>
      <x:c r="G435" s="70" t="s">
        <x:v>844</x:v>
      </x:c>
      <x:c r="H435" s="70" t="s">
        <x:v>845</x:v>
      </x:c>
      <x:c r="I435" s="70" t="s">
        <x:v>833</x:v>
      </x:c>
      <x:c r="J435" s="70" t="n">
        <x:v>100</x:v>
      </x:c>
      <x:c r="K435" s="70" t="s">
        <x:v>1198</x:v>
      </x:c>
      <x:c r="L435" s="70"/>
      <x:c r="M435" s="70" t="s">
        <x:v>28</x:v>
      </x:c>
      <x:c r="N435" s="71" t="n">
        <x:v>56744443</x:v>
      </x:c>
      <x:c r="O435" s="72" t="n">
        <x:f aca="0">N435/1000000</x:f>
        <x:v>56.744443</x:v>
      </x:c>
      <x:c r="P435" s="73" t="n">
        <x:f aca="0">KOHC!F105</x:f>
        <x:v>56.744443</x:v>
      </x:c>
      <x:c r="Q435" s="70" t="str">
        <x:f aca="0">IF(ABS(O435-P435)&lt;0.000001,"PASS","FAIL")</x:f>
        <x:v>PASS</x:v>
      </x:c>
      <x:c r="R435" s="70" t="s">
        <x:v>27</x:v>
      </x:c>
      <x:c r="S435" s="70"/>
    </x:row>
    <x:row r="436" ht="15" hidden="0">
      <x:c r="A436" s="70" t="s">
        <x:v>1199</x:v>
      </x:c>
      <x:c r="B436" s="70" t="s">
        <x:v>24</x:v>
      </x:c>
      <x:c r="C436" s="70" t="s">
        <x:v>104</x:v>
      </x:c>
      <x:c r="D436" s="70" t="s">
        <x:v>264</x:v>
      </x:c>
      <x:c r="E436" s="70" t="s">
        <x:v>855</x:v>
      </x:c>
      <x:c r="F436" s="70" t="s">
        <x:v>1193</x:v>
      </x:c>
      <x:c r="G436" s="70" t="s">
        <x:v>848</x:v>
      </x:c>
      <x:c r="H436" s="70" t="s">
        <x:v>849</x:v>
      </x:c>
      <x:c r="I436" s="70" t="s">
        <x:v>833</x:v>
      </x:c>
      <x:c r="J436" s="70" t="n">
        <x:v>108</x:v>
      </x:c>
      <x:c r="K436" s="70" t="s">
        <x:v>1200</x:v>
      </x:c>
      <x:c r="L436" s="70"/>
      <x:c r="M436" s="70" t="s">
        <x:v>28</x:v>
      </x:c>
      <x:c r="N436" s="71" t="n">
        <x:v>31196710</x:v>
      </x:c>
      <x:c r="O436" s="72" t="n">
        <x:f aca="0">N436/1000000</x:f>
        <x:v>31.19671</x:v>
      </x:c>
      <x:c r="P436" s="73" t="n">
        <x:f aca="0">KOHC!G105</x:f>
        <x:v>31.19671</x:v>
      </x:c>
      <x:c r="Q436" s="70" t="str">
        <x:f aca="0">IF(ABS(O436-P436)&lt;0.000001,"PASS","FAIL")</x:f>
        <x:v>PASS</x:v>
      </x:c>
      <x:c r="R436" s="70" t="s">
        <x:v>27</x:v>
      </x:c>
      <x:c r="S436" s="70"/>
    </x:row>
    <x:row r="437" ht="15" hidden="0">
      <x:c r="A437" s="70" t="s">
        <x:v>1201</x:v>
      </x:c>
      <x:c r="B437" s="70" t="s">
        <x:v>24</x:v>
      </x:c>
      <x:c r="C437" s="70" t="s">
        <x:v>105</x:v>
      </x:c>
      <x:c r="D437" s="70" t="s">
        <x:v>264</x:v>
      </x:c>
      <x:c r="E437" s="70" t="s">
        <x:v>855</x:v>
      </x:c>
      <x:c r="F437" s="70" t="s">
        <x:v>1193</x:v>
      </x:c>
      <x:c r="G437" s="70" t="s">
        <x:v>848</x:v>
      </x:c>
      <x:c r="H437" s="70" t="s">
        <x:v>849</x:v>
      </x:c>
      <x:c r="I437" s="70" t="s">
        <x:v>852</x:v>
      </x:c>
      <x:c r="J437" s="70" t="n">
        <x:v>108</x:v>
      </x:c>
      <x:c r="K437" s="70" t="s">
        <x:v>1200</x:v>
      </x:c>
      <x:c r="L437" s="70"/>
      <x:c r="M437" s="70" t="s">
        <x:v>28</x:v>
      </x:c>
      <x:c r="N437" s="71" t="n">
        <x:v>43699977</x:v>
      </x:c>
      <x:c r="O437" s="72" t="n">
        <x:f aca="0">N437/1000000</x:f>
        <x:v>43.699977</x:v>
      </x:c>
      <x:c r="P437" s="73" t="n">
        <x:f aca="0">KOHC!H105</x:f>
        <x:v>43.699977</x:v>
      </x:c>
      <x:c r="Q437" s="70" t="str">
        <x:f aca="0">IF(ABS(O437-P437)&lt;0.000001,"PASS","FAIL")</x:f>
        <x:v>PASS</x:v>
      </x:c>
      <x:c r="R437" s="70" t="s">
        <x:v>27</x:v>
      </x:c>
      <x:c r="S437" s="70"/>
    </x:row>
    <x:row r="438" ht="15" hidden="0">
      <x:c r="A438" s="70" t="s">
        <x:v>1202</x:v>
      </x:c>
      <x:c r="B438" s="70" t="s">
        <x:v>24</x:v>
      </x:c>
      <x:c r="C438" s="70" t="s">
        <x:v>101</x:v>
      </x:c>
      <x:c r="D438" s="70" t="s">
        <x:v>268</x:v>
      </x:c>
      <x:c r="E438" s="70" t="s">
        <x:v>1203</x:v>
      </x:c>
      <x:c r="F438" s="70" t="s">
        <x:v>1204</x:v>
      </x:c>
      <x:c r="G438" s="70" t="s">
        <x:v>837</x:v>
      </x:c>
      <x:c r="H438" s="70" t="s">
        <x:v>838</x:v>
      </x:c>
      <x:c r="I438" s="70" t="s">
        <x:v>833</x:v>
      </x:c>
      <x:c r="J438" s="70" t="n">
        <x:v>95</x:v>
      </x:c>
      <x:c r="K438" s="70" t="s">
        <x:v>834</x:v>
      </x:c>
      <x:c r="L438" s="70"/>
      <x:c r="M438" s="70" t="s">
        <x:v>28</x:v>
      </x:c>
      <x:c r="N438" s="71" t="n">
        <x:v>1230692701</x:v>
      </x:c>
      <x:c r="O438" s="72" t="n">
        <x:f aca="0">N438/1000000</x:f>
        <x:v>1230.692701</x:v>
      </x:c>
      <x:c r="P438" s="73" t="n">
        <x:f aca="0">KOHC!D107</x:f>
        <x:v>1230.692701</x:v>
      </x:c>
      <x:c r="Q438" s="70" t="str">
        <x:f aca="0">IF(ABS(O438-P438)&lt;0.000001,"PASS","FAIL")</x:f>
        <x:v>PASS</x:v>
      </x:c>
      <x:c r="R438" s="70" t="s">
        <x:v>27</x:v>
      </x:c>
      <x:c r="S438" s="70"/>
    </x:row>
    <x:row r="439" ht="15" hidden="0">
      <x:c r="A439" s="70" t="s">
        <x:v>1205</x:v>
      </x:c>
      <x:c r="B439" s="70" t="s">
        <x:v>24</x:v>
      </x:c>
      <x:c r="C439" s="70" t="s">
        <x:v>102</x:v>
      </x:c>
      <x:c r="D439" s="70" t="s">
        <x:v>268</x:v>
      </x:c>
      <x:c r="E439" s="70" t="s">
        <x:v>1203</x:v>
      </x:c>
      <x:c r="F439" s="70" t="s">
        <x:v>1204</x:v>
      </x:c>
      <x:c r="G439" s="70" t="s">
        <x:v>841</x:v>
      </x:c>
      <x:c r="H439" s="70" t="s">
        <x:v>842</x:v>
      </x:c>
      <x:c r="I439" s="70" t="s">
        <x:v>833</x:v>
      </x:c>
      <x:c r="J439" s="70" t="n">
        <x:v>93</x:v>
      </x:c>
      <x:c r="K439" s="70" t="s">
        <x:v>834</x:v>
      </x:c>
      <x:c r="L439" s="70"/>
      <x:c r="M439" s="70" t="s">
        <x:v>28</x:v>
      </x:c>
      <x:c r="N439" s="71" t="n">
        <x:v>1118109816</x:v>
      </x:c>
      <x:c r="O439" s="72" t="n">
        <x:f aca="0">N439/1000000</x:f>
        <x:v>1118.109816</x:v>
      </x:c>
      <x:c r="P439" s="73" t="n">
        <x:f aca="0">KOHC!E107</x:f>
        <x:v>1118.109816</x:v>
      </x:c>
      <x:c r="Q439" s="70" t="str">
        <x:f aca="0">IF(ABS(O439-P439)&lt;0.000001,"PASS","FAIL")</x:f>
        <x:v>PASS</x:v>
      </x:c>
      <x:c r="R439" s="70" t="s">
        <x:v>27</x:v>
      </x:c>
      <x:c r="S439" s="70"/>
    </x:row>
    <x:row r="440" ht="15" hidden="0">
      <x:c r="A440" s="70" t="s">
        <x:v>1206</x:v>
      </x:c>
      <x:c r="B440" s="70" t="s">
        <x:v>24</x:v>
      </x:c>
      <x:c r="C440" s="70" t="s">
        <x:v>103</x:v>
      </x:c>
      <x:c r="D440" s="70" t="s">
        <x:v>268</x:v>
      </x:c>
      <x:c r="E440" s="70" t="s">
        <x:v>1203</x:v>
      </x:c>
      <x:c r="F440" s="70" t="s">
        <x:v>1204</x:v>
      </x:c>
      <x:c r="G440" s="70" t="s">
        <x:v>844</x:v>
      </x:c>
      <x:c r="H440" s="70" t="s">
        <x:v>845</x:v>
      </x:c>
      <x:c r="I440" s="70" t="s">
        <x:v>833</x:v>
      </x:c>
      <x:c r="J440" s="70" t="n">
        <x:v>102</x:v>
      </x:c>
      <x:c r="K440" s="70" t="s">
        <x:v>1207</x:v>
      </x:c>
      <x:c r="L440" s="70"/>
      <x:c r="M440" s="70" t="s">
        <x:v>28</x:v>
      </x:c>
      <x:c r="N440" s="71" t="n">
        <x:v>1116013390</x:v>
      </x:c>
      <x:c r="O440" s="72" t="n">
        <x:f aca="0">N440/1000000</x:f>
        <x:v>1116.01339</x:v>
      </x:c>
      <x:c r="P440" s="73" t="n">
        <x:f aca="0">KOHC!F107</x:f>
        <x:v>1116.01339</x:v>
      </x:c>
      <x:c r="Q440" s="70" t="str">
        <x:f aca="0">IF(ABS(O440-P440)&lt;0.000001,"PASS","FAIL")</x:f>
        <x:v>PASS</x:v>
      </x:c>
      <x:c r="R440" s="70" t="s">
        <x:v>27</x:v>
      </x:c>
      <x:c r="S440" s="70"/>
    </x:row>
    <x:row r="441" ht="15" hidden="0">
      <x:c r="A441" s="70" t="s">
        <x:v>1208</x:v>
      </x:c>
      <x:c r="B441" s="70" t="s">
        <x:v>24</x:v>
      </x:c>
      <x:c r="C441" s="70" t="s">
        <x:v>104</x:v>
      </x:c>
      <x:c r="D441" s="70" t="s">
        <x:v>268</x:v>
      </x:c>
      <x:c r="E441" s="70" t="s">
        <x:v>1203</x:v>
      </x:c>
      <x:c r="F441" s="70" t="s">
        <x:v>1204</x:v>
      </x:c>
      <x:c r="G441" s="70" t="s">
        <x:v>848</x:v>
      </x:c>
      <x:c r="H441" s="70" t="s">
        <x:v>849</x:v>
      </x:c>
      <x:c r="I441" s="70" t="s">
        <x:v>833</x:v>
      </x:c>
      <x:c r="J441" s="70" t="n">
        <x:v>110</x:v>
      </x:c>
      <x:c r="K441" s="70" t="s">
        <x:v>1209</x:v>
      </x:c>
      <x:c r="L441" s="70"/>
      <x:c r="M441" s="70" t="s">
        <x:v>28</x:v>
      </x:c>
      <x:c r="N441" s="71" t="n">
        <x:v>1182787174</x:v>
      </x:c>
      <x:c r="O441" s="72" t="n">
        <x:f aca="0">N441/1000000</x:f>
        <x:v>1182.787174</x:v>
      </x:c>
      <x:c r="P441" s="73" t="n">
        <x:f aca="0">KOHC!G107</x:f>
        <x:v>1182.787174</x:v>
      </x:c>
      <x:c r="Q441" s="70" t="str">
        <x:f aca="0">IF(ABS(O441-P441)&lt;0.000001,"PASS","FAIL")</x:f>
        <x:v>PASS</x:v>
      </x:c>
      <x:c r="R441" s="70" t="s">
        <x:v>27</x:v>
      </x:c>
      <x:c r="S441" s="70"/>
    </x:row>
    <x:row r="442" ht="15" hidden="0">
      <x:c r="A442" s="70" t="s">
        <x:v>1210</x:v>
      </x:c>
      <x:c r="B442" s="70" t="s">
        <x:v>24</x:v>
      </x:c>
      <x:c r="C442" s="70" t="s">
        <x:v>105</x:v>
      </x:c>
      <x:c r="D442" s="70" t="s">
        <x:v>268</x:v>
      </x:c>
      <x:c r="E442" s="70" t="s">
        <x:v>1203</x:v>
      </x:c>
      <x:c r="F442" s="70" t="s">
        <x:v>1204</x:v>
      </x:c>
      <x:c r="G442" s="70" t="s">
        <x:v>848</x:v>
      </x:c>
      <x:c r="H442" s="70" t="s">
        <x:v>849</x:v>
      </x:c>
      <x:c r="I442" s="70" t="s">
        <x:v>852</x:v>
      </x:c>
      <x:c r="J442" s="70" t="n">
        <x:v>110</x:v>
      </x:c>
      <x:c r="K442" s="70" t="s">
        <x:v>1209</x:v>
      </x:c>
      <x:c r="L442" s="70"/>
      <x:c r="M442" s="70" t="s">
        <x:v>28</x:v>
      </x:c>
      <x:c r="N442" s="71" t="n">
        <x:v>1264994747</x:v>
      </x:c>
      <x:c r="O442" s="72" t="n">
        <x:f aca="0">N442/1000000</x:f>
        <x:v>1264.994747</x:v>
      </x:c>
      <x:c r="P442" s="73" t="n">
        <x:f aca="0">KOHC!H107</x:f>
        <x:v>1264.994747</x:v>
      </x:c>
      <x:c r="Q442" s="70" t="str">
        <x:f aca="0">IF(ABS(O442-P442)&lt;0.000001,"PASS","FAIL")</x:f>
        <x:v>PASS</x:v>
      </x:c>
      <x:c r="R442" s="70" t="s">
        <x:v>27</x:v>
      </x:c>
      <x:c r="S442" s="70"/>
    </x:row>
    <x:row r="443" ht="15" hidden="0">
      <x:c r="A443" s="70" t="s">
        <x:v>1211</x:v>
      </x:c>
      <x:c r="B443" s="70" t="s">
        <x:v>24</x:v>
      </x:c>
      <x:c r="C443" s="70" t="s">
        <x:v>101</x:v>
      </x:c>
      <x:c r="D443" s="70" t="s">
        <x:v>283</x:v>
      </x:c>
      <x:c r="E443" s="70" t="s">
        <x:v>1203</x:v>
      </x:c>
      <x:c r="F443" s="70" t="s">
        <x:v>1212</x:v>
      </x:c>
      <x:c r="G443" s="70" t="s">
        <x:v>837</x:v>
      </x:c>
      <x:c r="H443" s="70" t="s">
        <x:v>838</x:v>
      </x:c>
      <x:c r="I443" s="70" t="s">
        <x:v>833</x:v>
      </x:c>
      <x:c r="J443" s="70" t="n">
        <x:v>57</x:v>
      </x:c>
      <x:c r="K443" s="70" t="s">
        <x:v>864</x:v>
      </x:c>
      <x:c r="L443" s="70"/>
      <x:c r="M443" s="70" t="s">
        <x:v>28</x:v>
      </x:c>
      <x:c r="N443" s="71" t="n">
        <x:v>6012030743</x:v>
      </x:c>
      <x:c r="O443" s="72" t="n">
        <x:f aca="0">N443/1000000</x:f>
        <x:v>6012.030743</x:v>
      </x:c>
      <x:c r="P443" s="73" t="n">
        <x:f aca="0">KOHC!D116</x:f>
        <x:v>6012.030743</x:v>
      </x:c>
      <x:c r="Q443" s="70" t="str">
        <x:f aca="0">IF(ABS(O443-P443)&lt;0.000001,"PASS","FAIL")</x:f>
        <x:v>PASS</x:v>
      </x:c>
      <x:c r="R443" s="70" t="s">
        <x:v>27</x:v>
      </x:c>
      <x:c r="S443" s="70"/>
    </x:row>
    <x:row r="444" ht="15" hidden="0">
      <x:c r="A444" s="70" t="s">
        <x:v>1213</x:v>
      </x:c>
      <x:c r="B444" s="70" t="s">
        <x:v>24</x:v>
      </x:c>
      <x:c r="C444" s="70" t="s">
        <x:v>102</x:v>
      </x:c>
      <x:c r="D444" s="70" t="s">
        <x:v>283</x:v>
      </x:c>
      <x:c r="E444" s="70" t="s">
        <x:v>1203</x:v>
      </x:c>
      <x:c r="F444" s="70" t="s">
        <x:v>1212</x:v>
      </x:c>
      <x:c r="G444" s="70" t="s">
        <x:v>841</x:v>
      </x:c>
      <x:c r="H444" s="70" t="s">
        <x:v>842</x:v>
      </x:c>
      <x:c r="I444" s="70" t="s">
        <x:v>833</x:v>
      </x:c>
      <x:c r="J444" s="70" t="n">
        <x:v>57</x:v>
      </x:c>
      <x:c r="K444" s="70" t="s">
        <x:v>864</x:v>
      </x:c>
      <x:c r="L444" s="70"/>
      <x:c r="M444" s="70" t="s">
        <x:v>28</x:v>
      </x:c>
      <x:c r="N444" s="71" t="n">
        <x:v>9429252992</x:v>
      </x:c>
      <x:c r="O444" s="72" t="n">
        <x:f aca="0">N444/1000000</x:f>
        <x:v>9429.252992</x:v>
      </x:c>
      <x:c r="P444" s="73" t="n">
        <x:f aca="0">KOHC!E116</x:f>
        <x:v>9429.252992</x:v>
      </x:c>
      <x:c r="Q444" s="70" t="str">
        <x:f aca="0">IF(ABS(O444-P444)&lt;0.000001,"PASS","FAIL")</x:f>
        <x:v>PASS</x:v>
      </x:c>
      <x:c r="R444" s="70" t="s">
        <x:v>27</x:v>
      </x:c>
      <x:c r="S444" s="70"/>
    </x:row>
    <x:row r="445" ht="15" hidden="0">
      <x:c r="A445" s="70" t="s">
        <x:v>1214</x:v>
      </x:c>
      <x:c r="B445" s="70" t="s">
        <x:v>24</x:v>
      </x:c>
      <x:c r="C445" s="70" t="s">
        <x:v>103</x:v>
      </x:c>
      <x:c r="D445" s="70" t="s">
        <x:v>283</x:v>
      </x:c>
      <x:c r="E445" s="70" t="s">
        <x:v>1203</x:v>
      </x:c>
      <x:c r="F445" s="70" t="s">
        <x:v>1212</x:v>
      </x:c>
      <x:c r="G445" s="70" t="s">
        <x:v>844</x:v>
      </x:c>
      <x:c r="H445" s="70" t="s">
        <x:v>845</x:v>
      </x:c>
      <x:c r="I445" s="70" t="s">
        <x:v>833</x:v>
      </x:c>
      <x:c r="J445" s="70" t="n">
        <x:v>63</x:v>
      </x:c>
      <x:c r="K445" s="70" t="s">
        <x:v>864</x:v>
      </x:c>
      <x:c r="L445" s="70"/>
      <x:c r="M445" s="70" t="s">
        <x:v>28</x:v>
      </x:c>
      <x:c r="N445" s="71" t="n">
        <x:v>7862593209</x:v>
      </x:c>
      <x:c r="O445" s="72" t="n">
        <x:f aca="0">N445/1000000</x:f>
        <x:v>7862.593209</x:v>
      </x:c>
      <x:c r="P445" s="73" t="n">
        <x:f aca="0">KOHC!F116</x:f>
        <x:v>7862.593209</x:v>
      </x:c>
      <x:c r="Q445" s="70" t="str">
        <x:f aca="0">IF(ABS(O445-P445)&lt;0.000001,"PASS","FAIL")</x:f>
        <x:v>PASS</x:v>
      </x:c>
      <x:c r="R445" s="70" t="s">
        <x:v>27</x:v>
      </x:c>
      <x:c r="S445" s="70" t="s">
        <x:v>839</x:v>
      </x:c>
    </x:row>
    <x:row r="446" ht="15" hidden="0">
      <x:c r="A446" s="70" t="s">
        <x:v>1215</x:v>
      </x:c>
      <x:c r="B446" s="70" t="s">
        <x:v>24</x:v>
      </x:c>
      <x:c r="C446" s="70" t="s">
        <x:v>104</x:v>
      </x:c>
      <x:c r="D446" s="70" t="s">
        <x:v>283</x:v>
      </x:c>
      <x:c r="E446" s="70" t="s">
        <x:v>1203</x:v>
      </x:c>
      <x:c r="F446" s="70" t="s">
        <x:v>1212</x:v>
      </x:c>
      <x:c r="G446" s="70" t="s">
        <x:v>848</x:v>
      </x:c>
      <x:c r="H446" s="70" t="s">
        <x:v>849</x:v>
      </x:c>
      <x:c r="I446" s="70" t="s">
        <x:v>833</x:v>
      </x:c>
      <x:c r="J446" s="70" t="n">
        <x:v>73</x:v>
      </x:c>
      <x:c r="K446" s="70" t="s">
        <x:v>834</x:v>
      </x:c>
      <x:c r="L446" s="70"/>
      <x:c r="M446" s="70" t="s">
        <x:v>28</x:v>
      </x:c>
      <x:c r="N446" s="71" t="n">
        <x:v>11482975487</x:v>
      </x:c>
      <x:c r="O446" s="72" t="n">
        <x:f aca="0">N446/1000000</x:f>
        <x:v>11482.975487</x:v>
      </x:c>
      <x:c r="P446" s="73" t="n">
        <x:f aca="0">KOHC!G116</x:f>
        <x:v>11482.975487</x:v>
      </x:c>
      <x:c r="Q446" s="70" t="str">
        <x:f aca="0">IF(ABS(O446-P446)&lt;0.000001,"PASS","FAIL")</x:f>
        <x:v>PASS</x:v>
      </x:c>
      <x:c r="R446" s="70" t="s">
        <x:v>27</x:v>
      </x:c>
      <x:c r="S446" s="70" t="s">
        <x:v>839</x:v>
      </x:c>
    </x:row>
    <x:row r="447" ht="15" hidden="0">
      <x:c r="A447" s="70" t="s">
        <x:v>1216</x:v>
      </x:c>
      <x:c r="B447" s="70" t="s">
        <x:v>24</x:v>
      </x:c>
      <x:c r="C447" s="70" t="s">
        <x:v>105</x:v>
      </x:c>
      <x:c r="D447" s="70" t="s">
        <x:v>283</x:v>
      </x:c>
      <x:c r="E447" s="70" t="s">
        <x:v>1203</x:v>
      </x:c>
      <x:c r="F447" s="70" t="s">
        <x:v>1212</x:v>
      </x:c>
      <x:c r="G447" s="70" t="s">
        <x:v>848</x:v>
      </x:c>
      <x:c r="H447" s="70" t="s">
        <x:v>849</x:v>
      </x:c>
      <x:c r="I447" s="70" t="s">
        <x:v>852</x:v>
      </x:c>
      <x:c r="J447" s="70" t="n">
        <x:v>73</x:v>
      </x:c>
      <x:c r="K447" s="70" t="s">
        <x:v>834</x:v>
      </x:c>
      <x:c r="L447" s="70"/>
      <x:c r="M447" s="70" t="s">
        <x:v>28</x:v>
      </x:c>
      <x:c r="N447" s="71" t="n">
        <x:v>16574725509</x:v>
      </x:c>
      <x:c r="O447" s="72" t="n">
        <x:f aca="0">N447/1000000</x:f>
        <x:v>16574.725509</x:v>
      </x:c>
      <x:c r="P447" s="73" t="n">
        <x:f aca="0">KOHC!H116</x:f>
        <x:v>16574.725509</x:v>
      </x:c>
      <x:c r="Q447" s="70" t="str">
        <x:f aca="0">IF(ABS(O447-P447)&lt;0.000001,"PASS","FAIL")</x:f>
        <x:v>PASS</x:v>
      </x:c>
      <x:c r="R447" s="70" t="s">
        <x:v>27</x:v>
      </x:c>
      <x:c r="S447" s="70"/>
    </x:row>
    <x:row r="448" ht="15" hidden="0">
      <x:c r="A448" s="70" t="s">
        <x:v>1217</x:v>
      </x:c>
      <x:c r="B448" s="70" t="s">
        <x:v>24</x:v>
      </x:c>
      <x:c r="C448" s="70" t="s">
        <x:v>101</x:v>
      </x:c>
      <x:c r="D448" s="70" t="s">
        <x:v>285</x:v>
      </x:c>
      <x:c r="E448" s="70" t="s">
        <x:v>1203</x:v>
      </x:c>
      <x:c r="F448" s="70" t="s">
        <x:v>1218</x:v>
      </x:c>
      <x:c r="G448" s="70" t="s">
        <x:v>837</x:v>
      </x:c>
      <x:c r="H448" s="70" t="s">
        <x:v>838</x:v>
      </x:c>
      <x:c r="I448" s="70" t="s">
        <x:v>833</x:v>
      </x:c>
      <x:c r="J448" s="70" t="n">
        <x:v>57</x:v>
      </x:c>
      <x:c r="K448" s="70" t="s">
        <x:v>864</x:v>
      </x:c>
      <x:c r="L448" s="70"/>
      <x:c r="M448" s="70" t="s">
        <x:v>28</x:v>
      </x:c>
      <x:c r="N448" s="71" t="n">
        <x:v>5089315864</x:v>
      </x:c>
      <x:c r="O448" s="72" t="n">
        <x:f aca="0">N448/1000000</x:f>
        <x:v>5089.315864</x:v>
      </x:c>
      <x:c r="P448" s="73" t="n">
        <x:f aca="0">KOHC!D117</x:f>
        <x:v>5089.315864</x:v>
      </x:c>
      <x:c r="Q448" s="70" t="str">
        <x:f aca="0">IF(ABS(O448-P448)&lt;0.000001,"PASS","FAIL")</x:f>
        <x:v>PASS</x:v>
      </x:c>
      <x:c r="R448" s="70" t="s">
        <x:v>27</x:v>
      </x:c>
      <x:c r="S448" s="70"/>
    </x:row>
    <x:row r="449" ht="15" hidden="0">
      <x:c r="A449" s="70" t="s">
        <x:v>1219</x:v>
      </x:c>
      <x:c r="B449" s="70" t="s">
        <x:v>24</x:v>
      </x:c>
      <x:c r="C449" s="70" t="s">
        <x:v>102</x:v>
      </x:c>
      <x:c r="D449" s="70" t="s">
        <x:v>285</x:v>
      </x:c>
      <x:c r="E449" s="70" t="s">
        <x:v>1203</x:v>
      </x:c>
      <x:c r="F449" s="70" t="s">
        <x:v>1218</x:v>
      </x:c>
      <x:c r="G449" s="70" t="s">
        <x:v>841</x:v>
      </x:c>
      <x:c r="H449" s="70" t="s">
        <x:v>842</x:v>
      </x:c>
      <x:c r="I449" s="70" t="s">
        <x:v>833</x:v>
      </x:c>
      <x:c r="J449" s="70" t="n">
        <x:v>57</x:v>
      </x:c>
      <x:c r="K449" s="70" t="s">
        <x:v>864</x:v>
      </x:c>
      <x:c r="L449" s="70"/>
      <x:c r="M449" s="70" t="s">
        <x:v>28</x:v>
      </x:c>
      <x:c r="N449" s="71" t="n">
        <x:v>8181357890</x:v>
      </x:c>
      <x:c r="O449" s="72" t="n">
        <x:f aca="0">N449/1000000</x:f>
        <x:v>8181.35789</x:v>
      </x:c>
      <x:c r="P449" s="73" t="n">
        <x:f aca="0">KOHC!E117</x:f>
        <x:v>8181.35789</x:v>
      </x:c>
      <x:c r="Q449" s="70" t="str">
        <x:f aca="0">IF(ABS(O449-P449)&lt;0.000001,"PASS","FAIL")</x:f>
        <x:v>PASS</x:v>
      </x:c>
      <x:c r="R449" s="70" t="s">
        <x:v>27</x:v>
      </x:c>
      <x:c r="S449" s="70"/>
    </x:row>
    <x:row r="450" ht="15" hidden="0">
      <x:c r="A450" s="70" t="s">
        <x:v>1220</x:v>
      </x:c>
      <x:c r="B450" s="70" t="s">
        <x:v>24</x:v>
      </x:c>
      <x:c r="C450" s="70" t="s">
        <x:v>103</x:v>
      </x:c>
      <x:c r="D450" s="70" t="s">
        <x:v>285</x:v>
      </x:c>
      <x:c r="E450" s="70" t="s">
        <x:v>1203</x:v>
      </x:c>
      <x:c r="F450" s="70" t="s">
        <x:v>1218</x:v>
      </x:c>
      <x:c r="G450" s="70" t="s">
        <x:v>844</x:v>
      </x:c>
      <x:c r="H450" s="70" t="s">
        <x:v>845</x:v>
      </x:c>
      <x:c r="I450" s="70" t="s">
        <x:v>833</x:v>
      </x:c>
      <x:c r="J450" s="70" t="n">
        <x:v>63</x:v>
      </x:c>
      <x:c r="K450" s="70" t="s">
        <x:v>864</x:v>
      </x:c>
      <x:c r="L450" s="70"/>
      <x:c r="M450" s="70" t="s">
        <x:v>28</x:v>
      </x:c>
      <x:c r="N450" s="71" t="n">
        <x:v>4452081761</x:v>
      </x:c>
      <x:c r="O450" s="72" t="n">
        <x:f aca="0">N450/1000000</x:f>
        <x:v>4452.081761</x:v>
      </x:c>
      <x:c r="P450" s="73" t="n">
        <x:f aca="0">KOHC!F117</x:f>
        <x:v>4452.081761</x:v>
      </x:c>
      <x:c r="Q450" s="70" t="str">
        <x:f aca="0">IF(ABS(O450-P450)&lt;0.000001,"PASS","FAIL")</x:f>
        <x:v>PASS</x:v>
      </x:c>
      <x:c r="R450" s="70" t="s">
        <x:v>27</x:v>
      </x:c>
      <x:c r="S450" s="70" t="s">
        <x:v>839</x:v>
      </x:c>
    </x:row>
    <x:row r="451" ht="15" hidden="0">
      <x:c r="A451" s="70" t="s">
        <x:v>1221</x:v>
      </x:c>
      <x:c r="B451" s="70" t="s">
        <x:v>24</x:v>
      </x:c>
      <x:c r="C451" s="70" t="s">
        <x:v>104</x:v>
      </x:c>
      <x:c r="D451" s="70" t="s">
        <x:v>285</x:v>
      </x:c>
      <x:c r="E451" s="70" t="s">
        <x:v>1203</x:v>
      </x:c>
      <x:c r="F451" s="70" t="s">
        <x:v>1218</x:v>
      </x:c>
      <x:c r="G451" s="70" t="s">
        <x:v>848</x:v>
      </x:c>
      <x:c r="H451" s="70" t="s">
        <x:v>849</x:v>
      </x:c>
      <x:c r="I451" s="70" t="s">
        <x:v>833</x:v>
      </x:c>
      <x:c r="J451" s="70" t="n">
        <x:v>73</x:v>
      </x:c>
      <x:c r="K451" s="70" t="s">
        <x:v>834</x:v>
      </x:c>
      <x:c r="L451" s="70"/>
      <x:c r="M451" s="70" t="s">
        <x:v>28</x:v>
      </x:c>
      <x:c r="N451" s="71" t="n">
        <x:v>6647173409</x:v>
      </x:c>
      <x:c r="O451" s="72" t="n">
        <x:f aca="0">N451/1000000</x:f>
        <x:v>6647.173409</x:v>
      </x:c>
      <x:c r="P451" s="73" t="n">
        <x:f aca="0">KOHC!G117</x:f>
        <x:v>6647.173409</x:v>
      </x:c>
      <x:c r="Q451" s="70" t="str">
        <x:f aca="0">IF(ABS(O451-P451)&lt;0.000001,"PASS","FAIL")</x:f>
        <x:v>PASS</x:v>
      </x:c>
      <x:c r="R451" s="70" t="s">
        <x:v>27</x:v>
      </x:c>
      <x:c r="S451" s="70" t="s">
        <x:v>839</x:v>
      </x:c>
    </x:row>
    <x:row r="452" ht="15" hidden="0">
      <x:c r="A452" s="70" t="s">
        <x:v>1222</x:v>
      </x:c>
      <x:c r="B452" s="70" t="s">
        <x:v>24</x:v>
      </x:c>
      <x:c r="C452" s="70" t="s">
        <x:v>105</x:v>
      </x:c>
      <x:c r="D452" s="70" t="s">
        <x:v>285</x:v>
      </x:c>
      <x:c r="E452" s="70" t="s">
        <x:v>1203</x:v>
      </x:c>
      <x:c r="F452" s="70" t="s">
        <x:v>1218</x:v>
      </x:c>
      <x:c r="G452" s="70" t="s">
        <x:v>848</x:v>
      </x:c>
      <x:c r="H452" s="70" t="s">
        <x:v>849</x:v>
      </x:c>
      <x:c r="I452" s="70" t="s">
        <x:v>852</x:v>
      </x:c>
      <x:c r="J452" s="70" t="n">
        <x:v>73</x:v>
      </x:c>
      <x:c r="K452" s="70" t="s">
        <x:v>834</x:v>
      </x:c>
      <x:c r="L452" s="70"/>
      <x:c r="M452" s="70" t="s">
        <x:v>28</x:v>
      </x:c>
      <x:c r="N452" s="71" t="n">
        <x:v>9378288538</x:v>
      </x:c>
      <x:c r="O452" s="72" t="n">
        <x:f aca="0">N452/1000000</x:f>
        <x:v>9378.288538</x:v>
      </x:c>
      <x:c r="P452" s="73" t="n">
        <x:f aca="0">KOHC!H117</x:f>
        <x:v>9378.288538</x:v>
      </x:c>
      <x:c r="Q452" s="70" t="str">
        <x:f aca="0">IF(ABS(O452-P452)&lt;0.000001,"PASS","FAIL")</x:f>
        <x:v>PASS</x:v>
      </x:c>
      <x:c r="R452" s="70" t="s">
        <x:v>27</x:v>
      </x:c>
      <x:c r="S452" s="70"/>
    </x:row>
    <x:row r="453" ht="15" hidden="0">
      <x:c r="A453" s="70" t="s">
        <x:v>1223</x:v>
      </x:c>
      <x:c r="B453" s="70" t="s">
        <x:v>24</x:v>
      </x:c>
      <x:c r="C453" s="70" t="s">
        <x:v>101</x:v>
      </x:c>
      <x:c r="D453" s="70" t="s">
        <x:v>287</x:v>
      </x:c>
      <x:c r="E453" s="70" t="s">
        <x:v>1203</x:v>
      </x:c>
      <x:c r="F453" s="70" t="s">
        <x:v>1224</x:v>
      </x:c>
      <x:c r="G453" s="70" t="s">
        <x:v>837</x:v>
      </x:c>
      <x:c r="H453" s="70" t="s">
        <x:v>838</x:v>
      </x:c>
      <x:c r="I453" s="70" t="s">
        <x:v>833</x:v>
      </x:c>
      <x:c r="J453" s="70" t="n">
        <x:v>57</x:v>
      </x:c>
      <x:c r="K453" s="70" t="s">
        <x:v>864</x:v>
      </x:c>
      <x:c r="L453" s="70"/>
      <x:c r="M453" s="70" t="s">
        <x:v>28</x:v>
      </x:c>
      <x:c r="N453" s="71" t="n">
        <x:v>-599227218</x:v>
      </x:c>
      <x:c r="O453" s="72" t="n">
        <x:f aca="0">N453/1000000</x:f>
        <x:v>-599.227218</x:v>
      </x:c>
      <x:c r="P453" s="73" t="n">
        <x:f aca="0">KOHC!D118</x:f>
        <x:v>-599.227218</x:v>
      </x:c>
      <x:c r="Q453" s="70" t="str">
        <x:f aca="0">IF(ABS(O453-P453)&lt;0.000001,"PASS","FAIL")</x:f>
        <x:v>PASS</x:v>
      </x:c>
      <x:c r="R453" s="70" t="s">
        <x:v>27</x:v>
      </x:c>
      <x:c r="S453" s="70"/>
    </x:row>
    <x:row r="454" ht="15" hidden="0">
      <x:c r="A454" s="70" t="s">
        <x:v>1225</x:v>
      </x:c>
      <x:c r="B454" s="70" t="s">
        <x:v>24</x:v>
      </x:c>
      <x:c r="C454" s="70" t="s">
        <x:v>102</x:v>
      </x:c>
      <x:c r="D454" s="70" t="s">
        <x:v>287</x:v>
      </x:c>
      <x:c r="E454" s="70" t="s">
        <x:v>1203</x:v>
      </x:c>
      <x:c r="F454" s="70" t="s">
        <x:v>1224</x:v>
      </x:c>
      <x:c r="G454" s="70" t="s">
        <x:v>841</x:v>
      </x:c>
      <x:c r="H454" s="70" t="s">
        <x:v>842</x:v>
      </x:c>
      <x:c r="I454" s="70" t="s">
        <x:v>833</x:v>
      </x:c>
      <x:c r="J454" s="70" t="n">
        <x:v>57</x:v>
      </x:c>
      <x:c r="K454" s="70" t="s">
        <x:v>864</x:v>
      </x:c>
      <x:c r="L454" s="70"/>
      <x:c r="M454" s="70" t="s">
        <x:v>28</x:v>
      </x:c>
      <x:c r="N454" s="71" t="n">
        <x:v>-514171817</x:v>
      </x:c>
      <x:c r="O454" s="72" t="n">
        <x:f aca="0">N454/1000000</x:f>
        <x:v>-514.171817</x:v>
      </x:c>
      <x:c r="P454" s="73" t="n">
        <x:f aca="0">KOHC!E118</x:f>
        <x:v>-514.171817</x:v>
      </x:c>
      <x:c r="Q454" s="70" t="str">
        <x:f aca="0">IF(ABS(O454-P454)&lt;0.000001,"PASS","FAIL")</x:f>
        <x:v>PASS</x:v>
      </x:c>
      <x:c r="R454" s="70" t="s">
        <x:v>27</x:v>
      </x:c>
      <x:c r="S454" s="70"/>
    </x:row>
    <x:row r="455" ht="15" hidden="0">
      <x:c r="A455" s="70" t="s">
        <x:v>1226</x:v>
      </x:c>
      <x:c r="B455" s="70" t="s">
        <x:v>24</x:v>
      </x:c>
      <x:c r="C455" s="70" t="s">
        <x:v>103</x:v>
      </x:c>
      <x:c r="D455" s="70" t="s">
        <x:v>287</x:v>
      </x:c>
      <x:c r="E455" s="70" t="s">
        <x:v>1203</x:v>
      </x:c>
      <x:c r="F455" s="70" t="s">
        <x:v>1224</x:v>
      </x:c>
      <x:c r="G455" s="70" t="s">
        <x:v>844</x:v>
      </x:c>
      <x:c r="H455" s="70" t="s">
        <x:v>845</x:v>
      </x:c>
      <x:c r="I455" s="70" t="s">
        <x:v>833</x:v>
      </x:c>
      <x:c r="J455" s="70" t="n">
        <x:v>63</x:v>
      </x:c>
      <x:c r="K455" s="70" t="s">
        <x:v>864</x:v>
      </x:c>
      <x:c r="L455" s="70"/>
      <x:c r="M455" s="70" t="s">
        <x:v>28</x:v>
      </x:c>
      <x:c r="N455" s="71" t="n">
        <x:v>-685823997</x:v>
      </x:c>
      <x:c r="O455" s="72" t="n">
        <x:f aca="0">N455/1000000</x:f>
        <x:v>-685.823997</x:v>
      </x:c>
      <x:c r="P455" s="73" t="n">
        <x:f aca="0">KOHC!F118</x:f>
        <x:v>-685.823997</x:v>
      </x:c>
      <x:c r="Q455" s="70" t="str">
        <x:f aca="0">IF(ABS(O455-P455)&lt;0.000001,"PASS","FAIL")</x:f>
        <x:v>PASS</x:v>
      </x:c>
      <x:c r="R455" s="70" t="s">
        <x:v>27</x:v>
      </x:c>
      <x:c r="S455" s="70"/>
    </x:row>
    <x:row r="456" ht="15" hidden="0">
      <x:c r="A456" s="70" t="s">
        <x:v>1227</x:v>
      </x:c>
      <x:c r="B456" s="70" t="s">
        <x:v>24</x:v>
      </x:c>
      <x:c r="C456" s="70" t="s">
        <x:v>104</x:v>
      </x:c>
      <x:c r="D456" s="70" t="s">
        <x:v>287</x:v>
      </x:c>
      <x:c r="E456" s="70" t="s">
        <x:v>1203</x:v>
      </x:c>
      <x:c r="F456" s="70" t="s">
        <x:v>1224</x:v>
      </x:c>
      <x:c r="G456" s="70" t="s">
        <x:v>848</x:v>
      </x:c>
      <x:c r="H456" s="70" t="s">
        <x:v>849</x:v>
      </x:c>
      <x:c r="I456" s="70" t="s">
        <x:v>833</x:v>
      </x:c>
      <x:c r="J456" s="70" t="n">
        <x:v>73</x:v>
      </x:c>
      <x:c r="K456" s="70" t="s">
        <x:v>834</x:v>
      </x:c>
      <x:c r="L456" s="70"/>
      <x:c r="M456" s="70" t="s">
        <x:v>28</x:v>
      </x:c>
      <x:c r="N456" s="71" t="n">
        <x:v>-731073634</x:v>
      </x:c>
      <x:c r="O456" s="72" t="n">
        <x:f aca="0">N456/1000000</x:f>
        <x:v>-731.073634</x:v>
      </x:c>
      <x:c r="P456" s="73" t="n">
        <x:f aca="0">KOHC!G118</x:f>
        <x:v>-731.073634</x:v>
      </x:c>
      <x:c r="Q456" s="70" t="str">
        <x:f aca="0">IF(ABS(O456-P456)&lt;0.000001,"PASS","FAIL")</x:f>
        <x:v>PASS</x:v>
      </x:c>
      <x:c r="R456" s="70" t="s">
        <x:v>27</x:v>
      </x:c>
      <x:c r="S456" s="70"/>
    </x:row>
    <x:row r="457" ht="15" hidden="0">
      <x:c r="A457" s="70" t="s">
        <x:v>1228</x:v>
      </x:c>
      <x:c r="B457" s="70" t="s">
        <x:v>24</x:v>
      </x:c>
      <x:c r="C457" s="70" t="s">
        <x:v>105</x:v>
      </x:c>
      <x:c r="D457" s="70" t="s">
        <x:v>287</x:v>
      </x:c>
      <x:c r="E457" s="70" t="s">
        <x:v>1203</x:v>
      </x:c>
      <x:c r="F457" s="70" t="s">
        <x:v>1224</x:v>
      </x:c>
      <x:c r="G457" s="70" t="s">
        <x:v>848</x:v>
      </x:c>
      <x:c r="H457" s="70" t="s">
        <x:v>849</x:v>
      </x:c>
      <x:c r="I457" s="70" t="s">
        <x:v>852</x:v>
      </x:c>
      <x:c r="J457" s="70" t="n">
        <x:v>73</x:v>
      </x:c>
      <x:c r="K457" s="70" t="s">
        <x:v>834</x:v>
      </x:c>
      <x:c r="L457" s="70"/>
      <x:c r="M457" s="70" t="s">
        <x:v>28</x:v>
      </x:c>
      <x:c r="N457" s="71" t="n">
        <x:v>-391061821</x:v>
      </x:c>
      <x:c r="O457" s="72" t="n">
        <x:f aca="0">N457/1000000</x:f>
        <x:v>-391.061821</x:v>
      </x:c>
      <x:c r="P457" s="73" t="n">
        <x:f aca="0">KOHC!H118</x:f>
        <x:v>-391.061821</x:v>
      </x:c>
      <x:c r="Q457" s="70" t="str">
        <x:f aca="0">IF(ABS(O457-P457)&lt;0.000001,"PASS","FAIL")</x:f>
        <x:v>PASS</x:v>
      </x:c>
      <x:c r="R457" s="70" t="s">
        <x:v>27</x:v>
      </x:c>
      <x:c r="S457" s="70"/>
    </x:row>
    <x:row r="458" ht="15" hidden="0">
      <x:c r="A458" s="70" t="s">
        <x:v>1229</x:v>
      </x:c>
      <x:c r="B458" s="70" t="s">
        <x:v>24</x:v>
      </x:c>
      <x:c r="C458" s="70" t="s">
        <x:v>101</x:v>
      </x:c>
      <x:c r="D458" s="70" t="s">
        <x:v>289</x:v>
      </x:c>
      <x:c r="E458" s="70" t="s">
        <x:v>1203</x:v>
      </x:c>
      <x:c r="F458" s="70" t="s">
        <x:v>1230</x:v>
      </x:c>
      <x:c r="G458" s="70" t="s">
        <x:v>837</x:v>
      </x:c>
      <x:c r="H458" s="70" t="s">
        <x:v>838</x:v>
      </x:c>
      <x:c r="I458" s="70" t="s">
        <x:v>833</x:v>
      </x:c>
      <x:c r="J458" s="70" t="n">
        <x:v>57</x:v>
      </x:c>
      <x:c r="K458" s="70" t="s">
        <x:v>864</x:v>
      </x:c>
      <x:c r="L458" s="70"/>
      <x:c r="M458" s="70" t="s">
        <x:v>292</x:v>
      </x:c>
      <x:c r="N458" s="70" t="s">
        <x:v>291</x:v>
      </x:c>
      <x:c r="O458" s="70" t="str">
        <x:f aca="0">N458</x:f>
        <x:v>Operating</x:v>
      </x:c>
      <x:c r="P458" s="70" t="str">
        <x:f aca="0">KOHC!D119</x:f>
        <x:v>Operating</x:v>
      </x:c>
      <x:c r="Q458" s="70" t="str">
        <x:f aca="0">IF(O458=P458,"PASS","FAIL")</x:f>
        <x:v>PASS</x:v>
      </x:c>
      <x:c r="R458" s="70" t="s">
        <x:v>27</x:v>
      </x:c>
      <x:c r="S458" s="70"/>
    </x:row>
    <x:row r="459" ht="15" hidden="0">
      <x:c r="A459" s="70" t="s">
        <x:v>1231</x:v>
      </x:c>
      <x:c r="B459" s="70" t="s">
        <x:v>24</x:v>
      </x:c>
      <x:c r="C459" s="70" t="s">
        <x:v>102</x:v>
      </x:c>
      <x:c r="D459" s="70" t="s">
        <x:v>289</x:v>
      </x:c>
      <x:c r="E459" s="70" t="s">
        <x:v>1203</x:v>
      </x:c>
      <x:c r="F459" s="70" t="s">
        <x:v>1230</x:v>
      </x:c>
      <x:c r="G459" s="70" t="s">
        <x:v>841</x:v>
      </x:c>
      <x:c r="H459" s="70" t="s">
        <x:v>842</x:v>
      </x:c>
      <x:c r="I459" s="70" t="s">
        <x:v>833</x:v>
      </x:c>
      <x:c r="J459" s="70" t="n">
        <x:v>57</x:v>
      </x:c>
      <x:c r="K459" s="70" t="s">
        <x:v>864</x:v>
      </x:c>
      <x:c r="L459" s="70"/>
      <x:c r="M459" s="70" t="s">
        <x:v>292</x:v>
      </x:c>
      <x:c r="N459" s="70" t="s">
        <x:v>291</x:v>
      </x:c>
      <x:c r="O459" s="70" t="str">
        <x:f aca="0">N459</x:f>
        <x:v>Operating</x:v>
      </x:c>
      <x:c r="P459" s="70" t="str">
        <x:f aca="0">KOHC!E119</x:f>
        <x:v>Operating</x:v>
      </x:c>
      <x:c r="Q459" s="70" t="str">
        <x:f aca="0">IF(O459=P459,"PASS","FAIL")</x:f>
        <x:v>PASS</x:v>
      </x:c>
      <x:c r="R459" s="70" t="s">
        <x:v>27</x:v>
      </x:c>
      <x:c r="S459" s="70"/>
    </x:row>
    <x:row r="460" ht="15" hidden="0">
      <x:c r="A460" s="70" t="s">
        <x:v>1232</x:v>
      </x:c>
      <x:c r="B460" s="70" t="s">
        <x:v>24</x:v>
      </x:c>
      <x:c r="C460" s="70" t="s">
        <x:v>103</x:v>
      </x:c>
      <x:c r="D460" s="70" t="s">
        <x:v>289</x:v>
      </x:c>
      <x:c r="E460" s="70" t="s">
        <x:v>1203</x:v>
      </x:c>
      <x:c r="F460" s="70" t="s">
        <x:v>1230</x:v>
      </x:c>
      <x:c r="G460" s="70" t="s">
        <x:v>844</x:v>
      </x:c>
      <x:c r="H460" s="70" t="s">
        <x:v>845</x:v>
      </x:c>
      <x:c r="I460" s="70" t="s">
        <x:v>833</x:v>
      </x:c>
      <x:c r="J460" s="70" t="n">
        <x:v>63</x:v>
      </x:c>
      <x:c r="K460" s="70" t="s">
        <x:v>864</x:v>
      </x:c>
      <x:c r="L460" s="70"/>
      <x:c r="M460" s="70" t="s">
        <x:v>292</x:v>
      </x:c>
      <x:c r="N460" s="70" t="s">
        <x:v>291</x:v>
      </x:c>
      <x:c r="O460" s="70" t="str">
        <x:f aca="0">N460</x:f>
        <x:v>Operating</x:v>
      </x:c>
      <x:c r="P460" s="70" t="str">
        <x:f aca="0">KOHC!F119</x:f>
        <x:v>Operating</x:v>
      </x:c>
      <x:c r="Q460" s="70" t="str">
        <x:f aca="0">IF(O460=P460,"PASS","FAIL")</x:f>
        <x:v>PASS</x:v>
      </x:c>
      <x:c r="R460" s="70" t="s">
        <x:v>27</x:v>
      </x:c>
      <x:c r="S460" s="70"/>
    </x:row>
    <x:row r="461" ht="15" hidden="0">
      <x:c r="A461" s="70" t="s">
        <x:v>1233</x:v>
      </x:c>
      <x:c r="B461" s="70" t="s">
        <x:v>24</x:v>
      </x:c>
      <x:c r="C461" s="70" t="s">
        <x:v>104</x:v>
      </x:c>
      <x:c r="D461" s="70" t="s">
        <x:v>289</x:v>
      </x:c>
      <x:c r="E461" s="70" t="s">
        <x:v>1203</x:v>
      </x:c>
      <x:c r="F461" s="70" t="s">
        <x:v>1230</x:v>
      </x:c>
      <x:c r="G461" s="70" t="s">
        <x:v>848</x:v>
      </x:c>
      <x:c r="H461" s="70" t="s">
        <x:v>849</x:v>
      </x:c>
      <x:c r="I461" s="70" t="s">
        <x:v>833</x:v>
      </x:c>
      <x:c r="J461" s="70" t="n">
        <x:v>73</x:v>
      </x:c>
      <x:c r="K461" s="70" t="s">
        <x:v>834</x:v>
      </x:c>
      <x:c r="L461" s="70"/>
      <x:c r="M461" s="70" t="s">
        <x:v>292</x:v>
      </x:c>
      <x:c r="N461" s="70" t="s">
        <x:v>291</x:v>
      </x:c>
      <x:c r="O461" s="70" t="str">
        <x:f aca="0">N461</x:f>
        <x:v>Operating</x:v>
      </x:c>
      <x:c r="P461" s="70" t="str">
        <x:f aca="0">KOHC!G119</x:f>
        <x:v>Operating</x:v>
      </x:c>
      <x:c r="Q461" s="70" t="str">
        <x:f aca="0">IF(O461=P461,"PASS","FAIL")</x:f>
        <x:v>PASS</x:v>
      </x:c>
      <x:c r="R461" s="70" t="s">
        <x:v>27</x:v>
      </x:c>
      <x:c r="S461" s="70"/>
    </x:row>
    <x:row r="462" ht="15" hidden="0">
      <x:c r="A462" s="70" t="s">
        <x:v>1234</x:v>
      </x:c>
      <x:c r="B462" s="70" t="s">
        <x:v>24</x:v>
      </x:c>
      <x:c r="C462" s="70" t="s">
        <x:v>105</x:v>
      </x:c>
      <x:c r="D462" s="70" t="s">
        <x:v>289</x:v>
      </x:c>
      <x:c r="E462" s="70" t="s">
        <x:v>1203</x:v>
      </x:c>
      <x:c r="F462" s="70" t="s">
        <x:v>1230</x:v>
      </x:c>
      <x:c r="G462" s="70" t="s">
        <x:v>848</x:v>
      </x:c>
      <x:c r="H462" s="70" t="s">
        <x:v>849</x:v>
      </x:c>
      <x:c r="I462" s="70" t="s">
        <x:v>852</x:v>
      </x:c>
      <x:c r="J462" s="70" t="n">
        <x:v>73</x:v>
      </x:c>
      <x:c r="K462" s="70" t="s">
        <x:v>834</x:v>
      </x:c>
      <x:c r="L462" s="70"/>
      <x:c r="M462" s="70" t="s">
        <x:v>292</x:v>
      </x:c>
      <x:c r="N462" s="70" t="s">
        <x:v>291</x:v>
      </x:c>
      <x:c r="O462" s="70" t="str">
        <x:f aca="0">N462</x:f>
        <x:v>Operating</x:v>
      </x:c>
      <x:c r="P462" s="70" t="str">
        <x:f aca="0">KOHC!H119</x:f>
        <x:v>Operating</x:v>
      </x:c>
      <x:c r="Q462" s="70" t="str">
        <x:f aca="0">IF(O462=P462,"PASS","FAIL")</x:f>
        <x:v>PASS</x:v>
      </x:c>
      <x:c r="R462" s="70" t="s">
        <x:v>27</x:v>
      </x:c>
      <x:c r="S462" s="70"/>
    </x:row>
    <x:row r="463" ht="15" hidden="0">
      <x:c r="A463" s="70" t="s">
        <x:v>1235</x:v>
      </x:c>
      <x:c r="B463" s="70" t="s">
        <x:v>24</x:v>
      </x:c>
      <x:c r="C463" s="70" t="s">
        <x:v>101</x:v>
      </x:c>
      <x:c r="D463" s="70" t="s">
        <x:v>295</x:v>
      </x:c>
      <x:c r="E463" s="70" t="s">
        <x:v>1203</x:v>
      </x:c>
      <x:c r="F463" s="70" t="s">
        <x:v>1236</x:v>
      </x:c>
      <x:c r="G463" s="70" t="s">
        <x:v>837</x:v>
      </x:c>
      <x:c r="H463" s="70" t="s">
        <x:v>838</x:v>
      </x:c>
      <x:c r="I463" s="70" t="s">
        <x:v>833</x:v>
      </x:c>
      <x:c r="J463" s="70" t="n">
        <x:v>57</x:v>
      </x:c>
      <x:c r="K463" s="70" t="s">
        <x:v>864</x:v>
      </x:c>
      <x:c r="L463" s="70"/>
      <x:c r="M463" s="70" t="s">
        <x:v>28</x:v>
      </x:c>
      <x:c r="N463" s="71" t="n">
        <x:v>-610597045</x:v>
      </x:c>
      <x:c r="O463" s="72" t="n">
        <x:f aca="0">N463/1000000</x:f>
        <x:v>-610.597045</x:v>
      </x:c>
      <x:c r="P463" s="73" t="n">
        <x:f aca="0">KOHC!D121</x:f>
        <x:v>-610.597045</x:v>
      </x:c>
      <x:c r="Q463" s="70" t="str">
        <x:f aca="0">IF(ABS(O463-P463)&lt;0.000001,"PASS","FAIL")</x:f>
        <x:v>PASS</x:v>
      </x:c>
      <x:c r="R463" s="70" t="s">
        <x:v>27</x:v>
      </x:c>
      <x:c r="S463" s="70"/>
    </x:row>
    <x:row r="464" ht="15" hidden="0">
      <x:c r="A464" s="70" t="s">
        <x:v>1237</x:v>
      </x:c>
      <x:c r="B464" s="70" t="s">
        <x:v>24</x:v>
      </x:c>
      <x:c r="C464" s="70" t="s">
        <x:v>102</x:v>
      </x:c>
      <x:c r="D464" s="70" t="s">
        <x:v>295</x:v>
      </x:c>
      <x:c r="E464" s="70" t="s">
        <x:v>1203</x:v>
      </x:c>
      <x:c r="F464" s="70" t="s">
        <x:v>1236</x:v>
      </x:c>
      <x:c r="G464" s="70" t="s">
        <x:v>841</x:v>
      </x:c>
      <x:c r="H464" s="70" t="s">
        <x:v>842</x:v>
      </x:c>
      <x:c r="I464" s="70" t="s">
        <x:v>833</x:v>
      </x:c>
      <x:c r="J464" s="70" t="n">
        <x:v>57</x:v>
      </x:c>
      <x:c r="K464" s="70" t="s">
        <x:v>864</x:v>
      </x:c>
      <x:c r="L464" s="70"/>
      <x:c r="M464" s="70" t="s">
        <x:v>28</x:v>
      </x:c>
      <x:c r="N464" s="71" t="n">
        <x:v>-461847370</x:v>
      </x:c>
      <x:c r="O464" s="72" t="n">
        <x:f aca="0">N464/1000000</x:f>
        <x:v>-461.84737</x:v>
      </x:c>
      <x:c r="P464" s="73" t="n">
        <x:f aca="0">KOHC!E121</x:f>
        <x:v>-461.84737</x:v>
      </x:c>
      <x:c r="Q464" s="70" t="str">
        <x:f aca="0">IF(ABS(O464-P464)&lt;0.000001,"PASS","FAIL")</x:f>
        <x:v>PASS</x:v>
      </x:c>
      <x:c r="R464" s="70" t="s">
        <x:v>27</x:v>
      </x:c>
      <x:c r="S464" s="70"/>
    </x:row>
    <x:row r="465" ht="15" hidden="0">
      <x:c r="A465" s="70" t="s">
        <x:v>1238</x:v>
      </x:c>
      <x:c r="B465" s="70" t="s">
        <x:v>24</x:v>
      </x:c>
      <x:c r="C465" s="70" t="s">
        <x:v>103</x:v>
      </x:c>
      <x:c r="D465" s="70" t="s">
        <x:v>295</x:v>
      </x:c>
      <x:c r="E465" s="70" t="s">
        <x:v>1203</x:v>
      </x:c>
      <x:c r="F465" s="70" t="s">
        <x:v>1236</x:v>
      </x:c>
      <x:c r="G465" s="70" t="s">
        <x:v>844</x:v>
      </x:c>
      <x:c r="H465" s="70" t="s">
        <x:v>845</x:v>
      </x:c>
      <x:c r="I465" s="70" t="s">
        <x:v>833</x:v>
      </x:c>
      <x:c r="J465" s="70" t="n">
        <x:v>63</x:v>
      </x:c>
      <x:c r="K465" s="70" t="s">
        <x:v>864</x:v>
      </x:c>
      <x:c r="L465" s="70"/>
      <x:c r="M465" s="70" t="s">
        <x:v>28</x:v>
      </x:c>
      <x:c r="N465" s="71" t="n">
        <x:v>-2015897038</x:v>
      </x:c>
      <x:c r="O465" s="72" t="n">
        <x:f aca="0">N465/1000000</x:f>
        <x:v>-2015.897038</x:v>
      </x:c>
      <x:c r="P465" s="73" t="n">
        <x:f aca="0">KOHC!F121</x:f>
        <x:v>-2015.897038</x:v>
      </x:c>
      <x:c r="Q465" s="70" t="str">
        <x:f aca="0">IF(ABS(O465-P465)&lt;0.000001,"PASS","FAIL")</x:f>
        <x:v>PASS</x:v>
      </x:c>
      <x:c r="R465" s="70" t="s">
        <x:v>27</x:v>
      </x:c>
      <x:c r="S465" s="70"/>
    </x:row>
    <x:row r="466" ht="15" hidden="0">
      <x:c r="A466" s="70" t="s">
        <x:v>1239</x:v>
      </x:c>
      <x:c r="B466" s="70" t="s">
        <x:v>24</x:v>
      </x:c>
      <x:c r="C466" s="70" t="s">
        <x:v>104</x:v>
      </x:c>
      <x:c r="D466" s="70" t="s">
        <x:v>295</x:v>
      </x:c>
      <x:c r="E466" s="70" t="s">
        <x:v>1203</x:v>
      </x:c>
      <x:c r="F466" s="70" t="s">
        <x:v>1236</x:v>
      </x:c>
      <x:c r="G466" s="70" t="s">
        <x:v>848</x:v>
      </x:c>
      <x:c r="H466" s="70" t="s">
        <x:v>849</x:v>
      </x:c>
      <x:c r="I466" s="70" t="s">
        <x:v>833</x:v>
      </x:c>
      <x:c r="J466" s="70" t="n">
        <x:v>73</x:v>
      </x:c>
      <x:c r="K466" s="70" t="s">
        <x:v>834</x:v>
      </x:c>
      <x:c r="L466" s="70"/>
      <x:c r="M466" s="70" t="s">
        <x:v>28</x:v>
      </x:c>
      <x:c r="N466" s="71" t="n">
        <x:v>-1107284933</x:v>
      </x:c>
      <x:c r="O466" s="72" t="n">
        <x:f aca="0">N466/1000000</x:f>
        <x:v>-1107.284933</x:v>
      </x:c>
      <x:c r="P466" s="73" t="n">
        <x:f aca="0">KOHC!G121</x:f>
        <x:v>-1107.284933</x:v>
      </x:c>
      <x:c r="Q466" s="70" t="str">
        <x:f aca="0">IF(ABS(O466-P466)&lt;0.000001,"PASS","FAIL")</x:f>
        <x:v>PASS</x:v>
      </x:c>
      <x:c r="R466" s="70" t="s">
        <x:v>27</x:v>
      </x:c>
      <x:c r="S466" s="70" t="s">
        <x:v>839</x:v>
      </x:c>
    </x:row>
    <x:row r="467" ht="15" hidden="0">
      <x:c r="A467" s="70" t="s">
        <x:v>1240</x:v>
      </x:c>
      <x:c r="B467" s="70" t="s">
        <x:v>24</x:v>
      </x:c>
      <x:c r="C467" s="70" t="s">
        <x:v>105</x:v>
      </x:c>
      <x:c r="D467" s="70" t="s">
        <x:v>295</x:v>
      </x:c>
      <x:c r="E467" s="70" t="s">
        <x:v>1203</x:v>
      </x:c>
      <x:c r="F467" s="70" t="s">
        <x:v>1236</x:v>
      </x:c>
      <x:c r="G467" s="70" t="s">
        <x:v>848</x:v>
      </x:c>
      <x:c r="H467" s="70" t="s">
        <x:v>849</x:v>
      </x:c>
      <x:c r="I467" s="70" t="s">
        <x:v>852</x:v>
      </x:c>
      <x:c r="J467" s="70" t="n">
        <x:v>73</x:v>
      </x:c>
      <x:c r="K467" s="70" t="s">
        <x:v>834</x:v>
      </x:c>
      <x:c r="L467" s="70"/>
      <x:c r="M467" s="70" t="s">
        <x:v>28</x:v>
      </x:c>
      <x:c r="N467" s="71" t="n">
        <x:v>-2398919336</x:v>
      </x:c>
      <x:c r="O467" s="72" t="n">
        <x:f aca="0">N467/1000000</x:f>
        <x:v>-2398.919336</x:v>
      </x:c>
      <x:c r="P467" s="73" t="n">
        <x:f aca="0">KOHC!H121</x:f>
        <x:v>-2398.919336</x:v>
      </x:c>
      <x:c r="Q467" s="70" t="str">
        <x:f aca="0">IF(ABS(O467-P467)&lt;0.000001,"PASS","FAIL")</x:f>
        <x:v>PASS</x:v>
      </x:c>
      <x:c r="R467" s="70" t="s">
        <x:v>27</x:v>
      </x:c>
      <x:c r="S467" s="70"/>
    </x:row>
    <x:row r="468" ht="15" hidden="0">
      <x:c r="A468" s="70" t="s">
        <x:v>1241</x:v>
      </x:c>
      <x:c r="B468" s="70" t="s">
        <x:v>24</x:v>
      </x:c>
      <x:c r="C468" s="70" t="s">
        <x:v>101</x:v>
      </x:c>
      <x:c r="D468" s="70" t="s">
        <x:v>297</x:v>
      </x:c>
      <x:c r="E468" s="70" t="s">
        <x:v>1203</x:v>
      </x:c>
      <x:c r="F468" s="70" t="s">
        <x:v>1242</x:v>
      </x:c>
      <x:c r="G468" s="70" t="s">
        <x:v>837</x:v>
      </x:c>
      <x:c r="H468" s="70" t="s">
        <x:v>838</x:v>
      </x:c>
      <x:c r="I468" s="70" t="s">
        <x:v>833</x:v>
      </x:c>
      <x:c r="J468" s="70" t="n">
        <x:v>57</x:v>
      </x:c>
      <x:c r="K468" s="70" t="s">
        <x:v>864</x:v>
      </x:c>
      <x:c r="L468" s="70"/>
      <x:c r="M468" s="70" t="s">
        <x:v>28</x:v>
      </x:c>
      <x:c r="N468" s="71" t="n">
        <x:v>-3950178348</x:v>
      </x:c>
      <x:c r="O468" s="72" t="n">
        <x:f aca="0">N468/1000000</x:f>
        <x:v>-3950.178348</x:v>
      </x:c>
      <x:c r="P468" s="73" t="n">
        <x:f aca="0">KOHC!D122</x:f>
        <x:v>-3950.178348</x:v>
      </x:c>
      <x:c r="Q468" s="70" t="str">
        <x:f aca="0">IF(ABS(O468-P468)&lt;0.000001,"PASS","FAIL")</x:f>
        <x:v>PASS</x:v>
      </x:c>
      <x:c r="R468" s="70" t="s">
        <x:v>27</x:v>
      </x:c>
      <x:c r="S468" s="70"/>
    </x:row>
    <x:row r="469" ht="15" hidden="0">
      <x:c r="A469" s="70" t="s">
        <x:v>1243</x:v>
      </x:c>
      <x:c r="B469" s="70" t="s">
        <x:v>24</x:v>
      </x:c>
      <x:c r="C469" s="70" t="s">
        <x:v>102</x:v>
      </x:c>
      <x:c r="D469" s="70" t="s">
        <x:v>297</x:v>
      </x:c>
      <x:c r="E469" s="70" t="s">
        <x:v>1203</x:v>
      </x:c>
      <x:c r="F469" s="70" t="s">
        <x:v>1242</x:v>
      </x:c>
      <x:c r="G469" s="70" t="s">
        <x:v>841</x:v>
      </x:c>
      <x:c r="H469" s="70" t="s">
        <x:v>842</x:v>
      </x:c>
      <x:c r="I469" s="70" t="s">
        <x:v>833</x:v>
      </x:c>
      <x:c r="J469" s="70" t="n">
        <x:v>57</x:v>
      </x:c>
      <x:c r="K469" s="70" t="s">
        <x:v>864</x:v>
      </x:c>
      <x:c r="L469" s="70"/>
      <x:c r="M469" s="70" t="s">
        <x:v>28</x:v>
      </x:c>
      <x:c r="N469" s="71" t="n">
        <x:v>-7092988516</x:v>
      </x:c>
      <x:c r="O469" s="72" t="n">
        <x:f aca="0">N469/1000000</x:f>
        <x:v>-7092.988516</x:v>
      </x:c>
      <x:c r="P469" s="73" t="n">
        <x:f aca="0">KOHC!E122</x:f>
        <x:v>-7092.988516</x:v>
      </x:c>
      <x:c r="Q469" s="70" t="str">
        <x:f aca="0">IF(ABS(O469-P469)&lt;0.000001,"PASS","FAIL")</x:f>
        <x:v>PASS</x:v>
      </x:c>
      <x:c r="R469" s="70" t="s">
        <x:v>27</x:v>
      </x:c>
      <x:c r="S469" s="70"/>
    </x:row>
    <x:row r="470" ht="15" hidden="0">
      <x:c r="A470" s="70" t="s">
        <x:v>1244</x:v>
      </x:c>
      <x:c r="B470" s="70" t="s">
        <x:v>24</x:v>
      </x:c>
      <x:c r="C470" s="70" t="s">
        <x:v>103</x:v>
      </x:c>
      <x:c r="D470" s="70" t="s">
        <x:v>297</x:v>
      </x:c>
      <x:c r="E470" s="70" t="s">
        <x:v>1203</x:v>
      </x:c>
      <x:c r="F470" s="70" t="s">
        <x:v>1242</x:v>
      </x:c>
      <x:c r="G470" s="70" t="s">
        <x:v>844</x:v>
      </x:c>
      <x:c r="H470" s="70" t="s">
        <x:v>845</x:v>
      </x:c>
      <x:c r="I470" s="70" t="s">
        <x:v>833</x:v>
      </x:c>
      <x:c r="J470" s="70" t="n">
        <x:v>63</x:v>
      </x:c>
      <x:c r="K470" s="70" t="s">
        <x:v>864</x:v>
      </x:c>
      <x:c r="L470" s="70"/>
      <x:c r="M470" s="70" t="s">
        <x:v>28</x:v>
      </x:c>
      <x:c r="N470" s="71" t="n">
        <x:v>-2470515763</x:v>
      </x:c>
      <x:c r="O470" s="72" t="n">
        <x:f aca="0">N470/1000000</x:f>
        <x:v>-2470.515763</x:v>
      </x:c>
      <x:c r="P470" s="73" t="n">
        <x:f aca="0">KOHC!F122</x:f>
        <x:v>-2470.515763</x:v>
      </x:c>
      <x:c r="Q470" s="70" t="str">
        <x:f aca="0">IF(ABS(O470-P470)&lt;0.000001,"PASS","FAIL")</x:f>
        <x:v>PASS</x:v>
      </x:c>
      <x:c r="R470" s="70" t="s">
        <x:v>27</x:v>
      </x:c>
      <x:c r="S470" s="70" t="s">
        <x:v>839</x:v>
      </x:c>
    </x:row>
    <x:row r="471" ht="15" hidden="0">
      <x:c r="A471" s="70" t="s">
        <x:v>1245</x:v>
      </x:c>
      <x:c r="B471" s="70" t="s">
        <x:v>24</x:v>
      </x:c>
      <x:c r="C471" s="70" t="s">
        <x:v>104</x:v>
      </x:c>
      <x:c r="D471" s="70" t="s">
        <x:v>297</x:v>
      </x:c>
      <x:c r="E471" s="70" t="s">
        <x:v>1203</x:v>
      </x:c>
      <x:c r="F471" s="70" t="s">
        <x:v>1242</x:v>
      </x:c>
      <x:c r="G471" s="70" t="s">
        <x:v>848</x:v>
      </x:c>
      <x:c r="H471" s="70" t="s">
        <x:v>849</x:v>
      </x:c>
      <x:c r="I471" s="70" t="s">
        <x:v>833</x:v>
      </x:c>
      <x:c r="J471" s="70" t="n">
        <x:v>73</x:v>
      </x:c>
      <x:c r="K471" s="70" t="s">
        <x:v>834</x:v>
      </x:c>
      <x:c r="L471" s="70"/>
      <x:c r="M471" s="70" t="s">
        <x:v>28</x:v>
      </x:c>
      <x:c r="N471" s="71" t="n">
        <x:v>-5030324094</x:v>
      </x:c>
      <x:c r="O471" s="72" t="n">
        <x:f aca="0">N471/1000000</x:f>
        <x:v>-5030.324094</x:v>
      </x:c>
      <x:c r="P471" s="73" t="n">
        <x:f aca="0">KOHC!G122</x:f>
        <x:v>-5030.324094</x:v>
      </x:c>
      <x:c r="Q471" s="70" t="str">
        <x:f aca="0">IF(ABS(O471-P471)&lt;0.000001,"PASS","FAIL")</x:f>
        <x:v>PASS</x:v>
      </x:c>
      <x:c r="R471" s="70" t="s">
        <x:v>27</x:v>
      </x:c>
      <x:c r="S471" s="70" t="s">
        <x:v>839</x:v>
      </x:c>
    </x:row>
    <x:row r="472" ht="15" hidden="0">
      <x:c r="A472" s="70" t="s">
        <x:v>1246</x:v>
      </x:c>
      <x:c r="B472" s="70" t="s">
        <x:v>24</x:v>
      </x:c>
      <x:c r="C472" s="70" t="s">
        <x:v>105</x:v>
      </x:c>
      <x:c r="D472" s="70" t="s">
        <x:v>297</x:v>
      </x:c>
      <x:c r="E472" s="70" t="s">
        <x:v>1203</x:v>
      </x:c>
      <x:c r="F472" s="70" t="s">
        <x:v>1242</x:v>
      </x:c>
      <x:c r="G472" s="70" t="s">
        <x:v>848</x:v>
      </x:c>
      <x:c r="H472" s="70" t="s">
        <x:v>849</x:v>
      </x:c>
      <x:c r="I472" s="70" t="s">
        <x:v>852</x:v>
      </x:c>
      <x:c r="J472" s="70" t="n">
        <x:v>73</x:v>
      </x:c>
      <x:c r="K472" s="70" t="s">
        <x:v>834</x:v>
      </x:c>
      <x:c r="L472" s="70"/>
      <x:c r="M472" s="70" t="s">
        <x:v>28</x:v>
      </x:c>
      <x:c r="N472" s="71" t="n">
        <x:v>-4398595770</x:v>
      </x:c>
      <x:c r="O472" s="72" t="n">
        <x:f aca="0">N472/1000000</x:f>
        <x:v>-4398.59577</x:v>
      </x:c>
      <x:c r="P472" s="73" t="n">
        <x:f aca="0">KOHC!H122</x:f>
        <x:v>-4398.59577</x:v>
      </x:c>
      <x:c r="Q472" s="70" t="str">
        <x:f aca="0">IF(ABS(O472-P472)&lt;0.000001,"PASS","FAIL")</x:f>
        <x:v>PASS</x:v>
      </x:c>
      <x:c r="R472" s="70" t="s">
        <x:v>27</x:v>
      </x:c>
      <x:c r="S472" s="70"/>
    </x:row>
    <x:row r="473" ht="15" hidden="0">
      <x:c r="A473" s="70" t="s">
        <x:v>1247</x:v>
      </x:c>
      <x:c r="B473" s="70" t="s">
        <x:v>24</x:v>
      </x:c>
      <x:c r="C473" s="70" t="s">
        <x:v>101</x:v>
      </x:c>
      <x:c r="D473" s="70" t="s">
        <x:v>299</x:v>
      </x:c>
      <x:c r="E473" s="70" t="s">
        <x:v>1203</x:v>
      </x:c>
      <x:c r="F473" s="70" t="s">
        <x:v>1248</x:v>
      </x:c>
      <x:c r="G473" s="70" t="s">
        <x:v>837</x:v>
      </x:c>
      <x:c r="H473" s="70" t="s">
        <x:v>838</x:v>
      </x:c>
      <x:c r="I473" s="70" t="s">
        <x:v>833</x:v>
      </x:c>
      <x:c r="J473" s="70" t="n">
        <x:v>57</x:v>
      </x:c>
      <x:c r="K473" s="70" t="s">
        <x:v>864</x:v>
      </x:c>
      <x:c r="L473" s="70"/>
      <x:c r="M473" s="70" t="s">
        <x:v>28</x:v>
      </x:c>
      <x:c r="N473" s="71" t="n">
        <x:v>-943014252</x:v>
      </x:c>
      <x:c r="O473" s="72" t="n">
        <x:f aca="0">N473/1000000</x:f>
        <x:v>-943.014252</x:v>
      </x:c>
      <x:c r="P473" s="73" t="n">
        <x:f aca="0">KOHC!D123</x:f>
        <x:v>-943.014252</x:v>
      </x:c>
      <x:c r="Q473" s="70" t="str">
        <x:f aca="0">IF(ABS(O473-P473)&lt;0.000001,"PASS","FAIL")</x:f>
        <x:v>PASS</x:v>
      </x:c>
      <x:c r="R473" s="70" t="s">
        <x:v>27</x:v>
      </x:c>
      <x:c r="S473" s="70"/>
    </x:row>
    <x:row r="474" ht="15" hidden="0">
      <x:c r="A474" s="70" t="s">
        <x:v>1249</x:v>
      </x:c>
      <x:c r="B474" s="70" t="s">
        <x:v>24</x:v>
      </x:c>
      <x:c r="C474" s="70" t="s">
        <x:v>102</x:v>
      </x:c>
      <x:c r="D474" s="70" t="s">
        <x:v>299</x:v>
      </x:c>
      <x:c r="E474" s="70" t="s">
        <x:v>1203</x:v>
      </x:c>
      <x:c r="F474" s="70" t="s">
        <x:v>1248</x:v>
      </x:c>
      <x:c r="G474" s="70" t="s">
        <x:v>841</x:v>
      </x:c>
      <x:c r="H474" s="70" t="s">
        <x:v>842</x:v>
      </x:c>
      <x:c r="I474" s="70" t="s">
        <x:v>833</x:v>
      </x:c>
      <x:c r="J474" s="70" t="n">
        <x:v>57</x:v>
      </x:c>
      <x:c r="K474" s="70" t="s">
        <x:v>864</x:v>
      </x:c>
      <x:c r="L474" s="70"/>
      <x:c r="M474" s="70" t="s">
        <x:v>28</x:v>
      </x:c>
      <x:c r="N474" s="71" t="n">
        <x:v>-1805333093</x:v>
      </x:c>
      <x:c r="O474" s="72" t="n">
        <x:f aca="0">N474/1000000</x:f>
        <x:v>-1805.333093</x:v>
      </x:c>
      <x:c r="P474" s="73" t="n">
        <x:f aca="0">KOHC!E123</x:f>
        <x:v>-1805.333093</x:v>
      </x:c>
      <x:c r="Q474" s="70" t="str">
        <x:f aca="0">IF(ABS(O474-P474)&lt;0.000001,"PASS","FAIL")</x:f>
        <x:v>PASS</x:v>
      </x:c>
      <x:c r="R474" s="70" t="s">
        <x:v>27</x:v>
      </x:c>
      <x:c r="S474" s="70"/>
    </x:row>
    <x:row r="475" ht="15" hidden="0">
      <x:c r="A475" s="70" t="s">
        <x:v>1250</x:v>
      </x:c>
      <x:c r="B475" s="70" t="s">
        <x:v>24</x:v>
      </x:c>
      <x:c r="C475" s="70" t="s">
        <x:v>103</x:v>
      </x:c>
      <x:c r="D475" s="70" t="s">
        <x:v>299</x:v>
      </x:c>
      <x:c r="E475" s="70" t="s">
        <x:v>1203</x:v>
      </x:c>
      <x:c r="F475" s="70" t="s">
        <x:v>1248</x:v>
      </x:c>
      <x:c r="G475" s="70" t="s">
        <x:v>844</x:v>
      </x:c>
      <x:c r="H475" s="70" t="s">
        <x:v>845</x:v>
      </x:c>
      <x:c r="I475" s="70" t="s">
        <x:v>833</x:v>
      </x:c>
      <x:c r="J475" s="70" t="n">
        <x:v>63</x:v>
      </x:c>
      <x:c r="K475" s="70" t="s">
        <x:v>864</x:v>
      </x:c>
      <x:c r="L475" s="70"/>
      <x:c r="M475" s="70" t="s">
        <x:v>28</x:v>
      </x:c>
      <x:c r="N475" s="71" t="n">
        <x:v>-1528794437</x:v>
      </x:c>
      <x:c r="O475" s="72" t="n">
        <x:f aca="0">N475/1000000</x:f>
        <x:v>-1528.794437</x:v>
      </x:c>
      <x:c r="P475" s="73" t="n">
        <x:f aca="0">KOHC!F123</x:f>
        <x:v>-1528.794437</x:v>
      </x:c>
      <x:c r="Q475" s="70" t="str">
        <x:f aca="0">IF(ABS(O475-P475)&lt;0.000001,"PASS","FAIL")</x:f>
        <x:v>PASS</x:v>
      </x:c>
      <x:c r="R475" s="70" t="s">
        <x:v>27</x:v>
      </x:c>
      <x:c r="S475" s="70"/>
    </x:row>
    <x:row r="476" ht="15" hidden="0">
      <x:c r="A476" s="70" t="s">
        <x:v>1251</x:v>
      </x:c>
      <x:c r="B476" s="70" t="s">
        <x:v>24</x:v>
      </x:c>
      <x:c r="C476" s="70" t="s">
        <x:v>104</x:v>
      </x:c>
      <x:c r="D476" s="70" t="s">
        <x:v>299</x:v>
      </x:c>
      <x:c r="E476" s="70" t="s">
        <x:v>1203</x:v>
      </x:c>
      <x:c r="F476" s="70" t="s">
        <x:v>1248</x:v>
      </x:c>
      <x:c r="G476" s="70" t="s">
        <x:v>848</x:v>
      </x:c>
      <x:c r="H476" s="70" t="s">
        <x:v>849</x:v>
      </x:c>
      <x:c r="I476" s="70" t="s">
        <x:v>833</x:v>
      </x:c>
      <x:c r="J476" s="70" t="n">
        <x:v>73</x:v>
      </x:c>
      <x:c r="K476" s="70" t="s">
        <x:v>834</x:v>
      </x:c>
      <x:c r="L476" s="70"/>
      <x:c r="M476" s="70" t="s">
        <x:v>28</x:v>
      </x:c>
      <x:c r="N476" s="71" t="n">
        <x:v>-1447737336</x:v>
      </x:c>
      <x:c r="O476" s="72" t="n">
        <x:f aca="0">N476/1000000</x:f>
        <x:v>-1447.737336</x:v>
      </x:c>
      <x:c r="P476" s="73" t="n">
        <x:f aca="0">KOHC!G123</x:f>
        <x:v>-1447.737336</x:v>
      </x:c>
      <x:c r="Q476" s="70" t="str">
        <x:f aca="0">IF(ABS(O476-P476)&lt;0.000001,"PASS","FAIL")</x:f>
        <x:v>PASS</x:v>
      </x:c>
      <x:c r="R476" s="70" t="s">
        <x:v>27</x:v>
      </x:c>
      <x:c r="S476" s="70"/>
    </x:row>
    <x:row r="477" ht="15" hidden="0">
      <x:c r="A477" s="70" t="s">
        <x:v>1252</x:v>
      </x:c>
      <x:c r="B477" s="70" t="s">
        <x:v>24</x:v>
      </x:c>
      <x:c r="C477" s="70" t="s">
        <x:v>105</x:v>
      </x:c>
      <x:c r="D477" s="70" t="s">
        <x:v>299</x:v>
      </x:c>
      <x:c r="E477" s="70" t="s">
        <x:v>1203</x:v>
      </x:c>
      <x:c r="F477" s="70" t="s">
        <x:v>1248</x:v>
      </x:c>
      <x:c r="G477" s="70" t="s">
        <x:v>848</x:v>
      </x:c>
      <x:c r="H477" s="70" t="s">
        <x:v>849</x:v>
      </x:c>
      <x:c r="I477" s="70" t="s">
        <x:v>852</x:v>
      </x:c>
      <x:c r="J477" s="70" t="n">
        <x:v>73</x:v>
      </x:c>
      <x:c r="K477" s="70" t="s">
        <x:v>834</x:v>
      </x:c>
      <x:c r="L477" s="70"/>
      <x:c r="M477" s="70" t="s">
        <x:v>28</x:v>
      </x:c>
      <x:c r="N477" s="71" t="n">
        <x:v>-4631639217</x:v>
      </x:c>
      <x:c r="O477" s="72" t="n">
        <x:f aca="0">N477/1000000</x:f>
        <x:v>-4631.639217</x:v>
      </x:c>
      <x:c r="P477" s="73" t="n">
        <x:f aca="0">KOHC!H123</x:f>
        <x:v>-4631.639217</x:v>
      </x:c>
      <x:c r="Q477" s="70" t="str">
        <x:f aca="0">IF(ABS(O477-P477)&lt;0.000001,"PASS","FAIL")</x:f>
        <x:v>PASS</x:v>
      </x:c>
      <x:c r="R477" s="70" t="s">
        <x:v>27</x:v>
      </x:c>
      <x:c r="S477" s="70"/>
    </x:row>
    <x:row r="478" ht="15" hidden="0">
      <x:c r="A478" s="70" t="s">
        <x:v>1253</x:v>
      </x:c>
      <x:c r="B478" s="70" t="s">
        <x:v>24</x:v>
      </x:c>
      <x:c r="C478" s="70" t="s">
        <x:v>101</x:v>
      </x:c>
      <x:c r="D478" s="70" t="s">
        <x:v>301</x:v>
      </x:c>
      <x:c r="E478" s="70" t="s">
        <x:v>1203</x:v>
      </x:c>
      <x:c r="F478" s="70" t="s">
        <x:v>1254</x:v>
      </x:c>
      <x:c r="G478" s="70" t="s">
        <x:v>837</x:v>
      </x:c>
      <x:c r="H478" s="70" t="s">
        <x:v>838</x:v>
      </x:c>
      <x:c r="I478" s="70" t="s">
        <x:v>833</x:v>
      </x:c>
      <x:c r="J478" s="70" t="n">
        <x:v>57</x:v>
      </x:c>
      <x:c r="K478" s="70" t="s">
        <x:v>864</x:v>
      </x:c>
      <x:c r="L478" s="70"/>
      <x:c r="M478" s="70" t="s">
        <x:v>28</x:v>
      </x:c>
      <x:c r="N478" s="71" t="n">
        <x:v>-1816796</x:v>
      </x:c>
      <x:c r="O478" s="72" t="n">
        <x:f aca="0">N478/1000000</x:f>
        <x:v>-1.816796</x:v>
      </x:c>
      <x:c r="P478" s="73" t="n">
        <x:f aca="0">KOHC!D124</x:f>
        <x:v>-1.816796</x:v>
      </x:c>
      <x:c r="Q478" s="70" t="str">
        <x:f aca="0">IF(ABS(O478-P478)&lt;0.000001,"PASS","FAIL")</x:f>
        <x:v>PASS</x:v>
      </x:c>
      <x:c r="R478" s="70" t="s">
        <x:v>27</x:v>
      </x:c>
      <x:c r="S478" s="70"/>
    </x:row>
    <x:row r="479" ht="15" hidden="0">
      <x:c r="A479" s="70" t="s">
        <x:v>1255</x:v>
      </x:c>
      <x:c r="B479" s="70" t="s">
        <x:v>24</x:v>
      </x:c>
      <x:c r="C479" s="70" t="s">
        <x:v>102</x:v>
      </x:c>
      <x:c r="D479" s="70" t="s">
        <x:v>301</x:v>
      </x:c>
      <x:c r="E479" s="70" t="s">
        <x:v>1203</x:v>
      </x:c>
      <x:c r="F479" s="70" t="s">
        <x:v>1254</x:v>
      </x:c>
      <x:c r="G479" s="70" t="s">
        <x:v>841</x:v>
      </x:c>
      <x:c r="H479" s="70" t="s">
        <x:v>842</x:v>
      </x:c>
      <x:c r="I479" s="70" t="s">
        <x:v>833</x:v>
      </x:c>
      <x:c r="J479" s="70" t="n">
        <x:v>57</x:v>
      </x:c>
      <x:c r="K479" s="70" t="s">
        <x:v>864</x:v>
      </x:c>
      <x:c r="L479" s="70"/>
      <x:c r="M479" s="70" t="s">
        <x:v>28</x:v>
      </x:c>
      <x:c r="N479" s="71" t="n">
        <x:v>-549503</x:v>
      </x:c>
      <x:c r="O479" s="72" t="n">
        <x:f aca="0">N479/1000000</x:f>
        <x:v>-0.549503</x:v>
      </x:c>
      <x:c r="P479" s="73" t="n">
        <x:f aca="0">KOHC!E124</x:f>
        <x:v>-0.549503</x:v>
      </x:c>
      <x:c r="Q479" s="70" t="str">
        <x:f aca="0">IF(ABS(O479-P479)&lt;0.000001,"PASS","FAIL")</x:f>
        <x:v>PASS</x:v>
      </x:c>
      <x:c r="R479" s="70" t="s">
        <x:v>27</x:v>
      </x:c>
      <x:c r="S479" s="70"/>
    </x:row>
    <x:row r="480" ht="15" hidden="0">
      <x:c r="A480" s="70" t="s">
        <x:v>1256</x:v>
      </x:c>
      <x:c r="B480" s="70" t="s">
        <x:v>24</x:v>
      </x:c>
      <x:c r="C480" s="70" t="s">
        <x:v>103</x:v>
      </x:c>
      <x:c r="D480" s="70" t="s">
        <x:v>301</x:v>
      </x:c>
      <x:c r="E480" s="70" t="s">
        <x:v>1203</x:v>
      </x:c>
      <x:c r="F480" s="70" t="s">
        <x:v>1254</x:v>
      </x:c>
      <x:c r="G480" s="70" t="s">
        <x:v>844</x:v>
      </x:c>
      <x:c r="H480" s="70" t="s">
        <x:v>845</x:v>
      </x:c>
      <x:c r="I480" s="70" t="s">
        <x:v>833</x:v>
      </x:c>
      <x:c r="J480" s="70" t="n">
        <x:v>63</x:v>
      </x:c>
      <x:c r="K480" s="70" t="s">
        <x:v>864</x:v>
      </x:c>
      <x:c r="L480" s="70"/>
      <x:c r="M480" s="70" t="s">
        <x:v>28</x:v>
      </x:c>
      <x:c r="N480" s="71" t="n">
        <x:v>-172829</x:v>
      </x:c>
      <x:c r="O480" s="72" t="n">
        <x:f aca="0">N480/1000000</x:f>
        <x:v>-0.172829</x:v>
      </x:c>
      <x:c r="P480" s="73" t="n">
        <x:f aca="0">KOHC!F124</x:f>
        <x:v>-0.172829</x:v>
      </x:c>
      <x:c r="Q480" s="70" t="str">
        <x:f aca="0">IF(ABS(O480-P480)&lt;0.000001,"PASS","FAIL")</x:f>
        <x:v>PASS</x:v>
      </x:c>
      <x:c r="R480" s="70" t="s">
        <x:v>27</x:v>
      </x:c>
      <x:c r="S480" s="70"/>
    </x:row>
    <x:row r="481" ht="15" hidden="0">
      <x:c r="A481" s="70" t="s">
        <x:v>1257</x:v>
      </x:c>
      <x:c r="B481" s="70" t="s">
        <x:v>24</x:v>
      </x:c>
      <x:c r="C481" s="70" t="s">
        <x:v>104</x:v>
      </x:c>
      <x:c r="D481" s="70" t="s">
        <x:v>301</x:v>
      </x:c>
      <x:c r="E481" s="70" t="s">
        <x:v>1203</x:v>
      </x:c>
      <x:c r="F481" s="70" t="s">
        <x:v>1254</x:v>
      </x:c>
      <x:c r="G481" s="70" t="s">
        <x:v>848</x:v>
      </x:c>
      <x:c r="H481" s="70" t="s">
        <x:v>849</x:v>
      </x:c>
      <x:c r="I481" s="70" t="s">
        <x:v>833</x:v>
      </x:c>
      <x:c r="J481" s="70" t="n">
        <x:v>73</x:v>
      </x:c>
      <x:c r="K481" s="70" t="s">
        <x:v>834</x:v>
      </x:c>
      <x:c r="L481" s="70"/>
      <x:c r="M481" s="70" t="s">
        <x:v>28</x:v>
      </x:c>
      <x:c r="N481" s="71" t="n">
        <x:v>-136289</x:v>
      </x:c>
      <x:c r="O481" s="72" t="n">
        <x:f aca="0">N481/1000000</x:f>
        <x:v>-0.136289</x:v>
      </x:c>
      <x:c r="P481" s="73" t="n">
        <x:f aca="0">KOHC!G124</x:f>
        <x:v>-0.136289</x:v>
      </x:c>
      <x:c r="Q481" s="70" t="str">
        <x:f aca="0">IF(ABS(O481-P481)&lt;0.000001,"PASS","FAIL")</x:f>
        <x:v>PASS</x:v>
      </x:c>
      <x:c r="R481" s="70" t="s">
        <x:v>27</x:v>
      </x:c>
      <x:c r="S481" s="70"/>
    </x:row>
    <x:row r="482" ht="15" hidden="0">
      <x:c r="A482" s="70" t="s">
        <x:v>1258</x:v>
      </x:c>
      <x:c r="B482" s="70" t="s">
        <x:v>24</x:v>
      </x:c>
      <x:c r="C482" s="70" t="s">
        <x:v>105</x:v>
      </x:c>
      <x:c r="D482" s="70" t="s">
        <x:v>301</x:v>
      </x:c>
      <x:c r="E482" s="70" t="s">
        <x:v>1203</x:v>
      </x:c>
      <x:c r="F482" s="70" t="s">
        <x:v>1254</x:v>
      </x:c>
      <x:c r="G482" s="70" t="s">
        <x:v>848</x:v>
      </x:c>
      <x:c r="H482" s="70" t="s">
        <x:v>849</x:v>
      </x:c>
      <x:c r="I482" s="70" t="s">
        <x:v>852</x:v>
      </x:c>
      <x:c r="J482" s="70" t="n">
        <x:v>73</x:v>
      </x:c>
      <x:c r="K482" s="70" t="s">
        <x:v>834</x:v>
      </x:c>
      <x:c r="L482" s="70"/>
      <x:c r="M482" s="70" t="s">
        <x:v>28</x:v>
      </x:c>
      <x:c r="N482" s="71" t="n">
        <x:v>-3157674</x:v>
      </x:c>
      <x:c r="O482" s="72" t="n">
        <x:f aca="0">N482/1000000</x:f>
        <x:v>-3.157674</x:v>
      </x:c>
      <x:c r="P482" s="73" t="n">
        <x:f aca="0">KOHC!H124</x:f>
        <x:v>-3.157674</x:v>
      </x:c>
      <x:c r="Q482" s="70" t="str">
        <x:f aca="0">IF(ABS(O482-P482)&lt;0.000001,"PASS","FAIL")</x:f>
        <x:v>PASS</x:v>
      </x:c>
      <x:c r="R482" s="70" t="s">
        <x:v>27</x:v>
      </x:c>
      <x:c r="S482" s="70"/>
    </x:row>
    <x:row r="483" ht="15" hidden="0">
      <x:c r="A483" s="70" t="s">
        <x:v>1259</x:v>
      </x:c>
      <x:c r="B483" s="70" t="s">
        <x:v>24</x:v>
      </x:c>
      <x:c r="C483" s="70" t="s">
        <x:v>101</x:v>
      </x:c>
      <x:c r="D483" s="70" t="s">
        <x:v>304</x:v>
      </x:c>
      <x:c r="E483" s="70" t="s">
        <x:v>855</x:v>
      </x:c>
      <x:c r="F483" s="70" t="s">
        <x:v>1260</x:v>
      </x:c>
      <x:c r="G483" s="70" t="s">
        <x:v>831</x:v>
      </x:c>
      <x:c r="H483" s="70" t="s">
        <x:v>832</x:v>
      </x:c>
      <x:c r="I483" s="70" t="s">
        <x:v>852</x:v>
      </x:c>
      <x:c r="J483" s="70" t="n">
        <x:v>86</x:v>
      </x:c>
      <x:c r="K483" s="70" t="s">
        <x:v>1261</x:v>
      </x:c>
      <x:c r="L483" s="70"/>
      <x:c r="M483" s="70" t="s">
        <x:v>306</x:v>
      </x:c>
      <x:c r="N483" s="70" t="n">
        <x:v>10</x:v>
      </x:c>
      <x:c r="O483" s="70" t="n">
        <x:f aca="0">N483</x:f>
        <x:v>10</x:v>
      </x:c>
      <x:c r="P483" s="74" t="n">
        <x:f aca="0">KOHC!D127</x:f>
        <x:v>10</x:v>
      </x:c>
      <x:c r="Q483" s="70" t="str">
        <x:f aca="0">IF(ABS(O483-P483)&lt;0.000001,"PASS","FAIL")</x:f>
        <x:v>PASS</x:v>
      </x:c>
      <x:c r="R483" s="70" t="s">
        <x:v>27</x:v>
      </x:c>
      <x:c r="S483" s="70" t="str">
        <x:v>Verified FY-end share basis; see Share Basis and Corporate Actions for source excerpts and normalization. Original source metadata superseded where the basis changed.</x:v>
      </x:c>
    </x:row>
    <x:row r="484" ht="15" hidden="0">
      <x:c r="A484" s="70" t="s">
        <x:v>1262</x:v>
      </x:c>
      <x:c r="B484" s="70" t="s">
        <x:v>24</x:v>
      </x:c>
      <x:c r="C484" s="70" t="s">
        <x:v>102</x:v>
      </x:c>
      <x:c r="D484" s="70" t="s">
        <x:v>304</x:v>
      </x:c>
      <x:c r="E484" s="70" t="s">
        <x:v>855</x:v>
      </x:c>
      <x:c r="F484" s="70" t="s">
        <x:v>1260</x:v>
      </x:c>
      <x:c r="G484" s="70" t="s">
        <x:v>837</x:v>
      </x:c>
      <x:c r="H484" s="70" t="s">
        <x:v>838</x:v>
      </x:c>
      <x:c r="I484" s="70" t="s">
        <x:v>852</x:v>
      </x:c>
      <x:c r="J484" s="70" t="n">
        <x:v>94</x:v>
      </x:c>
      <x:c r="K484" s="70" t="s">
        <x:v>1194</x:v>
      </x:c>
      <x:c r="L484" s="70"/>
      <x:c r="M484" s="70" t="s">
        <x:v>306</x:v>
      </x:c>
      <x:c r="N484" s="70" t="n">
        <x:v>10</x:v>
      </x:c>
      <x:c r="O484" s="70" t="n">
        <x:f aca="0">N484</x:f>
        <x:v>10</x:v>
      </x:c>
      <x:c r="P484" s="74" t="n">
        <x:f aca="0">KOHC!E127</x:f>
        <x:v>10</x:v>
      </x:c>
      <x:c r="Q484" s="70" t="str">
        <x:f aca="0">IF(ABS(O484-P484)&lt;0.000001,"PASS","FAIL")</x:f>
        <x:v>PASS</x:v>
      </x:c>
      <x:c r="R484" s="70" t="s">
        <x:v>27</x:v>
      </x:c>
      <x:c r="S484" s="70" t="str">
        <x:v>Verified FY-end share basis; see Share Basis and Corporate Actions for source excerpts and normalization. Original source metadata superseded where the basis changed.</x:v>
      </x:c>
    </x:row>
    <x:row r="485" ht="15" hidden="0">
      <x:c r="A485" s="70" t="s">
        <x:v>1263</x:v>
      </x:c>
      <x:c r="B485" s="70" t="s">
        <x:v>24</x:v>
      </x:c>
      <x:c r="C485" s="70" t="s">
        <x:v>103</x:v>
      </x:c>
      <x:c r="D485" s="70" t="s">
        <x:v>304</x:v>
      </x:c>
      <x:c r="E485" s="70" t="s">
        <x:v>855</x:v>
      </x:c>
      <x:c r="F485" s="70" t="s">
        <x:v>1260</x:v>
      </x:c>
      <x:c r="G485" s="70" t="s">
        <x:v>841</x:v>
      </x:c>
      <x:c r="H485" s="70" t="s">
        <x:v>842</x:v>
      </x:c>
      <x:c r="I485" s="70" t="s">
        <x:v>852</x:v>
      </x:c>
      <x:c r="J485" s="70" t="n">
        <x:v>92</x:v>
      </x:c>
      <x:c r="K485" s="70" t="s">
        <x:v>1196</x:v>
      </x:c>
      <x:c r="L485" s="70"/>
      <x:c r="M485" s="70" t="s">
        <x:v>306</x:v>
      </x:c>
      <x:c r="N485" s="70" t="n">
        <x:v>10</x:v>
      </x:c>
      <x:c r="O485" s="70" t="n">
        <x:f aca="0">N485</x:f>
        <x:v>10</x:v>
      </x:c>
      <x:c r="P485" s="74" t="n">
        <x:f aca="0">KOHC!F127</x:f>
        <x:v>10</x:v>
      </x:c>
      <x:c r="Q485" s="70" t="str">
        <x:f aca="0">IF(ABS(O485-P485)&lt;0.000001,"PASS","FAIL")</x:f>
        <x:v>PASS</x:v>
      </x:c>
      <x:c r="R485" s="70" t="s">
        <x:v>27</x:v>
      </x:c>
      <x:c r="S485" s="70" t="str">
        <x:v>Verified FY-end share basis; see Share Basis and Corporate Actions for source excerpts and normalization. Original source metadata superseded where the basis changed.</x:v>
      </x:c>
    </x:row>
    <x:row r="486" ht="15" hidden="0">
      <x:c r="A486" s="70" t="s">
        <x:v>1264</x:v>
      </x:c>
      <x:c r="B486" s="70" t="s">
        <x:v>24</x:v>
      </x:c>
      <x:c r="C486" s="70" t="s">
        <x:v>104</x:v>
      </x:c>
      <x:c r="D486" s="70" t="s">
        <x:v>304</x:v>
      </x:c>
      <x:c r="E486" s="70" t="s">
        <x:v>855</x:v>
      </x:c>
      <x:c r="F486" s="70" t="s">
        <x:v>1260</x:v>
      </x:c>
      <x:c r="G486" s="70" t="s">
        <x:v>844</x:v>
      </x:c>
      <x:c r="H486" s="70" t="s">
        <x:v>845</x:v>
      </x:c>
      <x:c r="I486" s="70" t="s">
        <x:v>852</x:v>
      </x:c>
      <x:c r="J486" s="70" t="n">
        <x:v>101</x:v>
      </x:c>
      <x:c r="K486" s="70" t="s">
        <x:v>834</x:v>
      </x:c>
      <x:c r="L486" s="70"/>
      <x:c r="M486" s="70" t="s">
        <x:v>306</x:v>
      </x:c>
      <x:c r="N486" s="70" t="n">
        <x:v>10</x:v>
      </x:c>
      <x:c r="O486" s="70" t="n">
        <x:f aca="0">N486</x:f>
        <x:v>10</x:v>
      </x:c>
      <x:c r="P486" s="74" t="n">
        <x:f aca="0">KOHC!G127</x:f>
        <x:v>10</x:v>
      </x:c>
      <x:c r="Q486" s="70" t="str">
        <x:f aca="0">IF(ABS(O486-P486)&lt;0.000001,"PASS","FAIL")</x:f>
        <x:v>PASS</x:v>
      </x:c>
      <x:c r="R486" s="70" t="s">
        <x:v>27</x:v>
      </x:c>
      <x:c r="S486" s="70" t="str">
        <x:v>Verified FY-end share basis; see Share Basis and Corporate Actions for source excerpts and normalization. Original source metadata superseded where the basis changed.</x:v>
      </x:c>
    </x:row>
    <x:row r="487" ht="15" hidden="0">
      <x:c r="A487" s="70" t="s">
        <x:v>1265</x:v>
      </x:c>
      <x:c r="B487" s="70" t="s">
        <x:v>24</x:v>
      </x:c>
      <x:c r="C487" s="70" t="s">
        <x:v>105</x:v>
      </x:c>
      <x:c r="D487" s="70" t="s">
        <x:v>304</x:v>
      </x:c>
      <x:c r="E487" s="70" t="s">
        <x:v>855</x:v>
      </x:c>
      <x:c r="F487" s="70" t="s">
        <x:v>1260</x:v>
      </x:c>
      <x:c r="G487" s="70" t="s">
        <x:v>848</x:v>
      </x:c>
      <x:c r="H487" s="70" t="s">
        <x:v>849</x:v>
      </x:c>
      <x:c r="I487" s="70" t="s">
        <x:v>852</x:v>
      </x:c>
      <x:c r="J487" s="70" t="n">
        <x:v>109</x:v>
      </x:c>
      <x:c r="K487" s="70" t="s">
        <x:v>834</x:v>
      </x:c>
      <x:c r="L487" s="70"/>
      <x:c r="M487" s="70" t="s">
        <x:v>306</x:v>
      </x:c>
      <x:c r="N487" s="70" t="n">
        <x:v>10</x:v>
      </x:c>
      <x:c r="O487" s="70" t="n">
        <x:f aca="0">N487</x:f>
        <x:v>10</x:v>
      </x:c>
      <x:c r="P487" s="74" t="n">
        <x:f aca="0">KOHC!H127</x:f>
        <x:v>10</x:v>
      </x:c>
      <x:c r="Q487" s="70" t="str">
        <x:f aca="0">IF(ABS(O487-P487)&lt;0.000001,"PASS","FAIL")</x:f>
        <x:v>PASS</x:v>
      </x:c>
      <x:c r="R487" s="70" t="s">
        <x:v>27</x:v>
      </x:c>
      <x:c r="S487" s="70" t="str">
        <x:v>Verified FY-end share basis; see Share Basis and Corporate Actions for source excerpts and normalization. Original source metadata superseded where the basis changed.</x:v>
      </x:c>
    </x:row>
    <x:row r="488" ht="15" hidden="0">
      <x:c r="A488" s="70" t="s">
        <x:v>1266</x:v>
      </x:c>
      <x:c r="B488" s="70" t="s">
        <x:v>24</x:v>
      </x:c>
      <x:c r="C488" s="70" t="s">
        <x:v>101</x:v>
      </x:c>
      <x:c r="D488" s="70" t="s">
        <x:v>310</x:v>
      </x:c>
      <x:c r="E488" s="70" t="s">
        <x:v>855</x:v>
      </x:c>
      <x:c r="F488" s="70" t="s">
        <x:v>1267</x:v>
      </x:c>
      <x:c r="G488" s="70" t="str">
        <x:v>KOHC_AR_2021.pdf</x:v>
      </x:c>
      <x:c r="H488" s="70" t="s">
        <x:v>832</x:v>
      </x:c>
      <x:c r="I488" s="70" t="s">
        <x:v>852</x:v>
      </x:c>
      <x:c r="J488" s="70" t="n">
        <x:v>86</x:v>
      </x:c>
      <x:c r="K488" s="70" t="s">
        <x:v>1261</x:v>
      </x:c>
      <x:c r="L488" s="70"/>
      <x:c r="M488" s="70" t="s">
        <x:v>309</x:v>
      </x:c>
      <x:c r="N488" s="70" t="n">
        <x:v>200.861297</x:v>
      </x:c>
      <x:c r="O488" s="70" t="n">
        <x:f aca="0">N488</x:f>
        <x:v>200.861297</x:v>
      </x:c>
      <x:c r="P488" s="72" t="n">
        <x:f aca="0">KOHC!D129</x:f>
        <x:v>200.861297</x:v>
      </x:c>
      <x:c r="Q488" s="70" t="str">
        <x:f aca="0">IF(ABS(O488-P488)&lt;0.000001,"PASS","FAIL")</x:f>
        <x:v>PASS</x:v>
      </x:c>
      <x:c r="R488" s="70" t="s">
        <x:v>27</x:v>
      </x:c>
      <x:c r="S488" s="70" t="str">
        <x:v>Verified FY-end share basis; see Share Basis and Corporate Actions for source excerpts and normalization. Original source metadata superseded where the basis changed.</x:v>
      </x:c>
    </x:row>
    <x:row r="489" ht="15" hidden="0">
      <x:c r="A489" s="70" t="s">
        <x:v>1268</x:v>
      </x:c>
      <x:c r="B489" s="70" t="s">
        <x:v>24</x:v>
      </x:c>
      <x:c r="C489" s="70" t="s">
        <x:v>102</x:v>
      </x:c>
      <x:c r="D489" s="70" t="s">
        <x:v>310</x:v>
      </x:c>
      <x:c r="E489" s="70" t="s">
        <x:v>855</x:v>
      </x:c>
      <x:c r="F489" s="70" t="s">
        <x:v>1267</x:v>
      </x:c>
      <x:c r="G489" s="70" t="str">
        <x:v>Kohat_Cement_AR_2022.pdf</x:v>
      </x:c>
      <x:c r="H489" s="70" t="s">
        <x:v>838</x:v>
      </x:c>
      <x:c r="I489" s="70" t="s">
        <x:v>852</x:v>
      </x:c>
      <x:c r="J489" s="70" t="n">
        <x:v>94</x:v>
      </x:c>
      <x:c r="K489" s="70" t="s">
        <x:v>1194</x:v>
      </x:c>
      <x:c r="L489" s="70"/>
      <x:c r="M489" s="70" t="s">
        <x:v>309</x:v>
      </x:c>
      <x:c r="N489" s="70" t="n">
        <x:v>200.861297</x:v>
      </x:c>
      <x:c r="O489" s="70" t="n">
        <x:f aca="0">N489</x:f>
        <x:v>200.861297</x:v>
      </x:c>
      <x:c r="P489" s="72" t="n">
        <x:f aca="0">KOHC!E129</x:f>
        <x:v>200.861297</x:v>
      </x:c>
      <x:c r="Q489" s="70" t="str">
        <x:f aca="0">IF(ABS(O489-P489)&lt;0.000001,"PASS","FAIL")</x:f>
        <x:v>PASS</x:v>
      </x:c>
      <x:c r="R489" s="70" t="s">
        <x:v>27</x:v>
      </x:c>
      <x:c r="S489" s="70" t="str">
        <x:v>Verified FY-end share basis; see Share Basis and Corporate Actions for source excerpts and normalization. Original source metadata superseded where the basis changed.</x:v>
      </x:c>
    </x:row>
    <x:row r="490" ht="15" hidden="0">
      <x:c r="A490" s="70" t="s">
        <x:v>1269</x:v>
      </x:c>
      <x:c r="B490" s="70" t="s">
        <x:v>24</x:v>
      </x:c>
      <x:c r="C490" s="70" t="s">
        <x:v>103</x:v>
      </x:c>
      <x:c r="D490" s="70" t="s">
        <x:v>310</x:v>
      </x:c>
      <x:c r="E490" s="70" t="s">
        <x:v>855</x:v>
      </x:c>
      <x:c r="F490" s="70" t="s">
        <x:v>1267</x:v>
      </x:c>
      <x:c r="G490" s="70" t="str">
        <x:v>Financial_Statements-30-06-2023.pdf</x:v>
      </x:c>
      <x:c r="H490" s="70" t="s">
        <x:v>842</x:v>
      </x:c>
      <x:c r="I490" s="70" t="s">
        <x:v>852</x:v>
      </x:c>
      <x:c r="J490" s="70" t="n">
        <x:v>92</x:v>
      </x:c>
      <x:c r="K490" s="70" t="s">
        <x:v>1196</x:v>
      </x:c>
      <x:c r="L490" s="70"/>
      <x:c r="M490" s="70" t="s">
        <x:v>309</x:v>
      </x:c>
      <x:c r="N490" s="70" t="n">
        <x:v>200.861297</x:v>
      </x:c>
      <x:c r="O490" s="70" t="n">
        <x:f aca="0">N490</x:f>
        <x:v>200.861297</x:v>
      </x:c>
      <x:c r="P490" s="72" t="n">
        <x:f aca="0">KOHC!F129</x:f>
        <x:v>200.861297</x:v>
      </x:c>
      <x:c r="Q490" s="70" t="str">
        <x:f aca="0">IF(ABS(O490-P490)&lt;0.000001,"PASS","FAIL")</x:f>
        <x:v>PASS</x:v>
      </x:c>
      <x:c r="R490" s="70" t="s">
        <x:v>27</x:v>
      </x:c>
      <x:c r="S490" s="70" t="str">
        <x:v>Verified FY-end share basis; see Share Basis and Corporate Actions for source excerpts and normalization. Original source metadata superseded where the basis changed.</x:v>
      </x:c>
    </x:row>
    <x:row r="491" ht="15" hidden="0">
      <x:c r="A491" s="70" t="s">
        <x:v>1270</x:v>
      </x:c>
      <x:c r="B491" s="70" t="s">
        <x:v>24</x:v>
      </x:c>
      <x:c r="C491" s="70" t="s">
        <x:v>104</x:v>
      </x:c>
      <x:c r="D491" s="70" t="s">
        <x:v>310</x:v>
      </x:c>
      <x:c r="E491" s="70" t="s">
        <x:v>855</x:v>
      </x:c>
      <x:c r="F491" s="70" t="s">
        <x:v>1267</x:v>
      </x:c>
      <x:c r="G491" s="70" t="str">
        <x:v>Kohat_Cement_Annual_Report-2024.pdf</x:v>
      </x:c>
      <x:c r="H491" s="70" t="s">
        <x:v>845</x:v>
      </x:c>
      <x:c r="I491" s="70" t="s">
        <x:v>852</x:v>
      </x:c>
      <x:c r="J491" s="70" t="n">
        <x:v>101</x:v>
      </x:c>
      <x:c r="K491" s="70" t="s">
        <x:v>834</x:v>
      </x:c>
      <x:c r="L491" s="70"/>
      <x:c r="M491" s="70" t="s">
        <x:v>309</x:v>
      </x:c>
      <x:c r="N491" s="70" t="n">
        <x:v>196.435067</x:v>
      </x:c>
      <x:c r="O491" s="70" t="n">
        <x:f aca="0">N491</x:f>
        <x:v>196.435067</x:v>
      </x:c>
      <x:c r="P491" s="72" t="n">
        <x:f aca="0">KOHC!G129</x:f>
        <x:v>196.435067</x:v>
      </x:c>
      <x:c r="Q491" s="70" t="str">
        <x:f aca="0">IF(ABS(O491-P491)&lt;0.000001,"PASS","FAIL")</x:f>
        <x:v>PASS</x:v>
      </x:c>
      <x:c r="R491" s="70" t="s">
        <x:v>27</x:v>
      </x:c>
      <x:c r="S491" s="70" t="str">
        <x:v>Verified FY-end share basis; see Share Basis and Corporate Actions for source excerpts and normalization. Original source metadata superseded where the basis changed.</x:v>
      </x:c>
    </x:row>
    <x:row r="492" ht="15" hidden="0">
      <x:c r="A492" s="70" t="s">
        <x:v>1271</x:v>
      </x:c>
      <x:c r="B492" s="70" t="s">
        <x:v>24</x:v>
      </x:c>
      <x:c r="C492" s="70" t="s">
        <x:v>105</x:v>
      </x:c>
      <x:c r="D492" s="70" t="s">
        <x:v>310</x:v>
      </x:c>
      <x:c r="E492" s="70" t="s">
        <x:v>855</x:v>
      </x:c>
      <x:c r="F492" s="70" t="s">
        <x:v>1267</x:v>
      </x:c>
      <x:c r="G492" s="70" t="str">
        <x:v>Kohat_Cement_Annual_Report_2025.pdf</x:v>
      </x:c>
      <x:c r="H492" s="70" t="s">
        <x:v>849</x:v>
      </x:c>
      <x:c r="I492" s="70" t="s">
        <x:v>852</x:v>
      </x:c>
      <x:c r="J492" s="70" t="n">
        <x:v>109</x:v>
      </x:c>
      <x:c r="K492" s="70" t="s">
        <x:v>834</x:v>
      </x:c>
      <x:c r="L492" s="70"/>
      <x:c r="M492" s="70" t="s">
        <x:v>309</x:v>
      </x:c>
      <x:c r="N492" s="70" t="n">
        <x:v>193.42842</x:v>
      </x:c>
      <x:c r="O492" s="70" t="n">
        <x:f aca="0">N492</x:f>
        <x:v>193.42842</x:v>
      </x:c>
      <x:c r="P492" s="72" t="n">
        <x:f aca="0">KOHC!H129</x:f>
        <x:v>193.42842</x:v>
      </x:c>
      <x:c r="Q492" s="70" t="str">
        <x:f aca="0">IF(ABS(O492-P492)&lt;0.000001,"PASS","FAIL")</x:f>
        <x:v>PASS</x:v>
      </x:c>
      <x:c r="R492" s="70" t="s">
        <x:v>27</x:v>
      </x:c>
      <x:c r="S492" s="70" t="str">
        <x:v>Verified FY-end share basis; see Share Basis and Corporate Actions for source excerpts and normalization. Original source metadata superseded where the basis changed.</x:v>
      </x:c>
    </x:row>
    <x:row r="493" ht="15" hidden="0">
      <x:c r="A493" s="70" t="s">
        <x:v>1272</x:v>
      </x:c>
      <x:c r="B493" s="70" t="s">
        <x:v>24</x:v>
      </x:c>
      <x:c r="C493" s="70" t="s">
        <x:v>101</x:v>
      </x:c>
      <x:c r="D493" s="70" t="str">
        <x:v>Actual FY-end closing price (Rs; unadjusted)</x:v>
      </x:c>
      <x:c r="E493" s="70" t="s">
        <x:v>855</x:v>
      </x:c>
      <x:c r="F493" s="70" t="str">
        <x:v>Official PSX historical CLOSE column</x:v>
      </x:c>
      <x:c r="G493" s="70" t="str">
        <x:v>PSX historical response; hash and raw row on Price Evidence</x:v>
      </x:c>
      <x:c r="H493" s="70" t="str">
        <x:v>https://dps.psx.com.pk/historical</x:v>
      </x:c>
      <x:c r="I493" s="70" t="str">
        <x:v>POST date=2021-06-30</x:v>
      </x:c>
      <x:c r="J493" s="70"/>
      <x:c r="K493" s="70"/>
      <x:c r="L493" s="70"/>
      <x:c r="M493" s="70" t="s">
        <x:v>306</x:v>
      </x:c>
      <x:c r="N493" s="70" t="n">
        <x:v>206.49</x:v>
      </x:c>
      <x:c r="O493" s="70" t="n">
        <x:f aca="0">N493</x:f>
        <x:v>206.49</x:v>
      </x:c>
      <x:c r="P493" s="74" t="n">
        <x:f aca="0">KOHC!D130</x:f>
        <x:v>206.49</x:v>
      </x:c>
      <x:c r="Q493" s="70" t="str">
        <x:f aca="0">IF(ABS(O493-P493)&lt;0.000001,"PASS","FAIL")</x:f>
        <x:v>PASS</x:v>
      </x:c>
      <x:c r="R493" s="70" t="s">
        <x:v>27</x:v>
      </x:c>
      <x:c r="S493" s="70" t="str">
        <x:v>Unadjusted traded close. No split factor applied to PSX price. Original report figure and date evidence preserved on PSX Prices / Price Evidence.</x:v>
      </x:c>
    </x:row>
    <x:row r="494" ht="15" hidden="0">
      <x:c r="A494" s="70" t="s">
        <x:v>1273</x:v>
      </x:c>
      <x:c r="B494" s="70" t="s">
        <x:v>24</x:v>
      </x:c>
      <x:c r="C494" s="70" t="s">
        <x:v>102</x:v>
      </x:c>
      <x:c r="D494" s="70" t="str">
        <x:v>Actual FY-end closing price (Rs; unadjusted)</x:v>
      </x:c>
      <x:c r="E494" s="70" t="s">
        <x:v>855</x:v>
      </x:c>
      <x:c r="F494" s="70" t="str">
        <x:v>Official PSX historical CLOSE column</x:v>
      </x:c>
      <x:c r="G494" s="70" t="str">
        <x:v>PSX historical response; hash and raw row on Price Evidence</x:v>
      </x:c>
      <x:c r="H494" s="70" t="str">
        <x:v>https://dps.psx.com.pk/historical</x:v>
      </x:c>
      <x:c r="I494" s="70" t="str">
        <x:v>POST date=2022-06-30</x:v>
      </x:c>
      <x:c r="J494" s="70"/>
      <x:c r="K494" s="70"/>
      <x:c r="L494" s="70"/>
      <x:c r="M494" s="70" t="s">
        <x:v>306</x:v>
      </x:c>
      <x:c r="N494" s="70" t="n">
        <x:v>130.13</x:v>
      </x:c>
      <x:c r="O494" s="70" t="n">
        <x:f aca="0">N494</x:f>
        <x:v>130.13</x:v>
      </x:c>
      <x:c r="P494" s="74" t="n">
        <x:f aca="0">KOHC!E130</x:f>
        <x:v>130.13</x:v>
      </x:c>
      <x:c r="Q494" s="70" t="str">
        <x:f aca="0">IF(ABS(O494-P494)&lt;0.000001,"PASS","FAIL")</x:f>
        <x:v>PASS</x:v>
      </x:c>
      <x:c r="R494" s="70" t="s">
        <x:v>27</x:v>
      </x:c>
      <x:c r="S494" s="70" t="str">
        <x:v>Unadjusted traded close. No split factor applied to PSX price. Original report figure and date evidence preserved on PSX Prices / Price Evidence.</x:v>
      </x:c>
    </x:row>
    <x:row r="495" ht="15" hidden="0">
      <x:c r="A495" s="70" t="s">
        <x:v>1274</x:v>
      </x:c>
      <x:c r="B495" s="70" t="s">
        <x:v>24</x:v>
      </x:c>
      <x:c r="C495" s="70" t="s">
        <x:v>103</x:v>
      </x:c>
      <x:c r="D495" s="70" t="str">
        <x:v>Actual FY-end closing price (Rs; unadjusted)</x:v>
      </x:c>
      <x:c r="E495" s="70" t="s">
        <x:v>855</x:v>
      </x:c>
      <x:c r="F495" s="70" t="str">
        <x:v>Official PSX historical CLOSE column</x:v>
      </x:c>
      <x:c r="G495" s="70" t="str">
        <x:v>PSX historical response; hash and raw row on Price Evidence</x:v>
      </x:c>
      <x:c r="H495" s="70" t="str">
        <x:v>https://dps.psx.com.pk/historical</x:v>
      </x:c>
      <x:c r="I495" s="70" t="str">
        <x:v>POST date=2023-06-27</x:v>
      </x:c>
      <x:c r="J495" s="70"/>
      <x:c r="K495" s="70"/>
      <x:c r="L495" s="70"/>
      <x:c r="M495" s="70" t="s">
        <x:v>306</x:v>
      </x:c>
      <x:c r="N495" s="70" t="n">
        <x:v>173.47</x:v>
      </x:c>
      <x:c r="O495" s="70" t="n">
        <x:f aca="0">N495</x:f>
        <x:v>173.47</x:v>
      </x:c>
      <x:c r="P495" s="74" t="n">
        <x:f aca="0">KOHC!F130</x:f>
        <x:v>173.47</x:v>
      </x:c>
      <x:c r="Q495" s="70" t="str">
        <x:f aca="0">IF(ABS(O495-P495)&lt;0.000001,"PASS","FAIL")</x:f>
        <x:v>PASS</x:v>
      </x:c>
      <x:c r="R495" s="70" t="s">
        <x:v>27</x:v>
      </x:c>
      <x:c r="S495" s="70" t="str">
        <x:v>Unadjusted traded close. No split factor applied to PSX price. Original report figure and date evidence preserved on PSX Prices / Price Evidence.</x:v>
      </x:c>
    </x:row>
    <x:row r="496" ht="15" hidden="0">
      <x:c r="A496" s="70" t="s">
        <x:v>1275</x:v>
      </x:c>
      <x:c r="B496" s="70" t="s">
        <x:v>24</x:v>
      </x:c>
      <x:c r="C496" s="70" t="s">
        <x:v>104</x:v>
      </x:c>
      <x:c r="D496" s="70" t="str">
        <x:v>Actual FY-end closing price (Rs; unadjusted)</x:v>
      </x:c>
      <x:c r="E496" s="70" t="s">
        <x:v>855</x:v>
      </x:c>
      <x:c r="F496" s="70" t="str">
        <x:v>Official PSX historical CLOSE column</x:v>
      </x:c>
      <x:c r="G496" s="70" t="str">
        <x:v>PSX historical response; hash and raw row on Price Evidence</x:v>
      </x:c>
      <x:c r="H496" s="70" t="str">
        <x:v>https://dps.psx.com.pk/historical</x:v>
      </x:c>
      <x:c r="I496" s="70" t="str">
        <x:v>POST date=2024-06-28</x:v>
      </x:c>
      <x:c r="J496" s="70"/>
      <x:c r="K496" s="70"/>
      <x:c r="L496" s="70"/>
      <x:c r="M496" s="70" t="s">
        <x:v>306</x:v>
      </x:c>
      <x:c r="N496" s="70" t="n">
        <x:v>250.43</x:v>
      </x:c>
      <x:c r="O496" s="70" t="n">
        <x:f aca="0">N496</x:f>
        <x:v>250.43</x:v>
      </x:c>
      <x:c r="P496" s="74" t="n">
        <x:f aca="0">KOHC!G130</x:f>
        <x:v>250.43</x:v>
      </x:c>
      <x:c r="Q496" s="70" t="str">
        <x:f aca="0">IF(ABS(O496-P496)&lt;0.000001,"PASS","FAIL")</x:f>
        <x:v>PASS</x:v>
      </x:c>
      <x:c r="R496" s="70" t="s">
        <x:v>27</x:v>
      </x:c>
      <x:c r="S496" s="70" t="str">
        <x:v>Unadjusted traded close. No split factor applied to PSX price. Original report figure and date evidence preserved on PSX Prices / Price Evidence.</x:v>
      </x:c>
    </x:row>
    <x:row r="497" ht="15" hidden="0">
      <x:c r="A497" s="70" t="s">
        <x:v>1276</x:v>
      </x:c>
      <x:c r="B497" s="70" t="s">
        <x:v>24</x:v>
      </x:c>
      <x:c r="C497" s="70" t="s">
        <x:v>105</x:v>
      </x:c>
      <x:c r="D497" s="70" t="str">
        <x:v>Actual FY-end closing price (Rs; unadjusted)</x:v>
      </x:c>
      <x:c r="E497" s="70" t="s">
        <x:v>855</x:v>
      </x:c>
      <x:c r="F497" s="70" t="str">
        <x:v>Official PSX historical CLOSE column</x:v>
      </x:c>
      <x:c r="G497" s="70" t="str">
        <x:v>PSX historical response; hash and raw row on Price Evidence</x:v>
      </x:c>
      <x:c r="H497" s="70" t="str">
        <x:v>https://dps.psx.com.pk/historical</x:v>
      </x:c>
      <x:c r="I497" s="70" t="str">
        <x:v>POST date=2025-06-30</x:v>
      </x:c>
      <x:c r="J497" s="70"/>
      <x:c r="K497" s="70"/>
      <x:c r="L497" s="70"/>
      <x:c r="M497" s="70" t="s">
        <x:v>306</x:v>
      </x:c>
      <x:c r="N497" s="70" t="n">
        <x:v>379.36</x:v>
      </x:c>
      <x:c r="O497" s="70" t="n">
        <x:f aca="0">N497</x:f>
        <x:v>379.36</x:v>
      </x:c>
      <x:c r="P497" s="74" t="n">
        <x:f aca="0">KOHC!H130</x:f>
        <x:v>379.36</x:v>
      </x:c>
      <x:c r="Q497" s="70" t="str">
        <x:f aca="0">IF(ABS(O497-P497)&lt;0.000001,"PASS","FAIL")</x:f>
        <x:v>PASS</x:v>
      </x:c>
      <x:c r="R497" s="70" t="s">
        <x:v>27</x:v>
      </x:c>
      <x:c r="S497" s="70" t="str">
        <x:v>Unadjusted traded close. No split factor applied to PSX price. Original report figure and date evidence preserved on PSX Prices / Price Evidence.</x:v>
      </x:c>
    </x:row>
    <x:row r="498" ht="15" hidden="0">
      <x:c r="A498" s="70" t="s">
        <x:v>1277</x:v>
      </x:c>
      <x:c r="B498" s="70" t="s">
        <x:v>24</x:v>
      </x:c>
      <x:c r="C498" s="70" t="s">
        <x:v>101</x:v>
      </x:c>
      <x:c r="D498" s="70" t="s">
        <x:v>313</x:v>
      </x:c>
      <x:c r="E498" s="70" t="s">
        <x:v>855</x:v>
      </x:c>
      <x:c r="F498" s="70" t="s">
        <x:v>1278</x:v>
      </x:c>
      <x:c r="G498" s="70" t="s">
        <x:v>848</x:v>
      </x:c>
      <x:c r="H498" s="70" t="s">
        <x:v>849</x:v>
      </x:c>
      <x:c r="I498" s="70" t="s">
        <x:v>833</x:v>
      </x:c>
      <x:c r="J498" s="70" t="n">
        <x:v>53</x:v>
      </x:c>
      <x:c r="K498" s="70" t="s">
        <x:v>834</x:v>
      </x:c>
      <x:c r="L498" s="70"/>
      <x:c r="M498" s="70" t="s">
        <x:v>306</x:v>
      </x:c>
      <x:c r="N498" s="70" t="n">
        <x:v>0</x:v>
      </x:c>
      <x:c r="O498" s="70" t="n">
        <x:f aca="0">N498</x:f>
        <x:v>0</x:v>
      </x:c>
      <x:c r="P498" s="74" t="n">
        <x:f aca="0">KOHC!D131</x:f>
        <x:v>0</x:v>
      </x:c>
      <x:c r="Q498" s="70" t="str">
        <x:f aca="0">IF(ABS(O498-P498)&lt;0.000001,"PASS","FAIL")</x:f>
        <x:v>PASS</x:v>
      </x:c>
      <x:c r="R498" s="70" t="s">
        <x:v>27</x:v>
      </x:c>
      <x:c r="S498" s="70" t="str">
        <x:v>Verified FY-end share basis; see Share Basis and Corporate Actions for source excerpts and normalization. Original source metadata superseded where the basis changed.</x:v>
      </x:c>
    </x:row>
    <x:row r="499" ht="15" hidden="0">
      <x:c r="A499" s="70" t="s">
        <x:v>1279</x:v>
      </x:c>
      <x:c r="B499" s="70" t="s">
        <x:v>24</x:v>
      </x:c>
      <x:c r="C499" s="70" t="s">
        <x:v>102</x:v>
      </x:c>
      <x:c r="D499" s="70" t="s">
        <x:v>313</x:v>
      </x:c>
      <x:c r="E499" s="70" t="s">
        <x:v>855</x:v>
      </x:c>
      <x:c r="F499" s="70" t="s">
        <x:v>1278</x:v>
      </x:c>
      <x:c r="G499" s="70" t="s">
        <x:v>848</x:v>
      </x:c>
      <x:c r="H499" s="70" t="s">
        <x:v>849</x:v>
      </x:c>
      <x:c r="I499" s="70" t="s">
        <x:v>833</x:v>
      </x:c>
      <x:c r="J499" s="70" t="n">
        <x:v>53</x:v>
      </x:c>
      <x:c r="K499" s="70" t="s">
        <x:v>834</x:v>
      </x:c>
      <x:c r="L499" s="70"/>
      <x:c r="M499" s="70" t="s">
        <x:v>306</x:v>
      </x:c>
      <x:c r="N499" s="70" t="n">
        <x:v>0</x:v>
      </x:c>
      <x:c r="O499" s="70" t="n">
        <x:f aca="0">N499</x:f>
        <x:v>0</x:v>
      </x:c>
      <x:c r="P499" s="74" t="n">
        <x:f aca="0">KOHC!E131</x:f>
        <x:v>0</x:v>
      </x:c>
      <x:c r="Q499" s="70" t="str">
        <x:f aca="0">IF(ABS(O499-P499)&lt;0.000001,"PASS","FAIL")</x:f>
        <x:v>PASS</x:v>
      </x:c>
      <x:c r="R499" s="70" t="s">
        <x:v>27</x:v>
      </x:c>
      <x:c r="S499" s="70" t="str">
        <x:v>Verified FY-end share basis; see Share Basis and Corporate Actions for source excerpts and normalization. Original source metadata superseded where the basis changed.</x:v>
      </x:c>
    </x:row>
    <x:row r="500" ht="15" hidden="0">
      <x:c r="A500" s="70" t="s">
        <x:v>1280</x:v>
      </x:c>
      <x:c r="B500" s="70" t="s">
        <x:v>24</x:v>
      </x:c>
      <x:c r="C500" s="70" t="s">
        <x:v>103</x:v>
      </x:c>
      <x:c r="D500" s="70" t="s">
        <x:v>313</x:v>
      </x:c>
      <x:c r="E500" s="70" t="s">
        <x:v>855</x:v>
      </x:c>
      <x:c r="F500" s="70" t="s">
        <x:v>1278</x:v>
      </x:c>
      <x:c r="G500" s="70" t="s">
        <x:v>848</x:v>
      </x:c>
      <x:c r="H500" s="70" t="s">
        <x:v>849</x:v>
      </x:c>
      <x:c r="I500" s="70" t="s">
        <x:v>833</x:v>
      </x:c>
      <x:c r="J500" s="70" t="n">
        <x:v>53</x:v>
      </x:c>
      <x:c r="K500" s="70" t="s">
        <x:v>834</x:v>
      </x:c>
      <x:c r="L500" s="70"/>
      <x:c r="M500" s="70" t="s">
        <x:v>306</x:v>
      </x:c>
      <x:c r="N500" s="70" t="n">
        <x:v>0</x:v>
      </x:c>
      <x:c r="O500" s="70" t="n">
        <x:f aca="0">N500</x:f>
        <x:v>0</x:v>
      </x:c>
      <x:c r="P500" s="74" t="n">
        <x:f aca="0">KOHC!F131</x:f>
        <x:v>0</x:v>
      </x:c>
      <x:c r="Q500" s="70" t="str">
        <x:f aca="0">IF(ABS(O500-P500)&lt;0.000001,"PASS","FAIL")</x:f>
        <x:v>PASS</x:v>
      </x:c>
      <x:c r="R500" s="70" t="s">
        <x:v>27</x:v>
      </x:c>
      <x:c r="S500" s="70" t="str">
        <x:v>Verified FY-end share basis; see Share Basis and Corporate Actions for source excerpts and normalization. Original source metadata superseded where the basis changed.</x:v>
      </x:c>
    </x:row>
    <x:row r="501" ht="15" hidden="0">
      <x:c r="A501" s="70" t="s">
        <x:v>1281</x:v>
      </x:c>
      <x:c r="B501" s="70" t="s">
        <x:v>24</x:v>
      </x:c>
      <x:c r="C501" s="70" t="s">
        <x:v>104</x:v>
      </x:c>
      <x:c r="D501" s="70" t="s">
        <x:v>313</x:v>
      </x:c>
      <x:c r="E501" s="70" t="s">
        <x:v>855</x:v>
      </x:c>
      <x:c r="F501" s="70" t="s">
        <x:v>1278</x:v>
      </x:c>
      <x:c r="G501" s="70" t="s">
        <x:v>848</x:v>
      </x:c>
      <x:c r="H501" s="70" t="s">
        <x:v>849</x:v>
      </x:c>
      <x:c r="I501" s="70" t="s">
        <x:v>833</x:v>
      </x:c>
      <x:c r="J501" s="70" t="n">
        <x:v>53</x:v>
      </x:c>
      <x:c r="K501" s="70" t="s">
        <x:v>834</x:v>
      </x:c>
      <x:c r="L501" s="70"/>
      <x:c r="M501" s="70" t="s">
        <x:v>306</x:v>
      </x:c>
      <x:c r="N501" s="70" t="n">
        <x:v>0</x:v>
      </x:c>
      <x:c r="O501" s="70" t="n">
        <x:f aca="0">N501</x:f>
        <x:v>0</x:v>
      </x:c>
      <x:c r="P501" s="74" t="n">
        <x:f aca="0">KOHC!G131</x:f>
        <x:v>0</x:v>
      </x:c>
      <x:c r="Q501" s="70" t="str">
        <x:f aca="0">IF(ABS(O501-P501)&lt;0.000001,"PASS","FAIL")</x:f>
        <x:v>PASS</x:v>
      </x:c>
      <x:c r="R501" s="70" t="s">
        <x:v>27</x:v>
      </x:c>
      <x:c r="S501" s="70" t="str">
        <x:v>Verified FY-end share basis; see Share Basis and Corporate Actions for source excerpts and normalization. Original source metadata superseded where the basis changed.</x:v>
      </x:c>
    </x:row>
    <x:row r="502" ht="15" hidden="0">
      <x:c r="A502" s="70" t="s">
        <x:v>1282</x:v>
      </x:c>
      <x:c r="B502" s="70" t="s">
        <x:v>24</x:v>
      </x:c>
      <x:c r="C502" s="70" t="s">
        <x:v>105</x:v>
      </x:c>
      <x:c r="D502" s="70" t="s">
        <x:v>313</x:v>
      </x:c>
      <x:c r="E502" s="70" t="s">
        <x:v>855</x:v>
      </x:c>
      <x:c r="F502" s="70" t="s">
        <x:v>1278</x:v>
      </x:c>
      <x:c r="G502" s="70" t="s">
        <x:v>848</x:v>
      </x:c>
      <x:c r="H502" s="70" t="s">
        <x:v>849</x:v>
      </x:c>
      <x:c r="I502" s="70" t="s">
        <x:v>852</x:v>
      </x:c>
      <x:c r="J502" s="70" t="n">
        <x:v>53</x:v>
      </x:c>
      <x:c r="K502" s="70" t="s">
        <x:v>834</x:v>
      </x:c>
      <x:c r="L502" s="70"/>
      <x:c r="M502" s="70" t="s">
        <x:v>306</x:v>
      </x:c>
      <x:c r="N502" s="70" t="n">
        <x:v>0</x:v>
      </x:c>
      <x:c r="O502" s="70" t="n">
        <x:f aca="0">N502</x:f>
        <x:v>0</x:v>
      </x:c>
      <x:c r="P502" s="74" t="n">
        <x:f aca="0">KOHC!H131</x:f>
        <x:v>0</x:v>
      </x:c>
      <x:c r="Q502" s="70" t="str">
        <x:f aca="0">IF(ABS(O502-P502)&lt;0.000001,"PASS","FAIL")</x:f>
        <x:v>PASS</x:v>
      </x:c>
      <x:c r="R502" s="70" t="s">
        <x:v>27</x:v>
      </x:c>
      <x:c r="S502" s="70" t="str">
        <x:v>Verified FY-end share basis; see Share Basis and Corporate Actions for source excerpts and normalization. Original source metadata superseded where the basis changed.</x:v>
      </x:c>
    </x:row>
    <x:row r="503" ht="15" hidden="0">
      <x:c r="A503" s="70" t="s">
        <x:v>1283</x:v>
      </x:c>
      <x:c r="B503" s="70" t="s">
        <x:v>24</x:v>
      </x:c>
      <x:c r="C503" s="70" t="s">
        <x:v>101</x:v>
      </x:c>
      <x:c r="D503" s="70" t="s">
        <x:v>1284</x:v>
      </x:c>
      <x:c r="E503" s="70" t="s">
        <x:v>1106</x:v>
      </x:c>
      <x:c r="F503" s="70" t="s">
        <x:v>1285</x:v>
      </x:c>
      <x:c r="G503" s="70" t="str">
        <x:v>KOHC_AR_2021.pdf</x:v>
      </x:c>
      <x:c r="H503" s="70" t="s">
        <x:v>832</x:v>
      </x:c>
      <x:c r="I503" s="70" t="s">
        <x:v>852</x:v>
      </x:c>
      <x:c r="J503" s="70" t="n">
        <x:v>86</x:v>
      </x:c>
      <x:c r="K503" s="70" t="s">
        <x:v>864</x:v>
      </x:c>
      <x:c r="L503" s="70"/>
      <x:c r="M503" s="70" t="s">
        <x:v>306</x:v>
      </x:c>
      <x:c r="N503" s="70" t="n">
        <x:v>17.41</x:v>
      </x:c>
      <x:c r="O503" s="70" t="n">
        <x:f aca="0">N503</x:f>
        <x:v>17.41</x:v>
      </x:c>
      <x:c r="P503" s="74" t="n">
        <x:f aca="0">KOHC!D132</x:f>
        <x:v>17.41</x:v>
      </x:c>
      <x:c r="Q503" s="70" t="str">
        <x:f aca="0">IF(ABS(O503-P503)&lt;0.000001,"PASS","FAIL")</x:f>
        <x:v>PASS</x:v>
      </x:c>
      <x:c r="R503" s="70" t="s">
        <x:v>27</x:v>
      </x:c>
      <x:c r="S503" s="70" t="str">
        <x:v>Verified FY-end share basis; see Share Basis and Corporate Actions for source excerpts and normalization. Original source metadata superseded where the basis changed.</x:v>
      </x:c>
    </x:row>
    <x:row r="504" ht="15" hidden="0">
      <x:c r="A504" s="70" t="s">
        <x:v>1286</x:v>
      </x:c>
      <x:c r="B504" s="70" t="s">
        <x:v>24</x:v>
      </x:c>
      <x:c r="C504" s="70" t="s">
        <x:v>102</x:v>
      </x:c>
      <x:c r="D504" s="70" t="s">
        <x:v>1284</x:v>
      </x:c>
      <x:c r="E504" s="70" t="s">
        <x:v>1106</x:v>
      </x:c>
      <x:c r="F504" s="70" t="s">
        <x:v>1285</x:v>
      </x:c>
      <x:c r="G504" s="70" t="str">
        <x:v>Kohat_Cement_AR_2022.pdf</x:v>
      </x:c>
      <x:c r="H504" s="70" t="s">
        <x:v>838</x:v>
      </x:c>
      <x:c r="I504" s="70" t="s">
        <x:v>852</x:v>
      </x:c>
      <x:c r="J504" s="70" t="n">
        <x:v>94</x:v>
      </x:c>
      <x:c r="K504" s="70" t="s">
        <x:v>864</x:v>
      </x:c>
      <x:c r="L504" s="70"/>
      <x:c r="M504" s="70" t="s">
        <x:v>306</x:v>
      </x:c>
      <x:c r="N504" s="70" t="n">
        <x:v>25.01</x:v>
      </x:c>
      <x:c r="O504" s="70" t="n">
        <x:f aca="0">N504</x:f>
        <x:v>25.01</x:v>
      </x:c>
      <x:c r="P504" s="74" t="n">
        <x:f aca="0">KOHC!E132</x:f>
        <x:v>25.01</x:v>
      </x:c>
      <x:c r="Q504" s="70" t="str">
        <x:f aca="0">IF(ABS(O504-P504)&lt;0.000001,"PASS","FAIL")</x:f>
        <x:v>PASS</x:v>
      </x:c>
      <x:c r="R504" s="70" t="s">
        <x:v>27</x:v>
      </x:c>
      <x:c r="S504" s="70" t="str">
        <x:v>Verified FY-end share basis; see Share Basis and Corporate Actions for source excerpts and normalization. Original source metadata superseded where the basis changed.</x:v>
      </x:c>
    </x:row>
    <x:row r="505" ht="15" hidden="0">
      <x:c r="A505" s="70" t="s">
        <x:v>1287</x:v>
      </x:c>
      <x:c r="B505" s="70" t="s">
        <x:v>24</x:v>
      </x:c>
      <x:c r="C505" s="70" t="s">
        <x:v>103</x:v>
      </x:c>
      <x:c r="D505" s="70" t="s">
        <x:v>1284</x:v>
      </x:c>
      <x:c r="E505" s="70" t="s">
        <x:v>1106</x:v>
      </x:c>
      <x:c r="F505" s="70" t="s">
        <x:v>1285</x:v>
      </x:c>
      <x:c r="G505" s="70" t="str">
        <x:v>Financial_Statements-30-06-2023.pdf</x:v>
      </x:c>
      <x:c r="H505" s="70" t="s">
        <x:v>842</x:v>
      </x:c>
      <x:c r="I505" s="70" t="s">
        <x:v>852</x:v>
      </x:c>
      <x:c r="J505" s="70" t="n">
        <x:v>92</x:v>
      </x:c>
      <x:c r="K505" s="70" t="s">
        <x:v>864</x:v>
      </x:c>
      <x:c r="L505" s="70"/>
      <x:c r="M505" s="70" t="s">
        <x:v>306</x:v>
      </x:c>
      <x:c r="N505" s="70" t="n">
        <x:v>28.98</x:v>
      </x:c>
      <x:c r="O505" s="70" t="n">
        <x:f aca="0">N505</x:f>
        <x:v>28.98</x:v>
      </x:c>
      <x:c r="P505" s="74" t="n">
        <x:f aca="0">KOHC!F132</x:f>
        <x:v>28.98</x:v>
      </x:c>
      <x:c r="Q505" s="70" t="str">
        <x:f aca="0">IF(ABS(O505-P505)&lt;0.000001,"PASS","FAIL")</x:f>
        <x:v>PASS</x:v>
      </x:c>
      <x:c r="R505" s="70" t="s">
        <x:v>27</x:v>
      </x:c>
      <x:c r="S505" s="70" t="str">
        <x:v>Verified FY-end share basis; see Share Basis and Corporate Actions for source excerpts and normalization. Original source metadata superseded where the basis changed.</x:v>
      </x:c>
    </x:row>
    <x:row r="506" ht="15" hidden="0">
      <x:c r="A506" s="70" t="s">
        <x:v>1288</x:v>
      </x:c>
      <x:c r="B506" s="70" t="s">
        <x:v>24</x:v>
      </x:c>
      <x:c r="C506" s="70" t="s">
        <x:v>104</x:v>
      </x:c>
      <x:c r="D506" s="70" t="s">
        <x:v>1284</x:v>
      </x:c>
      <x:c r="E506" s="70" t="s">
        <x:v>1106</x:v>
      </x:c>
      <x:c r="F506" s="70" t="s">
        <x:v>1285</x:v>
      </x:c>
      <x:c r="G506" s="70" t="str">
        <x:v>Kohat_Cement_Annual_Report-2024.pdf</x:v>
      </x:c>
      <x:c r="H506" s="70" t="s">
        <x:v>845</x:v>
      </x:c>
      <x:c r="I506" s="70" t="s">
        <x:v>852</x:v>
      </x:c>
      <x:c r="J506" s="70" t="n">
        <x:v>101</x:v>
      </x:c>
      <x:c r="K506" s="70" t="s">
        <x:v>864</x:v>
      </x:c>
      <x:c r="L506" s="70"/>
      <x:c r="M506" s="70" t="s">
        <x:v>306</x:v>
      </x:c>
      <x:c r="N506" s="70" t="n">
        <x:v>45.27</x:v>
      </x:c>
      <x:c r="O506" s="70" t="n">
        <x:f aca="0">N506</x:f>
        <x:v>45.27</x:v>
      </x:c>
      <x:c r="P506" s="74" t="n">
        <x:f aca="0">KOHC!G132</x:f>
        <x:v>45.27</x:v>
      </x:c>
      <x:c r="Q506" s="70" t="str">
        <x:f aca="0">IF(ABS(O506-P506)&lt;0.000001,"PASS","FAIL")</x:f>
        <x:v>PASS</x:v>
      </x:c>
      <x:c r="R506" s="70" t="s">
        <x:v>27</x:v>
      </x:c>
      <x:c r="S506" s="70" t="str">
        <x:v>Verified FY-end share basis; see Share Basis and Corporate Actions for source excerpts and normalization. Original source metadata superseded where the basis changed.</x:v>
      </x:c>
    </x:row>
    <x:row r="507" ht="15" hidden="0">
      <x:c r="A507" s="70" t="s">
        <x:v>1289</x:v>
      </x:c>
      <x:c r="B507" s="70" t="s">
        <x:v>24</x:v>
      </x:c>
      <x:c r="C507" s="70" t="s">
        <x:v>105</x:v>
      </x:c>
      <x:c r="D507" s="70" t="s">
        <x:v>1284</x:v>
      </x:c>
      <x:c r="E507" s="70" t="s">
        <x:v>1106</x:v>
      </x:c>
      <x:c r="F507" s="70" t="s">
        <x:v>1285</x:v>
      </x:c>
      <x:c r="G507" s="70" t="str">
        <x:v>Kohat_Cement_Annual_Report_2025.pdf</x:v>
      </x:c>
      <x:c r="H507" s="70" t="s">
        <x:v>849</x:v>
      </x:c>
      <x:c r="I507" s="70" t="s">
        <x:v>852</x:v>
      </x:c>
      <x:c r="J507" s="70" t="n">
        <x:v>109</x:v>
      </x:c>
      <x:c r="K507" s="70" t="s">
        <x:v>1111</x:v>
      </x:c>
      <x:c r="L507" s="70"/>
      <x:c r="M507" s="70" t="s">
        <x:v>306</x:v>
      </x:c>
      <x:c r="N507" s="70" t="n">
        <x:v>11.97</x:v>
      </x:c>
      <x:c r="O507" s="70" t="n">
        <x:f aca="0">N507</x:f>
        <x:v>11.97</x:v>
      </x:c>
      <x:c r="P507" s="74" t="n">
        <x:f aca="0">KOHC!H132</x:f>
        <x:v>11.97</x:v>
      </x:c>
      <x:c r="Q507" s="70" t="str">
        <x:f aca="0">IF(ABS(O507-P507)&lt;0.000001,"PASS","FAIL")</x:f>
        <x:v>PASS</x:v>
      </x:c>
      <x:c r="R507" s="70" t="s">
        <x:v>27</x:v>
      </x:c>
      <x:c r="S507" s="70" t="str">
        <x:v>Verified FY-end share basis; see Share Basis and Corporate Actions for source excerpts and normalization. Original source metadata superseded where the basis changed.</x:v>
      </x:c>
    </x:row>
    <x:row r="508" ht="15" hidden="0">
      <x:c r="A508" s="70" t="s">
        <x:v>1290</x:v>
      </x:c>
      <x:c r="B508" s="70" t="s">
        <x:v>24</x:v>
      </x:c>
      <x:c r="C508" s="70" t="s">
        <x:v>101</x:v>
      </x:c>
      <x:c r="D508" s="70" t="s">
        <x:v>1291</x:v>
      </x:c>
      <x:c r="E508" s="70" t="s">
        <x:v>855</x:v>
      </x:c>
      <x:c r="F508" s="70" t="s">
        <x:v>1292</x:v>
      </x:c>
      <x:c r="G508" s="70" t="s">
        <x:v>848</x:v>
      </x:c>
      <x:c r="H508" s="70" t="s">
        <x:v>849</x:v>
      </x:c>
      <x:c r="I508" s="70" t="s">
        <x:v>833</x:v>
      </x:c>
      <x:c r="J508" s="70" t="n">
        <x:v>53</x:v>
      </x:c>
      <x:c r="K508" s="70" t="s">
        <x:v>834</x:v>
      </x:c>
      <x:c r="L508" s="70"/>
      <x:c r="M508" s="70" t="s">
        <x:v>319</x:v>
      </x:c>
      <x:c r="N508" s="70" t="n">
        <x:v>5</x:v>
      </x:c>
      <x:c r="O508" s="70" t="n">
        <x:f aca="0">N508</x:f>
        <x:v>5</x:v>
      </x:c>
      <x:c r="P508" s="74" t="n">
        <x:f aca="0">KOHC!D134</x:f>
        <x:v>5</x:v>
      </x:c>
      <x:c r="Q508" s="70" t="str">
        <x:f aca="0">IF(ABS(O508-P508)&lt;0.000001,"PASS","FAIL")</x:f>
        <x:v>PASS</x:v>
      </x:c>
      <x:c r="R508" s="70" t="s">
        <x:v>27</x:v>
      </x:c>
      <x:c r="S508" s="70" t="str">
        <x:v>Verified FY-end share basis; see Share Basis and Corporate Actions for source excerpts and normalization. Original source metadata superseded where the basis changed.</x:v>
      </x:c>
    </x:row>
    <x:row r="509" ht="15" hidden="0">
      <x:c r="A509" s="70" t="s">
        <x:v>1293</x:v>
      </x:c>
      <x:c r="B509" s="70" t="s">
        <x:v>24</x:v>
      </x:c>
      <x:c r="C509" s="70" t="s">
        <x:v>102</x:v>
      </x:c>
      <x:c r="D509" s="70" t="s">
        <x:v>1291</x:v>
      </x:c>
      <x:c r="E509" s="70" t="s">
        <x:v>855</x:v>
      </x:c>
      <x:c r="F509" s="70" t="s">
        <x:v>1292</x:v>
      </x:c>
      <x:c r="G509" s="70" t="s">
        <x:v>848</x:v>
      </x:c>
      <x:c r="H509" s="70" t="s">
        <x:v>849</x:v>
      </x:c>
      <x:c r="I509" s="70" t="s">
        <x:v>833</x:v>
      </x:c>
      <x:c r="J509" s="70" t="n">
        <x:v>53</x:v>
      </x:c>
      <x:c r="K509" s="70" t="s">
        <x:v>834</x:v>
      </x:c>
      <x:c r="L509" s="70"/>
      <x:c r="M509" s="70" t="s">
        <x:v>319</x:v>
      </x:c>
      <x:c r="N509" s="70" t="n">
        <x:v>5</x:v>
      </x:c>
      <x:c r="O509" s="70" t="n">
        <x:f aca="0">N509</x:f>
        <x:v>5</x:v>
      </x:c>
      <x:c r="P509" s="74" t="n">
        <x:f aca="0">KOHC!E134</x:f>
        <x:v>5</x:v>
      </x:c>
      <x:c r="Q509" s="70" t="str">
        <x:f aca="0">IF(ABS(O509-P509)&lt;0.000001,"PASS","FAIL")</x:f>
        <x:v>PASS</x:v>
      </x:c>
      <x:c r="R509" s="70" t="s">
        <x:v>27</x:v>
      </x:c>
      <x:c r="S509" s="70" t="str">
        <x:v>Verified FY-end share basis; see Share Basis and Corporate Actions for source excerpts and normalization. Original source metadata superseded where the basis changed.</x:v>
      </x:c>
    </x:row>
    <x:row r="510" ht="15" hidden="0">
      <x:c r="A510" s="70" t="s">
        <x:v>1294</x:v>
      </x:c>
      <x:c r="B510" s="70" t="s">
        <x:v>24</x:v>
      </x:c>
      <x:c r="C510" s="70" t="s">
        <x:v>103</x:v>
      </x:c>
      <x:c r="D510" s="70" t="s">
        <x:v>1291</x:v>
      </x:c>
      <x:c r="E510" s="70" t="s">
        <x:v>855</x:v>
      </x:c>
      <x:c r="F510" s="70" t="s">
        <x:v>1292</x:v>
      </x:c>
      <x:c r="G510" s="70" t="s">
        <x:v>848</x:v>
      </x:c>
      <x:c r="H510" s="70" t="s">
        <x:v>849</x:v>
      </x:c>
      <x:c r="I510" s="70" t="s">
        <x:v>833</x:v>
      </x:c>
      <x:c r="J510" s="70" t="n">
        <x:v>53</x:v>
      </x:c>
      <x:c r="K510" s="70" t="s">
        <x:v>834</x:v>
      </x:c>
      <x:c r="L510" s="70"/>
      <x:c r="M510" s="70" t="s">
        <x:v>319</x:v>
      </x:c>
      <x:c r="N510" s="70" t="n">
        <x:v>5</x:v>
      </x:c>
      <x:c r="O510" s="70" t="n">
        <x:f aca="0">N510</x:f>
        <x:v>5</x:v>
      </x:c>
      <x:c r="P510" s="74" t="n">
        <x:f aca="0">KOHC!F134</x:f>
        <x:v>5</x:v>
      </x:c>
      <x:c r="Q510" s="70" t="str">
        <x:f aca="0">IF(ABS(O510-P510)&lt;0.000001,"PASS","FAIL")</x:f>
        <x:v>PASS</x:v>
      </x:c>
      <x:c r="R510" s="70" t="s">
        <x:v>27</x:v>
      </x:c>
      <x:c r="S510" s="70" t="str">
        <x:v>Verified FY-end share basis; see Share Basis and Corporate Actions for source excerpts and normalization. Original source metadata superseded where the basis changed.</x:v>
      </x:c>
    </x:row>
    <x:row r="511" ht="15" hidden="0">
      <x:c r="A511" s="70" t="s">
        <x:v>1295</x:v>
      </x:c>
      <x:c r="B511" s="70" t="s">
        <x:v>24</x:v>
      </x:c>
      <x:c r="C511" s="70" t="s">
        <x:v>104</x:v>
      </x:c>
      <x:c r="D511" s="70" t="s">
        <x:v>1291</x:v>
      </x:c>
      <x:c r="E511" s="70" t="s">
        <x:v>855</x:v>
      </x:c>
      <x:c r="F511" s="70" t="s">
        <x:v>1292</x:v>
      </x:c>
      <x:c r="G511" s="70" t="s">
        <x:v>848</x:v>
      </x:c>
      <x:c r="H511" s="70" t="s">
        <x:v>849</x:v>
      </x:c>
      <x:c r="I511" s="70" t="s">
        <x:v>833</x:v>
      </x:c>
      <x:c r="J511" s="70" t="n">
        <x:v>53</x:v>
      </x:c>
      <x:c r="K511" s="70" t="s">
        <x:v>834</x:v>
      </x:c>
      <x:c r="L511" s="70"/>
      <x:c r="M511" s="70" t="s">
        <x:v>319</x:v>
      </x:c>
      <x:c r="N511" s="70" t="n">
        <x:v>5</x:v>
      </x:c>
      <x:c r="O511" s="70" t="n">
        <x:f aca="0">N511</x:f>
        <x:v>5</x:v>
      </x:c>
      <x:c r="P511" s="74" t="n">
        <x:f aca="0">KOHC!G134</x:f>
        <x:v>5</x:v>
      </x:c>
      <x:c r="Q511" s="70" t="str">
        <x:f aca="0">IF(ABS(O511-P511)&lt;0.000001,"PASS","FAIL")</x:f>
        <x:v>PASS</x:v>
      </x:c>
      <x:c r="R511" s="70" t="s">
        <x:v>27</x:v>
      </x:c>
      <x:c r="S511" s="70" t="str">
        <x:v>Verified FY-end share basis; see Share Basis and Corporate Actions for source excerpts and normalization. Original source metadata superseded where the basis changed.</x:v>
      </x:c>
    </x:row>
    <x:row r="512" ht="15" hidden="0">
      <x:c r="A512" s="70" t="s">
        <x:v>1296</x:v>
      </x:c>
      <x:c r="B512" s="70" t="s">
        <x:v>24</x:v>
      </x:c>
      <x:c r="C512" s="70" t="s">
        <x:v>105</x:v>
      </x:c>
      <x:c r="D512" s="70" t="s">
        <x:v>1291</x:v>
      </x:c>
      <x:c r="E512" s="70" t="s">
        <x:v>855</x:v>
      </x:c>
      <x:c r="F512" s="70" t="s">
        <x:v>1292</x:v>
      </x:c>
      <x:c r="G512" s="70" t="s">
        <x:v>848</x:v>
      </x:c>
      <x:c r="H512" s="70" t="s">
        <x:v>849</x:v>
      </x:c>
      <x:c r="I512" s="70" t="s">
        <x:v>852</x:v>
      </x:c>
      <x:c r="J512" s="70" t="n">
        <x:v>53</x:v>
      </x:c>
      <x:c r="K512" s="70" t="s">
        <x:v>834</x:v>
      </x:c>
      <x:c r="L512" s="70"/>
      <x:c r="M512" s="70" t="s">
        <x:v>319</x:v>
      </x:c>
      <x:c r="N512" s="70" t="n">
        <x:v>5</x:v>
      </x:c>
      <x:c r="O512" s="70" t="n">
        <x:f aca="0">N512</x:f>
        <x:v>5</x:v>
      </x:c>
      <x:c r="P512" s="74" t="n">
        <x:f aca="0">KOHC!H134</x:f>
        <x:v>5</x:v>
      </x:c>
      <x:c r="Q512" s="70" t="str">
        <x:f aca="0">IF(ABS(O512-P512)&lt;0.000001,"PASS","FAIL")</x:f>
        <x:v>PASS</x:v>
      </x:c>
      <x:c r="R512" s="70" t="s">
        <x:v>27</x:v>
      </x:c>
      <x:c r="S512" s="70" t="str">
        <x:v>Verified FY-end share basis; see Share Basis and Corporate Actions for source excerpts and normalization. Original source metadata superseded where the basis changed.</x:v>
      </x:c>
    </x:row>
    <x:row r="513" ht="15" hidden="0">
      <x:c r="A513" s="70" t="s">
        <x:v>1297</x:v>
      </x:c>
      <x:c r="B513" s="70" t="s">
        <x:v>30</x:v>
      </x:c>
      <x:c r="C513" s="70" t="s">
        <x:v>717</x:v>
      </x:c>
      <x:c r="D513" s="70" t="s">
        <x:v>109</x:v>
      </x:c>
      <x:c r="E513" s="70" t="s">
        <x:v>763</x:v>
      </x:c>
      <x:c r="F513" s="70" t="s">
        <x:v>830</x:v>
      </x:c>
      <x:c r="G513" s="70" t="s">
        <x:v>1298</x:v>
      </x:c>
      <x:c r="H513" s="70" t="s">
        <x:v>832</x:v>
      </x:c>
      <x:c r="I513" s="70" t="s">
        <x:v>833</x:v>
      </x:c>
      <x:c r="J513" s="70" t="n">
        <x:v>191</x:v>
      </x:c>
      <x:c r="K513" s="70" t="s">
        <x:v>834</x:v>
      </x:c>
      <x:c r="L513" s="70" t="s">
        <x:v>1299</x:v>
      </x:c>
      <x:c r="M513" s="70" t="s">
        <x:v>34</x:v>
      </x:c>
      <x:c r="N513" s="71" t="n">
        <x:v>60247570</x:v>
      </x:c>
      <x:c r="O513" s="72" t="n">
        <x:f aca="0">N513/1000</x:f>
        <x:v>60247.57</x:v>
      </x:c>
      <x:c r="P513" s="73" t="n">
        <x:f aca="0">LUCK!C20</x:f>
        <x:v>60247.57</x:v>
      </x:c>
      <x:c r="Q513" s="70" t="str">
        <x:f aca="0">IF(ABS(O513-P513)&lt;0.000001,"PASS","FAIL")</x:f>
        <x:v>PASS</x:v>
      </x:c>
      <x:c r="R513" s="70" t="s">
        <x:v>33</x:v>
      </x:c>
      <x:c r="S513" s="70"/>
    </x:row>
    <x:row r="514" ht="15" hidden="0">
      <x:c r="A514" s="70" t="s">
        <x:v>1300</x:v>
      </x:c>
      <x:c r="B514" s="70" t="s">
        <x:v>30</x:v>
      </x:c>
      <x:c r="C514" s="70" t="s">
        <x:v>101</x:v>
      </x:c>
      <x:c r="D514" s="70" t="s">
        <x:v>109</x:v>
      </x:c>
      <x:c r="E514" s="70" t="s">
        <x:v>763</x:v>
      </x:c>
      <x:c r="F514" s="70" t="s">
        <x:v>830</x:v>
      </x:c>
      <x:c r="G514" s="70" t="s">
        <x:v>1301</x:v>
      </x:c>
      <x:c r="H514" s="70" t="s">
        <x:v>838</x:v>
      </x:c>
      <x:c r="I514" s="70" t="s">
        <x:v>833</x:v>
      </x:c>
      <x:c r="J514" s="70" t="n">
        <x:v>226</x:v>
      </x:c>
      <x:c r="K514" s="70" t="s">
        <x:v>1302</x:v>
      </x:c>
      <x:c r="L514" s="70" t="s">
        <x:v>1299</x:v>
      </x:c>
      <x:c r="M514" s="70" t="s">
        <x:v>34</x:v>
      </x:c>
      <x:c r="N514" s="71" t="n">
        <x:v>62389947</x:v>
      </x:c>
      <x:c r="O514" s="72" t="n">
        <x:f aca="0">N514/1000</x:f>
        <x:v>62389.947</x:v>
      </x:c>
      <x:c r="P514" s="73" t="n">
        <x:f aca="0">LUCK!D20</x:f>
        <x:v>62389.947</x:v>
      </x:c>
      <x:c r="Q514" s="70" t="str">
        <x:f aca="0">IF(ABS(O514-P514)&lt;0.000001,"PASS","FAIL")</x:f>
        <x:v>PASS</x:v>
      </x:c>
      <x:c r="R514" s="70" t="s">
        <x:v>33</x:v>
      </x:c>
      <x:c r="S514" s="70"/>
    </x:row>
    <x:row r="515" ht="15" hidden="0">
      <x:c r="A515" s="70" t="s">
        <x:v>1303</x:v>
      </x:c>
      <x:c r="B515" s="70" t="s">
        <x:v>30</x:v>
      </x:c>
      <x:c r="C515" s="70" t="s">
        <x:v>102</x:v>
      </x:c>
      <x:c r="D515" s="70" t="s">
        <x:v>109</x:v>
      </x:c>
      <x:c r="E515" s="70" t="s">
        <x:v>763</x:v>
      </x:c>
      <x:c r="F515" s="70" t="s">
        <x:v>830</x:v>
      </x:c>
      <x:c r="G515" s="70" t="s">
        <x:v>1304</x:v>
      </x:c>
      <x:c r="H515" s="70" t="s">
        <x:v>842</x:v>
      </x:c>
      <x:c r="I515" s="70" t="s">
        <x:v>833</x:v>
      </x:c>
      <x:c r="J515" s="70" t="n">
        <x:v>234</x:v>
      </x:c>
      <x:c r="K515" s="70" t="s">
        <x:v>1305</x:v>
      </x:c>
      <x:c r="L515" s="70" t="s">
        <x:v>1299</x:v>
      </x:c>
      <x:c r="M515" s="70" t="s">
        <x:v>34</x:v>
      </x:c>
      <x:c r="N515" s="71" t="n">
        <x:v>82301050</x:v>
      </x:c>
      <x:c r="O515" s="72" t="n">
        <x:f aca="0">N515/1000</x:f>
        <x:v>82301.05</x:v>
      </x:c>
      <x:c r="P515" s="73" t="n">
        <x:f aca="0">LUCK!E20</x:f>
        <x:v>82301.05</x:v>
      </x:c>
      <x:c r="Q515" s="70" t="str">
        <x:f aca="0">IF(ABS(O515-P515)&lt;0.000001,"PASS","FAIL")</x:f>
        <x:v>PASS</x:v>
      </x:c>
      <x:c r="R515" s="70" t="s">
        <x:v>33</x:v>
      </x:c>
      <x:c r="S515" s="70"/>
    </x:row>
    <x:row r="516" ht="15" hidden="0">
      <x:c r="A516" s="70" t="s">
        <x:v>1306</x:v>
      </x:c>
      <x:c r="B516" s="70" t="s">
        <x:v>30</x:v>
      </x:c>
      <x:c r="C516" s="70" t="s">
        <x:v>103</x:v>
      </x:c>
      <x:c r="D516" s="70" t="s">
        <x:v>109</x:v>
      </x:c>
      <x:c r="E516" s="70" t="s">
        <x:v>763</x:v>
      </x:c>
      <x:c r="F516" s="70" t="s">
        <x:v>830</x:v>
      </x:c>
      <x:c r="G516" s="70" t="s">
        <x:v>1307</x:v>
      </x:c>
      <x:c r="H516" s="70" t="s">
        <x:v>845</x:v>
      </x:c>
      <x:c r="I516" s="70" t="s">
        <x:v>833</x:v>
      </x:c>
      <x:c r="J516" s="70" t="n">
        <x:v>238</x:v>
      </x:c>
      <x:c r="K516" s="70" t="s">
        <x:v>1308</x:v>
      </x:c>
      <x:c r="L516" s="70" t="s">
        <x:v>1299</x:v>
      </x:c>
      <x:c r="M516" s="70" t="s">
        <x:v>34</x:v>
      </x:c>
      <x:c r="N516" s="71" t="n">
        <x:v>95620306</x:v>
      </x:c>
      <x:c r="O516" s="72" t="n">
        <x:f aca="0">N516/1000</x:f>
        <x:v>95620.306</x:v>
      </x:c>
      <x:c r="P516" s="73" t="n">
        <x:f aca="0">LUCK!F20</x:f>
        <x:v>95620.306</x:v>
      </x:c>
      <x:c r="Q516" s="70" t="str">
        <x:f aca="0">IF(ABS(O516-P516)&lt;0.000001,"PASS","FAIL")</x:f>
        <x:v>PASS</x:v>
      </x:c>
      <x:c r="R516" s="70" t="s">
        <x:v>33</x:v>
      </x:c>
      <x:c r="S516" s="70"/>
    </x:row>
    <x:row r="517" ht="15" hidden="0">
      <x:c r="A517" s="70" t="s">
        <x:v>1309</x:v>
      </x:c>
      <x:c r="B517" s="70" t="s">
        <x:v>30</x:v>
      </x:c>
      <x:c r="C517" s="70" t="s">
        <x:v>104</x:v>
      </x:c>
      <x:c r="D517" s="70" t="s">
        <x:v>109</x:v>
      </x:c>
      <x:c r="E517" s="70" t="s">
        <x:v>763</x:v>
      </x:c>
      <x:c r="F517" s="70" t="s">
        <x:v>830</x:v>
      </x:c>
      <x:c r="G517" s="70" t="s">
        <x:v>1310</x:v>
      </x:c>
      <x:c r="H517" s="70" t="s">
        <x:v>849</x:v>
      </x:c>
      <x:c r="I517" s="70" t="s">
        <x:v>833</x:v>
      </x:c>
      <x:c r="J517" s="70" t="n">
        <x:v>240</x:v>
      </x:c>
      <x:c r="K517" s="70" t="s">
        <x:v>1311</x:v>
      </x:c>
      <x:c r="L517" s="70" t="s">
        <x:v>1299</x:v>
      </x:c>
      <x:c r="M517" s="70" t="s">
        <x:v>34</x:v>
      </x:c>
      <x:c r="N517" s="71" t="n">
        <x:v>107258973</x:v>
      </x:c>
      <x:c r="O517" s="72" t="n">
        <x:f aca="0">N517/1000</x:f>
        <x:v>107258.973</x:v>
      </x:c>
      <x:c r="P517" s="73" t="n">
        <x:f aca="0">LUCK!G20</x:f>
        <x:v>107258.973</x:v>
      </x:c>
      <x:c r="Q517" s="70" t="str">
        <x:f aca="0">IF(ABS(O517-P517)&lt;0.000001,"PASS","FAIL")</x:f>
        <x:v>PASS</x:v>
      </x:c>
      <x:c r="R517" s="70" t="s">
        <x:v>33</x:v>
      </x:c>
      <x:c r="S517" s="70"/>
    </x:row>
    <x:row r="518" ht="15" hidden="0">
      <x:c r="A518" s="70" t="s">
        <x:v>1312</x:v>
      </x:c>
      <x:c r="B518" s="70" t="s">
        <x:v>30</x:v>
      </x:c>
      <x:c r="C518" s="70" t="s">
        <x:v>105</x:v>
      </x:c>
      <x:c r="D518" s="70" t="s">
        <x:v>109</x:v>
      </x:c>
      <x:c r="E518" s="70" t="s">
        <x:v>763</x:v>
      </x:c>
      <x:c r="F518" s="70" t="s">
        <x:v>830</x:v>
      </x:c>
      <x:c r="G518" s="70" t="s">
        <x:v>1310</x:v>
      </x:c>
      <x:c r="H518" s="70" t="s">
        <x:v>849</x:v>
      </x:c>
      <x:c r="I518" s="70" t="s">
        <x:v>852</x:v>
      </x:c>
      <x:c r="J518" s="70" t="n">
        <x:v>240</x:v>
      </x:c>
      <x:c r="K518" s="70" t="s">
        <x:v>1311</x:v>
      </x:c>
      <x:c r="L518" s="70" t="s">
        <x:v>1299</x:v>
      </x:c>
      <x:c r="M518" s="70" t="s">
        <x:v>34</x:v>
      </x:c>
      <x:c r="N518" s="71" t="n">
        <x:v>107409588</x:v>
      </x:c>
      <x:c r="O518" s="72" t="n">
        <x:f aca="0">N518/1000</x:f>
        <x:v>107409.588</x:v>
      </x:c>
      <x:c r="P518" s="73" t="n">
        <x:f aca="0">LUCK!H20</x:f>
        <x:v>107409.588</x:v>
      </x:c>
      <x:c r="Q518" s="70" t="str">
        <x:f aca="0">IF(ABS(O518-P518)&lt;0.000001,"PASS","FAIL")</x:f>
        <x:v>PASS</x:v>
      </x:c>
      <x:c r="R518" s="70" t="s">
        <x:v>33</x:v>
      </x:c>
      <x:c r="S518" s="70"/>
    </x:row>
    <x:row r="519" ht="15" hidden="0">
      <x:c r="A519" s="70" t="s">
        <x:v>1313</x:v>
      </x:c>
      <x:c r="B519" s="70" t="s">
        <x:v>30</x:v>
      </x:c>
      <x:c r="C519" s="70" t="s">
        <x:v>717</x:v>
      </x:c>
      <x:c r="D519" s="70" t="s">
        <x:v>854</x:v>
      </x:c>
      <x:c r="E519" s="70" t="s">
        <x:v>855</x:v>
      </x:c>
      <x:c r="F519" s="70" t="s">
        <x:v>329</x:v>
      </x:c>
      <x:c r="G519" s="70" t="s">
        <x:v>1298</x:v>
      </x:c>
      <x:c r="H519" s="70" t="s">
        <x:v>832</x:v>
      </x:c>
      <x:c r="I519" s="70" t="s">
        <x:v>833</x:v>
      </x:c>
      <x:c r="J519" s="70" t="n">
        <x:v>202</x:v>
      </x:c>
      <x:c r="K519" s="70" t="s">
        <x:v>834</x:v>
      </x:c>
      <x:c r="L519" s="70"/>
      <x:c r="M519" s="70" t="s">
        <x:v>34</x:v>
      </x:c>
      <x:c r="N519" s="71" t="n">
        <x:v>334191</x:v>
      </x:c>
      <x:c r="O519" s="72" t="n">
        <x:f aca="0">N519/1000</x:f>
        <x:v>334.191</x:v>
      </x:c>
      <x:c r="P519" s="73" t="n">
        <x:f aca="0">LUCK!C21</x:f>
        <x:v>334.191</x:v>
      </x:c>
      <x:c r="Q519" s="70" t="str">
        <x:f aca="0">IF(ABS(O519-P519)&lt;0.000001,"PASS","FAIL")</x:f>
        <x:v>PASS</x:v>
      </x:c>
      <x:c r="R519" s="70" t="s">
        <x:v>33</x:v>
      </x:c>
      <x:c r="S519" s="70"/>
    </x:row>
    <x:row r="520" ht="15" hidden="0">
      <x:c r="A520" s="70" t="s">
        <x:v>1314</x:v>
      </x:c>
      <x:c r="B520" s="70" t="s">
        <x:v>30</x:v>
      </x:c>
      <x:c r="C520" s="70" t="s">
        <x:v>101</x:v>
      </x:c>
      <x:c r="D520" s="70" t="s">
        <x:v>854</x:v>
      </x:c>
      <x:c r="E520" s="70" t="s">
        <x:v>855</x:v>
      </x:c>
      <x:c r="F520" s="70" t="s">
        <x:v>329</x:v>
      </x:c>
      <x:c r="G520" s="70" t="s">
        <x:v>1301</x:v>
      </x:c>
      <x:c r="H520" s="70" t="s">
        <x:v>838</x:v>
      </x:c>
      <x:c r="I520" s="70" t="s">
        <x:v>833</x:v>
      </x:c>
      <x:c r="J520" s="70" t="n">
        <x:v>237</x:v>
      </x:c>
      <x:c r="K520" s="70" t="s">
        <x:v>1315</x:v>
      </x:c>
      <x:c r="L520" s="70"/>
      <x:c r="M520" s="70" t="s">
        <x:v>34</x:v>
      </x:c>
      <x:c r="N520" s="71" t="n">
        <x:v>4015044</x:v>
      </x:c>
      <x:c r="O520" s="72" t="n">
        <x:f aca="0">N520/1000</x:f>
        <x:v>4015.044</x:v>
      </x:c>
      <x:c r="P520" s="73" t="n">
        <x:f aca="0">LUCK!D21</x:f>
        <x:v>4015.044</x:v>
      </x:c>
      <x:c r="Q520" s="70" t="str">
        <x:f aca="0">IF(ABS(O520-P520)&lt;0.000001,"PASS","FAIL")</x:f>
        <x:v>PASS</x:v>
      </x:c>
      <x:c r="R520" s="70" t="s">
        <x:v>33</x:v>
      </x:c>
      <x:c r="S520" s="70"/>
    </x:row>
    <x:row r="521" ht="15" hidden="0">
      <x:c r="A521" s="70" t="s">
        <x:v>1316</x:v>
      </x:c>
      <x:c r="B521" s="70" t="s">
        <x:v>30</x:v>
      </x:c>
      <x:c r="C521" s="70" t="s">
        <x:v>102</x:v>
      </x:c>
      <x:c r="D521" s="70" t="s">
        <x:v>854</x:v>
      </x:c>
      <x:c r="E521" s="70" t="s">
        <x:v>855</x:v>
      </x:c>
      <x:c r="F521" s="70" t="s">
        <x:v>329</x:v>
      </x:c>
      <x:c r="G521" s="70" t="s">
        <x:v>1304</x:v>
      </x:c>
      <x:c r="H521" s="70" t="s">
        <x:v>842</x:v>
      </x:c>
      <x:c r="I521" s="70" t="s">
        <x:v>833</x:v>
      </x:c>
      <x:c r="J521" s="70" t="n">
        <x:v>245</x:v>
      </x:c>
      <x:c r="K521" s="70" t="s">
        <x:v>1317</x:v>
      </x:c>
      <x:c r="L521" s="70"/>
      <x:c r="M521" s="70" t="s">
        <x:v>34</x:v>
      </x:c>
      <x:c r="N521" s="71" t="n">
        <x:v>21911214</x:v>
      </x:c>
      <x:c r="O521" s="72" t="n">
        <x:f aca="0">N521/1000</x:f>
        <x:v>21911.214</x:v>
      </x:c>
      <x:c r="P521" s="73" t="n">
        <x:f aca="0">LUCK!E21</x:f>
        <x:v>21911.214</x:v>
      </x:c>
      <x:c r="Q521" s="70" t="str">
        <x:f aca="0">IF(ABS(O521-P521)&lt;0.000001,"PASS","FAIL")</x:f>
        <x:v>PASS</x:v>
      </x:c>
      <x:c r="R521" s="70" t="s">
        <x:v>33</x:v>
      </x:c>
      <x:c r="S521" s="70"/>
    </x:row>
    <x:row r="522" ht="15" hidden="0">
      <x:c r="A522" s="70" t="s">
        <x:v>1318</x:v>
      </x:c>
      <x:c r="B522" s="70" t="s">
        <x:v>30</x:v>
      </x:c>
      <x:c r="C522" s="70" t="s">
        <x:v>103</x:v>
      </x:c>
      <x:c r="D522" s="70" t="s">
        <x:v>854</x:v>
      </x:c>
      <x:c r="E522" s="70" t="s">
        <x:v>855</x:v>
      </x:c>
      <x:c r="F522" s="70" t="s">
        <x:v>329</x:v>
      </x:c>
      <x:c r="G522" s="70" t="s">
        <x:v>1307</x:v>
      </x:c>
      <x:c r="H522" s="70" t="s">
        <x:v>845</x:v>
      </x:c>
      <x:c r="I522" s="70" t="s">
        <x:v>833</x:v>
      </x:c>
      <x:c r="J522" s="70" t="n">
        <x:v>250</x:v>
      </x:c>
      <x:c r="K522" s="70" t="s">
        <x:v>1319</x:v>
      </x:c>
      <x:c r="L522" s="70"/>
      <x:c r="M522" s="70" t="s">
        <x:v>34</x:v>
      </x:c>
      <x:c r="N522" s="71" t="n">
        <x:v>5562145</x:v>
      </x:c>
      <x:c r="O522" s="72" t="n">
        <x:f aca="0">N522/1000</x:f>
        <x:v>5562.145</x:v>
      </x:c>
      <x:c r="P522" s="73" t="n">
        <x:f aca="0">LUCK!F21</x:f>
        <x:v>5562.145</x:v>
      </x:c>
      <x:c r="Q522" s="70" t="str">
        <x:f aca="0">IF(ABS(O522-P522)&lt;0.000001,"PASS","FAIL")</x:f>
        <x:v>PASS</x:v>
      </x:c>
      <x:c r="R522" s="70" t="s">
        <x:v>33</x:v>
      </x:c>
      <x:c r="S522" s="70"/>
    </x:row>
    <x:row r="523" ht="15" hidden="0">
      <x:c r="A523" s="70" t="s">
        <x:v>1320</x:v>
      </x:c>
      <x:c r="B523" s="70" t="s">
        <x:v>30</x:v>
      </x:c>
      <x:c r="C523" s="70" t="s">
        <x:v>104</x:v>
      </x:c>
      <x:c r="D523" s="70" t="s">
        <x:v>854</x:v>
      </x:c>
      <x:c r="E523" s="70" t="s">
        <x:v>855</x:v>
      </x:c>
      <x:c r="F523" s="70" t="s">
        <x:v>329</x:v>
      </x:c>
      <x:c r="G523" s="70" t="s">
        <x:v>1310</x:v>
      </x:c>
      <x:c r="H523" s="70" t="s">
        <x:v>849</x:v>
      </x:c>
      <x:c r="I523" s="70" t="s">
        <x:v>833</x:v>
      </x:c>
      <x:c r="J523" s="70" t="n">
        <x:v>252</x:v>
      </x:c>
      <x:c r="K523" s="70" t="s">
        <x:v>1321</x:v>
      </x:c>
      <x:c r="L523" s="70"/>
      <x:c r="M523" s="70" t="s">
        <x:v>34</x:v>
      </x:c>
      <x:c r="N523" s="71" t="n">
        <x:v>11633303</x:v>
      </x:c>
      <x:c r="O523" s="72" t="n">
        <x:f aca="0">N523/1000</x:f>
        <x:v>11633.303</x:v>
      </x:c>
      <x:c r="P523" s="73" t="n">
        <x:f aca="0">LUCK!G21</x:f>
        <x:v>11633.303</x:v>
      </x:c>
      <x:c r="Q523" s="70" t="str">
        <x:f aca="0">IF(ABS(O523-P523)&lt;0.000001,"PASS","FAIL")</x:f>
        <x:v>PASS</x:v>
      </x:c>
      <x:c r="R523" s="70" t="s">
        <x:v>33</x:v>
      </x:c>
      <x:c r="S523" s="70"/>
    </x:row>
    <x:row r="524" ht="15" hidden="0">
      <x:c r="A524" s="70" t="s">
        <x:v>1322</x:v>
      </x:c>
      <x:c r="B524" s="70" t="s">
        <x:v>30</x:v>
      </x:c>
      <x:c r="C524" s="70" t="s">
        <x:v>105</x:v>
      </x:c>
      <x:c r="D524" s="70" t="s">
        <x:v>854</x:v>
      </x:c>
      <x:c r="E524" s="70" t="s">
        <x:v>855</x:v>
      </x:c>
      <x:c r="F524" s="70" t="s">
        <x:v>329</x:v>
      </x:c>
      <x:c r="G524" s="70" t="s">
        <x:v>1310</x:v>
      </x:c>
      <x:c r="H524" s="70" t="s">
        <x:v>849</x:v>
      </x:c>
      <x:c r="I524" s="70" t="s">
        <x:v>852</x:v>
      </x:c>
      <x:c r="J524" s="70" t="n">
        <x:v>252</x:v>
      </x:c>
      <x:c r="K524" s="70" t="s">
        <x:v>1321</x:v>
      </x:c>
      <x:c r="L524" s="70"/>
      <x:c r="M524" s="70" t="s">
        <x:v>34</x:v>
      </x:c>
      <x:c r="N524" s="71" t="n">
        <x:v>5420742</x:v>
      </x:c>
      <x:c r="O524" s="72" t="n">
        <x:f aca="0">N524/1000</x:f>
        <x:v>5420.742</x:v>
      </x:c>
      <x:c r="P524" s="73" t="n">
        <x:f aca="0">LUCK!H21</x:f>
        <x:v>5420.742</x:v>
      </x:c>
      <x:c r="Q524" s="70" t="str">
        <x:f aca="0">IF(ABS(O524-P524)&lt;0.000001,"PASS","FAIL")</x:f>
        <x:v>PASS</x:v>
      </x:c>
      <x:c r="R524" s="70" t="s">
        <x:v>33</x:v>
      </x:c>
      <x:c r="S524" s="70"/>
    </x:row>
    <x:row r="525" ht="15" hidden="0">
      <x:c r="A525" s="70" t="s">
        <x:v>1323</x:v>
      </x:c>
      <x:c r="B525" s="70" t="s">
        <x:v>30</x:v>
      </x:c>
      <x:c r="C525" s="70" t="s">
        <x:v>717</x:v>
      </x:c>
      <x:c r="D525" s="70" t="s">
        <x:v>116</x:v>
      </x:c>
      <x:c r="E525" s="70" t="s">
        <x:v>763</x:v>
      </x:c>
      <x:c r="F525" s="70"/>
      <x:c r="G525" s="70" t="s">
        <x:v>1298</x:v>
      </x:c>
      <x:c r="H525" s="70" t="s">
        <x:v>832</x:v>
      </x:c>
      <x:c r="I525" s="70" t="s">
        <x:v>833</x:v>
      </x:c>
      <x:c r="J525" s="70" t="n">
        <x:v>191</x:v>
      </x:c>
      <x:c r="K525" s="70" t="s">
        <x:v>834</x:v>
      </x:c>
      <x:c r="L525" s="70"/>
      <x:c r="M525" s="70" t="s">
        <x:v>34</x:v>
      </x:c>
      <x:c r="N525" s="71" t="n">
        <x:v>0</x:v>
      </x:c>
      <x:c r="O525" s="72" t="n">
        <x:f aca="0">N525/1000</x:f>
        <x:v>0</x:v>
      </x:c>
      <x:c r="P525" s="73" t="n">
        <x:f aca="0">LUCK!C23</x:f>
        <x:v>0</x:v>
      </x:c>
      <x:c r="Q525" s="70" t="str">
        <x:f aca="0">IF(ABS(O525-P525)&lt;0.000001,"PASS","FAIL")</x:f>
        <x:v>PASS</x:v>
      </x:c>
      <x:c r="R525" s="70" t="s">
        <x:v>33</x:v>
      </x:c>
      <x:c r="S525" s="70"/>
    </x:row>
    <x:row r="526" ht="15" hidden="0">
      <x:c r="A526" s="70" t="s">
        <x:v>1324</x:v>
      </x:c>
      <x:c r="B526" s="70" t="s">
        <x:v>30</x:v>
      </x:c>
      <x:c r="C526" s="70" t="s">
        <x:v>101</x:v>
      </x:c>
      <x:c r="D526" s="70" t="s">
        <x:v>116</x:v>
      </x:c>
      <x:c r="E526" s="70" t="s">
        <x:v>763</x:v>
      </x:c>
      <x:c r="F526" s="70"/>
      <x:c r="G526" s="70" t="s">
        <x:v>1301</x:v>
      </x:c>
      <x:c r="H526" s="70" t="s">
        <x:v>838</x:v>
      </x:c>
      <x:c r="I526" s="70" t="s">
        <x:v>833</x:v>
      </x:c>
      <x:c r="J526" s="70" t="n">
        <x:v>226</x:v>
      </x:c>
      <x:c r="K526" s="70" t="s">
        <x:v>1302</x:v>
      </x:c>
      <x:c r="L526" s="70"/>
      <x:c r="M526" s="70" t="s">
        <x:v>34</x:v>
      </x:c>
      <x:c r="N526" s="71" t="n">
        <x:v>0</x:v>
      </x:c>
      <x:c r="O526" s="72" t="n">
        <x:f aca="0">N526/1000</x:f>
        <x:v>0</x:v>
      </x:c>
      <x:c r="P526" s="73" t="n">
        <x:f aca="0">LUCK!D23</x:f>
        <x:v>0</x:v>
      </x:c>
      <x:c r="Q526" s="70" t="str">
        <x:f aca="0">IF(ABS(O526-P526)&lt;0.000001,"PASS","FAIL")</x:f>
        <x:v>PASS</x:v>
      </x:c>
      <x:c r="R526" s="70" t="s">
        <x:v>33</x:v>
      </x:c>
      <x:c r="S526" s="70"/>
    </x:row>
    <x:row r="527" ht="15" hidden="0">
      <x:c r="A527" s="70" t="s">
        <x:v>1325</x:v>
      </x:c>
      <x:c r="B527" s="70" t="s">
        <x:v>30</x:v>
      </x:c>
      <x:c r="C527" s="70" t="s">
        <x:v>102</x:v>
      </x:c>
      <x:c r="D527" s="70" t="s">
        <x:v>116</x:v>
      </x:c>
      <x:c r="E527" s="70" t="s">
        <x:v>763</x:v>
      </x:c>
      <x:c r="F527" s="70"/>
      <x:c r="G527" s="70" t="s">
        <x:v>1304</x:v>
      </x:c>
      <x:c r="H527" s="70" t="s">
        <x:v>842</x:v>
      </x:c>
      <x:c r="I527" s="70" t="s">
        <x:v>833</x:v>
      </x:c>
      <x:c r="J527" s="70" t="n">
        <x:v>234</x:v>
      </x:c>
      <x:c r="K527" s="70" t="s">
        <x:v>1305</x:v>
      </x:c>
      <x:c r="L527" s="70"/>
      <x:c r="M527" s="70" t="s">
        <x:v>34</x:v>
      </x:c>
      <x:c r="N527" s="71" t="n">
        <x:v>0</x:v>
      </x:c>
      <x:c r="O527" s="72" t="n">
        <x:f aca="0">N527/1000</x:f>
        <x:v>0</x:v>
      </x:c>
      <x:c r="P527" s="73" t="n">
        <x:f aca="0">LUCK!E23</x:f>
        <x:v>0</x:v>
      </x:c>
      <x:c r="Q527" s="70" t="str">
        <x:f aca="0">IF(ABS(O527-P527)&lt;0.000001,"PASS","FAIL")</x:f>
        <x:v>PASS</x:v>
      </x:c>
      <x:c r="R527" s="70" t="s">
        <x:v>33</x:v>
      </x:c>
      <x:c r="S527" s="70"/>
    </x:row>
    <x:row r="528" ht="15" hidden="0">
      <x:c r="A528" s="70" t="s">
        <x:v>1326</x:v>
      </x:c>
      <x:c r="B528" s="70" t="s">
        <x:v>30</x:v>
      </x:c>
      <x:c r="C528" s="70" t="s">
        <x:v>103</x:v>
      </x:c>
      <x:c r="D528" s="70" t="s">
        <x:v>116</x:v>
      </x:c>
      <x:c r="E528" s="70" t="s">
        <x:v>763</x:v>
      </x:c>
      <x:c r="F528" s="70"/>
      <x:c r="G528" s="70" t="s">
        <x:v>1307</x:v>
      </x:c>
      <x:c r="H528" s="70" t="s">
        <x:v>845</x:v>
      </x:c>
      <x:c r="I528" s="70" t="s">
        <x:v>833</x:v>
      </x:c>
      <x:c r="J528" s="70" t="n">
        <x:v>238</x:v>
      </x:c>
      <x:c r="K528" s="70" t="s">
        <x:v>1308</x:v>
      </x:c>
      <x:c r="L528" s="70"/>
      <x:c r="M528" s="70" t="s">
        <x:v>34</x:v>
      </x:c>
      <x:c r="N528" s="71" t="n">
        <x:v>0</x:v>
      </x:c>
      <x:c r="O528" s="72" t="n">
        <x:f aca="0">N528/1000</x:f>
        <x:v>0</x:v>
      </x:c>
      <x:c r="P528" s="73" t="n">
        <x:f aca="0">LUCK!F23</x:f>
        <x:v>0</x:v>
      </x:c>
      <x:c r="Q528" s="70" t="str">
        <x:f aca="0">IF(ABS(O528-P528)&lt;0.000001,"PASS","FAIL")</x:f>
        <x:v>PASS</x:v>
      </x:c>
      <x:c r="R528" s="70" t="s">
        <x:v>33</x:v>
      </x:c>
      <x:c r="S528" s="70"/>
    </x:row>
    <x:row r="529" ht="15" hidden="0">
      <x:c r="A529" s="70" t="s">
        <x:v>1327</x:v>
      </x:c>
      <x:c r="B529" s="70" t="s">
        <x:v>30</x:v>
      </x:c>
      <x:c r="C529" s="70" t="s">
        <x:v>104</x:v>
      </x:c>
      <x:c r="D529" s="70" t="s">
        <x:v>116</x:v>
      </x:c>
      <x:c r="E529" s="70" t="s">
        <x:v>763</x:v>
      </x:c>
      <x:c r="F529" s="70"/>
      <x:c r="G529" s="70" t="s">
        <x:v>1310</x:v>
      </x:c>
      <x:c r="H529" s="70" t="s">
        <x:v>849</x:v>
      </x:c>
      <x:c r="I529" s="70" t="s">
        <x:v>833</x:v>
      </x:c>
      <x:c r="J529" s="70" t="n">
        <x:v>240</x:v>
      </x:c>
      <x:c r="K529" s="70" t="s">
        <x:v>1311</x:v>
      </x:c>
      <x:c r="L529" s="70"/>
      <x:c r="M529" s="70" t="s">
        <x:v>34</x:v>
      </x:c>
      <x:c r="N529" s="71" t="n">
        <x:v>0</x:v>
      </x:c>
      <x:c r="O529" s="72" t="n">
        <x:f aca="0">N529/1000</x:f>
        <x:v>0</x:v>
      </x:c>
      <x:c r="P529" s="73" t="n">
        <x:f aca="0">LUCK!G23</x:f>
        <x:v>0</x:v>
      </x:c>
      <x:c r="Q529" s="70" t="str">
        <x:f aca="0">IF(ABS(O529-P529)&lt;0.000001,"PASS","FAIL")</x:f>
        <x:v>PASS</x:v>
      </x:c>
      <x:c r="R529" s="70" t="s">
        <x:v>33</x:v>
      </x:c>
      <x:c r="S529" s="70"/>
    </x:row>
    <x:row r="530" ht="15" hidden="0">
      <x:c r="A530" s="70" t="s">
        <x:v>1328</x:v>
      </x:c>
      <x:c r="B530" s="70" t="s">
        <x:v>30</x:v>
      </x:c>
      <x:c r="C530" s="70" t="s">
        <x:v>105</x:v>
      </x:c>
      <x:c r="D530" s="70" t="s">
        <x:v>116</x:v>
      </x:c>
      <x:c r="E530" s="70" t="s">
        <x:v>763</x:v>
      </x:c>
      <x:c r="F530" s="70"/>
      <x:c r="G530" s="70" t="s">
        <x:v>1310</x:v>
      </x:c>
      <x:c r="H530" s="70" t="s">
        <x:v>849</x:v>
      </x:c>
      <x:c r="I530" s="70" t="s">
        <x:v>852</x:v>
      </x:c>
      <x:c r="J530" s="70" t="n">
        <x:v>240</x:v>
      </x:c>
      <x:c r="K530" s="70" t="s">
        <x:v>1311</x:v>
      </x:c>
      <x:c r="L530" s="70"/>
      <x:c r="M530" s="70" t="s">
        <x:v>34</x:v>
      </x:c>
      <x:c r="N530" s="71" t="n">
        <x:v>0</x:v>
      </x:c>
      <x:c r="O530" s="72" t="n">
        <x:f aca="0">N530/1000</x:f>
        <x:v>0</x:v>
      </x:c>
      <x:c r="P530" s="73" t="n">
        <x:f aca="0">LUCK!H23</x:f>
        <x:v>0</x:v>
      </x:c>
      <x:c r="Q530" s="70" t="str">
        <x:f aca="0">IF(ABS(O530-P530)&lt;0.000001,"PASS","FAIL")</x:f>
        <x:v>PASS</x:v>
      </x:c>
      <x:c r="R530" s="70" t="s">
        <x:v>33</x:v>
      </x:c>
      <x:c r="S530" s="70"/>
    </x:row>
    <x:row r="531" ht="15" hidden="0">
      <x:c r="A531" s="70" t="s">
        <x:v>1329</x:v>
      </x:c>
      <x:c r="B531" s="70" t="s">
        <x:v>30</x:v>
      </x:c>
      <x:c r="C531" s="70" t="s">
        <x:v>717</x:v>
      </x:c>
      <x:c r="D531" s="70" t="s">
        <x:v>118</x:v>
      </x:c>
      <x:c r="E531" s="70" t="s">
        <x:v>763</x:v>
      </x:c>
      <x:c r="F531" s="70" t="s">
        <x:v>118</x:v>
      </x:c>
      <x:c r="G531" s="70" t="s">
        <x:v>1298</x:v>
      </x:c>
      <x:c r="H531" s="70" t="s">
        <x:v>832</x:v>
      </x:c>
      <x:c r="I531" s="70" t="s">
        <x:v>833</x:v>
      </x:c>
      <x:c r="J531" s="70" t="n">
        <x:v>191</x:v>
      </x:c>
      <x:c r="K531" s="70" t="s">
        <x:v>834</x:v>
      </x:c>
      <x:c r="L531" s="70" t="s">
        <x:v>966</x:v>
      </x:c>
      <x:c r="M531" s="70" t="s">
        <x:v>34</x:v>
      </x:c>
      <x:c r="N531" s="71" t="n">
        <x:v>11323</x:v>
      </x:c>
      <x:c r="O531" s="72" t="n">
        <x:f aca="0">N531/1000</x:f>
        <x:v>11.323</x:v>
      </x:c>
      <x:c r="P531" s="73" t="n">
        <x:f aca="0">LUCK!C24</x:f>
        <x:v>11.323</x:v>
      </x:c>
      <x:c r="Q531" s="70" t="str">
        <x:f aca="0">IF(ABS(O531-P531)&lt;0.000001,"PASS","FAIL")</x:f>
        <x:v>PASS</x:v>
      </x:c>
      <x:c r="R531" s="70" t="s">
        <x:v>33</x:v>
      </x:c>
      <x:c r="S531" s="70"/>
    </x:row>
    <x:row r="532" ht="15" hidden="0">
      <x:c r="A532" s="70" t="s">
        <x:v>1330</x:v>
      </x:c>
      <x:c r="B532" s="70" t="s">
        <x:v>30</x:v>
      </x:c>
      <x:c r="C532" s="70" t="s">
        <x:v>101</x:v>
      </x:c>
      <x:c r="D532" s="70" t="s">
        <x:v>118</x:v>
      </x:c>
      <x:c r="E532" s="70" t="s">
        <x:v>763</x:v>
      </x:c>
      <x:c r="F532" s="70" t="s">
        <x:v>118</x:v>
      </x:c>
      <x:c r="G532" s="70" t="s">
        <x:v>1301</x:v>
      </x:c>
      <x:c r="H532" s="70" t="s">
        <x:v>838</x:v>
      </x:c>
      <x:c r="I532" s="70" t="s">
        <x:v>833</x:v>
      </x:c>
      <x:c r="J532" s="70" t="n">
        <x:v>226</x:v>
      </x:c>
      <x:c r="K532" s="70" t="s">
        <x:v>1302</x:v>
      </x:c>
      <x:c r="L532" s="70" t="s">
        <x:v>966</x:v>
      </x:c>
      <x:c r="M532" s="70" t="s">
        <x:v>34</x:v>
      </x:c>
      <x:c r="N532" s="71" t="n">
        <x:v>670</x:v>
      </x:c>
      <x:c r="O532" s="72" t="n">
        <x:f aca="0">N532/1000</x:f>
        <x:v>0.67</x:v>
      </x:c>
      <x:c r="P532" s="73" t="n">
        <x:f aca="0">LUCK!D24</x:f>
        <x:v>0.67</x:v>
      </x:c>
      <x:c r="Q532" s="70" t="str">
        <x:f aca="0">IF(ABS(O532-P532)&lt;0.000001,"PASS","FAIL")</x:f>
        <x:v>PASS</x:v>
      </x:c>
      <x:c r="R532" s="70" t="s">
        <x:v>33</x:v>
      </x:c>
      <x:c r="S532" s="70"/>
    </x:row>
    <x:row r="533" ht="15" hidden="0">
      <x:c r="A533" s="70" t="s">
        <x:v>1331</x:v>
      </x:c>
      <x:c r="B533" s="70" t="s">
        <x:v>30</x:v>
      </x:c>
      <x:c r="C533" s="70" t="s">
        <x:v>102</x:v>
      </x:c>
      <x:c r="D533" s="70" t="s">
        <x:v>118</x:v>
      </x:c>
      <x:c r="E533" s="70" t="s">
        <x:v>763</x:v>
      </x:c>
      <x:c r="F533" s="70" t="s">
        <x:v>118</x:v>
      </x:c>
      <x:c r="G533" s="70" t="s">
        <x:v>1304</x:v>
      </x:c>
      <x:c r="H533" s="70" t="s">
        <x:v>842</x:v>
      </x:c>
      <x:c r="I533" s="70" t="s">
        <x:v>833</x:v>
      </x:c>
      <x:c r="J533" s="70" t="n">
        <x:v>234</x:v>
      </x:c>
      <x:c r="K533" s="70" t="s">
        <x:v>1305</x:v>
      </x:c>
      <x:c r="L533" s="70" t="s">
        <x:v>966</x:v>
      </x:c>
      <x:c r="M533" s="70" t="s">
        <x:v>34</x:v>
      </x:c>
      <x:c r="N533" s="71" t="n">
        <x:v>51352</x:v>
      </x:c>
      <x:c r="O533" s="72" t="n">
        <x:f aca="0">N533/1000</x:f>
        <x:v>51.352</x:v>
      </x:c>
      <x:c r="P533" s="73" t="n">
        <x:f aca="0">LUCK!E24</x:f>
        <x:v>51.352</x:v>
      </x:c>
      <x:c r="Q533" s="70" t="str">
        <x:f aca="0">IF(ABS(O533-P533)&lt;0.000001,"PASS","FAIL")</x:f>
        <x:v>PASS</x:v>
      </x:c>
      <x:c r="R533" s="70" t="s">
        <x:v>33</x:v>
      </x:c>
      <x:c r="S533" s="70"/>
    </x:row>
    <x:row r="534" ht="15" hidden="0">
      <x:c r="A534" s="70" t="s">
        <x:v>1332</x:v>
      </x:c>
      <x:c r="B534" s="70" t="s">
        <x:v>30</x:v>
      </x:c>
      <x:c r="C534" s="70" t="s">
        <x:v>103</x:v>
      </x:c>
      <x:c r="D534" s="70" t="s">
        <x:v>118</x:v>
      </x:c>
      <x:c r="E534" s="70" t="s">
        <x:v>763</x:v>
      </x:c>
      <x:c r="F534" s="70" t="s">
        <x:v>118</x:v>
      </x:c>
      <x:c r="G534" s="70" t="s">
        <x:v>1307</x:v>
      </x:c>
      <x:c r="H534" s="70" t="s">
        <x:v>845</x:v>
      </x:c>
      <x:c r="I534" s="70" t="s">
        <x:v>833</x:v>
      </x:c>
      <x:c r="J534" s="70" t="n">
        <x:v>238</x:v>
      </x:c>
      <x:c r="K534" s="70" t="s">
        <x:v>1308</x:v>
      </x:c>
      <x:c r="L534" s="70" t="s">
        <x:v>966</x:v>
      </x:c>
      <x:c r="M534" s="70" t="s">
        <x:v>34</x:v>
      </x:c>
      <x:c r="N534" s="71" t="n">
        <x:v>85588</x:v>
      </x:c>
      <x:c r="O534" s="72" t="n">
        <x:f aca="0">N534/1000</x:f>
        <x:v>85.588</x:v>
      </x:c>
      <x:c r="P534" s="73" t="n">
        <x:f aca="0">LUCK!F24</x:f>
        <x:v>85.588</x:v>
      </x:c>
      <x:c r="Q534" s="70" t="str">
        <x:f aca="0">IF(ABS(O534-P534)&lt;0.000001,"PASS","FAIL")</x:f>
        <x:v>PASS</x:v>
      </x:c>
      <x:c r="R534" s="70" t="s">
        <x:v>33</x:v>
      </x:c>
      <x:c r="S534" s="70"/>
    </x:row>
    <x:row r="535" ht="15" hidden="0">
      <x:c r="A535" s="70" t="s">
        <x:v>1333</x:v>
      </x:c>
      <x:c r="B535" s="70" t="s">
        <x:v>30</x:v>
      </x:c>
      <x:c r="C535" s="70" t="s">
        <x:v>104</x:v>
      </x:c>
      <x:c r="D535" s="70" t="s">
        <x:v>118</x:v>
      </x:c>
      <x:c r="E535" s="70" t="s">
        <x:v>763</x:v>
      </x:c>
      <x:c r="F535" s="70" t="s">
        <x:v>118</x:v>
      </x:c>
      <x:c r="G535" s="70" t="s">
        <x:v>1310</x:v>
      </x:c>
      <x:c r="H535" s="70" t="s">
        <x:v>849</x:v>
      </x:c>
      <x:c r="I535" s="70" t="s">
        <x:v>833</x:v>
      </x:c>
      <x:c r="J535" s="70" t="n">
        <x:v>240</x:v>
      </x:c>
      <x:c r="K535" s="70" t="s">
        <x:v>1311</x:v>
      </x:c>
      <x:c r="L535" s="70" t="s">
        <x:v>966</x:v>
      </x:c>
      <x:c r="M535" s="70" t="s">
        <x:v>34</x:v>
      </x:c>
      <x:c r="N535" s="71" t="n">
        <x:v>69394</x:v>
      </x:c>
      <x:c r="O535" s="72" t="n">
        <x:f aca="0">N535/1000</x:f>
        <x:v>69.394</x:v>
      </x:c>
      <x:c r="P535" s="73" t="n">
        <x:f aca="0">LUCK!G24</x:f>
        <x:v>69.394</x:v>
      </x:c>
      <x:c r="Q535" s="70" t="str">
        <x:f aca="0">IF(ABS(O535-P535)&lt;0.000001,"PASS","FAIL")</x:f>
        <x:v>PASS</x:v>
      </x:c>
      <x:c r="R535" s="70" t="s">
        <x:v>33</x:v>
      </x:c>
      <x:c r="S535" s="70"/>
    </x:row>
    <x:row r="536" ht="15" hidden="0">
      <x:c r="A536" s="70" t="s">
        <x:v>1334</x:v>
      </x:c>
      <x:c r="B536" s="70" t="s">
        <x:v>30</x:v>
      </x:c>
      <x:c r="C536" s="70" t="s">
        <x:v>105</x:v>
      </x:c>
      <x:c r="D536" s="70" t="s">
        <x:v>118</x:v>
      </x:c>
      <x:c r="E536" s="70" t="s">
        <x:v>763</x:v>
      </x:c>
      <x:c r="F536" s="70" t="s">
        <x:v>118</x:v>
      </x:c>
      <x:c r="G536" s="70" t="s">
        <x:v>1310</x:v>
      </x:c>
      <x:c r="H536" s="70" t="s">
        <x:v>849</x:v>
      </x:c>
      <x:c r="I536" s="70" t="s">
        <x:v>852</x:v>
      </x:c>
      <x:c r="J536" s="70" t="n">
        <x:v>240</x:v>
      </x:c>
      <x:c r="K536" s="70" t="s">
        <x:v>1311</x:v>
      </x:c>
      <x:c r="L536" s="70" t="s">
        <x:v>966</x:v>
      </x:c>
      <x:c r="M536" s="70" t="s">
        <x:v>34</x:v>
      </x:c>
      <x:c r="N536" s="71" t="n">
        <x:v>46229</x:v>
      </x:c>
      <x:c r="O536" s="72" t="n">
        <x:f aca="0">N536/1000</x:f>
        <x:v>46.229</x:v>
      </x:c>
      <x:c r="P536" s="73" t="n">
        <x:f aca="0">LUCK!H24</x:f>
        <x:v>46.229</x:v>
      </x:c>
      <x:c r="Q536" s="70" t="str">
        <x:f aca="0">IF(ABS(O536-P536)&lt;0.000001,"PASS","FAIL")</x:f>
        <x:v>PASS</x:v>
      </x:c>
      <x:c r="R536" s="70" t="s">
        <x:v>33</x:v>
      </x:c>
      <x:c r="S536" s="70"/>
    </x:row>
    <x:row r="537" ht="15" hidden="0">
      <x:c r="A537" s="70" t="s">
        <x:v>1335</x:v>
      </x:c>
      <x:c r="B537" s="70" t="s">
        <x:v>30</x:v>
      </x:c>
      <x:c r="C537" s="70" t="s">
        <x:v>717</x:v>
      </x:c>
      <x:c r="D537" s="70" t="s">
        <x:v>120</x:v>
      </x:c>
      <x:c r="E537" s="70" t="s">
        <x:v>763</x:v>
      </x:c>
      <x:c r="F537" s="70"/>
      <x:c r="G537" s="70" t="s">
        <x:v>1298</x:v>
      </x:c>
      <x:c r="H537" s="70" t="s">
        <x:v>832</x:v>
      </x:c>
      <x:c r="I537" s="70" t="s">
        <x:v>833</x:v>
      </x:c>
      <x:c r="J537" s="70" t="n">
        <x:v>191</x:v>
      </x:c>
      <x:c r="K537" s="70" t="s">
        <x:v>834</x:v>
      </x:c>
      <x:c r="L537" s="70"/>
      <x:c r="M537" s="70" t="s">
        <x:v>34</x:v>
      </x:c>
      <x:c r="N537" s="71" t="n">
        <x:v>0</x:v>
      </x:c>
      <x:c r="O537" s="72" t="n">
        <x:f aca="0">N537/1000</x:f>
        <x:v>0</x:v>
      </x:c>
      <x:c r="P537" s="73" t="n">
        <x:f aca="0">LUCK!C25</x:f>
        <x:v>0</x:v>
      </x:c>
      <x:c r="Q537" s="70" t="str">
        <x:f aca="0">IF(ABS(O537-P537)&lt;0.000001,"PASS","FAIL")</x:f>
        <x:v>PASS</x:v>
      </x:c>
      <x:c r="R537" s="70" t="s">
        <x:v>33</x:v>
      </x:c>
      <x:c r="S537" s="70"/>
    </x:row>
    <x:row r="538" ht="15" hidden="0">
      <x:c r="A538" s="70" t="s">
        <x:v>1336</x:v>
      </x:c>
      <x:c r="B538" s="70" t="s">
        <x:v>30</x:v>
      </x:c>
      <x:c r="C538" s="70" t="s">
        <x:v>101</x:v>
      </x:c>
      <x:c r="D538" s="70" t="s">
        <x:v>120</x:v>
      </x:c>
      <x:c r="E538" s="70" t="s">
        <x:v>763</x:v>
      </x:c>
      <x:c r="F538" s="70"/>
      <x:c r="G538" s="70" t="s">
        <x:v>1301</x:v>
      </x:c>
      <x:c r="H538" s="70" t="s">
        <x:v>838</x:v>
      </x:c>
      <x:c r="I538" s="70" t="s">
        <x:v>833</x:v>
      </x:c>
      <x:c r="J538" s="70" t="n">
        <x:v>226</x:v>
      </x:c>
      <x:c r="K538" s="70" t="s">
        <x:v>1302</x:v>
      </x:c>
      <x:c r="L538" s="70"/>
      <x:c r="M538" s="70" t="s">
        <x:v>34</x:v>
      </x:c>
      <x:c r="N538" s="71" t="n">
        <x:v>0</x:v>
      </x:c>
      <x:c r="O538" s="72" t="n">
        <x:f aca="0">N538/1000</x:f>
        <x:v>0</x:v>
      </x:c>
      <x:c r="P538" s="73" t="n">
        <x:f aca="0">LUCK!D25</x:f>
        <x:v>0</x:v>
      </x:c>
      <x:c r="Q538" s="70" t="str">
        <x:f aca="0">IF(ABS(O538-P538)&lt;0.000001,"PASS","FAIL")</x:f>
        <x:v>PASS</x:v>
      </x:c>
      <x:c r="R538" s="70" t="s">
        <x:v>33</x:v>
      </x:c>
      <x:c r="S538" s="70"/>
    </x:row>
    <x:row r="539" ht="15" hidden="0">
      <x:c r="A539" s="70" t="s">
        <x:v>1337</x:v>
      </x:c>
      <x:c r="B539" s="70" t="s">
        <x:v>30</x:v>
      </x:c>
      <x:c r="C539" s="70" t="s">
        <x:v>102</x:v>
      </x:c>
      <x:c r="D539" s="70" t="s">
        <x:v>120</x:v>
      </x:c>
      <x:c r="E539" s="70" t="s">
        <x:v>763</x:v>
      </x:c>
      <x:c r="F539" s="70"/>
      <x:c r="G539" s="70" t="s">
        <x:v>1304</x:v>
      </x:c>
      <x:c r="H539" s="70" t="s">
        <x:v>842</x:v>
      </x:c>
      <x:c r="I539" s="70" t="s">
        <x:v>833</x:v>
      </x:c>
      <x:c r="J539" s="70" t="n">
        <x:v>234</x:v>
      </x:c>
      <x:c r="K539" s="70" t="s">
        <x:v>1305</x:v>
      </x:c>
      <x:c r="L539" s="70"/>
      <x:c r="M539" s="70" t="s">
        <x:v>34</x:v>
      </x:c>
      <x:c r="N539" s="71" t="n">
        <x:v>0</x:v>
      </x:c>
      <x:c r="O539" s="72" t="n">
        <x:f aca="0">N539/1000</x:f>
        <x:v>0</x:v>
      </x:c>
      <x:c r="P539" s="73" t="n">
        <x:f aca="0">LUCK!E25</x:f>
        <x:v>0</x:v>
      </x:c>
      <x:c r="Q539" s="70" t="str">
        <x:f aca="0">IF(ABS(O539-P539)&lt;0.000001,"PASS","FAIL")</x:f>
        <x:v>PASS</x:v>
      </x:c>
      <x:c r="R539" s="70" t="s">
        <x:v>33</x:v>
      </x:c>
      <x:c r="S539" s="70"/>
    </x:row>
    <x:row r="540" ht="15" hidden="0">
      <x:c r="A540" s="70" t="s">
        <x:v>1338</x:v>
      </x:c>
      <x:c r="B540" s="70" t="s">
        <x:v>30</x:v>
      </x:c>
      <x:c r="C540" s="70" t="s">
        <x:v>103</x:v>
      </x:c>
      <x:c r="D540" s="70" t="s">
        <x:v>120</x:v>
      </x:c>
      <x:c r="E540" s="70" t="s">
        <x:v>763</x:v>
      </x:c>
      <x:c r="F540" s="70"/>
      <x:c r="G540" s="70" t="s">
        <x:v>1307</x:v>
      </x:c>
      <x:c r="H540" s="70" t="s">
        <x:v>845</x:v>
      </x:c>
      <x:c r="I540" s="70" t="s">
        <x:v>833</x:v>
      </x:c>
      <x:c r="J540" s="70" t="n">
        <x:v>238</x:v>
      </x:c>
      <x:c r="K540" s="70" t="s">
        <x:v>1308</x:v>
      </x:c>
      <x:c r="L540" s="70"/>
      <x:c r="M540" s="70" t="s">
        <x:v>34</x:v>
      </x:c>
      <x:c r="N540" s="71" t="n">
        <x:v>0</x:v>
      </x:c>
      <x:c r="O540" s="72" t="n">
        <x:f aca="0">N540/1000</x:f>
        <x:v>0</x:v>
      </x:c>
      <x:c r="P540" s="73" t="n">
        <x:f aca="0">LUCK!F25</x:f>
        <x:v>0</x:v>
      </x:c>
      <x:c r="Q540" s="70" t="str">
        <x:f aca="0">IF(ABS(O540-P540)&lt;0.000001,"PASS","FAIL")</x:f>
        <x:v>PASS</x:v>
      </x:c>
      <x:c r="R540" s="70" t="s">
        <x:v>33</x:v>
      </x:c>
      <x:c r="S540" s="70"/>
    </x:row>
    <x:row r="541" ht="15" hidden="0">
      <x:c r="A541" s="70" t="s">
        <x:v>1339</x:v>
      </x:c>
      <x:c r="B541" s="70" t="s">
        <x:v>30</x:v>
      </x:c>
      <x:c r="C541" s="70" t="s">
        <x:v>104</x:v>
      </x:c>
      <x:c r="D541" s="70" t="s">
        <x:v>120</x:v>
      </x:c>
      <x:c r="E541" s="70" t="s">
        <x:v>763</x:v>
      </x:c>
      <x:c r="F541" s="70"/>
      <x:c r="G541" s="70" t="s">
        <x:v>1310</x:v>
      </x:c>
      <x:c r="H541" s="70" t="s">
        <x:v>849</x:v>
      </x:c>
      <x:c r="I541" s="70" t="s">
        <x:v>833</x:v>
      </x:c>
      <x:c r="J541" s="70" t="n">
        <x:v>240</x:v>
      </x:c>
      <x:c r="K541" s="70" t="s">
        <x:v>1311</x:v>
      </x:c>
      <x:c r="L541" s="70"/>
      <x:c r="M541" s="70" t="s">
        <x:v>34</x:v>
      </x:c>
      <x:c r="N541" s="71" t="n">
        <x:v>0</x:v>
      </x:c>
      <x:c r="O541" s="72" t="n">
        <x:f aca="0">N541/1000</x:f>
        <x:v>0</x:v>
      </x:c>
      <x:c r="P541" s="73" t="n">
        <x:f aca="0">LUCK!G25</x:f>
        <x:v>0</x:v>
      </x:c>
      <x:c r="Q541" s="70" t="str">
        <x:f aca="0">IF(ABS(O541-P541)&lt;0.000001,"PASS","FAIL")</x:f>
        <x:v>PASS</x:v>
      </x:c>
      <x:c r="R541" s="70" t="s">
        <x:v>33</x:v>
      </x:c>
      <x:c r="S541" s="70"/>
    </x:row>
    <x:row r="542" ht="15" hidden="0">
      <x:c r="A542" s="70" t="s">
        <x:v>1340</x:v>
      </x:c>
      <x:c r="B542" s="70" t="s">
        <x:v>30</x:v>
      </x:c>
      <x:c r="C542" s="70" t="s">
        <x:v>105</x:v>
      </x:c>
      <x:c r="D542" s="70" t="s">
        <x:v>120</x:v>
      </x:c>
      <x:c r="E542" s="70" t="s">
        <x:v>763</x:v>
      </x:c>
      <x:c r="F542" s="70"/>
      <x:c r="G542" s="70" t="s">
        <x:v>1310</x:v>
      </x:c>
      <x:c r="H542" s="70" t="s">
        <x:v>849</x:v>
      </x:c>
      <x:c r="I542" s="70" t="s">
        <x:v>852</x:v>
      </x:c>
      <x:c r="J542" s="70" t="n">
        <x:v>240</x:v>
      </x:c>
      <x:c r="K542" s="70" t="s">
        <x:v>1311</x:v>
      </x:c>
      <x:c r="L542" s="70"/>
      <x:c r="M542" s="70" t="s">
        <x:v>34</x:v>
      </x:c>
      <x:c r="N542" s="71" t="n">
        <x:v>0</x:v>
      </x:c>
      <x:c r="O542" s="72" t="n">
        <x:f aca="0">N542/1000</x:f>
        <x:v>0</x:v>
      </x:c>
      <x:c r="P542" s="73" t="n">
        <x:f aca="0">LUCK!H25</x:f>
        <x:v>0</x:v>
      </x:c>
      <x:c r="Q542" s="70" t="str">
        <x:f aca="0">IF(ABS(O542-P542)&lt;0.000001,"PASS","FAIL")</x:f>
        <x:v>PASS</x:v>
      </x:c>
      <x:c r="R542" s="70" t="s">
        <x:v>33</x:v>
      </x:c>
      <x:c r="S542" s="70"/>
    </x:row>
    <x:row r="543" ht="15" hidden="0">
      <x:c r="A543" s="70" t="s">
        <x:v>1341</x:v>
      </x:c>
      <x:c r="B543" s="70" t="s">
        <x:v>30</x:v>
      </x:c>
      <x:c r="C543" s="70" t="s">
        <x:v>717</x:v>
      </x:c>
      <x:c r="D543" s="70" t="s">
        <x:v>122</x:v>
      </x:c>
      <x:c r="E543" s="70" t="s">
        <x:v>763</x:v>
      </x:c>
      <x:c r="F543" s="70" t="s">
        <x:v>122</x:v>
      </x:c>
      <x:c r="G543" s="70" t="s">
        <x:v>1298</x:v>
      </x:c>
      <x:c r="H543" s="70" t="s">
        <x:v>832</x:v>
      </x:c>
      <x:c r="I543" s="70" t="s">
        <x:v>833</x:v>
      </x:c>
      <x:c r="J543" s="70" t="n">
        <x:v>191</x:v>
      </x:c>
      <x:c r="K543" s="70" t="s">
        <x:v>834</x:v>
      </x:c>
      <x:c r="L543" s="70" t="s">
        <x:v>1342</x:v>
      </x:c>
      <x:c r="M543" s="70" t="s">
        <x:v>34</x:v>
      </x:c>
      <x:c r="N543" s="71" t="n">
        <x:v>47144485</x:v>
      </x:c>
      <x:c r="O543" s="72" t="n">
        <x:f aca="0">N543/1000</x:f>
        <x:v>47144.485</x:v>
      </x:c>
      <x:c r="P543" s="73" t="n">
        <x:f aca="0">LUCK!C26</x:f>
        <x:v>47144.485</x:v>
      </x:c>
      <x:c r="Q543" s="70" t="str">
        <x:f aca="0">IF(ABS(O543-P543)&lt;0.000001,"PASS","FAIL")</x:f>
        <x:v>PASS</x:v>
      </x:c>
      <x:c r="R543" s="70" t="s">
        <x:v>33</x:v>
      </x:c>
      <x:c r="S543" s="70"/>
    </x:row>
    <x:row r="544" ht="15" hidden="0">
      <x:c r="A544" s="70" t="s">
        <x:v>1343</x:v>
      </x:c>
      <x:c r="B544" s="70" t="s">
        <x:v>30</x:v>
      </x:c>
      <x:c r="C544" s="70" t="s">
        <x:v>101</x:v>
      </x:c>
      <x:c r="D544" s="70" t="s">
        <x:v>122</x:v>
      </x:c>
      <x:c r="E544" s="70" t="s">
        <x:v>763</x:v>
      </x:c>
      <x:c r="F544" s="70" t="s">
        <x:v>122</x:v>
      </x:c>
      <x:c r="G544" s="70" t="s">
        <x:v>1301</x:v>
      </x:c>
      <x:c r="H544" s="70" t="s">
        <x:v>838</x:v>
      </x:c>
      <x:c r="I544" s="70" t="s">
        <x:v>833</x:v>
      </x:c>
      <x:c r="J544" s="70" t="n">
        <x:v>226</x:v>
      </x:c>
      <x:c r="K544" s="70" t="s">
        <x:v>1302</x:v>
      </x:c>
      <x:c r="L544" s="70" t="s">
        <x:v>1342</x:v>
      </x:c>
      <x:c r="M544" s="70" t="s">
        <x:v>34</x:v>
      </x:c>
      <x:c r="N544" s="71" t="n">
        <x:v>53194485</x:v>
      </x:c>
      <x:c r="O544" s="72" t="n">
        <x:f aca="0">N544/1000</x:f>
        <x:v>53194.485</x:v>
      </x:c>
      <x:c r="P544" s="73" t="n">
        <x:f aca="0">LUCK!D26</x:f>
        <x:v>53194.485</x:v>
      </x:c>
      <x:c r="Q544" s="70" t="str">
        <x:f aca="0">IF(ABS(O544-P544)&lt;0.000001,"PASS","FAIL")</x:f>
        <x:v>PASS</x:v>
      </x:c>
      <x:c r="R544" s="70" t="s">
        <x:v>33</x:v>
      </x:c>
      <x:c r="S544" s="70"/>
    </x:row>
    <x:row r="545" ht="15" hidden="0">
      <x:c r="A545" s="70" t="s">
        <x:v>1344</x:v>
      </x:c>
      <x:c r="B545" s="70" t="s">
        <x:v>30</x:v>
      </x:c>
      <x:c r="C545" s="70" t="s">
        <x:v>102</x:v>
      </x:c>
      <x:c r="D545" s="70" t="s">
        <x:v>122</x:v>
      </x:c>
      <x:c r="E545" s="70" t="s">
        <x:v>763</x:v>
      </x:c>
      <x:c r="F545" s="70" t="s">
        <x:v>122</x:v>
      </x:c>
      <x:c r="G545" s="70" t="s">
        <x:v>1304</x:v>
      </x:c>
      <x:c r="H545" s="70" t="s">
        <x:v>842</x:v>
      </x:c>
      <x:c r="I545" s="70" t="s">
        <x:v>833</x:v>
      </x:c>
      <x:c r="J545" s="70" t="n">
        <x:v>234</x:v>
      </x:c>
      <x:c r="K545" s="70" t="s">
        <x:v>1305</x:v>
      </x:c>
      <x:c r="L545" s="70" t="s">
        <x:v>1342</x:v>
      </x:c>
      <x:c r="M545" s="70" t="s">
        <x:v>34</x:v>
      </x:c>
      <x:c r="N545" s="71" t="n">
        <x:v>57594485</x:v>
      </x:c>
      <x:c r="O545" s="72" t="n">
        <x:f aca="0">N545/1000</x:f>
        <x:v>57594.485</x:v>
      </x:c>
      <x:c r="P545" s="73" t="n">
        <x:f aca="0">LUCK!E26</x:f>
        <x:v>57594.485</x:v>
      </x:c>
      <x:c r="Q545" s="70" t="str">
        <x:f aca="0">IF(ABS(O545-P545)&lt;0.000001,"PASS","FAIL")</x:f>
        <x:v>PASS</x:v>
      </x:c>
      <x:c r="R545" s="70" t="s">
        <x:v>33</x:v>
      </x:c>
      <x:c r="S545" s="70"/>
    </x:row>
    <x:row r="546" ht="15" hidden="0">
      <x:c r="A546" s="70" t="s">
        <x:v>1345</x:v>
      </x:c>
      <x:c r="B546" s="70" t="s">
        <x:v>30</x:v>
      </x:c>
      <x:c r="C546" s="70" t="s">
        <x:v>103</x:v>
      </x:c>
      <x:c r="D546" s="70" t="s">
        <x:v>122</x:v>
      </x:c>
      <x:c r="E546" s="70" t="s">
        <x:v>763</x:v>
      </x:c>
      <x:c r="F546" s="70" t="s">
        <x:v>122</x:v>
      </x:c>
      <x:c r="G546" s="70" t="s">
        <x:v>1307</x:v>
      </x:c>
      <x:c r="H546" s="70" t="s">
        <x:v>845</x:v>
      </x:c>
      <x:c r="I546" s="70" t="s">
        <x:v>833</x:v>
      </x:c>
      <x:c r="J546" s="70" t="n">
        <x:v>238</x:v>
      </x:c>
      <x:c r="K546" s="70" t="s">
        <x:v>1308</x:v>
      </x:c>
      <x:c r="L546" s="70" t="s">
        <x:v>1342</x:v>
      </x:c>
      <x:c r="M546" s="70" t="s">
        <x:v>34</x:v>
      </x:c>
      <x:c r="N546" s="71" t="n">
        <x:v>57594485</x:v>
      </x:c>
      <x:c r="O546" s="72" t="n">
        <x:f aca="0">N546/1000</x:f>
        <x:v>57594.485</x:v>
      </x:c>
      <x:c r="P546" s="73" t="n">
        <x:f aca="0">LUCK!F26</x:f>
        <x:v>57594.485</x:v>
      </x:c>
      <x:c r="Q546" s="70" t="str">
        <x:f aca="0">IF(ABS(O546-P546)&lt;0.000001,"PASS","FAIL")</x:f>
        <x:v>PASS</x:v>
      </x:c>
      <x:c r="R546" s="70" t="s">
        <x:v>33</x:v>
      </x:c>
      <x:c r="S546" s="70"/>
    </x:row>
    <x:row r="547" ht="15" hidden="0">
      <x:c r="A547" s="70" t="s">
        <x:v>1346</x:v>
      </x:c>
      <x:c r="B547" s="70" t="s">
        <x:v>30</x:v>
      </x:c>
      <x:c r="C547" s="70" t="s">
        <x:v>104</x:v>
      </x:c>
      <x:c r="D547" s="70" t="s">
        <x:v>122</x:v>
      </x:c>
      <x:c r="E547" s="70" t="s">
        <x:v>763</x:v>
      </x:c>
      <x:c r="F547" s="70" t="s">
        <x:v>122</x:v>
      </x:c>
      <x:c r="G547" s="70" t="s">
        <x:v>1310</x:v>
      </x:c>
      <x:c r="H547" s="70" t="s">
        <x:v>849</x:v>
      </x:c>
      <x:c r="I547" s="70" t="s">
        <x:v>833</x:v>
      </x:c>
      <x:c r="J547" s="70" t="n">
        <x:v>240</x:v>
      </x:c>
      <x:c r="K547" s="70" t="s">
        <x:v>1311</x:v>
      </x:c>
      <x:c r="L547" s="70" t="s">
        <x:v>1342</x:v>
      </x:c>
      <x:c r="M547" s="70" t="s">
        <x:v>34</x:v>
      </x:c>
      <x:c r="N547" s="71" t="n">
        <x:v>58072373</x:v>
      </x:c>
      <x:c r="O547" s="72" t="n">
        <x:f aca="0">N547/1000</x:f>
        <x:v>58072.373</x:v>
      </x:c>
      <x:c r="P547" s="73" t="n">
        <x:f aca="0">LUCK!G26</x:f>
        <x:v>58072.373</x:v>
      </x:c>
      <x:c r="Q547" s="70" t="str">
        <x:f aca="0">IF(ABS(O547-P547)&lt;0.000001,"PASS","FAIL")</x:f>
        <x:v>PASS</x:v>
      </x:c>
      <x:c r="R547" s="70" t="s">
        <x:v>33</x:v>
      </x:c>
      <x:c r="S547" s="70"/>
    </x:row>
    <x:row r="548" ht="15" hidden="0">
      <x:c r="A548" s="70" t="s">
        <x:v>1347</x:v>
      </x:c>
      <x:c r="B548" s="70" t="s">
        <x:v>30</x:v>
      </x:c>
      <x:c r="C548" s="70" t="s">
        <x:v>105</x:v>
      </x:c>
      <x:c r="D548" s="70" t="s">
        <x:v>122</x:v>
      </x:c>
      <x:c r="E548" s="70" t="s">
        <x:v>763</x:v>
      </x:c>
      <x:c r="F548" s="70" t="s">
        <x:v>122</x:v>
      </x:c>
      <x:c r="G548" s="70" t="s">
        <x:v>1310</x:v>
      </x:c>
      <x:c r="H548" s="70" t="s">
        <x:v>849</x:v>
      </x:c>
      <x:c r="I548" s="70" t="s">
        <x:v>852</x:v>
      </x:c>
      <x:c r="J548" s="70" t="n">
        <x:v>240</x:v>
      </x:c>
      <x:c r="K548" s="70" t="s">
        <x:v>1311</x:v>
      </x:c>
      <x:c r="L548" s="70" t="s">
        <x:v>1342</x:v>
      </x:c>
      <x:c r="M548" s="70" t="s">
        <x:v>34</x:v>
      </x:c>
      <x:c r="N548" s="71" t="n">
        <x:v>58555707</x:v>
      </x:c>
      <x:c r="O548" s="72" t="n">
        <x:f aca="0">N548/1000</x:f>
        <x:v>58555.707</x:v>
      </x:c>
      <x:c r="P548" s="73" t="n">
        <x:f aca="0">LUCK!H26</x:f>
        <x:v>58555.707</x:v>
      </x:c>
      <x:c r="Q548" s="70" t="str">
        <x:f aca="0">IF(ABS(O548-P548)&lt;0.000001,"PASS","FAIL")</x:f>
        <x:v>PASS</x:v>
      </x:c>
      <x:c r="R548" s="70" t="s">
        <x:v>33</x:v>
      </x:c>
      <x:c r="S548" s="70"/>
    </x:row>
    <x:row r="549" ht="15" hidden="0">
      <x:c r="A549" s="70" t="s">
        <x:v>1348</x:v>
      </x:c>
      <x:c r="B549" s="70" t="s">
        <x:v>30</x:v>
      </x:c>
      <x:c r="C549" s="70" t="s">
        <x:v>717</x:v>
      </x:c>
      <x:c r="D549" s="70" t="s">
        <x:v>124</x:v>
      </x:c>
      <x:c r="E549" s="70" t="s">
        <x:v>763</x:v>
      </x:c>
      <x:c r="F549" s="70" t="s">
        <x:v>1349</x:v>
      </x:c>
      <x:c r="G549" s="70" t="s">
        <x:v>1298</x:v>
      </x:c>
      <x:c r="H549" s="70" t="s">
        <x:v>832</x:v>
      </x:c>
      <x:c r="I549" s="70" t="s">
        <x:v>833</x:v>
      </x:c>
      <x:c r="J549" s="70" t="n">
        <x:v>191</x:v>
      </x:c>
      <x:c r="K549" s="70" t="s">
        <x:v>834</x:v>
      </x:c>
      <x:c r="L549" s="70" t="s">
        <x:v>1002</x:v>
      </x:c>
      <x:c r="M549" s="70" t="s">
        <x:v>34</x:v>
      </x:c>
      <x:c r="N549" s="71" t="n">
        <x:v>90183</x:v>
      </x:c>
      <x:c r="O549" s="72" t="n">
        <x:f aca="0">N549/1000</x:f>
        <x:v>90.183</x:v>
      </x:c>
      <x:c r="P549" s="73" t="n">
        <x:f aca="0">LUCK!C27</x:f>
        <x:v>90.183</x:v>
      </x:c>
      <x:c r="Q549" s="70" t="str">
        <x:f aca="0">IF(ABS(O549-P549)&lt;0.000001,"PASS","FAIL")</x:f>
        <x:v>PASS</x:v>
      </x:c>
      <x:c r="R549" s="70" t="s">
        <x:v>33</x:v>
      </x:c>
      <x:c r="S549" s="70"/>
    </x:row>
    <x:row r="550" ht="15" hidden="0">
      <x:c r="A550" s="70" t="s">
        <x:v>1350</x:v>
      </x:c>
      <x:c r="B550" s="70" t="s">
        <x:v>30</x:v>
      </x:c>
      <x:c r="C550" s="70" t="s">
        <x:v>101</x:v>
      </x:c>
      <x:c r="D550" s="70" t="s">
        <x:v>124</x:v>
      </x:c>
      <x:c r="E550" s="70" t="s">
        <x:v>763</x:v>
      </x:c>
      <x:c r="F550" s="70" t="s">
        <x:v>1349</x:v>
      </x:c>
      <x:c r="G550" s="70" t="s">
        <x:v>1301</x:v>
      </x:c>
      <x:c r="H550" s="70" t="s">
        <x:v>838</x:v>
      </x:c>
      <x:c r="I550" s="70" t="s">
        <x:v>833</x:v>
      </x:c>
      <x:c r="J550" s="70" t="n">
        <x:v>226</x:v>
      </x:c>
      <x:c r="K550" s="70" t="s">
        <x:v>1302</x:v>
      </x:c>
      <x:c r="L550" s="70" t="s">
        <x:v>1002</x:v>
      </x:c>
      <x:c r="M550" s="70" t="s">
        <x:v>34</x:v>
      </x:c>
      <x:c r="N550" s="71" t="n">
        <x:v>106592</x:v>
      </x:c>
      <x:c r="O550" s="72" t="n">
        <x:f aca="0">N550/1000</x:f>
        <x:v>106.592</x:v>
      </x:c>
      <x:c r="P550" s="73" t="n">
        <x:f aca="0">LUCK!D27</x:f>
        <x:v>106.592</x:v>
      </x:c>
      <x:c r="Q550" s="70" t="str">
        <x:f aca="0">IF(ABS(O550-P550)&lt;0.000001,"PASS","FAIL")</x:f>
        <x:v>PASS</x:v>
      </x:c>
      <x:c r="R550" s="70" t="s">
        <x:v>33</x:v>
      </x:c>
      <x:c r="S550" s="70"/>
    </x:row>
    <x:row r="551" ht="15" hidden="0">
      <x:c r="A551" s="70" t="s">
        <x:v>1351</x:v>
      </x:c>
      <x:c r="B551" s="70" t="s">
        <x:v>30</x:v>
      </x:c>
      <x:c r="C551" s="70" t="s">
        <x:v>102</x:v>
      </x:c>
      <x:c r="D551" s="70" t="s">
        <x:v>124</x:v>
      </x:c>
      <x:c r="E551" s="70" t="s">
        <x:v>763</x:v>
      </x:c>
      <x:c r="F551" s="70" t="s">
        <x:v>1349</x:v>
      </x:c>
      <x:c r="G551" s="70" t="s">
        <x:v>1304</x:v>
      </x:c>
      <x:c r="H551" s="70" t="s">
        <x:v>842</x:v>
      </x:c>
      <x:c r="I551" s="70" t="s">
        <x:v>833</x:v>
      </x:c>
      <x:c r="J551" s="70" t="n">
        <x:v>234</x:v>
      </x:c>
      <x:c r="K551" s="70" t="s">
        <x:v>1305</x:v>
      </x:c>
      <x:c r="L551" s="70" t="s">
        <x:v>1002</x:v>
      </x:c>
      <x:c r="M551" s="70" t="s">
        <x:v>34</x:v>
      </x:c>
      <x:c r="N551" s="71" t="n">
        <x:v>199790</x:v>
      </x:c>
      <x:c r="O551" s="72" t="n">
        <x:f aca="0">N551/1000</x:f>
        <x:v>199.79</x:v>
      </x:c>
      <x:c r="P551" s="73" t="n">
        <x:f aca="0">LUCK!E27</x:f>
        <x:v>199.79</x:v>
      </x:c>
      <x:c r="Q551" s="70" t="str">
        <x:f aca="0">IF(ABS(O551-P551)&lt;0.000001,"PASS","FAIL")</x:f>
        <x:v>PASS</x:v>
      </x:c>
      <x:c r="R551" s="70" t="s">
        <x:v>33</x:v>
      </x:c>
      <x:c r="S551" s="70"/>
    </x:row>
    <x:row r="552" ht="15" hidden="0">
      <x:c r="A552" s="70" t="s">
        <x:v>1352</x:v>
      </x:c>
      <x:c r="B552" s="70" t="s">
        <x:v>30</x:v>
      </x:c>
      <x:c r="C552" s="70" t="s">
        <x:v>103</x:v>
      </x:c>
      <x:c r="D552" s="70" t="s">
        <x:v>124</x:v>
      </x:c>
      <x:c r="E552" s="70" t="s">
        <x:v>763</x:v>
      </x:c>
      <x:c r="F552" s="70" t="s">
        <x:v>1349</x:v>
      </x:c>
      <x:c r="G552" s="70" t="s">
        <x:v>1307</x:v>
      </x:c>
      <x:c r="H552" s="70" t="s">
        <x:v>845</x:v>
      </x:c>
      <x:c r="I552" s="70" t="s">
        <x:v>833</x:v>
      </x:c>
      <x:c r="J552" s="70" t="n">
        <x:v>238</x:v>
      </x:c>
      <x:c r="K552" s="70" t="s">
        <x:v>1308</x:v>
      </x:c>
      <x:c r="L552" s="70" t="s">
        <x:v>1002</x:v>
      </x:c>
      <x:c r="M552" s="70" t="s">
        <x:v>34</x:v>
      </x:c>
      <x:c r="N552" s="71" t="n">
        <x:v>202046</x:v>
      </x:c>
      <x:c r="O552" s="72" t="n">
        <x:f aca="0">N552/1000</x:f>
        <x:v>202.046</x:v>
      </x:c>
      <x:c r="P552" s="73" t="n">
        <x:f aca="0">LUCK!F27</x:f>
        <x:v>202.046</x:v>
      </x:c>
      <x:c r="Q552" s="70" t="str">
        <x:f aca="0">IF(ABS(O552-P552)&lt;0.000001,"PASS","FAIL")</x:f>
        <x:v>PASS</x:v>
      </x:c>
      <x:c r="R552" s="70" t="s">
        <x:v>33</x:v>
      </x:c>
      <x:c r="S552" s="70"/>
    </x:row>
    <x:row r="553" ht="15" hidden="0">
      <x:c r="A553" s="70" t="s">
        <x:v>1353</x:v>
      </x:c>
      <x:c r="B553" s="70" t="s">
        <x:v>30</x:v>
      </x:c>
      <x:c r="C553" s="70" t="s">
        <x:v>104</x:v>
      </x:c>
      <x:c r="D553" s="70" t="s">
        <x:v>124</x:v>
      </x:c>
      <x:c r="E553" s="70" t="s">
        <x:v>763</x:v>
      </x:c>
      <x:c r="F553" s="70" t="s">
        <x:v>1354</x:v>
      </x:c>
      <x:c r="G553" s="70" t="s">
        <x:v>1310</x:v>
      </x:c>
      <x:c r="H553" s="70" t="s">
        <x:v>849</x:v>
      </x:c>
      <x:c r="I553" s="70" t="s">
        <x:v>833</x:v>
      </x:c>
      <x:c r="J553" s="70" t="n">
        <x:v>240</x:v>
      </x:c>
      <x:c r="K553" s="70" t="s">
        <x:v>1311</x:v>
      </x:c>
      <x:c r="L553" s="70" t="s">
        <x:v>1355</x:v>
      </x:c>
      <x:c r="M553" s="70" t="s">
        <x:v>34</x:v>
      </x:c>
      <x:c r="N553" s="71" t="n">
        <x:v>165266</x:v>
      </x:c>
      <x:c r="O553" s="72" t="n">
        <x:f aca="0">N553/1000</x:f>
        <x:v>165.266</x:v>
      </x:c>
      <x:c r="P553" s="73" t="n">
        <x:f aca="0">LUCK!G27</x:f>
        <x:v>165.266</x:v>
      </x:c>
      <x:c r="Q553" s="70" t="str">
        <x:f aca="0">IF(ABS(O553-P553)&lt;0.000001,"PASS","FAIL")</x:f>
        <x:v>PASS</x:v>
      </x:c>
      <x:c r="R553" s="70" t="s">
        <x:v>33</x:v>
      </x:c>
      <x:c r="S553" s="70"/>
    </x:row>
    <x:row r="554" ht="15" hidden="0">
      <x:c r="A554" s="70" t="s">
        <x:v>1356</x:v>
      </x:c>
      <x:c r="B554" s="70" t="s">
        <x:v>30</x:v>
      </x:c>
      <x:c r="C554" s="70" t="s">
        <x:v>105</x:v>
      </x:c>
      <x:c r="D554" s="70" t="s">
        <x:v>124</x:v>
      </x:c>
      <x:c r="E554" s="70" t="s">
        <x:v>763</x:v>
      </x:c>
      <x:c r="F554" s="70" t="s">
        <x:v>1354</x:v>
      </x:c>
      <x:c r="G554" s="70" t="s">
        <x:v>1310</x:v>
      </x:c>
      <x:c r="H554" s="70" t="s">
        <x:v>849</x:v>
      </x:c>
      <x:c r="I554" s="70" t="s">
        <x:v>852</x:v>
      </x:c>
      <x:c r="J554" s="70" t="n">
        <x:v>240</x:v>
      </x:c>
      <x:c r="K554" s="70" t="s">
        <x:v>1311</x:v>
      </x:c>
      <x:c r="L554" s="70" t="s">
        <x:v>1355</x:v>
      </x:c>
      <x:c r="M554" s="70" t="s">
        <x:v>34</x:v>
      </x:c>
      <x:c r="N554" s="71" t="n">
        <x:v>189147</x:v>
      </x:c>
      <x:c r="O554" s="72" t="n">
        <x:f aca="0">N554/1000</x:f>
        <x:v>189.147</x:v>
      </x:c>
      <x:c r="P554" s="73" t="n">
        <x:f aca="0">LUCK!H27</x:f>
        <x:v>189.147</x:v>
      </x:c>
      <x:c r="Q554" s="70" t="str">
        <x:f aca="0">IF(ABS(O554-P554)&lt;0.000001,"PASS","FAIL")</x:f>
        <x:v>PASS</x:v>
      </x:c>
      <x:c r="R554" s="70" t="s">
        <x:v>33</x:v>
      </x:c>
      <x:c r="S554" s="70"/>
    </x:row>
    <x:row r="555" ht="15" hidden="0">
      <x:c r="A555" s="70" t="s">
        <x:v>1357</x:v>
      </x:c>
      <x:c r="B555" s="70" t="s">
        <x:v>30</x:v>
      </x:c>
      <x:c r="C555" s="70" t="s">
        <x:v>717</x:v>
      </x:c>
      <x:c r="D555" s="70" t="s">
        <x:v>129</x:v>
      </x:c>
      <x:c r="E555" s="70" t="s">
        <x:v>763</x:v>
      </x:c>
      <x:c r="F555" s="70" t="s">
        <x:v>1358</x:v>
      </x:c>
      <x:c r="G555" s="70" t="s">
        <x:v>1298</x:v>
      </x:c>
      <x:c r="H555" s="70" t="s">
        <x:v>832</x:v>
      </x:c>
      <x:c r="I555" s="70" t="s">
        <x:v>833</x:v>
      </x:c>
      <x:c r="J555" s="70" t="n">
        <x:v>191</x:v>
      </x:c>
      <x:c r="K555" s="70" t="s">
        <x:v>834</x:v>
      </x:c>
      <x:c r="L555" s="70" t="s">
        <x:v>1019</x:v>
      </x:c>
      <x:c r="M555" s="70" t="s">
        <x:v>34</x:v>
      </x:c>
      <x:c r="N555" s="71" t="n">
        <x:v>6520170</x:v>
      </x:c>
      <x:c r="O555" s="72" t="n">
        <x:f aca="0">N555/1000</x:f>
        <x:v>6520.17</x:v>
      </x:c>
      <x:c r="P555" s="73" t="n">
        <x:f aca="0">LUCK!C30</x:f>
        <x:v>6520.17</x:v>
      </x:c>
      <x:c r="Q555" s="70" t="str">
        <x:f aca="0">IF(ABS(O555-P555)&lt;0.000001,"PASS","FAIL")</x:f>
        <x:v>PASS</x:v>
      </x:c>
      <x:c r="R555" s="70" t="s">
        <x:v>33</x:v>
      </x:c>
      <x:c r="S555" s="70"/>
    </x:row>
    <x:row r="556" ht="15" hidden="0">
      <x:c r="A556" s="70" t="s">
        <x:v>1359</x:v>
      </x:c>
      <x:c r="B556" s="70" t="s">
        <x:v>30</x:v>
      </x:c>
      <x:c r="C556" s="70" t="s">
        <x:v>101</x:v>
      </x:c>
      <x:c r="D556" s="70" t="s">
        <x:v>129</x:v>
      </x:c>
      <x:c r="E556" s="70" t="s">
        <x:v>763</x:v>
      </x:c>
      <x:c r="F556" s="70" t="s">
        <x:v>1358</x:v>
      </x:c>
      <x:c r="G556" s="70" t="s">
        <x:v>1301</x:v>
      </x:c>
      <x:c r="H556" s="70" t="s">
        <x:v>838</x:v>
      </x:c>
      <x:c r="I556" s="70" t="s">
        <x:v>833</x:v>
      </x:c>
      <x:c r="J556" s="70" t="n">
        <x:v>226</x:v>
      </x:c>
      <x:c r="K556" s="70" t="s">
        <x:v>1302</x:v>
      </x:c>
      <x:c r="L556" s="70" t="s">
        <x:v>1019</x:v>
      </x:c>
      <x:c r="M556" s="70" t="s">
        <x:v>34</x:v>
      </x:c>
      <x:c r="N556" s="71" t="n">
        <x:v>10526573</x:v>
      </x:c>
      <x:c r="O556" s="72" t="n">
        <x:f aca="0">N556/1000</x:f>
        <x:v>10526.573</x:v>
      </x:c>
      <x:c r="P556" s="73" t="n">
        <x:f aca="0">LUCK!D30</x:f>
        <x:v>10526.573</x:v>
      </x:c>
      <x:c r="Q556" s="70" t="str">
        <x:f aca="0">IF(ABS(O556-P556)&lt;0.000001,"PASS","FAIL")</x:f>
        <x:v>PASS</x:v>
      </x:c>
      <x:c r="R556" s="70" t="s">
        <x:v>33</x:v>
      </x:c>
      <x:c r="S556" s="70"/>
    </x:row>
    <x:row r="557" ht="15" hidden="0">
      <x:c r="A557" s="70" t="s">
        <x:v>1360</x:v>
      </x:c>
      <x:c r="B557" s="70" t="s">
        <x:v>30</x:v>
      </x:c>
      <x:c r="C557" s="70" t="s">
        <x:v>102</x:v>
      </x:c>
      <x:c r="D557" s="70" t="s">
        <x:v>129</x:v>
      </x:c>
      <x:c r="E557" s="70" t="s">
        <x:v>763</x:v>
      </x:c>
      <x:c r="F557" s="70" t="s">
        <x:v>1358</x:v>
      </x:c>
      <x:c r="G557" s="70" t="s">
        <x:v>1304</x:v>
      </x:c>
      <x:c r="H557" s="70" t="s">
        <x:v>842</x:v>
      </x:c>
      <x:c r="I557" s="70" t="s">
        <x:v>833</x:v>
      </x:c>
      <x:c r="J557" s="70" t="n">
        <x:v>234</x:v>
      </x:c>
      <x:c r="K557" s="70" t="s">
        <x:v>1305</x:v>
      </x:c>
      <x:c r="L557" s="70" t="s">
        <x:v>1019</x:v>
      </x:c>
      <x:c r="M557" s="70" t="s">
        <x:v>34</x:v>
      </x:c>
      <x:c r="N557" s="71" t="n">
        <x:v>11206843</x:v>
      </x:c>
      <x:c r="O557" s="72" t="n">
        <x:f aca="0">N557/1000</x:f>
        <x:v>11206.843</x:v>
      </x:c>
      <x:c r="P557" s="73" t="n">
        <x:f aca="0">LUCK!E30</x:f>
        <x:v>11206.843</x:v>
      </x:c>
      <x:c r="Q557" s="70" t="str">
        <x:f aca="0">IF(ABS(O557-P557)&lt;0.000001,"PASS","FAIL")</x:f>
        <x:v>PASS</x:v>
      </x:c>
      <x:c r="R557" s="70" t="s">
        <x:v>33</x:v>
      </x:c>
      <x:c r="S557" s="70"/>
    </x:row>
    <x:row r="558" ht="15" hidden="0">
      <x:c r="A558" s="70" t="s">
        <x:v>1361</x:v>
      </x:c>
      <x:c r="B558" s="70" t="s">
        <x:v>30</x:v>
      </x:c>
      <x:c r="C558" s="70" t="s">
        <x:v>103</x:v>
      </x:c>
      <x:c r="D558" s="70" t="s">
        <x:v>129</x:v>
      </x:c>
      <x:c r="E558" s="70" t="s">
        <x:v>763</x:v>
      </x:c>
      <x:c r="F558" s="70" t="s">
        <x:v>1358</x:v>
      </x:c>
      <x:c r="G558" s="70" t="s">
        <x:v>1307</x:v>
      </x:c>
      <x:c r="H558" s="70" t="s">
        <x:v>845</x:v>
      </x:c>
      <x:c r="I558" s="70" t="s">
        <x:v>833</x:v>
      </x:c>
      <x:c r="J558" s="70" t="n">
        <x:v>238</x:v>
      </x:c>
      <x:c r="K558" s="70" t="s">
        <x:v>1308</x:v>
      </x:c>
      <x:c r="L558" s="70" t="s">
        <x:v>1019</x:v>
      </x:c>
      <x:c r="M558" s="70" t="s">
        <x:v>34</x:v>
      </x:c>
      <x:c r="N558" s="71" t="n">
        <x:v>14084018</x:v>
      </x:c>
      <x:c r="O558" s="72" t="n">
        <x:f aca="0">N558/1000</x:f>
        <x:v>14084.018</x:v>
      </x:c>
      <x:c r="P558" s="73" t="n">
        <x:f aca="0">LUCK!F30</x:f>
        <x:v>14084.018</x:v>
      </x:c>
      <x:c r="Q558" s="70" t="str">
        <x:f aca="0">IF(ABS(O558-P558)&lt;0.000001,"PASS","FAIL")</x:f>
        <x:v>PASS</x:v>
      </x:c>
      <x:c r="R558" s="70" t="s">
        <x:v>33</x:v>
      </x:c>
      <x:c r="S558" s="70"/>
    </x:row>
    <x:row r="559" ht="15" hidden="0">
      <x:c r="A559" s="70" t="s">
        <x:v>1362</x:v>
      </x:c>
      <x:c r="B559" s="70" t="s">
        <x:v>30</x:v>
      </x:c>
      <x:c r="C559" s="70" t="s">
        <x:v>104</x:v>
      </x:c>
      <x:c r="D559" s="70" t="s">
        <x:v>129</x:v>
      </x:c>
      <x:c r="E559" s="70" t="s">
        <x:v>763</x:v>
      </x:c>
      <x:c r="F559" s="70" t="s">
        <x:v>1358</x:v>
      </x:c>
      <x:c r="G559" s="70" t="s">
        <x:v>1310</x:v>
      </x:c>
      <x:c r="H559" s="70" t="s">
        <x:v>849</x:v>
      </x:c>
      <x:c r="I559" s="70" t="s">
        <x:v>833</x:v>
      </x:c>
      <x:c r="J559" s="70" t="n">
        <x:v>240</x:v>
      </x:c>
      <x:c r="K559" s="70" t="s">
        <x:v>1311</x:v>
      </x:c>
      <x:c r="L559" s="70" t="s">
        <x:v>1002</x:v>
      </x:c>
      <x:c r="M559" s="70" t="s">
        <x:v>34</x:v>
      </x:c>
      <x:c r="N559" s="71" t="n">
        <x:v>14591821</x:v>
      </x:c>
      <x:c r="O559" s="72" t="n">
        <x:f aca="0">N559/1000</x:f>
        <x:v>14591.821</x:v>
      </x:c>
      <x:c r="P559" s="73" t="n">
        <x:f aca="0">LUCK!G30</x:f>
        <x:v>14591.821</x:v>
      </x:c>
      <x:c r="Q559" s="70" t="str">
        <x:f aca="0">IF(ABS(O559-P559)&lt;0.000001,"PASS","FAIL")</x:f>
        <x:v>PASS</x:v>
      </x:c>
      <x:c r="R559" s="70" t="s">
        <x:v>33</x:v>
      </x:c>
      <x:c r="S559" s="70"/>
    </x:row>
    <x:row r="560" ht="15" hidden="0">
      <x:c r="A560" s="70" t="s">
        <x:v>1363</x:v>
      </x:c>
      <x:c r="B560" s="70" t="s">
        <x:v>30</x:v>
      </x:c>
      <x:c r="C560" s="70" t="s">
        <x:v>105</x:v>
      </x:c>
      <x:c r="D560" s="70" t="s">
        <x:v>129</x:v>
      </x:c>
      <x:c r="E560" s="70" t="s">
        <x:v>763</x:v>
      </x:c>
      <x:c r="F560" s="70" t="s">
        <x:v>1358</x:v>
      </x:c>
      <x:c r="G560" s="70" t="s">
        <x:v>1310</x:v>
      </x:c>
      <x:c r="H560" s="70" t="s">
        <x:v>849</x:v>
      </x:c>
      <x:c r="I560" s="70" t="s">
        <x:v>852</x:v>
      </x:c>
      <x:c r="J560" s="70" t="n">
        <x:v>240</x:v>
      </x:c>
      <x:c r="K560" s="70" t="s">
        <x:v>1311</x:v>
      </x:c>
      <x:c r="L560" s="70" t="s">
        <x:v>1002</x:v>
      </x:c>
      <x:c r="M560" s="70" t="s">
        <x:v>34</x:v>
      </x:c>
      <x:c r="N560" s="71" t="n">
        <x:v>19895130</x:v>
      </x:c>
      <x:c r="O560" s="72" t="n">
        <x:f aca="0">N560/1000</x:f>
        <x:v>19895.13</x:v>
      </x:c>
      <x:c r="P560" s="73" t="n">
        <x:f aca="0">LUCK!H30</x:f>
        <x:v>19895.13</x:v>
      </x:c>
      <x:c r="Q560" s="70" t="str">
        <x:f aca="0">IF(ABS(O560-P560)&lt;0.000001,"PASS","FAIL")</x:f>
        <x:v>PASS</x:v>
      </x:c>
      <x:c r="R560" s="70" t="s">
        <x:v>33</x:v>
      </x:c>
      <x:c r="S560" s="70"/>
    </x:row>
    <x:row r="561" ht="15" hidden="0">
      <x:c r="A561" s="70" t="s">
        <x:v>1364</x:v>
      </x:c>
      <x:c r="B561" s="70" t="s">
        <x:v>30</x:v>
      </x:c>
      <x:c r="C561" s="70" t="s">
        <x:v>717</x:v>
      </x:c>
      <x:c r="D561" s="70" t="s">
        <x:v>131</x:v>
      </x:c>
      <x:c r="E561" s="70" t="s">
        <x:v>763</x:v>
      </x:c>
      <x:c r="F561" s="70" t="s">
        <x:v>131</x:v>
      </x:c>
      <x:c r="G561" s="70" t="s">
        <x:v>1298</x:v>
      </x:c>
      <x:c r="H561" s="70" t="s">
        <x:v>832</x:v>
      </x:c>
      <x:c r="I561" s="70" t="s">
        <x:v>833</x:v>
      </x:c>
      <x:c r="J561" s="70" t="n">
        <x:v>191</x:v>
      </x:c>
      <x:c r="K561" s="70" t="s">
        <x:v>834</x:v>
      </x:c>
      <x:c r="L561" s="70" t="s">
        <x:v>1040</x:v>
      </x:c>
      <x:c r="M561" s="70" t="s">
        <x:v>34</x:v>
      </x:c>
      <x:c r="N561" s="71" t="n">
        <x:v>2915552</x:v>
      </x:c>
      <x:c r="O561" s="72" t="n">
        <x:f aca="0">N561/1000</x:f>
        <x:v>2915.552</x:v>
      </x:c>
      <x:c r="P561" s="73" t="n">
        <x:f aca="0">LUCK!C31</x:f>
        <x:v>2915.552</x:v>
      </x:c>
      <x:c r="Q561" s="70" t="str">
        <x:f aca="0">IF(ABS(O561-P561)&lt;0.000001,"PASS","FAIL")</x:f>
        <x:v>PASS</x:v>
      </x:c>
      <x:c r="R561" s="70" t="s">
        <x:v>33</x:v>
      </x:c>
      <x:c r="S561" s="70"/>
    </x:row>
    <x:row r="562" ht="15" hidden="0">
      <x:c r="A562" s="70" t="s">
        <x:v>1365</x:v>
      </x:c>
      <x:c r="B562" s="70" t="s">
        <x:v>30</x:v>
      </x:c>
      <x:c r="C562" s="70" t="s">
        <x:v>101</x:v>
      </x:c>
      <x:c r="D562" s="70" t="s">
        <x:v>131</x:v>
      </x:c>
      <x:c r="E562" s="70" t="s">
        <x:v>763</x:v>
      </x:c>
      <x:c r="F562" s="70" t="s">
        <x:v>131</x:v>
      </x:c>
      <x:c r="G562" s="70" t="s">
        <x:v>1301</x:v>
      </x:c>
      <x:c r="H562" s="70" t="s">
        <x:v>838</x:v>
      </x:c>
      <x:c r="I562" s="70" t="s">
        <x:v>833</x:v>
      </x:c>
      <x:c r="J562" s="70" t="n">
        <x:v>226</x:v>
      </x:c>
      <x:c r="K562" s="70" t="s">
        <x:v>1302</x:v>
      </x:c>
      <x:c r="L562" s="70" t="s">
        <x:v>1040</x:v>
      </x:c>
      <x:c r="M562" s="70" t="s">
        <x:v>34</x:v>
      </x:c>
      <x:c r="N562" s="71" t="n">
        <x:v>3105037</x:v>
      </x:c>
      <x:c r="O562" s="72" t="n">
        <x:f aca="0">N562/1000</x:f>
        <x:v>3105.037</x:v>
      </x:c>
      <x:c r="P562" s="73" t="n">
        <x:f aca="0">LUCK!D31</x:f>
        <x:v>3105.037</x:v>
      </x:c>
      <x:c r="Q562" s="70" t="str">
        <x:f aca="0">IF(ABS(O562-P562)&lt;0.000001,"PASS","FAIL")</x:f>
        <x:v>PASS</x:v>
      </x:c>
      <x:c r="R562" s="70" t="s">
        <x:v>33</x:v>
      </x:c>
      <x:c r="S562" s="70"/>
    </x:row>
    <x:row r="563" ht="15" hidden="0">
      <x:c r="A563" s="70" t="s">
        <x:v>1366</x:v>
      </x:c>
      <x:c r="B563" s="70" t="s">
        <x:v>30</x:v>
      </x:c>
      <x:c r="C563" s="70" t="s">
        <x:v>102</x:v>
      </x:c>
      <x:c r="D563" s="70" t="s">
        <x:v>131</x:v>
      </x:c>
      <x:c r="E563" s="70" t="s">
        <x:v>763</x:v>
      </x:c>
      <x:c r="F563" s="70" t="s">
        <x:v>131</x:v>
      </x:c>
      <x:c r="G563" s="70" t="s">
        <x:v>1304</x:v>
      </x:c>
      <x:c r="H563" s="70" t="s">
        <x:v>842</x:v>
      </x:c>
      <x:c r="I563" s="70" t="s">
        <x:v>833</x:v>
      </x:c>
      <x:c r="J563" s="70" t="n">
        <x:v>234</x:v>
      </x:c>
      <x:c r="K563" s="70" t="s">
        <x:v>1305</x:v>
      </x:c>
      <x:c r="L563" s="70" t="s">
        <x:v>1040</x:v>
      </x:c>
      <x:c r="M563" s="70" t="s">
        <x:v>34</x:v>
      </x:c>
      <x:c r="N563" s="71" t="n">
        <x:v>7171364</x:v>
      </x:c>
      <x:c r="O563" s="72" t="n">
        <x:f aca="0">N563/1000</x:f>
        <x:v>7171.364</x:v>
      </x:c>
      <x:c r="P563" s="73" t="n">
        <x:f aca="0">LUCK!E31</x:f>
        <x:v>7171.364</x:v>
      </x:c>
      <x:c r="Q563" s="70" t="str">
        <x:f aca="0">IF(ABS(O563-P563)&lt;0.000001,"PASS","FAIL")</x:f>
        <x:v>PASS</x:v>
      </x:c>
      <x:c r="R563" s="70" t="s">
        <x:v>33</x:v>
      </x:c>
      <x:c r="S563" s="70"/>
    </x:row>
    <x:row r="564" ht="15" hidden="0">
      <x:c r="A564" s="70" t="s">
        <x:v>1367</x:v>
      </x:c>
      <x:c r="B564" s="70" t="s">
        <x:v>30</x:v>
      </x:c>
      <x:c r="C564" s="70" t="s">
        <x:v>103</x:v>
      </x:c>
      <x:c r="D564" s="70" t="s">
        <x:v>131</x:v>
      </x:c>
      <x:c r="E564" s="70" t="s">
        <x:v>763</x:v>
      </x:c>
      <x:c r="F564" s="70" t="s">
        <x:v>131</x:v>
      </x:c>
      <x:c r="G564" s="70" t="s">
        <x:v>1307</x:v>
      </x:c>
      <x:c r="H564" s="70" t="s">
        <x:v>845</x:v>
      </x:c>
      <x:c r="I564" s="70" t="s">
        <x:v>833</x:v>
      </x:c>
      <x:c r="J564" s="70" t="n">
        <x:v>238</x:v>
      </x:c>
      <x:c r="K564" s="70" t="s">
        <x:v>1308</x:v>
      </x:c>
      <x:c r="L564" s="70" t="s">
        <x:v>1040</x:v>
      </x:c>
      <x:c r="M564" s="70" t="s">
        <x:v>34</x:v>
      </x:c>
      <x:c r="N564" s="71" t="n">
        <x:v>6048507</x:v>
      </x:c>
      <x:c r="O564" s="72" t="n">
        <x:f aca="0">N564/1000</x:f>
        <x:v>6048.507</x:v>
      </x:c>
      <x:c r="P564" s="73" t="n">
        <x:f aca="0">LUCK!F31</x:f>
        <x:v>6048.507</x:v>
      </x:c>
      <x:c r="Q564" s="70" t="str">
        <x:f aca="0">IF(ABS(O564-P564)&lt;0.000001,"PASS","FAIL")</x:f>
        <x:v>PASS</x:v>
      </x:c>
      <x:c r="R564" s="70" t="s">
        <x:v>33</x:v>
      </x:c>
      <x:c r="S564" s="70"/>
    </x:row>
    <x:row r="565" ht="15" hidden="0">
      <x:c r="A565" s="70" t="s">
        <x:v>1368</x:v>
      </x:c>
      <x:c r="B565" s="70" t="s">
        <x:v>30</x:v>
      </x:c>
      <x:c r="C565" s="70" t="s">
        <x:v>104</x:v>
      </x:c>
      <x:c r="D565" s="70" t="s">
        <x:v>131</x:v>
      </x:c>
      <x:c r="E565" s="70" t="s">
        <x:v>763</x:v>
      </x:c>
      <x:c r="F565" s="70" t="s">
        <x:v>131</x:v>
      </x:c>
      <x:c r="G565" s="70" t="s">
        <x:v>1310</x:v>
      </x:c>
      <x:c r="H565" s="70" t="s">
        <x:v>849</x:v>
      </x:c>
      <x:c r="I565" s="70" t="s">
        <x:v>833</x:v>
      </x:c>
      <x:c r="J565" s="70" t="n">
        <x:v>240</x:v>
      </x:c>
      <x:c r="K565" s="70" t="s">
        <x:v>1311</x:v>
      </x:c>
      <x:c r="L565" s="70" t="s">
        <x:v>1019</x:v>
      </x:c>
      <x:c r="M565" s="70" t="s">
        <x:v>34</x:v>
      </x:c>
      <x:c r="N565" s="71" t="n">
        <x:v>8505426</x:v>
      </x:c>
      <x:c r="O565" s="72" t="n">
        <x:f aca="0">N565/1000</x:f>
        <x:v>8505.426</x:v>
      </x:c>
      <x:c r="P565" s="73" t="n">
        <x:f aca="0">LUCK!G31</x:f>
        <x:v>8505.426</x:v>
      </x:c>
      <x:c r="Q565" s="70" t="str">
        <x:f aca="0">IF(ABS(O565-P565)&lt;0.000001,"PASS","FAIL")</x:f>
        <x:v>PASS</x:v>
      </x:c>
      <x:c r="R565" s="70" t="s">
        <x:v>33</x:v>
      </x:c>
      <x:c r="S565" s="70"/>
    </x:row>
    <x:row r="566" ht="15" hidden="0">
      <x:c r="A566" s="70" t="s">
        <x:v>1369</x:v>
      </x:c>
      <x:c r="B566" s="70" t="s">
        <x:v>30</x:v>
      </x:c>
      <x:c r="C566" s="70" t="s">
        <x:v>105</x:v>
      </x:c>
      <x:c r="D566" s="70" t="s">
        <x:v>131</x:v>
      </x:c>
      <x:c r="E566" s="70" t="s">
        <x:v>763</x:v>
      </x:c>
      <x:c r="F566" s="70" t="s">
        <x:v>131</x:v>
      </x:c>
      <x:c r="G566" s="70" t="s">
        <x:v>1310</x:v>
      </x:c>
      <x:c r="H566" s="70" t="s">
        <x:v>849</x:v>
      </x:c>
      <x:c r="I566" s="70" t="s">
        <x:v>852</x:v>
      </x:c>
      <x:c r="J566" s="70" t="n">
        <x:v>240</x:v>
      </x:c>
      <x:c r="K566" s="70" t="s">
        <x:v>1311</x:v>
      </x:c>
      <x:c r="L566" s="70" t="s">
        <x:v>1019</x:v>
      </x:c>
      <x:c r="M566" s="70" t="s">
        <x:v>34</x:v>
      </x:c>
      <x:c r="N566" s="71" t="n">
        <x:v>4774577</x:v>
      </x:c>
      <x:c r="O566" s="72" t="n">
        <x:f aca="0">N566/1000</x:f>
        <x:v>4774.577</x:v>
      </x:c>
      <x:c r="P566" s="73" t="n">
        <x:f aca="0">LUCK!H31</x:f>
        <x:v>4774.577</x:v>
      </x:c>
      <x:c r="Q566" s="70" t="str">
        <x:f aca="0">IF(ABS(O566-P566)&lt;0.000001,"PASS","FAIL")</x:f>
        <x:v>PASS</x:v>
      </x:c>
      <x:c r="R566" s="70" t="s">
        <x:v>33</x:v>
      </x:c>
      <x:c r="S566" s="70"/>
    </x:row>
    <x:row r="567" ht="15" hidden="0">
      <x:c r="A567" s="70" t="s">
        <x:v>1370</x:v>
      </x:c>
      <x:c r="B567" s="70" t="s">
        <x:v>30</x:v>
      </x:c>
      <x:c r="C567" s="70" t="s">
        <x:v>717</x:v>
      </x:c>
      <x:c r="D567" s="70" t="s">
        <x:v>133</x:v>
      </x:c>
      <x:c r="E567" s="70" t="s">
        <x:v>763</x:v>
      </x:c>
      <x:c r="F567" s="70" t="s">
        <x:v>133</x:v>
      </x:c>
      <x:c r="G567" s="70" t="s">
        <x:v>1298</x:v>
      </x:c>
      <x:c r="H567" s="70" t="s">
        <x:v>832</x:v>
      </x:c>
      <x:c r="I567" s="70" t="s">
        <x:v>833</x:v>
      </x:c>
      <x:c r="J567" s="70" t="n">
        <x:v>191</x:v>
      </x:c>
      <x:c r="K567" s="70" t="s">
        <x:v>834</x:v>
      </x:c>
      <x:c r="L567" s="70" t="s">
        <x:v>1031</x:v>
      </x:c>
      <x:c r="M567" s="70" t="s">
        <x:v>34</x:v>
      </x:c>
      <x:c r="N567" s="71" t="n">
        <x:v>3422767</x:v>
      </x:c>
      <x:c r="O567" s="72" t="n">
        <x:f aca="0">N567/1000</x:f>
        <x:v>3422.767</x:v>
      </x:c>
      <x:c r="P567" s="73" t="n">
        <x:f aca="0">LUCK!C32</x:f>
        <x:v>3422.767</x:v>
      </x:c>
      <x:c r="Q567" s="70" t="str">
        <x:f aca="0">IF(ABS(O567-P567)&lt;0.000001,"PASS","FAIL")</x:f>
        <x:v>PASS</x:v>
      </x:c>
      <x:c r="R567" s="70" t="s">
        <x:v>33</x:v>
      </x:c>
      <x:c r="S567" s="70"/>
    </x:row>
    <x:row r="568" ht="15" hidden="0">
      <x:c r="A568" s="70" t="s">
        <x:v>1371</x:v>
      </x:c>
      <x:c r="B568" s="70" t="s">
        <x:v>30</x:v>
      </x:c>
      <x:c r="C568" s="70" t="s">
        <x:v>101</x:v>
      </x:c>
      <x:c r="D568" s="70" t="s">
        <x:v>133</x:v>
      </x:c>
      <x:c r="E568" s="70" t="s">
        <x:v>763</x:v>
      </x:c>
      <x:c r="F568" s="70" t="s">
        <x:v>133</x:v>
      </x:c>
      <x:c r="G568" s="70" t="s">
        <x:v>1301</x:v>
      </x:c>
      <x:c r="H568" s="70" t="s">
        <x:v>838</x:v>
      </x:c>
      <x:c r="I568" s="70" t="s">
        <x:v>833</x:v>
      </x:c>
      <x:c r="J568" s="70" t="n">
        <x:v>226</x:v>
      </x:c>
      <x:c r="K568" s="70" t="s">
        <x:v>1302</x:v>
      </x:c>
      <x:c r="L568" s="70" t="s">
        <x:v>1031</x:v>
      </x:c>
      <x:c r="M568" s="70" t="s">
        <x:v>34</x:v>
      </x:c>
      <x:c r="N568" s="71" t="n">
        <x:v>2710081</x:v>
      </x:c>
      <x:c r="O568" s="72" t="n">
        <x:f aca="0">N568/1000</x:f>
        <x:v>2710.081</x:v>
      </x:c>
      <x:c r="P568" s="73" t="n">
        <x:f aca="0">LUCK!D32</x:f>
        <x:v>2710.081</x:v>
      </x:c>
      <x:c r="Q568" s="70" t="str">
        <x:f aca="0">IF(ABS(O568-P568)&lt;0.000001,"PASS","FAIL")</x:f>
        <x:v>PASS</x:v>
      </x:c>
      <x:c r="R568" s="70" t="s">
        <x:v>33</x:v>
      </x:c>
      <x:c r="S568" s="70"/>
    </x:row>
    <x:row r="569" ht="15" hidden="0">
      <x:c r="A569" s="70" t="s">
        <x:v>1372</x:v>
      </x:c>
      <x:c r="B569" s="70" t="s">
        <x:v>30</x:v>
      </x:c>
      <x:c r="C569" s="70" t="s">
        <x:v>102</x:v>
      </x:c>
      <x:c r="D569" s="70" t="s">
        <x:v>133</x:v>
      </x:c>
      <x:c r="E569" s="70" t="s">
        <x:v>763</x:v>
      </x:c>
      <x:c r="F569" s="70" t="s">
        <x:v>133</x:v>
      </x:c>
      <x:c r="G569" s="70" t="s">
        <x:v>1304</x:v>
      </x:c>
      <x:c r="H569" s="70" t="s">
        <x:v>842</x:v>
      </x:c>
      <x:c r="I569" s="70" t="s">
        <x:v>833</x:v>
      </x:c>
      <x:c r="J569" s="70" t="n">
        <x:v>234</x:v>
      </x:c>
      <x:c r="K569" s="70" t="s">
        <x:v>1305</x:v>
      </x:c>
      <x:c r="L569" s="70" t="s">
        <x:v>1031</x:v>
      </x:c>
      <x:c r="M569" s="70" t="s">
        <x:v>34</x:v>
      </x:c>
      <x:c r="N569" s="71" t="n">
        <x:v>3522931</x:v>
      </x:c>
      <x:c r="O569" s="72" t="n">
        <x:f aca="0">N569/1000</x:f>
        <x:v>3522.931</x:v>
      </x:c>
      <x:c r="P569" s="73" t="n">
        <x:f aca="0">LUCK!E32</x:f>
        <x:v>3522.931</x:v>
      </x:c>
      <x:c r="Q569" s="70" t="str">
        <x:f aca="0">IF(ABS(O569-P569)&lt;0.000001,"PASS","FAIL")</x:f>
        <x:v>PASS</x:v>
      </x:c>
      <x:c r="R569" s="70" t="s">
        <x:v>33</x:v>
      </x:c>
      <x:c r="S569" s="70"/>
    </x:row>
    <x:row r="570" ht="15" hidden="0">
      <x:c r="A570" s="70" t="s">
        <x:v>1373</x:v>
      </x:c>
      <x:c r="B570" s="70" t="s">
        <x:v>30</x:v>
      </x:c>
      <x:c r="C570" s="70" t="s">
        <x:v>103</x:v>
      </x:c>
      <x:c r="D570" s="70" t="s">
        <x:v>133</x:v>
      </x:c>
      <x:c r="E570" s="70" t="s">
        <x:v>763</x:v>
      </x:c>
      <x:c r="F570" s="70" t="s">
        <x:v>133</x:v>
      </x:c>
      <x:c r="G570" s="70" t="s">
        <x:v>1307</x:v>
      </x:c>
      <x:c r="H570" s="70" t="s">
        <x:v>845</x:v>
      </x:c>
      <x:c r="I570" s="70" t="s">
        <x:v>833</x:v>
      </x:c>
      <x:c r="J570" s="70" t="n">
        <x:v>238</x:v>
      </x:c>
      <x:c r="K570" s="70" t="s">
        <x:v>1308</x:v>
      </x:c>
      <x:c r="L570" s="70" t="s">
        <x:v>1031</x:v>
      </x:c>
      <x:c r="M570" s="70" t="s">
        <x:v>34</x:v>
      </x:c>
      <x:c r="N570" s="71" t="n">
        <x:v>5089667</x:v>
      </x:c>
      <x:c r="O570" s="72" t="n">
        <x:f aca="0">N570/1000</x:f>
        <x:v>5089.667</x:v>
      </x:c>
      <x:c r="P570" s="73" t="n">
        <x:f aca="0">LUCK!F32</x:f>
        <x:v>5089.667</x:v>
      </x:c>
      <x:c r="Q570" s="70" t="str">
        <x:f aca="0">IF(ABS(O570-P570)&lt;0.000001,"PASS","FAIL")</x:f>
        <x:v>PASS</x:v>
      </x:c>
      <x:c r="R570" s="70" t="s">
        <x:v>33</x:v>
      </x:c>
      <x:c r="S570" s="70"/>
    </x:row>
    <x:row r="571" ht="15" hidden="0">
      <x:c r="A571" s="70" t="s">
        <x:v>1374</x:v>
      </x:c>
      <x:c r="B571" s="70" t="s">
        <x:v>30</x:v>
      </x:c>
      <x:c r="C571" s="70" t="s">
        <x:v>104</x:v>
      </x:c>
      <x:c r="D571" s="70" t="s">
        <x:v>133</x:v>
      </x:c>
      <x:c r="E571" s="70" t="s">
        <x:v>763</x:v>
      </x:c>
      <x:c r="F571" s="70" t="s">
        <x:v>133</x:v>
      </x:c>
      <x:c r="G571" s="70" t="s">
        <x:v>1310</x:v>
      </x:c>
      <x:c r="H571" s="70" t="s">
        <x:v>849</x:v>
      </x:c>
      <x:c r="I571" s="70" t="s">
        <x:v>833</x:v>
      </x:c>
      <x:c r="J571" s="70" t="n">
        <x:v>240</x:v>
      </x:c>
      <x:c r="K571" s="70" t="s">
        <x:v>1311</x:v>
      </x:c>
      <x:c r="L571" s="70" t="s">
        <x:v>1040</x:v>
      </x:c>
      <x:c r="M571" s="70" t="s">
        <x:v>34</x:v>
      </x:c>
      <x:c r="N571" s="71" t="n">
        <x:v>6932479</x:v>
      </x:c>
      <x:c r="O571" s="72" t="n">
        <x:f aca="0">N571/1000</x:f>
        <x:v>6932.479</x:v>
      </x:c>
      <x:c r="P571" s="73" t="n">
        <x:f aca="0">LUCK!G32</x:f>
        <x:v>6932.479</x:v>
      </x:c>
      <x:c r="Q571" s="70" t="str">
        <x:f aca="0">IF(ABS(O571-P571)&lt;0.000001,"PASS","FAIL")</x:f>
        <x:v>PASS</x:v>
      </x:c>
      <x:c r="R571" s="70" t="s">
        <x:v>33</x:v>
      </x:c>
      <x:c r="S571" s="70"/>
    </x:row>
    <x:row r="572" ht="15" hidden="0">
      <x:c r="A572" s="70" t="s">
        <x:v>1375</x:v>
      </x:c>
      <x:c r="B572" s="70" t="s">
        <x:v>30</x:v>
      </x:c>
      <x:c r="C572" s="70" t="s">
        <x:v>105</x:v>
      </x:c>
      <x:c r="D572" s="70" t="s">
        <x:v>133</x:v>
      </x:c>
      <x:c r="E572" s="70" t="s">
        <x:v>763</x:v>
      </x:c>
      <x:c r="F572" s="70" t="s">
        <x:v>133</x:v>
      </x:c>
      <x:c r="G572" s="70" t="s">
        <x:v>1310</x:v>
      </x:c>
      <x:c r="H572" s="70" t="s">
        <x:v>849</x:v>
      </x:c>
      <x:c r="I572" s="70" t="s">
        <x:v>852</x:v>
      </x:c>
      <x:c r="J572" s="70" t="n">
        <x:v>240</x:v>
      </x:c>
      <x:c r="K572" s="70" t="s">
        <x:v>1311</x:v>
      </x:c>
      <x:c r="L572" s="70" t="s">
        <x:v>1040</x:v>
      </x:c>
      <x:c r="M572" s="70" t="s">
        <x:v>34</x:v>
      </x:c>
      <x:c r="N572" s="71" t="n">
        <x:v>6353194</x:v>
      </x:c>
      <x:c r="O572" s="72" t="n">
        <x:f aca="0">N572/1000</x:f>
        <x:v>6353.194</x:v>
      </x:c>
      <x:c r="P572" s="73" t="n">
        <x:f aca="0">LUCK!H32</x:f>
        <x:v>6353.194</x:v>
      </x:c>
      <x:c r="Q572" s="70" t="str">
        <x:f aca="0">IF(ABS(O572-P572)&lt;0.000001,"PASS","FAIL")</x:f>
        <x:v>PASS</x:v>
      </x:c>
      <x:c r="R572" s="70" t="s">
        <x:v>33</x:v>
      </x:c>
      <x:c r="S572" s="70"/>
    </x:row>
    <x:row r="573" ht="15" hidden="0">
      <x:c r="A573" s="70" t="s">
        <x:v>1376</x:v>
      </x:c>
      <x:c r="B573" s="70" t="s">
        <x:v>30</x:v>
      </x:c>
      <x:c r="C573" s="70" t="s">
        <x:v>717</x:v>
      </x:c>
      <x:c r="D573" s="70" t="s">
        <x:v>135</x:v>
      </x:c>
      <x:c r="E573" s="70" t="s">
        <x:v>763</x:v>
      </x:c>
      <x:c r="F573" s="70" t="s">
        <x:v>925</x:v>
      </x:c>
      <x:c r="G573" s="70" t="s">
        <x:v>1298</x:v>
      </x:c>
      <x:c r="H573" s="70" t="s">
        <x:v>832</x:v>
      </x:c>
      <x:c r="I573" s="70" t="s">
        <x:v>833</x:v>
      </x:c>
      <x:c r="J573" s="70" t="n">
        <x:v>191</x:v>
      </x:c>
      <x:c r="K573" s="70" t="s">
        <x:v>834</x:v>
      </x:c>
      <x:c r="L573" s="70" t="s">
        <x:v>886</x:v>
      </x:c>
      <x:c r="M573" s="70" t="s">
        <x:v>34</x:v>
      </x:c>
      <x:c r="N573" s="71" t="n">
        <x:v>2970999</x:v>
      </x:c>
      <x:c r="O573" s="72" t="n">
        <x:f aca="0">N573/1000</x:f>
        <x:v>2970.999</x:v>
      </x:c>
      <x:c r="P573" s="73" t="n">
        <x:f aca="0">LUCK!C33</x:f>
        <x:v>2970.999</x:v>
      </x:c>
      <x:c r="Q573" s="70" t="str">
        <x:f aca="0">IF(ABS(O573-P573)&lt;0.000001,"PASS","FAIL")</x:f>
        <x:v>PASS</x:v>
      </x:c>
      <x:c r="R573" s="70" t="s">
        <x:v>33</x:v>
      </x:c>
      <x:c r="S573" s="70"/>
    </x:row>
    <x:row r="574" ht="15" hidden="0">
      <x:c r="A574" s="70" t="s">
        <x:v>1377</x:v>
      </x:c>
      <x:c r="B574" s="70" t="s">
        <x:v>30</x:v>
      </x:c>
      <x:c r="C574" s="70" t="s">
        <x:v>101</x:v>
      </x:c>
      <x:c r="D574" s="70" t="s">
        <x:v>135</x:v>
      </x:c>
      <x:c r="E574" s="70" t="s">
        <x:v>763</x:v>
      </x:c>
      <x:c r="F574" s="70" t="s">
        <x:v>135</x:v>
      </x:c>
      <x:c r="G574" s="70" t="s">
        <x:v>1301</x:v>
      </x:c>
      <x:c r="H574" s="70" t="s">
        <x:v>838</x:v>
      </x:c>
      <x:c r="I574" s="70" t="s">
        <x:v>833</x:v>
      </x:c>
      <x:c r="J574" s="70" t="n">
        <x:v>226</x:v>
      </x:c>
      <x:c r="K574" s="70" t="s">
        <x:v>1302</x:v>
      </x:c>
      <x:c r="L574" s="70" t="s">
        <x:v>886</x:v>
      </x:c>
      <x:c r="M574" s="70" t="s">
        <x:v>34</x:v>
      </x:c>
      <x:c r="N574" s="71" t="n">
        <x:v>16227103</x:v>
      </x:c>
      <x:c r="O574" s="72" t="n">
        <x:f aca="0">N574/1000</x:f>
        <x:v>16227.103</x:v>
      </x:c>
      <x:c r="P574" s="73" t="n">
        <x:f aca="0">LUCK!D33</x:f>
        <x:v>16227.103</x:v>
      </x:c>
      <x:c r="Q574" s="70" t="str">
        <x:f aca="0">IF(ABS(O574-P574)&lt;0.000001,"PASS","FAIL")</x:f>
        <x:v>PASS</x:v>
      </x:c>
      <x:c r="R574" s="70" t="s">
        <x:v>33</x:v>
      </x:c>
      <x:c r="S574" s="70"/>
    </x:row>
    <x:row r="575" ht="15" hidden="0">
      <x:c r="A575" s="70" t="s">
        <x:v>1378</x:v>
      </x:c>
      <x:c r="B575" s="70" t="s">
        <x:v>30</x:v>
      </x:c>
      <x:c r="C575" s="70" t="s">
        <x:v>102</x:v>
      </x:c>
      <x:c r="D575" s="70" t="s">
        <x:v>135</x:v>
      </x:c>
      <x:c r="E575" s="70" t="s">
        <x:v>763</x:v>
      </x:c>
      <x:c r="F575" s="70" t="s">
        <x:v>135</x:v>
      </x:c>
      <x:c r="G575" s="70" t="s">
        <x:v>1304</x:v>
      </x:c>
      <x:c r="H575" s="70" t="s">
        <x:v>842</x:v>
      </x:c>
      <x:c r="I575" s="70" t="s">
        <x:v>833</x:v>
      </x:c>
      <x:c r="J575" s="70" t="n">
        <x:v>234</x:v>
      </x:c>
      <x:c r="K575" s="70" t="s">
        <x:v>1305</x:v>
      </x:c>
      <x:c r="L575" s="70" t="s">
        <x:v>886</x:v>
      </x:c>
      <x:c r="M575" s="70" t="s">
        <x:v>34</x:v>
      </x:c>
      <x:c r="N575" s="71" t="n">
        <x:v>12751155</x:v>
      </x:c>
      <x:c r="O575" s="72" t="n">
        <x:f aca="0">N575/1000</x:f>
        <x:v>12751.155</x:v>
      </x:c>
      <x:c r="P575" s="73" t="n">
        <x:f aca="0">LUCK!E33</x:f>
        <x:v>12751.155</x:v>
      </x:c>
      <x:c r="Q575" s="70" t="str">
        <x:f aca="0">IF(ABS(O575-P575)&lt;0.000001,"PASS","FAIL")</x:f>
        <x:v>PASS</x:v>
      </x:c>
      <x:c r="R575" s="70" t="s">
        <x:v>33</x:v>
      </x:c>
      <x:c r="S575" s="70"/>
    </x:row>
    <x:row r="576" ht="15" hidden="0">
      <x:c r="A576" s="70" t="s">
        <x:v>1379</x:v>
      </x:c>
      <x:c r="B576" s="70" t="s">
        <x:v>30</x:v>
      </x:c>
      <x:c r="C576" s="70" t="s">
        <x:v>103</x:v>
      </x:c>
      <x:c r="D576" s="70" t="s">
        <x:v>135</x:v>
      </x:c>
      <x:c r="E576" s="70" t="s">
        <x:v>763</x:v>
      </x:c>
      <x:c r="F576" s="70" t="s">
        <x:v>135</x:v>
      </x:c>
      <x:c r="G576" s="70" t="s">
        <x:v>1307</x:v>
      </x:c>
      <x:c r="H576" s="70" t="s">
        <x:v>845</x:v>
      </x:c>
      <x:c r="I576" s="70" t="s">
        <x:v>833</x:v>
      </x:c>
      <x:c r="J576" s="70" t="n">
        <x:v>238</x:v>
      </x:c>
      <x:c r="K576" s="70" t="s">
        <x:v>1308</x:v>
      </x:c>
      <x:c r="L576" s="70" t="s">
        <x:v>886</x:v>
      </x:c>
      <x:c r="M576" s="70" t="s">
        <x:v>34</x:v>
      </x:c>
      <x:c r="N576" s="71" t="n">
        <x:v>21898496</x:v>
      </x:c>
      <x:c r="O576" s="72" t="n">
        <x:f aca="0">N576/1000</x:f>
        <x:v>21898.496</x:v>
      </x:c>
      <x:c r="P576" s="73" t="n">
        <x:f aca="0">LUCK!F33</x:f>
        <x:v>21898.496</x:v>
      </x:c>
      <x:c r="Q576" s="70" t="str">
        <x:f aca="0">IF(ABS(O576-P576)&lt;0.000001,"PASS","FAIL")</x:f>
        <x:v>PASS</x:v>
      </x:c>
      <x:c r="R576" s="70" t="s">
        <x:v>33</x:v>
      </x:c>
      <x:c r="S576" s="70"/>
    </x:row>
    <x:row r="577" ht="15" hidden="0">
      <x:c r="A577" s="70" t="s">
        <x:v>1380</x:v>
      </x:c>
      <x:c r="B577" s="70" t="s">
        <x:v>30</x:v>
      </x:c>
      <x:c r="C577" s="70" t="s">
        <x:v>104</x:v>
      </x:c>
      <x:c r="D577" s="70" t="s">
        <x:v>135</x:v>
      </x:c>
      <x:c r="E577" s="70" t="s">
        <x:v>763</x:v>
      </x:c>
      <x:c r="F577" s="70" t="s">
        <x:v>135</x:v>
      </x:c>
      <x:c r="G577" s="70" t="s">
        <x:v>1310</x:v>
      </x:c>
      <x:c r="H577" s="70" t="s">
        <x:v>849</x:v>
      </x:c>
      <x:c r="I577" s="70" t="s">
        <x:v>833</x:v>
      </x:c>
      <x:c r="J577" s="70" t="n">
        <x:v>240</x:v>
      </x:c>
      <x:c r="K577" s="70" t="s">
        <x:v>1311</x:v>
      </x:c>
      <x:c r="L577" s="70" t="s">
        <x:v>873</x:v>
      </x:c>
      <x:c r="M577" s="70" t="s">
        <x:v>34</x:v>
      </x:c>
      <x:c r="N577" s="71" t="n">
        <x:v>29837628</x:v>
      </x:c>
      <x:c r="O577" s="72" t="n">
        <x:f aca="0">N577/1000</x:f>
        <x:v>29837.628</x:v>
      </x:c>
      <x:c r="P577" s="73" t="n">
        <x:f aca="0">LUCK!G33</x:f>
        <x:v>29837.628</x:v>
      </x:c>
      <x:c r="Q577" s="70" t="str">
        <x:f aca="0">IF(ABS(O577-P577)&lt;0.000001,"PASS","FAIL")</x:f>
        <x:v>PASS</x:v>
      </x:c>
      <x:c r="R577" s="70" t="s">
        <x:v>33</x:v>
      </x:c>
      <x:c r="S577" s="70"/>
    </x:row>
    <x:row r="578" ht="15" hidden="0">
      <x:c r="A578" s="70" t="s">
        <x:v>1381</x:v>
      </x:c>
      <x:c r="B578" s="70" t="s">
        <x:v>30</x:v>
      </x:c>
      <x:c r="C578" s="70" t="s">
        <x:v>105</x:v>
      </x:c>
      <x:c r="D578" s="70" t="s">
        <x:v>135</x:v>
      </x:c>
      <x:c r="E578" s="70" t="s">
        <x:v>763</x:v>
      </x:c>
      <x:c r="F578" s="70" t="s">
        <x:v>135</x:v>
      </x:c>
      <x:c r="G578" s="70" t="s">
        <x:v>1310</x:v>
      </x:c>
      <x:c r="H578" s="70" t="s">
        <x:v>849</x:v>
      </x:c>
      <x:c r="I578" s="70" t="s">
        <x:v>852</x:v>
      </x:c>
      <x:c r="J578" s="70" t="n">
        <x:v>240</x:v>
      </x:c>
      <x:c r="K578" s="70" t="s">
        <x:v>1311</x:v>
      </x:c>
      <x:c r="L578" s="70" t="s">
        <x:v>873</x:v>
      </x:c>
      <x:c r="M578" s="70" t="s">
        <x:v>34</x:v>
      </x:c>
      <x:c r="N578" s="71" t="n">
        <x:v>61298052</x:v>
      </x:c>
      <x:c r="O578" s="72" t="n">
        <x:f aca="0">N578/1000</x:f>
        <x:v>61298.052</x:v>
      </x:c>
      <x:c r="P578" s="73" t="n">
        <x:f aca="0">LUCK!H33</x:f>
        <x:v>61298.052</x:v>
      </x:c>
      <x:c r="Q578" s="70" t="str">
        <x:f aca="0">IF(ABS(O578-P578)&lt;0.000001,"PASS","FAIL")</x:f>
        <x:v>PASS</x:v>
      </x:c>
      <x:c r="R578" s="70" t="s">
        <x:v>33</x:v>
      </x:c>
      <x:c r="S578" s="70"/>
    </x:row>
    <x:row r="579" ht="15" hidden="0">
      <x:c r="A579" s="70" t="s">
        <x:v>1382</x:v>
      </x:c>
      <x:c r="B579" s="70" t="s">
        <x:v>30</x:v>
      </x:c>
      <x:c r="C579" s="70" t="s">
        <x:v>717</x:v>
      </x:c>
      <x:c r="D579" s="70" t="s">
        <x:v>137</x:v>
      </x:c>
      <x:c r="E579" s="70" t="s">
        <x:v>763</x:v>
      </x:c>
      <x:c r="F579" s="70" t="s">
        <x:v>137</x:v>
      </x:c>
      <x:c r="G579" s="70" t="s">
        <x:v>1298</x:v>
      </x:c>
      <x:c r="H579" s="70" t="s">
        <x:v>832</x:v>
      </x:c>
      <x:c r="I579" s="70" t="s">
        <x:v>833</x:v>
      </x:c>
      <x:c r="J579" s="70" t="n">
        <x:v>191</x:v>
      </x:c>
      <x:c r="K579" s="70" t="s">
        <x:v>834</x:v>
      </x:c>
      <x:c r="L579" s="70" t="s">
        <x:v>880</x:v>
      </x:c>
      <x:c r="M579" s="70" t="s">
        <x:v>34</x:v>
      </x:c>
      <x:c r="N579" s="71" t="n">
        <x:v>7816606</x:v>
      </x:c>
      <x:c r="O579" s="72" t="n">
        <x:f aca="0">N579/1000</x:f>
        <x:v>7816.606</x:v>
      </x:c>
      <x:c r="P579" s="73" t="n">
        <x:f aca="0">LUCK!C34</x:f>
        <x:v>7816.606</x:v>
      </x:c>
      <x:c r="Q579" s="70" t="str">
        <x:f aca="0">IF(ABS(O579-P579)&lt;0.000001,"PASS","FAIL")</x:f>
        <x:v>PASS</x:v>
      </x:c>
      <x:c r="R579" s="70" t="s">
        <x:v>33</x:v>
      </x:c>
      <x:c r="S579" s="70"/>
    </x:row>
    <x:row r="580" ht="15" hidden="0">
      <x:c r="A580" s="70" t="s">
        <x:v>1383</x:v>
      </x:c>
      <x:c r="B580" s="70" t="s">
        <x:v>30</x:v>
      </x:c>
      <x:c r="C580" s="70" t="s">
        <x:v>101</x:v>
      </x:c>
      <x:c r="D580" s="70" t="s">
        <x:v>137</x:v>
      </x:c>
      <x:c r="E580" s="70" t="s">
        <x:v>763</x:v>
      </x:c>
      <x:c r="F580" s="70" t="s">
        <x:v>137</x:v>
      </x:c>
      <x:c r="G580" s="70" t="s">
        <x:v>1301</x:v>
      </x:c>
      <x:c r="H580" s="70" t="s">
        <x:v>838</x:v>
      </x:c>
      <x:c r="I580" s="70" t="s">
        <x:v>833</x:v>
      </x:c>
      <x:c r="J580" s="70" t="n">
        <x:v>226</x:v>
      </x:c>
      <x:c r="K580" s="70" t="s">
        <x:v>1302</x:v>
      </x:c>
      <x:c r="L580" s="70" t="s">
        <x:v>880</x:v>
      </x:c>
      <x:c r="M580" s="70" t="s">
        <x:v>34</x:v>
      </x:c>
      <x:c r="N580" s="71" t="n">
        <x:v>2825424</x:v>
      </x:c>
      <x:c r="O580" s="72" t="n">
        <x:f aca="0">N580/1000</x:f>
        <x:v>2825.424</x:v>
      </x:c>
      <x:c r="P580" s="73" t="n">
        <x:f aca="0">LUCK!D34</x:f>
        <x:v>2825.424</x:v>
      </x:c>
      <x:c r="Q580" s="70" t="str">
        <x:f aca="0">IF(ABS(O580-P580)&lt;0.000001,"PASS","FAIL")</x:f>
        <x:v>PASS</x:v>
      </x:c>
      <x:c r="R580" s="70" t="s">
        <x:v>33</x:v>
      </x:c>
      <x:c r="S580" s="70"/>
    </x:row>
    <x:row r="581" ht="15" hidden="0">
      <x:c r="A581" s="70" t="s">
        <x:v>1384</x:v>
      </x:c>
      <x:c r="B581" s="70" t="s">
        <x:v>30</x:v>
      </x:c>
      <x:c r="C581" s="70" t="s">
        <x:v>102</x:v>
      </x:c>
      <x:c r="D581" s="70" t="s">
        <x:v>137</x:v>
      </x:c>
      <x:c r="E581" s="70" t="s">
        <x:v>763</x:v>
      </x:c>
      <x:c r="F581" s="70" t="s">
        <x:v>137</x:v>
      </x:c>
      <x:c r="G581" s="70" t="s">
        <x:v>1304</x:v>
      </x:c>
      <x:c r="H581" s="70" t="s">
        <x:v>842</x:v>
      </x:c>
      <x:c r="I581" s="70" t="s">
        <x:v>833</x:v>
      </x:c>
      <x:c r="J581" s="70" t="n">
        <x:v>234</x:v>
      </x:c>
      <x:c r="K581" s="70" t="s">
        <x:v>1305</x:v>
      </x:c>
      <x:c r="L581" s="70" t="s">
        <x:v>880</x:v>
      </x:c>
      <x:c r="M581" s="70" t="s">
        <x:v>34</x:v>
      </x:c>
      <x:c r="N581" s="71" t="n">
        <x:v>3871078</x:v>
      </x:c>
      <x:c r="O581" s="72" t="n">
        <x:f aca="0">N581/1000</x:f>
        <x:v>3871.078</x:v>
      </x:c>
      <x:c r="P581" s="73" t="n">
        <x:f aca="0">LUCK!E34</x:f>
        <x:v>3871.078</x:v>
      </x:c>
      <x:c r="Q581" s="70" t="str">
        <x:f aca="0">IF(ABS(O581-P581)&lt;0.000001,"PASS","FAIL")</x:f>
        <x:v>PASS</x:v>
      </x:c>
      <x:c r="R581" s="70" t="s">
        <x:v>33</x:v>
      </x:c>
      <x:c r="S581" s="70"/>
    </x:row>
    <x:row r="582" ht="15" hidden="0">
      <x:c r="A582" s="70" t="s">
        <x:v>1385</x:v>
      </x:c>
      <x:c r="B582" s="70" t="s">
        <x:v>30</x:v>
      </x:c>
      <x:c r="C582" s="70" t="s">
        <x:v>103</x:v>
      </x:c>
      <x:c r="D582" s="70" t="s">
        <x:v>137</x:v>
      </x:c>
      <x:c r="E582" s="70" t="s">
        <x:v>763</x:v>
      </x:c>
      <x:c r="F582" s="70" t="s">
        <x:v>137</x:v>
      </x:c>
      <x:c r="G582" s="70" t="s">
        <x:v>1307</x:v>
      </x:c>
      <x:c r="H582" s="70" t="s">
        <x:v>845</x:v>
      </x:c>
      <x:c r="I582" s="70" t="s">
        <x:v>833</x:v>
      </x:c>
      <x:c r="J582" s="70" t="n">
        <x:v>238</x:v>
      </x:c>
      <x:c r="K582" s="70" t="s">
        <x:v>1308</x:v>
      </x:c>
      <x:c r="L582" s="70" t="s">
        <x:v>880</x:v>
      </x:c>
      <x:c r="M582" s="70" t="s">
        <x:v>34</x:v>
      </x:c>
      <x:c r="N582" s="71" t="n">
        <x:v>4116181</x:v>
      </x:c>
      <x:c r="O582" s="72" t="n">
        <x:f aca="0">N582/1000</x:f>
        <x:v>4116.181</x:v>
      </x:c>
      <x:c r="P582" s="73" t="n">
        <x:f aca="0">LUCK!F34</x:f>
        <x:v>4116.181</x:v>
      </x:c>
      <x:c r="Q582" s="70" t="str">
        <x:f aca="0">IF(ABS(O582-P582)&lt;0.000001,"PASS","FAIL")</x:f>
        <x:v>PASS</x:v>
      </x:c>
      <x:c r="R582" s="70" t="s">
        <x:v>33</x:v>
      </x:c>
      <x:c r="S582" s="70"/>
    </x:row>
    <x:row r="583" ht="15" hidden="0">
      <x:c r="A583" s="70" t="s">
        <x:v>1386</x:v>
      </x:c>
      <x:c r="B583" s="70" t="s">
        <x:v>30</x:v>
      </x:c>
      <x:c r="C583" s="70" t="s">
        <x:v>104</x:v>
      </x:c>
      <x:c r="D583" s="70" t="s">
        <x:v>137</x:v>
      </x:c>
      <x:c r="E583" s="70" t="s">
        <x:v>763</x:v>
      </x:c>
      <x:c r="F583" s="70" t="s">
        <x:v>137</x:v>
      </x:c>
      <x:c r="G583" s="70" t="s">
        <x:v>1310</x:v>
      </x:c>
      <x:c r="H583" s="70" t="s">
        <x:v>849</x:v>
      </x:c>
      <x:c r="I583" s="70" t="s">
        <x:v>833</x:v>
      </x:c>
      <x:c r="J583" s="70" t="n">
        <x:v>240</x:v>
      </x:c>
      <x:c r="K583" s="70" t="s">
        <x:v>1311</x:v>
      </x:c>
      <x:c r="L583" s="70" t="s">
        <x:v>886</x:v>
      </x:c>
      <x:c r="M583" s="70" t="s">
        <x:v>34</x:v>
      </x:c>
      <x:c r="N583" s="71" t="n">
        <x:v>2567176</x:v>
      </x:c>
      <x:c r="O583" s="72" t="n">
        <x:f aca="0">N583/1000</x:f>
        <x:v>2567.176</x:v>
      </x:c>
      <x:c r="P583" s="73" t="n">
        <x:f aca="0">LUCK!G34</x:f>
        <x:v>2567.176</x:v>
      </x:c>
      <x:c r="Q583" s="70" t="str">
        <x:f aca="0">IF(ABS(O583-P583)&lt;0.000001,"PASS","FAIL")</x:f>
        <x:v>PASS</x:v>
      </x:c>
      <x:c r="R583" s="70" t="s">
        <x:v>33</x:v>
      </x:c>
      <x:c r="S583" s="70"/>
    </x:row>
    <x:row r="584" ht="15" hidden="0">
      <x:c r="A584" s="70" t="s">
        <x:v>1387</x:v>
      </x:c>
      <x:c r="B584" s="70" t="s">
        <x:v>30</x:v>
      </x:c>
      <x:c r="C584" s="70" t="s">
        <x:v>105</x:v>
      </x:c>
      <x:c r="D584" s="70" t="s">
        <x:v>137</x:v>
      </x:c>
      <x:c r="E584" s="70" t="s">
        <x:v>763</x:v>
      </x:c>
      <x:c r="F584" s="70" t="s">
        <x:v>137</x:v>
      </x:c>
      <x:c r="G584" s="70" t="s">
        <x:v>1310</x:v>
      </x:c>
      <x:c r="H584" s="70" t="s">
        <x:v>849</x:v>
      </x:c>
      <x:c r="I584" s="70" t="s">
        <x:v>852</x:v>
      </x:c>
      <x:c r="J584" s="70" t="n">
        <x:v>240</x:v>
      </x:c>
      <x:c r="K584" s="70" t="s">
        <x:v>1311</x:v>
      </x:c>
      <x:c r="L584" s="70" t="s">
        <x:v>886</x:v>
      </x:c>
      <x:c r="M584" s="70" t="s">
        <x:v>34</x:v>
      </x:c>
      <x:c r="N584" s="71" t="n">
        <x:v>2790323</x:v>
      </x:c>
      <x:c r="O584" s="72" t="n">
        <x:f aca="0">N584/1000</x:f>
        <x:v>2790.323</x:v>
      </x:c>
      <x:c r="P584" s="73" t="n">
        <x:f aca="0">LUCK!H34</x:f>
        <x:v>2790.323</x:v>
      </x:c>
      <x:c r="Q584" s="70" t="str">
        <x:f aca="0">IF(ABS(O584-P584)&lt;0.000001,"PASS","FAIL")</x:f>
        <x:v>PASS</x:v>
      </x:c>
      <x:c r="R584" s="70" t="s">
        <x:v>33</x:v>
      </x:c>
      <x:c r="S584" s="70"/>
    </x:row>
    <x:row r="585" ht="15" hidden="0">
      <x:c r="A585" s="70" t="s">
        <x:v>1388</x:v>
      </x:c>
      <x:c r="B585" s="70" t="s">
        <x:v>30</x:v>
      </x:c>
      <x:c r="C585" s="70" t="s">
        <x:v>717</x:v>
      </x:c>
      <x:c r="D585" s="70" t="s">
        <x:v>139</x:v>
      </x:c>
      <x:c r="E585" s="70" t="s">
        <x:v>763</x:v>
      </x:c>
      <x:c r="F585" s="70" t="s">
        <x:v>1389</x:v>
      </x:c>
      <x:c r="G585" s="70" t="s">
        <x:v>1298</x:v>
      </x:c>
      <x:c r="H585" s="70" t="s">
        <x:v>832</x:v>
      </x:c>
      <x:c r="I585" s="70" t="s">
        <x:v>833</x:v>
      </x:c>
      <x:c r="J585" s="70" t="n">
        <x:v>191</x:v>
      </x:c>
      <x:c r="K585" s="70" t="s">
        <x:v>834</x:v>
      </x:c>
      <x:c r="L585" s="70"/>
      <x:c r="M585" s="70" t="s">
        <x:v>34</x:v>
      </x:c>
      <x:c r="N585" s="71" t="n">
        <x:v>4728819</x:v>
      </x:c>
      <x:c r="O585" s="72" t="n">
        <x:f aca="0">N585/1000</x:f>
        <x:v>4728.819</x:v>
      </x:c>
      <x:c r="P585" s="73" t="n">
        <x:f aca="0">LUCK!C35</x:f>
        <x:v>4728.819</x:v>
      </x:c>
      <x:c r="Q585" s="70" t="str">
        <x:f aca="0">IF(ABS(O585-P585)&lt;0.000001,"PASS","FAIL")</x:f>
        <x:v>PASS</x:v>
      </x:c>
      <x:c r="R585" s="70" t="s">
        <x:v>33</x:v>
      </x:c>
      <x:c r="S585" s="70"/>
    </x:row>
    <x:row r="586" ht="15" hidden="0">
      <x:c r="A586" s="70" t="s">
        <x:v>1390</x:v>
      </x:c>
      <x:c r="B586" s="70" t="s">
        <x:v>30</x:v>
      </x:c>
      <x:c r="C586" s="70" t="s">
        <x:v>101</x:v>
      </x:c>
      <x:c r="D586" s="70" t="s">
        <x:v>139</x:v>
      </x:c>
      <x:c r="E586" s="70" t="s">
        <x:v>763</x:v>
      </x:c>
      <x:c r="F586" s="70" t="s">
        <x:v>1389</x:v>
      </x:c>
      <x:c r="G586" s="70" t="s">
        <x:v>1301</x:v>
      </x:c>
      <x:c r="H586" s="70" t="s">
        <x:v>838</x:v>
      </x:c>
      <x:c r="I586" s="70" t="s">
        <x:v>833</x:v>
      </x:c>
      <x:c r="J586" s="70" t="n">
        <x:v>226</x:v>
      </x:c>
      <x:c r="K586" s="70" t="s">
        <x:v>1302</x:v>
      </x:c>
      <x:c r="L586" s="70"/>
      <x:c r="M586" s="70" t="s">
        <x:v>34</x:v>
      </x:c>
      <x:c r="N586" s="71" t="n">
        <x:v>5282150</x:v>
      </x:c>
      <x:c r="O586" s="72" t="n">
        <x:f aca="0">N586/1000</x:f>
        <x:v>5282.15</x:v>
      </x:c>
      <x:c r="P586" s="73" t="n">
        <x:f aca="0">LUCK!D35</x:f>
        <x:v>5282.15</x:v>
      </x:c>
      <x:c r="Q586" s="70" t="str">
        <x:f aca="0">IF(ABS(O586-P586)&lt;0.000001,"PASS","FAIL")</x:f>
        <x:v>PASS</x:v>
      </x:c>
      <x:c r="R586" s="70" t="s">
        <x:v>33</x:v>
      </x:c>
      <x:c r="S586" s="70"/>
    </x:row>
    <x:row r="587" ht="15" hidden="0">
      <x:c r="A587" s="70" t="s">
        <x:v>1391</x:v>
      </x:c>
      <x:c r="B587" s="70" t="s">
        <x:v>30</x:v>
      </x:c>
      <x:c r="C587" s="70" t="s">
        <x:v>102</x:v>
      </x:c>
      <x:c r="D587" s="70" t="s">
        <x:v>139</x:v>
      </x:c>
      <x:c r="E587" s="70" t="s">
        <x:v>763</x:v>
      </x:c>
      <x:c r="F587" s="70" t="s">
        <x:v>1389</x:v>
      </x:c>
      <x:c r="G587" s="70" t="s">
        <x:v>1304</x:v>
      </x:c>
      <x:c r="H587" s="70" t="s">
        <x:v>842</x:v>
      </x:c>
      <x:c r="I587" s="70" t="s">
        <x:v>833</x:v>
      </x:c>
      <x:c r="J587" s="70" t="n">
        <x:v>234</x:v>
      </x:c>
      <x:c r="K587" s="70" t="s">
        <x:v>1305</x:v>
      </x:c>
      <x:c r="L587" s="70"/>
      <x:c r="M587" s="70" t="s">
        <x:v>34</x:v>
      </x:c>
      <x:c r="N587" s="71" t="n">
        <x:v>6292320</x:v>
      </x:c>
      <x:c r="O587" s="72" t="n">
        <x:f aca="0">N587/1000</x:f>
        <x:v>6292.32</x:v>
      </x:c>
      <x:c r="P587" s="73" t="n">
        <x:f aca="0">LUCK!E35</x:f>
        <x:v>6292.32</x:v>
      </x:c>
      <x:c r="Q587" s="70" t="str">
        <x:f aca="0">IF(ABS(O587-P587)&lt;0.000001,"PASS","FAIL")</x:f>
        <x:v>PASS</x:v>
      </x:c>
      <x:c r="R587" s="70" t="s">
        <x:v>33</x:v>
      </x:c>
      <x:c r="S587" s="70"/>
    </x:row>
    <x:row r="588" ht="15" hidden="0">
      <x:c r="A588" s="70" t="s">
        <x:v>1392</x:v>
      </x:c>
      <x:c r="B588" s="70" t="s">
        <x:v>30</x:v>
      </x:c>
      <x:c r="C588" s="70" t="s">
        <x:v>103</x:v>
      </x:c>
      <x:c r="D588" s="70" t="s">
        <x:v>139</x:v>
      </x:c>
      <x:c r="E588" s="70" t="s">
        <x:v>763</x:v>
      </x:c>
      <x:c r="F588" s="70" t="s">
        <x:v>1389</x:v>
      </x:c>
      <x:c r="G588" s="70" t="s">
        <x:v>1307</x:v>
      </x:c>
      <x:c r="H588" s="70" t="s">
        <x:v>845</x:v>
      </x:c>
      <x:c r="I588" s="70" t="s">
        <x:v>833</x:v>
      </x:c>
      <x:c r="J588" s="70" t="n">
        <x:v>238</x:v>
      </x:c>
      <x:c r="K588" s="70" t="s">
        <x:v>1308</x:v>
      </x:c>
      <x:c r="L588" s="70"/>
      <x:c r="M588" s="70" t="s">
        <x:v>34</x:v>
      </x:c>
      <x:c r="N588" s="71" t="n">
        <x:v>8339773</x:v>
      </x:c>
      <x:c r="O588" s="72" t="n">
        <x:f aca="0">N588/1000</x:f>
        <x:v>8339.773</x:v>
      </x:c>
      <x:c r="P588" s="73" t="n">
        <x:f aca="0">LUCK!F35</x:f>
        <x:v>8339.773</x:v>
      </x:c>
      <x:c r="Q588" s="70" t="str">
        <x:f aca="0">IF(ABS(O588-P588)&lt;0.000001,"PASS","FAIL")</x:f>
        <x:v>PASS</x:v>
      </x:c>
      <x:c r="R588" s="70" t="s">
        <x:v>33</x:v>
      </x:c>
      <x:c r="S588" s="70"/>
    </x:row>
    <x:row r="589" ht="15" hidden="0">
      <x:c r="A589" s="70" t="s">
        <x:v>1393</x:v>
      </x:c>
      <x:c r="B589" s="70" t="s">
        <x:v>30</x:v>
      </x:c>
      <x:c r="C589" s="70" t="s">
        <x:v>104</x:v>
      </x:c>
      <x:c r="D589" s="70" t="s">
        <x:v>139</x:v>
      </x:c>
      <x:c r="E589" s="70" t="s">
        <x:v>763</x:v>
      </x:c>
      <x:c r="F589" s="70" t="s">
        <x:v>1394</x:v>
      </x:c>
      <x:c r="G589" s="70" t="s">
        <x:v>1310</x:v>
      </x:c>
      <x:c r="H589" s="70" t="s">
        <x:v>849</x:v>
      </x:c>
      <x:c r="I589" s="70" t="s">
        <x:v>833</x:v>
      </x:c>
      <x:c r="J589" s="70" t="n">
        <x:v>240</x:v>
      </x:c>
      <x:c r="K589" s="70" t="s">
        <x:v>1311</x:v>
      </x:c>
      <x:c r="L589" s="70" t="s">
        <x:v>850</x:v>
      </x:c>
      <x:c r="M589" s="70" t="s">
        <x:v>34</x:v>
      </x:c>
      <x:c r="N589" s="71" t="n">
        <x:v>6017554</x:v>
      </x:c>
      <x:c r="O589" s="72" t="n">
        <x:f aca="0">N589/1000</x:f>
        <x:v>6017.554</x:v>
      </x:c>
      <x:c r="P589" s="73" t="n">
        <x:f aca="0">LUCK!G35</x:f>
        <x:v>6017.554</x:v>
      </x:c>
      <x:c r="Q589" s="70" t="str">
        <x:f aca="0">IF(ABS(O589-P589)&lt;0.000001,"PASS","FAIL")</x:f>
        <x:v>PASS</x:v>
      </x:c>
      <x:c r="R589" s="70" t="s">
        <x:v>33</x:v>
      </x:c>
      <x:c r="S589" s="70"/>
    </x:row>
    <x:row r="590" ht="15" hidden="0">
      <x:c r="A590" s="70" t="s">
        <x:v>1395</x:v>
      </x:c>
      <x:c r="B590" s="70" t="s">
        <x:v>30</x:v>
      </x:c>
      <x:c r="C590" s="70" t="s">
        <x:v>105</x:v>
      </x:c>
      <x:c r="D590" s="70" t="s">
        <x:v>139</x:v>
      </x:c>
      <x:c r="E590" s="70" t="s">
        <x:v>763</x:v>
      </x:c>
      <x:c r="F590" s="70" t="s">
        <x:v>1394</x:v>
      </x:c>
      <x:c r="G590" s="70" t="s">
        <x:v>1310</x:v>
      </x:c>
      <x:c r="H590" s="70" t="s">
        <x:v>849</x:v>
      </x:c>
      <x:c r="I590" s="70" t="s">
        <x:v>852</x:v>
      </x:c>
      <x:c r="J590" s="70" t="n">
        <x:v>240</x:v>
      </x:c>
      <x:c r="K590" s="70" t="s">
        <x:v>1311</x:v>
      </x:c>
      <x:c r="L590" s="70" t="s">
        <x:v>850</x:v>
      </x:c>
      <x:c r="M590" s="70" t="s">
        <x:v>34</x:v>
      </x:c>
      <x:c r="N590" s="71" t="n">
        <x:v>5436083</x:v>
      </x:c>
      <x:c r="O590" s="72" t="n">
        <x:f aca="0">N590/1000</x:f>
        <x:v>5436.083</x:v>
      </x:c>
      <x:c r="P590" s="73" t="n">
        <x:f aca="0">LUCK!H35</x:f>
        <x:v>5436.083</x:v>
      </x:c>
      <x:c r="Q590" s="70" t="str">
        <x:f aca="0">IF(ABS(O590-P590)&lt;0.000001,"PASS","FAIL")</x:f>
        <x:v>PASS</x:v>
      </x:c>
      <x:c r="R590" s="70" t="s">
        <x:v>33</x:v>
      </x:c>
      <x:c r="S590" s="70"/>
    </x:row>
    <x:row r="591" ht="15" hidden="0">
      <x:c r="A591" s="70" t="s">
        <x:v>1396</x:v>
      </x:c>
      <x:c r="B591" s="70" t="s">
        <x:v>30</x:v>
      </x:c>
      <x:c r="C591" s="70" t="s">
        <x:v>717</x:v>
      </x:c>
      <x:c r="D591" s="70" t="s">
        <x:v>146</x:v>
      </x:c>
      <x:c r="E591" s="70" t="s">
        <x:v>763</x:v>
      </x:c>
      <x:c r="F591" s="70" t="s">
        <x:v>1397</x:v>
      </x:c>
      <x:c r="G591" s="70" t="s">
        <x:v>1298</x:v>
      </x:c>
      <x:c r="H591" s="70" t="s">
        <x:v>832</x:v>
      </x:c>
      <x:c r="I591" s="70" t="s">
        <x:v>833</x:v>
      </x:c>
      <x:c r="J591" s="70" t="n">
        <x:v>191</x:v>
      </x:c>
      <x:c r="K591" s="70" t="s">
        <x:v>834</x:v>
      </x:c>
      <x:c r="L591" s="70" t="s">
        <x:v>882</x:v>
      </x:c>
      <x:c r="M591" s="70" t="s">
        <x:v>34</x:v>
      </x:c>
      <x:c r="N591" s="71" t="n">
        <x:v>3233750</x:v>
      </x:c>
      <x:c r="O591" s="72" t="n">
        <x:f aca="0">N591/1000</x:f>
        <x:v>3233.75</x:v>
      </x:c>
      <x:c r="P591" s="73" t="n">
        <x:f aca="0">LUCK!C39</x:f>
        <x:v>3233.75</x:v>
      </x:c>
      <x:c r="Q591" s="70" t="str">
        <x:f aca="0">IF(ABS(O591-P591)&lt;0.000001,"PASS","FAIL")</x:f>
        <x:v>PASS</x:v>
      </x:c>
      <x:c r="R591" s="70" t="s">
        <x:v>33</x:v>
      </x:c>
      <x:c r="S591" s="70"/>
    </x:row>
    <x:row r="592" ht="15" hidden="0">
      <x:c r="A592" s="70" t="s">
        <x:v>1398</x:v>
      </x:c>
      <x:c r="B592" s="70" t="s">
        <x:v>30</x:v>
      </x:c>
      <x:c r="C592" s="70" t="s">
        <x:v>101</x:v>
      </x:c>
      <x:c r="D592" s="70" t="s">
        <x:v>146</x:v>
      </x:c>
      <x:c r="E592" s="70" t="s">
        <x:v>763</x:v>
      </x:c>
      <x:c r="F592" s="70" t="s">
        <x:v>1397</x:v>
      </x:c>
      <x:c r="G592" s="70" t="s">
        <x:v>1301</x:v>
      </x:c>
      <x:c r="H592" s="70" t="s">
        <x:v>838</x:v>
      </x:c>
      <x:c r="I592" s="70" t="s">
        <x:v>833</x:v>
      </x:c>
      <x:c r="J592" s="70" t="n">
        <x:v>226</x:v>
      </x:c>
      <x:c r="K592" s="70" t="s">
        <x:v>1302</x:v>
      </x:c>
      <x:c r="L592" s="70" t="s">
        <x:v>882</x:v>
      </x:c>
      <x:c r="M592" s="70" t="s">
        <x:v>34</x:v>
      </x:c>
      <x:c r="N592" s="71" t="n">
        <x:v>3233750</x:v>
      </x:c>
      <x:c r="O592" s="72" t="n">
        <x:f aca="0">N592/1000</x:f>
        <x:v>3233.75</x:v>
      </x:c>
      <x:c r="P592" s="73" t="n">
        <x:f aca="0">LUCK!D39</x:f>
        <x:v>3233.75</x:v>
      </x:c>
      <x:c r="Q592" s="70" t="str">
        <x:f aca="0">IF(ABS(O592-P592)&lt;0.000001,"PASS","FAIL")</x:f>
        <x:v>PASS</x:v>
      </x:c>
      <x:c r="R592" s="70" t="s">
        <x:v>33</x:v>
      </x:c>
      <x:c r="S592" s="70"/>
    </x:row>
    <x:row r="593" ht="15" hidden="0">
      <x:c r="A593" s="70" t="s">
        <x:v>1399</x:v>
      </x:c>
      <x:c r="B593" s="70" t="s">
        <x:v>30</x:v>
      </x:c>
      <x:c r="C593" s="70" t="s">
        <x:v>102</x:v>
      </x:c>
      <x:c r="D593" s="70" t="s">
        <x:v>146</x:v>
      </x:c>
      <x:c r="E593" s="70" t="s">
        <x:v>763</x:v>
      </x:c>
      <x:c r="F593" s="70" t="s">
        <x:v>1397</x:v>
      </x:c>
      <x:c r="G593" s="70" t="s">
        <x:v>1304</x:v>
      </x:c>
      <x:c r="H593" s="70" t="s">
        <x:v>842</x:v>
      </x:c>
      <x:c r="I593" s="70" t="s">
        <x:v>833</x:v>
      </x:c>
      <x:c r="J593" s="70" t="n">
        <x:v>234</x:v>
      </x:c>
      <x:c r="K593" s="70" t="s">
        <x:v>1305</x:v>
      </x:c>
      <x:c r="L593" s="70" t="s">
        <x:v>882</x:v>
      </x:c>
      <x:c r="M593" s="70" t="s">
        <x:v>34</x:v>
      </x:c>
      <x:c r="N593" s="71" t="n">
        <x:v>3233750</x:v>
      </x:c>
      <x:c r="O593" s="72" t="n">
        <x:f aca="0">N593/1000</x:f>
        <x:v>3233.75</x:v>
      </x:c>
      <x:c r="P593" s="73" t="n">
        <x:f aca="0">LUCK!E39</x:f>
        <x:v>3233.75</x:v>
      </x:c>
      <x:c r="Q593" s="70" t="str">
        <x:f aca="0">IF(ABS(O593-P593)&lt;0.000001,"PASS","FAIL")</x:f>
        <x:v>PASS</x:v>
      </x:c>
      <x:c r="R593" s="70" t="s">
        <x:v>33</x:v>
      </x:c>
      <x:c r="S593" s="70"/>
    </x:row>
    <x:row r="594" ht="15" hidden="0">
      <x:c r="A594" s="70" t="s">
        <x:v>1400</x:v>
      </x:c>
      <x:c r="B594" s="70" t="s">
        <x:v>30</x:v>
      </x:c>
      <x:c r="C594" s="70" t="s">
        <x:v>103</x:v>
      </x:c>
      <x:c r="D594" s="70" t="s">
        <x:v>146</x:v>
      </x:c>
      <x:c r="E594" s="70" t="s">
        <x:v>763</x:v>
      </x:c>
      <x:c r="F594" s="70" t="s">
        <x:v>1401</x:v>
      </x:c>
      <x:c r="G594" s="70" t="s">
        <x:v>1307</x:v>
      </x:c>
      <x:c r="H594" s="70" t="s">
        <x:v>845</x:v>
      </x:c>
      <x:c r="I594" s="70" t="s">
        <x:v>833</x:v>
      </x:c>
      <x:c r="J594" s="70" t="n">
        <x:v>238</x:v>
      </x:c>
      <x:c r="K594" s="70" t="s">
        <x:v>1308</x:v>
      </x:c>
      <x:c r="L594" s="70" t="s">
        <x:v>882</x:v>
      </x:c>
      <x:c r="M594" s="70" t="s">
        <x:v>34</x:v>
      </x:c>
      <x:c r="N594" s="71" t="n">
        <x:v>3118386</x:v>
      </x:c>
      <x:c r="O594" s="72" t="n">
        <x:f aca="0">N594/1000</x:f>
        <x:v>3118.386</x:v>
      </x:c>
      <x:c r="P594" s="73" t="n">
        <x:f aca="0">LUCK!F39</x:f>
        <x:v>3118.386</x:v>
      </x:c>
      <x:c r="Q594" s="70" t="str">
        <x:f aca="0">IF(ABS(O594-P594)&lt;0.000001,"PASS","FAIL")</x:f>
        <x:v>PASS</x:v>
      </x:c>
      <x:c r="R594" s="70" t="s">
        <x:v>33</x:v>
      </x:c>
      <x:c r="S594" s="70"/>
    </x:row>
    <x:row r="595" ht="15" hidden="0">
      <x:c r="A595" s="70" t="s">
        <x:v>1402</x:v>
      </x:c>
      <x:c r="B595" s="70" t="s">
        <x:v>30</x:v>
      </x:c>
      <x:c r="C595" s="70" t="s">
        <x:v>104</x:v>
      </x:c>
      <x:c r="D595" s="70" t="s">
        <x:v>146</x:v>
      </x:c>
      <x:c r="E595" s="70" t="s">
        <x:v>763</x:v>
      </x:c>
      <x:c r="F595" s="70" t="s">
        <x:v>1401</x:v>
      </x:c>
      <x:c r="G595" s="70" t="s">
        <x:v>1310</x:v>
      </x:c>
      <x:c r="H595" s="70" t="s">
        <x:v>849</x:v>
      </x:c>
      <x:c r="I595" s="70" t="s">
        <x:v>833</x:v>
      </x:c>
      <x:c r="J595" s="70" t="n">
        <x:v>240</x:v>
      </x:c>
      <x:c r="K595" s="70" t="s">
        <x:v>1311</x:v>
      </x:c>
      <x:c r="L595" s="70" t="s">
        <x:v>880</x:v>
      </x:c>
      <x:c r="M595" s="70" t="s">
        <x:v>34</x:v>
      </x:c>
      <x:c r="N595" s="71" t="n">
        <x:v>2930000</x:v>
      </x:c>
      <x:c r="O595" s="72" t="n">
        <x:f aca="0">N595/1000</x:f>
        <x:v>2930</x:v>
      </x:c>
      <x:c r="P595" s="73" t="n">
        <x:f aca="0">LUCK!G39</x:f>
        <x:v>2930</x:v>
      </x:c>
      <x:c r="Q595" s="70" t="str">
        <x:f aca="0">IF(ABS(O595-P595)&lt;0.000001,"PASS","FAIL")</x:f>
        <x:v>PASS</x:v>
      </x:c>
      <x:c r="R595" s="70" t="s">
        <x:v>33</x:v>
      </x:c>
      <x:c r="S595" s="70"/>
    </x:row>
    <x:row r="596" ht="15" hidden="0">
      <x:c r="A596" s="70" t="s">
        <x:v>1403</x:v>
      </x:c>
      <x:c r="B596" s="70" t="s">
        <x:v>30</x:v>
      </x:c>
      <x:c r="C596" s="70" t="s">
        <x:v>105</x:v>
      </x:c>
      <x:c r="D596" s="70" t="s">
        <x:v>146</x:v>
      </x:c>
      <x:c r="E596" s="70" t="s">
        <x:v>763</x:v>
      </x:c>
      <x:c r="F596" s="70" t="s">
        <x:v>1401</x:v>
      </x:c>
      <x:c r="G596" s="70" t="s">
        <x:v>1310</x:v>
      </x:c>
      <x:c r="H596" s="70" t="s">
        <x:v>849</x:v>
      </x:c>
      <x:c r="I596" s="70" t="s">
        <x:v>852</x:v>
      </x:c>
      <x:c r="J596" s="70" t="n">
        <x:v>240</x:v>
      </x:c>
      <x:c r="K596" s="70" t="s">
        <x:v>1311</x:v>
      </x:c>
      <x:c r="L596" s="70" t="s">
        <x:v>880</x:v>
      </x:c>
      <x:c r="M596" s="70" t="s">
        <x:v>34</x:v>
      </x:c>
      <x:c r="N596" s="71" t="n">
        <x:v>2930000</x:v>
      </x:c>
      <x:c r="O596" s="72" t="n">
        <x:f aca="0">N596/1000</x:f>
        <x:v>2930</x:v>
      </x:c>
      <x:c r="P596" s="73" t="n">
        <x:f aca="0">LUCK!H39</x:f>
        <x:v>2930</x:v>
      </x:c>
      <x:c r="Q596" s="70" t="str">
        <x:f aca="0">IF(ABS(O596-P596)&lt;0.000001,"PASS","FAIL")</x:f>
        <x:v>PASS</x:v>
      </x:c>
      <x:c r="R596" s="70" t="s">
        <x:v>33</x:v>
      </x:c>
      <x:c r="S596" s="70"/>
    </x:row>
    <x:row r="597" ht="15" hidden="0">
      <x:c r="A597" s="70" t="s">
        <x:v>1404</x:v>
      </x:c>
      <x:c r="B597" s="70" t="s">
        <x:v>30</x:v>
      </x:c>
      <x:c r="C597" s="70" t="s">
        <x:v>717</x:v>
      </x:c>
      <x:c r="D597" s="70" t="s">
        <x:v>148</x:v>
      </x:c>
      <x:c r="E597" s="70" t="s">
        <x:v>763</x:v>
      </x:c>
      <x:c r="F597" s="70" t="s">
        <x:v>1405</x:v>
      </x:c>
      <x:c r="G597" s="70" t="s">
        <x:v>1298</x:v>
      </x:c>
      <x:c r="H597" s="70" t="s">
        <x:v>832</x:v>
      </x:c>
      <x:c r="I597" s="70" t="s">
        <x:v>833</x:v>
      </x:c>
      <x:c r="J597" s="70" t="n">
        <x:v>191</x:v>
      </x:c>
      <x:c r="K597" s="70" t="s">
        <x:v>834</x:v>
      </x:c>
      <x:c r="L597" s="70" t="s">
        <x:v>904</x:v>
      </x:c>
      <x:c r="M597" s="70" t="s">
        <x:v>34</x:v>
      </x:c>
      <x:c r="N597" s="71" t="n">
        <x:v>95950111</x:v>
      </x:c>
      <x:c r="O597" s="72" t="n">
        <x:f aca="0">N597/1000</x:f>
        <x:v>95950.111</x:v>
      </x:c>
      <x:c r="P597" s="73" t="n">
        <x:f aca="0">LUCK!C40</x:f>
        <x:v>95950.111</x:v>
      </x:c>
      <x:c r="Q597" s="70" t="str">
        <x:f aca="0">IF(ABS(O597-P597)&lt;0.000001,"PASS","FAIL")</x:f>
        <x:v>PASS</x:v>
      </x:c>
      <x:c r="R597" s="70" t="s">
        <x:v>33</x:v>
      </x:c>
      <x:c r="S597" s="70"/>
    </x:row>
    <x:row r="598" ht="15" hidden="0">
      <x:c r="A598" s="70" t="s">
        <x:v>1406</x:v>
      </x:c>
      <x:c r="B598" s="70" t="s">
        <x:v>30</x:v>
      </x:c>
      <x:c r="C598" s="70" t="s">
        <x:v>101</x:v>
      </x:c>
      <x:c r="D598" s="70" t="s">
        <x:v>148</x:v>
      </x:c>
      <x:c r="E598" s="70" t="s">
        <x:v>763</x:v>
      </x:c>
      <x:c r="F598" s="70" t="s">
        <x:v>1405</x:v>
      </x:c>
      <x:c r="G598" s="70" t="s">
        <x:v>1301</x:v>
      </x:c>
      <x:c r="H598" s="70" t="s">
        <x:v>838</x:v>
      </x:c>
      <x:c r="I598" s="70" t="s">
        <x:v>833</x:v>
      </x:c>
      <x:c r="J598" s="70" t="n">
        <x:v>226</x:v>
      </x:c>
      <x:c r="K598" s="70" t="s">
        <x:v>1302</x:v>
      </x:c>
      <x:c r="L598" s="70" t="s">
        <x:v>904</x:v>
      </x:c>
      <x:c r="M598" s="70" t="s">
        <x:v>34</x:v>
      </x:c>
      <x:c r="N598" s="71" t="n">
        <x:v>109966508</x:v>
      </x:c>
      <x:c r="O598" s="72" t="n">
        <x:f aca="0">N598/1000</x:f>
        <x:v>109966.508</x:v>
      </x:c>
      <x:c r="P598" s="73" t="n">
        <x:f aca="0">LUCK!D40</x:f>
        <x:v>109966.508</x:v>
      </x:c>
      <x:c r="Q598" s="70" t="str">
        <x:f aca="0">IF(ABS(O598-P598)&lt;0.000001,"PASS","FAIL")</x:f>
        <x:v>PASS</x:v>
      </x:c>
      <x:c r="R598" s="70" t="s">
        <x:v>33</x:v>
      </x:c>
      <x:c r="S598" s="70"/>
    </x:row>
    <x:row r="599" ht="15" hidden="0">
      <x:c r="A599" s="70" t="s">
        <x:v>1407</x:v>
      </x:c>
      <x:c r="B599" s="70" t="s">
        <x:v>30</x:v>
      </x:c>
      <x:c r="C599" s="70" t="s">
        <x:v>102</x:v>
      </x:c>
      <x:c r="D599" s="70" t="s">
        <x:v>148</x:v>
      </x:c>
      <x:c r="E599" s="70" t="s">
        <x:v>763</x:v>
      </x:c>
      <x:c r="F599" s="70" t="s">
        <x:v>1405</x:v>
      </x:c>
      <x:c r="G599" s="70" t="s">
        <x:v>1304</x:v>
      </x:c>
      <x:c r="H599" s="70" t="s">
        <x:v>842</x:v>
      </x:c>
      <x:c r="I599" s="70" t="s">
        <x:v>833</x:v>
      </x:c>
      <x:c r="J599" s="70" t="n">
        <x:v>234</x:v>
      </x:c>
      <x:c r="K599" s="70" t="s">
        <x:v>1305</x:v>
      </x:c>
      <x:c r="L599" s="70" t="s">
        <x:v>904</x:v>
      </x:c>
      <x:c r="M599" s="70" t="s">
        <x:v>34</x:v>
      </x:c>
      <x:c r="N599" s="71" t="n">
        <x:v>125306574</x:v>
      </x:c>
      <x:c r="O599" s="72" t="n">
        <x:f aca="0">N599/1000</x:f>
        <x:v>125306.574</x:v>
      </x:c>
      <x:c r="P599" s="73" t="n">
        <x:f aca="0">LUCK!E40</x:f>
        <x:v>125306.574</x:v>
      </x:c>
      <x:c r="Q599" s="70" t="str">
        <x:f aca="0">IF(ABS(O599-P599)&lt;0.000001,"PASS","FAIL")</x:f>
        <x:v>PASS</x:v>
      </x:c>
      <x:c r="R599" s="70" t="s">
        <x:v>33</x:v>
      </x:c>
      <x:c r="S599" s="70"/>
    </x:row>
    <x:row r="600" ht="15" hidden="0">
      <x:c r="A600" s="70" t="s">
        <x:v>1408</x:v>
      </x:c>
      <x:c r="B600" s="70" t="s">
        <x:v>30</x:v>
      </x:c>
      <x:c r="C600" s="70" t="s">
        <x:v>103</x:v>
      </x:c>
      <x:c r="D600" s="70" t="s">
        <x:v>148</x:v>
      </x:c>
      <x:c r="E600" s="70" t="s">
        <x:v>763</x:v>
      </x:c>
      <x:c r="F600" s="70" t="s">
        <x:v>1405</x:v>
      </x:c>
      <x:c r="G600" s="70" t="s">
        <x:v>1307</x:v>
      </x:c>
      <x:c r="H600" s="70" t="s">
        <x:v>845</x:v>
      </x:c>
      <x:c r="I600" s="70" t="s">
        <x:v>833</x:v>
      </x:c>
      <x:c r="J600" s="70" t="n">
        <x:v>238</x:v>
      </x:c>
      <x:c r="K600" s="70" t="s">
        <x:v>1308</x:v>
      </x:c>
      <x:c r="L600" s="70" t="s">
        <x:v>904</x:v>
      </x:c>
      <x:c r="M600" s="70" t="s">
        <x:v>34</x:v>
      </x:c>
      <x:c r="N600" s="71" t="n">
        <x:v>134247940</x:v>
      </x:c>
      <x:c r="O600" s="72" t="n">
        <x:f aca="0">N600/1000</x:f>
        <x:v>134247.94</x:v>
      </x:c>
      <x:c r="P600" s="73" t="n">
        <x:f aca="0">LUCK!F40</x:f>
        <x:v>134247.94</x:v>
      </x:c>
      <x:c r="Q600" s="70" t="str">
        <x:f aca="0">IF(ABS(O600-P600)&lt;0.000001,"PASS","FAIL")</x:f>
        <x:v>PASS</x:v>
      </x:c>
      <x:c r="R600" s="70" t="s">
        <x:v>33</x:v>
      </x:c>
      <x:c r="S600" s="70"/>
    </x:row>
    <x:row r="601" ht="15" hidden="0">
      <x:c r="A601" s="70" t="s">
        <x:v>1409</x:v>
      </x:c>
      <x:c r="B601" s="70" t="s">
        <x:v>30</x:v>
      </x:c>
      <x:c r="C601" s="70" t="s">
        <x:v>104</x:v>
      </x:c>
      <x:c r="D601" s="70" t="s">
        <x:v>148</x:v>
      </x:c>
      <x:c r="E601" s="70" t="s">
        <x:v>763</x:v>
      </x:c>
      <x:c r="F601" s="70" t="s">
        <x:v>1405</x:v>
      </x:c>
      <x:c r="G601" s="70" t="s">
        <x:v>1310</x:v>
      </x:c>
      <x:c r="H601" s="70" t="s">
        <x:v>849</x:v>
      </x:c>
      <x:c r="I601" s="70" t="s">
        <x:v>833</x:v>
      </x:c>
      <x:c r="J601" s="70" t="n">
        <x:v>240</x:v>
      </x:c>
      <x:c r="K601" s="70" t="s">
        <x:v>1311</x:v>
      </x:c>
      <x:c r="L601" s="70" t="s">
        <x:v>882</x:v>
      </x:c>
      <x:c r="M601" s="70" t="s">
        <x:v>34</x:v>
      </x:c>
      <x:c r="N601" s="71" t="n">
        <x:v>144831277</x:v>
      </x:c>
      <x:c r="O601" s="72" t="n">
        <x:f aca="0">N601/1000</x:f>
        <x:v>144831.277</x:v>
      </x:c>
      <x:c r="P601" s="73" t="n">
        <x:f aca="0">LUCK!G40</x:f>
        <x:v>144831.277</x:v>
      </x:c>
      <x:c r="Q601" s="70" t="str">
        <x:f aca="0">IF(ABS(O601-P601)&lt;0.000001,"PASS","FAIL")</x:f>
        <x:v>PASS</x:v>
      </x:c>
      <x:c r="R601" s="70" t="s">
        <x:v>33</x:v>
      </x:c>
      <x:c r="S601" s="70"/>
    </x:row>
    <x:row r="602" ht="15" hidden="0">
      <x:c r="A602" s="70" t="s">
        <x:v>1410</x:v>
      </x:c>
      <x:c r="B602" s="70" t="s">
        <x:v>30</x:v>
      </x:c>
      <x:c r="C602" s="70" t="s">
        <x:v>105</x:v>
      </x:c>
      <x:c r="D602" s="70" t="s">
        <x:v>148</x:v>
      </x:c>
      <x:c r="E602" s="70" t="s">
        <x:v>763</x:v>
      </x:c>
      <x:c r="F602" s="70" t="s">
        <x:v>1405</x:v>
      </x:c>
      <x:c r="G602" s="70" t="s">
        <x:v>1310</x:v>
      </x:c>
      <x:c r="H602" s="70" t="s">
        <x:v>849</x:v>
      </x:c>
      <x:c r="I602" s="70" t="s">
        <x:v>852</x:v>
      </x:c>
      <x:c r="J602" s="70" t="n">
        <x:v>240</x:v>
      </x:c>
      <x:c r="K602" s="70" t="s">
        <x:v>1311</x:v>
      </x:c>
      <x:c r="L602" s="70" t="s">
        <x:v>882</x:v>
      </x:c>
      <x:c r="M602" s="70" t="s">
        <x:v>34</x:v>
      </x:c>
      <x:c r="N602" s="71" t="n">
        <x:v>172980400</x:v>
      </x:c>
      <x:c r="O602" s="72" t="n">
        <x:f aca="0">N602/1000</x:f>
        <x:v>172980.4</x:v>
      </x:c>
      <x:c r="P602" s="73" t="n">
        <x:f aca="0">LUCK!H40</x:f>
        <x:v>172980.4</x:v>
      </x:c>
      <x:c r="Q602" s="70" t="str">
        <x:f aca="0">IF(ABS(O602-P602)&lt;0.000001,"PASS","FAIL")</x:f>
        <x:v>PASS</x:v>
      </x:c>
      <x:c r="R602" s="70" t="s">
        <x:v>33</x:v>
      </x:c>
      <x:c r="S602" s="70"/>
    </x:row>
    <x:row r="603" ht="15" hidden="0">
      <x:c r="A603" s="70" t="s">
        <x:v>1411</x:v>
      </x:c>
      <x:c r="B603" s="70" t="s">
        <x:v>30</x:v>
      </x:c>
      <x:c r="C603" s="70" t="s">
        <x:v>717</x:v>
      </x:c>
      <x:c r="D603" s="70" t="s">
        <x:v>153</x:v>
      </x:c>
      <x:c r="E603" s="70" t="s">
        <x:v>763</x:v>
      </x:c>
      <x:c r="F603" s="70" t="s">
        <x:v>1412</x:v>
      </x:c>
      <x:c r="G603" s="70" t="s">
        <x:v>1298</x:v>
      </x:c>
      <x:c r="H603" s="70" t="s">
        <x:v>832</x:v>
      </x:c>
      <x:c r="I603" s="70" t="s">
        <x:v>833</x:v>
      </x:c>
      <x:c r="J603" s="70" t="n">
        <x:v>191</x:v>
      </x:c>
      <x:c r="K603" s="70" t="s">
        <x:v>834</x:v>
      </x:c>
      <x:c r="L603" s="70" t="s">
        <x:v>1355</x:v>
      </x:c>
      <x:c r="M603" s="70" t="s">
        <x:v>34</x:v>
      </x:c>
      <x:c r="N603" s="71" t="n">
        <x:v>320461</x:v>
      </x:c>
      <x:c r="O603" s="72" t="n">
        <x:f aca="0">N603/1000</x:f>
        <x:v>320.461</x:v>
      </x:c>
      <x:c r="P603" s="73" t="n">
        <x:f aca="0">LUCK!C43</x:f>
        <x:v>320.461</x:v>
      </x:c>
      <x:c r="Q603" s="70" t="str">
        <x:f aca="0">IF(ABS(O603-P603)&lt;0.000001,"PASS","FAIL")</x:f>
        <x:v>PASS</x:v>
      </x:c>
      <x:c r="R603" s="70" t="s">
        <x:v>33</x:v>
      </x:c>
      <x:c r="S603" s="70"/>
    </x:row>
    <x:row r="604" ht="15" hidden="0">
      <x:c r="A604" s="70" t="s">
        <x:v>1413</x:v>
      </x:c>
      <x:c r="B604" s="70" t="s">
        <x:v>30</x:v>
      </x:c>
      <x:c r="C604" s="70" t="s">
        <x:v>101</x:v>
      </x:c>
      <x:c r="D604" s="70" t="s">
        <x:v>153</x:v>
      </x:c>
      <x:c r="E604" s="70" t="s">
        <x:v>763</x:v>
      </x:c>
      <x:c r="F604" s="70" t="s">
        <x:v>1412</x:v>
      </x:c>
      <x:c r="G604" s="70" t="s">
        <x:v>1301</x:v>
      </x:c>
      <x:c r="H604" s="70" t="s">
        <x:v>838</x:v>
      </x:c>
      <x:c r="I604" s="70" t="s">
        <x:v>833</x:v>
      </x:c>
      <x:c r="J604" s="70" t="n">
        <x:v>226</x:v>
      </x:c>
      <x:c r="K604" s="70" t="s">
        <x:v>1302</x:v>
      </x:c>
      <x:c r="L604" s="70" t="s">
        <x:v>1355</x:v>
      </x:c>
      <x:c r="M604" s="70" t="s">
        <x:v>34</x:v>
      </x:c>
      <x:c r="N604" s="71" t="n">
        <x:v>2934044</x:v>
      </x:c>
      <x:c r="O604" s="72" t="n">
        <x:f aca="0">N604/1000</x:f>
        <x:v>2934.044</x:v>
      </x:c>
      <x:c r="P604" s="73" t="n">
        <x:f aca="0">LUCK!D43</x:f>
        <x:v>2934.044</x:v>
      </x:c>
      <x:c r="Q604" s="70" t="str">
        <x:f aca="0">IF(ABS(O604-P604)&lt;0.000001,"PASS","FAIL")</x:f>
        <x:v>PASS</x:v>
      </x:c>
      <x:c r="R604" s="70" t="s">
        <x:v>33</x:v>
      </x:c>
      <x:c r="S604" s="70"/>
    </x:row>
    <x:row r="605" ht="15" hidden="0">
      <x:c r="A605" s="70" t="s">
        <x:v>1414</x:v>
      </x:c>
      <x:c r="B605" s="70" t="s">
        <x:v>30</x:v>
      </x:c>
      <x:c r="C605" s="70" t="s">
        <x:v>102</x:v>
      </x:c>
      <x:c r="D605" s="70" t="s">
        <x:v>153</x:v>
      </x:c>
      <x:c r="E605" s="70" t="s">
        <x:v>763</x:v>
      </x:c>
      <x:c r="F605" s="70" t="s">
        <x:v>1412</x:v>
      </x:c>
      <x:c r="G605" s="70" t="s">
        <x:v>1304</x:v>
      </x:c>
      <x:c r="H605" s="70" t="s">
        <x:v>842</x:v>
      </x:c>
      <x:c r="I605" s="70" t="s">
        <x:v>833</x:v>
      </x:c>
      <x:c r="J605" s="70" t="n">
        <x:v>234</x:v>
      </x:c>
      <x:c r="K605" s="70" t="s">
        <x:v>1305</x:v>
      </x:c>
      <x:c r="L605" s="70" t="s">
        <x:v>1355</x:v>
      </x:c>
      <x:c r="M605" s="70" t="s">
        <x:v>34</x:v>
      </x:c>
      <x:c r="N605" s="71" t="n">
        <x:v>14108446</x:v>
      </x:c>
      <x:c r="O605" s="72" t="n">
        <x:f aca="0">N605/1000</x:f>
        <x:v>14108.446</x:v>
      </x:c>
      <x:c r="P605" s="73" t="n">
        <x:f aca="0">LUCK!E43</x:f>
        <x:v>14108.446</x:v>
      </x:c>
      <x:c r="Q605" s="70" t="str">
        <x:f aca="0">IF(ABS(O605-P605)&lt;0.000001,"PASS","FAIL")</x:f>
        <x:v>PASS</x:v>
      </x:c>
      <x:c r="R605" s="70" t="s">
        <x:v>33</x:v>
      </x:c>
      <x:c r="S605" s="70"/>
    </x:row>
    <x:row r="606" ht="15" hidden="0">
      <x:c r="A606" s="70" t="s">
        <x:v>1415</x:v>
      </x:c>
      <x:c r="B606" s="70" t="s">
        <x:v>30</x:v>
      </x:c>
      <x:c r="C606" s="70" t="s">
        <x:v>103</x:v>
      </x:c>
      <x:c r="D606" s="70" t="s">
        <x:v>153</x:v>
      </x:c>
      <x:c r="E606" s="70" t="s">
        <x:v>763</x:v>
      </x:c>
      <x:c r="F606" s="70" t="s">
        <x:v>1412</x:v>
      </x:c>
      <x:c r="G606" s="70" t="s">
        <x:v>1307</x:v>
      </x:c>
      <x:c r="H606" s="70" t="s">
        <x:v>845</x:v>
      </x:c>
      <x:c r="I606" s="70" t="s">
        <x:v>833</x:v>
      </x:c>
      <x:c r="J606" s="70" t="n">
        <x:v>238</x:v>
      </x:c>
      <x:c r="K606" s="70" t="s">
        <x:v>1308</x:v>
      </x:c>
      <x:c r="L606" s="70" t="s">
        <x:v>1355</x:v>
      </x:c>
      <x:c r="M606" s="70" t="s">
        <x:v>34</x:v>
      </x:c>
      <x:c r="N606" s="71" t="n">
        <x:v>14557294</x:v>
      </x:c>
      <x:c r="O606" s="72" t="n">
        <x:f aca="0">N606/1000</x:f>
        <x:v>14557.294</x:v>
      </x:c>
      <x:c r="P606" s="73" t="n">
        <x:f aca="0">LUCK!F43</x:f>
        <x:v>14557.294</x:v>
      </x:c>
      <x:c r="Q606" s="70" t="str">
        <x:f aca="0">IF(ABS(O606-P606)&lt;0.000001,"PASS","FAIL")</x:f>
        <x:v>PASS</x:v>
      </x:c>
      <x:c r="R606" s="70" t="s">
        <x:v>33</x:v>
      </x:c>
      <x:c r="S606" s="70"/>
    </x:row>
    <x:row r="607" ht="15" hidden="0">
      <x:c r="A607" s="70" t="s">
        <x:v>1416</x:v>
      </x:c>
      <x:c r="B607" s="70" t="s">
        <x:v>30</x:v>
      </x:c>
      <x:c r="C607" s="70" t="s">
        <x:v>104</x:v>
      </x:c>
      <x:c r="D607" s="70" t="s">
        <x:v>153</x:v>
      </x:c>
      <x:c r="E607" s="70" t="s">
        <x:v>763</x:v>
      </x:c>
      <x:c r="F607" s="70" t="s">
        <x:v>1417</x:v>
      </x:c>
      <x:c r="G607" s="70" t="s">
        <x:v>1310</x:v>
      </x:c>
      <x:c r="H607" s="70" t="s">
        <x:v>849</x:v>
      </x:c>
      <x:c r="I607" s="70" t="s">
        <x:v>833</x:v>
      </x:c>
      <x:c r="J607" s="70" t="n">
        <x:v>240</x:v>
      </x:c>
      <x:c r="K607" s="70" t="s">
        <x:v>1311</x:v>
      </x:c>
      <x:c r="L607" s="70" t="s">
        <x:v>911</x:v>
      </x:c>
      <x:c r="M607" s="70" t="s">
        <x:v>34</x:v>
      </x:c>
      <x:c r="N607" s="71" t="n">
        <x:v>12760637</x:v>
      </x:c>
      <x:c r="O607" s="72" t="n">
        <x:f aca="0">N607/1000</x:f>
        <x:v>12760.637</x:v>
      </x:c>
      <x:c r="P607" s="73" t="n">
        <x:f aca="0">LUCK!G43</x:f>
        <x:v>12760.637</x:v>
      </x:c>
      <x:c r="Q607" s="70" t="str">
        <x:f aca="0">IF(ABS(O607-P607)&lt;0.000001,"PASS","FAIL")</x:f>
        <x:v>PASS</x:v>
      </x:c>
      <x:c r="R607" s="70" t="s">
        <x:v>33</x:v>
      </x:c>
      <x:c r="S607" s="70"/>
    </x:row>
    <x:row r="608" ht="15" hidden="0">
      <x:c r="A608" s="70" t="s">
        <x:v>1418</x:v>
      </x:c>
      <x:c r="B608" s="70" t="s">
        <x:v>30</x:v>
      </x:c>
      <x:c r="C608" s="70" t="s">
        <x:v>105</x:v>
      </x:c>
      <x:c r="D608" s="70" t="s">
        <x:v>153</x:v>
      </x:c>
      <x:c r="E608" s="70" t="s">
        <x:v>763</x:v>
      </x:c>
      <x:c r="F608" s="70" t="s">
        <x:v>1417</x:v>
      </x:c>
      <x:c r="G608" s="70" t="s">
        <x:v>1310</x:v>
      </x:c>
      <x:c r="H608" s="70" t="s">
        <x:v>849</x:v>
      </x:c>
      <x:c r="I608" s="70" t="s">
        <x:v>852</x:v>
      </x:c>
      <x:c r="J608" s="70" t="n">
        <x:v>240</x:v>
      </x:c>
      <x:c r="K608" s="70" t="s">
        <x:v>1311</x:v>
      </x:c>
      <x:c r="L608" s="70" t="s">
        <x:v>911</x:v>
      </x:c>
      <x:c r="M608" s="70" t="s">
        <x:v>34</x:v>
      </x:c>
      <x:c r="N608" s="71" t="n">
        <x:v>9184522</x:v>
      </x:c>
      <x:c r="O608" s="72" t="n">
        <x:f aca="0">N608/1000</x:f>
        <x:v>9184.522</x:v>
      </x:c>
      <x:c r="P608" s="73" t="n">
        <x:f aca="0">LUCK!H43</x:f>
        <x:v>9184.522</x:v>
      </x:c>
      <x:c r="Q608" s="70" t="str">
        <x:f aca="0">IF(ABS(O608-P608)&lt;0.000001,"PASS","FAIL")</x:f>
        <x:v>PASS</x:v>
      </x:c>
      <x:c r="R608" s="70" t="s">
        <x:v>33</x:v>
      </x:c>
      <x:c r="S608" s="70"/>
    </x:row>
    <x:row r="609" ht="15" hidden="0">
      <x:c r="A609" s="70" t="s">
        <x:v>1419</x:v>
      </x:c>
      <x:c r="B609" s="70" t="s">
        <x:v>30</x:v>
      </x:c>
      <x:c r="C609" s="70" t="s">
        <x:v>717</x:v>
      </x:c>
      <x:c r="D609" s="70" t="s">
        <x:v>155</x:v>
      </x:c>
      <x:c r="E609" s="70" t="s">
        <x:v>763</x:v>
      </x:c>
      <x:c r="F609" s="70"/>
      <x:c r="G609" s="70" t="s">
        <x:v>1298</x:v>
      </x:c>
      <x:c r="H609" s="70" t="s">
        <x:v>832</x:v>
      </x:c>
      <x:c r="I609" s="70" t="s">
        <x:v>833</x:v>
      </x:c>
      <x:c r="J609" s="70" t="n">
        <x:v>191</x:v>
      </x:c>
      <x:c r="K609" s="70" t="s">
        <x:v>834</x:v>
      </x:c>
      <x:c r="L609" s="70"/>
      <x:c r="M609" s="70" t="s">
        <x:v>34</x:v>
      </x:c>
      <x:c r="N609" s="71" t="n">
        <x:v>0</x:v>
      </x:c>
      <x:c r="O609" s="72" t="n">
        <x:f aca="0">N609/1000</x:f>
        <x:v>0</x:v>
      </x:c>
      <x:c r="P609" s="73" t="n">
        <x:f aca="0">LUCK!C44</x:f>
        <x:v>0</x:v>
      </x:c>
      <x:c r="Q609" s="70" t="str">
        <x:f aca="0">IF(ABS(O609-P609)&lt;0.000001,"PASS","FAIL")</x:f>
        <x:v>PASS</x:v>
      </x:c>
      <x:c r="R609" s="70" t="s">
        <x:v>33</x:v>
      </x:c>
      <x:c r="S609" s="70"/>
    </x:row>
    <x:row r="610" ht="15" hidden="0">
      <x:c r="A610" s="70" t="s">
        <x:v>1420</x:v>
      </x:c>
      <x:c r="B610" s="70" t="s">
        <x:v>30</x:v>
      </x:c>
      <x:c r="C610" s="70" t="s">
        <x:v>101</x:v>
      </x:c>
      <x:c r="D610" s="70" t="s">
        <x:v>155</x:v>
      </x:c>
      <x:c r="E610" s="70" t="s">
        <x:v>763</x:v>
      </x:c>
      <x:c r="F610" s="70"/>
      <x:c r="G610" s="70" t="s">
        <x:v>1301</x:v>
      </x:c>
      <x:c r="H610" s="70" t="s">
        <x:v>838</x:v>
      </x:c>
      <x:c r="I610" s="70" t="s">
        <x:v>833</x:v>
      </x:c>
      <x:c r="J610" s="70" t="n">
        <x:v>226</x:v>
      </x:c>
      <x:c r="K610" s="70" t="s">
        <x:v>1302</x:v>
      </x:c>
      <x:c r="L610" s="70"/>
      <x:c r="M610" s="70" t="s">
        <x:v>34</x:v>
      </x:c>
      <x:c r="N610" s="71" t="n">
        <x:v>0</x:v>
      </x:c>
      <x:c r="O610" s="72" t="n">
        <x:f aca="0">N610/1000</x:f>
        <x:v>0</x:v>
      </x:c>
      <x:c r="P610" s="73" t="n">
        <x:f aca="0">LUCK!D44</x:f>
        <x:v>0</x:v>
      </x:c>
      <x:c r="Q610" s="70" t="str">
        <x:f aca="0">IF(ABS(O610-P610)&lt;0.000001,"PASS","FAIL")</x:f>
        <x:v>PASS</x:v>
      </x:c>
      <x:c r="R610" s="70" t="s">
        <x:v>33</x:v>
      </x:c>
      <x:c r="S610" s="70"/>
    </x:row>
    <x:row r="611" ht="15" hidden="0">
      <x:c r="A611" s="70" t="s">
        <x:v>1421</x:v>
      </x:c>
      <x:c r="B611" s="70" t="s">
        <x:v>30</x:v>
      </x:c>
      <x:c r="C611" s="70" t="s">
        <x:v>102</x:v>
      </x:c>
      <x:c r="D611" s="70" t="s">
        <x:v>155</x:v>
      </x:c>
      <x:c r="E611" s="70" t="s">
        <x:v>763</x:v>
      </x:c>
      <x:c r="F611" s="70"/>
      <x:c r="G611" s="70" t="s">
        <x:v>1304</x:v>
      </x:c>
      <x:c r="H611" s="70" t="s">
        <x:v>842</x:v>
      </x:c>
      <x:c r="I611" s="70" t="s">
        <x:v>833</x:v>
      </x:c>
      <x:c r="J611" s="70" t="n">
        <x:v>234</x:v>
      </x:c>
      <x:c r="K611" s="70" t="s">
        <x:v>1305</x:v>
      </x:c>
      <x:c r="L611" s="70"/>
      <x:c r="M611" s="70" t="s">
        <x:v>34</x:v>
      </x:c>
      <x:c r="N611" s="71" t="n">
        <x:v>0</x:v>
      </x:c>
      <x:c r="O611" s="72" t="n">
        <x:f aca="0">N611/1000</x:f>
        <x:v>0</x:v>
      </x:c>
      <x:c r="P611" s="73" t="n">
        <x:f aca="0">LUCK!E44</x:f>
        <x:v>0</x:v>
      </x:c>
      <x:c r="Q611" s="70" t="str">
        <x:f aca="0">IF(ABS(O611-P611)&lt;0.000001,"PASS","FAIL")</x:f>
        <x:v>PASS</x:v>
      </x:c>
      <x:c r="R611" s="70" t="s">
        <x:v>33</x:v>
      </x:c>
      <x:c r="S611" s="70"/>
    </x:row>
    <x:row r="612" ht="15" hidden="0">
      <x:c r="A612" s="70" t="s">
        <x:v>1422</x:v>
      </x:c>
      <x:c r="B612" s="70" t="s">
        <x:v>30</x:v>
      </x:c>
      <x:c r="C612" s="70" t="s">
        <x:v>103</x:v>
      </x:c>
      <x:c r="D612" s="70" t="s">
        <x:v>155</x:v>
      </x:c>
      <x:c r="E612" s="70" t="s">
        <x:v>763</x:v>
      </x:c>
      <x:c r="F612" s="70"/>
      <x:c r="G612" s="70" t="s">
        <x:v>1307</x:v>
      </x:c>
      <x:c r="H612" s="70" t="s">
        <x:v>845</x:v>
      </x:c>
      <x:c r="I612" s="70" t="s">
        <x:v>833</x:v>
      </x:c>
      <x:c r="J612" s="70" t="n">
        <x:v>238</x:v>
      </x:c>
      <x:c r="K612" s="70" t="s">
        <x:v>1308</x:v>
      </x:c>
      <x:c r="L612" s="70"/>
      <x:c r="M612" s="70" t="s">
        <x:v>34</x:v>
      </x:c>
      <x:c r="N612" s="71" t="n">
        <x:v>0</x:v>
      </x:c>
      <x:c r="O612" s="72" t="n">
        <x:f aca="0">N612/1000</x:f>
        <x:v>0</x:v>
      </x:c>
      <x:c r="P612" s="73" t="n">
        <x:f aca="0">LUCK!F44</x:f>
        <x:v>0</x:v>
      </x:c>
      <x:c r="Q612" s="70" t="str">
        <x:f aca="0">IF(ABS(O612-P612)&lt;0.000001,"PASS","FAIL")</x:f>
        <x:v>PASS</x:v>
      </x:c>
      <x:c r="R612" s="70" t="s">
        <x:v>33</x:v>
      </x:c>
      <x:c r="S612" s="70"/>
    </x:row>
    <x:row r="613" ht="15" hidden="0">
      <x:c r="A613" s="70" t="s">
        <x:v>1423</x:v>
      </x:c>
      <x:c r="B613" s="70" t="s">
        <x:v>30</x:v>
      </x:c>
      <x:c r="C613" s="70" t="s">
        <x:v>104</x:v>
      </x:c>
      <x:c r="D613" s="70" t="s">
        <x:v>155</x:v>
      </x:c>
      <x:c r="E613" s="70" t="s">
        <x:v>763</x:v>
      </x:c>
      <x:c r="F613" s="70"/>
      <x:c r="G613" s="70" t="s">
        <x:v>1310</x:v>
      </x:c>
      <x:c r="H613" s="70" t="s">
        <x:v>849</x:v>
      </x:c>
      <x:c r="I613" s="70" t="s">
        <x:v>833</x:v>
      </x:c>
      <x:c r="J613" s="70" t="n">
        <x:v>240</x:v>
      </x:c>
      <x:c r="K613" s="70" t="s">
        <x:v>1311</x:v>
      </x:c>
      <x:c r="L613" s="70"/>
      <x:c r="M613" s="70" t="s">
        <x:v>34</x:v>
      </x:c>
      <x:c r="N613" s="71" t="n">
        <x:v>0</x:v>
      </x:c>
      <x:c r="O613" s="72" t="n">
        <x:f aca="0">N613/1000</x:f>
        <x:v>0</x:v>
      </x:c>
      <x:c r="P613" s="73" t="n">
        <x:f aca="0">LUCK!G44</x:f>
        <x:v>0</x:v>
      </x:c>
      <x:c r="Q613" s="70" t="str">
        <x:f aca="0">IF(ABS(O613-P613)&lt;0.000001,"PASS","FAIL")</x:f>
        <x:v>PASS</x:v>
      </x:c>
      <x:c r="R613" s="70" t="s">
        <x:v>33</x:v>
      </x:c>
      <x:c r="S613" s="70"/>
    </x:row>
    <x:row r="614" ht="15" hidden="0">
      <x:c r="A614" s="70" t="s">
        <x:v>1424</x:v>
      </x:c>
      <x:c r="B614" s="70" t="s">
        <x:v>30</x:v>
      </x:c>
      <x:c r="C614" s="70" t="s">
        <x:v>105</x:v>
      </x:c>
      <x:c r="D614" s="70" t="s">
        <x:v>155</x:v>
      </x:c>
      <x:c r="E614" s="70" t="s">
        <x:v>763</x:v>
      </x:c>
      <x:c r="F614" s="70"/>
      <x:c r="G614" s="70" t="s">
        <x:v>1310</x:v>
      </x:c>
      <x:c r="H614" s="70" t="s">
        <x:v>849</x:v>
      </x:c>
      <x:c r="I614" s="70" t="s">
        <x:v>852</x:v>
      </x:c>
      <x:c r="J614" s="70" t="n">
        <x:v>240</x:v>
      </x:c>
      <x:c r="K614" s="70" t="s">
        <x:v>1311</x:v>
      </x:c>
      <x:c r="L614" s="70"/>
      <x:c r="M614" s="70" t="s">
        <x:v>34</x:v>
      </x:c>
      <x:c r="N614" s="71" t="n">
        <x:v>0</x:v>
      </x:c>
      <x:c r="O614" s="72" t="n">
        <x:f aca="0">N614/1000</x:f>
        <x:v>0</x:v>
      </x:c>
      <x:c r="P614" s="73" t="n">
        <x:f aca="0">LUCK!H44</x:f>
        <x:v>0</x:v>
      </x:c>
      <x:c r="Q614" s="70" t="str">
        <x:f aca="0">IF(ABS(O614-P614)&lt;0.000001,"PASS","FAIL")</x:f>
        <x:v>PASS</x:v>
      </x:c>
      <x:c r="R614" s="70" t="s">
        <x:v>33</x:v>
      </x:c>
      <x:c r="S614" s="70"/>
    </x:row>
    <x:row r="615" ht="15" hidden="0">
      <x:c r="A615" s="70" t="s">
        <x:v>1425</x:v>
      </x:c>
      <x:c r="B615" s="70" t="s">
        <x:v>30</x:v>
      </x:c>
      <x:c r="C615" s="70" t="s">
        <x:v>717</x:v>
      </x:c>
      <x:c r="D615" s="70" t="s">
        <x:v>157</x:v>
      </x:c>
      <x:c r="E615" s="70" t="s">
        <x:v>763</x:v>
      </x:c>
      <x:c r="F615" s="70" t="s">
        <x:v>1426</x:v>
      </x:c>
      <x:c r="G615" s="70" t="s">
        <x:v>1298</x:v>
      </x:c>
      <x:c r="H615" s="70" t="s">
        <x:v>832</x:v>
      </x:c>
      <x:c r="I615" s="70" t="s">
        <x:v>833</x:v>
      </x:c>
      <x:c r="J615" s="70" t="n">
        <x:v>191</x:v>
      </x:c>
      <x:c r="K615" s="70" t="s">
        <x:v>834</x:v>
      </x:c>
      <x:c r="L615" s="70" t="s">
        <x:v>927</x:v>
      </x:c>
      <x:c r="M615" s="70" t="s">
        <x:v>34</x:v>
      </x:c>
      <x:c r="N615" s="71" t="n">
        <x:v>59720</x:v>
      </x:c>
      <x:c r="O615" s="72" t="n">
        <x:f aca="0">N615/1000</x:f>
        <x:v>59.72</x:v>
      </x:c>
      <x:c r="P615" s="73" t="n">
        <x:f aca="0">LUCK!C45</x:f>
        <x:v>59.72</x:v>
      </x:c>
      <x:c r="Q615" s="70" t="str">
        <x:f aca="0">IF(ABS(O615-P615)&lt;0.000001,"PASS","FAIL")</x:f>
        <x:v>PASS</x:v>
      </x:c>
      <x:c r="R615" s="70" t="s">
        <x:v>33</x:v>
      </x:c>
      <x:c r="S615" s="70"/>
    </x:row>
    <x:row r="616" ht="15" hidden="0">
      <x:c r="A616" s="70" t="s">
        <x:v>1427</x:v>
      </x:c>
      <x:c r="B616" s="70" t="s">
        <x:v>30</x:v>
      </x:c>
      <x:c r="C616" s="70" t="s">
        <x:v>101</x:v>
      </x:c>
      <x:c r="D616" s="70" t="s">
        <x:v>157</x:v>
      </x:c>
      <x:c r="E616" s="70" t="s">
        <x:v>763</x:v>
      </x:c>
      <x:c r="F616" s="70" t="s">
        <x:v>1426</x:v>
      </x:c>
      <x:c r="G616" s="70" t="s">
        <x:v>1301</x:v>
      </x:c>
      <x:c r="H616" s="70" t="s">
        <x:v>838</x:v>
      </x:c>
      <x:c r="I616" s="70" t="s">
        <x:v>833</x:v>
      </x:c>
      <x:c r="J616" s="70" t="n">
        <x:v>226</x:v>
      </x:c>
      <x:c r="K616" s="70" t="s">
        <x:v>1302</x:v>
      </x:c>
      <x:c r="L616" s="70" t="s">
        <x:v>927</x:v>
      </x:c>
      <x:c r="M616" s="70" t="s">
        <x:v>34</x:v>
      </x:c>
      <x:c r="N616" s="71" t="n">
        <x:v>1107940</x:v>
      </x:c>
      <x:c r="O616" s="72" t="n">
        <x:f aca="0">N616/1000</x:f>
        <x:v>1107.94</x:v>
      </x:c>
      <x:c r="P616" s="73" t="n">
        <x:f aca="0">LUCK!D45</x:f>
        <x:v>1107.94</x:v>
      </x:c>
      <x:c r="Q616" s="70" t="str">
        <x:f aca="0">IF(ABS(O616-P616)&lt;0.000001,"PASS","FAIL")</x:f>
        <x:v>PASS</x:v>
      </x:c>
      <x:c r="R616" s="70" t="s">
        <x:v>33</x:v>
      </x:c>
      <x:c r="S616" s="70"/>
    </x:row>
    <x:row r="617" ht="15" hidden="0">
      <x:c r="A617" s="70" t="s">
        <x:v>1428</x:v>
      </x:c>
      <x:c r="B617" s="70" t="s">
        <x:v>30</x:v>
      </x:c>
      <x:c r="C617" s="70" t="s">
        <x:v>102</x:v>
      </x:c>
      <x:c r="D617" s="70" t="s">
        <x:v>157</x:v>
      </x:c>
      <x:c r="E617" s="70" t="s">
        <x:v>763</x:v>
      </x:c>
      <x:c r="F617" s="70" t="s">
        <x:v>1426</x:v>
      </x:c>
      <x:c r="G617" s="70" t="s">
        <x:v>1304</x:v>
      </x:c>
      <x:c r="H617" s="70" t="s">
        <x:v>842</x:v>
      </x:c>
      <x:c r="I617" s="70" t="s">
        <x:v>833</x:v>
      </x:c>
      <x:c r="J617" s="70" t="n">
        <x:v>234</x:v>
      </x:c>
      <x:c r="K617" s="70" t="s">
        <x:v>1305</x:v>
      </x:c>
      <x:c r="L617" s="70" t="s">
        <x:v>927</x:v>
      </x:c>
      <x:c r="M617" s="70" t="s">
        <x:v>34</x:v>
      </x:c>
      <x:c r="N617" s="71" t="n">
        <x:v>2164455</x:v>
      </x:c>
      <x:c r="O617" s="72" t="n">
        <x:f aca="0">N617/1000</x:f>
        <x:v>2164.455</x:v>
      </x:c>
      <x:c r="P617" s="73" t="n">
        <x:f aca="0">LUCK!E45</x:f>
        <x:v>2164.455</x:v>
      </x:c>
      <x:c r="Q617" s="70" t="str">
        <x:f aca="0">IF(ABS(O617-P617)&lt;0.000001,"PASS","FAIL")</x:f>
        <x:v>PASS</x:v>
      </x:c>
      <x:c r="R617" s="70" t="s">
        <x:v>33</x:v>
      </x:c>
      <x:c r="S617" s="70"/>
    </x:row>
    <x:row r="618" ht="15" hidden="0">
      <x:c r="A618" s="70" t="s">
        <x:v>1429</x:v>
      </x:c>
      <x:c r="B618" s="70" t="s">
        <x:v>30</x:v>
      </x:c>
      <x:c r="C618" s="70" t="s">
        <x:v>103</x:v>
      </x:c>
      <x:c r="D618" s="70" t="s">
        <x:v>157</x:v>
      </x:c>
      <x:c r="E618" s="70" t="s">
        <x:v>763</x:v>
      </x:c>
      <x:c r="F618" s="70" t="s">
        <x:v>1426</x:v>
      </x:c>
      <x:c r="G618" s="70" t="s">
        <x:v>1307</x:v>
      </x:c>
      <x:c r="H618" s="70" t="s">
        <x:v>845</x:v>
      </x:c>
      <x:c r="I618" s="70" t="s">
        <x:v>833</x:v>
      </x:c>
      <x:c r="J618" s="70" t="n">
        <x:v>238</x:v>
      </x:c>
      <x:c r="K618" s="70" t="s">
        <x:v>1308</x:v>
      </x:c>
      <x:c r="L618" s="70" t="s">
        <x:v>927</x:v>
      </x:c>
      <x:c r="M618" s="70" t="s">
        <x:v>34</x:v>
      </x:c>
      <x:c r="N618" s="71" t="n">
        <x:v>2121307</x:v>
      </x:c>
      <x:c r="O618" s="72" t="n">
        <x:f aca="0">N618/1000</x:f>
        <x:v>2121.307</x:v>
      </x:c>
      <x:c r="P618" s="73" t="n">
        <x:f aca="0">LUCK!F45</x:f>
        <x:v>2121.307</x:v>
      </x:c>
      <x:c r="Q618" s="70" t="str">
        <x:f aca="0">IF(ABS(O618-P618)&lt;0.000001,"PASS","FAIL")</x:f>
        <x:v>PASS</x:v>
      </x:c>
      <x:c r="R618" s="70" t="s">
        <x:v>33</x:v>
      </x:c>
      <x:c r="S618" s="70"/>
    </x:row>
    <x:row r="619" ht="15" hidden="0">
      <x:c r="A619" s="70" t="s">
        <x:v>1430</x:v>
      </x:c>
      <x:c r="B619" s="70" t="s">
        <x:v>30</x:v>
      </x:c>
      <x:c r="C619" s="70" t="s">
        <x:v>104</x:v>
      </x:c>
      <x:c r="D619" s="70" t="s">
        <x:v>157</x:v>
      </x:c>
      <x:c r="E619" s="70" t="s">
        <x:v>763</x:v>
      </x:c>
      <x:c r="F619" s="70" t="s">
        <x:v>1426</x:v>
      </x:c>
      <x:c r="G619" s="70" t="s">
        <x:v>1310</x:v>
      </x:c>
      <x:c r="H619" s="70" t="s">
        <x:v>849</x:v>
      </x:c>
      <x:c r="I619" s="70" t="s">
        <x:v>833</x:v>
      </x:c>
      <x:c r="J619" s="70" t="n">
        <x:v>240</x:v>
      </x:c>
      <x:c r="K619" s="70" t="s">
        <x:v>1311</x:v>
      </x:c>
      <x:c r="L619" s="70" t="s">
        <x:v>919</x:v>
      </x:c>
      <x:c r="M619" s="70" t="s">
        <x:v>34</x:v>
      </x:c>
      <x:c r="N619" s="71" t="n">
        <x:v>1766055</x:v>
      </x:c>
      <x:c r="O619" s="72" t="n">
        <x:f aca="0">N619/1000</x:f>
        <x:v>1766.055</x:v>
      </x:c>
      <x:c r="P619" s="73" t="n">
        <x:f aca="0">LUCK!G45</x:f>
        <x:v>1766.055</x:v>
      </x:c>
      <x:c r="Q619" s="70" t="str">
        <x:f aca="0">IF(ABS(O619-P619)&lt;0.000001,"PASS","FAIL")</x:f>
        <x:v>PASS</x:v>
      </x:c>
      <x:c r="R619" s="70" t="s">
        <x:v>33</x:v>
      </x:c>
      <x:c r="S619" s="70"/>
    </x:row>
    <x:row r="620" ht="15" hidden="0">
      <x:c r="A620" s="70" t="s">
        <x:v>1431</x:v>
      </x:c>
      <x:c r="B620" s="70" t="s">
        <x:v>30</x:v>
      </x:c>
      <x:c r="C620" s="70" t="s">
        <x:v>105</x:v>
      </x:c>
      <x:c r="D620" s="70" t="s">
        <x:v>157</x:v>
      </x:c>
      <x:c r="E620" s="70" t="s">
        <x:v>763</x:v>
      </x:c>
      <x:c r="F620" s="70" t="s">
        <x:v>1426</x:v>
      </x:c>
      <x:c r="G620" s="70" t="s">
        <x:v>1310</x:v>
      </x:c>
      <x:c r="H620" s="70" t="s">
        <x:v>849</x:v>
      </x:c>
      <x:c r="I620" s="70" t="s">
        <x:v>852</x:v>
      </x:c>
      <x:c r="J620" s="70" t="n">
        <x:v>240</x:v>
      </x:c>
      <x:c r="K620" s="70" t="s">
        <x:v>1311</x:v>
      </x:c>
      <x:c r="L620" s="70" t="s">
        <x:v>919</x:v>
      </x:c>
      <x:c r="M620" s="70" t="s">
        <x:v>34</x:v>
      </x:c>
      <x:c r="N620" s="71" t="n">
        <x:v>1382651</x:v>
      </x:c>
      <x:c r="O620" s="72" t="n">
        <x:f aca="0">N620/1000</x:f>
        <x:v>1382.651</x:v>
      </x:c>
      <x:c r="P620" s="73" t="n">
        <x:f aca="0">LUCK!H45</x:f>
        <x:v>1382.651</x:v>
      </x:c>
      <x:c r="Q620" s="70" t="str">
        <x:f aca="0">IF(ABS(O620-P620)&lt;0.000001,"PASS","FAIL")</x:f>
        <x:v>PASS</x:v>
      </x:c>
      <x:c r="R620" s="70" t="s">
        <x:v>33</x:v>
      </x:c>
      <x:c r="S620" s="70"/>
    </x:row>
    <x:row r="621" ht="15" hidden="0">
      <x:c r="A621" s="70" t="s">
        <x:v>1432</x:v>
      </x:c>
      <x:c r="B621" s="70" t="s">
        <x:v>30</x:v>
      </x:c>
      <x:c r="C621" s="70" t="s">
        <x:v>717</x:v>
      </x:c>
      <x:c r="D621" s="70" t="s">
        <x:v>159</x:v>
      </x:c>
      <x:c r="E621" s="70" t="s">
        <x:v>763</x:v>
      </x:c>
      <x:c r="F621" s="70" t="s">
        <x:v>1433</x:v>
      </x:c>
      <x:c r="G621" s="70" t="s">
        <x:v>1298</x:v>
      </x:c>
      <x:c r="H621" s="70" t="s">
        <x:v>832</x:v>
      </x:c>
      <x:c r="I621" s="70" t="s">
        <x:v>833</x:v>
      </x:c>
      <x:c r="J621" s="70" t="n">
        <x:v>191</x:v>
      </x:c>
      <x:c r="K621" s="70" t="s">
        <x:v>834</x:v>
      </x:c>
      <x:c r="L621" s="70"/>
      <x:c r="M621" s="70" t="s">
        <x:v>34</x:v>
      </x:c>
      <x:c r="N621" s="71" t="n">
        <x:v>5167161</x:v>
      </x:c>
      <x:c r="O621" s="72" t="n">
        <x:f aca="0">N621/1000</x:f>
        <x:v>5167.161</x:v>
      </x:c>
      <x:c r="P621" s="73" t="n">
        <x:f aca="0">LUCK!C46</x:f>
        <x:v>5167.161</x:v>
      </x:c>
      <x:c r="Q621" s="70" t="str">
        <x:f aca="0">IF(ABS(O621-P621)&lt;0.000001,"PASS","FAIL")</x:f>
        <x:v>PASS</x:v>
      </x:c>
      <x:c r="R621" s="70" t="s">
        <x:v>33</x:v>
      </x:c>
      <x:c r="S621" s="70"/>
    </x:row>
    <x:row r="622" ht="15" hidden="0">
      <x:c r="A622" s="70" t="s">
        <x:v>1434</x:v>
      </x:c>
      <x:c r="B622" s="70" t="s">
        <x:v>30</x:v>
      </x:c>
      <x:c r="C622" s="70" t="s">
        <x:v>101</x:v>
      </x:c>
      <x:c r="D622" s="70" t="s">
        <x:v>159</x:v>
      </x:c>
      <x:c r="E622" s="70" t="s">
        <x:v>763</x:v>
      </x:c>
      <x:c r="F622" s="70" t="s">
        <x:v>1433</x:v>
      </x:c>
      <x:c r="G622" s="70" t="s">
        <x:v>1301</x:v>
      </x:c>
      <x:c r="H622" s="70" t="s">
        <x:v>838</x:v>
      </x:c>
      <x:c r="I622" s="70" t="s">
        <x:v>833</x:v>
      </x:c>
      <x:c r="J622" s="70" t="n">
        <x:v>226</x:v>
      </x:c>
      <x:c r="K622" s="70" t="s">
        <x:v>1302</x:v>
      </x:c>
      <x:c r="L622" s="70"/>
      <x:c r="M622" s="70" t="s">
        <x:v>34</x:v>
      </x:c>
      <x:c r="N622" s="71" t="n">
        <x:v>6157224</x:v>
      </x:c>
      <x:c r="O622" s="72" t="n">
        <x:f aca="0">N622/1000</x:f>
        <x:v>6157.224</x:v>
      </x:c>
      <x:c r="P622" s="73" t="n">
        <x:f aca="0">LUCK!D46</x:f>
        <x:v>6157.224</x:v>
      </x:c>
      <x:c r="Q622" s="70" t="str">
        <x:f aca="0">IF(ABS(O622-P622)&lt;0.000001,"PASS","FAIL")</x:f>
        <x:v>PASS</x:v>
      </x:c>
      <x:c r="R622" s="70" t="s">
        <x:v>33</x:v>
      </x:c>
      <x:c r="S622" s="70"/>
    </x:row>
    <x:row r="623" ht="15" hidden="0">
      <x:c r="A623" s="70" t="s">
        <x:v>1435</x:v>
      </x:c>
      <x:c r="B623" s="70" t="s">
        <x:v>30</x:v>
      </x:c>
      <x:c r="C623" s="70" t="s">
        <x:v>102</x:v>
      </x:c>
      <x:c r="D623" s="70" t="s">
        <x:v>159</x:v>
      </x:c>
      <x:c r="E623" s="70" t="s">
        <x:v>763</x:v>
      </x:c>
      <x:c r="F623" s="70" t="s">
        <x:v>1433</x:v>
      </x:c>
      <x:c r="G623" s="70" t="s">
        <x:v>1304</x:v>
      </x:c>
      <x:c r="H623" s="70" t="s">
        <x:v>842</x:v>
      </x:c>
      <x:c r="I623" s="70" t="s">
        <x:v>833</x:v>
      </x:c>
      <x:c r="J623" s="70" t="n">
        <x:v>234</x:v>
      </x:c>
      <x:c r="K623" s="70" t="s">
        <x:v>1305</x:v>
      </x:c>
      <x:c r="L623" s="70"/>
      <x:c r="M623" s="70" t="s">
        <x:v>34</x:v>
      </x:c>
      <x:c r="N623" s="71" t="n">
        <x:v>6941172</x:v>
      </x:c>
      <x:c r="O623" s="72" t="n">
        <x:f aca="0">N623/1000</x:f>
        <x:v>6941.172</x:v>
      </x:c>
      <x:c r="P623" s="73" t="n">
        <x:f aca="0">LUCK!E46</x:f>
        <x:v>6941.172</x:v>
      </x:c>
      <x:c r="Q623" s="70" t="str">
        <x:f aca="0">IF(ABS(O623-P623)&lt;0.000001,"PASS","FAIL")</x:f>
        <x:v>PASS</x:v>
      </x:c>
      <x:c r="R623" s="70" t="s">
        <x:v>33</x:v>
      </x:c>
      <x:c r="S623" s="70"/>
    </x:row>
    <x:row r="624" ht="15" hidden="0">
      <x:c r="A624" s="70" t="s">
        <x:v>1436</x:v>
      </x:c>
      <x:c r="B624" s="70" t="s">
        <x:v>30</x:v>
      </x:c>
      <x:c r="C624" s="70" t="s">
        <x:v>103</x:v>
      </x:c>
      <x:c r="D624" s="70" t="s">
        <x:v>159</x:v>
      </x:c>
      <x:c r="E624" s="70" t="s">
        <x:v>763</x:v>
      </x:c>
      <x:c r="F624" s="70" t="s">
        <x:v>1433</x:v>
      </x:c>
      <x:c r="G624" s="70" t="s">
        <x:v>1307</x:v>
      </x:c>
      <x:c r="H624" s="70" t="s">
        <x:v>845</x:v>
      </x:c>
      <x:c r="I624" s="70" t="s">
        <x:v>833</x:v>
      </x:c>
      <x:c r="J624" s="70" t="n">
        <x:v>238</x:v>
      </x:c>
      <x:c r="K624" s="70" t="s">
        <x:v>1308</x:v>
      </x:c>
      <x:c r="L624" s="70"/>
      <x:c r="M624" s="70" t="s">
        <x:v>34</x:v>
      </x:c>
      <x:c r="N624" s="71" t="n">
        <x:v>10025499</x:v>
      </x:c>
      <x:c r="O624" s="72" t="n">
        <x:f aca="0">N624/1000</x:f>
        <x:v>10025.499</x:v>
      </x:c>
      <x:c r="P624" s="73" t="n">
        <x:f aca="0">LUCK!F46</x:f>
        <x:v>10025.499</x:v>
      </x:c>
      <x:c r="Q624" s="70" t="str">
        <x:f aca="0">IF(ABS(O624-P624)&lt;0.000001,"PASS","FAIL")</x:f>
        <x:v>PASS</x:v>
      </x:c>
      <x:c r="R624" s="70" t="s">
        <x:v>33</x:v>
      </x:c>
      <x:c r="S624" s="70"/>
    </x:row>
    <x:row r="625" ht="15" hidden="0">
      <x:c r="A625" s="70" t="s">
        <x:v>1437</x:v>
      </x:c>
      <x:c r="B625" s="70" t="s">
        <x:v>30</x:v>
      </x:c>
      <x:c r="C625" s="70" t="s">
        <x:v>104</x:v>
      </x:c>
      <x:c r="D625" s="70" t="s">
        <x:v>159</x:v>
      </x:c>
      <x:c r="E625" s="70" t="s">
        <x:v>763</x:v>
      </x:c>
      <x:c r="F625" s="70"/>
      <x:c r="G625" s="70" t="s">
        <x:v>1310</x:v>
      </x:c>
      <x:c r="H625" s="70" t="s">
        <x:v>849</x:v>
      </x:c>
      <x:c r="I625" s="70" t="s">
        <x:v>833</x:v>
      </x:c>
      <x:c r="J625" s="70" t="n">
        <x:v>240</x:v>
      </x:c>
      <x:c r="K625" s="70" t="s">
        <x:v>1311</x:v>
      </x:c>
      <x:c r="L625" s="70"/>
      <x:c r="M625" s="70" t="s">
        <x:v>34</x:v>
      </x:c>
      <x:c r="N625" s="71" t="n">
        <x:v>0</x:v>
      </x:c>
      <x:c r="O625" s="72" t="n">
        <x:f aca="0">N625/1000</x:f>
        <x:v>0</x:v>
      </x:c>
      <x:c r="P625" s="73" t="n">
        <x:f aca="0">LUCK!G46</x:f>
        <x:v>0</x:v>
      </x:c>
      <x:c r="Q625" s="70" t="str">
        <x:f aca="0">IF(ABS(O625-P625)&lt;0.000001,"PASS","FAIL")</x:f>
        <x:v>PASS</x:v>
      </x:c>
      <x:c r="R625" s="70" t="s">
        <x:v>33</x:v>
      </x:c>
      <x:c r="S625" s="70" t="s">
        <x:v>839</x:v>
      </x:c>
    </x:row>
    <x:row r="626" ht="15" hidden="0">
      <x:c r="A626" s="70" t="s">
        <x:v>1438</x:v>
      </x:c>
      <x:c r="B626" s="70" t="s">
        <x:v>30</x:v>
      </x:c>
      <x:c r="C626" s="70" t="s">
        <x:v>105</x:v>
      </x:c>
      <x:c r="D626" s="70" t="s">
        <x:v>159</x:v>
      </x:c>
      <x:c r="E626" s="70" t="s">
        <x:v>763</x:v>
      </x:c>
      <x:c r="F626" s="70"/>
      <x:c r="G626" s="70" t="s">
        <x:v>1310</x:v>
      </x:c>
      <x:c r="H626" s="70" t="s">
        <x:v>849</x:v>
      </x:c>
      <x:c r="I626" s="70" t="s">
        <x:v>852</x:v>
      </x:c>
      <x:c r="J626" s="70" t="n">
        <x:v>240</x:v>
      </x:c>
      <x:c r="K626" s="70" t="s">
        <x:v>1311</x:v>
      </x:c>
      <x:c r="L626" s="70"/>
      <x:c r="M626" s="70" t="s">
        <x:v>34</x:v>
      </x:c>
      <x:c r="N626" s="71" t="n">
        <x:v>0</x:v>
      </x:c>
      <x:c r="O626" s="72" t="n">
        <x:f aca="0">N626/1000</x:f>
        <x:v>0</x:v>
      </x:c>
      <x:c r="P626" s="73" t="n">
        <x:f aca="0">LUCK!H46</x:f>
        <x:v>0</x:v>
      </x:c>
      <x:c r="Q626" s="70" t="str">
        <x:f aca="0">IF(ABS(O626-P626)&lt;0.000001,"PASS","FAIL")</x:f>
        <x:v>PASS</x:v>
      </x:c>
      <x:c r="R626" s="70" t="s">
        <x:v>33</x:v>
      </x:c>
      <x:c r="S626" s="70"/>
    </x:row>
    <x:row r="627" ht="15" hidden="0">
      <x:c r="A627" s="70" t="s">
        <x:v>1439</x:v>
      </x:c>
      <x:c r="B627" s="70" t="s">
        <x:v>30</x:v>
      </x:c>
      <x:c r="C627" s="70" t="s">
        <x:v>717</x:v>
      </x:c>
      <x:c r="D627" s="70" t="s">
        <x:v>161</x:v>
      </x:c>
      <x:c r="E627" s="70" t="s">
        <x:v>763</x:v>
      </x:c>
      <x:c r="F627" s="70" t="s">
        <x:v>1440</x:v>
      </x:c>
      <x:c r="G627" s="70" t="s">
        <x:v>1298</x:v>
      </x:c>
      <x:c r="H627" s="70" t="s">
        <x:v>832</x:v>
      </x:c>
      <x:c r="I627" s="70" t="s">
        <x:v>833</x:v>
      </x:c>
      <x:c r="J627" s="70" t="n">
        <x:v>191</x:v>
      </x:c>
      <x:c r="K627" s="70" t="s">
        <x:v>834</x:v>
      </x:c>
      <x:c r="L627" s="70"/>
      <x:c r="M627" s="70" t="s">
        <x:v>34</x:v>
      </x:c>
      <x:c r="N627" s="71" t="n">
        <x:v>2181519</x:v>
      </x:c>
      <x:c r="O627" s="72" t="n">
        <x:f aca="0">N627/1000</x:f>
        <x:v>2181.519</x:v>
      </x:c>
      <x:c r="P627" s="73" t="n">
        <x:f aca="0">LUCK!C47</x:f>
        <x:v>2181.519</x:v>
      </x:c>
      <x:c r="Q627" s="70" t="str">
        <x:f aca="0">IF(ABS(O627-P627)&lt;0.000001,"PASS","FAIL")</x:f>
        <x:v>PASS</x:v>
      </x:c>
      <x:c r="R627" s="70" t="s">
        <x:v>33</x:v>
      </x:c>
      <x:c r="S627" s="70" t="str">
        <x:v>Removed the 400-thousand balancing plug; official component/subtotal conflict disclosed.</x:v>
      </x:c>
    </x:row>
    <x:row r="628" ht="15" hidden="0">
      <x:c r="A628" s="70" t="s">
        <x:v>1441</x:v>
      </x:c>
      <x:c r="B628" s="70" t="s">
        <x:v>30</x:v>
      </x:c>
      <x:c r="C628" s="70" t="s">
        <x:v>101</x:v>
      </x:c>
      <x:c r="D628" s="70" t="s">
        <x:v>161</x:v>
      </x:c>
      <x:c r="E628" s="70" t="s">
        <x:v>763</x:v>
      </x:c>
      <x:c r="F628" s="70" t="s">
        <x:v>1442</x:v>
      </x:c>
      <x:c r="G628" s="70" t="s">
        <x:v>1301</x:v>
      </x:c>
      <x:c r="H628" s="70" t="s">
        <x:v>838</x:v>
      </x:c>
      <x:c r="I628" s="70" t="s">
        <x:v>833</x:v>
      </x:c>
      <x:c r="J628" s="70" t="n">
        <x:v>226</x:v>
      </x:c>
      <x:c r="K628" s="70" t="s">
        <x:v>1302</x:v>
      </x:c>
      <x:c r="L628" s="70"/>
      <x:c r="M628" s="70" t="s">
        <x:v>34</x:v>
      </x:c>
      <x:c r="N628" s="71" t="n">
        <x:v>2581530</x:v>
      </x:c>
      <x:c r="O628" s="72" t="n">
        <x:f aca="0">N628/1000</x:f>
        <x:v>2581.53</x:v>
      </x:c>
      <x:c r="P628" s="73" t="n">
        <x:f aca="0">LUCK!D47</x:f>
        <x:v>2581.53</x:v>
      </x:c>
      <x:c r="Q628" s="70" t="str">
        <x:f aca="0">IF(ABS(O628-P628)&lt;0.000001,"PASS","FAIL")</x:f>
        <x:v>PASS</x:v>
      </x:c>
      <x:c r="R628" s="70" t="s">
        <x:v>33</x:v>
      </x:c>
      <x:c r="S628" s="70"/>
    </x:row>
    <x:row r="629" ht="15" hidden="0">
      <x:c r="A629" s="70" t="s">
        <x:v>1443</x:v>
      </x:c>
      <x:c r="B629" s="70" t="s">
        <x:v>30</x:v>
      </x:c>
      <x:c r="C629" s="70" t="s">
        <x:v>102</x:v>
      </x:c>
      <x:c r="D629" s="70" t="s">
        <x:v>161</x:v>
      </x:c>
      <x:c r="E629" s="70" t="s">
        <x:v>763</x:v>
      </x:c>
      <x:c r="F629" s="70" t="s">
        <x:v>1442</x:v>
      </x:c>
      <x:c r="G629" s="70" t="s">
        <x:v>1304</x:v>
      </x:c>
      <x:c r="H629" s="70" t="s">
        <x:v>842</x:v>
      </x:c>
      <x:c r="I629" s="70" t="s">
        <x:v>833</x:v>
      </x:c>
      <x:c r="J629" s="70" t="n">
        <x:v>234</x:v>
      </x:c>
      <x:c r="K629" s="70" t="s">
        <x:v>1305</x:v>
      </x:c>
      <x:c r="L629" s="70"/>
      <x:c r="M629" s="70" t="s">
        <x:v>34</x:v>
      </x:c>
      <x:c r="N629" s="71" t="n">
        <x:v>2846613</x:v>
      </x:c>
      <x:c r="O629" s="72" t="n">
        <x:f aca="0">N629/1000</x:f>
        <x:v>2846.613</x:v>
      </x:c>
      <x:c r="P629" s="73" t="n">
        <x:f aca="0">LUCK!E47</x:f>
        <x:v>2846.613</x:v>
      </x:c>
      <x:c r="Q629" s="70" t="str">
        <x:f aca="0">IF(ABS(O629-P629)&lt;0.000001,"PASS","FAIL")</x:f>
        <x:v>PASS</x:v>
      </x:c>
      <x:c r="R629" s="70" t="s">
        <x:v>33</x:v>
      </x:c>
      <x:c r="S629" s="70"/>
    </x:row>
    <x:row r="630" ht="15" hidden="0">
      <x:c r="A630" s="70" t="s">
        <x:v>1444</x:v>
      </x:c>
      <x:c r="B630" s="70" t="s">
        <x:v>30</x:v>
      </x:c>
      <x:c r="C630" s="70" t="s">
        <x:v>103</x:v>
      </x:c>
      <x:c r="D630" s="70" t="s">
        <x:v>161</x:v>
      </x:c>
      <x:c r="E630" s="70" t="s">
        <x:v>763</x:v>
      </x:c>
      <x:c r="F630" s="70" t="s">
        <x:v>1445</x:v>
      </x:c>
      <x:c r="G630" s="70" t="s">
        <x:v>1307</x:v>
      </x:c>
      <x:c r="H630" s="70" t="s">
        <x:v>845</x:v>
      </x:c>
      <x:c r="I630" s="70" t="s">
        <x:v>833</x:v>
      </x:c>
      <x:c r="J630" s="70" t="n">
        <x:v>238</x:v>
      </x:c>
      <x:c r="K630" s="70" t="s">
        <x:v>1308</x:v>
      </x:c>
      <x:c r="L630" s="70"/>
      <x:c r="M630" s="70" t="s">
        <x:v>34</x:v>
      </x:c>
      <x:c r="N630" s="71" t="n">
        <x:v>2827762</x:v>
      </x:c>
      <x:c r="O630" s="72" t="n">
        <x:f aca="0">N630/1000</x:f>
        <x:v>2827.762</x:v>
      </x:c>
      <x:c r="P630" s="73" t="n">
        <x:f aca="0">LUCK!F47</x:f>
        <x:v>2827.762</x:v>
      </x:c>
      <x:c r="Q630" s="70" t="str">
        <x:f aca="0">IF(ABS(O630-P630)&lt;0.000001,"PASS","FAIL")</x:f>
        <x:v>PASS</x:v>
      </x:c>
      <x:c r="R630" s="70" t="s">
        <x:v>33</x:v>
      </x:c>
      <x:c r="S630" s="70"/>
    </x:row>
    <x:row r="631" ht="15" hidden="0">
      <x:c r="A631" s="70" t="s">
        <x:v>1446</x:v>
      </x:c>
      <x:c r="B631" s="70" t="s">
        <x:v>30</x:v>
      </x:c>
      <x:c r="C631" s="70" t="s">
        <x:v>104</x:v>
      </x:c>
      <x:c r="D631" s="70" t="s">
        <x:v>161</x:v>
      </x:c>
      <x:c r="E631" s="70" t="s">
        <x:v>763</x:v>
      </x:c>
      <x:c r="F631" s="70" t="s">
        <x:v>1447</x:v>
      </x:c>
      <x:c r="G631" s="70" t="s">
        <x:v>1310</x:v>
      </x:c>
      <x:c r="H631" s="70" t="s">
        <x:v>849</x:v>
      </x:c>
      <x:c r="I631" s="70" t="s">
        <x:v>833</x:v>
      </x:c>
      <x:c r="J631" s="70" t="n">
        <x:v>240</x:v>
      </x:c>
      <x:c r="K631" s="70" t="s">
        <x:v>1311</x:v>
      </x:c>
      <x:c r="L631" s="70" t="s">
        <x:v>927</x:v>
      </x:c>
      <x:c r="M631" s="70" t="s">
        <x:v>34</x:v>
      </x:c>
      <x:c r="N631" s="71" t="n">
        <x:v>17541648</x:v>
      </x:c>
      <x:c r="O631" s="72" t="n">
        <x:f aca="0">N631/1000</x:f>
        <x:v>17541.648</x:v>
      </x:c>
      <x:c r="P631" s="73" t="n">
        <x:f aca="0">LUCK!G47</x:f>
        <x:v>17541.648</x:v>
      </x:c>
      <x:c r="Q631" s="70" t="str">
        <x:f aca="0">IF(ABS(O631-P631)&lt;0.000001,"PASS","FAIL")</x:f>
        <x:v>PASS</x:v>
      </x:c>
      <x:c r="R631" s="70" t="s">
        <x:v>33</x:v>
      </x:c>
      <x:c r="S631" s="70" t="s">
        <x:v>839</x:v>
      </x:c>
    </x:row>
    <x:row r="632" ht="15" hidden="0">
      <x:c r="A632" s="70" t="s">
        <x:v>1448</x:v>
      </x:c>
      <x:c r="B632" s="70" t="s">
        <x:v>30</x:v>
      </x:c>
      <x:c r="C632" s="70" t="s">
        <x:v>105</x:v>
      </x:c>
      <x:c r="D632" s="70" t="s">
        <x:v>161</x:v>
      </x:c>
      <x:c r="E632" s="70" t="s">
        <x:v>763</x:v>
      </x:c>
      <x:c r="F632" s="70" t="s">
        <x:v>1447</x:v>
      </x:c>
      <x:c r="G632" s="70" t="s">
        <x:v>1310</x:v>
      </x:c>
      <x:c r="H632" s="70" t="s">
        <x:v>849</x:v>
      </x:c>
      <x:c r="I632" s="70" t="s">
        <x:v>852</x:v>
      </x:c>
      <x:c r="J632" s="70" t="n">
        <x:v>240</x:v>
      </x:c>
      <x:c r="K632" s="70" t="s">
        <x:v>1311</x:v>
      </x:c>
      <x:c r="L632" s="70" t="s">
        <x:v>927</x:v>
      </x:c>
      <x:c r="M632" s="70" t="s">
        <x:v>34</x:v>
      </x:c>
      <x:c r="N632" s="71" t="n">
        <x:v>21629074</x:v>
      </x:c>
      <x:c r="O632" s="72" t="n">
        <x:f aca="0">N632/1000</x:f>
        <x:v>21629.074</x:v>
      </x:c>
      <x:c r="P632" s="73" t="n">
        <x:f aca="0">LUCK!H47</x:f>
        <x:v>21629.074</x:v>
      </x:c>
      <x:c r="Q632" s="70" t="str">
        <x:f aca="0">IF(ABS(O632-P632)&lt;0.000001,"PASS","FAIL")</x:f>
        <x:v>PASS</x:v>
      </x:c>
      <x:c r="R632" s="70" t="s">
        <x:v>33</x:v>
      </x:c>
      <x:c r="S632" s="70"/>
    </x:row>
    <x:row r="633" ht="15" hidden="0">
      <x:c r="A633" s="70" t="s">
        <x:v>1449</x:v>
      </x:c>
      <x:c r="B633" s="70" t="s">
        <x:v>30</x:v>
      </x:c>
      <x:c r="C633" s="70" t="s">
        <x:v>717</x:v>
      </x:c>
      <x:c r="D633" s="70" t="s">
        <x:v>166</x:v>
      </x:c>
      <x:c r="E633" s="70" t="s">
        <x:v>763</x:v>
      </x:c>
      <x:c r="F633" s="70" t="s">
        <x:v>166</x:v>
      </x:c>
      <x:c r="G633" s="70" t="s">
        <x:v>1298</x:v>
      </x:c>
      <x:c r="H633" s="70" t="s">
        <x:v>832</x:v>
      </x:c>
      <x:c r="I633" s="70" t="s">
        <x:v>833</x:v>
      </x:c>
      <x:c r="J633" s="70" t="n">
        <x:v>191</x:v>
      </x:c>
      <x:c r="K633" s="70" t="s">
        <x:v>834</x:v>
      </x:c>
      <x:c r="L633" s="70" t="s">
        <x:v>935</x:v>
      </x:c>
      <x:c r="M633" s="70" t="s">
        <x:v>34</x:v>
      </x:c>
      <x:c r="N633" s="71" t="n">
        <x:v>19354794</x:v>
      </x:c>
      <x:c r="O633" s="72" t="n">
        <x:f aca="0">N633/1000</x:f>
        <x:v>19354.794</x:v>
      </x:c>
      <x:c r="P633" s="73" t="n">
        <x:f aca="0">LUCK!C50</x:f>
        <x:v>19354.794</x:v>
      </x:c>
      <x:c r="Q633" s="70" t="str">
        <x:f aca="0">IF(ABS(O633-P633)&lt;0.000001,"PASS","FAIL")</x:f>
        <x:v>PASS</x:v>
      </x:c>
      <x:c r="R633" s="70" t="s">
        <x:v>33</x:v>
      </x:c>
      <x:c r="S633" s="70"/>
    </x:row>
    <x:row r="634" ht="15" hidden="0">
      <x:c r="A634" s="70" t="s">
        <x:v>1450</x:v>
      </x:c>
      <x:c r="B634" s="70" t="s">
        <x:v>30</x:v>
      </x:c>
      <x:c r="C634" s="70" t="s">
        <x:v>101</x:v>
      </x:c>
      <x:c r="D634" s="70" t="s">
        <x:v>166</x:v>
      </x:c>
      <x:c r="E634" s="70" t="s">
        <x:v>763</x:v>
      </x:c>
      <x:c r="F634" s="70" t="s">
        <x:v>166</x:v>
      </x:c>
      <x:c r="G634" s="70" t="s">
        <x:v>1301</x:v>
      </x:c>
      <x:c r="H634" s="70" t="s">
        <x:v>838</x:v>
      </x:c>
      <x:c r="I634" s="70" t="s">
        <x:v>833</x:v>
      </x:c>
      <x:c r="J634" s="70" t="n">
        <x:v>226</x:v>
      </x:c>
      <x:c r="K634" s="70" t="s">
        <x:v>1302</x:v>
      </x:c>
      <x:c r="L634" s="70" t="s">
        <x:v>935</x:v>
      </x:c>
      <x:c r="M634" s="70" t="s">
        <x:v>34</x:v>
      </x:c>
      <x:c r="N634" s="71" t="n">
        <x:v>20789760</x:v>
      </x:c>
      <x:c r="O634" s="72" t="n">
        <x:f aca="0">N634/1000</x:f>
        <x:v>20789.76</x:v>
      </x:c>
      <x:c r="P634" s="73" t="n">
        <x:f aca="0">LUCK!D50</x:f>
        <x:v>20789.76</x:v>
      </x:c>
      <x:c r="Q634" s="70" t="str">
        <x:f aca="0">IF(ABS(O634-P634)&lt;0.000001,"PASS","FAIL")</x:f>
        <x:v>PASS</x:v>
      </x:c>
      <x:c r="R634" s="70" t="s">
        <x:v>33</x:v>
      </x:c>
      <x:c r="S634" s="70"/>
    </x:row>
    <x:row r="635" ht="15" hidden="0">
      <x:c r="A635" s="70" t="s">
        <x:v>1451</x:v>
      </x:c>
      <x:c r="B635" s="70" t="s">
        <x:v>30</x:v>
      </x:c>
      <x:c r="C635" s="70" t="s">
        <x:v>102</x:v>
      </x:c>
      <x:c r="D635" s="70" t="s">
        <x:v>166</x:v>
      </x:c>
      <x:c r="E635" s="70" t="s">
        <x:v>763</x:v>
      </x:c>
      <x:c r="F635" s="70" t="s">
        <x:v>166</x:v>
      </x:c>
      <x:c r="G635" s="70" t="s">
        <x:v>1304</x:v>
      </x:c>
      <x:c r="H635" s="70" t="s">
        <x:v>842</x:v>
      </x:c>
      <x:c r="I635" s="70" t="s">
        <x:v>833</x:v>
      </x:c>
      <x:c r="J635" s="70" t="n">
        <x:v>234</x:v>
      </x:c>
      <x:c r="K635" s="70" t="s">
        <x:v>1305</x:v>
      </x:c>
      <x:c r="L635" s="70" t="s">
        <x:v>935</x:v>
      </x:c>
      <x:c r="M635" s="70" t="s">
        <x:v>34</x:v>
      </x:c>
      <x:c r="N635" s="71" t="n">
        <x:v>23191483</x:v>
      </x:c>
      <x:c r="O635" s="72" t="n">
        <x:f aca="0">N635/1000</x:f>
        <x:v>23191.483</x:v>
      </x:c>
      <x:c r="P635" s="73" t="n">
        <x:f aca="0">LUCK!E50</x:f>
        <x:v>23191.483</x:v>
      </x:c>
      <x:c r="Q635" s="70" t="str">
        <x:f aca="0">IF(ABS(O635-P635)&lt;0.000001,"PASS","FAIL")</x:f>
        <x:v>PASS</x:v>
      </x:c>
      <x:c r="R635" s="70" t="s">
        <x:v>33</x:v>
      </x:c>
      <x:c r="S635" s="70"/>
    </x:row>
    <x:row r="636" ht="15" hidden="0">
      <x:c r="A636" s="70" t="s">
        <x:v>1452</x:v>
      </x:c>
      <x:c r="B636" s="70" t="s">
        <x:v>30</x:v>
      </x:c>
      <x:c r="C636" s="70" t="s">
        <x:v>103</x:v>
      </x:c>
      <x:c r="D636" s="70" t="s">
        <x:v>166</x:v>
      </x:c>
      <x:c r="E636" s="70" t="s">
        <x:v>763</x:v>
      </x:c>
      <x:c r="F636" s="70" t="s">
        <x:v>166</x:v>
      </x:c>
      <x:c r="G636" s="70" t="s">
        <x:v>1307</x:v>
      </x:c>
      <x:c r="H636" s="70" t="s">
        <x:v>845</x:v>
      </x:c>
      <x:c r="I636" s="70" t="s">
        <x:v>833</x:v>
      </x:c>
      <x:c r="J636" s="70" t="n">
        <x:v>238</x:v>
      </x:c>
      <x:c r="K636" s="70" t="s">
        <x:v>1308</x:v>
      </x:c>
      <x:c r="L636" s="70" t="s">
        <x:v>935</x:v>
      </x:c>
      <x:c r="M636" s="70" t="s">
        <x:v>34</x:v>
      </x:c>
      <x:c r="N636" s="71" t="n">
        <x:v>29918702</x:v>
      </x:c>
      <x:c r="O636" s="72" t="n">
        <x:f aca="0">N636/1000</x:f>
        <x:v>29918.702</x:v>
      </x:c>
      <x:c r="P636" s="73" t="n">
        <x:f aca="0">LUCK!F50</x:f>
        <x:v>29918.702</x:v>
      </x:c>
      <x:c r="Q636" s="70" t="str">
        <x:f aca="0">IF(ABS(O636-P636)&lt;0.000001,"PASS","FAIL")</x:f>
        <x:v>PASS</x:v>
      </x:c>
      <x:c r="R636" s="70" t="s">
        <x:v>33</x:v>
      </x:c>
      <x:c r="S636" s="70"/>
    </x:row>
    <x:row r="637" ht="15" hidden="0">
      <x:c r="A637" s="70" t="s">
        <x:v>1453</x:v>
      </x:c>
      <x:c r="B637" s="70" t="s">
        <x:v>30</x:v>
      </x:c>
      <x:c r="C637" s="70" t="s">
        <x:v>104</x:v>
      </x:c>
      <x:c r="D637" s="70" t="s">
        <x:v>166</x:v>
      </x:c>
      <x:c r="E637" s="70" t="s">
        <x:v>763</x:v>
      </x:c>
      <x:c r="F637" s="70" t="s">
        <x:v>166</x:v>
      </x:c>
      <x:c r="G637" s="70" t="s">
        <x:v>1310</x:v>
      </x:c>
      <x:c r="H637" s="70" t="s">
        <x:v>849</x:v>
      </x:c>
      <x:c r="I637" s="70" t="s">
        <x:v>833</x:v>
      </x:c>
      <x:c r="J637" s="70" t="n">
        <x:v>240</x:v>
      </x:c>
      <x:c r="K637" s="70" t="s">
        <x:v>1311</x:v>
      </x:c>
      <x:c r="L637" s="70" t="s">
        <x:v>933</x:v>
      </x:c>
      <x:c r="M637" s="70" t="s">
        <x:v>34</x:v>
      </x:c>
      <x:c r="N637" s="71" t="n">
        <x:v>30006625</x:v>
      </x:c>
      <x:c r="O637" s="72" t="n">
        <x:f aca="0">N637/1000</x:f>
        <x:v>30006.625</x:v>
      </x:c>
      <x:c r="P637" s="73" t="n">
        <x:f aca="0">LUCK!G50</x:f>
        <x:v>30006.625</x:v>
      </x:c>
      <x:c r="Q637" s="70" t="str">
        <x:f aca="0">IF(ABS(O637-P637)&lt;0.000001,"PASS","FAIL")</x:f>
        <x:v>PASS</x:v>
      </x:c>
      <x:c r="R637" s="70" t="s">
        <x:v>33</x:v>
      </x:c>
      <x:c r="S637" s="70"/>
    </x:row>
    <x:row r="638" ht="15" hidden="0">
      <x:c r="A638" s="70" t="s">
        <x:v>1454</x:v>
      </x:c>
      <x:c r="B638" s="70" t="s">
        <x:v>30</x:v>
      </x:c>
      <x:c r="C638" s="70" t="s">
        <x:v>105</x:v>
      </x:c>
      <x:c r="D638" s="70" t="s">
        <x:v>166</x:v>
      </x:c>
      <x:c r="E638" s="70" t="s">
        <x:v>763</x:v>
      </x:c>
      <x:c r="F638" s="70" t="s">
        <x:v>166</x:v>
      </x:c>
      <x:c r="G638" s="70" t="s">
        <x:v>1310</x:v>
      </x:c>
      <x:c r="H638" s="70" t="s">
        <x:v>849</x:v>
      </x:c>
      <x:c r="I638" s="70" t="s">
        <x:v>852</x:v>
      </x:c>
      <x:c r="J638" s="70" t="n">
        <x:v>240</x:v>
      </x:c>
      <x:c r="K638" s="70" t="s">
        <x:v>1311</x:v>
      </x:c>
      <x:c r="L638" s="70" t="s">
        <x:v>933</x:v>
      </x:c>
      <x:c r="M638" s="70" t="s">
        <x:v>34</x:v>
      </x:c>
      <x:c r="N638" s="71" t="n">
        <x:v>27300919</x:v>
      </x:c>
      <x:c r="O638" s="72" t="n">
        <x:f aca="0">N638/1000</x:f>
        <x:v>27300.919</x:v>
      </x:c>
      <x:c r="P638" s="73" t="n">
        <x:f aca="0">LUCK!H50</x:f>
        <x:v>27300.919</x:v>
      </x:c>
      <x:c r="Q638" s="70" t="str">
        <x:f aca="0">IF(ABS(O638-P638)&lt;0.000001,"PASS","FAIL")</x:f>
        <x:v>PASS</x:v>
      </x:c>
      <x:c r="R638" s="70" t="s">
        <x:v>33</x:v>
      </x:c>
      <x:c r="S638" s="70"/>
    </x:row>
    <x:row r="639" ht="15" hidden="0">
      <x:c r="A639" s="70" t="s">
        <x:v>1455</x:v>
      </x:c>
      <x:c r="B639" s="70" t="s">
        <x:v>30</x:v>
      </x:c>
      <x:c r="C639" s="70" t="s">
        <x:v>717</x:v>
      </x:c>
      <x:c r="D639" s="70" t="s">
        <x:v>1009</x:v>
      </x:c>
      <x:c r="E639" s="70" t="s">
        <x:v>855</x:v>
      </x:c>
      <x:c r="F639" s="70" t="s">
        <x:v>1456</x:v>
      </x:c>
      <x:c r="G639" s="70" t="s">
        <x:v>1298</x:v>
      </x:c>
      <x:c r="H639" s="70" t="s">
        <x:v>832</x:v>
      </x:c>
      <x:c r="I639" s="70" t="s">
        <x:v>833</x:v>
      </x:c>
      <x:c r="J639" s="70" t="n">
        <x:v>216</x:v>
      </x:c>
      <x:c r="K639" s="70" t="s">
        <x:v>834</x:v>
      </x:c>
      <x:c r="L639" s="70"/>
      <x:c r="M639" s="70" t="s">
        <x:v>34</x:v>
      </x:c>
      <x:c r="N639" s="71" t="n">
        <x:v>2599290</x:v>
      </x:c>
      <x:c r="O639" s="72" t="n">
        <x:f aca="0">N639/1000</x:f>
        <x:v>2599.29</x:v>
      </x:c>
      <x:c r="P639" s="73" t="n">
        <x:f aca="0">LUCK!C51</x:f>
        <x:v>2599.29</x:v>
      </x:c>
      <x:c r="Q639" s="70" t="str">
        <x:f aca="0">IF(ABS(O639-P639)&lt;0.000001,"PASS","FAIL")</x:f>
        <x:v>PASS</x:v>
      </x:c>
      <x:c r="R639" s="70" t="s">
        <x:v>33</x:v>
      </x:c>
      <x:c r="S639" s="70"/>
    </x:row>
    <x:row r="640" ht="15" hidden="0">
      <x:c r="A640" s="70" t="s">
        <x:v>1457</x:v>
      </x:c>
      <x:c r="B640" s="70" t="s">
        <x:v>30</x:v>
      </x:c>
      <x:c r="C640" s="70" t="s">
        <x:v>101</x:v>
      </x:c>
      <x:c r="D640" s="70" t="s">
        <x:v>1009</x:v>
      </x:c>
      <x:c r="E640" s="70" t="s">
        <x:v>855</x:v>
      </x:c>
      <x:c r="F640" s="70" t="s">
        <x:v>1456</x:v>
      </x:c>
      <x:c r="G640" s="70" t="s">
        <x:v>1301</x:v>
      </x:c>
      <x:c r="H640" s="70" t="s">
        <x:v>838</x:v>
      </x:c>
      <x:c r="I640" s="70" t="s">
        <x:v>833</x:v>
      </x:c>
      <x:c r="J640" s="70" t="n">
        <x:v>252</x:v>
      </x:c>
      <x:c r="K640" s="70" t="s">
        <x:v>1321</x:v>
      </x:c>
      <x:c r="L640" s="70"/>
      <x:c r="M640" s="70" t="s">
        <x:v>34</x:v>
      </x:c>
      <x:c r="N640" s="71" t="n">
        <x:v>2882434</x:v>
      </x:c>
      <x:c r="O640" s="72" t="n">
        <x:f aca="0">N640/1000</x:f>
        <x:v>2882.434</x:v>
      </x:c>
      <x:c r="P640" s="73" t="n">
        <x:f aca="0">LUCK!D51</x:f>
        <x:v>2882.434</x:v>
      </x:c>
      <x:c r="Q640" s="70" t="str">
        <x:f aca="0">IF(ABS(O640-P640)&lt;0.000001,"PASS","FAIL")</x:f>
        <x:v>PASS</x:v>
      </x:c>
      <x:c r="R640" s="70" t="s">
        <x:v>33</x:v>
      </x:c>
      <x:c r="S640" s="70"/>
    </x:row>
    <x:row r="641" ht="15" hidden="0">
      <x:c r="A641" s="70" t="s">
        <x:v>1458</x:v>
      </x:c>
      <x:c r="B641" s="70" t="s">
        <x:v>30</x:v>
      </x:c>
      <x:c r="C641" s="70" t="s">
        <x:v>102</x:v>
      </x:c>
      <x:c r="D641" s="70" t="s">
        <x:v>1009</x:v>
      </x:c>
      <x:c r="E641" s="70" t="s">
        <x:v>855</x:v>
      </x:c>
      <x:c r="F641" s="70" t="s">
        <x:v>1456</x:v>
      </x:c>
      <x:c r="G641" s="70" t="s">
        <x:v>1304</x:v>
      </x:c>
      <x:c r="H641" s="70" t="s">
        <x:v>842</x:v>
      </x:c>
      <x:c r="I641" s="70" t="s">
        <x:v>833</x:v>
      </x:c>
      <x:c r="J641" s="70" t="n">
        <x:v>260</x:v>
      </x:c>
      <x:c r="K641" s="70" t="s">
        <x:v>1459</x:v>
      </x:c>
      <x:c r="L641" s="70"/>
      <x:c r="M641" s="70" t="s">
        <x:v>34</x:v>
      </x:c>
      <x:c r="N641" s="71" t="n">
        <x:v>3352998</x:v>
      </x:c>
      <x:c r="O641" s="72" t="n">
        <x:f aca="0">N641/1000</x:f>
        <x:v>3352.998</x:v>
      </x:c>
      <x:c r="P641" s="73" t="n">
        <x:f aca="0">LUCK!E51</x:f>
        <x:v>3352.998</x:v>
      </x:c>
      <x:c r="Q641" s="70" t="str">
        <x:f aca="0">IF(ABS(O641-P641)&lt;0.000001,"PASS","FAIL")</x:f>
        <x:v>PASS</x:v>
      </x:c>
      <x:c r="R641" s="70" t="s">
        <x:v>33</x:v>
      </x:c>
      <x:c r="S641" s="70"/>
    </x:row>
    <x:row r="642" ht="15" hidden="0">
      <x:c r="A642" s="70" t="s">
        <x:v>1460</x:v>
      </x:c>
      <x:c r="B642" s="70" t="s">
        <x:v>30</x:v>
      </x:c>
      <x:c r="C642" s="70" t="s">
        <x:v>103</x:v>
      </x:c>
      <x:c r="D642" s="70" t="s">
        <x:v>1009</x:v>
      </x:c>
      <x:c r="E642" s="70" t="s">
        <x:v>855</x:v>
      </x:c>
      <x:c r="F642" s="70" t="s">
        <x:v>1456</x:v>
      </x:c>
      <x:c r="G642" s="70" t="s">
        <x:v>1307</x:v>
      </x:c>
      <x:c r="H642" s="70" t="s">
        <x:v>845</x:v>
      </x:c>
      <x:c r="I642" s="70" t="s">
        <x:v>833</x:v>
      </x:c>
      <x:c r="J642" s="70" t="n">
        <x:v>265</x:v>
      </x:c>
      <x:c r="K642" s="70" t="s">
        <x:v>1461</x:v>
      </x:c>
      <x:c r="L642" s="70"/>
      <x:c r="M642" s="70" t="s">
        <x:v>34</x:v>
      </x:c>
      <x:c r="N642" s="71" t="n">
        <x:v>5030546</x:v>
      </x:c>
      <x:c r="O642" s="72" t="n">
        <x:f aca="0">N642/1000</x:f>
        <x:v>5030.546</x:v>
      </x:c>
      <x:c r="P642" s="73" t="n">
        <x:f aca="0">LUCK!F51</x:f>
        <x:v>5030.546</x:v>
      </x:c>
      <x:c r="Q642" s="70" t="str">
        <x:f aca="0">IF(ABS(O642-P642)&lt;0.000001,"PASS","FAIL")</x:f>
        <x:v>PASS</x:v>
      </x:c>
      <x:c r="R642" s="70" t="s">
        <x:v>33</x:v>
      </x:c>
      <x:c r="S642" s="70"/>
    </x:row>
    <x:row r="643" ht="15" hidden="0">
      <x:c r="A643" s="70" t="s">
        <x:v>1462</x:v>
      </x:c>
      <x:c r="B643" s="70" t="s">
        <x:v>30</x:v>
      </x:c>
      <x:c r="C643" s="70" t="s">
        <x:v>104</x:v>
      </x:c>
      <x:c r="D643" s="70" t="s">
        <x:v>1009</x:v>
      </x:c>
      <x:c r="E643" s="70" t="s">
        <x:v>855</x:v>
      </x:c>
      <x:c r="F643" s="70" t="s">
        <x:v>1456</x:v>
      </x:c>
      <x:c r="G643" s="70" t="s">
        <x:v>1310</x:v>
      </x:c>
      <x:c r="H643" s="70" t="s">
        <x:v>849</x:v>
      </x:c>
      <x:c r="I643" s="70" t="s">
        <x:v>833</x:v>
      </x:c>
      <x:c r="J643" s="70" t="n">
        <x:v>267</x:v>
      </x:c>
      <x:c r="K643" s="70" t="s">
        <x:v>834</x:v>
      </x:c>
      <x:c r="L643" s="70"/>
      <x:c r="M643" s="70" t="s">
        <x:v>34</x:v>
      </x:c>
      <x:c r="N643" s="71" t="n">
        <x:v>7172144</x:v>
      </x:c>
      <x:c r="O643" s="72" t="n">
        <x:f aca="0">N643/1000</x:f>
        <x:v>7172.144</x:v>
      </x:c>
      <x:c r="P643" s="73" t="n">
        <x:f aca="0">LUCK!G51</x:f>
        <x:v>7172.144</x:v>
      </x:c>
      <x:c r="Q643" s="70" t="str">
        <x:f aca="0">IF(ABS(O643-P643)&lt;0.000001,"PASS","FAIL")</x:f>
        <x:v>PASS</x:v>
      </x:c>
      <x:c r="R643" s="70" t="s">
        <x:v>33</x:v>
      </x:c>
      <x:c r="S643" s="70"/>
    </x:row>
    <x:row r="644" ht="15" hidden="0">
      <x:c r="A644" s="70" t="s">
        <x:v>1463</x:v>
      </x:c>
      <x:c r="B644" s="70" t="s">
        <x:v>30</x:v>
      </x:c>
      <x:c r="C644" s="70" t="s">
        <x:v>105</x:v>
      </x:c>
      <x:c r="D644" s="70" t="s">
        <x:v>1009</x:v>
      </x:c>
      <x:c r="E644" s="70" t="s">
        <x:v>855</x:v>
      </x:c>
      <x:c r="F644" s="70" t="s">
        <x:v>1456</x:v>
      </x:c>
      <x:c r="G644" s="70" t="s">
        <x:v>1310</x:v>
      </x:c>
      <x:c r="H644" s="70" t="s">
        <x:v>849</x:v>
      </x:c>
      <x:c r="I644" s="70" t="s">
        <x:v>852</x:v>
      </x:c>
      <x:c r="J644" s="70" t="n">
        <x:v>267</x:v>
      </x:c>
      <x:c r="K644" s="70" t="s">
        <x:v>834</x:v>
      </x:c>
      <x:c r="L644" s="70"/>
      <x:c r="M644" s="70" t="s">
        <x:v>34</x:v>
      </x:c>
      <x:c r="N644" s="71" t="n">
        <x:v>6426975</x:v>
      </x:c>
      <x:c r="O644" s="72" t="n">
        <x:f aca="0">N644/1000</x:f>
        <x:v>6426.975</x:v>
      </x:c>
      <x:c r="P644" s="73" t="n">
        <x:f aca="0">LUCK!H51</x:f>
        <x:v>6426.975</x:v>
      </x:c>
      <x:c r="Q644" s="70" t="str">
        <x:f aca="0">IF(ABS(O644-P644)&lt;0.000001,"PASS","FAIL")</x:f>
        <x:v>PASS</x:v>
      </x:c>
      <x:c r="R644" s="70" t="s">
        <x:v>33</x:v>
      </x:c>
      <x:c r="S644" s="70"/>
    </x:row>
    <x:row r="645" ht="15" hidden="0">
      <x:c r="A645" s="70" t="s">
        <x:v>1464</x:v>
      </x:c>
      <x:c r="B645" s="70" t="s">
        <x:v>30</x:v>
      </x:c>
      <x:c r="C645" s="70" t="s">
        <x:v>717</x:v>
      </x:c>
      <x:c r="D645" s="70" t="s">
        <x:v>170</x:v>
      </x:c>
      <x:c r="E645" s="70" t="s">
        <x:v>763</x:v>
      </x:c>
      <x:c r="F645" s="70"/>
      <x:c r="G645" s="70" t="s">
        <x:v>1298</x:v>
      </x:c>
      <x:c r="H645" s="70" t="s">
        <x:v>832</x:v>
      </x:c>
      <x:c r="I645" s="70" t="s">
        <x:v>833</x:v>
      </x:c>
      <x:c r="J645" s="70" t="n">
        <x:v>191</x:v>
      </x:c>
      <x:c r="K645" s="70" t="s">
        <x:v>834</x:v>
      </x:c>
      <x:c r="L645" s="70"/>
      <x:c r="M645" s="70" t="s">
        <x:v>34</x:v>
      </x:c>
      <x:c r="N645" s="71" t="n">
        <x:v>0</x:v>
      </x:c>
      <x:c r="O645" s="72" t="n">
        <x:f aca="0">N645/1000</x:f>
        <x:v>0</x:v>
      </x:c>
      <x:c r="P645" s="73" t="n">
        <x:f aca="0">LUCK!C52</x:f>
        <x:v>0</x:v>
      </x:c>
      <x:c r="Q645" s="70" t="str">
        <x:f aca="0">IF(ABS(O645-P645)&lt;0.000001,"PASS","FAIL")</x:f>
        <x:v>PASS</x:v>
      </x:c>
      <x:c r="R645" s="70" t="s">
        <x:v>33</x:v>
      </x:c>
      <x:c r="S645" s="70"/>
    </x:row>
    <x:row r="646" ht="15" hidden="0">
      <x:c r="A646" s="70" t="s">
        <x:v>1465</x:v>
      </x:c>
      <x:c r="B646" s="70" t="s">
        <x:v>30</x:v>
      </x:c>
      <x:c r="C646" s="70" t="s">
        <x:v>101</x:v>
      </x:c>
      <x:c r="D646" s="70" t="s">
        <x:v>170</x:v>
      </x:c>
      <x:c r="E646" s="70" t="s">
        <x:v>763</x:v>
      </x:c>
      <x:c r="F646" s="70"/>
      <x:c r="G646" s="70" t="s">
        <x:v>1301</x:v>
      </x:c>
      <x:c r="H646" s="70" t="s">
        <x:v>838</x:v>
      </x:c>
      <x:c r="I646" s="70" t="s">
        <x:v>833</x:v>
      </x:c>
      <x:c r="J646" s="70" t="n">
        <x:v>226</x:v>
      </x:c>
      <x:c r="K646" s="70" t="s">
        <x:v>1302</x:v>
      </x:c>
      <x:c r="L646" s="70"/>
      <x:c r="M646" s="70" t="s">
        <x:v>34</x:v>
      </x:c>
      <x:c r="N646" s="71" t="n">
        <x:v>0</x:v>
      </x:c>
      <x:c r="O646" s="72" t="n">
        <x:f aca="0">N646/1000</x:f>
        <x:v>0</x:v>
      </x:c>
      <x:c r="P646" s="73" t="n">
        <x:f aca="0">LUCK!D52</x:f>
        <x:v>0</x:v>
      </x:c>
      <x:c r="Q646" s="70" t="str">
        <x:f aca="0">IF(ABS(O646-P646)&lt;0.000001,"PASS","FAIL")</x:f>
        <x:v>PASS</x:v>
      </x:c>
      <x:c r="R646" s="70" t="s">
        <x:v>33</x:v>
      </x:c>
      <x:c r="S646" s="70"/>
    </x:row>
    <x:row r="647" ht="15" hidden="0">
      <x:c r="A647" s="70" t="s">
        <x:v>1466</x:v>
      </x:c>
      <x:c r="B647" s="70" t="s">
        <x:v>30</x:v>
      </x:c>
      <x:c r="C647" s="70" t="s">
        <x:v>102</x:v>
      </x:c>
      <x:c r="D647" s="70" t="s">
        <x:v>170</x:v>
      </x:c>
      <x:c r="E647" s="70" t="s">
        <x:v>763</x:v>
      </x:c>
      <x:c r="F647" s="70"/>
      <x:c r="G647" s="70" t="s">
        <x:v>1304</x:v>
      </x:c>
      <x:c r="H647" s="70" t="s">
        <x:v>842</x:v>
      </x:c>
      <x:c r="I647" s="70" t="s">
        <x:v>833</x:v>
      </x:c>
      <x:c r="J647" s="70" t="n">
        <x:v>234</x:v>
      </x:c>
      <x:c r="K647" s="70" t="s">
        <x:v>1305</x:v>
      </x:c>
      <x:c r="L647" s="70"/>
      <x:c r="M647" s="70" t="s">
        <x:v>34</x:v>
      </x:c>
      <x:c r="N647" s="71" t="n">
        <x:v>0</x:v>
      </x:c>
      <x:c r="O647" s="72" t="n">
        <x:f aca="0">N647/1000</x:f>
        <x:v>0</x:v>
      </x:c>
      <x:c r="P647" s="73" t="n">
        <x:f aca="0">LUCK!E52</x:f>
        <x:v>0</x:v>
      </x:c>
      <x:c r="Q647" s="70" t="str">
        <x:f aca="0">IF(ABS(O647-P647)&lt;0.000001,"PASS","FAIL")</x:f>
        <x:v>PASS</x:v>
      </x:c>
      <x:c r="R647" s="70" t="s">
        <x:v>33</x:v>
      </x:c>
      <x:c r="S647" s="70"/>
    </x:row>
    <x:row r="648" ht="15" hidden="0">
      <x:c r="A648" s="70" t="s">
        <x:v>1467</x:v>
      </x:c>
      <x:c r="B648" s="70" t="s">
        <x:v>30</x:v>
      </x:c>
      <x:c r="C648" s="70" t="s">
        <x:v>103</x:v>
      </x:c>
      <x:c r="D648" s="70" t="s">
        <x:v>170</x:v>
      </x:c>
      <x:c r="E648" s="70" t="s">
        <x:v>763</x:v>
      </x:c>
      <x:c r="F648" s="70"/>
      <x:c r="G648" s="70" t="s">
        <x:v>1307</x:v>
      </x:c>
      <x:c r="H648" s="70" t="s">
        <x:v>845</x:v>
      </x:c>
      <x:c r="I648" s="70" t="s">
        <x:v>833</x:v>
      </x:c>
      <x:c r="J648" s="70" t="n">
        <x:v>238</x:v>
      </x:c>
      <x:c r="K648" s="70" t="s">
        <x:v>1308</x:v>
      </x:c>
      <x:c r="L648" s="70"/>
      <x:c r="M648" s="70" t="s">
        <x:v>34</x:v>
      </x:c>
      <x:c r="N648" s="71" t="n">
        <x:v>0</x:v>
      </x:c>
      <x:c r="O648" s="72" t="n">
        <x:f aca="0">N648/1000</x:f>
        <x:v>0</x:v>
      </x:c>
      <x:c r="P648" s="73" t="n">
        <x:f aca="0">LUCK!F52</x:f>
        <x:v>0</x:v>
      </x:c>
      <x:c r="Q648" s="70" t="str">
        <x:f aca="0">IF(ABS(O648-P648)&lt;0.000001,"PASS","FAIL")</x:f>
        <x:v>PASS</x:v>
      </x:c>
      <x:c r="R648" s="70" t="s">
        <x:v>33</x:v>
      </x:c>
      <x:c r="S648" s="70"/>
    </x:row>
    <x:row r="649" ht="15" hidden="0">
      <x:c r="A649" s="70" t="s">
        <x:v>1468</x:v>
      </x:c>
      <x:c r="B649" s="70" t="s">
        <x:v>30</x:v>
      </x:c>
      <x:c r="C649" s="70" t="s">
        <x:v>104</x:v>
      </x:c>
      <x:c r="D649" s="70" t="s">
        <x:v>170</x:v>
      </x:c>
      <x:c r="E649" s="70" t="s">
        <x:v>763</x:v>
      </x:c>
      <x:c r="F649" s="70"/>
      <x:c r="G649" s="70" t="s">
        <x:v>1310</x:v>
      </x:c>
      <x:c r="H649" s="70" t="s">
        <x:v>849</x:v>
      </x:c>
      <x:c r="I649" s="70" t="s">
        <x:v>833</x:v>
      </x:c>
      <x:c r="J649" s="70" t="n">
        <x:v>240</x:v>
      </x:c>
      <x:c r="K649" s="70" t="s">
        <x:v>1311</x:v>
      </x:c>
      <x:c r="L649" s="70"/>
      <x:c r="M649" s="70" t="s">
        <x:v>34</x:v>
      </x:c>
      <x:c r="N649" s="71" t="n">
        <x:v>0</x:v>
      </x:c>
      <x:c r="O649" s="72" t="n">
        <x:f aca="0">N649/1000</x:f>
        <x:v>0</x:v>
      </x:c>
      <x:c r="P649" s="73" t="n">
        <x:f aca="0">LUCK!G52</x:f>
        <x:v>0</x:v>
      </x:c>
      <x:c r="Q649" s="70" t="str">
        <x:f aca="0">IF(ABS(O649-P649)&lt;0.000001,"PASS","FAIL")</x:f>
        <x:v>PASS</x:v>
      </x:c>
      <x:c r="R649" s="70" t="s">
        <x:v>33</x:v>
      </x:c>
      <x:c r="S649" s="70"/>
    </x:row>
    <x:row r="650" ht="15" hidden="0">
      <x:c r="A650" s="70" t="s">
        <x:v>1469</x:v>
      </x:c>
      <x:c r="B650" s="70" t="s">
        <x:v>30</x:v>
      </x:c>
      <x:c r="C650" s="70" t="s">
        <x:v>105</x:v>
      </x:c>
      <x:c r="D650" s="70" t="s">
        <x:v>170</x:v>
      </x:c>
      <x:c r="E650" s="70" t="s">
        <x:v>763</x:v>
      </x:c>
      <x:c r="F650" s="70"/>
      <x:c r="G650" s="70" t="s">
        <x:v>1310</x:v>
      </x:c>
      <x:c r="H650" s="70" t="s">
        <x:v>849</x:v>
      </x:c>
      <x:c r="I650" s="70" t="s">
        <x:v>852</x:v>
      </x:c>
      <x:c r="J650" s="70" t="n">
        <x:v>240</x:v>
      </x:c>
      <x:c r="K650" s="70" t="s">
        <x:v>1311</x:v>
      </x:c>
      <x:c r="L650" s="70"/>
      <x:c r="M650" s="70" t="s">
        <x:v>34</x:v>
      </x:c>
      <x:c r="N650" s="71" t="n">
        <x:v>0</x:v>
      </x:c>
      <x:c r="O650" s="72" t="n">
        <x:f aca="0">N650/1000</x:f>
        <x:v>0</x:v>
      </x:c>
      <x:c r="P650" s="73" t="n">
        <x:f aca="0">LUCK!H52</x:f>
        <x:v>0</x:v>
      </x:c>
      <x:c r="Q650" s="70" t="str">
        <x:f aca="0">IF(ABS(O650-P650)&lt;0.000001,"PASS","FAIL")</x:f>
        <x:v>PASS</x:v>
      </x:c>
      <x:c r="R650" s="70" t="s">
        <x:v>33</x:v>
      </x:c>
      <x:c r="S650" s="70"/>
    </x:row>
    <x:row r="651" ht="15" hidden="0">
      <x:c r="A651" s="70" t="s">
        <x:v>1470</x:v>
      </x:c>
      <x:c r="B651" s="70" t="s">
        <x:v>30</x:v>
      </x:c>
      <x:c r="C651" s="70" t="s">
        <x:v>717</x:v>
      </x:c>
      <x:c r="D651" s="70" t="s">
        <x:v>172</x:v>
      </x:c>
      <x:c r="E651" s="70" t="s">
        <x:v>763</x:v>
      </x:c>
      <x:c r="F651" s="70" t="s">
        <x:v>1471</x:v>
      </x:c>
      <x:c r="G651" s="70" t="s">
        <x:v>1298</x:v>
      </x:c>
      <x:c r="H651" s="70" t="s">
        <x:v>832</x:v>
      </x:c>
      <x:c r="I651" s="70" t="s">
        <x:v>833</x:v>
      </x:c>
      <x:c r="J651" s="70" t="n">
        <x:v>191</x:v>
      </x:c>
      <x:c r="K651" s="70" t="s">
        <x:v>834</x:v>
      </x:c>
      <x:c r="L651" s="70"/>
      <x:c r="M651" s="70" t="s">
        <x:v>34</x:v>
      </x:c>
      <x:c r="N651" s="71" t="n">
        <x:v>46173</x:v>
      </x:c>
      <x:c r="O651" s="72" t="n">
        <x:f aca="0">N651/1000</x:f>
        <x:v>46.173</x:v>
      </x:c>
      <x:c r="P651" s="73" t="n">
        <x:f aca="0">LUCK!C53</x:f>
        <x:v>46.173</x:v>
      </x:c>
      <x:c r="Q651" s="70" t="str">
        <x:f aca="0">IF(ABS(O651-P651)&lt;0.000001,"PASS","FAIL")</x:f>
        <x:v>PASS</x:v>
      </x:c>
      <x:c r="R651" s="70" t="s">
        <x:v>33</x:v>
      </x:c>
      <x:c r="S651" s="70"/>
    </x:row>
    <x:row r="652" ht="15" hidden="0">
      <x:c r="A652" s="70" t="s">
        <x:v>1472</x:v>
      </x:c>
      <x:c r="B652" s="70" t="s">
        <x:v>30</x:v>
      </x:c>
      <x:c r="C652" s="70" t="s">
        <x:v>101</x:v>
      </x:c>
      <x:c r="D652" s="70" t="s">
        <x:v>172</x:v>
      </x:c>
      <x:c r="E652" s="70" t="s">
        <x:v>763</x:v>
      </x:c>
      <x:c r="F652" s="70" t="s">
        <x:v>1471</x:v>
      </x:c>
      <x:c r="G652" s="70" t="s">
        <x:v>1301</x:v>
      </x:c>
      <x:c r="H652" s="70" t="s">
        <x:v>838</x:v>
      </x:c>
      <x:c r="I652" s="70" t="s">
        <x:v>833</x:v>
      </x:c>
      <x:c r="J652" s="70" t="n">
        <x:v>226</x:v>
      </x:c>
      <x:c r="K652" s="70" t="s">
        <x:v>1302</x:v>
      </x:c>
      <x:c r="L652" s="70"/>
      <x:c r="M652" s="70" t="s">
        <x:v>34</x:v>
      </x:c>
      <x:c r="N652" s="71" t="n">
        <x:v>70868</x:v>
      </x:c>
      <x:c r="O652" s="72" t="n">
        <x:f aca="0">N652/1000</x:f>
        <x:v>70.868</x:v>
      </x:c>
      <x:c r="P652" s="73" t="n">
        <x:f aca="0">LUCK!D53</x:f>
        <x:v>70.868</x:v>
      </x:c>
      <x:c r="Q652" s="70" t="str">
        <x:f aca="0">IF(ABS(O652-P652)&lt;0.000001,"PASS","FAIL")</x:f>
        <x:v>PASS</x:v>
      </x:c>
      <x:c r="R652" s="70" t="s">
        <x:v>33</x:v>
      </x:c>
      <x:c r="S652" s="70"/>
    </x:row>
    <x:row r="653" ht="15" hidden="0">
      <x:c r="A653" s="70" t="s">
        <x:v>1473</x:v>
      </x:c>
      <x:c r="B653" s="70" t="s">
        <x:v>30</x:v>
      </x:c>
      <x:c r="C653" s="70" t="s">
        <x:v>102</x:v>
      </x:c>
      <x:c r="D653" s="70" t="s">
        <x:v>172</x:v>
      </x:c>
      <x:c r="E653" s="70" t="s">
        <x:v>763</x:v>
      </x:c>
      <x:c r="F653" s="70" t="s">
        <x:v>1471</x:v>
      </x:c>
      <x:c r="G653" s="70" t="s">
        <x:v>1304</x:v>
      </x:c>
      <x:c r="H653" s="70" t="s">
        <x:v>842</x:v>
      </x:c>
      <x:c r="I653" s="70" t="s">
        <x:v>833</x:v>
      </x:c>
      <x:c r="J653" s="70" t="n">
        <x:v>234</x:v>
      </x:c>
      <x:c r="K653" s="70" t="s">
        <x:v>1305</x:v>
      </x:c>
      <x:c r="L653" s="70"/>
      <x:c r="M653" s="70" t="s">
        <x:v>34</x:v>
      </x:c>
      <x:c r="N653" s="71" t="n">
        <x:v>135452</x:v>
      </x:c>
      <x:c r="O653" s="72" t="n">
        <x:f aca="0">N653/1000</x:f>
        <x:v>135.452</x:v>
      </x:c>
      <x:c r="P653" s="73" t="n">
        <x:f aca="0">LUCK!E53</x:f>
        <x:v>135.452</x:v>
      </x:c>
      <x:c r="Q653" s="70" t="str">
        <x:f aca="0">IF(ABS(O653-P653)&lt;0.000001,"PASS","FAIL")</x:f>
        <x:v>PASS</x:v>
      </x:c>
      <x:c r="R653" s="70" t="s">
        <x:v>33</x:v>
      </x:c>
      <x:c r="S653" s="70"/>
    </x:row>
    <x:row r="654" ht="15" hidden="0">
      <x:c r="A654" s="70" t="s">
        <x:v>1474</x:v>
      </x:c>
      <x:c r="B654" s="70" t="s">
        <x:v>30</x:v>
      </x:c>
      <x:c r="C654" s="70" t="s">
        <x:v>103</x:v>
      </x:c>
      <x:c r="D654" s="70" t="s">
        <x:v>172</x:v>
      </x:c>
      <x:c r="E654" s="70" t="s">
        <x:v>763</x:v>
      </x:c>
      <x:c r="F654" s="70" t="s">
        <x:v>1471</x:v>
      </x:c>
      <x:c r="G654" s="70" t="s">
        <x:v>1307</x:v>
      </x:c>
      <x:c r="H654" s="70" t="s">
        <x:v>845</x:v>
      </x:c>
      <x:c r="I654" s="70" t="s">
        <x:v>833</x:v>
      </x:c>
      <x:c r="J654" s="70" t="n">
        <x:v>238</x:v>
      </x:c>
      <x:c r="K654" s="70" t="s">
        <x:v>1308</x:v>
      </x:c>
      <x:c r="L654" s="70"/>
      <x:c r="M654" s="70" t="s">
        <x:v>34</x:v>
      </x:c>
      <x:c r="N654" s="71" t="n">
        <x:v>497745</x:v>
      </x:c>
      <x:c r="O654" s="72" t="n">
        <x:f aca="0">N654/1000</x:f>
        <x:v>497.745</x:v>
      </x:c>
      <x:c r="P654" s="73" t="n">
        <x:f aca="0">LUCK!F53</x:f>
        <x:v>497.745</x:v>
      </x:c>
      <x:c r="Q654" s="70" t="str">
        <x:f aca="0">IF(ABS(O654-P654)&lt;0.000001,"PASS","FAIL")</x:f>
        <x:v>PASS</x:v>
      </x:c>
      <x:c r="R654" s="70" t="s">
        <x:v>33</x:v>
      </x:c>
      <x:c r="S654" s="70"/>
    </x:row>
    <x:row r="655" ht="15" hidden="0">
      <x:c r="A655" s="70" t="s">
        <x:v>1475</x:v>
      </x:c>
      <x:c r="B655" s="70" t="s">
        <x:v>30</x:v>
      </x:c>
      <x:c r="C655" s="70" t="s">
        <x:v>104</x:v>
      </x:c>
      <x:c r="D655" s="70" t="s">
        <x:v>172</x:v>
      </x:c>
      <x:c r="E655" s="70" t="s">
        <x:v>763</x:v>
      </x:c>
      <x:c r="F655" s="70" t="s">
        <x:v>1471</x:v>
      </x:c>
      <x:c r="G655" s="70" t="s">
        <x:v>1310</x:v>
      </x:c>
      <x:c r="H655" s="70" t="s">
        <x:v>849</x:v>
      </x:c>
      <x:c r="I655" s="70" t="s">
        <x:v>833</x:v>
      </x:c>
      <x:c r="J655" s="70" t="n">
        <x:v>240</x:v>
      </x:c>
      <x:c r="K655" s="70" t="s">
        <x:v>1311</x:v>
      </x:c>
      <x:c r="L655" s="70"/>
      <x:c r="M655" s="70" t="s">
        <x:v>34</x:v>
      </x:c>
      <x:c r="N655" s="71" t="n">
        <x:v>342935</x:v>
      </x:c>
      <x:c r="O655" s="72" t="n">
        <x:f aca="0">N655/1000</x:f>
        <x:v>342.935</x:v>
      </x:c>
      <x:c r="P655" s="73" t="n">
        <x:f aca="0">LUCK!G53</x:f>
        <x:v>342.935</x:v>
      </x:c>
      <x:c r="Q655" s="70" t="str">
        <x:f aca="0">IF(ABS(O655-P655)&lt;0.000001,"PASS","FAIL")</x:f>
        <x:v>PASS</x:v>
      </x:c>
      <x:c r="R655" s="70" t="s">
        <x:v>33</x:v>
      </x:c>
      <x:c r="S655" s="70"/>
    </x:row>
    <x:row r="656" ht="15" hidden="0">
      <x:c r="A656" s="70" t="s">
        <x:v>1476</x:v>
      </x:c>
      <x:c r="B656" s="70" t="s">
        <x:v>30</x:v>
      </x:c>
      <x:c r="C656" s="70" t="s">
        <x:v>105</x:v>
      </x:c>
      <x:c r="D656" s="70" t="s">
        <x:v>172</x:v>
      </x:c>
      <x:c r="E656" s="70" t="s">
        <x:v>763</x:v>
      </x:c>
      <x:c r="F656" s="70" t="s">
        <x:v>1471</x:v>
      </x:c>
      <x:c r="G656" s="70" t="s">
        <x:v>1310</x:v>
      </x:c>
      <x:c r="H656" s="70" t="s">
        <x:v>849</x:v>
      </x:c>
      <x:c r="I656" s="70" t="s">
        <x:v>852</x:v>
      </x:c>
      <x:c r="J656" s="70" t="n">
        <x:v>240</x:v>
      </x:c>
      <x:c r="K656" s="70" t="s">
        <x:v>1311</x:v>
      </x:c>
      <x:c r="L656" s="70"/>
      <x:c r="M656" s="70" t="s">
        <x:v>34</x:v>
      </x:c>
      <x:c r="N656" s="71" t="n">
        <x:v>185616</x:v>
      </x:c>
      <x:c r="O656" s="72" t="n">
        <x:f aca="0">N656/1000</x:f>
        <x:v>185.616</x:v>
      </x:c>
      <x:c r="P656" s="73" t="n">
        <x:f aca="0">LUCK!H53</x:f>
        <x:v>185.616</x:v>
      </x:c>
      <x:c r="Q656" s="70" t="str">
        <x:f aca="0">IF(ABS(O656-P656)&lt;0.000001,"PASS","FAIL")</x:f>
        <x:v>PASS</x:v>
      </x:c>
      <x:c r="R656" s="70" t="s">
        <x:v>33</x:v>
      </x:c>
      <x:c r="S656" s="70"/>
    </x:row>
    <x:row r="657" ht="15" hidden="0">
      <x:c r="A657" s="70" t="s">
        <x:v>1477</x:v>
      </x:c>
      <x:c r="B657" s="70" t="s">
        <x:v>30</x:v>
      </x:c>
      <x:c r="C657" s="70" t="s">
        <x:v>717</x:v>
      </x:c>
      <x:c r="D657" s="70" t="s">
        <x:v>174</x:v>
      </x:c>
      <x:c r="E657" s="70" t="s">
        <x:v>763</x:v>
      </x:c>
      <x:c r="F657" s="70" t="s">
        <x:v>1478</x:v>
      </x:c>
      <x:c r="G657" s="70" t="s">
        <x:v>1298</x:v>
      </x:c>
      <x:c r="H657" s="70" t="s">
        <x:v>832</x:v>
      </x:c>
      <x:c r="I657" s="70" t="s">
        <x:v>833</x:v>
      </x:c>
      <x:c r="J657" s="70" t="n">
        <x:v>191</x:v>
      </x:c>
      <x:c r="K657" s="70" t="s">
        <x:v>834</x:v>
      </x:c>
      <x:c r="L657" s="70" t="s">
        <x:v>1479</x:v>
      </x:c>
      <x:c r="M657" s="70" t="s">
        <x:v>34</x:v>
      </x:c>
      <x:c r="N657" s="71" t="n">
        <x:v>7931444</x:v>
      </x:c>
      <x:c r="O657" s="72" t="n">
        <x:f aca="0">N657/1000</x:f>
        <x:v>7931.444</x:v>
      </x:c>
      <x:c r="P657" s="73" t="n">
        <x:f aca="0">LUCK!C54</x:f>
        <x:v>7931.444</x:v>
      </x:c>
      <x:c r="Q657" s="70" t="str">
        <x:f aca="0">IF(ABS(O657-P657)&lt;0.000001,"PASS","FAIL")</x:f>
        <x:v>PASS</x:v>
      </x:c>
      <x:c r="R657" s="70" t="s">
        <x:v>33</x:v>
      </x:c>
      <x:c r="S657" s="70"/>
    </x:row>
    <x:row r="658" ht="15" hidden="0">
      <x:c r="A658" s="70" t="s">
        <x:v>1480</x:v>
      </x:c>
      <x:c r="B658" s="70" t="s">
        <x:v>30</x:v>
      </x:c>
      <x:c r="C658" s="70" t="s">
        <x:v>101</x:v>
      </x:c>
      <x:c r="D658" s="70" t="s">
        <x:v>174</x:v>
      </x:c>
      <x:c r="E658" s="70" t="s">
        <x:v>763</x:v>
      </x:c>
      <x:c r="F658" s="70" t="s">
        <x:v>1481</x:v>
      </x:c>
      <x:c r="G658" s="70" t="s">
        <x:v>1301</x:v>
      </x:c>
      <x:c r="H658" s="70" t="s">
        <x:v>838</x:v>
      </x:c>
      <x:c r="I658" s="70" t="s">
        <x:v>833</x:v>
      </x:c>
      <x:c r="J658" s="70" t="n">
        <x:v>226</x:v>
      </x:c>
      <x:c r="K658" s="70" t="s">
        <x:v>1302</x:v>
      </x:c>
      <x:c r="L658" s="70" t="s">
        <x:v>1479</x:v>
      </x:c>
      <x:c r="M658" s="70" t="s">
        <x:v>34</x:v>
      </x:c>
      <x:c r="N658" s="71" t="n">
        <x:v>7050000</x:v>
      </x:c>
      <x:c r="O658" s="72" t="n">
        <x:f aca="0">N658/1000</x:f>
        <x:v>7050</x:v>
      </x:c>
      <x:c r="P658" s="73" t="n">
        <x:f aca="0">LUCK!D54</x:f>
        <x:v>7050</x:v>
      </x:c>
      <x:c r="Q658" s="70" t="str">
        <x:f aca="0">IF(ABS(O658-P658)&lt;0.000001,"PASS","FAIL")</x:f>
        <x:v>PASS</x:v>
      </x:c>
      <x:c r="R658" s="70" t="s">
        <x:v>33</x:v>
      </x:c>
      <x:c r="S658" s="70"/>
    </x:row>
    <x:row r="659" ht="15" hidden="0">
      <x:c r="A659" s="70" t="s">
        <x:v>1482</x:v>
      </x:c>
      <x:c r="B659" s="70" t="s">
        <x:v>30</x:v>
      </x:c>
      <x:c r="C659" s="70" t="s">
        <x:v>102</x:v>
      </x:c>
      <x:c r="D659" s="70" t="s">
        <x:v>174</x:v>
      </x:c>
      <x:c r="E659" s="70" t="s">
        <x:v>763</x:v>
      </x:c>
      <x:c r="F659" s="70" t="s">
        <x:v>1481</x:v>
      </x:c>
      <x:c r="G659" s="70" t="s">
        <x:v>1304</x:v>
      </x:c>
      <x:c r="H659" s="70" t="s">
        <x:v>842</x:v>
      </x:c>
      <x:c r="I659" s="70" t="s">
        <x:v>833</x:v>
      </x:c>
      <x:c r="J659" s="70" t="n">
        <x:v>234</x:v>
      </x:c>
      <x:c r="K659" s="70" t="s">
        <x:v>1305</x:v>
      </x:c>
      <x:c r="L659" s="70" t="s">
        <x:v>1479</x:v>
      </x:c>
      <x:c r="M659" s="70" t="s">
        <x:v>34</x:v>
      </x:c>
      <x:c r="N659" s="71" t="n">
        <x:v>1000000</x:v>
      </x:c>
      <x:c r="O659" s="72" t="n">
        <x:f aca="0">N659/1000</x:f>
        <x:v>1000</x:v>
      </x:c>
      <x:c r="P659" s="73" t="n">
        <x:f aca="0">LUCK!E54</x:f>
        <x:v>1000</x:v>
      </x:c>
      <x:c r="Q659" s="70" t="str">
        <x:f aca="0">IF(ABS(O659-P659)&lt;0.000001,"PASS","FAIL")</x:f>
        <x:v>PASS</x:v>
      </x:c>
      <x:c r="R659" s="70" t="s">
        <x:v>33</x:v>
      </x:c>
      <x:c r="S659" s="70"/>
    </x:row>
    <x:row r="660" ht="15" hidden="0">
      <x:c r="A660" s="70" t="s">
        <x:v>1483</x:v>
      </x:c>
      <x:c r="B660" s="70" t="s">
        <x:v>30</x:v>
      </x:c>
      <x:c r="C660" s="70" t="s">
        <x:v>103</x:v>
      </x:c>
      <x:c r="D660" s="70" t="s">
        <x:v>174</x:v>
      </x:c>
      <x:c r="E660" s="70" t="s">
        <x:v>763</x:v>
      </x:c>
      <x:c r="F660" s="70" t="s">
        <x:v>1481</x:v>
      </x:c>
      <x:c r="G660" s="70" t="s">
        <x:v>1307</x:v>
      </x:c>
      <x:c r="H660" s="70" t="s">
        <x:v>845</x:v>
      </x:c>
      <x:c r="I660" s="70" t="s">
        <x:v>833</x:v>
      </x:c>
      <x:c r="J660" s="70" t="n">
        <x:v>238</x:v>
      </x:c>
      <x:c r="K660" s="70" t="s">
        <x:v>1308</x:v>
      </x:c>
      <x:c r="L660" s="70" t="s">
        <x:v>1479</x:v>
      </x:c>
      <x:c r="M660" s="70" t="s">
        <x:v>34</x:v>
      </x:c>
      <x:c r="N660" s="71" t="n">
        <x:v>5885000</x:v>
      </x:c>
      <x:c r="O660" s="72" t="n">
        <x:f aca="0">N660/1000</x:f>
        <x:v>5885</x:v>
      </x:c>
      <x:c r="P660" s="73" t="n">
        <x:f aca="0">LUCK!F54</x:f>
        <x:v>5885</x:v>
      </x:c>
      <x:c r="Q660" s="70" t="str">
        <x:f aca="0">IF(ABS(O660-P660)&lt;0.000001,"PASS","FAIL")</x:f>
        <x:v>PASS</x:v>
      </x:c>
      <x:c r="R660" s="70" t="s">
        <x:v>33</x:v>
      </x:c>
      <x:c r="S660" s="70"/>
    </x:row>
    <x:row r="661" ht="15" hidden="0">
      <x:c r="A661" s="70" t="s">
        <x:v>1484</x:v>
      </x:c>
      <x:c r="B661" s="70" t="s">
        <x:v>30</x:v>
      </x:c>
      <x:c r="C661" s="70" t="s">
        <x:v>104</x:v>
      </x:c>
      <x:c r="D661" s="70" t="s">
        <x:v>174</x:v>
      </x:c>
      <x:c r="E661" s="70" t="s">
        <x:v>763</x:v>
      </x:c>
      <x:c r="F661" s="70" t="s">
        <x:v>1478</x:v>
      </x:c>
      <x:c r="G661" s="70" t="s">
        <x:v>1310</x:v>
      </x:c>
      <x:c r="H661" s="70" t="s">
        <x:v>849</x:v>
      </x:c>
      <x:c r="I661" s="70" t="s">
        <x:v>833</x:v>
      </x:c>
      <x:c r="J661" s="70" t="n">
        <x:v>240</x:v>
      </x:c>
      <x:c r="K661" s="70" t="s">
        <x:v>1311</x:v>
      </x:c>
      <x:c r="L661" s="70" t="s">
        <x:v>935</x:v>
      </x:c>
      <x:c r="M661" s="70" t="s">
        <x:v>34</x:v>
      </x:c>
      <x:c r="N661" s="71" t="n">
        <x:v>5485000</x:v>
      </x:c>
      <x:c r="O661" s="72" t="n">
        <x:f aca="0">N661/1000</x:f>
        <x:v>5485</x:v>
      </x:c>
      <x:c r="P661" s="73" t="n">
        <x:f aca="0">LUCK!G54</x:f>
        <x:v>5485</x:v>
      </x:c>
      <x:c r="Q661" s="70" t="str">
        <x:f aca="0">IF(ABS(O661-P661)&lt;0.000001,"PASS","FAIL")</x:f>
        <x:v>PASS</x:v>
      </x:c>
      <x:c r="R661" s="70" t="s">
        <x:v>33</x:v>
      </x:c>
      <x:c r="S661" s="70"/>
    </x:row>
    <x:row r="662" ht="15" hidden="0">
      <x:c r="A662" s="70" t="s">
        <x:v>1485</x:v>
      </x:c>
      <x:c r="B662" s="70" t="s">
        <x:v>30</x:v>
      </x:c>
      <x:c r="C662" s="70" t="s">
        <x:v>105</x:v>
      </x:c>
      <x:c r="D662" s="70" t="s">
        <x:v>174</x:v>
      </x:c>
      <x:c r="E662" s="70" t="s">
        <x:v>763</x:v>
      </x:c>
      <x:c r="F662" s="70" t="s">
        <x:v>1478</x:v>
      </x:c>
      <x:c r="G662" s="70" t="s">
        <x:v>1310</x:v>
      </x:c>
      <x:c r="H662" s="70" t="s">
        <x:v>849</x:v>
      </x:c>
      <x:c r="I662" s="70" t="s">
        <x:v>852</x:v>
      </x:c>
      <x:c r="J662" s="70" t="n">
        <x:v>240</x:v>
      </x:c>
      <x:c r="K662" s="70" t="s">
        <x:v>1311</x:v>
      </x:c>
      <x:c r="L662" s="70" t="s">
        <x:v>935</x:v>
      </x:c>
      <x:c r="M662" s="70" t="s">
        <x:v>34</x:v>
      </x:c>
      <x:c r="N662" s="71" t="n">
        <x:v>6485000</x:v>
      </x:c>
      <x:c r="O662" s="72" t="n">
        <x:f aca="0">N662/1000</x:f>
        <x:v>6485</x:v>
      </x:c>
      <x:c r="P662" s="73" t="n">
        <x:f aca="0">LUCK!H54</x:f>
        <x:v>6485</x:v>
      </x:c>
      <x:c r="Q662" s="70" t="str">
        <x:f aca="0">IF(ABS(O662-P662)&lt;0.000001,"PASS","FAIL")</x:f>
        <x:v>PASS</x:v>
      </x:c>
      <x:c r="R662" s="70" t="s">
        <x:v>33</x:v>
      </x:c>
      <x:c r="S662" s="70"/>
    </x:row>
    <x:row r="663" ht="15" hidden="0">
      <x:c r="A663" s="70" t="s">
        <x:v>1486</x:v>
      </x:c>
      <x:c r="B663" s="70" t="s">
        <x:v>30</x:v>
      </x:c>
      <x:c r="C663" s="70" t="s">
        <x:v>717</x:v>
      </x:c>
      <x:c r="D663" s="70" t="s">
        <x:v>176</x:v>
      </x:c>
      <x:c r="E663" s="70" t="s">
        <x:v>763</x:v>
      </x:c>
      <x:c r="F663" s="70" t="s">
        <x:v>1487</x:v>
      </x:c>
      <x:c r="G663" s="70" t="s">
        <x:v>1298</x:v>
      </x:c>
      <x:c r="H663" s="70" t="s">
        <x:v>832</x:v>
      </x:c>
      <x:c r="I663" s="70" t="s">
        <x:v>833</x:v>
      </x:c>
      <x:c r="J663" s="70" t="n">
        <x:v>191</x:v>
      </x:c>
      <x:c r="K663" s="70" t="s">
        <x:v>834</x:v>
      </x:c>
      <x:c r="L663" s="70" t="s">
        <x:v>919</x:v>
      </x:c>
      <x:c r="M663" s="70" t="s">
        <x:v>34</x:v>
      </x:c>
      <x:c r="N663" s="71" t="n">
        <x:v>126727</x:v>
      </x:c>
      <x:c r="O663" s="72" t="n">
        <x:f aca="0">N663/1000</x:f>
        <x:v>126.727</x:v>
      </x:c>
      <x:c r="P663" s="73" t="n">
        <x:f aca="0">LUCK!C55</x:f>
        <x:v>126.727</x:v>
      </x:c>
      <x:c r="Q663" s="70" t="str">
        <x:f aca="0">IF(ABS(O663-P663)&lt;0.000001,"PASS","FAIL")</x:f>
        <x:v>PASS</x:v>
      </x:c>
      <x:c r="R663" s="70" t="s">
        <x:v>33</x:v>
      </x:c>
      <x:c r="S663" s="70"/>
    </x:row>
    <x:row r="664" ht="15" hidden="0">
      <x:c r="A664" s="70" t="s">
        <x:v>1488</x:v>
      </x:c>
      <x:c r="B664" s="70" t="s">
        <x:v>30</x:v>
      </x:c>
      <x:c r="C664" s="70" t="s">
        <x:v>101</x:v>
      </x:c>
      <x:c r="D664" s="70" t="s">
        <x:v>176</x:v>
      </x:c>
      <x:c r="E664" s="70" t="s">
        <x:v>763</x:v>
      </x:c>
      <x:c r="F664" s="70" t="s">
        <x:v>1487</x:v>
      </x:c>
      <x:c r="G664" s="70" t="s">
        <x:v>1301</x:v>
      </x:c>
      <x:c r="H664" s="70" t="s">
        <x:v>838</x:v>
      </x:c>
      <x:c r="I664" s="70" t="s">
        <x:v>833</x:v>
      </x:c>
      <x:c r="J664" s="70" t="n">
        <x:v>226</x:v>
      </x:c>
      <x:c r="K664" s="70" t="s">
        <x:v>1302</x:v>
      </x:c>
      <x:c r="L664" s="70" t="s">
        <x:v>919</x:v>
      </x:c>
      <x:c r="M664" s="70" t="s">
        <x:v>34</x:v>
      </x:c>
      <x:c r="N664" s="71" t="n">
        <x:v>506908</x:v>
      </x:c>
      <x:c r="O664" s="72" t="n">
        <x:f aca="0">N664/1000</x:f>
        <x:v>506.908</x:v>
      </x:c>
      <x:c r="P664" s="73" t="n">
        <x:f aca="0">LUCK!D55</x:f>
        <x:v>506.908</x:v>
      </x:c>
      <x:c r="Q664" s="70" t="str">
        <x:f aca="0">IF(ABS(O664-P664)&lt;0.000001,"PASS","FAIL")</x:f>
        <x:v>PASS</x:v>
      </x:c>
      <x:c r="R664" s="70" t="s">
        <x:v>33</x:v>
      </x:c>
      <x:c r="S664" s="70"/>
    </x:row>
    <x:row r="665" ht="15" hidden="0">
      <x:c r="A665" s="70" t="s">
        <x:v>1489</x:v>
      </x:c>
      <x:c r="B665" s="70" t="s">
        <x:v>30</x:v>
      </x:c>
      <x:c r="C665" s="70" t="s">
        <x:v>102</x:v>
      </x:c>
      <x:c r="D665" s="70" t="s">
        <x:v>176</x:v>
      </x:c>
      <x:c r="E665" s="70" t="s">
        <x:v>763</x:v>
      </x:c>
      <x:c r="F665" s="70" t="s">
        <x:v>1487</x:v>
      </x:c>
      <x:c r="G665" s="70" t="s">
        <x:v>1304</x:v>
      </x:c>
      <x:c r="H665" s="70" t="s">
        <x:v>842</x:v>
      </x:c>
      <x:c r="I665" s="70" t="s">
        <x:v>833</x:v>
      </x:c>
      <x:c r="J665" s="70" t="n">
        <x:v>234</x:v>
      </x:c>
      <x:c r="K665" s="70" t="s">
        <x:v>1305</x:v>
      </x:c>
      <x:c r="L665" s="70" t="s">
        <x:v>919</x:v>
      </x:c>
      <x:c r="M665" s="70" t="s">
        <x:v>34</x:v>
      </x:c>
      <x:c r="N665" s="71" t="n">
        <x:v>487202</x:v>
      </x:c>
      <x:c r="O665" s="72" t="n">
        <x:f aca="0">N665/1000</x:f>
        <x:v>487.202</x:v>
      </x:c>
      <x:c r="P665" s="73" t="n">
        <x:f aca="0">LUCK!E55</x:f>
        <x:v>487.202</x:v>
      </x:c>
      <x:c r="Q665" s="70" t="str">
        <x:f aca="0">IF(ABS(O665-P665)&lt;0.000001,"PASS","FAIL")</x:f>
        <x:v>PASS</x:v>
      </x:c>
      <x:c r="R665" s="70" t="s">
        <x:v>33</x:v>
      </x:c>
      <x:c r="S665" s="70"/>
    </x:row>
    <x:row r="666" ht="15" hidden="0">
      <x:c r="A666" s="70" t="s">
        <x:v>1490</x:v>
      </x:c>
      <x:c r="B666" s="70" t="s">
        <x:v>30</x:v>
      </x:c>
      <x:c r="C666" s="70" t="s">
        <x:v>103</x:v>
      </x:c>
      <x:c r="D666" s="70" t="s">
        <x:v>176</x:v>
      </x:c>
      <x:c r="E666" s="70" t="s">
        <x:v>763</x:v>
      </x:c>
      <x:c r="F666" s="70" t="s">
        <x:v>1487</x:v>
      </x:c>
      <x:c r="G666" s="70" t="s">
        <x:v>1307</x:v>
      </x:c>
      <x:c r="H666" s="70" t="s">
        <x:v>845</x:v>
      </x:c>
      <x:c r="I666" s="70" t="s">
        <x:v>833</x:v>
      </x:c>
      <x:c r="J666" s="70" t="n">
        <x:v>238</x:v>
      </x:c>
      <x:c r="K666" s="70" t="s">
        <x:v>1308</x:v>
      </x:c>
      <x:c r="L666" s="70" t="s">
        <x:v>919</x:v>
      </x:c>
      <x:c r="M666" s="70" t="s">
        <x:v>34</x:v>
      </x:c>
      <x:c r="N666" s="71" t="n">
        <x:v>599653</x:v>
      </x:c>
      <x:c r="O666" s="72" t="n">
        <x:f aca="0">N666/1000</x:f>
        <x:v>599.653</x:v>
      </x:c>
      <x:c r="P666" s="73" t="n">
        <x:f aca="0">LUCK!F55</x:f>
        <x:v>599.653</x:v>
      </x:c>
      <x:c r="Q666" s="70" t="str">
        <x:f aca="0">IF(ABS(O666-P666)&lt;0.000001,"PASS","FAIL")</x:f>
        <x:v>PASS</x:v>
      </x:c>
      <x:c r="R666" s="70" t="s">
        <x:v>33</x:v>
      </x:c>
      <x:c r="S666" s="70"/>
    </x:row>
    <x:row r="667" ht="15" hidden="0">
      <x:c r="A667" s="70" t="s">
        <x:v>1491</x:v>
      </x:c>
      <x:c r="B667" s="70" t="s">
        <x:v>30</x:v>
      </x:c>
      <x:c r="C667" s="70" t="s">
        <x:v>104</x:v>
      </x:c>
      <x:c r="D667" s="70" t="s">
        <x:v>176</x:v>
      </x:c>
      <x:c r="E667" s="70" t="s">
        <x:v>763</x:v>
      </x:c>
      <x:c r="F667" s="70" t="s">
        <x:v>1492</x:v>
      </x:c>
      <x:c r="G667" s="70" t="s">
        <x:v>1310</x:v>
      </x:c>
      <x:c r="H667" s="70" t="s">
        <x:v>849</x:v>
      </x:c>
      <x:c r="I667" s="70" t="s">
        <x:v>833</x:v>
      </x:c>
      <x:c r="J667" s="70" t="n">
        <x:v>240</x:v>
      </x:c>
      <x:c r="K667" s="70" t="s">
        <x:v>1311</x:v>
      </x:c>
      <x:c r="L667" s="70" t="s">
        <x:v>911</x:v>
      </x:c>
      <x:c r="M667" s="70" t="s">
        <x:v>34</x:v>
      </x:c>
      <x:c r="N667" s="71" t="n">
        <x:v>2099147</x:v>
      </x:c>
      <x:c r="O667" s="72" t="n">
        <x:f aca="0">N667/1000</x:f>
        <x:v>2099.147</x:v>
      </x:c>
      <x:c r="P667" s="73" t="n">
        <x:f aca="0">LUCK!G55</x:f>
        <x:v>2099.147</x:v>
      </x:c>
      <x:c r="Q667" s="70" t="str">
        <x:f aca="0">IF(ABS(O667-P667)&lt;0.000001,"PASS","FAIL")</x:f>
        <x:v>PASS</x:v>
      </x:c>
      <x:c r="R667" s="70" t="s">
        <x:v>33</x:v>
      </x:c>
      <x:c r="S667" s="70"/>
    </x:row>
    <x:row r="668" ht="15" hidden="0">
      <x:c r="A668" s="70" t="s">
        <x:v>1493</x:v>
      </x:c>
      <x:c r="B668" s="70" t="s">
        <x:v>30</x:v>
      </x:c>
      <x:c r="C668" s="70" t="s">
        <x:v>105</x:v>
      </x:c>
      <x:c r="D668" s="70" t="s">
        <x:v>176</x:v>
      </x:c>
      <x:c r="E668" s="70" t="s">
        <x:v>763</x:v>
      </x:c>
      <x:c r="F668" s="70" t="s">
        <x:v>1492</x:v>
      </x:c>
      <x:c r="G668" s="70" t="s">
        <x:v>1310</x:v>
      </x:c>
      <x:c r="H668" s="70" t="s">
        <x:v>849</x:v>
      </x:c>
      <x:c r="I668" s="70" t="s">
        <x:v>852</x:v>
      </x:c>
      <x:c r="J668" s="70" t="n">
        <x:v>240</x:v>
      </x:c>
      <x:c r="K668" s="70" t="s">
        <x:v>1311</x:v>
      </x:c>
      <x:c r="L668" s="70" t="s">
        <x:v>911</x:v>
      </x:c>
      <x:c r="M668" s="70" t="s">
        <x:v>34</x:v>
      </x:c>
      <x:c r="N668" s="71" t="n">
        <x:v>1866085</x:v>
      </x:c>
      <x:c r="O668" s="72" t="n">
        <x:f aca="0">N668/1000</x:f>
        <x:v>1866.085</x:v>
      </x:c>
      <x:c r="P668" s="73" t="n">
        <x:f aca="0">LUCK!H55</x:f>
        <x:v>1866.085</x:v>
      </x:c>
      <x:c r="Q668" s="70" t="str">
        <x:f aca="0">IF(ABS(O668-P668)&lt;0.000001,"PASS","FAIL")</x:f>
        <x:v>PASS</x:v>
      </x:c>
      <x:c r="R668" s="70" t="s">
        <x:v>33</x:v>
      </x:c>
      <x:c r="S668" s="70"/>
    </x:row>
    <x:row r="669" ht="15" hidden="0">
      <x:c r="A669" s="70" t="s">
        <x:v>1494</x:v>
      </x:c>
      <x:c r="B669" s="70" t="s">
        <x:v>30</x:v>
      </x:c>
      <x:c r="C669" s="70" t="s">
        <x:v>717</x:v>
      </x:c>
      <x:c r="D669" s="70" t="s">
        <x:v>178</x:v>
      </x:c>
      <x:c r="E669" s="70" t="s">
        <x:v>763</x:v>
      </x:c>
      <x:c r="F669" s="70"/>
      <x:c r="G669" s="70" t="s">
        <x:v>1298</x:v>
      </x:c>
      <x:c r="H669" s="70" t="s">
        <x:v>832</x:v>
      </x:c>
      <x:c r="I669" s="70" t="s">
        <x:v>833</x:v>
      </x:c>
      <x:c r="J669" s="70" t="n">
        <x:v>191</x:v>
      </x:c>
      <x:c r="K669" s="70" t="s">
        <x:v>834</x:v>
      </x:c>
      <x:c r="L669" s="70"/>
      <x:c r="M669" s="70" t="s">
        <x:v>34</x:v>
      </x:c>
      <x:c r="N669" s="71" t="n">
        <x:v>0</x:v>
      </x:c>
      <x:c r="O669" s="72" t="n">
        <x:f aca="0">N669/1000</x:f>
        <x:v>0</x:v>
      </x:c>
      <x:c r="P669" s="73" t="n">
        <x:f aca="0">LUCK!C56</x:f>
        <x:v>0</x:v>
      </x:c>
      <x:c r="Q669" s="70" t="str">
        <x:f aca="0">IF(ABS(O669-P669)&lt;0.000001,"PASS","FAIL")</x:f>
        <x:v>PASS</x:v>
      </x:c>
      <x:c r="R669" s="70" t="s">
        <x:v>33</x:v>
      </x:c>
      <x:c r="S669" s="70"/>
    </x:row>
    <x:row r="670" ht="15" hidden="0">
      <x:c r="A670" s="70" t="s">
        <x:v>1495</x:v>
      </x:c>
      <x:c r="B670" s="70" t="s">
        <x:v>30</x:v>
      </x:c>
      <x:c r="C670" s="70" t="s">
        <x:v>101</x:v>
      </x:c>
      <x:c r="D670" s="70" t="s">
        <x:v>178</x:v>
      </x:c>
      <x:c r="E670" s="70" t="s">
        <x:v>763</x:v>
      </x:c>
      <x:c r="F670" s="70"/>
      <x:c r="G670" s="70" t="s">
        <x:v>1301</x:v>
      </x:c>
      <x:c r="H670" s="70" t="s">
        <x:v>838</x:v>
      </x:c>
      <x:c r="I670" s="70" t="s">
        <x:v>833</x:v>
      </x:c>
      <x:c r="J670" s="70" t="n">
        <x:v>226</x:v>
      </x:c>
      <x:c r="K670" s="70" t="s">
        <x:v>1302</x:v>
      </x:c>
      <x:c r="L670" s="70"/>
      <x:c r="M670" s="70" t="s">
        <x:v>34</x:v>
      </x:c>
      <x:c r="N670" s="71" t="n">
        <x:v>0</x:v>
      </x:c>
      <x:c r="O670" s="72" t="n">
        <x:f aca="0">N670/1000</x:f>
        <x:v>0</x:v>
      </x:c>
      <x:c r="P670" s="73" t="n">
        <x:f aca="0">LUCK!D56</x:f>
        <x:v>0</x:v>
      </x:c>
      <x:c r="Q670" s="70" t="str">
        <x:f aca="0">IF(ABS(O670-P670)&lt;0.000001,"PASS","FAIL")</x:f>
        <x:v>PASS</x:v>
      </x:c>
      <x:c r="R670" s="70" t="s">
        <x:v>33</x:v>
      </x:c>
      <x:c r="S670" s="70"/>
    </x:row>
    <x:row r="671" ht="15" hidden="0">
      <x:c r="A671" s="70" t="s">
        <x:v>1496</x:v>
      </x:c>
      <x:c r="B671" s="70" t="s">
        <x:v>30</x:v>
      </x:c>
      <x:c r="C671" s="70" t="s">
        <x:v>102</x:v>
      </x:c>
      <x:c r="D671" s="70" t="s">
        <x:v>178</x:v>
      </x:c>
      <x:c r="E671" s="70" t="s">
        <x:v>763</x:v>
      </x:c>
      <x:c r="F671" s="70"/>
      <x:c r="G671" s="70" t="s">
        <x:v>1304</x:v>
      </x:c>
      <x:c r="H671" s="70" t="s">
        <x:v>842</x:v>
      </x:c>
      <x:c r="I671" s="70" t="s">
        <x:v>833</x:v>
      </x:c>
      <x:c r="J671" s="70" t="n">
        <x:v>234</x:v>
      </x:c>
      <x:c r="K671" s="70" t="s">
        <x:v>1305</x:v>
      </x:c>
      <x:c r="L671" s="70"/>
      <x:c r="M671" s="70" t="s">
        <x:v>34</x:v>
      </x:c>
      <x:c r="N671" s="71" t="n">
        <x:v>0</x:v>
      </x:c>
      <x:c r="O671" s="72" t="n">
        <x:f aca="0">N671/1000</x:f>
        <x:v>0</x:v>
      </x:c>
      <x:c r="P671" s="73" t="n">
        <x:f aca="0">LUCK!E56</x:f>
        <x:v>0</x:v>
      </x:c>
      <x:c r="Q671" s="70" t="str">
        <x:f aca="0">IF(ABS(O671-P671)&lt;0.000001,"PASS","FAIL")</x:f>
        <x:v>PASS</x:v>
      </x:c>
      <x:c r="R671" s="70" t="s">
        <x:v>33</x:v>
      </x:c>
      <x:c r="S671" s="70"/>
    </x:row>
    <x:row r="672" ht="15" hidden="0">
      <x:c r="A672" s="70" t="s">
        <x:v>1497</x:v>
      </x:c>
      <x:c r="B672" s="70" t="s">
        <x:v>30</x:v>
      </x:c>
      <x:c r="C672" s="70" t="s">
        <x:v>103</x:v>
      </x:c>
      <x:c r="D672" s="70" t="s">
        <x:v>178</x:v>
      </x:c>
      <x:c r="E672" s="70" t="s">
        <x:v>763</x:v>
      </x:c>
      <x:c r="F672" s="70"/>
      <x:c r="G672" s="70" t="s">
        <x:v>1307</x:v>
      </x:c>
      <x:c r="H672" s="70" t="s">
        <x:v>845</x:v>
      </x:c>
      <x:c r="I672" s="70" t="s">
        <x:v>833</x:v>
      </x:c>
      <x:c r="J672" s="70" t="n">
        <x:v>238</x:v>
      </x:c>
      <x:c r="K672" s="70" t="s">
        <x:v>1308</x:v>
      </x:c>
      <x:c r="L672" s="70"/>
      <x:c r="M672" s="70" t="s">
        <x:v>34</x:v>
      </x:c>
      <x:c r="N672" s="71" t="n">
        <x:v>0</x:v>
      </x:c>
      <x:c r="O672" s="72" t="n">
        <x:f aca="0">N672/1000</x:f>
        <x:v>0</x:v>
      </x:c>
      <x:c r="P672" s="73" t="n">
        <x:f aca="0">LUCK!F56</x:f>
        <x:v>0</x:v>
      </x:c>
      <x:c r="Q672" s="70" t="str">
        <x:f aca="0">IF(ABS(O672-P672)&lt;0.000001,"PASS","FAIL")</x:f>
        <x:v>PASS</x:v>
      </x:c>
      <x:c r="R672" s="70" t="s">
        <x:v>33</x:v>
      </x:c>
      <x:c r="S672" s="70"/>
    </x:row>
    <x:row r="673" ht="15" hidden="0">
      <x:c r="A673" s="70" t="s">
        <x:v>1498</x:v>
      </x:c>
      <x:c r="B673" s="70" t="s">
        <x:v>30</x:v>
      </x:c>
      <x:c r="C673" s="70" t="s">
        <x:v>104</x:v>
      </x:c>
      <x:c r="D673" s="70" t="s">
        <x:v>178</x:v>
      </x:c>
      <x:c r="E673" s="70" t="s">
        <x:v>763</x:v>
      </x:c>
      <x:c r="F673" s="70"/>
      <x:c r="G673" s="70" t="s">
        <x:v>1310</x:v>
      </x:c>
      <x:c r="H673" s="70" t="s">
        <x:v>849</x:v>
      </x:c>
      <x:c r="I673" s="70" t="s">
        <x:v>833</x:v>
      </x:c>
      <x:c r="J673" s="70" t="n">
        <x:v>240</x:v>
      </x:c>
      <x:c r="K673" s="70" t="s">
        <x:v>1311</x:v>
      </x:c>
      <x:c r="L673" s="70"/>
      <x:c r="M673" s="70" t="s">
        <x:v>34</x:v>
      </x:c>
      <x:c r="N673" s="71" t="n">
        <x:v>0</x:v>
      </x:c>
      <x:c r="O673" s="72" t="n">
        <x:f aca="0">N673/1000</x:f>
        <x:v>0</x:v>
      </x:c>
      <x:c r="P673" s="73" t="n">
        <x:f aca="0">LUCK!G56</x:f>
        <x:v>0</x:v>
      </x:c>
      <x:c r="Q673" s="70" t="str">
        <x:f aca="0">IF(ABS(O673-P673)&lt;0.000001,"PASS","FAIL")</x:f>
        <x:v>PASS</x:v>
      </x:c>
      <x:c r="R673" s="70" t="s">
        <x:v>33</x:v>
      </x:c>
      <x:c r="S673" s="70"/>
    </x:row>
    <x:row r="674" ht="15" hidden="0">
      <x:c r="A674" s="70" t="s">
        <x:v>1499</x:v>
      </x:c>
      <x:c r="B674" s="70" t="s">
        <x:v>30</x:v>
      </x:c>
      <x:c r="C674" s="70" t="s">
        <x:v>105</x:v>
      </x:c>
      <x:c r="D674" s="70" t="s">
        <x:v>178</x:v>
      </x:c>
      <x:c r="E674" s="70" t="s">
        <x:v>763</x:v>
      </x:c>
      <x:c r="F674" s="70"/>
      <x:c r="G674" s="70" t="s">
        <x:v>1310</x:v>
      </x:c>
      <x:c r="H674" s="70" t="s">
        <x:v>849</x:v>
      </x:c>
      <x:c r="I674" s="70" t="s">
        <x:v>852</x:v>
      </x:c>
      <x:c r="J674" s="70" t="n">
        <x:v>240</x:v>
      </x:c>
      <x:c r="K674" s="70" t="s">
        <x:v>1311</x:v>
      </x:c>
      <x:c r="L674" s="70"/>
      <x:c r="M674" s="70" t="s">
        <x:v>34</x:v>
      </x:c>
      <x:c r="N674" s="71" t="n">
        <x:v>0</x:v>
      </x:c>
      <x:c r="O674" s="72" t="n">
        <x:f aca="0">N674/1000</x:f>
        <x:v>0</x:v>
      </x:c>
      <x:c r="P674" s="73" t="n">
        <x:f aca="0">LUCK!H56</x:f>
        <x:v>0</x:v>
      </x:c>
      <x:c r="Q674" s="70" t="str">
        <x:f aca="0">IF(ABS(O674-P674)&lt;0.000001,"PASS","FAIL")</x:f>
        <x:v>PASS</x:v>
      </x:c>
      <x:c r="R674" s="70" t="s">
        <x:v>33</x:v>
      </x:c>
      <x:c r="S674" s="70"/>
    </x:row>
    <x:row r="675" ht="15" hidden="0">
      <x:c r="A675" s="70" t="s">
        <x:v>1500</x:v>
      </x:c>
      <x:c r="B675" s="70" t="s">
        <x:v>30</x:v>
      </x:c>
      <x:c r="C675" s="70" t="s">
        <x:v>717</x:v>
      </x:c>
      <x:c r="D675" s="70" t="s">
        <x:v>180</x:v>
      </x:c>
      <x:c r="E675" s="70" t="s">
        <x:v>763</x:v>
      </x:c>
      <x:c r="F675" s="70"/>
      <x:c r="G675" s="70" t="s">
        <x:v>1298</x:v>
      </x:c>
      <x:c r="H675" s="70" t="s">
        <x:v>832</x:v>
      </x:c>
      <x:c r="I675" s="70" t="s">
        <x:v>833</x:v>
      </x:c>
      <x:c r="J675" s="70" t="n">
        <x:v>191</x:v>
      </x:c>
      <x:c r="K675" s="70" t="s">
        <x:v>834</x:v>
      </x:c>
      <x:c r="L675" s="70"/>
      <x:c r="M675" s="70" t="s">
        <x:v>34</x:v>
      </x:c>
      <x:c r="N675" s="71" t="n">
        <x:v>0</x:v>
      </x:c>
      <x:c r="O675" s="72" t="n">
        <x:f aca="0">N675/1000</x:f>
        <x:v>0</x:v>
      </x:c>
      <x:c r="P675" s="73" t="n">
        <x:f aca="0">LUCK!C57</x:f>
        <x:v>0</x:v>
      </x:c>
      <x:c r="Q675" s="70" t="str">
        <x:f aca="0">IF(ABS(O675-P675)&lt;0.000001,"PASS","FAIL")</x:f>
        <x:v>PASS</x:v>
      </x:c>
      <x:c r="R675" s="70" t="s">
        <x:v>33</x:v>
      </x:c>
      <x:c r="S675" s="70"/>
    </x:row>
    <x:row r="676" ht="15" hidden="0">
      <x:c r="A676" s="70" t="s">
        <x:v>1501</x:v>
      </x:c>
      <x:c r="B676" s="70" t="s">
        <x:v>30</x:v>
      </x:c>
      <x:c r="C676" s="70" t="s">
        <x:v>101</x:v>
      </x:c>
      <x:c r="D676" s="70" t="s">
        <x:v>180</x:v>
      </x:c>
      <x:c r="E676" s="70" t="s">
        <x:v>763</x:v>
      </x:c>
      <x:c r="F676" s="70"/>
      <x:c r="G676" s="70" t="s">
        <x:v>1301</x:v>
      </x:c>
      <x:c r="H676" s="70" t="s">
        <x:v>838</x:v>
      </x:c>
      <x:c r="I676" s="70" t="s">
        <x:v>833</x:v>
      </x:c>
      <x:c r="J676" s="70" t="n">
        <x:v>226</x:v>
      </x:c>
      <x:c r="K676" s="70" t="s">
        <x:v>1302</x:v>
      </x:c>
      <x:c r="L676" s="70"/>
      <x:c r="M676" s="70" t="s">
        <x:v>34</x:v>
      </x:c>
      <x:c r="N676" s="71" t="n">
        <x:v>0</x:v>
      </x:c>
      <x:c r="O676" s="72" t="n">
        <x:f aca="0">N676/1000</x:f>
        <x:v>0</x:v>
      </x:c>
      <x:c r="P676" s="73" t="n">
        <x:f aca="0">LUCK!D57</x:f>
        <x:v>0</x:v>
      </x:c>
      <x:c r="Q676" s="70" t="str">
        <x:f aca="0">IF(ABS(O676-P676)&lt;0.000001,"PASS","FAIL")</x:f>
        <x:v>PASS</x:v>
      </x:c>
      <x:c r="R676" s="70" t="s">
        <x:v>33</x:v>
      </x:c>
      <x:c r="S676" s="70"/>
    </x:row>
    <x:row r="677" ht="15" hidden="0">
      <x:c r="A677" s="70" t="s">
        <x:v>1502</x:v>
      </x:c>
      <x:c r="B677" s="70" t="s">
        <x:v>30</x:v>
      </x:c>
      <x:c r="C677" s="70" t="s">
        <x:v>102</x:v>
      </x:c>
      <x:c r="D677" s="70" t="s">
        <x:v>180</x:v>
      </x:c>
      <x:c r="E677" s="70" t="s">
        <x:v>763</x:v>
      </x:c>
      <x:c r="F677" s="70"/>
      <x:c r="G677" s="70" t="s">
        <x:v>1304</x:v>
      </x:c>
      <x:c r="H677" s="70" t="s">
        <x:v>842</x:v>
      </x:c>
      <x:c r="I677" s="70" t="s">
        <x:v>833</x:v>
      </x:c>
      <x:c r="J677" s="70" t="n">
        <x:v>234</x:v>
      </x:c>
      <x:c r="K677" s="70" t="s">
        <x:v>1305</x:v>
      </x:c>
      <x:c r="L677" s="70"/>
      <x:c r="M677" s="70" t="s">
        <x:v>34</x:v>
      </x:c>
      <x:c r="N677" s="71" t="n">
        <x:v>0</x:v>
      </x:c>
      <x:c r="O677" s="72" t="n">
        <x:f aca="0">N677/1000</x:f>
        <x:v>0</x:v>
      </x:c>
      <x:c r="P677" s="73" t="n">
        <x:f aca="0">LUCK!E57</x:f>
        <x:v>0</x:v>
      </x:c>
      <x:c r="Q677" s="70" t="str">
        <x:f aca="0">IF(ABS(O677-P677)&lt;0.000001,"PASS","FAIL")</x:f>
        <x:v>PASS</x:v>
      </x:c>
      <x:c r="R677" s="70" t="s">
        <x:v>33</x:v>
      </x:c>
      <x:c r="S677" s="70"/>
    </x:row>
    <x:row r="678" ht="15" hidden="0">
      <x:c r="A678" s="70" t="s">
        <x:v>1503</x:v>
      </x:c>
      <x:c r="B678" s="70" t="s">
        <x:v>30</x:v>
      </x:c>
      <x:c r="C678" s="70" t="s">
        <x:v>103</x:v>
      </x:c>
      <x:c r="D678" s="70" t="s">
        <x:v>180</x:v>
      </x:c>
      <x:c r="E678" s="70" t="s">
        <x:v>763</x:v>
      </x:c>
      <x:c r="F678" s="70"/>
      <x:c r="G678" s="70" t="s">
        <x:v>1307</x:v>
      </x:c>
      <x:c r="H678" s="70" t="s">
        <x:v>845</x:v>
      </x:c>
      <x:c r="I678" s="70" t="s">
        <x:v>833</x:v>
      </x:c>
      <x:c r="J678" s="70" t="n">
        <x:v>238</x:v>
      </x:c>
      <x:c r="K678" s="70" t="s">
        <x:v>1308</x:v>
      </x:c>
      <x:c r="L678" s="70"/>
      <x:c r="M678" s="70" t="s">
        <x:v>34</x:v>
      </x:c>
      <x:c r="N678" s="71" t="n">
        <x:v>0</x:v>
      </x:c>
      <x:c r="O678" s="72" t="n">
        <x:f aca="0">N678/1000</x:f>
        <x:v>0</x:v>
      </x:c>
      <x:c r="P678" s="73" t="n">
        <x:f aca="0">LUCK!F57</x:f>
        <x:v>0</x:v>
      </x:c>
      <x:c r="Q678" s="70" t="str">
        <x:f aca="0">IF(ABS(O678-P678)&lt;0.000001,"PASS","FAIL")</x:f>
        <x:v>PASS</x:v>
      </x:c>
      <x:c r="R678" s="70" t="s">
        <x:v>33</x:v>
      </x:c>
      <x:c r="S678" s="70"/>
    </x:row>
    <x:row r="679" ht="15" hidden="0">
      <x:c r="A679" s="70" t="s">
        <x:v>1504</x:v>
      </x:c>
      <x:c r="B679" s="70" t="s">
        <x:v>30</x:v>
      </x:c>
      <x:c r="C679" s="70" t="s">
        <x:v>104</x:v>
      </x:c>
      <x:c r="D679" s="70" t="s">
        <x:v>180</x:v>
      </x:c>
      <x:c r="E679" s="70" t="s">
        <x:v>763</x:v>
      </x:c>
      <x:c r="F679" s="70"/>
      <x:c r="G679" s="70" t="s">
        <x:v>1310</x:v>
      </x:c>
      <x:c r="H679" s="70" t="s">
        <x:v>849</x:v>
      </x:c>
      <x:c r="I679" s="70" t="s">
        <x:v>833</x:v>
      </x:c>
      <x:c r="J679" s="70" t="n">
        <x:v>240</x:v>
      </x:c>
      <x:c r="K679" s="70" t="s">
        <x:v>1311</x:v>
      </x:c>
      <x:c r="L679" s="70"/>
      <x:c r="M679" s="70" t="s">
        <x:v>34</x:v>
      </x:c>
      <x:c r="N679" s="71" t="n">
        <x:v>0</x:v>
      </x:c>
      <x:c r="O679" s="72" t="n">
        <x:f aca="0">N679/1000</x:f>
        <x:v>0</x:v>
      </x:c>
      <x:c r="P679" s="73" t="n">
        <x:f aca="0">LUCK!G57</x:f>
        <x:v>0</x:v>
      </x:c>
      <x:c r="Q679" s="70" t="str">
        <x:f aca="0">IF(ABS(O679-P679)&lt;0.000001,"PASS","FAIL")</x:f>
        <x:v>PASS</x:v>
      </x:c>
      <x:c r="R679" s="70" t="s">
        <x:v>33</x:v>
      </x:c>
      <x:c r="S679" s="70"/>
    </x:row>
    <x:row r="680" ht="15" hidden="0">
      <x:c r="A680" s="70" t="s">
        <x:v>1505</x:v>
      </x:c>
      <x:c r="B680" s="70" t="s">
        <x:v>30</x:v>
      </x:c>
      <x:c r="C680" s="70" t="s">
        <x:v>105</x:v>
      </x:c>
      <x:c r="D680" s="70" t="s">
        <x:v>180</x:v>
      </x:c>
      <x:c r="E680" s="70" t="s">
        <x:v>763</x:v>
      </x:c>
      <x:c r="F680" s="70"/>
      <x:c r="G680" s="70" t="s">
        <x:v>1310</x:v>
      </x:c>
      <x:c r="H680" s="70" t="s">
        <x:v>849</x:v>
      </x:c>
      <x:c r="I680" s="70" t="s">
        <x:v>852</x:v>
      </x:c>
      <x:c r="J680" s="70" t="n">
        <x:v>240</x:v>
      </x:c>
      <x:c r="K680" s="70" t="s">
        <x:v>1311</x:v>
      </x:c>
      <x:c r="L680" s="70"/>
      <x:c r="M680" s="70" t="s">
        <x:v>34</x:v>
      </x:c>
      <x:c r="N680" s="71" t="n">
        <x:v>0</x:v>
      </x:c>
      <x:c r="O680" s="72" t="n">
        <x:f aca="0">N680/1000</x:f>
        <x:v>0</x:v>
      </x:c>
      <x:c r="P680" s="73" t="n">
        <x:f aca="0">LUCK!H57</x:f>
        <x:v>0</x:v>
      </x:c>
      <x:c r="Q680" s="70" t="str">
        <x:f aca="0">IF(ABS(O680-P680)&lt;0.000001,"PASS","FAIL")</x:f>
        <x:v>PASS</x:v>
      </x:c>
      <x:c r="R680" s="70" t="s">
        <x:v>33</x:v>
      </x:c>
      <x:c r="S680" s="70"/>
    </x:row>
    <x:row r="681" ht="15" hidden="0">
      <x:c r="A681" s="70" t="s">
        <x:v>1506</x:v>
      </x:c>
      <x:c r="B681" s="70" t="s">
        <x:v>30</x:v>
      </x:c>
      <x:c r="C681" s="70" t="s">
        <x:v>717</x:v>
      </x:c>
      <x:c r="D681" s="70" t="s">
        <x:v>182</x:v>
      </x:c>
      <x:c r="E681" s="70" t="s">
        <x:v>763</x:v>
      </x:c>
      <x:c r="F681" s="70" t="s">
        <x:v>1507</x:v>
      </x:c>
      <x:c r="G681" s="70" t="s">
        <x:v>1298</x:v>
      </x:c>
      <x:c r="H681" s="70" t="s">
        <x:v>832</x:v>
      </x:c>
      <x:c r="I681" s="70" t="s">
        <x:v>833</x:v>
      </x:c>
      <x:c r="J681" s="70" t="n">
        <x:v>191</x:v>
      </x:c>
      <x:c r="K681" s="70" t="s">
        <x:v>834</x:v>
      </x:c>
      <x:c r="L681" s="70"/>
      <x:c r="M681" s="70" t="s">
        <x:v>34</x:v>
      </x:c>
      <x:c r="N681" s="71" t="n">
        <x:v>73347</x:v>
      </x:c>
      <x:c r="O681" s="72" t="n">
        <x:f aca="0">N681/1000</x:f>
        <x:v>73.347</x:v>
      </x:c>
      <x:c r="P681" s="73" t="n">
        <x:f aca="0">LUCK!C58</x:f>
        <x:v>73.347</x:v>
      </x:c>
      <x:c r="Q681" s="70" t="str">
        <x:f aca="0">IF(ABS(O681-P681)&lt;0.000001,"PASS","FAIL")</x:f>
        <x:v>PASS</x:v>
      </x:c>
      <x:c r="R681" s="70" t="s">
        <x:v>33</x:v>
      </x:c>
      <x:c r="S681" s="70"/>
    </x:row>
    <x:row r="682" ht="15" hidden="0">
      <x:c r="A682" s="70" t="s">
        <x:v>1508</x:v>
      </x:c>
      <x:c r="B682" s="70" t="s">
        <x:v>30</x:v>
      </x:c>
      <x:c r="C682" s="70" t="s">
        <x:v>101</x:v>
      </x:c>
      <x:c r="D682" s="70" t="s">
        <x:v>182</x:v>
      </x:c>
      <x:c r="E682" s="70" t="s">
        <x:v>763</x:v>
      </x:c>
      <x:c r="F682" s="70" t="s">
        <x:v>1509</x:v>
      </x:c>
      <x:c r="G682" s="70" t="s">
        <x:v>1301</x:v>
      </x:c>
      <x:c r="H682" s="70" t="s">
        <x:v>838</x:v>
      </x:c>
      <x:c r="I682" s="70" t="s">
        <x:v>833</x:v>
      </x:c>
      <x:c r="J682" s="70" t="n">
        <x:v>226</x:v>
      </x:c>
      <x:c r="K682" s="70" t="s">
        <x:v>1302</x:v>
      </x:c>
      <x:c r="L682" s="70"/>
      <x:c r="M682" s="70" t="s">
        <x:v>34</x:v>
      </x:c>
      <x:c r="N682" s="71" t="n">
        <x:v>53458</x:v>
      </x:c>
      <x:c r="O682" s="72" t="n">
        <x:f aca="0">N682/1000</x:f>
        <x:v>53.458</x:v>
      </x:c>
      <x:c r="P682" s="73" t="n">
        <x:f aca="0">LUCK!D58</x:f>
        <x:v>53.458</x:v>
      </x:c>
      <x:c r="Q682" s="70" t="str">
        <x:f aca="0">IF(ABS(O682-P682)&lt;0.000001,"PASS","FAIL")</x:f>
        <x:v>PASS</x:v>
      </x:c>
      <x:c r="R682" s="70" t="s">
        <x:v>33</x:v>
      </x:c>
      <x:c r="S682" s="70"/>
    </x:row>
    <x:row r="683" ht="15" hidden="0">
      <x:c r="A683" s="70" t="s">
        <x:v>1510</x:v>
      </x:c>
      <x:c r="B683" s="70" t="s">
        <x:v>30</x:v>
      </x:c>
      <x:c r="C683" s="70" t="s">
        <x:v>102</x:v>
      </x:c>
      <x:c r="D683" s="70" t="s">
        <x:v>182</x:v>
      </x:c>
      <x:c r="E683" s="70" t="s">
        <x:v>763</x:v>
      </x:c>
      <x:c r="F683" s="70" t="s">
        <x:v>1509</x:v>
      </x:c>
      <x:c r="G683" s="70" t="s">
        <x:v>1304</x:v>
      </x:c>
      <x:c r="H683" s="70" t="s">
        <x:v>842</x:v>
      </x:c>
      <x:c r="I683" s="70" t="s">
        <x:v>833</x:v>
      </x:c>
      <x:c r="J683" s="70" t="n">
        <x:v>234</x:v>
      </x:c>
      <x:c r="K683" s="70" t="s">
        <x:v>1305</x:v>
      </x:c>
      <x:c r="L683" s="70"/>
      <x:c r="M683" s="70" t="s">
        <x:v>34</x:v>
      </x:c>
      <x:c r="N683" s="71" t="n">
        <x:v>51030</x:v>
      </x:c>
      <x:c r="O683" s="72" t="n">
        <x:f aca="0">N683/1000</x:f>
        <x:v>51.03</x:v>
      </x:c>
      <x:c r="P683" s="73" t="n">
        <x:f aca="0">LUCK!E58</x:f>
        <x:v>51.03</x:v>
      </x:c>
      <x:c r="Q683" s="70" t="str">
        <x:f aca="0">IF(ABS(O683-P683)&lt;0.000001,"PASS","FAIL")</x:f>
        <x:v>PASS</x:v>
      </x:c>
      <x:c r="R683" s="70" t="s">
        <x:v>33</x:v>
      </x:c>
      <x:c r="S683" s="70"/>
    </x:row>
    <x:row r="684" ht="15" hidden="0">
      <x:c r="A684" s="70" t="s">
        <x:v>1511</x:v>
      </x:c>
      <x:c r="B684" s="70" t="s">
        <x:v>30</x:v>
      </x:c>
      <x:c r="C684" s="70" t="s">
        <x:v>103</x:v>
      </x:c>
      <x:c r="D684" s="70" t="s">
        <x:v>182</x:v>
      </x:c>
      <x:c r="E684" s="70" t="s">
        <x:v>763</x:v>
      </x:c>
      <x:c r="F684" s="70" t="s">
        <x:v>1509</x:v>
      </x:c>
      <x:c r="G684" s="70" t="s">
        <x:v>1307</x:v>
      </x:c>
      <x:c r="H684" s="70" t="s">
        <x:v>845</x:v>
      </x:c>
      <x:c r="I684" s="70" t="s">
        <x:v>833</x:v>
      </x:c>
      <x:c r="J684" s="70" t="n">
        <x:v>238</x:v>
      </x:c>
      <x:c r="K684" s="70" t="s">
        <x:v>1308</x:v>
      </x:c>
      <x:c r="L684" s="70"/>
      <x:c r="M684" s="70" t="s">
        <x:v>34</x:v>
      </x:c>
      <x:c r="N684" s="71" t="n">
        <x:v>50115</x:v>
      </x:c>
      <x:c r="O684" s="72" t="n">
        <x:f aca="0">N684/1000</x:f>
        <x:v>50.115</x:v>
      </x:c>
      <x:c r="P684" s="73" t="n">
        <x:f aca="0">LUCK!F58</x:f>
        <x:v>50.115</x:v>
      </x:c>
      <x:c r="Q684" s="70" t="str">
        <x:f aca="0">IF(ABS(O684-P684)&lt;0.000001,"PASS","FAIL")</x:f>
        <x:v>PASS</x:v>
      </x:c>
      <x:c r="R684" s="70" t="s">
        <x:v>33</x:v>
      </x:c>
      <x:c r="S684" s="70"/>
    </x:row>
    <x:row r="685" ht="15" hidden="0">
      <x:c r="A685" s="70" t="s">
        <x:v>1512</x:v>
      </x:c>
      <x:c r="B685" s="70" t="s">
        <x:v>30</x:v>
      </x:c>
      <x:c r="C685" s="70" t="s">
        <x:v>104</x:v>
      </x:c>
      <x:c r="D685" s="70" t="s">
        <x:v>182</x:v>
      </x:c>
      <x:c r="E685" s="70" t="s">
        <x:v>763</x:v>
      </x:c>
      <x:c r="F685" s="70" t="s">
        <x:v>1509</x:v>
      </x:c>
      <x:c r="G685" s="70" t="s">
        <x:v>1310</x:v>
      </x:c>
      <x:c r="H685" s="70" t="s">
        <x:v>849</x:v>
      </x:c>
      <x:c r="I685" s="70" t="s">
        <x:v>833</x:v>
      </x:c>
      <x:c r="J685" s="70" t="n">
        <x:v>240</x:v>
      </x:c>
      <x:c r="K685" s="70" t="s">
        <x:v>1311</x:v>
      </x:c>
      <x:c r="L685" s="70"/>
      <x:c r="M685" s="70" t="s">
        <x:v>34</x:v>
      </x:c>
      <x:c r="N685" s="71" t="n">
        <x:v>59148</x:v>
      </x:c>
      <x:c r="O685" s="72" t="n">
        <x:f aca="0">N685/1000</x:f>
        <x:v>59.148</x:v>
      </x:c>
      <x:c r="P685" s="73" t="n">
        <x:f aca="0">LUCK!G58</x:f>
        <x:v>59.148</x:v>
      </x:c>
      <x:c r="Q685" s="70" t="str">
        <x:f aca="0">IF(ABS(O685-P685)&lt;0.000001,"PASS","FAIL")</x:f>
        <x:v>PASS</x:v>
      </x:c>
      <x:c r="R685" s="70" t="s">
        <x:v>33</x:v>
      </x:c>
      <x:c r="S685" s="70"/>
    </x:row>
    <x:row r="686" ht="15" hidden="0">
      <x:c r="A686" s="70" t="s">
        <x:v>1513</x:v>
      </x:c>
      <x:c r="B686" s="70" t="s">
        <x:v>30</x:v>
      </x:c>
      <x:c r="C686" s="70" t="s">
        <x:v>105</x:v>
      </x:c>
      <x:c r="D686" s="70" t="s">
        <x:v>182</x:v>
      </x:c>
      <x:c r="E686" s="70" t="s">
        <x:v>763</x:v>
      </x:c>
      <x:c r="F686" s="70" t="s">
        <x:v>1509</x:v>
      </x:c>
      <x:c r="G686" s="70" t="s">
        <x:v>1310</x:v>
      </x:c>
      <x:c r="H686" s="70" t="s">
        <x:v>849</x:v>
      </x:c>
      <x:c r="I686" s="70" t="s">
        <x:v>852</x:v>
      </x:c>
      <x:c r="J686" s="70" t="n">
        <x:v>240</x:v>
      </x:c>
      <x:c r="K686" s="70" t="s">
        <x:v>1311</x:v>
      </x:c>
      <x:c r="L686" s="70"/>
      <x:c r="M686" s="70" t="s">
        <x:v>34</x:v>
      </x:c>
      <x:c r="N686" s="71" t="n">
        <x:v>65745</x:v>
      </x:c>
      <x:c r="O686" s="72" t="n">
        <x:f aca="0">N686/1000</x:f>
        <x:v>65.745</x:v>
      </x:c>
      <x:c r="P686" s="73" t="n">
        <x:f aca="0">LUCK!H58</x:f>
        <x:v>65.745</x:v>
      </x:c>
      <x:c r="Q686" s="70" t="str">
        <x:f aca="0">IF(ABS(O686-P686)&lt;0.000001,"PASS","FAIL")</x:f>
        <x:v>PASS</x:v>
      </x:c>
      <x:c r="R686" s="70" t="s">
        <x:v>33</x:v>
      </x:c>
      <x:c r="S686" s="70"/>
    </x:row>
    <x:row r="687" ht="15" hidden="0">
      <x:c r="A687" s="70" t="s">
        <x:v>1514</x:v>
      </x:c>
      <x:c r="B687" s="70" t="s">
        <x:v>30</x:v>
      </x:c>
      <x:c r="C687" s="70" t="s">
        <x:v>717</x:v>
      </x:c>
      <x:c r="D687" s="70" t="s">
        <x:v>184</x:v>
      </x:c>
      <x:c r="E687" s="70" t="s">
        <x:v>763</x:v>
      </x:c>
      <x:c r="F687" s="70" t="s">
        <x:v>1515</x:v>
      </x:c>
      <x:c r="G687" s="70" t="s">
        <x:v>1298</x:v>
      </x:c>
      <x:c r="H687" s="70" t="s">
        <x:v>832</x:v>
      </x:c>
      <x:c r="I687" s="70" t="s">
        <x:v>833</x:v>
      </x:c>
      <x:c r="J687" s="70" t="n">
        <x:v>191</x:v>
      </x:c>
      <x:c r="K687" s="70" t="s">
        <x:v>834</x:v>
      </x:c>
      <x:c r="L687" s="70"/>
      <x:c r="M687" s="70" t="s">
        <x:v>34</x:v>
      </x:c>
      <x:c r="N687" s="71" t="n">
        <x:v>1422867</x:v>
      </x:c>
      <x:c r="O687" s="72" t="n">
        <x:f aca="0">N687/1000</x:f>
        <x:v>1422.867</x:v>
      </x:c>
      <x:c r="P687" s="73" t="n">
        <x:f aca="0">LUCK!C59</x:f>
        <x:v>1422.867</x:v>
      </x:c>
      <x:c r="Q687" s="70" t="str">
        <x:f aca="0">IF(ABS(O687-P687)&lt;0.000001,"PASS","FAIL")</x:f>
        <x:v>PASS</x:v>
      </x:c>
      <x:c r="R687" s="70" t="s">
        <x:v>33</x:v>
      </x:c>
      <x:c r="S687" s="70"/>
    </x:row>
    <x:row r="688" ht="15" hidden="0">
      <x:c r="A688" s="70" t="s">
        <x:v>1516</x:v>
      </x:c>
      <x:c r="B688" s="70" t="s">
        <x:v>30</x:v>
      </x:c>
      <x:c r="C688" s="70" t="s">
        <x:v>101</x:v>
      </x:c>
      <x:c r="D688" s="70" t="s">
        <x:v>184</x:v>
      </x:c>
      <x:c r="E688" s="70" t="s">
        <x:v>763</x:v>
      </x:c>
      <x:c r="F688" s="70" t="s">
        <x:v>1515</x:v>
      </x:c>
      <x:c r="G688" s="70" t="s">
        <x:v>1301</x:v>
      </x:c>
      <x:c r="H688" s="70" t="s">
        <x:v>838</x:v>
      </x:c>
      <x:c r="I688" s="70" t="s">
        <x:v>833</x:v>
      </x:c>
      <x:c r="J688" s="70" t="n">
        <x:v>226</x:v>
      </x:c>
      <x:c r="K688" s="70" t="s">
        <x:v>1302</x:v>
      </x:c>
      <x:c r="L688" s="70"/>
      <x:c r="M688" s="70" t="s">
        <x:v>34</x:v>
      </x:c>
      <x:c r="N688" s="71" t="n">
        <x:v>1916072</x:v>
      </x:c>
      <x:c r="O688" s="72" t="n">
        <x:f aca="0">N688/1000</x:f>
        <x:v>1916.072</x:v>
      </x:c>
      <x:c r="P688" s="73" t="n">
        <x:f aca="0">LUCK!D59</x:f>
        <x:v>1916.072</x:v>
      </x:c>
      <x:c r="Q688" s="70" t="str">
        <x:f aca="0">IF(ABS(O688-P688)&lt;0.000001,"PASS","FAIL")</x:f>
        <x:v>PASS</x:v>
      </x:c>
      <x:c r="R688" s="70" t="s">
        <x:v>33</x:v>
      </x:c>
      <x:c r="S688" s="70"/>
    </x:row>
    <x:row r="689" ht="15" hidden="0">
      <x:c r="A689" s="70" t="s">
        <x:v>1517</x:v>
      </x:c>
      <x:c r="B689" s="70" t="s">
        <x:v>30</x:v>
      </x:c>
      <x:c r="C689" s="70" t="s">
        <x:v>102</x:v>
      </x:c>
      <x:c r="D689" s="70" t="s">
        <x:v>184</x:v>
      </x:c>
      <x:c r="E689" s="70" t="s">
        <x:v>763</x:v>
      </x:c>
      <x:c r="F689" s="70" t="s">
        <x:v>1515</x:v>
      </x:c>
      <x:c r="G689" s="70" t="s">
        <x:v>1304</x:v>
      </x:c>
      <x:c r="H689" s="70" t="s">
        <x:v>842</x:v>
      </x:c>
      <x:c r="I689" s="70" t="s">
        <x:v>833</x:v>
      </x:c>
      <x:c r="J689" s="70" t="n">
        <x:v>234</x:v>
      </x:c>
      <x:c r="K689" s="70" t="s">
        <x:v>1305</x:v>
      </x:c>
      <x:c r="L689" s="70"/>
      <x:c r="M689" s="70" t="s">
        <x:v>34</x:v>
      </x:c>
      <x:c r="N689" s="71" t="n">
        <x:v>5496191</x:v>
      </x:c>
      <x:c r="O689" s="72" t="n">
        <x:f aca="0">N689/1000</x:f>
        <x:v>5496.191</x:v>
      </x:c>
      <x:c r="P689" s="73" t="n">
        <x:f aca="0">LUCK!E59</x:f>
        <x:v>5496.191</x:v>
      </x:c>
      <x:c r="Q689" s="70" t="str">
        <x:f aca="0">IF(ABS(O689-P689)&lt;0.000001,"PASS","FAIL")</x:f>
        <x:v>PASS</x:v>
      </x:c>
      <x:c r="R689" s="70" t="s">
        <x:v>33</x:v>
      </x:c>
      <x:c r="S689" s="70"/>
    </x:row>
    <x:row r="690" ht="15" hidden="0">
      <x:c r="A690" s="70" t="s">
        <x:v>1518</x:v>
      </x:c>
      <x:c r="B690" s="70" t="s">
        <x:v>30</x:v>
      </x:c>
      <x:c r="C690" s="70" t="s">
        <x:v>103</x:v>
      </x:c>
      <x:c r="D690" s="70" t="s">
        <x:v>184</x:v>
      </x:c>
      <x:c r="E690" s="70" t="s">
        <x:v>763</x:v>
      </x:c>
      <x:c r="F690" s="70" t="s">
        <x:v>1515</x:v>
      </x:c>
      <x:c r="G690" s="70" t="s">
        <x:v>1307</x:v>
      </x:c>
      <x:c r="H690" s="70" t="s">
        <x:v>845</x:v>
      </x:c>
      <x:c r="I690" s="70" t="s">
        <x:v>833</x:v>
      </x:c>
      <x:c r="J690" s="70" t="n">
        <x:v>238</x:v>
      </x:c>
      <x:c r="K690" s="70" t="s">
        <x:v>1308</x:v>
      </x:c>
      <x:c r="L690" s="70"/>
      <x:c r="M690" s="70" t="s">
        <x:v>34</x:v>
      </x:c>
      <x:c r="N690" s="71" t="n">
        <x:v>9229664</x:v>
      </x:c>
      <x:c r="O690" s="72" t="n">
        <x:f aca="0">N690/1000</x:f>
        <x:v>9229.664</x:v>
      </x:c>
      <x:c r="P690" s="73" t="n">
        <x:f aca="0">LUCK!F59</x:f>
        <x:v>9229.664</x:v>
      </x:c>
      <x:c r="Q690" s="70" t="str">
        <x:f aca="0">IF(ABS(O690-P690)&lt;0.000001,"PASS","FAIL")</x:f>
        <x:v>PASS</x:v>
      </x:c>
      <x:c r="R690" s="70" t="s">
        <x:v>33</x:v>
      </x:c>
      <x:c r="S690" s="70"/>
    </x:row>
    <x:row r="691" ht="15" hidden="0">
      <x:c r="A691" s="70" t="s">
        <x:v>1519</x:v>
      </x:c>
      <x:c r="B691" s="70" t="s">
        <x:v>30</x:v>
      </x:c>
      <x:c r="C691" s="70" t="s">
        <x:v>104</x:v>
      </x:c>
      <x:c r="D691" s="70" t="s">
        <x:v>184</x:v>
      </x:c>
      <x:c r="E691" s="70" t="s">
        <x:v>763</x:v>
      </x:c>
      <x:c r="F691" s="70" t="s">
        <x:v>1515</x:v>
      </x:c>
      <x:c r="G691" s="70" t="s">
        <x:v>1310</x:v>
      </x:c>
      <x:c r="H691" s="70" t="s">
        <x:v>849</x:v>
      </x:c>
      <x:c r="I691" s="70" t="s">
        <x:v>833</x:v>
      </x:c>
      <x:c r="J691" s="70" t="n">
        <x:v>240</x:v>
      </x:c>
      <x:c r="K691" s="70" t="s">
        <x:v>1311</x:v>
      </x:c>
      <x:c r="L691" s="70"/>
      <x:c r="M691" s="70" t="s">
        <x:v>34</x:v>
      </x:c>
      <x:c r="N691" s="71" t="n">
        <x:v>16195618</x:v>
      </x:c>
      <x:c r="O691" s="72" t="n">
        <x:f aca="0">N691/1000</x:f>
        <x:v>16195.618</x:v>
      </x:c>
      <x:c r="P691" s="73" t="n">
        <x:f aca="0">LUCK!G59</x:f>
        <x:v>16195.618</x:v>
      </x:c>
      <x:c r="Q691" s="70" t="str">
        <x:f aca="0">IF(ABS(O691-P691)&lt;0.000001,"PASS","FAIL")</x:f>
        <x:v>PASS</x:v>
      </x:c>
      <x:c r="R691" s="70" t="s">
        <x:v>33</x:v>
      </x:c>
      <x:c r="S691" s="70"/>
    </x:row>
    <x:row r="692" ht="15" hidden="0">
      <x:c r="A692" s="70" t="s">
        <x:v>1520</x:v>
      </x:c>
      <x:c r="B692" s="70" t="s">
        <x:v>30</x:v>
      </x:c>
      <x:c r="C692" s="70" t="s">
        <x:v>105</x:v>
      </x:c>
      <x:c r="D692" s="70" t="s">
        <x:v>184</x:v>
      </x:c>
      <x:c r="E692" s="70" t="s">
        <x:v>763</x:v>
      </x:c>
      <x:c r="F692" s="70" t="s">
        <x:v>1515</x:v>
      </x:c>
      <x:c r="G692" s="70" t="s">
        <x:v>1310</x:v>
      </x:c>
      <x:c r="H692" s="70" t="s">
        <x:v>849</x:v>
      </x:c>
      <x:c r="I692" s="70" t="s">
        <x:v>852</x:v>
      </x:c>
      <x:c r="J692" s="70" t="n">
        <x:v>240</x:v>
      </x:c>
      <x:c r="K692" s="70" t="s">
        <x:v>1311</x:v>
      </x:c>
      <x:c r="L692" s="70"/>
      <x:c r="M692" s="70" t="s">
        <x:v>34</x:v>
      </x:c>
      <x:c r="N692" s="71" t="n">
        <x:v>22738018</x:v>
      </x:c>
      <x:c r="O692" s="72" t="n">
        <x:f aca="0">N692/1000</x:f>
        <x:v>22738.018</x:v>
      </x:c>
      <x:c r="P692" s="73" t="n">
        <x:f aca="0">LUCK!H59</x:f>
        <x:v>22738.018</x:v>
      </x:c>
      <x:c r="Q692" s="70" t="str">
        <x:f aca="0">IF(ABS(O692-P692)&lt;0.000001,"PASS","FAIL")</x:f>
        <x:v>PASS</x:v>
      </x:c>
      <x:c r="R692" s="70" t="s">
        <x:v>33</x:v>
      </x:c>
      <x:c r="S692" s="70"/>
    </x:row>
    <x:row r="693" ht="15" hidden="0">
      <x:c r="A693" s="70" t="s">
        <x:v>1521</x:v>
      </x:c>
      <x:c r="B693" s="70" t="s">
        <x:v>30</x:v>
      </x:c>
      <x:c r="C693" s="70" t="s">
        <x:v>717</x:v>
      </x:c>
      <x:c r="D693" s="70" t="s">
        <x:v>186</x:v>
      </x:c>
      <x:c r="E693" s="70" t="s">
        <x:v>763</x:v>
      </x:c>
      <x:c r="F693" s="70"/>
      <x:c r="G693" s="70" t="s">
        <x:v>1298</x:v>
      </x:c>
      <x:c r="H693" s="70" t="s">
        <x:v>832</x:v>
      </x:c>
      <x:c r="I693" s="70" t="s">
        <x:v>833</x:v>
      </x:c>
      <x:c r="J693" s="70" t="n">
        <x:v>191</x:v>
      </x:c>
      <x:c r="K693" s="70" t="s">
        <x:v>834</x:v>
      </x:c>
      <x:c r="L693" s="70"/>
      <x:c r="M693" s="70" t="s">
        <x:v>34</x:v>
      </x:c>
      <x:c r="N693" s="71" t="n">
        <x:v>0</x:v>
      </x:c>
      <x:c r="O693" s="72" t="n">
        <x:f aca="0">N693/1000</x:f>
        <x:v>0</x:v>
      </x:c>
      <x:c r="P693" s="73" t="n">
        <x:f aca="0">LUCK!C60</x:f>
        <x:v>0</x:v>
      </x:c>
      <x:c r="Q693" s="70" t="str">
        <x:f aca="0">IF(ABS(O693-P693)&lt;0.000001,"PASS","FAIL")</x:f>
        <x:v>PASS</x:v>
      </x:c>
      <x:c r="R693" s="70" t="s">
        <x:v>33</x:v>
      </x:c>
      <x:c r="S693" s="70"/>
    </x:row>
    <x:row r="694" ht="15" hidden="0">
      <x:c r="A694" s="70" t="s">
        <x:v>1522</x:v>
      </x:c>
      <x:c r="B694" s="70" t="s">
        <x:v>30</x:v>
      </x:c>
      <x:c r="C694" s="70" t="s">
        <x:v>101</x:v>
      </x:c>
      <x:c r="D694" s="70" t="s">
        <x:v>186</x:v>
      </x:c>
      <x:c r="E694" s="70" t="s">
        <x:v>763</x:v>
      </x:c>
      <x:c r="F694" s="70"/>
      <x:c r="G694" s="70" t="s">
        <x:v>1301</x:v>
      </x:c>
      <x:c r="H694" s="70" t="s">
        <x:v>838</x:v>
      </x:c>
      <x:c r="I694" s="70" t="s">
        <x:v>833</x:v>
      </x:c>
      <x:c r="J694" s="70" t="n">
        <x:v>226</x:v>
      </x:c>
      <x:c r="K694" s="70" t="s">
        <x:v>1302</x:v>
      </x:c>
      <x:c r="L694" s="70"/>
      <x:c r="M694" s="70" t="s">
        <x:v>34</x:v>
      </x:c>
      <x:c r="N694" s="71" t="n">
        <x:v>0</x:v>
      </x:c>
      <x:c r="O694" s="72" t="n">
        <x:f aca="0">N694/1000</x:f>
        <x:v>0</x:v>
      </x:c>
      <x:c r="P694" s="73" t="n">
        <x:f aca="0">LUCK!D60</x:f>
        <x:v>0</x:v>
      </x:c>
      <x:c r="Q694" s="70" t="str">
        <x:f aca="0">IF(ABS(O694-P694)&lt;0.000001,"PASS","FAIL")</x:f>
        <x:v>PASS</x:v>
      </x:c>
      <x:c r="R694" s="70" t="s">
        <x:v>33</x:v>
      </x:c>
      <x:c r="S694" s="70"/>
    </x:row>
    <x:row r="695" ht="15" hidden="0">
      <x:c r="A695" s="70" t="s">
        <x:v>1523</x:v>
      </x:c>
      <x:c r="B695" s="70" t="s">
        <x:v>30</x:v>
      </x:c>
      <x:c r="C695" s="70" t="s">
        <x:v>102</x:v>
      </x:c>
      <x:c r="D695" s="70" t="s">
        <x:v>186</x:v>
      </x:c>
      <x:c r="E695" s="70" t="s">
        <x:v>763</x:v>
      </x:c>
      <x:c r="F695" s="70"/>
      <x:c r="G695" s="70" t="s">
        <x:v>1304</x:v>
      </x:c>
      <x:c r="H695" s="70" t="s">
        <x:v>842</x:v>
      </x:c>
      <x:c r="I695" s="70" t="s">
        <x:v>833</x:v>
      </x:c>
      <x:c r="J695" s="70" t="n">
        <x:v>234</x:v>
      </x:c>
      <x:c r="K695" s="70" t="s">
        <x:v>1305</x:v>
      </x:c>
      <x:c r="L695" s="70"/>
      <x:c r="M695" s="70" t="s">
        <x:v>34</x:v>
      </x:c>
      <x:c r="N695" s="71" t="n">
        <x:v>0</x:v>
      </x:c>
      <x:c r="O695" s="72" t="n">
        <x:f aca="0">N695/1000</x:f>
        <x:v>0</x:v>
      </x:c>
      <x:c r="P695" s="73" t="n">
        <x:f aca="0">LUCK!E60</x:f>
        <x:v>0</x:v>
      </x:c>
      <x:c r="Q695" s="70" t="str">
        <x:f aca="0">IF(ABS(O695-P695)&lt;0.000001,"PASS","FAIL")</x:f>
        <x:v>PASS</x:v>
      </x:c>
      <x:c r="R695" s="70" t="s">
        <x:v>33</x:v>
      </x:c>
      <x:c r="S695" s="70"/>
    </x:row>
    <x:row r="696" ht="15" hidden="0">
      <x:c r="A696" s="70" t="s">
        <x:v>1524</x:v>
      </x:c>
      <x:c r="B696" s="70" t="s">
        <x:v>30</x:v>
      </x:c>
      <x:c r="C696" s="70" t="s">
        <x:v>103</x:v>
      </x:c>
      <x:c r="D696" s="70" t="s">
        <x:v>186</x:v>
      </x:c>
      <x:c r="E696" s="70" t="s">
        <x:v>763</x:v>
      </x:c>
      <x:c r="F696" s="70"/>
      <x:c r="G696" s="70" t="s">
        <x:v>1307</x:v>
      </x:c>
      <x:c r="H696" s="70" t="s">
        <x:v>845</x:v>
      </x:c>
      <x:c r="I696" s="70" t="s">
        <x:v>833</x:v>
      </x:c>
      <x:c r="J696" s="70" t="n">
        <x:v>238</x:v>
      </x:c>
      <x:c r="K696" s="70" t="s">
        <x:v>1308</x:v>
      </x:c>
      <x:c r="L696" s="70"/>
      <x:c r="M696" s="70" t="s">
        <x:v>34</x:v>
      </x:c>
      <x:c r="N696" s="71" t="n">
        <x:v>0</x:v>
      </x:c>
      <x:c r="O696" s="72" t="n">
        <x:f aca="0">N696/1000</x:f>
        <x:v>0</x:v>
      </x:c>
      <x:c r="P696" s="73" t="n">
        <x:f aca="0">LUCK!F60</x:f>
        <x:v>0</x:v>
      </x:c>
      <x:c r="Q696" s="70" t="str">
        <x:f aca="0">IF(ABS(O696-P696)&lt;0.000001,"PASS","FAIL")</x:f>
        <x:v>PASS</x:v>
      </x:c>
      <x:c r="R696" s="70" t="s">
        <x:v>33</x:v>
      </x:c>
      <x:c r="S696" s="70"/>
    </x:row>
    <x:row r="697" ht="15" hidden="0">
      <x:c r="A697" s="70" t="s">
        <x:v>1525</x:v>
      </x:c>
      <x:c r="B697" s="70" t="s">
        <x:v>30</x:v>
      </x:c>
      <x:c r="C697" s="70" t="s">
        <x:v>104</x:v>
      </x:c>
      <x:c r="D697" s="70" t="s">
        <x:v>186</x:v>
      </x:c>
      <x:c r="E697" s="70" t="s">
        <x:v>763</x:v>
      </x:c>
      <x:c r="F697" s="70"/>
      <x:c r="G697" s="70" t="s">
        <x:v>1310</x:v>
      </x:c>
      <x:c r="H697" s="70" t="s">
        <x:v>849</x:v>
      </x:c>
      <x:c r="I697" s="70" t="s">
        <x:v>833</x:v>
      </x:c>
      <x:c r="J697" s="70" t="n">
        <x:v>240</x:v>
      </x:c>
      <x:c r="K697" s="70" t="s">
        <x:v>1311</x:v>
      </x:c>
      <x:c r="L697" s="70"/>
      <x:c r="M697" s="70" t="s">
        <x:v>34</x:v>
      </x:c>
      <x:c r="N697" s="71" t="n">
        <x:v>0</x:v>
      </x:c>
      <x:c r="O697" s="72" t="n">
        <x:f aca="0">N697/1000</x:f>
        <x:v>0</x:v>
      </x:c>
      <x:c r="P697" s="73" t="n">
        <x:f aca="0">LUCK!G60</x:f>
        <x:v>0</x:v>
      </x:c>
      <x:c r="Q697" s="70" t="str">
        <x:f aca="0">IF(ABS(O697-P697)&lt;0.000001,"PASS","FAIL")</x:f>
        <x:v>PASS</x:v>
      </x:c>
      <x:c r="R697" s="70" t="s">
        <x:v>33</x:v>
      </x:c>
      <x:c r="S697" s="70"/>
    </x:row>
    <x:row r="698" ht="15" hidden="0">
      <x:c r="A698" s="70" t="s">
        <x:v>1526</x:v>
      </x:c>
      <x:c r="B698" s="70" t="s">
        <x:v>30</x:v>
      </x:c>
      <x:c r="C698" s="70" t="s">
        <x:v>105</x:v>
      </x:c>
      <x:c r="D698" s="70" t="s">
        <x:v>186</x:v>
      </x:c>
      <x:c r="E698" s="70" t="s">
        <x:v>763</x:v>
      </x:c>
      <x:c r="F698" s="70"/>
      <x:c r="G698" s="70" t="s">
        <x:v>1310</x:v>
      </x:c>
      <x:c r="H698" s="70" t="s">
        <x:v>849</x:v>
      </x:c>
      <x:c r="I698" s="70" t="s">
        <x:v>852</x:v>
      </x:c>
      <x:c r="J698" s="70" t="n">
        <x:v>240</x:v>
      </x:c>
      <x:c r="K698" s="70" t="s">
        <x:v>1311</x:v>
      </x:c>
      <x:c r="L698" s="70"/>
      <x:c r="M698" s="70" t="s">
        <x:v>34</x:v>
      </x:c>
      <x:c r="N698" s="71" t="n">
        <x:v>0</x:v>
      </x:c>
      <x:c r="O698" s="72" t="n">
        <x:f aca="0">N698/1000</x:f>
        <x:v>0</x:v>
      </x:c>
      <x:c r="P698" s="73" t="n">
        <x:f aca="0">LUCK!H60</x:f>
        <x:v>0</x:v>
      </x:c>
      <x:c r="Q698" s="70" t="str">
        <x:f aca="0">IF(ABS(O698-P698)&lt;0.000001,"PASS","FAIL")</x:f>
        <x:v>PASS</x:v>
      </x:c>
      <x:c r="R698" s="70" t="s">
        <x:v>33</x:v>
      </x:c>
      <x:c r="S698" s="70"/>
    </x:row>
    <x:row r="699" ht="15" hidden="0">
      <x:c r="A699" s="70" t="s">
        <x:v>1527</x:v>
      </x:c>
      <x:c r="B699" s="70" t="s">
        <x:v>30</x:v>
      </x:c>
      <x:c r="C699" s="70" t="s">
        <x:v>717</x:v>
      </x:c>
      <x:c r="D699" s="70" t="s">
        <x:v>211</x:v>
      </x:c>
      <x:c r="E699" s="70" t="s">
        <x:v>763</x:v>
      </x:c>
      <x:c r="F699" s="70"/>
      <x:c r="G699" s="70" t="s">
        <x:v>1298</x:v>
      </x:c>
      <x:c r="H699" s="70" t="s">
        <x:v>832</x:v>
      </x:c>
      <x:c r="I699" s="70" t="s">
        <x:v>833</x:v>
      </x:c>
      <x:c r="J699" s="70" t="n">
        <x:v>191</x:v>
      </x:c>
      <x:c r="K699" s="70" t="s">
        <x:v>834</x:v>
      </x:c>
      <x:c r="L699" s="70"/>
      <x:c r="M699" s="70" t="s">
        <x:v>34</x:v>
      </x:c>
      <x:c r="N699" s="71" t="n">
        <x:v>135868474</x:v>
      </x:c>
      <x:c r="O699" s="72" t="n">
        <x:f aca="0">N699/1000</x:f>
        <x:v>135868.474</x:v>
      </x:c>
      <x:c r="P699" s="73" t="n">
        <x:f aca="0">LUCK!C75</x:f>
        <x:v>135868.474</x:v>
      </x:c>
      <x:c r="Q699" s="70" t="str">
        <x:f aca="0">IF(ABS(O699-P699)&lt;0.000001,"PASS","FAIL")</x:f>
        <x:v>PASS</x:v>
      </x:c>
      <x:c r="R699" s="70" t="s">
        <x:v>33</x:v>
      </x:c>
      <x:c r="S699" s="70"/>
    </x:row>
    <x:row r="700" ht="15" hidden="0">
      <x:c r="A700" s="70" t="s">
        <x:v>1528</x:v>
      </x:c>
      <x:c r="B700" s="70" t="s">
        <x:v>30</x:v>
      </x:c>
      <x:c r="C700" s="70" t="s">
        <x:v>101</x:v>
      </x:c>
      <x:c r="D700" s="70" t="s">
        <x:v>211</x:v>
      </x:c>
      <x:c r="E700" s="70" t="s">
        <x:v>763</x:v>
      </x:c>
      <x:c r="F700" s="70"/>
      <x:c r="G700" s="70" t="s">
        <x:v>1301</x:v>
      </x:c>
      <x:c r="H700" s="70" t="s">
        <x:v>838</x:v>
      </x:c>
      <x:c r="I700" s="70" t="s">
        <x:v>833</x:v>
      </x:c>
      <x:c r="J700" s="70" t="n">
        <x:v>226</x:v>
      </x:c>
      <x:c r="K700" s="70" t="s">
        <x:v>1302</x:v>
      </x:c>
      <x:c r="L700" s="70"/>
      <x:c r="M700" s="70" t="s">
        <x:v>34</x:v>
      </x:c>
      <x:c r="N700" s="71" t="n">
        <x:v>156368062</x:v>
      </x:c>
      <x:c r="O700" s="72" t="n">
        <x:f aca="0">N700/1000</x:f>
        <x:v>156368.062</x:v>
      </x:c>
      <x:c r="P700" s="73" t="n">
        <x:f aca="0">LUCK!D75</x:f>
        <x:v>156368.062</x:v>
      </x:c>
      <x:c r="Q700" s="70" t="str">
        <x:f aca="0">IF(ABS(O700-P700)&lt;0.000001,"PASS","FAIL")</x:f>
        <x:v>PASS</x:v>
      </x:c>
      <x:c r="R700" s="70" t="s">
        <x:v>33</x:v>
      </x:c>
      <x:c r="S700" s="70"/>
    </x:row>
    <x:row r="701" ht="15" hidden="0">
      <x:c r="A701" s="70" t="s">
        <x:v>1529</x:v>
      </x:c>
      <x:c r="B701" s="70" t="s">
        <x:v>30</x:v>
      </x:c>
      <x:c r="C701" s="70" t="s">
        <x:v>102</x:v>
      </x:c>
      <x:c r="D701" s="70" t="s">
        <x:v>211</x:v>
      </x:c>
      <x:c r="E701" s="70" t="s">
        <x:v>763</x:v>
      </x:c>
      <x:c r="F701" s="70"/>
      <x:c r="G701" s="70" t="s">
        <x:v>1304</x:v>
      </x:c>
      <x:c r="H701" s="70" t="s">
        <x:v>842</x:v>
      </x:c>
      <x:c r="I701" s="70" t="s">
        <x:v>833</x:v>
      </x:c>
      <x:c r="J701" s="70" t="n">
        <x:v>234</x:v>
      </x:c>
      <x:c r="K701" s="70" t="s">
        <x:v>1305</x:v>
      </x:c>
      <x:c r="L701" s="70"/>
      <x:c r="M701" s="70" t="s">
        <x:v>34</x:v>
      </x:c>
      <x:c r="N701" s="71" t="n">
        <x:v>184962368</x:v>
      </x:c>
      <x:c r="O701" s="72" t="n">
        <x:f aca="0">N701/1000</x:f>
        <x:v>184962.368</x:v>
      </x:c>
      <x:c r="P701" s="73" t="n">
        <x:f aca="0">LUCK!E75</x:f>
        <x:v>184962.368</x:v>
      </x:c>
      <x:c r="Q701" s="70" t="str">
        <x:f aca="0">IF(ABS(O701-P701)&lt;0.000001,"PASS","FAIL")</x:f>
        <x:v>PASS</x:v>
      </x:c>
      <x:c r="R701" s="70" t="s">
        <x:v>33</x:v>
      </x:c>
      <x:c r="S701" s="70"/>
    </x:row>
    <x:row r="702" ht="15" hidden="0">
      <x:c r="A702" s="70" t="s">
        <x:v>1530</x:v>
      </x:c>
      <x:c r="B702" s="70" t="s">
        <x:v>30</x:v>
      </x:c>
      <x:c r="C702" s="70" t="s">
        <x:v>103</x:v>
      </x:c>
      <x:c r="D702" s="70" t="s">
        <x:v>211</x:v>
      </x:c>
      <x:c r="E702" s="70" t="s">
        <x:v>763</x:v>
      </x:c>
      <x:c r="F702" s="70"/>
      <x:c r="G702" s="70" t="s">
        <x:v>1307</x:v>
      </x:c>
      <x:c r="H702" s="70" t="s">
        <x:v>845</x:v>
      </x:c>
      <x:c r="I702" s="70" t="s">
        <x:v>833</x:v>
      </x:c>
      <x:c r="J702" s="70" t="n">
        <x:v>238</x:v>
      </x:c>
      <x:c r="K702" s="70" t="s">
        <x:v>1308</x:v>
      </x:c>
      <x:c r="L702" s="70"/>
      <x:c r="M702" s="70" t="s">
        <x:v>34</x:v>
      </x:c>
      <x:c r="N702" s="71" t="n">
        <x:v>213079067</x:v>
      </x:c>
      <x:c r="O702" s="72" t="n">
        <x:f aca="0">N702/1000</x:f>
        <x:v>213079.067</x:v>
      </x:c>
      <x:c r="P702" s="73" t="n">
        <x:f aca="0">LUCK!F75</x:f>
        <x:v>213079.067</x:v>
      </x:c>
      <x:c r="Q702" s="70" t="str">
        <x:f aca="0">IF(ABS(O702-P702)&lt;0.000001,"PASS","FAIL")</x:f>
        <x:v>PASS</x:v>
      </x:c>
      <x:c r="R702" s="70" t="s">
        <x:v>33</x:v>
      </x:c>
      <x:c r="S702" s="70"/>
    </x:row>
    <x:row r="703" ht="15" hidden="0">
      <x:c r="A703" s="70" t="s">
        <x:v>1531</x:v>
      </x:c>
      <x:c r="B703" s="70" t="s">
        <x:v>30</x:v>
      </x:c>
      <x:c r="C703" s="70" t="s">
        <x:v>104</x:v>
      </x:c>
      <x:c r="D703" s="70" t="s">
        <x:v>211</x:v>
      </x:c>
      <x:c r="E703" s="70" t="s">
        <x:v>763</x:v>
      </x:c>
      <x:c r="F703" s="70"/>
      <x:c r="G703" s="70" t="s">
        <x:v>1310</x:v>
      </x:c>
      <x:c r="H703" s="70" t="s">
        <x:v>849</x:v>
      </x:c>
      <x:c r="I703" s="70" t="s">
        <x:v>833</x:v>
      </x:c>
      <x:c r="J703" s="70" t="n">
        <x:v>240</x:v>
      </x:c>
      <x:c r="K703" s="70" t="s">
        <x:v>1311</x:v>
      </x:c>
      <x:c r="L703" s="70"/>
      <x:c r="M703" s="70" t="s">
        <x:v>34</x:v>
      </x:c>
      <x:c r="N703" s="71" t="n">
        <x:v>234018090</x:v>
      </x:c>
      <x:c r="O703" s="72" t="n">
        <x:f aca="0">N703/1000</x:f>
        <x:v>234018.09</x:v>
      </x:c>
      <x:c r="P703" s="73" t="n">
        <x:f aca="0">LUCK!G75</x:f>
        <x:v>234018.09</x:v>
      </x:c>
      <x:c r="Q703" s="70" t="str">
        <x:f aca="0">IF(ABS(O703-P703)&lt;0.000001,"PASS","FAIL")</x:f>
        <x:v>PASS</x:v>
      </x:c>
      <x:c r="R703" s="70" t="s">
        <x:v>33</x:v>
      </x:c>
      <x:c r="S703" s="70"/>
    </x:row>
    <x:row r="704" ht="15" hidden="0">
      <x:c r="A704" s="70" t="s">
        <x:v>1532</x:v>
      </x:c>
      <x:c r="B704" s="70" t="s">
        <x:v>30</x:v>
      </x:c>
      <x:c r="C704" s="70" t="s">
        <x:v>105</x:v>
      </x:c>
      <x:c r="D704" s="70" t="s">
        <x:v>211</x:v>
      </x:c>
      <x:c r="E704" s="70" t="s">
        <x:v>763</x:v>
      </x:c>
      <x:c r="F704" s="70"/>
      <x:c r="G704" s="70" t="s">
        <x:v>1310</x:v>
      </x:c>
      <x:c r="H704" s="70" t="s">
        <x:v>849</x:v>
      </x:c>
      <x:c r="I704" s="70" t="s">
        <x:v>852</x:v>
      </x:c>
      <x:c r="J704" s="70" t="n">
        <x:v>240</x:v>
      </x:c>
      <x:c r="K704" s="70" t="s">
        <x:v>1311</x:v>
      </x:c>
      <x:c r="L704" s="70"/>
      <x:c r="M704" s="70" t="s">
        <x:v>34</x:v>
      </x:c>
      <x:c r="N704" s="71" t="n">
        <x:v>266748030</x:v>
      </x:c>
      <x:c r="O704" s="72" t="n">
        <x:f aca="0">N704/1000</x:f>
        <x:v>266748.03</x:v>
      </x:c>
      <x:c r="P704" s="73" t="n">
        <x:f aca="0">LUCK!H75</x:f>
        <x:v>266748.03</x:v>
      </x:c>
      <x:c r="Q704" s="70" t="str">
        <x:f aca="0">IF(ABS(O704-P704)&lt;0.000001,"PASS","FAIL")</x:f>
        <x:v>PASS</x:v>
      </x:c>
      <x:c r="R704" s="70" t="s">
        <x:v>33</x:v>
      </x:c>
      <x:c r="S704" s="70"/>
    </x:row>
    <x:row r="705" ht="15" hidden="0">
      <x:c r="A705" s="70" t="s">
        <x:v>1533</x:v>
      </x:c>
      <x:c r="B705" s="70" t="s">
        <x:v>30</x:v>
      </x:c>
      <x:c r="C705" s="70" t="s">
        <x:v>717</x:v>
      </x:c>
      <x:c r="D705" s="70" t="s">
        <x:v>213</x:v>
      </x:c>
      <x:c r="E705" s="70" t="s">
        <x:v>763</x:v>
      </x:c>
      <x:c r="F705" s="70"/>
      <x:c r="G705" s="70" t="s">
        <x:v>1298</x:v>
      </x:c>
      <x:c r="H705" s="70" t="s">
        <x:v>832</x:v>
      </x:c>
      <x:c r="I705" s="70" t="s">
        <x:v>833</x:v>
      </x:c>
      <x:c r="J705" s="70" t="n">
        <x:v>191</x:v>
      </x:c>
      <x:c r="K705" s="70" t="s">
        <x:v>834</x:v>
      </x:c>
      <x:c r="L705" s="70"/>
      <x:c r="M705" s="70" t="s">
        <x:v>34</x:v>
      </x:c>
      <x:c r="N705" s="71" t="n">
        <x:v>99183861</x:v>
      </x:c>
      <x:c r="O705" s="72" t="n">
        <x:f aca="0">N705/1000</x:f>
        <x:v>99183.861</x:v>
      </x:c>
      <x:c r="P705" s="73" t="n">
        <x:f aca="0">LUCK!C76</x:f>
        <x:v>99183.861</x:v>
      </x:c>
      <x:c r="Q705" s="70" t="str">
        <x:f aca="0">IF(ABS(O705-P705)&lt;0.000001,"PASS","FAIL")</x:f>
        <x:v>PASS</x:v>
      </x:c>
      <x:c r="R705" s="70" t="s">
        <x:v>33</x:v>
      </x:c>
      <x:c r="S705" s="70"/>
    </x:row>
    <x:row r="706" ht="15" hidden="0">
      <x:c r="A706" s="70" t="s">
        <x:v>1534</x:v>
      </x:c>
      <x:c r="B706" s="70" t="s">
        <x:v>30</x:v>
      </x:c>
      <x:c r="C706" s="70" t="s">
        <x:v>101</x:v>
      </x:c>
      <x:c r="D706" s="70" t="s">
        <x:v>213</x:v>
      </x:c>
      <x:c r="E706" s="70" t="s">
        <x:v>763</x:v>
      </x:c>
      <x:c r="F706" s="70"/>
      <x:c r="G706" s="70" t="s">
        <x:v>1301</x:v>
      </x:c>
      <x:c r="H706" s="70" t="s">
        <x:v>838</x:v>
      </x:c>
      <x:c r="I706" s="70" t="s">
        <x:v>833</x:v>
      </x:c>
      <x:c r="J706" s="70" t="n">
        <x:v>226</x:v>
      </x:c>
      <x:c r="K706" s="70" t="s">
        <x:v>1302</x:v>
      </x:c>
      <x:c r="L706" s="70"/>
      <x:c r="M706" s="70" t="s">
        <x:v>34</x:v>
      </x:c>
      <x:c r="N706" s="71" t="n">
        <x:v>113200258</x:v>
      </x:c>
      <x:c r="O706" s="72" t="n">
        <x:f aca="0">N706/1000</x:f>
        <x:v>113200.258</x:v>
      </x:c>
      <x:c r="P706" s="73" t="n">
        <x:f aca="0">LUCK!D76</x:f>
        <x:v>113200.258</x:v>
      </x:c>
      <x:c r="Q706" s="70" t="str">
        <x:f aca="0">IF(ABS(O706-P706)&lt;0.000001,"PASS","FAIL")</x:f>
        <x:v>PASS</x:v>
      </x:c>
      <x:c r="R706" s="70" t="s">
        <x:v>33</x:v>
      </x:c>
      <x:c r="S706" s="70"/>
    </x:row>
    <x:row r="707" ht="15" hidden="0">
      <x:c r="A707" s="70" t="s">
        <x:v>1535</x:v>
      </x:c>
      <x:c r="B707" s="70" t="s">
        <x:v>30</x:v>
      </x:c>
      <x:c r="C707" s="70" t="s">
        <x:v>102</x:v>
      </x:c>
      <x:c r="D707" s="70" t="s">
        <x:v>213</x:v>
      </x:c>
      <x:c r="E707" s="70" t="s">
        <x:v>763</x:v>
      </x:c>
      <x:c r="F707" s="70"/>
      <x:c r="G707" s="70" t="s">
        <x:v>1304</x:v>
      </x:c>
      <x:c r="H707" s="70" t="s">
        <x:v>842</x:v>
      </x:c>
      <x:c r="I707" s="70" t="s">
        <x:v>833</x:v>
      </x:c>
      <x:c r="J707" s="70" t="n">
        <x:v>234</x:v>
      </x:c>
      <x:c r="K707" s="70" t="s">
        <x:v>1305</x:v>
      </x:c>
      <x:c r="L707" s="70"/>
      <x:c r="M707" s="70" t="s">
        <x:v>34</x:v>
      </x:c>
      <x:c r="N707" s="71" t="n">
        <x:v>128540324</x:v>
      </x:c>
      <x:c r="O707" s="72" t="n">
        <x:f aca="0">N707/1000</x:f>
        <x:v>128540.324</x:v>
      </x:c>
      <x:c r="P707" s="73" t="n">
        <x:f aca="0">LUCK!E76</x:f>
        <x:v>128540.324</x:v>
      </x:c>
      <x:c r="Q707" s="70" t="str">
        <x:f aca="0">IF(ABS(O707-P707)&lt;0.000001,"PASS","FAIL")</x:f>
        <x:v>PASS</x:v>
      </x:c>
      <x:c r="R707" s="70" t="s">
        <x:v>33</x:v>
      </x:c>
      <x:c r="S707" s="70"/>
    </x:row>
    <x:row r="708" ht="15" hidden="0">
      <x:c r="A708" s="70" t="s">
        <x:v>1536</x:v>
      </x:c>
      <x:c r="B708" s="70" t="s">
        <x:v>30</x:v>
      </x:c>
      <x:c r="C708" s="70" t="s">
        <x:v>103</x:v>
      </x:c>
      <x:c r="D708" s="70" t="s">
        <x:v>213</x:v>
      </x:c>
      <x:c r="E708" s="70" t="s">
        <x:v>763</x:v>
      </x:c>
      <x:c r="F708" s="70"/>
      <x:c r="G708" s="70" t="s">
        <x:v>1307</x:v>
      </x:c>
      <x:c r="H708" s="70" t="s">
        <x:v>845</x:v>
      </x:c>
      <x:c r="I708" s="70" t="s">
        <x:v>833</x:v>
      </x:c>
      <x:c r="J708" s="70" t="n">
        <x:v>238</x:v>
      </x:c>
      <x:c r="K708" s="70" t="s">
        <x:v>1308</x:v>
      </x:c>
      <x:c r="L708" s="70"/>
      <x:c r="M708" s="70" t="s">
        <x:v>34</x:v>
      </x:c>
      <x:c r="N708" s="71" t="n">
        <x:v>137366326</x:v>
      </x:c>
      <x:c r="O708" s="72" t="n">
        <x:f aca="0">N708/1000</x:f>
        <x:v>137366.326</x:v>
      </x:c>
      <x:c r="P708" s="73" t="n">
        <x:f aca="0">LUCK!F76</x:f>
        <x:v>137366.326</x:v>
      </x:c>
      <x:c r="Q708" s="70" t="str">
        <x:f aca="0">IF(ABS(O708-P708)&lt;0.000001,"PASS","FAIL")</x:f>
        <x:v>PASS</x:v>
      </x:c>
      <x:c r="R708" s="70" t="s">
        <x:v>33</x:v>
      </x:c>
      <x:c r="S708" s="70"/>
    </x:row>
    <x:row r="709" ht="15" hidden="0">
      <x:c r="A709" s="70" t="s">
        <x:v>1537</x:v>
      </x:c>
      <x:c r="B709" s="70" t="s">
        <x:v>30</x:v>
      </x:c>
      <x:c r="C709" s="70" t="s">
        <x:v>104</x:v>
      </x:c>
      <x:c r="D709" s="70" t="s">
        <x:v>213</x:v>
      </x:c>
      <x:c r="E709" s="70" t="s">
        <x:v>763</x:v>
      </x:c>
      <x:c r="F709" s="70"/>
      <x:c r="G709" s="70" t="s">
        <x:v>1310</x:v>
      </x:c>
      <x:c r="H709" s="70" t="s">
        <x:v>849</x:v>
      </x:c>
      <x:c r="I709" s="70" t="s">
        <x:v>833</x:v>
      </x:c>
      <x:c r="J709" s="70" t="n">
        <x:v>240</x:v>
      </x:c>
      <x:c r="K709" s="70" t="s">
        <x:v>1311</x:v>
      </x:c>
      <x:c r="L709" s="70"/>
      <x:c r="M709" s="70" t="s">
        <x:v>34</x:v>
      </x:c>
      <x:c r="N709" s="71" t="n">
        <x:v>147761277</x:v>
      </x:c>
      <x:c r="O709" s="72" t="n">
        <x:f aca="0">N709/1000</x:f>
        <x:v>147761.277</x:v>
      </x:c>
      <x:c r="P709" s="73" t="n">
        <x:f aca="0">LUCK!G76</x:f>
        <x:v>147761.277</x:v>
      </x:c>
      <x:c r="Q709" s="70" t="str">
        <x:f aca="0">IF(ABS(O709-P709)&lt;0.000001,"PASS","FAIL")</x:f>
        <x:v>PASS</x:v>
      </x:c>
      <x:c r="R709" s="70" t="s">
        <x:v>33</x:v>
      </x:c>
      <x:c r="S709" s="70"/>
    </x:row>
    <x:row r="710" ht="15" hidden="0">
      <x:c r="A710" s="70" t="s">
        <x:v>1538</x:v>
      </x:c>
      <x:c r="B710" s="70" t="s">
        <x:v>30</x:v>
      </x:c>
      <x:c r="C710" s="70" t="s">
        <x:v>105</x:v>
      </x:c>
      <x:c r="D710" s="70" t="s">
        <x:v>213</x:v>
      </x:c>
      <x:c r="E710" s="70" t="s">
        <x:v>763</x:v>
      </x:c>
      <x:c r="F710" s="70"/>
      <x:c r="G710" s="70" t="s">
        <x:v>1310</x:v>
      </x:c>
      <x:c r="H710" s="70" t="s">
        <x:v>849</x:v>
      </x:c>
      <x:c r="I710" s="70" t="s">
        <x:v>852</x:v>
      </x:c>
      <x:c r="J710" s="70" t="n">
        <x:v>240</x:v>
      </x:c>
      <x:c r="K710" s="70" t="s">
        <x:v>1311</x:v>
      </x:c>
      <x:c r="L710" s="70"/>
      <x:c r="M710" s="70" t="s">
        <x:v>34</x:v>
      </x:c>
      <x:c r="N710" s="71" t="n">
        <x:v>175910400</x:v>
      </x:c>
      <x:c r="O710" s="72" t="n">
        <x:f aca="0">N710/1000</x:f>
        <x:v>175910.4</x:v>
      </x:c>
      <x:c r="P710" s="73" t="n">
        <x:f aca="0">LUCK!H76</x:f>
        <x:v>175910.4</x:v>
      </x:c>
      <x:c r="Q710" s="70" t="str">
        <x:f aca="0">IF(ABS(O710-P710)&lt;0.000001,"PASS","FAIL")</x:f>
        <x:v>PASS</x:v>
      </x:c>
      <x:c r="R710" s="70" t="s">
        <x:v>33</x:v>
      </x:c>
      <x:c r="S710" s="70"/>
    </x:row>
    <x:row r="711" ht="15" hidden="0">
      <x:c r="A711" s="70" t="s">
        <x:v>1539</x:v>
      </x:c>
      <x:c r="B711" s="70" t="s">
        <x:v>30</x:v>
      </x:c>
      <x:c r="C711" s="70" t="s">
        <x:v>717</x:v>
      </x:c>
      <x:c r="D711" s="70" t="s">
        <x:v>215</x:v>
      </x:c>
      <x:c r="E711" s="70" t="s">
        <x:v>763</x:v>
      </x:c>
      <x:c r="F711" s="70"/>
      <x:c r="G711" s="70" t="s">
        <x:v>1298</x:v>
      </x:c>
      <x:c r="H711" s="70" t="s">
        <x:v>832</x:v>
      </x:c>
      <x:c r="I711" s="70" t="s">
        <x:v>833</x:v>
      </x:c>
      <x:c r="J711" s="70" t="n">
        <x:v>191</x:v>
      </x:c>
      <x:c r="K711" s="70" t="s">
        <x:v>834</x:v>
      </x:c>
      <x:c r="L711" s="70"/>
      <x:c r="M711" s="70" t="s">
        <x:v>34</x:v>
      </x:c>
      <x:c r="N711" s="71" t="n">
        <x:v>28374913</x:v>
      </x:c>
      <x:c r="O711" s="72" t="n">
        <x:f aca="0">N711/1000</x:f>
        <x:v>28374.913</x:v>
      </x:c>
      <x:c r="P711" s="73" t="n">
        <x:f aca="0">LUCK!C77</x:f>
        <x:v>28374.913</x:v>
      </x:c>
      <x:c r="Q711" s="70" t="str">
        <x:f aca="0">IF(ABS(O711-P711)&lt;0.000001,"PASS","FAIL")</x:f>
        <x:v>PASS</x:v>
      </x:c>
      <x:c r="R711" s="70" t="s">
        <x:v>33</x:v>
      </x:c>
      <x:c r="S711" s="70"/>
    </x:row>
    <x:row r="712" ht="15" hidden="0">
      <x:c r="A712" s="70" t="s">
        <x:v>1540</x:v>
      </x:c>
      <x:c r="B712" s="70" t="s">
        <x:v>30</x:v>
      </x:c>
      <x:c r="C712" s="70" t="s">
        <x:v>101</x:v>
      </x:c>
      <x:c r="D712" s="70" t="s">
        <x:v>215</x:v>
      </x:c>
      <x:c r="E712" s="70" t="s">
        <x:v>763</x:v>
      </x:c>
      <x:c r="F712" s="70"/>
      <x:c r="G712" s="70" t="s">
        <x:v>1301</x:v>
      </x:c>
      <x:c r="H712" s="70" t="s">
        <x:v>838</x:v>
      </x:c>
      <x:c r="I712" s="70" t="s">
        <x:v>833</x:v>
      </x:c>
      <x:c r="J712" s="70" t="n">
        <x:v>226</x:v>
      </x:c>
      <x:c r="K712" s="70" t="s">
        <x:v>1302</x:v>
      </x:c>
      <x:c r="L712" s="70"/>
      <x:c r="M712" s="70" t="s">
        <x:v>34</x:v>
      </x:c>
      <x:c r="N712" s="71" t="n">
        <x:v>40676368</x:v>
      </x:c>
      <x:c r="O712" s="72" t="n">
        <x:f aca="0">N712/1000</x:f>
        <x:v>40676.368</x:v>
      </x:c>
      <x:c r="P712" s="73" t="n">
        <x:f aca="0">LUCK!D77</x:f>
        <x:v>40676.368</x:v>
      </x:c>
      <x:c r="Q712" s="70" t="str">
        <x:f aca="0">IF(ABS(O712-P712)&lt;0.000001,"PASS","FAIL")</x:f>
        <x:v>PASS</x:v>
      </x:c>
      <x:c r="R712" s="70" t="s">
        <x:v>33</x:v>
      </x:c>
      <x:c r="S712" s="70"/>
    </x:row>
    <x:row r="713" ht="15" hidden="0">
      <x:c r="A713" s="70" t="s">
        <x:v>1541</x:v>
      </x:c>
      <x:c r="B713" s="70" t="s">
        <x:v>30</x:v>
      </x:c>
      <x:c r="C713" s="70" t="s">
        <x:v>102</x:v>
      </x:c>
      <x:c r="D713" s="70" t="s">
        <x:v>215</x:v>
      </x:c>
      <x:c r="E713" s="70" t="s">
        <x:v>763</x:v>
      </x:c>
      <x:c r="F713" s="70"/>
      <x:c r="G713" s="70" t="s">
        <x:v>1304</x:v>
      </x:c>
      <x:c r="H713" s="70" t="s">
        <x:v>842</x:v>
      </x:c>
      <x:c r="I713" s="70" t="s">
        <x:v>833</x:v>
      </x:c>
      <x:c r="J713" s="70" t="n">
        <x:v>234</x:v>
      </x:c>
      <x:c r="K713" s="70" t="s">
        <x:v>1305</x:v>
      </x:c>
      <x:c r="L713" s="70"/>
      <x:c r="M713" s="70" t="s">
        <x:v>34</x:v>
      </x:c>
      <x:c r="N713" s="71" t="n">
        <x:v>44815691</x:v>
      </x:c>
      <x:c r="O713" s="72" t="n">
        <x:f aca="0">N713/1000</x:f>
        <x:v>44815.691</x:v>
      </x:c>
      <x:c r="P713" s="73" t="n">
        <x:f aca="0">LUCK!E77</x:f>
        <x:v>44815.691</x:v>
      </x:c>
      <x:c r="Q713" s="70" t="str">
        <x:f aca="0">IF(ABS(O713-P713)&lt;0.000001,"PASS","FAIL")</x:f>
        <x:v>PASS</x:v>
      </x:c>
      <x:c r="R713" s="70" t="s">
        <x:v>33</x:v>
      </x:c>
      <x:c r="S713" s="70"/>
    </x:row>
    <x:row r="714" ht="15" hidden="0">
      <x:c r="A714" s="70" t="s">
        <x:v>1542</x:v>
      </x:c>
      <x:c r="B714" s="70" t="s">
        <x:v>30</x:v>
      </x:c>
      <x:c r="C714" s="70" t="s">
        <x:v>103</x:v>
      </x:c>
      <x:c r="D714" s="70" t="s">
        <x:v>215</x:v>
      </x:c>
      <x:c r="E714" s="70" t="s">
        <x:v>763</x:v>
      </x:c>
      <x:c r="F714" s="70"/>
      <x:c r="G714" s="70" t="s">
        <x:v>1307</x:v>
      </x:c>
      <x:c r="H714" s="70" t="s">
        <x:v>845</x:v>
      </x:c>
      <x:c r="I714" s="70" t="s">
        <x:v>833</x:v>
      </x:c>
      <x:c r="J714" s="70" t="n">
        <x:v>238</x:v>
      </x:c>
      <x:c r="K714" s="70" t="s">
        <x:v>1308</x:v>
      </x:c>
      <x:c r="L714" s="70"/>
      <x:c r="M714" s="70" t="s">
        <x:v>34</x:v>
      </x:c>
      <x:c r="N714" s="71" t="n">
        <x:v>59576642</x:v>
      </x:c>
      <x:c r="O714" s="72" t="n">
        <x:f aca="0">N714/1000</x:f>
        <x:v>59576.642</x:v>
      </x:c>
      <x:c r="P714" s="73" t="n">
        <x:f aca="0">LUCK!F77</x:f>
        <x:v>59576.642</x:v>
      </x:c>
      <x:c r="Q714" s="70" t="str">
        <x:f aca="0">IF(ABS(O714-P714)&lt;0.000001,"PASS","FAIL")</x:f>
        <x:v>PASS</x:v>
      </x:c>
      <x:c r="R714" s="70" t="s">
        <x:v>33</x:v>
      </x:c>
      <x:c r="S714" s="70"/>
    </x:row>
    <x:row r="715" ht="15" hidden="0">
      <x:c r="A715" s="70" t="s">
        <x:v>1543</x:v>
      </x:c>
      <x:c r="B715" s="70" t="s">
        <x:v>30</x:v>
      </x:c>
      <x:c r="C715" s="70" t="s">
        <x:v>104</x:v>
      </x:c>
      <x:c r="D715" s="70" t="s">
        <x:v>215</x:v>
      </x:c>
      <x:c r="E715" s="70" t="s">
        <x:v>763</x:v>
      </x:c>
      <x:c r="F715" s="70"/>
      <x:c r="G715" s="70" t="s">
        <x:v>1310</x:v>
      </x:c>
      <x:c r="H715" s="70" t="s">
        <x:v>849</x:v>
      </x:c>
      <x:c r="I715" s="70" t="s">
        <x:v>833</x:v>
      </x:c>
      <x:c r="J715" s="70" t="n">
        <x:v>240</x:v>
      </x:c>
      <x:c r="K715" s="70" t="s">
        <x:v>1311</x:v>
      </x:c>
      <x:c r="L715" s="70"/>
      <x:c r="M715" s="70" t="s">
        <x:v>34</x:v>
      </x:c>
      <x:c r="N715" s="71" t="n">
        <x:v>68452084</x:v>
      </x:c>
      <x:c r="O715" s="72" t="n">
        <x:f aca="0">N715/1000</x:f>
        <x:v>68452.084</x:v>
      </x:c>
      <x:c r="P715" s="73" t="n">
        <x:f aca="0">LUCK!G77</x:f>
        <x:v>68452.084</x:v>
      </x:c>
      <x:c r="Q715" s="70" t="str">
        <x:f aca="0">IF(ABS(O715-P715)&lt;0.000001,"PASS","FAIL")</x:f>
        <x:v>PASS</x:v>
      </x:c>
      <x:c r="R715" s="70" t="s">
        <x:v>33</x:v>
      </x:c>
      <x:c r="S715" s="70"/>
    </x:row>
    <x:row r="716" ht="15" hidden="0">
      <x:c r="A716" s="70" t="s">
        <x:v>1544</x:v>
      </x:c>
      <x:c r="B716" s="70" t="s">
        <x:v>30</x:v>
      </x:c>
      <x:c r="C716" s="70" t="s">
        <x:v>105</x:v>
      </x:c>
      <x:c r="D716" s="70" t="s">
        <x:v>215</x:v>
      </x:c>
      <x:c r="E716" s="70" t="s">
        <x:v>763</x:v>
      </x:c>
      <x:c r="F716" s="70"/>
      <x:c r="G716" s="70" t="s">
        <x:v>1310</x:v>
      </x:c>
      <x:c r="H716" s="70" t="s">
        <x:v>849</x:v>
      </x:c>
      <x:c r="I716" s="70" t="s">
        <x:v>852</x:v>
      </x:c>
      <x:c r="J716" s="70" t="n">
        <x:v>240</x:v>
      </x:c>
      <x:c r="K716" s="70" t="s">
        <x:v>1311</x:v>
      </x:c>
      <x:c r="L716" s="70"/>
      <x:c r="M716" s="70" t="s">
        <x:v>34</x:v>
      </x:c>
      <x:c r="N716" s="71" t="n">
        <x:v>100547359</x:v>
      </x:c>
      <x:c r="O716" s="72" t="n">
        <x:f aca="0">N716/1000</x:f>
        <x:v>100547.359</x:v>
      </x:c>
      <x:c r="P716" s="73" t="n">
        <x:f aca="0">LUCK!H77</x:f>
        <x:v>100547.359</x:v>
      </x:c>
      <x:c r="Q716" s="70" t="str">
        <x:f aca="0">IF(ABS(O716-P716)&lt;0.000001,"PASS","FAIL")</x:f>
        <x:v>PASS</x:v>
      </x:c>
      <x:c r="R716" s="70" t="s">
        <x:v>33</x:v>
      </x:c>
      <x:c r="S716" s="70"/>
    </x:row>
    <x:row r="717" ht="15" hidden="0">
      <x:c r="A717" s="70" t="s">
        <x:v>1545</x:v>
      </x:c>
      <x:c r="B717" s="70" t="s">
        <x:v>30</x:v>
      </x:c>
      <x:c r="C717" s="70" t="s">
        <x:v>717</x:v>
      </x:c>
      <x:c r="D717" s="70" t="s">
        <x:v>217</x:v>
      </x:c>
      <x:c r="E717" s="70" t="s">
        <x:v>763</x:v>
      </x:c>
      <x:c r="F717" s="70"/>
      <x:c r="G717" s="70" t="s">
        <x:v>1298</x:v>
      </x:c>
      <x:c r="H717" s="70" t="s">
        <x:v>832</x:v>
      </x:c>
      <x:c r="I717" s="70" t="s">
        <x:v>833</x:v>
      </x:c>
      <x:c r="J717" s="70" t="n">
        <x:v>191</x:v>
      </x:c>
      <x:c r="K717" s="70" t="s">
        <x:v>834</x:v>
      </x:c>
      <x:c r="L717" s="70"/>
      <x:c r="M717" s="70" t="s">
        <x:v>34</x:v>
      </x:c>
      <x:c r="N717" s="71" t="n">
        <x:v>28955352</x:v>
      </x:c>
      <x:c r="O717" s="72" t="n">
        <x:f aca="0">N717/1000</x:f>
        <x:v>28955.352</x:v>
      </x:c>
      <x:c r="P717" s="73" t="n">
        <x:f aca="0">LUCK!C78</x:f>
        <x:v>28955.352</x:v>
      </x:c>
      <x:c r="Q717" s="70" t="str">
        <x:f aca="0">IF(ABS(O717-P717)&lt;0.000001,"PASS","FAIL")</x:f>
        <x:v>PASS</x:v>
      </x:c>
      <x:c r="R717" s="70" t="s">
        <x:v>33</x:v>
      </x:c>
      <x:c r="S717" s="70"/>
    </x:row>
    <x:row r="718" ht="15" hidden="0">
      <x:c r="A718" s="70" t="s">
        <x:v>1546</x:v>
      </x:c>
      <x:c r="B718" s="70" t="s">
        <x:v>30</x:v>
      </x:c>
      <x:c r="C718" s="70" t="s">
        <x:v>101</x:v>
      </x:c>
      <x:c r="D718" s="70" t="s">
        <x:v>217</x:v>
      </x:c>
      <x:c r="E718" s="70" t="s">
        <x:v>763</x:v>
      </x:c>
      <x:c r="F718" s="70"/>
      <x:c r="G718" s="70" t="s">
        <x:v>1301</x:v>
      </x:c>
      <x:c r="H718" s="70" t="s">
        <x:v>838</x:v>
      </x:c>
      <x:c r="I718" s="70" t="s">
        <x:v>833</x:v>
      </x:c>
      <x:c r="J718" s="70" t="n">
        <x:v>226</x:v>
      </x:c>
      <x:c r="K718" s="70" t="s">
        <x:v>1302</x:v>
      </x:c>
      <x:c r="L718" s="70"/>
      <x:c r="M718" s="70" t="s">
        <x:v>34</x:v>
      </x:c>
      <x:c r="N718" s="71" t="n">
        <x:v>30387066</x:v>
      </x:c>
      <x:c r="O718" s="72" t="n">
        <x:f aca="0">N718/1000</x:f>
        <x:v>30387.066</x:v>
      </x:c>
      <x:c r="P718" s="73" t="n">
        <x:f aca="0">LUCK!D78</x:f>
        <x:v>30387.066</x:v>
      </x:c>
      <x:c r="Q718" s="70" t="str">
        <x:f aca="0">IF(ABS(O718-P718)&lt;0.000001,"PASS","FAIL")</x:f>
        <x:v>PASS</x:v>
      </x:c>
      <x:c r="R718" s="70" t="s">
        <x:v>33</x:v>
      </x:c>
      <x:c r="S718" s="70"/>
    </x:row>
    <x:row r="719" ht="15" hidden="0">
      <x:c r="A719" s="70" t="s">
        <x:v>1547</x:v>
      </x:c>
      <x:c r="B719" s="70" t="s">
        <x:v>30</x:v>
      </x:c>
      <x:c r="C719" s="70" t="s">
        <x:v>102</x:v>
      </x:c>
      <x:c r="D719" s="70" t="s">
        <x:v>217</x:v>
      </x:c>
      <x:c r="E719" s="70" t="s">
        <x:v>763</x:v>
      </x:c>
      <x:c r="F719" s="70"/>
      <x:c r="G719" s="70" t="s">
        <x:v>1304</x:v>
      </x:c>
      <x:c r="H719" s="70" t="s">
        <x:v>842</x:v>
      </x:c>
      <x:c r="I719" s="70" t="s">
        <x:v>833</x:v>
      </x:c>
      <x:c r="J719" s="70" t="n">
        <x:v>234</x:v>
      </x:c>
      <x:c r="K719" s="70" t="s">
        <x:v>1305</x:v>
      </x:c>
      <x:c r="L719" s="70"/>
      <x:c r="M719" s="70" t="s">
        <x:v>34</x:v>
      </x:c>
      <x:c r="N719" s="71" t="n">
        <x:v>30361358</x:v>
      </x:c>
      <x:c r="O719" s="72" t="n">
        <x:f aca="0">N719/1000</x:f>
        <x:v>30361.358</x:v>
      </x:c>
      <x:c r="P719" s="73" t="n">
        <x:f aca="0">LUCK!E78</x:f>
        <x:v>30361.358</x:v>
      </x:c>
      <x:c r="Q719" s="70" t="str">
        <x:f aca="0">IF(ABS(O719-P719)&lt;0.000001,"PASS","FAIL")</x:f>
        <x:v>PASS</x:v>
      </x:c>
      <x:c r="R719" s="70" t="s">
        <x:v>33</x:v>
      </x:c>
      <x:c r="S719" s="70"/>
    </x:row>
    <x:row r="720" ht="15" hidden="0">
      <x:c r="A720" s="70" t="s">
        <x:v>1548</x:v>
      </x:c>
      <x:c r="B720" s="70" t="s">
        <x:v>30</x:v>
      </x:c>
      <x:c r="C720" s="70" t="s">
        <x:v>103</x:v>
      </x:c>
      <x:c r="D720" s="70" t="s">
        <x:v>217</x:v>
      </x:c>
      <x:c r="E720" s="70" t="s">
        <x:v>763</x:v>
      </x:c>
      <x:c r="F720" s="70"/>
      <x:c r="G720" s="70" t="s">
        <x:v>1307</x:v>
      </x:c>
      <x:c r="H720" s="70" t="s">
        <x:v>845</x:v>
      </x:c>
      <x:c r="I720" s="70" t="s">
        <x:v>833</x:v>
      </x:c>
      <x:c r="J720" s="70" t="n">
        <x:v>238</x:v>
      </x:c>
      <x:c r="K720" s="70" t="s">
        <x:v>1308</x:v>
      </x:c>
      <x:c r="L720" s="70"/>
      <x:c r="M720" s="70" t="s">
        <x:v>34</x:v>
      </x:c>
      <x:c r="N720" s="71" t="n">
        <x:v>46180879</x:v>
      </x:c>
      <x:c r="O720" s="72" t="n">
        <x:f aca="0">N720/1000</x:f>
        <x:v>46180.879</x:v>
      </x:c>
      <x:c r="P720" s="73" t="n">
        <x:f aca="0">LUCK!F78</x:f>
        <x:v>46180.879</x:v>
      </x:c>
      <x:c r="Q720" s="70" t="str">
        <x:f aca="0">IF(ABS(O720-P720)&lt;0.000001,"PASS","FAIL")</x:f>
        <x:v>PASS</x:v>
      </x:c>
      <x:c r="R720" s="70" t="s">
        <x:v>33</x:v>
      </x:c>
      <x:c r="S720" s="70"/>
    </x:row>
    <x:row r="721" ht="15" hidden="0">
      <x:c r="A721" s="70" t="s">
        <x:v>1549</x:v>
      </x:c>
      <x:c r="B721" s="70" t="s">
        <x:v>30</x:v>
      </x:c>
      <x:c r="C721" s="70" t="s">
        <x:v>104</x:v>
      </x:c>
      <x:c r="D721" s="70" t="s">
        <x:v>217</x:v>
      </x:c>
      <x:c r="E721" s="70" t="s">
        <x:v>763</x:v>
      </x:c>
      <x:c r="F721" s="70"/>
      <x:c r="G721" s="70" t="s">
        <x:v>1310</x:v>
      </x:c>
      <x:c r="H721" s="70" t="s">
        <x:v>849</x:v>
      </x:c>
      <x:c r="I721" s="70" t="s">
        <x:v>833</x:v>
      </x:c>
      <x:c r="J721" s="70" t="n">
        <x:v>240</x:v>
      </x:c>
      <x:c r="K721" s="70" t="s">
        <x:v>1311</x:v>
      </x:c>
      <x:c r="L721" s="70"/>
      <x:c r="M721" s="70" t="s">
        <x:v>34</x:v>
      </x:c>
      <x:c r="N721" s="71" t="n">
        <x:v>54188473</x:v>
      </x:c>
      <x:c r="O721" s="72" t="n">
        <x:f aca="0">N721/1000</x:f>
        <x:v>54188.473</x:v>
      </x:c>
      <x:c r="P721" s="73" t="n">
        <x:f aca="0">LUCK!G78</x:f>
        <x:v>54188.473</x:v>
      </x:c>
      <x:c r="Q721" s="70" t="str">
        <x:f aca="0">IF(ABS(O721-P721)&lt;0.000001,"PASS","FAIL")</x:f>
        <x:v>PASS</x:v>
      </x:c>
      <x:c r="R721" s="70" t="s">
        <x:v>33</x:v>
      </x:c>
      <x:c r="S721" s="70"/>
    </x:row>
    <x:row r="722" ht="15" hidden="0">
      <x:c r="A722" s="70" t="s">
        <x:v>1550</x:v>
      </x:c>
      <x:c r="B722" s="70" t="s">
        <x:v>30</x:v>
      </x:c>
      <x:c r="C722" s="70" t="s">
        <x:v>105</x:v>
      </x:c>
      <x:c r="D722" s="70" t="s">
        <x:v>217</x:v>
      </x:c>
      <x:c r="E722" s="70" t="s">
        <x:v>763</x:v>
      </x:c>
      <x:c r="F722" s="70"/>
      <x:c r="G722" s="70" t="s">
        <x:v>1310</x:v>
      </x:c>
      <x:c r="H722" s="70" t="s">
        <x:v>849</x:v>
      </x:c>
      <x:c r="I722" s="70" t="s">
        <x:v>852</x:v>
      </x:c>
      <x:c r="J722" s="70" t="n">
        <x:v>240</x:v>
      </x:c>
      <x:c r="K722" s="70" t="s">
        <x:v>1311</x:v>
      </x:c>
      <x:c r="L722" s="70"/>
      <x:c r="M722" s="70" t="s">
        <x:v>34</x:v>
      </x:c>
      <x:c r="N722" s="71" t="n">
        <x:v>58641383</x:v>
      </x:c>
      <x:c r="O722" s="72" t="n">
        <x:f aca="0">N722/1000</x:f>
        <x:v>58641.383</x:v>
      </x:c>
      <x:c r="P722" s="73" t="n">
        <x:f aca="0">LUCK!H78</x:f>
        <x:v>58641.383</x:v>
      </x:c>
      <x:c r="Q722" s="70" t="str">
        <x:f aca="0">IF(ABS(O722-P722)&lt;0.000001,"PASS","FAIL")</x:f>
        <x:v>PASS</x:v>
      </x:c>
      <x:c r="R722" s="70" t="s">
        <x:v>33</x:v>
      </x:c>
      <x:c r="S722" s="70"/>
    </x:row>
    <x:row r="723" ht="15" hidden="0">
      <x:c r="A723" s="70" t="s">
        <x:v>1551</x:v>
      </x:c>
      <x:c r="B723" s="70" t="s">
        <x:v>30</x:v>
      </x:c>
      <x:c r="C723" s="70" t="s">
        <x:v>101</x:v>
      </x:c>
      <x:c r="D723" s="70" t="s">
        <x:v>224</x:v>
      </x:c>
      <x:c r="E723" s="70" t="s">
        <x:v>1106</x:v>
      </x:c>
      <x:c r="F723" s="70" t="s">
        <x:v>1552</x:v>
      </x:c>
      <x:c r="G723" s="70" t="s">
        <x:v>1301</x:v>
      </x:c>
      <x:c r="H723" s="70" t="s">
        <x:v>838</x:v>
      </x:c>
      <x:c r="I723" s="70" t="s">
        <x:v>833</x:v>
      </x:c>
      <x:c r="J723" s="70" t="n">
        <x:v>227</x:v>
      </x:c>
      <x:c r="K723" s="70" t="s">
        <x:v>1553</x:v>
      </x:c>
      <x:c r="L723" s="70"/>
      <x:c r="M723" s="70" t="s">
        <x:v>34</x:v>
      </x:c>
      <x:c r="N723" s="71" t="n">
        <x:v>62940805</x:v>
      </x:c>
      <x:c r="O723" s="72" t="n">
        <x:f aca="0">N723/1000</x:f>
        <x:v>62940.805</x:v>
      </x:c>
      <x:c r="P723" s="73" t="n">
        <x:f aca="0">LUCK!D84</x:f>
        <x:v>62940.805</x:v>
      </x:c>
      <x:c r="Q723" s="70" t="str">
        <x:f aca="0">IF(ABS(O723-P723)&lt;0.000001,"PASS","FAIL")</x:f>
        <x:v>PASS</x:v>
      </x:c>
      <x:c r="R723" s="70" t="s">
        <x:v>33</x:v>
      </x:c>
      <x:c r="S723" s="70"/>
    </x:row>
    <x:row r="724" ht="15" hidden="0">
      <x:c r="A724" s="70" t="s">
        <x:v>1554</x:v>
      </x:c>
      <x:c r="B724" s="70" t="s">
        <x:v>30</x:v>
      </x:c>
      <x:c r="C724" s="70" t="s">
        <x:v>102</x:v>
      </x:c>
      <x:c r="D724" s="70" t="s">
        <x:v>224</x:v>
      </x:c>
      <x:c r="E724" s="70" t="s">
        <x:v>1106</x:v>
      </x:c>
      <x:c r="F724" s="70" t="s">
        <x:v>1552</x:v>
      </x:c>
      <x:c r="G724" s="70" t="s">
        <x:v>1304</x:v>
      </x:c>
      <x:c r="H724" s="70" t="s">
        <x:v>842</x:v>
      </x:c>
      <x:c r="I724" s="70" t="s">
        <x:v>833</x:v>
      </x:c>
      <x:c r="J724" s="70" t="n">
        <x:v>235</x:v>
      </x:c>
      <x:c r="K724" s="70" t="s">
        <x:v>1555</x:v>
      </x:c>
      <x:c r="L724" s="70"/>
      <x:c r="M724" s="70" t="s">
        <x:v>34</x:v>
      </x:c>
      <x:c r="N724" s="71" t="n">
        <x:v>81093525</x:v>
      </x:c>
      <x:c r="O724" s="72" t="n">
        <x:f aca="0">N724/1000</x:f>
        <x:v>81093.525</x:v>
      </x:c>
      <x:c r="P724" s="73" t="n">
        <x:f aca="0">LUCK!E84</x:f>
        <x:v>81093.525</x:v>
      </x:c>
      <x:c r="Q724" s="70" t="str">
        <x:f aca="0">IF(ABS(O724-P724)&lt;0.000001,"PASS","FAIL")</x:f>
        <x:v>PASS</x:v>
      </x:c>
      <x:c r="R724" s="70" t="s">
        <x:v>33</x:v>
      </x:c>
      <x:c r="S724" s="70"/>
    </x:row>
    <x:row r="725" ht="15" hidden="0">
      <x:c r="A725" s="70" t="s">
        <x:v>1556</x:v>
      </x:c>
      <x:c r="B725" s="70" t="s">
        <x:v>30</x:v>
      </x:c>
      <x:c r="C725" s="70" t="s">
        <x:v>103</x:v>
      </x:c>
      <x:c r="D725" s="70" t="s">
        <x:v>224</x:v>
      </x:c>
      <x:c r="E725" s="70" t="s">
        <x:v>1106</x:v>
      </x:c>
      <x:c r="F725" s="70" t="s">
        <x:v>1552</x:v>
      </x:c>
      <x:c r="G725" s="70" t="s">
        <x:v>1307</x:v>
      </x:c>
      <x:c r="H725" s="70" t="s">
        <x:v>845</x:v>
      </x:c>
      <x:c r="I725" s="70" t="s">
        <x:v>833</x:v>
      </x:c>
      <x:c r="J725" s="70" t="n">
        <x:v>239</x:v>
      </x:c>
      <x:c r="K725" s="70" t="s">
        <x:v>1557</x:v>
      </x:c>
      <x:c r="L725" s="70"/>
      <x:c r="M725" s="70" t="s">
        <x:v>34</x:v>
      </x:c>
      <x:c r="N725" s="71" t="n">
        <x:v>95832147</x:v>
      </x:c>
      <x:c r="O725" s="72" t="n">
        <x:f aca="0">N725/1000</x:f>
        <x:v>95832.147</x:v>
      </x:c>
      <x:c r="P725" s="73" t="n">
        <x:f aca="0">LUCK!F84</x:f>
        <x:v>95832.147</x:v>
      </x:c>
      <x:c r="Q725" s="70" t="str">
        <x:f aca="0">IF(ABS(O725-P725)&lt;0.000001,"PASS","FAIL")</x:f>
        <x:v>PASS</x:v>
      </x:c>
      <x:c r="R725" s="70" t="s">
        <x:v>33</x:v>
      </x:c>
      <x:c r="S725" s="70"/>
    </x:row>
    <x:row r="726" ht="15" hidden="0">
      <x:c r="A726" s="70" t="s">
        <x:v>1558</x:v>
      </x:c>
      <x:c r="B726" s="70" t="s">
        <x:v>30</x:v>
      </x:c>
      <x:c r="C726" s="70" t="s">
        <x:v>104</x:v>
      </x:c>
      <x:c r="D726" s="70" t="s">
        <x:v>224</x:v>
      </x:c>
      <x:c r="E726" s="70" t="s">
        <x:v>1106</x:v>
      </x:c>
      <x:c r="F726" s="70" t="s">
        <x:v>1559</x:v>
      </x:c>
      <x:c r="G726" s="70" t="s">
        <x:v>1310</x:v>
      </x:c>
      <x:c r="H726" s="70" t="s">
        <x:v>849</x:v>
      </x:c>
      <x:c r="I726" s="70" t="s">
        <x:v>833</x:v>
      </x:c>
      <x:c r="J726" s="70" t="n">
        <x:v>241</x:v>
      </x:c>
      <x:c r="K726" s="70" t="s">
        <x:v>834</x:v>
      </x:c>
      <x:c r="L726" s="70"/>
      <x:c r="M726" s="70" t="s">
        <x:v>34</x:v>
      </x:c>
      <x:c r="N726" s="71" t="n">
        <x:v>115324942</x:v>
      </x:c>
      <x:c r="O726" s="72" t="n">
        <x:f aca="0">N726/1000</x:f>
        <x:v>115324.942</x:v>
      </x:c>
      <x:c r="P726" s="73" t="n">
        <x:f aca="0">LUCK!G84</x:f>
        <x:v>115324.942</x:v>
      </x:c>
      <x:c r="Q726" s="70" t="str">
        <x:f aca="0">IF(ABS(O726-P726)&lt;0.000001,"PASS","FAIL")</x:f>
        <x:v>PASS</x:v>
      </x:c>
      <x:c r="R726" s="70" t="s">
        <x:v>33</x:v>
      </x:c>
      <x:c r="S726" s="70"/>
    </x:row>
    <x:row r="727" ht="15" hidden="0">
      <x:c r="A727" s="70" t="s">
        <x:v>1560</x:v>
      </x:c>
      <x:c r="B727" s="70" t="s">
        <x:v>30</x:v>
      </x:c>
      <x:c r="C727" s="70" t="s">
        <x:v>105</x:v>
      </x:c>
      <x:c r="D727" s="70" t="s">
        <x:v>224</x:v>
      </x:c>
      <x:c r="E727" s="70" t="s">
        <x:v>1106</x:v>
      </x:c>
      <x:c r="F727" s="70" t="s">
        <x:v>1559</x:v>
      </x:c>
      <x:c r="G727" s="70" t="s">
        <x:v>1310</x:v>
      </x:c>
      <x:c r="H727" s="70" t="s">
        <x:v>849</x:v>
      </x:c>
      <x:c r="I727" s="70" t="s">
        <x:v>852</x:v>
      </x:c>
      <x:c r="J727" s="70" t="n">
        <x:v>241</x:v>
      </x:c>
      <x:c r="K727" s="70" t="s">
        <x:v>834</x:v>
      </x:c>
      <x:c r="L727" s="70"/>
      <x:c r="M727" s="70" t="s">
        <x:v>34</x:v>
      </x:c>
      <x:c r="N727" s="71" t="n">
        <x:v>124511744</x:v>
      </x:c>
      <x:c r="O727" s="72" t="n">
        <x:f aca="0">N727/1000</x:f>
        <x:v>124511.744</x:v>
      </x:c>
      <x:c r="P727" s="73" t="n">
        <x:f aca="0">LUCK!H84</x:f>
        <x:v>124511.744</x:v>
      </x:c>
      <x:c r="Q727" s="70" t="str">
        <x:f aca="0">IF(ABS(O727-P727)&lt;0.000001,"PASS","FAIL")</x:f>
        <x:v>PASS</x:v>
      </x:c>
      <x:c r="R727" s="70" t="s">
        <x:v>33</x:v>
      </x:c>
      <x:c r="S727" s="70"/>
    </x:row>
    <x:row r="728" ht="15" hidden="0">
      <x:c r="A728" s="70" t="s">
        <x:v>1561</x:v>
      </x:c>
      <x:c r="B728" s="70" t="s">
        <x:v>30</x:v>
      </x:c>
      <x:c r="C728" s="70" t="s">
        <x:v>101</x:v>
      </x:c>
      <x:c r="D728" s="70" t="s">
        <x:v>226</x:v>
      </x:c>
      <x:c r="E728" s="70" t="s">
        <x:v>1106</x:v>
      </x:c>
      <x:c r="F728" s="70" t="s">
        <x:v>226</x:v>
      </x:c>
      <x:c r="G728" s="70" t="s">
        <x:v>1301</x:v>
      </x:c>
      <x:c r="H728" s="70" t="s">
        <x:v>838</x:v>
      </x:c>
      <x:c r="I728" s="70" t="s">
        <x:v>833</x:v>
      </x:c>
      <x:c r="J728" s="70" t="n">
        <x:v>227</x:v>
      </x:c>
      <x:c r="K728" s="70" t="s">
        <x:v>1553</x:v>
      </x:c>
      <x:c r="L728" s="70"/>
      <x:c r="M728" s="70" t="s">
        <x:v>34</x:v>
      </x:c>
      <x:c r="N728" s="71" t="n">
        <x:v>-43984873</x:v>
      </x:c>
      <x:c r="O728" s="72" t="n">
        <x:f aca="0">N728/1000</x:f>
        <x:v>-43984.873</x:v>
      </x:c>
      <x:c r="P728" s="73" t="n">
        <x:f aca="0">LUCK!D85</x:f>
        <x:v>-43984.873</x:v>
      </x:c>
      <x:c r="Q728" s="70" t="str">
        <x:f aca="0">IF(ABS(O728-P728)&lt;0.000001,"PASS","FAIL")</x:f>
        <x:v>PASS</x:v>
      </x:c>
      <x:c r="R728" s="70" t="s">
        <x:v>33</x:v>
      </x:c>
      <x:c r="S728" s="70"/>
    </x:row>
    <x:row r="729" ht="15" hidden="0">
      <x:c r="A729" s="70" t="s">
        <x:v>1562</x:v>
      </x:c>
      <x:c r="B729" s="70" t="s">
        <x:v>30</x:v>
      </x:c>
      <x:c r="C729" s="70" t="s">
        <x:v>102</x:v>
      </x:c>
      <x:c r="D729" s="70" t="s">
        <x:v>226</x:v>
      </x:c>
      <x:c r="E729" s="70" t="s">
        <x:v>1106</x:v>
      </x:c>
      <x:c r="F729" s="70" t="s">
        <x:v>226</x:v>
      </x:c>
      <x:c r="G729" s="70" t="s">
        <x:v>1304</x:v>
      </x:c>
      <x:c r="H729" s="70" t="s">
        <x:v>842</x:v>
      </x:c>
      <x:c r="I729" s="70" t="s">
        <x:v>833</x:v>
      </x:c>
      <x:c r="J729" s="70" t="n">
        <x:v>235</x:v>
      </x:c>
      <x:c r="K729" s="70" t="s">
        <x:v>1555</x:v>
      </x:c>
      <x:c r="L729" s="70"/>
      <x:c r="M729" s="70" t="s">
        <x:v>34</x:v>
      </x:c>
      <x:c r="N729" s="71" t="n">
        <x:v>-58541684</x:v>
      </x:c>
      <x:c r="O729" s="72" t="n">
        <x:f aca="0">N729/1000</x:f>
        <x:v>-58541.684</x:v>
      </x:c>
      <x:c r="P729" s="73" t="n">
        <x:f aca="0">LUCK!E85</x:f>
        <x:v>-58541.684</x:v>
      </x:c>
      <x:c r="Q729" s="70" t="str">
        <x:f aca="0">IF(ABS(O729-P729)&lt;0.000001,"PASS","FAIL")</x:f>
        <x:v>PASS</x:v>
      </x:c>
      <x:c r="R729" s="70" t="s">
        <x:v>33</x:v>
      </x:c>
      <x:c r="S729" s="70"/>
    </x:row>
    <x:row r="730" ht="15" hidden="0">
      <x:c r="A730" s="70" t="s">
        <x:v>1563</x:v>
      </x:c>
      <x:c r="B730" s="70" t="s">
        <x:v>30</x:v>
      </x:c>
      <x:c r="C730" s="70" t="s">
        <x:v>103</x:v>
      </x:c>
      <x:c r="D730" s="70" t="s">
        <x:v>226</x:v>
      </x:c>
      <x:c r="E730" s="70" t="s">
        <x:v>1106</x:v>
      </x:c>
      <x:c r="F730" s="70" t="s">
        <x:v>226</x:v>
      </x:c>
      <x:c r="G730" s="70" t="s">
        <x:v>1307</x:v>
      </x:c>
      <x:c r="H730" s="70" t="s">
        <x:v>845</x:v>
      </x:c>
      <x:c r="I730" s="70" t="s">
        <x:v>833</x:v>
      </x:c>
      <x:c r="J730" s="70" t="n">
        <x:v>239</x:v>
      </x:c>
      <x:c r="K730" s="70" t="s">
        <x:v>1557</x:v>
      </x:c>
      <x:c r="L730" s="70"/>
      <x:c r="M730" s="70" t="s">
        <x:v>34</x:v>
      </x:c>
      <x:c r="N730" s="71" t="n">
        <x:v>-69771469</x:v>
      </x:c>
      <x:c r="O730" s="72" t="n">
        <x:f aca="0">N730/1000</x:f>
        <x:v>-69771.469</x:v>
      </x:c>
      <x:c r="P730" s="73" t="n">
        <x:f aca="0">LUCK!F85</x:f>
        <x:v>-69771.469</x:v>
      </x:c>
      <x:c r="Q730" s="70" t="str">
        <x:f aca="0">IF(ABS(O730-P730)&lt;0.000001,"PASS","FAIL")</x:f>
        <x:v>PASS</x:v>
      </x:c>
      <x:c r="R730" s="70" t="s">
        <x:v>33</x:v>
      </x:c>
      <x:c r="S730" s="70"/>
    </x:row>
    <x:row r="731" ht="15" hidden="0">
      <x:c r="A731" s="70" t="s">
        <x:v>1564</x:v>
      </x:c>
      <x:c r="B731" s="70" t="s">
        <x:v>30</x:v>
      </x:c>
      <x:c r="C731" s="70" t="s">
        <x:v>104</x:v>
      </x:c>
      <x:c r="D731" s="70" t="s">
        <x:v>226</x:v>
      </x:c>
      <x:c r="E731" s="70" t="s">
        <x:v>1106</x:v>
      </x:c>
      <x:c r="F731" s="70" t="s">
        <x:v>226</x:v>
      </x:c>
      <x:c r="G731" s="70" t="s">
        <x:v>1310</x:v>
      </x:c>
      <x:c r="H731" s="70" t="s">
        <x:v>849</x:v>
      </x:c>
      <x:c r="I731" s="70" t="s">
        <x:v>833</x:v>
      </x:c>
      <x:c r="J731" s="70" t="n">
        <x:v>241</x:v>
      </x:c>
      <x:c r="K731" s="70" t="s">
        <x:v>834</x:v>
      </x:c>
      <x:c r="L731" s="70"/>
      <x:c r="M731" s="70" t="s">
        <x:v>34</x:v>
      </x:c>
      <x:c r="N731" s="71" t="n">
        <x:v>-76520370</x:v>
      </x:c>
      <x:c r="O731" s="72" t="n">
        <x:f aca="0">N731/1000</x:f>
        <x:v>-76520.37</x:v>
      </x:c>
      <x:c r="P731" s="73" t="n">
        <x:f aca="0">LUCK!G85</x:f>
        <x:v>-76520.37</x:v>
      </x:c>
      <x:c r="Q731" s="70" t="str">
        <x:f aca="0">IF(ABS(O731-P731)&lt;0.000001,"PASS","FAIL")</x:f>
        <x:v>PASS</x:v>
      </x:c>
      <x:c r="R731" s="70" t="s">
        <x:v>33</x:v>
      </x:c>
      <x:c r="S731" s="70"/>
    </x:row>
    <x:row r="732" ht="15" hidden="0">
      <x:c r="A732" s="70" t="s">
        <x:v>1565</x:v>
      </x:c>
      <x:c r="B732" s="70" t="s">
        <x:v>30</x:v>
      </x:c>
      <x:c r="C732" s="70" t="s">
        <x:v>105</x:v>
      </x:c>
      <x:c r="D732" s="70" t="s">
        <x:v>226</x:v>
      </x:c>
      <x:c r="E732" s="70" t="s">
        <x:v>1106</x:v>
      </x:c>
      <x:c r="F732" s="70" t="s">
        <x:v>226</x:v>
      </x:c>
      <x:c r="G732" s="70" t="s">
        <x:v>1310</x:v>
      </x:c>
      <x:c r="H732" s="70" t="s">
        <x:v>849</x:v>
      </x:c>
      <x:c r="I732" s="70" t="s">
        <x:v>852</x:v>
      </x:c>
      <x:c r="J732" s="70" t="n">
        <x:v>241</x:v>
      </x:c>
      <x:c r="K732" s="70" t="s">
        <x:v>834</x:v>
      </x:c>
      <x:c r="L732" s="70"/>
      <x:c r="M732" s="70" t="s">
        <x:v>34</x:v>
      </x:c>
      <x:c r="N732" s="71" t="n">
        <x:v>-81827060</x:v>
      </x:c>
      <x:c r="O732" s="72" t="n">
        <x:f aca="0">N732/1000</x:f>
        <x:v>-81827.06</x:v>
      </x:c>
      <x:c r="P732" s="73" t="n">
        <x:f aca="0">LUCK!H85</x:f>
        <x:v>-81827.06</x:v>
      </x:c>
      <x:c r="Q732" s="70" t="str">
        <x:f aca="0">IF(ABS(O732-P732)&lt;0.000001,"PASS","FAIL")</x:f>
        <x:v>PASS</x:v>
      </x:c>
      <x:c r="R732" s="70" t="s">
        <x:v>33</x:v>
      </x:c>
      <x:c r="S732" s="70"/>
    </x:row>
    <x:row r="733" ht="15" hidden="0">
      <x:c r="A733" s="70" t="s">
        <x:v>1566</x:v>
      </x:c>
      <x:c r="B733" s="70" t="s">
        <x:v>30</x:v>
      </x:c>
      <x:c r="C733" s="70" t="s">
        <x:v>101</x:v>
      </x:c>
      <x:c r="D733" s="70" t="s">
        <x:v>230</x:v>
      </x:c>
      <x:c r="E733" s="70" t="s">
        <x:v>1106</x:v>
      </x:c>
      <x:c r="F733" s="70" t="s">
        <x:v>1567</x:v>
      </x:c>
      <x:c r="G733" s="70" t="s">
        <x:v>1301</x:v>
      </x:c>
      <x:c r="H733" s="70" t="s">
        <x:v>838</x:v>
      </x:c>
      <x:c r="I733" s="70" t="s">
        <x:v>833</x:v>
      </x:c>
      <x:c r="J733" s="70" t="n">
        <x:v>227</x:v>
      </x:c>
      <x:c r="K733" s="70" t="s">
        <x:v>1553</x:v>
      </x:c>
      <x:c r="L733" s="70"/>
      <x:c r="M733" s="70" t="s">
        <x:v>34</x:v>
      </x:c>
      <x:c r="N733" s="71" t="n">
        <x:v>-4859096</x:v>
      </x:c>
      <x:c r="O733" s="72" t="n">
        <x:f aca="0">N733/1000</x:f>
        <x:v>-4859.096</x:v>
      </x:c>
      <x:c r="P733" s="73" t="n">
        <x:f aca="0">LUCK!D87</x:f>
        <x:v>-4859.096</x:v>
      </x:c>
      <x:c r="Q733" s="70" t="str">
        <x:f aca="0">IF(ABS(O733-P733)&lt;0.000001,"PASS","FAIL")</x:f>
        <x:v>PASS</x:v>
      </x:c>
      <x:c r="R733" s="70" t="s">
        <x:v>33</x:v>
      </x:c>
      <x:c r="S733" s="70"/>
    </x:row>
    <x:row r="734" ht="15" hidden="0">
      <x:c r="A734" s="70" t="s">
        <x:v>1568</x:v>
      </x:c>
      <x:c r="B734" s="70" t="s">
        <x:v>30</x:v>
      </x:c>
      <x:c r="C734" s="70" t="s">
        <x:v>102</x:v>
      </x:c>
      <x:c r="D734" s="70" t="s">
        <x:v>230</x:v>
      </x:c>
      <x:c r="E734" s="70" t="s">
        <x:v>1106</x:v>
      </x:c>
      <x:c r="F734" s="70" t="s">
        <x:v>1567</x:v>
      </x:c>
      <x:c r="G734" s="70" t="s">
        <x:v>1304</x:v>
      </x:c>
      <x:c r="H734" s="70" t="s">
        <x:v>842</x:v>
      </x:c>
      <x:c r="I734" s="70" t="s">
        <x:v>833</x:v>
      </x:c>
      <x:c r="J734" s="70" t="n">
        <x:v>235</x:v>
      </x:c>
      <x:c r="K734" s="70" t="s">
        <x:v>1555</x:v>
      </x:c>
      <x:c r="L734" s="70"/>
      <x:c r="M734" s="70" t="s">
        <x:v>34</x:v>
      </x:c>
      <x:c r="N734" s="71" t="n">
        <x:v>-4764574</x:v>
      </x:c>
      <x:c r="O734" s="72" t="n">
        <x:f aca="0">N734/1000</x:f>
        <x:v>-4764.574</x:v>
      </x:c>
      <x:c r="P734" s="73" t="n">
        <x:f aca="0">LUCK!E87</x:f>
        <x:v>-4764.574</x:v>
      </x:c>
      <x:c r="Q734" s="70" t="str">
        <x:f aca="0">IF(ABS(O734-P734)&lt;0.000001,"PASS","FAIL")</x:f>
        <x:v>PASS</x:v>
      </x:c>
      <x:c r="R734" s="70" t="s">
        <x:v>33</x:v>
      </x:c>
      <x:c r="S734" s="70"/>
    </x:row>
    <x:row r="735" ht="15" hidden="0">
      <x:c r="A735" s="70" t="s">
        <x:v>1569</x:v>
      </x:c>
      <x:c r="B735" s="70" t="s">
        <x:v>30</x:v>
      </x:c>
      <x:c r="C735" s="70" t="s">
        <x:v>103</x:v>
      </x:c>
      <x:c r="D735" s="70" t="s">
        <x:v>230</x:v>
      </x:c>
      <x:c r="E735" s="70" t="s">
        <x:v>1106</x:v>
      </x:c>
      <x:c r="F735" s="70" t="s">
        <x:v>1567</x:v>
      </x:c>
      <x:c r="G735" s="70" t="s">
        <x:v>1307</x:v>
      </x:c>
      <x:c r="H735" s="70" t="s">
        <x:v>845</x:v>
      </x:c>
      <x:c r="I735" s="70" t="s">
        <x:v>833</x:v>
      </x:c>
      <x:c r="J735" s="70" t="n">
        <x:v>239</x:v>
      </x:c>
      <x:c r="K735" s="70" t="s">
        <x:v>1557</x:v>
      </x:c>
      <x:c r="L735" s="70"/>
      <x:c r="M735" s="70" t="s">
        <x:v>34</x:v>
      </x:c>
      <x:c r="N735" s="71" t="n">
        <x:v>-5326894</x:v>
      </x:c>
      <x:c r="O735" s="72" t="n">
        <x:f aca="0">N735/1000</x:f>
        <x:v>-5326.894</x:v>
      </x:c>
      <x:c r="P735" s="73" t="n">
        <x:f aca="0">LUCK!F87</x:f>
        <x:v>-5326.894</x:v>
      </x:c>
      <x:c r="Q735" s="70" t="str">
        <x:f aca="0">IF(ABS(O735-P735)&lt;0.000001,"PASS","FAIL")</x:f>
        <x:v>PASS</x:v>
      </x:c>
      <x:c r="R735" s="70" t="s">
        <x:v>33</x:v>
      </x:c>
      <x:c r="S735" s="70"/>
    </x:row>
    <x:row r="736" ht="15" hidden="0">
      <x:c r="A736" s="70" t="s">
        <x:v>1570</x:v>
      </x:c>
      <x:c r="B736" s="70" t="s">
        <x:v>30</x:v>
      </x:c>
      <x:c r="C736" s="70" t="s">
        <x:v>104</x:v>
      </x:c>
      <x:c r="D736" s="70" t="s">
        <x:v>230</x:v>
      </x:c>
      <x:c r="E736" s="70" t="s">
        <x:v>1106</x:v>
      </x:c>
      <x:c r="F736" s="70" t="s">
        <x:v>1571</x:v>
      </x:c>
      <x:c r="G736" s="70" t="s">
        <x:v>1310</x:v>
      </x:c>
      <x:c r="H736" s="70" t="s">
        <x:v>849</x:v>
      </x:c>
      <x:c r="I736" s="70" t="s">
        <x:v>833</x:v>
      </x:c>
      <x:c r="J736" s="70" t="n">
        <x:v>241</x:v>
      </x:c>
      <x:c r="K736" s="70" t="s">
        <x:v>834</x:v>
      </x:c>
      <x:c r="L736" s="70"/>
      <x:c r="M736" s="70" t="s">
        <x:v>34</x:v>
      </x:c>
      <x:c r="N736" s="71" t="n">
        <x:v>-7773885</x:v>
      </x:c>
      <x:c r="O736" s="72" t="n">
        <x:f aca="0">N736/1000</x:f>
        <x:v>-7773.885</x:v>
      </x:c>
      <x:c r="P736" s="73" t="n">
        <x:f aca="0">LUCK!G87</x:f>
        <x:v>-7773.885</x:v>
      </x:c>
      <x:c r="Q736" s="70" t="str">
        <x:f aca="0">IF(ABS(O736-P736)&lt;0.000001,"PASS","FAIL")</x:f>
        <x:v>PASS</x:v>
      </x:c>
      <x:c r="R736" s="70" t="s">
        <x:v>33</x:v>
      </x:c>
      <x:c r="S736" s="70"/>
    </x:row>
    <x:row r="737" ht="15" hidden="0">
      <x:c r="A737" s="70" t="s">
        <x:v>1572</x:v>
      </x:c>
      <x:c r="B737" s="70" t="s">
        <x:v>30</x:v>
      </x:c>
      <x:c r="C737" s="70" t="s">
        <x:v>105</x:v>
      </x:c>
      <x:c r="D737" s="70" t="s">
        <x:v>230</x:v>
      </x:c>
      <x:c r="E737" s="70" t="s">
        <x:v>1106</x:v>
      </x:c>
      <x:c r="F737" s="70" t="s">
        <x:v>1571</x:v>
      </x:c>
      <x:c r="G737" s="70" t="s">
        <x:v>1310</x:v>
      </x:c>
      <x:c r="H737" s="70" t="s">
        <x:v>849</x:v>
      </x:c>
      <x:c r="I737" s="70" t="s">
        <x:v>852</x:v>
      </x:c>
      <x:c r="J737" s="70" t="n">
        <x:v>241</x:v>
      </x:c>
      <x:c r="K737" s="70" t="s">
        <x:v>834</x:v>
      </x:c>
      <x:c r="L737" s="70"/>
      <x:c r="M737" s="70" t="s">
        <x:v>34</x:v>
      </x:c>
      <x:c r="N737" s="71" t="n">
        <x:v>-8972815</x:v>
      </x:c>
      <x:c r="O737" s="72" t="n">
        <x:f aca="0">N737/1000</x:f>
        <x:v>-8972.815</x:v>
      </x:c>
      <x:c r="P737" s="73" t="n">
        <x:f aca="0">LUCK!H87</x:f>
        <x:v>-8972.815</x:v>
      </x:c>
      <x:c r="Q737" s="70" t="str">
        <x:f aca="0">IF(ABS(O737-P737)&lt;0.000001,"PASS","FAIL")</x:f>
        <x:v>PASS</x:v>
      </x:c>
      <x:c r="R737" s="70" t="s">
        <x:v>33</x:v>
      </x:c>
      <x:c r="S737" s="70"/>
    </x:row>
    <x:row r="738" ht="15" hidden="0">
      <x:c r="A738" s="70" t="s">
        <x:v>1573</x:v>
      </x:c>
      <x:c r="B738" s="70" t="s">
        <x:v>30</x:v>
      </x:c>
      <x:c r="C738" s="70" t="s">
        <x:v>101</x:v>
      </x:c>
      <x:c r="D738" s="70" t="s">
        <x:v>232</x:v>
      </x:c>
      <x:c r="E738" s="70" t="s">
        <x:v>1106</x:v>
      </x:c>
      <x:c r="F738" s="70" t="s">
        <x:v>232</x:v>
      </x:c>
      <x:c r="G738" s="70" t="s">
        <x:v>1301</x:v>
      </x:c>
      <x:c r="H738" s="70" t="s">
        <x:v>838</x:v>
      </x:c>
      <x:c r="I738" s="70" t="s">
        <x:v>833</x:v>
      </x:c>
      <x:c r="J738" s="70" t="n">
        <x:v>227</x:v>
      </x:c>
      <x:c r="K738" s="70" t="s">
        <x:v>1553</x:v>
      </x:c>
      <x:c r="L738" s="70"/>
      <x:c r="M738" s="70" t="s">
        <x:v>34</x:v>
      </x:c>
      <x:c r="N738" s="71" t="n">
        <x:v>-1257074</x:v>
      </x:c>
      <x:c r="O738" s="72" t="n">
        <x:f aca="0">N738/1000</x:f>
        <x:v>-1257.074</x:v>
      </x:c>
      <x:c r="P738" s="73" t="n">
        <x:f aca="0">LUCK!D88</x:f>
        <x:v>-1257.074</x:v>
      </x:c>
      <x:c r="Q738" s="70" t="str">
        <x:f aca="0">IF(ABS(O738-P738)&lt;0.000001,"PASS","FAIL")</x:f>
        <x:v>PASS</x:v>
      </x:c>
      <x:c r="R738" s="70" t="s">
        <x:v>33</x:v>
      </x:c>
      <x:c r="S738" s="70"/>
    </x:row>
    <x:row r="739" ht="15" hidden="0">
      <x:c r="A739" s="70" t="s">
        <x:v>1574</x:v>
      </x:c>
      <x:c r="B739" s="70" t="s">
        <x:v>30</x:v>
      </x:c>
      <x:c r="C739" s="70" t="s">
        <x:v>102</x:v>
      </x:c>
      <x:c r="D739" s="70" t="s">
        <x:v>232</x:v>
      </x:c>
      <x:c r="E739" s="70" t="s">
        <x:v>1106</x:v>
      </x:c>
      <x:c r="F739" s="70" t="s">
        <x:v>232</x:v>
      </x:c>
      <x:c r="G739" s="70" t="s">
        <x:v>1304</x:v>
      </x:c>
      <x:c r="H739" s="70" t="s">
        <x:v>842</x:v>
      </x:c>
      <x:c r="I739" s="70" t="s">
        <x:v>833</x:v>
      </x:c>
      <x:c r="J739" s="70" t="n">
        <x:v>235</x:v>
      </x:c>
      <x:c r="K739" s="70" t="s">
        <x:v>1555</x:v>
      </x:c>
      <x:c r="L739" s="70"/>
      <x:c r="M739" s="70" t="s">
        <x:v>34</x:v>
      </x:c>
      <x:c r="N739" s="71" t="n">
        <x:v>-1512279</x:v>
      </x:c>
      <x:c r="O739" s="72" t="n">
        <x:f aca="0">N739/1000</x:f>
        <x:v>-1512.279</x:v>
      </x:c>
      <x:c r="P739" s="73" t="n">
        <x:f aca="0">LUCK!E88</x:f>
        <x:v>-1512.279</x:v>
      </x:c>
      <x:c r="Q739" s="70" t="str">
        <x:f aca="0">IF(ABS(O739-P739)&lt;0.000001,"PASS","FAIL")</x:f>
        <x:v>PASS</x:v>
      </x:c>
      <x:c r="R739" s="70" t="s">
        <x:v>33</x:v>
      </x:c>
      <x:c r="S739" s="70"/>
    </x:row>
    <x:row r="740" ht="15" hidden="0">
      <x:c r="A740" s="70" t="s">
        <x:v>1575</x:v>
      </x:c>
      <x:c r="B740" s="70" t="s">
        <x:v>30</x:v>
      </x:c>
      <x:c r="C740" s="70" t="s">
        <x:v>103</x:v>
      </x:c>
      <x:c r="D740" s="70" t="s">
        <x:v>232</x:v>
      </x:c>
      <x:c r="E740" s="70" t="s">
        <x:v>1106</x:v>
      </x:c>
      <x:c r="F740" s="70" t="s">
        <x:v>232</x:v>
      </x:c>
      <x:c r="G740" s="70" t="s">
        <x:v>1307</x:v>
      </x:c>
      <x:c r="H740" s="70" t="s">
        <x:v>845</x:v>
      </x:c>
      <x:c r="I740" s="70" t="s">
        <x:v>833</x:v>
      </x:c>
      <x:c r="J740" s="70" t="n">
        <x:v>239</x:v>
      </x:c>
      <x:c r="K740" s="70" t="s">
        <x:v>1557</x:v>
      </x:c>
      <x:c r="L740" s="70"/>
      <x:c r="M740" s="70" t="s">
        <x:v>34</x:v>
      </x:c>
      <x:c r="N740" s="71" t="n">
        <x:v>-1825578</x:v>
      </x:c>
      <x:c r="O740" s="72" t="n">
        <x:f aca="0">N740/1000</x:f>
        <x:v>-1825.578</x:v>
      </x:c>
      <x:c r="P740" s="73" t="n">
        <x:f aca="0">LUCK!F88</x:f>
        <x:v>-1825.578</x:v>
      </x:c>
      <x:c r="Q740" s="70" t="str">
        <x:f aca="0">IF(ABS(O740-P740)&lt;0.000001,"PASS","FAIL")</x:f>
        <x:v>PASS</x:v>
      </x:c>
      <x:c r="R740" s="70" t="s">
        <x:v>33</x:v>
      </x:c>
      <x:c r="S740" s="70"/>
    </x:row>
    <x:row r="741" ht="15" hidden="0">
      <x:c r="A741" s="70" t="s">
        <x:v>1576</x:v>
      </x:c>
      <x:c r="B741" s="70" t="s">
        <x:v>30</x:v>
      </x:c>
      <x:c r="C741" s="70" t="s">
        <x:v>104</x:v>
      </x:c>
      <x:c r="D741" s="70" t="s">
        <x:v>232</x:v>
      </x:c>
      <x:c r="E741" s="70" t="s">
        <x:v>1106</x:v>
      </x:c>
      <x:c r="F741" s="70" t="s">
        <x:v>232</x:v>
      </x:c>
      <x:c r="G741" s="70" t="s">
        <x:v>1310</x:v>
      </x:c>
      <x:c r="H741" s="70" t="s">
        <x:v>849</x:v>
      </x:c>
      <x:c r="I741" s="70" t="s">
        <x:v>833</x:v>
      </x:c>
      <x:c r="J741" s="70" t="n">
        <x:v>241</x:v>
      </x:c>
      <x:c r="K741" s="70" t="s">
        <x:v>834</x:v>
      </x:c>
      <x:c r="L741" s="70"/>
      <x:c r="M741" s="70" t="s">
        <x:v>34</x:v>
      </x:c>
      <x:c r="N741" s="71" t="n">
        <x:v>-2160682</x:v>
      </x:c>
      <x:c r="O741" s="72" t="n">
        <x:f aca="0">N741/1000</x:f>
        <x:v>-2160.682</x:v>
      </x:c>
      <x:c r="P741" s="73" t="n">
        <x:f aca="0">LUCK!G88</x:f>
        <x:v>-2160.682</x:v>
      </x:c>
      <x:c r="Q741" s="70" t="str">
        <x:f aca="0">IF(ABS(O741-P741)&lt;0.000001,"PASS","FAIL")</x:f>
        <x:v>PASS</x:v>
      </x:c>
      <x:c r="R741" s="70" t="s">
        <x:v>33</x:v>
      </x:c>
      <x:c r="S741" s="70"/>
    </x:row>
    <x:row r="742" ht="15" hidden="0">
      <x:c r="A742" s="70" t="s">
        <x:v>1577</x:v>
      </x:c>
      <x:c r="B742" s="70" t="s">
        <x:v>30</x:v>
      </x:c>
      <x:c r="C742" s="70" t="s">
        <x:v>105</x:v>
      </x:c>
      <x:c r="D742" s="70" t="s">
        <x:v>232</x:v>
      </x:c>
      <x:c r="E742" s="70" t="s">
        <x:v>1106</x:v>
      </x:c>
      <x:c r="F742" s="70" t="s">
        <x:v>232</x:v>
      </x:c>
      <x:c r="G742" s="70" t="s">
        <x:v>1310</x:v>
      </x:c>
      <x:c r="H742" s="70" t="s">
        <x:v>849</x:v>
      </x:c>
      <x:c r="I742" s="70" t="s">
        <x:v>852</x:v>
      </x:c>
      <x:c r="J742" s="70" t="n">
        <x:v>241</x:v>
      </x:c>
      <x:c r="K742" s="70" t="s">
        <x:v>834</x:v>
      </x:c>
      <x:c r="L742" s="70"/>
      <x:c r="M742" s="70" t="s">
        <x:v>34</x:v>
      </x:c>
      <x:c r="N742" s="71" t="n">
        <x:v>-2427249</x:v>
      </x:c>
      <x:c r="O742" s="72" t="n">
        <x:f aca="0">N742/1000</x:f>
        <x:v>-2427.249</x:v>
      </x:c>
      <x:c r="P742" s="73" t="n">
        <x:f aca="0">LUCK!H88</x:f>
        <x:v>-2427.249</x:v>
      </x:c>
      <x:c r="Q742" s="70" t="str">
        <x:f aca="0">IF(ABS(O742-P742)&lt;0.000001,"PASS","FAIL")</x:f>
        <x:v>PASS</x:v>
      </x:c>
      <x:c r="R742" s="70" t="s">
        <x:v>33</x:v>
      </x:c>
      <x:c r="S742" s="70"/>
    </x:row>
    <x:row r="743" ht="15" hidden="0">
      <x:c r="A743" s="70" t="s">
        <x:v>1578</x:v>
      </x:c>
      <x:c r="B743" s="70" t="s">
        <x:v>30</x:v>
      </x:c>
      <x:c r="C743" s="70" t="s">
        <x:v>101</x:v>
      </x:c>
      <x:c r="D743" s="70" t="s">
        <x:v>234</x:v>
      </x:c>
      <x:c r="E743" s="70" t="s">
        <x:v>1106</x:v>
      </x:c>
      <x:c r="F743" s="70"/>
      <x:c r="G743" s="70" t="s">
        <x:v>1301</x:v>
      </x:c>
      <x:c r="H743" s="70" t="s">
        <x:v>838</x:v>
      </x:c>
      <x:c r="I743" s="70" t="s">
        <x:v>833</x:v>
      </x:c>
      <x:c r="J743" s="70" t="n">
        <x:v>227</x:v>
      </x:c>
      <x:c r="K743" s="70" t="s">
        <x:v>1553</x:v>
      </x:c>
      <x:c r="L743" s="70"/>
      <x:c r="M743" s="70" t="s">
        <x:v>34</x:v>
      </x:c>
      <x:c r="N743" s="71" t="n">
        <x:v>0</x:v>
      </x:c>
      <x:c r="O743" s="72" t="n">
        <x:f aca="0">N743/1000</x:f>
        <x:v>0</x:v>
      </x:c>
      <x:c r="P743" s="73" t="n">
        <x:f aca="0">LUCK!D89</x:f>
        <x:v>0</x:v>
      </x:c>
      <x:c r="Q743" s="70" t="str">
        <x:f aca="0">IF(ABS(O743-P743)&lt;0.000001,"PASS","FAIL")</x:f>
        <x:v>PASS</x:v>
      </x:c>
      <x:c r="R743" s="70" t="s">
        <x:v>33</x:v>
      </x:c>
      <x:c r="S743" s="70"/>
    </x:row>
    <x:row r="744" ht="15" hidden="0">
      <x:c r="A744" s="70" t="s">
        <x:v>1579</x:v>
      </x:c>
      <x:c r="B744" s="70" t="s">
        <x:v>30</x:v>
      </x:c>
      <x:c r="C744" s="70" t="s">
        <x:v>102</x:v>
      </x:c>
      <x:c r="D744" s="70" t="s">
        <x:v>234</x:v>
      </x:c>
      <x:c r="E744" s="70" t="s">
        <x:v>1106</x:v>
      </x:c>
      <x:c r="F744" s="70"/>
      <x:c r="G744" s="70" t="s">
        <x:v>1304</x:v>
      </x:c>
      <x:c r="H744" s="70" t="s">
        <x:v>842</x:v>
      </x:c>
      <x:c r="I744" s="70" t="s">
        <x:v>833</x:v>
      </x:c>
      <x:c r="J744" s="70" t="n">
        <x:v>235</x:v>
      </x:c>
      <x:c r="K744" s="70" t="s">
        <x:v>1555</x:v>
      </x:c>
      <x:c r="L744" s="70"/>
      <x:c r="M744" s="70" t="s">
        <x:v>34</x:v>
      </x:c>
      <x:c r="N744" s="71" t="n">
        <x:v>0</x:v>
      </x:c>
      <x:c r="O744" s="72" t="n">
        <x:f aca="0">N744/1000</x:f>
        <x:v>0</x:v>
      </x:c>
      <x:c r="P744" s="73" t="n">
        <x:f aca="0">LUCK!E89</x:f>
        <x:v>0</x:v>
      </x:c>
      <x:c r="Q744" s="70" t="str">
        <x:f aca="0">IF(ABS(O744-P744)&lt;0.000001,"PASS","FAIL")</x:f>
        <x:v>PASS</x:v>
      </x:c>
      <x:c r="R744" s="70" t="s">
        <x:v>33</x:v>
      </x:c>
      <x:c r="S744" s="70"/>
    </x:row>
    <x:row r="745" ht="15" hidden="0">
      <x:c r="A745" s="70" t="s">
        <x:v>1580</x:v>
      </x:c>
      <x:c r="B745" s="70" t="s">
        <x:v>30</x:v>
      </x:c>
      <x:c r="C745" s="70" t="s">
        <x:v>103</x:v>
      </x:c>
      <x:c r="D745" s="70" t="s">
        <x:v>234</x:v>
      </x:c>
      <x:c r="E745" s="70" t="s">
        <x:v>1106</x:v>
      </x:c>
      <x:c r="F745" s="70"/>
      <x:c r="G745" s="70" t="s">
        <x:v>1307</x:v>
      </x:c>
      <x:c r="H745" s="70" t="s">
        <x:v>845</x:v>
      </x:c>
      <x:c r="I745" s="70" t="s">
        <x:v>833</x:v>
      </x:c>
      <x:c r="J745" s="70" t="n">
        <x:v>239</x:v>
      </x:c>
      <x:c r="K745" s="70" t="s">
        <x:v>1557</x:v>
      </x:c>
      <x:c r="L745" s="70"/>
      <x:c r="M745" s="70" t="s">
        <x:v>34</x:v>
      </x:c>
      <x:c r="N745" s="71" t="n">
        <x:v>0</x:v>
      </x:c>
      <x:c r="O745" s="72" t="n">
        <x:f aca="0">N745/1000</x:f>
        <x:v>0</x:v>
      </x:c>
      <x:c r="P745" s="73" t="n">
        <x:f aca="0">LUCK!F89</x:f>
        <x:v>0</x:v>
      </x:c>
      <x:c r="Q745" s="70" t="str">
        <x:f aca="0">IF(ABS(O745-P745)&lt;0.000001,"PASS","FAIL")</x:f>
        <x:v>PASS</x:v>
      </x:c>
      <x:c r="R745" s="70" t="s">
        <x:v>33</x:v>
      </x:c>
      <x:c r="S745" s="70"/>
    </x:row>
    <x:row r="746" ht="15" hidden="0">
      <x:c r="A746" s="70" t="s">
        <x:v>1581</x:v>
      </x:c>
      <x:c r="B746" s="70" t="s">
        <x:v>30</x:v>
      </x:c>
      <x:c r="C746" s="70" t="s">
        <x:v>104</x:v>
      </x:c>
      <x:c r="D746" s="70" t="s">
        <x:v>234</x:v>
      </x:c>
      <x:c r="E746" s="70" t="s">
        <x:v>1106</x:v>
      </x:c>
      <x:c r="F746" s="70"/>
      <x:c r="G746" s="70" t="s">
        <x:v>1310</x:v>
      </x:c>
      <x:c r="H746" s="70" t="s">
        <x:v>849</x:v>
      </x:c>
      <x:c r="I746" s="70" t="s">
        <x:v>833</x:v>
      </x:c>
      <x:c r="J746" s="70" t="n">
        <x:v>241</x:v>
      </x:c>
      <x:c r="K746" s="70" t="s">
        <x:v>834</x:v>
      </x:c>
      <x:c r="L746" s="70"/>
      <x:c r="M746" s="70" t="s">
        <x:v>34</x:v>
      </x:c>
      <x:c r="N746" s="71" t="n">
        <x:v>0</x:v>
      </x:c>
      <x:c r="O746" s="72" t="n">
        <x:f aca="0">N746/1000</x:f>
        <x:v>0</x:v>
      </x:c>
      <x:c r="P746" s="73" t="n">
        <x:f aca="0">LUCK!G89</x:f>
        <x:v>0</x:v>
      </x:c>
      <x:c r="Q746" s="70" t="str">
        <x:f aca="0">IF(ABS(O746-P746)&lt;0.000001,"PASS","FAIL")</x:f>
        <x:v>PASS</x:v>
      </x:c>
      <x:c r="R746" s="70" t="s">
        <x:v>33</x:v>
      </x:c>
      <x:c r="S746" s="70"/>
    </x:row>
    <x:row r="747" ht="15" hidden="0">
      <x:c r="A747" s="70" t="s">
        <x:v>1582</x:v>
      </x:c>
      <x:c r="B747" s="70" t="s">
        <x:v>30</x:v>
      </x:c>
      <x:c r="C747" s="70" t="s">
        <x:v>105</x:v>
      </x:c>
      <x:c r="D747" s="70" t="s">
        <x:v>234</x:v>
      </x:c>
      <x:c r="E747" s="70" t="s">
        <x:v>1106</x:v>
      </x:c>
      <x:c r="F747" s="70"/>
      <x:c r="G747" s="70" t="s">
        <x:v>1310</x:v>
      </x:c>
      <x:c r="H747" s="70" t="s">
        <x:v>849</x:v>
      </x:c>
      <x:c r="I747" s="70" t="s">
        <x:v>852</x:v>
      </x:c>
      <x:c r="J747" s="70" t="n">
        <x:v>241</x:v>
      </x:c>
      <x:c r="K747" s="70" t="s">
        <x:v>834</x:v>
      </x:c>
      <x:c r="L747" s="70"/>
      <x:c r="M747" s="70" t="s">
        <x:v>34</x:v>
      </x:c>
      <x:c r="N747" s="71" t="n">
        <x:v>0</x:v>
      </x:c>
      <x:c r="O747" s="72" t="n">
        <x:f aca="0">N747/1000</x:f>
        <x:v>0</x:v>
      </x:c>
      <x:c r="P747" s="73" t="n">
        <x:f aca="0">LUCK!H89</x:f>
        <x:v>0</x:v>
      </x:c>
      <x:c r="Q747" s="70" t="str">
        <x:f aca="0">IF(ABS(O747-P747)&lt;0.000001,"PASS","FAIL")</x:f>
        <x:v>PASS</x:v>
      </x:c>
      <x:c r="R747" s="70" t="s">
        <x:v>33</x:v>
      </x:c>
      <x:c r="S747" s="70"/>
    </x:row>
    <x:row r="748" ht="15" hidden="0">
      <x:c r="A748" s="70" t="s">
        <x:v>1583</x:v>
      </x:c>
      <x:c r="B748" s="70" t="s">
        <x:v>30</x:v>
      </x:c>
      <x:c r="C748" s="70" t="s">
        <x:v>101</x:v>
      </x:c>
      <x:c r="D748" s="70" t="s">
        <x:v>236</x:v>
      </x:c>
      <x:c r="E748" s="70" t="s">
        <x:v>1106</x:v>
      </x:c>
      <x:c r="F748" s="70" t="s">
        <x:v>1136</x:v>
      </x:c>
      <x:c r="G748" s="70" t="s">
        <x:v>1301</x:v>
      </x:c>
      <x:c r="H748" s="70" t="s">
        <x:v>838</x:v>
      </x:c>
      <x:c r="I748" s="70" t="s">
        <x:v>833</x:v>
      </x:c>
      <x:c r="J748" s="70" t="n">
        <x:v>227</x:v>
      </x:c>
      <x:c r="K748" s="70" t="s">
        <x:v>1553</x:v>
      </x:c>
      <x:c r="L748" s="70"/>
      <x:c r="M748" s="70" t="s">
        <x:v>34</x:v>
      </x:c>
      <x:c r="N748" s="71" t="n">
        <x:v>-1507673</x:v>
      </x:c>
      <x:c r="O748" s="72" t="n">
        <x:f aca="0">N748/1000</x:f>
        <x:v>-1507.673</x:v>
      </x:c>
      <x:c r="P748" s="73" t="n">
        <x:f aca="0">LUCK!D90</x:f>
        <x:v>-1507.673</x:v>
      </x:c>
      <x:c r="Q748" s="70" t="str">
        <x:f aca="0">IF(ABS(O748-P748)&lt;0.000001,"PASS","FAIL")</x:f>
        <x:v>PASS</x:v>
      </x:c>
      <x:c r="R748" s="70" t="s">
        <x:v>33</x:v>
      </x:c>
      <x:c r="S748" s="70" t="s">
        <x:v>839</x:v>
      </x:c>
    </x:row>
    <x:row r="749" ht="15" hidden="0">
      <x:c r="A749" s="70" t="s">
        <x:v>1584</x:v>
      </x:c>
      <x:c r="B749" s="70" t="s">
        <x:v>30</x:v>
      </x:c>
      <x:c r="C749" s="70" t="s">
        <x:v>102</x:v>
      </x:c>
      <x:c r="D749" s="70" t="s">
        <x:v>236</x:v>
      </x:c>
      <x:c r="E749" s="70" t="s">
        <x:v>1106</x:v>
      </x:c>
      <x:c r="F749" s="70" t="s">
        <x:v>1136</x:v>
      </x:c>
      <x:c r="G749" s="70" t="s">
        <x:v>1304</x:v>
      </x:c>
      <x:c r="H749" s="70" t="s">
        <x:v>842</x:v>
      </x:c>
      <x:c r="I749" s="70" t="s">
        <x:v>833</x:v>
      </x:c>
      <x:c r="J749" s="70" t="n">
        <x:v>235</x:v>
      </x:c>
      <x:c r="K749" s="70" t="s">
        <x:v>1555</x:v>
      </x:c>
      <x:c r="L749" s="70"/>
      <x:c r="M749" s="70" t="s">
        <x:v>34</x:v>
      </x:c>
      <x:c r="N749" s="71" t="n">
        <x:v>-1847039</x:v>
      </x:c>
      <x:c r="O749" s="72" t="n">
        <x:f aca="0">N749/1000</x:f>
        <x:v>-1847.039</x:v>
      </x:c>
      <x:c r="P749" s="73" t="n">
        <x:f aca="0">LUCK!E90</x:f>
        <x:v>-1847.039</x:v>
      </x:c>
      <x:c r="Q749" s="70" t="str">
        <x:f aca="0">IF(ABS(O749-P749)&lt;0.000001,"PASS","FAIL")</x:f>
        <x:v>PASS</x:v>
      </x:c>
      <x:c r="R749" s="70" t="s">
        <x:v>33</x:v>
      </x:c>
      <x:c r="S749" s="70"/>
    </x:row>
    <x:row r="750" ht="15" hidden="0">
      <x:c r="A750" s="70" t="s">
        <x:v>1585</x:v>
      </x:c>
      <x:c r="B750" s="70" t="s">
        <x:v>30</x:v>
      </x:c>
      <x:c r="C750" s="70" t="s">
        <x:v>103</x:v>
      </x:c>
      <x:c r="D750" s="70" t="s">
        <x:v>236</x:v>
      </x:c>
      <x:c r="E750" s="70" t="s">
        <x:v>1106</x:v>
      </x:c>
      <x:c r="F750" s="70" t="s">
        <x:v>1136</x:v>
      </x:c>
      <x:c r="G750" s="70" t="s">
        <x:v>1307</x:v>
      </x:c>
      <x:c r="H750" s="70" t="s">
        <x:v>845</x:v>
      </x:c>
      <x:c r="I750" s="70" t="s">
        <x:v>833</x:v>
      </x:c>
      <x:c r="J750" s="70" t="n">
        <x:v>239</x:v>
      </x:c>
      <x:c r="K750" s="70" t="s">
        <x:v>1557</x:v>
      </x:c>
      <x:c r="L750" s="70"/>
      <x:c r="M750" s="70" t="s">
        <x:v>34</x:v>
      </x:c>
      <x:c r="N750" s="71" t="n">
        <x:v>-2442585</x:v>
      </x:c>
      <x:c r="O750" s="72" t="n">
        <x:f aca="0">N750/1000</x:f>
        <x:v>-2442.585</x:v>
      </x:c>
      <x:c r="P750" s="73" t="n">
        <x:f aca="0">LUCK!F90</x:f>
        <x:v>-2442.585</x:v>
      </x:c>
      <x:c r="Q750" s="70" t="str">
        <x:f aca="0">IF(ABS(O750-P750)&lt;0.000001,"PASS","FAIL")</x:f>
        <x:v>PASS</x:v>
      </x:c>
      <x:c r="R750" s="70" t="s">
        <x:v>33</x:v>
      </x:c>
      <x:c r="S750" s="70"/>
    </x:row>
    <x:row r="751" ht="15" hidden="0">
      <x:c r="A751" s="70" t="s">
        <x:v>1586</x:v>
      </x:c>
      <x:c r="B751" s="70" t="s">
        <x:v>30</x:v>
      </x:c>
      <x:c r="C751" s="70" t="s">
        <x:v>104</x:v>
      </x:c>
      <x:c r="D751" s="70" t="s">
        <x:v>236</x:v>
      </x:c>
      <x:c r="E751" s="70" t="s">
        <x:v>1106</x:v>
      </x:c>
      <x:c r="F751" s="70" t="s">
        <x:v>1136</x:v>
      </x:c>
      <x:c r="G751" s="70" t="s">
        <x:v>1310</x:v>
      </x:c>
      <x:c r="H751" s="70" t="s">
        <x:v>849</x:v>
      </x:c>
      <x:c r="I751" s="70" t="s">
        <x:v>833</x:v>
      </x:c>
      <x:c r="J751" s="70" t="n">
        <x:v>241</x:v>
      </x:c>
      <x:c r="K751" s="70" t="s">
        <x:v>834</x:v>
      </x:c>
      <x:c r="L751" s="70"/>
      <x:c r="M751" s="70" t="s">
        <x:v>34</x:v>
      </x:c>
      <x:c r="N751" s="71" t="n">
        <x:v>-2476636</x:v>
      </x:c>
      <x:c r="O751" s="72" t="n">
        <x:f aca="0">N751/1000</x:f>
        <x:v>-2476.636</x:v>
      </x:c>
      <x:c r="P751" s="73" t="n">
        <x:f aca="0">LUCK!G90</x:f>
        <x:v>-2476.636</x:v>
      </x:c>
      <x:c r="Q751" s="70" t="str">
        <x:f aca="0">IF(ABS(O751-P751)&lt;0.000001,"PASS","FAIL")</x:f>
        <x:v>PASS</x:v>
      </x:c>
      <x:c r="R751" s="70" t="s">
        <x:v>33</x:v>
      </x:c>
      <x:c r="S751" s="70"/>
    </x:row>
    <x:row r="752" ht="15" hidden="0">
      <x:c r="A752" s="70" t="s">
        <x:v>1587</x:v>
      </x:c>
      <x:c r="B752" s="70" t="s">
        <x:v>30</x:v>
      </x:c>
      <x:c r="C752" s="70" t="s">
        <x:v>105</x:v>
      </x:c>
      <x:c r="D752" s="70" t="s">
        <x:v>236</x:v>
      </x:c>
      <x:c r="E752" s="70" t="s">
        <x:v>1106</x:v>
      </x:c>
      <x:c r="F752" s="70" t="s">
        <x:v>1136</x:v>
      </x:c>
      <x:c r="G752" s="70" t="s">
        <x:v>1310</x:v>
      </x:c>
      <x:c r="H752" s="70" t="s">
        <x:v>849</x:v>
      </x:c>
      <x:c r="I752" s="70" t="s">
        <x:v>852</x:v>
      </x:c>
      <x:c r="J752" s="70" t="n">
        <x:v>241</x:v>
      </x:c>
      <x:c r="K752" s="70" t="s">
        <x:v>834</x:v>
      </x:c>
      <x:c r="L752" s="70"/>
      <x:c r="M752" s="70" t="s">
        <x:v>34</x:v>
      </x:c>
      <x:c r="N752" s="71" t="n">
        <x:v>-3056913</x:v>
      </x:c>
      <x:c r="O752" s="72" t="n">
        <x:f aca="0">N752/1000</x:f>
        <x:v>-3056.913</x:v>
      </x:c>
      <x:c r="P752" s="73" t="n">
        <x:f aca="0">LUCK!H90</x:f>
        <x:v>-3056.913</x:v>
      </x:c>
      <x:c r="Q752" s="70" t="str">
        <x:f aca="0">IF(ABS(O752-P752)&lt;0.000001,"PASS","FAIL")</x:f>
        <x:v>PASS</x:v>
      </x:c>
      <x:c r="R752" s="70" t="s">
        <x:v>33</x:v>
      </x:c>
      <x:c r="S752" s="70"/>
    </x:row>
    <x:row r="753" ht="15" hidden="0">
      <x:c r="A753" s="70" t="s">
        <x:v>1588</x:v>
      </x:c>
      <x:c r="B753" s="70" t="s">
        <x:v>30</x:v>
      </x:c>
      <x:c r="C753" s="70" t="s">
        <x:v>101</x:v>
      </x:c>
      <x:c r="D753" s="70" t="s">
        <x:v>240</x:v>
      </x:c>
      <x:c r="E753" s="70" t="s">
        <x:v>1106</x:v>
      </x:c>
      <x:c r="F753" s="70" t="s">
        <x:v>240</x:v>
      </x:c>
      <x:c r="G753" s="70" t="s">
        <x:v>1301</x:v>
      </x:c>
      <x:c r="H753" s="70" t="s">
        <x:v>838</x:v>
      </x:c>
      <x:c r="I753" s="70" t="s">
        <x:v>833</x:v>
      </x:c>
      <x:c r="J753" s="70" t="n">
        <x:v>227</x:v>
      </x:c>
      <x:c r="K753" s="70" t="s">
        <x:v>1553</x:v>
      </x:c>
      <x:c r="L753" s="70"/>
      <x:c r="M753" s="70" t="s">
        <x:v>34</x:v>
      </x:c>
      <x:c r="N753" s="71" t="n">
        <x:v>5993029</x:v>
      </x:c>
      <x:c r="O753" s="72" t="n">
        <x:f aca="0">N753/1000</x:f>
        <x:v>5993.029</x:v>
      </x:c>
      <x:c r="P753" s="73" t="n">
        <x:f aca="0">LUCK!D92</x:f>
        <x:v>5993.029</x:v>
      </x:c>
      <x:c r="Q753" s="70" t="str">
        <x:f aca="0">IF(ABS(O753-P753)&lt;0.000001,"PASS","FAIL")</x:f>
        <x:v>PASS</x:v>
      </x:c>
      <x:c r="R753" s="70" t="s">
        <x:v>33</x:v>
      </x:c>
      <x:c r="S753" s="70" t="s">
        <x:v>839</x:v>
      </x:c>
    </x:row>
    <x:row r="754" ht="15" hidden="0">
      <x:c r="A754" s="70" t="s">
        <x:v>1589</x:v>
      </x:c>
      <x:c r="B754" s="70" t="s">
        <x:v>30</x:v>
      </x:c>
      <x:c r="C754" s="70" t="s">
        <x:v>102</x:v>
      </x:c>
      <x:c r="D754" s="70" t="s">
        <x:v>240</x:v>
      </x:c>
      <x:c r="E754" s="70" t="s">
        <x:v>1106</x:v>
      </x:c>
      <x:c r="F754" s="70" t="s">
        <x:v>240</x:v>
      </x:c>
      <x:c r="G754" s="70" t="s">
        <x:v>1304</x:v>
      </x:c>
      <x:c r="H754" s="70" t="s">
        <x:v>842</x:v>
      </x:c>
      <x:c r="I754" s="70" t="s">
        <x:v>833</x:v>
      </x:c>
      <x:c r="J754" s="70" t="n">
        <x:v>235</x:v>
      </x:c>
      <x:c r="K754" s="70" t="s">
        <x:v>1555</x:v>
      </x:c>
      <x:c r="L754" s="70"/>
      <x:c r="M754" s="70" t="s">
        <x:v>34</x:v>
      </x:c>
      <x:c r="N754" s="71" t="n">
        <x:v>7387800</x:v>
      </x:c>
      <x:c r="O754" s="72" t="n">
        <x:f aca="0">N754/1000</x:f>
        <x:v>7387.8</x:v>
      </x:c>
      <x:c r="P754" s="73" t="n">
        <x:f aca="0">LUCK!E92</x:f>
        <x:v>7387.8</x:v>
      </x:c>
      <x:c r="Q754" s="70" t="str">
        <x:f aca="0">IF(ABS(O754-P754)&lt;0.000001,"PASS","FAIL")</x:f>
        <x:v>PASS</x:v>
      </x:c>
      <x:c r="R754" s="70" t="s">
        <x:v>33</x:v>
      </x:c>
      <x:c r="S754" s="70"/>
    </x:row>
    <x:row r="755" ht="15" hidden="0">
      <x:c r="A755" s="70" t="s">
        <x:v>1590</x:v>
      </x:c>
      <x:c r="B755" s="70" t="s">
        <x:v>30</x:v>
      </x:c>
      <x:c r="C755" s="70" t="s">
        <x:v>103</x:v>
      </x:c>
      <x:c r="D755" s="70" t="s">
        <x:v>240</x:v>
      </x:c>
      <x:c r="E755" s="70" t="s">
        <x:v>1106</x:v>
      </x:c>
      <x:c r="F755" s="70" t="s">
        <x:v>240</x:v>
      </x:c>
      <x:c r="G755" s="70" t="s">
        <x:v>1307</x:v>
      </x:c>
      <x:c r="H755" s="70" t="s">
        <x:v>845</x:v>
      </x:c>
      <x:c r="I755" s="70" t="s">
        <x:v>833</x:v>
      </x:c>
      <x:c r="J755" s="70" t="n">
        <x:v>239</x:v>
      </x:c>
      <x:c r="K755" s="70" t="s">
        <x:v>1557</x:v>
      </x:c>
      <x:c r="L755" s="70"/>
      <x:c r="M755" s="70" t="s">
        <x:v>34</x:v>
      </x:c>
      <x:c r="N755" s="71" t="n">
        <x:v>6047423</x:v>
      </x:c>
      <x:c r="O755" s="72" t="n">
        <x:f aca="0">N755/1000</x:f>
        <x:v>6047.423</x:v>
      </x:c>
      <x:c r="P755" s="73" t="n">
        <x:f aca="0">LUCK!F92</x:f>
        <x:v>6047.423</x:v>
      </x:c>
      <x:c r="Q755" s="70" t="str">
        <x:f aca="0">IF(ABS(O755-P755)&lt;0.000001,"PASS","FAIL")</x:f>
        <x:v>PASS</x:v>
      </x:c>
      <x:c r="R755" s="70" t="s">
        <x:v>33</x:v>
      </x:c>
      <x:c r="S755" s="70"/>
    </x:row>
    <x:row r="756" ht="15" hidden="0">
      <x:c r="A756" s="70" t="s">
        <x:v>1591</x:v>
      </x:c>
      <x:c r="B756" s="70" t="s">
        <x:v>30</x:v>
      </x:c>
      <x:c r="C756" s="70" t="s">
        <x:v>104</x:v>
      </x:c>
      <x:c r="D756" s="70" t="s">
        <x:v>240</x:v>
      </x:c>
      <x:c r="E756" s="70" t="s">
        <x:v>1106</x:v>
      </x:c>
      <x:c r="F756" s="70" t="s">
        <x:v>240</x:v>
      </x:c>
      <x:c r="G756" s="70" t="s">
        <x:v>1310</x:v>
      </x:c>
      <x:c r="H756" s="70" t="s">
        <x:v>849</x:v>
      </x:c>
      <x:c r="I756" s="70" t="s">
        <x:v>833</x:v>
      </x:c>
      <x:c r="J756" s="70" t="n">
        <x:v>241</x:v>
      </x:c>
      <x:c r="K756" s="70" t="s">
        <x:v>834</x:v>
      </x:c>
      <x:c r="L756" s="70"/>
      <x:c r="M756" s="70" t="s">
        <x:v>34</x:v>
      </x:c>
      <x:c r="N756" s="71" t="n">
        <x:v>16575363</x:v>
      </x:c>
      <x:c r="O756" s="72" t="n">
        <x:f aca="0">N756/1000</x:f>
        <x:v>16575.363</x:v>
      </x:c>
      <x:c r="P756" s="73" t="n">
        <x:f aca="0">LUCK!G92</x:f>
        <x:v>16575.363</x:v>
      </x:c>
      <x:c r="Q756" s="70" t="str">
        <x:f aca="0">IF(ABS(O756-P756)&lt;0.000001,"PASS","FAIL")</x:f>
        <x:v>PASS</x:v>
      </x:c>
      <x:c r="R756" s="70" t="s">
        <x:v>33</x:v>
      </x:c>
      <x:c r="S756" s="70"/>
    </x:row>
    <x:row r="757" ht="15" hidden="0">
      <x:c r="A757" s="70" t="s">
        <x:v>1592</x:v>
      </x:c>
      <x:c r="B757" s="70" t="s">
        <x:v>30</x:v>
      </x:c>
      <x:c r="C757" s="70" t="s">
        <x:v>105</x:v>
      </x:c>
      <x:c r="D757" s="70" t="s">
        <x:v>240</x:v>
      </x:c>
      <x:c r="E757" s="70" t="s">
        <x:v>1106</x:v>
      </x:c>
      <x:c r="F757" s="70" t="s">
        <x:v>240</x:v>
      </x:c>
      <x:c r="G757" s="70" t="s">
        <x:v>1310</x:v>
      </x:c>
      <x:c r="H757" s="70" t="s">
        <x:v>849</x:v>
      </x:c>
      <x:c r="I757" s="70" t="s">
        <x:v>852</x:v>
      </x:c>
      <x:c r="J757" s="70" t="n">
        <x:v>241</x:v>
      </x:c>
      <x:c r="K757" s="70" t="s">
        <x:v>834</x:v>
      </x:c>
      <x:c r="L757" s="70"/>
      <x:c r="M757" s="70" t="s">
        <x:v>34</x:v>
      </x:c>
      <x:c r="N757" s="71" t="n">
        <x:v>20465921</x:v>
      </x:c>
      <x:c r="O757" s="72" t="n">
        <x:f aca="0">N757/1000</x:f>
        <x:v>20465.921</x:v>
      </x:c>
      <x:c r="P757" s="73" t="n">
        <x:f aca="0">LUCK!H92</x:f>
        <x:v>20465.921</x:v>
      </x:c>
      <x:c r="Q757" s="70" t="str">
        <x:f aca="0">IF(ABS(O757-P757)&lt;0.000001,"PASS","FAIL")</x:f>
        <x:v>PASS</x:v>
      </x:c>
      <x:c r="R757" s="70" t="s">
        <x:v>33</x:v>
      </x:c>
      <x:c r="S757" s="70"/>
    </x:row>
    <x:row r="758" ht="15" hidden="0">
      <x:c r="A758" s="70" t="s">
        <x:v>1593</x:v>
      </x:c>
      <x:c r="B758" s="70" t="s">
        <x:v>30</x:v>
      </x:c>
      <x:c r="C758" s="70" t="s">
        <x:v>101</x:v>
      </x:c>
      <x:c r="D758" s="70" t="s">
        <x:v>242</x:v>
      </x:c>
      <x:c r="E758" s="70" t="s">
        <x:v>1106</x:v>
      </x:c>
      <x:c r="F758" s="70"/>
      <x:c r="G758" s="70" t="s">
        <x:v>1301</x:v>
      </x:c>
      <x:c r="H758" s="70" t="s">
        <x:v>838</x:v>
      </x:c>
      <x:c r="I758" s="70" t="s">
        <x:v>833</x:v>
      </x:c>
      <x:c r="J758" s="70" t="n">
        <x:v>227</x:v>
      </x:c>
      <x:c r="K758" s="70" t="s">
        <x:v>1553</x:v>
      </x:c>
      <x:c r="L758" s="70"/>
      <x:c r="M758" s="70" t="s">
        <x:v>34</x:v>
      </x:c>
      <x:c r="N758" s="71" t="n">
        <x:v>0</x:v>
      </x:c>
      <x:c r="O758" s="72" t="n">
        <x:f aca="0">N758/1000</x:f>
        <x:v>0</x:v>
      </x:c>
      <x:c r="P758" s="73" t="n">
        <x:f aca="0">LUCK!D93</x:f>
        <x:v>0</x:v>
      </x:c>
      <x:c r="Q758" s="70" t="str">
        <x:f aca="0">IF(ABS(O758-P758)&lt;0.000001,"PASS","FAIL")</x:f>
        <x:v>PASS</x:v>
      </x:c>
      <x:c r="R758" s="70" t="s">
        <x:v>33</x:v>
      </x:c>
      <x:c r="S758" s="70"/>
    </x:row>
    <x:row r="759" ht="15" hidden="0">
      <x:c r="A759" s="70" t="s">
        <x:v>1594</x:v>
      </x:c>
      <x:c r="B759" s="70" t="s">
        <x:v>30</x:v>
      </x:c>
      <x:c r="C759" s="70" t="s">
        <x:v>102</x:v>
      </x:c>
      <x:c r="D759" s="70" t="s">
        <x:v>242</x:v>
      </x:c>
      <x:c r="E759" s="70" t="s">
        <x:v>1106</x:v>
      </x:c>
      <x:c r="F759" s="70"/>
      <x:c r="G759" s="70" t="s">
        <x:v>1304</x:v>
      </x:c>
      <x:c r="H759" s="70" t="s">
        <x:v>842</x:v>
      </x:c>
      <x:c r="I759" s="70" t="s">
        <x:v>833</x:v>
      </x:c>
      <x:c r="J759" s="70" t="n">
        <x:v>235</x:v>
      </x:c>
      <x:c r="K759" s="70" t="s">
        <x:v>1555</x:v>
      </x:c>
      <x:c r="L759" s="70"/>
      <x:c r="M759" s="70" t="s">
        <x:v>34</x:v>
      </x:c>
      <x:c r="N759" s="71" t="n">
        <x:v>0</x:v>
      </x:c>
      <x:c r="O759" s="72" t="n">
        <x:f aca="0">N759/1000</x:f>
        <x:v>0</x:v>
      </x:c>
      <x:c r="P759" s="73" t="n">
        <x:f aca="0">LUCK!E93</x:f>
        <x:v>0</x:v>
      </x:c>
      <x:c r="Q759" s="70" t="str">
        <x:f aca="0">IF(ABS(O759-P759)&lt;0.000001,"PASS","FAIL")</x:f>
        <x:v>PASS</x:v>
      </x:c>
      <x:c r="R759" s="70" t="s">
        <x:v>33</x:v>
      </x:c>
      <x:c r="S759" s="70"/>
    </x:row>
    <x:row r="760" ht="15" hidden="0">
      <x:c r="A760" s="70" t="s">
        <x:v>1595</x:v>
      </x:c>
      <x:c r="B760" s="70" t="s">
        <x:v>30</x:v>
      </x:c>
      <x:c r="C760" s="70" t="s">
        <x:v>103</x:v>
      </x:c>
      <x:c r="D760" s="70" t="s">
        <x:v>242</x:v>
      </x:c>
      <x:c r="E760" s="70" t="s">
        <x:v>1106</x:v>
      </x:c>
      <x:c r="F760" s="70"/>
      <x:c r="G760" s="70" t="s">
        <x:v>1307</x:v>
      </x:c>
      <x:c r="H760" s="70" t="s">
        <x:v>845</x:v>
      </x:c>
      <x:c r="I760" s="70" t="s">
        <x:v>833</x:v>
      </x:c>
      <x:c r="J760" s="70" t="n">
        <x:v>239</x:v>
      </x:c>
      <x:c r="K760" s="70" t="s">
        <x:v>1557</x:v>
      </x:c>
      <x:c r="L760" s="70"/>
      <x:c r="M760" s="70" t="s">
        <x:v>34</x:v>
      </x:c>
      <x:c r="N760" s="71" t="n">
        <x:v>0</x:v>
      </x:c>
      <x:c r="O760" s="72" t="n">
        <x:f aca="0">N760/1000</x:f>
        <x:v>0</x:v>
      </x:c>
      <x:c r="P760" s="73" t="n">
        <x:f aca="0">LUCK!F93</x:f>
        <x:v>0</x:v>
      </x:c>
      <x:c r="Q760" s="70" t="str">
        <x:f aca="0">IF(ABS(O760-P760)&lt;0.000001,"PASS","FAIL")</x:f>
        <x:v>PASS</x:v>
      </x:c>
      <x:c r="R760" s="70" t="s">
        <x:v>33</x:v>
      </x:c>
      <x:c r="S760" s="70"/>
    </x:row>
    <x:row r="761" ht="15" hidden="0">
      <x:c r="A761" s="70" t="s">
        <x:v>1596</x:v>
      </x:c>
      <x:c r="B761" s="70" t="s">
        <x:v>30</x:v>
      </x:c>
      <x:c r="C761" s="70" t="s">
        <x:v>104</x:v>
      </x:c>
      <x:c r="D761" s="70" t="s">
        <x:v>242</x:v>
      </x:c>
      <x:c r="E761" s="70" t="s">
        <x:v>1106</x:v>
      </x:c>
      <x:c r="F761" s="70"/>
      <x:c r="G761" s="70" t="s">
        <x:v>1310</x:v>
      </x:c>
      <x:c r="H761" s="70" t="s">
        <x:v>849</x:v>
      </x:c>
      <x:c r="I761" s="70" t="s">
        <x:v>833</x:v>
      </x:c>
      <x:c r="J761" s="70" t="n">
        <x:v>241</x:v>
      </x:c>
      <x:c r="K761" s="70" t="s">
        <x:v>834</x:v>
      </x:c>
      <x:c r="L761" s="70"/>
      <x:c r="M761" s="70" t="s">
        <x:v>34</x:v>
      </x:c>
      <x:c r="N761" s="71" t="n">
        <x:v>0</x:v>
      </x:c>
      <x:c r="O761" s="72" t="n">
        <x:f aca="0">N761/1000</x:f>
        <x:v>0</x:v>
      </x:c>
      <x:c r="P761" s="73" t="n">
        <x:f aca="0">LUCK!G93</x:f>
        <x:v>0</x:v>
      </x:c>
      <x:c r="Q761" s="70" t="str">
        <x:f aca="0">IF(ABS(O761-P761)&lt;0.000001,"PASS","FAIL")</x:f>
        <x:v>PASS</x:v>
      </x:c>
      <x:c r="R761" s="70" t="s">
        <x:v>33</x:v>
      </x:c>
      <x:c r="S761" s="70"/>
    </x:row>
    <x:row r="762" ht="15" hidden="0">
      <x:c r="A762" s="70" t="s">
        <x:v>1597</x:v>
      </x:c>
      <x:c r="B762" s="70" t="s">
        <x:v>30</x:v>
      </x:c>
      <x:c r="C762" s="70" t="s">
        <x:v>105</x:v>
      </x:c>
      <x:c r="D762" s="70" t="s">
        <x:v>242</x:v>
      </x:c>
      <x:c r="E762" s="70" t="s">
        <x:v>1106</x:v>
      </x:c>
      <x:c r="F762" s="70"/>
      <x:c r="G762" s="70" t="s">
        <x:v>1310</x:v>
      </x:c>
      <x:c r="H762" s="70" t="s">
        <x:v>849</x:v>
      </x:c>
      <x:c r="I762" s="70" t="s">
        <x:v>852</x:v>
      </x:c>
      <x:c r="J762" s="70" t="n">
        <x:v>241</x:v>
      </x:c>
      <x:c r="K762" s="70" t="s">
        <x:v>834</x:v>
      </x:c>
      <x:c r="L762" s="70"/>
      <x:c r="M762" s="70" t="s">
        <x:v>34</x:v>
      </x:c>
      <x:c r="N762" s="71" t="n">
        <x:v>0</x:v>
      </x:c>
      <x:c r="O762" s="72" t="n">
        <x:f aca="0">N762/1000</x:f>
        <x:v>0</x:v>
      </x:c>
      <x:c r="P762" s="73" t="n">
        <x:f aca="0">LUCK!H93</x:f>
        <x:v>0</x:v>
      </x:c>
      <x:c r="Q762" s="70" t="str">
        <x:f aca="0">IF(ABS(O762-P762)&lt;0.000001,"PASS","FAIL")</x:f>
        <x:v>PASS</x:v>
      </x:c>
      <x:c r="R762" s="70" t="s">
        <x:v>33</x:v>
      </x:c>
      <x:c r="S762" s="70"/>
    </x:row>
    <x:row r="763" ht="15" hidden="0">
      <x:c r="A763" s="70" t="s">
        <x:v>1598</x:v>
      </x:c>
      <x:c r="B763" s="70" t="s">
        <x:v>30</x:v>
      </x:c>
      <x:c r="C763" s="70" t="s">
        <x:v>101</x:v>
      </x:c>
      <x:c r="D763" s="70" t="s">
        <x:v>244</x:v>
      </x:c>
      <x:c r="E763" s="70" t="s">
        <x:v>1106</x:v>
      </x:c>
      <x:c r="F763" s="70"/>
      <x:c r="G763" s="70" t="s">
        <x:v>1301</x:v>
      </x:c>
      <x:c r="H763" s="70" t="s">
        <x:v>838</x:v>
      </x:c>
      <x:c r="I763" s="70" t="s">
        <x:v>833</x:v>
      </x:c>
      <x:c r="J763" s="70" t="n">
        <x:v>227</x:v>
      </x:c>
      <x:c r="K763" s="70" t="s">
        <x:v>1553</x:v>
      </x:c>
      <x:c r="L763" s="70"/>
      <x:c r="M763" s="70" t="s">
        <x:v>34</x:v>
      </x:c>
      <x:c r="N763" s="71" t="n">
        <x:v>0</x:v>
      </x:c>
      <x:c r="O763" s="72" t="n">
        <x:f aca="0">N763/1000</x:f>
        <x:v>0</x:v>
      </x:c>
      <x:c r="P763" s="73" t="n">
        <x:f aca="0">LUCK!D94</x:f>
        <x:v>0</x:v>
      </x:c>
      <x:c r="Q763" s="70" t="str">
        <x:f aca="0">IF(ABS(O763-P763)&lt;0.000001,"PASS","FAIL")</x:f>
        <x:v>PASS</x:v>
      </x:c>
      <x:c r="R763" s="70" t="s">
        <x:v>33</x:v>
      </x:c>
      <x:c r="S763" s="70"/>
    </x:row>
    <x:row r="764" ht="15" hidden="0">
      <x:c r="A764" s="70" t="s">
        <x:v>1599</x:v>
      </x:c>
      <x:c r="B764" s="70" t="s">
        <x:v>30</x:v>
      </x:c>
      <x:c r="C764" s="70" t="s">
        <x:v>102</x:v>
      </x:c>
      <x:c r="D764" s="70" t="s">
        <x:v>244</x:v>
      </x:c>
      <x:c r="E764" s="70" t="s">
        <x:v>1106</x:v>
      </x:c>
      <x:c r="F764" s="70"/>
      <x:c r="G764" s="70" t="s">
        <x:v>1304</x:v>
      </x:c>
      <x:c r="H764" s="70" t="s">
        <x:v>842</x:v>
      </x:c>
      <x:c r="I764" s="70" t="s">
        <x:v>833</x:v>
      </x:c>
      <x:c r="J764" s="70" t="n">
        <x:v>235</x:v>
      </x:c>
      <x:c r="K764" s="70" t="s">
        <x:v>1555</x:v>
      </x:c>
      <x:c r="L764" s="70"/>
      <x:c r="M764" s="70" t="s">
        <x:v>34</x:v>
      </x:c>
      <x:c r="N764" s="71" t="n">
        <x:v>0</x:v>
      </x:c>
      <x:c r="O764" s="72" t="n">
        <x:f aca="0">N764/1000</x:f>
        <x:v>0</x:v>
      </x:c>
      <x:c r="P764" s="73" t="n">
        <x:f aca="0">LUCK!E94</x:f>
        <x:v>0</x:v>
      </x:c>
      <x:c r="Q764" s="70" t="str">
        <x:f aca="0">IF(ABS(O764-P764)&lt;0.000001,"PASS","FAIL")</x:f>
        <x:v>PASS</x:v>
      </x:c>
      <x:c r="R764" s="70" t="s">
        <x:v>33</x:v>
      </x:c>
      <x:c r="S764" s="70"/>
    </x:row>
    <x:row r="765" ht="15" hidden="0">
      <x:c r="A765" s="70" t="s">
        <x:v>1600</x:v>
      </x:c>
      <x:c r="B765" s="70" t="s">
        <x:v>30</x:v>
      </x:c>
      <x:c r="C765" s="70" t="s">
        <x:v>103</x:v>
      </x:c>
      <x:c r="D765" s="70" t="s">
        <x:v>244</x:v>
      </x:c>
      <x:c r="E765" s="70" t="s">
        <x:v>1106</x:v>
      </x:c>
      <x:c r="F765" s="70"/>
      <x:c r="G765" s="70" t="s">
        <x:v>1307</x:v>
      </x:c>
      <x:c r="H765" s="70" t="s">
        <x:v>845</x:v>
      </x:c>
      <x:c r="I765" s="70" t="s">
        <x:v>833</x:v>
      </x:c>
      <x:c r="J765" s="70" t="n">
        <x:v>239</x:v>
      </x:c>
      <x:c r="K765" s="70" t="s">
        <x:v>1557</x:v>
      </x:c>
      <x:c r="L765" s="70"/>
      <x:c r="M765" s="70" t="s">
        <x:v>34</x:v>
      </x:c>
      <x:c r="N765" s="71" t="n">
        <x:v>0</x:v>
      </x:c>
      <x:c r="O765" s="72" t="n">
        <x:f aca="0">N765/1000</x:f>
        <x:v>0</x:v>
      </x:c>
      <x:c r="P765" s="73" t="n">
        <x:f aca="0">LUCK!F94</x:f>
        <x:v>0</x:v>
      </x:c>
      <x:c r="Q765" s="70" t="str">
        <x:f aca="0">IF(ABS(O765-P765)&lt;0.000001,"PASS","FAIL")</x:f>
        <x:v>PASS</x:v>
      </x:c>
      <x:c r="R765" s="70" t="s">
        <x:v>33</x:v>
      </x:c>
      <x:c r="S765" s="70"/>
    </x:row>
    <x:row r="766" ht="15" hidden="0">
      <x:c r="A766" s="70" t="s">
        <x:v>1601</x:v>
      </x:c>
      <x:c r="B766" s="70" t="s">
        <x:v>30</x:v>
      </x:c>
      <x:c r="C766" s="70" t="s">
        <x:v>104</x:v>
      </x:c>
      <x:c r="D766" s="70" t="s">
        <x:v>244</x:v>
      </x:c>
      <x:c r="E766" s="70" t="s">
        <x:v>1106</x:v>
      </x:c>
      <x:c r="F766" s="70"/>
      <x:c r="G766" s="70" t="s">
        <x:v>1310</x:v>
      </x:c>
      <x:c r="H766" s="70" t="s">
        <x:v>849</x:v>
      </x:c>
      <x:c r="I766" s="70" t="s">
        <x:v>833</x:v>
      </x:c>
      <x:c r="J766" s="70" t="n">
        <x:v>241</x:v>
      </x:c>
      <x:c r="K766" s="70" t="s">
        <x:v>834</x:v>
      </x:c>
      <x:c r="L766" s="70"/>
      <x:c r="M766" s="70" t="s">
        <x:v>34</x:v>
      </x:c>
      <x:c r="N766" s="71" t="n">
        <x:v>0</x:v>
      </x:c>
      <x:c r="O766" s="72" t="n">
        <x:f aca="0">N766/1000</x:f>
        <x:v>0</x:v>
      </x:c>
      <x:c r="P766" s="73" t="n">
        <x:f aca="0">LUCK!G94</x:f>
        <x:v>0</x:v>
      </x:c>
      <x:c r="Q766" s="70" t="str">
        <x:f aca="0">IF(ABS(O766-P766)&lt;0.000001,"PASS","FAIL")</x:f>
        <x:v>PASS</x:v>
      </x:c>
      <x:c r="R766" s="70" t="s">
        <x:v>33</x:v>
      </x:c>
      <x:c r="S766" s="70"/>
    </x:row>
    <x:row r="767" ht="15" hidden="0">
      <x:c r="A767" s="70" t="s">
        <x:v>1602</x:v>
      </x:c>
      <x:c r="B767" s="70" t="s">
        <x:v>30</x:v>
      </x:c>
      <x:c r="C767" s="70" t="s">
        <x:v>105</x:v>
      </x:c>
      <x:c r="D767" s="70" t="s">
        <x:v>244</x:v>
      </x:c>
      <x:c r="E767" s="70" t="s">
        <x:v>1106</x:v>
      </x:c>
      <x:c r="F767" s="70"/>
      <x:c r="G767" s="70" t="s">
        <x:v>1310</x:v>
      </x:c>
      <x:c r="H767" s="70" t="s">
        <x:v>849</x:v>
      </x:c>
      <x:c r="I767" s="70" t="s">
        <x:v>852</x:v>
      </x:c>
      <x:c r="J767" s="70" t="n">
        <x:v>241</x:v>
      </x:c>
      <x:c r="K767" s="70" t="s">
        <x:v>834</x:v>
      </x:c>
      <x:c r="L767" s="70"/>
      <x:c r="M767" s="70" t="s">
        <x:v>34</x:v>
      </x:c>
      <x:c r="N767" s="71" t="n">
        <x:v>0</x:v>
      </x:c>
      <x:c r="O767" s="72" t="n">
        <x:f aca="0">N767/1000</x:f>
        <x:v>0</x:v>
      </x:c>
      <x:c r="P767" s="73" t="n">
        <x:f aca="0">LUCK!H94</x:f>
        <x:v>0</x:v>
      </x:c>
      <x:c r="Q767" s="70" t="str">
        <x:f aca="0">IF(ABS(O767-P767)&lt;0.000001,"PASS","FAIL")</x:f>
        <x:v>PASS</x:v>
      </x:c>
      <x:c r="R767" s="70" t="s">
        <x:v>33</x:v>
      </x:c>
      <x:c r="S767" s="70"/>
    </x:row>
    <x:row r="768" ht="15" hidden="0">
      <x:c r="A768" s="70" t="s">
        <x:v>1603</x:v>
      </x:c>
      <x:c r="B768" s="70" t="s">
        <x:v>30</x:v>
      </x:c>
      <x:c r="C768" s="70" t="s">
        <x:v>101</x:v>
      </x:c>
      <x:c r="D768" s="70" t="s">
        <x:v>246</x:v>
      </x:c>
      <x:c r="E768" s="70" t="s">
        <x:v>1106</x:v>
      </x:c>
      <x:c r="F768" s="70" t="s">
        <x:v>1604</x:v>
      </x:c>
      <x:c r="G768" s="70" t="s">
        <x:v>1301</x:v>
      </x:c>
      <x:c r="H768" s="70" t="s">
        <x:v>838</x:v>
      </x:c>
      <x:c r="I768" s="70" t="s">
        <x:v>833</x:v>
      </x:c>
      <x:c r="J768" s="70" t="n">
        <x:v>227</x:v>
      </x:c>
      <x:c r="K768" s="70" t="s">
        <x:v>1553</x:v>
      </x:c>
      <x:c r="L768" s="70"/>
      <x:c r="M768" s="70" t="s">
        <x:v>34</x:v>
      </x:c>
      <x:c r="N768" s="71" t="n">
        <x:v>-332905</x:v>
      </x:c>
      <x:c r="O768" s="72" t="n">
        <x:f aca="0">N768/1000</x:f>
        <x:v>-332.905</x:v>
      </x:c>
      <x:c r="P768" s="73" t="n">
        <x:f aca="0">LUCK!D95</x:f>
        <x:v>-332.905</x:v>
      </x:c>
      <x:c r="Q768" s="70" t="str">
        <x:f aca="0">IF(ABS(O768-P768)&lt;0.000001,"PASS","FAIL")</x:f>
        <x:v>PASS</x:v>
      </x:c>
      <x:c r="R768" s="70" t="s">
        <x:v>33</x:v>
      </x:c>
      <x:c r="S768" s="70"/>
    </x:row>
    <x:row r="769" ht="15" hidden="0">
      <x:c r="A769" s="70" t="s">
        <x:v>1605</x:v>
      </x:c>
      <x:c r="B769" s="70" t="s">
        <x:v>30</x:v>
      </x:c>
      <x:c r="C769" s="70" t="s">
        <x:v>102</x:v>
      </x:c>
      <x:c r="D769" s="70" t="s">
        <x:v>246</x:v>
      </x:c>
      <x:c r="E769" s="70" t="s">
        <x:v>1106</x:v>
      </x:c>
      <x:c r="F769" s="70" t="s">
        <x:v>1604</x:v>
      </x:c>
      <x:c r="G769" s="70" t="s">
        <x:v>1304</x:v>
      </x:c>
      <x:c r="H769" s="70" t="s">
        <x:v>842</x:v>
      </x:c>
      <x:c r="I769" s="70" t="s">
        <x:v>833</x:v>
      </x:c>
      <x:c r="J769" s="70" t="n">
        <x:v>235</x:v>
      </x:c>
      <x:c r="K769" s="70" t="s">
        <x:v>1555</x:v>
      </x:c>
      <x:c r="L769" s="70"/>
      <x:c r="M769" s="70" t="s">
        <x:v>34</x:v>
      </x:c>
      <x:c r="N769" s="71" t="n">
        <x:v>-394517</x:v>
      </x:c>
      <x:c r="O769" s="72" t="n">
        <x:f aca="0">N769/1000</x:f>
        <x:v>-394.517</x:v>
      </x:c>
      <x:c r="P769" s="73" t="n">
        <x:f aca="0">LUCK!E95</x:f>
        <x:v>-394.517</x:v>
      </x:c>
      <x:c r="Q769" s="70" t="str">
        <x:f aca="0">IF(ABS(O769-P769)&lt;0.000001,"PASS","FAIL")</x:f>
        <x:v>PASS</x:v>
      </x:c>
      <x:c r="R769" s="70" t="s">
        <x:v>33</x:v>
      </x:c>
      <x:c r="S769" s="70"/>
    </x:row>
    <x:row r="770" ht="15" hidden="0">
      <x:c r="A770" s="70" t="s">
        <x:v>1606</x:v>
      </x:c>
      <x:c r="B770" s="70" t="s">
        <x:v>30</x:v>
      </x:c>
      <x:c r="C770" s="70" t="s">
        <x:v>103</x:v>
      </x:c>
      <x:c r="D770" s="70" t="s">
        <x:v>246</x:v>
      </x:c>
      <x:c r="E770" s="70" t="s">
        <x:v>1106</x:v>
      </x:c>
      <x:c r="F770" s="70" t="s">
        <x:v>246</x:v>
      </x:c>
      <x:c r="G770" s="70" t="s">
        <x:v>1307</x:v>
      </x:c>
      <x:c r="H770" s="70" t="s">
        <x:v>845</x:v>
      </x:c>
      <x:c r="I770" s="70" t="s">
        <x:v>833</x:v>
      </x:c>
      <x:c r="J770" s="70" t="n">
        <x:v>239</x:v>
      </x:c>
      <x:c r="K770" s="70" t="s">
        <x:v>1557</x:v>
      </x:c>
      <x:c r="L770" s="70"/>
      <x:c r="M770" s="70" t="s">
        <x:v>34</x:v>
      </x:c>
      <x:c r="N770" s="71" t="n">
        <x:v>-1169770</x:v>
      </x:c>
      <x:c r="O770" s="72" t="n">
        <x:f aca="0">N770/1000</x:f>
        <x:v>-1169.77</x:v>
      </x:c>
      <x:c r="P770" s="73" t="n">
        <x:f aca="0">LUCK!F95</x:f>
        <x:v>-1169.77</x:v>
      </x:c>
      <x:c r="Q770" s="70" t="str">
        <x:f aca="0">IF(ABS(O770-P770)&lt;0.000001,"PASS","FAIL")</x:f>
        <x:v>PASS</x:v>
      </x:c>
      <x:c r="R770" s="70" t="s">
        <x:v>33</x:v>
      </x:c>
      <x:c r="S770" s="70"/>
    </x:row>
    <x:row r="771" ht="15" hidden="0">
      <x:c r="A771" s="70" t="s">
        <x:v>1607</x:v>
      </x:c>
      <x:c r="B771" s="70" t="s">
        <x:v>30</x:v>
      </x:c>
      <x:c r="C771" s="70" t="s">
        <x:v>104</x:v>
      </x:c>
      <x:c r="D771" s="70" t="s">
        <x:v>246</x:v>
      </x:c>
      <x:c r="E771" s="70" t="s">
        <x:v>1106</x:v>
      </x:c>
      <x:c r="F771" s="70" t="s">
        <x:v>1604</x:v>
      </x:c>
      <x:c r="G771" s="70" t="s">
        <x:v>1310</x:v>
      </x:c>
      <x:c r="H771" s="70" t="s">
        <x:v>849</x:v>
      </x:c>
      <x:c r="I771" s="70" t="s">
        <x:v>833</x:v>
      </x:c>
      <x:c r="J771" s="70" t="n">
        <x:v>241</x:v>
      </x:c>
      <x:c r="K771" s="70" t="s">
        <x:v>834</x:v>
      </x:c>
      <x:c r="L771" s="70"/>
      <x:c r="M771" s="70" t="s">
        <x:v>34</x:v>
      </x:c>
      <x:c r="N771" s="71" t="n">
        <x:v>-1581168</x:v>
      </x:c>
      <x:c r="O771" s="72" t="n">
        <x:f aca="0">N771/1000</x:f>
        <x:v>-1581.168</x:v>
      </x:c>
      <x:c r="P771" s="73" t="n">
        <x:f aca="0">LUCK!G95</x:f>
        <x:v>-1581.168</x:v>
      </x:c>
      <x:c r="Q771" s="70" t="str">
        <x:f aca="0">IF(ABS(O771-P771)&lt;0.000001,"PASS","FAIL")</x:f>
        <x:v>PASS</x:v>
      </x:c>
      <x:c r="R771" s="70" t="s">
        <x:v>33</x:v>
      </x:c>
      <x:c r="S771" s="70"/>
    </x:row>
    <x:row r="772" ht="15" hidden="0">
      <x:c r="A772" s="70" t="s">
        <x:v>1608</x:v>
      </x:c>
      <x:c r="B772" s="70" t="s">
        <x:v>30</x:v>
      </x:c>
      <x:c r="C772" s="70" t="s">
        <x:v>105</x:v>
      </x:c>
      <x:c r="D772" s="70" t="s">
        <x:v>246</x:v>
      </x:c>
      <x:c r="E772" s="70" t="s">
        <x:v>1106</x:v>
      </x:c>
      <x:c r="F772" s="70" t="s">
        <x:v>1604</x:v>
      </x:c>
      <x:c r="G772" s="70" t="s">
        <x:v>1310</x:v>
      </x:c>
      <x:c r="H772" s="70" t="s">
        <x:v>849</x:v>
      </x:c>
      <x:c r="I772" s="70" t="s">
        <x:v>852</x:v>
      </x:c>
      <x:c r="J772" s="70" t="n">
        <x:v>241</x:v>
      </x:c>
      <x:c r="K772" s="70" t="s">
        <x:v>834</x:v>
      </x:c>
      <x:c r="L772" s="70"/>
      <x:c r="M772" s="70" t="s">
        <x:v>34</x:v>
      </x:c>
      <x:c r="N772" s="71" t="n">
        <x:v>-1370569</x:v>
      </x:c>
      <x:c r="O772" s="72" t="n">
        <x:f aca="0">N772/1000</x:f>
        <x:v>-1370.569</x:v>
      </x:c>
      <x:c r="P772" s="73" t="n">
        <x:f aca="0">LUCK!H95</x:f>
        <x:v>-1370.569</x:v>
      </x:c>
      <x:c r="Q772" s="70" t="str">
        <x:f aca="0">IF(ABS(O772-P772)&lt;0.000001,"PASS","FAIL")</x:f>
        <x:v>PASS</x:v>
      </x:c>
      <x:c r="R772" s="70" t="s">
        <x:v>33</x:v>
      </x:c>
      <x:c r="S772" s="70"/>
    </x:row>
    <x:row r="773" ht="15" hidden="0">
      <x:c r="A773" s="70" t="s">
        <x:v>1609</x:v>
      </x:c>
      <x:c r="B773" s="70" t="s">
        <x:v>30</x:v>
      </x:c>
      <x:c r="C773" s="70" t="s">
        <x:v>101</x:v>
      </x:c>
      <x:c r="D773" s="70" t="s">
        <x:v>250</x:v>
      </x:c>
      <x:c r="E773" s="70" t="s">
        <x:v>1106</x:v>
      </x:c>
      <x:c r="F773" s="70"/>
      <x:c r="G773" s="70" t="s">
        <x:v>1301</x:v>
      </x:c>
      <x:c r="H773" s="70" t="s">
        <x:v>838</x:v>
      </x:c>
      <x:c r="I773" s="70" t="s">
        <x:v>833</x:v>
      </x:c>
      <x:c r="J773" s="70" t="n">
        <x:v>227</x:v>
      </x:c>
      <x:c r="K773" s="70" t="s">
        <x:v>1553</x:v>
      </x:c>
      <x:c r="L773" s="70"/>
      <x:c r="M773" s="70" t="s">
        <x:v>34</x:v>
      </x:c>
      <x:c r="N773" s="71" t="n">
        <x:v>0</x:v>
      </x:c>
      <x:c r="O773" s="72" t="n">
        <x:f aca="0">N773/1000</x:f>
        <x:v>0</x:v>
      </x:c>
      <x:c r="P773" s="73" t="n">
        <x:f aca="0">LUCK!D97</x:f>
        <x:v>0</x:v>
      </x:c>
      <x:c r="Q773" s="70" t="str">
        <x:f aca="0">IF(ABS(O773-P773)&lt;0.000001,"PASS","FAIL")</x:f>
        <x:v>PASS</x:v>
      </x:c>
      <x:c r="R773" s="70" t="s">
        <x:v>33</x:v>
      </x:c>
      <x:c r="S773" s="70"/>
    </x:row>
    <x:row r="774" ht="15" hidden="0">
      <x:c r="A774" s="70" t="s">
        <x:v>1610</x:v>
      </x:c>
      <x:c r="B774" s="70" t="s">
        <x:v>30</x:v>
      </x:c>
      <x:c r="C774" s="70" t="s">
        <x:v>102</x:v>
      </x:c>
      <x:c r="D774" s="70" t="s">
        <x:v>250</x:v>
      </x:c>
      <x:c r="E774" s="70" t="s">
        <x:v>1106</x:v>
      </x:c>
      <x:c r="F774" s="70"/>
      <x:c r="G774" s="70" t="s">
        <x:v>1304</x:v>
      </x:c>
      <x:c r="H774" s="70" t="s">
        <x:v>842</x:v>
      </x:c>
      <x:c r="I774" s="70" t="s">
        <x:v>833</x:v>
      </x:c>
      <x:c r="J774" s="70" t="n">
        <x:v>235</x:v>
      </x:c>
      <x:c r="K774" s="70" t="s">
        <x:v>1555</x:v>
      </x:c>
      <x:c r="L774" s="70"/>
      <x:c r="M774" s="70" t="s">
        <x:v>34</x:v>
      </x:c>
      <x:c r="N774" s="71" t="n">
        <x:v>0</x:v>
      </x:c>
      <x:c r="O774" s="72" t="n">
        <x:f aca="0">N774/1000</x:f>
        <x:v>0</x:v>
      </x:c>
      <x:c r="P774" s="73" t="n">
        <x:f aca="0">LUCK!E97</x:f>
        <x:v>0</x:v>
      </x:c>
      <x:c r="Q774" s="70" t="str">
        <x:f aca="0">IF(ABS(O774-P774)&lt;0.000001,"PASS","FAIL")</x:f>
        <x:v>PASS</x:v>
      </x:c>
      <x:c r="R774" s="70" t="s">
        <x:v>33</x:v>
      </x:c>
      <x:c r="S774" s="70"/>
    </x:row>
    <x:row r="775" ht="15" hidden="0">
      <x:c r="A775" s="70" t="s">
        <x:v>1611</x:v>
      </x:c>
      <x:c r="B775" s="70" t="s">
        <x:v>30</x:v>
      </x:c>
      <x:c r="C775" s="70" t="s">
        <x:v>103</x:v>
      </x:c>
      <x:c r="D775" s="70" t="s">
        <x:v>250</x:v>
      </x:c>
      <x:c r="E775" s="70" t="s">
        <x:v>1106</x:v>
      </x:c>
      <x:c r="F775" s="70" t="s">
        <x:v>1612</x:v>
      </x:c>
      <x:c r="G775" s="70" t="s">
        <x:v>1307</x:v>
      </x:c>
      <x:c r="H775" s="70" t="s">
        <x:v>845</x:v>
      </x:c>
      <x:c r="I775" s="70" t="s">
        <x:v>833</x:v>
      </x:c>
      <x:c r="J775" s="70" t="n">
        <x:v>239</x:v>
      </x:c>
      <x:c r="K775" s="70" t="s">
        <x:v>1557</x:v>
      </x:c>
      <x:c r="L775" s="70"/>
      <x:c r="M775" s="70" t="s">
        <x:v>34</x:v>
      </x:c>
      <x:c r="N775" s="71" t="n">
        <x:v>-437833</x:v>
      </x:c>
      <x:c r="O775" s="72" t="n">
        <x:f aca="0">N775/1000</x:f>
        <x:v>-437.833</x:v>
      </x:c>
      <x:c r="P775" s="73" t="n">
        <x:f aca="0">LUCK!F97</x:f>
        <x:v>-437.833</x:v>
      </x:c>
      <x:c r="Q775" s="70" t="str">
        <x:f aca="0">IF(ABS(O775-P775)&lt;0.000001,"PASS","FAIL")</x:f>
        <x:v>PASS</x:v>
      </x:c>
      <x:c r="R775" s="70" t="s">
        <x:v>33</x:v>
      </x:c>
      <x:c r="S775" s="70"/>
    </x:row>
    <x:row r="776" ht="15" hidden="0">
      <x:c r="A776" s="70" t="s">
        <x:v>1613</x:v>
      </x:c>
      <x:c r="B776" s="70" t="s">
        <x:v>30</x:v>
      </x:c>
      <x:c r="C776" s="70" t="s">
        <x:v>104</x:v>
      </x:c>
      <x:c r="D776" s="70" t="s">
        <x:v>250</x:v>
      </x:c>
      <x:c r="E776" s="70" t="s">
        <x:v>1106</x:v>
      </x:c>
      <x:c r="F776" s="70" t="s">
        <x:v>1614</x:v>
      </x:c>
      <x:c r="G776" s="70" t="s">
        <x:v>1310</x:v>
      </x:c>
      <x:c r="H776" s="70" t="s">
        <x:v>849</x:v>
      </x:c>
      <x:c r="I776" s="70" t="s">
        <x:v>833</x:v>
      </x:c>
      <x:c r="J776" s="70" t="n">
        <x:v>241</x:v>
      </x:c>
      <x:c r="K776" s="70" t="s">
        <x:v>834</x:v>
      </x:c>
      <x:c r="L776" s="70"/>
      <x:c r="M776" s="70" t="s">
        <x:v>34</x:v>
      </x:c>
      <x:c r="N776" s="71" t="n">
        <x:v>-953051</x:v>
      </x:c>
      <x:c r="O776" s="72" t="n">
        <x:f aca="0">N776/1000</x:f>
        <x:v>-953.051</x:v>
      </x:c>
      <x:c r="P776" s="73" t="n">
        <x:f aca="0">LUCK!G97</x:f>
        <x:v>-953.051</x:v>
      </x:c>
      <x:c r="Q776" s="70" t="str">
        <x:f aca="0">IF(ABS(O776-P776)&lt;0.000001,"PASS","FAIL")</x:f>
        <x:v>PASS</x:v>
      </x:c>
      <x:c r="R776" s="70" t="s">
        <x:v>33</x:v>
      </x:c>
      <x:c r="S776" s="70"/>
    </x:row>
    <x:row r="777" ht="15" hidden="0">
      <x:c r="A777" s="70" t="s">
        <x:v>1615</x:v>
      </x:c>
      <x:c r="B777" s="70" t="s">
        <x:v>30</x:v>
      </x:c>
      <x:c r="C777" s="70" t="s">
        <x:v>105</x:v>
      </x:c>
      <x:c r="D777" s="70" t="s">
        <x:v>250</x:v>
      </x:c>
      <x:c r="E777" s="70" t="s">
        <x:v>1106</x:v>
      </x:c>
      <x:c r="F777" s="70" t="s">
        <x:v>1614</x:v>
      </x:c>
      <x:c r="G777" s="70" t="s">
        <x:v>1310</x:v>
      </x:c>
      <x:c r="H777" s="70" t="s">
        <x:v>849</x:v>
      </x:c>
      <x:c r="I777" s="70" t="s">
        <x:v>852</x:v>
      </x:c>
      <x:c r="J777" s="70" t="n">
        <x:v>241</x:v>
      </x:c>
      <x:c r="K777" s="70" t="s">
        <x:v>834</x:v>
      </x:c>
      <x:c r="L777" s="70"/>
      <x:c r="M777" s="70" t="s">
        <x:v>34</x:v>
      </x:c>
      <x:c r="N777" s="71" t="n">
        <x:v>-329600</x:v>
      </x:c>
      <x:c r="O777" s="72" t="n">
        <x:f aca="0">N777/1000</x:f>
        <x:v>-329.6</x:v>
      </x:c>
      <x:c r="P777" s="73" t="n">
        <x:f aca="0">LUCK!H97</x:f>
        <x:v>-329.6</x:v>
      </x:c>
      <x:c r="Q777" s="70" t="str">
        <x:f aca="0">IF(ABS(O777-P777)&lt;0.000001,"PASS","FAIL")</x:f>
        <x:v>PASS</x:v>
      </x:c>
      <x:c r="R777" s="70" t="s">
        <x:v>33</x:v>
      </x:c>
      <x:c r="S777" s="70"/>
    </x:row>
    <x:row r="778" ht="15" hidden="0">
      <x:c r="A778" s="70" t="s">
        <x:v>1616</x:v>
      </x:c>
      <x:c r="B778" s="70" t="s">
        <x:v>30</x:v>
      </x:c>
      <x:c r="C778" s="70" t="s">
        <x:v>101</x:v>
      </x:c>
      <x:c r="D778" s="70" t="s">
        <x:v>252</x:v>
      </x:c>
      <x:c r="E778" s="70" t="s">
        <x:v>1106</x:v>
      </x:c>
      <x:c r="F778" s="70" t="s">
        <x:v>1168</x:v>
      </x:c>
      <x:c r="G778" s="70" t="s">
        <x:v>1301</x:v>
      </x:c>
      <x:c r="H778" s="70" t="s">
        <x:v>838</x:v>
      </x:c>
      <x:c r="I778" s="70" t="s">
        <x:v>833</x:v>
      </x:c>
      <x:c r="J778" s="70" t="n">
        <x:v>227</x:v>
      </x:c>
      <x:c r="K778" s="70" t="s">
        <x:v>1553</x:v>
      </x:c>
      <x:c r="L778" s="70"/>
      <x:c r="M778" s="70" t="s">
        <x:v>34</x:v>
      </x:c>
      <x:c r="N778" s="71" t="n">
        <x:v>-2922024</x:v>
      </x:c>
      <x:c r="O778" s="72" t="n">
        <x:f aca="0">N778/1000</x:f>
        <x:v>-2922.024</x:v>
      </x:c>
      <x:c r="P778" s="73" t="n">
        <x:f aca="0">LUCK!D98</x:f>
        <x:v>-2922.024</x:v>
      </x:c>
      <x:c r="Q778" s="70" t="str">
        <x:f aca="0">IF(ABS(O778-P778)&lt;0.000001,"PASS","FAIL")</x:f>
        <x:v>PASS</x:v>
      </x:c>
      <x:c r="R778" s="70" t="s">
        <x:v>33</x:v>
      </x:c>
      <x:c r="S778" s="70"/>
    </x:row>
    <x:row r="779" ht="15" hidden="0">
      <x:c r="A779" s="70" t="s">
        <x:v>1617</x:v>
      </x:c>
      <x:c r="B779" s="70" t="s">
        <x:v>30</x:v>
      </x:c>
      <x:c r="C779" s="70" t="s">
        <x:v>102</x:v>
      </x:c>
      <x:c r="D779" s="70" t="s">
        <x:v>252</x:v>
      </x:c>
      <x:c r="E779" s="70" t="s">
        <x:v>1106</x:v>
      </x:c>
      <x:c r="F779" s="70" t="s">
        <x:v>1168</x:v>
      </x:c>
      <x:c r="G779" s="70" t="s">
        <x:v>1304</x:v>
      </x:c>
      <x:c r="H779" s="70" t="s">
        <x:v>842</x:v>
      </x:c>
      <x:c r="I779" s="70" t="s">
        <x:v>833</x:v>
      </x:c>
      <x:c r="J779" s="70" t="n">
        <x:v>235</x:v>
      </x:c>
      <x:c r="K779" s="70" t="s">
        <x:v>1555</x:v>
      </x:c>
      <x:c r="L779" s="70"/>
      <x:c r="M779" s="70" t="s">
        <x:v>34</x:v>
      </x:c>
      <x:c r="N779" s="71" t="n">
        <x:v>-6122614</x:v>
      </x:c>
      <x:c r="O779" s="72" t="n">
        <x:f aca="0">N779/1000</x:f>
        <x:v>-6122.614</x:v>
      </x:c>
      <x:c r="P779" s="73" t="n">
        <x:f aca="0">LUCK!E98</x:f>
        <x:v>-6122.614</x:v>
      </x:c>
      <x:c r="Q779" s="70" t="str">
        <x:f aca="0">IF(ABS(O779-P779)&lt;0.000001,"PASS","FAIL")</x:f>
        <x:v>PASS</x:v>
      </x:c>
      <x:c r="R779" s="70" t="s">
        <x:v>33</x:v>
      </x:c>
      <x:c r="S779" s="70"/>
    </x:row>
    <x:row r="780" ht="15" hidden="0">
      <x:c r="A780" s="70" t="s">
        <x:v>1618</x:v>
      </x:c>
      <x:c r="B780" s="70" t="s">
        <x:v>30</x:v>
      </x:c>
      <x:c r="C780" s="70" t="s">
        <x:v>103</x:v>
      </x:c>
      <x:c r="D780" s="70" t="s">
        <x:v>252</x:v>
      </x:c>
      <x:c r="E780" s="70" t="s">
        <x:v>1106</x:v>
      </x:c>
      <x:c r="F780" s="70" t="s">
        <x:v>1168</x:v>
      </x:c>
      <x:c r="G780" s="70" t="s">
        <x:v>1307</x:v>
      </x:c>
      <x:c r="H780" s="70" t="s">
        <x:v>845</x:v>
      </x:c>
      <x:c r="I780" s="70" t="s">
        <x:v>833</x:v>
      </x:c>
      <x:c r="J780" s="70" t="n">
        <x:v>239</x:v>
      </x:c>
      <x:c r="K780" s="70" t="s">
        <x:v>1557</x:v>
      </x:c>
      <x:c r="L780" s="70"/>
      <x:c r="M780" s="70" t="s">
        <x:v>34</x:v>
      </x:c>
      <x:c r="N780" s="71" t="n">
        <x:v>-7179627</x:v>
      </x:c>
      <x:c r="O780" s="72" t="n">
        <x:f aca="0">N780/1000</x:f>
        <x:v>-7179.627</x:v>
      </x:c>
      <x:c r="P780" s="73" t="n">
        <x:f aca="0">LUCK!F98</x:f>
        <x:v>-7179.627</x:v>
      </x:c>
      <x:c r="Q780" s="70" t="str">
        <x:f aca="0">IF(ABS(O780-P780)&lt;0.000001,"PASS","FAIL")</x:f>
        <x:v>PASS</x:v>
      </x:c>
      <x:c r="R780" s="70" t="s">
        <x:v>33</x:v>
      </x:c>
      <x:c r="S780" s="70" t="s">
        <x:v>839</x:v>
      </x:c>
    </x:row>
    <x:row r="781" ht="15" hidden="0">
      <x:c r="A781" s="70" t="s">
        <x:v>1619</x:v>
      </x:c>
      <x:c r="B781" s="70" t="s">
        <x:v>30</x:v>
      </x:c>
      <x:c r="C781" s="70" t="s">
        <x:v>104</x:v>
      </x:c>
      <x:c r="D781" s="70" t="s">
        <x:v>252</x:v>
      </x:c>
      <x:c r="E781" s="70" t="s">
        <x:v>1106</x:v>
      </x:c>
      <x:c r="F781" s="70" t="s">
        <x:v>1168</x:v>
      </x:c>
      <x:c r="G781" s="70" t="s">
        <x:v>1310</x:v>
      </x:c>
      <x:c r="H781" s="70" t="s">
        <x:v>849</x:v>
      </x:c>
      <x:c r="I781" s="70" t="s">
        <x:v>833</x:v>
      </x:c>
      <x:c r="J781" s="70" t="n">
        <x:v>241</x:v>
      </x:c>
      <x:c r="K781" s="70" t="s">
        <x:v>834</x:v>
      </x:c>
      <x:c r="L781" s="70"/>
      <x:c r="M781" s="70" t="s">
        <x:v>34</x:v>
      </x:c>
      <x:c r="N781" s="71" t="n">
        <x:v>-12327974</x:v>
      </x:c>
      <x:c r="O781" s="72" t="n">
        <x:f aca="0">N781/1000</x:f>
        <x:v>-12327.974</x:v>
      </x:c>
      <x:c r="P781" s="73" t="n">
        <x:f aca="0">LUCK!G98</x:f>
        <x:v>-12327.974</x:v>
      </x:c>
      <x:c r="Q781" s="70" t="str">
        <x:f aca="0">IF(ABS(O781-P781)&lt;0.000001,"PASS","FAIL")</x:f>
        <x:v>PASS</x:v>
      </x:c>
      <x:c r="R781" s="70" t="s">
        <x:v>33</x:v>
      </x:c>
      <x:c r="S781" s="70"/>
    </x:row>
    <x:row r="782" ht="15" hidden="0">
      <x:c r="A782" s="70" t="s">
        <x:v>1620</x:v>
      </x:c>
      <x:c r="B782" s="70" t="s">
        <x:v>30</x:v>
      </x:c>
      <x:c r="C782" s="70" t="s">
        <x:v>105</x:v>
      </x:c>
      <x:c r="D782" s="70" t="s">
        <x:v>252</x:v>
      </x:c>
      <x:c r="E782" s="70" t="s">
        <x:v>1106</x:v>
      </x:c>
      <x:c r="F782" s="70" t="s">
        <x:v>1168</x:v>
      </x:c>
      <x:c r="G782" s="70" t="s">
        <x:v>1310</x:v>
      </x:c>
      <x:c r="H782" s="70" t="s">
        <x:v>849</x:v>
      </x:c>
      <x:c r="I782" s="70" t="s">
        <x:v>852</x:v>
      </x:c>
      <x:c r="J782" s="70" t="n">
        <x:v>241</x:v>
      </x:c>
      <x:c r="K782" s="70" t="s">
        <x:v>834</x:v>
      </x:c>
      <x:c r="L782" s="70"/>
      <x:c r="M782" s="70" t="s">
        <x:v>34</x:v>
      </x:c>
      <x:c r="N782" s="71" t="n">
        <x:v>-13901297</x:v>
      </x:c>
      <x:c r="O782" s="72" t="n">
        <x:f aca="0">N782/1000</x:f>
        <x:v>-13901.297</x:v>
      </x:c>
      <x:c r="P782" s="73" t="n">
        <x:f aca="0">LUCK!H98</x:f>
        <x:v>-13901.297</x:v>
      </x:c>
      <x:c r="Q782" s="70" t="str">
        <x:f aca="0">IF(ABS(O782-P782)&lt;0.000001,"PASS","FAIL")</x:f>
        <x:v>PASS</x:v>
      </x:c>
      <x:c r="R782" s="70" t="s">
        <x:v>33</x:v>
      </x:c>
      <x:c r="S782" s="70"/>
    </x:row>
    <x:row r="783" ht="15" hidden="0">
      <x:c r="A783" s="70" t="s">
        <x:v>1621</x:v>
      </x:c>
      <x:c r="B783" s="70" t="s">
        <x:v>30</x:v>
      </x:c>
      <x:c r="C783" s="70" t="s">
        <x:v>101</x:v>
      </x:c>
      <x:c r="D783" s="70" t="s">
        <x:v>256</x:v>
      </x:c>
      <x:c r="E783" s="70" t="s">
        <x:v>1106</x:v>
      </x:c>
      <x:c r="F783" s="70" t="s">
        <x:v>228</x:v>
      </x:c>
      <x:c r="G783" s="70" t="s">
        <x:v>1301</x:v>
      </x:c>
      <x:c r="H783" s="70" t="s">
        <x:v>838</x:v>
      </x:c>
      <x:c r="I783" s="70" t="s">
        <x:v>833</x:v>
      </x:c>
      <x:c r="J783" s="70" t="n">
        <x:v>227</x:v>
      </x:c>
      <x:c r="K783" s="70" t="s">
        <x:v>1553</x:v>
      </x:c>
      <x:c r="L783" s="70"/>
      <x:c r="M783" s="70" t="s">
        <x:v>34</x:v>
      </x:c>
      <x:c r="N783" s="71" t="n">
        <x:v>18955932</x:v>
      </x:c>
      <x:c r="O783" s="72" t="n">
        <x:f aca="0">N783/1000</x:f>
        <x:v>18955.932</x:v>
      </x:c>
      <x:c r="P783" s="73" t="n">
        <x:f aca="0">LUCK!D100</x:f>
        <x:v>18955.932</x:v>
      </x:c>
      <x:c r="Q783" s="70" t="str">
        <x:f aca="0">IF(ABS(O783-P783)&lt;0.000001,"PASS","FAIL")</x:f>
        <x:v>PASS</x:v>
      </x:c>
      <x:c r="R783" s="70" t="s">
        <x:v>33</x:v>
      </x:c>
      <x:c r="S783" s="70"/>
    </x:row>
    <x:row r="784" ht="15" hidden="0">
      <x:c r="A784" s="70" t="s">
        <x:v>1622</x:v>
      </x:c>
      <x:c r="B784" s="70" t="s">
        <x:v>30</x:v>
      </x:c>
      <x:c r="C784" s="70" t="s">
        <x:v>102</x:v>
      </x:c>
      <x:c r="D784" s="70" t="s">
        <x:v>256</x:v>
      </x:c>
      <x:c r="E784" s="70" t="s">
        <x:v>1106</x:v>
      </x:c>
      <x:c r="F784" s="70" t="s">
        <x:v>228</x:v>
      </x:c>
      <x:c r="G784" s="70" t="s">
        <x:v>1304</x:v>
      </x:c>
      <x:c r="H784" s="70" t="s">
        <x:v>842</x:v>
      </x:c>
      <x:c r="I784" s="70" t="s">
        <x:v>833</x:v>
      </x:c>
      <x:c r="J784" s="70" t="n">
        <x:v>235</x:v>
      </x:c>
      <x:c r="K784" s="70" t="s">
        <x:v>1555</x:v>
      </x:c>
      <x:c r="L784" s="70"/>
      <x:c r="M784" s="70" t="s">
        <x:v>34</x:v>
      </x:c>
      <x:c r="N784" s="71" t="n">
        <x:v>22551841</x:v>
      </x:c>
      <x:c r="O784" s="72" t="n">
        <x:f aca="0">N784/1000</x:f>
        <x:v>22551.841</x:v>
      </x:c>
      <x:c r="P784" s="73" t="n">
        <x:f aca="0">LUCK!E100</x:f>
        <x:v>22551.841</x:v>
      </x:c>
      <x:c r="Q784" s="70" t="str">
        <x:f aca="0">IF(ABS(O784-P784)&lt;0.000001,"PASS","FAIL")</x:f>
        <x:v>PASS</x:v>
      </x:c>
      <x:c r="R784" s="70" t="s">
        <x:v>33</x:v>
      </x:c>
      <x:c r="S784" s="70"/>
    </x:row>
    <x:row r="785" ht="15" hidden="0">
      <x:c r="A785" s="70" t="s">
        <x:v>1623</x:v>
      </x:c>
      <x:c r="B785" s="70" t="s">
        <x:v>30</x:v>
      </x:c>
      <x:c r="C785" s="70" t="s">
        <x:v>103</x:v>
      </x:c>
      <x:c r="D785" s="70" t="s">
        <x:v>256</x:v>
      </x:c>
      <x:c r="E785" s="70" t="s">
        <x:v>1106</x:v>
      </x:c>
      <x:c r="F785" s="70" t="s">
        <x:v>228</x:v>
      </x:c>
      <x:c r="G785" s="70" t="s">
        <x:v>1307</x:v>
      </x:c>
      <x:c r="H785" s="70" t="s">
        <x:v>845</x:v>
      </x:c>
      <x:c r="I785" s="70" t="s">
        <x:v>833</x:v>
      </x:c>
      <x:c r="J785" s="70" t="n">
        <x:v>239</x:v>
      </x:c>
      <x:c r="K785" s="70" t="s">
        <x:v>1557</x:v>
      </x:c>
      <x:c r="L785" s="70"/>
      <x:c r="M785" s="70" t="s">
        <x:v>34</x:v>
      </x:c>
      <x:c r="N785" s="71" t="n">
        <x:v>26060678</x:v>
      </x:c>
      <x:c r="O785" s="72" t="n">
        <x:f aca="0">N785/1000</x:f>
        <x:v>26060.678</x:v>
      </x:c>
      <x:c r="P785" s="73" t="n">
        <x:f aca="0">LUCK!F100</x:f>
        <x:v>26060.678</x:v>
      </x:c>
      <x:c r="Q785" s="70" t="str">
        <x:f aca="0">IF(ABS(O785-P785)&lt;0.000001,"PASS","FAIL")</x:f>
        <x:v>PASS</x:v>
      </x:c>
      <x:c r="R785" s="70" t="s">
        <x:v>33</x:v>
      </x:c>
      <x:c r="S785" s="70"/>
    </x:row>
    <x:row r="786" ht="15" hidden="0">
      <x:c r="A786" s="70" t="s">
        <x:v>1624</x:v>
      </x:c>
      <x:c r="B786" s="70" t="s">
        <x:v>30</x:v>
      </x:c>
      <x:c r="C786" s="70" t="s">
        <x:v>104</x:v>
      </x:c>
      <x:c r="D786" s="70" t="s">
        <x:v>256</x:v>
      </x:c>
      <x:c r="E786" s="70" t="s">
        <x:v>1106</x:v>
      </x:c>
      <x:c r="F786" s="70" t="s">
        <x:v>228</x:v>
      </x:c>
      <x:c r="G786" s="70" t="s">
        <x:v>1310</x:v>
      </x:c>
      <x:c r="H786" s="70" t="s">
        <x:v>849</x:v>
      </x:c>
      <x:c r="I786" s="70" t="s">
        <x:v>833</x:v>
      </x:c>
      <x:c r="J786" s="70" t="n">
        <x:v>241</x:v>
      </x:c>
      <x:c r="K786" s="70" t="s">
        <x:v>834</x:v>
      </x:c>
      <x:c r="L786" s="70"/>
      <x:c r="M786" s="70" t="s">
        <x:v>34</x:v>
      </x:c>
      <x:c r="N786" s="71" t="n">
        <x:v>38804572</x:v>
      </x:c>
      <x:c r="O786" s="72" t="n">
        <x:f aca="0">N786/1000</x:f>
        <x:v>38804.572</x:v>
      </x:c>
      <x:c r="P786" s="73" t="n">
        <x:f aca="0">LUCK!G100</x:f>
        <x:v>38804.572</x:v>
      </x:c>
      <x:c r="Q786" s="70" t="str">
        <x:f aca="0">IF(ABS(O786-P786)&lt;0.000001,"PASS","FAIL")</x:f>
        <x:v>PASS</x:v>
      </x:c>
      <x:c r="R786" s="70" t="s">
        <x:v>33</x:v>
      </x:c>
      <x:c r="S786" s="70"/>
    </x:row>
    <x:row r="787" ht="15" hidden="0">
      <x:c r="A787" s="70" t="s">
        <x:v>1625</x:v>
      </x:c>
      <x:c r="B787" s="70" t="s">
        <x:v>30</x:v>
      </x:c>
      <x:c r="C787" s="70" t="s">
        <x:v>105</x:v>
      </x:c>
      <x:c r="D787" s="70" t="s">
        <x:v>256</x:v>
      </x:c>
      <x:c r="E787" s="70" t="s">
        <x:v>1106</x:v>
      </x:c>
      <x:c r="F787" s="70" t="s">
        <x:v>228</x:v>
      </x:c>
      <x:c r="G787" s="70" t="s">
        <x:v>1310</x:v>
      </x:c>
      <x:c r="H787" s="70" t="s">
        <x:v>849</x:v>
      </x:c>
      <x:c r="I787" s="70" t="s">
        <x:v>852</x:v>
      </x:c>
      <x:c r="J787" s="70" t="n">
        <x:v>241</x:v>
      </x:c>
      <x:c r="K787" s="70" t="s">
        <x:v>834</x:v>
      </x:c>
      <x:c r="L787" s="70"/>
      <x:c r="M787" s="70" t="s">
        <x:v>34</x:v>
      </x:c>
      <x:c r="N787" s="71" t="n">
        <x:v>42684684</x:v>
      </x:c>
      <x:c r="O787" s="72" t="n">
        <x:f aca="0">N787/1000</x:f>
        <x:v>42684.684</x:v>
      </x:c>
      <x:c r="P787" s="73" t="n">
        <x:f aca="0">LUCK!H100</x:f>
        <x:v>42684.684</x:v>
      </x:c>
      <x:c r="Q787" s="70" t="str">
        <x:f aca="0">IF(ABS(O787-P787)&lt;0.000001,"PASS","FAIL")</x:f>
        <x:v>PASS</x:v>
      </x:c>
      <x:c r="R787" s="70" t="s">
        <x:v>33</x:v>
      </x:c>
      <x:c r="S787" s="70"/>
    </x:row>
    <x:row r="788" ht="15" hidden="0">
      <x:c r="A788" s="70" t="s">
        <x:v>1626</x:v>
      </x:c>
      <x:c r="B788" s="70" t="s">
        <x:v>30</x:v>
      </x:c>
      <x:c r="C788" s="70" t="s">
        <x:v>101</x:v>
      </x:c>
      <x:c r="D788" s="70" t="s">
        <x:v>258</x:v>
      </x:c>
      <x:c r="E788" s="70" t="s">
        <x:v>1106</x:v>
      </x:c>
      <x:c r="F788" s="70" t="s">
        <x:v>1180</x:v>
      </x:c>
      <x:c r="G788" s="70" t="s">
        <x:v>1301</x:v>
      </x:c>
      <x:c r="H788" s="70" t="s">
        <x:v>838</x:v>
      </x:c>
      <x:c r="I788" s="70" t="s">
        <x:v>833</x:v>
      </x:c>
      <x:c r="J788" s="70" t="n">
        <x:v>227</x:v>
      </x:c>
      <x:c r="K788" s="70" t="s">
        <x:v>1553</x:v>
      </x:c>
      <x:c r="L788" s="70"/>
      <x:c r="M788" s="70" t="s">
        <x:v>34</x:v>
      </x:c>
      <x:c r="N788" s="71" t="n">
        <x:v>16992213</x:v>
      </x:c>
      <x:c r="O788" s="72" t="n">
        <x:f aca="0">N788/1000</x:f>
        <x:v>16992.213</x:v>
      </x:c>
      <x:c r="P788" s="73" t="n">
        <x:f aca="0">LUCK!D101</x:f>
        <x:v>16992.213</x:v>
      </x:c>
      <x:c r="Q788" s="70" t="str">
        <x:f aca="0">IF(ABS(O788-P788)&lt;0.000001,"PASS","FAIL")</x:f>
        <x:v>PASS</x:v>
      </x:c>
      <x:c r="R788" s="70" t="s">
        <x:v>33</x:v>
      </x:c>
      <x:c r="S788" s="70"/>
    </x:row>
    <x:row r="789" ht="15" hidden="0">
      <x:c r="A789" s="70" t="s">
        <x:v>1627</x:v>
      </x:c>
      <x:c r="B789" s="70" t="s">
        <x:v>30</x:v>
      </x:c>
      <x:c r="C789" s="70" t="s">
        <x:v>102</x:v>
      </x:c>
      <x:c r="D789" s="70" t="s">
        <x:v>258</x:v>
      </x:c>
      <x:c r="E789" s="70" t="s">
        <x:v>1106</x:v>
      </x:c>
      <x:c r="F789" s="70" t="s">
        <x:v>1180</x:v>
      </x:c>
      <x:c r="G789" s="70" t="s">
        <x:v>1304</x:v>
      </x:c>
      <x:c r="H789" s="70" t="s">
        <x:v>842</x:v>
      </x:c>
      <x:c r="I789" s="70" t="s">
        <x:v>833</x:v>
      </x:c>
      <x:c r="J789" s="70" t="n">
        <x:v>235</x:v>
      </x:c>
      <x:c r="K789" s="70" t="s">
        <x:v>1555</x:v>
      </x:c>
      <x:c r="L789" s="70"/>
      <x:c r="M789" s="70" t="s">
        <x:v>34</x:v>
      </x:c>
      <x:c r="N789" s="71" t="n">
        <x:v>21421232</x:v>
      </x:c>
      <x:c r="O789" s="72" t="n">
        <x:f aca="0">N789/1000</x:f>
        <x:v>21421.232</x:v>
      </x:c>
      <x:c r="P789" s="73" t="n">
        <x:f aca="0">LUCK!E101</x:f>
        <x:v>21421.232</x:v>
      </x:c>
      <x:c r="Q789" s="70" t="str">
        <x:f aca="0">IF(ABS(O789-P789)&lt;0.000001,"PASS","FAIL")</x:f>
        <x:v>PASS</x:v>
      </x:c>
      <x:c r="R789" s="70" t="s">
        <x:v>33</x:v>
      </x:c>
      <x:c r="S789" s="70"/>
    </x:row>
    <x:row r="790" ht="15" hidden="0">
      <x:c r="A790" s="70" t="s">
        <x:v>1628</x:v>
      </x:c>
      <x:c r="B790" s="70" t="s">
        <x:v>30</x:v>
      </x:c>
      <x:c r="C790" s="70" t="s">
        <x:v>103</x:v>
      </x:c>
      <x:c r="D790" s="70" t="s">
        <x:v>258</x:v>
      </x:c>
      <x:c r="E790" s="70" t="s">
        <x:v>1106</x:v>
      </x:c>
      <x:c r="F790" s="70" t="s">
        <x:v>1629</x:v>
      </x:c>
      <x:c r="G790" s="70" t="s">
        <x:v>1307</x:v>
      </x:c>
      <x:c r="H790" s="70" t="s">
        <x:v>845</x:v>
      </x:c>
      <x:c r="I790" s="70" t="s">
        <x:v>833</x:v>
      </x:c>
      <x:c r="J790" s="70" t="n">
        <x:v>239</x:v>
      </x:c>
      <x:c r="K790" s="70" t="s">
        <x:v>1557</x:v>
      </x:c>
      <x:c r="L790" s="70"/>
      <x:c r="M790" s="70" t="s">
        <x:v>34</x:v>
      </x:c>
      <x:c r="N790" s="71" t="n">
        <x:v>21343274</x:v>
      </x:c>
      <x:c r="O790" s="72" t="n">
        <x:f aca="0">N790/1000</x:f>
        <x:v>21343.274</x:v>
      </x:c>
      <x:c r="P790" s="73" t="n">
        <x:f aca="0">LUCK!F101</x:f>
        <x:v>21343.274</x:v>
      </x:c>
      <x:c r="Q790" s="70" t="str">
        <x:f aca="0">IF(ABS(O790-P790)&lt;0.000001,"PASS","FAIL")</x:f>
        <x:v>PASS</x:v>
      </x:c>
      <x:c r="R790" s="70" t="s">
        <x:v>33</x:v>
      </x:c>
      <x:c r="S790" s="70"/>
    </x:row>
    <x:row r="791" ht="15" hidden="0">
      <x:c r="A791" s="70" t="s">
        <x:v>1630</x:v>
      </x:c>
      <x:c r="B791" s="70" t="s">
        <x:v>30</x:v>
      </x:c>
      <x:c r="C791" s="70" t="s">
        <x:v>104</x:v>
      </x:c>
      <x:c r="D791" s="70" t="s">
        <x:v>258</x:v>
      </x:c>
      <x:c r="E791" s="70" t="s">
        <x:v>1106</x:v>
      </x:c>
      <x:c r="F791" s="70" t="s">
        <x:v>1631</x:v>
      </x:c>
      <x:c r="G791" s="70" t="s">
        <x:v>1310</x:v>
      </x:c>
      <x:c r="H791" s="70" t="s">
        <x:v>849</x:v>
      </x:c>
      <x:c r="I791" s="70" t="s">
        <x:v>833</x:v>
      </x:c>
      <x:c r="J791" s="70" t="n">
        <x:v>241</x:v>
      </x:c>
      <x:c r="K791" s="70" t="s">
        <x:v>834</x:v>
      </x:c>
      <x:c r="L791" s="70"/>
      <x:c r="M791" s="70" t="s">
        <x:v>34</x:v>
      </x:c>
      <x:c r="N791" s="71" t="n">
        <x:v>41387564</x:v>
      </x:c>
      <x:c r="O791" s="72" t="n">
        <x:f aca="0">N791/1000</x:f>
        <x:v>41387.564</x:v>
      </x:c>
      <x:c r="P791" s="73" t="n">
        <x:f aca="0">LUCK!G101</x:f>
        <x:v>41387.564</x:v>
      </x:c>
      <x:c r="Q791" s="70" t="str">
        <x:f aca="0">IF(ABS(O791-P791)&lt;0.000001,"PASS","FAIL")</x:f>
        <x:v>PASS</x:v>
      </x:c>
      <x:c r="R791" s="70" t="s">
        <x:v>33</x:v>
      </x:c>
      <x:c r="S791" s="70"/>
    </x:row>
    <x:row r="792" ht="15" hidden="0">
      <x:c r="A792" s="70" t="s">
        <x:v>1632</x:v>
      </x:c>
      <x:c r="B792" s="70" t="s">
        <x:v>30</x:v>
      </x:c>
      <x:c r="C792" s="70" t="s">
        <x:v>105</x:v>
      </x:c>
      <x:c r="D792" s="70" t="s">
        <x:v>258</x:v>
      </x:c>
      <x:c r="E792" s="70" t="s">
        <x:v>1106</x:v>
      </x:c>
      <x:c r="F792" s="70" t="s">
        <x:v>1631</x:v>
      </x:c>
      <x:c r="G792" s="70" t="s">
        <x:v>1310</x:v>
      </x:c>
      <x:c r="H792" s="70" t="s">
        <x:v>849</x:v>
      </x:c>
      <x:c r="I792" s="70" t="s">
        <x:v>852</x:v>
      </x:c>
      <x:c r="J792" s="70" t="n">
        <x:v>241</x:v>
      </x:c>
      <x:c r="K792" s="70" t="s">
        <x:v>834</x:v>
      </x:c>
      <x:c r="L792" s="70"/>
      <x:c r="M792" s="70" t="s">
        <x:v>34</x:v>
      </x:c>
      <x:c r="N792" s="71" t="n">
        <x:v>47323059</x:v>
      </x:c>
      <x:c r="O792" s="72" t="n">
        <x:f aca="0">N792/1000</x:f>
        <x:v>47323.059</x:v>
      </x:c>
      <x:c r="P792" s="73" t="n">
        <x:f aca="0">LUCK!H101</x:f>
        <x:v>47323.059</x:v>
      </x:c>
      <x:c r="Q792" s="70" t="str">
        <x:f aca="0">IF(ABS(O792-P792)&lt;0.000001,"PASS","FAIL")</x:f>
        <x:v>PASS</x:v>
      </x:c>
      <x:c r="R792" s="70" t="s">
        <x:v>33</x:v>
      </x:c>
      <x:c r="S792" s="70"/>
    </x:row>
    <x:row r="793" ht="15" hidden="0">
      <x:c r="A793" s="70" t="s">
        <x:v>1633</x:v>
      </x:c>
      <x:c r="B793" s="70" t="s">
        <x:v>30</x:v>
      </x:c>
      <x:c r="C793" s="70" t="s">
        <x:v>101</x:v>
      </x:c>
      <x:c r="D793" s="70" t="s">
        <x:v>260</x:v>
      </x:c>
      <x:c r="E793" s="70" t="s">
        <x:v>1106</x:v>
      </x:c>
      <x:c r="F793" s="70" t="s">
        <x:v>1187</x:v>
      </x:c>
      <x:c r="G793" s="70" t="s">
        <x:v>1301</x:v>
      </x:c>
      <x:c r="H793" s="70" t="s">
        <x:v>838</x:v>
      </x:c>
      <x:c r="I793" s="70" t="s">
        <x:v>833</x:v>
      </x:c>
      <x:c r="J793" s="70" t="n">
        <x:v>227</x:v>
      </x:c>
      <x:c r="K793" s="70" t="s">
        <x:v>1553</x:v>
      </x:c>
      <x:c r="L793" s="70"/>
      <x:c r="M793" s="70" t="s">
        <x:v>34</x:v>
      </x:c>
      <x:c r="N793" s="71" t="n">
        <x:v>14070189</x:v>
      </x:c>
      <x:c r="O793" s="72" t="n">
        <x:f aca="0">N793/1000</x:f>
        <x:v>14070.189</x:v>
      </x:c>
      <x:c r="P793" s="73" t="n">
        <x:f aca="0">LUCK!D102</x:f>
        <x:v>14070.189</x:v>
      </x:c>
      <x:c r="Q793" s="70" t="str">
        <x:f aca="0">IF(ABS(O793-P793)&lt;0.000001,"PASS","FAIL")</x:f>
        <x:v>PASS</x:v>
      </x:c>
      <x:c r="R793" s="70" t="s">
        <x:v>33</x:v>
      </x:c>
      <x:c r="S793" s="70"/>
    </x:row>
    <x:row r="794" ht="15" hidden="0">
      <x:c r="A794" s="70" t="s">
        <x:v>1634</x:v>
      </x:c>
      <x:c r="B794" s="70" t="s">
        <x:v>30</x:v>
      </x:c>
      <x:c r="C794" s="70" t="s">
        <x:v>102</x:v>
      </x:c>
      <x:c r="D794" s="70" t="s">
        <x:v>260</x:v>
      </x:c>
      <x:c r="E794" s="70" t="s">
        <x:v>1106</x:v>
      </x:c>
      <x:c r="F794" s="70" t="s">
        <x:v>1187</x:v>
      </x:c>
      <x:c r="G794" s="70" t="s">
        <x:v>1304</x:v>
      </x:c>
      <x:c r="H794" s="70" t="s">
        <x:v>842</x:v>
      </x:c>
      <x:c r="I794" s="70" t="s">
        <x:v>833</x:v>
      </x:c>
      <x:c r="J794" s="70" t="n">
        <x:v>235</x:v>
      </x:c>
      <x:c r="K794" s="70" t="s">
        <x:v>1555</x:v>
      </x:c>
      <x:c r="L794" s="70"/>
      <x:c r="M794" s="70" t="s">
        <x:v>34</x:v>
      </x:c>
      <x:c r="N794" s="71" t="n">
        <x:v>15298618</x:v>
      </x:c>
      <x:c r="O794" s="72" t="n">
        <x:f aca="0">N794/1000</x:f>
        <x:v>15298.618</x:v>
      </x:c>
      <x:c r="P794" s="73" t="n">
        <x:f aca="0">LUCK!E102</x:f>
        <x:v>15298.618</x:v>
      </x:c>
      <x:c r="Q794" s="70" t="str">
        <x:f aca="0">IF(ABS(O794-P794)&lt;0.000001,"PASS","FAIL")</x:f>
        <x:v>PASS</x:v>
      </x:c>
      <x:c r="R794" s="70" t="s">
        <x:v>33</x:v>
      </x:c>
      <x:c r="S794" s="70"/>
    </x:row>
    <x:row r="795" ht="15" hidden="0">
      <x:c r="A795" s="70" t="s">
        <x:v>1635</x:v>
      </x:c>
      <x:c r="B795" s="70" t="s">
        <x:v>30</x:v>
      </x:c>
      <x:c r="C795" s="70" t="s">
        <x:v>103</x:v>
      </x:c>
      <x:c r="D795" s="70" t="s">
        <x:v>260</x:v>
      </x:c>
      <x:c r="E795" s="70" t="s">
        <x:v>1106</x:v>
      </x:c>
      <x:c r="F795" s="70" t="s">
        <x:v>1636</x:v>
      </x:c>
      <x:c r="G795" s="70" t="s">
        <x:v>1307</x:v>
      </x:c>
      <x:c r="H795" s="70" t="s">
        <x:v>845</x:v>
      </x:c>
      <x:c r="I795" s="70" t="s">
        <x:v>833</x:v>
      </x:c>
      <x:c r="J795" s="70" t="n">
        <x:v>239</x:v>
      </x:c>
      <x:c r="K795" s="70" t="s">
        <x:v>1557</x:v>
      </x:c>
      <x:c r="L795" s="70"/>
      <x:c r="M795" s="70" t="s">
        <x:v>34</x:v>
      </x:c>
      <x:c r="N795" s="71" t="n">
        <x:v>13725814</x:v>
      </x:c>
      <x:c r="O795" s="72" t="n">
        <x:f aca="0">N795/1000</x:f>
        <x:v>13725.814</x:v>
      </x:c>
      <x:c r="P795" s="73" t="n">
        <x:f aca="0">LUCK!F102</x:f>
        <x:v>13725.814</x:v>
      </x:c>
      <x:c r="Q795" s="70" t="str">
        <x:f aca="0">IF(ABS(O795-P795)&lt;0.000001,"PASS","FAIL")</x:f>
        <x:v>PASS</x:v>
      </x:c>
      <x:c r="R795" s="70" t="s">
        <x:v>33</x:v>
      </x:c>
      <x:c r="S795" s="70"/>
    </x:row>
    <x:row r="796" ht="15" hidden="0">
      <x:c r="A796" s="70" t="s">
        <x:v>1637</x:v>
      </x:c>
      <x:c r="B796" s="70" t="s">
        <x:v>30</x:v>
      </x:c>
      <x:c r="C796" s="70" t="s">
        <x:v>104</x:v>
      </x:c>
      <x:c r="D796" s="70" t="s">
        <x:v>260</x:v>
      </x:c>
      <x:c r="E796" s="70" t="s">
        <x:v>1106</x:v>
      </x:c>
      <x:c r="F796" s="70" t="s">
        <x:v>1187</x:v>
      </x:c>
      <x:c r="G796" s="70" t="s">
        <x:v>1310</x:v>
      </x:c>
      <x:c r="H796" s="70" t="s">
        <x:v>849</x:v>
      </x:c>
      <x:c r="I796" s="70" t="s">
        <x:v>833</x:v>
      </x:c>
      <x:c r="J796" s="70" t="n">
        <x:v>241</x:v>
      </x:c>
      <x:c r="K796" s="70" t="s">
        <x:v>834</x:v>
      </x:c>
      <x:c r="L796" s="70"/>
      <x:c r="M796" s="70" t="s">
        <x:v>34</x:v>
      </x:c>
      <x:c r="N796" s="71" t="n">
        <x:v>28106539</x:v>
      </x:c>
      <x:c r="O796" s="72" t="n">
        <x:f aca="0">N796/1000</x:f>
        <x:v>28106.539</x:v>
      </x:c>
      <x:c r="P796" s="73" t="n">
        <x:f aca="0">LUCK!G102</x:f>
        <x:v>28106.539</x:v>
      </x:c>
      <x:c r="Q796" s="70" t="str">
        <x:f aca="0">IF(ABS(O796-P796)&lt;0.000001,"PASS","FAIL")</x:f>
        <x:v>PASS</x:v>
      </x:c>
      <x:c r="R796" s="70" t="s">
        <x:v>33</x:v>
      </x:c>
      <x:c r="S796" s="70"/>
    </x:row>
    <x:row r="797" ht="15" hidden="0">
      <x:c r="A797" s="70" t="s">
        <x:v>1638</x:v>
      </x:c>
      <x:c r="B797" s="70" t="s">
        <x:v>30</x:v>
      </x:c>
      <x:c r="C797" s="70" t="s">
        <x:v>105</x:v>
      </x:c>
      <x:c r="D797" s="70" t="s">
        <x:v>260</x:v>
      </x:c>
      <x:c r="E797" s="70" t="s">
        <x:v>1106</x:v>
      </x:c>
      <x:c r="F797" s="70" t="s">
        <x:v>1187</x:v>
      </x:c>
      <x:c r="G797" s="70" t="s">
        <x:v>1310</x:v>
      </x:c>
      <x:c r="H797" s="70" t="s">
        <x:v>849</x:v>
      </x:c>
      <x:c r="I797" s="70" t="s">
        <x:v>852</x:v>
      </x:c>
      <x:c r="J797" s="70" t="n">
        <x:v>241</x:v>
      </x:c>
      <x:c r="K797" s="70" t="s">
        <x:v>834</x:v>
      </x:c>
      <x:c r="L797" s="70"/>
      <x:c r="M797" s="70" t="s">
        <x:v>34</x:v>
      </x:c>
      <x:c r="N797" s="71" t="n">
        <x:v>33092162</x:v>
      </x:c>
      <x:c r="O797" s="72" t="n">
        <x:f aca="0">N797/1000</x:f>
        <x:v>33092.162</x:v>
      </x:c>
      <x:c r="P797" s="73" t="n">
        <x:f aca="0">LUCK!H102</x:f>
        <x:v>33092.162</x:v>
      </x:c>
      <x:c r="Q797" s="70" t="str">
        <x:f aca="0">IF(ABS(O797-P797)&lt;0.000001,"PASS","FAIL")</x:f>
        <x:v>PASS</x:v>
      </x:c>
      <x:c r="R797" s="70" t="s">
        <x:v>33</x:v>
      </x:c>
      <x:c r="S797" s="70"/>
    </x:row>
    <x:row r="798" ht="15" hidden="0">
      <x:c r="A798" s="70" t="s">
        <x:v>1639</x:v>
      </x:c>
      <x:c r="B798" s="70" t="s">
        <x:v>30</x:v>
      </x:c>
      <x:c r="C798" s="70" t="s">
        <x:v>101</x:v>
      </x:c>
      <x:c r="D798" s="70" t="s">
        <x:v>264</x:v>
      </x:c>
      <x:c r="E798" s="70" t="s">
        <x:v>855</x:v>
      </x:c>
      <x:c r="F798" s="70" t="s">
        <x:v>1640</x:v>
      </x:c>
      <x:c r="G798" s="70" t="s">
        <x:v>1301</x:v>
      </x:c>
      <x:c r="H798" s="70" t="s">
        <x:v>838</x:v>
      </x:c>
      <x:c r="I798" s="70" t="s">
        <x:v>833</x:v>
      </x:c>
      <x:c r="J798" s="70" t="n">
        <x:v>256</x:v>
      </x:c>
      <x:c r="K798" s="70" t="s">
        <x:v>1641</x:v>
      </x:c>
      <x:c r="L798" s="70"/>
      <x:c r="M798" s="70" t="s">
        <x:v>34</x:v>
      </x:c>
      <x:c r="N798" s="71" t="n">
        <x:v>0</x:v>
      </x:c>
      <x:c r="O798" s="72" t="n">
        <x:f aca="0">N798/1000</x:f>
        <x:v>0</x:v>
      </x:c>
      <x:c r="P798" s="73" t="n">
        <x:f aca="0">LUCK!D105</x:f>
        <x:v>0</x:v>
      </x:c>
      <x:c r="Q798" s="70" t="str">
        <x:f aca="0">IF(ABS(O798-P798)&lt;0.000001,"PASS","FAIL")</x:f>
        <x:v>PASS</x:v>
      </x:c>
      <x:c r="R798" s="70" t="s">
        <x:v>33</x:v>
      </x:c>
      <x:c r="S798" s="70"/>
    </x:row>
    <x:row r="799" ht="15" hidden="0">
      <x:c r="A799" s="70" t="s">
        <x:v>1642</x:v>
      </x:c>
      <x:c r="B799" s="70" t="s">
        <x:v>30</x:v>
      </x:c>
      <x:c r="C799" s="70" t="s">
        <x:v>102</x:v>
      </x:c>
      <x:c r="D799" s="70" t="s">
        <x:v>264</x:v>
      </x:c>
      <x:c r="E799" s="70" t="s">
        <x:v>855</x:v>
      </x:c>
      <x:c r="F799" s="70" t="s">
        <x:v>1640</x:v>
      </x:c>
      <x:c r="G799" s="70" t="s">
        <x:v>1304</x:v>
      </x:c>
      <x:c r="H799" s="70" t="s">
        <x:v>842</x:v>
      </x:c>
      <x:c r="I799" s="70" t="s">
        <x:v>833</x:v>
      </x:c>
      <x:c r="J799" s="70" t="n">
        <x:v>264</x:v>
      </x:c>
      <x:c r="K799" s="70" t="s">
        <x:v>1643</x:v>
      </x:c>
      <x:c r="L799" s="70"/>
      <x:c r="M799" s="70" t="s">
        <x:v>34</x:v>
      </x:c>
      <x:c r="N799" s="71" t="n">
        <x:v>0</x:v>
      </x:c>
      <x:c r="O799" s="72" t="n">
        <x:f aca="0">N799/1000</x:f>
        <x:v>0</x:v>
      </x:c>
      <x:c r="P799" s="73" t="n">
        <x:f aca="0">LUCK!E105</x:f>
        <x:v>0</x:v>
      </x:c>
      <x:c r="Q799" s="70" t="str">
        <x:f aca="0">IF(ABS(O799-P799)&lt;0.000001,"PASS","FAIL")</x:f>
        <x:v>PASS</x:v>
      </x:c>
      <x:c r="R799" s="70" t="s">
        <x:v>33</x:v>
      </x:c>
      <x:c r="S799" s="70"/>
    </x:row>
    <x:row r="800" ht="15" hidden="0">
      <x:c r="A800" s="70" t="s">
        <x:v>1644</x:v>
      </x:c>
      <x:c r="B800" s="70" t="s">
        <x:v>30</x:v>
      </x:c>
      <x:c r="C800" s="70" t="s">
        <x:v>103</x:v>
      </x:c>
      <x:c r="D800" s="70" t="s">
        <x:v>264</x:v>
      </x:c>
      <x:c r="E800" s="70" t="s">
        <x:v>855</x:v>
      </x:c>
      <x:c r="F800" s="70" t="s">
        <x:v>1640</x:v>
      </x:c>
      <x:c r="G800" s="70" t="s">
        <x:v>1307</x:v>
      </x:c>
      <x:c r="H800" s="70" t="s">
        <x:v>845</x:v>
      </x:c>
      <x:c r="I800" s="70" t="s">
        <x:v>833</x:v>
      </x:c>
      <x:c r="J800" s="70" t="n">
        <x:v>269</x:v>
      </x:c>
      <x:c r="K800" s="70" t="s">
        <x:v>1645</x:v>
      </x:c>
      <x:c r="L800" s="70"/>
      <x:c r="M800" s="70" t="s">
        <x:v>34</x:v>
      </x:c>
      <x:c r="N800" s="71" t="n">
        <x:v>10974</x:v>
      </x:c>
      <x:c r="O800" s="72" t="n">
        <x:f aca="0">N800/1000</x:f>
        <x:v>10.974</x:v>
      </x:c>
      <x:c r="P800" s="73" t="n">
        <x:f aca="0">LUCK!F105</x:f>
        <x:v>10.974</x:v>
      </x:c>
      <x:c r="Q800" s="70" t="str">
        <x:f aca="0">IF(ABS(O800-P800)&lt;0.000001,"PASS","FAIL")</x:f>
        <x:v>PASS</x:v>
      </x:c>
      <x:c r="R800" s="70" t="s">
        <x:v>33</x:v>
      </x:c>
      <x:c r="S800" s="70"/>
    </x:row>
    <x:row r="801" ht="15" hidden="0">
      <x:c r="A801" s="70" t="s">
        <x:v>1646</x:v>
      </x:c>
      <x:c r="B801" s="70" t="s">
        <x:v>30</x:v>
      </x:c>
      <x:c r="C801" s="70" t="s">
        <x:v>104</x:v>
      </x:c>
      <x:c r="D801" s="70" t="s">
        <x:v>264</x:v>
      </x:c>
      <x:c r="E801" s="70" t="s">
        <x:v>855</x:v>
      </x:c>
      <x:c r="F801" s="70" t="s">
        <x:v>1640</x:v>
      </x:c>
      <x:c r="G801" s="70" t="s">
        <x:v>1310</x:v>
      </x:c>
      <x:c r="H801" s="70" t="s">
        <x:v>849</x:v>
      </x:c>
      <x:c r="I801" s="70" t="s">
        <x:v>833</x:v>
      </x:c>
      <x:c r="J801" s="70" t="n">
        <x:v>272</x:v>
      </x:c>
      <x:c r="K801" s="70" t="s">
        <x:v>1647</x:v>
      </x:c>
      <x:c r="L801" s="70"/>
      <x:c r="M801" s="70" t="s">
        <x:v>34</x:v>
      </x:c>
      <x:c r="N801" s="71" t="n">
        <x:v>20633</x:v>
      </x:c>
      <x:c r="O801" s="72" t="n">
        <x:f aca="0">N801/1000</x:f>
        <x:v>20.633</x:v>
      </x:c>
      <x:c r="P801" s="73" t="n">
        <x:f aca="0">LUCK!G105</x:f>
        <x:v>20.633</x:v>
      </x:c>
      <x:c r="Q801" s="70" t="str">
        <x:f aca="0">IF(ABS(O801-P801)&lt;0.000001,"PASS","FAIL")</x:f>
        <x:v>PASS</x:v>
      </x:c>
      <x:c r="R801" s="70" t="s">
        <x:v>33</x:v>
      </x:c>
      <x:c r="S801" s="70"/>
    </x:row>
    <x:row r="802" ht="15" hidden="0">
      <x:c r="A802" s="70" t="s">
        <x:v>1648</x:v>
      </x:c>
      <x:c r="B802" s="70" t="s">
        <x:v>30</x:v>
      </x:c>
      <x:c r="C802" s="70" t="s">
        <x:v>105</x:v>
      </x:c>
      <x:c r="D802" s="70" t="s">
        <x:v>264</x:v>
      </x:c>
      <x:c r="E802" s="70" t="s">
        <x:v>855</x:v>
      </x:c>
      <x:c r="F802" s="70" t="s">
        <x:v>1640</x:v>
      </x:c>
      <x:c r="G802" s="70" t="s">
        <x:v>1310</x:v>
      </x:c>
      <x:c r="H802" s="70" t="s">
        <x:v>849</x:v>
      </x:c>
      <x:c r="I802" s="70" t="s">
        <x:v>852</x:v>
      </x:c>
      <x:c r="J802" s="70" t="n">
        <x:v>272</x:v>
      </x:c>
      <x:c r="K802" s="70" t="s">
        <x:v>1647</x:v>
      </x:c>
      <x:c r="L802" s="70"/>
      <x:c r="M802" s="70" t="s">
        <x:v>34</x:v>
      </x:c>
      <x:c r="N802" s="71" t="n">
        <x:v>44522</x:v>
      </x:c>
      <x:c r="O802" s="72" t="n">
        <x:f aca="0">N802/1000</x:f>
        <x:v>44.522</x:v>
      </x:c>
      <x:c r="P802" s="73" t="n">
        <x:f aca="0">LUCK!H105</x:f>
        <x:v>44.522</x:v>
      </x:c>
      <x:c r="Q802" s="70" t="str">
        <x:f aca="0">IF(ABS(O802-P802)&lt;0.000001,"PASS","FAIL")</x:f>
        <x:v>PASS</x:v>
      </x:c>
      <x:c r="R802" s="70" t="s">
        <x:v>33</x:v>
      </x:c>
      <x:c r="S802" s="70"/>
    </x:row>
    <x:row r="803" ht="15" hidden="0">
      <x:c r="A803" s="70" t="s">
        <x:v>1649</x:v>
      </x:c>
      <x:c r="B803" s="70" t="s">
        <x:v>30</x:v>
      </x:c>
      <x:c r="C803" s="70" t="s">
        <x:v>101</x:v>
      </x:c>
      <x:c r="D803" s="70" t="s">
        <x:v>268</x:v>
      </x:c>
      <x:c r="E803" s="70" t="s">
        <x:v>1203</x:v>
      </x:c>
      <x:c r="F803" s="70" t="s">
        <x:v>1650</x:v>
      </x:c>
      <x:c r="G803" s="70" t="s">
        <x:v>1301</x:v>
      </x:c>
      <x:c r="H803" s="70" t="s">
        <x:v>838</x:v>
      </x:c>
      <x:c r="I803" s="70" t="s">
        <x:v>833</x:v>
      </x:c>
      <x:c r="J803" s="70" t="n">
        <x:v>258</x:v>
      </x:c>
      <x:c r="K803" s="70" t="s">
        <x:v>1651</x:v>
      </x:c>
      <x:c r="L803" s="70"/>
      <x:c r="M803" s="70" t="s">
        <x:v>34</x:v>
      </x:c>
      <x:c r="N803" s="71" t="n">
        <x:v>4298760</x:v>
      </x:c>
      <x:c r="O803" s="72" t="n">
        <x:f aca="0">N803/1000</x:f>
        <x:v>4298.76</x:v>
      </x:c>
      <x:c r="P803" s="73" t="n">
        <x:f aca="0">LUCK!D107</x:f>
        <x:v>4298.76</x:v>
      </x:c>
      <x:c r="Q803" s="70" t="str">
        <x:f aca="0">IF(ABS(O803-P803)&lt;0.000001,"PASS","FAIL")</x:f>
        <x:v>PASS</x:v>
      </x:c>
      <x:c r="R803" s="70" t="s">
        <x:v>33</x:v>
      </x:c>
      <x:c r="S803" s="70"/>
    </x:row>
    <x:row r="804" ht="15" hidden="0">
      <x:c r="A804" s="70" t="s">
        <x:v>1652</x:v>
      </x:c>
      <x:c r="B804" s="70" t="s">
        <x:v>30</x:v>
      </x:c>
      <x:c r="C804" s="70" t="s">
        <x:v>102</x:v>
      </x:c>
      <x:c r="D804" s="70" t="s">
        <x:v>268</x:v>
      </x:c>
      <x:c r="E804" s="70" t="s">
        <x:v>1203</x:v>
      </x:c>
      <x:c r="F804" s="70" t="s">
        <x:v>1653</x:v>
      </x:c>
      <x:c r="G804" s="70" t="s">
        <x:v>1304</x:v>
      </x:c>
      <x:c r="H804" s="70" t="s">
        <x:v>842</x:v>
      </x:c>
      <x:c r="I804" s="70" t="s">
        <x:v>833</x:v>
      </x:c>
      <x:c r="J804" s="70" t="n">
        <x:v>266</x:v>
      </x:c>
      <x:c r="K804" s="70" t="s">
        <x:v>1654</x:v>
      </x:c>
      <x:c r="L804" s="70"/>
      <x:c r="M804" s="70" t="s">
        <x:v>34</x:v>
      </x:c>
      <x:c r="N804" s="71" t="n">
        <x:v>4527761</x:v>
      </x:c>
      <x:c r="O804" s="72" t="n">
        <x:f aca="0">N804/1000</x:f>
        <x:v>4527.761</x:v>
      </x:c>
      <x:c r="P804" s="73" t="n">
        <x:f aca="0">LUCK!E107</x:f>
        <x:v>4527.761</x:v>
      </x:c>
      <x:c r="Q804" s="70" t="str">
        <x:f aca="0">IF(ABS(O804-P804)&lt;0.000001,"PASS","FAIL")</x:f>
        <x:v>PASS</x:v>
      </x:c>
      <x:c r="R804" s="70" t="s">
        <x:v>33</x:v>
      </x:c>
      <x:c r="S804" s="70"/>
    </x:row>
    <x:row r="805" ht="15" hidden="0">
      <x:c r="A805" s="70" t="s">
        <x:v>1655</x:v>
      </x:c>
      <x:c r="B805" s="70" t="s">
        <x:v>30</x:v>
      </x:c>
      <x:c r="C805" s="70" t="s">
        <x:v>103</x:v>
      </x:c>
      <x:c r="D805" s="70" t="s">
        <x:v>268</x:v>
      </x:c>
      <x:c r="E805" s="70" t="s">
        <x:v>1203</x:v>
      </x:c>
      <x:c r="F805" s="70" t="s">
        <x:v>1653</x:v>
      </x:c>
      <x:c r="G805" s="70" t="s">
        <x:v>1307</x:v>
      </x:c>
      <x:c r="H805" s="70" t="s">
        <x:v>845</x:v>
      </x:c>
      <x:c r="I805" s="70" t="s">
        <x:v>833</x:v>
      </x:c>
      <x:c r="J805" s="70" t="n">
        <x:v>272</x:v>
      </x:c>
      <x:c r="K805" s="70" t="s">
        <x:v>1647</x:v>
      </x:c>
      <x:c r="L805" s="70"/>
      <x:c r="M805" s="70" t="s">
        <x:v>34</x:v>
      </x:c>
      <x:c r="N805" s="71" t="n">
        <x:v>5314762</x:v>
      </x:c>
      <x:c r="O805" s="72" t="n">
        <x:f aca="0">N805/1000</x:f>
        <x:v>5314.762</x:v>
      </x:c>
      <x:c r="P805" s="73" t="n">
        <x:f aca="0">LUCK!F107</x:f>
        <x:v>5314.762</x:v>
      </x:c>
      <x:c r="Q805" s="70" t="str">
        <x:f aca="0">IF(ABS(O805-P805)&lt;0.000001,"PASS","FAIL")</x:f>
        <x:v>PASS</x:v>
      </x:c>
      <x:c r="R805" s="70" t="s">
        <x:v>33</x:v>
      </x:c>
      <x:c r="S805" s="70"/>
    </x:row>
    <x:row r="806" ht="15" hidden="0">
      <x:c r="A806" s="70" t="s">
        <x:v>1656</x:v>
      </x:c>
      <x:c r="B806" s="70" t="s">
        <x:v>30</x:v>
      </x:c>
      <x:c r="C806" s="70" t="s">
        <x:v>104</x:v>
      </x:c>
      <x:c r="D806" s="70" t="s">
        <x:v>268</x:v>
      </x:c>
      <x:c r="E806" s="70" t="s">
        <x:v>1203</x:v>
      </x:c>
      <x:c r="F806" s="70" t="s">
        <x:v>1653</x:v>
      </x:c>
      <x:c r="G806" s="70" t="s">
        <x:v>1310</x:v>
      </x:c>
      <x:c r="H806" s="70" t="s">
        <x:v>849</x:v>
      </x:c>
      <x:c r="I806" s="70" t="s">
        <x:v>833</x:v>
      </x:c>
      <x:c r="J806" s="70" t="n">
        <x:v>275</x:v>
      </x:c>
      <x:c r="K806" s="70" t="s">
        <x:v>834</x:v>
      </x:c>
      <x:c r="L806" s="70"/>
      <x:c r="M806" s="70" t="s">
        <x:v>34</x:v>
      </x:c>
      <x:c r="N806" s="71" t="n">
        <x:v>6097422</x:v>
      </x:c>
      <x:c r="O806" s="72" t="n">
        <x:f aca="0">N806/1000</x:f>
        <x:v>6097.422</x:v>
      </x:c>
      <x:c r="P806" s="73" t="n">
        <x:f aca="0">LUCK!G107</x:f>
        <x:v>6097.422</x:v>
      </x:c>
      <x:c r="Q806" s="70" t="str">
        <x:f aca="0">IF(ABS(O806-P806)&lt;0.000001,"PASS","FAIL")</x:f>
        <x:v>PASS</x:v>
      </x:c>
      <x:c r="R806" s="70" t="s">
        <x:v>33</x:v>
      </x:c>
      <x:c r="S806" s="70"/>
    </x:row>
    <x:row r="807" ht="15" hidden="0">
      <x:c r="A807" s="70" t="s">
        <x:v>1657</x:v>
      </x:c>
      <x:c r="B807" s="70" t="s">
        <x:v>30</x:v>
      </x:c>
      <x:c r="C807" s="70" t="s">
        <x:v>105</x:v>
      </x:c>
      <x:c r="D807" s="70" t="s">
        <x:v>268</x:v>
      </x:c>
      <x:c r="E807" s="70" t="s">
        <x:v>1203</x:v>
      </x:c>
      <x:c r="F807" s="70" t="s">
        <x:v>1653</x:v>
      </x:c>
      <x:c r="G807" s="70" t="s">
        <x:v>1310</x:v>
      </x:c>
      <x:c r="H807" s="70" t="s">
        <x:v>849</x:v>
      </x:c>
      <x:c r="I807" s="70" t="s">
        <x:v>852</x:v>
      </x:c>
      <x:c r="J807" s="70" t="n">
        <x:v>275</x:v>
      </x:c>
      <x:c r="K807" s="70" t="s">
        <x:v>834</x:v>
      </x:c>
      <x:c r="L807" s="70"/>
      <x:c r="M807" s="70" t="s">
        <x:v>34</x:v>
      </x:c>
      <x:c r="N807" s="71" t="n">
        <x:v>6937732</x:v>
      </x:c>
      <x:c r="O807" s="72" t="n">
        <x:f aca="0">N807/1000</x:f>
        <x:v>6937.732</x:v>
      </x:c>
      <x:c r="P807" s="73" t="n">
        <x:f aca="0">LUCK!H107</x:f>
        <x:v>6937.732</x:v>
      </x:c>
      <x:c r="Q807" s="70" t="str">
        <x:f aca="0">IF(ABS(O807-P807)&lt;0.000001,"PASS","FAIL")</x:f>
        <x:v>PASS</x:v>
      </x:c>
      <x:c r="R807" s="70" t="s">
        <x:v>33</x:v>
      </x:c>
      <x:c r="S807" s="70"/>
    </x:row>
    <x:row r="808" ht="15" hidden="0">
      <x:c r="A808" s="70" t="s">
        <x:v>1658</x:v>
      </x:c>
      <x:c r="B808" s="70" t="s">
        <x:v>30</x:v>
      </x:c>
      <x:c r="C808" s="70" t="s">
        <x:v>101</x:v>
      </x:c>
      <x:c r="D808" s="70" t="s">
        <x:v>283</x:v>
      </x:c>
      <x:c r="E808" s="70" t="s">
        <x:v>1203</x:v>
      </x:c>
      <x:c r="F808" s="70" t="s">
        <x:v>1212</x:v>
      </x:c>
      <x:c r="G808" s="70" t="s">
        <x:v>1301</x:v>
      </x:c>
      <x:c r="H808" s="70" t="s">
        <x:v>838</x:v>
      </x:c>
      <x:c r="I808" s="70" t="s">
        <x:v>833</x:v>
      </x:c>
      <x:c r="J808" s="70" t="n">
        <x:v>229</x:v>
      </x:c>
      <x:c r="K808" s="70" t="s">
        <x:v>1659</x:v>
      </x:c>
      <x:c r="L808" s="70"/>
      <x:c r="M808" s="70" t="s">
        <x:v>34</x:v>
      </x:c>
      <x:c r="N808" s="71" t="n">
        <x:v>13285674</x:v>
      </x:c>
      <x:c r="O808" s="72" t="n">
        <x:f aca="0">N808/1000</x:f>
        <x:v>13285.674</x:v>
      </x:c>
      <x:c r="P808" s="73" t="n">
        <x:f aca="0">LUCK!D116</x:f>
        <x:v>13285.674</x:v>
      </x:c>
      <x:c r="Q808" s="70" t="str">
        <x:f aca="0">IF(ABS(O808-P808)&lt;0.000001,"PASS","FAIL")</x:f>
        <x:v>PASS</x:v>
      </x:c>
      <x:c r="R808" s="70" t="s">
        <x:v>33</x:v>
      </x:c>
      <x:c r="S808" s="70"/>
    </x:row>
    <x:row r="809" ht="15" hidden="0">
      <x:c r="A809" s="70" t="s">
        <x:v>1660</x:v>
      </x:c>
      <x:c r="B809" s="70" t="s">
        <x:v>30</x:v>
      </x:c>
      <x:c r="C809" s="70" t="s">
        <x:v>102</x:v>
      </x:c>
      <x:c r="D809" s="70" t="s">
        <x:v>283</x:v>
      </x:c>
      <x:c r="E809" s="70" t="s">
        <x:v>1203</x:v>
      </x:c>
      <x:c r="F809" s="70" t="s">
        <x:v>1212</x:v>
      </x:c>
      <x:c r="G809" s="70" t="s">
        <x:v>1304</x:v>
      </x:c>
      <x:c r="H809" s="70" t="s">
        <x:v>842</x:v>
      </x:c>
      <x:c r="I809" s="70" t="s">
        <x:v>833</x:v>
      </x:c>
      <x:c r="J809" s="70" t="n">
        <x:v>237</x:v>
      </x:c>
      <x:c r="K809" s="70" t="s">
        <x:v>1315</x:v>
      </x:c>
      <x:c r="L809" s="70"/>
      <x:c r="M809" s="70" t="s">
        <x:v>34</x:v>
      </x:c>
      <x:c r="N809" s="71" t="n">
        <x:v>18126508</x:v>
      </x:c>
      <x:c r="O809" s="72" t="n">
        <x:f aca="0">N809/1000</x:f>
        <x:v>18126.508</x:v>
      </x:c>
      <x:c r="P809" s="73" t="n">
        <x:f aca="0">LUCK!E116</x:f>
        <x:v>18126.508</x:v>
      </x:c>
      <x:c r="Q809" s="70" t="str">
        <x:f aca="0">IF(ABS(O809-P809)&lt;0.000001,"PASS","FAIL")</x:f>
        <x:v>PASS</x:v>
      </x:c>
      <x:c r="R809" s="70" t="s">
        <x:v>33</x:v>
      </x:c>
      <x:c r="S809" s="70"/>
    </x:row>
    <x:row r="810" ht="15" hidden="0">
      <x:c r="A810" s="70" t="s">
        <x:v>1661</x:v>
      </x:c>
      <x:c r="B810" s="70" t="s">
        <x:v>30</x:v>
      </x:c>
      <x:c r="C810" s="70" t="s">
        <x:v>103</x:v>
      </x:c>
      <x:c r="D810" s="70" t="s">
        <x:v>283</x:v>
      </x:c>
      <x:c r="E810" s="70" t="s">
        <x:v>1203</x:v>
      </x:c>
      <x:c r="F810" s="70" t="s">
        <x:v>1212</x:v>
      </x:c>
      <x:c r="G810" s="70" t="s">
        <x:v>1307</x:v>
      </x:c>
      <x:c r="H810" s="70" t="s">
        <x:v>845</x:v>
      </x:c>
      <x:c r="I810" s="70" t="s">
        <x:v>833</x:v>
      </x:c>
      <x:c r="J810" s="70" t="n">
        <x:v>241</x:v>
      </x:c>
      <x:c r="K810" s="70" t="s">
        <x:v>1662</x:v>
      </x:c>
      <x:c r="L810" s="70"/>
      <x:c r="M810" s="70" t="s">
        <x:v>34</x:v>
      </x:c>
      <x:c r="N810" s="71" t="n">
        <x:v>24515258</x:v>
      </x:c>
      <x:c r="O810" s="72" t="n">
        <x:f aca="0">N810/1000</x:f>
        <x:v>24515.258</x:v>
      </x:c>
      <x:c r="P810" s="73" t="n">
        <x:f aca="0">LUCK!F116</x:f>
        <x:v>24515.258</x:v>
      </x:c>
      <x:c r="Q810" s="70" t="str">
        <x:f aca="0">IF(ABS(O810-P810)&lt;0.000001,"PASS","FAIL")</x:f>
        <x:v>PASS</x:v>
      </x:c>
      <x:c r="R810" s="70" t="s">
        <x:v>33</x:v>
      </x:c>
      <x:c r="S810" s="70"/>
    </x:row>
    <x:row r="811" ht="15" hidden="0">
      <x:c r="A811" s="70" t="s">
        <x:v>1663</x:v>
      </x:c>
      <x:c r="B811" s="70" t="s">
        <x:v>30</x:v>
      </x:c>
      <x:c r="C811" s="70" t="s">
        <x:v>104</x:v>
      </x:c>
      <x:c r="D811" s="70" t="s">
        <x:v>283</x:v>
      </x:c>
      <x:c r="E811" s="70" t="s">
        <x:v>1203</x:v>
      </x:c>
      <x:c r="F811" s="70" t="s">
        <x:v>1212</x:v>
      </x:c>
      <x:c r="G811" s="70" t="s">
        <x:v>1310</x:v>
      </x:c>
      <x:c r="H811" s="70" t="s">
        <x:v>849</x:v>
      </x:c>
      <x:c r="I811" s="70" t="s">
        <x:v>833</x:v>
      </x:c>
      <x:c r="J811" s="70" t="n">
        <x:v>243</x:v>
      </x:c>
      <x:c r="K811" s="70" t="s">
        <x:v>834</x:v>
      </x:c>
      <x:c r="L811" s="70"/>
      <x:c r="M811" s="70" t="s">
        <x:v>34</x:v>
      </x:c>
      <x:c r="N811" s="71" t="n">
        <x:v>30937432</x:v>
      </x:c>
      <x:c r="O811" s="72" t="n">
        <x:f aca="0">N811/1000</x:f>
        <x:v>30937.432</x:v>
      </x:c>
      <x:c r="P811" s="73" t="n">
        <x:f aca="0">LUCK!G116</x:f>
        <x:v>30937.432</x:v>
      </x:c>
      <x:c r="Q811" s="70" t="str">
        <x:f aca="0">IF(ABS(O811-P811)&lt;0.000001,"PASS","FAIL")</x:f>
        <x:v>PASS</x:v>
      </x:c>
      <x:c r="R811" s="70" t="s">
        <x:v>33</x:v>
      </x:c>
      <x:c r="S811" s="70"/>
    </x:row>
    <x:row r="812" ht="15" hidden="0">
      <x:c r="A812" s="70" t="s">
        <x:v>1664</x:v>
      </x:c>
      <x:c r="B812" s="70" t="s">
        <x:v>30</x:v>
      </x:c>
      <x:c r="C812" s="70" t="s">
        <x:v>105</x:v>
      </x:c>
      <x:c r="D812" s="70" t="s">
        <x:v>283</x:v>
      </x:c>
      <x:c r="E812" s="70" t="s">
        <x:v>1203</x:v>
      </x:c>
      <x:c r="F812" s="70" t="s">
        <x:v>1212</x:v>
      </x:c>
      <x:c r="G812" s="70" t="s">
        <x:v>1310</x:v>
      </x:c>
      <x:c r="H812" s="70" t="s">
        <x:v>849</x:v>
      </x:c>
      <x:c r="I812" s="70" t="s">
        <x:v>852</x:v>
      </x:c>
      <x:c r="J812" s="70" t="n">
        <x:v>243</x:v>
      </x:c>
      <x:c r="K812" s="70" t="s">
        <x:v>834</x:v>
      </x:c>
      <x:c r="L812" s="70"/>
      <x:c r="M812" s="70" t="s">
        <x:v>34</x:v>
      </x:c>
      <x:c r="N812" s="71" t="n">
        <x:v>33808781</x:v>
      </x:c>
      <x:c r="O812" s="72" t="n">
        <x:f aca="0">N812/1000</x:f>
        <x:v>33808.781</x:v>
      </x:c>
      <x:c r="P812" s="73" t="n">
        <x:f aca="0">LUCK!H116</x:f>
        <x:v>33808.781</x:v>
      </x:c>
      <x:c r="Q812" s="70" t="str">
        <x:f aca="0">IF(ABS(O812-P812)&lt;0.000001,"PASS","FAIL")</x:f>
        <x:v>PASS</x:v>
      </x:c>
      <x:c r="R812" s="70" t="s">
        <x:v>33</x:v>
      </x:c>
      <x:c r="S812" s="70"/>
    </x:row>
    <x:row r="813" ht="15" hidden="0">
      <x:c r="A813" s="70" t="s">
        <x:v>1665</x:v>
      </x:c>
      <x:c r="B813" s="70" t="s">
        <x:v>30</x:v>
      </x:c>
      <x:c r="C813" s="70" t="s">
        <x:v>101</x:v>
      </x:c>
      <x:c r="D813" s="70" t="s">
        <x:v>285</x:v>
      </x:c>
      <x:c r="E813" s="70" t="s">
        <x:v>1203</x:v>
      </x:c>
      <x:c r="F813" s="70" t="s">
        <x:v>1218</x:v>
      </x:c>
      <x:c r="G813" s="70" t="s">
        <x:v>1301</x:v>
      </x:c>
      <x:c r="H813" s="70" t="s">
        <x:v>838</x:v>
      </x:c>
      <x:c r="I813" s="70" t="s">
        <x:v>833</x:v>
      </x:c>
      <x:c r="J813" s="70" t="n">
        <x:v>229</x:v>
      </x:c>
      <x:c r="K813" s="70" t="s">
        <x:v>1659</x:v>
      </x:c>
      <x:c r="L813" s="70"/>
      <x:c r="M813" s="70" t="s">
        <x:v>34</x:v>
      </x:c>
      <x:c r="N813" s="71" t="n">
        <x:v>12492631</x:v>
      </x:c>
      <x:c r="O813" s="72" t="n">
        <x:f aca="0">N813/1000</x:f>
        <x:v>12492.631</x:v>
      </x:c>
      <x:c r="P813" s="73" t="n">
        <x:f aca="0">LUCK!D117</x:f>
        <x:v>12492.631</x:v>
      </x:c>
      <x:c r="Q813" s="70" t="str">
        <x:f aca="0">IF(ABS(O813-P813)&lt;0.000001,"PASS","FAIL")</x:f>
        <x:v>PASS</x:v>
      </x:c>
      <x:c r="R813" s="70" t="s">
        <x:v>33</x:v>
      </x:c>
      <x:c r="S813" s="70"/>
    </x:row>
    <x:row r="814" ht="15" hidden="0">
      <x:c r="A814" s="70" t="s">
        <x:v>1666</x:v>
      </x:c>
      <x:c r="B814" s="70" t="s">
        <x:v>30</x:v>
      </x:c>
      <x:c r="C814" s="70" t="s">
        <x:v>102</x:v>
      </x:c>
      <x:c r="D814" s="70" t="s">
        <x:v>285</x:v>
      </x:c>
      <x:c r="E814" s="70" t="s">
        <x:v>1203</x:v>
      </x:c>
      <x:c r="F814" s="70" t="s">
        <x:v>1218</x:v>
      </x:c>
      <x:c r="G814" s="70" t="s">
        <x:v>1304</x:v>
      </x:c>
      <x:c r="H814" s="70" t="s">
        <x:v>842</x:v>
      </x:c>
      <x:c r="I814" s="70" t="s">
        <x:v>833</x:v>
      </x:c>
      <x:c r="J814" s="70" t="n">
        <x:v>237</x:v>
      </x:c>
      <x:c r="K814" s="70" t="s">
        <x:v>1315</x:v>
      </x:c>
      <x:c r="L814" s="70"/>
      <x:c r="M814" s="70" t="s">
        <x:v>34</x:v>
      </x:c>
      <x:c r="N814" s="71" t="n">
        <x:v>15469449</x:v>
      </x:c>
      <x:c r="O814" s="72" t="n">
        <x:f aca="0">N814/1000</x:f>
        <x:v>15469.449</x:v>
      </x:c>
      <x:c r="P814" s="73" t="n">
        <x:f aca="0">LUCK!E117</x:f>
        <x:v>15469.449</x:v>
      </x:c>
      <x:c r="Q814" s="70" t="str">
        <x:f aca="0">IF(ABS(O814-P814)&lt;0.000001,"PASS","FAIL")</x:f>
        <x:v>PASS</x:v>
      </x:c>
      <x:c r="R814" s="70" t="s">
        <x:v>33</x:v>
      </x:c>
      <x:c r="S814" s="70"/>
    </x:row>
    <x:row r="815" ht="15" hidden="0">
      <x:c r="A815" s="70" t="s">
        <x:v>1667</x:v>
      </x:c>
      <x:c r="B815" s="70" t="s">
        <x:v>30</x:v>
      </x:c>
      <x:c r="C815" s="70" t="s">
        <x:v>103</x:v>
      </x:c>
      <x:c r="D815" s="70" t="s">
        <x:v>285</x:v>
      </x:c>
      <x:c r="E815" s="70" t="s">
        <x:v>1203</x:v>
      </x:c>
      <x:c r="F815" s="70" t="s">
        <x:v>1218</x:v>
      </x:c>
      <x:c r="G815" s="70" t="s">
        <x:v>1307</x:v>
      </x:c>
      <x:c r="H815" s="70" t="s">
        <x:v>845</x:v>
      </x:c>
      <x:c r="I815" s="70" t="s">
        <x:v>833</x:v>
      </x:c>
      <x:c r="J815" s="70" t="n">
        <x:v>241</x:v>
      </x:c>
      <x:c r="K815" s="70" t="s">
        <x:v>1662</x:v>
      </x:c>
      <x:c r="L815" s="70"/>
      <x:c r="M815" s="70" t="s">
        <x:v>34</x:v>
      </x:c>
      <x:c r="N815" s="71" t="n">
        <x:v>23242896</x:v>
      </x:c>
      <x:c r="O815" s="72" t="n">
        <x:f aca="0">N815/1000</x:f>
        <x:v>23242.896</x:v>
      </x:c>
      <x:c r="P815" s="73" t="n">
        <x:f aca="0">LUCK!F117</x:f>
        <x:v>23242.896</x:v>
      </x:c>
      <x:c r="Q815" s="70" t="str">
        <x:f aca="0">IF(ABS(O815-P815)&lt;0.000001,"PASS","FAIL")</x:f>
        <x:v>PASS</x:v>
      </x:c>
      <x:c r="R815" s="70" t="s">
        <x:v>33</x:v>
      </x:c>
      <x:c r="S815" s="70"/>
    </x:row>
    <x:row r="816" ht="15" hidden="0">
      <x:c r="A816" s="70" t="s">
        <x:v>1668</x:v>
      </x:c>
      <x:c r="B816" s="70" t="s">
        <x:v>30</x:v>
      </x:c>
      <x:c r="C816" s="70" t="s">
        <x:v>104</x:v>
      </x:c>
      <x:c r="D816" s="70" t="s">
        <x:v>285</x:v>
      </x:c>
      <x:c r="E816" s="70" t="s">
        <x:v>1203</x:v>
      </x:c>
      <x:c r="F816" s="70" t="s">
        <x:v>1218</x:v>
      </x:c>
      <x:c r="G816" s="70" t="s">
        <x:v>1310</x:v>
      </x:c>
      <x:c r="H816" s="70" t="s">
        <x:v>849</x:v>
      </x:c>
      <x:c r="I816" s="70" t="s">
        <x:v>833</x:v>
      </x:c>
      <x:c r="J816" s="70" t="n">
        <x:v>243</x:v>
      </x:c>
      <x:c r="K816" s="70" t="s">
        <x:v>834</x:v>
      </x:c>
      <x:c r="L816" s="70"/>
      <x:c r="M816" s="70" t="s">
        <x:v>34</x:v>
      </x:c>
      <x:c r="N816" s="71" t="n">
        <x:v>27580741</x:v>
      </x:c>
      <x:c r="O816" s="72" t="n">
        <x:f aca="0">N816/1000</x:f>
        <x:v>27580.741</x:v>
      </x:c>
      <x:c r="P816" s="73" t="n">
        <x:f aca="0">LUCK!G117</x:f>
        <x:v>27580.741</x:v>
      </x:c>
      <x:c r="Q816" s="70" t="str">
        <x:f aca="0">IF(ABS(O816-P816)&lt;0.000001,"PASS","FAIL")</x:f>
        <x:v>PASS</x:v>
      </x:c>
      <x:c r="R816" s="70" t="s">
        <x:v>33</x:v>
      </x:c>
      <x:c r="S816" s="70"/>
    </x:row>
    <x:row r="817" ht="15" hidden="0">
      <x:c r="A817" s="70" t="s">
        <x:v>1669</x:v>
      </x:c>
      <x:c r="B817" s="70" t="s">
        <x:v>30</x:v>
      </x:c>
      <x:c r="C817" s="70" t="s">
        <x:v>105</x:v>
      </x:c>
      <x:c r="D817" s="70" t="s">
        <x:v>285</x:v>
      </x:c>
      <x:c r="E817" s="70" t="s">
        <x:v>1203</x:v>
      </x:c>
      <x:c r="F817" s="70" t="s">
        <x:v>1218</x:v>
      </x:c>
      <x:c r="G817" s="70" t="s">
        <x:v>1310</x:v>
      </x:c>
      <x:c r="H817" s="70" t="s">
        <x:v>849</x:v>
      </x:c>
      <x:c r="I817" s="70" t="s">
        <x:v>852</x:v>
      </x:c>
      <x:c r="J817" s="70" t="n">
        <x:v>243</x:v>
      </x:c>
      <x:c r="K817" s="70" t="s">
        <x:v>834</x:v>
      </x:c>
      <x:c r="L817" s="70"/>
      <x:c r="M817" s="70" t="s">
        <x:v>34</x:v>
      </x:c>
      <x:c r="N817" s="71" t="n">
        <x:v>27572567</x:v>
      </x:c>
      <x:c r="O817" s="72" t="n">
        <x:f aca="0">N817/1000</x:f>
        <x:v>27572.567</x:v>
      </x:c>
      <x:c r="P817" s="73" t="n">
        <x:f aca="0">LUCK!H117</x:f>
        <x:v>27572.567</x:v>
      </x:c>
      <x:c r="Q817" s="70" t="str">
        <x:f aca="0">IF(ABS(O817-P817)&lt;0.000001,"PASS","FAIL")</x:f>
        <x:v>PASS</x:v>
      </x:c>
      <x:c r="R817" s="70" t="s">
        <x:v>33</x:v>
      </x:c>
      <x:c r="S817" s="70"/>
    </x:row>
    <x:row r="818" ht="15" hidden="0">
      <x:c r="A818" s="70" t="s">
        <x:v>1670</x:v>
      </x:c>
      <x:c r="B818" s="70" t="s">
        <x:v>30</x:v>
      </x:c>
      <x:c r="C818" s="70" t="s">
        <x:v>101</x:v>
      </x:c>
      <x:c r="D818" s="70" t="s">
        <x:v>287</x:v>
      </x:c>
      <x:c r="E818" s="70" t="s">
        <x:v>1203</x:v>
      </x:c>
      <x:c r="F818" s="70" t="s">
        <x:v>1671</x:v>
      </x:c>
      <x:c r="G818" s="70" t="s">
        <x:v>1301</x:v>
      </x:c>
      <x:c r="H818" s="70" t="s">
        <x:v>838</x:v>
      </x:c>
      <x:c r="I818" s="70" t="s">
        <x:v>833</x:v>
      </x:c>
      <x:c r="J818" s="70" t="n">
        <x:v>229</x:v>
      </x:c>
      <x:c r="K818" s="70" t="s">
        <x:v>1659</x:v>
      </x:c>
      <x:c r="L818" s="70"/>
      <x:c r="M818" s="70" t="s">
        <x:v>34</x:v>
      </x:c>
      <x:c r="N818" s="71" t="n">
        <x:v>-308210</x:v>
      </x:c>
      <x:c r="O818" s="72" t="n">
        <x:f aca="0">N818/1000</x:f>
        <x:v>-308.21</x:v>
      </x:c>
      <x:c r="P818" s="73" t="n">
        <x:f aca="0">LUCK!D118</x:f>
        <x:v>-308.21</x:v>
      </x:c>
      <x:c r="Q818" s="70" t="str">
        <x:f aca="0">IF(ABS(O818-P818)&lt;0.000001,"PASS","FAIL")</x:f>
        <x:v>PASS</x:v>
      </x:c>
      <x:c r="R818" s="70" t="s">
        <x:v>33</x:v>
      </x:c>
      <x:c r="S818" s="70"/>
    </x:row>
    <x:row r="819" ht="15" hidden="0">
      <x:c r="A819" s="70" t="s">
        <x:v>1672</x:v>
      </x:c>
      <x:c r="B819" s="70" t="s">
        <x:v>30</x:v>
      </x:c>
      <x:c r="C819" s="70" t="s">
        <x:v>102</x:v>
      </x:c>
      <x:c r="D819" s="70" t="s">
        <x:v>287</x:v>
      </x:c>
      <x:c r="E819" s="70" t="s">
        <x:v>1203</x:v>
      </x:c>
      <x:c r="F819" s="70" t="s">
        <x:v>1671</x:v>
      </x:c>
      <x:c r="G819" s="70" t="s">
        <x:v>1304</x:v>
      </x:c>
      <x:c r="H819" s="70" t="s">
        <x:v>842</x:v>
      </x:c>
      <x:c r="I819" s="70" t="s">
        <x:v>833</x:v>
      </x:c>
      <x:c r="J819" s="70" t="n">
        <x:v>237</x:v>
      </x:c>
      <x:c r="K819" s="70" t="s">
        <x:v>1315</x:v>
      </x:c>
      <x:c r="L819" s="70"/>
      <x:c r="M819" s="70" t="s">
        <x:v>34</x:v>
      </x:c>
      <x:c r="N819" s="71" t="n">
        <x:v>-329933</x:v>
      </x:c>
      <x:c r="O819" s="72" t="n">
        <x:f aca="0">N819/1000</x:f>
        <x:v>-329.933</x:v>
      </x:c>
      <x:c r="P819" s="73" t="n">
        <x:f aca="0">LUCK!E118</x:f>
        <x:v>-329.933</x:v>
      </x:c>
      <x:c r="Q819" s="70" t="str">
        <x:f aca="0">IF(ABS(O819-P819)&lt;0.000001,"PASS","FAIL")</x:f>
        <x:v>PASS</x:v>
      </x:c>
      <x:c r="R819" s="70" t="s">
        <x:v>33</x:v>
      </x:c>
      <x:c r="S819" s="70"/>
    </x:row>
    <x:row r="820" ht="15" hidden="0">
      <x:c r="A820" s="70" t="s">
        <x:v>1673</x:v>
      </x:c>
      <x:c r="B820" s="70" t="s">
        <x:v>30</x:v>
      </x:c>
      <x:c r="C820" s="70" t="s">
        <x:v>103</x:v>
      </x:c>
      <x:c r="D820" s="70" t="s">
        <x:v>287</x:v>
      </x:c>
      <x:c r="E820" s="70" t="s">
        <x:v>1203</x:v>
      </x:c>
      <x:c r="F820" s="70" t="s">
        <x:v>1671</x:v>
      </x:c>
      <x:c r="G820" s="70" t="s">
        <x:v>1307</x:v>
      </x:c>
      <x:c r="H820" s="70" t="s">
        <x:v>845</x:v>
      </x:c>
      <x:c r="I820" s="70" t="s">
        <x:v>833</x:v>
      </x:c>
      <x:c r="J820" s="70" t="n">
        <x:v>241</x:v>
      </x:c>
      <x:c r="K820" s="70" t="s">
        <x:v>1662</x:v>
      </x:c>
      <x:c r="L820" s="70"/>
      <x:c r="M820" s="70" t="s">
        <x:v>34</x:v>
      </x:c>
      <x:c r="N820" s="71" t="n">
        <x:v>-807477</x:v>
      </x:c>
      <x:c r="O820" s="72" t="n">
        <x:f aca="0">N820/1000</x:f>
        <x:v>-807.477</x:v>
      </x:c>
      <x:c r="P820" s="73" t="n">
        <x:f aca="0">LUCK!F118</x:f>
        <x:v>-807.477</x:v>
      </x:c>
      <x:c r="Q820" s="70" t="str">
        <x:f aca="0">IF(ABS(O820-P820)&lt;0.000001,"PASS","FAIL")</x:f>
        <x:v>PASS</x:v>
      </x:c>
      <x:c r="R820" s="70" t="s">
        <x:v>33</x:v>
      </x:c>
      <x:c r="S820" s="70"/>
    </x:row>
    <x:row r="821" ht="15" hidden="0">
      <x:c r="A821" s="70" t="s">
        <x:v>1674</x:v>
      </x:c>
      <x:c r="B821" s="70" t="s">
        <x:v>30</x:v>
      </x:c>
      <x:c r="C821" s="70" t="s">
        <x:v>104</x:v>
      </x:c>
      <x:c r="D821" s="70" t="s">
        <x:v>287</x:v>
      </x:c>
      <x:c r="E821" s="70" t="s">
        <x:v>1203</x:v>
      </x:c>
      <x:c r="F821" s="70" t="s">
        <x:v>1671</x:v>
      </x:c>
      <x:c r="G821" s="70" t="s">
        <x:v>1310</x:v>
      </x:c>
      <x:c r="H821" s="70" t="s">
        <x:v>849</x:v>
      </x:c>
      <x:c r="I821" s="70" t="s">
        <x:v>833</x:v>
      </x:c>
      <x:c r="J821" s="70" t="n">
        <x:v>243</x:v>
      </x:c>
      <x:c r="K821" s="70" t="s">
        <x:v>834</x:v>
      </x:c>
      <x:c r="L821" s="70"/>
      <x:c r="M821" s="70" t="s">
        <x:v>34</x:v>
      </x:c>
      <x:c r="N821" s="71" t="n">
        <x:v>-1735978</x:v>
      </x:c>
      <x:c r="O821" s="72" t="n">
        <x:f aca="0">N821/1000</x:f>
        <x:v>-1735.978</x:v>
      </x:c>
      <x:c r="P821" s="73" t="n">
        <x:f aca="0">LUCK!G118</x:f>
        <x:v>-1735.978</x:v>
      </x:c>
      <x:c r="Q821" s="70" t="str">
        <x:f aca="0">IF(ABS(O821-P821)&lt;0.000001,"PASS","FAIL")</x:f>
        <x:v>PASS</x:v>
      </x:c>
      <x:c r="R821" s="70" t="s">
        <x:v>33</x:v>
      </x:c>
      <x:c r="S821" s="70"/>
    </x:row>
    <x:row r="822" ht="15" hidden="0">
      <x:c r="A822" s="70" t="s">
        <x:v>1675</x:v>
      </x:c>
      <x:c r="B822" s="70" t="s">
        <x:v>30</x:v>
      </x:c>
      <x:c r="C822" s="70" t="s">
        <x:v>105</x:v>
      </x:c>
      <x:c r="D822" s="70" t="s">
        <x:v>287</x:v>
      </x:c>
      <x:c r="E822" s="70" t="s">
        <x:v>1203</x:v>
      </x:c>
      <x:c r="F822" s="70" t="s">
        <x:v>1671</x:v>
      </x:c>
      <x:c r="G822" s="70" t="s">
        <x:v>1310</x:v>
      </x:c>
      <x:c r="H822" s="70" t="s">
        <x:v>849</x:v>
      </x:c>
      <x:c r="I822" s="70" t="s">
        <x:v>852</x:v>
      </x:c>
      <x:c r="J822" s="70" t="n">
        <x:v>243</x:v>
      </x:c>
      <x:c r="K822" s="70" t="s">
        <x:v>834</x:v>
      </x:c>
      <x:c r="L822" s="70"/>
      <x:c r="M822" s="70" t="s">
        <x:v>34</x:v>
      </x:c>
      <x:c r="N822" s="71" t="n">
        <x:v>-1527888</x:v>
      </x:c>
      <x:c r="O822" s="72" t="n">
        <x:f aca="0">N822/1000</x:f>
        <x:v>-1527.888</x:v>
      </x:c>
      <x:c r="P822" s="73" t="n">
        <x:f aca="0">LUCK!H118</x:f>
        <x:v>-1527.888</x:v>
      </x:c>
      <x:c r="Q822" s="70" t="str">
        <x:f aca="0">IF(ABS(O822-P822)&lt;0.000001,"PASS","FAIL")</x:f>
        <x:v>PASS</x:v>
      </x:c>
      <x:c r="R822" s="70" t="s">
        <x:v>33</x:v>
      </x:c>
      <x:c r="S822" s="70"/>
    </x:row>
    <x:row r="823" ht="15" hidden="0">
      <x:c r="A823" s="70" t="s">
        <x:v>1676</x:v>
      </x:c>
      <x:c r="B823" s="70" t="s">
        <x:v>30</x:v>
      </x:c>
      <x:c r="C823" s="70" t="s">
        <x:v>101</x:v>
      </x:c>
      <x:c r="D823" s="70" t="s">
        <x:v>289</x:v>
      </x:c>
      <x:c r="E823" s="70" t="s">
        <x:v>1203</x:v>
      </x:c>
      <x:c r="F823" s="70" t="s">
        <x:v>1230</x:v>
      </x:c>
      <x:c r="G823" s="70" t="s">
        <x:v>1301</x:v>
      </x:c>
      <x:c r="H823" s="70" t="s">
        <x:v>838</x:v>
      </x:c>
      <x:c r="I823" s="70" t="s">
        <x:v>833</x:v>
      </x:c>
      <x:c r="J823" s="70" t="n">
        <x:v>229</x:v>
      </x:c>
      <x:c r="K823" s="70" t="s">
        <x:v>1659</x:v>
      </x:c>
      <x:c r="L823" s="70"/>
      <x:c r="M823" s="70" t="s">
        <x:v>292</x:v>
      </x:c>
      <x:c r="N823" s="70" t="s">
        <x:v>291</x:v>
      </x:c>
      <x:c r="O823" s="70" t="str">
        <x:f aca="0">N823</x:f>
        <x:v>Operating</x:v>
      </x:c>
      <x:c r="P823" s="70" t="str">
        <x:f aca="0">LUCK!D119</x:f>
        <x:v>Operating</x:v>
      </x:c>
      <x:c r="Q823" s="70" t="str">
        <x:f aca="0">IF(O823=P823,"PASS","FAIL")</x:f>
        <x:v>PASS</x:v>
      </x:c>
      <x:c r="R823" s="70" t="s">
        <x:v>33</x:v>
      </x:c>
      <x:c r="S823" s="70"/>
    </x:row>
    <x:row r="824" ht="15" hidden="0">
      <x:c r="A824" s="70" t="s">
        <x:v>1677</x:v>
      </x:c>
      <x:c r="B824" s="70" t="s">
        <x:v>30</x:v>
      </x:c>
      <x:c r="C824" s="70" t="s">
        <x:v>102</x:v>
      </x:c>
      <x:c r="D824" s="70" t="s">
        <x:v>289</x:v>
      </x:c>
      <x:c r="E824" s="70" t="s">
        <x:v>1203</x:v>
      </x:c>
      <x:c r="F824" s="70" t="s">
        <x:v>1230</x:v>
      </x:c>
      <x:c r="G824" s="70" t="s">
        <x:v>1304</x:v>
      </x:c>
      <x:c r="H824" s="70" t="s">
        <x:v>842</x:v>
      </x:c>
      <x:c r="I824" s="70" t="s">
        <x:v>833</x:v>
      </x:c>
      <x:c r="J824" s="70" t="n">
        <x:v>237</x:v>
      </x:c>
      <x:c r="K824" s="70" t="s">
        <x:v>1315</x:v>
      </x:c>
      <x:c r="L824" s="70"/>
      <x:c r="M824" s="70" t="s">
        <x:v>292</x:v>
      </x:c>
      <x:c r="N824" s="70" t="s">
        <x:v>291</x:v>
      </x:c>
      <x:c r="O824" s="70" t="str">
        <x:f aca="0">N824</x:f>
        <x:v>Operating</x:v>
      </x:c>
      <x:c r="P824" s="70" t="str">
        <x:f aca="0">LUCK!E119</x:f>
        <x:v>Operating</x:v>
      </x:c>
      <x:c r="Q824" s="70" t="str">
        <x:f aca="0">IF(O824=P824,"PASS","FAIL")</x:f>
        <x:v>PASS</x:v>
      </x:c>
      <x:c r="R824" s="70" t="s">
        <x:v>33</x:v>
      </x:c>
      <x:c r="S824" s="70"/>
    </x:row>
    <x:row r="825" ht="15" hidden="0">
      <x:c r="A825" s="70" t="s">
        <x:v>1678</x:v>
      </x:c>
      <x:c r="B825" s="70" t="s">
        <x:v>30</x:v>
      </x:c>
      <x:c r="C825" s="70" t="s">
        <x:v>103</x:v>
      </x:c>
      <x:c r="D825" s="70" t="s">
        <x:v>289</x:v>
      </x:c>
      <x:c r="E825" s="70" t="s">
        <x:v>1203</x:v>
      </x:c>
      <x:c r="F825" s="70" t="s">
        <x:v>1230</x:v>
      </x:c>
      <x:c r="G825" s="70" t="s">
        <x:v>1307</x:v>
      </x:c>
      <x:c r="H825" s="70" t="s">
        <x:v>845</x:v>
      </x:c>
      <x:c r="I825" s="70" t="s">
        <x:v>833</x:v>
      </x:c>
      <x:c r="J825" s="70" t="n">
        <x:v>241</x:v>
      </x:c>
      <x:c r="K825" s="70" t="s">
        <x:v>1662</x:v>
      </x:c>
      <x:c r="L825" s="70"/>
      <x:c r="M825" s="70" t="s">
        <x:v>292</x:v>
      </x:c>
      <x:c r="N825" s="70" t="s">
        <x:v>291</x:v>
      </x:c>
      <x:c r="O825" s="70" t="str">
        <x:f aca="0">N825</x:f>
        <x:v>Operating</x:v>
      </x:c>
      <x:c r="P825" s="70" t="str">
        <x:f aca="0">LUCK!F119</x:f>
        <x:v>Operating</x:v>
      </x:c>
      <x:c r="Q825" s="70" t="str">
        <x:f aca="0">IF(O825=P825,"PASS","FAIL")</x:f>
        <x:v>PASS</x:v>
      </x:c>
      <x:c r="R825" s="70" t="s">
        <x:v>33</x:v>
      </x:c>
      <x:c r="S825" s="70"/>
    </x:row>
    <x:row r="826" ht="15" hidden="0">
      <x:c r="A826" s="70" t="s">
        <x:v>1679</x:v>
      </x:c>
      <x:c r="B826" s="70" t="s">
        <x:v>30</x:v>
      </x:c>
      <x:c r="C826" s="70" t="s">
        <x:v>104</x:v>
      </x:c>
      <x:c r="D826" s="70" t="s">
        <x:v>289</x:v>
      </x:c>
      <x:c r="E826" s="70" t="s">
        <x:v>1203</x:v>
      </x:c>
      <x:c r="F826" s="70" t="s">
        <x:v>1230</x:v>
      </x:c>
      <x:c r="G826" s="70" t="s">
        <x:v>1310</x:v>
      </x:c>
      <x:c r="H826" s="70" t="s">
        <x:v>849</x:v>
      </x:c>
      <x:c r="I826" s="70" t="s">
        <x:v>833</x:v>
      </x:c>
      <x:c r="J826" s="70" t="n">
        <x:v>243</x:v>
      </x:c>
      <x:c r="K826" s="70" t="s">
        <x:v>834</x:v>
      </x:c>
      <x:c r="L826" s="70"/>
      <x:c r="M826" s="70" t="s">
        <x:v>292</x:v>
      </x:c>
      <x:c r="N826" s="70" t="s">
        <x:v>291</x:v>
      </x:c>
      <x:c r="O826" s="70" t="str">
        <x:f aca="0">N826</x:f>
        <x:v>Operating</x:v>
      </x:c>
      <x:c r="P826" s="70" t="str">
        <x:f aca="0">LUCK!G119</x:f>
        <x:v>Operating</x:v>
      </x:c>
      <x:c r="Q826" s="70" t="str">
        <x:f aca="0">IF(O826=P826,"PASS","FAIL")</x:f>
        <x:v>PASS</x:v>
      </x:c>
      <x:c r="R826" s="70" t="s">
        <x:v>33</x:v>
      </x:c>
      <x:c r="S826" s="70"/>
    </x:row>
    <x:row r="827" ht="15" hidden="0">
      <x:c r="A827" s="70" t="s">
        <x:v>1680</x:v>
      </x:c>
      <x:c r="B827" s="70" t="s">
        <x:v>30</x:v>
      </x:c>
      <x:c r="C827" s="70" t="s">
        <x:v>105</x:v>
      </x:c>
      <x:c r="D827" s="70" t="s">
        <x:v>289</x:v>
      </x:c>
      <x:c r="E827" s="70" t="s">
        <x:v>1203</x:v>
      </x:c>
      <x:c r="F827" s="70" t="s">
        <x:v>1230</x:v>
      </x:c>
      <x:c r="G827" s="70" t="s">
        <x:v>1310</x:v>
      </x:c>
      <x:c r="H827" s="70" t="s">
        <x:v>849</x:v>
      </x:c>
      <x:c r="I827" s="70" t="s">
        <x:v>852</x:v>
      </x:c>
      <x:c r="J827" s="70" t="n">
        <x:v>243</x:v>
      </x:c>
      <x:c r="K827" s="70" t="s">
        <x:v>834</x:v>
      </x:c>
      <x:c r="L827" s="70"/>
      <x:c r="M827" s="70" t="s">
        <x:v>292</x:v>
      </x:c>
      <x:c r="N827" s="70" t="s">
        <x:v>291</x:v>
      </x:c>
      <x:c r="O827" s="70" t="str">
        <x:f aca="0">N827</x:f>
        <x:v>Operating</x:v>
      </x:c>
      <x:c r="P827" s="70" t="str">
        <x:f aca="0">LUCK!H119</x:f>
        <x:v>Operating</x:v>
      </x:c>
      <x:c r="Q827" s="70" t="str">
        <x:f aca="0">IF(O827=P827,"PASS","FAIL")</x:f>
        <x:v>PASS</x:v>
      </x:c>
      <x:c r="R827" s="70" t="s">
        <x:v>33</x:v>
      </x:c>
      <x:c r="S827" s="70"/>
    </x:row>
    <x:row r="828" ht="15" hidden="0">
      <x:c r="A828" s="70" t="s">
        <x:v>1681</x:v>
      </x:c>
      <x:c r="B828" s="70" t="s">
        <x:v>30</x:v>
      </x:c>
      <x:c r="C828" s="70" t="s">
        <x:v>101</x:v>
      </x:c>
      <x:c r="D828" s="70" t="s">
        <x:v>295</x:v>
      </x:c>
      <x:c r="E828" s="70" t="s">
        <x:v>1203</x:v>
      </x:c>
      <x:c r="F828" s="70" t="s">
        <x:v>1682</x:v>
      </x:c>
      <x:c r="G828" s="70" t="s">
        <x:v>1301</x:v>
      </x:c>
      <x:c r="H828" s="70" t="s">
        <x:v>838</x:v>
      </x:c>
      <x:c r="I828" s="70" t="s">
        <x:v>833</x:v>
      </x:c>
      <x:c r="J828" s="70" t="n">
        <x:v>229</x:v>
      </x:c>
      <x:c r="K828" s="70" t="s">
        <x:v>1659</x:v>
      </x:c>
      <x:c r="L828" s="70"/>
      <x:c r="M828" s="70" t="s">
        <x:v>34</x:v>
      </x:c>
      <x:c r="N828" s="71" t="n">
        <x:v>-6470913</x:v>
      </x:c>
      <x:c r="O828" s="72" t="n">
        <x:f aca="0">N828/1000</x:f>
        <x:v>-6470.913</x:v>
      </x:c>
      <x:c r="P828" s="73" t="n">
        <x:f aca="0">LUCK!D121</x:f>
        <x:v>-6470.913</x:v>
      </x:c>
      <x:c r="Q828" s="70" t="str">
        <x:f aca="0">IF(ABS(O828-P828)&lt;0.000001,"PASS","FAIL")</x:f>
        <x:v>PASS</x:v>
      </x:c>
      <x:c r="R828" s="70" t="s">
        <x:v>33</x:v>
      </x:c>
      <x:c r="S828" s="70"/>
    </x:row>
    <x:row r="829" ht="15" hidden="0">
      <x:c r="A829" s="70" t="s">
        <x:v>1683</x:v>
      </x:c>
      <x:c r="B829" s="70" t="s">
        <x:v>30</x:v>
      </x:c>
      <x:c r="C829" s="70" t="s">
        <x:v>102</x:v>
      </x:c>
      <x:c r="D829" s="70" t="s">
        <x:v>295</x:v>
      </x:c>
      <x:c r="E829" s="70" t="s">
        <x:v>1203</x:v>
      </x:c>
      <x:c r="F829" s="70" t="s">
        <x:v>1684</x:v>
      </x:c>
      <x:c r="G829" s="70" t="s">
        <x:v>1304</x:v>
      </x:c>
      <x:c r="H829" s="70" t="s">
        <x:v>842</x:v>
      </x:c>
      <x:c r="I829" s="70" t="s">
        <x:v>833</x:v>
      </x:c>
      <x:c r="J829" s="70" t="n">
        <x:v>237</x:v>
      </x:c>
      <x:c r="K829" s="70" t="s">
        <x:v>1315</x:v>
      </x:c>
      <x:c r="L829" s="70"/>
      <x:c r="M829" s="70" t="s">
        <x:v>34</x:v>
      </x:c>
      <x:c r="N829" s="71" t="n">
        <x:v>-24537830</x:v>
      </x:c>
      <x:c r="O829" s="72" t="n">
        <x:f aca="0">N829/1000</x:f>
        <x:v>-24537.83</x:v>
      </x:c>
      <x:c r="P829" s="73" t="n">
        <x:f aca="0">LUCK!E121</x:f>
        <x:v>-24537.83</x:v>
      </x:c>
      <x:c r="Q829" s="70" t="str">
        <x:f aca="0">IF(ABS(O829-P829)&lt;0.000001,"PASS","FAIL")</x:f>
        <x:v>PASS</x:v>
      </x:c>
      <x:c r="R829" s="70" t="s">
        <x:v>33</x:v>
      </x:c>
      <x:c r="S829" s="70" t="s">
        <x:v>839</x:v>
      </x:c>
    </x:row>
    <x:row r="830" ht="15" hidden="0">
      <x:c r="A830" s="70" t="s">
        <x:v>1685</x:v>
      </x:c>
      <x:c r="B830" s="70" t="s">
        <x:v>30</x:v>
      </x:c>
      <x:c r="C830" s="70" t="s">
        <x:v>103</x:v>
      </x:c>
      <x:c r="D830" s="70" t="s">
        <x:v>295</x:v>
      </x:c>
      <x:c r="E830" s="70" t="s">
        <x:v>1203</x:v>
      </x:c>
      <x:c r="F830" s="70" t="s">
        <x:v>1686</x:v>
      </x:c>
      <x:c r="G830" s="70" t="s">
        <x:v>1307</x:v>
      </x:c>
      <x:c r="H830" s="70" t="s">
        <x:v>845</x:v>
      </x:c>
      <x:c r="I830" s="70" t="s">
        <x:v>833</x:v>
      </x:c>
      <x:c r="J830" s="70" t="n">
        <x:v>241</x:v>
      </x:c>
      <x:c r="K830" s="70" t="s">
        <x:v>1662</x:v>
      </x:c>
      <x:c r="L830" s="70"/>
      <x:c r="M830" s="70" t="s">
        <x:v>34</x:v>
      </x:c>
      <x:c r="N830" s="71" t="n">
        <x:v>-18644906</x:v>
      </x:c>
      <x:c r="O830" s="72" t="n">
        <x:f aca="0">N830/1000</x:f>
        <x:v>-18644.906</x:v>
      </x:c>
      <x:c r="P830" s="73" t="n">
        <x:f aca="0">LUCK!F121</x:f>
        <x:v>-18644.906</x:v>
      </x:c>
      <x:c r="Q830" s="70" t="str">
        <x:f aca="0">IF(ABS(O830-P830)&lt;0.000001,"PASS","FAIL")</x:f>
        <x:v>PASS</x:v>
      </x:c>
      <x:c r="R830" s="70" t="s">
        <x:v>33</x:v>
      </x:c>
      <x:c r="S830" s="70"/>
    </x:row>
    <x:row r="831" ht="15" hidden="0">
      <x:c r="A831" s="70" t="s">
        <x:v>1687</x:v>
      </x:c>
      <x:c r="B831" s="70" t="s">
        <x:v>30</x:v>
      </x:c>
      <x:c r="C831" s="70" t="s">
        <x:v>104</x:v>
      </x:c>
      <x:c r="D831" s="70" t="s">
        <x:v>295</x:v>
      </x:c>
      <x:c r="E831" s="70" t="s">
        <x:v>1203</x:v>
      </x:c>
      <x:c r="F831" s="70" t="s">
        <x:v>1688</x:v>
      </x:c>
      <x:c r="G831" s="70" t="s">
        <x:v>1310</x:v>
      </x:c>
      <x:c r="H831" s="70" t="s">
        <x:v>849</x:v>
      </x:c>
      <x:c r="I831" s="70" t="s">
        <x:v>833</x:v>
      </x:c>
      <x:c r="J831" s="70" t="n">
        <x:v>243</x:v>
      </x:c>
      <x:c r="K831" s="70" t="s">
        <x:v>834</x:v>
      </x:c>
      <x:c r="L831" s="70"/>
      <x:c r="M831" s="70" t="s">
        <x:v>34</x:v>
      </x:c>
      <x:c r="N831" s="71" t="n">
        <x:v>-17709902</x:v>
      </x:c>
      <x:c r="O831" s="72" t="n">
        <x:f aca="0">N831/1000</x:f>
        <x:v>-17709.902</x:v>
      </x:c>
      <x:c r="P831" s="73" t="n">
        <x:f aca="0">LUCK!G121</x:f>
        <x:v>-17709.902</x:v>
      </x:c>
      <x:c r="Q831" s="70" t="str">
        <x:f aca="0">IF(ABS(O831-P831)&lt;0.000001,"PASS","FAIL")</x:f>
        <x:v>PASS</x:v>
      </x:c>
      <x:c r="R831" s="70" t="s">
        <x:v>33</x:v>
      </x:c>
      <x:c r="S831" s="70"/>
    </x:row>
    <x:row r="832" ht="15" hidden="0">
      <x:c r="A832" s="70" t="s">
        <x:v>1689</x:v>
      </x:c>
      <x:c r="B832" s="70" t="s">
        <x:v>30</x:v>
      </x:c>
      <x:c r="C832" s="70" t="s">
        <x:v>105</x:v>
      </x:c>
      <x:c r="D832" s="70" t="s">
        <x:v>295</x:v>
      </x:c>
      <x:c r="E832" s="70" t="s">
        <x:v>1203</x:v>
      </x:c>
      <x:c r="F832" s="70" t="s">
        <x:v>1688</x:v>
      </x:c>
      <x:c r="G832" s="70" t="s">
        <x:v>1310</x:v>
      </x:c>
      <x:c r="H832" s="70" t="s">
        <x:v>849</x:v>
      </x:c>
      <x:c r="I832" s="70" t="s">
        <x:v>852</x:v>
      </x:c>
      <x:c r="J832" s="70" t="n">
        <x:v>243</x:v>
      </x:c>
      <x:c r="K832" s="70" t="s">
        <x:v>834</x:v>
      </x:c>
      <x:c r="L832" s="70"/>
      <x:c r="M832" s="70" t="s">
        <x:v>34</x:v>
      </x:c>
      <x:c r="N832" s="71" t="n">
        <x:v>-7048725</x:v>
      </x:c>
      <x:c r="O832" s="72" t="n">
        <x:f aca="0">N832/1000</x:f>
        <x:v>-7048.725</x:v>
      </x:c>
      <x:c r="P832" s="73" t="n">
        <x:f aca="0">LUCK!H121</x:f>
        <x:v>-7048.725</x:v>
      </x:c>
      <x:c r="Q832" s="70" t="str">
        <x:f aca="0">IF(ABS(O832-P832)&lt;0.000001,"PASS","FAIL")</x:f>
        <x:v>PASS</x:v>
      </x:c>
      <x:c r="R832" s="70" t="s">
        <x:v>33</x:v>
      </x:c>
      <x:c r="S832" s="70"/>
    </x:row>
    <x:row r="833" ht="15" hidden="0">
      <x:c r="A833" s="70" t="s">
        <x:v>1690</x:v>
      </x:c>
      <x:c r="B833" s="70" t="s">
        <x:v>30</x:v>
      </x:c>
      <x:c r="C833" s="70" t="s">
        <x:v>101</x:v>
      </x:c>
      <x:c r="D833" s="70" t="s">
        <x:v>297</x:v>
      </x:c>
      <x:c r="E833" s="70" t="s">
        <x:v>1203</x:v>
      </x:c>
      <x:c r="F833" s="70" t="s">
        <x:v>1242</x:v>
      </x:c>
      <x:c r="G833" s="70" t="s">
        <x:v>1301</x:v>
      </x:c>
      <x:c r="H833" s="70" t="s">
        <x:v>838</x:v>
      </x:c>
      <x:c r="I833" s="70" t="s">
        <x:v>833</x:v>
      </x:c>
      <x:c r="J833" s="70" t="n">
        <x:v>229</x:v>
      </x:c>
      <x:c r="K833" s="70" t="s">
        <x:v>1659</x:v>
      </x:c>
      <x:c r="L833" s="70"/>
      <x:c r="M833" s="70" t="s">
        <x:v>34</x:v>
      </x:c>
      <x:c r="N833" s="71" t="n">
        <x:v>-5762325</x:v>
      </x:c>
      <x:c r="O833" s="72" t="n">
        <x:f aca="0">N833/1000</x:f>
        <x:v>-5762.325</x:v>
      </x:c>
      <x:c r="P833" s="73" t="n">
        <x:f aca="0">LUCK!D122</x:f>
        <x:v>-5762.325</x:v>
      </x:c>
      <x:c r="Q833" s="70" t="str">
        <x:f aca="0">IF(ABS(O833-P833)&lt;0.000001,"PASS","FAIL")</x:f>
        <x:v>PASS</x:v>
      </x:c>
      <x:c r="R833" s="70" t="s">
        <x:v>33</x:v>
      </x:c>
      <x:c r="S833" s="70"/>
    </x:row>
    <x:row r="834" ht="15" hidden="0">
      <x:c r="A834" s="70" t="s">
        <x:v>1691</x:v>
      </x:c>
      <x:c r="B834" s="70" t="s">
        <x:v>30</x:v>
      </x:c>
      <x:c r="C834" s="70" t="s">
        <x:v>102</x:v>
      </x:c>
      <x:c r="D834" s="70" t="s">
        <x:v>297</x:v>
      </x:c>
      <x:c r="E834" s="70" t="s">
        <x:v>1203</x:v>
      </x:c>
      <x:c r="F834" s="70" t="s">
        <x:v>1242</x:v>
      </x:c>
      <x:c r="G834" s="70" t="s">
        <x:v>1304</x:v>
      </x:c>
      <x:c r="H834" s="70" t="s">
        <x:v>842</x:v>
      </x:c>
      <x:c r="I834" s="70" t="s">
        <x:v>833</x:v>
      </x:c>
      <x:c r="J834" s="70" t="n">
        <x:v>237</x:v>
      </x:c>
      <x:c r="K834" s="70" t="s">
        <x:v>1315</x:v>
      </x:c>
      <x:c r="L834" s="70"/>
      <x:c r="M834" s="70" t="s">
        <x:v>34</x:v>
      </x:c>
      <x:c r="N834" s="71" t="n">
        <x:v>-24826255</x:v>
      </x:c>
      <x:c r="O834" s="72" t="n">
        <x:f aca="0">N834/1000</x:f>
        <x:v>-24826.255</x:v>
      </x:c>
      <x:c r="P834" s="73" t="n">
        <x:f aca="0">LUCK!E122</x:f>
        <x:v>-24826.255</x:v>
      </x:c>
      <x:c r="Q834" s="70" t="str">
        <x:f aca="0">IF(ABS(O834-P834)&lt;0.000001,"PASS","FAIL")</x:f>
        <x:v>PASS</x:v>
      </x:c>
      <x:c r="R834" s="70" t="s">
        <x:v>33</x:v>
      </x:c>
      <x:c r="S834" s="70"/>
    </x:row>
    <x:row r="835" ht="15" hidden="0">
      <x:c r="A835" s="70" t="s">
        <x:v>1692</x:v>
      </x:c>
      <x:c r="B835" s="70" t="s">
        <x:v>30</x:v>
      </x:c>
      <x:c r="C835" s="70" t="s">
        <x:v>103</x:v>
      </x:c>
      <x:c r="D835" s="70" t="s">
        <x:v>297</x:v>
      </x:c>
      <x:c r="E835" s="70" t="s">
        <x:v>1203</x:v>
      </x:c>
      <x:c r="F835" s="70" t="s">
        <x:v>1242</x:v>
      </x:c>
      <x:c r="G835" s="70" t="s">
        <x:v>1307</x:v>
      </x:c>
      <x:c r="H835" s="70" t="s">
        <x:v>845</x:v>
      </x:c>
      <x:c r="I835" s="70" t="s">
        <x:v>833</x:v>
      </x:c>
      <x:c r="J835" s="70" t="n">
        <x:v>241</x:v>
      </x:c>
      <x:c r="K835" s="70" t="s">
        <x:v>1662</x:v>
      </x:c>
      <x:c r="L835" s="70"/>
      <x:c r="M835" s="70" t="s">
        <x:v>34</x:v>
      </x:c>
      <x:c r="N835" s="71" t="n">
        <x:v>-12978915</x:v>
      </x:c>
      <x:c r="O835" s="72" t="n">
        <x:f aca="0">N835/1000</x:f>
        <x:v>-12978.915</x:v>
      </x:c>
      <x:c r="P835" s="73" t="n">
        <x:f aca="0">LUCK!F122</x:f>
        <x:v>-12978.915</x:v>
      </x:c>
      <x:c r="Q835" s="70" t="str">
        <x:f aca="0">IF(ABS(O835-P835)&lt;0.000001,"PASS","FAIL")</x:f>
        <x:v>PASS</x:v>
      </x:c>
      <x:c r="R835" s="70" t="s">
        <x:v>33</x:v>
      </x:c>
      <x:c r="S835" s="70"/>
    </x:row>
    <x:row r="836" ht="15" hidden="0">
      <x:c r="A836" s="70" t="s">
        <x:v>1693</x:v>
      </x:c>
      <x:c r="B836" s="70" t="s">
        <x:v>30</x:v>
      </x:c>
      <x:c r="C836" s="70" t="s">
        <x:v>104</x:v>
      </x:c>
      <x:c r="D836" s="70" t="s">
        <x:v>297</x:v>
      </x:c>
      <x:c r="E836" s="70" t="s">
        <x:v>1203</x:v>
      </x:c>
      <x:c r="F836" s="70" t="s">
        <x:v>1694</x:v>
      </x:c>
      <x:c r="G836" s="70" t="s">
        <x:v>1310</x:v>
      </x:c>
      <x:c r="H836" s="70" t="s">
        <x:v>849</x:v>
      </x:c>
      <x:c r="I836" s="70" t="s">
        <x:v>833</x:v>
      </x:c>
      <x:c r="J836" s="70" t="n">
        <x:v>243</x:v>
      </x:c>
      <x:c r="K836" s="70" t="s">
        <x:v>834</x:v>
      </x:c>
      <x:c r="L836" s="70"/>
      <x:c r="M836" s="70" t="s">
        <x:v>34</x:v>
      </x:c>
      <x:c r="N836" s="71" t="n">
        <x:v>-2580021</x:v>
      </x:c>
      <x:c r="O836" s="72" t="n">
        <x:f aca="0">N836/1000</x:f>
        <x:v>-2580.021</x:v>
      </x:c>
      <x:c r="P836" s="73" t="n">
        <x:f aca="0">LUCK!G122</x:f>
        <x:v>-2580.021</x:v>
      </x:c>
      <x:c r="Q836" s="70" t="str">
        <x:f aca="0">IF(ABS(O836-P836)&lt;0.000001,"PASS","FAIL")</x:f>
        <x:v>PASS</x:v>
      </x:c>
      <x:c r="R836" s="70" t="s">
        <x:v>33</x:v>
      </x:c>
      <x:c r="S836" s="70"/>
    </x:row>
    <x:row r="837" ht="15" hidden="0">
      <x:c r="A837" s="70" t="s">
        <x:v>1695</x:v>
      </x:c>
      <x:c r="B837" s="70" t="s">
        <x:v>30</x:v>
      </x:c>
      <x:c r="C837" s="70" t="s">
        <x:v>105</x:v>
      </x:c>
      <x:c r="D837" s="70" t="s">
        <x:v>297</x:v>
      </x:c>
      <x:c r="E837" s="70" t="s">
        <x:v>1203</x:v>
      </x:c>
      <x:c r="F837" s="70" t="s">
        <x:v>1694</x:v>
      </x:c>
      <x:c r="G837" s="70" t="s">
        <x:v>1310</x:v>
      </x:c>
      <x:c r="H837" s="70" t="s">
        <x:v>849</x:v>
      </x:c>
      <x:c r="I837" s="70" t="s">
        <x:v>852</x:v>
      </x:c>
      <x:c r="J837" s="70" t="n">
        <x:v>243</x:v>
      </x:c>
      <x:c r="K837" s="70" t="s">
        <x:v>834</x:v>
      </x:c>
      <x:c r="L837" s="70"/>
      <x:c r="M837" s="70" t="s">
        <x:v>34</x:v>
      </x:c>
      <x:c r="N837" s="71" t="n">
        <x:v>11714661</x:v>
      </x:c>
      <x:c r="O837" s="72" t="n">
        <x:f aca="0">N837/1000</x:f>
        <x:v>11714.661</x:v>
      </x:c>
      <x:c r="P837" s="73" t="n">
        <x:f aca="0">LUCK!H122</x:f>
        <x:v>11714.661</x:v>
      </x:c>
      <x:c r="Q837" s="70" t="str">
        <x:f aca="0">IF(ABS(O837-P837)&lt;0.000001,"PASS","FAIL")</x:f>
        <x:v>PASS</x:v>
      </x:c>
      <x:c r="R837" s="70" t="s">
        <x:v>33</x:v>
      </x:c>
      <x:c r="S837" s="70"/>
    </x:row>
    <x:row r="838" ht="15" hidden="0">
      <x:c r="A838" s="70" t="s">
        <x:v>1696</x:v>
      </x:c>
      <x:c r="B838" s="70" t="s">
        <x:v>30</x:v>
      </x:c>
      <x:c r="C838" s="70" t="s">
        <x:v>101</x:v>
      </x:c>
      <x:c r="D838" s="70" t="s">
        <x:v>299</x:v>
      </x:c>
      <x:c r="E838" s="70" t="s">
        <x:v>1203</x:v>
      </x:c>
      <x:c r="F838" s="70" t="s">
        <x:v>1697</x:v>
      </x:c>
      <x:c r="G838" s="70" t="s">
        <x:v>1301</x:v>
      </x:c>
      <x:c r="H838" s="70" t="s">
        <x:v>838</x:v>
      </x:c>
      <x:c r="I838" s="70" t="s">
        <x:v>833</x:v>
      </x:c>
      <x:c r="J838" s="70" t="n">
        <x:v>229</x:v>
      </x:c>
      <x:c r="K838" s="70" t="s">
        <x:v>1659</x:v>
      </x:c>
      <x:c r="L838" s="70"/>
      <x:c r="M838" s="70" t="s">
        <x:v>34</x:v>
      </x:c>
      <x:c r="N838" s="71" t="n">
        <x:v>4022095</x:v>
      </x:c>
      <x:c r="O838" s="72" t="n">
        <x:f aca="0">N838/1000</x:f>
        <x:v>4022.095</x:v>
      </x:c>
      <x:c r="P838" s="73" t="n">
        <x:f aca="0">LUCK!D123</x:f>
        <x:v>4022.095</x:v>
      </x:c>
      <x:c r="Q838" s="70" t="str">
        <x:f aca="0">IF(ABS(O838-P838)&lt;0.000001,"PASS","FAIL")</x:f>
        <x:v>PASS</x:v>
      </x:c>
      <x:c r="R838" s="70" t="s">
        <x:v>33</x:v>
      </x:c>
      <x:c r="S838" s="70"/>
    </x:row>
    <x:row r="839" ht="15" hidden="0">
      <x:c r="A839" s="70" t="s">
        <x:v>1698</x:v>
      </x:c>
      <x:c r="B839" s="70" t="s">
        <x:v>30</x:v>
      </x:c>
      <x:c r="C839" s="70" t="s">
        <x:v>102</x:v>
      </x:c>
      <x:c r="D839" s="70" t="s">
        <x:v>299</x:v>
      </x:c>
      <x:c r="E839" s="70" t="s">
        <x:v>1203</x:v>
      </x:c>
      <x:c r="F839" s="70" t="s">
        <x:v>1697</x:v>
      </x:c>
      <x:c r="G839" s="70" t="s">
        <x:v>1304</x:v>
      </x:c>
      <x:c r="H839" s="70" t="s">
        <x:v>842</x:v>
      </x:c>
      <x:c r="I839" s="70" t="s">
        <x:v>833</x:v>
      </x:c>
      <x:c r="J839" s="70" t="n">
        <x:v>237</x:v>
      </x:c>
      <x:c r="K839" s="70" t="s">
        <x:v>1315</x:v>
      </x:c>
      <x:c r="L839" s="70"/>
      <x:c r="M839" s="70" t="s">
        <x:v>34</x:v>
      </x:c>
      <x:c r="N839" s="71" t="n">
        <x:v>6158783</x:v>
      </x:c>
      <x:c r="O839" s="72" t="n">
        <x:f aca="0">N839/1000</x:f>
        <x:v>6158.783</x:v>
      </x:c>
      <x:c r="P839" s="73" t="n">
        <x:f aca="0">LUCK!E123</x:f>
        <x:v>6158.783</x:v>
      </x:c>
      <x:c r="Q839" s="70" t="str">
        <x:f aca="0">IF(ABS(O839-P839)&lt;0.000001,"PASS","FAIL")</x:f>
        <x:v>PASS</x:v>
      </x:c>
      <x:c r="R839" s="70" t="s">
        <x:v>33</x:v>
      </x:c>
      <x:c r="S839" s="70" t="s">
        <x:v>839</x:v>
      </x:c>
    </x:row>
    <x:row r="840" ht="15" hidden="0">
      <x:c r="A840" s="70" t="s">
        <x:v>1699</x:v>
      </x:c>
      <x:c r="B840" s="70" t="s">
        <x:v>30</x:v>
      </x:c>
      <x:c r="C840" s="70" t="s">
        <x:v>103</x:v>
      </x:c>
      <x:c r="D840" s="70" t="s">
        <x:v>299</x:v>
      </x:c>
      <x:c r="E840" s="70" t="s">
        <x:v>1203</x:v>
      </x:c>
      <x:c r="F840" s="70" t="s">
        <x:v>1700</x:v>
      </x:c>
      <x:c r="G840" s="70" t="s">
        <x:v>1307</x:v>
      </x:c>
      <x:c r="H840" s="70" t="s">
        <x:v>845</x:v>
      </x:c>
      <x:c r="I840" s="70" t="s">
        <x:v>833</x:v>
      </x:c>
      <x:c r="J840" s="70" t="n">
        <x:v>241</x:v>
      </x:c>
      <x:c r="K840" s="70" t="s">
        <x:v>1662</x:v>
      </x:c>
      <x:c r="L840" s="70"/>
      <x:c r="M840" s="70" t="s">
        <x:v>34</x:v>
      </x:c>
      <x:c r="N840" s="71" t="n">
        <x:v>244582</x:v>
      </x:c>
      <x:c r="O840" s="72" t="n">
        <x:f aca="0">N840/1000</x:f>
        <x:v>244.582</x:v>
      </x:c>
      <x:c r="P840" s="73" t="n">
        <x:f aca="0">LUCK!F123</x:f>
        <x:v>244.582</x:v>
      </x:c>
      <x:c r="Q840" s="70" t="str">
        <x:f aca="0">IF(ABS(O840-P840)&lt;0.000001,"PASS","FAIL")</x:f>
        <x:v>PASS</x:v>
      </x:c>
      <x:c r="R840" s="70" t="s">
        <x:v>33</x:v>
      </x:c>
      <x:c r="S840" s="70"/>
    </x:row>
    <x:row r="841" ht="15" hidden="0">
      <x:c r="A841" s="70" t="s">
        <x:v>1701</x:v>
      </x:c>
      <x:c r="B841" s="70" t="s">
        <x:v>30</x:v>
      </x:c>
      <x:c r="C841" s="70" t="s">
        <x:v>104</x:v>
      </x:c>
      <x:c r="D841" s="70" t="s">
        <x:v>299</x:v>
      </x:c>
      <x:c r="E841" s="70" t="s">
        <x:v>1203</x:v>
      </x:c>
      <x:c r="F841" s="70" t="s">
        <x:v>1248</x:v>
      </x:c>
      <x:c r="G841" s="70" t="s">
        <x:v>1310</x:v>
      </x:c>
      <x:c r="H841" s="70" t="s">
        <x:v>849</x:v>
      </x:c>
      <x:c r="I841" s="70" t="s">
        <x:v>833</x:v>
      </x:c>
      <x:c r="J841" s="70" t="n">
        <x:v>243</x:v>
      </x:c>
      <x:c r="K841" s="70" t="s">
        <x:v>834</x:v>
      </x:c>
      <x:c r="L841" s="70"/>
      <x:c r="M841" s="70" t="s">
        <x:v>34</x:v>
      </x:c>
      <x:c r="N841" s="71" t="n">
        <x:v>-18620168</x:v>
      </x:c>
      <x:c r="O841" s="72" t="n">
        <x:f aca="0">N841/1000</x:f>
        <x:v>-18620.168</x:v>
      </x:c>
      <x:c r="P841" s="73" t="n">
        <x:f aca="0">LUCK!G123</x:f>
        <x:v>-18620.168</x:v>
      </x:c>
      <x:c r="Q841" s="70" t="str">
        <x:f aca="0">IF(ABS(O841-P841)&lt;0.000001,"PASS","FAIL")</x:f>
        <x:v>PASS</x:v>
      </x:c>
      <x:c r="R841" s="70" t="s">
        <x:v>33</x:v>
      </x:c>
      <x:c r="S841" s="70"/>
    </x:row>
    <x:row r="842" ht="15" hidden="0">
      <x:c r="A842" s="70" t="s">
        <x:v>1702</x:v>
      </x:c>
      <x:c r="B842" s="70" t="s">
        <x:v>30</x:v>
      </x:c>
      <x:c r="C842" s="70" t="s">
        <x:v>105</x:v>
      </x:c>
      <x:c r="D842" s="70" t="s">
        <x:v>299</x:v>
      </x:c>
      <x:c r="E842" s="70" t="s">
        <x:v>1203</x:v>
      </x:c>
      <x:c r="F842" s="70" t="s">
        <x:v>1248</x:v>
      </x:c>
      <x:c r="G842" s="70" t="s">
        <x:v>1310</x:v>
      </x:c>
      <x:c r="H842" s="70" t="s">
        <x:v>849</x:v>
      </x:c>
      <x:c r="I842" s="70" t="s">
        <x:v>852</x:v>
      </x:c>
      <x:c r="J842" s="70" t="n">
        <x:v>243</x:v>
      </x:c>
      <x:c r="K842" s="70" t="s">
        <x:v>834</x:v>
      </x:c>
      <x:c r="L842" s="70"/>
      <x:c r="M842" s="70" t="s">
        <x:v>34</x:v>
      </x:c>
      <x:c r="N842" s="71" t="n">
        <x:v>-7580984</x:v>
      </x:c>
      <x:c r="O842" s="72" t="n">
        <x:f aca="0">N842/1000</x:f>
        <x:v>-7580.984</x:v>
      </x:c>
      <x:c r="P842" s="73" t="n">
        <x:f aca="0">LUCK!H123</x:f>
        <x:v>-7580.984</x:v>
      </x:c>
      <x:c r="Q842" s="70" t="str">
        <x:f aca="0">IF(ABS(O842-P842)&lt;0.000001,"PASS","FAIL")</x:f>
        <x:v>PASS</x:v>
      </x:c>
      <x:c r="R842" s="70" t="s">
        <x:v>33</x:v>
      </x:c>
      <x:c r="S842" s="70"/>
    </x:row>
    <x:row r="843" ht="15" hidden="0">
      <x:c r="A843" s="70" t="s">
        <x:v>1703</x:v>
      </x:c>
      <x:c r="B843" s="70" t="s">
        <x:v>30</x:v>
      </x:c>
      <x:c r="C843" s="70" t="s">
        <x:v>101</x:v>
      </x:c>
      <x:c r="D843" s="70" t="s">
        <x:v>301</x:v>
      </x:c>
      <x:c r="E843" s="70" t="s">
        <x:v>1203</x:v>
      </x:c>
      <x:c r="F843" s="70" t="s">
        <x:v>301</x:v>
      </x:c>
      <x:c r="G843" s="70" t="s">
        <x:v>1301</x:v>
      </x:c>
      <x:c r="H843" s="70" t="s">
        <x:v>838</x:v>
      </x:c>
      <x:c r="I843" s="70" t="s">
        <x:v>833</x:v>
      </x:c>
      <x:c r="J843" s="70" t="n">
        <x:v>229</x:v>
      </x:c>
      <x:c r="K843" s="70" t="s">
        <x:v>1659</x:v>
      </x:c>
      <x:c r="L843" s="70"/>
      <x:c r="M843" s="70" t="s">
        <x:v>34</x:v>
      </x:c>
      <x:c r="N843" s="71" t="n">
        <x:v>-19889</x:v>
      </x:c>
      <x:c r="O843" s="72" t="n">
        <x:f aca="0">N843/1000</x:f>
        <x:v>-19.889</x:v>
      </x:c>
      <x:c r="P843" s="73" t="n">
        <x:f aca="0">LUCK!D124</x:f>
        <x:v>-19.889</x:v>
      </x:c>
      <x:c r="Q843" s="70" t="str">
        <x:f aca="0">IF(ABS(O843-P843)&lt;0.000001,"PASS","FAIL")</x:f>
        <x:v>PASS</x:v>
      </x:c>
      <x:c r="R843" s="70" t="s">
        <x:v>33</x:v>
      </x:c>
      <x:c r="S843" s="70"/>
    </x:row>
    <x:row r="844" ht="15" hidden="0">
      <x:c r="A844" s="70" t="s">
        <x:v>1704</x:v>
      </x:c>
      <x:c r="B844" s="70" t="s">
        <x:v>30</x:v>
      </x:c>
      <x:c r="C844" s="70" t="s">
        <x:v>102</x:v>
      </x:c>
      <x:c r="D844" s="70" t="s">
        <x:v>301</x:v>
      </x:c>
      <x:c r="E844" s="70" t="s">
        <x:v>1203</x:v>
      </x:c>
      <x:c r="F844" s="70" t="s">
        <x:v>301</x:v>
      </x:c>
      <x:c r="G844" s="70" t="s">
        <x:v>1304</x:v>
      </x:c>
      <x:c r="H844" s="70" t="s">
        <x:v>842</x:v>
      </x:c>
      <x:c r="I844" s="70" t="s">
        <x:v>833</x:v>
      </x:c>
      <x:c r="J844" s="70" t="n">
        <x:v>237</x:v>
      </x:c>
      <x:c r="K844" s="70" t="s">
        <x:v>1315</x:v>
      </x:c>
      <x:c r="L844" s="70"/>
      <x:c r="M844" s="70" t="s">
        <x:v>34</x:v>
      </x:c>
      <x:c r="N844" s="71" t="n">
        <x:v>-2428</x:v>
      </x:c>
      <x:c r="O844" s="72" t="n">
        <x:f aca="0">N844/1000</x:f>
        <x:v>-2.428</x:v>
      </x:c>
      <x:c r="P844" s="73" t="n">
        <x:f aca="0">LUCK!E124</x:f>
        <x:v>-2.428</x:v>
      </x:c>
      <x:c r="Q844" s="70" t="str">
        <x:f aca="0">IF(ABS(O844-P844)&lt;0.000001,"PASS","FAIL")</x:f>
        <x:v>PASS</x:v>
      </x:c>
      <x:c r="R844" s="70" t="s">
        <x:v>33</x:v>
      </x:c>
      <x:c r="S844" s="70"/>
    </x:row>
    <x:row r="845" ht="15" hidden="0">
      <x:c r="A845" s="70" t="s">
        <x:v>1705</x:v>
      </x:c>
      <x:c r="B845" s="70" t="s">
        <x:v>30</x:v>
      </x:c>
      <x:c r="C845" s="70" t="s">
        <x:v>103</x:v>
      </x:c>
      <x:c r="D845" s="70" t="s">
        <x:v>301</x:v>
      </x:c>
      <x:c r="E845" s="70" t="s">
        <x:v>1203</x:v>
      </x:c>
      <x:c r="F845" s="70" t="s">
        <x:v>301</x:v>
      </x:c>
      <x:c r="G845" s="70" t="s">
        <x:v>1307</x:v>
      </x:c>
      <x:c r="H845" s="70" t="s">
        <x:v>845</x:v>
      </x:c>
      <x:c r="I845" s="70" t="s">
        <x:v>833</x:v>
      </x:c>
      <x:c r="J845" s="70" t="n">
        <x:v>241</x:v>
      </x:c>
      <x:c r="K845" s="70" t="s">
        <x:v>1662</x:v>
      </x:c>
      <x:c r="L845" s="70"/>
      <x:c r="M845" s="70" t="s">
        <x:v>34</x:v>
      </x:c>
      <x:c r="N845" s="71" t="n">
        <x:v>-915</x:v>
      </x:c>
      <x:c r="O845" s="72" t="n">
        <x:f aca="0">N845/1000</x:f>
        <x:v>-0.915</x:v>
      </x:c>
      <x:c r="P845" s="73" t="n">
        <x:f aca="0">LUCK!F124</x:f>
        <x:v>-0.915</x:v>
      </x:c>
      <x:c r="Q845" s="70" t="str">
        <x:f aca="0">IF(ABS(O845-P845)&lt;0.000001,"PASS","FAIL")</x:f>
        <x:v>PASS</x:v>
      </x:c>
      <x:c r="R845" s="70" t="s">
        <x:v>33</x:v>
      </x:c>
      <x:c r="S845" s="70"/>
    </x:row>
    <x:row r="846" ht="15" hidden="0">
      <x:c r="A846" s="70" t="s">
        <x:v>1706</x:v>
      </x:c>
      <x:c r="B846" s="70" t="s">
        <x:v>30</x:v>
      </x:c>
      <x:c r="C846" s="70" t="s">
        <x:v>104</x:v>
      </x:c>
      <x:c r="D846" s="70" t="s">
        <x:v>301</x:v>
      </x:c>
      <x:c r="E846" s="70" t="s">
        <x:v>1203</x:v>
      </x:c>
      <x:c r="F846" s="70" t="s">
        <x:v>301</x:v>
      </x:c>
      <x:c r="G846" s="70" t="s">
        <x:v>1310</x:v>
      </x:c>
      <x:c r="H846" s="70" t="s">
        <x:v>849</x:v>
      </x:c>
      <x:c r="I846" s="70" t="s">
        <x:v>833</x:v>
      </x:c>
      <x:c r="J846" s="70" t="n">
        <x:v>243</x:v>
      </x:c>
      <x:c r="K846" s="70" t="s">
        <x:v>834</x:v>
      </x:c>
      <x:c r="L846" s="70"/>
      <x:c r="M846" s="70" t="s">
        <x:v>34</x:v>
      </x:c>
      <x:c r="N846" s="71" t="n">
        <x:v>-5443084</x:v>
      </x:c>
      <x:c r="O846" s="72" t="n">
        <x:f aca="0">N846/1000</x:f>
        <x:v>-5443.084</x:v>
      </x:c>
      <x:c r="P846" s="73" t="n">
        <x:f aca="0">LUCK!G124</x:f>
        <x:v>-5443.084</x:v>
      </x:c>
      <x:c r="Q846" s="70" t="str">
        <x:f aca="0">IF(ABS(O846-P846)&lt;0.000001,"PASS","FAIL")</x:f>
        <x:v>PASS</x:v>
      </x:c>
      <x:c r="R846" s="70" t="s">
        <x:v>33</x:v>
      </x:c>
      <x:c r="S846" s="70"/>
    </x:row>
    <x:row r="847" ht="15" hidden="0">
      <x:c r="A847" s="70" t="s">
        <x:v>1707</x:v>
      </x:c>
      <x:c r="B847" s="70" t="s">
        <x:v>30</x:v>
      </x:c>
      <x:c r="C847" s="70" t="s">
        <x:v>105</x:v>
      </x:c>
      <x:c r="D847" s="70" t="s">
        <x:v>301</x:v>
      </x:c>
      <x:c r="E847" s="70" t="s">
        <x:v>1203</x:v>
      </x:c>
      <x:c r="F847" s="70" t="s">
        <x:v>301</x:v>
      </x:c>
      <x:c r="G847" s="70" t="s">
        <x:v>1310</x:v>
      </x:c>
      <x:c r="H847" s="70" t="s">
        <x:v>849</x:v>
      </x:c>
      <x:c r="I847" s="70" t="s">
        <x:v>852</x:v>
      </x:c>
      <x:c r="J847" s="70" t="n">
        <x:v>243</x:v>
      </x:c>
      <x:c r="K847" s="70" t="s">
        <x:v>834</x:v>
      </x:c>
      <x:c r="L847" s="70"/>
      <x:c r="M847" s="70" t="s">
        <x:v>34</x:v>
      </x:c>
      <x:c r="N847" s="71" t="n">
        <x:v>-4388403</x:v>
      </x:c>
      <x:c r="O847" s="72" t="n">
        <x:f aca="0">N847/1000</x:f>
        <x:v>-4388.403</x:v>
      </x:c>
      <x:c r="P847" s="73" t="n">
        <x:f aca="0">LUCK!H124</x:f>
        <x:v>-4388.403</x:v>
      </x:c>
      <x:c r="Q847" s="70" t="str">
        <x:f aca="0">IF(ABS(O847-P847)&lt;0.000001,"PASS","FAIL")</x:f>
        <x:v>PASS</x:v>
      </x:c>
      <x:c r="R847" s="70" t="s">
        <x:v>33</x:v>
      </x:c>
      <x:c r="S847" s="70"/>
    </x:row>
    <x:row r="848" ht="15" hidden="0">
      <x:c r="A848" s="70" t="s">
        <x:v>1708</x:v>
      </x:c>
      <x:c r="B848" s="70" t="s">
        <x:v>30</x:v>
      </x:c>
      <x:c r="C848" s="70" t="s">
        <x:v>101</x:v>
      </x:c>
      <x:c r="D848" s="70" t="s">
        <x:v>304</x:v>
      </x:c>
      <x:c r="E848" s="70" t="s">
        <x:v>855</x:v>
      </x:c>
      <x:c r="F848" s="70" t="s">
        <x:v>1260</x:v>
      </x:c>
      <x:c r="G848" s="70" t="s">
        <x:v>1298</x:v>
      </x:c>
      <x:c r="H848" s="70" t="s">
        <x:v>832</x:v>
      </x:c>
      <x:c r="I848" s="70" t="s">
        <x:v>852</x:v>
      </x:c>
      <x:c r="J848" s="70" t="n">
        <x:v>222</x:v>
      </x:c>
      <x:c r="K848" s="70" t="s">
        <x:v>834</x:v>
      </x:c>
      <x:c r="L848" s="70"/>
      <x:c r="M848" s="70" t="s">
        <x:v>306</x:v>
      </x:c>
      <x:c r="N848" s="70" t="n">
        <x:v>10</x:v>
      </x:c>
      <x:c r="O848" s="70" t="n">
        <x:f aca="0">N848</x:f>
        <x:v>10</x:v>
      </x:c>
      <x:c r="P848" s="74" t="n">
        <x:f aca="0">LUCK!D127</x:f>
        <x:v>10</x:v>
      </x:c>
      <x:c r="Q848" s="70" t="str">
        <x:f aca="0">IF(ABS(O848-P848)&lt;0.000001,"PASS","FAIL")</x:f>
        <x:v>PASS</x:v>
      </x:c>
      <x:c r="R848" s="70" t="s">
        <x:v>33</x:v>
      </x:c>
      <x:c r="S848" s="70" t="str">
        <x:v>Verified FY-end share basis; see Share Basis and Corporate Actions for source excerpts and normalization. Original source metadata superseded where the basis changed.</x:v>
      </x:c>
    </x:row>
    <x:row r="849" ht="15" hidden="0">
      <x:c r="A849" s="70" t="s">
        <x:v>1709</x:v>
      </x:c>
      <x:c r="B849" s="70" t="s">
        <x:v>30</x:v>
      </x:c>
      <x:c r="C849" s="70" t="s">
        <x:v>102</x:v>
      </x:c>
      <x:c r="D849" s="70" t="s">
        <x:v>304</x:v>
      </x:c>
      <x:c r="E849" s="70" t="s">
        <x:v>855</x:v>
      </x:c>
      <x:c r="F849" s="70" t="s">
        <x:v>1260</x:v>
      </x:c>
      <x:c r="G849" s="70" t="s">
        <x:v>1301</x:v>
      </x:c>
      <x:c r="H849" s="70" t="s">
        <x:v>838</x:v>
      </x:c>
      <x:c r="I849" s="70" t="s">
        <x:v>852</x:v>
      </x:c>
      <x:c r="J849" s="70" t="n">
        <x:v>258</x:v>
      </x:c>
      <x:c r="K849" s="70" t="s">
        <x:v>1651</x:v>
      </x:c>
      <x:c r="L849" s="70"/>
      <x:c r="M849" s="70" t="s">
        <x:v>306</x:v>
      </x:c>
      <x:c r="N849" s="70" t="n">
        <x:v>10</x:v>
      </x:c>
      <x:c r="O849" s="70" t="n">
        <x:f aca="0">N849</x:f>
        <x:v>10</x:v>
      </x:c>
      <x:c r="P849" s="74" t="n">
        <x:f aca="0">LUCK!E127</x:f>
        <x:v>10</x:v>
      </x:c>
      <x:c r="Q849" s="70" t="str">
        <x:f aca="0">IF(ABS(O849-P849)&lt;0.000001,"PASS","FAIL")</x:f>
        <x:v>PASS</x:v>
      </x:c>
      <x:c r="R849" s="70" t="s">
        <x:v>33</x:v>
      </x:c>
      <x:c r="S849" s="70" t="str">
        <x:v>Verified FY-end share basis; see Share Basis and Corporate Actions for source excerpts and normalization. Original source metadata superseded where the basis changed.</x:v>
      </x:c>
    </x:row>
    <x:row r="850" ht="15" hidden="0">
      <x:c r="A850" s="70" t="s">
        <x:v>1710</x:v>
      </x:c>
      <x:c r="B850" s="70" t="s">
        <x:v>30</x:v>
      </x:c>
      <x:c r="C850" s="70" t="s">
        <x:v>103</x:v>
      </x:c>
      <x:c r="D850" s="70" t="s">
        <x:v>304</x:v>
      </x:c>
      <x:c r="E850" s="70" t="s">
        <x:v>855</x:v>
      </x:c>
      <x:c r="F850" s="70" t="s">
        <x:v>1260</x:v>
      </x:c>
      <x:c r="G850" s="70" t="s">
        <x:v>1304</x:v>
      </x:c>
      <x:c r="H850" s="70" t="s">
        <x:v>842</x:v>
      </x:c>
      <x:c r="I850" s="70" t="s">
        <x:v>852</x:v>
      </x:c>
      <x:c r="J850" s="70" t="n">
        <x:v>266</x:v>
      </x:c>
      <x:c r="K850" s="70" t="s">
        <x:v>1654</x:v>
      </x:c>
      <x:c r="L850" s="70"/>
      <x:c r="M850" s="70" t="s">
        <x:v>306</x:v>
      </x:c>
      <x:c r="N850" s="70" t="n">
        <x:v>10</x:v>
      </x:c>
      <x:c r="O850" s="70" t="n">
        <x:f aca="0">N850</x:f>
        <x:v>10</x:v>
      </x:c>
      <x:c r="P850" s="74" t="n">
        <x:f aca="0">LUCK!F127</x:f>
        <x:v>10</x:v>
      </x:c>
      <x:c r="Q850" s="70" t="str">
        <x:f aca="0">IF(ABS(O850-P850)&lt;0.000001,"PASS","FAIL")</x:f>
        <x:v>PASS</x:v>
      </x:c>
      <x:c r="R850" s="70" t="s">
        <x:v>33</x:v>
      </x:c>
      <x:c r="S850" s="70" t="str">
        <x:v>Verified FY-end share basis; see Share Basis and Corporate Actions for source excerpts and normalization. Original source metadata superseded where the basis changed.</x:v>
      </x:c>
    </x:row>
    <x:row r="851" ht="15" hidden="0">
      <x:c r="A851" s="70" t="s">
        <x:v>1711</x:v>
      </x:c>
      <x:c r="B851" s="70" t="s">
        <x:v>30</x:v>
      </x:c>
      <x:c r="C851" s="70" t="s">
        <x:v>104</x:v>
      </x:c>
      <x:c r="D851" s="70" t="s">
        <x:v>304</x:v>
      </x:c>
      <x:c r="E851" s="70" t="s">
        <x:v>855</x:v>
      </x:c>
      <x:c r="F851" s="70" t="s">
        <x:v>1260</x:v>
      </x:c>
      <x:c r="G851" s="70" t="s">
        <x:v>1307</x:v>
      </x:c>
      <x:c r="H851" s="70" t="s">
        <x:v>845</x:v>
      </x:c>
      <x:c r="I851" s="70" t="s">
        <x:v>852</x:v>
      </x:c>
      <x:c r="J851" s="70" t="n">
        <x:v>271</x:v>
      </x:c>
      <x:c r="K851" s="70" t="s">
        <x:v>1712</x:v>
      </x:c>
      <x:c r="L851" s="70"/>
      <x:c r="M851" s="70" t="s">
        <x:v>306</x:v>
      </x:c>
      <x:c r="N851" s="70" t="n">
        <x:v>10</x:v>
      </x:c>
      <x:c r="O851" s="70" t="n">
        <x:f aca="0">N851</x:f>
        <x:v>10</x:v>
      </x:c>
      <x:c r="P851" s="74" t="n">
        <x:f aca="0">LUCK!G127</x:f>
        <x:v>10</x:v>
      </x:c>
      <x:c r="Q851" s="70" t="str">
        <x:f aca="0">IF(ABS(O851-P851)&lt;0.000001,"PASS","FAIL")</x:f>
        <x:v>PASS</x:v>
      </x:c>
      <x:c r="R851" s="70" t="s">
        <x:v>33</x:v>
      </x:c>
      <x:c r="S851" s="70" t="str">
        <x:v>Verified FY-end share basis; see Share Basis and Corporate Actions for source excerpts and normalization. Original source metadata superseded where the basis changed.</x:v>
      </x:c>
    </x:row>
    <x:row r="852" ht="15" hidden="0">
      <x:c r="A852" s="70" t="s">
        <x:v>1713</x:v>
      </x:c>
      <x:c r="B852" s="70" t="s">
        <x:v>30</x:v>
      </x:c>
      <x:c r="C852" s="70" t="s">
        <x:v>105</x:v>
      </x:c>
      <x:c r="D852" s="70" t="s">
        <x:v>304</x:v>
      </x:c>
      <x:c r="E852" s="70" t="s">
        <x:v>855</x:v>
      </x:c>
      <x:c r="F852" s="70" t="s">
        <x:v>1260</x:v>
      </x:c>
      <x:c r="G852" s="70" t="s">
        <x:v>1310</x:v>
      </x:c>
      <x:c r="H852" s="70" t="s">
        <x:v>849</x:v>
      </x:c>
      <x:c r="I852" s="70" t="s">
        <x:v>852</x:v>
      </x:c>
      <x:c r="J852" s="70" t="n">
        <x:v>274</x:v>
      </x:c>
      <x:c r="K852" s="70" t="s">
        <x:v>1714</x:v>
      </x:c>
      <x:c r="L852" s="70"/>
      <x:c r="M852" s="70" t="s">
        <x:v>306</x:v>
      </x:c>
      <x:c r="N852" s="70" t="n">
        <x:v>2</x:v>
      </x:c>
      <x:c r="O852" s="70" t="n">
        <x:f aca="0">N852</x:f>
        <x:v>2</x:v>
      </x:c>
      <x:c r="P852" s="74" t="n">
        <x:f aca="0">LUCK!H127</x:f>
        <x:v>2</x:v>
      </x:c>
      <x:c r="Q852" s="70" t="str">
        <x:f aca="0">IF(ABS(O852-P852)&lt;0.000001,"PASS","FAIL")</x:f>
        <x:v>PASS</x:v>
      </x:c>
      <x:c r="R852" s="70" t="s">
        <x:v>33</x:v>
      </x:c>
      <x:c r="S852" s="70" t="str">
        <x:v>Verified FY-end share basis; see Share Basis and Corporate Actions for source excerpts and normalization. Original source metadata superseded where the basis changed.</x:v>
      </x:c>
    </x:row>
    <x:row r="853" ht="15" hidden="0">
      <x:c r="A853" s="70" t="s">
        <x:v>1715</x:v>
      </x:c>
      <x:c r="B853" s="70" t="s">
        <x:v>30</x:v>
      </x:c>
      <x:c r="C853" s="70" t="s">
        <x:v>101</x:v>
      </x:c>
      <x:c r="D853" s="70" t="s">
        <x:v>310</x:v>
      </x:c>
      <x:c r="E853" s="70" t="s">
        <x:v>855</x:v>
      </x:c>
      <x:c r="F853" s="70" t="s">
        <x:v>1267</x:v>
      </x:c>
      <x:c r="G853" s="70" t="str">
        <x:v>2021.pdf</x:v>
      </x:c>
      <x:c r="H853" s="70" t="s">
        <x:v>832</x:v>
      </x:c>
      <x:c r="I853" s="70" t="s">
        <x:v>852</x:v>
      </x:c>
      <x:c r="J853" s="70" t="n">
        <x:v>222</x:v>
      </x:c>
      <x:c r="K853" s="70" t="s">
        <x:v>834</x:v>
      </x:c>
      <x:c r="L853" s="70"/>
      <x:c r="M853" s="70" t="s">
        <x:v>309</x:v>
      </x:c>
      <x:c r="N853" s="70" t="n">
        <x:v>323.375</x:v>
      </x:c>
      <x:c r="O853" s="70" t="n">
        <x:f aca="0">N853</x:f>
        <x:v>323.375</x:v>
      </x:c>
      <x:c r="P853" s="72" t="n">
        <x:f aca="0">LUCK!D129</x:f>
        <x:v>323.375</x:v>
      </x:c>
      <x:c r="Q853" s="70" t="str">
        <x:f aca="0">IF(ABS(O853-P853)&lt;0.000001,"PASS","FAIL")</x:f>
        <x:v>PASS</x:v>
      </x:c>
      <x:c r="R853" s="70" t="s">
        <x:v>33</x:v>
      </x:c>
      <x:c r="S853" s="70" t="str">
        <x:v>Verified FY-end share basis; see Share Basis and Corporate Actions for source excerpts and normalization. Original source metadata superseded where the basis changed.</x:v>
      </x:c>
    </x:row>
    <x:row r="854" ht="15" hidden="0">
      <x:c r="A854" s="70" t="s">
        <x:v>1716</x:v>
      </x:c>
      <x:c r="B854" s="70" t="s">
        <x:v>30</x:v>
      </x:c>
      <x:c r="C854" s="70" t="s">
        <x:v>102</x:v>
      </x:c>
      <x:c r="D854" s="70" t="s">
        <x:v>310</x:v>
      </x:c>
      <x:c r="E854" s="70" t="s">
        <x:v>855</x:v>
      </x:c>
      <x:c r="F854" s="70" t="s">
        <x:v>1267</x:v>
      </x:c>
      <x:c r="G854" s="70" t="str">
        <x:v>2022.pdf</x:v>
      </x:c>
      <x:c r="H854" s="70" t="s">
        <x:v>838</x:v>
      </x:c>
      <x:c r="I854" s="70" t="s">
        <x:v>852</x:v>
      </x:c>
      <x:c r="J854" s="70" t="n">
        <x:v>258</x:v>
      </x:c>
      <x:c r="K854" s="70" t="s">
        <x:v>1651</x:v>
      </x:c>
      <x:c r="L854" s="70"/>
      <x:c r="M854" s="70" t="s">
        <x:v>309</x:v>
      </x:c>
      <x:c r="N854" s="70" t="n">
        <x:v>323.375</x:v>
      </x:c>
      <x:c r="O854" s="70" t="n">
        <x:f aca="0">N854</x:f>
        <x:v>323.375</x:v>
      </x:c>
      <x:c r="P854" s="72" t="n">
        <x:f aca="0">LUCK!E129</x:f>
        <x:v>323.375</x:v>
      </x:c>
      <x:c r="Q854" s="70" t="str">
        <x:f aca="0">IF(ABS(O854-P854)&lt;0.000001,"PASS","FAIL")</x:f>
        <x:v>PASS</x:v>
      </x:c>
      <x:c r="R854" s="70" t="s">
        <x:v>33</x:v>
      </x:c>
      <x:c r="S854" s="70" t="str">
        <x:v>Verified FY-end share basis; see Share Basis and Corporate Actions for source excerpts and normalization. Original source metadata superseded where the basis changed.</x:v>
      </x:c>
    </x:row>
    <x:row r="855" ht="15" hidden="0">
      <x:c r="A855" s="70" t="s">
        <x:v>1717</x:v>
      </x:c>
      <x:c r="B855" s="70" t="s">
        <x:v>30</x:v>
      </x:c>
      <x:c r="C855" s="70" t="s">
        <x:v>103</x:v>
      </x:c>
      <x:c r="D855" s="70" t="s">
        <x:v>310</x:v>
      </x:c>
      <x:c r="E855" s="70" t="s">
        <x:v>855</x:v>
      </x:c>
      <x:c r="F855" s="70" t="s">
        <x:v>1267</x:v>
      </x:c>
      <x:c r="G855" s="70" t="str">
        <x:v>2023.pdf</x:v>
      </x:c>
      <x:c r="H855" s="70" t="s">
        <x:v>842</x:v>
      </x:c>
      <x:c r="I855" s="70" t="s">
        <x:v>852</x:v>
      </x:c>
      <x:c r="J855" s="70" t="n">
        <x:v>266</x:v>
      </x:c>
      <x:c r="K855" s="70" t="s">
        <x:v>1654</x:v>
      </x:c>
      <x:c r="L855" s="70"/>
      <x:c r="M855" s="70" t="s">
        <x:v>309</x:v>
      </x:c>
      <x:c r="N855" s="70" t="n">
        <x:v>318.749</x:v>
      </x:c>
      <x:c r="O855" s="70" t="n">
        <x:f aca="0">N855</x:f>
        <x:v>318.749</x:v>
      </x:c>
      <x:c r="P855" s="72" t="n">
        <x:f aca="0">LUCK!F129</x:f>
        <x:v>318.749</x:v>
      </x:c>
      <x:c r="Q855" s="70" t="str">
        <x:f aca="0">IF(ABS(O855-P855)&lt;0.000001,"PASS","FAIL")</x:f>
        <x:v>PASS</x:v>
      </x:c>
      <x:c r="R855" s="70" t="s">
        <x:v>33</x:v>
      </x:c>
      <x:c r="S855" s="70" t="str">
        <x:v>Verified FY-end share basis; see Share Basis and Corporate Actions for source excerpts and normalization. Original source metadata superseded where the basis changed.</x:v>
      </x:c>
    </x:row>
    <x:row r="856" ht="15" hidden="0">
      <x:c r="A856" s="70" t="s">
        <x:v>1718</x:v>
      </x:c>
      <x:c r="B856" s="70" t="s">
        <x:v>30</x:v>
      </x:c>
      <x:c r="C856" s="70" t="s">
        <x:v>104</x:v>
      </x:c>
      <x:c r="D856" s="70" t="s">
        <x:v>310</x:v>
      </x:c>
      <x:c r="E856" s="70" t="s">
        <x:v>855</x:v>
      </x:c>
      <x:c r="F856" s="70" t="s">
        <x:v>1267</x:v>
      </x:c>
      <x:c r="G856" s="70" t="str">
        <x:v>2024.pdf</x:v>
      </x:c>
      <x:c r="H856" s="70" t="s">
        <x:v>845</x:v>
      </x:c>
      <x:c r="I856" s="70" t="s">
        <x:v>852</x:v>
      </x:c>
      <x:c r="J856" s="70" t="n">
        <x:v>271</x:v>
      </x:c>
      <x:c r="K856" s="70" t="s">
        <x:v>1712</x:v>
      </x:c>
      <x:c r="L856" s="70"/>
      <x:c r="M856" s="70" t="s">
        <x:v>309</x:v>
      </x:c>
      <x:c r="N856" s="70" t="n">
        <x:v>297.296</x:v>
      </x:c>
      <x:c r="O856" s="70" t="n">
        <x:f aca="0">N856</x:f>
        <x:v>297.296</x:v>
      </x:c>
      <x:c r="P856" s="72" t="n">
        <x:f aca="0">LUCK!G129</x:f>
        <x:v>297.296</x:v>
      </x:c>
      <x:c r="Q856" s="70" t="str">
        <x:f aca="0">IF(ABS(O856-P856)&lt;0.000001,"PASS","FAIL")</x:f>
        <x:v>PASS</x:v>
      </x:c>
      <x:c r="R856" s="70" t="s">
        <x:v>33</x:v>
      </x:c>
      <x:c r="S856" s="70" t="str">
        <x:v>Verified FY-end share basis; see Share Basis and Corporate Actions for source excerpts and normalization. Original source metadata superseded where the basis changed.</x:v>
      </x:c>
    </x:row>
    <x:row r="857" ht="15" hidden="0">
      <x:c r="A857" s="70" t="s">
        <x:v>1719</x:v>
      </x:c>
      <x:c r="B857" s="70" t="s">
        <x:v>30</x:v>
      </x:c>
      <x:c r="C857" s="70" t="s">
        <x:v>105</x:v>
      </x:c>
      <x:c r="D857" s="70" t="s">
        <x:v>310</x:v>
      </x:c>
      <x:c r="E857" s="70" t="s">
        <x:v>855</x:v>
      </x:c>
      <x:c r="F857" s="70" t="s">
        <x:v>1267</x:v>
      </x:c>
      <x:c r="G857" s="70" t="str">
        <x:v>2025.pdf</x:v>
      </x:c>
      <x:c r="H857" s="70" t="s">
        <x:v>849</x:v>
      </x:c>
      <x:c r="I857" s="70" t="s">
        <x:v>852</x:v>
      </x:c>
      <x:c r="J857" s="70" t="n">
        <x:v>274</x:v>
      </x:c>
      <x:c r="K857" s="70" t="s">
        <x:v>1714</x:v>
      </x:c>
      <x:c r="L857" s="70"/>
      <x:c r="M857" s="70" t="s">
        <x:v>309</x:v>
      </x:c>
      <x:c r="N857" s="70" t="n">
        <x:v>1465</x:v>
      </x:c>
      <x:c r="O857" s="70" t="n">
        <x:f aca="0">N857</x:f>
        <x:v>1465</x:v>
      </x:c>
      <x:c r="P857" s="72" t="n">
        <x:f aca="0">LUCK!H129</x:f>
        <x:v>1465</x:v>
      </x:c>
      <x:c r="Q857" s="70" t="str">
        <x:f aca="0">IF(ABS(O857-P857)&lt;0.000001,"PASS","FAIL")</x:f>
        <x:v>PASS</x:v>
      </x:c>
      <x:c r="R857" s="70" t="s">
        <x:v>33</x:v>
      </x:c>
      <x:c r="S857" s="70" t="str">
        <x:v>Verified FY-end share basis; see Share Basis and Corporate Actions for source excerpts and normalization. Original source metadata superseded where the basis changed.</x:v>
      </x:c>
    </x:row>
    <x:row r="858" ht="15" hidden="0">
      <x:c r="A858" s="70" t="s">
        <x:v>1720</x:v>
      </x:c>
      <x:c r="B858" s="70" t="s">
        <x:v>30</x:v>
      </x:c>
      <x:c r="C858" s="70" t="s">
        <x:v>101</x:v>
      </x:c>
      <x:c r="D858" s="70" t="str">
        <x:v>Actual FY-end closing price (Rs; unadjusted)</x:v>
      </x:c>
      <x:c r="E858" s="70" t="s">
        <x:v>855</x:v>
      </x:c>
      <x:c r="F858" s="70" t="str">
        <x:v>Official PSX historical CLOSE column</x:v>
      </x:c>
      <x:c r="G858" s="70" t="str">
        <x:v>PSX historical response; hash and raw row on Price Evidence</x:v>
      </x:c>
      <x:c r="H858" s="70" t="str">
        <x:v>https://dps.psx.com.pk/historical</x:v>
      </x:c>
      <x:c r="I858" s="70" t="str">
        <x:v>POST date=2021-06-30</x:v>
      </x:c>
      <x:c r="J858" s="70"/>
      <x:c r="K858" s="70"/>
      <x:c r="L858" s="70"/>
      <x:c r="M858" s="70" t="s">
        <x:v>306</x:v>
      </x:c>
      <x:c r="N858" s="70" t="n">
        <x:v>863.44</x:v>
      </x:c>
      <x:c r="O858" s="70" t="n">
        <x:f aca="0">N858</x:f>
        <x:v>863.44</x:v>
      </x:c>
      <x:c r="P858" s="74" t="n">
        <x:f aca="0">LUCK!D130</x:f>
        <x:v>863.44</x:v>
      </x:c>
      <x:c r="Q858" s="70" t="str">
        <x:f aca="0">IF(ABS(O858-P858)&lt;0.000001,"PASS","FAIL")</x:f>
        <x:v>PASS</x:v>
      </x:c>
      <x:c r="R858" s="70" t="s">
        <x:v>33</x:v>
      </x:c>
      <x:c r="S858" s="70" t="str">
        <x:v>Unadjusted traded close. No split factor applied to PSX price. Original report figure and date evidence preserved on PSX Prices / Price Evidence.</x:v>
      </x:c>
    </x:row>
    <x:row r="859" ht="15" hidden="0">
      <x:c r="A859" s="70" t="s">
        <x:v>1721</x:v>
      </x:c>
      <x:c r="B859" s="70" t="s">
        <x:v>30</x:v>
      </x:c>
      <x:c r="C859" s="70" t="s">
        <x:v>102</x:v>
      </x:c>
      <x:c r="D859" s="70" t="str">
        <x:v>Actual FY-end closing price (Rs; unadjusted)</x:v>
      </x:c>
      <x:c r="E859" s="70" t="s">
        <x:v>855</x:v>
      </x:c>
      <x:c r="F859" s="70" t="str">
        <x:v>Official PSX historical CLOSE column</x:v>
      </x:c>
      <x:c r="G859" s="70" t="str">
        <x:v>PSX historical response; hash and raw row on Price Evidence</x:v>
      </x:c>
      <x:c r="H859" s="70" t="str">
        <x:v>https://dps.psx.com.pk/historical</x:v>
      </x:c>
      <x:c r="I859" s="70" t="str">
        <x:v>POST date=2022-06-30</x:v>
      </x:c>
      <x:c r="J859" s="70"/>
      <x:c r="K859" s="70"/>
      <x:c r="L859" s="70"/>
      <x:c r="M859" s="70" t="s">
        <x:v>306</x:v>
      </x:c>
      <x:c r="N859" s="70" t="n">
        <x:v>459.04</x:v>
      </x:c>
      <x:c r="O859" s="70" t="n">
        <x:f aca="0">N859</x:f>
        <x:v>459.04</x:v>
      </x:c>
      <x:c r="P859" s="74" t="n">
        <x:f aca="0">LUCK!E130</x:f>
        <x:v>459.04</x:v>
      </x:c>
      <x:c r="Q859" s="70" t="str">
        <x:f aca="0">IF(ABS(O859-P859)&lt;0.000001,"PASS","FAIL")</x:f>
        <x:v>PASS</x:v>
      </x:c>
      <x:c r="R859" s="70" t="s">
        <x:v>33</x:v>
      </x:c>
      <x:c r="S859" s="70" t="str">
        <x:v>Unadjusted traded close. No split factor applied to PSX price. Original report figure and date evidence preserved on PSX Prices / Price Evidence.</x:v>
      </x:c>
    </x:row>
    <x:row r="860" ht="15" hidden="0">
      <x:c r="A860" s="70" t="s">
        <x:v>1722</x:v>
      </x:c>
      <x:c r="B860" s="70" t="s">
        <x:v>30</x:v>
      </x:c>
      <x:c r="C860" s="70" t="s">
        <x:v>103</x:v>
      </x:c>
      <x:c r="D860" s="70" t="str">
        <x:v>Actual FY-end closing price (Rs; unadjusted)</x:v>
      </x:c>
      <x:c r="E860" s="70" t="s">
        <x:v>855</x:v>
      </x:c>
      <x:c r="F860" s="70" t="str">
        <x:v>Official PSX historical CLOSE column</x:v>
      </x:c>
      <x:c r="G860" s="70" t="str">
        <x:v>PSX historical response; hash and raw row on Price Evidence</x:v>
      </x:c>
      <x:c r="H860" s="70" t="str">
        <x:v>https://dps.psx.com.pk/historical</x:v>
      </x:c>
      <x:c r="I860" s="70" t="str">
        <x:v>POST date=2023-06-27</x:v>
      </x:c>
      <x:c r="J860" s="70"/>
      <x:c r="K860" s="70"/>
      <x:c r="L860" s="70"/>
      <x:c r="M860" s="70" t="s">
        <x:v>306</x:v>
      </x:c>
      <x:c r="N860" s="70" t="n">
        <x:v>522.09</x:v>
      </x:c>
      <x:c r="O860" s="70" t="n">
        <x:f aca="0">N860</x:f>
        <x:v>522.09</x:v>
      </x:c>
      <x:c r="P860" s="74" t="n">
        <x:f aca="0">LUCK!F130</x:f>
        <x:v>522.09</x:v>
      </x:c>
      <x:c r="Q860" s="70" t="str">
        <x:f aca="0">IF(ABS(O860-P860)&lt;0.000001,"PASS","FAIL")</x:f>
        <x:v>PASS</x:v>
      </x:c>
      <x:c r="R860" s="70" t="s">
        <x:v>33</x:v>
      </x:c>
      <x:c r="S860" s="70" t="str">
        <x:v>Unadjusted traded close. No split factor applied to PSX price. Original report figure and date evidence preserved on PSX Prices / Price Evidence.</x:v>
      </x:c>
    </x:row>
    <x:row r="861" ht="15" hidden="0">
      <x:c r="A861" s="70" t="s">
        <x:v>1723</x:v>
      </x:c>
      <x:c r="B861" s="70" t="s">
        <x:v>30</x:v>
      </x:c>
      <x:c r="C861" s="70" t="s">
        <x:v>104</x:v>
      </x:c>
      <x:c r="D861" s="70" t="str">
        <x:v>Actual FY-end closing price (Rs; unadjusted)</x:v>
      </x:c>
      <x:c r="E861" s="70" t="s">
        <x:v>855</x:v>
      </x:c>
      <x:c r="F861" s="70" t="str">
        <x:v>Official PSX historical CLOSE column</x:v>
      </x:c>
      <x:c r="G861" s="70" t="str">
        <x:v>PSX historical response; hash and raw row on Price Evidence</x:v>
      </x:c>
      <x:c r="H861" s="70" t="str">
        <x:v>https://dps.psx.com.pk/historical</x:v>
      </x:c>
      <x:c r="I861" s="70" t="str">
        <x:v>POST date=2024-06-28</x:v>
      </x:c>
      <x:c r="J861" s="70"/>
      <x:c r="K861" s="70"/>
      <x:c r="L861" s="70"/>
      <x:c r="M861" s="70" t="s">
        <x:v>306</x:v>
      </x:c>
      <x:c r="N861" s="70" t="n">
        <x:v>906.73</x:v>
      </x:c>
      <x:c r="O861" s="70" t="n">
        <x:f aca="0">N861</x:f>
        <x:v>906.73</x:v>
      </x:c>
      <x:c r="P861" s="74" t="n">
        <x:f aca="0">LUCK!G130</x:f>
        <x:v>906.73</x:v>
      </x:c>
      <x:c r="Q861" s="70" t="str">
        <x:f aca="0">IF(ABS(O861-P861)&lt;0.000001,"PASS","FAIL")</x:f>
        <x:v>PASS</x:v>
      </x:c>
      <x:c r="R861" s="70" t="s">
        <x:v>33</x:v>
      </x:c>
      <x:c r="S861" s="70" t="str">
        <x:v>Unadjusted traded close. No split factor applied to PSX price. Original report figure and date evidence preserved on PSX Prices / Price Evidence.</x:v>
      </x:c>
    </x:row>
    <x:row r="862" ht="15" hidden="0">
      <x:c r="A862" s="70" t="s">
        <x:v>1724</x:v>
      </x:c>
      <x:c r="B862" s="70" t="s">
        <x:v>30</x:v>
      </x:c>
      <x:c r="C862" s="70" t="s">
        <x:v>105</x:v>
      </x:c>
      <x:c r="D862" s="70" t="str">
        <x:v>Actual FY-end closing price (Rs; unadjusted)</x:v>
      </x:c>
      <x:c r="E862" s="70" t="s">
        <x:v>855</x:v>
      </x:c>
      <x:c r="F862" s="70" t="str">
        <x:v>Official PSX historical CLOSE column</x:v>
      </x:c>
      <x:c r="G862" s="70" t="str">
        <x:v>PSX historical response; hash and raw row on Price Evidence</x:v>
      </x:c>
      <x:c r="H862" s="70" t="str">
        <x:v>https://dps.psx.com.pk/historical</x:v>
      </x:c>
      <x:c r="I862" s="70" t="str">
        <x:v>POST date=2025-06-30</x:v>
      </x:c>
      <x:c r="J862" s="70"/>
      <x:c r="K862" s="70"/>
      <x:c r="L862" s="70"/>
      <x:c r="M862" s="70" t="s">
        <x:v>306</x:v>
      </x:c>
      <x:c r="N862" s="70" t="n">
        <x:v>355.24</x:v>
      </x:c>
      <x:c r="O862" s="70" t="n">
        <x:f aca="0">N862</x:f>
        <x:v>355.24</x:v>
      </x:c>
      <x:c r="P862" s="74" t="n">
        <x:f aca="0">LUCK!H130</x:f>
        <x:v>355.24</x:v>
      </x:c>
      <x:c r="Q862" s="70" t="str">
        <x:f aca="0">IF(ABS(O862-P862)&lt;0.000001,"PASS","FAIL")</x:f>
        <x:v>PASS</x:v>
      </x:c>
      <x:c r="R862" s="70" t="s">
        <x:v>33</x:v>
      </x:c>
      <x:c r="S862" s="70" t="str">
        <x:v>Unadjusted traded close. No split factor applied to PSX price. Original report figure and date evidence preserved on PSX Prices / Price Evidence.</x:v>
      </x:c>
    </x:row>
    <x:row r="863" ht="15" hidden="0">
      <x:c r="A863" s="70" t="s">
        <x:v>1725</x:v>
      </x:c>
      <x:c r="B863" s="70" t="s">
        <x:v>30</x:v>
      </x:c>
      <x:c r="C863" s="70" t="s">
        <x:v>101</x:v>
      </x:c>
      <x:c r="D863" s="70" t="s">
        <x:v>313</x:v>
      </x:c>
      <x:c r="E863" s="70" t="s">
        <x:v>855</x:v>
      </x:c>
      <x:c r="F863" s="70" t="s">
        <x:v>1278</x:v>
      </x:c>
      <x:c r="G863" s="70" t="s">
        <x:v>1310</x:v>
      </x:c>
      <x:c r="H863" s="70" t="s">
        <x:v>849</x:v>
      </x:c>
      <x:c r="I863" s="70" t="s">
        <x:v>833</x:v>
      </x:c>
      <x:c r="J863" s="70" t="n">
        <x:v>166</x:v>
      </x:c>
      <x:c r="K863" s="70" t="s">
        <x:v>1726</x:v>
      </x:c>
      <x:c r="L863" s="70"/>
      <x:c r="M863" s="70" t="s">
        <x:v>306</x:v>
      </x:c>
      <x:c r="N863" s="70" t="n">
        <x:v>0</x:v>
      </x:c>
      <x:c r="O863" s="70" t="n">
        <x:f aca="0">N863</x:f>
        <x:v>0</x:v>
      </x:c>
      <x:c r="P863" s="74" t="n">
        <x:f aca="0">LUCK!D131</x:f>
        <x:v>0</x:v>
      </x:c>
      <x:c r="Q863" s="70" t="str">
        <x:f aca="0">IF(ABS(O863-P863)&lt;0.000001,"PASS","FAIL")</x:f>
        <x:v>PASS</x:v>
      </x:c>
      <x:c r="R863" s="70" t="s">
        <x:v>33</x:v>
      </x:c>
      <x:c r="S863" s="70" t="str">
        <x:v>Verified FY-end share basis; see Share Basis and Corporate Actions for source excerpts and normalization. Original source metadata superseded where the basis changed.</x:v>
      </x:c>
    </x:row>
    <x:row r="864" ht="15" hidden="0">
      <x:c r="A864" s="70" t="s">
        <x:v>1727</x:v>
      </x:c>
      <x:c r="B864" s="70" t="s">
        <x:v>30</x:v>
      </x:c>
      <x:c r="C864" s="70" t="s">
        <x:v>102</x:v>
      </x:c>
      <x:c r="D864" s="70" t="s">
        <x:v>313</x:v>
      </x:c>
      <x:c r="E864" s="70" t="s">
        <x:v>855</x:v>
      </x:c>
      <x:c r="F864" s="70" t="s">
        <x:v>1278</x:v>
      </x:c>
      <x:c r="G864" s="70" t="s">
        <x:v>1310</x:v>
      </x:c>
      <x:c r="H864" s="70" t="s">
        <x:v>849</x:v>
      </x:c>
      <x:c r="I864" s="70" t="s">
        <x:v>833</x:v>
      </x:c>
      <x:c r="J864" s="70" t="n">
        <x:v>166</x:v>
      </x:c>
      <x:c r="K864" s="70" t="s">
        <x:v>1726</x:v>
      </x:c>
      <x:c r="L864" s="70"/>
      <x:c r="M864" s="70" t="s">
        <x:v>306</x:v>
      </x:c>
      <x:c r="N864" s="70" t="n">
        <x:v>0</x:v>
      </x:c>
      <x:c r="O864" s="70" t="n">
        <x:f aca="0">N864</x:f>
        <x:v>0</x:v>
      </x:c>
      <x:c r="P864" s="74" t="n">
        <x:f aca="0">LUCK!E131</x:f>
        <x:v>0</x:v>
      </x:c>
      <x:c r="Q864" s="70" t="str">
        <x:f aca="0">IF(ABS(O864-P864)&lt;0.000001,"PASS","FAIL")</x:f>
        <x:v>PASS</x:v>
      </x:c>
      <x:c r="R864" s="70" t="s">
        <x:v>33</x:v>
      </x:c>
      <x:c r="S864" s="70" t="str">
        <x:v>Verified FY-end share basis; see Share Basis and Corporate Actions for source excerpts and normalization. Original source metadata superseded where the basis changed.</x:v>
      </x:c>
    </x:row>
    <x:row r="865" ht="15" hidden="0">
      <x:c r="A865" s="70" t="s">
        <x:v>1728</x:v>
      </x:c>
      <x:c r="B865" s="70" t="s">
        <x:v>30</x:v>
      </x:c>
      <x:c r="C865" s="70" t="s">
        <x:v>103</x:v>
      </x:c>
      <x:c r="D865" s="70" t="s">
        <x:v>313</x:v>
      </x:c>
      <x:c r="E865" s="70" t="s">
        <x:v>855</x:v>
      </x:c>
      <x:c r="F865" s="70" t="s">
        <x:v>1278</x:v>
      </x:c>
      <x:c r="G865" s="70" t="s">
        <x:v>1310</x:v>
      </x:c>
      <x:c r="H865" s="70" t="s">
        <x:v>849</x:v>
      </x:c>
      <x:c r="I865" s="70" t="s">
        <x:v>833</x:v>
      </x:c>
      <x:c r="J865" s="70" t="n">
        <x:v>166</x:v>
      </x:c>
      <x:c r="K865" s="70" t="s">
        <x:v>1726</x:v>
      </x:c>
      <x:c r="L865" s="70"/>
      <x:c r="M865" s="70" t="s">
        <x:v>306</x:v>
      </x:c>
      <x:c r="N865" s="70" t="n">
        <x:v>18</x:v>
      </x:c>
      <x:c r="O865" s="70" t="n">
        <x:f aca="0">N865</x:f>
        <x:v>18</x:v>
      </x:c>
      <x:c r="P865" s="74" t="n">
        <x:f aca="0">LUCK!F131</x:f>
        <x:v>18</x:v>
      </x:c>
      <x:c r="Q865" s="70" t="str">
        <x:f aca="0">IF(ABS(O865-P865)&lt;0.000001,"PASS","FAIL")</x:f>
        <x:v>PASS</x:v>
      </x:c>
      <x:c r="R865" s="70" t="s">
        <x:v>33</x:v>
      </x:c>
      <x:c r="S865" s="70" t="str">
        <x:v>Verified FY-end share basis; see Share Basis and Corporate Actions for source excerpts and normalization. Original source metadata superseded where the basis changed.</x:v>
      </x:c>
    </x:row>
    <x:row r="866" ht="15" hidden="0">
      <x:c r="A866" s="70" t="s">
        <x:v>1729</x:v>
      </x:c>
      <x:c r="B866" s="70" t="s">
        <x:v>30</x:v>
      </x:c>
      <x:c r="C866" s="70" t="s">
        <x:v>104</x:v>
      </x:c>
      <x:c r="D866" s="70" t="s">
        <x:v>313</x:v>
      </x:c>
      <x:c r="E866" s="70" t="s">
        <x:v>855</x:v>
      </x:c>
      <x:c r="F866" s="70" t="s">
        <x:v>1278</x:v>
      </x:c>
      <x:c r="G866" s="70" t="s">
        <x:v>1310</x:v>
      </x:c>
      <x:c r="H866" s="70" t="s">
        <x:v>849</x:v>
      </x:c>
      <x:c r="I866" s="70" t="s">
        <x:v>833</x:v>
      </x:c>
      <x:c r="J866" s="70" t="n">
        <x:v>166</x:v>
      </x:c>
      <x:c r="K866" s="70" t="s">
        <x:v>1726</x:v>
      </x:c>
      <x:c r="L866" s="70"/>
      <x:c r="M866" s="70" t="s">
        <x:v>306</x:v>
      </x:c>
      <x:c r="N866" s="70" t="n">
        <x:v>15</x:v>
      </x:c>
      <x:c r="O866" s="70" t="n">
        <x:f aca="0">N866</x:f>
        <x:v>15</x:v>
      </x:c>
      <x:c r="P866" s="74" t="n">
        <x:f aca="0">LUCK!G131</x:f>
        <x:v>15</x:v>
      </x:c>
      <x:c r="Q866" s="70" t="str">
        <x:f aca="0">IF(ABS(O866-P866)&lt;0.000001,"PASS","FAIL")</x:f>
        <x:v>PASS</x:v>
      </x:c>
      <x:c r="R866" s="70" t="s">
        <x:v>33</x:v>
      </x:c>
      <x:c r="S866" s="70" t="str">
        <x:v>Verified FY-end share basis; see Share Basis and Corporate Actions for source excerpts and normalization. Original source metadata superseded where the basis changed.</x:v>
      </x:c>
    </x:row>
    <x:row r="867" ht="15" hidden="0">
      <x:c r="A867" s="70" t="s">
        <x:v>1730</x:v>
      </x:c>
      <x:c r="B867" s="70" t="s">
        <x:v>30</x:v>
      </x:c>
      <x:c r="C867" s="70" t="s">
        <x:v>105</x:v>
      </x:c>
      <x:c r="D867" s="70" t="s">
        <x:v>313</x:v>
      </x:c>
      <x:c r="E867" s="70" t="s">
        <x:v>855</x:v>
      </x:c>
      <x:c r="F867" s="70" t="s">
        <x:v>1278</x:v>
      </x:c>
      <x:c r="G867" s="70" t="s">
        <x:v>1310</x:v>
      </x:c>
      <x:c r="H867" s="70" t="s">
        <x:v>849</x:v>
      </x:c>
      <x:c r="I867" s="70" t="s">
        <x:v>852</x:v>
      </x:c>
      <x:c r="J867" s="70" t="n">
        <x:v>166</x:v>
      </x:c>
      <x:c r="K867" s="70" t="s">
        <x:v>1726</x:v>
      </x:c>
      <x:c r="L867" s="70"/>
      <x:c r="M867" s="70" t="s">
        <x:v>306</x:v>
      </x:c>
      <x:c r="N867" s="70" t="n">
        <x:v>4</x:v>
      </x:c>
      <x:c r="O867" s="70" t="n">
        <x:f aca="0">N867</x:f>
        <x:v>4</x:v>
      </x:c>
      <x:c r="P867" s="74" t="n">
        <x:f aca="0">LUCK!H131</x:f>
        <x:v>4</x:v>
      </x:c>
      <x:c r="Q867" s="70" t="str">
        <x:f aca="0">IF(ABS(O867-P867)&lt;0.000001,"PASS","FAIL")</x:f>
        <x:v>PASS</x:v>
      </x:c>
      <x:c r="R867" s="70" t="s">
        <x:v>33</x:v>
      </x:c>
      <x:c r="S867" s="70" t="str">
        <x:v>Verified FY-end share basis; see Share Basis and Corporate Actions for source excerpts and normalization. Original source metadata superseded where the basis changed.</x:v>
      </x:c>
    </x:row>
    <x:row r="868" ht="15" hidden="0">
      <x:c r="A868" s="70" t="s">
        <x:v>1731</x:v>
      </x:c>
      <x:c r="B868" s="70" t="s">
        <x:v>30</x:v>
      </x:c>
      <x:c r="C868" s="70" t="s">
        <x:v>101</x:v>
      </x:c>
      <x:c r="D868" s="70" t="s">
        <x:v>1284</x:v>
      </x:c>
      <x:c r="E868" s="70" t="s">
        <x:v>1106</x:v>
      </x:c>
      <x:c r="F868" s="70" t="s">
        <x:v>1285</x:v>
      </x:c>
      <x:c r="G868" s="70" t="str">
        <x:v>2021.pdf</x:v>
      </x:c>
      <x:c r="H868" s="70" t="s">
        <x:v>832</x:v>
      </x:c>
      <x:c r="I868" s="70" t="s">
        <x:v>852</x:v>
      </x:c>
      <x:c r="J868" s="70" t="n">
        <x:v>222</x:v>
      </x:c>
      <x:c r="K868" s="70" t="s">
        <x:v>834</x:v>
      </x:c>
      <x:c r="L868" s="70"/>
      <x:c r="M868" s="70" t="s">
        <x:v>306</x:v>
      </x:c>
      <x:c r="N868" s="70" t="n">
        <x:v>43.51</x:v>
      </x:c>
      <x:c r="O868" s="70" t="n">
        <x:f aca="0">N868</x:f>
        <x:v>43.51</x:v>
      </x:c>
      <x:c r="P868" s="74" t="n">
        <x:f aca="0">LUCK!D132</x:f>
        <x:v>43.51</x:v>
      </x:c>
      <x:c r="Q868" s="70" t="str">
        <x:f aca="0">IF(ABS(O868-P868)&lt;0.000001,"PASS","FAIL")</x:f>
        <x:v>PASS</x:v>
      </x:c>
      <x:c r="R868" s="70" t="s">
        <x:v>33</x:v>
      </x:c>
      <x:c r="S868" s="70" t="str">
        <x:v>Verified FY-end share basis; see Share Basis and Corporate Actions for source excerpts and normalization. Original source metadata superseded where the basis changed.</x:v>
      </x:c>
    </x:row>
    <x:row r="869" ht="15" hidden="0">
      <x:c r="A869" s="70" t="s">
        <x:v>1732</x:v>
      </x:c>
      <x:c r="B869" s="70" t="s">
        <x:v>30</x:v>
      </x:c>
      <x:c r="C869" s="70" t="s">
        <x:v>102</x:v>
      </x:c>
      <x:c r="D869" s="70" t="s">
        <x:v>1284</x:v>
      </x:c>
      <x:c r="E869" s="70" t="s">
        <x:v>1106</x:v>
      </x:c>
      <x:c r="F869" s="70" t="s">
        <x:v>1285</x:v>
      </x:c>
      <x:c r="G869" s="70" t="str">
        <x:v>2022.pdf</x:v>
      </x:c>
      <x:c r="H869" s="70" t="s">
        <x:v>838</x:v>
      </x:c>
      <x:c r="I869" s="70" t="s">
        <x:v>852</x:v>
      </x:c>
      <x:c r="J869" s="70" t="n">
        <x:v>258</x:v>
      </x:c>
      <x:c r="K869" s="70" t="s">
        <x:v>1553</x:v>
      </x:c>
      <x:c r="L869" s="70"/>
      <x:c r="M869" s="70" t="s">
        <x:v>306</x:v>
      </x:c>
      <x:c r="N869" s="70" t="n">
        <x:v>47.31</x:v>
      </x:c>
      <x:c r="O869" s="70" t="n">
        <x:f aca="0">N869</x:f>
        <x:v>47.31</x:v>
      </x:c>
      <x:c r="P869" s="74" t="n">
        <x:f aca="0">LUCK!E132</x:f>
        <x:v>47.31</x:v>
      </x:c>
      <x:c r="Q869" s="70" t="str">
        <x:f aca="0">IF(ABS(O869-P869)&lt;0.000001,"PASS","FAIL")</x:f>
        <x:v>PASS</x:v>
      </x:c>
      <x:c r="R869" s="70" t="s">
        <x:v>33</x:v>
      </x:c>
      <x:c r="S869" s="70" t="str">
        <x:v>Verified FY-end share basis; see Share Basis and Corporate Actions for source excerpts and normalization. Original source metadata superseded where the basis changed.</x:v>
      </x:c>
    </x:row>
    <x:row r="870" ht="15" hidden="0">
      <x:c r="A870" s="70" t="s">
        <x:v>1733</x:v>
      </x:c>
      <x:c r="B870" s="70" t="s">
        <x:v>30</x:v>
      </x:c>
      <x:c r="C870" s="70" t="s">
        <x:v>103</x:v>
      </x:c>
      <x:c r="D870" s="70" t="s">
        <x:v>1284</x:v>
      </x:c>
      <x:c r="E870" s="70" t="s">
        <x:v>1106</x:v>
      </x:c>
      <x:c r="F870" s="70" t="s">
        <x:v>1285</x:v>
      </x:c>
      <x:c r="G870" s="70" t="str">
        <x:v>2023.pdf</x:v>
      </x:c>
      <x:c r="H870" s="70" t="s">
        <x:v>842</x:v>
      </x:c>
      <x:c r="I870" s="70" t="s">
        <x:v>852</x:v>
      </x:c>
      <x:c r="J870" s="70" t="n">
        <x:v>266</x:v>
      </x:c>
      <x:c r="K870" s="70" t="s">
        <x:v>1555</x:v>
      </x:c>
      <x:c r="L870" s="70"/>
      <x:c r="M870" s="70" t="s">
        <x:v>306</x:v>
      </x:c>
      <x:c r="N870" s="70" t="n">
        <x:v>43.06</x:v>
      </x:c>
      <x:c r="O870" s="70" t="n">
        <x:f aca="0">N870</x:f>
        <x:v>43.06</x:v>
      </x:c>
      <x:c r="P870" s="74" t="n">
        <x:f aca="0">LUCK!F132</x:f>
        <x:v>43.06</x:v>
      </x:c>
      <x:c r="Q870" s="70" t="str">
        <x:f aca="0">IF(ABS(O870-P870)&lt;0.000001,"PASS","FAIL")</x:f>
        <x:v>PASS</x:v>
      </x:c>
      <x:c r="R870" s="70" t="s">
        <x:v>33</x:v>
      </x:c>
      <x:c r="S870" s="70" t="str">
        <x:v>Verified FY-end share basis; see Share Basis and Corporate Actions for source excerpts and normalization. Original source metadata superseded where the basis changed.</x:v>
      </x:c>
    </x:row>
    <x:row r="871" ht="15" hidden="0">
      <x:c r="A871" s="70" t="s">
        <x:v>1734</x:v>
      </x:c>
      <x:c r="B871" s="70" t="s">
        <x:v>30</x:v>
      </x:c>
      <x:c r="C871" s="70" t="s">
        <x:v>104</x:v>
      </x:c>
      <x:c r="D871" s="70" t="s">
        <x:v>1284</x:v>
      </x:c>
      <x:c r="E871" s="70" t="s">
        <x:v>1106</x:v>
      </x:c>
      <x:c r="F871" s="70" t="s">
        <x:v>1285</x:v>
      </x:c>
      <x:c r="G871" s="70" t="str">
        <x:v>2024.pdf</x:v>
      </x:c>
      <x:c r="H871" s="70" t="s">
        <x:v>845</x:v>
      </x:c>
      <x:c r="I871" s="70" t="s">
        <x:v>852</x:v>
      </x:c>
      <x:c r="J871" s="70" t="n">
        <x:v>271</x:v>
      </x:c>
      <x:c r="K871" s="70" t="s">
        <x:v>1557</x:v>
      </x:c>
      <x:c r="L871" s="70"/>
      <x:c r="M871" s="70" t="s">
        <x:v>306</x:v>
      </x:c>
      <x:c r="N871" s="70" t="n">
        <x:v>94.54</x:v>
      </x:c>
      <x:c r="O871" s="70" t="n">
        <x:f aca="0">N871</x:f>
        <x:v>94.54</x:v>
      </x:c>
      <x:c r="P871" s="74" t="n">
        <x:f aca="0">LUCK!G132</x:f>
        <x:v>94.54</x:v>
      </x:c>
      <x:c r="Q871" s="70" t="str">
        <x:f aca="0">IF(ABS(O871-P871)&lt;0.000001,"PASS","FAIL")</x:f>
        <x:v>PASS</x:v>
      </x:c>
      <x:c r="R871" s="70" t="s">
        <x:v>33</x:v>
      </x:c>
      <x:c r="S871" s="70" t="str">
        <x:v>Verified FY-end share basis; see Share Basis and Corporate Actions for source excerpts and normalization. Original source metadata superseded where the basis changed.</x:v>
      </x:c>
    </x:row>
    <x:row r="872" ht="15" hidden="0">
      <x:c r="A872" s="70" t="s">
        <x:v>1735</x:v>
      </x:c>
      <x:c r="B872" s="70" t="s">
        <x:v>30</x:v>
      </x:c>
      <x:c r="C872" s="70" t="s">
        <x:v>105</x:v>
      </x:c>
      <x:c r="D872" s="70" t="s">
        <x:v>1284</x:v>
      </x:c>
      <x:c r="E872" s="70" t="s">
        <x:v>1106</x:v>
      </x:c>
      <x:c r="F872" s="70" t="s">
        <x:v>1285</x:v>
      </x:c>
      <x:c r="G872" s="70" t="str">
        <x:v>2025.pdf</x:v>
      </x:c>
      <x:c r="H872" s="70" t="s">
        <x:v>849</x:v>
      </x:c>
      <x:c r="I872" s="70" t="s">
        <x:v>852</x:v>
      </x:c>
      <x:c r="J872" s="70" t="n">
        <x:v>274</x:v>
      </x:c>
      <x:c r="K872" s="70" t="s">
        <x:v>834</x:v>
      </x:c>
      <x:c r="L872" s="70"/>
      <x:c r="M872" s="70" t="s">
        <x:v>306</x:v>
      </x:c>
      <x:c r="N872" s="70" t="n">
        <x:v>22.59</x:v>
      </x:c>
      <x:c r="O872" s="70" t="n">
        <x:f aca="0">N872</x:f>
        <x:v>22.59</x:v>
      </x:c>
      <x:c r="P872" s="74" t="n">
        <x:f aca="0">LUCK!H132</x:f>
        <x:v>22.59</x:v>
      </x:c>
      <x:c r="Q872" s="70" t="str">
        <x:f aca="0">IF(ABS(O872-P872)&lt;0.000001,"PASS","FAIL")</x:f>
        <x:v>PASS</x:v>
      </x:c>
      <x:c r="R872" s="70" t="s">
        <x:v>33</x:v>
      </x:c>
      <x:c r="S872" s="70" t="str">
        <x:v>Verified FY-end share basis; see Share Basis and Corporate Actions for source excerpts and normalization. Original source metadata superseded where the basis changed.</x:v>
      </x:c>
    </x:row>
    <x:row r="873" ht="15" hidden="0">
      <x:c r="A873" s="70" t="s">
        <x:v>1736</x:v>
      </x:c>
      <x:c r="B873" s="70" t="s">
        <x:v>30</x:v>
      </x:c>
      <x:c r="C873" s="70" t="s">
        <x:v>101</x:v>
      </x:c>
      <x:c r="D873" s="70" t="s">
        <x:v>1291</x:v>
      </x:c>
      <x:c r="E873" s="70" t="s">
        <x:v>855</x:v>
      </x:c>
      <x:c r="F873" s="70" t="s">
        <x:v>1292</x:v>
      </x:c>
      <x:c r="G873" s="70" t="s">
        <x:v>1310</x:v>
      </x:c>
      <x:c r="H873" s="70" t="s">
        <x:v>849</x:v>
      </x:c>
      <x:c r="I873" s="70" t="s">
        <x:v>833</x:v>
      </x:c>
      <x:c r="J873" s="70" t="n">
        <x:v>166</x:v>
      </x:c>
      <x:c r="K873" s="70" t="s">
        <x:v>1726</x:v>
      </x:c>
      <x:c r="L873" s="70"/>
      <x:c r="M873" s="70" t="s">
        <x:v>319</x:v>
      </x:c>
      <x:c r="N873" s="70" t="n">
        <x:v>5</x:v>
      </x:c>
      <x:c r="O873" s="70" t="n">
        <x:f aca="0">N873</x:f>
        <x:v>5</x:v>
      </x:c>
      <x:c r="P873" s="74" t="n">
        <x:f aca="0">LUCK!D134</x:f>
        <x:v>5</x:v>
      </x:c>
      <x:c r="Q873" s="70" t="str">
        <x:f aca="0">IF(ABS(O873-P873)&lt;0.000001,"PASS","FAIL")</x:f>
        <x:v>PASS</x:v>
      </x:c>
      <x:c r="R873" s="70" t="s">
        <x:v>33</x:v>
      </x:c>
      <x:c r="S873" s="70" t="str">
        <x:v>Verified FY-end share basis; see Share Basis and Corporate Actions for source excerpts and normalization. Original source metadata superseded where the basis changed.</x:v>
      </x:c>
    </x:row>
    <x:row r="874" ht="15" hidden="0">
      <x:c r="A874" s="70" t="s">
        <x:v>1737</x:v>
      </x:c>
      <x:c r="B874" s="70" t="s">
        <x:v>30</x:v>
      </x:c>
      <x:c r="C874" s="70" t="s">
        <x:v>102</x:v>
      </x:c>
      <x:c r="D874" s="70" t="s">
        <x:v>1291</x:v>
      </x:c>
      <x:c r="E874" s="70" t="s">
        <x:v>855</x:v>
      </x:c>
      <x:c r="F874" s="70" t="s">
        <x:v>1292</x:v>
      </x:c>
      <x:c r="G874" s="70" t="s">
        <x:v>1310</x:v>
      </x:c>
      <x:c r="H874" s="70" t="s">
        <x:v>849</x:v>
      </x:c>
      <x:c r="I874" s="70" t="s">
        <x:v>833</x:v>
      </x:c>
      <x:c r="J874" s="70" t="n">
        <x:v>166</x:v>
      </x:c>
      <x:c r="K874" s="70" t="s">
        <x:v>1726</x:v>
      </x:c>
      <x:c r="L874" s="70"/>
      <x:c r="M874" s="70" t="s">
        <x:v>319</x:v>
      </x:c>
      <x:c r="N874" s="70" t="n">
        <x:v>5</x:v>
      </x:c>
      <x:c r="O874" s="70" t="n">
        <x:f aca="0">N874</x:f>
        <x:v>5</x:v>
      </x:c>
      <x:c r="P874" s="74" t="n">
        <x:f aca="0">LUCK!E134</x:f>
        <x:v>5</x:v>
      </x:c>
      <x:c r="Q874" s="70" t="str">
        <x:f aca="0">IF(ABS(O874-P874)&lt;0.000001,"PASS","FAIL")</x:f>
        <x:v>PASS</x:v>
      </x:c>
      <x:c r="R874" s="70" t="s">
        <x:v>33</x:v>
      </x:c>
      <x:c r="S874" s="70" t="str">
        <x:v>Verified FY-end share basis; see Share Basis and Corporate Actions for source excerpts and normalization. Original source metadata superseded where the basis changed.</x:v>
      </x:c>
    </x:row>
    <x:row r="875" ht="15" hidden="0">
      <x:c r="A875" s="70" t="s">
        <x:v>1738</x:v>
      </x:c>
      <x:c r="B875" s="70" t="s">
        <x:v>30</x:v>
      </x:c>
      <x:c r="C875" s="70" t="s">
        <x:v>103</x:v>
      </x:c>
      <x:c r="D875" s="70" t="s">
        <x:v>1291</x:v>
      </x:c>
      <x:c r="E875" s="70" t="s">
        <x:v>855</x:v>
      </x:c>
      <x:c r="F875" s="70" t="s">
        <x:v>1292</x:v>
      </x:c>
      <x:c r="G875" s="70" t="s">
        <x:v>1310</x:v>
      </x:c>
      <x:c r="H875" s="70" t="s">
        <x:v>849</x:v>
      </x:c>
      <x:c r="I875" s="70" t="s">
        <x:v>833</x:v>
      </x:c>
      <x:c r="J875" s="70" t="n">
        <x:v>166</x:v>
      </x:c>
      <x:c r="K875" s="70" t="s">
        <x:v>1726</x:v>
      </x:c>
      <x:c r="L875" s="70"/>
      <x:c r="M875" s="70" t="s">
        <x:v>319</x:v>
      </x:c>
      <x:c r="N875" s="70" t="n">
        <x:v>5</x:v>
      </x:c>
      <x:c r="O875" s="70" t="n">
        <x:f aca="0">N875</x:f>
        <x:v>5</x:v>
      </x:c>
      <x:c r="P875" s="74" t="n">
        <x:f aca="0">LUCK!F134</x:f>
        <x:v>5</x:v>
      </x:c>
      <x:c r="Q875" s="70" t="str">
        <x:f aca="0">IF(ABS(O875-P875)&lt;0.000001,"PASS","FAIL")</x:f>
        <x:v>PASS</x:v>
      </x:c>
      <x:c r="R875" s="70" t="s">
        <x:v>33</x:v>
      </x:c>
      <x:c r="S875" s="70" t="str">
        <x:v>Verified FY-end share basis; see Share Basis and Corporate Actions for source excerpts and normalization. Original source metadata superseded where the basis changed.</x:v>
      </x:c>
    </x:row>
    <x:row r="876" ht="15" hidden="0">
      <x:c r="A876" s="70" t="s">
        <x:v>1739</x:v>
      </x:c>
      <x:c r="B876" s="70" t="s">
        <x:v>30</x:v>
      </x:c>
      <x:c r="C876" s="70" t="s">
        <x:v>104</x:v>
      </x:c>
      <x:c r="D876" s="70" t="s">
        <x:v>1291</x:v>
      </x:c>
      <x:c r="E876" s="70" t="s">
        <x:v>855</x:v>
      </x:c>
      <x:c r="F876" s="70" t="s">
        <x:v>1292</x:v>
      </x:c>
      <x:c r="G876" s="70" t="s">
        <x:v>1310</x:v>
      </x:c>
      <x:c r="H876" s="70" t="s">
        <x:v>849</x:v>
      </x:c>
      <x:c r="I876" s="70" t="s">
        <x:v>833</x:v>
      </x:c>
      <x:c r="J876" s="70" t="n">
        <x:v>166</x:v>
      </x:c>
      <x:c r="K876" s="70" t="s">
        <x:v>1726</x:v>
      </x:c>
      <x:c r="L876" s="70"/>
      <x:c r="M876" s="70" t="s">
        <x:v>319</x:v>
      </x:c>
      <x:c r="N876" s="70" t="n">
        <x:v>5</x:v>
      </x:c>
      <x:c r="O876" s="70" t="n">
        <x:f aca="0">N876</x:f>
        <x:v>5</x:v>
      </x:c>
      <x:c r="P876" s="74" t="n">
        <x:f aca="0">LUCK!G134</x:f>
        <x:v>5</x:v>
      </x:c>
      <x:c r="Q876" s="70" t="str">
        <x:f aca="0">IF(ABS(O876-P876)&lt;0.000001,"PASS","FAIL")</x:f>
        <x:v>PASS</x:v>
      </x:c>
      <x:c r="R876" s="70" t="s">
        <x:v>33</x:v>
      </x:c>
      <x:c r="S876" s="70" t="str">
        <x:v>Verified FY-end share basis; see Share Basis and Corporate Actions for source excerpts and normalization. Original source metadata superseded where the basis changed.</x:v>
      </x:c>
    </x:row>
    <x:row r="877" ht="15" hidden="0">
      <x:c r="A877" s="70" t="s">
        <x:v>1740</x:v>
      </x:c>
      <x:c r="B877" s="70" t="s">
        <x:v>30</x:v>
      </x:c>
      <x:c r="C877" s="70" t="s">
        <x:v>105</x:v>
      </x:c>
      <x:c r="D877" s="70" t="s">
        <x:v>1291</x:v>
      </x:c>
      <x:c r="E877" s="70" t="s">
        <x:v>855</x:v>
      </x:c>
      <x:c r="F877" s="70" t="s">
        <x:v>1292</x:v>
      </x:c>
      <x:c r="G877" s="70" t="s">
        <x:v>1310</x:v>
      </x:c>
      <x:c r="H877" s="70" t="s">
        <x:v>849</x:v>
      </x:c>
      <x:c r="I877" s="70" t="s">
        <x:v>852</x:v>
      </x:c>
      <x:c r="J877" s="70" t="n">
        <x:v>166</x:v>
      </x:c>
      <x:c r="K877" s="70" t="s">
        <x:v>1726</x:v>
      </x:c>
      <x:c r="L877" s="70"/>
      <x:c r="M877" s="70" t="s">
        <x:v>319</x:v>
      </x:c>
      <x:c r="N877" s="70" t="n">
        <x:v>1</x:v>
      </x:c>
      <x:c r="O877" s="70" t="n">
        <x:f aca="0">N877</x:f>
        <x:v>1</x:v>
      </x:c>
      <x:c r="P877" s="74" t="n">
        <x:f aca="0">LUCK!H134</x:f>
        <x:v>1</x:v>
      </x:c>
      <x:c r="Q877" s="70" t="str">
        <x:f aca="0">IF(ABS(O877-P877)&lt;0.000001,"PASS","FAIL")</x:f>
        <x:v>PASS</x:v>
      </x:c>
      <x:c r="R877" s="70" t="s">
        <x:v>33</x:v>
      </x:c>
      <x:c r="S877" s="70" t="str">
        <x:v>Verified FY-end share basis; see Share Basis and Corporate Actions for source excerpts and normalization. Original source metadata superseded where the basis changed.</x:v>
      </x:c>
    </x:row>
    <x:row r="878" ht="15" hidden="0">
      <x:c r="A878" s="70" t="s">
        <x:v>1741</x:v>
      </x:c>
      <x:c r="B878" s="70" t="s">
        <x:v>36</x:v>
      </x:c>
      <x:c r="C878" s="70" t="s">
        <x:v>717</x:v>
      </x:c>
      <x:c r="D878" s="70" t="s">
        <x:v>109</x:v>
      </x:c>
      <x:c r="E878" s="70" t="s">
        <x:v>763</x:v>
      </x:c>
      <x:c r="F878" s="70" t="s">
        <x:v>830</x:v>
      </x:c>
      <x:c r="G878" s="70" t="s">
        <x:v>1742</x:v>
      </x:c>
      <x:c r="H878" s="70" t="s">
        <x:v>832</x:v>
      </x:c>
      <x:c r="I878" s="70" t="s">
        <x:v>833</x:v>
      </x:c>
      <x:c r="J878" s="70" t="n">
        <x:v>106</x:v>
      </x:c>
      <x:c r="K878" s="70" t="s">
        <x:v>1743</x:v>
      </x:c>
      <x:c r="L878" s="70" t="s">
        <x:v>886</x:v>
      </x:c>
      <x:c r="M878" s="70" t="s">
        <x:v>39</x:v>
      </x:c>
      <x:c r="N878" s="71" t="n">
        <x:v>83537295</x:v>
      </x:c>
      <x:c r="O878" s="72" t="n">
        <x:f aca="0">N878/1000</x:f>
        <x:v>83537.295</x:v>
      </x:c>
      <x:c r="P878" s="73" t="n">
        <x:f aca="0">DGKC!C20</x:f>
        <x:v>83537.295</x:v>
      </x:c>
      <x:c r="Q878" s="70" t="str">
        <x:f aca="0">IF(ABS(O878-P878)&lt;0.000001,"PASS","FAIL")</x:f>
        <x:v>PASS</x:v>
      </x:c>
      <x:c r="R878" s="70" t="s">
        <x:v>33</x:v>
      </x:c>
      <x:c r="S878" s="70"/>
    </x:row>
    <x:row r="879" ht="15" hidden="0">
      <x:c r="A879" s="70" t="s">
        <x:v>1744</x:v>
      </x:c>
      <x:c r="B879" s="70" t="s">
        <x:v>36</x:v>
      </x:c>
      <x:c r="C879" s="70" t="s">
        <x:v>101</x:v>
      </x:c>
      <x:c r="D879" s="70" t="s">
        <x:v>109</x:v>
      </x:c>
      <x:c r="E879" s="70" t="s">
        <x:v>763</x:v>
      </x:c>
      <x:c r="F879" s="70" t="s">
        <x:v>830</x:v>
      </x:c>
      <x:c r="G879" s="70" t="s">
        <x:v>1745</x:v>
      </x:c>
      <x:c r="H879" s="70" t="s">
        <x:v>838</x:v>
      </x:c>
      <x:c r="I879" s="70" t="s">
        <x:v>833</x:v>
      </x:c>
      <x:c r="J879" s="70" t="n">
        <x:v>126</x:v>
      </x:c>
      <x:c r="K879" s="70" t="s">
        <x:v>1746</x:v>
      </x:c>
      <x:c r="L879" s="70" t="s">
        <x:v>886</x:v>
      </x:c>
      <x:c r="M879" s="70" t="s">
        <x:v>39</x:v>
      </x:c>
      <x:c r="N879" s="71" t="n">
        <x:v>85020109</x:v>
      </x:c>
      <x:c r="O879" s="72" t="n">
        <x:f aca="0">N879/1000</x:f>
        <x:v>85020.109</x:v>
      </x:c>
      <x:c r="P879" s="73" t="n">
        <x:f aca="0">DGKC!D20</x:f>
        <x:v>85020.109</x:v>
      </x:c>
      <x:c r="Q879" s="70" t="str">
        <x:f aca="0">IF(ABS(O879-P879)&lt;0.000001,"PASS","FAIL")</x:f>
        <x:v>PASS</x:v>
      </x:c>
      <x:c r="R879" s="70" t="s">
        <x:v>33</x:v>
      </x:c>
      <x:c r="S879" s="70"/>
    </x:row>
    <x:row r="880" ht="15" hidden="0">
      <x:c r="A880" s="70" t="s">
        <x:v>1747</x:v>
      </x:c>
      <x:c r="B880" s="70" t="s">
        <x:v>36</x:v>
      </x:c>
      <x:c r="C880" s="70" t="s">
        <x:v>102</x:v>
      </x:c>
      <x:c r="D880" s="70" t="s">
        <x:v>109</x:v>
      </x:c>
      <x:c r="E880" s="70" t="s">
        <x:v>763</x:v>
      </x:c>
      <x:c r="F880" s="70" t="s">
        <x:v>830</x:v>
      </x:c>
      <x:c r="G880" s="70" t="s">
        <x:v>1748</x:v>
      </x:c>
      <x:c r="H880" s="70" t="s">
        <x:v>842</x:v>
      </x:c>
      <x:c r="I880" s="70" t="s">
        <x:v>833</x:v>
      </x:c>
      <x:c r="J880" s="70" t="n">
        <x:v>152</x:v>
      </x:c>
      <x:c r="K880" s="70" t="s">
        <x:v>1749</x:v>
      </x:c>
      <x:c r="L880" s="70" t="s">
        <x:v>886</x:v>
      </x:c>
      <x:c r="M880" s="70" t="s">
        <x:v>39</x:v>
      </x:c>
      <x:c r="N880" s="71" t="n">
        <x:v>82803860</x:v>
      </x:c>
      <x:c r="O880" s="72" t="n">
        <x:f aca="0">N880/1000</x:f>
        <x:v>82803.86</x:v>
      </x:c>
      <x:c r="P880" s="73" t="n">
        <x:f aca="0">DGKC!E20</x:f>
        <x:v>82803.86</x:v>
      </x:c>
      <x:c r="Q880" s="70" t="str">
        <x:f aca="0">IF(ABS(O880-P880)&lt;0.000001,"PASS","FAIL")</x:f>
        <x:v>PASS</x:v>
      </x:c>
      <x:c r="R880" s="70" t="s">
        <x:v>33</x:v>
      </x:c>
      <x:c r="S880" s="70"/>
    </x:row>
    <x:row r="881" ht="15" hidden="0">
      <x:c r="A881" s="70" t="s">
        <x:v>1750</x:v>
      </x:c>
      <x:c r="B881" s="70" t="s">
        <x:v>36</x:v>
      </x:c>
      <x:c r="C881" s="70" t="s">
        <x:v>103</x:v>
      </x:c>
      <x:c r="D881" s="70" t="s">
        <x:v>109</x:v>
      </x:c>
      <x:c r="E881" s="70" t="s">
        <x:v>763</x:v>
      </x:c>
      <x:c r="F881" s="70" t="s">
        <x:v>830</x:v>
      </x:c>
      <x:c r="G881" s="70" t="s">
        <x:v>1751</x:v>
      </x:c>
      <x:c r="H881" s="70" t="s">
        <x:v>845</x:v>
      </x:c>
      <x:c r="I881" s="70" t="s">
        <x:v>833</x:v>
      </x:c>
      <x:c r="J881" s="70" t="n">
        <x:v>152</x:v>
      </x:c>
      <x:c r="K881" s="70" t="s">
        <x:v>1749</x:v>
      </x:c>
      <x:c r="L881" s="70" t="s">
        <x:v>886</x:v>
      </x:c>
      <x:c r="M881" s="70" t="s">
        <x:v>39</x:v>
      </x:c>
      <x:c r="N881" s="71" t="n">
        <x:v>82245650</x:v>
      </x:c>
      <x:c r="O881" s="72" t="n">
        <x:f aca="0">N881/1000</x:f>
        <x:v>82245.65</x:v>
      </x:c>
      <x:c r="P881" s="73" t="n">
        <x:f aca="0">DGKC!F20</x:f>
        <x:v>82245.65</x:v>
      </x:c>
      <x:c r="Q881" s="70" t="str">
        <x:f aca="0">IF(ABS(O881-P881)&lt;0.000001,"PASS","FAIL")</x:f>
        <x:v>PASS</x:v>
      </x:c>
      <x:c r="R881" s="70" t="s">
        <x:v>33</x:v>
      </x:c>
      <x:c r="S881" s="70"/>
    </x:row>
    <x:row r="882" ht="15" hidden="0">
      <x:c r="A882" s="70" t="s">
        <x:v>1752</x:v>
      </x:c>
      <x:c r="B882" s="70" t="s">
        <x:v>36</x:v>
      </x:c>
      <x:c r="C882" s="70" t="s">
        <x:v>104</x:v>
      </x:c>
      <x:c r="D882" s="70" t="s">
        <x:v>109</x:v>
      </x:c>
      <x:c r="E882" s="70" t="s">
        <x:v>763</x:v>
      </x:c>
      <x:c r="F882" s="70" t="s">
        <x:v>830</x:v>
      </x:c>
      <x:c r="G882" s="70" t="s">
        <x:v>1753</x:v>
      </x:c>
      <x:c r="H882" s="70" t="s">
        <x:v>849</x:v>
      </x:c>
      <x:c r="I882" s="70" t="s">
        <x:v>833</x:v>
      </x:c>
      <x:c r="J882" s="70" t="n">
        <x:v>154</x:v>
      </x:c>
      <x:c r="K882" s="70" t="s">
        <x:v>1754</x:v>
      </x:c>
      <x:c r="L882" s="70" t="s">
        <x:v>886</x:v>
      </x:c>
      <x:c r="M882" s="70" t="s">
        <x:v>39</x:v>
      </x:c>
      <x:c r="N882" s="71" t="n">
        <x:v>79877839</x:v>
      </x:c>
      <x:c r="O882" s="72" t="n">
        <x:f aca="0">N882/1000</x:f>
        <x:v>79877.839</x:v>
      </x:c>
      <x:c r="P882" s="73" t="n">
        <x:f aca="0">DGKC!G20</x:f>
        <x:v>79877.839</x:v>
      </x:c>
      <x:c r="Q882" s="70" t="str">
        <x:f aca="0">IF(ABS(O882-P882)&lt;0.000001,"PASS","FAIL")</x:f>
        <x:v>PASS</x:v>
      </x:c>
      <x:c r="R882" s="70" t="s">
        <x:v>33</x:v>
      </x:c>
      <x:c r="S882" s="70"/>
    </x:row>
    <x:row r="883" ht="15" hidden="0">
      <x:c r="A883" s="70" t="s">
        <x:v>1755</x:v>
      </x:c>
      <x:c r="B883" s="70" t="s">
        <x:v>36</x:v>
      </x:c>
      <x:c r="C883" s="70" t="s">
        <x:v>105</x:v>
      </x:c>
      <x:c r="D883" s="70" t="s">
        <x:v>109</x:v>
      </x:c>
      <x:c r="E883" s="70" t="s">
        <x:v>763</x:v>
      </x:c>
      <x:c r="F883" s="70" t="s">
        <x:v>830</x:v>
      </x:c>
      <x:c r="G883" s="70" t="s">
        <x:v>1753</x:v>
      </x:c>
      <x:c r="H883" s="70" t="s">
        <x:v>849</x:v>
      </x:c>
      <x:c r="I883" s="70" t="s">
        <x:v>852</x:v>
      </x:c>
      <x:c r="J883" s="70" t="n">
        <x:v>154</x:v>
      </x:c>
      <x:c r="K883" s="70" t="s">
        <x:v>1754</x:v>
      </x:c>
      <x:c r="L883" s="70" t="s">
        <x:v>886</x:v>
      </x:c>
      <x:c r="M883" s="70" t="s">
        <x:v>39</x:v>
      </x:c>
      <x:c r="N883" s="71" t="n">
        <x:v>77252559</x:v>
      </x:c>
      <x:c r="O883" s="72" t="n">
        <x:f aca="0">N883/1000</x:f>
        <x:v>77252.559</x:v>
      </x:c>
      <x:c r="P883" s="73" t="n">
        <x:f aca="0">DGKC!H20</x:f>
        <x:v>77252.559</x:v>
      </x:c>
      <x:c r="Q883" s="70" t="str">
        <x:f aca="0">IF(ABS(O883-P883)&lt;0.000001,"PASS","FAIL")</x:f>
        <x:v>PASS</x:v>
      </x:c>
      <x:c r="R883" s="70" t="s">
        <x:v>33</x:v>
      </x:c>
      <x:c r="S883" s="70"/>
    </x:row>
    <x:row r="884" ht="15" hidden="0">
      <x:c r="A884" s="70" t="s">
        <x:v>1756</x:v>
      </x:c>
      <x:c r="B884" s="70" t="s">
        <x:v>36</x:v>
      </x:c>
      <x:c r="C884" s="70" t="s">
        <x:v>717</x:v>
      </x:c>
      <x:c r="D884" s="70" t="s">
        <x:v>854</x:v>
      </x:c>
      <x:c r="E884" s="70" t="s">
        <x:v>855</x:v>
      </x:c>
      <x:c r="F884" s="70" t="s">
        <x:v>329</x:v>
      </x:c>
      <x:c r="G884" s="70" t="s">
        <x:v>1742</x:v>
      </x:c>
      <x:c r="H884" s="70" t="s">
        <x:v>832</x:v>
      </x:c>
      <x:c r="I884" s="70" t="s">
        <x:v>833</x:v>
      </x:c>
      <x:c r="J884" s="70" t="n">
        <x:v>139</x:v>
      </x:c>
      <x:c r="K884" s="70" t="s">
        <x:v>1757</x:v>
      </x:c>
      <x:c r="L884" s="70"/>
      <x:c r="M884" s="70" t="s">
        <x:v>39</x:v>
      </x:c>
      <x:c r="N884" s="71" t="n">
        <x:v>6358259</x:v>
      </x:c>
      <x:c r="O884" s="72" t="n">
        <x:f aca="0">N884/1000</x:f>
        <x:v>6358.259</x:v>
      </x:c>
      <x:c r="P884" s="73" t="n">
        <x:f aca="0">DGKC!C21</x:f>
        <x:v>6358.259</x:v>
      </x:c>
      <x:c r="Q884" s="70" t="str">
        <x:f aca="0">IF(ABS(O884-P884)&lt;0.000001,"PASS","FAIL")</x:f>
        <x:v>PASS</x:v>
      </x:c>
      <x:c r="R884" s="70" t="s">
        <x:v>33</x:v>
      </x:c>
      <x:c r="S884" s="70"/>
    </x:row>
    <x:row r="885" ht="15" hidden="0">
      <x:c r="A885" s="70" t="s">
        <x:v>1758</x:v>
      </x:c>
      <x:c r="B885" s="70" t="s">
        <x:v>36</x:v>
      </x:c>
      <x:c r="C885" s="70" t="s">
        <x:v>101</x:v>
      </x:c>
      <x:c r="D885" s="70" t="s">
        <x:v>854</x:v>
      </x:c>
      <x:c r="E885" s="70" t="s">
        <x:v>855</x:v>
      </x:c>
      <x:c r="F885" s="70" t="s">
        <x:v>329</x:v>
      </x:c>
      <x:c r="G885" s="70" t="s">
        <x:v>1745</x:v>
      </x:c>
      <x:c r="H885" s="70" t="s">
        <x:v>838</x:v>
      </x:c>
      <x:c r="I885" s="70" t="s">
        <x:v>833</x:v>
      </x:c>
      <x:c r="J885" s="70" t="n">
        <x:v>160</x:v>
      </x:c>
      <x:c r="K885" s="70" t="s">
        <x:v>1759</x:v>
      </x:c>
      <x:c r="L885" s="70"/>
      <x:c r="M885" s="70" t="s">
        <x:v>39</x:v>
      </x:c>
      <x:c r="N885" s="71" t="n">
        <x:v>7726720</x:v>
      </x:c>
      <x:c r="O885" s="72" t="n">
        <x:f aca="0">N885/1000</x:f>
        <x:v>7726.72</x:v>
      </x:c>
      <x:c r="P885" s="73" t="n">
        <x:f aca="0">DGKC!D21</x:f>
        <x:v>7726.72</x:v>
      </x:c>
      <x:c r="Q885" s="70" t="str">
        <x:f aca="0">IF(ABS(O885-P885)&lt;0.000001,"PASS","FAIL")</x:f>
        <x:v>PASS</x:v>
      </x:c>
      <x:c r="R885" s="70" t="s">
        <x:v>33</x:v>
      </x:c>
      <x:c r="S885" s="70"/>
    </x:row>
    <x:row r="886" ht="15" hidden="0">
      <x:c r="A886" s="70" t="s">
        <x:v>1760</x:v>
      </x:c>
      <x:c r="B886" s="70" t="s">
        <x:v>36</x:v>
      </x:c>
      <x:c r="C886" s="70" t="s">
        <x:v>102</x:v>
      </x:c>
      <x:c r="D886" s="70" t="s">
        <x:v>854</x:v>
      </x:c>
      <x:c r="E886" s="70" t="s">
        <x:v>855</x:v>
      </x:c>
      <x:c r="F886" s="70" t="s">
        <x:v>329</x:v>
      </x:c>
      <x:c r="G886" s="70" t="s">
        <x:v>1748</x:v>
      </x:c>
      <x:c r="H886" s="70" t="s">
        <x:v>842</x:v>
      </x:c>
      <x:c r="I886" s="70" t="s">
        <x:v>833</x:v>
      </x:c>
      <x:c r="J886" s="70" t="n">
        <x:v>185</x:v>
      </x:c>
      <x:c r="K886" s="70" t="s">
        <x:v>1761</x:v>
      </x:c>
      <x:c r="L886" s="70"/>
      <x:c r="M886" s="70" t="s">
        <x:v>39</x:v>
      </x:c>
      <x:c r="N886" s="71" t="n">
        <x:v>724168</x:v>
      </x:c>
      <x:c r="O886" s="72" t="n">
        <x:f aca="0">N886/1000</x:f>
        <x:v>724.168</x:v>
      </x:c>
      <x:c r="P886" s="73" t="n">
        <x:f aca="0">DGKC!E21</x:f>
        <x:v>724.168</x:v>
      </x:c>
      <x:c r="Q886" s="70" t="str">
        <x:f aca="0">IF(ABS(O886-P886)&lt;0.000001,"PASS","FAIL")</x:f>
        <x:v>PASS</x:v>
      </x:c>
      <x:c r="R886" s="70" t="s">
        <x:v>33</x:v>
      </x:c>
      <x:c r="S886" s="70"/>
    </x:row>
    <x:row r="887" ht="15" hidden="0">
      <x:c r="A887" s="70" t="s">
        <x:v>1762</x:v>
      </x:c>
      <x:c r="B887" s="70" t="s">
        <x:v>36</x:v>
      </x:c>
      <x:c r="C887" s="70" t="s">
        <x:v>103</x:v>
      </x:c>
      <x:c r="D887" s="70" t="s">
        <x:v>854</x:v>
      </x:c>
      <x:c r="E887" s="70" t="s">
        <x:v>855</x:v>
      </x:c>
      <x:c r="F887" s="70" t="s">
        <x:v>329</x:v>
      </x:c>
      <x:c r="G887" s="70" t="s">
        <x:v>1751</x:v>
      </x:c>
      <x:c r="H887" s="70" t="s">
        <x:v>845</x:v>
      </x:c>
      <x:c r="I887" s="70" t="s">
        <x:v>833</x:v>
      </x:c>
      <x:c r="J887" s="70" t="n">
        <x:v>187</x:v>
      </x:c>
      <x:c r="K887" s="70" t="s">
        <x:v>1763</x:v>
      </x:c>
      <x:c r="L887" s="70"/>
      <x:c r="M887" s="70" t="s">
        <x:v>39</x:v>
      </x:c>
      <x:c r="N887" s="71" t="n">
        <x:v>2006864</x:v>
      </x:c>
      <x:c r="O887" s="72" t="n">
        <x:f aca="0">N887/1000</x:f>
        <x:v>2006.864</x:v>
      </x:c>
      <x:c r="P887" s="73" t="n">
        <x:f aca="0">DGKC!F21</x:f>
        <x:v>2006.864</x:v>
      </x:c>
      <x:c r="Q887" s="70" t="str">
        <x:f aca="0">IF(ABS(O887-P887)&lt;0.000001,"PASS","FAIL")</x:f>
        <x:v>PASS</x:v>
      </x:c>
      <x:c r="R887" s="70" t="s">
        <x:v>33</x:v>
      </x:c>
      <x:c r="S887" s="70"/>
    </x:row>
    <x:row r="888" ht="15" hidden="0">
      <x:c r="A888" s="70" t="s">
        <x:v>1764</x:v>
      </x:c>
      <x:c r="B888" s="70" t="s">
        <x:v>36</x:v>
      </x:c>
      <x:c r="C888" s="70" t="s">
        <x:v>104</x:v>
      </x:c>
      <x:c r="D888" s="70" t="s">
        <x:v>854</x:v>
      </x:c>
      <x:c r="E888" s="70" t="s">
        <x:v>855</x:v>
      </x:c>
      <x:c r="F888" s="70" t="s">
        <x:v>329</x:v>
      </x:c>
      <x:c r="G888" s="70" t="s">
        <x:v>1753</x:v>
      </x:c>
      <x:c r="H888" s="70" t="s">
        <x:v>849</x:v>
      </x:c>
      <x:c r="I888" s="70" t="s">
        <x:v>833</x:v>
      </x:c>
      <x:c r="J888" s="70" t="n">
        <x:v>189</x:v>
      </x:c>
      <x:c r="K888" s="70" t="s">
        <x:v>1765</x:v>
      </x:c>
      <x:c r="L888" s="70"/>
      <x:c r="M888" s="70" t="s">
        <x:v>39</x:v>
      </x:c>
      <x:c r="N888" s="71" t="n">
        <x:v>1341029</x:v>
      </x:c>
      <x:c r="O888" s="72" t="n">
        <x:f aca="0">N888/1000</x:f>
        <x:v>1341.029</x:v>
      </x:c>
      <x:c r="P888" s="73" t="n">
        <x:f aca="0">DGKC!G21</x:f>
        <x:v>1341.029</x:v>
      </x:c>
      <x:c r="Q888" s="70" t="str">
        <x:f aca="0">IF(ABS(O888-P888)&lt;0.000001,"PASS","FAIL")</x:f>
        <x:v>PASS</x:v>
      </x:c>
      <x:c r="R888" s="70" t="s">
        <x:v>33</x:v>
      </x:c>
      <x:c r="S888" s="70"/>
    </x:row>
    <x:row r="889" ht="15" hidden="0">
      <x:c r="A889" s="70" t="s">
        <x:v>1766</x:v>
      </x:c>
      <x:c r="B889" s="70" t="s">
        <x:v>36</x:v>
      </x:c>
      <x:c r="C889" s="70" t="s">
        <x:v>105</x:v>
      </x:c>
      <x:c r="D889" s="70" t="s">
        <x:v>854</x:v>
      </x:c>
      <x:c r="E889" s="70" t="s">
        <x:v>855</x:v>
      </x:c>
      <x:c r="F889" s="70" t="s">
        <x:v>329</x:v>
      </x:c>
      <x:c r="G889" s="70" t="s">
        <x:v>1753</x:v>
      </x:c>
      <x:c r="H889" s="70" t="s">
        <x:v>849</x:v>
      </x:c>
      <x:c r="I889" s="70" t="s">
        <x:v>852</x:v>
      </x:c>
      <x:c r="J889" s="70" t="n">
        <x:v>189</x:v>
      </x:c>
      <x:c r="K889" s="70" t="s">
        <x:v>1765</x:v>
      </x:c>
      <x:c r="L889" s="70"/>
      <x:c r="M889" s="70" t="s">
        <x:v>39</x:v>
      </x:c>
      <x:c r="N889" s="71" t="n">
        <x:v>798312</x:v>
      </x:c>
      <x:c r="O889" s="72" t="n">
        <x:f aca="0">N889/1000</x:f>
        <x:v>798.312</x:v>
      </x:c>
      <x:c r="P889" s="73" t="n">
        <x:f aca="0">DGKC!H21</x:f>
        <x:v>798.312</x:v>
      </x:c>
      <x:c r="Q889" s="70" t="str">
        <x:f aca="0">IF(ABS(O889-P889)&lt;0.000001,"PASS","FAIL")</x:f>
        <x:v>PASS</x:v>
      </x:c>
      <x:c r="R889" s="70" t="s">
        <x:v>33</x:v>
      </x:c>
      <x:c r="S889" s="70"/>
    </x:row>
    <x:row r="890" ht="15" hidden="0">
      <x:c r="A890" s="70" t="s">
        <x:v>1767</x:v>
      </x:c>
      <x:c r="B890" s="70" t="s">
        <x:v>36</x:v>
      </x:c>
      <x:c r="C890" s="70" t="s">
        <x:v>717</x:v>
      </x:c>
      <x:c r="D890" s="70" t="s">
        <x:v>116</x:v>
      </x:c>
      <x:c r="E890" s="70" t="s">
        <x:v>763</x:v>
      </x:c>
      <x:c r="F890" s="70"/>
      <x:c r="G890" s="70" t="s">
        <x:v>1742</x:v>
      </x:c>
      <x:c r="H890" s="70" t="s">
        <x:v>832</x:v>
      </x:c>
      <x:c r="I890" s="70" t="s">
        <x:v>833</x:v>
      </x:c>
      <x:c r="J890" s="70" t="n">
        <x:v>105</x:v>
      </x:c>
      <x:c r="K890" s="70" t="s">
        <x:v>1768</x:v>
      </x:c>
      <x:c r="L890" s="70"/>
      <x:c r="M890" s="70" t="s">
        <x:v>39</x:v>
      </x:c>
      <x:c r="N890" s="71" t="n">
        <x:v>0</x:v>
      </x:c>
      <x:c r="O890" s="72" t="n">
        <x:f aca="0">N890/1000</x:f>
        <x:v>0</x:v>
      </x:c>
      <x:c r="P890" s="73" t="n">
        <x:f aca="0">DGKC!C23</x:f>
        <x:v>0</x:v>
      </x:c>
      <x:c r="Q890" s="70" t="str">
        <x:f aca="0">IF(ABS(O890-P890)&lt;0.000001,"PASS","FAIL")</x:f>
        <x:v>PASS</x:v>
      </x:c>
      <x:c r="R890" s="70" t="s">
        <x:v>33</x:v>
      </x:c>
      <x:c r="S890" s="70"/>
    </x:row>
    <x:row r="891" ht="15" hidden="0">
      <x:c r="A891" s="70" t="s">
        <x:v>1769</x:v>
      </x:c>
      <x:c r="B891" s="70" t="s">
        <x:v>36</x:v>
      </x:c>
      <x:c r="C891" s="70" t="s">
        <x:v>101</x:v>
      </x:c>
      <x:c r="D891" s="70" t="s">
        <x:v>116</x:v>
      </x:c>
      <x:c r="E891" s="70" t="s">
        <x:v>763</x:v>
      </x:c>
      <x:c r="F891" s="70"/>
      <x:c r="G891" s="70" t="s">
        <x:v>1745</x:v>
      </x:c>
      <x:c r="H891" s="70" t="s">
        <x:v>838</x:v>
      </x:c>
      <x:c r="I891" s="70" t="s">
        <x:v>833</x:v>
      </x:c>
      <x:c r="J891" s="70" t="n">
        <x:v>125</x:v>
      </x:c>
      <x:c r="K891" s="70" t="s">
        <x:v>1770</x:v>
      </x:c>
      <x:c r="L891" s="70"/>
      <x:c r="M891" s="70" t="s">
        <x:v>39</x:v>
      </x:c>
      <x:c r="N891" s="71" t="n">
        <x:v>0</x:v>
      </x:c>
      <x:c r="O891" s="72" t="n">
        <x:f aca="0">N891/1000</x:f>
        <x:v>0</x:v>
      </x:c>
      <x:c r="P891" s="73" t="n">
        <x:f aca="0">DGKC!D23</x:f>
        <x:v>0</x:v>
      </x:c>
      <x:c r="Q891" s="70" t="str">
        <x:f aca="0">IF(ABS(O891-P891)&lt;0.000001,"PASS","FAIL")</x:f>
        <x:v>PASS</x:v>
      </x:c>
      <x:c r="R891" s="70" t="s">
        <x:v>33</x:v>
      </x:c>
      <x:c r="S891" s="70"/>
    </x:row>
    <x:row r="892" ht="15" hidden="0">
      <x:c r="A892" s="70" t="s">
        <x:v>1771</x:v>
      </x:c>
      <x:c r="B892" s="70" t="s">
        <x:v>36</x:v>
      </x:c>
      <x:c r="C892" s="70" t="s">
        <x:v>102</x:v>
      </x:c>
      <x:c r="D892" s="70" t="s">
        <x:v>116</x:v>
      </x:c>
      <x:c r="E892" s="70" t="s">
        <x:v>763</x:v>
      </x:c>
      <x:c r="F892" s="70"/>
      <x:c r="G892" s="70" t="s">
        <x:v>1748</x:v>
      </x:c>
      <x:c r="H892" s="70" t="s">
        <x:v>842</x:v>
      </x:c>
      <x:c r="I892" s="70" t="s">
        <x:v>833</x:v>
      </x:c>
      <x:c r="J892" s="70" t="n">
        <x:v>151</x:v>
      </x:c>
      <x:c r="K892" s="70" t="s">
        <x:v>1772</x:v>
      </x:c>
      <x:c r="L892" s="70"/>
      <x:c r="M892" s="70" t="s">
        <x:v>39</x:v>
      </x:c>
      <x:c r="N892" s="71" t="n">
        <x:v>0</x:v>
      </x:c>
      <x:c r="O892" s="72" t="n">
        <x:f aca="0">N892/1000</x:f>
        <x:v>0</x:v>
      </x:c>
      <x:c r="P892" s="73" t="n">
        <x:f aca="0">DGKC!E23</x:f>
        <x:v>0</x:v>
      </x:c>
      <x:c r="Q892" s="70" t="str">
        <x:f aca="0">IF(ABS(O892-P892)&lt;0.000001,"PASS","FAIL")</x:f>
        <x:v>PASS</x:v>
      </x:c>
      <x:c r="R892" s="70" t="s">
        <x:v>33</x:v>
      </x:c>
      <x:c r="S892" s="70"/>
    </x:row>
    <x:row r="893" ht="15" hidden="0">
      <x:c r="A893" s="70" t="s">
        <x:v>1773</x:v>
      </x:c>
      <x:c r="B893" s="70" t="s">
        <x:v>36</x:v>
      </x:c>
      <x:c r="C893" s="70" t="s">
        <x:v>103</x:v>
      </x:c>
      <x:c r="D893" s="70" t="s">
        <x:v>116</x:v>
      </x:c>
      <x:c r="E893" s="70" t="s">
        <x:v>763</x:v>
      </x:c>
      <x:c r="F893" s="70"/>
      <x:c r="G893" s="70" t="s">
        <x:v>1751</x:v>
      </x:c>
      <x:c r="H893" s="70" t="s">
        <x:v>845</x:v>
      </x:c>
      <x:c r="I893" s="70" t="s">
        <x:v>833</x:v>
      </x:c>
      <x:c r="J893" s="70" t="n">
        <x:v>151</x:v>
      </x:c>
      <x:c r="K893" s="70" t="s">
        <x:v>1772</x:v>
      </x:c>
      <x:c r="L893" s="70"/>
      <x:c r="M893" s="70" t="s">
        <x:v>39</x:v>
      </x:c>
      <x:c r="N893" s="71" t="n">
        <x:v>0</x:v>
      </x:c>
      <x:c r="O893" s="72" t="n">
        <x:f aca="0">N893/1000</x:f>
        <x:v>0</x:v>
      </x:c>
      <x:c r="P893" s="73" t="n">
        <x:f aca="0">DGKC!F23</x:f>
        <x:v>0</x:v>
      </x:c>
      <x:c r="Q893" s="70" t="str">
        <x:f aca="0">IF(ABS(O893-P893)&lt;0.000001,"PASS","FAIL")</x:f>
        <x:v>PASS</x:v>
      </x:c>
      <x:c r="R893" s="70" t="s">
        <x:v>33</x:v>
      </x:c>
      <x:c r="S893" s="70"/>
    </x:row>
    <x:row r="894" ht="15" hidden="0">
      <x:c r="A894" s="70" t="s">
        <x:v>1774</x:v>
      </x:c>
      <x:c r="B894" s="70" t="s">
        <x:v>36</x:v>
      </x:c>
      <x:c r="C894" s="70" t="s">
        <x:v>104</x:v>
      </x:c>
      <x:c r="D894" s="70" t="s">
        <x:v>116</x:v>
      </x:c>
      <x:c r="E894" s="70" t="s">
        <x:v>763</x:v>
      </x:c>
      <x:c r="F894" s="70"/>
      <x:c r="G894" s="70" t="s">
        <x:v>1753</x:v>
      </x:c>
      <x:c r="H894" s="70" t="s">
        <x:v>849</x:v>
      </x:c>
      <x:c r="I894" s="70" t="s">
        <x:v>833</x:v>
      </x:c>
      <x:c r="J894" s="70" t="n">
        <x:v>153</x:v>
      </x:c>
      <x:c r="K894" s="70" t="s">
        <x:v>1775</x:v>
      </x:c>
      <x:c r="L894" s="70"/>
      <x:c r="M894" s="70" t="s">
        <x:v>39</x:v>
      </x:c>
      <x:c r="N894" s="71" t="n">
        <x:v>0</x:v>
      </x:c>
      <x:c r="O894" s="72" t="n">
        <x:f aca="0">N894/1000</x:f>
        <x:v>0</x:v>
      </x:c>
      <x:c r="P894" s="73" t="n">
        <x:f aca="0">DGKC!G23</x:f>
        <x:v>0</x:v>
      </x:c>
      <x:c r="Q894" s="70" t="str">
        <x:f aca="0">IF(ABS(O894-P894)&lt;0.000001,"PASS","FAIL")</x:f>
        <x:v>PASS</x:v>
      </x:c>
      <x:c r="R894" s="70" t="s">
        <x:v>33</x:v>
      </x:c>
      <x:c r="S894" s="70"/>
    </x:row>
    <x:row r="895" ht="15" hidden="0">
      <x:c r="A895" s="70" t="s">
        <x:v>1776</x:v>
      </x:c>
      <x:c r="B895" s="70" t="s">
        <x:v>36</x:v>
      </x:c>
      <x:c r="C895" s="70" t="s">
        <x:v>105</x:v>
      </x:c>
      <x:c r="D895" s="70" t="s">
        <x:v>116</x:v>
      </x:c>
      <x:c r="E895" s="70" t="s">
        <x:v>763</x:v>
      </x:c>
      <x:c r="F895" s="70"/>
      <x:c r="G895" s="70" t="s">
        <x:v>1753</x:v>
      </x:c>
      <x:c r="H895" s="70" t="s">
        <x:v>849</x:v>
      </x:c>
      <x:c r="I895" s="70" t="s">
        <x:v>852</x:v>
      </x:c>
      <x:c r="J895" s="70" t="n">
        <x:v>153</x:v>
      </x:c>
      <x:c r="K895" s="70" t="s">
        <x:v>1775</x:v>
      </x:c>
      <x:c r="L895" s="70"/>
      <x:c r="M895" s="70" t="s">
        <x:v>39</x:v>
      </x:c>
      <x:c r="N895" s="71" t="n">
        <x:v>0</x:v>
      </x:c>
      <x:c r="O895" s="72" t="n">
        <x:f aca="0">N895/1000</x:f>
        <x:v>0</x:v>
      </x:c>
      <x:c r="P895" s="73" t="n">
        <x:f aca="0">DGKC!H23</x:f>
        <x:v>0</x:v>
      </x:c>
      <x:c r="Q895" s="70" t="str">
        <x:f aca="0">IF(ABS(O895-P895)&lt;0.000001,"PASS","FAIL")</x:f>
        <x:v>PASS</x:v>
      </x:c>
      <x:c r="R895" s="70" t="s">
        <x:v>33</x:v>
      </x:c>
      <x:c r="S895" s="70"/>
    </x:row>
    <x:row r="896" ht="15" hidden="0">
      <x:c r="A896" s="70" t="s">
        <x:v>1777</x:v>
      </x:c>
      <x:c r="B896" s="70" t="s">
        <x:v>36</x:v>
      </x:c>
      <x:c r="C896" s="70" t="s">
        <x:v>717</x:v>
      </x:c>
      <x:c r="D896" s="70" t="s">
        <x:v>118</x:v>
      </x:c>
      <x:c r="E896" s="70" t="s">
        <x:v>763</x:v>
      </x:c>
      <x:c r="F896" s="70"/>
      <x:c r="G896" s="70" t="s">
        <x:v>1742</x:v>
      </x:c>
      <x:c r="H896" s="70" t="s">
        <x:v>832</x:v>
      </x:c>
      <x:c r="I896" s="70" t="s">
        <x:v>833</x:v>
      </x:c>
      <x:c r="J896" s="70" t="n">
        <x:v>105</x:v>
      </x:c>
      <x:c r="K896" s="70" t="s">
        <x:v>1768</x:v>
      </x:c>
      <x:c r="L896" s="70"/>
      <x:c r="M896" s="70" t="s">
        <x:v>39</x:v>
      </x:c>
      <x:c r="N896" s="71" t="n">
        <x:v>0</x:v>
      </x:c>
      <x:c r="O896" s="72" t="n">
        <x:f aca="0">N896/1000</x:f>
        <x:v>0</x:v>
      </x:c>
      <x:c r="P896" s="73" t="n">
        <x:f aca="0">DGKC!C24</x:f>
        <x:v>0</x:v>
      </x:c>
      <x:c r="Q896" s="70" t="str">
        <x:f aca="0">IF(ABS(O896-P896)&lt;0.000001,"PASS","FAIL")</x:f>
        <x:v>PASS</x:v>
      </x:c>
      <x:c r="R896" s="70" t="s">
        <x:v>33</x:v>
      </x:c>
      <x:c r="S896" s="70"/>
    </x:row>
    <x:row r="897" ht="15" hidden="0">
      <x:c r="A897" s="70" t="s">
        <x:v>1778</x:v>
      </x:c>
      <x:c r="B897" s="70" t="s">
        <x:v>36</x:v>
      </x:c>
      <x:c r="C897" s="70" t="s">
        <x:v>101</x:v>
      </x:c>
      <x:c r="D897" s="70" t="s">
        <x:v>118</x:v>
      </x:c>
      <x:c r="E897" s="70" t="s">
        <x:v>763</x:v>
      </x:c>
      <x:c r="F897" s="70" t="s">
        <x:v>1779</x:v>
      </x:c>
      <x:c r="G897" s="70" t="s">
        <x:v>1745</x:v>
      </x:c>
      <x:c r="H897" s="70" t="s">
        <x:v>838</x:v>
      </x:c>
      <x:c r="I897" s="70" t="s">
        <x:v>833</x:v>
      </x:c>
      <x:c r="J897" s="70" t="n">
        <x:v>126</x:v>
      </x:c>
      <x:c r="K897" s="70" t="s">
        <x:v>1746</x:v>
      </x:c>
      <x:c r="L897" s="70" t="s">
        <x:v>880</x:v>
      </x:c>
      <x:c r="M897" s="70" t="s">
        <x:v>39</x:v>
      </x:c>
      <x:c r="N897" s="71" t="n">
        <x:v>0</x:v>
      </x:c>
      <x:c r="O897" s="72" t="n">
        <x:f aca="0">N897/1000</x:f>
        <x:v>0</x:v>
      </x:c>
      <x:c r="P897" s="73" t="n">
        <x:f aca="0">DGKC!D24</x:f>
        <x:v>0</x:v>
      </x:c>
      <x:c r="Q897" s="70" t="str">
        <x:f aca="0">IF(ABS(O897-P897)&lt;0.000001,"PASS","FAIL")</x:f>
        <x:v>PASS</x:v>
      </x:c>
      <x:c r="R897" s="70" t="s">
        <x:v>33</x:v>
      </x:c>
      <x:c r="S897" s="70"/>
    </x:row>
    <x:row r="898" ht="15" hidden="0">
      <x:c r="A898" s="70" t="s">
        <x:v>1780</x:v>
      </x:c>
      <x:c r="B898" s="70" t="s">
        <x:v>36</x:v>
      </x:c>
      <x:c r="C898" s="70" t="s">
        <x:v>102</x:v>
      </x:c>
      <x:c r="D898" s="70" t="s">
        <x:v>118</x:v>
      </x:c>
      <x:c r="E898" s="70" t="s">
        <x:v>763</x:v>
      </x:c>
      <x:c r="F898" s="70" t="s">
        <x:v>1779</x:v>
      </x:c>
      <x:c r="G898" s="70" t="s">
        <x:v>1748</x:v>
      </x:c>
      <x:c r="H898" s="70" t="s">
        <x:v>842</x:v>
      </x:c>
      <x:c r="I898" s="70" t="s">
        <x:v>833</x:v>
      </x:c>
      <x:c r="J898" s="70" t="n">
        <x:v>152</x:v>
      </x:c>
      <x:c r="K898" s="70" t="s">
        <x:v>1749</x:v>
      </x:c>
      <x:c r="L898" s="70" t="s">
        <x:v>880</x:v>
      </x:c>
      <x:c r="M898" s="70" t="s">
        <x:v>39</x:v>
      </x:c>
      <x:c r="N898" s="71" t="n">
        <x:v>17319</x:v>
      </x:c>
      <x:c r="O898" s="72" t="n">
        <x:f aca="0">N898/1000</x:f>
        <x:v>17.319</x:v>
      </x:c>
      <x:c r="P898" s="73" t="n">
        <x:f aca="0">DGKC!E24</x:f>
        <x:v>17.319</x:v>
      </x:c>
      <x:c r="Q898" s="70" t="str">
        <x:f aca="0">IF(ABS(O898-P898)&lt;0.000001,"PASS","FAIL")</x:f>
        <x:v>PASS</x:v>
      </x:c>
      <x:c r="R898" s="70" t="s">
        <x:v>33</x:v>
      </x:c>
      <x:c r="S898" s="70"/>
    </x:row>
    <x:row r="899" ht="15" hidden="0">
      <x:c r="A899" s="70" t="s">
        <x:v>1781</x:v>
      </x:c>
      <x:c r="B899" s="70" t="s">
        <x:v>36</x:v>
      </x:c>
      <x:c r="C899" s="70" t="s">
        <x:v>103</x:v>
      </x:c>
      <x:c r="D899" s="70" t="s">
        <x:v>118</x:v>
      </x:c>
      <x:c r="E899" s="70" t="s">
        <x:v>763</x:v>
      </x:c>
      <x:c r="F899" s="70" t="s">
        <x:v>118</x:v>
      </x:c>
      <x:c r="G899" s="70" t="s">
        <x:v>1751</x:v>
      </x:c>
      <x:c r="H899" s="70" t="s">
        <x:v>845</x:v>
      </x:c>
      <x:c r="I899" s="70" t="s">
        <x:v>833</x:v>
      </x:c>
      <x:c r="J899" s="70" t="n">
        <x:v>152</x:v>
      </x:c>
      <x:c r="K899" s="70" t="s">
        <x:v>1749</x:v>
      </x:c>
      <x:c r="L899" s="70" t="s">
        <x:v>880</x:v>
      </x:c>
      <x:c r="M899" s="70" t="s">
        <x:v>39</x:v>
      </x:c>
      <x:c r="N899" s="71" t="n">
        <x:v>10152</x:v>
      </x:c>
      <x:c r="O899" s="72" t="n">
        <x:f aca="0">N899/1000</x:f>
        <x:v>10.152</x:v>
      </x:c>
      <x:c r="P899" s="73" t="n">
        <x:f aca="0">DGKC!F24</x:f>
        <x:v>10.152</x:v>
      </x:c>
      <x:c r="Q899" s="70" t="str">
        <x:f aca="0">IF(ABS(O899-P899)&lt;0.000001,"PASS","FAIL")</x:f>
        <x:v>PASS</x:v>
      </x:c>
      <x:c r="R899" s="70" t="s">
        <x:v>33</x:v>
      </x:c>
      <x:c r="S899" s="70"/>
    </x:row>
    <x:row r="900" ht="15" hidden="0">
      <x:c r="A900" s="70" t="s">
        <x:v>1782</x:v>
      </x:c>
      <x:c r="B900" s="70" t="s">
        <x:v>36</x:v>
      </x:c>
      <x:c r="C900" s="70" t="s">
        <x:v>104</x:v>
      </x:c>
      <x:c r="D900" s="70" t="s">
        <x:v>118</x:v>
      </x:c>
      <x:c r="E900" s="70" t="s">
        <x:v>763</x:v>
      </x:c>
      <x:c r="F900" s="70" t="s">
        <x:v>118</x:v>
      </x:c>
      <x:c r="G900" s="70" t="s">
        <x:v>1753</x:v>
      </x:c>
      <x:c r="H900" s="70" t="s">
        <x:v>849</x:v>
      </x:c>
      <x:c r="I900" s="70" t="s">
        <x:v>833</x:v>
      </x:c>
      <x:c r="J900" s="70" t="n">
        <x:v>154</x:v>
      </x:c>
      <x:c r="K900" s="70" t="s">
        <x:v>1754</x:v>
      </x:c>
      <x:c r="L900" s="70" t="s">
        <x:v>880</x:v>
      </x:c>
      <x:c r="M900" s="70" t="s">
        <x:v>39</x:v>
      </x:c>
      <x:c r="N900" s="71" t="n">
        <x:v>42762</x:v>
      </x:c>
      <x:c r="O900" s="72" t="n">
        <x:f aca="0">N900/1000</x:f>
        <x:v>42.762</x:v>
      </x:c>
      <x:c r="P900" s="73" t="n">
        <x:f aca="0">DGKC!G24</x:f>
        <x:v>42.762</x:v>
      </x:c>
      <x:c r="Q900" s="70" t="str">
        <x:f aca="0">IF(ABS(O900-P900)&lt;0.000001,"PASS","FAIL")</x:f>
        <x:v>PASS</x:v>
      </x:c>
      <x:c r="R900" s="70" t="s">
        <x:v>33</x:v>
      </x:c>
      <x:c r="S900" s="70"/>
    </x:row>
    <x:row r="901" ht="15" hidden="0">
      <x:c r="A901" s="70" t="s">
        <x:v>1783</x:v>
      </x:c>
      <x:c r="B901" s="70" t="s">
        <x:v>36</x:v>
      </x:c>
      <x:c r="C901" s="70" t="s">
        <x:v>105</x:v>
      </x:c>
      <x:c r="D901" s="70" t="s">
        <x:v>118</x:v>
      </x:c>
      <x:c r="E901" s="70" t="s">
        <x:v>763</x:v>
      </x:c>
      <x:c r="F901" s="70" t="s">
        <x:v>118</x:v>
      </x:c>
      <x:c r="G901" s="70" t="s">
        <x:v>1753</x:v>
      </x:c>
      <x:c r="H901" s="70" t="s">
        <x:v>849</x:v>
      </x:c>
      <x:c r="I901" s="70" t="s">
        <x:v>852</x:v>
      </x:c>
      <x:c r="J901" s="70" t="n">
        <x:v>154</x:v>
      </x:c>
      <x:c r="K901" s="70" t="s">
        <x:v>1754</x:v>
      </x:c>
      <x:c r="L901" s="70" t="s">
        <x:v>880</x:v>
      </x:c>
      <x:c r="M901" s="70" t="s">
        <x:v>39</x:v>
      </x:c>
      <x:c r="N901" s="71" t="n">
        <x:v>13076</x:v>
      </x:c>
      <x:c r="O901" s="72" t="n">
        <x:f aca="0">N901/1000</x:f>
        <x:v>13.076</x:v>
      </x:c>
      <x:c r="P901" s="73" t="n">
        <x:f aca="0">DGKC!H24</x:f>
        <x:v>13.076</x:v>
      </x:c>
      <x:c r="Q901" s="70" t="str">
        <x:f aca="0">IF(ABS(O901-P901)&lt;0.000001,"PASS","FAIL")</x:f>
        <x:v>PASS</x:v>
      </x:c>
      <x:c r="R901" s="70" t="s">
        <x:v>33</x:v>
      </x:c>
      <x:c r="S901" s="70"/>
    </x:row>
    <x:row r="902" ht="15" hidden="0">
      <x:c r="A902" s="70" t="s">
        <x:v>1784</x:v>
      </x:c>
      <x:c r="B902" s="70" t="s">
        <x:v>36</x:v>
      </x:c>
      <x:c r="C902" s="70" t="s">
        <x:v>717</x:v>
      </x:c>
      <x:c r="D902" s="70" t="s">
        <x:v>120</x:v>
      </x:c>
      <x:c r="E902" s="70" t="s">
        <x:v>763</x:v>
      </x:c>
      <x:c r="F902" s="70"/>
      <x:c r="G902" s="70" t="s">
        <x:v>1742</x:v>
      </x:c>
      <x:c r="H902" s="70" t="s">
        <x:v>832</x:v>
      </x:c>
      <x:c r="I902" s="70" t="s">
        <x:v>833</x:v>
      </x:c>
      <x:c r="J902" s="70" t="n">
        <x:v>105</x:v>
      </x:c>
      <x:c r="K902" s="70" t="s">
        <x:v>1768</x:v>
      </x:c>
      <x:c r="L902" s="70"/>
      <x:c r="M902" s="70" t="s">
        <x:v>39</x:v>
      </x:c>
      <x:c r="N902" s="71" t="n">
        <x:v>0</x:v>
      </x:c>
      <x:c r="O902" s="72" t="n">
        <x:f aca="0">N902/1000</x:f>
        <x:v>0</x:v>
      </x:c>
      <x:c r="P902" s="73" t="n">
        <x:f aca="0">DGKC!C25</x:f>
        <x:v>0</x:v>
      </x:c>
      <x:c r="Q902" s="70" t="str">
        <x:f aca="0">IF(ABS(O902-P902)&lt;0.000001,"PASS","FAIL")</x:f>
        <x:v>PASS</x:v>
      </x:c>
      <x:c r="R902" s="70" t="s">
        <x:v>33</x:v>
      </x:c>
      <x:c r="S902" s="70"/>
    </x:row>
    <x:row r="903" ht="15" hidden="0">
      <x:c r="A903" s="70" t="s">
        <x:v>1785</x:v>
      </x:c>
      <x:c r="B903" s="70" t="s">
        <x:v>36</x:v>
      </x:c>
      <x:c r="C903" s="70" t="s">
        <x:v>101</x:v>
      </x:c>
      <x:c r="D903" s="70" t="s">
        <x:v>120</x:v>
      </x:c>
      <x:c r="E903" s="70" t="s">
        <x:v>763</x:v>
      </x:c>
      <x:c r="F903" s="70"/>
      <x:c r="G903" s="70" t="s">
        <x:v>1745</x:v>
      </x:c>
      <x:c r="H903" s="70" t="s">
        <x:v>838</x:v>
      </x:c>
      <x:c r="I903" s="70" t="s">
        <x:v>833</x:v>
      </x:c>
      <x:c r="J903" s="70" t="n">
        <x:v>125</x:v>
      </x:c>
      <x:c r="K903" s="70" t="s">
        <x:v>1770</x:v>
      </x:c>
      <x:c r="L903" s="70"/>
      <x:c r="M903" s="70" t="s">
        <x:v>39</x:v>
      </x:c>
      <x:c r="N903" s="71" t="n">
        <x:v>0</x:v>
      </x:c>
      <x:c r="O903" s="72" t="n">
        <x:f aca="0">N903/1000</x:f>
        <x:v>0</x:v>
      </x:c>
      <x:c r="P903" s="73" t="n">
        <x:f aca="0">DGKC!D25</x:f>
        <x:v>0</x:v>
      </x:c>
      <x:c r="Q903" s="70" t="str">
        <x:f aca="0">IF(ABS(O903-P903)&lt;0.000001,"PASS","FAIL")</x:f>
        <x:v>PASS</x:v>
      </x:c>
      <x:c r="R903" s="70" t="s">
        <x:v>33</x:v>
      </x:c>
      <x:c r="S903" s="70"/>
    </x:row>
    <x:row r="904" ht="15" hidden="0">
      <x:c r="A904" s="70" t="s">
        <x:v>1786</x:v>
      </x:c>
      <x:c r="B904" s="70" t="s">
        <x:v>36</x:v>
      </x:c>
      <x:c r="C904" s="70" t="s">
        <x:v>102</x:v>
      </x:c>
      <x:c r="D904" s="70" t="s">
        <x:v>120</x:v>
      </x:c>
      <x:c r="E904" s="70" t="s">
        <x:v>763</x:v>
      </x:c>
      <x:c r="F904" s="70"/>
      <x:c r="G904" s="70" t="s">
        <x:v>1748</x:v>
      </x:c>
      <x:c r="H904" s="70" t="s">
        <x:v>842</x:v>
      </x:c>
      <x:c r="I904" s="70" t="s">
        <x:v>833</x:v>
      </x:c>
      <x:c r="J904" s="70" t="n">
        <x:v>151</x:v>
      </x:c>
      <x:c r="K904" s="70" t="s">
        <x:v>1772</x:v>
      </x:c>
      <x:c r="L904" s="70"/>
      <x:c r="M904" s="70" t="s">
        <x:v>39</x:v>
      </x:c>
      <x:c r="N904" s="71" t="n">
        <x:v>0</x:v>
      </x:c>
      <x:c r="O904" s="72" t="n">
        <x:f aca="0">N904/1000</x:f>
        <x:v>0</x:v>
      </x:c>
      <x:c r="P904" s="73" t="n">
        <x:f aca="0">DGKC!E25</x:f>
        <x:v>0</x:v>
      </x:c>
      <x:c r="Q904" s="70" t="str">
        <x:f aca="0">IF(ABS(O904-P904)&lt;0.000001,"PASS","FAIL")</x:f>
        <x:v>PASS</x:v>
      </x:c>
      <x:c r="R904" s="70" t="s">
        <x:v>33</x:v>
      </x:c>
      <x:c r="S904" s="70"/>
    </x:row>
    <x:row r="905" ht="15" hidden="0">
      <x:c r="A905" s="70" t="s">
        <x:v>1787</x:v>
      </x:c>
      <x:c r="B905" s="70" t="s">
        <x:v>36</x:v>
      </x:c>
      <x:c r="C905" s="70" t="s">
        <x:v>103</x:v>
      </x:c>
      <x:c r="D905" s="70" t="s">
        <x:v>120</x:v>
      </x:c>
      <x:c r="E905" s="70" t="s">
        <x:v>763</x:v>
      </x:c>
      <x:c r="F905" s="70"/>
      <x:c r="G905" s="70" t="s">
        <x:v>1751</x:v>
      </x:c>
      <x:c r="H905" s="70" t="s">
        <x:v>845</x:v>
      </x:c>
      <x:c r="I905" s="70" t="s">
        <x:v>833</x:v>
      </x:c>
      <x:c r="J905" s="70" t="n">
        <x:v>151</x:v>
      </x:c>
      <x:c r="K905" s="70" t="s">
        <x:v>1772</x:v>
      </x:c>
      <x:c r="L905" s="70"/>
      <x:c r="M905" s="70" t="s">
        <x:v>39</x:v>
      </x:c>
      <x:c r="N905" s="71" t="n">
        <x:v>0</x:v>
      </x:c>
      <x:c r="O905" s="72" t="n">
        <x:f aca="0">N905/1000</x:f>
        <x:v>0</x:v>
      </x:c>
      <x:c r="P905" s="73" t="n">
        <x:f aca="0">DGKC!F25</x:f>
        <x:v>0</x:v>
      </x:c>
      <x:c r="Q905" s="70" t="str">
        <x:f aca="0">IF(ABS(O905-P905)&lt;0.000001,"PASS","FAIL")</x:f>
        <x:v>PASS</x:v>
      </x:c>
      <x:c r="R905" s="70" t="s">
        <x:v>33</x:v>
      </x:c>
      <x:c r="S905" s="70"/>
    </x:row>
    <x:row r="906" ht="15" hidden="0">
      <x:c r="A906" s="70" t="s">
        <x:v>1788</x:v>
      </x:c>
      <x:c r="B906" s="70" t="s">
        <x:v>36</x:v>
      </x:c>
      <x:c r="C906" s="70" t="s">
        <x:v>104</x:v>
      </x:c>
      <x:c r="D906" s="70" t="s">
        <x:v>120</x:v>
      </x:c>
      <x:c r="E906" s="70" t="s">
        <x:v>763</x:v>
      </x:c>
      <x:c r="F906" s="70"/>
      <x:c r="G906" s="70" t="s">
        <x:v>1753</x:v>
      </x:c>
      <x:c r="H906" s="70" t="s">
        <x:v>849</x:v>
      </x:c>
      <x:c r="I906" s="70" t="s">
        <x:v>833</x:v>
      </x:c>
      <x:c r="J906" s="70" t="n">
        <x:v>153</x:v>
      </x:c>
      <x:c r="K906" s="70" t="s">
        <x:v>1775</x:v>
      </x:c>
      <x:c r="L906" s="70"/>
      <x:c r="M906" s="70" t="s">
        <x:v>39</x:v>
      </x:c>
      <x:c r="N906" s="71" t="n">
        <x:v>0</x:v>
      </x:c>
      <x:c r="O906" s="72" t="n">
        <x:f aca="0">N906/1000</x:f>
        <x:v>0</x:v>
      </x:c>
      <x:c r="P906" s="73" t="n">
        <x:f aca="0">DGKC!G25</x:f>
        <x:v>0</x:v>
      </x:c>
      <x:c r="Q906" s="70" t="str">
        <x:f aca="0">IF(ABS(O906-P906)&lt;0.000001,"PASS","FAIL")</x:f>
        <x:v>PASS</x:v>
      </x:c>
      <x:c r="R906" s="70" t="s">
        <x:v>33</x:v>
      </x:c>
      <x:c r="S906" s="70"/>
    </x:row>
    <x:row r="907" ht="15" hidden="0">
      <x:c r="A907" s="70" t="s">
        <x:v>1789</x:v>
      </x:c>
      <x:c r="B907" s="70" t="s">
        <x:v>36</x:v>
      </x:c>
      <x:c r="C907" s="70" t="s">
        <x:v>105</x:v>
      </x:c>
      <x:c r="D907" s="70" t="s">
        <x:v>120</x:v>
      </x:c>
      <x:c r="E907" s="70" t="s">
        <x:v>763</x:v>
      </x:c>
      <x:c r="F907" s="70"/>
      <x:c r="G907" s="70" t="s">
        <x:v>1753</x:v>
      </x:c>
      <x:c r="H907" s="70" t="s">
        <x:v>849</x:v>
      </x:c>
      <x:c r="I907" s="70" t="s">
        <x:v>852</x:v>
      </x:c>
      <x:c r="J907" s="70" t="n">
        <x:v>153</x:v>
      </x:c>
      <x:c r="K907" s="70" t="s">
        <x:v>1775</x:v>
      </x:c>
      <x:c r="L907" s="70"/>
      <x:c r="M907" s="70" t="s">
        <x:v>39</x:v>
      </x:c>
      <x:c r="N907" s="71" t="n">
        <x:v>0</x:v>
      </x:c>
      <x:c r="O907" s="72" t="n">
        <x:f aca="0">N907/1000</x:f>
        <x:v>0</x:v>
      </x:c>
      <x:c r="P907" s="73" t="n">
        <x:f aca="0">DGKC!H25</x:f>
        <x:v>0</x:v>
      </x:c>
      <x:c r="Q907" s="70" t="str">
        <x:f aca="0">IF(ABS(O907-P907)&lt;0.000001,"PASS","FAIL")</x:f>
        <x:v>PASS</x:v>
      </x:c>
      <x:c r="R907" s="70" t="s">
        <x:v>33</x:v>
      </x:c>
      <x:c r="S907" s="70"/>
    </x:row>
    <x:row r="908" ht="15" hidden="0">
      <x:c r="A908" s="70" t="s">
        <x:v>1790</x:v>
      </x:c>
      <x:c r="B908" s="70" t="s">
        <x:v>36</x:v>
      </x:c>
      <x:c r="C908" s="70" t="s">
        <x:v>717</x:v>
      </x:c>
      <x:c r="D908" s="70" t="s">
        <x:v>122</x:v>
      </x:c>
      <x:c r="E908" s="70" t="s">
        <x:v>763</x:v>
      </x:c>
      <x:c r="F908" s="70" t="s">
        <x:v>1791</x:v>
      </x:c>
      <x:c r="G908" s="70" t="s">
        <x:v>1742</x:v>
      </x:c>
      <x:c r="H908" s="70" t="s">
        <x:v>832</x:v>
      </x:c>
      <x:c r="I908" s="70" t="s">
        <x:v>833</x:v>
      </x:c>
      <x:c r="J908" s="70" t="n">
        <x:v>106</x:v>
      </x:c>
      <x:c r="K908" s="70" t="s">
        <x:v>1743</x:v>
      </x:c>
      <x:c r="L908" s="70" t="s">
        <x:v>880</x:v>
      </x:c>
      <x:c r="M908" s="70" t="s">
        <x:v>39</x:v>
      </x:c>
      <x:c r="N908" s="71" t="n">
        <x:v>11849828</x:v>
      </x:c>
      <x:c r="O908" s="72" t="n">
        <x:f aca="0">N908/1000</x:f>
        <x:v>11849.828</x:v>
      </x:c>
      <x:c r="P908" s="73" t="n">
        <x:f aca="0">DGKC!C26</x:f>
        <x:v>11849.828</x:v>
      </x:c>
      <x:c r="Q908" s="70" t="str">
        <x:f aca="0">IF(ABS(O908-P908)&lt;0.000001,"PASS","FAIL")</x:f>
        <x:v>PASS</x:v>
      </x:c>
      <x:c r="R908" s="70" t="s">
        <x:v>33</x:v>
      </x:c>
      <x:c r="S908" s="70"/>
    </x:row>
    <x:row r="909" ht="15" hidden="0">
      <x:c r="A909" s="70" t="s">
        <x:v>1792</x:v>
      </x:c>
      <x:c r="B909" s="70" t="s">
        <x:v>36</x:v>
      </x:c>
      <x:c r="C909" s="70" t="s">
        <x:v>101</x:v>
      </x:c>
      <x:c r="D909" s="70" t="s">
        <x:v>122</x:v>
      </x:c>
      <x:c r="E909" s="70" t="s">
        <x:v>763</x:v>
      </x:c>
      <x:c r="F909" s="70" t="s">
        <x:v>1791</x:v>
      </x:c>
      <x:c r="G909" s="70" t="s">
        <x:v>1745</x:v>
      </x:c>
      <x:c r="H909" s="70" t="s">
        <x:v>838</x:v>
      </x:c>
      <x:c r="I909" s="70" t="s">
        <x:v>833</x:v>
      </x:c>
      <x:c r="J909" s="70" t="n">
        <x:v>126</x:v>
      </x:c>
      <x:c r="K909" s="70" t="s">
        <x:v>1746</x:v>
      </x:c>
      <x:c r="L909" s="70" t="s">
        <x:v>882</x:v>
      </x:c>
      <x:c r="M909" s="70" t="s">
        <x:v>39</x:v>
      </x:c>
      <x:c r="N909" s="71" t="n">
        <x:v>15965811</x:v>
      </x:c>
      <x:c r="O909" s="72" t="n">
        <x:f aca="0">N909/1000</x:f>
        <x:v>15965.811</x:v>
      </x:c>
      <x:c r="P909" s="73" t="n">
        <x:f aca="0">DGKC!D26</x:f>
        <x:v>15965.811</x:v>
      </x:c>
      <x:c r="Q909" s="70" t="str">
        <x:f aca="0">IF(ABS(O909-P909)&lt;0.000001,"PASS","FAIL")</x:f>
        <x:v>PASS</x:v>
      </x:c>
      <x:c r="R909" s="70" t="s">
        <x:v>33</x:v>
      </x:c>
      <x:c r="S909" s="70"/>
    </x:row>
    <x:row r="910" ht="15" hidden="0">
      <x:c r="A910" s="70" t="s">
        <x:v>1793</x:v>
      </x:c>
      <x:c r="B910" s="70" t="s">
        <x:v>36</x:v>
      </x:c>
      <x:c r="C910" s="70" t="s">
        <x:v>102</x:v>
      </x:c>
      <x:c r="D910" s="70" t="s">
        <x:v>122</x:v>
      </x:c>
      <x:c r="E910" s="70" t="s">
        <x:v>763</x:v>
      </x:c>
      <x:c r="F910" s="70" t="s">
        <x:v>1791</x:v>
      </x:c>
      <x:c r="G910" s="70" t="s">
        <x:v>1748</x:v>
      </x:c>
      <x:c r="H910" s="70" t="s">
        <x:v>842</x:v>
      </x:c>
      <x:c r="I910" s="70" t="s">
        <x:v>833</x:v>
      </x:c>
      <x:c r="J910" s="70" t="n">
        <x:v>152</x:v>
      </x:c>
      <x:c r="K910" s="70" t="s">
        <x:v>1749</x:v>
      </x:c>
      <x:c r="L910" s="70" t="s">
        <x:v>882</x:v>
      </x:c>
      <x:c r="M910" s="70" t="s">
        <x:v>39</x:v>
      </x:c>
      <x:c r="N910" s="71" t="n">
        <x:v>12866145</x:v>
      </x:c>
      <x:c r="O910" s="72" t="n">
        <x:f aca="0">N910/1000</x:f>
        <x:v>12866.145</x:v>
      </x:c>
      <x:c r="P910" s="73" t="n">
        <x:f aca="0">DGKC!E26</x:f>
        <x:v>12866.145</x:v>
      </x:c>
      <x:c r="Q910" s="70" t="str">
        <x:f aca="0">IF(ABS(O910-P910)&lt;0.000001,"PASS","FAIL")</x:f>
        <x:v>PASS</x:v>
      </x:c>
      <x:c r="R910" s="70" t="s">
        <x:v>33</x:v>
      </x:c>
      <x:c r="S910" s="70"/>
    </x:row>
    <x:row r="911" ht="15" hidden="0">
      <x:c r="A911" s="70" t="s">
        <x:v>1794</x:v>
      </x:c>
      <x:c r="B911" s="70" t="s">
        <x:v>36</x:v>
      </x:c>
      <x:c r="C911" s="70" t="s">
        <x:v>103</x:v>
      </x:c>
      <x:c r="D911" s="70" t="s">
        <x:v>122</x:v>
      </x:c>
      <x:c r="E911" s="70" t="s">
        <x:v>763</x:v>
      </x:c>
      <x:c r="F911" s="70" t="s">
        <x:v>1791</x:v>
      </x:c>
      <x:c r="G911" s="70" t="s">
        <x:v>1751</x:v>
      </x:c>
      <x:c r="H911" s="70" t="s">
        <x:v>845</x:v>
      </x:c>
      <x:c r="I911" s="70" t="s">
        <x:v>833</x:v>
      </x:c>
      <x:c r="J911" s="70" t="n">
        <x:v>152</x:v>
      </x:c>
      <x:c r="K911" s="70" t="s">
        <x:v>1749</x:v>
      </x:c>
      <x:c r="L911" s="70" t="s">
        <x:v>882</x:v>
      </x:c>
      <x:c r="M911" s="70" t="s">
        <x:v>39</x:v>
      </x:c>
      <x:c r="N911" s="71" t="n">
        <x:v>13366360</x:v>
      </x:c>
      <x:c r="O911" s="72" t="n">
        <x:f aca="0">N911/1000</x:f>
        <x:v>13366.36</x:v>
      </x:c>
      <x:c r="P911" s="73" t="n">
        <x:f aca="0">DGKC!F26</x:f>
        <x:v>13366.36</x:v>
      </x:c>
      <x:c r="Q911" s="70" t="str">
        <x:f aca="0">IF(ABS(O911-P911)&lt;0.000001,"PASS","FAIL")</x:f>
        <x:v>PASS</x:v>
      </x:c>
      <x:c r="R911" s="70" t="s">
        <x:v>33</x:v>
      </x:c>
      <x:c r="S911" s="70"/>
    </x:row>
    <x:row r="912" ht="15" hidden="0">
      <x:c r="A912" s="70" t="s">
        <x:v>1795</x:v>
      </x:c>
      <x:c r="B912" s="70" t="s">
        <x:v>36</x:v>
      </x:c>
      <x:c r="C912" s="70" t="s">
        <x:v>104</x:v>
      </x:c>
      <x:c r="D912" s="70" t="s">
        <x:v>122</x:v>
      </x:c>
      <x:c r="E912" s="70" t="s">
        <x:v>763</x:v>
      </x:c>
      <x:c r="F912" s="70" t="s">
        <x:v>1796</x:v>
      </x:c>
      <x:c r="G912" s="70" t="s">
        <x:v>1753</x:v>
      </x:c>
      <x:c r="H912" s="70" t="s">
        <x:v>849</x:v>
      </x:c>
      <x:c r="I912" s="70" t="s">
        <x:v>833</x:v>
      </x:c>
      <x:c r="J912" s="70" t="n">
        <x:v>154</x:v>
      </x:c>
      <x:c r="K912" s="70" t="s">
        <x:v>1754</x:v>
      </x:c>
      <x:c r="L912" s="70" t="s">
        <x:v>882</x:v>
      </x:c>
      <x:c r="M912" s="70" t="s">
        <x:v>39</x:v>
      </x:c>
      <x:c r="N912" s="71" t="n">
        <x:v>16633064</x:v>
      </x:c>
      <x:c r="O912" s="72" t="n">
        <x:f aca="0">N912/1000</x:f>
        <x:v>16633.064</x:v>
      </x:c>
      <x:c r="P912" s="73" t="n">
        <x:f aca="0">DGKC!G26</x:f>
        <x:v>16633.064</x:v>
      </x:c>
      <x:c r="Q912" s="70" t="str">
        <x:f aca="0">IF(ABS(O912-P912)&lt;0.000001,"PASS","FAIL")</x:f>
        <x:v>PASS</x:v>
      </x:c>
      <x:c r="R912" s="70" t="s">
        <x:v>33</x:v>
      </x:c>
      <x:c r="S912" s="70"/>
    </x:row>
    <x:row r="913" ht="15" hidden="0">
      <x:c r="A913" s="70" t="s">
        <x:v>1797</x:v>
      </x:c>
      <x:c r="B913" s="70" t="s">
        <x:v>36</x:v>
      </x:c>
      <x:c r="C913" s="70" t="s">
        <x:v>105</x:v>
      </x:c>
      <x:c r="D913" s="70" t="s">
        <x:v>122</x:v>
      </x:c>
      <x:c r="E913" s="70" t="s">
        <x:v>763</x:v>
      </x:c>
      <x:c r="F913" s="70" t="s">
        <x:v>1796</x:v>
      </x:c>
      <x:c r="G913" s="70" t="s">
        <x:v>1753</x:v>
      </x:c>
      <x:c r="H913" s="70" t="s">
        <x:v>849</x:v>
      </x:c>
      <x:c r="I913" s="70" t="s">
        <x:v>852</x:v>
      </x:c>
      <x:c r="J913" s="70" t="n">
        <x:v>154</x:v>
      </x:c>
      <x:c r="K913" s="70" t="s">
        <x:v>1754</x:v>
      </x:c>
      <x:c r="L913" s="70" t="s">
        <x:v>882</x:v>
      </x:c>
      <x:c r="M913" s="70" t="s">
        <x:v>39</x:v>
      </x:c>
      <x:c r="N913" s="71" t="n">
        <x:v>20689545</x:v>
      </x:c>
      <x:c r="O913" s="72" t="n">
        <x:f aca="0">N913/1000</x:f>
        <x:v>20689.545</x:v>
      </x:c>
      <x:c r="P913" s="73" t="n">
        <x:f aca="0">DGKC!H26</x:f>
        <x:v>20689.545</x:v>
      </x:c>
      <x:c r="Q913" s="70" t="str">
        <x:f aca="0">IF(ABS(O913-P913)&lt;0.000001,"PASS","FAIL")</x:f>
        <x:v>PASS</x:v>
      </x:c>
      <x:c r="R913" s="70" t="s">
        <x:v>33</x:v>
      </x:c>
      <x:c r="S913" s="70"/>
    </x:row>
    <x:row r="914" ht="15" hidden="0">
      <x:c r="A914" s="70" t="s">
        <x:v>1798</x:v>
      </x:c>
      <x:c r="B914" s="70" t="s">
        <x:v>36</x:v>
      </x:c>
      <x:c r="C914" s="70" t="s">
        <x:v>717</x:v>
      </x:c>
      <x:c r="D914" s="70" t="s">
        <x:v>124</x:v>
      </x:c>
      <x:c r="E914" s="70" t="s">
        <x:v>763</x:v>
      </x:c>
      <x:c r="F914" s="70" t="s">
        <x:v>1799</x:v>
      </x:c>
      <x:c r="G914" s="70" t="s">
        <x:v>1742</x:v>
      </x:c>
      <x:c r="H914" s="70" t="s">
        <x:v>832</x:v>
      </x:c>
      <x:c r="I914" s="70" t="s">
        <x:v>833</x:v>
      </x:c>
      <x:c r="J914" s="70" t="n">
        <x:v>106</x:v>
      </x:c>
      <x:c r="K914" s="70" t="s">
        <x:v>1743</x:v>
      </x:c>
      <x:c r="L914" s="70" t="s">
        <x:v>882</x:v>
      </x:c>
      <x:c r="M914" s="70" t="s">
        <x:v>39</x:v>
      </x:c>
      <x:c r="N914" s="71" t="n">
        <x:v>57984</x:v>
      </x:c>
      <x:c r="O914" s="72" t="n">
        <x:f aca="0">N914/1000</x:f>
        <x:v>57.984</x:v>
      </x:c>
      <x:c r="P914" s="73" t="n">
        <x:f aca="0">DGKC!C27</x:f>
        <x:v>57.984</x:v>
      </x:c>
      <x:c r="Q914" s="70" t="str">
        <x:f aca="0">IF(ABS(O914-P914)&lt;0.000001,"PASS","FAIL")</x:f>
        <x:v>PASS</x:v>
      </x:c>
      <x:c r="R914" s="70" t="s">
        <x:v>33</x:v>
      </x:c>
      <x:c r="S914" s="70"/>
    </x:row>
    <x:row r="915" ht="15" hidden="0">
      <x:c r="A915" s="70" t="s">
        <x:v>1800</x:v>
      </x:c>
      <x:c r="B915" s="70" t="s">
        <x:v>36</x:v>
      </x:c>
      <x:c r="C915" s="70" t="s">
        <x:v>101</x:v>
      </x:c>
      <x:c r="D915" s="70" t="s">
        <x:v>124</x:v>
      </x:c>
      <x:c r="E915" s="70" t="s">
        <x:v>763</x:v>
      </x:c>
      <x:c r="F915" s="70" t="s">
        <x:v>895</x:v>
      </x:c>
      <x:c r="G915" s="70" t="s">
        <x:v>1745</x:v>
      </x:c>
      <x:c r="H915" s="70" t="s">
        <x:v>838</x:v>
      </x:c>
      <x:c r="I915" s="70" t="s">
        <x:v>833</x:v>
      </x:c>
      <x:c r="J915" s="70" t="n">
        <x:v>126</x:v>
      </x:c>
      <x:c r="K915" s="70" t="s">
        <x:v>1746</x:v>
      </x:c>
      <x:c r="L915" s="70" t="s">
        <x:v>904</x:v>
      </x:c>
      <x:c r="M915" s="70" t="s">
        <x:v>39</x:v>
      </x:c>
      <x:c r="N915" s="71" t="n">
        <x:v>57513</x:v>
      </x:c>
      <x:c r="O915" s="72" t="n">
        <x:f aca="0">N915/1000</x:f>
        <x:v>57.513</x:v>
      </x:c>
      <x:c r="P915" s="73" t="n">
        <x:f aca="0">DGKC!D27</x:f>
        <x:v>57.513</x:v>
      </x:c>
      <x:c r="Q915" s="70" t="str">
        <x:f aca="0">IF(ABS(O915-P915)&lt;0.000001,"PASS","FAIL")</x:f>
        <x:v>PASS</x:v>
      </x:c>
      <x:c r="R915" s="70" t="s">
        <x:v>33</x:v>
      </x:c>
      <x:c r="S915" s="70"/>
    </x:row>
    <x:row r="916" ht="15" hidden="0">
      <x:c r="A916" s="70" t="s">
        <x:v>1801</x:v>
      </x:c>
      <x:c r="B916" s="70" t="s">
        <x:v>36</x:v>
      </x:c>
      <x:c r="C916" s="70" t="s">
        <x:v>102</x:v>
      </x:c>
      <x:c r="D916" s="70" t="s">
        <x:v>124</x:v>
      </x:c>
      <x:c r="E916" s="70" t="s">
        <x:v>763</x:v>
      </x:c>
      <x:c r="F916" s="70" t="s">
        <x:v>895</x:v>
      </x:c>
      <x:c r="G916" s="70" t="s">
        <x:v>1748</x:v>
      </x:c>
      <x:c r="H916" s="70" t="s">
        <x:v>842</x:v>
      </x:c>
      <x:c r="I916" s="70" t="s">
        <x:v>833</x:v>
      </x:c>
      <x:c r="J916" s="70" t="n">
        <x:v>152</x:v>
      </x:c>
      <x:c r="K916" s="70" t="s">
        <x:v>1749</x:v>
      </x:c>
      <x:c r="L916" s="70" t="s">
        <x:v>904</x:v>
      </x:c>
      <x:c r="M916" s="70" t="s">
        <x:v>39</x:v>
      </x:c>
      <x:c r="N916" s="71" t="n">
        <x:v>61526</x:v>
      </x:c>
      <x:c r="O916" s="72" t="n">
        <x:f aca="0">N916/1000</x:f>
        <x:v>61.526</x:v>
      </x:c>
      <x:c r="P916" s="73" t="n">
        <x:f aca="0">DGKC!E27</x:f>
        <x:v>61.526</x:v>
      </x:c>
      <x:c r="Q916" s="70" t="str">
        <x:f aca="0">IF(ABS(O916-P916)&lt;0.000001,"PASS","FAIL")</x:f>
        <x:v>PASS</x:v>
      </x:c>
      <x:c r="R916" s="70" t="s">
        <x:v>33</x:v>
      </x:c>
      <x:c r="S916" s="70"/>
    </x:row>
    <x:row r="917" ht="15" hidden="0">
      <x:c r="A917" s="70" t="s">
        <x:v>1802</x:v>
      </x:c>
      <x:c r="B917" s="70" t="s">
        <x:v>36</x:v>
      </x:c>
      <x:c r="C917" s="70" t="s">
        <x:v>103</x:v>
      </x:c>
      <x:c r="D917" s="70" t="s">
        <x:v>124</x:v>
      </x:c>
      <x:c r="E917" s="70" t="s">
        <x:v>763</x:v>
      </x:c>
      <x:c r="F917" s="70" t="s">
        <x:v>895</x:v>
      </x:c>
      <x:c r="G917" s="70" t="s">
        <x:v>1751</x:v>
      </x:c>
      <x:c r="H917" s="70" t="s">
        <x:v>845</x:v>
      </x:c>
      <x:c r="I917" s="70" t="s">
        <x:v>833</x:v>
      </x:c>
      <x:c r="J917" s="70" t="n">
        <x:v>152</x:v>
      </x:c>
      <x:c r="K917" s="70" t="s">
        <x:v>1749</x:v>
      </x:c>
      <x:c r="L917" s="70" t="s">
        <x:v>904</x:v>
      </x:c>
      <x:c r="M917" s="70" t="s">
        <x:v>39</x:v>
      </x:c>
      <x:c r="N917" s="71" t="n">
        <x:v>64426</x:v>
      </x:c>
      <x:c r="O917" s="72" t="n">
        <x:f aca="0">N917/1000</x:f>
        <x:v>64.426</x:v>
      </x:c>
      <x:c r="P917" s="73" t="n">
        <x:f aca="0">DGKC!F27</x:f>
        <x:v>64.426</x:v>
      </x:c>
      <x:c r="Q917" s="70" t="str">
        <x:f aca="0">IF(ABS(O917-P917)&lt;0.000001,"PASS","FAIL")</x:f>
        <x:v>PASS</x:v>
      </x:c>
      <x:c r="R917" s="70" t="s">
        <x:v>33</x:v>
      </x:c>
      <x:c r="S917" s="70"/>
    </x:row>
    <x:row r="918" ht="15" hidden="0">
      <x:c r="A918" s="70" t="s">
        <x:v>1803</x:v>
      </x:c>
      <x:c r="B918" s="70" t="s">
        <x:v>36</x:v>
      </x:c>
      <x:c r="C918" s="70" t="s">
        <x:v>104</x:v>
      </x:c>
      <x:c r="D918" s="70" t="s">
        <x:v>124</x:v>
      </x:c>
      <x:c r="E918" s="70" t="s">
        <x:v>763</x:v>
      </x:c>
      <x:c r="F918" s="70" t="s">
        <x:v>895</x:v>
      </x:c>
      <x:c r="G918" s="70" t="s">
        <x:v>1753</x:v>
      </x:c>
      <x:c r="H918" s="70" t="s">
        <x:v>849</x:v>
      </x:c>
      <x:c r="I918" s="70" t="s">
        <x:v>833</x:v>
      </x:c>
      <x:c r="J918" s="70" t="n">
        <x:v>154</x:v>
      </x:c>
      <x:c r="K918" s="70" t="s">
        <x:v>1754</x:v>
      </x:c>
      <x:c r="L918" s="70" t="s">
        <x:v>904</x:v>
      </x:c>
      <x:c r="M918" s="70" t="s">
        <x:v>39</x:v>
      </x:c>
      <x:c r="N918" s="71" t="n">
        <x:v>61568</x:v>
      </x:c>
      <x:c r="O918" s="72" t="n">
        <x:f aca="0">N918/1000</x:f>
        <x:v>61.568</x:v>
      </x:c>
      <x:c r="P918" s="73" t="n">
        <x:f aca="0">DGKC!G27</x:f>
        <x:v>61.568</x:v>
      </x:c>
      <x:c r="Q918" s="70" t="str">
        <x:f aca="0">IF(ABS(O918-P918)&lt;0.000001,"PASS","FAIL")</x:f>
        <x:v>PASS</x:v>
      </x:c>
      <x:c r="R918" s="70" t="s">
        <x:v>33</x:v>
      </x:c>
      <x:c r="S918" s="70"/>
    </x:row>
    <x:row r="919" ht="15" hidden="0">
      <x:c r="A919" s="70" t="s">
        <x:v>1804</x:v>
      </x:c>
      <x:c r="B919" s="70" t="s">
        <x:v>36</x:v>
      </x:c>
      <x:c r="C919" s="70" t="s">
        <x:v>105</x:v>
      </x:c>
      <x:c r="D919" s="70" t="s">
        <x:v>124</x:v>
      </x:c>
      <x:c r="E919" s="70" t="s">
        <x:v>763</x:v>
      </x:c>
      <x:c r="F919" s="70" t="s">
        <x:v>895</x:v>
      </x:c>
      <x:c r="G919" s="70" t="s">
        <x:v>1753</x:v>
      </x:c>
      <x:c r="H919" s="70" t="s">
        <x:v>849</x:v>
      </x:c>
      <x:c r="I919" s="70" t="s">
        <x:v>852</x:v>
      </x:c>
      <x:c r="J919" s="70" t="n">
        <x:v>154</x:v>
      </x:c>
      <x:c r="K919" s="70" t="s">
        <x:v>1754</x:v>
      </x:c>
      <x:c r="L919" s="70" t="s">
        <x:v>904</x:v>
      </x:c>
      <x:c r="M919" s="70" t="s">
        <x:v>39</x:v>
      </x:c>
      <x:c r="N919" s="71" t="n">
        <x:v>61013</x:v>
      </x:c>
      <x:c r="O919" s="72" t="n">
        <x:f aca="0">N919/1000</x:f>
        <x:v>61.013</x:v>
      </x:c>
      <x:c r="P919" s="73" t="n">
        <x:f aca="0">DGKC!H27</x:f>
        <x:v>61.013</x:v>
      </x:c>
      <x:c r="Q919" s="70" t="str">
        <x:f aca="0">IF(ABS(O919-P919)&lt;0.000001,"PASS","FAIL")</x:f>
        <x:v>PASS</x:v>
      </x:c>
      <x:c r="R919" s="70" t="s">
        <x:v>33</x:v>
      </x:c>
      <x:c r="S919" s="70"/>
    </x:row>
    <x:row r="920" ht="15" hidden="0">
      <x:c r="A920" s="70" t="s">
        <x:v>1805</x:v>
      </x:c>
      <x:c r="B920" s="70" t="s">
        <x:v>36</x:v>
      </x:c>
      <x:c r="C920" s="70" t="s">
        <x:v>717</x:v>
      </x:c>
      <x:c r="D920" s="70" t="s">
        <x:v>129</x:v>
      </x:c>
      <x:c r="E920" s="70" t="s">
        <x:v>763</x:v>
      </x:c>
      <x:c r="F920" s="70" t="s">
        <x:v>1806</x:v>
      </x:c>
      <x:c r="G920" s="70" t="s">
        <x:v>1742</x:v>
      </x:c>
      <x:c r="H920" s="70" t="s">
        <x:v>832</x:v>
      </x:c>
      <x:c r="I920" s="70" t="s">
        <x:v>833</x:v>
      </x:c>
      <x:c r="J920" s="70" t="n">
        <x:v>106</x:v>
      </x:c>
      <x:c r="K920" s="70" t="s">
        <x:v>1743</x:v>
      </x:c>
      <x:c r="L920" s="70" t="s">
        <x:v>904</x:v>
      </x:c>
      <x:c r="M920" s="70" t="s">
        <x:v>39</x:v>
      </x:c>
      <x:c r="N920" s="71" t="n">
        <x:v>8237990</x:v>
      </x:c>
      <x:c r="O920" s="72" t="n">
        <x:f aca="0">N920/1000</x:f>
        <x:v>8237.99</x:v>
      </x:c>
      <x:c r="P920" s="73" t="n">
        <x:f aca="0">DGKC!C30</x:f>
        <x:v>8237.99</x:v>
      </x:c>
      <x:c r="Q920" s="70" t="str">
        <x:f aca="0">IF(ABS(O920-P920)&lt;0.000001,"PASS","FAIL")</x:f>
        <x:v>PASS</x:v>
      </x:c>
      <x:c r="R920" s="70" t="s">
        <x:v>33</x:v>
      </x:c>
      <x:c r="S920" s="70"/>
    </x:row>
    <x:row r="921" ht="15" hidden="0">
      <x:c r="A921" s="70" t="s">
        <x:v>1807</x:v>
      </x:c>
      <x:c r="B921" s="70" t="s">
        <x:v>36</x:v>
      </x:c>
      <x:c r="C921" s="70" t="s">
        <x:v>101</x:v>
      </x:c>
      <x:c r="D921" s="70" t="s">
        <x:v>129</x:v>
      </x:c>
      <x:c r="E921" s="70" t="s">
        <x:v>763</x:v>
      </x:c>
      <x:c r="F921" s="70" t="s">
        <x:v>1806</x:v>
      </x:c>
      <x:c r="G921" s="70" t="s">
        <x:v>1745</x:v>
      </x:c>
      <x:c r="H921" s="70" t="s">
        <x:v>838</x:v>
      </x:c>
      <x:c r="I921" s="70" t="s">
        <x:v>833</x:v>
      </x:c>
      <x:c r="J921" s="70" t="n">
        <x:v>126</x:v>
      </x:c>
      <x:c r="K921" s="70" t="s">
        <x:v>1746</x:v>
      </x:c>
      <x:c r="L921" s="70" t="s">
        <x:v>911</x:v>
      </x:c>
      <x:c r="M921" s="70" t="s">
        <x:v>39</x:v>
      </x:c>
      <x:c r="N921" s="71" t="n">
        <x:v>12879348</x:v>
      </x:c>
      <x:c r="O921" s="72" t="n">
        <x:f aca="0">N921/1000</x:f>
        <x:v>12879.348</x:v>
      </x:c>
      <x:c r="P921" s="73" t="n">
        <x:f aca="0">DGKC!D30</x:f>
        <x:v>12879.348</x:v>
      </x:c>
      <x:c r="Q921" s="70" t="str">
        <x:f aca="0">IF(ABS(O921-P921)&lt;0.000001,"PASS","FAIL")</x:f>
        <x:v>PASS</x:v>
      </x:c>
      <x:c r="R921" s="70" t="s">
        <x:v>33</x:v>
      </x:c>
      <x:c r="S921" s="70"/>
    </x:row>
    <x:row r="922" ht="15" hidden="0">
      <x:c r="A922" s="70" t="s">
        <x:v>1808</x:v>
      </x:c>
      <x:c r="B922" s="70" t="s">
        <x:v>36</x:v>
      </x:c>
      <x:c r="C922" s="70" t="s">
        <x:v>102</x:v>
      </x:c>
      <x:c r="D922" s="70" t="s">
        <x:v>129</x:v>
      </x:c>
      <x:c r="E922" s="70" t="s">
        <x:v>763</x:v>
      </x:c>
      <x:c r="F922" s="70" t="s">
        <x:v>1806</x:v>
      </x:c>
      <x:c r="G922" s="70" t="s">
        <x:v>1748</x:v>
      </x:c>
      <x:c r="H922" s="70" t="s">
        <x:v>842</x:v>
      </x:c>
      <x:c r="I922" s="70" t="s">
        <x:v>833</x:v>
      </x:c>
      <x:c r="J922" s="70" t="n">
        <x:v>152</x:v>
      </x:c>
      <x:c r="K922" s="70" t="s">
        <x:v>1749</x:v>
      </x:c>
      <x:c r="L922" s="70" t="s">
        <x:v>911</x:v>
      </x:c>
      <x:c r="M922" s="70" t="s">
        <x:v>39</x:v>
      </x:c>
      <x:c r="N922" s="71" t="n">
        <x:v>16813883</x:v>
      </x:c>
      <x:c r="O922" s="72" t="n">
        <x:f aca="0">N922/1000</x:f>
        <x:v>16813.883</x:v>
      </x:c>
      <x:c r="P922" s="73" t="n">
        <x:f aca="0">DGKC!E30</x:f>
        <x:v>16813.883</x:v>
      </x:c>
      <x:c r="Q922" s="70" t="str">
        <x:f aca="0">IF(ABS(O922-P922)&lt;0.000001,"PASS","FAIL")</x:f>
        <x:v>PASS</x:v>
      </x:c>
      <x:c r="R922" s="70" t="s">
        <x:v>33</x:v>
      </x:c>
      <x:c r="S922" s="70"/>
    </x:row>
    <x:row r="923" ht="15" hidden="0">
      <x:c r="A923" s="70" t="s">
        <x:v>1809</x:v>
      </x:c>
      <x:c r="B923" s="70" t="s">
        <x:v>36</x:v>
      </x:c>
      <x:c r="C923" s="70" t="s">
        <x:v>103</x:v>
      </x:c>
      <x:c r="D923" s="70" t="s">
        <x:v>129</x:v>
      </x:c>
      <x:c r="E923" s="70" t="s">
        <x:v>763</x:v>
      </x:c>
      <x:c r="F923" s="70" t="s">
        <x:v>1806</x:v>
      </x:c>
      <x:c r="G923" s="70" t="s">
        <x:v>1751</x:v>
      </x:c>
      <x:c r="H923" s="70" t="s">
        <x:v>845</x:v>
      </x:c>
      <x:c r="I923" s="70" t="s">
        <x:v>833</x:v>
      </x:c>
      <x:c r="J923" s="70" t="n">
        <x:v>152</x:v>
      </x:c>
      <x:c r="K923" s="70" t="s">
        <x:v>1749</x:v>
      </x:c>
      <x:c r="L923" s="70" t="s">
        <x:v>911</x:v>
      </x:c>
      <x:c r="M923" s="70" t="s">
        <x:v>39</x:v>
      </x:c>
      <x:c r="N923" s="71" t="n">
        <x:v>13852005</x:v>
      </x:c>
      <x:c r="O923" s="72" t="n">
        <x:f aca="0">N923/1000</x:f>
        <x:v>13852.005</x:v>
      </x:c>
      <x:c r="P923" s="73" t="n">
        <x:f aca="0">DGKC!F30</x:f>
        <x:v>13852.005</x:v>
      </x:c>
      <x:c r="Q923" s="70" t="str">
        <x:f aca="0">IF(ABS(O923-P923)&lt;0.000001,"PASS","FAIL")</x:f>
        <x:v>PASS</x:v>
      </x:c>
      <x:c r="R923" s="70" t="s">
        <x:v>33</x:v>
      </x:c>
      <x:c r="S923" s="70"/>
    </x:row>
    <x:row r="924" ht="15" hidden="0">
      <x:c r="A924" s="70" t="s">
        <x:v>1810</x:v>
      </x:c>
      <x:c r="B924" s="70" t="s">
        <x:v>36</x:v>
      </x:c>
      <x:c r="C924" s="70" t="s">
        <x:v>104</x:v>
      </x:c>
      <x:c r="D924" s="70" t="s">
        <x:v>129</x:v>
      </x:c>
      <x:c r="E924" s="70" t="s">
        <x:v>763</x:v>
      </x:c>
      <x:c r="F924" s="70" t="s">
        <x:v>1806</x:v>
      </x:c>
      <x:c r="G924" s="70" t="s">
        <x:v>1753</x:v>
      </x:c>
      <x:c r="H924" s="70" t="s">
        <x:v>849</x:v>
      </x:c>
      <x:c r="I924" s="70" t="s">
        <x:v>833</x:v>
      </x:c>
      <x:c r="J924" s="70" t="n">
        <x:v>154</x:v>
      </x:c>
      <x:c r="K924" s="70" t="s">
        <x:v>1754</x:v>
      </x:c>
      <x:c r="L924" s="70" t="s">
        <x:v>911</x:v>
      </x:c>
      <x:c r="M924" s="70" t="s">
        <x:v>39</x:v>
      </x:c>
      <x:c r="N924" s="71" t="n">
        <x:v>12559774</x:v>
      </x:c>
      <x:c r="O924" s="72" t="n">
        <x:f aca="0">N924/1000</x:f>
        <x:v>12559.774</x:v>
      </x:c>
      <x:c r="P924" s="73" t="n">
        <x:f aca="0">DGKC!G30</x:f>
        <x:v>12559.774</x:v>
      </x:c>
      <x:c r="Q924" s="70" t="str">
        <x:f aca="0">IF(ABS(O924-P924)&lt;0.000001,"PASS","FAIL")</x:f>
        <x:v>PASS</x:v>
      </x:c>
      <x:c r="R924" s="70" t="s">
        <x:v>33</x:v>
      </x:c>
      <x:c r="S924" s="70"/>
    </x:row>
    <x:row r="925" ht="15" hidden="0">
      <x:c r="A925" s="70" t="s">
        <x:v>1811</x:v>
      </x:c>
      <x:c r="B925" s="70" t="s">
        <x:v>36</x:v>
      </x:c>
      <x:c r="C925" s="70" t="s">
        <x:v>105</x:v>
      </x:c>
      <x:c r="D925" s="70" t="s">
        <x:v>129</x:v>
      </x:c>
      <x:c r="E925" s="70" t="s">
        <x:v>763</x:v>
      </x:c>
      <x:c r="F925" s="70" t="s">
        <x:v>1806</x:v>
      </x:c>
      <x:c r="G925" s="70" t="s">
        <x:v>1753</x:v>
      </x:c>
      <x:c r="H925" s="70" t="s">
        <x:v>849</x:v>
      </x:c>
      <x:c r="I925" s="70" t="s">
        <x:v>852</x:v>
      </x:c>
      <x:c r="J925" s="70" t="n">
        <x:v>154</x:v>
      </x:c>
      <x:c r="K925" s="70" t="s">
        <x:v>1754</x:v>
      </x:c>
      <x:c r="L925" s="70" t="s">
        <x:v>911</x:v>
      </x:c>
      <x:c r="M925" s="70" t="s">
        <x:v>39</x:v>
      </x:c>
      <x:c r="N925" s="71" t="n">
        <x:v>12306679</x:v>
      </x:c>
      <x:c r="O925" s="72" t="n">
        <x:f aca="0">N925/1000</x:f>
        <x:v>12306.679</x:v>
      </x:c>
      <x:c r="P925" s="73" t="n">
        <x:f aca="0">DGKC!H30</x:f>
        <x:v>12306.679</x:v>
      </x:c>
      <x:c r="Q925" s="70" t="str">
        <x:f aca="0">IF(ABS(O925-P925)&lt;0.000001,"PASS","FAIL")</x:f>
        <x:v>PASS</x:v>
      </x:c>
      <x:c r="R925" s="70" t="s">
        <x:v>33</x:v>
      </x:c>
      <x:c r="S925" s="70"/>
    </x:row>
    <x:row r="926" ht="15" hidden="0">
      <x:c r="A926" s="70" t="s">
        <x:v>1812</x:v>
      </x:c>
      <x:c r="B926" s="70" t="s">
        <x:v>36</x:v>
      </x:c>
      <x:c r="C926" s="70" t="s">
        <x:v>717</x:v>
      </x:c>
      <x:c r="D926" s="70" t="s">
        <x:v>131</x:v>
      </x:c>
      <x:c r="E926" s="70" t="s">
        <x:v>763</x:v>
      </x:c>
      <x:c r="F926" s="70" t="s">
        <x:v>131</x:v>
      </x:c>
      <x:c r="G926" s="70" t="s">
        <x:v>1742</x:v>
      </x:c>
      <x:c r="H926" s="70" t="s">
        <x:v>832</x:v>
      </x:c>
      <x:c r="I926" s="70" t="s">
        <x:v>833</x:v>
      </x:c>
      <x:c r="J926" s="70" t="n">
        <x:v>106</x:v>
      </x:c>
      <x:c r="K926" s="70" t="s">
        <x:v>1743</x:v>
      </x:c>
      <x:c r="L926" s="70" t="s">
        <x:v>911</x:v>
      </x:c>
      <x:c r="M926" s="70" t="s">
        <x:v>39</x:v>
      </x:c>
      <x:c r="N926" s="71" t="n">
        <x:v>4352995</x:v>
      </x:c>
      <x:c r="O926" s="72" t="n">
        <x:f aca="0">N926/1000</x:f>
        <x:v>4352.995</x:v>
      </x:c>
      <x:c r="P926" s="73" t="n">
        <x:f aca="0">DGKC!C31</x:f>
        <x:v>4352.995</x:v>
      </x:c>
      <x:c r="Q926" s="70" t="str">
        <x:f aca="0">IF(ABS(O926-P926)&lt;0.000001,"PASS","FAIL")</x:f>
        <x:v>PASS</x:v>
      </x:c>
      <x:c r="R926" s="70" t="s">
        <x:v>33</x:v>
      </x:c>
      <x:c r="S926" s="70"/>
    </x:row>
    <x:row r="927" ht="15" hidden="0">
      <x:c r="A927" s="70" t="s">
        <x:v>1813</x:v>
      </x:c>
      <x:c r="B927" s="70" t="s">
        <x:v>36</x:v>
      </x:c>
      <x:c r="C927" s="70" t="s">
        <x:v>101</x:v>
      </x:c>
      <x:c r="D927" s="70" t="s">
        <x:v>131</x:v>
      </x:c>
      <x:c r="E927" s="70" t="s">
        <x:v>763</x:v>
      </x:c>
      <x:c r="F927" s="70" t="s">
        <x:v>131</x:v>
      </x:c>
      <x:c r="G927" s="70" t="s">
        <x:v>1745</x:v>
      </x:c>
      <x:c r="H927" s="70" t="s">
        <x:v>838</x:v>
      </x:c>
      <x:c r="I927" s="70" t="s">
        <x:v>833</x:v>
      </x:c>
      <x:c r="J927" s="70" t="n">
        <x:v>126</x:v>
      </x:c>
      <x:c r="K927" s="70" t="s">
        <x:v>1746</x:v>
      </x:c>
      <x:c r="L927" s="70" t="s">
        <x:v>919</x:v>
      </x:c>
      <x:c r="M927" s="70" t="s">
        <x:v>39</x:v>
      </x:c>
      <x:c r="N927" s="71" t="n">
        <x:v>2728589</x:v>
      </x:c>
      <x:c r="O927" s="72" t="n">
        <x:f aca="0">N927/1000</x:f>
        <x:v>2728.589</x:v>
      </x:c>
      <x:c r="P927" s="73" t="n">
        <x:f aca="0">DGKC!D31</x:f>
        <x:v>2728.589</x:v>
      </x:c>
      <x:c r="Q927" s="70" t="str">
        <x:f aca="0">IF(ABS(O927-P927)&lt;0.000001,"PASS","FAIL")</x:f>
        <x:v>PASS</x:v>
      </x:c>
      <x:c r="R927" s="70" t="s">
        <x:v>33</x:v>
      </x:c>
      <x:c r="S927" s="70"/>
    </x:row>
    <x:row r="928" ht="15" hidden="0">
      <x:c r="A928" s="70" t="s">
        <x:v>1814</x:v>
      </x:c>
      <x:c r="B928" s="70" t="s">
        <x:v>36</x:v>
      </x:c>
      <x:c r="C928" s="70" t="s">
        <x:v>102</x:v>
      </x:c>
      <x:c r="D928" s="70" t="s">
        <x:v>131</x:v>
      </x:c>
      <x:c r="E928" s="70" t="s">
        <x:v>763</x:v>
      </x:c>
      <x:c r="F928" s="70" t="s">
        <x:v>131</x:v>
      </x:c>
      <x:c r="G928" s="70" t="s">
        <x:v>1748</x:v>
      </x:c>
      <x:c r="H928" s="70" t="s">
        <x:v>842</x:v>
      </x:c>
      <x:c r="I928" s="70" t="s">
        <x:v>833</x:v>
      </x:c>
      <x:c r="J928" s="70" t="n">
        <x:v>152</x:v>
      </x:c>
      <x:c r="K928" s="70" t="s">
        <x:v>1749</x:v>
      </x:c>
      <x:c r="L928" s="70" t="s">
        <x:v>919</x:v>
      </x:c>
      <x:c r="M928" s="70" t="s">
        <x:v>39</x:v>
      </x:c>
      <x:c r="N928" s="71" t="n">
        <x:v>5981515</x:v>
      </x:c>
      <x:c r="O928" s="72" t="n">
        <x:f aca="0">N928/1000</x:f>
        <x:v>5981.515</x:v>
      </x:c>
      <x:c r="P928" s="73" t="n">
        <x:f aca="0">DGKC!E31</x:f>
        <x:v>5981.515</x:v>
      </x:c>
      <x:c r="Q928" s="70" t="str">
        <x:f aca="0">IF(ABS(O928-P928)&lt;0.000001,"PASS","FAIL")</x:f>
        <x:v>PASS</x:v>
      </x:c>
      <x:c r="R928" s="70" t="s">
        <x:v>33</x:v>
      </x:c>
      <x:c r="S928" s="70"/>
    </x:row>
    <x:row r="929" ht="15" hidden="0">
      <x:c r="A929" s="70" t="s">
        <x:v>1815</x:v>
      </x:c>
      <x:c r="B929" s="70" t="s">
        <x:v>36</x:v>
      </x:c>
      <x:c r="C929" s="70" t="s">
        <x:v>103</x:v>
      </x:c>
      <x:c r="D929" s="70" t="s">
        <x:v>131</x:v>
      </x:c>
      <x:c r="E929" s="70" t="s">
        <x:v>763</x:v>
      </x:c>
      <x:c r="F929" s="70" t="s">
        <x:v>131</x:v>
      </x:c>
      <x:c r="G929" s="70" t="s">
        <x:v>1751</x:v>
      </x:c>
      <x:c r="H929" s="70" t="s">
        <x:v>845</x:v>
      </x:c>
      <x:c r="I929" s="70" t="s">
        <x:v>833</x:v>
      </x:c>
      <x:c r="J929" s="70" t="n">
        <x:v>152</x:v>
      </x:c>
      <x:c r="K929" s="70" t="s">
        <x:v>1749</x:v>
      </x:c>
      <x:c r="L929" s="70" t="s">
        <x:v>919</x:v>
      </x:c>
      <x:c r="M929" s="70" t="s">
        <x:v>39</x:v>
      </x:c>
      <x:c r="N929" s="71" t="n">
        <x:v>8873170</x:v>
      </x:c>
      <x:c r="O929" s="72" t="n">
        <x:f aca="0">N929/1000</x:f>
        <x:v>8873.17</x:v>
      </x:c>
      <x:c r="P929" s="73" t="n">
        <x:f aca="0">DGKC!F31</x:f>
        <x:v>8873.17</x:v>
      </x:c>
      <x:c r="Q929" s="70" t="str">
        <x:f aca="0">IF(ABS(O929-P929)&lt;0.000001,"PASS","FAIL")</x:f>
        <x:v>PASS</x:v>
      </x:c>
      <x:c r="R929" s="70" t="s">
        <x:v>33</x:v>
      </x:c>
      <x:c r="S929" s="70"/>
    </x:row>
    <x:row r="930" ht="15" hidden="0">
      <x:c r="A930" s="70" t="s">
        <x:v>1816</x:v>
      </x:c>
      <x:c r="B930" s="70" t="s">
        <x:v>36</x:v>
      </x:c>
      <x:c r="C930" s="70" t="s">
        <x:v>104</x:v>
      </x:c>
      <x:c r="D930" s="70" t="s">
        <x:v>131</x:v>
      </x:c>
      <x:c r="E930" s="70" t="s">
        <x:v>763</x:v>
      </x:c>
      <x:c r="F930" s="70" t="s">
        <x:v>131</x:v>
      </x:c>
      <x:c r="G930" s="70" t="s">
        <x:v>1753</x:v>
      </x:c>
      <x:c r="H930" s="70" t="s">
        <x:v>849</x:v>
      </x:c>
      <x:c r="I930" s="70" t="s">
        <x:v>833</x:v>
      </x:c>
      <x:c r="J930" s="70" t="n">
        <x:v>154</x:v>
      </x:c>
      <x:c r="K930" s="70" t="s">
        <x:v>1754</x:v>
      </x:c>
      <x:c r="L930" s="70" t="s">
        <x:v>919</x:v>
      </x:c>
      <x:c r="M930" s="70" t="s">
        <x:v>39</x:v>
      </x:c>
      <x:c r="N930" s="71" t="n">
        <x:v>7693067</x:v>
      </x:c>
      <x:c r="O930" s="72" t="n">
        <x:f aca="0">N930/1000</x:f>
        <x:v>7693.067</x:v>
      </x:c>
      <x:c r="P930" s="73" t="n">
        <x:f aca="0">DGKC!G31</x:f>
        <x:v>7693.067</x:v>
      </x:c>
      <x:c r="Q930" s="70" t="str">
        <x:f aca="0">IF(ABS(O930-P930)&lt;0.000001,"PASS","FAIL")</x:f>
        <x:v>PASS</x:v>
      </x:c>
      <x:c r="R930" s="70" t="s">
        <x:v>33</x:v>
      </x:c>
      <x:c r="S930" s="70"/>
    </x:row>
    <x:row r="931" ht="15" hidden="0">
      <x:c r="A931" s="70" t="s">
        <x:v>1817</x:v>
      </x:c>
      <x:c r="B931" s="70" t="s">
        <x:v>36</x:v>
      </x:c>
      <x:c r="C931" s="70" t="s">
        <x:v>105</x:v>
      </x:c>
      <x:c r="D931" s="70" t="s">
        <x:v>131</x:v>
      </x:c>
      <x:c r="E931" s="70" t="s">
        <x:v>763</x:v>
      </x:c>
      <x:c r="F931" s="70" t="s">
        <x:v>131</x:v>
      </x:c>
      <x:c r="G931" s="70" t="s">
        <x:v>1753</x:v>
      </x:c>
      <x:c r="H931" s="70" t="s">
        <x:v>849</x:v>
      </x:c>
      <x:c r="I931" s="70" t="s">
        <x:v>852</x:v>
      </x:c>
      <x:c r="J931" s="70" t="n">
        <x:v>154</x:v>
      </x:c>
      <x:c r="K931" s="70" t="s">
        <x:v>1754</x:v>
      </x:c>
      <x:c r="L931" s="70" t="s">
        <x:v>919</x:v>
      </x:c>
      <x:c r="M931" s="70" t="s">
        <x:v>39</x:v>
      </x:c>
      <x:c r="N931" s="71" t="n">
        <x:v>8188678</x:v>
      </x:c>
      <x:c r="O931" s="72" t="n">
        <x:f aca="0">N931/1000</x:f>
        <x:v>8188.678</x:v>
      </x:c>
      <x:c r="P931" s="73" t="n">
        <x:f aca="0">DGKC!H31</x:f>
        <x:v>8188.678</x:v>
      </x:c>
      <x:c r="Q931" s="70" t="str">
        <x:f aca="0">IF(ABS(O931-P931)&lt;0.000001,"PASS","FAIL")</x:f>
        <x:v>PASS</x:v>
      </x:c>
      <x:c r="R931" s="70" t="s">
        <x:v>33</x:v>
      </x:c>
      <x:c r="S931" s="70"/>
    </x:row>
    <x:row r="932" ht="15" hidden="0">
      <x:c r="A932" s="70" t="s">
        <x:v>1818</x:v>
      </x:c>
      <x:c r="B932" s="70" t="s">
        <x:v>36</x:v>
      </x:c>
      <x:c r="C932" s="70" t="s">
        <x:v>717</x:v>
      </x:c>
      <x:c r="D932" s="70" t="s">
        <x:v>133</x:v>
      </x:c>
      <x:c r="E932" s="70" t="s">
        <x:v>763</x:v>
      </x:c>
      <x:c r="F932" s="70" t="s">
        <x:v>133</x:v>
      </x:c>
      <x:c r="G932" s="70" t="s">
        <x:v>1742</x:v>
      </x:c>
      <x:c r="H932" s="70" t="s">
        <x:v>832</x:v>
      </x:c>
      <x:c r="I932" s="70" t="s">
        <x:v>833</x:v>
      </x:c>
      <x:c r="J932" s="70" t="n">
        <x:v>106</x:v>
      </x:c>
      <x:c r="K932" s="70" t="s">
        <x:v>1743</x:v>
      </x:c>
      <x:c r="L932" s="70" t="s">
        <x:v>919</x:v>
      </x:c>
      <x:c r="M932" s="70" t="s">
        <x:v>39</x:v>
      </x:c>
      <x:c r="N932" s="71" t="n">
        <x:v>2286084</x:v>
      </x:c>
      <x:c r="O932" s="72" t="n">
        <x:f aca="0">N932/1000</x:f>
        <x:v>2286.084</x:v>
      </x:c>
      <x:c r="P932" s="73" t="n">
        <x:f aca="0">DGKC!C32</x:f>
        <x:v>2286.084</x:v>
      </x:c>
      <x:c r="Q932" s="70" t="str">
        <x:f aca="0">IF(ABS(O932-P932)&lt;0.000001,"PASS","FAIL")</x:f>
        <x:v>PASS</x:v>
      </x:c>
      <x:c r="R932" s="70" t="s">
        <x:v>33</x:v>
      </x:c>
      <x:c r="S932" s="70"/>
    </x:row>
    <x:row r="933" ht="15" hidden="0">
      <x:c r="A933" s="70" t="s">
        <x:v>1819</x:v>
      </x:c>
      <x:c r="B933" s="70" t="s">
        <x:v>36</x:v>
      </x:c>
      <x:c r="C933" s="70" t="s">
        <x:v>101</x:v>
      </x:c>
      <x:c r="D933" s="70" t="s">
        <x:v>133</x:v>
      </x:c>
      <x:c r="E933" s="70" t="s">
        <x:v>763</x:v>
      </x:c>
      <x:c r="F933" s="70" t="s">
        <x:v>133</x:v>
      </x:c>
      <x:c r="G933" s="70" t="s">
        <x:v>1745</x:v>
      </x:c>
      <x:c r="H933" s="70" t="s">
        <x:v>838</x:v>
      </x:c>
      <x:c r="I933" s="70" t="s">
        <x:v>833</x:v>
      </x:c>
      <x:c r="J933" s="70" t="n">
        <x:v>126</x:v>
      </x:c>
      <x:c r="K933" s="70" t="s">
        <x:v>1746</x:v>
      </x:c>
      <x:c r="L933" s="70" t="s">
        <x:v>927</x:v>
      </x:c>
      <x:c r="M933" s="70" t="s">
        <x:v>39</x:v>
      </x:c>
      <x:c r="N933" s="71" t="n">
        <x:v>1676245</x:v>
      </x:c>
      <x:c r="O933" s="72" t="n">
        <x:f aca="0">N933/1000</x:f>
        <x:v>1676.245</x:v>
      </x:c>
      <x:c r="P933" s="73" t="n">
        <x:f aca="0">DGKC!D32</x:f>
        <x:v>1676.245</x:v>
      </x:c>
      <x:c r="Q933" s="70" t="str">
        <x:f aca="0">IF(ABS(O933-P933)&lt;0.000001,"PASS","FAIL")</x:f>
        <x:v>PASS</x:v>
      </x:c>
      <x:c r="R933" s="70" t="s">
        <x:v>33</x:v>
      </x:c>
      <x:c r="S933" s="70"/>
    </x:row>
    <x:row r="934" ht="15" hidden="0">
      <x:c r="A934" s="70" t="s">
        <x:v>1820</x:v>
      </x:c>
      <x:c r="B934" s="70" t="s">
        <x:v>36</x:v>
      </x:c>
      <x:c r="C934" s="70" t="s">
        <x:v>102</x:v>
      </x:c>
      <x:c r="D934" s="70" t="s">
        <x:v>133</x:v>
      </x:c>
      <x:c r="E934" s="70" t="s">
        <x:v>763</x:v>
      </x:c>
      <x:c r="F934" s="70" t="s">
        <x:v>133</x:v>
      </x:c>
      <x:c r="G934" s="70" t="s">
        <x:v>1748</x:v>
      </x:c>
      <x:c r="H934" s="70" t="s">
        <x:v>842</x:v>
      </x:c>
      <x:c r="I934" s="70" t="s">
        <x:v>833</x:v>
      </x:c>
      <x:c r="J934" s="70" t="n">
        <x:v>152</x:v>
      </x:c>
      <x:c r="K934" s="70" t="s">
        <x:v>1749</x:v>
      </x:c>
      <x:c r="L934" s="70" t="s">
        <x:v>927</x:v>
      </x:c>
      <x:c r="M934" s="70" t="s">
        <x:v>39</x:v>
      </x:c>
      <x:c r="N934" s="71" t="n">
        <x:v>1467862</x:v>
      </x:c>
      <x:c r="O934" s="72" t="n">
        <x:f aca="0">N934/1000</x:f>
        <x:v>1467.862</x:v>
      </x:c>
      <x:c r="P934" s="73" t="n">
        <x:f aca="0">DGKC!E32</x:f>
        <x:v>1467.862</x:v>
      </x:c>
      <x:c r="Q934" s="70" t="str">
        <x:f aca="0">IF(ABS(O934-P934)&lt;0.000001,"PASS","FAIL")</x:f>
        <x:v>PASS</x:v>
      </x:c>
      <x:c r="R934" s="70" t="s">
        <x:v>33</x:v>
      </x:c>
      <x:c r="S934" s="70"/>
    </x:row>
    <x:row r="935" ht="15" hidden="0">
      <x:c r="A935" s="70" t="s">
        <x:v>1821</x:v>
      </x:c>
      <x:c r="B935" s="70" t="s">
        <x:v>36</x:v>
      </x:c>
      <x:c r="C935" s="70" t="s">
        <x:v>103</x:v>
      </x:c>
      <x:c r="D935" s="70" t="s">
        <x:v>133</x:v>
      </x:c>
      <x:c r="E935" s="70" t="s">
        <x:v>763</x:v>
      </x:c>
      <x:c r="F935" s="70" t="s">
        <x:v>133</x:v>
      </x:c>
      <x:c r="G935" s="70" t="s">
        <x:v>1751</x:v>
      </x:c>
      <x:c r="H935" s="70" t="s">
        <x:v>845</x:v>
      </x:c>
      <x:c r="I935" s="70" t="s">
        <x:v>833</x:v>
      </x:c>
      <x:c r="J935" s="70" t="n">
        <x:v>152</x:v>
      </x:c>
      <x:c r="K935" s="70" t="s">
        <x:v>1749</x:v>
      </x:c>
      <x:c r="L935" s="70" t="s">
        <x:v>927</x:v>
      </x:c>
      <x:c r="M935" s="70" t="s">
        <x:v>39</x:v>
      </x:c>
      <x:c r="N935" s="71" t="n">
        <x:v>1193440</x:v>
      </x:c>
      <x:c r="O935" s="72" t="n">
        <x:f aca="0">N935/1000</x:f>
        <x:v>1193.44</x:v>
      </x:c>
      <x:c r="P935" s="73" t="n">
        <x:f aca="0">DGKC!F32</x:f>
        <x:v>1193.44</x:v>
      </x:c>
      <x:c r="Q935" s="70" t="str">
        <x:f aca="0">IF(ABS(O935-P935)&lt;0.000001,"PASS","FAIL")</x:f>
        <x:v>PASS</x:v>
      </x:c>
      <x:c r="R935" s="70" t="s">
        <x:v>33</x:v>
      </x:c>
      <x:c r="S935" s="70"/>
    </x:row>
    <x:row r="936" ht="15" hidden="0">
      <x:c r="A936" s="70" t="s">
        <x:v>1822</x:v>
      </x:c>
      <x:c r="B936" s="70" t="s">
        <x:v>36</x:v>
      </x:c>
      <x:c r="C936" s="70" t="s">
        <x:v>104</x:v>
      </x:c>
      <x:c r="D936" s="70" t="s">
        <x:v>133</x:v>
      </x:c>
      <x:c r="E936" s="70" t="s">
        <x:v>763</x:v>
      </x:c>
      <x:c r="F936" s="70" t="s">
        <x:v>133</x:v>
      </x:c>
      <x:c r="G936" s="70" t="s">
        <x:v>1753</x:v>
      </x:c>
      <x:c r="H936" s="70" t="s">
        <x:v>849</x:v>
      </x:c>
      <x:c r="I936" s="70" t="s">
        <x:v>833</x:v>
      </x:c>
      <x:c r="J936" s="70" t="n">
        <x:v>154</x:v>
      </x:c>
      <x:c r="K936" s="70" t="s">
        <x:v>1754</x:v>
      </x:c>
      <x:c r="L936" s="70" t="s">
        <x:v>927</x:v>
      </x:c>
      <x:c r="M936" s="70" t="s">
        <x:v>39</x:v>
      </x:c>
      <x:c r="N936" s="71" t="n">
        <x:v>855742</x:v>
      </x:c>
      <x:c r="O936" s="72" t="n">
        <x:f aca="0">N936/1000</x:f>
        <x:v>855.742</x:v>
      </x:c>
      <x:c r="P936" s="73" t="n">
        <x:f aca="0">DGKC!G32</x:f>
        <x:v>855.742</x:v>
      </x:c>
      <x:c r="Q936" s="70" t="str">
        <x:f aca="0">IF(ABS(O936-P936)&lt;0.000001,"PASS","FAIL")</x:f>
        <x:v>PASS</x:v>
      </x:c>
      <x:c r="R936" s="70" t="s">
        <x:v>33</x:v>
      </x:c>
      <x:c r="S936" s="70"/>
    </x:row>
    <x:row r="937" ht="15" hidden="0">
      <x:c r="A937" s="70" t="s">
        <x:v>1823</x:v>
      </x:c>
      <x:c r="B937" s="70" t="s">
        <x:v>36</x:v>
      </x:c>
      <x:c r="C937" s="70" t="s">
        <x:v>105</x:v>
      </x:c>
      <x:c r="D937" s="70" t="s">
        <x:v>133</x:v>
      </x:c>
      <x:c r="E937" s="70" t="s">
        <x:v>763</x:v>
      </x:c>
      <x:c r="F937" s="70" t="s">
        <x:v>133</x:v>
      </x:c>
      <x:c r="G937" s="70" t="s">
        <x:v>1753</x:v>
      </x:c>
      <x:c r="H937" s="70" t="s">
        <x:v>849</x:v>
      </x:c>
      <x:c r="I937" s="70" t="s">
        <x:v>852</x:v>
      </x:c>
      <x:c r="J937" s="70" t="n">
        <x:v>154</x:v>
      </x:c>
      <x:c r="K937" s="70" t="s">
        <x:v>1754</x:v>
      </x:c>
      <x:c r="L937" s="70" t="s">
        <x:v>927</x:v>
      </x:c>
      <x:c r="M937" s="70" t="s">
        <x:v>39</x:v>
      </x:c>
      <x:c r="N937" s="71" t="n">
        <x:v>1493080</x:v>
      </x:c>
      <x:c r="O937" s="72" t="n">
        <x:f aca="0">N937/1000</x:f>
        <x:v>1493.08</x:v>
      </x:c>
      <x:c r="P937" s="73" t="n">
        <x:f aca="0">DGKC!H32</x:f>
        <x:v>1493.08</x:v>
      </x:c>
      <x:c r="Q937" s="70" t="str">
        <x:f aca="0">IF(ABS(O937-P937)&lt;0.000001,"PASS","FAIL")</x:f>
        <x:v>PASS</x:v>
      </x:c>
      <x:c r="R937" s="70" t="s">
        <x:v>33</x:v>
      </x:c>
      <x:c r="S937" s="70"/>
    </x:row>
    <x:row r="938" ht="15" hidden="0">
      <x:c r="A938" s="70" t="s">
        <x:v>1824</x:v>
      </x:c>
      <x:c r="B938" s="70" t="s">
        <x:v>36</x:v>
      </x:c>
      <x:c r="C938" s="70" t="s">
        <x:v>717</x:v>
      </x:c>
      <x:c r="D938" s="70" t="s">
        <x:v>135</x:v>
      </x:c>
      <x:c r="E938" s="70" t="s">
        <x:v>763</x:v>
      </x:c>
      <x:c r="F938" s="70" t="s">
        <x:v>1791</x:v>
      </x:c>
      <x:c r="G938" s="70" t="s">
        <x:v>1742</x:v>
      </x:c>
      <x:c r="H938" s="70" t="s">
        <x:v>832</x:v>
      </x:c>
      <x:c r="I938" s="70" t="s">
        <x:v>833</x:v>
      </x:c>
      <x:c r="J938" s="70" t="n">
        <x:v>106</x:v>
      </x:c>
      <x:c r="K938" s="70" t="s">
        <x:v>1743</x:v>
      </x:c>
      <x:c r="L938" s="70" t="s">
        <x:v>880</x:v>
      </x:c>
      <x:c r="M938" s="70" t="s">
        <x:v>39</x:v>
      </x:c>
      <x:c r="N938" s="71" t="n">
        <x:v>13126388</x:v>
      </x:c>
      <x:c r="O938" s="72" t="n">
        <x:f aca="0">N938/1000</x:f>
        <x:v>13126.388</x:v>
      </x:c>
      <x:c r="P938" s="73" t="n">
        <x:f aca="0">DGKC!C33</x:f>
        <x:v>13126.388</x:v>
      </x:c>
      <x:c r="Q938" s="70" t="str">
        <x:f aca="0">IF(ABS(O938-P938)&lt;0.000001,"PASS","FAIL")</x:f>
        <x:v>PASS</x:v>
      </x:c>
      <x:c r="R938" s="70" t="s">
        <x:v>33</x:v>
      </x:c>
      <x:c r="S938" s="70"/>
    </x:row>
    <x:row r="939" ht="15" hidden="0">
      <x:c r="A939" s="70" t="s">
        <x:v>1825</x:v>
      </x:c>
      <x:c r="B939" s="70" t="s">
        <x:v>36</x:v>
      </x:c>
      <x:c r="C939" s="70" t="s">
        <x:v>101</x:v>
      </x:c>
      <x:c r="D939" s="70" t="s">
        <x:v>135</x:v>
      </x:c>
      <x:c r="E939" s="70" t="s">
        <x:v>763</x:v>
      </x:c>
      <x:c r="F939" s="70" t="s">
        <x:v>1791</x:v>
      </x:c>
      <x:c r="G939" s="70" t="s">
        <x:v>1745</x:v>
      </x:c>
      <x:c r="H939" s="70" t="s">
        <x:v>838</x:v>
      </x:c>
      <x:c r="I939" s="70" t="s">
        <x:v>833</x:v>
      </x:c>
      <x:c r="J939" s="70" t="n">
        <x:v>126</x:v>
      </x:c>
      <x:c r="K939" s="70" t="s">
        <x:v>1746</x:v>
      </x:c>
      <x:c r="L939" s="70" t="s">
        <x:v>882</x:v>
      </x:c>
      <x:c r="M939" s="70" t="s">
        <x:v>39</x:v>
      </x:c>
      <x:c r="N939" s="71" t="n">
        <x:v>12946786</x:v>
      </x:c>
      <x:c r="O939" s="72" t="n">
        <x:f aca="0">N939/1000</x:f>
        <x:v>12946.786</x:v>
      </x:c>
      <x:c r="P939" s="73" t="n">
        <x:f aca="0">DGKC!D33</x:f>
        <x:v>12946.786</x:v>
      </x:c>
      <x:c r="Q939" s="70" t="str">
        <x:f aca="0">IF(ABS(O939-P939)&lt;0.000001,"PASS","FAIL")</x:f>
        <x:v>PASS</x:v>
      </x:c>
      <x:c r="R939" s="70" t="s">
        <x:v>33</x:v>
      </x:c>
      <x:c r="S939" s="70"/>
    </x:row>
    <x:row r="940" ht="15" hidden="0">
      <x:c r="A940" s="70" t="s">
        <x:v>1826</x:v>
      </x:c>
      <x:c r="B940" s="70" t="s">
        <x:v>36</x:v>
      </x:c>
      <x:c r="C940" s="70" t="s">
        <x:v>102</x:v>
      </x:c>
      <x:c r="D940" s="70" t="s">
        <x:v>135</x:v>
      </x:c>
      <x:c r="E940" s="70" t="s">
        <x:v>763</x:v>
      </x:c>
      <x:c r="F940" s="70" t="s">
        <x:v>1791</x:v>
      </x:c>
      <x:c r="G940" s="70" t="s">
        <x:v>1748</x:v>
      </x:c>
      <x:c r="H940" s="70" t="s">
        <x:v>842</x:v>
      </x:c>
      <x:c r="I940" s="70" t="s">
        <x:v>833</x:v>
      </x:c>
      <x:c r="J940" s="70" t="n">
        <x:v>152</x:v>
      </x:c>
      <x:c r="K940" s="70" t="s">
        <x:v>1749</x:v>
      </x:c>
      <x:c r="L940" s="70" t="s">
        <x:v>882</x:v>
      </x:c>
      <x:c r="M940" s="70" t="s">
        <x:v>39</x:v>
      </x:c>
      <x:c r="N940" s="71" t="n">
        <x:v>9962421</x:v>
      </x:c>
      <x:c r="O940" s="72" t="n">
        <x:f aca="0">N940/1000</x:f>
        <x:v>9962.421</x:v>
      </x:c>
      <x:c r="P940" s="73" t="n">
        <x:f aca="0">DGKC!E33</x:f>
        <x:v>9962.421</x:v>
      </x:c>
      <x:c r="Q940" s="70" t="str">
        <x:f aca="0">IF(ABS(O940-P940)&lt;0.000001,"PASS","FAIL")</x:f>
        <x:v>PASS</x:v>
      </x:c>
      <x:c r="R940" s="70" t="s">
        <x:v>33</x:v>
      </x:c>
      <x:c r="S940" s="70"/>
    </x:row>
    <x:row r="941" ht="15" hidden="0">
      <x:c r="A941" s="70" t="s">
        <x:v>1827</x:v>
      </x:c>
      <x:c r="B941" s="70" t="s">
        <x:v>36</x:v>
      </x:c>
      <x:c r="C941" s="70" t="s">
        <x:v>103</x:v>
      </x:c>
      <x:c r="D941" s="70" t="s">
        <x:v>135</x:v>
      </x:c>
      <x:c r="E941" s="70" t="s">
        <x:v>763</x:v>
      </x:c>
      <x:c r="F941" s="70" t="s">
        <x:v>1791</x:v>
      </x:c>
      <x:c r="G941" s="70" t="s">
        <x:v>1751</x:v>
      </x:c>
      <x:c r="H941" s="70" t="s">
        <x:v>845</x:v>
      </x:c>
      <x:c r="I941" s="70" t="s">
        <x:v>833</x:v>
      </x:c>
      <x:c r="J941" s="70" t="n">
        <x:v>152</x:v>
      </x:c>
      <x:c r="K941" s="70" t="s">
        <x:v>1749</x:v>
      </x:c>
      <x:c r="L941" s="70" t="s">
        <x:v>882</x:v>
      </x:c>
      <x:c r="M941" s="70" t="s">
        <x:v>39</x:v>
      </x:c>
      <x:c r="N941" s="71" t="n">
        <x:v>9270898</x:v>
      </x:c>
      <x:c r="O941" s="72" t="n">
        <x:f aca="0">N941/1000</x:f>
        <x:v>9270.898</x:v>
      </x:c>
      <x:c r="P941" s="73" t="n">
        <x:f aca="0">DGKC!F33</x:f>
        <x:v>9270.898</x:v>
      </x:c>
      <x:c r="Q941" s="70" t="str">
        <x:f aca="0">IF(ABS(O941-P941)&lt;0.000001,"PASS","FAIL")</x:f>
        <x:v>PASS</x:v>
      </x:c>
      <x:c r="R941" s="70" t="s">
        <x:v>33</x:v>
      </x:c>
      <x:c r="S941" s="70"/>
    </x:row>
    <x:row r="942" ht="15" hidden="0">
      <x:c r="A942" s="70" t="s">
        <x:v>1828</x:v>
      </x:c>
      <x:c r="B942" s="70" t="s">
        <x:v>36</x:v>
      </x:c>
      <x:c r="C942" s="70" t="s">
        <x:v>104</x:v>
      </x:c>
      <x:c r="D942" s="70" t="s">
        <x:v>135</x:v>
      </x:c>
      <x:c r="E942" s="70" t="s">
        <x:v>763</x:v>
      </x:c>
      <x:c r="F942" s="70" t="s">
        <x:v>925</x:v>
      </x:c>
      <x:c r="G942" s="70" t="s">
        <x:v>1753</x:v>
      </x:c>
      <x:c r="H942" s="70" t="s">
        <x:v>849</x:v>
      </x:c>
      <x:c r="I942" s="70" t="s">
        <x:v>833</x:v>
      </x:c>
      <x:c r="J942" s="70" t="n">
        <x:v>154</x:v>
      </x:c>
      <x:c r="K942" s="70" t="s">
        <x:v>1754</x:v>
      </x:c>
      <x:c r="L942" s="70" t="s">
        <x:v>933</x:v>
      </x:c>
      <x:c r="M942" s="70" t="s">
        <x:v>39</x:v>
      </x:c>
      <x:c r="N942" s="71" t="n">
        <x:v>18384882</x:v>
      </x:c>
      <x:c r="O942" s="72" t="n">
        <x:f aca="0">N942/1000</x:f>
        <x:v>18384.882</x:v>
      </x:c>
      <x:c r="P942" s="73" t="n">
        <x:f aca="0">DGKC!G33</x:f>
        <x:v>18384.882</x:v>
      </x:c>
      <x:c r="Q942" s="70" t="str">
        <x:f aca="0">IF(ABS(O942-P942)&lt;0.000001,"PASS","FAIL")</x:f>
        <x:v>PASS</x:v>
      </x:c>
      <x:c r="R942" s="70" t="s">
        <x:v>33</x:v>
      </x:c>
      <x:c r="S942" s="70"/>
    </x:row>
    <x:row r="943" ht="15" hidden="0">
      <x:c r="A943" s="70" t="s">
        <x:v>1829</x:v>
      </x:c>
      <x:c r="B943" s="70" t="s">
        <x:v>36</x:v>
      </x:c>
      <x:c r="C943" s="70" t="s">
        <x:v>105</x:v>
      </x:c>
      <x:c r="D943" s="70" t="s">
        <x:v>135</x:v>
      </x:c>
      <x:c r="E943" s="70" t="s">
        <x:v>763</x:v>
      </x:c>
      <x:c r="F943" s="70" t="s">
        <x:v>925</x:v>
      </x:c>
      <x:c r="G943" s="70" t="s">
        <x:v>1753</x:v>
      </x:c>
      <x:c r="H943" s="70" t="s">
        <x:v>849</x:v>
      </x:c>
      <x:c r="I943" s="70" t="s">
        <x:v>852</x:v>
      </x:c>
      <x:c r="J943" s="70" t="n">
        <x:v>154</x:v>
      </x:c>
      <x:c r="K943" s="70" t="s">
        <x:v>1754</x:v>
      </x:c>
      <x:c r="L943" s="70" t="s">
        <x:v>933</x:v>
      </x:c>
      <x:c r="M943" s="70" t="s">
        <x:v>39</x:v>
      </x:c>
      <x:c r="N943" s="71" t="n">
        <x:v>24005100</x:v>
      </x:c>
      <x:c r="O943" s="72" t="n">
        <x:f aca="0">N943/1000</x:f>
        <x:v>24005.1</x:v>
      </x:c>
      <x:c r="P943" s="73" t="n">
        <x:f aca="0">DGKC!H33</x:f>
        <x:v>24005.1</x:v>
      </x:c>
      <x:c r="Q943" s="70" t="str">
        <x:f aca="0">IF(ABS(O943-P943)&lt;0.000001,"PASS","FAIL")</x:f>
        <x:v>PASS</x:v>
      </x:c>
      <x:c r="R943" s="70" t="s">
        <x:v>33</x:v>
      </x:c>
      <x:c r="S943" s="70"/>
    </x:row>
    <x:row r="944" ht="15" hidden="0">
      <x:c r="A944" s="70" t="s">
        <x:v>1830</x:v>
      </x:c>
      <x:c r="B944" s="70" t="s">
        <x:v>36</x:v>
      </x:c>
      <x:c r="C944" s="70" t="s">
        <x:v>717</x:v>
      </x:c>
      <x:c r="D944" s="70" t="s">
        <x:v>137</x:v>
      </x:c>
      <x:c r="E944" s="70" t="s">
        <x:v>763</x:v>
      </x:c>
      <x:c r="F944" s="70" t="s">
        <x:v>137</x:v>
      </x:c>
      <x:c r="G944" s="70" t="s">
        <x:v>1742</x:v>
      </x:c>
      <x:c r="H944" s="70" t="s">
        <x:v>832</x:v>
      </x:c>
      <x:c r="I944" s="70" t="s">
        <x:v>833</x:v>
      </x:c>
      <x:c r="J944" s="70" t="n">
        <x:v>106</x:v>
      </x:c>
      <x:c r="K944" s="70" t="s">
        <x:v>1743</x:v>
      </x:c>
      <x:c r="L944" s="70" t="s">
        <x:v>1479</x:v>
      </x:c>
      <x:c r="M944" s="70" t="s">
        <x:v>39</x:v>
      </x:c>
      <x:c r="N944" s="71" t="n">
        <x:v>347834</x:v>
      </x:c>
      <x:c r="O944" s="72" t="n">
        <x:f aca="0">N944/1000</x:f>
        <x:v>347.834</x:v>
      </x:c>
      <x:c r="P944" s="73" t="n">
        <x:f aca="0">DGKC!C34</x:f>
        <x:v>347.834</x:v>
      </x:c>
      <x:c r="Q944" s="70" t="str">
        <x:f aca="0">IF(ABS(O944-P944)&lt;0.000001,"PASS","FAIL")</x:f>
        <x:v>PASS</x:v>
      </x:c>
      <x:c r="R944" s="70" t="s">
        <x:v>33</x:v>
      </x:c>
      <x:c r="S944" s="70"/>
    </x:row>
    <x:row r="945" ht="15" hidden="0">
      <x:c r="A945" s="70" t="s">
        <x:v>1831</x:v>
      </x:c>
      <x:c r="B945" s="70" t="s">
        <x:v>36</x:v>
      </x:c>
      <x:c r="C945" s="70" t="s">
        <x:v>101</x:v>
      </x:c>
      <x:c r="D945" s="70" t="s">
        <x:v>137</x:v>
      </x:c>
      <x:c r="E945" s="70" t="s">
        <x:v>763</x:v>
      </x:c>
      <x:c r="F945" s="70" t="s">
        <x:v>137</x:v>
      </x:c>
      <x:c r="G945" s="70" t="s">
        <x:v>1745</x:v>
      </x:c>
      <x:c r="H945" s="70" t="s">
        <x:v>838</x:v>
      </x:c>
      <x:c r="I945" s="70" t="s">
        <x:v>833</x:v>
      </x:c>
      <x:c r="J945" s="70" t="n">
        <x:v>126</x:v>
      </x:c>
      <x:c r="K945" s="70" t="s">
        <x:v>1746</x:v>
      </x:c>
      <x:c r="L945" s="70" t="s">
        <x:v>1832</x:v>
      </x:c>
      <x:c r="M945" s="70" t="s">
        <x:v>39</x:v>
      </x:c>
      <x:c r="N945" s="71" t="n">
        <x:v>806373</x:v>
      </x:c>
      <x:c r="O945" s="72" t="n">
        <x:f aca="0">N945/1000</x:f>
        <x:v>806.373</x:v>
      </x:c>
      <x:c r="P945" s="73" t="n">
        <x:f aca="0">DGKC!D34</x:f>
        <x:v>806.373</x:v>
      </x:c>
      <x:c r="Q945" s="70" t="str">
        <x:f aca="0">IF(ABS(O945-P945)&lt;0.000001,"PASS","FAIL")</x:f>
        <x:v>PASS</x:v>
      </x:c>
      <x:c r="R945" s="70" t="s">
        <x:v>33</x:v>
      </x:c>
      <x:c r="S945" s="70"/>
    </x:row>
    <x:row r="946" ht="15" hidden="0">
      <x:c r="A946" s="70" t="s">
        <x:v>1833</x:v>
      </x:c>
      <x:c r="B946" s="70" t="s">
        <x:v>36</x:v>
      </x:c>
      <x:c r="C946" s="70" t="s">
        <x:v>102</x:v>
      </x:c>
      <x:c r="D946" s="70" t="s">
        <x:v>137</x:v>
      </x:c>
      <x:c r="E946" s="70" t="s">
        <x:v>763</x:v>
      </x:c>
      <x:c r="F946" s="70" t="s">
        <x:v>137</x:v>
      </x:c>
      <x:c r="G946" s="70" t="s">
        <x:v>1748</x:v>
      </x:c>
      <x:c r="H946" s="70" t="s">
        <x:v>842</x:v>
      </x:c>
      <x:c r="I946" s="70" t="s">
        <x:v>833</x:v>
      </x:c>
      <x:c r="J946" s="70" t="n">
        <x:v>152</x:v>
      </x:c>
      <x:c r="K946" s="70" t="s">
        <x:v>1749</x:v>
      </x:c>
      <x:c r="L946" s="70" t="s">
        <x:v>1479</x:v>
      </x:c>
      <x:c r="M946" s="70" t="s">
        <x:v>39</x:v>
      </x:c>
      <x:c r="N946" s="71" t="n">
        <x:v>410803</x:v>
      </x:c>
      <x:c r="O946" s="72" t="n">
        <x:f aca="0">N946/1000</x:f>
        <x:v>410.803</x:v>
      </x:c>
      <x:c r="P946" s="73" t="n">
        <x:f aca="0">DGKC!E34</x:f>
        <x:v>410.803</x:v>
      </x:c>
      <x:c r="Q946" s="70" t="str">
        <x:f aca="0">IF(ABS(O946-P946)&lt;0.000001,"PASS","FAIL")</x:f>
        <x:v>PASS</x:v>
      </x:c>
      <x:c r="R946" s="70" t="s">
        <x:v>33</x:v>
      </x:c>
      <x:c r="S946" s="70"/>
    </x:row>
    <x:row r="947" ht="15" hidden="0">
      <x:c r="A947" s="70" t="s">
        <x:v>1834</x:v>
      </x:c>
      <x:c r="B947" s="70" t="s">
        <x:v>36</x:v>
      </x:c>
      <x:c r="C947" s="70" t="s">
        <x:v>103</x:v>
      </x:c>
      <x:c r="D947" s="70" t="s">
        <x:v>137</x:v>
      </x:c>
      <x:c r="E947" s="70" t="s">
        <x:v>763</x:v>
      </x:c>
      <x:c r="F947" s="70" t="s">
        <x:v>137</x:v>
      </x:c>
      <x:c r="G947" s="70" t="s">
        <x:v>1751</x:v>
      </x:c>
      <x:c r="H947" s="70" t="s">
        <x:v>845</x:v>
      </x:c>
      <x:c r="I947" s="70" t="s">
        <x:v>833</x:v>
      </x:c>
      <x:c r="J947" s="70" t="n">
        <x:v>152</x:v>
      </x:c>
      <x:c r="K947" s="70" t="s">
        <x:v>1749</x:v>
      </x:c>
      <x:c r="L947" s="70" t="s">
        <x:v>1479</x:v>
      </x:c>
      <x:c r="M947" s="70" t="s">
        <x:v>39</x:v>
      </x:c>
      <x:c r="N947" s="71" t="n">
        <x:v>674972</x:v>
      </x:c>
      <x:c r="O947" s="72" t="n">
        <x:f aca="0">N947/1000</x:f>
        <x:v>674.972</x:v>
      </x:c>
      <x:c r="P947" s="73" t="n">
        <x:f aca="0">DGKC!F34</x:f>
        <x:v>674.972</x:v>
      </x:c>
      <x:c r="Q947" s="70" t="str">
        <x:f aca="0">IF(ABS(O947-P947)&lt;0.000001,"PASS","FAIL")</x:f>
        <x:v>PASS</x:v>
      </x:c>
      <x:c r="R947" s="70" t="s">
        <x:v>33</x:v>
      </x:c>
      <x:c r="S947" s="70"/>
    </x:row>
    <x:row r="948" ht="15" hidden="0">
      <x:c r="A948" s="70" t="s">
        <x:v>1835</x:v>
      </x:c>
      <x:c r="B948" s="70" t="s">
        <x:v>36</x:v>
      </x:c>
      <x:c r="C948" s="70" t="s">
        <x:v>104</x:v>
      </x:c>
      <x:c r="D948" s="70" t="s">
        <x:v>137</x:v>
      </x:c>
      <x:c r="E948" s="70" t="s">
        <x:v>763</x:v>
      </x:c>
      <x:c r="F948" s="70" t="s">
        <x:v>137</x:v>
      </x:c>
      <x:c r="G948" s="70" t="s">
        <x:v>1753</x:v>
      </x:c>
      <x:c r="H948" s="70" t="s">
        <x:v>849</x:v>
      </x:c>
      <x:c r="I948" s="70" t="s">
        <x:v>833</x:v>
      </x:c>
      <x:c r="J948" s="70" t="n">
        <x:v>154</x:v>
      </x:c>
      <x:c r="K948" s="70" t="s">
        <x:v>1754</x:v>
      </x:c>
      <x:c r="L948" s="70" t="s">
        <x:v>1479</x:v>
      </x:c>
      <x:c r="M948" s="70" t="s">
        <x:v>39</x:v>
      </x:c>
      <x:c r="N948" s="71" t="n">
        <x:v>732168</x:v>
      </x:c>
      <x:c r="O948" s="72" t="n">
        <x:f aca="0">N948/1000</x:f>
        <x:v>732.168</x:v>
      </x:c>
      <x:c r="P948" s="73" t="n">
        <x:f aca="0">DGKC!G34</x:f>
        <x:v>732.168</x:v>
      </x:c>
      <x:c r="Q948" s="70" t="str">
        <x:f aca="0">IF(ABS(O948-P948)&lt;0.000001,"PASS","FAIL")</x:f>
        <x:v>PASS</x:v>
      </x:c>
      <x:c r="R948" s="70" t="s">
        <x:v>33</x:v>
      </x:c>
      <x:c r="S948" s="70"/>
    </x:row>
    <x:row r="949" ht="15" hidden="0">
      <x:c r="A949" s="70" t="s">
        <x:v>1836</x:v>
      </x:c>
      <x:c r="B949" s="70" t="s">
        <x:v>36</x:v>
      </x:c>
      <x:c r="C949" s="70" t="s">
        <x:v>105</x:v>
      </x:c>
      <x:c r="D949" s="70" t="s">
        <x:v>137</x:v>
      </x:c>
      <x:c r="E949" s="70" t="s">
        <x:v>763</x:v>
      </x:c>
      <x:c r="F949" s="70" t="s">
        <x:v>137</x:v>
      </x:c>
      <x:c r="G949" s="70" t="s">
        <x:v>1753</x:v>
      </x:c>
      <x:c r="H949" s="70" t="s">
        <x:v>849</x:v>
      </x:c>
      <x:c r="I949" s="70" t="s">
        <x:v>852</x:v>
      </x:c>
      <x:c r="J949" s="70" t="n">
        <x:v>154</x:v>
      </x:c>
      <x:c r="K949" s="70" t="s">
        <x:v>1754</x:v>
      </x:c>
      <x:c r="L949" s="70" t="s">
        <x:v>1479</x:v>
      </x:c>
      <x:c r="M949" s="70" t="s">
        <x:v>39</x:v>
      </x:c>
      <x:c r="N949" s="71" t="n">
        <x:v>568832</x:v>
      </x:c>
      <x:c r="O949" s="72" t="n">
        <x:f aca="0">N949/1000</x:f>
        <x:v>568.832</x:v>
      </x:c>
      <x:c r="P949" s="73" t="n">
        <x:f aca="0">DGKC!H34</x:f>
        <x:v>568.832</x:v>
      </x:c>
      <x:c r="Q949" s="70" t="str">
        <x:f aca="0">IF(ABS(O949-P949)&lt;0.000001,"PASS","FAIL")</x:f>
        <x:v>PASS</x:v>
      </x:c>
      <x:c r="R949" s="70" t="s">
        <x:v>33</x:v>
      </x:c>
      <x:c r="S949" s="70"/>
    </x:row>
    <x:row r="950" ht="15" hidden="0">
      <x:c r="A950" s="70" t="s">
        <x:v>1837</x:v>
      </x:c>
      <x:c r="B950" s="70" t="s">
        <x:v>36</x:v>
      </x:c>
      <x:c r="C950" s="70" t="s">
        <x:v>717</x:v>
      </x:c>
      <x:c r="D950" s="70" t="s">
        <x:v>139</x:v>
      </x:c>
      <x:c r="E950" s="70" t="s">
        <x:v>763</x:v>
      </x:c>
      <x:c r="F950" s="70" t="s">
        <x:v>1838</x:v>
      </x:c>
      <x:c r="G950" s="70" t="s">
        <x:v>1742</x:v>
      </x:c>
      <x:c r="H950" s="70" t="s">
        <x:v>832</x:v>
      </x:c>
      <x:c r="I950" s="70" t="s">
        <x:v>833</x:v>
      </x:c>
      <x:c r="J950" s="70" t="n">
        <x:v>106</x:v>
      </x:c>
      <x:c r="K950" s="70" t="s">
        <x:v>1743</x:v>
      </x:c>
      <x:c r="L950" s="70"/>
      <x:c r="M950" s="70" t="s">
        <x:v>39</x:v>
      </x:c>
      <x:c r="N950" s="71" t="n">
        <x:v>5755136</x:v>
      </x:c>
      <x:c r="O950" s="72" t="n">
        <x:f aca="0">N950/1000</x:f>
        <x:v>5755.136</x:v>
      </x:c>
      <x:c r="P950" s="73" t="n">
        <x:f aca="0">DGKC!C35</x:f>
        <x:v>5755.136</x:v>
      </x:c>
      <x:c r="Q950" s="70" t="str">
        <x:f aca="0">IF(ABS(O950-P950)&lt;0.000001,"PASS","FAIL")</x:f>
        <x:v>PASS</x:v>
      </x:c>
      <x:c r="R950" s="70" t="s">
        <x:v>33</x:v>
      </x:c>
      <x:c r="S950" s="70"/>
    </x:row>
    <x:row r="951" ht="15" hidden="0">
      <x:c r="A951" s="70" t="s">
        <x:v>1839</x:v>
      </x:c>
      <x:c r="B951" s="70" t="s">
        <x:v>36</x:v>
      </x:c>
      <x:c r="C951" s="70" t="s">
        <x:v>101</x:v>
      </x:c>
      <x:c r="D951" s="70" t="s">
        <x:v>139</x:v>
      </x:c>
      <x:c r="E951" s="70" t="s">
        <x:v>763</x:v>
      </x:c>
      <x:c r="F951" s="70" t="s">
        <x:v>1838</x:v>
      </x:c>
      <x:c r="G951" s="70" t="s">
        <x:v>1745</x:v>
      </x:c>
      <x:c r="H951" s="70" t="s">
        <x:v>838</x:v>
      </x:c>
      <x:c r="I951" s="70" t="s">
        <x:v>833</x:v>
      </x:c>
      <x:c r="J951" s="70" t="n">
        <x:v>126</x:v>
      </x:c>
      <x:c r="K951" s="70" t="s">
        <x:v>1746</x:v>
      </x:c>
      <x:c r="L951" s="70"/>
      <x:c r="M951" s="70" t="s">
        <x:v>39</x:v>
      </x:c>
      <x:c r="N951" s="71" t="n">
        <x:v>5813923</x:v>
      </x:c>
      <x:c r="O951" s="72" t="n">
        <x:f aca="0">N951/1000</x:f>
        <x:v>5813.923</x:v>
      </x:c>
      <x:c r="P951" s="73" t="n">
        <x:f aca="0">DGKC!D35</x:f>
        <x:v>5813.923</x:v>
      </x:c>
      <x:c r="Q951" s="70" t="str">
        <x:f aca="0">IF(ABS(O951-P951)&lt;0.000001,"PASS","FAIL")</x:f>
        <x:v>PASS</x:v>
      </x:c>
      <x:c r="R951" s="70" t="s">
        <x:v>33</x:v>
      </x:c>
      <x:c r="S951" s="70"/>
    </x:row>
    <x:row r="952" ht="15" hidden="0">
      <x:c r="A952" s="70" t="s">
        <x:v>1840</x:v>
      </x:c>
      <x:c r="B952" s="70" t="s">
        <x:v>36</x:v>
      </x:c>
      <x:c r="C952" s="70" t="s">
        <x:v>102</x:v>
      </x:c>
      <x:c r="D952" s="70" t="s">
        <x:v>139</x:v>
      </x:c>
      <x:c r="E952" s="70" t="s">
        <x:v>763</x:v>
      </x:c>
      <x:c r="F952" s="70" t="s">
        <x:v>1841</x:v>
      </x:c>
      <x:c r="G952" s="70" t="s">
        <x:v>1748</x:v>
      </x:c>
      <x:c r="H952" s="70" t="s">
        <x:v>842</x:v>
      </x:c>
      <x:c r="I952" s="70" t="s">
        <x:v>833</x:v>
      </x:c>
      <x:c r="J952" s="70" t="n">
        <x:v>152</x:v>
      </x:c>
      <x:c r="K952" s="70" t="s">
        <x:v>1749</x:v>
      </x:c>
      <x:c r="L952" s="70"/>
      <x:c r="M952" s="70" t="s">
        <x:v>39</x:v>
      </x:c>
      <x:c r="N952" s="71" t="n">
        <x:v>6176679</x:v>
      </x:c>
      <x:c r="O952" s="72" t="n">
        <x:f aca="0">N952/1000</x:f>
        <x:v>6176.679</x:v>
      </x:c>
      <x:c r="P952" s="73" t="n">
        <x:f aca="0">DGKC!E35</x:f>
        <x:v>6176.679</x:v>
      </x:c>
      <x:c r="Q952" s="70" t="str">
        <x:f aca="0">IF(ABS(O952-P952)&lt;0.000001,"PASS","FAIL")</x:f>
        <x:v>PASS</x:v>
      </x:c>
      <x:c r="R952" s="70" t="s">
        <x:v>33</x:v>
      </x:c>
      <x:c r="S952" s="70"/>
    </x:row>
    <x:row r="953" ht="15" hidden="0">
      <x:c r="A953" s="70" t="s">
        <x:v>1842</x:v>
      </x:c>
      <x:c r="B953" s="70" t="s">
        <x:v>36</x:v>
      </x:c>
      <x:c r="C953" s="70" t="s">
        <x:v>103</x:v>
      </x:c>
      <x:c r="D953" s="70" t="s">
        <x:v>139</x:v>
      </x:c>
      <x:c r="E953" s="70" t="s">
        <x:v>763</x:v>
      </x:c>
      <x:c r="F953" s="70" t="s">
        <x:v>1841</x:v>
      </x:c>
      <x:c r="G953" s="70" t="s">
        <x:v>1751</x:v>
      </x:c>
      <x:c r="H953" s="70" t="s">
        <x:v>845</x:v>
      </x:c>
      <x:c r="I953" s="70" t="s">
        <x:v>833</x:v>
      </x:c>
      <x:c r="J953" s="70" t="n">
        <x:v>152</x:v>
      </x:c>
      <x:c r="K953" s="70" t="s">
        <x:v>1749</x:v>
      </x:c>
      <x:c r="L953" s="70"/>
      <x:c r="M953" s="70" t="s">
        <x:v>39</x:v>
      </x:c>
      <x:c r="N953" s="71" t="n">
        <x:v>5162181</x:v>
      </x:c>
      <x:c r="O953" s="72" t="n">
        <x:f aca="0">N953/1000</x:f>
        <x:v>5162.181</x:v>
      </x:c>
      <x:c r="P953" s="73" t="n">
        <x:f aca="0">DGKC!F35</x:f>
        <x:v>5162.181</x:v>
      </x:c>
      <x:c r="Q953" s="70" t="str">
        <x:f aca="0">IF(ABS(O953-P953)&lt;0.000001,"PASS","FAIL")</x:f>
        <x:v>PASS</x:v>
      </x:c>
      <x:c r="R953" s="70" t="s">
        <x:v>33</x:v>
      </x:c>
      <x:c r="S953" s="70"/>
    </x:row>
    <x:row r="954" ht="15" hidden="0">
      <x:c r="A954" s="70" t="s">
        <x:v>1843</x:v>
      </x:c>
      <x:c r="B954" s="70" t="s">
        <x:v>36</x:v>
      </x:c>
      <x:c r="C954" s="70" t="s">
        <x:v>104</x:v>
      </x:c>
      <x:c r="D954" s="70" t="s">
        <x:v>139</x:v>
      </x:c>
      <x:c r="E954" s="70" t="s">
        <x:v>763</x:v>
      </x:c>
      <x:c r="F954" s="70" t="s">
        <x:v>1841</x:v>
      </x:c>
      <x:c r="G954" s="70" t="s">
        <x:v>1753</x:v>
      </x:c>
      <x:c r="H954" s="70" t="s">
        <x:v>849</x:v>
      </x:c>
      <x:c r="I954" s="70" t="s">
        <x:v>833</x:v>
      </x:c>
      <x:c r="J954" s="70" t="n">
        <x:v>154</x:v>
      </x:c>
      <x:c r="K954" s="70" t="s">
        <x:v>1754</x:v>
      </x:c>
      <x:c r="L954" s="70"/>
      <x:c r="M954" s="70" t="s">
        <x:v>39</x:v>
      </x:c>
      <x:c r="N954" s="71" t="n">
        <x:v>1544888</x:v>
      </x:c>
      <x:c r="O954" s="72" t="n">
        <x:f aca="0">N954/1000</x:f>
        <x:v>1544.888</x:v>
      </x:c>
      <x:c r="P954" s="73" t="n">
        <x:f aca="0">DGKC!G35</x:f>
        <x:v>1544.888</x:v>
      </x:c>
      <x:c r="Q954" s="70" t="str">
        <x:f aca="0">IF(ABS(O954-P954)&lt;0.000001,"PASS","FAIL")</x:f>
        <x:v>PASS</x:v>
      </x:c>
      <x:c r="R954" s="70" t="s">
        <x:v>33</x:v>
      </x:c>
      <x:c r="S954" s="70"/>
    </x:row>
    <x:row r="955" ht="15" hidden="0">
      <x:c r="A955" s="70" t="s">
        <x:v>1844</x:v>
      </x:c>
      <x:c r="B955" s="70" t="s">
        <x:v>36</x:v>
      </x:c>
      <x:c r="C955" s="70" t="s">
        <x:v>105</x:v>
      </x:c>
      <x:c r="D955" s="70" t="s">
        <x:v>139</x:v>
      </x:c>
      <x:c r="E955" s="70" t="s">
        <x:v>763</x:v>
      </x:c>
      <x:c r="F955" s="70" t="s">
        <x:v>1841</x:v>
      </x:c>
      <x:c r="G955" s="70" t="s">
        <x:v>1753</x:v>
      </x:c>
      <x:c r="H955" s="70" t="s">
        <x:v>849</x:v>
      </x:c>
      <x:c r="I955" s="70" t="s">
        <x:v>852</x:v>
      </x:c>
      <x:c r="J955" s="70" t="n">
        <x:v>154</x:v>
      </x:c>
      <x:c r="K955" s="70" t="s">
        <x:v>1754</x:v>
      </x:c>
      <x:c r="L955" s="70"/>
      <x:c r="M955" s="70" t="s">
        <x:v>39</x:v>
      </x:c>
      <x:c r="N955" s="71" t="n">
        <x:v>1345673</x:v>
      </x:c>
      <x:c r="O955" s="72" t="n">
        <x:f aca="0">N955/1000</x:f>
        <x:v>1345.673</x:v>
      </x:c>
      <x:c r="P955" s="73" t="n">
        <x:f aca="0">DGKC!H35</x:f>
        <x:v>1345.673</x:v>
      </x:c>
      <x:c r="Q955" s="70" t="str">
        <x:f aca="0">IF(ABS(O955-P955)&lt;0.000001,"PASS","FAIL")</x:f>
        <x:v>PASS</x:v>
      </x:c>
      <x:c r="R955" s="70" t="s">
        <x:v>33</x:v>
      </x:c>
      <x:c r="S955" s="70"/>
    </x:row>
    <x:row r="956" ht="15" hidden="0">
      <x:c r="A956" s="70" t="s">
        <x:v>1845</x:v>
      </x:c>
      <x:c r="B956" s="70" t="s">
        <x:v>36</x:v>
      </x:c>
      <x:c r="C956" s="70" t="s">
        <x:v>717</x:v>
      </x:c>
      <x:c r="D956" s="70" t="s">
        <x:v>146</x:v>
      </x:c>
      <x:c r="E956" s="70" t="s">
        <x:v>763</x:v>
      </x:c>
      <x:c r="F956" s="70" t="s">
        <x:v>1846</x:v>
      </x:c>
      <x:c r="G956" s="70" t="s">
        <x:v>1742</x:v>
      </x:c>
      <x:c r="H956" s="70" t="s">
        <x:v>832</x:v>
      </x:c>
      <x:c r="I956" s="70" t="s">
        <x:v>833</x:v>
      </x:c>
      <x:c r="J956" s="70" t="n">
        <x:v>105</x:v>
      </x:c>
      <x:c r="K956" s="70" t="s">
        <x:v>1768</x:v>
      </x:c>
      <x:c r="L956" s="70" t="s">
        <x:v>1299</x:v>
      </x:c>
      <x:c r="M956" s="70" t="s">
        <x:v>39</x:v>
      </x:c>
      <x:c r="N956" s="71" t="n">
        <x:v>4381191</x:v>
      </x:c>
      <x:c r="O956" s="72" t="n">
        <x:f aca="0">N956/1000</x:f>
        <x:v>4381.191</x:v>
      </x:c>
      <x:c r="P956" s="73" t="n">
        <x:f aca="0">DGKC!C39</x:f>
        <x:v>4381.191</x:v>
      </x:c>
      <x:c r="Q956" s="70" t="str">
        <x:f aca="0">IF(ABS(O956-P956)&lt;0.000001,"PASS","FAIL")</x:f>
        <x:v>PASS</x:v>
      </x:c>
      <x:c r="R956" s="70" t="s">
        <x:v>33</x:v>
      </x:c>
      <x:c r="S956" s="70"/>
    </x:row>
    <x:row r="957" ht="15" hidden="0">
      <x:c r="A957" s="70" t="s">
        <x:v>1847</x:v>
      </x:c>
      <x:c r="B957" s="70" t="s">
        <x:v>36</x:v>
      </x:c>
      <x:c r="C957" s="70" t="s">
        <x:v>101</x:v>
      </x:c>
      <x:c r="D957" s="70" t="s">
        <x:v>146</x:v>
      </x:c>
      <x:c r="E957" s="70" t="s">
        <x:v>763</x:v>
      </x:c>
      <x:c r="F957" s="70" t="s">
        <x:v>1846</x:v>
      </x:c>
      <x:c r="G957" s="70" t="s">
        <x:v>1745</x:v>
      </x:c>
      <x:c r="H957" s="70" t="s">
        <x:v>838</x:v>
      </x:c>
      <x:c r="I957" s="70" t="s">
        <x:v>833</x:v>
      </x:c>
      <x:c r="J957" s="70" t="n">
        <x:v>125</x:v>
      </x:c>
      <x:c r="K957" s="70" t="s">
        <x:v>1770</x:v>
      </x:c>
      <x:c r="L957" s="70" t="s">
        <x:v>1299</x:v>
      </x:c>
      <x:c r="M957" s="70" t="s">
        <x:v>39</x:v>
      </x:c>
      <x:c r="N957" s="71" t="n">
        <x:v>4381191</x:v>
      </x:c>
      <x:c r="O957" s="72" t="n">
        <x:f aca="0">N957/1000</x:f>
        <x:v>4381.191</x:v>
      </x:c>
      <x:c r="P957" s="73" t="n">
        <x:f aca="0">DGKC!D39</x:f>
        <x:v>4381.191</x:v>
      </x:c>
      <x:c r="Q957" s="70" t="str">
        <x:f aca="0">IF(ABS(O957-P957)&lt;0.000001,"PASS","FAIL")</x:f>
        <x:v>PASS</x:v>
      </x:c>
      <x:c r="R957" s="70" t="s">
        <x:v>33</x:v>
      </x:c>
      <x:c r="S957" s="70"/>
    </x:row>
    <x:row r="958" ht="15" hidden="0">
      <x:c r="A958" s="70" t="s">
        <x:v>1848</x:v>
      </x:c>
      <x:c r="B958" s="70" t="s">
        <x:v>36</x:v>
      </x:c>
      <x:c r="C958" s="70" t="s">
        <x:v>102</x:v>
      </x:c>
      <x:c r="D958" s="70" t="s">
        <x:v>146</x:v>
      </x:c>
      <x:c r="E958" s="70" t="s">
        <x:v>763</x:v>
      </x:c>
      <x:c r="F958" s="70" t="s">
        <x:v>1846</x:v>
      </x:c>
      <x:c r="G958" s="70" t="s">
        <x:v>1748</x:v>
      </x:c>
      <x:c r="H958" s="70" t="s">
        <x:v>842</x:v>
      </x:c>
      <x:c r="I958" s="70" t="s">
        <x:v>833</x:v>
      </x:c>
      <x:c r="J958" s="70" t="n">
        <x:v>151</x:v>
      </x:c>
      <x:c r="K958" s="70" t="s">
        <x:v>1772</x:v>
      </x:c>
      <x:c r="L958" s="70" t="s">
        <x:v>1299</x:v>
      </x:c>
      <x:c r="M958" s="70" t="s">
        <x:v>39</x:v>
      </x:c>
      <x:c r="N958" s="71" t="n">
        <x:v>4381191</x:v>
      </x:c>
      <x:c r="O958" s="72" t="n">
        <x:f aca="0">N958/1000</x:f>
        <x:v>4381.191</x:v>
      </x:c>
      <x:c r="P958" s="73" t="n">
        <x:f aca="0">DGKC!E39</x:f>
        <x:v>4381.191</x:v>
      </x:c>
      <x:c r="Q958" s="70" t="str">
        <x:f aca="0">IF(ABS(O958-P958)&lt;0.000001,"PASS","FAIL")</x:f>
        <x:v>PASS</x:v>
      </x:c>
      <x:c r="R958" s="70" t="s">
        <x:v>33</x:v>
      </x:c>
      <x:c r="S958" s="70"/>
    </x:row>
    <x:row r="959" ht="15" hidden="0">
      <x:c r="A959" s="70" t="s">
        <x:v>1849</x:v>
      </x:c>
      <x:c r="B959" s="70" t="s">
        <x:v>36</x:v>
      </x:c>
      <x:c r="C959" s="70" t="s">
        <x:v>103</x:v>
      </x:c>
      <x:c r="D959" s="70" t="s">
        <x:v>146</x:v>
      </x:c>
      <x:c r="E959" s="70" t="s">
        <x:v>763</x:v>
      </x:c>
      <x:c r="F959" s="70" t="s">
        <x:v>1846</x:v>
      </x:c>
      <x:c r="G959" s="70" t="s">
        <x:v>1751</x:v>
      </x:c>
      <x:c r="H959" s="70" t="s">
        <x:v>845</x:v>
      </x:c>
      <x:c r="I959" s="70" t="s">
        <x:v>833</x:v>
      </x:c>
      <x:c r="J959" s="70" t="n">
        <x:v>151</x:v>
      </x:c>
      <x:c r="K959" s="70" t="s">
        <x:v>1772</x:v>
      </x:c>
      <x:c r="L959" s="70" t="s">
        <x:v>1299</x:v>
      </x:c>
      <x:c r="M959" s="70" t="s">
        <x:v>39</x:v>
      </x:c>
      <x:c r="N959" s="71" t="n">
        <x:v>4381191</x:v>
      </x:c>
      <x:c r="O959" s="72" t="n">
        <x:f aca="0">N959/1000</x:f>
        <x:v>4381.191</x:v>
      </x:c>
      <x:c r="P959" s="73" t="n">
        <x:f aca="0">DGKC!F39</x:f>
        <x:v>4381.191</x:v>
      </x:c>
      <x:c r="Q959" s="70" t="str">
        <x:f aca="0">IF(ABS(O959-P959)&lt;0.000001,"PASS","FAIL")</x:f>
        <x:v>PASS</x:v>
      </x:c>
      <x:c r="R959" s="70" t="s">
        <x:v>33</x:v>
      </x:c>
      <x:c r="S959" s="70"/>
    </x:row>
    <x:row r="960" ht="15" hidden="0">
      <x:c r="A960" s="70" t="s">
        <x:v>1850</x:v>
      </x:c>
      <x:c r="B960" s="70" t="s">
        <x:v>36</x:v>
      </x:c>
      <x:c r="C960" s="70" t="s">
        <x:v>104</x:v>
      </x:c>
      <x:c r="D960" s="70" t="s">
        <x:v>146</x:v>
      </x:c>
      <x:c r="E960" s="70" t="s">
        <x:v>763</x:v>
      </x:c>
      <x:c r="F960" s="70" t="s">
        <x:v>1846</x:v>
      </x:c>
      <x:c r="G960" s="70" t="s">
        <x:v>1753</x:v>
      </x:c>
      <x:c r="H960" s="70" t="s">
        <x:v>849</x:v>
      </x:c>
      <x:c r="I960" s="70" t="s">
        <x:v>833</x:v>
      </x:c>
      <x:c r="J960" s="70" t="n">
        <x:v>153</x:v>
      </x:c>
      <x:c r="K960" s="70" t="s">
        <x:v>1775</x:v>
      </x:c>
      <x:c r="L960" s="70" t="s">
        <x:v>1299</x:v>
      </x:c>
      <x:c r="M960" s="70" t="s">
        <x:v>39</x:v>
      </x:c>
      <x:c r="N960" s="71" t="n">
        <x:v>4381191</x:v>
      </x:c>
      <x:c r="O960" s="72" t="n">
        <x:f aca="0">N960/1000</x:f>
        <x:v>4381.191</x:v>
      </x:c>
      <x:c r="P960" s="73" t="n">
        <x:f aca="0">DGKC!G39</x:f>
        <x:v>4381.191</x:v>
      </x:c>
      <x:c r="Q960" s="70" t="str">
        <x:f aca="0">IF(ABS(O960-P960)&lt;0.000001,"PASS","FAIL")</x:f>
        <x:v>PASS</x:v>
      </x:c>
      <x:c r="R960" s="70" t="s">
        <x:v>33</x:v>
      </x:c>
      <x:c r="S960" s="70"/>
    </x:row>
    <x:row r="961" ht="15" hidden="0">
      <x:c r="A961" s="70" t="s">
        <x:v>1851</x:v>
      </x:c>
      <x:c r="B961" s="70" t="s">
        <x:v>36</x:v>
      </x:c>
      <x:c r="C961" s="70" t="s">
        <x:v>105</x:v>
      </x:c>
      <x:c r="D961" s="70" t="s">
        <x:v>146</x:v>
      </x:c>
      <x:c r="E961" s="70" t="s">
        <x:v>763</x:v>
      </x:c>
      <x:c r="F961" s="70" t="s">
        <x:v>1846</x:v>
      </x:c>
      <x:c r="G961" s="70" t="s">
        <x:v>1753</x:v>
      </x:c>
      <x:c r="H961" s="70" t="s">
        <x:v>849</x:v>
      </x:c>
      <x:c r="I961" s="70" t="s">
        <x:v>852</x:v>
      </x:c>
      <x:c r="J961" s="70" t="n">
        <x:v>153</x:v>
      </x:c>
      <x:c r="K961" s="70" t="s">
        <x:v>1775</x:v>
      </x:c>
      <x:c r="L961" s="70" t="s">
        <x:v>1299</x:v>
      </x:c>
      <x:c r="M961" s="70" t="s">
        <x:v>39</x:v>
      </x:c>
      <x:c r="N961" s="71" t="n">
        <x:v>4381191</x:v>
      </x:c>
      <x:c r="O961" s="72" t="n">
        <x:f aca="0">N961/1000</x:f>
        <x:v>4381.191</x:v>
      </x:c>
      <x:c r="P961" s="73" t="n">
        <x:f aca="0">DGKC!H39</x:f>
        <x:v>4381.191</x:v>
      </x:c>
      <x:c r="Q961" s="70" t="str">
        <x:f aca="0">IF(ABS(O961-P961)&lt;0.000001,"PASS","FAIL")</x:f>
        <x:v>PASS</x:v>
      </x:c>
      <x:c r="R961" s="70" t="s">
        <x:v>33</x:v>
      </x:c>
      <x:c r="S961" s="70"/>
    </x:row>
    <x:row r="962" ht="15" hidden="0">
      <x:c r="A962" s="70" t="s">
        <x:v>1852</x:v>
      </x:c>
      <x:c r="B962" s="70" t="s">
        <x:v>36</x:v>
      </x:c>
      <x:c r="C962" s="70" t="s">
        <x:v>717</x:v>
      </x:c>
      <x:c r="D962" s="70" t="s">
        <x:v>148</x:v>
      </x:c>
      <x:c r="E962" s="70" t="s">
        <x:v>763</x:v>
      </x:c>
      <x:c r="F962" s="70" t="s">
        <x:v>1853</x:v>
      </x:c>
      <x:c r="G962" s="70" t="s">
        <x:v>1742</x:v>
      </x:c>
      <x:c r="H962" s="70" t="s">
        <x:v>832</x:v>
      </x:c>
      <x:c r="I962" s="70" t="s">
        <x:v>833</x:v>
      </x:c>
      <x:c r="J962" s="70" t="n">
        <x:v>105</x:v>
      </x:c>
      <x:c r="K962" s="70" t="s">
        <x:v>1768</x:v>
      </x:c>
      <x:c r="L962" s="70" t="s">
        <x:v>966</x:v>
      </x:c>
      <x:c r="M962" s="70" t="s">
        <x:v>39</x:v>
      </x:c>
      <x:c r="N962" s="71" t="n">
        <x:v>62262966</x:v>
      </x:c>
      <x:c r="O962" s="72" t="n">
        <x:f aca="0">N962/1000</x:f>
        <x:v>62262.966</x:v>
      </x:c>
      <x:c r="P962" s="73" t="n">
        <x:f aca="0">DGKC!C40</x:f>
        <x:v>62262.966</x:v>
      </x:c>
      <x:c r="Q962" s="70" t="str">
        <x:f aca="0">IF(ABS(O962-P962)&lt;0.000001,"PASS","FAIL")</x:f>
        <x:v>PASS</x:v>
      </x:c>
      <x:c r="R962" s="70" t="s">
        <x:v>33</x:v>
      </x:c>
      <x:c r="S962" s="70"/>
    </x:row>
    <x:row r="963" ht="15" hidden="0">
      <x:c r="A963" s="70" t="s">
        <x:v>1854</x:v>
      </x:c>
      <x:c r="B963" s="70" t="s">
        <x:v>36</x:v>
      </x:c>
      <x:c r="C963" s="70" t="s">
        <x:v>101</x:v>
      </x:c>
      <x:c r="D963" s="70" t="s">
        <x:v>148</x:v>
      </x:c>
      <x:c r="E963" s="70" t="s">
        <x:v>763</x:v>
      </x:c>
      <x:c r="F963" s="70" t="s">
        <x:v>1853</x:v>
      </x:c>
      <x:c r="G963" s="70" t="s">
        <x:v>1745</x:v>
      </x:c>
      <x:c r="H963" s="70" t="s">
        <x:v>838</x:v>
      </x:c>
      <x:c r="I963" s="70" t="s">
        <x:v>833</x:v>
      </x:c>
      <x:c r="J963" s="70" t="n">
        <x:v>125</x:v>
      </x:c>
      <x:c r="K963" s="70" t="s">
        <x:v>1770</x:v>
      </x:c>
      <x:c r="L963" s="70" t="s">
        <x:v>966</x:v>
      </x:c>
      <x:c r="M963" s="70" t="s">
        <x:v>39</x:v>
      </x:c>
      <x:c r="N963" s="71" t="n">
        <x:v>69096682</x:v>
      </x:c>
      <x:c r="O963" s="72" t="n">
        <x:f aca="0">N963/1000</x:f>
        <x:v>69096.682</x:v>
      </x:c>
      <x:c r="P963" s="73" t="n">
        <x:f aca="0">DGKC!D40</x:f>
        <x:v>69096.682</x:v>
      </x:c>
      <x:c r="Q963" s="70" t="str">
        <x:f aca="0">IF(ABS(O963-P963)&lt;0.000001,"PASS","FAIL")</x:f>
        <x:v>PASS</x:v>
      </x:c>
      <x:c r="R963" s="70" t="s">
        <x:v>33</x:v>
      </x:c>
      <x:c r="S963" s="70"/>
    </x:row>
    <x:row r="964" ht="15" hidden="0">
      <x:c r="A964" s="70" t="s">
        <x:v>1855</x:v>
      </x:c>
      <x:c r="B964" s="70" t="s">
        <x:v>36</x:v>
      </x:c>
      <x:c r="C964" s="70" t="s">
        <x:v>102</x:v>
      </x:c>
      <x:c r="D964" s="70" t="s">
        <x:v>148</x:v>
      </x:c>
      <x:c r="E964" s="70" t="s">
        <x:v>763</x:v>
      </x:c>
      <x:c r="F964" s="70" t="s">
        <x:v>1853</x:v>
      </x:c>
      <x:c r="G964" s="70" t="s">
        <x:v>1748</x:v>
      </x:c>
      <x:c r="H964" s="70" t="s">
        <x:v>842</x:v>
      </x:c>
      <x:c r="I964" s="70" t="s">
        <x:v>833</x:v>
      </x:c>
      <x:c r="J964" s="70" t="n">
        <x:v>151</x:v>
      </x:c>
      <x:c r="K964" s="70" t="s">
        <x:v>1772</x:v>
      </x:c>
      <x:c r="L964" s="70" t="s">
        <x:v>966</x:v>
      </x:c>
      <x:c r="M964" s="70" t="s">
        <x:v>39</x:v>
      </x:c>
      <x:c r="N964" s="71" t="n">
        <x:v>65536911</x:v>
      </x:c>
      <x:c r="O964" s="72" t="n">
        <x:f aca="0">N964/1000</x:f>
        <x:v>65536.911</x:v>
      </x:c>
      <x:c r="P964" s="73" t="n">
        <x:f aca="0">DGKC!E40</x:f>
        <x:v>65536.911</x:v>
      </x:c>
      <x:c r="Q964" s="70" t="str">
        <x:f aca="0">IF(ABS(O964-P964)&lt;0.000001,"PASS","FAIL")</x:f>
        <x:v>PASS</x:v>
      </x:c>
      <x:c r="R964" s="70" t="s">
        <x:v>33</x:v>
      </x:c>
      <x:c r="S964" s="70"/>
    </x:row>
    <x:row r="965" ht="15" hidden="0">
      <x:c r="A965" s="70" t="s">
        <x:v>1856</x:v>
      </x:c>
      <x:c r="B965" s="70" t="s">
        <x:v>36</x:v>
      </x:c>
      <x:c r="C965" s="70" t="s">
        <x:v>103</x:v>
      </x:c>
      <x:c r="D965" s="70" t="s">
        <x:v>148</x:v>
      </x:c>
      <x:c r="E965" s="70" t="s">
        <x:v>763</x:v>
      </x:c>
      <x:c r="F965" s="70" t="s">
        <x:v>1853</x:v>
      </x:c>
      <x:c r="G965" s="70" t="s">
        <x:v>1751</x:v>
      </x:c>
      <x:c r="H965" s="70" t="s">
        <x:v>845</x:v>
      </x:c>
      <x:c r="I965" s="70" t="s">
        <x:v>833</x:v>
      </x:c>
      <x:c r="J965" s="70" t="n">
        <x:v>151</x:v>
      </x:c>
      <x:c r="K965" s="70" t="s">
        <x:v>1772</x:v>
      </x:c>
      <x:c r="L965" s="70" t="s">
        <x:v>966</x:v>
      </x:c>
      <x:c r="M965" s="70" t="s">
        <x:v>39</x:v>
      </x:c>
      <x:c r="N965" s="71" t="n">
        <x:v>59811086</x:v>
      </x:c>
      <x:c r="O965" s="72" t="n">
        <x:f aca="0">N965/1000</x:f>
        <x:v>59811.086</x:v>
      </x:c>
      <x:c r="P965" s="73" t="n">
        <x:f aca="0">DGKC!F40</x:f>
        <x:v>59811.086</x:v>
      </x:c>
      <x:c r="Q965" s="70" t="str">
        <x:f aca="0">IF(ABS(O965-P965)&lt;0.000001,"PASS","FAIL")</x:f>
        <x:v>PASS</x:v>
      </x:c>
      <x:c r="R965" s="70" t="s">
        <x:v>33</x:v>
      </x:c>
      <x:c r="S965" s="70"/>
    </x:row>
    <x:row r="966" ht="15" hidden="0">
      <x:c r="A966" s="70" t="s">
        <x:v>1857</x:v>
      </x:c>
      <x:c r="B966" s="70" t="s">
        <x:v>36</x:v>
      </x:c>
      <x:c r="C966" s="70" t="s">
        <x:v>104</x:v>
      </x:c>
      <x:c r="D966" s="70" t="s">
        <x:v>148</x:v>
      </x:c>
      <x:c r="E966" s="70" t="s">
        <x:v>763</x:v>
      </x:c>
      <x:c r="F966" s="70" t="s">
        <x:v>1853</x:v>
      </x:c>
      <x:c r="G966" s="70" t="s">
        <x:v>1753</x:v>
      </x:c>
      <x:c r="H966" s="70" t="s">
        <x:v>849</x:v>
      </x:c>
      <x:c r="I966" s="70" t="s">
        <x:v>833</x:v>
      </x:c>
      <x:c r="J966" s="70" t="n">
        <x:v>153</x:v>
      </x:c>
      <x:c r="K966" s="70" t="s">
        <x:v>1775</x:v>
      </x:c>
      <x:c r="L966" s="70" t="s">
        <x:v>966</x:v>
      </x:c>
      <x:c r="M966" s="70" t="s">
        <x:v>39</x:v>
      </x:c>
      <x:c r="N966" s="71" t="n">
        <x:v>71466347</x:v>
      </x:c>
      <x:c r="O966" s="72" t="n">
        <x:f aca="0">N966/1000</x:f>
        <x:v>71466.347</x:v>
      </x:c>
      <x:c r="P966" s="73" t="n">
        <x:f aca="0">DGKC!G40</x:f>
        <x:v>71466.347</x:v>
      </x:c>
      <x:c r="Q966" s="70" t="str">
        <x:f aca="0">IF(ABS(O966-P966)&lt;0.000001,"PASS","FAIL")</x:f>
        <x:v>PASS</x:v>
      </x:c>
      <x:c r="R966" s="70" t="s">
        <x:v>33</x:v>
      </x:c>
      <x:c r="S966" s="70"/>
    </x:row>
    <x:row r="967" ht="15" hidden="0">
      <x:c r="A967" s="70" t="s">
        <x:v>1858</x:v>
      </x:c>
      <x:c r="B967" s="70" t="s">
        <x:v>36</x:v>
      </x:c>
      <x:c r="C967" s="70" t="s">
        <x:v>105</x:v>
      </x:c>
      <x:c r="D967" s="70" t="s">
        <x:v>148</x:v>
      </x:c>
      <x:c r="E967" s="70" t="s">
        <x:v>763</x:v>
      </x:c>
      <x:c r="F967" s="70" t="s">
        <x:v>1853</x:v>
      </x:c>
      <x:c r="G967" s="70" t="s">
        <x:v>1753</x:v>
      </x:c>
      <x:c r="H967" s="70" t="s">
        <x:v>849</x:v>
      </x:c>
      <x:c r="I967" s="70" t="s">
        <x:v>852</x:v>
      </x:c>
      <x:c r="J967" s="70" t="n">
        <x:v>153</x:v>
      </x:c>
      <x:c r="K967" s="70" t="s">
        <x:v>1775</x:v>
      </x:c>
      <x:c r="L967" s="70" t="s">
        <x:v>966</x:v>
      </x:c>
      <x:c r="M967" s="70" t="s">
        <x:v>39</x:v>
      </x:c>
      <x:c r="N967" s="71" t="n">
        <x:v>90286287</x:v>
      </x:c>
      <x:c r="O967" s="72" t="n">
        <x:f aca="0">N967/1000</x:f>
        <x:v>90286.287</x:v>
      </x:c>
      <x:c r="P967" s="73" t="n">
        <x:f aca="0">DGKC!H40</x:f>
        <x:v>90286.287</x:v>
      </x:c>
      <x:c r="Q967" s="70" t="str">
        <x:f aca="0">IF(ABS(O967-P967)&lt;0.000001,"PASS","FAIL")</x:f>
        <x:v>PASS</x:v>
      </x:c>
      <x:c r="R967" s="70" t="s">
        <x:v>33</x:v>
      </x:c>
      <x:c r="S967" s="70"/>
    </x:row>
    <x:row r="968" ht="15" hidden="0">
      <x:c r="A968" s="70" t="s">
        <x:v>1859</x:v>
      </x:c>
      <x:c r="B968" s="70" t="s">
        <x:v>36</x:v>
      </x:c>
      <x:c r="C968" s="70" t="s">
        <x:v>717</x:v>
      </x:c>
      <x:c r="D968" s="70" t="s">
        <x:v>153</x:v>
      </x:c>
      <x:c r="E968" s="70" t="s">
        <x:v>763</x:v>
      </x:c>
      <x:c r="F968" s="70" t="s">
        <x:v>1860</x:v>
      </x:c>
      <x:c r="G968" s="70" t="s">
        <x:v>1742</x:v>
      </x:c>
      <x:c r="H968" s="70" t="s">
        <x:v>832</x:v>
      </x:c>
      <x:c r="I968" s="70" t="s">
        <x:v>833</x:v>
      </x:c>
      <x:c r="J968" s="70" t="n">
        <x:v>105</x:v>
      </x:c>
      <x:c r="K968" s="70" t="s">
        <x:v>1768</x:v>
      </x:c>
      <x:c r="L968" s="70" t="s">
        <x:v>1342</x:v>
      </x:c>
      <x:c r="M968" s="70" t="s">
        <x:v>39</x:v>
      </x:c>
      <x:c r="N968" s="71" t="n">
        <x:v>21972000</x:v>
      </x:c>
      <x:c r="O968" s="72" t="n">
        <x:f aca="0">N968/1000</x:f>
        <x:v>21972</x:v>
      </x:c>
      <x:c r="P968" s="73" t="n">
        <x:f aca="0">DGKC!C43</x:f>
        <x:v>21972</x:v>
      </x:c>
      <x:c r="Q968" s="70" t="str">
        <x:f aca="0">IF(ABS(O968-P968)&lt;0.000001,"PASS","FAIL")</x:f>
        <x:v>PASS</x:v>
      </x:c>
      <x:c r="R968" s="70" t="s">
        <x:v>33</x:v>
      </x:c>
      <x:c r="S968" s="70"/>
    </x:row>
    <x:row r="969" ht="15" hidden="0">
      <x:c r="A969" s="70" t="s">
        <x:v>1861</x:v>
      </x:c>
      <x:c r="B969" s="70" t="s">
        <x:v>36</x:v>
      </x:c>
      <x:c r="C969" s="70" t="s">
        <x:v>101</x:v>
      </x:c>
      <x:c r="D969" s="70" t="s">
        <x:v>153</x:v>
      </x:c>
      <x:c r="E969" s="70" t="s">
        <x:v>763</x:v>
      </x:c>
      <x:c r="F969" s="70" t="s">
        <x:v>1862</x:v>
      </x:c>
      <x:c r="G969" s="70" t="s">
        <x:v>1745</x:v>
      </x:c>
      <x:c r="H969" s="70" t="s">
        <x:v>838</x:v>
      </x:c>
      <x:c r="I969" s="70" t="s">
        <x:v>833</x:v>
      </x:c>
      <x:c r="J969" s="70" t="n">
        <x:v>125</x:v>
      </x:c>
      <x:c r="K969" s="70" t="s">
        <x:v>1770</x:v>
      </x:c>
      <x:c r="L969" s="70" t="s">
        <x:v>1342</x:v>
      </x:c>
      <x:c r="M969" s="70" t="s">
        <x:v>39</x:v>
      </x:c>
      <x:c r="N969" s="71" t="n">
        <x:v>19300064</x:v>
      </x:c>
      <x:c r="O969" s="72" t="n">
        <x:f aca="0">N969/1000</x:f>
        <x:v>19300.064</x:v>
      </x:c>
      <x:c r="P969" s="73" t="n">
        <x:f aca="0">DGKC!D43</x:f>
        <x:v>19300.064</x:v>
      </x:c>
      <x:c r="Q969" s="70" t="str">
        <x:f aca="0">IF(ABS(O969-P969)&lt;0.000001,"PASS","FAIL")</x:f>
        <x:v>PASS</x:v>
      </x:c>
      <x:c r="R969" s="70" t="s">
        <x:v>33</x:v>
      </x:c>
      <x:c r="S969" s="70"/>
    </x:row>
    <x:row r="970" ht="15" hidden="0">
      <x:c r="A970" s="70" t="s">
        <x:v>1863</x:v>
      </x:c>
      <x:c r="B970" s="70" t="s">
        <x:v>36</x:v>
      </x:c>
      <x:c r="C970" s="70" t="s">
        <x:v>102</x:v>
      </x:c>
      <x:c r="D970" s="70" t="s">
        <x:v>153</x:v>
      </x:c>
      <x:c r="E970" s="70" t="s">
        <x:v>763</x:v>
      </x:c>
      <x:c r="F970" s="70" t="s">
        <x:v>1862</x:v>
      </x:c>
      <x:c r="G970" s="70" t="s">
        <x:v>1748</x:v>
      </x:c>
      <x:c r="H970" s="70" t="s">
        <x:v>842</x:v>
      </x:c>
      <x:c r="I970" s="70" t="s">
        <x:v>833</x:v>
      </x:c>
      <x:c r="J970" s="70" t="n">
        <x:v>151</x:v>
      </x:c>
      <x:c r="K970" s="70" t="s">
        <x:v>1772</x:v>
      </x:c>
      <x:c r="L970" s="70" t="s">
        <x:v>1342</x:v>
      </x:c>
      <x:c r="M970" s="70" t="s">
        <x:v>39</x:v>
      </x:c>
      <x:c r="N970" s="71" t="n">
        <x:v>14168229</x:v>
      </x:c>
      <x:c r="O970" s="72" t="n">
        <x:f aca="0">N970/1000</x:f>
        <x:v>14168.229</x:v>
      </x:c>
      <x:c r="P970" s="73" t="n">
        <x:f aca="0">DGKC!E43</x:f>
        <x:v>14168.229</x:v>
      </x:c>
      <x:c r="Q970" s="70" t="str">
        <x:f aca="0">IF(ABS(O970-P970)&lt;0.000001,"PASS","FAIL")</x:f>
        <x:v>PASS</x:v>
      </x:c>
      <x:c r="R970" s="70" t="s">
        <x:v>33</x:v>
      </x:c>
      <x:c r="S970" s="70"/>
    </x:row>
    <x:row r="971" ht="15" hidden="0">
      <x:c r="A971" s="70" t="s">
        <x:v>1864</x:v>
      </x:c>
      <x:c r="B971" s="70" t="s">
        <x:v>36</x:v>
      </x:c>
      <x:c r="C971" s="70" t="s">
        <x:v>103</x:v>
      </x:c>
      <x:c r="D971" s="70" t="s">
        <x:v>153</x:v>
      </x:c>
      <x:c r="E971" s="70" t="s">
        <x:v>763</x:v>
      </x:c>
      <x:c r="F971" s="70" t="s">
        <x:v>1862</x:v>
      </x:c>
      <x:c r="G971" s="70" t="s">
        <x:v>1751</x:v>
      </x:c>
      <x:c r="H971" s="70" t="s">
        <x:v>845</x:v>
      </x:c>
      <x:c r="I971" s="70" t="s">
        <x:v>833</x:v>
      </x:c>
      <x:c r="J971" s="70" t="n">
        <x:v>151</x:v>
      </x:c>
      <x:c r="K971" s="70" t="s">
        <x:v>1772</x:v>
      </x:c>
      <x:c r="L971" s="70" t="s">
        <x:v>1342</x:v>
      </x:c>
      <x:c r="M971" s="70" t="s">
        <x:v>39</x:v>
      </x:c>
      <x:c r="N971" s="71" t="n">
        <x:v>9663619</x:v>
      </x:c>
      <x:c r="O971" s="72" t="n">
        <x:f aca="0">N971/1000</x:f>
        <x:v>9663.619</x:v>
      </x:c>
      <x:c r="P971" s="73" t="n">
        <x:f aca="0">DGKC!F43</x:f>
        <x:v>9663.619</x:v>
      </x:c>
      <x:c r="Q971" s="70" t="str">
        <x:f aca="0">IF(ABS(O971-P971)&lt;0.000001,"PASS","FAIL")</x:f>
        <x:v>PASS</x:v>
      </x:c>
      <x:c r="R971" s="70" t="s">
        <x:v>33</x:v>
      </x:c>
      <x:c r="S971" s="70"/>
    </x:row>
    <x:row r="972" ht="15" hidden="0">
      <x:c r="A972" s="70" t="s">
        <x:v>1865</x:v>
      </x:c>
      <x:c r="B972" s="70" t="s">
        <x:v>36</x:v>
      </x:c>
      <x:c r="C972" s="70" t="s">
        <x:v>104</x:v>
      </x:c>
      <x:c r="D972" s="70" t="s">
        <x:v>153</x:v>
      </x:c>
      <x:c r="E972" s="70" t="s">
        <x:v>763</x:v>
      </x:c>
      <x:c r="F972" s="70" t="s">
        <x:v>1862</x:v>
      </x:c>
      <x:c r="G972" s="70" t="s">
        <x:v>1753</x:v>
      </x:c>
      <x:c r="H972" s="70" t="s">
        <x:v>849</x:v>
      </x:c>
      <x:c r="I972" s="70" t="s">
        <x:v>833</x:v>
      </x:c>
      <x:c r="J972" s="70" t="n">
        <x:v>153</x:v>
      </x:c>
      <x:c r="K972" s="70" t="s">
        <x:v>1775</x:v>
      </x:c>
      <x:c r="L972" s="70" t="s">
        <x:v>1342</x:v>
      </x:c>
      <x:c r="M972" s="70" t="s">
        <x:v>39</x:v>
      </x:c>
      <x:c r="N972" s="71" t="n">
        <x:v>15965116</x:v>
      </x:c>
      <x:c r="O972" s="72" t="n">
        <x:f aca="0">N972/1000</x:f>
        <x:v>15965.116</x:v>
      </x:c>
      <x:c r="P972" s="73" t="n">
        <x:f aca="0">DGKC!G43</x:f>
        <x:v>15965.116</x:v>
      </x:c>
      <x:c r="Q972" s="70" t="str">
        <x:f aca="0">IF(ABS(O972-P972)&lt;0.000001,"PASS","FAIL")</x:f>
        <x:v>PASS</x:v>
      </x:c>
      <x:c r="R972" s="70" t="s">
        <x:v>33</x:v>
      </x:c>
      <x:c r="S972" s="70"/>
    </x:row>
    <x:row r="973" ht="15" hidden="0">
      <x:c r="A973" s="70" t="s">
        <x:v>1866</x:v>
      </x:c>
      <x:c r="B973" s="70" t="s">
        <x:v>36</x:v>
      </x:c>
      <x:c r="C973" s="70" t="s">
        <x:v>105</x:v>
      </x:c>
      <x:c r="D973" s="70" t="s">
        <x:v>153</x:v>
      </x:c>
      <x:c r="E973" s="70" t="s">
        <x:v>763</x:v>
      </x:c>
      <x:c r="F973" s="70" t="s">
        <x:v>1862</x:v>
      </x:c>
      <x:c r="G973" s="70" t="s">
        <x:v>1753</x:v>
      </x:c>
      <x:c r="H973" s="70" t="s">
        <x:v>849</x:v>
      </x:c>
      <x:c r="I973" s="70" t="s">
        <x:v>852</x:v>
      </x:c>
      <x:c r="J973" s="70" t="n">
        <x:v>153</x:v>
      </x:c>
      <x:c r="K973" s="70" t="s">
        <x:v>1775</x:v>
      </x:c>
      <x:c r="L973" s="70" t="s">
        <x:v>1342</x:v>
      </x:c>
      <x:c r="M973" s="70" t="s">
        <x:v>39</x:v>
      </x:c>
      <x:c r="N973" s="71" t="n">
        <x:v>10093829</x:v>
      </x:c>
      <x:c r="O973" s="72" t="n">
        <x:f aca="0">N973/1000</x:f>
        <x:v>10093.829</x:v>
      </x:c>
      <x:c r="P973" s="73" t="n">
        <x:f aca="0">DGKC!H43</x:f>
        <x:v>10093.829</x:v>
      </x:c>
      <x:c r="Q973" s="70" t="str">
        <x:f aca="0">IF(ABS(O973-P973)&lt;0.000001,"PASS","FAIL")</x:f>
        <x:v>PASS</x:v>
      </x:c>
      <x:c r="R973" s="70" t="s">
        <x:v>33</x:v>
      </x:c>
      <x:c r="S973" s="70"/>
    </x:row>
    <x:row r="974" ht="15" hidden="0">
      <x:c r="A974" s="70" t="s">
        <x:v>1867</x:v>
      </x:c>
      <x:c r="B974" s="70" t="s">
        <x:v>36</x:v>
      </x:c>
      <x:c r="C974" s="70" t="s">
        <x:v>717</x:v>
      </x:c>
      <x:c r="D974" s="70" t="s">
        <x:v>155</x:v>
      </x:c>
      <x:c r="E974" s="70" t="s">
        <x:v>763</x:v>
      </x:c>
      <x:c r="F974" s="70"/>
      <x:c r="G974" s="70" t="s">
        <x:v>1742</x:v>
      </x:c>
      <x:c r="H974" s="70" t="s">
        <x:v>832</x:v>
      </x:c>
      <x:c r="I974" s="70" t="s">
        <x:v>833</x:v>
      </x:c>
      <x:c r="J974" s="70" t="n">
        <x:v>105</x:v>
      </x:c>
      <x:c r="K974" s="70" t="s">
        <x:v>1768</x:v>
      </x:c>
      <x:c r="L974" s="70"/>
      <x:c r="M974" s="70" t="s">
        <x:v>39</x:v>
      </x:c>
      <x:c r="N974" s="71" t="n">
        <x:v>0</x:v>
      </x:c>
      <x:c r="O974" s="72" t="n">
        <x:f aca="0">N974/1000</x:f>
        <x:v>0</x:v>
      </x:c>
      <x:c r="P974" s="73" t="n">
        <x:f aca="0">DGKC!C44</x:f>
        <x:v>0</x:v>
      </x:c>
      <x:c r="Q974" s="70" t="str">
        <x:f aca="0">IF(ABS(O974-P974)&lt;0.000001,"PASS","FAIL")</x:f>
        <x:v>PASS</x:v>
      </x:c>
      <x:c r="R974" s="70" t="s">
        <x:v>33</x:v>
      </x:c>
      <x:c r="S974" s="70"/>
    </x:row>
    <x:row r="975" ht="15" hidden="0">
      <x:c r="A975" s="70" t="s">
        <x:v>1868</x:v>
      </x:c>
      <x:c r="B975" s="70" t="s">
        <x:v>36</x:v>
      </x:c>
      <x:c r="C975" s="70" t="s">
        <x:v>101</x:v>
      </x:c>
      <x:c r="D975" s="70" t="s">
        <x:v>155</x:v>
      </x:c>
      <x:c r="E975" s="70" t="s">
        <x:v>763</x:v>
      </x:c>
      <x:c r="F975" s="70"/>
      <x:c r="G975" s="70" t="s">
        <x:v>1745</x:v>
      </x:c>
      <x:c r="H975" s="70" t="s">
        <x:v>838</x:v>
      </x:c>
      <x:c r="I975" s="70" t="s">
        <x:v>833</x:v>
      </x:c>
      <x:c r="J975" s="70" t="n">
        <x:v>125</x:v>
      </x:c>
      <x:c r="K975" s="70" t="s">
        <x:v>1770</x:v>
      </x:c>
      <x:c r="L975" s="70"/>
      <x:c r="M975" s="70" t="s">
        <x:v>39</x:v>
      </x:c>
      <x:c r="N975" s="71" t="n">
        <x:v>0</x:v>
      </x:c>
      <x:c r="O975" s="72" t="n">
        <x:f aca="0">N975/1000</x:f>
        <x:v>0</x:v>
      </x:c>
      <x:c r="P975" s="73" t="n">
        <x:f aca="0">DGKC!D44</x:f>
        <x:v>0</x:v>
      </x:c>
      <x:c r="Q975" s="70" t="str">
        <x:f aca="0">IF(ABS(O975-P975)&lt;0.000001,"PASS","FAIL")</x:f>
        <x:v>PASS</x:v>
      </x:c>
      <x:c r="R975" s="70" t="s">
        <x:v>33</x:v>
      </x:c>
      <x:c r="S975" s="70"/>
    </x:row>
    <x:row r="976" ht="15" hidden="0">
      <x:c r="A976" s="70" t="s">
        <x:v>1869</x:v>
      </x:c>
      <x:c r="B976" s="70" t="s">
        <x:v>36</x:v>
      </x:c>
      <x:c r="C976" s="70" t="s">
        <x:v>102</x:v>
      </x:c>
      <x:c r="D976" s="70" t="s">
        <x:v>155</x:v>
      </x:c>
      <x:c r="E976" s="70" t="s">
        <x:v>763</x:v>
      </x:c>
      <x:c r="F976" s="70"/>
      <x:c r="G976" s="70" t="s">
        <x:v>1748</x:v>
      </x:c>
      <x:c r="H976" s="70" t="s">
        <x:v>842</x:v>
      </x:c>
      <x:c r="I976" s="70" t="s">
        <x:v>833</x:v>
      </x:c>
      <x:c r="J976" s="70" t="n">
        <x:v>151</x:v>
      </x:c>
      <x:c r="K976" s="70" t="s">
        <x:v>1772</x:v>
      </x:c>
      <x:c r="L976" s="70"/>
      <x:c r="M976" s="70" t="s">
        <x:v>39</x:v>
      </x:c>
      <x:c r="N976" s="71" t="n">
        <x:v>0</x:v>
      </x:c>
      <x:c r="O976" s="72" t="n">
        <x:f aca="0">N976/1000</x:f>
        <x:v>0</x:v>
      </x:c>
      <x:c r="P976" s="73" t="n">
        <x:f aca="0">DGKC!E44</x:f>
        <x:v>0</x:v>
      </x:c>
      <x:c r="Q976" s="70" t="str">
        <x:f aca="0">IF(ABS(O976-P976)&lt;0.000001,"PASS","FAIL")</x:f>
        <x:v>PASS</x:v>
      </x:c>
      <x:c r="R976" s="70" t="s">
        <x:v>33</x:v>
      </x:c>
      <x:c r="S976" s="70"/>
    </x:row>
    <x:row r="977" ht="15" hidden="0">
      <x:c r="A977" s="70" t="s">
        <x:v>1870</x:v>
      </x:c>
      <x:c r="B977" s="70" t="s">
        <x:v>36</x:v>
      </x:c>
      <x:c r="C977" s="70" t="s">
        <x:v>103</x:v>
      </x:c>
      <x:c r="D977" s="70" t="s">
        <x:v>155</x:v>
      </x:c>
      <x:c r="E977" s="70" t="s">
        <x:v>763</x:v>
      </x:c>
      <x:c r="F977" s="70"/>
      <x:c r="G977" s="70" t="s">
        <x:v>1751</x:v>
      </x:c>
      <x:c r="H977" s="70" t="s">
        <x:v>845</x:v>
      </x:c>
      <x:c r="I977" s="70" t="s">
        <x:v>833</x:v>
      </x:c>
      <x:c r="J977" s="70" t="n">
        <x:v>151</x:v>
      </x:c>
      <x:c r="K977" s="70" t="s">
        <x:v>1772</x:v>
      </x:c>
      <x:c r="L977" s="70"/>
      <x:c r="M977" s="70" t="s">
        <x:v>39</x:v>
      </x:c>
      <x:c r="N977" s="71" t="n">
        <x:v>0</x:v>
      </x:c>
      <x:c r="O977" s="72" t="n">
        <x:f aca="0">N977/1000</x:f>
        <x:v>0</x:v>
      </x:c>
      <x:c r="P977" s="73" t="n">
        <x:f aca="0">DGKC!F44</x:f>
        <x:v>0</x:v>
      </x:c>
      <x:c r="Q977" s="70" t="str">
        <x:f aca="0">IF(ABS(O977-P977)&lt;0.000001,"PASS","FAIL")</x:f>
        <x:v>PASS</x:v>
      </x:c>
      <x:c r="R977" s="70" t="s">
        <x:v>33</x:v>
      </x:c>
      <x:c r="S977" s="70"/>
    </x:row>
    <x:row r="978" ht="15" hidden="0">
      <x:c r="A978" s="70" t="s">
        <x:v>1871</x:v>
      </x:c>
      <x:c r="B978" s="70" t="s">
        <x:v>36</x:v>
      </x:c>
      <x:c r="C978" s="70" t="s">
        <x:v>104</x:v>
      </x:c>
      <x:c r="D978" s="70" t="s">
        <x:v>155</x:v>
      </x:c>
      <x:c r="E978" s="70" t="s">
        <x:v>763</x:v>
      </x:c>
      <x:c r="F978" s="70"/>
      <x:c r="G978" s="70" t="s">
        <x:v>1753</x:v>
      </x:c>
      <x:c r="H978" s="70" t="s">
        <x:v>849</x:v>
      </x:c>
      <x:c r="I978" s="70" t="s">
        <x:v>833</x:v>
      </x:c>
      <x:c r="J978" s="70" t="n">
        <x:v>153</x:v>
      </x:c>
      <x:c r="K978" s="70" t="s">
        <x:v>1775</x:v>
      </x:c>
      <x:c r="L978" s="70"/>
      <x:c r="M978" s="70" t="s">
        <x:v>39</x:v>
      </x:c>
      <x:c r="N978" s="71" t="n">
        <x:v>0</x:v>
      </x:c>
      <x:c r="O978" s="72" t="n">
        <x:f aca="0">N978/1000</x:f>
        <x:v>0</x:v>
      </x:c>
      <x:c r="P978" s="73" t="n">
        <x:f aca="0">DGKC!G44</x:f>
        <x:v>0</x:v>
      </x:c>
      <x:c r="Q978" s="70" t="str">
        <x:f aca="0">IF(ABS(O978-P978)&lt;0.000001,"PASS","FAIL")</x:f>
        <x:v>PASS</x:v>
      </x:c>
      <x:c r="R978" s="70" t="s">
        <x:v>33</x:v>
      </x:c>
      <x:c r="S978" s="70"/>
    </x:row>
    <x:row r="979" ht="15" hidden="0">
      <x:c r="A979" s="70" t="s">
        <x:v>1872</x:v>
      </x:c>
      <x:c r="B979" s="70" t="s">
        <x:v>36</x:v>
      </x:c>
      <x:c r="C979" s="70" t="s">
        <x:v>105</x:v>
      </x:c>
      <x:c r="D979" s="70" t="s">
        <x:v>155</x:v>
      </x:c>
      <x:c r="E979" s="70" t="s">
        <x:v>763</x:v>
      </x:c>
      <x:c r="F979" s="70"/>
      <x:c r="G979" s="70" t="s">
        <x:v>1753</x:v>
      </x:c>
      <x:c r="H979" s="70" t="s">
        <x:v>849</x:v>
      </x:c>
      <x:c r="I979" s="70" t="s">
        <x:v>852</x:v>
      </x:c>
      <x:c r="J979" s="70" t="n">
        <x:v>153</x:v>
      </x:c>
      <x:c r="K979" s="70" t="s">
        <x:v>1775</x:v>
      </x:c>
      <x:c r="L979" s="70"/>
      <x:c r="M979" s="70" t="s">
        <x:v>39</x:v>
      </x:c>
      <x:c r="N979" s="71" t="n">
        <x:v>0</x:v>
      </x:c>
      <x:c r="O979" s="72" t="n">
        <x:f aca="0">N979/1000</x:f>
        <x:v>0</x:v>
      </x:c>
      <x:c r="P979" s="73" t="n">
        <x:f aca="0">DGKC!H44</x:f>
        <x:v>0</x:v>
      </x:c>
      <x:c r="Q979" s="70" t="str">
        <x:f aca="0">IF(ABS(O979-P979)&lt;0.000001,"PASS","FAIL")</x:f>
        <x:v>PASS</x:v>
      </x:c>
      <x:c r="R979" s="70" t="s">
        <x:v>33</x:v>
      </x:c>
      <x:c r="S979" s="70"/>
    </x:row>
    <x:row r="980" ht="15" hidden="0">
      <x:c r="A980" s="70" t="s">
        <x:v>1873</x:v>
      </x:c>
      <x:c r="B980" s="70" t="s">
        <x:v>36</x:v>
      </x:c>
      <x:c r="C980" s="70" t="s">
        <x:v>717</x:v>
      </x:c>
      <x:c r="D980" s="70" t="s">
        <x:v>157</x:v>
      </x:c>
      <x:c r="E980" s="70" t="s">
        <x:v>763</x:v>
      </x:c>
      <x:c r="F980" s="70" t="s">
        <x:v>1874</x:v>
      </x:c>
      <x:c r="G980" s="70" t="s">
        <x:v>1742</x:v>
      </x:c>
      <x:c r="H980" s="70" t="s">
        <x:v>832</x:v>
      </x:c>
      <x:c r="I980" s="70" t="s">
        <x:v>833</x:v>
      </x:c>
      <x:c r="J980" s="70" t="n">
        <x:v>105</x:v>
      </x:c>
      <x:c r="K980" s="70" t="s">
        <x:v>1768</x:v>
      </x:c>
      <x:c r="L980" s="70" t="s">
        <x:v>1355</x:v>
      </x:c>
      <x:c r="M980" s="70" t="s">
        <x:v>39</x:v>
      </x:c>
      <x:c r="N980" s="71" t="n">
        <x:v>0</x:v>
      </x:c>
      <x:c r="O980" s="72" t="n">
        <x:f aca="0">N980/1000</x:f>
        <x:v>0</x:v>
      </x:c>
      <x:c r="P980" s="73" t="n">
        <x:f aca="0">DGKC!C45</x:f>
        <x:v>0</x:v>
      </x:c>
      <x:c r="Q980" s="70" t="str">
        <x:f aca="0">IF(ABS(O980-P980)&lt;0.000001,"PASS","FAIL")</x:f>
        <x:v>PASS</x:v>
      </x:c>
      <x:c r="R980" s="70" t="s">
        <x:v>33</x:v>
      </x:c>
      <x:c r="S980" s="70"/>
    </x:row>
    <x:row r="981" ht="15" hidden="0">
      <x:c r="A981" s="70" t="s">
        <x:v>1875</x:v>
      </x:c>
      <x:c r="B981" s="70" t="s">
        <x:v>36</x:v>
      </x:c>
      <x:c r="C981" s="70" t="s">
        <x:v>101</x:v>
      </x:c>
      <x:c r="D981" s="70" t="s">
        <x:v>157</x:v>
      </x:c>
      <x:c r="E981" s="70" t="s">
        <x:v>763</x:v>
      </x:c>
      <x:c r="F981" s="70" t="s">
        <x:v>1874</x:v>
      </x:c>
      <x:c r="G981" s="70" t="s">
        <x:v>1745</x:v>
      </x:c>
      <x:c r="H981" s="70" t="s">
        <x:v>838</x:v>
      </x:c>
      <x:c r="I981" s="70" t="s">
        <x:v>833</x:v>
      </x:c>
      <x:c r="J981" s="70" t="n">
        <x:v>125</x:v>
      </x:c>
      <x:c r="K981" s="70" t="s">
        <x:v>1770</x:v>
      </x:c>
      <x:c r="L981" s="70" t="s">
        <x:v>1355</x:v>
      </x:c>
      <x:c r="M981" s="70" t="s">
        <x:v>39</x:v>
      </x:c>
      <x:c r="N981" s="71" t="n">
        <x:v>664504</x:v>
      </x:c>
      <x:c r="O981" s="72" t="n">
        <x:f aca="0">N981/1000</x:f>
        <x:v>664.504</x:v>
      </x:c>
      <x:c r="P981" s="73" t="n">
        <x:f aca="0">DGKC!D45</x:f>
        <x:v>664.504</x:v>
      </x:c>
      <x:c r="Q981" s="70" t="str">
        <x:f aca="0">IF(ABS(O981-P981)&lt;0.000001,"PASS","FAIL")</x:f>
        <x:v>PASS</x:v>
      </x:c>
      <x:c r="R981" s="70" t="s">
        <x:v>33</x:v>
      </x:c>
      <x:c r="S981" s="70"/>
    </x:row>
    <x:row r="982" ht="15" hidden="0">
      <x:c r="A982" s="70" t="s">
        <x:v>1876</x:v>
      </x:c>
      <x:c r="B982" s="70" t="s">
        <x:v>36</x:v>
      </x:c>
      <x:c r="C982" s="70" t="s">
        <x:v>102</x:v>
      </x:c>
      <x:c r="D982" s="70" t="s">
        <x:v>157</x:v>
      </x:c>
      <x:c r="E982" s="70" t="s">
        <x:v>763</x:v>
      </x:c>
      <x:c r="F982" s="70" t="s">
        <x:v>1874</x:v>
      </x:c>
      <x:c r="G982" s="70" t="s">
        <x:v>1748</x:v>
      </x:c>
      <x:c r="H982" s="70" t="s">
        <x:v>842</x:v>
      </x:c>
      <x:c r="I982" s="70" t="s">
        <x:v>833</x:v>
      </x:c>
      <x:c r="J982" s="70" t="n">
        <x:v>151</x:v>
      </x:c>
      <x:c r="K982" s="70" t="s">
        <x:v>1772</x:v>
      </x:c>
      <x:c r="L982" s="70" t="s">
        <x:v>1355</x:v>
      </x:c>
      <x:c r="M982" s="70" t="s">
        <x:v>39</x:v>
      </x:c>
      <x:c r="N982" s="71" t="n">
        <x:v>450684</x:v>
      </x:c>
      <x:c r="O982" s="72" t="n">
        <x:f aca="0">N982/1000</x:f>
        <x:v>450.684</x:v>
      </x:c>
      <x:c r="P982" s="73" t="n">
        <x:f aca="0">DGKC!E45</x:f>
        <x:v>450.684</x:v>
      </x:c>
      <x:c r="Q982" s="70" t="str">
        <x:f aca="0">IF(ABS(O982-P982)&lt;0.000001,"PASS","FAIL")</x:f>
        <x:v>PASS</x:v>
      </x:c>
      <x:c r="R982" s="70" t="s">
        <x:v>33</x:v>
      </x:c>
      <x:c r="S982" s="70"/>
    </x:row>
    <x:row r="983" ht="15" hidden="0">
      <x:c r="A983" s="70" t="s">
        <x:v>1877</x:v>
      </x:c>
      <x:c r="B983" s="70" t="s">
        <x:v>36</x:v>
      </x:c>
      <x:c r="C983" s="70" t="s">
        <x:v>103</x:v>
      </x:c>
      <x:c r="D983" s="70" t="s">
        <x:v>157</x:v>
      </x:c>
      <x:c r="E983" s="70" t="s">
        <x:v>763</x:v>
      </x:c>
      <x:c r="F983" s="70" t="s">
        <x:v>1874</x:v>
      </x:c>
      <x:c r="G983" s="70" t="s">
        <x:v>1751</x:v>
      </x:c>
      <x:c r="H983" s="70" t="s">
        <x:v>845</x:v>
      </x:c>
      <x:c r="I983" s="70" t="s">
        <x:v>833</x:v>
      </x:c>
      <x:c r="J983" s="70" t="n">
        <x:v>151</x:v>
      </x:c>
      <x:c r="K983" s="70" t="s">
        <x:v>1772</x:v>
      </x:c>
      <x:c r="L983" s="70" t="s">
        <x:v>1355</x:v>
      </x:c>
      <x:c r="M983" s="70" t="s">
        <x:v>39</x:v>
      </x:c>
      <x:c r="N983" s="71" t="n">
        <x:v>278753</x:v>
      </x:c>
      <x:c r="O983" s="72" t="n">
        <x:f aca="0">N983/1000</x:f>
        <x:v>278.753</x:v>
      </x:c>
      <x:c r="P983" s="73" t="n">
        <x:f aca="0">DGKC!F45</x:f>
        <x:v>278.753</x:v>
      </x:c>
      <x:c r="Q983" s="70" t="str">
        <x:f aca="0">IF(ABS(O983-P983)&lt;0.000001,"PASS","FAIL")</x:f>
        <x:v>PASS</x:v>
      </x:c>
      <x:c r="R983" s="70" t="s">
        <x:v>33</x:v>
      </x:c>
      <x:c r="S983" s="70"/>
    </x:row>
    <x:row r="984" ht="15" hidden="0">
      <x:c r="A984" s="70" t="s">
        <x:v>1878</x:v>
      </x:c>
      <x:c r="B984" s="70" t="s">
        <x:v>36</x:v>
      </x:c>
      <x:c r="C984" s="70" t="s">
        <x:v>104</x:v>
      </x:c>
      <x:c r="D984" s="70" t="s">
        <x:v>157</x:v>
      </x:c>
      <x:c r="E984" s="70" t="s">
        <x:v>763</x:v>
      </x:c>
      <x:c r="F984" s="70" t="s">
        <x:v>1874</x:v>
      </x:c>
      <x:c r="G984" s="70" t="s">
        <x:v>1753</x:v>
      </x:c>
      <x:c r="H984" s="70" t="s">
        <x:v>849</x:v>
      </x:c>
      <x:c r="I984" s="70" t="s">
        <x:v>833</x:v>
      </x:c>
      <x:c r="J984" s="70" t="n">
        <x:v>153</x:v>
      </x:c>
      <x:c r="K984" s="70" t="s">
        <x:v>1775</x:v>
      </x:c>
      <x:c r="L984" s="70" t="s">
        <x:v>1355</x:v>
      </x:c>
      <x:c r="M984" s="70" t="s">
        <x:v>39</x:v>
      </x:c>
      <x:c r="N984" s="71" t="n">
        <x:v>154614</x:v>
      </x:c>
      <x:c r="O984" s="72" t="n">
        <x:f aca="0">N984/1000</x:f>
        <x:v>154.614</x:v>
      </x:c>
      <x:c r="P984" s="73" t="n">
        <x:f aca="0">DGKC!G45</x:f>
        <x:v>154.614</x:v>
      </x:c>
      <x:c r="Q984" s="70" t="str">
        <x:f aca="0">IF(ABS(O984-P984)&lt;0.000001,"PASS","FAIL")</x:f>
        <x:v>PASS</x:v>
      </x:c>
      <x:c r="R984" s="70" t="s">
        <x:v>33</x:v>
      </x:c>
      <x:c r="S984" s="70"/>
    </x:row>
    <x:row r="985" ht="15" hidden="0">
      <x:c r="A985" s="70" t="s">
        <x:v>1879</x:v>
      </x:c>
      <x:c r="B985" s="70" t="s">
        <x:v>36</x:v>
      </x:c>
      <x:c r="C985" s="70" t="s">
        <x:v>105</x:v>
      </x:c>
      <x:c r="D985" s="70" t="s">
        <x:v>157</x:v>
      </x:c>
      <x:c r="E985" s="70" t="s">
        <x:v>763</x:v>
      </x:c>
      <x:c r="F985" s="70" t="s">
        <x:v>1874</x:v>
      </x:c>
      <x:c r="G985" s="70" t="s">
        <x:v>1753</x:v>
      </x:c>
      <x:c r="H985" s="70" t="s">
        <x:v>849</x:v>
      </x:c>
      <x:c r="I985" s="70" t="s">
        <x:v>852</x:v>
      </x:c>
      <x:c r="J985" s="70" t="n">
        <x:v>153</x:v>
      </x:c>
      <x:c r="K985" s="70" t="s">
        <x:v>1775</x:v>
      </x:c>
      <x:c r="L985" s="70" t="s">
        <x:v>1355</x:v>
      </x:c>
      <x:c r="M985" s="70" t="s">
        <x:v>39</x:v>
      </x:c>
      <x:c r="N985" s="71" t="n">
        <x:v>70135</x:v>
      </x:c>
      <x:c r="O985" s="72" t="n">
        <x:f aca="0">N985/1000</x:f>
        <x:v>70.135</x:v>
      </x:c>
      <x:c r="P985" s="73" t="n">
        <x:f aca="0">DGKC!H45</x:f>
        <x:v>70.135</x:v>
      </x:c>
      <x:c r="Q985" s="70" t="str">
        <x:f aca="0">IF(ABS(O985-P985)&lt;0.000001,"PASS","FAIL")</x:f>
        <x:v>PASS</x:v>
      </x:c>
      <x:c r="R985" s="70" t="s">
        <x:v>33</x:v>
      </x:c>
      <x:c r="S985" s="70"/>
    </x:row>
    <x:row r="986" ht="15" hidden="0">
      <x:c r="A986" s="70" t="s">
        <x:v>1880</x:v>
      </x:c>
      <x:c r="B986" s="70" t="s">
        <x:v>36</x:v>
      </x:c>
      <x:c r="C986" s="70" t="s">
        <x:v>717</x:v>
      </x:c>
      <x:c r="D986" s="70" t="s">
        <x:v>159</x:v>
      </x:c>
      <x:c r="E986" s="70" t="s">
        <x:v>763</x:v>
      </x:c>
      <x:c r="F986" s="70" t="s">
        <x:v>1881</x:v>
      </x:c>
      <x:c r="G986" s="70" t="s">
        <x:v>1742</x:v>
      </x:c>
      <x:c r="H986" s="70" t="s">
        <x:v>832</x:v>
      </x:c>
      <x:c r="I986" s="70" t="s">
        <x:v>833</x:v>
      </x:c>
      <x:c r="J986" s="70" t="n">
        <x:v>105</x:v>
      </x:c>
      <x:c r="K986" s="70" t="s">
        <x:v>1768</x:v>
      </x:c>
      <x:c r="L986" s="70" t="s">
        <x:v>1040</x:v>
      </x:c>
      <x:c r="M986" s="70" t="s">
        <x:v>39</x:v>
      </x:c>
      <x:c r="N986" s="71" t="n">
        <x:v>2535349</x:v>
      </x:c>
      <x:c r="O986" s="72" t="n">
        <x:f aca="0">N986/1000</x:f>
        <x:v>2535.349</x:v>
      </x:c>
      <x:c r="P986" s="73" t="n">
        <x:f aca="0">DGKC!C46</x:f>
        <x:v>2535.349</x:v>
      </x:c>
      <x:c r="Q986" s="70" t="str">
        <x:f aca="0">IF(ABS(O986-P986)&lt;0.000001,"PASS","FAIL")</x:f>
        <x:v>PASS</x:v>
      </x:c>
      <x:c r="R986" s="70" t="s">
        <x:v>33</x:v>
      </x:c>
      <x:c r="S986" s="70"/>
    </x:row>
    <x:row r="987" ht="15" hidden="0">
      <x:c r="A987" s="70" t="s">
        <x:v>1882</x:v>
      </x:c>
      <x:c r="B987" s="70" t="s">
        <x:v>36</x:v>
      </x:c>
      <x:c r="C987" s="70" t="s">
        <x:v>101</x:v>
      </x:c>
      <x:c r="D987" s="70" t="s">
        <x:v>159</x:v>
      </x:c>
      <x:c r="E987" s="70" t="s">
        <x:v>763</x:v>
      </x:c>
      <x:c r="F987" s="70" t="s">
        <x:v>1881</x:v>
      </x:c>
      <x:c r="G987" s="70" t="s">
        <x:v>1745</x:v>
      </x:c>
      <x:c r="H987" s="70" t="s">
        <x:v>838</x:v>
      </x:c>
      <x:c r="I987" s="70" t="s">
        <x:v>833</x:v>
      </x:c>
      <x:c r="J987" s="70" t="n">
        <x:v>125</x:v>
      </x:c>
      <x:c r="K987" s="70" t="s">
        <x:v>1770</x:v>
      </x:c>
      <x:c r="L987" s="70" t="s">
        <x:v>1040</x:v>
      </x:c>
      <x:c r="M987" s="70" t="s">
        <x:v>39</x:v>
      </x:c>
      <x:c r="N987" s="71" t="n">
        <x:v>3378941</x:v>
      </x:c>
      <x:c r="O987" s="72" t="n">
        <x:f aca="0">N987/1000</x:f>
        <x:v>3378.941</x:v>
      </x:c>
      <x:c r="P987" s="73" t="n">
        <x:f aca="0">DGKC!D46</x:f>
        <x:v>3378.941</x:v>
      </x:c>
      <x:c r="Q987" s="70" t="str">
        <x:f aca="0">IF(ABS(O987-P987)&lt;0.000001,"PASS","FAIL")</x:f>
        <x:v>PASS</x:v>
      </x:c>
      <x:c r="R987" s="70" t="s">
        <x:v>33</x:v>
      </x:c>
      <x:c r="S987" s="70"/>
    </x:row>
    <x:row r="988" ht="15" hidden="0">
      <x:c r="A988" s="70" t="s">
        <x:v>1883</x:v>
      </x:c>
      <x:c r="B988" s="70" t="s">
        <x:v>36</x:v>
      </x:c>
      <x:c r="C988" s="70" t="s">
        <x:v>102</x:v>
      </x:c>
      <x:c r="D988" s="70" t="s">
        <x:v>159</x:v>
      </x:c>
      <x:c r="E988" s="70" t="s">
        <x:v>763</x:v>
      </x:c>
      <x:c r="F988" s="70" t="s">
        <x:v>1881</x:v>
      </x:c>
      <x:c r="G988" s="70" t="s">
        <x:v>1748</x:v>
      </x:c>
      <x:c r="H988" s="70" t="s">
        <x:v>842</x:v>
      </x:c>
      <x:c r="I988" s="70" t="s">
        <x:v>833</x:v>
      </x:c>
      <x:c r="J988" s="70" t="n">
        <x:v>151</x:v>
      </x:c>
      <x:c r="K988" s="70" t="s">
        <x:v>1772</x:v>
      </x:c>
      <x:c r="L988" s="70" t="s">
        <x:v>1040</x:v>
      </x:c>
      <x:c r="M988" s="70" t="s">
        <x:v>39</x:v>
      </x:c>
      <x:c r="N988" s="71" t="n">
        <x:v>4942150</x:v>
      </x:c>
      <x:c r="O988" s="72" t="n">
        <x:f aca="0">N988/1000</x:f>
        <x:v>4942.15</x:v>
      </x:c>
      <x:c r="P988" s="73" t="n">
        <x:f aca="0">DGKC!E46</x:f>
        <x:v>4942.15</x:v>
      </x:c>
      <x:c r="Q988" s="70" t="str">
        <x:f aca="0">IF(ABS(O988-P988)&lt;0.000001,"PASS","FAIL")</x:f>
        <x:v>PASS</x:v>
      </x:c>
      <x:c r="R988" s="70" t="s">
        <x:v>33</x:v>
      </x:c>
      <x:c r="S988" s="70"/>
    </x:row>
    <x:row r="989" ht="15" hidden="0">
      <x:c r="A989" s="70" t="s">
        <x:v>1884</x:v>
      </x:c>
      <x:c r="B989" s="70" t="s">
        <x:v>36</x:v>
      </x:c>
      <x:c r="C989" s="70" t="s">
        <x:v>103</x:v>
      </x:c>
      <x:c r="D989" s="70" t="s">
        <x:v>159</x:v>
      </x:c>
      <x:c r="E989" s="70" t="s">
        <x:v>763</x:v>
      </x:c>
      <x:c r="F989" s="70" t="s">
        <x:v>1881</x:v>
      </x:c>
      <x:c r="G989" s="70" t="s">
        <x:v>1751</x:v>
      </x:c>
      <x:c r="H989" s="70" t="s">
        <x:v>845</x:v>
      </x:c>
      <x:c r="I989" s="70" t="s">
        <x:v>833</x:v>
      </x:c>
      <x:c r="J989" s="70" t="n">
        <x:v>151</x:v>
      </x:c>
      <x:c r="K989" s="70" t="s">
        <x:v>1772</x:v>
      </x:c>
      <x:c r="L989" s="70" t="s">
        <x:v>1040</x:v>
      </x:c>
      <x:c r="M989" s="70" t="s">
        <x:v>39</x:v>
      </x:c>
      <x:c r="N989" s="71" t="n">
        <x:v>10613603</x:v>
      </x:c>
      <x:c r="O989" s="72" t="n">
        <x:f aca="0">N989/1000</x:f>
        <x:v>10613.603</x:v>
      </x:c>
      <x:c r="P989" s="73" t="n">
        <x:f aca="0">DGKC!F46</x:f>
        <x:v>10613.603</x:v>
      </x:c>
      <x:c r="Q989" s="70" t="str">
        <x:f aca="0">IF(ABS(O989-P989)&lt;0.000001,"PASS","FAIL")</x:f>
        <x:v>PASS</x:v>
      </x:c>
      <x:c r="R989" s="70" t="s">
        <x:v>33</x:v>
      </x:c>
      <x:c r="S989" s="70"/>
    </x:row>
    <x:row r="990" ht="15" hidden="0">
      <x:c r="A990" s="70" t="s">
        <x:v>1885</x:v>
      </x:c>
      <x:c r="B990" s="70" t="s">
        <x:v>36</x:v>
      </x:c>
      <x:c r="C990" s="70" t="s">
        <x:v>104</x:v>
      </x:c>
      <x:c r="D990" s="70" t="s">
        <x:v>159</x:v>
      </x:c>
      <x:c r="E990" s="70" t="s">
        <x:v>763</x:v>
      </x:c>
      <x:c r="F990" s="70" t="s">
        <x:v>1881</x:v>
      </x:c>
      <x:c r="G990" s="70" t="s">
        <x:v>1753</x:v>
      </x:c>
      <x:c r="H990" s="70" t="s">
        <x:v>849</x:v>
      </x:c>
      <x:c r="I990" s="70" t="s">
        <x:v>833</x:v>
      </x:c>
      <x:c r="J990" s="70" t="n">
        <x:v>153</x:v>
      </x:c>
      <x:c r="K990" s="70" t="s">
        <x:v>1775</x:v>
      </x:c>
      <x:c r="L990" s="70" t="s">
        <x:v>1040</x:v>
      </x:c>
      <x:c r="M990" s="70" t="s">
        <x:v>39</x:v>
      </x:c>
      <x:c r="N990" s="71" t="n">
        <x:v>12675472</x:v>
      </x:c>
      <x:c r="O990" s="72" t="n">
        <x:f aca="0">N990/1000</x:f>
        <x:v>12675.472</x:v>
      </x:c>
      <x:c r="P990" s="73" t="n">
        <x:f aca="0">DGKC!G46</x:f>
        <x:v>12675.472</x:v>
      </x:c>
      <x:c r="Q990" s="70" t="str">
        <x:f aca="0">IF(ABS(O990-P990)&lt;0.000001,"PASS","FAIL")</x:f>
        <x:v>PASS</x:v>
      </x:c>
      <x:c r="R990" s="70" t="s">
        <x:v>33</x:v>
      </x:c>
      <x:c r="S990" s="70"/>
    </x:row>
    <x:row r="991" ht="15" hidden="0">
      <x:c r="A991" s="70" t="s">
        <x:v>1886</x:v>
      </x:c>
      <x:c r="B991" s="70" t="s">
        <x:v>36</x:v>
      </x:c>
      <x:c r="C991" s="70" t="s">
        <x:v>105</x:v>
      </x:c>
      <x:c r="D991" s="70" t="s">
        <x:v>159</x:v>
      </x:c>
      <x:c r="E991" s="70" t="s">
        <x:v>763</x:v>
      </x:c>
      <x:c r="F991" s="70" t="s">
        <x:v>1881</x:v>
      </x:c>
      <x:c r="G991" s="70" t="s">
        <x:v>1753</x:v>
      </x:c>
      <x:c r="H991" s="70" t="s">
        <x:v>849</x:v>
      </x:c>
      <x:c r="I991" s="70" t="s">
        <x:v>852</x:v>
      </x:c>
      <x:c r="J991" s="70" t="n">
        <x:v>153</x:v>
      </x:c>
      <x:c r="K991" s="70" t="s">
        <x:v>1775</x:v>
      </x:c>
      <x:c r="L991" s="70" t="s">
        <x:v>1040</x:v>
      </x:c>
      <x:c r="M991" s="70" t="s">
        <x:v>39</x:v>
      </x:c>
      <x:c r="N991" s="71" t="n">
        <x:v>13286942</x:v>
      </x:c>
      <x:c r="O991" s="72" t="n">
        <x:f aca="0">N991/1000</x:f>
        <x:v>13286.942</x:v>
      </x:c>
      <x:c r="P991" s="73" t="n">
        <x:f aca="0">DGKC!H46</x:f>
        <x:v>13286.942</x:v>
      </x:c>
      <x:c r="Q991" s="70" t="str">
        <x:f aca="0">IF(ABS(O991-P991)&lt;0.000001,"PASS","FAIL")</x:f>
        <x:v>PASS</x:v>
      </x:c>
      <x:c r="R991" s="70" t="s">
        <x:v>33</x:v>
      </x:c>
      <x:c r="S991" s="70"/>
    </x:row>
    <x:row r="992" ht="15" hidden="0">
      <x:c r="A992" s="70" t="s">
        <x:v>1887</x:v>
      </x:c>
      <x:c r="B992" s="70" t="s">
        <x:v>36</x:v>
      </x:c>
      <x:c r="C992" s="70" t="s">
        <x:v>717</x:v>
      </x:c>
      <x:c r="D992" s="70" t="s">
        <x:v>161</x:v>
      </x:c>
      <x:c r="E992" s="70" t="s">
        <x:v>763</x:v>
      </x:c>
      <x:c r="F992" s="70" t="s">
        <x:v>1888</x:v>
      </x:c>
      <x:c r="G992" s="70" t="s">
        <x:v>1742</x:v>
      </x:c>
      <x:c r="H992" s="70" t="s">
        <x:v>832</x:v>
      </x:c>
      <x:c r="I992" s="70" t="s">
        <x:v>833</x:v>
      </x:c>
      <x:c r="J992" s="70" t="n">
        <x:v>105</x:v>
      </x:c>
      <x:c r="K992" s="70" t="s">
        <x:v>1768</x:v>
      </x:c>
      <x:c r="L992" s="70" t="s">
        <x:v>1019</x:v>
      </x:c>
      <x:c r="M992" s="70" t="s">
        <x:v>39</x:v>
      </x:c>
      <x:c r="N992" s="71" t="n">
        <x:v>775771</x:v>
      </x:c>
      <x:c r="O992" s="72" t="n">
        <x:f aca="0">N992/1000</x:f>
        <x:v>775.771</x:v>
      </x:c>
      <x:c r="P992" s="73" t="n">
        <x:f aca="0">DGKC!C47</x:f>
        <x:v>775.771</x:v>
      </x:c>
      <x:c r="Q992" s="70" t="str">
        <x:f aca="0">IF(ABS(O992-P992)&lt;0.000001,"PASS","FAIL")</x:f>
        <x:v>PASS</x:v>
      </x:c>
      <x:c r="R992" s="70" t="s">
        <x:v>33</x:v>
      </x:c>
      <x:c r="S992" s="70"/>
    </x:row>
    <x:row r="993" ht="15" hidden="0">
      <x:c r="A993" s="70" t="s">
        <x:v>1889</x:v>
      </x:c>
      <x:c r="B993" s="70" t="s">
        <x:v>36</x:v>
      </x:c>
      <x:c r="C993" s="70" t="s">
        <x:v>101</x:v>
      </x:c>
      <x:c r="D993" s="70" t="s">
        <x:v>161</x:v>
      </x:c>
      <x:c r="E993" s="70" t="s">
        <x:v>763</x:v>
      </x:c>
      <x:c r="F993" s="70" t="s">
        <x:v>1890</x:v>
      </x:c>
      <x:c r="G993" s="70" t="s">
        <x:v>1745</x:v>
      </x:c>
      <x:c r="H993" s="70" t="s">
        <x:v>838</x:v>
      </x:c>
      <x:c r="I993" s="70" t="s">
        <x:v>833</x:v>
      </x:c>
      <x:c r="J993" s="70" t="n">
        <x:v>125</x:v>
      </x:c>
      <x:c r="K993" s="70" t="s">
        <x:v>1770</x:v>
      </x:c>
      <x:c r="L993" s="70" t="s">
        <x:v>1019</x:v>
      </x:c>
      <x:c r="M993" s="70" t="s">
        <x:v>39</x:v>
      </x:c>
      <x:c r="N993" s="71" t="n">
        <x:v>777795</x:v>
      </x:c>
      <x:c r="O993" s="72" t="n">
        <x:f aca="0">N993/1000</x:f>
        <x:v>777.795</x:v>
      </x:c>
      <x:c r="P993" s="73" t="n">
        <x:f aca="0">DGKC!D47</x:f>
        <x:v>777.795</x:v>
      </x:c>
      <x:c r="Q993" s="70" t="str">
        <x:f aca="0">IF(ABS(O993-P993)&lt;0.000001,"PASS","FAIL")</x:f>
        <x:v>PASS</x:v>
      </x:c>
      <x:c r="R993" s="70" t="s">
        <x:v>33</x:v>
      </x:c>
      <x:c r="S993" s="70"/>
    </x:row>
    <x:row r="994" ht="15" hidden="0">
      <x:c r="A994" s="70" t="s">
        <x:v>1891</x:v>
      </x:c>
      <x:c r="B994" s="70" t="s">
        <x:v>36</x:v>
      </x:c>
      <x:c r="C994" s="70" t="s">
        <x:v>102</x:v>
      </x:c>
      <x:c r="D994" s="70" t="s">
        <x:v>161</x:v>
      </x:c>
      <x:c r="E994" s="70" t="s">
        <x:v>763</x:v>
      </x:c>
      <x:c r="F994" s="70" t="s">
        <x:v>1890</x:v>
      </x:c>
      <x:c r="G994" s="70" t="s">
        <x:v>1748</x:v>
      </x:c>
      <x:c r="H994" s="70" t="s">
        <x:v>842</x:v>
      </x:c>
      <x:c r="I994" s="70" t="s">
        <x:v>833</x:v>
      </x:c>
      <x:c r="J994" s="70" t="n">
        <x:v>151</x:v>
      </x:c>
      <x:c r="K994" s="70" t="s">
        <x:v>1772</x:v>
      </x:c>
      <x:c r="L994" s="70" t="s">
        <x:v>1019</x:v>
      </x:c>
      <x:c r="M994" s="70" t="s">
        <x:v>39</x:v>
      </x:c>
      <x:c r="N994" s="71" t="n">
        <x:v>993817</x:v>
      </x:c>
      <x:c r="O994" s="72" t="n">
        <x:f aca="0">N994/1000</x:f>
        <x:v>993.817</x:v>
      </x:c>
      <x:c r="P994" s="73" t="n">
        <x:f aca="0">DGKC!E47</x:f>
        <x:v>993.817</x:v>
      </x:c>
      <x:c r="Q994" s="70" t="str">
        <x:f aca="0">IF(ABS(O994-P994)&lt;0.000001,"PASS","FAIL")</x:f>
        <x:v>PASS</x:v>
      </x:c>
      <x:c r="R994" s="70" t="s">
        <x:v>33</x:v>
      </x:c>
      <x:c r="S994" s="70"/>
    </x:row>
    <x:row r="995" ht="15" hidden="0">
      <x:c r="A995" s="70" t="s">
        <x:v>1892</x:v>
      </x:c>
      <x:c r="B995" s="70" t="s">
        <x:v>36</x:v>
      </x:c>
      <x:c r="C995" s="70" t="s">
        <x:v>103</x:v>
      </x:c>
      <x:c r="D995" s="70" t="s">
        <x:v>161</x:v>
      </x:c>
      <x:c r="E995" s="70" t="s">
        <x:v>763</x:v>
      </x:c>
      <x:c r="F995" s="70" t="s">
        <x:v>1890</x:v>
      </x:c>
      <x:c r="G995" s="70" t="s">
        <x:v>1751</x:v>
      </x:c>
      <x:c r="H995" s="70" t="s">
        <x:v>845</x:v>
      </x:c>
      <x:c r="I995" s="70" t="s">
        <x:v>833</x:v>
      </x:c>
      <x:c r="J995" s="70" t="n">
        <x:v>151</x:v>
      </x:c>
      <x:c r="K995" s="70" t="s">
        <x:v>1772</x:v>
      </x:c>
      <x:c r="L995" s="70" t="s">
        <x:v>1019</x:v>
      </x:c>
      <x:c r="M995" s="70" t="s">
        <x:v>39</x:v>
      </x:c>
      <x:c r="N995" s="71" t="n">
        <x:v>1289212</x:v>
      </x:c>
      <x:c r="O995" s="72" t="n">
        <x:f aca="0">N995/1000</x:f>
        <x:v>1289.212</x:v>
      </x:c>
      <x:c r="P995" s="73" t="n">
        <x:f aca="0">DGKC!F47</x:f>
        <x:v>1289.212</x:v>
      </x:c>
      <x:c r="Q995" s="70" t="str">
        <x:f aca="0">IF(ABS(O995-P995)&lt;0.000001,"PASS","FAIL")</x:f>
        <x:v>PASS</x:v>
      </x:c>
      <x:c r="R995" s="70" t="s">
        <x:v>33</x:v>
      </x:c>
      <x:c r="S995" s="70"/>
    </x:row>
    <x:row r="996" ht="15" hidden="0">
      <x:c r="A996" s="70" t="s">
        <x:v>1893</x:v>
      </x:c>
      <x:c r="B996" s="70" t="s">
        <x:v>36</x:v>
      </x:c>
      <x:c r="C996" s="70" t="s">
        <x:v>104</x:v>
      </x:c>
      <x:c r="D996" s="70" t="s">
        <x:v>161</x:v>
      </x:c>
      <x:c r="E996" s="70" t="s">
        <x:v>763</x:v>
      </x:c>
      <x:c r="F996" s="70" t="s">
        <x:v>1890</x:v>
      </x:c>
      <x:c r="G996" s="70" t="s">
        <x:v>1753</x:v>
      </x:c>
      <x:c r="H996" s="70" t="s">
        <x:v>849</x:v>
      </x:c>
      <x:c r="I996" s="70" t="s">
        <x:v>833</x:v>
      </x:c>
      <x:c r="J996" s="70" t="n">
        <x:v>153</x:v>
      </x:c>
      <x:c r="K996" s="70" t="s">
        <x:v>1775</x:v>
      </x:c>
      <x:c r="L996" s="70" t="s">
        <x:v>1019</x:v>
      </x:c>
      <x:c r="M996" s="70" t="s">
        <x:v>39</x:v>
      </x:c>
      <x:c r="N996" s="71" t="n">
        <x:v>1517297</x:v>
      </x:c>
      <x:c r="O996" s="72" t="n">
        <x:f aca="0">N996/1000</x:f>
        <x:v>1517.297</x:v>
      </x:c>
      <x:c r="P996" s="73" t="n">
        <x:f aca="0">DGKC!G47</x:f>
        <x:v>1517.297</x:v>
      </x:c>
      <x:c r="Q996" s="70" t="str">
        <x:f aca="0">IF(ABS(O996-P996)&lt;0.000001,"PASS","FAIL")</x:f>
        <x:v>PASS</x:v>
      </x:c>
      <x:c r="R996" s="70" t="s">
        <x:v>33</x:v>
      </x:c>
      <x:c r="S996" s="70"/>
    </x:row>
    <x:row r="997" ht="15" hidden="0">
      <x:c r="A997" s="70" t="s">
        <x:v>1894</x:v>
      </x:c>
      <x:c r="B997" s="70" t="s">
        <x:v>36</x:v>
      </x:c>
      <x:c r="C997" s="70" t="s">
        <x:v>105</x:v>
      </x:c>
      <x:c r="D997" s="70" t="s">
        <x:v>161</x:v>
      </x:c>
      <x:c r="E997" s="70" t="s">
        <x:v>763</x:v>
      </x:c>
      <x:c r="F997" s="70" t="s">
        <x:v>1890</x:v>
      </x:c>
      <x:c r="G997" s="70" t="s">
        <x:v>1753</x:v>
      </x:c>
      <x:c r="H997" s="70" t="s">
        <x:v>849</x:v>
      </x:c>
      <x:c r="I997" s="70" t="s">
        <x:v>852</x:v>
      </x:c>
      <x:c r="J997" s="70" t="n">
        <x:v>153</x:v>
      </x:c>
      <x:c r="K997" s="70" t="s">
        <x:v>1775</x:v>
      </x:c>
      <x:c r="L997" s="70" t="s">
        <x:v>1019</x:v>
      </x:c>
      <x:c r="M997" s="70" t="s">
        <x:v>39</x:v>
      </x:c>
      <x:c r="N997" s="71" t="n">
        <x:v>1894931</x:v>
      </x:c>
      <x:c r="O997" s="72" t="n">
        <x:f aca="0">N997/1000</x:f>
        <x:v>1894.931</x:v>
      </x:c>
      <x:c r="P997" s="73" t="n">
        <x:f aca="0">DGKC!H47</x:f>
        <x:v>1894.931</x:v>
      </x:c>
      <x:c r="Q997" s="70" t="str">
        <x:f aca="0">IF(ABS(O997-P997)&lt;0.000001,"PASS","FAIL")</x:f>
        <x:v>PASS</x:v>
      </x:c>
      <x:c r="R997" s="70" t="s">
        <x:v>33</x:v>
      </x:c>
      <x:c r="S997" s="70"/>
    </x:row>
    <x:row r="998" ht="15" hidden="0">
      <x:c r="A998" s="70" t="s">
        <x:v>1895</x:v>
      </x:c>
      <x:c r="B998" s="70" t="s">
        <x:v>36</x:v>
      </x:c>
      <x:c r="C998" s="70" t="s">
        <x:v>717</x:v>
      </x:c>
      <x:c r="D998" s="70" t="s">
        <x:v>166</x:v>
      </x:c>
      <x:c r="E998" s="70" t="s">
        <x:v>763</x:v>
      </x:c>
      <x:c r="F998" s="70" t="s">
        <x:v>166</x:v>
      </x:c>
      <x:c r="G998" s="70" t="s">
        <x:v>1742</x:v>
      </x:c>
      <x:c r="H998" s="70" t="s">
        <x:v>832</x:v>
      </x:c>
      <x:c r="I998" s="70" t="s">
        <x:v>833</x:v>
      </x:c>
      <x:c r="J998" s="70" t="n">
        <x:v>105</x:v>
      </x:c>
      <x:c r="K998" s="70" t="s">
        <x:v>1768</x:v>
      </x:c>
      <x:c r="L998" s="70" t="s">
        <x:v>1031</x:v>
      </x:c>
      <x:c r="M998" s="70" t="s">
        <x:v>39</x:v>
      </x:c>
      <x:c r="N998" s="71" t="n">
        <x:v>11298187</x:v>
      </x:c>
      <x:c r="O998" s="72" t="n">
        <x:f aca="0">N998/1000</x:f>
        <x:v>11298.187</x:v>
      </x:c>
      <x:c r="P998" s="73" t="n">
        <x:f aca="0">DGKC!C50</x:f>
        <x:v>11298.187</x:v>
      </x:c>
      <x:c r="Q998" s="70" t="str">
        <x:f aca="0">IF(ABS(O998-P998)&lt;0.000001,"PASS","FAIL")</x:f>
        <x:v>PASS</x:v>
      </x:c>
      <x:c r="R998" s="70" t="s">
        <x:v>33</x:v>
      </x:c>
      <x:c r="S998" s="70"/>
    </x:row>
    <x:row r="999" ht="15" hidden="0">
      <x:c r="A999" s="70" t="s">
        <x:v>1896</x:v>
      </x:c>
      <x:c r="B999" s="70" t="s">
        <x:v>36</x:v>
      </x:c>
      <x:c r="C999" s="70" t="s">
        <x:v>101</x:v>
      </x:c>
      <x:c r="D999" s="70" t="s">
        <x:v>166</x:v>
      </x:c>
      <x:c r="E999" s="70" t="s">
        <x:v>763</x:v>
      </x:c>
      <x:c r="F999" s="70" t="s">
        <x:v>166</x:v>
      </x:c>
      <x:c r="G999" s="70" t="s">
        <x:v>1745</x:v>
      </x:c>
      <x:c r="H999" s="70" t="s">
        <x:v>838</x:v>
      </x:c>
      <x:c r="I999" s="70" t="s">
        <x:v>833</x:v>
      </x:c>
      <x:c r="J999" s="70" t="n">
        <x:v>125</x:v>
      </x:c>
      <x:c r="K999" s="70" t="s">
        <x:v>1770</x:v>
      </x:c>
      <x:c r="L999" s="70" t="s">
        <x:v>1031</x:v>
      </x:c>
      <x:c r="M999" s="70" t="s">
        <x:v>39</x:v>
      </x:c>
      <x:c r="N999" s="71" t="n">
        <x:v>14923151</x:v>
      </x:c>
      <x:c r="O999" s="72" t="n">
        <x:f aca="0">N999/1000</x:f>
        <x:v>14923.151</x:v>
      </x:c>
      <x:c r="P999" s="73" t="n">
        <x:f aca="0">DGKC!D50</x:f>
        <x:v>14923.151</x:v>
      </x:c>
      <x:c r="Q999" s="70" t="str">
        <x:f aca="0">IF(ABS(O999-P999)&lt;0.000001,"PASS","FAIL")</x:f>
        <x:v>PASS</x:v>
      </x:c>
      <x:c r="R999" s="70" t="s">
        <x:v>33</x:v>
      </x:c>
      <x:c r="S999" s="70"/>
    </x:row>
    <x:row r="1000" ht="15" hidden="0">
      <x:c r="A1000" s="70" t="s">
        <x:v>1897</x:v>
      </x:c>
      <x:c r="B1000" s="70" t="s">
        <x:v>36</x:v>
      </x:c>
      <x:c r="C1000" s="70" t="s">
        <x:v>102</x:v>
      </x:c>
      <x:c r="D1000" s="70" t="s">
        <x:v>166</x:v>
      </x:c>
      <x:c r="E1000" s="70" t="s">
        <x:v>763</x:v>
      </x:c>
      <x:c r="F1000" s="70" t="s">
        <x:v>166</x:v>
      </x:c>
      <x:c r="G1000" s="70" t="s">
        <x:v>1748</x:v>
      </x:c>
      <x:c r="H1000" s="70" t="s">
        <x:v>842</x:v>
      </x:c>
      <x:c r="I1000" s="70" t="s">
        <x:v>833</x:v>
      </x:c>
      <x:c r="J1000" s="70" t="n">
        <x:v>151</x:v>
      </x:c>
      <x:c r="K1000" s="70" t="s">
        <x:v>1772</x:v>
      </x:c>
      <x:c r="L1000" s="70" t="s">
        <x:v>1031</x:v>
      </x:c>
      <x:c r="M1000" s="70" t="s">
        <x:v>39</x:v>
      </x:c>
      <x:c r="N1000" s="71" t="n">
        <x:v>12591709</x:v>
      </x:c>
      <x:c r="O1000" s="72" t="n">
        <x:f aca="0">N1000/1000</x:f>
        <x:v>12591.709</x:v>
      </x:c>
      <x:c r="P1000" s="73" t="n">
        <x:f aca="0">DGKC!E50</x:f>
        <x:v>12591.709</x:v>
      </x:c>
      <x:c r="Q1000" s="70" t="str">
        <x:f aca="0">IF(ABS(O1000-P1000)&lt;0.000001,"PASS","FAIL")</x:f>
        <x:v>PASS</x:v>
      </x:c>
      <x:c r="R1000" s="70" t="s">
        <x:v>33</x:v>
      </x:c>
      <x:c r="S1000" s="70"/>
    </x:row>
    <x:row r="1001" ht="15" hidden="0">
      <x:c r="A1001" s="70" t="s">
        <x:v>1898</x:v>
      </x:c>
      <x:c r="B1001" s="70" t="s">
        <x:v>36</x:v>
      </x:c>
      <x:c r="C1001" s="70" t="s">
        <x:v>103</x:v>
      </x:c>
      <x:c r="D1001" s="70" t="s">
        <x:v>166</x:v>
      </x:c>
      <x:c r="E1001" s="70" t="s">
        <x:v>763</x:v>
      </x:c>
      <x:c r="F1001" s="70" t="s">
        <x:v>166</x:v>
      </x:c>
      <x:c r="G1001" s="70" t="s">
        <x:v>1751</x:v>
      </x:c>
      <x:c r="H1001" s="70" t="s">
        <x:v>845</x:v>
      </x:c>
      <x:c r="I1001" s="70" t="s">
        <x:v>833</x:v>
      </x:c>
      <x:c r="J1001" s="70" t="n">
        <x:v>151</x:v>
      </x:c>
      <x:c r="K1001" s="70" t="s">
        <x:v>1772</x:v>
      </x:c>
      <x:c r="L1001" s="70" t="s">
        <x:v>1031</x:v>
      </x:c>
      <x:c r="M1001" s="70" t="s">
        <x:v>39</x:v>
      </x:c>
      <x:c r="N1001" s="71" t="n">
        <x:v>13783299</x:v>
      </x:c>
      <x:c r="O1001" s="72" t="n">
        <x:f aca="0">N1001/1000</x:f>
        <x:v>13783.299</x:v>
      </x:c>
      <x:c r="P1001" s="73" t="n">
        <x:f aca="0">DGKC!F50</x:f>
        <x:v>13783.299</x:v>
      </x:c>
      <x:c r="Q1001" s="70" t="str">
        <x:f aca="0">IF(ABS(O1001-P1001)&lt;0.000001,"PASS","FAIL")</x:f>
        <x:v>PASS</x:v>
      </x:c>
      <x:c r="R1001" s="70" t="s">
        <x:v>33</x:v>
      </x:c>
      <x:c r="S1001" s="70"/>
    </x:row>
    <x:row r="1002" ht="15" hidden="0">
      <x:c r="A1002" s="70" t="s">
        <x:v>1899</x:v>
      </x:c>
      <x:c r="B1002" s="70" t="s">
        <x:v>36</x:v>
      </x:c>
      <x:c r="C1002" s="70" t="s">
        <x:v>104</x:v>
      </x:c>
      <x:c r="D1002" s="70" t="s">
        <x:v>166</x:v>
      </x:c>
      <x:c r="E1002" s="70" t="s">
        <x:v>763</x:v>
      </x:c>
      <x:c r="F1002" s="70" t="s">
        <x:v>166</x:v>
      </x:c>
      <x:c r="G1002" s="70" t="s">
        <x:v>1753</x:v>
      </x:c>
      <x:c r="H1002" s="70" t="s">
        <x:v>849</x:v>
      </x:c>
      <x:c r="I1002" s="70" t="s">
        <x:v>833</x:v>
      </x:c>
      <x:c r="J1002" s="70" t="n">
        <x:v>153</x:v>
      </x:c>
      <x:c r="K1002" s="70" t="s">
        <x:v>1775</x:v>
      </x:c>
      <x:c r="L1002" s="70" t="s">
        <x:v>1031</x:v>
      </x:c>
      <x:c r="M1002" s="70" t="s">
        <x:v>39</x:v>
      </x:c>
      <x:c r="N1002" s="71" t="n">
        <x:v>12394455</x:v>
      </x:c>
      <x:c r="O1002" s="72" t="n">
        <x:f aca="0">N1002/1000</x:f>
        <x:v>12394.455</x:v>
      </x:c>
      <x:c r="P1002" s="73" t="n">
        <x:f aca="0">DGKC!G50</x:f>
        <x:v>12394.455</x:v>
      </x:c>
      <x:c r="Q1002" s="70" t="str">
        <x:f aca="0">IF(ABS(O1002-P1002)&lt;0.000001,"PASS","FAIL")</x:f>
        <x:v>PASS</x:v>
      </x:c>
      <x:c r="R1002" s="70" t="s">
        <x:v>33</x:v>
      </x:c>
      <x:c r="S1002" s="70"/>
    </x:row>
    <x:row r="1003" ht="15" hidden="0">
      <x:c r="A1003" s="70" t="s">
        <x:v>1900</x:v>
      </x:c>
      <x:c r="B1003" s="70" t="s">
        <x:v>36</x:v>
      </x:c>
      <x:c r="C1003" s="70" t="s">
        <x:v>105</x:v>
      </x:c>
      <x:c r="D1003" s="70" t="s">
        <x:v>166</x:v>
      </x:c>
      <x:c r="E1003" s="70" t="s">
        <x:v>763</x:v>
      </x:c>
      <x:c r="F1003" s="70" t="s">
        <x:v>166</x:v>
      </x:c>
      <x:c r="G1003" s="70" t="s">
        <x:v>1753</x:v>
      </x:c>
      <x:c r="H1003" s="70" t="s">
        <x:v>849</x:v>
      </x:c>
      <x:c r="I1003" s="70" t="s">
        <x:v>852</x:v>
      </x:c>
      <x:c r="J1003" s="70" t="n">
        <x:v>153</x:v>
      </x:c>
      <x:c r="K1003" s="70" t="s">
        <x:v>1775</x:v>
      </x:c>
      <x:c r="L1003" s="70" t="s">
        <x:v>1031</x:v>
      </x:c>
      <x:c r="M1003" s="70" t="s">
        <x:v>39</x:v>
      </x:c>
      <x:c r="N1003" s="71" t="n">
        <x:v>13333448</x:v>
      </x:c>
      <x:c r="O1003" s="72" t="n">
        <x:f aca="0">N1003/1000</x:f>
        <x:v>13333.448</x:v>
      </x:c>
      <x:c r="P1003" s="73" t="n">
        <x:f aca="0">DGKC!H50</x:f>
        <x:v>13333.448</x:v>
      </x:c>
      <x:c r="Q1003" s="70" t="str">
        <x:f aca="0">IF(ABS(O1003-P1003)&lt;0.000001,"PASS","FAIL")</x:f>
        <x:v>PASS</x:v>
      </x:c>
      <x:c r="R1003" s="70" t="s">
        <x:v>33</x:v>
      </x:c>
      <x:c r="S1003" s="70"/>
    </x:row>
    <x:row r="1004" ht="15" hidden="0">
      <x:c r="A1004" s="70" t="s">
        <x:v>1901</x:v>
      </x:c>
      <x:c r="B1004" s="70" t="s">
        <x:v>36</x:v>
      </x:c>
      <x:c r="C1004" s="70" t="s">
        <x:v>717</x:v>
      </x:c>
      <x:c r="D1004" s="70" t="s">
        <x:v>1009</x:v>
      </x:c>
      <x:c r="E1004" s="70" t="s">
        <x:v>855</x:v>
      </x:c>
      <x:c r="F1004" s="70" t="s">
        <x:v>1902</x:v>
      </x:c>
      <x:c r="G1004" s="70" t="s">
        <x:v>1742</x:v>
      </x:c>
      <x:c r="H1004" s="70" t="s">
        <x:v>832</x:v>
      </x:c>
      <x:c r="I1004" s="70" t="s">
        <x:v>833</x:v>
      </x:c>
      <x:c r="J1004" s="70" t="n">
        <x:v>135</x:v>
      </x:c>
      <x:c r="K1004" s="70" t="s">
        <x:v>1903</x:v>
      </x:c>
      <x:c r="L1004" s="70"/>
      <x:c r="M1004" s="70" t="s">
        <x:v>39</x:v>
      </x:c>
      <x:c r="N1004" s="71" t="n">
        <x:v>4325320</x:v>
      </x:c>
      <x:c r="O1004" s="72" t="n">
        <x:f aca="0">N1004/1000</x:f>
        <x:v>4325.32</x:v>
      </x:c>
      <x:c r="P1004" s="73" t="n">
        <x:f aca="0">DGKC!C51</x:f>
        <x:v>4325.32</x:v>
      </x:c>
      <x:c r="Q1004" s="70" t="str">
        <x:f aca="0">IF(ABS(O1004-P1004)&lt;0.000001,"PASS","FAIL")</x:f>
        <x:v>PASS</x:v>
      </x:c>
      <x:c r="R1004" s="70" t="s">
        <x:v>33</x:v>
      </x:c>
      <x:c r="S1004" s="70"/>
    </x:row>
    <x:row r="1005" ht="15" hidden="0">
      <x:c r="A1005" s="70" t="s">
        <x:v>1904</x:v>
      </x:c>
      <x:c r="B1005" s="70" t="s">
        <x:v>36</x:v>
      </x:c>
      <x:c r="C1005" s="70" t="s">
        <x:v>101</x:v>
      </x:c>
      <x:c r="D1005" s="70" t="s">
        <x:v>1009</x:v>
      </x:c>
      <x:c r="E1005" s="70" t="s">
        <x:v>855</x:v>
      </x:c>
      <x:c r="F1005" s="70" t="s">
        <x:v>1902</x:v>
      </x:c>
      <x:c r="G1005" s="70" t="s">
        <x:v>1745</x:v>
      </x:c>
      <x:c r="H1005" s="70" t="s">
        <x:v>838</x:v>
      </x:c>
      <x:c r="I1005" s="70" t="s">
        <x:v>833</x:v>
      </x:c>
      <x:c r="J1005" s="70" t="n">
        <x:v>155</x:v>
      </x:c>
      <x:c r="K1005" s="70" t="s">
        <x:v>1905</x:v>
      </x:c>
      <x:c r="L1005" s="70"/>
      <x:c r="M1005" s="70" t="s">
        <x:v>39</x:v>
      </x:c>
      <x:c r="N1005" s="71" t="n">
        <x:v>7375630</x:v>
      </x:c>
      <x:c r="O1005" s="72" t="n">
        <x:f aca="0">N1005/1000</x:f>
        <x:v>7375.63</x:v>
      </x:c>
      <x:c r="P1005" s="73" t="n">
        <x:f aca="0">DGKC!D51</x:f>
        <x:v>7375.63</x:v>
      </x:c>
      <x:c r="Q1005" s="70" t="str">
        <x:f aca="0">IF(ABS(O1005-P1005)&lt;0.000001,"PASS","FAIL")</x:f>
        <x:v>PASS</x:v>
      </x:c>
      <x:c r="R1005" s="70" t="s">
        <x:v>33</x:v>
      </x:c>
      <x:c r="S1005" s="70"/>
    </x:row>
    <x:row r="1006" ht="15" hidden="0">
      <x:c r="A1006" s="70" t="s">
        <x:v>1906</x:v>
      </x:c>
      <x:c r="B1006" s="70" t="s">
        <x:v>36</x:v>
      </x:c>
      <x:c r="C1006" s="70" t="s">
        <x:v>102</x:v>
      </x:c>
      <x:c r="D1006" s="70" t="s">
        <x:v>1009</x:v>
      </x:c>
      <x:c r="E1006" s="70" t="s">
        <x:v>855</x:v>
      </x:c>
      <x:c r="F1006" s="70" t="s">
        <x:v>1902</x:v>
      </x:c>
      <x:c r="G1006" s="70" t="s">
        <x:v>1748</x:v>
      </x:c>
      <x:c r="H1006" s="70" t="s">
        <x:v>842</x:v>
      </x:c>
      <x:c r="I1006" s="70" t="s">
        <x:v>833</x:v>
      </x:c>
      <x:c r="J1006" s="70" t="n">
        <x:v>180</x:v>
      </x:c>
      <x:c r="K1006" s="70" t="s">
        <x:v>1907</x:v>
      </x:c>
      <x:c r="L1006" s="70"/>
      <x:c r="M1006" s="70" t="s">
        <x:v>39</x:v>
      </x:c>
      <x:c r="N1006" s="71" t="n">
        <x:v>3871207</x:v>
      </x:c>
      <x:c r="O1006" s="72" t="n">
        <x:f aca="0">N1006/1000</x:f>
        <x:v>3871.207</x:v>
      </x:c>
      <x:c r="P1006" s="73" t="n">
        <x:f aca="0">DGKC!E51</x:f>
        <x:v>3871.207</x:v>
      </x:c>
      <x:c r="Q1006" s="70" t="str">
        <x:f aca="0">IF(ABS(O1006-P1006)&lt;0.000001,"PASS","FAIL")</x:f>
        <x:v>PASS</x:v>
      </x:c>
      <x:c r="R1006" s="70" t="s">
        <x:v>33</x:v>
      </x:c>
      <x:c r="S1006" s="70"/>
    </x:row>
    <x:row r="1007" ht="15" hidden="0">
      <x:c r="A1007" s="70" t="s">
        <x:v>1908</x:v>
      </x:c>
      <x:c r="B1007" s="70" t="s">
        <x:v>36</x:v>
      </x:c>
      <x:c r="C1007" s="70" t="s">
        <x:v>103</x:v>
      </x:c>
      <x:c r="D1007" s="70" t="s">
        <x:v>1009</x:v>
      </x:c>
      <x:c r="E1007" s="70" t="s">
        <x:v>855</x:v>
      </x:c>
      <x:c r="F1007" s="70" t="s">
        <x:v>1902</x:v>
      </x:c>
      <x:c r="G1007" s="70" t="s">
        <x:v>1751</x:v>
      </x:c>
      <x:c r="H1007" s="70" t="s">
        <x:v>845</x:v>
      </x:c>
      <x:c r="I1007" s="70" t="s">
        <x:v>833</x:v>
      </x:c>
      <x:c r="J1007" s="70" t="n">
        <x:v>182</x:v>
      </x:c>
      <x:c r="K1007" s="70" t="s">
        <x:v>1909</x:v>
      </x:c>
      <x:c r="L1007" s="70"/>
      <x:c r="M1007" s="70" t="s">
        <x:v>39</x:v>
      </x:c>
      <x:c r="N1007" s="71" t="n">
        <x:v>6530049</x:v>
      </x:c>
      <x:c r="O1007" s="72" t="n">
        <x:f aca="0">N1007/1000</x:f>
        <x:v>6530.049</x:v>
      </x:c>
      <x:c r="P1007" s="73" t="n">
        <x:f aca="0">DGKC!F51</x:f>
        <x:v>6530.049</x:v>
      </x:c>
      <x:c r="Q1007" s="70" t="str">
        <x:f aca="0">IF(ABS(O1007-P1007)&lt;0.000001,"PASS","FAIL")</x:f>
        <x:v>PASS</x:v>
      </x:c>
      <x:c r="R1007" s="70" t="s">
        <x:v>33</x:v>
      </x:c>
      <x:c r="S1007" s="70"/>
    </x:row>
    <x:row r="1008" ht="15" hidden="0">
      <x:c r="A1008" s="70" t="s">
        <x:v>1910</x:v>
      </x:c>
      <x:c r="B1008" s="70" t="s">
        <x:v>36</x:v>
      </x:c>
      <x:c r="C1008" s="70" t="s">
        <x:v>104</x:v>
      </x:c>
      <x:c r="D1008" s="70" t="s">
        <x:v>1009</x:v>
      </x:c>
      <x:c r="E1008" s="70" t="s">
        <x:v>855</x:v>
      </x:c>
      <x:c r="F1008" s="70" t="s">
        <x:v>1902</x:v>
      </x:c>
      <x:c r="G1008" s="70" t="s">
        <x:v>1753</x:v>
      </x:c>
      <x:c r="H1008" s="70" t="s">
        <x:v>849</x:v>
      </x:c>
      <x:c r="I1008" s="70" t="s">
        <x:v>833</x:v>
      </x:c>
      <x:c r="J1008" s="70" t="n">
        <x:v>183</x:v>
      </x:c>
      <x:c r="K1008" s="70" t="s">
        <x:v>1911</x:v>
      </x:c>
      <x:c r="L1008" s="70"/>
      <x:c r="M1008" s="70" t="s">
        <x:v>39</x:v>
      </x:c>
      <x:c r="N1008" s="71" t="n">
        <x:v>5046744</x:v>
      </x:c>
      <x:c r="O1008" s="72" t="n">
        <x:f aca="0">N1008/1000</x:f>
        <x:v>5046.744</x:v>
      </x:c>
      <x:c r="P1008" s="73" t="n">
        <x:f aca="0">DGKC!G51</x:f>
        <x:v>5046.744</x:v>
      </x:c>
      <x:c r="Q1008" s="70" t="str">
        <x:f aca="0">IF(ABS(O1008-P1008)&lt;0.000001,"PASS","FAIL")</x:f>
        <x:v>PASS</x:v>
      </x:c>
      <x:c r="R1008" s="70" t="s">
        <x:v>33</x:v>
      </x:c>
      <x:c r="S1008" s="70"/>
    </x:row>
    <x:row r="1009" ht="15" hidden="0">
      <x:c r="A1009" s="70" t="s">
        <x:v>1912</x:v>
      </x:c>
      <x:c r="B1009" s="70" t="s">
        <x:v>36</x:v>
      </x:c>
      <x:c r="C1009" s="70" t="s">
        <x:v>105</x:v>
      </x:c>
      <x:c r="D1009" s="70" t="s">
        <x:v>1009</x:v>
      </x:c>
      <x:c r="E1009" s="70" t="s">
        <x:v>855</x:v>
      </x:c>
      <x:c r="F1009" s="70" t="s">
        <x:v>1902</x:v>
      </x:c>
      <x:c r="G1009" s="70" t="s">
        <x:v>1753</x:v>
      </x:c>
      <x:c r="H1009" s="70" t="s">
        <x:v>849</x:v>
      </x:c>
      <x:c r="I1009" s="70" t="s">
        <x:v>852</x:v>
      </x:c>
      <x:c r="J1009" s="70" t="n">
        <x:v>183</x:v>
      </x:c>
      <x:c r="K1009" s="70" t="s">
        <x:v>1911</x:v>
      </x:c>
      <x:c r="L1009" s="70"/>
      <x:c r="M1009" s="70" t="s">
        <x:v>39</x:v>
      </x:c>
      <x:c r="N1009" s="71" t="n">
        <x:v>3900142</x:v>
      </x:c>
      <x:c r="O1009" s="72" t="n">
        <x:f aca="0">N1009/1000</x:f>
        <x:v>3900.142</x:v>
      </x:c>
      <x:c r="P1009" s="73" t="n">
        <x:f aca="0">DGKC!H51</x:f>
        <x:v>3900.142</x:v>
      </x:c>
      <x:c r="Q1009" s="70" t="str">
        <x:f aca="0">IF(ABS(O1009-P1009)&lt;0.000001,"PASS","FAIL")</x:f>
        <x:v>PASS</x:v>
      </x:c>
      <x:c r="R1009" s="70" t="s">
        <x:v>33</x:v>
      </x:c>
      <x:c r="S1009" s="70"/>
    </x:row>
    <x:row r="1010" ht="15" hidden="0">
      <x:c r="A1010" s="70" t="s">
        <x:v>1913</x:v>
      </x:c>
      <x:c r="B1010" s="70" t="s">
        <x:v>36</x:v>
      </x:c>
      <x:c r="C1010" s="70" t="s">
        <x:v>717</x:v>
      </x:c>
      <x:c r="D1010" s="70" t="s">
        <x:v>170</x:v>
      </x:c>
      <x:c r="E1010" s="70" t="s">
        <x:v>763</x:v>
      </x:c>
      <x:c r="F1010" s="70"/>
      <x:c r="G1010" s="70" t="s">
        <x:v>1742</x:v>
      </x:c>
      <x:c r="H1010" s="70" t="s">
        <x:v>832</x:v>
      </x:c>
      <x:c r="I1010" s="70" t="s">
        <x:v>833</x:v>
      </x:c>
      <x:c r="J1010" s="70" t="n">
        <x:v>105</x:v>
      </x:c>
      <x:c r="K1010" s="70" t="s">
        <x:v>1768</x:v>
      </x:c>
      <x:c r="L1010" s="70"/>
      <x:c r="M1010" s="70" t="s">
        <x:v>39</x:v>
      </x:c>
      <x:c r="N1010" s="71" t="n">
        <x:v>0</x:v>
      </x:c>
      <x:c r="O1010" s="72" t="n">
        <x:f aca="0">N1010/1000</x:f>
        <x:v>0</x:v>
      </x:c>
      <x:c r="P1010" s="73" t="n">
        <x:f aca="0">DGKC!C52</x:f>
        <x:v>0</x:v>
      </x:c>
      <x:c r="Q1010" s="70" t="str">
        <x:f aca="0">IF(ABS(O1010-P1010)&lt;0.000001,"PASS","FAIL")</x:f>
        <x:v>PASS</x:v>
      </x:c>
      <x:c r="R1010" s="70" t="s">
        <x:v>33</x:v>
      </x:c>
      <x:c r="S1010" s="70"/>
    </x:row>
    <x:row r="1011" ht="15" hidden="0">
      <x:c r="A1011" s="70" t="s">
        <x:v>1914</x:v>
      </x:c>
      <x:c r="B1011" s="70" t="s">
        <x:v>36</x:v>
      </x:c>
      <x:c r="C1011" s="70" t="s">
        <x:v>101</x:v>
      </x:c>
      <x:c r="D1011" s="70" t="s">
        <x:v>170</x:v>
      </x:c>
      <x:c r="E1011" s="70" t="s">
        <x:v>763</x:v>
      </x:c>
      <x:c r="F1011" s="70"/>
      <x:c r="G1011" s="70" t="s">
        <x:v>1745</x:v>
      </x:c>
      <x:c r="H1011" s="70" t="s">
        <x:v>838</x:v>
      </x:c>
      <x:c r="I1011" s="70" t="s">
        <x:v>833</x:v>
      </x:c>
      <x:c r="J1011" s="70" t="n">
        <x:v>125</x:v>
      </x:c>
      <x:c r="K1011" s="70" t="s">
        <x:v>1770</x:v>
      </x:c>
      <x:c r="L1011" s="70"/>
      <x:c r="M1011" s="70" t="s">
        <x:v>39</x:v>
      </x:c>
      <x:c r="N1011" s="71" t="n">
        <x:v>0</x:v>
      </x:c>
      <x:c r="O1011" s="72" t="n">
        <x:f aca="0">N1011/1000</x:f>
        <x:v>0</x:v>
      </x:c>
      <x:c r="P1011" s="73" t="n">
        <x:f aca="0">DGKC!D52</x:f>
        <x:v>0</x:v>
      </x:c>
      <x:c r="Q1011" s="70" t="str">
        <x:f aca="0">IF(ABS(O1011-P1011)&lt;0.000001,"PASS","FAIL")</x:f>
        <x:v>PASS</x:v>
      </x:c>
      <x:c r="R1011" s="70" t="s">
        <x:v>33</x:v>
      </x:c>
      <x:c r="S1011" s="70"/>
    </x:row>
    <x:row r="1012" ht="15" hidden="0">
      <x:c r="A1012" s="70" t="s">
        <x:v>1915</x:v>
      </x:c>
      <x:c r="B1012" s="70" t="s">
        <x:v>36</x:v>
      </x:c>
      <x:c r="C1012" s="70" t="s">
        <x:v>102</x:v>
      </x:c>
      <x:c r="D1012" s="70" t="s">
        <x:v>170</x:v>
      </x:c>
      <x:c r="E1012" s="70" t="s">
        <x:v>763</x:v>
      </x:c>
      <x:c r="F1012" s="70"/>
      <x:c r="G1012" s="70" t="s">
        <x:v>1748</x:v>
      </x:c>
      <x:c r="H1012" s="70" t="s">
        <x:v>842</x:v>
      </x:c>
      <x:c r="I1012" s="70" t="s">
        <x:v>833</x:v>
      </x:c>
      <x:c r="J1012" s="70" t="n">
        <x:v>151</x:v>
      </x:c>
      <x:c r="K1012" s="70" t="s">
        <x:v>1772</x:v>
      </x:c>
      <x:c r="L1012" s="70"/>
      <x:c r="M1012" s="70" t="s">
        <x:v>39</x:v>
      </x:c>
      <x:c r="N1012" s="71" t="n">
        <x:v>0</x:v>
      </x:c>
      <x:c r="O1012" s="72" t="n">
        <x:f aca="0">N1012/1000</x:f>
        <x:v>0</x:v>
      </x:c>
      <x:c r="P1012" s="73" t="n">
        <x:f aca="0">DGKC!E52</x:f>
        <x:v>0</x:v>
      </x:c>
      <x:c r="Q1012" s="70" t="str">
        <x:f aca="0">IF(ABS(O1012-P1012)&lt;0.000001,"PASS","FAIL")</x:f>
        <x:v>PASS</x:v>
      </x:c>
      <x:c r="R1012" s="70" t="s">
        <x:v>33</x:v>
      </x:c>
      <x:c r="S1012" s="70"/>
    </x:row>
    <x:row r="1013" ht="15" hidden="0">
      <x:c r="A1013" s="70" t="s">
        <x:v>1916</x:v>
      </x:c>
      <x:c r="B1013" s="70" t="s">
        <x:v>36</x:v>
      </x:c>
      <x:c r="C1013" s="70" t="s">
        <x:v>103</x:v>
      </x:c>
      <x:c r="D1013" s="70" t="s">
        <x:v>170</x:v>
      </x:c>
      <x:c r="E1013" s="70" t="s">
        <x:v>763</x:v>
      </x:c>
      <x:c r="F1013" s="70"/>
      <x:c r="G1013" s="70" t="s">
        <x:v>1751</x:v>
      </x:c>
      <x:c r="H1013" s="70" t="s">
        <x:v>845</x:v>
      </x:c>
      <x:c r="I1013" s="70" t="s">
        <x:v>833</x:v>
      </x:c>
      <x:c r="J1013" s="70" t="n">
        <x:v>151</x:v>
      </x:c>
      <x:c r="K1013" s="70" t="s">
        <x:v>1772</x:v>
      </x:c>
      <x:c r="L1013" s="70"/>
      <x:c r="M1013" s="70" t="s">
        <x:v>39</x:v>
      </x:c>
      <x:c r="N1013" s="71" t="n">
        <x:v>0</x:v>
      </x:c>
      <x:c r="O1013" s="72" t="n">
        <x:f aca="0">N1013/1000</x:f>
        <x:v>0</x:v>
      </x:c>
      <x:c r="P1013" s="73" t="n">
        <x:f aca="0">DGKC!F52</x:f>
        <x:v>0</x:v>
      </x:c>
      <x:c r="Q1013" s="70" t="str">
        <x:f aca="0">IF(ABS(O1013-P1013)&lt;0.000001,"PASS","FAIL")</x:f>
        <x:v>PASS</x:v>
      </x:c>
      <x:c r="R1013" s="70" t="s">
        <x:v>33</x:v>
      </x:c>
      <x:c r="S1013" s="70"/>
    </x:row>
    <x:row r="1014" ht="15" hidden="0">
      <x:c r="A1014" s="70" t="s">
        <x:v>1917</x:v>
      </x:c>
      <x:c r="B1014" s="70" t="s">
        <x:v>36</x:v>
      </x:c>
      <x:c r="C1014" s="70" t="s">
        <x:v>104</x:v>
      </x:c>
      <x:c r="D1014" s="70" t="s">
        <x:v>170</x:v>
      </x:c>
      <x:c r="E1014" s="70" t="s">
        <x:v>763</x:v>
      </x:c>
      <x:c r="F1014" s="70"/>
      <x:c r="G1014" s="70" t="s">
        <x:v>1753</x:v>
      </x:c>
      <x:c r="H1014" s="70" t="s">
        <x:v>849</x:v>
      </x:c>
      <x:c r="I1014" s="70" t="s">
        <x:v>833</x:v>
      </x:c>
      <x:c r="J1014" s="70" t="n">
        <x:v>153</x:v>
      </x:c>
      <x:c r="K1014" s="70" t="s">
        <x:v>1775</x:v>
      </x:c>
      <x:c r="L1014" s="70"/>
      <x:c r="M1014" s="70" t="s">
        <x:v>39</x:v>
      </x:c>
      <x:c r="N1014" s="71" t="n">
        <x:v>0</x:v>
      </x:c>
      <x:c r="O1014" s="72" t="n">
        <x:f aca="0">N1014/1000</x:f>
        <x:v>0</x:v>
      </x:c>
      <x:c r="P1014" s="73" t="n">
        <x:f aca="0">DGKC!G52</x:f>
        <x:v>0</x:v>
      </x:c>
      <x:c r="Q1014" s="70" t="str">
        <x:f aca="0">IF(ABS(O1014-P1014)&lt;0.000001,"PASS","FAIL")</x:f>
        <x:v>PASS</x:v>
      </x:c>
      <x:c r="R1014" s="70" t="s">
        <x:v>33</x:v>
      </x:c>
      <x:c r="S1014" s="70"/>
    </x:row>
    <x:row r="1015" ht="15" hidden="0">
      <x:c r="A1015" s="70" t="s">
        <x:v>1918</x:v>
      </x:c>
      <x:c r="B1015" s="70" t="s">
        <x:v>36</x:v>
      </x:c>
      <x:c r="C1015" s="70" t="s">
        <x:v>105</x:v>
      </x:c>
      <x:c r="D1015" s="70" t="s">
        <x:v>170</x:v>
      </x:c>
      <x:c r="E1015" s="70" t="s">
        <x:v>763</x:v>
      </x:c>
      <x:c r="F1015" s="70"/>
      <x:c r="G1015" s="70" t="s">
        <x:v>1753</x:v>
      </x:c>
      <x:c r="H1015" s="70" t="s">
        <x:v>849</x:v>
      </x:c>
      <x:c r="I1015" s="70" t="s">
        <x:v>852</x:v>
      </x:c>
      <x:c r="J1015" s="70" t="n">
        <x:v>153</x:v>
      </x:c>
      <x:c r="K1015" s="70" t="s">
        <x:v>1775</x:v>
      </x:c>
      <x:c r="L1015" s="70"/>
      <x:c r="M1015" s="70" t="s">
        <x:v>39</x:v>
      </x:c>
      <x:c r="N1015" s="71" t="n">
        <x:v>0</x:v>
      </x:c>
      <x:c r="O1015" s="72" t="n">
        <x:f aca="0">N1015/1000</x:f>
        <x:v>0</x:v>
      </x:c>
      <x:c r="P1015" s="73" t="n">
        <x:f aca="0">DGKC!H52</x:f>
        <x:v>0</x:v>
      </x:c>
      <x:c r="Q1015" s="70" t="str">
        <x:f aca="0">IF(ABS(O1015-P1015)&lt;0.000001,"PASS","FAIL")</x:f>
        <x:v>PASS</x:v>
      </x:c>
      <x:c r="R1015" s="70" t="s">
        <x:v>33</x:v>
      </x:c>
      <x:c r="S1015" s="70"/>
    </x:row>
    <x:row r="1016" ht="15" hidden="0">
      <x:c r="A1016" s="70" t="s">
        <x:v>1919</x:v>
      </x:c>
      <x:c r="B1016" s="70" t="s">
        <x:v>36</x:v>
      </x:c>
      <x:c r="C1016" s="70" t="s">
        <x:v>717</x:v>
      </x:c>
      <x:c r="D1016" s="70" t="s">
        <x:v>172</x:v>
      </x:c>
      <x:c r="E1016" s="70" t="s">
        <x:v>763</x:v>
      </x:c>
      <x:c r="F1016" s="70" t="s">
        <x:v>1471</x:v>
      </x:c>
      <x:c r="G1016" s="70" t="s">
        <x:v>1742</x:v>
      </x:c>
      <x:c r="H1016" s="70" t="s">
        <x:v>832</x:v>
      </x:c>
      <x:c r="I1016" s="70" t="s">
        <x:v>833</x:v>
      </x:c>
      <x:c r="J1016" s="70" t="n">
        <x:v>105</x:v>
      </x:c>
      <x:c r="K1016" s="70" t="s">
        <x:v>1768</x:v>
      </x:c>
      <x:c r="L1016" s="70" t="s">
        <x:v>850</x:v>
      </x:c>
      <x:c r="M1016" s="70" t="s">
        <x:v>39</x:v>
      </x:c>
      <x:c r="N1016" s="71" t="n">
        <x:v>712275</x:v>
      </x:c>
      <x:c r="O1016" s="72" t="n">
        <x:f aca="0">N1016/1000</x:f>
        <x:v>712.275</x:v>
      </x:c>
      <x:c r="P1016" s="73" t="n">
        <x:f aca="0">DGKC!C53</x:f>
        <x:v>712.275</x:v>
      </x:c>
      <x:c r="Q1016" s="70" t="str">
        <x:f aca="0">IF(ABS(O1016-P1016)&lt;0.000001,"PASS","FAIL")</x:f>
        <x:v>PASS</x:v>
      </x:c>
      <x:c r="R1016" s="70" t="s">
        <x:v>33</x:v>
      </x:c>
      <x:c r="S1016" s="70"/>
    </x:row>
    <x:row r="1017" ht="15" hidden="0">
      <x:c r="A1017" s="70" t="s">
        <x:v>1920</x:v>
      </x:c>
      <x:c r="B1017" s="70" t="s">
        <x:v>36</x:v>
      </x:c>
      <x:c r="C1017" s="70" t="s">
        <x:v>101</x:v>
      </x:c>
      <x:c r="D1017" s="70" t="s">
        <x:v>172</x:v>
      </x:c>
      <x:c r="E1017" s="70" t="s">
        <x:v>763</x:v>
      </x:c>
      <x:c r="F1017" s="70" t="s">
        <x:v>1471</x:v>
      </x:c>
      <x:c r="G1017" s="70" t="s">
        <x:v>1745</x:v>
      </x:c>
      <x:c r="H1017" s="70" t="s">
        <x:v>838</x:v>
      </x:c>
      <x:c r="I1017" s="70" t="s">
        <x:v>833</x:v>
      </x:c>
      <x:c r="J1017" s="70" t="n">
        <x:v>125</x:v>
      </x:c>
      <x:c r="K1017" s="70" t="s">
        <x:v>1770</x:v>
      </x:c>
      <x:c r="L1017" s="70" t="s">
        <x:v>846</x:v>
      </x:c>
      <x:c r="M1017" s="70" t="s">
        <x:v>39</x:v>
      </x:c>
      <x:c r="N1017" s="71" t="n">
        <x:v>507769</x:v>
      </x:c>
      <x:c r="O1017" s="72" t="n">
        <x:f aca="0">N1017/1000</x:f>
        <x:v>507.769</x:v>
      </x:c>
      <x:c r="P1017" s="73" t="n">
        <x:f aca="0">DGKC!D53</x:f>
        <x:v>507.769</x:v>
      </x:c>
      <x:c r="Q1017" s="70" t="str">
        <x:f aca="0">IF(ABS(O1017-P1017)&lt;0.000001,"PASS","FAIL")</x:f>
        <x:v>PASS</x:v>
      </x:c>
      <x:c r="R1017" s="70" t="s">
        <x:v>33</x:v>
      </x:c>
      <x:c r="S1017" s="70"/>
    </x:row>
    <x:row r="1018" ht="15" hidden="0">
      <x:c r="A1018" s="70" t="s">
        <x:v>1921</x:v>
      </x:c>
      <x:c r="B1018" s="70" t="s">
        <x:v>36</x:v>
      </x:c>
      <x:c r="C1018" s="70" t="s">
        <x:v>102</x:v>
      </x:c>
      <x:c r="D1018" s="70" t="s">
        <x:v>172</x:v>
      </x:c>
      <x:c r="E1018" s="70" t="s">
        <x:v>763</x:v>
      </x:c>
      <x:c r="F1018" s="70" t="s">
        <x:v>1471</x:v>
      </x:c>
      <x:c r="G1018" s="70" t="s">
        <x:v>1748</x:v>
      </x:c>
      <x:c r="H1018" s="70" t="s">
        <x:v>842</x:v>
      </x:c>
      <x:c r="I1018" s="70" t="s">
        <x:v>833</x:v>
      </x:c>
      <x:c r="J1018" s="70" t="n">
        <x:v>151</x:v>
      </x:c>
      <x:c r="K1018" s="70" t="s">
        <x:v>1772</x:v>
      </x:c>
      <x:c r="L1018" s="70" t="s">
        <x:v>846</x:v>
      </x:c>
      <x:c r="M1018" s="70" t="s">
        <x:v>39</x:v>
      </x:c>
      <x:c r="N1018" s="71" t="n">
        <x:v>883229</x:v>
      </x:c>
      <x:c r="O1018" s="72" t="n">
        <x:f aca="0">N1018/1000</x:f>
        <x:v>883.229</x:v>
      </x:c>
      <x:c r="P1018" s="73" t="n">
        <x:f aca="0">DGKC!E53</x:f>
        <x:v>883.229</x:v>
      </x:c>
      <x:c r="Q1018" s="70" t="str">
        <x:f aca="0">IF(ABS(O1018-P1018)&lt;0.000001,"PASS","FAIL")</x:f>
        <x:v>PASS</x:v>
      </x:c>
      <x:c r="R1018" s="70" t="s">
        <x:v>33</x:v>
      </x:c>
      <x:c r="S1018" s="70"/>
    </x:row>
    <x:row r="1019" ht="15" hidden="0">
      <x:c r="A1019" s="70" t="s">
        <x:v>1922</x:v>
      </x:c>
      <x:c r="B1019" s="70" t="s">
        <x:v>36</x:v>
      </x:c>
      <x:c r="C1019" s="70" t="s">
        <x:v>103</x:v>
      </x:c>
      <x:c r="D1019" s="70" t="s">
        <x:v>172</x:v>
      </x:c>
      <x:c r="E1019" s="70" t="s">
        <x:v>763</x:v>
      </x:c>
      <x:c r="F1019" s="70" t="s">
        <x:v>737</x:v>
      </x:c>
      <x:c r="G1019" s="70" t="s">
        <x:v>1751</x:v>
      </x:c>
      <x:c r="H1019" s="70" t="s">
        <x:v>845</x:v>
      </x:c>
      <x:c r="I1019" s="70" t="s">
        <x:v>833</x:v>
      </x:c>
      <x:c r="J1019" s="70" t="n">
        <x:v>151</x:v>
      </x:c>
      <x:c r="K1019" s="70" t="s">
        <x:v>1772</x:v>
      </x:c>
      <x:c r="L1019" s="70" t="s">
        <x:v>846</x:v>
      </x:c>
      <x:c r="M1019" s="70" t="s">
        <x:v>39</x:v>
      </x:c>
      <x:c r="N1019" s="71" t="n">
        <x:v>1739547</x:v>
      </x:c>
      <x:c r="O1019" s="72" t="n">
        <x:f aca="0">N1019/1000</x:f>
        <x:v>1739.547</x:v>
      </x:c>
      <x:c r="P1019" s="73" t="n">
        <x:f aca="0">DGKC!F53</x:f>
        <x:v>1739.547</x:v>
      </x:c>
      <x:c r="Q1019" s="70" t="str">
        <x:f aca="0">IF(ABS(O1019-P1019)&lt;0.000001,"PASS","FAIL")</x:f>
        <x:v>PASS</x:v>
      </x:c>
      <x:c r="R1019" s="70" t="s">
        <x:v>33</x:v>
      </x:c>
      <x:c r="S1019" s="70"/>
    </x:row>
    <x:row r="1020" ht="15" hidden="0">
      <x:c r="A1020" s="70" t="s">
        <x:v>1923</x:v>
      </x:c>
      <x:c r="B1020" s="70" t="s">
        <x:v>36</x:v>
      </x:c>
      <x:c r="C1020" s="70" t="s">
        <x:v>104</x:v>
      </x:c>
      <x:c r="D1020" s="70" t="s">
        <x:v>172</x:v>
      </x:c>
      <x:c r="E1020" s="70" t="s">
        <x:v>763</x:v>
      </x:c>
      <x:c r="F1020" s="70" t="s">
        <x:v>737</x:v>
      </x:c>
      <x:c r="G1020" s="70" t="s">
        <x:v>1753</x:v>
      </x:c>
      <x:c r="H1020" s="70" t="s">
        <x:v>849</x:v>
      </x:c>
      <x:c r="I1020" s="70" t="s">
        <x:v>833</x:v>
      </x:c>
      <x:c r="J1020" s="70" t="n">
        <x:v>153</x:v>
      </x:c>
      <x:c r="K1020" s="70" t="s">
        <x:v>1775</x:v>
      </x:c>
      <x:c r="L1020" s="70" t="s">
        <x:v>846</x:v>
      </x:c>
      <x:c r="M1020" s="70" t="s">
        <x:v>39</x:v>
      </x:c>
      <x:c r="N1020" s="71" t="n">
        <x:v>1280446</x:v>
      </x:c>
      <x:c r="O1020" s="72" t="n">
        <x:f aca="0">N1020/1000</x:f>
        <x:v>1280.446</x:v>
      </x:c>
      <x:c r="P1020" s="73" t="n">
        <x:f aca="0">DGKC!G53</x:f>
        <x:v>1280.446</x:v>
      </x:c>
      <x:c r="Q1020" s="70" t="str">
        <x:f aca="0">IF(ABS(O1020-P1020)&lt;0.000001,"PASS","FAIL")</x:f>
        <x:v>PASS</x:v>
      </x:c>
      <x:c r="R1020" s="70" t="s">
        <x:v>33</x:v>
      </x:c>
      <x:c r="S1020" s="70"/>
    </x:row>
    <x:row r="1021" ht="15" hidden="0">
      <x:c r="A1021" s="70" t="s">
        <x:v>1924</x:v>
      </x:c>
      <x:c r="B1021" s="70" t="s">
        <x:v>36</x:v>
      </x:c>
      <x:c r="C1021" s="70" t="s">
        <x:v>105</x:v>
      </x:c>
      <x:c r="D1021" s="70" t="s">
        <x:v>172</x:v>
      </x:c>
      <x:c r="E1021" s="70" t="s">
        <x:v>763</x:v>
      </x:c>
      <x:c r="F1021" s="70" t="s">
        <x:v>737</x:v>
      </x:c>
      <x:c r="G1021" s="70" t="s">
        <x:v>1753</x:v>
      </x:c>
      <x:c r="H1021" s="70" t="s">
        <x:v>849</x:v>
      </x:c>
      <x:c r="I1021" s="70" t="s">
        <x:v>852</x:v>
      </x:c>
      <x:c r="J1021" s="70" t="n">
        <x:v>153</x:v>
      </x:c>
      <x:c r="K1021" s="70" t="s">
        <x:v>1775</x:v>
      </x:c>
      <x:c r="L1021" s="70" t="s">
        <x:v>846</x:v>
      </x:c>
      <x:c r="M1021" s="70" t="s">
        <x:v>39</x:v>
      </x:c>
      <x:c r="N1021" s="71" t="n">
        <x:v>229652</x:v>
      </x:c>
      <x:c r="O1021" s="72" t="n">
        <x:f aca="0">N1021/1000</x:f>
        <x:v>229.652</x:v>
      </x:c>
      <x:c r="P1021" s="73" t="n">
        <x:f aca="0">DGKC!H53</x:f>
        <x:v>229.652</x:v>
      </x:c>
      <x:c r="Q1021" s="70" t="str">
        <x:f aca="0">IF(ABS(O1021-P1021)&lt;0.000001,"PASS","FAIL")</x:f>
        <x:v>PASS</x:v>
      </x:c>
      <x:c r="R1021" s="70" t="s">
        <x:v>33</x:v>
      </x:c>
      <x:c r="S1021" s="70"/>
    </x:row>
    <x:row r="1022" ht="15" hidden="0">
      <x:c r="A1022" s="70" t="s">
        <x:v>1925</x:v>
      </x:c>
      <x:c r="B1022" s="70" t="s">
        <x:v>36</x:v>
      </x:c>
      <x:c r="C1022" s="70" t="s">
        <x:v>717</x:v>
      </x:c>
      <x:c r="D1022" s="70" t="s">
        <x:v>174</x:v>
      </x:c>
      <x:c r="E1022" s="70" t="s">
        <x:v>763</x:v>
      </x:c>
      <x:c r="F1022" s="70" t="s">
        <x:v>1035</x:v>
      </x:c>
      <x:c r="G1022" s="70" t="s">
        <x:v>1742</x:v>
      </x:c>
      <x:c r="H1022" s="70" t="s">
        <x:v>832</x:v>
      </x:c>
      <x:c r="I1022" s="70" t="s">
        <x:v>833</x:v>
      </x:c>
      <x:c r="J1022" s="70" t="n">
        <x:v>105</x:v>
      </x:c>
      <x:c r="K1022" s="70" t="s">
        <x:v>1768</x:v>
      </x:c>
      <x:c r="L1022" s="70" t="s">
        <x:v>846</x:v>
      </x:c>
      <x:c r="M1022" s="70" t="s">
        <x:v>39</x:v>
      </x:c>
      <x:c r="N1022" s="71" t="n">
        <x:v>23495967</x:v>
      </x:c>
      <x:c r="O1022" s="72" t="n">
        <x:f aca="0">N1022/1000</x:f>
        <x:v>23495.967</x:v>
      </x:c>
      <x:c r="P1022" s="73" t="n">
        <x:f aca="0">DGKC!C54</x:f>
        <x:v>23495.967</x:v>
      </x:c>
      <x:c r="Q1022" s="70" t="str">
        <x:f aca="0">IF(ABS(O1022-P1022)&lt;0.000001,"PASS","FAIL")</x:f>
        <x:v>PASS</x:v>
      </x:c>
      <x:c r="R1022" s="70" t="s">
        <x:v>33</x:v>
      </x:c>
      <x:c r="S1022" s="70"/>
    </x:row>
    <x:row r="1023" ht="15" hidden="0">
      <x:c r="A1023" s="70" t="s">
        <x:v>1926</x:v>
      </x:c>
      <x:c r="B1023" s="70" t="s">
        <x:v>36</x:v>
      </x:c>
      <x:c r="C1023" s="70" t="s">
        <x:v>101</x:v>
      </x:c>
      <x:c r="D1023" s="70" t="s">
        <x:v>174</x:v>
      </x:c>
      <x:c r="E1023" s="70" t="s">
        <x:v>763</x:v>
      </x:c>
      <x:c r="F1023" s="70" t="s">
        <x:v>1927</x:v>
      </x:c>
      <x:c r="G1023" s="70" t="s">
        <x:v>1745</x:v>
      </x:c>
      <x:c r="H1023" s="70" t="s">
        <x:v>838</x:v>
      </x:c>
      <x:c r="I1023" s="70" t="s">
        <x:v>833</x:v>
      </x:c>
      <x:c r="J1023" s="70" t="n">
        <x:v>125</x:v>
      </x:c>
      <x:c r="K1023" s="70" t="s">
        <x:v>1770</x:v>
      </x:c>
      <x:c r="L1023" s="70" t="s">
        <x:v>850</x:v>
      </x:c>
      <x:c r="M1023" s="70" t="s">
        <x:v>39</x:v>
      </x:c>
      <x:c r="N1023" s="71" t="n">
        <x:v>18362050</x:v>
      </x:c>
      <x:c r="O1023" s="72" t="n">
        <x:f aca="0">N1023/1000</x:f>
        <x:v>18362.05</x:v>
      </x:c>
      <x:c r="P1023" s="73" t="n">
        <x:f aca="0">DGKC!D54</x:f>
        <x:v>18362.05</x:v>
      </x:c>
      <x:c r="Q1023" s="70" t="str">
        <x:f aca="0">IF(ABS(O1023-P1023)&lt;0.000001,"PASS","FAIL")</x:f>
        <x:v>PASS</x:v>
      </x:c>
      <x:c r="R1023" s="70" t="s">
        <x:v>33</x:v>
      </x:c>
      <x:c r="S1023" s="70"/>
    </x:row>
    <x:row r="1024" ht="15" hidden="0">
      <x:c r="A1024" s="70" t="s">
        <x:v>1928</x:v>
      </x:c>
      <x:c r="B1024" s="70" t="s">
        <x:v>36</x:v>
      </x:c>
      <x:c r="C1024" s="70" t="s">
        <x:v>102</x:v>
      </x:c>
      <x:c r="D1024" s="70" t="s">
        <x:v>174</x:v>
      </x:c>
      <x:c r="E1024" s="70" t="s">
        <x:v>763</x:v>
      </x:c>
      <x:c r="F1024" s="70" t="s">
        <x:v>1927</x:v>
      </x:c>
      <x:c r="G1024" s="70" t="s">
        <x:v>1748</x:v>
      </x:c>
      <x:c r="H1024" s="70" t="s">
        <x:v>842</x:v>
      </x:c>
      <x:c r="I1024" s="70" t="s">
        <x:v>833</x:v>
      </x:c>
      <x:c r="J1024" s="70" t="n">
        <x:v>151</x:v>
      </x:c>
      <x:c r="K1024" s="70" t="s">
        <x:v>1772</x:v>
      </x:c>
      <x:c r="L1024" s="70" t="s">
        <x:v>850</x:v>
      </x:c>
      <x:c r="M1024" s="70" t="s">
        <x:v>39</x:v>
      </x:c>
      <x:c r="N1024" s="71" t="n">
        <x:v>25210506</x:v>
      </x:c>
      <x:c r="O1024" s="72" t="n">
        <x:f aca="0">N1024/1000</x:f>
        <x:v>25210.506</x:v>
      </x:c>
      <x:c r="P1024" s="73" t="n">
        <x:f aca="0">DGKC!E54</x:f>
        <x:v>25210.506</x:v>
      </x:c>
      <x:c r="Q1024" s="70" t="str">
        <x:f aca="0">IF(ABS(O1024-P1024)&lt;0.000001,"PASS","FAIL")</x:f>
        <x:v>PASS</x:v>
      </x:c>
      <x:c r="R1024" s="70" t="s">
        <x:v>33</x:v>
      </x:c>
      <x:c r="S1024" s="70"/>
    </x:row>
    <x:row r="1025" ht="15" hidden="0">
      <x:c r="A1025" s="70" t="s">
        <x:v>1929</x:v>
      </x:c>
      <x:c r="B1025" s="70" t="s">
        <x:v>36</x:v>
      </x:c>
      <x:c r="C1025" s="70" t="s">
        <x:v>103</x:v>
      </x:c>
      <x:c r="D1025" s="70" t="s">
        <x:v>174</x:v>
      </x:c>
      <x:c r="E1025" s="70" t="s">
        <x:v>763</x:v>
      </x:c>
      <x:c r="F1025" s="70" t="s">
        <x:v>1927</x:v>
      </x:c>
      <x:c r="G1025" s="70" t="s">
        <x:v>1751</x:v>
      </x:c>
      <x:c r="H1025" s="70" t="s">
        <x:v>845</x:v>
      </x:c>
      <x:c r="I1025" s="70" t="s">
        <x:v>833</x:v>
      </x:c>
      <x:c r="J1025" s="70" t="n">
        <x:v>151</x:v>
      </x:c>
      <x:c r="K1025" s="70" t="s">
        <x:v>1772</x:v>
      </x:c>
      <x:c r="L1025" s="70" t="s">
        <x:v>850</x:v>
      </x:c>
      <x:c r="M1025" s="70" t="s">
        <x:v>39</x:v>
      </x:c>
      <x:c r="N1025" s="71" t="n">
        <x:v>25494293</x:v>
      </x:c>
      <x:c r="O1025" s="72" t="n">
        <x:f aca="0">N1025/1000</x:f>
        <x:v>25494.293</x:v>
      </x:c>
      <x:c r="P1025" s="73" t="n">
        <x:f aca="0">DGKC!F54</x:f>
        <x:v>25494.293</x:v>
      </x:c>
      <x:c r="Q1025" s="70" t="str">
        <x:f aca="0">IF(ABS(O1025-P1025)&lt;0.000001,"PASS","FAIL")</x:f>
        <x:v>PASS</x:v>
      </x:c>
      <x:c r="R1025" s="70" t="s">
        <x:v>33</x:v>
      </x:c>
      <x:c r="S1025" s="70"/>
    </x:row>
    <x:row r="1026" ht="15" hidden="0">
      <x:c r="A1026" s="70" t="s">
        <x:v>1930</x:v>
      </x:c>
      <x:c r="B1026" s="70" t="s">
        <x:v>36</x:v>
      </x:c>
      <x:c r="C1026" s="70" t="s">
        <x:v>104</x:v>
      </x:c>
      <x:c r="D1026" s="70" t="s">
        <x:v>174</x:v>
      </x:c>
      <x:c r="E1026" s="70" t="s">
        <x:v>763</x:v>
      </x:c>
      <x:c r="F1026" s="70" t="s">
        <x:v>1927</x:v>
      </x:c>
      <x:c r="G1026" s="70" t="s">
        <x:v>1753</x:v>
      </x:c>
      <x:c r="H1026" s="70" t="s">
        <x:v>849</x:v>
      </x:c>
      <x:c r="I1026" s="70" t="s">
        <x:v>833</x:v>
      </x:c>
      <x:c r="J1026" s="70" t="n">
        <x:v>153</x:v>
      </x:c>
      <x:c r="K1026" s="70" t="s">
        <x:v>1775</x:v>
      </x:c>
      <x:c r="L1026" s="70" t="s">
        <x:v>850</x:v>
      </x:c>
      <x:c r="M1026" s="70" t="s">
        <x:v>39</x:v>
      </x:c>
      <x:c r="N1026" s="71" t="n">
        <x:v>13064718</x:v>
      </x:c>
      <x:c r="O1026" s="72" t="n">
        <x:f aca="0">N1026/1000</x:f>
        <x:v>13064.718</x:v>
      </x:c>
      <x:c r="P1026" s="73" t="n">
        <x:f aca="0">DGKC!G54</x:f>
        <x:v>13064.718</x:v>
      </x:c>
      <x:c r="Q1026" s="70" t="str">
        <x:f aca="0">IF(ABS(O1026-P1026)&lt;0.000001,"PASS","FAIL")</x:f>
        <x:v>PASS</x:v>
      </x:c>
      <x:c r="R1026" s="70" t="s">
        <x:v>33</x:v>
      </x:c>
      <x:c r="S1026" s="70"/>
    </x:row>
    <x:row r="1027" ht="15" hidden="0">
      <x:c r="A1027" s="70" t="s">
        <x:v>1931</x:v>
      </x:c>
      <x:c r="B1027" s="70" t="s">
        <x:v>36</x:v>
      </x:c>
      <x:c r="C1027" s="70" t="s">
        <x:v>105</x:v>
      </x:c>
      <x:c r="D1027" s="70" t="s">
        <x:v>174</x:v>
      </x:c>
      <x:c r="E1027" s="70" t="s">
        <x:v>763</x:v>
      </x:c>
      <x:c r="F1027" s="70" t="s">
        <x:v>1927</x:v>
      </x:c>
      <x:c r="G1027" s="70" t="s">
        <x:v>1753</x:v>
      </x:c>
      <x:c r="H1027" s="70" t="s">
        <x:v>849</x:v>
      </x:c>
      <x:c r="I1027" s="70" t="s">
        <x:v>852</x:v>
      </x:c>
      <x:c r="J1027" s="70" t="n">
        <x:v>153</x:v>
      </x:c>
      <x:c r="K1027" s="70" t="s">
        <x:v>1775</x:v>
      </x:c>
      <x:c r="L1027" s="70" t="s">
        <x:v>850</x:v>
      </x:c>
      <x:c r="M1027" s="70" t="s">
        <x:v>39</x:v>
      </x:c>
      <x:c r="N1027" s="71" t="n">
        <x:v>9878499</x:v>
      </x:c>
      <x:c r="O1027" s="72" t="n">
        <x:f aca="0">N1027/1000</x:f>
        <x:v>9878.499</x:v>
      </x:c>
      <x:c r="P1027" s="73" t="n">
        <x:f aca="0">DGKC!H54</x:f>
        <x:v>9878.499</x:v>
      </x:c>
      <x:c r="Q1027" s="70" t="str">
        <x:f aca="0">IF(ABS(O1027-P1027)&lt;0.000001,"PASS","FAIL")</x:f>
        <x:v>PASS</x:v>
      </x:c>
      <x:c r="R1027" s="70" t="s">
        <x:v>33</x:v>
      </x:c>
      <x:c r="S1027" s="70"/>
    </x:row>
    <x:row r="1028" ht="15" hidden="0">
      <x:c r="A1028" s="70" t="s">
        <x:v>1932</x:v>
      </x:c>
      <x:c r="B1028" s="70" t="s">
        <x:v>36</x:v>
      </x:c>
      <x:c r="C1028" s="70" t="s">
        <x:v>717</x:v>
      </x:c>
      <x:c r="D1028" s="70" t="s">
        <x:v>176</x:v>
      </x:c>
      <x:c r="E1028" s="70" t="s">
        <x:v>763</x:v>
      </x:c>
      <x:c r="F1028" s="70" t="s">
        <x:v>1933</x:v>
      </x:c>
      <x:c r="G1028" s="70" t="s">
        <x:v>1742</x:v>
      </x:c>
      <x:c r="H1028" s="70" t="s">
        <x:v>832</x:v>
      </x:c>
      <x:c r="I1028" s="70" t="s">
        <x:v>833</x:v>
      </x:c>
      <x:c r="J1028" s="70" t="n">
        <x:v>125</x:v>
      </x:c>
      <x:c r="K1028" s="70" t="s">
        <x:v>1934</x:v>
      </x:c>
      <x:c r="L1028" s="70"/>
      <x:c r="M1028" s="70" t="s">
        <x:v>39</x:v>
      </x:c>
      <x:c r="N1028" s="71" t="n">
        <x:v>2010621</x:v>
      </x:c>
      <x:c r="O1028" s="72" t="n">
        <x:f aca="0">N1028/1000</x:f>
        <x:v>2010.621</x:v>
      </x:c>
      <x:c r="P1028" s="73" t="n">
        <x:f aca="0">DGKC!C55</x:f>
        <x:v>2010.621</x:v>
      </x:c>
      <x:c r="Q1028" s="70" t="str">
        <x:f aca="0">IF(ABS(O1028-P1028)&lt;0.000001,"PASS","FAIL")</x:f>
        <x:v>PASS</x:v>
      </x:c>
      <x:c r="R1028" s="70" t="s">
        <x:v>33</x:v>
      </x:c>
      <x:c r="S1028" s="70" t="s">
        <x:v>1935</x:v>
      </x:c>
    </x:row>
    <x:row r="1029" ht="15" hidden="0">
      <x:c r="A1029" s="70" t="s">
        <x:v>1936</x:v>
      </x:c>
      <x:c r="B1029" s="70" t="s">
        <x:v>36</x:v>
      </x:c>
      <x:c r="C1029" s="70" t="s">
        <x:v>101</x:v>
      </x:c>
      <x:c r="D1029" s="70" t="s">
        <x:v>176</x:v>
      </x:c>
      <x:c r="E1029" s="70" t="s">
        <x:v>763</x:v>
      </x:c>
      <x:c r="F1029" s="70" t="s">
        <x:v>1933</x:v>
      </x:c>
      <x:c r="G1029" s="70" t="s">
        <x:v>1745</x:v>
      </x:c>
      <x:c r="H1029" s="70" t="s">
        <x:v>838</x:v>
      </x:c>
      <x:c r="I1029" s="70" t="s">
        <x:v>833</x:v>
      </x:c>
      <x:c r="J1029" s="70" t="n">
        <x:v>144</x:v>
      </x:c>
      <x:c r="K1029" s="70" t="s">
        <x:v>1937</x:v>
      </x:c>
      <x:c r="L1029" s="70"/>
      <x:c r="M1029" s="70" t="s">
        <x:v>39</x:v>
      </x:c>
      <x:c r="N1029" s="71" t="n">
        <x:v>6130703</x:v>
      </x:c>
      <x:c r="O1029" s="72" t="n">
        <x:f aca="0">N1029/1000</x:f>
        <x:v>6130.703</x:v>
      </x:c>
      <x:c r="P1029" s="73" t="n">
        <x:f aca="0">DGKC!D55</x:f>
        <x:v>6130.703</x:v>
      </x:c>
      <x:c r="Q1029" s="70" t="str">
        <x:f aca="0">IF(ABS(O1029-P1029)&lt;0.000001,"PASS","FAIL")</x:f>
        <x:v>PASS</x:v>
      </x:c>
      <x:c r="R1029" s="70" t="s">
        <x:v>33</x:v>
      </x:c>
      <x:c r="S1029" s="70" t="s">
        <x:v>1935</x:v>
      </x:c>
    </x:row>
    <x:row r="1030" ht="15" hidden="0">
      <x:c r="A1030" s="70" t="s">
        <x:v>1938</x:v>
      </x:c>
      <x:c r="B1030" s="70" t="s">
        <x:v>36</x:v>
      </x:c>
      <x:c r="C1030" s="70" t="s">
        <x:v>102</x:v>
      </x:c>
      <x:c r="D1030" s="70" t="s">
        <x:v>176</x:v>
      </x:c>
      <x:c r="E1030" s="70" t="s">
        <x:v>763</x:v>
      </x:c>
      <x:c r="F1030" s="70" t="s">
        <x:v>1933</x:v>
      </x:c>
      <x:c r="G1030" s="70" t="s">
        <x:v>1748</x:v>
      </x:c>
      <x:c r="H1030" s="70" t="s">
        <x:v>842</x:v>
      </x:c>
      <x:c r="I1030" s="70" t="s">
        <x:v>833</x:v>
      </x:c>
      <x:c r="J1030" s="70" t="n">
        <x:v>170</x:v>
      </x:c>
      <x:c r="K1030" s="70" t="s">
        <x:v>1909</x:v>
      </x:c>
      <x:c r="L1030" s="70"/>
      <x:c r="M1030" s="70" t="s">
        <x:v>39</x:v>
      </x:c>
      <x:c r="N1030" s="71" t="n">
        <x:v>7097166</x:v>
      </x:c>
      <x:c r="O1030" s="72" t="n">
        <x:f aca="0">N1030/1000</x:f>
        <x:v>7097.166</x:v>
      </x:c>
      <x:c r="P1030" s="73" t="n">
        <x:f aca="0">DGKC!E55</x:f>
        <x:v>7097.166</x:v>
      </x:c>
      <x:c r="Q1030" s="70" t="str">
        <x:f aca="0">IF(ABS(O1030-P1030)&lt;0.000001,"PASS","FAIL")</x:f>
        <x:v>PASS</x:v>
      </x:c>
      <x:c r="R1030" s="70" t="s">
        <x:v>33</x:v>
      </x:c>
      <x:c r="S1030" s="70" t="s">
        <x:v>1935</x:v>
      </x:c>
    </x:row>
    <x:row r="1031" ht="15" hidden="0">
      <x:c r="A1031" s="70" t="s">
        <x:v>1939</x:v>
      </x:c>
      <x:c r="B1031" s="70" t="s">
        <x:v>36</x:v>
      </x:c>
      <x:c r="C1031" s="70" t="s">
        <x:v>103</x:v>
      </x:c>
      <x:c r="D1031" s="70" t="s">
        <x:v>176</x:v>
      </x:c>
      <x:c r="E1031" s="70" t="s">
        <x:v>763</x:v>
      </x:c>
      <x:c r="F1031" s="70" t="s">
        <x:v>1933</x:v>
      </x:c>
      <x:c r="G1031" s="70" t="s">
        <x:v>1751</x:v>
      </x:c>
      <x:c r="H1031" s="70" t="s">
        <x:v>845</x:v>
      </x:c>
      <x:c r="I1031" s="70" t="s">
        <x:v>833</x:v>
      </x:c>
      <x:c r="J1031" s="70" t="n">
        <x:v>172</x:v>
      </x:c>
      <x:c r="K1031" s="70" t="s">
        <x:v>1940</x:v>
      </x:c>
      <x:c r="L1031" s="70"/>
      <x:c r="M1031" s="70" t="s">
        <x:v>39</x:v>
      </x:c>
      <x:c r="N1031" s="71" t="n">
        <x:v>7370364</x:v>
      </x:c>
      <x:c r="O1031" s="72" t="n">
        <x:f aca="0">N1031/1000</x:f>
        <x:v>7370.364</x:v>
      </x:c>
      <x:c r="P1031" s="73" t="n">
        <x:f aca="0">DGKC!F55</x:f>
        <x:v>7370.364</x:v>
      </x:c>
      <x:c r="Q1031" s="70" t="str">
        <x:f aca="0">IF(ABS(O1031-P1031)&lt;0.000001,"PASS","FAIL")</x:f>
        <x:v>PASS</x:v>
      </x:c>
      <x:c r="R1031" s="70" t="s">
        <x:v>33</x:v>
      </x:c>
      <x:c r="S1031" s="70" t="s">
        <x:v>1935</x:v>
      </x:c>
    </x:row>
    <x:row r="1032" ht="15" hidden="0">
      <x:c r="A1032" s="70" t="s">
        <x:v>1941</x:v>
      </x:c>
      <x:c r="B1032" s="70" t="s">
        <x:v>36</x:v>
      </x:c>
      <x:c r="C1032" s="70" t="s">
        <x:v>104</x:v>
      </x:c>
      <x:c r="D1032" s="70" t="s">
        <x:v>176</x:v>
      </x:c>
      <x:c r="E1032" s="70" t="s">
        <x:v>763</x:v>
      </x:c>
      <x:c r="F1032" s="70" t="s">
        <x:v>1933</x:v>
      </x:c>
      <x:c r="G1032" s="70" t="s">
        <x:v>1753</x:v>
      </x:c>
      <x:c r="H1032" s="70" t="s">
        <x:v>849</x:v>
      </x:c>
      <x:c r="I1032" s="70" t="s">
        <x:v>833</x:v>
      </x:c>
      <x:c r="J1032" s="70" t="n">
        <x:v>173</x:v>
      </x:c>
      <x:c r="K1032" s="70" t="s">
        <x:v>1942</x:v>
      </x:c>
      <x:c r="L1032" s="70"/>
      <x:c r="M1032" s="70" t="s">
        <x:v>39</x:v>
      </x:c>
      <x:c r="N1032" s="71" t="n">
        <x:v>5291972</x:v>
      </x:c>
      <x:c r="O1032" s="72" t="n">
        <x:f aca="0">N1032/1000</x:f>
        <x:v>5291.972</x:v>
      </x:c>
      <x:c r="P1032" s="73" t="n">
        <x:f aca="0">DGKC!G55</x:f>
        <x:v>5291.972</x:v>
      </x:c>
      <x:c r="Q1032" s="70" t="str">
        <x:f aca="0">IF(ABS(O1032-P1032)&lt;0.000001,"PASS","FAIL")</x:f>
        <x:v>PASS</x:v>
      </x:c>
      <x:c r="R1032" s="70" t="s">
        <x:v>33</x:v>
      </x:c>
      <x:c r="S1032" s="70" t="s">
        <x:v>1935</x:v>
      </x:c>
    </x:row>
    <x:row r="1033" ht="15" hidden="0">
      <x:c r="A1033" s="70" t="s">
        <x:v>1943</x:v>
      </x:c>
      <x:c r="B1033" s="70" t="s">
        <x:v>36</x:v>
      </x:c>
      <x:c r="C1033" s="70" t="s">
        <x:v>105</x:v>
      </x:c>
      <x:c r="D1033" s="70" t="s">
        <x:v>176</x:v>
      </x:c>
      <x:c r="E1033" s="70" t="s">
        <x:v>763</x:v>
      </x:c>
      <x:c r="F1033" s="70" t="s">
        <x:v>1933</x:v>
      </x:c>
      <x:c r="G1033" s="70" t="s">
        <x:v>1753</x:v>
      </x:c>
      <x:c r="H1033" s="70" t="s">
        <x:v>849</x:v>
      </x:c>
      <x:c r="I1033" s="70" t="s">
        <x:v>852</x:v>
      </x:c>
      <x:c r="J1033" s="70" t="n">
        <x:v>173</x:v>
      </x:c>
      <x:c r="K1033" s="70" t="s">
        <x:v>1942</x:v>
      </x:c>
      <x:c r="L1033" s="70"/>
      <x:c r="M1033" s="70" t="s">
        <x:v>39</x:v>
      </x:c>
      <x:c r="N1033" s="71" t="n">
        <x:v>1934772</x:v>
      </x:c>
      <x:c r="O1033" s="72" t="n">
        <x:f aca="0">N1033/1000</x:f>
        <x:v>1934.772</x:v>
      </x:c>
      <x:c r="P1033" s="73" t="n">
        <x:f aca="0">DGKC!H55</x:f>
        <x:v>1934.772</x:v>
      </x:c>
      <x:c r="Q1033" s="70" t="str">
        <x:f aca="0">IF(ABS(O1033-P1033)&lt;0.000001,"PASS","FAIL")</x:f>
        <x:v>PASS</x:v>
      </x:c>
      <x:c r="R1033" s="70" t="s">
        <x:v>33</x:v>
      </x:c>
      <x:c r="S1033" s="70" t="s">
        <x:v>1935</x:v>
      </x:c>
    </x:row>
    <x:row r="1034" ht="15" hidden="0">
      <x:c r="A1034" s="70" t="s">
        <x:v>1944</x:v>
      </x:c>
      <x:c r="B1034" s="70" t="s">
        <x:v>36</x:v>
      </x:c>
      <x:c r="C1034" s="70" t="s">
        <x:v>717</x:v>
      </x:c>
      <x:c r="D1034" s="70" t="s">
        <x:v>178</x:v>
      </x:c>
      <x:c r="E1034" s="70" t="s">
        <x:v>763</x:v>
      </x:c>
      <x:c r="F1034" s="70"/>
      <x:c r="G1034" s="70" t="s">
        <x:v>1742</x:v>
      </x:c>
      <x:c r="H1034" s="70" t="s">
        <x:v>832</x:v>
      </x:c>
      <x:c r="I1034" s="70" t="s">
        <x:v>833</x:v>
      </x:c>
      <x:c r="J1034" s="70" t="n">
        <x:v>105</x:v>
      </x:c>
      <x:c r="K1034" s="70" t="s">
        <x:v>1768</x:v>
      </x:c>
      <x:c r="L1034" s="70"/>
      <x:c r="M1034" s="70" t="s">
        <x:v>39</x:v>
      </x:c>
      <x:c r="N1034" s="71" t="n">
        <x:v>0</x:v>
      </x:c>
      <x:c r="O1034" s="72" t="n">
        <x:f aca="0">N1034/1000</x:f>
        <x:v>0</x:v>
      </x:c>
      <x:c r="P1034" s="73" t="n">
        <x:f aca="0">DGKC!C56</x:f>
        <x:v>0</x:v>
      </x:c>
      <x:c r="Q1034" s="70" t="str">
        <x:f aca="0">IF(ABS(O1034-P1034)&lt;0.000001,"PASS","FAIL")</x:f>
        <x:v>PASS</x:v>
      </x:c>
      <x:c r="R1034" s="70" t="s">
        <x:v>33</x:v>
      </x:c>
      <x:c r="S1034" s="70"/>
    </x:row>
    <x:row r="1035" ht="15" hidden="0">
      <x:c r="A1035" s="70" t="s">
        <x:v>1945</x:v>
      </x:c>
      <x:c r="B1035" s="70" t="s">
        <x:v>36</x:v>
      </x:c>
      <x:c r="C1035" s="70" t="s">
        <x:v>101</x:v>
      </x:c>
      <x:c r="D1035" s="70" t="s">
        <x:v>178</x:v>
      </x:c>
      <x:c r="E1035" s="70" t="s">
        <x:v>763</x:v>
      </x:c>
      <x:c r="F1035" s="70"/>
      <x:c r="G1035" s="70" t="s">
        <x:v>1745</x:v>
      </x:c>
      <x:c r="H1035" s="70" t="s">
        <x:v>838</x:v>
      </x:c>
      <x:c r="I1035" s="70" t="s">
        <x:v>833</x:v>
      </x:c>
      <x:c r="J1035" s="70" t="n">
        <x:v>125</x:v>
      </x:c>
      <x:c r="K1035" s="70" t="s">
        <x:v>1770</x:v>
      </x:c>
      <x:c r="L1035" s="70"/>
      <x:c r="M1035" s="70" t="s">
        <x:v>39</x:v>
      </x:c>
      <x:c r="N1035" s="71" t="n">
        <x:v>0</x:v>
      </x:c>
      <x:c r="O1035" s="72" t="n">
        <x:f aca="0">N1035/1000</x:f>
        <x:v>0</x:v>
      </x:c>
      <x:c r="P1035" s="73" t="n">
        <x:f aca="0">DGKC!D56</x:f>
        <x:v>0</x:v>
      </x:c>
      <x:c r="Q1035" s="70" t="str">
        <x:f aca="0">IF(ABS(O1035-P1035)&lt;0.000001,"PASS","FAIL")</x:f>
        <x:v>PASS</x:v>
      </x:c>
      <x:c r="R1035" s="70" t="s">
        <x:v>33</x:v>
      </x:c>
      <x:c r="S1035" s="70"/>
    </x:row>
    <x:row r="1036" ht="15" hidden="0">
      <x:c r="A1036" s="70" t="s">
        <x:v>1946</x:v>
      </x:c>
      <x:c r="B1036" s="70" t="s">
        <x:v>36</x:v>
      </x:c>
      <x:c r="C1036" s="70" t="s">
        <x:v>102</x:v>
      </x:c>
      <x:c r="D1036" s="70" t="s">
        <x:v>178</x:v>
      </x:c>
      <x:c r="E1036" s="70" t="s">
        <x:v>763</x:v>
      </x:c>
      <x:c r="F1036" s="70"/>
      <x:c r="G1036" s="70" t="s">
        <x:v>1748</x:v>
      </x:c>
      <x:c r="H1036" s="70" t="s">
        <x:v>842</x:v>
      </x:c>
      <x:c r="I1036" s="70" t="s">
        <x:v>833</x:v>
      </x:c>
      <x:c r="J1036" s="70" t="n">
        <x:v>151</x:v>
      </x:c>
      <x:c r="K1036" s="70" t="s">
        <x:v>1772</x:v>
      </x:c>
      <x:c r="L1036" s="70"/>
      <x:c r="M1036" s="70" t="s">
        <x:v>39</x:v>
      </x:c>
      <x:c r="N1036" s="71" t="n">
        <x:v>0</x:v>
      </x:c>
      <x:c r="O1036" s="72" t="n">
        <x:f aca="0">N1036/1000</x:f>
        <x:v>0</x:v>
      </x:c>
      <x:c r="P1036" s="73" t="n">
        <x:f aca="0">DGKC!E56</x:f>
        <x:v>0</x:v>
      </x:c>
      <x:c r="Q1036" s="70" t="str">
        <x:f aca="0">IF(ABS(O1036-P1036)&lt;0.000001,"PASS","FAIL")</x:f>
        <x:v>PASS</x:v>
      </x:c>
      <x:c r="R1036" s="70" t="s">
        <x:v>33</x:v>
      </x:c>
      <x:c r="S1036" s="70"/>
    </x:row>
    <x:row r="1037" ht="15" hidden="0">
      <x:c r="A1037" s="70" t="s">
        <x:v>1947</x:v>
      </x:c>
      <x:c r="B1037" s="70" t="s">
        <x:v>36</x:v>
      </x:c>
      <x:c r="C1037" s="70" t="s">
        <x:v>103</x:v>
      </x:c>
      <x:c r="D1037" s="70" t="s">
        <x:v>178</x:v>
      </x:c>
      <x:c r="E1037" s="70" t="s">
        <x:v>763</x:v>
      </x:c>
      <x:c r="F1037" s="70"/>
      <x:c r="G1037" s="70" t="s">
        <x:v>1751</x:v>
      </x:c>
      <x:c r="H1037" s="70" t="s">
        <x:v>845</x:v>
      </x:c>
      <x:c r="I1037" s="70" t="s">
        <x:v>833</x:v>
      </x:c>
      <x:c r="J1037" s="70" t="n">
        <x:v>151</x:v>
      </x:c>
      <x:c r="K1037" s="70" t="s">
        <x:v>1772</x:v>
      </x:c>
      <x:c r="L1037" s="70"/>
      <x:c r="M1037" s="70" t="s">
        <x:v>39</x:v>
      </x:c>
      <x:c r="N1037" s="71" t="n">
        <x:v>0</x:v>
      </x:c>
      <x:c r="O1037" s="72" t="n">
        <x:f aca="0">N1037/1000</x:f>
        <x:v>0</x:v>
      </x:c>
      <x:c r="P1037" s="73" t="n">
        <x:f aca="0">DGKC!F56</x:f>
        <x:v>0</x:v>
      </x:c>
      <x:c r="Q1037" s="70" t="str">
        <x:f aca="0">IF(ABS(O1037-P1037)&lt;0.000001,"PASS","FAIL")</x:f>
        <x:v>PASS</x:v>
      </x:c>
      <x:c r="R1037" s="70" t="s">
        <x:v>33</x:v>
      </x:c>
      <x:c r="S1037" s="70"/>
    </x:row>
    <x:row r="1038" ht="15" hidden="0">
      <x:c r="A1038" s="70" t="s">
        <x:v>1948</x:v>
      </x:c>
      <x:c r="B1038" s="70" t="s">
        <x:v>36</x:v>
      </x:c>
      <x:c r="C1038" s="70" t="s">
        <x:v>104</x:v>
      </x:c>
      <x:c r="D1038" s="70" t="s">
        <x:v>178</x:v>
      </x:c>
      <x:c r="E1038" s="70" t="s">
        <x:v>763</x:v>
      </x:c>
      <x:c r="F1038" s="70"/>
      <x:c r="G1038" s="70" t="s">
        <x:v>1753</x:v>
      </x:c>
      <x:c r="H1038" s="70" t="s">
        <x:v>849</x:v>
      </x:c>
      <x:c r="I1038" s="70" t="s">
        <x:v>833</x:v>
      </x:c>
      <x:c r="J1038" s="70" t="n">
        <x:v>153</x:v>
      </x:c>
      <x:c r="K1038" s="70" t="s">
        <x:v>1775</x:v>
      </x:c>
      <x:c r="L1038" s="70"/>
      <x:c r="M1038" s="70" t="s">
        <x:v>39</x:v>
      </x:c>
      <x:c r="N1038" s="71" t="n">
        <x:v>0</x:v>
      </x:c>
      <x:c r="O1038" s="72" t="n">
        <x:f aca="0">N1038/1000</x:f>
        <x:v>0</x:v>
      </x:c>
      <x:c r="P1038" s="73" t="n">
        <x:f aca="0">DGKC!G56</x:f>
        <x:v>0</x:v>
      </x:c>
      <x:c r="Q1038" s="70" t="str">
        <x:f aca="0">IF(ABS(O1038-P1038)&lt;0.000001,"PASS","FAIL")</x:f>
        <x:v>PASS</x:v>
      </x:c>
      <x:c r="R1038" s="70" t="s">
        <x:v>33</x:v>
      </x:c>
      <x:c r="S1038" s="70"/>
    </x:row>
    <x:row r="1039" ht="15" hidden="0">
      <x:c r="A1039" s="70" t="s">
        <x:v>1949</x:v>
      </x:c>
      <x:c r="B1039" s="70" t="s">
        <x:v>36</x:v>
      </x:c>
      <x:c r="C1039" s="70" t="s">
        <x:v>105</x:v>
      </x:c>
      <x:c r="D1039" s="70" t="s">
        <x:v>178</x:v>
      </x:c>
      <x:c r="E1039" s="70" t="s">
        <x:v>763</x:v>
      </x:c>
      <x:c r="F1039" s="70"/>
      <x:c r="G1039" s="70" t="s">
        <x:v>1753</x:v>
      </x:c>
      <x:c r="H1039" s="70" t="s">
        <x:v>849</x:v>
      </x:c>
      <x:c r="I1039" s="70" t="s">
        <x:v>852</x:v>
      </x:c>
      <x:c r="J1039" s="70" t="n">
        <x:v>153</x:v>
      </x:c>
      <x:c r="K1039" s="70" t="s">
        <x:v>1775</x:v>
      </x:c>
      <x:c r="L1039" s="70"/>
      <x:c r="M1039" s="70" t="s">
        <x:v>39</x:v>
      </x:c>
      <x:c r="N1039" s="71" t="n">
        <x:v>0</x:v>
      </x:c>
      <x:c r="O1039" s="72" t="n">
        <x:f aca="0">N1039/1000</x:f>
        <x:v>0</x:v>
      </x:c>
      <x:c r="P1039" s="73" t="n">
        <x:f aca="0">DGKC!H56</x:f>
        <x:v>0</x:v>
      </x:c>
      <x:c r="Q1039" s="70" t="str">
        <x:f aca="0">IF(ABS(O1039-P1039)&lt;0.000001,"PASS","FAIL")</x:f>
        <x:v>PASS</x:v>
      </x:c>
      <x:c r="R1039" s="70" t="s">
        <x:v>33</x:v>
      </x:c>
      <x:c r="S1039" s="70"/>
    </x:row>
    <x:row r="1040" ht="15" hidden="0">
      <x:c r="A1040" s="70" t="s">
        <x:v>1950</x:v>
      </x:c>
      <x:c r="B1040" s="70" t="s">
        <x:v>36</x:v>
      </x:c>
      <x:c r="C1040" s="70" t="s">
        <x:v>717</x:v>
      </x:c>
      <x:c r="D1040" s="70" t="s">
        <x:v>180</x:v>
      </x:c>
      <x:c r="E1040" s="70" t="s">
        <x:v>763</x:v>
      </x:c>
      <x:c r="F1040" s="70"/>
      <x:c r="G1040" s="70" t="s">
        <x:v>1742</x:v>
      </x:c>
      <x:c r="H1040" s="70" t="s">
        <x:v>832</x:v>
      </x:c>
      <x:c r="I1040" s="70" t="s">
        <x:v>833</x:v>
      </x:c>
      <x:c r="J1040" s="70" t="n">
        <x:v>105</x:v>
      </x:c>
      <x:c r="K1040" s="70" t="s">
        <x:v>1768</x:v>
      </x:c>
      <x:c r="L1040" s="70"/>
      <x:c r="M1040" s="70" t="s">
        <x:v>39</x:v>
      </x:c>
      <x:c r="N1040" s="71" t="n">
        <x:v>0</x:v>
      </x:c>
      <x:c r="O1040" s="72" t="n">
        <x:f aca="0">N1040/1000</x:f>
        <x:v>0</x:v>
      </x:c>
      <x:c r="P1040" s="73" t="n">
        <x:f aca="0">DGKC!C57</x:f>
        <x:v>0</x:v>
      </x:c>
      <x:c r="Q1040" s="70" t="str">
        <x:f aca="0">IF(ABS(O1040-P1040)&lt;0.000001,"PASS","FAIL")</x:f>
        <x:v>PASS</x:v>
      </x:c>
      <x:c r="R1040" s="70" t="s">
        <x:v>33</x:v>
      </x:c>
      <x:c r="S1040" s="70"/>
    </x:row>
    <x:row r="1041" ht="15" hidden="0">
      <x:c r="A1041" s="70" t="s">
        <x:v>1951</x:v>
      </x:c>
      <x:c r="B1041" s="70" t="s">
        <x:v>36</x:v>
      </x:c>
      <x:c r="C1041" s="70" t="s">
        <x:v>101</x:v>
      </x:c>
      <x:c r="D1041" s="70" t="s">
        <x:v>180</x:v>
      </x:c>
      <x:c r="E1041" s="70" t="s">
        <x:v>763</x:v>
      </x:c>
      <x:c r="F1041" s="70"/>
      <x:c r="G1041" s="70" t="s">
        <x:v>1745</x:v>
      </x:c>
      <x:c r="H1041" s="70" t="s">
        <x:v>838</x:v>
      </x:c>
      <x:c r="I1041" s="70" t="s">
        <x:v>833</x:v>
      </x:c>
      <x:c r="J1041" s="70" t="n">
        <x:v>150</x:v>
      </x:c>
      <x:c r="K1041" s="70" t="s">
        <x:v>1770</x:v>
      </x:c>
      <x:c r="L1041" s="70"/>
      <x:c r="M1041" s="70" t="s">
        <x:v>39</x:v>
      </x:c>
      <x:c r="N1041" s="71" t="n">
        <x:v>262523</x:v>
      </x:c>
      <x:c r="O1041" s="72" t="n">
        <x:f aca="0">N1041/1000</x:f>
        <x:v>262.523</x:v>
      </x:c>
      <x:c r="P1041" s="73" t="n">
        <x:f aca="0">DGKC!D57</x:f>
        <x:v>262.523</x:v>
      </x:c>
      <x:c r="Q1041" s="70" t="str">
        <x:f aca="0">IF(ABS(O1041-P1041)&lt;0.000001,"PASS","FAIL")</x:f>
        <x:v>PASS</x:v>
      </x:c>
      <x:c r="R1041" s="70" t="s">
        <x:v>33</x:v>
      </x:c>
      <x:c r="S1041" s="70"/>
    </x:row>
    <x:row r="1042" ht="15" hidden="0">
      <x:c r="A1042" s="70" t="s">
        <x:v>1952</x:v>
      </x:c>
      <x:c r="B1042" s="70" t="s">
        <x:v>36</x:v>
      </x:c>
      <x:c r="C1042" s="70" t="s">
        <x:v>102</x:v>
      </x:c>
      <x:c r="D1042" s="70" t="s">
        <x:v>180</x:v>
      </x:c>
      <x:c r="E1042" s="70" t="s">
        <x:v>763</x:v>
      </x:c>
      <x:c r="F1042" s="70"/>
      <x:c r="G1042" s="70" t="s">
        <x:v>1748</x:v>
      </x:c>
      <x:c r="H1042" s="70" t="s">
        <x:v>842</x:v>
      </x:c>
      <x:c r="I1042" s="70" t="s">
        <x:v>833</x:v>
      </x:c>
      <x:c r="J1042" s="70" t="n">
        <x:v>175</x:v>
      </x:c>
      <x:c r="K1042" s="70" t="s">
        <x:v>1772</x:v>
      </x:c>
      <x:c r="L1042" s="70"/>
      <x:c r="M1042" s="70" t="s">
        <x:v>39</x:v>
      </x:c>
      <x:c r="N1042" s="71" t="n">
        <x:v>213883</x:v>
      </x:c>
      <x:c r="O1042" s="72" t="n">
        <x:f aca="0">N1042/1000</x:f>
        <x:v>213.883</x:v>
      </x:c>
      <x:c r="P1042" s="73" t="n">
        <x:f aca="0">DGKC!E57</x:f>
        <x:v>213.883</x:v>
      </x:c>
      <x:c r="Q1042" s="70" t="str">
        <x:f aca="0">IF(ABS(O1042-P1042)&lt;0.000001,"PASS","FAIL")</x:f>
        <x:v>PASS</x:v>
      </x:c>
      <x:c r="R1042" s="70" t="s">
        <x:v>33</x:v>
      </x:c>
      <x:c r="S1042" s="70"/>
    </x:row>
    <x:row r="1043" ht="15" hidden="0">
      <x:c r="A1043" s="70" t="s">
        <x:v>1953</x:v>
      </x:c>
      <x:c r="B1043" s="70" t="s">
        <x:v>36</x:v>
      </x:c>
      <x:c r="C1043" s="70" t="s">
        <x:v>103</x:v>
      </x:c>
      <x:c r="D1043" s="70" t="s">
        <x:v>180</x:v>
      </x:c>
      <x:c r="E1043" s="70" t="s">
        <x:v>763</x:v>
      </x:c>
      <x:c r="F1043" s="70"/>
      <x:c r="G1043" s="70" t="s">
        <x:v>1751</x:v>
      </x:c>
      <x:c r="H1043" s="70" t="s">
        <x:v>845</x:v>
      </x:c>
      <x:c r="I1043" s="70" t="s">
        <x:v>833</x:v>
      </x:c>
      <x:c r="J1043" s="70" t="n">
        <x:v>177</x:v>
      </x:c>
      <x:c r="K1043" s="70" t="s">
        <x:v>1772</x:v>
      </x:c>
      <x:c r="L1043" s="70"/>
      <x:c r="M1043" s="70" t="s">
        <x:v>39</x:v>
      </x:c>
      <x:c r="N1043" s="71" t="n">
        <x:v>171581</x:v>
      </x:c>
      <x:c r="O1043" s="72" t="n">
        <x:f aca="0">N1043/1000</x:f>
        <x:v>171.581</x:v>
      </x:c>
      <x:c r="P1043" s="73" t="n">
        <x:f aca="0">DGKC!F57</x:f>
        <x:v>171.581</x:v>
      </x:c>
      <x:c r="Q1043" s="70" t="str">
        <x:f aca="0">IF(ABS(O1043-P1043)&lt;0.000001,"PASS","FAIL")</x:f>
        <x:v>PASS</x:v>
      </x:c>
      <x:c r="R1043" s="70" t="s">
        <x:v>33</x:v>
      </x:c>
      <x:c r="S1043" s="70"/>
    </x:row>
    <x:row r="1044" ht="15" hidden="0">
      <x:c r="A1044" s="70" t="s">
        <x:v>1954</x:v>
      </x:c>
      <x:c r="B1044" s="70" t="s">
        <x:v>36</x:v>
      </x:c>
      <x:c r="C1044" s="70" t="s">
        <x:v>104</x:v>
      </x:c>
      <x:c r="D1044" s="70" t="s">
        <x:v>180</x:v>
      </x:c>
      <x:c r="E1044" s="70" t="s">
        <x:v>763</x:v>
      </x:c>
      <x:c r="F1044" s="70"/>
      <x:c r="G1044" s="70" t="s">
        <x:v>1753</x:v>
      </x:c>
      <x:c r="H1044" s="70" t="s">
        <x:v>849</x:v>
      </x:c>
      <x:c r="I1044" s="70" t="s">
        <x:v>833</x:v>
      </x:c>
      <x:c r="J1044" s="70" t="n">
        <x:v>178</x:v>
      </x:c>
      <x:c r="K1044" s="70" t="s">
        <x:v>1775</x:v>
      </x:c>
      <x:c r="L1044" s="70"/>
      <x:c r="M1044" s="70" t="s">
        <x:v>39</x:v>
      </x:c>
      <x:c r="N1044" s="71" t="n">
        <x:v>124138</x:v>
      </x:c>
      <x:c r="O1044" s="72" t="n">
        <x:f aca="0">N1044/1000</x:f>
        <x:v>124.138</x:v>
      </x:c>
      <x:c r="P1044" s="73" t="n">
        <x:f aca="0">DGKC!G57</x:f>
        <x:v>124.138</x:v>
      </x:c>
      <x:c r="Q1044" s="70" t="str">
        <x:f aca="0">IF(ABS(O1044-P1044)&lt;0.000001,"PASS","FAIL")</x:f>
        <x:v>PASS</x:v>
      </x:c>
      <x:c r="R1044" s="70" t="s">
        <x:v>33</x:v>
      </x:c>
      <x:c r="S1044" s="70"/>
    </x:row>
    <x:row r="1045" ht="15" hidden="0">
      <x:c r="A1045" s="70" t="s">
        <x:v>1955</x:v>
      </x:c>
      <x:c r="B1045" s="70" t="s">
        <x:v>36</x:v>
      </x:c>
      <x:c r="C1045" s="70" t="s">
        <x:v>105</x:v>
      </x:c>
      <x:c r="D1045" s="70" t="s">
        <x:v>180</x:v>
      </x:c>
      <x:c r="E1045" s="70" t="s">
        <x:v>763</x:v>
      </x:c>
      <x:c r="F1045" s="70"/>
      <x:c r="G1045" s="70" t="s">
        <x:v>1753</x:v>
      </x:c>
      <x:c r="H1045" s="70" t="s">
        <x:v>849</x:v>
      </x:c>
      <x:c r="I1045" s="70" t="s">
        <x:v>852</x:v>
      </x:c>
      <x:c r="J1045" s="70" t="n">
        <x:v>178</x:v>
      </x:c>
      <x:c r="K1045" s="70" t="s">
        <x:v>1775</x:v>
      </x:c>
      <x:c r="L1045" s="70"/>
      <x:c r="M1045" s="70" t="s">
        <x:v>39</x:v>
      </x:c>
      <x:c r="N1045" s="71" t="n">
        <x:v>79465</x:v>
      </x:c>
      <x:c r="O1045" s="72" t="n">
        <x:f aca="0">N1045/1000</x:f>
        <x:v>79.465</x:v>
      </x:c>
      <x:c r="P1045" s="73" t="n">
        <x:f aca="0">DGKC!H57</x:f>
        <x:v>79.465</x:v>
      </x:c>
      <x:c r="Q1045" s="70" t="str">
        <x:f aca="0">IF(ABS(O1045-P1045)&lt;0.000001,"PASS","FAIL")</x:f>
        <x:v>PASS</x:v>
      </x:c>
      <x:c r="R1045" s="70" t="s">
        <x:v>33</x:v>
      </x:c>
      <x:c r="S1045" s="70"/>
    </x:row>
    <x:row r="1046" ht="15" hidden="0">
      <x:c r="A1046" s="70" t="s">
        <x:v>1956</x:v>
      </x:c>
      <x:c r="B1046" s="70" t="s">
        <x:v>36</x:v>
      </x:c>
      <x:c r="C1046" s="70" t="s">
        <x:v>717</x:v>
      </x:c>
      <x:c r="D1046" s="70" t="s">
        <x:v>182</x:v>
      </x:c>
      <x:c r="E1046" s="70" t="s">
        <x:v>763</x:v>
      </x:c>
      <x:c r="F1046" s="70" t="s">
        <x:v>1509</x:v>
      </x:c>
      <x:c r="G1046" s="70" t="s">
        <x:v>1742</x:v>
      </x:c>
      <x:c r="H1046" s="70" t="s">
        <x:v>832</x:v>
      </x:c>
      <x:c r="I1046" s="70" t="s">
        <x:v>833</x:v>
      </x:c>
      <x:c r="J1046" s="70" t="n">
        <x:v>105</x:v>
      </x:c>
      <x:c r="K1046" s="70" t="s">
        <x:v>1768</x:v>
      </x:c>
      <x:c r="L1046" s="70"/>
      <x:c r="M1046" s="70" t="s">
        <x:v>39</x:v>
      </x:c>
      <x:c r="N1046" s="71" t="n">
        <x:v>33837</x:v>
      </x:c>
      <x:c r="O1046" s="72" t="n">
        <x:f aca="0">N1046/1000</x:f>
        <x:v>33.837</x:v>
      </x:c>
      <x:c r="P1046" s="73" t="n">
        <x:f aca="0">DGKC!C58</x:f>
        <x:v>33.837</x:v>
      </x:c>
      <x:c r="Q1046" s="70" t="str">
        <x:f aca="0">IF(ABS(O1046-P1046)&lt;0.000001,"PASS","FAIL")</x:f>
        <x:v>PASS</x:v>
      </x:c>
      <x:c r="R1046" s="70" t="s">
        <x:v>33</x:v>
      </x:c>
      <x:c r="S1046" s="70"/>
    </x:row>
    <x:row r="1047" ht="15" hidden="0">
      <x:c r="A1047" s="70" t="s">
        <x:v>1957</x:v>
      </x:c>
      <x:c r="B1047" s="70" t="s">
        <x:v>36</x:v>
      </x:c>
      <x:c r="C1047" s="70" t="s">
        <x:v>101</x:v>
      </x:c>
      <x:c r="D1047" s="70" t="s">
        <x:v>182</x:v>
      </x:c>
      <x:c r="E1047" s="70" t="s">
        <x:v>763</x:v>
      </x:c>
      <x:c r="F1047" s="70" t="s">
        <x:v>1509</x:v>
      </x:c>
      <x:c r="G1047" s="70" t="s">
        <x:v>1745</x:v>
      </x:c>
      <x:c r="H1047" s="70" t="s">
        <x:v>838</x:v>
      </x:c>
      <x:c r="I1047" s="70" t="s">
        <x:v>833</x:v>
      </x:c>
      <x:c r="J1047" s="70" t="n">
        <x:v>125</x:v>
      </x:c>
      <x:c r="K1047" s="70" t="s">
        <x:v>1770</x:v>
      </x:c>
      <x:c r="L1047" s="70"/>
      <x:c r="M1047" s="70" t="s">
        <x:v>39</x:v>
      </x:c>
      <x:c r="N1047" s="71" t="n">
        <x:v>33517</x:v>
      </x:c>
      <x:c r="O1047" s="72" t="n">
        <x:f aca="0">N1047/1000</x:f>
        <x:v>33.517</x:v>
      </x:c>
      <x:c r="P1047" s="73" t="n">
        <x:f aca="0">DGKC!D58</x:f>
        <x:v>33.517</x:v>
      </x:c>
      <x:c r="Q1047" s="70" t="str">
        <x:f aca="0">IF(ABS(O1047-P1047)&lt;0.000001,"PASS","FAIL")</x:f>
        <x:v>PASS</x:v>
      </x:c>
      <x:c r="R1047" s="70" t="s">
        <x:v>33</x:v>
      </x:c>
      <x:c r="S1047" s="70"/>
    </x:row>
    <x:row r="1048" ht="15" hidden="0">
      <x:c r="A1048" s="70" t="s">
        <x:v>1958</x:v>
      </x:c>
      <x:c r="B1048" s="70" t="s">
        <x:v>36</x:v>
      </x:c>
      <x:c r="C1048" s="70" t="s">
        <x:v>102</x:v>
      </x:c>
      <x:c r="D1048" s="70" t="s">
        <x:v>182</x:v>
      </x:c>
      <x:c r="E1048" s="70" t="s">
        <x:v>763</x:v>
      </x:c>
      <x:c r="F1048" s="70" t="s">
        <x:v>1509</x:v>
      </x:c>
      <x:c r="G1048" s="70" t="s">
        <x:v>1748</x:v>
      </x:c>
      <x:c r="H1048" s="70" t="s">
        <x:v>842</x:v>
      </x:c>
      <x:c r="I1048" s="70" t="s">
        <x:v>833</x:v>
      </x:c>
      <x:c r="J1048" s="70" t="n">
        <x:v>151</x:v>
      </x:c>
      <x:c r="K1048" s="70" t="s">
        <x:v>1772</x:v>
      </x:c>
      <x:c r="L1048" s="70"/>
      <x:c r="M1048" s="70" t="s">
        <x:v>39</x:v>
      </x:c>
      <x:c r="N1048" s="71" t="n">
        <x:v>34512</x:v>
      </x:c>
      <x:c r="O1048" s="72" t="n">
        <x:f aca="0">N1048/1000</x:f>
        <x:v>34.512</x:v>
      </x:c>
      <x:c r="P1048" s="73" t="n">
        <x:f aca="0">DGKC!E58</x:f>
        <x:v>34.512</x:v>
      </x:c>
      <x:c r="Q1048" s="70" t="str">
        <x:f aca="0">IF(ABS(O1048-P1048)&lt;0.000001,"PASS","FAIL")</x:f>
        <x:v>PASS</x:v>
      </x:c>
      <x:c r="R1048" s="70" t="s">
        <x:v>33</x:v>
      </x:c>
      <x:c r="S1048" s="70"/>
    </x:row>
    <x:row r="1049" ht="15" hidden="0">
      <x:c r="A1049" s="70" t="s">
        <x:v>1959</x:v>
      </x:c>
      <x:c r="B1049" s="70" t="s">
        <x:v>36</x:v>
      </x:c>
      <x:c r="C1049" s="70" t="s">
        <x:v>103</x:v>
      </x:c>
      <x:c r="D1049" s="70" t="s">
        <x:v>182</x:v>
      </x:c>
      <x:c r="E1049" s="70" t="s">
        <x:v>763</x:v>
      </x:c>
      <x:c r="F1049" s="70" t="s">
        <x:v>1509</x:v>
      </x:c>
      <x:c r="G1049" s="70" t="s">
        <x:v>1751</x:v>
      </x:c>
      <x:c r="H1049" s="70" t="s">
        <x:v>845</x:v>
      </x:c>
      <x:c r="I1049" s="70" t="s">
        <x:v>833</x:v>
      </x:c>
      <x:c r="J1049" s="70" t="n">
        <x:v>151</x:v>
      </x:c>
      <x:c r="K1049" s="70" t="s">
        <x:v>1772</x:v>
      </x:c>
      <x:c r="L1049" s="70"/>
      <x:c r="M1049" s="70" t="s">
        <x:v>39</x:v>
      </x:c>
      <x:c r="N1049" s="71" t="n">
        <x:v>34704</x:v>
      </x:c>
      <x:c r="O1049" s="72" t="n">
        <x:f aca="0">N1049/1000</x:f>
        <x:v>34.704</x:v>
      </x:c>
      <x:c r="P1049" s="73" t="n">
        <x:f aca="0">DGKC!F58</x:f>
        <x:v>34.704</x:v>
      </x:c>
      <x:c r="Q1049" s="70" t="str">
        <x:f aca="0">IF(ABS(O1049-P1049)&lt;0.000001,"PASS","FAIL")</x:f>
        <x:v>PASS</x:v>
      </x:c>
      <x:c r="R1049" s="70" t="s">
        <x:v>33</x:v>
      </x:c>
      <x:c r="S1049" s="70"/>
    </x:row>
    <x:row r="1050" ht="15" hidden="0">
      <x:c r="A1050" s="70" t="s">
        <x:v>1960</x:v>
      </x:c>
      <x:c r="B1050" s="70" t="s">
        <x:v>36</x:v>
      </x:c>
      <x:c r="C1050" s="70" t="s">
        <x:v>104</x:v>
      </x:c>
      <x:c r="D1050" s="70" t="s">
        <x:v>182</x:v>
      </x:c>
      <x:c r="E1050" s="70" t="s">
        <x:v>763</x:v>
      </x:c>
      <x:c r="F1050" s="70" t="s">
        <x:v>1509</x:v>
      </x:c>
      <x:c r="G1050" s="70" t="s">
        <x:v>1753</x:v>
      </x:c>
      <x:c r="H1050" s="70" t="s">
        <x:v>849</x:v>
      </x:c>
      <x:c r="I1050" s="70" t="s">
        <x:v>833</x:v>
      </x:c>
      <x:c r="J1050" s="70" t="n">
        <x:v>153</x:v>
      </x:c>
      <x:c r="K1050" s="70" t="s">
        <x:v>1775</x:v>
      </x:c>
      <x:c r="L1050" s="70"/>
      <x:c r="M1050" s="70" t="s">
        <x:v>39</x:v>
      </x:c>
      <x:c r="N1050" s="71" t="n">
        <x:v>34201</x:v>
      </x:c>
      <x:c r="O1050" s="72" t="n">
        <x:f aca="0">N1050/1000</x:f>
        <x:v>34.201</x:v>
      </x:c>
      <x:c r="P1050" s="73" t="n">
        <x:f aca="0">DGKC!G58</x:f>
        <x:v>34.201</x:v>
      </x:c>
      <x:c r="Q1050" s="70" t="str">
        <x:f aca="0">IF(ABS(O1050-P1050)&lt;0.000001,"PASS","FAIL")</x:f>
        <x:v>PASS</x:v>
      </x:c>
      <x:c r="R1050" s="70" t="s">
        <x:v>33</x:v>
      </x:c>
      <x:c r="S1050" s="70"/>
    </x:row>
    <x:row r="1051" ht="15" hidden="0">
      <x:c r="A1051" s="70" t="s">
        <x:v>1961</x:v>
      </x:c>
      <x:c r="B1051" s="70" t="s">
        <x:v>36</x:v>
      </x:c>
      <x:c r="C1051" s="70" t="s">
        <x:v>105</x:v>
      </x:c>
      <x:c r="D1051" s="70" t="s">
        <x:v>182</x:v>
      </x:c>
      <x:c r="E1051" s="70" t="s">
        <x:v>763</x:v>
      </x:c>
      <x:c r="F1051" s="70" t="s">
        <x:v>1509</x:v>
      </x:c>
      <x:c r="G1051" s="70" t="s">
        <x:v>1753</x:v>
      </x:c>
      <x:c r="H1051" s="70" t="s">
        <x:v>849</x:v>
      </x:c>
      <x:c r="I1051" s="70" t="s">
        <x:v>852</x:v>
      </x:c>
      <x:c r="J1051" s="70" t="n">
        <x:v>153</x:v>
      </x:c>
      <x:c r="K1051" s="70" t="s">
        <x:v>1775</x:v>
      </x:c>
      <x:c r="L1051" s="70"/>
      <x:c r="M1051" s="70" t="s">
        <x:v>39</x:v>
      </x:c>
      <x:c r="N1051" s="71" t="n">
        <x:v>34154</x:v>
      </x:c>
      <x:c r="O1051" s="72" t="n">
        <x:f aca="0">N1051/1000</x:f>
        <x:v>34.154</x:v>
      </x:c>
      <x:c r="P1051" s="73" t="n">
        <x:f aca="0">DGKC!H58</x:f>
        <x:v>34.154</x:v>
      </x:c>
      <x:c r="Q1051" s="70" t="str">
        <x:f aca="0">IF(ABS(O1051-P1051)&lt;0.000001,"PASS","FAIL")</x:f>
        <x:v>PASS</x:v>
      </x:c>
      <x:c r="R1051" s="70" t="s">
        <x:v>33</x:v>
      </x:c>
      <x:c r="S1051" s="70"/>
    </x:row>
    <x:row r="1052" ht="15" hidden="0">
      <x:c r="A1052" s="70" t="s">
        <x:v>1962</x:v>
      </x:c>
      <x:c r="B1052" s="70" t="s">
        <x:v>36</x:v>
      </x:c>
      <x:c r="C1052" s="70" t="s">
        <x:v>717</x:v>
      </x:c>
      <x:c r="D1052" s="70" t="s">
        <x:v>184</x:v>
      </x:c>
      <x:c r="E1052" s="70" t="s">
        <x:v>763</x:v>
      </x:c>
      <x:c r="F1052" s="70" t="s">
        <x:v>1963</x:v>
      </x:c>
      <x:c r="G1052" s="70" t="s">
        <x:v>1742</x:v>
      </x:c>
      <x:c r="H1052" s="70" t="s">
        <x:v>832</x:v>
      </x:c>
      <x:c r="I1052" s="70" t="s">
        <x:v>833</x:v>
      </x:c>
      <x:c r="J1052" s="70" t="n">
        <x:v>105</x:v>
      </x:c>
      <x:c r="K1052" s="70" t="s">
        <x:v>1768</x:v>
      </x:c>
      <x:c r="L1052" s="70"/>
      <x:c r="M1052" s="70" t="s">
        <x:v>39</x:v>
      </x:c>
      <x:c r="N1052" s="71" t="n">
        <x:v>35090</x:v>
      </x:c>
      <x:c r="O1052" s="72" t="n">
        <x:f aca="0">N1052/1000</x:f>
        <x:v>35.09</x:v>
      </x:c>
      <x:c r="P1052" s="73" t="n">
        <x:f aca="0">DGKC!C59</x:f>
        <x:v>35.09</x:v>
      </x:c>
      <x:c r="Q1052" s="70" t="str">
        <x:f aca="0">IF(ABS(O1052-P1052)&lt;0.000001,"PASS","FAIL")</x:f>
        <x:v>PASS</x:v>
      </x:c>
      <x:c r="R1052" s="70" t="s">
        <x:v>33</x:v>
      </x:c>
      <x:c r="S1052" s="70"/>
    </x:row>
    <x:row r="1053" ht="15" hidden="0">
      <x:c r="A1053" s="70" t="s">
        <x:v>1964</x:v>
      </x:c>
      <x:c r="B1053" s="70" t="s">
        <x:v>36</x:v>
      </x:c>
      <x:c r="C1053" s="70" t="s">
        <x:v>101</x:v>
      </x:c>
      <x:c r="D1053" s="70" t="s">
        <x:v>184</x:v>
      </x:c>
      <x:c r="E1053" s="70" t="s">
        <x:v>763</x:v>
      </x:c>
      <x:c r="F1053" s="70" t="s">
        <x:v>1963</x:v>
      </x:c>
      <x:c r="G1053" s="70" t="s">
        <x:v>1745</x:v>
      </x:c>
      <x:c r="H1053" s="70" t="s">
        <x:v>838</x:v>
      </x:c>
      <x:c r="I1053" s="70" t="s">
        <x:v>833</x:v>
      </x:c>
      <x:c r="J1053" s="70" t="n">
        <x:v>125</x:v>
      </x:c>
      <x:c r="K1053" s="70" t="s">
        <x:v>1770</x:v>
      </x:c>
      <x:c r="L1053" s="70"/>
      <x:c r="M1053" s="70" t="s">
        <x:v>39</x:v>
      </x:c>
      <x:c r="N1053" s="71" t="n">
        <x:v>35090</x:v>
      </x:c>
      <x:c r="O1053" s="72" t="n">
        <x:f aca="0">N1053/1000</x:f>
        <x:v>35.09</x:v>
      </x:c>
      <x:c r="P1053" s="73" t="n">
        <x:f aca="0">DGKC!D59</x:f>
        <x:v>35.09</x:v>
      </x:c>
      <x:c r="Q1053" s="70" t="str">
        <x:f aca="0">IF(ABS(O1053-P1053)&lt;0.000001,"PASS","FAIL")</x:f>
        <x:v>PASS</x:v>
      </x:c>
      <x:c r="R1053" s="70" t="s">
        <x:v>33</x:v>
      </x:c>
      <x:c r="S1053" s="70"/>
    </x:row>
    <x:row r="1054" ht="15" hidden="0">
      <x:c r="A1054" s="70" t="s">
        <x:v>1965</x:v>
      </x:c>
      <x:c r="B1054" s="70" t="s">
        <x:v>36</x:v>
      </x:c>
      <x:c r="C1054" s="70" t="s">
        <x:v>102</x:v>
      </x:c>
      <x:c r="D1054" s="70" t="s">
        <x:v>184</x:v>
      </x:c>
      <x:c r="E1054" s="70" t="s">
        <x:v>763</x:v>
      </x:c>
      <x:c r="F1054" s="70" t="s">
        <x:v>1963</x:v>
      </x:c>
      <x:c r="G1054" s="70" t="s">
        <x:v>1748</x:v>
      </x:c>
      <x:c r="H1054" s="70" t="s">
        <x:v>842</x:v>
      </x:c>
      <x:c r="I1054" s="70" t="s">
        <x:v>833</x:v>
      </x:c>
      <x:c r="J1054" s="70" t="n">
        <x:v>151</x:v>
      </x:c>
      <x:c r="K1054" s="70" t="s">
        <x:v>1772</x:v>
      </x:c>
      <x:c r="L1054" s="70"/>
      <x:c r="M1054" s="70" t="s">
        <x:v>39</x:v>
      </x:c>
      <x:c r="N1054" s="71" t="n">
        <x:v>35090</x:v>
      </x:c>
      <x:c r="O1054" s="72" t="n">
        <x:f aca="0">N1054/1000</x:f>
        <x:v>35.09</x:v>
      </x:c>
      <x:c r="P1054" s="73" t="n">
        <x:f aca="0">DGKC!E59</x:f>
        <x:v>35.09</x:v>
      </x:c>
      <x:c r="Q1054" s="70" t="str">
        <x:f aca="0">IF(ABS(O1054-P1054)&lt;0.000001,"PASS","FAIL")</x:f>
        <x:v>PASS</x:v>
      </x:c>
      <x:c r="R1054" s="70" t="s">
        <x:v>33</x:v>
      </x:c>
      <x:c r="S1054" s="70"/>
    </x:row>
    <x:row r="1055" ht="15" hidden="0">
      <x:c r="A1055" s="70" t="s">
        <x:v>1966</x:v>
      </x:c>
      <x:c r="B1055" s="70" t="s">
        <x:v>36</x:v>
      </x:c>
      <x:c r="C1055" s="70" t="s">
        <x:v>103</x:v>
      </x:c>
      <x:c r="D1055" s="70" t="s">
        <x:v>184</x:v>
      </x:c>
      <x:c r="E1055" s="70" t="s">
        <x:v>763</x:v>
      </x:c>
      <x:c r="F1055" s="70" t="s">
        <x:v>1963</x:v>
      </x:c>
      <x:c r="G1055" s="70" t="s">
        <x:v>1751</x:v>
      </x:c>
      <x:c r="H1055" s="70" t="s">
        <x:v>845</x:v>
      </x:c>
      <x:c r="I1055" s="70" t="s">
        <x:v>833</x:v>
      </x:c>
      <x:c r="J1055" s="70" t="n">
        <x:v>151</x:v>
      </x:c>
      <x:c r="K1055" s="70" t="s">
        <x:v>1772</x:v>
      </x:c>
      <x:c r="L1055" s="70"/>
      <x:c r="M1055" s="70" t="s">
        <x:v>39</x:v>
      </x:c>
      <x:c r="N1055" s="71" t="n">
        <x:v>35090</x:v>
      </x:c>
      <x:c r="O1055" s="72" t="n">
        <x:f aca="0">N1055/1000</x:f>
        <x:v>35.09</x:v>
      </x:c>
      <x:c r="P1055" s="73" t="n">
        <x:f aca="0">DGKC!F59</x:f>
        <x:v>35.09</x:v>
      </x:c>
      <x:c r="Q1055" s="70" t="str">
        <x:f aca="0">IF(ABS(O1055-P1055)&lt;0.000001,"PASS","FAIL")</x:f>
        <x:v>PASS</x:v>
      </x:c>
      <x:c r="R1055" s="70" t="s">
        <x:v>33</x:v>
      </x:c>
      <x:c r="S1055" s="70"/>
    </x:row>
    <x:row r="1056" ht="15" hidden="0">
      <x:c r="A1056" s="70" t="s">
        <x:v>1967</x:v>
      </x:c>
      <x:c r="B1056" s="70" t="s">
        <x:v>36</x:v>
      </x:c>
      <x:c r="C1056" s="70" t="s">
        <x:v>104</x:v>
      </x:c>
      <x:c r="D1056" s="70" t="s">
        <x:v>184</x:v>
      </x:c>
      <x:c r="E1056" s="70" t="s">
        <x:v>763</x:v>
      </x:c>
      <x:c r="F1056" s="70" t="s">
        <x:v>1968</x:v>
      </x:c>
      <x:c r="G1056" s="70" t="s">
        <x:v>1753</x:v>
      </x:c>
      <x:c r="H1056" s="70" t="s">
        <x:v>849</x:v>
      </x:c>
      <x:c r="I1056" s="70" t="s">
        <x:v>833</x:v>
      </x:c>
      <x:c r="J1056" s="70" t="n">
        <x:v>153</x:v>
      </x:c>
      <x:c r="K1056" s="70" t="s">
        <x:v>1775</x:v>
      </x:c>
      <x:c r="L1056" s="70"/>
      <x:c r="M1056" s="70" t="s">
        <x:v>39</x:v>
      </x:c>
      <x:c r="N1056" s="71" t="n">
        <x:v>35090</x:v>
      </x:c>
      <x:c r="O1056" s="72" t="n">
        <x:f aca="0">N1056/1000</x:f>
        <x:v>35.09</x:v>
      </x:c>
      <x:c r="P1056" s="73" t="n">
        <x:f aca="0">DGKC!G59</x:f>
        <x:v>35.09</x:v>
      </x:c>
      <x:c r="Q1056" s="70" t="str">
        <x:f aca="0">IF(ABS(O1056-P1056)&lt;0.000001,"PASS","FAIL")</x:f>
        <x:v>PASS</x:v>
      </x:c>
      <x:c r="R1056" s="70" t="s">
        <x:v>33</x:v>
      </x:c>
      <x:c r="S1056" s="70"/>
    </x:row>
    <x:row r="1057" ht="15" hidden="0">
      <x:c r="A1057" s="70" t="s">
        <x:v>1969</x:v>
      </x:c>
      <x:c r="B1057" s="70" t="s">
        <x:v>36</x:v>
      </x:c>
      <x:c r="C1057" s="70" t="s">
        <x:v>105</x:v>
      </x:c>
      <x:c r="D1057" s="70" t="s">
        <x:v>184</x:v>
      </x:c>
      <x:c r="E1057" s="70" t="s">
        <x:v>763</x:v>
      </x:c>
      <x:c r="F1057" s="70" t="s">
        <x:v>1968</x:v>
      </x:c>
      <x:c r="G1057" s="70" t="s">
        <x:v>1753</x:v>
      </x:c>
      <x:c r="H1057" s="70" t="s">
        <x:v>849</x:v>
      </x:c>
      <x:c r="I1057" s="70" t="s">
        <x:v>852</x:v>
      </x:c>
      <x:c r="J1057" s="70" t="n">
        <x:v>153</x:v>
      </x:c>
      <x:c r="K1057" s="70" t="s">
        <x:v>1775</x:v>
      </x:c>
      <x:c r="L1057" s="70"/>
      <x:c r="M1057" s="70" t="s">
        <x:v>39</x:v>
      </x:c>
      <x:c r="N1057" s="71" t="n">
        <x:v>365924</x:v>
      </x:c>
      <x:c r="O1057" s="72" t="n">
        <x:f aca="0">N1057/1000</x:f>
        <x:v>365.924</x:v>
      </x:c>
      <x:c r="P1057" s="73" t="n">
        <x:f aca="0">DGKC!H59</x:f>
        <x:v>365.924</x:v>
      </x:c>
      <x:c r="Q1057" s="70" t="str">
        <x:f aca="0">IF(ABS(O1057-P1057)&lt;0.000001,"PASS","FAIL")</x:f>
        <x:v>PASS</x:v>
      </x:c>
      <x:c r="R1057" s="70" t="s">
        <x:v>33</x:v>
      </x:c>
      <x:c r="S1057" s="70"/>
    </x:row>
    <x:row r="1058" ht="15" hidden="0">
      <x:c r="A1058" s="70" t="s">
        <x:v>1970</x:v>
      </x:c>
      <x:c r="B1058" s="70" t="s">
        <x:v>36</x:v>
      </x:c>
      <x:c r="C1058" s="70" t="s">
        <x:v>717</x:v>
      </x:c>
      <x:c r="D1058" s="70" t="s">
        <x:v>186</x:v>
      </x:c>
      <x:c r="E1058" s="70" t="s">
        <x:v>763</x:v>
      </x:c>
      <x:c r="F1058" s="70"/>
      <x:c r="G1058" s="70" t="s">
        <x:v>1742</x:v>
      </x:c>
      <x:c r="H1058" s="70" t="s">
        <x:v>832</x:v>
      </x:c>
      <x:c r="I1058" s="70" t="s">
        <x:v>833</x:v>
      </x:c>
      <x:c r="J1058" s="70" t="n">
        <x:v>133</x:v>
      </x:c>
      <x:c r="K1058" s="70" t="s">
        <x:v>1768</x:v>
      </x:c>
      <x:c r="L1058" s="70"/>
      <x:c r="M1058" s="70" t="s">
        <x:v>39</x:v>
      </x:c>
      <x:c r="N1058" s="71" t="n">
        <x:v>38280</x:v>
      </x:c>
      <x:c r="O1058" s="72" t="n">
        <x:f aca="0">N1058/1000</x:f>
        <x:v>38.28</x:v>
      </x:c>
      <x:c r="P1058" s="73" t="n">
        <x:f aca="0">DGKC!C60</x:f>
        <x:v>38.28</x:v>
      </x:c>
      <x:c r="Q1058" s="70" t="str">
        <x:f aca="0">IF(ABS(O1058-P1058)&lt;0.000001,"PASS","FAIL")</x:f>
        <x:v>PASS</x:v>
      </x:c>
      <x:c r="R1058" s="70" t="s">
        <x:v>33</x:v>
      </x:c>
      <x:c r="S1058" s="70"/>
    </x:row>
    <x:row r="1059" ht="15" hidden="0">
      <x:c r="A1059" s="70" t="s">
        <x:v>1971</x:v>
      </x:c>
      <x:c r="B1059" s="70" t="s">
        <x:v>36</x:v>
      </x:c>
      <x:c r="C1059" s="70" t="s">
        <x:v>101</x:v>
      </x:c>
      <x:c r="D1059" s="70" t="s">
        <x:v>186</x:v>
      </x:c>
      <x:c r="E1059" s="70" t="s">
        <x:v>763</x:v>
      </x:c>
      <x:c r="F1059" s="70"/>
      <x:c r="G1059" s="70" t="s">
        <x:v>1745</x:v>
      </x:c>
      <x:c r="H1059" s="70" t="s">
        <x:v>838</x:v>
      </x:c>
      <x:c r="I1059" s="70" t="s">
        <x:v>833</x:v>
      </x:c>
      <x:c r="J1059" s="70" t="n">
        <x:v>153</x:v>
      </x:c>
      <x:c r="K1059" s="70" t="s">
        <x:v>1770</x:v>
      </x:c>
      <x:c r="L1059" s="70"/>
      <x:c r="M1059" s="70" t="s">
        <x:v>39</x:v>
      </x:c>
      <x:c r="N1059" s="71" t="n">
        <x:v>40717</x:v>
      </x:c>
      <x:c r="O1059" s="72" t="n">
        <x:f aca="0">N1059/1000</x:f>
        <x:v>40.717</x:v>
      </x:c>
      <x:c r="P1059" s="73" t="n">
        <x:f aca="0">DGKC!D60</x:f>
        <x:v>40.717</x:v>
      </x:c>
      <x:c r="Q1059" s="70" t="str">
        <x:f aca="0">IF(ABS(O1059-P1059)&lt;0.000001,"PASS","FAIL")</x:f>
        <x:v>PASS</x:v>
      </x:c>
      <x:c r="R1059" s="70" t="s">
        <x:v>33</x:v>
      </x:c>
      <x:c r="S1059" s="70"/>
    </x:row>
    <x:row r="1060" ht="15" hidden="0">
      <x:c r="A1060" s="70" t="s">
        <x:v>1972</x:v>
      </x:c>
      <x:c r="B1060" s="70" t="s">
        <x:v>36</x:v>
      </x:c>
      <x:c r="C1060" s="70" t="s">
        <x:v>102</x:v>
      </x:c>
      <x:c r="D1060" s="70" t="s">
        <x:v>186</x:v>
      </x:c>
      <x:c r="E1060" s="70" t="s">
        <x:v>763</x:v>
      </x:c>
      <x:c r="F1060" s="70"/>
      <x:c r="G1060" s="70" t="s">
        <x:v>1748</x:v>
      </x:c>
      <x:c r="H1060" s="70" t="s">
        <x:v>842</x:v>
      </x:c>
      <x:c r="I1060" s="70" t="s">
        <x:v>833</x:v>
      </x:c>
      <x:c r="J1060" s="70" t="n">
        <x:v>178</x:v>
      </x:c>
      <x:c r="K1060" s="70" t="s">
        <x:v>1772</x:v>
      </x:c>
      <x:c r="L1060" s="70"/>
      <x:c r="M1060" s="70" t="s">
        <x:v>39</x:v>
      </x:c>
      <x:c r="N1060" s="71" t="n">
        <x:v>22936</x:v>
      </x:c>
      <x:c r="O1060" s="72" t="n">
        <x:f aca="0">N1060/1000</x:f>
        <x:v>22.936</x:v>
      </x:c>
      <x:c r="P1060" s="73" t="n">
        <x:f aca="0">DGKC!E60</x:f>
        <x:v>22.936</x:v>
      </x:c>
      <x:c r="Q1060" s="70" t="str">
        <x:f aca="0">IF(ABS(O1060-P1060)&lt;0.000001,"PASS","FAIL")</x:f>
        <x:v>PASS</x:v>
      </x:c>
      <x:c r="R1060" s="70" t="s">
        <x:v>33</x:v>
      </x:c>
      <x:c r="S1060" s="70"/>
    </x:row>
    <x:row r="1061" ht="15" hidden="0">
      <x:c r="A1061" s="70" t="s">
        <x:v>1973</x:v>
      </x:c>
      <x:c r="B1061" s="70" t="s">
        <x:v>36</x:v>
      </x:c>
      <x:c r="C1061" s="70" t="s">
        <x:v>103</x:v>
      </x:c>
      <x:c r="D1061" s="70" t="s">
        <x:v>186</x:v>
      </x:c>
      <x:c r="E1061" s="70" t="s">
        <x:v>763</x:v>
      </x:c>
      <x:c r="F1061" s="70"/>
      <x:c r="G1061" s="70" t="s">
        <x:v>1751</x:v>
      </x:c>
      <x:c r="H1061" s="70" t="s">
        <x:v>845</x:v>
      </x:c>
      <x:c r="I1061" s="70" t="s">
        <x:v>833</x:v>
      </x:c>
      <x:c r="J1061" s="70" t="n">
        <x:v>180</x:v>
      </x:c>
      <x:c r="K1061" s="70" t="s">
        <x:v>1772</x:v>
      </x:c>
      <x:c r="L1061" s="70"/>
      <x:c r="M1061" s="70" t="s">
        <x:v>39</x:v>
      </x:c>
      <x:c r="N1061" s="71" t="n">
        <x:v>46912</x:v>
      </x:c>
      <x:c r="O1061" s="72" t="n">
        <x:f aca="0">N1061/1000</x:f>
        <x:v>46.912</x:v>
      </x:c>
      <x:c r="P1061" s="73" t="n">
        <x:f aca="0">DGKC!F60</x:f>
        <x:v>46.912</x:v>
      </x:c>
      <x:c r="Q1061" s="70" t="str">
        <x:f aca="0">IF(ABS(O1061-P1061)&lt;0.000001,"PASS","FAIL")</x:f>
        <x:v>PASS</x:v>
      </x:c>
      <x:c r="R1061" s="70" t="s">
        <x:v>33</x:v>
      </x:c>
      <x:c r="S1061" s="70"/>
    </x:row>
    <x:row r="1062" ht="15" hidden="0">
      <x:c r="A1062" s="70" t="s">
        <x:v>1974</x:v>
      </x:c>
      <x:c r="B1062" s="70" t="s">
        <x:v>36</x:v>
      </x:c>
      <x:c r="C1062" s="70" t="s">
        <x:v>104</x:v>
      </x:c>
      <x:c r="D1062" s="70" t="s">
        <x:v>186</x:v>
      </x:c>
      <x:c r="E1062" s="70" t="s">
        <x:v>763</x:v>
      </x:c>
      <x:c r="F1062" s="70"/>
      <x:c r="G1062" s="70" t="s">
        <x:v>1753</x:v>
      </x:c>
      <x:c r="H1062" s="70" t="s">
        <x:v>849</x:v>
      </x:c>
      <x:c r="I1062" s="70" t="s">
        <x:v>833</x:v>
      </x:c>
      <x:c r="J1062" s="70" t="n">
        <x:v>181</x:v>
      </x:c>
      <x:c r="K1062" s="70" t="s">
        <x:v>1775</x:v>
      </x:c>
      <x:c r="L1062" s="70"/>
      <x:c r="M1062" s="70" t="s">
        <x:v>39</x:v>
      </x:c>
      <x:c r="N1062" s="71" t="n">
        <x:v>697</x:v>
      </x:c>
      <x:c r="O1062" s="72" t="n">
        <x:f aca="0">N1062/1000</x:f>
        <x:v>0.697</x:v>
      </x:c>
      <x:c r="P1062" s="73" t="n">
        <x:f aca="0">DGKC!G60</x:f>
        <x:v>0.697</x:v>
      </x:c>
      <x:c r="Q1062" s="70" t="str">
        <x:f aca="0">IF(ABS(O1062-P1062)&lt;0.000001,"PASS","FAIL")</x:f>
        <x:v>PASS</x:v>
      </x:c>
      <x:c r="R1062" s="70" t="s">
        <x:v>33</x:v>
      </x:c>
      <x:c r="S1062" s="70"/>
    </x:row>
    <x:row r="1063" ht="15" hidden="0">
      <x:c r="A1063" s="70" t="s">
        <x:v>1975</x:v>
      </x:c>
      <x:c r="B1063" s="70" t="s">
        <x:v>36</x:v>
      </x:c>
      <x:c r="C1063" s="70" t="s">
        <x:v>105</x:v>
      </x:c>
      <x:c r="D1063" s="70" t="s">
        <x:v>186</x:v>
      </x:c>
      <x:c r="E1063" s="70" t="s">
        <x:v>763</x:v>
      </x:c>
      <x:c r="F1063" s="70"/>
      <x:c r="G1063" s="70" t="s">
        <x:v>1753</x:v>
      </x:c>
      <x:c r="H1063" s="70" t="s">
        <x:v>849</x:v>
      </x:c>
      <x:c r="I1063" s="70" t="s">
        <x:v>852</x:v>
      </x:c>
      <x:c r="J1063" s="70" t="n">
        <x:v>181</x:v>
      </x:c>
      <x:c r="K1063" s="70" t="s">
        <x:v>1775</x:v>
      </x:c>
      <x:c r="L1063" s="70"/>
      <x:c r="M1063" s="70" t="s">
        <x:v>39</x:v>
      </x:c>
      <x:c r="N1063" s="71" t="n">
        <x:v>55006</x:v>
      </x:c>
      <x:c r="O1063" s="72" t="n">
        <x:f aca="0">N1063/1000</x:f>
        <x:v>55.006</x:v>
      </x:c>
      <x:c r="P1063" s="73" t="n">
        <x:f aca="0">DGKC!H60</x:f>
        <x:v>55.006</x:v>
      </x:c>
      <x:c r="Q1063" s="70" t="str">
        <x:f aca="0">IF(ABS(O1063-P1063)&lt;0.000001,"PASS","FAIL")</x:f>
        <x:v>PASS</x:v>
      </x:c>
      <x:c r="R1063" s="70" t="s">
        <x:v>33</x:v>
      </x:c>
      <x:c r="S1063" s="70"/>
    </x:row>
    <x:row r="1064" ht="15" hidden="0">
      <x:c r="A1064" s="70" t="s">
        <x:v>1976</x:v>
      </x:c>
      <x:c r="B1064" s="70" t="s">
        <x:v>36</x:v>
      </x:c>
      <x:c r="C1064" s="70" t="s">
        <x:v>717</x:v>
      </x:c>
      <x:c r="D1064" s="70" t="s">
        <x:v>211</x:v>
      </x:c>
      <x:c r="E1064" s="70" t="s">
        <x:v>763</x:v>
      </x:c>
      <x:c r="F1064" s="70"/>
      <x:c r="G1064" s="70" t="s">
        <x:v>1742</x:v>
      </x:c>
      <x:c r="H1064" s="70" t="s">
        <x:v>832</x:v>
      </x:c>
      <x:c r="I1064" s="70" t="s">
        <x:v>833</x:v>
      </x:c>
      <x:c r="J1064" s="70" t="n">
        <x:v>106</x:v>
      </x:c>
      <x:c r="K1064" s="70" t="s">
        <x:v>1743</x:v>
      </x:c>
      <x:c r="L1064" s="70"/>
      <x:c r="M1064" s="70" t="s">
        <x:v>39</x:v>
      </x:c>
      <x:c r="N1064" s="71" t="n">
        <x:v>129551534</x:v>
      </x:c>
      <x:c r="O1064" s="72" t="n">
        <x:f aca="0">N1064/1000</x:f>
        <x:v>129551.534</x:v>
      </x:c>
      <x:c r="P1064" s="73" t="n">
        <x:f aca="0">DGKC!C75</x:f>
        <x:v>129551.534</x:v>
      </x:c>
      <x:c r="Q1064" s="70" t="str">
        <x:f aca="0">IF(ABS(O1064-P1064)&lt;0.000001,"PASS","FAIL")</x:f>
        <x:v>PASS</x:v>
      </x:c>
      <x:c r="R1064" s="70" t="s">
        <x:v>33</x:v>
      </x:c>
      <x:c r="S1064" s="70"/>
    </x:row>
    <x:row r="1065" ht="15" hidden="0">
      <x:c r="A1065" s="70" t="s">
        <x:v>1977</x:v>
      </x:c>
      <x:c r="B1065" s="70" t="s">
        <x:v>36</x:v>
      </x:c>
      <x:c r="C1065" s="70" t="s">
        <x:v>101</x:v>
      </x:c>
      <x:c r="D1065" s="70" t="s">
        <x:v>211</x:v>
      </x:c>
      <x:c r="E1065" s="70" t="s">
        <x:v>763</x:v>
      </x:c>
      <x:c r="F1065" s="70"/>
      <x:c r="G1065" s="70" t="s">
        <x:v>1745</x:v>
      </x:c>
      <x:c r="H1065" s="70" t="s">
        <x:v>838</x:v>
      </x:c>
      <x:c r="I1065" s="70" t="s">
        <x:v>833</x:v>
      </x:c>
      <x:c r="J1065" s="70" t="n">
        <x:v>126</x:v>
      </x:c>
      <x:c r="K1065" s="70" t="s">
        <x:v>1746</x:v>
      </x:c>
      <x:c r="L1065" s="70"/>
      <x:c r="M1065" s="70" t="s">
        <x:v>39</x:v>
      </x:c>
      <x:c r="N1065" s="71" t="n">
        <x:v>137894697</x:v>
      </x:c>
      <x:c r="O1065" s="72" t="n">
        <x:f aca="0">N1065/1000</x:f>
        <x:v>137894.697</x:v>
      </x:c>
      <x:c r="P1065" s="73" t="n">
        <x:f aca="0">DGKC!D75</x:f>
        <x:v>137894.697</x:v>
      </x:c>
      <x:c r="Q1065" s="70" t="str">
        <x:f aca="0">IF(ABS(O1065-P1065)&lt;0.000001,"PASS","FAIL")</x:f>
        <x:v>PASS</x:v>
      </x:c>
      <x:c r="R1065" s="70" t="s">
        <x:v>33</x:v>
      </x:c>
      <x:c r="S1065" s="70"/>
    </x:row>
    <x:row r="1066" ht="15" hidden="0">
      <x:c r="A1066" s="70" t="s">
        <x:v>1978</x:v>
      </x:c>
      <x:c r="B1066" s="70" t="s">
        <x:v>36</x:v>
      </x:c>
      <x:c r="C1066" s="70" t="s">
        <x:v>102</x:v>
      </x:c>
      <x:c r="D1066" s="70" t="s">
        <x:v>211</x:v>
      </x:c>
      <x:c r="E1066" s="70" t="s">
        <x:v>763</x:v>
      </x:c>
      <x:c r="F1066" s="70"/>
      <x:c r="G1066" s="70" t="s">
        <x:v>1748</x:v>
      </x:c>
      <x:c r="H1066" s="70" t="s">
        <x:v>842</x:v>
      </x:c>
      <x:c r="I1066" s="70" t="s">
        <x:v>833</x:v>
      </x:c>
      <x:c r="J1066" s="70" t="n">
        <x:v>152</x:v>
      </x:c>
      <x:c r="K1066" s="70" t="s">
        <x:v>1749</x:v>
      </x:c>
      <x:c r="L1066" s="70"/>
      <x:c r="M1066" s="70" t="s">
        <x:v>39</x:v>
      </x:c>
      <x:c r="N1066" s="71" t="n">
        <x:v>136562013</x:v>
      </x:c>
      <x:c r="O1066" s="72" t="n">
        <x:f aca="0">N1066/1000</x:f>
        <x:v>136562.013</x:v>
      </x:c>
      <x:c r="P1066" s="73" t="n">
        <x:f aca="0">DGKC!E75</x:f>
        <x:v>136562.013</x:v>
      </x:c>
      <x:c r="Q1066" s="70" t="str">
        <x:f aca="0">IF(ABS(O1066-P1066)&lt;0.000001,"PASS","FAIL")</x:f>
        <x:v>PASS</x:v>
      </x:c>
      <x:c r="R1066" s="70" t="s">
        <x:v>33</x:v>
      </x:c>
      <x:c r="S1066" s="70"/>
    </x:row>
    <x:row r="1067" ht="15" hidden="0">
      <x:c r="A1067" s="70" t="s">
        <x:v>1979</x:v>
      </x:c>
      <x:c r="B1067" s="70" t="s">
        <x:v>36</x:v>
      </x:c>
      <x:c r="C1067" s="70" t="s">
        <x:v>103</x:v>
      </x:c>
      <x:c r="D1067" s="70" t="s">
        <x:v>211</x:v>
      </x:c>
      <x:c r="E1067" s="70" t="s">
        <x:v>763</x:v>
      </x:c>
      <x:c r="F1067" s="70"/>
      <x:c r="G1067" s="70" t="s">
        <x:v>1751</x:v>
      </x:c>
      <x:c r="H1067" s="70" t="s">
        <x:v>845</x:v>
      </x:c>
      <x:c r="I1067" s="70" t="s">
        <x:v>833</x:v>
      </x:c>
      <x:c r="J1067" s="70" t="n">
        <x:v>152</x:v>
      </x:c>
      <x:c r="K1067" s="70" t="s">
        <x:v>1749</x:v>
      </x:c>
      <x:c r="L1067" s="70"/>
      <x:c r="M1067" s="70" t="s">
        <x:v>39</x:v>
      </x:c>
      <x:c r="N1067" s="71" t="n">
        <x:v>134713254</x:v>
      </x:c>
      <x:c r="O1067" s="72" t="n">
        <x:f aca="0">N1067/1000</x:f>
        <x:v>134713.254</x:v>
      </x:c>
      <x:c r="P1067" s="73" t="n">
        <x:f aca="0">DGKC!F75</x:f>
        <x:v>134713.254</x:v>
      </x:c>
      <x:c r="Q1067" s="70" t="str">
        <x:f aca="0">IF(ABS(O1067-P1067)&lt;0.000001,"PASS","FAIL")</x:f>
        <x:v>PASS</x:v>
      </x:c>
      <x:c r="R1067" s="70" t="s">
        <x:v>33</x:v>
      </x:c>
      <x:c r="S1067" s="70"/>
    </x:row>
    <x:row r="1068" ht="15" hidden="0">
      <x:c r="A1068" s="70" t="s">
        <x:v>1980</x:v>
      </x:c>
      <x:c r="B1068" s="70" t="s">
        <x:v>36</x:v>
      </x:c>
      <x:c r="C1068" s="70" t="s">
        <x:v>104</x:v>
      </x:c>
      <x:c r="D1068" s="70" t="s">
        <x:v>211</x:v>
      </x:c>
      <x:c r="E1068" s="70" t="s">
        <x:v>763</x:v>
      </x:c>
      <x:c r="F1068" s="70"/>
      <x:c r="G1068" s="70" t="s">
        <x:v>1753</x:v>
      </x:c>
      <x:c r="H1068" s="70" t="s">
        <x:v>849</x:v>
      </x:c>
      <x:c r="I1068" s="70" t="s">
        <x:v>833</x:v>
      </x:c>
      <x:c r="J1068" s="70" t="n">
        <x:v>154</x:v>
      </x:c>
      <x:c r="K1068" s="70" t="s">
        <x:v>1754</x:v>
      </x:c>
      <x:c r="L1068" s="70"/>
      <x:c r="M1068" s="70" t="s">
        <x:v>39</x:v>
      </x:c>
      <x:c r="N1068" s="71" t="n">
        <x:v>138385754</x:v>
      </x:c>
      <x:c r="O1068" s="72" t="n">
        <x:f aca="0">N1068/1000</x:f>
        <x:v>138385.754</x:v>
      </x:c>
      <x:c r="P1068" s="73" t="n">
        <x:f aca="0">DGKC!G75</x:f>
        <x:v>138385.754</x:v>
      </x:c>
      <x:c r="Q1068" s="70" t="str">
        <x:f aca="0">IF(ABS(O1068-P1068)&lt;0.000001,"PASS","FAIL")</x:f>
        <x:v>PASS</x:v>
      </x:c>
      <x:c r="R1068" s="70" t="s">
        <x:v>33</x:v>
      </x:c>
      <x:c r="S1068" s="70"/>
    </x:row>
    <x:row r="1069" ht="15" hidden="0">
      <x:c r="A1069" s="70" t="s">
        <x:v>1981</x:v>
      </x:c>
      <x:c r="B1069" s="70" t="s">
        <x:v>36</x:v>
      </x:c>
      <x:c r="C1069" s="70" t="s">
        <x:v>105</x:v>
      </x:c>
      <x:c r="D1069" s="70" t="s">
        <x:v>211</x:v>
      </x:c>
      <x:c r="E1069" s="70" t="s">
        <x:v>763</x:v>
      </x:c>
      <x:c r="F1069" s="70"/>
      <x:c r="G1069" s="70" t="s">
        <x:v>1753</x:v>
      </x:c>
      <x:c r="H1069" s="70" t="s">
        <x:v>849</x:v>
      </x:c>
      <x:c r="I1069" s="70" t="s">
        <x:v>852</x:v>
      </x:c>
      <x:c r="J1069" s="70" t="n">
        <x:v>154</x:v>
      </x:c>
      <x:c r="K1069" s="70" t="s">
        <x:v>1754</x:v>
      </x:c>
      <x:c r="L1069" s="70"/>
      <x:c r="M1069" s="70" t="s">
        <x:v>39</x:v>
      </x:c>
      <x:c r="N1069" s="71" t="n">
        <x:v>145924235</x:v>
      </x:c>
      <x:c r="O1069" s="72" t="n">
        <x:f aca="0">N1069/1000</x:f>
        <x:v>145924.235</x:v>
      </x:c>
      <x:c r="P1069" s="73" t="n">
        <x:f aca="0">DGKC!H75</x:f>
        <x:v>145924.235</x:v>
      </x:c>
      <x:c r="Q1069" s="70" t="str">
        <x:f aca="0">IF(ABS(O1069-P1069)&lt;0.000001,"PASS","FAIL")</x:f>
        <x:v>PASS</x:v>
      </x:c>
      <x:c r="R1069" s="70" t="s">
        <x:v>33</x:v>
      </x:c>
      <x:c r="S1069" s="70"/>
    </x:row>
    <x:row r="1070" ht="15" hidden="0">
      <x:c r="A1070" s="70" t="s">
        <x:v>1982</x:v>
      </x:c>
      <x:c r="B1070" s="70" t="s">
        <x:v>36</x:v>
      </x:c>
      <x:c r="C1070" s="70" t="s">
        <x:v>717</x:v>
      </x:c>
      <x:c r="D1070" s="70" t="s">
        <x:v>213</x:v>
      </x:c>
      <x:c r="E1070" s="70" t="s">
        <x:v>763</x:v>
      </x:c>
      <x:c r="F1070" s="70"/>
      <x:c r="G1070" s="70" t="s">
        <x:v>1742</x:v>
      </x:c>
      <x:c r="H1070" s="70" t="s">
        <x:v>832</x:v>
      </x:c>
      <x:c r="I1070" s="70" t="s">
        <x:v>833</x:v>
      </x:c>
      <x:c r="J1070" s="70" t="n">
        <x:v>105</x:v>
      </x:c>
      <x:c r="K1070" s="70" t="s">
        <x:v>1768</x:v>
      </x:c>
      <x:c r="L1070" s="70"/>
      <x:c r="M1070" s="70" t="s">
        <x:v>39</x:v>
      </x:c>
      <x:c r="N1070" s="71" t="n">
        <x:v>66644157</x:v>
      </x:c>
      <x:c r="O1070" s="72" t="n">
        <x:f aca="0">N1070/1000</x:f>
        <x:v>66644.157</x:v>
      </x:c>
      <x:c r="P1070" s="73" t="n">
        <x:f aca="0">DGKC!C76</x:f>
        <x:v>66644.157</x:v>
      </x:c>
      <x:c r="Q1070" s="70" t="str">
        <x:f aca="0">IF(ABS(O1070-P1070)&lt;0.000001,"PASS","FAIL")</x:f>
        <x:v>PASS</x:v>
      </x:c>
      <x:c r="R1070" s="70" t="s">
        <x:v>33</x:v>
      </x:c>
      <x:c r="S1070" s="70"/>
    </x:row>
    <x:row r="1071" ht="15" hidden="0">
      <x:c r="A1071" s="70" t="s">
        <x:v>1983</x:v>
      </x:c>
      <x:c r="B1071" s="70" t="s">
        <x:v>36</x:v>
      </x:c>
      <x:c r="C1071" s="70" t="s">
        <x:v>101</x:v>
      </x:c>
      <x:c r="D1071" s="70" t="s">
        <x:v>213</x:v>
      </x:c>
      <x:c r="E1071" s="70" t="s">
        <x:v>763</x:v>
      </x:c>
      <x:c r="F1071" s="70"/>
      <x:c r="G1071" s="70" t="s">
        <x:v>1745</x:v>
      </x:c>
      <x:c r="H1071" s="70" t="s">
        <x:v>838</x:v>
      </x:c>
      <x:c r="I1071" s="70" t="s">
        <x:v>833</x:v>
      </x:c>
      <x:c r="J1071" s="70" t="n">
        <x:v>125</x:v>
      </x:c>
      <x:c r="K1071" s="70" t="s">
        <x:v>1770</x:v>
      </x:c>
      <x:c r="L1071" s="70"/>
      <x:c r="M1071" s="70" t="s">
        <x:v>39</x:v>
      </x:c>
      <x:c r="N1071" s="71" t="n">
        <x:v>73477873</x:v>
      </x:c>
      <x:c r="O1071" s="72" t="n">
        <x:f aca="0">N1071/1000</x:f>
        <x:v>73477.873</x:v>
      </x:c>
      <x:c r="P1071" s="73" t="n">
        <x:f aca="0">DGKC!D76</x:f>
        <x:v>73477.873</x:v>
      </x:c>
      <x:c r="Q1071" s="70" t="str">
        <x:f aca="0">IF(ABS(O1071-P1071)&lt;0.000001,"PASS","FAIL")</x:f>
        <x:v>PASS</x:v>
      </x:c>
      <x:c r="R1071" s="70" t="s">
        <x:v>33</x:v>
      </x:c>
      <x:c r="S1071" s="70"/>
    </x:row>
    <x:row r="1072" ht="15" hidden="0">
      <x:c r="A1072" s="70" t="s">
        <x:v>1984</x:v>
      </x:c>
      <x:c r="B1072" s="70" t="s">
        <x:v>36</x:v>
      </x:c>
      <x:c r="C1072" s="70" t="s">
        <x:v>102</x:v>
      </x:c>
      <x:c r="D1072" s="70" t="s">
        <x:v>213</x:v>
      </x:c>
      <x:c r="E1072" s="70" t="s">
        <x:v>763</x:v>
      </x:c>
      <x:c r="F1072" s="70"/>
      <x:c r="G1072" s="70" t="s">
        <x:v>1748</x:v>
      </x:c>
      <x:c r="H1072" s="70" t="s">
        <x:v>842</x:v>
      </x:c>
      <x:c r="I1072" s="70" t="s">
        <x:v>833</x:v>
      </x:c>
      <x:c r="J1072" s="70" t="n">
        <x:v>151</x:v>
      </x:c>
      <x:c r="K1072" s="70" t="s">
        <x:v>1772</x:v>
      </x:c>
      <x:c r="L1072" s="70"/>
      <x:c r="M1072" s="70" t="s">
        <x:v>39</x:v>
      </x:c>
      <x:c r="N1072" s="71" t="n">
        <x:v>69918102</x:v>
      </x:c>
      <x:c r="O1072" s="72" t="n">
        <x:f aca="0">N1072/1000</x:f>
        <x:v>69918.102</x:v>
      </x:c>
      <x:c r="P1072" s="73" t="n">
        <x:f aca="0">DGKC!E76</x:f>
        <x:v>69918.102</x:v>
      </x:c>
      <x:c r="Q1072" s="70" t="str">
        <x:f aca="0">IF(ABS(O1072-P1072)&lt;0.000001,"PASS","FAIL")</x:f>
        <x:v>PASS</x:v>
      </x:c>
      <x:c r="R1072" s="70" t="s">
        <x:v>33</x:v>
      </x:c>
      <x:c r="S1072" s="70"/>
    </x:row>
    <x:row r="1073" ht="15" hidden="0">
      <x:c r="A1073" s="70" t="s">
        <x:v>1985</x:v>
      </x:c>
      <x:c r="B1073" s="70" t="s">
        <x:v>36</x:v>
      </x:c>
      <x:c r="C1073" s="70" t="s">
        <x:v>103</x:v>
      </x:c>
      <x:c r="D1073" s="70" t="s">
        <x:v>213</x:v>
      </x:c>
      <x:c r="E1073" s="70" t="s">
        <x:v>763</x:v>
      </x:c>
      <x:c r="F1073" s="70"/>
      <x:c r="G1073" s="70" t="s">
        <x:v>1751</x:v>
      </x:c>
      <x:c r="H1073" s="70" t="s">
        <x:v>845</x:v>
      </x:c>
      <x:c r="I1073" s="70" t="s">
        <x:v>833</x:v>
      </x:c>
      <x:c r="J1073" s="70" t="n">
        <x:v>151</x:v>
      </x:c>
      <x:c r="K1073" s="70" t="s">
        <x:v>1772</x:v>
      </x:c>
      <x:c r="L1073" s="70"/>
      <x:c r="M1073" s="70" t="s">
        <x:v>39</x:v>
      </x:c>
      <x:c r="N1073" s="71" t="n">
        <x:v>64192277</x:v>
      </x:c>
      <x:c r="O1073" s="72" t="n">
        <x:f aca="0">N1073/1000</x:f>
        <x:v>64192.277</x:v>
      </x:c>
      <x:c r="P1073" s="73" t="n">
        <x:f aca="0">DGKC!F76</x:f>
        <x:v>64192.277</x:v>
      </x:c>
      <x:c r="Q1073" s="70" t="str">
        <x:f aca="0">IF(ABS(O1073-P1073)&lt;0.000001,"PASS","FAIL")</x:f>
        <x:v>PASS</x:v>
      </x:c>
      <x:c r="R1073" s="70" t="s">
        <x:v>33</x:v>
      </x:c>
      <x:c r="S1073" s="70"/>
    </x:row>
    <x:row r="1074" ht="15" hidden="0">
      <x:c r="A1074" s="70" t="s">
        <x:v>1986</x:v>
      </x:c>
      <x:c r="B1074" s="70" t="s">
        <x:v>36</x:v>
      </x:c>
      <x:c r="C1074" s="70" t="s">
        <x:v>104</x:v>
      </x:c>
      <x:c r="D1074" s="70" t="s">
        <x:v>213</x:v>
      </x:c>
      <x:c r="E1074" s="70" t="s">
        <x:v>763</x:v>
      </x:c>
      <x:c r="F1074" s="70"/>
      <x:c r="G1074" s="70" t="s">
        <x:v>1753</x:v>
      </x:c>
      <x:c r="H1074" s="70" t="s">
        <x:v>849</x:v>
      </x:c>
      <x:c r="I1074" s="70" t="s">
        <x:v>833</x:v>
      </x:c>
      <x:c r="J1074" s="70" t="n">
        <x:v>153</x:v>
      </x:c>
      <x:c r="K1074" s="70" t="s">
        <x:v>1775</x:v>
      </x:c>
      <x:c r="L1074" s="70"/>
      <x:c r="M1074" s="70" t="s">
        <x:v>39</x:v>
      </x:c>
      <x:c r="N1074" s="71" t="n">
        <x:v>75847538</x:v>
      </x:c>
      <x:c r="O1074" s="72" t="n">
        <x:f aca="0">N1074/1000</x:f>
        <x:v>75847.538</x:v>
      </x:c>
      <x:c r="P1074" s="73" t="n">
        <x:f aca="0">DGKC!G76</x:f>
        <x:v>75847.538</x:v>
      </x:c>
      <x:c r="Q1074" s="70" t="str">
        <x:f aca="0">IF(ABS(O1074-P1074)&lt;0.000001,"PASS","FAIL")</x:f>
        <x:v>PASS</x:v>
      </x:c>
      <x:c r="R1074" s="70" t="s">
        <x:v>33</x:v>
      </x:c>
      <x:c r="S1074" s="70"/>
    </x:row>
    <x:row r="1075" ht="15" hidden="0">
      <x:c r="A1075" s="70" t="s">
        <x:v>1987</x:v>
      </x:c>
      <x:c r="B1075" s="70" t="s">
        <x:v>36</x:v>
      </x:c>
      <x:c r="C1075" s="70" t="s">
        <x:v>105</x:v>
      </x:c>
      <x:c r="D1075" s="70" t="s">
        <x:v>213</x:v>
      </x:c>
      <x:c r="E1075" s="70" t="s">
        <x:v>763</x:v>
      </x:c>
      <x:c r="F1075" s="70"/>
      <x:c r="G1075" s="70" t="s">
        <x:v>1753</x:v>
      </x:c>
      <x:c r="H1075" s="70" t="s">
        <x:v>849</x:v>
      </x:c>
      <x:c r="I1075" s="70" t="s">
        <x:v>852</x:v>
      </x:c>
      <x:c r="J1075" s="70" t="n">
        <x:v>153</x:v>
      </x:c>
      <x:c r="K1075" s="70" t="s">
        <x:v>1775</x:v>
      </x:c>
      <x:c r="L1075" s="70"/>
      <x:c r="M1075" s="70" t="s">
        <x:v>39</x:v>
      </x:c>
      <x:c r="N1075" s="71" t="n">
        <x:v>94667478</x:v>
      </x:c>
      <x:c r="O1075" s="72" t="n">
        <x:f aca="0">N1075/1000</x:f>
        <x:v>94667.478</x:v>
      </x:c>
      <x:c r="P1075" s="73" t="n">
        <x:f aca="0">DGKC!H76</x:f>
        <x:v>94667.478</x:v>
      </x:c>
      <x:c r="Q1075" s="70" t="str">
        <x:f aca="0">IF(ABS(O1075-P1075)&lt;0.000001,"PASS","FAIL")</x:f>
        <x:v>PASS</x:v>
      </x:c>
      <x:c r="R1075" s="70" t="s">
        <x:v>33</x:v>
      </x:c>
      <x:c r="S1075" s="70"/>
    </x:row>
    <x:row r="1076" ht="15" hidden="0">
      <x:c r="A1076" s="70" t="s">
        <x:v>1988</x:v>
      </x:c>
      <x:c r="B1076" s="70" t="s">
        <x:v>36</x:v>
      </x:c>
      <x:c r="C1076" s="70" t="s">
        <x:v>717</x:v>
      </x:c>
      <x:c r="D1076" s="70" t="s">
        <x:v>215</x:v>
      </x:c>
      <x:c r="E1076" s="70" t="s">
        <x:v>763</x:v>
      </x:c>
      <x:c r="F1076" s="70"/>
      <x:c r="G1076" s="70" t="s">
        <x:v>1742</x:v>
      </x:c>
      <x:c r="H1076" s="70" t="s">
        <x:v>832</x:v>
      </x:c>
      <x:c r="I1076" s="70" t="s">
        <x:v>833</x:v>
      </x:c>
      <x:c r="J1076" s="70" t="n">
        <x:v>106</x:v>
      </x:c>
      <x:c r="K1076" s="70" t="s">
        <x:v>1768</x:v>
      </x:c>
      <x:c r="L1076" s="70"/>
      <x:c r="M1076" s="70" t="s">
        <x:v>39</x:v>
      </x:c>
      <x:c r="N1076" s="71" t="n">
        <x:v>34106427</x:v>
      </x:c>
      <x:c r="O1076" s="72" t="n">
        <x:f aca="0">N1076/1000</x:f>
        <x:v>34106.427</x:v>
      </x:c>
      <x:c r="P1076" s="73" t="n">
        <x:f aca="0">DGKC!C77</x:f>
        <x:v>34106.427</x:v>
      </x:c>
      <x:c r="Q1076" s="70" t="str">
        <x:f aca="0">IF(ABS(O1076-P1076)&lt;0.000001,"PASS","FAIL")</x:f>
        <x:v>PASS</x:v>
      </x:c>
      <x:c r="R1076" s="70" t="s">
        <x:v>33</x:v>
      </x:c>
      <x:c r="S1076" s="70"/>
    </x:row>
    <x:row r="1077" ht="15" hidden="0">
      <x:c r="A1077" s="70" t="s">
        <x:v>1989</x:v>
      </x:c>
      <x:c r="B1077" s="70" t="s">
        <x:v>36</x:v>
      </x:c>
      <x:c r="C1077" s="70" t="s">
        <x:v>101</x:v>
      </x:c>
      <x:c r="D1077" s="70" t="s">
        <x:v>215</x:v>
      </x:c>
      <x:c r="E1077" s="70" t="s">
        <x:v>763</x:v>
      </x:c>
      <x:c r="F1077" s="70"/>
      <x:c r="G1077" s="70" t="s">
        <x:v>1745</x:v>
      </x:c>
      <x:c r="H1077" s="70" t="s">
        <x:v>838</x:v>
      </x:c>
      <x:c r="I1077" s="70" t="s">
        <x:v>833</x:v>
      </x:c>
      <x:c r="J1077" s="70" t="n">
        <x:v>126</x:v>
      </x:c>
      <x:c r="K1077" s="70" t="s">
        <x:v>1770</x:v>
      </x:c>
      <x:c r="L1077" s="70"/>
      <x:c r="M1077" s="70" t="s">
        <x:v>39</x:v>
      </x:c>
      <x:c r="N1077" s="71" t="n">
        <x:v>36851264</x:v>
      </x:c>
      <x:c r="O1077" s="72" t="n">
        <x:f aca="0">N1077/1000</x:f>
        <x:v>36851.264</x:v>
      </x:c>
      <x:c r="P1077" s="73" t="n">
        <x:f aca="0">DGKC!D77</x:f>
        <x:v>36851.264</x:v>
      </x:c>
      <x:c r="Q1077" s="70" t="str">
        <x:f aca="0">IF(ABS(O1077-P1077)&lt;0.000001,"PASS","FAIL")</x:f>
        <x:v>PASS</x:v>
      </x:c>
      <x:c r="R1077" s="70" t="s">
        <x:v>33</x:v>
      </x:c>
      <x:c r="S1077" s="70"/>
    </x:row>
    <x:row r="1078" ht="15" hidden="0">
      <x:c r="A1078" s="70" t="s">
        <x:v>1990</x:v>
      </x:c>
      <x:c r="B1078" s="70" t="s">
        <x:v>36</x:v>
      </x:c>
      <x:c r="C1078" s="70" t="s">
        <x:v>102</x:v>
      </x:c>
      <x:c r="D1078" s="70" t="s">
        <x:v>215</x:v>
      </x:c>
      <x:c r="E1078" s="70" t="s">
        <x:v>763</x:v>
      </x:c>
      <x:c r="F1078" s="70"/>
      <x:c r="G1078" s="70" t="s">
        <x:v>1748</x:v>
      </x:c>
      <x:c r="H1078" s="70" t="s">
        <x:v>842</x:v>
      </x:c>
      <x:c r="I1078" s="70" t="s">
        <x:v>833</x:v>
      </x:c>
      <x:c r="J1078" s="70" t="n">
        <x:v>152</x:v>
      </x:c>
      <x:c r="K1078" s="70" t="s">
        <x:v>1772</x:v>
      </x:c>
      <x:c r="L1078" s="70"/>
      <x:c r="M1078" s="70" t="s">
        <x:v>39</x:v>
      </x:c>
      <x:c r="N1078" s="71" t="n">
        <x:v>40813163</x:v>
      </x:c>
      <x:c r="O1078" s="72" t="n">
        <x:f aca="0">N1078/1000</x:f>
        <x:v>40813.163</x:v>
      </x:c>
      <x:c r="P1078" s="73" t="n">
        <x:f aca="0">DGKC!E77</x:f>
        <x:v>40813.163</x:v>
      </x:c>
      <x:c r="Q1078" s="70" t="str">
        <x:f aca="0">IF(ABS(O1078-P1078)&lt;0.000001,"PASS","FAIL")</x:f>
        <x:v>PASS</x:v>
      </x:c>
      <x:c r="R1078" s="70" t="s">
        <x:v>33</x:v>
      </x:c>
      <x:c r="S1078" s="70"/>
    </x:row>
    <x:row r="1079" ht="15" hidden="0">
      <x:c r="A1079" s="70" t="s">
        <x:v>1991</x:v>
      </x:c>
      <x:c r="B1079" s="70" t="s">
        <x:v>36</x:v>
      </x:c>
      <x:c r="C1079" s="70" t="s">
        <x:v>103</x:v>
      </x:c>
      <x:c r="D1079" s="70" t="s">
        <x:v>215</x:v>
      </x:c>
      <x:c r="E1079" s="70" t="s">
        <x:v>763</x:v>
      </x:c>
      <x:c r="F1079" s="70"/>
      <x:c r="G1079" s="70" t="s">
        <x:v>1751</x:v>
      </x:c>
      <x:c r="H1079" s="70" t="s">
        <x:v>845</x:v>
      </x:c>
      <x:c r="I1079" s="70" t="s">
        <x:v>833</x:v>
      </x:c>
      <x:c r="J1079" s="70" t="n">
        <x:v>152</x:v>
      </x:c>
      <x:c r="K1079" s="70" t="s">
        <x:v>1772</x:v>
      </x:c>
      <x:c r="L1079" s="70"/>
      <x:c r="M1079" s="70" t="s">
        <x:v>39</x:v>
      </x:c>
      <x:c r="N1079" s="71" t="n">
        <x:v>39026666</x:v>
      </x:c>
      <x:c r="O1079" s="72" t="n">
        <x:f aca="0">N1079/1000</x:f>
        <x:v>39026.666</x:v>
      </x:c>
      <x:c r="P1079" s="73" t="n">
        <x:f aca="0">DGKC!F77</x:f>
        <x:v>39026.666</x:v>
      </x:c>
      <x:c r="Q1079" s="70" t="str">
        <x:f aca="0">IF(ABS(O1079-P1079)&lt;0.000001,"PASS","FAIL")</x:f>
        <x:v>PASS</x:v>
      </x:c>
      <x:c r="R1079" s="70" t="s">
        <x:v>33</x:v>
      </x:c>
      <x:c r="S1079" s="70"/>
    </x:row>
    <x:row r="1080" ht="15" hidden="0">
      <x:c r="A1080" s="70" t="s">
        <x:v>1992</x:v>
      </x:c>
      <x:c r="B1080" s="70" t="s">
        <x:v>36</x:v>
      </x:c>
      <x:c r="C1080" s="70" t="s">
        <x:v>104</x:v>
      </x:c>
      <x:c r="D1080" s="70" t="s">
        <x:v>215</x:v>
      </x:c>
      <x:c r="E1080" s="70" t="s">
        <x:v>763</x:v>
      </x:c>
      <x:c r="F1080" s="70"/>
      <x:c r="G1080" s="70" t="s">
        <x:v>1753</x:v>
      </x:c>
      <x:c r="H1080" s="70" t="s">
        <x:v>849</x:v>
      </x:c>
      <x:c r="I1080" s="70" t="s">
        <x:v>833</x:v>
      </x:c>
      <x:c r="J1080" s="70" t="n">
        <x:v>154</x:v>
      </x:c>
      <x:c r="K1080" s="70" t="s">
        <x:v>1775</x:v>
      </x:c>
      <x:c r="L1080" s="70"/>
      <x:c r="M1080" s="70" t="s">
        <x:v>39</x:v>
      </x:c>
      <x:c r="N1080" s="71" t="n">
        <x:v>41770521</x:v>
      </x:c>
      <x:c r="O1080" s="72" t="n">
        <x:f aca="0">N1080/1000</x:f>
        <x:v>41770.521</x:v>
      </x:c>
      <x:c r="P1080" s="73" t="n">
        <x:f aca="0">DGKC!G77</x:f>
        <x:v>41770.521</x:v>
      </x:c>
      <x:c r="Q1080" s="70" t="str">
        <x:f aca="0">IF(ABS(O1080-P1080)&lt;0.000001,"PASS","FAIL")</x:f>
        <x:v>PASS</x:v>
      </x:c>
      <x:c r="R1080" s="70" t="s">
        <x:v>33</x:v>
      </x:c>
      <x:c r="S1080" s="70"/>
    </x:row>
    <x:row r="1081" ht="15" hidden="0">
      <x:c r="A1081" s="70" t="s">
        <x:v>1993</x:v>
      </x:c>
      <x:c r="B1081" s="70" t="s">
        <x:v>36</x:v>
      </x:c>
      <x:c r="C1081" s="70" t="s">
        <x:v>105</x:v>
      </x:c>
      <x:c r="D1081" s="70" t="s">
        <x:v>215</x:v>
      </x:c>
      <x:c r="E1081" s="70" t="s">
        <x:v>763</x:v>
      </x:c>
      <x:c r="F1081" s="70"/>
      <x:c r="G1081" s="70" t="s">
        <x:v>1753</x:v>
      </x:c>
      <x:c r="H1081" s="70" t="s">
        <x:v>849</x:v>
      </x:c>
      <x:c r="I1081" s="70" t="s">
        <x:v>852</x:v>
      </x:c>
      <x:c r="J1081" s="70" t="n">
        <x:v>154</x:v>
      </x:c>
      <x:c r="K1081" s="70" t="s">
        <x:v>1775</x:v>
      </x:c>
      <x:c r="L1081" s="70"/>
      <x:c r="M1081" s="70" t="s">
        <x:v>39</x:v>
      </x:c>
      <x:c r="N1081" s="71" t="n">
        <x:v>47908042</x:v>
      </x:c>
      <x:c r="O1081" s="72" t="n">
        <x:f aca="0">N1081/1000</x:f>
        <x:v>47908.042</x:v>
      </x:c>
      <x:c r="P1081" s="73" t="n">
        <x:f aca="0">DGKC!H77</x:f>
        <x:v>47908.042</x:v>
      </x:c>
      <x:c r="Q1081" s="70" t="str">
        <x:f aca="0">IF(ABS(O1081-P1081)&lt;0.000001,"PASS","FAIL")</x:f>
        <x:v>PASS</x:v>
      </x:c>
      <x:c r="R1081" s="70" t="s">
        <x:v>33</x:v>
      </x:c>
      <x:c r="S1081" s="70"/>
    </x:row>
    <x:row r="1082" ht="15" hidden="0">
      <x:c r="A1082" s="70" t="s">
        <x:v>1994</x:v>
      </x:c>
      <x:c r="B1082" s="70" t="s">
        <x:v>36</x:v>
      </x:c>
      <x:c r="C1082" s="70" t="s">
        <x:v>717</x:v>
      </x:c>
      <x:c r="D1082" s="70" t="s">
        <x:v>217</x:v>
      </x:c>
      <x:c r="E1082" s="70" t="s">
        <x:v>763</x:v>
      </x:c>
      <x:c r="F1082" s="70"/>
      <x:c r="G1082" s="70" t="s">
        <x:v>1742</x:v>
      </x:c>
      <x:c r="H1082" s="70" t="s">
        <x:v>832</x:v>
      </x:c>
      <x:c r="I1082" s="70" t="s">
        <x:v>833</x:v>
      </x:c>
      <x:c r="J1082" s="70" t="n">
        <x:v>105</x:v>
      </x:c>
      <x:c r="K1082" s="70" t="s">
        <x:v>1768</x:v>
      </x:c>
      <x:c r="L1082" s="70"/>
      <x:c r="M1082" s="70" t="s">
        <x:v>39</x:v>
      </x:c>
      <x:c r="N1082" s="71" t="n">
        <x:v>37624257</x:v>
      </x:c>
      <x:c r="O1082" s="72" t="n">
        <x:f aca="0">N1082/1000</x:f>
        <x:v>37624.257</x:v>
      </x:c>
      <x:c r="P1082" s="73" t="n">
        <x:f aca="0">DGKC!C78</x:f>
        <x:v>37624.257</x:v>
      </x:c>
      <x:c r="Q1082" s="70" t="str">
        <x:f aca="0">IF(ABS(O1082-P1082)&lt;0.000001,"PASS","FAIL")</x:f>
        <x:v>PASS</x:v>
      </x:c>
      <x:c r="R1082" s="70" t="s">
        <x:v>33</x:v>
      </x:c>
      <x:c r="S1082" s="70"/>
    </x:row>
    <x:row r="1083" ht="15" hidden="0">
      <x:c r="A1083" s="70" t="s">
        <x:v>1995</x:v>
      </x:c>
      <x:c r="B1083" s="70" t="s">
        <x:v>36</x:v>
      </x:c>
      <x:c r="C1083" s="70" t="s">
        <x:v>101</x:v>
      </x:c>
      <x:c r="D1083" s="70" t="s">
        <x:v>217</x:v>
      </x:c>
      <x:c r="E1083" s="70" t="s">
        <x:v>763</x:v>
      </x:c>
      <x:c r="F1083" s="70"/>
      <x:c r="G1083" s="70" t="s">
        <x:v>1745</x:v>
      </x:c>
      <x:c r="H1083" s="70" t="s">
        <x:v>838</x:v>
      </x:c>
      <x:c r="I1083" s="70" t="s">
        <x:v>833</x:v>
      </x:c>
      <x:c r="J1083" s="70" t="n">
        <x:v>125</x:v>
      </x:c>
      <x:c r="K1083" s="70" t="s">
        <x:v>1770</x:v>
      </x:c>
      <x:c r="L1083" s="70"/>
      <x:c r="M1083" s="70" t="s">
        <x:v>39</x:v>
      </x:c>
      <x:c r="N1083" s="71" t="n">
        <x:v>40295520</x:v>
      </x:c>
      <x:c r="O1083" s="72" t="n">
        <x:f aca="0">N1083/1000</x:f>
        <x:v>40295.52</x:v>
      </x:c>
      <x:c r="P1083" s="73" t="n">
        <x:f aca="0">DGKC!D78</x:f>
        <x:v>40295.52</x:v>
      </x:c>
      <x:c r="Q1083" s="70" t="str">
        <x:f aca="0">IF(ABS(O1083-P1083)&lt;0.000001,"PASS","FAIL")</x:f>
        <x:v>PASS</x:v>
      </x:c>
      <x:c r="R1083" s="70" t="s">
        <x:v>33</x:v>
      </x:c>
      <x:c r="S1083" s="70"/>
    </x:row>
    <x:row r="1084" ht="15" hidden="0">
      <x:c r="A1084" s="70" t="s">
        <x:v>1996</x:v>
      </x:c>
      <x:c r="B1084" s="70" t="s">
        <x:v>36</x:v>
      </x:c>
      <x:c r="C1084" s="70" t="s">
        <x:v>102</x:v>
      </x:c>
      <x:c r="D1084" s="70" t="s">
        <x:v>217</x:v>
      </x:c>
      <x:c r="E1084" s="70" t="s">
        <x:v>763</x:v>
      </x:c>
      <x:c r="F1084" s="70"/>
      <x:c r="G1084" s="70" t="s">
        <x:v>1748</x:v>
      </x:c>
      <x:c r="H1084" s="70" t="s">
        <x:v>842</x:v>
      </x:c>
      <x:c r="I1084" s="70" t="s">
        <x:v>833</x:v>
      </x:c>
      <x:c r="J1084" s="70" t="n">
        <x:v>151</x:v>
      </x:c>
      <x:c r="K1084" s="70" t="s">
        <x:v>1772</x:v>
      </x:c>
      <x:c r="L1084" s="70"/>
      <x:c r="M1084" s="70" t="s">
        <x:v>39</x:v>
      </x:c>
      <x:c r="N1084" s="71" t="n">
        <x:v>46089031</x:v>
      </x:c>
      <x:c r="O1084" s="72" t="n">
        <x:f aca="0">N1084/1000</x:f>
        <x:v>46089.031</x:v>
      </x:c>
      <x:c r="P1084" s="73" t="n">
        <x:f aca="0">DGKC!E78</x:f>
        <x:v>46089.031</x:v>
      </x:c>
      <x:c r="Q1084" s="70" t="str">
        <x:f aca="0">IF(ABS(O1084-P1084)&lt;0.000001,"PASS","FAIL")</x:f>
        <x:v>PASS</x:v>
      </x:c>
      <x:c r="R1084" s="70" t="s">
        <x:v>33</x:v>
      </x:c>
      <x:c r="S1084" s="70"/>
    </x:row>
    <x:row r="1085" ht="15" hidden="0">
      <x:c r="A1085" s="70" t="s">
        <x:v>1997</x:v>
      </x:c>
      <x:c r="B1085" s="70" t="s">
        <x:v>36</x:v>
      </x:c>
      <x:c r="C1085" s="70" t="s">
        <x:v>103</x:v>
      </x:c>
      <x:c r="D1085" s="70" t="s">
        <x:v>217</x:v>
      </x:c>
      <x:c r="E1085" s="70" t="s">
        <x:v>763</x:v>
      </x:c>
      <x:c r="F1085" s="70"/>
      <x:c r="G1085" s="70" t="s">
        <x:v>1751</x:v>
      </x:c>
      <x:c r="H1085" s="70" t="s">
        <x:v>845</x:v>
      </x:c>
      <x:c r="I1085" s="70" t="s">
        <x:v>833</x:v>
      </x:c>
      <x:c r="J1085" s="70" t="n">
        <x:v>151</x:v>
      </x:c>
      <x:c r="K1085" s="70" t="s">
        <x:v>1772</x:v>
      </x:c>
      <x:c r="L1085" s="70"/>
      <x:c r="M1085" s="70" t="s">
        <x:v>39</x:v>
      </x:c>
      <x:c r="N1085" s="71" t="n">
        <x:v>48675790</x:v>
      </x:c>
      <x:c r="O1085" s="72" t="n">
        <x:f aca="0">N1085/1000</x:f>
        <x:v>48675.79</x:v>
      </x:c>
      <x:c r="P1085" s="73" t="n">
        <x:f aca="0">DGKC!F78</x:f>
        <x:v>48675.79</x:v>
      </x:c>
      <x:c r="Q1085" s="70" t="str">
        <x:f aca="0">IF(ABS(O1085-P1085)&lt;0.000001,"PASS","FAIL")</x:f>
        <x:v>PASS</x:v>
      </x:c>
      <x:c r="R1085" s="70" t="s">
        <x:v>33</x:v>
      </x:c>
      <x:c r="S1085" s="70"/>
    </x:row>
    <x:row r="1086" ht="15" hidden="0">
      <x:c r="A1086" s="70" t="s">
        <x:v>1998</x:v>
      </x:c>
      <x:c r="B1086" s="70" t="s">
        <x:v>36</x:v>
      </x:c>
      <x:c r="C1086" s="70" t="s">
        <x:v>104</x:v>
      </x:c>
      <x:c r="D1086" s="70" t="s">
        <x:v>217</x:v>
      </x:c>
      <x:c r="E1086" s="70" t="s">
        <x:v>763</x:v>
      </x:c>
      <x:c r="F1086" s="70"/>
      <x:c r="G1086" s="70" t="s">
        <x:v>1753</x:v>
      </x:c>
      <x:c r="H1086" s="70" t="s">
        <x:v>849</x:v>
      </x:c>
      <x:c r="I1086" s="70" t="s">
        <x:v>833</x:v>
      </x:c>
      <x:c r="J1086" s="70" t="n">
        <x:v>153</x:v>
      </x:c>
      <x:c r="K1086" s="70" t="s">
        <x:v>1775</x:v>
      </x:c>
      <x:c r="L1086" s="70"/>
      <x:c r="M1086" s="70" t="s">
        <x:v>39</x:v>
      </x:c>
      <x:c r="N1086" s="71" t="n">
        <x:v>32225717</x:v>
      </x:c>
      <x:c r="O1086" s="72" t="n">
        <x:f aca="0">N1086/1000</x:f>
        <x:v>32225.717</x:v>
      </x:c>
      <x:c r="P1086" s="73" t="n">
        <x:f aca="0">DGKC!G78</x:f>
        <x:v>32225.717</x:v>
      </x:c>
      <x:c r="Q1086" s="70" t="str">
        <x:f aca="0">IF(ABS(O1086-P1086)&lt;0.000001,"PASS","FAIL")</x:f>
        <x:v>PASS</x:v>
      </x:c>
      <x:c r="R1086" s="70" t="s">
        <x:v>33</x:v>
      </x:c>
      <x:c r="S1086" s="70"/>
    </x:row>
    <x:row r="1087" ht="15" hidden="0">
      <x:c r="A1087" s="70" t="s">
        <x:v>1999</x:v>
      </x:c>
      <x:c r="B1087" s="70" t="s">
        <x:v>36</x:v>
      </x:c>
      <x:c r="C1087" s="70" t="s">
        <x:v>105</x:v>
      </x:c>
      <x:c r="D1087" s="70" t="s">
        <x:v>217</x:v>
      </x:c>
      <x:c r="E1087" s="70" t="s">
        <x:v>763</x:v>
      </x:c>
      <x:c r="F1087" s="70"/>
      <x:c r="G1087" s="70" t="s">
        <x:v>1753</x:v>
      </x:c>
      <x:c r="H1087" s="70" t="s">
        <x:v>849</x:v>
      </x:c>
      <x:c r="I1087" s="70" t="s">
        <x:v>852</x:v>
      </x:c>
      <x:c r="J1087" s="70" t="n">
        <x:v>153</x:v>
      </x:c>
      <x:c r="K1087" s="70" t="s">
        <x:v>1775</x:v>
      </x:c>
      <x:c r="L1087" s="70"/>
      <x:c r="M1087" s="70" t="s">
        <x:v>39</x:v>
      </x:c>
      <x:c r="N1087" s="71" t="n">
        <x:v>25910920</x:v>
      </x:c>
      <x:c r="O1087" s="72" t="n">
        <x:f aca="0">N1087/1000</x:f>
        <x:v>25910.92</x:v>
      </x:c>
      <x:c r="P1087" s="73" t="n">
        <x:f aca="0">DGKC!H78</x:f>
        <x:v>25910.92</x:v>
      </x:c>
      <x:c r="Q1087" s="70" t="str">
        <x:f aca="0">IF(ABS(O1087-P1087)&lt;0.000001,"PASS","FAIL")</x:f>
        <x:v>PASS</x:v>
      </x:c>
      <x:c r="R1087" s="70" t="s">
        <x:v>33</x:v>
      </x:c>
      <x:c r="S1087" s="70"/>
    </x:row>
    <x:row r="1088" ht="15" hidden="0">
      <x:c r="A1088" s="70" t="s">
        <x:v>2000</x:v>
      </x:c>
      <x:c r="B1088" s="70" t="s">
        <x:v>36</x:v>
      </x:c>
      <x:c r="C1088" s="70" t="s">
        <x:v>101</x:v>
      </x:c>
      <x:c r="D1088" s="70" t="s">
        <x:v>224</x:v>
      </x:c>
      <x:c r="E1088" s="70" t="s">
        <x:v>1106</x:v>
      </x:c>
      <x:c r="F1088" s="70" t="s">
        <x:v>2001</x:v>
      </x:c>
      <x:c r="G1088" s="70" t="s">
        <x:v>1745</x:v>
      </x:c>
      <x:c r="H1088" s="70" t="s">
        <x:v>838</x:v>
      </x:c>
      <x:c r="I1088" s="70" t="s">
        <x:v>833</x:v>
      </x:c>
      <x:c r="J1088" s="70" t="n">
        <x:v>127</x:v>
      </x:c>
      <x:c r="K1088" s="70" t="s">
        <x:v>2002</x:v>
      </x:c>
      <x:c r="L1088" s="70"/>
      <x:c r="M1088" s="70" t="s">
        <x:v>39</x:v>
      </x:c>
      <x:c r="N1088" s="71" t="n">
        <x:v>45107690</x:v>
      </x:c>
      <x:c r="O1088" s="72" t="n">
        <x:f aca="0">N1088/1000</x:f>
        <x:v>45107.69</x:v>
      </x:c>
      <x:c r="P1088" s="73" t="n">
        <x:f aca="0">DGKC!D84</x:f>
        <x:v>45107.69</x:v>
      </x:c>
      <x:c r="Q1088" s="70" t="str">
        <x:f aca="0">IF(ABS(O1088-P1088)&lt;0.000001,"PASS","FAIL")</x:f>
        <x:v>PASS</x:v>
      </x:c>
      <x:c r="R1088" s="70" t="s">
        <x:v>33</x:v>
      </x:c>
      <x:c r="S1088" s="70"/>
    </x:row>
    <x:row r="1089" ht="15" hidden="0">
      <x:c r="A1089" s="70" t="s">
        <x:v>2003</x:v>
      </x:c>
      <x:c r="B1089" s="70" t="s">
        <x:v>36</x:v>
      </x:c>
      <x:c r="C1089" s="70" t="s">
        <x:v>102</x:v>
      </x:c>
      <x:c r="D1089" s="70" t="s">
        <x:v>224</x:v>
      </x:c>
      <x:c r="E1089" s="70" t="s">
        <x:v>1106</x:v>
      </x:c>
      <x:c r="F1089" s="70" t="s">
        <x:v>2001</x:v>
      </x:c>
      <x:c r="G1089" s="70" t="s">
        <x:v>1748</x:v>
      </x:c>
      <x:c r="H1089" s="70" t="s">
        <x:v>842</x:v>
      </x:c>
      <x:c r="I1089" s="70" t="s">
        <x:v>833</x:v>
      </x:c>
      <x:c r="J1089" s="70" t="n">
        <x:v>153</x:v>
      </x:c>
      <x:c r="K1089" s="70" t="s">
        <x:v>1775</x:v>
      </x:c>
      <x:c r="L1089" s="70"/>
      <x:c r="M1089" s="70" t="s">
        <x:v>39</x:v>
      </x:c>
      <x:c r="N1089" s="71" t="n">
        <x:v>58043863</x:v>
      </x:c>
      <x:c r="O1089" s="72" t="n">
        <x:f aca="0">N1089/1000</x:f>
        <x:v>58043.863</x:v>
      </x:c>
      <x:c r="P1089" s="73" t="n">
        <x:f aca="0">DGKC!E84</x:f>
        <x:v>58043.863</x:v>
      </x:c>
      <x:c r="Q1089" s="70" t="str">
        <x:f aca="0">IF(ABS(O1089-P1089)&lt;0.000001,"PASS","FAIL")</x:f>
        <x:v>PASS</x:v>
      </x:c>
      <x:c r="R1089" s="70" t="s">
        <x:v>33</x:v>
      </x:c>
      <x:c r="S1089" s="70"/>
    </x:row>
    <x:row r="1090" ht="15" hidden="0">
      <x:c r="A1090" s="70" t="s">
        <x:v>2004</x:v>
      </x:c>
      <x:c r="B1090" s="70" t="s">
        <x:v>36</x:v>
      </x:c>
      <x:c r="C1090" s="70" t="s">
        <x:v>103</x:v>
      </x:c>
      <x:c r="D1090" s="70" t="s">
        <x:v>224</x:v>
      </x:c>
      <x:c r="E1090" s="70" t="s">
        <x:v>1106</x:v>
      </x:c>
      <x:c r="F1090" s="70" t="s">
        <x:v>2001</x:v>
      </x:c>
      <x:c r="G1090" s="70" t="s">
        <x:v>1751</x:v>
      </x:c>
      <x:c r="H1090" s="70" t="s">
        <x:v>845</x:v>
      </x:c>
      <x:c r="I1090" s="70" t="s">
        <x:v>833</x:v>
      </x:c>
      <x:c r="J1090" s="70" t="n">
        <x:v>153</x:v>
      </x:c>
      <x:c r="K1090" s="70" t="s">
        <x:v>1775</x:v>
      </x:c>
      <x:c r="L1090" s="70"/>
      <x:c r="M1090" s="70" t="s">
        <x:v>39</x:v>
      </x:c>
      <x:c r="N1090" s="71" t="n">
        <x:v>64983821</x:v>
      </x:c>
      <x:c r="O1090" s="72" t="n">
        <x:f aca="0">N1090/1000</x:f>
        <x:v>64983.821</x:v>
      </x:c>
      <x:c r="P1090" s="73" t="n">
        <x:f aca="0">DGKC!F84</x:f>
        <x:v>64983.821</x:v>
      </x:c>
      <x:c r="Q1090" s="70" t="str">
        <x:f aca="0">IF(ABS(O1090-P1090)&lt;0.000001,"PASS","FAIL")</x:f>
        <x:v>PASS</x:v>
      </x:c>
      <x:c r="R1090" s="70" t="s">
        <x:v>33</x:v>
      </x:c>
      <x:c r="S1090" s="70"/>
    </x:row>
    <x:row r="1091" ht="15" hidden="0">
      <x:c r="A1091" s="70" t="s">
        <x:v>2005</x:v>
      </x:c>
      <x:c r="B1091" s="70" t="s">
        <x:v>36</x:v>
      </x:c>
      <x:c r="C1091" s="70" t="s">
        <x:v>104</x:v>
      </x:c>
      <x:c r="D1091" s="70" t="s">
        <x:v>224</x:v>
      </x:c>
      <x:c r="E1091" s="70" t="s">
        <x:v>1106</x:v>
      </x:c>
      <x:c r="F1091" s="70" t="s">
        <x:v>2006</x:v>
      </x:c>
      <x:c r="G1091" s="70" t="s">
        <x:v>1753</x:v>
      </x:c>
      <x:c r="H1091" s="70" t="s">
        <x:v>849</x:v>
      </x:c>
      <x:c r="I1091" s="70" t="s">
        <x:v>833</x:v>
      </x:c>
      <x:c r="J1091" s="70" t="n">
        <x:v>155</x:v>
      </x:c>
      <x:c r="K1091" s="70" t="s">
        <x:v>1905</x:v>
      </x:c>
      <x:c r="L1091" s="70"/>
      <x:c r="M1091" s="70" t="s">
        <x:v>39</x:v>
      </x:c>
      <x:c r="N1091" s="71" t="n">
        <x:v>66038689</x:v>
      </x:c>
      <x:c r="O1091" s="72" t="n">
        <x:f aca="0">N1091/1000</x:f>
        <x:v>66038.689</x:v>
      </x:c>
      <x:c r="P1091" s="73" t="n">
        <x:f aca="0">DGKC!G84</x:f>
        <x:v>66038.689</x:v>
      </x:c>
      <x:c r="Q1091" s="70" t="str">
        <x:f aca="0">IF(ABS(O1091-P1091)&lt;0.000001,"PASS","FAIL")</x:f>
        <x:v>PASS</x:v>
      </x:c>
      <x:c r="R1091" s="70" t="s">
        <x:v>33</x:v>
      </x:c>
      <x:c r="S1091" s="70"/>
    </x:row>
    <x:row r="1092" ht="15" hidden="0">
      <x:c r="A1092" s="70" t="s">
        <x:v>2007</x:v>
      </x:c>
      <x:c r="B1092" s="70" t="s">
        <x:v>36</x:v>
      </x:c>
      <x:c r="C1092" s="70" t="s">
        <x:v>105</x:v>
      </x:c>
      <x:c r="D1092" s="70" t="s">
        <x:v>224</x:v>
      </x:c>
      <x:c r="E1092" s="70" t="s">
        <x:v>1106</x:v>
      </x:c>
      <x:c r="F1092" s="70" t="s">
        <x:v>2006</x:v>
      </x:c>
      <x:c r="G1092" s="70" t="s">
        <x:v>1753</x:v>
      </x:c>
      <x:c r="H1092" s="70" t="s">
        <x:v>849</x:v>
      </x:c>
      <x:c r="I1092" s="70" t="s">
        <x:v>852</x:v>
      </x:c>
      <x:c r="J1092" s="70" t="n">
        <x:v>155</x:v>
      </x:c>
      <x:c r="K1092" s="70" t="s">
        <x:v>1905</x:v>
      </x:c>
      <x:c r="L1092" s="70"/>
      <x:c r="M1092" s="70" t="s">
        <x:v>39</x:v>
      </x:c>
      <x:c r="N1092" s="71" t="n">
        <x:v>71892837</x:v>
      </x:c>
      <x:c r="O1092" s="72" t="n">
        <x:f aca="0">N1092/1000</x:f>
        <x:v>71892.837</x:v>
      </x:c>
      <x:c r="P1092" s="73" t="n">
        <x:f aca="0">DGKC!H84</x:f>
        <x:v>71892.837</x:v>
      </x:c>
      <x:c r="Q1092" s="70" t="str">
        <x:f aca="0">IF(ABS(O1092-P1092)&lt;0.000001,"PASS","FAIL")</x:f>
        <x:v>PASS</x:v>
      </x:c>
      <x:c r="R1092" s="70" t="s">
        <x:v>33</x:v>
      </x:c>
      <x:c r="S1092" s="70"/>
    </x:row>
    <x:row r="1093" ht="15" hidden="0">
      <x:c r="A1093" s="70" t="s">
        <x:v>2008</x:v>
      </x:c>
      <x:c r="B1093" s="70" t="s">
        <x:v>36</x:v>
      </x:c>
      <x:c r="C1093" s="70" t="s">
        <x:v>101</x:v>
      </x:c>
      <x:c r="D1093" s="70" t="s">
        <x:v>226</x:v>
      </x:c>
      <x:c r="E1093" s="70" t="s">
        <x:v>1106</x:v>
      </x:c>
      <x:c r="F1093" s="70" t="s">
        <x:v>226</x:v>
      </x:c>
      <x:c r="G1093" s="70" t="s">
        <x:v>1745</x:v>
      </x:c>
      <x:c r="H1093" s="70" t="s">
        <x:v>838</x:v>
      </x:c>
      <x:c r="I1093" s="70" t="s">
        <x:v>833</x:v>
      </x:c>
      <x:c r="J1093" s="70" t="n">
        <x:v>127</x:v>
      </x:c>
      <x:c r="K1093" s="70" t="s">
        <x:v>2002</x:v>
      </x:c>
      <x:c r="L1093" s="70"/>
      <x:c r="M1093" s="70" t="s">
        <x:v>39</x:v>
      </x:c>
      <x:c r="N1093" s="71" t="n">
        <x:v>-37035798</x:v>
      </x:c>
      <x:c r="O1093" s="72" t="n">
        <x:f aca="0">N1093/1000</x:f>
        <x:v>-37035.798</x:v>
      </x:c>
      <x:c r="P1093" s="73" t="n">
        <x:f aca="0">DGKC!D85</x:f>
        <x:v>-37035.798</x:v>
      </x:c>
      <x:c r="Q1093" s="70" t="str">
        <x:f aca="0">IF(ABS(O1093-P1093)&lt;0.000001,"PASS","FAIL")</x:f>
        <x:v>PASS</x:v>
      </x:c>
      <x:c r="R1093" s="70" t="s">
        <x:v>33</x:v>
      </x:c>
      <x:c r="S1093" s="70"/>
    </x:row>
    <x:row r="1094" ht="15" hidden="0">
      <x:c r="A1094" s="70" t="s">
        <x:v>2009</x:v>
      </x:c>
      <x:c r="B1094" s="70" t="s">
        <x:v>36</x:v>
      </x:c>
      <x:c r="C1094" s="70" t="s">
        <x:v>102</x:v>
      </x:c>
      <x:c r="D1094" s="70" t="s">
        <x:v>226</x:v>
      </x:c>
      <x:c r="E1094" s="70" t="s">
        <x:v>1106</x:v>
      </x:c>
      <x:c r="F1094" s="70" t="s">
        <x:v>226</x:v>
      </x:c>
      <x:c r="G1094" s="70" t="s">
        <x:v>1748</x:v>
      </x:c>
      <x:c r="H1094" s="70" t="s">
        <x:v>842</x:v>
      </x:c>
      <x:c r="I1094" s="70" t="s">
        <x:v>833</x:v>
      </x:c>
      <x:c r="J1094" s="70" t="n">
        <x:v>153</x:v>
      </x:c>
      <x:c r="K1094" s="70" t="s">
        <x:v>1775</x:v>
      </x:c>
      <x:c r="L1094" s="70"/>
      <x:c r="M1094" s="70" t="s">
        <x:v>39</x:v>
      </x:c>
      <x:c r="N1094" s="71" t="n">
        <x:v>-47615551</x:v>
      </x:c>
      <x:c r="O1094" s="72" t="n">
        <x:f aca="0">N1094/1000</x:f>
        <x:v>-47615.551</x:v>
      </x:c>
      <x:c r="P1094" s="73" t="n">
        <x:f aca="0">DGKC!E85</x:f>
        <x:v>-47615.551</x:v>
      </x:c>
      <x:c r="Q1094" s="70" t="str">
        <x:f aca="0">IF(ABS(O1094-P1094)&lt;0.000001,"PASS","FAIL")</x:f>
        <x:v>PASS</x:v>
      </x:c>
      <x:c r="R1094" s="70" t="s">
        <x:v>33</x:v>
      </x:c>
      <x:c r="S1094" s="70"/>
    </x:row>
    <x:row r="1095" ht="15" hidden="0">
      <x:c r="A1095" s="70" t="s">
        <x:v>2010</x:v>
      </x:c>
      <x:c r="B1095" s="70" t="s">
        <x:v>36</x:v>
      </x:c>
      <x:c r="C1095" s="70" t="s">
        <x:v>103</x:v>
      </x:c>
      <x:c r="D1095" s="70" t="s">
        <x:v>226</x:v>
      </x:c>
      <x:c r="E1095" s="70" t="s">
        <x:v>1106</x:v>
      </x:c>
      <x:c r="F1095" s="70" t="s">
        <x:v>226</x:v>
      </x:c>
      <x:c r="G1095" s="70" t="s">
        <x:v>1751</x:v>
      </x:c>
      <x:c r="H1095" s="70" t="s">
        <x:v>845</x:v>
      </x:c>
      <x:c r="I1095" s="70" t="s">
        <x:v>833</x:v>
      </x:c>
      <x:c r="J1095" s="70" t="n">
        <x:v>153</x:v>
      </x:c>
      <x:c r="K1095" s="70" t="s">
        <x:v>1775</x:v>
      </x:c>
      <x:c r="L1095" s="70"/>
      <x:c r="M1095" s="70" t="s">
        <x:v>39</x:v>
      </x:c>
      <x:c r="N1095" s="71" t="n">
        <x:v>-55428046</x:v>
      </x:c>
      <x:c r="O1095" s="72" t="n">
        <x:f aca="0">N1095/1000</x:f>
        <x:v>-55428.046</x:v>
      </x:c>
      <x:c r="P1095" s="73" t="n">
        <x:f aca="0">DGKC!F85</x:f>
        <x:v>-55428.046</x:v>
      </x:c>
      <x:c r="Q1095" s="70" t="str">
        <x:f aca="0">IF(ABS(O1095-P1095)&lt;0.000001,"PASS","FAIL")</x:f>
        <x:v>PASS</x:v>
      </x:c>
      <x:c r="R1095" s="70" t="s">
        <x:v>33</x:v>
      </x:c>
      <x:c r="S1095" s="70"/>
    </x:row>
    <x:row r="1096" ht="15" hidden="0">
      <x:c r="A1096" s="70" t="s">
        <x:v>2011</x:v>
      </x:c>
      <x:c r="B1096" s="70" t="s">
        <x:v>36</x:v>
      </x:c>
      <x:c r="C1096" s="70" t="s">
        <x:v>104</x:v>
      </x:c>
      <x:c r="D1096" s="70" t="s">
        <x:v>226</x:v>
      </x:c>
      <x:c r="E1096" s="70" t="s">
        <x:v>1106</x:v>
      </x:c>
      <x:c r="F1096" s="70" t="s">
        <x:v>226</x:v>
      </x:c>
      <x:c r="G1096" s="70" t="s">
        <x:v>1753</x:v>
      </x:c>
      <x:c r="H1096" s="70" t="s">
        <x:v>849</x:v>
      </x:c>
      <x:c r="I1096" s="70" t="s">
        <x:v>833</x:v>
      </x:c>
      <x:c r="J1096" s="70" t="n">
        <x:v>155</x:v>
      </x:c>
      <x:c r="K1096" s="70" t="s">
        <x:v>1905</x:v>
      </x:c>
      <x:c r="L1096" s="70"/>
      <x:c r="M1096" s="70" t="s">
        <x:v>39</x:v>
      </x:c>
      <x:c r="N1096" s="71" t="n">
        <x:v>-55510429</x:v>
      </x:c>
      <x:c r="O1096" s="72" t="n">
        <x:f aca="0">N1096/1000</x:f>
        <x:v>-55510.429</x:v>
      </x:c>
      <x:c r="P1096" s="73" t="n">
        <x:f aca="0">DGKC!G85</x:f>
        <x:v>-55510.429</x:v>
      </x:c>
      <x:c r="Q1096" s="70" t="str">
        <x:f aca="0">IF(ABS(O1096-P1096)&lt;0.000001,"PASS","FAIL")</x:f>
        <x:v>PASS</x:v>
      </x:c>
      <x:c r="R1096" s="70" t="s">
        <x:v>33</x:v>
      </x:c>
      <x:c r="S1096" s="70"/>
    </x:row>
    <x:row r="1097" ht="15" hidden="0">
      <x:c r="A1097" s="70" t="s">
        <x:v>2012</x:v>
      </x:c>
      <x:c r="B1097" s="70" t="s">
        <x:v>36</x:v>
      </x:c>
      <x:c r="C1097" s="70" t="s">
        <x:v>105</x:v>
      </x:c>
      <x:c r="D1097" s="70" t="s">
        <x:v>226</x:v>
      </x:c>
      <x:c r="E1097" s="70" t="s">
        <x:v>1106</x:v>
      </x:c>
      <x:c r="F1097" s="70" t="s">
        <x:v>226</x:v>
      </x:c>
      <x:c r="G1097" s="70" t="s">
        <x:v>1753</x:v>
      </x:c>
      <x:c r="H1097" s="70" t="s">
        <x:v>849</x:v>
      </x:c>
      <x:c r="I1097" s="70" t="s">
        <x:v>852</x:v>
      </x:c>
      <x:c r="J1097" s="70" t="n">
        <x:v>155</x:v>
      </x:c>
      <x:c r="K1097" s="70" t="s">
        <x:v>1905</x:v>
      </x:c>
      <x:c r="L1097" s="70"/>
      <x:c r="M1097" s="70" t="s">
        <x:v>39</x:v>
      </x:c>
      <x:c r="N1097" s="71" t="n">
        <x:v>-53387166</x:v>
      </x:c>
      <x:c r="O1097" s="72" t="n">
        <x:f aca="0">N1097/1000</x:f>
        <x:v>-53387.166</x:v>
      </x:c>
      <x:c r="P1097" s="73" t="n">
        <x:f aca="0">DGKC!H85</x:f>
        <x:v>-53387.166</x:v>
      </x:c>
      <x:c r="Q1097" s="70" t="str">
        <x:f aca="0">IF(ABS(O1097-P1097)&lt;0.000001,"PASS","FAIL")</x:f>
        <x:v>PASS</x:v>
      </x:c>
      <x:c r="R1097" s="70" t="s">
        <x:v>33</x:v>
      </x:c>
      <x:c r="S1097" s="70"/>
    </x:row>
    <x:row r="1098" ht="15" hidden="0">
      <x:c r="A1098" s="70" t="s">
        <x:v>2013</x:v>
      </x:c>
      <x:c r="B1098" s="70" t="s">
        <x:v>36</x:v>
      </x:c>
      <x:c r="C1098" s="70" t="s">
        <x:v>101</x:v>
      </x:c>
      <x:c r="D1098" s="70" t="s">
        <x:v>230</x:v>
      </x:c>
      <x:c r="E1098" s="70" t="s">
        <x:v>1106</x:v>
      </x:c>
      <x:c r="F1098" s="70" t="s">
        <x:v>230</x:v>
      </x:c>
      <x:c r="G1098" s="70" t="s">
        <x:v>1745</x:v>
      </x:c>
      <x:c r="H1098" s="70" t="s">
        <x:v>838</x:v>
      </x:c>
      <x:c r="I1098" s="70" t="s">
        <x:v>833</x:v>
      </x:c>
      <x:c r="J1098" s="70" t="n">
        <x:v>127</x:v>
      </x:c>
      <x:c r="K1098" s="70" t="s">
        <x:v>2002</x:v>
      </x:c>
      <x:c r="L1098" s="70"/>
      <x:c r="M1098" s="70" t="s">
        <x:v>39</x:v>
      </x:c>
      <x:c r="N1098" s="71" t="n">
        <x:v>-1950056</x:v>
      </x:c>
      <x:c r="O1098" s="72" t="n">
        <x:f aca="0">N1098/1000</x:f>
        <x:v>-1950.056</x:v>
      </x:c>
      <x:c r="P1098" s="73" t="n">
        <x:f aca="0">DGKC!D87</x:f>
        <x:v>-1950.056</x:v>
      </x:c>
      <x:c r="Q1098" s="70" t="str">
        <x:f aca="0">IF(ABS(O1098-P1098)&lt;0.000001,"PASS","FAIL")</x:f>
        <x:v>PASS</x:v>
      </x:c>
      <x:c r="R1098" s="70" t="s">
        <x:v>33</x:v>
      </x:c>
      <x:c r="S1098" s="70"/>
    </x:row>
    <x:row r="1099" ht="15" hidden="0">
      <x:c r="A1099" s="70" t="s">
        <x:v>2014</x:v>
      </x:c>
      <x:c r="B1099" s="70" t="s">
        <x:v>36</x:v>
      </x:c>
      <x:c r="C1099" s="70" t="s">
        <x:v>102</x:v>
      </x:c>
      <x:c r="D1099" s="70" t="s">
        <x:v>230</x:v>
      </x:c>
      <x:c r="E1099" s="70" t="s">
        <x:v>1106</x:v>
      </x:c>
      <x:c r="F1099" s="70" t="s">
        <x:v>230</x:v>
      </x:c>
      <x:c r="G1099" s="70" t="s">
        <x:v>1748</x:v>
      </x:c>
      <x:c r="H1099" s="70" t="s">
        <x:v>842</x:v>
      </x:c>
      <x:c r="I1099" s="70" t="s">
        <x:v>833</x:v>
      </x:c>
      <x:c r="J1099" s="70" t="n">
        <x:v>153</x:v>
      </x:c>
      <x:c r="K1099" s="70" t="s">
        <x:v>1775</x:v>
      </x:c>
      <x:c r="L1099" s="70"/>
      <x:c r="M1099" s="70" t="s">
        <x:v>39</x:v>
      </x:c>
      <x:c r="N1099" s="71" t="n">
        <x:v>-1748859</x:v>
      </x:c>
      <x:c r="O1099" s="72" t="n">
        <x:f aca="0">N1099/1000</x:f>
        <x:v>-1748.859</x:v>
      </x:c>
      <x:c r="P1099" s="73" t="n">
        <x:f aca="0">DGKC!E87</x:f>
        <x:v>-1748.859</x:v>
      </x:c>
      <x:c r="Q1099" s="70" t="str">
        <x:f aca="0">IF(ABS(O1099-P1099)&lt;0.000001,"PASS","FAIL")</x:f>
        <x:v>PASS</x:v>
      </x:c>
      <x:c r="R1099" s="70" t="s">
        <x:v>33</x:v>
      </x:c>
      <x:c r="S1099" s="70"/>
    </x:row>
    <x:row r="1100" ht="15" hidden="0">
      <x:c r="A1100" s="70" t="s">
        <x:v>2015</x:v>
      </x:c>
      <x:c r="B1100" s="70" t="s">
        <x:v>36</x:v>
      </x:c>
      <x:c r="C1100" s="70" t="s">
        <x:v>103</x:v>
      </x:c>
      <x:c r="D1100" s="70" t="s">
        <x:v>230</x:v>
      </x:c>
      <x:c r="E1100" s="70" t="s">
        <x:v>1106</x:v>
      </x:c>
      <x:c r="F1100" s="70" t="s">
        <x:v>230</x:v>
      </x:c>
      <x:c r="G1100" s="70" t="s">
        <x:v>1751</x:v>
      </x:c>
      <x:c r="H1100" s="70" t="s">
        <x:v>845</x:v>
      </x:c>
      <x:c r="I1100" s="70" t="s">
        <x:v>833</x:v>
      </x:c>
      <x:c r="J1100" s="70" t="n">
        <x:v>153</x:v>
      </x:c>
      <x:c r="K1100" s="70" t="s">
        <x:v>1775</x:v>
      </x:c>
      <x:c r="L1100" s="70"/>
      <x:c r="M1100" s="70" t="s">
        <x:v>39</x:v>
      </x:c>
      <x:c r="N1100" s="71" t="n">
        <x:v>-1818028</x:v>
      </x:c>
      <x:c r="O1100" s="72" t="n">
        <x:f aca="0">N1100/1000</x:f>
        <x:v>-1818.028</x:v>
      </x:c>
      <x:c r="P1100" s="73" t="n">
        <x:f aca="0">DGKC!F87</x:f>
        <x:v>-1818.028</x:v>
      </x:c>
      <x:c r="Q1100" s="70" t="str">
        <x:f aca="0">IF(ABS(O1100-P1100)&lt;0.000001,"PASS","FAIL")</x:f>
        <x:v>PASS</x:v>
      </x:c>
      <x:c r="R1100" s="70" t="s">
        <x:v>33</x:v>
      </x:c>
      <x:c r="S1100" s="70"/>
    </x:row>
    <x:row r="1101" ht="15" hidden="0">
      <x:c r="A1101" s="70" t="s">
        <x:v>2016</x:v>
      </x:c>
      <x:c r="B1101" s="70" t="s">
        <x:v>36</x:v>
      </x:c>
      <x:c r="C1101" s="70" t="s">
        <x:v>104</x:v>
      </x:c>
      <x:c r="D1101" s="70" t="s">
        <x:v>230</x:v>
      </x:c>
      <x:c r="E1101" s="70" t="s">
        <x:v>1106</x:v>
      </x:c>
      <x:c r="F1101" s="70" t="s">
        <x:v>230</x:v>
      </x:c>
      <x:c r="G1101" s="70" t="s">
        <x:v>1753</x:v>
      </x:c>
      <x:c r="H1101" s="70" t="s">
        <x:v>849</x:v>
      </x:c>
      <x:c r="I1101" s="70" t="s">
        <x:v>833</x:v>
      </x:c>
      <x:c r="J1101" s="70" t="n">
        <x:v>155</x:v>
      </x:c>
      <x:c r="K1101" s="70" t="s">
        <x:v>1905</x:v>
      </x:c>
      <x:c r="L1101" s="70"/>
      <x:c r="M1101" s="70" t="s">
        <x:v>39</x:v>
      </x:c>
      <x:c r="N1101" s="71" t="n">
        <x:v>-2608537</x:v>
      </x:c>
      <x:c r="O1101" s="72" t="n">
        <x:f aca="0">N1101/1000</x:f>
        <x:v>-2608.537</x:v>
      </x:c>
      <x:c r="P1101" s="73" t="n">
        <x:f aca="0">DGKC!G87</x:f>
        <x:v>-2608.537</x:v>
      </x:c>
      <x:c r="Q1101" s="70" t="str">
        <x:f aca="0">IF(ABS(O1101-P1101)&lt;0.000001,"PASS","FAIL")</x:f>
        <x:v>PASS</x:v>
      </x:c>
      <x:c r="R1101" s="70" t="s">
        <x:v>33</x:v>
      </x:c>
      <x:c r="S1101" s="70"/>
    </x:row>
    <x:row r="1102" ht="15" hidden="0">
      <x:c r="A1102" s="70" t="s">
        <x:v>2017</x:v>
      </x:c>
      <x:c r="B1102" s="70" t="s">
        <x:v>36</x:v>
      </x:c>
      <x:c r="C1102" s="70" t="s">
        <x:v>105</x:v>
      </x:c>
      <x:c r="D1102" s="70" t="s">
        <x:v>230</x:v>
      </x:c>
      <x:c r="E1102" s="70" t="s">
        <x:v>1106</x:v>
      </x:c>
      <x:c r="F1102" s="70" t="s">
        <x:v>230</x:v>
      </x:c>
      <x:c r="G1102" s="70" t="s">
        <x:v>1753</x:v>
      </x:c>
      <x:c r="H1102" s="70" t="s">
        <x:v>849</x:v>
      </x:c>
      <x:c r="I1102" s="70" t="s">
        <x:v>852</x:v>
      </x:c>
      <x:c r="J1102" s="70" t="n">
        <x:v>155</x:v>
      </x:c>
      <x:c r="K1102" s="70" t="s">
        <x:v>1905</x:v>
      </x:c>
      <x:c r="L1102" s="70"/>
      <x:c r="M1102" s="70" t="s">
        <x:v>39</x:v>
      </x:c>
      <x:c r="N1102" s="71" t="n">
        <x:v>-3874688</x:v>
      </x:c>
      <x:c r="O1102" s="72" t="n">
        <x:f aca="0">N1102/1000</x:f>
        <x:v>-3874.688</x:v>
      </x:c>
      <x:c r="P1102" s="73" t="n">
        <x:f aca="0">DGKC!H87</x:f>
        <x:v>-3874.688</x:v>
      </x:c>
      <x:c r="Q1102" s="70" t="str">
        <x:f aca="0">IF(ABS(O1102-P1102)&lt;0.000001,"PASS","FAIL")</x:f>
        <x:v>PASS</x:v>
      </x:c>
      <x:c r="R1102" s="70" t="s">
        <x:v>33</x:v>
      </x:c>
      <x:c r="S1102" s="70"/>
    </x:row>
    <x:row r="1103" ht="15" hidden="0">
      <x:c r="A1103" s="70" t="s">
        <x:v>2018</x:v>
      </x:c>
      <x:c r="B1103" s="70" t="s">
        <x:v>36</x:v>
      </x:c>
      <x:c r="C1103" s="70" t="s">
        <x:v>101</x:v>
      </x:c>
      <x:c r="D1103" s="70" t="s">
        <x:v>232</x:v>
      </x:c>
      <x:c r="E1103" s="70" t="s">
        <x:v>1106</x:v>
      </x:c>
      <x:c r="F1103" s="70" t="s">
        <x:v>232</x:v>
      </x:c>
      <x:c r="G1103" s="70" t="s">
        <x:v>1745</x:v>
      </x:c>
      <x:c r="H1103" s="70" t="s">
        <x:v>838</x:v>
      </x:c>
      <x:c r="I1103" s="70" t="s">
        <x:v>833</x:v>
      </x:c>
      <x:c r="J1103" s="70" t="n">
        <x:v>127</x:v>
      </x:c>
      <x:c r="K1103" s="70" t="s">
        <x:v>2002</x:v>
      </x:c>
      <x:c r="L1103" s="70"/>
      <x:c r="M1103" s="70" t="s">
        <x:v>39</x:v>
      </x:c>
      <x:c r="N1103" s="71" t="n">
        <x:v>-646762</x:v>
      </x:c>
      <x:c r="O1103" s="72" t="n">
        <x:f aca="0">N1103/1000</x:f>
        <x:v>-646.762</x:v>
      </x:c>
      <x:c r="P1103" s="73" t="n">
        <x:f aca="0">DGKC!D88</x:f>
        <x:v>-646.762</x:v>
      </x:c>
      <x:c r="Q1103" s="70" t="str">
        <x:f aca="0">IF(ABS(O1103-P1103)&lt;0.000001,"PASS","FAIL")</x:f>
        <x:v>PASS</x:v>
      </x:c>
      <x:c r="R1103" s="70" t="s">
        <x:v>33</x:v>
      </x:c>
      <x:c r="S1103" s="70"/>
    </x:row>
    <x:row r="1104" ht="15" hidden="0">
      <x:c r="A1104" s="70" t="s">
        <x:v>2019</x:v>
      </x:c>
      <x:c r="B1104" s="70" t="s">
        <x:v>36</x:v>
      </x:c>
      <x:c r="C1104" s="70" t="s">
        <x:v>102</x:v>
      </x:c>
      <x:c r="D1104" s="70" t="s">
        <x:v>232</x:v>
      </x:c>
      <x:c r="E1104" s="70" t="s">
        <x:v>1106</x:v>
      </x:c>
      <x:c r="F1104" s="70" t="s">
        <x:v>232</x:v>
      </x:c>
      <x:c r="G1104" s="70" t="s">
        <x:v>1748</x:v>
      </x:c>
      <x:c r="H1104" s="70" t="s">
        <x:v>842</x:v>
      </x:c>
      <x:c r="I1104" s="70" t="s">
        <x:v>833</x:v>
      </x:c>
      <x:c r="J1104" s="70" t="n">
        <x:v>153</x:v>
      </x:c>
      <x:c r="K1104" s="70" t="s">
        <x:v>1775</x:v>
      </x:c>
      <x:c r="L1104" s="70"/>
      <x:c r="M1104" s="70" t="s">
        <x:v>39</x:v>
      </x:c>
      <x:c r="N1104" s="71" t="n">
        <x:v>-751052</x:v>
      </x:c>
      <x:c r="O1104" s="72" t="n">
        <x:f aca="0">N1104/1000</x:f>
        <x:v>-751.052</x:v>
      </x:c>
      <x:c r="P1104" s="73" t="n">
        <x:f aca="0">DGKC!E88</x:f>
        <x:v>-751.052</x:v>
      </x:c>
      <x:c r="Q1104" s="70" t="str">
        <x:f aca="0">IF(ABS(O1104-P1104)&lt;0.000001,"PASS","FAIL")</x:f>
        <x:v>PASS</x:v>
      </x:c>
      <x:c r="R1104" s="70" t="s">
        <x:v>33</x:v>
      </x:c>
      <x:c r="S1104" s="70"/>
    </x:row>
    <x:row r="1105" ht="15" hidden="0">
      <x:c r="A1105" s="70" t="s">
        <x:v>2020</x:v>
      </x:c>
      <x:c r="B1105" s="70" t="s">
        <x:v>36</x:v>
      </x:c>
      <x:c r="C1105" s="70" t="s">
        <x:v>103</x:v>
      </x:c>
      <x:c r="D1105" s="70" t="s">
        <x:v>232</x:v>
      </x:c>
      <x:c r="E1105" s="70" t="s">
        <x:v>1106</x:v>
      </x:c>
      <x:c r="F1105" s="70" t="s">
        <x:v>232</x:v>
      </x:c>
      <x:c r="G1105" s="70" t="s">
        <x:v>1751</x:v>
      </x:c>
      <x:c r="H1105" s="70" t="s">
        <x:v>845</x:v>
      </x:c>
      <x:c r="I1105" s="70" t="s">
        <x:v>833</x:v>
      </x:c>
      <x:c r="J1105" s="70" t="n">
        <x:v>153</x:v>
      </x:c>
      <x:c r="K1105" s="70" t="s">
        <x:v>1775</x:v>
      </x:c>
      <x:c r="L1105" s="70"/>
      <x:c r="M1105" s="70" t="s">
        <x:v>39</x:v>
      </x:c>
      <x:c r="N1105" s="71" t="n">
        <x:v>-879356</x:v>
      </x:c>
      <x:c r="O1105" s="72" t="n">
        <x:f aca="0">N1105/1000</x:f>
        <x:v>-879.356</x:v>
      </x:c>
      <x:c r="P1105" s="73" t="n">
        <x:f aca="0">DGKC!F88</x:f>
        <x:v>-879.356</x:v>
      </x:c>
      <x:c r="Q1105" s="70" t="str">
        <x:f aca="0">IF(ABS(O1105-P1105)&lt;0.000001,"PASS","FAIL")</x:f>
        <x:v>PASS</x:v>
      </x:c>
      <x:c r="R1105" s="70" t="s">
        <x:v>33</x:v>
      </x:c>
      <x:c r="S1105" s="70"/>
    </x:row>
    <x:row r="1106" ht="15" hidden="0">
      <x:c r="A1106" s="70" t="s">
        <x:v>2021</x:v>
      </x:c>
      <x:c r="B1106" s="70" t="s">
        <x:v>36</x:v>
      </x:c>
      <x:c r="C1106" s="70" t="s">
        <x:v>104</x:v>
      </x:c>
      <x:c r="D1106" s="70" t="s">
        <x:v>232</x:v>
      </x:c>
      <x:c r="E1106" s="70" t="s">
        <x:v>1106</x:v>
      </x:c>
      <x:c r="F1106" s="70" t="s">
        <x:v>232</x:v>
      </x:c>
      <x:c r="G1106" s="70" t="s">
        <x:v>1753</x:v>
      </x:c>
      <x:c r="H1106" s="70" t="s">
        <x:v>849</x:v>
      </x:c>
      <x:c r="I1106" s="70" t="s">
        <x:v>833</x:v>
      </x:c>
      <x:c r="J1106" s="70" t="n">
        <x:v>155</x:v>
      </x:c>
      <x:c r="K1106" s="70" t="s">
        <x:v>1905</x:v>
      </x:c>
      <x:c r="L1106" s="70"/>
      <x:c r="M1106" s="70" t="s">
        <x:v>39</x:v>
      </x:c>
      <x:c r="N1106" s="71" t="n">
        <x:v>-1206105</x:v>
      </x:c>
      <x:c r="O1106" s="72" t="n">
        <x:f aca="0">N1106/1000</x:f>
        <x:v>-1206.105</x:v>
      </x:c>
      <x:c r="P1106" s="73" t="n">
        <x:f aca="0">DGKC!G88</x:f>
        <x:v>-1206.105</x:v>
      </x:c>
      <x:c r="Q1106" s="70" t="str">
        <x:f aca="0">IF(ABS(O1106-P1106)&lt;0.000001,"PASS","FAIL")</x:f>
        <x:v>PASS</x:v>
      </x:c>
      <x:c r="R1106" s="70" t="s">
        <x:v>33</x:v>
      </x:c>
      <x:c r="S1106" s="70"/>
    </x:row>
    <x:row r="1107" ht="15" hidden="0">
      <x:c r="A1107" s="70" t="s">
        <x:v>2022</x:v>
      </x:c>
      <x:c r="B1107" s="70" t="s">
        <x:v>36</x:v>
      </x:c>
      <x:c r="C1107" s="70" t="s">
        <x:v>105</x:v>
      </x:c>
      <x:c r="D1107" s="70" t="s">
        <x:v>232</x:v>
      </x:c>
      <x:c r="E1107" s="70" t="s">
        <x:v>1106</x:v>
      </x:c>
      <x:c r="F1107" s="70" t="s">
        <x:v>232</x:v>
      </x:c>
      <x:c r="G1107" s="70" t="s">
        <x:v>1753</x:v>
      </x:c>
      <x:c r="H1107" s="70" t="s">
        <x:v>849</x:v>
      </x:c>
      <x:c r="I1107" s="70" t="s">
        <x:v>852</x:v>
      </x:c>
      <x:c r="J1107" s="70" t="n">
        <x:v>155</x:v>
      </x:c>
      <x:c r="K1107" s="70" t="s">
        <x:v>1905</x:v>
      </x:c>
      <x:c r="L1107" s="70"/>
      <x:c r="M1107" s="70" t="s">
        <x:v>39</x:v>
      </x:c>
      <x:c r="N1107" s="71" t="n">
        <x:v>-1294974</x:v>
      </x:c>
      <x:c r="O1107" s="72" t="n">
        <x:f aca="0">N1107/1000</x:f>
        <x:v>-1294.974</x:v>
      </x:c>
      <x:c r="P1107" s="73" t="n">
        <x:f aca="0">DGKC!H88</x:f>
        <x:v>-1294.974</x:v>
      </x:c>
      <x:c r="Q1107" s="70" t="str">
        <x:f aca="0">IF(ABS(O1107-P1107)&lt;0.000001,"PASS","FAIL")</x:f>
        <x:v>PASS</x:v>
      </x:c>
      <x:c r="R1107" s="70" t="s">
        <x:v>33</x:v>
      </x:c>
      <x:c r="S1107" s="70"/>
    </x:row>
    <x:row r="1108" ht="15" hidden="0">
      <x:c r="A1108" s="70" t="s">
        <x:v>2023</x:v>
      </x:c>
      <x:c r="B1108" s="70" t="s">
        <x:v>36</x:v>
      </x:c>
      <x:c r="C1108" s="70" t="s">
        <x:v>101</x:v>
      </x:c>
      <x:c r="D1108" s="70" t="s">
        <x:v>234</x:v>
      </x:c>
      <x:c r="E1108" s="70" t="s">
        <x:v>1106</x:v>
      </x:c>
      <x:c r="F1108" s="70" t="s">
        <x:v>2024</x:v>
      </x:c>
      <x:c r="G1108" s="70" t="s">
        <x:v>1745</x:v>
      </x:c>
      <x:c r="H1108" s="70" t="s">
        <x:v>838</x:v>
      </x:c>
      <x:c r="I1108" s="70" t="s">
        <x:v>833</x:v>
      </x:c>
      <x:c r="J1108" s="70" t="n">
        <x:v>127</x:v>
      </x:c>
      <x:c r="K1108" s="70" t="s">
        <x:v>2002</x:v>
      </x:c>
      <x:c r="L1108" s="70"/>
      <x:c r="M1108" s="70" t="s">
        <x:v>39</x:v>
      </x:c>
      <x:c r="N1108" s="71" t="n">
        <x:v>104703</x:v>
      </x:c>
      <x:c r="O1108" s="72" t="n">
        <x:f aca="0">N1108/1000</x:f>
        <x:v>104.703</x:v>
      </x:c>
      <x:c r="P1108" s="73" t="n">
        <x:f aca="0">DGKC!D89</x:f>
        <x:v>104.703</x:v>
      </x:c>
      <x:c r="Q1108" s="70" t="str">
        <x:f aca="0">IF(ABS(O1108-P1108)&lt;0.000001,"PASS","FAIL")</x:f>
        <x:v>PASS</x:v>
      </x:c>
      <x:c r="R1108" s="70" t="s">
        <x:v>33</x:v>
      </x:c>
      <x:c r="S1108" s="70"/>
    </x:row>
    <x:row r="1109" ht="15" hidden="0">
      <x:c r="A1109" s="70" t="s">
        <x:v>2025</x:v>
      </x:c>
      <x:c r="B1109" s="70" t="s">
        <x:v>36</x:v>
      </x:c>
      <x:c r="C1109" s="70" t="s">
        <x:v>102</x:v>
      </x:c>
      <x:c r="D1109" s="70" t="s">
        <x:v>234</x:v>
      </x:c>
      <x:c r="E1109" s="70" t="s">
        <x:v>1106</x:v>
      </x:c>
      <x:c r="F1109" s="70" t="s">
        <x:v>2026</x:v>
      </x:c>
      <x:c r="G1109" s="70" t="s">
        <x:v>1748</x:v>
      </x:c>
      <x:c r="H1109" s="70" t="s">
        <x:v>842</x:v>
      </x:c>
      <x:c r="I1109" s="70" t="s">
        <x:v>833</x:v>
      </x:c>
      <x:c r="J1109" s="70" t="n">
        <x:v>153</x:v>
      </x:c>
      <x:c r="K1109" s="70" t="s">
        <x:v>1775</x:v>
      </x:c>
      <x:c r="L1109" s="70"/>
      <x:c r="M1109" s="70" t="s">
        <x:v>39</x:v>
      </x:c>
      <x:c r="N1109" s="71" t="n">
        <x:v>-8990</x:v>
      </x:c>
      <x:c r="O1109" s="72" t="n">
        <x:f aca="0">N1109/1000</x:f>
        <x:v>-8.99</x:v>
      </x:c>
      <x:c r="P1109" s="73" t="n">
        <x:f aca="0">DGKC!E89</x:f>
        <x:v>-8.99</x:v>
      </x:c>
      <x:c r="Q1109" s="70" t="str">
        <x:f aca="0">IF(ABS(O1109-P1109)&lt;0.000001,"PASS","FAIL")</x:f>
        <x:v>PASS</x:v>
      </x:c>
      <x:c r="R1109" s="70" t="s">
        <x:v>33</x:v>
      </x:c>
      <x:c r="S1109" s="70"/>
    </x:row>
    <x:row r="1110" ht="15" hidden="0">
      <x:c r="A1110" s="70" t="s">
        <x:v>2027</x:v>
      </x:c>
      <x:c r="B1110" s="70" t="s">
        <x:v>36</x:v>
      </x:c>
      <x:c r="C1110" s="70" t="s">
        <x:v>103</x:v>
      </x:c>
      <x:c r="D1110" s="70" t="s">
        <x:v>234</x:v>
      </x:c>
      <x:c r="E1110" s="70" t="s">
        <x:v>1106</x:v>
      </x:c>
      <x:c r="F1110" s="70" t="s">
        <x:v>2026</x:v>
      </x:c>
      <x:c r="G1110" s="70" t="s">
        <x:v>1751</x:v>
      </x:c>
      <x:c r="H1110" s="70" t="s">
        <x:v>845</x:v>
      </x:c>
      <x:c r="I1110" s="70" t="s">
        <x:v>833</x:v>
      </x:c>
      <x:c r="J1110" s="70" t="n">
        <x:v>153</x:v>
      </x:c>
      <x:c r="K1110" s="70" t="s">
        <x:v>1775</x:v>
      </x:c>
      <x:c r="L1110" s="70"/>
      <x:c r="M1110" s="70" t="s">
        <x:v>39</x:v>
      </x:c>
      <x:c r="N1110" s="71" t="n">
        <x:v>-104094</x:v>
      </x:c>
      <x:c r="O1110" s="72" t="n">
        <x:f aca="0">N1110/1000</x:f>
        <x:v>-104.094</x:v>
      </x:c>
      <x:c r="P1110" s="73" t="n">
        <x:f aca="0">DGKC!F89</x:f>
        <x:v>-104.094</x:v>
      </x:c>
      <x:c r="Q1110" s="70" t="str">
        <x:f aca="0">IF(ABS(O1110-P1110)&lt;0.000001,"PASS","FAIL")</x:f>
        <x:v>PASS</x:v>
      </x:c>
      <x:c r="R1110" s="70" t="s">
        <x:v>33</x:v>
      </x:c>
      <x:c r="S1110" s="70"/>
    </x:row>
    <x:row r="1111" ht="15" hidden="0">
      <x:c r="A1111" s="70" t="s">
        <x:v>2028</x:v>
      </x:c>
      <x:c r="B1111" s="70" t="s">
        <x:v>36</x:v>
      </x:c>
      <x:c r="C1111" s="70" t="s">
        <x:v>104</x:v>
      </x:c>
      <x:c r="D1111" s="70" t="s">
        <x:v>234</x:v>
      </x:c>
      <x:c r="E1111" s="70" t="s">
        <x:v>1106</x:v>
      </x:c>
      <x:c r="F1111" s="70" t="s">
        <x:v>2026</x:v>
      </x:c>
      <x:c r="G1111" s="70" t="s">
        <x:v>1753</x:v>
      </x:c>
      <x:c r="H1111" s="70" t="s">
        <x:v>849</x:v>
      </x:c>
      <x:c r="I1111" s="70" t="s">
        <x:v>833</x:v>
      </x:c>
      <x:c r="J1111" s="70" t="n">
        <x:v>155</x:v>
      </x:c>
      <x:c r="K1111" s="70" t="s">
        <x:v>1905</x:v>
      </x:c>
      <x:c r="L1111" s="70"/>
      <x:c r="M1111" s="70" t="s">
        <x:v>39</x:v>
      </x:c>
      <x:c r="N1111" s="71" t="n">
        <x:v>-103367</x:v>
      </x:c>
      <x:c r="O1111" s="72" t="n">
        <x:f aca="0">N1111/1000</x:f>
        <x:v>-103.367</x:v>
      </x:c>
      <x:c r="P1111" s="73" t="n">
        <x:f aca="0">DGKC!G89</x:f>
        <x:v>-103.367</x:v>
      </x:c>
      <x:c r="Q1111" s="70" t="str">
        <x:f aca="0">IF(ABS(O1111-P1111)&lt;0.000001,"PASS","FAIL")</x:f>
        <x:v>PASS</x:v>
      </x:c>
      <x:c r="R1111" s="70" t="s">
        <x:v>33</x:v>
      </x:c>
      <x:c r="S1111" s="70"/>
    </x:row>
    <x:row r="1112" ht="15" hidden="0">
      <x:c r="A1112" s="70" t="s">
        <x:v>2029</x:v>
      </x:c>
      <x:c r="B1112" s="70" t="s">
        <x:v>36</x:v>
      </x:c>
      <x:c r="C1112" s="70" t="s">
        <x:v>105</x:v>
      </x:c>
      <x:c r="D1112" s="70" t="s">
        <x:v>234</x:v>
      </x:c>
      <x:c r="E1112" s="70" t="s">
        <x:v>1106</x:v>
      </x:c>
      <x:c r="F1112" s="70" t="s">
        <x:v>2026</x:v>
      </x:c>
      <x:c r="G1112" s="70" t="s">
        <x:v>1753</x:v>
      </x:c>
      <x:c r="H1112" s="70" t="s">
        <x:v>849</x:v>
      </x:c>
      <x:c r="I1112" s="70" t="s">
        <x:v>852</x:v>
      </x:c>
      <x:c r="J1112" s="70" t="n">
        <x:v>155</x:v>
      </x:c>
      <x:c r="K1112" s="70" t="s">
        <x:v>1905</x:v>
      </x:c>
      <x:c r="L1112" s="70"/>
      <x:c r="M1112" s="70" t="s">
        <x:v>39</x:v>
      </x:c>
      <x:c r="N1112" s="71" t="n">
        <x:v>-6899</x:v>
      </x:c>
      <x:c r="O1112" s="72" t="n">
        <x:f aca="0">N1112/1000</x:f>
        <x:v>-6.899</x:v>
      </x:c>
      <x:c r="P1112" s="73" t="n">
        <x:f aca="0">DGKC!H89</x:f>
        <x:v>-6.899</x:v>
      </x:c>
      <x:c r="Q1112" s="70" t="str">
        <x:f aca="0">IF(ABS(O1112-P1112)&lt;0.000001,"PASS","FAIL")</x:f>
        <x:v>PASS</x:v>
      </x:c>
      <x:c r="R1112" s="70" t="s">
        <x:v>33</x:v>
      </x:c>
      <x:c r="S1112" s="70"/>
    </x:row>
    <x:row r="1113" ht="15" hidden="0">
      <x:c r="A1113" s="70" t="s">
        <x:v>2030</x:v>
      </x:c>
      <x:c r="B1113" s="70" t="s">
        <x:v>36</x:v>
      </x:c>
      <x:c r="C1113" s="70" t="s">
        <x:v>101</x:v>
      </x:c>
      <x:c r="D1113" s="70" t="s">
        <x:v>236</x:v>
      </x:c>
      <x:c r="E1113" s="70" t="s">
        <x:v>1106</x:v>
      </x:c>
      <x:c r="F1113" s="70" t="s">
        <x:v>1136</x:v>
      </x:c>
      <x:c r="G1113" s="70" t="s">
        <x:v>1745</x:v>
      </x:c>
      <x:c r="H1113" s="70" t="s">
        <x:v>838</x:v>
      </x:c>
      <x:c r="I1113" s="70" t="s">
        <x:v>833</x:v>
      </x:c>
      <x:c r="J1113" s="70" t="n">
        <x:v>127</x:v>
      </x:c>
      <x:c r="K1113" s="70" t="s">
        <x:v>2002</x:v>
      </x:c>
      <x:c r="L1113" s="70"/>
      <x:c r="M1113" s="70" t="s">
        <x:v>39</x:v>
      </x:c>
      <x:c r="N1113" s="71" t="n">
        <x:v>-414315</x:v>
      </x:c>
      <x:c r="O1113" s="72" t="n">
        <x:f aca="0">N1113/1000</x:f>
        <x:v>-414.315</x:v>
      </x:c>
      <x:c r="P1113" s="73" t="n">
        <x:f aca="0">DGKC!D90</x:f>
        <x:v>-414.315</x:v>
      </x:c>
      <x:c r="Q1113" s="70" t="str">
        <x:f aca="0">IF(ABS(O1113-P1113)&lt;0.000001,"PASS","FAIL")</x:f>
        <x:v>PASS</x:v>
      </x:c>
      <x:c r="R1113" s="70" t="s">
        <x:v>33</x:v>
      </x:c>
      <x:c r="S1113" s="70"/>
    </x:row>
    <x:row r="1114" ht="15" hidden="0">
      <x:c r="A1114" s="70" t="s">
        <x:v>2031</x:v>
      </x:c>
      <x:c r="B1114" s="70" t="s">
        <x:v>36</x:v>
      </x:c>
      <x:c r="C1114" s="70" t="s">
        <x:v>102</x:v>
      </x:c>
      <x:c r="D1114" s="70" t="s">
        <x:v>236</x:v>
      </x:c>
      <x:c r="E1114" s="70" t="s">
        <x:v>1106</x:v>
      </x:c>
      <x:c r="F1114" s="70" t="s">
        <x:v>1136</x:v>
      </x:c>
      <x:c r="G1114" s="70" t="s">
        <x:v>1748</x:v>
      </x:c>
      <x:c r="H1114" s="70" t="s">
        <x:v>842</x:v>
      </x:c>
      <x:c r="I1114" s="70" t="s">
        <x:v>833</x:v>
      </x:c>
      <x:c r="J1114" s="70" t="n">
        <x:v>153</x:v>
      </x:c>
      <x:c r="K1114" s="70" t="s">
        <x:v>1775</x:v>
      </x:c>
      <x:c r="L1114" s="70"/>
      <x:c r="M1114" s="70" t="s">
        <x:v>39</x:v>
      </x:c>
      <x:c r="N1114" s="71" t="n">
        <x:v>-1042803</x:v>
      </x:c>
      <x:c r="O1114" s="72" t="n">
        <x:f aca="0">N1114/1000</x:f>
        <x:v>-1042.803</x:v>
      </x:c>
      <x:c r="P1114" s="73" t="n">
        <x:f aca="0">DGKC!E90</x:f>
        <x:v>-1042.803</x:v>
      </x:c>
      <x:c r="Q1114" s="70" t="str">
        <x:f aca="0">IF(ABS(O1114-P1114)&lt;0.000001,"PASS","FAIL")</x:f>
        <x:v>PASS</x:v>
      </x:c>
      <x:c r="R1114" s="70" t="s">
        <x:v>33</x:v>
      </x:c>
      <x:c r="S1114" s="70"/>
    </x:row>
    <x:row r="1115" ht="15" hidden="0">
      <x:c r="A1115" s="70" t="s">
        <x:v>2032</x:v>
      </x:c>
      <x:c r="B1115" s="70" t="s">
        <x:v>36</x:v>
      </x:c>
      <x:c r="C1115" s="70" t="s">
        <x:v>103</x:v>
      </x:c>
      <x:c r="D1115" s="70" t="s">
        <x:v>236</x:v>
      </x:c>
      <x:c r="E1115" s="70" t="s">
        <x:v>1106</x:v>
      </x:c>
      <x:c r="F1115" s="70" t="s">
        <x:v>1136</x:v>
      </x:c>
      <x:c r="G1115" s="70" t="s">
        <x:v>1751</x:v>
      </x:c>
      <x:c r="H1115" s="70" t="s">
        <x:v>845</x:v>
      </x:c>
      <x:c r="I1115" s="70" t="s">
        <x:v>833</x:v>
      </x:c>
      <x:c r="J1115" s="70" t="n">
        <x:v>153</x:v>
      </x:c>
      <x:c r="K1115" s="70" t="s">
        <x:v>1775</x:v>
      </x:c>
      <x:c r="L1115" s="70"/>
      <x:c r="M1115" s="70" t="s">
        <x:v>39</x:v>
      </x:c>
      <x:c r="N1115" s="71" t="n">
        <x:v>-96461</x:v>
      </x:c>
      <x:c r="O1115" s="72" t="n">
        <x:f aca="0">N1115/1000</x:f>
        <x:v>-96.461</x:v>
      </x:c>
      <x:c r="P1115" s="73" t="n">
        <x:f aca="0">DGKC!F90</x:f>
        <x:v>-96.461</x:v>
      </x:c>
      <x:c r="Q1115" s="70" t="str">
        <x:f aca="0">IF(ABS(O1115-P1115)&lt;0.000001,"PASS","FAIL")</x:f>
        <x:v>PASS</x:v>
      </x:c>
      <x:c r="R1115" s="70" t="s">
        <x:v>33</x:v>
      </x:c>
      <x:c r="S1115" s="70"/>
    </x:row>
    <x:row r="1116" ht="15" hidden="0">
      <x:c r="A1116" s="70" t="s">
        <x:v>2033</x:v>
      </x:c>
      <x:c r="B1116" s="70" t="s">
        <x:v>36</x:v>
      </x:c>
      <x:c r="C1116" s="70" t="s">
        <x:v>104</x:v>
      </x:c>
      <x:c r="D1116" s="70" t="s">
        <x:v>236</x:v>
      </x:c>
      <x:c r="E1116" s="70" t="s">
        <x:v>1106</x:v>
      </x:c>
      <x:c r="F1116" s="70" t="s">
        <x:v>1136</x:v>
      </x:c>
      <x:c r="G1116" s="70" t="s">
        <x:v>1753</x:v>
      </x:c>
      <x:c r="H1116" s="70" t="s">
        <x:v>849</x:v>
      </x:c>
      <x:c r="I1116" s="70" t="s">
        <x:v>833</x:v>
      </x:c>
      <x:c r="J1116" s="70" t="n">
        <x:v>155</x:v>
      </x:c>
      <x:c r="K1116" s="70" t="s">
        <x:v>1905</x:v>
      </x:c>
      <x:c r="L1116" s="70"/>
      <x:c r="M1116" s="70" t="s">
        <x:v>39</x:v>
      </x:c>
      <x:c r="N1116" s="71" t="n">
        <x:v>-5033</x:v>
      </x:c>
      <x:c r="O1116" s="72" t="n">
        <x:f aca="0">N1116/1000</x:f>
        <x:v>-5.033</x:v>
      </x:c>
      <x:c r="P1116" s="73" t="n">
        <x:f aca="0">DGKC!G90</x:f>
        <x:v>-5.033</x:v>
      </x:c>
      <x:c r="Q1116" s="70" t="str">
        <x:f aca="0">IF(ABS(O1116-P1116)&lt;0.000001,"PASS","FAIL")</x:f>
        <x:v>PASS</x:v>
      </x:c>
      <x:c r="R1116" s="70" t="s">
        <x:v>33</x:v>
      </x:c>
      <x:c r="S1116" s="70"/>
    </x:row>
    <x:row r="1117" ht="15" hidden="0">
      <x:c r="A1117" s="70" t="s">
        <x:v>2034</x:v>
      </x:c>
      <x:c r="B1117" s="70" t="s">
        <x:v>36</x:v>
      </x:c>
      <x:c r="C1117" s="70" t="s">
        <x:v>105</x:v>
      </x:c>
      <x:c r="D1117" s="70" t="s">
        <x:v>236</x:v>
      </x:c>
      <x:c r="E1117" s="70" t="s">
        <x:v>1106</x:v>
      </x:c>
      <x:c r="F1117" s="70" t="s">
        <x:v>1136</x:v>
      </x:c>
      <x:c r="G1117" s="70" t="s">
        <x:v>1753</x:v>
      </x:c>
      <x:c r="H1117" s="70" t="s">
        <x:v>849</x:v>
      </x:c>
      <x:c r="I1117" s="70" t="s">
        <x:v>852</x:v>
      </x:c>
      <x:c r="J1117" s="70" t="n">
        <x:v>155</x:v>
      </x:c>
      <x:c r="K1117" s="70" t="s">
        <x:v>1905</x:v>
      </x:c>
      <x:c r="L1117" s="70"/>
      <x:c r="M1117" s="70" t="s">
        <x:v>39</x:v>
      </x:c>
      <x:c r="N1117" s="71" t="n">
        <x:v>-725663</x:v>
      </x:c>
      <x:c r="O1117" s="72" t="n">
        <x:f aca="0">N1117/1000</x:f>
        <x:v>-725.663</x:v>
      </x:c>
      <x:c r="P1117" s="73" t="n">
        <x:f aca="0">DGKC!H90</x:f>
        <x:v>-725.663</x:v>
      </x:c>
      <x:c r="Q1117" s="70" t="str">
        <x:f aca="0">IF(ABS(O1117-P1117)&lt;0.000001,"PASS","FAIL")</x:f>
        <x:v>PASS</x:v>
      </x:c>
      <x:c r="R1117" s="70" t="s">
        <x:v>33</x:v>
      </x:c>
      <x:c r="S1117" s="70"/>
    </x:row>
    <x:row r="1118" ht="15" hidden="0">
      <x:c r="A1118" s="70" t="s">
        <x:v>2035</x:v>
      </x:c>
      <x:c r="B1118" s="70" t="s">
        <x:v>36</x:v>
      </x:c>
      <x:c r="C1118" s="70" t="s">
        <x:v>101</x:v>
      </x:c>
      <x:c r="D1118" s="70" t="s">
        <x:v>240</x:v>
      </x:c>
      <x:c r="E1118" s="70" t="s">
        <x:v>1106</x:v>
      </x:c>
      <x:c r="F1118" s="70" t="s">
        <x:v>240</x:v>
      </x:c>
      <x:c r="G1118" s="70" t="s">
        <x:v>1745</x:v>
      </x:c>
      <x:c r="H1118" s="70" t="s">
        <x:v>838</x:v>
      </x:c>
      <x:c r="I1118" s="70" t="s">
        <x:v>833</x:v>
      </x:c>
      <x:c r="J1118" s="70" t="n">
        <x:v>127</x:v>
      </x:c>
      <x:c r="K1118" s="70" t="s">
        <x:v>2002</x:v>
      </x:c>
      <x:c r="L1118" s="70"/>
      <x:c r="M1118" s="70" t="s">
        <x:v>39</x:v>
      </x:c>
      <x:c r="N1118" s="71" t="n">
        <x:v>2526818</x:v>
      </x:c>
      <x:c r="O1118" s="72" t="n">
        <x:f aca="0">N1118/1000</x:f>
        <x:v>2526.818</x:v>
      </x:c>
      <x:c r="P1118" s="73" t="n">
        <x:f aca="0">DGKC!D92</x:f>
        <x:v>2526.818</x:v>
      </x:c>
      <x:c r="Q1118" s="70" t="str">
        <x:f aca="0">IF(ABS(O1118-P1118)&lt;0.000001,"PASS","FAIL")</x:f>
        <x:v>PASS</x:v>
      </x:c>
      <x:c r="R1118" s="70" t="s">
        <x:v>33</x:v>
      </x:c>
      <x:c r="S1118" s="70"/>
    </x:row>
    <x:row r="1119" ht="15" hidden="0">
      <x:c r="A1119" s="70" t="s">
        <x:v>2036</x:v>
      </x:c>
      <x:c r="B1119" s="70" t="s">
        <x:v>36</x:v>
      </x:c>
      <x:c r="C1119" s="70" t="s">
        <x:v>102</x:v>
      </x:c>
      <x:c r="D1119" s="70" t="s">
        <x:v>240</x:v>
      </x:c>
      <x:c r="E1119" s="70" t="s">
        <x:v>1106</x:v>
      </x:c>
      <x:c r="F1119" s="70" t="s">
        <x:v>240</x:v>
      </x:c>
      <x:c r="G1119" s="70" t="s">
        <x:v>1748</x:v>
      </x:c>
      <x:c r="H1119" s="70" t="s">
        <x:v>842</x:v>
      </x:c>
      <x:c r="I1119" s="70" t="s">
        <x:v>833</x:v>
      </x:c>
      <x:c r="J1119" s="70" t="n">
        <x:v>153</x:v>
      </x:c>
      <x:c r="K1119" s="70" t="s">
        <x:v>1775</x:v>
      </x:c>
      <x:c r="L1119" s="70"/>
      <x:c r="M1119" s="70" t="s">
        <x:v>39</x:v>
      </x:c>
      <x:c r="N1119" s="71" t="n">
        <x:v>2714340</x:v>
      </x:c>
      <x:c r="O1119" s="72" t="n">
        <x:f aca="0">N1119/1000</x:f>
        <x:v>2714.34</x:v>
      </x:c>
      <x:c r="P1119" s="73" t="n">
        <x:f aca="0">DGKC!E92</x:f>
        <x:v>2714.34</x:v>
      </x:c>
      <x:c r="Q1119" s="70" t="str">
        <x:f aca="0">IF(ABS(O1119-P1119)&lt;0.000001,"PASS","FAIL")</x:f>
        <x:v>PASS</x:v>
      </x:c>
      <x:c r="R1119" s="70" t="s">
        <x:v>33</x:v>
      </x:c>
      <x:c r="S1119" s="70"/>
    </x:row>
    <x:row r="1120" ht="15" hidden="0">
      <x:c r="A1120" s="70" t="s">
        <x:v>2037</x:v>
      </x:c>
      <x:c r="B1120" s="70" t="s">
        <x:v>36</x:v>
      </x:c>
      <x:c r="C1120" s="70" t="s">
        <x:v>103</x:v>
      </x:c>
      <x:c r="D1120" s="70" t="s">
        <x:v>240</x:v>
      </x:c>
      <x:c r="E1120" s="70" t="s">
        <x:v>1106</x:v>
      </x:c>
      <x:c r="F1120" s="70" t="s">
        <x:v>240</x:v>
      </x:c>
      <x:c r="G1120" s="70" t="s">
        <x:v>1751</x:v>
      </x:c>
      <x:c r="H1120" s="70" t="s">
        <x:v>845</x:v>
      </x:c>
      <x:c r="I1120" s="70" t="s">
        <x:v>833</x:v>
      </x:c>
      <x:c r="J1120" s="70" t="n">
        <x:v>153</x:v>
      </x:c>
      <x:c r="K1120" s="70" t="s">
        <x:v>1775</x:v>
      </x:c>
      <x:c r="L1120" s="70"/>
      <x:c r="M1120" s="70" t="s">
        <x:v>39</x:v>
      </x:c>
      <x:c r="N1120" s="71" t="n">
        <x:v>3246999</x:v>
      </x:c>
      <x:c r="O1120" s="72" t="n">
        <x:f aca="0">N1120/1000</x:f>
        <x:v>3246.999</x:v>
      </x:c>
      <x:c r="P1120" s="73" t="n">
        <x:f aca="0">DGKC!F92</x:f>
        <x:v>3246.999</x:v>
      </x:c>
      <x:c r="Q1120" s="70" t="str">
        <x:f aca="0">IF(ABS(O1120-P1120)&lt;0.000001,"PASS","FAIL")</x:f>
        <x:v>PASS</x:v>
      </x:c>
      <x:c r="R1120" s="70" t="s">
        <x:v>33</x:v>
      </x:c>
      <x:c r="S1120" s="70"/>
    </x:row>
    <x:row r="1121" ht="15" hidden="0">
      <x:c r="A1121" s="70" t="s">
        <x:v>2038</x:v>
      </x:c>
      <x:c r="B1121" s="70" t="s">
        <x:v>36</x:v>
      </x:c>
      <x:c r="C1121" s="70" t="s">
        <x:v>104</x:v>
      </x:c>
      <x:c r="D1121" s="70" t="s">
        <x:v>240</x:v>
      </x:c>
      <x:c r="E1121" s="70" t="s">
        <x:v>1106</x:v>
      </x:c>
      <x:c r="F1121" s="70" t="s">
        <x:v>240</x:v>
      </x:c>
      <x:c r="G1121" s="70" t="s">
        <x:v>1753</x:v>
      </x:c>
      <x:c r="H1121" s="70" t="s">
        <x:v>849</x:v>
      </x:c>
      <x:c r="I1121" s="70" t="s">
        <x:v>833</x:v>
      </x:c>
      <x:c r="J1121" s="70" t="n">
        <x:v>155</x:v>
      </x:c>
      <x:c r="K1121" s="70" t="s">
        <x:v>1905</x:v>
      </x:c>
      <x:c r="L1121" s="70"/>
      <x:c r="M1121" s="70" t="s">
        <x:v>39</x:v>
      </x:c>
      <x:c r="N1121" s="71" t="n">
        <x:v>4234797</x:v>
      </x:c>
      <x:c r="O1121" s="72" t="n">
        <x:f aca="0">N1121/1000</x:f>
        <x:v>4234.797</x:v>
      </x:c>
      <x:c r="P1121" s="73" t="n">
        <x:f aca="0">DGKC!G92</x:f>
        <x:v>4234.797</x:v>
      </x:c>
      <x:c r="Q1121" s="70" t="str">
        <x:f aca="0">IF(ABS(O1121-P1121)&lt;0.000001,"PASS","FAIL")</x:f>
        <x:v>PASS</x:v>
      </x:c>
      <x:c r="R1121" s="70" t="s">
        <x:v>33</x:v>
      </x:c>
      <x:c r="S1121" s="70"/>
    </x:row>
    <x:row r="1122" ht="15" hidden="0">
      <x:c r="A1122" s="70" t="s">
        <x:v>2039</x:v>
      </x:c>
      <x:c r="B1122" s="70" t="s">
        <x:v>36</x:v>
      </x:c>
      <x:c r="C1122" s="70" t="s">
        <x:v>105</x:v>
      </x:c>
      <x:c r="D1122" s="70" t="s">
        <x:v>240</x:v>
      </x:c>
      <x:c r="E1122" s="70" t="s">
        <x:v>1106</x:v>
      </x:c>
      <x:c r="F1122" s="70" t="s">
        <x:v>240</x:v>
      </x:c>
      <x:c r="G1122" s="70" t="s">
        <x:v>1753</x:v>
      </x:c>
      <x:c r="H1122" s="70" t="s">
        <x:v>849</x:v>
      </x:c>
      <x:c r="I1122" s="70" t="s">
        <x:v>852</x:v>
      </x:c>
      <x:c r="J1122" s="70" t="n">
        <x:v>155</x:v>
      </x:c>
      <x:c r="K1122" s="70" t="s">
        <x:v>1905</x:v>
      </x:c>
      <x:c r="L1122" s="70"/>
      <x:c r="M1122" s="70" t="s">
        <x:v>39</x:v>
      </x:c>
      <x:c r="N1122" s="71" t="n">
        <x:v>4271570</x:v>
      </x:c>
      <x:c r="O1122" s="72" t="n">
        <x:f aca="0">N1122/1000</x:f>
        <x:v>4271.57</x:v>
      </x:c>
      <x:c r="P1122" s="73" t="n">
        <x:f aca="0">DGKC!H92</x:f>
        <x:v>4271.57</x:v>
      </x:c>
      <x:c r="Q1122" s="70" t="str">
        <x:f aca="0">IF(ABS(O1122-P1122)&lt;0.000001,"PASS","FAIL")</x:f>
        <x:v>PASS</x:v>
      </x:c>
      <x:c r="R1122" s="70" t="s">
        <x:v>33</x:v>
      </x:c>
      <x:c r="S1122" s="70"/>
    </x:row>
    <x:row r="1123" ht="15" hidden="0">
      <x:c r="A1123" s="70" t="s">
        <x:v>2040</x:v>
      </x:c>
      <x:c r="B1123" s="70" t="s">
        <x:v>36</x:v>
      </x:c>
      <x:c r="C1123" s="70" t="s">
        <x:v>101</x:v>
      </x:c>
      <x:c r="D1123" s="70" t="s">
        <x:v>242</x:v>
      </x:c>
      <x:c r="E1123" s="70" t="s">
        <x:v>1106</x:v>
      </x:c>
      <x:c r="F1123" s="70"/>
      <x:c r="G1123" s="70" t="s">
        <x:v>1745</x:v>
      </x:c>
      <x:c r="H1123" s="70" t="s">
        <x:v>838</x:v>
      </x:c>
      <x:c r="I1123" s="70" t="s">
        <x:v>833</x:v>
      </x:c>
      <x:c r="J1123" s="70" t="n">
        <x:v>127</x:v>
      </x:c>
      <x:c r="K1123" s="70" t="s">
        <x:v>2002</x:v>
      </x:c>
      <x:c r="L1123" s="70"/>
      <x:c r="M1123" s="70" t="s">
        <x:v>39</x:v>
      </x:c>
      <x:c r="N1123" s="71" t="n">
        <x:v>0</x:v>
      </x:c>
      <x:c r="O1123" s="72" t="n">
        <x:f aca="0">N1123/1000</x:f>
        <x:v>0</x:v>
      </x:c>
      <x:c r="P1123" s="73" t="n">
        <x:f aca="0">DGKC!D93</x:f>
        <x:v>0</x:v>
      </x:c>
      <x:c r="Q1123" s="70" t="str">
        <x:f aca="0">IF(ABS(O1123-P1123)&lt;0.000001,"PASS","FAIL")</x:f>
        <x:v>PASS</x:v>
      </x:c>
      <x:c r="R1123" s="70" t="s">
        <x:v>33</x:v>
      </x:c>
      <x:c r="S1123" s="70"/>
    </x:row>
    <x:row r="1124" ht="15" hidden="0">
      <x:c r="A1124" s="70" t="s">
        <x:v>2041</x:v>
      </x:c>
      <x:c r="B1124" s="70" t="s">
        <x:v>36</x:v>
      </x:c>
      <x:c r="C1124" s="70" t="s">
        <x:v>102</x:v>
      </x:c>
      <x:c r="D1124" s="70" t="s">
        <x:v>242</x:v>
      </x:c>
      <x:c r="E1124" s="70" t="s">
        <x:v>1106</x:v>
      </x:c>
      <x:c r="F1124" s="70"/>
      <x:c r="G1124" s="70" t="s">
        <x:v>1748</x:v>
      </x:c>
      <x:c r="H1124" s="70" t="s">
        <x:v>842</x:v>
      </x:c>
      <x:c r="I1124" s="70" t="s">
        <x:v>833</x:v>
      </x:c>
      <x:c r="J1124" s="70" t="n">
        <x:v>153</x:v>
      </x:c>
      <x:c r="K1124" s="70" t="s">
        <x:v>1775</x:v>
      </x:c>
      <x:c r="L1124" s="70"/>
      <x:c r="M1124" s="70" t="s">
        <x:v>39</x:v>
      </x:c>
      <x:c r="N1124" s="71" t="n">
        <x:v>0</x:v>
      </x:c>
      <x:c r="O1124" s="72" t="n">
        <x:f aca="0">N1124/1000</x:f>
        <x:v>0</x:v>
      </x:c>
      <x:c r="P1124" s="73" t="n">
        <x:f aca="0">DGKC!E93</x:f>
        <x:v>0</x:v>
      </x:c>
      <x:c r="Q1124" s="70" t="str">
        <x:f aca="0">IF(ABS(O1124-P1124)&lt;0.000001,"PASS","FAIL")</x:f>
        <x:v>PASS</x:v>
      </x:c>
      <x:c r="R1124" s="70" t="s">
        <x:v>33</x:v>
      </x:c>
      <x:c r="S1124" s="70"/>
    </x:row>
    <x:row r="1125" ht="15" hidden="0">
      <x:c r="A1125" s="70" t="s">
        <x:v>2042</x:v>
      </x:c>
      <x:c r="B1125" s="70" t="s">
        <x:v>36</x:v>
      </x:c>
      <x:c r="C1125" s="70" t="s">
        <x:v>103</x:v>
      </x:c>
      <x:c r="D1125" s="70" t="s">
        <x:v>242</x:v>
      </x:c>
      <x:c r="E1125" s="70" t="s">
        <x:v>1106</x:v>
      </x:c>
      <x:c r="F1125" s="70"/>
      <x:c r="G1125" s="70" t="s">
        <x:v>1751</x:v>
      </x:c>
      <x:c r="H1125" s="70" t="s">
        <x:v>845</x:v>
      </x:c>
      <x:c r="I1125" s="70" t="s">
        <x:v>833</x:v>
      </x:c>
      <x:c r="J1125" s="70" t="n">
        <x:v>153</x:v>
      </x:c>
      <x:c r="K1125" s="70" t="s">
        <x:v>1775</x:v>
      </x:c>
      <x:c r="L1125" s="70"/>
      <x:c r="M1125" s="70" t="s">
        <x:v>39</x:v>
      </x:c>
      <x:c r="N1125" s="71" t="n">
        <x:v>0</x:v>
      </x:c>
      <x:c r="O1125" s="72" t="n">
        <x:f aca="0">N1125/1000</x:f>
        <x:v>0</x:v>
      </x:c>
      <x:c r="P1125" s="73" t="n">
        <x:f aca="0">DGKC!F93</x:f>
        <x:v>0</x:v>
      </x:c>
      <x:c r="Q1125" s="70" t="str">
        <x:f aca="0">IF(ABS(O1125-P1125)&lt;0.000001,"PASS","FAIL")</x:f>
        <x:v>PASS</x:v>
      </x:c>
      <x:c r="R1125" s="70" t="s">
        <x:v>33</x:v>
      </x:c>
      <x:c r="S1125" s="70"/>
    </x:row>
    <x:row r="1126" ht="15" hidden="0">
      <x:c r="A1126" s="70" t="s">
        <x:v>2043</x:v>
      </x:c>
      <x:c r="B1126" s="70" t="s">
        <x:v>36</x:v>
      </x:c>
      <x:c r="C1126" s="70" t="s">
        <x:v>104</x:v>
      </x:c>
      <x:c r="D1126" s="70" t="s">
        <x:v>242</x:v>
      </x:c>
      <x:c r="E1126" s="70" t="s">
        <x:v>1106</x:v>
      </x:c>
      <x:c r="F1126" s="70"/>
      <x:c r="G1126" s="70" t="s">
        <x:v>1753</x:v>
      </x:c>
      <x:c r="H1126" s="70" t="s">
        <x:v>849</x:v>
      </x:c>
      <x:c r="I1126" s="70" t="s">
        <x:v>833</x:v>
      </x:c>
      <x:c r="J1126" s="70" t="n">
        <x:v>155</x:v>
      </x:c>
      <x:c r="K1126" s="70" t="s">
        <x:v>1905</x:v>
      </x:c>
      <x:c r="L1126" s="70"/>
      <x:c r="M1126" s="70" t="s">
        <x:v>39</x:v>
      </x:c>
      <x:c r="N1126" s="71" t="n">
        <x:v>0</x:v>
      </x:c>
      <x:c r="O1126" s="72" t="n">
        <x:f aca="0">N1126/1000</x:f>
        <x:v>0</x:v>
      </x:c>
      <x:c r="P1126" s="73" t="n">
        <x:f aca="0">DGKC!G93</x:f>
        <x:v>0</x:v>
      </x:c>
      <x:c r="Q1126" s="70" t="str">
        <x:f aca="0">IF(ABS(O1126-P1126)&lt;0.000001,"PASS","FAIL")</x:f>
        <x:v>PASS</x:v>
      </x:c>
      <x:c r="R1126" s="70" t="s">
        <x:v>33</x:v>
      </x:c>
      <x:c r="S1126" s="70"/>
    </x:row>
    <x:row r="1127" ht="15" hidden="0">
      <x:c r="A1127" s="70" t="s">
        <x:v>2044</x:v>
      </x:c>
      <x:c r="B1127" s="70" t="s">
        <x:v>36</x:v>
      </x:c>
      <x:c r="C1127" s="70" t="s">
        <x:v>105</x:v>
      </x:c>
      <x:c r="D1127" s="70" t="s">
        <x:v>242</x:v>
      </x:c>
      <x:c r="E1127" s="70" t="s">
        <x:v>1106</x:v>
      </x:c>
      <x:c r="F1127" s="70"/>
      <x:c r="G1127" s="70" t="s">
        <x:v>1753</x:v>
      </x:c>
      <x:c r="H1127" s="70" t="s">
        <x:v>849</x:v>
      </x:c>
      <x:c r="I1127" s="70" t="s">
        <x:v>852</x:v>
      </x:c>
      <x:c r="J1127" s="70" t="n">
        <x:v>155</x:v>
      </x:c>
      <x:c r="K1127" s="70" t="s">
        <x:v>1905</x:v>
      </x:c>
      <x:c r="L1127" s="70"/>
      <x:c r="M1127" s="70" t="s">
        <x:v>39</x:v>
      </x:c>
      <x:c r="N1127" s="71" t="n">
        <x:v>0</x:v>
      </x:c>
      <x:c r="O1127" s="72" t="n">
        <x:f aca="0">N1127/1000</x:f>
        <x:v>0</x:v>
      </x:c>
      <x:c r="P1127" s="73" t="n">
        <x:f aca="0">DGKC!H93</x:f>
        <x:v>0</x:v>
      </x:c>
      <x:c r="Q1127" s="70" t="str">
        <x:f aca="0">IF(ABS(O1127-P1127)&lt;0.000001,"PASS","FAIL")</x:f>
        <x:v>PASS</x:v>
      </x:c>
      <x:c r="R1127" s="70" t="s">
        <x:v>33</x:v>
      </x:c>
      <x:c r="S1127" s="70"/>
    </x:row>
    <x:row r="1128" ht="15" hidden="0">
      <x:c r="A1128" s="70" t="s">
        <x:v>2045</x:v>
      </x:c>
      <x:c r="B1128" s="70" t="s">
        <x:v>36</x:v>
      </x:c>
      <x:c r="C1128" s="70" t="s">
        <x:v>101</x:v>
      </x:c>
      <x:c r="D1128" s="70" t="s">
        <x:v>244</x:v>
      </x:c>
      <x:c r="E1128" s="70" t="s">
        <x:v>1106</x:v>
      </x:c>
      <x:c r="F1128" s="70"/>
      <x:c r="G1128" s="70" t="s">
        <x:v>1745</x:v>
      </x:c>
      <x:c r="H1128" s="70" t="s">
        <x:v>838</x:v>
      </x:c>
      <x:c r="I1128" s="70" t="s">
        <x:v>833</x:v>
      </x:c>
      <x:c r="J1128" s="70" t="n">
        <x:v>127</x:v>
      </x:c>
      <x:c r="K1128" s="70" t="s">
        <x:v>2002</x:v>
      </x:c>
      <x:c r="L1128" s="70"/>
      <x:c r="M1128" s="70" t="s">
        <x:v>39</x:v>
      </x:c>
      <x:c r="N1128" s="71" t="n">
        <x:v>0</x:v>
      </x:c>
      <x:c r="O1128" s="72" t="n">
        <x:f aca="0">N1128/1000</x:f>
        <x:v>0</x:v>
      </x:c>
      <x:c r="P1128" s="73" t="n">
        <x:f aca="0">DGKC!D94</x:f>
        <x:v>0</x:v>
      </x:c>
      <x:c r="Q1128" s="70" t="str">
        <x:f aca="0">IF(ABS(O1128-P1128)&lt;0.000001,"PASS","FAIL")</x:f>
        <x:v>PASS</x:v>
      </x:c>
      <x:c r="R1128" s="70" t="s">
        <x:v>33</x:v>
      </x:c>
      <x:c r="S1128" s="70"/>
    </x:row>
    <x:row r="1129" ht="15" hidden="0">
      <x:c r="A1129" s="70" t="s">
        <x:v>2046</x:v>
      </x:c>
      <x:c r="B1129" s="70" t="s">
        <x:v>36</x:v>
      </x:c>
      <x:c r="C1129" s="70" t="s">
        <x:v>102</x:v>
      </x:c>
      <x:c r="D1129" s="70" t="s">
        <x:v>244</x:v>
      </x:c>
      <x:c r="E1129" s="70" t="s">
        <x:v>1106</x:v>
      </x:c>
      <x:c r="F1129" s="70"/>
      <x:c r="G1129" s="70" t="s">
        <x:v>1748</x:v>
      </x:c>
      <x:c r="H1129" s="70" t="s">
        <x:v>842</x:v>
      </x:c>
      <x:c r="I1129" s="70" t="s">
        <x:v>833</x:v>
      </x:c>
      <x:c r="J1129" s="70" t="n">
        <x:v>153</x:v>
      </x:c>
      <x:c r="K1129" s="70" t="s">
        <x:v>1775</x:v>
      </x:c>
      <x:c r="L1129" s="70"/>
      <x:c r="M1129" s="70" t="s">
        <x:v>39</x:v>
      </x:c>
      <x:c r="N1129" s="71" t="n">
        <x:v>0</x:v>
      </x:c>
      <x:c r="O1129" s="72" t="n">
        <x:f aca="0">N1129/1000</x:f>
        <x:v>0</x:v>
      </x:c>
      <x:c r="P1129" s="73" t="n">
        <x:f aca="0">DGKC!E94</x:f>
        <x:v>0</x:v>
      </x:c>
      <x:c r="Q1129" s="70" t="str">
        <x:f aca="0">IF(ABS(O1129-P1129)&lt;0.000001,"PASS","FAIL")</x:f>
        <x:v>PASS</x:v>
      </x:c>
      <x:c r="R1129" s="70" t="s">
        <x:v>33</x:v>
      </x:c>
      <x:c r="S1129" s="70"/>
    </x:row>
    <x:row r="1130" ht="15" hidden="0">
      <x:c r="A1130" s="70" t="s">
        <x:v>2047</x:v>
      </x:c>
      <x:c r="B1130" s="70" t="s">
        <x:v>36</x:v>
      </x:c>
      <x:c r="C1130" s="70" t="s">
        <x:v>103</x:v>
      </x:c>
      <x:c r="D1130" s="70" t="s">
        <x:v>244</x:v>
      </x:c>
      <x:c r="E1130" s="70" t="s">
        <x:v>1106</x:v>
      </x:c>
      <x:c r="F1130" s="70"/>
      <x:c r="G1130" s="70" t="s">
        <x:v>1751</x:v>
      </x:c>
      <x:c r="H1130" s="70" t="s">
        <x:v>845</x:v>
      </x:c>
      <x:c r="I1130" s="70" t="s">
        <x:v>833</x:v>
      </x:c>
      <x:c r="J1130" s="70" t="n">
        <x:v>153</x:v>
      </x:c>
      <x:c r="K1130" s="70" t="s">
        <x:v>1775</x:v>
      </x:c>
      <x:c r="L1130" s="70"/>
      <x:c r="M1130" s="70" t="s">
        <x:v>39</x:v>
      </x:c>
      <x:c r="N1130" s="71" t="n">
        <x:v>0</x:v>
      </x:c>
      <x:c r="O1130" s="72" t="n">
        <x:f aca="0">N1130/1000</x:f>
        <x:v>0</x:v>
      </x:c>
      <x:c r="P1130" s="73" t="n">
        <x:f aca="0">DGKC!F94</x:f>
        <x:v>0</x:v>
      </x:c>
      <x:c r="Q1130" s="70" t="str">
        <x:f aca="0">IF(ABS(O1130-P1130)&lt;0.000001,"PASS","FAIL")</x:f>
        <x:v>PASS</x:v>
      </x:c>
      <x:c r="R1130" s="70" t="s">
        <x:v>33</x:v>
      </x:c>
      <x:c r="S1130" s="70"/>
    </x:row>
    <x:row r="1131" ht="15" hidden="0">
      <x:c r="A1131" s="70" t="s">
        <x:v>2048</x:v>
      </x:c>
      <x:c r="B1131" s="70" t="s">
        <x:v>36</x:v>
      </x:c>
      <x:c r="C1131" s="70" t="s">
        <x:v>104</x:v>
      </x:c>
      <x:c r="D1131" s="70" t="s">
        <x:v>244</x:v>
      </x:c>
      <x:c r="E1131" s="70" t="s">
        <x:v>1106</x:v>
      </x:c>
      <x:c r="F1131" s="70"/>
      <x:c r="G1131" s="70" t="s">
        <x:v>1753</x:v>
      </x:c>
      <x:c r="H1131" s="70" t="s">
        <x:v>849</x:v>
      </x:c>
      <x:c r="I1131" s="70" t="s">
        <x:v>833</x:v>
      </x:c>
      <x:c r="J1131" s="70" t="n">
        <x:v>155</x:v>
      </x:c>
      <x:c r="K1131" s="70" t="s">
        <x:v>1905</x:v>
      </x:c>
      <x:c r="L1131" s="70"/>
      <x:c r="M1131" s="70" t="s">
        <x:v>39</x:v>
      </x:c>
      <x:c r="N1131" s="71" t="n">
        <x:v>0</x:v>
      </x:c>
      <x:c r="O1131" s="72" t="n">
        <x:f aca="0">N1131/1000</x:f>
        <x:v>0</x:v>
      </x:c>
      <x:c r="P1131" s="73" t="n">
        <x:f aca="0">DGKC!G94</x:f>
        <x:v>0</x:v>
      </x:c>
      <x:c r="Q1131" s="70" t="str">
        <x:f aca="0">IF(ABS(O1131-P1131)&lt;0.000001,"PASS","FAIL")</x:f>
        <x:v>PASS</x:v>
      </x:c>
      <x:c r="R1131" s="70" t="s">
        <x:v>33</x:v>
      </x:c>
      <x:c r="S1131" s="70"/>
    </x:row>
    <x:row r="1132" ht="15" hidden="0">
      <x:c r="A1132" s="70" t="s">
        <x:v>2049</x:v>
      </x:c>
      <x:c r="B1132" s="70" t="s">
        <x:v>36</x:v>
      </x:c>
      <x:c r="C1132" s="70" t="s">
        <x:v>105</x:v>
      </x:c>
      <x:c r="D1132" s="70" t="s">
        <x:v>244</x:v>
      </x:c>
      <x:c r="E1132" s="70" t="s">
        <x:v>1106</x:v>
      </x:c>
      <x:c r="F1132" s="70"/>
      <x:c r="G1132" s="70" t="s">
        <x:v>1753</x:v>
      </x:c>
      <x:c r="H1132" s="70" t="s">
        <x:v>849</x:v>
      </x:c>
      <x:c r="I1132" s="70" t="s">
        <x:v>852</x:v>
      </x:c>
      <x:c r="J1132" s="70" t="n">
        <x:v>155</x:v>
      </x:c>
      <x:c r="K1132" s="70" t="s">
        <x:v>1905</x:v>
      </x:c>
      <x:c r="L1132" s="70"/>
      <x:c r="M1132" s="70" t="s">
        <x:v>39</x:v>
      </x:c>
      <x:c r="N1132" s="71" t="n">
        <x:v>0</x:v>
      </x:c>
      <x:c r="O1132" s="72" t="n">
        <x:f aca="0">N1132/1000</x:f>
        <x:v>0</x:v>
      </x:c>
      <x:c r="P1132" s="73" t="n">
        <x:f aca="0">DGKC!H94</x:f>
        <x:v>0</x:v>
      </x:c>
      <x:c r="Q1132" s="70" t="str">
        <x:f aca="0">IF(ABS(O1132-P1132)&lt;0.000001,"PASS","FAIL")</x:f>
        <x:v>PASS</x:v>
      </x:c>
      <x:c r="R1132" s="70" t="s">
        <x:v>33</x:v>
      </x:c>
      <x:c r="S1132" s="70"/>
    </x:row>
    <x:row r="1133" ht="15" hidden="0">
      <x:c r="A1133" s="70" t="s">
        <x:v>2050</x:v>
      </x:c>
      <x:c r="B1133" s="70" t="s">
        <x:v>36</x:v>
      </x:c>
      <x:c r="C1133" s="70" t="s">
        <x:v>101</x:v>
      </x:c>
      <x:c r="D1133" s="70" t="s">
        <x:v>246</x:v>
      </x:c>
      <x:c r="E1133" s="70" t="s">
        <x:v>1106</x:v>
      </x:c>
      <x:c r="F1133" s="70" t="s">
        <x:v>246</x:v>
      </x:c>
      <x:c r="G1133" s="70" t="s">
        <x:v>1745</x:v>
      </x:c>
      <x:c r="H1133" s="70" t="s">
        <x:v>838</x:v>
      </x:c>
      <x:c r="I1133" s="70" t="s">
        <x:v>833</x:v>
      </x:c>
      <x:c r="J1133" s="70" t="n">
        <x:v>127</x:v>
      </x:c>
      <x:c r="K1133" s="70" t="s">
        <x:v>2002</x:v>
      </x:c>
      <x:c r="L1133" s="70"/>
      <x:c r="M1133" s="70" t="s">
        <x:v>39</x:v>
      </x:c>
      <x:c r="N1133" s="71" t="n">
        <x:v>-2920875</x:v>
      </x:c>
      <x:c r="O1133" s="72" t="n">
        <x:f aca="0">N1133/1000</x:f>
        <x:v>-2920.875</x:v>
      </x:c>
      <x:c r="P1133" s="73" t="n">
        <x:f aca="0">DGKC!D95</x:f>
        <x:v>-2920.875</x:v>
      </x:c>
      <x:c r="Q1133" s="70" t="str">
        <x:f aca="0">IF(ABS(O1133-P1133)&lt;0.000001,"PASS","FAIL")</x:f>
        <x:v>PASS</x:v>
      </x:c>
      <x:c r="R1133" s="70" t="s">
        <x:v>33</x:v>
      </x:c>
      <x:c r="S1133" s="70"/>
    </x:row>
    <x:row r="1134" ht="15" hidden="0">
      <x:c r="A1134" s="70" t="s">
        <x:v>2051</x:v>
      </x:c>
      <x:c r="B1134" s="70" t="s">
        <x:v>36</x:v>
      </x:c>
      <x:c r="C1134" s="70" t="s">
        <x:v>102</x:v>
      </x:c>
      <x:c r="D1134" s="70" t="s">
        <x:v>246</x:v>
      </x:c>
      <x:c r="E1134" s="70" t="s">
        <x:v>1106</x:v>
      </x:c>
      <x:c r="F1134" s="70" t="s">
        <x:v>246</x:v>
      </x:c>
      <x:c r="G1134" s="70" t="s">
        <x:v>1748</x:v>
      </x:c>
      <x:c r="H1134" s="70" t="s">
        <x:v>842</x:v>
      </x:c>
      <x:c r="I1134" s="70" t="s">
        <x:v>833</x:v>
      </x:c>
      <x:c r="J1134" s="70" t="n">
        <x:v>153</x:v>
      </x:c>
      <x:c r="K1134" s="70" t="s">
        <x:v>1775</x:v>
      </x:c>
      <x:c r="L1134" s="70"/>
      <x:c r="M1134" s="70" t="s">
        <x:v>39</x:v>
      </x:c>
      <x:c r="N1134" s="71" t="n">
        <x:v>-3571187</x:v>
      </x:c>
      <x:c r="O1134" s="72" t="n">
        <x:f aca="0">N1134/1000</x:f>
        <x:v>-3571.187</x:v>
      </x:c>
      <x:c r="P1134" s="73" t="n">
        <x:f aca="0">DGKC!E95</x:f>
        <x:v>-3571.187</x:v>
      </x:c>
      <x:c r="Q1134" s="70" t="str">
        <x:f aca="0">IF(ABS(O1134-P1134)&lt;0.000001,"PASS","FAIL")</x:f>
        <x:v>PASS</x:v>
      </x:c>
      <x:c r="R1134" s="70" t="s">
        <x:v>33</x:v>
      </x:c>
      <x:c r="S1134" s="70"/>
    </x:row>
    <x:row r="1135" ht="15" hidden="0">
      <x:c r="A1135" s="70" t="s">
        <x:v>2052</x:v>
      </x:c>
      <x:c r="B1135" s="70" t="s">
        <x:v>36</x:v>
      </x:c>
      <x:c r="C1135" s="70" t="s">
        <x:v>103</x:v>
      </x:c>
      <x:c r="D1135" s="70" t="s">
        <x:v>246</x:v>
      </x:c>
      <x:c r="E1135" s="70" t="s">
        <x:v>1106</x:v>
      </x:c>
      <x:c r="F1135" s="70" t="s">
        <x:v>246</x:v>
      </x:c>
      <x:c r="G1135" s="70" t="s">
        <x:v>1751</x:v>
      </x:c>
      <x:c r="H1135" s="70" t="s">
        <x:v>845</x:v>
      </x:c>
      <x:c r="I1135" s="70" t="s">
        <x:v>833</x:v>
      </x:c>
      <x:c r="J1135" s="70" t="n">
        <x:v>153</x:v>
      </x:c>
      <x:c r="K1135" s="70" t="s">
        <x:v>1775</x:v>
      </x:c>
      <x:c r="L1135" s="70"/>
      <x:c r="M1135" s="70" t="s">
        <x:v>39</x:v>
      </x:c>
      <x:c r="N1135" s="71" t="n">
        <x:v>-6742292</x:v>
      </x:c>
      <x:c r="O1135" s="72" t="n">
        <x:f aca="0">N1135/1000</x:f>
        <x:v>-6742.292</x:v>
      </x:c>
      <x:c r="P1135" s="73" t="n">
        <x:f aca="0">DGKC!F95</x:f>
        <x:v>-6742.292</x:v>
      </x:c>
      <x:c r="Q1135" s="70" t="str">
        <x:f aca="0">IF(ABS(O1135-P1135)&lt;0.000001,"PASS","FAIL")</x:f>
        <x:v>PASS</x:v>
      </x:c>
      <x:c r="R1135" s="70" t="s">
        <x:v>33</x:v>
      </x:c>
      <x:c r="S1135" s="70"/>
    </x:row>
    <x:row r="1136" ht="15" hidden="0">
      <x:c r="A1136" s="70" t="s">
        <x:v>2053</x:v>
      </x:c>
      <x:c r="B1136" s="70" t="s">
        <x:v>36</x:v>
      </x:c>
      <x:c r="C1136" s="70" t="s">
        <x:v>104</x:v>
      </x:c>
      <x:c r="D1136" s="70" t="s">
        <x:v>246</x:v>
      </x:c>
      <x:c r="E1136" s="70" t="s">
        <x:v>1106</x:v>
      </x:c>
      <x:c r="F1136" s="70" t="s">
        <x:v>246</x:v>
      </x:c>
      <x:c r="G1136" s="70" t="s">
        <x:v>1753</x:v>
      </x:c>
      <x:c r="H1136" s="70" t="s">
        <x:v>849</x:v>
      </x:c>
      <x:c r="I1136" s="70" t="s">
        <x:v>833</x:v>
      </x:c>
      <x:c r="J1136" s="70" t="n">
        <x:v>155</x:v>
      </x:c>
      <x:c r="K1136" s="70" t="s">
        <x:v>1905</x:v>
      </x:c>
      <x:c r="L1136" s="70"/>
      <x:c r="M1136" s="70" t="s">
        <x:v>39</x:v>
      </x:c>
      <x:c r="N1136" s="71" t="n">
        <x:v>-8001105</x:v>
      </x:c>
      <x:c r="O1136" s="72" t="n">
        <x:f aca="0">N1136/1000</x:f>
        <x:v>-8001.105</x:v>
      </x:c>
      <x:c r="P1136" s="73" t="n">
        <x:f aca="0">DGKC!G95</x:f>
        <x:v>-8001.105</x:v>
      </x:c>
      <x:c r="Q1136" s="70" t="str">
        <x:f aca="0">IF(ABS(O1136-P1136)&lt;0.000001,"PASS","FAIL")</x:f>
        <x:v>PASS</x:v>
      </x:c>
      <x:c r="R1136" s="70" t="s">
        <x:v>33</x:v>
      </x:c>
      <x:c r="S1136" s="70"/>
    </x:row>
    <x:row r="1137" ht="15" hidden="0">
      <x:c r="A1137" s="70" t="s">
        <x:v>2054</x:v>
      </x:c>
      <x:c r="B1137" s="70" t="s">
        <x:v>36</x:v>
      </x:c>
      <x:c r="C1137" s="70" t="s">
        <x:v>105</x:v>
      </x:c>
      <x:c r="D1137" s="70" t="s">
        <x:v>246</x:v>
      </x:c>
      <x:c r="E1137" s="70" t="s">
        <x:v>1106</x:v>
      </x:c>
      <x:c r="F1137" s="70" t="s">
        <x:v>246</x:v>
      </x:c>
      <x:c r="G1137" s="70" t="s">
        <x:v>1753</x:v>
      </x:c>
      <x:c r="H1137" s="70" t="s">
        <x:v>849</x:v>
      </x:c>
      <x:c r="I1137" s="70" t="s">
        <x:v>852</x:v>
      </x:c>
      <x:c r="J1137" s="70" t="n">
        <x:v>155</x:v>
      </x:c>
      <x:c r="K1137" s="70" t="s">
        <x:v>1905</x:v>
      </x:c>
      <x:c r="L1137" s="70"/>
      <x:c r="M1137" s="70" t="s">
        <x:v>39</x:v>
      </x:c>
      <x:c r="N1137" s="71" t="n">
        <x:v>-3870405</x:v>
      </x:c>
      <x:c r="O1137" s="72" t="n">
        <x:f aca="0">N1137/1000</x:f>
        <x:v>-3870.405</x:v>
      </x:c>
      <x:c r="P1137" s="73" t="n">
        <x:f aca="0">DGKC!H95</x:f>
        <x:v>-3870.405</x:v>
      </x:c>
      <x:c r="Q1137" s="70" t="str">
        <x:f aca="0">IF(ABS(O1137-P1137)&lt;0.000001,"PASS","FAIL")</x:f>
        <x:v>PASS</x:v>
      </x:c>
      <x:c r="R1137" s="70" t="s">
        <x:v>33</x:v>
      </x:c>
      <x:c r="S1137" s="70"/>
    </x:row>
    <x:row r="1138" ht="15" hidden="0">
      <x:c r="A1138" s="70" t="s">
        <x:v>2055</x:v>
      </x:c>
      <x:c r="B1138" s="70" t="s">
        <x:v>36</x:v>
      </x:c>
      <x:c r="C1138" s="70" t="s">
        <x:v>101</x:v>
      </x:c>
      <x:c r="D1138" s="70" t="s">
        <x:v>250</x:v>
      </x:c>
      <x:c r="E1138" s="70" t="s">
        <x:v>1106</x:v>
      </x:c>
      <x:c r="F1138" s="70"/>
      <x:c r="G1138" s="70" t="s">
        <x:v>1745</x:v>
      </x:c>
      <x:c r="H1138" s="70" t="s">
        <x:v>838</x:v>
      </x:c>
      <x:c r="I1138" s="70" t="s">
        <x:v>833</x:v>
      </x:c>
      <x:c r="J1138" s="70" t="n">
        <x:v>127</x:v>
      </x:c>
      <x:c r="K1138" s="70" t="s">
        <x:v>2002</x:v>
      </x:c>
      <x:c r="L1138" s="70"/>
      <x:c r="M1138" s="70" t="s">
        <x:v>39</x:v>
      </x:c>
      <x:c r="N1138" s="71" t="n">
        <x:v>0</x:v>
      </x:c>
      <x:c r="O1138" s="72" t="n">
        <x:f aca="0">N1138/1000</x:f>
        <x:v>0</x:v>
      </x:c>
      <x:c r="P1138" s="73" t="n">
        <x:f aca="0">DGKC!D97</x:f>
        <x:v>0</x:v>
      </x:c>
      <x:c r="Q1138" s="70" t="str">
        <x:f aca="0">IF(ABS(O1138-P1138)&lt;0.000001,"PASS","FAIL")</x:f>
        <x:v>PASS</x:v>
      </x:c>
      <x:c r="R1138" s="70" t="s">
        <x:v>33</x:v>
      </x:c>
      <x:c r="S1138" s="70"/>
    </x:row>
    <x:row r="1139" ht="15" hidden="0">
      <x:c r="A1139" s="70" t="s">
        <x:v>2056</x:v>
      </x:c>
      <x:c r="B1139" s="70" t="s">
        <x:v>36</x:v>
      </x:c>
      <x:c r="C1139" s="70" t="s">
        <x:v>102</x:v>
      </x:c>
      <x:c r="D1139" s="70" t="s">
        <x:v>250</x:v>
      </x:c>
      <x:c r="E1139" s="70" t="s">
        <x:v>1106</x:v>
      </x:c>
      <x:c r="F1139" s="70"/>
      <x:c r="G1139" s="70" t="s">
        <x:v>1748</x:v>
      </x:c>
      <x:c r="H1139" s="70" t="s">
        <x:v>842</x:v>
      </x:c>
      <x:c r="I1139" s="70" t="s">
        <x:v>833</x:v>
      </x:c>
      <x:c r="J1139" s="70" t="n">
        <x:v>153</x:v>
      </x:c>
      <x:c r="K1139" s="70" t="s">
        <x:v>1775</x:v>
      </x:c>
      <x:c r="L1139" s="70"/>
      <x:c r="M1139" s="70" t="s">
        <x:v>39</x:v>
      </x:c>
      <x:c r="N1139" s="71" t="n">
        <x:v>0</x:v>
      </x:c>
      <x:c r="O1139" s="72" t="n">
        <x:f aca="0">N1139/1000</x:f>
        <x:v>0</x:v>
      </x:c>
      <x:c r="P1139" s="73" t="n">
        <x:f aca="0">DGKC!E97</x:f>
        <x:v>0</x:v>
      </x:c>
      <x:c r="Q1139" s="70" t="str">
        <x:f aca="0">IF(ABS(O1139-P1139)&lt;0.000001,"PASS","FAIL")</x:f>
        <x:v>PASS</x:v>
      </x:c>
      <x:c r="R1139" s="70" t="s">
        <x:v>33</x:v>
      </x:c>
      <x:c r="S1139" s="70"/>
    </x:row>
    <x:row r="1140" ht="15" hidden="0">
      <x:c r="A1140" s="70" t="s">
        <x:v>2057</x:v>
      </x:c>
      <x:c r="B1140" s="70" t="s">
        <x:v>36</x:v>
      </x:c>
      <x:c r="C1140" s="70" t="s">
        <x:v>103</x:v>
      </x:c>
      <x:c r="D1140" s="70" t="s">
        <x:v>250</x:v>
      </x:c>
      <x:c r="E1140" s="70" t="s">
        <x:v>1106</x:v>
      </x:c>
      <x:c r="F1140" s="70" t="s">
        <x:v>1614</x:v>
      </x:c>
      <x:c r="G1140" s="70" t="s">
        <x:v>1751</x:v>
      </x:c>
      <x:c r="H1140" s="70" t="s">
        <x:v>845</x:v>
      </x:c>
      <x:c r="I1140" s="70" t="s">
        <x:v>833</x:v>
      </x:c>
      <x:c r="J1140" s="70" t="n">
        <x:v>153</x:v>
      </x:c>
      <x:c r="K1140" s="70" t="s">
        <x:v>1775</x:v>
      </x:c>
      <x:c r="L1140" s="70"/>
      <x:c r="M1140" s="70" t="s">
        <x:v>39</x:v>
      </x:c>
      <x:c r="N1140" s="71" t="n">
        <x:v>-364054</x:v>
      </x:c>
      <x:c r="O1140" s="72" t="n">
        <x:f aca="0">N1140/1000</x:f>
        <x:v>-364.054</x:v>
      </x:c>
      <x:c r="P1140" s="73" t="n">
        <x:f aca="0">DGKC!F97</x:f>
        <x:v>-364.054</x:v>
      </x:c>
      <x:c r="Q1140" s="70" t="str">
        <x:f aca="0">IF(ABS(O1140-P1140)&lt;0.000001,"PASS","FAIL")</x:f>
        <x:v>PASS</x:v>
      </x:c>
      <x:c r="R1140" s="70" t="s">
        <x:v>33</x:v>
      </x:c>
      <x:c r="S1140" s="70"/>
    </x:row>
    <x:row r="1141" ht="15" hidden="0">
      <x:c r="A1141" s="70" t="s">
        <x:v>2058</x:v>
      </x:c>
      <x:c r="B1141" s="70" t="s">
        <x:v>36</x:v>
      </x:c>
      <x:c r="C1141" s="70" t="s">
        <x:v>104</x:v>
      </x:c>
      <x:c r="D1141" s="70" t="s">
        <x:v>250</x:v>
      </x:c>
      <x:c r="E1141" s="70" t="s">
        <x:v>1106</x:v>
      </x:c>
      <x:c r="F1141" s="70" t="s">
        <x:v>1614</x:v>
      </x:c>
      <x:c r="G1141" s="70" t="s">
        <x:v>1753</x:v>
      </x:c>
      <x:c r="H1141" s="70" t="s">
        <x:v>849</x:v>
      </x:c>
      <x:c r="I1141" s="70" t="s">
        <x:v>833</x:v>
      </x:c>
      <x:c r="J1141" s="70" t="n">
        <x:v>155</x:v>
      </x:c>
      <x:c r="K1141" s="70" t="s">
        <x:v>1905</x:v>
      </x:c>
      <x:c r="L1141" s="70"/>
      <x:c r="M1141" s="70" t="s">
        <x:v>39</x:v>
      </x:c>
      <x:c r="N1141" s="71" t="n">
        <x:v>-520848</x:v>
      </x:c>
      <x:c r="O1141" s="72" t="n">
        <x:f aca="0">N1141/1000</x:f>
        <x:v>-520.848</x:v>
      </x:c>
      <x:c r="P1141" s="73" t="n">
        <x:f aca="0">DGKC!G97</x:f>
        <x:v>-520.848</x:v>
      </x:c>
      <x:c r="Q1141" s="70" t="str">
        <x:f aca="0">IF(ABS(O1141-P1141)&lt;0.000001,"PASS","FAIL")</x:f>
        <x:v>PASS</x:v>
      </x:c>
      <x:c r="R1141" s="70" t="s">
        <x:v>33</x:v>
      </x:c>
      <x:c r="S1141" s="70"/>
    </x:row>
    <x:row r="1142" ht="15" hidden="0">
      <x:c r="A1142" s="70" t="s">
        <x:v>2059</x:v>
      </x:c>
      <x:c r="B1142" s="70" t="s">
        <x:v>36</x:v>
      </x:c>
      <x:c r="C1142" s="70" t="s">
        <x:v>105</x:v>
      </x:c>
      <x:c r="D1142" s="70" t="s">
        <x:v>250</x:v>
      </x:c>
      <x:c r="E1142" s="70" t="s">
        <x:v>1106</x:v>
      </x:c>
      <x:c r="F1142" s="70" t="s">
        <x:v>1614</x:v>
      </x:c>
      <x:c r="G1142" s="70" t="s">
        <x:v>1753</x:v>
      </x:c>
      <x:c r="H1142" s="70" t="s">
        <x:v>849</x:v>
      </x:c>
      <x:c r="I1142" s="70" t="s">
        <x:v>852</x:v>
      </x:c>
      <x:c r="J1142" s="70" t="n">
        <x:v>155</x:v>
      </x:c>
      <x:c r="K1142" s="70" t="s">
        <x:v>1905</x:v>
      </x:c>
      <x:c r="L1142" s="70"/>
      <x:c r="M1142" s="70" t="s">
        <x:v>39</x:v>
      </x:c>
      <x:c r="N1142" s="71" t="n">
        <x:v>-577125</x:v>
      </x:c>
      <x:c r="O1142" s="72" t="n">
        <x:f aca="0">N1142/1000</x:f>
        <x:v>-577.125</x:v>
      </x:c>
      <x:c r="P1142" s="73" t="n">
        <x:f aca="0">DGKC!H97</x:f>
        <x:v>-577.125</x:v>
      </x:c>
      <x:c r="Q1142" s="70" t="str">
        <x:f aca="0">IF(ABS(O1142-P1142)&lt;0.000001,"PASS","FAIL")</x:f>
        <x:v>PASS</x:v>
      </x:c>
      <x:c r="R1142" s="70" t="s">
        <x:v>33</x:v>
      </x:c>
      <x:c r="S1142" s="70"/>
    </x:row>
    <x:row r="1143" ht="15" hidden="0">
      <x:c r="A1143" s="70" t="s">
        <x:v>2060</x:v>
      </x:c>
      <x:c r="B1143" s="70" t="s">
        <x:v>36</x:v>
      </x:c>
      <x:c r="C1143" s="70" t="s">
        <x:v>101</x:v>
      </x:c>
      <x:c r="D1143" s="70" t="s">
        <x:v>252</x:v>
      </x:c>
      <x:c r="E1143" s="70" t="s">
        <x:v>1106</x:v>
      </x:c>
      <x:c r="F1143" s="70" t="s">
        <x:v>1168</x:v>
      </x:c>
      <x:c r="G1143" s="70" t="s">
        <x:v>1745</x:v>
      </x:c>
      <x:c r="H1143" s="70" t="s">
        <x:v>838</x:v>
      </x:c>
      <x:c r="I1143" s="70" t="s">
        <x:v>833</x:v>
      </x:c>
      <x:c r="J1143" s="70" t="n">
        <x:v>127</x:v>
      </x:c>
      <x:c r="K1143" s="70" t="s">
        <x:v>2002</x:v>
      </x:c>
      <x:c r="L1143" s="70"/>
      <x:c r="M1143" s="70" t="s">
        <x:v>39</x:v>
      </x:c>
      <x:c r="N1143" s="71" t="n">
        <x:v>-1050132</x:v>
      </x:c>
      <x:c r="O1143" s="72" t="n">
        <x:f aca="0">N1143/1000</x:f>
        <x:v>-1050.132</x:v>
      </x:c>
      <x:c r="P1143" s="73" t="n">
        <x:f aca="0">DGKC!D98</x:f>
        <x:v>-1050.132</x:v>
      </x:c>
      <x:c r="Q1143" s="70" t="str">
        <x:f aca="0">IF(ABS(O1143-P1143)&lt;0.000001,"PASS","FAIL")</x:f>
        <x:v>PASS</x:v>
      </x:c>
      <x:c r="R1143" s="70" t="s">
        <x:v>33</x:v>
      </x:c>
      <x:c r="S1143" s="70"/>
    </x:row>
    <x:row r="1144" ht="15" hidden="0">
      <x:c r="A1144" s="70" t="s">
        <x:v>2061</x:v>
      </x:c>
      <x:c r="B1144" s="70" t="s">
        <x:v>36</x:v>
      </x:c>
      <x:c r="C1144" s="70" t="s">
        <x:v>102</x:v>
      </x:c>
      <x:c r="D1144" s="70" t="s">
        <x:v>252</x:v>
      </x:c>
      <x:c r="E1144" s="70" t="s">
        <x:v>1106</x:v>
      </x:c>
      <x:c r="F1144" s="70" t="s">
        <x:v>1168</x:v>
      </x:c>
      <x:c r="G1144" s="70" t="s">
        <x:v>1748</x:v>
      </x:c>
      <x:c r="H1144" s="70" t="s">
        <x:v>842</x:v>
      </x:c>
      <x:c r="I1144" s="70" t="s">
        <x:v>833</x:v>
      </x:c>
      <x:c r="J1144" s="70" t="n">
        <x:v>153</x:v>
      </x:c>
      <x:c r="K1144" s="70" t="s">
        <x:v>1775</x:v>
      </x:c>
      <x:c r="L1144" s="70"/>
      <x:c r="M1144" s="70" t="s">
        <x:v>39</x:v>
      </x:c>
      <x:c r="N1144" s="71" t="n">
        <x:v>-3047629</x:v>
      </x:c>
      <x:c r="O1144" s="72" t="n">
        <x:f aca="0">N1144/1000</x:f>
        <x:v>-3047.629</x:v>
      </x:c>
      <x:c r="P1144" s="73" t="n">
        <x:f aca="0">DGKC!E98</x:f>
        <x:v>-3047.629</x:v>
      </x:c>
      <x:c r="Q1144" s="70" t="str">
        <x:f aca="0">IF(ABS(O1144-P1144)&lt;0.000001,"PASS","FAIL")</x:f>
        <x:v>PASS</x:v>
      </x:c>
      <x:c r="R1144" s="70" t="s">
        <x:v>33</x:v>
      </x:c>
      <x:c r="S1144" s="70"/>
    </x:row>
    <x:row r="1145" ht="15" hidden="0">
      <x:c r="A1145" s="70" t="s">
        <x:v>2062</x:v>
      </x:c>
      <x:c r="B1145" s="70" t="s">
        <x:v>36</x:v>
      </x:c>
      <x:c r="C1145" s="70" t="s">
        <x:v>103</x:v>
      </x:c>
      <x:c r="D1145" s="70" t="s">
        <x:v>252</x:v>
      </x:c>
      <x:c r="E1145" s="70" t="s">
        <x:v>1106</x:v>
      </x:c>
      <x:c r="F1145" s="70" t="s">
        <x:v>1168</x:v>
      </x:c>
      <x:c r="G1145" s="70" t="s">
        <x:v>1751</x:v>
      </x:c>
      <x:c r="H1145" s="70" t="s">
        <x:v>845</x:v>
      </x:c>
      <x:c r="I1145" s="70" t="s">
        <x:v>833</x:v>
      </x:c>
      <x:c r="J1145" s="70" t="n">
        <x:v>153</x:v>
      </x:c>
      <x:c r="K1145" s="70" t="s">
        <x:v>1775</x:v>
      </x:c>
      <x:c r="L1145" s="70"/>
      <x:c r="M1145" s="70" t="s">
        <x:v>39</x:v>
      </x:c>
      <x:c r="N1145" s="71" t="n">
        <x:v>-6434465</x:v>
      </x:c>
      <x:c r="O1145" s="72" t="n">
        <x:f aca="0">N1145/1000</x:f>
        <x:v>-6434.465</x:v>
      </x:c>
      <x:c r="P1145" s="73" t="n">
        <x:f aca="0">DGKC!F98</x:f>
        <x:v>-6434.465</x:v>
      </x:c>
      <x:c r="Q1145" s="70" t="str">
        <x:f aca="0">IF(ABS(O1145-P1145)&lt;0.000001,"PASS","FAIL")</x:f>
        <x:v>PASS</x:v>
      </x:c>
      <x:c r="R1145" s="70" t="s">
        <x:v>33</x:v>
      </x:c>
      <x:c r="S1145" s="70" t="s">
        <x:v>839</x:v>
      </x:c>
    </x:row>
    <x:row r="1146" ht="15" hidden="0">
      <x:c r="A1146" s="70" t="s">
        <x:v>2063</x:v>
      </x:c>
      <x:c r="B1146" s="70" t="s">
        <x:v>36</x:v>
      </x:c>
      <x:c r="C1146" s="70" t="s">
        <x:v>104</x:v>
      </x:c>
      <x:c r="D1146" s="70" t="s">
        <x:v>252</x:v>
      </x:c>
      <x:c r="E1146" s="70" t="s">
        <x:v>1106</x:v>
      </x:c>
      <x:c r="F1146" s="70" t="s">
        <x:v>252</x:v>
      </x:c>
      <x:c r="G1146" s="70" t="s">
        <x:v>1753</x:v>
      </x:c>
      <x:c r="H1146" s="70" t="s">
        <x:v>849</x:v>
      </x:c>
      <x:c r="I1146" s="70" t="s">
        <x:v>833</x:v>
      </x:c>
      <x:c r="J1146" s="70" t="n">
        <x:v>155</x:v>
      </x:c>
      <x:c r="K1146" s="70" t="s">
        <x:v>1905</x:v>
      </x:c>
      <x:c r="L1146" s="70"/>
      <x:c r="M1146" s="70" t="s">
        <x:v>39</x:v>
      </x:c>
      <x:c r="N1146" s="71" t="n">
        <x:v>-1775666</x:v>
      </x:c>
      <x:c r="O1146" s="72" t="n">
        <x:f aca="0">N1146/1000</x:f>
        <x:v>-1775.666</x:v>
      </x:c>
      <x:c r="P1146" s="73" t="n">
        <x:f aca="0">DGKC!G98</x:f>
        <x:v>-1775.666</x:v>
      </x:c>
      <x:c r="Q1146" s="70" t="str">
        <x:f aca="0">IF(ABS(O1146-P1146)&lt;0.000001,"PASS","FAIL")</x:f>
        <x:v>PASS</x:v>
      </x:c>
      <x:c r="R1146" s="70" t="s">
        <x:v>33</x:v>
      </x:c>
      <x:c r="S1146" s="70"/>
    </x:row>
    <x:row r="1147" ht="15" hidden="0">
      <x:c r="A1147" s="70" t="s">
        <x:v>2064</x:v>
      </x:c>
      <x:c r="B1147" s="70" t="s">
        <x:v>36</x:v>
      </x:c>
      <x:c r="C1147" s="70" t="s">
        <x:v>105</x:v>
      </x:c>
      <x:c r="D1147" s="70" t="s">
        <x:v>252</x:v>
      </x:c>
      <x:c r="E1147" s="70" t="s">
        <x:v>1106</x:v>
      </x:c>
      <x:c r="F1147" s="70" t="s">
        <x:v>252</x:v>
      </x:c>
      <x:c r="G1147" s="70" t="s">
        <x:v>1753</x:v>
      </x:c>
      <x:c r="H1147" s="70" t="s">
        <x:v>849</x:v>
      </x:c>
      <x:c r="I1147" s="70" t="s">
        <x:v>852</x:v>
      </x:c>
      <x:c r="J1147" s="70" t="n">
        <x:v>155</x:v>
      </x:c>
      <x:c r="K1147" s="70" t="s">
        <x:v>1905</x:v>
      </x:c>
      <x:c r="L1147" s="70"/>
      <x:c r="M1147" s="70" t="s">
        <x:v>39</x:v>
      </x:c>
      <x:c r="N1147" s="71" t="n">
        <x:v>-3752428</x:v>
      </x:c>
      <x:c r="O1147" s="72" t="n">
        <x:f aca="0">N1147/1000</x:f>
        <x:v>-3752.428</x:v>
      </x:c>
      <x:c r="P1147" s="73" t="n">
        <x:f aca="0">DGKC!H98</x:f>
        <x:v>-3752.428</x:v>
      </x:c>
      <x:c r="Q1147" s="70" t="str">
        <x:f aca="0">IF(ABS(O1147-P1147)&lt;0.000001,"PASS","FAIL")</x:f>
        <x:v>PASS</x:v>
      </x:c>
      <x:c r="R1147" s="70" t="s">
        <x:v>33</x:v>
      </x:c>
      <x:c r="S1147" s="70"/>
    </x:row>
    <x:row r="1148" ht="15" hidden="0">
      <x:c r="A1148" s="70" t="s">
        <x:v>2065</x:v>
      </x:c>
      <x:c r="B1148" s="70" t="s">
        <x:v>36</x:v>
      </x:c>
      <x:c r="C1148" s="70" t="s">
        <x:v>101</x:v>
      </x:c>
      <x:c r="D1148" s="70" t="s">
        <x:v>256</x:v>
      </x:c>
      <x:c r="E1148" s="70" t="s">
        <x:v>1106</x:v>
      </x:c>
      <x:c r="F1148" s="70" t="s">
        <x:v>228</x:v>
      </x:c>
      <x:c r="G1148" s="70" t="s">
        <x:v>1745</x:v>
      </x:c>
      <x:c r="H1148" s="70" t="s">
        <x:v>838</x:v>
      </x:c>
      <x:c r="I1148" s="70" t="s">
        <x:v>833</x:v>
      </x:c>
      <x:c r="J1148" s="70" t="n">
        <x:v>127</x:v>
      </x:c>
      <x:c r="K1148" s="70" t="s">
        <x:v>2002</x:v>
      </x:c>
      <x:c r="L1148" s="70"/>
      <x:c r="M1148" s="70" t="s">
        <x:v>39</x:v>
      </x:c>
      <x:c r="N1148" s="71" t="n">
        <x:v>8071892</x:v>
      </x:c>
      <x:c r="O1148" s="72" t="n">
        <x:f aca="0">N1148/1000</x:f>
        <x:v>8071.892</x:v>
      </x:c>
      <x:c r="P1148" s="73" t="n">
        <x:f aca="0">DGKC!D100</x:f>
        <x:v>8071.892</x:v>
      </x:c>
      <x:c r="Q1148" s="70" t="str">
        <x:f aca="0">IF(ABS(O1148-P1148)&lt;0.000001,"PASS","FAIL")</x:f>
        <x:v>PASS</x:v>
      </x:c>
      <x:c r="R1148" s="70" t="s">
        <x:v>33</x:v>
      </x:c>
      <x:c r="S1148" s="70"/>
    </x:row>
    <x:row r="1149" ht="15" hidden="0">
      <x:c r="A1149" s="70" t="s">
        <x:v>2066</x:v>
      </x:c>
      <x:c r="B1149" s="70" t="s">
        <x:v>36</x:v>
      </x:c>
      <x:c r="C1149" s="70" t="s">
        <x:v>102</x:v>
      </x:c>
      <x:c r="D1149" s="70" t="s">
        <x:v>256</x:v>
      </x:c>
      <x:c r="E1149" s="70" t="s">
        <x:v>1106</x:v>
      </x:c>
      <x:c r="F1149" s="70" t="s">
        <x:v>228</x:v>
      </x:c>
      <x:c r="G1149" s="70" t="s">
        <x:v>1748</x:v>
      </x:c>
      <x:c r="H1149" s="70" t="s">
        <x:v>842</x:v>
      </x:c>
      <x:c r="I1149" s="70" t="s">
        <x:v>833</x:v>
      </x:c>
      <x:c r="J1149" s="70" t="n">
        <x:v>153</x:v>
      </x:c>
      <x:c r="K1149" s="70" t="s">
        <x:v>1775</x:v>
      </x:c>
      <x:c r="L1149" s="70"/>
      <x:c r="M1149" s="70" t="s">
        <x:v>39</x:v>
      </x:c>
      <x:c r="N1149" s="71" t="n">
        <x:v>10428312</x:v>
      </x:c>
      <x:c r="O1149" s="72" t="n">
        <x:f aca="0">N1149/1000</x:f>
        <x:v>10428.312</x:v>
      </x:c>
      <x:c r="P1149" s="73" t="n">
        <x:f aca="0">DGKC!E100</x:f>
        <x:v>10428.312</x:v>
      </x:c>
      <x:c r="Q1149" s="70" t="str">
        <x:f aca="0">IF(ABS(O1149-P1149)&lt;0.000001,"PASS","FAIL")</x:f>
        <x:v>PASS</x:v>
      </x:c>
      <x:c r="R1149" s="70" t="s">
        <x:v>33</x:v>
      </x:c>
      <x:c r="S1149" s="70"/>
    </x:row>
    <x:row r="1150" ht="15" hidden="0">
      <x:c r="A1150" s="70" t="s">
        <x:v>2067</x:v>
      </x:c>
      <x:c r="B1150" s="70" t="s">
        <x:v>36</x:v>
      </x:c>
      <x:c r="C1150" s="70" t="s">
        <x:v>103</x:v>
      </x:c>
      <x:c r="D1150" s="70" t="s">
        <x:v>256</x:v>
      </x:c>
      <x:c r="E1150" s="70" t="s">
        <x:v>1106</x:v>
      </x:c>
      <x:c r="F1150" s="70" t="s">
        <x:v>228</x:v>
      </x:c>
      <x:c r="G1150" s="70" t="s">
        <x:v>1751</x:v>
      </x:c>
      <x:c r="H1150" s="70" t="s">
        <x:v>845</x:v>
      </x:c>
      <x:c r="I1150" s="70" t="s">
        <x:v>833</x:v>
      </x:c>
      <x:c r="J1150" s="70" t="n">
        <x:v>153</x:v>
      </x:c>
      <x:c r="K1150" s="70" t="s">
        <x:v>1775</x:v>
      </x:c>
      <x:c r="L1150" s="70"/>
      <x:c r="M1150" s="70" t="s">
        <x:v>39</x:v>
      </x:c>
      <x:c r="N1150" s="71" t="n">
        <x:v>9555775</x:v>
      </x:c>
      <x:c r="O1150" s="72" t="n">
        <x:f aca="0">N1150/1000</x:f>
        <x:v>9555.775</x:v>
      </x:c>
      <x:c r="P1150" s="73" t="n">
        <x:f aca="0">DGKC!F100</x:f>
        <x:v>9555.775</x:v>
      </x:c>
      <x:c r="Q1150" s="70" t="str">
        <x:f aca="0">IF(ABS(O1150-P1150)&lt;0.000001,"PASS","FAIL")</x:f>
        <x:v>PASS</x:v>
      </x:c>
      <x:c r="R1150" s="70" t="s">
        <x:v>33</x:v>
      </x:c>
      <x:c r="S1150" s="70"/>
    </x:row>
    <x:row r="1151" ht="15" hidden="0">
      <x:c r="A1151" s="70" t="s">
        <x:v>2068</x:v>
      </x:c>
      <x:c r="B1151" s="70" t="s">
        <x:v>36</x:v>
      </x:c>
      <x:c r="C1151" s="70" t="s">
        <x:v>104</x:v>
      </x:c>
      <x:c r="D1151" s="70" t="s">
        <x:v>256</x:v>
      </x:c>
      <x:c r="E1151" s="70" t="s">
        <x:v>1106</x:v>
      </x:c>
      <x:c r="F1151" s="70" t="s">
        <x:v>228</x:v>
      </x:c>
      <x:c r="G1151" s="70" t="s">
        <x:v>1753</x:v>
      </x:c>
      <x:c r="H1151" s="70" t="s">
        <x:v>849</x:v>
      </x:c>
      <x:c r="I1151" s="70" t="s">
        <x:v>833</x:v>
      </x:c>
      <x:c r="J1151" s="70" t="n">
        <x:v>155</x:v>
      </x:c>
      <x:c r="K1151" s="70" t="s">
        <x:v>1905</x:v>
      </x:c>
      <x:c r="L1151" s="70"/>
      <x:c r="M1151" s="70" t="s">
        <x:v>39</x:v>
      </x:c>
      <x:c r="N1151" s="71" t="n">
        <x:v>10528260</x:v>
      </x:c>
      <x:c r="O1151" s="72" t="n">
        <x:f aca="0">N1151/1000</x:f>
        <x:v>10528.26</x:v>
      </x:c>
      <x:c r="P1151" s="73" t="n">
        <x:f aca="0">DGKC!G100</x:f>
        <x:v>10528.26</x:v>
      </x:c>
      <x:c r="Q1151" s="70" t="str">
        <x:f aca="0">IF(ABS(O1151-P1151)&lt;0.000001,"PASS","FAIL")</x:f>
        <x:v>PASS</x:v>
      </x:c>
      <x:c r="R1151" s="70" t="s">
        <x:v>33</x:v>
      </x:c>
      <x:c r="S1151" s="70"/>
    </x:row>
    <x:row r="1152" ht="15" hidden="0">
      <x:c r="A1152" s="70" t="s">
        <x:v>2069</x:v>
      </x:c>
      <x:c r="B1152" s="70" t="s">
        <x:v>36</x:v>
      </x:c>
      <x:c r="C1152" s="70" t="s">
        <x:v>105</x:v>
      </x:c>
      <x:c r="D1152" s="70" t="s">
        <x:v>256</x:v>
      </x:c>
      <x:c r="E1152" s="70" t="s">
        <x:v>1106</x:v>
      </x:c>
      <x:c r="F1152" s="70" t="s">
        <x:v>228</x:v>
      </x:c>
      <x:c r="G1152" s="70" t="s">
        <x:v>1753</x:v>
      </x:c>
      <x:c r="H1152" s="70" t="s">
        <x:v>849</x:v>
      </x:c>
      <x:c r="I1152" s="70" t="s">
        <x:v>852</x:v>
      </x:c>
      <x:c r="J1152" s="70" t="n">
        <x:v>155</x:v>
      </x:c>
      <x:c r="K1152" s="70" t="s">
        <x:v>1905</x:v>
      </x:c>
      <x:c r="L1152" s="70"/>
      <x:c r="M1152" s="70" t="s">
        <x:v>39</x:v>
      </x:c>
      <x:c r="N1152" s="71" t="n">
        <x:v>18505671</x:v>
      </x:c>
      <x:c r="O1152" s="72" t="n">
        <x:f aca="0">N1152/1000</x:f>
        <x:v>18505.671</x:v>
      </x:c>
      <x:c r="P1152" s="73" t="n">
        <x:f aca="0">DGKC!H100</x:f>
        <x:v>18505.671</x:v>
      </x:c>
      <x:c r="Q1152" s="70" t="str">
        <x:f aca="0">IF(ABS(O1152-P1152)&lt;0.000001,"PASS","FAIL")</x:f>
        <x:v>PASS</x:v>
      </x:c>
      <x:c r="R1152" s="70" t="s">
        <x:v>33</x:v>
      </x:c>
      <x:c r="S1152" s="70"/>
    </x:row>
    <x:row r="1153" ht="15" hidden="0">
      <x:c r="A1153" s="70" t="s">
        <x:v>2070</x:v>
      </x:c>
      <x:c r="B1153" s="70" t="s">
        <x:v>36</x:v>
      </x:c>
      <x:c r="C1153" s="70" t="s">
        <x:v>101</x:v>
      </x:c>
      <x:c r="D1153" s="70" t="s">
        <x:v>258</x:v>
      </x:c>
      <x:c r="E1153" s="70" t="s">
        <x:v>1106</x:v>
      </x:c>
      <x:c r="F1153" s="70" t="s">
        <x:v>1180</x:v>
      </x:c>
      <x:c r="G1153" s="70" t="s">
        <x:v>1745</x:v>
      </x:c>
      <x:c r="H1153" s="70" t="s">
        <x:v>838</x:v>
      </x:c>
      <x:c r="I1153" s="70" t="s">
        <x:v>833</x:v>
      </x:c>
      <x:c r="J1153" s="70" t="n">
        <x:v>127</x:v>
      </x:c>
      <x:c r="K1153" s="70" t="s">
        <x:v>2002</x:v>
      </x:c>
      <x:c r="L1153" s="70"/>
      <x:c r="M1153" s="70" t="s">
        <x:v>39</x:v>
      </x:c>
      <x:c r="N1153" s="71" t="n">
        <x:v>4771405</x:v>
      </x:c>
      <x:c r="O1153" s="72" t="n">
        <x:f aca="0">N1153/1000</x:f>
        <x:v>4771.405</x:v>
      </x:c>
      <x:c r="P1153" s="73" t="n">
        <x:f aca="0">DGKC!D101</x:f>
        <x:v>4771.405</x:v>
      </x:c>
      <x:c r="Q1153" s="70" t="str">
        <x:f aca="0">IF(ABS(O1153-P1153)&lt;0.000001,"PASS","FAIL")</x:f>
        <x:v>PASS</x:v>
      </x:c>
      <x:c r="R1153" s="70" t="s">
        <x:v>33</x:v>
      </x:c>
      <x:c r="S1153" s="70"/>
    </x:row>
    <x:row r="1154" ht="15" hidden="0">
      <x:c r="A1154" s="70" t="s">
        <x:v>2071</x:v>
      </x:c>
      <x:c r="B1154" s="70" t="s">
        <x:v>36</x:v>
      </x:c>
      <x:c r="C1154" s="70" t="s">
        <x:v>102</x:v>
      </x:c>
      <x:c r="D1154" s="70" t="s">
        <x:v>258</x:v>
      </x:c>
      <x:c r="E1154" s="70" t="s">
        <x:v>1106</x:v>
      </x:c>
      <x:c r="F1154" s="70" t="s">
        <x:v>1180</x:v>
      </x:c>
      <x:c r="G1154" s="70" t="s">
        <x:v>1748</x:v>
      </x:c>
      <x:c r="H1154" s="70" t="s">
        <x:v>842</x:v>
      </x:c>
      <x:c r="I1154" s="70" t="s">
        <x:v>833</x:v>
      </x:c>
      <x:c r="J1154" s="70" t="n">
        <x:v>153</x:v>
      </x:c>
      <x:c r="K1154" s="70" t="s">
        <x:v>1775</x:v>
      </x:c>
      <x:c r="L1154" s="70"/>
      <x:c r="M1154" s="70" t="s">
        <x:v>39</x:v>
      </x:c>
      <x:c r="N1154" s="71" t="n">
        <x:v>6019761</x:v>
      </x:c>
      <x:c r="O1154" s="72" t="n">
        <x:f aca="0">N1154/1000</x:f>
        <x:v>6019.761</x:v>
      </x:c>
      <x:c r="P1154" s="73" t="n">
        <x:f aca="0">DGKC!E101</x:f>
        <x:v>6019.761</x:v>
      </x:c>
      <x:c r="Q1154" s="70" t="str">
        <x:f aca="0">IF(ABS(O1154-P1154)&lt;0.000001,"PASS","FAIL")</x:f>
        <x:v>PASS</x:v>
      </x:c>
      <x:c r="R1154" s="70" t="s">
        <x:v>33</x:v>
      </x:c>
      <x:c r="S1154" s="70"/>
    </x:row>
    <x:row r="1155" ht="15" hidden="0">
      <x:c r="A1155" s="70" t="s">
        <x:v>2072</x:v>
      </x:c>
      <x:c r="B1155" s="70" t="s">
        <x:v>36</x:v>
      </x:c>
      <x:c r="C1155" s="70" t="s">
        <x:v>103</x:v>
      </x:c>
      <x:c r="D1155" s="70" t="s">
        <x:v>258</x:v>
      </x:c>
      <x:c r="E1155" s="70" t="s">
        <x:v>1106</x:v>
      </x:c>
      <x:c r="F1155" s="70" t="s">
        <x:v>2073</x:v>
      </x:c>
      <x:c r="G1155" s="70" t="s">
        <x:v>1751</x:v>
      </x:c>
      <x:c r="H1155" s="70" t="s">
        <x:v>845</x:v>
      </x:c>
      <x:c r="I1155" s="70" t="s">
        <x:v>833</x:v>
      </x:c>
      <x:c r="J1155" s="70" t="n">
        <x:v>153</x:v>
      </x:c>
      <x:c r="K1155" s="70" t="s">
        <x:v>1775</x:v>
      </x:c>
      <x:c r="L1155" s="70"/>
      <x:c r="M1155" s="70" t="s">
        <x:v>39</x:v>
      </x:c>
      <x:c r="N1155" s="71" t="n">
        <x:v>3162543</x:v>
      </x:c>
      <x:c r="O1155" s="72" t="n">
        <x:f aca="0">N1155/1000</x:f>
        <x:v>3162.543</x:v>
      </x:c>
      <x:c r="P1155" s="73" t="n">
        <x:f aca="0">DGKC!F101</x:f>
        <x:v>3162.543</x:v>
      </x:c>
      <x:c r="Q1155" s="70" t="str">
        <x:f aca="0">IF(ABS(O1155-P1155)&lt;0.000001,"PASS","FAIL")</x:f>
        <x:v>PASS</x:v>
      </x:c>
      <x:c r="R1155" s="70" t="s">
        <x:v>33</x:v>
      </x:c>
      <x:c r="S1155" s="70"/>
    </x:row>
    <x:row r="1156" ht="15" hidden="0">
      <x:c r="A1156" s="70" t="s">
        <x:v>2074</x:v>
      </x:c>
      <x:c r="B1156" s="70" t="s">
        <x:v>36</x:v>
      </x:c>
      <x:c r="C1156" s="70" t="s">
        <x:v>104</x:v>
      </x:c>
      <x:c r="D1156" s="70" t="s">
        <x:v>258</x:v>
      </x:c>
      <x:c r="E1156" s="70" t="s">
        <x:v>1106</x:v>
      </x:c>
      <x:c r="F1156" s="70" t="s">
        <x:v>2075</x:v>
      </x:c>
      <x:c r="G1156" s="70" t="s">
        <x:v>1753</x:v>
      </x:c>
      <x:c r="H1156" s="70" t="s">
        <x:v>849</x:v>
      </x:c>
      <x:c r="I1156" s="70" t="s">
        <x:v>833</x:v>
      </x:c>
      <x:c r="J1156" s="70" t="n">
        <x:v>155</x:v>
      </x:c>
      <x:c r="K1156" s="70" t="s">
        <x:v>1905</x:v>
      </x:c>
      <x:c r="L1156" s="70"/>
      <x:c r="M1156" s="70" t="s">
        <x:v>39</x:v>
      </x:c>
      <x:c r="N1156" s="71" t="n">
        <x:v>2838910</x:v>
      </x:c>
      <x:c r="O1156" s="72" t="n">
        <x:f aca="0">N1156/1000</x:f>
        <x:v>2838.91</x:v>
      </x:c>
      <x:c r="P1156" s="73" t="n">
        <x:f aca="0">DGKC!G101</x:f>
        <x:v>2838.91</x:v>
      </x:c>
      <x:c r="Q1156" s="70" t="str">
        <x:f aca="0">IF(ABS(O1156-P1156)&lt;0.000001,"PASS","FAIL")</x:f>
        <x:v>PASS</x:v>
      </x:c>
      <x:c r="R1156" s="70" t="s">
        <x:v>33</x:v>
      </x:c>
      <x:c r="S1156" s="70"/>
    </x:row>
    <x:row r="1157" ht="15" hidden="0">
      <x:c r="A1157" s="70" t="s">
        <x:v>2076</x:v>
      </x:c>
      <x:c r="B1157" s="70" t="s">
        <x:v>36</x:v>
      </x:c>
      <x:c r="C1157" s="70" t="s">
        <x:v>105</x:v>
      </x:c>
      <x:c r="D1157" s="70" t="s">
        <x:v>258</x:v>
      </x:c>
      <x:c r="E1157" s="70" t="s">
        <x:v>1106</x:v>
      </x:c>
      <x:c r="F1157" s="70" t="s">
        <x:v>2075</x:v>
      </x:c>
      <x:c r="G1157" s="70" t="s">
        <x:v>1753</x:v>
      </x:c>
      <x:c r="H1157" s="70" t="s">
        <x:v>849</x:v>
      </x:c>
      <x:c r="I1157" s="70" t="s">
        <x:v>852</x:v>
      </x:c>
      <x:c r="J1157" s="70" t="n">
        <x:v>155</x:v>
      </x:c>
      <x:c r="K1157" s="70" t="s">
        <x:v>1905</x:v>
      </x:c>
      <x:c r="L1157" s="70"/>
      <x:c r="M1157" s="70" t="s">
        <x:v>39</x:v>
      </x:c>
      <x:c r="N1157" s="71" t="n">
        <x:v>13004612</x:v>
      </x:c>
      <x:c r="O1157" s="72" t="n">
        <x:f aca="0">N1157/1000</x:f>
        <x:v>13004.612</x:v>
      </x:c>
      <x:c r="P1157" s="73" t="n">
        <x:f aca="0">DGKC!H101</x:f>
        <x:v>13004.612</x:v>
      </x:c>
      <x:c r="Q1157" s="70" t="str">
        <x:f aca="0">IF(ABS(O1157-P1157)&lt;0.000001,"PASS","FAIL")</x:f>
        <x:v>PASS</x:v>
      </x:c>
      <x:c r="R1157" s="70" t="s">
        <x:v>33</x:v>
      </x:c>
      <x:c r="S1157" s="70"/>
    </x:row>
    <x:row r="1158" ht="15" hidden="0">
      <x:c r="A1158" s="70" t="s">
        <x:v>2077</x:v>
      </x:c>
      <x:c r="B1158" s="70" t="s">
        <x:v>36</x:v>
      </x:c>
      <x:c r="C1158" s="70" t="s">
        <x:v>101</x:v>
      </x:c>
      <x:c r="D1158" s="70" t="s">
        <x:v>260</x:v>
      </x:c>
      <x:c r="E1158" s="70" t="s">
        <x:v>1106</x:v>
      </x:c>
      <x:c r="F1158" s="70" t="s">
        <x:v>2078</x:v>
      </x:c>
      <x:c r="G1158" s="70" t="s">
        <x:v>1745</x:v>
      </x:c>
      <x:c r="H1158" s="70" t="s">
        <x:v>838</x:v>
      </x:c>
      <x:c r="I1158" s="70" t="s">
        <x:v>833</x:v>
      </x:c>
      <x:c r="J1158" s="70" t="n">
        <x:v>127</x:v>
      </x:c>
      <x:c r="K1158" s="70" t="s">
        <x:v>2002</x:v>
      </x:c>
      <x:c r="L1158" s="70"/>
      <x:c r="M1158" s="70" t="s">
        <x:v>39</x:v>
      </x:c>
      <x:c r="N1158" s="71" t="n">
        <x:v>3721273</x:v>
      </x:c>
      <x:c r="O1158" s="72" t="n">
        <x:f aca="0">N1158/1000</x:f>
        <x:v>3721.273</x:v>
      </x:c>
      <x:c r="P1158" s="73" t="n">
        <x:f aca="0">DGKC!D102</x:f>
        <x:v>3721.273</x:v>
      </x:c>
      <x:c r="Q1158" s="70" t="str">
        <x:f aca="0">IF(ABS(O1158-P1158)&lt;0.000001,"PASS","FAIL")</x:f>
        <x:v>PASS</x:v>
      </x:c>
      <x:c r="R1158" s="70" t="s">
        <x:v>33</x:v>
      </x:c>
      <x:c r="S1158" s="70"/>
    </x:row>
    <x:row r="1159" ht="15" hidden="0">
      <x:c r="A1159" s="70" t="s">
        <x:v>2079</x:v>
      </x:c>
      <x:c r="B1159" s="70" t="s">
        <x:v>36</x:v>
      </x:c>
      <x:c r="C1159" s="70" t="s">
        <x:v>102</x:v>
      </x:c>
      <x:c r="D1159" s="70" t="s">
        <x:v>260</x:v>
      </x:c>
      <x:c r="E1159" s="70" t="s">
        <x:v>1106</x:v>
      </x:c>
      <x:c r="F1159" s="70" t="s">
        <x:v>2080</x:v>
      </x:c>
      <x:c r="G1159" s="70" t="s">
        <x:v>1748</x:v>
      </x:c>
      <x:c r="H1159" s="70" t="s">
        <x:v>842</x:v>
      </x:c>
      <x:c r="I1159" s="70" t="s">
        <x:v>833</x:v>
      </x:c>
      <x:c r="J1159" s="70" t="n">
        <x:v>153</x:v>
      </x:c>
      <x:c r="K1159" s="70" t="s">
        <x:v>1775</x:v>
      </x:c>
      <x:c r="L1159" s="70"/>
      <x:c r="M1159" s="70" t="s">
        <x:v>39</x:v>
      </x:c>
      <x:c r="N1159" s="71" t="n">
        <x:v>2972132</x:v>
      </x:c>
      <x:c r="O1159" s="72" t="n">
        <x:f aca="0">N1159/1000</x:f>
        <x:v>2972.132</x:v>
      </x:c>
      <x:c r="P1159" s="73" t="n">
        <x:f aca="0">DGKC!E102</x:f>
        <x:v>2972.132</x:v>
      </x:c>
      <x:c r="Q1159" s="70" t="str">
        <x:f aca="0">IF(ABS(O1159-P1159)&lt;0.000001,"PASS","FAIL")</x:f>
        <x:v>PASS</x:v>
      </x:c>
      <x:c r="R1159" s="70" t="s">
        <x:v>33</x:v>
      </x:c>
      <x:c r="S1159" s="70"/>
    </x:row>
    <x:row r="1160" ht="15" hidden="0">
      <x:c r="A1160" s="70" t="s">
        <x:v>2081</x:v>
      </x:c>
      <x:c r="B1160" s="70" t="s">
        <x:v>36</x:v>
      </x:c>
      <x:c r="C1160" s="70" t="s">
        <x:v>103</x:v>
      </x:c>
      <x:c r="D1160" s="70" t="s">
        <x:v>260</x:v>
      </x:c>
      <x:c r="E1160" s="70" t="s">
        <x:v>1106</x:v>
      </x:c>
      <x:c r="F1160" s="70" t="s">
        <x:v>2082</x:v>
      </x:c>
      <x:c r="G1160" s="70" t="s">
        <x:v>1751</x:v>
      </x:c>
      <x:c r="H1160" s="70" t="s">
        <x:v>845</x:v>
      </x:c>
      <x:c r="I1160" s="70" t="s">
        <x:v>833</x:v>
      </x:c>
      <x:c r="J1160" s="70" t="n">
        <x:v>153</x:v>
      </x:c>
      <x:c r="K1160" s="70" t="s">
        <x:v>1775</x:v>
      </x:c>
      <x:c r="L1160" s="70"/>
      <x:c r="M1160" s="70" t="s">
        <x:v>39</x:v>
      </x:c>
      <x:c r="N1160" s="71" t="n">
        <x:v>-3635976</x:v>
      </x:c>
      <x:c r="O1160" s="72" t="n">
        <x:f aca="0">N1160/1000</x:f>
        <x:v>-3635.976</x:v>
      </x:c>
      <x:c r="P1160" s="73" t="n">
        <x:f aca="0">DGKC!F102</x:f>
        <x:v>-3635.976</x:v>
      </x:c>
      <x:c r="Q1160" s="70" t="str">
        <x:f aca="0">IF(ABS(O1160-P1160)&lt;0.000001,"PASS","FAIL")</x:f>
        <x:v>PASS</x:v>
      </x:c>
      <x:c r="R1160" s="70" t="s">
        <x:v>33</x:v>
      </x:c>
      <x:c r="S1160" s="70"/>
    </x:row>
    <x:row r="1161" ht="15" hidden="0">
      <x:c r="A1161" s="70" t="s">
        <x:v>2083</x:v>
      </x:c>
      <x:c r="B1161" s="70" t="s">
        <x:v>36</x:v>
      </x:c>
      <x:c r="C1161" s="70" t="s">
        <x:v>104</x:v>
      </x:c>
      <x:c r="D1161" s="70" t="s">
        <x:v>260</x:v>
      </x:c>
      <x:c r="E1161" s="70" t="s">
        <x:v>1106</x:v>
      </x:c>
      <x:c r="F1161" s="70" t="s">
        <x:v>2078</x:v>
      </x:c>
      <x:c r="G1161" s="70" t="s">
        <x:v>1753</x:v>
      </x:c>
      <x:c r="H1161" s="70" t="s">
        <x:v>849</x:v>
      </x:c>
      <x:c r="I1161" s="70" t="s">
        <x:v>833</x:v>
      </x:c>
      <x:c r="J1161" s="70" t="n">
        <x:v>155</x:v>
      </x:c>
      <x:c r="K1161" s="70" t="s">
        <x:v>1905</x:v>
      </x:c>
      <x:c r="L1161" s="70"/>
      <x:c r="M1161" s="70" t="s">
        <x:v>39</x:v>
      </x:c>
      <x:c r="N1161" s="71" t="n">
        <x:v>542396</x:v>
      </x:c>
      <x:c r="O1161" s="72" t="n">
        <x:f aca="0">N1161/1000</x:f>
        <x:v>542.396</x:v>
      </x:c>
      <x:c r="P1161" s="73" t="n">
        <x:f aca="0">DGKC!G102</x:f>
        <x:v>542.396</x:v>
      </x:c>
      <x:c r="Q1161" s="70" t="str">
        <x:f aca="0">IF(ABS(O1161-P1161)&lt;0.000001,"PASS","FAIL")</x:f>
        <x:v>PASS</x:v>
      </x:c>
      <x:c r="R1161" s="70" t="s">
        <x:v>33</x:v>
      </x:c>
      <x:c r="S1161" s="70"/>
    </x:row>
    <x:row r="1162" ht="15" hidden="0">
      <x:c r="A1162" s="70" t="s">
        <x:v>2084</x:v>
      </x:c>
      <x:c r="B1162" s="70" t="s">
        <x:v>36</x:v>
      </x:c>
      <x:c r="C1162" s="70" t="s">
        <x:v>105</x:v>
      </x:c>
      <x:c r="D1162" s="70" t="s">
        <x:v>260</x:v>
      </x:c>
      <x:c r="E1162" s="70" t="s">
        <x:v>1106</x:v>
      </x:c>
      <x:c r="F1162" s="70" t="s">
        <x:v>2078</x:v>
      </x:c>
      <x:c r="G1162" s="70" t="s">
        <x:v>1753</x:v>
      </x:c>
      <x:c r="H1162" s="70" t="s">
        <x:v>849</x:v>
      </x:c>
      <x:c r="I1162" s="70" t="s">
        <x:v>852</x:v>
      </x:c>
      <x:c r="J1162" s="70" t="n">
        <x:v>155</x:v>
      </x:c>
      <x:c r="K1162" s="70" t="s">
        <x:v>1905</x:v>
      </x:c>
      <x:c r="L1162" s="70"/>
      <x:c r="M1162" s="70" t="s">
        <x:v>39</x:v>
      </x:c>
      <x:c r="N1162" s="71" t="n">
        <x:v>8675059</x:v>
      </x:c>
      <x:c r="O1162" s="72" t="n">
        <x:f aca="0">N1162/1000</x:f>
        <x:v>8675.059</x:v>
      </x:c>
      <x:c r="P1162" s="73" t="n">
        <x:f aca="0">DGKC!H102</x:f>
        <x:v>8675.059</x:v>
      </x:c>
      <x:c r="Q1162" s="70" t="str">
        <x:f aca="0">IF(ABS(O1162-P1162)&lt;0.000001,"PASS","FAIL")</x:f>
        <x:v>PASS</x:v>
      </x:c>
      <x:c r="R1162" s="70" t="s">
        <x:v>33</x:v>
      </x:c>
      <x:c r="S1162" s="70"/>
    </x:row>
    <x:row r="1163" ht="15" hidden="0">
      <x:c r="A1163" s="70" t="s">
        <x:v>2085</x:v>
      </x:c>
      <x:c r="B1163" s="70" t="s">
        <x:v>36</x:v>
      </x:c>
      <x:c r="C1163" s="70" t="s">
        <x:v>101</x:v>
      </x:c>
      <x:c r="D1163" s="70" t="s">
        <x:v>264</x:v>
      </x:c>
      <x:c r="E1163" s="70" t="s">
        <x:v>855</x:v>
      </x:c>
      <x:c r="F1163" s="70" t="s">
        <x:v>2086</x:v>
      </x:c>
      <x:c r="G1163" s="70" t="s">
        <x:v>1745</x:v>
      </x:c>
      <x:c r="H1163" s="70" t="s">
        <x:v>838</x:v>
      </x:c>
      <x:c r="I1163" s="70" t="s">
        <x:v>833</x:v>
      </x:c>
      <x:c r="J1163" s="70" t="n">
        <x:v>177</x:v>
      </x:c>
      <x:c r="K1163" s="70" t="s">
        <x:v>2087</x:v>
      </x:c>
      <x:c r="L1163" s="70"/>
      <x:c r="M1163" s="70" t="s">
        <x:v>39</x:v>
      </x:c>
      <x:c r="N1163" s="71" t="n">
        <x:v>34766</x:v>
      </x:c>
      <x:c r="O1163" s="72" t="n">
        <x:f aca="0">N1163/1000</x:f>
        <x:v>34.766</x:v>
      </x:c>
      <x:c r="P1163" s="73" t="n">
        <x:f aca="0">DGKC!D105</x:f>
        <x:v>34.766</x:v>
      </x:c>
      <x:c r="Q1163" s="70" t="str">
        <x:f aca="0">IF(ABS(O1163-P1163)&lt;0.000001,"PASS","FAIL")</x:f>
        <x:v>PASS</x:v>
      </x:c>
      <x:c r="R1163" s="70" t="s">
        <x:v>33</x:v>
      </x:c>
      <x:c r="S1163" s="70"/>
    </x:row>
    <x:row r="1164" ht="15" hidden="0">
      <x:c r="A1164" s="70" t="s">
        <x:v>2088</x:v>
      </x:c>
      <x:c r="B1164" s="70" t="s">
        <x:v>36</x:v>
      </x:c>
      <x:c r="C1164" s="70" t="s">
        <x:v>102</x:v>
      </x:c>
      <x:c r="D1164" s="70" t="s">
        <x:v>264</x:v>
      </x:c>
      <x:c r="E1164" s="70" t="s">
        <x:v>855</x:v>
      </x:c>
      <x:c r="F1164" s="70" t="s">
        <x:v>2089</x:v>
      </x:c>
      <x:c r="G1164" s="70" t="s">
        <x:v>1748</x:v>
      </x:c>
      <x:c r="H1164" s="70" t="s">
        <x:v>842</x:v>
      </x:c>
      <x:c r="I1164" s="70" t="s">
        <x:v>833</x:v>
      </x:c>
      <x:c r="J1164" s="70" t="n">
        <x:v>201</x:v>
      </x:c>
      <x:c r="K1164" s="70" t="s">
        <x:v>2090</x:v>
      </x:c>
      <x:c r="L1164" s="70"/>
      <x:c r="M1164" s="70" t="s">
        <x:v>39</x:v>
      </x:c>
      <x:c r="N1164" s="71" t="n">
        <x:v>26530</x:v>
      </x:c>
      <x:c r="O1164" s="72" t="n">
        <x:f aca="0">N1164/1000</x:f>
        <x:v>26.53</x:v>
      </x:c>
      <x:c r="P1164" s="73" t="n">
        <x:f aca="0">DGKC!E105</x:f>
        <x:v>26.53</x:v>
      </x:c>
      <x:c r="Q1164" s="70" t="str">
        <x:f aca="0">IF(ABS(O1164-P1164)&lt;0.000001,"PASS","FAIL")</x:f>
        <x:v>PASS</x:v>
      </x:c>
      <x:c r="R1164" s="70" t="s">
        <x:v>33</x:v>
      </x:c>
      <x:c r="S1164" s="70"/>
    </x:row>
    <x:row r="1165" ht="15" hidden="0">
      <x:c r="A1165" s="70" t="s">
        <x:v>2091</x:v>
      </x:c>
      <x:c r="B1165" s="70" t="s">
        <x:v>36</x:v>
      </x:c>
      <x:c r="C1165" s="70" t="s">
        <x:v>103</x:v>
      </x:c>
      <x:c r="D1165" s="70" t="s">
        <x:v>264</x:v>
      </x:c>
      <x:c r="E1165" s="70" t="s">
        <x:v>855</x:v>
      </x:c>
      <x:c r="F1165" s="70" t="s">
        <x:v>2089</x:v>
      </x:c>
      <x:c r="G1165" s="70" t="s">
        <x:v>1751</x:v>
      </x:c>
      <x:c r="H1165" s="70" t="s">
        <x:v>845</x:v>
      </x:c>
      <x:c r="I1165" s="70" t="s">
        <x:v>833</x:v>
      </x:c>
      <x:c r="J1165" s="70" t="n">
        <x:v>204</x:v>
      </x:c>
      <x:c r="K1165" s="70" t="s">
        <x:v>2092</x:v>
      </x:c>
      <x:c r="L1165" s="70"/>
      <x:c r="M1165" s="70" t="s">
        <x:v>39</x:v>
      </x:c>
      <x:c r="N1165" s="71" t="n">
        <x:v>38493</x:v>
      </x:c>
      <x:c r="O1165" s="72" t="n">
        <x:f aca="0">N1165/1000</x:f>
        <x:v>38.493</x:v>
      </x:c>
      <x:c r="P1165" s="73" t="n">
        <x:f aca="0">DGKC!F105</x:f>
        <x:v>38.493</x:v>
      </x:c>
      <x:c r="Q1165" s="70" t="str">
        <x:f aca="0">IF(ABS(O1165-P1165)&lt;0.000001,"PASS","FAIL")</x:f>
        <x:v>PASS</x:v>
      </x:c>
      <x:c r="R1165" s="70" t="s">
        <x:v>33</x:v>
      </x:c>
      <x:c r="S1165" s="70"/>
    </x:row>
    <x:row r="1166" ht="15" hidden="0">
      <x:c r="A1166" s="70" t="s">
        <x:v>2093</x:v>
      </x:c>
      <x:c r="B1166" s="70" t="s">
        <x:v>36</x:v>
      </x:c>
      <x:c r="C1166" s="70" t="s">
        <x:v>104</x:v>
      </x:c>
      <x:c r="D1166" s="70" t="s">
        <x:v>264</x:v>
      </x:c>
      <x:c r="E1166" s="70" t="s">
        <x:v>855</x:v>
      </x:c>
      <x:c r="F1166" s="70" t="s">
        <x:v>2094</x:v>
      </x:c>
      <x:c r="G1166" s="70" t="s">
        <x:v>1753</x:v>
      </x:c>
      <x:c r="H1166" s="70" t="s">
        <x:v>849</x:v>
      </x:c>
      <x:c r="I1166" s="70" t="s">
        <x:v>833</x:v>
      </x:c>
      <x:c r="J1166" s="70" t="n">
        <x:v>209</x:v>
      </x:c>
      <x:c r="K1166" s="70" t="s">
        <x:v>2095</x:v>
      </x:c>
      <x:c r="L1166" s="70"/>
      <x:c r="M1166" s="70" t="s">
        <x:v>39</x:v>
      </x:c>
      <x:c r="N1166" s="71" t="n">
        <x:v>76127</x:v>
      </x:c>
      <x:c r="O1166" s="72" t="n">
        <x:f aca="0">N1166/1000</x:f>
        <x:v>76.127</x:v>
      </x:c>
      <x:c r="P1166" s="73" t="n">
        <x:f aca="0">DGKC!G105</x:f>
        <x:v>76.127</x:v>
      </x:c>
      <x:c r="Q1166" s="70" t="str">
        <x:f aca="0">IF(ABS(O1166-P1166)&lt;0.000001,"PASS","FAIL")</x:f>
        <x:v>PASS</x:v>
      </x:c>
      <x:c r="R1166" s="70" t="s">
        <x:v>33</x:v>
      </x:c>
      <x:c r="S1166" s="70"/>
    </x:row>
    <x:row r="1167" ht="15" hidden="0">
      <x:c r="A1167" s="70" t="s">
        <x:v>2096</x:v>
      </x:c>
      <x:c r="B1167" s="70" t="s">
        <x:v>36</x:v>
      </x:c>
      <x:c r="C1167" s="70" t="s">
        <x:v>105</x:v>
      </x:c>
      <x:c r="D1167" s="70" t="s">
        <x:v>264</x:v>
      </x:c>
      <x:c r="E1167" s="70" t="s">
        <x:v>855</x:v>
      </x:c>
      <x:c r="F1167" s="70" t="s">
        <x:v>2094</x:v>
      </x:c>
      <x:c r="G1167" s="70" t="s">
        <x:v>1753</x:v>
      </x:c>
      <x:c r="H1167" s="70" t="s">
        <x:v>849</x:v>
      </x:c>
      <x:c r="I1167" s="70" t="s">
        <x:v>852</x:v>
      </x:c>
      <x:c r="J1167" s="70" t="n">
        <x:v>209</x:v>
      </x:c>
      <x:c r="K1167" s="70" t="s">
        <x:v>2095</x:v>
      </x:c>
      <x:c r="L1167" s="70"/>
      <x:c r="M1167" s="70" t="s">
        <x:v>39</x:v>
      </x:c>
      <x:c r="N1167" s="71" t="n">
        <x:v>53669</x:v>
      </x:c>
      <x:c r="O1167" s="72" t="n">
        <x:f aca="0">N1167/1000</x:f>
        <x:v>53.669</x:v>
      </x:c>
      <x:c r="P1167" s="73" t="n">
        <x:f aca="0">DGKC!H105</x:f>
        <x:v>53.669</x:v>
      </x:c>
      <x:c r="Q1167" s="70" t="str">
        <x:f aca="0">IF(ABS(O1167-P1167)&lt;0.000001,"PASS","FAIL")</x:f>
        <x:v>PASS</x:v>
      </x:c>
      <x:c r="R1167" s="70" t="s">
        <x:v>33</x:v>
      </x:c>
      <x:c r="S1167" s="70"/>
    </x:row>
    <x:row r="1168" ht="15" hidden="0">
      <x:c r="A1168" s="70" t="s">
        <x:v>2097</x:v>
      </x:c>
      <x:c r="B1168" s="70" t="s">
        <x:v>36</x:v>
      </x:c>
      <x:c r="C1168" s="70" t="s">
        <x:v>101</x:v>
      </x:c>
      <x:c r="D1168" s="70" t="s">
        <x:v>268</x:v>
      </x:c>
      <x:c r="E1168" s="70" t="s">
        <x:v>1203</x:v>
      </x:c>
      <x:c r="F1168" s="70" t="s">
        <x:v>2098</x:v>
      </x:c>
      <x:c r="G1168" s="70" t="s">
        <x:v>1745</x:v>
      </x:c>
      <x:c r="H1168" s="70" t="s">
        <x:v>838</x:v>
      </x:c>
      <x:c r="I1168" s="70" t="s">
        <x:v>833</x:v>
      </x:c>
      <x:c r="J1168" s="70" t="n">
        <x:v>179</x:v>
      </x:c>
      <x:c r="K1168" s="70" t="s">
        <x:v>2099</x:v>
      </x:c>
      <x:c r="L1168" s="70"/>
      <x:c r="M1168" s="70" t="s">
        <x:v>39</x:v>
      </x:c>
      <x:c r="N1168" s="71" t="n">
        <x:v>3580807</x:v>
      </x:c>
      <x:c r="O1168" s="72" t="n">
        <x:f aca="0">N1168/1000</x:f>
        <x:v>3580.807</x:v>
      </x:c>
      <x:c r="P1168" s="73" t="n">
        <x:f aca="0">DGKC!D107</x:f>
        <x:v>3580.807</x:v>
      </x:c>
      <x:c r="Q1168" s="70" t="str">
        <x:f aca="0">IF(ABS(O1168-P1168)&lt;0.000001,"PASS","FAIL")</x:f>
        <x:v>PASS</x:v>
      </x:c>
      <x:c r="R1168" s="70" t="s">
        <x:v>33</x:v>
      </x:c>
      <x:c r="S1168" s="70"/>
    </x:row>
    <x:row r="1169" ht="15" hidden="0">
      <x:c r="A1169" s="70" t="s">
        <x:v>2100</x:v>
      </x:c>
      <x:c r="B1169" s="70" t="s">
        <x:v>36</x:v>
      </x:c>
      <x:c r="C1169" s="70" t="s">
        <x:v>102</x:v>
      </x:c>
      <x:c r="D1169" s="70" t="s">
        <x:v>268</x:v>
      </x:c>
      <x:c r="E1169" s="70" t="s">
        <x:v>1203</x:v>
      </x:c>
      <x:c r="F1169" s="70" t="s">
        <x:v>2098</x:v>
      </x:c>
      <x:c r="G1169" s="70" t="s">
        <x:v>1748</x:v>
      </x:c>
      <x:c r="H1169" s="70" t="s">
        <x:v>842</x:v>
      </x:c>
      <x:c r="I1169" s="70" t="s">
        <x:v>833</x:v>
      </x:c>
      <x:c r="J1169" s="70" t="n">
        <x:v>204</x:v>
      </x:c>
      <x:c r="K1169" s="70" t="s">
        <x:v>2092</x:v>
      </x:c>
      <x:c r="L1169" s="70"/>
      <x:c r="M1169" s="70" t="s">
        <x:v>39</x:v>
      </x:c>
      <x:c r="N1169" s="71" t="n">
        <x:v>3913288</x:v>
      </x:c>
      <x:c r="O1169" s="72" t="n">
        <x:f aca="0">N1169/1000</x:f>
        <x:v>3913.288</x:v>
      </x:c>
      <x:c r="P1169" s="73" t="n">
        <x:f aca="0">DGKC!E107</x:f>
        <x:v>3913.288</x:v>
      </x:c>
      <x:c r="Q1169" s="70" t="str">
        <x:f aca="0">IF(ABS(O1169-P1169)&lt;0.000001,"PASS","FAIL")</x:f>
        <x:v>PASS</x:v>
      </x:c>
      <x:c r="R1169" s="70" t="s">
        <x:v>33</x:v>
      </x:c>
      <x:c r="S1169" s="70"/>
    </x:row>
    <x:row r="1170" ht="15" hidden="0">
      <x:c r="A1170" s="70" t="s">
        <x:v>2101</x:v>
      </x:c>
      <x:c r="B1170" s="70" t="s">
        <x:v>36</x:v>
      </x:c>
      <x:c r="C1170" s="70" t="s">
        <x:v>103</x:v>
      </x:c>
      <x:c r="D1170" s="70" t="s">
        <x:v>268</x:v>
      </x:c>
      <x:c r="E1170" s="70" t="s">
        <x:v>1203</x:v>
      </x:c>
      <x:c r="F1170" s="70" t="s">
        <x:v>2098</x:v>
      </x:c>
      <x:c r="G1170" s="70" t="s">
        <x:v>1751</x:v>
      </x:c>
      <x:c r="H1170" s="70" t="s">
        <x:v>845</x:v>
      </x:c>
      <x:c r="I1170" s="70" t="s">
        <x:v>833</x:v>
      </x:c>
      <x:c r="J1170" s="70" t="n">
        <x:v>207</x:v>
      </x:c>
      <x:c r="K1170" s="70" t="s">
        <x:v>2102</x:v>
      </x:c>
      <x:c r="L1170" s="70"/>
      <x:c r="M1170" s="70" t="s">
        <x:v>39</x:v>
      </x:c>
      <x:c r="N1170" s="71" t="n">
        <x:v>3944128</x:v>
      </x:c>
      <x:c r="O1170" s="72" t="n">
        <x:f aca="0">N1170/1000</x:f>
        <x:v>3944.128</x:v>
      </x:c>
      <x:c r="P1170" s="73" t="n">
        <x:f aca="0">DGKC!F107</x:f>
        <x:v>3944.128</x:v>
      </x:c>
      <x:c r="Q1170" s="70" t="str">
        <x:f aca="0">IF(ABS(O1170-P1170)&lt;0.000001,"PASS","FAIL")</x:f>
        <x:v>PASS</x:v>
      </x:c>
      <x:c r="R1170" s="70" t="s">
        <x:v>33</x:v>
      </x:c>
      <x:c r="S1170" s="70"/>
    </x:row>
    <x:row r="1171" ht="15" hidden="0">
      <x:c r="A1171" s="70" t="s">
        <x:v>2103</x:v>
      </x:c>
      <x:c r="B1171" s="70" t="s">
        <x:v>36</x:v>
      </x:c>
      <x:c r="C1171" s="70" t="s">
        <x:v>104</x:v>
      </x:c>
      <x:c r="D1171" s="70" t="s">
        <x:v>268</x:v>
      </x:c>
      <x:c r="E1171" s="70" t="s">
        <x:v>1203</x:v>
      </x:c>
      <x:c r="F1171" s="70" t="s">
        <x:v>2098</x:v>
      </x:c>
      <x:c r="G1171" s="70" t="s">
        <x:v>1753</x:v>
      </x:c>
      <x:c r="H1171" s="70" t="s">
        <x:v>849</x:v>
      </x:c>
      <x:c r="I1171" s="70" t="s">
        <x:v>833</x:v>
      </x:c>
      <x:c r="J1171" s="70" t="n">
        <x:v>212</x:v>
      </x:c>
      <x:c r="K1171" s="70" t="s">
        <x:v>2104</x:v>
      </x:c>
      <x:c r="L1171" s="70"/>
      <x:c r="M1171" s="70" t="s">
        <x:v>39</x:v>
      </x:c>
      <x:c r="N1171" s="71" t="n">
        <x:v>3853452</x:v>
      </x:c>
      <x:c r="O1171" s="72" t="n">
        <x:f aca="0">N1171/1000</x:f>
        <x:v>3853.452</x:v>
      </x:c>
      <x:c r="P1171" s="73" t="n">
        <x:f aca="0">DGKC!G107</x:f>
        <x:v>3853.452</x:v>
      </x:c>
      <x:c r="Q1171" s="70" t="str">
        <x:f aca="0">IF(ABS(O1171-P1171)&lt;0.000001,"PASS","FAIL")</x:f>
        <x:v>PASS</x:v>
      </x:c>
      <x:c r="R1171" s="70" t="s">
        <x:v>33</x:v>
      </x:c>
      <x:c r="S1171" s="70"/>
    </x:row>
    <x:row r="1172" ht="15" hidden="0">
      <x:c r="A1172" s="70" t="s">
        <x:v>2105</x:v>
      </x:c>
      <x:c r="B1172" s="70" t="s">
        <x:v>36</x:v>
      </x:c>
      <x:c r="C1172" s="70" t="s">
        <x:v>105</x:v>
      </x:c>
      <x:c r="D1172" s="70" t="s">
        <x:v>268</x:v>
      </x:c>
      <x:c r="E1172" s="70" t="s">
        <x:v>1203</x:v>
      </x:c>
      <x:c r="F1172" s="70" t="s">
        <x:v>2098</x:v>
      </x:c>
      <x:c r="G1172" s="70" t="s">
        <x:v>1753</x:v>
      </x:c>
      <x:c r="H1172" s="70" t="s">
        <x:v>849</x:v>
      </x:c>
      <x:c r="I1172" s="70" t="s">
        <x:v>852</x:v>
      </x:c>
      <x:c r="J1172" s="70" t="n">
        <x:v>212</x:v>
      </x:c>
      <x:c r="K1172" s="70" t="s">
        <x:v>2104</x:v>
      </x:c>
      <x:c r="L1172" s="70"/>
      <x:c r="M1172" s="70" t="s">
        <x:v>39</x:v>
      </x:c>
      <x:c r="N1172" s="71" t="n">
        <x:v>3832602</x:v>
      </x:c>
      <x:c r="O1172" s="72" t="n">
        <x:f aca="0">N1172/1000</x:f>
        <x:v>3832.602</x:v>
      </x:c>
      <x:c r="P1172" s="73" t="n">
        <x:f aca="0">DGKC!H107</x:f>
        <x:v>3832.602</x:v>
      </x:c>
      <x:c r="Q1172" s="70" t="str">
        <x:f aca="0">IF(ABS(O1172-P1172)&lt;0.000001,"PASS","FAIL")</x:f>
        <x:v>PASS</x:v>
      </x:c>
      <x:c r="R1172" s="70" t="s">
        <x:v>33</x:v>
      </x:c>
      <x:c r="S1172" s="70"/>
    </x:row>
    <x:row r="1173" ht="15" hidden="0">
      <x:c r="A1173" s="70" t="s">
        <x:v>2106</x:v>
      </x:c>
      <x:c r="B1173" s="70" t="s">
        <x:v>36</x:v>
      </x:c>
      <x:c r="C1173" s="70" t="s">
        <x:v>101</x:v>
      </x:c>
      <x:c r="D1173" s="70" t="s">
        <x:v>283</x:v>
      </x:c>
      <x:c r="E1173" s="70" t="s">
        <x:v>1203</x:v>
      </x:c>
      <x:c r="F1173" s="70" t="s">
        <x:v>1212</x:v>
      </x:c>
      <x:c r="G1173" s="70" t="s">
        <x:v>1745</x:v>
      </x:c>
      <x:c r="H1173" s="70" t="s">
        <x:v>838</x:v>
      </x:c>
      <x:c r="I1173" s="70" t="s">
        <x:v>833</x:v>
      </x:c>
      <x:c r="J1173" s="70" t="n">
        <x:v>129</x:v>
      </x:c>
      <x:c r="K1173" s="70" t="s">
        <x:v>2107</x:v>
      </x:c>
      <x:c r="L1173" s="70"/>
      <x:c r="M1173" s="70" t="s">
        <x:v>39</x:v>
      </x:c>
      <x:c r="N1173" s="71" t="n">
        <x:v>10472429</x:v>
      </x:c>
      <x:c r="O1173" s="72" t="n">
        <x:f aca="0">N1173/1000</x:f>
        <x:v>10472.429</x:v>
      </x:c>
      <x:c r="P1173" s="73" t="n">
        <x:f aca="0">DGKC!D116</x:f>
        <x:v>10472.429</x:v>
      </x:c>
      <x:c r="Q1173" s="70" t="str">
        <x:f aca="0">IF(ABS(O1173-P1173)&lt;0.000001,"PASS","FAIL")</x:f>
        <x:v>PASS</x:v>
      </x:c>
      <x:c r="R1173" s="70" t="s">
        <x:v>33</x:v>
      </x:c>
      <x:c r="S1173" s="70"/>
    </x:row>
    <x:row r="1174" ht="15" hidden="0">
      <x:c r="A1174" s="70" t="s">
        <x:v>2108</x:v>
      </x:c>
      <x:c r="B1174" s="70" t="s">
        <x:v>36</x:v>
      </x:c>
      <x:c r="C1174" s="70" t="s">
        <x:v>102</x:v>
      </x:c>
      <x:c r="D1174" s="70" t="s">
        <x:v>283</x:v>
      </x:c>
      <x:c r="E1174" s="70" t="s">
        <x:v>1203</x:v>
      </x:c>
      <x:c r="F1174" s="70" t="s">
        <x:v>1212</x:v>
      </x:c>
      <x:c r="G1174" s="70" t="s">
        <x:v>1748</x:v>
      </x:c>
      <x:c r="H1174" s="70" t="s">
        <x:v>842</x:v>
      </x:c>
      <x:c r="I1174" s="70" t="s">
        <x:v>833</x:v>
      </x:c>
      <x:c r="J1174" s="70" t="n">
        <x:v>155</x:v>
      </x:c>
      <x:c r="K1174" s="70" t="s">
        <x:v>1905</x:v>
      </x:c>
      <x:c r="L1174" s="70"/>
      <x:c r="M1174" s="70" t="s">
        <x:v>39</x:v>
      </x:c>
      <x:c r="N1174" s="71" t="n">
        <x:v>941866</x:v>
      </x:c>
      <x:c r="O1174" s="72" t="n">
        <x:f aca="0">N1174/1000</x:f>
        <x:v>941.866</x:v>
      </x:c>
      <x:c r="P1174" s="73" t="n">
        <x:f aca="0">DGKC!E116</x:f>
        <x:v>941.866</x:v>
      </x:c>
      <x:c r="Q1174" s="70" t="str">
        <x:f aca="0">IF(ABS(O1174-P1174)&lt;0.000001,"PASS","FAIL")</x:f>
        <x:v>PASS</x:v>
      </x:c>
      <x:c r="R1174" s="70" t="s">
        <x:v>33</x:v>
      </x:c>
      <x:c r="S1174" s="70"/>
    </x:row>
    <x:row r="1175" ht="15" hidden="0">
      <x:c r="A1175" s="70" t="s">
        <x:v>2109</x:v>
      </x:c>
      <x:c r="B1175" s="70" t="s">
        <x:v>36</x:v>
      </x:c>
      <x:c r="C1175" s="70" t="s">
        <x:v>103</x:v>
      </x:c>
      <x:c r="D1175" s="70" t="s">
        <x:v>283</x:v>
      </x:c>
      <x:c r="E1175" s="70" t="s">
        <x:v>1203</x:v>
      </x:c>
      <x:c r="F1175" s="70" t="s">
        <x:v>1212</x:v>
      </x:c>
      <x:c r="G1175" s="70" t="s">
        <x:v>1751</x:v>
      </x:c>
      <x:c r="H1175" s="70" t="s">
        <x:v>845</x:v>
      </x:c>
      <x:c r="I1175" s="70" t="s">
        <x:v>833</x:v>
      </x:c>
      <x:c r="J1175" s="70" t="n">
        <x:v>155</x:v>
      </x:c>
      <x:c r="K1175" s="70" t="s">
        <x:v>1905</x:v>
      </x:c>
      <x:c r="L1175" s="70"/>
      <x:c r="M1175" s="70" t="s">
        <x:v>39</x:v>
      </x:c>
      <x:c r="N1175" s="71" t="n">
        <x:v>13397298</x:v>
      </x:c>
      <x:c r="O1175" s="72" t="n">
        <x:f aca="0">N1175/1000</x:f>
        <x:v>13397.298</x:v>
      </x:c>
      <x:c r="P1175" s="73" t="n">
        <x:f aca="0">DGKC!F116</x:f>
        <x:v>13397.298</x:v>
      </x:c>
      <x:c r="Q1175" s="70" t="str">
        <x:f aca="0">IF(ABS(O1175-P1175)&lt;0.000001,"PASS","FAIL")</x:f>
        <x:v>PASS</x:v>
      </x:c>
      <x:c r="R1175" s="70" t="s">
        <x:v>33</x:v>
      </x:c>
      <x:c r="S1175" s="70"/>
    </x:row>
    <x:row r="1176" ht="15" hidden="0">
      <x:c r="A1176" s="70" t="s">
        <x:v>2110</x:v>
      </x:c>
      <x:c r="B1176" s="70" t="s">
        <x:v>36</x:v>
      </x:c>
      <x:c r="C1176" s="70" t="s">
        <x:v>104</x:v>
      </x:c>
      <x:c r="D1176" s="70" t="s">
        <x:v>283</x:v>
      </x:c>
      <x:c r="E1176" s="70" t="s">
        <x:v>1203</x:v>
      </x:c>
      <x:c r="F1176" s="70" t="s">
        <x:v>1212</x:v>
      </x:c>
      <x:c r="G1176" s="70" t="s">
        <x:v>1753</x:v>
      </x:c>
      <x:c r="H1176" s="70" t="s">
        <x:v>849</x:v>
      </x:c>
      <x:c r="I1176" s="70" t="s">
        <x:v>833</x:v>
      </x:c>
      <x:c r="J1176" s="70" t="n">
        <x:v>157</x:v>
      </x:c>
      <x:c r="K1176" s="70" t="s">
        <x:v>1937</x:v>
      </x:c>
      <x:c r="L1176" s="70"/>
      <x:c r="M1176" s="70" t="s">
        <x:v>39</x:v>
      </x:c>
      <x:c r="N1176" s="71" t="n">
        <x:v>13222675</x:v>
      </x:c>
      <x:c r="O1176" s="72" t="n">
        <x:f aca="0">N1176/1000</x:f>
        <x:v>13222.675</x:v>
      </x:c>
      <x:c r="P1176" s="73" t="n">
        <x:f aca="0">DGKC!G116</x:f>
        <x:v>13222.675</x:v>
      </x:c>
      <x:c r="Q1176" s="70" t="str">
        <x:f aca="0">IF(ABS(O1176-P1176)&lt;0.000001,"PASS","FAIL")</x:f>
        <x:v>PASS</x:v>
      </x:c>
      <x:c r="R1176" s="70" t="s">
        <x:v>33</x:v>
      </x:c>
      <x:c r="S1176" s="70"/>
    </x:row>
    <x:row r="1177" ht="15" hidden="0">
      <x:c r="A1177" s="70" t="s">
        <x:v>2111</x:v>
      </x:c>
      <x:c r="B1177" s="70" t="s">
        <x:v>36</x:v>
      </x:c>
      <x:c r="C1177" s="70" t="s">
        <x:v>105</x:v>
      </x:c>
      <x:c r="D1177" s="70" t="s">
        <x:v>283</x:v>
      </x:c>
      <x:c r="E1177" s="70" t="s">
        <x:v>1203</x:v>
      </x:c>
      <x:c r="F1177" s="70" t="s">
        <x:v>1212</x:v>
      </x:c>
      <x:c r="G1177" s="70" t="s">
        <x:v>1753</x:v>
      </x:c>
      <x:c r="H1177" s="70" t="s">
        <x:v>849</x:v>
      </x:c>
      <x:c r="I1177" s="70" t="s">
        <x:v>852</x:v>
      </x:c>
      <x:c r="J1177" s="70" t="n">
        <x:v>157</x:v>
      </x:c>
      <x:c r="K1177" s="70" t="s">
        <x:v>1937</x:v>
      </x:c>
      <x:c r="L1177" s="70"/>
      <x:c r="M1177" s="70" t="s">
        <x:v>39</x:v>
      </x:c>
      <x:c r="N1177" s="71" t="n">
        <x:v>15811428</x:v>
      </x:c>
      <x:c r="O1177" s="72" t="n">
        <x:f aca="0">N1177/1000</x:f>
        <x:v>15811.428</x:v>
      </x:c>
      <x:c r="P1177" s="73" t="n">
        <x:f aca="0">DGKC!H116</x:f>
        <x:v>15811.428</x:v>
      </x:c>
      <x:c r="Q1177" s="70" t="str">
        <x:f aca="0">IF(ABS(O1177-P1177)&lt;0.000001,"PASS","FAIL")</x:f>
        <x:v>PASS</x:v>
      </x:c>
      <x:c r="R1177" s="70" t="s">
        <x:v>33</x:v>
      </x:c>
      <x:c r="S1177" s="70"/>
    </x:row>
    <x:row r="1178" ht="15" hidden="0">
      <x:c r="A1178" s="70" t="s">
        <x:v>2112</x:v>
      </x:c>
      <x:c r="B1178" s="70" t="s">
        <x:v>36</x:v>
      </x:c>
      <x:c r="C1178" s="70" t="s">
        <x:v>101</x:v>
      </x:c>
      <x:c r="D1178" s="70" t="s">
        <x:v>285</x:v>
      </x:c>
      <x:c r="E1178" s="70" t="s">
        <x:v>1203</x:v>
      </x:c>
      <x:c r="F1178" s="70" t="s">
        <x:v>2113</x:v>
      </x:c>
      <x:c r="G1178" s="70" t="s">
        <x:v>1745</x:v>
      </x:c>
      <x:c r="H1178" s="70" t="s">
        <x:v>838</x:v>
      </x:c>
      <x:c r="I1178" s="70" t="s">
        <x:v>833</x:v>
      </x:c>
      <x:c r="J1178" s="70" t="n">
        <x:v>129</x:v>
      </x:c>
      <x:c r="K1178" s="70" t="s">
        <x:v>2107</x:v>
      </x:c>
      <x:c r="L1178" s="70"/>
      <x:c r="M1178" s="70" t="s">
        <x:v>39</x:v>
      </x:c>
      <x:c r="N1178" s="71" t="n">
        <x:v>6161190</x:v>
      </x:c>
      <x:c r="O1178" s="72" t="n">
        <x:f aca="0">N1178/1000</x:f>
        <x:v>6161.19</x:v>
      </x:c>
      <x:c r="P1178" s="73" t="n">
        <x:f aca="0">DGKC!D117</x:f>
        <x:v>6161.19</x:v>
      </x:c>
      <x:c r="Q1178" s="70" t="str">
        <x:f aca="0">IF(ABS(O1178-P1178)&lt;0.000001,"PASS","FAIL")</x:f>
        <x:v>PASS</x:v>
      </x:c>
      <x:c r="R1178" s="70" t="s">
        <x:v>33</x:v>
      </x:c>
      <x:c r="S1178" s="70"/>
    </x:row>
    <x:row r="1179" ht="15" hidden="0">
      <x:c r="A1179" s="70" t="s">
        <x:v>2114</x:v>
      </x:c>
      <x:c r="B1179" s="70" t="s">
        <x:v>36</x:v>
      </x:c>
      <x:c r="C1179" s="70" t="s">
        <x:v>102</x:v>
      </x:c>
      <x:c r="D1179" s="70" t="s">
        <x:v>285</x:v>
      </x:c>
      <x:c r="E1179" s="70" t="s">
        <x:v>1203</x:v>
      </x:c>
      <x:c r="F1179" s="70" t="s">
        <x:v>2115</x:v>
      </x:c>
      <x:c r="G1179" s="70" t="s">
        <x:v>1748</x:v>
      </x:c>
      <x:c r="H1179" s="70" t="s">
        <x:v>842</x:v>
      </x:c>
      <x:c r="I1179" s="70" t="s">
        <x:v>833</x:v>
      </x:c>
      <x:c r="J1179" s="70" t="n">
        <x:v>155</x:v>
      </x:c>
      <x:c r="K1179" s="70" t="s">
        <x:v>1905</x:v>
      </x:c>
      <x:c r="L1179" s="70"/>
      <x:c r="M1179" s="70" t="s">
        <x:v>39</x:v>
      </x:c>
      <x:c r="N1179" s="71" t="n">
        <x:v>-3932479</x:v>
      </x:c>
      <x:c r="O1179" s="72" t="n">
        <x:f aca="0">N1179/1000</x:f>
        <x:v>-3932.479</x:v>
      </x:c>
      <x:c r="P1179" s="73" t="n">
        <x:f aca="0">DGKC!E117</x:f>
        <x:v>-3932.479</x:v>
      </x:c>
      <x:c r="Q1179" s="70" t="str">
        <x:f aca="0">IF(ABS(O1179-P1179)&lt;0.000001,"PASS","FAIL")</x:f>
        <x:v>PASS</x:v>
      </x:c>
      <x:c r="R1179" s="70" t="s">
        <x:v>33</x:v>
      </x:c>
      <x:c r="S1179" s="70"/>
    </x:row>
    <x:row r="1180" ht="15" hidden="0">
      <x:c r="A1180" s="70" t="s">
        <x:v>2116</x:v>
      </x:c>
      <x:c r="B1180" s="70" t="s">
        <x:v>36</x:v>
      </x:c>
      <x:c r="C1180" s="70" t="s">
        <x:v>103</x:v>
      </x:c>
      <x:c r="D1180" s="70" t="s">
        <x:v>285</x:v>
      </x:c>
      <x:c r="E1180" s="70" t="s">
        <x:v>1203</x:v>
      </x:c>
      <x:c r="F1180" s="70" t="s">
        <x:v>2117</x:v>
      </x:c>
      <x:c r="G1180" s="70" t="s">
        <x:v>1751</x:v>
      </x:c>
      <x:c r="H1180" s="70" t="s">
        <x:v>845</x:v>
      </x:c>
      <x:c r="I1180" s="70" t="s">
        <x:v>833</x:v>
      </x:c>
      <x:c r="J1180" s="70" t="n">
        <x:v>155</x:v>
      </x:c>
      <x:c r="K1180" s="70" t="s">
        <x:v>1905</x:v>
      </x:c>
      <x:c r="L1180" s="70"/>
      <x:c r="M1180" s="70" t="s">
        <x:v>39</x:v>
      </x:c>
      <x:c r="N1180" s="71" t="n">
        <x:v>6504234</x:v>
      </x:c>
      <x:c r="O1180" s="72" t="n">
        <x:f aca="0">N1180/1000</x:f>
        <x:v>6504.234</x:v>
      </x:c>
      <x:c r="P1180" s="73" t="n">
        <x:f aca="0">DGKC!F117</x:f>
        <x:v>6504.234</x:v>
      </x:c>
      <x:c r="Q1180" s="70" t="str">
        <x:f aca="0">IF(ABS(O1180-P1180)&lt;0.000001,"PASS","FAIL")</x:f>
        <x:v>PASS</x:v>
      </x:c>
      <x:c r="R1180" s="70" t="s">
        <x:v>33</x:v>
      </x:c>
      <x:c r="S1180" s="70"/>
    </x:row>
    <x:row r="1181" ht="15" hidden="0">
      <x:c r="A1181" s="70" t="s">
        <x:v>2118</x:v>
      </x:c>
      <x:c r="B1181" s="70" t="s">
        <x:v>36</x:v>
      </x:c>
      <x:c r="C1181" s="70" t="s">
        <x:v>104</x:v>
      </x:c>
      <x:c r="D1181" s="70" t="s">
        <x:v>285</x:v>
      </x:c>
      <x:c r="E1181" s="70" t="s">
        <x:v>1203</x:v>
      </x:c>
      <x:c r="F1181" s="70" t="s">
        <x:v>2117</x:v>
      </x:c>
      <x:c r="G1181" s="70" t="s">
        <x:v>1753</x:v>
      </x:c>
      <x:c r="H1181" s="70" t="s">
        <x:v>849</x:v>
      </x:c>
      <x:c r="I1181" s="70" t="s">
        <x:v>833</x:v>
      </x:c>
      <x:c r="J1181" s="70" t="n">
        <x:v>157</x:v>
      </x:c>
      <x:c r="K1181" s="70" t="s">
        <x:v>1937</x:v>
      </x:c>
      <x:c r="L1181" s="70"/>
      <x:c r="M1181" s="70" t="s">
        <x:v>39</x:v>
      </x:c>
      <x:c r="N1181" s="71" t="n">
        <x:v>6029545</x:v>
      </x:c>
      <x:c r="O1181" s="72" t="n">
        <x:f aca="0">N1181/1000</x:f>
        <x:v>6029.545</x:v>
      </x:c>
      <x:c r="P1181" s="73" t="n">
        <x:f aca="0">DGKC!G117</x:f>
        <x:v>6029.545</x:v>
      </x:c>
      <x:c r="Q1181" s="70" t="str">
        <x:f aca="0">IF(ABS(O1181-P1181)&lt;0.000001,"PASS","FAIL")</x:f>
        <x:v>PASS</x:v>
      </x:c>
      <x:c r="R1181" s="70" t="s">
        <x:v>33</x:v>
      </x:c>
      <x:c r="S1181" s="70"/>
    </x:row>
    <x:row r="1182" ht="15" hidden="0">
      <x:c r="A1182" s="70" t="s">
        <x:v>2119</x:v>
      </x:c>
      <x:c r="B1182" s="70" t="s">
        <x:v>36</x:v>
      </x:c>
      <x:c r="C1182" s="70" t="s">
        <x:v>105</x:v>
      </x:c>
      <x:c r="D1182" s="70" t="s">
        <x:v>285</x:v>
      </x:c>
      <x:c r="E1182" s="70" t="s">
        <x:v>1203</x:v>
      </x:c>
      <x:c r="F1182" s="70" t="s">
        <x:v>2117</x:v>
      </x:c>
      <x:c r="G1182" s="70" t="s">
        <x:v>1753</x:v>
      </x:c>
      <x:c r="H1182" s="70" t="s">
        <x:v>849</x:v>
      </x:c>
      <x:c r="I1182" s="70" t="s">
        <x:v>852</x:v>
      </x:c>
      <x:c r="J1182" s="70" t="n">
        <x:v>157</x:v>
      </x:c>
      <x:c r="K1182" s="70" t="s">
        <x:v>1937</x:v>
      </x:c>
      <x:c r="L1182" s="70"/>
      <x:c r="M1182" s="70" t="s">
        <x:v>39</x:v>
      </x:c>
      <x:c r="N1182" s="71" t="n">
        <x:v>10034132</x:v>
      </x:c>
      <x:c r="O1182" s="72" t="n">
        <x:f aca="0">N1182/1000</x:f>
        <x:v>10034.132</x:v>
      </x:c>
      <x:c r="P1182" s="73" t="n">
        <x:f aca="0">DGKC!H117</x:f>
        <x:v>10034.132</x:v>
      </x:c>
      <x:c r="Q1182" s="70" t="str">
        <x:f aca="0">IF(ABS(O1182-P1182)&lt;0.000001,"PASS","FAIL")</x:f>
        <x:v>PASS</x:v>
      </x:c>
      <x:c r="R1182" s="70" t="s">
        <x:v>33</x:v>
      </x:c>
      <x:c r="S1182" s="70"/>
    </x:row>
    <x:row r="1183" ht="15" hidden="0">
      <x:c r="A1183" s="70" t="s">
        <x:v>2120</x:v>
      </x:c>
      <x:c r="B1183" s="70" t="s">
        <x:v>36</x:v>
      </x:c>
      <x:c r="C1183" s="70" t="s">
        <x:v>101</x:v>
      </x:c>
      <x:c r="D1183" s="70" t="s">
        <x:v>287</x:v>
      </x:c>
      <x:c r="E1183" s="70" t="s">
        <x:v>1203</x:v>
      </x:c>
      <x:c r="F1183" s="70" t="s">
        <x:v>1224</x:v>
      </x:c>
      <x:c r="G1183" s="70" t="s">
        <x:v>1745</x:v>
      </x:c>
      <x:c r="H1183" s="70" t="s">
        <x:v>838</x:v>
      </x:c>
      <x:c r="I1183" s="70" t="s">
        <x:v>833</x:v>
      </x:c>
      <x:c r="J1183" s="70" t="n">
        <x:v>129</x:v>
      </x:c>
      <x:c r="K1183" s="70" t="s">
        <x:v>2107</x:v>
      </x:c>
      <x:c r="L1183" s="70"/>
      <x:c r="M1183" s="70" t="s">
        <x:v>39</x:v>
      </x:c>
      <x:c r="N1183" s="71" t="n">
        <x:v>-3125381</x:v>
      </x:c>
      <x:c r="O1183" s="72" t="n">
        <x:f aca="0">N1183/1000</x:f>
        <x:v>-3125.381</x:v>
      </x:c>
      <x:c r="P1183" s="73" t="n">
        <x:f aca="0">DGKC!D118</x:f>
        <x:v>-3125.381</x:v>
      </x:c>
      <x:c r="Q1183" s="70" t="str">
        <x:f aca="0">IF(ABS(O1183-P1183)&lt;0.000001,"PASS","FAIL")</x:f>
        <x:v>PASS</x:v>
      </x:c>
      <x:c r="R1183" s="70" t="s">
        <x:v>33</x:v>
      </x:c>
      <x:c r="S1183" s="70"/>
    </x:row>
    <x:row r="1184" ht="15" hidden="0">
      <x:c r="A1184" s="70" t="s">
        <x:v>2121</x:v>
      </x:c>
      <x:c r="B1184" s="70" t="s">
        <x:v>36</x:v>
      </x:c>
      <x:c r="C1184" s="70" t="s">
        <x:v>102</x:v>
      </x:c>
      <x:c r="D1184" s="70" t="s">
        <x:v>287</x:v>
      </x:c>
      <x:c r="E1184" s="70" t="s">
        <x:v>1203</x:v>
      </x:c>
      <x:c r="F1184" s="70" t="s">
        <x:v>1224</x:v>
      </x:c>
      <x:c r="G1184" s="70" t="s">
        <x:v>1748</x:v>
      </x:c>
      <x:c r="H1184" s="70" t="s">
        <x:v>842</x:v>
      </x:c>
      <x:c r="I1184" s="70" t="s">
        <x:v>833</x:v>
      </x:c>
      <x:c r="J1184" s="70" t="n">
        <x:v>155</x:v>
      </x:c>
      <x:c r="K1184" s="70" t="s">
        <x:v>1905</x:v>
      </x:c>
      <x:c r="L1184" s="70"/>
      <x:c r="M1184" s="70" t="s">
        <x:v>39</x:v>
      </x:c>
      <x:c r="N1184" s="71" t="n">
        <x:v>-3195727</x:v>
      </x:c>
      <x:c r="O1184" s="72" t="n">
        <x:f aca="0">N1184/1000</x:f>
        <x:v>-3195.727</x:v>
      </x:c>
      <x:c r="P1184" s="73" t="n">
        <x:f aca="0">DGKC!E118</x:f>
        <x:v>-3195.727</x:v>
      </x:c>
      <x:c r="Q1184" s="70" t="str">
        <x:f aca="0">IF(ABS(O1184-P1184)&lt;0.000001,"PASS","FAIL")</x:f>
        <x:v>PASS</x:v>
      </x:c>
      <x:c r="R1184" s="70" t="s">
        <x:v>33</x:v>
      </x:c>
      <x:c r="S1184" s="70"/>
    </x:row>
    <x:row r="1185" ht="15" hidden="0">
      <x:c r="A1185" s="70" t="s">
        <x:v>2122</x:v>
      </x:c>
      <x:c r="B1185" s="70" t="s">
        <x:v>36</x:v>
      </x:c>
      <x:c r="C1185" s="70" t="s">
        <x:v>103</x:v>
      </x:c>
      <x:c r="D1185" s="70" t="s">
        <x:v>287</x:v>
      </x:c>
      <x:c r="E1185" s="70" t="s">
        <x:v>1203</x:v>
      </x:c>
      <x:c r="F1185" s="70" t="s">
        <x:v>1224</x:v>
      </x:c>
      <x:c r="G1185" s="70" t="s">
        <x:v>1751</x:v>
      </x:c>
      <x:c r="H1185" s="70" t="s">
        <x:v>845</x:v>
      </x:c>
      <x:c r="I1185" s="70" t="s">
        <x:v>833</x:v>
      </x:c>
      <x:c r="J1185" s="70" t="n">
        <x:v>155</x:v>
      </x:c>
      <x:c r="K1185" s="70" t="s">
        <x:v>1905</x:v>
      </x:c>
      <x:c r="L1185" s="70"/>
      <x:c r="M1185" s="70" t="s">
        <x:v>39</x:v>
      </x:c>
      <x:c r="N1185" s="71" t="n">
        <x:v>-5998599</x:v>
      </x:c>
      <x:c r="O1185" s="72" t="n">
        <x:f aca="0">N1185/1000</x:f>
        <x:v>-5998.599</x:v>
      </x:c>
      <x:c r="P1185" s="73" t="n">
        <x:f aca="0">DGKC!F118</x:f>
        <x:v>-5998.599</x:v>
      </x:c>
      <x:c r="Q1185" s="70" t="str">
        <x:f aca="0">IF(ABS(O1185-P1185)&lt;0.000001,"PASS","FAIL")</x:f>
        <x:v>PASS</x:v>
      </x:c>
      <x:c r="R1185" s="70" t="s">
        <x:v>33</x:v>
      </x:c>
      <x:c r="S1185" s="70"/>
    </x:row>
    <x:row r="1186" ht="15" hidden="0">
      <x:c r="A1186" s="70" t="s">
        <x:v>2123</x:v>
      </x:c>
      <x:c r="B1186" s="70" t="s">
        <x:v>36</x:v>
      </x:c>
      <x:c r="C1186" s="70" t="s">
        <x:v>104</x:v>
      </x:c>
      <x:c r="D1186" s="70" t="s">
        <x:v>287</x:v>
      </x:c>
      <x:c r="E1186" s="70" t="s">
        <x:v>1203</x:v>
      </x:c>
      <x:c r="F1186" s="70" t="s">
        <x:v>1224</x:v>
      </x:c>
      <x:c r="G1186" s="70" t="s">
        <x:v>1753</x:v>
      </x:c>
      <x:c r="H1186" s="70" t="s">
        <x:v>849</x:v>
      </x:c>
      <x:c r="I1186" s="70" t="s">
        <x:v>833</x:v>
      </x:c>
      <x:c r="J1186" s="70" t="n">
        <x:v>157</x:v>
      </x:c>
      <x:c r="K1186" s="70" t="s">
        <x:v>1937</x:v>
      </x:c>
      <x:c r="L1186" s="70"/>
      <x:c r="M1186" s="70" t="s">
        <x:v>39</x:v>
      </x:c>
      <x:c r="N1186" s="71" t="n">
        <x:v>-8460206</x:v>
      </x:c>
      <x:c r="O1186" s="72" t="n">
        <x:f aca="0">N1186/1000</x:f>
        <x:v>-8460.206</x:v>
      </x:c>
      <x:c r="P1186" s="73" t="n">
        <x:f aca="0">DGKC!G118</x:f>
        <x:v>-8460.206</x:v>
      </x:c>
      <x:c r="Q1186" s="70" t="str">
        <x:f aca="0">IF(ABS(O1186-P1186)&lt;0.000001,"PASS","FAIL")</x:f>
        <x:v>PASS</x:v>
      </x:c>
      <x:c r="R1186" s="70" t="s">
        <x:v>33</x:v>
      </x:c>
      <x:c r="S1186" s="70"/>
    </x:row>
    <x:row r="1187" ht="15" hidden="0">
      <x:c r="A1187" s="70" t="s">
        <x:v>2124</x:v>
      </x:c>
      <x:c r="B1187" s="70" t="s">
        <x:v>36</x:v>
      </x:c>
      <x:c r="C1187" s="70" t="s">
        <x:v>105</x:v>
      </x:c>
      <x:c r="D1187" s="70" t="s">
        <x:v>287</x:v>
      </x:c>
      <x:c r="E1187" s="70" t="s">
        <x:v>1203</x:v>
      </x:c>
      <x:c r="F1187" s="70" t="s">
        <x:v>1224</x:v>
      </x:c>
      <x:c r="G1187" s="70" t="s">
        <x:v>1753</x:v>
      </x:c>
      <x:c r="H1187" s="70" t="s">
        <x:v>849</x:v>
      </x:c>
      <x:c r="I1187" s="70" t="s">
        <x:v>852</x:v>
      </x:c>
      <x:c r="J1187" s="70" t="n">
        <x:v>157</x:v>
      </x:c>
      <x:c r="K1187" s="70" t="s">
        <x:v>1937</x:v>
      </x:c>
      <x:c r="L1187" s="70"/>
      <x:c r="M1187" s="70" t="s">
        <x:v>39</x:v>
      </x:c>
      <x:c r="N1187" s="71" t="n">
        <x:v>-4921199</x:v>
      </x:c>
      <x:c r="O1187" s="72" t="n">
        <x:f aca="0">N1187/1000</x:f>
        <x:v>-4921.199</x:v>
      </x:c>
      <x:c r="P1187" s="73" t="n">
        <x:f aca="0">DGKC!H118</x:f>
        <x:v>-4921.199</x:v>
      </x:c>
      <x:c r="Q1187" s="70" t="str">
        <x:f aca="0">IF(ABS(O1187-P1187)&lt;0.000001,"PASS","FAIL")</x:f>
        <x:v>PASS</x:v>
      </x:c>
      <x:c r="R1187" s="70" t="s">
        <x:v>33</x:v>
      </x:c>
      <x:c r="S1187" s="70"/>
    </x:row>
    <x:row r="1188" ht="15" hidden="0">
      <x:c r="A1188" s="70" t="s">
        <x:v>2125</x:v>
      </x:c>
      <x:c r="B1188" s="70" t="s">
        <x:v>36</x:v>
      </x:c>
      <x:c r="C1188" s="70" t="s">
        <x:v>101</x:v>
      </x:c>
      <x:c r="D1188" s="70" t="s">
        <x:v>289</x:v>
      </x:c>
      <x:c r="E1188" s="70" t="s">
        <x:v>1203</x:v>
      </x:c>
      <x:c r="F1188" s="70" t="s">
        <x:v>1230</x:v>
      </x:c>
      <x:c r="G1188" s="70" t="s">
        <x:v>1745</x:v>
      </x:c>
      <x:c r="H1188" s="70" t="s">
        <x:v>838</x:v>
      </x:c>
      <x:c r="I1188" s="70" t="s">
        <x:v>833</x:v>
      </x:c>
      <x:c r="J1188" s="70" t="n">
        <x:v>129</x:v>
      </x:c>
      <x:c r="K1188" s="70" t="s">
        <x:v>2107</x:v>
      </x:c>
      <x:c r="L1188" s="70"/>
      <x:c r="M1188" s="70" t="s">
        <x:v>292</x:v>
      </x:c>
      <x:c r="N1188" s="70" t="s">
        <x:v>291</x:v>
      </x:c>
      <x:c r="O1188" s="70" t="str">
        <x:f aca="0">N1188</x:f>
        <x:v>Operating</x:v>
      </x:c>
      <x:c r="P1188" s="70" t="str">
        <x:f aca="0">DGKC!D119</x:f>
        <x:v>Operating</x:v>
      </x:c>
      <x:c r="Q1188" s="70" t="str">
        <x:f aca="0">IF(O1188=P1188,"PASS","FAIL")</x:f>
        <x:v>PASS</x:v>
      </x:c>
      <x:c r="R1188" s="70" t="s">
        <x:v>33</x:v>
      </x:c>
      <x:c r="S1188" s="70"/>
    </x:row>
    <x:row r="1189" ht="15" hidden="0">
      <x:c r="A1189" s="70" t="s">
        <x:v>2126</x:v>
      </x:c>
      <x:c r="B1189" s="70" t="s">
        <x:v>36</x:v>
      </x:c>
      <x:c r="C1189" s="70" t="s">
        <x:v>102</x:v>
      </x:c>
      <x:c r="D1189" s="70" t="s">
        <x:v>289</x:v>
      </x:c>
      <x:c r="E1189" s="70" t="s">
        <x:v>1203</x:v>
      </x:c>
      <x:c r="F1189" s="70" t="s">
        <x:v>1230</x:v>
      </x:c>
      <x:c r="G1189" s="70" t="s">
        <x:v>1748</x:v>
      </x:c>
      <x:c r="H1189" s="70" t="s">
        <x:v>842</x:v>
      </x:c>
      <x:c r="I1189" s="70" t="s">
        <x:v>833</x:v>
      </x:c>
      <x:c r="J1189" s="70" t="n">
        <x:v>155</x:v>
      </x:c>
      <x:c r="K1189" s="70" t="s">
        <x:v>1905</x:v>
      </x:c>
      <x:c r="L1189" s="70"/>
      <x:c r="M1189" s="70" t="s">
        <x:v>292</x:v>
      </x:c>
      <x:c r="N1189" s="70" t="s">
        <x:v>291</x:v>
      </x:c>
      <x:c r="O1189" s="70" t="str">
        <x:f aca="0">N1189</x:f>
        <x:v>Operating</x:v>
      </x:c>
      <x:c r="P1189" s="70" t="str">
        <x:f aca="0">DGKC!E119</x:f>
        <x:v>Operating</x:v>
      </x:c>
      <x:c r="Q1189" s="70" t="str">
        <x:f aca="0">IF(O1189=P1189,"PASS","FAIL")</x:f>
        <x:v>PASS</x:v>
      </x:c>
      <x:c r="R1189" s="70" t="s">
        <x:v>33</x:v>
      </x:c>
      <x:c r="S1189" s="70"/>
    </x:row>
    <x:row r="1190" ht="15" hidden="0">
      <x:c r="A1190" s="70" t="s">
        <x:v>2127</x:v>
      </x:c>
      <x:c r="B1190" s="70" t="s">
        <x:v>36</x:v>
      </x:c>
      <x:c r="C1190" s="70" t="s">
        <x:v>103</x:v>
      </x:c>
      <x:c r="D1190" s="70" t="s">
        <x:v>289</x:v>
      </x:c>
      <x:c r="E1190" s="70" t="s">
        <x:v>1203</x:v>
      </x:c>
      <x:c r="F1190" s="70" t="s">
        <x:v>1230</x:v>
      </x:c>
      <x:c r="G1190" s="70" t="s">
        <x:v>1751</x:v>
      </x:c>
      <x:c r="H1190" s="70" t="s">
        <x:v>845</x:v>
      </x:c>
      <x:c r="I1190" s="70" t="s">
        <x:v>833</x:v>
      </x:c>
      <x:c r="J1190" s="70" t="n">
        <x:v>155</x:v>
      </x:c>
      <x:c r="K1190" s="70" t="s">
        <x:v>1905</x:v>
      </x:c>
      <x:c r="L1190" s="70"/>
      <x:c r="M1190" s="70" t="s">
        <x:v>292</x:v>
      </x:c>
      <x:c r="N1190" s="70" t="s">
        <x:v>291</x:v>
      </x:c>
      <x:c r="O1190" s="70" t="str">
        <x:f aca="0">N1190</x:f>
        <x:v>Operating</x:v>
      </x:c>
      <x:c r="P1190" s="70" t="str">
        <x:f aca="0">DGKC!F119</x:f>
        <x:v>Operating</x:v>
      </x:c>
      <x:c r="Q1190" s="70" t="str">
        <x:f aca="0">IF(O1190=P1190,"PASS","FAIL")</x:f>
        <x:v>PASS</x:v>
      </x:c>
      <x:c r="R1190" s="70" t="s">
        <x:v>33</x:v>
      </x:c>
      <x:c r="S1190" s="70"/>
    </x:row>
    <x:row r="1191" ht="15" hidden="0">
      <x:c r="A1191" s="70" t="s">
        <x:v>2128</x:v>
      </x:c>
      <x:c r="B1191" s="70" t="s">
        <x:v>36</x:v>
      </x:c>
      <x:c r="C1191" s="70" t="s">
        <x:v>104</x:v>
      </x:c>
      <x:c r="D1191" s="70" t="s">
        <x:v>289</x:v>
      </x:c>
      <x:c r="E1191" s="70" t="s">
        <x:v>1203</x:v>
      </x:c>
      <x:c r="F1191" s="70" t="s">
        <x:v>1230</x:v>
      </x:c>
      <x:c r="G1191" s="70" t="s">
        <x:v>1753</x:v>
      </x:c>
      <x:c r="H1191" s="70" t="s">
        <x:v>849</x:v>
      </x:c>
      <x:c r="I1191" s="70" t="s">
        <x:v>833</x:v>
      </x:c>
      <x:c r="J1191" s="70" t="n">
        <x:v>157</x:v>
      </x:c>
      <x:c r="K1191" s="70" t="s">
        <x:v>1937</x:v>
      </x:c>
      <x:c r="L1191" s="70"/>
      <x:c r="M1191" s="70" t="s">
        <x:v>292</x:v>
      </x:c>
      <x:c r="N1191" s="70" t="s">
        <x:v>291</x:v>
      </x:c>
      <x:c r="O1191" s="70" t="str">
        <x:f aca="0">N1191</x:f>
        <x:v>Operating</x:v>
      </x:c>
      <x:c r="P1191" s="70" t="str">
        <x:f aca="0">DGKC!G119</x:f>
        <x:v>Operating</x:v>
      </x:c>
      <x:c r="Q1191" s="70" t="str">
        <x:f aca="0">IF(O1191=P1191,"PASS","FAIL")</x:f>
        <x:v>PASS</x:v>
      </x:c>
      <x:c r="R1191" s="70" t="s">
        <x:v>33</x:v>
      </x:c>
      <x:c r="S1191" s="70"/>
    </x:row>
    <x:row r="1192" ht="15" hidden="0">
      <x:c r="A1192" s="70" t="s">
        <x:v>2129</x:v>
      </x:c>
      <x:c r="B1192" s="70" t="s">
        <x:v>36</x:v>
      </x:c>
      <x:c r="C1192" s="70" t="s">
        <x:v>105</x:v>
      </x:c>
      <x:c r="D1192" s="70" t="s">
        <x:v>289</x:v>
      </x:c>
      <x:c r="E1192" s="70" t="s">
        <x:v>1203</x:v>
      </x:c>
      <x:c r="F1192" s="70" t="s">
        <x:v>1230</x:v>
      </x:c>
      <x:c r="G1192" s="70" t="s">
        <x:v>1753</x:v>
      </x:c>
      <x:c r="H1192" s="70" t="s">
        <x:v>849</x:v>
      </x:c>
      <x:c r="I1192" s="70" t="s">
        <x:v>852</x:v>
      </x:c>
      <x:c r="J1192" s="70" t="n">
        <x:v>157</x:v>
      </x:c>
      <x:c r="K1192" s="70" t="s">
        <x:v>1937</x:v>
      </x:c>
      <x:c r="L1192" s="70"/>
      <x:c r="M1192" s="70" t="s">
        <x:v>292</x:v>
      </x:c>
      <x:c r="N1192" s="70" t="s">
        <x:v>291</x:v>
      </x:c>
      <x:c r="O1192" s="70" t="str">
        <x:f aca="0">N1192</x:f>
        <x:v>Operating</x:v>
      </x:c>
      <x:c r="P1192" s="70" t="str">
        <x:f aca="0">DGKC!H119</x:f>
        <x:v>Operating</x:v>
      </x:c>
      <x:c r="Q1192" s="70" t="str">
        <x:f aca="0">IF(O1192=P1192,"PASS","FAIL")</x:f>
        <x:v>PASS</x:v>
      </x:c>
      <x:c r="R1192" s="70" t="s">
        <x:v>33</x:v>
      </x:c>
      <x:c r="S1192" s="70"/>
    </x:row>
    <x:row r="1193" ht="15" hidden="0">
      <x:c r="A1193" s="70" t="s">
        <x:v>2130</x:v>
      </x:c>
      <x:c r="B1193" s="70" t="s">
        <x:v>36</x:v>
      </x:c>
      <x:c r="C1193" s="70" t="s">
        <x:v>101</x:v>
      </x:c>
      <x:c r="D1193" s="70" t="s">
        <x:v>295</x:v>
      </x:c>
      <x:c r="E1193" s="70" t="s">
        <x:v>1203</x:v>
      </x:c>
      <x:c r="F1193" s="70" t="s">
        <x:v>2131</x:v>
      </x:c>
      <x:c r="G1193" s="70" t="s">
        <x:v>1745</x:v>
      </x:c>
      <x:c r="H1193" s="70" t="s">
        <x:v>838</x:v>
      </x:c>
      <x:c r="I1193" s="70" t="s">
        <x:v>833</x:v>
      </x:c>
      <x:c r="J1193" s="70" t="n">
        <x:v>129</x:v>
      </x:c>
      <x:c r="K1193" s="70" t="s">
        <x:v>2107</x:v>
      </x:c>
      <x:c r="L1193" s="70"/>
      <x:c r="M1193" s="70" t="s">
        <x:v>39</x:v>
      </x:c>
      <x:c r="N1193" s="71" t="n">
        <x:v>-5087104</x:v>
      </x:c>
      <x:c r="O1193" s="72" t="n">
        <x:f aca="0">N1193/1000</x:f>
        <x:v>-5087.104</x:v>
      </x:c>
      <x:c r="P1193" s="73" t="n">
        <x:f aca="0">DGKC!D121</x:f>
        <x:v>-5087.104</x:v>
      </x:c>
      <x:c r="Q1193" s="70" t="str">
        <x:f aca="0">IF(ABS(O1193-P1193)&lt;0.000001,"PASS","FAIL")</x:f>
        <x:v>PASS</x:v>
      </x:c>
      <x:c r="R1193" s="70" t="s">
        <x:v>33</x:v>
      </x:c>
      <x:c r="S1193" s="70"/>
    </x:row>
    <x:row r="1194" ht="15" hidden="0">
      <x:c r="A1194" s="70" t="s">
        <x:v>2132</x:v>
      </x:c>
      <x:c r="B1194" s="70" t="s">
        <x:v>36</x:v>
      </x:c>
      <x:c r="C1194" s="70" t="s">
        <x:v>102</x:v>
      </x:c>
      <x:c r="D1194" s="70" t="s">
        <x:v>295</x:v>
      </x:c>
      <x:c r="E1194" s="70" t="s">
        <x:v>1203</x:v>
      </x:c>
      <x:c r="F1194" s="70" t="s">
        <x:v>2131</x:v>
      </x:c>
      <x:c r="G1194" s="70" t="s">
        <x:v>1748</x:v>
      </x:c>
      <x:c r="H1194" s="70" t="s">
        <x:v>842</x:v>
      </x:c>
      <x:c r="I1194" s="70" t="s">
        <x:v>833</x:v>
      </x:c>
      <x:c r="J1194" s="70" t="n">
        <x:v>155</x:v>
      </x:c>
      <x:c r="K1194" s="70" t="s">
        <x:v>1905</x:v>
      </x:c>
      <x:c r="L1194" s="70"/>
      <x:c r="M1194" s="70" t="s">
        <x:v>39</x:v>
      </x:c>
      <x:c r="N1194" s="71" t="n">
        <x:v>-1739551</x:v>
      </x:c>
      <x:c r="O1194" s="72" t="n">
        <x:f aca="0">N1194/1000</x:f>
        <x:v>-1739.551</x:v>
      </x:c>
      <x:c r="P1194" s="73" t="n">
        <x:f aca="0">DGKC!E121</x:f>
        <x:v>-1739.551</x:v>
      </x:c>
      <x:c r="Q1194" s="70" t="str">
        <x:f aca="0">IF(ABS(O1194-P1194)&lt;0.000001,"PASS","FAIL")</x:f>
        <x:v>PASS</x:v>
      </x:c>
      <x:c r="R1194" s="70" t="s">
        <x:v>33</x:v>
      </x:c>
      <x:c r="S1194" s="70"/>
    </x:row>
    <x:row r="1195" ht="15" hidden="0">
      <x:c r="A1195" s="70" t="s">
        <x:v>2133</x:v>
      </x:c>
      <x:c r="B1195" s="70" t="s">
        <x:v>36</x:v>
      </x:c>
      <x:c r="C1195" s="70" t="s">
        <x:v>103</x:v>
      </x:c>
      <x:c r="D1195" s="70" t="s">
        <x:v>295</x:v>
      </x:c>
      <x:c r="E1195" s="70" t="s">
        <x:v>1203</x:v>
      </x:c>
      <x:c r="F1195" s="70" t="s">
        <x:v>2131</x:v>
      </x:c>
      <x:c r="G1195" s="70" t="s">
        <x:v>1751</x:v>
      </x:c>
      <x:c r="H1195" s="70" t="s">
        <x:v>845</x:v>
      </x:c>
      <x:c r="I1195" s="70" t="s">
        <x:v>833</x:v>
      </x:c>
      <x:c r="J1195" s="70" t="n">
        <x:v>155</x:v>
      </x:c>
      <x:c r="K1195" s="70" t="s">
        <x:v>1905</x:v>
      </x:c>
      <x:c r="L1195" s="70"/>
      <x:c r="M1195" s="70" t="s">
        <x:v>39</x:v>
      </x:c>
      <x:c r="N1195" s="71" t="n">
        <x:v>-3418069</x:v>
      </x:c>
      <x:c r="O1195" s="72" t="n">
        <x:f aca="0">N1195/1000</x:f>
        <x:v>-3418.069</x:v>
      </x:c>
      <x:c r="P1195" s="73" t="n">
        <x:f aca="0">DGKC!F121</x:f>
        <x:v>-3418.069</x:v>
      </x:c>
      <x:c r="Q1195" s="70" t="str">
        <x:f aca="0">IF(ABS(O1195-P1195)&lt;0.000001,"PASS","FAIL")</x:f>
        <x:v>PASS</x:v>
      </x:c>
      <x:c r="R1195" s="70" t="s">
        <x:v>33</x:v>
      </x:c>
      <x:c r="S1195" s="70"/>
    </x:row>
    <x:row r="1196" ht="15" hidden="0">
      <x:c r="A1196" s="70" t="s">
        <x:v>2134</x:v>
      </x:c>
      <x:c r="B1196" s="70" t="s">
        <x:v>36</x:v>
      </x:c>
      <x:c r="C1196" s="70" t="s">
        <x:v>104</x:v>
      </x:c>
      <x:c r="D1196" s="70" t="s">
        <x:v>295</x:v>
      </x:c>
      <x:c r="E1196" s="70" t="s">
        <x:v>1203</x:v>
      </x:c>
      <x:c r="F1196" s="70" t="s">
        <x:v>2131</x:v>
      </x:c>
      <x:c r="G1196" s="70" t="s">
        <x:v>1753</x:v>
      </x:c>
      <x:c r="H1196" s="70" t="s">
        <x:v>849</x:v>
      </x:c>
      <x:c r="I1196" s="70" t="s">
        <x:v>833</x:v>
      </x:c>
      <x:c r="J1196" s="70" t="n">
        <x:v>157</x:v>
      </x:c>
      <x:c r="K1196" s="70" t="s">
        <x:v>1937</x:v>
      </x:c>
      <x:c r="L1196" s="70"/>
      <x:c r="M1196" s="70" t="s">
        <x:v>39</x:v>
      </x:c>
      <x:c r="N1196" s="71" t="n">
        <x:v>-1620798</x:v>
      </x:c>
      <x:c r="O1196" s="72" t="n">
        <x:f aca="0">N1196/1000</x:f>
        <x:v>-1620.798</x:v>
      </x:c>
      <x:c r="P1196" s="73" t="n">
        <x:f aca="0">DGKC!G121</x:f>
        <x:v>-1620.798</x:v>
      </x:c>
      <x:c r="Q1196" s="70" t="str">
        <x:f aca="0">IF(ABS(O1196-P1196)&lt;0.000001,"PASS","FAIL")</x:f>
        <x:v>PASS</x:v>
      </x:c>
      <x:c r="R1196" s="70" t="s">
        <x:v>33</x:v>
      </x:c>
      <x:c r="S1196" s="70"/>
    </x:row>
    <x:row r="1197" ht="15" hidden="0">
      <x:c r="A1197" s="70" t="s">
        <x:v>2135</x:v>
      </x:c>
      <x:c r="B1197" s="70" t="s">
        <x:v>36</x:v>
      </x:c>
      <x:c r="C1197" s="70" t="s">
        <x:v>105</x:v>
      </x:c>
      <x:c r="D1197" s="70" t="s">
        <x:v>295</x:v>
      </x:c>
      <x:c r="E1197" s="70" t="s">
        <x:v>1203</x:v>
      </x:c>
      <x:c r="F1197" s="70" t="s">
        <x:v>2131</x:v>
      </x:c>
      <x:c r="G1197" s="70" t="s">
        <x:v>1753</x:v>
      </x:c>
      <x:c r="H1197" s="70" t="s">
        <x:v>849</x:v>
      </x:c>
      <x:c r="I1197" s="70" t="s">
        <x:v>852</x:v>
      </x:c>
      <x:c r="J1197" s="70" t="n">
        <x:v>157</x:v>
      </x:c>
      <x:c r="K1197" s="70" t="s">
        <x:v>1937</x:v>
      </x:c>
      <x:c r="L1197" s="70"/>
      <x:c r="M1197" s="70" t="s">
        <x:v>39</x:v>
      </x:c>
      <x:c r="N1197" s="71" t="n">
        <x:v>-1211491</x:v>
      </x:c>
      <x:c r="O1197" s="72" t="n">
        <x:f aca="0">N1197/1000</x:f>
        <x:v>-1211.491</x:v>
      </x:c>
      <x:c r="P1197" s="73" t="n">
        <x:f aca="0">DGKC!H121</x:f>
        <x:v>-1211.491</x:v>
      </x:c>
      <x:c r="Q1197" s="70" t="str">
        <x:f aca="0">IF(ABS(O1197-P1197)&lt;0.000001,"PASS","FAIL")</x:f>
        <x:v>PASS</x:v>
      </x:c>
      <x:c r="R1197" s="70" t="s">
        <x:v>33</x:v>
      </x:c>
      <x:c r="S1197" s="70"/>
    </x:row>
    <x:row r="1198" ht="15" hidden="0">
      <x:c r="A1198" s="70" t="s">
        <x:v>2136</x:v>
      </x:c>
      <x:c r="B1198" s="70" t="s">
        <x:v>36</x:v>
      </x:c>
      <x:c r="C1198" s="70" t="s">
        <x:v>101</x:v>
      </x:c>
      <x:c r="D1198" s="70" t="s">
        <x:v>297</x:v>
      </x:c>
      <x:c r="E1198" s="70" t="s">
        <x:v>1203</x:v>
      </x:c>
      <x:c r="F1198" s="70" t="s">
        <x:v>2137</x:v>
      </x:c>
      <x:c r="G1198" s="70" t="s">
        <x:v>1745</x:v>
      </x:c>
      <x:c r="H1198" s="70" t="s">
        <x:v>838</x:v>
      </x:c>
      <x:c r="I1198" s="70" t="s">
        <x:v>833</x:v>
      </x:c>
      <x:c r="J1198" s="70" t="n">
        <x:v>129</x:v>
      </x:c>
      <x:c r="K1198" s="70" t="s">
        <x:v>2107</x:v>
      </x:c>
      <x:c r="L1198" s="70"/>
      <x:c r="M1198" s="70" t="s">
        <x:v>39</x:v>
      </x:c>
      <x:c r="N1198" s="71" t="n">
        <x:v>-2962160</x:v>
      </x:c>
      <x:c r="O1198" s="72" t="n">
        <x:f aca="0">N1198/1000</x:f>
        <x:v>-2962.16</x:v>
      </x:c>
      <x:c r="P1198" s="73" t="n">
        <x:f aca="0">DGKC!D122</x:f>
        <x:v>-2962.16</x:v>
      </x:c>
      <x:c r="Q1198" s="70" t="str">
        <x:f aca="0">IF(ABS(O1198-P1198)&lt;0.000001,"PASS","FAIL")</x:f>
        <x:v>PASS</x:v>
      </x:c>
      <x:c r="R1198" s="70" t="s">
        <x:v>33</x:v>
      </x:c>
      <x:c r="S1198" s="70"/>
    </x:row>
    <x:row r="1199" ht="15" hidden="0">
      <x:c r="A1199" s="70" t="s">
        <x:v>2138</x:v>
      </x:c>
      <x:c r="B1199" s="70" t="s">
        <x:v>36</x:v>
      </x:c>
      <x:c r="C1199" s="70" t="s">
        <x:v>102</x:v>
      </x:c>
      <x:c r="D1199" s="70" t="s">
        <x:v>297</x:v>
      </x:c>
      <x:c r="E1199" s="70" t="s">
        <x:v>1203</x:v>
      </x:c>
      <x:c r="F1199" s="70" t="s">
        <x:v>2139</x:v>
      </x:c>
      <x:c r="G1199" s="70" t="s">
        <x:v>1748</x:v>
      </x:c>
      <x:c r="H1199" s="70" t="s">
        <x:v>842</x:v>
      </x:c>
      <x:c r="I1199" s="70" t="s">
        <x:v>833</x:v>
      </x:c>
      <x:c r="J1199" s="70" t="n">
        <x:v>155</x:v>
      </x:c>
      <x:c r="K1199" s="70" t="s">
        <x:v>1905</x:v>
      </x:c>
      <x:c r="L1199" s="70"/>
      <x:c r="M1199" s="70" t="s">
        <x:v>39</x:v>
      </x:c>
      <x:c r="N1199" s="71" t="n">
        <x:v>1461646</x:v>
      </x:c>
      <x:c r="O1199" s="72" t="n">
        <x:f aca="0">N1199/1000</x:f>
        <x:v>1461.646</x:v>
      </x:c>
      <x:c r="P1199" s="73" t="n">
        <x:f aca="0">DGKC!E122</x:f>
        <x:v>1461.646</x:v>
      </x:c>
      <x:c r="Q1199" s="70" t="str">
        <x:f aca="0">IF(ABS(O1199-P1199)&lt;0.000001,"PASS","FAIL")</x:f>
        <x:v>PASS</x:v>
      </x:c>
      <x:c r="R1199" s="70" t="s">
        <x:v>33</x:v>
      </x:c>
      <x:c r="S1199" s="70"/>
    </x:row>
    <x:row r="1200" ht="15" hidden="0">
      <x:c r="A1200" s="70" t="s">
        <x:v>2140</x:v>
      </x:c>
      <x:c r="B1200" s="70" t="s">
        <x:v>36</x:v>
      </x:c>
      <x:c r="C1200" s="70" t="s">
        <x:v>103</x:v>
      </x:c>
      <x:c r="D1200" s="70" t="s">
        <x:v>297</x:v>
      </x:c>
      <x:c r="E1200" s="70" t="s">
        <x:v>1203</x:v>
      </x:c>
      <x:c r="F1200" s="70" t="s">
        <x:v>2141</x:v>
      </x:c>
      <x:c r="G1200" s="70" t="s">
        <x:v>1751</x:v>
      </x:c>
      <x:c r="H1200" s="70" t="s">
        <x:v>845</x:v>
      </x:c>
      <x:c r="I1200" s="70" t="s">
        <x:v>833</x:v>
      </x:c>
      <x:c r="J1200" s="70" t="n">
        <x:v>155</x:v>
      </x:c>
      <x:c r="K1200" s="70" t="s">
        <x:v>1905</x:v>
      </x:c>
      <x:c r="L1200" s="70"/>
      <x:c r="M1200" s="70" t="s">
        <x:v>39</x:v>
      </x:c>
      <x:c r="N1200" s="71" t="n">
        <x:v>-1747152</x:v>
      </x:c>
      <x:c r="O1200" s="72" t="n">
        <x:f aca="0">N1200/1000</x:f>
        <x:v>-1747.152</x:v>
      </x:c>
      <x:c r="P1200" s="73" t="n">
        <x:f aca="0">DGKC!F122</x:f>
        <x:v>-1747.152</x:v>
      </x:c>
      <x:c r="Q1200" s="70" t="str">
        <x:f aca="0">IF(ABS(O1200-P1200)&lt;0.000001,"PASS","FAIL")</x:f>
        <x:v>PASS</x:v>
      </x:c>
      <x:c r="R1200" s="70" t="s">
        <x:v>33</x:v>
      </x:c>
      <x:c r="S1200" s="70"/>
    </x:row>
    <x:row r="1201" ht="15" hidden="0">
      <x:c r="A1201" s="70" t="s">
        <x:v>2142</x:v>
      </x:c>
      <x:c r="B1201" s="70" t="s">
        <x:v>36</x:v>
      </x:c>
      <x:c r="C1201" s="70" t="s">
        <x:v>104</x:v>
      </x:c>
      <x:c r="D1201" s="70" t="s">
        <x:v>297</x:v>
      </x:c>
      <x:c r="E1201" s="70" t="s">
        <x:v>1203</x:v>
      </x:c>
      <x:c r="F1201" s="70" t="s">
        <x:v>2143</x:v>
      </x:c>
      <x:c r="G1201" s="70" t="s">
        <x:v>1753</x:v>
      </x:c>
      <x:c r="H1201" s="70" t="s">
        <x:v>849</x:v>
      </x:c>
      <x:c r="I1201" s="70" t="s">
        <x:v>833</x:v>
      </x:c>
      <x:c r="J1201" s="70" t="n">
        <x:v>157</x:v>
      </x:c>
      <x:c r="K1201" s="70" t="s">
        <x:v>1937</x:v>
      </x:c>
      <x:c r="L1201" s="70"/>
      <x:c r="M1201" s="70" t="s">
        <x:v>39</x:v>
      </x:c>
      <x:c r="N1201" s="71" t="n">
        <x:v>2277223</x:v>
      </x:c>
      <x:c r="O1201" s="72" t="n">
        <x:f aca="0">N1201/1000</x:f>
        <x:v>2277.223</x:v>
      </x:c>
      <x:c r="P1201" s="73" t="n">
        <x:f aca="0">DGKC!G122</x:f>
        <x:v>2277.223</x:v>
      </x:c>
      <x:c r="Q1201" s="70" t="str">
        <x:f aca="0">IF(ABS(O1201-P1201)&lt;0.000001,"PASS","FAIL")</x:f>
        <x:v>PASS</x:v>
      </x:c>
      <x:c r="R1201" s="70" t="s">
        <x:v>33</x:v>
      </x:c>
      <x:c r="S1201" s="70"/>
    </x:row>
    <x:row r="1202" ht="15" hidden="0">
      <x:c r="A1202" s="70" t="s">
        <x:v>2144</x:v>
      </x:c>
      <x:c r="B1202" s="70" t="s">
        <x:v>36</x:v>
      </x:c>
      <x:c r="C1202" s="70" t="s">
        <x:v>105</x:v>
      </x:c>
      <x:c r="D1202" s="70" t="s">
        <x:v>297</x:v>
      </x:c>
      <x:c r="E1202" s="70" t="s">
        <x:v>1203</x:v>
      </x:c>
      <x:c r="F1202" s="70" t="s">
        <x:v>2143</x:v>
      </x:c>
      <x:c r="G1202" s="70" t="s">
        <x:v>1753</x:v>
      </x:c>
      <x:c r="H1202" s="70" t="s">
        <x:v>849</x:v>
      </x:c>
      <x:c r="I1202" s="70" t="s">
        <x:v>852</x:v>
      </x:c>
      <x:c r="J1202" s="70" t="n">
        <x:v>157</x:v>
      </x:c>
      <x:c r="K1202" s="70" t="s">
        <x:v>1937</x:v>
      </x:c>
      <x:c r="L1202" s="70"/>
      <x:c r="M1202" s="70" t="s">
        <x:v>39</x:v>
      </x:c>
      <x:c r="N1202" s="71" t="n">
        <x:v>3000535</x:v>
      </x:c>
      <x:c r="O1202" s="72" t="n">
        <x:f aca="0">N1202/1000</x:f>
        <x:v>3000.535</x:v>
      </x:c>
      <x:c r="P1202" s="73" t="n">
        <x:f aca="0">DGKC!H122</x:f>
        <x:v>3000.535</x:v>
      </x:c>
      <x:c r="Q1202" s="70" t="str">
        <x:f aca="0">IF(ABS(O1202-P1202)&lt;0.000001,"PASS","FAIL")</x:f>
        <x:v>PASS</x:v>
      </x:c>
      <x:c r="R1202" s="70" t="s">
        <x:v>33</x:v>
      </x:c>
      <x:c r="S1202" s="70"/>
    </x:row>
    <x:row r="1203" ht="15" hidden="0">
      <x:c r="A1203" s="70" t="s">
        <x:v>2145</x:v>
      </x:c>
      <x:c r="B1203" s="70" t="s">
        <x:v>36</x:v>
      </x:c>
      <x:c r="C1203" s="70" t="s">
        <x:v>101</x:v>
      </x:c>
      <x:c r="D1203" s="70" t="s">
        <x:v>299</x:v>
      </x:c>
      <x:c r="E1203" s="70" t="s">
        <x:v>1203</x:v>
      </x:c>
      <x:c r="F1203" s="70" t="s">
        <x:v>2146</x:v>
      </x:c>
      <x:c r="G1203" s="70" t="s">
        <x:v>1745</x:v>
      </x:c>
      <x:c r="H1203" s="70" t="s">
        <x:v>838</x:v>
      </x:c>
      <x:c r="I1203" s="70" t="s">
        <x:v>833</x:v>
      </x:c>
      <x:c r="J1203" s="70" t="n">
        <x:v>129</x:v>
      </x:c>
      <x:c r="K1203" s="70" t="s">
        <x:v>2107</x:v>
      </x:c>
      <x:c r="L1203" s="70"/>
      <x:c r="M1203" s="70" t="s">
        <x:v>39</x:v>
      </x:c>
      <x:c r="N1203" s="71" t="n">
        <x:v>2374853</x:v>
      </x:c>
      <x:c r="O1203" s="72" t="n">
        <x:f aca="0">N1203/1000</x:f>
        <x:v>2374.853</x:v>
      </x:c>
      <x:c r="P1203" s="73" t="n">
        <x:f aca="0">DGKC!D123</x:f>
        <x:v>2374.853</x:v>
      </x:c>
      <x:c r="Q1203" s="70" t="str">
        <x:f aca="0">IF(ABS(O1203-P1203)&lt;0.000001,"PASS","FAIL")</x:f>
        <x:v>PASS</x:v>
      </x:c>
      <x:c r="R1203" s="70" t="s">
        <x:v>33</x:v>
      </x:c>
      <x:c r="S1203" s="70"/>
    </x:row>
    <x:row r="1204" ht="15" hidden="0">
      <x:c r="A1204" s="70" t="s">
        <x:v>2147</x:v>
      </x:c>
      <x:c r="B1204" s="70" t="s">
        <x:v>36</x:v>
      </x:c>
      <x:c r="C1204" s="70" t="s">
        <x:v>102</x:v>
      </x:c>
      <x:c r="D1204" s="70" t="s">
        <x:v>299</x:v>
      </x:c>
      <x:c r="E1204" s="70" t="s">
        <x:v>1203</x:v>
      </x:c>
      <x:c r="F1204" s="70" t="s">
        <x:v>2148</x:v>
      </x:c>
      <x:c r="G1204" s="70" t="s">
        <x:v>1748</x:v>
      </x:c>
      <x:c r="H1204" s="70" t="s">
        <x:v>842</x:v>
      </x:c>
      <x:c r="I1204" s="70" t="s">
        <x:v>833</x:v>
      </x:c>
      <x:c r="J1204" s="70" t="n">
        <x:v>155</x:v>
      </x:c>
      <x:c r="K1204" s="70" t="s">
        <x:v>1905</x:v>
      </x:c>
      <x:c r="L1204" s="70"/>
      <x:c r="M1204" s="70" t="s">
        <x:v>39</x:v>
      </x:c>
      <x:c r="N1204" s="71" t="n">
        <x:v>-4864956</x:v>
      </x:c>
      <x:c r="O1204" s="72" t="n">
        <x:f aca="0">N1204/1000</x:f>
        <x:v>-4864.956</x:v>
      </x:c>
      <x:c r="P1204" s="73" t="n">
        <x:f aca="0">DGKC!E123</x:f>
        <x:v>-4864.956</x:v>
      </x:c>
      <x:c r="Q1204" s="70" t="str">
        <x:f aca="0">IF(ABS(O1204-P1204)&lt;0.000001,"PASS","FAIL")</x:f>
        <x:v>PASS</x:v>
      </x:c>
      <x:c r="R1204" s="70" t="s">
        <x:v>33</x:v>
      </x:c>
      <x:c r="S1204" s="70"/>
    </x:row>
    <x:row r="1205" ht="15" hidden="0">
      <x:c r="A1205" s="70" t="s">
        <x:v>2149</x:v>
      </x:c>
      <x:c r="B1205" s="70" t="s">
        <x:v>36</x:v>
      </x:c>
      <x:c r="C1205" s="70" t="s">
        <x:v>103</x:v>
      </x:c>
      <x:c r="D1205" s="70" t="s">
        <x:v>299</x:v>
      </x:c>
      <x:c r="E1205" s="70" t="s">
        <x:v>1203</x:v>
      </x:c>
      <x:c r="F1205" s="70" t="s">
        <x:v>2150</x:v>
      </x:c>
      <x:c r="G1205" s="70" t="s">
        <x:v>1751</x:v>
      </x:c>
      <x:c r="H1205" s="70" t="s">
        <x:v>845</x:v>
      </x:c>
      <x:c r="I1205" s="70" t="s">
        <x:v>833</x:v>
      </x:c>
      <x:c r="J1205" s="70" t="n">
        <x:v>155</x:v>
      </x:c>
      <x:c r="K1205" s="70" t="s">
        <x:v>1905</x:v>
      </x:c>
      <x:c r="L1205" s="70"/>
      <x:c r="M1205" s="70" t="s">
        <x:v>39</x:v>
      </x:c>
      <x:c r="N1205" s="71" t="n">
        <x:v>-4883569</x:v>
      </x:c>
      <x:c r="O1205" s="72" t="n">
        <x:f aca="0">N1205/1000</x:f>
        <x:v>-4883.569</x:v>
      </x:c>
      <x:c r="P1205" s="73" t="n">
        <x:f aca="0">DGKC!F123</x:f>
        <x:v>-4883.569</x:v>
      </x:c>
      <x:c r="Q1205" s="70" t="str">
        <x:f aca="0">IF(ABS(O1205-P1205)&lt;0.000001,"PASS","FAIL")</x:f>
        <x:v>PASS</x:v>
      </x:c>
      <x:c r="R1205" s="70" t="s">
        <x:v>33</x:v>
      </x:c>
      <x:c r="S1205" s="70"/>
    </x:row>
    <x:row r="1206" ht="15" hidden="0">
      <x:c r="A1206" s="70" t="s">
        <x:v>2151</x:v>
      </x:c>
      <x:c r="B1206" s="70" t="s">
        <x:v>36</x:v>
      </x:c>
      <x:c r="C1206" s="70" t="s">
        <x:v>104</x:v>
      </x:c>
      <x:c r="D1206" s="70" t="s">
        <x:v>299</x:v>
      </x:c>
      <x:c r="E1206" s="70" t="s">
        <x:v>1203</x:v>
      </x:c>
      <x:c r="F1206" s="70" t="s">
        <x:v>2152</x:v>
      </x:c>
      <x:c r="G1206" s="70" t="s">
        <x:v>1753</x:v>
      </x:c>
      <x:c r="H1206" s="70" t="s">
        <x:v>849</x:v>
      </x:c>
      <x:c r="I1206" s="70" t="s">
        <x:v>833</x:v>
      </x:c>
      <x:c r="J1206" s="70" t="n">
        <x:v>157</x:v>
      </x:c>
      <x:c r="K1206" s="70" t="s">
        <x:v>1937</x:v>
      </x:c>
      <x:c r="L1206" s="70"/>
      <x:c r="M1206" s="70" t="s">
        <x:v>39</x:v>
      </x:c>
      <x:c r="N1206" s="71" t="n">
        <x:v>4051021</x:v>
      </x:c>
      <x:c r="O1206" s="72" t="n">
        <x:f aca="0">N1206/1000</x:f>
        <x:v>4051.021</x:v>
      </x:c>
      <x:c r="P1206" s="73" t="n">
        <x:f aca="0">DGKC!G123</x:f>
        <x:v>4051.021</x:v>
      </x:c>
      <x:c r="Q1206" s="70" t="str">
        <x:f aca="0">IF(ABS(O1206-P1206)&lt;0.000001,"PASS","FAIL")</x:f>
        <x:v>PASS</x:v>
      </x:c>
      <x:c r="R1206" s="70" t="s">
        <x:v>33</x:v>
      </x:c>
      <x:c r="S1206" s="70"/>
    </x:row>
    <x:row r="1207" ht="15" hidden="0">
      <x:c r="A1207" s="70" t="s">
        <x:v>2153</x:v>
      </x:c>
      <x:c r="B1207" s="70" t="s">
        <x:v>36</x:v>
      </x:c>
      <x:c r="C1207" s="70" t="s">
        <x:v>105</x:v>
      </x:c>
      <x:c r="D1207" s="70" t="s">
        <x:v>299</x:v>
      </x:c>
      <x:c r="E1207" s="70" t="s">
        <x:v>1203</x:v>
      </x:c>
      <x:c r="F1207" s="70" t="s">
        <x:v>2152</x:v>
      </x:c>
      <x:c r="G1207" s="70" t="s">
        <x:v>1753</x:v>
      </x:c>
      <x:c r="H1207" s="70" t="s">
        <x:v>849</x:v>
      </x:c>
      <x:c r="I1207" s="70" t="s">
        <x:v>852</x:v>
      </x:c>
      <x:c r="J1207" s="70" t="n">
        <x:v>157</x:v>
      </x:c>
      <x:c r="K1207" s="70" t="s">
        <x:v>1937</x:v>
      </x:c>
      <x:c r="L1207" s="70"/>
      <x:c r="M1207" s="70" t="s">
        <x:v>39</x:v>
      </x:c>
      <x:c r="N1207" s="71" t="n">
        <x:v>-9357687</x:v>
      </x:c>
      <x:c r="O1207" s="72" t="n">
        <x:f aca="0">N1207/1000</x:f>
        <x:v>-9357.687</x:v>
      </x:c>
      <x:c r="P1207" s="73" t="n">
        <x:f aca="0">DGKC!H123</x:f>
        <x:v>-9357.687</x:v>
      </x:c>
      <x:c r="Q1207" s="70" t="str">
        <x:f aca="0">IF(ABS(O1207-P1207)&lt;0.000001,"PASS","FAIL")</x:f>
        <x:v>PASS</x:v>
      </x:c>
      <x:c r="R1207" s="70" t="s">
        <x:v>33</x:v>
      </x:c>
      <x:c r="S1207" s="70"/>
    </x:row>
    <x:row r="1208" ht="15" hidden="0">
      <x:c r="A1208" s="70" t="s">
        <x:v>2154</x:v>
      </x:c>
      <x:c r="B1208" s="70" t="s">
        <x:v>36</x:v>
      </x:c>
      <x:c r="C1208" s="70" t="s">
        <x:v>101</x:v>
      </x:c>
      <x:c r="D1208" s="70" t="s">
        <x:v>301</x:v>
      </x:c>
      <x:c r="E1208" s="70" t="s">
        <x:v>1203</x:v>
      </x:c>
      <x:c r="F1208" s="70" t="s">
        <x:v>1254</x:v>
      </x:c>
      <x:c r="G1208" s="70" t="s">
        <x:v>1745</x:v>
      </x:c>
      <x:c r="H1208" s="70" t="s">
        <x:v>838</x:v>
      </x:c>
      <x:c r="I1208" s="70" t="s">
        <x:v>833</x:v>
      </x:c>
      <x:c r="J1208" s="70" t="n">
        <x:v>129</x:v>
      </x:c>
      <x:c r="K1208" s="70" t="s">
        <x:v>2107</x:v>
      </x:c>
      <x:c r="L1208" s="70"/>
      <x:c r="M1208" s="70" t="s">
        <x:v>39</x:v>
      </x:c>
      <x:c r="N1208" s="71" t="n">
        <x:v>-320</x:v>
      </x:c>
      <x:c r="O1208" s="72" t="n">
        <x:f aca="0">N1208/1000</x:f>
        <x:v>-0.32</x:v>
      </x:c>
      <x:c r="P1208" s="73" t="n">
        <x:f aca="0">DGKC!D124</x:f>
        <x:v>-0.32</x:v>
      </x:c>
      <x:c r="Q1208" s="70" t="str">
        <x:f aca="0">IF(ABS(O1208-P1208)&lt;0.000001,"PASS","FAIL")</x:f>
        <x:v>PASS</x:v>
      </x:c>
      <x:c r="R1208" s="70" t="s">
        <x:v>33</x:v>
      </x:c>
      <x:c r="S1208" s="70"/>
    </x:row>
    <x:row r="1209" ht="15" hidden="0">
      <x:c r="A1209" s="70" t="s">
        <x:v>2155</x:v>
      </x:c>
      <x:c r="B1209" s="70" t="s">
        <x:v>36</x:v>
      </x:c>
      <x:c r="C1209" s="70" t="s">
        <x:v>102</x:v>
      </x:c>
      <x:c r="D1209" s="70" t="s">
        <x:v>301</x:v>
      </x:c>
      <x:c r="E1209" s="70" t="s">
        <x:v>1203</x:v>
      </x:c>
      <x:c r="F1209" s="70" t="s">
        <x:v>1254</x:v>
      </x:c>
      <x:c r="G1209" s="70" t="s">
        <x:v>1748</x:v>
      </x:c>
      <x:c r="H1209" s="70" t="s">
        <x:v>842</x:v>
      </x:c>
      <x:c r="I1209" s="70" t="s">
        <x:v>833</x:v>
      </x:c>
      <x:c r="J1209" s="70" t="n">
        <x:v>155</x:v>
      </x:c>
      <x:c r="K1209" s="70" t="s">
        <x:v>1905</x:v>
      </x:c>
      <x:c r="L1209" s="70"/>
      <x:c r="M1209" s="70" t="s">
        <x:v>39</x:v>
      </x:c>
      <x:c r="N1209" s="71" t="n">
        <x:v>-437124</x:v>
      </x:c>
      <x:c r="O1209" s="72" t="n">
        <x:f aca="0">N1209/1000</x:f>
        <x:v>-437.124</x:v>
      </x:c>
      <x:c r="P1209" s="73" t="n">
        <x:f aca="0">DGKC!E124</x:f>
        <x:v>-437.124</x:v>
      </x:c>
      <x:c r="Q1209" s="70" t="str">
        <x:f aca="0">IF(ABS(O1209-P1209)&lt;0.000001,"PASS","FAIL")</x:f>
        <x:v>PASS</x:v>
      </x:c>
      <x:c r="R1209" s="70" t="s">
        <x:v>33</x:v>
      </x:c>
      <x:c r="S1209" s="70"/>
    </x:row>
    <x:row r="1210" ht="15" hidden="0">
      <x:c r="A1210" s="70" t="s">
        <x:v>2156</x:v>
      </x:c>
      <x:c r="B1210" s="70" t="s">
        <x:v>36</x:v>
      </x:c>
      <x:c r="C1210" s="70" t="s">
        <x:v>103</x:v>
      </x:c>
      <x:c r="D1210" s="70" t="s">
        <x:v>301</x:v>
      </x:c>
      <x:c r="E1210" s="70" t="s">
        <x:v>1203</x:v>
      </x:c>
      <x:c r="F1210" s="70" t="s">
        <x:v>1254</x:v>
      </x:c>
      <x:c r="G1210" s="70" t="s">
        <x:v>1751</x:v>
      </x:c>
      <x:c r="H1210" s="70" t="s">
        <x:v>845</x:v>
      </x:c>
      <x:c r="I1210" s="70" t="s">
        <x:v>833</x:v>
      </x:c>
      <x:c r="J1210" s="70" t="n">
        <x:v>155</x:v>
      </x:c>
      <x:c r="K1210" s="70" t="s">
        <x:v>1905</x:v>
      </x:c>
      <x:c r="L1210" s="70"/>
      <x:c r="M1210" s="70" t="s">
        <x:v>39</x:v>
      </x:c>
      <x:c r="N1210" s="71" t="n">
        <x:v>-437927</x:v>
      </x:c>
      <x:c r="O1210" s="72" t="n">
        <x:f aca="0">N1210/1000</x:f>
        <x:v>-437.927</x:v>
      </x:c>
      <x:c r="P1210" s="73" t="n">
        <x:f aca="0">DGKC!F124</x:f>
        <x:v>-437.927</x:v>
      </x:c>
      <x:c r="Q1210" s="70" t="str">
        <x:f aca="0">IF(ABS(O1210-P1210)&lt;0.000001,"PASS","FAIL")</x:f>
        <x:v>PASS</x:v>
      </x:c>
      <x:c r="R1210" s="70" t="s">
        <x:v>33</x:v>
      </x:c>
      <x:c r="S1210" s="70"/>
    </x:row>
    <x:row r="1211" ht="15" hidden="0">
      <x:c r="A1211" s="70" t="s">
        <x:v>2157</x:v>
      </x:c>
      <x:c r="B1211" s="70" t="s">
        <x:v>36</x:v>
      </x:c>
      <x:c r="C1211" s="70" t="s">
        <x:v>104</x:v>
      </x:c>
      <x:c r="D1211" s="70" t="s">
        <x:v>301</x:v>
      </x:c>
      <x:c r="E1211" s="70" t="s">
        <x:v>1203</x:v>
      </x:c>
      <x:c r="F1211" s="70" t="s">
        <x:v>1254</x:v>
      </x:c>
      <x:c r="G1211" s="70" t="s">
        <x:v>1753</x:v>
      </x:c>
      <x:c r="H1211" s="70" t="s">
        <x:v>849</x:v>
      </x:c>
      <x:c r="I1211" s="70" t="s">
        <x:v>833</x:v>
      </x:c>
      <x:c r="J1211" s="70" t="n">
        <x:v>157</x:v>
      </x:c>
      <x:c r="K1211" s="70" t="s">
        <x:v>1937</x:v>
      </x:c>
      <x:c r="L1211" s="70"/>
      <x:c r="M1211" s="70" t="s">
        <x:v>39</x:v>
      </x:c>
      <x:c r="N1211" s="71" t="n">
        <x:v>-502</x:v>
      </x:c>
      <x:c r="O1211" s="72" t="n">
        <x:f aca="0">N1211/1000</x:f>
        <x:v>-0.502</x:v>
      </x:c>
      <x:c r="P1211" s="73" t="n">
        <x:f aca="0">DGKC!G124</x:f>
        <x:v>-0.502</x:v>
      </x:c>
      <x:c r="Q1211" s="70" t="str">
        <x:f aca="0">IF(ABS(O1211-P1211)&lt;0.000001,"PASS","FAIL")</x:f>
        <x:v>PASS</x:v>
      </x:c>
      <x:c r="R1211" s="70" t="s">
        <x:v>33</x:v>
      </x:c>
      <x:c r="S1211" s="70"/>
    </x:row>
    <x:row r="1212" ht="15" hidden="0">
      <x:c r="A1212" s="70" t="s">
        <x:v>2158</x:v>
      </x:c>
      <x:c r="B1212" s="70" t="s">
        <x:v>36</x:v>
      </x:c>
      <x:c r="C1212" s="70" t="s">
        <x:v>105</x:v>
      </x:c>
      <x:c r="D1212" s="70" t="s">
        <x:v>301</x:v>
      </x:c>
      <x:c r="E1212" s="70" t="s">
        <x:v>1203</x:v>
      </x:c>
      <x:c r="F1212" s="70" t="s">
        <x:v>1254</x:v>
      </x:c>
      <x:c r="G1212" s="70" t="s">
        <x:v>1753</x:v>
      </x:c>
      <x:c r="H1212" s="70" t="s">
        <x:v>849</x:v>
      </x:c>
      <x:c r="I1212" s="70" t="s">
        <x:v>852</x:v>
      </x:c>
      <x:c r="J1212" s="70" t="n">
        <x:v>157</x:v>
      </x:c>
      <x:c r="K1212" s="70" t="s">
        <x:v>1937</x:v>
      </x:c>
      <x:c r="L1212" s="70"/>
      <x:c r="M1212" s="70" t="s">
        <x:v>39</x:v>
      </x:c>
      <x:c r="N1212" s="71" t="n">
        <x:v>-48</x:v>
      </x:c>
      <x:c r="O1212" s="72" t="n">
        <x:f aca="0">N1212/1000</x:f>
        <x:v>-0.048</x:v>
      </x:c>
      <x:c r="P1212" s="73" t="n">
        <x:f aca="0">DGKC!H124</x:f>
        <x:v>-0.048</x:v>
      </x:c>
      <x:c r="Q1212" s="70" t="str">
        <x:f aca="0">IF(ABS(O1212-P1212)&lt;0.000001,"PASS","FAIL")</x:f>
        <x:v>PASS</x:v>
      </x:c>
      <x:c r="R1212" s="70" t="s">
        <x:v>33</x:v>
      </x:c>
      <x:c r="S1212" s="70"/>
    </x:row>
    <x:row r="1213" ht="15" hidden="0">
      <x:c r="A1213" s="70" t="s">
        <x:v>2159</x:v>
      </x:c>
      <x:c r="B1213" s="70" t="s">
        <x:v>36</x:v>
      </x:c>
      <x:c r="C1213" s="70" t="s">
        <x:v>101</x:v>
      </x:c>
      <x:c r="D1213" s="70" t="s">
        <x:v>304</x:v>
      </x:c>
      <x:c r="E1213" s="70" t="s">
        <x:v>855</x:v>
      </x:c>
      <x:c r="F1213" s="70" t="s">
        <x:v>1260</x:v>
      </x:c>
      <x:c r="G1213" s="70" t="s">
        <x:v>1742</x:v>
      </x:c>
      <x:c r="H1213" s="70" t="s">
        <x:v>832</x:v>
      </x:c>
      <x:c r="I1213" s="70" t="s">
        <x:v>852</x:v>
      </x:c>
      <x:c r="J1213" s="70" t="n">
        <x:v>155</x:v>
      </x:c>
      <x:c r="K1213" s="70" t="s">
        <x:v>1905</x:v>
      </x:c>
      <x:c r="L1213" s="70"/>
      <x:c r="M1213" s="70" t="s">
        <x:v>306</x:v>
      </x:c>
      <x:c r="N1213" s="70" t="n">
        <x:v>10</x:v>
      </x:c>
      <x:c r="O1213" s="70" t="n">
        <x:f aca="0">N1213</x:f>
        <x:v>10</x:v>
      </x:c>
      <x:c r="P1213" s="74" t="n">
        <x:f aca="0">DGKC!D127</x:f>
        <x:v>10</x:v>
      </x:c>
      <x:c r="Q1213" s="70" t="str">
        <x:f aca="0">IF(ABS(O1213-P1213)&lt;0.000001,"PASS","FAIL")</x:f>
        <x:v>PASS</x:v>
      </x:c>
      <x:c r="R1213" s="70" t="s">
        <x:v>33</x:v>
      </x:c>
      <x:c r="S1213" s="70" t="str">
        <x:v>Verified FY-end share basis; see Share Basis and Corporate Actions for source excerpts and normalization. Original source metadata superseded where the basis changed.</x:v>
      </x:c>
    </x:row>
    <x:row r="1214" ht="15" hidden="0">
      <x:c r="A1214" s="70" t="s">
        <x:v>2160</x:v>
      </x:c>
      <x:c r="B1214" s="70" t="s">
        <x:v>36</x:v>
      </x:c>
      <x:c r="C1214" s="70" t="s">
        <x:v>102</x:v>
      </x:c>
      <x:c r="D1214" s="70" t="s">
        <x:v>304</x:v>
      </x:c>
      <x:c r="E1214" s="70" t="s">
        <x:v>855</x:v>
      </x:c>
      <x:c r="F1214" s="70" t="s">
        <x:v>1260</x:v>
      </x:c>
      <x:c r="G1214" s="70" t="s">
        <x:v>1745</x:v>
      </x:c>
      <x:c r="H1214" s="70" t="s">
        <x:v>838</x:v>
      </x:c>
      <x:c r="I1214" s="70" t="s">
        <x:v>852</x:v>
      </x:c>
      <x:c r="J1214" s="70" t="n">
        <x:v>177</x:v>
      </x:c>
      <x:c r="K1214" s="70" t="s">
        <x:v>2087</x:v>
      </x:c>
      <x:c r="L1214" s="70"/>
      <x:c r="M1214" s="70" t="s">
        <x:v>306</x:v>
      </x:c>
      <x:c r="N1214" s="70" t="n">
        <x:v>10</x:v>
      </x:c>
      <x:c r="O1214" s="70" t="n">
        <x:f aca="0">N1214</x:f>
        <x:v>10</x:v>
      </x:c>
      <x:c r="P1214" s="74" t="n">
        <x:f aca="0">DGKC!E127</x:f>
        <x:v>10</x:v>
      </x:c>
      <x:c r="Q1214" s="70" t="str">
        <x:f aca="0">IF(ABS(O1214-P1214)&lt;0.000001,"PASS","FAIL")</x:f>
        <x:v>PASS</x:v>
      </x:c>
      <x:c r="R1214" s="70" t="s">
        <x:v>33</x:v>
      </x:c>
      <x:c r="S1214" s="70" t="str">
        <x:v>Verified FY-end share basis; see Share Basis and Corporate Actions for source excerpts and normalization. Original source metadata superseded where the basis changed.</x:v>
      </x:c>
    </x:row>
    <x:row r="1215" ht="15" hidden="0">
      <x:c r="A1215" s="70" t="s">
        <x:v>2161</x:v>
      </x:c>
      <x:c r="B1215" s="70" t="s">
        <x:v>36</x:v>
      </x:c>
      <x:c r="C1215" s="70" t="s">
        <x:v>103</x:v>
      </x:c>
      <x:c r="D1215" s="70" t="s">
        <x:v>304</x:v>
      </x:c>
      <x:c r="E1215" s="70" t="s">
        <x:v>855</x:v>
      </x:c>
      <x:c r="F1215" s="70" t="s">
        <x:v>1260</x:v>
      </x:c>
      <x:c r="G1215" s="70" t="s">
        <x:v>1748</x:v>
      </x:c>
      <x:c r="H1215" s="70" t="s">
        <x:v>842</x:v>
      </x:c>
      <x:c r="I1215" s="70" t="s">
        <x:v>852</x:v>
      </x:c>
      <x:c r="J1215" s="70" t="n">
        <x:v>202</x:v>
      </x:c>
      <x:c r="K1215" s="70" t="s">
        <x:v>2162</x:v>
      </x:c>
      <x:c r="L1215" s="70"/>
      <x:c r="M1215" s="70" t="s">
        <x:v>306</x:v>
      </x:c>
      <x:c r="N1215" s="70" t="n">
        <x:v>10</x:v>
      </x:c>
      <x:c r="O1215" s="70" t="n">
        <x:f aca="0">N1215</x:f>
        <x:v>10</x:v>
      </x:c>
      <x:c r="P1215" s="74" t="n">
        <x:f aca="0">DGKC!F127</x:f>
        <x:v>10</x:v>
      </x:c>
      <x:c r="Q1215" s="70" t="str">
        <x:f aca="0">IF(ABS(O1215-P1215)&lt;0.000001,"PASS","FAIL")</x:f>
        <x:v>PASS</x:v>
      </x:c>
      <x:c r="R1215" s="70" t="s">
        <x:v>33</x:v>
      </x:c>
      <x:c r="S1215" s="70" t="str">
        <x:v>Verified FY-end share basis; see Share Basis and Corporate Actions for source excerpts and normalization. Original source metadata superseded where the basis changed.</x:v>
      </x:c>
    </x:row>
    <x:row r="1216" ht="15" hidden="0">
      <x:c r="A1216" s="70" t="s">
        <x:v>2163</x:v>
      </x:c>
      <x:c r="B1216" s="70" t="s">
        <x:v>36</x:v>
      </x:c>
      <x:c r="C1216" s="70" t="s">
        <x:v>104</x:v>
      </x:c>
      <x:c r="D1216" s="70" t="s">
        <x:v>304</x:v>
      </x:c>
      <x:c r="E1216" s="70" t="s">
        <x:v>855</x:v>
      </x:c>
      <x:c r="F1216" s="70" t="s">
        <x:v>1260</x:v>
      </x:c>
      <x:c r="G1216" s="70" t="s">
        <x:v>1751</x:v>
      </x:c>
      <x:c r="H1216" s="70" t="s">
        <x:v>845</x:v>
      </x:c>
      <x:c r="I1216" s="70" t="s">
        <x:v>852</x:v>
      </x:c>
      <x:c r="J1216" s="70" t="n">
        <x:v>205</x:v>
      </x:c>
      <x:c r="K1216" s="70" t="s">
        <x:v>2164</x:v>
      </x:c>
      <x:c r="L1216" s="70"/>
      <x:c r="M1216" s="70" t="s">
        <x:v>306</x:v>
      </x:c>
      <x:c r="N1216" s="70" t="n">
        <x:v>10</x:v>
      </x:c>
      <x:c r="O1216" s="70" t="n">
        <x:f aca="0">N1216</x:f>
        <x:v>10</x:v>
      </x:c>
      <x:c r="P1216" s="74" t="n">
        <x:f aca="0">DGKC!G127</x:f>
        <x:v>10</x:v>
      </x:c>
      <x:c r="Q1216" s="70" t="str">
        <x:f aca="0">IF(ABS(O1216-P1216)&lt;0.000001,"PASS","FAIL")</x:f>
        <x:v>PASS</x:v>
      </x:c>
      <x:c r="R1216" s="70" t="s">
        <x:v>33</x:v>
      </x:c>
      <x:c r="S1216" s="70" t="str">
        <x:v>Verified FY-end share basis; see Share Basis and Corporate Actions for source excerpts and normalization. Original source metadata superseded where the basis changed.</x:v>
      </x:c>
    </x:row>
    <x:row r="1217" ht="15" hidden="0">
      <x:c r="A1217" s="70" t="s">
        <x:v>2165</x:v>
      </x:c>
      <x:c r="B1217" s="70" t="s">
        <x:v>36</x:v>
      </x:c>
      <x:c r="C1217" s="70" t="s">
        <x:v>105</x:v>
      </x:c>
      <x:c r="D1217" s="70" t="s">
        <x:v>304</x:v>
      </x:c>
      <x:c r="E1217" s="70" t="s">
        <x:v>855</x:v>
      </x:c>
      <x:c r="F1217" s="70" t="s">
        <x:v>1260</x:v>
      </x:c>
      <x:c r="G1217" s="70" t="s">
        <x:v>1753</x:v>
      </x:c>
      <x:c r="H1217" s="70" t="s">
        <x:v>849</x:v>
      </x:c>
      <x:c r="I1217" s="70" t="s">
        <x:v>852</x:v>
      </x:c>
      <x:c r="J1217" s="70" t="n">
        <x:v>210</x:v>
      </x:c>
      <x:c r="K1217" s="70" t="s">
        <x:v>2166</x:v>
      </x:c>
      <x:c r="L1217" s="70"/>
      <x:c r="M1217" s="70" t="s">
        <x:v>306</x:v>
      </x:c>
      <x:c r="N1217" s="70" t="n">
        <x:v>10</x:v>
      </x:c>
      <x:c r="O1217" s="70" t="n">
        <x:f aca="0">N1217</x:f>
        <x:v>10</x:v>
      </x:c>
      <x:c r="P1217" s="74" t="n">
        <x:f aca="0">DGKC!H127</x:f>
        <x:v>10</x:v>
      </x:c>
      <x:c r="Q1217" s="70" t="str">
        <x:f aca="0">IF(ABS(O1217-P1217)&lt;0.000001,"PASS","FAIL")</x:f>
        <x:v>PASS</x:v>
      </x:c>
      <x:c r="R1217" s="70" t="s">
        <x:v>33</x:v>
      </x:c>
      <x:c r="S1217" s="70" t="str">
        <x:v>Verified FY-end share basis; see Share Basis and Corporate Actions for source excerpts and normalization. Original source metadata superseded where the basis changed.</x:v>
      </x:c>
    </x:row>
    <x:row r="1218" ht="15" hidden="0">
      <x:c r="A1218" s="70" t="s">
        <x:v>2167</x:v>
      </x:c>
      <x:c r="B1218" s="70" t="s">
        <x:v>36</x:v>
      </x:c>
      <x:c r="C1218" s="70" t="s">
        <x:v>101</x:v>
      </x:c>
      <x:c r="D1218" s="70" t="s">
        <x:v>310</x:v>
      </x:c>
      <x:c r="E1218" s="70" t="s">
        <x:v>855</x:v>
      </x:c>
      <x:c r="F1218" s="70" t="s">
        <x:v>1267</x:v>
      </x:c>
      <x:c r="G1218" s="70" t="str">
        <x:v>DG_Annual_Report_2021.pdf</x:v>
      </x:c>
      <x:c r="H1218" s="70" t="s">
        <x:v>832</x:v>
      </x:c>
      <x:c r="I1218" s="70" t="s">
        <x:v>852</x:v>
      </x:c>
      <x:c r="J1218" s="70" t="n">
        <x:v>155</x:v>
      </x:c>
      <x:c r="K1218" s="70" t="s">
        <x:v>1905</x:v>
      </x:c>
      <x:c r="L1218" s="70"/>
      <x:c r="M1218" s="70" t="s">
        <x:v>309</x:v>
      </x:c>
      <x:c r="N1218" s="70" t="n">
        <x:v>438.119118</x:v>
      </x:c>
      <x:c r="O1218" s="70" t="n">
        <x:f aca="0">N1218</x:f>
        <x:v>438.119118</x:v>
      </x:c>
      <x:c r="P1218" s="72" t="n">
        <x:f aca="0">DGKC!D129</x:f>
        <x:v>438.119118</x:v>
      </x:c>
      <x:c r="Q1218" s="70" t="str">
        <x:f aca="0">IF(ABS(O1218-P1218)&lt;0.000001,"PASS","FAIL")</x:f>
        <x:v>PASS</x:v>
      </x:c>
      <x:c r="R1218" s="70" t="s">
        <x:v>33</x:v>
      </x:c>
      <x:c r="S1218" s="70" t="str">
        <x:v>Verified FY-end share basis; see Share Basis and Corporate Actions for source excerpts and normalization. Original source metadata superseded where the basis changed.</x:v>
      </x:c>
    </x:row>
    <x:row r="1219" ht="15" hidden="0">
      <x:c r="A1219" s="70" t="s">
        <x:v>2168</x:v>
      </x:c>
      <x:c r="B1219" s="70" t="s">
        <x:v>36</x:v>
      </x:c>
      <x:c r="C1219" s="70" t="s">
        <x:v>102</x:v>
      </x:c>
      <x:c r="D1219" s="70" t="s">
        <x:v>310</x:v>
      </x:c>
      <x:c r="E1219" s="70" t="s">
        <x:v>855</x:v>
      </x:c>
      <x:c r="F1219" s="70" t="s">
        <x:v>1267</x:v>
      </x:c>
      <x:c r="G1219" s="70" t="str">
        <x:v>DG_Annual_Report_2022.pdf</x:v>
      </x:c>
      <x:c r="H1219" s="70" t="s">
        <x:v>838</x:v>
      </x:c>
      <x:c r="I1219" s="70" t="s">
        <x:v>852</x:v>
      </x:c>
      <x:c r="J1219" s="70" t="n">
        <x:v>177</x:v>
      </x:c>
      <x:c r="K1219" s="70" t="s">
        <x:v>2087</x:v>
      </x:c>
      <x:c r="L1219" s="70"/>
      <x:c r="M1219" s="70" t="s">
        <x:v>309</x:v>
      </x:c>
      <x:c r="N1219" s="70" t="n">
        <x:v>438.119118</x:v>
      </x:c>
      <x:c r="O1219" s="70" t="n">
        <x:f aca="0">N1219</x:f>
        <x:v>438.119118</x:v>
      </x:c>
      <x:c r="P1219" s="72" t="n">
        <x:f aca="0">DGKC!E129</x:f>
        <x:v>438.119118</x:v>
      </x:c>
      <x:c r="Q1219" s="70" t="str">
        <x:f aca="0">IF(ABS(O1219-P1219)&lt;0.000001,"PASS","FAIL")</x:f>
        <x:v>PASS</x:v>
      </x:c>
      <x:c r="R1219" s="70" t="s">
        <x:v>33</x:v>
      </x:c>
      <x:c r="S1219" s="70" t="str">
        <x:v>Verified FY-end share basis; see Share Basis and Corporate Actions for source excerpts and normalization. Original source metadata superseded where the basis changed.</x:v>
      </x:c>
    </x:row>
    <x:row r="1220" ht="15" hidden="0">
      <x:c r="A1220" s="70" t="s">
        <x:v>2169</x:v>
      </x:c>
      <x:c r="B1220" s="70" t="s">
        <x:v>36</x:v>
      </x:c>
      <x:c r="C1220" s="70" t="s">
        <x:v>103</x:v>
      </x:c>
      <x:c r="D1220" s="70" t="s">
        <x:v>310</x:v>
      </x:c>
      <x:c r="E1220" s="70" t="s">
        <x:v>855</x:v>
      </x:c>
      <x:c r="F1220" s="70" t="s">
        <x:v>1267</x:v>
      </x:c>
      <x:c r="G1220" s="70" t="str">
        <x:v>DGAnnual2023.pdf</x:v>
      </x:c>
      <x:c r="H1220" s="70" t="s">
        <x:v>842</x:v>
      </x:c>
      <x:c r="I1220" s="70" t="s">
        <x:v>852</x:v>
      </x:c>
      <x:c r="J1220" s="70" t="n">
        <x:v>202</x:v>
      </x:c>
      <x:c r="K1220" s="70" t="s">
        <x:v>2162</x:v>
      </x:c>
      <x:c r="L1220" s="70"/>
      <x:c r="M1220" s="70" t="s">
        <x:v>309</x:v>
      </x:c>
      <x:c r="N1220" s="70" t="n">
        <x:v>438.119118</x:v>
      </x:c>
      <x:c r="O1220" s="70" t="n">
        <x:f aca="0">N1220</x:f>
        <x:v>438.119118</x:v>
      </x:c>
      <x:c r="P1220" s="72" t="n">
        <x:f aca="0">DGKC!F129</x:f>
        <x:v>438.119118</x:v>
      </x:c>
      <x:c r="Q1220" s="70" t="str">
        <x:f aca="0">IF(ABS(O1220-P1220)&lt;0.000001,"PASS","FAIL")</x:f>
        <x:v>PASS</x:v>
      </x:c>
      <x:c r="R1220" s="70" t="s">
        <x:v>33</x:v>
      </x:c>
      <x:c r="S1220" s="70" t="str">
        <x:v>Verified FY-end share basis; see Share Basis and Corporate Actions for source excerpts and normalization. Original source metadata superseded where the basis changed.</x:v>
      </x:c>
    </x:row>
    <x:row r="1221" ht="15" hidden="0">
      <x:c r="A1221" s="70" t="s">
        <x:v>2170</x:v>
      </x:c>
      <x:c r="B1221" s="70" t="s">
        <x:v>36</x:v>
      </x:c>
      <x:c r="C1221" s="70" t="s">
        <x:v>104</x:v>
      </x:c>
      <x:c r="D1221" s="70" t="s">
        <x:v>310</x:v>
      </x:c>
      <x:c r="E1221" s="70" t="s">
        <x:v>855</x:v>
      </x:c>
      <x:c r="F1221" s="70" t="s">
        <x:v>1267</x:v>
      </x:c>
      <x:c r="G1221" s="70" t="str">
        <x:v>DGAnnual2024.pdf</x:v>
      </x:c>
      <x:c r="H1221" s="70" t="s">
        <x:v>845</x:v>
      </x:c>
      <x:c r="I1221" s="70" t="s">
        <x:v>852</x:v>
      </x:c>
      <x:c r="J1221" s="70" t="n">
        <x:v>205</x:v>
      </x:c>
      <x:c r="K1221" s="70" t="s">
        <x:v>2164</x:v>
      </x:c>
      <x:c r="L1221" s="70"/>
      <x:c r="M1221" s="70" t="s">
        <x:v>309</x:v>
      </x:c>
      <x:c r="N1221" s="70" t="n">
        <x:v>438.119118</x:v>
      </x:c>
      <x:c r="O1221" s="70" t="n">
        <x:f aca="0">N1221</x:f>
        <x:v>438.119118</x:v>
      </x:c>
      <x:c r="P1221" s="72" t="n">
        <x:f aca="0">DGKC!G129</x:f>
        <x:v>438.119118</x:v>
      </x:c>
      <x:c r="Q1221" s="70" t="str">
        <x:f aca="0">IF(ABS(O1221-P1221)&lt;0.000001,"PASS","FAIL")</x:f>
        <x:v>PASS</x:v>
      </x:c>
      <x:c r="R1221" s="70" t="s">
        <x:v>33</x:v>
      </x:c>
      <x:c r="S1221" s="70" t="str">
        <x:v>Verified FY-end share basis; see Share Basis and Corporate Actions for source excerpts and normalization. Original source metadata superseded where the basis changed.</x:v>
      </x:c>
    </x:row>
    <x:row r="1222" ht="15" hidden="0">
      <x:c r="A1222" s="70" t="s">
        <x:v>2171</x:v>
      </x:c>
      <x:c r="B1222" s="70" t="s">
        <x:v>36</x:v>
      </x:c>
      <x:c r="C1222" s="70" t="s">
        <x:v>105</x:v>
      </x:c>
      <x:c r="D1222" s="70" t="s">
        <x:v>310</x:v>
      </x:c>
      <x:c r="E1222" s="70" t="s">
        <x:v>855</x:v>
      </x:c>
      <x:c r="F1222" s="70" t="s">
        <x:v>1267</x:v>
      </x:c>
      <x:c r="G1222" s="70" t="str">
        <x:v>DGAnnual2025.pdf</x:v>
      </x:c>
      <x:c r="H1222" s="70" t="s">
        <x:v>849</x:v>
      </x:c>
      <x:c r="I1222" s="70" t="s">
        <x:v>852</x:v>
      </x:c>
      <x:c r="J1222" s="70" t="n">
        <x:v>210</x:v>
      </x:c>
      <x:c r="K1222" s="70" t="s">
        <x:v>2166</x:v>
      </x:c>
      <x:c r="L1222" s="70"/>
      <x:c r="M1222" s="70" t="s">
        <x:v>309</x:v>
      </x:c>
      <x:c r="N1222" s="70" t="n">
        <x:v>438.119118</x:v>
      </x:c>
      <x:c r="O1222" s="70" t="n">
        <x:f aca="0">N1222</x:f>
        <x:v>438.119118</x:v>
      </x:c>
      <x:c r="P1222" s="72" t="n">
        <x:f aca="0">DGKC!H129</x:f>
        <x:v>438.119118</x:v>
      </x:c>
      <x:c r="Q1222" s="70" t="str">
        <x:f aca="0">IF(ABS(O1222-P1222)&lt;0.000001,"PASS","FAIL")</x:f>
        <x:v>PASS</x:v>
      </x:c>
      <x:c r="R1222" s="70" t="s">
        <x:v>33</x:v>
      </x:c>
      <x:c r="S1222" s="70" t="str">
        <x:v>Verified FY-end share basis; see Share Basis and Corporate Actions for source excerpts and normalization. Original source metadata superseded where the basis changed.</x:v>
      </x:c>
    </x:row>
    <x:row r="1223" ht="15" hidden="0">
      <x:c r="A1223" s="70" t="s">
        <x:v>2172</x:v>
      </x:c>
      <x:c r="B1223" s="70" t="s">
        <x:v>36</x:v>
      </x:c>
      <x:c r="C1223" s="70" t="s">
        <x:v>101</x:v>
      </x:c>
      <x:c r="D1223" s="70" t="str">
        <x:v>Actual FY-end closing price (Rs; unadjusted)</x:v>
      </x:c>
      <x:c r="E1223" s="70" t="s">
        <x:v>855</x:v>
      </x:c>
      <x:c r="F1223" s="70" t="str">
        <x:v>Official PSX historical CLOSE column</x:v>
      </x:c>
      <x:c r="G1223" s="70" t="str">
        <x:v>PSX historical response; hash and raw row on Price Evidence</x:v>
      </x:c>
      <x:c r="H1223" s="70" t="str">
        <x:v>https://dps.psx.com.pk/historical</x:v>
      </x:c>
      <x:c r="I1223" s="70" t="str">
        <x:v>POST date=2021-06-30</x:v>
      </x:c>
      <x:c r="J1223" s="70"/>
      <x:c r="K1223" s="70"/>
      <x:c r="L1223" s="70"/>
      <x:c r="M1223" s="70" t="s">
        <x:v>306</x:v>
      </x:c>
      <x:c r="N1223" s="70" t="n">
        <x:v>117.92</x:v>
      </x:c>
      <x:c r="O1223" s="70" t="n">
        <x:f aca="0">N1223</x:f>
        <x:v>117.92</x:v>
      </x:c>
      <x:c r="P1223" s="74" t="n">
        <x:f aca="0">DGKC!D130</x:f>
        <x:v>117.92</x:v>
      </x:c>
      <x:c r="Q1223" s="70" t="str">
        <x:f aca="0">IF(ABS(O1223-P1223)&lt;0.000001,"PASS","FAIL")</x:f>
        <x:v>PASS</x:v>
      </x:c>
      <x:c r="R1223" s="70" t="s">
        <x:v>33</x:v>
      </x:c>
      <x:c r="S1223" s="70" t="str">
        <x:v>Unadjusted traded close. No split factor applied to PSX price. Original report figure and date evidence preserved on PSX Prices / Price Evidence.</x:v>
      </x:c>
    </x:row>
    <x:row r="1224" ht="15" hidden="0">
      <x:c r="A1224" s="70" t="s">
        <x:v>2173</x:v>
      </x:c>
      <x:c r="B1224" s="70" t="s">
        <x:v>36</x:v>
      </x:c>
      <x:c r="C1224" s="70" t="s">
        <x:v>102</x:v>
      </x:c>
      <x:c r="D1224" s="70" t="str">
        <x:v>Actual FY-end closing price (Rs; unadjusted)</x:v>
      </x:c>
      <x:c r="E1224" s="70" t="s">
        <x:v>855</x:v>
      </x:c>
      <x:c r="F1224" s="70" t="str">
        <x:v>Official PSX historical CLOSE column</x:v>
      </x:c>
      <x:c r="G1224" s="70" t="str">
        <x:v>PSX historical response; hash and raw row on Price Evidence</x:v>
      </x:c>
      <x:c r="H1224" s="70" t="str">
        <x:v>https://dps.psx.com.pk/historical</x:v>
      </x:c>
      <x:c r="I1224" s="70" t="str">
        <x:v>POST date=2022-06-30</x:v>
      </x:c>
      <x:c r="J1224" s="70"/>
      <x:c r="K1224" s="70"/>
      <x:c r="L1224" s="70"/>
      <x:c r="M1224" s="70" t="s">
        <x:v>306</x:v>
      </x:c>
      <x:c r="N1224" s="70" t="n">
        <x:v>62.5</x:v>
      </x:c>
      <x:c r="O1224" s="70" t="n">
        <x:f aca="0">N1224</x:f>
        <x:v>62.5</x:v>
      </x:c>
      <x:c r="P1224" s="74" t="n">
        <x:f aca="0">DGKC!E130</x:f>
        <x:v>62.5</x:v>
      </x:c>
      <x:c r="Q1224" s="70" t="str">
        <x:f aca="0">IF(ABS(O1224-P1224)&lt;0.000001,"PASS","FAIL")</x:f>
        <x:v>PASS</x:v>
      </x:c>
      <x:c r="R1224" s="70" t="s">
        <x:v>33</x:v>
      </x:c>
      <x:c r="S1224" s="70" t="str">
        <x:v>Unadjusted traded close. No split factor applied to PSX price. Original report figure and date evidence preserved on PSX Prices / Price Evidence.</x:v>
      </x:c>
    </x:row>
    <x:row r="1225" ht="15" hidden="0">
      <x:c r="A1225" s="70" t="s">
        <x:v>2174</x:v>
      </x:c>
      <x:c r="B1225" s="70" t="s">
        <x:v>36</x:v>
      </x:c>
      <x:c r="C1225" s="70" t="s">
        <x:v>103</x:v>
      </x:c>
      <x:c r="D1225" s="70" t="str">
        <x:v>Actual FY-end closing price (Rs; unadjusted)</x:v>
      </x:c>
      <x:c r="E1225" s="70" t="s">
        <x:v>855</x:v>
      </x:c>
      <x:c r="F1225" s="70" t="str">
        <x:v>Official PSX historical CLOSE column</x:v>
      </x:c>
      <x:c r="G1225" s="70" t="str">
        <x:v>PSX historical response; hash and raw row on Price Evidence</x:v>
      </x:c>
      <x:c r="H1225" s="70" t="str">
        <x:v>https://dps.psx.com.pk/historical</x:v>
      </x:c>
      <x:c r="I1225" s="70" t="str">
        <x:v>POST date=2023-06-27</x:v>
      </x:c>
      <x:c r="J1225" s="70"/>
      <x:c r="K1225" s="70"/>
      <x:c r="L1225" s="70"/>
      <x:c r="M1225" s="70" t="s">
        <x:v>306</x:v>
      </x:c>
      <x:c r="N1225" s="70" t="n">
        <x:v>51.3</x:v>
      </x:c>
      <x:c r="O1225" s="70" t="n">
        <x:f aca="0">N1225</x:f>
        <x:v>51.3</x:v>
      </x:c>
      <x:c r="P1225" s="74" t="n">
        <x:f aca="0">DGKC!F130</x:f>
        <x:v>51.3</x:v>
      </x:c>
      <x:c r="Q1225" s="70" t="str">
        <x:f aca="0">IF(ABS(O1225-P1225)&lt;0.000001,"PASS","FAIL")</x:f>
        <x:v>PASS</x:v>
      </x:c>
      <x:c r="R1225" s="70" t="s">
        <x:v>33</x:v>
      </x:c>
      <x:c r="S1225" s="70" t="str">
        <x:v>Unadjusted traded close. No split factor applied to PSX price. Original report figure and date evidence preserved on PSX Prices / Price Evidence.</x:v>
      </x:c>
    </x:row>
    <x:row r="1226" ht="15" hidden="0">
      <x:c r="A1226" s="70" t="s">
        <x:v>2175</x:v>
      </x:c>
      <x:c r="B1226" s="70" t="s">
        <x:v>36</x:v>
      </x:c>
      <x:c r="C1226" s="70" t="s">
        <x:v>104</x:v>
      </x:c>
      <x:c r="D1226" s="70" t="str">
        <x:v>Actual FY-end closing price (Rs; unadjusted)</x:v>
      </x:c>
      <x:c r="E1226" s="70" t="s">
        <x:v>855</x:v>
      </x:c>
      <x:c r="F1226" s="70" t="str">
        <x:v>Official PSX historical CLOSE column</x:v>
      </x:c>
      <x:c r="G1226" s="70" t="str">
        <x:v>PSX historical response; hash and raw row on Price Evidence</x:v>
      </x:c>
      <x:c r="H1226" s="70" t="str">
        <x:v>https://dps.psx.com.pk/historical</x:v>
      </x:c>
      <x:c r="I1226" s="70" t="str">
        <x:v>POST date=2024-06-28</x:v>
      </x:c>
      <x:c r="J1226" s="70"/>
      <x:c r="K1226" s="70"/>
      <x:c r="L1226" s="70"/>
      <x:c r="M1226" s="70" t="s">
        <x:v>306</x:v>
      </x:c>
      <x:c r="N1226" s="70" t="n">
        <x:v>90.27</x:v>
      </x:c>
      <x:c r="O1226" s="70" t="n">
        <x:f aca="0">N1226</x:f>
        <x:v>90.27</x:v>
      </x:c>
      <x:c r="P1226" s="74" t="n">
        <x:f aca="0">DGKC!G130</x:f>
        <x:v>90.27</x:v>
      </x:c>
      <x:c r="Q1226" s="70" t="str">
        <x:f aca="0">IF(ABS(O1226-P1226)&lt;0.000001,"PASS","FAIL")</x:f>
        <x:v>PASS</x:v>
      </x:c>
      <x:c r="R1226" s="70" t="s">
        <x:v>33</x:v>
      </x:c>
      <x:c r="S1226" s="70" t="str">
        <x:v>Unadjusted traded close. No split factor applied to PSX price. Original report figure and date evidence preserved on PSX Prices / Price Evidence.</x:v>
      </x:c>
    </x:row>
    <x:row r="1227" ht="15" hidden="0">
      <x:c r="A1227" s="70" t="s">
        <x:v>2176</x:v>
      </x:c>
      <x:c r="B1227" s="70" t="s">
        <x:v>36</x:v>
      </x:c>
      <x:c r="C1227" s="70" t="s">
        <x:v>105</x:v>
      </x:c>
      <x:c r="D1227" s="70" t="str">
        <x:v>Actual FY-end closing price (Rs; unadjusted)</x:v>
      </x:c>
      <x:c r="E1227" s="70" t="s">
        <x:v>855</x:v>
      </x:c>
      <x:c r="F1227" s="70" t="str">
        <x:v>Official PSX historical CLOSE column</x:v>
      </x:c>
      <x:c r="G1227" s="70" t="str">
        <x:v>PSX historical response; hash and raw row on Price Evidence</x:v>
      </x:c>
      <x:c r="H1227" s="70" t="str">
        <x:v>https://dps.psx.com.pk/historical</x:v>
      </x:c>
      <x:c r="I1227" s="70" t="str">
        <x:v>POST date=2025-06-30</x:v>
      </x:c>
      <x:c r="J1227" s="70"/>
      <x:c r="K1227" s="70"/>
      <x:c r="L1227" s="70"/>
      <x:c r="M1227" s="70" t="s">
        <x:v>306</x:v>
      </x:c>
      <x:c r="N1227" s="70" t="n">
        <x:v>165.56</x:v>
      </x:c>
      <x:c r="O1227" s="70" t="n">
        <x:f aca="0">N1227</x:f>
        <x:v>165.56</x:v>
      </x:c>
      <x:c r="P1227" s="74" t="n">
        <x:f aca="0">DGKC!H130</x:f>
        <x:v>165.56</x:v>
      </x:c>
      <x:c r="Q1227" s="70" t="str">
        <x:f aca="0">IF(ABS(O1227-P1227)&lt;0.000001,"PASS","FAIL")</x:f>
        <x:v>PASS</x:v>
      </x:c>
      <x:c r="R1227" s="70" t="s">
        <x:v>33</x:v>
      </x:c>
      <x:c r="S1227" s="70" t="str">
        <x:v>Unadjusted traded close. No split factor applied to PSX price. Original report figure and date evidence preserved on PSX Prices / Price Evidence.</x:v>
      </x:c>
    </x:row>
    <x:row r="1228" ht="15" hidden="0">
      <x:c r="A1228" s="70" t="s">
        <x:v>2177</x:v>
      </x:c>
      <x:c r="B1228" s="70" t="s">
        <x:v>36</x:v>
      </x:c>
      <x:c r="C1228" s="70" t="s">
        <x:v>101</x:v>
      </x:c>
      <x:c r="D1228" s="70" t="s">
        <x:v>313</x:v>
      </x:c>
      <x:c r="E1228" s="70" t="s">
        <x:v>855</x:v>
      </x:c>
      <x:c r="F1228" s="70" t="s">
        <x:v>1278</x:v>
      </x:c>
      <x:c r="G1228" s="70" t="s">
        <x:v>1753</x:v>
      </x:c>
      <x:c r="H1228" s="70" t="s">
        <x:v>849</x:v>
      </x:c>
      <x:c r="I1228" s="70" t="s">
        <x:v>833</x:v>
      </x:c>
      <x:c r="J1228" s="70" t="n">
        <x:v>108</x:v>
      </x:c>
      <x:c r="K1228" s="70" t="s">
        <x:v>2178</x:v>
      </x:c>
      <x:c r="L1228" s="70"/>
      <x:c r="M1228" s="70" t="s">
        <x:v>306</x:v>
      </x:c>
      <x:c r="N1228" s="70" t="n">
        <x:v>1</x:v>
      </x:c>
      <x:c r="O1228" s="70" t="n">
        <x:f aca="0">N1228</x:f>
        <x:v>1</x:v>
      </x:c>
      <x:c r="P1228" s="74" t="n">
        <x:f aca="0">DGKC!D131</x:f>
        <x:v>1</x:v>
      </x:c>
      <x:c r="Q1228" s="70" t="str">
        <x:f aca="0">IF(ABS(O1228-P1228)&lt;0.000001,"PASS","FAIL")</x:f>
        <x:v>PASS</x:v>
      </x:c>
      <x:c r="R1228" s="70" t="s">
        <x:v>33</x:v>
      </x:c>
      <x:c r="S1228" s="70" t="str">
        <x:v>Verified FY-end share basis; see Share Basis and Corporate Actions for source excerpts and normalization. Original source metadata superseded where the basis changed.</x:v>
      </x:c>
    </x:row>
    <x:row r="1229" ht="15" hidden="0">
      <x:c r="A1229" s="70" t="s">
        <x:v>2179</x:v>
      </x:c>
      <x:c r="B1229" s="70" t="s">
        <x:v>36</x:v>
      </x:c>
      <x:c r="C1229" s="70" t="s">
        <x:v>102</x:v>
      </x:c>
      <x:c r="D1229" s="70" t="s">
        <x:v>313</x:v>
      </x:c>
      <x:c r="E1229" s="70" t="s">
        <x:v>855</x:v>
      </x:c>
      <x:c r="F1229" s="70" t="s">
        <x:v>1278</x:v>
      </x:c>
      <x:c r="G1229" s="70" t="s">
        <x:v>1753</x:v>
      </x:c>
      <x:c r="H1229" s="70" t="s">
        <x:v>849</x:v>
      </x:c>
      <x:c r="I1229" s="70" t="s">
        <x:v>833</x:v>
      </x:c>
      <x:c r="J1229" s="70" t="n">
        <x:v>108</x:v>
      </x:c>
      <x:c r="K1229" s="70" t="s">
        <x:v>2178</x:v>
      </x:c>
      <x:c r="L1229" s="70"/>
      <x:c r="M1229" s="70" t="s">
        <x:v>306</x:v>
      </x:c>
      <x:c r="N1229" s="70" t="n">
        <x:v>1</x:v>
      </x:c>
      <x:c r="O1229" s="70" t="n">
        <x:f aca="0">N1229</x:f>
        <x:v>1</x:v>
      </x:c>
      <x:c r="P1229" s="74" t="n">
        <x:f aca="0">DGKC!E131</x:f>
        <x:v>1</x:v>
      </x:c>
      <x:c r="Q1229" s="70" t="str">
        <x:f aca="0">IF(ABS(O1229-P1229)&lt;0.000001,"PASS","FAIL")</x:f>
        <x:v>PASS</x:v>
      </x:c>
      <x:c r="R1229" s="70" t="s">
        <x:v>33</x:v>
      </x:c>
      <x:c r="S1229" s="70" t="str">
        <x:v>Verified FY-end share basis; see Share Basis and Corporate Actions for source excerpts and normalization. Original source metadata superseded where the basis changed.</x:v>
      </x:c>
    </x:row>
    <x:row r="1230" ht="15" hidden="0">
      <x:c r="A1230" s="70" t="s">
        <x:v>2180</x:v>
      </x:c>
      <x:c r="B1230" s="70" t="s">
        <x:v>36</x:v>
      </x:c>
      <x:c r="C1230" s="70" t="s">
        <x:v>103</x:v>
      </x:c>
      <x:c r="D1230" s="70" t="s">
        <x:v>313</x:v>
      </x:c>
      <x:c r="E1230" s="70" t="s">
        <x:v>855</x:v>
      </x:c>
      <x:c r="F1230" s="70" t="s">
        <x:v>1278</x:v>
      </x:c>
      <x:c r="G1230" s="70" t="s">
        <x:v>1753</x:v>
      </x:c>
      <x:c r="H1230" s="70" t="s">
        <x:v>849</x:v>
      </x:c>
      <x:c r="I1230" s="70" t="s">
        <x:v>833</x:v>
      </x:c>
      <x:c r="J1230" s="70" t="n">
        <x:v>108</x:v>
      </x:c>
      <x:c r="K1230" s="70" t="s">
        <x:v>2178</x:v>
      </x:c>
      <x:c r="L1230" s="70"/>
      <x:c r="M1230" s="70" t="s">
        <x:v>306</x:v>
      </x:c>
      <x:c r="N1230" s="70" t="n">
        <x:v>0</x:v>
      </x:c>
      <x:c r="O1230" s="70" t="n">
        <x:f aca="0">N1230</x:f>
        <x:v>0</x:v>
      </x:c>
      <x:c r="P1230" s="74" t="n">
        <x:f aca="0">DGKC!F131</x:f>
        <x:v>0</x:v>
      </x:c>
      <x:c r="Q1230" s="70" t="str">
        <x:f aca="0">IF(ABS(O1230-P1230)&lt;0.000001,"PASS","FAIL")</x:f>
        <x:v>PASS</x:v>
      </x:c>
      <x:c r="R1230" s="70" t="s">
        <x:v>33</x:v>
      </x:c>
      <x:c r="S1230" s="70" t="str">
        <x:v>Verified FY-end share basis; see Share Basis and Corporate Actions for source excerpts and normalization. Original source metadata superseded where the basis changed.</x:v>
      </x:c>
    </x:row>
    <x:row r="1231" ht="15" hidden="0">
      <x:c r="A1231" s="70" t="s">
        <x:v>2181</x:v>
      </x:c>
      <x:c r="B1231" s="70" t="s">
        <x:v>36</x:v>
      </x:c>
      <x:c r="C1231" s="70" t="s">
        <x:v>104</x:v>
      </x:c>
      <x:c r="D1231" s="70" t="s">
        <x:v>313</x:v>
      </x:c>
      <x:c r="E1231" s="70" t="s">
        <x:v>855</x:v>
      </x:c>
      <x:c r="F1231" s="70" t="s">
        <x:v>1278</x:v>
      </x:c>
      <x:c r="G1231" s="70" t="s">
        <x:v>1753</x:v>
      </x:c>
      <x:c r="H1231" s="70" t="s">
        <x:v>849</x:v>
      </x:c>
      <x:c r="I1231" s="70" t="s">
        <x:v>833</x:v>
      </x:c>
      <x:c r="J1231" s="70" t="n">
        <x:v>108</x:v>
      </x:c>
      <x:c r="K1231" s="70" t="s">
        <x:v>2178</x:v>
      </x:c>
      <x:c r="L1231" s="70"/>
      <x:c r="M1231" s="70" t="s">
        <x:v>306</x:v>
      </x:c>
      <x:c r="N1231" s="70" t="n">
        <x:v>0</x:v>
      </x:c>
      <x:c r="O1231" s="70" t="n">
        <x:f aca="0">N1231</x:f>
        <x:v>0</x:v>
      </x:c>
      <x:c r="P1231" s="74" t="n">
        <x:f aca="0">DGKC!G131</x:f>
        <x:v>0</x:v>
      </x:c>
      <x:c r="Q1231" s="70" t="str">
        <x:f aca="0">IF(ABS(O1231-P1231)&lt;0.000001,"PASS","FAIL")</x:f>
        <x:v>PASS</x:v>
      </x:c>
      <x:c r="R1231" s="70" t="s">
        <x:v>33</x:v>
      </x:c>
      <x:c r="S1231" s="70" t="str">
        <x:v>Verified FY-end share basis; see Share Basis and Corporate Actions for source excerpts and normalization. Original source metadata superseded where the basis changed.</x:v>
      </x:c>
    </x:row>
    <x:row r="1232" ht="15" hidden="0">
      <x:c r="A1232" s="70" t="s">
        <x:v>2182</x:v>
      </x:c>
      <x:c r="B1232" s="70" t="s">
        <x:v>36</x:v>
      </x:c>
      <x:c r="C1232" s="70" t="s">
        <x:v>105</x:v>
      </x:c>
      <x:c r="D1232" s="70" t="s">
        <x:v>313</x:v>
      </x:c>
      <x:c r="E1232" s="70" t="s">
        <x:v>855</x:v>
      </x:c>
      <x:c r="F1232" s="70" t="s">
        <x:v>1278</x:v>
      </x:c>
      <x:c r="G1232" s="70" t="s">
        <x:v>1753</x:v>
      </x:c>
      <x:c r="H1232" s="70" t="s">
        <x:v>849</x:v>
      </x:c>
      <x:c r="I1232" s="70" t="s">
        <x:v>852</x:v>
      </x:c>
      <x:c r="J1232" s="70" t="n">
        <x:v>108</x:v>
      </x:c>
      <x:c r="K1232" s="70" t="s">
        <x:v>2178</x:v>
      </x:c>
      <x:c r="L1232" s="70"/>
      <x:c r="M1232" s="70" t="s">
        <x:v>306</x:v>
      </x:c>
      <x:c r="N1232" s="70" t="n">
        <x:v>2</x:v>
      </x:c>
      <x:c r="O1232" s="70" t="n">
        <x:f aca="0">N1232</x:f>
        <x:v>2</x:v>
      </x:c>
      <x:c r="P1232" s="74" t="n">
        <x:f aca="0">DGKC!H131</x:f>
        <x:v>2</x:v>
      </x:c>
      <x:c r="Q1232" s="70" t="str">
        <x:f aca="0">IF(ABS(O1232-P1232)&lt;0.000001,"PASS","FAIL")</x:f>
        <x:v>PASS</x:v>
      </x:c>
      <x:c r="R1232" s="70" t="s">
        <x:v>33</x:v>
      </x:c>
      <x:c r="S1232" s="70" t="str">
        <x:v>Verified FY-end share basis; see Share Basis and Corporate Actions for source excerpts and normalization. Original source metadata superseded where the basis changed.</x:v>
      </x:c>
    </x:row>
    <x:row r="1233" ht="15" hidden="0">
      <x:c r="A1233" s="70" t="s">
        <x:v>2183</x:v>
      </x:c>
      <x:c r="B1233" s="70" t="s">
        <x:v>36</x:v>
      </x:c>
      <x:c r="C1233" s="70" t="s">
        <x:v>101</x:v>
      </x:c>
      <x:c r="D1233" s="70" t="s">
        <x:v>1284</x:v>
      </x:c>
      <x:c r="E1233" s="70" t="s">
        <x:v>1106</x:v>
      </x:c>
      <x:c r="F1233" s="70" t="s">
        <x:v>1285</x:v>
      </x:c>
      <x:c r="G1233" s="70" t="str">
        <x:v>DG_Annual_Report_2021.pdf</x:v>
      </x:c>
      <x:c r="H1233" s="70" t="s">
        <x:v>832</x:v>
      </x:c>
      <x:c r="I1233" s="70" t="s">
        <x:v>852</x:v>
      </x:c>
      <x:c r="J1233" s="70" t="n">
        <x:v>155</x:v>
      </x:c>
      <x:c r="K1233" s="70" t="s">
        <x:v>1200</x:v>
      </x:c>
      <x:c r="L1233" s="70"/>
      <x:c r="M1233" s="70" t="s">
        <x:v>306</x:v>
      </x:c>
      <x:c r="N1233" s="70" t="n">
        <x:v>8.49</x:v>
      </x:c>
      <x:c r="O1233" s="70" t="n">
        <x:f aca="0">N1233</x:f>
        <x:v>8.49</x:v>
      </x:c>
      <x:c r="P1233" s="74" t="n">
        <x:f aca="0">DGKC!D132</x:f>
        <x:v>8.49</x:v>
      </x:c>
      <x:c r="Q1233" s="70" t="str">
        <x:f aca="0">IF(ABS(O1233-P1233)&lt;0.000001,"PASS","FAIL")</x:f>
        <x:v>PASS</x:v>
      </x:c>
      <x:c r="R1233" s="70" t="s">
        <x:v>33</x:v>
      </x:c>
      <x:c r="S1233" s="70" t="str">
        <x:v>Verified FY-end share basis; see Share Basis and Corporate Actions for source excerpts and normalization. Original source metadata superseded where the basis changed.</x:v>
      </x:c>
    </x:row>
    <x:row r="1234" ht="15" hidden="0">
      <x:c r="A1234" s="70" t="s">
        <x:v>2184</x:v>
      </x:c>
      <x:c r="B1234" s="70" t="s">
        <x:v>36</x:v>
      </x:c>
      <x:c r="C1234" s="70" t="s">
        <x:v>102</x:v>
      </x:c>
      <x:c r="D1234" s="70" t="s">
        <x:v>1284</x:v>
      </x:c>
      <x:c r="E1234" s="70" t="s">
        <x:v>1106</x:v>
      </x:c>
      <x:c r="F1234" s="70" t="s">
        <x:v>1285</x:v>
      </x:c>
      <x:c r="G1234" s="70" t="str">
        <x:v>DG_Annual_Report_2022.pdf</x:v>
      </x:c>
      <x:c r="H1234" s="70" t="s">
        <x:v>838</x:v>
      </x:c>
      <x:c r="I1234" s="70" t="s">
        <x:v>852</x:v>
      </x:c>
      <x:c r="J1234" s="70" t="n">
        <x:v>177</x:v>
      </x:c>
      <x:c r="K1234" s="70" t="s">
        <x:v>2002</x:v>
      </x:c>
      <x:c r="L1234" s="70"/>
      <x:c r="M1234" s="70" t="s">
        <x:v>306</x:v>
      </x:c>
      <x:c r="N1234" s="70" t="n">
        <x:v>6.78</x:v>
      </x:c>
      <x:c r="O1234" s="70" t="n">
        <x:f aca="0">N1234</x:f>
        <x:v>6.78</x:v>
      </x:c>
      <x:c r="P1234" s="74" t="n">
        <x:f aca="0">DGKC!E132</x:f>
        <x:v>6.78</x:v>
      </x:c>
      <x:c r="Q1234" s="70" t="str">
        <x:f aca="0">IF(ABS(O1234-P1234)&lt;0.000001,"PASS","FAIL")</x:f>
        <x:v>PASS</x:v>
      </x:c>
      <x:c r="R1234" s="70" t="s">
        <x:v>33</x:v>
      </x:c>
      <x:c r="S1234" s="70" t="str">
        <x:v>Verified FY-end share basis; see Share Basis and Corporate Actions for source excerpts and normalization. Original source metadata superseded where the basis changed.</x:v>
      </x:c>
    </x:row>
    <x:row r="1235" ht="15" hidden="0">
      <x:c r="A1235" s="70" t="s">
        <x:v>2185</x:v>
      </x:c>
      <x:c r="B1235" s="70" t="s">
        <x:v>36</x:v>
      </x:c>
      <x:c r="C1235" s="70" t="s">
        <x:v>103</x:v>
      </x:c>
      <x:c r="D1235" s="70" t="s">
        <x:v>1284</x:v>
      </x:c>
      <x:c r="E1235" s="70" t="s">
        <x:v>1106</x:v>
      </x:c>
      <x:c r="F1235" s="70" t="s">
        <x:v>1285</x:v>
      </x:c>
      <x:c r="G1235" s="70" t="str">
        <x:v>DGAnnual2023.pdf</x:v>
      </x:c>
      <x:c r="H1235" s="70" t="s">
        <x:v>842</x:v>
      </x:c>
      <x:c r="I1235" s="70" t="s">
        <x:v>852</x:v>
      </x:c>
      <x:c r="J1235" s="70" t="n">
        <x:v>202</x:v>
      </x:c>
      <x:c r="K1235" s="70" t="s">
        <x:v>1775</x:v>
      </x:c>
      <x:c r="L1235" s="70"/>
      <x:c r="M1235" s="70" t="s">
        <x:v>306</x:v>
      </x:c>
      <x:c r="N1235" s="70" t="n">
        <x:v>-8.3</x:v>
      </x:c>
      <x:c r="O1235" s="70" t="n">
        <x:f aca="0">N1235</x:f>
        <x:v>-8.3</x:v>
      </x:c>
      <x:c r="P1235" s="74" t="n">
        <x:f aca="0">DGKC!F132</x:f>
        <x:v>-8.3</x:v>
      </x:c>
      <x:c r="Q1235" s="70" t="str">
        <x:f aca="0">IF(ABS(O1235-P1235)&lt;0.000001,"PASS","FAIL")</x:f>
        <x:v>PASS</x:v>
      </x:c>
      <x:c r="R1235" s="70" t="s">
        <x:v>33</x:v>
      </x:c>
      <x:c r="S1235" s="70" t="str">
        <x:v>Verified FY-end share basis; see Share Basis and Corporate Actions for source excerpts and normalization. Original source metadata superseded where the basis changed.</x:v>
      </x:c>
    </x:row>
    <x:row r="1236" ht="15" hidden="0">
      <x:c r="A1236" s="70" t="s">
        <x:v>2186</x:v>
      </x:c>
      <x:c r="B1236" s="70" t="s">
        <x:v>36</x:v>
      </x:c>
      <x:c r="C1236" s="70" t="s">
        <x:v>104</x:v>
      </x:c>
      <x:c r="D1236" s="70" t="s">
        <x:v>1284</x:v>
      </x:c>
      <x:c r="E1236" s="70" t="s">
        <x:v>1106</x:v>
      </x:c>
      <x:c r="F1236" s="70" t="s">
        <x:v>1285</x:v>
      </x:c>
      <x:c r="G1236" s="70" t="str">
        <x:v>DGAnnual2024.pdf</x:v>
      </x:c>
      <x:c r="H1236" s="70" t="s">
        <x:v>845</x:v>
      </x:c>
      <x:c r="I1236" s="70" t="s">
        <x:v>852</x:v>
      </x:c>
      <x:c r="J1236" s="70" t="n">
        <x:v>205</x:v>
      </x:c>
      <x:c r="K1236" s="70" t="s">
        <x:v>1775</x:v>
      </x:c>
      <x:c r="L1236" s="70"/>
      <x:c r="M1236" s="70" t="s">
        <x:v>306</x:v>
      </x:c>
      <x:c r="N1236" s="70" t="n">
        <x:v>1.24</x:v>
      </x:c>
      <x:c r="O1236" s="70" t="n">
        <x:f aca="0">N1236</x:f>
        <x:v>1.24</x:v>
      </x:c>
      <x:c r="P1236" s="74" t="n">
        <x:f aca="0">DGKC!G132</x:f>
        <x:v>1.24</x:v>
      </x:c>
      <x:c r="Q1236" s="70" t="str">
        <x:f aca="0">IF(ABS(O1236-P1236)&lt;0.000001,"PASS","FAIL")</x:f>
        <x:v>PASS</x:v>
      </x:c>
      <x:c r="R1236" s="70" t="s">
        <x:v>33</x:v>
      </x:c>
      <x:c r="S1236" s="70" t="str">
        <x:v>Verified FY-end share basis; see Share Basis and Corporate Actions for source excerpts and normalization. Original source metadata superseded where the basis changed.</x:v>
      </x:c>
    </x:row>
    <x:row r="1237" ht="15" hidden="0">
      <x:c r="A1237" s="70" t="s">
        <x:v>2187</x:v>
      </x:c>
      <x:c r="B1237" s="70" t="s">
        <x:v>36</x:v>
      </x:c>
      <x:c r="C1237" s="70" t="s">
        <x:v>105</x:v>
      </x:c>
      <x:c r="D1237" s="70" t="s">
        <x:v>1284</x:v>
      </x:c>
      <x:c r="E1237" s="70" t="s">
        <x:v>1106</x:v>
      </x:c>
      <x:c r="F1237" s="70" t="s">
        <x:v>1285</x:v>
      </x:c>
      <x:c r="G1237" s="70" t="str">
        <x:v>DGAnnual2025.pdf</x:v>
      </x:c>
      <x:c r="H1237" s="70" t="s">
        <x:v>849</x:v>
      </x:c>
      <x:c r="I1237" s="70" t="s">
        <x:v>852</x:v>
      </x:c>
      <x:c r="J1237" s="70" t="n">
        <x:v>210</x:v>
      </x:c>
      <x:c r="K1237" s="70" t="s">
        <x:v>1905</x:v>
      </x:c>
      <x:c r="L1237" s="70"/>
      <x:c r="M1237" s="70" t="s">
        <x:v>306</x:v>
      </x:c>
      <x:c r="N1237" s="70" t="n">
        <x:v>19.8</x:v>
      </x:c>
      <x:c r="O1237" s="70" t="n">
        <x:f aca="0">N1237</x:f>
        <x:v>19.8</x:v>
      </x:c>
      <x:c r="P1237" s="74" t="n">
        <x:f aca="0">DGKC!H132</x:f>
        <x:v>19.8</x:v>
      </x:c>
      <x:c r="Q1237" s="70" t="str">
        <x:f aca="0">IF(ABS(O1237-P1237)&lt;0.000001,"PASS","FAIL")</x:f>
        <x:v>PASS</x:v>
      </x:c>
      <x:c r="R1237" s="70" t="s">
        <x:v>33</x:v>
      </x:c>
      <x:c r="S1237" s="70" t="str">
        <x:v>Verified FY-end share basis; see Share Basis and Corporate Actions for source excerpts and normalization. Original source metadata superseded where the basis changed.</x:v>
      </x:c>
    </x:row>
    <x:row r="1238" ht="15" hidden="0">
      <x:c r="A1238" s="70" t="s">
        <x:v>2188</x:v>
      </x:c>
      <x:c r="B1238" s="70" t="s">
        <x:v>36</x:v>
      </x:c>
      <x:c r="C1238" s="70" t="s">
        <x:v>101</x:v>
      </x:c>
      <x:c r="D1238" s="70" t="s">
        <x:v>1291</x:v>
      </x:c>
      <x:c r="E1238" s="70" t="s">
        <x:v>855</x:v>
      </x:c>
      <x:c r="F1238" s="70" t="s">
        <x:v>1292</x:v>
      </x:c>
      <x:c r="G1238" s="70" t="s">
        <x:v>1753</x:v>
      </x:c>
      <x:c r="H1238" s="70" t="s">
        <x:v>849</x:v>
      </x:c>
      <x:c r="I1238" s="70" t="s">
        <x:v>833</x:v>
      </x:c>
      <x:c r="J1238" s="70" t="n">
        <x:v>108</x:v>
      </x:c>
      <x:c r="K1238" s="70" t="s">
        <x:v>2178</x:v>
      </x:c>
      <x:c r="L1238" s="70"/>
      <x:c r="M1238" s="70" t="s">
        <x:v>319</x:v>
      </x:c>
      <x:c r="N1238" s="70" t="n">
        <x:v>1</x:v>
      </x:c>
      <x:c r="O1238" s="70" t="n">
        <x:f aca="0">N1238</x:f>
        <x:v>1</x:v>
      </x:c>
      <x:c r="P1238" s="74" t="n">
        <x:f aca="0">DGKC!D134</x:f>
        <x:v>1</x:v>
      </x:c>
      <x:c r="Q1238" s="70" t="str">
        <x:f aca="0">IF(ABS(O1238-P1238)&lt;0.000001,"PASS","FAIL")</x:f>
        <x:v>PASS</x:v>
      </x:c>
      <x:c r="R1238" s="70" t="s">
        <x:v>33</x:v>
      </x:c>
      <x:c r="S1238" s="70" t="str">
        <x:v>Verified FY-end share basis; see Share Basis and Corporate Actions for source excerpts and normalization. Original source metadata superseded where the basis changed.</x:v>
      </x:c>
    </x:row>
    <x:row r="1239" ht="15" hidden="0">
      <x:c r="A1239" s="70" t="s">
        <x:v>2189</x:v>
      </x:c>
      <x:c r="B1239" s="70" t="s">
        <x:v>36</x:v>
      </x:c>
      <x:c r="C1239" s="70" t="s">
        <x:v>102</x:v>
      </x:c>
      <x:c r="D1239" s="70" t="s">
        <x:v>1291</x:v>
      </x:c>
      <x:c r="E1239" s="70" t="s">
        <x:v>855</x:v>
      </x:c>
      <x:c r="F1239" s="70" t="s">
        <x:v>1292</x:v>
      </x:c>
      <x:c r="G1239" s="70" t="s">
        <x:v>1753</x:v>
      </x:c>
      <x:c r="H1239" s="70" t="s">
        <x:v>849</x:v>
      </x:c>
      <x:c r="I1239" s="70" t="s">
        <x:v>833</x:v>
      </x:c>
      <x:c r="J1239" s="70" t="n">
        <x:v>108</x:v>
      </x:c>
      <x:c r="K1239" s="70" t="s">
        <x:v>2178</x:v>
      </x:c>
      <x:c r="L1239" s="70"/>
      <x:c r="M1239" s="70" t="s">
        <x:v>319</x:v>
      </x:c>
      <x:c r="N1239" s="70" t="n">
        <x:v>1</x:v>
      </x:c>
      <x:c r="O1239" s="70" t="n">
        <x:f aca="0">N1239</x:f>
        <x:v>1</x:v>
      </x:c>
      <x:c r="P1239" s="74" t="n">
        <x:f aca="0">DGKC!E134</x:f>
        <x:v>1</x:v>
      </x:c>
      <x:c r="Q1239" s="70" t="str">
        <x:f aca="0">IF(ABS(O1239-P1239)&lt;0.000001,"PASS","FAIL")</x:f>
        <x:v>PASS</x:v>
      </x:c>
      <x:c r="R1239" s="70" t="s">
        <x:v>33</x:v>
      </x:c>
      <x:c r="S1239" s="70" t="str">
        <x:v>Verified FY-end share basis; see Share Basis and Corporate Actions for source excerpts and normalization. Original source metadata superseded where the basis changed.</x:v>
      </x:c>
    </x:row>
    <x:row r="1240" ht="15" hidden="0">
      <x:c r="A1240" s="70" t="s">
        <x:v>2190</x:v>
      </x:c>
      <x:c r="B1240" s="70" t="s">
        <x:v>36</x:v>
      </x:c>
      <x:c r="C1240" s="70" t="s">
        <x:v>103</x:v>
      </x:c>
      <x:c r="D1240" s="70" t="s">
        <x:v>1291</x:v>
      </x:c>
      <x:c r="E1240" s="70" t="s">
        <x:v>855</x:v>
      </x:c>
      <x:c r="F1240" s="70" t="s">
        <x:v>1292</x:v>
      </x:c>
      <x:c r="G1240" s="70" t="s">
        <x:v>1753</x:v>
      </x:c>
      <x:c r="H1240" s="70" t="s">
        <x:v>849</x:v>
      </x:c>
      <x:c r="I1240" s="70" t="s">
        <x:v>833</x:v>
      </x:c>
      <x:c r="J1240" s="70" t="n">
        <x:v>108</x:v>
      </x:c>
      <x:c r="K1240" s="70" t="s">
        <x:v>2178</x:v>
      </x:c>
      <x:c r="L1240" s="70"/>
      <x:c r="M1240" s="70" t="s">
        <x:v>319</x:v>
      </x:c>
      <x:c r="N1240" s="70" t="n">
        <x:v>1</x:v>
      </x:c>
      <x:c r="O1240" s="70" t="n">
        <x:f aca="0">N1240</x:f>
        <x:v>1</x:v>
      </x:c>
      <x:c r="P1240" s="74" t="n">
        <x:f aca="0">DGKC!F134</x:f>
        <x:v>1</x:v>
      </x:c>
      <x:c r="Q1240" s="70" t="str">
        <x:f aca="0">IF(ABS(O1240-P1240)&lt;0.000001,"PASS","FAIL")</x:f>
        <x:v>PASS</x:v>
      </x:c>
      <x:c r="R1240" s="70" t="s">
        <x:v>33</x:v>
      </x:c>
      <x:c r="S1240" s="70" t="str">
        <x:v>Verified FY-end share basis; see Share Basis and Corporate Actions for source excerpts and normalization. Original source metadata superseded where the basis changed.</x:v>
      </x:c>
    </x:row>
    <x:row r="1241" ht="15" hidden="0">
      <x:c r="A1241" s="70" t="s">
        <x:v>2191</x:v>
      </x:c>
      <x:c r="B1241" s="70" t="s">
        <x:v>36</x:v>
      </x:c>
      <x:c r="C1241" s="70" t="s">
        <x:v>104</x:v>
      </x:c>
      <x:c r="D1241" s="70" t="s">
        <x:v>1291</x:v>
      </x:c>
      <x:c r="E1241" s="70" t="s">
        <x:v>855</x:v>
      </x:c>
      <x:c r="F1241" s="70" t="s">
        <x:v>1292</x:v>
      </x:c>
      <x:c r="G1241" s="70" t="s">
        <x:v>1753</x:v>
      </x:c>
      <x:c r="H1241" s="70" t="s">
        <x:v>849</x:v>
      </x:c>
      <x:c r="I1241" s="70" t="s">
        <x:v>833</x:v>
      </x:c>
      <x:c r="J1241" s="70" t="n">
        <x:v>108</x:v>
      </x:c>
      <x:c r="K1241" s="70" t="s">
        <x:v>2178</x:v>
      </x:c>
      <x:c r="L1241" s="70"/>
      <x:c r="M1241" s="70" t="s">
        <x:v>319</x:v>
      </x:c>
      <x:c r="N1241" s="70" t="n">
        <x:v>1</x:v>
      </x:c>
      <x:c r="O1241" s="70" t="n">
        <x:f aca="0">N1241</x:f>
        <x:v>1</x:v>
      </x:c>
      <x:c r="P1241" s="74" t="n">
        <x:f aca="0">DGKC!G134</x:f>
        <x:v>1</x:v>
      </x:c>
      <x:c r="Q1241" s="70" t="str">
        <x:f aca="0">IF(ABS(O1241-P1241)&lt;0.000001,"PASS","FAIL")</x:f>
        <x:v>PASS</x:v>
      </x:c>
      <x:c r="R1241" s="70" t="s">
        <x:v>33</x:v>
      </x:c>
      <x:c r="S1241" s="70" t="str">
        <x:v>Verified FY-end share basis; see Share Basis and Corporate Actions for source excerpts and normalization. Original source metadata superseded where the basis changed.</x:v>
      </x:c>
    </x:row>
    <x:row r="1242" ht="15" hidden="0">
      <x:c r="A1242" s="70" t="s">
        <x:v>2192</x:v>
      </x:c>
      <x:c r="B1242" s="70" t="s">
        <x:v>36</x:v>
      </x:c>
      <x:c r="C1242" s="70" t="s">
        <x:v>105</x:v>
      </x:c>
      <x:c r="D1242" s="70" t="s">
        <x:v>1291</x:v>
      </x:c>
      <x:c r="E1242" s="70" t="s">
        <x:v>855</x:v>
      </x:c>
      <x:c r="F1242" s="70" t="s">
        <x:v>1292</x:v>
      </x:c>
      <x:c r="G1242" s="70" t="s">
        <x:v>1753</x:v>
      </x:c>
      <x:c r="H1242" s="70" t="s">
        <x:v>849</x:v>
      </x:c>
      <x:c r="I1242" s="70" t="s">
        <x:v>852</x:v>
      </x:c>
      <x:c r="J1242" s="70" t="n">
        <x:v>108</x:v>
      </x:c>
      <x:c r="K1242" s="70" t="s">
        <x:v>2178</x:v>
      </x:c>
      <x:c r="L1242" s="70"/>
      <x:c r="M1242" s="70" t="s">
        <x:v>319</x:v>
      </x:c>
      <x:c r="N1242" s="70" t="n">
        <x:v>1</x:v>
      </x:c>
      <x:c r="O1242" s="70" t="n">
        <x:f aca="0">N1242</x:f>
        <x:v>1</x:v>
      </x:c>
      <x:c r="P1242" s="74" t="n">
        <x:f aca="0">DGKC!H134</x:f>
        <x:v>1</x:v>
      </x:c>
      <x:c r="Q1242" s="70" t="str">
        <x:f aca="0">IF(ABS(O1242-P1242)&lt;0.000001,"PASS","FAIL")</x:f>
        <x:v>PASS</x:v>
      </x:c>
      <x:c r="R1242" s="70" t="s">
        <x:v>33</x:v>
      </x:c>
      <x:c r="S1242" s="70" t="str">
        <x:v>Verified FY-end share basis; see Share Basis and Corporate Actions for source excerpts and normalization. Original source metadata superseded where the basis changed.</x:v>
      </x:c>
    </x:row>
    <x:row r="1243" ht="15" hidden="0">
      <x:c r="A1243" s="70" t="s">
        <x:v>2193</x:v>
      </x:c>
      <x:c r="B1243" s="70" t="s">
        <x:v>41</x:v>
      </x:c>
      <x:c r="C1243" s="70" t="s">
        <x:v>717</x:v>
      </x:c>
      <x:c r="D1243" s="70" t="s">
        <x:v>109</x:v>
      </x:c>
      <x:c r="E1243" s="70" t="s">
        <x:v>763</x:v>
      </x:c>
      <x:c r="F1243" s="70" t="s">
        <x:v>830</x:v>
      </x:c>
      <x:c r="G1243" s="70" t="s">
        <x:v>1298</x:v>
      </x:c>
      <x:c r="H1243" s="70" t="s">
        <x:v>832</x:v>
      </x:c>
      <x:c r="I1243" s="70" t="s">
        <x:v>833</x:v>
      </x:c>
      <x:c r="J1243" s="70" t="n">
        <x:v>163</x:v>
      </x:c>
      <x:c r="K1243" s="70" t="s">
        <x:v>2194</x:v>
      </x:c>
      <x:c r="L1243" s="70" t="s">
        <x:v>904</x:v>
      </x:c>
      <x:c r="M1243" s="70" t="s">
        <x:v>39</x:v>
      </x:c>
      <x:c r="N1243" s="71" t="n">
        <x:v>44297941</x:v>
      </x:c>
      <x:c r="O1243" s="72" t="n">
        <x:f aca="0">N1243/1000</x:f>
        <x:v>44297.941</x:v>
      </x:c>
      <x:c r="P1243" s="73" t="n">
        <x:f aca="0">MLCF!C20</x:f>
        <x:v>44297.941</x:v>
      </x:c>
      <x:c r="Q1243" s="70" t="str">
        <x:f aca="0">IF(ABS(O1243-P1243)&lt;0.000001,"PASS","FAIL")</x:f>
        <x:v>PASS</x:v>
      </x:c>
      <x:c r="R1243" s="70" t="s">
        <x:v>33</x:v>
      </x:c>
      <x:c r="S1243" s="70"/>
    </x:row>
    <x:row r="1244" ht="15" hidden="0">
      <x:c r="A1244" s="70" t="s">
        <x:v>2195</x:v>
      </x:c>
      <x:c r="B1244" s="70" t="s">
        <x:v>41</x:v>
      </x:c>
      <x:c r="C1244" s="70" t="s">
        <x:v>101</x:v>
      </x:c>
      <x:c r="D1244" s="70" t="s">
        <x:v>109</x:v>
      </x:c>
      <x:c r="E1244" s="70" t="s">
        <x:v>763</x:v>
      </x:c>
      <x:c r="F1244" s="70" t="s">
        <x:v>830</x:v>
      </x:c>
      <x:c r="G1244" s="70" t="s">
        <x:v>1301</x:v>
      </x:c>
      <x:c r="H1244" s="70" t="s">
        <x:v>838</x:v>
      </x:c>
      <x:c r="I1244" s="70" t="s">
        <x:v>833</x:v>
      </x:c>
      <x:c r="J1244" s="70" t="n">
        <x:v>184</x:v>
      </x:c>
      <x:c r="K1244" s="70" t="s">
        <x:v>1940</x:v>
      </x:c>
      <x:c r="L1244" s="70" t="s">
        <x:v>904</x:v>
      </x:c>
      <x:c r="M1244" s="70" t="s">
        <x:v>39</x:v>
      </x:c>
      <x:c r="N1244" s="71" t="n">
        <x:v>44215539</x:v>
      </x:c>
      <x:c r="O1244" s="72" t="n">
        <x:f aca="0">N1244/1000</x:f>
        <x:v>44215.539</x:v>
      </x:c>
      <x:c r="P1244" s="73" t="n">
        <x:f aca="0">MLCF!D20</x:f>
        <x:v>44215.539</x:v>
      </x:c>
      <x:c r="Q1244" s="70" t="str">
        <x:f aca="0">IF(ABS(O1244-P1244)&lt;0.000001,"PASS","FAIL")</x:f>
        <x:v>PASS</x:v>
      </x:c>
      <x:c r="R1244" s="70" t="s">
        <x:v>33</x:v>
      </x:c>
      <x:c r="S1244" s="70"/>
    </x:row>
    <x:row r="1245" ht="15" hidden="0">
      <x:c r="A1245" s="70" t="s">
        <x:v>2196</x:v>
      </x:c>
      <x:c r="B1245" s="70" t="s">
        <x:v>41</x:v>
      </x:c>
      <x:c r="C1245" s="70" t="s">
        <x:v>102</x:v>
      </x:c>
      <x:c r="D1245" s="70" t="s">
        <x:v>109</x:v>
      </x:c>
      <x:c r="E1245" s="70" t="s">
        <x:v>763</x:v>
      </x:c>
      <x:c r="F1245" s="70" t="s">
        <x:v>830</x:v>
      </x:c>
      <x:c r="G1245" s="70" t="s">
        <x:v>1304</x:v>
      </x:c>
      <x:c r="H1245" s="70" t="s">
        <x:v>842</x:v>
      </x:c>
      <x:c r="I1245" s="70" t="s">
        <x:v>833</x:v>
      </x:c>
      <x:c r="J1245" s="70" t="n">
        <x:v>98</x:v>
      </x:c>
      <x:c r="K1245" s="70" t="s">
        <x:v>2197</x:v>
      </x:c>
      <x:c r="L1245" s="70"/>
      <x:c r="M1245" s="70" t="s">
        <x:v>39</x:v>
      </x:c>
      <x:c r="N1245" s="71" t="n">
        <x:v>56784840</x:v>
      </x:c>
      <x:c r="O1245" s="72" t="n">
        <x:f aca="0">N1245/1000</x:f>
        <x:v>56784.84</x:v>
      </x:c>
      <x:c r="P1245" s="73" t="n">
        <x:f aca="0">MLCF!E20</x:f>
        <x:v>56784.84</x:v>
      </x:c>
      <x:c r="Q1245" s="70" t="str">
        <x:f aca="0">IF(ABS(O1245-P1245)&lt;0.000001,"PASS","FAIL")</x:f>
        <x:v>PASS</x:v>
      </x:c>
      <x:c r="R1245" s="70" t="s">
        <x:v>33</x:v>
      </x:c>
      <x:c r="S1245" s="70"/>
    </x:row>
    <x:row r="1246" ht="15" hidden="0">
      <x:c r="A1246" s="70" t="s">
        <x:v>2198</x:v>
      </x:c>
      <x:c r="B1246" s="70" t="s">
        <x:v>41</x:v>
      </x:c>
      <x:c r="C1246" s="70" t="s">
        <x:v>103</x:v>
      </x:c>
      <x:c r="D1246" s="70" t="s">
        <x:v>109</x:v>
      </x:c>
      <x:c r="E1246" s="70" t="s">
        <x:v>763</x:v>
      </x:c>
      <x:c r="F1246" s="70" t="s">
        <x:v>830</x:v>
      </x:c>
      <x:c r="G1246" s="70" t="s">
        <x:v>1307</x:v>
      </x:c>
      <x:c r="H1246" s="70" t="s">
        <x:v>845</x:v>
      </x:c>
      <x:c r="I1246" s="70" t="s">
        <x:v>833</x:v>
      </x:c>
      <x:c r="J1246" s="70" t="n">
        <x:v>190</x:v>
      </x:c>
      <x:c r="K1246" s="70" t="s">
        <x:v>2199</x:v>
      </x:c>
      <x:c r="L1246" s="70" t="s">
        <x:v>904</x:v>
      </x:c>
      <x:c r="M1246" s="70" t="s">
        <x:v>39</x:v>
      </x:c>
      <x:c r="N1246" s="71" t="n">
        <x:v>62354608</x:v>
      </x:c>
      <x:c r="O1246" s="72" t="n">
        <x:f aca="0">N1246/1000</x:f>
        <x:v>62354.608</x:v>
      </x:c>
      <x:c r="P1246" s="73" t="n">
        <x:f aca="0">MLCF!F20</x:f>
        <x:v>62354.608</x:v>
      </x:c>
      <x:c r="Q1246" s="70" t="str">
        <x:f aca="0">IF(ABS(O1246-P1246)&lt;0.000001,"PASS","FAIL")</x:f>
        <x:v>PASS</x:v>
      </x:c>
      <x:c r="R1246" s="70" t="s">
        <x:v>33</x:v>
      </x:c>
      <x:c r="S1246" s="70"/>
    </x:row>
    <x:row r="1247" ht="15" hidden="0">
      <x:c r="A1247" s="70" t="s">
        <x:v>2200</x:v>
      </x:c>
      <x:c r="B1247" s="70" t="s">
        <x:v>41</x:v>
      </x:c>
      <x:c r="C1247" s="70" t="s">
        <x:v>104</x:v>
      </x:c>
      <x:c r="D1247" s="70" t="s">
        <x:v>109</x:v>
      </x:c>
      <x:c r="E1247" s="70" t="s">
        <x:v>763</x:v>
      </x:c>
      <x:c r="F1247" s="70" t="s">
        <x:v>830</x:v>
      </x:c>
      <x:c r="G1247" s="70" t="s">
        <x:v>1310</x:v>
      </x:c>
      <x:c r="H1247" s="70" t="s">
        <x:v>849</x:v>
      </x:c>
      <x:c r="I1247" s="70" t="s">
        <x:v>833</x:v>
      </x:c>
      <x:c r="J1247" s="70" t="n">
        <x:v>202</x:v>
      </x:c>
      <x:c r="K1247" s="70" t="s">
        <x:v>2162</x:v>
      </x:c>
      <x:c r="L1247" s="70" t="s">
        <x:v>882</x:v>
      </x:c>
      <x:c r="M1247" s="70" t="s">
        <x:v>39</x:v>
      </x:c>
      <x:c r="N1247" s="71" t="n">
        <x:v>65995598</x:v>
      </x:c>
      <x:c r="O1247" s="72" t="n">
        <x:f aca="0">N1247/1000</x:f>
        <x:v>65995.598</x:v>
      </x:c>
      <x:c r="P1247" s="73" t="n">
        <x:f aca="0">MLCF!G20</x:f>
        <x:v>65995.598</x:v>
      </x:c>
      <x:c r="Q1247" s="70" t="str">
        <x:f aca="0">IF(ABS(O1247-P1247)&lt;0.000001,"PASS","FAIL")</x:f>
        <x:v>PASS</x:v>
      </x:c>
      <x:c r="R1247" s="70" t="s">
        <x:v>33</x:v>
      </x:c>
      <x:c r="S1247" s="70"/>
    </x:row>
    <x:row r="1248" ht="15" hidden="0">
      <x:c r="A1248" s="70" t="s">
        <x:v>2201</x:v>
      </x:c>
      <x:c r="B1248" s="70" t="s">
        <x:v>41</x:v>
      </x:c>
      <x:c r="C1248" s="70" t="s">
        <x:v>105</x:v>
      </x:c>
      <x:c r="D1248" s="70" t="s">
        <x:v>109</x:v>
      </x:c>
      <x:c r="E1248" s="70" t="s">
        <x:v>763</x:v>
      </x:c>
      <x:c r="F1248" s="70" t="s">
        <x:v>830</x:v>
      </x:c>
      <x:c r="G1248" s="70" t="s">
        <x:v>1310</x:v>
      </x:c>
      <x:c r="H1248" s="70" t="s">
        <x:v>849</x:v>
      </x:c>
      <x:c r="I1248" s="70" t="s">
        <x:v>852</x:v>
      </x:c>
      <x:c r="J1248" s="70" t="n">
        <x:v>202</x:v>
      </x:c>
      <x:c r="K1248" s="70" t="s">
        <x:v>2162</x:v>
      </x:c>
      <x:c r="L1248" s="70" t="s">
        <x:v>882</x:v>
      </x:c>
      <x:c r="M1248" s="70" t="s">
        <x:v>39</x:v>
      </x:c>
      <x:c r="N1248" s="71" t="n">
        <x:v>62836212</x:v>
      </x:c>
      <x:c r="O1248" s="72" t="n">
        <x:f aca="0">N1248/1000</x:f>
        <x:v>62836.212</x:v>
      </x:c>
      <x:c r="P1248" s="73" t="n">
        <x:f aca="0">MLCF!H20</x:f>
        <x:v>62836.212</x:v>
      </x:c>
      <x:c r="Q1248" s="70" t="str">
        <x:f aca="0">IF(ABS(O1248-P1248)&lt;0.000001,"PASS","FAIL")</x:f>
        <x:v>PASS</x:v>
      </x:c>
      <x:c r="R1248" s="70" t="s">
        <x:v>33</x:v>
      </x:c>
      <x:c r="S1248" s="70"/>
    </x:row>
    <x:row r="1249" ht="15" hidden="0">
      <x:c r="A1249" s="70" t="s">
        <x:v>2202</x:v>
      </x:c>
      <x:c r="B1249" s="70" t="s">
        <x:v>41</x:v>
      </x:c>
      <x:c r="C1249" s="70" t="s">
        <x:v>717</x:v>
      </x:c>
      <x:c r="D1249" s="70" t="s">
        <x:v>854</x:v>
      </x:c>
      <x:c r="E1249" s="70" t="s">
        <x:v>855</x:v>
      </x:c>
      <x:c r="F1249" s="70" t="s">
        <x:v>2203</x:v>
      </x:c>
      <x:c r="G1249" s="70" t="s">
        <x:v>1298</x:v>
      </x:c>
      <x:c r="H1249" s="70" t="s">
        <x:v>832</x:v>
      </x:c>
      <x:c r="I1249" s="70" t="s">
        <x:v>833</x:v>
      </x:c>
      <x:c r="J1249" s="70" t="n">
        <x:v>203</x:v>
      </x:c>
      <x:c r="K1249" s="70" t="s">
        <x:v>2162</x:v>
      </x:c>
      <x:c r="L1249" s="70"/>
      <x:c r="M1249" s="70" t="s">
        <x:v>39</x:v>
      </x:c>
      <x:c r="N1249" s="71" t="n">
        <x:v>871386</x:v>
      </x:c>
      <x:c r="O1249" s="72" t="n">
        <x:f aca="0">N1249/1000</x:f>
        <x:v>871.386</x:v>
      </x:c>
      <x:c r="P1249" s="73" t="n">
        <x:f aca="0">MLCF!C21</x:f>
        <x:v>871.386</x:v>
      </x:c>
      <x:c r="Q1249" s="70" t="str">
        <x:f aca="0">IF(ABS(O1249-P1249)&lt;0.000001,"PASS","FAIL")</x:f>
        <x:v>PASS</x:v>
      </x:c>
      <x:c r="R1249" s="70" t="s">
        <x:v>33</x:v>
      </x:c>
      <x:c r="S1249" s="70"/>
    </x:row>
    <x:row r="1250" ht="15" hidden="0">
      <x:c r="A1250" s="70" t="s">
        <x:v>2204</x:v>
      </x:c>
      <x:c r="B1250" s="70" t="s">
        <x:v>41</x:v>
      </x:c>
      <x:c r="C1250" s="70" t="s">
        <x:v>101</x:v>
      </x:c>
      <x:c r="D1250" s="70" t="s">
        <x:v>854</x:v>
      </x:c>
      <x:c r="E1250" s="70" t="s">
        <x:v>855</x:v>
      </x:c>
      <x:c r="F1250" s="70" t="s">
        <x:v>2203</x:v>
      </x:c>
      <x:c r="G1250" s="70" t="s">
        <x:v>1301</x:v>
      </x:c>
      <x:c r="H1250" s="70" t="s">
        <x:v>838</x:v>
      </x:c>
      <x:c r="I1250" s="70" t="s">
        <x:v>833</x:v>
      </x:c>
      <x:c r="J1250" s="70" t="n">
        <x:v>226</x:v>
      </x:c>
      <x:c r="K1250" s="70" t="s">
        <x:v>1553</x:v>
      </x:c>
      <x:c r="L1250" s="70"/>
      <x:c r="M1250" s="70" t="s">
        <x:v>39</x:v>
      </x:c>
      <x:c r="N1250" s="71" t="n">
        <x:v>2854293</x:v>
      </x:c>
      <x:c r="O1250" s="72" t="n">
        <x:f aca="0">N1250/1000</x:f>
        <x:v>2854.293</x:v>
      </x:c>
      <x:c r="P1250" s="73" t="n">
        <x:f aca="0">MLCF!D21</x:f>
        <x:v>2854.293</x:v>
      </x:c>
      <x:c r="Q1250" s="70" t="str">
        <x:f aca="0">IF(ABS(O1250-P1250)&lt;0.000001,"PASS","FAIL")</x:f>
        <x:v>PASS</x:v>
      </x:c>
      <x:c r="R1250" s="70" t="s">
        <x:v>33</x:v>
      </x:c>
      <x:c r="S1250" s="70"/>
    </x:row>
    <x:row r="1251" ht="15" hidden="0">
      <x:c r="A1251" s="70" t="s">
        <x:v>2205</x:v>
      </x:c>
      <x:c r="B1251" s="70" t="s">
        <x:v>41</x:v>
      </x:c>
      <x:c r="C1251" s="70" t="s">
        <x:v>102</x:v>
      </x:c>
      <x:c r="D1251" s="70" t="s">
        <x:v>854</x:v>
      </x:c>
      <x:c r="E1251" s="70" t="s">
        <x:v>855</x:v>
      </x:c>
      <x:c r="F1251" s="70" t="s">
        <x:v>2203</x:v>
      </x:c>
      <x:c r="G1251" s="70" t="s">
        <x:v>1301</x:v>
      </x:c>
      <x:c r="H1251" s="70" t="s">
        <x:v>838</x:v>
      </x:c>
      <x:c r="I1251" s="70" t="s">
        <x:v>852</x:v>
      </x:c>
      <x:c r="J1251" s="70" t="n">
        <x:v>226</x:v>
      </x:c>
      <x:c r="K1251" s="70" t="s">
        <x:v>1553</x:v>
      </x:c>
      <x:c r="L1251" s="70"/>
      <x:c r="M1251" s="70" t="s">
        <x:v>39</x:v>
      </x:c>
      <x:c r="N1251" s="71" t="n">
        <x:v>15352800</x:v>
      </x:c>
      <x:c r="O1251" s="72" t="n">
        <x:f aca="0">N1251/1000</x:f>
        <x:v>15352.8</x:v>
      </x:c>
      <x:c r="P1251" s="73" t="n">
        <x:f aca="0">MLCF!E21</x:f>
        <x:v>15352.8</x:v>
      </x:c>
      <x:c r="Q1251" s="70" t="str">
        <x:f aca="0">IF(ABS(O1251-P1251)&lt;0.000001,"PASS","FAIL")</x:f>
        <x:v>PASS</x:v>
      </x:c>
      <x:c r="R1251" s="70" t="s">
        <x:v>33</x:v>
      </x:c>
      <x:c r="S1251" s="70"/>
    </x:row>
    <x:row r="1252" ht="15" hidden="0">
      <x:c r="A1252" s="70" t="s">
        <x:v>2206</x:v>
      </x:c>
      <x:c r="B1252" s="70" t="s">
        <x:v>41</x:v>
      </x:c>
      <x:c r="C1252" s="70" t="s">
        <x:v>103</x:v>
      </x:c>
      <x:c r="D1252" s="70" t="s">
        <x:v>854</x:v>
      </x:c>
      <x:c r="E1252" s="70" t="s">
        <x:v>855</x:v>
      </x:c>
      <x:c r="F1252" s="70" t="s">
        <x:v>2203</x:v>
      </x:c>
      <x:c r="G1252" s="70" t="s">
        <x:v>1307</x:v>
      </x:c>
      <x:c r="H1252" s="70" t="s">
        <x:v>845</x:v>
      </x:c>
      <x:c r="I1252" s="70" t="s">
        <x:v>833</x:v>
      </x:c>
      <x:c r="J1252" s="70" t="n">
        <x:v>232</x:v>
      </x:c>
      <x:c r="K1252" s="70" t="s">
        <x:v>2207</x:v>
      </x:c>
      <x:c r="L1252" s="70"/>
      <x:c r="M1252" s="70" t="s">
        <x:v>39</x:v>
      </x:c>
      <x:c r="N1252" s="71" t="n">
        <x:v>1676796</x:v>
      </x:c>
      <x:c r="O1252" s="72" t="n">
        <x:f aca="0">N1252/1000</x:f>
        <x:v>1676.796</x:v>
      </x:c>
      <x:c r="P1252" s="73" t="n">
        <x:f aca="0">MLCF!F21</x:f>
        <x:v>1676.796</x:v>
      </x:c>
      <x:c r="Q1252" s="70" t="str">
        <x:f aca="0">IF(ABS(O1252-P1252)&lt;0.000001,"PASS","FAIL")</x:f>
        <x:v>PASS</x:v>
      </x:c>
      <x:c r="R1252" s="70" t="s">
        <x:v>33</x:v>
      </x:c>
      <x:c r="S1252" s="70"/>
    </x:row>
    <x:row r="1253" ht="15" hidden="0">
      <x:c r="A1253" s="70" t="s">
        <x:v>2208</x:v>
      </x:c>
      <x:c r="B1253" s="70" t="s">
        <x:v>41</x:v>
      </x:c>
      <x:c r="C1253" s="70" t="s">
        <x:v>104</x:v>
      </x:c>
      <x:c r="D1253" s="70" t="s">
        <x:v>854</x:v>
      </x:c>
      <x:c r="E1253" s="70" t="s">
        <x:v>855</x:v>
      </x:c>
      <x:c r="F1253" s="70" t="s">
        <x:v>2209</x:v>
      </x:c>
      <x:c r="G1253" s="70" t="s">
        <x:v>1310</x:v>
      </x:c>
      <x:c r="H1253" s="70" t="s">
        <x:v>849</x:v>
      </x:c>
      <x:c r="I1253" s="70" t="s">
        <x:v>833</x:v>
      </x:c>
      <x:c r="J1253" s="70" t="n">
        <x:v>246</x:v>
      </x:c>
      <x:c r="K1253" s="70" t="s">
        <x:v>2210</x:v>
      </x:c>
      <x:c r="L1253" s="70"/>
      <x:c r="M1253" s="70" t="s">
        <x:v>39</x:v>
      </x:c>
      <x:c r="N1253" s="71" t="n">
        <x:v>471174</x:v>
      </x:c>
      <x:c r="O1253" s="72" t="n">
        <x:f aca="0">N1253/1000</x:f>
        <x:v>471.174</x:v>
      </x:c>
      <x:c r="P1253" s="73" t="n">
        <x:f aca="0">MLCF!G21</x:f>
        <x:v>471.174</x:v>
      </x:c>
      <x:c r="Q1253" s="70" t="str">
        <x:f aca="0">IF(ABS(O1253-P1253)&lt;0.000001,"PASS","FAIL")</x:f>
        <x:v>PASS</x:v>
      </x:c>
      <x:c r="R1253" s="70" t="s">
        <x:v>33</x:v>
      </x:c>
      <x:c r="S1253" s="70"/>
    </x:row>
    <x:row r="1254" ht="15" hidden="0">
      <x:c r="A1254" s="70" t="s">
        <x:v>2211</x:v>
      </x:c>
      <x:c r="B1254" s="70" t="s">
        <x:v>41</x:v>
      </x:c>
      <x:c r="C1254" s="70" t="s">
        <x:v>105</x:v>
      </x:c>
      <x:c r="D1254" s="70" t="s">
        <x:v>854</x:v>
      </x:c>
      <x:c r="E1254" s="70" t="s">
        <x:v>855</x:v>
      </x:c>
      <x:c r="F1254" s="70" t="s">
        <x:v>2209</x:v>
      </x:c>
      <x:c r="G1254" s="70" t="s">
        <x:v>1310</x:v>
      </x:c>
      <x:c r="H1254" s="70" t="s">
        <x:v>849</x:v>
      </x:c>
      <x:c r="I1254" s="70" t="s">
        <x:v>852</x:v>
      </x:c>
      <x:c r="J1254" s="70" t="n">
        <x:v>246</x:v>
      </x:c>
      <x:c r="K1254" s="70" t="s">
        <x:v>2210</x:v>
      </x:c>
      <x:c r="L1254" s="70"/>
      <x:c r="M1254" s="70" t="s">
        <x:v>39</x:v>
      </x:c>
      <x:c r="N1254" s="71" t="n">
        <x:v>125704</x:v>
      </x:c>
      <x:c r="O1254" s="72" t="n">
        <x:f aca="0">N1254/1000</x:f>
        <x:v>125.704</x:v>
      </x:c>
      <x:c r="P1254" s="73" t="n">
        <x:f aca="0">MLCF!H21</x:f>
        <x:v>125.704</x:v>
      </x:c>
      <x:c r="Q1254" s="70" t="str">
        <x:f aca="0">IF(ABS(O1254-P1254)&lt;0.000001,"PASS","FAIL")</x:f>
        <x:v>PASS</x:v>
      </x:c>
      <x:c r="R1254" s="70" t="s">
        <x:v>33</x:v>
      </x:c>
      <x:c r="S1254" s="70"/>
    </x:row>
    <x:row r="1255" ht="15" hidden="0">
      <x:c r="A1255" s="70" t="s">
        <x:v>2212</x:v>
      </x:c>
      <x:c r="B1255" s="70" t="s">
        <x:v>41</x:v>
      </x:c>
      <x:c r="C1255" s="70" t="s">
        <x:v>717</x:v>
      </x:c>
      <x:c r="D1255" s="70" t="s">
        <x:v>116</x:v>
      </x:c>
      <x:c r="E1255" s="70" t="s">
        <x:v>763</x:v>
      </x:c>
      <x:c r="F1255" s="70"/>
      <x:c r="G1255" s="70" t="s">
        <x:v>1298</x:v>
      </x:c>
      <x:c r="H1255" s="70" t="s">
        <x:v>832</x:v>
      </x:c>
      <x:c r="I1255" s="70" t="s">
        <x:v>833</x:v>
      </x:c>
      <x:c r="J1255" s="70" t="n">
        <x:v>162</x:v>
      </x:c>
      <x:c r="K1255" s="70" t="s">
        <x:v>2213</x:v>
      </x:c>
      <x:c r="L1255" s="70"/>
      <x:c r="M1255" s="70" t="s">
        <x:v>39</x:v>
      </x:c>
      <x:c r="N1255" s="71" t="n">
        <x:v>0</x:v>
      </x:c>
      <x:c r="O1255" s="72" t="n">
        <x:f aca="0">N1255/1000</x:f>
        <x:v>0</x:v>
      </x:c>
      <x:c r="P1255" s="73" t="n">
        <x:f aca="0">MLCF!C23</x:f>
        <x:v>0</x:v>
      </x:c>
      <x:c r="Q1255" s="70" t="str">
        <x:f aca="0">IF(ABS(O1255-P1255)&lt;0.000001,"PASS","FAIL")</x:f>
        <x:v>PASS</x:v>
      </x:c>
      <x:c r="R1255" s="70" t="s">
        <x:v>33</x:v>
      </x:c>
      <x:c r="S1255" s="70"/>
    </x:row>
    <x:row r="1256" ht="15" hidden="0">
      <x:c r="A1256" s="70" t="s">
        <x:v>2214</x:v>
      </x:c>
      <x:c r="B1256" s="70" t="s">
        <x:v>41</x:v>
      </x:c>
      <x:c r="C1256" s="70" t="s">
        <x:v>101</x:v>
      </x:c>
      <x:c r="D1256" s="70" t="s">
        <x:v>116</x:v>
      </x:c>
      <x:c r="E1256" s="70" t="s">
        <x:v>763</x:v>
      </x:c>
      <x:c r="F1256" s="70"/>
      <x:c r="G1256" s="70" t="s">
        <x:v>1301</x:v>
      </x:c>
      <x:c r="H1256" s="70" t="s">
        <x:v>838</x:v>
      </x:c>
      <x:c r="I1256" s="70" t="s">
        <x:v>833</x:v>
      </x:c>
      <x:c r="J1256" s="70" t="n">
        <x:v>183</x:v>
      </x:c>
      <x:c r="K1256" s="70" t="s">
        <x:v>1911</x:v>
      </x:c>
      <x:c r="L1256" s="70"/>
      <x:c r="M1256" s="70" t="s">
        <x:v>39</x:v>
      </x:c>
      <x:c r="N1256" s="71" t="n">
        <x:v>0</x:v>
      </x:c>
      <x:c r="O1256" s="72" t="n">
        <x:f aca="0">N1256/1000</x:f>
        <x:v>0</x:v>
      </x:c>
      <x:c r="P1256" s="73" t="n">
        <x:f aca="0">MLCF!D23</x:f>
        <x:v>0</x:v>
      </x:c>
      <x:c r="Q1256" s="70" t="str">
        <x:f aca="0">IF(ABS(O1256-P1256)&lt;0.000001,"PASS","FAIL")</x:f>
        <x:v>PASS</x:v>
      </x:c>
      <x:c r="R1256" s="70" t="s">
        <x:v>33</x:v>
      </x:c>
      <x:c r="S1256" s="70"/>
    </x:row>
    <x:row r="1257" ht="15" hidden="0">
      <x:c r="A1257" s="70" t="s">
        <x:v>2215</x:v>
      </x:c>
      <x:c r="B1257" s="70" t="s">
        <x:v>41</x:v>
      </x:c>
      <x:c r="C1257" s="70" t="s">
        <x:v>102</x:v>
      </x:c>
      <x:c r="D1257" s="70" t="s">
        <x:v>116</x:v>
      </x:c>
      <x:c r="E1257" s="70" t="s">
        <x:v>763</x:v>
      </x:c>
      <x:c r="F1257" s="70"/>
      <x:c r="G1257" s="70" t="s">
        <x:v>1304</x:v>
      </x:c>
      <x:c r="H1257" s="70" t="s">
        <x:v>842</x:v>
      </x:c>
      <x:c r="I1257" s="70" t="s">
        <x:v>833</x:v>
      </x:c>
      <x:c r="J1257" s="70" t="n">
        <x:v>98</x:v>
      </x:c>
      <x:c r="K1257" s="70" t="s">
        <x:v>2197</x:v>
      </x:c>
      <x:c r="L1257" s="70"/>
      <x:c r="M1257" s="70" t="s">
        <x:v>39</x:v>
      </x:c>
      <x:c r="N1257" s="71" t="n">
        <x:v>0</x:v>
      </x:c>
      <x:c r="O1257" s="72" t="n">
        <x:f aca="0">N1257/1000</x:f>
        <x:v>0</x:v>
      </x:c>
      <x:c r="P1257" s="73" t="n">
        <x:f aca="0">MLCF!E23</x:f>
        <x:v>0</x:v>
      </x:c>
      <x:c r="Q1257" s="70" t="str">
        <x:f aca="0">IF(ABS(O1257-P1257)&lt;0.000001,"PASS","FAIL")</x:f>
        <x:v>PASS</x:v>
      </x:c>
      <x:c r="R1257" s="70" t="s">
        <x:v>33</x:v>
      </x:c>
      <x:c r="S1257" s="70"/>
    </x:row>
    <x:row r="1258" ht="15" hidden="0">
      <x:c r="A1258" s="70" t="s">
        <x:v>2216</x:v>
      </x:c>
      <x:c r="B1258" s="70" t="s">
        <x:v>41</x:v>
      </x:c>
      <x:c r="C1258" s="70" t="s">
        <x:v>103</x:v>
      </x:c>
      <x:c r="D1258" s="70" t="s">
        <x:v>116</x:v>
      </x:c>
      <x:c r="E1258" s="70" t="s">
        <x:v>763</x:v>
      </x:c>
      <x:c r="F1258" s="70"/>
      <x:c r="G1258" s="70" t="s">
        <x:v>1307</x:v>
      </x:c>
      <x:c r="H1258" s="70" t="s">
        <x:v>845</x:v>
      </x:c>
      <x:c r="I1258" s="70" t="s">
        <x:v>833</x:v>
      </x:c>
      <x:c r="J1258" s="70" t="n">
        <x:v>189</x:v>
      </x:c>
      <x:c r="K1258" s="70" t="s">
        <x:v>1765</x:v>
      </x:c>
      <x:c r="L1258" s="70"/>
      <x:c r="M1258" s="70" t="s">
        <x:v>39</x:v>
      </x:c>
      <x:c r="N1258" s="71" t="n">
        <x:v>0</x:v>
      </x:c>
      <x:c r="O1258" s="72" t="n">
        <x:f aca="0">N1258/1000</x:f>
        <x:v>0</x:v>
      </x:c>
      <x:c r="P1258" s="73" t="n">
        <x:f aca="0">MLCF!F23</x:f>
        <x:v>0</x:v>
      </x:c>
      <x:c r="Q1258" s="70" t="str">
        <x:f aca="0">IF(ABS(O1258-P1258)&lt;0.000001,"PASS","FAIL")</x:f>
        <x:v>PASS</x:v>
      </x:c>
      <x:c r="R1258" s="70" t="s">
        <x:v>33</x:v>
      </x:c>
      <x:c r="S1258" s="70"/>
    </x:row>
    <x:row r="1259" ht="15" hidden="0">
      <x:c r="A1259" s="70" t="s">
        <x:v>2217</x:v>
      </x:c>
      <x:c r="B1259" s="70" t="s">
        <x:v>41</x:v>
      </x:c>
      <x:c r="C1259" s="70" t="s">
        <x:v>104</x:v>
      </x:c>
      <x:c r="D1259" s="70" t="s">
        <x:v>116</x:v>
      </x:c>
      <x:c r="E1259" s="70" t="s">
        <x:v>763</x:v>
      </x:c>
      <x:c r="F1259" s="70"/>
      <x:c r="G1259" s="70" t="s">
        <x:v>1310</x:v>
      </x:c>
      <x:c r="H1259" s="70" t="s">
        <x:v>849</x:v>
      </x:c>
      <x:c r="I1259" s="70" t="s">
        <x:v>833</x:v>
      </x:c>
      <x:c r="J1259" s="70" t="n">
        <x:v>201</x:v>
      </x:c>
      <x:c r="K1259" s="70" t="s">
        <x:v>2090</x:v>
      </x:c>
      <x:c r="L1259" s="70"/>
      <x:c r="M1259" s="70" t="s">
        <x:v>39</x:v>
      </x:c>
      <x:c r="N1259" s="71" t="n">
        <x:v>0</x:v>
      </x:c>
      <x:c r="O1259" s="72" t="n">
        <x:f aca="0">N1259/1000</x:f>
        <x:v>0</x:v>
      </x:c>
      <x:c r="P1259" s="73" t="n">
        <x:f aca="0">MLCF!G23</x:f>
        <x:v>0</x:v>
      </x:c>
      <x:c r="Q1259" s="70" t="str">
        <x:f aca="0">IF(ABS(O1259-P1259)&lt;0.000001,"PASS","FAIL")</x:f>
        <x:v>PASS</x:v>
      </x:c>
      <x:c r="R1259" s="70" t="s">
        <x:v>33</x:v>
      </x:c>
      <x:c r="S1259" s="70"/>
    </x:row>
    <x:row r="1260" ht="15" hidden="0">
      <x:c r="A1260" s="70" t="s">
        <x:v>2218</x:v>
      </x:c>
      <x:c r="B1260" s="70" t="s">
        <x:v>41</x:v>
      </x:c>
      <x:c r="C1260" s="70" t="s">
        <x:v>105</x:v>
      </x:c>
      <x:c r="D1260" s="70" t="s">
        <x:v>116</x:v>
      </x:c>
      <x:c r="E1260" s="70" t="s">
        <x:v>763</x:v>
      </x:c>
      <x:c r="F1260" s="70"/>
      <x:c r="G1260" s="70" t="s">
        <x:v>1310</x:v>
      </x:c>
      <x:c r="H1260" s="70" t="s">
        <x:v>849</x:v>
      </x:c>
      <x:c r="I1260" s="70" t="s">
        <x:v>852</x:v>
      </x:c>
      <x:c r="J1260" s="70" t="n">
        <x:v>201</x:v>
      </x:c>
      <x:c r="K1260" s="70" t="s">
        <x:v>2090</x:v>
      </x:c>
      <x:c r="L1260" s="70"/>
      <x:c r="M1260" s="70" t="s">
        <x:v>39</x:v>
      </x:c>
      <x:c r="N1260" s="71" t="n">
        <x:v>0</x:v>
      </x:c>
      <x:c r="O1260" s="72" t="n">
        <x:f aca="0">N1260/1000</x:f>
        <x:v>0</x:v>
      </x:c>
      <x:c r="P1260" s="73" t="n">
        <x:f aca="0">MLCF!H23</x:f>
        <x:v>0</x:v>
      </x:c>
      <x:c r="Q1260" s="70" t="str">
        <x:f aca="0">IF(ABS(O1260-P1260)&lt;0.000001,"PASS","FAIL")</x:f>
        <x:v>PASS</x:v>
      </x:c>
      <x:c r="R1260" s="70" t="s">
        <x:v>33</x:v>
      </x:c>
      <x:c r="S1260" s="70"/>
    </x:row>
    <x:row r="1261" ht="15" hidden="0">
      <x:c r="A1261" s="70" t="s">
        <x:v>2219</x:v>
      </x:c>
      <x:c r="B1261" s="70" t="s">
        <x:v>41</x:v>
      </x:c>
      <x:c r="C1261" s="70" t="s">
        <x:v>717</x:v>
      </x:c>
      <x:c r="D1261" s="70" t="s">
        <x:v>118</x:v>
      </x:c>
      <x:c r="E1261" s="70" t="s">
        <x:v>763</x:v>
      </x:c>
      <x:c r="F1261" s="70" t="s">
        <x:v>118</x:v>
      </x:c>
      <x:c r="G1261" s="70" t="s">
        <x:v>1298</x:v>
      </x:c>
      <x:c r="H1261" s="70" t="s">
        <x:v>832</x:v>
      </x:c>
      <x:c r="I1261" s="70" t="s">
        <x:v>833</x:v>
      </x:c>
      <x:c r="J1261" s="70" t="n">
        <x:v>163</x:v>
      </x:c>
      <x:c r="K1261" s="70" t="s">
        <x:v>2194</x:v>
      </x:c>
      <x:c r="L1261" s="70" t="s">
        <x:v>911</x:v>
      </x:c>
      <x:c r="M1261" s="70" t="s">
        <x:v>39</x:v>
      </x:c>
      <x:c r="N1261" s="71" t="n">
        <x:v>9023</x:v>
      </x:c>
      <x:c r="O1261" s="72" t="n">
        <x:f aca="0">N1261/1000</x:f>
        <x:v>9.023</x:v>
      </x:c>
      <x:c r="P1261" s="73" t="n">
        <x:f aca="0">MLCF!C24</x:f>
        <x:v>9.023</x:v>
      </x:c>
      <x:c r="Q1261" s="70" t="str">
        <x:f aca="0">IF(ABS(O1261-P1261)&lt;0.000001,"PASS","FAIL")</x:f>
        <x:v>PASS</x:v>
      </x:c>
      <x:c r="R1261" s="70" t="s">
        <x:v>33</x:v>
      </x:c>
      <x:c r="S1261" s="70"/>
    </x:row>
    <x:row r="1262" ht="15" hidden="0">
      <x:c r="A1262" s="70" t="s">
        <x:v>2220</x:v>
      </x:c>
      <x:c r="B1262" s="70" t="s">
        <x:v>41</x:v>
      </x:c>
      <x:c r="C1262" s="70" t="s">
        <x:v>101</x:v>
      </x:c>
      <x:c r="D1262" s="70" t="s">
        <x:v>118</x:v>
      </x:c>
      <x:c r="E1262" s="70" t="s">
        <x:v>763</x:v>
      </x:c>
      <x:c r="F1262" s="70" t="s">
        <x:v>118</x:v>
      </x:c>
      <x:c r="G1262" s="70" t="s">
        <x:v>1301</x:v>
      </x:c>
      <x:c r="H1262" s="70" t="s">
        <x:v>838</x:v>
      </x:c>
      <x:c r="I1262" s="70" t="s">
        <x:v>833</x:v>
      </x:c>
      <x:c r="J1262" s="70" t="n">
        <x:v>184</x:v>
      </x:c>
      <x:c r="K1262" s="70" t="s">
        <x:v>1940</x:v>
      </x:c>
      <x:c r="L1262" s="70" t="s">
        <x:v>911</x:v>
      </x:c>
      <x:c r="M1262" s="70" t="s">
        <x:v>39</x:v>
      </x:c>
      <x:c r="N1262" s="71" t="n">
        <x:v>6017</x:v>
      </x:c>
      <x:c r="O1262" s="72" t="n">
        <x:f aca="0">N1262/1000</x:f>
        <x:v>6.017</x:v>
      </x:c>
      <x:c r="P1262" s="73" t="n">
        <x:f aca="0">MLCF!D24</x:f>
        <x:v>6.017</x:v>
      </x:c>
      <x:c r="Q1262" s="70" t="str">
        <x:f aca="0">IF(ABS(O1262-P1262)&lt;0.000001,"PASS","FAIL")</x:f>
        <x:v>PASS</x:v>
      </x:c>
      <x:c r="R1262" s="70" t="s">
        <x:v>33</x:v>
      </x:c>
      <x:c r="S1262" s="70"/>
    </x:row>
    <x:row r="1263" ht="15" hidden="0">
      <x:c r="A1263" s="70" t="s">
        <x:v>2221</x:v>
      </x:c>
      <x:c r="B1263" s="70" t="s">
        <x:v>41</x:v>
      </x:c>
      <x:c r="C1263" s="70" t="s">
        <x:v>102</x:v>
      </x:c>
      <x:c r="D1263" s="70" t="s">
        <x:v>118</x:v>
      </x:c>
      <x:c r="E1263" s="70" t="s">
        <x:v>763</x:v>
      </x:c>
      <x:c r="F1263" s="70" t="s">
        <x:v>118</x:v>
      </x:c>
      <x:c r="G1263" s="70" t="s">
        <x:v>1304</x:v>
      </x:c>
      <x:c r="H1263" s="70" t="s">
        <x:v>842</x:v>
      </x:c>
      <x:c r="I1263" s="70" t="s">
        <x:v>833</x:v>
      </x:c>
      <x:c r="J1263" s="70" t="n">
        <x:v>98</x:v>
      </x:c>
      <x:c r="K1263" s="70" t="s">
        <x:v>2197</x:v>
      </x:c>
      <x:c r="L1263" s="70"/>
      <x:c r="M1263" s="70" t="s">
        <x:v>39</x:v>
      </x:c>
      <x:c r="N1263" s="71" t="n">
        <x:v>10415</x:v>
      </x:c>
      <x:c r="O1263" s="72" t="n">
        <x:f aca="0">N1263/1000</x:f>
        <x:v>10.415</x:v>
      </x:c>
      <x:c r="P1263" s="73" t="n">
        <x:f aca="0">MLCF!E24</x:f>
        <x:v>10.415</x:v>
      </x:c>
      <x:c r="Q1263" s="70" t="str">
        <x:f aca="0">IF(ABS(O1263-P1263)&lt;0.000001,"PASS","FAIL")</x:f>
        <x:v>PASS</x:v>
      </x:c>
      <x:c r="R1263" s="70" t="s">
        <x:v>33</x:v>
      </x:c>
      <x:c r="S1263" s="70"/>
    </x:row>
    <x:row r="1264" ht="15" hidden="0">
      <x:c r="A1264" s="70" t="s">
        <x:v>2222</x:v>
      </x:c>
      <x:c r="B1264" s="70" t="s">
        <x:v>41</x:v>
      </x:c>
      <x:c r="C1264" s="70" t="s">
        <x:v>103</x:v>
      </x:c>
      <x:c r="D1264" s="70" t="s">
        <x:v>118</x:v>
      </x:c>
      <x:c r="E1264" s="70" t="s">
        <x:v>763</x:v>
      </x:c>
      <x:c r="F1264" s="70" t="s">
        <x:v>118</x:v>
      </x:c>
      <x:c r="G1264" s="70" t="s">
        <x:v>1307</x:v>
      </x:c>
      <x:c r="H1264" s="70" t="s">
        <x:v>845</x:v>
      </x:c>
      <x:c r="I1264" s="70" t="s">
        <x:v>833</x:v>
      </x:c>
      <x:c r="J1264" s="70" t="n">
        <x:v>190</x:v>
      </x:c>
      <x:c r="K1264" s="70" t="s">
        <x:v>2199</x:v>
      </x:c>
      <x:c r="L1264" s="70" t="s">
        <x:v>911</x:v>
      </x:c>
      <x:c r="M1264" s="70" t="s">
        <x:v>39</x:v>
      </x:c>
      <x:c r="N1264" s="71" t="n">
        <x:v>6946</x:v>
      </x:c>
      <x:c r="O1264" s="72" t="n">
        <x:f aca="0">N1264/1000</x:f>
        <x:v>6.946</x:v>
      </x:c>
      <x:c r="P1264" s="73" t="n">
        <x:f aca="0">MLCF!F24</x:f>
        <x:v>6.946</x:v>
      </x:c>
      <x:c r="Q1264" s="70" t="str">
        <x:f aca="0">IF(ABS(O1264-P1264)&lt;0.000001,"PASS","FAIL")</x:f>
        <x:v>PASS</x:v>
      </x:c>
      <x:c r="R1264" s="70" t="s">
        <x:v>33</x:v>
      </x:c>
      <x:c r="S1264" s="70"/>
    </x:row>
    <x:row r="1265" ht="15" hidden="0">
      <x:c r="A1265" s="70" t="s">
        <x:v>2223</x:v>
      </x:c>
      <x:c r="B1265" s="70" t="s">
        <x:v>41</x:v>
      </x:c>
      <x:c r="C1265" s="70" t="s">
        <x:v>104</x:v>
      </x:c>
      <x:c r="D1265" s="70" t="s">
        <x:v>118</x:v>
      </x:c>
      <x:c r="E1265" s="70" t="s">
        <x:v>763</x:v>
      </x:c>
      <x:c r="F1265" s="70" t="s">
        <x:v>118</x:v>
      </x:c>
      <x:c r="G1265" s="70" t="s">
        <x:v>1310</x:v>
      </x:c>
      <x:c r="H1265" s="70" t="s">
        <x:v>849</x:v>
      </x:c>
      <x:c r="I1265" s="70" t="s">
        <x:v>833</x:v>
      </x:c>
      <x:c r="J1265" s="70" t="n">
        <x:v>202</x:v>
      </x:c>
      <x:c r="K1265" s="70" t="s">
        <x:v>2162</x:v>
      </x:c>
      <x:c r="L1265" s="70" t="s">
        <x:v>904</x:v>
      </x:c>
      <x:c r="M1265" s="70" t="s">
        <x:v>39</x:v>
      </x:c>
      <x:c r="N1265" s="71" t="n">
        <x:v>84810</x:v>
      </x:c>
      <x:c r="O1265" s="72" t="n">
        <x:f aca="0">N1265/1000</x:f>
        <x:v>84.81</x:v>
      </x:c>
      <x:c r="P1265" s="73" t="n">
        <x:f aca="0">MLCF!G24</x:f>
        <x:v>84.81</x:v>
      </x:c>
      <x:c r="Q1265" s="70" t="str">
        <x:f aca="0">IF(ABS(O1265-P1265)&lt;0.000001,"PASS","FAIL")</x:f>
        <x:v>PASS</x:v>
      </x:c>
      <x:c r="R1265" s="70" t="s">
        <x:v>33</x:v>
      </x:c>
      <x:c r="S1265" s="70"/>
    </x:row>
    <x:row r="1266" ht="15" hidden="0">
      <x:c r="A1266" s="70" t="s">
        <x:v>2224</x:v>
      </x:c>
      <x:c r="B1266" s="70" t="s">
        <x:v>41</x:v>
      </x:c>
      <x:c r="C1266" s="70" t="s">
        <x:v>105</x:v>
      </x:c>
      <x:c r="D1266" s="70" t="s">
        <x:v>118</x:v>
      </x:c>
      <x:c r="E1266" s="70" t="s">
        <x:v>763</x:v>
      </x:c>
      <x:c r="F1266" s="70" t="s">
        <x:v>118</x:v>
      </x:c>
      <x:c r="G1266" s="70" t="s">
        <x:v>1310</x:v>
      </x:c>
      <x:c r="H1266" s="70" t="s">
        <x:v>849</x:v>
      </x:c>
      <x:c r="I1266" s="70" t="s">
        <x:v>852</x:v>
      </x:c>
      <x:c r="J1266" s="70" t="n">
        <x:v>202</x:v>
      </x:c>
      <x:c r="K1266" s="70" t="s">
        <x:v>2162</x:v>
      </x:c>
      <x:c r="L1266" s="70" t="s">
        <x:v>904</x:v>
      </x:c>
      <x:c r="M1266" s="70" t="s">
        <x:v>39</x:v>
      </x:c>
      <x:c r="N1266" s="71" t="n">
        <x:v>62426</x:v>
      </x:c>
      <x:c r="O1266" s="72" t="n">
        <x:f aca="0">N1266/1000</x:f>
        <x:v>62.426</x:v>
      </x:c>
      <x:c r="P1266" s="73" t="n">
        <x:f aca="0">MLCF!H24</x:f>
        <x:v>62.426</x:v>
      </x:c>
      <x:c r="Q1266" s="70" t="str">
        <x:f aca="0">IF(ABS(O1266-P1266)&lt;0.000001,"PASS","FAIL")</x:f>
        <x:v>PASS</x:v>
      </x:c>
      <x:c r="R1266" s="70" t="s">
        <x:v>33</x:v>
      </x:c>
      <x:c r="S1266" s="70"/>
    </x:row>
    <x:row r="1267" ht="15" hidden="0">
      <x:c r="A1267" s="70" t="s">
        <x:v>2225</x:v>
      </x:c>
      <x:c r="B1267" s="70" t="s">
        <x:v>41</x:v>
      </x:c>
      <x:c r="C1267" s="70" t="s">
        <x:v>717</x:v>
      </x:c>
      <x:c r="D1267" s="70" t="s">
        <x:v>120</x:v>
      </x:c>
      <x:c r="E1267" s="70" t="s">
        <x:v>763</x:v>
      </x:c>
      <x:c r="F1267" s="70"/>
      <x:c r="G1267" s="70" t="s">
        <x:v>1298</x:v>
      </x:c>
      <x:c r="H1267" s="70" t="s">
        <x:v>832</x:v>
      </x:c>
      <x:c r="I1267" s="70" t="s">
        <x:v>833</x:v>
      </x:c>
      <x:c r="J1267" s="70" t="n">
        <x:v>162</x:v>
      </x:c>
      <x:c r="K1267" s="70" t="s">
        <x:v>2213</x:v>
      </x:c>
      <x:c r="L1267" s="70"/>
      <x:c r="M1267" s="70" t="s">
        <x:v>39</x:v>
      </x:c>
      <x:c r="N1267" s="71" t="n">
        <x:v>0</x:v>
      </x:c>
      <x:c r="O1267" s="72" t="n">
        <x:f aca="0">N1267/1000</x:f>
        <x:v>0</x:v>
      </x:c>
      <x:c r="P1267" s="73" t="n">
        <x:f aca="0">MLCF!C25</x:f>
        <x:v>0</x:v>
      </x:c>
      <x:c r="Q1267" s="70" t="str">
        <x:f aca="0">IF(ABS(O1267-P1267)&lt;0.000001,"PASS","FAIL")</x:f>
        <x:v>PASS</x:v>
      </x:c>
      <x:c r="R1267" s="70" t="s">
        <x:v>33</x:v>
      </x:c>
      <x:c r="S1267" s="70"/>
    </x:row>
    <x:row r="1268" ht="15" hidden="0">
      <x:c r="A1268" s="70" t="s">
        <x:v>2226</x:v>
      </x:c>
      <x:c r="B1268" s="70" t="s">
        <x:v>41</x:v>
      </x:c>
      <x:c r="C1268" s="70" t="s">
        <x:v>101</x:v>
      </x:c>
      <x:c r="D1268" s="70" t="s">
        <x:v>120</x:v>
      </x:c>
      <x:c r="E1268" s="70" t="s">
        <x:v>763</x:v>
      </x:c>
      <x:c r="F1268" s="70"/>
      <x:c r="G1268" s="70" t="s">
        <x:v>1301</x:v>
      </x:c>
      <x:c r="H1268" s="70" t="s">
        <x:v>838</x:v>
      </x:c>
      <x:c r="I1268" s="70" t="s">
        <x:v>833</x:v>
      </x:c>
      <x:c r="J1268" s="70" t="n">
        <x:v>183</x:v>
      </x:c>
      <x:c r="K1268" s="70" t="s">
        <x:v>1911</x:v>
      </x:c>
      <x:c r="L1268" s="70"/>
      <x:c r="M1268" s="70" t="s">
        <x:v>39</x:v>
      </x:c>
      <x:c r="N1268" s="71" t="n">
        <x:v>0</x:v>
      </x:c>
      <x:c r="O1268" s="72" t="n">
        <x:f aca="0">N1268/1000</x:f>
        <x:v>0</x:v>
      </x:c>
      <x:c r="P1268" s="73" t="n">
        <x:f aca="0">MLCF!D25</x:f>
        <x:v>0</x:v>
      </x:c>
      <x:c r="Q1268" s="70" t="str">
        <x:f aca="0">IF(ABS(O1268-P1268)&lt;0.000001,"PASS","FAIL")</x:f>
        <x:v>PASS</x:v>
      </x:c>
      <x:c r="R1268" s="70" t="s">
        <x:v>33</x:v>
      </x:c>
      <x:c r="S1268" s="70"/>
    </x:row>
    <x:row r="1269" ht="15" hidden="0">
      <x:c r="A1269" s="70" t="s">
        <x:v>2227</x:v>
      </x:c>
      <x:c r="B1269" s="70" t="s">
        <x:v>41</x:v>
      </x:c>
      <x:c r="C1269" s="70" t="s">
        <x:v>102</x:v>
      </x:c>
      <x:c r="D1269" s="70" t="s">
        <x:v>120</x:v>
      </x:c>
      <x:c r="E1269" s="70" t="s">
        <x:v>763</x:v>
      </x:c>
      <x:c r="F1269" s="70"/>
      <x:c r="G1269" s="70" t="s">
        <x:v>1304</x:v>
      </x:c>
      <x:c r="H1269" s="70" t="s">
        <x:v>842</x:v>
      </x:c>
      <x:c r="I1269" s="70" t="s">
        <x:v>833</x:v>
      </x:c>
      <x:c r="J1269" s="70" t="n">
        <x:v>98</x:v>
      </x:c>
      <x:c r="K1269" s="70" t="s">
        <x:v>2197</x:v>
      </x:c>
      <x:c r="L1269" s="70"/>
      <x:c r="M1269" s="70" t="s">
        <x:v>39</x:v>
      </x:c>
      <x:c r="N1269" s="71" t="n">
        <x:v>0</x:v>
      </x:c>
      <x:c r="O1269" s="72" t="n">
        <x:f aca="0">N1269/1000</x:f>
        <x:v>0</x:v>
      </x:c>
      <x:c r="P1269" s="73" t="n">
        <x:f aca="0">MLCF!E25</x:f>
        <x:v>0</x:v>
      </x:c>
      <x:c r="Q1269" s="70" t="str">
        <x:f aca="0">IF(ABS(O1269-P1269)&lt;0.000001,"PASS","FAIL")</x:f>
        <x:v>PASS</x:v>
      </x:c>
      <x:c r="R1269" s="70" t="s">
        <x:v>33</x:v>
      </x:c>
      <x:c r="S1269" s="70"/>
    </x:row>
    <x:row r="1270" ht="15" hidden="0">
      <x:c r="A1270" s="70" t="s">
        <x:v>2228</x:v>
      </x:c>
      <x:c r="B1270" s="70" t="s">
        <x:v>41</x:v>
      </x:c>
      <x:c r="C1270" s="70" t="s">
        <x:v>103</x:v>
      </x:c>
      <x:c r="D1270" s="70" t="s">
        <x:v>120</x:v>
      </x:c>
      <x:c r="E1270" s="70" t="s">
        <x:v>763</x:v>
      </x:c>
      <x:c r="F1270" s="70"/>
      <x:c r="G1270" s="70" t="s">
        <x:v>1307</x:v>
      </x:c>
      <x:c r="H1270" s="70" t="s">
        <x:v>845</x:v>
      </x:c>
      <x:c r="I1270" s="70" t="s">
        <x:v>833</x:v>
      </x:c>
      <x:c r="J1270" s="70" t="n">
        <x:v>189</x:v>
      </x:c>
      <x:c r="K1270" s="70" t="s">
        <x:v>1765</x:v>
      </x:c>
      <x:c r="L1270" s="70"/>
      <x:c r="M1270" s="70" t="s">
        <x:v>39</x:v>
      </x:c>
      <x:c r="N1270" s="71" t="n">
        <x:v>0</x:v>
      </x:c>
      <x:c r="O1270" s="72" t="n">
        <x:f aca="0">N1270/1000</x:f>
        <x:v>0</x:v>
      </x:c>
      <x:c r="P1270" s="73" t="n">
        <x:f aca="0">MLCF!F25</x:f>
        <x:v>0</x:v>
      </x:c>
      <x:c r="Q1270" s="70" t="str">
        <x:f aca="0">IF(ABS(O1270-P1270)&lt;0.000001,"PASS","FAIL")</x:f>
        <x:v>PASS</x:v>
      </x:c>
      <x:c r="R1270" s="70" t="s">
        <x:v>33</x:v>
      </x:c>
      <x:c r="S1270" s="70"/>
    </x:row>
    <x:row r="1271" ht="15" hidden="0">
      <x:c r="A1271" s="70" t="s">
        <x:v>2229</x:v>
      </x:c>
      <x:c r="B1271" s="70" t="s">
        <x:v>41</x:v>
      </x:c>
      <x:c r="C1271" s="70" t="s">
        <x:v>104</x:v>
      </x:c>
      <x:c r="D1271" s="70" t="s">
        <x:v>120</x:v>
      </x:c>
      <x:c r="E1271" s="70" t="s">
        <x:v>763</x:v>
      </x:c>
      <x:c r="F1271" s="70"/>
      <x:c r="G1271" s="70" t="s">
        <x:v>1310</x:v>
      </x:c>
      <x:c r="H1271" s="70" t="s">
        <x:v>849</x:v>
      </x:c>
      <x:c r="I1271" s="70" t="s">
        <x:v>833</x:v>
      </x:c>
      <x:c r="J1271" s="70" t="n">
        <x:v>201</x:v>
      </x:c>
      <x:c r="K1271" s="70" t="s">
        <x:v>2090</x:v>
      </x:c>
      <x:c r="L1271" s="70"/>
      <x:c r="M1271" s="70" t="s">
        <x:v>39</x:v>
      </x:c>
      <x:c r="N1271" s="71" t="n">
        <x:v>0</x:v>
      </x:c>
      <x:c r="O1271" s="72" t="n">
        <x:f aca="0">N1271/1000</x:f>
        <x:v>0</x:v>
      </x:c>
      <x:c r="P1271" s="73" t="n">
        <x:f aca="0">MLCF!G25</x:f>
        <x:v>0</x:v>
      </x:c>
      <x:c r="Q1271" s="70" t="str">
        <x:f aca="0">IF(ABS(O1271-P1271)&lt;0.000001,"PASS","FAIL")</x:f>
        <x:v>PASS</x:v>
      </x:c>
      <x:c r="R1271" s="70" t="s">
        <x:v>33</x:v>
      </x:c>
      <x:c r="S1271" s="70"/>
    </x:row>
    <x:row r="1272" ht="15" hidden="0">
      <x:c r="A1272" s="70" t="s">
        <x:v>2230</x:v>
      </x:c>
      <x:c r="B1272" s="70" t="s">
        <x:v>41</x:v>
      </x:c>
      <x:c r="C1272" s="70" t="s">
        <x:v>105</x:v>
      </x:c>
      <x:c r="D1272" s="70" t="s">
        <x:v>120</x:v>
      </x:c>
      <x:c r="E1272" s="70" t="s">
        <x:v>763</x:v>
      </x:c>
      <x:c r="F1272" s="70"/>
      <x:c r="G1272" s="70" t="s">
        <x:v>1310</x:v>
      </x:c>
      <x:c r="H1272" s="70" t="s">
        <x:v>849</x:v>
      </x:c>
      <x:c r="I1272" s="70" t="s">
        <x:v>852</x:v>
      </x:c>
      <x:c r="J1272" s="70" t="n">
        <x:v>201</x:v>
      </x:c>
      <x:c r="K1272" s="70" t="s">
        <x:v>2090</x:v>
      </x:c>
      <x:c r="L1272" s="70"/>
      <x:c r="M1272" s="70" t="s">
        <x:v>39</x:v>
      </x:c>
      <x:c r="N1272" s="71" t="n">
        <x:v>0</x:v>
      </x:c>
      <x:c r="O1272" s="72" t="n">
        <x:f aca="0">N1272/1000</x:f>
        <x:v>0</x:v>
      </x:c>
      <x:c r="P1272" s="73" t="n">
        <x:f aca="0">MLCF!H25</x:f>
        <x:v>0</x:v>
      </x:c>
      <x:c r="Q1272" s="70" t="str">
        <x:f aca="0">IF(ABS(O1272-P1272)&lt;0.000001,"PASS","FAIL")</x:f>
        <x:v>PASS</x:v>
      </x:c>
      <x:c r="R1272" s="70" t="s">
        <x:v>33</x:v>
      </x:c>
      <x:c r="S1272" s="70"/>
    </x:row>
    <x:row r="1273" ht="15" hidden="0">
      <x:c r="A1273" s="70" t="s">
        <x:v>2231</x:v>
      </x:c>
      <x:c r="B1273" s="70" t="s">
        <x:v>41</x:v>
      </x:c>
      <x:c r="C1273" s="70" t="s">
        <x:v>717</x:v>
      </x:c>
      <x:c r="D1273" s="70" t="s">
        <x:v>122</x:v>
      </x:c>
      <x:c r="E1273" s="70" t="s">
        <x:v>763</x:v>
      </x:c>
      <x:c r="F1273" s="70" t="s">
        <x:v>2232</x:v>
      </x:c>
      <x:c r="G1273" s="70" t="s">
        <x:v>1298</x:v>
      </x:c>
      <x:c r="H1273" s="70" t="s">
        <x:v>832</x:v>
      </x:c>
      <x:c r="I1273" s="70" t="s">
        <x:v>833</x:v>
      </x:c>
      <x:c r="J1273" s="70" t="n">
        <x:v>163</x:v>
      </x:c>
      <x:c r="K1273" s="70" t="s">
        <x:v>2194</x:v>
      </x:c>
      <x:c r="L1273" s="70" t="s">
        <x:v>919</x:v>
      </x:c>
      <x:c r="M1273" s="70" t="s">
        <x:v>39</x:v>
      </x:c>
      <x:c r="N1273" s="71" t="n">
        <x:v>5020000</x:v>
      </x:c>
      <x:c r="O1273" s="72" t="n">
        <x:f aca="0">N1273/1000</x:f>
        <x:v>5020</x:v>
      </x:c>
      <x:c r="P1273" s="73" t="n">
        <x:f aca="0">MLCF!C26</x:f>
        <x:v>5020</x:v>
      </x:c>
      <x:c r="Q1273" s="70" t="str">
        <x:f aca="0">IF(ABS(O1273-P1273)&lt;0.000001,"PASS","FAIL")</x:f>
        <x:v>PASS</x:v>
      </x:c>
      <x:c r="R1273" s="70" t="s">
        <x:v>33</x:v>
      </x:c>
      <x:c r="S1273" s="70"/>
    </x:row>
    <x:row r="1274" ht="15" hidden="0">
      <x:c r="A1274" s="70" t="s">
        <x:v>2233</x:v>
      </x:c>
      <x:c r="B1274" s="70" t="s">
        <x:v>41</x:v>
      </x:c>
      <x:c r="C1274" s="70" t="s">
        <x:v>101</x:v>
      </x:c>
      <x:c r="D1274" s="70" t="s">
        <x:v>122</x:v>
      </x:c>
      <x:c r="E1274" s="70" t="s">
        <x:v>763</x:v>
      </x:c>
      <x:c r="F1274" s="70" t="s">
        <x:v>2232</x:v>
      </x:c>
      <x:c r="G1274" s="70" t="s">
        <x:v>1301</x:v>
      </x:c>
      <x:c r="H1274" s="70" t="s">
        <x:v>838</x:v>
      </x:c>
      <x:c r="I1274" s="70" t="s">
        <x:v>833</x:v>
      </x:c>
      <x:c r="J1274" s="70" t="n">
        <x:v>184</x:v>
      </x:c>
      <x:c r="K1274" s="70" t="s">
        <x:v>1940</x:v>
      </x:c>
      <x:c r="L1274" s="70" t="s">
        <x:v>919</x:v>
      </x:c>
      <x:c r="M1274" s="70" t="s">
        <x:v>39</x:v>
      </x:c>
      <x:c r="N1274" s="71" t="n">
        <x:v>5020000</x:v>
      </x:c>
      <x:c r="O1274" s="72" t="n">
        <x:f aca="0">N1274/1000</x:f>
        <x:v>5020</x:v>
      </x:c>
      <x:c r="P1274" s="73" t="n">
        <x:f aca="0">MLCF!D26</x:f>
        <x:v>5020</x:v>
      </x:c>
      <x:c r="Q1274" s="70" t="str">
        <x:f aca="0">IF(ABS(O1274-P1274)&lt;0.000001,"PASS","FAIL")</x:f>
        <x:v>PASS</x:v>
      </x:c>
      <x:c r="R1274" s="70" t="s">
        <x:v>33</x:v>
      </x:c>
      <x:c r="S1274" s="70"/>
    </x:row>
    <x:row r="1275" ht="15" hidden="0">
      <x:c r="A1275" s="70" t="s">
        <x:v>2234</x:v>
      </x:c>
      <x:c r="B1275" s="70" t="s">
        <x:v>41</x:v>
      </x:c>
      <x:c r="C1275" s="70" t="s">
        <x:v>102</x:v>
      </x:c>
      <x:c r="D1275" s="70" t="s">
        <x:v>122</x:v>
      </x:c>
      <x:c r="E1275" s="70" t="s">
        <x:v>763</x:v>
      </x:c>
      <x:c r="F1275" s="70" t="s">
        <x:v>2232</x:v>
      </x:c>
      <x:c r="G1275" s="70" t="s">
        <x:v>1304</x:v>
      </x:c>
      <x:c r="H1275" s="70" t="s">
        <x:v>842</x:v>
      </x:c>
      <x:c r="I1275" s="70" t="s">
        <x:v>833</x:v>
      </x:c>
      <x:c r="J1275" s="70" t="n">
        <x:v>98</x:v>
      </x:c>
      <x:c r="K1275" s="70" t="s">
        <x:v>2197</x:v>
      </x:c>
      <x:c r="L1275" s="70"/>
      <x:c r="M1275" s="70" t="s">
        <x:v>39</x:v>
      </x:c>
      <x:c r="N1275" s="71" t="n">
        <x:v>5020000</x:v>
      </x:c>
      <x:c r="O1275" s="72" t="n">
        <x:f aca="0">N1275/1000</x:f>
        <x:v>5020</x:v>
      </x:c>
      <x:c r="P1275" s="73" t="n">
        <x:f aca="0">MLCF!E26</x:f>
        <x:v>5020</x:v>
      </x:c>
      <x:c r="Q1275" s="70" t="str">
        <x:f aca="0">IF(ABS(O1275-P1275)&lt;0.000001,"PASS","FAIL")</x:f>
        <x:v>PASS</x:v>
      </x:c>
      <x:c r="R1275" s="70" t="s">
        <x:v>33</x:v>
      </x:c>
      <x:c r="S1275" s="70"/>
    </x:row>
    <x:row r="1276" ht="15" hidden="0">
      <x:c r="A1276" s="70" t="s">
        <x:v>2235</x:v>
      </x:c>
      <x:c r="B1276" s="70" t="s">
        <x:v>41</x:v>
      </x:c>
      <x:c r="C1276" s="70" t="s">
        <x:v>103</x:v>
      </x:c>
      <x:c r="D1276" s="70" t="s">
        <x:v>122</x:v>
      </x:c>
      <x:c r="E1276" s="70" t="s">
        <x:v>763</x:v>
      </x:c>
      <x:c r="F1276" s="70" t="s">
        <x:v>1796</x:v>
      </x:c>
      <x:c r="G1276" s="70" t="s">
        <x:v>1307</x:v>
      </x:c>
      <x:c r="H1276" s="70" t="s">
        <x:v>845</x:v>
      </x:c>
      <x:c r="I1276" s="70" t="s">
        <x:v>833</x:v>
      </x:c>
      <x:c r="J1276" s="70" t="n">
        <x:v>190</x:v>
      </x:c>
      <x:c r="K1276" s="70" t="s">
        <x:v>2199</x:v>
      </x:c>
      <x:c r="L1276" s="70" t="s">
        <x:v>919</x:v>
      </x:c>
      <x:c r="M1276" s="70" t="s">
        <x:v>39</x:v>
      </x:c>
      <x:c r="N1276" s="71" t="n">
        <x:v>5030000</x:v>
      </x:c>
      <x:c r="O1276" s="72" t="n">
        <x:f aca="0">N1276/1000</x:f>
        <x:v>5030</x:v>
      </x:c>
      <x:c r="P1276" s="73" t="n">
        <x:f aca="0">MLCF!F26</x:f>
        <x:v>5030</x:v>
      </x:c>
      <x:c r="Q1276" s="70" t="str">
        <x:f aca="0">IF(ABS(O1276-P1276)&lt;0.000001,"PASS","FAIL")</x:f>
        <x:v>PASS</x:v>
      </x:c>
      <x:c r="R1276" s="70" t="s">
        <x:v>33</x:v>
      </x:c>
      <x:c r="S1276" s="70"/>
    </x:row>
    <x:row r="1277" ht="15" hidden="0">
      <x:c r="A1277" s="70" t="s">
        <x:v>2236</x:v>
      </x:c>
      <x:c r="B1277" s="70" t="s">
        <x:v>41</x:v>
      </x:c>
      <x:c r="C1277" s="70" t="s">
        <x:v>104</x:v>
      </x:c>
      <x:c r="D1277" s="70" t="s">
        <x:v>122</x:v>
      </x:c>
      <x:c r="E1277" s="70" t="s">
        <x:v>763</x:v>
      </x:c>
      <x:c r="F1277" s="70" t="s">
        <x:v>1796</x:v>
      </x:c>
      <x:c r="G1277" s="70" t="s">
        <x:v>1310</x:v>
      </x:c>
      <x:c r="H1277" s="70" t="s">
        <x:v>849</x:v>
      </x:c>
      <x:c r="I1277" s="70" t="s">
        <x:v>833</x:v>
      </x:c>
      <x:c r="J1277" s="70" t="n">
        <x:v>202</x:v>
      </x:c>
      <x:c r="K1277" s="70" t="s">
        <x:v>2162</x:v>
      </x:c>
      <x:c r="L1277" s="70" t="s">
        <x:v>911</x:v>
      </x:c>
      <x:c r="M1277" s="70" t="s">
        <x:v>39</x:v>
      </x:c>
      <x:c r="N1277" s="71" t="n">
        <x:v>6322000</x:v>
      </x:c>
      <x:c r="O1277" s="72" t="n">
        <x:f aca="0">N1277/1000</x:f>
        <x:v>6322</x:v>
      </x:c>
      <x:c r="P1277" s="73" t="n">
        <x:f aca="0">MLCF!G26</x:f>
        <x:v>6322</x:v>
      </x:c>
      <x:c r="Q1277" s="70" t="str">
        <x:f aca="0">IF(ABS(O1277-P1277)&lt;0.000001,"PASS","FAIL")</x:f>
        <x:v>PASS</x:v>
      </x:c>
      <x:c r="R1277" s="70" t="s">
        <x:v>33</x:v>
      </x:c>
      <x:c r="S1277" s="70"/>
    </x:row>
    <x:row r="1278" ht="15" hidden="0">
      <x:c r="A1278" s="70" t="s">
        <x:v>2237</x:v>
      </x:c>
      <x:c r="B1278" s="70" t="s">
        <x:v>41</x:v>
      </x:c>
      <x:c r="C1278" s="70" t="s">
        <x:v>105</x:v>
      </x:c>
      <x:c r="D1278" s="70" t="s">
        <x:v>122</x:v>
      </x:c>
      <x:c r="E1278" s="70" t="s">
        <x:v>763</x:v>
      </x:c>
      <x:c r="F1278" s="70" t="s">
        <x:v>1796</x:v>
      </x:c>
      <x:c r="G1278" s="70" t="s">
        <x:v>1310</x:v>
      </x:c>
      <x:c r="H1278" s="70" t="s">
        <x:v>849</x:v>
      </x:c>
      <x:c r="I1278" s="70" t="s">
        <x:v>852</x:v>
      </x:c>
      <x:c r="J1278" s="70" t="n">
        <x:v>202</x:v>
      </x:c>
      <x:c r="K1278" s="70" t="s">
        <x:v>2162</x:v>
      </x:c>
      <x:c r="L1278" s="70" t="s">
        <x:v>911</x:v>
      </x:c>
      <x:c r="M1278" s="70" t="s">
        <x:v>39</x:v>
      </x:c>
      <x:c r="N1278" s="71" t="n">
        <x:v>20371110</x:v>
      </x:c>
      <x:c r="O1278" s="72" t="n">
        <x:f aca="0">N1278/1000</x:f>
        <x:v>20371.11</x:v>
      </x:c>
      <x:c r="P1278" s="73" t="n">
        <x:f aca="0">MLCF!H26</x:f>
        <x:v>20371.11</x:v>
      </x:c>
      <x:c r="Q1278" s="70" t="str">
        <x:f aca="0">IF(ABS(O1278-P1278)&lt;0.000001,"PASS","FAIL")</x:f>
        <x:v>PASS</x:v>
      </x:c>
      <x:c r="R1278" s="70" t="s">
        <x:v>33</x:v>
      </x:c>
      <x:c r="S1278" s="70"/>
    </x:row>
    <x:row r="1279" ht="15" hidden="0">
      <x:c r="A1279" s="70" t="s">
        <x:v>2238</x:v>
      </x:c>
      <x:c r="B1279" s="70" t="s">
        <x:v>41</x:v>
      </x:c>
      <x:c r="C1279" s="70" t="s">
        <x:v>717</x:v>
      </x:c>
      <x:c r="D1279" s="70" t="s">
        <x:v>124</x:v>
      </x:c>
      <x:c r="E1279" s="70" t="s">
        <x:v>763</x:v>
      </x:c>
      <x:c r="F1279" s="70" t="s">
        <x:v>2239</x:v>
      </x:c>
      <x:c r="G1279" s="70" t="s">
        <x:v>1298</x:v>
      </x:c>
      <x:c r="H1279" s="70" t="s">
        <x:v>832</x:v>
      </x:c>
      <x:c r="I1279" s="70" t="s">
        <x:v>833</x:v>
      </x:c>
      <x:c r="J1279" s="70" t="n">
        <x:v>163</x:v>
      </x:c>
      <x:c r="K1279" s="70" t="s">
        <x:v>2194</x:v>
      </x:c>
      <x:c r="L1279" s="70" t="s">
        <x:v>933</x:v>
      </x:c>
      <x:c r="M1279" s="70" t="s">
        <x:v>39</x:v>
      </x:c>
      <x:c r="N1279" s="71" t="n">
        <x:v>75616</x:v>
      </x:c>
      <x:c r="O1279" s="72" t="n">
        <x:f aca="0">N1279/1000</x:f>
        <x:v>75.616</x:v>
      </x:c>
      <x:c r="P1279" s="73" t="n">
        <x:f aca="0">MLCF!C27</x:f>
        <x:v>75.616</x:v>
      </x:c>
      <x:c r="Q1279" s="70" t="str">
        <x:f aca="0">IF(ABS(O1279-P1279)&lt;0.000001,"PASS","FAIL")</x:f>
        <x:v>PASS</x:v>
      </x:c>
      <x:c r="R1279" s="70" t="s">
        <x:v>33</x:v>
      </x:c>
      <x:c r="S1279" s="70"/>
    </x:row>
    <x:row r="1280" ht="15" hidden="0">
      <x:c r="A1280" s="70" t="s">
        <x:v>2240</x:v>
      </x:c>
      <x:c r="B1280" s="70" t="s">
        <x:v>41</x:v>
      </x:c>
      <x:c r="C1280" s="70" t="s">
        <x:v>101</x:v>
      </x:c>
      <x:c r="D1280" s="70" t="s">
        <x:v>124</x:v>
      </x:c>
      <x:c r="E1280" s="70" t="s">
        <x:v>763</x:v>
      </x:c>
      <x:c r="F1280" s="70" t="s">
        <x:v>2239</x:v>
      </x:c>
      <x:c r="G1280" s="70" t="s">
        <x:v>1301</x:v>
      </x:c>
      <x:c r="H1280" s="70" t="s">
        <x:v>838</x:v>
      </x:c>
      <x:c r="I1280" s="70" t="s">
        <x:v>833</x:v>
      </x:c>
      <x:c r="J1280" s="70" t="n">
        <x:v>184</x:v>
      </x:c>
      <x:c r="K1280" s="70" t="s">
        <x:v>1940</x:v>
      </x:c>
      <x:c r="L1280" s="70" t="s">
        <x:v>933</x:v>
      </x:c>
      <x:c r="M1280" s="70" t="s">
        <x:v>39</x:v>
      </x:c>
      <x:c r="N1280" s="71" t="n">
        <x:v>74306</x:v>
      </x:c>
      <x:c r="O1280" s="72" t="n">
        <x:f aca="0">N1280/1000</x:f>
        <x:v>74.306</x:v>
      </x:c>
      <x:c r="P1280" s="73" t="n">
        <x:f aca="0">MLCF!D27</x:f>
        <x:v>74.306</x:v>
      </x:c>
      <x:c r="Q1280" s="70" t="str">
        <x:f aca="0">IF(ABS(O1280-P1280)&lt;0.000001,"PASS","FAIL")</x:f>
        <x:v>PASS</x:v>
      </x:c>
      <x:c r="R1280" s="70" t="s">
        <x:v>33</x:v>
      </x:c>
      <x:c r="S1280" s="70"/>
    </x:row>
    <x:row r="1281" ht="15" hidden="0">
      <x:c r="A1281" s="70" t="s">
        <x:v>2241</x:v>
      </x:c>
      <x:c r="B1281" s="70" t="s">
        <x:v>41</x:v>
      </x:c>
      <x:c r="C1281" s="70" t="s">
        <x:v>102</x:v>
      </x:c>
      <x:c r="D1281" s="70" t="s">
        <x:v>124</x:v>
      </x:c>
      <x:c r="E1281" s="70" t="s">
        <x:v>763</x:v>
      </x:c>
      <x:c r="F1281" s="70" t="s">
        <x:v>2239</x:v>
      </x:c>
      <x:c r="G1281" s="70" t="s">
        <x:v>1304</x:v>
      </x:c>
      <x:c r="H1281" s="70" t="s">
        <x:v>842</x:v>
      </x:c>
      <x:c r="I1281" s="70" t="s">
        <x:v>833</x:v>
      </x:c>
      <x:c r="J1281" s="70" t="n">
        <x:v>98</x:v>
      </x:c>
      <x:c r="K1281" s="70" t="s">
        <x:v>2197</x:v>
      </x:c>
      <x:c r="L1281" s="70"/>
      <x:c r="M1281" s="70" t="s">
        <x:v>39</x:v>
      </x:c>
      <x:c r="N1281" s="71" t="n">
        <x:v>76966</x:v>
      </x:c>
      <x:c r="O1281" s="72" t="n">
        <x:f aca="0">N1281/1000</x:f>
        <x:v>76.966</x:v>
      </x:c>
      <x:c r="P1281" s="73" t="n">
        <x:f aca="0">MLCF!E27</x:f>
        <x:v>76.966</x:v>
      </x:c>
      <x:c r="Q1281" s="70" t="str">
        <x:f aca="0">IF(ABS(O1281-P1281)&lt;0.000001,"PASS","FAIL")</x:f>
        <x:v>PASS</x:v>
      </x:c>
      <x:c r="R1281" s="70" t="s">
        <x:v>33</x:v>
      </x:c>
      <x:c r="S1281" s="70"/>
    </x:row>
    <x:row r="1282" ht="15" hidden="0">
      <x:c r="A1282" s="70" t="s">
        <x:v>2242</x:v>
      </x:c>
      <x:c r="B1282" s="70" t="s">
        <x:v>41</x:v>
      </x:c>
      <x:c r="C1282" s="70" t="s">
        <x:v>103</x:v>
      </x:c>
      <x:c r="D1282" s="70" t="s">
        <x:v>124</x:v>
      </x:c>
      <x:c r="E1282" s="70" t="s">
        <x:v>763</x:v>
      </x:c>
      <x:c r="F1282" s="70" t="s">
        <x:v>2239</x:v>
      </x:c>
      <x:c r="G1282" s="70" t="s">
        <x:v>1307</x:v>
      </x:c>
      <x:c r="H1282" s="70" t="s">
        <x:v>845</x:v>
      </x:c>
      <x:c r="I1282" s="70" t="s">
        <x:v>833</x:v>
      </x:c>
      <x:c r="J1282" s="70" t="n">
        <x:v>190</x:v>
      </x:c>
      <x:c r="K1282" s="70" t="s">
        <x:v>2199</x:v>
      </x:c>
      <x:c r="L1282" s="70" t="s">
        <x:v>933</x:v>
      </x:c>
      <x:c r="M1282" s="70" t="s">
        <x:v>39</x:v>
      </x:c>
      <x:c r="N1282" s="71" t="n">
        <x:v>76490</x:v>
      </x:c>
      <x:c r="O1282" s="72" t="n">
        <x:f aca="0">N1282/1000</x:f>
        <x:v>76.49</x:v>
      </x:c>
      <x:c r="P1282" s="73" t="n">
        <x:f aca="0">MLCF!F27</x:f>
        <x:v>76.49</x:v>
      </x:c>
      <x:c r="Q1282" s="70" t="str">
        <x:f aca="0">IF(ABS(O1282-P1282)&lt;0.000001,"PASS","FAIL")</x:f>
        <x:v>PASS</x:v>
      </x:c>
      <x:c r="R1282" s="70" t="s">
        <x:v>33</x:v>
      </x:c>
      <x:c r="S1282" s="70"/>
    </x:row>
    <x:row r="1283" ht="15" hidden="0">
      <x:c r="A1283" s="70" t="s">
        <x:v>2243</x:v>
      </x:c>
      <x:c r="B1283" s="70" t="s">
        <x:v>41</x:v>
      </x:c>
      <x:c r="C1283" s="70" t="s">
        <x:v>104</x:v>
      </x:c>
      <x:c r="D1283" s="70" t="s">
        <x:v>124</x:v>
      </x:c>
      <x:c r="E1283" s="70" t="s">
        <x:v>763</x:v>
      </x:c>
      <x:c r="F1283" s="70" t="s">
        <x:v>2239</x:v>
      </x:c>
      <x:c r="G1283" s="70" t="s">
        <x:v>1310</x:v>
      </x:c>
      <x:c r="H1283" s="70" t="s">
        <x:v>849</x:v>
      </x:c>
      <x:c r="I1283" s="70" t="s">
        <x:v>833</x:v>
      </x:c>
      <x:c r="J1283" s="70" t="n">
        <x:v>202</x:v>
      </x:c>
      <x:c r="K1283" s="70" t="s">
        <x:v>2162</x:v>
      </x:c>
      <x:c r="L1283" s="70" t="s">
        <x:v>927</x:v>
      </x:c>
      <x:c r="M1283" s="70" t="s">
        <x:v>39</x:v>
      </x:c>
      <x:c r="N1283" s="71" t="n">
        <x:v>95437</x:v>
      </x:c>
      <x:c r="O1283" s="72" t="n">
        <x:f aca="0">N1283/1000</x:f>
        <x:v>95.437</x:v>
      </x:c>
      <x:c r="P1283" s="73" t="n">
        <x:f aca="0">MLCF!G27</x:f>
        <x:v>95.437</x:v>
      </x:c>
      <x:c r="Q1283" s="70" t="str">
        <x:f aca="0">IF(ABS(O1283-P1283)&lt;0.000001,"PASS","FAIL")</x:f>
        <x:v>PASS</x:v>
      </x:c>
      <x:c r="R1283" s="70" t="s">
        <x:v>33</x:v>
      </x:c>
      <x:c r="S1283" s="70"/>
    </x:row>
    <x:row r="1284" ht="15" hidden="0">
      <x:c r="A1284" s="70" t="s">
        <x:v>2244</x:v>
      </x:c>
      <x:c r="B1284" s="70" t="s">
        <x:v>41</x:v>
      </x:c>
      <x:c r="C1284" s="70" t="s">
        <x:v>105</x:v>
      </x:c>
      <x:c r="D1284" s="70" t="s">
        <x:v>124</x:v>
      </x:c>
      <x:c r="E1284" s="70" t="s">
        <x:v>763</x:v>
      </x:c>
      <x:c r="F1284" s="70" t="s">
        <x:v>2239</x:v>
      </x:c>
      <x:c r="G1284" s="70" t="s">
        <x:v>1310</x:v>
      </x:c>
      <x:c r="H1284" s="70" t="s">
        <x:v>849</x:v>
      </x:c>
      <x:c r="I1284" s="70" t="s">
        <x:v>852</x:v>
      </x:c>
      <x:c r="J1284" s="70" t="n">
        <x:v>202</x:v>
      </x:c>
      <x:c r="K1284" s="70" t="s">
        <x:v>2162</x:v>
      </x:c>
      <x:c r="L1284" s="70" t="s">
        <x:v>927</x:v>
      </x:c>
      <x:c r="M1284" s="70" t="s">
        <x:v>39</x:v>
      </x:c>
      <x:c r="N1284" s="71" t="n">
        <x:v>83919</x:v>
      </x:c>
      <x:c r="O1284" s="72" t="n">
        <x:f aca="0">N1284/1000</x:f>
        <x:v>83.919</x:v>
      </x:c>
      <x:c r="P1284" s="73" t="n">
        <x:f aca="0">MLCF!H27</x:f>
        <x:v>83.919</x:v>
      </x:c>
      <x:c r="Q1284" s="70" t="str">
        <x:f aca="0">IF(ABS(O1284-P1284)&lt;0.000001,"PASS","FAIL")</x:f>
        <x:v>PASS</x:v>
      </x:c>
      <x:c r="R1284" s="70" t="s">
        <x:v>33</x:v>
      </x:c>
      <x:c r="S1284" s="70"/>
    </x:row>
    <x:row r="1285" ht="15" hidden="0">
      <x:c r="A1285" s="70" t="s">
        <x:v>2245</x:v>
      </x:c>
      <x:c r="B1285" s="70" t="s">
        <x:v>41</x:v>
      </x:c>
      <x:c r="C1285" s="70" t="s">
        <x:v>717</x:v>
      </x:c>
      <x:c r="D1285" s="70" t="s">
        <x:v>129</x:v>
      </x:c>
      <x:c r="E1285" s="70" t="s">
        <x:v>763</x:v>
      </x:c>
      <x:c r="F1285" s="70" t="s">
        <x:v>1806</x:v>
      </x:c>
      <x:c r="G1285" s="70" t="s">
        <x:v>1298</x:v>
      </x:c>
      <x:c r="H1285" s="70" t="s">
        <x:v>832</x:v>
      </x:c>
      <x:c r="I1285" s="70" t="s">
        <x:v>833</x:v>
      </x:c>
      <x:c r="J1285" s="70" t="n">
        <x:v>163</x:v>
      </x:c>
      <x:c r="K1285" s="70" t="s">
        <x:v>2194</x:v>
      </x:c>
      <x:c r="L1285" s="70" t="s">
        <x:v>935</x:v>
      </x:c>
      <x:c r="M1285" s="70" t="s">
        <x:v>39</x:v>
      </x:c>
      <x:c r="N1285" s="71" t="n">
        <x:v>8395610</x:v>
      </x:c>
      <x:c r="O1285" s="72" t="n">
        <x:f aca="0">N1285/1000</x:f>
        <x:v>8395.61</x:v>
      </x:c>
      <x:c r="P1285" s="73" t="n">
        <x:f aca="0">MLCF!C30</x:f>
        <x:v>8395.61</x:v>
      </x:c>
      <x:c r="Q1285" s="70" t="str">
        <x:f aca="0">IF(ABS(O1285-P1285)&lt;0.000001,"PASS","FAIL")</x:f>
        <x:v>PASS</x:v>
      </x:c>
      <x:c r="R1285" s="70" t="s">
        <x:v>33</x:v>
      </x:c>
      <x:c r="S1285" s="70"/>
    </x:row>
    <x:row r="1286" ht="15" hidden="0">
      <x:c r="A1286" s="70" t="s">
        <x:v>2246</x:v>
      </x:c>
      <x:c r="B1286" s="70" t="s">
        <x:v>41</x:v>
      </x:c>
      <x:c r="C1286" s="70" t="s">
        <x:v>101</x:v>
      </x:c>
      <x:c r="D1286" s="70" t="s">
        <x:v>129</x:v>
      </x:c>
      <x:c r="E1286" s="70" t="s">
        <x:v>763</x:v>
      </x:c>
      <x:c r="F1286" s="70" t="s">
        <x:v>1806</x:v>
      </x:c>
      <x:c r="G1286" s="70" t="s">
        <x:v>1301</x:v>
      </x:c>
      <x:c r="H1286" s="70" t="s">
        <x:v>838</x:v>
      </x:c>
      <x:c r="I1286" s="70" t="s">
        <x:v>833</x:v>
      </x:c>
      <x:c r="J1286" s="70" t="n">
        <x:v>184</x:v>
      </x:c>
      <x:c r="K1286" s="70" t="s">
        <x:v>1940</x:v>
      </x:c>
      <x:c r="L1286" s="70" t="s">
        <x:v>935</x:v>
      </x:c>
      <x:c r="M1286" s="70" t="s">
        <x:v>39</x:v>
      </x:c>
      <x:c r="N1286" s="71" t="n">
        <x:v>9738717</x:v>
      </x:c>
      <x:c r="O1286" s="72" t="n">
        <x:f aca="0">N1286/1000</x:f>
        <x:v>9738.717</x:v>
      </x:c>
      <x:c r="P1286" s="73" t="n">
        <x:f aca="0">MLCF!D30</x:f>
        <x:v>9738.717</x:v>
      </x:c>
      <x:c r="Q1286" s="70" t="str">
        <x:f aca="0">IF(ABS(O1286-P1286)&lt;0.000001,"PASS","FAIL")</x:f>
        <x:v>PASS</x:v>
      </x:c>
      <x:c r="R1286" s="70" t="s">
        <x:v>33</x:v>
      </x:c>
      <x:c r="S1286" s="70"/>
    </x:row>
    <x:row r="1287" ht="15" hidden="0">
      <x:c r="A1287" s="70" t="s">
        <x:v>2247</x:v>
      </x:c>
      <x:c r="B1287" s="70" t="s">
        <x:v>41</x:v>
      </x:c>
      <x:c r="C1287" s="70" t="s">
        <x:v>102</x:v>
      </x:c>
      <x:c r="D1287" s="70" t="s">
        <x:v>129</x:v>
      </x:c>
      <x:c r="E1287" s="70" t="s">
        <x:v>763</x:v>
      </x:c>
      <x:c r="F1287" s="70" t="s">
        <x:v>1806</x:v>
      </x:c>
      <x:c r="G1287" s="70" t="s">
        <x:v>1304</x:v>
      </x:c>
      <x:c r="H1287" s="70" t="s">
        <x:v>842</x:v>
      </x:c>
      <x:c r="I1287" s="70" t="s">
        <x:v>833</x:v>
      </x:c>
      <x:c r="J1287" s="70" t="n">
        <x:v>98</x:v>
      </x:c>
      <x:c r="K1287" s="70" t="s">
        <x:v>2197</x:v>
      </x:c>
      <x:c r="L1287" s="70"/>
      <x:c r="M1287" s="70" t="s">
        <x:v>39</x:v>
      </x:c>
      <x:c r="N1287" s="71" t="n">
        <x:v>12853605</x:v>
      </x:c>
      <x:c r="O1287" s="72" t="n">
        <x:f aca="0">N1287/1000</x:f>
        <x:v>12853.605</x:v>
      </x:c>
      <x:c r="P1287" s="73" t="n">
        <x:f aca="0">MLCF!E30</x:f>
        <x:v>12853.605</x:v>
      </x:c>
      <x:c r="Q1287" s="70" t="str">
        <x:f aca="0">IF(ABS(O1287-P1287)&lt;0.000001,"PASS","FAIL")</x:f>
        <x:v>PASS</x:v>
      </x:c>
      <x:c r="R1287" s="70" t="s">
        <x:v>33</x:v>
      </x:c>
      <x:c r="S1287" s="70"/>
    </x:row>
    <x:row r="1288" ht="15" hidden="0">
      <x:c r="A1288" s="70" t="s">
        <x:v>2248</x:v>
      </x:c>
      <x:c r="B1288" s="70" t="s">
        <x:v>41</x:v>
      </x:c>
      <x:c r="C1288" s="70" t="s">
        <x:v>103</x:v>
      </x:c>
      <x:c r="D1288" s="70" t="s">
        <x:v>129</x:v>
      </x:c>
      <x:c r="E1288" s="70" t="s">
        <x:v>763</x:v>
      </x:c>
      <x:c r="F1288" s="70" t="s">
        <x:v>1806</x:v>
      </x:c>
      <x:c r="G1288" s="70" t="s">
        <x:v>1307</x:v>
      </x:c>
      <x:c r="H1288" s="70" t="s">
        <x:v>845</x:v>
      </x:c>
      <x:c r="I1288" s="70" t="s">
        <x:v>833</x:v>
      </x:c>
      <x:c r="J1288" s="70" t="n">
        <x:v>190</x:v>
      </x:c>
      <x:c r="K1288" s="70" t="s">
        <x:v>2199</x:v>
      </x:c>
      <x:c r="L1288" s="70" t="s">
        <x:v>935</x:v>
      </x:c>
      <x:c r="M1288" s="70" t="s">
        <x:v>39</x:v>
      </x:c>
      <x:c r="N1288" s="71" t="n">
        <x:v>9925855</x:v>
      </x:c>
      <x:c r="O1288" s="72" t="n">
        <x:f aca="0">N1288/1000</x:f>
        <x:v>9925.855</x:v>
      </x:c>
      <x:c r="P1288" s="73" t="n">
        <x:f aca="0">MLCF!F30</x:f>
        <x:v>9925.855</x:v>
      </x:c>
      <x:c r="Q1288" s="70" t="str">
        <x:f aca="0">IF(ABS(O1288-P1288)&lt;0.000001,"PASS","FAIL")</x:f>
        <x:v>PASS</x:v>
      </x:c>
      <x:c r="R1288" s="70" t="s">
        <x:v>33</x:v>
      </x:c>
      <x:c r="S1288" s="70" t="s">
        <x:v>839</x:v>
      </x:c>
    </x:row>
    <x:row r="1289" ht="15" hidden="0">
      <x:c r="A1289" s="70" t="s">
        <x:v>2249</x:v>
      </x:c>
      <x:c r="B1289" s="70" t="s">
        <x:v>41</x:v>
      </x:c>
      <x:c r="C1289" s="70" t="s">
        <x:v>104</x:v>
      </x:c>
      <x:c r="D1289" s="70" t="s">
        <x:v>129</x:v>
      </x:c>
      <x:c r="E1289" s="70" t="s">
        <x:v>763</x:v>
      </x:c>
      <x:c r="F1289" s="70" t="s">
        <x:v>1806</x:v>
      </x:c>
      <x:c r="G1289" s="70" t="s">
        <x:v>1310</x:v>
      </x:c>
      <x:c r="H1289" s="70" t="s">
        <x:v>849</x:v>
      </x:c>
      <x:c r="I1289" s="70" t="s">
        <x:v>833</x:v>
      </x:c>
      <x:c r="J1289" s="70" t="n">
        <x:v>202</x:v>
      </x:c>
      <x:c r="K1289" s="70" t="s">
        <x:v>2162</x:v>
      </x:c>
      <x:c r="L1289" s="70" t="s">
        <x:v>933</x:v>
      </x:c>
      <x:c r="M1289" s="70" t="s">
        <x:v>39</x:v>
      </x:c>
      <x:c r="N1289" s="71" t="n">
        <x:v>12277288</x:v>
      </x:c>
      <x:c r="O1289" s="72" t="n">
        <x:f aca="0">N1289/1000</x:f>
        <x:v>12277.288</x:v>
      </x:c>
      <x:c r="P1289" s="73" t="n">
        <x:f aca="0">MLCF!G30</x:f>
        <x:v>12277.288</x:v>
      </x:c>
      <x:c r="Q1289" s="70" t="str">
        <x:f aca="0">IF(ABS(O1289-P1289)&lt;0.000001,"PASS","FAIL")</x:f>
        <x:v>PASS</x:v>
      </x:c>
      <x:c r="R1289" s="70" t="s">
        <x:v>33</x:v>
      </x:c>
      <x:c r="S1289" s="70"/>
    </x:row>
    <x:row r="1290" ht="15" hidden="0">
      <x:c r="A1290" s="70" t="s">
        <x:v>2250</x:v>
      </x:c>
      <x:c r="B1290" s="70" t="s">
        <x:v>41</x:v>
      </x:c>
      <x:c r="C1290" s="70" t="s">
        <x:v>105</x:v>
      </x:c>
      <x:c r="D1290" s="70" t="s">
        <x:v>129</x:v>
      </x:c>
      <x:c r="E1290" s="70" t="s">
        <x:v>763</x:v>
      </x:c>
      <x:c r="F1290" s="70" t="s">
        <x:v>1806</x:v>
      </x:c>
      <x:c r="G1290" s="70" t="s">
        <x:v>1310</x:v>
      </x:c>
      <x:c r="H1290" s="70" t="s">
        <x:v>849</x:v>
      </x:c>
      <x:c r="I1290" s="70" t="s">
        <x:v>852</x:v>
      </x:c>
      <x:c r="J1290" s="70" t="n">
        <x:v>202</x:v>
      </x:c>
      <x:c r="K1290" s="70" t="s">
        <x:v>2162</x:v>
      </x:c>
      <x:c r="L1290" s="70" t="s">
        <x:v>933</x:v>
      </x:c>
      <x:c r="M1290" s="70" t="s">
        <x:v>39</x:v>
      </x:c>
      <x:c r="N1290" s="71" t="n">
        <x:v>12461312</x:v>
      </x:c>
      <x:c r="O1290" s="72" t="n">
        <x:f aca="0">N1290/1000</x:f>
        <x:v>12461.312</x:v>
      </x:c>
      <x:c r="P1290" s="73" t="n">
        <x:f aca="0">MLCF!H30</x:f>
        <x:v>12461.312</x:v>
      </x:c>
      <x:c r="Q1290" s="70" t="str">
        <x:f aca="0">IF(ABS(O1290-P1290)&lt;0.000001,"PASS","FAIL")</x:f>
        <x:v>PASS</x:v>
      </x:c>
      <x:c r="R1290" s="70" t="s">
        <x:v>33</x:v>
      </x:c>
      <x:c r="S1290" s="70"/>
    </x:row>
    <x:row r="1291" ht="15" hidden="0">
      <x:c r="A1291" s="70" t="s">
        <x:v>2251</x:v>
      </x:c>
      <x:c r="B1291" s="70" t="s">
        <x:v>41</x:v>
      </x:c>
      <x:c r="C1291" s="70" t="s">
        <x:v>717</x:v>
      </x:c>
      <x:c r="D1291" s="70" t="s">
        <x:v>131</x:v>
      </x:c>
      <x:c r="E1291" s="70" t="s">
        <x:v>763</x:v>
      </x:c>
      <x:c r="F1291" s="70" t="s">
        <x:v>131</x:v>
      </x:c>
      <x:c r="G1291" s="70" t="s">
        <x:v>1298</x:v>
      </x:c>
      <x:c r="H1291" s="70" t="s">
        <x:v>832</x:v>
      </x:c>
      <x:c r="I1291" s="70" t="s">
        <x:v>833</x:v>
      </x:c>
      <x:c r="J1291" s="70" t="n">
        <x:v>163</x:v>
      </x:c>
      <x:c r="K1291" s="70" t="s">
        <x:v>2194</x:v>
      </x:c>
      <x:c r="L1291" s="70" t="s">
        <x:v>1479</x:v>
      </x:c>
      <x:c r="M1291" s="70" t="s">
        <x:v>39</x:v>
      </x:c>
      <x:c r="N1291" s="71" t="n">
        <x:v>1779404</x:v>
      </x:c>
      <x:c r="O1291" s="72" t="n">
        <x:f aca="0">N1291/1000</x:f>
        <x:v>1779.404</x:v>
      </x:c>
      <x:c r="P1291" s="73" t="n">
        <x:f aca="0">MLCF!C31</x:f>
        <x:v>1779.404</x:v>
      </x:c>
      <x:c r="Q1291" s="70" t="str">
        <x:f aca="0">IF(ABS(O1291-P1291)&lt;0.000001,"PASS","FAIL")</x:f>
        <x:v>PASS</x:v>
      </x:c>
      <x:c r="R1291" s="70" t="s">
        <x:v>33</x:v>
      </x:c>
      <x:c r="S1291" s="70"/>
    </x:row>
    <x:row r="1292" ht="15" hidden="0">
      <x:c r="A1292" s="70" t="s">
        <x:v>2252</x:v>
      </x:c>
      <x:c r="B1292" s="70" t="s">
        <x:v>41</x:v>
      </x:c>
      <x:c r="C1292" s="70" t="s">
        <x:v>101</x:v>
      </x:c>
      <x:c r="D1292" s="70" t="s">
        <x:v>131</x:v>
      </x:c>
      <x:c r="E1292" s="70" t="s">
        <x:v>763</x:v>
      </x:c>
      <x:c r="F1292" s="70" t="s">
        <x:v>131</x:v>
      </x:c>
      <x:c r="G1292" s="70" t="s">
        <x:v>1301</x:v>
      </x:c>
      <x:c r="H1292" s="70" t="s">
        <x:v>838</x:v>
      </x:c>
      <x:c r="I1292" s="70" t="s">
        <x:v>833</x:v>
      </x:c>
      <x:c r="J1292" s="70" t="n">
        <x:v>184</x:v>
      </x:c>
      <x:c r="K1292" s="70" t="s">
        <x:v>1940</x:v>
      </x:c>
      <x:c r="L1292" s="70" t="s">
        <x:v>1479</x:v>
      </x:c>
      <x:c r="M1292" s="70" t="s">
        <x:v>39</x:v>
      </x:c>
      <x:c r="N1292" s="71" t="n">
        <x:v>2150183</x:v>
      </x:c>
      <x:c r="O1292" s="72" t="n">
        <x:f aca="0">N1292/1000</x:f>
        <x:v>2150.183</x:v>
      </x:c>
      <x:c r="P1292" s="73" t="n">
        <x:f aca="0">MLCF!D31</x:f>
        <x:v>2150.183</x:v>
      </x:c>
      <x:c r="Q1292" s="70" t="str">
        <x:f aca="0">IF(ABS(O1292-P1292)&lt;0.000001,"PASS","FAIL")</x:f>
        <x:v>PASS</x:v>
      </x:c>
      <x:c r="R1292" s="70" t="s">
        <x:v>33</x:v>
      </x:c>
      <x:c r="S1292" s="70"/>
    </x:row>
    <x:row r="1293" ht="15" hidden="0">
      <x:c r="A1293" s="70" t="s">
        <x:v>2253</x:v>
      </x:c>
      <x:c r="B1293" s="70" t="s">
        <x:v>41</x:v>
      </x:c>
      <x:c r="C1293" s="70" t="s">
        <x:v>102</x:v>
      </x:c>
      <x:c r="D1293" s="70" t="s">
        <x:v>131</x:v>
      </x:c>
      <x:c r="E1293" s="70" t="s">
        <x:v>763</x:v>
      </x:c>
      <x:c r="F1293" s="70" t="s">
        <x:v>131</x:v>
      </x:c>
      <x:c r="G1293" s="70" t="s">
        <x:v>1304</x:v>
      </x:c>
      <x:c r="H1293" s="70" t="s">
        <x:v>842</x:v>
      </x:c>
      <x:c r="I1293" s="70" t="s">
        <x:v>833</x:v>
      </x:c>
      <x:c r="J1293" s="70" t="n">
        <x:v>98</x:v>
      </x:c>
      <x:c r="K1293" s="70" t="s">
        <x:v>2197</x:v>
      </x:c>
      <x:c r="L1293" s="70"/>
      <x:c r="M1293" s="70" t="s">
        <x:v>39</x:v>
      </x:c>
      <x:c r="N1293" s="71" t="n">
        <x:v>2695621</x:v>
      </x:c>
      <x:c r="O1293" s="72" t="n">
        <x:f aca="0">N1293/1000</x:f>
        <x:v>2695.621</x:v>
      </x:c>
      <x:c r="P1293" s="73" t="n">
        <x:f aca="0">MLCF!E31</x:f>
        <x:v>2695.621</x:v>
      </x:c>
      <x:c r="Q1293" s="70" t="str">
        <x:f aca="0">IF(ABS(O1293-P1293)&lt;0.000001,"PASS","FAIL")</x:f>
        <x:v>PASS</x:v>
      </x:c>
      <x:c r="R1293" s="70" t="s">
        <x:v>33</x:v>
      </x:c>
      <x:c r="S1293" s="70"/>
    </x:row>
    <x:row r="1294" ht="15" hidden="0">
      <x:c r="A1294" s="70" t="s">
        <x:v>2254</x:v>
      </x:c>
      <x:c r="B1294" s="70" t="s">
        <x:v>41</x:v>
      </x:c>
      <x:c r="C1294" s="70" t="s">
        <x:v>103</x:v>
      </x:c>
      <x:c r="D1294" s="70" t="s">
        <x:v>131</x:v>
      </x:c>
      <x:c r="E1294" s="70" t="s">
        <x:v>763</x:v>
      </x:c>
      <x:c r="F1294" s="70" t="s">
        <x:v>131</x:v>
      </x:c>
      <x:c r="G1294" s="70" t="s">
        <x:v>1307</x:v>
      </x:c>
      <x:c r="H1294" s="70" t="s">
        <x:v>845</x:v>
      </x:c>
      <x:c r="I1294" s="70" t="s">
        <x:v>833</x:v>
      </x:c>
      <x:c r="J1294" s="70" t="n">
        <x:v>190</x:v>
      </x:c>
      <x:c r="K1294" s="70" t="s">
        <x:v>2199</x:v>
      </x:c>
      <x:c r="L1294" s="70" t="s">
        <x:v>1479</x:v>
      </x:c>
      <x:c r="M1294" s="70" t="s">
        <x:v>39</x:v>
      </x:c>
      <x:c r="N1294" s="71" t="n">
        <x:v>3874605</x:v>
      </x:c>
      <x:c r="O1294" s="72" t="n">
        <x:f aca="0">N1294/1000</x:f>
        <x:v>3874.605</x:v>
      </x:c>
      <x:c r="P1294" s="73" t="n">
        <x:f aca="0">MLCF!F31</x:f>
        <x:v>3874.605</x:v>
      </x:c>
      <x:c r="Q1294" s="70" t="str">
        <x:f aca="0">IF(ABS(O1294-P1294)&lt;0.000001,"PASS","FAIL")</x:f>
        <x:v>PASS</x:v>
      </x:c>
      <x:c r="R1294" s="70" t="s">
        <x:v>33</x:v>
      </x:c>
      <x:c r="S1294" s="70"/>
    </x:row>
    <x:row r="1295" ht="15" hidden="0">
      <x:c r="A1295" s="70" t="s">
        <x:v>2255</x:v>
      </x:c>
      <x:c r="B1295" s="70" t="s">
        <x:v>41</x:v>
      </x:c>
      <x:c r="C1295" s="70" t="s">
        <x:v>104</x:v>
      </x:c>
      <x:c r="D1295" s="70" t="s">
        <x:v>131</x:v>
      </x:c>
      <x:c r="E1295" s="70" t="s">
        <x:v>763</x:v>
      </x:c>
      <x:c r="F1295" s="70" t="s">
        <x:v>131</x:v>
      </x:c>
      <x:c r="G1295" s="70" t="s">
        <x:v>1310</x:v>
      </x:c>
      <x:c r="H1295" s="70" t="s">
        <x:v>849</x:v>
      </x:c>
      <x:c r="I1295" s="70" t="s">
        <x:v>833</x:v>
      </x:c>
      <x:c r="J1295" s="70" t="n">
        <x:v>202</x:v>
      </x:c>
      <x:c r="K1295" s="70" t="s">
        <x:v>2162</x:v>
      </x:c>
      <x:c r="L1295" s="70" t="s">
        <x:v>935</x:v>
      </x:c>
      <x:c r="M1295" s="70" t="s">
        <x:v>39</x:v>
      </x:c>
      <x:c r="N1295" s="71" t="n">
        <x:v>3256553</x:v>
      </x:c>
      <x:c r="O1295" s="72" t="n">
        <x:f aca="0">N1295/1000</x:f>
        <x:v>3256.553</x:v>
      </x:c>
      <x:c r="P1295" s="73" t="n">
        <x:f aca="0">MLCF!G31</x:f>
        <x:v>3256.553</x:v>
      </x:c>
      <x:c r="Q1295" s="70" t="str">
        <x:f aca="0">IF(ABS(O1295-P1295)&lt;0.000001,"PASS","FAIL")</x:f>
        <x:v>PASS</x:v>
      </x:c>
      <x:c r="R1295" s="70" t="s">
        <x:v>33</x:v>
      </x:c>
      <x:c r="S1295" s="70"/>
    </x:row>
    <x:row r="1296" ht="15" hidden="0">
      <x:c r="A1296" s="70" t="s">
        <x:v>2256</x:v>
      </x:c>
      <x:c r="B1296" s="70" t="s">
        <x:v>41</x:v>
      </x:c>
      <x:c r="C1296" s="70" t="s">
        <x:v>105</x:v>
      </x:c>
      <x:c r="D1296" s="70" t="s">
        <x:v>131</x:v>
      </x:c>
      <x:c r="E1296" s="70" t="s">
        <x:v>763</x:v>
      </x:c>
      <x:c r="F1296" s="70" t="s">
        <x:v>131</x:v>
      </x:c>
      <x:c r="G1296" s="70" t="s">
        <x:v>1310</x:v>
      </x:c>
      <x:c r="H1296" s="70" t="s">
        <x:v>849</x:v>
      </x:c>
      <x:c r="I1296" s="70" t="s">
        <x:v>852</x:v>
      </x:c>
      <x:c r="J1296" s="70" t="n">
        <x:v>202</x:v>
      </x:c>
      <x:c r="K1296" s="70" t="s">
        <x:v>2162</x:v>
      </x:c>
      <x:c r="L1296" s="70" t="s">
        <x:v>935</x:v>
      </x:c>
      <x:c r="M1296" s="70" t="s">
        <x:v>39</x:v>
      </x:c>
      <x:c r="N1296" s="71" t="n">
        <x:v>4442989</x:v>
      </x:c>
      <x:c r="O1296" s="72" t="n">
        <x:f aca="0">N1296/1000</x:f>
        <x:v>4442.989</x:v>
      </x:c>
      <x:c r="P1296" s="73" t="n">
        <x:f aca="0">MLCF!H31</x:f>
        <x:v>4442.989</x:v>
      </x:c>
      <x:c r="Q1296" s="70" t="str">
        <x:f aca="0">IF(ABS(O1296-P1296)&lt;0.000001,"PASS","FAIL")</x:f>
        <x:v>PASS</x:v>
      </x:c>
      <x:c r="R1296" s="70" t="s">
        <x:v>33</x:v>
      </x:c>
      <x:c r="S1296" s="70"/>
    </x:row>
    <x:row r="1297" ht="15" hidden="0">
      <x:c r="A1297" s="70" t="s">
        <x:v>2257</x:v>
      </x:c>
      <x:c r="B1297" s="70" t="s">
        <x:v>41</x:v>
      </x:c>
      <x:c r="C1297" s="70" t="s">
        <x:v>717</x:v>
      </x:c>
      <x:c r="D1297" s="70" t="s">
        <x:v>133</x:v>
      </x:c>
      <x:c r="E1297" s="70" t="s">
        <x:v>763</x:v>
      </x:c>
      <x:c r="F1297" s="70" t="s">
        <x:v>133</x:v>
      </x:c>
      <x:c r="G1297" s="70" t="s">
        <x:v>1298</x:v>
      </x:c>
      <x:c r="H1297" s="70" t="s">
        <x:v>832</x:v>
      </x:c>
      <x:c r="I1297" s="70" t="s">
        <x:v>833</x:v>
      </x:c>
      <x:c r="J1297" s="70" t="n">
        <x:v>163</x:v>
      </x:c>
      <x:c r="K1297" s="70" t="s">
        <x:v>2194</x:v>
      </x:c>
      <x:c r="L1297" s="70" t="s">
        <x:v>1832</x:v>
      </x:c>
      <x:c r="M1297" s="70" t="s">
        <x:v>39</x:v>
      </x:c>
      <x:c r="N1297" s="71" t="n">
        <x:v>3052130</x:v>
      </x:c>
      <x:c r="O1297" s="72" t="n">
        <x:f aca="0">N1297/1000</x:f>
        <x:v>3052.13</x:v>
      </x:c>
      <x:c r="P1297" s="73" t="n">
        <x:f aca="0">MLCF!C32</x:f>
        <x:v>3052.13</x:v>
      </x:c>
      <x:c r="Q1297" s="70" t="str">
        <x:f aca="0">IF(ABS(O1297-P1297)&lt;0.000001,"PASS","FAIL")</x:f>
        <x:v>PASS</x:v>
      </x:c>
      <x:c r="R1297" s="70" t="s">
        <x:v>33</x:v>
      </x:c>
      <x:c r="S1297" s="70"/>
    </x:row>
    <x:row r="1298" ht="15" hidden="0">
      <x:c r="A1298" s="70" t="s">
        <x:v>2258</x:v>
      </x:c>
      <x:c r="B1298" s="70" t="s">
        <x:v>41</x:v>
      </x:c>
      <x:c r="C1298" s="70" t="s">
        <x:v>101</x:v>
      </x:c>
      <x:c r="D1298" s="70" t="s">
        <x:v>133</x:v>
      </x:c>
      <x:c r="E1298" s="70" t="s">
        <x:v>763</x:v>
      </x:c>
      <x:c r="F1298" s="70" t="s">
        <x:v>133</x:v>
      </x:c>
      <x:c r="G1298" s="70" t="s">
        <x:v>1301</x:v>
      </x:c>
      <x:c r="H1298" s="70" t="s">
        <x:v>838</x:v>
      </x:c>
      <x:c r="I1298" s="70" t="s">
        <x:v>833</x:v>
      </x:c>
      <x:c r="J1298" s="70" t="n">
        <x:v>184</x:v>
      </x:c>
      <x:c r="K1298" s="70" t="s">
        <x:v>1940</x:v>
      </x:c>
      <x:c r="L1298" s="70" t="s">
        <x:v>1832</x:v>
      </x:c>
      <x:c r="M1298" s="70" t="s">
        <x:v>39</x:v>
      </x:c>
      <x:c r="N1298" s="71" t="n">
        <x:v>1679704</x:v>
      </x:c>
      <x:c r="O1298" s="72" t="n">
        <x:f aca="0">N1298/1000</x:f>
        <x:v>1679.704</x:v>
      </x:c>
      <x:c r="P1298" s="73" t="n">
        <x:f aca="0">MLCF!D32</x:f>
        <x:v>1679.704</x:v>
      </x:c>
      <x:c r="Q1298" s="70" t="str">
        <x:f aca="0">IF(ABS(O1298-P1298)&lt;0.000001,"PASS","FAIL")</x:f>
        <x:v>PASS</x:v>
      </x:c>
      <x:c r="R1298" s="70" t="s">
        <x:v>33</x:v>
      </x:c>
      <x:c r="S1298" s="70"/>
    </x:row>
    <x:row r="1299" ht="15" hidden="0">
      <x:c r="A1299" s="70" t="s">
        <x:v>2259</x:v>
      </x:c>
      <x:c r="B1299" s="70" t="s">
        <x:v>41</x:v>
      </x:c>
      <x:c r="C1299" s="70" t="s">
        <x:v>102</x:v>
      </x:c>
      <x:c r="D1299" s="70" t="s">
        <x:v>133</x:v>
      </x:c>
      <x:c r="E1299" s="70" t="s">
        <x:v>763</x:v>
      </x:c>
      <x:c r="F1299" s="70" t="s">
        <x:v>133</x:v>
      </x:c>
      <x:c r="G1299" s="70" t="s">
        <x:v>1304</x:v>
      </x:c>
      <x:c r="H1299" s="70" t="s">
        <x:v>842</x:v>
      </x:c>
      <x:c r="I1299" s="70" t="s">
        <x:v>833</x:v>
      </x:c>
      <x:c r="J1299" s="70" t="n">
        <x:v>98</x:v>
      </x:c>
      <x:c r="K1299" s="70" t="s">
        <x:v>2197</x:v>
      </x:c>
      <x:c r="L1299" s="70"/>
      <x:c r="M1299" s="70" t="s">
        <x:v>39</x:v>
      </x:c>
      <x:c r="N1299" s="71" t="n">
        <x:v>2066212</x:v>
      </x:c>
      <x:c r="O1299" s="72" t="n">
        <x:f aca="0">N1299/1000</x:f>
        <x:v>2066.212</x:v>
      </x:c>
      <x:c r="P1299" s="73" t="n">
        <x:f aca="0">MLCF!E32</x:f>
        <x:v>2066.212</x:v>
      </x:c>
      <x:c r="Q1299" s="70" t="str">
        <x:f aca="0">IF(ABS(O1299-P1299)&lt;0.000001,"PASS","FAIL")</x:f>
        <x:v>PASS</x:v>
      </x:c>
      <x:c r="R1299" s="70" t="s">
        <x:v>33</x:v>
      </x:c>
      <x:c r="S1299" s="70"/>
    </x:row>
    <x:row r="1300" ht="15" hidden="0">
      <x:c r="A1300" s="70" t="s">
        <x:v>2260</x:v>
      </x:c>
      <x:c r="B1300" s="70" t="s">
        <x:v>41</x:v>
      </x:c>
      <x:c r="C1300" s="70" t="s">
        <x:v>103</x:v>
      </x:c>
      <x:c r="D1300" s="70" t="s">
        <x:v>133</x:v>
      </x:c>
      <x:c r="E1300" s="70" t="s">
        <x:v>763</x:v>
      </x:c>
      <x:c r="F1300" s="70" t="s">
        <x:v>133</x:v>
      </x:c>
      <x:c r="G1300" s="70" t="s">
        <x:v>1307</x:v>
      </x:c>
      <x:c r="H1300" s="70" t="s">
        <x:v>845</x:v>
      </x:c>
      <x:c r="I1300" s="70" t="s">
        <x:v>833</x:v>
      </x:c>
      <x:c r="J1300" s="70" t="n">
        <x:v>190</x:v>
      </x:c>
      <x:c r="K1300" s="70" t="s">
        <x:v>2199</x:v>
      </x:c>
      <x:c r="L1300" s="70" t="s">
        <x:v>1832</x:v>
      </x:c>
      <x:c r="M1300" s="70" t="s">
        <x:v>39</x:v>
      </x:c>
      <x:c r="N1300" s="71" t="n">
        <x:v>2600985</x:v>
      </x:c>
      <x:c r="O1300" s="72" t="n">
        <x:f aca="0">N1300/1000</x:f>
        <x:v>2600.985</x:v>
      </x:c>
      <x:c r="P1300" s="73" t="n">
        <x:f aca="0">MLCF!F32</x:f>
        <x:v>2600.985</x:v>
      </x:c>
      <x:c r="Q1300" s="70" t="str">
        <x:f aca="0">IF(ABS(O1300-P1300)&lt;0.000001,"PASS","FAIL")</x:f>
        <x:v>PASS</x:v>
      </x:c>
      <x:c r="R1300" s="70" t="s">
        <x:v>33</x:v>
      </x:c>
      <x:c r="S1300" s="70" t="s">
        <x:v>839</x:v>
      </x:c>
    </x:row>
    <x:row r="1301" ht="15" hidden="0">
      <x:c r="A1301" s="70" t="s">
        <x:v>2261</x:v>
      </x:c>
      <x:c r="B1301" s="70" t="s">
        <x:v>41</x:v>
      </x:c>
      <x:c r="C1301" s="70" t="s">
        <x:v>104</x:v>
      </x:c>
      <x:c r="D1301" s="70" t="s">
        <x:v>133</x:v>
      </x:c>
      <x:c r="E1301" s="70" t="s">
        <x:v>763</x:v>
      </x:c>
      <x:c r="F1301" s="70" t="s">
        <x:v>133</x:v>
      </x:c>
      <x:c r="G1301" s="70" t="s">
        <x:v>1310</x:v>
      </x:c>
      <x:c r="H1301" s="70" t="s">
        <x:v>849</x:v>
      </x:c>
      <x:c r="I1301" s="70" t="s">
        <x:v>833</x:v>
      </x:c>
      <x:c r="J1301" s="70" t="n">
        <x:v>202</x:v>
      </x:c>
      <x:c r="K1301" s="70" t="s">
        <x:v>2162</x:v>
      </x:c>
      <x:c r="L1301" s="70" t="s">
        <x:v>1479</x:v>
      </x:c>
      <x:c r="M1301" s="70" t="s">
        <x:v>39</x:v>
      </x:c>
      <x:c r="N1301" s="71" t="n">
        <x:v>4188745</x:v>
      </x:c>
      <x:c r="O1301" s="72" t="n">
        <x:f aca="0">N1301/1000</x:f>
        <x:v>4188.745</x:v>
      </x:c>
      <x:c r="P1301" s="73" t="n">
        <x:f aca="0">MLCF!G32</x:f>
        <x:v>4188.745</x:v>
      </x:c>
      <x:c r="Q1301" s="70" t="str">
        <x:f aca="0">IF(ABS(O1301-P1301)&lt;0.000001,"PASS","FAIL")</x:f>
        <x:v>PASS</x:v>
      </x:c>
      <x:c r="R1301" s="70" t="s">
        <x:v>33</x:v>
      </x:c>
      <x:c r="S1301" s="70"/>
    </x:row>
    <x:row r="1302" ht="15" hidden="0">
      <x:c r="A1302" s="70" t="s">
        <x:v>2262</x:v>
      </x:c>
      <x:c r="B1302" s="70" t="s">
        <x:v>41</x:v>
      </x:c>
      <x:c r="C1302" s="70" t="s">
        <x:v>105</x:v>
      </x:c>
      <x:c r="D1302" s="70" t="s">
        <x:v>133</x:v>
      </x:c>
      <x:c r="E1302" s="70" t="s">
        <x:v>763</x:v>
      </x:c>
      <x:c r="F1302" s="70" t="s">
        <x:v>133</x:v>
      </x:c>
      <x:c r="G1302" s="70" t="s">
        <x:v>1310</x:v>
      </x:c>
      <x:c r="H1302" s="70" t="s">
        <x:v>849</x:v>
      </x:c>
      <x:c r="I1302" s="70" t="s">
        <x:v>852</x:v>
      </x:c>
      <x:c r="J1302" s="70" t="n">
        <x:v>202</x:v>
      </x:c>
      <x:c r="K1302" s="70" t="s">
        <x:v>2162</x:v>
      </x:c>
      <x:c r="L1302" s="70" t="s">
        <x:v>1479</x:v>
      </x:c>
      <x:c r="M1302" s="70" t="s">
        <x:v>39</x:v>
      </x:c>
      <x:c r="N1302" s="71" t="n">
        <x:v>4610182</x:v>
      </x:c>
      <x:c r="O1302" s="72" t="n">
        <x:f aca="0">N1302/1000</x:f>
        <x:v>4610.182</x:v>
      </x:c>
      <x:c r="P1302" s="73" t="n">
        <x:f aca="0">MLCF!H32</x:f>
        <x:v>4610.182</x:v>
      </x:c>
      <x:c r="Q1302" s="70" t="str">
        <x:f aca="0">IF(ABS(O1302-P1302)&lt;0.000001,"PASS","FAIL")</x:f>
        <x:v>PASS</x:v>
      </x:c>
      <x:c r="R1302" s="70" t="s">
        <x:v>33</x:v>
      </x:c>
      <x:c r="S1302" s="70"/>
    </x:row>
    <x:row r="1303" ht="15" hidden="0">
      <x:c r="A1303" s="70" t="s">
        <x:v>2263</x:v>
      </x:c>
      <x:c r="B1303" s="70" t="s">
        <x:v>41</x:v>
      </x:c>
      <x:c r="C1303" s="70" t="s">
        <x:v>717</x:v>
      </x:c>
      <x:c r="D1303" s="70" t="s">
        <x:v>135</x:v>
      </x:c>
      <x:c r="E1303" s="70" t="s">
        <x:v>763</x:v>
      </x:c>
      <x:c r="F1303" s="70" t="s">
        <x:v>2264</x:v>
      </x:c>
      <x:c r="G1303" s="70" t="s">
        <x:v>1298</x:v>
      </x:c>
      <x:c r="H1303" s="70" t="s">
        <x:v>832</x:v>
      </x:c>
      <x:c r="I1303" s="70" t="s">
        <x:v>833</x:v>
      </x:c>
      <x:c r="J1303" s="70" t="n">
        <x:v>163</x:v>
      </x:c>
      <x:c r="K1303" s="70" t="s">
        <x:v>2194</x:v>
      </x:c>
      <x:c r="L1303" s="70" t="s">
        <x:v>2265</x:v>
      </x:c>
      <x:c r="M1303" s="70" t="s">
        <x:v>39</x:v>
      </x:c>
      <x:c r="N1303" s="71" t="n">
        <x:v>75245</x:v>
      </x:c>
      <x:c r="O1303" s="72" t="n">
        <x:f aca="0">N1303/1000</x:f>
        <x:v>75.245</x:v>
      </x:c>
      <x:c r="P1303" s="73" t="n">
        <x:f aca="0">MLCF!C33</x:f>
        <x:v>75.245</x:v>
      </x:c>
      <x:c r="Q1303" s="70" t="str">
        <x:f aca="0">IF(ABS(O1303-P1303)&lt;0.000001,"PASS","FAIL")</x:f>
        <x:v>PASS</x:v>
      </x:c>
      <x:c r="R1303" s="70" t="s">
        <x:v>33</x:v>
      </x:c>
      <x:c r="S1303" s="70"/>
    </x:row>
    <x:row r="1304" ht="15" hidden="0">
      <x:c r="A1304" s="70" t="s">
        <x:v>2266</x:v>
      </x:c>
      <x:c r="B1304" s="70" t="s">
        <x:v>41</x:v>
      </x:c>
      <x:c r="C1304" s="70" t="s">
        <x:v>101</x:v>
      </x:c>
      <x:c r="D1304" s="70" t="s">
        <x:v>135</x:v>
      </x:c>
      <x:c r="E1304" s="70" t="s">
        <x:v>763</x:v>
      </x:c>
      <x:c r="F1304" s="70" t="s">
        <x:v>2264</x:v>
      </x:c>
      <x:c r="G1304" s="70" t="s">
        <x:v>1301</x:v>
      </x:c>
      <x:c r="H1304" s="70" t="s">
        <x:v>838</x:v>
      </x:c>
      <x:c r="I1304" s="70" t="s">
        <x:v>833</x:v>
      </x:c>
      <x:c r="J1304" s="70" t="n">
        <x:v>184</x:v>
      </x:c>
      <x:c r="K1304" s="70" t="s">
        <x:v>1940</x:v>
      </x:c>
      <x:c r="L1304" s="70" t="s">
        <x:v>2265</x:v>
      </x:c>
      <x:c r="M1304" s="70" t="s">
        <x:v>39</x:v>
      </x:c>
      <x:c r="N1304" s="71" t="n">
        <x:v>149148</x:v>
      </x:c>
      <x:c r="O1304" s="72" t="n">
        <x:f aca="0">N1304/1000</x:f>
        <x:v>149.148</x:v>
      </x:c>
      <x:c r="P1304" s="73" t="n">
        <x:f aca="0">MLCF!D33</x:f>
        <x:v>149.148</x:v>
      </x:c>
      <x:c r="Q1304" s="70" t="str">
        <x:f aca="0">IF(ABS(O1304-P1304)&lt;0.000001,"PASS","FAIL")</x:f>
        <x:v>PASS</x:v>
      </x:c>
      <x:c r="R1304" s="70" t="s">
        <x:v>33</x:v>
      </x:c>
      <x:c r="S1304" s="70"/>
    </x:row>
    <x:row r="1305" ht="15" hidden="0">
      <x:c r="A1305" s="70" t="s">
        <x:v>2267</x:v>
      </x:c>
      <x:c r="B1305" s="70" t="s">
        <x:v>41</x:v>
      </x:c>
      <x:c r="C1305" s="70" t="s">
        <x:v>102</x:v>
      </x:c>
      <x:c r="D1305" s="70" t="s">
        <x:v>135</x:v>
      </x:c>
      <x:c r="E1305" s="70" t="s">
        <x:v>763</x:v>
      </x:c>
      <x:c r="F1305" s="70" t="s">
        <x:v>2264</x:v>
      </x:c>
      <x:c r="G1305" s="70" t="s">
        <x:v>1304</x:v>
      </x:c>
      <x:c r="H1305" s="70" t="s">
        <x:v>842</x:v>
      </x:c>
      <x:c r="I1305" s="70" t="s">
        <x:v>833</x:v>
      </x:c>
      <x:c r="J1305" s="70" t="n">
        <x:v>98</x:v>
      </x:c>
      <x:c r="K1305" s="70" t="s">
        <x:v>2197</x:v>
      </x:c>
      <x:c r="L1305" s="70"/>
      <x:c r="M1305" s="70" t="s">
        <x:v>39</x:v>
      </x:c>
      <x:c r="N1305" s="71" t="n">
        <x:v>198346</x:v>
      </x:c>
      <x:c r="O1305" s="72" t="n">
        <x:f aca="0">N1305/1000</x:f>
        <x:v>198.346</x:v>
      </x:c>
      <x:c r="P1305" s="73" t="n">
        <x:f aca="0">MLCF!E33</x:f>
        <x:v>198.346</x:v>
      </x:c>
      <x:c r="Q1305" s="70" t="str">
        <x:f aca="0">IF(ABS(O1305-P1305)&lt;0.000001,"PASS","FAIL")</x:f>
        <x:v>PASS</x:v>
      </x:c>
      <x:c r="R1305" s="70" t="s">
        <x:v>33</x:v>
      </x:c>
      <x:c r="S1305" s="70"/>
    </x:row>
    <x:row r="1306" ht="15" hidden="0">
      <x:c r="A1306" s="70" t="s">
        <x:v>2268</x:v>
      </x:c>
      <x:c r="B1306" s="70" t="s">
        <x:v>41</x:v>
      </x:c>
      <x:c r="C1306" s="70" t="s">
        <x:v>103</x:v>
      </x:c>
      <x:c r="D1306" s="70" t="s">
        <x:v>135</x:v>
      </x:c>
      <x:c r="E1306" s="70" t="s">
        <x:v>763</x:v>
      </x:c>
      <x:c r="F1306" s="70" t="s">
        <x:v>925</x:v>
      </x:c>
      <x:c r="G1306" s="70" t="s">
        <x:v>1307</x:v>
      </x:c>
      <x:c r="H1306" s="70" t="s">
        <x:v>845</x:v>
      </x:c>
      <x:c r="I1306" s="70" t="s">
        <x:v>833</x:v>
      </x:c>
      <x:c r="J1306" s="70" t="n">
        <x:v>190</x:v>
      </x:c>
      <x:c r="K1306" s="70" t="s">
        <x:v>2199</x:v>
      </x:c>
      <x:c r="L1306" s="70" t="s">
        <x:v>2265</x:v>
      </x:c>
      <x:c r="M1306" s="70" t="s">
        <x:v>39</x:v>
      </x:c>
      <x:c r="N1306" s="71" t="n">
        <x:v>3689556</x:v>
      </x:c>
      <x:c r="O1306" s="72" t="n">
        <x:f aca="0">N1306/1000</x:f>
        <x:v>3689.556</x:v>
      </x:c>
      <x:c r="P1306" s="73" t="n">
        <x:f aca="0">MLCF!F33</x:f>
        <x:v>3689.556</x:v>
      </x:c>
      <x:c r="Q1306" s="70" t="str">
        <x:f aca="0">IF(ABS(O1306-P1306)&lt;0.000001,"PASS","FAIL")</x:f>
        <x:v>PASS</x:v>
      </x:c>
      <x:c r="R1306" s="70" t="s">
        <x:v>33</x:v>
      </x:c>
      <x:c r="S1306" s="70"/>
    </x:row>
    <x:row r="1307" ht="15" hidden="0">
      <x:c r="A1307" s="70" t="s">
        <x:v>2269</x:v>
      </x:c>
      <x:c r="B1307" s="70" t="s">
        <x:v>41</x:v>
      </x:c>
      <x:c r="C1307" s="70" t="s">
        <x:v>104</x:v>
      </x:c>
      <x:c r="D1307" s="70" t="s">
        <x:v>135</x:v>
      </x:c>
      <x:c r="E1307" s="70" t="s">
        <x:v>763</x:v>
      </x:c>
      <x:c r="F1307" s="70" t="s">
        <x:v>925</x:v>
      </x:c>
      <x:c r="G1307" s="70" t="s">
        <x:v>1310</x:v>
      </x:c>
      <x:c r="H1307" s="70" t="s">
        <x:v>849</x:v>
      </x:c>
      <x:c r="I1307" s="70" t="s">
        <x:v>833</x:v>
      </x:c>
      <x:c r="J1307" s="70" t="n">
        <x:v>202</x:v>
      </x:c>
      <x:c r="K1307" s="70" t="s">
        <x:v>2162</x:v>
      </x:c>
      <x:c r="L1307" s="70" t="s">
        <x:v>2270</x:v>
      </x:c>
      <x:c r="M1307" s="70" t="s">
        <x:v>39</x:v>
      </x:c>
      <x:c r="N1307" s="71" t="n">
        <x:v>4220262</x:v>
      </x:c>
      <x:c r="O1307" s="72" t="n">
        <x:f aca="0">N1307/1000</x:f>
        <x:v>4220.262</x:v>
      </x:c>
      <x:c r="P1307" s="73" t="n">
        <x:f aca="0">MLCF!G33</x:f>
        <x:v>4220.262</x:v>
      </x:c>
      <x:c r="Q1307" s="70" t="str">
        <x:f aca="0">IF(ABS(O1307-P1307)&lt;0.000001,"PASS","FAIL")</x:f>
        <x:v>PASS</x:v>
      </x:c>
      <x:c r="R1307" s="70" t="s">
        <x:v>33</x:v>
      </x:c>
      <x:c r="S1307" s="70"/>
    </x:row>
    <x:row r="1308" ht="15" hidden="0">
      <x:c r="A1308" s="70" t="s">
        <x:v>2271</x:v>
      </x:c>
      <x:c r="B1308" s="70" t="s">
        <x:v>41</x:v>
      </x:c>
      <x:c r="C1308" s="70" t="s">
        <x:v>105</x:v>
      </x:c>
      <x:c r="D1308" s="70" t="s">
        <x:v>135</x:v>
      </x:c>
      <x:c r="E1308" s="70" t="s">
        <x:v>763</x:v>
      </x:c>
      <x:c r="F1308" s="70" t="s">
        <x:v>925</x:v>
      </x:c>
      <x:c r="G1308" s="70" t="s">
        <x:v>1310</x:v>
      </x:c>
      <x:c r="H1308" s="70" t="s">
        <x:v>849</x:v>
      </x:c>
      <x:c r="I1308" s="70" t="s">
        <x:v>852</x:v>
      </x:c>
      <x:c r="J1308" s="70" t="n">
        <x:v>202</x:v>
      </x:c>
      <x:c r="K1308" s="70" t="s">
        <x:v>2162</x:v>
      </x:c>
      <x:c r="L1308" s="70" t="s">
        <x:v>2270</x:v>
      </x:c>
      <x:c r="M1308" s="70" t="s">
        <x:v>39</x:v>
      </x:c>
      <x:c r="N1308" s="71" t="n">
        <x:v>11102413</x:v>
      </x:c>
      <x:c r="O1308" s="72" t="n">
        <x:f aca="0">N1308/1000</x:f>
        <x:v>11102.413</x:v>
      </x:c>
      <x:c r="P1308" s="73" t="n">
        <x:f aca="0">MLCF!H33</x:f>
        <x:v>11102.413</x:v>
      </x:c>
      <x:c r="Q1308" s="70" t="str">
        <x:f aca="0">IF(ABS(O1308-P1308)&lt;0.000001,"PASS","FAIL")</x:f>
        <x:v>PASS</x:v>
      </x:c>
      <x:c r="R1308" s="70" t="s">
        <x:v>33</x:v>
      </x:c>
      <x:c r="S1308" s="70"/>
    </x:row>
    <x:row r="1309" ht="15" hidden="0">
      <x:c r="A1309" s="70" t="s">
        <x:v>2272</x:v>
      </x:c>
      <x:c r="B1309" s="70" t="s">
        <x:v>41</x:v>
      </x:c>
      <x:c r="C1309" s="70" t="s">
        <x:v>717</x:v>
      </x:c>
      <x:c r="D1309" s="70" t="s">
        <x:v>137</x:v>
      </x:c>
      <x:c r="E1309" s="70" t="s">
        <x:v>763</x:v>
      </x:c>
      <x:c r="F1309" s="70" t="s">
        <x:v>137</x:v>
      </x:c>
      <x:c r="G1309" s="70" t="s">
        <x:v>1298</x:v>
      </x:c>
      <x:c r="H1309" s="70" t="s">
        <x:v>832</x:v>
      </x:c>
      <x:c r="I1309" s="70" t="s">
        <x:v>833</x:v>
      </x:c>
      <x:c r="J1309" s="70" t="n">
        <x:v>163</x:v>
      </x:c>
      <x:c r="K1309" s="70" t="s">
        <x:v>2194</x:v>
      </x:c>
      <x:c r="L1309" s="70" t="s">
        <x:v>2273</x:v>
      </x:c>
      <x:c r="M1309" s="70" t="s">
        <x:v>39</x:v>
      </x:c>
      <x:c r="N1309" s="71" t="n">
        <x:v>1046267</x:v>
      </x:c>
      <x:c r="O1309" s="72" t="n">
        <x:f aca="0">N1309/1000</x:f>
        <x:v>1046.267</x:v>
      </x:c>
      <x:c r="P1309" s="73" t="n">
        <x:f aca="0">MLCF!C34</x:f>
        <x:v>1046.267</x:v>
      </x:c>
      <x:c r="Q1309" s="70" t="str">
        <x:f aca="0">IF(ABS(O1309-P1309)&lt;0.000001,"PASS","FAIL")</x:f>
        <x:v>PASS</x:v>
      </x:c>
      <x:c r="R1309" s="70" t="s">
        <x:v>33</x:v>
      </x:c>
      <x:c r="S1309" s="70"/>
    </x:row>
    <x:row r="1310" ht="15" hidden="0">
      <x:c r="A1310" s="70" t="s">
        <x:v>2274</x:v>
      </x:c>
      <x:c r="B1310" s="70" t="s">
        <x:v>41</x:v>
      </x:c>
      <x:c r="C1310" s="70" t="s">
        <x:v>101</x:v>
      </x:c>
      <x:c r="D1310" s="70" t="s">
        <x:v>137</x:v>
      </x:c>
      <x:c r="E1310" s="70" t="s">
        <x:v>763</x:v>
      </x:c>
      <x:c r="F1310" s="70" t="s">
        <x:v>137</x:v>
      </x:c>
      <x:c r="G1310" s="70" t="s">
        <x:v>1301</x:v>
      </x:c>
      <x:c r="H1310" s="70" t="s">
        <x:v>838</x:v>
      </x:c>
      <x:c r="I1310" s="70" t="s">
        <x:v>833</x:v>
      </x:c>
      <x:c r="J1310" s="70" t="n">
        <x:v>184</x:v>
      </x:c>
      <x:c r="K1310" s="70" t="s">
        <x:v>1940</x:v>
      </x:c>
      <x:c r="L1310" s="70" t="s">
        <x:v>2273</x:v>
      </x:c>
      <x:c r="M1310" s="70" t="s">
        <x:v>39</x:v>
      </x:c>
      <x:c r="N1310" s="71" t="n">
        <x:v>490329</x:v>
      </x:c>
      <x:c r="O1310" s="72" t="n">
        <x:f aca="0">N1310/1000</x:f>
        <x:v>490.329</x:v>
      </x:c>
      <x:c r="P1310" s="73" t="n">
        <x:f aca="0">MLCF!D34</x:f>
        <x:v>490.329</x:v>
      </x:c>
      <x:c r="Q1310" s="70" t="str">
        <x:f aca="0">IF(ABS(O1310-P1310)&lt;0.000001,"PASS","FAIL")</x:f>
        <x:v>PASS</x:v>
      </x:c>
      <x:c r="R1310" s="70" t="s">
        <x:v>33</x:v>
      </x:c>
      <x:c r="S1310" s="70"/>
    </x:row>
    <x:row r="1311" ht="15" hidden="0">
      <x:c r="A1311" s="70" t="s">
        <x:v>2275</x:v>
      </x:c>
      <x:c r="B1311" s="70" t="s">
        <x:v>41</x:v>
      </x:c>
      <x:c r="C1311" s="70" t="s">
        <x:v>102</x:v>
      </x:c>
      <x:c r="D1311" s="70" t="s">
        <x:v>137</x:v>
      </x:c>
      <x:c r="E1311" s="70" t="s">
        <x:v>763</x:v>
      </x:c>
      <x:c r="F1311" s="70" t="s">
        <x:v>137</x:v>
      </x:c>
      <x:c r="G1311" s="70" t="s">
        <x:v>1304</x:v>
      </x:c>
      <x:c r="H1311" s="70" t="s">
        <x:v>842</x:v>
      </x:c>
      <x:c r="I1311" s="70" t="s">
        <x:v>833</x:v>
      </x:c>
      <x:c r="J1311" s="70" t="n">
        <x:v>98</x:v>
      </x:c>
      <x:c r="K1311" s="70" t="s">
        <x:v>2197</x:v>
      </x:c>
      <x:c r="L1311" s="70"/>
      <x:c r="M1311" s="70" t="s">
        <x:v>39</x:v>
      </x:c>
      <x:c r="N1311" s="71" t="n">
        <x:v>793576</x:v>
      </x:c>
      <x:c r="O1311" s="72" t="n">
        <x:f aca="0">N1311/1000</x:f>
        <x:v>793.576</x:v>
      </x:c>
      <x:c r="P1311" s="73" t="n">
        <x:f aca="0">MLCF!E34</x:f>
        <x:v>793.576</x:v>
      </x:c>
      <x:c r="Q1311" s="70" t="str">
        <x:f aca="0">IF(ABS(O1311-P1311)&lt;0.000001,"PASS","FAIL")</x:f>
        <x:v>PASS</x:v>
      </x:c>
      <x:c r="R1311" s="70" t="s">
        <x:v>33</x:v>
      </x:c>
      <x:c r="S1311" s="70"/>
    </x:row>
    <x:row r="1312" ht="15" hidden="0">
      <x:c r="A1312" s="70" t="s">
        <x:v>2276</x:v>
      </x:c>
      <x:c r="B1312" s="70" t="s">
        <x:v>41</x:v>
      </x:c>
      <x:c r="C1312" s="70" t="s">
        <x:v>103</x:v>
      </x:c>
      <x:c r="D1312" s="70" t="s">
        <x:v>137</x:v>
      </x:c>
      <x:c r="E1312" s="70" t="s">
        <x:v>763</x:v>
      </x:c>
      <x:c r="F1312" s="70" t="s">
        <x:v>137</x:v>
      </x:c>
      <x:c r="G1312" s="70" t="s">
        <x:v>1307</x:v>
      </x:c>
      <x:c r="H1312" s="70" t="s">
        <x:v>845</x:v>
      </x:c>
      <x:c r="I1312" s="70" t="s">
        <x:v>833</x:v>
      </x:c>
      <x:c r="J1312" s="70" t="n">
        <x:v>190</x:v>
      </x:c>
      <x:c r="K1312" s="70" t="s">
        <x:v>2199</x:v>
      </x:c>
      <x:c r="L1312" s="70" t="s">
        <x:v>2273</x:v>
      </x:c>
      <x:c r="M1312" s="70" t="s">
        <x:v>39</x:v>
      </x:c>
      <x:c r="N1312" s="71" t="n">
        <x:v>740707</x:v>
      </x:c>
      <x:c r="O1312" s="72" t="n">
        <x:f aca="0">N1312/1000</x:f>
        <x:v>740.707</x:v>
      </x:c>
      <x:c r="P1312" s="73" t="n">
        <x:f aca="0">MLCF!F34</x:f>
        <x:v>740.707</x:v>
      </x:c>
      <x:c r="Q1312" s="70" t="str">
        <x:f aca="0">IF(ABS(O1312-P1312)&lt;0.000001,"PASS","FAIL")</x:f>
        <x:v>PASS</x:v>
      </x:c>
      <x:c r="R1312" s="70" t="s">
        <x:v>33</x:v>
      </x:c>
      <x:c r="S1312" s="70"/>
    </x:row>
    <x:row r="1313" ht="15" hidden="0">
      <x:c r="A1313" s="70" t="s">
        <x:v>2277</x:v>
      </x:c>
      <x:c r="B1313" s="70" t="s">
        <x:v>41</x:v>
      </x:c>
      <x:c r="C1313" s="70" t="s">
        <x:v>104</x:v>
      </x:c>
      <x:c r="D1313" s="70" t="s">
        <x:v>137</x:v>
      </x:c>
      <x:c r="E1313" s="70" t="s">
        <x:v>763</x:v>
      </x:c>
      <x:c r="F1313" s="70" t="s">
        <x:v>137</x:v>
      </x:c>
      <x:c r="G1313" s="70" t="s">
        <x:v>1310</x:v>
      </x:c>
      <x:c r="H1313" s="70" t="s">
        <x:v>849</x:v>
      </x:c>
      <x:c r="I1313" s="70" t="s">
        <x:v>833</x:v>
      </x:c>
      <x:c r="J1313" s="70" t="n">
        <x:v>202</x:v>
      </x:c>
      <x:c r="K1313" s="70" t="s">
        <x:v>2162</x:v>
      </x:c>
      <x:c r="L1313" s="70" t="s">
        <x:v>2278</x:v>
      </x:c>
      <x:c r="M1313" s="70" t="s">
        <x:v>39</x:v>
      </x:c>
      <x:c r="N1313" s="71" t="n">
        <x:v>1133412</x:v>
      </x:c>
      <x:c r="O1313" s="72" t="n">
        <x:f aca="0">N1313/1000</x:f>
        <x:v>1133.412</x:v>
      </x:c>
      <x:c r="P1313" s="73" t="n">
        <x:f aca="0">MLCF!G34</x:f>
        <x:v>1133.412</x:v>
      </x:c>
      <x:c r="Q1313" s="70" t="str">
        <x:f aca="0">IF(ABS(O1313-P1313)&lt;0.000001,"PASS","FAIL")</x:f>
        <x:v>PASS</x:v>
      </x:c>
      <x:c r="R1313" s="70" t="s">
        <x:v>33</x:v>
      </x:c>
      <x:c r="S1313" s="70"/>
    </x:row>
    <x:row r="1314" ht="15" hidden="0">
      <x:c r="A1314" s="70" t="s">
        <x:v>2279</x:v>
      </x:c>
      <x:c r="B1314" s="70" t="s">
        <x:v>41</x:v>
      </x:c>
      <x:c r="C1314" s="70" t="s">
        <x:v>105</x:v>
      </x:c>
      <x:c r="D1314" s="70" t="s">
        <x:v>137</x:v>
      </x:c>
      <x:c r="E1314" s="70" t="s">
        <x:v>763</x:v>
      </x:c>
      <x:c r="F1314" s="70" t="s">
        <x:v>137</x:v>
      </x:c>
      <x:c r="G1314" s="70" t="s">
        <x:v>1310</x:v>
      </x:c>
      <x:c r="H1314" s="70" t="s">
        <x:v>849</x:v>
      </x:c>
      <x:c r="I1314" s="70" t="s">
        <x:v>852</x:v>
      </x:c>
      <x:c r="J1314" s="70" t="n">
        <x:v>202</x:v>
      </x:c>
      <x:c r="K1314" s="70" t="s">
        <x:v>2162</x:v>
      </x:c>
      <x:c r="L1314" s="70" t="s">
        <x:v>2278</x:v>
      </x:c>
      <x:c r="M1314" s="70" t="s">
        <x:v>39</x:v>
      </x:c>
      <x:c r="N1314" s="71" t="n">
        <x:v>1615481</x:v>
      </x:c>
      <x:c r="O1314" s="72" t="n">
        <x:f aca="0">N1314/1000</x:f>
        <x:v>1615.481</x:v>
      </x:c>
      <x:c r="P1314" s="73" t="n">
        <x:f aca="0">MLCF!H34</x:f>
        <x:v>1615.481</x:v>
      </x:c>
      <x:c r="Q1314" s="70" t="str">
        <x:f aca="0">IF(ABS(O1314-P1314)&lt;0.000001,"PASS","FAIL")</x:f>
        <x:v>PASS</x:v>
      </x:c>
      <x:c r="R1314" s="70" t="s">
        <x:v>33</x:v>
      </x:c>
      <x:c r="S1314" s="70"/>
    </x:row>
    <x:row r="1315" ht="15" hidden="0">
      <x:c r="A1315" s="70" t="s">
        <x:v>2280</x:v>
      </x:c>
      <x:c r="B1315" s="70" t="s">
        <x:v>41</x:v>
      </x:c>
      <x:c r="C1315" s="70" t="s">
        <x:v>717</x:v>
      </x:c>
      <x:c r="D1315" s="70" t="s">
        <x:v>139</x:v>
      </x:c>
      <x:c r="E1315" s="70" t="s">
        <x:v>763</x:v>
      </x:c>
      <x:c r="F1315" s="70" t="s">
        <x:v>2281</x:v>
      </x:c>
      <x:c r="G1315" s="70" t="s">
        <x:v>1298</x:v>
      </x:c>
      <x:c r="H1315" s="70" t="s">
        <x:v>832</x:v>
      </x:c>
      <x:c r="I1315" s="70" t="s">
        <x:v>833</x:v>
      </x:c>
      <x:c r="J1315" s="70" t="n">
        <x:v>163</x:v>
      </x:c>
      <x:c r="K1315" s="70" t="s">
        <x:v>2194</x:v>
      </x:c>
      <x:c r="L1315" s="70" t="s">
        <x:v>2282</x:v>
      </x:c>
      <x:c r="M1315" s="70" t="s">
        <x:v>39</x:v>
      </x:c>
      <x:c r="N1315" s="71" t="n">
        <x:v>2258535</x:v>
      </x:c>
      <x:c r="O1315" s="72" t="n">
        <x:f aca="0">N1315/1000</x:f>
        <x:v>2258.535</x:v>
      </x:c>
      <x:c r="P1315" s="73" t="n">
        <x:f aca="0">MLCF!C35</x:f>
        <x:v>2258.535</x:v>
      </x:c>
      <x:c r="Q1315" s="70" t="str">
        <x:f aca="0">IF(ABS(O1315-P1315)&lt;0.000001,"PASS","FAIL")</x:f>
        <x:v>PASS</x:v>
      </x:c>
      <x:c r="R1315" s="70" t="s">
        <x:v>33</x:v>
      </x:c>
      <x:c r="S1315" s="70"/>
    </x:row>
    <x:row r="1316" ht="15" hidden="0">
      <x:c r="A1316" s="70" t="s">
        <x:v>2283</x:v>
      </x:c>
      <x:c r="B1316" s="70" t="s">
        <x:v>41</x:v>
      </x:c>
      <x:c r="C1316" s="70" t="s">
        <x:v>101</x:v>
      </x:c>
      <x:c r="D1316" s="70" t="s">
        <x:v>139</x:v>
      </x:c>
      <x:c r="E1316" s="70" t="s">
        <x:v>763</x:v>
      </x:c>
      <x:c r="F1316" s="70" t="s">
        <x:v>2281</x:v>
      </x:c>
      <x:c r="G1316" s="70" t="s">
        <x:v>1301</x:v>
      </x:c>
      <x:c r="H1316" s="70" t="s">
        <x:v>838</x:v>
      </x:c>
      <x:c r="I1316" s="70" t="s">
        <x:v>833</x:v>
      </x:c>
      <x:c r="J1316" s="70" t="n">
        <x:v>184</x:v>
      </x:c>
      <x:c r="K1316" s="70" t="s">
        <x:v>1940</x:v>
      </x:c>
      <x:c r="L1316" s="70" t="s">
        <x:v>2282</x:v>
      </x:c>
      <x:c r="M1316" s="70" t="s">
        <x:v>39</x:v>
      </x:c>
      <x:c r="N1316" s="71" t="n">
        <x:v>2715335</x:v>
      </x:c>
      <x:c r="O1316" s="72" t="n">
        <x:f aca="0">N1316/1000</x:f>
        <x:v>2715.335</x:v>
      </x:c>
      <x:c r="P1316" s="73" t="n">
        <x:f aca="0">MLCF!D35</x:f>
        <x:v>2715.335</x:v>
      </x:c>
      <x:c r="Q1316" s="70" t="str">
        <x:f aca="0">IF(ABS(O1316-P1316)&lt;0.000001,"PASS","FAIL")</x:f>
        <x:v>PASS</x:v>
      </x:c>
      <x:c r="R1316" s="70" t="s">
        <x:v>33</x:v>
      </x:c>
      <x:c r="S1316" s="70"/>
    </x:row>
    <x:row r="1317" ht="15" hidden="0">
      <x:c r="A1317" s="70" t="s">
        <x:v>2284</x:v>
      </x:c>
      <x:c r="B1317" s="70" t="s">
        <x:v>41</x:v>
      </x:c>
      <x:c r="C1317" s="70" t="s">
        <x:v>102</x:v>
      </x:c>
      <x:c r="D1317" s="70" t="s">
        <x:v>139</x:v>
      </x:c>
      <x:c r="E1317" s="70" t="s">
        <x:v>763</x:v>
      </x:c>
      <x:c r="F1317" s="70" t="s">
        <x:v>2281</x:v>
      </x:c>
      <x:c r="G1317" s="70" t="s">
        <x:v>1304</x:v>
      </x:c>
      <x:c r="H1317" s="70" t="s">
        <x:v>842</x:v>
      </x:c>
      <x:c r="I1317" s="70" t="s">
        <x:v>833</x:v>
      </x:c>
      <x:c r="J1317" s="70" t="n">
        <x:v>98</x:v>
      </x:c>
      <x:c r="K1317" s="70" t="s">
        <x:v>2197</x:v>
      </x:c>
      <x:c r="L1317" s="70"/>
      <x:c r="M1317" s="70" t="s">
        <x:v>39</x:v>
      </x:c>
      <x:c r="N1317" s="71" t="n">
        <x:v>1714629</x:v>
      </x:c>
      <x:c r="O1317" s="72" t="n">
        <x:f aca="0">N1317/1000</x:f>
        <x:v>1714.629</x:v>
      </x:c>
      <x:c r="P1317" s="73" t="n">
        <x:f aca="0">MLCF!E35</x:f>
        <x:v>1714.629</x:v>
      </x:c>
      <x:c r="Q1317" s="70" t="str">
        <x:f aca="0">IF(ABS(O1317-P1317)&lt;0.000001,"PASS","FAIL")</x:f>
        <x:v>PASS</x:v>
      </x:c>
      <x:c r="R1317" s="70" t="s">
        <x:v>33</x:v>
      </x:c>
      <x:c r="S1317" s="70"/>
    </x:row>
    <x:row r="1318" ht="15" hidden="0">
      <x:c r="A1318" s="70" t="s">
        <x:v>2285</x:v>
      </x:c>
      <x:c r="B1318" s="70" t="s">
        <x:v>41</x:v>
      </x:c>
      <x:c r="C1318" s="70" t="s">
        <x:v>103</x:v>
      </x:c>
      <x:c r="D1318" s="70" t="s">
        <x:v>139</x:v>
      </x:c>
      <x:c r="E1318" s="70" t="s">
        <x:v>763</x:v>
      </x:c>
      <x:c r="F1318" s="70" t="s">
        <x:v>2286</x:v>
      </x:c>
      <x:c r="G1318" s="70" t="s">
        <x:v>1307</x:v>
      </x:c>
      <x:c r="H1318" s="70" t="s">
        <x:v>845</x:v>
      </x:c>
      <x:c r="I1318" s="70" t="s">
        <x:v>833</x:v>
      </x:c>
      <x:c r="J1318" s="70" t="n">
        <x:v>190</x:v>
      </x:c>
      <x:c r="K1318" s="70" t="s">
        <x:v>2199</x:v>
      </x:c>
      <x:c r="L1318" s="70" t="s">
        <x:v>2282</x:v>
      </x:c>
      <x:c r="M1318" s="70" t="s">
        <x:v>39</x:v>
      </x:c>
      <x:c r="N1318" s="71" t="n">
        <x:v>1407959</x:v>
      </x:c>
      <x:c r="O1318" s="72" t="n">
        <x:f aca="0">N1318/1000</x:f>
        <x:v>1407.959</x:v>
      </x:c>
      <x:c r="P1318" s="73" t="n">
        <x:f aca="0">MLCF!F35</x:f>
        <x:v>1407.959</x:v>
      </x:c>
      <x:c r="Q1318" s="70" t="str">
        <x:f aca="0">IF(ABS(O1318-P1318)&lt;0.000001,"PASS","FAIL")</x:f>
        <x:v>PASS</x:v>
      </x:c>
      <x:c r="R1318" s="70" t="s">
        <x:v>33</x:v>
      </x:c>
      <x:c r="S1318" s="70"/>
    </x:row>
    <x:row r="1319" ht="15" hidden="0">
      <x:c r="A1319" s="70" t="s">
        <x:v>2287</x:v>
      </x:c>
      <x:c r="B1319" s="70" t="s">
        <x:v>41</x:v>
      </x:c>
      <x:c r="C1319" s="70" t="s">
        <x:v>104</x:v>
      </x:c>
      <x:c r="D1319" s="70" t="s">
        <x:v>139</x:v>
      </x:c>
      <x:c r="E1319" s="70" t="s">
        <x:v>763</x:v>
      </x:c>
      <x:c r="F1319" s="70" t="s">
        <x:v>2286</x:v>
      </x:c>
      <x:c r="G1319" s="70" t="s">
        <x:v>1310</x:v>
      </x:c>
      <x:c r="H1319" s="70" t="s">
        <x:v>849</x:v>
      </x:c>
      <x:c r="I1319" s="70" t="s">
        <x:v>833</x:v>
      </x:c>
      <x:c r="J1319" s="70" t="n">
        <x:v>202</x:v>
      </x:c>
      <x:c r="K1319" s="70" t="s">
        <x:v>2162</x:v>
      </x:c>
      <x:c r="L1319" s="70" t="s">
        <x:v>864</x:v>
      </x:c>
      <x:c r="M1319" s="70" t="s">
        <x:v>39</x:v>
      </x:c>
      <x:c r="N1319" s="71" t="n">
        <x:v>1791577</x:v>
      </x:c>
      <x:c r="O1319" s="72" t="n">
        <x:f aca="0">N1319/1000</x:f>
        <x:v>1791.577</x:v>
      </x:c>
      <x:c r="P1319" s="73" t="n">
        <x:f aca="0">MLCF!G35</x:f>
        <x:v>1791.577</x:v>
      </x:c>
      <x:c r="Q1319" s="70" t="str">
        <x:f aca="0">IF(ABS(O1319-P1319)&lt;0.000001,"PASS","FAIL")</x:f>
        <x:v>PASS</x:v>
      </x:c>
      <x:c r="R1319" s="70" t="s">
        <x:v>33</x:v>
      </x:c>
      <x:c r="S1319" s="70"/>
    </x:row>
    <x:row r="1320" ht="15" hidden="0">
      <x:c r="A1320" s="70" t="s">
        <x:v>2288</x:v>
      </x:c>
      <x:c r="B1320" s="70" t="s">
        <x:v>41</x:v>
      </x:c>
      <x:c r="C1320" s="70" t="s">
        <x:v>105</x:v>
      </x:c>
      <x:c r="D1320" s="70" t="s">
        <x:v>139</x:v>
      </x:c>
      <x:c r="E1320" s="70" t="s">
        <x:v>763</x:v>
      </x:c>
      <x:c r="F1320" s="70" t="s">
        <x:v>2286</x:v>
      </x:c>
      <x:c r="G1320" s="70" t="s">
        <x:v>1310</x:v>
      </x:c>
      <x:c r="H1320" s="70" t="s">
        <x:v>849</x:v>
      </x:c>
      <x:c r="I1320" s="70" t="s">
        <x:v>852</x:v>
      </x:c>
      <x:c r="J1320" s="70" t="n">
        <x:v>202</x:v>
      </x:c>
      <x:c r="K1320" s="70" t="s">
        <x:v>2162</x:v>
      </x:c>
      <x:c r="L1320" s="70" t="s">
        <x:v>864</x:v>
      </x:c>
      <x:c r="M1320" s="70" t="s">
        <x:v>39</x:v>
      </x:c>
      <x:c r="N1320" s="71" t="n">
        <x:v>1520227</x:v>
      </x:c>
      <x:c r="O1320" s="72" t="n">
        <x:f aca="0">N1320/1000</x:f>
        <x:v>1520.227</x:v>
      </x:c>
      <x:c r="P1320" s="73" t="n">
        <x:f aca="0">MLCF!H35</x:f>
        <x:v>1520.227</x:v>
      </x:c>
      <x:c r="Q1320" s="70" t="str">
        <x:f aca="0">IF(ABS(O1320-P1320)&lt;0.000001,"PASS","FAIL")</x:f>
        <x:v>PASS</x:v>
      </x:c>
      <x:c r="R1320" s="70" t="s">
        <x:v>33</x:v>
      </x:c>
      <x:c r="S1320" s="70"/>
    </x:row>
    <x:row r="1321" ht="15" hidden="0">
      <x:c r="A1321" s="70" t="s">
        <x:v>2289</x:v>
      </x:c>
      <x:c r="B1321" s="70" t="s">
        <x:v>41</x:v>
      </x:c>
      <x:c r="C1321" s="70" t="s">
        <x:v>717</x:v>
      </x:c>
      <x:c r="D1321" s="70" t="s">
        <x:v>146</x:v>
      </x:c>
      <x:c r="E1321" s="70" t="s">
        <x:v>763</x:v>
      </x:c>
      <x:c r="F1321" s="70" t="s">
        <x:v>1397</x:v>
      </x:c>
      <x:c r="G1321" s="70" t="s">
        <x:v>1298</x:v>
      </x:c>
      <x:c r="H1321" s="70" t="s">
        <x:v>832</x:v>
      </x:c>
      <x:c r="I1321" s="70" t="s">
        <x:v>833</x:v>
      </x:c>
      <x:c r="J1321" s="70" t="n">
        <x:v>162</x:v>
      </x:c>
      <x:c r="K1321" s="70" t="s">
        <x:v>2213</x:v>
      </x:c>
      <x:c r="L1321" s="70" t="s">
        <x:v>1299</x:v>
      </x:c>
      <x:c r="M1321" s="70" t="s">
        <x:v>39</x:v>
      </x:c>
      <x:c r="N1321" s="71" t="n">
        <x:v>10983462</x:v>
      </x:c>
      <x:c r="O1321" s="72" t="n">
        <x:f aca="0">N1321/1000</x:f>
        <x:v>10983.462</x:v>
      </x:c>
      <x:c r="P1321" s="73" t="n">
        <x:f aca="0">MLCF!C39</x:f>
        <x:v>10983.462</x:v>
      </x:c>
      <x:c r="Q1321" s="70" t="str">
        <x:f aca="0">IF(ABS(O1321-P1321)&lt;0.000001,"PASS","FAIL")</x:f>
        <x:v>PASS</x:v>
      </x:c>
      <x:c r="R1321" s="70" t="s">
        <x:v>33</x:v>
      </x:c>
      <x:c r="S1321" s="70"/>
    </x:row>
    <x:row r="1322" ht="15" hidden="0">
      <x:c r="A1322" s="70" t="s">
        <x:v>2290</x:v>
      </x:c>
      <x:c r="B1322" s="70" t="s">
        <x:v>41</x:v>
      </x:c>
      <x:c r="C1322" s="70" t="s">
        <x:v>101</x:v>
      </x:c>
      <x:c r="D1322" s="70" t="s">
        <x:v>146</x:v>
      </x:c>
      <x:c r="E1322" s="70" t="s">
        <x:v>763</x:v>
      </x:c>
      <x:c r="F1322" s="70" t="s">
        <x:v>1397</x:v>
      </x:c>
      <x:c r="G1322" s="70" t="s">
        <x:v>1301</x:v>
      </x:c>
      <x:c r="H1322" s="70" t="s">
        <x:v>838</x:v>
      </x:c>
      <x:c r="I1322" s="70" t="s">
        <x:v>833</x:v>
      </x:c>
      <x:c r="J1322" s="70" t="n">
        <x:v>183</x:v>
      </x:c>
      <x:c r="K1322" s="70" t="s">
        <x:v>1911</x:v>
      </x:c>
      <x:c r="L1322" s="70" t="s">
        <x:v>1299</x:v>
      </x:c>
      <x:c r="M1322" s="70" t="s">
        <x:v>39</x:v>
      </x:c>
      <x:c r="N1322" s="71" t="n">
        <x:v>10983462</x:v>
      </x:c>
      <x:c r="O1322" s="72" t="n">
        <x:f aca="0">N1322/1000</x:f>
        <x:v>10983.462</x:v>
      </x:c>
      <x:c r="P1322" s="73" t="n">
        <x:f aca="0">MLCF!D39</x:f>
        <x:v>10983.462</x:v>
      </x:c>
      <x:c r="Q1322" s="70" t="str">
        <x:f aca="0">IF(ABS(O1322-P1322)&lt;0.000001,"PASS","FAIL")</x:f>
        <x:v>PASS</x:v>
      </x:c>
      <x:c r="R1322" s="70" t="s">
        <x:v>33</x:v>
      </x:c>
      <x:c r="S1322" s="70"/>
    </x:row>
    <x:row r="1323" ht="15" hidden="0">
      <x:c r="A1323" s="70" t="s">
        <x:v>2291</x:v>
      </x:c>
      <x:c r="B1323" s="70" t="s">
        <x:v>41</x:v>
      </x:c>
      <x:c r="C1323" s="70" t="s">
        <x:v>102</x:v>
      </x:c>
      <x:c r="D1323" s="70" t="s">
        <x:v>146</x:v>
      </x:c>
      <x:c r="E1323" s="70" t="s">
        <x:v>763</x:v>
      </x:c>
      <x:c r="F1323" s="70" t="s">
        <x:v>1397</x:v>
      </x:c>
      <x:c r="G1323" s="70" t="s">
        <x:v>1304</x:v>
      </x:c>
      <x:c r="H1323" s="70" t="s">
        <x:v>842</x:v>
      </x:c>
      <x:c r="I1323" s="70" t="s">
        <x:v>833</x:v>
      </x:c>
      <x:c r="J1323" s="70" t="n">
        <x:v>98</x:v>
      </x:c>
      <x:c r="K1323" s="70" t="s">
        <x:v>2197</x:v>
      </x:c>
      <x:c r="L1323" s="70"/>
      <x:c r="M1323" s="70" t="s">
        <x:v>39</x:v>
      </x:c>
      <x:c r="N1323" s="71" t="n">
        <x:v>10983462</x:v>
      </x:c>
      <x:c r="O1323" s="72" t="n">
        <x:f aca="0">N1323/1000</x:f>
        <x:v>10983.462</x:v>
      </x:c>
      <x:c r="P1323" s="73" t="n">
        <x:f aca="0">MLCF!E39</x:f>
        <x:v>10983.462</x:v>
      </x:c>
      <x:c r="Q1323" s="70" t="str">
        <x:f aca="0">IF(ABS(O1323-P1323)&lt;0.000001,"PASS","FAIL")</x:f>
        <x:v>PASS</x:v>
      </x:c>
      <x:c r="R1323" s="70" t="s">
        <x:v>33</x:v>
      </x:c>
      <x:c r="S1323" s="70"/>
    </x:row>
    <x:row r="1324" ht="15" hidden="0">
      <x:c r="A1324" s="70" t="s">
        <x:v>2292</x:v>
      </x:c>
      <x:c r="B1324" s="70" t="s">
        <x:v>41</x:v>
      </x:c>
      <x:c r="C1324" s="70" t="s">
        <x:v>103</x:v>
      </x:c>
      <x:c r="D1324" s="70" t="s">
        <x:v>146</x:v>
      </x:c>
      <x:c r="E1324" s="70" t="s">
        <x:v>763</x:v>
      </x:c>
      <x:c r="F1324" s="70" t="s">
        <x:v>2293</x:v>
      </x:c>
      <x:c r="G1324" s="70" t="s">
        <x:v>1307</x:v>
      </x:c>
      <x:c r="H1324" s="70" t="s">
        <x:v>845</x:v>
      </x:c>
      <x:c r="I1324" s="70" t="s">
        <x:v>833</x:v>
      </x:c>
      <x:c r="J1324" s="70" t="n">
        <x:v>189</x:v>
      </x:c>
      <x:c r="K1324" s="70" t="s">
        <x:v>1765</x:v>
      </x:c>
      <x:c r="L1324" s="70" t="s">
        <x:v>1299</x:v>
      </x:c>
      <x:c r="M1324" s="70" t="s">
        <x:v>39</x:v>
      </x:c>
      <x:c r="N1324" s="71" t="n">
        <x:v>10733462</x:v>
      </x:c>
      <x:c r="O1324" s="72" t="n">
        <x:f aca="0">N1324/1000</x:f>
        <x:v>10733.462</x:v>
      </x:c>
      <x:c r="P1324" s="73" t="n">
        <x:f aca="0">MLCF!F39</x:f>
        <x:v>10733.462</x:v>
      </x:c>
      <x:c r="Q1324" s="70" t="str">
        <x:f aca="0">IF(ABS(O1324-P1324)&lt;0.000001,"PASS","FAIL")</x:f>
        <x:v>PASS</x:v>
      </x:c>
      <x:c r="R1324" s="70" t="s">
        <x:v>33</x:v>
      </x:c>
      <x:c r="S1324" s="70"/>
    </x:row>
    <x:row r="1325" ht="15" hidden="0">
      <x:c r="A1325" s="70" t="s">
        <x:v>2294</x:v>
      </x:c>
      <x:c r="B1325" s="70" t="s">
        <x:v>41</x:v>
      </x:c>
      <x:c r="C1325" s="70" t="s">
        <x:v>104</x:v>
      </x:c>
      <x:c r="D1325" s="70" t="s">
        <x:v>146</x:v>
      </x:c>
      <x:c r="E1325" s="70" t="s">
        <x:v>763</x:v>
      </x:c>
      <x:c r="F1325" s="70" t="s">
        <x:v>1846</x:v>
      </x:c>
      <x:c r="G1325" s="70" t="s">
        <x:v>1310</x:v>
      </x:c>
      <x:c r="H1325" s="70" t="s">
        <x:v>849</x:v>
      </x:c>
      <x:c r="I1325" s="70" t="s">
        <x:v>833</x:v>
      </x:c>
      <x:c r="J1325" s="70" t="n">
        <x:v>201</x:v>
      </x:c>
      <x:c r="K1325" s="70" t="s">
        <x:v>2090</x:v>
      </x:c>
      <x:c r="L1325" s="70" t="s">
        <x:v>1299</x:v>
      </x:c>
      <x:c r="M1325" s="70" t="s">
        <x:v>39</x:v>
      </x:c>
      <x:c r="N1325" s="71" t="n">
        <x:v>10475626</x:v>
      </x:c>
      <x:c r="O1325" s="72" t="n">
        <x:f aca="0">N1325/1000</x:f>
        <x:v>10475.626</x:v>
      </x:c>
      <x:c r="P1325" s="73" t="n">
        <x:f aca="0">MLCF!G39</x:f>
        <x:v>10475.626</x:v>
      </x:c>
      <x:c r="Q1325" s="70" t="str">
        <x:f aca="0">IF(ABS(O1325-P1325)&lt;0.000001,"PASS","FAIL")</x:f>
        <x:v>PASS</x:v>
      </x:c>
      <x:c r="R1325" s="70" t="s">
        <x:v>33</x:v>
      </x:c>
      <x:c r="S1325" s="70"/>
    </x:row>
    <x:row r="1326" ht="15" hidden="0">
      <x:c r="A1326" s="70" t="s">
        <x:v>2295</x:v>
      </x:c>
      <x:c r="B1326" s="70" t="s">
        <x:v>41</x:v>
      </x:c>
      <x:c r="C1326" s="70" t="s">
        <x:v>105</x:v>
      </x:c>
      <x:c r="D1326" s="70" t="s">
        <x:v>146</x:v>
      </x:c>
      <x:c r="E1326" s="70" t="s">
        <x:v>763</x:v>
      </x:c>
      <x:c r="F1326" s="70" t="s">
        <x:v>1846</x:v>
      </x:c>
      <x:c r="G1326" s="70" t="s">
        <x:v>1310</x:v>
      </x:c>
      <x:c r="H1326" s="70" t="s">
        <x:v>849</x:v>
      </x:c>
      <x:c r="I1326" s="70" t="s">
        <x:v>852</x:v>
      </x:c>
      <x:c r="J1326" s="70" t="n">
        <x:v>201</x:v>
      </x:c>
      <x:c r="K1326" s="70" t="s">
        <x:v>2090</x:v>
      </x:c>
      <x:c r="L1326" s="70" t="s">
        <x:v>1299</x:v>
      </x:c>
      <x:c r="M1326" s="70" t="s">
        <x:v>39</x:v>
      </x:c>
      <x:c r="N1326" s="71" t="n">
        <x:v>10475626</x:v>
      </x:c>
      <x:c r="O1326" s="72" t="n">
        <x:f aca="0">N1326/1000</x:f>
        <x:v>10475.626</x:v>
      </x:c>
      <x:c r="P1326" s="73" t="n">
        <x:f aca="0">MLCF!H39</x:f>
        <x:v>10475.626</x:v>
      </x:c>
      <x:c r="Q1326" s="70" t="str">
        <x:f aca="0">IF(ABS(O1326-P1326)&lt;0.000001,"PASS","FAIL")</x:f>
        <x:v>PASS</x:v>
      </x:c>
      <x:c r="R1326" s="70" t="s">
        <x:v>33</x:v>
      </x:c>
      <x:c r="S1326" s="70"/>
    </x:row>
    <x:row r="1327" ht="15" hidden="0">
      <x:c r="A1327" s="70" t="s">
        <x:v>2296</x:v>
      </x:c>
      <x:c r="B1327" s="70" t="s">
        <x:v>41</x:v>
      </x:c>
      <x:c r="C1327" s="70" t="s">
        <x:v>717</x:v>
      </x:c>
      <x:c r="D1327" s="70" t="s">
        <x:v>148</x:v>
      </x:c>
      <x:c r="E1327" s="70" t="s">
        <x:v>763</x:v>
      </x:c>
      <x:c r="F1327" s="70" t="s">
        <x:v>2297</x:v>
      </x:c>
      <x:c r="G1327" s="70" t="s">
        <x:v>1298</x:v>
      </x:c>
      <x:c r="H1327" s="70" t="s">
        <x:v>832</x:v>
      </x:c>
      <x:c r="I1327" s="70" t="s">
        <x:v>833</x:v>
      </x:c>
      <x:c r="J1327" s="70" t="n">
        <x:v>162</x:v>
      </x:c>
      <x:c r="K1327" s="70" t="s">
        <x:v>2213</x:v>
      </x:c>
      <x:c r="L1327" s="70"/>
      <x:c r="M1327" s="70" t="s">
        <x:v>39</x:v>
      </x:c>
      <x:c r="N1327" s="71" t="n">
        <x:v>20337369</x:v>
      </x:c>
      <x:c r="O1327" s="72" t="n">
        <x:f aca="0">N1327/1000</x:f>
        <x:v>20337.369</x:v>
      </x:c>
      <x:c r="P1327" s="73" t="n">
        <x:f aca="0">MLCF!C40</x:f>
        <x:v>20337.369</x:v>
      </x:c>
      <x:c r="Q1327" s="70" t="str">
        <x:f aca="0">IF(ABS(O1327-P1327)&lt;0.000001,"PASS","FAIL")</x:f>
        <x:v>PASS</x:v>
      </x:c>
      <x:c r="R1327" s="70" t="s">
        <x:v>33</x:v>
      </x:c>
      <x:c r="S1327" s="70"/>
    </x:row>
    <x:row r="1328" ht="15" hidden="0">
      <x:c r="A1328" s="70" t="s">
        <x:v>2298</x:v>
      </x:c>
      <x:c r="B1328" s="70" t="s">
        <x:v>41</x:v>
      </x:c>
      <x:c r="C1328" s="70" t="s">
        <x:v>101</x:v>
      </x:c>
      <x:c r="D1328" s="70" t="s">
        <x:v>148</x:v>
      </x:c>
      <x:c r="E1328" s="70" t="s">
        <x:v>763</x:v>
      </x:c>
      <x:c r="F1328" s="70" t="s">
        <x:v>2297</x:v>
      </x:c>
      <x:c r="G1328" s="70" t="s">
        <x:v>1301</x:v>
      </x:c>
      <x:c r="H1328" s="70" t="s">
        <x:v>838</x:v>
      </x:c>
      <x:c r="I1328" s="70" t="s">
        <x:v>833</x:v>
      </x:c>
      <x:c r="J1328" s="70" t="n">
        <x:v>183</x:v>
      </x:c>
      <x:c r="K1328" s="70" t="s">
        <x:v>1911</x:v>
      </x:c>
      <x:c r="L1328" s="70"/>
      <x:c r="M1328" s="70" t="s">
        <x:v>39</x:v>
      </x:c>
      <x:c r="N1328" s="71" t="n">
        <x:v>26559079</x:v>
      </x:c>
      <x:c r="O1328" s="72" t="n">
        <x:f aca="0">N1328/1000</x:f>
        <x:v>26559.079</x:v>
      </x:c>
      <x:c r="P1328" s="73" t="n">
        <x:f aca="0">MLCF!D40</x:f>
        <x:v>26559.079</x:v>
      </x:c>
      <x:c r="Q1328" s="70" t="str">
        <x:f aca="0">IF(ABS(O1328-P1328)&lt;0.000001,"PASS","FAIL")</x:f>
        <x:v>PASS</x:v>
      </x:c>
      <x:c r="R1328" s="70" t="s">
        <x:v>33</x:v>
      </x:c>
      <x:c r="S1328" s="70"/>
    </x:row>
    <x:row r="1329" ht="15" hidden="0">
      <x:c r="A1329" s="70" t="s">
        <x:v>2299</x:v>
      </x:c>
      <x:c r="B1329" s="70" t="s">
        <x:v>41</x:v>
      </x:c>
      <x:c r="C1329" s="70" t="s">
        <x:v>102</x:v>
      </x:c>
      <x:c r="D1329" s="70" t="s">
        <x:v>148</x:v>
      </x:c>
      <x:c r="E1329" s="70" t="s">
        <x:v>763</x:v>
      </x:c>
      <x:c r="F1329" s="70" t="s">
        <x:v>2297</x:v>
      </x:c>
      <x:c r="G1329" s="70" t="s">
        <x:v>1304</x:v>
      </x:c>
      <x:c r="H1329" s="70" t="s">
        <x:v>842</x:v>
      </x:c>
      <x:c r="I1329" s="70" t="s">
        <x:v>833</x:v>
      </x:c>
      <x:c r="J1329" s="70" t="n">
        <x:v>98</x:v>
      </x:c>
      <x:c r="K1329" s="70" t="s">
        <x:v>2197</x:v>
      </x:c>
      <x:c r="L1329" s="70"/>
      <x:c r="M1329" s="70" t="s">
        <x:v>39</x:v>
      </x:c>
      <x:c r="N1329" s="71" t="n">
        <x:v>29575553</x:v>
      </x:c>
      <x:c r="O1329" s="72" t="n">
        <x:f aca="0">N1329/1000</x:f>
        <x:v>29575.553</x:v>
      </x:c>
      <x:c r="P1329" s="73" t="n">
        <x:f aca="0">MLCF!E40</x:f>
        <x:v>29575.553</x:v>
      </x:c>
      <x:c r="Q1329" s="70" t="str">
        <x:f aca="0">IF(ABS(O1329-P1329)&lt;0.000001,"PASS","FAIL")</x:f>
        <x:v>PASS</x:v>
      </x:c>
      <x:c r="R1329" s="70" t="s">
        <x:v>33</x:v>
      </x:c>
      <x:c r="S1329" s="70"/>
    </x:row>
    <x:row r="1330" ht="15" hidden="0">
      <x:c r="A1330" s="70" t="s">
        <x:v>2300</x:v>
      </x:c>
      <x:c r="B1330" s="70" t="s">
        <x:v>41</x:v>
      </x:c>
      <x:c r="C1330" s="70" t="s">
        <x:v>103</x:v>
      </x:c>
      <x:c r="D1330" s="70" t="s">
        <x:v>148</x:v>
      </x:c>
      <x:c r="E1330" s="70" t="s">
        <x:v>763</x:v>
      </x:c>
      <x:c r="F1330" s="70" t="s">
        <x:v>2301</x:v>
      </x:c>
      <x:c r="G1330" s="70" t="s">
        <x:v>1307</x:v>
      </x:c>
      <x:c r="H1330" s="70" t="s">
        <x:v>845</x:v>
      </x:c>
      <x:c r="I1330" s="70" t="s">
        <x:v>833</x:v>
      </x:c>
      <x:c r="J1330" s="70" t="n">
        <x:v>189</x:v>
      </x:c>
      <x:c r="K1330" s="70" t="s">
        <x:v>1765</x:v>
      </x:c>
      <x:c r="L1330" s="70" t="s">
        <x:v>966</x:v>
      </x:c>
      <x:c r="M1330" s="70" t="s">
        <x:v>39</x:v>
      </x:c>
      <x:c r="N1330" s="71" t="n">
        <x:v>34179652</x:v>
      </x:c>
      <x:c r="O1330" s="72" t="n">
        <x:f aca="0">N1330/1000</x:f>
        <x:v>34179.652</x:v>
      </x:c>
      <x:c r="P1330" s="73" t="n">
        <x:f aca="0">MLCF!F40</x:f>
        <x:v>34179.652</x:v>
      </x:c>
      <x:c r="Q1330" s="70" t="str">
        <x:f aca="0">IF(ABS(O1330-P1330)&lt;0.000001,"PASS","FAIL")</x:f>
        <x:v>PASS</x:v>
      </x:c>
      <x:c r="R1330" s="70" t="s">
        <x:v>33</x:v>
      </x:c>
      <x:c r="S1330" s="70"/>
    </x:row>
    <x:row r="1331" ht="15" hidden="0">
      <x:c r="A1331" s="70" t="s">
        <x:v>2302</x:v>
      </x:c>
      <x:c r="B1331" s="70" t="s">
        <x:v>41</x:v>
      </x:c>
      <x:c r="C1331" s="70" t="s">
        <x:v>104</x:v>
      </x:c>
      <x:c r="D1331" s="70" t="s">
        <x:v>148</x:v>
      </x:c>
      <x:c r="E1331" s="70" t="s">
        <x:v>763</x:v>
      </x:c>
      <x:c r="F1331" s="70" t="s">
        <x:v>2301</x:v>
      </x:c>
      <x:c r="G1331" s="70" t="s">
        <x:v>1310</x:v>
      </x:c>
      <x:c r="H1331" s="70" t="s">
        <x:v>849</x:v>
      </x:c>
      <x:c r="I1331" s="70" t="s">
        <x:v>833</x:v>
      </x:c>
      <x:c r="J1331" s="70" t="n">
        <x:v>201</x:v>
      </x:c>
      <x:c r="K1331" s="70" t="s">
        <x:v>2090</x:v>
      </x:c>
      <x:c r="L1331" s="70" t="s">
        <x:v>966</x:v>
      </x:c>
      <x:c r="M1331" s="70" t="s">
        <x:v>39</x:v>
      </x:c>
      <x:c r="N1331" s="71" t="n">
        <x:v>42140282</x:v>
      </x:c>
      <x:c r="O1331" s="72" t="n">
        <x:f aca="0">N1331/1000</x:f>
        <x:v>42140.282</x:v>
      </x:c>
      <x:c r="P1331" s="73" t="n">
        <x:f aca="0">MLCF!G40</x:f>
        <x:v>42140.282</x:v>
      </x:c>
      <x:c r="Q1331" s="70" t="str">
        <x:f aca="0">IF(ABS(O1331-P1331)&lt;0.000001,"PASS","FAIL")</x:f>
        <x:v>PASS</x:v>
      </x:c>
      <x:c r="R1331" s="70" t="s">
        <x:v>33</x:v>
      </x:c>
      <x:c r="S1331" s="70"/>
    </x:row>
    <x:row r="1332" ht="15" hidden="0">
      <x:c r="A1332" s="70" t="s">
        <x:v>2303</x:v>
      </x:c>
      <x:c r="B1332" s="70" t="s">
        <x:v>41</x:v>
      </x:c>
      <x:c r="C1332" s="70" t="s">
        <x:v>105</x:v>
      </x:c>
      <x:c r="D1332" s="70" t="s">
        <x:v>148</x:v>
      </x:c>
      <x:c r="E1332" s="70" t="s">
        <x:v>763</x:v>
      </x:c>
      <x:c r="F1332" s="70" t="s">
        <x:v>2301</x:v>
      </x:c>
      <x:c r="G1332" s="70" t="s">
        <x:v>1310</x:v>
      </x:c>
      <x:c r="H1332" s="70" t="s">
        <x:v>849</x:v>
      </x:c>
      <x:c r="I1332" s="70" t="s">
        <x:v>852</x:v>
      </x:c>
      <x:c r="J1332" s="70" t="n">
        <x:v>201</x:v>
      </x:c>
      <x:c r="K1332" s="70" t="s">
        <x:v>2090</x:v>
      </x:c>
      <x:c r="L1332" s="70" t="s">
        <x:v>966</x:v>
      </x:c>
      <x:c r="M1332" s="70" t="s">
        <x:v>39</x:v>
      </x:c>
      <x:c r="N1332" s="71" t="n">
        <x:v>60985966</x:v>
      </x:c>
      <x:c r="O1332" s="72" t="n">
        <x:f aca="0">N1332/1000</x:f>
        <x:v>60985.966</x:v>
      </x:c>
      <x:c r="P1332" s="73" t="n">
        <x:f aca="0">MLCF!H40</x:f>
        <x:v>60985.966</x:v>
      </x:c>
      <x:c r="Q1332" s="70" t="str">
        <x:f aca="0">IF(ABS(O1332-P1332)&lt;0.000001,"PASS","FAIL")</x:f>
        <x:v>PASS</x:v>
      </x:c>
      <x:c r="R1332" s="70" t="s">
        <x:v>33</x:v>
      </x:c>
      <x:c r="S1332" s="70"/>
    </x:row>
    <x:row r="1333" ht="15" hidden="0">
      <x:c r="A1333" s="70" t="s">
        <x:v>2304</x:v>
      </x:c>
      <x:c r="B1333" s="70" t="s">
        <x:v>41</x:v>
      </x:c>
      <x:c r="C1333" s="70" t="s">
        <x:v>717</x:v>
      </x:c>
      <x:c r="D1333" s="70" t="s">
        <x:v>153</x:v>
      </x:c>
      <x:c r="E1333" s="70" t="s">
        <x:v>763</x:v>
      </x:c>
      <x:c r="F1333" s="70" t="s">
        <x:v>2305</x:v>
      </x:c>
      <x:c r="G1333" s="70" t="s">
        <x:v>1298</x:v>
      </x:c>
      <x:c r="H1333" s="70" t="s">
        <x:v>832</x:v>
      </x:c>
      <x:c r="I1333" s="70" t="s">
        <x:v>833</x:v>
      </x:c>
      <x:c r="J1333" s="70" t="n">
        <x:v>162</x:v>
      </x:c>
      <x:c r="K1333" s="70" t="s">
        <x:v>2213</x:v>
      </x:c>
      <x:c r="L1333" s="70" t="s">
        <x:v>1019</x:v>
      </x:c>
      <x:c r="M1333" s="70" t="s">
        <x:v>39</x:v>
      </x:c>
      <x:c r="N1333" s="71" t="n">
        <x:v>15173102</x:v>
      </x:c>
      <x:c r="O1333" s="72" t="n">
        <x:f aca="0">N1333/1000</x:f>
        <x:v>15173.102</x:v>
      </x:c>
      <x:c r="P1333" s="73" t="n">
        <x:f aca="0">MLCF!C43</x:f>
        <x:v>15173.102</x:v>
      </x:c>
      <x:c r="Q1333" s="70" t="str">
        <x:f aca="0">IF(ABS(O1333-P1333)&lt;0.000001,"PASS","FAIL")</x:f>
        <x:v>PASS</x:v>
      </x:c>
      <x:c r="R1333" s="70" t="s">
        <x:v>33</x:v>
      </x:c>
      <x:c r="S1333" s="70"/>
    </x:row>
    <x:row r="1334" ht="15" hidden="0">
      <x:c r="A1334" s="70" t="s">
        <x:v>2306</x:v>
      </x:c>
      <x:c r="B1334" s="70" t="s">
        <x:v>41</x:v>
      </x:c>
      <x:c r="C1334" s="70" t="s">
        <x:v>101</x:v>
      </x:c>
      <x:c r="D1334" s="70" t="s">
        <x:v>153</x:v>
      </x:c>
      <x:c r="E1334" s="70" t="s">
        <x:v>763</x:v>
      </x:c>
      <x:c r="F1334" s="70" t="s">
        <x:v>2307</x:v>
      </x:c>
      <x:c r="G1334" s="70" t="s">
        <x:v>1301</x:v>
      </x:c>
      <x:c r="H1334" s="70" t="s">
        <x:v>838</x:v>
      </x:c>
      <x:c r="I1334" s="70" t="s">
        <x:v>833</x:v>
      </x:c>
      <x:c r="J1334" s="70" t="n">
        <x:v>183</x:v>
      </x:c>
      <x:c r="K1334" s="70" t="s">
        <x:v>1911</x:v>
      </x:c>
      <x:c r="L1334" s="70" t="s">
        <x:v>1019</x:v>
      </x:c>
      <x:c r="M1334" s="70" t="s">
        <x:v>39</x:v>
      </x:c>
      <x:c r="N1334" s="71" t="n">
        <x:v>12636749</x:v>
      </x:c>
      <x:c r="O1334" s="72" t="n">
        <x:f aca="0">N1334/1000</x:f>
        <x:v>12636.749</x:v>
      </x:c>
      <x:c r="P1334" s="73" t="n">
        <x:f aca="0">MLCF!D43</x:f>
        <x:v>12636.749</x:v>
      </x:c>
      <x:c r="Q1334" s="70" t="str">
        <x:f aca="0">IF(ABS(O1334-P1334)&lt;0.000001,"PASS","FAIL")</x:f>
        <x:v>PASS</x:v>
      </x:c>
      <x:c r="R1334" s="70" t="s">
        <x:v>33</x:v>
      </x:c>
      <x:c r="S1334" s="70"/>
    </x:row>
    <x:row r="1335" ht="15" hidden="0">
      <x:c r="A1335" s="70" t="s">
        <x:v>2308</x:v>
      </x:c>
      <x:c r="B1335" s="70" t="s">
        <x:v>41</x:v>
      </x:c>
      <x:c r="C1335" s="70" t="s">
        <x:v>102</x:v>
      </x:c>
      <x:c r="D1335" s="70" t="s">
        <x:v>153</x:v>
      </x:c>
      <x:c r="E1335" s="70" t="s">
        <x:v>763</x:v>
      </x:c>
      <x:c r="F1335" s="70" t="s">
        <x:v>2307</x:v>
      </x:c>
      <x:c r="G1335" s="70" t="s">
        <x:v>1304</x:v>
      </x:c>
      <x:c r="H1335" s="70" t="s">
        <x:v>842</x:v>
      </x:c>
      <x:c r="I1335" s="70" t="s">
        <x:v>833</x:v>
      </x:c>
      <x:c r="J1335" s="70" t="n">
        <x:v>98</x:v>
      </x:c>
      <x:c r="K1335" s="70" t="s">
        <x:v>2197</x:v>
      </x:c>
      <x:c r="L1335" s="70"/>
      <x:c r="M1335" s="70" t="s">
        <x:v>39</x:v>
      </x:c>
      <x:c r="N1335" s="71" t="n">
        <x:v>18747868</x:v>
      </x:c>
      <x:c r="O1335" s="72" t="n">
        <x:f aca="0">N1335/1000</x:f>
        <x:v>18747.868</x:v>
      </x:c>
      <x:c r="P1335" s="73" t="n">
        <x:f aca="0">MLCF!E43</x:f>
        <x:v>18747.868</x:v>
      </x:c>
      <x:c r="Q1335" s="70" t="str">
        <x:f aca="0">IF(ABS(O1335-P1335)&lt;0.000001,"PASS","FAIL")</x:f>
        <x:v>PASS</x:v>
      </x:c>
      <x:c r="R1335" s="70" t="s">
        <x:v>33</x:v>
      </x:c>
      <x:c r="S1335" s="70"/>
    </x:row>
    <x:row r="1336" ht="15" hidden="0">
      <x:c r="A1336" s="70" t="s">
        <x:v>2309</x:v>
      </x:c>
      <x:c r="B1336" s="70" t="s">
        <x:v>41</x:v>
      </x:c>
      <x:c r="C1336" s="70" t="s">
        <x:v>103</x:v>
      </x:c>
      <x:c r="D1336" s="70" t="s">
        <x:v>153</x:v>
      </x:c>
      <x:c r="E1336" s="70" t="s">
        <x:v>763</x:v>
      </x:c>
      <x:c r="F1336" s="70" t="s">
        <x:v>2310</x:v>
      </x:c>
      <x:c r="G1336" s="70" t="s">
        <x:v>1307</x:v>
      </x:c>
      <x:c r="H1336" s="70" t="s">
        <x:v>845</x:v>
      </x:c>
      <x:c r="I1336" s="70" t="s">
        <x:v>833</x:v>
      </x:c>
      <x:c r="J1336" s="70" t="n">
        <x:v>189</x:v>
      </x:c>
      <x:c r="K1336" s="70" t="s">
        <x:v>1765</x:v>
      </x:c>
      <x:c r="L1336" s="70" t="s">
        <x:v>1019</x:v>
      </x:c>
      <x:c r="M1336" s="70" t="s">
        <x:v>39</x:v>
      </x:c>
      <x:c r="N1336" s="71" t="n">
        <x:v>17233337</x:v>
      </x:c>
      <x:c r="O1336" s="72" t="n">
        <x:f aca="0">N1336/1000</x:f>
        <x:v>17233.337</x:v>
      </x:c>
      <x:c r="P1336" s="73" t="n">
        <x:f aca="0">MLCF!F43</x:f>
        <x:v>17233.337</x:v>
      </x:c>
      <x:c r="Q1336" s="70" t="str">
        <x:f aca="0">IF(ABS(O1336-P1336)&lt;0.000001,"PASS","FAIL")</x:f>
        <x:v>PASS</x:v>
      </x:c>
      <x:c r="R1336" s="70" t="s">
        <x:v>33</x:v>
      </x:c>
      <x:c r="S1336" s="70"/>
    </x:row>
    <x:row r="1337" ht="15" hidden="0">
      <x:c r="A1337" s="70" t="s">
        <x:v>2311</x:v>
      </x:c>
      <x:c r="B1337" s="70" t="s">
        <x:v>41</x:v>
      </x:c>
      <x:c r="C1337" s="70" t="s">
        <x:v>104</x:v>
      </x:c>
      <x:c r="D1337" s="70" t="s">
        <x:v>153</x:v>
      </x:c>
      <x:c r="E1337" s="70" t="s">
        <x:v>763</x:v>
      </x:c>
      <x:c r="F1337" s="70" t="s">
        <x:v>2310</x:v>
      </x:c>
      <x:c r="G1337" s="70" t="s">
        <x:v>1310</x:v>
      </x:c>
      <x:c r="H1337" s="70" t="s">
        <x:v>849</x:v>
      </x:c>
      <x:c r="I1337" s="70" t="s">
        <x:v>833</x:v>
      </x:c>
      <x:c r="J1337" s="70" t="n">
        <x:v>201</x:v>
      </x:c>
      <x:c r="K1337" s="70" t="s">
        <x:v>2090</x:v>
      </x:c>
      <x:c r="L1337" s="70" t="s">
        <x:v>1019</x:v>
      </x:c>
      <x:c r="M1337" s="70" t="s">
        <x:v>39</x:v>
      </x:c>
      <x:c r="N1337" s="71" t="n">
        <x:v>14285786</x:v>
      </x:c>
      <x:c r="O1337" s="72" t="n">
        <x:f aca="0">N1337/1000</x:f>
        <x:v>14285.786</x:v>
      </x:c>
      <x:c r="P1337" s="73" t="n">
        <x:f aca="0">MLCF!G43</x:f>
        <x:v>14285.786</x:v>
      </x:c>
      <x:c r="Q1337" s="70" t="str">
        <x:f aca="0">IF(ABS(O1337-P1337)&lt;0.000001,"PASS","FAIL")</x:f>
        <x:v>PASS</x:v>
      </x:c>
      <x:c r="R1337" s="70" t="s">
        <x:v>33</x:v>
      </x:c>
      <x:c r="S1337" s="70"/>
    </x:row>
    <x:row r="1338" ht="15" hidden="0">
      <x:c r="A1338" s="70" t="s">
        <x:v>2312</x:v>
      </x:c>
      <x:c r="B1338" s="70" t="s">
        <x:v>41</x:v>
      </x:c>
      <x:c r="C1338" s="70" t="s">
        <x:v>105</x:v>
      </x:c>
      <x:c r="D1338" s="70" t="s">
        <x:v>153</x:v>
      </x:c>
      <x:c r="E1338" s="70" t="s">
        <x:v>763</x:v>
      </x:c>
      <x:c r="F1338" s="70" t="s">
        <x:v>2310</x:v>
      </x:c>
      <x:c r="G1338" s="70" t="s">
        <x:v>1310</x:v>
      </x:c>
      <x:c r="H1338" s="70" t="s">
        <x:v>849</x:v>
      </x:c>
      <x:c r="I1338" s="70" t="s">
        <x:v>852</x:v>
      </x:c>
      <x:c r="J1338" s="70" t="n">
        <x:v>201</x:v>
      </x:c>
      <x:c r="K1338" s="70" t="s">
        <x:v>2090</x:v>
      </x:c>
      <x:c r="L1338" s="70" t="s">
        <x:v>1019</x:v>
      </x:c>
      <x:c r="M1338" s="70" t="s">
        <x:v>39</x:v>
      </x:c>
      <x:c r="N1338" s="71" t="n">
        <x:v>9781639</x:v>
      </x:c>
      <x:c r="O1338" s="72" t="n">
        <x:f aca="0">N1338/1000</x:f>
        <x:v>9781.639</x:v>
      </x:c>
      <x:c r="P1338" s="73" t="n">
        <x:f aca="0">MLCF!H43</x:f>
        <x:v>9781.639</x:v>
      </x:c>
      <x:c r="Q1338" s="70" t="str">
        <x:f aca="0">IF(ABS(O1338-P1338)&lt;0.000001,"PASS","FAIL")</x:f>
        <x:v>PASS</x:v>
      </x:c>
      <x:c r="R1338" s="70" t="s">
        <x:v>33</x:v>
      </x:c>
      <x:c r="S1338" s="70"/>
    </x:row>
    <x:row r="1339" ht="15" hidden="0">
      <x:c r="A1339" s="70" t="s">
        <x:v>2313</x:v>
      </x:c>
      <x:c r="B1339" s="70" t="s">
        <x:v>41</x:v>
      </x:c>
      <x:c r="C1339" s="70" t="s">
        <x:v>717</x:v>
      </x:c>
      <x:c r="D1339" s="70" t="s">
        <x:v>155</x:v>
      </x:c>
      <x:c r="E1339" s="70" t="s">
        <x:v>763</x:v>
      </x:c>
      <x:c r="F1339" s="70"/>
      <x:c r="G1339" s="70" t="s">
        <x:v>1298</x:v>
      </x:c>
      <x:c r="H1339" s="70" t="s">
        <x:v>832</x:v>
      </x:c>
      <x:c r="I1339" s="70" t="s">
        <x:v>833</x:v>
      </x:c>
      <x:c r="J1339" s="70" t="n">
        <x:v>162</x:v>
      </x:c>
      <x:c r="K1339" s="70" t="s">
        <x:v>2213</x:v>
      </x:c>
      <x:c r="L1339" s="70"/>
      <x:c r="M1339" s="70" t="s">
        <x:v>39</x:v>
      </x:c>
      <x:c r="N1339" s="71" t="n">
        <x:v>0</x:v>
      </x:c>
      <x:c r="O1339" s="72" t="n">
        <x:f aca="0">N1339/1000</x:f>
        <x:v>0</x:v>
      </x:c>
      <x:c r="P1339" s="73" t="n">
        <x:f aca="0">MLCF!C44</x:f>
        <x:v>0</x:v>
      </x:c>
      <x:c r="Q1339" s="70" t="str">
        <x:f aca="0">IF(ABS(O1339-P1339)&lt;0.000001,"PASS","FAIL")</x:f>
        <x:v>PASS</x:v>
      </x:c>
      <x:c r="R1339" s="70" t="s">
        <x:v>33</x:v>
      </x:c>
      <x:c r="S1339" s="70"/>
    </x:row>
    <x:row r="1340" ht="15" hidden="0">
      <x:c r="A1340" s="70" t="s">
        <x:v>2314</x:v>
      </x:c>
      <x:c r="B1340" s="70" t="s">
        <x:v>41</x:v>
      </x:c>
      <x:c r="C1340" s="70" t="s">
        <x:v>101</x:v>
      </x:c>
      <x:c r="D1340" s="70" t="s">
        <x:v>155</x:v>
      </x:c>
      <x:c r="E1340" s="70" t="s">
        <x:v>763</x:v>
      </x:c>
      <x:c r="F1340" s="70" t="s">
        <x:v>2315</x:v>
      </x:c>
      <x:c r="G1340" s="70" t="s">
        <x:v>1301</x:v>
      </x:c>
      <x:c r="H1340" s="70" t="s">
        <x:v>838</x:v>
      </x:c>
      <x:c r="I1340" s="70" t="s">
        <x:v>833</x:v>
      </x:c>
      <x:c r="J1340" s="70" t="n">
        <x:v>183</x:v>
      </x:c>
      <x:c r="K1340" s="70" t="s">
        <x:v>1911</x:v>
      </x:c>
      <x:c r="L1340" s="70" t="s">
        <x:v>1040</x:v>
      </x:c>
      <x:c r="M1340" s="70" t="s">
        <x:v>39</x:v>
      </x:c>
      <x:c r="N1340" s="71" t="n">
        <x:v>0</x:v>
      </x:c>
      <x:c r="O1340" s="72" t="n">
        <x:f aca="0">N1340/1000</x:f>
        <x:v>0</x:v>
      </x:c>
      <x:c r="P1340" s="73" t="n">
        <x:f aca="0">MLCF!D44</x:f>
        <x:v>0</x:v>
      </x:c>
      <x:c r="Q1340" s="70" t="str">
        <x:f aca="0">IF(ABS(O1340-P1340)&lt;0.000001,"PASS","FAIL")</x:f>
        <x:v>PASS</x:v>
      </x:c>
      <x:c r="R1340" s="70" t="s">
        <x:v>33</x:v>
      </x:c>
      <x:c r="S1340" s="70"/>
    </x:row>
    <x:row r="1341" ht="15" hidden="0">
      <x:c r="A1341" s="70" t="s">
        <x:v>2316</x:v>
      </x:c>
      <x:c r="B1341" s="70" t="s">
        <x:v>41</x:v>
      </x:c>
      <x:c r="C1341" s="70" t="s">
        <x:v>102</x:v>
      </x:c>
      <x:c r="D1341" s="70" t="s">
        <x:v>155</x:v>
      </x:c>
      <x:c r="E1341" s="70" t="s">
        <x:v>763</x:v>
      </x:c>
      <x:c r="F1341" s="70" t="s">
        <x:v>2315</x:v>
      </x:c>
      <x:c r="G1341" s="70" t="s">
        <x:v>1304</x:v>
      </x:c>
      <x:c r="H1341" s="70" t="s">
        <x:v>842</x:v>
      </x:c>
      <x:c r="I1341" s="70" t="s">
        <x:v>833</x:v>
      </x:c>
      <x:c r="J1341" s="70" t="n">
        <x:v>98</x:v>
      </x:c>
      <x:c r="K1341" s="70" t="s">
        <x:v>2197</x:v>
      </x:c>
      <x:c r="L1341" s="70"/>
      <x:c r="M1341" s="70" t="s">
        <x:v>39</x:v>
      </x:c>
      <x:c r="N1341" s="71" t="n">
        <x:v>27136</x:v>
      </x:c>
      <x:c r="O1341" s="72" t="n">
        <x:f aca="0">N1341/1000</x:f>
        <x:v>27.136</x:v>
      </x:c>
      <x:c r="P1341" s="73" t="n">
        <x:f aca="0">MLCF!E44</x:f>
        <x:v>27.136</x:v>
      </x:c>
      <x:c r="Q1341" s="70" t="str">
        <x:f aca="0">IF(ABS(O1341-P1341)&lt;0.000001,"PASS","FAIL")</x:f>
        <x:v>PASS</x:v>
      </x:c>
      <x:c r="R1341" s="70" t="s">
        <x:v>33</x:v>
      </x:c>
      <x:c r="S1341" s="70"/>
    </x:row>
    <x:row r="1342" ht="15" hidden="0">
      <x:c r="A1342" s="70" t="s">
        <x:v>2317</x:v>
      </x:c>
      <x:c r="B1342" s="70" t="s">
        <x:v>41</x:v>
      </x:c>
      <x:c r="C1342" s="70" t="s">
        <x:v>103</x:v>
      </x:c>
      <x:c r="D1342" s="70" t="s">
        <x:v>155</x:v>
      </x:c>
      <x:c r="E1342" s="70" t="s">
        <x:v>763</x:v>
      </x:c>
      <x:c r="F1342" s="70" t="s">
        <x:v>2318</x:v>
      </x:c>
      <x:c r="G1342" s="70" t="s">
        <x:v>1307</x:v>
      </x:c>
      <x:c r="H1342" s="70" t="s">
        <x:v>845</x:v>
      </x:c>
      <x:c r="I1342" s="70" t="s">
        <x:v>833</x:v>
      </x:c>
      <x:c r="J1342" s="70" t="n">
        <x:v>189</x:v>
      </x:c>
      <x:c r="K1342" s="70" t="s">
        <x:v>1765</x:v>
      </x:c>
      <x:c r="L1342" s="70" t="s">
        <x:v>1040</x:v>
      </x:c>
      <x:c r="M1342" s="70" t="s">
        <x:v>39</x:v>
      </x:c>
      <x:c r="N1342" s="71" t="n">
        <x:v>31408</x:v>
      </x:c>
      <x:c r="O1342" s="72" t="n">
        <x:f aca="0">N1342/1000</x:f>
        <x:v>31.408</x:v>
      </x:c>
      <x:c r="P1342" s="73" t="n">
        <x:f aca="0">MLCF!F44</x:f>
        <x:v>31.408</x:v>
      </x:c>
      <x:c r="Q1342" s="70" t="str">
        <x:f aca="0">IF(ABS(O1342-P1342)&lt;0.000001,"PASS","FAIL")</x:f>
        <x:v>PASS</x:v>
      </x:c>
      <x:c r="R1342" s="70" t="s">
        <x:v>33</x:v>
      </x:c>
      <x:c r="S1342" s="70"/>
    </x:row>
    <x:row r="1343" ht="15" hidden="0">
      <x:c r="A1343" s="70" t="s">
        <x:v>2319</x:v>
      </x:c>
      <x:c r="B1343" s="70" t="s">
        <x:v>41</x:v>
      </x:c>
      <x:c r="C1343" s="70" t="s">
        <x:v>104</x:v>
      </x:c>
      <x:c r="D1343" s="70" t="s">
        <x:v>155</x:v>
      </x:c>
      <x:c r="E1343" s="70" t="s">
        <x:v>763</x:v>
      </x:c>
      <x:c r="F1343" s="70" t="s">
        <x:v>2318</x:v>
      </x:c>
      <x:c r="G1343" s="70" t="s">
        <x:v>1310</x:v>
      </x:c>
      <x:c r="H1343" s="70" t="s">
        <x:v>849</x:v>
      </x:c>
      <x:c r="I1343" s="70" t="s">
        <x:v>833</x:v>
      </x:c>
      <x:c r="J1343" s="70" t="n">
        <x:v>201</x:v>
      </x:c>
      <x:c r="K1343" s="70" t="s">
        <x:v>2090</x:v>
      </x:c>
      <x:c r="L1343" s="70" t="s">
        <x:v>1040</x:v>
      </x:c>
      <x:c r="M1343" s="70" t="s">
        <x:v>39</x:v>
      </x:c>
      <x:c r="N1343" s="71" t="n">
        <x:v>34670</x:v>
      </x:c>
      <x:c r="O1343" s="72" t="n">
        <x:f aca="0">N1343/1000</x:f>
        <x:v>34.67</x:v>
      </x:c>
      <x:c r="P1343" s="73" t="n">
        <x:f aca="0">MLCF!G44</x:f>
        <x:v>34.67</x:v>
      </x:c>
      <x:c r="Q1343" s="70" t="str">
        <x:f aca="0">IF(ABS(O1343-P1343)&lt;0.000001,"PASS","FAIL")</x:f>
        <x:v>PASS</x:v>
      </x:c>
      <x:c r="R1343" s="70" t="s">
        <x:v>33</x:v>
      </x:c>
      <x:c r="S1343" s="70"/>
    </x:row>
    <x:row r="1344" ht="15" hidden="0">
      <x:c r="A1344" s="70" t="s">
        <x:v>2320</x:v>
      </x:c>
      <x:c r="B1344" s="70" t="s">
        <x:v>41</x:v>
      </x:c>
      <x:c r="C1344" s="70" t="s">
        <x:v>105</x:v>
      </x:c>
      <x:c r="D1344" s="70" t="s">
        <x:v>155</x:v>
      </x:c>
      <x:c r="E1344" s="70" t="s">
        <x:v>763</x:v>
      </x:c>
      <x:c r="F1344" s="70" t="s">
        <x:v>2318</x:v>
      </x:c>
      <x:c r="G1344" s="70" t="s">
        <x:v>1310</x:v>
      </x:c>
      <x:c r="H1344" s="70" t="s">
        <x:v>849</x:v>
      </x:c>
      <x:c r="I1344" s="70" t="s">
        <x:v>852</x:v>
      </x:c>
      <x:c r="J1344" s="70" t="n">
        <x:v>201</x:v>
      </x:c>
      <x:c r="K1344" s="70" t="s">
        <x:v>2090</x:v>
      </x:c>
      <x:c r="L1344" s="70" t="s">
        <x:v>1040</x:v>
      </x:c>
      <x:c r="M1344" s="70" t="s">
        <x:v>39</x:v>
      </x:c>
      <x:c r="N1344" s="71" t="n">
        <x:v>28495</x:v>
      </x:c>
      <x:c r="O1344" s="72" t="n">
        <x:f aca="0">N1344/1000</x:f>
        <x:v>28.495</x:v>
      </x:c>
      <x:c r="P1344" s="73" t="n">
        <x:f aca="0">MLCF!H44</x:f>
        <x:v>28.495</x:v>
      </x:c>
      <x:c r="Q1344" s="70" t="str">
        <x:f aca="0">IF(ABS(O1344-P1344)&lt;0.000001,"PASS","FAIL")</x:f>
        <x:v>PASS</x:v>
      </x:c>
      <x:c r="R1344" s="70" t="s">
        <x:v>33</x:v>
      </x:c>
      <x:c r="S1344" s="70"/>
    </x:row>
    <x:row r="1345" ht="15" hidden="0">
      <x:c r="A1345" s="70" t="s">
        <x:v>2321</x:v>
      </x:c>
      <x:c r="B1345" s="70" t="s">
        <x:v>41</x:v>
      </x:c>
      <x:c r="C1345" s="70" t="s">
        <x:v>717</x:v>
      </x:c>
      <x:c r="D1345" s="70" t="s">
        <x:v>157</x:v>
      </x:c>
      <x:c r="E1345" s="70" t="s">
        <x:v>763</x:v>
      </x:c>
      <x:c r="F1345" s="70" t="s">
        <x:v>979</x:v>
      </x:c>
      <x:c r="G1345" s="70" t="s">
        <x:v>1298</x:v>
      </x:c>
      <x:c r="H1345" s="70" t="s">
        <x:v>832</x:v>
      </x:c>
      <x:c r="I1345" s="70" t="s">
        <x:v>833</x:v>
      </x:c>
      <x:c r="J1345" s="70" t="n">
        <x:v>162</x:v>
      </x:c>
      <x:c r="K1345" s="70" t="s">
        <x:v>2213</x:v>
      </x:c>
      <x:c r="L1345" s="70" t="s">
        <x:v>1002</x:v>
      </x:c>
      <x:c r="M1345" s="70" t="s">
        <x:v>39</x:v>
      </x:c>
      <x:c r="N1345" s="71" t="n">
        <x:v>0</x:v>
      </x:c>
      <x:c r="O1345" s="72" t="n">
        <x:f aca="0">N1345/1000</x:f>
        <x:v>0</x:v>
      </x:c>
      <x:c r="P1345" s="73" t="n">
        <x:f aca="0">MLCF!C45</x:f>
        <x:v>0</x:v>
      </x:c>
      <x:c r="Q1345" s="70" t="str">
        <x:f aca="0">IF(ABS(O1345-P1345)&lt;0.000001,"PASS","FAIL")</x:f>
        <x:v>PASS</x:v>
      </x:c>
      <x:c r="R1345" s="70" t="s">
        <x:v>33</x:v>
      </x:c>
      <x:c r="S1345" s="70"/>
    </x:row>
    <x:row r="1346" ht="15" hidden="0">
      <x:c r="A1346" s="70" t="s">
        <x:v>2322</x:v>
      </x:c>
      <x:c r="B1346" s="70" t="s">
        <x:v>41</x:v>
      </x:c>
      <x:c r="C1346" s="70" t="s">
        <x:v>101</x:v>
      </x:c>
      <x:c r="D1346" s="70" t="s">
        <x:v>157</x:v>
      </x:c>
      <x:c r="E1346" s="70" t="s">
        <x:v>763</x:v>
      </x:c>
      <x:c r="F1346" s="70" t="s">
        <x:v>979</x:v>
      </x:c>
      <x:c r="G1346" s="70" t="s">
        <x:v>1301</x:v>
      </x:c>
      <x:c r="H1346" s="70" t="s">
        <x:v>838</x:v>
      </x:c>
      <x:c r="I1346" s="70" t="s">
        <x:v>833</x:v>
      </x:c>
      <x:c r="J1346" s="70" t="n">
        <x:v>183</x:v>
      </x:c>
      <x:c r="K1346" s="70" t="s">
        <x:v>1911</x:v>
      </x:c>
      <x:c r="L1346" s="70" t="s">
        <x:v>1002</x:v>
      </x:c>
      <x:c r="M1346" s="70" t="s">
        <x:v>39</x:v>
      </x:c>
      <x:c r="N1346" s="71" t="n">
        <x:v>49569</x:v>
      </x:c>
      <x:c r="O1346" s="72" t="n">
        <x:f aca="0">N1346/1000</x:f>
        <x:v>49.569</x:v>
      </x:c>
      <x:c r="P1346" s="73" t="n">
        <x:f aca="0">MLCF!D45</x:f>
        <x:v>49.569</x:v>
      </x:c>
      <x:c r="Q1346" s="70" t="str">
        <x:f aca="0">IF(ABS(O1346-P1346)&lt;0.000001,"PASS","FAIL")</x:f>
        <x:v>PASS</x:v>
      </x:c>
      <x:c r="R1346" s="70" t="s">
        <x:v>33</x:v>
      </x:c>
      <x:c r="S1346" s="70"/>
    </x:row>
    <x:row r="1347" ht="15" hidden="0">
      <x:c r="A1347" s="70" t="s">
        <x:v>2323</x:v>
      </x:c>
      <x:c r="B1347" s="70" t="s">
        <x:v>41</x:v>
      </x:c>
      <x:c r="C1347" s="70" t="s">
        <x:v>102</x:v>
      </x:c>
      <x:c r="D1347" s="70" t="s">
        <x:v>157</x:v>
      </x:c>
      <x:c r="E1347" s="70" t="s">
        <x:v>763</x:v>
      </x:c>
      <x:c r="F1347" s="70" t="s">
        <x:v>979</x:v>
      </x:c>
      <x:c r="G1347" s="70" t="s">
        <x:v>1304</x:v>
      </x:c>
      <x:c r="H1347" s="70" t="s">
        <x:v>842</x:v>
      </x:c>
      <x:c r="I1347" s="70" t="s">
        <x:v>833</x:v>
      </x:c>
      <x:c r="J1347" s="70" t="n">
        <x:v>98</x:v>
      </x:c>
      <x:c r="K1347" s="70" t="s">
        <x:v>2197</x:v>
      </x:c>
      <x:c r="L1347" s="70"/>
      <x:c r="M1347" s="70" t="s">
        <x:v>39</x:v>
      </x:c>
      <x:c r="N1347" s="71" t="n">
        <x:v>786758</x:v>
      </x:c>
      <x:c r="O1347" s="72" t="n">
        <x:f aca="0">N1347/1000</x:f>
        <x:v>786.758</x:v>
      </x:c>
      <x:c r="P1347" s="73" t="n">
        <x:f aca="0">MLCF!E45</x:f>
        <x:v>786.758</x:v>
      </x:c>
      <x:c r="Q1347" s="70" t="str">
        <x:f aca="0">IF(ABS(O1347-P1347)&lt;0.000001,"PASS","FAIL")</x:f>
        <x:v>PASS</x:v>
      </x:c>
      <x:c r="R1347" s="70" t="s">
        <x:v>33</x:v>
      </x:c>
      <x:c r="S1347" s="70"/>
    </x:row>
    <x:row r="1348" ht="15" hidden="0">
      <x:c r="A1348" s="70" t="s">
        <x:v>2324</x:v>
      </x:c>
      <x:c r="B1348" s="70" t="s">
        <x:v>41</x:v>
      </x:c>
      <x:c r="C1348" s="70" t="s">
        <x:v>103</x:v>
      </x:c>
      <x:c r="D1348" s="70" t="s">
        <x:v>157</x:v>
      </x:c>
      <x:c r="E1348" s="70" t="s">
        <x:v>763</x:v>
      </x:c>
      <x:c r="F1348" s="70" t="s">
        <x:v>1874</x:v>
      </x:c>
      <x:c r="G1348" s="70" t="s">
        <x:v>1307</x:v>
      </x:c>
      <x:c r="H1348" s="70" t="s">
        <x:v>845</x:v>
      </x:c>
      <x:c r="I1348" s="70" t="s">
        <x:v>833</x:v>
      </x:c>
      <x:c r="J1348" s="70" t="n">
        <x:v>189</x:v>
      </x:c>
      <x:c r="K1348" s="70" t="s">
        <x:v>1765</x:v>
      </x:c>
      <x:c r="L1348" s="70" t="s">
        <x:v>1002</x:v>
      </x:c>
      <x:c r="M1348" s="70" t="s">
        <x:v>39</x:v>
      </x:c>
      <x:c r="N1348" s="71" t="n">
        <x:v>605926</x:v>
      </x:c>
      <x:c r="O1348" s="72" t="n">
        <x:f aca="0">N1348/1000</x:f>
        <x:v>605.926</x:v>
      </x:c>
      <x:c r="P1348" s="73" t="n">
        <x:f aca="0">MLCF!F45</x:f>
        <x:v>605.926</x:v>
      </x:c>
      <x:c r="Q1348" s="70" t="str">
        <x:f aca="0">IF(ABS(O1348-P1348)&lt;0.000001,"PASS","FAIL")</x:f>
        <x:v>PASS</x:v>
      </x:c>
      <x:c r="R1348" s="70" t="s">
        <x:v>33</x:v>
      </x:c>
      <x:c r="S1348" s="70"/>
    </x:row>
    <x:row r="1349" ht="15" hidden="0">
      <x:c r="A1349" s="70" t="s">
        <x:v>2325</x:v>
      </x:c>
      <x:c r="B1349" s="70" t="s">
        <x:v>41</x:v>
      </x:c>
      <x:c r="C1349" s="70" t="s">
        <x:v>104</x:v>
      </x:c>
      <x:c r="D1349" s="70" t="s">
        <x:v>157</x:v>
      </x:c>
      <x:c r="E1349" s="70" t="s">
        <x:v>763</x:v>
      </x:c>
      <x:c r="F1349" s="70" t="s">
        <x:v>1874</x:v>
      </x:c>
      <x:c r="G1349" s="70" t="s">
        <x:v>1310</x:v>
      </x:c>
      <x:c r="H1349" s="70" t="s">
        <x:v>849</x:v>
      </x:c>
      <x:c r="I1349" s="70" t="s">
        <x:v>833</x:v>
      </x:c>
      <x:c r="J1349" s="70" t="n">
        <x:v>201</x:v>
      </x:c>
      <x:c r="K1349" s="70" t="s">
        <x:v>2090</x:v>
      </x:c>
      <x:c r="L1349" s="70" t="s">
        <x:v>1002</x:v>
      </x:c>
      <x:c r="M1349" s="70" t="s">
        <x:v>39</x:v>
      </x:c>
      <x:c r="N1349" s="71" t="n">
        <x:v>450487</x:v>
      </x:c>
      <x:c r="O1349" s="72" t="n">
        <x:f aca="0">N1349/1000</x:f>
        <x:v>450.487</x:v>
      </x:c>
      <x:c r="P1349" s="73" t="n">
        <x:f aca="0">MLCF!G45</x:f>
        <x:v>450.487</x:v>
      </x:c>
      <x:c r="Q1349" s="70" t="str">
        <x:f aca="0">IF(ABS(O1349-P1349)&lt;0.000001,"PASS","FAIL")</x:f>
        <x:v>PASS</x:v>
      </x:c>
      <x:c r="R1349" s="70" t="s">
        <x:v>33</x:v>
      </x:c>
      <x:c r="S1349" s="70"/>
    </x:row>
    <x:row r="1350" ht="15" hidden="0">
      <x:c r="A1350" s="70" t="s">
        <x:v>2326</x:v>
      </x:c>
      <x:c r="B1350" s="70" t="s">
        <x:v>41</x:v>
      </x:c>
      <x:c r="C1350" s="70" t="s">
        <x:v>105</x:v>
      </x:c>
      <x:c r="D1350" s="70" t="s">
        <x:v>157</x:v>
      </x:c>
      <x:c r="E1350" s="70" t="s">
        <x:v>763</x:v>
      </x:c>
      <x:c r="F1350" s="70" t="s">
        <x:v>1874</x:v>
      </x:c>
      <x:c r="G1350" s="70" t="s">
        <x:v>1310</x:v>
      </x:c>
      <x:c r="H1350" s="70" t="s">
        <x:v>849</x:v>
      </x:c>
      <x:c r="I1350" s="70" t="s">
        <x:v>852</x:v>
      </x:c>
      <x:c r="J1350" s="70" t="n">
        <x:v>201</x:v>
      </x:c>
      <x:c r="K1350" s="70" t="s">
        <x:v>2090</x:v>
      </x:c>
      <x:c r="L1350" s="70" t="s">
        <x:v>1002</x:v>
      </x:c>
      <x:c r="M1350" s="70" t="s">
        <x:v>39</x:v>
      </x:c>
      <x:c r="N1350" s="71" t="n">
        <x:v>322304</x:v>
      </x:c>
      <x:c r="O1350" s="72" t="n">
        <x:f aca="0">N1350/1000</x:f>
        <x:v>322.304</x:v>
      </x:c>
      <x:c r="P1350" s="73" t="n">
        <x:f aca="0">MLCF!H45</x:f>
        <x:v>322.304</x:v>
      </x:c>
      <x:c r="Q1350" s="70" t="str">
        <x:f aca="0">IF(ABS(O1350-P1350)&lt;0.000001,"PASS","FAIL")</x:f>
        <x:v>PASS</x:v>
      </x:c>
      <x:c r="R1350" s="70" t="s">
        <x:v>33</x:v>
      </x:c>
      <x:c r="S1350" s="70"/>
    </x:row>
    <x:row r="1351" ht="15" hidden="0">
      <x:c r="A1351" s="70" t="s">
        <x:v>2327</x:v>
      </x:c>
      <x:c r="B1351" s="70" t="s">
        <x:v>41</x:v>
      </x:c>
      <x:c r="C1351" s="70" t="s">
        <x:v>717</x:v>
      </x:c>
      <x:c r="D1351" s="70" t="s">
        <x:v>159</x:v>
      </x:c>
      <x:c r="E1351" s="70" t="s">
        <x:v>763</x:v>
      </x:c>
      <x:c r="F1351" s="70" t="s">
        <x:v>1881</x:v>
      </x:c>
      <x:c r="G1351" s="70" t="s">
        <x:v>1298</x:v>
      </x:c>
      <x:c r="H1351" s="70" t="s">
        <x:v>832</x:v>
      </x:c>
      <x:c r="I1351" s="70" t="s">
        <x:v>833</x:v>
      </x:c>
      <x:c r="J1351" s="70" t="n">
        <x:v>162</x:v>
      </x:c>
      <x:c r="K1351" s="70" t="s">
        <x:v>2213</x:v>
      </x:c>
      <x:c r="L1351" s="70" t="s">
        <x:v>1031</x:v>
      </x:c>
      <x:c r="M1351" s="70" t="s">
        <x:v>39</x:v>
      </x:c>
      <x:c r="N1351" s="71" t="n">
        <x:v>3379440</x:v>
      </x:c>
      <x:c r="O1351" s="72" t="n">
        <x:f aca="0">N1351/1000</x:f>
        <x:v>3379.44</x:v>
      </x:c>
      <x:c r="P1351" s="73" t="n">
        <x:f aca="0">MLCF!C46</x:f>
        <x:v>3379.44</x:v>
      </x:c>
      <x:c r="Q1351" s="70" t="str">
        <x:f aca="0">IF(ABS(O1351-P1351)&lt;0.000001,"PASS","FAIL")</x:f>
        <x:v>PASS</x:v>
      </x:c>
      <x:c r="R1351" s="70" t="s">
        <x:v>33</x:v>
      </x:c>
      <x:c r="S1351" s="70"/>
    </x:row>
    <x:row r="1352" ht="15" hidden="0">
      <x:c r="A1352" s="70" t="s">
        <x:v>2328</x:v>
      </x:c>
      <x:c r="B1352" s="70" t="s">
        <x:v>41</x:v>
      </x:c>
      <x:c r="C1352" s="70" t="s">
        <x:v>101</x:v>
      </x:c>
      <x:c r="D1352" s="70" t="s">
        <x:v>159</x:v>
      </x:c>
      <x:c r="E1352" s="70" t="s">
        <x:v>763</x:v>
      </x:c>
      <x:c r="F1352" s="70" t="s">
        <x:v>1881</x:v>
      </x:c>
      <x:c r="G1352" s="70" t="s">
        <x:v>1301</x:v>
      </x:c>
      <x:c r="H1352" s="70" t="s">
        <x:v>838</x:v>
      </x:c>
      <x:c r="I1352" s="70" t="s">
        <x:v>833</x:v>
      </x:c>
      <x:c r="J1352" s="70" t="n">
        <x:v>183</x:v>
      </x:c>
      <x:c r="K1352" s="70" t="s">
        <x:v>1911</x:v>
      </x:c>
      <x:c r="L1352" s="70" t="s">
        <x:v>1031</x:v>
      </x:c>
      <x:c r="M1352" s="70" t="s">
        <x:v>39</x:v>
      </x:c>
      <x:c r="N1352" s="71" t="n">
        <x:v>3889907</x:v>
      </x:c>
      <x:c r="O1352" s="72" t="n">
        <x:f aca="0">N1352/1000</x:f>
        <x:v>3889.907</x:v>
      </x:c>
      <x:c r="P1352" s="73" t="n">
        <x:f aca="0">MLCF!D46</x:f>
        <x:v>3889.907</x:v>
      </x:c>
      <x:c r="Q1352" s="70" t="str">
        <x:f aca="0">IF(ABS(O1352-P1352)&lt;0.000001,"PASS","FAIL")</x:f>
        <x:v>PASS</x:v>
      </x:c>
      <x:c r="R1352" s="70" t="s">
        <x:v>33</x:v>
      </x:c>
      <x:c r="S1352" s="70"/>
    </x:row>
    <x:row r="1353" ht="15" hidden="0">
      <x:c r="A1353" s="70" t="s">
        <x:v>2329</x:v>
      </x:c>
      <x:c r="B1353" s="70" t="s">
        <x:v>41</x:v>
      </x:c>
      <x:c r="C1353" s="70" t="s">
        <x:v>102</x:v>
      </x:c>
      <x:c r="D1353" s="70" t="s">
        <x:v>159</x:v>
      </x:c>
      <x:c r="E1353" s="70" t="s">
        <x:v>763</x:v>
      </x:c>
      <x:c r="F1353" s="70" t="s">
        <x:v>1881</x:v>
      </x:c>
      <x:c r="G1353" s="70" t="s">
        <x:v>1304</x:v>
      </x:c>
      <x:c r="H1353" s="70" t="s">
        <x:v>842</x:v>
      </x:c>
      <x:c r="I1353" s="70" t="s">
        <x:v>833</x:v>
      </x:c>
      <x:c r="J1353" s="70" t="n">
        <x:v>98</x:v>
      </x:c>
      <x:c r="K1353" s="70" t="s">
        <x:v>2197</x:v>
      </x:c>
      <x:c r="L1353" s="70"/>
      <x:c r="M1353" s="70" t="s">
        <x:v>39</x:v>
      </x:c>
      <x:c r="N1353" s="71" t="n">
        <x:v>5656499</x:v>
      </x:c>
      <x:c r="O1353" s="72" t="n">
        <x:f aca="0">N1353/1000</x:f>
        <x:v>5656.499</x:v>
      </x:c>
      <x:c r="P1353" s="73" t="n">
        <x:f aca="0">MLCF!E46</x:f>
        <x:v>5656.499</x:v>
      </x:c>
      <x:c r="Q1353" s="70" t="str">
        <x:f aca="0">IF(ABS(O1353-P1353)&lt;0.000001,"PASS","FAIL")</x:f>
        <x:v>PASS</x:v>
      </x:c>
      <x:c r="R1353" s="70" t="s">
        <x:v>33</x:v>
      </x:c>
      <x:c r="S1353" s="70"/>
    </x:row>
    <x:row r="1354" ht="15" hidden="0">
      <x:c r="A1354" s="70" t="s">
        <x:v>2330</x:v>
      </x:c>
      <x:c r="B1354" s="70" t="s">
        <x:v>41</x:v>
      </x:c>
      <x:c r="C1354" s="70" t="s">
        <x:v>103</x:v>
      </x:c>
      <x:c r="D1354" s="70" t="s">
        <x:v>159</x:v>
      </x:c>
      <x:c r="E1354" s="70" t="s">
        <x:v>763</x:v>
      </x:c>
      <x:c r="F1354" s="70" t="s">
        <x:v>1881</x:v>
      </x:c>
      <x:c r="G1354" s="70" t="s">
        <x:v>1307</x:v>
      </x:c>
      <x:c r="H1354" s="70" t="s">
        <x:v>845</x:v>
      </x:c>
      <x:c r="I1354" s="70" t="s">
        <x:v>833</x:v>
      </x:c>
      <x:c r="J1354" s="70" t="n">
        <x:v>189</x:v>
      </x:c>
      <x:c r="K1354" s="70" t="s">
        <x:v>1765</x:v>
      </x:c>
      <x:c r="L1354" s="70" t="s">
        <x:v>850</x:v>
      </x:c>
      <x:c r="M1354" s="70" t="s">
        <x:v>39</x:v>
      </x:c>
      <x:c r="N1354" s="71" t="n">
        <x:v>8669211</x:v>
      </x:c>
      <x:c r="O1354" s="72" t="n">
        <x:f aca="0">N1354/1000</x:f>
        <x:v>8669.211</x:v>
      </x:c>
      <x:c r="P1354" s="73" t="n">
        <x:f aca="0">MLCF!F46</x:f>
        <x:v>8669.211</x:v>
      </x:c>
      <x:c r="Q1354" s="70" t="str">
        <x:f aca="0">IF(ABS(O1354-P1354)&lt;0.000001,"PASS","FAIL")</x:f>
        <x:v>PASS</x:v>
      </x:c>
      <x:c r="R1354" s="70" t="s">
        <x:v>33</x:v>
      </x:c>
      <x:c r="S1354" s="70"/>
    </x:row>
    <x:row r="1355" ht="15" hidden="0">
      <x:c r="A1355" s="70" t="s">
        <x:v>2331</x:v>
      </x:c>
      <x:c r="B1355" s="70" t="s">
        <x:v>41</x:v>
      </x:c>
      <x:c r="C1355" s="70" t="s">
        <x:v>104</x:v>
      </x:c>
      <x:c r="D1355" s="70" t="s">
        <x:v>159</x:v>
      </x:c>
      <x:c r="E1355" s="70" t="s">
        <x:v>763</x:v>
      </x:c>
      <x:c r="F1355" s="70" t="s">
        <x:v>2332</x:v>
      </x:c>
      <x:c r="G1355" s="70" t="s">
        <x:v>1310</x:v>
      </x:c>
      <x:c r="H1355" s="70" t="s">
        <x:v>849</x:v>
      </x:c>
      <x:c r="I1355" s="70" t="s">
        <x:v>833</x:v>
      </x:c>
      <x:c r="J1355" s="70" t="n">
        <x:v>201</x:v>
      </x:c>
      <x:c r="K1355" s="70" t="s">
        <x:v>2090</x:v>
      </x:c>
      <x:c r="L1355" s="70" t="s">
        <x:v>850</x:v>
      </x:c>
      <x:c r="M1355" s="70" t="s">
        <x:v>39</x:v>
      </x:c>
      <x:c r="N1355" s="71" t="n">
        <x:v>13044290</x:v>
      </x:c>
      <x:c r="O1355" s="72" t="n">
        <x:f aca="0">N1355/1000</x:f>
        <x:v>13044.29</x:v>
      </x:c>
      <x:c r="P1355" s="73" t="n">
        <x:f aca="0">MLCF!G46</x:f>
        <x:v>13044.29</x:v>
      </x:c>
      <x:c r="Q1355" s="70" t="str">
        <x:f aca="0">IF(ABS(O1355-P1355)&lt;0.000001,"PASS","FAIL")</x:f>
        <x:v>PASS</x:v>
      </x:c>
      <x:c r="R1355" s="70" t="s">
        <x:v>33</x:v>
      </x:c>
      <x:c r="S1355" s="70"/>
    </x:row>
    <x:row r="1356" ht="15" hidden="0">
      <x:c r="A1356" s="70" t="s">
        <x:v>2333</x:v>
      </x:c>
      <x:c r="B1356" s="70" t="s">
        <x:v>41</x:v>
      </x:c>
      <x:c r="C1356" s="70" t="s">
        <x:v>105</x:v>
      </x:c>
      <x:c r="D1356" s="70" t="s">
        <x:v>159</x:v>
      </x:c>
      <x:c r="E1356" s="70" t="s">
        <x:v>763</x:v>
      </x:c>
      <x:c r="F1356" s="70" t="s">
        <x:v>2332</x:v>
      </x:c>
      <x:c r="G1356" s="70" t="s">
        <x:v>1310</x:v>
      </x:c>
      <x:c r="H1356" s="70" t="s">
        <x:v>849</x:v>
      </x:c>
      <x:c r="I1356" s="70" t="s">
        <x:v>852</x:v>
      </x:c>
      <x:c r="J1356" s="70" t="n">
        <x:v>201</x:v>
      </x:c>
      <x:c r="K1356" s="70" t="s">
        <x:v>2090</x:v>
      </x:c>
      <x:c r="L1356" s="70" t="s">
        <x:v>850</x:v>
      </x:c>
      <x:c r="M1356" s="70" t="s">
        <x:v>39</x:v>
      </x:c>
      <x:c r="N1356" s="71" t="n">
        <x:v>13822898</x:v>
      </x:c>
      <x:c r="O1356" s="72" t="n">
        <x:f aca="0">N1356/1000</x:f>
        <x:v>13822.898</x:v>
      </x:c>
      <x:c r="P1356" s="73" t="n">
        <x:f aca="0">MLCF!H46</x:f>
        <x:v>13822.898</x:v>
      </x:c>
      <x:c r="Q1356" s="70" t="str">
        <x:f aca="0">IF(ABS(O1356-P1356)&lt;0.000001,"PASS","FAIL")</x:f>
        <x:v>PASS</x:v>
      </x:c>
      <x:c r="R1356" s="70" t="s">
        <x:v>33</x:v>
      </x:c>
      <x:c r="S1356" s="70"/>
    </x:row>
    <x:row r="1357" ht="15" hidden="0">
      <x:c r="A1357" s="70" t="s">
        <x:v>2334</x:v>
      </x:c>
      <x:c r="B1357" s="70" t="s">
        <x:v>41</x:v>
      </x:c>
      <x:c r="C1357" s="70" t="s">
        <x:v>717</x:v>
      </x:c>
      <x:c r="D1357" s="70" t="s">
        <x:v>161</x:v>
      </x:c>
      <x:c r="E1357" s="70" t="s">
        <x:v>763</x:v>
      </x:c>
      <x:c r="F1357" s="70" t="s">
        <x:v>2335</x:v>
      </x:c>
      <x:c r="G1357" s="70" t="s">
        <x:v>1298</x:v>
      </x:c>
      <x:c r="H1357" s="70" t="s">
        <x:v>832</x:v>
      </x:c>
      <x:c r="I1357" s="70" t="s">
        <x:v>833</x:v>
      </x:c>
      <x:c r="J1357" s="70" t="n">
        <x:v>162</x:v>
      </x:c>
      <x:c r="K1357" s="70" t="s">
        <x:v>2213</x:v>
      </x:c>
      <x:c r="L1357" s="70" t="s">
        <x:v>1040</x:v>
      </x:c>
      <x:c r="M1357" s="70" t="s">
        <x:v>39</x:v>
      </x:c>
      <x:c r="N1357" s="71" t="n">
        <x:v>822623</x:v>
      </x:c>
      <x:c r="O1357" s="72" t="n">
        <x:f aca="0">N1357/1000</x:f>
        <x:v>822.623</x:v>
      </x:c>
      <x:c r="P1357" s="73" t="n">
        <x:f aca="0">MLCF!C47</x:f>
        <x:v>822.623</x:v>
      </x:c>
      <x:c r="Q1357" s="70" t="str">
        <x:f aca="0">IF(ABS(O1357-P1357)&lt;0.000001,"PASS","FAIL")</x:f>
        <x:v>PASS</x:v>
      </x:c>
      <x:c r="R1357" s="70" t="s">
        <x:v>33</x:v>
      </x:c>
      <x:c r="S1357" s="70"/>
    </x:row>
    <x:row r="1358" ht="15" hidden="0">
      <x:c r="A1358" s="70" t="s">
        <x:v>2336</x:v>
      </x:c>
      <x:c r="B1358" s="70" t="s">
        <x:v>41</x:v>
      </x:c>
      <x:c r="C1358" s="70" t="s">
        <x:v>101</x:v>
      </x:c>
      <x:c r="D1358" s="70" t="s">
        <x:v>161</x:v>
      </x:c>
      <x:c r="E1358" s="70" t="s">
        <x:v>763</x:v>
      </x:c>
      <x:c r="F1358" s="70" t="s">
        <x:v>2335</x:v>
      </x:c>
      <x:c r="G1358" s="70" t="s">
        <x:v>1301</x:v>
      </x:c>
      <x:c r="H1358" s="70" t="s">
        <x:v>838</x:v>
      </x:c>
      <x:c r="I1358" s="70" t="s">
        <x:v>833</x:v>
      </x:c>
      <x:c r="J1358" s="70" t="n">
        <x:v>183</x:v>
      </x:c>
      <x:c r="K1358" s="70" t="s">
        <x:v>1911</x:v>
      </x:c>
      <x:c r="L1358" s="70"/>
      <x:c r="M1358" s="70" t="s">
        <x:v>39</x:v>
      </x:c>
      <x:c r="N1358" s="71" t="n">
        <x:v>671064</x:v>
      </x:c>
      <x:c r="O1358" s="72" t="n">
        <x:f aca="0">N1358/1000</x:f>
        <x:v>671.064</x:v>
      </x:c>
      <x:c r="P1358" s="73" t="n">
        <x:f aca="0">MLCF!D47</x:f>
        <x:v>671.064</x:v>
      </x:c>
      <x:c r="Q1358" s="70" t="str">
        <x:f aca="0">IF(ABS(O1358-P1358)&lt;0.000001,"PASS","FAIL")</x:f>
        <x:v>PASS</x:v>
      </x:c>
      <x:c r="R1358" s="70" t="s">
        <x:v>33</x:v>
      </x:c>
      <x:c r="S1358" s="70"/>
    </x:row>
    <x:row r="1359" ht="15" hidden="0">
      <x:c r="A1359" s="70" t="s">
        <x:v>2337</x:v>
      </x:c>
      <x:c r="B1359" s="70" t="s">
        <x:v>41</x:v>
      </x:c>
      <x:c r="C1359" s="70" t="s">
        <x:v>102</x:v>
      </x:c>
      <x:c r="D1359" s="70" t="s">
        <x:v>161</x:v>
      </x:c>
      <x:c r="E1359" s="70" t="s">
        <x:v>763</x:v>
      </x:c>
      <x:c r="F1359" s="70" t="s">
        <x:v>2338</x:v>
      </x:c>
      <x:c r="G1359" s="70" t="s">
        <x:v>1304</x:v>
      </x:c>
      <x:c r="H1359" s="70" t="s">
        <x:v>842</x:v>
      </x:c>
      <x:c r="I1359" s="70" t="s">
        <x:v>833</x:v>
      </x:c>
      <x:c r="J1359" s="70" t="n">
        <x:v>98</x:v>
      </x:c>
      <x:c r="K1359" s="70" t="s">
        <x:v>2197</x:v>
      </x:c>
      <x:c r="L1359" s="70"/>
      <x:c r="M1359" s="70" t="s">
        <x:v>39</x:v>
      </x:c>
      <x:c r="N1359" s="71" t="n">
        <x:v>243543</x:v>
      </x:c>
      <x:c r="O1359" s="72" t="n">
        <x:f aca="0">N1359/1000</x:f>
        <x:v>243.543</x:v>
      </x:c>
      <x:c r="P1359" s="73" t="n">
        <x:f aca="0">MLCF!E47</x:f>
        <x:v>243.543</x:v>
      </x:c>
      <x:c r="Q1359" s="70" t="str">
        <x:f aca="0">IF(ABS(O1359-P1359)&lt;0.000001,"PASS","FAIL")</x:f>
        <x:v>PASS</x:v>
      </x:c>
      <x:c r="R1359" s="70" t="s">
        <x:v>33</x:v>
      </x:c>
      <x:c r="S1359" s="70"/>
    </x:row>
    <x:row r="1360" ht="15" hidden="0">
      <x:c r="A1360" s="70" t="s">
        <x:v>2339</x:v>
      </x:c>
      <x:c r="B1360" s="70" t="s">
        <x:v>41</x:v>
      </x:c>
      <x:c r="C1360" s="70" t="s">
        <x:v>103</x:v>
      </x:c>
      <x:c r="D1360" s="70" t="s">
        <x:v>161</x:v>
      </x:c>
      <x:c r="E1360" s="70" t="s">
        <x:v>763</x:v>
      </x:c>
      <x:c r="F1360" s="70" t="s">
        <x:v>2340</x:v>
      </x:c>
      <x:c r="G1360" s="70" t="s">
        <x:v>1307</x:v>
      </x:c>
      <x:c r="H1360" s="70" t="s">
        <x:v>845</x:v>
      </x:c>
      <x:c r="I1360" s="70" t="s">
        <x:v>833</x:v>
      </x:c>
      <x:c r="J1360" s="70" t="n">
        <x:v>189</x:v>
      </x:c>
      <x:c r="K1360" s="70" t="s">
        <x:v>1765</x:v>
      </x:c>
      <x:c r="L1360" s="70" t="s">
        <x:v>835</x:v>
      </x:c>
      <x:c r="M1360" s="70" t="s">
        <x:v>39</x:v>
      </x:c>
      <x:c r="N1360" s="71" t="n">
        <x:v>2039694</x:v>
      </x:c>
      <x:c r="O1360" s="72" t="n">
        <x:f aca="0">N1360/1000</x:f>
        <x:v>2039.694</x:v>
      </x:c>
      <x:c r="P1360" s="73" t="n">
        <x:f aca="0">MLCF!F47</x:f>
        <x:v>2039.694</x:v>
      </x:c>
      <x:c r="Q1360" s="70" t="str">
        <x:f aca="0">IF(ABS(O1360-P1360)&lt;0.000001,"PASS","FAIL")</x:f>
        <x:v>PASS</x:v>
      </x:c>
      <x:c r="R1360" s="70" t="s">
        <x:v>33</x:v>
      </x:c>
      <x:c r="S1360" s="70"/>
    </x:row>
    <x:row r="1361" ht="15" hidden="0">
      <x:c r="A1361" s="70" t="s">
        <x:v>2341</x:v>
      </x:c>
      <x:c r="B1361" s="70" t="s">
        <x:v>41</x:v>
      </x:c>
      <x:c r="C1361" s="70" t="s">
        <x:v>104</x:v>
      </x:c>
      <x:c r="D1361" s="70" t="s">
        <x:v>161</x:v>
      </x:c>
      <x:c r="E1361" s="70" t="s">
        <x:v>763</x:v>
      </x:c>
      <x:c r="F1361" s="70" t="s">
        <x:v>1890</x:v>
      </x:c>
      <x:c r="G1361" s="70" t="s">
        <x:v>1310</x:v>
      </x:c>
      <x:c r="H1361" s="70" t="s">
        <x:v>849</x:v>
      </x:c>
      <x:c r="I1361" s="70" t="s">
        <x:v>833</x:v>
      </x:c>
      <x:c r="J1361" s="70" t="n">
        <x:v>201</x:v>
      </x:c>
      <x:c r="K1361" s="70" t="s">
        <x:v>2090</x:v>
      </x:c>
      <x:c r="L1361" s="70" t="s">
        <x:v>846</x:v>
      </x:c>
      <x:c r="M1361" s="70" t="s">
        <x:v>39</x:v>
      </x:c>
      <x:c r="N1361" s="71" t="n">
        <x:v>336741</x:v>
      </x:c>
      <x:c r="O1361" s="72" t="n">
        <x:f aca="0">N1361/1000</x:f>
        <x:v>336.741</x:v>
      </x:c>
      <x:c r="P1361" s="73" t="n">
        <x:f aca="0">MLCF!G47</x:f>
        <x:v>336.741</x:v>
      </x:c>
      <x:c r="Q1361" s="70" t="str">
        <x:f aca="0">IF(ABS(O1361-P1361)&lt;0.000001,"PASS","FAIL")</x:f>
        <x:v>PASS</x:v>
      </x:c>
      <x:c r="R1361" s="70" t="s">
        <x:v>33</x:v>
      </x:c>
      <x:c r="S1361" s="70"/>
    </x:row>
    <x:row r="1362" ht="15" hidden="0">
      <x:c r="A1362" s="70" t="s">
        <x:v>2342</x:v>
      </x:c>
      <x:c r="B1362" s="70" t="s">
        <x:v>41</x:v>
      </x:c>
      <x:c r="C1362" s="70" t="s">
        <x:v>105</x:v>
      </x:c>
      <x:c r="D1362" s="70" t="s">
        <x:v>161</x:v>
      </x:c>
      <x:c r="E1362" s="70" t="s">
        <x:v>763</x:v>
      </x:c>
      <x:c r="F1362" s="70" t="s">
        <x:v>1890</x:v>
      </x:c>
      <x:c r="G1362" s="70" t="s">
        <x:v>1310</x:v>
      </x:c>
      <x:c r="H1362" s="70" t="s">
        <x:v>849</x:v>
      </x:c>
      <x:c r="I1362" s="70" t="s">
        <x:v>852</x:v>
      </x:c>
      <x:c r="J1362" s="70" t="n">
        <x:v>201</x:v>
      </x:c>
      <x:c r="K1362" s="70" t="s">
        <x:v>2090</x:v>
      </x:c>
      <x:c r="L1362" s="70" t="s">
        <x:v>846</x:v>
      </x:c>
      <x:c r="M1362" s="70" t="s">
        <x:v>39</x:v>
      </x:c>
      <x:c r="N1362" s="71" t="n">
        <x:v>358852</x:v>
      </x:c>
      <x:c r="O1362" s="72" t="n">
        <x:f aca="0">N1362/1000</x:f>
        <x:v>358.852</x:v>
      </x:c>
      <x:c r="P1362" s="73" t="n">
        <x:f aca="0">MLCF!H47</x:f>
        <x:v>358.852</x:v>
      </x:c>
      <x:c r="Q1362" s="70" t="str">
        <x:f aca="0">IF(ABS(O1362-P1362)&lt;0.000001,"PASS","FAIL")</x:f>
        <x:v>PASS</x:v>
      </x:c>
      <x:c r="R1362" s="70" t="s">
        <x:v>33</x:v>
      </x:c>
      <x:c r="S1362" s="70"/>
    </x:row>
    <x:row r="1363" ht="15" hidden="0">
      <x:c r="A1363" s="70" t="s">
        <x:v>2343</x:v>
      </x:c>
      <x:c r="B1363" s="70" t="s">
        <x:v>41</x:v>
      </x:c>
      <x:c r="C1363" s="70" t="s">
        <x:v>717</x:v>
      </x:c>
      <x:c r="D1363" s="70" t="s">
        <x:v>166</x:v>
      </x:c>
      <x:c r="E1363" s="70" t="s">
        <x:v>763</x:v>
      </x:c>
      <x:c r="F1363" s="70" t="s">
        <x:v>166</x:v>
      </x:c>
      <x:c r="G1363" s="70" t="s">
        <x:v>1298</x:v>
      </x:c>
      <x:c r="H1363" s="70" t="s">
        <x:v>832</x:v>
      </x:c>
      <x:c r="I1363" s="70" t="s">
        <x:v>833</x:v>
      </x:c>
      <x:c r="J1363" s="70" t="n">
        <x:v>162</x:v>
      </x:c>
      <x:c r="K1363" s="70" t="s">
        <x:v>2213</x:v>
      </x:c>
      <x:c r="L1363" s="70" t="s">
        <x:v>873</x:v>
      </x:c>
      <x:c r="M1363" s="70" t="s">
        <x:v>39</x:v>
      </x:c>
      <x:c r="N1363" s="71" t="n">
        <x:v>7951221</x:v>
      </x:c>
      <x:c r="O1363" s="72" t="n">
        <x:f aca="0">N1363/1000</x:f>
        <x:v>7951.221</x:v>
      </x:c>
      <x:c r="P1363" s="73" t="n">
        <x:f aca="0">MLCF!C50</x:f>
        <x:v>7951.221</x:v>
      </x:c>
      <x:c r="Q1363" s="70" t="str">
        <x:f aca="0">IF(ABS(O1363-P1363)&lt;0.000001,"PASS","FAIL")</x:f>
        <x:v>PASS</x:v>
      </x:c>
      <x:c r="R1363" s="70" t="s">
        <x:v>33</x:v>
      </x:c>
      <x:c r="S1363" s="70"/>
    </x:row>
    <x:row r="1364" ht="15" hidden="0">
      <x:c r="A1364" s="70" t="s">
        <x:v>2344</x:v>
      </x:c>
      <x:c r="B1364" s="70" t="s">
        <x:v>41</x:v>
      </x:c>
      <x:c r="C1364" s="70" t="s">
        <x:v>101</x:v>
      </x:c>
      <x:c r="D1364" s="70" t="s">
        <x:v>166</x:v>
      </x:c>
      <x:c r="E1364" s="70" t="s">
        <x:v>763</x:v>
      </x:c>
      <x:c r="F1364" s="70" t="s">
        <x:v>166</x:v>
      </x:c>
      <x:c r="G1364" s="70" t="s">
        <x:v>1301</x:v>
      </x:c>
      <x:c r="H1364" s="70" t="s">
        <x:v>838</x:v>
      </x:c>
      <x:c r="I1364" s="70" t="s">
        <x:v>833</x:v>
      </x:c>
      <x:c r="J1364" s="70" t="n">
        <x:v>183</x:v>
      </x:c>
      <x:c r="K1364" s="70" t="s">
        <x:v>1911</x:v>
      </x:c>
      <x:c r="L1364" s="70" t="s">
        <x:v>873</x:v>
      </x:c>
      <x:c r="M1364" s="70" t="s">
        <x:v>39</x:v>
      </x:c>
      <x:c r="N1364" s="71" t="n">
        <x:v>7511637</x:v>
      </x:c>
      <x:c r="O1364" s="72" t="n">
        <x:f aca="0">N1364/1000</x:f>
        <x:v>7511.637</x:v>
      </x:c>
      <x:c r="P1364" s="73" t="n">
        <x:f aca="0">MLCF!D50</x:f>
        <x:v>7511.637</x:v>
      </x:c>
      <x:c r="Q1364" s="70" t="str">
        <x:f aca="0">IF(ABS(O1364-P1364)&lt;0.000001,"PASS","FAIL")</x:f>
        <x:v>PASS</x:v>
      </x:c>
      <x:c r="R1364" s="70" t="s">
        <x:v>33</x:v>
      </x:c>
      <x:c r="S1364" s="70"/>
    </x:row>
    <x:row r="1365" ht="15" hidden="0">
      <x:c r="A1365" s="70" t="s">
        <x:v>2345</x:v>
      </x:c>
      <x:c r="B1365" s="70" t="s">
        <x:v>41</x:v>
      </x:c>
      <x:c r="C1365" s="70" t="s">
        <x:v>102</x:v>
      </x:c>
      <x:c r="D1365" s="70" t="s">
        <x:v>166</x:v>
      </x:c>
      <x:c r="E1365" s="70" t="s">
        <x:v>763</x:v>
      </x:c>
      <x:c r="F1365" s="70" t="s">
        <x:v>166</x:v>
      </x:c>
      <x:c r="G1365" s="70" t="s">
        <x:v>1304</x:v>
      </x:c>
      <x:c r="H1365" s="70" t="s">
        <x:v>842</x:v>
      </x:c>
      <x:c r="I1365" s="70" t="s">
        <x:v>833</x:v>
      </x:c>
      <x:c r="J1365" s="70" t="n">
        <x:v>98</x:v>
      </x:c>
      <x:c r="K1365" s="70" t="s">
        <x:v>2197</x:v>
      </x:c>
      <x:c r="L1365" s="70"/>
      <x:c r="M1365" s="70" t="s">
        <x:v>39</x:v>
      </x:c>
      <x:c r="N1365" s="71" t="n">
        <x:v>9117414</x:v>
      </x:c>
      <x:c r="O1365" s="72" t="n">
        <x:f aca="0">N1365/1000</x:f>
        <x:v>9117.414</x:v>
      </x:c>
      <x:c r="P1365" s="73" t="n">
        <x:f aca="0">MLCF!E50</x:f>
        <x:v>9117.414</x:v>
      </x:c>
      <x:c r="Q1365" s="70" t="str">
        <x:f aca="0">IF(ABS(O1365-P1365)&lt;0.000001,"PASS","FAIL")</x:f>
        <x:v>PASS</x:v>
      </x:c>
      <x:c r="R1365" s="70" t="s">
        <x:v>33</x:v>
      </x:c>
      <x:c r="S1365" s="70"/>
    </x:row>
    <x:row r="1366" ht="15" hidden="0">
      <x:c r="A1366" s="70" t="s">
        <x:v>2346</x:v>
      </x:c>
      <x:c r="B1366" s="70" t="s">
        <x:v>41</x:v>
      </x:c>
      <x:c r="C1366" s="70" t="s">
        <x:v>103</x:v>
      </x:c>
      <x:c r="D1366" s="70" t="s">
        <x:v>166</x:v>
      </x:c>
      <x:c r="E1366" s="70" t="s">
        <x:v>763</x:v>
      </x:c>
      <x:c r="F1366" s="70" t="s">
        <x:v>166</x:v>
      </x:c>
      <x:c r="G1366" s="70" t="s">
        <x:v>1307</x:v>
      </x:c>
      <x:c r="H1366" s="70" t="s">
        <x:v>845</x:v>
      </x:c>
      <x:c r="I1366" s="70" t="s">
        <x:v>833</x:v>
      </x:c>
      <x:c r="J1366" s="70" t="n">
        <x:v>189</x:v>
      </x:c>
      <x:c r="K1366" s="70" t="s">
        <x:v>1765</x:v>
      </x:c>
      <x:c r="L1366" s="70" t="s">
        <x:v>873</x:v>
      </x:c>
      <x:c r="M1366" s="70" t="s">
        <x:v>39</x:v>
      </x:c>
      <x:c r="N1366" s="71" t="n">
        <x:v>12518180</x:v>
      </x:c>
      <x:c r="O1366" s="72" t="n">
        <x:f aca="0">N1366/1000</x:f>
        <x:v>12518.18</x:v>
      </x:c>
      <x:c r="P1366" s="73" t="n">
        <x:f aca="0">MLCF!F50</x:f>
        <x:v>12518.18</x:v>
      </x:c>
      <x:c r="Q1366" s="70" t="str">
        <x:f aca="0">IF(ABS(O1366-P1366)&lt;0.000001,"PASS","FAIL")</x:f>
        <x:v>PASS</x:v>
      </x:c>
      <x:c r="R1366" s="70" t="s">
        <x:v>33</x:v>
      </x:c>
      <x:c r="S1366" s="70"/>
    </x:row>
    <x:row r="1367" ht="15" hidden="0">
      <x:c r="A1367" s="70" t="s">
        <x:v>2347</x:v>
      </x:c>
      <x:c r="B1367" s="70" t="s">
        <x:v>41</x:v>
      </x:c>
      <x:c r="C1367" s="70" t="s">
        <x:v>104</x:v>
      </x:c>
      <x:c r="D1367" s="70" t="s">
        <x:v>166</x:v>
      </x:c>
      <x:c r="E1367" s="70" t="s">
        <x:v>763</x:v>
      </x:c>
      <x:c r="F1367" s="70" t="s">
        <x:v>166</x:v>
      </x:c>
      <x:c r="G1367" s="70" t="s">
        <x:v>1310</x:v>
      </x:c>
      <x:c r="H1367" s="70" t="s">
        <x:v>849</x:v>
      </x:c>
      <x:c r="I1367" s="70" t="s">
        <x:v>833</x:v>
      </x:c>
      <x:c r="J1367" s="70" t="n">
        <x:v>201</x:v>
      </x:c>
      <x:c r="K1367" s="70" t="s">
        <x:v>2090</x:v>
      </x:c>
      <x:c r="L1367" s="70" t="s">
        <x:v>835</x:v>
      </x:c>
      <x:c r="M1367" s="70" t="s">
        <x:v>39</x:v>
      </x:c>
      <x:c r="N1367" s="71" t="n">
        <x:v>12482233</x:v>
      </x:c>
      <x:c r="O1367" s="72" t="n">
        <x:f aca="0">N1367/1000</x:f>
        <x:v>12482.233</x:v>
      </x:c>
      <x:c r="P1367" s="73" t="n">
        <x:f aca="0">MLCF!G50</x:f>
        <x:v>12482.233</x:v>
      </x:c>
      <x:c r="Q1367" s="70" t="str">
        <x:f aca="0">IF(ABS(O1367-P1367)&lt;0.000001,"PASS","FAIL")</x:f>
        <x:v>PASS</x:v>
      </x:c>
      <x:c r="R1367" s="70" t="s">
        <x:v>33</x:v>
      </x:c>
      <x:c r="S1367" s="70"/>
    </x:row>
    <x:row r="1368" ht="15" hidden="0">
      <x:c r="A1368" s="70" t="s">
        <x:v>2348</x:v>
      </x:c>
      <x:c r="B1368" s="70" t="s">
        <x:v>41</x:v>
      </x:c>
      <x:c r="C1368" s="70" t="s">
        <x:v>105</x:v>
      </x:c>
      <x:c r="D1368" s="70" t="s">
        <x:v>166</x:v>
      </x:c>
      <x:c r="E1368" s="70" t="s">
        <x:v>763</x:v>
      </x:c>
      <x:c r="F1368" s="70" t="s">
        <x:v>166</x:v>
      </x:c>
      <x:c r="G1368" s="70" t="s">
        <x:v>1310</x:v>
      </x:c>
      <x:c r="H1368" s="70" t="s">
        <x:v>849</x:v>
      </x:c>
      <x:c r="I1368" s="70" t="s">
        <x:v>852</x:v>
      </x:c>
      <x:c r="J1368" s="70" t="n">
        <x:v>201</x:v>
      </x:c>
      <x:c r="K1368" s="70" t="s">
        <x:v>2090</x:v>
      </x:c>
      <x:c r="L1368" s="70" t="s">
        <x:v>835</x:v>
      </x:c>
      <x:c r="M1368" s="70" t="s">
        <x:v>39</x:v>
      </x:c>
      <x:c r="N1368" s="71" t="n">
        <x:v>17926267</x:v>
      </x:c>
      <x:c r="O1368" s="72" t="n">
        <x:f aca="0">N1368/1000</x:f>
        <x:v>17926.267</x:v>
      </x:c>
      <x:c r="P1368" s="73" t="n">
        <x:f aca="0">MLCF!H50</x:f>
        <x:v>17926.267</x:v>
      </x:c>
      <x:c r="Q1368" s="70" t="str">
        <x:f aca="0">IF(ABS(O1368-P1368)&lt;0.000001,"PASS","FAIL")</x:f>
        <x:v>PASS</x:v>
      </x:c>
      <x:c r="R1368" s="70" t="s">
        <x:v>33</x:v>
      </x:c>
      <x:c r="S1368" s="70"/>
    </x:row>
    <x:row r="1369" ht="15" hidden="0">
      <x:c r="A1369" s="70" t="s">
        <x:v>2349</x:v>
      </x:c>
      <x:c r="B1369" s="70" t="s">
        <x:v>41</x:v>
      </x:c>
      <x:c r="C1369" s="70" t="s">
        <x:v>717</x:v>
      </x:c>
      <x:c r="D1369" s="70" t="s">
        <x:v>1009</x:v>
      </x:c>
      <x:c r="E1369" s="70" t="s">
        <x:v>855</x:v>
      </x:c>
      <x:c r="F1369" s="70" t="str">
        <x:v>Trade creditors; Bills payable - secured; payable to power subsidiary</x:v>
      </x:c>
      <x:c r="G1369" s="70" t="s">
        <x:v>1298</x:v>
      </x:c>
      <x:c r="H1369" s="70" t="s">
        <x:v>832</x:v>
      </x:c>
      <x:c r="I1369" s="70" t="s">
        <x:v>833</x:v>
      </x:c>
      <x:c r="J1369" s="70" t="n">
        <x:v>198</x:v>
      </x:c>
      <x:c r="K1369" s="70" t="s">
        <x:v>2350</x:v>
      </x:c>
      <x:c r="L1369" s="70"/>
      <x:c r="M1369" s="70" t="s">
        <x:v>39</x:v>
      </x:c>
      <x:c r="N1369" s="71" t="n">
        <x:v>4173943</x:v>
      </x:c>
      <x:c r="O1369" s="72" t="n">
        <x:f aca="0">N1369/1000</x:f>
        <x:v>4173.943</x:v>
      </x:c>
      <x:c r="P1369" s="73" t="n">
        <x:f aca="0">MLCF!C51</x:f>
        <x:v>4173.943</x:v>
      </x:c>
      <x:c r="Q1369" s="70" t="str">
        <x:f aca="0">IF(ABS(O1369-P1369)&lt;0.000001,"PASS","FAIL")</x:f>
        <x:v>PASS</x:v>
      </x:c>
      <x:c r="R1369" s="70" t="s">
        <x:v>33</x:v>
      </x:c>
      <x:c r="S1369" s="70" t="str">
        <x:v>Operating related supplier included consistently; original amount retained on Input Review.</x:v>
      </x:c>
    </x:row>
    <x:row r="1370" ht="15" hidden="0">
      <x:c r="A1370" s="70" t="s">
        <x:v>2351</x:v>
      </x:c>
      <x:c r="B1370" s="70" t="s">
        <x:v>41</x:v>
      </x:c>
      <x:c r="C1370" s="70" t="s">
        <x:v>101</x:v>
      </x:c>
      <x:c r="D1370" s="70" t="s">
        <x:v>1009</x:v>
      </x:c>
      <x:c r="E1370" s="70" t="s">
        <x:v>855</x:v>
      </x:c>
      <x:c r="F1370" s="70" t="str">
        <x:v>Trade creditors; Bills payable - secured; payable to power subsidiary</x:v>
      </x:c>
      <x:c r="G1370" s="70" t="s">
        <x:v>1301</x:v>
      </x:c>
      <x:c r="H1370" s="70" t="s">
        <x:v>838</x:v>
      </x:c>
      <x:c r="I1370" s="70" t="s">
        <x:v>833</x:v>
      </x:c>
      <x:c r="J1370" s="70" t="n">
        <x:v>220</x:v>
      </x:c>
      <x:c r="K1370" s="70" t="s">
        <x:v>2352</x:v>
      </x:c>
      <x:c r="L1370" s="70"/>
      <x:c r="M1370" s="70" t="s">
        <x:v>39</x:v>
      </x:c>
      <x:c r="N1370" s="71" t="n">
        <x:v>3576632</x:v>
      </x:c>
      <x:c r="O1370" s="72" t="n">
        <x:f aca="0">N1370/1000</x:f>
        <x:v>3576.632</x:v>
      </x:c>
      <x:c r="P1370" s="73" t="n">
        <x:f aca="0">MLCF!D51</x:f>
        <x:v>3576.632</x:v>
      </x:c>
      <x:c r="Q1370" s="70" t="str">
        <x:f aca="0">IF(ABS(O1370-P1370)&lt;0.000001,"PASS","FAIL")</x:f>
        <x:v>PASS</x:v>
      </x:c>
      <x:c r="R1370" s="70" t="s">
        <x:v>33</x:v>
      </x:c>
      <x:c r="S1370" s="70" t="str">
        <x:v>Operating related supplier included consistently; original amount retained on Input Review.</x:v>
      </x:c>
    </x:row>
    <x:row r="1371" ht="15" hidden="0">
      <x:c r="A1371" s="70" t="s">
        <x:v>2353</x:v>
      </x:c>
      <x:c r="B1371" s="70" t="s">
        <x:v>41</x:v>
      </x:c>
      <x:c r="C1371" s="70" t="s">
        <x:v>102</x:v>
      </x:c>
      <x:c r="D1371" s="70" t="s">
        <x:v>1009</x:v>
      </x:c>
      <x:c r="E1371" s="70" t="s">
        <x:v>855</x:v>
      </x:c>
      <x:c r="F1371" s="70" t="str">
        <x:v>Trade creditors; Bills payable - secured; payable to power subsidiary</x:v>
      </x:c>
      <x:c r="G1371" s="70" t="s">
        <x:v>1304</x:v>
      </x:c>
      <x:c r="H1371" s="70" t="s">
        <x:v>842</x:v>
      </x:c>
      <x:c r="I1371" s="70" t="s">
        <x:v>833</x:v>
      </x:c>
      <x:c r="J1371" s="70" t="n">
        <x:v>116</x:v>
      </x:c>
      <x:c r="K1371" s="70" t="s">
        <x:v>834</x:v>
      </x:c>
      <x:c r="L1371" s="70"/>
      <x:c r="M1371" s="70" t="s">
        <x:v>39</x:v>
      </x:c>
      <x:c r="N1371" s="71" t="n">
        <x:v>4108307</x:v>
      </x:c>
      <x:c r="O1371" s="72" t="n">
        <x:f aca="0">N1371/1000</x:f>
        <x:v>4108.307</x:v>
      </x:c>
      <x:c r="P1371" s="73" t="n">
        <x:f aca="0">MLCF!E51</x:f>
        <x:v>4108.307</x:v>
      </x:c>
      <x:c r="Q1371" s="70" t="str">
        <x:f aca="0">IF(ABS(O1371-P1371)&lt;0.000001,"PASS","FAIL")</x:f>
        <x:v>PASS</x:v>
      </x:c>
      <x:c r="R1371" s="70" t="s">
        <x:v>33</x:v>
      </x:c>
      <x:c r="S1371" s="70" t="str">
        <x:v>Operating related supplier included consistently; original amount retained on Input Review.</x:v>
      </x:c>
    </x:row>
    <x:row r="1372" ht="15" hidden="0">
      <x:c r="A1372" s="70" t="s">
        <x:v>2354</x:v>
      </x:c>
      <x:c r="B1372" s="70" t="s">
        <x:v>41</x:v>
      </x:c>
      <x:c r="C1372" s="70" t="s">
        <x:v>103</x:v>
      </x:c>
      <x:c r="D1372" s="70" t="s">
        <x:v>1009</x:v>
      </x:c>
      <x:c r="E1372" s="70" t="s">
        <x:v>855</x:v>
      </x:c>
      <x:c r="F1372" s="70" t="str">
        <x:v>Trade creditors; Bills payable - secured; payable to power subsidiary</x:v>
      </x:c>
      <x:c r="G1372" s="70" t="s">
        <x:v>1307</x:v>
      </x:c>
      <x:c r="H1372" s="70" t="s">
        <x:v>845</x:v>
      </x:c>
      <x:c r="I1372" s="70" t="s">
        <x:v>833</x:v>
      </x:c>
      <x:c r="J1372" s="70" t="n">
        <x:v>226</x:v>
      </x:c>
      <x:c r="K1372" s="70" t="s">
        <x:v>1553</x:v>
      </x:c>
      <x:c r="L1372" s="70"/>
      <x:c r="M1372" s="70" t="s">
        <x:v>39</x:v>
      </x:c>
      <x:c r="N1372" s="71" t="n">
        <x:v>6676221</x:v>
      </x:c>
      <x:c r="O1372" s="72" t="n">
        <x:f aca="0">N1372/1000</x:f>
        <x:v>6676.221</x:v>
      </x:c>
      <x:c r="P1372" s="73" t="n">
        <x:f aca="0">MLCF!F51</x:f>
        <x:v>6676.221</x:v>
      </x:c>
      <x:c r="Q1372" s="70" t="str">
        <x:f aca="0">IF(ABS(O1372-P1372)&lt;0.000001,"PASS","FAIL")</x:f>
        <x:v>PASS</x:v>
      </x:c>
      <x:c r="R1372" s="70" t="s">
        <x:v>33</x:v>
      </x:c>
      <x:c r="S1372" s="70" t="str">
        <x:v>Operating related supplier included consistently; original amount retained on Input Review.</x:v>
      </x:c>
    </x:row>
    <x:row r="1373" ht="15" hidden="0">
      <x:c r="A1373" s="70" t="s">
        <x:v>2355</x:v>
      </x:c>
      <x:c r="B1373" s="70" t="s">
        <x:v>41</x:v>
      </x:c>
      <x:c r="C1373" s="70" t="s">
        <x:v>104</x:v>
      </x:c>
      <x:c r="D1373" s="70" t="s">
        <x:v>1009</x:v>
      </x:c>
      <x:c r="E1373" s="70" t="s">
        <x:v>855</x:v>
      </x:c>
      <x:c r="F1373" s="70" t="str">
        <x:v>Trade creditors; Bills payable - secured; payable to power subsidiary</x:v>
      </x:c>
      <x:c r="G1373" s="70" t="s">
        <x:v>1310</x:v>
      </x:c>
      <x:c r="H1373" s="70" t="s">
        <x:v>849</x:v>
      </x:c>
      <x:c r="I1373" s="70" t="s">
        <x:v>833</x:v>
      </x:c>
      <x:c r="J1373" s="70" t="n">
        <x:v>240</x:v>
      </x:c>
      <x:c r="K1373" s="70" t="s">
        <x:v>1662</x:v>
      </x:c>
      <x:c r="L1373" s="70"/>
      <x:c r="M1373" s="70" t="s">
        <x:v>39</x:v>
      </x:c>
      <x:c r="N1373" s="71" t="n">
        <x:v>5396605</x:v>
      </x:c>
      <x:c r="O1373" s="72" t="n">
        <x:f aca="0">N1373/1000</x:f>
        <x:v>5396.605</x:v>
      </x:c>
      <x:c r="P1373" s="73" t="n">
        <x:f aca="0">MLCF!G51</x:f>
        <x:v>5396.6050000000005</x:v>
      </x:c>
      <x:c r="Q1373" s="70" t="str">
        <x:f aca="0">IF(ABS(O1373-P1373)&lt;0.000001,"PASS","FAIL")</x:f>
        <x:v>PASS</x:v>
      </x:c>
      <x:c r="R1373" s="70" t="s">
        <x:v>33</x:v>
      </x:c>
      <x:c r="S1373" s="70" t="str">
        <x:v>Operating related supplier included consistently; original amount retained on Input Review.</x:v>
      </x:c>
    </x:row>
    <x:row r="1374" ht="15" hidden="0">
      <x:c r="A1374" s="70" t="s">
        <x:v>2356</x:v>
      </x:c>
      <x:c r="B1374" s="70" t="s">
        <x:v>41</x:v>
      </x:c>
      <x:c r="C1374" s="70" t="s">
        <x:v>105</x:v>
      </x:c>
      <x:c r="D1374" s="70" t="s">
        <x:v>1009</x:v>
      </x:c>
      <x:c r="E1374" s="70" t="s">
        <x:v>855</x:v>
      </x:c>
      <x:c r="F1374" s="70" t="str">
        <x:v>Trade creditors; Bills payable - secured; payable to power subsidiary</x:v>
      </x:c>
      <x:c r="G1374" s="70" t="s">
        <x:v>1310</x:v>
      </x:c>
      <x:c r="H1374" s="70" t="s">
        <x:v>849</x:v>
      </x:c>
      <x:c r="I1374" s="70" t="s">
        <x:v>852</x:v>
      </x:c>
      <x:c r="J1374" s="70" t="n">
        <x:v>240</x:v>
      </x:c>
      <x:c r="K1374" s="70" t="s">
        <x:v>1662</x:v>
      </x:c>
      <x:c r="L1374" s="70"/>
      <x:c r="M1374" s="70" t="s">
        <x:v>39</x:v>
      </x:c>
      <x:c r="N1374" s="71" t="n">
        <x:v>7322783</x:v>
      </x:c>
      <x:c r="O1374" s="72" t="n">
        <x:f aca="0">N1374/1000</x:f>
        <x:v>7322.783</x:v>
      </x:c>
      <x:c r="P1374" s="73" t="n">
        <x:f aca="0">MLCF!H51</x:f>
        <x:v>7322.782999999999</x:v>
      </x:c>
      <x:c r="Q1374" s="70" t="str">
        <x:f aca="0">IF(ABS(O1374-P1374)&lt;0.000001,"PASS","FAIL")</x:f>
        <x:v>PASS</x:v>
      </x:c>
      <x:c r="R1374" s="70" t="s">
        <x:v>33</x:v>
      </x:c>
      <x:c r="S1374" s="70" t="str">
        <x:v>Operating related supplier included consistently; original amount retained on Input Review.</x:v>
      </x:c>
    </x:row>
    <x:row r="1375" ht="15" hidden="0">
      <x:c r="A1375" s="70" t="s">
        <x:v>2357</x:v>
      </x:c>
      <x:c r="B1375" s="70" t="s">
        <x:v>41</x:v>
      </x:c>
      <x:c r="C1375" s="70" t="s">
        <x:v>717</x:v>
      </x:c>
      <x:c r="D1375" s="70" t="s">
        <x:v>170</x:v>
      </x:c>
      <x:c r="E1375" s="70" t="s">
        <x:v>763</x:v>
      </x:c>
      <x:c r="F1375" s="70"/>
      <x:c r="G1375" s="70" t="s">
        <x:v>1298</x:v>
      </x:c>
      <x:c r="H1375" s="70" t="s">
        <x:v>832</x:v>
      </x:c>
      <x:c r="I1375" s="70" t="s">
        <x:v>833</x:v>
      </x:c>
      <x:c r="J1375" s="70" t="n">
        <x:v>162</x:v>
      </x:c>
      <x:c r="K1375" s="70" t="s">
        <x:v>2213</x:v>
      </x:c>
      <x:c r="L1375" s="70"/>
      <x:c r="M1375" s="70" t="s">
        <x:v>39</x:v>
      </x:c>
      <x:c r="N1375" s="71" t="n">
        <x:v>0</x:v>
      </x:c>
      <x:c r="O1375" s="72" t="n">
        <x:f aca="0">N1375/1000</x:f>
        <x:v>0</x:v>
      </x:c>
      <x:c r="P1375" s="73" t="n">
        <x:f aca="0">MLCF!C52</x:f>
        <x:v>0</x:v>
      </x:c>
      <x:c r="Q1375" s="70" t="str">
        <x:f aca="0">IF(ABS(O1375-P1375)&lt;0.000001,"PASS","FAIL")</x:f>
        <x:v>PASS</x:v>
      </x:c>
      <x:c r="R1375" s="70" t="s">
        <x:v>33</x:v>
      </x:c>
      <x:c r="S1375" s="70"/>
    </x:row>
    <x:row r="1376" ht="15" hidden="0">
      <x:c r="A1376" s="70" t="s">
        <x:v>2358</x:v>
      </x:c>
      <x:c r="B1376" s="70" t="s">
        <x:v>41</x:v>
      </x:c>
      <x:c r="C1376" s="70" t="s">
        <x:v>101</x:v>
      </x:c>
      <x:c r="D1376" s="70" t="s">
        <x:v>170</x:v>
      </x:c>
      <x:c r="E1376" s="70" t="s">
        <x:v>763</x:v>
      </x:c>
      <x:c r="F1376" s="70"/>
      <x:c r="G1376" s="70" t="s">
        <x:v>1301</x:v>
      </x:c>
      <x:c r="H1376" s="70" t="s">
        <x:v>838</x:v>
      </x:c>
      <x:c r="I1376" s="70" t="s">
        <x:v>833</x:v>
      </x:c>
      <x:c r="J1376" s="70" t="n">
        <x:v>183</x:v>
      </x:c>
      <x:c r="K1376" s="70" t="s">
        <x:v>1911</x:v>
      </x:c>
      <x:c r="L1376" s="70"/>
      <x:c r="M1376" s="70" t="s">
        <x:v>39</x:v>
      </x:c>
      <x:c r="N1376" s="71" t="n">
        <x:v>0</x:v>
      </x:c>
      <x:c r="O1376" s="72" t="n">
        <x:f aca="0">N1376/1000</x:f>
        <x:v>0</x:v>
      </x:c>
      <x:c r="P1376" s="73" t="n">
        <x:f aca="0">MLCF!D52</x:f>
        <x:v>0</x:v>
      </x:c>
      <x:c r="Q1376" s="70" t="str">
        <x:f aca="0">IF(ABS(O1376-P1376)&lt;0.000001,"PASS","FAIL")</x:f>
        <x:v>PASS</x:v>
      </x:c>
      <x:c r="R1376" s="70" t="s">
        <x:v>33</x:v>
      </x:c>
      <x:c r="S1376" s="70"/>
    </x:row>
    <x:row r="1377" ht="15" hidden="0">
      <x:c r="A1377" s="70" t="s">
        <x:v>2359</x:v>
      </x:c>
      <x:c r="B1377" s="70" t="s">
        <x:v>41</x:v>
      </x:c>
      <x:c r="C1377" s="70" t="s">
        <x:v>102</x:v>
      </x:c>
      <x:c r="D1377" s="70" t="s">
        <x:v>170</x:v>
      </x:c>
      <x:c r="E1377" s="70" t="s">
        <x:v>763</x:v>
      </x:c>
      <x:c r="F1377" s="70"/>
      <x:c r="G1377" s="70" t="s">
        <x:v>1304</x:v>
      </x:c>
      <x:c r="H1377" s="70" t="s">
        <x:v>842</x:v>
      </x:c>
      <x:c r="I1377" s="70" t="s">
        <x:v>833</x:v>
      </x:c>
      <x:c r="J1377" s="70" t="n">
        <x:v>98</x:v>
      </x:c>
      <x:c r="K1377" s="70" t="s">
        <x:v>2197</x:v>
      </x:c>
      <x:c r="L1377" s="70"/>
      <x:c r="M1377" s="70" t="s">
        <x:v>39</x:v>
      </x:c>
      <x:c r="N1377" s="71" t="n">
        <x:v>0</x:v>
      </x:c>
      <x:c r="O1377" s="72" t="n">
        <x:f aca="0">N1377/1000</x:f>
        <x:v>0</x:v>
      </x:c>
      <x:c r="P1377" s="73" t="n">
        <x:f aca="0">MLCF!E52</x:f>
        <x:v>0</x:v>
      </x:c>
      <x:c r="Q1377" s="70" t="str">
        <x:f aca="0">IF(ABS(O1377-P1377)&lt;0.000001,"PASS","FAIL")</x:f>
        <x:v>PASS</x:v>
      </x:c>
      <x:c r="R1377" s="70" t="s">
        <x:v>33</x:v>
      </x:c>
      <x:c r="S1377" s="70"/>
    </x:row>
    <x:row r="1378" ht="15" hidden="0">
      <x:c r="A1378" s="70" t="s">
        <x:v>2360</x:v>
      </x:c>
      <x:c r="B1378" s="70" t="s">
        <x:v>41</x:v>
      </x:c>
      <x:c r="C1378" s="70" t="s">
        <x:v>103</x:v>
      </x:c>
      <x:c r="D1378" s="70" t="s">
        <x:v>170</x:v>
      </x:c>
      <x:c r="E1378" s="70" t="s">
        <x:v>763</x:v>
      </x:c>
      <x:c r="F1378" s="70"/>
      <x:c r="G1378" s="70" t="s">
        <x:v>1307</x:v>
      </x:c>
      <x:c r="H1378" s="70" t="s">
        <x:v>845</x:v>
      </x:c>
      <x:c r="I1378" s="70" t="s">
        <x:v>833</x:v>
      </x:c>
      <x:c r="J1378" s="70" t="n">
        <x:v>189</x:v>
      </x:c>
      <x:c r="K1378" s="70" t="s">
        <x:v>1765</x:v>
      </x:c>
      <x:c r="L1378" s="70"/>
      <x:c r="M1378" s="70" t="s">
        <x:v>39</x:v>
      </x:c>
      <x:c r="N1378" s="71" t="n">
        <x:v>0</x:v>
      </x:c>
      <x:c r="O1378" s="72" t="n">
        <x:f aca="0">N1378/1000</x:f>
        <x:v>0</x:v>
      </x:c>
      <x:c r="P1378" s="73" t="n">
        <x:f aca="0">MLCF!F52</x:f>
        <x:v>0</x:v>
      </x:c>
      <x:c r="Q1378" s="70" t="str">
        <x:f aca="0">IF(ABS(O1378-P1378)&lt;0.000001,"PASS","FAIL")</x:f>
        <x:v>PASS</x:v>
      </x:c>
      <x:c r="R1378" s="70" t="s">
        <x:v>33</x:v>
      </x:c>
      <x:c r="S1378" s="70"/>
    </x:row>
    <x:row r="1379" ht="15" hidden="0">
      <x:c r="A1379" s="70" t="s">
        <x:v>2361</x:v>
      </x:c>
      <x:c r="B1379" s="70" t="s">
        <x:v>41</x:v>
      </x:c>
      <x:c r="C1379" s="70" t="s">
        <x:v>104</x:v>
      </x:c>
      <x:c r="D1379" s="70" t="s">
        <x:v>170</x:v>
      </x:c>
      <x:c r="E1379" s="70" t="s">
        <x:v>763</x:v>
      </x:c>
      <x:c r="F1379" s="70"/>
      <x:c r="G1379" s="70" t="s">
        <x:v>1310</x:v>
      </x:c>
      <x:c r="H1379" s="70" t="s">
        <x:v>849</x:v>
      </x:c>
      <x:c r="I1379" s="70" t="s">
        <x:v>833</x:v>
      </x:c>
      <x:c r="J1379" s="70" t="n">
        <x:v>201</x:v>
      </x:c>
      <x:c r="K1379" s="70" t="s">
        <x:v>2090</x:v>
      </x:c>
      <x:c r="L1379" s="70"/>
      <x:c r="M1379" s="70" t="s">
        <x:v>39</x:v>
      </x:c>
      <x:c r="N1379" s="71" t="n">
        <x:v>0</x:v>
      </x:c>
      <x:c r="O1379" s="72" t="n">
        <x:f aca="0">N1379/1000</x:f>
        <x:v>0</x:v>
      </x:c>
      <x:c r="P1379" s="73" t="n">
        <x:f aca="0">MLCF!G52</x:f>
        <x:v>0</x:v>
      </x:c>
      <x:c r="Q1379" s="70" t="str">
        <x:f aca="0">IF(ABS(O1379-P1379)&lt;0.000001,"PASS","FAIL")</x:f>
        <x:v>PASS</x:v>
      </x:c>
      <x:c r="R1379" s="70" t="s">
        <x:v>33</x:v>
      </x:c>
      <x:c r="S1379" s="70"/>
    </x:row>
    <x:row r="1380" ht="15" hidden="0">
      <x:c r="A1380" s="70" t="s">
        <x:v>2362</x:v>
      </x:c>
      <x:c r="B1380" s="70" t="s">
        <x:v>41</x:v>
      </x:c>
      <x:c r="C1380" s="70" t="s">
        <x:v>105</x:v>
      </x:c>
      <x:c r="D1380" s="70" t="s">
        <x:v>170</x:v>
      </x:c>
      <x:c r="E1380" s="70" t="s">
        <x:v>763</x:v>
      </x:c>
      <x:c r="F1380" s="70"/>
      <x:c r="G1380" s="70" t="s">
        <x:v>1310</x:v>
      </x:c>
      <x:c r="H1380" s="70" t="s">
        <x:v>849</x:v>
      </x:c>
      <x:c r="I1380" s="70" t="s">
        <x:v>852</x:v>
      </x:c>
      <x:c r="J1380" s="70" t="n">
        <x:v>201</x:v>
      </x:c>
      <x:c r="K1380" s="70" t="s">
        <x:v>2090</x:v>
      </x:c>
      <x:c r="L1380" s="70"/>
      <x:c r="M1380" s="70" t="s">
        <x:v>39</x:v>
      </x:c>
      <x:c r="N1380" s="71" t="n">
        <x:v>0</x:v>
      </x:c>
      <x:c r="O1380" s="72" t="n">
        <x:f aca="0">N1380/1000</x:f>
        <x:v>0</x:v>
      </x:c>
      <x:c r="P1380" s="73" t="n">
        <x:f aca="0">MLCF!H52</x:f>
        <x:v>0</x:v>
      </x:c>
      <x:c r="Q1380" s="70" t="str">
        <x:f aca="0">IF(ABS(O1380-P1380)&lt;0.000001,"PASS","FAIL")</x:f>
        <x:v>PASS</x:v>
      </x:c>
      <x:c r="R1380" s="70" t="s">
        <x:v>33</x:v>
      </x:c>
      <x:c r="S1380" s="70"/>
    </x:row>
    <x:row r="1381" ht="15" hidden="0">
      <x:c r="A1381" s="70" t="s">
        <x:v>2363</x:v>
      </x:c>
      <x:c r="B1381" s="70" t="s">
        <x:v>41</x:v>
      </x:c>
      <x:c r="C1381" s="70" t="s">
        <x:v>717</x:v>
      </x:c>
      <x:c r="D1381" s="70" t="s">
        <x:v>172</x:v>
      </x:c>
      <x:c r="E1381" s="70" t="s">
        <x:v>763</x:v>
      </x:c>
      <x:c r="F1381" s="70" t="s">
        <x:v>1027</x:v>
      </x:c>
      <x:c r="G1381" s="70" t="s">
        <x:v>1298</x:v>
      </x:c>
      <x:c r="H1381" s="70" t="s">
        <x:v>832</x:v>
      </x:c>
      <x:c r="I1381" s="70" t="s">
        <x:v>833</x:v>
      </x:c>
      <x:c r="J1381" s="70" t="n">
        <x:v>162</x:v>
      </x:c>
      <x:c r="K1381" s="70" t="s">
        <x:v>2213</x:v>
      </x:c>
      <x:c r="L1381" s="70" t="s">
        <x:v>886</x:v>
      </x:c>
      <x:c r="M1381" s="70" t="s">
        <x:v>39</x:v>
      </x:c>
      <x:c r="N1381" s="71" t="n">
        <x:v>547189</x:v>
      </x:c>
      <x:c r="O1381" s="72" t="n">
        <x:f aca="0">N1381/1000</x:f>
        <x:v>547.189</x:v>
      </x:c>
      <x:c r="P1381" s="73" t="n">
        <x:f aca="0">MLCF!C53</x:f>
        <x:v>547.189</x:v>
      </x:c>
      <x:c r="Q1381" s="70" t="str">
        <x:f aca="0">IF(ABS(O1381-P1381)&lt;0.000001,"PASS","FAIL")</x:f>
        <x:v>PASS</x:v>
      </x:c>
      <x:c r="R1381" s="70" t="s">
        <x:v>33</x:v>
      </x:c>
      <x:c r="S1381" s="70"/>
    </x:row>
    <x:row r="1382" ht="15" hidden="0">
      <x:c r="A1382" s="70" t="s">
        <x:v>2364</x:v>
      </x:c>
      <x:c r="B1382" s="70" t="s">
        <x:v>41</x:v>
      </x:c>
      <x:c r="C1382" s="70" t="s">
        <x:v>101</x:v>
      </x:c>
      <x:c r="D1382" s="70" t="s">
        <x:v>172</x:v>
      </x:c>
      <x:c r="E1382" s="70" t="s">
        <x:v>763</x:v>
      </x:c>
      <x:c r="F1382" s="70" t="s">
        <x:v>1027</x:v>
      </x:c>
      <x:c r="G1382" s="70" t="s">
        <x:v>1301</x:v>
      </x:c>
      <x:c r="H1382" s="70" t="s">
        <x:v>838</x:v>
      </x:c>
      <x:c r="I1382" s="70" t="s">
        <x:v>833</x:v>
      </x:c>
      <x:c r="J1382" s="70" t="n">
        <x:v>183</x:v>
      </x:c>
      <x:c r="K1382" s="70" t="s">
        <x:v>1911</x:v>
      </x:c>
      <x:c r="L1382" s="70" t="s">
        <x:v>886</x:v>
      </x:c>
      <x:c r="M1382" s="70" t="s">
        <x:v>39</x:v>
      </x:c>
      <x:c r="N1382" s="71" t="n">
        <x:v>260953</x:v>
      </x:c>
      <x:c r="O1382" s="72" t="n">
        <x:f aca="0">N1382/1000</x:f>
        <x:v>260.953</x:v>
      </x:c>
      <x:c r="P1382" s="73" t="n">
        <x:f aca="0">MLCF!D53</x:f>
        <x:v>260.953</x:v>
      </x:c>
      <x:c r="Q1382" s="70" t="str">
        <x:f aca="0">IF(ABS(O1382-P1382)&lt;0.000001,"PASS","FAIL")</x:f>
        <x:v>PASS</x:v>
      </x:c>
      <x:c r="R1382" s="70" t="s">
        <x:v>33</x:v>
      </x:c>
      <x:c r="S1382" s="70"/>
    </x:row>
    <x:row r="1383" ht="15" hidden="0">
      <x:c r="A1383" s="70" t="s">
        <x:v>2365</x:v>
      </x:c>
      <x:c r="B1383" s="70" t="s">
        <x:v>41</x:v>
      </x:c>
      <x:c r="C1383" s="70" t="s">
        <x:v>102</x:v>
      </x:c>
      <x:c r="D1383" s="70" t="s">
        <x:v>172</x:v>
      </x:c>
      <x:c r="E1383" s="70" t="s">
        <x:v>763</x:v>
      </x:c>
      <x:c r="F1383" s="70" t="s">
        <x:v>1027</x:v>
      </x:c>
      <x:c r="G1383" s="70" t="s">
        <x:v>1304</x:v>
      </x:c>
      <x:c r="H1383" s="70" t="s">
        <x:v>842</x:v>
      </x:c>
      <x:c r="I1383" s="70" t="s">
        <x:v>833</x:v>
      </x:c>
      <x:c r="J1383" s="70" t="n">
        <x:v>98</x:v>
      </x:c>
      <x:c r="K1383" s="70" t="s">
        <x:v>2197</x:v>
      </x:c>
      <x:c r="L1383" s="70"/>
      <x:c r="M1383" s="70" t="s">
        <x:v>39</x:v>
      </x:c>
      <x:c r="N1383" s="71" t="n">
        <x:v>665122</x:v>
      </x:c>
      <x:c r="O1383" s="72" t="n">
        <x:f aca="0">N1383/1000</x:f>
        <x:v>665.122</x:v>
      </x:c>
      <x:c r="P1383" s="73" t="n">
        <x:f aca="0">MLCF!E53</x:f>
        <x:v>665.122</x:v>
      </x:c>
      <x:c r="Q1383" s="70" t="str">
        <x:f aca="0">IF(ABS(O1383-P1383)&lt;0.000001,"PASS","FAIL")</x:f>
        <x:v>PASS</x:v>
      </x:c>
      <x:c r="R1383" s="70" t="s">
        <x:v>33</x:v>
      </x:c>
      <x:c r="S1383" s="70"/>
    </x:row>
    <x:row r="1384" ht="15" hidden="0">
      <x:c r="A1384" s="70" t="s">
        <x:v>2366</x:v>
      </x:c>
      <x:c r="B1384" s="70" t="s">
        <x:v>41</x:v>
      </x:c>
      <x:c r="C1384" s="70" t="s">
        <x:v>103</x:v>
      </x:c>
      <x:c r="D1384" s="70" t="s">
        <x:v>172</x:v>
      </x:c>
      <x:c r="E1384" s="70" t="s">
        <x:v>763</x:v>
      </x:c>
      <x:c r="F1384" s="70" t="s">
        <x:v>1027</x:v>
      </x:c>
      <x:c r="G1384" s="70" t="s">
        <x:v>1307</x:v>
      </x:c>
      <x:c r="H1384" s="70" t="s">
        <x:v>845</x:v>
      </x:c>
      <x:c r="I1384" s="70" t="s">
        <x:v>833</x:v>
      </x:c>
      <x:c r="J1384" s="70" t="n">
        <x:v>189</x:v>
      </x:c>
      <x:c r="K1384" s="70" t="s">
        <x:v>1765</x:v>
      </x:c>
      <x:c r="L1384" s="70" t="s">
        <x:v>886</x:v>
      </x:c>
      <x:c r="M1384" s="70" t="s">
        <x:v>39</x:v>
      </x:c>
      <x:c r="N1384" s="71" t="n">
        <x:v>880039</x:v>
      </x:c>
      <x:c r="O1384" s="72" t="n">
        <x:f aca="0">N1384/1000</x:f>
        <x:v>880.039</x:v>
      </x:c>
      <x:c r="P1384" s="73" t="n">
        <x:f aca="0">MLCF!F53</x:f>
        <x:v>880.039</x:v>
      </x:c>
      <x:c r="Q1384" s="70" t="str">
        <x:f aca="0">IF(ABS(O1384-P1384)&lt;0.000001,"PASS","FAIL")</x:f>
        <x:v>PASS</x:v>
      </x:c>
      <x:c r="R1384" s="70" t="s">
        <x:v>33</x:v>
      </x:c>
      <x:c r="S1384" s="70"/>
    </x:row>
    <x:row r="1385" ht="15" hidden="0">
      <x:c r="A1385" s="70" t="s">
        <x:v>2367</x:v>
      </x:c>
      <x:c r="B1385" s="70" t="s">
        <x:v>41</x:v>
      </x:c>
      <x:c r="C1385" s="70" t="s">
        <x:v>104</x:v>
      </x:c>
      <x:c r="D1385" s="70" t="s">
        <x:v>172</x:v>
      </x:c>
      <x:c r="E1385" s="70" t="s">
        <x:v>763</x:v>
      </x:c>
      <x:c r="F1385" s="70" t="s">
        <x:v>1027</x:v>
      </x:c>
      <x:c r="G1385" s="70" t="s">
        <x:v>1310</x:v>
      </x:c>
      <x:c r="H1385" s="70" t="s">
        <x:v>849</x:v>
      </x:c>
      <x:c r="I1385" s="70" t="s">
        <x:v>833</x:v>
      </x:c>
      <x:c r="J1385" s="70" t="n">
        <x:v>201</x:v>
      </x:c>
      <x:c r="K1385" s="70" t="s">
        <x:v>2090</x:v>
      </x:c>
      <x:c r="L1385" s="70" t="s">
        <x:v>873</x:v>
      </x:c>
      <x:c r="M1385" s="70" t="s">
        <x:v>39</x:v>
      </x:c>
      <x:c r="N1385" s="71" t="n">
        <x:v>865945</x:v>
      </x:c>
      <x:c r="O1385" s="72" t="n">
        <x:f aca="0">N1385/1000</x:f>
        <x:v>865.945</x:v>
      </x:c>
      <x:c r="P1385" s="73" t="n">
        <x:f aca="0">MLCF!G53</x:f>
        <x:v>865.945</x:v>
      </x:c>
      <x:c r="Q1385" s="70" t="str">
        <x:f aca="0">IF(ABS(O1385-P1385)&lt;0.000001,"PASS","FAIL")</x:f>
        <x:v>PASS</x:v>
      </x:c>
      <x:c r="R1385" s="70" t="s">
        <x:v>33</x:v>
      </x:c>
      <x:c r="S1385" s="70"/>
    </x:row>
    <x:row r="1386" ht="15" hidden="0">
      <x:c r="A1386" s="70" t="s">
        <x:v>2368</x:v>
      </x:c>
      <x:c r="B1386" s="70" t="s">
        <x:v>41</x:v>
      </x:c>
      <x:c r="C1386" s="70" t="s">
        <x:v>105</x:v>
      </x:c>
      <x:c r="D1386" s="70" t="s">
        <x:v>172</x:v>
      </x:c>
      <x:c r="E1386" s="70" t="s">
        <x:v>763</x:v>
      </x:c>
      <x:c r="F1386" s="70" t="s">
        <x:v>1027</x:v>
      </x:c>
      <x:c r="G1386" s="70" t="s">
        <x:v>1310</x:v>
      </x:c>
      <x:c r="H1386" s="70" t="s">
        <x:v>849</x:v>
      </x:c>
      <x:c r="I1386" s="70" t="s">
        <x:v>852</x:v>
      </x:c>
      <x:c r="J1386" s="70" t="n">
        <x:v>201</x:v>
      </x:c>
      <x:c r="K1386" s="70" t="s">
        <x:v>2090</x:v>
      </x:c>
      <x:c r="L1386" s="70" t="s">
        <x:v>873</x:v>
      </x:c>
      <x:c r="M1386" s="70" t="s">
        <x:v>39</x:v>
      </x:c>
      <x:c r="N1386" s="71" t="n">
        <x:v>320434</x:v>
      </x:c>
      <x:c r="O1386" s="72" t="n">
        <x:f aca="0">N1386/1000</x:f>
        <x:v>320.434</x:v>
      </x:c>
      <x:c r="P1386" s="73" t="n">
        <x:f aca="0">MLCF!H53</x:f>
        <x:v>320.434</x:v>
      </x:c>
      <x:c r="Q1386" s="70" t="str">
        <x:f aca="0">IF(ABS(O1386-P1386)&lt;0.000001,"PASS","FAIL")</x:f>
        <x:v>PASS</x:v>
      </x:c>
      <x:c r="R1386" s="70" t="s">
        <x:v>33</x:v>
      </x:c>
      <x:c r="S1386" s="70"/>
    </x:row>
    <x:row r="1387" ht="15" hidden="0">
      <x:c r="A1387" s="70" t="s">
        <x:v>2369</x:v>
      </x:c>
      <x:c r="B1387" s="70" t="s">
        <x:v>41</x:v>
      </x:c>
      <x:c r="C1387" s="70" t="s">
        <x:v>717</x:v>
      </x:c>
      <x:c r="D1387" s="70" t="s">
        <x:v>174</x:v>
      </x:c>
      <x:c r="E1387" s="70" t="s">
        <x:v>763</x:v>
      </x:c>
      <x:c r="F1387" s="70" t="s">
        <x:v>1478</x:v>
      </x:c>
      <x:c r="G1387" s="70" t="s">
        <x:v>1298</x:v>
      </x:c>
      <x:c r="H1387" s="70" t="s">
        <x:v>832</x:v>
      </x:c>
      <x:c r="I1387" s="70" t="s">
        <x:v>833</x:v>
      </x:c>
      <x:c r="J1387" s="70" t="n">
        <x:v>162</x:v>
      </x:c>
      <x:c r="K1387" s="70" t="s">
        <x:v>2213</x:v>
      </x:c>
      <x:c r="L1387" s="70" t="s">
        <x:v>880</x:v>
      </x:c>
      <x:c r="M1387" s="70" t="s">
        <x:v>39</x:v>
      </x:c>
      <x:c r="N1387" s="71" t="n">
        <x:v>6642312</x:v>
      </x:c>
      <x:c r="O1387" s="72" t="n">
        <x:f aca="0">N1387/1000</x:f>
        <x:v>6642.312</x:v>
      </x:c>
      <x:c r="P1387" s="73" t="n">
        <x:f aca="0">MLCF!C54</x:f>
        <x:v>6642.312</x:v>
      </x:c>
      <x:c r="Q1387" s="70" t="str">
        <x:f aca="0">IF(ABS(O1387-P1387)&lt;0.000001,"PASS","FAIL")</x:f>
        <x:v>PASS</x:v>
      </x:c>
      <x:c r="R1387" s="70" t="s">
        <x:v>33</x:v>
      </x:c>
      <x:c r="S1387" s="70"/>
    </x:row>
    <x:row r="1388" ht="15" hidden="0">
      <x:c r="A1388" s="70" t="s">
        <x:v>2370</x:v>
      </x:c>
      <x:c r="B1388" s="70" t="s">
        <x:v>41</x:v>
      </x:c>
      <x:c r="C1388" s="70" t="s">
        <x:v>101</x:v>
      </x:c>
      <x:c r="D1388" s="70" t="s">
        <x:v>174</x:v>
      </x:c>
      <x:c r="E1388" s="70" t="s">
        <x:v>763</x:v>
      </x:c>
      <x:c r="F1388" s="70" t="s">
        <x:v>1478</x:v>
      </x:c>
      <x:c r="G1388" s="70" t="s">
        <x:v>1301</x:v>
      </x:c>
      <x:c r="H1388" s="70" t="s">
        <x:v>838</x:v>
      </x:c>
      <x:c r="I1388" s="70" t="s">
        <x:v>833</x:v>
      </x:c>
      <x:c r="J1388" s="70" t="n">
        <x:v>183</x:v>
      </x:c>
      <x:c r="K1388" s="70" t="s">
        <x:v>1911</x:v>
      </x:c>
      <x:c r="L1388" s="70" t="s">
        <x:v>880</x:v>
      </x:c>
      <x:c r="M1388" s="70" t="s">
        <x:v>39</x:v>
      </x:c>
      <x:c r="N1388" s="71" t="n">
        <x:v>1894115</x:v>
      </x:c>
      <x:c r="O1388" s="72" t="n">
        <x:f aca="0">N1388/1000</x:f>
        <x:v>1894.115</x:v>
      </x:c>
      <x:c r="P1388" s="73" t="n">
        <x:f aca="0">MLCF!D54</x:f>
        <x:v>1894.115</x:v>
      </x:c>
      <x:c r="Q1388" s="70" t="str">
        <x:f aca="0">IF(ABS(O1388-P1388)&lt;0.000001,"PASS","FAIL")</x:f>
        <x:v>PASS</x:v>
      </x:c>
      <x:c r="R1388" s="70" t="s">
        <x:v>33</x:v>
      </x:c>
      <x:c r="S1388" s="70"/>
    </x:row>
    <x:row r="1389" ht="15" hidden="0">
      <x:c r="A1389" s="70" t="s">
        <x:v>2371</x:v>
      </x:c>
      <x:c r="B1389" s="70" t="s">
        <x:v>41</x:v>
      </x:c>
      <x:c r="C1389" s="70" t="s">
        <x:v>102</x:v>
      </x:c>
      <x:c r="D1389" s="70" t="s">
        <x:v>174</x:v>
      </x:c>
      <x:c r="E1389" s="70" t="s">
        <x:v>763</x:v>
      </x:c>
      <x:c r="F1389" s="70" t="s">
        <x:v>1478</x:v>
      </x:c>
      <x:c r="G1389" s="70" t="s">
        <x:v>1304</x:v>
      </x:c>
      <x:c r="H1389" s="70" t="s">
        <x:v>842</x:v>
      </x:c>
      <x:c r="I1389" s="70" t="s">
        <x:v>833</x:v>
      </x:c>
      <x:c r="J1389" s="70" t="n">
        <x:v>98</x:v>
      </x:c>
      <x:c r="K1389" s="70" t="s">
        <x:v>2197</x:v>
      </x:c>
      <x:c r="L1389" s="70"/>
      <x:c r="M1389" s="70" t="s">
        <x:v>39</x:v>
      </x:c>
      <x:c r="N1389" s="71" t="n">
        <x:v>3572073</x:v>
      </x:c>
      <x:c r="O1389" s="72" t="n">
        <x:f aca="0">N1389/1000</x:f>
        <x:v>3572.073</x:v>
      </x:c>
      <x:c r="P1389" s="73" t="n">
        <x:f aca="0">MLCF!E54</x:f>
        <x:v>3572.073</x:v>
      </x:c>
      <x:c r="Q1389" s="70" t="str">
        <x:f aca="0">IF(ABS(O1389-P1389)&lt;0.000001,"PASS","FAIL")</x:f>
        <x:v>PASS</x:v>
      </x:c>
      <x:c r="R1389" s="70" t="s">
        <x:v>33</x:v>
      </x:c>
      <x:c r="S1389" s="70"/>
    </x:row>
    <x:row r="1390" ht="15" hidden="0">
      <x:c r="A1390" s="70" t="s">
        <x:v>2372</x:v>
      </x:c>
      <x:c r="B1390" s="70" t="s">
        <x:v>41</x:v>
      </x:c>
      <x:c r="C1390" s="70" t="s">
        <x:v>103</x:v>
      </x:c>
      <x:c r="D1390" s="70" t="s">
        <x:v>174</x:v>
      </x:c>
      <x:c r="E1390" s="70" t="s">
        <x:v>763</x:v>
      </x:c>
      <x:c r="F1390" s="70" t="s">
        <x:v>1927</x:v>
      </x:c>
      <x:c r="G1390" s="70" t="s">
        <x:v>1307</x:v>
      </x:c>
      <x:c r="H1390" s="70" t="s">
        <x:v>845</x:v>
      </x:c>
      <x:c r="I1390" s="70" t="s">
        <x:v>833</x:v>
      </x:c>
      <x:c r="J1390" s="70" t="n">
        <x:v>189</x:v>
      </x:c>
      <x:c r="K1390" s="70" t="s">
        <x:v>1765</x:v>
      </x:c>
      <x:c r="L1390" s="70" t="s">
        <x:v>880</x:v>
      </x:c>
      <x:c r="M1390" s="70" t="s">
        <x:v>39</x:v>
      </x:c>
      <x:c r="N1390" s="71" t="n">
        <x:v>0</x:v>
      </x:c>
      <x:c r="O1390" s="72" t="n">
        <x:f aca="0">N1390/1000</x:f>
        <x:v>0</x:v>
      </x:c>
      <x:c r="P1390" s="73" t="n">
        <x:f aca="0">MLCF!F54</x:f>
        <x:v>0</x:v>
      </x:c>
      <x:c r="Q1390" s="70" t="str">
        <x:f aca="0">IF(ABS(O1390-P1390)&lt;0.000001,"PASS","FAIL")</x:f>
        <x:v>PASS</x:v>
      </x:c>
      <x:c r="R1390" s="70" t="s">
        <x:v>33</x:v>
      </x:c>
      <x:c r="S1390" s="70"/>
    </x:row>
    <x:row r="1391" ht="15" hidden="0">
      <x:c r="A1391" s="70" t="s">
        <x:v>2373</x:v>
      </x:c>
      <x:c r="B1391" s="70" t="s">
        <x:v>41</x:v>
      </x:c>
      <x:c r="C1391" s="70" t="s">
        <x:v>104</x:v>
      </x:c>
      <x:c r="D1391" s="70" t="s">
        <x:v>174</x:v>
      </x:c>
      <x:c r="E1391" s="70" t="s">
        <x:v>763</x:v>
      </x:c>
      <x:c r="F1391" s="70" t="s">
        <x:v>1927</x:v>
      </x:c>
      <x:c r="G1391" s="70" t="s">
        <x:v>1310</x:v>
      </x:c>
      <x:c r="H1391" s="70" t="s">
        <x:v>849</x:v>
      </x:c>
      <x:c r="I1391" s="70" t="s">
        <x:v>833</x:v>
      </x:c>
      <x:c r="J1391" s="70" t="n">
        <x:v>201</x:v>
      </x:c>
      <x:c r="K1391" s="70" t="s">
        <x:v>2090</x:v>
      </x:c>
      <x:c r="L1391" s="70" t="s">
        <x:v>886</x:v>
      </x:c>
      <x:c r="M1391" s="70" t="s">
        <x:v>39</x:v>
      </x:c>
      <x:c r="N1391" s="71" t="n">
        <x:v>1645316</x:v>
      </x:c>
      <x:c r="O1391" s="72" t="n">
        <x:f aca="0">N1391/1000</x:f>
        <x:v>1645.316</x:v>
      </x:c>
      <x:c r="P1391" s="73" t="n">
        <x:f aca="0">MLCF!G54</x:f>
        <x:v>1645.316</x:v>
      </x:c>
      <x:c r="Q1391" s="70" t="str">
        <x:f aca="0">IF(ABS(O1391-P1391)&lt;0.000001,"PASS","FAIL")</x:f>
        <x:v>PASS</x:v>
      </x:c>
      <x:c r="R1391" s="70" t="s">
        <x:v>33</x:v>
      </x:c>
      <x:c r="S1391" s="70"/>
    </x:row>
    <x:row r="1392" ht="15" hidden="0">
      <x:c r="A1392" s="70" t="s">
        <x:v>2374</x:v>
      </x:c>
      <x:c r="B1392" s="70" t="s">
        <x:v>41</x:v>
      </x:c>
      <x:c r="C1392" s="70" t="s">
        <x:v>105</x:v>
      </x:c>
      <x:c r="D1392" s="70" t="s">
        <x:v>174</x:v>
      </x:c>
      <x:c r="E1392" s="70" t="s">
        <x:v>763</x:v>
      </x:c>
      <x:c r="F1392" s="70" t="s">
        <x:v>1927</x:v>
      </x:c>
      <x:c r="G1392" s="70" t="s">
        <x:v>1310</x:v>
      </x:c>
      <x:c r="H1392" s="70" t="s">
        <x:v>849</x:v>
      </x:c>
      <x:c r="I1392" s="70" t="s">
        <x:v>852</x:v>
      </x:c>
      <x:c r="J1392" s="70" t="n">
        <x:v>201</x:v>
      </x:c>
      <x:c r="K1392" s="70" t="s">
        <x:v>2090</x:v>
      </x:c>
      <x:c r="L1392" s="70" t="s">
        <x:v>886</x:v>
      </x:c>
      <x:c r="M1392" s="70" t="s">
        <x:v>39</x:v>
      </x:c>
      <x:c r="N1392" s="71" t="n">
        <x:v>822285</x:v>
      </x:c>
      <x:c r="O1392" s="72" t="n">
        <x:f aca="0">N1392/1000</x:f>
        <x:v>822.285</x:v>
      </x:c>
      <x:c r="P1392" s="73" t="n">
        <x:f aca="0">MLCF!H54</x:f>
        <x:v>822.285</x:v>
      </x:c>
      <x:c r="Q1392" s="70" t="str">
        <x:f aca="0">IF(ABS(O1392-P1392)&lt;0.000001,"PASS","FAIL")</x:f>
        <x:v>PASS</x:v>
      </x:c>
      <x:c r="R1392" s="70" t="s">
        <x:v>33</x:v>
      </x:c>
      <x:c r="S1392" s="70"/>
    </x:row>
    <x:row r="1393" ht="15" hidden="0">
      <x:c r="A1393" s="70" t="s">
        <x:v>2375</x:v>
      </x:c>
      <x:c r="B1393" s="70" t="s">
        <x:v>41</x:v>
      </x:c>
      <x:c r="C1393" s="70" t="s">
        <x:v>717</x:v>
      </x:c>
      <x:c r="D1393" s="70" t="s">
        <x:v>176</x:v>
      </x:c>
      <x:c r="E1393" s="70" t="s">
        <x:v>763</x:v>
      </x:c>
      <x:c r="F1393" s="70" t="s">
        <x:v>2376</x:v>
      </x:c>
      <x:c r="G1393" s="70" t="s">
        <x:v>1298</x:v>
      </x:c>
      <x:c r="H1393" s="70" t="s">
        <x:v>832</x:v>
      </x:c>
      <x:c r="I1393" s="70" t="s">
        <x:v>833</x:v>
      </x:c>
      <x:c r="J1393" s="70" t="n">
        <x:v>162</x:v>
      </x:c>
      <x:c r="K1393" s="70" t="s">
        <x:v>2213</x:v>
      </x:c>
      <x:c r="L1393" s="70"/>
      <x:c r="M1393" s="70" t="s">
        <x:v>39</x:v>
      </x:c>
      <x:c r="N1393" s="71" t="n">
        <x:v>125000</x:v>
      </x:c>
      <x:c r="O1393" s="72" t="n">
        <x:f aca="0">N1393/1000</x:f>
        <x:v>125</x:v>
      </x:c>
      <x:c r="P1393" s="73" t="n">
        <x:f aca="0">MLCF!C55</x:f>
        <x:v>125</x:v>
      </x:c>
      <x:c r="Q1393" s="70" t="str">
        <x:f aca="0">IF(ABS(O1393-P1393)&lt;0.000001,"PASS","FAIL")</x:f>
        <x:v>PASS</x:v>
      </x:c>
      <x:c r="R1393" s="70" t="s">
        <x:v>33</x:v>
      </x:c>
      <x:c r="S1393" s="70"/>
    </x:row>
    <x:row r="1394" ht="15" hidden="0">
      <x:c r="A1394" s="70" t="s">
        <x:v>2377</x:v>
      </x:c>
      <x:c r="B1394" s="70" t="s">
        <x:v>41</x:v>
      </x:c>
      <x:c r="C1394" s="70" t="s">
        <x:v>101</x:v>
      </x:c>
      <x:c r="D1394" s="70" t="s">
        <x:v>176</x:v>
      </x:c>
      <x:c r="E1394" s="70" t="s">
        <x:v>763</x:v>
      </x:c>
      <x:c r="F1394" s="70" t="s">
        <x:v>2376</x:v>
      </x:c>
      <x:c r="G1394" s="70" t="s">
        <x:v>1301</x:v>
      </x:c>
      <x:c r="H1394" s="70" t="s">
        <x:v>838</x:v>
      </x:c>
      <x:c r="I1394" s="70" t="s">
        <x:v>833</x:v>
      </x:c>
      <x:c r="J1394" s="70" t="n">
        <x:v>183</x:v>
      </x:c>
      <x:c r="K1394" s="70" t="s">
        <x:v>1911</x:v>
      </x:c>
      <x:c r="L1394" s="70"/>
      <x:c r="M1394" s="70" t="s">
        <x:v>39</x:v>
      </x:c>
      <x:c r="N1394" s="71" t="n">
        <x:v>1704612</x:v>
      </x:c>
      <x:c r="O1394" s="72" t="n">
        <x:f aca="0">N1394/1000</x:f>
        <x:v>1704.612</x:v>
      </x:c>
      <x:c r="P1394" s="73" t="n">
        <x:f aca="0">MLCF!D55</x:f>
        <x:v>1704.612</x:v>
      </x:c>
      <x:c r="Q1394" s="70" t="str">
        <x:f aca="0">IF(ABS(O1394-P1394)&lt;0.000001,"PASS","FAIL")</x:f>
        <x:v>PASS</x:v>
      </x:c>
      <x:c r="R1394" s="70" t="s">
        <x:v>33</x:v>
      </x:c>
      <x:c r="S1394" s="70"/>
    </x:row>
    <x:row r="1395" ht="15" hidden="0">
      <x:c r="A1395" s="70" t="s">
        <x:v>2378</x:v>
      </x:c>
      <x:c r="B1395" s="70" t="s">
        <x:v>41</x:v>
      </x:c>
      <x:c r="C1395" s="70" t="s">
        <x:v>102</x:v>
      </x:c>
      <x:c r="D1395" s="70" t="s">
        <x:v>176</x:v>
      </x:c>
      <x:c r="E1395" s="70" t="s">
        <x:v>763</x:v>
      </x:c>
      <x:c r="F1395" s="70" t="s">
        <x:v>2376</x:v>
      </x:c>
      <x:c r="G1395" s="70" t="s">
        <x:v>1304</x:v>
      </x:c>
      <x:c r="H1395" s="70" t="s">
        <x:v>842</x:v>
      </x:c>
      <x:c r="I1395" s="70" t="s">
        <x:v>833</x:v>
      </x:c>
      <x:c r="J1395" s="70" t="n">
        <x:v>98</x:v>
      </x:c>
      <x:c r="K1395" s="70" t="s">
        <x:v>2197</x:v>
      </x:c>
      <x:c r="L1395" s="70"/>
      <x:c r="M1395" s="70" t="s">
        <x:v>39</x:v>
      </x:c>
      <x:c r="N1395" s="71" t="n">
        <x:v>2619800</x:v>
      </x:c>
      <x:c r="O1395" s="72" t="n">
        <x:f aca="0">N1395/1000</x:f>
        <x:v>2619.8</x:v>
      </x:c>
      <x:c r="P1395" s="73" t="n">
        <x:f aca="0">MLCF!E55</x:f>
        <x:v>2619.8</x:v>
      </x:c>
      <x:c r="Q1395" s="70" t="str">
        <x:f aca="0">IF(ABS(O1395-P1395)&lt;0.000001,"PASS","FAIL")</x:f>
        <x:v>PASS</x:v>
      </x:c>
      <x:c r="R1395" s="70" t="s">
        <x:v>33</x:v>
      </x:c>
      <x:c r="S1395" s="70"/>
    </x:row>
    <x:row r="1396" ht="15" hidden="0">
      <x:c r="A1396" s="70" t="s">
        <x:v>2379</x:v>
      </x:c>
      <x:c r="B1396" s="70" t="s">
        <x:v>41</x:v>
      </x:c>
      <x:c r="C1396" s="70" t="s">
        <x:v>103</x:v>
      </x:c>
      <x:c r="D1396" s="70" t="s">
        <x:v>176</x:v>
      </x:c>
      <x:c r="E1396" s="70" t="s">
        <x:v>763</x:v>
      </x:c>
      <x:c r="F1396" s="70" t="s">
        <x:v>2376</x:v>
      </x:c>
      <x:c r="G1396" s="70" t="s">
        <x:v>1307</x:v>
      </x:c>
      <x:c r="H1396" s="70" t="s">
        <x:v>845</x:v>
      </x:c>
      <x:c r="I1396" s="70" t="s">
        <x:v>833</x:v>
      </x:c>
      <x:c r="J1396" s="70" t="n">
        <x:v>189</x:v>
      </x:c>
      <x:c r="K1396" s="70" t="s">
        <x:v>1765</x:v>
      </x:c>
      <x:c r="L1396" s="70"/>
      <x:c r="M1396" s="70" t="s">
        <x:v>39</x:v>
      </x:c>
      <x:c r="N1396" s="71" t="n">
        <x:v>2599401</x:v>
      </x:c>
      <x:c r="O1396" s="72" t="n">
        <x:f aca="0">N1396/1000</x:f>
        <x:v>2599.401</x:v>
      </x:c>
      <x:c r="P1396" s="73" t="n">
        <x:f aca="0">MLCF!F55</x:f>
        <x:v>2599.401</x:v>
      </x:c>
      <x:c r="Q1396" s="70" t="str">
        <x:f aca="0">IF(ABS(O1396-P1396)&lt;0.000001,"PASS","FAIL")</x:f>
        <x:v>PASS</x:v>
      </x:c>
      <x:c r="R1396" s="70" t="s">
        <x:v>33</x:v>
      </x:c>
      <x:c r="S1396" s="70"/>
    </x:row>
    <x:row r="1397" ht="15" hidden="0">
      <x:c r="A1397" s="70" t="s">
        <x:v>2380</x:v>
      </x:c>
      <x:c r="B1397" s="70" t="s">
        <x:v>41</x:v>
      </x:c>
      <x:c r="C1397" s="70" t="s">
        <x:v>104</x:v>
      </x:c>
      <x:c r="D1397" s="70" t="s">
        <x:v>176</x:v>
      </x:c>
      <x:c r="E1397" s="70" t="s">
        <x:v>763</x:v>
      </x:c>
      <x:c r="F1397" s="70" t="s">
        <x:v>2376</x:v>
      </x:c>
      <x:c r="G1397" s="70" t="s">
        <x:v>1310</x:v>
      </x:c>
      <x:c r="H1397" s="70" t="s">
        <x:v>849</x:v>
      </x:c>
      <x:c r="I1397" s="70" t="s">
        <x:v>833</x:v>
      </x:c>
      <x:c r="J1397" s="70" t="n">
        <x:v>201</x:v>
      </x:c>
      <x:c r="K1397" s="70" t="s">
        <x:v>2090</x:v>
      </x:c>
      <x:c r="L1397" s="70"/>
      <x:c r="M1397" s="70" t="s">
        <x:v>39</x:v>
      </x:c>
      <x:c r="N1397" s="71" t="n">
        <x:v>3407702</x:v>
      </x:c>
      <x:c r="O1397" s="72" t="n">
        <x:f aca="0">N1397/1000</x:f>
        <x:v>3407.702</x:v>
      </x:c>
      <x:c r="P1397" s="73" t="n">
        <x:f aca="0">MLCF!G55</x:f>
        <x:v>3407.702</x:v>
      </x:c>
      <x:c r="Q1397" s="70" t="str">
        <x:f aca="0">IF(ABS(O1397-P1397)&lt;0.000001,"PASS","FAIL")</x:f>
        <x:v>PASS</x:v>
      </x:c>
      <x:c r="R1397" s="70" t="s">
        <x:v>33</x:v>
      </x:c>
      <x:c r="S1397" s="70"/>
    </x:row>
    <x:row r="1398" ht="15" hidden="0">
      <x:c r="A1398" s="70" t="s">
        <x:v>2381</x:v>
      </x:c>
      <x:c r="B1398" s="70" t="s">
        <x:v>41</x:v>
      </x:c>
      <x:c r="C1398" s="70" t="s">
        <x:v>105</x:v>
      </x:c>
      <x:c r="D1398" s="70" t="s">
        <x:v>176</x:v>
      </x:c>
      <x:c r="E1398" s="70" t="s">
        <x:v>763</x:v>
      </x:c>
      <x:c r="F1398" s="70" t="s">
        <x:v>2376</x:v>
      </x:c>
      <x:c r="G1398" s="70" t="s">
        <x:v>1310</x:v>
      </x:c>
      <x:c r="H1398" s="70" t="s">
        <x:v>849</x:v>
      </x:c>
      <x:c r="I1398" s="70" t="s">
        <x:v>852</x:v>
      </x:c>
      <x:c r="J1398" s="70" t="n">
        <x:v>201</x:v>
      </x:c>
      <x:c r="K1398" s="70" t="s">
        <x:v>2090</x:v>
      </x:c>
      <x:c r="L1398" s="70"/>
      <x:c r="M1398" s="70" t="s">
        <x:v>39</x:v>
      </x:c>
      <x:c r="N1398" s="71" t="n">
        <x:v>3933328</x:v>
      </x:c>
      <x:c r="O1398" s="72" t="n">
        <x:f aca="0">N1398/1000</x:f>
        <x:v>3933.328</x:v>
      </x:c>
      <x:c r="P1398" s="73" t="n">
        <x:f aca="0">MLCF!H55</x:f>
        <x:v>3933.328</x:v>
      </x:c>
      <x:c r="Q1398" s="70" t="str">
        <x:f aca="0">IF(ABS(O1398-P1398)&lt;0.000001,"PASS","FAIL")</x:f>
        <x:v>PASS</x:v>
      </x:c>
      <x:c r="R1398" s="70" t="s">
        <x:v>33</x:v>
      </x:c>
      <x:c r="S1398" s="70"/>
    </x:row>
    <x:row r="1399" ht="15" hidden="0">
      <x:c r="A1399" s="70" t="s">
        <x:v>2382</x:v>
      </x:c>
      <x:c r="B1399" s="70" t="s">
        <x:v>41</x:v>
      </x:c>
      <x:c r="C1399" s="70" t="s">
        <x:v>717</x:v>
      </x:c>
      <x:c r="D1399" s="70" t="s">
        <x:v>178</x:v>
      </x:c>
      <x:c r="E1399" s="70" t="s">
        <x:v>763</x:v>
      </x:c>
      <x:c r="F1399" s="70"/>
      <x:c r="G1399" s="70" t="s">
        <x:v>1298</x:v>
      </x:c>
      <x:c r="H1399" s="70" t="s">
        <x:v>832</x:v>
      </x:c>
      <x:c r="I1399" s="70" t="s">
        <x:v>833</x:v>
      </x:c>
      <x:c r="J1399" s="70" t="n">
        <x:v>162</x:v>
      </x:c>
      <x:c r="K1399" s="70" t="s">
        <x:v>2213</x:v>
      </x:c>
      <x:c r="L1399" s="70"/>
      <x:c r="M1399" s="70" t="s">
        <x:v>39</x:v>
      </x:c>
      <x:c r="N1399" s="71" t="n">
        <x:v>0</x:v>
      </x:c>
      <x:c r="O1399" s="72" t="n">
        <x:f aca="0">N1399/1000</x:f>
        <x:v>0</x:v>
      </x:c>
      <x:c r="P1399" s="73" t="n">
        <x:f aca="0">MLCF!C56</x:f>
        <x:v>0</x:v>
      </x:c>
      <x:c r="Q1399" s="70" t="str">
        <x:f aca="0">IF(ABS(O1399-P1399)&lt;0.000001,"PASS","FAIL")</x:f>
        <x:v>PASS</x:v>
      </x:c>
      <x:c r="R1399" s="70" t="s">
        <x:v>33</x:v>
      </x:c>
      <x:c r="S1399" s="70"/>
    </x:row>
    <x:row r="1400" ht="15" hidden="0">
      <x:c r="A1400" s="70" t="s">
        <x:v>2383</x:v>
      </x:c>
      <x:c r="B1400" s="70" t="s">
        <x:v>41</x:v>
      </x:c>
      <x:c r="C1400" s="70" t="s">
        <x:v>101</x:v>
      </x:c>
      <x:c r="D1400" s="70" t="s">
        <x:v>178</x:v>
      </x:c>
      <x:c r="E1400" s="70" t="s">
        <x:v>763</x:v>
      </x:c>
      <x:c r="F1400" s="70" t="s">
        <x:v>2384</x:v>
      </x:c>
      <x:c r="G1400" s="70" t="s">
        <x:v>1301</x:v>
      </x:c>
      <x:c r="H1400" s="70" t="s">
        <x:v>838</x:v>
      </x:c>
      <x:c r="I1400" s="70" t="s">
        <x:v>833</x:v>
      </x:c>
      <x:c r="J1400" s="70" t="n">
        <x:v>183</x:v>
      </x:c>
      <x:c r="K1400" s="70" t="s">
        <x:v>1911</x:v>
      </x:c>
      <x:c r="L1400" s="70" t="s">
        <x:v>1040</x:v>
      </x:c>
      <x:c r="M1400" s="70" t="s">
        <x:v>39</x:v>
      </x:c>
      <x:c r="N1400" s="71" t="n">
        <x:v>0</x:v>
      </x:c>
      <x:c r="O1400" s="72" t="n">
        <x:f aca="0">N1400/1000</x:f>
        <x:v>0</x:v>
      </x:c>
      <x:c r="P1400" s="73" t="n">
        <x:f aca="0">MLCF!D56</x:f>
        <x:v>0</x:v>
      </x:c>
      <x:c r="Q1400" s="70" t="str">
        <x:f aca="0">IF(ABS(O1400-P1400)&lt;0.000001,"PASS","FAIL")</x:f>
        <x:v>PASS</x:v>
      </x:c>
      <x:c r="R1400" s="70" t="s">
        <x:v>33</x:v>
      </x:c>
      <x:c r="S1400" s="70"/>
    </x:row>
    <x:row r="1401" ht="15" hidden="0">
      <x:c r="A1401" s="70" t="s">
        <x:v>2385</x:v>
      </x:c>
      <x:c r="B1401" s="70" t="s">
        <x:v>41</x:v>
      </x:c>
      <x:c r="C1401" s="70" t="s">
        <x:v>102</x:v>
      </x:c>
      <x:c r="D1401" s="70" t="s">
        <x:v>178</x:v>
      </x:c>
      <x:c r="E1401" s="70" t="s">
        <x:v>763</x:v>
      </x:c>
      <x:c r="F1401" s="70" t="s">
        <x:v>2384</x:v>
      </x:c>
      <x:c r="G1401" s="70" t="s">
        <x:v>1304</x:v>
      </x:c>
      <x:c r="H1401" s="70" t="s">
        <x:v>842</x:v>
      </x:c>
      <x:c r="I1401" s="70" t="s">
        <x:v>833</x:v>
      </x:c>
      <x:c r="J1401" s="70" t="n">
        <x:v>98</x:v>
      </x:c>
      <x:c r="K1401" s="70" t="s">
        <x:v>2197</x:v>
      </x:c>
      <x:c r="L1401" s="70"/>
      <x:c r="M1401" s="70" t="s">
        <x:v>39</x:v>
      </x:c>
      <x:c r="N1401" s="71" t="n">
        <x:v>6837</x:v>
      </x:c>
      <x:c r="O1401" s="72" t="n">
        <x:f aca="0">N1401/1000</x:f>
        <x:v>6.837</x:v>
      </x:c>
      <x:c r="P1401" s="73" t="n">
        <x:f aca="0">MLCF!E56</x:f>
        <x:v>6.837</x:v>
      </x:c>
      <x:c r="Q1401" s="70" t="str">
        <x:f aca="0">IF(ABS(O1401-P1401)&lt;0.000001,"PASS","FAIL")</x:f>
        <x:v>PASS</x:v>
      </x:c>
      <x:c r="R1401" s="70" t="s">
        <x:v>33</x:v>
      </x:c>
      <x:c r="S1401" s="70"/>
    </x:row>
    <x:row r="1402" ht="15" hidden="0">
      <x:c r="A1402" s="70" t="s">
        <x:v>2386</x:v>
      </x:c>
      <x:c r="B1402" s="70" t="s">
        <x:v>41</x:v>
      </x:c>
      <x:c r="C1402" s="70" t="s">
        <x:v>103</x:v>
      </x:c>
      <x:c r="D1402" s="70" t="s">
        <x:v>178</x:v>
      </x:c>
      <x:c r="E1402" s="70" t="s">
        <x:v>763</x:v>
      </x:c>
      <x:c r="F1402" s="70" t="s">
        <x:v>2387</x:v>
      </x:c>
      <x:c r="G1402" s="70" t="s">
        <x:v>1307</x:v>
      </x:c>
      <x:c r="H1402" s="70" t="s">
        <x:v>845</x:v>
      </x:c>
      <x:c r="I1402" s="70" t="s">
        <x:v>833</x:v>
      </x:c>
      <x:c r="J1402" s="70" t="n">
        <x:v>189</x:v>
      </x:c>
      <x:c r="K1402" s="70" t="s">
        <x:v>1765</x:v>
      </x:c>
      <x:c r="L1402" s="70" t="s">
        <x:v>1040</x:v>
      </x:c>
      <x:c r="M1402" s="70" t="s">
        <x:v>39</x:v>
      </x:c>
      <x:c r="N1402" s="71" t="n">
        <x:v>10257</x:v>
      </x:c>
      <x:c r="O1402" s="72" t="n">
        <x:f aca="0">N1402/1000</x:f>
        <x:v>10.257</x:v>
      </x:c>
      <x:c r="P1402" s="73" t="n">
        <x:f aca="0">MLCF!F56</x:f>
        <x:v>10.257</x:v>
      </x:c>
      <x:c r="Q1402" s="70" t="str">
        <x:f aca="0">IF(ABS(O1402-P1402)&lt;0.000001,"PASS","FAIL")</x:f>
        <x:v>PASS</x:v>
      </x:c>
      <x:c r="R1402" s="70" t="s">
        <x:v>33</x:v>
      </x:c>
      <x:c r="S1402" s="70"/>
    </x:row>
    <x:row r="1403" ht="15" hidden="0">
      <x:c r="A1403" s="70" t="s">
        <x:v>2388</x:v>
      </x:c>
      <x:c r="B1403" s="70" t="s">
        <x:v>41</x:v>
      </x:c>
      <x:c r="C1403" s="70" t="s">
        <x:v>104</x:v>
      </x:c>
      <x:c r="D1403" s="70" t="s">
        <x:v>178</x:v>
      </x:c>
      <x:c r="E1403" s="70" t="s">
        <x:v>763</x:v>
      </x:c>
      <x:c r="F1403" s="70" t="s">
        <x:v>2387</x:v>
      </x:c>
      <x:c r="G1403" s="70" t="s">
        <x:v>1310</x:v>
      </x:c>
      <x:c r="H1403" s="70" t="s">
        <x:v>849</x:v>
      </x:c>
      <x:c r="I1403" s="70" t="s">
        <x:v>833</x:v>
      </x:c>
      <x:c r="J1403" s="70" t="n">
        <x:v>201</x:v>
      </x:c>
      <x:c r="K1403" s="70" t="s">
        <x:v>2090</x:v>
      </x:c>
      <x:c r="L1403" s="70" t="s">
        <x:v>1040</x:v>
      </x:c>
      <x:c r="M1403" s="70" t="s">
        <x:v>39</x:v>
      </x:c>
      <x:c r="N1403" s="71" t="n">
        <x:v>13909</x:v>
      </x:c>
      <x:c r="O1403" s="72" t="n">
        <x:f aca="0">N1403/1000</x:f>
        <x:v>13.909</x:v>
      </x:c>
      <x:c r="P1403" s="73" t="n">
        <x:f aca="0">MLCF!G56</x:f>
        <x:v>13.909</x:v>
      </x:c>
      <x:c r="Q1403" s="70" t="str">
        <x:f aca="0">IF(ABS(O1403-P1403)&lt;0.000001,"PASS","FAIL")</x:f>
        <x:v>PASS</x:v>
      </x:c>
      <x:c r="R1403" s="70" t="s">
        <x:v>33</x:v>
      </x:c>
      <x:c r="S1403" s="70"/>
    </x:row>
    <x:row r="1404" ht="15" hidden="0">
      <x:c r="A1404" s="70" t="s">
        <x:v>2389</x:v>
      </x:c>
      <x:c r="B1404" s="70" t="s">
        <x:v>41</x:v>
      </x:c>
      <x:c r="C1404" s="70" t="s">
        <x:v>105</x:v>
      </x:c>
      <x:c r="D1404" s="70" t="s">
        <x:v>178</x:v>
      </x:c>
      <x:c r="E1404" s="70" t="s">
        <x:v>763</x:v>
      </x:c>
      <x:c r="F1404" s="70" t="s">
        <x:v>2387</x:v>
      </x:c>
      <x:c r="G1404" s="70" t="s">
        <x:v>1310</x:v>
      </x:c>
      <x:c r="H1404" s="70" t="s">
        <x:v>849</x:v>
      </x:c>
      <x:c r="I1404" s="70" t="s">
        <x:v>852</x:v>
      </x:c>
      <x:c r="J1404" s="70" t="n">
        <x:v>201</x:v>
      </x:c>
      <x:c r="K1404" s="70" t="s">
        <x:v>2090</x:v>
      </x:c>
      <x:c r="L1404" s="70" t="s">
        <x:v>1040</x:v>
      </x:c>
      <x:c r="M1404" s="70" t="s">
        <x:v>39</x:v>
      </x:c>
      <x:c r="N1404" s="71" t="n">
        <x:v>14323</x:v>
      </x:c>
      <x:c r="O1404" s="72" t="n">
        <x:f aca="0">N1404/1000</x:f>
        <x:v>14.323</x:v>
      </x:c>
      <x:c r="P1404" s="73" t="n">
        <x:f aca="0">MLCF!H56</x:f>
        <x:v>14.323</x:v>
      </x:c>
      <x:c r="Q1404" s="70" t="str">
        <x:f aca="0">IF(ABS(O1404-P1404)&lt;0.000001,"PASS","FAIL")</x:f>
        <x:v>PASS</x:v>
      </x:c>
      <x:c r="R1404" s="70" t="s">
        <x:v>33</x:v>
      </x:c>
      <x:c r="S1404" s="70"/>
    </x:row>
    <x:row r="1405" ht="15" hidden="0">
      <x:c r="A1405" s="70" t="s">
        <x:v>2390</x:v>
      </x:c>
      <x:c r="B1405" s="70" t="s">
        <x:v>41</x:v>
      </x:c>
      <x:c r="C1405" s="70" t="s">
        <x:v>717</x:v>
      </x:c>
      <x:c r="D1405" s="70" t="s">
        <x:v>180</x:v>
      </x:c>
      <x:c r="E1405" s="70" t="s">
        <x:v>763</x:v>
      </x:c>
      <x:c r="F1405" s="70" t="s">
        <x:v>2391</x:v>
      </x:c>
      <x:c r="G1405" s="70" t="s">
        <x:v>1298</x:v>
      </x:c>
      <x:c r="H1405" s="70" t="s">
        <x:v>832</x:v>
      </x:c>
      <x:c r="I1405" s="70" t="s">
        <x:v>833</x:v>
      </x:c>
      <x:c r="J1405" s="70" t="n">
        <x:v>162</x:v>
      </x:c>
      <x:c r="K1405" s="70" t="s">
        <x:v>2213</x:v>
      </x:c>
      <x:c r="L1405" s="70" t="s">
        <x:v>1002</x:v>
      </x:c>
      <x:c r="M1405" s="70" t="s">
        <x:v>39</x:v>
      </x:c>
      <x:c r="N1405" s="71" t="n">
        <x:v>0</x:v>
      </x:c>
      <x:c r="O1405" s="72" t="n">
        <x:f aca="0">N1405/1000</x:f>
        <x:v>0</x:v>
      </x:c>
      <x:c r="P1405" s="73" t="n">
        <x:f aca="0">MLCF!C57</x:f>
        <x:v>0</x:v>
      </x:c>
      <x:c r="Q1405" s="70" t="str">
        <x:f aca="0">IF(ABS(O1405-P1405)&lt;0.000001,"PASS","FAIL")</x:f>
        <x:v>PASS</x:v>
      </x:c>
      <x:c r="R1405" s="70" t="s">
        <x:v>33</x:v>
      </x:c>
      <x:c r="S1405" s="70"/>
    </x:row>
    <x:row r="1406" ht="15" hidden="0">
      <x:c r="A1406" s="70" t="s">
        <x:v>2392</x:v>
      </x:c>
      <x:c r="B1406" s="70" t="s">
        <x:v>41</x:v>
      </x:c>
      <x:c r="C1406" s="70" t="s">
        <x:v>101</x:v>
      </x:c>
      <x:c r="D1406" s="70" t="s">
        <x:v>180</x:v>
      </x:c>
      <x:c r="E1406" s="70" t="s">
        <x:v>763</x:v>
      </x:c>
      <x:c r="F1406" s="70" t="s">
        <x:v>2391</x:v>
      </x:c>
      <x:c r="G1406" s="70" t="s">
        <x:v>1301</x:v>
      </x:c>
      <x:c r="H1406" s="70" t="s">
        <x:v>838</x:v>
      </x:c>
      <x:c r="I1406" s="70" t="s">
        <x:v>833</x:v>
      </x:c>
      <x:c r="J1406" s="70" t="n">
        <x:v>183</x:v>
      </x:c>
      <x:c r="K1406" s="70" t="s">
        <x:v>1911</x:v>
      </x:c>
      <x:c r="L1406" s="70" t="s">
        <x:v>1002</x:v>
      </x:c>
      <x:c r="M1406" s="70" t="s">
        <x:v>39</x:v>
      </x:c>
      <x:c r="N1406" s="71" t="n">
        <x:v>49997</x:v>
      </x:c>
      <x:c r="O1406" s="72" t="n">
        <x:f aca="0">N1406/1000</x:f>
        <x:v>49.997</x:v>
      </x:c>
      <x:c r="P1406" s="73" t="n">
        <x:f aca="0">MLCF!D57</x:f>
        <x:v>49.997</x:v>
      </x:c>
      <x:c r="Q1406" s="70" t="str">
        <x:f aca="0">IF(ABS(O1406-P1406)&lt;0.000001,"PASS","FAIL")</x:f>
        <x:v>PASS</x:v>
      </x:c>
      <x:c r="R1406" s="70" t="s">
        <x:v>33</x:v>
      </x:c>
      <x:c r="S1406" s="70"/>
    </x:row>
    <x:row r="1407" ht="15" hidden="0">
      <x:c r="A1407" s="70" t="s">
        <x:v>2393</x:v>
      </x:c>
      <x:c r="B1407" s="70" t="s">
        <x:v>41</x:v>
      </x:c>
      <x:c r="C1407" s="70" t="s">
        <x:v>102</x:v>
      </x:c>
      <x:c r="D1407" s="70" t="s">
        <x:v>180</x:v>
      </x:c>
      <x:c r="E1407" s="70" t="s">
        <x:v>763</x:v>
      </x:c>
      <x:c r="F1407" s="70" t="s">
        <x:v>2391</x:v>
      </x:c>
      <x:c r="G1407" s="70" t="s">
        <x:v>1304</x:v>
      </x:c>
      <x:c r="H1407" s="70" t="s">
        <x:v>842</x:v>
      </x:c>
      <x:c r="I1407" s="70" t="s">
        <x:v>833</x:v>
      </x:c>
      <x:c r="J1407" s="70" t="n">
        <x:v>98</x:v>
      </x:c>
      <x:c r="K1407" s="70" t="s">
        <x:v>2197</x:v>
      </x:c>
      <x:c r="L1407" s="70"/>
      <x:c r="M1407" s="70" t="s">
        <x:v>39</x:v>
      </x:c>
      <x:c r="N1407" s="71" t="n">
        <x:v>184576</x:v>
      </x:c>
      <x:c r="O1407" s="72" t="n">
        <x:f aca="0">N1407/1000</x:f>
        <x:v>184.576</x:v>
      </x:c>
      <x:c r="P1407" s="73" t="n">
        <x:f aca="0">MLCF!E57</x:f>
        <x:v>184.576</x:v>
      </x:c>
      <x:c r="Q1407" s="70" t="str">
        <x:f aca="0">IF(ABS(O1407-P1407)&lt;0.000001,"PASS","FAIL")</x:f>
        <x:v>PASS</x:v>
      </x:c>
      <x:c r="R1407" s="70" t="s">
        <x:v>33</x:v>
      </x:c>
      <x:c r="S1407" s="70"/>
    </x:row>
    <x:row r="1408" ht="15" hidden="0">
      <x:c r="A1408" s="70" t="s">
        <x:v>2394</x:v>
      </x:c>
      <x:c r="B1408" s="70" t="s">
        <x:v>41</x:v>
      </x:c>
      <x:c r="C1408" s="70" t="s">
        <x:v>103</x:v>
      </x:c>
      <x:c r="D1408" s="70" t="s">
        <x:v>180</x:v>
      </x:c>
      <x:c r="E1408" s="70" t="s">
        <x:v>763</x:v>
      </x:c>
      <x:c r="F1408" s="70" t="s">
        <x:v>2395</x:v>
      </x:c>
      <x:c r="G1408" s="70" t="s">
        <x:v>1307</x:v>
      </x:c>
      <x:c r="H1408" s="70" t="s">
        <x:v>845</x:v>
      </x:c>
      <x:c r="I1408" s="70" t="s">
        <x:v>833</x:v>
      </x:c>
      <x:c r="J1408" s="70" t="n">
        <x:v>189</x:v>
      </x:c>
      <x:c r="K1408" s="70" t="s">
        <x:v>1765</x:v>
      </x:c>
      <x:c r="L1408" s="70" t="s">
        <x:v>1002</x:v>
      </x:c>
      <x:c r="M1408" s="70" t="s">
        <x:v>39</x:v>
      </x:c>
      <x:c r="N1408" s="71" t="n">
        <x:v>179766</x:v>
      </x:c>
      <x:c r="O1408" s="72" t="n">
        <x:f aca="0">N1408/1000</x:f>
        <x:v>179.766</x:v>
      </x:c>
      <x:c r="P1408" s="73" t="n">
        <x:f aca="0">MLCF!F57</x:f>
        <x:v>179.766</x:v>
      </x:c>
      <x:c r="Q1408" s="70" t="str">
        <x:f aca="0">IF(ABS(O1408-P1408)&lt;0.000001,"PASS","FAIL")</x:f>
        <x:v>PASS</x:v>
      </x:c>
      <x:c r="R1408" s="70" t="s">
        <x:v>33</x:v>
      </x:c>
      <x:c r="S1408" s="70"/>
    </x:row>
    <x:row r="1409" ht="15" hidden="0">
      <x:c r="A1409" s="70" t="s">
        <x:v>2396</x:v>
      </x:c>
      <x:c r="B1409" s="70" t="s">
        <x:v>41</x:v>
      </x:c>
      <x:c r="C1409" s="70" t="s">
        <x:v>104</x:v>
      </x:c>
      <x:c r="D1409" s="70" t="s">
        <x:v>180</x:v>
      </x:c>
      <x:c r="E1409" s="70" t="s">
        <x:v>763</x:v>
      </x:c>
      <x:c r="F1409" s="70" t="s">
        <x:v>2395</x:v>
      </x:c>
      <x:c r="G1409" s="70" t="s">
        <x:v>1310</x:v>
      </x:c>
      <x:c r="H1409" s="70" t="s">
        <x:v>849</x:v>
      </x:c>
      <x:c r="I1409" s="70" t="s">
        <x:v>833</x:v>
      </x:c>
      <x:c r="J1409" s="70" t="n">
        <x:v>201</x:v>
      </x:c>
      <x:c r="K1409" s="70" t="s">
        <x:v>2090</x:v>
      </x:c>
      <x:c r="L1409" s="70" t="s">
        <x:v>1002</x:v>
      </x:c>
      <x:c r="M1409" s="70" t="s">
        <x:v>39</x:v>
      </x:c>
      <x:c r="N1409" s="71" t="n">
        <x:v>155439</x:v>
      </x:c>
      <x:c r="O1409" s="72" t="n">
        <x:f aca="0">N1409/1000</x:f>
        <x:v>155.439</x:v>
      </x:c>
      <x:c r="P1409" s="73" t="n">
        <x:f aca="0">MLCF!G57</x:f>
        <x:v>155.439</x:v>
      </x:c>
      <x:c r="Q1409" s="70" t="str">
        <x:f aca="0">IF(ABS(O1409-P1409)&lt;0.000001,"PASS","FAIL")</x:f>
        <x:v>PASS</x:v>
      </x:c>
      <x:c r="R1409" s="70" t="s">
        <x:v>33</x:v>
      </x:c>
      <x:c r="S1409" s="70"/>
    </x:row>
    <x:row r="1410" ht="15" hidden="0">
      <x:c r="A1410" s="70" t="s">
        <x:v>2397</x:v>
      </x:c>
      <x:c r="B1410" s="70" t="s">
        <x:v>41</x:v>
      </x:c>
      <x:c r="C1410" s="70" t="s">
        <x:v>105</x:v>
      </x:c>
      <x:c r="D1410" s="70" t="s">
        <x:v>180</x:v>
      </x:c>
      <x:c r="E1410" s="70" t="s">
        <x:v>763</x:v>
      </x:c>
      <x:c r="F1410" s="70" t="s">
        <x:v>2395</x:v>
      </x:c>
      <x:c r="G1410" s="70" t="s">
        <x:v>1310</x:v>
      </x:c>
      <x:c r="H1410" s="70" t="s">
        <x:v>849</x:v>
      </x:c>
      <x:c r="I1410" s="70" t="s">
        <x:v>852</x:v>
      </x:c>
      <x:c r="J1410" s="70" t="n">
        <x:v>201</x:v>
      </x:c>
      <x:c r="K1410" s="70" t="s">
        <x:v>2090</x:v>
      </x:c>
      <x:c r="L1410" s="70" t="s">
        <x:v>1002</x:v>
      </x:c>
      <x:c r="M1410" s="70" t="s">
        <x:v>39</x:v>
      </x:c>
      <x:c r="N1410" s="71" t="n">
        <x:v>128183</x:v>
      </x:c>
      <x:c r="O1410" s="72" t="n">
        <x:f aca="0">N1410/1000</x:f>
        <x:v>128.183</x:v>
      </x:c>
      <x:c r="P1410" s="73" t="n">
        <x:f aca="0">MLCF!H57</x:f>
        <x:v>128.183</x:v>
      </x:c>
      <x:c r="Q1410" s="70" t="str">
        <x:f aca="0">IF(ABS(O1410-P1410)&lt;0.000001,"PASS","FAIL")</x:f>
        <x:v>PASS</x:v>
      </x:c>
      <x:c r="R1410" s="70" t="s">
        <x:v>33</x:v>
      </x:c>
      <x:c r="S1410" s="70"/>
    </x:row>
    <x:row r="1411" ht="15" hidden="0">
      <x:c r="A1411" s="70" t="s">
        <x:v>2398</x:v>
      </x:c>
      <x:c r="B1411" s="70" t="s">
        <x:v>41</x:v>
      </x:c>
      <x:c r="C1411" s="70" t="s">
        <x:v>717</x:v>
      </x:c>
      <x:c r="D1411" s="70" t="s">
        <x:v>182</x:v>
      </x:c>
      <x:c r="E1411" s="70" t="s">
        <x:v>763</x:v>
      </x:c>
      <x:c r="F1411" s="70" t="s">
        <x:v>1509</x:v>
      </x:c>
      <x:c r="G1411" s="70" t="s">
        <x:v>1298</x:v>
      </x:c>
      <x:c r="H1411" s="70" t="s">
        <x:v>832</x:v>
      </x:c>
      <x:c r="I1411" s="70" t="s">
        <x:v>833</x:v>
      </x:c>
      <x:c r="J1411" s="70" t="n">
        <x:v>162</x:v>
      </x:c>
      <x:c r="K1411" s="70" t="s">
        <x:v>2213</x:v>
      </x:c>
      <x:c r="L1411" s="70"/>
      <x:c r="M1411" s="70" t="s">
        <x:v>39</x:v>
      </x:c>
      <x:c r="N1411" s="71" t="n">
        <x:v>48053</x:v>
      </x:c>
      <x:c r="O1411" s="72" t="n">
        <x:f aca="0">N1411/1000</x:f>
        <x:v>48.053</x:v>
      </x:c>
      <x:c r="P1411" s="73" t="n">
        <x:f aca="0">MLCF!C58</x:f>
        <x:v>48.053</x:v>
      </x:c>
      <x:c r="Q1411" s="70" t="str">
        <x:f aca="0">IF(ABS(O1411-P1411)&lt;0.000001,"PASS","FAIL")</x:f>
        <x:v>PASS</x:v>
      </x:c>
      <x:c r="R1411" s="70" t="s">
        <x:v>33</x:v>
      </x:c>
      <x:c r="S1411" s="70"/>
    </x:row>
    <x:row r="1412" ht="15" hidden="0">
      <x:c r="A1412" s="70" t="s">
        <x:v>2399</x:v>
      </x:c>
      <x:c r="B1412" s="70" t="s">
        <x:v>41</x:v>
      </x:c>
      <x:c r="C1412" s="70" t="s">
        <x:v>101</x:v>
      </x:c>
      <x:c r="D1412" s="70" t="s">
        <x:v>182</x:v>
      </x:c>
      <x:c r="E1412" s="70" t="s">
        <x:v>763</x:v>
      </x:c>
      <x:c r="F1412" s="70" t="s">
        <x:v>1509</x:v>
      </x:c>
      <x:c r="G1412" s="70" t="s">
        <x:v>1301</x:v>
      </x:c>
      <x:c r="H1412" s="70" t="s">
        <x:v>838</x:v>
      </x:c>
      <x:c r="I1412" s="70" t="s">
        <x:v>833</x:v>
      </x:c>
      <x:c r="J1412" s="70" t="n">
        <x:v>183</x:v>
      </x:c>
      <x:c r="K1412" s="70" t="s">
        <x:v>1911</x:v>
      </x:c>
      <x:c r="L1412" s="70"/>
      <x:c r="M1412" s="70" t="s">
        <x:v>39</x:v>
      </x:c>
      <x:c r="N1412" s="71" t="n">
        <x:v>28134</x:v>
      </x:c>
      <x:c r="O1412" s="72" t="n">
        <x:f aca="0">N1412/1000</x:f>
        <x:v>28.134</x:v>
      </x:c>
      <x:c r="P1412" s="73" t="n">
        <x:f aca="0">MLCF!D58</x:f>
        <x:v>28.134</x:v>
      </x:c>
      <x:c r="Q1412" s="70" t="str">
        <x:f aca="0">IF(ABS(O1412-P1412)&lt;0.000001,"PASS","FAIL")</x:f>
        <x:v>PASS</x:v>
      </x:c>
      <x:c r="R1412" s="70" t="s">
        <x:v>33</x:v>
      </x:c>
      <x:c r="S1412" s="70"/>
    </x:row>
    <x:row r="1413" ht="15" hidden="0">
      <x:c r="A1413" s="70" t="s">
        <x:v>2400</x:v>
      </x:c>
      <x:c r="B1413" s="70" t="s">
        <x:v>41</x:v>
      </x:c>
      <x:c r="C1413" s="70" t="s">
        <x:v>102</x:v>
      </x:c>
      <x:c r="D1413" s="70" t="s">
        <x:v>182</x:v>
      </x:c>
      <x:c r="E1413" s="70" t="s">
        <x:v>763</x:v>
      </x:c>
      <x:c r="F1413" s="70" t="s">
        <x:v>1509</x:v>
      </x:c>
      <x:c r="G1413" s="70" t="s">
        <x:v>1304</x:v>
      </x:c>
      <x:c r="H1413" s="70" t="s">
        <x:v>842</x:v>
      </x:c>
      <x:c r="I1413" s="70" t="s">
        <x:v>833</x:v>
      </x:c>
      <x:c r="J1413" s="70" t="n">
        <x:v>98</x:v>
      </x:c>
      <x:c r="K1413" s="70" t="s">
        <x:v>2197</x:v>
      </x:c>
      <x:c r="L1413" s="70"/>
      <x:c r="M1413" s="70" t="s">
        <x:v>39</x:v>
      </x:c>
      <x:c r="N1413" s="71" t="n">
        <x:v>27569</x:v>
      </x:c>
      <x:c r="O1413" s="72" t="n">
        <x:f aca="0">N1413/1000</x:f>
        <x:v>27.569</x:v>
      </x:c>
      <x:c r="P1413" s="73" t="n">
        <x:f aca="0">MLCF!E58</x:f>
        <x:v>27.569</x:v>
      </x:c>
      <x:c r="Q1413" s="70" t="str">
        <x:f aca="0">IF(ABS(O1413-P1413)&lt;0.000001,"PASS","FAIL")</x:f>
        <x:v>PASS</x:v>
      </x:c>
      <x:c r="R1413" s="70" t="s">
        <x:v>33</x:v>
      </x:c>
      <x:c r="S1413" s="70"/>
    </x:row>
    <x:row r="1414" ht="15" hidden="0">
      <x:c r="A1414" s="70" t="s">
        <x:v>2401</x:v>
      </x:c>
      <x:c r="B1414" s="70" t="s">
        <x:v>41</x:v>
      </x:c>
      <x:c r="C1414" s="70" t="s">
        <x:v>103</x:v>
      </x:c>
      <x:c r="D1414" s="70" t="s">
        <x:v>182</x:v>
      </x:c>
      <x:c r="E1414" s="70" t="s">
        <x:v>763</x:v>
      </x:c>
      <x:c r="F1414" s="70" t="s">
        <x:v>1509</x:v>
      </x:c>
      <x:c r="G1414" s="70" t="s">
        <x:v>1307</x:v>
      </x:c>
      <x:c r="H1414" s="70" t="s">
        <x:v>845</x:v>
      </x:c>
      <x:c r="I1414" s="70" t="s">
        <x:v>833</x:v>
      </x:c>
      <x:c r="J1414" s="70" t="n">
        <x:v>189</x:v>
      </x:c>
      <x:c r="K1414" s="70" t="s">
        <x:v>1765</x:v>
      </x:c>
      <x:c r="L1414" s="70"/>
      <x:c r="M1414" s="70" t="s">
        <x:v>39</x:v>
      </x:c>
      <x:c r="N1414" s="71" t="n">
        <x:v>27378</x:v>
      </x:c>
      <x:c r="O1414" s="72" t="n">
        <x:f aca="0">N1414/1000</x:f>
        <x:v>27.378</x:v>
      </x:c>
      <x:c r="P1414" s="73" t="n">
        <x:f aca="0">MLCF!F58</x:f>
        <x:v>27.378</x:v>
      </x:c>
      <x:c r="Q1414" s="70" t="str">
        <x:f aca="0">IF(ABS(O1414-P1414)&lt;0.000001,"PASS","FAIL")</x:f>
        <x:v>PASS</x:v>
      </x:c>
      <x:c r="R1414" s="70" t="s">
        <x:v>33</x:v>
      </x:c>
      <x:c r="S1414" s="70"/>
    </x:row>
    <x:row r="1415" ht="15" hidden="0">
      <x:c r="A1415" s="70" t="s">
        <x:v>2402</x:v>
      </x:c>
      <x:c r="B1415" s="70" t="s">
        <x:v>41</x:v>
      </x:c>
      <x:c r="C1415" s="70" t="s">
        <x:v>104</x:v>
      </x:c>
      <x:c r="D1415" s="70" t="s">
        <x:v>182</x:v>
      </x:c>
      <x:c r="E1415" s="70" t="s">
        <x:v>763</x:v>
      </x:c>
      <x:c r="F1415" s="70" t="s">
        <x:v>1509</x:v>
      </x:c>
      <x:c r="G1415" s="70" t="s">
        <x:v>1310</x:v>
      </x:c>
      <x:c r="H1415" s="70" t="s">
        <x:v>849</x:v>
      </x:c>
      <x:c r="I1415" s="70" t="s">
        <x:v>833</x:v>
      </x:c>
      <x:c r="J1415" s="70" t="n">
        <x:v>201</x:v>
      </x:c>
      <x:c r="K1415" s="70" t="s">
        <x:v>2090</x:v>
      </x:c>
      <x:c r="L1415" s="70"/>
      <x:c r="M1415" s="70" t="s">
        <x:v>39</x:v>
      </x:c>
      <x:c r="N1415" s="71" t="n">
        <x:v>27256</x:v>
      </x:c>
      <x:c r="O1415" s="72" t="n">
        <x:f aca="0">N1415/1000</x:f>
        <x:v>27.256</x:v>
      </x:c>
      <x:c r="P1415" s="73" t="n">
        <x:f aca="0">MLCF!G58</x:f>
        <x:v>27.256</x:v>
      </x:c>
      <x:c r="Q1415" s="70" t="str">
        <x:f aca="0">IF(ABS(O1415-P1415)&lt;0.000001,"PASS","FAIL")</x:f>
        <x:v>PASS</x:v>
      </x:c>
      <x:c r="R1415" s="70" t="s">
        <x:v>33</x:v>
      </x:c>
      <x:c r="S1415" s="70"/>
    </x:row>
    <x:row r="1416" ht="15" hidden="0">
      <x:c r="A1416" s="70" t="s">
        <x:v>2403</x:v>
      </x:c>
      <x:c r="B1416" s="70" t="s">
        <x:v>41</x:v>
      </x:c>
      <x:c r="C1416" s="70" t="s">
        <x:v>105</x:v>
      </x:c>
      <x:c r="D1416" s="70" t="s">
        <x:v>182</x:v>
      </x:c>
      <x:c r="E1416" s="70" t="s">
        <x:v>763</x:v>
      </x:c>
      <x:c r="F1416" s="70" t="s">
        <x:v>1509</x:v>
      </x:c>
      <x:c r="G1416" s="70" t="s">
        <x:v>1310</x:v>
      </x:c>
      <x:c r="H1416" s="70" t="s">
        <x:v>849</x:v>
      </x:c>
      <x:c r="I1416" s="70" t="s">
        <x:v>852</x:v>
      </x:c>
      <x:c r="J1416" s="70" t="n">
        <x:v>201</x:v>
      </x:c>
      <x:c r="K1416" s="70" t="s">
        <x:v>2090</x:v>
      </x:c>
      <x:c r="L1416" s="70"/>
      <x:c r="M1416" s="70" t="s">
        <x:v>39</x:v>
      </x:c>
      <x:c r="N1416" s="71" t="n">
        <x:v>26877</x:v>
      </x:c>
      <x:c r="O1416" s="72" t="n">
        <x:f aca="0">N1416/1000</x:f>
        <x:v>26.877</x:v>
      </x:c>
      <x:c r="P1416" s="73" t="n">
        <x:f aca="0">MLCF!H58</x:f>
        <x:v>26.877</x:v>
      </x:c>
      <x:c r="Q1416" s="70" t="str">
        <x:f aca="0">IF(ABS(O1416-P1416)&lt;0.000001,"PASS","FAIL")</x:f>
        <x:v>PASS</x:v>
      </x:c>
      <x:c r="R1416" s="70" t="s">
        <x:v>33</x:v>
      </x:c>
      <x:c r="S1416" s="70"/>
    </x:row>
    <x:row r="1417" ht="15" hidden="0">
      <x:c r="A1417" s="70" t="s">
        <x:v>2404</x:v>
      </x:c>
      <x:c r="B1417" s="70" t="s">
        <x:v>41</x:v>
      </x:c>
      <x:c r="C1417" s="70" t="s">
        <x:v>717</x:v>
      </x:c>
      <x:c r="D1417" s="70" t="s">
        <x:v>184</x:v>
      </x:c>
      <x:c r="E1417" s="70" t="s">
        <x:v>763</x:v>
      </x:c>
      <x:c r="F1417" s="70"/>
      <x:c r="G1417" s="70" t="s">
        <x:v>1298</x:v>
      </x:c>
      <x:c r="H1417" s="70" t="s">
        <x:v>832</x:v>
      </x:c>
      <x:c r="I1417" s="70" t="s">
        <x:v>833</x:v>
      </x:c>
      <x:c r="J1417" s="70" t="n">
        <x:v>162</x:v>
      </x:c>
      <x:c r="K1417" s="70" t="s">
        <x:v>2213</x:v>
      </x:c>
      <x:c r="L1417" s="70"/>
      <x:c r="M1417" s="70" t="s">
        <x:v>39</x:v>
      </x:c>
      <x:c r="N1417" s="71" t="n">
        <x:v>0</x:v>
      </x:c>
      <x:c r="O1417" s="72" t="n">
        <x:f aca="0">N1417/1000</x:f>
        <x:v>0</x:v>
      </x:c>
      <x:c r="P1417" s="73" t="n">
        <x:f aca="0">MLCF!C59</x:f>
        <x:v>0</x:v>
      </x:c>
      <x:c r="Q1417" s="70" t="str">
        <x:f aca="0">IF(ABS(O1417-P1417)&lt;0.000001,"PASS","FAIL")</x:f>
        <x:v>PASS</x:v>
      </x:c>
      <x:c r="R1417" s="70" t="s">
        <x:v>33</x:v>
      </x:c>
      <x:c r="S1417" s="70"/>
    </x:row>
    <x:row r="1418" ht="15" hidden="0">
      <x:c r="A1418" s="70" t="s">
        <x:v>2405</x:v>
      </x:c>
      <x:c r="B1418" s="70" t="s">
        <x:v>41</x:v>
      </x:c>
      <x:c r="C1418" s="70" t="s">
        <x:v>101</x:v>
      </x:c>
      <x:c r="D1418" s="70" t="s">
        <x:v>184</x:v>
      </x:c>
      <x:c r="E1418" s="70" t="s">
        <x:v>763</x:v>
      </x:c>
      <x:c r="F1418" s="70"/>
      <x:c r="G1418" s="70" t="s">
        <x:v>1301</x:v>
      </x:c>
      <x:c r="H1418" s="70" t="s">
        <x:v>838</x:v>
      </x:c>
      <x:c r="I1418" s="70" t="s">
        <x:v>833</x:v>
      </x:c>
      <x:c r="J1418" s="70" t="n">
        <x:v>183</x:v>
      </x:c>
      <x:c r="K1418" s="70" t="s">
        <x:v>1911</x:v>
      </x:c>
      <x:c r="L1418" s="70"/>
      <x:c r="M1418" s="70" t="s">
        <x:v>39</x:v>
      </x:c>
      <x:c r="N1418" s="71" t="n">
        <x:v>0</x:v>
      </x:c>
      <x:c r="O1418" s="72" t="n">
        <x:f aca="0">N1418/1000</x:f>
        <x:v>0</x:v>
      </x:c>
      <x:c r="P1418" s="73" t="n">
        <x:f aca="0">MLCF!D59</x:f>
        <x:v>0</x:v>
      </x:c>
      <x:c r="Q1418" s="70" t="str">
        <x:f aca="0">IF(ABS(O1418-P1418)&lt;0.000001,"PASS","FAIL")</x:f>
        <x:v>PASS</x:v>
      </x:c>
      <x:c r="R1418" s="70" t="s">
        <x:v>33</x:v>
      </x:c>
      <x:c r="S1418" s="70"/>
    </x:row>
    <x:row r="1419" ht="15" hidden="0">
      <x:c r="A1419" s="70" t="s">
        <x:v>2406</x:v>
      </x:c>
      <x:c r="B1419" s="70" t="s">
        <x:v>41</x:v>
      </x:c>
      <x:c r="C1419" s="70" t="s">
        <x:v>102</x:v>
      </x:c>
      <x:c r="D1419" s="70" t="s">
        <x:v>184</x:v>
      </x:c>
      <x:c r="E1419" s="70" t="s">
        <x:v>763</x:v>
      </x:c>
      <x:c r="F1419" s="70"/>
      <x:c r="G1419" s="70" t="s">
        <x:v>1304</x:v>
      </x:c>
      <x:c r="H1419" s="70" t="s">
        <x:v>842</x:v>
      </x:c>
      <x:c r="I1419" s="70" t="s">
        <x:v>833</x:v>
      </x:c>
      <x:c r="J1419" s="70" t="n">
        <x:v>98</x:v>
      </x:c>
      <x:c r="K1419" s="70" t="s">
        <x:v>2197</x:v>
      </x:c>
      <x:c r="L1419" s="70"/>
      <x:c r="M1419" s="70" t="s">
        <x:v>39</x:v>
      </x:c>
      <x:c r="N1419" s="71" t="n">
        <x:v>0</x:v>
      </x:c>
      <x:c r="O1419" s="72" t="n">
        <x:f aca="0">N1419/1000</x:f>
        <x:v>0</x:v>
      </x:c>
      <x:c r="P1419" s="73" t="n">
        <x:f aca="0">MLCF!E59</x:f>
        <x:v>0</x:v>
      </x:c>
      <x:c r="Q1419" s="70" t="str">
        <x:f aca="0">IF(ABS(O1419-P1419)&lt;0.000001,"PASS","FAIL")</x:f>
        <x:v>PASS</x:v>
      </x:c>
      <x:c r="R1419" s="70" t="s">
        <x:v>33</x:v>
      </x:c>
      <x:c r="S1419" s="70"/>
    </x:row>
    <x:row r="1420" ht="15" hidden="0">
      <x:c r="A1420" s="70" t="s">
        <x:v>2407</x:v>
      </x:c>
      <x:c r="B1420" s="70" t="s">
        <x:v>41</x:v>
      </x:c>
      <x:c r="C1420" s="70" t="s">
        <x:v>103</x:v>
      </x:c>
      <x:c r="D1420" s="70" t="s">
        <x:v>184</x:v>
      </x:c>
      <x:c r="E1420" s="70" t="s">
        <x:v>763</x:v>
      </x:c>
      <x:c r="F1420" s="70"/>
      <x:c r="G1420" s="70" t="s">
        <x:v>1307</x:v>
      </x:c>
      <x:c r="H1420" s="70" t="s">
        <x:v>845</x:v>
      </x:c>
      <x:c r="I1420" s="70" t="s">
        <x:v>833</x:v>
      </x:c>
      <x:c r="J1420" s="70" t="n">
        <x:v>189</x:v>
      </x:c>
      <x:c r="K1420" s="70" t="s">
        <x:v>1765</x:v>
      </x:c>
      <x:c r="L1420" s="70"/>
      <x:c r="M1420" s="70" t="s">
        <x:v>39</x:v>
      </x:c>
      <x:c r="N1420" s="71" t="n">
        <x:v>0</x:v>
      </x:c>
      <x:c r="O1420" s="72" t="n">
        <x:f aca="0">N1420/1000</x:f>
        <x:v>0</x:v>
      </x:c>
      <x:c r="P1420" s="73" t="n">
        <x:f aca="0">MLCF!F59</x:f>
        <x:v>0</x:v>
      </x:c>
      <x:c r="Q1420" s="70" t="str">
        <x:f aca="0">IF(ABS(O1420-P1420)&lt;0.000001,"PASS","FAIL")</x:f>
        <x:v>PASS</x:v>
      </x:c>
      <x:c r="R1420" s="70" t="s">
        <x:v>33</x:v>
      </x:c>
      <x:c r="S1420" s="70"/>
    </x:row>
    <x:row r="1421" ht="15" hidden="0">
      <x:c r="A1421" s="70" t="s">
        <x:v>2408</x:v>
      </x:c>
      <x:c r="B1421" s="70" t="s">
        <x:v>41</x:v>
      </x:c>
      <x:c r="C1421" s="70" t="s">
        <x:v>104</x:v>
      </x:c>
      <x:c r="D1421" s="70" t="s">
        <x:v>184</x:v>
      </x:c>
      <x:c r="E1421" s="70" t="s">
        <x:v>763</x:v>
      </x:c>
      <x:c r="F1421" s="70" t="s">
        <x:v>2409</x:v>
      </x:c>
      <x:c r="G1421" s="70" t="s">
        <x:v>1310</x:v>
      </x:c>
      <x:c r="H1421" s="70" t="s">
        <x:v>849</x:v>
      </x:c>
      <x:c r="I1421" s="70" t="s">
        <x:v>833</x:v>
      </x:c>
      <x:c r="J1421" s="70" t="n">
        <x:v>201</x:v>
      </x:c>
      <x:c r="K1421" s="70" t="s">
        <x:v>2090</x:v>
      </x:c>
      <x:c r="L1421" s="70" t="s">
        <x:v>2410</x:v>
      </x:c>
      <x:c r="M1421" s="70" t="s">
        <x:v>39</x:v>
      </x:c>
      <x:c r="N1421" s="71" t="n">
        <x:v>0</x:v>
      </x:c>
      <x:c r="O1421" s="72" t="n">
        <x:f aca="0">N1421/1000</x:f>
        <x:v>0</x:v>
      </x:c>
      <x:c r="P1421" s="73" t="n">
        <x:f aca="0">MLCF!G59</x:f>
        <x:v>0</x:v>
      </x:c>
      <x:c r="Q1421" s="70" t="str">
        <x:f aca="0">IF(ABS(O1421-P1421)&lt;0.000001,"PASS","FAIL")</x:f>
        <x:v>PASS</x:v>
      </x:c>
      <x:c r="R1421" s="70" t="s">
        <x:v>33</x:v>
      </x:c>
      <x:c r="S1421" s="70"/>
    </x:row>
    <x:row r="1422" ht="15" hidden="0">
      <x:c r="A1422" s="70" t="s">
        <x:v>2411</x:v>
      </x:c>
      <x:c r="B1422" s="70" t="s">
        <x:v>41</x:v>
      </x:c>
      <x:c r="C1422" s="70" t="s">
        <x:v>105</x:v>
      </x:c>
      <x:c r="D1422" s="70" t="s">
        <x:v>184</x:v>
      </x:c>
      <x:c r="E1422" s="70" t="s">
        <x:v>763</x:v>
      </x:c>
      <x:c r="F1422" s="70" t="s">
        <x:v>2409</x:v>
      </x:c>
      <x:c r="G1422" s="70" t="s">
        <x:v>1310</x:v>
      </x:c>
      <x:c r="H1422" s="70" t="s">
        <x:v>849</x:v>
      </x:c>
      <x:c r="I1422" s="70" t="s">
        <x:v>852</x:v>
      </x:c>
      <x:c r="J1422" s="70" t="n">
        <x:v>201</x:v>
      </x:c>
      <x:c r="K1422" s="70" t="s">
        <x:v>2090</x:v>
      </x:c>
      <x:c r="L1422" s="70" t="s">
        <x:v>2410</x:v>
      </x:c>
      <x:c r="M1422" s="70" t="s">
        <x:v>39</x:v>
      </x:c>
      <x:c r="N1422" s="71" t="n">
        <x:v>158794</x:v>
      </x:c>
      <x:c r="O1422" s="72" t="n">
        <x:f aca="0">N1422/1000</x:f>
        <x:v>158.794</x:v>
      </x:c>
      <x:c r="P1422" s="73" t="n">
        <x:f aca="0">MLCF!H59</x:f>
        <x:v>158.794</x:v>
      </x:c>
      <x:c r="Q1422" s="70" t="str">
        <x:f aca="0">IF(ABS(O1422-P1422)&lt;0.000001,"PASS","FAIL")</x:f>
        <x:v>PASS</x:v>
      </x:c>
      <x:c r="R1422" s="70" t="s">
        <x:v>33</x:v>
      </x:c>
      <x:c r="S1422" s="70"/>
    </x:row>
    <x:row r="1423" ht="15" hidden="0">
      <x:c r="A1423" s="70" t="s">
        <x:v>2412</x:v>
      </x:c>
      <x:c r="B1423" s="70" t="s">
        <x:v>41</x:v>
      </x:c>
      <x:c r="C1423" s="70" t="s">
        <x:v>717</x:v>
      </x:c>
      <x:c r="D1423" s="70" t="s">
        <x:v>186</x:v>
      </x:c>
      <x:c r="E1423" s="70" t="s">
        <x:v>763</x:v>
      </x:c>
      <x:c r="F1423" s="70"/>
      <x:c r="G1423" s="70" t="s">
        <x:v>1298</x:v>
      </x:c>
      <x:c r="H1423" s="70" t="s">
        <x:v>832</x:v>
      </x:c>
      <x:c r="I1423" s="70" t="s">
        <x:v>833</x:v>
      </x:c>
      <x:c r="J1423" s="70" t="n">
        <x:v>162</x:v>
      </x:c>
      <x:c r="K1423" s="70" t="s">
        <x:v>2213</x:v>
      </x:c>
      <x:c r="L1423" s="70"/>
      <x:c r="M1423" s="70" t="s">
        <x:v>39</x:v>
      </x:c>
      <x:c r="N1423" s="71" t="n">
        <x:v>0</x:v>
      </x:c>
      <x:c r="O1423" s="72" t="n">
        <x:f aca="0">N1423/1000</x:f>
        <x:v>0</x:v>
      </x:c>
      <x:c r="P1423" s="73" t="n">
        <x:f aca="0">MLCF!C60</x:f>
        <x:v>0</x:v>
      </x:c>
      <x:c r="Q1423" s="70" t="str">
        <x:f aca="0">IF(ABS(O1423-P1423)&lt;0.000001,"PASS","FAIL")</x:f>
        <x:v>PASS</x:v>
      </x:c>
      <x:c r="R1423" s="70" t="s">
        <x:v>33</x:v>
      </x:c>
      <x:c r="S1423" s="70"/>
    </x:row>
    <x:row r="1424" ht="15" hidden="0">
      <x:c r="A1424" s="70" t="s">
        <x:v>2413</x:v>
      </x:c>
      <x:c r="B1424" s="70" t="s">
        <x:v>41</x:v>
      </x:c>
      <x:c r="C1424" s="70" t="s">
        <x:v>101</x:v>
      </x:c>
      <x:c r="D1424" s="70" t="s">
        <x:v>186</x:v>
      </x:c>
      <x:c r="E1424" s="70" t="s">
        <x:v>763</x:v>
      </x:c>
      <x:c r="F1424" s="70"/>
      <x:c r="G1424" s="70" t="s">
        <x:v>1301</x:v>
      </x:c>
      <x:c r="H1424" s="70" t="s">
        <x:v>838</x:v>
      </x:c>
      <x:c r="I1424" s="70" t="s">
        <x:v>833</x:v>
      </x:c>
      <x:c r="J1424" s="70" t="n">
        <x:v>183</x:v>
      </x:c>
      <x:c r="K1424" s="70" t="s">
        <x:v>1911</x:v>
      </x:c>
      <x:c r="L1424" s="70"/>
      <x:c r="M1424" s="70" t="s">
        <x:v>39</x:v>
      </x:c>
      <x:c r="N1424" s="71" t="n">
        <x:v>0</x:v>
      </x:c>
      <x:c r="O1424" s="72" t="n">
        <x:f aca="0">N1424/1000</x:f>
        <x:v>0</x:v>
      </x:c>
      <x:c r="P1424" s="73" t="n">
        <x:f aca="0">MLCF!D60</x:f>
        <x:v>0</x:v>
      </x:c>
      <x:c r="Q1424" s="70" t="str">
        <x:f aca="0">IF(ABS(O1424-P1424)&lt;0.000001,"PASS","FAIL")</x:f>
        <x:v>PASS</x:v>
      </x:c>
      <x:c r="R1424" s="70" t="s">
        <x:v>33</x:v>
      </x:c>
      <x:c r="S1424" s="70"/>
    </x:row>
    <x:row r="1425" ht="15" hidden="0">
      <x:c r="A1425" s="70" t="s">
        <x:v>2414</x:v>
      </x:c>
      <x:c r="B1425" s="70" t="s">
        <x:v>41</x:v>
      </x:c>
      <x:c r="C1425" s="70" t="s">
        <x:v>102</x:v>
      </x:c>
      <x:c r="D1425" s="70" t="s">
        <x:v>186</x:v>
      </x:c>
      <x:c r="E1425" s="70" t="s">
        <x:v>763</x:v>
      </x:c>
      <x:c r="F1425" s="70"/>
      <x:c r="G1425" s="70" t="s">
        <x:v>1304</x:v>
      </x:c>
      <x:c r="H1425" s="70" t="s">
        <x:v>842</x:v>
      </x:c>
      <x:c r="I1425" s="70" t="s">
        <x:v>833</x:v>
      </x:c>
      <x:c r="J1425" s="70" t="n">
        <x:v>98</x:v>
      </x:c>
      <x:c r="K1425" s="70" t="s">
        <x:v>2197</x:v>
      </x:c>
      <x:c r="L1425" s="70"/>
      <x:c r="M1425" s="70" t="s">
        <x:v>39</x:v>
      </x:c>
      <x:c r="N1425" s="71" t="n">
        <x:v>0</x:v>
      </x:c>
      <x:c r="O1425" s="72" t="n">
        <x:f aca="0">N1425/1000</x:f>
        <x:v>0</x:v>
      </x:c>
      <x:c r="P1425" s="73" t="n">
        <x:f aca="0">MLCF!E60</x:f>
        <x:v>0</x:v>
      </x:c>
      <x:c r="Q1425" s="70" t="str">
        <x:f aca="0">IF(ABS(O1425-P1425)&lt;0.000001,"PASS","FAIL")</x:f>
        <x:v>PASS</x:v>
      </x:c>
      <x:c r="R1425" s="70" t="s">
        <x:v>33</x:v>
      </x:c>
      <x:c r="S1425" s="70"/>
    </x:row>
    <x:row r="1426" ht="15" hidden="0">
      <x:c r="A1426" s="70" t="s">
        <x:v>2415</x:v>
      </x:c>
      <x:c r="B1426" s="70" t="s">
        <x:v>41</x:v>
      </x:c>
      <x:c r="C1426" s="70" t="s">
        <x:v>103</x:v>
      </x:c>
      <x:c r="D1426" s="70" t="s">
        <x:v>186</x:v>
      </x:c>
      <x:c r="E1426" s="70" t="s">
        <x:v>763</x:v>
      </x:c>
      <x:c r="F1426" s="70"/>
      <x:c r="G1426" s="70" t="s">
        <x:v>1307</x:v>
      </x:c>
      <x:c r="H1426" s="70" t="s">
        <x:v>845</x:v>
      </x:c>
      <x:c r="I1426" s="70" t="s">
        <x:v>833</x:v>
      </x:c>
      <x:c r="J1426" s="70" t="n">
        <x:v>189</x:v>
      </x:c>
      <x:c r="K1426" s="70" t="s">
        <x:v>1765</x:v>
      </x:c>
      <x:c r="L1426" s="70"/>
      <x:c r="M1426" s="70" t="s">
        <x:v>39</x:v>
      </x:c>
      <x:c r="N1426" s="71" t="n">
        <x:v>0</x:v>
      </x:c>
      <x:c r="O1426" s="72" t="n">
        <x:f aca="0">N1426/1000</x:f>
        <x:v>0</x:v>
      </x:c>
      <x:c r="P1426" s="73" t="n">
        <x:f aca="0">MLCF!F60</x:f>
        <x:v>0</x:v>
      </x:c>
      <x:c r="Q1426" s="70" t="str">
        <x:f aca="0">IF(ABS(O1426-P1426)&lt;0.000001,"PASS","FAIL")</x:f>
        <x:v>PASS</x:v>
      </x:c>
      <x:c r="R1426" s="70" t="s">
        <x:v>33</x:v>
      </x:c>
      <x:c r="S1426" s="70"/>
    </x:row>
    <x:row r="1427" ht="15" hidden="0">
      <x:c r="A1427" s="70" t="s">
        <x:v>2416</x:v>
      </x:c>
      <x:c r="B1427" s="70" t="s">
        <x:v>41</x:v>
      </x:c>
      <x:c r="C1427" s="70" t="s">
        <x:v>104</x:v>
      </x:c>
      <x:c r="D1427" s="70" t="s">
        <x:v>186</x:v>
      </x:c>
      <x:c r="E1427" s="70" t="s">
        <x:v>763</x:v>
      </x:c>
      <x:c r="F1427" s="70"/>
      <x:c r="G1427" s="70" t="s">
        <x:v>1310</x:v>
      </x:c>
      <x:c r="H1427" s="70" t="s">
        <x:v>849</x:v>
      </x:c>
      <x:c r="I1427" s="70" t="s">
        <x:v>833</x:v>
      </x:c>
      <x:c r="J1427" s="70" t="n">
        <x:v>201</x:v>
      </x:c>
      <x:c r="K1427" s="70" t="s">
        <x:v>2090</x:v>
      </x:c>
      <x:c r="L1427" s="70"/>
      <x:c r="M1427" s="70" t="s">
        <x:v>39</x:v>
      </x:c>
      <x:c r="N1427" s="71" t="n">
        <x:v>0</x:v>
      </x:c>
      <x:c r="O1427" s="72" t="n">
        <x:f aca="0">N1427/1000</x:f>
        <x:v>0</x:v>
      </x:c>
      <x:c r="P1427" s="73" t="n">
        <x:f aca="0">MLCF!G60</x:f>
        <x:v>0</x:v>
      </x:c>
      <x:c r="Q1427" s="70" t="str">
        <x:f aca="0">IF(ABS(O1427-P1427)&lt;0.000001,"PASS","FAIL")</x:f>
        <x:v>PASS</x:v>
      </x:c>
      <x:c r="R1427" s="70" t="s">
        <x:v>33</x:v>
      </x:c>
      <x:c r="S1427" s="70"/>
    </x:row>
    <x:row r="1428" ht="15" hidden="0">
      <x:c r="A1428" s="70" t="s">
        <x:v>2417</x:v>
      </x:c>
      <x:c r="B1428" s="70" t="s">
        <x:v>41</x:v>
      </x:c>
      <x:c r="C1428" s="70" t="s">
        <x:v>105</x:v>
      </x:c>
      <x:c r="D1428" s="70" t="s">
        <x:v>186</x:v>
      </x:c>
      <x:c r="E1428" s="70" t="s">
        <x:v>763</x:v>
      </x:c>
      <x:c r="F1428" s="70"/>
      <x:c r="G1428" s="70" t="s">
        <x:v>1310</x:v>
      </x:c>
      <x:c r="H1428" s="70" t="s">
        <x:v>849</x:v>
      </x:c>
      <x:c r="I1428" s="70" t="s">
        <x:v>852</x:v>
      </x:c>
      <x:c r="J1428" s="70" t="n">
        <x:v>201</x:v>
      </x:c>
      <x:c r="K1428" s="70" t="s">
        <x:v>2090</x:v>
      </x:c>
      <x:c r="L1428" s="70"/>
      <x:c r="M1428" s="70" t="s">
        <x:v>39</x:v>
      </x:c>
      <x:c r="N1428" s="71" t="n">
        <x:v>0</x:v>
      </x:c>
      <x:c r="O1428" s="72" t="n">
        <x:f aca="0">N1428/1000</x:f>
        <x:v>0</x:v>
      </x:c>
      <x:c r="P1428" s="73" t="n">
        <x:f aca="0">MLCF!H60</x:f>
        <x:v>0</x:v>
      </x:c>
      <x:c r="Q1428" s="70" t="str">
        <x:f aca="0">IF(ABS(O1428-P1428)&lt;0.000001,"PASS","FAIL")</x:f>
        <x:v>PASS</x:v>
      </x:c>
      <x:c r="R1428" s="70" t="s">
        <x:v>33</x:v>
      </x:c>
      <x:c r="S1428" s="70"/>
    </x:row>
    <x:row r="1429" ht="15" hidden="0">
      <x:c r="A1429" s="70" t="s">
        <x:v>2418</x:v>
      </x:c>
      <x:c r="B1429" s="70" t="s">
        <x:v>41</x:v>
      </x:c>
      <x:c r="C1429" s="70" t="s">
        <x:v>717</x:v>
      </x:c>
      <x:c r="D1429" s="70" t="s">
        <x:v>211</x:v>
      </x:c>
      <x:c r="E1429" s="70" t="s">
        <x:v>763</x:v>
      </x:c>
      <x:c r="F1429" s="70"/>
      <x:c r="G1429" s="70" t="s">
        <x:v>1298</x:v>
      </x:c>
      <x:c r="H1429" s="70" t="s">
        <x:v>832</x:v>
      </x:c>
      <x:c r="I1429" s="70" t="s">
        <x:v>833</x:v>
      </x:c>
      <x:c r="J1429" s="70" t="n">
        <x:v>163</x:v>
      </x:c>
      <x:c r="K1429" s="70" t="s">
        <x:v>2194</x:v>
      </x:c>
      <x:c r="L1429" s="70"/>
      <x:c r="M1429" s="70" t="s">
        <x:v>39</x:v>
      </x:c>
      <x:c r="N1429" s="71" t="n">
        <x:v>66009771</x:v>
      </x:c>
      <x:c r="O1429" s="72" t="n">
        <x:f aca="0">N1429/1000</x:f>
        <x:v>66009.771</x:v>
      </x:c>
      <x:c r="P1429" s="73" t="n">
        <x:f aca="0">MLCF!C75</x:f>
        <x:v>66009.771</x:v>
      </x:c>
      <x:c r="Q1429" s="70" t="str">
        <x:f aca="0">IF(ABS(O1429-P1429)&lt;0.000001,"PASS","FAIL")</x:f>
        <x:v>PASS</x:v>
      </x:c>
      <x:c r="R1429" s="70" t="s">
        <x:v>33</x:v>
      </x:c>
      <x:c r="S1429" s="70"/>
    </x:row>
    <x:row r="1430" ht="15" hidden="0">
      <x:c r="A1430" s="70" t="s">
        <x:v>2419</x:v>
      </x:c>
      <x:c r="B1430" s="70" t="s">
        <x:v>41</x:v>
      </x:c>
      <x:c r="C1430" s="70" t="s">
        <x:v>101</x:v>
      </x:c>
      <x:c r="D1430" s="70" t="s">
        <x:v>211</x:v>
      </x:c>
      <x:c r="E1430" s="70" t="s">
        <x:v>763</x:v>
      </x:c>
      <x:c r="F1430" s="70"/>
      <x:c r="G1430" s="70" t="s">
        <x:v>1301</x:v>
      </x:c>
      <x:c r="H1430" s="70" t="s">
        <x:v>838</x:v>
      </x:c>
      <x:c r="I1430" s="70" t="s">
        <x:v>833</x:v>
      </x:c>
      <x:c r="J1430" s="70" t="n">
        <x:v>184</x:v>
      </x:c>
      <x:c r="K1430" s="70" t="s">
        <x:v>1940</x:v>
      </x:c>
      <x:c r="L1430" s="70"/>
      <x:c r="M1430" s="70" t="s">
        <x:v>39</x:v>
      </x:c>
      <x:c r="N1430" s="71" t="n">
        <x:v>66239278</x:v>
      </x:c>
      <x:c r="O1430" s="72" t="n">
        <x:f aca="0">N1430/1000</x:f>
        <x:v>66239.278</x:v>
      </x:c>
      <x:c r="P1430" s="73" t="n">
        <x:f aca="0">MLCF!D75</x:f>
        <x:v>66239.278</x:v>
      </x:c>
      <x:c r="Q1430" s="70" t="str">
        <x:f aca="0">IF(ABS(O1430-P1430)&lt;0.000001,"PASS","FAIL")</x:f>
        <x:v>PASS</x:v>
      </x:c>
      <x:c r="R1430" s="70" t="s">
        <x:v>33</x:v>
      </x:c>
      <x:c r="S1430" s="70"/>
    </x:row>
    <x:row r="1431" ht="15" hidden="0">
      <x:c r="A1431" s="70" t="s">
        <x:v>2420</x:v>
      </x:c>
      <x:c r="B1431" s="70" t="s">
        <x:v>41</x:v>
      </x:c>
      <x:c r="C1431" s="70" t="s">
        <x:v>102</x:v>
      </x:c>
      <x:c r="D1431" s="70" t="s">
        <x:v>211</x:v>
      </x:c>
      <x:c r="E1431" s="70" t="s">
        <x:v>763</x:v>
      </x:c>
      <x:c r="F1431" s="70"/>
      <x:c r="G1431" s="70" t="s">
        <x:v>1304</x:v>
      </x:c>
      <x:c r="H1431" s="70" t="s">
        <x:v>842</x:v>
      </x:c>
      <x:c r="I1431" s="70" t="s">
        <x:v>833</x:v>
      </x:c>
      <x:c r="J1431" s="70" t="n">
        <x:v>98</x:v>
      </x:c>
      <x:c r="K1431" s="70" t="s">
        <x:v>2197</x:v>
      </x:c>
      <x:c r="L1431" s="70"/>
      <x:c r="M1431" s="70" t="s">
        <x:v>39</x:v>
      </x:c>
      <x:c r="N1431" s="71" t="n">
        <x:v>82214210</x:v>
      </x:c>
      <x:c r="O1431" s="72" t="n">
        <x:f aca="0">N1431/1000</x:f>
        <x:v>82214.21</x:v>
      </x:c>
      <x:c r="P1431" s="73" t="n">
        <x:f aca="0">MLCF!E75</x:f>
        <x:v>82214.21</x:v>
      </x:c>
      <x:c r="Q1431" s="70" t="str">
        <x:f aca="0">IF(ABS(O1431-P1431)&lt;0.000001,"PASS","FAIL")</x:f>
        <x:v>PASS</x:v>
      </x:c>
      <x:c r="R1431" s="70" t="s">
        <x:v>33</x:v>
      </x:c>
      <x:c r="S1431" s="70"/>
    </x:row>
    <x:row r="1432" ht="15" hidden="0">
      <x:c r="A1432" s="70" t="s">
        <x:v>2421</x:v>
      </x:c>
      <x:c r="B1432" s="70" t="s">
        <x:v>41</x:v>
      </x:c>
      <x:c r="C1432" s="70" t="s">
        <x:v>103</x:v>
      </x:c>
      <x:c r="D1432" s="70" t="s">
        <x:v>211</x:v>
      </x:c>
      <x:c r="E1432" s="70" t="s">
        <x:v>763</x:v>
      </x:c>
      <x:c r="F1432" s="70"/>
      <x:c r="G1432" s="70" t="s">
        <x:v>1307</x:v>
      </x:c>
      <x:c r="H1432" s="70" t="s">
        <x:v>845</x:v>
      </x:c>
      <x:c r="I1432" s="70" t="s">
        <x:v>833</x:v>
      </x:c>
      <x:c r="J1432" s="70" t="n">
        <x:v>190</x:v>
      </x:c>
      <x:c r="K1432" s="70" t="s">
        <x:v>2199</x:v>
      </x:c>
      <x:c r="L1432" s="70"/>
      <x:c r="M1432" s="70" t="s">
        <x:v>39</x:v>
      </x:c>
      <x:c r="N1432" s="71" t="n">
        <x:v>89707711</x:v>
      </x:c>
      <x:c r="O1432" s="72" t="n">
        <x:f aca="0">N1432/1000</x:f>
        <x:v>89707.711</x:v>
      </x:c>
      <x:c r="P1432" s="73" t="n">
        <x:f aca="0">MLCF!F75</x:f>
        <x:v>89707.711</x:v>
      </x:c>
      <x:c r="Q1432" s="70" t="str">
        <x:f aca="0">IF(ABS(O1432-P1432)&lt;0.000001,"PASS","FAIL")</x:f>
        <x:v>PASS</x:v>
      </x:c>
      <x:c r="R1432" s="70" t="s">
        <x:v>33</x:v>
      </x:c>
      <x:c r="S1432" s="70"/>
    </x:row>
    <x:row r="1433" ht="15" hidden="0">
      <x:c r="A1433" s="70" t="s">
        <x:v>2422</x:v>
      </x:c>
      <x:c r="B1433" s="70" t="s">
        <x:v>41</x:v>
      </x:c>
      <x:c r="C1433" s="70" t="s">
        <x:v>104</x:v>
      </x:c>
      <x:c r="D1433" s="70" t="s">
        <x:v>211</x:v>
      </x:c>
      <x:c r="E1433" s="70" t="s">
        <x:v>763</x:v>
      </x:c>
      <x:c r="F1433" s="70"/>
      <x:c r="G1433" s="70" t="s">
        <x:v>1310</x:v>
      </x:c>
      <x:c r="H1433" s="70" t="s">
        <x:v>849</x:v>
      </x:c>
      <x:c r="I1433" s="70" t="s">
        <x:v>833</x:v>
      </x:c>
      <x:c r="J1433" s="70" t="n">
        <x:v>202</x:v>
      </x:c>
      <x:c r="K1433" s="70" t="s">
        <x:v>2162</x:v>
      </x:c>
      <x:c r="L1433" s="70"/>
      <x:c r="M1433" s="70" t="s">
        <x:v>39</x:v>
      </x:c>
      <x:c r="N1433" s="71" t="n">
        <x:v>99365682</x:v>
      </x:c>
      <x:c r="O1433" s="72" t="n">
        <x:f aca="0">N1433/1000</x:f>
        <x:v>99365.682</x:v>
      </x:c>
      <x:c r="P1433" s="73" t="n">
        <x:f aca="0">MLCF!G75</x:f>
        <x:v>99365.682</x:v>
      </x:c>
      <x:c r="Q1433" s="70" t="str">
        <x:f aca="0">IF(ABS(O1433-P1433)&lt;0.000001,"PASS","FAIL")</x:f>
        <x:v>PASS</x:v>
      </x:c>
      <x:c r="R1433" s="70" t="s">
        <x:v>33</x:v>
      </x:c>
      <x:c r="S1433" s="70"/>
    </x:row>
    <x:row r="1434" ht="15" hidden="0">
      <x:c r="A1434" s="70" t="s">
        <x:v>2423</x:v>
      </x:c>
      <x:c r="B1434" s="70" t="s">
        <x:v>41</x:v>
      </x:c>
      <x:c r="C1434" s="70" t="s">
        <x:v>105</x:v>
      </x:c>
      <x:c r="D1434" s="70" t="s">
        <x:v>211</x:v>
      </x:c>
      <x:c r="E1434" s="70" t="s">
        <x:v>763</x:v>
      </x:c>
      <x:c r="F1434" s="70"/>
      <x:c r="G1434" s="70" t="s">
        <x:v>1310</x:v>
      </x:c>
      <x:c r="H1434" s="70" t="s">
        <x:v>849</x:v>
      </x:c>
      <x:c r="I1434" s="70" t="s">
        <x:v>852</x:v>
      </x:c>
      <x:c r="J1434" s="70" t="n">
        <x:v>202</x:v>
      </x:c>
      <x:c r="K1434" s="70" t="s">
        <x:v>2162</x:v>
      </x:c>
      <x:c r="L1434" s="70"/>
      <x:c r="M1434" s="70" t="s">
        <x:v>39</x:v>
      </x:c>
      <x:c r="N1434" s="71" t="n">
        <x:v>119106271</x:v>
      </x:c>
      <x:c r="O1434" s="72" t="n">
        <x:f aca="0">N1434/1000</x:f>
        <x:v>119106.271</x:v>
      </x:c>
      <x:c r="P1434" s="73" t="n">
        <x:f aca="0">MLCF!H75</x:f>
        <x:v>119106.271</x:v>
      </x:c>
      <x:c r="Q1434" s="70" t="str">
        <x:f aca="0">IF(ABS(O1434-P1434)&lt;0.000001,"PASS","FAIL")</x:f>
        <x:v>PASS</x:v>
      </x:c>
      <x:c r="R1434" s="70" t="s">
        <x:v>33</x:v>
      </x:c>
      <x:c r="S1434" s="70"/>
    </x:row>
    <x:row r="1435" ht="15" hidden="0">
      <x:c r="A1435" s="70" t="s">
        <x:v>2424</x:v>
      </x:c>
      <x:c r="B1435" s="70" t="s">
        <x:v>41</x:v>
      </x:c>
      <x:c r="C1435" s="70" t="s">
        <x:v>717</x:v>
      </x:c>
      <x:c r="D1435" s="70" t="s">
        <x:v>213</x:v>
      </x:c>
      <x:c r="E1435" s="70" t="s">
        <x:v>763</x:v>
      </x:c>
      <x:c r="F1435" s="70"/>
      <x:c r="G1435" s="70" t="s">
        <x:v>1298</x:v>
      </x:c>
      <x:c r="H1435" s="70" t="s">
        <x:v>832</x:v>
      </x:c>
      <x:c r="I1435" s="70" t="s">
        <x:v>833</x:v>
      </x:c>
      <x:c r="J1435" s="70" t="n">
        <x:v>162</x:v>
      </x:c>
      <x:c r="K1435" s="70" t="s">
        <x:v>2213</x:v>
      </x:c>
      <x:c r="L1435" s="70"/>
      <x:c r="M1435" s="70" t="s">
        <x:v>39</x:v>
      </x:c>
      <x:c r="N1435" s="71" t="n">
        <x:v>31320831</x:v>
      </x:c>
      <x:c r="O1435" s="72" t="n">
        <x:f aca="0">N1435/1000</x:f>
        <x:v>31320.831</x:v>
      </x:c>
      <x:c r="P1435" s="73" t="n">
        <x:f aca="0">MLCF!C76</x:f>
        <x:v>31320.831</x:v>
      </x:c>
      <x:c r="Q1435" s="70" t="str">
        <x:f aca="0">IF(ABS(O1435-P1435)&lt;0.000001,"PASS","FAIL")</x:f>
        <x:v>PASS</x:v>
      </x:c>
      <x:c r="R1435" s="70" t="s">
        <x:v>33</x:v>
      </x:c>
      <x:c r="S1435" s="70"/>
    </x:row>
    <x:row r="1436" ht="15" hidden="0">
      <x:c r="A1436" s="70" t="s">
        <x:v>2425</x:v>
      </x:c>
      <x:c r="B1436" s="70" t="s">
        <x:v>41</x:v>
      </x:c>
      <x:c r="C1436" s="70" t="s">
        <x:v>101</x:v>
      </x:c>
      <x:c r="D1436" s="70" t="s">
        <x:v>213</x:v>
      </x:c>
      <x:c r="E1436" s="70" t="s">
        <x:v>763</x:v>
      </x:c>
      <x:c r="F1436" s="70"/>
      <x:c r="G1436" s="70" t="s">
        <x:v>1301</x:v>
      </x:c>
      <x:c r="H1436" s="70" t="s">
        <x:v>838</x:v>
      </x:c>
      <x:c r="I1436" s="70" t="s">
        <x:v>833</x:v>
      </x:c>
      <x:c r="J1436" s="70" t="n">
        <x:v>183</x:v>
      </x:c>
      <x:c r="K1436" s="70" t="s">
        <x:v>1911</x:v>
      </x:c>
      <x:c r="L1436" s="70"/>
      <x:c r="M1436" s="70" t="s">
        <x:v>39</x:v>
      </x:c>
      <x:c r="N1436" s="71" t="n">
        <x:v>37542541</x:v>
      </x:c>
      <x:c r="O1436" s="72" t="n">
        <x:f aca="0">N1436/1000</x:f>
        <x:v>37542.541</x:v>
      </x:c>
      <x:c r="P1436" s="73" t="n">
        <x:f aca="0">MLCF!D76</x:f>
        <x:v>37542.541</x:v>
      </x:c>
      <x:c r="Q1436" s="70" t="str">
        <x:f aca="0">IF(ABS(O1436-P1436)&lt;0.000001,"PASS","FAIL")</x:f>
        <x:v>PASS</x:v>
      </x:c>
      <x:c r="R1436" s="70" t="s">
        <x:v>33</x:v>
      </x:c>
      <x:c r="S1436" s="70"/>
    </x:row>
    <x:row r="1437" ht="15" hidden="0">
      <x:c r="A1437" s="70" t="s">
        <x:v>2426</x:v>
      </x:c>
      <x:c r="B1437" s="70" t="s">
        <x:v>41</x:v>
      </x:c>
      <x:c r="C1437" s="70" t="s">
        <x:v>102</x:v>
      </x:c>
      <x:c r="D1437" s="70" t="s">
        <x:v>213</x:v>
      </x:c>
      <x:c r="E1437" s="70" t="s">
        <x:v>763</x:v>
      </x:c>
      <x:c r="F1437" s="70"/>
      <x:c r="G1437" s="70" t="s">
        <x:v>1304</x:v>
      </x:c>
      <x:c r="H1437" s="70" t="s">
        <x:v>842</x:v>
      </x:c>
      <x:c r="I1437" s="70" t="s">
        <x:v>833</x:v>
      </x:c>
      <x:c r="J1437" s="70" t="n">
        <x:v>98</x:v>
      </x:c>
      <x:c r="K1437" s="70" t="s">
        <x:v>2197</x:v>
      </x:c>
      <x:c r="L1437" s="70"/>
      <x:c r="M1437" s="70" t="s">
        <x:v>39</x:v>
      </x:c>
      <x:c r="N1437" s="71" t="n">
        <x:v>40559015</x:v>
      </x:c>
      <x:c r="O1437" s="72" t="n">
        <x:f aca="0">N1437/1000</x:f>
        <x:v>40559.015</x:v>
      </x:c>
      <x:c r="P1437" s="73" t="n">
        <x:f aca="0">MLCF!E76</x:f>
        <x:v>40559.015</x:v>
      </x:c>
      <x:c r="Q1437" s="70" t="str">
        <x:f aca="0">IF(ABS(O1437-P1437)&lt;0.000001,"PASS","FAIL")</x:f>
        <x:v>PASS</x:v>
      </x:c>
      <x:c r="R1437" s="70" t="s">
        <x:v>33</x:v>
      </x:c>
      <x:c r="S1437" s="70"/>
    </x:row>
    <x:row r="1438" ht="15" hidden="0">
      <x:c r="A1438" s="70" t="s">
        <x:v>2427</x:v>
      </x:c>
      <x:c r="B1438" s="70" t="s">
        <x:v>41</x:v>
      </x:c>
      <x:c r="C1438" s="70" t="s">
        <x:v>103</x:v>
      </x:c>
      <x:c r="D1438" s="70" t="s">
        <x:v>213</x:v>
      </x:c>
      <x:c r="E1438" s="70" t="s">
        <x:v>763</x:v>
      </x:c>
      <x:c r="F1438" s="70"/>
      <x:c r="G1438" s="70" t="s">
        <x:v>1307</x:v>
      </x:c>
      <x:c r="H1438" s="70" t="s">
        <x:v>845</x:v>
      </x:c>
      <x:c r="I1438" s="70" t="s">
        <x:v>833</x:v>
      </x:c>
      <x:c r="J1438" s="70" t="n">
        <x:v>189</x:v>
      </x:c>
      <x:c r="K1438" s="70" t="s">
        <x:v>1765</x:v>
      </x:c>
      <x:c r="L1438" s="70"/>
      <x:c r="M1438" s="70" t="s">
        <x:v>39</x:v>
      </x:c>
      <x:c r="N1438" s="71" t="n">
        <x:v>44913114</x:v>
      </x:c>
      <x:c r="O1438" s="72" t="n">
        <x:f aca="0">N1438/1000</x:f>
        <x:v>44913.114</x:v>
      </x:c>
      <x:c r="P1438" s="73" t="n">
        <x:f aca="0">MLCF!F76</x:f>
        <x:v>44913.114</x:v>
      </x:c>
      <x:c r="Q1438" s="70" t="str">
        <x:f aca="0">IF(ABS(O1438-P1438)&lt;0.000001,"PASS","FAIL")</x:f>
        <x:v>PASS</x:v>
      </x:c>
      <x:c r="R1438" s="70" t="s">
        <x:v>33</x:v>
      </x:c>
      <x:c r="S1438" s="70"/>
    </x:row>
    <x:row r="1439" ht="15" hidden="0">
      <x:c r="A1439" s="70" t="s">
        <x:v>2428</x:v>
      </x:c>
      <x:c r="B1439" s="70" t="s">
        <x:v>41</x:v>
      </x:c>
      <x:c r="C1439" s="70" t="s">
        <x:v>104</x:v>
      </x:c>
      <x:c r="D1439" s="70" t="s">
        <x:v>213</x:v>
      </x:c>
      <x:c r="E1439" s="70" t="s">
        <x:v>763</x:v>
      </x:c>
      <x:c r="F1439" s="70"/>
      <x:c r="G1439" s="70" t="s">
        <x:v>1310</x:v>
      </x:c>
      <x:c r="H1439" s="70" t="s">
        <x:v>849</x:v>
      </x:c>
      <x:c r="I1439" s="70" t="s">
        <x:v>833</x:v>
      </x:c>
      <x:c r="J1439" s="70" t="n">
        <x:v>201</x:v>
      </x:c>
      <x:c r="K1439" s="70" t="s">
        <x:v>2090</x:v>
      </x:c>
      <x:c r="L1439" s="70"/>
      <x:c r="M1439" s="70" t="s">
        <x:v>39</x:v>
      </x:c>
      <x:c r="N1439" s="71" t="n">
        <x:v>52615908</x:v>
      </x:c>
      <x:c r="O1439" s="72" t="n">
        <x:f aca="0">N1439/1000</x:f>
        <x:v>52615.908</x:v>
      </x:c>
      <x:c r="P1439" s="73" t="n">
        <x:f aca="0">MLCF!G76</x:f>
        <x:v>52615.908</x:v>
      </x:c>
      <x:c r="Q1439" s="70" t="str">
        <x:f aca="0">IF(ABS(O1439-P1439)&lt;0.000001,"PASS","FAIL")</x:f>
        <x:v>PASS</x:v>
      </x:c>
      <x:c r="R1439" s="70" t="s">
        <x:v>33</x:v>
      </x:c>
      <x:c r="S1439" s="70"/>
    </x:row>
    <x:row r="1440" ht="15" hidden="0">
      <x:c r="A1440" s="70" t="s">
        <x:v>2429</x:v>
      </x:c>
      <x:c r="B1440" s="70" t="s">
        <x:v>41</x:v>
      </x:c>
      <x:c r="C1440" s="70" t="s">
        <x:v>105</x:v>
      </x:c>
      <x:c r="D1440" s="70" t="s">
        <x:v>213</x:v>
      </x:c>
      <x:c r="E1440" s="70" t="s">
        <x:v>763</x:v>
      </x:c>
      <x:c r="F1440" s="70"/>
      <x:c r="G1440" s="70" t="s">
        <x:v>1310</x:v>
      </x:c>
      <x:c r="H1440" s="70" t="s">
        <x:v>849</x:v>
      </x:c>
      <x:c r="I1440" s="70" t="s">
        <x:v>852</x:v>
      </x:c>
      <x:c r="J1440" s="70" t="n">
        <x:v>201</x:v>
      </x:c>
      <x:c r="K1440" s="70" t="s">
        <x:v>2090</x:v>
      </x:c>
      <x:c r="L1440" s="70"/>
      <x:c r="M1440" s="70" t="s">
        <x:v>39</x:v>
      </x:c>
      <x:c r="N1440" s="71" t="n">
        <x:v>71461592</x:v>
      </x:c>
      <x:c r="O1440" s="72" t="n">
        <x:f aca="0">N1440/1000</x:f>
        <x:v>71461.592</x:v>
      </x:c>
      <x:c r="P1440" s="73" t="n">
        <x:f aca="0">MLCF!H76</x:f>
        <x:v>71461.592</x:v>
      </x:c>
      <x:c r="Q1440" s="70" t="str">
        <x:f aca="0">IF(ABS(O1440-P1440)&lt;0.000001,"PASS","FAIL")</x:f>
        <x:v>PASS</x:v>
      </x:c>
      <x:c r="R1440" s="70" t="s">
        <x:v>33</x:v>
      </x:c>
      <x:c r="S1440" s="70"/>
    </x:row>
    <x:row r="1441" ht="15" hidden="0">
      <x:c r="A1441" s="70" t="s">
        <x:v>2430</x:v>
      </x:c>
      <x:c r="B1441" s="70" t="s">
        <x:v>41</x:v>
      </x:c>
      <x:c r="C1441" s="70" t="s">
        <x:v>717</x:v>
      </x:c>
      <x:c r="D1441" s="70" t="s">
        <x:v>215</x:v>
      </x:c>
      <x:c r="E1441" s="70" t="s">
        <x:v>763</x:v>
      </x:c>
      <x:c r="F1441" s="70"/>
      <x:c r="G1441" s="70" t="s">
        <x:v>1298</x:v>
      </x:c>
      <x:c r="H1441" s="70" t="s">
        <x:v>832</x:v>
      </x:c>
      <x:c r="I1441" s="70" t="s">
        <x:v>833</x:v>
      </x:c>
      <x:c r="J1441" s="70" t="n">
        <x:v>163</x:v>
      </x:c>
      <x:c r="K1441" s="70" t="s">
        <x:v>2213</x:v>
      </x:c>
      <x:c r="L1441" s="70"/>
      <x:c r="M1441" s="70" t="s">
        <x:v>39</x:v>
      </x:c>
      <x:c r="N1441" s="71" t="n">
        <x:v>16607191</x:v>
      </x:c>
      <x:c r="O1441" s="72" t="n">
        <x:f aca="0">N1441/1000</x:f>
        <x:v>16607.191</x:v>
      </x:c>
      <x:c r="P1441" s="73" t="n">
        <x:f aca="0">MLCF!C77</x:f>
        <x:v>16607.191</x:v>
      </x:c>
      <x:c r="Q1441" s="70" t="str">
        <x:f aca="0">IF(ABS(O1441-P1441)&lt;0.000001,"PASS","FAIL")</x:f>
        <x:v>PASS</x:v>
      </x:c>
      <x:c r="R1441" s="70" t="s">
        <x:v>33</x:v>
      </x:c>
      <x:c r="S1441" s="70"/>
    </x:row>
    <x:row r="1442" ht="15" hidden="0">
      <x:c r="A1442" s="70" t="s">
        <x:v>2431</x:v>
      </x:c>
      <x:c r="B1442" s="70" t="s">
        <x:v>41</x:v>
      </x:c>
      <x:c r="C1442" s="70" t="s">
        <x:v>101</x:v>
      </x:c>
      <x:c r="D1442" s="70" t="s">
        <x:v>215</x:v>
      </x:c>
      <x:c r="E1442" s="70" t="s">
        <x:v>763</x:v>
      </x:c>
      <x:c r="F1442" s="70"/>
      <x:c r="G1442" s="70" t="s">
        <x:v>1301</x:v>
      </x:c>
      <x:c r="H1442" s="70" t="s">
        <x:v>838</x:v>
      </x:c>
      <x:c r="I1442" s="70" t="s">
        <x:v>833</x:v>
      </x:c>
      <x:c r="J1442" s="70" t="n">
        <x:v>184</x:v>
      </x:c>
      <x:c r="K1442" s="70" t="s">
        <x:v>1911</x:v>
      </x:c>
      <x:c r="L1442" s="70"/>
      <x:c r="M1442" s="70" t="s">
        <x:v>39</x:v>
      </x:c>
      <x:c r="N1442" s="71" t="n">
        <x:v>16923416</x:v>
      </x:c>
      <x:c r="O1442" s="72" t="n">
        <x:f aca="0">N1442/1000</x:f>
        <x:v>16923.416</x:v>
      </x:c>
      <x:c r="P1442" s="73" t="n">
        <x:f aca="0">MLCF!D77</x:f>
        <x:v>16923.416</x:v>
      </x:c>
      <x:c r="Q1442" s="70" t="str">
        <x:f aca="0">IF(ABS(O1442-P1442)&lt;0.000001,"PASS","FAIL")</x:f>
        <x:v>PASS</x:v>
      </x:c>
      <x:c r="R1442" s="70" t="s">
        <x:v>33</x:v>
      </x:c>
      <x:c r="S1442" s="70"/>
    </x:row>
    <x:row r="1443" ht="15" hidden="0">
      <x:c r="A1443" s="70" t="s">
        <x:v>2432</x:v>
      </x:c>
      <x:c r="B1443" s="70" t="s">
        <x:v>41</x:v>
      </x:c>
      <x:c r="C1443" s="70" t="s">
        <x:v>102</x:v>
      </x:c>
      <x:c r="D1443" s="70" t="s">
        <x:v>215</x:v>
      </x:c>
      <x:c r="E1443" s="70" t="s">
        <x:v>763</x:v>
      </x:c>
      <x:c r="F1443" s="70"/>
      <x:c r="G1443" s="70" t="s">
        <x:v>1304</x:v>
      </x:c>
      <x:c r="H1443" s="70" t="s">
        <x:v>842</x:v>
      </x:c>
      <x:c r="I1443" s="70" t="s">
        <x:v>833</x:v>
      </x:c>
      <x:c r="J1443" s="70" t="n">
        <x:v>98</x:v>
      </x:c>
      <x:c r="K1443" s="70" t="s">
        <x:v>2197</x:v>
      </x:c>
      <x:c r="L1443" s="70"/>
      <x:c r="M1443" s="70" t="s">
        <x:v>39</x:v>
      </x:c>
      <x:c r="N1443" s="71" t="n">
        <x:v>20321989</x:v>
      </x:c>
      <x:c r="O1443" s="72" t="n">
        <x:f aca="0">N1443/1000</x:f>
        <x:v>20321.989</x:v>
      </x:c>
      <x:c r="P1443" s="73" t="n">
        <x:f aca="0">MLCF!E77</x:f>
        <x:v>20321.989</x:v>
      </x:c>
      <x:c r="Q1443" s="70" t="str">
        <x:f aca="0">IF(ABS(O1443-P1443)&lt;0.000001,"PASS","FAIL")</x:f>
        <x:v>PASS</x:v>
      </x:c>
      <x:c r="R1443" s="70" t="s">
        <x:v>33</x:v>
      </x:c>
      <x:c r="S1443" s="70"/>
    </x:row>
    <x:row r="1444" ht="15" hidden="0">
      <x:c r="A1444" s="70" t="s">
        <x:v>2433</x:v>
      </x:c>
      <x:c r="B1444" s="70" t="s">
        <x:v>41</x:v>
      </x:c>
      <x:c r="C1444" s="70" t="s">
        <x:v>103</x:v>
      </x:c>
      <x:c r="D1444" s="70" t="s">
        <x:v>215</x:v>
      </x:c>
      <x:c r="E1444" s="70" t="s">
        <x:v>763</x:v>
      </x:c>
      <x:c r="F1444" s="70"/>
      <x:c r="G1444" s="70" t="s">
        <x:v>1307</x:v>
      </x:c>
      <x:c r="H1444" s="70" t="s">
        <x:v>845</x:v>
      </x:c>
      <x:c r="I1444" s="70" t="s">
        <x:v>833</x:v>
      </x:c>
      <x:c r="J1444" s="70" t="n">
        <x:v>190</x:v>
      </x:c>
      <x:c r="K1444" s="70" t="s">
        <x:v>1765</x:v>
      </x:c>
      <x:c r="L1444" s="70"/>
      <x:c r="M1444" s="70" t="s">
        <x:v>39</x:v>
      </x:c>
      <x:c r="N1444" s="71" t="n">
        <x:v>22239667</x:v>
      </x:c>
      <x:c r="O1444" s="72" t="n">
        <x:f aca="0">N1444/1000</x:f>
        <x:v>22239.667</x:v>
      </x:c>
      <x:c r="P1444" s="73" t="n">
        <x:f aca="0">MLCF!F77</x:f>
        <x:v>22239.667</x:v>
      </x:c>
      <x:c r="Q1444" s="70" t="str">
        <x:f aca="0">IF(ABS(O1444-P1444)&lt;0.000001,"PASS","FAIL")</x:f>
        <x:v>PASS</x:v>
      </x:c>
      <x:c r="R1444" s="70" t="s">
        <x:v>33</x:v>
      </x:c>
      <x:c r="S1444" s="70"/>
    </x:row>
    <x:row r="1445" ht="15" hidden="0">
      <x:c r="A1445" s="70" t="s">
        <x:v>2434</x:v>
      </x:c>
      <x:c r="B1445" s="70" t="s">
        <x:v>41</x:v>
      </x:c>
      <x:c r="C1445" s="70" t="s">
        <x:v>104</x:v>
      </x:c>
      <x:c r="D1445" s="70" t="s">
        <x:v>215</x:v>
      </x:c>
      <x:c r="E1445" s="70" t="s">
        <x:v>763</x:v>
      </x:c>
      <x:c r="F1445" s="70"/>
      <x:c r="G1445" s="70" t="s">
        <x:v>1310</x:v>
      </x:c>
      <x:c r="H1445" s="70" t="s">
        <x:v>849</x:v>
      </x:c>
      <x:c r="I1445" s="70" t="s">
        <x:v>833</x:v>
      </x:c>
      <x:c r="J1445" s="70" t="n">
        <x:v>202</x:v>
      </x:c>
      <x:c r="K1445" s="70" t="s">
        <x:v>2090</x:v>
      </x:c>
      <x:c r="L1445" s="70"/>
      <x:c r="M1445" s="70" t="s">
        <x:v>39</x:v>
      </x:c>
      <x:c r="N1445" s="71" t="n">
        <x:v>26867837</x:v>
      </x:c>
      <x:c r="O1445" s="72" t="n">
        <x:f aca="0">N1445/1000</x:f>
        <x:v>26867.837</x:v>
      </x:c>
      <x:c r="P1445" s="73" t="n">
        <x:f aca="0">MLCF!G77</x:f>
        <x:v>26867.837</x:v>
      </x:c>
      <x:c r="Q1445" s="70" t="str">
        <x:f aca="0">IF(ABS(O1445-P1445)&lt;0.000001,"PASS","FAIL")</x:f>
        <x:v>PASS</x:v>
      </x:c>
      <x:c r="R1445" s="70" t="s">
        <x:v>33</x:v>
      </x:c>
      <x:c r="S1445" s="70"/>
    </x:row>
    <x:row r="1446" ht="15" hidden="0">
      <x:c r="A1446" s="70" t="s">
        <x:v>2435</x:v>
      </x:c>
      <x:c r="B1446" s="70" t="s">
        <x:v>41</x:v>
      </x:c>
      <x:c r="C1446" s="70" t="s">
        <x:v>105</x:v>
      </x:c>
      <x:c r="D1446" s="70" t="s">
        <x:v>215</x:v>
      </x:c>
      <x:c r="E1446" s="70" t="s">
        <x:v>763</x:v>
      </x:c>
      <x:c r="F1446" s="70"/>
      <x:c r="G1446" s="70" t="s">
        <x:v>1310</x:v>
      </x:c>
      <x:c r="H1446" s="70" t="s">
        <x:v>849</x:v>
      </x:c>
      <x:c r="I1446" s="70" t="s">
        <x:v>852</x:v>
      </x:c>
      <x:c r="J1446" s="70" t="n">
        <x:v>202</x:v>
      </x:c>
      <x:c r="K1446" s="70" t="s">
        <x:v>2090</x:v>
      </x:c>
      <x:c r="L1446" s="70"/>
      <x:c r="M1446" s="70" t="s">
        <x:v>39</x:v>
      </x:c>
      <x:c r="N1446" s="71" t="n">
        <x:v>35752604</x:v>
      </x:c>
      <x:c r="O1446" s="72" t="n">
        <x:f aca="0">N1446/1000</x:f>
        <x:v>35752.604</x:v>
      </x:c>
      <x:c r="P1446" s="73" t="n">
        <x:f aca="0">MLCF!H77</x:f>
        <x:v>35752.604</x:v>
      </x:c>
      <x:c r="Q1446" s="70" t="str">
        <x:f aca="0">IF(ABS(O1446-P1446)&lt;0.000001,"PASS","FAIL")</x:f>
        <x:v>PASS</x:v>
      </x:c>
      <x:c r="R1446" s="70" t="s">
        <x:v>33</x:v>
      </x:c>
      <x:c r="S1446" s="70"/>
    </x:row>
    <x:row r="1447" ht="15" hidden="0">
      <x:c r="A1447" s="70" t="s">
        <x:v>2436</x:v>
      </x:c>
      <x:c r="B1447" s="70" t="s">
        <x:v>41</x:v>
      </x:c>
      <x:c r="C1447" s="70" t="s">
        <x:v>717</x:v>
      </x:c>
      <x:c r="D1447" s="70" t="s">
        <x:v>217</x:v>
      </x:c>
      <x:c r="E1447" s="70" t="s">
        <x:v>763</x:v>
      </x:c>
      <x:c r="F1447" s="70"/>
      <x:c r="G1447" s="70" t="s">
        <x:v>1298</x:v>
      </x:c>
      <x:c r="H1447" s="70" t="s">
        <x:v>832</x:v>
      </x:c>
      <x:c r="I1447" s="70" t="s">
        <x:v>833</x:v>
      </x:c>
      <x:c r="J1447" s="70" t="n">
        <x:v>162</x:v>
      </x:c>
      <x:c r="K1447" s="70" t="s">
        <x:v>2213</x:v>
      </x:c>
      <x:c r="L1447" s="70"/>
      <x:c r="M1447" s="70" t="s">
        <x:v>39</x:v>
      </x:c>
      <x:c r="N1447" s="71" t="n">
        <x:v>15313775</x:v>
      </x:c>
      <x:c r="O1447" s="72" t="n">
        <x:f aca="0">N1447/1000</x:f>
        <x:v>15313.775</x:v>
      </x:c>
      <x:c r="P1447" s="73" t="n">
        <x:f aca="0">MLCF!C78</x:f>
        <x:v>15313.775</x:v>
      </x:c>
      <x:c r="Q1447" s="70" t="str">
        <x:f aca="0">IF(ABS(O1447-P1447)&lt;0.000001,"PASS","FAIL")</x:f>
        <x:v>PASS</x:v>
      </x:c>
      <x:c r="R1447" s="70" t="s">
        <x:v>33</x:v>
      </x:c>
      <x:c r="S1447" s="70"/>
    </x:row>
    <x:row r="1448" ht="15" hidden="0">
      <x:c r="A1448" s="70" t="s">
        <x:v>2437</x:v>
      </x:c>
      <x:c r="B1448" s="70" t="s">
        <x:v>41</x:v>
      </x:c>
      <x:c r="C1448" s="70" t="s">
        <x:v>101</x:v>
      </x:c>
      <x:c r="D1448" s="70" t="s">
        <x:v>217</x:v>
      </x:c>
      <x:c r="E1448" s="70" t="s">
        <x:v>763</x:v>
      </x:c>
      <x:c r="F1448" s="70"/>
      <x:c r="G1448" s="70" t="s">
        <x:v>1301</x:v>
      </x:c>
      <x:c r="H1448" s="70" t="s">
        <x:v>838</x:v>
      </x:c>
      <x:c r="I1448" s="70" t="s">
        <x:v>833</x:v>
      </x:c>
      <x:c r="J1448" s="70" t="n">
        <x:v>183</x:v>
      </x:c>
      <x:c r="K1448" s="70" t="s">
        <x:v>1911</x:v>
      </x:c>
      <x:c r="L1448" s="70"/>
      <x:c r="M1448" s="70" t="s">
        <x:v>39</x:v>
      </x:c>
      <x:c r="N1448" s="71" t="n">
        <x:v>11449448</x:v>
      </x:c>
      <x:c r="O1448" s="72" t="n">
        <x:f aca="0">N1448/1000</x:f>
        <x:v>11449.448</x:v>
      </x:c>
      <x:c r="P1448" s="73" t="n">
        <x:f aca="0">MLCF!D78</x:f>
        <x:v>11449.448</x:v>
      </x:c>
      <x:c r="Q1448" s="70" t="str">
        <x:f aca="0">IF(ABS(O1448-P1448)&lt;0.000001,"PASS","FAIL")</x:f>
        <x:v>PASS</x:v>
      </x:c>
      <x:c r="R1448" s="70" t="s">
        <x:v>33</x:v>
      </x:c>
      <x:c r="S1448" s="70"/>
    </x:row>
    <x:row r="1449" ht="15" hidden="0">
      <x:c r="A1449" s="70" t="s">
        <x:v>2438</x:v>
      </x:c>
      <x:c r="B1449" s="70" t="s">
        <x:v>41</x:v>
      </x:c>
      <x:c r="C1449" s="70" t="s">
        <x:v>102</x:v>
      </x:c>
      <x:c r="D1449" s="70" t="s">
        <x:v>217</x:v>
      </x:c>
      <x:c r="E1449" s="70" t="s">
        <x:v>763</x:v>
      </x:c>
      <x:c r="F1449" s="70"/>
      <x:c r="G1449" s="70" t="s">
        <x:v>1304</x:v>
      </x:c>
      <x:c r="H1449" s="70" t="s">
        <x:v>842</x:v>
      </x:c>
      <x:c r="I1449" s="70" t="s">
        <x:v>833</x:v>
      </x:c>
      <x:c r="J1449" s="70" t="n">
        <x:v>98</x:v>
      </x:c>
      <x:c r="K1449" s="70" t="s">
        <x:v>2197</x:v>
      </x:c>
      <x:c r="L1449" s="70"/>
      <x:c r="M1449" s="70" t="s">
        <x:v>39</x:v>
      </x:c>
      <x:c r="N1449" s="71" t="n">
        <x:v>16193391</x:v>
      </x:c>
      <x:c r="O1449" s="72" t="n">
        <x:f aca="0">N1449/1000</x:f>
        <x:v>16193.391</x:v>
      </x:c>
      <x:c r="P1449" s="73" t="n">
        <x:f aca="0">MLCF!E78</x:f>
        <x:v>16193.391</x:v>
      </x:c>
      <x:c r="Q1449" s="70" t="str">
        <x:f aca="0">IF(ABS(O1449-P1449)&lt;0.000001,"PASS","FAIL")</x:f>
        <x:v>PASS</x:v>
      </x:c>
      <x:c r="R1449" s="70" t="s">
        <x:v>33</x:v>
      </x:c>
      <x:c r="S1449" s="70"/>
    </x:row>
    <x:row r="1450" ht="15" hidden="0">
      <x:c r="A1450" s="70" t="s">
        <x:v>2439</x:v>
      </x:c>
      <x:c r="B1450" s="70" t="s">
        <x:v>41</x:v>
      </x:c>
      <x:c r="C1450" s="70" t="s">
        <x:v>103</x:v>
      </x:c>
      <x:c r="D1450" s="70" t="s">
        <x:v>217</x:v>
      </x:c>
      <x:c r="E1450" s="70" t="s">
        <x:v>763</x:v>
      </x:c>
      <x:c r="F1450" s="70"/>
      <x:c r="G1450" s="70" t="s">
        <x:v>1307</x:v>
      </x:c>
      <x:c r="H1450" s="70" t="s">
        <x:v>845</x:v>
      </x:c>
      <x:c r="I1450" s="70" t="s">
        <x:v>833</x:v>
      </x:c>
      <x:c r="J1450" s="70" t="n">
        <x:v>189</x:v>
      </x:c>
      <x:c r="K1450" s="70" t="s">
        <x:v>1765</x:v>
      </x:c>
      <x:c r="L1450" s="70"/>
      <x:c r="M1450" s="70" t="s">
        <x:v>39</x:v>
      </x:c>
      <x:c r="N1450" s="71" t="n">
        <x:v>16215021</x:v>
      </x:c>
      <x:c r="O1450" s="72" t="n">
        <x:f aca="0">N1450/1000</x:f>
        <x:v>16215.021</x:v>
      </x:c>
      <x:c r="P1450" s="73" t="n">
        <x:f aca="0">MLCF!F78</x:f>
        <x:v>16215.021</x:v>
      </x:c>
      <x:c r="Q1450" s="70" t="str">
        <x:f aca="0">IF(ABS(O1450-P1450)&lt;0.000001,"PASS","FAIL")</x:f>
        <x:v>PASS</x:v>
      </x:c>
      <x:c r="R1450" s="70" t="s">
        <x:v>33</x:v>
      </x:c>
      <x:c r="S1450" s="70"/>
    </x:row>
    <x:row r="1451" ht="15" hidden="0">
      <x:c r="A1451" s="70" t="s">
        <x:v>2440</x:v>
      </x:c>
      <x:c r="B1451" s="70" t="s">
        <x:v>41</x:v>
      </x:c>
      <x:c r="C1451" s="70" t="s">
        <x:v>104</x:v>
      </x:c>
      <x:c r="D1451" s="70" t="s">
        <x:v>217</x:v>
      </x:c>
      <x:c r="E1451" s="70" t="s">
        <x:v>763</x:v>
      </x:c>
      <x:c r="F1451" s="70"/>
      <x:c r="G1451" s="70" t="s">
        <x:v>1310</x:v>
      </x:c>
      <x:c r="H1451" s="70" t="s">
        <x:v>849</x:v>
      </x:c>
      <x:c r="I1451" s="70" t="s">
        <x:v>833</x:v>
      </x:c>
      <x:c r="J1451" s="70" t="n">
        <x:v>201</x:v>
      </x:c>
      <x:c r="K1451" s="70" t="s">
        <x:v>2090</x:v>
      </x:c>
      <x:c r="L1451" s="70"/>
      <x:c r="M1451" s="70" t="s">
        <x:v>39</x:v>
      </x:c>
      <x:c r="N1451" s="71" t="n">
        <x:v>18597800</x:v>
      </x:c>
      <x:c r="O1451" s="72" t="n">
        <x:f aca="0">N1451/1000</x:f>
        <x:v>18597.8</x:v>
      </x:c>
      <x:c r="P1451" s="73" t="n">
        <x:f aca="0">MLCF!G78</x:f>
        <x:v>18597.8</x:v>
      </x:c>
      <x:c r="Q1451" s="70" t="str">
        <x:f aca="0">IF(ABS(O1451-P1451)&lt;0.000001,"PASS","FAIL")</x:f>
        <x:v>PASS</x:v>
      </x:c>
      <x:c r="R1451" s="70" t="s">
        <x:v>33</x:v>
      </x:c>
      <x:c r="S1451" s="70"/>
    </x:row>
    <x:row r="1452" ht="15" hidden="0">
      <x:c r="A1452" s="70" t="s">
        <x:v>2441</x:v>
      </x:c>
      <x:c r="B1452" s="70" t="s">
        <x:v>41</x:v>
      </x:c>
      <x:c r="C1452" s="70" t="s">
        <x:v>105</x:v>
      </x:c>
      <x:c r="D1452" s="70" t="s">
        <x:v>217</x:v>
      </x:c>
      <x:c r="E1452" s="70" t="s">
        <x:v>763</x:v>
      </x:c>
      <x:c r="F1452" s="70"/>
      <x:c r="G1452" s="70" t="s">
        <x:v>1310</x:v>
      </x:c>
      <x:c r="H1452" s="70" t="s">
        <x:v>849</x:v>
      </x:c>
      <x:c r="I1452" s="70" t="s">
        <x:v>852</x:v>
      </x:c>
      <x:c r="J1452" s="70" t="n">
        <x:v>201</x:v>
      </x:c>
      <x:c r="K1452" s="70" t="s">
        <x:v>2090</x:v>
      </x:c>
      <x:c r="L1452" s="70"/>
      <x:c r="M1452" s="70" t="s">
        <x:v>39</x:v>
      </x:c>
      <x:c r="N1452" s="71" t="n">
        <x:v>23330491</x:v>
      </x:c>
      <x:c r="O1452" s="72" t="n">
        <x:f aca="0">N1452/1000</x:f>
        <x:v>23330.491</x:v>
      </x:c>
      <x:c r="P1452" s="73" t="n">
        <x:f aca="0">MLCF!H78</x:f>
        <x:v>23330.491</x:v>
      </x:c>
      <x:c r="Q1452" s="70" t="str">
        <x:f aca="0">IF(ABS(O1452-P1452)&lt;0.000001,"PASS","FAIL")</x:f>
        <x:v>PASS</x:v>
      </x:c>
      <x:c r="R1452" s="70" t="s">
        <x:v>33</x:v>
      </x:c>
      <x:c r="S1452" s="70"/>
    </x:row>
    <x:row r="1453" ht="15" hidden="0">
      <x:c r="A1453" s="70" t="s">
        <x:v>2442</x:v>
      </x:c>
      <x:c r="B1453" s="70" t="s">
        <x:v>41</x:v>
      </x:c>
      <x:c r="C1453" s="70" t="s">
        <x:v>101</x:v>
      </x:c>
      <x:c r="D1453" s="70" t="s">
        <x:v>224</x:v>
      </x:c>
      <x:c r="E1453" s="70" t="s">
        <x:v>1106</x:v>
      </x:c>
      <x:c r="F1453" s="70" t="s">
        <x:v>2443</x:v>
      </x:c>
      <x:c r="G1453" s="70" t="s">
        <x:v>1301</x:v>
      </x:c>
      <x:c r="H1453" s="70" t="s">
        <x:v>838</x:v>
      </x:c>
      <x:c r="I1453" s="70" t="s">
        <x:v>833</x:v>
      </x:c>
      <x:c r="J1453" s="70" t="n">
        <x:v>185</x:v>
      </x:c>
      <x:c r="K1453" s="70" t="s">
        <x:v>1761</x:v>
      </x:c>
      <x:c r="L1453" s="70"/>
      <x:c r="M1453" s="70" t="s">
        <x:v>39</x:v>
      </x:c>
      <x:c r="N1453" s="71" t="n">
        <x:v>35538301</x:v>
      </x:c>
      <x:c r="O1453" s="72" t="n">
        <x:f aca="0">N1453/1000</x:f>
        <x:v>35538.301</x:v>
      </x:c>
      <x:c r="P1453" s="73" t="n">
        <x:f aca="0">MLCF!D84</x:f>
        <x:v>35538.301</x:v>
      </x:c>
      <x:c r="Q1453" s="70" t="str">
        <x:f aca="0">IF(ABS(O1453-P1453)&lt;0.000001,"PASS","FAIL")</x:f>
        <x:v>PASS</x:v>
      </x:c>
      <x:c r="R1453" s="70" t="s">
        <x:v>33</x:v>
      </x:c>
      <x:c r="S1453" s="70" t="s">
        <x:v>839</x:v>
      </x:c>
    </x:row>
    <x:row r="1454" ht="15" hidden="0">
      <x:c r="A1454" s="70" t="s">
        <x:v>2444</x:v>
      </x:c>
      <x:c r="B1454" s="70" t="s">
        <x:v>41</x:v>
      </x:c>
      <x:c r="C1454" s="70" t="s">
        <x:v>102</x:v>
      </x:c>
      <x:c r="D1454" s="70" t="s">
        <x:v>224</x:v>
      </x:c>
      <x:c r="E1454" s="70" t="s">
        <x:v>1106</x:v>
      </x:c>
      <x:c r="F1454" s="70" t="s">
        <x:v>2443</x:v>
      </x:c>
      <x:c r="G1454" s="70" t="s">
        <x:v>1304</x:v>
      </x:c>
      <x:c r="H1454" s="70" t="s">
        <x:v>842</x:v>
      </x:c>
      <x:c r="I1454" s="70" t="s">
        <x:v>833</x:v>
      </x:c>
      <x:c r="J1454" s="70" t="n">
        <x:v>99</x:v>
      </x:c>
      <x:c r="K1454" s="70" t="s">
        <x:v>2445</x:v>
      </x:c>
      <x:c r="L1454" s="70"/>
      <x:c r="M1454" s="70" t="s">
        <x:v>39</x:v>
      </x:c>
      <x:c r="N1454" s="71" t="n">
        <x:v>48519622</x:v>
      </x:c>
      <x:c r="O1454" s="72" t="n">
        <x:f aca="0">N1454/1000</x:f>
        <x:v>48519.622</x:v>
      </x:c>
      <x:c r="P1454" s="73" t="n">
        <x:f aca="0">MLCF!E84</x:f>
        <x:v>48519.622</x:v>
      </x:c>
      <x:c r="Q1454" s="70" t="str">
        <x:f aca="0">IF(ABS(O1454-P1454)&lt;0.000001,"PASS","FAIL")</x:f>
        <x:v>PASS</x:v>
      </x:c>
      <x:c r="R1454" s="70" t="s">
        <x:v>33</x:v>
      </x:c>
      <x:c r="S1454" s="70"/>
    </x:row>
    <x:row r="1455" ht="15" hidden="0">
      <x:c r="A1455" s="70" t="s">
        <x:v>2446</x:v>
      </x:c>
      <x:c r="B1455" s="70" t="s">
        <x:v>41</x:v>
      </x:c>
      <x:c r="C1455" s="70" t="s">
        <x:v>103</x:v>
      </x:c>
      <x:c r="D1455" s="70" t="s">
        <x:v>224</x:v>
      </x:c>
      <x:c r="E1455" s="70" t="s">
        <x:v>1106</x:v>
      </x:c>
      <x:c r="F1455" s="70" t="s">
        <x:v>2001</x:v>
      </x:c>
      <x:c r="G1455" s="70" t="s">
        <x:v>1307</x:v>
      </x:c>
      <x:c r="H1455" s="70" t="s">
        <x:v>845</x:v>
      </x:c>
      <x:c r="I1455" s="70" t="s">
        <x:v>833</x:v>
      </x:c>
      <x:c r="J1455" s="70" t="n">
        <x:v>191</x:v>
      </x:c>
      <x:c r="K1455" s="70" t="s">
        <x:v>2447</x:v>
      </x:c>
      <x:c r="L1455" s="70"/>
      <x:c r="M1455" s="70" t="s">
        <x:v>39</x:v>
      </x:c>
      <x:c r="N1455" s="71" t="n">
        <x:v>62075259</x:v>
      </x:c>
      <x:c r="O1455" s="72" t="n">
        <x:f aca="0">N1455/1000</x:f>
        <x:v>62075.259</x:v>
      </x:c>
      <x:c r="P1455" s="73" t="n">
        <x:f aca="0">MLCF!F84</x:f>
        <x:v>62075.259</x:v>
      </x:c>
      <x:c r="Q1455" s="70" t="str">
        <x:f aca="0">IF(ABS(O1455-P1455)&lt;0.000001,"PASS","FAIL")</x:f>
        <x:v>PASS</x:v>
      </x:c>
      <x:c r="R1455" s="70" t="s">
        <x:v>33</x:v>
      </x:c>
      <x:c r="S1455" s="70"/>
    </x:row>
    <x:row r="1456" ht="15" hidden="0">
      <x:c r="A1456" s="70" t="s">
        <x:v>2448</x:v>
      </x:c>
      <x:c r="B1456" s="70" t="s">
        <x:v>41</x:v>
      </x:c>
      <x:c r="C1456" s="70" t="s">
        <x:v>104</x:v>
      </x:c>
      <x:c r="D1456" s="70" t="s">
        <x:v>224</x:v>
      </x:c>
      <x:c r="E1456" s="70" t="s">
        <x:v>1106</x:v>
      </x:c>
      <x:c r="F1456" s="70" t="s">
        <x:v>2006</x:v>
      </x:c>
      <x:c r="G1456" s="70" t="s">
        <x:v>1310</x:v>
      </x:c>
      <x:c r="H1456" s="70" t="s">
        <x:v>849</x:v>
      </x:c>
      <x:c r="I1456" s="70" t="s">
        <x:v>833</x:v>
      </x:c>
      <x:c r="J1456" s="70" t="n">
        <x:v>203</x:v>
      </x:c>
      <x:c r="K1456" s="70" t="s">
        <x:v>2449</x:v>
      </x:c>
      <x:c r="L1456" s="70"/>
      <x:c r="M1456" s="70" t="s">
        <x:v>39</x:v>
      </x:c>
      <x:c r="N1456" s="71" t="n">
        <x:v>66452348</x:v>
      </x:c>
      <x:c r="O1456" s="72" t="n">
        <x:f aca="0">N1456/1000</x:f>
        <x:v>66452.348</x:v>
      </x:c>
      <x:c r="P1456" s="73" t="n">
        <x:f aca="0">MLCF!G84</x:f>
        <x:v>66452.348</x:v>
      </x:c>
      <x:c r="Q1456" s="70" t="str">
        <x:f aca="0">IF(ABS(O1456-P1456)&lt;0.000001,"PASS","FAIL")</x:f>
        <x:v>PASS</x:v>
      </x:c>
      <x:c r="R1456" s="70" t="s">
        <x:v>33</x:v>
      </x:c>
      <x:c r="S1456" s="70"/>
    </x:row>
    <x:row r="1457" ht="15" hidden="0">
      <x:c r="A1457" s="70" t="s">
        <x:v>2450</x:v>
      </x:c>
      <x:c r="B1457" s="70" t="s">
        <x:v>41</x:v>
      </x:c>
      <x:c r="C1457" s="70" t="s">
        <x:v>105</x:v>
      </x:c>
      <x:c r="D1457" s="70" t="s">
        <x:v>224</x:v>
      </x:c>
      <x:c r="E1457" s="70" t="s">
        <x:v>1106</x:v>
      </x:c>
      <x:c r="F1457" s="70" t="s">
        <x:v>2006</x:v>
      </x:c>
      <x:c r="G1457" s="70" t="s">
        <x:v>1310</x:v>
      </x:c>
      <x:c r="H1457" s="70" t="s">
        <x:v>849</x:v>
      </x:c>
      <x:c r="I1457" s="70" t="s">
        <x:v>852</x:v>
      </x:c>
      <x:c r="J1457" s="70" t="n">
        <x:v>203</x:v>
      </x:c>
      <x:c r="K1457" s="70" t="s">
        <x:v>2449</x:v>
      </x:c>
      <x:c r="L1457" s="70"/>
      <x:c r="M1457" s="70" t="s">
        <x:v>39</x:v>
      </x:c>
      <x:c r="N1457" s="71" t="n">
        <x:v>68942446</x:v>
      </x:c>
      <x:c r="O1457" s="72" t="n">
        <x:f aca="0">N1457/1000</x:f>
        <x:v>68942.446</x:v>
      </x:c>
      <x:c r="P1457" s="73" t="n">
        <x:f aca="0">MLCF!H84</x:f>
        <x:v>68942.446</x:v>
      </x:c>
      <x:c r="Q1457" s="70" t="str">
        <x:f aca="0">IF(ABS(O1457-P1457)&lt;0.000001,"PASS","FAIL")</x:f>
        <x:v>PASS</x:v>
      </x:c>
      <x:c r="R1457" s="70" t="s">
        <x:v>33</x:v>
      </x:c>
      <x:c r="S1457" s="70"/>
    </x:row>
    <x:row r="1458" ht="15" hidden="0">
      <x:c r="A1458" s="70" t="s">
        <x:v>2451</x:v>
      </x:c>
      <x:c r="B1458" s="70" t="s">
        <x:v>41</x:v>
      </x:c>
      <x:c r="C1458" s="70" t="s">
        <x:v>101</x:v>
      </x:c>
      <x:c r="D1458" s="70" t="s">
        <x:v>226</x:v>
      </x:c>
      <x:c r="E1458" s="70" t="s">
        <x:v>1106</x:v>
      </x:c>
      <x:c r="F1458" s="70" t="s">
        <x:v>226</x:v>
      </x:c>
      <x:c r="G1458" s="70" t="s">
        <x:v>1301</x:v>
      </x:c>
      <x:c r="H1458" s="70" t="s">
        <x:v>838</x:v>
      </x:c>
      <x:c r="I1458" s="70" t="s">
        <x:v>833</x:v>
      </x:c>
      <x:c r="J1458" s="70" t="n">
        <x:v>185</x:v>
      </x:c>
      <x:c r="K1458" s="70" t="s">
        <x:v>1761</x:v>
      </x:c>
      <x:c r="L1458" s="70"/>
      <x:c r="M1458" s="70" t="s">
        <x:v>39</x:v>
      </x:c>
      <x:c r="N1458" s="71" t="n">
        <x:v>-28135419</x:v>
      </x:c>
      <x:c r="O1458" s="72" t="n">
        <x:f aca="0">N1458/1000</x:f>
        <x:v>-28135.419</x:v>
      </x:c>
      <x:c r="P1458" s="73" t="n">
        <x:f aca="0">MLCF!D85</x:f>
        <x:v>-28135.419</x:v>
      </x:c>
      <x:c r="Q1458" s="70" t="str">
        <x:f aca="0">IF(ABS(O1458-P1458)&lt;0.000001,"PASS","FAIL")</x:f>
        <x:v>PASS</x:v>
      </x:c>
      <x:c r="R1458" s="70" t="s">
        <x:v>33</x:v>
      </x:c>
      <x:c r="S1458" s="70"/>
    </x:row>
    <x:row r="1459" ht="15" hidden="0">
      <x:c r="A1459" s="70" t="s">
        <x:v>2452</x:v>
      </x:c>
      <x:c r="B1459" s="70" t="s">
        <x:v>41</x:v>
      </x:c>
      <x:c r="C1459" s="70" t="s">
        <x:v>102</x:v>
      </x:c>
      <x:c r="D1459" s="70" t="s">
        <x:v>226</x:v>
      </x:c>
      <x:c r="E1459" s="70" t="s">
        <x:v>1106</x:v>
      </x:c>
      <x:c r="F1459" s="70" t="s">
        <x:v>226</x:v>
      </x:c>
      <x:c r="G1459" s="70" t="s">
        <x:v>1304</x:v>
      </x:c>
      <x:c r="H1459" s="70" t="s">
        <x:v>842</x:v>
      </x:c>
      <x:c r="I1459" s="70" t="s">
        <x:v>833</x:v>
      </x:c>
      <x:c r="J1459" s="70" t="n">
        <x:v>99</x:v>
      </x:c>
      <x:c r="K1459" s="70" t="s">
        <x:v>2445</x:v>
      </x:c>
      <x:c r="L1459" s="70"/>
      <x:c r="M1459" s="70" t="s">
        <x:v>39</x:v>
      </x:c>
      <x:c r="N1459" s="71" t="n">
        <x:v>-36244156</x:v>
      </x:c>
      <x:c r="O1459" s="72" t="n">
        <x:f aca="0">N1459/1000</x:f>
        <x:v>-36244.156</x:v>
      </x:c>
      <x:c r="P1459" s="73" t="n">
        <x:f aca="0">MLCF!E85</x:f>
        <x:v>-36244.156</x:v>
      </x:c>
      <x:c r="Q1459" s="70" t="str">
        <x:f aca="0">IF(ABS(O1459-P1459)&lt;0.000001,"PASS","FAIL")</x:f>
        <x:v>PASS</x:v>
      </x:c>
      <x:c r="R1459" s="70" t="s">
        <x:v>33</x:v>
      </x:c>
      <x:c r="S1459" s="70"/>
    </x:row>
    <x:row r="1460" ht="15" hidden="0">
      <x:c r="A1460" s="70" t="s">
        <x:v>2453</x:v>
      </x:c>
      <x:c r="B1460" s="70" t="s">
        <x:v>41</x:v>
      </x:c>
      <x:c r="C1460" s="70" t="s">
        <x:v>103</x:v>
      </x:c>
      <x:c r="D1460" s="70" t="s">
        <x:v>226</x:v>
      </x:c>
      <x:c r="E1460" s="70" t="s">
        <x:v>1106</x:v>
      </x:c>
      <x:c r="F1460" s="70" t="s">
        <x:v>226</x:v>
      </x:c>
      <x:c r="G1460" s="70" t="s">
        <x:v>1307</x:v>
      </x:c>
      <x:c r="H1460" s="70" t="s">
        <x:v>845</x:v>
      </x:c>
      <x:c r="I1460" s="70" t="s">
        <x:v>833</x:v>
      </x:c>
      <x:c r="J1460" s="70" t="n">
        <x:v>191</x:v>
      </x:c>
      <x:c r="K1460" s="70" t="s">
        <x:v>2447</x:v>
      </x:c>
      <x:c r="L1460" s="70"/>
      <x:c r="M1460" s="70" t="s">
        <x:v>39</x:v>
      </x:c>
      <x:c r="N1460" s="71" t="n">
        <x:v>-43901906</x:v>
      </x:c>
      <x:c r="O1460" s="72" t="n">
        <x:f aca="0">N1460/1000</x:f>
        <x:v>-43901.906</x:v>
      </x:c>
      <x:c r="P1460" s="73" t="n">
        <x:f aca="0">MLCF!F85</x:f>
        <x:v>-43901.906</x:v>
      </x:c>
      <x:c r="Q1460" s="70" t="str">
        <x:f aca="0">IF(ABS(O1460-P1460)&lt;0.000001,"PASS","FAIL")</x:f>
        <x:v>PASS</x:v>
      </x:c>
      <x:c r="R1460" s="70" t="s">
        <x:v>33</x:v>
      </x:c>
      <x:c r="S1460" s="70" t="s">
        <x:v>839</x:v>
      </x:c>
    </x:row>
    <x:row r="1461" ht="15" hidden="0">
      <x:c r="A1461" s="70" t="s">
        <x:v>2454</x:v>
      </x:c>
      <x:c r="B1461" s="70" t="s">
        <x:v>41</x:v>
      </x:c>
      <x:c r="C1461" s="70" t="s">
        <x:v>104</x:v>
      </x:c>
      <x:c r="D1461" s="70" t="s">
        <x:v>226</x:v>
      </x:c>
      <x:c r="E1461" s="70" t="s">
        <x:v>1106</x:v>
      </x:c>
      <x:c r="F1461" s="70" t="s">
        <x:v>226</x:v>
      </x:c>
      <x:c r="G1461" s="70" t="s">
        <x:v>1310</x:v>
      </x:c>
      <x:c r="H1461" s="70" t="s">
        <x:v>849</x:v>
      </x:c>
      <x:c r="I1461" s="70" t="s">
        <x:v>833</x:v>
      </x:c>
      <x:c r="J1461" s="70" t="n">
        <x:v>203</x:v>
      </x:c>
      <x:c r="K1461" s="70" t="s">
        <x:v>2449</x:v>
      </x:c>
      <x:c r="L1461" s="70"/>
      <x:c r="M1461" s="70" t="s">
        <x:v>39</x:v>
      </x:c>
      <x:c r="N1461" s="71" t="n">
        <x:v>-45488064</x:v>
      </x:c>
      <x:c r="O1461" s="72" t="n">
        <x:f aca="0">N1461/1000</x:f>
        <x:v>-45488.064</x:v>
      </x:c>
      <x:c r="P1461" s="73" t="n">
        <x:f aca="0">MLCF!G85</x:f>
        <x:v>-45488.064</x:v>
      </x:c>
      <x:c r="Q1461" s="70" t="str">
        <x:f aca="0">IF(ABS(O1461-P1461)&lt;0.000001,"PASS","FAIL")</x:f>
        <x:v>PASS</x:v>
      </x:c>
      <x:c r="R1461" s="70" t="s">
        <x:v>33</x:v>
      </x:c>
      <x:c r="S1461" s="70"/>
    </x:row>
    <x:row r="1462" ht="15" hidden="0">
      <x:c r="A1462" s="70" t="s">
        <x:v>2455</x:v>
      </x:c>
      <x:c r="B1462" s="70" t="s">
        <x:v>41</x:v>
      </x:c>
      <x:c r="C1462" s="70" t="s">
        <x:v>105</x:v>
      </x:c>
      <x:c r="D1462" s="70" t="s">
        <x:v>226</x:v>
      </x:c>
      <x:c r="E1462" s="70" t="s">
        <x:v>1106</x:v>
      </x:c>
      <x:c r="F1462" s="70" t="s">
        <x:v>226</x:v>
      </x:c>
      <x:c r="G1462" s="70" t="s">
        <x:v>1310</x:v>
      </x:c>
      <x:c r="H1462" s="70" t="s">
        <x:v>849</x:v>
      </x:c>
      <x:c r="I1462" s="70" t="s">
        <x:v>852</x:v>
      </x:c>
      <x:c r="J1462" s="70" t="n">
        <x:v>203</x:v>
      </x:c>
      <x:c r="K1462" s="70" t="s">
        <x:v>2449</x:v>
      </x:c>
      <x:c r="L1462" s="70"/>
      <x:c r="M1462" s="70" t="s">
        <x:v>39</x:v>
      </x:c>
      <x:c r="N1462" s="71" t="n">
        <x:v>-45195630</x:v>
      </x:c>
      <x:c r="O1462" s="72" t="n">
        <x:f aca="0">N1462/1000</x:f>
        <x:v>-45195.63</x:v>
      </x:c>
      <x:c r="P1462" s="73" t="n">
        <x:f aca="0">MLCF!H85</x:f>
        <x:v>-45195.63</x:v>
      </x:c>
      <x:c r="Q1462" s="70" t="str">
        <x:f aca="0">IF(ABS(O1462-P1462)&lt;0.000001,"PASS","FAIL")</x:f>
        <x:v>PASS</x:v>
      </x:c>
      <x:c r="R1462" s="70" t="s">
        <x:v>33</x:v>
      </x:c>
      <x:c r="S1462" s="70"/>
    </x:row>
    <x:row r="1463" ht="15" hidden="0">
      <x:c r="A1463" s="70" t="s">
        <x:v>2456</x:v>
      </x:c>
      <x:c r="B1463" s="70" t="s">
        <x:v>41</x:v>
      </x:c>
      <x:c r="C1463" s="70" t="s">
        <x:v>101</x:v>
      </x:c>
      <x:c r="D1463" s="70" t="s">
        <x:v>230</x:v>
      </x:c>
      <x:c r="E1463" s="70" t="s">
        <x:v>1106</x:v>
      </x:c>
      <x:c r="F1463" s="70" t="s">
        <x:v>1567</x:v>
      </x:c>
      <x:c r="G1463" s="70" t="s">
        <x:v>1301</x:v>
      </x:c>
      <x:c r="H1463" s="70" t="s">
        <x:v>838</x:v>
      </x:c>
      <x:c r="I1463" s="70" t="s">
        <x:v>833</x:v>
      </x:c>
      <x:c r="J1463" s="70" t="n">
        <x:v>185</x:v>
      </x:c>
      <x:c r="K1463" s="70" t="s">
        <x:v>1761</x:v>
      </x:c>
      <x:c r="L1463" s="70"/>
      <x:c r="M1463" s="70" t="s">
        <x:v>39</x:v>
      </x:c>
      <x:c r="N1463" s="71" t="n">
        <x:v>-1013852</x:v>
      </x:c>
      <x:c r="O1463" s="72" t="n">
        <x:f aca="0">N1463/1000</x:f>
        <x:v>-1013.852</x:v>
      </x:c>
      <x:c r="P1463" s="73" t="n">
        <x:f aca="0">MLCF!D87</x:f>
        <x:v>-1013.852</x:v>
      </x:c>
      <x:c r="Q1463" s="70" t="str">
        <x:f aca="0">IF(ABS(O1463-P1463)&lt;0.000001,"PASS","FAIL")</x:f>
        <x:v>PASS</x:v>
      </x:c>
      <x:c r="R1463" s="70" t="s">
        <x:v>33</x:v>
      </x:c>
      <x:c r="S1463" s="70" t="s">
        <x:v>839</x:v>
      </x:c>
    </x:row>
    <x:row r="1464" ht="15" hidden="0">
      <x:c r="A1464" s="70" t="s">
        <x:v>2457</x:v>
      </x:c>
      <x:c r="B1464" s="70" t="s">
        <x:v>41</x:v>
      </x:c>
      <x:c r="C1464" s="70" t="s">
        <x:v>102</x:v>
      </x:c>
      <x:c r="D1464" s="70" t="s">
        <x:v>230</x:v>
      </x:c>
      <x:c r="E1464" s="70" t="s">
        <x:v>1106</x:v>
      </x:c>
      <x:c r="F1464" s="70" t="s">
        <x:v>1567</x:v>
      </x:c>
      <x:c r="G1464" s="70" t="s">
        <x:v>1304</x:v>
      </x:c>
      <x:c r="H1464" s="70" t="s">
        <x:v>842</x:v>
      </x:c>
      <x:c r="I1464" s="70" t="s">
        <x:v>833</x:v>
      </x:c>
      <x:c r="J1464" s="70" t="n">
        <x:v>99</x:v>
      </x:c>
      <x:c r="K1464" s="70" t="s">
        <x:v>2445</x:v>
      </x:c>
      <x:c r="L1464" s="70"/>
      <x:c r="M1464" s="70" t="s">
        <x:v>39</x:v>
      </x:c>
      <x:c r="N1464" s="71" t="n">
        <x:v>-1483876</x:v>
      </x:c>
      <x:c r="O1464" s="72" t="n">
        <x:f aca="0">N1464/1000</x:f>
        <x:v>-1483.876</x:v>
      </x:c>
      <x:c r="P1464" s="73" t="n">
        <x:f aca="0">MLCF!E87</x:f>
        <x:v>-1483.876</x:v>
      </x:c>
      <x:c r="Q1464" s="70" t="str">
        <x:f aca="0">IF(ABS(O1464-P1464)&lt;0.000001,"PASS","FAIL")</x:f>
        <x:v>PASS</x:v>
      </x:c>
      <x:c r="R1464" s="70" t="s">
        <x:v>33</x:v>
      </x:c>
      <x:c r="S1464" s="70"/>
    </x:row>
    <x:row r="1465" ht="15" hidden="0">
      <x:c r="A1465" s="70" t="s">
        <x:v>2458</x:v>
      </x:c>
      <x:c r="B1465" s="70" t="s">
        <x:v>41</x:v>
      </x:c>
      <x:c r="C1465" s="70" t="s">
        <x:v>103</x:v>
      </x:c>
      <x:c r="D1465" s="70" t="s">
        <x:v>230</x:v>
      </x:c>
      <x:c r="E1465" s="70" t="s">
        <x:v>1106</x:v>
      </x:c>
      <x:c r="F1465" s="70" t="s">
        <x:v>230</x:v>
      </x:c>
      <x:c r="G1465" s="70" t="s">
        <x:v>1307</x:v>
      </x:c>
      <x:c r="H1465" s="70" t="s">
        <x:v>845</x:v>
      </x:c>
      <x:c r="I1465" s="70" t="s">
        <x:v>833</x:v>
      </x:c>
      <x:c r="J1465" s="70" t="n">
        <x:v>191</x:v>
      </x:c>
      <x:c r="K1465" s="70" t="s">
        <x:v>2447</x:v>
      </x:c>
      <x:c r="L1465" s="70"/>
      <x:c r="M1465" s="70" t="s">
        <x:v>39</x:v>
      </x:c>
      <x:c r="N1465" s="71" t="n">
        <x:v>-3751096</x:v>
      </x:c>
      <x:c r="O1465" s="72" t="n">
        <x:f aca="0">N1465/1000</x:f>
        <x:v>-3751.096</x:v>
      </x:c>
      <x:c r="P1465" s="73" t="n">
        <x:f aca="0">MLCF!F87</x:f>
        <x:v>-3751.096</x:v>
      </x:c>
      <x:c r="Q1465" s="70" t="str">
        <x:f aca="0">IF(ABS(O1465-P1465)&lt;0.000001,"PASS","FAIL")</x:f>
        <x:v>PASS</x:v>
      </x:c>
      <x:c r="R1465" s="70" t="s">
        <x:v>33</x:v>
      </x:c>
      <x:c r="S1465" s="70" t="s">
        <x:v>839</x:v>
      </x:c>
    </x:row>
    <x:row r="1466" ht="15" hidden="0">
      <x:c r="A1466" s="70" t="s">
        <x:v>2459</x:v>
      </x:c>
      <x:c r="B1466" s="70" t="s">
        <x:v>41</x:v>
      </x:c>
      <x:c r="C1466" s="70" t="s">
        <x:v>104</x:v>
      </x:c>
      <x:c r="D1466" s="70" t="s">
        <x:v>230</x:v>
      </x:c>
      <x:c r="E1466" s="70" t="s">
        <x:v>1106</x:v>
      </x:c>
      <x:c r="F1466" s="70" t="s">
        <x:v>230</x:v>
      </x:c>
      <x:c r="G1466" s="70" t="s">
        <x:v>1310</x:v>
      </x:c>
      <x:c r="H1466" s="70" t="s">
        <x:v>849</x:v>
      </x:c>
      <x:c r="I1466" s="70" t="s">
        <x:v>833</x:v>
      </x:c>
      <x:c r="J1466" s="70" t="n">
        <x:v>203</x:v>
      </x:c>
      <x:c r="K1466" s="70" t="s">
        <x:v>2449</x:v>
      </x:c>
      <x:c r="L1466" s="70"/>
      <x:c r="M1466" s="70" t="s">
        <x:v>39</x:v>
      </x:c>
      <x:c r="N1466" s="71" t="n">
        <x:v>-5471808</x:v>
      </x:c>
      <x:c r="O1466" s="72" t="n">
        <x:f aca="0">N1466/1000</x:f>
        <x:v>-5471.808</x:v>
      </x:c>
      <x:c r="P1466" s="73" t="n">
        <x:f aca="0">MLCF!G87</x:f>
        <x:v>-5471.808</x:v>
      </x:c>
      <x:c r="Q1466" s="70" t="str">
        <x:f aca="0">IF(ABS(O1466-P1466)&lt;0.000001,"PASS","FAIL")</x:f>
        <x:v>PASS</x:v>
      </x:c>
      <x:c r="R1466" s="70" t="s">
        <x:v>33</x:v>
      </x:c>
      <x:c r="S1466" s="70"/>
    </x:row>
    <x:row r="1467" ht="15" hidden="0">
      <x:c r="A1467" s="70" t="s">
        <x:v>2460</x:v>
      </x:c>
      <x:c r="B1467" s="70" t="s">
        <x:v>41</x:v>
      </x:c>
      <x:c r="C1467" s="70" t="s">
        <x:v>105</x:v>
      </x:c>
      <x:c r="D1467" s="70" t="s">
        <x:v>230</x:v>
      </x:c>
      <x:c r="E1467" s="70" t="s">
        <x:v>1106</x:v>
      </x:c>
      <x:c r="F1467" s="70" t="s">
        <x:v>230</x:v>
      </x:c>
      <x:c r="G1467" s="70" t="s">
        <x:v>1310</x:v>
      </x:c>
      <x:c r="H1467" s="70" t="s">
        <x:v>849</x:v>
      </x:c>
      <x:c r="I1467" s="70" t="s">
        <x:v>852</x:v>
      </x:c>
      <x:c r="J1467" s="70" t="n">
        <x:v>203</x:v>
      </x:c>
      <x:c r="K1467" s="70" t="s">
        <x:v>2449</x:v>
      </x:c>
      <x:c r="L1467" s="70"/>
      <x:c r="M1467" s="70" t="s">
        <x:v>39</x:v>
      </x:c>
      <x:c r="N1467" s="71" t="n">
        <x:v>-4123754</x:v>
      </x:c>
      <x:c r="O1467" s="72" t="n">
        <x:f aca="0">N1467/1000</x:f>
        <x:v>-4123.754</x:v>
      </x:c>
      <x:c r="P1467" s="73" t="n">
        <x:f aca="0">MLCF!H87</x:f>
        <x:v>-4123.754</x:v>
      </x:c>
      <x:c r="Q1467" s="70" t="str">
        <x:f aca="0">IF(ABS(O1467-P1467)&lt;0.000001,"PASS","FAIL")</x:f>
        <x:v>PASS</x:v>
      </x:c>
      <x:c r="R1467" s="70" t="s">
        <x:v>33</x:v>
      </x:c>
      <x:c r="S1467" s="70"/>
    </x:row>
    <x:row r="1468" ht="15" hidden="0">
      <x:c r="A1468" s="70" t="s">
        <x:v>2461</x:v>
      </x:c>
      <x:c r="B1468" s="70" t="s">
        <x:v>41</x:v>
      </x:c>
      <x:c r="C1468" s="70" t="s">
        <x:v>101</x:v>
      </x:c>
      <x:c r="D1468" s="70" t="s">
        <x:v>232</x:v>
      </x:c>
      <x:c r="E1468" s="70" t="s">
        <x:v>1106</x:v>
      </x:c>
      <x:c r="F1468" s="70" t="s">
        <x:v>232</x:v>
      </x:c>
      <x:c r="G1468" s="70" t="s">
        <x:v>1301</x:v>
      </x:c>
      <x:c r="H1468" s="70" t="s">
        <x:v>838</x:v>
      </x:c>
      <x:c r="I1468" s="70" t="s">
        <x:v>833</x:v>
      </x:c>
      <x:c r="J1468" s="70" t="n">
        <x:v>185</x:v>
      </x:c>
      <x:c r="K1468" s="70" t="s">
        <x:v>1761</x:v>
      </x:c>
      <x:c r="L1468" s="70"/>
      <x:c r="M1468" s="70" t="s">
        <x:v>39</x:v>
      </x:c>
      <x:c r="N1468" s="71" t="n">
        <x:v>-813489</x:v>
      </x:c>
      <x:c r="O1468" s="72" t="n">
        <x:f aca="0">N1468/1000</x:f>
        <x:v>-813.489</x:v>
      </x:c>
      <x:c r="P1468" s="73" t="n">
        <x:f aca="0">MLCF!D88</x:f>
        <x:v>-813.489</x:v>
      </x:c>
      <x:c r="Q1468" s="70" t="str">
        <x:f aca="0">IF(ABS(O1468-P1468)&lt;0.000001,"PASS","FAIL")</x:f>
        <x:v>PASS</x:v>
      </x:c>
      <x:c r="R1468" s="70" t="s">
        <x:v>33</x:v>
      </x:c>
      <x:c r="S1468" s="70" t="s">
        <x:v>839</x:v>
      </x:c>
    </x:row>
    <x:row r="1469" ht="15" hidden="0">
      <x:c r="A1469" s="70" t="s">
        <x:v>2462</x:v>
      </x:c>
      <x:c r="B1469" s="70" t="s">
        <x:v>41</x:v>
      </x:c>
      <x:c r="C1469" s="70" t="s">
        <x:v>102</x:v>
      </x:c>
      <x:c r="D1469" s="70" t="s">
        <x:v>232</x:v>
      </x:c>
      <x:c r="E1469" s="70" t="s">
        <x:v>1106</x:v>
      </x:c>
      <x:c r="F1469" s="70" t="s">
        <x:v>232</x:v>
      </x:c>
      <x:c r="G1469" s="70" t="s">
        <x:v>1304</x:v>
      </x:c>
      <x:c r="H1469" s="70" t="s">
        <x:v>842</x:v>
      </x:c>
      <x:c r="I1469" s="70" t="s">
        <x:v>833</x:v>
      </x:c>
      <x:c r="J1469" s="70" t="n">
        <x:v>99</x:v>
      </x:c>
      <x:c r="K1469" s="70" t="s">
        <x:v>2445</x:v>
      </x:c>
      <x:c r="L1469" s="70"/>
      <x:c r="M1469" s="70" t="s">
        <x:v>39</x:v>
      </x:c>
      <x:c r="N1469" s="71" t="n">
        <x:v>-971453</x:v>
      </x:c>
      <x:c r="O1469" s="72" t="n">
        <x:f aca="0">N1469/1000</x:f>
        <x:v>-971.453</x:v>
      </x:c>
      <x:c r="P1469" s="73" t="n">
        <x:f aca="0">MLCF!E88</x:f>
        <x:v>-971.453</x:v>
      </x:c>
      <x:c r="Q1469" s="70" t="str">
        <x:f aca="0">IF(ABS(O1469-P1469)&lt;0.000001,"PASS","FAIL")</x:f>
        <x:v>PASS</x:v>
      </x:c>
      <x:c r="R1469" s="70" t="s">
        <x:v>33</x:v>
      </x:c>
      <x:c r="S1469" s="70"/>
    </x:row>
    <x:row r="1470" ht="15" hidden="0">
      <x:c r="A1470" s="70" t="s">
        <x:v>2463</x:v>
      </x:c>
      <x:c r="B1470" s="70" t="s">
        <x:v>41</x:v>
      </x:c>
      <x:c r="C1470" s="70" t="s">
        <x:v>103</x:v>
      </x:c>
      <x:c r="D1470" s="70" t="s">
        <x:v>232</x:v>
      </x:c>
      <x:c r="E1470" s="70" t="s">
        <x:v>1106</x:v>
      </x:c>
      <x:c r="F1470" s="70" t="s">
        <x:v>232</x:v>
      </x:c>
      <x:c r="G1470" s="70" t="s">
        <x:v>1307</x:v>
      </x:c>
      <x:c r="H1470" s="70" t="s">
        <x:v>845</x:v>
      </x:c>
      <x:c r="I1470" s="70" t="s">
        <x:v>833</x:v>
      </x:c>
      <x:c r="J1470" s="70" t="n">
        <x:v>191</x:v>
      </x:c>
      <x:c r="K1470" s="70" t="s">
        <x:v>2447</x:v>
      </x:c>
      <x:c r="L1470" s="70"/>
      <x:c r="M1470" s="70" t="s">
        <x:v>39</x:v>
      </x:c>
      <x:c r="N1470" s="71" t="n">
        <x:v>-1380607</x:v>
      </x:c>
      <x:c r="O1470" s="72" t="n">
        <x:f aca="0">N1470/1000</x:f>
        <x:v>-1380.607</x:v>
      </x:c>
      <x:c r="P1470" s="73" t="n">
        <x:f aca="0">MLCF!F88</x:f>
        <x:v>-1380.607</x:v>
      </x:c>
      <x:c r="Q1470" s="70" t="str">
        <x:f aca="0">IF(ABS(O1470-P1470)&lt;0.000001,"PASS","FAIL")</x:f>
        <x:v>PASS</x:v>
      </x:c>
      <x:c r="R1470" s="70" t="s">
        <x:v>33</x:v>
      </x:c>
      <x:c r="S1470" s="70"/>
    </x:row>
    <x:row r="1471" ht="15" hidden="0">
      <x:c r="A1471" s="70" t="s">
        <x:v>2464</x:v>
      </x:c>
      <x:c r="B1471" s="70" t="s">
        <x:v>41</x:v>
      </x:c>
      <x:c r="C1471" s="70" t="s">
        <x:v>104</x:v>
      </x:c>
      <x:c r="D1471" s="70" t="s">
        <x:v>232</x:v>
      </x:c>
      <x:c r="E1471" s="70" t="s">
        <x:v>1106</x:v>
      </x:c>
      <x:c r="F1471" s="70" t="s">
        <x:v>232</x:v>
      </x:c>
      <x:c r="G1471" s="70" t="s">
        <x:v>1310</x:v>
      </x:c>
      <x:c r="H1471" s="70" t="s">
        <x:v>849</x:v>
      </x:c>
      <x:c r="I1471" s="70" t="s">
        <x:v>833</x:v>
      </x:c>
      <x:c r="J1471" s="70" t="n">
        <x:v>203</x:v>
      </x:c>
      <x:c r="K1471" s="70" t="s">
        <x:v>2449</x:v>
      </x:c>
      <x:c r="L1471" s="70"/>
      <x:c r="M1471" s="70" t="s">
        <x:v>39</x:v>
      </x:c>
      <x:c r="N1471" s="71" t="n">
        <x:v>-1852148</x:v>
      </x:c>
      <x:c r="O1471" s="72" t="n">
        <x:f aca="0">N1471/1000</x:f>
        <x:v>-1852.148</x:v>
      </x:c>
      <x:c r="P1471" s="73" t="n">
        <x:f aca="0">MLCF!G88</x:f>
        <x:v>-1852.148</x:v>
      </x:c>
      <x:c r="Q1471" s="70" t="str">
        <x:f aca="0">IF(ABS(O1471-P1471)&lt;0.000001,"PASS","FAIL")</x:f>
        <x:v>PASS</x:v>
      </x:c>
      <x:c r="R1471" s="70" t="s">
        <x:v>33</x:v>
      </x:c>
      <x:c r="S1471" s="70"/>
    </x:row>
    <x:row r="1472" ht="15" hidden="0">
      <x:c r="A1472" s="70" t="s">
        <x:v>2465</x:v>
      </x:c>
      <x:c r="B1472" s="70" t="s">
        <x:v>41</x:v>
      </x:c>
      <x:c r="C1472" s="70" t="s">
        <x:v>105</x:v>
      </x:c>
      <x:c r="D1472" s="70" t="s">
        <x:v>232</x:v>
      </x:c>
      <x:c r="E1472" s="70" t="s">
        <x:v>1106</x:v>
      </x:c>
      <x:c r="F1472" s="70" t="s">
        <x:v>232</x:v>
      </x:c>
      <x:c r="G1472" s="70" t="s">
        <x:v>1310</x:v>
      </x:c>
      <x:c r="H1472" s="70" t="s">
        <x:v>849</x:v>
      </x:c>
      <x:c r="I1472" s="70" t="s">
        <x:v>852</x:v>
      </x:c>
      <x:c r="J1472" s="70" t="n">
        <x:v>203</x:v>
      </x:c>
      <x:c r="K1472" s="70" t="s">
        <x:v>2449</x:v>
      </x:c>
      <x:c r="L1472" s="70"/>
      <x:c r="M1472" s="70" t="s">
        <x:v>39</x:v>
      </x:c>
      <x:c r="N1472" s="71" t="n">
        <x:v>-2176320</x:v>
      </x:c>
      <x:c r="O1472" s="72" t="n">
        <x:f aca="0">N1472/1000</x:f>
        <x:v>-2176.32</x:v>
      </x:c>
      <x:c r="P1472" s="73" t="n">
        <x:f aca="0">MLCF!H88</x:f>
        <x:v>-2176.32</x:v>
      </x:c>
      <x:c r="Q1472" s="70" t="str">
        <x:f aca="0">IF(ABS(O1472-P1472)&lt;0.000001,"PASS","FAIL")</x:f>
        <x:v>PASS</x:v>
      </x:c>
      <x:c r="R1472" s="70" t="s">
        <x:v>33</x:v>
      </x:c>
      <x:c r="S1472" s="70"/>
    </x:row>
    <x:row r="1473" ht="15" hidden="0">
      <x:c r="A1473" s="70" t="s">
        <x:v>2466</x:v>
      </x:c>
      <x:c r="B1473" s="70" t="s">
        <x:v>41</x:v>
      </x:c>
      <x:c r="C1473" s="70" t="s">
        <x:v>101</x:v>
      </x:c>
      <x:c r="D1473" s="70" t="s">
        <x:v>234</x:v>
      </x:c>
      <x:c r="E1473" s="70" t="s">
        <x:v>1106</x:v>
      </x:c>
      <x:c r="F1473" s="70"/>
      <x:c r="G1473" s="70" t="s">
        <x:v>1301</x:v>
      </x:c>
      <x:c r="H1473" s="70" t="s">
        <x:v>838</x:v>
      </x:c>
      <x:c r="I1473" s="70" t="s">
        <x:v>833</x:v>
      </x:c>
      <x:c r="J1473" s="70" t="n">
        <x:v>185</x:v>
      </x:c>
      <x:c r="K1473" s="70" t="s">
        <x:v>1761</x:v>
      </x:c>
      <x:c r="L1473" s="70"/>
      <x:c r="M1473" s="70" t="s">
        <x:v>39</x:v>
      </x:c>
      <x:c r="N1473" s="71" t="n">
        <x:v>0</x:v>
      </x:c>
      <x:c r="O1473" s="72" t="n">
        <x:f aca="0">N1473/1000</x:f>
        <x:v>0</x:v>
      </x:c>
      <x:c r="P1473" s="73" t="n">
        <x:f aca="0">MLCF!D89</x:f>
        <x:v>0</x:v>
      </x:c>
      <x:c r="Q1473" s="70" t="str">
        <x:f aca="0">IF(ABS(O1473-P1473)&lt;0.000001,"PASS","FAIL")</x:f>
        <x:v>PASS</x:v>
      </x:c>
      <x:c r="R1473" s="70" t="s">
        <x:v>33</x:v>
      </x:c>
      <x:c r="S1473" s="70"/>
    </x:row>
    <x:row r="1474" ht="15" hidden="0">
      <x:c r="A1474" s="70" t="s">
        <x:v>2467</x:v>
      </x:c>
      <x:c r="B1474" s="70" t="s">
        <x:v>41</x:v>
      </x:c>
      <x:c r="C1474" s="70" t="s">
        <x:v>102</x:v>
      </x:c>
      <x:c r="D1474" s="70" t="s">
        <x:v>234</x:v>
      </x:c>
      <x:c r="E1474" s="70" t="s">
        <x:v>1106</x:v>
      </x:c>
      <x:c r="F1474" s="70" t="s">
        <x:v>2026</x:v>
      </x:c>
      <x:c r="G1474" s="70" t="s">
        <x:v>1304</x:v>
      </x:c>
      <x:c r="H1474" s="70" t="s">
        <x:v>842</x:v>
      </x:c>
      <x:c r="I1474" s="70" t="s">
        <x:v>833</x:v>
      </x:c>
      <x:c r="J1474" s="70" t="n">
        <x:v>99</x:v>
      </x:c>
      <x:c r="K1474" s="70" t="s">
        <x:v>2445</x:v>
      </x:c>
      <x:c r="L1474" s="70"/>
      <x:c r="M1474" s="70" t="s">
        <x:v>39</x:v>
      </x:c>
      <x:c r="N1474" s="71" t="n">
        <x:v>-209920</x:v>
      </x:c>
      <x:c r="O1474" s="72" t="n">
        <x:f aca="0">N1474/1000</x:f>
        <x:v>-209.92</x:v>
      </x:c>
      <x:c r="P1474" s="73" t="n">
        <x:f aca="0">MLCF!E89</x:f>
        <x:v>-209.92</x:v>
      </x:c>
      <x:c r="Q1474" s="70" t="str">
        <x:f aca="0">IF(ABS(O1474-P1474)&lt;0.000001,"PASS","FAIL")</x:f>
        <x:v>PASS</x:v>
      </x:c>
      <x:c r="R1474" s="70" t="s">
        <x:v>33</x:v>
      </x:c>
      <x:c r="S1474" s="70"/>
    </x:row>
    <x:row r="1475" ht="15" hidden="0">
      <x:c r="A1475" s="70" t="s">
        <x:v>2468</x:v>
      </x:c>
      <x:c r="B1475" s="70" t="s">
        <x:v>41</x:v>
      </x:c>
      <x:c r="C1475" s="70" t="s">
        <x:v>103</x:v>
      </x:c>
      <x:c r="D1475" s="70" t="s">
        <x:v>234</x:v>
      </x:c>
      <x:c r="E1475" s="70" t="s">
        <x:v>1106</x:v>
      </x:c>
      <x:c r="F1475" s="70" t="s">
        <x:v>2026</x:v>
      </x:c>
      <x:c r="G1475" s="70" t="s">
        <x:v>1307</x:v>
      </x:c>
      <x:c r="H1475" s="70" t="s">
        <x:v>845</x:v>
      </x:c>
      <x:c r="I1475" s="70" t="s">
        <x:v>833</x:v>
      </x:c>
      <x:c r="J1475" s="70" t="n">
        <x:v>191</x:v>
      </x:c>
      <x:c r="K1475" s="70" t="s">
        <x:v>2447</x:v>
      </x:c>
      <x:c r="L1475" s="70"/>
      <x:c r="M1475" s="70" t="s">
        <x:v>39</x:v>
      </x:c>
      <x:c r="N1475" s="71" t="n">
        <x:v>-191421</x:v>
      </x:c>
      <x:c r="O1475" s="72" t="n">
        <x:f aca="0">N1475/1000</x:f>
        <x:v>-191.421</x:v>
      </x:c>
      <x:c r="P1475" s="73" t="n">
        <x:f aca="0">MLCF!F89</x:f>
        <x:v>-191.421</x:v>
      </x:c>
      <x:c r="Q1475" s="70" t="str">
        <x:f aca="0">IF(ABS(O1475-P1475)&lt;0.000001,"PASS","FAIL")</x:f>
        <x:v>PASS</x:v>
      </x:c>
      <x:c r="R1475" s="70" t="s">
        <x:v>33</x:v>
      </x:c>
      <x:c r="S1475" s="70"/>
    </x:row>
    <x:row r="1476" ht="15" hidden="0">
      <x:c r="A1476" s="70" t="s">
        <x:v>2469</x:v>
      </x:c>
      <x:c r="B1476" s="70" t="s">
        <x:v>41</x:v>
      </x:c>
      <x:c r="C1476" s="70" t="s">
        <x:v>104</x:v>
      </x:c>
      <x:c r="D1476" s="70" t="s">
        <x:v>234</x:v>
      </x:c>
      <x:c r="E1476" s="70" t="s">
        <x:v>1106</x:v>
      </x:c>
      <x:c r="F1476" s="70" t="s">
        <x:v>2026</x:v>
      </x:c>
      <x:c r="G1476" s="70" t="s">
        <x:v>1310</x:v>
      </x:c>
      <x:c r="H1476" s="70" t="s">
        <x:v>849</x:v>
      </x:c>
      <x:c r="I1476" s="70" t="s">
        <x:v>833</x:v>
      </x:c>
      <x:c r="J1476" s="70" t="n">
        <x:v>203</x:v>
      </x:c>
      <x:c r="K1476" s="70" t="s">
        <x:v>2449</x:v>
      </x:c>
      <x:c r="L1476" s="70"/>
      <x:c r="M1476" s="70" t="s">
        <x:v>39</x:v>
      </x:c>
      <x:c r="N1476" s="71" t="n">
        <x:v>-357191</x:v>
      </x:c>
      <x:c r="O1476" s="72" t="n">
        <x:f aca="0">N1476/1000</x:f>
        <x:v>-357.191</x:v>
      </x:c>
      <x:c r="P1476" s="73" t="n">
        <x:f aca="0">MLCF!G89</x:f>
        <x:v>-357.191</x:v>
      </x:c>
      <x:c r="Q1476" s="70" t="str">
        <x:f aca="0">IF(ABS(O1476-P1476)&lt;0.000001,"PASS","FAIL")</x:f>
        <x:v>PASS</x:v>
      </x:c>
      <x:c r="R1476" s="70" t="s">
        <x:v>33</x:v>
      </x:c>
      <x:c r="S1476" s="70"/>
    </x:row>
    <x:row r="1477" ht="15" hidden="0">
      <x:c r="A1477" s="70" t="s">
        <x:v>2470</x:v>
      </x:c>
      <x:c r="B1477" s="70" t="s">
        <x:v>41</x:v>
      </x:c>
      <x:c r="C1477" s="70" t="s">
        <x:v>105</x:v>
      </x:c>
      <x:c r="D1477" s="70" t="s">
        <x:v>234</x:v>
      </x:c>
      <x:c r="E1477" s="70" t="s">
        <x:v>1106</x:v>
      </x:c>
      <x:c r="F1477" s="70" t="s">
        <x:v>2026</x:v>
      </x:c>
      <x:c r="G1477" s="70" t="s">
        <x:v>1310</x:v>
      </x:c>
      <x:c r="H1477" s="70" t="s">
        <x:v>849</x:v>
      </x:c>
      <x:c r="I1477" s="70" t="s">
        <x:v>852</x:v>
      </x:c>
      <x:c r="J1477" s="70" t="n">
        <x:v>203</x:v>
      </x:c>
      <x:c r="K1477" s="70" t="s">
        <x:v>2449</x:v>
      </x:c>
      <x:c r="L1477" s="70"/>
      <x:c r="M1477" s="70" t="s">
        <x:v>39</x:v>
      </x:c>
      <x:c r="N1477" s="71" t="n">
        <x:v>-514430</x:v>
      </x:c>
      <x:c r="O1477" s="72" t="n">
        <x:f aca="0">N1477/1000</x:f>
        <x:v>-514.43</x:v>
      </x:c>
      <x:c r="P1477" s="73" t="n">
        <x:f aca="0">MLCF!H89</x:f>
        <x:v>-514.43</x:v>
      </x:c>
      <x:c r="Q1477" s="70" t="str">
        <x:f aca="0">IF(ABS(O1477-P1477)&lt;0.000001,"PASS","FAIL")</x:f>
        <x:v>PASS</x:v>
      </x:c>
      <x:c r="R1477" s="70" t="s">
        <x:v>33</x:v>
      </x:c>
      <x:c r="S1477" s="70"/>
    </x:row>
    <x:row r="1478" ht="15" hidden="0">
      <x:c r="A1478" s="70" t="s">
        <x:v>2471</x:v>
      </x:c>
      <x:c r="B1478" s="70" t="s">
        <x:v>41</x:v>
      </x:c>
      <x:c r="C1478" s="70" t="s">
        <x:v>101</x:v>
      </x:c>
      <x:c r="D1478" s="70" t="s">
        <x:v>236</x:v>
      </x:c>
      <x:c r="E1478" s="70" t="s">
        <x:v>1106</x:v>
      </x:c>
      <x:c r="F1478" s="70" t="s">
        <x:v>2472</x:v>
      </x:c>
      <x:c r="G1478" s="70" t="s">
        <x:v>1301</x:v>
      </x:c>
      <x:c r="H1478" s="70" t="s">
        <x:v>838</x:v>
      </x:c>
      <x:c r="I1478" s="70" t="s">
        <x:v>833</x:v>
      </x:c>
      <x:c r="J1478" s="70" t="n">
        <x:v>185</x:v>
      </x:c>
      <x:c r="K1478" s="70" t="s">
        <x:v>1761</x:v>
      </x:c>
      <x:c r="L1478" s="70"/>
      <x:c r="M1478" s="70" t="s">
        <x:v>39</x:v>
      </x:c>
      <x:c r="N1478" s="71" t="n">
        <x:v>-524142</x:v>
      </x:c>
      <x:c r="O1478" s="72" t="n">
        <x:f aca="0">N1478/1000</x:f>
        <x:v>-524.142</x:v>
      </x:c>
      <x:c r="P1478" s="73" t="n">
        <x:f aca="0">MLCF!D90</x:f>
        <x:v>-524.142</x:v>
      </x:c>
      <x:c r="Q1478" s="70" t="str">
        <x:f aca="0">IF(ABS(O1478-P1478)&lt;0.000001,"PASS","FAIL")</x:f>
        <x:v>PASS</x:v>
      </x:c>
      <x:c r="R1478" s="70" t="s">
        <x:v>33</x:v>
      </x:c>
      <x:c r="S1478" s="70" t="s">
        <x:v>839</x:v>
      </x:c>
    </x:row>
    <x:row r="1479" ht="15" hidden="0">
      <x:c r="A1479" s="70" t="s">
        <x:v>2473</x:v>
      </x:c>
      <x:c r="B1479" s="70" t="s">
        <x:v>41</x:v>
      </x:c>
      <x:c r="C1479" s="70" t="s">
        <x:v>102</x:v>
      </x:c>
      <x:c r="D1479" s="70" t="s">
        <x:v>236</x:v>
      </x:c>
      <x:c r="E1479" s="70" t="s">
        <x:v>1106</x:v>
      </x:c>
      <x:c r="F1479" s="70" t="s">
        <x:v>2472</x:v>
      </x:c>
      <x:c r="G1479" s="70" t="s">
        <x:v>1304</x:v>
      </x:c>
      <x:c r="H1479" s="70" t="s">
        <x:v>842</x:v>
      </x:c>
      <x:c r="I1479" s="70" t="s">
        <x:v>833</x:v>
      </x:c>
      <x:c r="J1479" s="70" t="n">
        <x:v>99</x:v>
      </x:c>
      <x:c r="K1479" s="70" t="s">
        <x:v>2445</x:v>
      </x:c>
      <x:c r="L1479" s="70"/>
      <x:c r="M1479" s="70" t="s">
        <x:v>39</x:v>
      </x:c>
      <x:c r="N1479" s="71" t="n">
        <x:v>-742280</x:v>
      </x:c>
      <x:c r="O1479" s="72" t="n">
        <x:f aca="0">N1479/1000</x:f>
        <x:v>-742.28</x:v>
      </x:c>
      <x:c r="P1479" s="73" t="n">
        <x:f aca="0">MLCF!E90</x:f>
        <x:v>-742.28</x:v>
      </x:c>
      <x:c r="Q1479" s="70" t="str">
        <x:f aca="0">IF(ABS(O1479-P1479)&lt;0.000001,"PASS","FAIL")</x:f>
        <x:v>PASS</x:v>
      </x:c>
      <x:c r="R1479" s="70" t="s">
        <x:v>33</x:v>
      </x:c>
      <x:c r="S1479" s="70" t="s">
        <x:v>839</x:v>
      </x:c>
    </x:row>
    <x:row r="1480" ht="15" hidden="0">
      <x:c r="A1480" s="70" t="s">
        <x:v>2474</x:v>
      </x:c>
      <x:c r="B1480" s="70" t="s">
        <x:v>41</x:v>
      </x:c>
      <x:c r="C1480" s="70" t="s">
        <x:v>103</x:v>
      </x:c>
      <x:c r="D1480" s="70" t="s">
        <x:v>236</x:v>
      </x:c>
      <x:c r="E1480" s="70" t="s">
        <x:v>1106</x:v>
      </x:c>
      <x:c r="F1480" s="70" t="s">
        <x:v>1136</x:v>
      </x:c>
      <x:c r="G1480" s="70" t="s">
        <x:v>1307</x:v>
      </x:c>
      <x:c r="H1480" s="70" t="s">
        <x:v>845</x:v>
      </x:c>
      <x:c r="I1480" s="70" t="s">
        <x:v>833</x:v>
      </x:c>
      <x:c r="J1480" s="70" t="n">
        <x:v>191</x:v>
      </x:c>
      <x:c r="K1480" s="70" t="s">
        <x:v>2447</x:v>
      </x:c>
      <x:c r="L1480" s="70"/>
      <x:c r="M1480" s="70" t="s">
        <x:v>39</x:v>
      </x:c>
      <x:c r="N1480" s="71" t="n">
        <x:v>-995460</x:v>
      </x:c>
      <x:c r="O1480" s="72" t="n">
        <x:f aca="0">N1480/1000</x:f>
        <x:v>-995.46</x:v>
      </x:c>
      <x:c r="P1480" s="73" t="n">
        <x:f aca="0">MLCF!F90</x:f>
        <x:v>-995.46</x:v>
      </x:c>
      <x:c r="Q1480" s="70" t="str">
        <x:f aca="0">IF(ABS(O1480-P1480)&lt;0.000001,"PASS","FAIL")</x:f>
        <x:v>PASS</x:v>
      </x:c>
      <x:c r="R1480" s="70" t="s">
        <x:v>33</x:v>
      </x:c>
      <x:c r="S1480" s="70"/>
    </x:row>
    <x:row r="1481" ht="15" hidden="0">
      <x:c r="A1481" s="70" t="s">
        <x:v>2475</x:v>
      </x:c>
      <x:c r="B1481" s="70" t="s">
        <x:v>41</x:v>
      </x:c>
      <x:c r="C1481" s="70" t="s">
        <x:v>104</x:v>
      </x:c>
      <x:c r="D1481" s="70" t="s">
        <x:v>236</x:v>
      </x:c>
      <x:c r="E1481" s="70" t="s">
        <x:v>1106</x:v>
      </x:c>
      <x:c r="F1481" s="70" t="s">
        <x:v>1136</x:v>
      </x:c>
      <x:c r="G1481" s="70" t="s">
        <x:v>1310</x:v>
      </x:c>
      <x:c r="H1481" s="70" t="s">
        <x:v>849</x:v>
      </x:c>
      <x:c r="I1481" s="70" t="s">
        <x:v>833</x:v>
      </x:c>
      <x:c r="J1481" s="70" t="n">
        <x:v>203</x:v>
      </x:c>
      <x:c r="K1481" s="70" t="s">
        <x:v>2449</x:v>
      </x:c>
      <x:c r="L1481" s="70"/>
      <x:c r="M1481" s="70" t="s">
        <x:v>39</x:v>
      </x:c>
      <x:c r="N1481" s="71" t="n">
        <x:v>-569545</x:v>
      </x:c>
      <x:c r="O1481" s="72" t="n">
        <x:f aca="0">N1481/1000</x:f>
        <x:v>-569.545</x:v>
      </x:c>
      <x:c r="P1481" s="73" t="n">
        <x:f aca="0">MLCF!G90</x:f>
        <x:v>-569.545</x:v>
      </x:c>
      <x:c r="Q1481" s="70" t="str">
        <x:f aca="0">IF(ABS(O1481-P1481)&lt;0.000001,"PASS","FAIL")</x:f>
        <x:v>PASS</x:v>
      </x:c>
      <x:c r="R1481" s="70" t="s">
        <x:v>33</x:v>
      </x:c>
      <x:c r="S1481" s="70"/>
    </x:row>
    <x:row r="1482" ht="15" hidden="0">
      <x:c r="A1482" s="70" t="s">
        <x:v>2476</x:v>
      </x:c>
      <x:c r="B1482" s="70" t="s">
        <x:v>41</x:v>
      </x:c>
      <x:c r="C1482" s="70" t="s">
        <x:v>105</x:v>
      </x:c>
      <x:c r="D1482" s="70" t="s">
        <x:v>236</x:v>
      </x:c>
      <x:c r="E1482" s="70" t="s">
        <x:v>1106</x:v>
      </x:c>
      <x:c r="F1482" s="70" t="s">
        <x:v>1136</x:v>
      </x:c>
      <x:c r="G1482" s="70" t="s">
        <x:v>1310</x:v>
      </x:c>
      <x:c r="H1482" s="70" t="s">
        <x:v>849</x:v>
      </x:c>
      <x:c r="I1482" s="70" t="s">
        <x:v>852</x:v>
      </x:c>
      <x:c r="J1482" s="70" t="n">
        <x:v>203</x:v>
      </x:c>
      <x:c r="K1482" s="70" t="s">
        <x:v>2449</x:v>
      </x:c>
      <x:c r="L1482" s="70"/>
      <x:c r="M1482" s="70" t="s">
        <x:v>39</x:v>
      </x:c>
      <x:c r="N1482" s="71" t="n">
        <x:v>-1207018</x:v>
      </x:c>
      <x:c r="O1482" s="72" t="n">
        <x:f aca="0">N1482/1000</x:f>
        <x:v>-1207.018</x:v>
      </x:c>
      <x:c r="P1482" s="73" t="n">
        <x:f aca="0">MLCF!H90</x:f>
        <x:v>-1207.018</x:v>
      </x:c>
      <x:c r="Q1482" s="70" t="str">
        <x:f aca="0">IF(ABS(O1482-P1482)&lt;0.000001,"PASS","FAIL")</x:f>
        <x:v>PASS</x:v>
      </x:c>
      <x:c r="R1482" s="70" t="s">
        <x:v>33</x:v>
      </x:c>
      <x:c r="S1482" s="70"/>
    </x:row>
    <x:row r="1483" ht="15" hidden="0">
      <x:c r="A1483" s="70" t="s">
        <x:v>2477</x:v>
      </x:c>
      <x:c r="B1483" s="70" t="s">
        <x:v>41</x:v>
      </x:c>
      <x:c r="C1483" s="70" t="s">
        <x:v>101</x:v>
      </x:c>
      <x:c r="D1483" s="70" t="s">
        <x:v>240</x:v>
      </x:c>
      <x:c r="E1483" s="70" t="s">
        <x:v>1106</x:v>
      </x:c>
      <x:c r="F1483" s="70" t="s">
        <x:v>240</x:v>
      </x:c>
      <x:c r="G1483" s="70" t="s">
        <x:v>1301</x:v>
      </x:c>
      <x:c r="H1483" s="70" t="s">
        <x:v>838</x:v>
      </x:c>
      <x:c r="I1483" s="70" t="s">
        <x:v>833</x:v>
      </x:c>
      <x:c r="J1483" s="70" t="n">
        <x:v>185</x:v>
      </x:c>
      <x:c r="K1483" s="70" t="s">
        <x:v>1761</x:v>
      </x:c>
      <x:c r="L1483" s="70"/>
      <x:c r="M1483" s="70" t="s">
        <x:v>39</x:v>
      </x:c>
      <x:c r="N1483" s="71" t="n">
        <x:v>3732132</x:v>
      </x:c>
      <x:c r="O1483" s="72" t="n">
        <x:f aca="0">N1483/1000</x:f>
        <x:v>3732.132</x:v>
      </x:c>
      <x:c r="P1483" s="73" t="n">
        <x:f aca="0">MLCF!D92</x:f>
        <x:v>3732.132</x:v>
      </x:c>
      <x:c r="Q1483" s="70" t="str">
        <x:f aca="0">IF(ABS(O1483-P1483)&lt;0.000001,"PASS","FAIL")</x:f>
        <x:v>PASS</x:v>
      </x:c>
      <x:c r="R1483" s="70" t="s">
        <x:v>33</x:v>
      </x:c>
      <x:c r="S1483" s="70"/>
    </x:row>
    <x:row r="1484" ht="15" hidden="0">
      <x:c r="A1484" s="70" t="s">
        <x:v>2478</x:v>
      </x:c>
      <x:c r="B1484" s="70" t="s">
        <x:v>41</x:v>
      </x:c>
      <x:c r="C1484" s="70" t="s">
        <x:v>102</x:v>
      </x:c>
      <x:c r="D1484" s="70" t="s">
        <x:v>240</x:v>
      </x:c>
      <x:c r="E1484" s="70" t="s">
        <x:v>1106</x:v>
      </x:c>
      <x:c r="F1484" s="70" t="s">
        <x:v>240</x:v>
      </x:c>
      <x:c r="G1484" s="70" t="s">
        <x:v>1304</x:v>
      </x:c>
      <x:c r="H1484" s="70" t="s">
        <x:v>842</x:v>
      </x:c>
      <x:c r="I1484" s="70" t="s">
        <x:v>833</x:v>
      </x:c>
      <x:c r="J1484" s="70" t="n">
        <x:v>99</x:v>
      </x:c>
      <x:c r="K1484" s="70" t="s">
        <x:v>2445</x:v>
      </x:c>
      <x:c r="L1484" s="70"/>
      <x:c r="M1484" s="70" t="s">
        <x:v>39</x:v>
      </x:c>
      <x:c r="N1484" s="71" t="n">
        <x:v>56601</x:v>
      </x:c>
      <x:c r="O1484" s="72" t="n">
        <x:f aca="0">N1484/1000</x:f>
        <x:v>56.601</x:v>
      </x:c>
      <x:c r="P1484" s="73" t="n">
        <x:f aca="0">MLCF!E92</x:f>
        <x:v>56.601</x:v>
      </x:c>
      <x:c r="Q1484" s="70" t="str">
        <x:f aca="0">IF(ABS(O1484-P1484)&lt;0.000001,"PASS","FAIL")</x:f>
        <x:v>PASS</x:v>
      </x:c>
      <x:c r="R1484" s="70" t="s">
        <x:v>33</x:v>
      </x:c>
      <x:c r="S1484" s="70"/>
    </x:row>
    <x:row r="1485" ht="15" hidden="0">
      <x:c r="A1485" s="70" t="s">
        <x:v>2479</x:v>
      </x:c>
      <x:c r="B1485" s="70" t="s">
        <x:v>41</x:v>
      </x:c>
      <x:c r="C1485" s="70" t="s">
        <x:v>103</x:v>
      </x:c>
      <x:c r="D1485" s="70" t="s">
        <x:v>240</x:v>
      </x:c>
      <x:c r="E1485" s="70" t="s">
        <x:v>1106</x:v>
      </x:c>
      <x:c r="F1485" s="70" t="s">
        <x:v>240</x:v>
      </x:c>
      <x:c r="G1485" s="70" t="s">
        <x:v>1307</x:v>
      </x:c>
      <x:c r="H1485" s="70" t="s">
        <x:v>845</x:v>
      </x:c>
      <x:c r="I1485" s="70" t="s">
        <x:v>833</x:v>
      </x:c>
      <x:c r="J1485" s="70" t="n">
        <x:v>191</x:v>
      </x:c>
      <x:c r="K1485" s="70" t="s">
        <x:v>2447</x:v>
      </x:c>
      <x:c r="L1485" s="70"/>
      <x:c r="M1485" s="70" t="s">
        <x:v>39</x:v>
      </x:c>
      <x:c r="N1485" s="71" t="n">
        <x:v>146646</x:v>
      </x:c>
      <x:c r="O1485" s="72" t="n">
        <x:f aca="0">N1485/1000</x:f>
        <x:v>146.646</x:v>
      </x:c>
      <x:c r="P1485" s="73" t="n">
        <x:f aca="0">MLCF!F92</x:f>
        <x:v>146.646</x:v>
      </x:c>
      <x:c r="Q1485" s="70" t="str">
        <x:f aca="0">IF(ABS(O1485-P1485)&lt;0.000001,"PASS","FAIL")</x:f>
        <x:v>PASS</x:v>
      </x:c>
      <x:c r="R1485" s="70" t="s">
        <x:v>33</x:v>
      </x:c>
      <x:c r="S1485" s="70"/>
    </x:row>
    <x:row r="1486" ht="15" hidden="0">
      <x:c r="A1486" s="70" t="s">
        <x:v>2480</x:v>
      </x:c>
      <x:c r="B1486" s="70" t="s">
        <x:v>41</x:v>
      </x:c>
      <x:c r="C1486" s="70" t="s">
        <x:v>104</x:v>
      </x:c>
      <x:c r="D1486" s="70" t="s">
        <x:v>240</x:v>
      </x:c>
      <x:c r="E1486" s="70" t="s">
        <x:v>1106</x:v>
      </x:c>
      <x:c r="F1486" s="70" t="s">
        <x:v>240</x:v>
      </x:c>
      <x:c r="G1486" s="70" t="s">
        <x:v>1310</x:v>
      </x:c>
      <x:c r="H1486" s="70" t="s">
        <x:v>849</x:v>
      </x:c>
      <x:c r="I1486" s="70" t="s">
        <x:v>833</x:v>
      </x:c>
      <x:c r="J1486" s="70" t="n">
        <x:v>203</x:v>
      </x:c>
      <x:c r="K1486" s="70" t="s">
        <x:v>2449</x:v>
      </x:c>
      <x:c r="L1486" s="70"/>
      <x:c r="M1486" s="70" t="s">
        <x:v>39</x:v>
      </x:c>
      <x:c r="N1486" s="71" t="n">
        <x:v>238451</x:v>
      </x:c>
      <x:c r="O1486" s="72" t="n">
        <x:f aca="0">N1486/1000</x:f>
        <x:v>238.451</x:v>
      </x:c>
      <x:c r="P1486" s="73" t="n">
        <x:f aca="0">MLCF!G92</x:f>
        <x:v>238.451</x:v>
      </x:c>
      <x:c r="Q1486" s="70" t="str">
        <x:f aca="0">IF(ABS(O1486-P1486)&lt;0.000001,"PASS","FAIL")</x:f>
        <x:v>PASS</x:v>
      </x:c>
      <x:c r="R1486" s="70" t="s">
        <x:v>33</x:v>
      </x:c>
      <x:c r="S1486" s="70" t="s">
        <x:v>839</x:v>
      </x:c>
    </x:row>
    <x:row r="1487" ht="15" hidden="0">
      <x:c r="A1487" s="70" t="s">
        <x:v>2481</x:v>
      </x:c>
      <x:c r="B1487" s="70" t="s">
        <x:v>41</x:v>
      </x:c>
      <x:c r="C1487" s="70" t="s">
        <x:v>105</x:v>
      </x:c>
      <x:c r="D1487" s="70" t="s">
        <x:v>240</x:v>
      </x:c>
      <x:c r="E1487" s="70" t="s">
        <x:v>1106</x:v>
      </x:c>
      <x:c r="F1487" s="70" t="s">
        <x:v>240</x:v>
      </x:c>
      <x:c r="G1487" s="70" t="s">
        <x:v>1310</x:v>
      </x:c>
      <x:c r="H1487" s="70" t="s">
        <x:v>849</x:v>
      </x:c>
      <x:c r="I1487" s="70" t="s">
        <x:v>852</x:v>
      </x:c>
      <x:c r="J1487" s="70" t="n">
        <x:v>203</x:v>
      </x:c>
      <x:c r="K1487" s="70" t="s">
        <x:v>2449</x:v>
      </x:c>
      <x:c r="L1487" s="70"/>
      <x:c r="M1487" s="70" t="s">
        <x:v>39</x:v>
      </x:c>
      <x:c r="N1487" s="71" t="n">
        <x:v>8462656</x:v>
      </x:c>
      <x:c r="O1487" s="72" t="n">
        <x:f aca="0">N1487/1000</x:f>
        <x:v>8462.656</x:v>
      </x:c>
      <x:c r="P1487" s="73" t="n">
        <x:f aca="0">MLCF!H92</x:f>
        <x:v>8462.656</x:v>
      </x:c>
      <x:c r="Q1487" s="70" t="str">
        <x:f aca="0">IF(ABS(O1487-P1487)&lt;0.000001,"PASS","FAIL")</x:f>
        <x:v>PASS</x:v>
      </x:c>
      <x:c r="R1487" s="70" t="s">
        <x:v>33</x:v>
      </x:c>
      <x:c r="S1487" s="70"/>
    </x:row>
    <x:row r="1488" ht="15" hidden="0">
      <x:c r="A1488" s="70" t="s">
        <x:v>2482</x:v>
      </x:c>
      <x:c r="B1488" s="70" t="s">
        <x:v>41</x:v>
      </x:c>
      <x:c r="C1488" s="70" t="s">
        <x:v>101</x:v>
      </x:c>
      <x:c r="D1488" s="70" t="s">
        <x:v>242</x:v>
      </x:c>
      <x:c r="E1488" s="70" t="s">
        <x:v>1106</x:v>
      </x:c>
      <x:c r="F1488" s="70"/>
      <x:c r="G1488" s="70" t="s">
        <x:v>1301</x:v>
      </x:c>
      <x:c r="H1488" s="70" t="s">
        <x:v>838</x:v>
      </x:c>
      <x:c r="I1488" s="70" t="s">
        <x:v>833</x:v>
      </x:c>
      <x:c r="J1488" s="70" t="n">
        <x:v>185</x:v>
      </x:c>
      <x:c r="K1488" s="70" t="s">
        <x:v>1761</x:v>
      </x:c>
      <x:c r="L1488" s="70"/>
      <x:c r="M1488" s="70" t="s">
        <x:v>39</x:v>
      </x:c>
      <x:c r="N1488" s="71" t="n">
        <x:v>0</x:v>
      </x:c>
      <x:c r="O1488" s="72" t="n">
        <x:f aca="0">N1488/1000</x:f>
        <x:v>0</x:v>
      </x:c>
      <x:c r="P1488" s="73" t="n">
        <x:f aca="0">MLCF!D93</x:f>
        <x:v>0</x:v>
      </x:c>
      <x:c r="Q1488" s="70" t="str">
        <x:f aca="0">IF(ABS(O1488-P1488)&lt;0.000001,"PASS","FAIL")</x:f>
        <x:v>PASS</x:v>
      </x:c>
      <x:c r="R1488" s="70" t="s">
        <x:v>33</x:v>
      </x:c>
      <x:c r="S1488" s="70"/>
    </x:row>
    <x:row r="1489" ht="15" hidden="0">
      <x:c r="A1489" s="70" t="s">
        <x:v>2483</x:v>
      </x:c>
      <x:c r="B1489" s="70" t="s">
        <x:v>41</x:v>
      </x:c>
      <x:c r="C1489" s="70" t="s">
        <x:v>102</x:v>
      </x:c>
      <x:c r="D1489" s="70" t="s">
        <x:v>242</x:v>
      </x:c>
      <x:c r="E1489" s="70" t="s">
        <x:v>1106</x:v>
      </x:c>
      <x:c r="F1489" s="70"/>
      <x:c r="G1489" s="70" t="s">
        <x:v>1304</x:v>
      </x:c>
      <x:c r="H1489" s="70" t="s">
        <x:v>842</x:v>
      </x:c>
      <x:c r="I1489" s="70" t="s">
        <x:v>833</x:v>
      </x:c>
      <x:c r="J1489" s="70" t="n">
        <x:v>99</x:v>
      </x:c>
      <x:c r="K1489" s="70" t="s">
        <x:v>2445</x:v>
      </x:c>
      <x:c r="L1489" s="70"/>
      <x:c r="M1489" s="70" t="s">
        <x:v>39</x:v>
      </x:c>
      <x:c r="N1489" s="71" t="n">
        <x:v>0</x:v>
      </x:c>
      <x:c r="O1489" s="72" t="n">
        <x:f aca="0">N1489/1000</x:f>
        <x:v>0</x:v>
      </x:c>
      <x:c r="P1489" s="73" t="n">
        <x:f aca="0">MLCF!E93</x:f>
        <x:v>0</x:v>
      </x:c>
      <x:c r="Q1489" s="70" t="str">
        <x:f aca="0">IF(ABS(O1489-P1489)&lt;0.000001,"PASS","FAIL")</x:f>
        <x:v>PASS</x:v>
      </x:c>
      <x:c r="R1489" s="70" t="s">
        <x:v>33</x:v>
      </x:c>
      <x:c r="S1489" s="70"/>
    </x:row>
    <x:row r="1490" ht="15" hidden="0">
      <x:c r="A1490" s="70" t="s">
        <x:v>2484</x:v>
      </x:c>
      <x:c r="B1490" s="70" t="s">
        <x:v>41</x:v>
      </x:c>
      <x:c r="C1490" s="70" t="s">
        <x:v>103</x:v>
      </x:c>
      <x:c r="D1490" s="70" t="s">
        <x:v>242</x:v>
      </x:c>
      <x:c r="E1490" s="70" t="s">
        <x:v>1106</x:v>
      </x:c>
      <x:c r="F1490" s="70"/>
      <x:c r="G1490" s="70" t="s">
        <x:v>1307</x:v>
      </x:c>
      <x:c r="H1490" s="70" t="s">
        <x:v>845</x:v>
      </x:c>
      <x:c r="I1490" s="70" t="s">
        <x:v>833</x:v>
      </x:c>
      <x:c r="J1490" s="70" t="n">
        <x:v>191</x:v>
      </x:c>
      <x:c r="K1490" s="70" t="s">
        <x:v>2447</x:v>
      </x:c>
      <x:c r="L1490" s="70"/>
      <x:c r="M1490" s="70" t="s">
        <x:v>39</x:v>
      </x:c>
      <x:c r="N1490" s="71" t="n">
        <x:v>0</x:v>
      </x:c>
      <x:c r="O1490" s="72" t="n">
        <x:f aca="0">N1490/1000</x:f>
        <x:v>0</x:v>
      </x:c>
      <x:c r="P1490" s="73" t="n">
        <x:f aca="0">MLCF!F93</x:f>
        <x:v>0</x:v>
      </x:c>
      <x:c r="Q1490" s="70" t="str">
        <x:f aca="0">IF(ABS(O1490-P1490)&lt;0.000001,"PASS","FAIL")</x:f>
        <x:v>PASS</x:v>
      </x:c>
      <x:c r="R1490" s="70" t="s">
        <x:v>33</x:v>
      </x:c>
      <x:c r="S1490" s="70"/>
    </x:row>
    <x:row r="1491" ht="15" hidden="0">
      <x:c r="A1491" s="70" t="s">
        <x:v>2485</x:v>
      </x:c>
      <x:c r="B1491" s="70" t="s">
        <x:v>41</x:v>
      </x:c>
      <x:c r="C1491" s="70" t="s">
        <x:v>104</x:v>
      </x:c>
      <x:c r="D1491" s="70" t="s">
        <x:v>242</x:v>
      </x:c>
      <x:c r="E1491" s="70" t="s">
        <x:v>1106</x:v>
      </x:c>
      <x:c r="F1491" s="70" t="s">
        <x:v>2486</x:v>
      </x:c>
      <x:c r="G1491" s="70" t="s">
        <x:v>1310</x:v>
      </x:c>
      <x:c r="H1491" s="70" t="s">
        <x:v>849</x:v>
      </x:c>
      <x:c r="I1491" s="70" t="s">
        <x:v>833</x:v>
      </x:c>
      <x:c r="J1491" s="70" t="n">
        <x:v>203</x:v>
      </x:c>
      <x:c r="K1491" s="70" t="s">
        <x:v>2449</x:v>
      </x:c>
      <x:c r="L1491" s="70"/>
      <x:c r="M1491" s="70" t="s">
        <x:v>39</x:v>
      </x:c>
      <x:c r="N1491" s="71" t="n">
        <x:v>117691</x:v>
      </x:c>
      <x:c r="O1491" s="72" t="n">
        <x:f aca="0">N1491/1000</x:f>
        <x:v>117.691</x:v>
      </x:c>
      <x:c r="P1491" s="73" t="n">
        <x:f aca="0">MLCF!G93</x:f>
        <x:v>117.691</x:v>
      </x:c>
      <x:c r="Q1491" s="70" t="str">
        <x:f aca="0">IF(ABS(O1491-P1491)&lt;0.000001,"PASS","FAIL")</x:f>
        <x:v>PASS</x:v>
      </x:c>
      <x:c r="R1491" s="70" t="s">
        <x:v>33</x:v>
      </x:c>
      <x:c r="S1491" s="70"/>
    </x:row>
    <x:row r="1492" ht="15" hidden="0">
      <x:c r="A1492" s="70" t="s">
        <x:v>2487</x:v>
      </x:c>
      <x:c r="B1492" s="70" t="s">
        <x:v>41</x:v>
      </x:c>
      <x:c r="C1492" s="70" t="s">
        <x:v>105</x:v>
      </x:c>
      <x:c r="D1492" s="70" t="s">
        <x:v>242</x:v>
      </x:c>
      <x:c r="E1492" s="70" t="s">
        <x:v>1106</x:v>
      </x:c>
      <x:c r="F1492" s="70" t="s">
        <x:v>2486</x:v>
      </x:c>
      <x:c r="G1492" s="70" t="s">
        <x:v>1310</x:v>
      </x:c>
      <x:c r="H1492" s="70" t="s">
        <x:v>849</x:v>
      </x:c>
      <x:c r="I1492" s="70" t="s">
        <x:v>852</x:v>
      </x:c>
      <x:c r="J1492" s="70" t="n">
        <x:v>203</x:v>
      </x:c>
      <x:c r="K1492" s="70" t="s">
        <x:v>2449</x:v>
      </x:c>
      <x:c r="L1492" s="70"/>
      <x:c r="M1492" s="70" t="s">
        <x:v>39</x:v>
      </x:c>
      <x:c r="N1492" s="71" t="n">
        <x:v>1031075</x:v>
      </x:c>
      <x:c r="O1492" s="72" t="n">
        <x:f aca="0">N1492/1000</x:f>
        <x:v>1031.075</x:v>
      </x:c>
      <x:c r="P1492" s="73" t="n">
        <x:f aca="0">MLCF!H93</x:f>
        <x:v>1031.075</x:v>
      </x:c>
      <x:c r="Q1492" s="70" t="str">
        <x:f aca="0">IF(ABS(O1492-P1492)&lt;0.000001,"PASS","FAIL")</x:f>
        <x:v>PASS</x:v>
      </x:c>
      <x:c r="R1492" s="70" t="s">
        <x:v>33</x:v>
      </x:c>
      <x:c r="S1492" s="70"/>
    </x:row>
    <x:row r="1493" ht="15" hidden="0">
      <x:c r="A1493" s="70" t="s">
        <x:v>2488</x:v>
      </x:c>
      <x:c r="B1493" s="70" t="s">
        <x:v>41</x:v>
      </x:c>
      <x:c r="C1493" s="70" t="s">
        <x:v>101</x:v>
      </x:c>
      <x:c r="D1493" s="70" t="s">
        <x:v>244</x:v>
      </x:c>
      <x:c r="E1493" s="70" t="s">
        <x:v>1106</x:v>
      </x:c>
      <x:c r="F1493" s="70"/>
      <x:c r="G1493" s="70" t="s">
        <x:v>1301</x:v>
      </x:c>
      <x:c r="H1493" s="70" t="s">
        <x:v>838</x:v>
      </x:c>
      <x:c r="I1493" s="70" t="s">
        <x:v>833</x:v>
      </x:c>
      <x:c r="J1493" s="70" t="n">
        <x:v>185</x:v>
      </x:c>
      <x:c r="K1493" s="70" t="s">
        <x:v>1761</x:v>
      </x:c>
      <x:c r="L1493" s="70"/>
      <x:c r="M1493" s="70" t="s">
        <x:v>39</x:v>
      </x:c>
      <x:c r="N1493" s="71" t="n">
        <x:v>0</x:v>
      </x:c>
      <x:c r="O1493" s="72" t="n">
        <x:f aca="0">N1493/1000</x:f>
        <x:v>0</x:v>
      </x:c>
      <x:c r="P1493" s="73" t="n">
        <x:f aca="0">MLCF!D94</x:f>
        <x:v>0</x:v>
      </x:c>
      <x:c r="Q1493" s="70" t="str">
        <x:f aca="0">IF(ABS(O1493-P1493)&lt;0.000001,"PASS","FAIL")</x:f>
        <x:v>PASS</x:v>
      </x:c>
      <x:c r="R1493" s="70" t="s">
        <x:v>33</x:v>
      </x:c>
      <x:c r="S1493" s="70"/>
    </x:row>
    <x:row r="1494" ht="15" hidden="0">
      <x:c r="A1494" s="70" t="s">
        <x:v>2489</x:v>
      </x:c>
      <x:c r="B1494" s="70" t="s">
        <x:v>41</x:v>
      </x:c>
      <x:c r="C1494" s="70" t="s">
        <x:v>102</x:v>
      </x:c>
      <x:c r="D1494" s="70" t="s">
        <x:v>244</x:v>
      </x:c>
      <x:c r="E1494" s="70" t="s">
        <x:v>1106</x:v>
      </x:c>
      <x:c r="F1494" s="70"/>
      <x:c r="G1494" s="70" t="s">
        <x:v>1304</x:v>
      </x:c>
      <x:c r="H1494" s="70" t="s">
        <x:v>842</x:v>
      </x:c>
      <x:c r="I1494" s="70" t="s">
        <x:v>833</x:v>
      </x:c>
      <x:c r="J1494" s="70" t="n">
        <x:v>99</x:v>
      </x:c>
      <x:c r="K1494" s="70" t="s">
        <x:v>2445</x:v>
      </x:c>
      <x:c r="L1494" s="70"/>
      <x:c r="M1494" s="70" t="s">
        <x:v>39</x:v>
      </x:c>
      <x:c r="N1494" s="71" t="n">
        <x:v>0</x:v>
      </x:c>
      <x:c r="O1494" s="72" t="n">
        <x:f aca="0">N1494/1000</x:f>
        <x:v>0</x:v>
      </x:c>
      <x:c r="P1494" s="73" t="n">
        <x:f aca="0">MLCF!E94</x:f>
        <x:v>0</x:v>
      </x:c>
      <x:c r="Q1494" s="70" t="str">
        <x:f aca="0">IF(ABS(O1494-P1494)&lt;0.000001,"PASS","FAIL")</x:f>
        <x:v>PASS</x:v>
      </x:c>
      <x:c r="R1494" s="70" t="s">
        <x:v>33</x:v>
      </x:c>
      <x:c r="S1494" s="70"/>
    </x:row>
    <x:row r="1495" ht="15" hidden="0">
      <x:c r="A1495" s="70" t="s">
        <x:v>2490</x:v>
      </x:c>
      <x:c r="B1495" s="70" t="s">
        <x:v>41</x:v>
      </x:c>
      <x:c r="C1495" s="70" t="s">
        <x:v>103</x:v>
      </x:c>
      <x:c r="D1495" s="70" t="s">
        <x:v>244</x:v>
      </x:c>
      <x:c r="E1495" s="70" t="s">
        <x:v>1106</x:v>
      </x:c>
      <x:c r="F1495" s="70"/>
      <x:c r="G1495" s="70" t="s">
        <x:v>1307</x:v>
      </x:c>
      <x:c r="H1495" s="70" t="s">
        <x:v>845</x:v>
      </x:c>
      <x:c r="I1495" s="70" t="s">
        <x:v>833</x:v>
      </x:c>
      <x:c r="J1495" s="70" t="n">
        <x:v>191</x:v>
      </x:c>
      <x:c r="K1495" s="70" t="s">
        <x:v>2447</x:v>
      </x:c>
      <x:c r="L1495" s="70"/>
      <x:c r="M1495" s="70" t="s">
        <x:v>39</x:v>
      </x:c>
      <x:c r="N1495" s="71" t="n">
        <x:v>0</x:v>
      </x:c>
      <x:c r="O1495" s="72" t="n">
        <x:f aca="0">N1495/1000</x:f>
        <x:v>0</x:v>
      </x:c>
      <x:c r="P1495" s="73" t="n">
        <x:f aca="0">MLCF!F94</x:f>
        <x:v>0</x:v>
      </x:c>
      <x:c r="Q1495" s="70" t="str">
        <x:f aca="0">IF(ABS(O1495-P1495)&lt;0.000001,"PASS","FAIL")</x:f>
        <x:v>PASS</x:v>
      </x:c>
      <x:c r="R1495" s="70" t="s">
        <x:v>33</x:v>
      </x:c>
      <x:c r="S1495" s="70"/>
    </x:row>
    <x:row r="1496" ht="15" hidden="0">
      <x:c r="A1496" s="70" t="s">
        <x:v>2491</x:v>
      </x:c>
      <x:c r="B1496" s="70" t="s">
        <x:v>41</x:v>
      </x:c>
      <x:c r="C1496" s="70" t="s">
        <x:v>104</x:v>
      </x:c>
      <x:c r="D1496" s="70" t="s">
        <x:v>244</x:v>
      </x:c>
      <x:c r="E1496" s="70" t="s">
        <x:v>1106</x:v>
      </x:c>
      <x:c r="F1496" s="70"/>
      <x:c r="G1496" s="70" t="s">
        <x:v>1310</x:v>
      </x:c>
      <x:c r="H1496" s="70" t="s">
        <x:v>849</x:v>
      </x:c>
      <x:c r="I1496" s="70" t="s">
        <x:v>833</x:v>
      </x:c>
      <x:c r="J1496" s="70" t="n">
        <x:v>203</x:v>
      </x:c>
      <x:c r="K1496" s="70" t="s">
        <x:v>2449</x:v>
      </x:c>
      <x:c r="L1496" s="70"/>
      <x:c r="M1496" s="70" t="s">
        <x:v>39</x:v>
      </x:c>
      <x:c r="N1496" s="71" t="n">
        <x:v>0</x:v>
      </x:c>
      <x:c r="O1496" s="72" t="n">
        <x:f aca="0">N1496/1000</x:f>
        <x:v>0</x:v>
      </x:c>
      <x:c r="P1496" s="73" t="n">
        <x:f aca="0">MLCF!G94</x:f>
        <x:v>0</x:v>
      </x:c>
      <x:c r="Q1496" s="70" t="str">
        <x:f aca="0">IF(ABS(O1496-P1496)&lt;0.000001,"PASS","FAIL")</x:f>
        <x:v>PASS</x:v>
      </x:c>
      <x:c r="R1496" s="70" t="s">
        <x:v>33</x:v>
      </x:c>
      <x:c r="S1496" s="70"/>
    </x:row>
    <x:row r="1497" ht="15" hidden="0">
      <x:c r="A1497" s="70" t="s">
        <x:v>2492</x:v>
      </x:c>
      <x:c r="B1497" s="70" t="s">
        <x:v>41</x:v>
      </x:c>
      <x:c r="C1497" s="70" t="s">
        <x:v>105</x:v>
      </x:c>
      <x:c r="D1497" s="70" t="s">
        <x:v>244</x:v>
      </x:c>
      <x:c r="E1497" s="70" t="s">
        <x:v>1106</x:v>
      </x:c>
      <x:c r="F1497" s="70"/>
      <x:c r="G1497" s="70" t="s">
        <x:v>1310</x:v>
      </x:c>
      <x:c r="H1497" s="70" t="s">
        <x:v>849</x:v>
      </x:c>
      <x:c r="I1497" s="70" t="s">
        <x:v>852</x:v>
      </x:c>
      <x:c r="J1497" s="70" t="n">
        <x:v>203</x:v>
      </x:c>
      <x:c r="K1497" s="70" t="s">
        <x:v>2449</x:v>
      </x:c>
      <x:c r="L1497" s="70"/>
      <x:c r="M1497" s="70" t="s">
        <x:v>39</x:v>
      </x:c>
      <x:c r="N1497" s="71" t="n">
        <x:v>0</x:v>
      </x:c>
      <x:c r="O1497" s="72" t="n">
        <x:f aca="0">N1497/1000</x:f>
        <x:v>0</x:v>
      </x:c>
      <x:c r="P1497" s="73" t="n">
        <x:f aca="0">MLCF!H94</x:f>
        <x:v>0</x:v>
      </x:c>
      <x:c r="Q1497" s="70" t="str">
        <x:f aca="0">IF(ABS(O1497-P1497)&lt;0.000001,"PASS","FAIL")</x:f>
        <x:v>PASS</x:v>
      </x:c>
      <x:c r="R1497" s="70" t="s">
        <x:v>33</x:v>
      </x:c>
      <x:c r="S1497" s="70"/>
    </x:row>
    <x:row r="1498" ht="15" hidden="0">
      <x:c r="A1498" s="70" t="s">
        <x:v>2493</x:v>
      </x:c>
      <x:c r="B1498" s="70" t="s">
        <x:v>41</x:v>
      </x:c>
      <x:c r="C1498" s="70" t="s">
        <x:v>101</x:v>
      </x:c>
      <x:c r="D1498" s="70" t="s">
        <x:v>246</x:v>
      </x:c>
      <x:c r="E1498" s="70" t="s">
        <x:v>1106</x:v>
      </x:c>
      <x:c r="F1498" s="70" t="s">
        <x:v>246</x:v>
      </x:c>
      <x:c r="G1498" s="70" t="s">
        <x:v>1301</x:v>
      </x:c>
      <x:c r="H1498" s="70" t="s">
        <x:v>838</x:v>
      </x:c>
      <x:c r="I1498" s="70" t="s">
        <x:v>833</x:v>
      </x:c>
      <x:c r="J1498" s="70" t="n">
        <x:v>185</x:v>
      </x:c>
      <x:c r="K1498" s="70" t="s">
        <x:v>1761</x:v>
      </x:c>
      <x:c r="L1498" s="70"/>
      <x:c r="M1498" s="70" t="s">
        <x:v>39</x:v>
      </x:c>
      <x:c r="N1498" s="71" t="n">
        <x:v>-1493930</x:v>
      </x:c>
      <x:c r="O1498" s="72" t="n">
        <x:f aca="0">N1498/1000</x:f>
        <x:v>-1493.93</x:v>
      </x:c>
      <x:c r="P1498" s="73" t="n">
        <x:f aca="0">MLCF!D95</x:f>
        <x:v>-1493.93</x:v>
      </x:c>
      <x:c r="Q1498" s="70" t="str">
        <x:f aca="0">IF(ABS(O1498-P1498)&lt;0.000001,"PASS","FAIL")</x:f>
        <x:v>PASS</x:v>
      </x:c>
      <x:c r="R1498" s="70" t="s">
        <x:v>33</x:v>
      </x:c>
      <x:c r="S1498" s="70"/>
    </x:row>
    <x:row r="1499" ht="15" hidden="0">
      <x:c r="A1499" s="70" t="s">
        <x:v>2494</x:v>
      </x:c>
      <x:c r="B1499" s="70" t="s">
        <x:v>41</x:v>
      </x:c>
      <x:c r="C1499" s="70" t="s">
        <x:v>102</x:v>
      </x:c>
      <x:c r="D1499" s="70" t="s">
        <x:v>246</x:v>
      </x:c>
      <x:c r="E1499" s="70" t="s">
        <x:v>1106</x:v>
      </x:c>
      <x:c r="F1499" s="70" t="s">
        <x:v>246</x:v>
      </x:c>
      <x:c r="G1499" s="70" t="s">
        <x:v>1304</x:v>
      </x:c>
      <x:c r="H1499" s="70" t="s">
        <x:v>842</x:v>
      </x:c>
      <x:c r="I1499" s="70" t="s">
        <x:v>833</x:v>
      </x:c>
      <x:c r="J1499" s="70" t="n">
        <x:v>99</x:v>
      </x:c>
      <x:c r="K1499" s="70" t="s">
        <x:v>2445</x:v>
      </x:c>
      <x:c r="L1499" s="70"/>
      <x:c r="M1499" s="70" t="s">
        <x:v>39</x:v>
      </x:c>
      <x:c r="N1499" s="71" t="n">
        <x:v>-1741026</x:v>
      </x:c>
      <x:c r="O1499" s="72" t="n">
        <x:f aca="0">N1499/1000</x:f>
        <x:v>-1741.026</x:v>
      </x:c>
      <x:c r="P1499" s="73" t="n">
        <x:f aca="0">MLCF!E95</x:f>
        <x:v>-1741.026</x:v>
      </x:c>
      <x:c r="Q1499" s="70" t="str">
        <x:f aca="0">IF(ABS(O1499-P1499)&lt;0.000001,"PASS","FAIL")</x:f>
        <x:v>PASS</x:v>
      </x:c>
      <x:c r="R1499" s="70" t="s">
        <x:v>33</x:v>
      </x:c>
      <x:c r="S1499" s="70"/>
    </x:row>
    <x:row r="1500" ht="15" hidden="0">
      <x:c r="A1500" s="70" t="s">
        <x:v>2495</x:v>
      </x:c>
      <x:c r="B1500" s="70" t="s">
        <x:v>41</x:v>
      </x:c>
      <x:c r="C1500" s="70" t="s">
        <x:v>103</x:v>
      </x:c>
      <x:c r="D1500" s="70" t="s">
        <x:v>246</x:v>
      </x:c>
      <x:c r="E1500" s="70" t="s">
        <x:v>1106</x:v>
      </x:c>
      <x:c r="F1500" s="70" t="s">
        <x:v>246</x:v>
      </x:c>
      <x:c r="G1500" s="70" t="s">
        <x:v>1307</x:v>
      </x:c>
      <x:c r="H1500" s="70" t="s">
        <x:v>845</x:v>
      </x:c>
      <x:c r="I1500" s="70" t="s">
        <x:v>833</x:v>
      </x:c>
      <x:c r="J1500" s="70" t="n">
        <x:v>191</x:v>
      </x:c>
      <x:c r="K1500" s="70" t="s">
        <x:v>2447</x:v>
      </x:c>
      <x:c r="L1500" s="70"/>
      <x:c r="M1500" s="70" t="s">
        <x:v>39</x:v>
      </x:c>
      <x:c r="N1500" s="71" t="n">
        <x:v>-2750748</x:v>
      </x:c>
      <x:c r="O1500" s="72" t="n">
        <x:f aca="0">N1500/1000</x:f>
        <x:v>-2750.748</x:v>
      </x:c>
      <x:c r="P1500" s="73" t="n">
        <x:f aca="0">MLCF!F95</x:f>
        <x:v>-2750.748</x:v>
      </x:c>
      <x:c r="Q1500" s="70" t="str">
        <x:f aca="0">IF(ABS(O1500-P1500)&lt;0.000001,"PASS","FAIL")</x:f>
        <x:v>PASS</x:v>
      </x:c>
      <x:c r="R1500" s="70" t="s">
        <x:v>33</x:v>
      </x:c>
      <x:c r="S1500" s="70"/>
    </x:row>
    <x:row r="1501" ht="15" hidden="0">
      <x:c r="A1501" s="70" t="s">
        <x:v>2496</x:v>
      </x:c>
      <x:c r="B1501" s="70" t="s">
        <x:v>41</x:v>
      </x:c>
      <x:c r="C1501" s="70" t="s">
        <x:v>104</x:v>
      </x:c>
      <x:c r="D1501" s="70" t="s">
        <x:v>246</x:v>
      </x:c>
      <x:c r="E1501" s="70" t="s">
        <x:v>1106</x:v>
      </x:c>
      <x:c r="F1501" s="70" t="s">
        <x:v>246</x:v>
      </x:c>
      <x:c r="G1501" s="70" t="s">
        <x:v>1310</x:v>
      </x:c>
      <x:c r="H1501" s="70" t="s">
        <x:v>849</x:v>
      </x:c>
      <x:c r="I1501" s="70" t="s">
        <x:v>833</x:v>
      </x:c>
      <x:c r="J1501" s="70" t="n">
        <x:v>203</x:v>
      </x:c>
      <x:c r="K1501" s="70" t="s">
        <x:v>2449</x:v>
      </x:c>
      <x:c r="L1501" s="70"/>
      <x:c r="M1501" s="70" t="s">
        <x:v>39</x:v>
      </x:c>
      <x:c r="N1501" s="71" t="n">
        <x:v>-4138286</x:v>
      </x:c>
      <x:c r="O1501" s="72" t="n">
        <x:f aca="0">N1501/1000</x:f>
        <x:v>-4138.286</x:v>
      </x:c>
      <x:c r="P1501" s="73" t="n">
        <x:f aca="0">MLCF!G95</x:f>
        <x:v>-4138.286</x:v>
      </x:c>
      <x:c r="Q1501" s="70" t="str">
        <x:f aca="0">IF(ABS(O1501-P1501)&lt;0.000001,"PASS","FAIL")</x:f>
        <x:v>PASS</x:v>
      </x:c>
      <x:c r="R1501" s="70" t="s">
        <x:v>33</x:v>
      </x:c>
      <x:c r="S1501" s="70"/>
    </x:row>
    <x:row r="1502" ht="15" hidden="0">
      <x:c r="A1502" s="70" t="s">
        <x:v>2497</x:v>
      </x:c>
      <x:c r="B1502" s="70" t="s">
        <x:v>41</x:v>
      </x:c>
      <x:c r="C1502" s="70" t="s">
        <x:v>105</x:v>
      </x:c>
      <x:c r="D1502" s="70" t="s">
        <x:v>246</x:v>
      </x:c>
      <x:c r="E1502" s="70" t="s">
        <x:v>1106</x:v>
      </x:c>
      <x:c r="F1502" s="70" t="s">
        <x:v>246</x:v>
      </x:c>
      <x:c r="G1502" s="70" t="s">
        <x:v>1310</x:v>
      </x:c>
      <x:c r="H1502" s="70" t="s">
        <x:v>849</x:v>
      </x:c>
      <x:c r="I1502" s="70" t="s">
        <x:v>852</x:v>
      </x:c>
      <x:c r="J1502" s="70" t="n">
        <x:v>203</x:v>
      </x:c>
      <x:c r="K1502" s="70" t="s">
        <x:v>2449</x:v>
      </x:c>
      <x:c r="L1502" s="70"/>
      <x:c r="M1502" s="70" t="s">
        <x:v>39</x:v>
      </x:c>
      <x:c r="N1502" s="71" t="n">
        <x:v>-3554788</x:v>
      </x:c>
      <x:c r="O1502" s="72" t="n">
        <x:f aca="0">N1502/1000</x:f>
        <x:v>-3554.788</x:v>
      </x:c>
      <x:c r="P1502" s="73" t="n">
        <x:f aca="0">MLCF!H95</x:f>
        <x:v>-3554.788</x:v>
      </x:c>
      <x:c r="Q1502" s="70" t="str">
        <x:f aca="0">IF(ABS(O1502-P1502)&lt;0.000001,"PASS","FAIL")</x:f>
        <x:v>PASS</x:v>
      </x:c>
      <x:c r="R1502" s="70" t="s">
        <x:v>33</x:v>
      </x:c>
      <x:c r="S1502" s="70"/>
    </x:row>
    <x:row r="1503" ht="15" hidden="0">
      <x:c r="A1503" s="70" t="s">
        <x:v>2498</x:v>
      </x:c>
      <x:c r="B1503" s="70" t="s">
        <x:v>41</x:v>
      </x:c>
      <x:c r="C1503" s="70" t="s">
        <x:v>101</x:v>
      </x:c>
      <x:c r="D1503" s="70" t="s">
        <x:v>250</x:v>
      </x:c>
      <x:c r="E1503" s="70" t="s">
        <x:v>1106</x:v>
      </x:c>
      <x:c r="F1503" s="70"/>
      <x:c r="G1503" s="70" t="s">
        <x:v>1301</x:v>
      </x:c>
      <x:c r="H1503" s="70" t="s">
        <x:v>838</x:v>
      </x:c>
      <x:c r="I1503" s="70" t="s">
        <x:v>833</x:v>
      </x:c>
      <x:c r="J1503" s="70" t="n">
        <x:v>185</x:v>
      </x:c>
      <x:c r="K1503" s="70" t="s">
        <x:v>1761</x:v>
      </x:c>
      <x:c r="L1503" s="70"/>
      <x:c r="M1503" s="70" t="s">
        <x:v>39</x:v>
      </x:c>
      <x:c r="N1503" s="71" t="n">
        <x:v>0</x:v>
      </x:c>
      <x:c r="O1503" s="72" t="n">
        <x:f aca="0">N1503/1000</x:f>
        <x:v>0</x:v>
      </x:c>
      <x:c r="P1503" s="73" t="n">
        <x:f aca="0">MLCF!D97</x:f>
        <x:v>0</x:v>
      </x:c>
      <x:c r="Q1503" s="70" t="str">
        <x:f aca="0">IF(ABS(O1503-P1503)&lt;0.000001,"PASS","FAIL")</x:f>
        <x:v>PASS</x:v>
      </x:c>
      <x:c r="R1503" s="70" t="s">
        <x:v>33</x:v>
      </x:c>
      <x:c r="S1503" s="70"/>
    </x:row>
    <x:row r="1504" ht="15" hidden="0">
      <x:c r="A1504" s="70" t="s">
        <x:v>2499</x:v>
      </x:c>
      <x:c r="B1504" s="70" t="s">
        <x:v>41</x:v>
      </x:c>
      <x:c r="C1504" s="70" t="s">
        <x:v>102</x:v>
      </x:c>
      <x:c r="D1504" s="70" t="s">
        <x:v>250</x:v>
      </x:c>
      <x:c r="E1504" s="70" t="s">
        <x:v>1106</x:v>
      </x:c>
      <x:c r="F1504" s="70"/>
      <x:c r="G1504" s="70" t="s">
        <x:v>1304</x:v>
      </x:c>
      <x:c r="H1504" s="70" t="s">
        <x:v>842</x:v>
      </x:c>
      <x:c r="I1504" s="70" t="s">
        <x:v>833</x:v>
      </x:c>
      <x:c r="J1504" s="70" t="n">
        <x:v>99</x:v>
      </x:c>
      <x:c r="K1504" s="70" t="s">
        <x:v>2445</x:v>
      </x:c>
      <x:c r="L1504" s="70"/>
      <x:c r="M1504" s="70" t="s">
        <x:v>39</x:v>
      </x:c>
      <x:c r="N1504" s="71" t="n">
        <x:v>0</x:v>
      </x:c>
      <x:c r="O1504" s="72" t="n">
        <x:f aca="0">N1504/1000</x:f>
        <x:v>0</x:v>
      </x:c>
      <x:c r="P1504" s="73" t="n">
        <x:f aca="0">MLCF!E97</x:f>
        <x:v>0</x:v>
      </x:c>
      <x:c r="Q1504" s="70" t="str">
        <x:f aca="0">IF(ABS(O1504-P1504)&lt;0.000001,"PASS","FAIL")</x:f>
        <x:v>PASS</x:v>
      </x:c>
      <x:c r="R1504" s="70" t="s">
        <x:v>33</x:v>
      </x:c>
      <x:c r="S1504" s="70"/>
    </x:row>
    <x:row r="1505" ht="15" hidden="0">
      <x:c r="A1505" s="70" t="s">
        <x:v>2500</x:v>
      </x:c>
      <x:c r="B1505" s="70" t="s">
        <x:v>41</x:v>
      </x:c>
      <x:c r="C1505" s="70" t="s">
        <x:v>103</x:v>
      </x:c>
      <x:c r="D1505" s="70" t="s">
        <x:v>250</x:v>
      </x:c>
      <x:c r="E1505" s="70" t="s">
        <x:v>1106</x:v>
      </x:c>
      <x:c r="F1505" s="70" t="s">
        <x:v>2501</x:v>
      </x:c>
      <x:c r="G1505" s="70" t="s">
        <x:v>1307</x:v>
      </x:c>
      <x:c r="H1505" s="70" t="s">
        <x:v>845</x:v>
      </x:c>
      <x:c r="I1505" s="70" t="s">
        <x:v>833</x:v>
      </x:c>
      <x:c r="J1505" s="70" t="n">
        <x:v>191</x:v>
      </x:c>
      <x:c r="K1505" s="70" t="s">
        <x:v>2447</x:v>
      </x:c>
      <x:c r="L1505" s="70"/>
      <x:c r="M1505" s="70" t="s">
        <x:v>39</x:v>
      </x:c>
      <x:c r="N1505" s="71" t="n">
        <x:v>-12192</x:v>
      </x:c>
      <x:c r="O1505" s="72" t="n">
        <x:f aca="0">N1505/1000</x:f>
        <x:v>-12.192</x:v>
      </x:c>
      <x:c r="P1505" s="73" t="n">
        <x:f aca="0">MLCF!F97</x:f>
        <x:v>-12.192</x:v>
      </x:c>
      <x:c r="Q1505" s="70" t="str">
        <x:f aca="0">IF(ABS(O1505-P1505)&lt;0.000001,"PASS","FAIL")</x:f>
        <x:v>PASS</x:v>
      </x:c>
      <x:c r="R1505" s="70" t="s">
        <x:v>33</x:v>
      </x:c>
      <x:c r="S1505" s="70"/>
    </x:row>
    <x:row r="1506" ht="15" hidden="0">
      <x:c r="A1506" s="70" t="s">
        <x:v>2502</x:v>
      </x:c>
      <x:c r="B1506" s="70" t="s">
        <x:v>41</x:v>
      </x:c>
      <x:c r="C1506" s="70" t="s">
        <x:v>104</x:v>
      </x:c>
      <x:c r="D1506" s="70" t="s">
        <x:v>250</x:v>
      </x:c>
      <x:c r="E1506" s="70" t="s">
        <x:v>1106</x:v>
      </x:c>
      <x:c r="F1506" s="70" t="s">
        <x:v>2503</x:v>
      </x:c>
      <x:c r="G1506" s="70" t="s">
        <x:v>1310</x:v>
      </x:c>
      <x:c r="H1506" s="70" t="s">
        <x:v>849</x:v>
      </x:c>
      <x:c r="I1506" s="70" t="s">
        <x:v>833</x:v>
      </x:c>
      <x:c r="J1506" s="70" t="n">
        <x:v>203</x:v>
      </x:c>
      <x:c r="K1506" s="70" t="s">
        <x:v>2449</x:v>
      </x:c>
      <x:c r="L1506" s="70"/>
      <x:c r="M1506" s="70" t="s">
        <x:v>39</x:v>
      </x:c>
      <x:c r="N1506" s="71" t="n">
        <x:v>-45804</x:v>
      </x:c>
      <x:c r="O1506" s="72" t="n">
        <x:f aca="0">N1506/1000</x:f>
        <x:v>-45.804</x:v>
      </x:c>
      <x:c r="P1506" s="73" t="n">
        <x:f aca="0">MLCF!G97</x:f>
        <x:v>-45.804</x:v>
      </x:c>
      <x:c r="Q1506" s="70" t="str">
        <x:f aca="0">IF(ABS(O1506-P1506)&lt;0.000001,"PASS","FAIL")</x:f>
        <x:v>PASS</x:v>
      </x:c>
      <x:c r="R1506" s="70" t="s">
        <x:v>33</x:v>
      </x:c>
      <x:c r="S1506" s="70"/>
    </x:row>
    <x:row r="1507" ht="15" hidden="0">
      <x:c r="A1507" s="70" t="s">
        <x:v>2504</x:v>
      </x:c>
      <x:c r="B1507" s="70" t="s">
        <x:v>41</x:v>
      </x:c>
      <x:c r="C1507" s="70" t="s">
        <x:v>105</x:v>
      </x:c>
      <x:c r="D1507" s="70" t="s">
        <x:v>250</x:v>
      </x:c>
      <x:c r="E1507" s="70" t="s">
        <x:v>1106</x:v>
      </x:c>
      <x:c r="F1507" s="70" t="s">
        <x:v>2503</x:v>
      </x:c>
      <x:c r="G1507" s="70" t="s">
        <x:v>1310</x:v>
      </x:c>
      <x:c r="H1507" s="70" t="s">
        <x:v>849</x:v>
      </x:c>
      <x:c r="I1507" s="70" t="s">
        <x:v>852</x:v>
      </x:c>
      <x:c r="J1507" s="70" t="n">
        <x:v>203</x:v>
      </x:c>
      <x:c r="K1507" s="70" t="s">
        <x:v>2449</x:v>
      </x:c>
      <x:c r="L1507" s="70"/>
      <x:c r="M1507" s="70" t="s">
        <x:v>39</x:v>
      </x:c>
      <x:c r="N1507" s="71" t="n">
        <x:v>-38972</x:v>
      </x:c>
      <x:c r="O1507" s="72" t="n">
        <x:f aca="0">N1507/1000</x:f>
        <x:v>-38.972</x:v>
      </x:c>
      <x:c r="P1507" s="73" t="n">
        <x:f aca="0">MLCF!H97</x:f>
        <x:v>-38.972</x:v>
      </x:c>
      <x:c r="Q1507" s="70" t="str">
        <x:f aca="0">IF(ABS(O1507-P1507)&lt;0.000001,"PASS","FAIL")</x:f>
        <x:v>PASS</x:v>
      </x:c>
      <x:c r="R1507" s="70" t="s">
        <x:v>33</x:v>
      </x:c>
      <x:c r="S1507" s="70"/>
    </x:row>
    <x:row r="1508" ht="15" hidden="0">
      <x:c r="A1508" s="70" t="s">
        <x:v>2505</x:v>
      </x:c>
      <x:c r="B1508" s="70" t="s">
        <x:v>41</x:v>
      </x:c>
      <x:c r="C1508" s="70" t="s">
        <x:v>101</x:v>
      </x:c>
      <x:c r="D1508" s="70" t="s">
        <x:v>252</x:v>
      </x:c>
      <x:c r="E1508" s="70" t="s">
        <x:v>1106</x:v>
      </x:c>
      <x:c r="F1508" s="70" t="s">
        <x:v>1168</x:v>
      </x:c>
      <x:c r="G1508" s="70" t="s">
        <x:v>1301</x:v>
      </x:c>
      <x:c r="H1508" s="70" t="s">
        <x:v>838</x:v>
      </x:c>
      <x:c r="I1508" s="70" t="s">
        <x:v>833</x:v>
      </x:c>
      <x:c r="J1508" s="70" t="n">
        <x:v>185</x:v>
      </x:c>
      <x:c r="K1508" s="70" t="s">
        <x:v>1761</x:v>
      </x:c>
      <x:c r="L1508" s="70"/>
      <x:c r="M1508" s="70" t="s">
        <x:v>39</x:v>
      </x:c>
      <x:c r="N1508" s="71" t="n">
        <x:v>-1035492</x:v>
      </x:c>
      <x:c r="O1508" s="72" t="n">
        <x:f aca="0">N1508/1000</x:f>
        <x:v>-1035.492</x:v>
      </x:c>
      <x:c r="P1508" s="73" t="n">
        <x:f aca="0">MLCF!D98</x:f>
        <x:v>-1035.492</x:v>
      </x:c>
      <x:c r="Q1508" s="70" t="str">
        <x:f aca="0">IF(ABS(O1508-P1508)&lt;0.000001,"PASS","FAIL")</x:f>
        <x:v>PASS</x:v>
      </x:c>
      <x:c r="R1508" s="70" t="s">
        <x:v>33</x:v>
      </x:c>
      <x:c r="S1508" s="70"/>
    </x:row>
    <x:row r="1509" ht="15" hidden="0">
      <x:c r="A1509" s="70" t="s">
        <x:v>2506</x:v>
      </x:c>
      <x:c r="B1509" s="70" t="s">
        <x:v>41</x:v>
      </x:c>
      <x:c r="C1509" s="70" t="s">
        <x:v>102</x:v>
      </x:c>
      <x:c r="D1509" s="70" t="s">
        <x:v>252</x:v>
      </x:c>
      <x:c r="E1509" s="70" t="s">
        <x:v>1106</x:v>
      </x:c>
      <x:c r="F1509" s="70" t="s">
        <x:v>1168</x:v>
      </x:c>
      <x:c r="G1509" s="70" t="s">
        <x:v>1304</x:v>
      </x:c>
      <x:c r="H1509" s="70" t="s">
        <x:v>842</x:v>
      </x:c>
      <x:c r="I1509" s="70" t="s">
        <x:v>833</x:v>
      </x:c>
      <x:c r="J1509" s="70" t="n">
        <x:v>99</x:v>
      </x:c>
      <x:c r="K1509" s="70" t="s">
        <x:v>2445</x:v>
      </x:c>
      <x:c r="L1509" s="70"/>
      <x:c r="M1509" s="70" t="s">
        <x:v>39</x:v>
      </x:c>
      <x:c r="N1509" s="71" t="n">
        <x:v>-3557172</x:v>
      </x:c>
      <x:c r="O1509" s="72" t="n">
        <x:f aca="0">N1509/1000</x:f>
        <x:v>-3557.172</x:v>
      </x:c>
      <x:c r="P1509" s="73" t="n">
        <x:f aca="0">MLCF!E98</x:f>
        <x:v>-3557.172</x:v>
      </x:c>
      <x:c r="Q1509" s="70" t="str">
        <x:f aca="0">IF(ABS(O1509-P1509)&lt;0.000001,"PASS","FAIL")</x:f>
        <x:v>PASS</x:v>
      </x:c>
      <x:c r="R1509" s="70" t="s">
        <x:v>33</x:v>
      </x:c>
      <x:c r="S1509" s="70"/>
    </x:row>
    <x:row r="1510" ht="15" hidden="0">
      <x:c r="A1510" s="70" t="s">
        <x:v>2507</x:v>
      </x:c>
      <x:c r="B1510" s="70" t="s">
        <x:v>41</x:v>
      </x:c>
      <x:c r="C1510" s="70" t="s">
        <x:v>103</x:v>
      </x:c>
      <x:c r="D1510" s="70" t="s">
        <x:v>252</x:v>
      </x:c>
      <x:c r="E1510" s="70" t="s">
        <x:v>1106</x:v>
      </x:c>
      <x:c r="F1510" s="70" t="s">
        <x:v>252</x:v>
      </x:c>
      <x:c r="G1510" s="70" t="s">
        <x:v>1307</x:v>
      </x:c>
      <x:c r="H1510" s="70" t="s">
        <x:v>845</x:v>
      </x:c>
      <x:c r="I1510" s="70" t="s">
        <x:v>833</x:v>
      </x:c>
      <x:c r="J1510" s="70" t="n">
        <x:v>191</x:v>
      </x:c>
      <x:c r="K1510" s="70" t="s">
        <x:v>2447</x:v>
      </x:c>
      <x:c r="L1510" s="70"/>
      <x:c r="M1510" s="70" t="s">
        <x:v>39</x:v>
      </x:c>
      <x:c r="N1510" s="71" t="n">
        <x:v>-4746806</x:v>
      </x:c>
      <x:c r="O1510" s="72" t="n">
        <x:f aca="0">N1510/1000</x:f>
        <x:v>-4746.806</x:v>
      </x:c>
      <x:c r="P1510" s="73" t="n">
        <x:f aca="0">MLCF!F98</x:f>
        <x:v>-4746.806</x:v>
      </x:c>
      <x:c r="Q1510" s="70" t="str">
        <x:f aca="0">IF(ABS(O1510-P1510)&lt;0.000001,"PASS","FAIL")</x:f>
        <x:v>PASS</x:v>
      </x:c>
      <x:c r="R1510" s="70" t="s">
        <x:v>33</x:v>
      </x:c>
      <x:c r="S1510" s="70" t="s">
        <x:v>839</x:v>
      </x:c>
    </x:row>
    <x:row r="1511" ht="15" hidden="0">
      <x:c r="A1511" s="70" t="s">
        <x:v>2508</x:v>
      </x:c>
      <x:c r="B1511" s="70" t="s">
        <x:v>41</x:v>
      </x:c>
      <x:c r="C1511" s="70" t="s">
        <x:v>104</x:v>
      </x:c>
      <x:c r="D1511" s="70" t="s">
        <x:v>252</x:v>
      </x:c>
      <x:c r="E1511" s="70" t="s">
        <x:v>1106</x:v>
      </x:c>
      <x:c r="F1511" s="70" t="s">
        <x:v>252</x:v>
      </x:c>
      <x:c r="G1511" s="70" t="s">
        <x:v>1310</x:v>
      </x:c>
      <x:c r="H1511" s="70" t="s">
        <x:v>849</x:v>
      </x:c>
      <x:c r="I1511" s="70" t="s">
        <x:v>833</x:v>
      </x:c>
      <x:c r="J1511" s="70" t="n">
        <x:v>203</x:v>
      </x:c>
      <x:c r="K1511" s="70" t="s">
        <x:v>2449</x:v>
      </x:c>
      <x:c r="L1511" s="70"/>
      <x:c r="M1511" s="70" t="s">
        <x:v>39</x:v>
      </x:c>
      <x:c r="N1511" s="71" t="n">
        <x:v>-3613117</x:v>
      </x:c>
      <x:c r="O1511" s="72" t="n">
        <x:f aca="0">N1511/1000</x:f>
        <x:v>-3613.117</x:v>
      </x:c>
      <x:c r="P1511" s="73" t="n">
        <x:f aca="0">MLCF!G98</x:f>
        <x:v>-3613.117</x:v>
      </x:c>
      <x:c r="Q1511" s="70" t="str">
        <x:f aca="0">IF(ABS(O1511-P1511)&lt;0.000001,"PASS","FAIL")</x:f>
        <x:v>PASS</x:v>
      </x:c>
      <x:c r="R1511" s="70" t="s">
        <x:v>33</x:v>
      </x:c>
      <x:c r="S1511" s="70"/>
    </x:row>
    <x:row r="1512" ht="15" hidden="0">
      <x:c r="A1512" s="70" t="s">
        <x:v>2509</x:v>
      </x:c>
      <x:c r="B1512" s="70" t="s">
        <x:v>41</x:v>
      </x:c>
      <x:c r="C1512" s="70" t="s">
        <x:v>105</x:v>
      </x:c>
      <x:c r="D1512" s="70" t="s">
        <x:v>252</x:v>
      </x:c>
      <x:c r="E1512" s="70" t="s">
        <x:v>1106</x:v>
      </x:c>
      <x:c r="F1512" s="70" t="s">
        <x:v>252</x:v>
      </x:c>
      <x:c r="G1512" s="70" t="s">
        <x:v>1310</x:v>
      </x:c>
      <x:c r="H1512" s="70" t="s">
        <x:v>849</x:v>
      </x:c>
      <x:c r="I1512" s="70" t="s">
        <x:v>852</x:v>
      </x:c>
      <x:c r="J1512" s="70" t="n">
        <x:v>203</x:v>
      </x:c>
      <x:c r="K1512" s="70" t="s">
        <x:v>2449</x:v>
      </x:c>
      <x:c r="L1512" s="70"/>
      <x:c r="M1512" s="70" t="s">
        <x:v>39</x:v>
      </x:c>
      <x:c r="N1512" s="71" t="n">
        <x:v>-4588891</x:v>
      </x:c>
      <x:c r="O1512" s="72" t="n">
        <x:f aca="0">N1512/1000</x:f>
        <x:v>-4588.891</x:v>
      </x:c>
      <x:c r="P1512" s="73" t="n">
        <x:f aca="0">MLCF!H98</x:f>
        <x:v>-4588.891</x:v>
      </x:c>
      <x:c r="Q1512" s="70" t="str">
        <x:f aca="0">IF(ABS(O1512-P1512)&lt;0.000001,"PASS","FAIL")</x:f>
        <x:v>PASS</x:v>
      </x:c>
      <x:c r="R1512" s="70" t="s">
        <x:v>33</x:v>
      </x:c>
      <x:c r="S1512" s="70"/>
    </x:row>
    <x:row r="1513" ht="15" hidden="0">
      <x:c r="A1513" s="70" t="s">
        <x:v>2510</x:v>
      </x:c>
      <x:c r="B1513" s="70" t="s">
        <x:v>41</x:v>
      </x:c>
      <x:c r="C1513" s="70" t="s">
        <x:v>101</x:v>
      </x:c>
      <x:c r="D1513" s="70" t="s">
        <x:v>256</x:v>
      </x:c>
      <x:c r="E1513" s="70" t="s">
        <x:v>1106</x:v>
      </x:c>
      <x:c r="F1513" s="70" t="s">
        <x:v>228</x:v>
      </x:c>
      <x:c r="G1513" s="70" t="s">
        <x:v>1301</x:v>
      </x:c>
      <x:c r="H1513" s="70" t="s">
        <x:v>838</x:v>
      </x:c>
      <x:c r="I1513" s="70" t="s">
        <x:v>833</x:v>
      </x:c>
      <x:c r="J1513" s="70" t="n">
        <x:v>185</x:v>
      </x:c>
      <x:c r="K1513" s="70" t="s">
        <x:v>1761</x:v>
      </x:c>
      <x:c r="L1513" s="70"/>
      <x:c r="M1513" s="70" t="s">
        <x:v>39</x:v>
      </x:c>
      <x:c r="N1513" s="71" t="n">
        <x:v>7402882</x:v>
      </x:c>
      <x:c r="O1513" s="72" t="n">
        <x:f aca="0">N1513/1000</x:f>
        <x:v>7402.882</x:v>
      </x:c>
      <x:c r="P1513" s="73" t="n">
        <x:f aca="0">MLCF!D100</x:f>
        <x:v>7402.882</x:v>
      </x:c>
      <x:c r="Q1513" s="70" t="str">
        <x:f aca="0">IF(ABS(O1513-P1513)&lt;0.000001,"PASS","FAIL")</x:f>
        <x:v>PASS</x:v>
      </x:c>
      <x:c r="R1513" s="70" t="s">
        <x:v>33</x:v>
      </x:c>
      <x:c r="S1513" s="70"/>
    </x:row>
    <x:row r="1514" ht="15" hidden="0">
      <x:c r="A1514" s="70" t="s">
        <x:v>2511</x:v>
      </x:c>
      <x:c r="B1514" s="70" t="s">
        <x:v>41</x:v>
      </x:c>
      <x:c r="C1514" s="70" t="s">
        <x:v>102</x:v>
      </x:c>
      <x:c r="D1514" s="70" t="s">
        <x:v>256</x:v>
      </x:c>
      <x:c r="E1514" s="70" t="s">
        <x:v>1106</x:v>
      </x:c>
      <x:c r="F1514" s="70" t="s">
        <x:v>228</x:v>
      </x:c>
      <x:c r="G1514" s="70" t="s">
        <x:v>1304</x:v>
      </x:c>
      <x:c r="H1514" s="70" t="s">
        <x:v>842</x:v>
      </x:c>
      <x:c r="I1514" s="70" t="s">
        <x:v>833</x:v>
      </x:c>
      <x:c r="J1514" s="70" t="n">
        <x:v>99</x:v>
      </x:c>
      <x:c r="K1514" s="70" t="s">
        <x:v>2445</x:v>
      </x:c>
      <x:c r="L1514" s="70"/>
      <x:c r="M1514" s="70" t="s">
        <x:v>39</x:v>
      </x:c>
      <x:c r="N1514" s="71" t="n">
        <x:v>12275466</x:v>
      </x:c>
      <x:c r="O1514" s="72" t="n">
        <x:f aca="0">N1514/1000</x:f>
        <x:v>12275.466</x:v>
      </x:c>
      <x:c r="P1514" s="73" t="n">
        <x:f aca="0">MLCF!E100</x:f>
        <x:v>12275.466</x:v>
      </x:c>
      <x:c r="Q1514" s="70" t="str">
        <x:f aca="0">IF(ABS(O1514-P1514)&lt;0.000001,"PASS","FAIL")</x:f>
        <x:v>PASS</x:v>
      </x:c>
      <x:c r="R1514" s="70" t="s">
        <x:v>33</x:v>
      </x:c>
      <x:c r="S1514" s="70"/>
    </x:row>
    <x:row r="1515" ht="15" hidden="0">
      <x:c r="A1515" s="70" t="s">
        <x:v>2512</x:v>
      </x:c>
      <x:c r="B1515" s="70" t="s">
        <x:v>41</x:v>
      </x:c>
      <x:c r="C1515" s="70" t="s">
        <x:v>103</x:v>
      </x:c>
      <x:c r="D1515" s="70" t="s">
        <x:v>256</x:v>
      </x:c>
      <x:c r="E1515" s="70" t="s">
        <x:v>1106</x:v>
      </x:c>
      <x:c r="F1515" s="70" t="s">
        <x:v>228</x:v>
      </x:c>
      <x:c r="G1515" s="70" t="s">
        <x:v>1307</x:v>
      </x:c>
      <x:c r="H1515" s="70" t="s">
        <x:v>845</x:v>
      </x:c>
      <x:c r="I1515" s="70" t="s">
        <x:v>833</x:v>
      </x:c>
      <x:c r="J1515" s="70" t="n">
        <x:v>191</x:v>
      </x:c>
      <x:c r="K1515" s="70" t="s">
        <x:v>2447</x:v>
      </x:c>
      <x:c r="L1515" s="70"/>
      <x:c r="M1515" s="70" t="s">
        <x:v>39</x:v>
      </x:c>
      <x:c r="N1515" s="71" t="n">
        <x:v>18173353</x:v>
      </x:c>
      <x:c r="O1515" s="72" t="n">
        <x:f aca="0">N1515/1000</x:f>
        <x:v>18173.353</x:v>
      </x:c>
      <x:c r="P1515" s="73" t="n">
        <x:f aca="0">MLCF!F100</x:f>
        <x:v>18173.353</x:v>
      </x:c>
      <x:c r="Q1515" s="70" t="str">
        <x:f aca="0">IF(ABS(O1515-P1515)&lt;0.000001,"PASS","FAIL")</x:f>
        <x:v>PASS</x:v>
      </x:c>
      <x:c r="R1515" s="70" t="s">
        <x:v>33</x:v>
      </x:c>
      <x:c r="S1515" s="70"/>
    </x:row>
    <x:row r="1516" ht="15" hidden="0">
      <x:c r="A1516" s="70" t="s">
        <x:v>2513</x:v>
      </x:c>
      <x:c r="B1516" s="70" t="s">
        <x:v>41</x:v>
      </x:c>
      <x:c r="C1516" s="70" t="s">
        <x:v>104</x:v>
      </x:c>
      <x:c r="D1516" s="70" t="s">
        <x:v>256</x:v>
      </x:c>
      <x:c r="E1516" s="70" t="s">
        <x:v>1106</x:v>
      </x:c>
      <x:c r="F1516" s="70" t="s">
        <x:v>228</x:v>
      </x:c>
      <x:c r="G1516" s="70" t="s">
        <x:v>1310</x:v>
      </x:c>
      <x:c r="H1516" s="70" t="s">
        <x:v>849</x:v>
      </x:c>
      <x:c r="I1516" s="70" t="s">
        <x:v>833</x:v>
      </x:c>
      <x:c r="J1516" s="70" t="n">
        <x:v>203</x:v>
      </x:c>
      <x:c r="K1516" s="70" t="s">
        <x:v>2449</x:v>
      </x:c>
      <x:c r="L1516" s="70"/>
      <x:c r="M1516" s="70" t="s">
        <x:v>39</x:v>
      </x:c>
      <x:c r="N1516" s="71" t="n">
        <x:v>20964284</x:v>
      </x:c>
      <x:c r="O1516" s="72" t="n">
        <x:f aca="0">N1516/1000</x:f>
        <x:v>20964.284</x:v>
      </x:c>
      <x:c r="P1516" s="73" t="n">
        <x:f aca="0">MLCF!G100</x:f>
        <x:v>20964.284</x:v>
      </x:c>
      <x:c r="Q1516" s="70" t="str">
        <x:f aca="0">IF(ABS(O1516-P1516)&lt;0.000001,"PASS","FAIL")</x:f>
        <x:v>PASS</x:v>
      </x:c>
      <x:c r="R1516" s="70" t="s">
        <x:v>33</x:v>
      </x:c>
      <x:c r="S1516" s="70"/>
    </x:row>
    <x:row r="1517" ht="15" hidden="0">
      <x:c r="A1517" s="70" t="s">
        <x:v>2514</x:v>
      </x:c>
      <x:c r="B1517" s="70" t="s">
        <x:v>41</x:v>
      </x:c>
      <x:c r="C1517" s="70" t="s">
        <x:v>105</x:v>
      </x:c>
      <x:c r="D1517" s="70" t="s">
        <x:v>256</x:v>
      </x:c>
      <x:c r="E1517" s="70" t="s">
        <x:v>1106</x:v>
      </x:c>
      <x:c r="F1517" s="70" t="s">
        <x:v>228</x:v>
      </x:c>
      <x:c r="G1517" s="70" t="s">
        <x:v>1310</x:v>
      </x:c>
      <x:c r="H1517" s="70" t="s">
        <x:v>849</x:v>
      </x:c>
      <x:c r="I1517" s="70" t="s">
        <x:v>852</x:v>
      </x:c>
      <x:c r="J1517" s="70" t="n">
        <x:v>203</x:v>
      </x:c>
      <x:c r="K1517" s="70" t="s">
        <x:v>2449</x:v>
      </x:c>
      <x:c r="L1517" s="70"/>
      <x:c r="M1517" s="70" t="s">
        <x:v>39</x:v>
      </x:c>
      <x:c r="N1517" s="71" t="n">
        <x:v>23746816</x:v>
      </x:c>
      <x:c r="O1517" s="72" t="n">
        <x:f aca="0">N1517/1000</x:f>
        <x:v>23746.816</x:v>
      </x:c>
      <x:c r="P1517" s="73" t="n">
        <x:f aca="0">MLCF!H100</x:f>
        <x:v>23746.816</x:v>
      </x:c>
      <x:c r="Q1517" s="70" t="str">
        <x:f aca="0">IF(ABS(O1517-P1517)&lt;0.000001,"PASS","FAIL")</x:f>
        <x:v>PASS</x:v>
      </x:c>
      <x:c r="R1517" s="70" t="s">
        <x:v>33</x:v>
      </x:c>
      <x:c r="S1517" s="70"/>
    </x:row>
    <x:row r="1518" ht="15" hidden="0">
      <x:c r="A1518" s="70" t="s">
        <x:v>2515</x:v>
      </x:c>
      <x:c r="B1518" s="70" t="s">
        <x:v>41</x:v>
      </x:c>
      <x:c r="C1518" s="70" t="s">
        <x:v>101</x:v>
      </x:c>
      <x:c r="D1518" s="70" t="s">
        <x:v>258</x:v>
      </x:c>
      <x:c r="E1518" s="70" t="s">
        <x:v>1106</x:v>
      </x:c>
      <x:c r="F1518" s="70" t="s">
        <x:v>1180</x:v>
      </x:c>
      <x:c r="G1518" s="70" t="s">
        <x:v>1301</x:v>
      </x:c>
      <x:c r="H1518" s="70" t="s">
        <x:v>838</x:v>
      </x:c>
      <x:c r="I1518" s="70" t="s">
        <x:v>833</x:v>
      </x:c>
      <x:c r="J1518" s="70" t="n">
        <x:v>185</x:v>
      </x:c>
      <x:c r="K1518" s="70" t="s">
        <x:v>1761</x:v>
      </x:c>
      <x:c r="L1518" s="70"/>
      <x:c r="M1518" s="70" t="s">
        <x:v>39</x:v>
      </x:c>
      <x:c r="N1518" s="71" t="n">
        <x:v>7289601</x:v>
      </x:c>
      <x:c r="O1518" s="72" t="n">
        <x:f aca="0">N1518/1000</x:f>
        <x:v>7289.601</x:v>
      </x:c>
      <x:c r="P1518" s="73" t="n">
        <x:f aca="0">MLCF!D101</x:f>
        <x:v>7289.601</x:v>
      </x:c>
      <x:c r="Q1518" s="70" t="str">
        <x:f aca="0">IF(ABS(O1518-P1518)&lt;0.000001,"PASS","FAIL")</x:f>
        <x:v>PASS</x:v>
      </x:c>
      <x:c r="R1518" s="70" t="s">
        <x:v>33</x:v>
      </x:c>
      <x:c r="S1518" s="70"/>
    </x:row>
    <x:row r="1519" ht="15" hidden="0">
      <x:c r="A1519" s="70" t="s">
        <x:v>2516</x:v>
      </x:c>
      <x:c r="B1519" s="70" t="s">
        <x:v>41</x:v>
      </x:c>
      <x:c r="C1519" s="70" t="s">
        <x:v>102</x:v>
      </x:c>
      <x:c r="D1519" s="70" t="s">
        <x:v>258</x:v>
      </x:c>
      <x:c r="E1519" s="70" t="s">
        <x:v>1106</x:v>
      </x:c>
      <x:c r="F1519" s="70" t="s">
        <x:v>1180</x:v>
      </x:c>
      <x:c r="G1519" s="70" t="s">
        <x:v>1304</x:v>
      </x:c>
      <x:c r="H1519" s="70" t="s">
        <x:v>842</x:v>
      </x:c>
      <x:c r="I1519" s="70" t="s">
        <x:v>833</x:v>
      </x:c>
      <x:c r="J1519" s="70" t="n">
        <x:v>99</x:v>
      </x:c>
      <x:c r="K1519" s="70" t="s">
        <x:v>2445</x:v>
      </x:c>
      <x:c r="L1519" s="70"/>
      <x:c r="M1519" s="70" t="s">
        <x:v>39</x:v>
      </x:c>
      <x:c r="N1519" s="71" t="n">
        <x:v>7183512</x:v>
      </x:c>
      <x:c r="O1519" s="72" t="n">
        <x:f aca="0">N1519/1000</x:f>
        <x:v>7183.512</x:v>
      </x:c>
      <x:c r="P1519" s="73" t="n">
        <x:f aca="0">MLCF!E101</x:f>
        <x:v>7183.512</x:v>
      </x:c>
      <x:c r="Q1519" s="70" t="str">
        <x:f aca="0">IF(ABS(O1519-P1519)&lt;0.000001,"PASS","FAIL")</x:f>
        <x:v>PASS</x:v>
      </x:c>
      <x:c r="R1519" s="70" t="s">
        <x:v>33</x:v>
      </x:c>
      <x:c r="S1519" s="70"/>
    </x:row>
    <x:row r="1520" ht="15" hidden="0">
      <x:c r="A1520" s="70" t="s">
        <x:v>2517</x:v>
      </x:c>
      <x:c r="B1520" s="70" t="s">
        <x:v>41</x:v>
      </x:c>
      <x:c r="C1520" s="70" t="s">
        <x:v>103</x:v>
      </x:c>
      <x:c r="D1520" s="70" t="s">
        <x:v>258</x:v>
      </x:c>
      <x:c r="E1520" s="70" t="s">
        <x:v>1106</x:v>
      </x:c>
      <x:c r="F1520" s="70" t="s">
        <x:v>2518</x:v>
      </x:c>
      <x:c r="G1520" s="70" t="s">
        <x:v>1307</x:v>
      </x:c>
      <x:c r="H1520" s="70" t="s">
        <x:v>845</x:v>
      </x:c>
      <x:c r="I1520" s="70" t="s">
        <x:v>833</x:v>
      </x:c>
      <x:c r="J1520" s="70" t="n">
        <x:v>191</x:v>
      </x:c>
      <x:c r="K1520" s="70" t="s">
        <x:v>2447</x:v>
      </x:c>
      <x:c r="L1520" s="70"/>
      <x:c r="M1520" s="70" t="s">
        <x:v>39</x:v>
      </x:c>
      <x:c r="N1520" s="71" t="n">
        <x:v>9250667</x:v>
      </x:c>
      <x:c r="O1520" s="72" t="n">
        <x:f aca="0">N1520/1000</x:f>
        <x:v>9250.667</x:v>
      </x:c>
      <x:c r="P1520" s="73" t="n">
        <x:f aca="0">MLCF!F101</x:f>
        <x:v>9250.667</x:v>
      </x:c>
      <x:c r="Q1520" s="70" t="str">
        <x:f aca="0">IF(ABS(O1520-P1520)&lt;0.000001,"PASS","FAIL")</x:f>
        <x:v>PASS</x:v>
      </x:c>
      <x:c r="R1520" s="70" t="s">
        <x:v>33</x:v>
      </x:c>
      <x:c r="S1520" s="70"/>
    </x:row>
    <x:row r="1521" ht="15" hidden="0">
      <x:c r="A1521" s="70" t="s">
        <x:v>2519</x:v>
      </x:c>
      <x:c r="B1521" s="70" t="s">
        <x:v>41</x:v>
      </x:c>
      <x:c r="C1521" s="70" t="s">
        <x:v>104</x:v>
      </x:c>
      <x:c r="D1521" s="70" t="s">
        <x:v>258</x:v>
      </x:c>
      <x:c r="E1521" s="70" t="s">
        <x:v>1106</x:v>
      </x:c>
      <x:c r="F1521" s="70" t="s">
        <x:v>2518</x:v>
      </x:c>
      <x:c r="G1521" s="70" t="s">
        <x:v>1310</x:v>
      </x:c>
      <x:c r="H1521" s="70" t="s">
        <x:v>849</x:v>
      </x:c>
      <x:c r="I1521" s="70" t="s">
        <x:v>833</x:v>
      </x:c>
      <x:c r="J1521" s="70" t="n">
        <x:v>203</x:v>
      </x:c>
      <x:c r="K1521" s="70" t="s">
        <x:v>2449</x:v>
      </x:c>
      <x:c r="L1521" s="70"/>
      <x:c r="M1521" s="70" t="s">
        <x:v>39</x:v>
      </x:c>
      <x:c r="N1521" s="71" t="n">
        <x:v>8931448</x:v>
      </x:c>
      <x:c r="O1521" s="72" t="n">
        <x:f aca="0">N1521/1000</x:f>
        <x:v>8931.448</x:v>
      </x:c>
      <x:c r="P1521" s="73" t="n">
        <x:f aca="0">MLCF!G101</x:f>
        <x:v>8931.448</x:v>
      </x:c>
      <x:c r="Q1521" s="70" t="str">
        <x:f aca="0">IF(ABS(O1521-P1521)&lt;0.000001,"PASS","FAIL")</x:f>
        <x:v>PASS</x:v>
      </x:c>
      <x:c r="R1521" s="70" t="s">
        <x:v>33</x:v>
      </x:c>
      <x:c r="S1521" s="70"/>
    </x:row>
    <x:row r="1522" ht="15" hidden="0">
      <x:c r="A1522" s="70" t="s">
        <x:v>2520</x:v>
      </x:c>
      <x:c r="B1522" s="70" t="s">
        <x:v>41</x:v>
      </x:c>
      <x:c r="C1522" s="70" t="s">
        <x:v>105</x:v>
      </x:c>
      <x:c r="D1522" s="70" t="s">
        <x:v>258</x:v>
      </x:c>
      <x:c r="E1522" s="70" t="s">
        <x:v>1106</x:v>
      </x:c>
      <x:c r="F1522" s="70" t="s">
        <x:v>2518</x:v>
      </x:c>
      <x:c r="G1522" s="70" t="s">
        <x:v>1310</x:v>
      </x:c>
      <x:c r="H1522" s="70" t="s">
        <x:v>849</x:v>
      </x:c>
      <x:c r="I1522" s="70" t="s">
        <x:v>852</x:v>
      </x:c>
      <x:c r="J1522" s="70" t="n">
        <x:v>203</x:v>
      </x:c>
      <x:c r="K1522" s="70" t="s">
        <x:v>2449</x:v>
      </x:c>
      <x:c r="L1522" s="70"/>
      <x:c r="M1522" s="70" t="s">
        <x:v>39</x:v>
      </x:c>
      <x:c r="N1522" s="71" t="n">
        <x:v>21664237</x:v>
      </x:c>
      <x:c r="O1522" s="72" t="n">
        <x:f aca="0">N1522/1000</x:f>
        <x:v>21664.237</x:v>
      </x:c>
      <x:c r="P1522" s="73" t="n">
        <x:f aca="0">MLCF!H101</x:f>
        <x:v>21664.237</x:v>
      </x:c>
      <x:c r="Q1522" s="70" t="str">
        <x:f aca="0">IF(ABS(O1522-P1522)&lt;0.000001,"PASS","FAIL")</x:f>
        <x:v>PASS</x:v>
      </x:c>
      <x:c r="R1522" s="70" t="s">
        <x:v>33</x:v>
      </x:c>
      <x:c r="S1522" s="70"/>
    </x:row>
    <x:row r="1523" ht="15" hidden="0">
      <x:c r="A1523" s="70" t="s">
        <x:v>2521</x:v>
      </x:c>
      <x:c r="B1523" s="70" t="s">
        <x:v>41</x:v>
      </x:c>
      <x:c r="C1523" s="70" t="s">
        <x:v>101</x:v>
      </x:c>
      <x:c r="D1523" s="70" t="s">
        <x:v>260</x:v>
      </x:c>
      <x:c r="E1523" s="70" t="s">
        <x:v>1106</x:v>
      </x:c>
      <x:c r="F1523" s="70" t="s">
        <x:v>1187</x:v>
      </x:c>
      <x:c r="G1523" s="70" t="s">
        <x:v>1301</x:v>
      </x:c>
      <x:c r="H1523" s="70" t="s">
        <x:v>838</x:v>
      </x:c>
      <x:c r="I1523" s="70" t="s">
        <x:v>833</x:v>
      </x:c>
      <x:c r="J1523" s="70" t="n">
        <x:v>185</x:v>
      </x:c>
      <x:c r="K1523" s="70" t="s">
        <x:v>1761</x:v>
      </x:c>
      <x:c r="L1523" s="70"/>
      <x:c r="M1523" s="70" t="s">
        <x:v>39</x:v>
      </x:c>
      <x:c r="N1523" s="71" t="n">
        <x:v>6254109</x:v>
      </x:c>
      <x:c r="O1523" s="72" t="n">
        <x:f aca="0">N1523/1000</x:f>
        <x:v>6254.109</x:v>
      </x:c>
      <x:c r="P1523" s="73" t="n">
        <x:f aca="0">MLCF!D102</x:f>
        <x:v>6254.109</x:v>
      </x:c>
      <x:c r="Q1523" s="70" t="str">
        <x:f aca="0">IF(ABS(O1523-P1523)&lt;0.000001,"PASS","FAIL")</x:f>
        <x:v>PASS</x:v>
      </x:c>
      <x:c r="R1523" s="70" t="s">
        <x:v>33</x:v>
      </x:c>
      <x:c r="S1523" s="70"/>
    </x:row>
    <x:row r="1524" ht="15" hidden="0">
      <x:c r="A1524" s="70" t="s">
        <x:v>2522</x:v>
      </x:c>
      <x:c r="B1524" s="70" t="s">
        <x:v>41</x:v>
      </x:c>
      <x:c r="C1524" s="70" t="s">
        <x:v>102</x:v>
      </x:c>
      <x:c r="D1524" s="70" t="s">
        <x:v>260</x:v>
      </x:c>
      <x:c r="E1524" s="70" t="s">
        <x:v>1106</x:v>
      </x:c>
      <x:c r="F1524" s="70" t="s">
        <x:v>1187</x:v>
      </x:c>
      <x:c r="G1524" s="70" t="s">
        <x:v>1304</x:v>
      </x:c>
      <x:c r="H1524" s="70" t="s">
        <x:v>842</x:v>
      </x:c>
      <x:c r="I1524" s="70" t="s">
        <x:v>833</x:v>
      </x:c>
      <x:c r="J1524" s="70" t="n">
        <x:v>99</x:v>
      </x:c>
      <x:c r="K1524" s="70" t="s">
        <x:v>2445</x:v>
      </x:c>
      <x:c r="L1524" s="70"/>
      <x:c r="M1524" s="70" t="s">
        <x:v>39</x:v>
      </x:c>
      <x:c r="N1524" s="71" t="n">
        <x:v>3626340</x:v>
      </x:c>
      <x:c r="O1524" s="72" t="n">
        <x:f aca="0">N1524/1000</x:f>
        <x:v>3626.34</x:v>
      </x:c>
      <x:c r="P1524" s="73" t="n">
        <x:f aca="0">MLCF!E102</x:f>
        <x:v>3626.34</x:v>
      </x:c>
      <x:c r="Q1524" s="70" t="str">
        <x:f aca="0">IF(ABS(O1524-P1524)&lt;0.000001,"PASS","FAIL")</x:f>
        <x:v>PASS</x:v>
      </x:c>
      <x:c r="R1524" s="70" t="s">
        <x:v>33</x:v>
      </x:c>
      <x:c r="S1524" s="70"/>
    </x:row>
    <x:row r="1525" ht="15" hidden="0">
      <x:c r="A1525" s="70" t="s">
        <x:v>2523</x:v>
      </x:c>
      <x:c r="B1525" s="70" t="s">
        <x:v>41</x:v>
      </x:c>
      <x:c r="C1525" s="70" t="s">
        <x:v>103</x:v>
      </x:c>
      <x:c r="D1525" s="70" t="s">
        <x:v>260</x:v>
      </x:c>
      <x:c r="E1525" s="70" t="s">
        <x:v>1106</x:v>
      </x:c>
      <x:c r="F1525" s="70" t="s">
        <x:v>2078</x:v>
      </x:c>
      <x:c r="G1525" s="70" t="s">
        <x:v>1307</x:v>
      </x:c>
      <x:c r="H1525" s="70" t="s">
        <x:v>845</x:v>
      </x:c>
      <x:c r="I1525" s="70" t="s">
        <x:v>833</x:v>
      </x:c>
      <x:c r="J1525" s="70" t="n">
        <x:v>191</x:v>
      </x:c>
      <x:c r="K1525" s="70" t="s">
        <x:v>2447</x:v>
      </x:c>
      <x:c r="L1525" s="70"/>
      <x:c r="M1525" s="70" t="s">
        <x:v>39</x:v>
      </x:c>
      <x:c r="N1525" s="71" t="n">
        <x:v>4491669</x:v>
      </x:c>
      <x:c r="O1525" s="72" t="n">
        <x:f aca="0">N1525/1000</x:f>
        <x:v>4491.669</x:v>
      </x:c>
      <x:c r="P1525" s="73" t="n">
        <x:f aca="0">MLCF!F102</x:f>
        <x:v>4491.669</x:v>
      </x:c>
      <x:c r="Q1525" s="70" t="str">
        <x:f aca="0">IF(ABS(O1525-P1525)&lt;0.000001,"PASS","FAIL")</x:f>
        <x:v>PASS</x:v>
      </x:c>
      <x:c r="R1525" s="70" t="s">
        <x:v>33</x:v>
      </x:c>
      <x:c r="S1525" s="70"/>
    </x:row>
    <x:row r="1526" ht="15" hidden="0">
      <x:c r="A1526" s="70" t="s">
        <x:v>2524</x:v>
      </x:c>
      <x:c r="B1526" s="70" t="s">
        <x:v>41</x:v>
      </x:c>
      <x:c r="C1526" s="70" t="s">
        <x:v>104</x:v>
      </x:c>
      <x:c r="D1526" s="70" t="s">
        <x:v>260</x:v>
      </x:c>
      <x:c r="E1526" s="70" t="s">
        <x:v>1106</x:v>
      </x:c>
      <x:c r="F1526" s="70" t="s">
        <x:v>2078</x:v>
      </x:c>
      <x:c r="G1526" s="70" t="s">
        <x:v>1310</x:v>
      </x:c>
      <x:c r="H1526" s="70" t="s">
        <x:v>849</x:v>
      </x:c>
      <x:c r="I1526" s="70" t="s">
        <x:v>833</x:v>
      </x:c>
      <x:c r="J1526" s="70" t="n">
        <x:v>203</x:v>
      </x:c>
      <x:c r="K1526" s="70" t="s">
        <x:v>2449</x:v>
      </x:c>
      <x:c r="L1526" s="70"/>
      <x:c r="M1526" s="70" t="s">
        <x:v>39</x:v>
      </x:c>
      <x:c r="N1526" s="71" t="n">
        <x:v>5272527</x:v>
      </x:c>
      <x:c r="O1526" s="72" t="n">
        <x:f aca="0">N1526/1000</x:f>
        <x:v>5272.527</x:v>
      </x:c>
      <x:c r="P1526" s="73" t="n">
        <x:f aca="0">MLCF!G102</x:f>
        <x:v>5272.527</x:v>
      </x:c>
      <x:c r="Q1526" s="70" t="str">
        <x:f aca="0">IF(ABS(O1526-P1526)&lt;0.000001,"PASS","FAIL")</x:f>
        <x:v>PASS</x:v>
      </x:c>
      <x:c r="R1526" s="70" t="s">
        <x:v>33</x:v>
      </x:c>
      <x:c r="S1526" s="70"/>
    </x:row>
    <x:row r="1527" ht="15" hidden="0">
      <x:c r="A1527" s="70" t="s">
        <x:v>2525</x:v>
      </x:c>
      <x:c r="B1527" s="70" t="s">
        <x:v>41</x:v>
      </x:c>
      <x:c r="C1527" s="70" t="s">
        <x:v>105</x:v>
      </x:c>
      <x:c r="D1527" s="70" t="s">
        <x:v>260</x:v>
      </x:c>
      <x:c r="E1527" s="70" t="s">
        <x:v>1106</x:v>
      </x:c>
      <x:c r="F1527" s="70" t="s">
        <x:v>2078</x:v>
      </x:c>
      <x:c r="G1527" s="70" t="s">
        <x:v>1310</x:v>
      </x:c>
      <x:c r="H1527" s="70" t="s">
        <x:v>849</x:v>
      </x:c>
      <x:c r="I1527" s="70" t="s">
        <x:v>852</x:v>
      </x:c>
      <x:c r="J1527" s="70" t="n">
        <x:v>203</x:v>
      </x:c>
      <x:c r="K1527" s="70" t="s">
        <x:v>2449</x:v>
      </x:c>
      <x:c r="L1527" s="70"/>
      <x:c r="M1527" s="70" t="s">
        <x:v>39</x:v>
      </x:c>
      <x:c r="N1527" s="71" t="n">
        <x:v>17036374</x:v>
      </x:c>
      <x:c r="O1527" s="72" t="n">
        <x:f aca="0">N1527/1000</x:f>
        <x:v>17036.374</x:v>
      </x:c>
      <x:c r="P1527" s="73" t="n">
        <x:f aca="0">MLCF!H102</x:f>
        <x:v>17036.374</x:v>
      </x:c>
      <x:c r="Q1527" s="70" t="str">
        <x:f aca="0">IF(ABS(O1527-P1527)&lt;0.000001,"PASS","FAIL")</x:f>
        <x:v>PASS</x:v>
      </x:c>
      <x:c r="R1527" s="70" t="s">
        <x:v>33</x:v>
      </x:c>
      <x:c r="S1527" s="70"/>
    </x:row>
    <x:row r="1528" ht="15" hidden="0">
      <x:c r="A1528" s="70" t="s">
        <x:v>2526</x:v>
      </x:c>
      <x:c r="B1528" s="70" t="s">
        <x:v>41</x:v>
      </x:c>
      <x:c r="C1528" s="70" t="s">
        <x:v>101</x:v>
      </x:c>
      <x:c r="D1528" s="70" t="s">
        <x:v>264</x:v>
      </x:c>
      <x:c r="E1528" s="70" t="s">
        <x:v>855</x:v>
      </x:c>
      <x:c r="F1528" s="70" t="s">
        <x:v>2527</x:v>
      </x:c>
      <x:c r="G1528" s="70" t="s">
        <x:v>1301</x:v>
      </x:c>
      <x:c r="H1528" s="70" t="s">
        <x:v>838</x:v>
      </x:c>
      <x:c r="I1528" s="70" t="s">
        <x:v>833</x:v>
      </x:c>
      <x:c r="J1528" s="70" t="n">
        <x:v>242</x:v>
      </x:c>
      <x:c r="K1528" s="70" t="s">
        <x:v>2528</x:v>
      </x:c>
      <x:c r="L1528" s="70"/>
      <x:c r="M1528" s="70" t="s">
        <x:v>39</x:v>
      </x:c>
      <x:c r="N1528" s="71" t="n">
        <x:v>46652</x:v>
      </x:c>
      <x:c r="O1528" s="72" t="n">
        <x:f aca="0">N1528/1000</x:f>
        <x:v>46.652</x:v>
      </x:c>
      <x:c r="P1528" s="73" t="n">
        <x:f aca="0">MLCF!D105</x:f>
        <x:v>46.652</x:v>
      </x:c>
      <x:c r="Q1528" s="70" t="str">
        <x:f aca="0">IF(ABS(O1528-P1528)&lt;0.000001,"PASS","FAIL")</x:f>
        <x:v>PASS</x:v>
      </x:c>
      <x:c r="R1528" s="70" t="s">
        <x:v>33</x:v>
      </x:c>
      <x:c r="S1528" s="70"/>
    </x:row>
    <x:row r="1529" ht="15" hidden="0">
      <x:c r="A1529" s="70" t="s">
        <x:v>2529</x:v>
      </x:c>
      <x:c r="B1529" s="70" t="s">
        <x:v>41</x:v>
      </x:c>
      <x:c r="C1529" s="70" t="s">
        <x:v>102</x:v>
      </x:c>
      <x:c r="D1529" s="70" t="s">
        <x:v>264</x:v>
      </x:c>
      <x:c r="E1529" s="70" t="s">
        <x:v>855</x:v>
      </x:c>
      <x:c r="F1529" s="70" t="s">
        <x:v>2527</x:v>
      </x:c>
      <x:c r="G1529" s="70" t="s">
        <x:v>1301</x:v>
      </x:c>
      <x:c r="H1529" s="70" t="s">
        <x:v>838</x:v>
      </x:c>
      <x:c r="I1529" s="70" t="s">
        <x:v>852</x:v>
      </x:c>
      <x:c r="J1529" s="70" t="n">
        <x:v>242</x:v>
      </x:c>
      <x:c r="K1529" s="70" t="s">
        <x:v>2528</x:v>
      </x:c>
      <x:c r="L1529" s="70"/>
      <x:c r="M1529" s="70" t="s">
        <x:v>39</x:v>
      </x:c>
      <x:c r="N1529" s="71" t="n">
        <x:v>51001</x:v>
      </x:c>
      <x:c r="O1529" s="72" t="n">
        <x:f aca="0">N1529/1000</x:f>
        <x:v>51.001</x:v>
      </x:c>
      <x:c r="P1529" s="73" t="n">
        <x:f aca="0">MLCF!E105</x:f>
        <x:v>51.001</x:v>
      </x:c>
      <x:c r="Q1529" s="70" t="str">
        <x:f aca="0">IF(ABS(O1529-P1529)&lt;0.000001,"PASS","FAIL")</x:f>
        <x:v>PASS</x:v>
      </x:c>
      <x:c r="R1529" s="70" t="s">
        <x:v>33</x:v>
      </x:c>
      <x:c r="S1529" s="70"/>
    </x:row>
    <x:row r="1530" ht="15" hidden="0">
      <x:c r="A1530" s="70" t="s">
        <x:v>2530</x:v>
      </x:c>
      <x:c r="B1530" s="70" t="s">
        <x:v>41</x:v>
      </x:c>
      <x:c r="C1530" s="70" t="s">
        <x:v>103</x:v>
      </x:c>
      <x:c r="D1530" s="70" t="s">
        <x:v>264</x:v>
      </x:c>
      <x:c r="E1530" s="70" t="s">
        <x:v>855</x:v>
      </x:c>
      <x:c r="F1530" s="70" t="s">
        <x:v>2527</x:v>
      </x:c>
      <x:c r="G1530" s="70" t="s">
        <x:v>1307</x:v>
      </x:c>
      <x:c r="H1530" s="70" t="s">
        <x:v>845</x:v>
      </x:c>
      <x:c r="I1530" s="70" t="s">
        <x:v>833</x:v>
      </x:c>
      <x:c r="J1530" s="70" t="n">
        <x:v>250</x:v>
      </x:c>
      <x:c r="K1530" s="70" t="s">
        <x:v>2531</x:v>
      </x:c>
      <x:c r="L1530" s="70"/>
      <x:c r="M1530" s="70" t="s">
        <x:v>39</x:v>
      </x:c>
      <x:c r="N1530" s="71" t="n">
        <x:v>67573</x:v>
      </x:c>
      <x:c r="O1530" s="72" t="n">
        <x:f aca="0">N1530/1000</x:f>
        <x:v>67.573</x:v>
      </x:c>
      <x:c r="P1530" s="73" t="n">
        <x:f aca="0">MLCF!F105</x:f>
        <x:v>67.573</x:v>
      </x:c>
      <x:c r="Q1530" s="70" t="str">
        <x:f aca="0">IF(ABS(O1530-P1530)&lt;0.000001,"PASS","FAIL")</x:f>
        <x:v>PASS</x:v>
      </x:c>
      <x:c r="R1530" s="70" t="s">
        <x:v>33</x:v>
      </x:c>
      <x:c r="S1530" s="70"/>
    </x:row>
    <x:row r="1531" ht="15" hidden="0">
      <x:c r="A1531" s="70" t="s">
        <x:v>2532</x:v>
      </x:c>
      <x:c r="B1531" s="70" t="s">
        <x:v>41</x:v>
      </x:c>
      <x:c r="C1531" s="70" t="s">
        <x:v>104</x:v>
      </x:c>
      <x:c r="D1531" s="70" t="s">
        <x:v>264</x:v>
      </x:c>
      <x:c r="E1531" s="70" t="s">
        <x:v>855</x:v>
      </x:c>
      <x:c r="F1531" s="70" t="s">
        <x:v>2527</x:v>
      </x:c>
      <x:c r="G1531" s="70" t="s">
        <x:v>1310</x:v>
      </x:c>
      <x:c r="H1531" s="70" t="s">
        <x:v>849</x:v>
      </x:c>
      <x:c r="I1531" s="70" t="s">
        <x:v>833</x:v>
      </x:c>
      <x:c r="J1531" s="70" t="n">
        <x:v>265</x:v>
      </x:c>
      <x:c r="K1531" s="70" t="s">
        <x:v>1654</x:v>
      </x:c>
      <x:c r="L1531" s="70"/>
      <x:c r="M1531" s="70" t="s">
        <x:v>39</x:v>
      </x:c>
      <x:c r="N1531" s="71" t="n">
        <x:v>82866</x:v>
      </x:c>
      <x:c r="O1531" s="72" t="n">
        <x:f aca="0">N1531/1000</x:f>
        <x:v>82.866</x:v>
      </x:c>
      <x:c r="P1531" s="73" t="n">
        <x:f aca="0">MLCF!G105</x:f>
        <x:v>82.866</x:v>
      </x:c>
      <x:c r="Q1531" s="70" t="str">
        <x:f aca="0">IF(ABS(O1531-P1531)&lt;0.000001,"PASS","FAIL")</x:f>
        <x:v>PASS</x:v>
      </x:c>
      <x:c r="R1531" s="70" t="s">
        <x:v>33</x:v>
      </x:c>
      <x:c r="S1531" s="70"/>
    </x:row>
    <x:row r="1532" ht="15" hidden="0">
      <x:c r="A1532" s="70" t="s">
        <x:v>2533</x:v>
      </x:c>
      <x:c r="B1532" s="70" t="s">
        <x:v>41</x:v>
      </x:c>
      <x:c r="C1532" s="70" t="s">
        <x:v>105</x:v>
      </x:c>
      <x:c r="D1532" s="70" t="s">
        <x:v>264</x:v>
      </x:c>
      <x:c r="E1532" s="70" t="s">
        <x:v>855</x:v>
      </x:c>
      <x:c r="F1532" s="70" t="s">
        <x:v>2527</x:v>
      </x:c>
      <x:c r="G1532" s="70" t="s">
        <x:v>1310</x:v>
      </x:c>
      <x:c r="H1532" s="70" t="s">
        <x:v>849</x:v>
      </x:c>
      <x:c r="I1532" s="70" t="s">
        <x:v>852</x:v>
      </x:c>
      <x:c r="J1532" s="70" t="n">
        <x:v>265</x:v>
      </x:c>
      <x:c r="K1532" s="70" t="s">
        <x:v>1654</x:v>
      </x:c>
      <x:c r="L1532" s="70"/>
      <x:c r="M1532" s="70" t="s">
        <x:v>39</x:v>
      </x:c>
      <x:c r="N1532" s="71" t="n">
        <x:v>140834</x:v>
      </x:c>
      <x:c r="O1532" s="72" t="n">
        <x:f aca="0">N1532/1000</x:f>
        <x:v>140.834</x:v>
      </x:c>
      <x:c r="P1532" s="73" t="n">
        <x:f aca="0">MLCF!H105</x:f>
        <x:v>140.834</x:v>
      </x:c>
      <x:c r="Q1532" s="70" t="str">
        <x:f aca="0">IF(ABS(O1532-P1532)&lt;0.000001,"PASS","FAIL")</x:f>
        <x:v>PASS</x:v>
      </x:c>
      <x:c r="R1532" s="70" t="s">
        <x:v>33</x:v>
      </x:c>
      <x:c r="S1532" s="70"/>
    </x:row>
    <x:row r="1533" ht="15" hidden="0">
      <x:c r="A1533" s="70" t="s">
        <x:v>2534</x:v>
      </x:c>
      <x:c r="B1533" s="70" t="s">
        <x:v>41</x:v>
      </x:c>
      <x:c r="C1533" s="70" t="s">
        <x:v>101</x:v>
      </x:c>
      <x:c r="D1533" s="70" t="s">
        <x:v>268</x:v>
      </x:c>
      <x:c r="E1533" s="70" t="s">
        <x:v>1203</x:v>
      </x:c>
      <x:c r="F1533" s="70" t="s">
        <x:v>2535</x:v>
      </x:c>
      <x:c r="G1533" s="70" t="s">
        <x:v>1301</x:v>
      </x:c>
      <x:c r="H1533" s="70" t="s">
        <x:v>838</x:v>
      </x:c>
      <x:c r="I1533" s="70" t="s">
        <x:v>833</x:v>
      </x:c>
      <x:c r="J1533" s="70" t="n">
        <x:v>187</x:v>
      </x:c>
      <x:c r="K1533" s="70" t="s">
        <x:v>1763</x:v>
      </x:c>
      <x:c r="L1533" s="70"/>
      <x:c r="M1533" s="70" t="s">
        <x:v>39</x:v>
      </x:c>
      <x:c r="N1533" s="71" t="n">
        <x:v>3287702</x:v>
      </x:c>
      <x:c r="O1533" s="72" t="n">
        <x:f aca="0">N1533/1000</x:f>
        <x:v>3287.702</x:v>
      </x:c>
      <x:c r="P1533" s="73" t="n">
        <x:f aca="0">MLCF!D107</x:f>
        <x:v>3287.702</x:v>
      </x:c>
      <x:c r="Q1533" s="70" t="str">
        <x:f aca="0">IF(ABS(O1533-P1533)&lt;0.000001,"PASS","FAIL")</x:f>
        <x:v>PASS</x:v>
      </x:c>
      <x:c r="R1533" s="70" t="s">
        <x:v>33</x:v>
      </x:c>
      <x:c r="S1533" s="70"/>
    </x:row>
    <x:row r="1534" ht="15" hidden="0">
      <x:c r="A1534" s="70" t="s">
        <x:v>2536</x:v>
      </x:c>
      <x:c r="B1534" s="70" t="s">
        <x:v>41</x:v>
      </x:c>
      <x:c r="C1534" s="70" t="s">
        <x:v>102</x:v>
      </x:c>
      <x:c r="D1534" s="70" t="s">
        <x:v>268</x:v>
      </x:c>
      <x:c r="E1534" s="70" t="s">
        <x:v>1203</x:v>
      </x:c>
      <x:c r="F1534" s="70" t="s">
        <x:v>2535</x:v>
      </x:c>
      <x:c r="G1534" s="70" t="s">
        <x:v>1301</x:v>
      </x:c>
      <x:c r="H1534" s="70" t="s">
        <x:v>838</x:v>
      </x:c>
      <x:c r="I1534" s="70" t="s">
        <x:v>852</x:v>
      </x:c>
      <x:c r="J1534" s="70" t="n">
        <x:v>187</x:v>
      </x:c>
      <x:c r="K1534" s="70" t="s">
        <x:v>1763</x:v>
      </x:c>
      <x:c r="L1534" s="70"/>
      <x:c r="M1534" s="70" t="s">
        <x:v>39</x:v>
      </x:c>
      <x:c r="N1534" s="71" t="n">
        <x:v>3233977</x:v>
      </x:c>
      <x:c r="O1534" s="72" t="n">
        <x:f aca="0">N1534/1000</x:f>
        <x:v>3233.977</x:v>
      </x:c>
      <x:c r="P1534" s="73" t="n">
        <x:f aca="0">MLCF!E107</x:f>
        <x:v>3233.977</x:v>
      </x:c>
      <x:c r="Q1534" s="70" t="str">
        <x:f aca="0">IF(ABS(O1534-P1534)&lt;0.000001,"PASS","FAIL")</x:f>
        <x:v>PASS</x:v>
      </x:c>
      <x:c r="R1534" s="70" t="s">
        <x:v>33</x:v>
      </x:c>
      <x:c r="S1534" s="70"/>
    </x:row>
    <x:row r="1535" ht="15" hidden="0">
      <x:c r="A1535" s="70" t="s">
        <x:v>2537</x:v>
      </x:c>
      <x:c r="B1535" s="70" t="s">
        <x:v>41</x:v>
      </x:c>
      <x:c r="C1535" s="70" t="s">
        <x:v>103</x:v>
      </x:c>
      <x:c r="D1535" s="70" t="s">
        <x:v>268</x:v>
      </x:c>
      <x:c r="E1535" s="70" t="s">
        <x:v>1203</x:v>
      </x:c>
      <x:c r="F1535" s="70" t="s">
        <x:v>2538</x:v>
      </x:c>
      <x:c r="G1535" s="70" t="s">
        <x:v>1307</x:v>
      </x:c>
      <x:c r="H1535" s="70" t="s">
        <x:v>845</x:v>
      </x:c>
      <x:c r="I1535" s="70" t="s">
        <x:v>833</x:v>
      </x:c>
      <x:c r="J1535" s="70" t="n">
        <x:v>252</x:v>
      </x:c>
      <x:c r="K1535" s="70" t="s">
        <x:v>2539</x:v>
      </x:c>
      <x:c r="L1535" s="70"/>
      <x:c r="M1535" s="70" t="s">
        <x:v>39</x:v>
      </x:c>
      <x:c r="N1535" s="71" t="n">
        <x:v>3475349</x:v>
      </x:c>
      <x:c r="O1535" s="72" t="n">
        <x:f aca="0">N1535/1000</x:f>
        <x:v>3475.349</x:v>
      </x:c>
      <x:c r="P1535" s="73" t="n">
        <x:f aca="0">MLCF!F107</x:f>
        <x:v>3475.349</x:v>
      </x:c>
      <x:c r="Q1535" s="70" t="str">
        <x:f aca="0">IF(ABS(O1535-P1535)&lt;0.000001,"PASS","FAIL")</x:f>
        <x:v>PASS</x:v>
      </x:c>
      <x:c r="R1535" s="70" t="s">
        <x:v>33</x:v>
      </x:c>
      <x:c r="S1535" s="70"/>
    </x:row>
    <x:row r="1536" ht="15" hidden="0">
      <x:c r="A1536" s="70" t="s">
        <x:v>2540</x:v>
      </x:c>
      <x:c r="B1536" s="70" t="s">
        <x:v>41</x:v>
      </x:c>
      <x:c r="C1536" s="70" t="s">
        <x:v>104</x:v>
      </x:c>
      <x:c r="D1536" s="70" t="s">
        <x:v>268</x:v>
      </x:c>
      <x:c r="E1536" s="70" t="s">
        <x:v>1203</x:v>
      </x:c>
      <x:c r="F1536" s="70" t="s">
        <x:v>2541</x:v>
      </x:c>
      <x:c r="G1536" s="70" t="s">
        <x:v>1310</x:v>
      </x:c>
      <x:c r="H1536" s="70" t="s">
        <x:v>849</x:v>
      </x:c>
      <x:c r="I1536" s="70" t="s">
        <x:v>833</x:v>
      </x:c>
      <x:c r="J1536" s="70" t="n">
        <x:v>268</x:v>
      </x:c>
      <x:c r="K1536" s="70" t="s">
        <x:v>1645</x:v>
      </x:c>
      <x:c r="L1536" s="70"/>
      <x:c r="M1536" s="70" t="s">
        <x:v>39</x:v>
      </x:c>
      <x:c r="N1536" s="71" t="n">
        <x:v>4520347</x:v>
      </x:c>
      <x:c r="O1536" s="72" t="n">
        <x:f aca="0">N1536/1000</x:f>
        <x:v>4520.347</x:v>
      </x:c>
      <x:c r="P1536" s="73" t="n">
        <x:f aca="0">MLCF!G107</x:f>
        <x:v>4520.347</x:v>
      </x:c>
      <x:c r="Q1536" s="70" t="str">
        <x:f aca="0">IF(ABS(O1536-P1536)&lt;0.000001,"PASS","FAIL")</x:f>
        <x:v>PASS</x:v>
      </x:c>
      <x:c r="R1536" s="70" t="s">
        <x:v>33</x:v>
      </x:c>
      <x:c r="S1536" s="70"/>
    </x:row>
    <x:row r="1537" ht="15" hidden="0">
      <x:c r="A1537" s="70" t="s">
        <x:v>2542</x:v>
      </x:c>
      <x:c r="B1537" s="70" t="s">
        <x:v>41</x:v>
      </x:c>
      <x:c r="C1537" s="70" t="s">
        <x:v>105</x:v>
      </x:c>
      <x:c r="D1537" s="70" t="s">
        <x:v>268</x:v>
      </x:c>
      <x:c r="E1537" s="70" t="s">
        <x:v>1203</x:v>
      </x:c>
      <x:c r="F1537" s="70" t="s">
        <x:v>2541</x:v>
      </x:c>
      <x:c r="G1537" s="70" t="s">
        <x:v>1310</x:v>
      </x:c>
      <x:c r="H1537" s="70" t="s">
        <x:v>849</x:v>
      </x:c>
      <x:c r="I1537" s="70" t="s">
        <x:v>852</x:v>
      </x:c>
      <x:c r="J1537" s="70" t="n">
        <x:v>268</x:v>
      </x:c>
      <x:c r="K1537" s="70" t="s">
        <x:v>1645</x:v>
      </x:c>
      <x:c r="L1537" s="70"/>
      <x:c r="M1537" s="70" t="s">
        <x:v>39</x:v>
      </x:c>
      <x:c r="N1537" s="71" t="n">
        <x:v>4413300</x:v>
      </x:c>
      <x:c r="O1537" s="72" t="n">
        <x:f aca="0">N1537/1000</x:f>
        <x:v>4413.3</x:v>
      </x:c>
      <x:c r="P1537" s="73" t="n">
        <x:f aca="0">MLCF!H107</x:f>
        <x:v>4413.3</x:v>
      </x:c>
      <x:c r="Q1537" s="70" t="str">
        <x:f aca="0">IF(ABS(O1537-P1537)&lt;0.000001,"PASS","FAIL")</x:f>
        <x:v>PASS</x:v>
      </x:c>
      <x:c r="R1537" s="70" t="s">
        <x:v>33</x:v>
      </x:c>
      <x:c r="S1537" s="70"/>
    </x:row>
    <x:row r="1538" ht="15" hidden="0">
      <x:c r="A1538" s="70" t="s">
        <x:v>2543</x:v>
      </x:c>
      <x:c r="B1538" s="70" t="s">
        <x:v>41</x:v>
      </x:c>
      <x:c r="C1538" s="70" t="s">
        <x:v>101</x:v>
      </x:c>
      <x:c r="D1538" s="70" t="s">
        <x:v>283</x:v>
      </x:c>
      <x:c r="E1538" s="70" t="s">
        <x:v>1203</x:v>
      </x:c>
      <x:c r="F1538" s="70" t="s">
        <x:v>2544</x:v>
      </x:c>
      <x:c r="G1538" s="70" t="s">
        <x:v>1301</x:v>
      </x:c>
      <x:c r="H1538" s="70" t="s">
        <x:v>838</x:v>
      </x:c>
      <x:c r="I1538" s="70" t="s">
        <x:v>833</x:v>
      </x:c>
      <x:c r="J1538" s="70" t="n">
        <x:v>187</x:v>
      </x:c>
      <x:c r="K1538" s="70" t="s">
        <x:v>1763</x:v>
      </x:c>
      <x:c r="L1538" s="70"/>
      <x:c r="M1538" s="70" t="s">
        <x:v>39</x:v>
      </x:c>
      <x:c r="N1538" s="71" t="n">
        <x:v>9013169</x:v>
      </x:c>
      <x:c r="O1538" s="72" t="n">
        <x:f aca="0">N1538/1000</x:f>
        <x:v>9013.169</x:v>
      </x:c>
      <x:c r="P1538" s="73" t="n">
        <x:f aca="0">MLCF!D116</x:f>
        <x:v>9013.169</x:v>
      </x:c>
      <x:c r="Q1538" s="70" t="str">
        <x:f aca="0">IF(ABS(O1538-P1538)&lt;0.000001,"PASS","FAIL")</x:f>
        <x:v>PASS</x:v>
      </x:c>
      <x:c r="R1538" s="70" t="s">
        <x:v>33</x:v>
      </x:c>
      <x:c r="S1538" s="70" t="s">
        <x:v>839</x:v>
      </x:c>
    </x:row>
    <x:row r="1539" ht="15" hidden="0">
      <x:c r="A1539" s="70" t="s">
        <x:v>2545</x:v>
      </x:c>
      <x:c r="B1539" s="70" t="s">
        <x:v>41</x:v>
      </x:c>
      <x:c r="C1539" s="70" t="s">
        <x:v>102</x:v>
      </x:c>
      <x:c r="D1539" s="70" t="s">
        <x:v>283</x:v>
      </x:c>
      <x:c r="E1539" s="70" t="s">
        <x:v>1203</x:v>
      </x:c>
      <x:c r="F1539" s="70" t="s">
        <x:v>2544</x:v>
      </x:c>
      <x:c r="G1539" s="70" t="s">
        <x:v>1304</x:v>
      </x:c>
      <x:c r="H1539" s="70" t="s">
        <x:v>842</x:v>
      </x:c>
      <x:c r="I1539" s="70" t="s">
        <x:v>833</x:v>
      </x:c>
      <x:c r="J1539" s="70" t="n">
        <x:v>100</x:v>
      </x:c>
      <x:c r="K1539" s="70" t="s">
        <x:v>834</x:v>
      </x:c>
      <x:c r="L1539" s="70"/>
      <x:c r="M1539" s="70" t="s">
        <x:v>39</x:v>
      </x:c>
      <x:c r="N1539" s="71" t="n">
        <x:v>12905198</x:v>
      </x:c>
      <x:c r="O1539" s="72" t="n">
        <x:f aca="0">N1539/1000</x:f>
        <x:v>12905.198</x:v>
      </x:c>
      <x:c r="P1539" s="73" t="n">
        <x:f aca="0">MLCF!E116</x:f>
        <x:v>12905.198</x:v>
      </x:c>
      <x:c r="Q1539" s="70" t="str">
        <x:f aca="0">IF(ABS(O1539-P1539)&lt;0.000001,"PASS","FAIL")</x:f>
        <x:v>PASS</x:v>
      </x:c>
      <x:c r="R1539" s="70" t="s">
        <x:v>33</x:v>
      </x:c>
      <x:c r="S1539" s="70" t="s">
        <x:v>839</x:v>
      </x:c>
    </x:row>
    <x:row r="1540" ht="15" hidden="0">
      <x:c r="A1540" s="70" t="s">
        <x:v>2546</x:v>
      </x:c>
      <x:c r="B1540" s="70" t="s">
        <x:v>41</x:v>
      </x:c>
      <x:c r="C1540" s="70" t="s">
        <x:v>103</x:v>
      </x:c>
      <x:c r="D1540" s="70" t="s">
        <x:v>283</x:v>
      </x:c>
      <x:c r="E1540" s="70" t="s">
        <x:v>1203</x:v>
      </x:c>
      <x:c r="F1540" s="70" t="s">
        <x:v>1212</x:v>
      </x:c>
      <x:c r="G1540" s="70" t="s">
        <x:v>1307</x:v>
      </x:c>
      <x:c r="H1540" s="70" t="s">
        <x:v>845</x:v>
      </x:c>
      <x:c r="I1540" s="70" t="s">
        <x:v>833</x:v>
      </x:c>
      <x:c r="J1540" s="70" t="n">
        <x:v>193</x:v>
      </x:c>
      <x:c r="K1540" s="70" t="s">
        <x:v>2547</x:v>
      </x:c>
      <x:c r="L1540" s="70"/>
      <x:c r="M1540" s="70" t="s">
        <x:v>39</x:v>
      </x:c>
      <x:c r="N1540" s="71" t="n">
        <x:v>19906827</x:v>
      </x:c>
      <x:c r="O1540" s="72" t="n">
        <x:f aca="0">N1540/1000</x:f>
        <x:v>19906.827</x:v>
      </x:c>
      <x:c r="P1540" s="73" t="n">
        <x:f aca="0">MLCF!F116</x:f>
        <x:v>19906.827</x:v>
      </x:c>
      <x:c r="Q1540" s="70" t="str">
        <x:f aca="0">IF(ABS(O1540-P1540)&lt;0.000001,"PASS","FAIL")</x:f>
        <x:v>PASS</x:v>
      </x:c>
      <x:c r="R1540" s="70" t="s">
        <x:v>33</x:v>
      </x:c>
      <x:c r="S1540" s="70" t="s">
        <x:v>839</x:v>
      </x:c>
    </x:row>
    <x:row r="1541" ht="15" hidden="0">
      <x:c r="A1541" s="70" t="s">
        <x:v>2548</x:v>
      </x:c>
      <x:c r="B1541" s="70" t="s">
        <x:v>41</x:v>
      </x:c>
      <x:c r="C1541" s="70" t="s">
        <x:v>104</x:v>
      </x:c>
      <x:c r="D1541" s="70" t="s">
        <x:v>283</x:v>
      </x:c>
      <x:c r="E1541" s="70" t="s">
        <x:v>1203</x:v>
      </x:c>
      <x:c r="F1541" s="70" t="s">
        <x:v>1212</x:v>
      </x:c>
      <x:c r="G1541" s="70" t="s">
        <x:v>1310</x:v>
      </x:c>
      <x:c r="H1541" s="70" t="s">
        <x:v>849</x:v>
      </x:c>
      <x:c r="I1541" s="70" t="s">
        <x:v>833</x:v>
      </x:c>
      <x:c r="J1541" s="70" t="n">
        <x:v>205</x:v>
      </x:c>
      <x:c r="K1541" s="70" t="s">
        <x:v>2164</x:v>
      </x:c>
      <x:c r="L1541" s="70"/>
      <x:c r="M1541" s="70" t="s">
        <x:v>39</x:v>
      </x:c>
      <x:c r="N1541" s="71" t="n">
        <x:v>12810292</x:v>
      </x:c>
      <x:c r="O1541" s="72" t="n">
        <x:f aca="0">N1541/1000</x:f>
        <x:v>12810.292</x:v>
      </x:c>
      <x:c r="P1541" s="73" t="n">
        <x:f aca="0">MLCF!G116</x:f>
        <x:v>12810.292</x:v>
      </x:c>
      <x:c r="Q1541" s="70" t="str">
        <x:f aca="0">IF(ABS(O1541-P1541)&lt;0.000001,"PASS","FAIL")</x:f>
        <x:v>PASS</x:v>
      </x:c>
      <x:c r="R1541" s="70" t="s">
        <x:v>33</x:v>
      </x:c>
      <x:c r="S1541" s="70"/>
    </x:row>
    <x:row r="1542" ht="15" hidden="0">
      <x:c r="A1542" s="70" t="s">
        <x:v>2549</x:v>
      </x:c>
      <x:c r="B1542" s="70" t="s">
        <x:v>41</x:v>
      </x:c>
      <x:c r="C1542" s="70" t="s">
        <x:v>105</x:v>
      </x:c>
      <x:c r="D1542" s="70" t="s">
        <x:v>283</x:v>
      </x:c>
      <x:c r="E1542" s="70" t="s">
        <x:v>1203</x:v>
      </x:c>
      <x:c r="F1542" s="70" t="s">
        <x:v>1212</x:v>
      </x:c>
      <x:c r="G1542" s="70" t="s">
        <x:v>1310</x:v>
      </x:c>
      <x:c r="H1542" s="70" t="s">
        <x:v>849</x:v>
      </x:c>
      <x:c r="I1542" s="70" t="s">
        <x:v>852</x:v>
      </x:c>
      <x:c r="J1542" s="70" t="n">
        <x:v>205</x:v>
      </x:c>
      <x:c r="K1542" s="70" t="s">
        <x:v>2164</x:v>
      </x:c>
      <x:c r="L1542" s="70"/>
      <x:c r="M1542" s="70" t="s">
        <x:v>39</x:v>
      </x:c>
      <x:c r="N1542" s="71" t="n">
        <x:v>23320309</x:v>
      </x:c>
      <x:c r="O1542" s="72" t="n">
        <x:f aca="0">N1542/1000</x:f>
        <x:v>23320.309</x:v>
      </x:c>
      <x:c r="P1542" s="73" t="n">
        <x:f aca="0">MLCF!H116</x:f>
        <x:v>23320.309</x:v>
      </x:c>
      <x:c r="Q1542" s="70" t="str">
        <x:f aca="0">IF(ABS(O1542-P1542)&lt;0.000001,"PASS","FAIL")</x:f>
        <x:v>PASS</x:v>
      </x:c>
      <x:c r="R1542" s="70" t="s">
        <x:v>33</x:v>
      </x:c>
      <x:c r="S1542" s="70"/>
    </x:row>
    <x:row r="1543" ht="15" hidden="0">
      <x:c r="A1543" s="70" t="s">
        <x:v>2550</x:v>
      </x:c>
      <x:c r="B1543" s="70" t="s">
        <x:v>41</x:v>
      </x:c>
      <x:c r="C1543" s="70" t="s">
        <x:v>101</x:v>
      </x:c>
      <x:c r="D1543" s="70" t="s">
        <x:v>285</x:v>
      </x:c>
      <x:c r="E1543" s="70" t="s">
        <x:v>1203</x:v>
      </x:c>
      <x:c r="F1543" s="70" t="s">
        <x:v>1218</x:v>
      </x:c>
      <x:c r="G1543" s="70" t="s">
        <x:v>1301</x:v>
      </x:c>
      <x:c r="H1543" s="70" t="s">
        <x:v>838</x:v>
      </x:c>
      <x:c r="I1543" s="70" t="s">
        <x:v>833</x:v>
      </x:c>
      <x:c r="J1543" s="70" t="n">
        <x:v>187</x:v>
      </x:c>
      <x:c r="K1543" s="70" t="s">
        <x:v>1763</x:v>
      </x:c>
      <x:c r="L1543" s="70"/>
      <x:c r="M1543" s="70" t="s">
        <x:v>39</x:v>
      </x:c>
      <x:c r="N1543" s="71" t="n">
        <x:v>6551967</x:v>
      </x:c>
      <x:c r="O1543" s="72" t="n">
        <x:f aca="0">N1543/1000</x:f>
        <x:v>6551.967</x:v>
      </x:c>
      <x:c r="P1543" s="73" t="n">
        <x:f aca="0">MLCF!D117</x:f>
        <x:v>6551.967</x:v>
      </x:c>
      <x:c r="Q1543" s="70" t="str">
        <x:f aca="0">IF(ABS(O1543-P1543)&lt;0.000001,"PASS","FAIL")</x:f>
        <x:v>PASS</x:v>
      </x:c>
      <x:c r="R1543" s="70" t="s">
        <x:v>33</x:v>
      </x:c>
      <x:c r="S1543" s="70"/>
    </x:row>
    <x:row r="1544" ht="15" hidden="0">
      <x:c r="A1544" s="70" t="s">
        <x:v>2551</x:v>
      </x:c>
      <x:c r="B1544" s="70" t="s">
        <x:v>41</x:v>
      </x:c>
      <x:c r="C1544" s="70" t="s">
        <x:v>102</x:v>
      </x:c>
      <x:c r="D1544" s="70" t="s">
        <x:v>285</x:v>
      </x:c>
      <x:c r="E1544" s="70" t="s">
        <x:v>1203</x:v>
      </x:c>
      <x:c r="F1544" s="70" t="s">
        <x:v>1218</x:v>
      </x:c>
      <x:c r="G1544" s="70" t="s">
        <x:v>1304</x:v>
      </x:c>
      <x:c r="H1544" s="70" t="s">
        <x:v>842</x:v>
      </x:c>
      <x:c r="I1544" s="70" t="s">
        <x:v>833</x:v>
      </x:c>
      <x:c r="J1544" s="70" t="n">
        <x:v>100</x:v>
      </x:c>
      <x:c r="K1544" s="70" t="s">
        <x:v>834</x:v>
      </x:c>
      <x:c r="L1544" s="70"/>
      <x:c r="M1544" s="70" t="s">
        <x:v>39</x:v>
      </x:c>
      <x:c r="N1544" s="71" t="n">
        <x:v>8330107</x:v>
      </x:c>
      <x:c r="O1544" s="72" t="n">
        <x:f aca="0">N1544/1000</x:f>
        <x:v>8330.107</x:v>
      </x:c>
      <x:c r="P1544" s="73" t="n">
        <x:f aca="0">MLCF!E117</x:f>
        <x:v>8330.107</x:v>
      </x:c>
      <x:c r="Q1544" s="70" t="str">
        <x:f aca="0">IF(ABS(O1544-P1544)&lt;0.000001,"PASS","FAIL")</x:f>
        <x:v>PASS</x:v>
      </x:c>
      <x:c r="R1544" s="70" t="s">
        <x:v>33</x:v>
      </x:c>
      <x:c r="S1544" s="70" t="s">
        <x:v>839</x:v>
      </x:c>
    </x:row>
    <x:row r="1545" ht="15" hidden="0">
      <x:c r="A1545" s="70" t="s">
        <x:v>2552</x:v>
      </x:c>
      <x:c r="B1545" s="70" t="s">
        <x:v>41</x:v>
      </x:c>
      <x:c r="C1545" s="70" t="s">
        <x:v>103</x:v>
      </x:c>
      <x:c r="D1545" s="70" t="s">
        <x:v>285</x:v>
      </x:c>
      <x:c r="E1545" s="70" t="s">
        <x:v>1203</x:v>
      </x:c>
      <x:c r="F1545" s="70" t="s">
        <x:v>2117</x:v>
      </x:c>
      <x:c r="G1545" s="70" t="s">
        <x:v>1307</x:v>
      </x:c>
      <x:c r="H1545" s="70" t="s">
        <x:v>845</x:v>
      </x:c>
      <x:c r="I1545" s="70" t="s">
        <x:v>833</x:v>
      </x:c>
      <x:c r="J1545" s="70" t="n">
        <x:v>193</x:v>
      </x:c>
      <x:c r="K1545" s="70" t="s">
        <x:v>2547</x:v>
      </x:c>
      <x:c r="L1545" s="70"/>
      <x:c r="M1545" s="70" t="s">
        <x:v>39</x:v>
      </x:c>
      <x:c r="N1545" s="71" t="n">
        <x:v>20143665</x:v>
      </x:c>
      <x:c r="O1545" s="72" t="n">
        <x:f aca="0">N1545/1000</x:f>
        <x:v>20143.665</x:v>
      </x:c>
      <x:c r="P1545" s="73" t="n">
        <x:f aca="0">MLCF!F117</x:f>
        <x:v>20143.665</x:v>
      </x:c>
      <x:c r="Q1545" s="70" t="str">
        <x:f aca="0">IF(ABS(O1545-P1545)&lt;0.000001,"PASS","FAIL")</x:f>
        <x:v>PASS</x:v>
      </x:c>
      <x:c r="R1545" s="70" t="s">
        <x:v>33</x:v>
      </x:c>
      <x:c r="S1545" s="70"/>
    </x:row>
    <x:row r="1546" ht="15" hidden="0">
      <x:c r="A1546" s="70" t="s">
        <x:v>2553</x:v>
      </x:c>
      <x:c r="B1546" s="70" t="s">
        <x:v>41</x:v>
      </x:c>
      <x:c r="C1546" s="70" t="s">
        <x:v>104</x:v>
      </x:c>
      <x:c r="D1546" s="70" t="s">
        <x:v>285</x:v>
      </x:c>
      <x:c r="E1546" s="70" t="s">
        <x:v>1203</x:v>
      </x:c>
      <x:c r="F1546" s="70" t="s">
        <x:v>2117</x:v>
      </x:c>
      <x:c r="G1546" s="70" t="s">
        <x:v>1310</x:v>
      </x:c>
      <x:c r="H1546" s="70" t="s">
        <x:v>849</x:v>
      </x:c>
      <x:c r="I1546" s="70" t="s">
        <x:v>833</x:v>
      </x:c>
      <x:c r="J1546" s="70" t="n">
        <x:v>205</x:v>
      </x:c>
      <x:c r="K1546" s="70" t="s">
        <x:v>2164</x:v>
      </x:c>
      <x:c r="L1546" s="70"/>
      <x:c r="M1546" s="70" t="s">
        <x:v>39</x:v>
      </x:c>
      <x:c r="N1546" s="71" t="n">
        <x:v>9496243</x:v>
      </x:c>
      <x:c r="O1546" s="72" t="n">
        <x:f aca="0">N1546/1000</x:f>
        <x:v>9496.243</x:v>
      </x:c>
      <x:c r="P1546" s="73" t="n">
        <x:f aca="0">MLCF!G117</x:f>
        <x:v>9496.243</x:v>
      </x:c>
      <x:c r="Q1546" s="70" t="str">
        <x:f aca="0">IF(ABS(O1546-P1546)&lt;0.000001,"PASS","FAIL")</x:f>
        <x:v>PASS</x:v>
      </x:c>
      <x:c r="R1546" s="70" t="s">
        <x:v>33</x:v>
      </x:c>
      <x:c r="S1546" s="70"/>
    </x:row>
    <x:row r="1547" ht="15" hidden="0">
      <x:c r="A1547" s="70" t="s">
        <x:v>2554</x:v>
      </x:c>
      <x:c r="B1547" s="70" t="s">
        <x:v>41</x:v>
      </x:c>
      <x:c r="C1547" s="70" t="s">
        <x:v>105</x:v>
      </x:c>
      <x:c r="D1547" s="70" t="s">
        <x:v>285</x:v>
      </x:c>
      <x:c r="E1547" s="70" t="s">
        <x:v>1203</x:v>
      </x:c>
      <x:c r="F1547" s="70" t="s">
        <x:v>2117</x:v>
      </x:c>
      <x:c r="G1547" s="70" t="s">
        <x:v>1310</x:v>
      </x:c>
      <x:c r="H1547" s="70" t="s">
        <x:v>849</x:v>
      </x:c>
      <x:c r="I1547" s="70" t="s">
        <x:v>852</x:v>
      </x:c>
      <x:c r="J1547" s="70" t="n">
        <x:v>205</x:v>
      </x:c>
      <x:c r="K1547" s="70" t="s">
        <x:v>2164</x:v>
      </x:c>
      <x:c r="L1547" s="70"/>
      <x:c r="M1547" s="70" t="s">
        <x:v>39</x:v>
      </x:c>
      <x:c r="N1547" s="71" t="n">
        <x:v>19316637</x:v>
      </x:c>
      <x:c r="O1547" s="72" t="n">
        <x:f aca="0">N1547/1000</x:f>
        <x:v>19316.637</x:v>
      </x:c>
      <x:c r="P1547" s="73" t="n">
        <x:f aca="0">MLCF!H117</x:f>
        <x:v>19316.637</x:v>
      </x:c>
      <x:c r="Q1547" s="70" t="str">
        <x:f aca="0">IF(ABS(O1547-P1547)&lt;0.000001,"PASS","FAIL")</x:f>
        <x:v>PASS</x:v>
      </x:c>
      <x:c r="R1547" s="70" t="s">
        <x:v>33</x:v>
      </x:c>
      <x:c r="S1547" s="70"/>
    </x:row>
    <x:row r="1548" ht="15" hidden="0">
      <x:c r="A1548" s="70" t="s">
        <x:v>2555</x:v>
      </x:c>
      <x:c r="B1548" s="70" t="s">
        <x:v>41</x:v>
      </x:c>
      <x:c r="C1548" s="70" t="s">
        <x:v>101</x:v>
      </x:c>
      <x:c r="D1548" s="70" t="s">
        <x:v>287</x:v>
      </x:c>
      <x:c r="E1548" s="70" t="s">
        <x:v>1203</x:v>
      </x:c>
      <x:c r="F1548" s="70" t="s">
        <x:v>1224</x:v>
      </x:c>
      <x:c r="G1548" s="70" t="s">
        <x:v>1301</x:v>
      </x:c>
      <x:c r="H1548" s="70" t="s">
        <x:v>838</x:v>
      </x:c>
      <x:c r="I1548" s="70" t="s">
        <x:v>833</x:v>
      </x:c>
      <x:c r="J1548" s="70" t="n">
        <x:v>187</x:v>
      </x:c>
      <x:c r="K1548" s="70" t="s">
        <x:v>1763</x:v>
      </x:c>
      <x:c r="L1548" s="70"/>
      <x:c r="M1548" s="70" t="s">
        <x:v>39</x:v>
      </x:c>
      <x:c r="N1548" s="71" t="n">
        <x:v>-1733621</x:v>
      </x:c>
      <x:c r="O1548" s="72" t="n">
        <x:f aca="0">N1548/1000</x:f>
        <x:v>-1733.621</x:v>
      </x:c>
      <x:c r="P1548" s="73" t="n">
        <x:f aca="0">MLCF!D118</x:f>
        <x:v>-1733.621</x:v>
      </x:c>
      <x:c r="Q1548" s="70" t="str">
        <x:f aca="0">IF(ABS(O1548-P1548)&lt;0.000001,"PASS","FAIL")</x:f>
        <x:v>PASS</x:v>
      </x:c>
      <x:c r="R1548" s="70" t="s">
        <x:v>33</x:v>
      </x:c>
      <x:c r="S1548" s="70"/>
    </x:row>
    <x:row r="1549" ht="15" hidden="0">
      <x:c r="A1549" s="70" t="s">
        <x:v>2556</x:v>
      </x:c>
      <x:c r="B1549" s="70" t="s">
        <x:v>41</x:v>
      </x:c>
      <x:c r="C1549" s="70" t="s">
        <x:v>102</x:v>
      </x:c>
      <x:c r="D1549" s="70" t="s">
        <x:v>287</x:v>
      </x:c>
      <x:c r="E1549" s="70" t="s">
        <x:v>1203</x:v>
      </x:c>
      <x:c r="F1549" s="70" t="s">
        <x:v>1224</x:v>
      </x:c>
      <x:c r="G1549" s="70" t="s">
        <x:v>1304</x:v>
      </x:c>
      <x:c r="H1549" s="70" t="s">
        <x:v>842</x:v>
      </x:c>
      <x:c r="I1549" s="70" t="s">
        <x:v>833</x:v>
      </x:c>
      <x:c r="J1549" s="70" t="n">
        <x:v>100</x:v>
      </x:c>
      <x:c r="K1549" s="70" t="s">
        <x:v>834</x:v>
      </x:c>
      <x:c r="L1549" s="70"/>
      <x:c r="M1549" s="70" t="s">
        <x:v>39</x:v>
      </x:c>
      <x:c r="N1549" s="71" t="n">
        <x:v>-1296781</x:v>
      </x:c>
      <x:c r="O1549" s="72" t="n">
        <x:f aca="0">N1549/1000</x:f>
        <x:v>-1296.781</x:v>
      </x:c>
      <x:c r="P1549" s="73" t="n">
        <x:f aca="0">MLCF!E118</x:f>
        <x:v>-1296.781</x:v>
      </x:c>
      <x:c r="Q1549" s="70" t="str">
        <x:f aca="0">IF(ABS(O1549-P1549)&lt;0.000001,"PASS","FAIL")</x:f>
        <x:v>PASS</x:v>
      </x:c>
      <x:c r="R1549" s="70" t="s">
        <x:v>33</x:v>
      </x:c>
      <x:c r="S1549" s="70"/>
    </x:row>
    <x:row r="1550" ht="15" hidden="0">
      <x:c r="A1550" s="70" t="s">
        <x:v>2557</x:v>
      </x:c>
      <x:c r="B1550" s="70" t="s">
        <x:v>41</x:v>
      </x:c>
      <x:c r="C1550" s="70" t="s">
        <x:v>103</x:v>
      </x:c>
      <x:c r="D1550" s="70" t="s">
        <x:v>287</x:v>
      </x:c>
      <x:c r="E1550" s="70" t="s">
        <x:v>1203</x:v>
      </x:c>
      <x:c r="F1550" s="70" t="s">
        <x:v>1224</x:v>
      </x:c>
      <x:c r="G1550" s="70" t="s">
        <x:v>1307</x:v>
      </x:c>
      <x:c r="H1550" s="70" t="s">
        <x:v>845</x:v>
      </x:c>
      <x:c r="I1550" s="70" t="s">
        <x:v>833</x:v>
      </x:c>
      <x:c r="J1550" s="70" t="n">
        <x:v>193</x:v>
      </x:c>
      <x:c r="K1550" s="70" t="s">
        <x:v>2547</x:v>
      </x:c>
      <x:c r="L1550" s="70"/>
      <x:c r="M1550" s="70" t="s">
        <x:v>39</x:v>
      </x:c>
      <x:c r="N1550" s="71" t="n">
        <x:v>-2527786</x:v>
      </x:c>
      <x:c r="O1550" s="72" t="n">
        <x:f aca="0">N1550/1000</x:f>
        <x:v>-2527.786</x:v>
      </x:c>
      <x:c r="P1550" s="73" t="n">
        <x:f aca="0">MLCF!F118</x:f>
        <x:v>-2527.786</x:v>
      </x:c>
      <x:c r="Q1550" s="70" t="str">
        <x:f aca="0">IF(ABS(O1550-P1550)&lt;0.000001,"PASS","FAIL")</x:f>
        <x:v>PASS</x:v>
      </x:c>
      <x:c r="R1550" s="70" t="s">
        <x:v>33</x:v>
      </x:c>
      <x:c r="S1550" s="70"/>
    </x:row>
    <x:row r="1551" ht="15" hidden="0">
      <x:c r="A1551" s="70" t="s">
        <x:v>2558</x:v>
      </x:c>
      <x:c r="B1551" s="70" t="s">
        <x:v>41</x:v>
      </x:c>
      <x:c r="C1551" s="70" t="s">
        <x:v>104</x:v>
      </x:c>
      <x:c r="D1551" s="70" t="s">
        <x:v>287</x:v>
      </x:c>
      <x:c r="E1551" s="70" t="s">
        <x:v>1203</x:v>
      </x:c>
      <x:c r="F1551" s="70" t="s">
        <x:v>1224</x:v>
      </x:c>
      <x:c r="G1551" s="70" t="s">
        <x:v>1310</x:v>
      </x:c>
      <x:c r="H1551" s="70" t="s">
        <x:v>849</x:v>
      </x:c>
      <x:c r="I1551" s="70" t="s">
        <x:v>833</x:v>
      </x:c>
      <x:c r="J1551" s="70" t="n">
        <x:v>205</x:v>
      </x:c>
      <x:c r="K1551" s="70" t="s">
        <x:v>2164</x:v>
      </x:c>
      <x:c r="L1551" s="70"/>
      <x:c r="M1551" s="70" t="s">
        <x:v>39</x:v>
      </x:c>
      <x:c r="N1551" s="71" t="n">
        <x:v>-4145538</x:v>
      </x:c>
      <x:c r="O1551" s="72" t="n">
        <x:f aca="0">N1551/1000</x:f>
        <x:v>-4145.538</x:v>
      </x:c>
      <x:c r="P1551" s="73" t="n">
        <x:f aca="0">MLCF!G118</x:f>
        <x:v>-4145.538</x:v>
      </x:c>
      <x:c r="Q1551" s="70" t="str">
        <x:f aca="0">IF(ABS(O1551-P1551)&lt;0.000001,"PASS","FAIL")</x:f>
        <x:v>PASS</x:v>
      </x:c>
      <x:c r="R1551" s="70" t="s">
        <x:v>33</x:v>
      </x:c>
      <x:c r="S1551" s="70"/>
    </x:row>
    <x:row r="1552" ht="15" hidden="0">
      <x:c r="A1552" s="70" t="s">
        <x:v>2559</x:v>
      </x:c>
      <x:c r="B1552" s="70" t="s">
        <x:v>41</x:v>
      </x:c>
      <x:c r="C1552" s="70" t="s">
        <x:v>105</x:v>
      </x:c>
      <x:c r="D1552" s="70" t="s">
        <x:v>287</x:v>
      </x:c>
      <x:c r="E1552" s="70" t="s">
        <x:v>1203</x:v>
      </x:c>
      <x:c r="F1552" s="70" t="s">
        <x:v>1224</x:v>
      </x:c>
      <x:c r="G1552" s="70" t="s">
        <x:v>1310</x:v>
      </x:c>
      <x:c r="H1552" s="70" t="s">
        <x:v>849</x:v>
      </x:c>
      <x:c r="I1552" s="70" t="s">
        <x:v>852</x:v>
      </x:c>
      <x:c r="J1552" s="70" t="n">
        <x:v>205</x:v>
      </x:c>
      <x:c r="K1552" s="70" t="s">
        <x:v>2164</x:v>
      </x:c>
      <x:c r="L1552" s="70"/>
      <x:c r="M1552" s="70" t="s">
        <x:v>39</x:v>
      </x:c>
      <x:c r="N1552" s="71" t="n">
        <x:v>-4093012</x:v>
      </x:c>
      <x:c r="O1552" s="72" t="n">
        <x:f aca="0">N1552/1000</x:f>
        <x:v>-4093.012</x:v>
      </x:c>
      <x:c r="P1552" s="73" t="n">
        <x:f aca="0">MLCF!H118</x:f>
        <x:v>-4093.012</x:v>
      </x:c>
      <x:c r="Q1552" s="70" t="str">
        <x:f aca="0">IF(ABS(O1552-P1552)&lt;0.000001,"PASS","FAIL")</x:f>
        <x:v>PASS</x:v>
      </x:c>
      <x:c r="R1552" s="70" t="s">
        <x:v>33</x:v>
      </x:c>
      <x:c r="S1552" s="70"/>
    </x:row>
    <x:row r="1553" ht="15" hidden="0">
      <x:c r="A1553" s="70" t="s">
        <x:v>2560</x:v>
      </x:c>
      <x:c r="B1553" s="70" t="s">
        <x:v>41</x:v>
      </x:c>
      <x:c r="C1553" s="70" t="s">
        <x:v>101</x:v>
      </x:c>
      <x:c r="D1553" s="70" t="s">
        <x:v>289</x:v>
      </x:c>
      <x:c r="E1553" s="70" t="s">
        <x:v>1203</x:v>
      </x:c>
      <x:c r="F1553" s="70" t="s">
        <x:v>1230</x:v>
      </x:c>
      <x:c r="G1553" s="70" t="s">
        <x:v>1301</x:v>
      </x:c>
      <x:c r="H1553" s="70" t="s">
        <x:v>838</x:v>
      </x:c>
      <x:c r="I1553" s="70" t="s">
        <x:v>833</x:v>
      </x:c>
      <x:c r="J1553" s="70" t="n">
        <x:v>187</x:v>
      </x:c>
      <x:c r="K1553" s="70" t="s">
        <x:v>1763</x:v>
      </x:c>
      <x:c r="L1553" s="70"/>
      <x:c r="M1553" s="70" t="s">
        <x:v>292</x:v>
      </x:c>
      <x:c r="N1553" s="70" t="s">
        <x:v>593</x:v>
      </x:c>
      <x:c r="O1553" s="70" t="str">
        <x:f aca="0">N1553</x:f>
        <x:v>Financing</x:v>
      </x:c>
      <x:c r="P1553" s="70" t="str">
        <x:f aca="0">MLCF!D119</x:f>
        <x:v>Financing</x:v>
      </x:c>
      <x:c r="Q1553" s="70" t="str">
        <x:f aca="0">IF(O1553=P1553,"PASS","FAIL")</x:f>
        <x:v>PASS</x:v>
      </x:c>
      <x:c r="R1553" s="70" t="s">
        <x:v>33</x:v>
      </x:c>
      <x:c r="S1553" s="70"/>
    </x:row>
    <x:row r="1554" ht="15" hidden="0">
      <x:c r="A1554" s="70" t="s">
        <x:v>2561</x:v>
      </x:c>
      <x:c r="B1554" s="70" t="s">
        <x:v>41</x:v>
      </x:c>
      <x:c r="C1554" s="70" t="s">
        <x:v>102</x:v>
      </x:c>
      <x:c r="D1554" s="70" t="s">
        <x:v>289</x:v>
      </x:c>
      <x:c r="E1554" s="70" t="s">
        <x:v>1203</x:v>
      </x:c>
      <x:c r="F1554" s="70" t="s">
        <x:v>1230</x:v>
      </x:c>
      <x:c r="G1554" s="70" t="s">
        <x:v>1304</x:v>
      </x:c>
      <x:c r="H1554" s="70" t="s">
        <x:v>842</x:v>
      </x:c>
      <x:c r="I1554" s="70" t="s">
        <x:v>833</x:v>
      </x:c>
      <x:c r="J1554" s="70" t="n">
        <x:v>196</x:v>
      </x:c>
      <x:c r="K1554" s="70" t="s">
        <x:v>834</x:v>
      </x:c>
      <x:c r="L1554" s="70"/>
      <x:c r="M1554" s="70" t="s">
        <x:v>292</x:v>
      </x:c>
      <x:c r="N1554" s="70" t="s">
        <x:v>593</x:v>
      </x:c>
      <x:c r="O1554" s="70" t="str">
        <x:f aca="0">N1554</x:f>
        <x:v>Financing</x:v>
      </x:c>
      <x:c r="P1554" s="70" t="str">
        <x:f aca="0">MLCF!E119</x:f>
        <x:v>Financing</x:v>
      </x:c>
      <x:c r="Q1554" s="70" t="str">
        <x:f aca="0">IF(O1554=P1554,"PASS","FAIL")</x:f>
        <x:v>PASS</x:v>
      </x:c>
      <x:c r="R1554" s="70" t="s">
        <x:v>33</x:v>
      </x:c>
      <x:c r="S1554" s="70"/>
    </x:row>
    <x:row r="1555" ht="15" hidden="0">
      <x:c r="A1555" s="70" t="s">
        <x:v>2562</x:v>
      </x:c>
      <x:c r="B1555" s="70" t="s">
        <x:v>41</x:v>
      </x:c>
      <x:c r="C1555" s="70" t="s">
        <x:v>103</x:v>
      </x:c>
      <x:c r="D1555" s="70" t="s">
        <x:v>289</x:v>
      </x:c>
      <x:c r="E1555" s="70" t="s">
        <x:v>1203</x:v>
      </x:c>
      <x:c r="F1555" s="70" t="s">
        <x:v>1230</x:v>
      </x:c>
      <x:c r="G1555" s="70" t="s">
        <x:v>1307</x:v>
      </x:c>
      <x:c r="H1555" s="70" t="s">
        <x:v>845</x:v>
      </x:c>
      <x:c r="I1555" s="70" t="s">
        <x:v>833</x:v>
      </x:c>
      <x:c r="J1555" s="70" t="n">
        <x:v>193</x:v>
      </x:c>
      <x:c r="K1555" s="70" t="s">
        <x:v>2547</x:v>
      </x:c>
      <x:c r="L1555" s="70"/>
      <x:c r="M1555" s="70" t="s">
        <x:v>292</x:v>
      </x:c>
      <x:c r="N1555" s="70" t="s">
        <x:v>593</x:v>
      </x:c>
      <x:c r="O1555" s="70" t="str">
        <x:f aca="0">N1555</x:f>
        <x:v>Financing</x:v>
      </x:c>
      <x:c r="P1555" s="70" t="str">
        <x:f aca="0">MLCF!F119</x:f>
        <x:v>Financing</x:v>
      </x:c>
      <x:c r="Q1555" s="70" t="str">
        <x:f aca="0">IF(O1555=P1555,"PASS","FAIL")</x:f>
        <x:v>PASS</x:v>
      </x:c>
      <x:c r="R1555" s="70" t="s">
        <x:v>33</x:v>
      </x:c>
      <x:c r="S1555" s="70"/>
    </x:row>
    <x:row r="1556" ht="15" hidden="0">
      <x:c r="A1556" s="70" t="s">
        <x:v>2563</x:v>
      </x:c>
      <x:c r="B1556" s="70" t="s">
        <x:v>41</x:v>
      </x:c>
      <x:c r="C1556" s="70" t="s">
        <x:v>104</x:v>
      </x:c>
      <x:c r="D1556" s="70" t="s">
        <x:v>289</x:v>
      </x:c>
      <x:c r="E1556" s="70" t="s">
        <x:v>1203</x:v>
      </x:c>
      <x:c r="F1556" s="70" t="s">
        <x:v>1230</x:v>
      </x:c>
      <x:c r="G1556" s="70" t="s">
        <x:v>1310</x:v>
      </x:c>
      <x:c r="H1556" s="70" t="s">
        <x:v>849</x:v>
      </x:c>
      <x:c r="I1556" s="70" t="s">
        <x:v>833</x:v>
      </x:c>
      <x:c r="J1556" s="70" t="n">
        <x:v>205</x:v>
      </x:c>
      <x:c r="K1556" s="70" t="s">
        <x:v>2164</x:v>
      </x:c>
      <x:c r="L1556" s="70"/>
      <x:c r="M1556" s="70" t="s">
        <x:v>292</x:v>
      </x:c>
      <x:c r="N1556" s="70" t="s">
        <x:v>593</x:v>
      </x:c>
      <x:c r="O1556" s="70" t="str">
        <x:f aca="0">N1556</x:f>
        <x:v>Financing</x:v>
      </x:c>
      <x:c r="P1556" s="70" t="str">
        <x:f aca="0">MLCF!G119</x:f>
        <x:v>Financing</x:v>
      </x:c>
      <x:c r="Q1556" s="70" t="str">
        <x:f aca="0">IF(O1556=P1556,"PASS","FAIL")</x:f>
        <x:v>PASS</x:v>
      </x:c>
      <x:c r="R1556" s="70" t="s">
        <x:v>33</x:v>
      </x:c>
      <x:c r="S1556" s="70"/>
    </x:row>
    <x:row r="1557" ht="15" hidden="0">
      <x:c r="A1557" s="70" t="s">
        <x:v>2564</x:v>
      </x:c>
      <x:c r="B1557" s="70" t="s">
        <x:v>41</x:v>
      </x:c>
      <x:c r="C1557" s="70" t="s">
        <x:v>105</x:v>
      </x:c>
      <x:c r="D1557" s="70" t="s">
        <x:v>289</x:v>
      </x:c>
      <x:c r="E1557" s="70" t="s">
        <x:v>1203</x:v>
      </x:c>
      <x:c r="F1557" s="70" t="s">
        <x:v>1230</x:v>
      </x:c>
      <x:c r="G1557" s="70" t="s">
        <x:v>1310</x:v>
      </x:c>
      <x:c r="H1557" s="70" t="s">
        <x:v>849</x:v>
      </x:c>
      <x:c r="I1557" s="70" t="s">
        <x:v>852</x:v>
      </x:c>
      <x:c r="J1557" s="70" t="n">
        <x:v>205</x:v>
      </x:c>
      <x:c r="K1557" s="70" t="s">
        <x:v>2164</x:v>
      </x:c>
      <x:c r="L1557" s="70"/>
      <x:c r="M1557" s="70" t="s">
        <x:v>292</x:v>
      </x:c>
      <x:c r="N1557" s="70" t="s">
        <x:v>593</x:v>
      </x:c>
      <x:c r="O1557" s="70" t="str">
        <x:f aca="0">N1557</x:f>
        <x:v>Financing</x:v>
      </x:c>
      <x:c r="P1557" s="70" t="str">
        <x:f aca="0">MLCF!H119</x:f>
        <x:v>Financing</x:v>
      </x:c>
      <x:c r="Q1557" s="70" t="str">
        <x:f aca="0">IF(O1557=P1557,"PASS","FAIL")</x:f>
        <x:v>PASS</x:v>
      </x:c>
      <x:c r="R1557" s="70" t="s">
        <x:v>33</x:v>
      </x:c>
      <x:c r="S1557" s="70"/>
    </x:row>
    <x:row r="1558" ht="15" hidden="0">
      <x:c r="A1558" s="70" t="s">
        <x:v>2565</x:v>
      </x:c>
      <x:c r="B1558" s="70" t="s">
        <x:v>41</x:v>
      </x:c>
      <x:c r="C1558" s="70" t="s">
        <x:v>101</x:v>
      </x:c>
      <x:c r="D1558" s="70" t="s">
        <x:v>295</x:v>
      </x:c>
      <x:c r="E1558" s="70" t="s">
        <x:v>1203</x:v>
      </x:c>
      <x:c r="F1558" s="70" t="s">
        <x:v>2566</x:v>
      </x:c>
      <x:c r="G1558" s="70" t="s">
        <x:v>1301</x:v>
      </x:c>
      <x:c r="H1558" s="70" t="s">
        <x:v>838</x:v>
      </x:c>
      <x:c r="I1558" s="70" t="s">
        <x:v>833</x:v>
      </x:c>
      <x:c r="J1558" s="70" t="n">
        <x:v>187</x:v>
      </x:c>
      <x:c r="K1558" s="70" t="s">
        <x:v>1763</x:v>
      </x:c>
      <x:c r="L1558" s="70"/>
      <x:c r="M1558" s="70" t="s">
        <x:v>39</x:v>
      </x:c>
      <x:c r="N1558" s="71" t="n">
        <x:v>-3285300</x:v>
      </x:c>
      <x:c r="O1558" s="72" t="n">
        <x:f aca="0">N1558/1000</x:f>
        <x:v>-3285.3</x:v>
      </x:c>
      <x:c r="P1558" s="73" t="n">
        <x:f aca="0">MLCF!D121</x:f>
        <x:v>-3285.3</x:v>
      </x:c>
      <x:c r="Q1558" s="70" t="str">
        <x:f aca="0">IF(ABS(O1558-P1558)&lt;0.000001,"PASS","FAIL")</x:f>
        <x:v>PASS</x:v>
      </x:c>
      <x:c r="R1558" s="70" t="s">
        <x:v>33</x:v>
      </x:c>
      <x:c r="S1558" s="70"/>
    </x:row>
    <x:row r="1559" ht="15" hidden="0">
      <x:c r="A1559" s="70" t="s">
        <x:v>2567</x:v>
      </x:c>
      <x:c r="B1559" s="70" t="s">
        <x:v>41</x:v>
      </x:c>
      <x:c r="C1559" s="70" t="s">
        <x:v>102</x:v>
      </x:c>
      <x:c r="D1559" s="70" t="s">
        <x:v>295</x:v>
      </x:c>
      <x:c r="E1559" s="70" t="s">
        <x:v>1203</x:v>
      </x:c>
      <x:c r="F1559" s="70" t="s">
        <x:v>2566</x:v>
      </x:c>
      <x:c r="G1559" s="70" t="s">
        <x:v>1304</x:v>
      </x:c>
      <x:c r="H1559" s="70" t="s">
        <x:v>842</x:v>
      </x:c>
      <x:c r="I1559" s="70" t="s">
        <x:v>833</x:v>
      </x:c>
      <x:c r="J1559" s="70" t="n">
        <x:v>100</x:v>
      </x:c>
      <x:c r="K1559" s="70" t="s">
        <x:v>834</x:v>
      </x:c>
      <x:c r="L1559" s="70"/>
      <x:c r="M1559" s="70" t="s">
        <x:v>39</x:v>
      </x:c>
      <x:c r="N1559" s="71" t="n">
        <x:v>-15790494</x:v>
      </x:c>
      <x:c r="O1559" s="72" t="n">
        <x:f aca="0">N1559/1000</x:f>
        <x:v>-15790.494</x:v>
      </x:c>
      <x:c r="P1559" s="73" t="n">
        <x:f aca="0">MLCF!E121</x:f>
        <x:v>-15790.494</x:v>
      </x:c>
      <x:c r="Q1559" s="70" t="str">
        <x:f aca="0">IF(ABS(O1559-P1559)&lt;0.000001,"PASS","FAIL")</x:f>
        <x:v>PASS</x:v>
      </x:c>
      <x:c r="R1559" s="70" t="s">
        <x:v>33</x:v>
      </x:c>
      <x:c r="S1559" s="70"/>
    </x:row>
    <x:row r="1560" ht="15" hidden="0">
      <x:c r="A1560" s="70" t="s">
        <x:v>2568</x:v>
      </x:c>
      <x:c r="B1560" s="70" t="s">
        <x:v>41</x:v>
      </x:c>
      <x:c r="C1560" s="70" t="s">
        <x:v>103</x:v>
      </x:c>
      <x:c r="D1560" s="70" t="s">
        <x:v>295</x:v>
      </x:c>
      <x:c r="E1560" s="70" t="s">
        <x:v>1203</x:v>
      </x:c>
      <x:c r="F1560" s="70" t="s">
        <x:v>2131</x:v>
      </x:c>
      <x:c r="G1560" s="70" t="s">
        <x:v>1307</x:v>
      </x:c>
      <x:c r="H1560" s="70" t="s">
        <x:v>845</x:v>
      </x:c>
      <x:c r="I1560" s="70" t="s">
        <x:v>833</x:v>
      </x:c>
      <x:c r="J1560" s="70" t="n">
        <x:v>193</x:v>
      </x:c>
      <x:c r="K1560" s="70" t="s">
        <x:v>2547</x:v>
      </x:c>
      <x:c r="L1560" s="70"/>
      <x:c r="M1560" s="70" t="s">
        <x:v>39</x:v>
      </x:c>
      <x:c r="N1560" s="71" t="n">
        <x:v>-9071126</x:v>
      </x:c>
      <x:c r="O1560" s="72" t="n">
        <x:f aca="0">N1560/1000</x:f>
        <x:v>-9071.126</x:v>
      </x:c>
      <x:c r="P1560" s="73" t="n">
        <x:f aca="0">MLCF!F121</x:f>
        <x:v>-9071.126</x:v>
      </x:c>
      <x:c r="Q1560" s="70" t="str">
        <x:f aca="0">IF(ABS(O1560-P1560)&lt;0.000001,"PASS","FAIL")</x:f>
        <x:v>PASS</x:v>
      </x:c>
      <x:c r="R1560" s="70" t="s">
        <x:v>33</x:v>
      </x:c>
      <x:c r="S1560" s="70"/>
    </x:row>
    <x:row r="1561" ht="15" hidden="0">
      <x:c r="A1561" s="70" t="s">
        <x:v>2569</x:v>
      </x:c>
      <x:c r="B1561" s="70" t="s">
        <x:v>41</x:v>
      </x:c>
      <x:c r="C1561" s="70" t="s">
        <x:v>104</x:v>
      </x:c>
      <x:c r="D1561" s="70" t="s">
        <x:v>295</x:v>
      </x:c>
      <x:c r="E1561" s="70" t="s">
        <x:v>1203</x:v>
      </x:c>
      <x:c r="F1561" s="70" t="s">
        <x:v>2131</x:v>
      </x:c>
      <x:c r="G1561" s="70" t="s">
        <x:v>1310</x:v>
      </x:c>
      <x:c r="H1561" s="70" t="s">
        <x:v>849</x:v>
      </x:c>
      <x:c r="I1561" s="70" t="s">
        <x:v>833</x:v>
      </x:c>
      <x:c r="J1561" s="70" t="n">
        <x:v>205</x:v>
      </x:c>
      <x:c r="K1561" s="70" t="s">
        <x:v>2164</x:v>
      </x:c>
      <x:c r="L1561" s="70"/>
      <x:c r="M1561" s="70" t="s">
        <x:v>39</x:v>
      </x:c>
      <x:c r="N1561" s="71" t="n">
        <x:v>-3099319</x:v>
      </x:c>
      <x:c r="O1561" s="72" t="n">
        <x:f aca="0">N1561/1000</x:f>
        <x:v>-3099.319</x:v>
      </x:c>
      <x:c r="P1561" s="73" t="n">
        <x:f aca="0">MLCF!G121</x:f>
        <x:v>-3099.319</x:v>
      </x:c>
      <x:c r="Q1561" s="70" t="str">
        <x:f aca="0">IF(ABS(O1561-P1561)&lt;0.000001,"PASS","FAIL")</x:f>
        <x:v>PASS</x:v>
      </x:c>
      <x:c r="R1561" s="70" t="s">
        <x:v>33</x:v>
      </x:c>
      <x:c r="S1561" s="70"/>
    </x:row>
    <x:row r="1562" ht="15" hidden="0">
      <x:c r="A1562" s="70" t="s">
        <x:v>2570</x:v>
      </x:c>
      <x:c r="B1562" s="70" t="s">
        <x:v>41</x:v>
      </x:c>
      <x:c r="C1562" s="70" t="s">
        <x:v>105</x:v>
      </x:c>
      <x:c r="D1562" s="70" t="s">
        <x:v>295</x:v>
      </x:c>
      <x:c r="E1562" s="70" t="s">
        <x:v>1203</x:v>
      </x:c>
      <x:c r="F1562" s="70" t="s">
        <x:v>2131</x:v>
      </x:c>
      <x:c r="G1562" s="70" t="s">
        <x:v>1310</x:v>
      </x:c>
      <x:c r="H1562" s="70" t="s">
        <x:v>849</x:v>
      </x:c>
      <x:c r="I1562" s="70" t="s">
        <x:v>852</x:v>
      </x:c>
      <x:c r="J1562" s="70" t="n">
        <x:v>205</x:v>
      </x:c>
      <x:c r="K1562" s="70" t="s">
        <x:v>2164</x:v>
      </x:c>
      <x:c r="L1562" s="70"/>
      <x:c r="M1562" s="70" t="s">
        <x:v>39</x:v>
      </x:c>
      <x:c r="N1562" s="71" t="n">
        <x:v>-423781</x:v>
      </x:c>
      <x:c r="O1562" s="72" t="n">
        <x:f aca="0">N1562/1000</x:f>
        <x:v>-423.781</x:v>
      </x:c>
      <x:c r="P1562" s="73" t="n">
        <x:f aca="0">MLCF!H121</x:f>
        <x:v>-423.781</x:v>
      </x:c>
      <x:c r="Q1562" s="70" t="str">
        <x:f aca="0">IF(ABS(O1562-P1562)&lt;0.000001,"PASS","FAIL")</x:f>
        <x:v>PASS</x:v>
      </x:c>
      <x:c r="R1562" s="70" t="s">
        <x:v>33</x:v>
      </x:c>
      <x:c r="S1562" s="70"/>
    </x:row>
    <x:row r="1563" ht="15" hidden="0">
      <x:c r="A1563" s="70" t="s">
        <x:v>2571</x:v>
      </x:c>
      <x:c r="B1563" s="70" t="s">
        <x:v>41</x:v>
      </x:c>
      <x:c r="C1563" s="70" t="s">
        <x:v>101</x:v>
      </x:c>
      <x:c r="D1563" s="70" t="s">
        <x:v>297</x:v>
      </x:c>
      <x:c r="E1563" s="70" t="s">
        <x:v>1203</x:v>
      </x:c>
      <x:c r="F1563" s="70" t="s">
        <x:v>2572</x:v>
      </x:c>
      <x:c r="G1563" s="70" t="s">
        <x:v>1301</x:v>
      </x:c>
      <x:c r="H1563" s="70" t="s">
        <x:v>838</x:v>
      </x:c>
      <x:c r="I1563" s="70" t="s">
        <x:v>833</x:v>
      </x:c>
      <x:c r="J1563" s="70" t="n">
        <x:v>187</x:v>
      </x:c>
      <x:c r="K1563" s="70" t="s">
        <x:v>1763</x:v>
      </x:c>
      <x:c r="L1563" s="70"/>
      <x:c r="M1563" s="70" t="s">
        <x:v>39</x:v>
      </x:c>
      <x:c r="N1563" s="71" t="n">
        <x:v>251007</x:v>
      </x:c>
      <x:c r="O1563" s="72" t="n">
        <x:f aca="0">N1563/1000</x:f>
        <x:v>251.007</x:v>
      </x:c>
      <x:c r="P1563" s="73" t="n">
        <x:f aca="0">MLCF!D122</x:f>
        <x:v>251.007</x:v>
      </x:c>
      <x:c r="Q1563" s="70" t="str">
        <x:f aca="0">IF(ABS(O1563-P1563)&lt;0.000001,"PASS","FAIL")</x:f>
        <x:v>PASS</x:v>
      </x:c>
      <x:c r="R1563" s="70" t="s">
        <x:v>33</x:v>
      </x:c>
      <x:c r="S1563" s="70"/>
    </x:row>
    <x:row r="1564" ht="15" hidden="0">
      <x:c r="A1564" s="70" t="s">
        <x:v>2573</x:v>
      </x:c>
      <x:c r="B1564" s="70" t="s">
        <x:v>41</x:v>
      </x:c>
      <x:c r="C1564" s="70" t="s">
        <x:v>102</x:v>
      </x:c>
      <x:c r="D1564" s="70" t="s">
        <x:v>297</x:v>
      </x:c>
      <x:c r="E1564" s="70" t="s">
        <x:v>1203</x:v>
      </x:c>
      <x:c r="F1564" s="70" t="s">
        <x:v>1242</x:v>
      </x:c>
      <x:c r="G1564" s="70" t="s">
        <x:v>1304</x:v>
      </x:c>
      <x:c r="H1564" s="70" t="s">
        <x:v>842</x:v>
      </x:c>
      <x:c r="I1564" s="70" t="s">
        <x:v>833</x:v>
      </x:c>
      <x:c r="J1564" s="70" t="n">
        <x:v>100</x:v>
      </x:c>
      <x:c r="K1564" s="70" t="s">
        <x:v>834</x:v>
      </x:c>
      <x:c r="L1564" s="70"/>
      <x:c r="M1564" s="70" t="s">
        <x:v>39</x:v>
      </x:c>
      <x:c r="N1564" s="71" t="n">
        <x:v>-15819320</x:v>
      </x:c>
      <x:c r="O1564" s="72" t="n">
        <x:f aca="0">N1564/1000</x:f>
        <x:v>-15819.32</x:v>
      </x:c>
      <x:c r="P1564" s="73" t="n">
        <x:f aca="0">MLCF!E122</x:f>
        <x:v>-15819.32</x:v>
      </x:c>
      <x:c r="Q1564" s="70" t="str">
        <x:f aca="0">IF(ABS(O1564-P1564)&lt;0.000001,"PASS","FAIL")</x:f>
        <x:v>PASS</x:v>
      </x:c>
      <x:c r="R1564" s="70" t="s">
        <x:v>33</x:v>
      </x:c>
      <x:c r="S1564" s="70"/>
    </x:row>
    <x:row r="1565" ht="15" hidden="0">
      <x:c r="A1565" s="70" t="s">
        <x:v>2574</x:v>
      </x:c>
      <x:c r="B1565" s="70" t="s">
        <x:v>41</x:v>
      </x:c>
      <x:c r="C1565" s="70" t="s">
        <x:v>103</x:v>
      </x:c>
      <x:c r="D1565" s="70" t="s">
        <x:v>297</x:v>
      </x:c>
      <x:c r="E1565" s="70" t="s">
        <x:v>1203</x:v>
      </x:c>
      <x:c r="F1565" s="70" t="s">
        <x:v>2575</x:v>
      </x:c>
      <x:c r="G1565" s="70" t="s">
        <x:v>1307</x:v>
      </x:c>
      <x:c r="H1565" s="70" t="s">
        <x:v>845</x:v>
      </x:c>
      <x:c r="I1565" s="70" t="s">
        <x:v>833</x:v>
      </x:c>
      <x:c r="J1565" s="70" t="n">
        <x:v>193</x:v>
      </x:c>
      <x:c r="K1565" s="70" t="s">
        <x:v>2547</x:v>
      </x:c>
      <x:c r="L1565" s="70"/>
      <x:c r="M1565" s="70" t="s">
        <x:v>39</x:v>
      </x:c>
      <x:c r="N1565" s="71" t="n">
        <x:v>-12174483</x:v>
      </x:c>
      <x:c r="O1565" s="72" t="n">
        <x:f aca="0">N1565/1000</x:f>
        <x:v>-12174.483</x:v>
      </x:c>
      <x:c r="P1565" s="73" t="n">
        <x:f aca="0">MLCF!F122</x:f>
        <x:v>-12174.483</x:v>
      </x:c>
      <x:c r="Q1565" s="70" t="str">
        <x:f aca="0">IF(ABS(O1565-P1565)&lt;0.000001,"PASS","FAIL")</x:f>
        <x:v>PASS</x:v>
      </x:c>
      <x:c r="R1565" s="70" t="s">
        <x:v>33</x:v>
      </x:c>
      <x:c r="S1565" s="70"/>
    </x:row>
    <x:row r="1566" ht="15" hidden="0">
      <x:c r="A1566" s="70" t="s">
        <x:v>2576</x:v>
      </x:c>
      <x:c r="B1566" s="70" t="s">
        <x:v>41</x:v>
      </x:c>
      <x:c r="C1566" s="70" t="s">
        <x:v>104</x:v>
      </x:c>
      <x:c r="D1566" s="70" t="s">
        <x:v>297</x:v>
      </x:c>
      <x:c r="E1566" s="70" t="s">
        <x:v>1203</x:v>
      </x:c>
      <x:c r="F1566" s="70" t="s">
        <x:v>2575</x:v>
      </x:c>
      <x:c r="G1566" s="70" t="s">
        <x:v>1310</x:v>
      </x:c>
      <x:c r="H1566" s="70" t="s">
        <x:v>849</x:v>
      </x:c>
      <x:c r="I1566" s="70" t="s">
        <x:v>833</x:v>
      </x:c>
      <x:c r="J1566" s="70" t="n">
        <x:v>205</x:v>
      </x:c>
      <x:c r="K1566" s="70" t="s">
        <x:v>2164</x:v>
      </x:c>
      <x:c r="L1566" s="70"/>
      <x:c r="M1566" s="70" t="s">
        <x:v>39</x:v>
      </x:c>
      <x:c r="N1566" s="71" t="n">
        <x:v>-3030885</x:v>
      </x:c>
      <x:c r="O1566" s="72" t="n">
        <x:f aca="0">N1566/1000</x:f>
        <x:v>-3030.885</x:v>
      </x:c>
      <x:c r="P1566" s="73" t="n">
        <x:f aca="0">MLCF!G122</x:f>
        <x:v>-3030.885</x:v>
      </x:c>
      <x:c r="Q1566" s="70" t="str">
        <x:f aca="0">IF(ABS(O1566-P1566)&lt;0.000001,"PASS","FAIL")</x:f>
        <x:v>PASS</x:v>
      </x:c>
      <x:c r="R1566" s="70" t="s">
        <x:v>33</x:v>
      </x:c>
      <x:c r="S1566" s="70"/>
    </x:row>
    <x:row r="1567" ht="15" hidden="0">
      <x:c r="A1567" s="70" t="s">
        <x:v>2577</x:v>
      </x:c>
      <x:c r="B1567" s="70" t="s">
        <x:v>41</x:v>
      </x:c>
      <x:c r="C1567" s="70" t="s">
        <x:v>105</x:v>
      </x:c>
      <x:c r="D1567" s="70" t="s">
        <x:v>297</x:v>
      </x:c>
      <x:c r="E1567" s="70" t="s">
        <x:v>1203</x:v>
      </x:c>
      <x:c r="F1567" s="70" t="s">
        <x:v>2575</x:v>
      </x:c>
      <x:c r="G1567" s="70" t="s">
        <x:v>1310</x:v>
      </x:c>
      <x:c r="H1567" s="70" t="s">
        <x:v>849</x:v>
      </x:c>
      <x:c r="I1567" s="70" t="s">
        <x:v>852</x:v>
      </x:c>
      <x:c r="J1567" s="70" t="n">
        <x:v>205</x:v>
      </x:c>
      <x:c r="K1567" s="70" t="s">
        <x:v>2164</x:v>
      </x:c>
      <x:c r="L1567" s="70"/>
      <x:c r="M1567" s="70" t="s">
        <x:v>39</x:v>
      </x:c>
      <x:c r="N1567" s="71" t="n">
        <x:v>-9999040</x:v>
      </x:c>
      <x:c r="O1567" s="72" t="n">
        <x:f aca="0">N1567/1000</x:f>
        <x:v>-9999.04</x:v>
      </x:c>
      <x:c r="P1567" s="73" t="n">
        <x:f aca="0">MLCF!H122</x:f>
        <x:v>-9999.04</x:v>
      </x:c>
      <x:c r="Q1567" s="70" t="str">
        <x:f aca="0">IF(ABS(O1567-P1567)&lt;0.000001,"PASS","FAIL")</x:f>
        <x:v>PASS</x:v>
      </x:c>
      <x:c r="R1567" s="70" t="s">
        <x:v>33</x:v>
      </x:c>
      <x:c r="S1567" s="70"/>
    </x:row>
    <x:row r="1568" ht="15" hidden="0">
      <x:c r="A1568" s="70" t="s">
        <x:v>2578</x:v>
      </x:c>
      <x:c r="B1568" s="70" t="s">
        <x:v>41</x:v>
      </x:c>
      <x:c r="C1568" s="70" t="s">
        <x:v>101</x:v>
      </x:c>
      <x:c r="D1568" s="70" t="s">
        <x:v>299</x:v>
      </x:c>
      <x:c r="E1568" s="70" t="s">
        <x:v>1203</x:v>
      </x:c>
      <x:c r="F1568" s="70" t="s">
        <x:v>2579</x:v>
      </x:c>
      <x:c r="G1568" s="70" t="s">
        <x:v>1301</x:v>
      </x:c>
      <x:c r="H1568" s="70" t="s">
        <x:v>838</x:v>
      </x:c>
      <x:c r="I1568" s="70" t="s">
        <x:v>833</x:v>
      </x:c>
      <x:c r="J1568" s="70" t="n">
        <x:v>187</x:v>
      </x:c>
      <x:c r="K1568" s="70" t="s">
        <x:v>1763</x:v>
      </x:c>
      <x:c r="L1568" s="70"/>
      <x:c r="M1568" s="70" t="s">
        <x:v>39</x:v>
      </x:c>
      <x:c r="N1568" s="71" t="n">
        <x:v>-6732688</x:v>
      </x:c>
      <x:c r="O1568" s="72" t="n">
        <x:f aca="0">N1568/1000</x:f>
        <x:v>-6732.688</x:v>
      </x:c>
      <x:c r="P1568" s="73" t="n">
        <x:f aca="0">MLCF!D123</x:f>
        <x:v>-6732.688</x:v>
      </x:c>
      <x:c r="Q1568" s="70" t="str">
        <x:f aca="0">IF(ABS(O1568-P1568)&lt;0.000001,"PASS","FAIL")</x:f>
        <x:v>PASS</x:v>
      </x:c>
      <x:c r="R1568" s="70" t="s">
        <x:v>33</x:v>
      </x:c>
      <x:c r="S1568" s="70"/>
    </x:row>
    <x:row r="1569" ht="15" hidden="0">
      <x:c r="A1569" s="70" t="s">
        <x:v>2580</x:v>
      </x:c>
      <x:c r="B1569" s="70" t="s">
        <x:v>41</x:v>
      </x:c>
      <x:c r="C1569" s="70" t="s">
        <x:v>102</x:v>
      </x:c>
      <x:c r="D1569" s="70" t="s">
        <x:v>299</x:v>
      </x:c>
      <x:c r="E1569" s="70" t="s">
        <x:v>1203</x:v>
      </x:c>
      <x:c r="F1569" s="70" t="s">
        <x:v>1700</x:v>
      </x:c>
      <x:c r="G1569" s="70" t="s">
        <x:v>1304</x:v>
      </x:c>
      <x:c r="H1569" s="70" t="s">
        <x:v>842</x:v>
      </x:c>
      <x:c r="I1569" s="70" t="s">
        <x:v>833</x:v>
      </x:c>
      <x:c r="J1569" s="70" t="n">
        <x:v>100</x:v>
      </x:c>
      <x:c r="K1569" s="70" t="s">
        <x:v>834</x:v>
      </x:c>
      <x:c r="L1569" s="70"/>
      <x:c r="M1569" s="70" t="s">
        <x:v>39</x:v>
      </x:c>
      <x:c r="N1569" s="71" t="n">
        <x:v>6601516</x:v>
      </x:c>
      <x:c r="O1569" s="72" t="n">
        <x:f aca="0">N1569/1000</x:f>
        <x:v>6601.516</x:v>
      </x:c>
      <x:c r="P1569" s="73" t="n">
        <x:f aca="0">MLCF!E123</x:f>
        <x:v>6601.516</x:v>
      </x:c>
      <x:c r="Q1569" s="70" t="str">
        <x:f aca="0">IF(ABS(O1569-P1569)&lt;0.000001,"PASS","FAIL")</x:f>
        <x:v>PASS</x:v>
      </x:c>
      <x:c r="R1569" s="70" t="s">
        <x:v>33</x:v>
      </x:c>
      <x:c r="S1569" s="70"/>
    </x:row>
    <x:row r="1570" ht="15" hidden="0">
      <x:c r="A1570" s="70" t="s">
        <x:v>2581</x:v>
      </x:c>
      <x:c r="B1570" s="70" t="s">
        <x:v>41</x:v>
      </x:c>
      <x:c r="C1570" s="70" t="s">
        <x:v>103</x:v>
      </x:c>
      <x:c r="D1570" s="70" t="s">
        <x:v>299</x:v>
      </x:c>
      <x:c r="E1570" s="70" t="s">
        <x:v>1203</x:v>
      </x:c>
      <x:c r="F1570" s="70" t="s">
        <x:v>2148</x:v>
      </x:c>
      <x:c r="G1570" s="70" t="s">
        <x:v>1307</x:v>
      </x:c>
      <x:c r="H1570" s="70" t="s">
        <x:v>845</x:v>
      </x:c>
      <x:c r="I1570" s="70" t="s">
        <x:v>833</x:v>
      </x:c>
      <x:c r="J1570" s="70" t="n">
        <x:v>193</x:v>
      </x:c>
      <x:c r="K1570" s="70" t="s">
        <x:v>2547</x:v>
      </x:c>
      <x:c r="L1570" s="70"/>
      <x:c r="M1570" s="70" t="s">
        <x:v>39</x:v>
      </x:c>
      <x:c r="N1570" s="71" t="n">
        <x:v>-6632403</x:v>
      </x:c>
      <x:c r="O1570" s="72" t="n">
        <x:f aca="0">N1570/1000</x:f>
        <x:v>-6632.403</x:v>
      </x:c>
      <x:c r="P1570" s="73" t="n">
        <x:f aca="0">MLCF!F123</x:f>
        <x:v>-6632.403</x:v>
      </x:c>
      <x:c r="Q1570" s="70" t="str">
        <x:f aca="0">IF(ABS(O1570-P1570)&lt;0.000001,"PASS","FAIL")</x:f>
        <x:v>PASS</x:v>
      </x:c>
      <x:c r="R1570" s="70" t="s">
        <x:v>33</x:v>
      </x:c>
      <x:c r="S1570" s="70"/>
    </x:row>
    <x:row r="1571" ht="15" hidden="0">
      <x:c r="A1571" s="70" t="s">
        <x:v>2582</x:v>
      </x:c>
      <x:c r="B1571" s="70" t="s">
        <x:v>41</x:v>
      </x:c>
      <x:c r="C1571" s="70" t="s">
        <x:v>104</x:v>
      </x:c>
      <x:c r="D1571" s="70" t="s">
        <x:v>299</x:v>
      </x:c>
      <x:c r="E1571" s="70" t="s">
        <x:v>1203</x:v>
      </x:c>
      <x:c r="F1571" s="70" t="s">
        <x:v>2148</x:v>
      </x:c>
      <x:c r="G1571" s="70" t="s">
        <x:v>1310</x:v>
      </x:c>
      <x:c r="H1571" s="70" t="s">
        <x:v>849</x:v>
      </x:c>
      <x:c r="I1571" s="70" t="s">
        <x:v>833</x:v>
      </x:c>
      <x:c r="J1571" s="70" t="n">
        <x:v>205</x:v>
      </x:c>
      <x:c r="K1571" s="70" t="s">
        <x:v>2164</x:v>
      </x:c>
      <x:c r="L1571" s="70"/>
      <x:c r="M1571" s="70" t="s">
        <x:v>39</x:v>
      </x:c>
      <x:c r="N1571" s="71" t="n">
        <x:v>-7482362</x:v>
      </x:c>
      <x:c r="O1571" s="72" t="n">
        <x:f aca="0">N1571/1000</x:f>
        <x:v>-7482.362</x:v>
      </x:c>
      <x:c r="P1571" s="73" t="n">
        <x:f aca="0">MLCF!G123</x:f>
        <x:v>-7482.362</x:v>
      </x:c>
      <x:c r="Q1571" s="70" t="str">
        <x:f aca="0">IF(ABS(O1571-P1571)&lt;0.000001,"PASS","FAIL")</x:f>
        <x:v>PASS</x:v>
      </x:c>
      <x:c r="R1571" s="70" t="s">
        <x:v>33</x:v>
      </x:c>
      <x:c r="S1571" s="70"/>
    </x:row>
    <x:row r="1572" ht="15" hidden="0">
      <x:c r="A1572" s="70" t="s">
        <x:v>2583</x:v>
      </x:c>
      <x:c r="B1572" s="70" t="s">
        <x:v>41</x:v>
      </x:c>
      <x:c r="C1572" s="70" t="s">
        <x:v>105</x:v>
      </x:c>
      <x:c r="D1572" s="70" t="s">
        <x:v>299</x:v>
      </x:c>
      <x:c r="E1572" s="70" t="s">
        <x:v>1203</x:v>
      </x:c>
      <x:c r="F1572" s="70" t="s">
        <x:v>2148</x:v>
      </x:c>
      <x:c r="G1572" s="70" t="s">
        <x:v>1310</x:v>
      </x:c>
      <x:c r="H1572" s="70" t="s">
        <x:v>849</x:v>
      </x:c>
      <x:c r="I1572" s="70" t="s">
        <x:v>852</x:v>
      </x:c>
      <x:c r="J1572" s="70" t="n">
        <x:v>205</x:v>
      </x:c>
      <x:c r="K1572" s="70" t="s">
        <x:v>2164</x:v>
      </x:c>
      <x:c r="L1572" s="70"/>
      <x:c r="M1572" s="70" t="s">
        <x:v>39</x:v>
      </x:c>
      <x:c r="N1572" s="71" t="n">
        <x:v>-7569161</x:v>
      </x:c>
      <x:c r="O1572" s="72" t="n">
        <x:f aca="0">N1572/1000</x:f>
        <x:v>-7569.161</x:v>
      </x:c>
      <x:c r="P1572" s="73" t="n">
        <x:f aca="0">MLCF!H123</x:f>
        <x:v>-7569.161</x:v>
      </x:c>
      <x:c r="Q1572" s="70" t="str">
        <x:f aca="0">IF(ABS(O1572-P1572)&lt;0.000001,"PASS","FAIL")</x:f>
        <x:v>PASS</x:v>
      </x:c>
      <x:c r="R1572" s="70" t="s">
        <x:v>33</x:v>
      </x:c>
      <x:c r="S1572" s="70"/>
    </x:row>
    <x:row r="1573" ht="15" hidden="0">
      <x:c r="A1573" s="70" t="s">
        <x:v>2584</x:v>
      </x:c>
      <x:c r="B1573" s="70" t="s">
        <x:v>41</x:v>
      </x:c>
      <x:c r="C1573" s="70" t="s">
        <x:v>101</x:v>
      </x:c>
      <x:c r="D1573" s="70" t="s">
        <x:v>301</x:v>
      </x:c>
      <x:c r="E1573" s="70" t="s">
        <x:v>1203</x:v>
      </x:c>
      <x:c r="F1573" s="70" t="s">
        <x:v>1254</x:v>
      </x:c>
      <x:c r="G1573" s="70" t="s">
        <x:v>1301</x:v>
      </x:c>
      <x:c r="H1573" s="70" t="s">
        <x:v>838</x:v>
      </x:c>
      <x:c r="I1573" s="70" t="s">
        <x:v>833</x:v>
      </x:c>
      <x:c r="J1573" s="70" t="n">
        <x:v>187</x:v>
      </x:c>
      <x:c r="K1573" s="70" t="s">
        <x:v>1763</x:v>
      </x:c>
      <x:c r="L1573" s="70"/>
      <x:c r="M1573" s="70" t="s">
        <x:v>39</x:v>
      </x:c>
      <x:c r="N1573" s="71" t="n">
        <x:v>-19919</x:v>
      </x:c>
      <x:c r="O1573" s="72" t="n">
        <x:f aca="0">N1573/1000</x:f>
        <x:v>-19.919</x:v>
      </x:c>
      <x:c r="P1573" s="73" t="n">
        <x:f aca="0">MLCF!D124</x:f>
        <x:v>-19.919</x:v>
      </x:c>
      <x:c r="Q1573" s="70" t="str">
        <x:f aca="0">IF(ABS(O1573-P1573)&lt;0.000001,"PASS","FAIL")</x:f>
        <x:v>PASS</x:v>
      </x:c>
      <x:c r="R1573" s="70" t="s">
        <x:v>33</x:v>
      </x:c>
      <x:c r="S1573" s="70"/>
    </x:row>
    <x:row r="1574" ht="15" hidden="0">
      <x:c r="A1574" s="70" t="s">
        <x:v>2585</x:v>
      </x:c>
      <x:c r="B1574" s="70" t="s">
        <x:v>41</x:v>
      </x:c>
      <x:c r="C1574" s="70" t="s">
        <x:v>102</x:v>
      </x:c>
      <x:c r="D1574" s="70" t="s">
        <x:v>301</x:v>
      </x:c>
      <x:c r="E1574" s="70" t="s">
        <x:v>1203</x:v>
      </x:c>
      <x:c r="F1574" s="70" t="s">
        <x:v>1254</x:v>
      </x:c>
      <x:c r="G1574" s="70" t="s">
        <x:v>1304</x:v>
      </x:c>
      <x:c r="H1574" s="70" t="s">
        <x:v>842</x:v>
      </x:c>
      <x:c r="I1574" s="70" t="s">
        <x:v>833</x:v>
      </x:c>
      <x:c r="J1574" s="70" t="n">
        <x:v>100</x:v>
      </x:c>
      <x:c r="K1574" s="70" t="s">
        <x:v>834</x:v>
      </x:c>
      <x:c r="L1574" s="70"/>
      <x:c r="M1574" s="70" t="s">
        <x:v>39</x:v>
      </x:c>
      <x:c r="N1574" s="71" t="n">
        <x:v>-565</x:v>
      </x:c>
      <x:c r="O1574" s="72" t="n">
        <x:f aca="0">N1574/1000</x:f>
        <x:v>-0.565</x:v>
      </x:c>
      <x:c r="P1574" s="73" t="n">
        <x:f aca="0">MLCF!E124</x:f>
        <x:v>-0.565</x:v>
      </x:c>
      <x:c r="Q1574" s="70" t="str">
        <x:f aca="0">IF(ABS(O1574-P1574)&lt;0.000001,"PASS","FAIL")</x:f>
        <x:v>PASS</x:v>
      </x:c>
      <x:c r="R1574" s="70" t="s">
        <x:v>33</x:v>
      </x:c>
      <x:c r="S1574" s="70"/>
    </x:row>
    <x:row r="1575" ht="15" hidden="0">
      <x:c r="A1575" s="70" t="s">
        <x:v>2586</x:v>
      </x:c>
      <x:c r="B1575" s="70" t="s">
        <x:v>41</x:v>
      </x:c>
      <x:c r="C1575" s="70" t="s">
        <x:v>103</x:v>
      </x:c>
      <x:c r="D1575" s="70" t="s">
        <x:v>301</x:v>
      </x:c>
      <x:c r="E1575" s="70" t="s">
        <x:v>1203</x:v>
      </x:c>
      <x:c r="F1575" s="70" t="s">
        <x:v>1254</x:v>
      </x:c>
      <x:c r="G1575" s="70" t="s">
        <x:v>1307</x:v>
      </x:c>
      <x:c r="H1575" s="70" t="s">
        <x:v>845</x:v>
      </x:c>
      <x:c r="I1575" s="70" t="s">
        <x:v>833</x:v>
      </x:c>
      <x:c r="J1575" s="70" t="n">
        <x:v>193</x:v>
      </x:c>
      <x:c r="K1575" s="70" t="s">
        <x:v>2547</x:v>
      </x:c>
      <x:c r="L1575" s="70"/>
      <x:c r="M1575" s="70" t="s">
        <x:v>39</x:v>
      </x:c>
      <x:c r="N1575" s="71" t="n">
        <x:v>-191</x:v>
      </x:c>
      <x:c r="O1575" s="72" t="n">
        <x:f aca="0">N1575/1000</x:f>
        <x:v>-0.191</x:v>
      </x:c>
      <x:c r="P1575" s="73" t="n">
        <x:f aca="0">MLCF!F124</x:f>
        <x:v>-0.191</x:v>
      </x:c>
      <x:c r="Q1575" s="70" t="str">
        <x:f aca="0">IF(ABS(O1575-P1575)&lt;0.000001,"PASS","FAIL")</x:f>
        <x:v>PASS</x:v>
      </x:c>
      <x:c r="R1575" s="70" t="s">
        <x:v>33</x:v>
      </x:c>
      <x:c r="S1575" s="70"/>
    </x:row>
    <x:row r="1576" ht="15" hidden="0">
      <x:c r="A1576" s="70" t="s">
        <x:v>2587</x:v>
      </x:c>
      <x:c r="B1576" s="70" t="s">
        <x:v>41</x:v>
      </x:c>
      <x:c r="C1576" s="70" t="s">
        <x:v>104</x:v>
      </x:c>
      <x:c r="D1576" s="70" t="s">
        <x:v>301</x:v>
      </x:c>
      <x:c r="E1576" s="70" t="s">
        <x:v>1203</x:v>
      </x:c>
      <x:c r="F1576" s="70" t="s">
        <x:v>1254</x:v>
      </x:c>
      <x:c r="G1576" s="70" t="s">
        <x:v>1310</x:v>
      </x:c>
      <x:c r="H1576" s="70" t="s">
        <x:v>849</x:v>
      </x:c>
      <x:c r="I1576" s="70" t="s">
        <x:v>833</x:v>
      </x:c>
      <x:c r="J1576" s="70" t="n">
        <x:v>205</x:v>
      </x:c>
      <x:c r="K1576" s="70" t="s">
        <x:v>2164</x:v>
      </x:c>
      <x:c r="L1576" s="70"/>
      <x:c r="M1576" s="70" t="s">
        <x:v>39</x:v>
      </x:c>
      <x:c r="N1576" s="71" t="n">
        <x:v>-122</x:v>
      </x:c>
      <x:c r="O1576" s="72" t="n">
        <x:f aca="0">N1576/1000</x:f>
        <x:v>-0.122</x:v>
      </x:c>
      <x:c r="P1576" s="73" t="n">
        <x:f aca="0">MLCF!G124</x:f>
        <x:v>-0.122</x:v>
      </x:c>
      <x:c r="Q1576" s="70" t="str">
        <x:f aca="0">IF(ABS(O1576-P1576)&lt;0.000001,"PASS","FAIL")</x:f>
        <x:v>PASS</x:v>
      </x:c>
      <x:c r="R1576" s="70" t="s">
        <x:v>33</x:v>
      </x:c>
      <x:c r="S1576" s="70"/>
    </x:row>
    <x:row r="1577" ht="15" hidden="0">
      <x:c r="A1577" s="70" t="s">
        <x:v>2588</x:v>
      </x:c>
      <x:c r="B1577" s="70" t="s">
        <x:v>41</x:v>
      </x:c>
      <x:c r="C1577" s="70" t="s">
        <x:v>105</x:v>
      </x:c>
      <x:c r="D1577" s="70" t="s">
        <x:v>301</x:v>
      </x:c>
      <x:c r="E1577" s="70" t="s">
        <x:v>1203</x:v>
      </x:c>
      <x:c r="F1577" s="70" t="s">
        <x:v>1254</x:v>
      </x:c>
      <x:c r="G1577" s="70" t="s">
        <x:v>1310</x:v>
      </x:c>
      <x:c r="H1577" s="70" t="s">
        <x:v>849</x:v>
      </x:c>
      <x:c r="I1577" s="70" t="s">
        <x:v>852</x:v>
      </x:c>
      <x:c r="J1577" s="70" t="n">
        <x:v>205</x:v>
      </x:c>
      <x:c r="K1577" s="70" t="s">
        <x:v>2164</x:v>
      </x:c>
      <x:c r="L1577" s="70"/>
      <x:c r="M1577" s="70" t="s">
        <x:v>39</x:v>
      </x:c>
      <x:c r="N1577" s="71" t="n">
        <x:v>-379</x:v>
      </x:c>
      <x:c r="O1577" s="72" t="n">
        <x:f aca="0">N1577/1000</x:f>
        <x:v>-0.379</x:v>
      </x:c>
      <x:c r="P1577" s="73" t="n">
        <x:f aca="0">MLCF!H124</x:f>
        <x:v>-0.379</x:v>
      </x:c>
      <x:c r="Q1577" s="70" t="str">
        <x:f aca="0">IF(ABS(O1577-P1577)&lt;0.000001,"PASS","FAIL")</x:f>
        <x:v>PASS</x:v>
      </x:c>
      <x:c r="R1577" s="70" t="s">
        <x:v>33</x:v>
      </x:c>
      <x:c r="S1577" s="70"/>
    </x:row>
    <x:row r="1578" ht="15" hidden="0">
      <x:c r="A1578" s="70" t="s">
        <x:v>2589</x:v>
      </x:c>
      <x:c r="B1578" s="70" t="s">
        <x:v>41</x:v>
      </x:c>
      <x:c r="C1578" s="70" t="s">
        <x:v>101</x:v>
      </x:c>
      <x:c r="D1578" s="70" t="s">
        <x:v>304</x:v>
      </x:c>
      <x:c r="E1578" s="70" t="s">
        <x:v>855</x:v>
      </x:c>
      <x:c r="F1578" s="70" t="s">
        <x:v>1260</x:v>
      </x:c>
      <x:c r="G1578" s="70" t="s">
        <x:v>1298</x:v>
      </x:c>
      <x:c r="H1578" s="70" t="s">
        <x:v>832</x:v>
      </x:c>
      <x:c r="I1578" s="70" t="s">
        <x:v>852</x:v>
      </x:c>
      <x:c r="J1578" s="70" t="n">
        <x:v>222</x:v>
      </x:c>
      <x:c r="K1578" s="70" t="s">
        <x:v>2590</x:v>
      </x:c>
      <x:c r="L1578" s="70"/>
      <x:c r="M1578" s="70" t="s">
        <x:v>306</x:v>
      </x:c>
      <x:c r="N1578" s="70" t="n">
        <x:v>10</x:v>
      </x:c>
      <x:c r="O1578" s="70" t="n">
        <x:f aca="0">N1578</x:f>
        <x:v>10</x:v>
      </x:c>
      <x:c r="P1578" s="74" t="n">
        <x:f aca="0">MLCF!D127</x:f>
        <x:v>10</x:v>
      </x:c>
      <x:c r="Q1578" s="70" t="str">
        <x:f aca="0">IF(ABS(O1578-P1578)&lt;0.000001,"PASS","FAIL")</x:f>
        <x:v>PASS</x:v>
      </x:c>
      <x:c r="R1578" s="70" t="s">
        <x:v>33</x:v>
      </x:c>
      <x:c r="S1578" s="70" t="str">
        <x:v>Verified FY-end share basis; see Share Basis and Corporate Actions for source excerpts and normalization. Original source metadata superseded where the basis changed.</x:v>
      </x:c>
    </x:row>
    <x:row r="1579" ht="15" hidden="0">
      <x:c r="A1579" s="70" t="s">
        <x:v>2591</x:v>
      </x:c>
      <x:c r="B1579" s="70" t="s">
        <x:v>41</x:v>
      </x:c>
      <x:c r="C1579" s="70" t="s">
        <x:v>102</x:v>
      </x:c>
      <x:c r="D1579" s="70" t="s">
        <x:v>304</x:v>
      </x:c>
      <x:c r="E1579" s="70" t="s">
        <x:v>855</x:v>
      </x:c>
      <x:c r="F1579" s="70" t="s">
        <x:v>1260</x:v>
      </x:c>
      <x:c r="G1579" s="70" t="s">
        <x:v>1301</x:v>
      </x:c>
      <x:c r="H1579" s="70" t="s">
        <x:v>838</x:v>
      </x:c>
      <x:c r="I1579" s="70" t="s">
        <x:v>852</x:v>
      </x:c>
      <x:c r="J1579" s="70" t="n">
        <x:v>244</x:v>
      </x:c>
      <x:c r="K1579" s="70" t="s">
        <x:v>1317</x:v>
      </x:c>
      <x:c r="L1579" s="70"/>
      <x:c r="M1579" s="70" t="s">
        <x:v>306</x:v>
      </x:c>
      <x:c r="N1579" s="70" t="n">
        <x:v>10</x:v>
      </x:c>
      <x:c r="O1579" s="70" t="n">
        <x:f aca="0">N1579</x:f>
        <x:v>10</x:v>
      </x:c>
      <x:c r="P1579" s="74" t="n">
        <x:f aca="0">MLCF!E127</x:f>
        <x:v>10</x:v>
      </x:c>
      <x:c r="Q1579" s="70" t="str">
        <x:f aca="0">IF(ABS(O1579-P1579)&lt;0.000001,"PASS","FAIL")</x:f>
        <x:v>PASS</x:v>
      </x:c>
      <x:c r="R1579" s="70" t="s">
        <x:v>33</x:v>
      </x:c>
      <x:c r="S1579" s="70" t="str">
        <x:v>Verified FY-end share basis; see Share Basis and Corporate Actions for source excerpts and normalization. Original source metadata superseded where the basis changed.</x:v>
      </x:c>
    </x:row>
    <x:row r="1580" ht="15" hidden="0">
      <x:c r="A1580" s="70" t="s">
        <x:v>2592</x:v>
      </x:c>
      <x:c r="B1580" s="70" t="s">
        <x:v>41</x:v>
      </x:c>
      <x:c r="C1580" s="70" t="s">
        <x:v>103</x:v>
      </x:c>
      <x:c r="D1580" s="70" t="s">
        <x:v>304</x:v>
      </x:c>
      <x:c r="E1580" s="70" t="s">
        <x:v>855</x:v>
      </x:c>
      <x:c r="F1580" s="70" t="s">
        <x:v>1260</x:v>
      </x:c>
      <x:c r="G1580" s="70" t="s">
        <x:v>1307</x:v>
      </x:c>
      <x:c r="H1580" s="70" t="s">
        <x:v>845</x:v>
      </x:c>
      <x:c r="I1580" s="70" t="s">
        <x:v>833</x:v>
      </x:c>
      <x:c r="J1580" s="70" t="n">
        <x:v>251</x:v>
      </x:c>
      <x:c r="K1580" s="70" t="s">
        <x:v>1321</x:v>
      </x:c>
      <x:c r="L1580" s="70"/>
      <x:c r="M1580" s="70" t="s">
        <x:v>306</x:v>
      </x:c>
      <x:c r="N1580" s="70" t="n">
        <x:v>10</x:v>
      </x:c>
      <x:c r="O1580" s="70" t="n">
        <x:f aca="0">N1580</x:f>
        <x:v>10</x:v>
      </x:c>
      <x:c r="P1580" s="74" t="n">
        <x:f aca="0">MLCF!F127</x:f>
        <x:v>10</x:v>
      </x:c>
      <x:c r="Q1580" s="70" t="str">
        <x:f aca="0">IF(ABS(O1580-P1580)&lt;0.000001,"PASS","FAIL")</x:f>
        <x:v>PASS</x:v>
      </x:c>
      <x:c r="R1580" s="70" t="s">
        <x:v>33</x:v>
      </x:c>
      <x:c r="S1580" s="70" t="str">
        <x:v>Verified FY-end share basis; see Share Basis and Corporate Actions for source excerpts and normalization. Original source metadata superseded where the basis changed.</x:v>
      </x:c>
    </x:row>
    <x:row r="1581" ht="15" hidden="0">
      <x:c r="A1581" s="70" t="s">
        <x:v>2593</x:v>
      </x:c>
      <x:c r="B1581" s="70" t="s">
        <x:v>41</x:v>
      </x:c>
      <x:c r="C1581" s="70" t="s">
        <x:v>104</x:v>
      </x:c>
      <x:c r="D1581" s="70" t="s">
        <x:v>304</x:v>
      </x:c>
      <x:c r="E1581" s="70" t="s">
        <x:v>855</x:v>
      </x:c>
      <x:c r="F1581" s="70" t="s">
        <x:v>1260</x:v>
      </x:c>
      <x:c r="G1581" s="70" t="s">
        <x:v>1307</x:v>
      </x:c>
      <x:c r="H1581" s="70" t="s">
        <x:v>845</x:v>
      </x:c>
      <x:c r="I1581" s="70" t="s">
        <x:v>852</x:v>
      </x:c>
      <x:c r="J1581" s="70" t="n">
        <x:v>251</x:v>
      </x:c>
      <x:c r="K1581" s="70" t="s">
        <x:v>1321</x:v>
      </x:c>
      <x:c r="L1581" s="70"/>
      <x:c r="M1581" s="70" t="s">
        <x:v>306</x:v>
      </x:c>
      <x:c r="N1581" s="70" t="n">
        <x:v>10</x:v>
      </x:c>
      <x:c r="O1581" s="70" t="n">
        <x:f aca="0">N1581</x:f>
        <x:v>10</x:v>
      </x:c>
      <x:c r="P1581" s="74" t="n">
        <x:f aca="0">MLCF!G127</x:f>
        <x:v>10</x:v>
      </x:c>
      <x:c r="Q1581" s="70" t="str">
        <x:f aca="0">IF(ABS(O1581-P1581)&lt;0.000001,"PASS","FAIL")</x:f>
        <x:v>PASS</x:v>
      </x:c>
      <x:c r="R1581" s="70" t="s">
        <x:v>33</x:v>
      </x:c>
      <x:c r="S1581" s="70" t="str">
        <x:v>Verified FY-end share basis; see Share Basis and Corporate Actions for source excerpts and normalization. Original source metadata superseded where the basis changed.</x:v>
      </x:c>
    </x:row>
    <x:row r="1582" ht="15" hidden="0">
      <x:c r="A1582" s="70" t="s">
        <x:v>2594</x:v>
      </x:c>
      <x:c r="B1582" s="70" t="s">
        <x:v>41</x:v>
      </x:c>
      <x:c r="C1582" s="70" t="s">
        <x:v>105</x:v>
      </x:c>
      <x:c r="D1582" s="70" t="s">
        <x:v>304</x:v>
      </x:c>
      <x:c r="E1582" s="70" t="s">
        <x:v>855</x:v>
      </x:c>
      <x:c r="F1582" s="70" t="s">
        <x:v>1260</x:v>
      </x:c>
      <x:c r="G1582" s="70" t="s">
        <x:v>1310</x:v>
      </x:c>
      <x:c r="H1582" s="70" t="s">
        <x:v>849</x:v>
      </x:c>
      <x:c r="I1582" s="70" t="s">
        <x:v>852</x:v>
      </x:c>
      <x:c r="J1582" s="70" t="n">
        <x:v>267</x:v>
      </x:c>
      <x:c r="K1582" s="70" t="s">
        <x:v>2595</x:v>
      </x:c>
      <x:c r="L1582" s="70"/>
      <x:c r="M1582" s="70" t="s">
        <x:v>306</x:v>
      </x:c>
      <x:c r="N1582" s="70" t="n">
        <x:v>10</x:v>
      </x:c>
      <x:c r="O1582" s="70" t="n">
        <x:f aca="0">N1582</x:f>
        <x:v>10</x:v>
      </x:c>
      <x:c r="P1582" s="74" t="n">
        <x:f aca="0">MLCF!H127</x:f>
        <x:v>10</x:v>
      </x:c>
      <x:c r="Q1582" s="70" t="str">
        <x:f aca="0">IF(ABS(O1582-P1582)&lt;0.000001,"PASS","FAIL")</x:f>
        <x:v>PASS</x:v>
      </x:c>
      <x:c r="R1582" s="70" t="s">
        <x:v>33</x:v>
      </x:c>
      <x:c r="S1582" s="70" t="str">
        <x:v>Verified FY-end share basis; see Share Basis and Corporate Actions for source excerpts and normalization. Original source metadata superseded where the basis changed.</x:v>
      </x:c>
    </x:row>
    <x:row r="1583" ht="15" hidden="0">
      <x:c r="A1583" s="70" t="s">
        <x:v>2596</x:v>
      </x:c>
      <x:c r="B1583" s="70" t="s">
        <x:v>41</x:v>
      </x:c>
      <x:c r="C1583" s="70" t="s">
        <x:v>101</x:v>
      </x:c>
      <x:c r="D1583" s="70" t="s">
        <x:v>310</x:v>
      </x:c>
      <x:c r="E1583" s="70" t="s">
        <x:v>855</x:v>
      </x:c>
      <x:c r="F1583" s="70" t="s">
        <x:v>1267</x:v>
      </x:c>
      <x:c r="G1583" s="70" t="str">
        <x:v>2021.pdf</x:v>
      </x:c>
      <x:c r="H1583" s="70" t="s">
        <x:v>832</x:v>
      </x:c>
      <x:c r="I1583" s="70" t="s">
        <x:v>852</x:v>
      </x:c>
      <x:c r="J1583" s="70" t="n">
        <x:v>222</x:v>
      </x:c>
      <x:c r="K1583" s="70" t="s">
        <x:v>2590</x:v>
      </x:c>
      <x:c r="L1583" s="70"/>
      <x:c r="M1583" s="70" t="s">
        <x:v>309</x:v>
      </x:c>
      <x:c r="N1583" s="70" t="n">
        <x:v>1098.346</x:v>
      </x:c>
      <x:c r="O1583" s="70" t="n">
        <x:f aca="0">N1583</x:f>
        <x:v>1098.346</x:v>
      </x:c>
      <x:c r="P1583" s="72" t="n">
        <x:f aca="0">MLCF!D129</x:f>
        <x:v>1098.346</x:v>
      </x:c>
      <x:c r="Q1583" s="70" t="str">
        <x:f aca="0">IF(ABS(O1583-P1583)&lt;0.000001,"PASS","FAIL")</x:f>
        <x:v>PASS</x:v>
      </x:c>
      <x:c r="R1583" s="70" t="s">
        <x:v>33</x:v>
      </x:c>
      <x:c r="S1583" s="70" t="str">
        <x:v>Verified FY-end share basis; see Share Basis and Corporate Actions for source excerpts and normalization. Original source metadata superseded where the basis changed.</x:v>
      </x:c>
    </x:row>
    <x:row r="1584" ht="15" hidden="0">
      <x:c r="A1584" s="70" t="s">
        <x:v>2597</x:v>
      </x:c>
      <x:c r="B1584" s="70" t="s">
        <x:v>41</x:v>
      </x:c>
      <x:c r="C1584" s="70" t="s">
        <x:v>102</x:v>
      </x:c>
      <x:c r="D1584" s="70" t="s">
        <x:v>310</x:v>
      </x:c>
      <x:c r="E1584" s="70" t="s">
        <x:v>855</x:v>
      </x:c>
      <x:c r="F1584" s="70" t="s">
        <x:v>1267</x:v>
      </x:c>
      <x:c r="G1584" s="70" t="str">
        <x:v>2022.pdf</x:v>
      </x:c>
      <x:c r="H1584" s="70" t="s">
        <x:v>838</x:v>
      </x:c>
      <x:c r="I1584" s="70" t="s">
        <x:v>852</x:v>
      </x:c>
      <x:c r="J1584" s="70" t="n">
        <x:v>244</x:v>
      </x:c>
      <x:c r="K1584" s="70" t="s">
        <x:v>1317</x:v>
      </x:c>
      <x:c r="L1584" s="70"/>
      <x:c r="M1584" s="70" t="s">
        <x:v>309</x:v>
      </x:c>
      <x:c r="N1584" s="70" t="n">
        <x:v>1097.524</x:v>
      </x:c>
      <x:c r="O1584" s="70" t="n">
        <x:f aca="0">N1584</x:f>
        <x:v>1097.524</x:v>
      </x:c>
      <x:c r="P1584" s="72" t="n">
        <x:f aca="0">MLCF!E129</x:f>
        <x:v>1097.524</x:v>
      </x:c>
      <x:c r="Q1584" s="70" t="str">
        <x:f aca="0">IF(ABS(O1584-P1584)&lt;0.000001,"PASS","FAIL")</x:f>
        <x:v>PASS</x:v>
      </x:c>
      <x:c r="R1584" s="70" t="s">
        <x:v>33</x:v>
      </x:c>
      <x:c r="S1584" s="70" t="str">
        <x:v>Verified FY-end share basis; see Share Basis and Corporate Actions for source excerpts and normalization. Original source metadata superseded where the basis changed.</x:v>
      </x:c>
    </x:row>
    <x:row r="1585" ht="15" hidden="0">
      <x:c r="A1585" s="70" t="s">
        <x:v>2598</x:v>
      </x:c>
      <x:c r="B1585" s="70" t="s">
        <x:v>41</x:v>
      </x:c>
      <x:c r="C1585" s="70" t="s">
        <x:v>103</x:v>
      </x:c>
      <x:c r="D1585" s="70" t="s">
        <x:v>310</x:v>
      </x:c>
      <x:c r="E1585" s="70" t="s">
        <x:v>855</x:v>
      </x:c>
      <x:c r="F1585" s="70" t="s">
        <x:v>1267</x:v>
      </x:c>
      <x:c r="G1585" s="70" t="str">
        <x:v>2023.pdf</x:v>
      </x:c>
      <x:c r="H1585" s="70" t="s">
        <x:v>845</x:v>
      </x:c>
      <x:c r="I1585" s="70" t="s">
        <x:v>833</x:v>
      </x:c>
      <x:c r="J1585" s="70" t="n">
        <x:v>129</x:v>
      </x:c>
      <x:c r="K1585" s="70" t="s">
        <x:v>1321</x:v>
      </x:c>
      <x:c r="L1585" s="70"/>
      <x:c r="M1585" s="70" t="s">
        <x:v>309</x:v>
      </x:c>
      <x:c r="N1585" s="70" t="n">
        <x:v>1073.405</x:v>
      </x:c>
      <x:c r="O1585" s="70" t="n">
        <x:f aca="0">N1585</x:f>
        <x:v>1073.405</x:v>
      </x:c>
      <x:c r="P1585" s="72" t="n">
        <x:f aca="0">MLCF!F129</x:f>
        <x:v>1073.405</x:v>
      </x:c>
      <x:c r="Q1585" s="70" t="str">
        <x:f aca="0">IF(ABS(O1585-P1585)&lt;0.000001,"PASS","FAIL")</x:f>
        <x:v>PASS</x:v>
      </x:c>
      <x:c r="R1585" s="70" t="s">
        <x:v>33</x:v>
      </x:c>
      <x:c r="S1585" s="70" t="str">
        <x:v>Verified FY-end share basis; see Share Basis and Corporate Actions for source excerpts and normalization. Original source metadata superseded where the basis changed.</x:v>
      </x:c>
    </x:row>
    <x:row r="1586" ht="15" hidden="0">
      <x:c r="A1586" s="70" t="s">
        <x:v>2599</x:v>
      </x:c>
      <x:c r="B1586" s="70" t="s">
        <x:v>41</x:v>
      </x:c>
      <x:c r="C1586" s="70" t="s">
        <x:v>104</x:v>
      </x:c>
      <x:c r="D1586" s="70" t="s">
        <x:v>310</x:v>
      </x:c>
      <x:c r="E1586" s="70" t="s">
        <x:v>855</x:v>
      </x:c>
      <x:c r="F1586" s="70" t="s">
        <x:v>1267</x:v>
      </x:c>
      <x:c r="G1586" s="70" t="str">
        <x:v>2024.pdf</x:v>
      </x:c>
      <x:c r="H1586" s="70" t="s">
        <x:v>845</x:v>
      </x:c>
      <x:c r="I1586" s="70" t="s">
        <x:v>852</x:v>
      </x:c>
      <x:c r="J1586" s="70" t="n">
        <x:v>251</x:v>
      </x:c>
      <x:c r="K1586" s="70" t="s">
        <x:v>1321</x:v>
      </x:c>
      <x:c r="L1586" s="70"/>
      <x:c r="M1586" s="70" t="s">
        <x:v>309</x:v>
      </x:c>
      <x:c r="N1586" s="70" t="n">
        <x:v>1058.911</x:v>
      </x:c>
      <x:c r="O1586" s="70" t="n">
        <x:f aca="0">N1586</x:f>
        <x:v>1058.911</x:v>
      </x:c>
      <x:c r="P1586" s="72" t="n">
        <x:f aca="0">MLCF!G129</x:f>
        <x:v>1058.911</x:v>
      </x:c>
      <x:c r="Q1586" s="70" t="str">
        <x:f aca="0">IF(ABS(O1586-P1586)&lt;0.000001,"PASS","FAIL")</x:f>
        <x:v>PASS</x:v>
      </x:c>
      <x:c r="R1586" s="70" t="s">
        <x:v>33</x:v>
      </x:c>
      <x:c r="S1586" s="70" t="str">
        <x:v>Verified FY-end share basis; see Share Basis and Corporate Actions for source excerpts and normalization. Original source metadata superseded where the basis changed.</x:v>
      </x:c>
    </x:row>
    <x:row r="1587" ht="15" hidden="0">
      <x:c r="A1587" s="70" t="s">
        <x:v>2600</x:v>
      </x:c>
      <x:c r="B1587" s="70" t="s">
        <x:v>41</x:v>
      </x:c>
      <x:c r="C1587" s="70" t="s">
        <x:v>105</x:v>
      </x:c>
      <x:c r="D1587" s="70" t="s">
        <x:v>310</x:v>
      </x:c>
      <x:c r="E1587" s="70" t="s">
        <x:v>855</x:v>
      </x:c>
      <x:c r="F1587" s="70" t="s">
        <x:v>1267</x:v>
      </x:c>
      <x:c r="G1587" s="70" t="str">
        <x:v>2025.pdf</x:v>
      </x:c>
      <x:c r="H1587" s="70" t="s">
        <x:v>849</x:v>
      </x:c>
      <x:c r="I1587" s="70" t="s">
        <x:v>852</x:v>
      </x:c>
      <x:c r="J1587" s="70" t="n">
        <x:v>267</x:v>
      </x:c>
      <x:c r="K1587" s="70" t="s">
        <x:v>2595</x:v>
      </x:c>
      <x:c r="L1587" s="70"/>
      <x:c r="M1587" s="70" t="s">
        <x:v>309</x:v>
      </x:c>
      <x:c r="N1587" s="70" t="n">
        <x:v>1047.563</x:v>
      </x:c>
      <x:c r="O1587" s="70" t="n">
        <x:f aca="0">N1587</x:f>
        <x:v>1047.563</x:v>
      </x:c>
      <x:c r="P1587" s="72" t="n">
        <x:f aca="0">MLCF!H129</x:f>
        <x:v>1047.563</x:v>
      </x:c>
      <x:c r="Q1587" s="70" t="str">
        <x:f aca="0">IF(ABS(O1587-P1587)&lt;0.000001,"PASS","FAIL")</x:f>
        <x:v>PASS</x:v>
      </x:c>
      <x:c r="R1587" s="70" t="s">
        <x:v>33</x:v>
      </x:c>
      <x:c r="S1587" s="70" t="str">
        <x:v>Verified FY-end share basis; see Share Basis and Corporate Actions for source excerpts and normalization. Original source metadata superseded where the basis changed.</x:v>
      </x:c>
    </x:row>
    <x:row r="1588" ht="15" hidden="0">
      <x:c r="A1588" s="70" t="s">
        <x:v>2601</x:v>
      </x:c>
      <x:c r="B1588" s="70" t="s">
        <x:v>41</x:v>
      </x:c>
      <x:c r="C1588" s="70" t="s">
        <x:v>101</x:v>
      </x:c>
      <x:c r="D1588" s="70" t="str">
        <x:v>Actual FY-end closing price (Rs; unadjusted)</x:v>
      </x:c>
      <x:c r="E1588" s="70" t="s">
        <x:v>855</x:v>
      </x:c>
      <x:c r="F1588" s="70" t="str">
        <x:v>Official PSX historical CLOSE column</x:v>
      </x:c>
      <x:c r="G1588" s="70" t="str">
        <x:v>PSX historical response; hash and raw row on Price Evidence</x:v>
      </x:c>
      <x:c r="H1588" s="70" t="str">
        <x:v>https://dps.psx.com.pk/historical</x:v>
      </x:c>
      <x:c r="I1588" s="70" t="str">
        <x:v>POST date=2021-06-30</x:v>
      </x:c>
      <x:c r="J1588" s="70"/>
      <x:c r="K1588" s="70"/>
      <x:c r="L1588" s="70"/>
      <x:c r="M1588" s="70" t="s">
        <x:v>306</x:v>
      </x:c>
      <x:c r="N1588" s="70" t="n">
        <x:v>46.98</x:v>
      </x:c>
      <x:c r="O1588" s="70" t="n">
        <x:f aca="0">N1588</x:f>
        <x:v>46.98</x:v>
      </x:c>
      <x:c r="P1588" s="74" t="n">
        <x:f aca="0">MLCF!D130</x:f>
        <x:v>46.98</x:v>
      </x:c>
      <x:c r="Q1588" s="70" t="str">
        <x:f aca="0">IF(ABS(O1588-P1588)&lt;0.000001,"PASS","FAIL")</x:f>
        <x:v>PASS</x:v>
      </x:c>
      <x:c r="R1588" s="70" t="s">
        <x:v>33</x:v>
      </x:c>
      <x:c r="S1588" s="70" t="str">
        <x:v>Unadjusted traded close. No split factor applied to PSX price. Original report figure and date evidence preserved on PSX Prices / Price Evidence.</x:v>
      </x:c>
    </x:row>
    <x:row r="1589" ht="15" hidden="0">
      <x:c r="A1589" s="70" t="s">
        <x:v>2602</x:v>
      </x:c>
      <x:c r="B1589" s="70" t="s">
        <x:v>41</x:v>
      </x:c>
      <x:c r="C1589" s="70" t="s">
        <x:v>102</x:v>
      </x:c>
      <x:c r="D1589" s="70" t="str">
        <x:v>Actual FY-end closing price (Rs; unadjusted)</x:v>
      </x:c>
      <x:c r="E1589" s="70" t="s">
        <x:v>855</x:v>
      </x:c>
      <x:c r="F1589" s="70" t="str">
        <x:v>Official PSX historical CLOSE column</x:v>
      </x:c>
      <x:c r="G1589" s="70" t="str">
        <x:v>PSX historical response; hash and raw row on Price Evidence</x:v>
      </x:c>
      <x:c r="H1589" s="70" t="str">
        <x:v>https://dps.psx.com.pk/historical</x:v>
      </x:c>
      <x:c r="I1589" s="70" t="str">
        <x:v>POST date=2022-06-30</x:v>
      </x:c>
      <x:c r="J1589" s="70"/>
      <x:c r="K1589" s="70"/>
      <x:c r="L1589" s="70"/>
      <x:c r="M1589" s="70" t="s">
        <x:v>306</x:v>
      </x:c>
      <x:c r="N1589" s="70" t="n">
        <x:v>27.35</x:v>
      </x:c>
      <x:c r="O1589" s="70" t="n">
        <x:f aca="0">N1589</x:f>
        <x:v>27.35</x:v>
      </x:c>
      <x:c r="P1589" s="74" t="n">
        <x:f aca="0">MLCF!E130</x:f>
        <x:v>27.35</x:v>
      </x:c>
      <x:c r="Q1589" s="70" t="str">
        <x:f aca="0">IF(ABS(O1589-P1589)&lt;0.000001,"PASS","FAIL")</x:f>
        <x:v>PASS</x:v>
      </x:c>
      <x:c r="R1589" s="70" t="s">
        <x:v>33</x:v>
      </x:c>
      <x:c r="S1589" s="70" t="str">
        <x:v>Unadjusted traded close. No split factor applied to PSX price. Original report figure and date evidence preserved on PSX Prices / Price Evidence.</x:v>
      </x:c>
    </x:row>
    <x:row r="1590" ht="15" hidden="0">
      <x:c r="A1590" s="70" t="s">
        <x:v>2603</x:v>
      </x:c>
      <x:c r="B1590" s="70" t="s">
        <x:v>41</x:v>
      </x:c>
      <x:c r="C1590" s="70" t="s">
        <x:v>103</x:v>
      </x:c>
      <x:c r="D1590" s="70" t="str">
        <x:v>Actual FY-end closing price (Rs; unadjusted)</x:v>
      </x:c>
      <x:c r="E1590" s="70" t="s">
        <x:v>855</x:v>
      </x:c>
      <x:c r="F1590" s="70" t="str">
        <x:v>Official PSX historical CLOSE column</x:v>
      </x:c>
      <x:c r="G1590" s="70" t="str">
        <x:v>PSX historical response; hash and raw row on Price Evidence</x:v>
      </x:c>
      <x:c r="H1590" s="70" t="str">
        <x:v>https://dps.psx.com.pk/historical</x:v>
      </x:c>
      <x:c r="I1590" s="70" t="str">
        <x:v>POST date=2023-06-27</x:v>
      </x:c>
      <x:c r="J1590" s="70"/>
      <x:c r="K1590" s="70"/>
      <x:c r="L1590" s="70"/>
      <x:c r="M1590" s="70" t="s">
        <x:v>306</x:v>
      </x:c>
      <x:c r="N1590" s="70" t="n">
        <x:v>28.33</x:v>
      </x:c>
      <x:c r="O1590" s="70" t="n">
        <x:f aca="0">N1590</x:f>
        <x:v>28.33</x:v>
      </x:c>
      <x:c r="P1590" s="74" t="n">
        <x:f aca="0">MLCF!F130</x:f>
        <x:v>28.33</x:v>
      </x:c>
      <x:c r="Q1590" s="70" t="str">
        <x:f aca="0">IF(ABS(O1590-P1590)&lt;0.000001,"PASS","FAIL")</x:f>
        <x:v>PASS</x:v>
      </x:c>
      <x:c r="R1590" s="70" t="s">
        <x:v>33</x:v>
      </x:c>
      <x:c r="S1590" s="70" t="str">
        <x:v>Unadjusted traded close. No split factor applied to PSX price. Original report figure and date evidence preserved on PSX Prices / Price Evidence.</x:v>
      </x:c>
    </x:row>
    <x:row r="1591" ht="15" hidden="0">
      <x:c r="A1591" s="70" t="s">
        <x:v>2604</x:v>
      </x:c>
      <x:c r="B1591" s="70" t="s">
        <x:v>41</x:v>
      </x:c>
      <x:c r="C1591" s="70" t="s">
        <x:v>104</x:v>
      </x:c>
      <x:c r="D1591" s="70" t="str">
        <x:v>Actual FY-end closing price (Rs; unadjusted)</x:v>
      </x:c>
      <x:c r="E1591" s="70" t="s">
        <x:v>855</x:v>
      </x:c>
      <x:c r="F1591" s="70" t="str">
        <x:v>Official PSX historical CLOSE column</x:v>
      </x:c>
      <x:c r="G1591" s="70" t="str">
        <x:v>PSX historical response; hash and raw row on Price Evidence</x:v>
      </x:c>
      <x:c r="H1591" s="70" t="str">
        <x:v>https://dps.psx.com.pk/historical</x:v>
      </x:c>
      <x:c r="I1591" s="70" t="str">
        <x:v>POST date=2024-06-28</x:v>
      </x:c>
      <x:c r="J1591" s="70"/>
      <x:c r="K1591" s="70"/>
      <x:c r="L1591" s="70"/>
      <x:c r="M1591" s="70" t="s">
        <x:v>306</x:v>
      </x:c>
      <x:c r="N1591" s="70" t="n">
        <x:v>38</x:v>
      </x:c>
      <x:c r="O1591" s="70" t="n">
        <x:f aca="0">N1591</x:f>
        <x:v>38</x:v>
      </x:c>
      <x:c r="P1591" s="74" t="n">
        <x:f aca="0">MLCF!G130</x:f>
        <x:v>38</x:v>
      </x:c>
      <x:c r="Q1591" s="70" t="str">
        <x:f aca="0">IF(ABS(O1591-P1591)&lt;0.000001,"PASS","FAIL")</x:f>
        <x:v>PASS</x:v>
      </x:c>
      <x:c r="R1591" s="70" t="s">
        <x:v>33</x:v>
      </x:c>
      <x:c r="S1591" s="70" t="str">
        <x:v>Unadjusted traded close. No split factor applied to PSX price. Original report figure and date evidence preserved on PSX Prices / Price Evidence.</x:v>
      </x:c>
    </x:row>
    <x:row r="1592" ht="15" hidden="0">
      <x:c r="A1592" s="70" t="s">
        <x:v>2605</x:v>
      </x:c>
      <x:c r="B1592" s="70" t="s">
        <x:v>41</x:v>
      </x:c>
      <x:c r="C1592" s="70" t="s">
        <x:v>105</x:v>
      </x:c>
      <x:c r="D1592" s="70" t="str">
        <x:v>Actual FY-end closing price (Rs; unadjusted)</x:v>
      </x:c>
      <x:c r="E1592" s="70" t="s">
        <x:v>855</x:v>
      </x:c>
      <x:c r="F1592" s="70" t="str">
        <x:v>Official PSX historical CLOSE column</x:v>
      </x:c>
      <x:c r="G1592" s="70" t="str">
        <x:v>PSX historical response; hash and raw row on Price Evidence</x:v>
      </x:c>
      <x:c r="H1592" s="70" t="str">
        <x:v>https://dps.psx.com.pk/historical</x:v>
      </x:c>
      <x:c r="I1592" s="70" t="str">
        <x:v>POST date=2025-06-30</x:v>
      </x:c>
      <x:c r="J1592" s="70"/>
      <x:c r="K1592" s="70"/>
      <x:c r="L1592" s="70"/>
      <x:c r="M1592" s="70" t="s">
        <x:v>306</x:v>
      </x:c>
      <x:c r="N1592" s="70" t="n">
        <x:v>84.28</x:v>
      </x:c>
      <x:c r="O1592" s="70" t="n">
        <x:f aca="0">N1592</x:f>
        <x:v>84.28</x:v>
      </x:c>
      <x:c r="P1592" s="74" t="n">
        <x:f aca="0">MLCF!H130</x:f>
        <x:v>84.28</x:v>
      </x:c>
      <x:c r="Q1592" s="70" t="str">
        <x:f aca="0">IF(ABS(O1592-P1592)&lt;0.000001,"PASS","FAIL")</x:f>
        <x:v>PASS</x:v>
      </x:c>
      <x:c r="R1592" s="70" t="s">
        <x:v>33</x:v>
      </x:c>
      <x:c r="S1592" s="70" t="str">
        <x:v>Unadjusted traded close. No split factor applied to PSX price. Original report figure and date evidence preserved on PSX Prices / Price Evidence.</x:v>
      </x:c>
    </x:row>
    <x:row r="1593" ht="15" hidden="0">
      <x:c r="A1593" s="70" t="s">
        <x:v>2606</x:v>
      </x:c>
      <x:c r="B1593" s="70" t="s">
        <x:v>41</x:v>
      </x:c>
      <x:c r="C1593" s="70" t="s">
        <x:v>101</x:v>
      </x:c>
      <x:c r="D1593" s="70" t="s">
        <x:v>313</x:v>
      </x:c>
      <x:c r="E1593" s="70" t="s">
        <x:v>855</x:v>
      </x:c>
      <x:c r="F1593" s="70" t="s">
        <x:v>1278</x:v>
      </x:c>
      <x:c r="G1593" s="70" t="s">
        <x:v>1310</x:v>
      </x:c>
      <x:c r="H1593" s="70" t="s">
        <x:v>849</x:v>
      </x:c>
      <x:c r="I1593" s="70" t="s">
        <x:v>833</x:v>
      </x:c>
      <x:c r="J1593" s="70" t="n">
        <x:v>175</x:v>
      </x:c>
      <x:c r="K1593" s="70" t="s">
        <x:v>2607</x:v>
      </x:c>
      <x:c r="L1593" s="70"/>
      <x:c r="M1593" s="70" t="s">
        <x:v>306</x:v>
      </x:c>
      <x:c r="N1593" s="70" t="n">
        <x:v>0</x:v>
      </x:c>
      <x:c r="O1593" s="70" t="n">
        <x:f aca="0">N1593</x:f>
        <x:v>0</x:v>
      </x:c>
      <x:c r="P1593" s="74" t="n">
        <x:f aca="0">MLCF!D131</x:f>
        <x:v>0</x:v>
      </x:c>
      <x:c r="Q1593" s="70" t="str">
        <x:f aca="0">IF(ABS(O1593-P1593)&lt;0.000001,"PASS","FAIL")</x:f>
        <x:v>PASS</x:v>
      </x:c>
      <x:c r="R1593" s="70" t="s">
        <x:v>33</x:v>
      </x:c>
      <x:c r="S1593" s="70" t="str">
        <x:v>Verified FY-end share basis; see Share Basis and Corporate Actions for source excerpts and normalization. Original source metadata superseded where the basis changed.</x:v>
      </x:c>
    </x:row>
    <x:row r="1594" ht="15" hidden="0">
      <x:c r="A1594" s="70" t="s">
        <x:v>2608</x:v>
      </x:c>
      <x:c r="B1594" s="70" t="s">
        <x:v>41</x:v>
      </x:c>
      <x:c r="C1594" s="70" t="s">
        <x:v>102</x:v>
      </x:c>
      <x:c r="D1594" s="70" t="s">
        <x:v>313</x:v>
      </x:c>
      <x:c r="E1594" s="70" t="s">
        <x:v>855</x:v>
      </x:c>
      <x:c r="F1594" s="70" t="s">
        <x:v>1278</x:v>
      </x:c>
      <x:c r="G1594" s="70" t="s">
        <x:v>1310</x:v>
      </x:c>
      <x:c r="H1594" s="70" t="s">
        <x:v>849</x:v>
      </x:c>
      <x:c r="I1594" s="70" t="s">
        <x:v>833</x:v>
      </x:c>
      <x:c r="J1594" s="70" t="n">
        <x:v>175</x:v>
      </x:c>
      <x:c r="K1594" s="70" t="s">
        <x:v>2607</x:v>
      </x:c>
      <x:c r="L1594" s="70"/>
      <x:c r="M1594" s="70" t="s">
        <x:v>306</x:v>
      </x:c>
      <x:c r="N1594" s="70" t="n">
        <x:v>0</x:v>
      </x:c>
      <x:c r="O1594" s="70" t="n">
        <x:f aca="0">N1594</x:f>
        <x:v>0</x:v>
      </x:c>
      <x:c r="P1594" s="74" t="n">
        <x:f aca="0">MLCF!E131</x:f>
        <x:v>0</x:v>
      </x:c>
      <x:c r="Q1594" s="70" t="str">
        <x:f aca="0">IF(ABS(O1594-P1594)&lt;0.000001,"PASS","FAIL")</x:f>
        <x:v>PASS</x:v>
      </x:c>
      <x:c r="R1594" s="70" t="s">
        <x:v>33</x:v>
      </x:c>
      <x:c r="S1594" s="70" t="str">
        <x:v>Verified FY-end share basis; see Share Basis and Corporate Actions for source excerpts and normalization. Original source metadata superseded where the basis changed.</x:v>
      </x:c>
    </x:row>
    <x:row r="1595" ht="15" hidden="0">
      <x:c r="A1595" s="70" t="s">
        <x:v>2609</x:v>
      </x:c>
      <x:c r="B1595" s="70" t="s">
        <x:v>41</x:v>
      </x:c>
      <x:c r="C1595" s="70" t="s">
        <x:v>103</x:v>
      </x:c>
      <x:c r="D1595" s="70" t="s">
        <x:v>313</x:v>
      </x:c>
      <x:c r="E1595" s="70" t="s">
        <x:v>855</x:v>
      </x:c>
      <x:c r="F1595" s="70" t="s">
        <x:v>1278</x:v>
      </x:c>
      <x:c r="G1595" s="70" t="s">
        <x:v>1310</x:v>
      </x:c>
      <x:c r="H1595" s="70" t="s">
        <x:v>849</x:v>
      </x:c>
      <x:c r="I1595" s="70" t="s">
        <x:v>833</x:v>
      </x:c>
      <x:c r="J1595" s="70" t="n">
        <x:v>175</x:v>
      </x:c>
      <x:c r="K1595" s="70" t="s">
        <x:v>2607</x:v>
      </x:c>
      <x:c r="L1595" s="70"/>
      <x:c r="M1595" s="70" t="s">
        <x:v>306</x:v>
      </x:c>
      <x:c r="N1595" s="70" t="n">
        <x:v>0</x:v>
      </x:c>
      <x:c r="O1595" s="70" t="n">
        <x:f aca="0">N1595</x:f>
        <x:v>0</x:v>
      </x:c>
      <x:c r="P1595" s="74" t="n">
        <x:f aca="0">MLCF!F131</x:f>
        <x:v>0</x:v>
      </x:c>
      <x:c r="Q1595" s="70" t="str">
        <x:f aca="0">IF(ABS(O1595-P1595)&lt;0.000001,"PASS","FAIL")</x:f>
        <x:v>PASS</x:v>
      </x:c>
      <x:c r="R1595" s="70" t="s">
        <x:v>33</x:v>
      </x:c>
      <x:c r="S1595" s="70" t="str">
        <x:v>Verified FY-end share basis; see Share Basis and Corporate Actions for source excerpts and normalization. Original source metadata superseded where the basis changed.</x:v>
      </x:c>
    </x:row>
    <x:row r="1596" ht="15" hidden="0">
      <x:c r="A1596" s="70" t="s">
        <x:v>2610</x:v>
      </x:c>
      <x:c r="B1596" s="70" t="s">
        <x:v>41</x:v>
      </x:c>
      <x:c r="C1596" s="70" t="s">
        <x:v>104</x:v>
      </x:c>
      <x:c r="D1596" s="70" t="s">
        <x:v>313</x:v>
      </x:c>
      <x:c r="E1596" s="70" t="s">
        <x:v>855</x:v>
      </x:c>
      <x:c r="F1596" s="70" t="s">
        <x:v>1278</x:v>
      </x:c>
      <x:c r="G1596" s="70" t="s">
        <x:v>1310</x:v>
      </x:c>
      <x:c r="H1596" s="70" t="s">
        <x:v>849</x:v>
      </x:c>
      <x:c r="I1596" s="70" t="s">
        <x:v>833</x:v>
      </x:c>
      <x:c r="J1596" s="70" t="n">
        <x:v>175</x:v>
      </x:c>
      <x:c r="K1596" s="70" t="s">
        <x:v>2607</x:v>
      </x:c>
      <x:c r="L1596" s="70"/>
      <x:c r="M1596" s="70" t="s">
        <x:v>306</x:v>
      </x:c>
      <x:c r="N1596" s="70" t="n">
        <x:v>0</x:v>
      </x:c>
      <x:c r="O1596" s="70" t="n">
        <x:f aca="0">N1596</x:f>
        <x:v>0</x:v>
      </x:c>
      <x:c r="P1596" s="74" t="n">
        <x:f aca="0">MLCF!G131</x:f>
        <x:v>0</x:v>
      </x:c>
      <x:c r="Q1596" s="70" t="str">
        <x:f aca="0">IF(ABS(O1596-P1596)&lt;0.000001,"PASS","FAIL")</x:f>
        <x:v>PASS</x:v>
      </x:c>
      <x:c r="R1596" s="70" t="s">
        <x:v>33</x:v>
      </x:c>
      <x:c r="S1596" s="70" t="str">
        <x:v>Verified FY-end share basis; see Share Basis and Corporate Actions for source excerpts and normalization. Original source metadata superseded where the basis changed.</x:v>
      </x:c>
    </x:row>
    <x:row r="1597" ht="15" hidden="0">
      <x:c r="A1597" s="70" t="s">
        <x:v>2611</x:v>
      </x:c>
      <x:c r="B1597" s="70" t="s">
        <x:v>41</x:v>
      </x:c>
      <x:c r="C1597" s="70" t="s">
        <x:v>105</x:v>
      </x:c>
      <x:c r="D1597" s="70" t="s">
        <x:v>313</x:v>
      </x:c>
      <x:c r="E1597" s="70" t="s">
        <x:v>855</x:v>
      </x:c>
      <x:c r="F1597" s="70" t="s">
        <x:v>1278</x:v>
      </x:c>
      <x:c r="G1597" s="70" t="s">
        <x:v>1310</x:v>
      </x:c>
      <x:c r="H1597" s="70" t="s">
        <x:v>849</x:v>
      </x:c>
      <x:c r="I1597" s="70" t="s">
        <x:v>852</x:v>
      </x:c>
      <x:c r="J1597" s="70" t="n">
        <x:v>175</x:v>
      </x:c>
      <x:c r="K1597" s="70" t="s">
        <x:v>2607</x:v>
      </x:c>
      <x:c r="L1597" s="70"/>
      <x:c r="M1597" s="70" t="s">
        <x:v>306</x:v>
      </x:c>
      <x:c r="N1597" s="70" t="n">
        <x:v>0</x:v>
      </x:c>
      <x:c r="O1597" s="70" t="n">
        <x:f aca="0">N1597</x:f>
        <x:v>0</x:v>
      </x:c>
      <x:c r="P1597" s="74" t="n">
        <x:f aca="0">MLCF!H131</x:f>
        <x:v>0</x:v>
      </x:c>
      <x:c r="Q1597" s="70" t="str">
        <x:f aca="0">IF(ABS(O1597-P1597)&lt;0.000001,"PASS","FAIL")</x:f>
        <x:v>PASS</x:v>
      </x:c>
      <x:c r="R1597" s="70" t="s">
        <x:v>33</x:v>
      </x:c>
      <x:c r="S1597" s="70" t="str">
        <x:v>Verified FY-end share basis; see Share Basis and Corporate Actions for source excerpts and normalization. Original source metadata superseded where the basis changed.</x:v>
      </x:c>
    </x:row>
    <x:row r="1598" ht="15" hidden="0">
      <x:c r="A1598" s="70" t="s">
        <x:v>2612</x:v>
      </x:c>
      <x:c r="B1598" s="70" t="s">
        <x:v>41</x:v>
      </x:c>
      <x:c r="C1598" s="70" t="s">
        <x:v>101</x:v>
      </x:c>
      <x:c r="D1598" s="70" t="s">
        <x:v>1284</x:v>
      </x:c>
      <x:c r="E1598" s="70" t="s">
        <x:v>1106</x:v>
      </x:c>
      <x:c r="F1598" s="70" t="s">
        <x:v>1285</x:v>
      </x:c>
      <x:c r="G1598" s="70" t="str">
        <x:v>2021.pdf</x:v>
      </x:c>
      <x:c r="H1598" s="70" t="s">
        <x:v>832</x:v>
      </x:c>
      <x:c r="I1598" s="70" t="s">
        <x:v>852</x:v>
      </x:c>
      <x:c r="J1598" s="70" t="n">
        <x:v>222</x:v>
      </x:c>
      <x:c r="K1598" s="70" t="s">
        <x:v>2613</x:v>
      </x:c>
      <x:c r="L1598" s="70"/>
      <x:c r="M1598" s="70" t="s">
        <x:v>306</x:v>
      </x:c>
      <x:c r="N1598" s="70" t="n">
        <x:v>5.69</x:v>
      </x:c>
      <x:c r="O1598" s="70" t="n">
        <x:f aca="0">N1598</x:f>
        <x:v>5.69</x:v>
      </x:c>
      <x:c r="P1598" s="74" t="n">
        <x:f aca="0">MLCF!D132</x:f>
        <x:v>5.69</x:v>
      </x:c>
      <x:c r="Q1598" s="70" t="str">
        <x:f aca="0">IF(ABS(O1598-P1598)&lt;0.000001,"PASS","FAIL")</x:f>
        <x:v>PASS</x:v>
      </x:c>
      <x:c r="R1598" s="70" t="s">
        <x:v>33</x:v>
      </x:c>
      <x:c r="S1598" s="70" t="str">
        <x:v>Verified FY-end share basis; see Share Basis and Corporate Actions for source excerpts and normalization. Original source metadata superseded where the basis changed.</x:v>
      </x:c>
    </x:row>
    <x:row r="1599" ht="15" hidden="0">
      <x:c r="A1599" s="70" t="s">
        <x:v>2614</x:v>
      </x:c>
      <x:c r="B1599" s="70" t="s">
        <x:v>41</x:v>
      </x:c>
      <x:c r="C1599" s="70" t="s">
        <x:v>102</x:v>
      </x:c>
      <x:c r="D1599" s="70" t="s">
        <x:v>1284</x:v>
      </x:c>
      <x:c r="E1599" s="70" t="s">
        <x:v>1106</x:v>
      </x:c>
      <x:c r="F1599" s="70" t="s">
        <x:v>1285</x:v>
      </x:c>
      <x:c r="G1599" s="70" t="str">
        <x:v>2022.pdf</x:v>
      </x:c>
      <x:c r="H1599" s="70" t="s">
        <x:v>838</x:v>
      </x:c>
      <x:c r="I1599" s="70" t="s">
        <x:v>852</x:v>
      </x:c>
      <x:c r="J1599" s="70" t="n">
        <x:v>244</x:v>
      </x:c>
      <x:c r="K1599" s="70" t="s">
        <x:v>1761</x:v>
      </x:c>
      <x:c r="L1599" s="70"/>
      <x:c r="M1599" s="70" t="s">
        <x:v>306</x:v>
      </x:c>
      <x:c r="N1599" s="70" t="n">
        <x:v>3.3</x:v>
      </x:c>
      <x:c r="O1599" s="70" t="n">
        <x:f aca="0">N1599</x:f>
        <x:v>3.3</x:v>
      </x:c>
      <x:c r="P1599" s="74" t="n">
        <x:f aca="0">MLCF!E132</x:f>
        <x:v>3.3</x:v>
      </x:c>
      <x:c r="Q1599" s="70" t="str">
        <x:f aca="0">IF(ABS(O1599-P1599)&lt;0.000001,"PASS","FAIL")</x:f>
        <x:v>PASS</x:v>
      </x:c>
      <x:c r="R1599" s="70" t="s">
        <x:v>33</x:v>
      </x:c>
      <x:c r="S1599" s="70" t="str">
        <x:v>Verified FY-end share basis; see Share Basis and Corporate Actions for source excerpts and normalization. Original source metadata superseded where the basis changed.</x:v>
      </x:c>
    </x:row>
    <x:row r="1600" ht="15" hidden="0">
      <x:c r="A1600" s="70" t="s">
        <x:v>2615</x:v>
      </x:c>
      <x:c r="B1600" s="70" t="s">
        <x:v>41</x:v>
      </x:c>
      <x:c r="C1600" s="70" t="s">
        <x:v>103</x:v>
      </x:c>
      <x:c r="D1600" s="70" t="s">
        <x:v>1284</x:v>
      </x:c>
      <x:c r="E1600" s="70" t="s">
        <x:v>1106</x:v>
      </x:c>
      <x:c r="F1600" s="70" t="s">
        <x:v>1285</x:v>
      </x:c>
      <x:c r="G1600" s="70" t="str">
        <x:v>2023.pdf</x:v>
      </x:c>
      <x:c r="H1600" s="70" t="s">
        <x:v>842</x:v>
      </x:c>
      <x:c r="I1600" s="70" t="s">
        <x:v>852</x:v>
      </x:c>
      <x:c r="J1600" s="70" t="n">
        <x:v>129</x:v>
      </x:c>
      <x:c r="K1600" s="70" t="s">
        <x:v>2445</x:v>
      </x:c>
      <x:c r="L1600" s="70"/>
      <x:c r="M1600" s="70" t="s">
        <x:v>306</x:v>
      </x:c>
      <x:c r="N1600" s="70" t="n">
        <x:v>4.18</x:v>
      </x:c>
      <x:c r="O1600" s="70" t="n">
        <x:f aca="0">N1600</x:f>
        <x:v>4.18</x:v>
      </x:c>
      <x:c r="P1600" s="74" t="n">
        <x:f aca="0">MLCF!F132</x:f>
        <x:v>4.18</x:v>
      </x:c>
      <x:c r="Q1600" s="70" t="str">
        <x:f aca="0">IF(ABS(O1600-P1600)&lt;0.000001,"PASS","FAIL")</x:f>
        <x:v>PASS</x:v>
      </x:c>
      <x:c r="R1600" s="70" t="s">
        <x:v>33</x:v>
      </x:c>
      <x:c r="S1600" s="70" t="str">
        <x:v>Verified FY-end share basis; see Share Basis and Corporate Actions for source excerpts and normalization. Original source metadata superseded where the basis changed.</x:v>
      </x:c>
    </x:row>
    <x:row r="1601" ht="15" hidden="0">
      <x:c r="A1601" s="70" t="s">
        <x:v>2616</x:v>
      </x:c>
      <x:c r="B1601" s="70" t="s">
        <x:v>41</x:v>
      </x:c>
      <x:c r="C1601" s="70" t="s">
        <x:v>104</x:v>
      </x:c>
      <x:c r="D1601" s="70" t="s">
        <x:v>1284</x:v>
      </x:c>
      <x:c r="E1601" s="70" t="s">
        <x:v>1106</x:v>
      </x:c>
      <x:c r="F1601" s="70" t="s">
        <x:v>1285</x:v>
      </x:c>
      <x:c r="G1601" s="70" t="str">
        <x:v>2024.pdf</x:v>
      </x:c>
      <x:c r="H1601" s="70" t="s">
        <x:v>845</x:v>
      </x:c>
      <x:c r="I1601" s="70" t="s">
        <x:v>852</x:v>
      </x:c>
      <x:c r="J1601" s="70" t="n">
        <x:v>251</x:v>
      </x:c>
      <x:c r="K1601" s="70" t="s">
        <x:v>2447</x:v>
      </x:c>
      <x:c r="L1601" s="70"/>
      <x:c r="M1601" s="70" t="s">
        <x:v>306</x:v>
      </x:c>
      <x:c r="N1601" s="70" t="n">
        <x:v>4.98</x:v>
      </x:c>
      <x:c r="O1601" s="70" t="n">
        <x:f aca="0">N1601</x:f>
        <x:v>4.98</x:v>
      </x:c>
      <x:c r="P1601" s="74" t="n">
        <x:f aca="0">MLCF!G132</x:f>
        <x:v>4.98</x:v>
      </x:c>
      <x:c r="Q1601" s="70" t="str">
        <x:f aca="0">IF(ABS(O1601-P1601)&lt;0.000001,"PASS","FAIL")</x:f>
        <x:v>PASS</x:v>
      </x:c>
      <x:c r="R1601" s="70" t="s">
        <x:v>33</x:v>
      </x:c>
      <x:c r="S1601" s="70" t="str">
        <x:v>Verified FY-end share basis; see Share Basis and Corporate Actions for source excerpts and normalization. Original source metadata superseded where the basis changed.</x:v>
      </x:c>
    </x:row>
    <x:row r="1602" ht="15" hidden="0">
      <x:c r="A1602" s="70" t="s">
        <x:v>2617</x:v>
      </x:c>
      <x:c r="B1602" s="70" t="s">
        <x:v>41</x:v>
      </x:c>
      <x:c r="C1602" s="70" t="s">
        <x:v>105</x:v>
      </x:c>
      <x:c r="D1602" s="70" t="s">
        <x:v>1284</x:v>
      </x:c>
      <x:c r="E1602" s="70" t="s">
        <x:v>1106</x:v>
      </x:c>
      <x:c r="F1602" s="70" t="s">
        <x:v>1285</x:v>
      </x:c>
      <x:c r="G1602" s="70" t="str">
        <x:v>2025.pdf</x:v>
      </x:c>
      <x:c r="H1602" s="70" t="s">
        <x:v>849</x:v>
      </x:c>
      <x:c r="I1602" s="70" t="s">
        <x:v>852</x:v>
      </x:c>
      <x:c r="J1602" s="70" t="n">
        <x:v>267</x:v>
      </x:c>
      <x:c r="K1602" s="70" t="s">
        <x:v>2449</x:v>
      </x:c>
      <x:c r="L1602" s="70"/>
      <x:c r="M1602" s="70" t="s">
        <x:v>306</x:v>
      </x:c>
      <x:c r="N1602" s="70" t="n">
        <x:v>16.26</x:v>
      </x:c>
      <x:c r="O1602" s="70" t="n">
        <x:f aca="0">N1602</x:f>
        <x:v>16.26</x:v>
      </x:c>
      <x:c r="P1602" s="74" t="n">
        <x:f aca="0">MLCF!H132</x:f>
        <x:v>16.26</x:v>
      </x:c>
      <x:c r="Q1602" s="70" t="str">
        <x:f aca="0">IF(ABS(O1602-P1602)&lt;0.000001,"PASS","FAIL")</x:f>
        <x:v>PASS</x:v>
      </x:c>
      <x:c r="R1602" s="70" t="s">
        <x:v>33</x:v>
      </x:c>
      <x:c r="S1602" s="70" t="str">
        <x:v>Verified FY-end share basis; see Share Basis and Corporate Actions for source excerpts and normalization. Original source metadata superseded where the basis changed.</x:v>
      </x:c>
    </x:row>
    <x:row r="1603" ht="15" hidden="0">
      <x:c r="A1603" s="70" t="s">
        <x:v>2618</x:v>
      </x:c>
      <x:c r="B1603" s="70" t="s">
        <x:v>41</x:v>
      </x:c>
      <x:c r="C1603" s="70" t="s">
        <x:v>101</x:v>
      </x:c>
      <x:c r="D1603" s="70" t="s">
        <x:v>1291</x:v>
      </x:c>
      <x:c r="E1603" s="70" t="s">
        <x:v>855</x:v>
      </x:c>
      <x:c r="F1603" s="70" t="s">
        <x:v>1292</x:v>
      </x:c>
      <x:c r="G1603" s="70" t="s">
        <x:v>1310</x:v>
      </x:c>
      <x:c r="H1603" s="70" t="s">
        <x:v>849</x:v>
      </x:c>
      <x:c r="I1603" s="70" t="s">
        <x:v>833</x:v>
      </x:c>
      <x:c r="J1603" s="70" t="n">
        <x:v>175</x:v>
      </x:c>
      <x:c r="K1603" s="70" t="s">
        <x:v>2607</x:v>
      </x:c>
      <x:c r="L1603" s="70"/>
      <x:c r="M1603" s="70" t="s">
        <x:v>319</x:v>
      </x:c>
      <x:c r="N1603" s="70" t="n">
        <x:v>1</x:v>
      </x:c>
      <x:c r="O1603" s="70" t="n">
        <x:f aca="0">N1603</x:f>
        <x:v>1</x:v>
      </x:c>
      <x:c r="P1603" s="74" t="n">
        <x:f aca="0">MLCF!D134</x:f>
        <x:v>1</x:v>
      </x:c>
      <x:c r="Q1603" s="70" t="str">
        <x:f aca="0">IF(ABS(O1603-P1603)&lt;0.000001,"PASS","FAIL")</x:f>
        <x:v>PASS</x:v>
      </x:c>
      <x:c r="R1603" s="70" t="s">
        <x:v>33</x:v>
      </x:c>
      <x:c r="S1603" s="70" t="str">
        <x:v>Verified FY-end share basis; see Share Basis and Corporate Actions for source excerpts and normalization. Original source metadata superseded where the basis changed.</x:v>
      </x:c>
    </x:row>
    <x:row r="1604" ht="15" hidden="0">
      <x:c r="A1604" s="70" t="s">
        <x:v>2619</x:v>
      </x:c>
      <x:c r="B1604" s="70" t="s">
        <x:v>41</x:v>
      </x:c>
      <x:c r="C1604" s="70" t="s">
        <x:v>102</x:v>
      </x:c>
      <x:c r="D1604" s="70" t="s">
        <x:v>1291</x:v>
      </x:c>
      <x:c r="E1604" s="70" t="s">
        <x:v>855</x:v>
      </x:c>
      <x:c r="F1604" s="70" t="s">
        <x:v>1292</x:v>
      </x:c>
      <x:c r="G1604" s="70" t="s">
        <x:v>1310</x:v>
      </x:c>
      <x:c r="H1604" s="70" t="s">
        <x:v>849</x:v>
      </x:c>
      <x:c r="I1604" s="70" t="s">
        <x:v>833</x:v>
      </x:c>
      <x:c r="J1604" s="70" t="n">
        <x:v>175</x:v>
      </x:c>
      <x:c r="K1604" s="70" t="s">
        <x:v>2607</x:v>
      </x:c>
      <x:c r="L1604" s="70"/>
      <x:c r="M1604" s="70" t="s">
        <x:v>319</x:v>
      </x:c>
      <x:c r="N1604" s="70" t="n">
        <x:v>1</x:v>
      </x:c>
      <x:c r="O1604" s="70" t="n">
        <x:f aca="0">N1604</x:f>
        <x:v>1</x:v>
      </x:c>
      <x:c r="P1604" s="74" t="n">
        <x:f aca="0">MLCF!E134</x:f>
        <x:v>1</x:v>
      </x:c>
      <x:c r="Q1604" s="70" t="str">
        <x:f aca="0">IF(ABS(O1604-P1604)&lt;0.000001,"PASS","FAIL")</x:f>
        <x:v>PASS</x:v>
      </x:c>
      <x:c r="R1604" s="70" t="s">
        <x:v>33</x:v>
      </x:c>
      <x:c r="S1604" s="70" t="str">
        <x:v>Verified FY-end share basis; see Share Basis and Corporate Actions for source excerpts and normalization. Original source metadata superseded where the basis changed.</x:v>
      </x:c>
    </x:row>
    <x:row r="1605" ht="15" hidden="0">
      <x:c r="A1605" s="70" t="s">
        <x:v>2620</x:v>
      </x:c>
      <x:c r="B1605" s="70" t="s">
        <x:v>41</x:v>
      </x:c>
      <x:c r="C1605" s="70" t="s">
        <x:v>103</x:v>
      </x:c>
      <x:c r="D1605" s="70" t="s">
        <x:v>1291</x:v>
      </x:c>
      <x:c r="E1605" s="70" t="s">
        <x:v>855</x:v>
      </x:c>
      <x:c r="F1605" s="70" t="s">
        <x:v>1292</x:v>
      </x:c>
      <x:c r="G1605" s="70" t="s">
        <x:v>1310</x:v>
      </x:c>
      <x:c r="H1605" s="70" t="s">
        <x:v>849</x:v>
      </x:c>
      <x:c r="I1605" s="70" t="s">
        <x:v>833</x:v>
      </x:c>
      <x:c r="J1605" s="70" t="n">
        <x:v>175</x:v>
      </x:c>
      <x:c r="K1605" s="70" t="s">
        <x:v>2607</x:v>
      </x:c>
      <x:c r="L1605" s="70"/>
      <x:c r="M1605" s="70" t="s">
        <x:v>319</x:v>
      </x:c>
      <x:c r="N1605" s="70" t="n">
        <x:v>1</x:v>
      </x:c>
      <x:c r="O1605" s="70" t="n">
        <x:f aca="0">N1605</x:f>
        <x:v>1</x:v>
      </x:c>
      <x:c r="P1605" s="74" t="n">
        <x:f aca="0">MLCF!F134</x:f>
        <x:v>1</x:v>
      </x:c>
      <x:c r="Q1605" s="70" t="str">
        <x:f aca="0">IF(ABS(O1605-P1605)&lt;0.000001,"PASS","FAIL")</x:f>
        <x:v>PASS</x:v>
      </x:c>
      <x:c r="R1605" s="70" t="s">
        <x:v>33</x:v>
      </x:c>
      <x:c r="S1605" s="70" t="str">
        <x:v>Verified FY-end share basis; see Share Basis and Corporate Actions for source excerpts and normalization. Original source metadata superseded where the basis changed.</x:v>
      </x:c>
    </x:row>
    <x:row r="1606" ht="15" hidden="0">
      <x:c r="A1606" s="70" t="s">
        <x:v>2621</x:v>
      </x:c>
      <x:c r="B1606" s="70" t="s">
        <x:v>41</x:v>
      </x:c>
      <x:c r="C1606" s="70" t="s">
        <x:v>104</x:v>
      </x:c>
      <x:c r="D1606" s="70" t="s">
        <x:v>1291</x:v>
      </x:c>
      <x:c r="E1606" s="70" t="s">
        <x:v>855</x:v>
      </x:c>
      <x:c r="F1606" s="70" t="s">
        <x:v>1292</x:v>
      </x:c>
      <x:c r="G1606" s="70" t="s">
        <x:v>1310</x:v>
      </x:c>
      <x:c r="H1606" s="70" t="s">
        <x:v>849</x:v>
      </x:c>
      <x:c r="I1606" s="70" t="s">
        <x:v>833</x:v>
      </x:c>
      <x:c r="J1606" s="70" t="n">
        <x:v>175</x:v>
      </x:c>
      <x:c r="K1606" s="70" t="s">
        <x:v>2607</x:v>
      </x:c>
      <x:c r="L1606" s="70"/>
      <x:c r="M1606" s="70" t="s">
        <x:v>319</x:v>
      </x:c>
      <x:c r="N1606" s="70" t="n">
        <x:v>1</x:v>
      </x:c>
      <x:c r="O1606" s="70" t="n">
        <x:f aca="0">N1606</x:f>
        <x:v>1</x:v>
      </x:c>
      <x:c r="P1606" s="74" t="n">
        <x:f aca="0">MLCF!G134</x:f>
        <x:v>1</x:v>
      </x:c>
      <x:c r="Q1606" s="70" t="str">
        <x:f aca="0">IF(ABS(O1606-P1606)&lt;0.000001,"PASS","FAIL")</x:f>
        <x:v>PASS</x:v>
      </x:c>
      <x:c r="R1606" s="70" t="s">
        <x:v>33</x:v>
      </x:c>
      <x:c r="S1606" s="70" t="str">
        <x:v>Verified FY-end share basis; see Share Basis and Corporate Actions for source excerpts and normalization. Original source metadata superseded where the basis changed.</x:v>
      </x:c>
    </x:row>
    <x:row r="1607" ht="15" hidden="0">
      <x:c r="A1607" s="70" t="s">
        <x:v>2622</x:v>
      </x:c>
      <x:c r="B1607" s="70" t="s">
        <x:v>41</x:v>
      </x:c>
      <x:c r="C1607" s="70" t="s">
        <x:v>105</x:v>
      </x:c>
      <x:c r="D1607" s="70" t="s">
        <x:v>1291</x:v>
      </x:c>
      <x:c r="E1607" s="70" t="s">
        <x:v>855</x:v>
      </x:c>
      <x:c r="F1607" s="70" t="s">
        <x:v>1292</x:v>
      </x:c>
      <x:c r="G1607" s="70" t="s">
        <x:v>1310</x:v>
      </x:c>
      <x:c r="H1607" s="70" t="s">
        <x:v>849</x:v>
      </x:c>
      <x:c r="I1607" s="70" t="s">
        <x:v>852</x:v>
      </x:c>
      <x:c r="J1607" s="70" t="n">
        <x:v>175</x:v>
      </x:c>
      <x:c r="K1607" s="70" t="s">
        <x:v>2607</x:v>
      </x:c>
      <x:c r="L1607" s="70"/>
      <x:c r="M1607" s="70" t="s">
        <x:v>319</x:v>
      </x:c>
      <x:c r="N1607" s="70" t="n">
        <x:v>1</x:v>
      </x:c>
      <x:c r="O1607" s="70" t="n">
        <x:f aca="0">N1607</x:f>
        <x:v>1</x:v>
      </x:c>
      <x:c r="P1607" s="74" t="n">
        <x:f aca="0">MLCF!H134</x:f>
        <x:v>1</x:v>
      </x:c>
      <x:c r="Q1607" s="70" t="str">
        <x:f aca="0">IF(ABS(O1607-P1607)&lt;0.000001,"PASS","FAIL")</x:f>
        <x:v>PASS</x:v>
      </x:c>
      <x:c r="R1607" s="70" t="s">
        <x:v>33</x:v>
      </x:c>
      <x:c r="S1607" s="70" t="str">
        <x:v>Verified FY-end share basis; see Share Basis and Corporate Actions for source excerpts and normalization. Original source metadata superseded where the basis changed.</x:v>
      </x:c>
    </x:row>
    <x:row r="1608" ht="15" hidden="0">
      <x:c r="A1608" s="70" t="s">
        <x:v>2623</x:v>
      </x:c>
      <x:c r="B1608" s="70" t="s">
        <x:v>45</x:v>
      </x:c>
      <x:c r="C1608" s="70" t="s">
        <x:v>717</x:v>
      </x:c>
      <x:c r="D1608" s="70" t="s">
        <x:v>109</x:v>
      </x:c>
      <x:c r="E1608" s="70" t="s">
        <x:v>763</x:v>
      </x:c>
      <x:c r="F1608" s="70" t="s">
        <x:v>830</x:v>
      </x:c>
      <x:c r="G1608" s="70" t="s">
        <x:v>2624</x:v>
      </x:c>
      <x:c r="H1608" s="70" t="s">
        <x:v>832</x:v>
      </x:c>
      <x:c r="I1608" s="70" t="s">
        <x:v>833</x:v>
      </x:c>
      <x:c r="J1608" s="70" t="n">
        <x:v>165</x:v>
      </x:c>
      <x:c r="K1608" s="70" t="s">
        <x:v>834</x:v>
      </x:c>
      <x:c r="L1608" s="70" t="s">
        <x:v>846</x:v>
      </x:c>
      <x:c r="M1608" s="70" t="s">
        <x:v>39</x:v>
      </x:c>
      <x:c r="N1608" s="71" t="n">
        <x:v>22065172</x:v>
      </x:c>
      <x:c r="O1608" s="72" t="n">
        <x:f aca="0">N1608/1000</x:f>
        <x:v>22065.172</x:v>
      </x:c>
      <x:c r="P1608" s="73" t="n">
        <x:f aca="0">FCCL!C20</x:f>
        <x:v>22065.172</x:v>
      </x:c>
      <x:c r="Q1608" s="70" t="str">
        <x:f aca="0">IF(ABS(O1608-P1608)&lt;0.000001,"PASS","FAIL")</x:f>
        <x:v>PASS</x:v>
      </x:c>
      <x:c r="R1608" s="70" t="s">
        <x:v>27</x:v>
      </x:c>
      <x:c r="S1608" s="70"/>
    </x:row>
    <x:row r="1609" ht="15" hidden="0">
      <x:c r="A1609" s="70" t="s">
        <x:v>2625</x:v>
      </x:c>
      <x:c r="B1609" s="70" t="s">
        <x:v>45</x:v>
      </x:c>
      <x:c r="C1609" s="70" t="s">
        <x:v>101</x:v>
      </x:c>
      <x:c r="D1609" s="70" t="s">
        <x:v>109</x:v>
      </x:c>
      <x:c r="E1609" s="70" t="s">
        <x:v>763</x:v>
      </x:c>
      <x:c r="F1609" s="70" t="s">
        <x:v>830</x:v>
      </x:c>
      <x:c r="G1609" s="70" t="s">
        <x:v>2626</x:v>
      </x:c>
      <x:c r="H1609" s="70" t="s">
        <x:v>838</x:v>
      </x:c>
      <x:c r="I1609" s="70" t="s">
        <x:v>833</x:v>
      </x:c>
      <x:c r="J1609" s="70" t="n">
        <x:v>187</x:v>
      </x:c>
      <x:c r="K1609" s="70" t="s">
        <x:v>1942</x:v>
      </x:c>
      <x:c r="L1609" s="70" t="s">
        <x:v>886</x:v>
      </x:c>
      <x:c r="M1609" s="70" t="s">
        <x:v>39</x:v>
      </x:c>
      <x:c r="N1609" s="71" t="n">
        <x:v>21422215</x:v>
      </x:c>
      <x:c r="O1609" s="72" t="n">
        <x:f aca="0">N1609/1000</x:f>
        <x:v>21422.215</x:v>
      </x:c>
      <x:c r="P1609" s="73" t="n">
        <x:f aca="0">FCCL!D20</x:f>
        <x:v>21422.215</x:v>
      </x:c>
      <x:c r="Q1609" s="70" t="str">
        <x:f aca="0">IF(ABS(O1609-P1609)&lt;0.000001,"PASS","FAIL")</x:f>
        <x:v>PASS</x:v>
      </x:c>
      <x:c r="R1609" s="70" t="s">
        <x:v>27</x:v>
      </x:c>
      <x:c r="S1609" s="70"/>
    </x:row>
    <x:row r="1610" ht="15" hidden="0">
      <x:c r="A1610" s="70" t="s">
        <x:v>2627</x:v>
      </x:c>
      <x:c r="B1610" s="70" t="s">
        <x:v>45</x:v>
      </x:c>
      <x:c r="C1610" s="70" t="s">
        <x:v>102</x:v>
      </x:c>
      <x:c r="D1610" s="70" t="s">
        <x:v>109</x:v>
      </x:c>
      <x:c r="E1610" s="70" t="s">
        <x:v>763</x:v>
      </x:c>
      <x:c r="F1610" s="70" t="s">
        <x:v>830</x:v>
      </x:c>
      <x:c r="G1610" s="70" t="s">
        <x:v>2628</x:v>
      </x:c>
      <x:c r="H1610" s="70" t="s">
        <x:v>842</x:v>
      </x:c>
      <x:c r="I1610" s="70" t="s">
        <x:v>833</x:v>
      </x:c>
      <x:c r="J1610" s="70" t="n">
        <x:v>209</x:v>
      </x:c>
      <x:c r="K1610" s="70" t="s">
        <x:v>2629</x:v>
      </x:c>
      <x:c r="L1610" s="70" t="s">
        <x:v>873</x:v>
      </x:c>
      <x:c r="M1610" s="70" t="s">
        <x:v>39</x:v>
      </x:c>
      <x:c r="N1610" s="71" t="n">
        <x:v>74126315</x:v>
      </x:c>
      <x:c r="O1610" s="72" t="n">
        <x:f aca="0">N1610/1000</x:f>
        <x:v>74126.315</x:v>
      </x:c>
      <x:c r="P1610" s="73" t="n">
        <x:f aca="0">FCCL!E20</x:f>
        <x:v>74126.315</x:v>
      </x:c>
      <x:c r="Q1610" s="70" t="str">
        <x:f aca="0">IF(ABS(O1610-P1610)&lt;0.000001,"PASS","FAIL")</x:f>
        <x:v>PASS</x:v>
      </x:c>
      <x:c r="R1610" s="70" t="s">
        <x:v>27</x:v>
      </x:c>
      <x:c r="S1610" s="70"/>
    </x:row>
    <x:row r="1611" ht="15" hidden="0">
      <x:c r="A1611" s="70" t="s">
        <x:v>2630</x:v>
      </x:c>
      <x:c r="B1611" s="70" t="s">
        <x:v>45</x:v>
      </x:c>
      <x:c r="C1611" s="70" t="s">
        <x:v>103</x:v>
      </x:c>
      <x:c r="D1611" s="70" t="s">
        <x:v>109</x:v>
      </x:c>
      <x:c r="E1611" s="70" t="s">
        <x:v>763</x:v>
      </x:c>
      <x:c r="F1611" s="70" t="s">
        <x:v>830</x:v>
      </x:c>
      <x:c r="G1611" s="70" t="s">
        <x:v>2631</x:v>
      </x:c>
      <x:c r="H1611" s="70" t="s">
        <x:v>845</x:v>
      </x:c>
      <x:c r="I1611" s="70" t="s">
        <x:v>833</x:v>
      </x:c>
      <x:c r="J1611" s="70" t="n">
        <x:v>191</x:v>
      </x:c>
      <x:c r="K1611" s="70" t="s">
        <x:v>834</x:v>
      </x:c>
      <x:c r="L1611" s="70" t="s">
        <x:v>873</x:v>
      </x:c>
      <x:c r="M1611" s="70" t="s">
        <x:v>39</x:v>
      </x:c>
      <x:c r="N1611" s="71" t="n">
        <x:v>104425181</x:v>
      </x:c>
      <x:c r="O1611" s="72" t="n">
        <x:f aca="0">N1611/1000</x:f>
        <x:v>104425.181</x:v>
      </x:c>
      <x:c r="P1611" s="73" t="n">
        <x:f aca="0">FCCL!F20</x:f>
        <x:v>104425.181</x:v>
      </x:c>
      <x:c r="Q1611" s="70" t="str">
        <x:f aca="0">IF(ABS(O1611-P1611)&lt;0.000001,"PASS","FAIL")</x:f>
        <x:v>PASS</x:v>
      </x:c>
      <x:c r="R1611" s="70" t="s">
        <x:v>27</x:v>
      </x:c>
      <x:c r="S1611" s="70"/>
    </x:row>
    <x:row r="1612" ht="15" hidden="0">
      <x:c r="A1612" s="70" t="s">
        <x:v>2632</x:v>
      </x:c>
      <x:c r="B1612" s="70" t="s">
        <x:v>45</x:v>
      </x:c>
      <x:c r="C1612" s="70" t="s">
        <x:v>104</x:v>
      </x:c>
      <x:c r="D1612" s="70" t="s">
        <x:v>109</x:v>
      </x:c>
      <x:c r="E1612" s="70" t="s">
        <x:v>763</x:v>
      </x:c>
      <x:c r="F1612" s="70" t="s">
        <x:v>830</x:v>
      </x:c>
      <x:c r="G1612" s="70" t="s">
        <x:v>2633</x:v>
      </x:c>
      <x:c r="H1612" s="70" t="s">
        <x:v>849</x:v>
      </x:c>
      <x:c r="I1612" s="70" t="s">
        <x:v>833</x:v>
      </x:c>
      <x:c r="J1612" s="70" t="n">
        <x:v>245</x:v>
      </x:c>
      <x:c r="K1612" s="70" t="s">
        <x:v>834</x:v>
      </x:c>
      <x:c r="L1612" s="70" t="s">
        <x:v>886</x:v>
      </x:c>
      <x:c r="M1612" s="70" t="s">
        <x:v>39</x:v>
      </x:c>
      <x:c r="N1612" s="71" t="n">
        <x:v>110845663</x:v>
      </x:c>
      <x:c r="O1612" s="72" t="n">
        <x:f aca="0">N1612/1000</x:f>
        <x:v>110845.663</x:v>
      </x:c>
      <x:c r="P1612" s="73" t="n">
        <x:f aca="0">FCCL!G20</x:f>
        <x:v>110845.663</x:v>
      </x:c>
      <x:c r="Q1612" s="70" t="str">
        <x:f aca="0">IF(ABS(O1612-P1612)&lt;0.000001,"PASS","FAIL")</x:f>
        <x:v>PASS</x:v>
      </x:c>
      <x:c r="R1612" s="70" t="s">
        <x:v>27</x:v>
      </x:c>
      <x:c r="S1612" s="70"/>
    </x:row>
    <x:row r="1613" ht="15" hidden="0">
      <x:c r="A1613" s="70" t="s">
        <x:v>2634</x:v>
      </x:c>
      <x:c r="B1613" s="70" t="s">
        <x:v>45</x:v>
      </x:c>
      <x:c r="C1613" s="70" t="s">
        <x:v>105</x:v>
      </x:c>
      <x:c r="D1613" s="70" t="s">
        <x:v>109</x:v>
      </x:c>
      <x:c r="E1613" s="70" t="s">
        <x:v>763</x:v>
      </x:c>
      <x:c r="F1613" s="70" t="s">
        <x:v>830</x:v>
      </x:c>
      <x:c r="G1613" s="70" t="s">
        <x:v>2633</x:v>
      </x:c>
      <x:c r="H1613" s="70" t="s">
        <x:v>849</x:v>
      </x:c>
      <x:c r="I1613" s="70" t="s">
        <x:v>852</x:v>
      </x:c>
      <x:c r="J1613" s="70" t="n">
        <x:v>245</x:v>
      </x:c>
      <x:c r="K1613" s="70" t="s">
        <x:v>834</x:v>
      </x:c>
      <x:c r="L1613" s="70" t="s">
        <x:v>886</x:v>
      </x:c>
      <x:c r="M1613" s="70" t="s">
        <x:v>39</x:v>
      </x:c>
      <x:c r="N1613" s="71" t="n">
        <x:v>109579089</x:v>
      </x:c>
      <x:c r="O1613" s="72" t="n">
        <x:f aca="0">N1613/1000</x:f>
        <x:v>109579.089</x:v>
      </x:c>
      <x:c r="P1613" s="73" t="n">
        <x:f aca="0">FCCL!H20</x:f>
        <x:v>109579.089</x:v>
      </x:c>
      <x:c r="Q1613" s="70" t="str">
        <x:f aca="0">IF(ABS(O1613-P1613)&lt;0.000001,"PASS","FAIL")</x:f>
        <x:v>PASS</x:v>
      </x:c>
      <x:c r="R1613" s="70" t="s">
        <x:v>27</x:v>
      </x:c>
      <x:c r="S1613" s="70"/>
    </x:row>
    <x:row r="1614" ht="15" hidden="0">
      <x:c r="A1614" s="70" t="s">
        <x:v>2635</x:v>
      </x:c>
      <x:c r="B1614" s="70" t="s">
        <x:v>45</x:v>
      </x:c>
      <x:c r="C1614" s="70" t="s">
        <x:v>717</x:v>
      </x:c>
      <x:c r="D1614" s="70" t="s">
        <x:v>854</x:v>
      </x:c>
      <x:c r="E1614" s="70" t="s">
        <x:v>855</x:v>
      </x:c>
      <x:c r="F1614" s="70" t="s">
        <x:v>2636</x:v>
      </x:c>
      <x:c r="G1614" s="70" t="s">
        <x:v>2624</x:v>
      </x:c>
      <x:c r="H1614" s="70" t="s">
        <x:v>832</x:v>
      </x:c>
      <x:c r="I1614" s="70" t="s">
        <x:v>833</x:v>
      </x:c>
      <x:c r="J1614" s="70" t="n">
        <x:v>193</x:v>
      </x:c>
      <x:c r="K1614" s="70" t="s">
        <x:v>2637</x:v>
      </x:c>
      <x:c r="L1614" s="70"/>
      <x:c r="M1614" s="70" t="s">
        <x:v>39</x:v>
      </x:c>
      <x:c r="N1614" s="71" t="n">
        <x:v>2808</x:v>
      </x:c>
      <x:c r="O1614" s="72" t="n">
        <x:f aca="0">N1614/1000</x:f>
        <x:v>2.808</x:v>
      </x:c>
      <x:c r="P1614" s="73" t="n">
        <x:f aca="0">FCCL!C21</x:f>
        <x:v>2.808</x:v>
      </x:c>
      <x:c r="Q1614" s="70" t="str">
        <x:f aca="0">IF(ABS(O1614-P1614)&lt;0.000001,"PASS","FAIL")</x:f>
        <x:v>PASS</x:v>
      </x:c>
      <x:c r="R1614" s="70" t="s">
        <x:v>27</x:v>
      </x:c>
      <x:c r="S1614" s="70"/>
    </x:row>
    <x:row r="1615" ht="15" hidden="0">
      <x:c r="A1615" s="70" t="s">
        <x:v>2638</x:v>
      </x:c>
      <x:c r="B1615" s="70" t="s">
        <x:v>45</x:v>
      </x:c>
      <x:c r="C1615" s="70" t="s">
        <x:v>101</x:v>
      </x:c>
      <x:c r="D1615" s="70" t="s">
        <x:v>854</x:v>
      </x:c>
      <x:c r="E1615" s="70" t="s">
        <x:v>855</x:v>
      </x:c>
      <x:c r="F1615" s="70" t="s">
        <x:v>2636</x:v>
      </x:c>
      <x:c r="G1615" s="70" t="s">
        <x:v>2628</x:v>
      </x:c>
      <x:c r="H1615" s="70" t="s">
        <x:v>842</x:v>
      </x:c>
      <x:c r="I1615" s="70" t="s">
        <x:v>833</x:v>
      </x:c>
      <x:c r="J1615" s="70" t="n">
        <x:v>239</x:v>
      </x:c>
      <x:c r="K1615" s="70" t="s">
        <x:v>1557</x:v>
      </x:c>
      <x:c r="L1615" s="70"/>
      <x:c r="M1615" s="70" t="s">
        <x:v>39</x:v>
      </x:c>
      <x:c r="N1615" s="71" t="n">
        <x:v>202087</x:v>
      </x:c>
      <x:c r="O1615" s="72" t="n">
        <x:f aca="0">N1615/1000</x:f>
        <x:v>202.087</x:v>
      </x:c>
      <x:c r="P1615" s="73" t="n">
        <x:f aca="0">FCCL!D21</x:f>
        <x:v>202.087</x:v>
      </x:c>
      <x:c r="Q1615" s="70" t="str">
        <x:f aca="0">IF(ABS(O1615-P1615)&lt;0.000001,"PASS","FAIL")</x:f>
        <x:v>PASS</x:v>
      </x:c>
      <x:c r="R1615" s="70" t="s">
        <x:v>27</x:v>
      </x:c>
      <x:c r="S1615" s="70"/>
    </x:row>
    <x:row r="1616" ht="15" hidden="0">
      <x:c r="A1616" s="70" t="s">
        <x:v>2639</x:v>
      </x:c>
      <x:c r="B1616" s="70" t="s">
        <x:v>45</x:v>
      </x:c>
      <x:c r="C1616" s="70" t="s">
        <x:v>102</x:v>
      </x:c>
      <x:c r="D1616" s="70" t="s">
        <x:v>854</x:v>
      </x:c>
      <x:c r="E1616" s="70" t="s">
        <x:v>855</x:v>
      </x:c>
      <x:c r="F1616" s="70" t="s">
        <x:v>2636</x:v>
      </x:c>
      <x:c r="G1616" s="70" t="s">
        <x:v>2628</x:v>
      </x:c>
      <x:c r="H1616" s="70" t="s">
        <x:v>842</x:v>
      </x:c>
      <x:c r="I1616" s="70" t="s">
        <x:v>833</x:v>
      </x:c>
      <x:c r="J1616" s="70" t="n">
        <x:v>241</x:v>
      </x:c>
      <x:c r="K1616" s="70" t="s">
        <x:v>1662</x:v>
      </x:c>
      <x:c r="L1616" s="70"/>
      <x:c r="M1616" s="70" t="s">
        <x:v>39</x:v>
      </x:c>
      <x:c r="N1616" s="71" t="n">
        <x:v>29802170</x:v>
      </x:c>
      <x:c r="O1616" s="72" t="n">
        <x:f aca="0">N1616/1000</x:f>
        <x:v>29802.17</x:v>
      </x:c>
      <x:c r="P1616" s="73" t="n">
        <x:f aca="0">FCCL!E21</x:f>
        <x:v>29802.17</x:v>
      </x:c>
      <x:c r="Q1616" s="70" t="str">
        <x:f aca="0">IF(ABS(O1616-P1616)&lt;0.000001,"PASS","FAIL")</x:f>
        <x:v>PASS</x:v>
      </x:c>
      <x:c r="R1616" s="70" t="s">
        <x:v>27</x:v>
      </x:c>
      <x:c r="S1616" s="70"/>
    </x:row>
    <x:row r="1617" ht="15" hidden="0">
      <x:c r="A1617" s="70" t="s">
        <x:v>2640</x:v>
      </x:c>
      <x:c r="B1617" s="70" t="s">
        <x:v>45</x:v>
      </x:c>
      <x:c r="C1617" s="70" t="s">
        <x:v>103</x:v>
      </x:c>
      <x:c r="D1617" s="70" t="s">
        <x:v>854</x:v>
      </x:c>
      <x:c r="E1617" s="70" t="s">
        <x:v>855</x:v>
      </x:c>
      <x:c r="F1617" s="70" t="s">
        <x:v>2636</x:v>
      </x:c>
      <x:c r="G1617" s="70" t="s">
        <x:v>2631</x:v>
      </x:c>
      <x:c r="H1617" s="70" t="s">
        <x:v>845</x:v>
      </x:c>
      <x:c r="I1617" s="70" t="s">
        <x:v>833</x:v>
      </x:c>
      <x:c r="J1617" s="70" t="n">
        <x:v>219</x:v>
      </x:c>
      <x:c r="K1617" s="70" t="s">
        <x:v>2641</x:v>
      </x:c>
      <x:c r="L1617" s="70"/>
      <x:c r="M1617" s="70" t="s">
        <x:v>39</x:v>
      </x:c>
      <x:c r="N1617" s="71" t="n">
        <x:v>34531172</x:v>
      </x:c>
      <x:c r="O1617" s="72" t="n">
        <x:f aca="0">N1617/1000</x:f>
        <x:v>34531.172</x:v>
      </x:c>
      <x:c r="P1617" s="73" t="n">
        <x:f aca="0">FCCL!F21</x:f>
        <x:v>34531.172</x:v>
      </x:c>
      <x:c r="Q1617" s="70" t="str">
        <x:f aca="0">IF(ABS(O1617-P1617)&lt;0.000001,"PASS","FAIL")</x:f>
        <x:v>PASS</x:v>
      </x:c>
      <x:c r="R1617" s="70" t="s">
        <x:v>27</x:v>
      </x:c>
      <x:c r="S1617" s="70"/>
    </x:row>
    <x:row r="1618" ht="15" hidden="0">
      <x:c r="A1618" s="70" t="s">
        <x:v>2642</x:v>
      </x:c>
      <x:c r="B1618" s="70" t="s">
        <x:v>45</x:v>
      </x:c>
      <x:c r="C1618" s="70" t="s">
        <x:v>104</x:v>
      </x:c>
      <x:c r="D1618" s="70" t="s">
        <x:v>854</x:v>
      </x:c>
      <x:c r="E1618" s="70" t="s">
        <x:v>855</x:v>
      </x:c>
      <x:c r="F1618" s="70" t="s">
        <x:v>2636</x:v>
      </x:c>
      <x:c r="G1618" s="70" t="s">
        <x:v>2633</x:v>
      </x:c>
      <x:c r="H1618" s="70" t="s">
        <x:v>849</x:v>
      </x:c>
      <x:c r="I1618" s="70" t="s">
        <x:v>833</x:v>
      </x:c>
      <x:c r="J1618" s="70" t="n">
        <x:v>273</x:v>
      </x:c>
      <x:c r="K1618" s="70" t="s">
        <x:v>1645</x:v>
      </x:c>
      <x:c r="L1618" s="70"/>
      <x:c r="M1618" s="70" t="s">
        <x:v>39</x:v>
      </x:c>
      <x:c r="N1618" s="71" t="n">
        <x:v>700153</x:v>
      </x:c>
      <x:c r="O1618" s="72" t="n">
        <x:f aca="0">N1618/1000</x:f>
        <x:v>700.153</x:v>
      </x:c>
      <x:c r="P1618" s="73" t="n">
        <x:f aca="0">FCCL!G21</x:f>
        <x:v>700.153</x:v>
      </x:c>
      <x:c r="Q1618" s="70" t="str">
        <x:f aca="0">IF(ABS(O1618-P1618)&lt;0.000001,"PASS","FAIL")</x:f>
        <x:v>PASS</x:v>
      </x:c>
      <x:c r="R1618" s="70" t="s">
        <x:v>27</x:v>
      </x:c>
      <x:c r="S1618" s="70"/>
    </x:row>
    <x:row r="1619" ht="15" hidden="0">
      <x:c r="A1619" s="70" t="s">
        <x:v>2643</x:v>
      </x:c>
      <x:c r="B1619" s="70" t="s">
        <x:v>45</x:v>
      </x:c>
      <x:c r="C1619" s="70" t="s">
        <x:v>105</x:v>
      </x:c>
      <x:c r="D1619" s="70" t="s">
        <x:v>854</x:v>
      </x:c>
      <x:c r="E1619" s="70" t="s">
        <x:v>855</x:v>
      </x:c>
      <x:c r="F1619" s="70" t="s">
        <x:v>2636</x:v>
      </x:c>
      <x:c r="G1619" s="70" t="s">
        <x:v>2633</x:v>
      </x:c>
      <x:c r="H1619" s="70" t="s">
        <x:v>849</x:v>
      </x:c>
      <x:c r="I1619" s="70" t="s">
        <x:v>852</x:v>
      </x:c>
      <x:c r="J1619" s="70" t="n">
        <x:v>274</x:v>
      </x:c>
      <x:c r="K1619" s="70" t="s">
        <x:v>2644</x:v>
      </x:c>
      <x:c r="L1619" s="70"/>
      <x:c r="M1619" s="70" t="s">
        <x:v>39</x:v>
      </x:c>
      <x:c r="N1619" s="71" t="n">
        <x:v>296574</x:v>
      </x:c>
      <x:c r="O1619" s="72" t="n">
        <x:f aca="0">N1619/1000</x:f>
        <x:v>296.574</x:v>
      </x:c>
      <x:c r="P1619" s="73" t="n">
        <x:f aca="0">FCCL!H21</x:f>
        <x:v>296.574</x:v>
      </x:c>
      <x:c r="Q1619" s="70" t="str">
        <x:f aca="0">IF(ABS(O1619-P1619)&lt;0.000001,"PASS","FAIL")</x:f>
        <x:v>PASS</x:v>
      </x:c>
      <x:c r="R1619" s="70" t="s">
        <x:v>27</x:v>
      </x:c>
      <x:c r="S1619" s="70"/>
    </x:row>
    <x:row r="1620" ht="15" hidden="0">
      <x:c r="A1620" s="70" t="s">
        <x:v>2645</x:v>
      </x:c>
      <x:c r="B1620" s="70" t="s">
        <x:v>45</x:v>
      </x:c>
      <x:c r="C1620" s="70" t="s">
        <x:v>717</x:v>
      </x:c>
      <x:c r="D1620" s="70" t="s">
        <x:v>116</x:v>
      </x:c>
      <x:c r="E1620" s="70" t="s">
        <x:v>763</x:v>
      </x:c>
      <x:c r="F1620" s="70" t="s">
        <x:v>2646</x:v>
      </x:c>
      <x:c r="G1620" s="70" t="s">
        <x:v>2624</x:v>
      </x:c>
      <x:c r="H1620" s="70" t="s">
        <x:v>832</x:v>
      </x:c>
      <x:c r="I1620" s="70" t="s">
        <x:v>833</x:v>
      </x:c>
      <x:c r="J1620" s="70" t="n">
        <x:v>165</x:v>
      </x:c>
      <x:c r="K1620" s="70" t="s">
        <x:v>834</x:v>
      </x:c>
      <x:c r="L1620" s="70" t="s">
        <x:v>835</x:v>
      </x:c>
      <x:c r="M1620" s="70" t="s">
        <x:v>39</x:v>
      </x:c>
      <x:c r="N1620" s="71" t="n">
        <x:v>60322</x:v>
      </x:c>
      <x:c r="O1620" s="72" t="n">
        <x:f aca="0">N1620/1000</x:f>
        <x:v>60.322</x:v>
      </x:c>
      <x:c r="P1620" s="73" t="n">
        <x:f aca="0">FCCL!C23</x:f>
        <x:v>60.322</x:v>
      </x:c>
      <x:c r="Q1620" s="70" t="str">
        <x:f aca="0">IF(ABS(O1620-P1620)&lt;0.000001,"PASS","FAIL")</x:f>
        <x:v>PASS</x:v>
      </x:c>
      <x:c r="R1620" s="70" t="s">
        <x:v>27</x:v>
      </x:c>
      <x:c r="S1620" s="70"/>
    </x:row>
    <x:row r="1621" ht="15" hidden="0">
      <x:c r="A1621" s="70" t="s">
        <x:v>2647</x:v>
      </x:c>
      <x:c r="B1621" s="70" t="s">
        <x:v>45</x:v>
      </x:c>
      <x:c r="C1621" s="70" t="s">
        <x:v>101</x:v>
      </x:c>
      <x:c r="D1621" s="70" t="s">
        <x:v>116</x:v>
      </x:c>
      <x:c r="E1621" s="70" t="s">
        <x:v>763</x:v>
      </x:c>
      <x:c r="F1621" s="70" t="s">
        <x:v>2646</x:v>
      </x:c>
      <x:c r="G1621" s="70" t="s">
        <x:v>2626</x:v>
      </x:c>
      <x:c r="H1621" s="70" t="s">
        <x:v>838</x:v>
      </x:c>
      <x:c r="I1621" s="70" t="s">
        <x:v>833</x:v>
      </x:c>
      <x:c r="J1621" s="70" t="n">
        <x:v>187</x:v>
      </x:c>
      <x:c r="K1621" s="70" t="s">
        <x:v>1942</x:v>
      </x:c>
      <x:c r="L1621" s="70" t="s">
        <x:v>880</x:v>
      </x:c>
      <x:c r="M1621" s="70" t="s">
        <x:v>39</x:v>
      </x:c>
      <x:c r="N1621" s="71" t="n">
        <x:v>89334</x:v>
      </x:c>
      <x:c r="O1621" s="72" t="n">
        <x:f aca="0">N1621/1000</x:f>
        <x:v>89.334</x:v>
      </x:c>
      <x:c r="P1621" s="73" t="n">
        <x:f aca="0">FCCL!D23</x:f>
        <x:v>89.334</x:v>
      </x:c>
      <x:c r="Q1621" s="70" t="str">
        <x:f aca="0">IF(ABS(O1621-P1621)&lt;0.000001,"PASS","FAIL")</x:f>
        <x:v>PASS</x:v>
      </x:c>
      <x:c r="R1621" s="70" t="s">
        <x:v>27</x:v>
      </x:c>
      <x:c r="S1621" s="70"/>
    </x:row>
    <x:row r="1622" ht="15" hidden="0">
      <x:c r="A1622" s="70" t="s">
        <x:v>2648</x:v>
      </x:c>
      <x:c r="B1622" s="70" t="s">
        <x:v>45</x:v>
      </x:c>
      <x:c r="C1622" s="70" t="s">
        <x:v>102</x:v>
      </x:c>
      <x:c r="D1622" s="70" t="s">
        <x:v>116</x:v>
      </x:c>
      <x:c r="E1622" s="70" t="s">
        <x:v>763</x:v>
      </x:c>
      <x:c r="F1622" s="70" t="s">
        <x:v>2646</x:v>
      </x:c>
      <x:c r="G1622" s="70" t="s">
        <x:v>2628</x:v>
      </x:c>
      <x:c r="H1622" s="70" t="s">
        <x:v>842</x:v>
      </x:c>
      <x:c r="I1622" s="70" t="s">
        <x:v>833</x:v>
      </x:c>
      <x:c r="J1622" s="70" t="n">
        <x:v>209</x:v>
      </x:c>
      <x:c r="K1622" s="70" t="s">
        <x:v>2629</x:v>
      </x:c>
      <x:c r="L1622" s="70" t="s">
        <x:v>886</x:v>
      </x:c>
      <x:c r="M1622" s="70" t="s">
        <x:v>39</x:v>
      </x:c>
      <x:c r="N1622" s="71" t="n">
        <x:v>132263</x:v>
      </x:c>
      <x:c r="O1622" s="72" t="n">
        <x:f aca="0">N1622/1000</x:f>
        <x:v>132.263</x:v>
      </x:c>
      <x:c r="P1622" s="73" t="n">
        <x:f aca="0">FCCL!E23</x:f>
        <x:v>132.263</x:v>
      </x:c>
      <x:c r="Q1622" s="70" t="str">
        <x:f aca="0">IF(ABS(O1622-P1622)&lt;0.000001,"PASS","FAIL")</x:f>
        <x:v>PASS</x:v>
      </x:c>
      <x:c r="R1622" s="70" t="s">
        <x:v>27</x:v>
      </x:c>
      <x:c r="S1622" s="70"/>
    </x:row>
    <x:row r="1623" ht="15" hidden="0">
      <x:c r="A1623" s="70" t="s">
        <x:v>2649</x:v>
      </x:c>
      <x:c r="B1623" s="70" t="s">
        <x:v>45</x:v>
      </x:c>
      <x:c r="C1623" s="70" t="s">
        <x:v>103</x:v>
      </x:c>
      <x:c r="D1623" s="70" t="s">
        <x:v>116</x:v>
      </x:c>
      <x:c r="E1623" s="70" t="s">
        <x:v>763</x:v>
      </x:c>
      <x:c r="F1623" s="70" t="s">
        <x:v>2646</x:v>
      </x:c>
      <x:c r="G1623" s="70" t="s">
        <x:v>2631</x:v>
      </x:c>
      <x:c r="H1623" s="70" t="s">
        <x:v>845</x:v>
      </x:c>
      <x:c r="I1623" s="70" t="s">
        <x:v>833</x:v>
      </x:c>
      <x:c r="J1623" s="70" t="n">
        <x:v>191</x:v>
      </x:c>
      <x:c r="K1623" s="70" t="s">
        <x:v>834</x:v>
      </x:c>
      <x:c r="L1623" s="70" t="s">
        <x:v>886</x:v>
      </x:c>
      <x:c r="M1623" s="70" t="s">
        <x:v>39</x:v>
      </x:c>
      <x:c r="N1623" s="71" t="n">
        <x:v>181380</x:v>
      </x:c>
      <x:c r="O1623" s="72" t="n">
        <x:f aca="0">N1623/1000</x:f>
        <x:v>181.38</x:v>
      </x:c>
      <x:c r="P1623" s="73" t="n">
        <x:f aca="0">FCCL!F23</x:f>
        <x:v>181.38</x:v>
      </x:c>
      <x:c r="Q1623" s="70" t="str">
        <x:f aca="0">IF(ABS(O1623-P1623)&lt;0.000001,"PASS","FAIL")</x:f>
        <x:v>PASS</x:v>
      </x:c>
      <x:c r="R1623" s="70" t="s">
        <x:v>27</x:v>
      </x:c>
      <x:c r="S1623" s="70"/>
    </x:row>
    <x:row r="1624" ht="15" hidden="0">
      <x:c r="A1624" s="70" t="s">
        <x:v>2650</x:v>
      </x:c>
      <x:c r="B1624" s="70" t="s">
        <x:v>45</x:v>
      </x:c>
      <x:c r="C1624" s="70" t="s">
        <x:v>104</x:v>
      </x:c>
      <x:c r="D1624" s="70" t="s">
        <x:v>116</x:v>
      </x:c>
      <x:c r="E1624" s="70" t="s">
        <x:v>763</x:v>
      </x:c>
      <x:c r="F1624" s="70" t="s">
        <x:v>2646</x:v>
      </x:c>
      <x:c r="G1624" s="70" t="s">
        <x:v>2633</x:v>
      </x:c>
      <x:c r="H1624" s="70" t="s">
        <x:v>849</x:v>
      </x:c>
      <x:c r="I1624" s="70" t="s">
        <x:v>833</x:v>
      </x:c>
      <x:c r="J1624" s="70" t="n">
        <x:v>245</x:v>
      </x:c>
      <x:c r="K1624" s="70" t="s">
        <x:v>834</x:v>
      </x:c>
      <x:c r="L1624" s="70" t="s">
        <x:v>880</x:v>
      </x:c>
      <x:c r="M1624" s="70" t="s">
        <x:v>39</x:v>
      </x:c>
      <x:c r="N1624" s="71" t="n">
        <x:v>131165</x:v>
      </x:c>
      <x:c r="O1624" s="72" t="n">
        <x:f aca="0">N1624/1000</x:f>
        <x:v>131.165</x:v>
      </x:c>
      <x:c r="P1624" s="73" t="n">
        <x:f aca="0">FCCL!G23</x:f>
        <x:v>131.165</x:v>
      </x:c>
      <x:c r="Q1624" s="70" t="str">
        <x:f aca="0">IF(ABS(O1624-P1624)&lt;0.000001,"PASS","FAIL")</x:f>
        <x:v>PASS</x:v>
      </x:c>
      <x:c r="R1624" s="70" t="s">
        <x:v>27</x:v>
      </x:c>
      <x:c r="S1624" s="70"/>
    </x:row>
    <x:row r="1625" ht="15" hidden="0">
      <x:c r="A1625" s="70" t="s">
        <x:v>2651</x:v>
      </x:c>
      <x:c r="B1625" s="70" t="s">
        <x:v>45</x:v>
      </x:c>
      <x:c r="C1625" s="70" t="s">
        <x:v>105</x:v>
      </x:c>
      <x:c r="D1625" s="70" t="s">
        <x:v>116</x:v>
      </x:c>
      <x:c r="E1625" s="70" t="s">
        <x:v>763</x:v>
      </x:c>
      <x:c r="F1625" s="70" t="s">
        <x:v>2646</x:v>
      </x:c>
      <x:c r="G1625" s="70" t="s">
        <x:v>2633</x:v>
      </x:c>
      <x:c r="H1625" s="70" t="s">
        <x:v>849</x:v>
      </x:c>
      <x:c r="I1625" s="70" t="s">
        <x:v>852</x:v>
      </x:c>
      <x:c r="J1625" s="70" t="n">
        <x:v>245</x:v>
      </x:c>
      <x:c r="K1625" s="70" t="s">
        <x:v>834</x:v>
      </x:c>
      <x:c r="L1625" s="70" t="s">
        <x:v>880</x:v>
      </x:c>
      <x:c r="M1625" s="70" t="s">
        <x:v>39</x:v>
      </x:c>
      <x:c r="N1625" s="71" t="n">
        <x:v>126445</x:v>
      </x:c>
      <x:c r="O1625" s="72" t="n">
        <x:f aca="0">N1625/1000</x:f>
        <x:v>126.445</x:v>
      </x:c>
      <x:c r="P1625" s="73" t="n">
        <x:f aca="0">FCCL!H23</x:f>
        <x:v>126.445</x:v>
      </x:c>
      <x:c r="Q1625" s="70" t="str">
        <x:f aca="0">IF(ABS(O1625-P1625)&lt;0.000001,"PASS","FAIL")</x:f>
        <x:v>PASS</x:v>
      </x:c>
      <x:c r="R1625" s="70" t="s">
        <x:v>27</x:v>
      </x:c>
      <x:c r="S1625" s="70"/>
    </x:row>
    <x:row r="1626" ht="15" hidden="0">
      <x:c r="A1626" s="70" t="s">
        <x:v>2652</x:v>
      </x:c>
      <x:c r="B1626" s="70" t="s">
        <x:v>45</x:v>
      </x:c>
      <x:c r="C1626" s="70" t="s">
        <x:v>717</x:v>
      </x:c>
      <x:c r="D1626" s="70" t="s">
        <x:v>118</x:v>
      </x:c>
      <x:c r="E1626" s="70" t="s">
        <x:v>763</x:v>
      </x:c>
      <x:c r="F1626" s="70"/>
      <x:c r="G1626" s="70" t="s">
        <x:v>2624</x:v>
      </x:c>
      <x:c r="H1626" s="70" t="s">
        <x:v>832</x:v>
      </x:c>
      <x:c r="I1626" s="70" t="s">
        <x:v>833</x:v>
      </x:c>
      <x:c r="J1626" s="70" t="n">
        <x:v>164</x:v>
      </x:c>
      <x:c r="K1626" s="70" t="s">
        <x:v>2613</x:v>
      </x:c>
      <x:c r="L1626" s="70"/>
      <x:c r="M1626" s="70" t="s">
        <x:v>39</x:v>
      </x:c>
      <x:c r="N1626" s="71" t="n">
        <x:v>0</x:v>
      </x:c>
      <x:c r="O1626" s="72" t="n">
        <x:f aca="0">N1626/1000</x:f>
        <x:v>0</x:v>
      </x:c>
      <x:c r="P1626" s="73" t="n">
        <x:f aca="0">FCCL!C24</x:f>
        <x:v>0</x:v>
      </x:c>
      <x:c r="Q1626" s="70" t="str">
        <x:f aca="0">IF(ABS(O1626-P1626)&lt;0.000001,"PASS","FAIL")</x:f>
        <x:v>PASS</x:v>
      </x:c>
      <x:c r="R1626" s="70" t="s">
        <x:v>27</x:v>
      </x:c>
      <x:c r="S1626" s="70"/>
    </x:row>
    <x:row r="1627" ht="15" hidden="0">
      <x:c r="A1627" s="70" t="s">
        <x:v>2653</x:v>
      </x:c>
      <x:c r="B1627" s="70" t="s">
        <x:v>45</x:v>
      </x:c>
      <x:c r="C1627" s="70" t="s">
        <x:v>101</x:v>
      </x:c>
      <x:c r="D1627" s="70" t="s">
        <x:v>118</x:v>
      </x:c>
      <x:c r="E1627" s="70" t="s">
        <x:v>763</x:v>
      </x:c>
      <x:c r="F1627" s="70" t="s">
        <x:v>872</x:v>
      </x:c>
      <x:c r="G1627" s="70" t="s">
        <x:v>2626</x:v>
      </x:c>
      <x:c r="H1627" s="70" t="s">
        <x:v>838</x:v>
      </x:c>
      <x:c r="I1627" s="70" t="s">
        <x:v>833</x:v>
      </x:c>
      <x:c r="J1627" s="70" t="n">
        <x:v>187</x:v>
      </x:c>
      <x:c r="K1627" s="70" t="s">
        <x:v>1942</x:v>
      </x:c>
      <x:c r="L1627" s="70" t="s">
        <x:v>882</x:v>
      </x:c>
      <x:c r="M1627" s="70" t="s">
        <x:v>39</x:v>
      </x:c>
      <x:c r="N1627" s="71" t="n">
        <x:v>0</x:v>
      </x:c>
      <x:c r="O1627" s="72" t="n">
        <x:f aca="0">N1627/1000</x:f>
        <x:v>0</x:v>
      </x:c>
      <x:c r="P1627" s="73" t="n">
        <x:f aca="0">FCCL!D24</x:f>
        <x:v>0</x:v>
      </x:c>
      <x:c r="Q1627" s="70" t="str">
        <x:f aca="0">IF(ABS(O1627-P1627)&lt;0.000001,"PASS","FAIL")</x:f>
        <x:v>PASS</x:v>
      </x:c>
      <x:c r="R1627" s="70" t="s">
        <x:v>27</x:v>
      </x:c>
      <x:c r="S1627" s="70"/>
    </x:row>
    <x:row r="1628" ht="15" hidden="0">
      <x:c r="A1628" s="70" t="s">
        <x:v>2654</x:v>
      </x:c>
      <x:c r="B1628" s="70" t="s">
        <x:v>45</x:v>
      </x:c>
      <x:c r="C1628" s="70" t="s">
        <x:v>102</x:v>
      </x:c>
      <x:c r="D1628" s="70" t="s">
        <x:v>118</x:v>
      </x:c>
      <x:c r="E1628" s="70" t="s">
        <x:v>763</x:v>
      </x:c>
      <x:c r="F1628" s="70" t="s">
        <x:v>2655</x:v>
      </x:c>
      <x:c r="G1628" s="70" t="s">
        <x:v>2628</x:v>
      </x:c>
      <x:c r="H1628" s="70" t="s">
        <x:v>842</x:v>
      </x:c>
      <x:c r="I1628" s="70" t="s">
        <x:v>833</x:v>
      </x:c>
      <x:c r="J1628" s="70" t="n">
        <x:v>209</x:v>
      </x:c>
      <x:c r="K1628" s="70" t="s">
        <x:v>2629</x:v>
      </x:c>
      <x:c r="L1628" s="70" t="s">
        <x:v>880</x:v>
      </x:c>
      <x:c r="M1628" s="70" t="s">
        <x:v>39</x:v>
      </x:c>
      <x:c r="N1628" s="71" t="n">
        <x:v>11029756</x:v>
      </x:c>
      <x:c r="O1628" s="72" t="n">
        <x:f aca="0">N1628/1000</x:f>
        <x:v>11029.756</x:v>
      </x:c>
      <x:c r="P1628" s="73" t="n">
        <x:f aca="0">FCCL!E24</x:f>
        <x:v>11029.756</x:v>
      </x:c>
      <x:c r="Q1628" s="70" t="str">
        <x:f aca="0">IF(ABS(O1628-P1628)&lt;0.000001,"PASS","FAIL")</x:f>
        <x:v>PASS</x:v>
      </x:c>
      <x:c r="R1628" s="70" t="s">
        <x:v>27</x:v>
      </x:c>
      <x:c r="S1628" s="70"/>
    </x:row>
    <x:row r="1629" ht="15" hidden="0">
      <x:c r="A1629" s="70" t="s">
        <x:v>2656</x:v>
      </x:c>
      <x:c r="B1629" s="70" t="s">
        <x:v>45</x:v>
      </x:c>
      <x:c r="C1629" s="70" t="s">
        <x:v>103</x:v>
      </x:c>
      <x:c r="D1629" s="70" t="s">
        <x:v>118</x:v>
      </x:c>
      <x:c r="E1629" s="70" t="s">
        <x:v>763</x:v>
      </x:c>
      <x:c r="F1629" s="70" t="s">
        <x:v>2655</x:v>
      </x:c>
      <x:c r="G1629" s="70" t="s">
        <x:v>2631</x:v>
      </x:c>
      <x:c r="H1629" s="70" t="s">
        <x:v>845</x:v>
      </x:c>
      <x:c r="I1629" s="70" t="s">
        <x:v>833</x:v>
      </x:c>
      <x:c r="J1629" s="70" t="n">
        <x:v>191</x:v>
      </x:c>
      <x:c r="K1629" s="70" t="s">
        <x:v>834</x:v>
      </x:c>
      <x:c r="L1629" s="70" t="s">
        <x:v>880</x:v>
      </x:c>
      <x:c r="M1629" s="70" t="s">
        <x:v>39</x:v>
      </x:c>
      <x:c r="N1629" s="71" t="n">
        <x:v>10957737</x:v>
      </x:c>
      <x:c r="O1629" s="72" t="n">
        <x:f aca="0">N1629/1000</x:f>
        <x:v>10957.737</x:v>
      </x:c>
      <x:c r="P1629" s="73" t="n">
        <x:f aca="0">FCCL!F24</x:f>
        <x:v>10957.737</x:v>
      </x:c>
      <x:c r="Q1629" s="70" t="str">
        <x:f aca="0">IF(ABS(O1629-P1629)&lt;0.000001,"PASS","FAIL")</x:f>
        <x:v>PASS</x:v>
      </x:c>
      <x:c r="R1629" s="70" t="s">
        <x:v>27</x:v>
      </x:c>
      <x:c r="S1629" s="70"/>
    </x:row>
    <x:row r="1630" ht="15" hidden="0">
      <x:c r="A1630" s="70" t="s">
        <x:v>2657</x:v>
      </x:c>
      <x:c r="B1630" s="70" t="s">
        <x:v>45</x:v>
      </x:c>
      <x:c r="C1630" s="70" t="s">
        <x:v>104</x:v>
      </x:c>
      <x:c r="D1630" s="70" t="s">
        <x:v>118</x:v>
      </x:c>
      <x:c r="E1630" s="70" t="s">
        <x:v>763</x:v>
      </x:c>
      <x:c r="F1630" s="70" t="s">
        <x:v>2655</x:v>
      </x:c>
      <x:c r="G1630" s="70" t="s">
        <x:v>2633</x:v>
      </x:c>
      <x:c r="H1630" s="70" t="s">
        <x:v>849</x:v>
      </x:c>
      <x:c r="I1630" s="70" t="s">
        <x:v>833</x:v>
      </x:c>
      <x:c r="J1630" s="70" t="n">
        <x:v>245</x:v>
      </x:c>
      <x:c r="K1630" s="70" t="s">
        <x:v>834</x:v>
      </x:c>
      <x:c r="L1630" s="70" t="s">
        <x:v>882</x:v>
      </x:c>
      <x:c r="M1630" s="70" t="s">
        <x:v>39</x:v>
      </x:c>
      <x:c r="N1630" s="71" t="n">
        <x:v>10745700</x:v>
      </x:c>
      <x:c r="O1630" s="72" t="n">
        <x:f aca="0">N1630/1000</x:f>
        <x:v>10745.7</x:v>
      </x:c>
      <x:c r="P1630" s="73" t="n">
        <x:f aca="0">FCCL!G24</x:f>
        <x:v>10745.7</x:v>
      </x:c>
      <x:c r="Q1630" s="70" t="str">
        <x:f aca="0">IF(ABS(O1630-P1630)&lt;0.000001,"PASS","FAIL")</x:f>
        <x:v>PASS</x:v>
      </x:c>
      <x:c r="R1630" s="70" t="s">
        <x:v>27</x:v>
      </x:c>
      <x:c r="S1630" s="70"/>
    </x:row>
    <x:row r="1631" ht="15" hidden="0">
      <x:c r="A1631" s="70" t="s">
        <x:v>2658</x:v>
      </x:c>
      <x:c r="B1631" s="70" t="s">
        <x:v>45</x:v>
      </x:c>
      <x:c r="C1631" s="70" t="s">
        <x:v>105</x:v>
      </x:c>
      <x:c r="D1631" s="70" t="s">
        <x:v>118</x:v>
      </x:c>
      <x:c r="E1631" s="70" t="s">
        <x:v>763</x:v>
      </x:c>
      <x:c r="F1631" s="70" t="s">
        <x:v>2655</x:v>
      </x:c>
      <x:c r="G1631" s="70" t="s">
        <x:v>2633</x:v>
      </x:c>
      <x:c r="H1631" s="70" t="s">
        <x:v>849</x:v>
      </x:c>
      <x:c r="I1631" s="70" t="s">
        <x:v>852</x:v>
      </x:c>
      <x:c r="J1631" s="70" t="n">
        <x:v>245</x:v>
      </x:c>
      <x:c r="K1631" s="70" t="s">
        <x:v>834</x:v>
      </x:c>
      <x:c r="L1631" s="70" t="s">
        <x:v>882</x:v>
      </x:c>
      <x:c r="M1631" s="70" t="s">
        <x:v>39</x:v>
      </x:c>
      <x:c r="N1631" s="71" t="n">
        <x:v>10533667</x:v>
      </x:c>
      <x:c r="O1631" s="72" t="n">
        <x:f aca="0">N1631/1000</x:f>
        <x:v>10533.667</x:v>
      </x:c>
      <x:c r="P1631" s="73" t="n">
        <x:f aca="0">FCCL!H24</x:f>
        <x:v>10533.667</x:v>
      </x:c>
      <x:c r="Q1631" s="70" t="str">
        <x:f aca="0">IF(ABS(O1631-P1631)&lt;0.000001,"PASS","FAIL")</x:f>
        <x:v>PASS</x:v>
      </x:c>
      <x:c r="R1631" s="70" t="s">
        <x:v>27</x:v>
      </x:c>
      <x:c r="S1631" s="70"/>
    </x:row>
    <x:row r="1632" ht="15" hidden="0">
      <x:c r="A1632" s="70" t="s">
        <x:v>2659</x:v>
      </x:c>
      <x:c r="B1632" s="70" t="s">
        <x:v>45</x:v>
      </x:c>
      <x:c r="C1632" s="70" t="s">
        <x:v>717</x:v>
      </x:c>
      <x:c r="D1632" s="70" t="s">
        <x:v>120</x:v>
      </x:c>
      <x:c r="E1632" s="70" t="s">
        <x:v>763</x:v>
      </x:c>
      <x:c r="F1632" s="70"/>
      <x:c r="G1632" s="70" t="s">
        <x:v>2624</x:v>
      </x:c>
      <x:c r="H1632" s="70" t="s">
        <x:v>832</x:v>
      </x:c>
      <x:c r="I1632" s="70" t="s">
        <x:v>833</x:v>
      </x:c>
      <x:c r="J1632" s="70" t="n">
        <x:v>164</x:v>
      </x:c>
      <x:c r="K1632" s="70" t="s">
        <x:v>2613</x:v>
      </x:c>
      <x:c r="L1632" s="70"/>
      <x:c r="M1632" s="70" t="s">
        <x:v>39</x:v>
      </x:c>
      <x:c r="N1632" s="71" t="n">
        <x:v>0</x:v>
      </x:c>
      <x:c r="O1632" s="72" t="n">
        <x:f aca="0">N1632/1000</x:f>
        <x:v>0</x:v>
      </x:c>
      <x:c r="P1632" s="73" t="n">
        <x:f aca="0">FCCL!C25</x:f>
        <x:v>0</x:v>
      </x:c>
      <x:c r="Q1632" s="70" t="str">
        <x:f aca="0">IF(ABS(O1632-P1632)&lt;0.000001,"PASS","FAIL")</x:f>
        <x:v>PASS</x:v>
      </x:c>
      <x:c r="R1632" s="70" t="s">
        <x:v>27</x:v>
      </x:c>
      <x:c r="S1632" s="70"/>
    </x:row>
    <x:row r="1633" ht="15" hidden="0">
      <x:c r="A1633" s="70" t="s">
        <x:v>2660</x:v>
      </x:c>
      <x:c r="B1633" s="70" t="s">
        <x:v>45</x:v>
      </x:c>
      <x:c r="C1633" s="70" t="s">
        <x:v>101</x:v>
      </x:c>
      <x:c r="D1633" s="70" t="s">
        <x:v>120</x:v>
      </x:c>
      <x:c r="E1633" s="70" t="s">
        <x:v>763</x:v>
      </x:c>
      <x:c r="F1633" s="70"/>
      <x:c r="G1633" s="70" t="s">
        <x:v>2626</x:v>
      </x:c>
      <x:c r="H1633" s="70" t="s">
        <x:v>838</x:v>
      </x:c>
      <x:c r="I1633" s="70" t="s">
        <x:v>833</x:v>
      </x:c>
      <x:c r="J1633" s="70" t="n">
        <x:v>186</x:v>
      </x:c>
      <x:c r="K1633" s="70" t="s">
        <x:v>1761</x:v>
      </x:c>
      <x:c r="L1633" s="70"/>
      <x:c r="M1633" s="70" t="s">
        <x:v>39</x:v>
      </x:c>
      <x:c r="N1633" s="71" t="n">
        <x:v>0</x:v>
      </x:c>
      <x:c r="O1633" s="72" t="n">
        <x:f aca="0">N1633/1000</x:f>
        <x:v>0</x:v>
      </x:c>
      <x:c r="P1633" s="73" t="n">
        <x:f aca="0">FCCL!D25</x:f>
        <x:v>0</x:v>
      </x:c>
      <x:c r="Q1633" s="70" t="str">
        <x:f aca="0">IF(ABS(O1633-P1633)&lt;0.000001,"PASS","FAIL")</x:f>
        <x:v>PASS</x:v>
      </x:c>
      <x:c r="R1633" s="70" t="s">
        <x:v>27</x:v>
      </x:c>
      <x:c r="S1633" s="70"/>
    </x:row>
    <x:row r="1634" ht="15" hidden="0">
      <x:c r="A1634" s="70" t="s">
        <x:v>2661</x:v>
      </x:c>
      <x:c r="B1634" s="70" t="s">
        <x:v>45</x:v>
      </x:c>
      <x:c r="C1634" s="70" t="s">
        <x:v>102</x:v>
      </x:c>
      <x:c r="D1634" s="70" t="s">
        <x:v>120</x:v>
      </x:c>
      <x:c r="E1634" s="70" t="s">
        <x:v>763</x:v>
      </x:c>
      <x:c r="F1634" s="70"/>
      <x:c r="G1634" s="70" t="s">
        <x:v>2628</x:v>
      </x:c>
      <x:c r="H1634" s="70" t="s">
        <x:v>842</x:v>
      </x:c>
      <x:c r="I1634" s="70" t="s">
        <x:v>833</x:v>
      </x:c>
      <x:c r="J1634" s="70" t="n">
        <x:v>208</x:v>
      </x:c>
      <x:c r="K1634" s="70" t="s">
        <x:v>2102</x:v>
      </x:c>
      <x:c r="L1634" s="70"/>
      <x:c r="M1634" s="70" t="s">
        <x:v>39</x:v>
      </x:c>
      <x:c r="N1634" s="71" t="n">
        <x:v>0</x:v>
      </x:c>
      <x:c r="O1634" s="72" t="n">
        <x:f aca="0">N1634/1000</x:f>
        <x:v>0</x:v>
      </x:c>
      <x:c r="P1634" s="73" t="n">
        <x:f aca="0">FCCL!E25</x:f>
        <x:v>0</x:v>
      </x:c>
      <x:c r="Q1634" s="70" t="str">
        <x:f aca="0">IF(ABS(O1634-P1634)&lt;0.000001,"PASS","FAIL")</x:f>
        <x:v>PASS</x:v>
      </x:c>
      <x:c r="R1634" s="70" t="s">
        <x:v>27</x:v>
      </x:c>
      <x:c r="S1634" s="70"/>
    </x:row>
    <x:row r="1635" ht="15" hidden="0">
      <x:c r="A1635" s="70" t="s">
        <x:v>2662</x:v>
      </x:c>
      <x:c r="B1635" s="70" t="s">
        <x:v>45</x:v>
      </x:c>
      <x:c r="C1635" s="70" t="s">
        <x:v>103</x:v>
      </x:c>
      <x:c r="D1635" s="70" t="s">
        <x:v>120</x:v>
      </x:c>
      <x:c r="E1635" s="70" t="s">
        <x:v>763</x:v>
      </x:c>
      <x:c r="F1635" s="70"/>
      <x:c r="G1635" s="70" t="s">
        <x:v>2631</x:v>
      </x:c>
      <x:c r="H1635" s="70" t="s">
        <x:v>845</x:v>
      </x:c>
      <x:c r="I1635" s="70" t="s">
        <x:v>833</x:v>
      </x:c>
      <x:c r="J1635" s="70" t="n">
        <x:v>190</x:v>
      </x:c>
      <x:c r="K1635" s="70" t="s">
        <x:v>1765</x:v>
      </x:c>
      <x:c r="L1635" s="70"/>
      <x:c r="M1635" s="70" t="s">
        <x:v>39</x:v>
      </x:c>
      <x:c r="N1635" s="71" t="n">
        <x:v>0</x:v>
      </x:c>
      <x:c r="O1635" s="72" t="n">
        <x:f aca="0">N1635/1000</x:f>
        <x:v>0</x:v>
      </x:c>
      <x:c r="P1635" s="73" t="n">
        <x:f aca="0">FCCL!F25</x:f>
        <x:v>0</x:v>
      </x:c>
      <x:c r="Q1635" s="70" t="str">
        <x:f aca="0">IF(ABS(O1635-P1635)&lt;0.000001,"PASS","FAIL")</x:f>
        <x:v>PASS</x:v>
      </x:c>
      <x:c r="R1635" s="70" t="s">
        <x:v>27</x:v>
      </x:c>
      <x:c r="S1635" s="70"/>
    </x:row>
    <x:row r="1636" ht="15" hidden="0">
      <x:c r="A1636" s="70" t="s">
        <x:v>2663</x:v>
      </x:c>
      <x:c r="B1636" s="70" t="s">
        <x:v>45</x:v>
      </x:c>
      <x:c r="C1636" s="70" t="s">
        <x:v>104</x:v>
      </x:c>
      <x:c r="D1636" s="70" t="s">
        <x:v>120</x:v>
      </x:c>
      <x:c r="E1636" s="70" t="s">
        <x:v>763</x:v>
      </x:c>
      <x:c r="F1636" s="70"/>
      <x:c r="G1636" s="70" t="s">
        <x:v>2633</x:v>
      </x:c>
      <x:c r="H1636" s="70" t="s">
        <x:v>849</x:v>
      </x:c>
      <x:c r="I1636" s="70" t="s">
        <x:v>833</x:v>
      </x:c>
      <x:c r="J1636" s="70" t="n">
        <x:v>244</x:v>
      </x:c>
      <x:c r="K1636" s="70" t="s">
        <x:v>834</x:v>
      </x:c>
      <x:c r="L1636" s="70"/>
      <x:c r="M1636" s="70" t="s">
        <x:v>39</x:v>
      </x:c>
      <x:c r="N1636" s="71" t="n">
        <x:v>0</x:v>
      </x:c>
      <x:c r="O1636" s="72" t="n">
        <x:f aca="0">N1636/1000</x:f>
        <x:v>0</x:v>
      </x:c>
      <x:c r="P1636" s="73" t="n">
        <x:f aca="0">FCCL!G25</x:f>
        <x:v>0</x:v>
      </x:c>
      <x:c r="Q1636" s="70" t="str">
        <x:f aca="0">IF(ABS(O1636-P1636)&lt;0.000001,"PASS","FAIL")</x:f>
        <x:v>PASS</x:v>
      </x:c>
      <x:c r="R1636" s="70" t="s">
        <x:v>27</x:v>
      </x:c>
      <x:c r="S1636" s="70"/>
    </x:row>
    <x:row r="1637" ht="15" hidden="0">
      <x:c r="A1637" s="70" t="s">
        <x:v>2664</x:v>
      </x:c>
      <x:c r="B1637" s="70" t="s">
        <x:v>45</x:v>
      </x:c>
      <x:c r="C1637" s="70" t="s">
        <x:v>105</x:v>
      </x:c>
      <x:c r="D1637" s="70" t="s">
        <x:v>120</x:v>
      </x:c>
      <x:c r="E1637" s="70" t="s">
        <x:v>763</x:v>
      </x:c>
      <x:c r="F1637" s="70"/>
      <x:c r="G1637" s="70" t="s">
        <x:v>2633</x:v>
      </x:c>
      <x:c r="H1637" s="70" t="s">
        <x:v>849</x:v>
      </x:c>
      <x:c r="I1637" s="70" t="s">
        <x:v>852</x:v>
      </x:c>
      <x:c r="J1637" s="70" t="n">
        <x:v>244</x:v>
      </x:c>
      <x:c r="K1637" s="70" t="s">
        <x:v>834</x:v>
      </x:c>
      <x:c r="L1637" s="70"/>
      <x:c r="M1637" s="70" t="s">
        <x:v>39</x:v>
      </x:c>
      <x:c r="N1637" s="71" t="n">
        <x:v>0</x:v>
      </x:c>
      <x:c r="O1637" s="72" t="n">
        <x:f aca="0">N1637/1000</x:f>
        <x:v>0</x:v>
      </x:c>
      <x:c r="P1637" s="73" t="n">
        <x:f aca="0">FCCL!H25</x:f>
        <x:v>0</x:v>
      </x:c>
      <x:c r="Q1637" s="70" t="str">
        <x:f aca="0">IF(ABS(O1637-P1637)&lt;0.000001,"PASS","FAIL")</x:f>
        <x:v>PASS</x:v>
      </x:c>
      <x:c r="R1637" s="70" t="s">
        <x:v>27</x:v>
      </x:c>
      <x:c r="S1637" s="70"/>
    </x:row>
    <x:row r="1638" ht="15" hidden="0">
      <x:c r="A1638" s="70" t="s">
        <x:v>2665</x:v>
      </x:c>
      <x:c r="B1638" s="70" t="s">
        <x:v>45</x:v>
      </x:c>
      <x:c r="C1638" s="70" t="s">
        <x:v>717</x:v>
      </x:c>
      <x:c r="D1638" s="70" t="s">
        <x:v>122</x:v>
      </x:c>
      <x:c r="E1638" s="70" t="s">
        <x:v>763</x:v>
      </x:c>
      <x:c r="F1638" s="70" t="s">
        <x:v>2232</x:v>
      </x:c>
      <x:c r="G1638" s="70" t="s">
        <x:v>2624</x:v>
      </x:c>
      <x:c r="H1638" s="70" t="s">
        <x:v>832</x:v>
      </x:c>
      <x:c r="I1638" s="70" t="s">
        <x:v>833</x:v>
      </x:c>
      <x:c r="J1638" s="70" t="n">
        <x:v>165</x:v>
      </x:c>
      <x:c r="K1638" s="70" t="s">
        <x:v>834</x:v>
      </x:c>
      <x:c r="L1638" s="70" t="s">
        <x:v>886</x:v>
      </x:c>
      <x:c r="M1638" s="70" t="s">
        <x:v>39</x:v>
      </x:c>
      <x:c r="N1638" s="71" t="n">
        <x:v>0</x:v>
      </x:c>
      <x:c r="O1638" s="72" t="n">
        <x:f aca="0">N1638/1000</x:f>
        <x:v>0</x:v>
      </x:c>
      <x:c r="P1638" s="73" t="n">
        <x:f aca="0">FCCL!C26</x:f>
        <x:v>0</x:v>
      </x:c>
      <x:c r="Q1638" s="70" t="str">
        <x:f aca="0">IF(ABS(O1638-P1638)&lt;0.000001,"PASS","FAIL")</x:f>
        <x:v>PASS</x:v>
      </x:c>
      <x:c r="R1638" s="70" t="s">
        <x:v>27</x:v>
      </x:c>
      <x:c r="S1638" s="70"/>
    </x:row>
    <x:row r="1639" ht="15" hidden="0">
      <x:c r="A1639" s="70" t="s">
        <x:v>2666</x:v>
      </x:c>
      <x:c r="B1639" s="70" t="s">
        <x:v>45</x:v>
      </x:c>
      <x:c r="C1639" s="70" t="s">
        <x:v>101</x:v>
      </x:c>
      <x:c r="D1639" s="70" t="s">
        <x:v>122</x:v>
      </x:c>
      <x:c r="E1639" s="70" t="s">
        <x:v>763</x:v>
      </x:c>
      <x:c r="F1639" s="70" t="s">
        <x:v>2667</x:v>
      </x:c>
      <x:c r="G1639" s="70" t="s">
        <x:v>2626</x:v>
      </x:c>
      <x:c r="H1639" s="70" t="s">
        <x:v>838</x:v>
      </x:c>
      <x:c r="I1639" s="70" t="s">
        <x:v>833</x:v>
      </x:c>
      <x:c r="J1639" s="70" t="n">
        <x:v>187</x:v>
      </x:c>
      <x:c r="K1639" s="70" t="s">
        <x:v>1942</x:v>
      </x:c>
      <x:c r="L1639" s="70" t="s">
        <x:v>911</x:v>
      </x:c>
      <x:c r="M1639" s="70" t="s">
        <x:v>39</x:v>
      </x:c>
      <x:c r="N1639" s="71" t="n">
        <x:v>15349</x:v>
      </x:c>
      <x:c r="O1639" s="72" t="n">
        <x:f aca="0">N1639/1000</x:f>
        <x:v>15.349</x:v>
      </x:c>
      <x:c r="P1639" s="73" t="n">
        <x:f aca="0">FCCL!D26</x:f>
        <x:v>15.349</x:v>
      </x:c>
      <x:c r="Q1639" s="70" t="str">
        <x:f aca="0">IF(ABS(O1639-P1639)&lt;0.000001,"PASS","FAIL")</x:f>
        <x:v>PASS</x:v>
      </x:c>
      <x:c r="R1639" s="70" t="s">
        <x:v>27</x:v>
      </x:c>
      <x:c r="S1639" s="70"/>
    </x:row>
    <x:row r="1640" ht="15" hidden="0">
      <x:c r="A1640" s="70" t="s">
        <x:v>2668</x:v>
      </x:c>
      <x:c r="B1640" s="70" t="s">
        <x:v>45</x:v>
      </x:c>
      <x:c r="C1640" s="70" t="s">
        <x:v>102</x:v>
      </x:c>
      <x:c r="D1640" s="70" t="s">
        <x:v>122</x:v>
      </x:c>
      <x:c r="E1640" s="70" t="s">
        <x:v>763</x:v>
      </x:c>
      <x:c r="F1640" s="70" t="s">
        <x:v>2667</x:v>
      </x:c>
      <x:c r="G1640" s="70" t="s">
        <x:v>2628</x:v>
      </x:c>
      <x:c r="H1640" s="70" t="s">
        <x:v>842</x:v>
      </x:c>
      <x:c r="I1640" s="70" t="s">
        <x:v>833</x:v>
      </x:c>
      <x:c r="J1640" s="70" t="n">
        <x:v>209</x:v>
      </x:c>
      <x:c r="K1640" s="70" t="s">
        <x:v>2629</x:v>
      </x:c>
      <x:c r="L1640" s="70"/>
      <x:c r="M1640" s="70" t="s">
        <x:v>39</x:v>
      </x:c>
      <x:c r="N1640" s="71" t="n">
        <x:v>66657</x:v>
      </x:c>
      <x:c r="O1640" s="72" t="n">
        <x:f aca="0">N1640/1000</x:f>
        <x:v>66.657</x:v>
      </x:c>
      <x:c r="P1640" s="73" t="n">
        <x:f aca="0">FCCL!E26</x:f>
        <x:v>66.657</x:v>
      </x:c>
      <x:c r="Q1640" s="70" t="str">
        <x:f aca="0">IF(ABS(O1640-P1640)&lt;0.000001,"PASS","FAIL")</x:f>
        <x:v>PASS</x:v>
      </x:c>
      <x:c r="R1640" s="70" t="s">
        <x:v>27</x:v>
      </x:c>
      <x:c r="S1640" s="70"/>
    </x:row>
    <x:row r="1641" ht="15" hidden="0">
      <x:c r="A1641" s="70" t="s">
        <x:v>2669</x:v>
      </x:c>
      <x:c r="B1641" s="70" t="s">
        <x:v>45</x:v>
      </x:c>
      <x:c r="C1641" s="70" t="s">
        <x:v>103</x:v>
      </x:c>
      <x:c r="D1641" s="70" t="s">
        <x:v>122</x:v>
      </x:c>
      <x:c r="E1641" s="70" t="s">
        <x:v>763</x:v>
      </x:c>
      <x:c r="F1641" s="70"/>
      <x:c r="G1641" s="70" t="s">
        <x:v>2631</x:v>
      </x:c>
      <x:c r="H1641" s="70" t="s">
        <x:v>845</x:v>
      </x:c>
      <x:c r="I1641" s="70" t="s">
        <x:v>833</x:v>
      </x:c>
      <x:c r="J1641" s="70" t="n">
        <x:v>190</x:v>
      </x:c>
      <x:c r="K1641" s="70" t="s">
        <x:v>1765</x:v>
      </x:c>
      <x:c r="L1641" s="70"/>
      <x:c r="M1641" s="70" t="s">
        <x:v>39</x:v>
      </x:c>
      <x:c r="N1641" s="71" t="n">
        <x:v>0</x:v>
      </x:c>
      <x:c r="O1641" s="72" t="n">
        <x:f aca="0">N1641/1000</x:f>
        <x:v>0</x:v>
      </x:c>
      <x:c r="P1641" s="73" t="n">
        <x:f aca="0">FCCL!F26</x:f>
        <x:v>0</x:v>
      </x:c>
      <x:c r="Q1641" s="70" t="str">
        <x:f aca="0">IF(ABS(O1641-P1641)&lt;0.000001,"PASS","FAIL")</x:f>
        <x:v>PASS</x:v>
      </x:c>
      <x:c r="R1641" s="70" t="s">
        <x:v>27</x:v>
      </x:c>
      <x:c r="S1641" s="70"/>
    </x:row>
    <x:row r="1642" ht="15" hidden="0">
      <x:c r="A1642" s="70" t="s">
        <x:v>2670</x:v>
      </x:c>
      <x:c r="B1642" s="70" t="s">
        <x:v>45</x:v>
      </x:c>
      <x:c r="C1642" s="70" t="s">
        <x:v>104</x:v>
      </x:c>
      <x:c r="D1642" s="70" t="s">
        <x:v>122</x:v>
      </x:c>
      <x:c r="E1642" s="70" t="s">
        <x:v>763</x:v>
      </x:c>
      <x:c r="F1642" s="70"/>
      <x:c r="G1642" s="70" t="s">
        <x:v>2633</x:v>
      </x:c>
      <x:c r="H1642" s="70" t="s">
        <x:v>849</x:v>
      </x:c>
      <x:c r="I1642" s="70" t="s">
        <x:v>833</x:v>
      </x:c>
      <x:c r="J1642" s="70" t="n">
        <x:v>244</x:v>
      </x:c>
      <x:c r="K1642" s="70" t="s">
        <x:v>834</x:v>
      </x:c>
      <x:c r="L1642" s="70"/>
      <x:c r="M1642" s="70" t="s">
        <x:v>39</x:v>
      </x:c>
      <x:c r="N1642" s="71" t="n">
        <x:v>0</x:v>
      </x:c>
      <x:c r="O1642" s="72" t="n">
        <x:f aca="0">N1642/1000</x:f>
        <x:v>0</x:v>
      </x:c>
      <x:c r="P1642" s="73" t="n">
        <x:f aca="0">FCCL!G26</x:f>
        <x:v>0</x:v>
      </x:c>
      <x:c r="Q1642" s="70" t="str">
        <x:f aca="0">IF(ABS(O1642-P1642)&lt;0.000001,"PASS","FAIL")</x:f>
        <x:v>PASS</x:v>
      </x:c>
      <x:c r="R1642" s="70" t="s">
        <x:v>27</x:v>
      </x:c>
      <x:c r="S1642" s="70"/>
    </x:row>
    <x:row r="1643" ht="15" hidden="0">
      <x:c r="A1643" s="70" t="s">
        <x:v>2671</x:v>
      </x:c>
      <x:c r="B1643" s="70" t="s">
        <x:v>45</x:v>
      </x:c>
      <x:c r="C1643" s="70" t="s">
        <x:v>105</x:v>
      </x:c>
      <x:c r="D1643" s="70" t="s">
        <x:v>122</x:v>
      </x:c>
      <x:c r="E1643" s="70" t="s">
        <x:v>763</x:v>
      </x:c>
      <x:c r="F1643" s="70"/>
      <x:c r="G1643" s="70" t="s">
        <x:v>2633</x:v>
      </x:c>
      <x:c r="H1643" s="70" t="s">
        <x:v>849</x:v>
      </x:c>
      <x:c r="I1643" s="70" t="s">
        <x:v>852</x:v>
      </x:c>
      <x:c r="J1643" s="70" t="n">
        <x:v>244</x:v>
      </x:c>
      <x:c r="K1643" s="70" t="s">
        <x:v>834</x:v>
      </x:c>
      <x:c r="L1643" s="70"/>
      <x:c r="M1643" s="70" t="s">
        <x:v>39</x:v>
      </x:c>
      <x:c r="N1643" s="71" t="n">
        <x:v>0</x:v>
      </x:c>
      <x:c r="O1643" s="72" t="n">
        <x:f aca="0">N1643/1000</x:f>
        <x:v>0</x:v>
      </x:c>
      <x:c r="P1643" s="73" t="n">
        <x:f aca="0">FCCL!H26</x:f>
        <x:v>0</x:v>
      </x:c>
      <x:c r="Q1643" s="70" t="str">
        <x:f aca="0">IF(ABS(O1643-P1643)&lt;0.000001,"PASS","FAIL")</x:f>
        <x:v>PASS</x:v>
      </x:c>
      <x:c r="R1643" s="70" t="s">
        <x:v>27</x:v>
      </x:c>
      <x:c r="S1643" s="70"/>
    </x:row>
    <x:row r="1644" ht="15" hidden="0">
      <x:c r="A1644" s="70" t="s">
        <x:v>2672</x:v>
      </x:c>
      <x:c r="B1644" s="70" t="s">
        <x:v>45</x:v>
      </x:c>
      <x:c r="C1644" s="70" t="s">
        <x:v>717</x:v>
      </x:c>
      <x:c r="D1644" s="70" t="s">
        <x:v>124</x:v>
      </x:c>
      <x:c r="E1644" s="70" t="s">
        <x:v>763</x:v>
      </x:c>
      <x:c r="F1644" s="70" t="s">
        <x:v>2673</x:v>
      </x:c>
      <x:c r="G1644" s="70" t="s">
        <x:v>2624</x:v>
      </x:c>
      <x:c r="H1644" s="70" t="s">
        <x:v>832</x:v>
      </x:c>
      <x:c r="I1644" s="70" t="s">
        <x:v>833</x:v>
      </x:c>
      <x:c r="J1644" s="70" t="n">
        <x:v>165</x:v>
      </x:c>
      <x:c r="K1644" s="70" t="s">
        <x:v>834</x:v>
      </x:c>
      <x:c r="L1644" s="70"/>
      <x:c r="M1644" s="70" t="s">
        <x:v>39</x:v>
      </x:c>
      <x:c r="N1644" s="71" t="n">
        <x:v>99101</x:v>
      </x:c>
      <x:c r="O1644" s="72" t="n">
        <x:f aca="0">N1644/1000</x:f>
        <x:v>99.101</x:v>
      </x:c>
      <x:c r="P1644" s="73" t="n">
        <x:f aca="0">FCCL!C27</x:f>
        <x:v>99.101</x:v>
      </x:c>
      <x:c r="Q1644" s="70" t="str">
        <x:f aca="0">IF(ABS(O1644-P1644)&lt;0.000001,"PASS","FAIL")</x:f>
        <x:v>PASS</x:v>
      </x:c>
      <x:c r="R1644" s="70" t="s">
        <x:v>27</x:v>
      </x:c>
      <x:c r="S1644" s="70"/>
    </x:row>
    <x:row r="1645" ht="15" hidden="0">
      <x:c r="A1645" s="70" t="s">
        <x:v>2674</x:v>
      </x:c>
      <x:c r="B1645" s="70" t="s">
        <x:v>45</x:v>
      </x:c>
      <x:c r="C1645" s="70" t="s">
        <x:v>101</x:v>
      </x:c>
      <x:c r="D1645" s="70" t="s">
        <x:v>124</x:v>
      </x:c>
      <x:c r="E1645" s="70" t="s">
        <x:v>763</x:v>
      </x:c>
      <x:c r="F1645" s="70" t="s">
        <x:v>895</x:v>
      </x:c>
      <x:c r="G1645" s="70" t="s">
        <x:v>2626</x:v>
      </x:c>
      <x:c r="H1645" s="70" t="s">
        <x:v>838</x:v>
      </x:c>
      <x:c r="I1645" s="70" t="s">
        <x:v>833</x:v>
      </x:c>
      <x:c r="J1645" s="70" t="n">
        <x:v>187</x:v>
      </x:c>
      <x:c r="K1645" s="70" t="s">
        <x:v>1942</x:v>
      </x:c>
      <x:c r="L1645" s="70" t="s">
        <x:v>904</x:v>
      </x:c>
      <x:c r="M1645" s="70" t="s">
        <x:v>39</x:v>
      </x:c>
      <x:c r="N1645" s="71" t="n">
        <x:v>86601</x:v>
      </x:c>
      <x:c r="O1645" s="72" t="n">
        <x:f aca="0">N1645/1000</x:f>
        <x:v>86.601</x:v>
      </x:c>
      <x:c r="P1645" s="73" t="n">
        <x:f aca="0">FCCL!D27</x:f>
        <x:v>86.601</x:v>
      </x:c>
      <x:c r="Q1645" s="70" t="str">
        <x:f aca="0">IF(ABS(O1645-P1645)&lt;0.000001,"PASS","FAIL")</x:f>
        <x:v>PASS</x:v>
      </x:c>
      <x:c r="R1645" s="70" t="s">
        <x:v>27</x:v>
      </x:c>
      <x:c r="S1645" s="70"/>
    </x:row>
    <x:row r="1646" ht="15" hidden="0">
      <x:c r="A1646" s="70" t="s">
        <x:v>2675</x:v>
      </x:c>
      <x:c r="B1646" s="70" t="s">
        <x:v>45</x:v>
      </x:c>
      <x:c r="C1646" s="70" t="s">
        <x:v>102</x:v>
      </x:c>
      <x:c r="D1646" s="70" t="s">
        <x:v>124</x:v>
      </x:c>
      <x:c r="E1646" s="70" t="s">
        <x:v>763</x:v>
      </x:c>
      <x:c r="F1646" s="70" t="s">
        <x:v>895</x:v>
      </x:c>
      <x:c r="G1646" s="70" t="s">
        <x:v>2628</x:v>
      </x:c>
      <x:c r="H1646" s="70" t="s">
        <x:v>842</x:v>
      </x:c>
      <x:c r="I1646" s="70" t="s">
        <x:v>833</x:v>
      </x:c>
      <x:c r="J1646" s="70" t="n">
        <x:v>209</x:v>
      </x:c>
      <x:c r="K1646" s="70" t="s">
        <x:v>2629</x:v>
      </x:c>
      <x:c r="L1646" s="70"/>
      <x:c r="M1646" s="70" t="s">
        <x:v>39</x:v>
      </x:c>
      <x:c r="N1646" s="71" t="n">
        <x:v>126274</x:v>
      </x:c>
      <x:c r="O1646" s="72" t="n">
        <x:f aca="0">N1646/1000</x:f>
        <x:v>126.274</x:v>
      </x:c>
      <x:c r="P1646" s="73" t="n">
        <x:f aca="0">FCCL!E27</x:f>
        <x:v>126.274</x:v>
      </x:c>
      <x:c r="Q1646" s="70" t="str">
        <x:f aca="0">IF(ABS(O1646-P1646)&lt;0.000001,"PASS","FAIL")</x:f>
        <x:v>PASS</x:v>
      </x:c>
      <x:c r="R1646" s="70" t="s">
        <x:v>27</x:v>
      </x:c>
      <x:c r="S1646" s="70"/>
    </x:row>
    <x:row r="1647" ht="15" hidden="0">
      <x:c r="A1647" s="70" t="s">
        <x:v>2676</x:v>
      </x:c>
      <x:c r="B1647" s="70" t="s">
        <x:v>45</x:v>
      </x:c>
      <x:c r="C1647" s="70" t="s">
        <x:v>103</x:v>
      </x:c>
      <x:c r="D1647" s="70" t="s">
        <x:v>124</x:v>
      </x:c>
      <x:c r="E1647" s="70" t="s">
        <x:v>763</x:v>
      </x:c>
      <x:c r="F1647" s="70" t="s">
        <x:v>895</x:v>
      </x:c>
      <x:c r="G1647" s="70" t="s">
        <x:v>2631</x:v>
      </x:c>
      <x:c r="H1647" s="70" t="s">
        <x:v>845</x:v>
      </x:c>
      <x:c r="I1647" s="70" t="s">
        <x:v>833</x:v>
      </x:c>
      <x:c r="J1647" s="70" t="n">
        <x:v>191</x:v>
      </x:c>
      <x:c r="K1647" s="70" t="s">
        <x:v>834</x:v>
      </x:c>
      <x:c r="L1647" s="70"/>
      <x:c r="M1647" s="70" t="s">
        <x:v>39</x:v>
      </x:c>
      <x:c r="N1647" s="71" t="n">
        <x:v>129700</x:v>
      </x:c>
      <x:c r="O1647" s="72" t="n">
        <x:f aca="0">N1647/1000</x:f>
        <x:v>129.7</x:v>
      </x:c>
      <x:c r="P1647" s="73" t="n">
        <x:f aca="0">FCCL!F27</x:f>
        <x:v>129.7</x:v>
      </x:c>
      <x:c r="Q1647" s="70" t="str">
        <x:f aca="0">IF(ABS(O1647-P1647)&lt;0.000001,"PASS","FAIL")</x:f>
        <x:v>PASS</x:v>
      </x:c>
      <x:c r="R1647" s="70" t="s">
        <x:v>27</x:v>
      </x:c>
      <x:c r="S1647" s="70"/>
    </x:row>
    <x:row r="1648" ht="15" hidden="0">
      <x:c r="A1648" s="70" t="s">
        <x:v>2677</x:v>
      </x:c>
      <x:c r="B1648" s="70" t="s">
        <x:v>45</x:v>
      </x:c>
      <x:c r="C1648" s="70" t="s">
        <x:v>104</x:v>
      </x:c>
      <x:c r="D1648" s="70" t="s">
        <x:v>124</x:v>
      </x:c>
      <x:c r="E1648" s="70" t="s">
        <x:v>763</x:v>
      </x:c>
      <x:c r="F1648" s="70" t="s">
        <x:v>895</x:v>
      </x:c>
      <x:c r="G1648" s="70" t="s">
        <x:v>2633</x:v>
      </x:c>
      <x:c r="H1648" s="70" t="s">
        <x:v>849</x:v>
      </x:c>
      <x:c r="I1648" s="70" t="s">
        <x:v>833</x:v>
      </x:c>
      <x:c r="J1648" s="70" t="n">
        <x:v>245</x:v>
      </x:c>
      <x:c r="K1648" s="70" t="s">
        <x:v>834</x:v>
      </x:c>
      <x:c r="L1648" s="70"/>
      <x:c r="M1648" s="70" t="s">
        <x:v>39</x:v>
      </x:c>
      <x:c r="N1648" s="71" t="n">
        <x:v>129700</x:v>
      </x:c>
      <x:c r="O1648" s="72" t="n">
        <x:f aca="0">N1648/1000</x:f>
        <x:v>129.7</x:v>
      </x:c>
      <x:c r="P1648" s="73" t="n">
        <x:f aca="0">FCCL!G27</x:f>
        <x:v>129.7</x:v>
      </x:c>
      <x:c r="Q1648" s="70" t="str">
        <x:f aca="0">IF(ABS(O1648-P1648)&lt;0.000001,"PASS","FAIL")</x:f>
        <x:v>PASS</x:v>
      </x:c>
      <x:c r="R1648" s="70" t="s">
        <x:v>27</x:v>
      </x:c>
      <x:c r="S1648" s="70"/>
    </x:row>
    <x:row r="1649" ht="15" hidden="0">
      <x:c r="A1649" s="70" t="s">
        <x:v>2678</x:v>
      </x:c>
      <x:c r="B1649" s="70" t="s">
        <x:v>45</x:v>
      </x:c>
      <x:c r="C1649" s="70" t="s">
        <x:v>105</x:v>
      </x:c>
      <x:c r="D1649" s="70" t="s">
        <x:v>124</x:v>
      </x:c>
      <x:c r="E1649" s="70" t="s">
        <x:v>763</x:v>
      </x:c>
      <x:c r="F1649" s="70" t="s">
        <x:v>895</x:v>
      </x:c>
      <x:c r="G1649" s="70" t="s">
        <x:v>2633</x:v>
      </x:c>
      <x:c r="H1649" s="70" t="s">
        <x:v>849</x:v>
      </x:c>
      <x:c r="I1649" s="70" t="s">
        <x:v>852</x:v>
      </x:c>
      <x:c r="J1649" s="70" t="n">
        <x:v>245</x:v>
      </x:c>
      <x:c r="K1649" s="70" t="s">
        <x:v>834</x:v>
      </x:c>
      <x:c r="L1649" s="70"/>
      <x:c r="M1649" s="70" t="s">
        <x:v>39</x:v>
      </x:c>
      <x:c r="N1649" s="71" t="n">
        <x:v>133425</x:v>
      </x:c>
      <x:c r="O1649" s="72" t="n">
        <x:f aca="0">N1649/1000</x:f>
        <x:v>133.425</x:v>
      </x:c>
      <x:c r="P1649" s="73" t="n">
        <x:f aca="0">FCCL!H27</x:f>
        <x:v>133.425</x:v>
      </x:c>
      <x:c r="Q1649" s="70" t="str">
        <x:f aca="0">IF(ABS(O1649-P1649)&lt;0.000001,"PASS","FAIL")</x:f>
        <x:v>PASS</x:v>
      </x:c>
      <x:c r="R1649" s="70" t="s">
        <x:v>27</x:v>
      </x:c>
      <x:c r="S1649" s="70"/>
    </x:row>
    <x:row r="1650" ht="15" hidden="0">
      <x:c r="A1650" s="70" t="s">
        <x:v>2679</x:v>
      </x:c>
      <x:c r="B1650" s="70" t="s">
        <x:v>45</x:v>
      </x:c>
      <x:c r="C1650" s="70" t="s">
        <x:v>717</x:v>
      </x:c>
      <x:c r="D1650" s="70" t="s">
        <x:v>129</x:v>
      </x:c>
      <x:c r="E1650" s="70" t="s">
        <x:v>763</x:v>
      </x:c>
      <x:c r="F1650" s="70" t="s">
        <x:v>129</x:v>
      </x:c>
      <x:c r="G1650" s="70" t="s">
        <x:v>2624</x:v>
      </x:c>
      <x:c r="H1650" s="70" t="s">
        <x:v>832</x:v>
      </x:c>
      <x:c r="I1650" s="70" t="s">
        <x:v>833</x:v>
      </x:c>
      <x:c r="J1650" s="70" t="n">
        <x:v>165</x:v>
      </x:c>
      <x:c r="K1650" s="70" t="s">
        <x:v>834</x:v>
      </x:c>
      <x:c r="L1650" s="70" t="s">
        <x:v>880</x:v>
      </x:c>
      <x:c r="M1650" s="70" t="s">
        <x:v>39</x:v>
      </x:c>
      <x:c r="N1650" s="71" t="n">
        <x:v>3505809</x:v>
      </x:c>
      <x:c r="O1650" s="72" t="n">
        <x:f aca="0">N1650/1000</x:f>
        <x:v>3505.809</x:v>
      </x:c>
      <x:c r="P1650" s="73" t="n">
        <x:f aca="0">FCCL!C30</x:f>
        <x:v>3505.809</x:v>
      </x:c>
      <x:c r="Q1650" s="70" t="str">
        <x:f aca="0">IF(ABS(O1650-P1650)&lt;0.000001,"PASS","FAIL")</x:f>
        <x:v>PASS</x:v>
      </x:c>
      <x:c r="R1650" s="70" t="s">
        <x:v>27</x:v>
      </x:c>
      <x:c r="S1650" s="70"/>
    </x:row>
    <x:row r="1651" ht="15" hidden="0">
      <x:c r="A1651" s="70" t="s">
        <x:v>2680</x:v>
      </x:c>
      <x:c r="B1651" s="70" t="s">
        <x:v>45</x:v>
      </x:c>
      <x:c r="C1651" s="70" t="s">
        <x:v>101</x:v>
      </x:c>
      <x:c r="D1651" s="70" t="s">
        <x:v>129</x:v>
      </x:c>
      <x:c r="E1651" s="70" t="s">
        <x:v>763</x:v>
      </x:c>
      <x:c r="F1651" s="70" t="s">
        <x:v>2681</x:v>
      </x:c>
      <x:c r="G1651" s="70" t="s">
        <x:v>2626</x:v>
      </x:c>
      <x:c r="H1651" s="70" t="s">
        <x:v>838</x:v>
      </x:c>
      <x:c r="I1651" s="70" t="s">
        <x:v>833</x:v>
      </x:c>
      <x:c r="J1651" s="70" t="n">
        <x:v>187</x:v>
      </x:c>
      <x:c r="K1651" s="70" t="s">
        <x:v>1942</x:v>
      </x:c>
      <x:c r="L1651" s="70" t="s">
        <x:v>919</x:v>
      </x:c>
      <x:c r="M1651" s="70" t="s">
        <x:v>39</x:v>
      </x:c>
      <x:c r="N1651" s="71" t="n">
        <x:v>4250754</x:v>
      </x:c>
      <x:c r="O1651" s="72" t="n">
        <x:f aca="0">N1651/1000</x:f>
        <x:v>4250.754</x:v>
      </x:c>
      <x:c r="P1651" s="73" t="n">
        <x:f aca="0">FCCL!D30</x:f>
        <x:v>4250.754</x:v>
      </x:c>
      <x:c r="Q1651" s="70" t="str">
        <x:f aca="0">IF(ABS(O1651-P1651)&lt;0.000001,"PASS","FAIL")</x:f>
        <x:v>PASS</x:v>
      </x:c>
      <x:c r="R1651" s="70" t="s">
        <x:v>27</x:v>
      </x:c>
      <x:c r="S1651" s="70"/>
    </x:row>
    <x:row r="1652" ht="15" hidden="0">
      <x:c r="A1652" s="70" t="s">
        <x:v>2682</x:v>
      </x:c>
      <x:c r="B1652" s="70" t="s">
        <x:v>45</x:v>
      </x:c>
      <x:c r="C1652" s="70" t="s">
        <x:v>102</x:v>
      </x:c>
      <x:c r="D1652" s="70" t="s">
        <x:v>129</x:v>
      </x:c>
      <x:c r="E1652" s="70" t="s">
        <x:v>763</x:v>
      </x:c>
      <x:c r="F1652" s="70" t="s">
        <x:v>129</x:v>
      </x:c>
      <x:c r="G1652" s="70" t="s">
        <x:v>2628</x:v>
      </x:c>
      <x:c r="H1652" s="70" t="s">
        <x:v>842</x:v>
      </x:c>
      <x:c r="I1652" s="70" t="s">
        <x:v>833</x:v>
      </x:c>
      <x:c r="J1652" s="70" t="n">
        <x:v>209</x:v>
      </x:c>
      <x:c r="K1652" s="70" t="s">
        <x:v>2629</x:v>
      </x:c>
      <x:c r="L1652" s="70" t="s">
        <x:v>882</x:v>
      </x:c>
      <x:c r="M1652" s="70" t="s">
        <x:v>39</x:v>
      </x:c>
      <x:c r="N1652" s="71" t="n">
        <x:v>11939147</x:v>
      </x:c>
      <x:c r="O1652" s="72" t="n">
        <x:f aca="0">N1652/1000</x:f>
        <x:v>11939.147</x:v>
      </x:c>
      <x:c r="P1652" s="73" t="n">
        <x:f aca="0">FCCL!E30</x:f>
        <x:v>11939.147</x:v>
      </x:c>
      <x:c r="Q1652" s="70" t="str">
        <x:f aca="0">IF(ABS(O1652-P1652)&lt;0.000001,"PASS","FAIL")</x:f>
        <x:v>PASS</x:v>
      </x:c>
      <x:c r="R1652" s="70" t="s">
        <x:v>27</x:v>
      </x:c>
      <x:c r="S1652" s="70"/>
    </x:row>
    <x:row r="1653" ht="15" hidden="0">
      <x:c r="A1653" s="70" t="s">
        <x:v>2683</x:v>
      </x:c>
      <x:c r="B1653" s="70" t="s">
        <x:v>45</x:v>
      </x:c>
      <x:c r="C1653" s="70" t="s">
        <x:v>103</x:v>
      </x:c>
      <x:c r="D1653" s="70" t="s">
        <x:v>129</x:v>
      </x:c>
      <x:c r="E1653" s="70" t="s">
        <x:v>763</x:v>
      </x:c>
      <x:c r="F1653" s="70" t="s">
        <x:v>129</x:v>
      </x:c>
      <x:c r="G1653" s="70" t="s">
        <x:v>2631</x:v>
      </x:c>
      <x:c r="H1653" s="70" t="s">
        <x:v>845</x:v>
      </x:c>
      <x:c r="I1653" s="70" t="s">
        <x:v>833</x:v>
      </x:c>
      <x:c r="J1653" s="70" t="n">
        <x:v>191</x:v>
      </x:c>
      <x:c r="K1653" s="70" t="s">
        <x:v>834</x:v>
      </x:c>
      <x:c r="L1653" s="70" t="s">
        <x:v>882</x:v>
      </x:c>
      <x:c r="M1653" s="70" t="s">
        <x:v>39</x:v>
      </x:c>
      <x:c r="N1653" s="71" t="n">
        <x:v>8011181</x:v>
      </x:c>
      <x:c r="O1653" s="72" t="n">
        <x:f aca="0">N1653/1000</x:f>
        <x:v>8011.181</x:v>
      </x:c>
      <x:c r="P1653" s="73" t="n">
        <x:f aca="0">FCCL!F30</x:f>
        <x:v>8011.181</x:v>
      </x:c>
      <x:c r="Q1653" s="70" t="str">
        <x:f aca="0">IF(ABS(O1653-P1653)&lt;0.000001,"PASS","FAIL")</x:f>
        <x:v>PASS</x:v>
      </x:c>
      <x:c r="R1653" s="70" t="s">
        <x:v>27</x:v>
      </x:c>
      <x:c r="S1653" s="70"/>
    </x:row>
    <x:row r="1654" ht="15" hidden="0">
      <x:c r="A1654" s="70" t="s">
        <x:v>2684</x:v>
      </x:c>
      <x:c r="B1654" s="70" t="s">
        <x:v>45</x:v>
      </x:c>
      <x:c r="C1654" s="70" t="s">
        <x:v>104</x:v>
      </x:c>
      <x:c r="D1654" s="70" t="s">
        <x:v>129</x:v>
      </x:c>
      <x:c r="E1654" s="70" t="s">
        <x:v>763</x:v>
      </x:c>
      <x:c r="F1654" s="70" t="s">
        <x:v>129</x:v>
      </x:c>
      <x:c r="G1654" s="70" t="s">
        <x:v>2633</x:v>
      </x:c>
      <x:c r="H1654" s="70" t="s">
        <x:v>849</x:v>
      </x:c>
      <x:c r="I1654" s="70" t="s">
        <x:v>833</x:v>
      </x:c>
      <x:c r="J1654" s="70" t="n">
        <x:v>245</x:v>
      </x:c>
      <x:c r="K1654" s="70" t="s">
        <x:v>834</x:v>
      </x:c>
      <x:c r="L1654" s="70" t="s">
        <x:v>904</x:v>
      </x:c>
      <x:c r="M1654" s="70" t="s">
        <x:v>39</x:v>
      </x:c>
      <x:c r="N1654" s="71" t="n">
        <x:v>9099130</x:v>
      </x:c>
      <x:c r="O1654" s="72" t="n">
        <x:f aca="0">N1654/1000</x:f>
        <x:v>9099.13</x:v>
      </x:c>
      <x:c r="P1654" s="73" t="n">
        <x:f aca="0">FCCL!G30</x:f>
        <x:v>9099.13</x:v>
      </x:c>
      <x:c r="Q1654" s="70" t="str">
        <x:f aca="0">IF(ABS(O1654-P1654)&lt;0.000001,"PASS","FAIL")</x:f>
        <x:v>PASS</x:v>
      </x:c>
      <x:c r="R1654" s="70" t="s">
        <x:v>27</x:v>
      </x:c>
      <x:c r="S1654" s="70"/>
    </x:row>
    <x:row r="1655" ht="15" hidden="0">
      <x:c r="A1655" s="70" t="s">
        <x:v>2685</x:v>
      </x:c>
      <x:c r="B1655" s="70" t="s">
        <x:v>45</x:v>
      </x:c>
      <x:c r="C1655" s="70" t="s">
        <x:v>105</x:v>
      </x:c>
      <x:c r="D1655" s="70" t="s">
        <x:v>129</x:v>
      </x:c>
      <x:c r="E1655" s="70" t="s">
        <x:v>763</x:v>
      </x:c>
      <x:c r="F1655" s="70" t="s">
        <x:v>129</x:v>
      </x:c>
      <x:c r="G1655" s="70" t="s">
        <x:v>2633</x:v>
      </x:c>
      <x:c r="H1655" s="70" t="s">
        <x:v>849</x:v>
      </x:c>
      <x:c r="I1655" s="70" t="s">
        <x:v>852</x:v>
      </x:c>
      <x:c r="J1655" s="70" t="n">
        <x:v>245</x:v>
      </x:c>
      <x:c r="K1655" s="70" t="s">
        <x:v>834</x:v>
      </x:c>
      <x:c r="L1655" s="70" t="s">
        <x:v>904</x:v>
      </x:c>
      <x:c r="M1655" s="70" t="s">
        <x:v>39</x:v>
      </x:c>
      <x:c r="N1655" s="71" t="n">
        <x:v>10377008</x:v>
      </x:c>
      <x:c r="O1655" s="72" t="n">
        <x:f aca="0">N1655/1000</x:f>
        <x:v>10377.008</x:v>
      </x:c>
      <x:c r="P1655" s="73" t="n">
        <x:f aca="0">FCCL!H30</x:f>
        <x:v>10377.008</x:v>
      </x:c>
      <x:c r="Q1655" s="70" t="str">
        <x:f aca="0">IF(ABS(O1655-P1655)&lt;0.000001,"PASS","FAIL")</x:f>
        <x:v>PASS</x:v>
      </x:c>
      <x:c r="R1655" s="70" t="s">
        <x:v>27</x:v>
      </x:c>
      <x:c r="S1655" s="70"/>
    </x:row>
    <x:row r="1656" ht="15" hidden="0">
      <x:c r="A1656" s="70" t="s">
        <x:v>2686</x:v>
      </x:c>
      <x:c r="B1656" s="70" t="s">
        <x:v>45</x:v>
      </x:c>
      <x:c r="C1656" s="70" t="s">
        <x:v>717</x:v>
      </x:c>
      <x:c r="D1656" s="70" t="s">
        <x:v>131</x:v>
      </x:c>
      <x:c r="E1656" s="70" t="s">
        <x:v>763</x:v>
      </x:c>
      <x:c r="F1656" s="70" t="s">
        <x:v>2687</x:v>
      </x:c>
      <x:c r="G1656" s="70" t="s">
        <x:v>2624</x:v>
      </x:c>
      <x:c r="H1656" s="70" t="s">
        <x:v>832</x:v>
      </x:c>
      <x:c r="I1656" s="70" t="s">
        <x:v>833</x:v>
      </x:c>
      <x:c r="J1656" s="70" t="n">
        <x:v>165</x:v>
      </x:c>
      <x:c r="K1656" s="70" t="s">
        <x:v>834</x:v>
      </x:c>
      <x:c r="L1656" s="70" t="s">
        <x:v>882</x:v>
      </x:c>
      <x:c r="M1656" s="70" t="s">
        <x:v>39</x:v>
      </x:c>
      <x:c r="N1656" s="71" t="n">
        <x:v>1187752</x:v>
      </x:c>
      <x:c r="O1656" s="72" t="n">
        <x:f aca="0">N1656/1000</x:f>
        <x:v>1187.752</x:v>
      </x:c>
      <x:c r="P1656" s="73" t="n">
        <x:f aca="0">FCCL!C31</x:f>
        <x:v>1187.752</x:v>
      </x:c>
      <x:c r="Q1656" s="70" t="str">
        <x:f aca="0">IF(ABS(O1656-P1656)&lt;0.000001,"PASS","FAIL")</x:f>
        <x:v>PASS</x:v>
      </x:c>
      <x:c r="R1656" s="70" t="s">
        <x:v>27</x:v>
      </x:c>
      <x:c r="S1656" s="70"/>
    </x:row>
    <x:row r="1657" ht="15" hidden="0">
      <x:c r="A1657" s="70" t="s">
        <x:v>2688</x:v>
      </x:c>
      <x:c r="B1657" s="70" t="s">
        <x:v>45</x:v>
      </x:c>
      <x:c r="C1657" s="70" t="s">
        <x:v>101</x:v>
      </x:c>
      <x:c r="D1657" s="70" t="s">
        <x:v>131</x:v>
      </x:c>
      <x:c r="E1657" s="70" t="s">
        <x:v>763</x:v>
      </x:c>
      <x:c r="F1657" s="70" t="s">
        <x:v>2687</x:v>
      </x:c>
      <x:c r="G1657" s="70" t="s">
        <x:v>2626</x:v>
      </x:c>
      <x:c r="H1657" s="70" t="s">
        <x:v>838</x:v>
      </x:c>
      <x:c r="I1657" s="70" t="s">
        <x:v>833</x:v>
      </x:c>
      <x:c r="J1657" s="70" t="n">
        <x:v>187</x:v>
      </x:c>
      <x:c r="K1657" s="70" t="s">
        <x:v>1942</x:v>
      </x:c>
      <x:c r="L1657" s="70" t="s">
        <x:v>927</x:v>
      </x:c>
      <x:c r="M1657" s="70" t="s">
        <x:v>39</x:v>
      </x:c>
      <x:c r="N1657" s="71" t="n">
        <x:v>1189198</x:v>
      </x:c>
      <x:c r="O1657" s="72" t="n">
        <x:f aca="0">N1657/1000</x:f>
        <x:v>1189.198</x:v>
      </x:c>
      <x:c r="P1657" s="73" t="n">
        <x:f aca="0">FCCL!D31</x:f>
        <x:v>1189.198</x:v>
      </x:c>
      <x:c r="Q1657" s="70" t="str">
        <x:f aca="0">IF(ABS(O1657-P1657)&lt;0.000001,"PASS","FAIL")</x:f>
        <x:v>PASS</x:v>
      </x:c>
      <x:c r="R1657" s="70" t="s">
        <x:v>27</x:v>
      </x:c>
      <x:c r="S1657" s="70"/>
    </x:row>
    <x:row r="1658" ht="15" hidden="0">
      <x:c r="A1658" s="70" t="s">
        <x:v>2689</x:v>
      </x:c>
      <x:c r="B1658" s="70" t="s">
        <x:v>45</x:v>
      </x:c>
      <x:c r="C1658" s="70" t="s">
        <x:v>102</x:v>
      </x:c>
      <x:c r="D1658" s="70" t="s">
        <x:v>131</x:v>
      </x:c>
      <x:c r="E1658" s="70" t="s">
        <x:v>763</x:v>
      </x:c>
      <x:c r="F1658" s="70" t="s">
        <x:v>2687</x:v>
      </x:c>
      <x:c r="G1658" s="70" t="s">
        <x:v>2628</x:v>
      </x:c>
      <x:c r="H1658" s="70" t="s">
        <x:v>842</x:v>
      </x:c>
      <x:c r="I1658" s="70" t="s">
        <x:v>833</x:v>
      </x:c>
      <x:c r="J1658" s="70" t="n">
        <x:v>209</x:v>
      </x:c>
      <x:c r="K1658" s="70" t="s">
        <x:v>2629</x:v>
      </x:c>
      <x:c r="L1658" s="70" t="s">
        <x:v>904</x:v>
      </x:c>
      <x:c r="M1658" s="70" t="s">
        <x:v>39</x:v>
      </x:c>
      <x:c r="N1658" s="71" t="n">
        <x:v>3697721</x:v>
      </x:c>
      <x:c r="O1658" s="72" t="n">
        <x:f aca="0">N1658/1000</x:f>
        <x:v>3697.721</x:v>
      </x:c>
      <x:c r="P1658" s="73" t="n">
        <x:f aca="0">FCCL!E31</x:f>
        <x:v>3697.721</x:v>
      </x:c>
      <x:c r="Q1658" s="70" t="str">
        <x:f aca="0">IF(ABS(O1658-P1658)&lt;0.000001,"PASS","FAIL")</x:f>
        <x:v>PASS</x:v>
      </x:c>
      <x:c r="R1658" s="70" t="s">
        <x:v>27</x:v>
      </x:c>
      <x:c r="S1658" s="70"/>
    </x:row>
    <x:row r="1659" ht="15" hidden="0">
      <x:c r="A1659" s="70" t="s">
        <x:v>2690</x:v>
      </x:c>
      <x:c r="B1659" s="70" t="s">
        <x:v>45</x:v>
      </x:c>
      <x:c r="C1659" s="70" t="s">
        <x:v>103</x:v>
      </x:c>
      <x:c r="D1659" s="70" t="s">
        <x:v>131</x:v>
      </x:c>
      <x:c r="E1659" s="70" t="s">
        <x:v>763</x:v>
      </x:c>
      <x:c r="F1659" s="70" t="s">
        <x:v>2687</x:v>
      </x:c>
      <x:c r="G1659" s="70" t="s">
        <x:v>2631</x:v>
      </x:c>
      <x:c r="H1659" s="70" t="s">
        <x:v>845</x:v>
      </x:c>
      <x:c r="I1659" s="70" t="s">
        <x:v>833</x:v>
      </x:c>
      <x:c r="J1659" s="70" t="n">
        <x:v>191</x:v>
      </x:c>
      <x:c r="K1659" s="70" t="s">
        <x:v>834</x:v>
      </x:c>
      <x:c r="L1659" s="70" t="s">
        <x:v>904</x:v>
      </x:c>
      <x:c r="M1659" s="70" t="s">
        <x:v>39</x:v>
      </x:c>
      <x:c r="N1659" s="71" t="n">
        <x:v>7112327</x:v>
      </x:c>
      <x:c r="O1659" s="72" t="n">
        <x:f aca="0">N1659/1000</x:f>
        <x:v>7112.327</x:v>
      </x:c>
      <x:c r="P1659" s="73" t="n">
        <x:f aca="0">FCCL!F31</x:f>
        <x:v>7112.327</x:v>
      </x:c>
      <x:c r="Q1659" s="70" t="str">
        <x:f aca="0">IF(ABS(O1659-P1659)&lt;0.000001,"PASS","FAIL")</x:f>
        <x:v>PASS</x:v>
      </x:c>
      <x:c r="R1659" s="70" t="s">
        <x:v>27</x:v>
      </x:c>
      <x:c r="S1659" s="70"/>
    </x:row>
    <x:row r="1660" ht="15" hidden="0">
      <x:c r="A1660" s="70" t="s">
        <x:v>2691</x:v>
      </x:c>
      <x:c r="B1660" s="70" t="s">
        <x:v>45</x:v>
      </x:c>
      <x:c r="C1660" s="70" t="s">
        <x:v>104</x:v>
      </x:c>
      <x:c r="D1660" s="70" t="s">
        <x:v>131</x:v>
      </x:c>
      <x:c r="E1660" s="70" t="s">
        <x:v>763</x:v>
      </x:c>
      <x:c r="F1660" s="70" t="s">
        <x:v>2687</x:v>
      </x:c>
      <x:c r="G1660" s="70" t="s">
        <x:v>2633</x:v>
      </x:c>
      <x:c r="H1660" s="70" t="s">
        <x:v>849</x:v>
      </x:c>
      <x:c r="I1660" s="70" t="s">
        <x:v>833</x:v>
      </x:c>
      <x:c r="J1660" s="70" t="n">
        <x:v>245</x:v>
      </x:c>
      <x:c r="K1660" s="70" t="s">
        <x:v>834</x:v>
      </x:c>
      <x:c r="L1660" s="70" t="s">
        <x:v>911</x:v>
      </x:c>
      <x:c r="M1660" s="70" t="s">
        <x:v>39</x:v>
      </x:c>
      <x:c r="N1660" s="71" t="n">
        <x:v>7495705</x:v>
      </x:c>
      <x:c r="O1660" s="72" t="n">
        <x:f aca="0">N1660/1000</x:f>
        <x:v>7495.705</x:v>
      </x:c>
      <x:c r="P1660" s="73" t="n">
        <x:f aca="0">FCCL!G31</x:f>
        <x:v>7495.705</x:v>
      </x:c>
      <x:c r="Q1660" s="70" t="str">
        <x:f aca="0">IF(ABS(O1660-P1660)&lt;0.000001,"PASS","FAIL")</x:f>
        <x:v>PASS</x:v>
      </x:c>
      <x:c r="R1660" s="70" t="s">
        <x:v>27</x:v>
      </x:c>
      <x:c r="S1660" s="70"/>
    </x:row>
    <x:row r="1661" ht="15" hidden="0">
      <x:c r="A1661" s="70" t="s">
        <x:v>2692</x:v>
      </x:c>
      <x:c r="B1661" s="70" t="s">
        <x:v>45</x:v>
      </x:c>
      <x:c r="C1661" s="70" t="s">
        <x:v>105</x:v>
      </x:c>
      <x:c r="D1661" s="70" t="s">
        <x:v>131</x:v>
      </x:c>
      <x:c r="E1661" s="70" t="s">
        <x:v>763</x:v>
      </x:c>
      <x:c r="F1661" s="70" t="s">
        <x:v>2687</x:v>
      </x:c>
      <x:c r="G1661" s="70" t="s">
        <x:v>2633</x:v>
      </x:c>
      <x:c r="H1661" s="70" t="s">
        <x:v>849</x:v>
      </x:c>
      <x:c r="I1661" s="70" t="s">
        <x:v>852</x:v>
      </x:c>
      <x:c r="J1661" s="70" t="n">
        <x:v>245</x:v>
      </x:c>
      <x:c r="K1661" s="70" t="s">
        <x:v>834</x:v>
      </x:c>
      <x:c r="L1661" s="70" t="s">
        <x:v>911</x:v>
      </x:c>
      <x:c r="M1661" s="70" t="s">
        <x:v>39</x:v>
      </x:c>
      <x:c r="N1661" s="71" t="n">
        <x:v>9337617</x:v>
      </x:c>
      <x:c r="O1661" s="72" t="n">
        <x:f aca="0">N1661/1000</x:f>
        <x:v>9337.617</x:v>
      </x:c>
      <x:c r="P1661" s="73" t="n">
        <x:f aca="0">FCCL!H31</x:f>
        <x:v>9337.617</x:v>
      </x:c>
      <x:c r="Q1661" s="70" t="str">
        <x:f aca="0">IF(ABS(O1661-P1661)&lt;0.000001,"PASS","FAIL")</x:f>
        <x:v>PASS</x:v>
      </x:c>
      <x:c r="R1661" s="70" t="s">
        <x:v>27</x:v>
      </x:c>
      <x:c r="S1661" s="70"/>
    </x:row>
    <x:row r="1662" ht="15" hidden="0">
      <x:c r="A1662" s="70" t="s">
        <x:v>2693</x:v>
      </x:c>
      <x:c r="B1662" s="70" t="s">
        <x:v>45</x:v>
      </x:c>
      <x:c r="C1662" s="70" t="s">
        <x:v>717</x:v>
      </x:c>
      <x:c r="D1662" s="70" t="s">
        <x:v>133</x:v>
      </x:c>
      <x:c r="E1662" s="70" t="s">
        <x:v>763</x:v>
      </x:c>
      <x:c r="F1662" s="70" t="s">
        <x:v>133</x:v>
      </x:c>
      <x:c r="G1662" s="70" t="s">
        <x:v>2624</x:v>
      </x:c>
      <x:c r="H1662" s="70" t="s">
        <x:v>832</x:v>
      </x:c>
      <x:c r="I1662" s="70" t="s">
        <x:v>833</x:v>
      </x:c>
      <x:c r="J1662" s="70" t="n">
        <x:v>165</x:v>
      </x:c>
      <x:c r="K1662" s="70" t="s">
        <x:v>834</x:v>
      </x:c>
      <x:c r="L1662" s="70" t="s">
        <x:v>904</x:v>
      </x:c>
      <x:c r="M1662" s="70" t="s">
        <x:v>39</x:v>
      </x:c>
      <x:c r="N1662" s="71" t="n">
        <x:v>1050640</x:v>
      </x:c>
      <x:c r="O1662" s="72" t="n">
        <x:f aca="0">N1662/1000</x:f>
        <x:v>1050.64</x:v>
      </x:c>
      <x:c r="P1662" s="73" t="n">
        <x:f aca="0">FCCL!C32</x:f>
        <x:v>1050.64</x:v>
      </x:c>
      <x:c r="Q1662" s="70" t="str">
        <x:f aca="0">IF(ABS(O1662-P1662)&lt;0.000001,"PASS","FAIL")</x:f>
        <x:v>PASS</x:v>
      </x:c>
      <x:c r="R1662" s="70" t="s">
        <x:v>27</x:v>
      </x:c>
      <x:c r="S1662" s="70"/>
    </x:row>
    <x:row r="1663" ht="15" hidden="0">
      <x:c r="A1663" s="70" t="s">
        <x:v>2694</x:v>
      </x:c>
      <x:c r="B1663" s="70" t="s">
        <x:v>45</x:v>
      </x:c>
      <x:c r="C1663" s="70" t="s">
        <x:v>101</x:v>
      </x:c>
      <x:c r="D1663" s="70" t="s">
        <x:v>133</x:v>
      </x:c>
      <x:c r="E1663" s="70" t="s">
        <x:v>763</x:v>
      </x:c>
      <x:c r="F1663" s="70" t="s">
        <x:v>2695</x:v>
      </x:c>
      <x:c r="G1663" s="70" t="s">
        <x:v>2626</x:v>
      </x:c>
      <x:c r="H1663" s="70" t="s">
        <x:v>838</x:v>
      </x:c>
      <x:c r="I1663" s="70" t="s">
        <x:v>833</x:v>
      </x:c>
      <x:c r="J1663" s="70" t="n">
        <x:v>187</x:v>
      </x:c>
      <x:c r="K1663" s="70" t="s">
        <x:v>1942</x:v>
      </x:c>
      <x:c r="L1663" s="70" t="s">
        <x:v>933</x:v>
      </x:c>
      <x:c r="M1663" s="70" t="s">
        <x:v>39</x:v>
      </x:c>
      <x:c r="N1663" s="71" t="n">
        <x:v>1449600</x:v>
      </x:c>
      <x:c r="O1663" s="72" t="n">
        <x:f aca="0">N1663/1000</x:f>
        <x:v>1449.6</x:v>
      </x:c>
      <x:c r="P1663" s="73" t="n">
        <x:f aca="0">FCCL!D32</x:f>
        <x:v>1449.6</x:v>
      </x:c>
      <x:c r="Q1663" s="70" t="str">
        <x:f aca="0">IF(ABS(O1663-P1663)&lt;0.000001,"PASS","FAIL")</x:f>
        <x:v>PASS</x:v>
      </x:c>
      <x:c r="R1663" s="70" t="s">
        <x:v>27</x:v>
      </x:c>
      <x:c r="S1663" s="70"/>
    </x:row>
    <x:row r="1664" ht="15" hidden="0">
      <x:c r="A1664" s="70" t="s">
        <x:v>2696</x:v>
      </x:c>
      <x:c r="B1664" s="70" t="s">
        <x:v>45</x:v>
      </x:c>
      <x:c r="C1664" s="70" t="s">
        <x:v>102</x:v>
      </x:c>
      <x:c r="D1664" s="70" t="s">
        <x:v>133</x:v>
      </x:c>
      <x:c r="E1664" s="70" t="s">
        <x:v>763</x:v>
      </x:c>
      <x:c r="F1664" s="70" t="s">
        <x:v>133</x:v>
      </x:c>
      <x:c r="G1664" s="70" t="s">
        <x:v>2628</x:v>
      </x:c>
      <x:c r="H1664" s="70" t="s">
        <x:v>842</x:v>
      </x:c>
      <x:c r="I1664" s="70" t="s">
        <x:v>833</x:v>
      </x:c>
      <x:c r="J1664" s="70" t="n">
        <x:v>209</x:v>
      </x:c>
      <x:c r="K1664" s="70" t="s">
        <x:v>2629</x:v>
      </x:c>
      <x:c r="L1664" s="70" t="s">
        <x:v>911</x:v>
      </x:c>
      <x:c r="M1664" s="70" t="s">
        <x:v>39</x:v>
      </x:c>
      <x:c r="N1664" s="71" t="n">
        <x:v>2412758</x:v>
      </x:c>
      <x:c r="O1664" s="72" t="n">
        <x:f aca="0">N1664/1000</x:f>
        <x:v>2412.758</x:v>
      </x:c>
      <x:c r="P1664" s="73" t="n">
        <x:f aca="0">FCCL!E32</x:f>
        <x:v>2412.758</x:v>
      </x:c>
      <x:c r="Q1664" s="70" t="str">
        <x:f aca="0">IF(ABS(O1664-P1664)&lt;0.000001,"PASS","FAIL")</x:f>
        <x:v>PASS</x:v>
      </x:c>
      <x:c r="R1664" s="70" t="s">
        <x:v>27</x:v>
      </x:c>
      <x:c r="S1664" s="70"/>
    </x:row>
    <x:row r="1665" ht="15" hidden="0">
      <x:c r="A1665" s="70" t="s">
        <x:v>2697</x:v>
      </x:c>
      <x:c r="B1665" s="70" t="s">
        <x:v>45</x:v>
      </x:c>
      <x:c r="C1665" s="70" t="s">
        <x:v>103</x:v>
      </x:c>
      <x:c r="D1665" s="70" t="s">
        <x:v>133</x:v>
      </x:c>
      <x:c r="E1665" s="70" t="s">
        <x:v>763</x:v>
      </x:c>
      <x:c r="F1665" s="70" t="s">
        <x:v>133</x:v>
      </x:c>
      <x:c r="G1665" s="70" t="s">
        <x:v>2631</x:v>
      </x:c>
      <x:c r="H1665" s="70" t="s">
        <x:v>845</x:v>
      </x:c>
      <x:c r="I1665" s="70" t="s">
        <x:v>833</x:v>
      </x:c>
      <x:c r="J1665" s="70" t="n">
        <x:v>191</x:v>
      </x:c>
      <x:c r="K1665" s="70" t="s">
        <x:v>834</x:v>
      </x:c>
      <x:c r="L1665" s="70" t="s">
        <x:v>911</x:v>
      </x:c>
      <x:c r="M1665" s="70" t="s">
        <x:v>39</x:v>
      </x:c>
      <x:c r="N1665" s="71" t="n">
        <x:v>3572445</x:v>
      </x:c>
      <x:c r="O1665" s="72" t="n">
        <x:f aca="0">N1665/1000</x:f>
        <x:v>3572.445</x:v>
      </x:c>
      <x:c r="P1665" s="73" t="n">
        <x:f aca="0">FCCL!F32</x:f>
        <x:v>3572.445</x:v>
      </x:c>
      <x:c r="Q1665" s="70" t="str">
        <x:f aca="0">IF(ABS(O1665-P1665)&lt;0.000001,"PASS","FAIL")</x:f>
        <x:v>PASS</x:v>
      </x:c>
      <x:c r="R1665" s="70" t="s">
        <x:v>27</x:v>
      </x:c>
      <x:c r="S1665" s="70"/>
    </x:row>
    <x:row r="1666" ht="15" hidden="0">
      <x:c r="A1666" s="70" t="s">
        <x:v>2698</x:v>
      </x:c>
      <x:c r="B1666" s="70" t="s">
        <x:v>45</x:v>
      </x:c>
      <x:c r="C1666" s="70" t="s">
        <x:v>104</x:v>
      </x:c>
      <x:c r="D1666" s="70" t="s">
        <x:v>133</x:v>
      </x:c>
      <x:c r="E1666" s="70" t="s">
        <x:v>763</x:v>
      </x:c>
      <x:c r="F1666" s="70" t="s">
        <x:v>133</x:v>
      </x:c>
      <x:c r="G1666" s="70" t="s">
        <x:v>2633</x:v>
      </x:c>
      <x:c r="H1666" s="70" t="s">
        <x:v>849</x:v>
      </x:c>
      <x:c r="I1666" s="70" t="s">
        <x:v>833</x:v>
      </x:c>
      <x:c r="J1666" s="70" t="n">
        <x:v>245</x:v>
      </x:c>
      <x:c r="K1666" s="70" t="s">
        <x:v>834</x:v>
      </x:c>
      <x:c r="L1666" s="70" t="s">
        <x:v>919</x:v>
      </x:c>
      <x:c r="M1666" s="70" t="s">
        <x:v>39</x:v>
      </x:c>
      <x:c r="N1666" s="71" t="n">
        <x:v>5545241</x:v>
      </x:c>
      <x:c r="O1666" s="72" t="n">
        <x:f aca="0">N1666/1000</x:f>
        <x:v>5545.241</x:v>
      </x:c>
      <x:c r="P1666" s="73" t="n">
        <x:f aca="0">FCCL!G32</x:f>
        <x:v>5545.241</x:v>
      </x:c>
      <x:c r="Q1666" s="70" t="str">
        <x:f aca="0">IF(ABS(O1666-P1666)&lt;0.000001,"PASS","FAIL")</x:f>
        <x:v>PASS</x:v>
      </x:c>
      <x:c r="R1666" s="70" t="s">
        <x:v>27</x:v>
      </x:c>
      <x:c r="S1666" s="70"/>
    </x:row>
    <x:row r="1667" ht="15" hidden="0">
      <x:c r="A1667" s="70" t="s">
        <x:v>2699</x:v>
      </x:c>
      <x:c r="B1667" s="70" t="s">
        <x:v>45</x:v>
      </x:c>
      <x:c r="C1667" s="70" t="s">
        <x:v>105</x:v>
      </x:c>
      <x:c r="D1667" s="70" t="s">
        <x:v>133</x:v>
      </x:c>
      <x:c r="E1667" s="70" t="s">
        <x:v>763</x:v>
      </x:c>
      <x:c r="F1667" s="70" t="s">
        <x:v>133</x:v>
      </x:c>
      <x:c r="G1667" s="70" t="s">
        <x:v>2633</x:v>
      </x:c>
      <x:c r="H1667" s="70" t="s">
        <x:v>849</x:v>
      </x:c>
      <x:c r="I1667" s="70" t="s">
        <x:v>852</x:v>
      </x:c>
      <x:c r="J1667" s="70" t="n">
        <x:v>245</x:v>
      </x:c>
      <x:c r="K1667" s="70" t="s">
        <x:v>834</x:v>
      </x:c>
      <x:c r="L1667" s="70" t="s">
        <x:v>919</x:v>
      </x:c>
      <x:c r="M1667" s="70" t="s">
        <x:v>39</x:v>
      </x:c>
      <x:c r="N1667" s="71" t="n">
        <x:v>6911322</x:v>
      </x:c>
      <x:c r="O1667" s="72" t="n">
        <x:f aca="0">N1667/1000</x:f>
        <x:v>6911.322</x:v>
      </x:c>
      <x:c r="P1667" s="73" t="n">
        <x:f aca="0">FCCL!H32</x:f>
        <x:v>6911.322</x:v>
      </x:c>
      <x:c r="Q1667" s="70" t="str">
        <x:f aca="0">IF(ABS(O1667-P1667)&lt;0.000001,"PASS","FAIL")</x:f>
        <x:v>PASS</x:v>
      </x:c>
      <x:c r="R1667" s="70" t="s">
        <x:v>27</x:v>
      </x:c>
      <x:c r="S1667" s="70"/>
    </x:row>
    <x:row r="1668" ht="15" hidden="0">
      <x:c r="A1668" s="70" t="s">
        <x:v>2700</x:v>
      </x:c>
      <x:c r="B1668" s="70" t="s">
        <x:v>45</x:v>
      </x:c>
      <x:c r="C1668" s="70" t="s">
        <x:v>717</x:v>
      </x:c>
      <x:c r="D1668" s="70" t="s">
        <x:v>135</x:v>
      </x:c>
      <x:c r="E1668" s="70" t="s">
        <x:v>763</x:v>
      </x:c>
      <x:c r="F1668" s="70" t="s">
        <x:v>925</x:v>
      </x:c>
      <x:c r="G1668" s="70" t="s">
        <x:v>2624</x:v>
      </x:c>
      <x:c r="H1668" s="70" t="s">
        <x:v>832</x:v>
      </x:c>
      <x:c r="I1668" s="70" t="s">
        <x:v>833</x:v>
      </x:c>
      <x:c r="J1668" s="70" t="n">
        <x:v>165</x:v>
      </x:c>
      <x:c r="K1668" s="70" t="s">
        <x:v>834</x:v>
      </x:c>
      <x:c r="L1668" s="70" t="s">
        <x:v>933</x:v>
      </x:c>
      <x:c r="M1668" s="70" t="s">
        <x:v>39</x:v>
      </x:c>
      <x:c r="N1668" s="71" t="n">
        <x:v>0</x:v>
      </x:c>
      <x:c r="O1668" s="72" t="n">
        <x:f aca="0">N1668/1000</x:f>
        <x:v>0</x:v>
      </x:c>
      <x:c r="P1668" s="73" t="n">
        <x:f aca="0">FCCL!C33</x:f>
        <x:v>0</x:v>
      </x:c>
      <x:c r="Q1668" s="70" t="str">
        <x:f aca="0">IF(ABS(O1668-P1668)&lt;0.000001,"PASS","FAIL")</x:f>
        <x:v>PASS</x:v>
      </x:c>
      <x:c r="R1668" s="70" t="s">
        <x:v>27</x:v>
      </x:c>
      <x:c r="S1668" s="70"/>
    </x:row>
    <x:row r="1669" ht="15" hidden="0">
      <x:c r="A1669" s="70" t="s">
        <x:v>2701</x:v>
      </x:c>
      <x:c r="B1669" s="70" t="s">
        <x:v>45</x:v>
      </x:c>
      <x:c r="C1669" s="70" t="s">
        <x:v>101</x:v>
      </x:c>
      <x:c r="D1669" s="70" t="s">
        <x:v>135</x:v>
      </x:c>
      <x:c r="E1669" s="70" t="s">
        <x:v>763</x:v>
      </x:c>
      <x:c r="F1669" s="70" t="s">
        <x:v>925</x:v>
      </x:c>
      <x:c r="G1669" s="70" t="s">
        <x:v>2626</x:v>
      </x:c>
      <x:c r="H1669" s="70" t="s">
        <x:v>838</x:v>
      </x:c>
      <x:c r="I1669" s="70" t="s">
        <x:v>833</x:v>
      </x:c>
      <x:c r="J1669" s="70" t="n">
        <x:v>187</x:v>
      </x:c>
      <x:c r="K1669" s="70" t="s">
        <x:v>1942</x:v>
      </x:c>
      <x:c r="L1669" s="70" t="s">
        <x:v>2265</x:v>
      </x:c>
      <x:c r="M1669" s="70" t="s">
        <x:v>39</x:v>
      </x:c>
      <x:c r="N1669" s="71" t="n">
        <x:v>4397699</x:v>
      </x:c>
      <x:c r="O1669" s="72" t="n">
        <x:f aca="0">N1669/1000</x:f>
        <x:v>4397.699</x:v>
      </x:c>
      <x:c r="P1669" s="73" t="n">
        <x:f aca="0">FCCL!D33</x:f>
        <x:v>4397.699</x:v>
      </x:c>
      <x:c r="Q1669" s="70" t="str">
        <x:f aca="0">IF(ABS(O1669-P1669)&lt;0.000001,"PASS","FAIL")</x:f>
        <x:v>PASS</x:v>
      </x:c>
      <x:c r="R1669" s="70" t="s">
        <x:v>27</x:v>
      </x:c>
      <x:c r="S1669" s="70"/>
    </x:row>
    <x:row r="1670" ht="15" hidden="0">
      <x:c r="A1670" s="70" t="s">
        <x:v>2702</x:v>
      </x:c>
      <x:c r="B1670" s="70" t="s">
        <x:v>45</x:v>
      </x:c>
      <x:c r="C1670" s="70" t="s">
        <x:v>102</x:v>
      </x:c>
      <x:c r="D1670" s="70" t="s">
        <x:v>135</x:v>
      </x:c>
      <x:c r="E1670" s="70" t="s">
        <x:v>763</x:v>
      </x:c>
      <x:c r="F1670" s="70" t="s">
        <x:v>925</x:v>
      </x:c>
      <x:c r="G1670" s="70" t="s">
        <x:v>2628</x:v>
      </x:c>
      <x:c r="H1670" s="70" t="s">
        <x:v>842</x:v>
      </x:c>
      <x:c r="I1670" s="70" t="s">
        <x:v>833</x:v>
      </x:c>
      <x:c r="J1670" s="70" t="n">
        <x:v>209</x:v>
      </x:c>
      <x:c r="K1670" s="70" t="s">
        <x:v>2629</x:v>
      </x:c>
      <x:c r="L1670" s="70" t="s">
        <x:v>1479</x:v>
      </x:c>
      <x:c r="M1670" s="70" t="s">
        <x:v>39</x:v>
      </x:c>
      <x:c r="N1670" s="71" t="n">
        <x:v>3843010</x:v>
      </x:c>
      <x:c r="O1670" s="72" t="n">
        <x:f aca="0">N1670/1000</x:f>
        <x:v>3843.01</x:v>
      </x:c>
      <x:c r="P1670" s="73" t="n">
        <x:f aca="0">FCCL!E33</x:f>
        <x:v>3843.01</x:v>
      </x:c>
      <x:c r="Q1670" s="70" t="str">
        <x:f aca="0">IF(ABS(O1670-P1670)&lt;0.000001,"PASS","FAIL")</x:f>
        <x:v>PASS</x:v>
      </x:c>
      <x:c r="R1670" s="70" t="s">
        <x:v>27</x:v>
      </x:c>
      <x:c r="S1670" s="70"/>
    </x:row>
    <x:row r="1671" ht="15" hidden="0">
      <x:c r="A1671" s="70" t="s">
        <x:v>2703</x:v>
      </x:c>
      <x:c r="B1671" s="70" t="s">
        <x:v>45</x:v>
      </x:c>
      <x:c r="C1671" s="70" t="s">
        <x:v>103</x:v>
      </x:c>
      <x:c r="D1671" s="70" t="s">
        <x:v>135</x:v>
      </x:c>
      <x:c r="E1671" s="70" t="s">
        <x:v>763</x:v>
      </x:c>
      <x:c r="F1671" s="70" t="s">
        <x:v>925</x:v>
      </x:c>
      <x:c r="G1671" s="70" t="s">
        <x:v>2631</x:v>
      </x:c>
      <x:c r="H1671" s="70" t="s">
        <x:v>845</x:v>
      </x:c>
      <x:c r="I1671" s="70" t="s">
        <x:v>833</x:v>
      </x:c>
      <x:c r="J1671" s="70" t="n">
        <x:v>191</x:v>
      </x:c>
      <x:c r="K1671" s="70" t="s">
        <x:v>834</x:v>
      </x:c>
      <x:c r="L1671" s="70" t="s">
        <x:v>935</x:v>
      </x:c>
      <x:c r="M1671" s="70" t="s">
        <x:v>39</x:v>
      </x:c>
      <x:c r="N1671" s="71" t="n">
        <x:v>250000</x:v>
      </x:c>
      <x:c r="O1671" s="72" t="n">
        <x:f aca="0">N1671/1000</x:f>
        <x:v>250</x:v>
      </x:c>
      <x:c r="P1671" s="73" t="n">
        <x:f aca="0">FCCL!F33</x:f>
        <x:v>250</x:v>
      </x:c>
      <x:c r="Q1671" s="70" t="str">
        <x:f aca="0">IF(ABS(O1671-P1671)&lt;0.000001,"PASS","FAIL")</x:f>
        <x:v>PASS</x:v>
      </x:c>
      <x:c r="R1671" s="70" t="s">
        <x:v>27</x:v>
      </x:c>
      <x:c r="S1671" s="70"/>
    </x:row>
    <x:row r="1672" ht="15" hidden="0">
      <x:c r="A1672" s="70" t="s">
        <x:v>2704</x:v>
      </x:c>
      <x:c r="B1672" s="70" t="s">
        <x:v>45</x:v>
      </x:c>
      <x:c r="C1672" s="70" t="s">
        <x:v>104</x:v>
      </x:c>
      <x:c r="D1672" s="70" t="s">
        <x:v>135</x:v>
      </x:c>
      <x:c r="E1672" s="70" t="s">
        <x:v>763</x:v>
      </x:c>
      <x:c r="F1672" s="70" t="s">
        <x:v>925</x:v>
      </x:c>
      <x:c r="G1672" s="70" t="s">
        <x:v>2633</x:v>
      </x:c>
      <x:c r="H1672" s="70" t="s">
        <x:v>849</x:v>
      </x:c>
      <x:c r="I1672" s="70" t="s">
        <x:v>833</x:v>
      </x:c>
      <x:c r="J1672" s="70" t="n">
        <x:v>245</x:v>
      </x:c>
      <x:c r="K1672" s="70" t="s">
        <x:v>834</x:v>
      </x:c>
      <x:c r="L1672" s="70" t="s">
        <x:v>1479</x:v>
      </x:c>
      <x:c r="M1672" s="70" t="s">
        <x:v>39</x:v>
      </x:c>
      <x:c r="N1672" s="71" t="n">
        <x:v>250000</x:v>
      </x:c>
      <x:c r="O1672" s="72" t="n">
        <x:f aca="0">N1672/1000</x:f>
        <x:v>250</x:v>
      </x:c>
      <x:c r="P1672" s="73" t="n">
        <x:f aca="0">FCCL!G33</x:f>
        <x:v>250</x:v>
      </x:c>
      <x:c r="Q1672" s="70" t="str">
        <x:f aca="0">IF(ABS(O1672-P1672)&lt;0.000001,"PASS","FAIL")</x:f>
        <x:v>PASS</x:v>
      </x:c>
      <x:c r="R1672" s="70" t="s">
        <x:v>27</x:v>
      </x:c>
      <x:c r="S1672" s="70"/>
    </x:row>
    <x:row r="1673" ht="15" hidden="0">
      <x:c r="A1673" s="70" t="s">
        <x:v>2705</x:v>
      </x:c>
      <x:c r="B1673" s="70" t="s">
        <x:v>45</x:v>
      </x:c>
      <x:c r="C1673" s="70" t="s">
        <x:v>105</x:v>
      </x:c>
      <x:c r="D1673" s="70" t="s">
        <x:v>135</x:v>
      </x:c>
      <x:c r="E1673" s="70" t="s">
        <x:v>763</x:v>
      </x:c>
      <x:c r="F1673" s="70" t="s">
        <x:v>925</x:v>
      </x:c>
      <x:c r="G1673" s="70" t="s">
        <x:v>2633</x:v>
      </x:c>
      <x:c r="H1673" s="70" t="s">
        <x:v>849</x:v>
      </x:c>
      <x:c r="I1673" s="70" t="s">
        <x:v>852</x:v>
      </x:c>
      <x:c r="J1673" s="70" t="n">
        <x:v>245</x:v>
      </x:c>
      <x:c r="K1673" s="70" t="s">
        <x:v>834</x:v>
      </x:c>
      <x:c r="L1673" s="70" t="s">
        <x:v>1479</x:v>
      </x:c>
      <x:c r="M1673" s="70" t="s">
        <x:v>39</x:v>
      </x:c>
      <x:c r="N1673" s="71" t="n">
        <x:v>9210100</x:v>
      </x:c>
      <x:c r="O1673" s="72" t="n">
        <x:f aca="0">N1673/1000</x:f>
        <x:v>9210.1</x:v>
      </x:c>
      <x:c r="P1673" s="73" t="n">
        <x:f aca="0">FCCL!H33</x:f>
        <x:v>9210.1</x:v>
      </x:c>
      <x:c r="Q1673" s="70" t="str">
        <x:f aca="0">IF(ABS(O1673-P1673)&lt;0.000001,"PASS","FAIL")</x:f>
        <x:v>PASS</x:v>
      </x:c>
      <x:c r="R1673" s="70" t="s">
        <x:v>27</x:v>
      </x:c>
      <x:c r="S1673" s="70"/>
    </x:row>
    <x:row r="1674" ht="15" hidden="0">
      <x:c r="A1674" s="70" t="s">
        <x:v>2706</x:v>
      </x:c>
      <x:c r="B1674" s="70" t="s">
        <x:v>45</x:v>
      </x:c>
      <x:c r="C1674" s="70" t="s">
        <x:v>717</x:v>
      </x:c>
      <x:c r="D1674" s="70" t="s">
        <x:v>137</x:v>
      </x:c>
      <x:c r="E1674" s="70" t="s">
        <x:v>763</x:v>
      </x:c>
      <x:c r="F1674" s="70" t="s">
        <x:v>137</x:v>
      </x:c>
      <x:c r="G1674" s="70" t="s">
        <x:v>2624</x:v>
      </x:c>
      <x:c r="H1674" s="70" t="s">
        <x:v>832</x:v>
      </x:c>
      <x:c r="I1674" s="70" t="s">
        <x:v>833</x:v>
      </x:c>
      <x:c r="J1674" s="70" t="n">
        <x:v>165</x:v>
      </x:c>
      <x:c r="K1674" s="70" t="s">
        <x:v>834</x:v>
      </x:c>
      <x:c r="L1674" s="70" t="s">
        <x:v>935</x:v>
      </x:c>
      <x:c r="M1674" s="70" t="s">
        <x:v>39</x:v>
      </x:c>
      <x:c r="N1674" s="71" t="n">
        <x:v>561174</x:v>
      </x:c>
      <x:c r="O1674" s="72" t="n">
        <x:f aca="0">N1674/1000</x:f>
        <x:v>561.174</x:v>
      </x:c>
      <x:c r="P1674" s="73" t="n">
        <x:f aca="0">FCCL!C34</x:f>
        <x:v>561.174</x:v>
      </x:c>
      <x:c r="Q1674" s="70" t="str">
        <x:f aca="0">IF(ABS(O1674-P1674)&lt;0.000001,"PASS","FAIL")</x:f>
        <x:v>PASS</x:v>
      </x:c>
      <x:c r="R1674" s="70" t="s">
        <x:v>27</x:v>
      </x:c>
      <x:c r="S1674" s="70"/>
    </x:row>
    <x:row r="1675" ht="15" hidden="0">
      <x:c r="A1675" s="70" t="s">
        <x:v>2707</x:v>
      </x:c>
      <x:c r="B1675" s="70" t="s">
        <x:v>45</x:v>
      </x:c>
      <x:c r="C1675" s="70" t="s">
        <x:v>101</x:v>
      </x:c>
      <x:c r="D1675" s="70" t="s">
        <x:v>137</x:v>
      </x:c>
      <x:c r="E1675" s="70" t="s">
        <x:v>763</x:v>
      </x:c>
      <x:c r="F1675" s="70" t="s">
        <x:v>137</x:v>
      </x:c>
      <x:c r="G1675" s="70" t="s">
        <x:v>2626</x:v>
      </x:c>
      <x:c r="H1675" s="70" t="s">
        <x:v>838</x:v>
      </x:c>
      <x:c r="I1675" s="70" t="s">
        <x:v>833</x:v>
      </x:c>
      <x:c r="J1675" s="70" t="n">
        <x:v>187</x:v>
      </x:c>
      <x:c r="K1675" s="70" t="s">
        <x:v>1942</x:v>
      </x:c>
      <x:c r="L1675" s="70" t="s">
        <x:v>864</x:v>
      </x:c>
      <x:c r="M1675" s="70" t="s">
        <x:v>39</x:v>
      </x:c>
      <x:c r="N1675" s="71" t="n">
        <x:v>900778</x:v>
      </x:c>
      <x:c r="O1675" s="72" t="n">
        <x:f aca="0">N1675/1000</x:f>
        <x:v>900.778</x:v>
      </x:c>
      <x:c r="P1675" s="73" t="n">
        <x:f aca="0">FCCL!D34</x:f>
        <x:v>900.778</x:v>
      </x:c>
      <x:c r="Q1675" s="70" t="str">
        <x:f aca="0">IF(ABS(O1675-P1675)&lt;0.000001,"PASS","FAIL")</x:f>
        <x:v>PASS</x:v>
      </x:c>
      <x:c r="R1675" s="70" t="s">
        <x:v>27</x:v>
      </x:c>
      <x:c r="S1675" s="70"/>
    </x:row>
    <x:row r="1676" ht="15" hidden="0">
      <x:c r="A1676" s="70" t="s">
        <x:v>2708</x:v>
      </x:c>
      <x:c r="B1676" s="70" t="s">
        <x:v>45</x:v>
      </x:c>
      <x:c r="C1676" s="70" t="s">
        <x:v>102</x:v>
      </x:c>
      <x:c r="D1676" s="70" t="s">
        <x:v>137</x:v>
      </x:c>
      <x:c r="E1676" s="70" t="s">
        <x:v>763</x:v>
      </x:c>
      <x:c r="F1676" s="70" t="s">
        <x:v>137</x:v>
      </x:c>
      <x:c r="G1676" s="70" t="s">
        <x:v>2628</x:v>
      </x:c>
      <x:c r="H1676" s="70" t="s">
        <x:v>842</x:v>
      </x:c>
      <x:c r="I1676" s="70" t="s">
        <x:v>833</x:v>
      </x:c>
      <x:c r="J1676" s="70" t="n">
        <x:v>209</x:v>
      </x:c>
      <x:c r="K1676" s="70" t="s">
        <x:v>2629</x:v>
      </x:c>
      <x:c r="L1676" s="70" t="s">
        <x:v>1832</x:v>
      </x:c>
      <x:c r="M1676" s="70" t="s">
        <x:v>39</x:v>
      </x:c>
      <x:c r="N1676" s="71" t="n">
        <x:v>2306633</x:v>
      </x:c>
      <x:c r="O1676" s="72" t="n">
        <x:f aca="0">N1676/1000</x:f>
        <x:v>2306.633</x:v>
      </x:c>
      <x:c r="P1676" s="73" t="n">
        <x:f aca="0">FCCL!E34</x:f>
        <x:v>2306.633</x:v>
      </x:c>
      <x:c r="Q1676" s="70" t="str">
        <x:f aca="0">IF(ABS(O1676-P1676)&lt;0.000001,"PASS","FAIL")</x:f>
        <x:v>PASS</x:v>
      </x:c>
      <x:c r="R1676" s="70" t="s">
        <x:v>27</x:v>
      </x:c>
      <x:c r="S1676" s="70"/>
    </x:row>
    <x:row r="1677" ht="15" hidden="0">
      <x:c r="A1677" s="70" t="s">
        <x:v>2709</x:v>
      </x:c>
      <x:c r="B1677" s="70" t="s">
        <x:v>45</x:v>
      </x:c>
      <x:c r="C1677" s="70" t="s">
        <x:v>103</x:v>
      </x:c>
      <x:c r="D1677" s="70" t="s">
        <x:v>137</x:v>
      </x:c>
      <x:c r="E1677" s="70" t="s">
        <x:v>763</x:v>
      </x:c>
      <x:c r="F1677" s="70" t="s">
        <x:v>137</x:v>
      </x:c>
      <x:c r="G1677" s="70" t="s">
        <x:v>2631</x:v>
      </x:c>
      <x:c r="H1677" s="70" t="s">
        <x:v>845</x:v>
      </x:c>
      <x:c r="I1677" s="70" t="s">
        <x:v>833</x:v>
      </x:c>
      <x:c r="J1677" s="70" t="n">
        <x:v>191</x:v>
      </x:c>
      <x:c r="K1677" s="70" t="s">
        <x:v>834</x:v>
      </x:c>
      <x:c r="L1677" s="70" t="s">
        <x:v>1479</x:v>
      </x:c>
      <x:c r="M1677" s="70" t="s">
        <x:v>39</x:v>
      </x:c>
      <x:c r="N1677" s="71" t="n">
        <x:v>970457</x:v>
      </x:c>
      <x:c r="O1677" s="72" t="n">
        <x:f aca="0">N1677/1000</x:f>
        <x:v>970.457</x:v>
      </x:c>
      <x:c r="P1677" s="73" t="n">
        <x:f aca="0">FCCL!F34</x:f>
        <x:v>970.457</x:v>
      </x:c>
      <x:c r="Q1677" s="70" t="str">
        <x:f aca="0">IF(ABS(O1677-P1677)&lt;0.000001,"PASS","FAIL")</x:f>
        <x:v>PASS</x:v>
      </x:c>
      <x:c r="R1677" s="70" t="s">
        <x:v>27</x:v>
      </x:c>
      <x:c r="S1677" s="70"/>
    </x:row>
    <x:row r="1678" ht="15" hidden="0">
      <x:c r="A1678" s="70" t="s">
        <x:v>2710</x:v>
      </x:c>
      <x:c r="B1678" s="70" t="s">
        <x:v>45</x:v>
      </x:c>
      <x:c r="C1678" s="70" t="s">
        <x:v>104</x:v>
      </x:c>
      <x:c r="D1678" s="70" t="s">
        <x:v>137</x:v>
      </x:c>
      <x:c r="E1678" s="70" t="s">
        <x:v>763</x:v>
      </x:c>
      <x:c r="F1678" s="70" t="s">
        <x:v>137</x:v>
      </x:c>
      <x:c r="G1678" s="70" t="s">
        <x:v>2633</x:v>
      </x:c>
      <x:c r="H1678" s="70" t="s">
        <x:v>849</x:v>
      </x:c>
      <x:c r="I1678" s="70" t="s">
        <x:v>833</x:v>
      </x:c>
      <x:c r="J1678" s="70" t="n">
        <x:v>245</x:v>
      </x:c>
      <x:c r="K1678" s="70" t="s">
        <x:v>834</x:v>
      </x:c>
      <x:c r="L1678" s="70" t="s">
        <x:v>1832</x:v>
      </x:c>
      <x:c r="M1678" s="70" t="s">
        <x:v>39</x:v>
      </x:c>
      <x:c r="N1678" s="71" t="n">
        <x:v>2932984</x:v>
      </x:c>
      <x:c r="O1678" s="72" t="n">
        <x:f aca="0">N1678/1000</x:f>
        <x:v>2932.984</x:v>
      </x:c>
      <x:c r="P1678" s="73" t="n">
        <x:f aca="0">FCCL!G34</x:f>
        <x:v>2932.984</x:v>
      </x:c>
      <x:c r="Q1678" s="70" t="str">
        <x:f aca="0">IF(ABS(O1678-P1678)&lt;0.000001,"PASS","FAIL")</x:f>
        <x:v>PASS</x:v>
      </x:c>
      <x:c r="R1678" s="70" t="s">
        <x:v>27</x:v>
      </x:c>
      <x:c r="S1678" s="70"/>
    </x:row>
    <x:row r="1679" ht="15" hidden="0">
      <x:c r="A1679" s="70" t="s">
        <x:v>2711</x:v>
      </x:c>
      <x:c r="B1679" s="70" t="s">
        <x:v>45</x:v>
      </x:c>
      <x:c r="C1679" s="70" t="s">
        <x:v>105</x:v>
      </x:c>
      <x:c r="D1679" s="70" t="s">
        <x:v>137</x:v>
      </x:c>
      <x:c r="E1679" s="70" t="s">
        <x:v>763</x:v>
      </x:c>
      <x:c r="F1679" s="70" t="s">
        <x:v>137</x:v>
      </x:c>
      <x:c r="G1679" s="70" t="s">
        <x:v>2633</x:v>
      </x:c>
      <x:c r="H1679" s="70" t="s">
        <x:v>849</x:v>
      </x:c>
      <x:c r="I1679" s="70" t="s">
        <x:v>852</x:v>
      </x:c>
      <x:c r="J1679" s="70" t="n">
        <x:v>245</x:v>
      </x:c>
      <x:c r="K1679" s="70" t="s">
        <x:v>834</x:v>
      </x:c>
      <x:c r="L1679" s="70" t="s">
        <x:v>1832</x:v>
      </x:c>
      <x:c r="M1679" s="70" t="s">
        <x:v>39</x:v>
      </x:c>
      <x:c r="N1679" s="71" t="n">
        <x:v>2665338</x:v>
      </x:c>
      <x:c r="O1679" s="72" t="n">
        <x:f aca="0">N1679/1000</x:f>
        <x:v>2665.338</x:v>
      </x:c>
      <x:c r="P1679" s="73" t="n">
        <x:f aca="0">FCCL!H34</x:f>
        <x:v>2665.338</x:v>
      </x:c>
      <x:c r="Q1679" s="70" t="str">
        <x:f aca="0">IF(ABS(O1679-P1679)&lt;0.000001,"PASS","FAIL")</x:f>
        <x:v>PASS</x:v>
      </x:c>
      <x:c r="R1679" s="70" t="s">
        <x:v>27</x:v>
      </x:c>
      <x:c r="S1679" s="70"/>
    </x:row>
    <x:row r="1680" ht="15" hidden="0">
      <x:c r="A1680" s="70" t="s">
        <x:v>2712</x:v>
      </x:c>
      <x:c r="B1680" s="70" t="s">
        <x:v>45</x:v>
      </x:c>
      <x:c r="C1680" s="70" t="s">
        <x:v>717</x:v>
      </x:c>
      <x:c r="D1680" s="70" t="s">
        <x:v>139</x:v>
      </x:c>
      <x:c r="E1680" s="70" t="s">
        <x:v>763</x:v>
      </x:c>
      <x:c r="F1680" s="70" t="s">
        <x:v>2713</x:v>
      </x:c>
      <x:c r="G1680" s="70" t="s">
        <x:v>2624</x:v>
      </x:c>
      <x:c r="H1680" s="70" t="s">
        <x:v>832</x:v>
      </x:c>
      <x:c r="I1680" s="70" t="s">
        <x:v>833</x:v>
      </x:c>
      <x:c r="J1680" s="70" t="n">
        <x:v>165</x:v>
      </x:c>
      <x:c r="K1680" s="70" t="s">
        <x:v>834</x:v>
      </x:c>
      <x:c r="L1680" s="70"/>
      <x:c r="M1680" s="70" t="s">
        <x:v>39</x:v>
      </x:c>
      <x:c r="N1680" s="71" t="n">
        <x:v>677946</x:v>
      </x:c>
      <x:c r="O1680" s="72" t="n">
        <x:f aca="0">N1680/1000</x:f>
        <x:v>677.946</x:v>
      </x:c>
      <x:c r="P1680" s="73" t="n">
        <x:f aca="0">FCCL!C35</x:f>
        <x:v>677.946</x:v>
      </x:c>
      <x:c r="Q1680" s="70" t="str">
        <x:f aca="0">IF(ABS(O1680-P1680)&lt;0.000001,"PASS","FAIL")</x:f>
        <x:v>PASS</x:v>
      </x:c>
      <x:c r="R1680" s="70" t="s">
        <x:v>27</x:v>
      </x:c>
      <x:c r="S1680" s="70"/>
    </x:row>
    <x:row r="1681" ht="15" hidden="0">
      <x:c r="A1681" s="70" t="s">
        <x:v>2714</x:v>
      </x:c>
      <x:c r="B1681" s="70" t="s">
        <x:v>45</x:v>
      </x:c>
      <x:c r="C1681" s="70" t="s">
        <x:v>101</x:v>
      </x:c>
      <x:c r="D1681" s="70" t="s">
        <x:v>139</x:v>
      </x:c>
      <x:c r="E1681" s="70" t="s">
        <x:v>763</x:v>
      </x:c>
      <x:c r="F1681" s="70" t="s">
        <x:v>2715</x:v>
      </x:c>
      <x:c r="G1681" s="70" t="s">
        <x:v>2626</x:v>
      </x:c>
      <x:c r="H1681" s="70" t="s">
        <x:v>838</x:v>
      </x:c>
      <x:c r="I1681" s="70" t="s">
        <x:v>833</x:v>
      </x:c>
      <x:c r="J1681" s="70" t="n">
        <x:v>187</x:v>
      </x:c>
      <x:c r="K1681" s="70" t="s">
        <x:v>1942</x:v>
      </x:c>
      <x:c r="L1681" s="70"/>
      <x:c r="M1681" s="70" t="s">
        <x:v>39</x:v>
      </x:c>
      <x:c r="N1681" s="71" t="n">
        <x:v>250703</x:v>
      </x:c>
      <x:c r="O1681" s="72" t="n">
        <x:f aca="0">N1681/1000</x:f>
        <x:v>250.703</x:v>
      </x:c>
      <x:c r="P1681" s="73" t="n">
        <x:f aca="0">FCCL!D35</x:f>
        <x:v>250.703</x:v>
      </x:c>
      <x:c r="Q1681" s="70" t="str">
        <x:f aca="0">IF(ABS(O1681-P1681)&lt;0.000001,"PASS","FAIL")</x:f>
        <x:v>PASS</x:v>
      </x:c>
      <x:c r="R1681" s="70" t="s">
        <x:v>27</x:v>
      </x:c>
      <x:c r="S1681" s="70"/>
    </x:row>
    <x:row r="1682" ht="15" hidden="0">
      <x:c r="A1682" s="70" t="s">
        <x:v>2716</x:v>
      </x:c>
      <x:c r="B1682" s="70" t="s">
        <x:v>45</x:v>
      </x:c>
      <x:c r="C1682" s="70" t="s">
        <x:v>102</x:v>
      </x:c>
      <x:c r="D1682" s="70" t="s">
        <x:v>139</x:v>
      </x:c>
      <x:c r="E1682" s="70" t="s">
        <x:v>763</x:v>
      </x:c>
      <x:c r="F1682" s="70" t="s">
        <x:v>2715</x:v>
      </x:c>
      <x:c r="G1682" s="70" t="s">
        <x:v>2628</x:v>
      </x:c>
      <x:c r="H1682" s="70" t="s">
        <x:v>842</x:v>
      </x:c>
      <x:c r="I1682" s="70" t="s">
        <x:v>833</x:v>
      </x:c>
      <x:c r="J1682" s="70" t="n">
        <x:v>209</x:v>
      </x:c>
      <x:c r="K1682" s="70" t="s">
        <x:v>2629</x:v>
      </x:c>
      <x:c r="L1682" s="70"/>
      <x:c r="M1682" s="70" t="s">
        <x:v>39</x:v>
      </x:c>
      <x:c r="N1682" s="71" t="n">
        <x:v>4017543</x:v>
      </x:c>
      <x:c r="O1682" s="72" t="n">
        <x:f aca="0">N1682/1000</x:f>
        <x:v>4017.543</x:v>
      </x:c>
      <x:c r="P1682" s="73" t="n">
        <x:f aca="0">FCCL!E35</x:f>
        <x:v>4017.543</x:v>
      </x:c>
      <x:c r="Q1682" s="70" t="str">
        <x:f aca="0">IF(ABS(O1682-P1682)&lt;0.000001,"PASS","FAIL")</x:f>
        <x:v>PASS</x:v>
      </x:c>
      <x:c r="R1682" s="70" t="s">
        <x:v>27</x:v>
      </x:c>
      <x:c r="S1682" s="70"/>
    </x:row>
    <x:row r="1683" ht="15" hidden="0">
      <x:c r="A1683" s="70" t="s">
        <x:v>2717</x:v>
      </x:c>
      <x:c r="B1683" s="70" t="s">
        <x:v>45</x:v>
      </x:c>
      <x:c r="C1683" s="70" t="s">
        <x:v>103</x:v>
      </x:c>
      <x:c r="D1683" s="70" t="s">
        <x:v>139</x:v>
      </x:c>
      <x:c r="E1683" s="70" t="s">
        <x:v>763</x:v>
      </x:c>
      <x:c r="F1683" s="70" t="s">
        <x:v>2715</x:v>
      </x:c>
      <x:c r="G1683" s="70" t="s">
        <x:v>2631</x:v>
      </x:c>
      <x:c r="H1683" s="70" t="s">
        <x:v>845</x:v>
      </x:c>
      <x:c r="I1683" s="70" t="s">
        <x:v>833</x:v>
      </x:c>
      <x:c r="J1683" s="70" t="n">
        <x:v>191</x:v>
      </x:c>
      <x:c r="K1683" s="70" t="s">
        <x:v>834</x:v>
      </x:c>
      <x:c r="L1683" s="70"/>
      <x:c r="M1683" s="70" t="s">
        <x:v>39</x:v>
      </x:c>
      <x:c r="N1683" s="71" t="n">
        <x:v>3218089</x:v>
      </x:c>
      <x:c r="O1683" s="72" t="n">
        <x:f aca="0">N1683/1000</x:f>
        <x:v>3218.089</x:v>
      </x:c>
      <x:c r="P1683" s="73" t="n">
        <x:f aca="0">FCCL!F35</x:f>
        <x:v>3218.089</x:v>
      </x:c>
      <x:c r="Q1683" s="70" t="str">
        <x:f aca="0">IF(ABS(O1683-P1683)&lt;0.000001,"PASS","FAIL")</x:f>
        <x:v>PASS</x:v>
      </x:c>
      <x:c r="R1683" s="70" t="s">
        <x:v>27</x:v>
      </x:c>
      <x:c r="S1683" s="70"/>
    </x:row>
    <x:row r="1684" ht="15" hidden="0">
      <x:c r="A1684" s="70" t="s">
        <x:v>2718</x:v>
      </x:c>
      <x:c r="B1684" s="70" t="s">
        <x:v>45</x:v>
      </x:c>
      <x:c r="C1684" s="70" t="s">
        <x:v>104</x:v>
      </x:c>
      <x:c r="D1684" s="70" t="s">
        <x:v>139</x:v>
      </x:c>
      <x:c r="E1684" s="70" t="s">
        <x:v>763</x:v>
      </x:c>
      <x:c r="F1684" s="70" t="s">
        <x:v>2719</x:v>
      </x:c>
      <x:c r="G1684" s="70" t="s">
        <x:v>2633</x:v>
      </x:c>
      <x:c r="H1684" s="70" t="s">
        <x:v>849</x:v>
      </x:c>
      <x:c r="I1684" s="70" t="s">
        <x:v>833</x:v>
      </x:c>
      <x:c r="J1684" s="70" t="n">
        <x:v>245</x:v>
      </x:c>
      <x:c r="K1684" s="70" t="s">
        <x:v>834</x:v>
      </x:c>
      <x:c r="L1684" s="70"/>
      <x:c r="M1684" s="70" t="s">
        <x:v>39</x:v>
      </x:c>
      <x:c r="N1684" s="71" t="n">
        <x:v>461011</x:v>
      </x:c>
      <x:c r="O1684" s="72" t="n">
        <x:f aca="0">N1684/1000</x:f>
        <x:v>461.011</x:v>
      </x:c>
      <x:c r="P1684" s="73" t="n">
        <x:f aca="0">FCCL!G35</x:f>
        <x:v>461.011</x:v>
      </x:c>
      <x:c r="Q1684" s="70" t="str">
        <x:f aca="0">IF(ABS(O1684-P1684)&lt;0.000001,"PASS","FAIL")</x:f>
        <x:v>PASS</x:v>
      </x:c>
      <x:c r="R1684" s="70" t="s">
        <x:v>27</x:v>
      </x:c>
      <x:c r="S1684" s="70"/>
    </x:row>
    <x:row r="1685" ht="15" hidden="0">
      <x:c r="A1685" s="70" t="s">
        <x:v>2720</x:v>
      </x:c>
      <x:c r="B1685" s="70" t="s">
        <x:v>45</x:v>
      </x:c>
      <x:c r="C1685" s="70" t="s">
        <x:v>105</x:v>
      </x:c>
      <x:c r="D1685" s="70" t="s">
        <x:v>139</x:v>
      </x:c>
      <x:c r="E1685" s="70" t="s">
        <x:v>763</x:v>
      </x:c>
      <x:c r="F1685" s="70" t="s">
        <x:v>2719</x:v>
      </x:c>
      <x:c r="G1685" s="70" t="s">
        <x:v>2633</x:v>
      </x:c>
      <x:c r="H1685" s="70" t="s">
        <x:v>849</x:v>
      </x:c>
      <x:c r="I1685" s="70" t="s">
        <x:v>852</x:v>
      </x:c>
      <x:c r="J1685" s="70" t="n">
        <x:v>245</x:v>
      </x:c>
      <x:c r="K1685" s="70" t="s">
        <x:v>834</x:v>
      </x:c>
      <x:c r="L1685" s="70"/>
      <x:c r="M1685" s="70" t="s">
        <x:v>39</x:v>
      </x:c>
      <x:c r="N1685" s="71" t="n">
        <x:v>1971180</x:v>
      </x:c>
      <x:c r="O1685" s="72" t="n">
        <x:f aca="0">N1685/1000</x:f>
        <x:v>1971.18</x:v>
      </x:c>
      <x:c r="P1685" s="73" t="n">
        <x:f aca="0">FCCL!H35</x:f>
        <x:v>1971.18</x:v>
      </x:c>
      <x:c r="Q1685" s="70" t="str">
        <x:f aca="0">IF(ABS(O1685-P1685)&lt;0.000001,"PASS","FAIL")</x:f>
        <x:v>PASS</x:v>
      </x:c>
      <x:c r="R1685" s="70" t="s">
        <x:v>27</x:v>
      </x:c>
      <x:c r="S1685" s="70"/>
    </x:row>
    <x:row r="1686" ht="15" hidden="0">
      <x:c r="A1686" s="70" t="s">
        <x:v>2721</x:v>
      </x:c>
      <x:c r="B1686" s="70" t="s">
        <x:v>45</x:v>
      </x:c>
      <x:c r="C1686" s="70" t="s">
        <x:v>717</x:v>
      </x:c>
      <x:c r="D1686" s="70" t="s">
        <x:v>146</x:v>
      </x:c>
      <x:c r="E1686" s="70" t="s">
        <x:v>763</x:v>
      </x:c>
      <x:c r="F1686" s="70" t="s">
        <x:v>1401</x:v>
      </x:c>
      <x:c r="G1686" s="70" t="s">
        <x:v>2624</x:v>
      </x:c>
      <x:c r="H1686" s="70" t="s">
        <x:v>832</x:v>
      </x:c>
      <x:c r="I1686" s="70" t="s">
        <x:v>833</x:v>
      </x:c>
      <x:c r="J1686" s="70" t="n">
        <x:v>164</x:v>
      </x:c>
      <x:c r="K1686" s="70" t="s">
        <x:v>2613</x:v>
      </x:c>
      <x:c r="L1686" s="70" t="s">
        <x:v>951</x:v>
      </x:c>
      <x:c r="M1686" s="70" t="s">
        <x:v>39</x:v>
      </x:c>
      <x:c r="N1686" s="71" t="n">
        <x:v>13798150</x:v>
      </x:c>
      <x:c r="O1686" s="72" t="n">
        <x:f aca="0">N1686/1000</x:f>
        <x:v>13798.15</x:v>
      </x:c>
      <x:c r="P1686" s="73" t="n">
        <x:f aca="0">FCCL!C39</x:f>
        <x:v>13798.15</x:v>
      </x:c>
      <x:c r="Q1686" s="70" t="str">
        <x:f aca="0">IF(ABS(O1686-P1686)&lt;0.000001,"PASS","FAIL")</x:f>
        <x:v>PASS</x:v>
      </x:c>
      <x:c r="R1686" s="70" t="s">
        <x:v>27</x:v>
      </x:c>
      <x:c r="S1686" s="70"/>
    </x:row>
    <x:row r="1687" ht="15" hidden="0">
      <x:c r="A1687" s="70" t="s">
        <x:v>2722</x:v>
      </x:c>
      <x:c r="B1687" s="70" t="s">
        <x:v>45</x:v>
      </x:c>
      <x:c r="C1687" s="70" t="s">
        <x:v>101</x:v>
      </x:c>
      <x:c r="D1687" s="70" t="s">
        <x:v>146</x:v>
      </x:c>
      <x:c r="E1687" s="70" t="s">
        <x:v>763</x:v>
      </x:c>
      <x:c r="F1687" s="70" t="s">
        <x:v>1401</x:v>
      </x:c>
      <x:c r="G1687" s="70" t="s">
        <x:v>2626</x:v>
      </x:c>
      <x:c r="H1687" s="70" t="s">
        <x:v>838</x:v>
      </x:c>
      <x:c r="I1687" s="70" t="s">
        <x:v>833</x:v>
      </x:c>
      <x:c r="J1687" s="70" t="n">
        <x:v>186</x:v>
      </x:c>
      <x:c r="K1687" s="70" t="s">
        <x:v>1761</x:v>
      </x:c>
      <x:c r="L1687" s="70" t="s">
        <x:v>951</x:v>
      </x:c>
      <x:c r="M1687" s="70" t="s">
        <x:v>39</x:v>
      </x:c>
      <x:c r="N1687" s="71" t="n">
        <x:v>13798150</x:v>
      </x:c>
      <x:c r="O1687" s="72" t="n">
        <x:f aca="0">N1687/1000</x:f>
        <x:v>13798.15</x:v>
      </x:c>
      <x:c r="P1687" s="73" t="n">
        <x:f aca="0">FCCL!D39</x:f>
        <x:v>13798.15</x:v>
      </x:c>
      <x:c r="Q1687" s="70" t="str">
        <x:f aca="0">IF(ABS(O1687-P1687)&lt;0.000001,"PASS","FAIL")</x:f>
        <x:v>PASS</x:v>
      </x:c>
      <x:c r="R1687" s="70" t="s">
        <x:v>27</x:v>
      </x:c>
      <x:c r="S1687" s="70"/>
    </x:row>
    <x:row r="1688" ht="15" hidden="0">
      <x:c r="A1688" s="70" t="s">
        <x:v>2723</x:v>
      </x:c>
      <x:c r="B1688" s="70" t="s">
        <x:v>45</x:v>
      </x:c>
      <x:c r="C1688" s="70" t="s">
        <x:v>102</x:v>
      </x:c>
      <x:c r="D1688" s="70" t="s">
        <x:v>146</x:v>
      </x:c>
      <x:c r="E1688" s="70" t="s">
        <x:v>763</x:v>
      </x:c>
      <x:c r="F1688" s="70" t="s">
        <x:v>1401</x:v>
      </x:c>
      <x:c r="G1688" s="70" t="s">
        <x:v>2628</x:v>
      </x:c>
      <x:c r="H1688" s="70" t="s">
        <x:v>842</x:v>
      </x:c>
      <x:c r="I1688" s="70" t="s">
        <x:v>833</x:v>
      </x:c>
      <x:c r="J1688" s="70" t="n">
        <x:v>208</x:v>
      </x:c>
      <x:c r="K1688" s="70" t="s">
        <x:v>2102</x:v>
      </x:c>
      <x:c r="L1688" s="70" t="s">
        <x:v>951</x:v>
      </x:c>
      <x:c r="M1688" s="70" t="s">
        <x:v>39</x:v>
      </x:c>
      <x:c r="N1688" s="71" t="n">
        <x:v>21803090</x:v>
      </x:c>
      <x:c r="O1688" s="72" t="n">
        <x:f aca="0">N1688/1000</x:f>
        <x:v>21803.09</x:v>
      </x:c>
      <x:c r="P1688" s="73" t="n">
        <x:f aca="0">FCCL!E39</x:f>
        <x:v>21803.09</x:v>
      </x:c>
      <x:c r="Q1688" s="70" t="str">
        <x:f aca="0">IF(ABS(O1688-P1688)&lt;0.000001,"PASS","FAIL")</x:f>
        <x:v>PASS</x:v>
      </x:c>
      <x:c r="R1688" s="70" t="s">
        <x:v>27</x:v>
      </x:c>
      <x:c r="S1688" s="70"/>
    </x:row>
    <x:row r="1689" ht="15" hidden="0">
      <x:c r="A1689" s="70" t="s">
        <x:v>2724</x:v>
      </x:c>
      <x:c r="B1689" s="70" t="s">
        <x:v>45</x:v>
      </x:c>
      <x:c r="C1689" s="70" t="s">
        <x:v>103</x:v>
      </x:c>
      <x:c r="D1689" s="70" t="s">
        <x:v>146</x:v>
      </x:c>
      <x:c r="E1689" s="70" t="s">
        <x:v>763</x:v>
      </x:c>
      <x:c r="F1689" s="70" t="s">
        <x:v>1401</x:v>
      </x:c>
      <x:c r="G1689" s="70" t="s">
        <x:v>2631</x:v>
      </x:c>
      <x:c r="H1689" s="70" t="s">
        <x:v>845</x:v>
      </x:c>
      <x:c r="I1689" s="70" t="s">
        <x:v>833</x:v>
      </x:c>
      <x:c r="J1689" s="70" t="n">
        <x:v>190</x:v>
      </x:c>
      <x:c r="K1689" s="70" t="s">
        <x:v>1765</x:v>
      </x:c>
      <x:c r="L1689" s="70" t="s">
        <x:v>951</x:v>
      </x:c>
      <x:c r="M1689" s="70" t="s">
        <x:v>39</x:v>
      </x:c>
      <x:c r="N1689" s="71" t="n">
        <x:v>24528476</x:v>
      </x:c>
      <x:c r="O1689" s="72" t="n">
        <x:f aca="0">N1689/1000</x:f>
        <x:v>24528.476</x:v>
      </x:c>
      <x:c r="P1689" s="73" t="n">
        <x:f aca="0">FCCL!F39</x:f>
        <x:v>24528.476</x:v>
      </x:c>
      <x:c r="Q1689" s="70" t="str">
        <x:f aca="0">IF(ABS(O1689-P1689)&lt;0.000001,"PASS","FAIL")</x:f>
        <x:v>PASS</x:v>
      </x:c>
      <x:c r="R1689" s="70" t="s">
        <x:v>27</x:v>
      </x:c>
      <x:c r="S1689" s="70"/>
    </x:row>
    <x:row r="1690" ht="15" hidden="0">
      <x:c r="A1690" s="70" t="s">
        <x:v>2725</x:v>
      </x:c>
      <x:c r="B1690" s="70" t="s">
        <x:v>45</x:v>
      </x:c>
      <x:c r="C1690" s="70" t="s">
        <x:v>104</x:v>
      </x:c>
      <x:c r="D1690" s="70" t="s">
        <x:v>146</x:v>
      </x:c>
      <x:c r="E1690" s="70" t="s">
        <x:v>763</x:v>
      </x:c>
      <x:c r="F1690" s="70" t="s">
        <x:v>1401</x:v>
      </x:c>
      <x:c r="G1690" s="70" t="s">
        <x:v>2633</x:v>
      </x:c>
      <x:c r="H1690" s="70" t="s">
        <x:v>849</x:v>
      </x:c>
      <x:c r="I1690" s="70" t="s">
        <x:v>833</x:v>
      </x:c>
      <x:c r="J1690" s="70" t="n">
        <x:v>244</x:v>
      </x:c>
      <x:c r="K1690" s="70" t="s">
        <x:v>834</x:v>
      </x:c>
      <x:c r="L1690" s="70" t="s">
        <x:v>1299</x:v>
      </x:c>
      <x:c r="M1690" s="70" t="s">
        <x:v>39</x:v>
      </x:c>
      <x:c r="N1690" s="71" t="n">
        <x:v>24528476</x:v>
      </x:c>
      <x:c r="O1690" s="72" t="n">
        <x:f aca="0">N1690/1000</x:f>
        <x:v>24528.476</x:v>
      </x:c>
      <x:c r="P1690" s="73" t="n">
        <x:f aca="0">FCCL!G39</x:f>
        <x:v>24528.476</x:v>
      </x:c>
      <x:c r="Q1690" s="70" t="str">
        <x:f aca="0">IF(ABS(O1690-P1690)&lt;0.000001,"PASS","FAIL")</x:f>
        <x:v>PASS</x:v>
      </x:c>
      <x:c r="R1690" s="70" t="s">
        <x:v>27</x:v>
      </x:c>
      <x:c r="S1690" s="70"/>
    </x:row>
    <x:row r="1691" ht="15" hidden="0">
      <x:c r="A1691" s="70" t="s">
        <x:v>2726</x:v>
      </x:c>
      <x:c r="B1691" s="70" t="s">
        <x:v>45</x:v>
      </x:c>
      <x:c r="C1691" s="70" t="s">
        <x:v>105</x:v>
      </x:c>
      <x:c r="D1691" s="70" t="s">
        <x:v>146</x:v>
      </x:c>
      <x:c r="E1691" s="70" t="s">
        <x:v>763</x:v>
      </x:c>
      <x:c r="F1691" s="70" t="s">
        <x:v>1401</x:v>
      </x:c>
      <x:c r="G1691" s="70" t="s">
        <x:v>2633</x:v>
      </x:c>
      <x:c r="H1691" s="70" t="s">
        <x:v>849</x:v>
      </x:c>
      <x:c r="I1691" s="70" t="s">
        <x:v>852</x:v>
      </x:c>
      <x:c r="J1691" s="70" t="n">
        <x:v>244</x:v>
      </x:c>
      <x:c r="K1691" s="70" t="s">
        <x:v>834</x:v>
      </x:c>
      <x:c r="L1691" s="70" t="s">
        <x:v>1299</x:v>
      </x:c>
      <x:c r="M1691" s="70" t="s">
        <x:v>39</x:v>
      </x:c>
      <x:c r="N1691" s="71" t="n">
        <x:v>24528476</x:v>
      </x:c>
      <x:c r="O1691" s="72" t="n">
        <x:f aca="0">N1691/1000</x:f>
        <x:v>24528.476</x:v>
      </x:c>
      <x:c r="P1691" s="73" t="n">
        <x:f aca="0">FCCL!H39</x:f>
        <x:v>24528.476</x:v>
      </x:c>
      <x:c r="Q1691" s="70" t="str">
        <x:f aca="0">IF(ABS(O1691-P1691)&lt;0.000001,"PASS","FAIL")</x:f>
        <x:v>PASS</x:v>
      </x:c>
      <x:c r="R1691" s="70" t="s">
        <x:v>27</x:v>
      </x:c>
      <x:c r="S1691" s="70"/>
    </x:row>
    <x:row r="1692" ht="15" hidden="0">
      <x:c r="A1692" s="70" t="s">
        <x:v>2727</x:v>
      </x:c>
      <x:c r="B1692" s="70" t="s">
        <x:v>45</x:v>
      </x:c>
      <x:c r="C1692" s="70" t="s">
        <x:v>717</x:v>
      </x:c>
      <x:c r="D1692" s="70" t="s">
        <x:v>148</x:v>
      </x:c>
      <x:c r="E1692" s="70" t="s">
        <x:v>763</x:v>
      </x:c>
      <x:c r="F1692" s="70" t="s">
        <x:v>2728</x:v>
      </x:c>
      <x:c r="G1692" s="70" t="s">
        <x:v>2624</x:v>
      </x:c>
      <x:c r="H1692" s="70" t="s">
        <x:v>832</x:v>
      </x:c>
      <x:c r="I1692" s="70" t="s">
        <x:v>833</x:v>
      </x:c>
      <x:c r="J1692" s="70" t="n">
        <x:v>164</x:v>
      </x:c>
      <x:c r="K1692" s="70" t="s">
        <x:v>2613</x:v>
      </x:c>
      <x:c r="L1692" s="70"/>
      <x:c r="M1692" s="70" t="s">
        <x:v>39</x:v>
      </x:c>
      <x:c r="N1692" s="71" t="n">
        <x:v>6006170</x:v>
      </x:c>
      <x:c r="O1692" s="72" t="n">
        <x:f aca="0">N1692/1000</x:f>
        <x:v>6006.17</x:v>
      </x:c>
      <x:c r="P1692" s="73" t="n">
        <x:f aca="0">FCCL!C40</x:f>
        <x:v>6006.17</x:v>
      </x:c>
      <x:c r="Q1692" s="70" t="str">
        <x:f aca="0">IF(ABS(O1692-P1692)&lt;0.000001,"PASS","FAIL")</x:f>
        <x:v>PASS</x:v>
      </x:c>
      <x:c r="R1692" s="70" t="s">
        <x:v>27</x:v>
      </x:c>
      <x:c r="S1692" s="70"/>
    </x:row>
    <x:row r="1693" ht="15" hidden="0">
      <x:c r="A1693" s="70" t="s">
        <x:v>2729</x:v>
      </x:c>
      <x:c r="B1693" s="70" t="s">
        <x:v>45</x:v>
      </x:c>
      <x:c r="C1693" s="70" t="s">
        <x:v>101</x:v>
      </x:c>
      <x:c r="D1693" s="70" t="s">
        <x:v>148</x:v>
      </x:c>
      <x:c r="E1693" s="70" t="s">
        <x:v>763</x:v>
      </x:c>
      <x:c r="F1693" s="70" t="s">
        <x:v>2730</x:v>
      </x:c>
      <x:c r="G1693" s="70" t="s">
        <x:v>2626</x:v>
      </x:c>
      <x:c r="H1693" s="70" t="s">
        <x:v>838</x:v>
      </x:c>
      <x:c r="I1693" s="70" t="s">
        <x:v>833</x:v>
      </x:c>
      <x:c r="J1693" s="70" t="n">
        <x:v>186</x:v>
      </x:c>
      <x:c r="K1693" s="70" t="s">
        <x:v>1761</x:v>
      </x:c>
      <x:c r="L1693" s="70" t="s">
        <x:v>1299</x:v>
      </x:c>
      <x:c r="M1693" s="70" t="s">
        <x:v>39</x:v>
      </x:c>
      <x:c r="N1693" s="71" t="n">
        <x:v>9477521</x:v>
      </x:c>
      <x:c r="O1693" s="72" t="n">
        <x:f aca="0">N1693/1000</x:f>
        <x:v>9477.521</x:v>
      </x:c>
      <x:c r="P1693" s="73" t="n">
        <x:f aca="0">FCCL!D40</x:f>
        <x:v>9477.521</x:v>
      </x:c>
      <x:c r="Q1693" s="70" t="str">
        <x:f aca="0">IF(ABS(O1693-P1693)&lt;0.000001,"PASS","FAIL")</x:f>
        <x:v>PASS</x:v>
      </x:c>
      <x:c r="R1693" s="70" t="s">
        <x:v>27</x:v>
      </x:c>
      <x:c r="S1693" s="70"/>
    </x:row>
    <x:row r="1694" ht="15" hidden="0">
      <x:c r="A1694" s="70" t="s">
        <x:v>2731</x:v>
      </x:c>
      <x:c r="B1694" s="70" t="s">
        <x:v>45</x:v>
      </x:c>
      <x:c r="C1694" s="70" t="s">
        <x:v>102</x:v>
      </x:c>
      <x:c r="D1694" s="70" t="s">
        <x:v>148</x:v>
      </x:c>
      <x:c r="E1694" s="70" t="s">
        <x:v>763</x:v>
      </x:c>
      <x:c r="F1694" s="70" t="s">
        <x:v>2732</x:v>
      </x:c>
      <x:c r="G1694" s="70" t="s">
        <x:v>2628</x:v>
      </x:c>
      <x:c r="H1694" s="70" t="s">
        <x:v>842</x:v>
      </x:c>
      <x:c r="I1694" s="70" t="s">
        <x:v>833</x:v>
      </x:c>
      <x:c r="J1694" s="70" t="n">
        <x:v>208</x:v>
      </x:c>
      <x:c r="K1694" s="70" t="s">
        <x:v>2102</x:v>
      </x:c>
      <x:c r="L1694" s="70"/>
      <x:c r="M1694" s="70" t="s">
        <x:v>39</x:v>
      </x:c>
      <x:c r="N1694" s="71" t="n">
        <x:v>35932966</x:v>
      </x:c>
      <x:c r="O1694" s="72" t="n">
        <x:f aca="0">N1694/1000</x:f>
        <x:v>35932.966</x:v>
      </x:c>
      <x:c r="P1694" s="73" t="n">
        <x:f aca="0">FCCL!E40</x:f>
        <x:v>35932.966</x:v>
      </x:c>
      <x:c r="Q1694" s="70" t="str">
        <x:f aca="0">IF(ABS(O1694-P1694)&lt;0.000001,"PASS","FAIL")</x:f>
        <x:v>PASS</x:v>
      </x:c>
      <x:c r="R1694" s="70" t="s">
        <x:v>27</x:v>
      </x:c>
      <x:c r="S1694" s="70"/>
    </x:row>
    <x:row r="1695" ht="15" hidden="0">
      <x:c r="A1695" s="70" t="s">
        <x:v>2733</x:v>
      </x:c>
      <x:c r="B1695" s="70" t="s">
        <x:v>45</x:v>
      </x:c>
      <x:c r="C1695" s="70" t="s">
        <x:v>103</x:v>
      </x:c>
      <x:c r="D1695" s="70" t="s">
        <x:v>148</x:v>
      </x:c>
      <x:c r="E1695" s="70" t="s">
        <x:v>763</x:v>
      </x:c>
      <x:c r="F1695" s="70" t="s">
        <x:v>2734</x:v>
      </x:c>
      <x:c r="G1695" s="70" t="s">
        <x:v>2631</x:v>
      </x:c>
      <x:c r="H1695" s="70" t="s">
        <x:v>845</x:v>
      </x:c>
      <x:c r="I1695" s="70" t="s">
        <x:v>833</x:v>
      </x:c>
      <x:c r="J1695" s="70" t="n">
        <x:v>190</x:v>
      </x:c>
      <x:c r="K1695" s="70" t="s">
        <x:v>1765</x:v>
      </x:c>
      <x:c r="L1695" s="70"/>
      <x:c r="M1695" s="70" t="s">
        <x:v>39</x:v>
      </x:c>
      <x:c r="N1695" s="71" t="n">
        <x:v>40647261</x:v>
      </x:c>
      <x:c r="O1695" s="72" t="n">
        <x:f aca="0">N1695/1000</x:f>
        <x:v>40647.261</x:v>
      </x:c>
      <x:c r="P1695" s="73" t="n">
        <x:f aca="0">FCCL!F40</x:f>
        <x:v>40647.261</x:v>
      </x:c>
      <x:c r="Q1695" s="70" t="str">
        <x:f aca="0">IF(ABS(O1695-P1695)&lt;0.000001,"PASS","FAIL")</x:f>
        <x:v>PASS</x:v>
      </x:c>
      <x:c r="R1695" s="70" t="s">
        <x:v>27</x:v>
      </x:c>
      <x:c r="S1695" s="70"/>
    </x:row>
    <x:row r="1696" ht="15" hidden="0">
      <x:c r="A1696" s="70" t="s">
        <x:v>2735</x:v>
      </x:c>
      <x:c r="B1696" s="70" t="s">
        <x:v>45</x:v>
      </x:c>
      <x:c r="C1696" s="70" t="s">
        <x:v>104</x:v>
      </x:c>
      <x:c r="D1696" s="70" t="s">
        <x:v>148</x:v>
      </x:c>
      <x:c r="E1696" s="70" t="s">
        <x:v>763</x:v>
      </x:c>
      <x:c r="F1696" s="70" t="s">
        <x:v>2734</x:v>
      </x:c>
      <x:c r="G1696" s="70" t="s">
        <x:v>2633</x:v>
      </x:c>
      <x:c r="H1696" s="70" t="s">
        <x:v>849</x:v>
      </x:c>
      <x:c r="I1696" s="70" t="s">
        <x:v>833</x:v>
      </x:c>
      <x:c r="J1696" s="70" t="n">
        <x:v>244</x:v>
      </x:c>
      <x:c r="K1696" s="70" t="s">
        <x:v>834</x:v>
      </x:c>
      <x:c r="L1696" s="70"/>
      <x:c r="M1696" s="70" t="s">
        <x:v>39</x:v>
      </x:c>
      <x:c r="N1696" s="71" t="n">
        <x:v>48870377</x:v>
      </x:c>
      <x:c r="O1696" s="72" t="n">
        <x:f aca="0">N1696/1000</x:f>
        <x:v>48870.377</x:v>
      </x:c>
      <x:c r="P1696" s="73" t="n">
        <x:f aca="0">FCCL!G40</x:f>
        <x:v>48870.377</x:v>
      </x:c>
      <x:c r="Q1696" s="70" t="str">
        <x:f aca="0">IF(ABS(O1696-P1696)&lt;0.000001,"PASS","FAIL")</x:f>
        <x:v>PASS</x:v>
      </x:c>
      <x:c r="R1696" s="70" t="s">
        <x:v>27</x:v>
      </x:c>
      <x:c r="S1696" s="70"/>
    </x:row>
    <x:row r="1697" ht="15" hidden="0">
      <x:c r="A1697" s="70" t="s">
        <x:v>2736</x:v>
      </x:c>
      <x:c r="B1697" s="70" t="s">
        <x:v>45</x:v>
      </x:c>
      <x:c r="C1697" s="70" t="s">
        <x:v>105</x:v>
      </x:c>
      <x:c r="D1697" s="70" t="s">
        <x:v>148</x:v>
      </x:c>
      <x:c r="E1697" s="70" t="s">
        <x:v>763</x:v>
      </x:c>
      <x:c r="F1697" s="70" t="s">
        <x:v>2734</x:v>
      </x:c>
      <x:c r="G1697" s="70" t="s">
        <x:v>2633</x:v>
      </x:c>
      <x:c r="H1697" s="70" t="s">
        <x:v>849</x:v>
      </x:c>
      <x:c r="I1697" s="70" t="s">
        <x:v>852</x:v>
      </x:c>
      <x:c r="J1697" s="70" t="n">
        <x:v>244</x:v>
      </x:c>
      <x:c r="K1697" s="70" t="s">
        <x:v>834</x:v>
      </x:c>
      <x:c r="L1697" s="70"/>
      <x:c r="M1697" s="70" t="s">
        <x:v>39</x:v>
      </x:c>
      <x:c r="N1697" s="71" t="n">
        <x:v>59743732</x:v>
      </x:c>
      <x:c r="O1697" s="72" t="n">
        <x:f aca="0">N1697/1000</x:f>
        <x:v>59743.732</x:v>
      </x:c>
      <x:c r="P1697" s="73" t="n">
        <x:f aca="0">FCCL!H40</x:f>
        <x:v>59743.732</x:v>
      </x:c>
      <x:c r="Q1697" s="70" t="str">
        <x:f aca="0">IF(ABS(O1697-P1697)&lt;0.000001,"PASS","FAIL")</x:f>
        <x:v>PASS</x:v>
      </x:c>
      <x:c r="R1697" s="70" t="s">
        <x:v>27</x:v>
      </x:c>
      <x:c r="S1697" s="70"/>
    </x:row>
    <x:row r="1698" ht="15" hidden="0">
      <x:c r="A1698" s="70" t="s">
        <x:v>2737</x:v>
      </x:c>
      <x:c r="B1698" s="70" t="s">
        <x:v>45</x:v>
      </x:c>
      <x:c r="C1698" s="70" t="s">
        <x:v>717</x:v>
      </x:c>
      <x:c r="D1698" s="70" t="s">
        <x:v>153</x:v>
      </x:c>
      <x:c r="E1698" s="70" t="s">
        <x:v>763</x:v>
      </x:c>
      <x:c r="F1698" s="70" t="s">
        <x:v>2738</x:v>
      </x:c>
      <x:c r="G1698" s="70" t="s">
        <x:v>2624</x:v>
      </x:c>
      <x:c r="H1698" s="70" t="s">
        <x:v>832</x:v>
      </x:c>
      <x:c r="I1698" s="70" t="s">
        <x:v>833</x:v>
      </x:c>
      <x:c r="J1698" s="70" t="n">
        <x:v>164</x:v>
      </x:c>
      <x:c r="K1698" s="70" t="s">
        <x:v>2613</x:v>
      </x:c>
      <x:c r="L1698" s="70" t="s">
        <x:v>1299</x:v>
      </x:c>
      <x:c r="M1698" s="70" t="s">
        <x:v>39</x:v>
      </x:c>
      <x:c r="N1698" s="71" t="n">
        <x:v>447327</x:v>
      </x:c>
      <x:c r="O1698" s="72" t="n">
        <x:f aca="0">N1698/1000</x:f>
        <x:v>447.327</x:v>
      </x:c>
      <x:c r="P1698" s="73" t="n">
        <x:f aca="0">FCCL!C43</x:f>
        <x:v>447.327</x:v>
      </x:c>
      <x:c r="Q1698" s="70" t="str">
        <x:f aca="0">IF(ABS(O1698-P1698)&lt;0.000001,"PASS","FAIL")</x:f>
        <x:v>PASS</x:v>
      </x:c>
      <x:c r="R1698" s="70" t="s">
        <x:v>27</x:v>
      </x:c>
      <x:c r="S1698" s="70"/>
    </x:row>
    <x:row r="1699" ht="15" hidden="0">
      <x:c r="A1699" s="70" t="s">
        <x:v>2739</x:v>
      </x:c>
      <x:c r="B1699" s="70" t="s">
        <x:v>45</x:v>
      </x:c>
      <x:c r="C1699" s="70" t="s">
        <x:v>101</x:v>
      </x:c>
      <x:c r="D1699" s="70" t="s">
        <x:v>153</x:v>
      </x:c>
      <x:c r="E1699" s="70" t="s">
        <x:v>763</x:v>
      </x:c>
      <x:c r="F1699" s="70" t="s">
        <x:v>2738</x:v>
      </x:c>
      <x:c r="G1699" s="70" t="s">
        <x:v>2626</x:v>
      </x:c>
      <x:c r="H1699" s="70" t="s">
        <x:v>838</x:v>
      </x:c>
      <x:c r="I1699" s="70" t="s">
        <x:v>833</x:v>
      </x:c>
      <x:c r="J1699" s="70" t="n">
        <x:v>186</x:v>
      </x:c>
      <x:c r="K1699" s="70" t="s">
        <x:v>1761</x:v>
      </x:c>
      <x:c r="L1699" s="70" t="s">
        <x:v>966</x:v>
      </x:c>
      <x:c r="M1699" s="70" t="s">
        <x:v>39</x:v>
      </x:c>
      <x:c r="N1699" s="71" t="n">
        <x:v>491502</x:v>
      </x:c>
      <x:c r="O1699" s="72" t="n">
        <x:f aca="0">N1699/1000</x:f>
        <x:v>491.502</x:v>
      </x:c>
      <x:c r="P1699" s="73" t="n">
        <x:f aca="0">FCCL!D43</x:f>
        <x:v>491.502</x:v>
      </x:c>
      <x:c r="Q1699" s="70" t="str">
        <x:f aca="0">IF(ABS(O1699-P1699)&lt;0.000001,"PASS","FAIL")</x:f>
        <x:v>PASS</x:v>
      </x:c>
      <x:c r="R1699" s="70" t="s">
        <x:v>27</x:v>
      </x:c>
      <x:c r="S1699" s="70"/>
    </x:row>
    <x:row r="1700" ht="15" hidden="0">
      <x:c r="A1700" s="70" t="s">
        <x:v>2740</x:v>
      </x:c>
      <x:c r="B1700" s="70" t="s">
        <x:v>45</x:v>
      </x:c>
      <x:c r="C1700" s="70" t="s">
        <x:v>102</x:v>
      </x:c>
      <x:c r="D1700" s="70" t="s">
        <x:v>153</x:v>
      </x:c>
      <x:c r="E1700" s="70" t="s">
        <x:v>763</x:v>
      </x:c>
      <x:c r="F1700" s="70" t="s">
        <x:v>2738</x:v>
      </x:c>
      <x:c r="G1700" s="70" t="s">
        <x:v>2628</x:v>
      </x:c>
      <x:c r="H1700" s="70" t="s">
        <x:v>842</x:v>
      </x:c>
      <x:c r="I1700" s="70" t="s">
        <x:v>833</x:v>
      </x:c>
      <x:c r="J1700" s="70" t="n">
        <x:v>208</x:v>
      </x:c>
      <x:c r="K1700" s="70" t="s">
        <x:v>2102</x:v>
      </x:c>
      <x:c r="L1700" s="70" t="s">
        <x:v>1299</x:v>
      </x:c>
      <x:c r="M1700" s="70" t="s">
        <x:v>39</x:v>
      </x:c>
      <x:c r="N1700" s="71" t="n">
        <x:v>19555997</x:v>
      </x:c>
      <x:c r="O1700" s="72" t="n">
        <x:f aca="0">N1700/1000</x:f>
        <x:v>19555.997</x:v>
      </x:c>
      <x:c r="P1700" s="73" t="n">
        <x:f aca="0">FCCL!E43</x:f>
        <x:v>19555.997</x:v>
      </x:c>
      <x:c r="Q1700" s="70" t="str">
        <x:f aca="0">IF(ABS(O1700-P1700)&lt;0.000001,"PASS","FAIL")</x:f>
        <x:v>PASS</x:v>
      </x:c>
      <x:c r="R1700" s="70" t="s">
        <x:v>27</x:v>
      </x:c>
      <x:c r="S1700" s="70"/>
    </x:row>
    <x:row r="1701" ht="15" hidden="0">
      <x:c r="A1701" s="70" t="s">
        <x:v>2741</x:v>
      </x:c>
      <x:c r="B1701" s="70" t="s">
        <x:v>45</x:v>
      </x:c>
      <x:c r="C1701" s="70" t="s">
        <x:v>103</x:v>
      </x:c>
      <x:c r="D1701" s="70" t="s">
        <x:v>153</x:v>
      </x:c>
      <x:c r="E1701" s="70" t="s">
        <x:v>763</x:v>
      </x:c>
      <x:c r="F1701" s="70" t="s">
        <x:v>2738</x:v>
      </x:c>
      <x:c r="G1701" s="70" t="s">
        <x:v>2631</x:v>
      </x:c>
      <x:c r="H1701" s="70" t="s">
        <x:v>845</x:v>
      </x:c>
      <x:c r="I1701" s="70" t="s">
        <x:v>833</x:v>
      </x:c>
      <x:c r="J1701" s="70" t="n">
        <x:v>190</x:v>
      </x:c>
      <x:c r="K1701" s="70" t="s">
        <x:v>1765</x:v>
      </x:c>
      <x:c r="L1701" s="70" t="s">
        <x:v>1299</x:v>
      </x:c>
      <x:c r="M1701" s="70" t="s">
        <x:v>39</x:v>
      </x:c>
      <x:c r="N1701" s="71" t="n">
        <x:v>31777087</x:v>
      </x:c>
      <x:c r="O1701" s="72" t="n">
        <x:f aca="0">N1701/1000</x:f>
        <x:v>31777.087</x:v>
      </x:c>
      <x:c r="P1701" s="73" t="n">
        <x:f aca="0">FCCL!F43</x:f>
        <x:v>31777.087</x:v>
      </x:c>
      <x:c r="Q1701" s="70" t="str">
        <x:f aca="0">IF(ABS(O1701-P1701)&lt;0.000001,"PASS","FAIL")</x:f>
        <x:v>PASS</x:v>
      </x:c>
      <x:c r="R1701" s="70" t="s">
        <x:v>27</x:v>
      </x:c>
      <x:c r="S1701" s="70"/>
    </x:row>
    <x:row r="1702" ht="15" hidden="0">
      <x:c r="A1702" s="70" t="s">
        <x:v>2742</x:v>
      </x:c>
      <x:c r="B1702" s="70" t="s">
        <x:v>45</x:v>
      </x:c>
      <x:c r="C1702" s="70" t="s">
        <x:v>104</x:v>
      </x:c>
      <x:c r="D1702" s="70" t="s">
        <x:v>153</x:v>
      </x:c>
      <x:c r="E1702" s="70" t="s">
        <x:v>763</x:v>
      </x:c>
      <x:c r="F1702" s="70" t="s">
        <x:v>2738</x:v>
      </x:c>
      <x:c r="G1702" s="70" t="s">
        <x:v>2633</x:v>
      </x:c>
      <x:c r="H1702" s="70" t="s">
        <x:v>849</x:v>
      </x:c>
      <x:c r="I1702" s="70" t="s">
        <x:v>833</x:v>
      </x:c>
      <x:c r="J1702" s="70" t="n">
        <x:v>244</x:v>
      </x:c>
      <x:c r="K1702" s="70" t="s">
        <x:v>834</x:v>
      </x:c>
      <x:c r="L1702" s="70" t="s">
        <x:v>966</x:v>
      </x:c>
      <x:c r="M1702" s="70" t="s">
        <x:v>39</x:v>
      </x:c>
      <x:c r="N1702" s="71" t="n">
        <x:v>29908287</x:v>
      </x:c>
      <x:c r="O1702" s="72" t="n">
        <x:f aca="0">N1702/1000</x:f>
        <x:v>29908.287</x:v>
      </x:c>
      <x:c r="P1702" s="73" t="n">
        <x:f aca="0">FCCL!G43</x:f>
        <x:v>29908.287</x:v>
      </x:c>
      <x:c r="Q1702" s="70" t="str">
        <x:f aca="0">IF(ABS(O1702-P1702)&lt;0.000001,"PASS","FAIL")</x:f>
        <x:v>PASS</x:v>
      </x:c>
      <x:c r="R1702" s="70" t="s">
        <x:v>27</x:v>
      </x:c>
      <x:c r="S1702" s="70"/>
    </x:row>
    <x:row r="1703" ht="15" hidden="0">
      <x:c r="A1703" s="70" t="s">
        <x:v>2743</x:v>
      </x:c>
      <x:c r="B1703" s="70" t="s">
        <x:v>45</x:v>
      </x:c>
      <x:c r="C1703" s="70" t="s">
        <x:v>105</x:v>
      </x:c>
      <x:c r="D1703" s="70" t="s">
        <x:v>153</x:v>
      </x:c>
      <x:c r="E1703" s="70" t="s">
        <x:v>763</x:v>
      </x:c>
      <x:c r="F1703" s="70" t="s">
        <x:v>2738</x:v>
      </x:c>
      <x:c r="G1703" s="70" t="s">
        <x:v>2633</x:v>
      </x:c>
      <x:c r="H1703" s="70" t="s">
        <x:v>849</x:v>
      </x:c>
      <x:c r="I1703" s="70" t="s">
        <x:v>852</x:v>
      </x:c>
      <x:c r="J1703" s="70" t="n">
        <x:v>244</x:v>
      </x:c>
      <x:c r="K1703" s="70" t="s">
        <x:v>834</x:v>
      </x:c>
      <x:c r="L1703" s="70" t="s">
        <x:v>966</x:v>
      </x:c>
      <x:c r="M1703" s="70" t="s">
        <x:v>39</x:v>
      </x:c>
      <x:c r="N1703" s="71" t="n">
        <x:v>24208633</x:v>
      </x:c>
      <x:c r="O1703" s="72" t="n">
        <x:f aca="0">N1703/1000</x:f>
        <x:v>24208.633</x:v>
      </x:c>
      <x:c r="P1703" s="73" t="n">
        <x:f aca="0">FCCL!H43</x:f>
        <x:v>24208.633</x:v>
      </x:c>
      <x:c r="Q1703" s="70" t="str">
        <x:f aca="0">IF(ABS(O1703-P1703)&lt;0.000001,"PASS","FAIL")</x:f>
        <x:v>PASS</x:v>
      </x:c>
      <x:c r="R1703" s="70" t="s">
        <x:v>27</x:v>
      </x:c>
      <x:c r="S1703" s="70"/>
    </x:row>
    <x:row r="1704" ht="15" hidden="0">
      <x:c r="A1704" s="70" t="s">
        <x:v>2744</x:v>
      </x:c>
      <x:c r="B1704" s="70" t="s">
        <x:v>45</x:v>
      </x:c>
      <x:c r="C1704" s="70" t="s">
        <x:v>717</x:v>
      </x:c>
      <x:c r="D1704" s="70" t="s">
        <x:v>155</x:v>
      </x:c>
      <x:c r="E1704" s="70" t="s">
        <x:v>763</x:v>
      </x:c>
      <x:c r="F1704" s="70" t="s">
        <x:v>2745</x:v>
      </x:c>
      <x:c r="G1704" s="70" t="s">
        <x:v>2624</x:v>
      </x:c>
      <x:c r="H1704" s="70" t="s">
        <x:v>832</x:v>
      </x:c>
      <x:c r="I1704" s="70" t="s">
        <x:v>833</x:v>
      </x:c>
      <x:c r="J1704" s="70" t="n">
        <x:v>164</x:v>
      </x:c>
      <x:c r="K1704" s="70" t="s">
        <x:v>2613</x:v>
      </x:c>
      <x:c r="L1704" s="70" t="s">
        <x:v>1342</x:v>
      </x:c>
      <x:c r="M1704" s="70" t="s">
        <x:v>39</x:v>
      </x:c>
      <x:c r="N1704" s="71" t="n">
        <x:v>57656</x:v>
      </x:c>
      <x:c r="O1704" s="72" t="n">
        <x:f aca="0">N1704/1000</x:f>
        <x:v>57.656</x:v>
      </x:c>
      <x:c r="P1704" s="73" t="n">
        <x:f aca="0">FCCL!C44</x:f>
        <x:v>57.656</x:v>
      </x:c>
      <x:c r="Q1704" s="70" t="str">
        <x:f aca="0">IF(ABS(O1704-P1704)&lt;0.000001,"PASS","FAIL")</x:f>
        <x:v>PASS</x:v>
      </x:c>
      <x:c r="R1704" s="70" t="s">
        <x:v>27</x:v>
      </x:c>
      <x:c r="S1704" s="70"/>
    </x:row>
    <x:row r="1705" ht="15" hidden="0">
      <x:c r="A1705" s="70" t="s">
        <x:v>2746</x:v>
      </x:c>
      <x:c r="B1705" s="70" t="s">
        <x:v>45</x:v>
      </x:c>
      <x:c r="C1705" s="70" t="s">
        <x:v>101</x:v>
      </x:c>
      <x:c r="D1705" s="70" t="s">
        <x:v>155</x:v>
      </x:c>
      <x:c r="E1705" s="70" t="s">
        <x:v>763</x:v>
      </x:c>
      <x:c r="F1705" s="70" t="s">
        <x:v>2318</x:v>
      </x:c>
      <x:c r="G1705" s="70" t="s">
        <x:v>2626</x:v>
      </x:c>
      <x:c r="H1705" s="70" t="s">
        <x:v>838</x:v>
      </x:c>
      <x:c r="I1705" s="70" t="s">
        <x:v>833</x:v>
      </x:c>
      <x:c r="J1705" s="70" t="n">
        <x:v>186</x:v>
      </x:c>
      <x:c r="K1705" s="70" t="s">
        <x:v>1761</x:v>
      </x:c>
      <x:c r="L1705" s="70" t="s">
        <x:v>1355</x:v>
      </x:c>
      <x:c r="M1705" s="70" t="s">
        <x:v>39</x:v>
      </x:c>
      <x:c r="N1705" s="71" t="n">
        <x:v>73593</x:v>
      </x:c>
      <x:c r="O1705" s="72" t="n">
        <x:f aca="0">N1705/1000</x:f>
        <x:v>73.593</x:v>
      </x:c>
      <x:c r="P1705" s="73" t="n">
        <x:f aca="0">FCCL!D44</x:f>
        <x:v>73.593</x:v>
      </x:c>
      <x:c r="Q1705" s="70" t="str">
        <x:f aca="0">IF(ABS(O1705-P1705)&lt;0.000001,"PASS","FAIL")</x:f>
        <x:v>PASS</x:v>
      </x:c>
      <x:c r="R1705" s="70" t="s">
        <x:v>27</x:v>
      </x:c>
      <x:c r="S1705" s="70"/>
    </x:row>
    <x:row r="1706" ht="15" hidden="0">
      <x:c r="A1706" s="70" t="s">
        <x:v>2747</x:v>
      </x:c>
      <x:c r="B1706" s="70" t="s">
        <x:v>45</x:v>
      </x:c>
      <x:c r="C1706" s="70" t="s">
        <x:v>102</x:v>
      </x:c>
      <x:c r="D1706" s="70" t="s">
        <x:v>155</x:v>
      </x:c>
      <x:c r="E1706" s="70" t="s">
        <x:v>763</x:v>
      </x:c>
      <x:c r="F1706" s="70" t="s">
        <x:v>2318</x:v>
      </x:c>
      <x:c r="G1706" s="70" t="s">
        <x:v>2628</x:v>
      </x:c>
      <x:c r="H1706" s="70" t="s">
        <x:v>842</x:v>
      </x:c>
      <x:c r="I1706" s="70" t="s">
        <x:v>833</x:v>
      </x:c>
      <x:c r="J1706" s="70" t="n">
        <x:v>208</x:v>
      </x:c>
      <x:c r="K1706" s="70" t="s">
        <x:v>2102</x:v>
      </x:c>
      <x:c r="L1706" s="70" t="s">
        <x:v>1342</x:v>
      </x:c>
      <x:c r="M1706" s="70" t="s">
        <x:v>39</x:v>
      </x:c>
      <x:c r="N1706" s="71" t="n">
        <x:v>89965</x:v>
      </x:c>
      <x:c r="O1706" s="72" t="n">
        <x:f aca="0">N1706/1000</x:f>
        <x:v>89.965</x:v>
      </x:c>
      <x:c r="P1706" s="73" t="n">
        <x:f aca="0">FCCL!E44</x:f>
        <x:v>89.965</x:v>
      </x:c>
      <x:c r="Q1706" s="70" t="str">
        <x:f aca="0">IF(ABS(O1706-P1706)&lt;0.000001,"PASS","FAIL")</x:f>
        <x:v>PASS</x:v>
      </x:c>
      <x:c r="R1706" s="70" t="s">
        <x:v>27</x:v>
      </x:c>
      <x:c r="S1706" s="70"/>
    </x:row>
    <x:row r="1707" ht="15" hidden="0">
      <x:c r="A1707" s="70" t="s">
        <x:v>2748</x:v>
      </x:c>
      <x:c r="B1707" s="70" t="s">
        <x:v>45</x:v>
      </x:c>
      <x:c r="C1707" s="70" t="s">
        <x:v>103</x:v>
      </x:c>
      <x:c r="D1707" s="70" t="s">
        <x:v>155</x:v>
      </x:c>
      <x:c r="E1707" s="70" t="s">
        <x:v>763</x:v>
      </x:c>
      <x:c r="F1707" s="70" t="s">
        <x:v>2318</x:v>
      </x:c>
      <x:c r="G1707" s="70" t="s">
        <x:v>2631</x:v>
      </x:c>
      <x:c r="H1707" s="70" t="s">
        <x:v>845</x:v>
      </x:c>
      <x:c r="I1707" s="70" t="s">
        <x:v>833</x:v>
      </x:c>
      <x:c r="J1707" s="70" t="n">
        <x:v>190</x:v>
      </x:c>
      <x:c r="K1707" s="70" t="s">
        <x:v>1765</x:v>
      </x:c>
      <x:c r="L1707" s="70" t="s">
        <x:v>1342</x:v>
      </x:c>
      <x:c r="M1707" s="70" t="s">
        <x:v>39</x:v>
      </x:c>
      <x:c r="N1707" s="71" t="n">
        <x:v>118972</x:v>
      </x:c>
      <x:c r="O1707" s="72" t="n">
        <x:f aca="0">N1707/1000</x:f>
        <x:v>118.972</x:v>
      </x:c>
      <x:c r="P1707" s="73" t="n">
        <x:f aca="0">FCCL!F44</x:f>
        <x:v>118.972</x:v>
      </x:c>
      <x:c r="Q1707" s="70" t="str">
        <x:f aca="0">IF(ABS(O1707-P1707)&lt;0.000001,"PASS","FAIL")</x:f>
        <x:v>PASS</x:v>
      </x:c>
      <x:c r="R1707" s="70" t="s">
        <x:v>27</x:v>
      </x:c>
      <x:c r="S1707" s="70"/>
    </x:row>
    <x:row r="1708" ht="15" hidden="0">
      <x:c r="A1708" s="70" t="s">
        <x:v>2749</x:v>
      </x:c>
      <x:c r="B1708" s="70" t="s">
        <x:v>45</x:v>
      </x:c>
      <x:c r="C1708" s="70" t="s">
        <x:v>104</x:v>
      </x:c>
      <x:c r="D1708" s="70" t="s">
        <x:v>155</x:v>
      </x:c>
      <x:c r="E1708" s="70" t="s">
        <x:v>763</x:v>
      </x:c>
      <x:c r="F1708" s="70" t="s">
        <x:v>2318</x:v>
      </x:c>
      <x:c r="G1708" s="70" t="s">
        <x:v>2633</x:v>
      </x:c>
      <x:c r="H1708" s="70" t="s">
        <x:v>849</x:v>
      </x:c>
      <x:c r="I1708" s="70" t="s">
        <x:v>833</x:v>
      </x:c>
      <x:c r="J1708" s="70" t="n">
        <x:v>244</x:v>
      </x:c>
      <x:c r="K1708" s="70" t="s">
        <x:v>834</x:v>
      </x:c>
      <x:c r="L1708" s="70" t="s">
        <x:v>1355</x:v>
      </x:c>
      <x:c r="M1708" s="70" t="s">
        <x:v>39</x:v>
      </x:c>
      <x:c r="N1708" s="71" t="n">
        <x:v>117454</x:v>
      </x:c>
      <x:c r="O1708" s="72" t="n">
        <x:f aca="0">N1708/1000</x:f>
        <x:v>117.454</x:v>
      </x:c>
      <x:c r="P1708" s="73" t="n">
        <x:f aca="0">FCCL!G44</x:f>
        <x:v>117.454</x:v>
      </x:c>
      <x:c r="Q1708" s="70" t="str">
        <x:f aca="0">IF(ABS(O1708-P1708)&lt;0.000001,"PASS","FAIL")</x:f>
        <x:v>PASS</x:v>
      </x:c>
      <x:c r="R1708" s="70" t="s">
        <x:v>27</x:v>
      </x:c>
      <x:c r="S1708" s="70"/>
    </x:row>
    <x:row r="1709" ht="15" hidden="0">
      <x:c r="A1709" s="70" t="s">
        <x:v>2750</x:v>
      </x:c>
      <x:c r="B1709" s="70" t="s">
        <x:v>45</x:v>
      </x:c>
      <x:c r="C1709" s="70" t="s">
        <x:v>105</x:v>
      </x:c>
      <x:c r="D1709" s="70" t="s">
        <x:v>155</x:v>
      </x:c>
      <x:c r="E1709" s="70" t="s">
        <x:v>763</x:v>
      </x:c>
      <x:c r="F1709" s="70" t="s">
        <x:v>2318</x:v>
      </x:c>
      <x:c r="G1709" s="70" t="s">
        <x:v>2633</x:v>
      </x:c>
      <x:c r="H1709" s="70" t="s">
        <x:v>849</x:v>
      </x:c>
      <x:c r="I1709" s="70" t="s">
        <x:v>852</x:v>
      </x:c>
      <x:c r="J1709" s="70" t="n">
        <x:v>244</x:v>
      </x:c>
      <x:c r="K1709" s="70" t="s">
        <x:v>834</x:v>
      </x:c>
      <x:c r="L1709" s="70" t="s">
        <x:v>1355</x:v>
      </x:c>
      <x:c r="M1709" s="70" t="s">
        <x:v>39</x:v>
      </x:c>
      <x:c r="N1709" s="71" t="n">
        <x:v>101211</x:v>
      </x:c>
      <x:c r="O1709" s="72" t="n">
        <x:f aca="0">N1709/1000</x:f>
        <x:v>101.211</x:v>
      </x:c>
      <x:c r="P1709" s="73" t="n">
        <x:f aca="0">FCCL!H44</x:f>
        <x:v>101.211</x:v>
      </x:c>
      <x:c r="Q1709" s="70" t="str">
        <x:f aca="0">IF(ABS(O1709-P1709)&lt;0.000001,"PASS","FAIL")</x:f>
        <x:v>PASS</x:v>
      </x:c>
      <x:c r="R1709" s="70" t="s">
        <x:v>27</x:v>
      </x:c>
      <x:c r="S1709" s="70"/>
    </x:row>
    <x:row r="1710" ht="15" hidden="0">
      <x:c r="A1710" s="70" t="s">
        <x:v>2751</x:v>
      </x:c>
      <x:c r="B1710" s="70" t="s">
        <x:v>45</x:v>
      </x:c>
      <x:c r="C1710" s="70" t="s">
        <x:v>717</x:v>
      </x:c>
      <x:c r="D1710" s="70" t="s">
        <x:v>157</x:v>
      </x:c>
      <x:c r="E1710" s="70" t="s">
        <x:v>763</x:v>
      </x:c>
      <x:c r="F1710" s="70" t="s">
        <x:v>1874</x:v>
      </x:c>
      <x:c r="G1710" s="70" t="s">
        <x:v>2624</x:v>
      </x:c>
      <x:c r="H1710" s="70" t="s">
        <x:v>832</x:v>
      </x:c>
      <x:c r="I1710" s="70" t="s">
        <x:v>833</x:v>
      </x:c>
      <x:c r="J1710" s="70" t="n">
        <x:v>164</x:v>
      </x:c>
      <x:c r="K1710" s="70" t="s">
        <x:v>2613</x:v>
      </x:c>
      <x:c r="L1710" s="70"/>
      <x:c r="M1710" s="70" t="s">
        <x:v>39</x:v>
      </x:c>
      <x:c r="N1710" s="71" t="n">
        <x:v>0</x:v>
      </x:c>
      <x:c r="O1710" s="72" t="n">
        <x:f aca="0">N1710/1000</x:f>
        <x:v>0</x:v>
      </x:c>
      <x:c r="P1710" s="73" t="n">
        <x:f aca="0">FCCL!C45</x:f>
        <x:v>0</x:v>
      </x:c>
      <x:c r="Q1710" s="70" t="str">
        <x:f aca="0">IF(ABS(O1710-P1710)&lt;0.000001,"PASS","FAIL")</x:f>
        <x:v>PASS</x:v>
      </x:c>
      <x:c r="R1710" s="70" t="s">
        <x:v>27</x:v>
      </x:c>
      <x:c r="S1710" s="70"/>
    </x:row>
    <x:row r="1711" ht="15" hidden="0">
      <x:c r="A1711" s="70" t="s">
        <x:v>2752</x:v>
      </x:c>
      <x:c r="B1711" s="70" t="s">
        <x:v>45</x:v>
      </x:c>
      <x:c r="C1711" s="70" t="s">
        <x:v>101</x:v>
      </x:c>
      <x:c r="D1711" s="70" t="s">
        <x:v>157</x:v>
      </x:c>
      <x:c r="E1711" s="70" t="s">
        <x:v>763</x:v>
      </x:c>
      <x:c r="F1711" s="70" t="s">
        <x:v>1874</x:v>
      </x:c>
      <x:c r="G1711" s="70" t="s">
        <x:v>2626</x:v>
      </x:c>
      <x:c r="H1711" s="70" t="s">
        <x:v>838</x:v>
      </x:c>
      <x:c r="I1711" s="70" t="s">
        <x:v>833</x:v>
      </x:c>
      <x:c r="J1711" s="70" t="n">
        <x:v>186</x:v>
      </x:c>
      <x:c r="K1711" s="70" t="s">
        <x:v>1761</x:v>
      </x:c>
      <x:c r="L1711" s="70" t="s">
        <x:v>1002</x:v>
      </x:c>
      <x:c r="M1711" s="70" t="s">
        <x:v>39</x:v>
      </x:c>
      <x:c r="N1711" s="71" t="n">
        <x:v>6607</x:v>
      </x:c>
      <x:c r="O1711" s="72" t="n">
        <x:f aca="0">N1711/1000</x:f>
        <x:v>6.607</x:v>
      </x:c>
      <x:c r="P1711" s="73" t="n">
        <x:f aca="0">FCCL!D45</x:f>
        <x:v>6.607</x:v>
      </x:c>
      <x:c r="Q1711" s="70" t="str">
        <x:f aca="0">IF(ABS(O1711-P1711)&lt;0.000001,"PASS","FAIL")</x:f>
        <x:v>PASS</x:v>
      </x:c>
      <x:c r="R1711" s="70" t="s">
        <x:v>27</x:v>
      </x:c>
      <x:c r="S1711" s="70" t="s">
        <x:v>839</x:v>
      </x:c>
    </x:row>
    <x:row r="1712" ht="15" hidden="0">
      <x:c r="A1712" s="70" t="s">
        <x:v>2753</x:v>
      </x:c>
      <x:c r="B1712" s="70" t="s">
        <x:v>45</x:v>
      </x:c>
      <x:c r="C1712" s="70" t="s">
        <x:v>102</x:v>
      </x:c>
      <x:c r="D1712" s="70" t="s">
        <x:v>157</x:v>
      </x:c>
      <x:c r="E1712" s="70" t="s">
        <x:v>763</x:v>
      </x:c>
      <x:c r="F1712" s="70" t="s">
        <x:v>1874</x:v>
      </x:c>
      <x:c r="G1712" s="70" t="s">
        <x:v>2628</x:v>
      </x:c>
      <x:c r="H1712" s="70" t="s">
        <x:v>842</x:v>
      </x:c>
      <x:c r="I1712" s="70" t="s">
        <x:v>833</x:v>
      </x:c>
      <x:c r="J1712" s="70" t="n">
        <x:v>208</x:v>
      </x:c>
      <x:c r="K1712" s="70" t="s">
        <x:v>2102</x:v>
      </x:c>
      <x:c r="L1712" s="70" t="s">
        <x:v>1355</x:v>
      </x:c>
      <x:c r="M1712" s="70" t="s">
        <x:v>39</x:v>
      </x:c>
      <x:c r="N1712" s="71" t="n">
        <x:v>1982301</x:v>
      </x:c>
      <x:c r="O1712" s="72" t="n">
        <x:f aca="0">N1712/1000</x:f>
        <x:v>1982.301</x:v>
      </x:c>
      <x:c r="P1712" s="73" t="n">
        <x:f aca="0">FCCL!E45</x:f>
        <x:v>1982.301</x:v>
      </x:c>
      <x:c r="Q1712" s="70" t="str">
        <x:f aca="0">IF(ABS(O1712-P1712)&lt;0.000001,"PASS","FAIL")</x:f>
        <x:v>PASS</x:v>
      </x:c>
      <x:c r="R1712" s="70" t="s">
        <x:v>27</x:v>
      </x:c>
      <x:c r="S1712" s="70"/>
    </x:row>
    <x:row r="1713" ht="15" hidden="0">
      <x:c r="A1713" s="70" t="s">
        <x:v>2754</x:v>
      </x:c>
      <x:c r="B1713" s="70" t="s">
        <x:v>45</x:v>
      </x:c>
      <x:c r="C1713" s="70" t="s">
        <x:v>103</x:v>
      </x:c>
      <x:c r="D1713" s="70" t="s">
        <x:v>157</x:v>
      </x:c>
      <x:c r="E1713" s="70" t="s">
        <x:v>763</x:v>
      </x:c>
      <x:c r="F1713" s="70" t="s">
        <x:v>1874</x:v>
      </x:c>
      <x:c r="G1713" s="70" t="s">
        <x:v>2631</x:v>
      </x:c>
      <x:c r="H1713" s="70" t="s">
        <x:v>845</x:v>
      </x:c>
      <x:c r="I1713" s="70" t="s">
        <x:v>833</x:v>
      </x:c>
      <x:c r="J1713" s="70" t="n">
        <x:v>190</x:v>
      </x:c>
      <x:c r="K1713" s="70" t="s">
        <x:v>1765</x:v>
      </x:c>
      <x:c r="L1713" s="70" t="s">
        <x:v>1355</x:v>
      </x:c>
      <x:c r="M1713" s="70" t="s">
        <x:v>39</x:v>
      </x:c>
      <x:c r="N1713" s="71" t="n">
        <x:v>2745849</x:v>
      </x:c>
      <x:c r="O1713" s="72" t="n">
        <x:f aca="0">N1713/1000</x:f>
        <x:v>2745.849</x:v>
      </x:c>
      <x:c r="P1713" s="73" t="n">
        <x:f aca="0">FCCL!F45</x:f>
        <x:v>2745.849</x:v>
      </x:c>
      <x:c r="Q1713" s="70" t="str">
        <x:f aca="0">IF(ABS(O1713-P1713)&lt;0.000001,"PASS","FAIL")</x:f>
        <x:v>PASS</x:v>
      </x:c>
      <x:c r="R1713" s="70" t="s">
        <x:v>27</x:v>
      </x:c>
      <x:c r="S1713" s="70"/>
    </x:row>
    <x:row r="1714" ht="15" hidden="0">
      <x:c r="A1714" s="70" t="s">
        <x:v>2755</x:v>
      </x:c>
      <x:c r="B1714" s="70" t="s">
        <x:v>45</x:v>
      </x:c>
      <x:c r="C1714" s="70" t="s">
        <x:v>104</x:v>
      </x:c>
      <x:c r="D1714" s="70" t="s">
        <x:v>157</x:v>
      </x:c>
      <x:c r="E1714" s="70" t="s">
        <x:v>763</x:v>
      </x:c>
      <x:c r="F1714" s="70" t="s">
        <x:v>1874</x:v>
      </x:c>
      <x:c r="G1714" s="70" t="s">
        <x:v>2633</x:v>
      </x:c>
      <x:c r="H1714" s="70" t="s">
        <x:v>849</x:v>
      </x:c>
      <x:c r="I1714" s="70" t="s">
        <x:v>833</x:v>
      </x:c>
      <x:c r="J1714" s="70" t="n">
        <x:v>244</x:v>
      </x:c>
      <x:c r="K1714" s="70" t="s">
        <x:v>834</x:v>
      </x:c>
      <x:c r="L1714" s="70" t="s">
        <x:v>1002</x:v>
      </x:c>
      <x:c r="M1714" s="70" t="s">
        <x:v>39</x:v>
      </x:c>
      <x:c r="N1714" s="71" t="n">
        <x:v>2164959</x:v>
      </x:c>
      <x:c r="O1714" s="72" t="n">
        <x:f aca="0">N1714/1000</x:f>
        <x:v>2164.959</x:v>
      </x:c>
      <x:c r="P1714" s="73" t="n">
        <x:f aca="0">FCCL!G45</x:f>
        <x:v>2164.959</x:v>
      </x:c>
      <x:c r="Q1714" s="70" t="str">
        <x:f aca="0">IF(ABS(O1714-P1714)&lt;0.000001,"PASS","FAIL")</x:f>
        <x:v>PASS</x:v>
      </x:c>
      <x:c r="R1714" s="70" t="s">
        <x:v>27</x:v>
      </x:c>
      <x:c r="S1714" s="70"/>
    </x:row>
    <x:row r="1715" ht="15" hidden="0">
      <x:c r="A1715" s="70" t="s">
        <x:v>2756</x:v>
      </x:c>
      <x:c r="B1715" s="70" t="s">
        <x:v>45</x:v>
      </x:c>
      <x:c r="C1715" s="70" t="s">
        <x:v>105</x:v>
      </x:c>
      <x:c r="D1715" s="70" t="s">
        <x:v>157</x:v>
      </x:c>
      <x:c r="E1715" s="70" t="s">
        <x:v>763</x:v>
      </x:c>
      <x:c r="F1715" s="70" t="s">
        <x:v>1874</x:v>
      </x:c>
      <x:c r="G1715" s="70" t="s">
        <x:v>2633</x:v>
      </x:c>
      <x:c r="H1715" s="70" t="s">
        <x:v>849</x:v>
      </x:c>
      <x:c r="I1715" s="70" t="s">
        <x:v>852</x:v>
      </x:c>
      <x:c r="J1715" s="70" t="n">
        <x:v>244</x:v>
      </x:c>
      <x:c r="K1715" s="70" t="s">
        <x:v>834</x:v>
      </x:c>
      <x:c r="L1715" s="70" t="s">
        <x:v>1002</x:v>
      </x:c>
      <x:c r="M1715" s="70" t="s">
        <x:v>39</x:v>
      </x:c>
      <x:c r="N1715" s="71" t="n">
        <x:v>1647630</x:v>
      </x:c>
      <x:c r="O1715" s="72" t="n">
        <x:f aca="0">N1715/1000</x:f>
        <x:v>1647.63</x:v>
      </x:c>
      <x:c r="P1715" s="73" t="n">
        <x:f aca="0">FCCL!H45</x:f>
        <x:v>1647.63</x:v>
      </x:c>
      <x:c r="Q1715" s="70" t="str">
        <x:f aca="0">IF(ABS(O1715-P1715)&lt;0.000001,"PASS","FAIL")</x:f>
        <x:v>PASS</x:v>
      </x:c>
      <x:c r="R1715" s="70" t="s">
        <x:v>27</x:v>
      </x:c>
      <x:c r="S1715" s="70"/>
    </x:row>
    <x:row r="1716" ht="15" hidden="0">
      <x:c r="A1716" s="70" t="s">
        <x:v>2757</x:v>
      </x:c>
      <x:c r="B1716" s="70" t="s">
        <x:v>45</x:v>
      </x:c>
      <x:c r="C1716" s="70" t="s">
        <x:v>717</x:v>
      </x:c>
      <x:c r="D1716" s="70" t="s">
        <x:v>159</x:v>
      </x:c>
      <x:c r="E1716" s="70" t="s">
        <x:v>763</x:v>
      </x:c>
      <x:c r="F1716" s="70" t="s">
        <x:v>2758</x:v>
      </x:c>
      <x:c r="G1716" s="70" t="s">
        <x:v>2624</x:v>
      </x:c>
      <x:c r="H1716" s="70" t="s">
        <x:v>832</x:v>
      </x:c>
      <x:c r="I1716" s="70" t="s">
        <x:v>833</x:v>
      </x:c>
      <x:c r="J1716" s="70" t="n">
        <x:v>164</x:v>
      </x:c>
      <x:c r="K1716" s="70" t="s">
        <x:v>2613</x:v>
      </x:c>
      <x:c r="L1716" s="70" t="s">
        <x:v>1355</x:v>
      </x:c>
      <x:c r="M1716" s="70" t="s">
        <x:v>39</x:v>
      </x:c>
      <x:c r="N1716" s="71" t="n">
        <x:v>3643608</x:v>
      </x:c>
      <x:c r="O1716" s="72" t="n">
        <x:f aca="0">N1716/1000</x:f>
        <x:v>3643.608</x:v>
      </x:c>
      <x:c r="P1716" s="73" t="n">
        <x:f aca="0">FCCL!C46</x:f>
        <x:v>3643.608</x:v>
      </x:c>
      <x:c r="Q1716" s="70" t="str">
        <x:f aca="0">IF(ABS(O1716-P1716)&lt;0.000001,"PASS","FAIL")</x:f>
        <x:v>PASS</x:v>
      </x:c>
      <x:c r="R1716" s="70" t="s">
        <x:v>27</x:v>
      </x:c>
      <x:c r="S1716" s="70"/>
    </x:row>
    <x:row r="1717" ht="15" hidden="0">
      <x:c r="A1717" s="70" t="s">
        <x:v>2759</x:v>
      </x:c>
      <x:c r="B1717" s="70" t="s">
        <x:v>45</x:v>
      </x:c>
      <x:c r="C1717" s="70" t="s">
        <x:v>101</x:v>
      </x:c>
      <x:c r="D1717" s="70" t="s">
        <x:v>159</x:v>
      </x:c>
      <x:c r="E1717" s="70" t="s">
        <x:v>763</x:v>
      </x:c>
      <x:c r="F1717" s="70" t="s">
        <x:v>2758</x:v>
      </x:c>
      <x:c r="G1717" s="70" t="s">
        <x:v>2626</x:v>
      </x:c>
      <x:c r="H1717" s="70" t="s">
        <x:v>838</x:v>
      </x:c>
      <x:c r="I1717" s="70" t="s">
        <x:v>833</x:v>
      </x:c>
      <x:c r="J1717" s="70" t="n">
        <x:v>186</x:v>
      </x:c>
      <x:c r="K1717" s="70" t="s">
        <x:v>1761</x:v>
      </x:c>
      <x:c r="L1717" s="70" t="s">
        <x:v>1019</x:v>
      </x:c>
      <x:c r="M1717" s="70" t="s">
        <x:v>39</x:v>
      </x:c>
      <x:c r="N1717" s="71" t="n">
        <x:v>3960489</x:v>
      </x:c>
      <x:c r="O1717" s="72" t="n">
        <x:f aca="0">N1717/1000</x:f>
        <x:v>3960.489</x:v>
      </x:c>
      <x:c r="P1717" s="73" t="n">
        <x:f aca="0">FCCL!D46</x:f>
        <x:v>3960.489</x:v>
      </x:c>
      <x:c r="Q1717" s="70" t="str">
        <x:f aca="0">IF(ABS(O1717-P1717)&lt;0.000001,"PASS","FAIL")</x:f>
        <x:v>PASS</x:v>
      </x:c>
      <x:c r="R1717" s="70" t="s">
        <x:v>27</x:v>
      </x:c>
      <x:c r="S1717" s="70"/>
    </x:row>
    <x:row r="1718" ht="15" hidden="0">
      <x:c r="A1718" s="70" t="s">
        <x:v>2760</x:v>
      </x:c>
      <x:c r="B1718" s="70" t="s">
        <x:v>45</x:v>
      </x:c>
      <x:c r="C1718" s="70" t="s">
        <x:v>102</x:v>
      </x:c>
      <x:c r="D1718" s="70" t="s">
        <x:v>159</x:v>
      </x:c>
      <x:c r="E1718" s="70" t="s">
        <x:v>763</x:v>
      </x:c>
      <x:c r="F1718" s="70" t="s">
        <x:v>2758</x:v>
      </x:c>
      <x:c r="G1718" s="70" t="s">
        <x:v>2628</x:v>
      </x:c>
      <x:c r="H1718" s="70" t="s">
        <x:v>842</x:v>
      </x:c>
      <x:c r="I1718" s="70" t="s">
        <x:v>833</x:v>
      </x:c>
      <x:c r="J1718" s="70" t="n">
        <x:v>208</x:v>
      </x:c>
      <x:c r="K1718" s="70" t="s">
        <x:v>2102</x:v>
      </x:c>
      <x:c r="L1718" s="70" t="s">
        <x:v>1002</x:v>
      </x:c>
      <x:c r="M1718" s="70" t="s">
        <x:v>39</x:v>
      </x:c>
      <x:c r="N1718" s="71" t="n">
        <x:v>7433214</x:v>
      </x:c>
      <x:c r="O1718" s="72" t="n">
        <x:f aca="0">N1718/1000</x:f>
        <x:v>7433.214</x:v>
      </x:c>
      <x:c r="P1718" s="73" t="n">
        <x:f aca="0">FCCL!E46</x:f>
        <x:v>7433.214</x:v>
      </x:c>
      <x:c r="Q1718" s="70" t="str">
        <x:f aca="0">IF(ABS(O1718-P1718)&lt;0.000001,"PASS","FAIL")</x:f>
        <x:v>PASS</x:v>
      </x:c>
      <x:c r="R1718" s="70" t="s">
        <x:v>27</x:v>
      </x:c>
      <x:c r="S1718" s="70"/>
    </x:row>
    <x:row r="1719" ht="15" hidden="0">
      <x:c r="A1719" s="70" t="s">
        <x:v>2761</x:v>
      </x:c>
      <x:c r="B1719" s="70" t="s">
        <x:v>45</x:v>
      </x:c>
      <x:c r="C1719" s="70" t="s">
        <x:v>103</x:v>
      </x:c>
      <x:c r="D1719" s="70" t="s">
        <x:v>159</x:v>
      </x:c>
      <x:c r="E1719" s="70" t="s">
        <x:v>763</x:v>
      </x:c>
      <x:c r="F1719" s="70" t="s">
        <x:v>2758</x:v>
      </x:c>
      <x:c r="G1719" s="70" t="s">
        <x:v>2631</x:v>
      </x:c>
      <x:c r="H1719" s="70" t="s">
        <x:v>845</x:v>
      </x:c>
      <x:c r="I1719" s="70" t="s">
        <x:v>833</x:v>
      </x:c>
      <x:c r="J1719" s="70" t="n">
        <x:v>190</x:v>
      </x:c>
      <x:c r="K1719" s="70" t="s">
        <x:v>1765</x:v>
      </x:c>
      <x:c r="L1719" s="70" t="s">
        <x:v>1002</x:v>
      </x:c>
      <x:c r="M1719" s="70" t="s">
        <x:v>39</x:v>
      </x:c>
      <x:c r="N1719" s="71" t="n">
        <x:v>10312402</x:v>
      </x:c>
      <x:c r="O1719" s="72" t="n">
        <x:f aca="0">N1719/1000</x:f>
        <x:v>10312.402</x:v>
      </x:c>
      <x:c r="P1719" s="73" t="n">
        <x:f aca="0">FCCL!F46</x:f>
        <x:v>10312.402</x:v>
      </x:c>
      <x:c r="Q1719" s="70" t="str">
        <x:f aca="0">IF(ABS(O1719-P1719)&lt;0.000001,"PASS","FAIL")</x:f>
        <x:v>PASS</x:v>
      </x:c>
      <x:c r="R1719" s="70" t="s">
        <x:v>27</x:v>
      </x:c>
      <x:c r="S1719" s="70"/>
    </x:row>
    <x:row r="1720" ht="15" hidden="0">
      <x:c r="A1720" s="70" t="s">
        <x:v>2762</x:v>
      </x:c>
      <x:c r="B1720" s="70" t="s">
        <x:v>45</x:v>
      </x:c>
      <x:c r="C1720" s="70" t="s">
        <x:v>104</x:v>
      </x:c>
      <x:c r="D1720" s="70" t="s">
        <x:v>159</x:v>
      </x:c>
      <x:c r="E1720" s="70" t="s">
        <x:v>763</x:v>
      </x:c>
      <x:c r="F1720" s="70" t="s">
        <x:v>2758</x:v>
      </x:c>
      <x:c r="G1720" s="70" t="s">
        <x:v>2633</x:v>
      </x:c>
      <x:c r="H1720" s="70" t="s">
        <x:v>849</x:v>
      </x:c>
      <x:c r="I1720" s="70" t="s">
        <x:v>833</x:v>
      </x:c>
      <x:c r="J1720" s="70" t="n">
        <x:v>244</x:v>
      </x:c>
      <x:c r="K1720" s="70" t="s">
        <x:v>834</x:v>
      </x:c>
      <x:c r="L1720" s="70" t="s">
        <x:v>1019</x:v>
      </x:c>
      <x:c r="M1720" s="70" t="s">
        <x:v>39</x:v>
      </x:c>
      <x:c r="N1720" s="71" t="n">
        <x:v>14931049</x:v>
      </x:c>
      <x:c r="O1720" s="72" t="n">
        <x:f aca="0">N1720/1000</x:f>
        <x:v>14931.049</x:v>
      </x:c>
      <x:c r="P1720" s="73" t="n">
        <x:f aca="0">FCCL!G46</x:f>
        <x:v>14931.049</x:v>
      </x:c>
      <x:c r="Q1720" s="70" t="str">
        <x:f aca="0">IF(ABS(O1720-P1720)&lt;0.000001,"PASS","FAIL")</x:f>
        <x:v>PASS</x:v>
      </x:c>
      <x:c r="R1720" s="70" t="s">
        <x:v>27</x:v>
      </x:c>
      <x:c r="S1720" s="70"/>
    </x:row>
    <x:row r="1721" ht="15" hidden="0">
      <x:c r="A1721" s="70" t="s">
        <x:v>2763</x:v>
      </x:c>
      <x:c r="B1721" s="70" t="s">
        <x:v>45</x:v>
      </x:c>
      <x:c r="C1721" s="70" t="s">
        <x:v>105</x:v>
      </x:c>
      <x:c r="D1721" s="70" t="s">
        <x:v>159</x:v>
      </x:c>
      <x:c r="E1721" s="70" t="s">
        <x:v>763</x:v>
      </x:c>
      <x:c r="F1721" s="70" t="s">
        <x:v>2758</x:v>
      </x:c>
      <x:c r="G1721" s="70" t="s">
        <x:v>2633</x:v>
      </x:c>
      <x:c r="H1721" s="70" t="s">
        <x:v>849</x:v>
      </x:c>
      <x:c r="I1721" s="70" t="s">
        <x:v>852</x:v>
      </x:c>
      <x:c r="J1721" s="70" t="n">
        <x:v>244</x:v>
      </x:c>
      <x:c r="K1721" s="70" t="s">
        <x:v>834</x:v>
      </x:c>
      <x:c r="L1721" s="70" t="s">
        <x:v>1019</x:v>
      </x:c>
      <x:c r="M1721" s="70" t="s">
        <x:v>39</x:v>
      </x:c>
      <x:c r="N1721" s="71" t="n">
        <x:v>19694422</x:v>
      </x:c>
      <x:c r="O1721" s="72" t="n">
        <x:f aca="0">N1721/1000</x:f>
        <x:v>19694.422</x:v>
      </x:c>
      <x:c r="P1721" s="73" t="n">
        <x:f aca="0">FCCL!H46</x:f>
        <x:v>19694.422</x:v>
      </x:c>
      <x:c r="Q1721" s="70" t="str">
        <x:f aca="0">IF(ABS(O1721-P1721)&lt;0.000001,"PASS","FAIL")</x:f>
        <x:v>PASS</x:v>
      </x:c>
      <x:c r="R1721" s="70" t="s">
        <x:v>27</x:v>
      </x:c>
      <x:c r="S1721" s="70"/>
    </x:row>
    <x:row r="1722" ht="15" hidden="0">
      <x:c r="A1722" s="70" t="s">
        <x:v>2764</x:v>
      </x:c>
      <x:c r="B1722" s="70" t="s">
        <x:v>45</x:v>
      </x:c>
      <x:c r="C1722" s="70" t="s">
        <x:v>717</x:v>
      </x:c>
      <x:c r="D1722" s="70" t="s">
        <x:v>161</x:v>
      </x:c>
      <x:c r="E1722" s="70" t="s">
        <x:v>763</x:v>
      </x:c>
      <x:c r="F1722" s="70" t="s">
        <x:v>2765</x:v>
      </x:c>
      <x:c r="G1722" s="70" t="s">
        <x:v>2624</x:v>
      </x:c>
      <x:c r="H1722" s="70" t="s">
        <x:v>832</x:v>
      </x:c>
      <x:c r="I1722" s="70" t="s">
        <x:v>833</x:v>
      </x:c>
      <x:c r="J1722" s="70" t="n">
        <x:v>164</x:v>
      </x:c>
      <x:c r="K1722" s="70" t="s">
        <x:v>2613</x:v>
      </x:c>
      <x:c r="L1722" s="70" t="s">
        <x:v>966</x:v>
      </x:c>
      <x:c r="M1722" s="70" t="s">
        <x:v>39</x:v>
      </x:c>
      <x:c r="N1722" s="71" t="n">
        <x:v>72547</x:v>
      </x:c>
      <x:c r="O1722" s="72" t="n">
        <x:f aca="0">N1722/1000</x:f>
        <x:v>72.547</x:v>
      </x:c>
      <x:c r="P1722" s="73" t="n">
        <x:f aca="0">FCCL!C47</x:f>
        <x:v>72.547</x:v>
      </x:c>
      <x:c r="Q1722" s="70" t="str">
        <x:f aca="0">IF(ABS(O1722-P1722)&lt;0.000001,"PASS","FAIL")</x:f>
        <x:v>PASS</x:v>
      </x:c>
      <x:c r="R1722" s="70" t="s">
        <x:v>27</x:v>
      </x:c>
      <x:c r="S1722" s="70"/>
    </x:row>
    <x:row r="1723" ht="15" hidden="0">
      <x:c r="A1723" s="70" t="s">
        <x:v>2766</x:v>
      </x:c>
      <x:c r="B1723" s="70" t="s">
        <x:v>45</x:v>
      </x:c>
      <x:c r="C1723" s="70" t="s">
        <x:v>101</x:v>
      </x:c>
      <x:c r="D1723" s="70" t="s">
        <x:v>161</x:v>
      </x:c>
      <x:c r="E1723" s="70" t="s">
        <x:v>763</x:v>
      </x:c>
      <x:c r="F1723" s="70" t="s">
        <x:v>2765</x:v>
      </x:c>
      <x:c r="G1723" s="70" t="s">
        <x:v>2626</x:v>
      </x:c>
      <x:c r="H1723" s="70" t="s">
        <x:v>838</x:v>
      </x:c>
      <x:c r="I1723" s="70" t="s">
        <x:v>833</x:v>
      </x:c>
      <x:c r="J1723" s="70" t="n">
        <x:v>186</x:v>
      </x:c>
      <x:c r="K1723" s="70" t="s">
        <x:v>1761</x:v>
      </x:c>
      <x:c r="L1723" s="70" t="s">
        <x:v>1342</x:v>
      </x:c>
      <x:c r="M1723" s="70" t="s">
        <x:v>39</x:v>
      </x:c>
      <x:c r="N1723" s="71" t="n">
        <x:v>82380</x:v>
      </x:c>
      <x:c r="O1723" s="72" t="n">
        <x:f aca="0">N1723/1000</x:f>
        <x:v>82.38</x:v>
      </x:c>
      <x:c r="P1723" s="73" t="n">
        <x:f aca="0">FCCL!D47</x:f>
        <x:v>82.38</x:v>
      </x:c>
      <x:c r="Q1723" s="70" t="str">
        <x:f aca="0">IF(ABS(O1723-P1723)&lt;0.000001,"PASS","FAIL")</x:f>
        <x:v>PASS</x:v>
      </x:c>
      <x:c r="R1723" s="70" t="s">
        <x:v>27</x:v>
      </x:c>
      <x:c r="S1723" s="70"/>
    </x:row>
    <x:row r="1724" ht="15" hidden="0">
      <x:c r="A1724" s="70" t="s">
        <x:v>2767</x:v>
      </x:c>
      <x:c r="B1724" s="70" t="s">
        <x:v>45</x:v>
      </x:c>
      <x:c r="C1724" s="70" t="s">
        <x:v>102</x:v>
      </x:c>
      <x:c r="D1724" s="70" t="s">
        <x:v>161</x:v>
      </x:c>
      <x:c r="E1724" s="70" t="s">
        <x:v>763</x:v>
      </x:c>
      <x:c r="F1724" s="70" t="s">
        <x:v>2765</x:v>
      </x:c>
      <x:c r="G1724" s="70" t="s">
        <x:v>2628</x:v>
      </x:c>
      <x:c r="H1724" s="70" t="s">
        <x:v>842</x:v>
      </x:c>
      <x:c r="I1724" s="70" t="s">
        <x:v>833</x:v>
      </x:c>
      <x:c r="J1724" s="70" t="n">
        <x:v>208</x:v>
      </x:c>
      <x:c r="K1724" s="70" t="s">
        <x:v>2102</x:v>
      </x:c>
      <x:c r="L1724" s="70" t="s">
        <x:v>966</x:v>
      </x:c>
      <x:c r="M1724" s="70" t="s">
        <x:v>39</x:v>
      </x:c>
      <x:c r="N1724" s="71" t="n">
        <x:v>179291</x:v>
      </x:c>
      <x:c r="O1724" s="72" t="n">
        <x:f aca="0">N1724/1000</x:f>
        <x:v>179.291</x:v>
      </x:c>
      <x:c r="P1724" s="73" t="n">
        <x:f aca="0">FCCL!E47</x:f>
        <x:v>179.291</x:v>
      </x:c>
      <x:c r="Q1724" s="70" t="str">
        <x:f aca="0">IF(ABS(O1724-P1724)&lt;0.000001,"PASS","FAIL")</x:f>
        <x:v>PASS</x:v>
      </x:c>
      <x:c r="R1724" s="70" t="s">
        <x:v>27</x:v>
      </x:c>
      <x:c r="S1724" s="70"/>
    </x:row>
    <x:row r="1725" ht="15" hidden="0">
      <x:c r="A1725" s="70" t="s">
        <x:v>2768</x:v>
      </x:c>
      <x:c r="B1725" s="70" t="s">
        <x:v>45</x:v>
      </x:c>
      <x:c r="C1725" s="70" t="s">
        <x:v>103</x:v>
      </x:c>
      <x:c r="D1725" s="70" t="s">
        <x:v>161</x:v>
      </x:c>
      <x:c r="E1725" s="70" t="s">
        <x:v>763</x:v>
      </x:c>
      <x:c r="F1725" s="70" t="s">
        <x:v>2765</x:v>
      </x:c>
      <x:c r="G1725" s="70" t="s">
        <x:v>2631</x:v>
      </x:c>
      <x:c r="H1725" s="70" t="s">
        <x:v>845</x:v>
      </x:c>
      <x:c r="I1725" s="70" t="s">
        <x:v>833</x:v>
      </x:c>
      <x:c r="J1725" s="70" t="n">
        <x:v>190</x:v>
      </x:c>
      <x:c r="K1725" s="70" t="s">
        <x:v>1765</x:v>
      </x:c>
      <x:c r="L1725" s="70" t="s">
        <x:v>966</x:v>
      </x:c>
      <x:c r="M1725" s="70" t="s">
        <x:v>39</x:v>
      </x:c>
      <x:c r="N1725" s="71" t="n">
        <x:v>211595</x:v>
      </x:c>
      <x:c r="O1725" s="72" t="n">
        <x:f aca="0">N1725/1000</x:f>
        <x:v>211.595</x:v>
      </x:c>
      <x:c r="P1725" s="73" t="n">
        <x:f aca="0">FCCL!F47</x:f>
        <x:v>211.595</x:v>
      </x:c>
      <x:c r="Q1725" s="70" t="str">
        <x:f aca="0">IF(ABS(O1725-P1725)&lt;0.000001,"PASS","FAIL")</x:f>
        <x:v>PASS</x:v>
      </x:c>
      <x:c r="R1725" s="70" t="s">
        <x:v>27</x:v>
      </x:c>
      <x:c r="S1725" s="70"/>
    </x:row>
    <x:row r="1726" ht="15" hidden="0">
      <x:c r="A1726" s="70" t="s">
        <x:v>2769</x:v>
      </x:c>
      <x:c r="B1726" s="70" t="s">
        <x:v>45</x:v>
      </x:c>
      <x:c r="C1726" s="70" t="s">
        <x:v>104</x:v>
      </x:c>
      <x:c r="D1726" s="70" t="s">
        <x:v>161</x:v>
      </x:c>
      <x:c r="E1726" s="70" t="s">
        <x:v>763</x:v>
      </x:c>
      <x:c r="F1726" s="70" t="s">
        <x:v>2765</x:v>
      </x:c>
      <x:c r="G1726" s="70" t="s">
        <x:v>2633</x:v>
      </x:c>
      <x:c r="H1726" s="70" t="s">
        <x:v>849</x:v>
      </x:c>
      <x:c r="I1726" s="70" t="s">
        <x:v>833</x:v>
      </x:c>
      <x:c r="J1726" s="70" t="n">
        <x:v>244</x:v>
      </x:c>
      <x:c r="K1726" s="70" t="s">
        <x:v>834</x:v>
      </x:c>
      <x:c r="L1726" s="70" t="s">
        <x:v>1342</x:v>
      </x:c>
      <x:c r="M1726" s="70" t="s">
        <x:v>39</x:v>
      </x:c>
      <x:c r="N1726" s="71" t="n">
        <x:v>250230</x:v>
      </x:c>
      <x:c r="O1726" s="72" t="n">
        <x:f aca="0">N1726/1000</x:f>
        <x:v>250.23</x:v>
      </x:c>
      <x:c r="P1726" s="73" t="n">
        <x:f aca="0">FCCL!G47</x:f>
        <x:v>250.23</x:v>
      </x:c>
      <x:c r="Q1726" s="70" t="str">
        <x:f aca="0">IF(ABS(O1726-P1726)&lt;0.000001,"PASS","FAIL")</x:f>
        <x:v>PASS</x:v>
      </x:c>
      <x:c r="R1726" s="70" t="s">
        <x:v>27</x:v>
      </x:c>
      <x:c r="S1726" s="70"/>
    </x:row>
    <x:row r="1727" ht="15" hidden="0">
      <x:c r="A1727" s="70" t="s">
        <x:v>2770</x:v>
      </x:c>
      <x:c r="B1727" s="70" t="s">
        <x:v>45</x:v>
      </x:c>
      <x:c r="C1727" s="70" t="s">
        <x:v>105</x:v>
      </x:c>
      <x:c r="D1727" s="70" t="s">
        <x:v>161</x:v>
      </x:c>
      <x:c r="E1727" s="70" t="s">
        <x:v>763</x:v>
      </x:c>
      <x:c r="F1727" s="70" t="s">
        <x:v>2765</x:v>
      </x:c>
      <x:c r="G1727" s="70" t="s">
        <x:v>2633</x:v>
      </x:c>
      <x:c r="H1727" s="70" t="s">
        <x:v>849</x:v>
      </x:c>
      <x:c r="I1727" s="70" t="s">
        <x:v>852</x:v>
      </x:c>
      <x:c r="J1727" s="70" t="n">
        <x:v>244</x:v>
      </x:c>
      <x:c r="K1727" s="70" t="s">
        <x:v>834</x:v>
      </x:c>
      <x:c r="L1727" s="70" t="s">
        <x:v>1342</x:v>
      </x:c>
      <x:c r="M1727" s="70" t="s">
        <x:v>39</x:v>
      </x:c>
      <x:c r="N1727" s="71" t="n">
        <x:v>283590</x:v>
      </x:c>
      <x:c r="O1727" s="72" t="n">
        <x:f aca="0">N1727/1000</x:f>
        <x:v>283.59</x:v>
      </x:c>
      <x:c r="P1727" s="73" t="n">
        <x:f aca="0">FCCL!H47</x:f>
        <x:v>283.59</x:v>
      </x:c>
      <x:c r="Q1727" s="70" t="str">
        <x:f aca="0">IF(ABS(O1727-P1727)&lt;0.000001,"PASS","FAIL")</x:f>
        <x:v>PASS</x:v>
      </x:c>
      <x:c r="R1727" s="70" t="s">
        <x:v>27</x:v>
      </x:c>
      <x:c r="S1727" s="70"/>
    </x:row>
    <x:row r="1728" ht="15" hidden="0">
      <x:c r="A1728" s="70" t="s">
        <x:v>2771</x:v>
      </x:c>
      <x:c r="B1728" s="70" t="s">
        <x:v>45</x:v>
      </x:c>
      <x:c r="C1728" s="70" t="s">
        <x:v>717</x:v>
      </x:c>
      <x:c r="D1728" s="70" t="s">
        <x:v>166</x:v>
      </x:c>
      <x:c r="E1728" s="70" t="s">
        <x:v>763</x:v>
      </x:c>
      <x:c r="F1728" s="70" t="s">
        <x:v>166</x:v>
      </x:c>
      <x:c r="G1728" s="70" t="s">
        <x:v>2624</x:v>
      </x:c>
      <x:c r="H1728" s="70" t="s">
        <x:v>832</x:v>
      </x:c>
      <x:c r="I1728" s="70" t="s">
        <x:v>833</x:v>
      </x:c>
      <x:c r="J1728" s="70" t="n">
        <x:v>164</x:v>
      </x:c>
      <x:c r="K1728" s="70" t="s">
        <x:v>2613</x:v>
      </x:c>
      <x:c r="L1728" s="70" t="s">
        <x:v>1002</x:v>
      </x:c>
      <x:c r="M1728" s="70" t="s">
        <x:v>39</x:v>
      </x:c>
      <x:c r="N1728" s="71" t="n">
        <x:v>1163246</x:v>
      </x:c>
      <x:c r="O1728" s="72" t="n">
        <x:f aca="0">N1728/1000</x:f>
        <x:v>1163.246</x:v>
      </x:c>
      <x:c r="P1728" s="73" t="n">
        <x:f aca="0">FCCL!C50</x:f>
        <x:v>1163.246</x:v>
      </x:c>
      <x:c r="Q1728" s="70" t="str">
        <x:f aca="0">IF(ABS(O1728-P1728)&lt;0.000001,"PASS","FAIL")</x:f>
        <x:v>PASS</x:v>
      </x:c>
      <x:c r="R1728" s="70" t="s">
        <x:v>27</x:v>
      </x:c>
      <x:c r="S1728" s="70"/>
    </x:row>
    <x:row r="1729" ht="15" hidden="0">
      <x:c r="A1729" s="70" t="s">
        <x:v>2772</x:v>
      </x:c>
      <x:c r="B1729" s="70" t="s">
        <x:v>45</x:v>
      </x:c>
      <x:c r="C1729" s="70" t="s">
        <x:v>101</x:v>
      </x:c>
      <x:c r="D1729" s="70" t="s">
        <x:v>166</x:v>
      </x:c>
      <x:c r="E1729" s="70" t="s">
        <x:v>763</x:v>
      </x:c>
      <x:c r="F1729" s="70" t="s">
        <x:v>166</x:v>
      </x:c>
      <x:c r="G1729" s="70" t="s">
        <x:v>2626</x:v>
      </x:c>
      <x:c r="H1729" s="70" t="s">
        <x:v>838</x:v>
      </x:c>
      <x:c r="I1729" s="70" t="s">
        <x:v>833</x:v>
      </x:c>
      <x:c r="J1729" s="70" t="n">
        <x:v>186</x:v>
      </x:c>
      <x:c r="K1729" s="70" t="s">
        <x:v>1761</x:v>
      </x:c>
      <x:c r="L1729" s="70" t="s">
        <x:v>1031</x:v>
      </x:c>
      <x:c r="M1729" s="70" t="s">
        <x:v>39</x:v>
      </x:c>
      <x:c r="N1729" s="71" t="n">
        <x:v>1822642</x:v>
      </x:c>
      <x:c r="O1729" s="72" t="n">
        <x:f aca="0">N1729/1000</x:f>
        <x:v>1822.642</x:v>
      </x:c>
      <x:c r="P1729" s="73" t="n">
        <x:f aca="0">FCCL!D50</x:f>
        <x:v>1822.642</x:v>
      </x:c>
      <x:c r="Q1729" s="70" t="str">
        <x:f aca="0">IF(ABS(O1729-P1729)&lt;0.000001,"PASS","FAIL")</x:f>
        <x:v>PASS</x:v>
      </x:c>
      <x:c r="R1729" s="70" t="s">
        <x:v>27</x:v>
      </x:c>
      <x:c r="S1729" s="70"/>
    </x:row>
    <x:row r="1730" ht="15" hidden="0">
      <x:c r="A1730" s="70" t="s">
        <x:v>2773</x:v>
      </x:c>
      <x:c r="B1730" s="70" t="s">
        <x:v>45</x:v>
      </x:c>
      <x:c r="C1730" s="70" t="s">
        <x:v>102</x:v>
      </x:c>
      <x:c r="D1730" s="70" t="s">
        <x:v>166</x:v>
      </x:c>
      <x:c r="E1730" s="70" t="s">
        <x:v>763</x:v>
      </x:c>
      <x:c r="F1730" s="70" t="s">
        <x:v>166</x:v>
      </x:c>
      <x:c r="G1730" s="70" t="s">
        <x:v>2628</x:v>
      </x:c>
      <x:c r="H1730" s="70" t="s">
        <x:v>842</x:v>
      </x:c>
      <x:c r="I1730" s="70" t="s">
        <x:v>833</x:v>
      </x:c>
      <x:c r="J1730" s="70" t="n">
        <x:v>208</x:v>
      </x:c>
      <x:c r="K1730" s="70" t="s">
        <x:v>2102</x:v>
      </x:c>
      <x:c r="L1730" s="70" t="s">
        <x:v>1040</x:v>
      </x:c>
      <x:c r="M1730" s="70" t="s">
        <x:v>39</x:v>
      </x:c>
      <x:c r="N1730" s="71" t="n">
        <x:v>6917149</x:v>
      </x:c>
      <x:c r="O1730" s="72" t="n">
        <x:f aca="0">N1730/1000</x:f>
        <x:v>6917.149</x:v>
      </x:c>
      <x:c r="P1730" s="73" t="n">
        <x:f aca="0">FCCL!E50</x:f>
        <x:v>6917.149</x:v>
      </x:c>
      <x:c r="Q1730" s="70" t="str">
        <x:f aca="0">IF(ABS(O1730-P1730)&lt;0.000001,"PASS","FAIL")</x:f>
        <x:v>PASS</x:v>
      </x:c>
      <x:c r="R1730" s="70" t="s">
        <x:v>27</x:v>
      </x:c>
      <x:c r="S1730" s="70"/>
    </x:row>
    <x:row r="1731" ht="15" hidden="0">
      <x:c r="A1731" s="70" t="s">
        <x:v>2774</x:v>
      </x:c>
      <x:c r="B1731" s="70" t="s">
        <x:v>45</x:v>
      </x:c>
      <x:c r="C1731" s="70" t="s">
        <x:v>103</x:v>
      </x:c>
      <x:c r="D1731" s="70" t="s">
        <x:v>166</x:v>
      </x:c>
      <x:c r="E1731" s="70" t="s">
        <x:v>763</x:v>
      </x:c>
      <x:c r="F1731" s="70" t="s">
        <x:v>166</x:v>
      </x:c>
      <x:c r="G1731" s="70" t="s">
        <x:v>2631</x:v>
      </x:c>
      <x:c r="H1731" s="70" t="s">
        <x:v>845</x:v>
      </x:c>
      <x:c r="I1731" s="70" t="s">
        <x:v>833</x:v>
      </x:c>
      <x:c r="J1731" s="70" t="n">
        <x:v>190</x:v>
      </x:c>
      <x:c r="K1731" s="70" t="s">
        <x:v>1765</x:v>
      </x:c>
      <x:c r="L1731" s="70" t="s">
        <x:v>1040</x:v>
      </x:c>
      <x:c r="M1731" s="70" t="s">
        <x:v>39</x:v>
      </x:c>
      <x:c r="N1731" s="71" t="n">
        <x:v>6516462</x:v>
      </x:c>
      <x:c r="O1731" s="72" t="n">
        <x:f aca="0">N1731/1000</x:f>
        <x:v>6516.462</x:v>
      </x:c>
      <x:c r="P1731" s="73" t="n">
        <x:f aca="0">FCCL!F50</x:f>
        <x:v>6516.462</x:v>
      </x:c>
      <x:c r="Q1731" s="70" t="str">
        <x:f aca="0">IF(ABS(O1731-P1731)&lt;0.000001,"PASS","FAIL")</x:f>
        <x:v>PASS</x:v>
      </x:c>
      <x:c r="R1731" s="70" t="s">
        <x:v>27</x:v>
      </x:c>
      <x:c r="S1731" s="70"/>
    </x:row>
    <x:row r="1732" ht="15" hidden="0">
      <x:c r="A1732" s="70" t="s">
        <x:v>2775</x:v>
      </x:c>
      <x:c r="B1732" s="70" t="s">
        <x:v>45</x:v>
      </x:c>
      <x:c r="C1732" s="70" t="s">
        <x:v>104</x:v>
      </x:c>
      <x:c r="D1732" s="70" t="s">
        <x:v>166</x:v>
      </x:c>
      <x:c r="E1732" s="70" t="s">
        <x:v>763</x:v>
      </x:c>
      <x:c r="F1732" s="70" t="s">
        <x:v>166</x:v>
      </x:c>
      <x:c r="G1732" s="70" t="s">
        <x:v>2633</x:v>
      </x:c>
      <x:c r="H1732" s="70" t="s">
        <x:v>849</x:v>
      </x:c>
      <x:c r="I1732" s="70" t="s">
        <x:v>833</x:v>
      </x:c>
      <x:c r="J1732" s="70" t="n">
        <x:v>244</x:v>
      </x:c>
      <x:c r="K1732" s="70" t="s">
        <x:v>834</x:v>
      </x:c>
      <x:c r="L1732" s="70" t="s">
        <x:v>1031</x:v>
      </x:c>
      <x:c r="M1732" s="70" t="s">
        <x:v>39</x:v>
      </x:c>
      <x:c r="N1732" s="71" t="n">
        <x:v>6108790</x:v>
      </x:c>
      <x:c r="O1732" s="72" t="n">
        <x:f aca="0">N1732/1000</x:f>
        <x:v>6108.79</x:v>
      </x:c>
      <x:c r="P1732" s="73" t="n">
        <x:f aca="0">FCCL!G50</x:f>
        <x:v>6108.79</x:v>
      </x:c>
      <x:c r="Q1732" s="70" t="str">
        <x:f aca="0">IF(ABS(O1732-P1732)&lt;0.000001,"PASS","FAIL")</x:f>
        <x:v>PASS</x:v>
      </x:c>
      <x:c r="R1732" s="70" t="s">
        <x:v>27</x:v>
      </x:c>
      <x:c r="S1732" s="70" t="s">
        <x:v>839</x:v>
      </x:c>
    </x:row>
    <x:row r="1733" ht="15" hidden="0">
      <x:c r="A1733" s="70" t="s">
        <x:v>2776</x:v>
      </x:c>
      <x:c r="B1733" s="70" t="s">
        <x:v>45</x:v>
      </x:c>
      <x:c r="C1733" s="70" t="s">
        <x:v>105</x:v>
      </x:c>
      <x:c r="D1733" s="70" t="s">
        <x:v>166</x:v>
      </x:c>
      <x:c r="E1733" s="70" t="s">
        <x:v>763</x:v>
      </x:c>
      <x:c r="F1733" s="70" t="s">
        <x:v>166</x:v>
      </x:c>
      <x:c r="G1733" s="70" t="s">
        <x:v>2633</x:v>
      </x:c>
      <x:c r="H1733" s="70" t="s">
        <x:v>849</x:v>
      </x:c>
      <x:c r="I1733" s="70" t="s">
        <x:v>852</x:v>
      </x:c>
      <x:c r="J1733" s="70" t="n">
        <x:v>244</x:v>
      </x:c>
      <x:c r="K1733" s="70" t="s">
        <x:v>834</x:v>
      </x:c>
      <x:c r="L1733" s="70" t="s">
        <x:v>1031</x:v>
      </x:c>
      <x:c r="M1733" s="70" t="s">
        <x:v>39</x:v>
      </x:c>
      <x:c r="N1733" s="71" t="n">
        <x:v>3934508</x:v>
      </x:c>
      <x:c r="O1733" s="72" t="n">
        <x:f aca="0">N1733/1000</x:f>
        <x:v>3934.508</x:v>
      </x:c>
      <x:c r="P1733" s="73" t="n">
        <x:f aca="0">FCCL!H50</x:f>
        <x:v>3934.508</x:v>
      </x:c>
      <x:c r="Q1733" s="70" t="str">
        <x:f aca="0">IF(ABS(O1733-P1733)&lt;0.000001,"PASS","FAIL")</x:f>
        <x:v>PASS</x:v>
      </x:c>
      <x:c r="R1733" s="70" t="s">
        <x:v>27</x:v>
      </x:c>
      <x:c r="S1733" s="70"/>
    </x:row>
    <x:row r="1734" ht="15" hidden="0">
      <x:c r="A1734" s="70" t="s">
        <x:v>2777</x:v>
      </x:c>
      <x:c r="B1734" s="70" t="s">
        <x:v>45</x:v>
      </x:c>
      <x:c r="C1734" s="70" t="s">
        <x:v>717</x:v>
      </x:c>
      <x:c r="D1734" s="70" t="s">
        <x:v>1009</x:v>
      </x:c>
      <x:c r="E1734" s="70" t="s">
        <x:v>855</x:v>
      </x:c>
      <x:c r="F1734" s="70" t="s">
        <x:v>1456</x:v>
      </x:c>
      <x:c r="G1734" s="70" t="s">
        <x:v>2624</x:v>
      </x:c>
      <x:c r="H1734" s="70" t="s">
        <x:v>832</x:v>
      </x:c>
      <x:c r="I1734" s="70" t="s">
        <x:v>833</x:v>
      </x:c>
      <x:c r="J1734" s="70" t="n">
        <x:v>189</x:v>
      </x:c>
      <x:c r="K1734" s="70" t="s">
        <x:v>2778</x:v>
      </x:c>
      <x:c r="L1734" s="70"/>
      <x:c r="M1734" s="70" t="s">
        <x:v>39</x:v>
      </x:c>
      <x:c r="N1734" s="71" t="n">
        <x:v>354586</x:v>
      </x:c>
      <x:c r="O1734" s="72" t="n">
        <x:f aca="0">N1734/1000</x:f>
        <x:v>354.586</x:v>
      </x:c>
      <x:c r="P1734" s="73" t="n">
        <x:f aca="0">FCCL!C51</x:f>
        <x:v>354.586</x:v>
      </x:c>
      <x:c r="Q1734" s="70" t="str">
        <x:f aca="0">IF(ABS(O1734-P1734)&lt;0.000001,"PASS","FAIL")</x:f>
        <x:v>PASS</x:v>
      </x:c>
      <x:c r="R1734" s="70" t="s">
        <x:v>27</x:v>
      </x:c>
      <x:c r="S1734" s="70"/>
    </x:row>
    <x:row r="1735" ht="15" hidden="0">
      <x:c r="A1735" s="70" t="s">
        <x:v>2779</x:v>
      </x:c>
      <x:c r="B1735" s="70" t="s">
        <x:v>45</x:v>
      </x:c>
      <x:c r="C1735" s="70" t="s">
        <x:v>101</x:v>
      </x:c>
      <x:c r="D1735" s="70" t="s">
        <x:v>1009</x:v>
      </x:c>
      <x:c r="E1735" s="70" t="s">
        <x:v>855</x:v>
      </x:c>
      <x:c r="F1735" s="70" t="s">
        <x:v>1456</x:v>
      </x:c>
      <x:c r="G1735" s="70" t="s">
        <x:v>2626</x:v>
      </x:c>
      <x:c r="H1735" s="70" t="s">
        <x:v>838</x:v>
      </x:c>
      <x:c r="I1735" s="70" t="s">
        <x:v>833</x:v>
      </x:c>
      <x:c r="J1735" s="70" t="n">
        <x:v>215</x:v>
      </x:c>
      <x:c r="K1735" s="70" t="s">
        <x:v>2780</x:v>
      </x:c>
      <x:c r="L1735" s="70"/>
      <x:c r="M1735" s="70" t="s">
        <x:v>39</x:v>
      </x:c>
      <x:c r="N1735" s="71" t="n">
        <x:v>863038</x:v>
      </x:c>
      <x:c r="O1735" s="72" t="n">
        <x:f aca="0">N1735/1000</x:f>
        <x:v>863.038</x:v>
      </x:c>
      <x:c r="P1735" s="73" t="n">
        <x:f aca="0">FCCL!D51</x:f>
        <x:v>863.038</x:v>
      </x:c>
      <x:c r="Q1735" s="70" t="str">
        <x:f aca="0">IF(ABS(O1735-P1735)&lt;0.000001,"PASS","FAIL")</x:f>
        <x:v>PASS</x:v>
      </x:c>
      <x:c r="R1735" s="70" t="s">
        <x:v>27</x:v>
      </x:c>
      <x:c r="S1735" s="70"/>
    </x:row>
    <x:row r="1736" ht="15" hidden="0">
      <x:c r="A1736" s="70" t="s">
        <x:v>2781</x:v>
      </x:c>
      <x:c r="B1736" s="70" t="s">
        <x:v>45</x:v>
      </x:c>
      <x:c r="C1736" s="70" t="s">
        <x:v>102</x:v>
      </x:c>
      <x:c r="D1736" s="70" t="s">
        <x:v>1009</x:v>
      </x:c>
      <x:c r="E1736" s="70" t="s">
        <x:v>855</x:v>
      </x:c>
      <x:c r="F1736" s="70" t="s">
        <x:v>1456</x:v>
      </x:c>
      <x:c r="G1736" s="70" t="s">
        <x:v>2628</x:v>
      </x:c>
      <x:c r="H1736" s="70" t="s">
        <x:v>842</x:v>
      </x:c>
      <x:c r="I1736" s="70" t="s">
        <x:v>833</x:v>
      </x:c>
      <x:c r="J1736" s="70" t="n">
        <x:v>234</x:v>
      </x:c>
      <x:c r="K1736" s="70" t="s">
        <x:v>1305</x:v>
      </x:c>
      <x:c r="L1736" s="70"/>
      <x:c r="M1736" s="70" t="s">
        <x:v>39</x:v>
      </x:c>
      <x:c r="N1736" s="71" t="n">
        <x:v>2683210</x:v>
      </x:c>
      <x:c r="O1736" s="72" t="n">
        <x:f aca="0">N1736/1000</x:f>
        <x:v>2683.21</x:v>
      </x:c>
      <x:c r="P1736" s="73" t="n">
        <x:f aca="0">FCCL!E51</x:f>
        <x:v>2683.21</x:v>
      </x:c>
      <x:c r="Q1736" s="70" t="str">
        <x:f aca="0">IF(ABS(O1736-P1736)&lt;0.000001,"PASS","FAIL")</x:f>
        <x:v>PASS</x:v>
      </x:c>
      <x:c r="R1736" s="70" t="s">
        <x:v>27</x:v>
      </x:c>
      <x:c r="S1736" s="70"/>
    </x:row>
    <x:row r="1737" ht="15" hidden="0">
      <x:c r="A1737" s="70" t="s">
        <x:v>2782</x:v>
      </x:c>
      <x:c r="B1737" s="70" t="s">
        <x:v>45</x:v>
      </x:c>
      <x:c r="C1737" s="70" t="s">
        <x:v>103</x:v>
      </x:c>
      <x:c r="D1737" s="70" t="s">
        <x:v>1009</x:v>
      </x:c>
      <x:c r="E1737" s="70" t="s">
        <x:v>855</x:v>
      </x:c>
      <x:c r="F1737" s="70" t="s">
        <x:v>1456</x:v>
      </x:c>
      <x:c r="G1737" s="70" t="s">
        <x:v>2631</x:v>
      </x:c>
      <x:c r="H1737" s="70" t="s">
        <x:v>845</x:v>
      </x:c>
      <x:c r="I1737" s="70" t="s">
        <x:v>833</x:v>
      </x:c>
      <x:c r="J1737" s="70" t="n">
        <x:v>214</x:v>
      </x:c>
      <x:c r="K1737" s="70" t="s">
        <x:v>2783</x:v>
      </x:c>
      <x:c r="L1737" s="70"/>
      <x:c r="M1737" s="70" t="s">
        <x:v>39</x:v>
      </x:c>
      <x:c r="N1737" s="71" t="n">
        <x:v>2623342</x:v>
      </x:c>
      <x:c r="O1737" s="72" t="n">
        <x:f aca="0">N1737/1000</x:f>
        <x:v>2623.342</x:v>
      </x:c>
      <x:c r="P1737" s="73" t="n">
        <x:f aca="0">FCCL!F51</x:f>
        <x:v>2623.342</x:v>
      </x:c>
      <x:c r="Q1737" s="70" t="str">
        <x:f aca="0">IF(ABS(O1737-P1737)&lt;0.000001,"PASS","FAIL")</x:f>
        <x:v>PASS</x:v>
      </x:c>
      <x:c r="R1737" s="70" t="s">
        <x:v>27</x:v>
      </x:c>
      <x:c r="S1737" s="70"/>
    </x:row>
    <x:row r="1738" ht="15" hidden="0">
      <x:c r="A1738" s="70" t="s">
        <x:v>2784</x:v>
      </x:c>
      <x:c r="B1738" s="70" t="s">
        <x:v>45</x:v>
      </x:c>
      <x:c r="C1738" s="70" t="s">
        <x:v>104</x:v>
      </x:c>
      <x:c r="D1738" s="70" t="s">
        <x:v>1009</x:v>
      </x:c>
      <x:c r="E1738" s="70" t="s">
        <x:v>855</x:v>
      </x:c>
      <x:c r="F1738" s="70" t="s">
        <x:v>1456</x:v>
      </x:c>
      <x:c r="G1738" s="70" t="s">
        <x:v>2633</x:v>
      </x:c>
      <x:c r="H1738" s="70" t="s">
        <x:v>849</x:v>
      </x:c>
      <x:c r="I1738" s="70" t="s">
        <x:v>833</x:v>
      </x:c>
      <x:c r="J1738" s="70" t="n">
        <x:v>268</x:v>
      </x:c>
      <x:c r="K1738" s="70" t="s">
        <x:v>834</x:v>
      </x:c>
      <x:c r="L1738" s="70"/>
      <x:c r="M1738" s="70" t="s">
        <x:v>39</x:v>
      </x:c>
      <x:c r="N1738" s="71" t="n">
        <x:v>2726664</x:v>
      </x:c>
      <x:c r="O1738" s="72" t="n">
        <x:f aca="0">N1738/1000</x:f>
        <x:v>2726.664</x:v>
      </x:c>
      <x:c r="P1738" s="73" t="n">
        <x:f aca="0">FCCL!G51</x:f>
        <x:v>2726.664</x:v>
      </x:c>
      <x:c r="Q1738" s="70" t="str">
        <x:f aca="0">IF(ABS(O1738-P1738)&lt;0.000001,"PASS","FAIL")</x:f>
        <x:v>PASS</x:v>
      </x:c>
      <x:c r="R1738" s="70" t="s">
        <x:v>27</x:v>
      </x:c>
      <x:c r="S1738" s="70"/>
    </x:row>
    <x:row r="1739" ht="15" hidden="0">
      <x:c r="A1739" s="70" t="s">
        <x:v>2785</x:v>
      </x:c>
      <x:c r="B1739" s="70" t="s">
        <x:v>45</x:v>
      </x:c>
      <x:c r="C1739" s="70" t="s">
        <x:v>105</x:v>
      </x:c>
      <x:c r="D1739" s="70" t="s">
        <x:v>1009</x:v>
      </x:c>
      <x:c r="E1739" s="70" t="s">
        <x:v>855</x:v>
      </x:c>
      <x:c r="F1739" s="70" t="s">
        <x:v>1456</x:v>
      </x:c>
      <x:c r="G1739" s="70" t="s">
        <x:v>2633</x:v>
      </x:c>
      <x:c r="H1739" s="70" t="s">
        <x:v>849</x:v>
      </x:c>
      <x:c r="I1739" s="70" t="s">
        <x:v>852</x:v>
      </x:c>
      <x:c r="J1739" s="70" t="n">
        <x:v>268</x:v>
      </x:c>
      <x:c r="K1739" s="70" t="s">
        <x:v>834</x:v>
      </x:c>
      <x:c r="L1739" s="70"/>
      <x:c r="M1739" s="70" t="s">
        <x:v>39</x:v>
      </x:c>
      <x:c r="N1739" s="71" t="n">
        <x:v>2034141</x:v>
      </x:c>
      <x:c r="O1739" s="72" t="n">
        <x:f aca="0">N1739/1000</x:f>
        <x:v>2034.141</x:v>
      </x:c>
      <x:c r="P1739" s="73" t="n">
        <x:f aca="0">FCCL!H51</x:f>
        <x:v>2034.141</x:v>
      </x:c>
      <x:c r="Q1739" s="70" t="str">
        <x:f aca="0">IF(ABS(O1739-P1739)&lt;0.000001,"PASS","FAIL")</x:f>
        <x:v>PASS</x:v>
      </x:c>
      <x:c r="R1739" s="70" t="s">
        <x:v>27</x:v>
      </x:c>
      <x:c r="S1739" s="70"/>
    </x:row>
    <x:row r="1740" ht="15" hidden="0">
      <x:c r="A1740" s="70" t="s">
        <x:v>2786</x:v>
      </x:c>
      <x:c r="B1740" s="70" t="s">
        <x:v>45</x:v>
      </x:c>
      <x:c r="C1740" s="70" t="s">
        <x:v>717</x:v>
      </x:c>
      <x:c r="D1740" s="70" t="s">
        <x:v>170</x:v>
      </x:c>
      <x:c r="E1740" s="70" t="s">
        <x:v>763</x:v>
      </x:c>
      <x:c r="F1740" s="70" t="s">
        <x:v>2787</x:v>
      </x:c>
      <x:c r="G1740" s="70" t="s">
        <x:v>2624</x:v>
      </x:c>
      <x:c r="H1740" s="70" t="s">
        <x:v>832</x:v>
      </x:c>
      <x:c r="I1740" s="70" t="s">
        <x:v>833</x:v>
      </x:c>
      <x:c r="J1740" s="70" t="n">
        <x:v>164</x:v>
      </x:c>
      <x:c r="K1740" s="70" t="s">
        <x:v>2613</x:v>
      </x:c>
      <x:c r="L1740" s="70" t="s">
        <x:v>1040</x:v>
      </x:c>
      <x:c r="M1740" s="70" t="s">
        <x:v>39</x:v>
      </x:c>
      <x:c r="N1740" s="71" t="n">
        <x:v>367952</x:v>
      </x:c>
      <x:c r="O1740" s="72" t="n">
        <x:f aca="0">N1740/1000</x:f>
        <x:v>367.952</x:v>
      </x:c>
      <x:c r="P1740" s="73" t="n">
        <x:f aca="0">FCCL!C52</x:f>
        <x:v>367.952</x:v>
      </x:c>
      <x:c r="Q1740" s="70" t="str">
        <x:f aca="0">IF(ABS(O1740-P1740)&lt;0.000001,"PASS","FAIL")</x:f>
        <x:v>PASS</x:v>
      </x:c>
      <x:c r="R1740" s="70" t="s">
        <x:v>27</x:v>
      </x:c>
      <x:c r="S1740" s="70"/>
    </x:row>
    <x:row r="1741" ht="15" hidden="0">
      <x:c r="A1741" s="70" t="s">
        <x:v>2788</x:v>
      </x:c>
      <x:c r="B1741" s="70" t="s">
        <x:v>45</x:v>
      </x:c>
      <x:c r="C1741" s="70" t="s">
        <x:v>101</x:v>
      </x:c>
      <x:c r="D1741" s="70" t="s">
        <x:v>170</x:v>
      </x:c>
      <x:c r="E1741" s="70" t="s">
        <x:v>763</x:v>
      </x:c>
      <x:c r="F1741" s="70" t="s">
        <x:v>2787</x:v>
      </x:c>
      <x:c r="G1741" s="70" t="s">
        <x:v>2626</x:v>
      </x:c>
      <x:c r="H1741" s="70" t="s">
        <x:v>838</x:v>
      </x:c>
      <x:c r="I1741" s="70" t="s">
        <x:v>833</x:v>
      </x:c>
      <x:c r="J1741" s="70" t="n">
        <x:v>186</x:v>
      </x:c>
      <x:c r="K1741" s="70" t="s">
        <x:v>1761</x:v>
      </x:c>
      <x:c r="L1741" s="70" t="s">
        <x:v>846</x:v>
      </x:c>
      <x:c r="M1741" s="70" t="s">
        <x:v>39</x:v>
      </x:c>
      <x:c r="N1741" s="71" t="n">
        <x:v>435097</x:v>
      </x:c>
      <x:c r="O1741" s="72" t="n">
        <x:f aca="0">N1741/1000</x:f>
        <x:v>435.097</x:v>
      </x:c>
      <x:c r="P1741" s="73" t="n">
        <x:f aca="0">FCCL!D52</x:f>
        <x:v>435.097</x:v>
      </x:c>
      <x:c r="Q1741" s="70" t="str">
        <x:f aca="0">IF(ABS(O1741-P1741)&lt;0.000001,"PASS","FAIL")</x:f>
        <x:v>PASS</x:v>
      </x:c>
      <x:c r="R1741" s="70" t="s">
        <x:v>27</x:v>
      </x:c>
      <x:c r="S1741" s="70"/>
    </x:row>
    <x:row r="1742" ht="15" hidden="0">
      <x:c r="A1742" s="70" t="s">
        <x:v>2789</x:v>
      </x:c>
      <x:c r="B1742" s="70" t="s">
        <x:v>45</x:v>
      </x:c>
      <x:c r="C1742" s="70" t="s">
        <x:v>102</x:v>
      </x:c>
      <x:c r="D1742" s="70" t="s">
        <x:v>170</x:v>
      </x:c>
      <x:c r="E1742" s="70" t="s">
        <x:v>763</x:v>
      </x:c>
      <x:c r="F1742" s="70" t="s">
        <x:v>2787</x:v>
      </x:c>
      <x:c r="G1742" s="70" t="s">
        <x:v>2628</x:v>
      </x:c>
      <x:c r="H1742" s="70" t="s">
        <x:v>842</x:v>
      </x:c>
      <x:c r="I1742" s="70" t="s">
        <x:v>833</x:v>
      </x:c>
      <x:c r="J1742" s="70" t="n">
        <x:v>208</x:v>
      </x:c>
      <x:c r="K1742" s="70" t="s">
        <x:v>2102</x:v>
      </x:c>
      <x:c r="L1742" s="70" t="s">
        <x:v>850</x:v>
      </x:c>
      <x:c r="M1742" s="70" t="s">
        <x:v>39</x:v>
      </x:c>
      <x:c r="N1742" s="71" t="n">
        <x:v>862309</x:v>
      </x:c>
      <x:c r="O1742" s="72" t="n">
        <x:f aca="0">N1742/1000</x:f>
        <x:v>862.309</x:v>
      </x:c>
      <x:c r="P1742" s="73" t="n">
        <x:f aca="0">FCCL!E52</x:f>
        <x:v>862.309</x:v>
      </x:c>
      <x:c r="Q1742" s="70" t="str">
        <x:f aca="0">IF(ABS(O1742-P1742)&lt;0.000001,"PASS","FAIL")</x:f>
        <x:v>PASS</x:v>
      </x:c>
      <x:c r="R1742" s="70" t="s">
        <x:v>27</x:v>
      </x:c>
      <x:c r="S1742" s="70"/>
    </x:row>
    <x:row r="1743" ht="15" hidden="0">
      <x:c r="A1743" s="70" t="s">
        <x:v>2790</x:v>
      </x:c>
      <x:c r="B1743" s="70" t="s">
        <x:v>45</x:v>
      </x:c>
      <x:c r="C1743" s="70" t="s">
        <x:v>103</x:v>
      </x:c>
      <x:c r="D1743" s="70" t="s">
        <x:v>170</x:v>
      </x:c>
      <x:c r="E1743" s="70" t="s">
        <x:v>763</x:v>
      </x:c>
      <x:c r="F1743" s="70" t="s">
        <x:v>2787</x:v>
      </x:c>
      <x:c r="G1743" s="70" t="s">
        <x:v>2631</x:v>
      </x:c>
      <x:c r="H1743" s="70" t="s">
        <x:v>845</x:v>
      </x:c>
      <x:c r="I1743" s="70" t="s">
        <x:v>833</x:v>
      </x:c>
      <x:c r="J1743" s="70" t="n">
        <x:v>190</x:v>
      </x:c>
      <x:c r="K1743" s="70" t="s">
        <x:v>1765</x:v>
      </x:c>
      <x:c r="L1743" s="70" t="s">
        <x:v>850</x:v>
      </x:c>
      <x:c r="M1743" s="70" t="s">
        <x:v>39</x:v>
      </x:c>
      <x:c r="N1743" s="71" t="n">
        <x:v>584809</x:v>
      </x:c>
      <x:c r="O1743" s="72" t="n">
        <x:f aca="0">N1743/1000</x:f>
        <x:v>584.809</x:v>
      </x:c>
      <x:c r="P1743" s="73" t="n">
        <x:f aca="0">FCCL!F52</x:f>
        <x:v>584.809</x:v>
      </x:c>
      <x:c r="Q1743" s="70" t="str">
        <x:f aca="0">IF(ABS(O1743-P1743)&lt;0.000001,"PASS","FAIL")</x:f>
        <x:v>PASS</x:v>
      </x:c>
      <x:c r="R1743" s="70" t="s">
        <x:v>27</x:v>
      </x:c>
      <x:c r="S1743" s="70"/>
    </x:row>
    <x:row r="1744" ht="15" hidden="0">
      <x:c r="A1744" s="70" t="s">
        <x:v>2791</x:v>
      </x:c>
      <x:c r="B1744" s="70" t="s">
        <x:v>45</x:v>
      </x:c>
      <x:c r="C1744" s="70" t="s">
        <x:v>104</x:v>
      </x:c>
      <x:c r="D1744" s="70" t="s">
        <x:v>170</x:v>
      </x:c>
      <x:c r="E1744" s="70" t="s">
        <x:v>763</x:v>
      </x:c>
      <x:c r="F1744" s="70" t="s">
        <x:v>2787</x:v>
      </x:c>
      <x:c r="G1744" s="70" t="s">
        <x:v>2633</x:v>
      </x:c>
      <x:c r="H1744" s="70" t="s">
        <x:v>849</x:v>
      </x:c>
      <x:c r="I1744" s="70" t="s">
        <x:v>833</x:v>
      </x:c>
      <x:c r="J1744" s="70" t="n">
        <x:v>244</x:v>
      </x:c>
      <x:c r="K1744" s="70" t="s">
        <x:v>834</x:v>
      </x:c>
      <x:c r="L1744" s="70"/>
      <x:c r="M1744" s="70" t="s">
        <x:v>39</x:v>
      </x:c>
      <x:c r="N1744" s="71" t="n">
        <x:v>432704</x:v>
      </x:c>
      <x:c r="O1744" s="72" t="n">
        <x:f aca="0">N1744/1000</x:f>
        <x:v>432.704</x:v>
      </x:c>
      <x:c r="P1744" s="73" t="n">
        <x:f aca="0">FCCL!G52</x:f>
        <x:v>432.704</x:v>
      </x:c>
      <x:c r="Q1744" s="70" t="str">
        <x:f aca="0">IF(ABS(O1744-P1744)&lt;0.000001,"PASS","FAIL")</x:f>
        <x:v>PASS</x:v>
      </x:c>
      <x:c r="R1744" s="70" t="s">
        <x:v>27</x:v>
      </x:c>
      <x:c r="S1744" s="70"/>
    </x:row>
    <x:row r="1745" ht="15" hidden="0">
      <x:c r="A1745" s="70" t="s">
        <x:v>2792</x:v>
      </x:c>
      <x:c r="B1745" s="70" t="s">
        <x:v>45</x:v>
      </x:c>
      <x:c r="C1745" s="70" t="s">
        <x:v>105</x:v>
      </x:c>
      <x:c r="D1745" s="70" t="s">
        <x:v>170</x:v>
      </x:c>
      <x:c r="E1745" s="70" t="s">
        <x:v>763</x:v>
      </x:c>
      <x:c r="F1745" s="70" t="s">
        <x:v>2787</x:v>
      </x:c>
      <x:c r="G1745" s="70" t="s">
        <x:v>2633</x:v>
      </x:c>
      <x:c r="H1745" s="70" t="s">
        <x:v>849</x:v>
      </x:c>
      <x:c r="I1745" s="70" t="s">
        <x:v>852</x:v>
      </x:c>
      <x:c r="J1745" s="70" t="n">
        <x:v>244</x:v>
      </x:c>
      <x:c r="K1745" s="70" t="s">
        <x:v>834</x:v>
      </x:c>
      <x:c r="L1745" s="70"/>
      <x:c r="M1745" s="70" t="s">
        <x:v>39</x:v>
      </x:c>
      <x:c r="N1745" s="71" t="n">
        <x:v>588076</x:v>
      </x:c>
      <x:c r="O1745" s="72" t="n">
        <x:f aca="0">N1745/1000</x:f>
        <x:v>588.076</x:v>
      </x:c>
      <x:c r="P1745" s="73" t="n">
        <x:f aca="0">FCCL!H52</x:f>
        <x:v>588.076</x:v>
      </x:c>
      <x:c r="Q1745" s="70" t="str">
        <x:f aca="0">IF(ABS(O1745-P1745)&lt;0.000001,"PASS","FAIL")</x:f>
        <x:v>PASS</x:v>
      </x:c>
      <x:c r="R1745" s="70" t="s">
        <x:v>27</x:v>
      </x:c>
      <x:c r="S1745" s="70"/>
    </x:row>
    <x:row r="1746" ht="15" hidden="0">
      <x:c r="A1746" s="70" t="s">
        <x:v>2793</x:v>
      </x:c>
      <x:c r="B1746" s="70" t="s">
        <x:v>45</x:v>
      </x:c>
      <x:c r="C1746" s="70" t="s">
        <x:v>717</x:v>
      </x:c>
      <x:c r="D1746" s="70" t="s">
        <x:v>172</x:v>
      </x:c>
      <x:c r="E1746" s="70" t="s">
        <x:v>763</x:v>
      </x:c>
      <x:c r="F1746" s="70"/>
      <x:c r="G1746" s="70" t="s">
        <x:v>2624</x:v>
      </x:c>
      <x:c r="H1746" s="70" t="s">
        <x:v>832</x:v>
      </x:c>
      <x:c r="I1746" s="70" t="s">
        <x:v>833</x:v>
      </x:c>
      <x:c r="J1746" s="70" t="n">
        <x:v>164</x:v>
      </x:c>
      <x:c r="K1746" s="70" t="s">
        <x:v>2613</x:v>
      </x:c>
      <x:c r="L1746" s="70"/>
      <x:c r="M1746" s="70" t="s">
        <x:v>39</x:v>
      </x:c>
      <x:c r="N1746" s="71" t="n">
        <x:v>0</x:v>
      </x:c>
      <x:c r="O1746" s="72" t="n">
        <x:f aca="0">N1746/1000</x:f>
        <x:v>0</x:v>
      </x:c>
      <x:c r="P1746" s="73" t="n">
        <x:f aca="0">FCCL!C53</x:f>
        <x:v>0</x:v>
      </x:c>
      <x:c r="Q1746" s="70" t="str">
        <x:f aca="0">IF(ABS(O1746-P1746)&lt;0.000001,"PASS","FAIL")</x:f>
        <x:v>PASS</x:v>
      </x:c>
      <x:c r="R1746" s="70" t="s">
        <x:v>27</x:v>
      </x:c>
      <x:c r="S1746" s="70"/>
    </x:row>
    <x:row r="1747" ht="15" hidden="0">
      <x:c r="A1747" s="70" t="s">
        <x:v>2794</x:v>
      </x:c>
      <x:c r="B1747" s="70" t="s">
        <x:v>45</x:v>
      </x:c>
      <x:c r="C1747" s="70" t="s">
        <x:v>101</x:v>
      </x:c>
      <x:c r="D1747" s="70" t="s">
        <x:v>172</x:v>
      </x:c>
      <x:c r="E1747" s="70" t="s">
        <x:v>763</x:v>
      </x:c>
      <x:c r="F1747" s="70"/>
      <x:c r="G1747" s="70" t="s">
        <x:v>2626</x:v>
      </x:c>
      <x:c r="H1747" s="70" t="s">
        <x:v>838</x:v>
      </x:c>
      <x:c r="I1747" s="70" t="s">
        <x:v>833</x:v>
      </x:c>
      <x:c r="J1747" s="70" t="n">
        <x:v>186</x:v>
      </x:c>
      <x:c r="K1747" s="70" t="s">
        <x:v>1761</x:v>
      </x:c>
      <x:c r="L1747" s="70"/>
      <x:c r="M1747" s="70" t="s">
        <x:v>39</x:v>
      </x:c>
      <x:c r="N1747" s="71" t="n">
        <x:v>0</x:v>
      </x:c>
      <x:c r="O1747" s="72" t="n">
        <x:f aca="0">N1747/1000</x:f>
        <x:v>0</x:v>
      </x:c>
      <x:c r="P1747" s="73" t="n">
        <x:f aca="0">FCCL!D53</x:f>
        <x:v>0</x:v>
      </x:c>
      <x:c r="Q1747" s="70" t="str">
        <x:f aca="0">IF(ABS(O1747-P1747)&lt;0.000001,"PASS","FAIL")</x:f>
        <x:v>PASS</x:v>
      </x:c>
      <x:c r="R1747" s="70" t="s">
        <x:v>27</x:v>
      </x:c>
      <x:c r="S1747" s="70"/>
    </x:row>
    <x:row r="1748" ht="15" hidden="0">
      <x:c r="A1748" s="70" t="s">
        <x:v>2795</x:v>
      </x:c>
      <x:c r="B1748" s="70" t="s">
        <x:v>45</x:v>
      </x:c>
      <x:c r="C1748" s="70" t="s">
        <x:v>102</x:v>
      </x:c>
      <x:c r="D1748" s="70" t="s">
        <x:v>172</x:v>
      </x:c>
      <x:c r="E1748" s="70" t="s">
        <x:v>763</x:v>
      </x:c>
      <x:c r="F1748" s="70"/>
      <x:c r="G1748" s="70" t="s">
        <x:v>2628</x:v>
      </x:c>
      <x:c r="H1748" s="70" t="s">
        <x:v>842</x:v>
      </x:c>
      <x:c r="I1748" s="70" t="s">
        <x:v>833</x:v>
      </x:c>
      <x:c r="J1748" s="70" t="n">
        <x:v>208</x:v>
      </x:c>
      <x:c r="K1748" s="70" t="s">
        <x:v>2102</x:v>
      </x:c>
      <x:c r="L1748" s="70"/>
      <x:c r="M1748" s="70" t="s">
        <x:v>39</x:v>
      </x:c>
      <x:c r="N1748" s="71" t="n">
        <x:v>0</x:v>
      </x:c>
      <x:c r="O1748" s="72" t="n">
        <x:f aca="0">N1748/1000</x:f>
        <x:v>0</x:v>
      </x:c>
      <x:c r="P1748" s="73" t="n">
        <x:f aca="0">FCCL!E53</x:f>
        <x:v>0</x:v>
      </x:c>
      <x:c r="Q1748" s="70" t="str">
        <x:f aca="0">IF(ABS(O1748-P1748)&lt;0.000001,"PASS","FAIL")</x:f>
        <x:v>PASS</x:v>
      </x:c>
      <x:c r="R1748" s="70" t="s">
        <x:v>27</x:v>
      </x:c>
      <x:c r="S1748" s="70"/>
    </x:row>
    <x:row r="1749" ht="15" hidden="0">
      <x:c r="A1749" s="70" t="s">
        <x:v>2796</x:v>
      </x:c>
      <x:c r="B1749" s="70" t="s">
        <x:v>45</x:v>
      </x:c>
      <x:c r="C1749" s="70" t="s">
        <x:v>103</x:v>
      </x:c>
      <x:c r="D1749" s="70" t="s">
        <x:v>172</x:v>
      </x:c>
      <x:c r="E1749" s="70" t="s">
        <x:v>763</x:v>
      </x:c>
      <x:c r="F1749" s="70"/>
      <x:c r="G1749" s="70" t="s">
        <x:v>2631</x:v>
      </x:c>
      <x:c r="H1749" s="70" t="s">
        <x:v>845</x:v>
      </x:c>
      <x:c r="I1749" s="70" t="s">
        <x:v>833</x:v>
      </x:c>
      <x:c r="J1749" s="70" t="n">
        <x:v>190</x:v>
      </x:c>
      <x:c r="K1749" s="70" t="s">
        <x:v>1765</x:v>
      </x:c>
      <x:c r="L1749" s="70"/>
      <x:c r="M1749" s="70" t="s">
        <x:v>39</x:v>
      </x:c>
      <x:c r="N1749" s="71" t="n">
        <x:v>0</x:v>
      </x:c>
      <x:c r="O1749" s="72" t="n">
        <x:f aca="0">N1749/1000</x:f>
        <x:v>0</x:v>
      </x:c>
      <x:c r="P1749" s="73" t="n">
        <x:f aca="0">FCCL!F53</x:f>
        <x:v>0</x:v>
      </x:c>
      <x:c r="Q1749" s="70" t="str">
        <x:f aca="0">IF(ABS(O1749-P1749)&lt;0.000001,"PASS","FAIL")</x:f>
        <x:v>PASS</x:v>
      </x:c>
      <x:c r="R1749" s="70" t="s">
        <x:v>27</x:v>
      </x:c>
      <x:c r="S1749" s="70"/>
    </x:row>
    <x:row r="1750" ht="15" hidden="0">
      <x:c r="A1750" s="70" t="s">
        <x:v>2797</x:v>
      </x:c>
      <x:c r="B1750" s="70" t="s">
        <x:v>45</x:v>
      </x:c>
      <x:c r="C1750" s="70" t="s">
        <x:v>104</x:v>
      </x:c>
      <x:c r="D1750" s="70" t="s">
        <x:v>172</x:v>
      </x:c>
      <x:c r="E1750" s="70" t="s">
        <x:v>763</x:v>
      </x:c>
      <x:c r="F1750" s="70"/>
      <x:c r="G1750" s="70" t="s">
        <x:v>2633</x:v>
      </x:c>
      <x:c r="H1750" s="70" t="s">
        <x:v>849</x:v>
      </x:c>
      <x:c r="I1750" s="70" t="s">
        <x:v>833</x:v>
      </x:c>
      <x:c r="J1750" s="70" t="n">
        <x:v>244</x:v>
      </x:c>
      <x:c r="K1750" s="70" t="s">
        <x:v>834</x:v>
      </x:c>
      <x:c r="L1750" s="70"/>
      <x:c r="M1750" s="70" t="s">
        <x:v>39</x:v>
      </x:c>
      <x:c r="N1750" s="71" t="n">
        <x:v>0</x:v>
      </x:c>
      <x:c r="O1750" s="72" t="n">
        <x:f aca="0">N1750/1000</x:f>
        <x:v>0</x:v>
      </x:c>
      <x:c r="P1750" s="73" t="n">
        <x:f aca="0">FCCL!G53</x:f>
        <x:v>0</x:v>
      </x:c>
      <x:c r="Q1750" s="70" t="str">
        <x:f aca="0">IF(ABS(O1750-P1750)&lt;0.000001,"PASS","FAIL")</x:f>
        <x:v>PASS</x:v>
      </x:c>
      <x:c r="R1750" s="70" t="s">
        <x:v>27</x:v>
      </x:c>
      <x:c r="S1750" s="70"/>
    </x:row>
    <x:row r="1751" ht="15" hidden="0">
      <x:c r="A1751" s="70" t="s">
        <x:v>2798</x:v>
      </x:c>
      <x:c r="B1751" s="70" t="s">
        <x:v>45</x:v>
      </x:c>
      <x:c r="C1751" s="70" t="s">
        <x:v>105</x:v>
      </x:c>
      <x:c r="D1751" s="70" t="s">
        <x:v>172</x:v>
      </x:c>
      <x:c r="E1751" s="70" t="s">
        <x:v>763</x:v>
      </x:c>
      <x:c r="F1751" s="70"/>
      <x:c r="G1751" s="70" t="s">
        <x:v>2633</x:v>
      </x:c>
      <x:c r="H1751" s="70" t="s">
        <x:v>849</x:v>
      </x:c>
      <x:c r="I1751" s="70" t="s">
        <x:v>852</x:v>
      </x:c>
      <x:c r="J1751" s="70" t="n">
        <x:v>244</x:v>
      </x:c>
      <x:c r="K1751" s="70" t="s">
        <x:v>834</x:v>
      </x:c>
      <x:c r="L1751" s="70"/>
      <x:c r="M1751" s="70" t="s">
        <x:v>39</x:v>
      </x:c>
      <x:c r="N1751" s="71" t="n">
        <x:v>0</x:v>
      </x:c>
      <x:c r="O1751" s="72" t="n">
        <x:f aca="0">N1751/1000</x:f>
        <x:v>0</x:v>
      </x:c>
      <x:c r="P1751" s="73" t="n">
        <x:f aca="0">FCCL!H53</x:f>
        <x:v>0</x:v>
      </x:c>
      <x:c r="Q1751" s="70" t="str">
        <x:f aca="0">IF(ABS(O1751-P1751)&lt;0.000001,"PASS","FAIL")</x:f>
        <x:v>PASS</x:v>
      </x:c>
      <x:c r="R1751" s="70" t="s">
        <x:v>27</x:v>
      </x:c>
      <x:c r="S1751" s="70"/>
    </x:row>
    <x:row r="1752" ht="15" hidden="0">
      <x:c r="A1752" s="70" t="s">
        <x:v>2799</x:v>
      </x:c>
      <x:c r="B1752" s="70" t="s">
        <x:v>45</x:v>
      </x:c>
      <x:c r="C1752" s="70" t="s">
        <x:v>717</x:v>
      </x:c>
      <x:c r="D1752" s="70" t="s">
        <x:v>174</x:v>
      </x:c>
      <x:c r="E1752" s="70" t="s">
        <x:v>763</x:v>
      </x:c>
      <x:c r="F1752" s="70" t="s">
        <x:v>1035</x:v>
      </x:c>
      <x:c r="G1752" s="70" t="s">
        <x:v>2624</x:v>
      </x:c>
      <x:c r="H1752" s="70" t="s">
        <x:v>832</x:v>
      </x:c>
      <x:c r="I1752" s="70" t="s">
        <x:v>833</x:v>
      </x:c>
      <x:c r="J1752" s="70" t="n">
        <x:v>164</x:v>
      </x:c>
      <x:c r="K1752" s="70" t="s">
        <x:v>2613</x:v>
      </x:c>
      <x:c r="L1752" s="70" t="s">
        <x:v>1031</x:v>
      </x:c>
      <x:c r="M1752" s="70" t="s">
        <x:v>39</x:v>
      </x:c>
      <x:c r="N1752" s="71" t="n">
        <x:v>1869167</x:v>
      </x:c>
      <x:c r="O1752" s="72" t="n">
        <x:f aca="0">N1752/1000</x:f>
        <x:v>1869.167</x:v>
      </x:c>
      <x:c r="P1752" s="73" t="n">
        <x:f aca="0">FCCL!C54</x:f>
        <x:v>1869.167</x:v>
      </x:c>
      <x:c r="Q1752" s="70" t="str">
        <x:f aca="0">IF(ABS(O1752-P1752)&lt;0.000001,"PASS","FAIL")</x:f>
        <x:v>PASS</x:v>
      </x:c>
      <x:c r="R1752" s="70" t="s">
        <x:v>27</x:v>
      </x:c>
      <x:c r="S1752" s="70"/>
    </x:row>
    <x:row r="1753" ht="15" hidden="0">
      <x:c r="A1753" s="70" t="s">
        <x:v>2800</x:v>
      </x:c>
      <x:c r="B1753" s="70" t="s">
        <x:v>45</x:v>
      </x:c>
      <x:c r="C1753" s="70" t="s">
        <x:v>101</x:v>
      </x:c>
      <x:c r="D1753" s="70" t="s">
        <x:v>174</x:v>
      </x:c>
      <x:c r="E1753" s="70" t="s">
        <x:v>763</x:v>
      </x:c>
      <x:c r="F1753" s="70" t="s">
        <x:v>2801</x:v>
      </x:c>
      <x:c r="G1753" s="70" t="s">
        <x:v>2626</x:v>
      </x:c>
      <x:c r="H1753" s="70" t="s">
        <x:v>838</x:v>
      </x:c>
      <x:c r="I1753" s="70" t="s">
        <x:v>833</x:v>
      </x:c>
      <x:c r="J1753" s="70" t="n">
        <x:v>186</x:v>
      </x:c>
      <x:c r="K1753" s="70" t="s">
        <x:v>1761</x:v>
      </x:c>
      <x:c r="L1753" s="70" t="s">
        <x:v>1040</x:v>
      </x:c>
      <x:c r="M1753" s="70" t="s">
        <x:v>39</x:v>
      </x:c>
      <x:c r="N1753" s="71" t="n">
        <x:v>1616787</x:v>
      </x:c>
      <x:c r="O1753" s="72" t="n">
        <x:f aca="0">N1753/1000</x:f>
        <x:v>1616.787</x:v>
      </x:c>
      <x:c r="P1753" s="73" t="n">
        <x:f aca="0">FCCL!D54</x:f>
        <x:v>1616.787</x:v>
      </x:c>
      <x:c r="Q1753" s="70" t="str">
        <x:f aca="0">IF(ABS(O1753-P1753)&lt;0.000001,"PASS","FAIL")</x:f>
        <x:v>PASS</x:v>
      </x:c>
      <x:c r="R1753" s="70" t="s">
        <x:v>27</x:v>
      </x:c>
      <x:c r="S1753" s="70"/>
    </x:row>
    <x:row r="1754" ht="15" hidden="0">
      <x:c r="A1754" s="70" t="s">
        <x:v>2802</x:v>
      </x:c>
      <x:c r="B1754" s="70" t="s">
        <x:v>45</x:v>
      </x:c>
      <x:c r="C1754" s="70" t="s">
        <x:v>102</x:v>
      </x:c>
      <x:c r="D1754" s="70" t="s">
        <x:v>174</x:v>
      </x:c>
      <x:c r="E1754" s="70" t="s">
        <x:v>763</x:v>
      </x:c>
      <x:c r="F1754" s="70" t="s">
        <x:v>2803</x:v>
      </x:c>
      <x:c r="G1754" s="70" t="s">
        <x:v>2628</x:v>
      </x:c>
      <x:c r="H1754" s="70" t="s">
        <x:v>842</x:v>
      </x:c>
      <x:c r="I1754" s="70" t="s">
        <x:v>833</x:v>
      </x:c>
      <x:c r="J1754" s="70" t="n">
        <x:v>208</x:v>
      </x:c>
      <x:c r="K1754" s="70" t="s">
        <x:v>2102</x:v>
      </x:c>
      <x:c r="L1754" s="70" t="s">
        <x:v>1019</x:v>
      </x:c>
      <x:c r="M1754" s="70" t="s">
        <x:v>39</x:v>
      </x:c>
      <x:c r="N1754" s="71" t="n">
        <x:v>10605249</x:v>
      </x:c>
      <x:c r="O1754" s="72" t="n">
        <x:f aca="0">N1754/1000</x:f>
        <x:v>10605.249</x:v>
      </x:c>
      <x:c r="P1754" s="73" t="n">
        <x:f aca="0">FCCL!E54</x:f>
        <x:v>10605.249</x:v>
      </x:c>
      <x:c r="Q1754" s="70" t="str">
        <x:f aca="0">IF(ABS(O1754-P1754)&lt;0.000001,"PASS","FAIL")</x:f>
        <x:v>PASS</x:v>
      </x:c>
      <x:c r="R1754" s="70" t="s">
        <x:v>27</x:v>
      </x:c>
      <x:c r="S1754" s="70"/>
    </x:row>
    <x:row r="1755" ht="15" hidden="0">
      <x:c r="A1755" s="70" t="s">
        <x:v>2804</x:v>
      </x:c>
      <x:c r="B1755" s="70" t="s">
        <x:v>45</x:v>
      </x:c>
      <x:c r="C1755" s="70" t="s">
        <x:v>103</x:v>
      </x:c>
      <x:c r="D1755" s="70" t="s">
        <x:v>174</x:v>
      </x:c>
      <x:c r="E1755" s="70" t="s">
        <x:v>763</x:v>
      </x:c>
      <x:c r="F1755" s="70" t="s">
        <x:v>2803</x:v>
      </x:c>
      <x:c r="G1755" s="70" t="s">
        <x:v>2631</x:v>
      </x:c>
      <x:c r="H1755" s="70" t="s">
        <x:v>845</x:v>
      </x:c>
      <x:c r="I1755" s="70" t="s">
        <x:v>833</x:v>
      </x:c>
      <x:c r="J1755" s="70" t="n">
        <x:v>190</x:v>
      </x:c>
      <x:c r="K1755" s="70" t="s">
        <x:v>1765</x:v>
      </x:c>
      <x:c r="L1755" s="70" t="s">
        <x:v>1019</x:v>
      </x:c>
      <x:c r="M1755" s="70" t="s">
        <x:v>39</x:v>
      </x:c>
      <x:c r="N1755" s="71" t="n">
        <x:v>11917981</x:v>
      </x:c>
      <x:c r="O1755" s="72" t="n">
        <x:f aca="0">N1755/1000</x:f>
        <x:v>11917.981</x:v>
      </x:c>
      <x:c r="P1755" s="73" t="n">
        <x:f aca="0">FCCL!F54</x:f>
        <x:v>11917.981</x:v>
      </x:c>
      <x:c r="Q1755" s="70" t="str">
        <x:f aca="0">IF(ABS(O1755-P1755)&lt;0.000001,"PASS","FAIL")</x:f>
        <x:v>PASS</x:v>
      </x:c>
      <x:c r="R1755" s="70" t="s">
        <x:v>27</x:v>
      </x:c>
      <x:c r="S1755" s="70"/>
    </x:row>
    <x:row r="1756" ht="15" hidden="0">
      <x:c r="A1756" s="70" t="s">
        <x:v>2805</x:v>
      </x:c>
      <x:c r="B1756" s="70" t="s">
        <x:v>45</x:v>
      </x:c>
      <x:c r="C1756" s="70" t="s">
        <x:v>104</x:v>
      </x:c>
      <x:c r="D1756" s="70" t="s">
        <x:v>174</x:v>
      </x:c>
      <x:c r="E1756" s="70" t="s">
        <x:v>763</x:v>
      </x:c>
      <x:c r="F1756" s="70" t="s">
        <x:v>2803</x:v>
      </x:c>
      <x:c r="G1756" s="70" t="s">
        <x:v>2633</x:v>
      </x:c>
      <x:c r="H1756" s="70" t="s">
        <x:v>849</x:v>
      </x:c>
      <x:c r="I1756" s="70" t="s">
        <x:v>833</x:v>
      </x:c>
      <x:c r="J1756" s="70" t="n">
        <x:v>244</x:v>
      </x:c>
      <x:c r="K1756" s="70" t="s">
        <x:v>834</x:v>
      </x:c>
      <x:c r="L1756" s="70" t="s">
        <x:v>1040</x:v>
      </x:c>
      <x:c r="M1756" s="70" t="s">
        <x:v>39</x:v>
      </x:c>
      <x:c r="N1756" s="71" t="n">
        <x:v>8837934</x:v>
      </x:c>
      <x:c r="O1756" s="72" t="n">
        <x:f aca="0">N1756/1000</x:f>
        <x:v>8837.934</x:v>
      </x:c>
      <x:c r="P1756" s="73" t="n">
        <x:f aca="0">FCCL!G54</x:f>
        <x:v>8837.934</x:v>
      </x:c>
      <x:c r="Q1756" s="70" t="str">
        <x:f aca="0">IF(ABS(O1756-P1756)&lt;0.000001,"PASS","FAIL")</x:f>
        <x:v>PASS</x:v>
      </x:c>
      <x:c r="R1756" s="70" t="s">
        <x:v>27</x:v>
      </x:c>
      <x:c r="S1756" s="70"/>
    </x:row>
    <x:row r="1757" ht="15" hidden="0">
      <x:c r="A1757" s="70" t="s">
        <x:v>2806</x:v>
      </x:c>
      <x:c r="B1757" s="70" t="s">
        <x:v>45</x:v>
      </x:c>
      <x:c r="C1757" s="70" t="s">
        <x:v>105</x:v>
      </x:c>
      <x:c r="D1757" s="70" t="s">
        <x:v>174</x:v>
      </x:c>
      <x:c r="E1757" s="70" t="s">
        <x:v>763</x:v>
      </x:c>
      <x:c r="F1757" s="70" t="s">
        <x:v>2803</x:v>
      </x:c>
      <x:c r="G1757" s="70" t="s">
        <x:v>2633</x:v>
      </x:c>
      <x:c r="H1757" s="70" t="s">
        <x:v>849</x:v>
      </x:c>
      <x:c r="I1757" s="70" t="s">
        <x:v>852</x:v>
      </x:c>
      <x:c r="J1757" s="70" t="n">
        <x:v>244</x:v>
      </x:c>
      <x:c r="K1757" s="70" t="s">
        <x:v>834</x:v>
      </x:c>
      <x:c r="L1757" s="70" t="s">
        <x:v>1040</x:v>
      </x:c>
      <x:c r="M1757" s="70" t="s">
        <x:v>39</x:v>
      </x:c>
      <x:c r="N1757" s="71" t="n">
        <x:v>9764648</x:v>
      </x:c>
      <x:c r="O1757" s="72" t="n">
        <x:f aca="0">N1757/1000</x:f>
        <x:v>9764.648</x:v>
      </x:c>
      <x:c r="P1757" s="73" t="n">
        <x:f aca="0">FCCL!H54</x:f>
        <x:v>9764.648</x:v>
      </x:c>
      <x:c r="Q1757" s="70" t="str">
        <x:f aca="0">IF(ABS(O1757-P1757)&lt;0.000001,"PASS","FAIL")</x:f>
        <x:v>PASS</x:v>
      </x:c>
      <x:c r="R1757" s="70" t="s">
        <x:v>27</x:v>
      </x:c>
      <x:c r="S1757" s="70"/>
    </x:row>
    <x:row r="1758" ht="15" hidden="0">
      <x:c r="A1758" s="70" t="s">
        <x:v>2807</x:v>
      </x:c>
      <x:c r="B1758" s="70" t="s">
        <x:v>45</x:v>
      </x:c>
      <x:c r="C1758" s="70" t="s">
        <x:v>717</x:v>
      </x:c>
      <x:c r="D1758" s="70" t="s">
        <x:v>176</x:v>
      </x:c>
      <x:c r="E1758" s="70" t="s">
        <x:v>763</x:v>
      </x:c>
      <x:c r="F1758" s="70" t="s">
        <x:v>2808</x:v>
      </x:c>
      <x:c r="G1758" s="70" t="s">
        <x:v>2624</x:v>
      </x:c>
      <x:c r="H1758" s="70" t="s">
        <x:v>832</x:v>
      </x:c>
      <x:c r="I1758" s="70" t="s">
        <x:v>833</x:v>
      </x:c>
      <x:c r="J1758" s="70" t="n">
        <x:v>164</x:v>
      </x:c>
      <x:c r="K1758" s="70" t="s">
        <x:v>2613</x:v>
      </x:c>
      <x:c r="L1758" s="70" t="s">
        <x:v>1342</x:v>
      </x:c>
      <x:c r="M1758" s="70" t="s">
        <x:v>39</x:v>
      </x:c>
      <x:c r="N1758" s="71" t="n">
        <x:v>303912</x:v>
      </x:c>
      <x:c r="O1758" s="72" t="n">
        <x:f aca="0">N1758/1000</x:f>
        <x:v>303.912</x:v>
      </x:c>
      <x:c r="P1758" s="73" t="n">
        <x:f aca="0">FCCL!C55</x:f>
        <x:v>303.912</x:v>
      </x:c>
      <x:c r="Q1758" s="70" t="str">
        <x:f aca="0">IF(ABS(O1758-P1758)&lt;0.000001,"PASS","FAIL")</x:f>
        <x:v>PASS</x:v>
      </x:c>
      <x:c r="R1758" s="70" t="s">
        <x:v>27</x:v>
      </x:c>
      <x:c r="S1758" s="70"/>
    </x:row>
    <x:row r="1759" ht="15" hidden="0">
      <x:c r="A1759" s="70" t="s">
        <x:v>2809</x:v>
      </x:c>
      <x:c r="B1759" s="70" t="s">
        <x:v>45</x:v>
      </x:c>
      <x:c r="C1759" s="70" t="s">
        <x:v>101</x:v>
      </x:c>
      <x:c r="D1759" s="70" t="s">
        <x:v>176</x:v>
      </x:c>
      <x:c r="E1759" s="70" t="s">
        <x:v>763</x:v>
      </x:c>
      <x:c r="F1759" s="70" t="s">
        <x:v>2808</x:v>
      </x:c>
      <x:c r="G1759" s="70" t="s">
        <x:v>2626</x:v>
      </x:c>
      <x:c r="H1759" s="70" t="s">
        <x:v>838</x:v>
      </x:c>
      <x:c r="I1759" s="70" t="s">
        <x:v>833</x:v>
      </x:c>
      <x:c r="J1759" s="70" t="n">
        <x:v>186</x:v>
      </x:c>
      <x:c r="K1759" s="70" t="s">
        <x:v>1761</x:v>
      </x:c>
      <x:c r="L1759" s="70" t="s">
        <x:v>1355</x:v>
      </x:c>
      <x:c r="M1759" s="70" t="s">
        <x:v>39</x:v>
      </x:c>
      <x:c r="N1759" s="71" t="n">
        <x:v>361521</x:v>
      </x:c>
      <x:c r="O1759" s="72" t="n">
        <x:f aca="0">N1759/1000</x:f>
        <x:v>361.521</x:v>
      </x:c>
      <x:c r="P1759" s="73" t="n">
        <x:f aca="0">FCCL!D55</x:f>
        <x:v>361.521</x:v>
      </x:c>
      <x:c r="Q1759" s="70" t="str">
        <x:f aca="0">IF(ABS(O1759-P1759)&lt;0.000001,"PASS","FAIL")</x:f>
        <x:v>PASS</x:v>
      </x:c>
      <x:c r="R1759" s="70" t="s">
        <x:v>27</x:v>
      </x:c>
      <x:c r="S1759" s="70"/>
    </x:row>
    <x:row r="1760" ht="15" hidden="0">
      <x:c r="A1760" s="70" t="s">
        <x:v>2810</x:v>
      </x:c>
      <x:c r="B1760" s="70" t="s">
        <x:v>45</x:v>
      </x:c>
      <x:c r="C1760" s="70" t="s">
        <x:v>102</x:v>
      </x:c>
      <x:c r="D1760" s="70" t="s">
        <x:v>176</x:v>
      </x:c>
      <x:c r="E1760" s="70" t="s">
        <x:v>763</x:v>
      </x:c>
      <x:c r="F1760" s="70" t="s">
        <x:v>2808</x:v>
      </x:c>
      <x:c r="G1760" s="70" t="s">
        <x:v>2628</x:v>
      </x:c>
      <x:c r="H1760" s="70" t="s">
        <x:v>842</x:v>
      </x:c>
      <x:c r="I1760" s="70" t="s">
        <x:v>833</x:v>
      </x:c>
      <x:c r="J1760" s="70" t="n">
        <x:v>208</x:v>
      </x:c>
      <x:c r="K1760" s="70" t="s">
        <x:v>2102</x:v>
      </x:c>
      <x:c r="L1760" s="70" t="s">
        <x:v>1342</x:v>
      </x:c>
      <x:c r="M1760" s="70" t="s">
        <x:v>39</x:v>
      </x:c>
      <x:c r="N1760" s="71" t="n">
        <x:v>2985087</x:v>
      </x:c>
      <x:c r="O1760" s="72" t="n">
        <x:f aca="0">N1760/1000</x:f>
        <x:v>2985.087</x:v>
      </x:c>
      <x:c r="P1760" s="73" t="n">
        <x:f aca="0">FCCL!E55</x:f>
        <x:v>2985.087</x:v>
      </x:c>
      <x:c r="Q1760" s="70" t="str">
        <x:f aca="0">IF(ABS(O1760-P1760)&lt;0.000001,"PASS","FAIL")</x:f>
        <x:v>PASS</x:v>
      </x:c>
      <x:c r="R1760" s="70" t="s">
        <x:v>27</x:v>
      </x:c>
      <x:c r="S1760" s="70"/>
    </x:row>
    <x:row r="1761" ht="15" hidden="0">
      <x:c r="A1761" s="70" t="s">
        <x:v>2811</x:v>
      </x:c>
      <x:c r="B1761" s="70" t="s">
        <x:v>45</x:v>
      </x:c>
      <x:c r="C1761" s="70" t="s">
        <x:v>103</x:v>
      </x:c>
      <x:c r="D1761" s="70" t="s">
        <x:v>176</x:v>
      </x:c>
      <x:c r="E1761" s="70" t="s">
        <x:v>763</x:v>
      </x:c>
      <x:c r="F1761" s="70" t="s">
        <x:v>2808</x:v>
      </x:c>
      <x:c r="G1761" s="70" t="s">
        <x:v>2631</x:v>
      </x:c>
      <x:c r="H1761" s="70" t="s">
        <x:v>845</x:v>
      </x:c>
      <x:c r="I1761" s="70" t="s">
        <x:v>833</x:v>
      </x:c>
      <x:c r="J1761" s="70" t="n">
        <x:v>190</x:v>
      </x:c>
      <x:c r="K1761" s="70" t="s">
        <x:v>1765</x:v>
      </x:c>
      <x:c r="L1761" s="70" t="s">
        <x:v>1342</x:v>
      </x:c>
      <x:c r="M1761" s="70" t="s">
        <x:v>39</x:v>
      </x:c>
      <x:c r="N1761" s="71" t="n">
        <x:v>4176493</x:v>
      </x:c>
      <x:c r="O1761" s="72" t="n">
        <x:f aca="0">N1761/1000</x:f>
        <x:v>4176.493</x:v>
      </x:c>
      <x:c r="P1761" s="73" t="n">
        <x:f aca="0">FCCL!F55</x:f>
        <x:v>4176.493</x:v>
      </x:c>
      <x:c r="Q1761" s="70" t="str">
        <x:f aca="0">IF(ABS(O1761-P1761)&lt;0.000001,"PASS","FAIL")</x:f>
        <x:v>PASS</x:v>
      </x:c>
      <x:c r="R1761" s="70" t="s">
        <x:v>27</x:v>
      </x:c>
      <x:c r="S1761" s="70"/>
    </x:row>
    <x:row r="1762" ht="15" hidden="0">
      <x:c r="A1762" s="70" t="s">
        <x:v>2812</x:v>
      </x:c>
      <x:c r="B1762" s="70" t="s">
        <x:v>45</x:v>
      </x:c>
      <x:c r="C1762" s="70" t="s">
        <x:v>104</x:v>
      </x:c>
      <x:c r="D1762" s="70" t="s">
        <x:v>176</x:v>
      </x:c>
      <x:c r="E1762" s="70" t="s">
        <x:v>763</x:v>
      </x:c>
      <x:c r="F1762" s="70" t="s">
        <x:v>2808</x:v>
      </x:c>
      <x:c r="G1762" s="70" t="s">
        <x:v>2633</x:v>
      </x:c>
      <x:c r="H1762" s="70" t="s">
        <x:v>849</x:v>
      </x:c>
      <x:c r="I1762" s="70" t="s">
        <x:v>833</x:v>
      </x:c>
      <x:c r="J1762" s="70" t="n">
        <x:v>244</x:v>
      </x:c>
      <x:c r="K1762" s="70" t="s">
        <x:v>834</x:v>
      </x:c>
      <x:c r="L1762" s="70" t="s">
        <x:v>966</x:v>
      </x:c>
      <x:c r="M1762" s="70" t="s">
        <x:v>39</x:v>
      </x:c>
      <x:c r="N1762" s="71" t="n">
        <x:v>5066868</x:v>
      </x:c>
      <x:c r="O1762" s="72" t="n">
        <x:f aca="0">N1762/1000</x:f>
        <x:v>5066.868</x:v>
      </x:c>
      <x:c r="P1762" s="73" t="n">
        <x:f aca="0">FCCL!G55</x:f>
        <x:v>5066.868</x:v>
      </x:c>
      <x:c r="Q1762" s="70" t="str">
        <x:f aca="0">IF(ABS(O1762-P1762)&lt;0.000001,"PASS","FAIL")</x:f>
        <x:v>PASS</x:v>
      </x:c>
      <x:c r="R1762" s="70" t="s">
        <x:v>27</x:v>
      </x:c>
      <x:c r="S1762" s="70"/>
    </x:row>
    <x:row r="1763" ht="15" hidden="0">
      <x:c r="A1763" s="70" t="s">
        <x:v>2813</x:v>
      </x:c>
      <x:c r="B1763" s="70" t="s">
        <x:v>45</x:v>
      </x:c>
      <x:c r="C1763" s="70" t="s">
        <x:v>105</x:v>
      </x:c>
      <x:c r="D1763" s="70" t="s">
        <x:v>176</x:v>
      </x:c>
      <x:c r="E1763" s="70" t="s">
        <x:v>763</x:v>
      </x:c>
      <x:c r="F1763" s="70" t="s">
        <x:v>2808</x:v>
      </x:c>
      <x:c r="G1763" s="70" t="s">
        <x:v>2633</x:v>
      </x:c>
      <x:c r="H1763" s="70" t="s">
        <x:v>849</x:v>
      </x:c>
      <x:c r="I1763" s="70" t="s">
        <x:v>852</x:v>
      </x:c>
      <x:c r="J1763" s="70" t="n">
        <x:v>244</x:v>
      </x:c>
      <x:c r="K1763" s="70" t="s">
        <x:v>834</x:v>
      </x:c>
      <x:c r="L1763" s="70" t="s">
        <x:v>966</x:v>
      </x:c>
      <x:c r="M1763" s="70" t="s">
        <x:v>39</x:v>
      </x:c>
      <x:c r="N1763" s="71" t="n">
        <x:v>6104065</x:v>
      </x:c>
      <x:c r="O1763" s="72" t="n">
        <x:f aca="0">N1763/1000</x:f>
        <x:v>6104.065</x:v>
      </x:c>
      <x:c r="P1763" s="73" t="n">
        <x:f aca="0">FCCL!H55</x:f>
        <x:v>6104.065</x:v>
      </x:c>
      <x:c r="Q1763" s="70" t="str">
        <x:f aca="0">IF(ABS(O1763-P1763)&lt;0.000001,"PASS","FAIL")</x:f>
        <x:v>PASS</x:v>
      </x:c>
      <x:c r="R1763" s="70" t="s">
        <x:v>27</x:v>
      </x:c>
      <x:c r="S1763" s="70"/>
    </x:row>
    <x:row r="1764" ht="15" hidden="0">
      <x:c r="A1764" s="70" t="s">
        <x:v>2814</x:v>
      </x:c>
      <x:c r="B1764" s="70" t="s">
        <x:v>45</x:v>
      </x:c>
      <x:c r="C1764" s="70" t="s">
        <x:v>717</x:v>
      </x:c>
      <x:c r="D1764" s="70" t="s">
        <x:v>178</x:v>
      </x:c>
      <x:c r="E1764" s="70" t="s">
        <x:v>763</x:v>
      </x:c>
      <x:c r="F1764" s="70" t="s">
        <x:v>2815</x:v>
      </x:c>
      <x:c r="G1764" s="70" t="s">
        <x:v>2624</x:v>
      </x:c>
      <x:c r="H1764" s="70" t="s">
        <x:v>832</x:v>
      </x:c>
      <x:c r="I1764" s="70" t="s">
        <x:v>833</x:v>
      </x:c>
      <x:c r="J1764" s="70" t="n">
        <x:v>164</x:v>
      </x:c>
      <x:c r="K1764" s="70" t="s">
        <x:v>2613</x:v>
      </x:c>
      <x:c r="L1764" s="70" t="s">
        <x:v>1342</x:v>
      </x:c>
      <x:c r="M1764" s="70" t="s">
        <x:v>39</x:v>
      </x:c>
      <x:c r="N1764" s="71" t="n">
        <x:v>23737</x:v>
      </x:c>
      <x:c r="O1764" s="72" t="n">
        <x:f aca="0">N1764/1000</x:f>
        <x:v>23.737</x:v>
      </x:c>
      <x:c r="P1764" s="73" t="n">
        <x:f aca="0">FCCL!C56</x:f>
        <x:v>23.737</x:v>
      </x:c>
      <x:c r="Q1764" s="70" t="str">
        <x:f aca="0">IF(ABS(O1764-P1764)&lt;0.000001,"PASS","FAIL")</x:f>
        <x:v>PASS</x:v>
      </x:c>
      <x:c r="R1764" s="70" t="s">
        <x:v>27</x:v>
      </x:c>
      <x:c r="S1764" s="70"/>
    </x:row>
    <x:row r="1765" ht="15" hidden="0">
      <x:c r="A1765" s="70" t="s">
        <x:v>2816</x:v>
      </x:c>
      <x:c r="B1765" s="70" t="s">
        <x:v>45</x:v>
      </x:c>
      <x:c r="C1765" s="70" t="s">
        <x:v>101</x:v>
      </x:c>
      <x:c r="D1765" s="70" t="s">
        <x:v>178</x:v>
      </x:c>
      <x:c r="E1765" s="70" t="s">
        <x:v>763</x:v>
      </x:c>
      <x:c r="F1765" s="70" t="s">
        <x:v>2815</x:v>
      </x:c>
      <x:c r="G1765" s="70" t="s">
        <x:v>2626</x:v>
      </x:c>
      <x:c r="H1765" s="70" t="s">
        <x:v>838</x:v>
      </x:c>
      <x:c r="I1765" s="70" t="s">
        <x:v>833</x:v>
      </x:c>
      <x:c r="J1765" s="70" t="n">
        <x:v>186</x:v>
      </x:c>
      <x:c r="K1765" s="70" t="s">
        <x:v>1761</x:v>
      </x:c>
      <x:c r="L1765" s="70" t="s">
        <x:v>1355</x:v>
      </x:c>
      <x:c r="M1765" s="70" t="s">
        <x:v>39</x:v>
      </x:c>
      <x:c r="N1765" s="71" t="n">
        <x:v>24686</x:v>
      </x:c>
      <x:c r="O1765" s="72" t="n">
        <x:f aca="0">N1765/1000</x:f>
        <x:v>24.686</x:v>
      </x:c>
      <x:c r="P1765" s="73" t="n">
        <x:f aca="0">FCCL!D56</x:f>
        <x:v>24.686</x:v>
      </x:c>
      <x:c r="Q1765" s="70" t="str">
        <x:f aca="0">IF(ABS(O1765-P1765)&lt;0.000001,"PASS","FAIL")</x:f>
        <x:v>PASS</x:v>
      </x:c>
      <x:c r="R1765" s="70" t="s">
        <x:v>27</x:v>
      </x:c>
      <x:c r="S1765" s="70"/>
    </x:row>
    <x:row r="1766" ht="15" hidden="0">
      <x:c r="A1766" s="70" t="s">
        <x:v>2817</x:v>
      </x:c>
      <x:c r="B1766" s="70" t="s">
        <x:v>45</x:v>
      </x:c>
      <x:c r="C1766" s="70" t="s">
        <x:v>102</x:v>
      </x:c>
      <x:c r="D1766" s="70" t="s">
        <x:v>178</x:v>
      </x:c>
      <x:c r="E1766" s="70" t="s">
        <x:v>763</x:v>
      </x:c>
      <x:c r="F1766" s="70" t="s">
        <x:v>2815</x:v>
      </x:c>
      <x:c r="G1766" s="70" t="s">
        <x:v>2628</x:v>
      </x:c>
      <x:c r="H1766" s="70" t="s">
        <x:v>842</x:v>
      </x:c>
      <x:c r="I1766" s="70" t="s">
        <x:v>833</x:v>
      </x:c>
      <x:c r="J1766" s="70" t="n">
        <x:v>208</x:v>
      </x:c>
      <x:c r="K1766" s="70" t="s">
        <x:v>2102</x:v>
      </x:c>
      <x:c r="L1766" s="70" t="s">
        <x:v>1342</x:v>
      </x:c>
      <x:c r="M1766" s="70" t="s">
        <x:v>39</x:v>
      </x:c>
      <x:c r="N1766" s="71" t="n">
        <x:v>68332</x:v>
      </x:c>
      <x:c r="O1766" s="72" t="n">
        <x:f aca="0">N1766/1000</x:f>
        <x:v>68.332</x:v>
      </x:c>
      <x:c r="P1766" s="73" t="n">
        <x:f aca="0">FCCL!E56</x:f>
        <x:v>68.332</x:v>
      </x:c>
      <x:c r="Q1766" s="70" t="str">
        <x:f aca="0">IF(ABS(O1766-P1766)&lt;0.000001,"PASS","FAIL")</x:f>
        <x:v>PASS</x:v>
      </x:c>
      <x:c r="R1766" s="70" t="s">
        <x:v>27</x:v>
      </x:c>
      <x:c r="S1766" s="70"/>
    </x:row>
    <x:row r="1767" ht="15" hidden="0">
      <x:c r="A1767" s="70" t="s">
        <x:v>2818</x:v>
      </x:c>
      <x:c r="B1767" s="70" t="s">
        <x:v>45</x:v>
      </x:c>
      <x:c r="C1767" s="70" t="s">
        <x:v>103</x:v>
      </x:c>
      <x:c r="D1767" s="70" t="s">
        <x:v>178</x:v>
      </x:c>
      <x:c r="E1767" s="70" t="s">
        <x:v>763</x:v>
      </x:c>
      <x:c r="F1767" s="70" t="s">
        <x:v>2815</x:v>
      </x:c>
      <x:c r="G1767" s="70" t="s">
        <x:v>2631</x:v>
      </x:c>
      <x:c r="H1767" s="70" t="s">
        <x:v>845</x:v>
      </x:c>
      <x:c r="I1767" s="70" t="s">
        <x:v>833</x:v>
      </x:c>
      <x:c r="J1767" s="70" t="n">
        <x:v>190</x:v>
      </x:c>
      <x:c r="K1767" s="70" t="s">
        <x:v>1765</x:v>
      </x:c>
      <x:c r="L1767" s="70" t="s">
        <x:v>1342</x:v>
      </x:c>
      <x:c r="M1767" s="70" t="s">
        <x:v>39</x:v>
      </x:c>
      <x:c r="N1767" s="71" t="n">
        <x:v>50463</x:v>
      </x:c>
      <x:c r="O1767" s="72" t="n">
        <x:f aca="0">N1767/1000</x:f>
        <x:v>50.463</x:v>
      </x:c>
      <x:c r="P1767" s="73" t="n">
        <x:f aca="0">FCCL!F56</x:f>
        <x:v>50.463</x:v>
      </x:c>
      <x:c r="Q1767" s="70" t="str">
        <x:f aca="0">IF(ABS(O1767-P1767)&lt;0.000001,"PASS","FAIL")</x:f>
        <x:v>PASS</x:v>
      </x:c>
      <x:c r="R1767" s="70" t="s">
        <x:v>27</x:v>
      </x:c>
      <x:c r="S1767" s="70"/>
    </x:row>
    <x:row r="1768" ht="15" hidden="0">
      <x:c r="A1768" s="70" t="s">
        <x:v>2819</x:v>
      </x:c>
      <x:c r="B1768" s="70" t="s">
        <x:v>45</x:v>
      </x:c>
      <x:c r="C1768" s="70" t="s">
        <x:v>104</x:v>
      </x:c>
      <x:c r="D1768" s="70" t="s">
        <x:v>178</x:v>
      </x:c>
      <x:c r="E1768" s="70" t="s">
        <x:v>763</x:v>
      </x:c>
      <x:c r="F1768" s="70" t="s">
        <x:v>2815</x:v>
      </x:c>
      <x:c r="G1768" s="70" t="s">
        <x:v>2633</x:v>
      </x:c>
      <x:c r="H1768" s="70" t="s">
        <x:v>849</x:v>
      </x:c>
      <x:c r="I1768" s="70" t="s">
        <x:v>833</x:v>
      </x:c>
      <x:c r="J1768" s="70" t="n">
        <x:v>244</x:v>
      </x:c>
      <x:c r="K1768" s="70" t="s">
        <x:v>834</x:v>
      </x:c>
      <x:c r="L1768" s="70" t="s">
        <x:v>966</x:v>
      </x:c>
      <x:c r="M1768" s="70" t="s">
        <x:v>39</x:v>
      </x:c>
      <x:c r="N1768" s="71" t="n">
        <x:v>46206</x:v>
      </x:c>
      <x:c r="O1768" s="72" t="n">
        <x:f aca="0">N1768/1000</x:f>
        <x:v>46.206</x:v>
      </x:c>
      <x:c r="P1768" s="73" t="n">
        <x:f aca="0">FCCL!G56</x:f>
        <x:v>46.206</x:v>
      </x:c>
      <x:c r="Q1768" s="70" t="str">
        <x:f aca="0">IF(ABS(O1768-P1768)&lt;0.000001,"PASS","FAIL")</x:f>
        <x:v>PASS</x:v>
      </x:c>
      <x:c r="R1768" s="70" t="s">
        <x:v>27</x:v>
      </x:c>
      <x:c r="S1768" s="70"/>
    </x:row>
    <x:row r="1769" ht="15" hidden="0">
      <x:c r="A1769" s="70" t="s">
        <x:v>2820</x:v>
      </x:c>
      <x:c r="B1769" s="70" t="s">
        <x:v>45</x:v>
      </x:c>
      <x:c r="C1769" s="70" t="s">
        <x:v>105</x:v>
      </x:c>
      <x:c r="D1769" s="70" t="s">
        <x:v>178</x:v>
      </x:c>
      <x:c r="E1769" s="70" t="s">
        <x:v>763</x:v>
      </x:c>
      <x:c r="F1769" s="70" t="s">
        <x:v>2815</x:v>
      </x:c>
      <x:c r="G1769" s="70" t="s">
        <x:v>2633</x:v>
      </x:c>
      <x:c r="H1769" s="70" t="s">
        <x:v>849</x:v>
      </x:c>
      <x:c r="I1769" s="70" t="s">
        <x:v>852</x:v>
      </x:c>
      <x:c r="J1769" s="70" t="n">
        <x:v>244</x:v>
      </x:c>
      <x:c r="K1769" s="70" t="s">
        <x:v>834</x:v>
      </x:c>
      <x:c r="L1769" s="70" t="s">
        <x:v>966</x:v>
      </x:c>
      <x:c r="M1769" s="70" t="s">
        <x:v>39</x:v>
      </x:c>
      <x:c r="N1769" s="71" t="n">
        <x:v>43099</x:v>
      </x:c>
      <x:c r="O1769" s="72" t="n">
        <x:f aca="0">N1769/1000</x:f>
        <x:v>43.099</x:v>
      </x:c>
      <x:c r="P1769" s="73" t="n">
        <x:f aca="0">FCCL!H56</x:f>
        <x:v>43.099</x:v>
      </x:c>
      <x:c r="Q1769" s="70" t="str">
        <x:f aca="0">IF(ABS(O1769-P1769)&lt;0.000001,"PASS","FAIL")</x:f>
        <x:v>PASS</x:v>
      </x:c>
      <x:c r="R1769" s="70" t="s">
        <x:v>27</x:v>
      </x:c>
      <x:c r="S1769" s="70"/>
    </x:row>
    <x:row r="1770" ht="15" hidden="0">
      <x:c r="A1770" s="70" t="s">
        <x:v>2821</x:v>
      </x:c>
      <x:c r="B1770" s="70" t="s">
        <x:v>45</x:v>
      </x:c>
      <x:c r="C1770" s="70" t="s">
        <x:v>717</x:v>
      </x:c>
      <x:c r="D1770" s="70" t="s">
        <x:v>180</x:v>
      </x:c>
      <x:c r="E1770" s="70" t="s">
        <x:v>763</x:v>
      </x:c>
      <x:c r="F1770" s="70"/>
      <x:c r="G1770" s="70" t="s">
        <x:v>2624</x:v>
      </x:c>
      <x:c r="H1770" s="70" t="s">
        <x:v>832</x:v>
      </x:c>
      <x:c r="I1770" s="70" t="s">
        <x:v>833</x:v>
      </x:c>
      <x:c r="J1770" s="70" t="n">
        <x:v>164</x:v>
      </x:c>
      <x:c r="K1770" s="70" t="s">
        <x:v>2613</x:v>
      </x:c>
      <x:c r="L1770" s="70"/>
      <x:c r="M1770" s="70" t="s">
        <x:v>39</x:v>
      </x:c>
      <x:c r="N1770" s="71" t="n">
        <x:v>0</x:v>
      </x:c>
      <x:c r="O1770" s="72" t="n">
        <x:f aca="0">N1770/1000</x:f>
        <x:v>0</x:v>
      </x:c>
      <x:c r="P1770" s="73" t="n">
        <x:f aca="0">FCCL!C57</x:f>
        <x:v>0</x:v>
      </x:c>
      <x:c r="Q1770" s="70" t="str">
        <x:f aca="0">IF(ABS(O1770-P1770)&lt;0.000001,"PASS","FAIL")</x:f>
        <x:v>PASS</x:v>
      </x:c>
      <x:c r="R1770" s="70" t="s">
        <x:v>27</x:v>
      </x:c>
      <x:c r="S1770" s="70"/>
    </x:row>
    <x:row r="1771" ht="15" hidden="0">
      <x:c r="A1771" s="70" t="s">
        <x:v>2822</x:v>
      </x:c>
      <x:c r="B1771" s="70" t="s">
        <x:v>45</x:v>
      </x:c>
      <x:c r="C1771" s="70" t="s">
        <x:v>101</x:v>
      </x:c>
      <x:c r="D1771" s="70" t="s">
        <x:v>180</x:v>
      </x:c>
      <x:c r="E1771" s="70" t="s">
        <x:v>763</x:v>
      </x:c>
      <x:c r="F1771" s="70" t="s">
        <x:v>2823</x:v>
      </x:c>
      <x:c r="G1771" s="70" t="s">
        <x:v>2626</x:v>
      </x:c>
      <x:c r="H1771" s="70" t="s">
        <x:v>838</x:v>
      </x:c>
      <x:c r="I1771" s="70" t="s">
        <x:v>833</x:v>
      </x:c>
      <x:c r="J1771" s="70" t="n">
        <x:v>186</x:v>
      </x:c>
      <x:c r="K1771" s="70" t="s">
        <x:v>1761</x:v>
      </x:c>
      <x:c r="L1771" s="70" t="s">
        <x:v>1355</x:v>
      </x:c>
      <x:c r="M1771" s="70" t="s">
        <x:v>39</x:v>
      </x:c>
      <x:c r="N1771" s="71" t="n">
        <x:v>15654</x:v>
      </x:c>
      <x:c r="O1771" s="72" t="n">
        <x:f aca="0">N1771/1000</x:f>
        <x:v>15.654</x:v>
      </x:c>
      <x:c r="P1771" s="73" t="n">
        <x:f aca="0">FCCL!D57</x:f>
        <x:v>15.654</x:v>
      </x:c>
      <x:c r="Q1771" s="70" t="str">
        <x:f aca="0">IF(ABS(O1771-P1771)&lt;0.000001,"PASS","FAIL")</x:f>
        <x:v>PASS</x:v>
      </x:c>
      <x:c r="R1771" s="70" t="s">
        <x:v>27</x:v>
      </x:c>
      <x:c r="S1771" s="70" t="s">
        <x:v>839</x:v>
      </x:c>
    </x:row>
    <x:row r="1772" ht="15" hidden="0">
      <x:c r="A1772" s="70" t="s">
        <x:v>2824</x:v>
      </x:c>
      <x:c r="B1772" s="70" t="s">
        <x:v>45</x:v>
      </x:c>
      <x:c r="C1772" s="70" t="s">
        <x:v>102</x:v>
      </x:c>
      <x:c r="D1772" s="70" t="s">
        <x:v>180</x:v>
      </x:c>
      <x:c r="E1772" s="70" t="s">
        <x:v>763</x:v>
      </x:c>
      <x:c r="F1772" s="70" t="s">
        <x:v>2823</x:v>
      </x:c>
      <x:c r="G1772" s="70" t="s">
        <x:v>2628</x:v>
      </x:c>
      <x:c r="H1772" s="70" t="s">
        <x:v>842</x:v>
      </x:c>
      <x:c r="I1772" s="70" t="s">
        <x:v>833</x:v>
      </x:c>
      <x:c r="J1772" s="70" t="n">
        <x:v>208</x:v>
      </x:c>
      <x:c r="K1772" s="70" t="s">
        <x:v>2102</x:v>
      </x:c>
      <x:c r="L1772" s="70" t="s">
        <x:v>1342</x:v>
      </x:c>
      <x:c r="M1772" s="70" t="s">
        <x:v>39</x:v>
      </x:c>
      <x:c r="N1772" s="71" t="n">
        <x:v>366464</x:v>
      </x:c>
      <x:c r="O1772" s="72" t="n">
        <x:f aca="0">N1772/1000</x:f>
        <x:v>366.464</x:v>
      </x:c>
      <x:c r="P1772" s="73" t="n">
        <x:f aca="0">FCCL!E57</x:f>
        <x:v>366.464</x:v>
      </x:c>
      <x:c r="Q1772" s="70" t="str">
        <x:f aca="0">IF(ABS(O1772-P1772)&lt;0.000001,"PASS","FAIL")</x:f>
        <x:v>PASS</x:v>
      </x:c>
      <x:c r="R1772" s="70" t="s">
        <x:v>27</x:v>
      </x:c>
      <x:c r="S1772" s="70"/>
    </x:row>
    <x:row r="1773" ht="15" hidden="0">
      <x:c r="A1773" s="70" t="s">
        <x:v>2825</x:v>
      </x:c>
      <x:c r="B1773" s="70" t="s">
        <x:v>45</x:v>
      </x:c>
      <x:c r="C1773" s="70" t="s">
        <x:v>103</x:v>
      </x:c>
      <x:c r="D1773" s="70" t="s">
        <x:v>180</x:v>
      </x:c>
      <x:c r="E1773" s="70" t="s">
        <x:v>763</x:v>
      </x:c>
      <x:c r="F1773" s="70" t="s">
        <x:v>2823</x:v>
      </x:c>
      <x:c r="G1773" s="70" t="s">
        <x:v>2631</x:v>
      </x:c>
      <x:c r="H1773" s="70" t="s">
        <x:v>845</x:v>
      </x:c>
      <x:c r="I1773" s="70" t="s">
        <x:v>833</x:v>
      </x:c>
      <x:c r="J1773" s="70" t="n">
        <x:v>190</x:v>
      </x:c>
      <x:c r="K1773" s="70" t="s">
        <x:v>1765</x:v>
      </x:c>
      <x:c r="L1773" s="70" t="s">
        <x:v>1342</x:v>
      </x:c>
      <x:c r="M1773" s="70" t="s">
        <x:v>39</x:v>
      </x:c>
      <x:c r="N1773" s="71" t="n">
        <x:v>604292</x:v>
      </x:c>
      <x:c r="O1773" s="72" t="n">
        <x:f aca="0">N1773/1000</x:f>
        <x:v>604.292</x:v>
      </x:c>
      <x:c r="P1773" s="73" t="n">
        <x:f aca="0">FCCL!F57</x:f>
        <x:v>604.292</x:v>
      </x:c>
      <x:c r="Q1773" s="70" t="str">
        <x:f aca="0">IF(ABS(O1773-P1773)&lt;0.000001,"PASS","FAIL")</x:f>
        <x:v>PASS</x:v>
      </x:c>
      <x:c r="R1773" s="70" t="s">
        <x:v>27</x:v>
      </x:c>
      <x:c r="S1773" s="70"/>
    </x:row>
    <x:row r="1774" ht="15" hidden="0">
      <x:c r="A1774" s="70" t="s">
        <x:v>2826</x:v>
      </x:c>
      <x:c r="B1774" s="70" t="s">
        <x:v>45</x:v>
      </x:c>
      <x:c r="C1774" s="70" t="s">
        <x:v>104</x:v>
      </x:c>
      <x:c r="D1774" s="70" t="s">
        <x:v>180</x:v>
      </x:c>
      <x:c r="E1774" s="70" t="s">
        <x:v>763</x:v>
      </x:c>
      <x:c r="F1774" s="70" t="s">
        <x:v>2823</x:v>
      </x:c>
      <x:c r="G1774" s="70" t="s">
        <x:v>2633</x:v>
      </x:c>
      <x:c r="H1774" s="70" t="s">
        <x:v>849</x:v>
      </x:c>
      <x:c r="I1774" s="70" t="s">
        <x:v>833</x:v>
      </x:c>
      <x:c r="J1774" s="70" t="n">
        <x:v>244</x:v>
      </x:c>
      <x:c r="K1774" s="70" t="s">
        <x:v>834</x:v>
      </x:c>
      <x:c r="L1774" s="70" t="s">
        <x:v>966</x:v>
      </x:c>
      <x:c r="M1774" s="70" t="s">
        <x:v>39</x:v>
      </x:c>
      <x:c r="N1774" s="71" t="n">
        <x:v>580891</x:v>
      </x:c>
      <x:c r="O1774" s="72" t="n">
        <x:f aca="0">N1774/1000</x:f>
        <x:v>580.891</x:v>
      </x:c>
      <x:c r="P1774" s="73" t="n">
        <x:f aca="0">FCCL!G57</x:f>
        <x:v>580.891</x:v>
      </x:c>
      <x:c r="Q1774" s="70" t="str">
        <x:f aca="0">IF(ABS(O1774-P1774)&lt;0.000001,"PASS","FAIL")</x:f>
        <x:v>PASS</x:v>
      </x:c>
      <x:c r="R1774" s="70" t="s">
        <x:v>27</x:v>
      </x:c>
      <x:c r="S1774" s="70"/>
    </x:row>
    <x:row r="1775" ht="15" hidden="0">
      <x:c r="A1775" s="70" t="s">
        <x:v>2827</x:v>
      </x:c>
      <x:c r="B1775" s="70" t="s">
        <x:v>45</x:v>
      </x:c>
      <x:c r="C1775" s="70" t="s">
        <x:v>105</x:v>
      </x:c>
      <x:c r="D1775" s="70" t="s">
        <x:v>180</x:v>
      </x:c>
      <x:c r="E1775" s="70" t="s">
        <x:v>763</x:v>
      </x:c>
      <x:c r="F1775" s="70" t="s">
        <x:v>2823</x:v>
      </x:c>
      <x:c r="G1775" s="70" t="s">
        <x:v>2633</x:v>
      </x:c>
      <x:c r="H1775" s="70" t="s">
        <x:v>849</x:v>
      </x:c>
      <x:c r="I1775" s="70" t="s">
        <x:v>852</x:v>
      </x:c>
      <x:c r="J1775" s="70" t="n">
        <x:v>244</x:v>
      </x:c>
      <x:c r="K1775" s="70" t="s">
        <x:v>834</x:v>
      </x:c>
      <x:c r="L1775" s="70" t="s">
        <x:v>966</x:v>
      </x:c>
      <x:c r="M1775" s="70" t="s">
        <x:v>39</x:v>
      </x:c>
      <x:c r="N1775" s="71" t="n">
        <x:v>515175</x:v>
      </x:c>
      <x:c r="O1775" s="72" t="n">
        <x:f aca="0">N1775/1000</x:f>
        <x:v>515.175</x:v>
      </x:c>
      <x:c r="P1775" s="73" t="n">
        <x:f aca="0">FCCL!H57</x:f>
        <x:v>515.175</x:v>
      </x:c>
      <x:c r="Q1775" s="70" t="str">
        <x:f aca="0">IF(ABS(O1775-P1775)&lt;0.000001,"PASS","FAIL")</x:f>
        <x:v>PASS</x:v>
      </x:c>
      <x:c r="R1775" s="70" t="s">
        <x:v>27</x:v>
      </x:c>
      <x:c r="S1775" s="70"/>
    </x:row>
    <x:row r="1776" ht="15" hidden="0">
      <x:c r="A1776" s="70" t="s">
        <x:v>2828</x:v>
      </x:c>
      <x:c r="B1776" s="70" t="s">
        <x:v>45</x:v>
      </x:c>
      <x:c r="C1776" s="70" t="s">
        <x:v>717</x:v>
      </x:c>
      <x:c r="D1776" s="70" t="s">
        <x:v>182</x:v>
      </x:c>
      <x:c r="E1776" s="70" t="s">
        <x:v>763</x:v>
      </x:c>
      <x:c r="F1776" s="70" t="s">
        <x:v>1509</x:v>
      </x:c>
      <x:c r="G1776" s="70" t="s">
        <x:v>2624</x:v>
      </x:c>
      <x:c r="H1776" s="70" t="s">
        <x:v>832</x:v>
      </x:c>
      <x:c r="I1776" s="70" t="s">
        <x:v>833</x:v>
      </x:c>
      <x:c r="J1776" s="70" t="n">
        <x:v>164</x:v>
      </x:c>
      <x:c r="K1776" s="70" t="s">
        <x:v>2613</x:v>
      </x:c>
      <x:c r="L1776" s="70"/>
      <x:c r="M1776" s="70" t="s">
        <x:v>39</x:v>
      </x:c>
      <x:c r="N1776" s="71" t="n">
        <x:v>40051</x:v>
      </x:c>
      <x:c r="O1776" s="72" t="n">
        <x:f aca="0">N1776/1000</x:f>
        <x:v>40.051</x:v>
      </x:c>
      <x:c r="P1776" s="73" t="n">
        <x:f aca="0">FCCL!C58</x:f>
        <x:v>40.051</x:v>
      </x:c>
      <x:c r="Q1776" s="70" t="str">
        <x:f aca="0">IF(ABS(O1776-P1776)&lt;0.000001,"PASS","FAIL")</x:f>
        <x:v>PASS</x:v>
      </x:c>
      <x:c r="R1776" s="70" t="s">
        <x:v>27</x:v>
      </x:c>
      <x:c r="S1776" s="70"/>
    </x:row>
    <x:row r="1777" ht="15" hidden="0">
      <x:c r="A1777" s="70" t="s">
        <x:v>2829</x:v>
      </x:c>
      <x:c r="B1777" s="70" t="s">
        <x:v>45</x:v>
      </x:c>
      <x:c r="C1777" s="70" t="s">
        <x:v>101</x:v>
      </x:c>
      <x:c r="D1777" s="70" t="s">
        <x:v>182</x:v>
      </x:c>
      <x:c r="E1777" s="70" t="s">
        <x:v>763</x:v>
      </x:c>
      <x:c r="F1777" s="70" t="s">
        <x:v>1509</x:v>
      </x:c>
      <x:c r="G1777" s="70" t="s">
        <x:v>2626</x:v>
      </x:c>
      <x:c r="H1777" s="70" t="s">
        <x:v>838</x:v>
      </x:c>
      <x:c r="I1777" s="70" t="s">
        <x:v>833</x:v>
      </x:c>
      <x:c r="J1777" s="70" t="n">
        <x:v>186</x:v>
      </x:c>
      <x:c r="K1777" s="70" t="s">
        <x:v>1761</x:v>
      </x:c>
      <x:c r="L1777" s="70"/>
      <x:c r="M1777" s="70" t="s">
        <x:v>39</x:v>
      </x:c>
      <x:c r="N1777" s="71" t="n">
        <x:v>38479</x:v>
      </x:c>
      <x:c r="O1777" s="72" t="n">
        <x:f aca="0">N1777/1000</x:f>
        <x:v>38.479</x:v>
      </x:c>
      <x:c r="P1777" s="73" t="n">
        <x:f aca="0">FCCL!D58</x:f>
        <x:v>38.479</x:v>
      </x:c>
      <x:c r="Q1777" s="70" t="str">
        <x:f aca="0">IF(ABS(O1777-P1777)&lt;0.000001,"PASS","FAIL")</x:f>
        <x:v>PASS</x:v>
      </x:c>
      <x:c r="R1777" s="70" t="s">
        <x:v>27</x:v>
      </x:c>
      <x:c r="S1777" s="70"/>
    </x:row>
    <x:row r="1778" ht="15" hidden="0">
      <x:c r="A1778" s="70" t="s">
        <x:v>2830</x:v>
      </x:c>
      <x:c r="B1778" s="70" t="s">
        <x:v>45</x:v>
      </x:c>
      <x:c r="C1778" s="70" t="s">
        <x:v>102</x:v>
      </x:c>
      <x:c r="D1778" s="70" t="s">
        <x:v>182</x:v>
      </x:c>
      <x:c r="E1778" s="70" t="s">
        <x:v>763</x:v>
      </x:c>
      <x:c r="F1778" s="70" t="s">
        <x:v>1509</x:v>
      </x:c>
      <x:c r="G1778" s="70" t="s">
        <x:v>2628</x:v>
      </x:c>
      <x:c r="H1778" s="70" t="s">
        <x:v>842</x:v>
      </x:c>
      <x:c r="I1778" s="70" t="s">
        <x:v>833</x:v>
      </x:c>
      <x:c r="J1778" s="70" t="n">
        <x:v>208</x:v>
      </x:c>
      <x:c r="K1778" s="70" t="s">
        <x:v>2102</x:v>
      </x:c>
      <x:c r="L1778" s="70"/>
      <x:c r="M1778" s="70" t="s">
        <x:v>39</x:v>
      </x:c>
      <x:c r="N1778" s="71" t="n">
        <x:v>37157</x:v>
      </x:c>
      <x:c r="O1778" s="72" t="n">
        <x:f aca="0">N1778/1000</x:f>
        <x:v>37.157</x:v>
      </x:c>
      <x:c r="P1778" s="73" t="n">
        <x:f aca="0">FCCL!E58</x:f>
        <x:v>37.157</x:v>
      </x:c>
      <x:c r="Q1778" s="70" t="str">
        <x:f aca="0">IF(ABS(O1778-P1778)&lt;0.000001,"PASS","FAIL")</x:f>
        <x:v>PASS</x:v>
      </x:c>
      <x:c r="R1778" s="70" t="s">
        <x:v>27</x:v>
      </x:c>
      <x:c r="S1778" s="70"/>
    </x:row>
    <x:row r="1779" ht="15" hidden="0">
      <x:c r="A1779" s="70" t="s">
        <x:v>2831</x:v>
      </x:c>
      <x:c r="B1779" s="70" t="s">
        <x:v>45</x:v>
      </x:c>
      <x:c r="C1779" s="70" t="s">
        <x:v>103</x:v>
      </x:c>
      <x:c r="D1779" s="70" t="s">
        <x:v>182</x:v>
      </x:c>
      <x:c r="E1779" s="70" t="s">
        <x:v>763</x:v>
      </x:c>
      <x:c r="F1779" s="70" t="s">
        <x:v>1509</x:v>
      </x:c>
      <x:c r="G1779" s="70" t="s">
        <x:v>2631</x:v>
      </x:c>
      <x:c r="H1779" s="70" t="s">
        <x:v>845</x:v>
      </x:c>
      <x:c r="I1779" s="70" t="s">
        <x:v>833</x:v>
      </x:c>
      <x:c r="J1779" s="70" t="n">
        <x:v>190</x:v>
      </x:c>
      <x:c r="K1779" s="70" t="s">
        <x:v>1765</x:v>
      </x:c>
      <x:c r="L1779" s="70"/>
      <x:c r="M1779" s="70" t="s">
        <x:v>39</x:v>
      </x:c>
      <x:c r="N1779" s="71" t="n">
        <x:v>36001</x:v>
      </x:c>
      <x:c r="O1779" s="72" t="n">
        <x:f aca="0">N1779/1000</x:f>
        <x:v>36.001</x:v>
      </x:c>
      <x:c r="P1779" s="73" t="n">
        <x:f aca="0">FCCL!F58</x:f>
        <x:v>36.001</x:v>
      </x:c>
      <x:c r="Q1779" s="70" t="str">
        <x:f aca="0">IF(ABS(O1779-P1779)&lt;0.000001,"PASS","FAIL")</x:f>
        <x:v>PASS</x:v>
      </x:c>
      <x:c r="R1779" s="70" t="s">
        <x:v>27</x:v>
      </x:c>
      <x:c r="S1779" s="70"/>
    </x:row>
    <x:row r="1780" ht="15" hidden="0">
      <x:c r="A1780" s="70" t="s">
        <x:v>2832</x:v>
      </x:c>
      <x:c r="B1780" s="70" t="s">
        <x:v>45</x:v>
      </x:c>
      <x:c r="C1780" s="70" t="s">
        <x:v>104</x:v>
      </x:c>
      <x:c r="D1780" s="70" t="s">
        <x:v>182</x:v>
      </x:c>
      <x:c r="E1780" s="70" t="s">
        <x:v>763</x:v>
      </x:c>
      <x:c r="F1780" s="70" t="s">
        <x:v>1509</x:v>
      </x:c>
      <x:c r="G1780" s="70" t="s">
        <x:v>2633</x:v>
      </x:c>
      <x:c r="H1780" s="70" t="s">
        <x:v>849</x:v>
      </x:c>
      <x:c r="I1780" s="70" t="s">
        <x:v>833</x:v>
      </x:c>
      <x:c r="J1780" s="70" t="n">
        <x:v>244</x:v>
      </x:c>
      <x:c r="K1780" s="70" t="s">
        <x:v>834</x:v>
      </x:c>
      <x:c r="L1780" s="70"/>
      <x:c r="M1780" s="70" t="s">
        <x:v>39</x:v>
      </x:c>
      <x:c r="N1780" s="71" t="n">
        <x:v>35646</x:v>
      </x:c>
      <x:c r="O1780" s="72" t="n">
        <x:f aca="0">N1780/1000</x:f>
        <x:v>35.646</x:v>
      </x:c>
      <x:c r="P1780" s="73" t="n">
        <x:f aca="0">FCCL!G58</x:f>
        <x:v>35.646</x:v>
      </x:c>
      <x:c r="Q1780" s="70" t="str">
        <x:f aca="0">IF(ABS(O1780-P1780)&lt;0.000001,"PASS","FAIL")</x:f>
        <x:v>PASS</x:v>
      </x:c>
      <x:c r="R1780" s="70" t="s">
        <x:v>27</x:v>
      </x:c>
      <x:c r="S1780" s="70"/>
    </x:row>
    <x:row r="1781" ht="15" hidden="0">
      <x:c r="A1781" s="70" t="s">
        <x:v>2833</x:v>
      </x:c>
      <x:c r="B1781" s="70" t="s">
        <x:v>45</x:v>
      </x:c>
      <x:c r="C1781" s="70" t="s">
        <x:v>105</x:v>
      </x:c>
      <x:c r="D1781" s="70" t="s">
        <x:v>182</x:v>
      </x:c>
      <x:c r="E1781" s="70" t="s">
        <x:v>763</x:v>
      </x:c>
      <x:c r="F1781" s="70" t="s">
        <x:v>1509</x:v>
      </x:c>
      <x:c r="G1781" s="70" t="s">
        <x:v>2633</x:v>
      </x:c>
      <x:c r="H1781" s="70" t="s">
        <x:v>849</x:v>
      </x:c>
      <x:c r="I1781" s="70" t="s">
        <x:v>852</x:v>
      </x:c>
      <x:c r="J1781" s="70" t="n">
        <x:v>244</x:v>
      </x:c>
      <x:c r="K1781" s="70" t="s">
        <x:v>834</x:v>
      </x:c>
      <x:c r="L1781" s="70"/>
      <x:c r="M1781" s="70" t="s">
        <x:v>39</x:v>
      </x:c>
      <x:c r="N1781" s="71" t="n">
        <x:v>41182</x:v>
      </x:c>
      <x:c r="O1781" s="72" t="n">
        <x:f aca="0">N1781/1000</x:f>
        <x:v>41.182</x:v>
      </x:c>
      <x:c r="P1781" s="73" t="n">
        <x:f aca="0">FCCL!H58</x:f>
        <x:v>41.182</x:v>
      </x:c>
      <x:c r="Q1781" s="70" t="str">
        <x:f aca="0">IF(ABS(O1781-P1781)&lt;0.000001,"PASS","FAIL")</x:f>
        <x:v>PASS</x:v>
      </x:c>
      <x:c r="R1781" s="70" t="s">
        <x:v>27</x:v>
      </x:c>
      <x:c r="S1781" s="70"/>
    </x:row>
    <x:row r="1782" ht="15" hidden="0">
      <x:c r="A1782" s="70" t="s">
        <x:v>2834</x:v>
      </x:c>
      <x:c r="B1782" s="70" t="s">
        <x:v>45</x:v>
      </x:c>
      <x:c r="C1782" s="70" t="s">
        <x:v>717</x:v>
      </x:c>
      <x:c r="D1782" s="70" t="s">
        <x:v>184</x:v>
      </x:c>
      <x:c r="E1782" s="70" t="s">
        <x:v>763</x:v>
      </x:c>
      <x:c r="F1782" s="70"/>
      <x:c r="G1782" s="70" t="s">
        <x:v>2624</x:v>
      </x:c>
      <x:c r="H1782" s="70" t="s">
        <x:v>832</x:v>
      </x:c>
      <x:c r="I1782" s="70" t="s">
        <x:v>833</x:v>
      </x:c>
      <x:c r="J1782" s="70" t="n">
        <x:v>164</x:v>
      </x:c>
      <x:c r="K1782" s="70" t="s">
        <x:v>2613</x:v>
      </x:c>
      <x:c r="L1782" s="70"/>
      <x:c r="M1782" s="70" t="s">
        <x:v>39</x:v>
      </x:c>
      <x:c r="N1782" s="71" t="n">
        <x:v>0</x:v>
      </x:c>
      <x:c r="O1782" s="72" t="n">
        <x:f aca="0">N1782/1000</x:f>
        <x:v>0</x:v>
      </x:c>
      <x:c r="P1782" s="73" t="n">
        <x:f aca="0">FCCL!C59</x:f>
        <x:v>0</x:v>
      </x:c>
      <x:c r="Q1782" s="70" t="str">
        <x:f aca="0">IF(ABS(O1782-P1782)&lt;0.000001,"PASS","FAIL")</x:f>
        <x:v>PASS</x:v>
      </x:c>
      <x:c r="R1782" s="70" t="s">
        <x:v>27</x:v>
      </x:c>
      <x:c r="S1782" s="70"/>
    </x:row>
    <x:row r="1783" ht="15" hidden="0">
      <x:c r="A1783" s="70" t="s">
        <x:v>2835</x:v>
      </x:c>
      <x:c r="B1783" s="70" t="s">
        <x:v>45</x:v>
      </x:c>
      <x:c r="C1783" s="70" t="s">
        <x:v>101</x:v>
      </x:c>
      <x:c r="D1783" s="70" t="s">
        <x:v>184</x:v>
      </x:c>
      <x:c r="E1783" s="70" t="s">
        <x:v>763</x:v>
      </x:c>
      <x:c r="F1783" s="70"/>
      <x:c r="G1783" s="70" t="s">
        <x:v>2626</x:v>
      </x:c>
      <x:c r="H1783" s="70" t="s">
        <x:v>838</x:v>
      </x:c>
      <x:c r="I1783" s="70" t="s">
        <x:v>833</x:v>
      </x:c>
      <x:c r="J1783" s="70" t="n">
        <x:v>186</x:v>
      </x:c>
      <x:c r="K1783" s="70" t="s">
        <x:v>1761</x:v>
      </x:c>
      <x:c r="L1783" s="70"/>
      <x:c r="M1783" s="70" t="s">
        <x:v>39</x:v>
      </x:c>
      <x:c r="N1783" s="71" t="n">
        <x:v>0</x:v>
      </x:c>
      <x:c r="O1783" s="72" t="n">
        <x:f aca="0">N1783/1000</x:f>
        <x:v>0</x:v>
      </x:c>
      <x:c r="P1783" s="73" t="n">
        <x:f aca="0">FCCL!D59</x:f>
        <x:v>0</x:v>
      </x:c>
      <x:c r="Q1783" s="70" t="str">
        <x:f aca="0">IF(ABS(O1783-P1783)&lt;0.000001,"PASS","FAIL")</x:f>
        <x:v>PASS</x:v>
      </x:c>
      <x:c r="R1783" s="70" t="s">
        <x:v>27</x:v>
      </x:c>
      <x:c r="S1783" s="70"/>
    </x:row>
    <x:row r="1784" ht="15" hidden="0">
      <x:c r="A1784" s="70" t="s">
        <x:v>2836</x:v>
      </x:c>
      <x:c r="B1784" s="70" t="s">
        <x:v>45</x:v>
      </x:c>
      <x:c r="C1784" s="70" t="s">
        <x:v>102</x:v>
      </x:c>
      <x:c r="D1784" s="70" t="s">
        <x:v>184</x:v>
      </x:c>
      <x:c r="E1784" s="70" t="s">
        <x:v>763</x:v>
      </x:c>
      <x:c r="F1784" s="70"/>
      <x:c r="G1784" s="70" t="s">
        <x:v>2628</x:v>
      </x:c>
      <x:c r="H1784" s="70" t="s">
        <x:v>842</x:v>
      </x:c>
      <x:c r="I1784" s="70" t="s">
        <x:v>833</x:v>
      </x:c>
      <x:c r="J1784" s="70" t="n">
        <x:v>208</x:v>
      </x:c>
      <x:c r="K1784" s="70" t="s">
        <x:v>2102</x:v>
      </x:c>
      <x:c r="L1784" s="70"/>
      <x:c r="M1784" s="70" t="s">
        <x:v>39</x:v>
      </x:c>
      <x:c r="N1784" s="71" t="n">
        <x:v>0</x:v>
      </x:c>
      <x:c r="O1784" s="72" t="n">
        <x:f aca="0">N1784/1000</x:f>
        <x:v>0</x:v>
      </x:c>
      <x:c r="P1784" s="73" t="n">
        <x:f aca="0">FCCL!E59</x:f>
        <x:v>0</x:v>
      </x:c>
      <x:c r="Q1784" s="70" t="str">
        <x:f aca="0">IF(ABS(O1784-P1784)&lt;0.000001,"PASS","FAIL")</x:f>
        <x:v>PASS</x:v>
      </x:c>
      <x:c r="R1784" s="70" t="s">
        <x:v>27</x:v>
      </x:c>
      <x:c r="S1784" s="70"/>
    </x:row>
    <x:row r="1785" ht="15" hidden="0">
      <x:c r="A1785" s="70" t="s">
        <x:v>2837</x:v>
      </x:c>
      <x:c r="B1785" s="70" t="s">
        <x:v>45</x:v>
      </x:c>
      <x:c r="C1785" s="70" t="s">
        <x:v>103</x:v>
      </x:c>
      <x:c r="D1785" s="70" t="s">
        <x:v>184</x:v>
      </x:c>
      <x:c r="E1785" s="70" t="s">
        <x:v>763</x:v>
      </x:c>
      <x:c r="F1785" s="70" t="s">
        <x:v>2838</x:v>
      </x:c>
      <x:c r="G1785" s="70" t="s">
        <x:v>2631</x:v>
      </x:c>
      <x:c r="H1785" s="70" t="s">
        <x:v>845</x:v>
      </x:c>
      <x:c r="I1785" s="70" t="s">
        <x:v>833</x:v>
      </x:c>
      <x:c r="J1785" s="70" t="n">
        <x:v>190</x:v>
      </x:c>
      <x:c r="K1785" s="70" t="s">
        <x:v>1765</x:v>
      </x:c>
      <x:c r="L1785" s="70"/>
      <x:c r="M1785" s="70" t="s">
        <x:v>39</x:v>
      </x:c>
      <x:c r="N1785" s="71" t="n">
        <x:v>0</x:v>
      </x:c>
      <x:c r="O1785" s="72" t="n">
        <x:f aca="0">N1785/1000</x:f>
        <x:v>0</x:v>
      </x:c>
      <x:c r="P1785" s="73" t="n">
        <x:f aca="0">FCCL!F59</x:f>
        <x:v>0</x:v>
      </x:c>
      <x:c r="Q1785" s="70" t="str">
        <x:f aca="0">IF(ABS(O1785-P1785)&lt;0.000001,"PASS","FAIL")</x:f>
        <x:v>PASS</x:v>
      </x:c>
      <x:c r="R1785" s="70" t="s">
        <x:v>27</x:v>
      </x:c>
      <x:c r="S1785" s="70"/>
    </x:row>
    <x:row r="1786" ht="15" hidden="0">
      <x:c r="A1786" s="70" t="s">
        <x:v>2839</x:v>
      </x:c>
      <x:c r="B1786" s="70" t="s">
        <x:v>45</x:v>
      </x:c>
      <x:c r="C1786" s="70" t="s">
        <x:v>104</x:v>
      </x:c>
      <x:c r="D1786" s="70" t="s">
        <x:v>184</x:v>
      </x:c>
      <x:c r="E1786" s="70" t="s">
        <x:v>763</x:v>
      </x:c>
      <x:c r="F1786" s="70" t="s">
        <x:v>2840</x:v>
      </x:c>
      <x:c r="G1786" s="70" t="s">
        <x:v>2633</x:v>
      </x:c>
      <x:c r="H1786" s="70" t="s">
        <x:v>849</x:v>
      </x:c>
      <x:c r="I1786" s="70" t="s">
        <x:v>833</x:v>
      </x:c>
      <x:c r="J1786" s="70" t="n">
        <x:v>244</x:v>
      </x:c>
      <x:c r="K1786" s="70" t="s">
        <x:v>834</x:v>
      </x:c>
      <x:c r="L1786" s="70"/>
      <x:c r="M1786" s="70" t="s">
        <x:v>39</x:v>
      </x:c>
      <x:c r="N1786" s="71" t="n">
        <x:v>56810</x:v>
      </x:c>
      <x:c r="O1786" s="72" t="n">
        <x:f aca="0">N1786/1000</x:f>
        <x:v>56.81</x:v>
      </x:c>
      <x:c r="P1786" s="73" t="n">
        <x:f aca="0">FCCL!G59</x:f>
        <x:v>56.81</x:v>
      </x:c>
      <x:c r="Q1786" s="70" t="str">
        <x:f aca="0">IF(ABS(O1786-P1786)&lt;0.000001,"PASS","FAIL")</x:f>
        <x:v>PASS</x:v>
      </x:c>
      <x:c r="R1786" s="70" t="s">
        <x:v>27</x:v>
      </x:c>
      <x:c r="S1786" s="70"/>
    </x:row>
    <x:row r="1787" ht="15" hidden="0">
      <x:c r="A1787" s="70" t="s">
        <x:v>2841</x:v>
      </x:c>
      <x:c r="B1787" s="70" t="s">
        <x:v>45</x:v>
      </x:c>
      <x:c r="C1787" s="70" t="s">
        <x:v>105</x:v>
      </x:c>
      <x:c r="D1787" s="70" t="s">
        <x:v>184</x:v>
      </x:c>
      <x:c r="E1787" s="70" t="s">
        <x:v>763</x:v>
      </x:c>
      <x:c r="F1787" s="70" t="s">
        <x:v>2840</x:v>
      </x:c>
      <x:c r="G1787" s="70" t="s">
        <x:v>2633</x:v>
      </x:c>
      <x:c r="H1787" s="70" t="s">
        <x:v>849</x:v>
      </x:c>
      <x:c r="I1787" s="70" t="s">
        <x:v>852</x:v>
      </x:c>
      <x:c r="J1787" s="70" t="n">
        <x:v>244</x:v>
      </x:c>
      <x:c r="K1787" s="70" t="s">
        <x:v>834</x:v>
      </x:c>
      <x:c r="L1787" s="70"/>
      <x:c r="M1787" s="70" t="s">
        <x:v>39</x:v>
      </x:c>
      <x:c r="N1787" s="71" t="n">
        <x:v>0</x:v>
      </x:c>
      <x:c r="O1787" s="72" t="n">
        <x:f aca="0">N1787/1000</x:f>
        <x:v>0</x:v>
      </x:c>
      <x:c r="P1787" s="73" t="n">
        <x:f aca="0">FCCL!H59</x:f>
        <x:v>0</x:v>
      </x:c>
      <x:c r="Q1787" s="70" t="str">
        <x:f aca="0">IF(ABS(O1787-P1787)&lt;0.000001,"PASS","FAIL")</x:f>
        <x:v>PASS</x:v>
      </x:c>
      <x:c r="R1787" s="70" t="s">
        <x:v>27</x:v>
      </x:c>
      <x:c r="S1787" s="70"/>
    </x:row>
    <x:row r="1788" ht="15" hidden="0">
      <x:c r="A1788" s="70" t="s">
        <x:v>2842</x:v>
      </x:c>
      <x:c r="B1788" s="70" t="s">
        <x:v>45</x:v>
      </x:c>
      <x:c r="C1788" s="70" t="s">
        <x:v>717</x:v>
      </x:c>
      <x:c r="D1788" s="70" t="s">
        <x:v>186</x:v>
      </x:c>
      <x:c r="E1788" s="70" t="s">
        <x:v>763</x:v>
      </x:c>
      <x:c r="F1788" s="70" t="s">
        <x:v>2843</x:v>
      </x:c>
      <x:c r="G1788" s="70" t="s">
        <x:v>2624</x:v>
      </x:c>
      <x:c r="H1788" s="70" t="s">
        <x:v>832</x:v>
      </x:c>
      <x:c r="I1788" s="70" t="s">
        <x:v>833</x:v>
      </x:c>
      <x:c r="J1788" s="70" t="n">
        <x:v>164</x:v>
      </x:c>
      <x:c r="K1788" s="70" t="s">
        <x:v>2613</x:v>
      </x:c>
      <x:c r="L1788" s="70"/>
      <x:c r="M1788" s="70" t="s">
        <x:v>39</x:v>
      </x:c>
      <x:c r="N1788" s="71" t="n">
        <x:v>1414393</x:v>
      </x:c>
      <x:c r="O1788" s="72" t="n">
        <x:f aca="0">N1788/1000</x:f>
        <x:v>1414.393</x:v>
      </x:c>
      <x:c r="P1788" s="73" t="n">
        <x:f aca="0">FCCL!C60</x:f>
        <x:v>1414.393</x:v>
      </x:c>
      <x:c r="Q1788" s="70" t="str">
        <x:f aca="0">IF(ABS(O1788-P1788)&lt;0.000001,"PASS","FAIL")</x:f>
        <x:v>PASS</x:v>
      </x:c>
      <x:c r="R1788" s="70" t="s">
        <x:v>27</x:v>
      </x:c>
      <x:c r="S1788" s="70"/>
    </x:row>
    <x:row r="1789" ht="15" hidden="0">
      <x:c r="A1789" s="70" t="s">
        <x:v>2844</x:v>
      </x:c>
      <x:c r="B1789" s="70" t="s">
        <x:v>45</x:v>
      </x:c>
      <x:c r="C1789" s="70" t="s">
        <x:v>101</x:v>
      </x:c>
      <x:c r="D1789" s="70" t="s">
        <x:v>186</x:v>
      </x:c>
      <x:c r="E1789" s="70" t="s">
        <x:v>763</x:v>
      </x:c>
      <x:c r="F1789" s="70" t="s">
        <x:v>2843</x:v>
      </x:c>
      <x:c r="G1789" s="70" t="s">
        <x:v>2626</x:v>
      </x:c>
      <x:c r="H1789" s="70" t="s">
        <x:v>838</x:v>
      </x:c>
      <x:c r="I1789" s="70" t="s">
        <x:v>833</x:v>
      </x:c>
      <x:c r="J1789" s="70" t="n">
        <x:v>186</x:v>
      </x:c>
      <x:c r="K1789" s="70" t="s">
        <x:v>1761</x:v>
      </x:c>
      <x:c r="L1789" s="70"/>
      <x:c r="M1789" s="70" t="s">
        <x:v>39</x:v>
      </x:c>
      <x:c r="N1789" s="71" t="n">
        <x:v>1847123</x:v>
      </x:c>
      <x:c r="O1789" s="72" t="n">
        <x:f aca="0">N1789/1000</x:f>
        <x:v>1847.123</x:v>
      </x:c>
      <x:c r="P1789" s="73" t="n">
        <x:f aca="0">FCCL!D60</x:f>
        <x:v>1847.123</x:v>
      </x:c>
      <x:c r="Q1789" s="70" t="str">
        <x:f aca="0">IF(ABS(O1789-P1789)&lt;0.000001,"PASS","FAIL")</x:f>
        <x:v>PASS</x:v>
      </x:c>
      <x:c r="R1789" s="70" t="s">
        <x:v>27</x:v>
      </x:c>
      <x:c r="S1789" s="70"/>
    </x:row>
    <x:row r="1790" ht="15" hidden="0">
      <x:c r="A1790" s="70" t="s">
        <x:v>2845</x:v>
      </x:c>
      <x:c r="B1790" s="70" t="s">
        <x:v>45</x:v>
      </x:c>
      <x:c r="C1790" s="70" t="s">
        <x:v>102</x:v>
      </x:c>
      <x:c r="D1790" s="70" t="s">
        <x:v>186</x:v>
      </x:c>
      <x:c r="E1790" s="70" t="s">
        <x:v>763</x:v>
      </x:c>
      <x:c r="F1790" s="70" t="s">
        <x:v>2843</x:v>
      </x:c>
      <x:c r="G1790" s="70" t="s">
        <x:v>2628</x:v>
      </x:c>
      <x:c r="H1790" s="70" t="s">
        <x:v>842</x:v>
      </x:c>
      <x:c r="I1790" s="70" t="s">
        <x:v>833</x:v>
      </x:c>
      <x:c r="J1790" s="70" t="n">
        <x:v>208</x:v>
      </x:c>
      <x:c r="K1790" s="70" t="s">
        <x:v>2102</x:v>
      </x:c>
      <x:c r="L1790" s="70"/>
      <x:c r="M1790" s="70" t="s">
        <x:v>39</x:v>
      </x:c>
      <x:c r="N1790" s="71" t="n">
        <x:v>4879506</x:v>
      </x:c>
      <x:c r="O1790" s="72" t="n">
        <x:f aca="0">N1790/1000</x:f>
        <x:v>4879.506</x:v>
      </x:c>
      <x:c r="P1790" s="73" t="n">
        <x:f aca="0">FCCL!E60</x:f>
        <x:v>4879.506</x:v>
      </x:c>
      <x:c r="Q1790" s="70" t="str">
        <x:f aca="0">IF(ABS(O1790-P1790)&lt;0.000001,"PASS","FAIL")</x:f>
        <x:v>PASS</x:v>
      </x:c>
      <x:c r="R1790" s="70" t="s">
        <x:v>27</x:v>
      </x:c>
      <x:c r="S1790" s="70"/>
    </x:row>
    <x:row r="1791" ht="15" hidden="0">
      <x:c r="A1791" s="70" t="s">
        <x:v>2846</x:v>
      </x:c>
      <x:c r="B1791" s="70" t="s">
        <x:v>45</x:v>
      </x:c>
      <x:c r="C1791" s="70" t="s">
        <x:v>103</x:v>
      </x:c>
      <x:c r="D1791" s="70" t="s">
        <x:v>186</x:v>
      </x:c>
      <x:c r="E1791" s="70" t="s">
        <x:v>763</x:v>
      </x:c>
      <x:c r="F1791" s="70" t="s">
        <x:v>2843</x:v>
      </x:c>
      <x:c r="G1791" s="70" t="s">
        <x:v>2631</x:v>
      </x:c>
      <x:c r="H1791" s="70" t="s">
        <x:v>845</x:v>
      </x:c>
      <x:c r="I1791" s="70" t="s">
        <x:v>833</x:v>
      </x:c>
      <x:c r="J1791" s="70" t="n">
        <x:v>190</x:v>
      </x:c>
      <x:c r="K1791" s="70" t="s">
        <x:v>1765</x:v>
      </x:c>
      <x:c r="L1791" s="70"/>
      <x:c r="M1791" s="70" t="s">
        <x:v>39</x:v>
      </x:c>
      <x:c r="N1791" s="71" t="n">
        <x:v>4600354</x:v>
      </x:c>
      <x:c r="O1791" s="72" t="n">
        <x:f aca="0">N1791/1000</x:f>
        <x:v>4600.354</x:v>
      </x:c>
      <x:c r="P1791" s="73" t="n">
        <x:f aca="0">FCCL!F60</x:f>
        <x:v>4600.354</x:v>
      </x:c>
      <x:c r="Q1791" s="70" t="str">
        <x:f aca="0">IF(ABS(O1791-P1791)&lt;0.000001,"PASS","FAIL")</x:f>
        <x:v>PASS</x:v>
      </x:c>
      <x:c r="R1791" s="70" t="s">
        <x:v>27</x:v>
      </x:c>
      <x:c r="S1791" s="70"/>
    </x:row>
    <x:row r="1792" ht="15" hidden="0">
      <x:c r="A1792" s="70" t="s">
        <x:v>2847</x:v>
      </x:c>
      <x:c r="B1792" s="70" t="s">
        <x:v>45</x:v>
      </x:c>
      <x:c r="C1792" s="70" t="s">
        <x:v>104</x:v>
      </x:c>
      <x:c r="D1792" s="70" t="s">
        <x:v>186</x:v>
      </x:c>
      <x:c r="E1792" s="70" t="s">
        <x:v>763</x:v>
      </x:c>
      <x:c r="F1792" s="70" t="s">
        <x:v>2848</x:v>
      </x:c>
      <x:c r="G1792" s="70" t="s">
        <x:v>2633</x:v>
      </x:c>
      <x:c r="H1792" s="70" t="s">
        <x:v>849</x:v>
      </x:c>
      <x:c r="I1792" s="70" t="s">
        <x:v>833</x:v>
      </x:c>
      <x:c r="J1792" s="70" t="n">
        <x:v>244</x:v>
      </x:c>
      <x:c r="K1792" s="70" t="s">
        <x:v>834</x:v>
      </x:c>
      <x:c r="L1792" s="70" t="s">
        <x:v>850</x:v>
      </x:c>
      <x:c r="M1792" s="70" t="s">
        <x:v>39</x:v>
      </x:c>
      <x:c r="N1792" s="71" t="n">
        <x:v>5699618</x:v>
      </x:c>
      <x:c r="O1792" s="72" t="n">
        <x:f aca="0">N1792/1000</x:f>
        <x:v>5699.618</x:v>
      </x:c>
      <x:c r="P1792" s="73" t="n">
        <x:f aca="0">FCCL!G60</x:f>
        <x:v>5699.618</x:v>
      </x:c>
      <x:c r="Q1792" s="70" t="str">
        <x:f aca="0">IF(ABS(O1792-P1792)&lt;0.000001,"PASS","FAIL")</x:f>
        <x:v>PASS</x:v>
      </x:c>
      <x:c r="R1792" s="70" t="s">
        <x:v>27</x:v>
      </x:c>
      <x:c r="S1792" s="70" t="s">
        <x:v>839</x:v>
      </x:c>
    </x:row>
    <x:row r="1793" ht="15" hidden="0">
      <x:c r="A1793" s="70" t="s">
        <x:v>2849</x:v>
      </x:c>
      <x:c r="B1793" s="70" t="s">
        <x:v>45</x:v>
      </x:c>
      <x:c r="C1793" s="70" t="s">
        <x:v>105</x:v>
      </x:c>
      <x:c r="D1793" s="70" t="s">
        <x:v>186</x:v>
      </x:c>
      <x:c r="E1793" s="70" t="s">
        <x:v>763</x:v>
      </x:c>
      <x:c r="F1793" s="70" t="s">
        <x:v>2848</x:v>
      </x:c>
      <x:c r="G1793" s="70" t="s">
        <x:v>2633</x:v>
      </x:c>
      <x:c r="H1793" s="70" t="s">
        <x:v>849</x:v>
      </x:c>
      <x:c r="I1793" s="70" t="s">
        <x:v>852</x:v>
      </x:c>
      <x:c r="J1793" s="70" t="n">
        <x:v>244</x:v>
      </x:c>
      <x:c r="K1793" s="70" t="s">
        <x:v>834</x:v>
      </x:c>
      <x:c r="L1793" s="70" t="s">
        <x:v>850</x:v>
      </x:c>
      <x:c r="M1793" s="70" t="s">
        <x:v>39</x:v>
      </x:c>
      <x:c r="N1793" s="71" t="n">
        <x:v>9646744</x:v>
      </x:c>
      <x:c r="O1793" s="72" t="n">
        <x:f aca="0">N1793/1000</x:f>
        <x:v>9646.744</x:v>
      </x:c>
      <x:c r="P1793" s="73" t="n">
        <x:f aca="0">FCCL!H60</x:f>
        <x:v>9646.744</x:v>
      </x:c>
      <x:c r="Q1793" s="70" t="str">
        <x:f aca="0">IF(ABS(O1793-P1793)&lt;0.000001,"PASS","FAIL")</x:f>
        <x:v>PASS</x:v>
      </x:c>
      <x:c r="R1793" s="70" t="s">
        <x:v>27</x:v>
      </x:c>
      <x:c r="S1793" s="70"/>
    </x:row>
    <x:row r="1794" ht="15" hidden="0">
      <x:c r="A1794" s="70" t="s">
        <x:v>2850</x:v>
      </x:c>
      <x:c r="B1794" s="70" t="s">
        <x:v>45</x:v>
      </x:c>
      <x:c r="C1794" s="70" t="s">
        <x:v>717</x:v>
      </x:c>
      <x:c r="D1794" s="70" t="s">
        <x:v>211</x:v>
      </x:c>
      <x:c r="E1794" s="70" t="s">
        <x:v>763</x:v>
      </x:c>
      <x:c r="F1794" s="70"/>
      <x:c r="G1794" s="70" t="s">
        <x:v>2624</x:v>
      </x:c>
      <x:c r="H1794" s="70" t="s">
        <x:v>832</x:v>
      </x:c>
      <x:c r="I1794" s="70" t="s">
        <x:v>833</x:v>
      </x:c>
      <x:c r="J1794" s="70" t="n">
        <x:v>165</x:v>
      </x:c>
      <x:c r="K1794" s="70" t="s">
        <x:v>834</x:v>
      </x:c>
      <x:c r="L1794" s="70"/>
      <x:c r="M1794" s="70" t="s">
        <x:v>39</x:v>
      </x:c>
      <x:c r="N1794" s="71" t="n">
        <x:v>29207916</x:v>
      </x:c>
      <x:c r="O1794" s="72" t="n">
        <x:f aca="0">N1794/1000</x:f>
        <x:v>29207.916</x:v>
      </x:c>
      <x:c r="P1794" s="73" t="n">
        <x:f aca="0">FCCL!C75</x:f>
        <x:v>29207.916</x:v>
      </x:c>
      <x:c r="Q1794" s="70" t="str">
        <x:f aca="0">IF(ABS(O1794-P1794)&lt;0.000001,"PASS","FAIL")</x:f>
        <x:v>PASS</x:v>
      </x:c>
      <x:c r="R1794" s="70" t="s">
        <x:v>27</x:v>
      </x:c>
      <x:c r="S1794" s="70"/>
    </x:row>
    <x:row r="1795" ht="15" hidden="0">
      <x:c r="A1795" s="70" t="s">
        <x:v>2851</x:v>
      </x:c>
      <x:c r="B1795" s="70" t="s">
        <x:v>45</x:v>
      </x:c>
      <x:c r="C1795" s="70" t="s">
        <x:v>101</x:v>
      </x:c>
      <x:c r="D1795" s="70" t="s">
        <x:v>211</x:v>
      </x:c>
      <x:c r="E1795" s="70" t="s">
        <x:v>763</x:v>
      </x:c>
      <x:c r="F1795" s="70"/>
      <x:c r="G1795" s="70" t="s">
        <x:v>2626</x:v>
      </x:c>
      <x:c r="H1795" s="70" t="s">
        <x:v>838</x:v>
      </x:c>
      <x:c r="I1795" s="70" t="s">
        <x:v>833</x:v>
      </x:c>
      <x:c r="J1795" s="70" t="n">
        <x:v>187</x:v>
      </x:c>
      <x:c r="K1795" s="70" t="s">
        <x:v>1942</x:v>
      </x:c>
      <x:c r="L1795" s="70"/>
      <x:c r="M1795" s="70" t="s">
        <x:v>39</x:v>
      </x:c>
      <x:c r="N1795" s="71" t="n">
        <x:v>34052231</x:v>
      </x:c>
      <x:c r="O1795" s="72" t="n">
        <x:f aca="0">N1795/1000</x:f>
        <x:v>34052.231</x:v>
      </x:c>
      <x:c r="P1795" s="73" t="n">
        <x:f aca="0">FCCL!D75</x:f>
        <x:v>34052.231</x:v>
      </x:c>
      <x:c r="Q1795" s="70" t="str">
        <x:f aca="0">IF(ABS(O1795-P1795)&lt;0.000001,"PASS","FAIL")</x:f>
        <x:v>PASS</x:v>
      </x:c>
      <x:c r="R1795" s="70" t="s">
        <x:v>27</x:v>
      </x:c>
      <x:c r="S1795" s="70"/>
    </x:row>
    <x:row r="1796" ht="15" hidden="0">
      <x:c r="A1796" s="70" t="s">
        <x:v>2852</x:v>
      </x:c>
      <x:c r="B1796" s="70" t="s">
        <x:v>45</x:v>
      </x:c>
      <x:c r="C1796" s="70" t="s">
        <x:v>102</x:v>
      </x:c>
      <x:c r="D1796" s="70" t="s">
        <x:v>211</x:v>
      </x:c>
      <x:c r="E1796" s="70" t="s">
        <x:v>763</x:v>
      </x:c>
      <x:c r="F1796" s="70"/>
      <x:c r="G1796" s="70" t="s">
        <x:v>2628</x:v>
      </x:c>
      <x:c r="H1796" s="70" t="s">
        <x:v>842</x:v>
      </x:c>
      <x:c r="I1796" s="70" t="s">
        <x:v>833</x:v>
      </x:c>
      <x:c r="J1796" s="70" t="n">
        <x:v>209</x:v>
      </x:c>
      <x:c r="K1796" s="70" t="s">
        <x:v>2629</x:v>
      </x:c>
      <x:c r="L1796" s="70"/>
      <x:c r="M1796" s="70" t="s">
        <x:v>39</x:v>
      </x:c>
      <x:c r="N1796" s="71" t="n">
        <x:v>113698077</x:v>
      </x:c>
      <x:c r="O1796" s="72" t="n">
        <x:f aca="0">N1796/1000</x:f>
        <x:v>113698.077</x:v>
      </x:c>
      <x:c r="P1796" s="73" t="n">
        <x:f aca="0">FCCL!E75</x:f>
        <x:v>113698.077</x:v>
      </x:c>
      <x:c r="Q1796" s="70" t="str">
        <x:f aca="0">IF(ABS(O1796-P1796)&lt;0.000001,"PASS","FAIL")</x:f>
        <x:v>PASS</x:v>
      </x:c>
      <x:c r="R1796" s="70" t="s">
        <x:v>27</x:v>
      </x:c>
      <x:c r="S1796" s="70"/>
    </x:row>
    <x:row r="1797" ht="15" hidden="0">
      <x:c r="A1797" s="70" t="s">
        <x:v>2853</x:v>
      </x:c>
      <x:c r="B1797" s="70" t="s">
        <x:v>45</x:v>
      </x:c>
      <x:c r="C1797" s="70" t="s">
        <x:v>103</x:v>
      </x:c>
      <x:c r="D1797" s="70" t="s">
        <x:v>211</x:v>
      </x:c>
      <x:c r="E1797" s="70" t="s">
        <x:v>763</x:v>
      </x:c>
      <x:c r="F1797" s="70"/>
      <x:c r="G1797" s="70" t="s">
        <x:v>2631</x:v>
      </x:c>
      <x:c r="H1797" s="70" t="s">
        <x:v>845</x:v>
      </x:c>
      <x:c r="I1797" s="70" t="s">
        <x:v>833</x:v>
      </x:c>
      <x:c r="J1797" s="70" t="n">
        <x:v>191</x:v>
      </x:c>
      <x:c r="K1797" s="70" t="s">
        <x:v>834</x:v>
      </x:c>
      <x:c r="L1797" s="70"/>
      <x:c r="M1797" s="70" t="s">
        <x:v>39</x:v>
      </x:c>
      <x:c r="N1797" s="71" t="n">
        <x:v>138828497</x:v>
      </x:c>
      <x:c r="O1797" s="72" t="n">
        <x:f aca="0">N1797/1000</x:f>
        <x:v>138828.497</x:v>
      </x:c>
      <x:c r="P1797" s="73" t="n">
        <x:f aca="0">FCCL!F75</x:f>
        <x:v>138828.497</x:v>
      </x:c>
      <x:c r="Q1797" s="70" t="str">
        <x:f aca="0">IF(ABS(O1797-P1797)&lt;0.000001,"PASS","FAIL")</x:f>
        <x:v>PASS</x:v>
      </x:c>
      <x:c r="R1797" s="70" t="s">
        <x:v>27</x:v>
      </x:c>
      <x:c r="S1797" s="70"/>
    </x:row>
    <x:row r="1798" ht="15" hidden="0">
      <x:c r="A1798" s="70" t="s">
        <x:v>2854</x:v>
      </x:c>
      <x:c r="B1798" s="70" t="s">
        <x:v>45</x:v>
      </x:c>
      <x:c r="C1798" s="70" t="s">
        <x:v>104</x:v>
      </x:c>
      <x:c r="D1798" s="70" t="s">
        <x:v>211</x:v>
      </x:c>
      <x:c r="E1798" s="70" t="s">
        <x:v>763</x:v>
      </x:c>
      <x:c r="F1798" s="70"/>
      <x:c r="G1798" s="70" t="s">
        <x:v>2633</x:v>
      </x:c>
      <x:c r="H1798" s="70" t="s">
        <x:v>849</x:v>
      </x:c>
      <x:c r="I1798" s="70" t="s">
        <x:v>833</x:v>
      </x:c>
      <x:c r="J1798" s="70" t="n">
        <x:v>245</x:v>
      </x:c>
      <x:c r="K1798" s="70" t="s">
        <x:v>834</x:v>
      </x:c>
      <x:c r="L1798" s="70"/>
      <x:c r="M1798" s="70" t="s">
        <x:v>39</x:v>
      </x:c>
      <x:c r="N1798" s="71" t="n">
        <x:v>147636299</x:v>
      </x:c>
      <x:c r="O1798" s="72" t="n">
        <x:f aca="0">N1798/1000</x:f>
        <x:v>147636.299</x:v>
      </x:c>
      <x:c r="P1798" s="73" t="n">
        <x:f aca="0">FCCL!G75</x:f>
        <x:v>147636.299</x:v>
      </x:c>
      <x:c r="Q1798" s="70" t="str">
        <x:f aca="0">IF(ABS(O1798-P1798)&lt;0.000001,"PASS","FAIL")</x:f>
        <x:v>PASS</x:v>
      </x:c>
      <x:c r="R1798" s="70" t="s">
        <x:v>27</x:v>
      </x:c>
      <x:c r="S1798" s="70"/>
    </x:row>
    <x:row r="1799" ht="15" hidden="0">
      <x:c r="A1799" s="70" t="s">
        <x:v>2855</x:v>
      </x:c>
      <x:c r="B1799" s="70" t="s">
        <x:v>45</x:v>
      </x:c>
      <x:c r="C1799" s="70" t="s">
        <x:v>105</x:v>
      </x:c>
      <x:c r="D1799" s="70" t="s">
        <x:v>211</x:v>
      </x:c>
      <x:c r="E1799" s="70" t="s">
        <x:v>763</x:v>
      </x:c>
      <x:c r="F1799" s="70"/>
      <x:c r="G1799" s="70" t="s">
        <x:v>2633</x:v>
      </x:c>
      <x:c r="H1799" s="70" t="s">
        <x:v>849</x:v>
      </x:c>
      <x:c r="I1799" s="70" t="s">
        <x:v>852</x:v>
      </x:c>
      <x:c r="J1799" s="70" t="n">
        <x:v>245</x:v>
      </x:c>
      <x:c r="K1799" s="70" t="s">
        <x:v>834</x:v>
      </x:c>
      <x:c r="L1799" s="70"/>
      <x:c r="M1799" s="70" t="s">
        <x:v>39</x:v>
      </x:c>
      <x:c r="N1799" s="71" t="n">
        <x:v>160845191</x:v>
      </x:c>
      <x:c r="O1799" s="72" t="n">
        <x:f aca="0">N1799/1000</x:f>
        <x:v>160845.191</x:v>
      </x:c>
      <x:c r="P1799" s="73" t="n">
        <x:f aca="0">FCCL!H75</x:f>
        <x:v>160845.191</x:v>
      </x:c>
      <x:c r="Q1799" s="70" t="str">
        <x:f aca="0">IF(ABS(O1799-P1799)&lt;0.000001,"PASS","FAIL")</x:f>
        <x:v>PASS</x:v>
      </x:c>
      <x:c r="R1799" s="70" t="s">
        <x:v>27</x:v>
      </x:c>
      <x:c r="S1799" s="70"/>
    </x:row>
    <x:row r="1800" ht="15" hidden="0">
      <x:c r="A1800" s="70" t="s">
        <x:v>2856</x:v>
      </x:c>
      <x:c r="B1800" s="70" t="s">
        <x:v>45</x:v>
      </x:c>
      <x:c r="C1800" s="70" t="s">
        <x:v>717</x:v>
      </x:c>
      <x:c r="D1800" s="70" t="s">
        <x:v>213</x:v>
      </x:c>
      <x:c r="E1800" s="70" t="s">
        <x:v>763</x:v>
      </x:c>
      <x:c r="F1800" s="70"/>
      <x:c r="G1800" s="70" t="s">
        <x:v>2624</x:v>
      </x:c>
      <x:c r="H1800" s="70" t="s">
        <x:v>832</x:v>
      </x:c>
      <x:c r="I1800" s="70" t="s">
        <x:v>833</x:v>
      </x:c>
      <x:c r="J1800" s="70" t="n">
        <x:v>164</x:v>
      </x:c>
      <x:c r="K1800" s="70" t="s">
        <x:v>2613</x:v>
      </x:c>
      <x:c r="L1800" s="70"/>
      <x:c r="M1800" s="70" t="s">
        <x:v>39</x:v>
      </x:c>
      <x:c r="N1800" s="71" t="n">
        <x:v>19804320</x:v>
      </x:c>
      <x:c r="O1800" s="72" t="n">
        <x:f aca="0">N1800/1000</x:f>
        <x:v>19804.32</x:v>
      </x:c>
      <x:c r="P1800" s="73" t="n">
        <x:f aca="0">FCCL!C76</x:f>
        <x:v>19804.32</x:v>
      </x:c>
      <x:c r="Q1800" s="70" t="str">
        <x:f aca="0">IF(ABS(O1800-P1800)&lt;0.000001,"PASS","FAIL")</x:f>
        <x:v>PASS</x:v>
      </x:c>
      <x:c r="R1800" s="70" t="s">
        <x:v>27</x:v>
      </x:c>
      <x:c r="S1800" s="70"/>
    </x:row>
    <x:row r="1801" ht="15" hidden="0">
      <x:c r="A1801" s="70" t="s">
        <x:v>2857</x:v>
      </x:c>
      <x:c r="B1801" s="70" t="s">
        <x:v>45</x:v>
      </x:c>
      <x:c r="C1801" s="70" t="s">
        <x:v>101</x:v>
      </x:c>
      <x:c r="D1801" s="70" t="s">
        <x:v>213</x:v>
      </x:c>
      <x:c r="E1801" s="70" t="s">
        <x:v>763</x:v>
      </x:c>
      <x:c r="F1801" s="70"/>
      <x:c r="G1801" s="70" t="s">
        <x:v>2626</x:v>
      </x:c>
      <x:c r="H1801" s="70" t="s">
        <x:v>838</x:v>
      </x:c>
      <x:c r="I1801" s="70" t="s">
        <x:v>833</x:v>
      </x:c>
      <x:c r="J1801" s="70" t="n">
        <x:v>186</x:v>
      </x:c>
      <x:c r="K1801" s="70" t="s">
        <x:v>1761</x:v>
      </x:c>
      <x:c r="L1801" s="70"/>
      <x:c r="M1801" s="70" t="s">
        <x:v>39</x:v>
      </x:c>
      <x:c r="N1801" s="71" t="n">
        <x:v>23275671</x:v>
      </x:c>
      <x:c r="O1801" s="72" t="n">
        <x:f aca="0">N1801/1000</x:f>
        <x:v>23275.671</x:v>
      </x:c>
      <x:c r="P1801" s="73" t="n">
        <x:f aca="0">FCCL!D76</x:f>
        <x:v>23275.671</x:v>
      </x:c>
      <x:c r="Q1801" s="70" t="str">
        <x:f aca="0">IF(ABS(O1801-P1801)&lt;0.000001,"PASS","FAIL")</x:f>
        <x:v>PASS</x:v>
      </x:c>
      <x:c r="R1801" s="70" t="s">
        <x:v>27</x:v>
      </x:c>
      <x:c r="S1801" s="70"/>
    </x:row>
    <x:row r="1802" ht="15" hidden="0">
      <x:c r="A1802" s="70" t="s">
        <x:v>2858</x:v>
      </x:c>
      <x:c r="B1802" s="70" t="s">
        <x:v>45</x:v>
      </x:c>
      <x:c r="C1802" s="70" t="s">
        <x:v>102</x:v>
      </x:c>
      <x:c r="D1802" s="70" t="s">
        <x:v>213</x:v>
      </x:c>
      <x:c r="E1802" s="70" t="s">
        <x:v>763</x:v>
      </x:c>
      <x:c r="F1802" s="70"/>
      <x:c r="G1802" s="70" t="s">
        <x:v>2628</x:v>
      </x:c>
      <x:c r="H1802" s="70" t="s">
        <x:v>842</x:v>
      </x:c>
      <x:c r="I1802" s="70" t="s">
        <x:v>833</x:v>
      </x:c>
      <x:c r="J1802" s="70" t="n">
        <x:v>208</x:v>
      </x:c>
      <x:c r="K1802" s="70" t="s">
        <x:v>2102</x:v>
      </x:c>
      <x:c r="L1802" s="70"/>
      <x:c r="M1802" s="70" t="s">
        <x:v>39</x:v>
      </x:c>
      <x:c r="N1802" s="71" t="n">
        <x:v>57736056</x:v>
      </x:c>
      <x:c r="O1802" s="72" t="n">
        <x:f aca="0">N1802/1000</x:f>
        <x:v>57736.056</x:v>
      </x:c>
      <x:c r="P1802" s="73" t="n">
        <x:f aca="0">FCCL!E76</x:f>
        <x:v>57736.056</x:v>
      </x:c>
      <x:c r="Q1802" s="70" t="str">
        <x:f aca="0">IF(ABS(O1802-P1802)&lt;0.000001,"PASS","FAIL")</x:f>
        <x:v>PASS</x:v>
      </x:c>
      <x:c r="R1802" s="70" t="s">
        <x:v>27</x:v>
      </x:c>
      <x:c r="S1802" s="70"/>
    </x:row>
    <x:row r="1803" ht="15" hidden="0">
      <x:c r="A1803" s="70" t="s">
        <x:v>2859</x:v>
      </x:c>
      <x:c r="B1803" s="70" t="s">
        <x:v>45</x:v>
      </x:c>
      <x:c r="C1803" s="70" t="s">
        <x:v>103</x:v>
      </x:c>
      <x:c r="D1803" s="70" t="s">
        <x:v>213</x:v>
      </x:c>
      <x:c r="E1803" s="70" t="s">
        <x:v>763</x:v>
      </x:c>
      <x:c r="F1803" s="70"/>
      <x:c r="G1803" s="70" t="s">
        <x:v>2631</x:v>
      </x:c>
      <x:c r="H1803" s="70" t="s">
        <x:v>845</x:v>
      </x:c>
      <x:c r="I1803" s="70" t="s">
        <x:v>833</x:v>
      </x:c>
      <x:c r="J1803" s="70" t="n">
        <x:v>190</x:v>
      </x:c>
      <x:c r="K1803" s="70" t="s">
        <x:v>1765</x:v>
      </x:c>
      <x:c r="L1803" s="70"/>
      <x:c r="M1803" s="70" t="s">
        <x:v>39</x:v>
      </x:c>
      <x:c r="N1803" s="71" t="n">
        <x:v>65175737</x:v>
      </x:c>
      <x:c r="O1803" s="72" t="n">
        <x:f aca="0">N1803/1000</x:f>
        <x:v>65175.737</x:v>
      </x:c>
      <x:c r="P1803" s="73" t="n">
        <x:f aca="0">FCCL!F76</x:f>
        <x:v>65175.737</x:v>
      </x:c>
      <x:c r="Q1803" s="70" t="str">
        <x:f aca="0">IF(ABS(O1803-P1803)&lt;0.000001,"PASS","FAIL")</x:f>
        <x:v>PASS</x:v>
      </x:c>
      <x:c r="R1803" s="70" t="s">
        <x:v>27</x:v>
      </x:c>
      <x:c r="S1803" s="70"/>
    </x:row>
    <x:row r="1804" ht="15" hidden="0">
      <x:c r="A1804" s="70" t="s">
        <x:v>2860</x:v>
      </x:c>
      <x:c r="B1804" s="70" t="s">
        <x:v>45</x:v>
      </x:c>
      <x:c r="C1804" s="70" t="s">
        <x:v>104</x:v>
      </x:c>
      <x:c r="D1804" s="70" t="s">
        <x:v>213</x:v>
      </x:c>
      <x:c r="E1804" s="70" t="s">
        <x:v>763</x:v>
      </x:c>
      <x:c r="F1804" s="70"/>
      <x:c r="G1804" s="70" t="s">
        <x:v>2633</x:v>
      </x:c>
      <x:c r="H1804" s="70" t="s">
        <x:v>849</x:v>
      </x:c>
      <x:c r="I1804" s="70" t="s">
        <x:v>833</x:v>
      </x:c>
      <x:c r="J1804" s="70" t="n">
        <x:v>244</x:v>
      </x:c>
      <x:c r="K1804" s="70" t="s">
        <x:v>834</x:v>
      </x:c>
      <x:c r="L1804" s="70"/>
      <x:c r="M1804" s="70" t="s">
        <x:v>39</x:v>
      </x:c>
      <x:c r="N1804" s="71" t="n">
        <x:v>73398853</x:v>
      </x:c>
      <x:c r="O1804" s="72" t="n">
        <x:f aca="0">N1804/1000</x:f>
        <x:v>73398.853</x:v>
      </x:c>
      <x:c r="P1804" s="73" t="n">
        <x:f aca="0">FCCL!G76</x:f>
        <x:v>73398.853</x:v>
      </x:c>
      <x:c r="Q1804" s="70" t="str">
        <x:f aca="0">IF(ABS(O1804-P1804)&lt;0.000001,"PASS","FAIL")</x:f>
        <x:v>PASS</x:v>
      </x:c>
      <x:c r="R1804" s="70" t="s">
        <x:v>27</x:v>
      </x:c>
      <x:c r="S1804" s="70"/>
    </x:row>
    <x:row r="1805" ht="15" hidden="0">
      <x:c r="A1805" s="70" t="s">
        <x:v>2861</x:v>
      </x:c>
      <x:c r="B1805" s="70" t="s">
        <x:v>45</x:v>
      </x:c>
      <x:c r="C1805" s="70" t="s">
        <x:v>105</x:v>
      </x:c>
      <x:c r="D1805" s="70" t="s">
        <x:v>213</x:v>
      </x:c>
      <x:c r="E1805" s="70" t="s">
        <x:v>763</x:v>
      </x:c>
      <x:c r="F1805" s="70"/>
      <x:c r="G1805" s="70" t="s">
        <x:v>2633</x:v>
      </x:c>
      <x:c r="H1805" s="70" t="s">
        <x:v>849</x:v>
      </x:c>
      <x:c r="I1805" s="70" t="s">
        <x:v>852</x:v>
      </x:c>
      <x:c r="J1805" s="70" t="n">
        <x:v>244</x:v>
      </x:c>
      <x:c r="K1805" s="70" t="s">
        <x:v>834</x:v>
      </x:c>
      <x:c r="L1805" s="70"/>
      <x:c r="M1805" s="70" t="s">
        <x:v>39</x:v>
      </x:c>
      <x:c r="N1805" s="71" t="n">
        <x:v>84272208</x:v>
      </x:c>
      <x:c r="O1805" s="72" t="n">
        <x:f aca="0">N1805/1000</x:f>
        <x:v>84272.208</x:v>
      </x:c>
      <x:c r="P1805" s="73" t="n">
        <x:f aca="0">FCCL!H76</x:f>
        <x:v>84272.208</x:v>
      </x:c>
      <x:c r="Q1805" s="70" t="str">
        <x:f aca="0">IF(ABS(O1805-P1805)&lt;0.000001,"PASS","FAIL")</x:f>
        <x:v>PASS</x:v>
      </x:c>
      <x:c r="R1805" s="70" t="s">
        <x:v>27</x:v>
      </x:c>
      <x:c r="S1805" s="70"/>
    </x:row>
    <x:row r="1806" ht="15" hidden="0">
      <x:c r="A1806" s="70" t="s">
        <x:v>2862</x:v>
      </x:c>
      <x:c r="B1806" s="70" t="s">
        <x:v>45</x:v>
      </x:c>
      <x:c r="C1806" s="70" t="s">
        <x:v>717</x:v>
      </x:c>
      <x:c r="D1806" s="70" t="s">
        <x:v>215</x:v>
      </x:c>
      <x:c r="E1806" s="70" t="s">
        <x:v>763</x:v>
      </x:c>
      <x:c r="F1806" s="70"/>
      <x:c r="G1806" s="70" t="s">
        <x:v>2624</x:v>
      </x:c>
      <x:c r="H1806" s="70" t="s">
        <x:v>832</x:v>
      </x:c>
      <x:c r="I1806" s="70" t="s">
        <x:v>833</x:v>
      </x:c>
      <x:c r="J1806" s="70" t="n">
        <x:v>165</x:v>
      </x:c>
      <x:c r="K1806" s="70" t="s">
        <x:v>2613</x:v>
      </x:c>
      <x:c r="L1806" s="70"/>
      <x:c r="M1806" s="70" t="s">
        <x:v>39</x:v>
      </x:c>
      <x:c r="N1806" s="71" t="n">
        <x:v>6983321</x:v>
      </x:c>
      <x:c r="O1806" s="72" t="n">
        <x:f aca="0">N1806/1000</x:f>
        <x:v>6983.321</x:v>
      </x:c>
      <x:c r="P1806" s="73" t="n">
        <x:f aca="0">FCCL!C77</x:f>
        <x:v>6983.321</x:v>
      </x:c>
      <x:c r="Q1806" s="70" t="str">
        <x:f aca="0">IF(ABS(O1806-P1806)&lt;0.000001,"PASS","FAIL")</x:f>
        <x:v>PASS</x:v>
      </x:c>
      <x:c r="R1806" s="70" t="s">
        <x:v>27</x:v>
      </x:c>
      <x:c r="S1806" s="70"/>
    </x:row>
    <x:row r="1807" ht="15" hidden="0">
      <x:c r="A1807" s="70" t="s">
        <x:v>2863</x:v>
      </x:c>
      <x:c r="B1807" s="70" t="s">
        <x:v>45</x:v>
      </x:c>
      <x:c r="C1807" s="70" t="s">
        <x:v>101</x:v>
      </x:c>
      <x:c r="D1807" s="70" t="s">
        <x:v>215</x:v>
      </x:c>
      <x:c r="E1807" s="70" t="s">
        <x:v>763</x:v>
      </x:c>
      <x:c r="F1807" s="70"/>
      <x:c r="G1807" s="70" t="s">
        <x:v>2626</x:v>
      </x:c>
      <x:c r="H1807" s="70" t="s">
        <x:v>838</x:v>
      </x:c>
      <x:c r="I1807" s="70" t="s">
        <x:v>833</x:v>
      </x:c>
      <x:c r="J1807" s="70" t="n">
        <x:v>187</x:v>
      </x:c>
      <x:c r="K1807" s="70" t="s">
        <x:v>1761</x:v>
      </x:c>
      <x:c r="L1807" s="70"/>
      <x:c r="M1807" s="70" t="s">
        <x:v>39</x:v>
      </x:c>
      <x:c r="N1807" s="71" t="n">
        <x:v>12438732</x:v>
      </x:c>
      <x:c r="O1807" s="72" t="n">
        <x:f aca="0">N1807/1000</x:f>
        <x:v>12438.732</x:v>
      </x:c>
      <x:c r="P1807" s="73" t="n">
        <x:f aca="0">FCCL!D77</x:f>
        <x:v>12438.732</x:v>
      </x:c>
      <x:c r="Q1807" s="70" t="str">
        <x:f aca="0">IF(ABS(O1807-P1807)&lt;0.000001,"PASS","FAIL")</x:f>
        <x:v>PASS</x:v>
      </x:c>
      <x:c r="R1807" s="70" t="s">
        <x:v>27</x:v>
      </x:c>
      <x:c r="S1807" s="70"/>
    </x:row>
    <x:row r="1808" ht="15" hidden="0">
      <x:c r="A1808" s="70" t="s">
        <x:v>2864</x:v>
      </x:c>
      <x:c r="B1808" s="70" t="s">
        <x:v>45</x:v>
      </x:c>
      <x:c r="C1808" s="70" t="s">
        <x:v>102</x:v>
      </x:c>
      <x:c r="D1808" s="70" t="s">
        <x:v>215</x:v>
      </x:c>
      <x:c r="E1808" s="70" t="s">
        <x:v>763</x:v>
      </x:c>
      <x:c r="F1808" s="70"/>
      <x:c r="G1808" s="70" t="s">
        <x:v>2628</x:v>
      </x:c>
      <x:c r="H1808" s="70" t="s">
        <x:v>842</x:v>
      </x:c>
      <x:c r="I1808" s="70" t="s">
        <x:v>833</x:v>
      </x:c>
      <x:c r="J1808" s="70" t="n">
        <x:v>208</x:v>
      </x:c>
      <x:c r="K1808" s="70" t="s">
        <x:v>2102</x:v>
      </x:c>
      <x:c r="L1808" s="70"/>
      <x:c r="M1808" s="70" t="s">
        <x:v>39</x:v>
      </x:c>
      <x:c r="N1808" s="71" t="n">
        <x:v>28216812</x:v>
      </x:c>
      <x:c r="O1808" s="72" t="n">
        <x:f aca="0">N1808/1000</x:f>
        <x:v>28216.812</x:v>
      </x:c>
      <x:c r="P1808" s="73" t="n">
        <x:f aca="0">FCCL!E77</x:f>
        <x:v>28216.812</x:v>
      </x:c>
      <x:c r="Q1808" s="70" t="str">
        <x:f aca="0">IF(ABS(O1808-P1808)&lt;0.000001,"PASS","FAIL")</x:f>
        <x:v>PASS</x:v>
      </x:c>
      <x:c r="R1808" s="70" t="s">
        <x:v>27</x:v>
      </x:c>
      <x:c r="S1808" s="70"/>
    </x:row>
    <x:row r="1809" ht="15" hidden="0">
      <x:c r="A1809" s="70" t="s">
        <x:v>2865</x:v>
      </x:c>
      <x:c r="B1809" s="70" t="s">
        <x:v>45</x:v>
      </x:c>
      <x:c r="C1809" s="70" t="s">
        <x:v>103</x:v>
      </x:c>
      <x:c r="D1809" s="70" t="s">
        <x:v>215</x:v>
      </x:c>
      <x:c r="E1809" s="70" t="s">
        <x:v>763</x:v>
      </x:c>
      <x:c r="F1809" s="70"/>
      <x:c r="G1809" s="70" t="s">
        <x:v>2631</x:v>
      </x:c>
      <x:c r="H1809" s="70" t="s">
        <x:v>845</x:v>
      </x:c>
      <x:c r="I1809" s="70" t="s">
        <x:v>833</x:v>
      </x:c>
      <x:c r="J1809" s="70" t="n">
        <x:v>191</x:v>
      </x:c>
      <x:c r="K1809" s="70" t="s">
        <x:v>1765</x:v>
      </x:c>
      <x:c r="L1809" s="70"/>
      <x:c r="M1809" s="70" t="s">
        <x:v>39</x:v>
      </x:c>
      <x:c r="N1809" s="71" t="n">
        <x:v>23134499</x:v>
      </x:c>
      <x:c r="O1809" s="72" t="n">
        <x:f aca="0">N1809/1000</x:f>
        <x:v>23134.499</x:v>
      </x:c>
      <x:c r="P1809" s="73" t="n">
        <x:f aca="0">FCCL!F77</x:f>
        <x:v>23134.499</x:v>
      </x:c>
      <x:c r="Q1809" s="70" t="str">
        <x:f aca="0">IF(ABS(O1809-P1809)&lt;0.000001,"PASS","FAIL")</x:f>
        <x:v>PASS</x:v>
      </x:c>
      <x:c r="R1809" s="70" t="s">
        <x:v>27</x:v>
      </x:c>
      <x:c r="S1809" s="70"/>
    </x:row>
    <x:row r="1810" ht="15" hidden="0">
      <x:c r="A1810" s="70" t="s">
        <x:v>2866</x:v>
      </x:c>
      <x:c r="B1810" s="70" t="s">
        <x:v>45</x:v>
      </x:c>
      <x:c r="C1810" s="70" t="s">
        <x:v>104</x:v>
      </x:c>
      <x:c r="D1810" s="70" t="s">
        <x:v>215</x:v>
      </x:c>
      <x:c r="E1810" s="70" t="s">
        <x:v>763</x:v>
      </x:c>
      <x:c r="F1810" s="70"/>
      <x:c r="G1810" s="70" t="s">
        <x:v>2633</x:v>
      </x:c>
      <x:c r="H1810" s="70" t="s">
        <x:v>849</x:v>
      </x:c>
      <x:c r="I1810" s="70" t="s">
        <x:v>833</x:v>
      </x:c>
      <x:c r="J1810" s="70" t="n">
        <x:v>245</x:v>
      </x:c>
      <x:c r="K1810" s="70" t="s">
        <x:v>834</x:v>
      </x:c>
      <x:c r="L1810" s="70"/>
      <x:c r="M1810" s="70" t="s">
        <x:v>39</x:v>
      </x:c>
      <x:c r="N1810" s="71" t="n">
        <x:v>25784071</x:v>
      </x:c>
      <x:c r="O1810" s="72" t="n">
        <x:f aca="0">N1810/1000</x:f>
        <x:v>25784.071</x:v>
      </x:c>
      <x:c r="P1810" s="73" t="n">
        <x:f aca="0">FCCL!G77</x:f>
        <x:v>25784.071</x:v>
      </x:c>
      <x:c r="Q1810" s="70" t="str">
        <x:f aca="0">IF(ABS(O1810-P1810)&lt;0.000001,"PASS","FAIL")</x:f>
        <x:v>PASS</x:v>
      </x:c>
      <x:c r="R1810" s="70" t="s">
        <x:v>27</x:v>
      </x:c>
      <x:c r="S1810" s="70"/>
    </x:row>
    <x:row r="1811" ht="15" hidden="0">
      <x:c r="A1811" s="70" t="s">
        <x:v>2867</x:v>
      </x:c>
      <x:c r="B1811" s="70" t="s">
        <x:v>45</x:v>
      </x:c>
      <x:c r="C1811" s="70" t="s">
        <x:v>105</x:v>
      </x:c>
      <x:c r="D1811" s="70" t="s">
        <x:v>215</x:v>
      </x:c>
      <x:c r="E1811" s="70" t="s">
        <x:v>763</x:v>
      </x:c>
      <x:c r="F1811" s="70"/>
      <x:c r="G1811" s="70" t="s">
        <x:v>2633</x:v>
      </x:c>
      <x:c r="H1811" s="70" t="s">
        <x:v>849</x:v>
      </x:c>
      <x:c r="I1811" s="70" t="s">
        <x:v>852</x:v>
      </x:c>
      <x:c r="J1811" s="70" t="n">
        <x:v>245</x:v>
      </x:c>
      <x:c r="K1811" s="70" t="s">
        <x:v>834</x:v>
      </x:c>
      <x:c r="L1811" s="70"/>
      <x:c r="M1811" s="70" t="s">
        <x:v>39</x:v>
      </x:c>
      <x:c r="N1811" s="71" t="n">
        <x:v>40472565</x:v>
      </x:c>
      <x:c r="O1811" s="72" t="n">
        <x:f aca="0">N1811/1000</x:f>
        <x:v>40472.565</x:v>
      </x:c>
      <x:c r="P1811" s="73" t="n">
        <x:f aca="0">FCCL!H77</x:f>
        <x:v>40472.565</x:v>
      </x:c>
      <x:c r="Q1811" s="70" t="str">
        <x:f aca="0">IF(ABS(O1811-P1811)&lt;0.000001,"PASS","FAIL")</x:f>
        <x:v>PASS</x:v>
      </x:c>
      <x:c r="R1811" s="70" t="s">
        <x:v>27</x:v>
      </x:c>
      <x:c r="S1811" s="70"/>
    </x:row>
    <x:row r="1812" ht="15" hidden="0">
      <x:c r="A1812" s="70" t="s">
        <x:v>2868</x:v>
      </x:c>
      <x:c r="B1812" s="70" t="s">
        <x:v>45</x:v>
      </x:c>
      <x:c r="C1812" s="70" t="s">
        <x:v>717</x:v>
      </x:c>
      <x:c r="D1812" s="70" t="s">
        <x:v>217</x:v>
      </x:c>
      <x:c r="E1812" s="70" t="s">
        <x:v>763</x:v>
      </x:c>
      <x:c r="F1812" s="70"/>
      <x:c r="G1812" s="70" t="s">
        <x:v>2624</x:v>
      </x:c>
      <x:c r="H1812" s="70" t="s">
        <x:v>832</x:v>
      </x:c>
      <x:c r="I1812" s="70" t="s">
        <x:v>833</x:v>
      </x:c>
      <x:c r="J1812" s="70" t="n">
        <x:v>164</x:v>
      </x:c>
      <x:c r="K1812" s="70" t="s">
        <x:v>2613</x:v>
      </x:c>
      <x:c r="L1812" s="70"/>
      <x:c r="M1812" s="70" t="s">
        <x:v>39</x:v>
      </x:c>
      <x:c r="N1812" s="71" t="n">
        <x:v>5182458</x:v>
      </x:c>
      <x:c r="O1812" s="72" t="n">
        <x:f aca="0">N1812/1000</x:f>
        <x:v>5182.458</x:v>
      </x:c>
      <x:c r="P1812" s="73" t="n">
        <x:f aca="0">FCCL!C78</x:f>
        <x:v>5182.458</x:v>
      </x:c>
      <x:c r="Q1812" s="70" t="str">
        <x:f aca="0">IF(ABS(O1812-P1812)&lt;0.000001,"PASS","FAIL")</x:f>
        <x:v>PASS</x:v>
      </x:c>
      <x:c r="R1812" s="70" t="s">
        <x:v>27</x:v>
      </x:c>
      <x:c r="S1812" s="70"/>
    </x:row>
    <x:row r="1813" ht="15" hidden="0">
      <x:c r="A1813" s="70" t="s">
        <x:v>2869</x:v>
      </x:c>
      <x:c r="B1813" s="70" t="s">
        <x:v>45</x:v>
      </x:c>
      <x:c r="C1813" s="70" t="s">
        <x:v>101</x:v>
      </x:c>
      <x:c r="D1813" s="70" t="s">
        <x:v>217</x:v>
      </x:c>
      <x:c r="E1813" s="70" t="s">
        <x:v>763</x:v>
      </x:c>
      <x:c r="F1813" s="70"/>
      <x:c r="G1813" s="70" t="s">
        <x:v>2626</x:v>
      </x:c>
      <x:c r="H1813" s="70" t="s">
        <x:v>838</x:v>
      </x:c>
      <x:c r="I1813" s="70" t="s">
        <x:v>833</x:v>
      </x:c>
      <x:c r="J1813" s="70" t="n">
        <x:v>186</x:v>
      </x:c>
      <x:c r="K1813" s="70" t="s">
        <x:v>1761</x:v>
      </x:c>
      <x:c r="L1813" s="70"/>
      <x:c r="M1813" s="70" t="s">
        <x:v>39</x:v>
      </x:c>
      <x:c r="N1813" s="71" t="n">
        <x:v>6161989</x:v>
      </x:c>
      <x:c r="O1813" s="72" t="n">
        <x:f aca="0">N1813/1000</x:f>
        <x:v>6161.989</x:v>
      </x:c>
      <x:c r="P1813" s="73" t="n">
        <x:f aca="0">FCCL!D78</x:f>
        <x:v>6161.989</x:v>
      </x:c>
      <x:c r="Q1813" s="70" t="str">
        <x:f aca="0">IF(ABS(O1813-P1813)&lt;0.000001,"PASS","FAIL")</x:f>
        <x:v>PASS</x:v>
      </x:c>
      <x:c r="R1813" s="70" t="s">
        <x:v>27</x:v>
      </x:c>
      <x:c r="S1813" s="70"/>
    </x:row>
    <x:row r="1814" ht="15" hidden="0">
      <x:c r="A1814" s="70" t="s">
        <x:v>2870</x:v>
      </x:c>
      <x:c r="B1814" s="70" t="s">
        <x:v>45</x:v>
      </x:c>
      <x:c r="C1814" s="70" t="s">
        <x:v>102</x:v>
      </x:c>
      <x:c r="D1814" s="70" t="s">
        <x:v>217</x:v>
      </x:c>
      <x:c r="E1814" s="70" t="s">
        <x:v>763</x:v>
      </x:c>
      <x:c r="F1814" s="70"/>
      <x:c r="G1814" s="70" t="s">
        <x:v>2628</x:v>
      </x:c>
      <x:c r="H1814" s="70" t="s">
        <x:v>842</x:v>
      </x:c>
      <x:c r="I1814" s="70" t="s">
        <x:v>833</x:v>
      </x:c>
      <x:c r="J1814" s="70" t="n">
        <x:v>208</x:v>
      </x:c>
      <x:c r="K1814" s="70" t="s">
        <x:v>2102</x:v>
      </x:c>
      <x:c r="L1814" s="70"/>
      <x:c r="M1814" s="70" t="s">
        <x:v>39</x:v>
      </x:c>
      <x:c r="N1814" s="71" t="n">
        <x:v>26721253</x:v>
      </x:c>
      <x:c r="O1814" s="72" t="n">
        <x:f aca="0">N1814/1000</x:f>
        <x:v>26721.253</x:v>
      </x:c>
      <x:c r="P1814" s="73" t="n">
        <x:f aca="0">FCCL!E78</x:f>
        <x:v>26721.253</x:v>
      </x:c>
      <x:c r="Q1814" s="70" t="str">
        <x:f aca="0">IF(ABS(O1814-P1814)&lt;0.000001,"PASS","FAIL")</x:f>
        <x:v>PASS</x:v>
      </x:c>
      <x:c r="R1814" s="70" t="s">
        <x:v>27</x:v>
      </x:c>
      <x:c r="S1814" s="70"/>
    </x:row>
    <x:row r="1815" ht="15" hidden="0">
      <x:c r="A1815" s="70" t="s">
        <x:v>2871</x:v>
      </x:c>
      <x:c r="B1815" s="70" t="s">
        <x:v>45</x:v>
      </x:c>
      <x:c r="C1815" s="70" t="s">
        <x:v>103</x:v>
      </x:c>
      <x:c r="D1815" s="70" t="s">
        <x:v>217</x:v>
      </x:c>
      <x:c r="E1815" s="70" t="s">
        <x:v>763</x:v>
      </x:c>
      <x:c r="F1815" s="70"/>
      <x:c r="G1815" s="70" t="s">
        <x:v>2631</x:v>
      </x:c>
      <x:c r="H1815" s="70" t="s">
        <x:v>845</x:v>
      </x:c>
      <x:c r="I1815" s="70" t="s">
        <x:v>833</x:v>
      </x:c>
      <x:c r="J1815" s="70" t="n">
        <x:v>190</x:v>
      </x:c>
      <x:c r="K1815" s="70" t="s">
        <x:v>1765</x:v>
      </x:c>
      <x:c r="L1815" s="70"/>
      <x:c r="M1815" s="70" t="s">
        <x:v>39</x:v>
      </x:c>
      <x:c r="N1815" s="71" t="n">
        <x:v>28486855</x:v>
      </x:c>
      <x:c r="O1815" s="72" t="n">
        <x:f aca="0">N1815/1000</x:f>
        <x:v>28486.855</x:v>
      </x:c>
      <x:c r="P1815" s="73" t="n">
        <x:f aca="0">FCCL!F78</x:f>
        <x:v>28486.855</x:v>
      </x:c>
      <x:c r="Q1815" s="70" t="str">
        <x:f aca="0">IF(ABS(O1815-P1815)&lt;0.000001,"PASS","FAIL")</x:f>
        <x:v>PASS</x:v>
      </x:c>
      <x:c r="R1815" s="70" t="s">
        <x:v>27</x:v>
      </x:c>
      <x:c r="S1815" s="70"/>
    </x:row>
    <x:row r="1816" ht="15" hidden="0">
      <x:c r="A1816" s="70" t="s">
        <x:v>2872</x:v>
      </x:c>
      <x:c r="B1816" s="70" t="s">
        <x:v>45</x:v>
      </x:c>
      <x:c r="C1816" s="70" t="s">
        <x:v>104</x:v>
      </x:c>
      <x:c r="D1816" s="70" t="s">
        <x:v>217</x:v>
      </x:c>
      <x:c r="E1816" s="70" t="s">
        <x:v>763</x:v>
      </x:c>
      <x:c r="F1816" s="70"/>
      <x:c r="G1816" s="70" t="s">
        <x:v>2633</x:v>
      </x:c>
      <x:c r="H1816" s="70" t="s">
        <x:v>849</x:v>
      </x:c>
      <x:c r="I1816" s="70" t="s">
        <x:v>833</x:v>
      </x:c>
      <x:c r="J1816" s="70" t="n">
        <x:v>244</x:v>
      </x:c>
      <x:c r="K1816" s="70" t="s">
        <x:v>834</x:v>
      </x:c>
      <x:c r="L1816" s="70"/>
      <x:c r="M1816" s="70" t="s">
        <x:v>39</x:v>
      </x:c>
      <x:c r="N1816" s="71" t="n">
        <x:v>26865467</x:v>
      </x:c>
      <x:c r="O1816" s="72" t="n">
        <x:f aca="0">N1816/1000</x:f>
        <x:v>26865.467</x:v>
      </x:c>
      <x:c r="P1816" s="73" t="n">
        <x:f aca="0">FCCL!G78</x:f>
        <x:v>26865.467</x:v>
      </x:c>
      <x:c r="Q1816" s="70" t="str">
        <x:f aca="0">IF(ABS(O1816-P1816)&lt;0.000001,"PASS","FAIL")</x:f>
        <x:v>PASS</x:v>
      </x:c>
      <x:c r="R1816" s="70" t="s">
        <x:v>27</x:v>
      </x:c>
      <x:c r="S1816" s="70"/>
    </x:row>
    <x:row r="1817" ht="15" hidden="0">
      <x:c r="A1817" s="70" t="s">
        <x:v>2873</x:v>
      </x:c>
      <x:c r="B1817" s="70" t="s">
        <x:v>45</x:v>
      </x:c>
      <x:c r="C1817" s="70" t="s">
        <x:v>105</x:v>
      </x:c>
      <x:c r="D1817" s="70" t="s">
        <x:v>217</x:v>
      </x:c>
      <x:c r="E1817" s="70" t="s">
        <x:v>763</x:v>
      </x:c>
      <x:c r="F1817" s="70"/>
      <x:c r="G1817" s="70" t="s">
        <x:v>2633</x:v>
      </x:c>
      <x:c r="H1817" s="70" t="s">
        <x:v>849</x:v>
      </x:c>
      <x:c r="I1817" s="70" t="s">
        <x:v>852</x:v>
      </x:c>
      <x:c r="J1817" s="70" t="n">
        <x:v>244</x:v>
      </x:c>
      <x:c r="K1817" s="70" t="s">
        <x:v>834</x:v>
      </x:c>
      <x:c r="L1817" s="70"/>
      <x:c r="M1817" s="70" t="s">
        <x:v>39</x:v>
      </x:c>
      <x:c r="N1817" s="71" t="n">
        <x:v>30637497</x:v>
      </x:c>
      <x:c r="O1817" s="72" t="n">
        <x:f aca="0">N1817/1000</x:f>
        <x:v>30637.497</x:v>
      </x:c>
      <x:c r="P1817" s="73" t="n">
        <x:f aca="0">FCCL!H78</x:f>
        <x:v>30637.497</x:v>
      </x:c>
      <x:c r="Q1817" s="70" t="str">
        <x:f aca="0">IF(ABS(O1817-P1817)&lt;0.000001,"PASS","FAIL")</x:f>
        <x:v>PASS</x:v>
      </x:c>
      <x:c r="R1817" s="70" t="s">
        <x:v>27</x:v>
      </x:c>
      <x:c r="S1817" s="70"/>
    </x:row>
    <x:row r="1818" ht="15" hidden="0">
      <x:c r="A1818" s="70" t="s">
        <x:v>2874</x:v>
      </x:c>
      <x:c r="B1818" s="70" t="s">
        <x:v>45</x:v>
      </x:c>
      <x:c r="C1818" s="70" t="s">
        <x:v>101</x:v>
      </x:c>
      <x:c r="D1818" s="70" t="s">
        <x:v>224</x:v>
      </x:c>
      <x:c r="E1818" s="70" t="s">
        <x:v>1106</x:v>
      </x:c>
      <x:c r="F1818" s="70" t="s">
        <x:v>2875</x:v>
      </x:c>
      <x:c r="G1818" s="70" t="s">
        <x:v>2626</x:v>
      </x:c>
      <x:c r="H1818" s="70" t="s">
        <x:v>838</x:v>
      </x:c>
      <x:c r="I1818" s="70" t="s">
        <x:v>833</x:v>
      </x:c>
      <x:c r="J1818" s="70" t="n">
        <x:v>188</x:v>
      </x:c>
      <x:c r="K1818" s="70" t="s">
        <x:v>1763</x:v>
      </x:c>
      <x:c r="L1818" s="70"/>
      <x:c r="M1818" s="70" t="s">
        <x:v>39</x:v>
      </x:c>
      <x:c r="N1818" s="71" t="n">
        <x:v>24271285</x:v>
      </x:c>
      <x:c r="O1818" s="72" t="n">
        <x:f aca="0">N1818/1000</x:f>
        <x:v>24271.285</x:v>
      </x:c>
      <x:c r="P1818" s="73" t="n">
        <x:f aca="0">FCCL!D84</x:f>
        <x:v>24271.285</x:v>
      </x:c>
      <x:c r="Q1818" s="70" t="str">
        <x:f aca="0">IF(ABS(O1818-P1818)&lt;0.000001,"PASS","FAIL")</x:f>
        <x:v>PASS</x:v>
      </x:c>
      <x:c r="R1818" s="70" t="s">
        <x:v>27</x:v>
      </x:c>
      <x:c r="S1818" s="70"/>
    </x:row>
    <x:row r="1819" ht="15" hidden="0">
      <x:c r="A1819" s="70" t="s">
        <x:v>2876</x:v>
      </x:c>
      <x:c r="B1819" s="70" t="s">
        <x:v>45</x:v>
      </x:c>
      <x:c r="C1819" s="70" t="s">
        <x:v>102</x:v>
      </x:c>
      <x:c r="D1819" s="70" t="s">
        <x:v>224</x:v>
      </x:c>
      <x:c r="E1819" s="70" t="s">
        <x:v>1106</x:v>
      </x:c>
      <x:c r="F1819" s="70" t="s">
        <x:v>2875</x:v>
      </x:c>
      <x:c r="G1819" s="70" t="s">
        <x:v>2628</x:v>
      </x:c>
      <x:c r="H1819" s="70" t="s">
        <x:v>842</x:v>
      </x:c>
      <x:c r="I1819" s="70" t="s">
        <x:v>833</x:v>
      </x:c>
      <x:c r="J1819" s="70" t="n">
        <x:v>210</x:v>
      </x:c>
      <x:c r="K1819" s="70" t="s">
        <x:v>2095</x:v>
      </x:c>
      <x:c r="L1819" s="70"/>
      <x:c r="M1819" s="70" t="s">
        <x:v>39</x:v>
      </x:c>
      <x:c r="N1819" s="71" t="n">
        <x:v>54243118</x:v>
      </x:c>
      <x:c r="O1819" s="72" t="n">
        <x:f aca="0">N1819/1000</x:f>
        <x:v>54243.118</x:v>
      </x:c>
      <x:c r="P1819" s="73" t="n">
        <x:f aca="0">FCCL!E84</x:f>
        <x:v>54243.118</x:v>
      </x:c>
      <x:c r="Q1819" s="70" t="str">
        <x:f aca="0">IF(ABS(O1819-P1819)&lt;0.000001,"PASS","FAIL")</x:f>
        <x:v>PASS</x:v>
      </x:c>
      <x:c r="R1819" s="70" t="s">
        <x:v>27</x:v>
      </x:c>
      <x:c r="S1819" s="70"/>
    </x:row>
    <x:row r="1820" ht="15" hidden="0">
      <x:c r="A1820" s="70" t="s">
        <x:v>2877</x:v>
      </x:c>
      <x:c r="B1820" s="70" t="s">
        <x:v>45</x:v>
      </x:c>
      <x:c r="C1820" s="70" t="s">
        <x:v>103</x:v>
      </x:c>
      <x:c r="D1820" s="70" t="s">
        <x:v>224</x:v>
      </x:c>
      <x:c r="E1820" s="70" t="s">
        <x:v>1106</x:v>
      </x:c>
      <x:c r="F1820" s="70" t="s">
        <x:v>2875</x:v>
      </x:c>
      <x:c r="G1820" s="70" t="s">
        <x:v>2631</x:v>
      </x:c>
      <x:c r="H1820" s="70" t="s">
        <x:v>845</x:v>
      </x:c>
      <x:c r="I1820" s="70" t="s">
        <x:v>833</x:v>
      </x:c>
      <x:c r="J1820" s="70" t="n">
        <x:v>192</x:v>
      </x:c>
      <x:c r="K1820" s="70" t="s">
        <x:v>2447</x:v>
      </x:c>
      <x:c r="L1820" s="70"/>
      <x:c r="M1820" s="70" t="s">
        <x:v>39</x:v>
      </x:c>
      <x:c r="N1820" s="71" t="n">
        <x:v>68069282</x:v>
      </x:c>
      <x:c r="O1820" s="72" t="n">
        <x:f aca="0">N1820/1000</x:f>
        <x:v>68069.282</x:v>
      </x:c>
      <x:c r="P1820" s="73" t="n">
        <x:f aca="0">FCCL!F84</x:f>
        <x:v>68069.282</x:v>
      </x:c>
      <x:c r="Q1820" s="70" t="str">
        <x:f aca="0">IF(ABS(O1820-P1820)&lt;0.000001,"PASS","FAIL")</x:f>
        <x:v>PASS</x:v>
      </x:c>
      <x:c r="R1820" s="70" t="s">
        <x:v>27</x:v>
      </x:c>
      <x:c r="S1820" s="70"/>
    </x:row>
    <x:row r="1821" ht="15" hidden="0">
      <x:c r="A1821" s="70" t="s">
        <x:v>2878</x:v>
      </x:c>
      <x:c r="B1821" s="70" t="s">
        <x:v>45</x:v>
      </x:c>
      <x:c r="C1821" s="70" t="s">
        <x:v>104</x:v>
      </x:c>
      <x:c r="D1821" s="70" t="s">
        <x:v>224</x:v>
      </x:c>
      <x:c r="E1821" s="70" t="s">
        <x:v>1106</x:v>
      </x:c>
      <x:c r="F1821" s="70" t="s">
        <x:v>2875</x:v>
      </x:c>
      <x:c r="G1821" s="70" t="s">
        <x:v>2633</x:v>
      </x:c>
      <x:c r="H1821" s="70" t="s">
        <x:v>849</x:v>
      </x:c>
      <x:c r="I1821" s="70" t="s">
        <x:v>833</x:v>
      </x:c>
      <x:c r="J1821" s="70" t="n">
        <x:v>246</x:v>
      </x:c>
      <x:c r="K1821" s="70" t="s">
        <x:v>834</x:v>
      </x:c>
      <x:c r="L1821" s="70"/>
      <x:c r="M1821" s="70" t="s">
        <x:v>39</x:v>
      </x:c>
      <x:c r="N1821" s="71" t="n">
        <x:v>80026226</x:v>
      </x:c>
      <x:c r="O1821" s="72" t="n">
        <x:f aca="0">N1821/1000</x:f>
        <x:v>80026.226</x:v>
      </x:c>
      <x:c r="P1821" s="73" t="n">
        <x:f aca="0">FCCL!G84</x:f>
        <x:v>80026.226</x:v>
      </x:c>
      <x:c r="Q1821" s="70" t="str">
        <x:f aca="0">IF(ABS(O1821-P1821)&lt;0.000001,"PASS","FAIL")</x:f>
        <x:v>PASS</x:v>
      </x:c>
      <x:c r="R1821" s="70" t="s">
        <x:v>27</x:v>
      </x:c>
      <x:c r="S1821" s="70"/>
    </x:row>
    <x:row r="1822" ht="15" hidden="0">
      <x:c r="A1822" s="70" t="s">
        <x:v>2879</x:v>
      </x:c>
      <x:c r="B1822" s="70" t="s">
        <x:v>45</x:v>
      </x:c>
      <x:c r="C1822" s="70" t="s">
        <x:v>105</x:v>
      </x:c>
      <x:c r="D1822" s="70" t="s">
        <x:v>224</x:v>
      </x:c>
      <x:c r="E1822" s="70" t="s">
        <x:v>1106</x:v>
      </x:c>
      <x:c r="F1822" s="70" t="s">
        <x:v>2875</x:v>
      </x:c>
      <x:c r="G1822" s="70" t="s">
        <x:v>2633</x:v>
      </x:c>
      <x:c r="H1822" s="70" t="s">
        <x:v>849</x:v>
      </x:c>
      <x:c r="I1822" s="70" t="s">
        <x:v>852</x:v>
      </x:c>
      <x:c r="J1822" s="70" t="n">
        <x:v>246</x:v>
      </x:c>
      <x:c r="K1822" s="70" t="s">
        <x:v>834</x:v>
      </x:c>
      <x:c r="L1822" s="70"/>
      <x:c r="M1822" s="70" t="s">
        <x:v>39</x:v>
      </x:c>
      <x:c r="N1822" s="71" t="n">
        <x:v>88956328</x:v>
      </x:c>
      <x:c r="O1822" s="72" t="n">
        <x:f aca="0">N1822/1000</x:f>
        <x:v>88956.328</x:v>
      </x:c>
      <x:c r="P1822" s="73" t="n">
        <x:f aca="0">FCCL!H84</x:f>
        <x:v>88956.328</x:v>
      </x:c>
      <x:c r="Q1822" s="70" t="str">
        <x:f aca="0">IF(ABS(O1822-P1822)&lt;0.000001,"PASS","FAIL")</x:f>
        <x:v>PASS</x:v>
      </x:c>
      <x:c r="R1822" s="70" t="s">
        <x:v>27</x:v>
      </x:c>
      <x:c r="S1822" s="70"/>
    </x:row>
    <x:row r="1823" ht="15" hidden="0">
      <x:c r="A1823" s="70" t="s">
        <x:v>2880</x:v>
      </x:c>
      <x:c r="B1823" s="70" t="s">
        <x:v>45</x:v>
      </x:c>
      <x:c r="C1823" s="70" t="s">
        <x:v>101</x:v>
      </x:c>
      <x:c r="D1823" s="70" t="s">
        <x:v>226</x:v>
      </x:c>
      <x:c r="E1823" s="70" t="s">
        <x:v>1106</x:v>
      </x:c>
      <x:c r="F1823" s="70" t="s">
        <x:v>226</x:v>
      </x:c>
      <x:c r="G1823" s="70" t="s">
        <x:v>2626</x:v>
      </x:c>
      <x:c r="H1823" s="70" t="s">
        <x:v>838</x:v>
      </x:c>
      <x:c r="I1823" s="70" t="s">
        <x:v>833</x:v>
      </x:c>
      <x:c r="J1823" s="70" t="n">
        <x:v>188</x:v>
      </x:c>
      <x:c r="K1823" s="70" t="s">
        <x:v>1763</x:v>
      </x:c>
      <x:c r="L1823" s="70"/>
      <x:c r="M1823" s="70" t="s">
        <x:v>39</x:v>
      </x:c>
      <x:c r="N1823" s="71" t="n">
        <x:v>-18206880</x:v>
      </x:c>
      <x:c r="O1823" s="72" t="n">
        <x:f aca="0">N1823/1000</x:f>
        <x:v>-18206.88</x:v>
      </x:c>
      <x:c r="P1823" s="73" t="n">
        <x:f aca="0">FCCL!D85</x:f>
        <x:v>-18206.88</x:v>
      </x:c>
      <x:c r="Q1823" s="70" t="str">
        <x:f aca="0">IF(ABS(O1823-P1823)&lt;0.000001,"PASS","FAIL")</x:f>
        <x:v>PASS</x:v>
      </x:c>
      <x:c r="R1823" s="70" t="s">
        <x:v>27</x:v>
      </x:c>
      <x:c r="S1823" s="70"/>
    </x:row>
    <x:row r="1824" ht="15" hidden="0">
      <x:c r="A1824" s="70" t="s">
        <x:v>2881</x:v>
      </x:c>
      <x:c r="B1824" s="70" t="s">
        <x:v>45</x:v>
      </x:c>
      <x:c r="C1824" s="70" t="s">
        <x:v>102</x:v>
      </x:c>
      <x:c r="D1824" s="70" t="s">
        <x:v>226</x:v>
      </x:c>
      <x:c r="E1824" s="70" t="s">
        <x:v>1106</x:v>
      </x:c>
      <x:c r="F1824" s="70" t="s">
        <x:v>226</x:v>
      </x:c>
      <x:c r="G1824" s="70" t="s">
        <x:v>2628</x:v>
      </x:c>
      <x:c r="H1824" s="70" t="s">
        <x:v>842</x:v>
      </x:c>
      <x:c r="I1824" s="70" t="s">
        <x:v>833</x:v>
      </x:c>
      <x:c r="J1824" s="70" t="n">
        <x:v>210</x:v>
      </x:c>
      <x:c r="K1824" s="70" t="s">
        <x:v>2095</x:v>
      </x:c>
      <x:c r="L1824" s="70"/>
      <x:c r="M1824" s="70" t="s">
        <x:v>39</x:v>
      </x:c>
      <x:c r="N1824" s="71" t="n">
        <x:v>-38779542</x:v>
      </x:c>
      <x:c r="O1824" s="72" t="n">
        <x:f aca="0">N1824/1000</x:f>
        <x:v>-38779.542</x:v>
      </x:c>
      <x:c r="P1824" s="73" t="n">
        <x:f aca="0">FCCL!E85</x:f>
        <x:v>-38779.542</x:v>
      </x:c>
      <x:c r="Q1824" s="70" t="str">
        <x:f aca="0">IF(ABS(O1824-P1824)&lt;0.000001,"PASS","FAIL")</x:f>
        <x:v>PASS</x:v>
      </x:c>
      <x:c r="R1824" s="70" t="s">
        <x:v>27</x:v>
      </x:c>
      <x:c r="S1824" s="70" t="s">
        <x:v>839</x:v>
      </x:c>
    </x:row>
    <x:row r="1825" ht="15" hidden="0">
      <x:c r="A1825" s="70" t="s">
        <x:v>2882</x:v>
      </x:c>
      <x:c r="B1825" s="70" t="s">
        <x:v>45</x:v>
      </x:c>
      <x:c r="C1825" s="70" t="s">
        <x:v>103</x:v>
      </x:c>
      <x:c r="D1825" s="70" t="s">
        <x:v>226</x:v>
      </x:c>
      <x:c r="E1825" s="70" t="s">
        <x:v>1106</x:v>
      </x:c>
      <x:c r="F1825" s="70" t="s">
        <x:v>226</x:v>
      </x:c>
      <x:c r="G1825" s="70" t="s">
        <x:v>2631</x:v>
      </x:c>
      <x:c r="H1825" s="70" t="s">
        <x:v>845</x:v>
      </x:c>
      <x:c r="I1825" s="70" t="s">
        <x:v>833</x:v>
      </x:c>
      <x:c r="J1825" s="70" t="n">
        <x:v>192</x:v>
      </x:c>
      <x:c r="K1825" s="70" t="s">
        <x:v>2447</x:v>
      </x:c>
      <x:c r="L1825" s="70"/>
      <x:c r="M1825" s="70" t="s">
        <x:v>39</x:v>
      </x:c>
      <x:c r="N1825" s="71" t="n">
        <x:v>-47650809</x:v>
      </x:c>
      <x:c r="O1825" s="72" t="n">
        <x:f aca="0">N1825/1000</x:f>
        <x:v>-47650.809</x:v>
      </x:c>
      <x:c r="P1825" s="73" t="n">
        <x:f aca="0">FCCL!F85</x:f>
        <x:v>-47650.809</x:v>
      </x:c>
      <x:c r="Q1825" s="70" t="str">
        <x:f aca="0">IF(ABS(O1825-P1825)&lt;0.000001,"PASS","FAIL")</x:f>
        <x:v>PASS</x:v>
      </x:c>
      <x:c r="R1825" s="70" t="s">
        <x:v>27</x:v>
      </x:c>
      <x:c r="S1825" s="70"/>
    </x:row>
    <x:row r="1826" ht="15" hidden="0">
      <x:c r="A1826" s="70" t="s">
        <x:v>2883</x:v>
      </x:c>
      <x:c r="B1826" s="70" t="s">
        <x:v>45</x:v>
      </x:c>
      <x:c r="C1826" s="70" t="s">
        <x:v>104</x:v>
      </x:c>
      <x:c r="D1826" s="70" t="s">
        <x:v>226</x:v>
      </x:c>
      <x:c r="E1826" s="70" t="s">
        <x:v>1106</x:v>
      </x:c>
      <x:c r="F1826" s="70" t="s">
        <x:v>226</x:v>
      </x:c>
      <x:c r="G1826" s="70" t="s">
        <x:v>2633</x:v>
      </x:c>
      <x:c r="H1826" s="70" t="s">
        <x:v>849</x:v>
      </x:c>
      <x:c r="I1826" s="70" t="s">
        <x:v>833</x:v>
      </x:c>
      <x:c r="J1826" s="70" t="n">
        <x:v>246</x:v>
      </x:c>
      <x:c r="K1826" s="70" t="s">
        <x:v>834</x:v>
      </x:c>
      <x:c r="L1826" s="70"/>
      <x:c r="M1826" s="70" t="s">
        <x:v>39</x:v>
      </x:c>
      <x:c r="N1826" s="71" t="n">
        <x:v>-54345821</x:v>
      </x:c>
      <x:c r="O1826" s="72" t="n">
        <x:f aca="0">N1826/1000</x:f>
        <x:v>-54345.821</x:v>
      </x:c>
      <x:c r="P1826" s="73" t="n">
        <x:f aca="0">FCCL!G85</x:f>
        <x:v>-54345.821</x:v>
      </x:c>
      <x:c r="Q1826" s="70" t="str">
        <x:f aca="0">IF(ABS(O1826-P1826)&lt;0.000001,"PASS","FAIL")</x:f>
        <x:v>PASS</x:v>
      </x:c>
      <x:c r="R1826" s="70" t="s">
        <x:v>27</x:v>
      </x:c>
      <x:c r="S1826" s="70"/>
    </x:row>
    <x:row r="1827" ht="15" hidden="0">
      <x:c r="A1827" s="70" t="s">
        <x:v>2884</x:v>
      </x:c>
      <x:c r="B1827" s="70" t="s">
        <x:v>45</x:v>
      </x:c>
      <x:c r="C1827" s="70" t="s">
        <x:v>105</x:v>
      </x:c>
      <x:c r="D1827" s="70" t="s">
        <x:v>226</x:v>
      </x:c>
      <x:c r="E1827" s="70" t="s">
        <x:v>1106</x:v>
      </x:c>
      <x:c r="F1827" s="70" t="s">
        <x:v>226</x:v>
      </x:c>
      <x:c r="G1827" s="70" t="s">
        <x:v>2633</x:v>
      </x:c>
      <x:c r="H1827" s="70" t="s">
        <x:v>849</x:v>
      </x:c>
      <x:c r="I1827" s="70" t="s">
        <x:v>852</x:v>
      </x:c>
      <x:c r="J1827" s="70" t="n">
        <x:v>246</x:v>
      </x:c>
      <x:c r="K1827" s="70" t="s">
        <x:v>834</x:v>
      </x:c>
      <x:c r="L1827" s="70"/>
      <x:c r="M1827" s="70" t="s">
        <x:v>39</x:v>
      </x:c>
      <x:c r="N1827" s="71" t="n">
        <x:v>-57384978</x:v>
      </x:c>
      <x:c r="O1827" s="72" t="n">
        <x:f aca="0">N1827/1000</x:f>
        <x:v>-57384.978</x:v>
      </x:c>
      <x:c r="P1827" s="73" t="n">
        <x:f aca="0">FCCL!H85</x:f>
        <x:v>-57384.978</x:v>
      </x:c>
      <x:c r="Q1827" s="70" t="str">
        <x:f aca="0">IF(ABS(O1827-P1827)&lt;0.000001,"PASS","FAIL")</x:f>
        <x:v>PASS</x:v>
      </x:c>
      <x:c r="R1827" s="70" t="s">
        <x:v>27</x:v>
      </x:c>
      <x:c r="S1827" s="70"/>
    </x:row>
    <x:row r="1828" ht="15" hidden="0">
      <x:c r="A1828" s="70" t="s">
        <x:v>2885</x:v>
      </x:c>
      <x:c r="B1828" s="70" t="s">
        <x:v>45</x:v>
      </x:c>
      <x:c r="C1828" s="70" t="s">
        <x:v>101</x:v>
      </x:c>
      <x:c r="D1828" s="70" t="s">
        <x:v>230</x:v>
      </x:c>
      <x:c r="E1828" s="70" t="s">
        <x:v>1106</x:v>
      </x:c>
      <x:c r="F1828" s="70" t="s">
        <x:v>230</x:v>
      </x:c>
      <x:c r="G1828" s="70" t="s">
        <x:v>2626</x:v>
      </x:c>
      <x:c r="H1828" s="70" t="s">
        <x:v>838</x:v>
      </x:c>
      <x:c r="I1828" s="70" t="s">
        <x:v>833</x:v>
      </x:c>
      <x:c r="J1828" s="70" t="n">
        <x:v>188</x:v>
      </x:c>
      <x:c r="K1828" s="70" t="s">
        <x:v>1763</x:v>
      </x:c>
      <x:c r="L1828" s="70"/>
      <x:c r="M1828" s="70" t="s">
        <x:v>39</x:v>
      </x:c>
      <x:c r="N1828" s="71" t="n">
        <x:v>-189537</x:v>
      </x:c>
      <x:c r="O1828" s="72" t="n">
        <x:f aca="0">N1828/1000</x:f>
        <x:v>-189.537</x:v>
      </x:c>
      <x:c r="P1828" s="73" t="n">
        <x:f aca="0">FCCL!D87</x:f>
        <x:v>-189.537</x:v>
      </x:c>
      <x:c r="Q1828" s="70" t="str">
        <x:f aca="0">IF(ABS(O1828-P1828)&lt;0.000001,"PASS","FAIL")</x:f>
        <x:v>PASS</x:v>
      </x:c>
      <x:c r="R1828" s="70" t="s">
        <x:v>27</x:v>
      </x:c>
      <x:c r="S1828" s="70"/>
    </x:row>
    <x:row r="1829" ht="15" hidden="0">
      <x:c r="A1829" s="70" t="s">
        <x:v>2886</x:v>
      </x:c>
      <x:c r="B1829" s="70" t="s">
        <x:v>45</x:v>
      </x:c>
      <x:c r="C1829" s="70" t="s">
        <x:v>102</x:v>
      </x:c>
      <x:c r="D1829" s="70" t="s">
        <x:v>230</x:v>
      </x:c>
      <x:c r="E1829" s="70" t="s">
        <x:v>1106</x:v>
      </x:c>
      <x:c r="F1829" s="70" t="s">
        <x:v>230</x:v>
      </x:c>
      <x:c r="G1829" s="70" t="s">
        <x:v>2628</x:v>
      </x:c>
      <x:c r="H1829" s="70" t="s">
        <x:v>842</x:v>
      </x:c>
      <x:c r="I1829" s="70" t="s">
        <x:v>833</x:v>
      </x:c>
      <x:c r="J1829" s="70" t="n">
        <x:v>210</x:v>
      </x:c>
      <x:c r="K1829" s="70" t="s">
        <x:v>2095</x:v>
      </x:c>
      <x:c r="L1829" s="70"/>
      <x:c r="M1829" s="70" t="s">
        <x:v>39</x:v>
      </x:c>
      <x:c r="N1829" s="71" t="n">
        <x:v>-1603323</x:v>
      </x:c>
      <x:c r="O1829" s="72" t="n">
        <x:f aca="0">N1829/1000</x:f>
        <x:v>-1603.323</x:v>
      </x:c>
      <x:c r="P1829" s="73" t="n">
        <x:f aca="0">FCCL!E87</x:f>
        <x:v>-1603.323</x:v>
      </x:c>
      <x:c r="Q1829" s="70" t="str">
        <x:f aca="0">IF(ABS(O1829-P1829)&lt;0.000001,"PASS","FAIL")</x:f>
        <x:v>PASS</x:v>
      </x:c>
      <x:c r="R1829" s="70" t="s">
        <x:v>27</x:v>
      </x:c>
      <x:c r="S1829" s="70" t="s">
        <x:v>839</x:v>
      </x:c>
    </x:row>
    <x:row r="1830" ht="15" hidden="0">
      <x:c r="A1830" s="70" t="s">
        <x:v>2887</x:v>
      </x:c>
      <x:c r="B1830" s="70" t="s">
        <x:v>45</x:v>
      </x:c>
      <x:c r="C1830" s="70" t="s">
        <x:v>103</x:v>
      </x:c>
      <x:c r="D1830" s="70" t="s">
        <x:v>230</x:v>
      </x:c>
      <x:c r="E1830" s="70" t="s">
        <x:v>1106</x:v>
      </x:c>
      <x:c r="F1830" s="70" t="s">
        <x:v>230</x:v>
      </x:c>
      <x:c r="G1830" s="70" t="s">
        <x:v>2631</x:v>
      </x:c>
      <x:c r="H1830" s="70" t="s">
        <x:v>845</x:v>
      </x:c>
      <x:c r="I1830" s="70" t="s">
        <x:v>833</x:v>
      </x:c>
      <x:c r="J1830" s="70" t="n">
        <x:v>192</x:v>
      </x:c>
      <x:c r="K1830" s="70" t="s">
        <x:v>2447</x:v>
      </x:c>
      <x:c r="L1830" s="70"/>
      <x:c r="M1830" s="70" t="s">
        <x:v>39</x:v>
      </x:c>
      <x:c r="N1830" s="71" t="n">
        <x:v>-2705263</x:v>
      </x:c>
      <x:c r="O1830" s="72" t="n">
        <x:f aca="0">N1830/1000</x:f>
        <x:v>-2705.263</x:v>
      </x:c>
      <x:c r="P1830" s="73" t="n">
        <x:f aca="0">FCCL!F87</x:f>
        <x:v>-2705.263</x:v>
      </x:c>
      <x:c r="Q1830" s="70" t="str">
        <x:f aca="0">IF(ABS(O1830-P1830)&lt;0.000001,"PASS","FAIL")</x:f>
        <x:v>PASS</x:v>
      </x:c>
      <x:c r="R1830" s="70" t="s">
        <x:v>27</x:v>
      </x:c>
      <x:c r="S1830" s="70"/>
    </x:row>
    <x:row r="1831" ht="15" hidden="0">
      <x:c r="A1831" s="70" t="s">
        <x:v>2888</x:v>
      </x:c>
      <x:c r="B1831" s="70" t="s">
        <x:v>45</x:v>
      </x:c>
      <x:c r="C1831" s="70" t="s">
        <x:v>104</x:v>
      </x:c>
      <x:c r="D1831" s="70" t="s">
        <x:v>230</x:v>
      </x:c>
      <x:c r="E1831" s="70" t="s">
        <x:v>1106</x:v>
      </x:c>
      <x:c r="F1831" s="70" t="s">
        <x:v>230</x:v>
      </x:c>
      <x:c r="G1831" s="70" t="s">
        <x:v>2633</x:v>
      </x:c>
      <x:c r="H1831" s="70" t="s">
        <x:v>849</x:v>
      </x:c>
      <x:c r="I1831" s="70" t="s">
        <x:v>833</x:v>
      </x:c>
      <x:c r="J1831" s="70" t="n">
        <x:v>246</x:v>
      </x:c>
      <x:c r="K1831" s="70" t="s">
        <x:v>834</x:v>
      </x:c>
      <x:c r="L1831" s="70"/>
      <x:c r="M1831" s="70" t="s">
        <x:v>39</x:v>
      </x:c>
      <x:c r="N1831" s="71" t="n">
        <x:v>-3285923</x:v>
      </x:c>
      <x:c r="O1831" s="72" t="n">
        <x:f aca="0">N1831/1000</x:f>
        <x:v>-3285.923</x:v>
      </x:c>
      <x:c r="P1831" s="73" t="n">
        <x:f aca="0">FCCL!G87</x:f>
        <x:v>-3285.923</x:v>
      </x:c>
      <x:c r="Q1831" s="70" t="str">
        <x:f aca="0">IF(ABS(O1831-P1831)&lt;0.000001,"PASS","FAIL")</x:f>
        <x:v>PASS</x:v>
      </x:c>
      <x:c r="R1831" s="70" t="s">
        <x:v>27</x:v>
      </x:c>
      <x:c r="S1831" s="70"/>
    </x:row>
    <x:row r="1832" ht="15" hidden="0">
      <x:c r="A1832" s="70" t="s">
        <x:v>2889</x:v>
      </x:c>
      <x:c r="B1832" s="70" t="s">
        <x:v>45</x:v>
      </x:c>
      <x:c r="C1832" s="70" t="s">
        <x:v>105</x:v>
      </x:c>
      <x:c r="D1832" s="70" t="s">
        <x:v>230</x:v>
      </x:c>
      <x:c r="E1832" s="70" t="s">
        <x:v>1106</x:v>
      </x:c>
      <x:c r="F1832" s="70" t="s">
        <x:v>230</x:v>
      </x:c>
      <x:c r="G1832" s="70" t="s">
        <x:v>2633</x:v>
      </x:c>
      <x:c r="H1832" s="70" t="s">
        <x:v>849</x:v>
      </x:c>
      <x:c r="I1832" s="70" t="s">
        <x:v>852</x:v>
      </x:c>
      <x:c r="J1832" s="70" t="n">
        <x:v>246</x:v>
      </x:c>
      <x:c r="K1832" s="70" t="s">
        <x:v>834</x:v>
      </x:c>
      <x:c r="L1832" s="70"/>
      <x:c r="M1832" s="70" t="s">
        <x:v>39</x:v>
      </x:c>
      <x:c r="N1832" s="71" t="n">
        <x:v>-2935139</x:v>
      </x:c>
      <x:c r="O1832" s="72" t="n">
        <x:f aca="0">N1832/1000</x:f>
        <x:v>-2935.139</x:v>
      </x:c>
      <x:c r="P1832" s="73" t="n">
        <x:f aca="0">FCCL!H87</x:f>
        <x:v>-2935.139</x:v>
      </x:c>
      <x:c r="Q1832" s="70" t="str">
        <x:f aca="0">IF(ABS(O1832-P1832)&lt;0.000001,"PASS","FAIL")</x:f>
        <x:v>PASS</x:v>
      </x:c>
      <x:c r="R1832" s="70" t="s">
        <x:v>27</x:v>
      </x:c>
      <x:c r="S1832" s="70"/>
    </x:row>
    <x:row r="1833" ht="15" hidden="0">
      <x:c r="A1833" s="70" t="s">
        <x:v>2890</x:v>
      </x:c>
      <x:c r="B1833" s="70" t="s">
        <x:v>45</x:v>
      </x:c>
      <x:c r="C1833" s="70" t="s">
        <x:v>101</x:v>
      </x:c>
      <x:c r="D1833" s="70" t="s">
        <x:v>232</x:v>
      </x:c>
      <x:c r="E1833" s="70" t="s">
        <x:v>1106</x:v>
      </x:c>
      <x:c r="F1833" s="70" t="s">
        <x:v>232</x:v>
      </x:c>
      <x:c r="G1833" s="70" t="s">
        <x:v>2626</x:v>
      </x:c>
      <x:c r="H1833" s="70" t="s">
        <x:v>838</x:v>
      </x:c>
      <x:c r="I1833" s="70" t="s">
        <x:v>833</x:v>
      </x:c>
      <x:c r="J1833" s="70" t="n">
        <x:v>188</x:v>
      </x:c>
      <x:c r="K1833" s="70" t="s">
        <x:v>1763</x:v>
      </x:c>
      <x:c r="L1833" s="70"/>
      <x:c r="M1833" s="70" t="s">
        <x:v>39</x:v>
      </x:c>
      <x:c r="N1833" s="71" t="n">
        <x:v>-524709</x:v>
      </x:c>
      <x:c r="O1833" s="72" t="n">
        <x:f aca="0">N1833/1000</x:f>
        <x:v>-524.709</x:v>
      </x:c>
      <x:c r="P1833" s="73" t="n">
        <x:f aca="0">FCCL!D88</x:f>
        <x:v>-524.709</x:v>
      </x:c>
      <x:c r="Q1833" s="70" t="str">
        <x:f aca="0">IF(ABS(O1833-P1833)&lt;0.000001,"PASS","FAIL")</x:f>
        <x:v>PASS</x:v>
      </x:c>
      <x:c r="R1833" s="70" t="s">
        <x:v>27</x:v>
      </x:c>
      <x:c r="S1833" s="70"/>
    </x:row>
    <x:row r="1834" ht="15" hidden="0">
      <x:c r="A1834" s="70" t="s">
        <x:v>2891</x:v>
      </x:c>
      <x:c r="B1834" s="70" t="s">
        <x:v>45</x:v>
      </x:c>
      <x:c r="C1834" s="70" t="s">
        <x:v>102</x:v>
      </x:c>
      <x:c r="D1834" s="70" t="s">
        <x:v>232</x:v>
      </x:c>
      <x:c r="E1834" s="70" t="s">
        <x:v>1106</x:v>
      </x:c>
      <x:c r="F1834" s="70" t="s">
        <x:v>232</x:v>
      </x:c>
      <x:c r="G1834" s="70" t="s">
        <x:v>2628</x:v>
      </x:c>
      <x:c r="H1834" s="70" t="s">
        <x:v>842</x:v>
      </x:c>
      <x:c r="I1834" s="70" t="s">
        <x:v>833</x:v>
      </x:c>
      <x:c r="J1834" s="70" t="n">
        <x:v>210</x:v>
      </x:c>
      <x:c r="K1834" s="70" t="s">
        <x:v>2095</x:v>
      </x:c>
      <x:c r="L1834" s="70"/>
      <x:c r="M1834" s="70" t="s">
        <x:v>39</x:v>
      </x:c>
      <x:c r="N1834" s="71" t="n">
        <x:v>-1299439</x:v>
      </x:c>
      <x:c r="O1834" s="72" t="n">
        <x:f aca="0">N1834/1000</x:f>
        <x:v>-1299.439</x:v>
      </x:c>
      <x:c r="P1834" s="73" t="n">
        <x:f aca="0">FCCL!E88</x:f>
        <x:v>-1299.439</x:v>
      </x:c>
      <x:c r="Q1834" s="70" t="str">
        <x:f aca="0">IF(ABS(O1834-P1834)&lt;0.000001,"PASS","FAIL")</x:f>
        <x:v>PASS</x:v>
      </x:c>
      <x:c r="R1834" s="70" t="s">
        <x:v>27</x:v>
      </x:c>
      <x:c r="S1834" s="70"/>
    </x:row>
    <x:row r="1835" ht="15" hidden="0">
      <x:c r="A1835" s="70" t="s">
        <x:v>2892</x:v>
      </x:c>
      <x:c r="B1835" s="70" t="s">
        <x:v>45</x:v>
      </x:c>
      <x:c r="C1835" s="70" t="s">
        <x:v>103</x:v>
      </x:c>
      <x:c r="D1835" s="70" t="s">
        <x:v>232</x:v>
      </x:c>
      <x:c r="E1835" s="70" t="s">
        <x:v>1106</x:v>
      </x:c>
      <x:c r="F1835" s="70" t="s">
        <x:v>232</x:v>
      </x:c>
      <x:c r="G1835" s="70" t="s">
        <x:v>2631</x:v>
      </x:c>
      <x:c r="H1835" s="70" t="s">
        <x:v>845</x:v>
      </x:c>
      <x:c r="I1835" s="70" t="s">
        <x:v>833</x:v>
      </x:c>
      <x:c r="J1835" s="70" t="n">
        <x:v>192</x:v>
      </x:c>
      <x:c r="K1835" s="70" t="s">
        <x:v>2447</x:v>
      </x:c>
      <x:c r="L1835" s="70"/>
      <x:c r="M1835" s="70" t="s">
        <x:v>39</x:v>
      </x:c>
      <x:c r="N1835" s="71" t="n">
        <x:v>-1381633</x:v>
      </x:c>
      <x:c r="O1835" s="72" t="n">
        <x:f aca="0">N1835/1000</x:f>
        <x:v>-1381.633</x:v>
      </x:c>
      <x:c r="P1835" s="73" t="n">
        <x:f aca="0">FCCL!F88</x:f>
        <x:v>-1381.633</x:v>
      </x:c>
      <x:c r="Q1835" s="70" t="str">
        <x:f aca="0">IF(ABS(O1835-P1835)&lt;0.000001,"PASS","FAIL")</x:f>
        <x:v>PASS</x:v>
      </x:c>
      <x:c r="R1835" s="70" t="s">
        <x:v>27</x:v>
      </x:c>
      <x:c r="S1835" s="70"/>
    </x:row>
    <x:row r="1836" ht="15" hidden="0">
      <x:c r="A1836" s="70" t="s">
        <x:v>2893</x:v>
      </x:c>
      <x:c r="B1836" s="70" t="s">
        <x:v>45</x:v>
      </x:c>
      <x:c r="C1836" s="70" t="s">
        <x:v>104</x:v>
      </x:c>
      <x:c r="D1836" s="70" t="s">
        <x:v>232</x:v>
      </x:c>
      <x:c r="E1836" s="70" t="s">
        <x:v>1106</x:v>
      </x:c>
      <x:c r="F1836" s="70" t="s">
        <x:v>232</x:v>
      </x:c>
      <x:c r="G1836" s="70" t="s">
        <x:v>2633</x:v>
      </x:c>
      <x:c r="H1836" s="70" t="s">
        <x:v>849</x:v>
      </x:c>
      <x:c r="I1836" s="70" t="s">
        <x:v>833</x:v>
      </x:c>
      <x:c r="J1836" s="70" t="n">
        <x:v>246</x:v>
      </x:c>
      <x:c r="K1836" s="70" t="s">
        <x:v>834</x:v>
      </x:c>
      <x:c r="L1836" s="70"/>
      <x:c r="M1836" s="70" t="s">
        <x:v>39</x:v>
      </x:c>
      <x:c r="N1836" s="71" t="n">
        <x:v>-1516046</x:v>
      </x:c>
      <x:c r="O1836" s="72" t="n">
        <x:f aca="0">N1836/1000</x:f>
        <x:v>-1516.046</x:v>
      </x:c>
      <x:c r="P1836" s="73" t="n">
        <x:f aca="0">FCCL!G88</x:f>
        <x:v>-1516.046</x:v>
      </x:c>
      <x:c r="Q1836" s="70" t="str">
        <x:f aca="0">IF(ABS(O1836-P1836)&lt;0.000001,"PASS","FAIL")</x:f>
        <x:v>PASS</x:v>
      </x:c>
      <x:c r="R1836" s="70" t="s">
        <x:v>27</x:v>
      </x:c>
      <x:c r="S1836" s="70"/>
    </x:row>
    <x:row r="1837" ht="15" hidden="0">
      <x:c r="A1837" s="70" t="s">
        <x:v>2894</x:v>
      </x:c>
      <x:c r="B1837" s="70" t="s">
        <x:v>45</x:v>
      </x:c>
      <x:c r="C1837" s="70" t="s">
        <x:v>105</x:v>
      </x:c>
      <x:c r="D1837" s="70" t="s">
        <x:v>232</x:v>
      </x:c>
      <x:c r="E1837" s="70" t="s">
        <x:v>1106</x:v>
      </x:c>
      <x:c r="F1837" s="70" t="s">
        <x:v>232</x:v>
      </x:c>
      <x:c r="G1837" s="70" t="s">
        <x:v>2633</x:v>
      </x:c>
      <x:c r="H1837" s="70" t="s">
        <x:v>849</x:v>
      </x:c>
      <x:c r="I1837" s="70" t="s">
        <x:v>852</x:v>
      </x:c>
      <x:c r="J1837" s="70" t="n">
        <x:v>246</x:v>
      </x:c>
      <x:c r="K1837" s="70" t="s">
        <x:v>834</x:v>
      </x:c>
      <x:c r="L1837" s="70"/>
      <x:c r="M1837" s="70" t="s">
        <x:v>39</x:v>
      </x:c>
      <x:c r="N1837" s="71" t="n">
        <x:v>-1688886</x:v>
      </x:c>
      <x:c r="O1837" s="72" t="n">
        <x:f aca="0">N1837/1000</x:f>
        <x:v>-1688.886</x:v>
      </x:c>
      <x:c r="P1837" s="73" t="n">
        <x:f aca="0">FCCL!H88</x:f>
        <x:v>-1688.886</x:v>
      </x:c>
      <x:c r="Q1837" s="70" t="str">
        <x:f aca="0">IF(ABS(O1837-P1837)&lt;0.000001,"PASS","FAIL")</x:f>
        <x:v>PASS</x:v>
      </x:c>
      <x:c r="R1837" s="70" t="s">
        <x:v>27</x:v>
      </x:c>
      <x:c r="S1837" s="70"/>
    </x:row>
    <x:row r="1838" ht="15" hidden="0">
      <x:c r="A1838" s="70" t="s">
        <x:v>2895</x:v>
      </x:c>
      <x:c r="B1838" s="70" t="s">
        <x:v>45</x:v>
      </x:c>
      <x:c r="C1838" s="70" t="s">
        <x:v>101</x:v>
      </x:c>
      <x:c r="D1838" s="70" t="s">
        <x:v>234</x:v>
      </x:c>
      <x:c r="E1838" s="70" t="s">
        <x:v>1106</x:v>
      </x:c>
      <x:c r="F1838" s="70"/>
      <x:c r="G1838" s="70" t="s">
        <x:v>2626</x:v>
      </x:c>
      <x:c r="H1838" s="70" t="s">
        <x:v>838</x:v>
      </x:c>
      <x:c r="I1838" s="70" t="s">
        <x:v>833</x:v>
      </x:c>
      <x:c r="J1838" s="70" t="n">
        <x:v>188</x:v>
      </x:c>
      <x:c r="K1838" s="70" t="s">
        <x:v>1763</x:v>
      </x:c>
      <x:c r="L1838" s="70"/>
      <x:c r="M1838" s="70" t="s">
        <x:v>39</x:v>
      </x:c>
      <x:c r="N1838" s="71" t="n">
        <x:v>0</x:v>
      </x:c>
      <x:c r="O1838" s="72" t="n">
        <x:f aca="0">N1838/1000</x:f>
        <x:v>0</x:v>
      </x:c>
      <x:c r="P1838" s="73" t="n">
        <x:f aca="0">FCCL!D89</x:f>
        <x:v>0</x:v>
      </x:c>
      <x:c r="Q1838" s="70" t="str">
        <x:f aca="0">IF(ABS(O1838-P1838)&lt;0.000001,"PASS","FAIL")</x:f>
        <x:v>PASS</x:v>
      </x:c>
      <x:c r="R1838" s="70" t="s">
        <x:v>27</x:v>
      </x:c>
      <x:c r="S1838" s="70"/>
    </x:row>
    <x:row r="1839" ht="15" hidden="0">
      <x:c r="A1839" s="70" t="s">
        <x:v>2896</x:v>
      </x:c>
      <x:c r="B1839" s="70" t="s">
        <x:v>45</x:v>
      </x:c>
      <x:c r="C1839" s="70" t="s">
        <x:v>102</x:v>
      </x:c>
      <x:c r="D1839" s="70" t="s">
        <x:v>234</x:v>
      </x:c>
      <x:c r="E1839" s="70" t="s">
        <x:v>1106</x:v>
      </x:c>
      <x:c r="F1839" s="70"/>
      <x:c r="G1839" s="70" t="s">
        <x:v>2628</x:v>
      </x:c>
      <x:c r="H1839" s="70" t="s">
        <x:v>842</x:v>
      </x:c>
      <x:c r="I1839" s="70" t="s">
        <x:v>833</x:v>
      </x:c>
      <x:c r="J1839" s="70" t="n">
        <x:v>210</x:v>
      </x:c>
      <x:c r="K1839" s="70" t="s">
        <x:v>2095</x:v>
      </x:c>
      <x:c r="L1839" s="70"/>
      <x:c r="M1839" s="70" t="s">
        <x:v>39</x:v>
      </x:c>
      <x:c r="N1839" s="71" t="n">
        <x:v>0</x:v>
      </x:c>
      <x:c r="O1839" s="72" t="n">
        <x:f aca="0">N1839/1000</x:f>
        <x:v>0</x:v>
      </x:c>
      <x:c r="P1839" s="73" t="n">
        <x:f aca="0">FCCL!E89</x:f>
        <x:v>0</x:v>
      </x:c>
      <x:c r="Q1839" s="70" t="str">
        <x:f aca="0">IF(ABS(O1839-P1839)&lt;0.000001,"PASS","FAIL")</x:f>
        <x:v>PASS</x:v>
      </x:c>
      <x:c r="R1839" s="70" t="s">
        <x:v>27</x:v>
      </x:c>
      <x:c r="S1839" s="70"/>
    </x:row>
    <x:row r="1840" ht="15" hidden="0">
      <x:c r="A1840" s="70" t="s">
        <x:v>2897</x:v>
      </x:c>
      <x:c r="B1840" s="70" t="s">
        <x:v>45</x:v>
      </x:c>
      <x:c r="C1840" s="70" t="s">
        <x:v>103</x:v>
      </x:c>
      <x:c r="D1840" s="70" t="s">
        <x:v>234</x:v>
      </x:c>
      <x:c r="E1840" s="70" t="s">
        <x:v>1106</x:v>
      </x:c>
      <x:c r="F1840" s="70"/>
      <x:c r="G1840" s="70" t="s">
        <x:v>2631</x:v>
      </x:c>
      <x:c r="H1840" s="70" t="s">
        <x:v>845</x:v>
      </x:c>
      <x:c r="I1840" s="70" t="s">
        <x:v>833</x:v>
      </x:c>
      <x:c r="J1840" s="70" t="n">
        <x:v>192</x:v>
      </x:c>
      <x:c r="K1840" s="70" t="s">
        <x:v>2447</x:v>
      </x:c>
      <x:c r="L1840" s="70"/>
      <x:c r="M1840" s="70" t="s">
        <x:v>39</x:v>
      </x:c>
      <x:c r="N1840" s="71" t="n">
        <x:v>0</x:v>
      </x:c>
      <x:c r="O1840" s="72" t="n">
        <x:f aca="0">N1840/1000</x:f>
        <x:v>0</x:v>
      </x:c>
      <x:c r="P1840" s="73" t="n">
        <x:f aca="0">FCCL!F89</x:f>
        <x:v>0</x:v>
      </x:c>
      <x:c r="Q1840" s="70" t="str">
        <x:f aca="0">IF(ABS(O1840-P1840)&lt;0.000001,"PASS","FAIL")</x:f>
        <x:v>PASS</x:v>
      </x:c>
      <x:c r="R1840" s="70" t="s">
        <x:v>27</x:v>
      </x:c>
      <x:c r="S1840" s="70"/>
    </x:row>
    <x:row r="1841" ht="15" hidden="0">
      <x:c r="A1841" s="70" t="s">
        <x:v>2898</x:v>
      </x:c>
      <x:c r="B1841" s="70" t="s">
        <x:v>45</x:v>
      </x:c>
      <x:c r="C1841" s="70" t="s">
        <x:v>104</x:v>
      </x:c>
      <x:c r="D1841" s="70" t="s">
        <x:v>234</x:v>
      </x:c>
      <x:c r="E1841" s="70" t="s">
        <x:v>1106</x:v>
      </x:c>
      <x:c r="F1841" s="70"/>
      <x:c r="G1841" s="70" t="s">
        <x:v>2633</x:v>
      </x:c>
      <x:c r="H1841" s="70" t="s">
        <x:v>849</x:v>
      </x:c>
      <x:c r="I1841" s="70" t="s">
        <x:v>833</x:v>
      </x:c>
      <x:c r="J1841" s="70" t="n">
        <x:v>246</x:v>
      </x:c>
      <x:c r="K1841" s="70" t="s">
        <x:v>834</x:v>
      </x:c>
      <x:c r="L1841" s="70"/>
      <x:c r="M1841" s="70" t="s">
        <x:v>39</x:v>
      </x:c>
      <x:c r="N1841" s="71" t="n">
        <x:v>0</x:v>
      </x:c>
      <x:c r="O1841" s="72" t="n">
        <x:f aca="0">N1841/1000</x:f>
        <x:v>0</x:v>
      </x:c>
      <x:c r="P1841" s="73" t="n">
        <x:f aca="0">FCCL!G89</x:f>
        <x:v>0</x:v>
      </x:c>
      <x:c r="Q1841" s="70" t="str">
        <x:f aca="0">IF(ABS(O1841-P1841)&lt;0.000001,"PASS","FAIL")</x:f>
        <x:v>PASS</x:v>
      </x:c>
      <x:c r="R1841" s="70" t="s">
        <x:v>27</x:v>
      </x:c>
      <x:c r="S1841" s="70"/>
    </x:row>
    <x:row r="1842" ht="15" hidden="0">
      <x:c r="A1842" s="70" t="s">
        <x:v>2899</x:v>
      </x:c>
      <x:c r="B1842" s="70" t="s">
        <x:v>45</x:v>
      </x:c>
      <x:c r="C1842" s="70" t="s">
        <x:v>105</x:v>
      </x:c>
      <x:c r="D1842" s="70" t="s">
        <x:v>234</x:v>
      </x:c>
      <x:c r="E1842" s="70" t="s">
        <x:v>1106</x:v>
      </x:c>
      <x:c r="F1842" s="70"/>
      <x:c r="G1842" s="70" t="s">
        <x:v>2633</x:v>
      </x:c>
      <x:c r="H1842" s="70" t="s">
        <x:v>849</x:v>
      </x:c>
      <x:c r="I1842" s="70" t="s">
        <x:v>852</x:v>
      </x:c>
      <x:c r="J1842" s="70" t="n">
        <x:v>246</x:v>
      </x:c>
      <x:c r="K1842" s="70" t="s">
        <x:v>834</x:v>
      </x:c>
      <x:c r="L1842" s="70"/>
      <x:c r="M1842" s="70" t="s">
        <x:v>39</x:v>
      </x:c>
      <x:c r="N1842" s="71" t="n">
        <x:v>0</x:v>
      </x:c>
      <x:c r="O1842" s="72" t="n">
        <x:f aca="0">N1842/1000</x:f>
        <x:v>0</x:v>
      </x:c>
      <x:c r="P1842" s="73" t="n">
        <x:f aca="0">FCCL!H89</x:f>
        <x:v>0</x:v>
      </x:c>
      <x:c r="Q1842" s="70" t="str">
        <x:f aca="0">IF(ABS(O1842-P1842)&lt;0.000001,"PASS","FAIL")</x:f>
        <x:v>PASS</x:v>
      </x:c>
      <x:c r="R1842" s="70" t="s">
        <x:v>27</x:v>
      </x:c>
      <x:c r="S1842" s="70"/>
    </x:row>
    <x:row r="1843" ht="15" hidden="0">
      <x:c r="A1843" s="70" t="s">
        <x:v>2900</x:v>
      </x:c>
      <x:c r="B1843" s="70" t="s">
        <x:v>45</x:v>
      </x:c>
      <x:c r="C1843" s="70" t="s">
        <x:v>101</x:v>
      </x:c>
      <x:c r="D1843" s="70" t="s">
        <x:v>236</x:v>
      </x:c>
      <x:c r="E1843" s="70" t="s">
        <x:v>1106</x:v>
      </x:c>
      <x:c r="F1843" s="70" t="s">
        <x:v>1136</x:v>
      </x:c>
      <x:c r="G1843" s="70" t="s">
        <x:v>2626</x:v>
      </x:c>
      <x:c r="H1843" s="70" t="s">
        <x:v>838</x:v>
      </x:c>
      <x:c r="I1843" s="70" t="s">
        <x:v>833</x:v>
      </x:c>
      <x:c r="J1843" s="70" t="n">
        <x:v>188</x:v>
      </x:c>
      <x:c r="K1843" s="70" t="s">
        <x:v>1763</x:v>
      </x:c>
      <x:c r="L1843" s="70"/>
      <x:c r="M1843" s="70" t="s">
        <x:v>39</x:v>
      </x:c>
      <x:c r="N1843" s="71" t="n">
        <x:v>-377946</x:v>
      </x:c>
      <x:c r="O1843" s="72" t="n">
        <x:f aca="0">N1843/1000</x:f>
        <x:v>-377.946</x:v>
      </x:c>
      <x:c r="P1843" s="73" t="n">
        <x:f aca="0">FCCL!D90</x:f>
        <x:v>-377.946</x:v>
      </x:c>
      <x:c r="Q1843" s="70" t="str">
        <x:f aca="0">IF(ABS(O1843-P1843)&lt;0.000001,"PASS","FAIL")</x:f>
        <x:v>PASS</x:v>
      </x:c>
      <x:c r="R1843" s="70" t="s">
        <x:v>27</x:v>
      </x:c>
      <x:c r="S1843" s="70"/>
    </x:row>
    <x:row r="1844" ht="15" hidden="0">
      <x:c r="A1844" s="70" t="s">
        <x:v>2901</x:v>
      </x:c>
      <x:c r="B1844" s="70" t="s">
        <x:v>45</x:v>
      </x:c>
      <x:c r="C1844" s="70" t="s">
        <x:v>102</x:v>
      </x:c>
      <x:c r="D1844" s="70" t="s">
        <x:v>236</x:v>
      </x:c>
      <x:c r="E1844" s="70" t="s">
        <x:v>1106</x:v>
      </x:c>
      <x:c r="F1844" s="70" t="s">
        <x:v>1136</x:v>
      </x:c>
      <x:c r="G1844" s="70" t="s">
        <x:v>2628</x:v>
      </x:c>
      <x:c r="H1844" s="70" t="s">
        <x:v>842</x:v>
      </x:c>
      <x:c r="I1844" s="70" t="s">
        <x:v>833</x:v>
      </x:c>
      <x:c r="J1844" s="70" t="n">
        <x:v>210</x:v>
      </x:c>
      <x:c r="K1844" s="70" t="s">
        <x:v>2095</x:v>
      </x:c>
      <x:c r="L1844" s="70"/>
      <x:c r="M1844" s="70" t="s">
        <x:v>39</x:v>
      </x:c>
      <x:c r="N1844" s="71" t="n">
        <x:v>-808964</x:v>
      </x:c>
      <x:c r="O1844" s="72" t="n">
        <x:f aca="0">N1844/1000</x:f>
        <x:v>-808.964</x:v>
      </x:c>
      <x:c r="P1844" s="73" t="n">
        <x:f aca="0">FCCL!E90</x:f>
        <x:v>-808.964</x:v>
      </x:c>
      <x:c r="Q1844" s="70" t="str">
        <x:f aca="0">IF(ABS(O1844-P1844)&lt;0.000001,"PASS","FAIL")</x:f>
        <x:v>PASS</x:v>
      </x:c>
      <x:c r="R1844" s="70" t="s">
        <x:v>27</x:v>
      </x:c>
      <x:c r="S1844" s="70"/>
    </x:row>
    <x:row r="1845" ht="15" hidden="0">
      <x:c r="A1845" s="70" t="s">
        <x:v>2902</x:v>
      </x:c>
      <x:c r="B1845" s="70" t="s">
        <x:v>45</x:v>
      </x:c>
      <x:c r="C1845" s="70" t="s">
        <x:v>103</x:v>
      </x:c>
      <x:c r="D1845" s="70" t="s">
        <x:v>236</x:v>
      </x:c>
      <x:c r="E1845" s="70" t="s">
        <x:v>1106</x:v>
      </x:c>
      <x:c r="F1845" s="70" t="s">
        <x:v>1136</x:v>
      </x:c>
      <x:c r="G1845" s="70" t="s">
        <x:v>2631</x:v>
      </x:c>
      <x:c r="H1845" s="70" t="s">
        <x:v>845</x:v>
      </x:c>
      <x:c r="I1845" s="70" t="s">
        <x:v>833</x:v>
      </x:c>
      <x:c r="J1845" s="70" t="n">
        <x:v>192</x:v>
      </x:c>
      <x:c r="K1845" s="70" t="s">
        <x:v>2447</x:v>
      </x:c>
      <x:c r="L1845" s="70"/>
      <x:c r="M1845" s="70" t="s">
        <x:v>39</x:v>
      </x:c>
      <x:c r="N1845" s="71" t="n">
        <x:v>-750078</x:v>
      </x:c>
      <x:c r="O1845" s="72" t="n">
        <x:f aca="0">N1845/1000</x:f>
        <x:v>-750.078</x:v>
      </x:c>
      <x:c r="P1845" s="73" t="n">
        <x:f aca="0">FCCL!F90</x:f>
        <x:v>-750.078</x:v>
      </x:c>
      <x:c r="Q1845" s="70" t="str">
        <x:f aca="0">IF(ABS(O1845-P1845)&lt;0.000001,"PASS","FAIL")</x:f>
        <x:v>PASS</x:v>
      </x:c>
      <x:c r="R1845" s="70" t="s">
        <x:v>27</x:v>
      </x:c>
      <x:c r="S1845" s="70"/>
    </x:row>
    <x:row r="1846" ht="15" hidden="0">
      <x:c r="A1846" s="70" t="s">
        <x:v>2903</x:v>
      </x:c>
      <x:c r="B1846" s="70" t="s">
        <x:v>45</x:v>
      </x:c>
      <x:c r="C1846" s="70" t="s">
        <x:v>104</x:v>
      </x:c>
      <x:c r="D1846" s="70" t="s">
        <x:v>236</x:v>
      </x:c>
      <x:c r="E1846" s="70" t="s">
        <x:v>1106</x:v>
      </x:c>
      <x:c r="F1846" s="70" t="s">
        <x:v>1136</x:v>
      </x:c>
      <x:c r="G1846" s="70" t="s">
        <x:v>2633</x:v>
      </x:c>
      <x:c r="H1846" s="70" t="s">
        <x:v>849</x:v>
      </x:c>
      <x:c r="I1846" s="70" t="s">
        <x:v>833</x:v>
      </x:c>
      <x:c r="J1846" s="70" t="n">
        <x:v>246</x:v>
      </x:c>
      <x:c r="K1846" s="70" t="s">
        <x:v>834</x:v>
      </x:c>
      <x:c r="L1846" s="70"/>
      <x:c r="M1846" s="70" t="s">
        <x:v>39</x:v>
      </x:c>
      <x:c r="N1846" s="71" t="n">
        <x:v>-826875</x:v>
      </x:c>
      <x:c r="O1846" s="72" t="n">
        <x:f aca="0">N1846/1000</x:f>
        <x:v>-826.875</x:v>
      </x:c>
      <x:c r="P1846" s="73" t="n">
        <x:f aca="0">FCCL!G90</x:f>
        <x:v>-826.875</x:v>
      </x:c>
      <x:c r="Q1846" s="70" t="str">
        <x:f aca="0">IF(ABS(O1846-P1846)&lt;0.000001,"PASS","FAIL")</x:f>
        <x:v>PASS</x:v>
      </x:c>
      <x:c r="R1846" s="70" t="s">
        <x:v>27</x:v>
      </x:c>
      <x:c r="S1846" s="70"/>
    </x:row>
    <x:row r="1847" ht="15" hidden="0">
      <x:c r="A1847" s="70" t="s">
        <x:v>2904</x:v>
      </x:c>
      <x:c r="B1847" s="70" t="s">
        <x:v>45</x:v>
      </x:c>
      <x:c r="C1847" s="70" t="s">
        <x:v>105</x:v>
      </x:c>
      <x:c r="D1847" s="70" t="s">
        <x:v>236</x:v>
      </x:c>
      <x:c r="E1847" s="70" t="s">
        <x:v>1106</x:v>
      </x:c>
      <x:c r="F1847" s="70" t="s">
        <x:v>1136</x:v>
      </x:c>
      <x:c r="G1847" s="70" t="s">
        <x:v>2633</x:v>
      </x:c>
      <x:c r="H1847" s="70" t="s">
        <x:v>849</x:v>
      </x:c>
      <x:c r="I1847" s="70" t="s">
        <x:v>852</x:v>
      </x:c>
      <x:c r="J1847" s="70" t="n">
        <x:v>246</x:v>
      </x:c>
      <x:c r="K1847" s="70" t="s">
        <x:v>834</x:v>
      </x:c>
      <x:c r="L1847" s="70"/>
      <x:c r="M1847" s="70" t="s">
        <x:v>39</x:v>
      </x:c>
      <x:c r="N1847" s="71" t="n">
        <x:v>-1479276</x:v>
      </x:c>
      <x:c r="O1847" s="72" t="n">
        <x:f aca="0">N1847/1000</x:f>
        <x:v>-1479.276</x:v>
      </x:c>
      <x:c r="P1847" s="73" t="n">
        <x:f aca="0">FCCL!H90</x:f>
        <x:v>-1479.276</x:v>
      </x:c>
      <x:c r="Q1847" s="70" t="str">
        <x:f aca="0">IF(ABS(O1847-P1847)&lt;0.000001,"PASS","FAIL")</x:f>
        <x:v>PASS</x:v>
      </x:c>
      <x:c r="R1847" s="70" t="s">
        <x:v>27</x:v>
      </x:c>
      <x:c r="S1847" s="70"/>
    </x:row>
    <x:row r="1848" ht="15" hidden="0">
      <x:c r="A1848" s="70" t="s">
        <x:v>2905</x:v>
      </x:c>
      <x:c r="B1848" s="70" t="s">
        <x:v>45</x:v>
      </x:c>
      <x:c r="C1848" s="70" t="s">
        <x:v>101</x:v>
      </x:c>
      <x:c r="D1848" s="70" t="s">
        <x:v>240</x:v>
      </x:c>
      <x:c r="E1848" s="70" t="s">
        <x:v>1106</x:v>
      </x:c>
      <x:c r="F1848" s="70" t="s">
        <x:v>240</x:v>
      </x:c>
      <x:c r="G1848" s="70" t="s">
        <x:v>2626</x:v>
      </x:c>
      <x:c r="H1848" s="70" t="s">
        <x:v>838</x:v>
      </x:c>
      <x:c r="I1848" s="70" t="s">
        <x:v>833</x:v>
      </x:c>
      <x:c r="J1848" s="70" t="n">
        <x:v>188</x:v>
      </x:c>
      <x:c r="K1848" s="70" t="s">
        <x:v>1763</x:v>
      </x:c>
      <x:c r="L1848" s="70"/>
      <x:c r="M1848" s="70" t="s">
        <x:v>39</x:v>
      </x:c>
      <x:c r="N1848" s="71" t="n">
        <x:v>81710</x:v>
      </x:c>
      <x:c r="O1848" s="72" t="n">
        <x:f aca="0">N1848/1000</x:f>
        <x:v>81.71</x:v>
      </x:c>
      <x:c r="P1848" s="73" t="n">
        <x:f aca="0">FCCL!D92</x:f>
        <x:v>81.71</x:v>
      </x:c>
      <x:c r="Q1848" s="70" t="str">
        <x:f aca="0">IF(ABS(O1848-P1848)&lt;0.000001,"PASS","FAIL")</x:f>
        <x:v>PASS</x:v>
      </x:c>
      <x:c r="R1848" s="70" t="s">
        <x:v>27</x:v>
      </x:c>
      <x:c r="S1848" s="70"/>
    </x:row>
    <x:row r="1849" ht="15" hidden="0">
      <x:c r="A1849" s="70" t="s">
        <x:v>2906</x:v>
      </x:c>
      <x:c r="B1849" s="70" t="s">
        <x:v>45</x:v>
      </x:c>
      <x:c r="C1849" s="70" t="s">
        <x:v>102</x:v>
      </x:c>
      <x:c r="D1849" s="70" t="s">
        <x:v>240</x:v>
      </x:c>
      <x:c r="E1849" s="70" t="s">
        <x:v>1106</x:v>
      </x:c>
      <x:c r="F1849" s="70" t="s">
        <x:v>240</x:v>
      </x:c>
      <x:c r="G1849" s="70" t="s">
        <x:v>2628</x:v>
      </x:c>
      <x:c r="H1849" s="70" t="s">
        <x:v>842</x:v>
      </x:c>
      <x:c r="I1849" s="70" t="s">
        <x:v>833</x:v>
      </x:c>
      <x:c r="J1849" s="70" t="n">
        <x:v>210</x:v>
      </x:c>
      <x:c r="K1849" s="70" t="s">
        <x:v>2095</x:v>
      </x:c>
      <x:c r="L1849" s="70"/>
      <x:c r="M1849" s="70" t="s">
        <x:v>39</x:v>
      </x:c>
      <x:c r="N1849" s="71" t="n">
        <x:v>230695</x:v>
      </x:c>
      <x:c r="O1849" s="72" t="n">
        <x:f aca="0">N1849/1000</x:f>
        <x:v>230.695</x:v>
      </x:c>
      <x:c r="P1849" s="73" t="n">
        <x:f aca="0">FCCL!E92</x:f>
        <x:v>230.695</x:v>
      </x:c>
      <x:c r="Q1849" s="70" t="str">
        <x:f aca="0">IF(ABS(O1849-P1849)&lt;0.000001,"PASS","FAIL")</x:f>
        <x:v>PASS</x:v>
      </x:c>
      <x:c r="R1849" s="70" t="s">
        <x:v>27</x:v>
      </x:c>
      <x:c r="S1849" s="70"/>
    </x:row>
    <x:row r="1850" ht="15" hidden="0">
      <x:c r="A1850" s="70" t="s">
        <x:v>2907</x:v>
      </x:c>
      <x:c r="B1850" s="70" t="s">
        <x:v>45</x:v>
      </x:c>
      <x:c r="C1850" s="70" t="s">
        <x:v>103</x:v>
      </x:c>
      <x:c r="D1850" s="70" t="s">
        <x:v>240</x:v>
      </x:c>
      <x:c r="E1850" s="70" t="s">
        <x:v>1106</x:v>
      </x:c>
      <x:c r="F1850" s="70" t="s">
        <x:v>240</x:v>
      </x:c>
      <x:c r="G1850" s="70" t="s">
        <x:v>2631</x:v>
      </x:c>
      <x:c r="H1850" s="70" t="s">
        <x:v>845</x:v>
      </x:c>
      <x:c r="I1850" s="70" t="s">
        <x:v>833</x:v>
      </x:c>
      <x:c r="J1850" s="70" t="n">
        <x:v>192</x:v>
      </x:c>
      <x:c r="K1850" s="70" t="s">
        <x:v>2447</x:v>
      </x:c>
      <x:c r="L1850" s="70"/>
      <x:c r="M1850" s="70" t="s">
        <x:v>39</x:v>
      </x:c>
      <x:c r="N1850" s="71" t="n">
        <x:v>436173</x:v>
      </x:c>
      <x:c r="O1850" s="72" t="n">
        <x:f aca="0">N1850/1000</x:f>
        <x:v>436.173</x:v>
      </x:c>
      <x:c r="P1850" s="73" t="n">
        <x:f aca="0">FCCL!F92</x:f>
        <x:v>436.173</x:v>
      </x:c>
      <x:c r="Q1850" s="70" t="str">
        <x:f aca="0">IF(ABS(O1850-P1850)&lt;0.000001,"PASS","FAIL")</x:f>
        <x:v>PASS</x:v>
      </x:c>
      <x:c r="R1850" s="70" t="s">
        <x:v>27</x:v>
      </x:c>
      <x:c r="S1850" s="70"/>
    </x:row>
    <x:row r="1851" ht="15" hidden="0">
      <x:c r="A1851" s="70" t="s">
        <x:v>2908</x:v>
      </x:c>
      <x:c r="B1851" s="70" t="s">
        <x:v>45</x:v>
      </x:c>
      <x:c r="C1851" s="70" t="s">
        <x:v>104</x:v>
      </x:c>
      <x:c r="D1851" s="70" t="s">
        <x:v>240</x:v>
      </x:c>
      <x:c r="E1851" s="70" t="s">
        <x:v>1106</x:v>
      </x:c>
      <x:c r="F1851" s="70" t="s">
        <x:v>240</x:v>
      </x:c>
      <x:c r="G1851" s="70" t="s">
        <x:v>2633</x:v>
      </x:c>
      <x:c r="H1851" s="70" t="s">
        <x:v>849</x:v>
      </x:c>
      <x:c r="I1851" s="70" t="s">
        <x:v>833</x:v>
      </x:c>
      <x:c r="J1851" s="70" t="n">
        <x:v>246</x:v>
      </x:c>
      <x:c r="K1851" s="70" t="s">
        <x:v>834</x:v>
      </x:c>
      <x:c r="L1851" s="70"/>
      <x:c r="M1851" s="70" t="s">
        <x:v>39</x:v>
      </x:c>
      <x:c r="N1851" s="71" t="n">
        <x:v>540373</x:v>
      </x:c>
      <x:c r="O1851" s="72" t="n">
        <x:f aca="0">N1851/1000</x:f>
        <x:v>540.373</x:v>
      </x:c>
      <x:c r="P1851" s="73" t="n">
        <x:f aca="0">FCCL!G92</x:f>
        <x:v>540.373</x:v>
      </x:c>
      <x:c r="Q1851" s="70" t="str">
        <x:f aca="0">IF(ABS(O1851-P1851)&lt;0.000001,"PASS","FAIL")</x:f>
        <x:v>PASS</x:v>
      </x:c>
      <x:c r="R1851" s="70" t="s">
        <x:v>27</x:v>
      </x:c>
      <x:c r="S1851" s="70"/>
    </x:row>
    <x:row r="1852" ht="15" hidden="0">
      <x:c r="A1852" s="70" t="s">
        <x:v>2909</x:v>
      </x:c>
      <x:c r="B1852" s="70" t="s">
        <x:v>45</x:v>
      </x:c>
      <x:c r="C1852" s="70" t="s">
        <x:v>105</x:v>
      </x:c>
      <x:c r="D1852" s="70" t="s">
        <x:v>240</x:v>
      </x:c>
      <x:c r="E1852" s="70" t="s">
        <x:v>1106</x:v>
      </x:c>
      <x:c r="F1852" s="70" t="s">
        <x:v>240</x:v>
      </x:c>
      <x:c r="G1852" s="70" t="s">
        <x:v>2633</x:v>
      </x:c>
      <x:c r="H1852" s="70" t="s">
        <x:v>849</x:v>
      </x:c>
      <x:c r="I1852" s="70" t="s">
        <x:v>852</x:v>
      </x:c>
      <x:c r="J1852" s="70" t="n">
        <x:v>246</x:v>
      </x:c>
      <x:c r="K1852" s="70" t="s">
        <x:v>834</x:v>
      </x:c>
      <x:c r="L1852" s="70"/>
      <x:c r="M1852" s="70" t="s">
        <x:v>39</x:v>
      </x:c>
      <x:c r="N1852" s="71" t="n">
        <x:v>760772</x:v>
      </x:c>
      <x:c r="O1852" s="72" t="n">
        <x:f aca="0">N1852/1000</x:f>
        <x:v>760.772</x:v>
      </x:c>
      <x:c r="P1852" s="73" t="n">
        <x:f aca="0">FCCL!H92</x:f>
        <x:v>760.772</x:v>
      </x:c>
      <x:c r="Q1852" s="70" t="str">
        <x:f aca="0">IF(ABS(O1852-P1852)&lt;0.000001,"PASS","FAIL")</x:f>
        <x:v>PASS</x:v>
      </x:c>
      <x:c r="R1852" s="70" t="s">
        <x:v>27</x:v>
      </x:c>
      <x:c r="S1852" s="70"/>
    </x:row>
    <x:row r="1853" ht="15" hidden="0">
      <x:c r="A1853" s="70" t="s">
        <x:v>2910</x:v>
      </x:c>
      <x:c r="B1853" s="70" t="s">
        <x:v>45</x:v>
      </x:c>
      <x:c r="C1853" s="70" t="s">
        <x:v>101</x:v>
      </x:c>
      <x:c r="D1853" s="70" t="s">
        <x:v>242</x:v>
      </x:c>
      <x:c r="E1853" s="70" t="s">
        <x:v>1106</x:v>
      </x:c>
      <x:c r="F1853" s="70" t="s">
        <x:v>2486</x:v>
      </x:c>
      <x:c r="G1853" s="70" t="s">
        <x:v>2626</x:v>
      </x:c>
      <x:c r="H1853" s="70" t="s">
        <x:v>838</x:v>
      </x:c>
      <x:c r="I1853" s="70" t="s">
        <x:v>833</x:v>
      </x:c>
      <x:c r="J1853" s="70" t="n">
        <x:v>188</x:v>
      </x:c>
      <x:c r="K1853" s="70" t="s">
        <x:v>1763</x:v>
      </x:c>
      <x:c r="L1853" s="70"/>
      <x:c r="M1853" s="70" t="s">
        <x:v>39</x:v>
      </x:c>
      <x:c r="N1853" s="71" t="n">
        <x:v>160543</x:v>
      </x:c>
      <x:c r="O1853" s="72" t="n">
        <x:f aca="0">N1853/1000</x:f>
        <x:v>160.543</x:v>
      </x:c>
      <x:c r="P1853" s="73" t="n">
        <x:f aca="0">FCCL!D93</x:f>
        <x:v>160.543</x:v>
      </x:c>
      <x:c r="Q1853" s="70" t="str">
        <x:f aca="0">IF(ABS(O1853-P1853)&lt;0.000001,"PASS","FAIL")</x:f>
        <x:v>PASS</x:v>
      </x:c>
      <x:c r="R1853" s="70" t="s">
        <x:v>27</x:v>
      </x:c>
      <x:c r="S1853" s="70"/>
    </x:row>
    <x:row r="1854" ht="15" hidden="0">
      <x:c r="A1854" s="70" t="s">
        <x:v>2911</x:v>
      </x:c>
      <x:c r="B1854" s="70" t="s">
        <x:v>45</x:v>
      </x:c>
      <x:c r="C1854" s="70" t="s">
        <x:v>102</x:v>
      </x:c>
      <x:c r="D1854" s="70" t="s">
        <x:v>242</x:v>
      </x:c>
      <x:c r="E1854" s="70" t="s">
        <x:v>1106</x:v>
      </x:c>
      <x:c r="F1854" s="70" t="s">
        <x:v>2486</x:v>
      </x:c>
      <x:c r="G1854" s="70" t="s">
        <x:v>2628</x:v>
      </x:c>
      <x:c r="H1854" s="70" t="s">
        <x:v>842</x:v>
      </x:c>
      <x:c r="I1854" s="70" t="s">
        <x:v>833</x:v>
      </x:c>
      <x:c r="J1854" s="70" t="n">
        <x:v>210</x:v>
      </x:c>
      <x:c r="K1854" s="70" t="s">
        <x:v>2095</x:v>
      </x:c>
      <x:c r="L1854" s="70"/>
      <x:c r="M1854" s="70" t="s">
        <x:v>39</x:v>
      </x:c>
      <x:c r="N1854" s="71" t="n">
        <x:v>745852</x:v>
      </x:c>
      <x:c r="O1854" s="72" t="n">
        <x:f aca="0">N1854/1000</x:f>
        <x:v>745.852</x:v>
      </x:c>
      <x:c r="P1854" s="73" t="n">
        <x:f aca="0">FCCL!E93</x:f>
        <x:v>745.852</x:v>
      </x:c>
      <x:c r="Q1854" s="70" t="str">
        <x:f aca="0">IF(ABS(O1854-P1854)&lt;0.000001,"PASS","FAIL")</x:f>
        <x:v>PASS</x:v>
      </x:c>
      <x:c r="R1854" s="70" t="s">
        <x:v>27</x:v>
      </x:c>
      <x:c r="S1854" s="70"/>
    </x:row>
    <x:row r="1855" ht="15" hidden="0">
      <x:c r="A1855" s="70" t="s">
        <x:v>2912</x:v>
      </x:c>
      <x:c r="B1855" s="70" t="s">
        <x:v>45</x:v>
      </x:c>
      <x:c r="C1855" s="70" t="s">
        <x:v>103</x:v>
      </x:c>
      <x:c r="D1855" s="70" t="s">
        <x:v>242</x:v>
      </x:c>
      <x:c r="E1855" s="70" t="s">
        <x:v>1106</x:v>
      </x:c>
      <x:c r="F1855" s="70" t="s">
        <x:v>2486</x:v>
      </x:c>
      <x:c r="G1855" s="70" t="s">
        <x:v>2631</x:v>
      </x:c>
      <x:c r="H1855" s="70" t="s">
        <x:v>845</x:v>
      </x:c>
      <x:c r="I1855" s="70" t="s">
        <x:v>833</x:v>
      </x:c>
      <x:c r="J1855" s="70" t="n">
        <x:v>192</x:v>
      </x:c>
      <x:c r="K1855" s="70" t="s">
        <x:v>2447</x:v>
      </x:c>
      <x:c r="L1855" s="70"/>
      <x:c r="M1855" s="70" t="s">
        <x:v>39</x:v>
      </x:c>
      <x:c r="N1855" s="71" t="n">
        <x:v>527702</x:v>
      </x:c>
      <x:c r="O1855" s="72" t="n">
        <x:f aca="0">N1855/1000</x:f>
        <x:v>527.702</x:v>
      </x:c>
      <x:c r="P1855" s="73" t="n">
        <x:f aca="0">FCCL!F93</x:f>
        <x:v>527.702</x:v>
      </x:c>
      <x:c r="Q1855" s="70" t="str">
        <x:f aca="0">IF(ABS(O1855-P1855)&lt;0.000001,"PASS","FAIL")</x:f>
        <x:v>PASS</x:v>
      </x:c>
      <x:c r="R1855" s="70" t="s">
        <x:v>27</x:v>
      </x:c>
      <x:c r="S1855" s="70"/>
    </x:row>
    <x:row r="1856" ht="15" hidden="0">
      <x:c r="A1856" s="70" t="s">
        <x:v>2913</x:v>
      </x:c>
      <x:c r="B1856" s="70" t="s">
        <x:v>45</x:v>
      </x:c>
      <x:c r="C1856" s="70" t="s">
        <x:v>104</x:v>
      </x:c>
      <x:c r="D1856" s="70" t="s">
        <x:v>242</x:v>
      </x:c>
      <x:c r="E1856" s="70" t="s">
        <x:v>1106</x:v>
      </x:c>
      <x:c r="F1856" s="70" t="s">
        <x:v>2486</x:v>
      </x:c>
      <x:c r="G1856" s="70" t="s">
        <x:v>2633</x:v>
      </x:c>
      <x:c r="H1856" s="70" t="s">
        <x:v>849</x:v>
      </x:c>
      <x:c r="I1856" s="70" t="s">
        <x:v>833</x:v>
      </x:c>
      <x:c r="J1856" s="70" t="n">
        <x:v>246</x:v>
      </x:c>
      <x:c r="K1856" s="70" t="s">
        <x:v>834</x:v>
      </x:c>
      <x:c r="L1856" s="70"/>
      <x:c r="M1856" s="70" t="s">
        <x:v>39</x:v>
      </x:c>
      <x:c r="N1856" s="71" t="n">
        <x:v>299318</x:v>
      </x:c>
      <x:c r="O1856" s="72" t="n">
        <x:f aca="0">N1856/1000</x:f>
        <x:v>299.318</x:v>
      </x:c>
      <x:c r="P1856" s="73" t="n">
        <x:f aca="0">FCCL!G93</x:f>
        <x:v>299.318</x:v>
      </x:c>
      <x:c r="Q1856" s="70" t="str">
        <x:f aca="0">IF(ABS(O1856-P1856)&lt;0.000001,"PASS","FAIL")</x:f>
        <x:v>PASS</x:v>
      </x:c>
      <x:c r="R1856" s="70" t="s">
        <x:v>27</x:v>
      </x:c>
      <x:c r="S1856" s="70"/>
    </x:row>
    <x:row r="1857" ht="15" hidden="0">
      <x:c r="A1857" s="70" t="s">
        <x:v>2914</x:v>
      </x:c>
      <x:c r="B1857" s="70" t="s">
        <x:v>45</x:v>
      </x:c>
      <x:c r="C1857" s="70" t="s">
        <x:v>105</x:v>
      </x:c>
      <x:c r="D1857" s="70" t="s">
        <x:v>242</x:v>
      </x:c>
      <x:c r="E1857" s="70" t="s">
        <x:v>1106</x:v>
      </x:c>
      <x:c r="F1857" s="70" t="s">
        <x:v>2486</x:v>
      </x:c>
      <x:c r="G1857" s="70" t="s">
        <x:v>2633</x:v>
      </x:c>
      <x:c r="H1857" s="70" t="s">
        <x:v>849</x:v>
      </x:c>
      <x:c r="I1857" s="70" t="s">
        <x:v>852</x:v>
      </x:c>
      <x:c r="J1857" s="70" t="n">
        <x:v>246</x:v>
      </x:c>
      <x:c r="K1857" s="70" t="s">
        <x:v>834</x:v>
      </x:c>
      <x:c r="L1857" s="70"/>
      <x:c r="M1857" s="70" t="s">
        <x:v>39</x:v>
      </x:c>
      <x:c r="N1857" s="71" t="n">
        <x:v>1068831</x:v>
      </x:c>
      <x:c r="O1857" s="72" t="n">
        <x:f aca="0">N1857/1000</x:f>
        <x:v>1068.831</x:v>
      </x:c>
      <x:c r="P1857" s="73" t="n">
        <x:f aca="0">FCCL!H93</x:f>
        <x:v>1068.831</x:v>
      </x:c>
      <x:c r="Q1857" s="70" t="str">
        <x:f aca="0">IF(ABS(O1857-P1857)&lt;0.000001,"PASS","FAIL")</x:f>
        <x:v>PASS</x:v>
      </x:c>
      <x:c r="R1857" s="70" t="s">
        <x:v>27</x:v>
      </x:c>
      <x:c r="S1857" s="70"/>
    </x:row>
    <x:row r="1858" ht="15" hidden="0">
      <x:c r="A1858" s="70" t="s">
        <x:v>2915</x:v>
      </x:c>
      <x:c r="B1858" s="70" t="s">
        <x:v>45</x:v>
      </x:c>
      <x:c r="C1858" s="70" t="s">
        <x:v>101</x:v>
      </x:c>
      <x:c r="D1858" s="70" t="s">
        <x:v>244</x:v>
      </x:c>
      <x:c r="E1858" s="70" t="s">
        <x:v>1106</x:v>
      </x:c>
      <x:c r="F1858" s="70" t="s">
        <x:v>244</x:v>
      </x:c>
      <x:c r="G1858" s="70" t="s">
        <x:v>2626</x:v>
      </x:c>
      <x:c r="H1858" s="70" t="s">
        <x:v>838</x:v>
      </x:c>
      <x:c r="I1858" s="70" t="s">
        <x:v>833</x:v>
      </x:c>
      <x:c r="J1858" s="70" t="n">
        <x:v>188</x:v>
      </x:c>
      <x:c r="K1858" s="70" t="s">
        <x:v>1763</x:v>
      </x:c>
      <x:c r="L1858" s="70"/>
      <x:c r="M1858" s="70" t="s">
        <x:v>39</x:v>
      </x:c>
      <x:c r="N1858" s="71" t="n">
        <x:v>2849</x:v>
      </x:c>
      <x:c r="O1858" s="72" t="n">
        <x:f aca="0">N1858/1000</x:f>
        <x:v>2.849</x:v>
      </x:c>
      <x:c r="P1858" s="73" t="n">
        <x:f aca="0">FCCL!D94</x:f>
        <x:v>2.849</x:v>
      </x:c>
      <x:c r="Q1858" s="70" t="str">
        <x:f aca="0">IF(ABS(O1858-P1858)&lt;0.000001,"PASS","FAIL")</x:f>
        <x:v>PASS</x:v>
      </x:c>
      <x:c r="R1858" s="70" t="s">
        <x:v>27</x:v>
      </x:c>
      <x:c r="S1858" s="70"/>
    </x:row>
    <x:row r="1859" ht="15" hidden="0">
      <x:c r="A1859" s="70" t="s">
        <x:v>2916</x:v>
      </x:c>
      <x:c r="B1859" s="70" t="s">
        <x:v>45</x:v>
      </x:c>
      <x:c r="C1859" s="70" t="s">
        <x:v>102</x:v>
      </x:c>
      <x:c r="D1859" s="70" t="s">
        <x:v>244</x:v>
      </x:c>
      <x:c r="E1859" s="70" t="s">
        <x:v>1106</x:v>
      </x:c>
      <x:c r="F1859" s="70" t="s">
        <x:v>244</x:v>
      </x:c>
      <x:c r="G1859" s="70" t="s">
        <x:v>2628</x:v>
      </x:c>
      <x:c r="H1859" s="70" t="s">
        <x:v>842</x:v>
      </x:c>
      <x:c r="I1859" s="70" t="s">
        <x:v>833</x:v>
      </x:c>
      <x:c r="J1859" s="70" t="n">
        <x:v>210</x:v>
      </x:c>
      <x:c r="K1859" s="70" t="s">
        <x:v>2095</x:v>
      </x:c>
      <x:c r="L1859" s="70"/>
      <x:c r="M1859" s="70" t="s">
        <x:v>39</x:v>
      </x:c>
      <x:c r="N1859" s="71" t="n">
        <x:v>1308</x:v>
      </x:c>
      <x:c r="O1859" s="72" t="n">
        <x:f aca="0">N1859/1000</x:f>
        <x:v>1.308</x:v>
      </x:c>
      <x:c r="P1859" s="73" t="n">
        <x:f aca="0">FCCL!E94</x:f>
        <x:v>1.308</x:v>
      </x:c>
      <x:c r="Q1859" s="70" t="str">
        <x:f aca="0">IF(ABS(O1859-P1859)&lt;0.000001,"PASS","FAIL")</x:f>
        <x:v>PASS</x:v>
      </x:c>
      <x:c r="R1859" s="70" t="s">
        <x:v>27</x:v>
      </x:c>
      <x:c r="S1859" s="70"/>
    </x:row>
    <x:row r="1860" ht="15" hidden="0">
      <x:c r="A1860" s="70" t="s">
        <x:v>2917</x:v>
      </x:c>
      <x:c r="B1860" s="70" t="s">
        <x:v>45</x:v>
      </x:c>
      <x:c r="C1860" s="70" t="s">
        <x:v>103</x:v>
      </x:c>
      <x:c r="D1860" s="70" t="s">
        <x:v>244</x:v>
      </x:c>
      <x:c r="E1860" s="70" t="s">
        <x:v>1106</x:v>
      </x:c>
      <x:c r="F1860" s="70"/>
      <x:c r="G1860" s="70" t="s">
        <x:v>2631</x:v>
      </x:c>
      <x:c r="H1860" s="70" t="s">
        <x:v>845</x:v>
      </x:c>
      <x:c r="I1860" s="70" t="s">
        <x:v>833</x:v>
      </x:c>
      <x:c r="J1860" s="70" t="n">
        <x:v>192</x:v>
      </x:c>
      <x:c r="K1860" s="70" t="s">
        <x:v>2447</x:v>
      </x:c>
      <x:c r="L1860" s="70"/>
      <x:c r="M1860" s="70" t="s">
        <x:v>39</x:v>
      </x:c>
      <x:c r="N1860" s="71" t="n">
        <x:v>0</x:v>
      </x:c>
      <x:c r="O1860" s="72" t="n">
        <x:f aca="0">N1860/1000</x:f>
        <x:v>0</x:v>
      </x:c>
      <x:c r="P1860" s="73" t="n">
        <x:f aca="0">FCCL!F94</x:f>
        <x:v>0</x:v>
      </x:c>
      <x:c r="Q1860" s="70" t="str">
        <x:f aca="0">IF(ABS(O1860-P1860)&lt;0.000001,"PASS","FAIL")</x:f>
        <x:v>PASS</x:v>
      </x:c>
      <x:c r="R1860" s="70" t="s">
        <x:v>27</x:v>
      </x:c>
      <x:c r="S1860" s="70"/>
    </x:row>
    <x:row r="1861" ht="15" hidden="0">
      <x:c r="A1861" s="70" t="s">
        <x:v>2918</x:v>
      </x:c>
      <x:c r="B1861" s="70" t="s">
        <x:v>45</x:v>
      </x:c>
      <x:c r="C1861" s="70" t="s">
        <x:v>104</x:v>
      </x:c>
      <x:c r="D1861" s="70" t="s">
        <x:v>244</x:v>
      </x:c>
      <x:c r="E1861" s="70" t="s">
        <x:v>1106</x:v>
      </x:c>
      <x:c r="F1861" s="70"/>
      <x:c r="G1861" s="70" t="s">
        <x:v>2633</x:v>
      </x:c>
      <x:c r="H1861" s="70" t="s">
        <x:v>849</x:v>
      </x:c>
      <x:c r="I1861" s="70" t="s">
        <x:v>833</x:v>
      </x:c>
      <x:c r="J1861" s="70" t="n">
        <x:v>246</x:v>
      </x:c>
      <x:c r="K1861" s="70" t="s">
        <x:v>834</x:v>
      </x:c>
      <x:c r="L1861" s="70"/>
      <x:c r="M1861" s="70" t="s">
        <x:v>39</x:v>
      </x:c>
      <x:c r="N1861" s="71" t="n">
        <x:v>0</x:v>
      </x:c>
      <x:c r="O1861" s="72" t="n">
        <x:f aca="0">N1861/1000</x:f>
        <x:v>0</x:v>
      </x:c>
      <x:c r="P1861" s="73" t="n">
        <x:f aca="0">FCCL!G94</x:f>
        <x:v>0</x:v>
      </x:c>
      <x:c r="Q1861" s="70" t="str">
        <x:f aca="0">IF(ABS(O1861-P1861)&lt;0.000001,"PASS","FAIL")</x:f>
        <x:v>PASS</x:v>
      </x:c>
      <x:c r="R1861" s="70" t="s">
        <x:v>27</x:v>
      </x:c>
      <x:c r="S1861" s="70"/>
    </x:row>
    <x:row r="1862" ht="15" hidden="0">
      <x:c r="A1862" s="70" t="s">
        <x:v>2919</x:v>
      </x:c>
      <x:c r="B1862" s="70" t="s">
        <x:v>45</x:v>
      </x:c>
      <x:c r="C1862" s="70" t="s">
        <x:v>105</x:v>
      </x:c>
      <x:c r="D1862" s="70" t="s">
        <x:v>244</x:v>
      </x:c>
      <x:c r="E1862" s="70" t="s">
        <x:v>1106</x:v>
      </x:c>
      <x:c r="F1862" s="70"/>
      <x:c r="G1862" s="70" t="s">
        <x:v>2633</x:v>
      </x:c>
      <x:c r="H1862" s="70" t="s">
        <x:v>849</x:v>
      </x:c>
      <x:c r="I1862" s="70" t="s">
        <x:v>852</x:v>
      </x:c>
      <x:c r="J1862" s="70" t="n">
        <x:v>246</x:v>
      </x:c>
      <x:c r="K1862" s="70" t="s">
        <x:v>834</x:v>
      </x:c>
      <x:c r="L1862" s="70"/>
      <x:c r="M1862" s="70" t="s">
        <x:v>39</x:v>
      </x:c>
      <x:c r="N1862" s="71" t="n">
        <x:v>0</x:v>
      </x:c>
      <x:c r="O1862" s="72" t="n">
        <x:f aca="0">N1862/1000</x:f>
        <x:v>0</x:v>
      </x:c>
      <x:c r="P1862" s="73" t="n">
        <x:f aca="0">FCCL!H94</x:f>
        <x:v>0</x:v>
      </x:c>
      <x:c r="Q1862" s="70" t="str">
        <x:f aca="0">IF(ABS(O1862-P1862)&lt;0.000001,"PASS","FAIL")</x:f>
        <x:v>PASS</x:v>
      </x:c>
      <x:c r="R1862" s="70" t="s">
        <x:v>27</x:v>
      </x:c>
      <x:c r="S1862" s="70"/>
    </x:row>
    <x:row r="1863" ht="15" hidden="0">
      <x:c r="A1863" s="70" t="s">
        <x:v>2920</x:v>
      </x:c>
      <x:c r="B1863" s="70" t="s">
        <x:v>45</x:v>
      </x:c>
      <x:c r="C1863" s="70" t="s">
        <x:v>101</x:v>
      </x:c>
      <x:c r="D1863" s="70" t="s">
        <x:v>246</x:v>
      </x:c>
      <x:c r="E1863" s="70" t="s">
        <x:v>1106</x:v>
      </x:c>
      <x:c r="F1863" s="70" t="s">
        <x:v>246</x:v>
      </x:c>
      <x:c r="G1863" s="70" t="s">
        <x:v>2626</x:v>
      </x:c>
      <x:c r="H1863" s="70" t="s">
        <x:v>838</x:v>
      </x:c>
      <x:c r="I1863" s="70" t="s">
        <x:v>833</x:v>
      </x:c>
      <x:c r="J1863" s="70" t="n">
        <x:v>188</x:v>
      </x:c>
      <x:c r="K1863" s="70" t="s">
        <x:v>1763</x:v>
      </x:c>
      <x:c r="L1863" s="70"/>
      <x:c r="M1863" s="70" t="s">
        <x:v>39</x:v>
      </x:c>
      <x:c r="N1863" s="71" t="n">
        <x:v>-109623</x:v>
      </x:c>
      <x:c r="O1863" s="72" t="n">
        <x:f aca="0">N1863/1000</x:f>
        <x:v>-109.623</x:v>
      </x:c>
      <x:c r="P1863" s="73" t="n">
        <x:f aca="0">FCCL!D95</x:f>
        <x:v>-109.623</x:v>
      </x:c>
      <x:c r="Q1863" s="70" t="str">
        <x:f aca="0">IF(ABS(O1863-P1863)&lt;0.000001,"PASS","FAIL")</x:f>
        <x:v>PASS</x:v>
      </x:c>
      <x:c r="R1863" s="70" t="s">
        <x:v>27</x:v>
      </x:c>
      <x:c r="S1863" s="70"/>
    </x:row>
    <x:row r="1864" ht="15" hidden="0">
      <x:c r="A1864" s="70" t="s">
        <x:v>2921</x:v>
      </x:c>
      <x:c r="B1864" s="70" t="s">
        <x:v>45</x:v>
      </x:c>
      <x:c r="C1864" s="70" t="s">
        <x:v>102</x:v>
      </x:c>
      <x:c r="D1864" s="70" t="s">
        <x:v>246</x:v>
      </x:c>
      <x:c r="E1864" s="70" t="s">
        <x:v>1106</x:v>
      </x:c>
      <x:c r="F1864" s="70" t="s">
        <x:v>246</x:v>
      </x:c>
      <x:c r="G1864" s="70" t="s">
        <x:v>2628</x:v>
      </x:c>
      <x:c r="H1864" s="70" t="s">
        <x:v>842</x:v>
      </x:c>
      <x:c r="I1864" s="70" t="s">
        <x:v>833</x:v>
      </x:c>
      <x:c r="J1864" s="70" t="n">
        <x:v>210</x:v>
      </x:c>
      <x:c r="K1864" s="70" t="s">
        <x:v>2095</x:v>
      </x:c>
      <x:c r="L1864" s="70"/>
      <x:c r="M1864" s="70" t="s">
        <x:v>39</x:v>
      </x:c>
      <x:c r="N1864" s="71" t="n">
        <x:v>-1201612</x:v>
      </x:c>
      <x:c r="O1864" s="72" t="n">
        <x:f aca="0">N1864/1000</x:f>
        <x:v>-1201.612</x:v>
      </x:c>
      <x:c r="P1864" s="73" t="n">
        <x:f aca="0">FCCL!E95</x:f>
        <x:v>-1201.612</x:v>
      </x:c>
      <x:c r="Q1864" s="70" t="str">
        <x:f aca="0">IF(ABS(O1864-P1864)&lt;0.000001,"PASS","FAIL")</x:f>
        <x:v>PASS</x:v>
      </x:c>
      <x:c r="R1864" s="70" t="s">
        <x:v>27</x:v>
      </x:c>
      <x:c r="S1864" s="70"/>
    </x:row>
    <x:row r="1865" ht="15" hidden="0">
      <x:c r="A1865" s="70" t="s">
        <x:v>2922</x:v>
      </x:c>
      <x:c r="B1865" s="70" t="s">
        <x:v>45</x:v>
      </x:c>
      <x:c r="C1865" s="70" t="s">
        <x:v>103</x:v>
      </x:c>
      <x:c r="D1865" s="70" t="s">
        <x:v>246</x:v>
      </x:c>
      <x:c r="E1865" s="70" t="s">
        <x:v>1106</x:v>
      </x:c>
      <x:c r="F1865" s="70" t="s">
        <x:v>246</x:v>
      </x:c>
      <x:c r="G1865" s="70" t="s">
        <x:v>2631</x:v>
      </x:c>
      <x:c r="H1865" s="70" t="s">
        <x:v>845</x:v>
      </x:c>
      <x:c r="I1865" s="70" t="s">
        <x:v>833</x:v>
      </x:c>
      <x:c r="J1865" s="70" t="n">
        <x:v>192</x:v>
      </x:c>
      <x:c r="K1865" s="70" t="s">
        <x:v>2447</x:v>
      </x:c>
      <x:c r="L1865" s="70"/>
      <x:c r="M1865" s="70" t="s">
        <x:v>39</x:v>
      </x:c>
      <x:c r="N1865" s="71" t="n">
        <x:v>-3645265</x:v>
      </x:c>
      <x:c r="O1865" s="72" t="n">
        <x:f aca="0">N1865/1000</x:f>
        <x:v>-3645.265</x:v>
      </x:c>
      <x:c r="P1865" s="73" t="n">
        <x:f aca="0">FCCL!F95</x:f>
        <x:v>-3645.265</x:v>
      </x:c>
      <x:c r="Q1865" s="70" t="str">
        <x:f aca="0">IF(ABS(O1865-P1865)&lt;0.000001,"PASS","FAIL")</x:f>
        <x:v>PASS</x:v>
      </x:c>
      <x:c r="R1865" s="70" t="s">
        <x:v>27</x:v>
      </x:c>
      <x:c r="S1865" s="70"/>
    </x:row>
    <x:row r="1866" ht="15" hidden="0">
      <x:c r="A1866" s="70" t="s">
        <x:v>2923</x:v>
      </x:c>
      <x:c r="B1866" s="70" t="s">
        <x:v>45</x:v>
      </x:c>
      <x:c r="C1866" s="70" t="s">
        <x:v>104</x:v>
      </x:c>
      <x:c r="D1866" s="70" t="s">
        <x:v>246</x:v>
      </x:c>
      <x:c r="E1866" s="70" t="s">
        <x:v>1106</x:v>
      </x:c>
      <x:c r="F1866" s="70" t="s">
        <x:v>246</x:v>
      </x:c>
      <x:c r="G1866" s="70" t="s">
        <x:v>2633</x:v>
      </x:c>
      <x:c r="H1866" s="70" t="s">
        <x:v>849</x:v>
      </x:c>
      <x:c r="I1866" s="70" t="s">
        <x:v>833</x:v>
      </x:c>
      <x:c r="J1866" s="70" t="n">
        <x:v>246</x:v>
      </x:c>
      <x:c r="K1866" s="70" t="s">
        <x:v>834</x:v>
      </x:c>
      <x:c r="L1866" s="70"/>
      <x:c r="M1866" s="70" t="s">
        <x:v>39</x:v>
      </x:c>
      <x:c r="N1866" s="71" t="n">
        <x:v>-5536298</x:v>
      </x:c>
      <x:c r="O1866" s="72" t="n">
        <x:f aca="0">N1866/1000</x:f>
        <x:v>-5536.298</x:v>
      </x:c>
      <x:c r="P1866" s="73" t="n">
        <x:f aca="0">FCCL!G95</x:f>
        <x:v>-5536.298</x:v>
      </x:c>
      <x:c r="Q1866" s="70" t="str">
        <x:f aca="0">IF(ABS(O1866-P1866)&lt;0.000001,"PASS","FAIL")</x:f>
        <x:v>PASS</x:v>
      </x:c>
      <x:c r="R1866" s="70" t="s">
        <x:v>27</x:v>
      </x:c>
      <x:c r="S1866" s="70"/>
    </x:row>
    <x:row r="1867" ht="15" hidden="0">
      <x:c r="A1867" s="70" t="s">
        <x:v>2924</x:v>
      </x:c>
      <x:c r="B1867" s="70" t="s">
        <x:v>45</x:v>
      </x:c>
      <x:c r="C1867" s="70" t="s">
        <x:v>105</x:v>
      </x:c>
      <x:c r="D1867" s="70" t="s">
        <x:v>246</x:v>
      </x:c>
      <x:c r="E1867" s="70" t="s">
        <x:v>1106</x:v>
      </x:c>
      <x:c r="F1867" s="70" t="s">
        <x:v>246</x:v>
      </x:c>
      <x:c r="G1867" s="70" t="s">
        <x:v>2633</x:v>
      </x:c>
      <x:c r="H1867" s="70" t="s">
        <x:v>849</x:v>
      </x:c>
      <x:c r="I1867" s="70" t="s">
        <x:v>852</x:v>
      </x:c>
      <x:c r="J1867" s="70" t="n">
        <x:v>246</x:v>
      </x:c>
      <x:c r="K1867" s="70" t="s">
        <x:v>834</x:v>
      </x:c>
      <x:c r="L1867" s="70"/>
      <x:c r="M1867" s="70" t="s">
        <x:v>39</x:v>
      </x:c>
      <x:c r="N1867" s="71" t="n">
        <x:v>-5772132</x:v>
      </x:c>
      <x:c r="O1867" s="72" t="n">
        <x:f aca="0">N1867/1000</x:f>
        <x:v>-5772.132</x:v>
      </x:c>
      <x:c r="P1867" s="73" t="n">
        <x:f aca="0">FCCL!H95</x:f>
        <x:v>-5772.132</x:v>
      </x:c>
      <x:c r="Q1867" s="70" t="str">
        <x:f aca="0">IF(ABS(O1867-P1867)&lt;0.000001,"PASS","FAIL")</x:f>
        <x:v>PASS</x:v>
      </x:c>
      <x:c r="R1867" s="70" t="s">
        <x:v>27</x:v>
      </x:c>
      <x:c r="S1867" s="70"/>
    </x:row>
    <x:row r="1868" ht="15" hidden="0">
      <x:c r="A1868" s="70" t="s">
        <x:v>2925</x:v>
      </x:c>
      <x:c r="B1868" s="70" t="s">
        <x:v>45</x:v>
      </x:c>
      <x:c r="C1868" s="70" t="s">
        <x:v>101</x:v>
      </x:c>
      <x:c r="D1868" s="70" t="s">
        <x:v>250</x:v>
      </x:c>
      <x:c r="E1868" s="70" t="s">
        <x:v>1106</x:v>
      </x:c>
      <x:c r="F1868" s="70"/>
      <x:c r="G1868" s="70" t="s">
        <x:v>2626</x:v>
      </x:c>
      <x:c r="H1868" s="70" t="s">
        <x:v>838</x:v>
      </x:c>
      <x:c r="I1868" s="70" t="s">
        <x:v>833</x:v>
      </x:c>
      <x:c r="J1868" s="70" t="n">
        <x:v>188</x:v>
      </x:c>
      <x:c r="K1868" s="70" t="s">
        <x:v>1763</x:v>
      </x:c>
      <x:c r="L1868" s="70"/>
      <x:c r="M1868" s="70" t="s">
        <x:v>39</x:v>
      </x:c>
      <x:c r="N1868" s="71" t="n">
        <x:v>0</x:v>
      </x:c>
      <x:c r="O1868" s="72" t="n">
        <x:f aca="0">N1868/1000</x:f>
        <x:v>0</x:v>
      </x:c>
      <x:c r="P1868" s="73" t="n">
        <x:f aca="0">FCCL!D97</x:f>
        <x:v>0</x:v>
      </x:c>
      <x:c r="Q1868" s="70" t="str">
        <x:f aca="0">IF(ABS(O1868-P1868)&lt;0.000001,"PASS","FAIL")</x:f>
        <x:v>PASS</x:v>
      </x:c>
      <x:c r="R1868" s="70" t="s">
        <x:v>27</x:v>
      </x:c>
      <x:c r="S1868" s="70"/>
    </x:row>
    <x:row r="1869" ht="15" hidden="0">
      <x:c r="A1869" s="70" t="s">
        <x:v>2926</x:v>
      </x:c>
      <x:c r="B1869" s="70" t="s">
        <x:v>45</x:v>
      </x:c>
      <x:c r="C1869" s="70" t="s">
        <x:v>102</x:v>
      </x:c>
      <x:c r="D1869" s="70" t="s">
        <x:v>250</x:v>
      </x:c>
      <x:c r="E1869" s="70" t="s">
        <x:v>1106</x:v>
      </x:c>
      <x:c r="F1869" s="70"/>
      <x:c r="G1869" s="70" t="s">
        <x:v>2628</x:v>
      </x:c>
      <x:c r="H1869" s="70" t="s">
        <x:v>842</x:v>
      </x:c>
      <x:c r="I1869" s="70" t="s">
        <x:v>833</x:v>
      </x:c>
      <x:c r="J1869" s="70" t="n">
        <x:v>210</x:v>
      </x:c>
      <x:c r="K1869" s="70" t="s">
        <x:v>2095</x:v>
      </x:c>
      <x:c r="L1869" s="70"/>
      <x:c r="M1869" s="70" t="s">
        <x:v>39</x:v>
      </x:c>
      <x:c r="N1869" s="71" t="n">
        <x:v>0</x:v>
      </x:c>
      <x:c r="O1869" s="72" t="n">
        <x:f aca="0">N1869/1000</x:f>
        <x:v>0</x:v>
      </x:c>
      <x:c r="P1869" s="73" t="n">
        <x:f aca="0">FCCL!E97</x:f>
        <x:v>0</x:v>
      </x:c>
      <x:c r="Q1869" s="70" t="str">
        <x:f aca="0">IF(ABS(O1869-P1869)&lt;0.000001,"PASS","FAIL")</x:f>
        <x:v>PASS</x:v>
      </x:c>
      <x:c r="R1869" s="70" t="s">
        <x:v>27</x:v>
      </x:c>
      <x:c r="S1869" s="70"/>
    </x:row>
    <x:row r="1870" ht="15" hidden="0">
      <x:c r="A1870" s="70" t="s">
        <x:v>2927</x:v>
      </x:c>
      <x:c r="B1870" s="70" t="s">
        <x:v>45</x:v>
      </x:c>
      <x:c r="C1870" s="70" t="s">
        <x:v>103</x:v>
      </x:c>
      <x:c r="D1870" s="70" t="s">
        <x:v>250</x:v>
      </x:c>
      <x:c r="E1870" s="70" t="s">
        <x:v>1106</x:v>
      </x:c>
      <x:c r="F1870" s="70" t="s">
        <x:v>2928</x:v>
      </x:c>
      <x:c r="G1870" s="70" t="s">
        <x:v>2631</x:v>
      </x:c>
      <x:c r="H1870" s="70" t="s">
        <x:v>845</x:v>
      </x:c>
      <x:c r="I1870" s="70" t="s">
        <x:v>833</x:v>
      </x:c>
      <x:c r="J1870" s="70" t="n">
        <x:v>192</x:v>
      </x:c>
      <x:c r="K1870" s="70" t="s">
        <x:v>2447</x:v>
      </x:c>
      <x:c r="L1870" s="70"/>
      <x:c r="M1870" s="70" t="s">
        <x:v>39</x:v>
      </x:c>
      <x:c r="N1870" s="71" t="n">
        <x:v>-45660</x:v>
      </x:c>
      <x:c r="O1870" s="72" t="n">
        <x:f aca="0">N1870/1000</x:f>
        <x:v>-45.66</x:v>
      </x:c>
      <x:c r="P1870" s="73" t="n">
        <x:f aca="0">FCCL!F97</x:f>
        <x:v>-45.66</x:v>
      </x:c>
      <x:c r="Q1870" s="70" t="str">
        <x:f aca="0">IF(ABS(O1870-P1870)&lt;0.000001,"PASS","FAIL")</x:f>
        <x:v>PASS</x:v>
      </x:c>
      <x:c r="R1870" s="70" t="s">
        <x:v>27</x:v>
      </x:c>
      <x:c r="S1870" s="70"/>
    </x:row>
    <x:row r="1871" ht="15" hidden="0">
      <x:c r="A1871" s="70" t="s">
        <x:v>2929</x:v>
      </x:c>
      <x:c r="B1871" s="70" t="s">
        <x:v>45</x:v>
      </x:c>
      <x:c r="C1871" s="70" t="s">
        <x:v>104</x:v>
      </x:c>
      <x:c r="D1871" s="70" t="s">
        <x:v>250</x:v>
      </x:c>
      <x:c r="E1871" s="70" t="s">
        <x:v>1106</x:v>
      </x:c>
      <x:c r="F1871" s="70" t="s">
        <x:v>2928</x:v>
      </x:c>
      <x:c r="G1871" s="70" t="s">
        <x:v>2633</x:v>
      </x:c>
      <x:c r="H1871" s="70" t="s">
        <x:v>849</x:v>
      </x:c>
      <x:c r="I1871" s="70" t="s">
        <x:v>833</x:v>
      </x:c>
      <x:c r="J1871" s="70" t="n">
        <x:v>246</x:v>
      </x:c>
      <x:c r="K1871" s="70" t="s">
        <x:v>834</x:v>
      </x:c>
      <x:c r="L1871" s="70"/>
      <x:c r="M1871" s="70" t="s">
        <x:v>39</x:v>
      </x:c>
      <x:c r="N1871" s="71" t="n">
        <x:v>-55223</x:v>
      </x:c>
      <x:c r="O1871" s="72" t="n">
        <x:f aca="0">N1871/1000</x:f>
        <x:v>-55.223</x:v>
      </x:c>
      <x:c r="P1871" s="73" t="n">
        <x:f aca="0">FCCL!G97</x:f>
        <x:v>-55.223</x:v>
      </x:c>
      <x:c r="Q1871" s="70" t="str">
        <x:f aca="0">IF(ABS(O1871-P1871)&lt;0.000001,"PASS","FAIL")</x:f>
        <x:v>PASS</x:v>
      </x:c>
      <x:c r="R1871" s="70" t="s">
        <x:v>27</x:v>
      </x:c>
      <x:c r="S1871" s="70"/>
    </x:row>
    <x:row r="1872" ht="15" hidden="0">
      <x:c r="A1872" s="70" t="s">
        <x:v>2930</x:v>
      </x:c>
      <x:c r="B1872" s="70" t="s">
        <x:v>45</x:v>
      </x:c>
      <x:c r="C1872" s="70" t="s">
        <x:v>105</x:v>
      </x:c>
      <x:c r="D1872" s="70" t="s">
        <x:v>250</x:v>
      </x:c>
      <x:c r="E1872" s="70" t="s">
        <x:v>1106</x:v>
      </x:c>
      <x:c r="F1872" s="70" t="s">
        <x:v>2928</x:v>
      </x:c>
      <x:c r="G1872" s="70" t="s">
        <x:v>2633</x:v>
      </x:c>
      <x:c r="H1872" s="70" t="s">
        <x:v>849</x:v>
      </x:c>
      <x:c r="I1872" s="70" t="s">
        <x:v>852</x:v>
      </x:c>
      <x:c r="J1872" s="70" t="n">
        <x:v>246</x:v>
      </x:c>
      <x:c r="K1872" s="70" t="s">
        <x:v>834</x:v>
      </x:c>
      <x:c r="L1872" s="70"/>
      <x:c r="M1872" s="70" t="s">
        <x:v>39</x:v>
      </x:c>
      <x:c r="N1872" s="71" t="n">
        <x:v>0</x:v>
      </x:c>
      <x:c r="O1872" s="72" t="n">
        <x:f aca="0">N1872/1000</x:f>
        <x:v>0</x:v>
      </x:c>
      <x:c r="P1872" s="73" t="n">
        <x:f aca="0">FCCL!H97</x:f>
        <x:v>0</x:v>
      </x:c>
      <x:c r="Q1872" s="70" t="str">
        <x:f aca="0">IF(ABS(O1872-P1872)&lt;0.000001,"PASS","FAIL")</x:f>
        <x:v>PASS</x:v>
      </x:c>
      <x:c r="R1872" s="70" t="s">
        <x:v>27</x:v>
      </x:c>
      <x:c r="S1872" s="70"/>
    </x:row>
    <x:row r="1873" ht="15" hidden="0">
      <x:c r="A1873" s="70" t="s">
        <x:v>2931</x:v>
      </x:c>
      <x:c r="B1873" s="70" t="s">
        <x:v>45</x:v>
      </x:c>
      <x:c r="C1873" s="70" t="s">
        <x:v>101</x:v>
      </x:c>
      <x:c r="D1873" s="70" t="s">
        <x:v>252</x:v>
      </x:c>
      <x:c r="E1873" s="70" t="s">
        <x:v>1106</x:v>
      </x:c>
      <x:c r="F1873" s="70" t="s">
        <x:v>2932</x:v>
      </x:c>
      <x:c r="G1873" s="70" t="s">
        <x:v>2626</x:v>
      </x:c>
      <x:c r="H1873" s="70" t="s">
        <x:v>838</x:v>
      </x:c>
      <x:c r="I1873" s="70" t="s">
        <x:v>833</x:v>
      </x:c>
      <x:c r="J1873" s="70" t="n">
        <x:v>188</x:v>
      </x:c>
      <x:c r="K1873" s="70" t="s">
        <x:v>1763</x:v>
      </x:c>
      <x:c r="L1873" s="70"/>
      <x:c r="M1873" s="70" t="s">
        <x:v>39</x:v>
      </x:c>
      <x:c r="N1873" s="71" t="n">
        <x:v>-1636341</x:v>
      </x:c>
      <x:c r="O1873" s="72" t="n">
        <x:f aca="0">N1873/1000</x:f>
        <x:v>-1636.341</x:v>
      </x:c>
      <x:c r="P1873" s="73" t="n">
        <x:f aca="0">FCCL!D98</x:f>
        <x:v>-1636.341</x:v>
      </x:c>
      <x:c r="Q1873" s="70" t="str">
        <x:f aca="0">IF(ABS(O1873-P1873)&lt;0.000001,"PASS","FAIL")</x:f>
        <x:v>PASS</x:v>
      </x:c>
      <x:c r="R1873" s="70" t="s">
        <x:v>27</x:v>
      </x:c>
      <x:c r="S1873" s="70"/>
    </x:row>
    <x:row r="1874" ht="15" hidden="0">
      <x:c r="A1874" s="70" t="s">
        <x:v>2933</x:v>
      </x:c>
      <x:c r="B1874" s="70" t="s">
        <x:v>45</x:v>
      </x:c>
      <x:c r="C1874" s="70" t="s">
        <x:v>102</x:v>
      </x:c>
      <x:c r="D1874" s="70" t="s">
        <x:v>252</x:v>
      </x:c>
      <x:c r="E1874" s="70" t="s">
        <x:v>1106</x:v>
      </x:c>
      <x:c r="F1874" s="70" t="s">
        <x:v>2932</x:v>
      </x:c>
      <x:c r="G1874" s="70" t="s">
        <x:v>2628</x:v>
      </x:c>
      <x:c r="H1874" s="70" t="s">
        <x:v>842</x:v>
      </x:c>
      <x:c r="I1874" s="70" t="s">
        <x:v>833</x:v>
      </x:c>
      <x:c r="J1874" s="70" t="n">
        <x:v>210</x:v>
      </x:c>
      <x:c r="K1874" s="70" t="s">
        <x:v>2095</x:v>
      </x:c>
      <x:c r="L1874" s="70"/>
      <x:c r="M1874" s="70" t="s">
        <x:v>39</x:v>
      </x:c>
      <x:c r="N1874" s="71" t="n">
        <x:v>-4415553</x:v>
      </x:c>
      <x:c r="O1874" s="72" t="n">
        <x:f aca="0">N1874/1000</x:f>
        <x:v>-4415.553</x:v>
      </x:c>
      <x:c r="P1874" s="73" t="n">
        <x:f aca="0">FCCL!E98</x:f>
        <x:v>-4415.553</x:v>
      </x:c>
      <x:c r="Q1874" s="70" t="str">
        <x:f aca="0">IF(ABS(O1874-P1874)&lt;0.000001,"PASS","FAIL")</x:f>
        <x:v>PASS</x:v>
      </x:c>
      <x:c r="R1874" s="70" t="s">
        <x:v>27</x:v>
      </x:c>
      <x:c r="S1874" s="70"/>
    </x:row>
    <x:row r="1875" ht="15" hidden="0">
      <x:c r="A1875" s="70" t="s">
        <x:v>2934</x:v>
      </x:c>
      <x:c r="B1875" s="70" t="s">
        <x:v>45</x:v>
      </x:c>
      <x:c r="C1875" s="70" t="s">
        <x:v>103</x:v>
      </x:c>
      <x:c r="D1875" s="70" t="s">
        <x:v>252</x:v>
      </x:c>
      <x:c r="E1875" s="70" t="s">
        <x:v>1106</x:v>
      </x:c>
      <x:c r="F1875" s="70" t="s">
        <x:v>2932</x:v>
      </x:c>
      <x:c r="G1875" s="70" t="s">
        <x:v>2631</x:v>
      </x:c>
      <x:c r="H1875" s="70" t="s">
        <x:v>845</x:v>
      </x:c>
      <x:c r="I1875" s="70" t="s">
        <x:v>833</x:v>
      </x:c>
      <x:c r="J1875" s="70" t="n">
        <x:v>192</x:v>
      </x:c>
      <x:c r="K1875" s="70" t="s">
        <x:v>2447</x:v>
      </x:c>
      <x:c r="L1875" s="70"/>
      <x:c r="M1875" s="70" t="s">
        <x:v>39</x:v>
      </x:c>
      <x:c r="N1875" s="71" t="n">
        <x:v>-5414768</x:v>
      </x:c>
      <x:c r="O1875" s="72" t="n">
        <x:f aca="0">N1875/1000</x:f>
        <x:v>-5414.768</x:v>
      </x:c>
      <x:c r="P1875" s="73" t="n">
        <x:f aca="0">FCCL!F98</x:f>
        <x:v>-5414.768</x:v>
      </x:c>
      <x:c r="Q1875" s="70" t="str">
        <x:f aca="0">IF(ABS(O1875-P1875)&lt;0.000001,"PASS","FAIL")</x:f>
        <x:v>PASS</x:v>
      </x:c>
      <x:c r="R1875" s="70" t="s">
        <x:v>27</x:v>
      </x:c>
      <x:c r="S1875" s="70" t="s">
        <x:v>839</x:v>
      </x:c>
    </x:row>
    <x:row r="1876" ht="15" hidden="0">
      <x:c r="A1876" s="70" t="s">
        <x:v>2935</x:v>
      </x:c>
      <x:c r="B1876" s="70" t="s">
        <x:v>45</x:v>
      </x:c>
      <x:c r="C1876" s="70" t="s">
        <x:v>104</x:v>
      </x:c>
      <x:c r="D1876" s="70" t="s">
        <x:v>252</x:v>
      </x:c>
      <x:c r="E1876" s="70" t="s">
        <x:v>1106</x:v>
      </x:c>
      <x:c r="F1876" s="70" t="s">
        <x:v>2932</x:v>
      </x:c>
      <x:c r="G1876" s="70" t="s">
        <x:v>2633</x:v>
      </x:c>
      <x:c r="H1876" s="70" t="s">
        <x:v>849</x:v>
      </x:c>
      <x:c r="I1876" s="70" t="s">
        <x:v>833</x:v>
      </x:c>
      <x:c r="J1876" s="70" t="n">
        <x:v>246</x:v>
      </x:c>
      <x:c r="K1876" s="70" t="s">
        <x:v>834</x:v>
      </x:c>
      <x:c r="L1876" s="70"/>
      <x:c r="M1876" s="70" t="s">
        <x:v>39</x:v>
      </x:c>
      <x:c r="N1876" s="71" t="n">
        <x:v>-7076615</x:v>
      </x:c>
      <x:c r="O1876" s="72" t="n">
        <x:f aca="0">N1876/1000</x:f>
        <x:v>-7076.615</x:v>
      </x:c>
      <x:c r="P1876" s="73" t="n">
        <x:f aca="0">FCCL!G98</x:f>
        <x:v>-7076.615</x:v>
      </x:c>
      <x:c r="Q1876" s="70" t="str">
        <x:f aca="0">IF(ABS(O1876-P1876)&lt;0.000001,"PASS","FAIL")</x:f>
        <x:v>PASS</x:v>
      </x:c>
      <x:c r="R1876" s="70" t="s">
        <x:v>27</x:v>
      </x:c>
      <x:c r="S1876" s="70"/>
    </x:row>
    <x:row r="1877" ht="15" hidden="0">
      <x:c r="A1877" s="70" t="s">
        <x:v>2936</x:v>
      </x:c>
      <x:c r="B1877" s="70" t="s">
        <x:v>45</x:v>
      </x:c>
      <x:c r="C1877" s="70" t="s">
        <x:v>105</x:v>
      </x:c>
      <x:c r="D1877" s="70" t="s">
        <x:v>252</x:v>
      </x:c>
      <x:c r="E1877" s="70" t="s">
        <x:v>1106</x:v>
      </x:c>
      <x:c r="F1877" s="70" t="s">
        <x:v>2932</x:v>
      </x:c>
      <x:c r="G1877" s="70" t="s">
        <x:v>2633</x:v>
      </x:c>
      <x:c r="H1877" s="70" t="s">
        <x:v>849</x:v>
      </x:c>
      <x:c r="I1877" s="70" t="s">
        <x:v>852</x:v>
      </x:c>
      <x:c r="J1877" s="70" t="n">
        <x:v>246</x:v>
      </x:c>
      <x:c r="K1877" s="70" t="s">
        <x:v>834</x:v>
      </x:c>
      <x:c r="L1877" s="70"/>
      <x:c r="M1877" s="70" t="s">
        <x:v>39</x:v>
      </x:c>
      <x:c r="N1877" s="71" t="n">
        <x:v>-8199318</x:v>
      </x:c>
      <x:c r="O1877" s="72" t="n">
        <x:f aca="0">N1877/1000</x:f>
        <x:v>-8199.318</x:v>
      </x:c>
      <x:c r="P1877" s="73" t="n">
        <x:f aca="0">FCCL!H98</x:f>
        <x:v>-8199.318</x:v>
      </x:c>
      <x:c r="Q1877" s="70" t="str">
        <x:f aca="0">IF(ABS(O1877-P1877)&lt;0.000001,"PASS","FAIL")</x:f>
        <x:v>PASS</x:v>
      </x:c>
      <x:c r="R1877" s="70" t="s">
        <x:v>27</x:v>
      </x:c>
      <x:c r="S1877" s="70"/>
    </x:row>
    <x:row r="1878" ht="15" hidden="0">
      <x:c r="A1878" s="70" t="s">
        <x:v>2937</x:v>
      </x:c>
      <x:c r="B1878" s="70" t="s">
        <x:v>45</x:v>
      </x:c>
      <x:c r="C1878" s="70" t="s">
        <x:v>101</x:v>
      </x:c>
      <x:c r="D1878" s="70" t="s">
        <x:v>256</x:v>
      </x:c>
      <x:c r="E1878" s="70" t="s">
        <x:v>1106</x:v>
      </x:c>
      <x:c r="F1878" s="70" t="s">
        <x:v>228</x:v>
      </x:c>
      <x:c r="G1878" s="70" t="s">
        <x:v>2626</x:v>
      </x:c>
      <x:c r="H1878" s="70" t="s">
        <x:v>838</x:v>
      </x:c>
      <x:c r="I1878" s="70" t="s">
        <x:v>833</x:v>
      </x:c>
      <x:c r="J1878" s="70" t="n">
        <x:v>188</x:v>
      </x:c>
      <x:c r="K1878" s="70" t="s">
        <x:v>1763</x:v>
      </x:c>
      <x:c r="L1878" s="70"/>
      <x:c r="M1878" s="70" t="s">
        <x:v>39</x:v>
      </x:c>
      <x:c r="N1878" s="71" t="n">
        <x:v>6064405</x:v>
      </x:c>
      <x:c r="O1878" s="72" t="n">
        <x:f aca="0">N1878/1000</x:f>
        <x:v>6064.405</x:v>
      </x:c>
      <x:c r="P1878" s="73" t="n">
        <x:f aca="0">FCCL!D100</x:f>
        <x:v>6064.405</x:v>
      </x:c>
      <x:c r="Q1878" s="70" t="str">
        <x:f aca="0">IF(ABS(O1878-P1878)&lt;0.000001,"PASS","FAIL")</x:f>
        <x:v>PASS</x:v>
      </x:c>
      <x:c r="R1878" s="70" t="s">
        <x:v>27</x:v>
      </x:c>
      <x:c r="S1878" s="70"/>
    </x:row>
    <x:row r="1879" ht="15" hidden="0">
      <x:c r="A1879" s="70" t="s">
        <x:v>2938</x:v>
      </x:c>
      <x:c r="B1879" s="70" t="s">
        <x:v>45</x:v>
      </x:c>
      <x:c r="C1879" s="70" t="s">
        <x:v>102</x:v>
      </x:c>
      <x:c r="D1879" s="70" t="s">
        <x:v>256</x:v>
      </x:c>
      <x:c r="E1879" s="70" t="s">
        <x:v>1106</x:v>
      </x:c>
      <x:c r="F1879" s="70" t="s">
        <x:v>228</x:v>
      </x:c>
      <x:c r="G1879" s="70" t="s">
        <x:v>2628</x:v>
      </x:c>
      <x:c r="H1879" s="70" t="s">
        <x:v>842</x:v>
      </x:c>
      <x:c r="I1879" s="70" t="s">
        <x:v>833</x:v>
      </x:c>
      <x:c r="J1879" s="70" t="n">
        <x:v>210</x:v>
      </x:c>
      <x:c r="K1879" s="70" t="s">
        <x:v>2095</x:v>
      </x:c>
      <x:c r="L1879" s="70"/>
      <x:c r="M1879" s="70" t="s">
        <x:v>39</x:v>
      </x:c>
      <x:c r="N1879" s="71" t="n">
        <x:v>15463576</x:v>
      </x:c>
      <x:c r="O1879" s="72" t="n">
        <x:f aca="0">N1879/1000</x:f>
        <x:v>15463.576</x:v>
      </x:c>
      <x:c r="P1879" s="73" t="n">
        <x:f aca="0">FCCL!E100</x:f>
        <x:v>15463.576</x:v>
      </x:c>
      <x:c r="Q1879" s="70" t="str">
        <x:f aca="0">IF(ABS(O1879-P1879)&lt;0.000001,"PASS","FAIL")</x:f>
        <x:v>PASS</x:v>
      </x:c>
      <x:c r="R1879" s="70" t="s">
        <x:v>27</x:v>
      </x:c>
      <x:c r="S1879" s="70"/>
    </x:row>
    <x:row r="1880" ht="15" hidden="0">
      <x:c r="A1880" s="70" t="s">
        <x:v>2939</x:v>
      </x:c>
      <x:c r="B1880" s="70" t="s">
        <x:v>45</x:v>
      </x:c>
      <x:c r="C1880" s="70" t="s">
        <x:v>103</x:v>
      </x:c>
      <x:c r="D1880" s="70" t="s">
        <x:v>256</x:v>
      </x:c>
      <x:c r="E1880" s="70" t="s">
        <x:v>1106</x:v>
      </x:c>
      <x:c r="F1880" s="70" t="s">
        <x:v>228</x:v>
      </x:c>
      <x:c r="G1880" s="70" t="s">
        <x:v>2631</x:v>
      </x:c>
      <x:c r="H1880" s="70" t="s">
        <x:v>845</x:v>
      </x:c>
      <x:c r="I1880" s="70" t="s">
        <x:v>833</x:v>
      </x:c>
      <x:c r="J1880" s="70" t="n">
        <x:v>192</x:v>
      </x:c>
      <x:c r="K1880" s="70" t="s">
        <x:v>2447</x:v>
      </x:c>
      <x:c r="L1880" s="70"/>
      <x:c r="M1880" s="70" t="s">
        <x:v>39</x:v>
      </x:c>
      <x:c r="N1880" s="71" t="n">
        <x:v>20418473</x:v>
      </x:c>
      <x:c r="O1880" s="72" t="n">
        <x:f aca="0">N1880/1000</x:f>
        <x:v>20418.473</x:v>
      </x:c>
      <x:c r="P1880" s="73" t="n">
        <x:f aca="0">FCCL!F100</x:f>
        <x:v>20418.473</x:v>
      </x:c>
      <x:c r="Q1880" s="70" t="str">
        <x:f aca="0">IF(ABS(O1880-P1880)&lt;0.000001,"PASS","FAIL")</x:f>
        <x:v>PASS</x:v>
      </x:c>
      <x:c r="R1880" s="70" t="s">
        <x:v>27</x:v>
      </x:c>
      <x:c r="S1880" s="70"/>
    </x:row>
    <x:row r="1881" ht="15" hidden="0">
      <x:c r="A1881" s="70" t="s">
        <x:v>2940</x:v>
      </x:c>
      <x:c r="B1881" s="70" t="s">
        <x:v>45</x:v>
      </x:c>
      <x:c r="C1881" s="70" t="s">
        <x:v>104</x:v>
      </x:c>
      <x:c r="D1881" s="70" t="s">
        <x:v>256</x:v>
      </x:c>
      <x:c r="E1881" s="70" t="s">
        <x:v>1106</x:v>
      </x:c>
      <x:c r="F1881" s="70" t="s">
        <x:v>228</x:v>
      </x:c>
      <x:c r="G1881" s="70" t="s">
        <x:v>2633</x:v>
      </x:c>
      <x:c r="H1881" s="70" t="s">
        <x:v>849</x:v>
      </x:c>
      <x:c r="I1881" s="70" t="s">
        <x:v>833</x:v>
      </x:c>
      <x:c r="J1881" s="70" t="n">
        <x:v>246</x:v>
      </x:c>
      <x:c r="K1881" s="70" t="s">
        <x:v>834</x:v>
      </x:c>
      <x:c r="L1881" s="70"/>
      <x:c r="M1881" s="70" t="s">
        <x:v>39</x:v>
      </x:c>
      <x:c r="N1881" s="71" t="n">
        <x:v>25680405</x:v>
      </x:c>
      <x:c r="O1881" s="72" t="n">
        <x:f aca="0">N1881/1000</x:f>
        <x:v>25680.405</x:v>
      </x:c>
      <x:c r="P1881" s="73" t="n">
        <x:f aca="0">FCCL!G100</x:f>
        <x:v>25680.405</x:v>
      </x:c>
      <x:c r="Q1881" s="70" t="str">
        <x:f aca="0">IF(ABS(O1881-P1881)&lt;0.000001,"PASS","FAIL")</x:f>
        <x:v>PASS</x:v>
      </x:c>
      <x:c r="R1881" s="70" t="s">
        <x:v>27</x:v>
      </x:c>
      <x:c r="S1881" s="70"/>
    </x:row>
    <x:row r="1882" ht="15" hidden="0">
      <x:c r="A1882" s="70" t="s">
        <x:v>2941</x:v>
      </x:c>
      <x:c r="B1882" s="70" t="s">
        <x:v>45</x:v>
      </x:c>
      <x:c r="C1882" s="70" t="s">
        <x:v>105</x:v>
      </x:c>
      <x:c r="D1882" s="70" t="s">
        <x:v>256</x:v>
      </x:c>
      <x:c r="E1882" s="70" t="s">
        <x:v>1106</x:v>
      </x:c>
      <x:c r="F1882" s="70" t="s">
        <x:v>228</x:v>
      </x:c>
      <x:c r="G1882" s="70" t="s">
        <x:v>2633</x:v>
      </x:c>
      <x:c r="H1882" s="70" t="s">
        <x:v>849</x:v>
      </x:c>
      <x:c r="I1882" s="70" t="s">
        <x:v>852</x:v>
      </x:c>
      <x:c r="J1882" s="70" t="n">
        <x:v>246</x:v>
      </x:c>
      <x:c r="K1882" s="70" t="s">
        <x:v>834</x:v>
      </x:c>
      <x:c r="L1882" s="70"/>
      <x:c r="M1882" s="70" t="s">
        <x:v>39</x:v>
      </x:c>
      <x:c r="N1882" s="71" t="n">
        <x:v>31571350</x:v>
      </x:c>
      <x:c r="O1882" s="72" t="n">
        <x:f aca="0">N1882/1000</x:f>
        <x:v>31571.35</x:v>
      </x:c>
      <x:c r="P1882" s="73" t="n">
        <x:f aca="0">FCCL!H100</x:f>
        <x:v>31571.35</x:v>
      </x:c>
      <x:c r="Q1882" s="70" t="str">
        <x:f aca="0">IF(ABS(O1882-P1882)&lt;0.000001,"PASS","FAIL")</x:f>
        <x:v>PASS</x:v>
      </x:c>
      <x:c r="R1882" s="70" t="s">
        <x:v>27</x:v>
      </x:c>
      <x:c r="S1882" s="70"/>
    </x:row>
    <x:row r="1883" ht="15" hidden="0">
      <x:c r="A1883" s="70" t="s">
        <x:v>2942</x:v>
      </x:c>
      <x:c r="B1883" s="70" t="s">
        <x:v>45</x:v>
      </x:c>
      <x:c r="C1883" s="70" t="s">
        <x:v>101</x:v>
      </x:c>
      <x:c r="D1883" s="70" t="s">
        <x:v>258</x:v>
      </x:c>
      <x:c r="E1883" s="70" t="s">
        <x:v>1106</x:v>
      </x:c>
      <x:c r="F1883" s="70" t="s">
        <x:v>1180</x:v>
      </x:c>
      <x:c r="G1883" s="70" t="s">
        <x:v>2626</x:v>
      </x:c>
      <x:c r="H1883" s="70" t="s">
        <x:v>838</x:v>
      </x:c>
      <x:c r="I1883" s="70" t="s">
        <x:v>833</x:v>
      </x:c>
      <x:c r="J1883" s="70" t="n">
        <x:v>188</x:v>
      </x:c>
      <x:c r="K1883" s="70" t="s">
        <x:v>1763</x:v>
      </x:c>
      <x:c r="L1883" s="70"/>
      <x:c r="M1883" s="70" t="s">
        <x:v>39</x:v>
      </x:c>
      <x:c r="N1883" s="71" t="n">
        <x:v>5107692</x:v>
      </x:c>
      <x:c r="O1883" s="72" t="n">
        <x:f aca="0">N1883/1000</x:f>
        <x:v>5107.692</x:v>
      </x:c>
      <x:c r="P1883" s="73" t="n">
        <x:f aca="0">FCCL!D101</x:f>
        <x:v>5107.692</x:v>
      </x:c>
      <x:c r="Q1883" s="70" t="str">
        <x:f aca="0">IF(ABS(O1883-P1883)&lt;0.000001,"PASS","FAIL")</x:f>
        <x:v>PASS</x:v>
      </x:c>
      <x:c r="R1883" s="70" t="s">
        <x:v>27</x:v>
      </x:c>
      <x:c r="S1883" s="70"/>
    </x:row>
    <x:row r="1884" ht="15" hidden="0">
      <x:c r="A1884" s="70" t="s">
        <x:v>2943</x:v>
      </x:c>
      <x:c r="B1884" s="70" t="s">
        <x:v>45</x:v>
      </x:c>
      <x:c r="C1884" s="70" t="s">
        <x:v>102</x:v>
      </x:c>
      <x:c r="D1884" s="70" t="s">
        <x:v>258</x:v>
      </x:c>
      <x:c r="E1884" s="70" t="s">
        <x:v>1106</x:v>
      </x:c>
      <x:c r="F1884" s="70" t="s">
        <x:v>1180</x:v>
      </x:c>
      <x:c r="G1884" s="70" t="s">
        <x:v>2628</x:v>
      </x:c>
      <x:c r="H1884" s="70" t="s">
        <x:v>842</x:v>
      </x:c>
      <x:c r="I1884" s="70" t="s">
        <x:v>833</x:v>
      </x:c>
      <x:c r="J1884" s="70" t="n">
        <x:v>210</x:v>
      </x:c>
      <x:c r="K1884" s="70" t="s">
        <x:v>2095</x:v>
      </x:c>
      <x:c r="L1884" s="70"/>
      <x:c r="M1884" s="70" t="s">
        <x:v>39</x:v>
      </x:c>
      <x:c r="N1884" s="71" t="n">
        <x:v>11528093</x:v>
      </x:c>
      <x:c r="O1884" s="72" t="n">
        <x:f aca="0">N1884/1000</x:f>
        <x:v>11528.093</x:v>
      </x:c>
      <x:c r="P1884" s="73" t="n">
        <x:f aca="0">FCCL!E101</x:f>
        <x:v>11528.093</x:v>
      </x:c>
      <x:c r="Q1884" s="70" t="str">
        <x:f aca="0">IF(ABS(O1884-P1884)&lt;0.000001,"PASS","FAIL")</x:f>
        <x:v>PASS</x:v>
      </x:c>
      <x:c r="R1884" s="70" t="s">
        <x:v>27</x:v>
      </x:c>
      <x:c r="S1884" s="70"/>
    </x:row>
    <x:row r="1885" ht="15" hidden="0">
      <x:c r="A1885" s="70" t="s">
        <x:v>2944</x:v>
      </x:c>
      <x:c r="B1885" s="70" t="s">
        <x:v>45</x:v>
      </x:c>
      <x:c r="C1885" s="70" t="s">
        <x:v>103</x:v>
      </x:c>
      <x:c r="D1885" s="70" t="s">
        <x:v>258</x:v>
      </x:c>
      <x:c r="E1885" s="70" t="s">
        <x:v>1106</x:v>
      </x:c>
      <x:c r="F1885" s="70" t="s">
        <x:v>1183</x:v>
      </x:c>
      <x:c r="G1885" s="70" t="s">
        <x:v>2631</x:v>
      </x:c>
      <x:c r="H1885" s="70" t="s">
        <x:v>845</x:v>
      </x:c>
      <x:c r="I1885" s="70" t="s">
        <x:v>833</x:v>
      </x:c>
      <x:c r="J1885" s="70" t="n">
        <x:v>192</x:v>
      </x:c>
      <x:c r="K1885" s="70" t="s">
        <x:v>2447</x:v>
      </x:c>
      <x:c r="L1885" s="70"/>
      <x:c r="M1885" s="70" t="s">
        <x:v>39</x:v>
      </x:c>
      <x:c r="N1885" s="71" t="n">
        <x:v>12900109</x:v>
      </x:c>
      <x:c r="O1885" s="72" t="n">
        <x:f aca="0">N1885/1000</x:f>
        <x:v>12900.109</x:v>
      </x:c>
      <x:c r="P1885" s="73" t="n">
        <x:f aca="0">FCCL!F101</x:f>
        <x:v>12900.109</x:v>
      </x:c>
      <x:c r="Q1885" s="70" t="str">
        <x:f aca="0">IF(ABS(O1885-P1885)&lt;0.000001,"PASS","FAIL")</x:f>
        <x:v>PASS</x:v>
      </x:c>
      <x:c r="R1885" s="70" t="s">
        <x:v>27</x:v>
      </x:c>
      <x:c r="S1885" s="70"/>
    </x:row>
    <x:row r="1886" ht="15" hidden="0">
      <x:c r="A1886" s="70" t="s">
        <x:v>2945</x:v>
      </x:c>
      <x:c r="B1886" s="70" t="s">
        <x:v>45</x:v>
      </x:c>
      <x:c r="C1886" s="70" t="s">
        <x:v>104</x:v>
      </x:c>
      <x:c r="D1886" s="70" t="s">
        <x:v>258</x:v>
      </x:c>
      <x:c r="E1886" s="70" t="s">
        <x:v>1106</x:v>
      </x:c>
      <x:c r="F1886" s="70" t="s">
        <x:v>1183</x:v>
      </x:c>
      <x:c r="G1886" s="70" t="s">
        <x:v>2633</x:v>
      </x:c>
      <x:c r="H1886" s="70" t="s">
        <x:v>849</x:v>
      </x:c>
      <x:c r="I1886" s="70" t="s">
        <x:v>833</x:v>
      </x:c>
      <x:c r="J1886" s="70" t="n">
        <x:v>246</x:v>
      </x:c>
      <x:c r="K1886" s="70" t="s">
        <x:v>834</x:v>
      </x:c>
      <x:c r="L1886" s="70"/>
      <x:c r="M1886" s="70" t="s">
        <x:v>39</x:v>
      </x:c>
      <x:c r="N1886" s="71" t="n">
        <x:v>15354954</x:v>
      </x:c>
      <x:c r="O1886" s="72" t="n">
        <x:f aca="0">N1886/1000</x:f>
        <x:v>15354.954</x:v>
      </x:c>
      <x:c r="P1886" s="73" t="n">
        <x:f aca="0">FCCL!G101</x:f>
        <x:v>15354.954</x:v>
      </x:c>
      <x:c r="Q1886" s="70" t="str">
        <x:f aca="0">IF(ABS(O1886-P1886)&lt;0.000001,"PASS","FAIL")</x:f>
        <x:v>PASS</x:v>
      </x:c>
      <x:c r="R1886" s="70" t="s">
        <x:v>27</x:v>
      </x:c>
      <x:c r="S1886" s="70"/>
    </x:row>
    <x:row r="1887" ht="15" hidden="0">
      <x:c r="A1887" s="70" t="s">
        <x:v>2946</x:v>
      </x:c>
      <x:c r="B1887" s="70" t="s">
        <x:v>45</x:v>
      </x:c>
      <x:c r="C1887" s="70" t="s">
        <x:v>105</x:v>
      </x:c>
      <x:c r="D1887" s="70" t="s">
        <x:v>258</x:v>
      </x:c>
      <x:c r="E1887" s="70" t="s">
        <x:v>1106</x:v>
      </x:c>
      <x:c r="F1887" s="70" t="s">
        <x:v>1183</x:v>
      </x:c>
      <x:c r="G1887" s="70" t="s">
        <x:v>2633</x:v>
      </x:c>
      <x:c r="H1887" s="70" t="s">
        <x:v>849</x:v>
      </x:c>
      <x:c r="I1887" s="70" t="s">
        <x:v>852</x:v>
      </x:c>
      <x:c r="J1887" s="70" t="n">
        <x:v>246</x:v>
      </x:c>
      <x:c r="K1887" s="70" t="s">
        <x:v>834</x:v>
      </x:c>
      <x:c r="L1887" s="70"/>
      <x:c r="M1887" s="70" t="s">
        <x:v>39</x:v>
      </x:c>
      <x:c r="N1887" s="71" t="n">
        <x:v>21525520</x:v>
      </x:c>
      <x:c r="O1887" s="72" t="n">
        <x:f aca="0">N1887/1000</x:f>
        <x:v>21525.52</x:v>
      </x:c>
      <x:c r="P1887" s="73" t="n">
        <x:f aca="0">FCCL!H101</x:f>
        <x:v>21525.52</x:v>
      </x:c>
      <x:c r="Q1887" s="70" t="str">
        <x:f aca="0">IF(ABS(O1887-P1887)&lt;0.000001,"PASS","FAIL")</x:f>
        <x:v>PASS</x:v>
      </x:c>
      <x:c r="R1887" s="70" t="s">
        <x:v>27</x:v>
      </x:c>
      <x:c r="S1887" s="70"/>
    </x:row>
    <x:row r="1888" ht="15" hidden="0">
      <x:c r="A1888" s="70" t="s">
        <x:v>2947</x:v>
      </x:c>
      <x:c r="B1888" s="70" t="s">
        <x:v>45</x:v>
      </x:c>
      <x:c r="C1888" s="70" t="s">
        <x:v>101</x:v>
      </x:c>
      <x:c r="D1888" s="70" t="s">
        <x:v>260</x:v>
      </x:c>
      <x:c r="E1888" s="70" t="s">
        <x:v>1106</x:v>
      </x:c>
      <x:c r="F1888" s="70" t="s">
        <x:v>2078</x:v>
      </x:c>
      <x:c r="G1888" s="70" t="s">
        <x:v>2626</x:v>
      </x:c>
      <x:c r="H1888" s="70" t="s">
        <x:v>838</x:v>
      </x:c>
      <x:c r="I1888" s="70" t="s">
        <x:v>833</x:v>
      </x:c>
      <x:c r="J1888" s="70" t="n">
        <x:v>188</x:v>
      </x:c>
      <x:c r="K1888" s="70" t="s">
        <x:v>1763</x:v>
      </x:c>
      <x:c r="L1888" s="70"/>
      <x:c r="M1888" s="70" t="s">
        <x:v>39</x:v>
      </x:c>
      <x:c r="N1888" s="71" t="n">
        <x:v>3471351</x:v>
      </x:c>
      <x:c r="O1888" s="72" t="n">
        <x:f aca="0">N1888/1000</x:f>
        <x:v>3471.351</x:v>
      </x:c>
      <x:c r="P1888" s="73" t="n">
        <x:f aca="0">FCCL!D102</x:f>
        <x:v>3471.351</x:v>
      </x:c>
      <x:c r="Q1888" s="70" t="str">
        <x:f aca="0">IF(ABS(O1888-P1888)&lt;0.000001,"PASS","FAIL")</x:f>
        <x:v>PASS</x:v>
      </x:c>
      <x:c r="R1888" s="70" t="s">
        <x:v>27</x:v>
      </x:c>
      <x:c r="S1888" s="70"/>
    </x:row>
    <x:row r="1889" ht="15" hidden="0">
      <x:c r="A1889" s="70" t="s">
        <x:v>2948</x:v>
      </x:c>
      <x:c r="B1889" s="70" t="s">
        <x:v>45</x:v>
      </x:c>
      <x:c r="C1889" s="70" t="s">
        <x:v>102</x:v>
      </x:c>
      <x:c r="D1889" s="70" t="s">
        <x:v>260</x:v>
      </x:c>
      <x:c r="E1889" s="70" t="s">
        <x:v>1106</x:v>
      </x:c>
      <x:c r="F1889" s="70" t="s">
        <x:v>2078</x:v>
      </x:c>
      <x:c r="G1889" s="70" t="s">
        <x:v>2628</x:v>
      </x:c>
      <x:c r="H1889" s="70" t="s">
        <x:v>842</x:v>
      </x:c>
      <x:c r="I1889" s="70" t="s">
        <x:v>833</x:v>
      </x:c>
      <x:c r="J1889" s="70" t="n">
        <x:v>210</x:v>
      </x:c>
      <x:c r="K1889" s="70" t="s">
        <x:v>2095</x:v>
      </x:c>
      <x:c r="L1889" s="70"/>
      <x:c r="M1889" s="70" t="s">
        <x:v>39</x:v>
      </x:c>
      <x:c r="N1889" s="71" t="n">
        <x:v>7112540</x:v>
      </x:c>
      <x:c r="O1889" s="72" t="n">
        <x:f aca="0">N1889/1000</x:f>
        <x:v>7112.54</x:v>
      </x:c>
      <x:c r="P1889" s="73" t="n">
        <x:f aca="0">FCCL!E102</x:f>
        <x:v>7112.54</x:v>
      </x:c>
      <x:c r="Q1889" s="70" t="str">
        <x:f aca="0">IF(ABS(O1889-P1889)&lt;0.000001,"PASS","FAIL")</x:f>
        <x:v>PASS</x:v>
      </x:c>
      <x:c r="R1889" s="70" t="s">
        <x:v>27</x:v>
      </x:c>
      <x:c r="S1889" s="70"/>
    </x:row>
    <x:row r="1890" ht="15" hidden="0">
      <x:c r="A1890" s="70" t="s">
        <x:v>2949</x:v>
      </x:c>
      <x:c r="B1890" s="70" t="s">
        <x:v>45</x:v>
      </x:c>
      <x:c r="C1890" s="70" t="s">
        <x:v>103</x:v>
      </x:c>
      <x:c r="D1890" s="70" t="s">
        <x:v>260</x:v>
      </x:c>
      <x:c r="E1890" s="70" t="s">
        <x:v>1106</x:v>
      </x:c>
      <x:c r="F1890" s="70" t="s">
        <x:v>2078</x:v>
      </x:c>
      <x:c r="G1890" s="70" t="s">
        <x:v>2631</x:v>
      </x:c>
      <x:c r="H1890" s="70" t="s">
        <x:v>845</x:v>
      </x:c>
      <x:c r="I1890" s="70" t="s">
        <x:v>833</x:v>
      </x:c>
      <x:c r="J1890" s="70" t="n">
        <x:v>192</x:v>
      </x:c>
      <x:c r="K1890" s="70" t="s">
        <x:v>2447</x:v>
      </x:c>
      <x:c r="L1890" s="70"/>
      <x:c r="M1890" s="70" t="s">
        <x:v>39</x:v>
      </x:c>
      <x:c r="N1890" s="71" t="n">
        <x:v>7439681</x:v>
      </x:c>
      <x:c r="O1890" s="72" t="n">
        <x:f aca="0">N1890/1000</x:f>
        <x:v>7439.681</x:v>
      </x:c>
      <x:c r="P1890" s="73" t="n">
        <x:f aca="0">FCCL!F102</x:f>
        <x:v>7439.681</x:v>
      </x:c>
      <x:c r="Q1890" s="70" t="str">
        <x:f aca="0">IF(ABS(O1890-P1890)&lt;0.000001,"PASS","FAIL")</x:f>
        <x:v>PASS</x:v>
      </x:c>
      <x:c r="R1890" s="70" t="s">
        <x:v>27</x:v>
      </x:c>
      <x:c r="S1890" s="70"/>
    </x:row>
    <x:row r="1891" ht="15" hidden="0">
      <x:c r="A1891" s="70" t="s">
        <x:v>2950</x:v>
      </x:c>
      <x:c r="B1891" s="70" t="s">
        <x:v>45</x:v>
      </x:c>
      <x:c r="C1891" s="70" t="s">
        <x:v>104</x:v>
      </x:c>
      <x:c r="D1891" s="70" t="s">
        <x:v>260</x:v>
      </x:c>
      <x:c r="E1891" s="70" t="s">
        <x:v>1106</x:v>
      </x:c>
      <x:c r="F1891" s="70" t="s">
        <x:v>2078</x:v>
      </x:c>
      <x:c r="G1891" s="70" t="s">
        <x:v>2633</x:v>
      </x:c>
      <x:c r="H1891" s="70" t="s">
        <x:v>849</x:v>
      </x:c>
      <x:c r="I1891" s="70" t="s">
        <x:v>833</x:v>
      </x:c>
      <x:c r="J1891" s="70" t="n">
        <x:v>246</x:v>
      </x:c>
      <x:c r="K1891" s="70" t="s">
        <x:v>834</x:v>
      </x:c>
      <x:c r="L1891" s="70"/>
      <x:c r="M1891" s="70" t="s">
        <x:v>39</x:v>
      </x:c>
      <x:c r="N1891" s="71" t="n">
        <x:v>8223116</x:v>
      </x:c>
      <x:c r="O1891" s="72" t="n">
        <x:f aca="0">N1891/1000</x:f>
        <x:v>8223.116</x:v>
      </x:c>
      <x:c r="P1891" s="73" t="n">
        <x:f aca="0">FCCL!G102</x:f>
        <x:v>8223.116</x:v>
      </x:c>
      <x:c r="Q1891" s="70" t="str">
        <x:f aca="0">IF(ABS(O1891-P1891)&lt;0.000001,"PASS","FAIL")</x:f>
        <x:v>PASS</x:v>
      </x:c>
      <x:c r="R1891" s="70" t="s">
        <x:v>27</x:v>
      </x:c>
      <x:c r="S1891" s="70"/>
    </x:row>
    <x:row r="1892" ht="15" hidden="0">
      <x:c r="A1892" s="70" t="s">
        <x:v>2951</x:v>
      </x:c>
      <x:c r="B1892" s="70" t="s">
        <x:v>45</x:v>
      </x:c>
      <x:c r="C1892" s="70" t="s">
        <x:v>105</x:v>
      </x:c>
      <x:c r="D1892" s="70" t="s">
        <x:v>260</x:v>
      </x:c>
      <x:c r="E1892" s="70" t="s">
        <x:v>1106</x:v>
      </x:c>
      <x:c r="F1892" s="70" t="s">
        <x:v>2078</x:v>
      </x:c>
      <x:c r="G1892" s="70" t="s">
        <x:v>2633</x:v>
      </x:c>
      <x:c r="H1892" s="70" t="s">
        <x:v>849</x:v>
      </x:c>
      <x:c r="I1892" s="70" t="s">
        <x:v>852</x:v>
      </x:c>
      <x:c r="J1892" s="70" t="n">
        <x:v>246</x:v>
      </x:c>
      <x:c r="K1892" s="70" t="s">
        <x:v>834</x:v>
      </x:c>
      <x:c r="L1892" s="70"/>
      <x:c r="M1892" s="70" t="s">
        <x:v>39</x:v>
      </x:c>
      <x:c r="N1892" s="71" t="n">
        <x:v>13326202</x:v>
      </x:c>
      <x:c r="O1892" s="72" t="n">
        <x:f aca="0">N1892/1000</x:f>
        <x:v>13326.202</x:v>
      </x:c>
      <x:c r="P1892" s="73" t="n">
        <x:f aca="0">FCCL!H102</x:f>
        <x:v>13326.202</x:v>
      </x:c>
      <x:c r="Q1892" s="70" t="str">
        <x:f aca="0">IF(ABS(O1892-P1892)&lt;0.000001,"PASS","FAIL")</x:f>
        <x:v>PASS</x:v>
      </x:c>
      <x:c r="R1892" s="70" t="s">
        <x:v>27</x:v>
      </x:c>
      <x:c r="S1892" s="70"/>
    </x:row>
    <x:row r="1893" ht="15" hidden="0">
      <x:c r="A1893" s="70" t="s">
        <x:v>2952</x:v>
      </x:c>
      <x:c r="B1893" s="70" t="s">
        <x:v>45</x:v>
      </x:c>
      <x:c r="C1893" s="70" t="s">
        <x:v>101</x:v>
      </x:c>
      <x:c r="D1893" s="70" t="s">
        <x:v>264</x:v>
      </x:c>
      <x:c r="E1893" s="70" t="s">
        <x:v>855</x:v>
      </x:c>
      <x:c r="F1893" s="70" t="s">
        <x:v>2953</x:v>
      </x:c>
      <x:c r="G1893" s="70" t="s">
        <x:v>2626</x:v>
      </x:c>
      <x:c r="H1893" s="70" t="s">
        <x:v>838</x:v>
      </x:c>
      <x:c r="I1893" s="70" t="s">
        <x:v>833</x:v>
      </x:c>
      <x:c r="J1893" s="70" t="n">
        <x:v>229</x:v>
      </x:c>
      <x:c r="K1893" s="70" t="s">
        <x:v>1659</x:v>
      </x:c>
      <x:c r="L1893" s="70"/>
      <x:c r="M1893" s="70" t="s">
        <x:v>39</x:v>
      </x:c>
      <x:c r="N1893" s="71" t="n">
        <x:v>17511</x:v>
      </x:c>
      <x:c r="O1893" s="72" t="n">
        <x:f aca="0">N1893/1000</x:f>
        <x:v>17.511</x:v>
      </x:c>
      <x:c r="P1893" s="73" t="n">
        <x:f aca="0">FCCL!D105</x:f>
        <x:v>17.511</x:v>
      </x:c>
      <x:c r="Q1893" s="70" t="str">
        <x:f aca="0">IF(ABS(O1893-P1893)&lt;0.000001,"PASS","FAIL")</x:f>
        <x:v>PASS</x:v>
      </x:c>
      <x:c r="R1893" s="70" t="s">
        <x:v>27</x:v>
      </x:c>
      <x:c r="S1893" s="70"/>
    </x:row>
    <x:row r="1894" ht="15" hidden="0">
      <x:c r="A1894" s="70" t="s">
        <x:v>2954</x:v>
      </x:c>
      <x:c r="B1894" s="70" t="s">
        <x:v>45</x:v>
      </x:c>
      <x:c r="C1894" s="70" t="s">
        <x:v>102</x:v>
      </x:c>
      <x:c r="D1894" s="70" t="s">
        <x:v>264</x:v>
      </x:c>
      <x:c r="E1894" s="70" t="s">
        <x:v>855</x:v>
      </x:c>
      <x:c r="F1894" s="70" t="s">
        <x:v>2953</x:v>
      </x:c>
      <x:c r="G1894" s="70" t="s">
        <x:v>2628</x:v>
      </x:c>
      <x:c r="H1894" s="70" t="s">
        <x:v>842</x:v>
      </x:c>
      <x:c r="I1894" s="70" t="s">
        <x:v>833</x:v>
      </x:c>
      <x:c r="J1894" s="70" t="n">
        <x:v>250</x:v>
      </x:c>
      <x:c r="K1894" s="70" t="s">
        <x:v>1319</x:v>
      </x:c>
      <x:c r="L1894" s="70"/>
      <x:c r="M1894" s="70" t="s">
        <x:v>39</x:v>
      </x:c>
      <x:c r="N1894" s="71" t="n">
        <x:v>206388</x:v>
      </x:c>
      <x:c r="O1894" s="72" t="n">
        <x:f aca="0">N1894/1000</x:f>
        <x:v>206.388</x:v>
      </x:c>
      <x:c r="P1894" s="73" t="n">
        <x:f aca="0">FCCL!E105</x:f>
        <x:v>206.388</x:v>
      </x:c>
      <x:c r="Q1894" s="70" t="str">
        <x:f aca="0">IF(ABS(O1894-P1894)&lt;0.000001,"PASS","FAIL")</x:f>
        <x:v>PASS</x:v>
      </x:c>
      <x:c r="R1894" s="70" t="s">
        <x:v>27</x:v>
      </x:c>
      <x:c r="S1894" s="70"/>
    </x:row>
    <x:row r="1895" ht="15" hidden="0">
      <x:c r="A1895" s="70" t="s">
        <x:v>2955</x:v>
      </x:c>
      <x:c r="B1895" s="70" t="s">
        <x:v>45</x:v>
      </x:c>
      <x:c r="C1895" s="70" t="s">
        <x:v>103</x:v>
      </x:c>
      <x:c r="D1895" s="70" t="s">
        <x:v>264</x:v>
      </x:c>
      <x:c r="E1895" s="70" t="s">
        <x:v>855</x:v>
      </x:c>
      <x:c r="F1895" s="70" t="s">
        <x:v>2956</x:v>
      </x:c>
      <x:c r="G1895" s="70" t="s">
        <x:v>2631</x:v>
      </x:c>
      <x:c r="H1895" s="70" t="s">
        <x:v>845</x:v>
      </x:c>
      <x:c r="I1895" s="70" t="s">
        <x:v>833</x:v>
      </x:c>
      <x:c r="J1895" s="70" t="n">
        <x:v>228</x:v>
      </x:c>
      <x:c r="K1895" s="70" t="s">
        <x:v>2957</x:v>
      </x:c>
      <x:c r="L1895" s="70"/>
      <x:c r="M1895" s="70" t="s">
        <x:v>39</x:v>
      </x:c>
      <x:c r="N1895" s="71" t="n">
        <x:v>1020455</x:v>
      </x:c>
      <x:c r="O1895" s="72" t="n">
        <x:f aca="0">N1895/1000</x:f>
        <x:v>1020.455</x:v>
      </x:c>
      <x:c r="P1895" s="73" t="n">
        <x:f aca="0">FCCL!F105</x:f>
        <x:v>1020.455</x:v>
      </x:c>
      <x:c r="Q1895" s="70" t="str">
        <x:f aca="0">IF(ABS(O1895-P1895)&lt;0.000001,"PASS","FAIL")</x:f>
        <x:v>PASS</x:v>
      </x:c>
      <x:c r="R1895" s="70" t="s">
        <x:v>27</x:v>
      </x:c>
      <x:c r="S1895" s="70"/>
    </x:row>
    <x:row r="1896" ht="15" hidden="0">
      <x:c r="A1896" s="70" t="s">
        <x:v>2958</x:v>
      </x:c>
      <x:c r="B1896" s="70" t="s">
        <x:v>45</x:v>
      </x:c>
      <x:c r="C1896" s="70" t="s">
        <x:v>104</x:v>
      </x:c>
      <x:c r="D1896" s="70" t="s">
        <x:v>264</x:v>
      </x:c>
      <x:c r="E1896" s="70" t="s">
        <x:v>855</x:v>
      </x:c>
      <x:c r="F1896" s="70" t="s">
        <x:v>2959</x:v>
      </x:c>
      <x:c r="G1896" s="70" t="s">
        <x:v>2633</x:v>
      </x:c>
      <x:c r="H1896" s="70" t="s">
        <x:v>849</x:v>
      </x:c>
      <x:c r="I1896" s="70" t="s">
        <x:v>833</x:v>
      </x:c>
      <x:c r="J1896" s="70" t="n">
        <x:v>283</x:v>
      </x:c>
      <x:c r="K1896" s="70" t="s">
        <x:v>834</x:v>
      </x:c>
      <x:c r="L1896" s="70"/>
      <x:c r="M1896" s="70" t="s">
        <x:v>39</x:v>
      </x:c>
      <x:c r="N1896" s="71" t="n">
        <x:v>12561</x:v>
      </x:c>
      <x:c r="O1896" s="72" t="n">
        <x:f aca="0">N1896/1000</x:f>
        <x:v>12.561</x:v>
      </x:c>
      <x:c r="P1896" s="73" t="n">
        <x:f aca="0">FCCL!G105</x:f>
        <x:v>12.561</x:v>
      </x:c>
      <x:c r="Q1896" s="70" t="str">
        <x:f aca="0">IF(ABS(O1896-P1896)&lt;0.000001,"PASS","FAIL")</x:f>
        <x:v>PASS</x:v>
      </x:c>
      <x:c r="R1896" s="70" t="s">
        <x:v>27</x:v>
      </x:c>
      <x:c r="S1896" s="70"/>
    </x:row>
    <x:row r="1897" ht="15" hidden="0">
      <x:c r="A1897" s="70" t="s">
        <x:v>2960</x:v>
      </x:c>
      <x:c r="B1897" s="70" t="s">
        <x:v>45</x:v>
      </x:c>
      <x:c r="C1897" s="70" t="s">
        <x:v>105</x:v>
      </x:c>
      <x:c r="D1897" s="70" t="s">
        <x:v>264</x:v>
      </x:c>
      <x:c r="E1897" s="70" t="s">
        <x:v>855</x:v>
      </x:c>
      <x:c r="F1897" s="70" t="s">
        <x:v>2959</x:v>
      </x:c>
      <x:c r="G1897" s="70" t="s">
        <x:v>2633</x:v>
      </x:c>
      <x:c r="H1897" s="70" t="s">
        <x:v>849</x:v>
      </x:c>
      <x:c r="I1897" s="70" t="s">
        <x:v>852</x:v>
      </x:c>
      <x:c r="J1897" s="70" t="n">
        <x:v>283</x:v>
      </x:c>
      <x:c r="K1897" s="70" t="s">
        <x:v>834</x:v>
      </x:c>
      <x:c r="L1897" s="70"/>
      <x:c r="M1897" s="70" t="s">
        <x:v>39</x:v>
      </x:c>
      <x:c r="N1897" s="71" t="n">
        <x:v>97854</x:v>
      </x:c>
      <x:c r="O1897" s="72" t="n">
        <x:f aca="0">N1897/1000</x:f>
        <x:v>97.854</x:v>
      </x:c>
      <x:c r="P1897" s="73" t="n">
        <x:f aca="0">FCCL!H105</x:f>
        <x:v>97.854</x:v>
      </x:c>
      <x:c r="Q1897" s="70" t="str">
        <x:f aca="0">IF(ABS(O1897-P1897)&lt;0.000001,"PASS","FAIL")</x:f>
        <x:v>PASS</x:v>
      </x:c>
      <x:c r="R1897" s="70" t="s">
        <x:v>27</x:v>
      </x:c>
      <x:c r="S1897" s="70"/>
    </x:row>
    <x:row r="1898" ht="15" hidden="0">
      <x:c r="A1898" s="70" t="s">
        <x:v>2961</x:v>
      </x:c>
      <x:c r="B1898" s="70" t="s">
        <x:v>45</x:v>
      </x:c>
      <x:c r="C1898" s="70" t="s">
        <x:v>101</x:v>
      </x:c>
      <x:c r="D1898" s="70" t="s">
        <x:v>268</x:v>
      </x:c>
      <x:c r="E1898" s="70" t="s">
        <x:v>1203</x:v>
      </x:c>
      <x:c r="F1898" s="70" t="s">
        <x:v>2962</x:v>
      </x:c>
      <x:c r="G1898" s="70" t="s">
        <x:v>2626</x:v>
      </x:c>
      <x:c r="H1898" s="70" t="s">
        <x:v>838</x:v>
      </x:c>
      <x:c r="I1898" s="70" t="s">
        <x:v>833</x:v>
      </x:c>
      <x:c r="J1898" s="70" t="n">
        <x:v>190</x:v>
      </x:c>
      <x:c r="K1898" s="70" t="s">
        <x:v>1765</x:v>
      </x:c>
      <x:c r="L1898" s="70"/>
      <x:c r="M1898" s="70" t="s">
        <x:v>39</x:v>
      </x:c>
      <x:c r="N1898" s="71" t="n">
        <x:v>1599551</x:v>
      </x:c>
      <x:c r="O1898" s="72" t="n">
        <x:f aca="0">N1898/1000</x:f>
        <x:v>1599.551</x:v>
      </x:c>
      <x:c r="P1898" s="73" t="n">
        <x:f aca="0">FCCL!D107</x:f>
        <x:v>1599.551</x:v>
      </x:c>
      <x:c r="Q1898" s="70" t="str">
        <x:f aca="0">IF(ABS(O1898-P1898)&lt;0.000001,"PASS","FAIL")</x:f>
        <x:v>PASS</x:v>
      </x:c>
      <x:c r="R1898" s="70" t="s">
        <x:v>27</x:v>
      </x:c>
      <x:c r="S1898" s="70"/>
    </x:row>
    <x:row r="1899" ht="15" hidden="0">
      <x:c r="A1899" s="70" t="s">
        <x:v>2963</x:v>
      </x:c>
      <x:c r="B1899" s="70" t="s">
        <x:v>45</x:v>
      </x:c>
      <x:c r="C1899" s="70" t="s">
        <x:v>102</x:v>
      </x:c>
      <x:c r="D1899" s="70" t="s">
        <x:v>268</x:v>
      </x:c>
      <x:c r="E1899" s="70" t="s">
        <x:v>1203</x:v>
      </x:c>
      <x:c r="F1899" s="70" t="s">
        <x:v>2964</x:v>
      </x:c>
      <x:c r="G1899" s="70" t="s">
        <x:v>2628</x:v>
      </x:c>
      <x:c r="H1899" s="70" t="s">
        <x:v>842</x:v>
      </x:c>
      <x:c r="I1899" s="70" t="s">
        <x:v>833</x:v>
      </x:c>
      <x:c r="J1899" s="70" t="n">
        <x:v>212</x:v>
      </x:c>
      <x:c r="K1899" s="70" t="s">
        <x:v>2965</x:v>
      </x:c>
      <x:c r="L1899" s="70"/>
      <x:c r="M1899" s="70" t="s">
        <x:v>39</x:v>
      </x:c>
      <x:c r="N1899" s="71" t="n">
        <x:v>2950143</x:v>
      </x:c>
      <x:c r="O1899" s="72" t="n">
        <x:f aca="0">N1899/1000</x:f>
        <x:v>2950.143</x:v>
      </x:c>
      <x:c r="P1899" s="73" t="n">
        <x:f aca="0">FCCL!E107</x:f>
        <x:v>2950.143</x:v>
      </x:c>
      <x:c r="Q1899" s="70" t="str">
        <x:f aca="0">IF(ABS(O1899-P1899)&lt;0.000001,"PASS","FAIL")</x:f>
        <x:v>PASS</x:v>
      </x:c>
      <x:c r="R1899" s="70" t="s">
        <x:v>27</x:v>
      </x:c>
      <x:c r="S1899" s="70"/>
    </x:row>
    <x:row r="1900" ht="15" hidden="0">
      <x:c r="A1900" s="70" t="s">
        <x:v>2966</x:v>
      </x:c>
      <x:c r="B1900" s="70" t="s">
        <x:v>45</x:v>
      </x:c>
      <x:c r="C1900" s="70" t="s">
        <x:v>103</x:v>
      </x:c>
      <x:c r="D1900" s="70" t="s">
        <x:v>268</x:v>
      </x:c>
      <x:c r="E1900" s="70" t="s">
        <x:v>1203</x:v>
      </x:c>
      <x:c r="F1900" s="70" t="s">
        <x:v>2962</x:v>
      </x:c>
      <x:c r="G1900" s="70" t="s">
        <x:v>2631</x:v>
      </x:c>
      <x:c r="H1900" s="70" t="s">
        <x:v>845</x:v>
      </x:c>
      <x:c r="I1900" s="70" t="s">
        <x:v>833</x:v>
      </x:c>
      <x:c r="J1900" s="70" t="n">
        <x:v>194</x:v>
      </x:c>
      <x:c r="K1900" s="70" t="s">
        <x:v>2547</x:v>
      </x:c>
      <x:c r="L1900" s="70"/>
      <x:c r="M1900" s="70" t="s">
        <x:v>39</x:v>
      </x:c>
      <x:c r="N1900" s="71" t="n">
        <x:v>3649886</x:v>
      </x:c>
      <x:c r="O1900" s="72" t="n">
        <x:f aca="0">N1900/1000</x:f>
        <x:v>3649.886</x:v>
      </x:c>
      <x:c r="P1900" s="73" t="n">
        <x:f aca="0">FCCL!F107</x:f>
        <x:v>3649.886</x:v>
      </x:c>
      <x:c r="Q1900" s="70" t="str">
        <x:f aca="0">IF(ABS(O1900-P1900)&lt;0.000001,"PASS","FAIL")</x:f>
        <x:v>PASS</x:v>
      </x:c>
      <x:c r="R1900" s="70" t="s">
        <x:v>27</x:v>
      </x:c>
      <x:c r="S1900" s="70"/>
    </x:row>
    <x:row r="1901" ht="15" hidden="0">
      <x:c r="A1901" s="70" t="s">
        <x:v>2967</x:v>
      </x:c>
      <x:c r="B1901" s="70" t="s">
        <x:v>45</x:v>
      </x:c>
      <x:c r="C1901" s="70" t="s">
        <x:v>104</x:v>
      </x:c>
      <x:c r="D1901" s="70" t="s">
        <x:v>268</x:v>
      </x:c>
      <x:c r="E1901" s="70" t="s">
        <x:v>1203</x:v>
      </x:c>
      <x:c r="F1901" s="70" t="s">
        <x:v>2962</x:v>
      </x:c>
      <x:c r="G1901" s="70" t="s">
        <x:v>2633</x:v>
      </x:c>
      <x:c r="H1901" s="70" t="s">
        <x:v>849</x:v>
      </x:c>
      <x:c r="I1901" s="70" t="s">
        <x:v>833</x:v>
      </x:c>
      <x:c r="J1901" s="70" t="n">
        <x:v>248</x:v>
      </x:c>
      <x:c r="K1901" s="70" t="s">
        <x:v>834</x:v>
      </x:c>
      <x:c r="L1901" s="70"/>
      <x:c r="M1901" s="70" t="s">
        <x:v>39</x:v>
      </x:c>
      <x:c r="N1901" s="71" t="n">
        <x:v>4058051</x:v>
      </x:c>
      <x:c r="O1901" s="72" t="n">
        <x:f aca="0">N1901/1000</x:f>
        <x:v>4058.051</x:v>
      </x:c>
      <x:c r="P1901" s="73" t="n">
        <x:f aca="0">FCCL!G107</x:f>
        <x:v>4058.051</x:v>
      </x:c>
      <x:c r="Q1901" s="70" t="str">
        <x:f aca="0">IF(ABS(O1901-P1901)&lt;0.000001,"PASS","FAIL")</x:f>
        <x:v>PASS</x:v>
      </x:c>
      <x:c r="R1901" s="70" t="s">
        <x:v>27</x:v>
      </x:c>
      <x:c r="S1901" s="70"/>
    </x:row>
    <x:row r="1902" ht="15" hidden="0">
      <x:c r="A1902" s="70" t="s">
        <x:v>2968</x:v>
      </x:c>
      <x:c r="B1902" s="70" t="s">
        <x:v>45</x:v>
      </x:c>
      <x:c r="C1902" s="70" t="s">
        <x:v>105</x:v>
      </x:c>
      <x:c r="D1902" s="70" t="s">
        <x:v>268</x:v>
      </x:c>
      <x:c r="E1902" s="70" t="s">
        <x:v>1203</x:v>
      </x:c>
      <x:c r="F1902" s="70" t="s">
        <x:v>2962</x:v>
      </x:c>
      <x:c r="G1902" s="70" t="s">
        <x:v>2633</x:v>
      </x:c>
      <x:c r="H1902" s="70" t="s">
        <x:v>849</x:v>
      </x:c>
      <x:c r="I1902" s="70" t="s">
        <x:v>852</x:v>
      </x:c>
      <x:c r="J1902" s="70" t="n">
        <x:v>248</x:v>
      </x:c>
      <x:c r="K1902" s="70" t="s">
        <x:v>834</x:v>
      </x:c>
      <x:c r="L1902" s="70"/>
      <x:c r="M1902" s="70" t="s">
        <x:v>39</x:v>
      </x:c>
      <x:c r="N1902" s="71" t="n">
        <x:v>4969739</x:v>
      </x:c>
      <x:c r="O1902" s="72" t="n">
        <x:f aca="0">N1902/1000</x:f>
        <x:v>4969.739</x:v>
      </x:c>
      <x:c r="P1902" s="73" t="n">
        <x:f aca="0">FCCL!H107</x:f>
        <x:v>4969.739</x:v>
      </x:c>
      <x:c r="Q1902" s="70" t="str">
        <x:f aca="0">IF(ABS(O1902-P1902)&lt;0.000001,"PASS","FAIL")</x:f>
        <x:v>PASS</x:v>
      </x:c>
      <x:c r="R1902" s="70" t="s">
        <x:v>27</x:v>
      </x:c>
      <x:c r="S1902" s="70"/>
    </x:row>
    <x:row r="1903" ht="15" hidden="0">
      <x:c r="A1903" s="70" t="s">
        <x:v>2969</x:v>
      </x:c>
      <x:c r="B1903" s="70" t="s">
        <x:v>45</x:v>
      </x:c>
      <x:c r="C1903" s="70" t="s">
        <x:v>101</x:v>
      </x:c>
      <x:c r="D1903" s="70" t="s">
        <x:v>283</x:v>
      </x:c>
      <x:c r="E1903" s="70" t="s">
        <x:v>1203</x:v>
      </x:c>
      <x:c r="F1903" s="70"/>
      <x:c r="G1903" s="70" t="s">
        <x:v>2626</x:v>
      </x:c>
      <x:c r="H1903" s="70" t="s">
        <x:v>838</x:v>
      </x:c>
      <x:c r="I1903" s="70" t="s">
        <x:v>833</x:v>
      </x:c>
      <x:c r="J1903" s="70" t="n">
        <x:v>190</x:v>
      </x:c>
      <x:c r="K1903" s="70" t="s">
        <x:v>1765</x:v>
      </x:c>
      <x:c r="L1903" s="70"/>
      <x:c r="M1903" s="70" t="s">
        <x:v>39</x:v>
      </x:c>
      <x:c r="N1903" s="71" t="n">
        <x:v>0</x:v>
      </x:c>
      <x:c r="O1903" s="72" t="n">
        <x:f aca="0">N1903/1000</x:f>
        <x:v>0</x:v>
      </x:c>
      <x:c r="P1903" s="73" t="n">
        <x:f aca="0">FCCL!D116</x:f>
        <x:v>0</x:v>
      </x:c>
      <x:c r="Q1903" s="70" t="str">
        <x:f aca="0">IF(ABS(O1903-P1903)&lt;0.000001,"PASS","FAIL")</x:f>
        <x:v>PASS</x:v>
      </x:c>
      <x:c r="R1903" s="70" t="s">
        <x:v>27</x:v>
      </x:c>
      <x:c r="S1903" s="70"/>
    </x:row>
    <x:row r="1904" ht="15" hidden="0">
      <x:c r="A1904" s="70" t="s">
        <x:v>2970</x:v>
      </x:c>
      <x:c r="B1904" s="70" t="s">
        <x:v>45</x:v>
      </x:c>
      <x:c r="C1904" s="70" t="s">
        <x:v>102</x:v>
      </x:c>
      <x:c r="D1904" s="70" t="s">
        <x:v>283</x:v>
      </x:c>
      <x:c r="E1904" s="70" t="s">
        <x:v>1203</x:v>
      </x:c>
      <x:c r="F1904" s="70"/>
      <x:c r="G1904" s="70" t="s">
        <x:v>2628</x:v>
      </x:c>
      <x:c r="H1904" s="70" t="s">
        <x:v>842</x:v>
      </x:c>
      <x:c r="I1904" s="70" t="s">
        <x:v>833</x:v>
      </x:c>
      <x:c r="J1904" s="70" t="n">
        <x:v>212</x:v>
      </x:c>
      <x:c r="K1904" s="70" t="s">
        <x:v>2965</x:v>
      </x:c>
      <x:c r="L1904" s="70"/>
      <x:c r="M1904" s="70" t="s">
        <x:v>39</x:v>
      </x:c>
      <x:c r="N1904" s="71" t="n">
        <x:v>0</x:v>
      </x:c>
      <x:c r="O1904" s="72" t="n">
        <x:f aca="0">N1904/1000</x:f>
        <x:v>0</x:v>
      </x:c>
      <x:c r="P1904" s="73" t="n">
        <x:f aca="0">FCCL!E116</x:f>
        <x:v>0</x:v>
      </x:c>
      <x:c r="Q1904" s="70" t="str">
        <x:f aca="0">IF(ABS(O1904-P1904)&lt;0.000001,"PASS","FAIL")</x:f>
        <x:v>PASS</x:v>
      </x:c>
      <x:c r="R1904" s="70" t="s">
        <x:v>27</x:v>
      </x:c>
      <x:c r="S1904" s="70"/>
    </x:row>
    <x:row r="1905" ht="15" hidden="0">
      <x:c r="A1905" s="70" t="s">
        <x:v>2971</x:v>
      </x:c>
      <x:c r="B1905" s="70" t="s">
        <x:v>45</x:v>
      </x:c>
      <x:c r="C1905" s="70" t="s">
        <x:v>103</x:v>
      </x:c>
      <x:c r="D1905" s="70" t="s">
        <x:v>283</x:v>
      </x:c>
      <x:c r="E1905" s="70" t="s">
        <x:v>1203</x:v>
      </x:c>
      <x:c r="F1905" s="70"/>
      <x:c r="G1905" s="70" t="s">
        <x:v>2631</x:v>
      </x:c>
      <x:c r="H1905" s="70" t="s">
        <x:v>845</x:v>
      </x:c>
      <x:c r="I1905" s="70" t="s">
        <x:v>833</x:v>
      </x:c>
      <x:c r="J1905" s="70" t="n">
        <x:v>194</x:v>
      </x:c>
      <x:c r="K1905" s="70" t="s">
        <x:v>2547</x:v>
      </x:c>
      <x:c r="L1905" s="70"/>
      <x:c r="M1905" s="70" t="s">
        <x:v>39</x:v>
      </x:c>
      <x:c r="N1905" s="71" t="n">
        <x:v>0</x:v>
      </x:c>
      <x:c r="O1905" s="72" t="n">
        <x:f aca="0">N1905/1000</x:f>
        <x:v>0</x:v>
      </x:c>
      <x:c r="P1905" s="73" t="n">
        <x:f aca="0">FCCL!F116</x:f>
        <x:v>0</x:v>
      </x:c>
      <x:c r="Q1905" s="70" t="str">
        <x:f aca="0">IF(ABS(O1905-P1905)&lt;0.000001,"PASS","FAIL")</x:f>
        <x:v>PASS</x:v>
      </x:c>
      <x:c r="R1905" s="70" t="s">
        <x:v>27</x:v>
      </x:c>
      <x:c r="S1905" s="70"/>
    </x:row>
    <x:row r="1906" ht="15" hidden="0">
      <x:c r="A1906" s="70" t="s">
        <x:v>2972</x:v>
      </x:c>
      <x:c r="B1906" s="70" t="s">
        <x:v>45</x:v>
      </x:c>
      <x:c r="C1906" s="70" t="s">
        <x:v>104</x:v>
      </x:c>
      <x:c r="D1906" s="70" t="s">
        <x:v>283</x:v>
      </x:c>
      <x:c r="E1906" s="70" t="s">
        <x:v>1203</x:v>
      </x:c>
      <x:c r="F1906" s="70"/>
      <x:c r="G1906" s="70" t="s">
        <x:v>2633</x:v>
      </x:c>
      <x:c r="H1906" s="70" t="s">
        <x:v>849</x:v>
      </x:c>
      <x:c r="I1906" s="70" t="s">
        <x:v>833</x:v>
      </x:c>
      <x:c r="J1906" s="70" t="n">
        <x:v>248</x:v>
      </x:c>
      <x:c r="K1906" s="70" t="s">
        <x:v>834</x:v>
      </x:c>
      <x:c r="L1906" s="70"/>
      <x:c r="M1906" s="70" t="s">
        <x:v>39</x:v>
      </x:c>
      <x:c r="N1906" s="71" t="n">
        <x:v>0</x:v>
      </x:c>
      <x:c r="O1906" s="72" t="n">
        <x:f aca="0">N1906/1000</x:f>
        <x:v>0</x:v>
      </x:c>
      <x:c r="P1906" s="73" t="n">
        <x:f aca="0">FCCL!G116</x:f>
        <x:v>0</x:v>
      </x:c>
      <x:c r="Q1906" s="70" t="str">
        <x:f aca="0">IF(ABS(O1906-P1906)&lt;0.000001,"PASS","FAIL")</x:f>
        <x:v>PASS</x:v>
      </x:c>
      <x:c r="R1906" s="70" t="s">
        <x:v>27</x:v>
      </x:c>
      <x:c r="S1906" s="70"/>
    </x:row>
    <x:row r="1907" ht="15" hidden="0">
      <x:c r="A1907" s="70" t="s">
        <x:v>2973</x:v>
      </x:c>
      <x:c r="B1907" s="70" t="s">
        <x:v>45</x:v>
      </x:c>
      <x:c r="C1907" s="70" t="s">
        <x:v>105</x:v>
      </x:c>
      <x:c r="D1907" s="70" t="s">
        <x:v>283</x:v>
      </x:c>
      <x:c r="E1907" s="70" t="s">
        <x:v>1203</x:v>
      </x:c>
      <x:c r="F1907" s="70"/>
      <x:c r="G1907" s="70" t="s">
        <x:v>2633</x:v>
      </x:c>
      <x:c r="H1907" s="70" t="s">
        <x:v>849</x:v>
      </x:c>
      <x:c r="I1907" s="70" t="s">
        <x:v>852</x:v>
      </x:c>
      <x:c r="J1907" s="70" t="n">
        <x:v>248</x:v>
      </x:c>
      <x:c r="K1907" s="70" t="s">
        <x:v>834</x:v>
      </x:c>
      <x:c r="L1907" s="70"/>
      <x:c r="M1907" s="70" t="s">
        <x:v>39</x:v>
      </x:c>
      <x:c r="N1907" s="71" t="n">
        <x:v>0</x:v>
      </x:c>
      <x:c r="O1907" s="72" t="n">
        <x:f aca="0">N1907/1000</x:f>
        <x:v>0</x:v>
      </x:c>
      <x:c r="P1907" s="73" t="n">
        <x:f aca="0">FCCL!H116</x:f>
        <x:v>0</x:v>
      </x:c>
      <x:c r="Q1907" s="70" t="str">
        <x:f aca="0">IF(ABS(O1907-P1907)&lt;0.000001,"PASS","FAIL")</x:f>
        <x:v>PASS</x:v>
      </x:c>
      <x:c r="R1907" s="70" t="s">
        <x:v>27</x:v>
      </x:c>
      <x:c r="S1907" s="70"/>
    </x:row>
    <x:row r="1908" ht="15" hidden="0">
      <x:c r="A1908" s="70" t="s">
        <x:v>2974</x:v>
      </x:c>
      <x:c r="B1908" s="70" t="s">
        <x:v>45</x:v>
      </x:c>
      <x:c r="C1908" s="70" t="s">
        <x:v>101</x:v>
      </x:c>
      <x:c r="D1908" s="70" t="s">
        <x:v>285</x:v>
      </x:c>
      <x:c r="E1908" s="70" t="s">
        <x:v>1203</x:v>
      </x:c>
      <x:c r="F1908" s="70" t="s">
        <x:v>1218</x:v>
      </x:c>
      <x:c r="G1908" s="70" t="s">
        <x:v>2626</x:v>
      </x:c>
      <x:c r="H1908" s="70" t="s">
        <x:v>838</x:v>
      </x:c>
      <x:c r="I1908" s="70" t="s">
        <x:v>833</x:v>
      </x:c>
      <x:c r="J1908" s="70" t="n">
        <x:v>190</x:v>
      </x:c>
      <x:c r="K1908" s="70" t="s">
        <x:v>1765</x:v>
      </x:c>
      <x:c r="L1908" s="70"/>
      <x:c r="M1908" s="70" t="s">
        <x:v>39</x:v>
      </x:c>
      <x:c r="N1908" s="71" t="n">
        <x:v>5739097</x:v>
      </x:c>
      <x:c r="O1908" s="72" t="n">
        <x:f aca="0">N1908/1000</x:f>
        <x:v>5739.097</x:v>
      </x:c>
      <x:c r="P1908" s="73" t="n">
        <x:f aca="0">FCCL!D117</x:f>
        <x:v>5739.097</x:v>
      </x:c>
      <x:c r="Q1908" s="70" t="str">
        <x:f aca="0">IF(ABS(O1908-P1908)&lt;0.000001,"PASS","FAIL")</x:f>
        <x:v>PASS</x:v>
      </x:c>
      <x:c r="R1908" s="70" t="s">
        <x:v>27</x:v>
      </x:c>
      <x:c r="S1908" s="70"/>
    </x:row>
    <x:row r="1909" ht="15" hidden="0">
      <x:c r="A1909" s="70" t="s">
        <x:v>2975</x:v>
      </x:c>
      <x:c r="B1909" s="70" t="s">
        <x:v>45</x:v>
      </x:c>
      <x:c r="C1909" s="70" t="s">
        <x:v>102</x:v>
      </x:c>
      <x:c r="D1909" s="70" t="s">
        <x:v>285</x:v>
      </x:c>
      <x:c r="E1909" s="70" t="s">
        <x:v>1203</x:v>
      </x:c>
      <x:c r="F1909" s="70" t="s">
        <x:v>1218</x:v>
      </x:c>
      <x:c r="G1909" s="70" t="s">
        <x:v>2628</x:v>
      </x:c>
      <x:c r="H1909" s="70" t="s">
        <x:v>842</x:v>
      </x:c>
      <x:c r="I1909" s="70" t="s">
        <x:v>833</x:v>
      </x:c>
      <x:c r="J1909" s="70" t="n">
        <x:v>212</x:v>
      </x:c>
      <x:c r="K1909" s="70" t="s">
        <x:v>2965</x:v>
      </x:c>
      <x:c r="L1909" s="70"/>
      <x:c r="M1909" s="70" t="s">
        <x:v>39</x:v>
      </x:c>
      <x:c r="N1909" s="71" t="n">
        <x:v>7567564</x:v>
      </x:c>
      <x:c r="O1909" s="72" t="n">
        <x:f aca="0">N1909/1000</x:f>
        <x:v>7567.564</x:v>
      </x:c>
      <x:c r="P1909" s="73" t="n">
        <x:f aca="0">FCCL!E117</x:f>
        <x:v>7567.564</x:v>
      </x:c>
      <x:c r="Q1909" s="70" t="str">
        <x:f aca="0">IF(ABS(O1909-P1909)&lt;0.000001,"PASS","FAIL")</x:f>
        <x:v>PASS</x:v>
      </x:c>
      <x:c r="R1909" s="70" t="s">
        <x:v>27</x:v>
      </x:c>
      <x:c r="S1909" s="70"/>
    </x:row>
    <x:row r="1910" ht="15" hidden="0">
      <x:c r="A1910" s="70" t="s">
        <x:v>2976</x:v>
      </x:c>
      <x:c r="B1910" s="70" t="s">
        <x:v>45</x:v>
      </x:c>
      <x:c r="C1910" s="70" t="s">
        <x:v>103</x:v>
      </x:c>
      <x:c r="D1910" s="70" t="s">
        <x:v>285</x:v>
      </x:c>
      <x:c r="E1910" s="70" t="s">
        <x:v>1203</x:v>
      </x:c>
      <x:c r="F1910" s="70" t="s">
        <x:v>1218</x:v>
      </x:c>
      <x:c r="G1910" s="70" t="s">
        <x:v>2631</x:v>
      </x:c>
      <x:c r="H1910" s="70" t="s">
        <x:v>845</x:v>
      </x:c>
      <x:c r="I1910" s="70" t="s">
        <x:v>833</x:v>
      </x:c>
      <x:c r="J1910" s="70" t="n">
        <x:v>194</x:v>
      </x:c>
      <x:c r="K1910" s="70" t="s">
        <x:v>2547</x:v>
      </x:c>
      <x:c r="L1910" s="70"/>
      <x:c r="M1910" s="70" t="s">
        <x:v>39</x:v>
      </x:c>
      <x:c r="N1910" s="71" t="n">
        <x:v>16030998</x:v>
      </x:c>
      <x:c r="O1910" s="72" t="n">
        <x:f aca="0">N1910/1000</x:f>
        <x:v>16030.998</x:v>
      </x:c>
      <x:c r="P1910" s="73" t="n">
        <x:f aca="0">FCCL!F117</x:f>
        <x:v>16030.998</x:v>
      </x:c>
      <x:c r="Q1910" s="70" t="str">
        <x:f aca="0">IF(ABS(O1910-P1910)&lt;0.000001,"PASS","FAIL")</x:f>
        <x:v>PASS</x:v>
      </x:c>
      <x:c r="R1910" s="70" t="s">
        <x:v>27</x:v>
      </x:c>
      <x:c r="S1910" s="70" t="s">
        <x:v>839</x:v>
      </x:c>
    </x:row>
    <x:row r="1911" ht="15" hidden="0">
      <x:c r="A1911" s="70" t="s">
        <x:v>2977</x:v>
      </x:c>
      <x:c r="B1911" s="70" t="s">
        <x:v>45</x:v>
      </x:c>
      <x:c r="C1911" s="70" t="s">
        <x:v>104</x:v>
      </x:c>
      <x:c r="D1911" s="70" t="s">
        <x:v>285</x:v>
      </x:c>
      <x:c r="E1911" s="70" t="s">
        <x:v>1203</x:v>
      </x:c>
      <x:c r="F1911" s="70" t="s">
        <x:v>1218</x:v>
      </x:c>
      <x:c r="G1911" s="70" t="s">
        <x:v>2633</x:v>
      </x:c>
      <x:c r="H1911" s="70" t="s">
        <x:v>849</x:v>
      </x:c>
      <x:c r="I1911" s="70" t="s">
        <x:v>833</x:v>
      </x:c>
      <x:c r="J1911" s="70" t="n">
        <x:v>248</x:v>
      </x:c>
      <x:c r="K1911" s="70" t="s">
        <x:v>834</x:v>
      </x:c>
      <x:c r="L1911" s="70"/>
      <x:c r="M1911" s="70" t="s">
        <x:v>39</x:v>
      </x:c>
      <x:c r="N1911" s="71" t="n">
        <x:v>22284607</x:v>
      </x:c>
      <x:c r="O1911" s="72" t="n">
        <x:f aca="0">N1911/1000</x:f>
        <x:v>22284.607</x:v>
      </x:c>
      <x:c r="P1911" s="73" t="n">
        <x:f aca="0">FCCL!G117</x:f>
        <x:v>22284.607</x:v>
      </x:c>
      <x:c r="Q1911" s="70" t="str">
        <x:f aca="0">IF(ABS(O1911-P1911)&lt;0.000001,"PASS","FAIL")</x:f>
        <x:v>PASS</x:v>
      </x:c>
      <x:c r="R1911" s="70" t="s">
        <x:v>27</x:v>
      </x:c>
      <x:c r="S1911" s="70" t="s">
        <x:v>839</x:v>
      </x:c>
    </x:row>
    <x:row r="1912" ht="15" hidden="0">
      <x:c r="A1912" s="70" t="s">
        <x:v>2978</x:v>
      </x:c>
      <x:c r="B1912" s="70" t="s">
        <x:v>45</x:v>
      </x:c>
      <x:c r="C1912" s="70" t="s">
        <x:v>105</x:v>
      </x:c>
      <x:c r="D1912" s="70" t="s">
        <x:v>285</x:v>
      </x:c>
      <x:c r="E1912" s="70" t="s">
        <x:v>1203</x:v>
      </x:c>
      <x:c r="F1912" s="70" t="s">
        <x:v>1218</x:v>
      </x:c>
      <x:c r="G1912" s="70" t="s">
        <x:v>2633</x:v>
      </x:c>
      <x:c r="H1912" s="70" t="s">
        <x:v>849</x:v>
      </x:c>
      <x:c r="I1912" s="70" t="s">
        <x:v>852</x:v>
      </x:c>
      <x:c r="J1912" s="70" t="n">
        <x:v>248</x:v>
      </x:c>
      <x:c r="K1912" s="70" t="s">
        <x:v>834</x:v>
      </x:c>
      <x:c r="L1912" s="70"/>
      <x:c r="M1912" s="70" t="s">
        <x:v>39</x:v>
      </x:c>
      <x:c r="N1912" s="71" t="n">
        <x:v>24313208</x:v>
      </x:c>
      <x:c r="O1912" s="72" t="n">
        <x:f aca="0">N1912/1000</x:f>
        <x:v>24313.208</x:v>
      </x:c>
      <x:c r="P1912" s="73" t="n">
        <x:f aca="0">FCCL!H117</x:f>
        <x:v>24313.208</x:v>
      </x:c>
      <x:c r="Q1912" s="70" t="str">
        <x:f aca="0">IF(ABS(O1912-P1912)&lt;0.000001,"PASS","FAIL")</x:f>
        <x:v>PASS</x:v>
      </x:c>
      <x:c r="R1912" s="70" t="s">
        <x:v>27</x:v>
      </x:c>
      <x:c r="S1912" s="70"/>
    </x:row>
    <x:row r="1913" ht="15" hidden="0">
      <x:c r="A1913" s="70" t="s">
        <x:v>2979</x:v>
      </x:c>
      <x:c r="B1913" s="70" t="s">
        <x:v>45</x:v>
      </x:c>
      <x:c r="C1913" s="70" t="s">
        <x:v>101</x:v>
      </x:c>
      <x:c r="D1913" s="70" t="s">
        <x:v>287</x:v>
      </x:c>
      <x:c r="E1913" s="70" t="s">
        <x:v>1203</x:v>
      </x:c>
      <x:c r="F1913" s="70" t="s">
        <x:v>1224</x:v>
      </x:c>
      <x:c r="G1913" s="70" t="s">
        <x:v>2626</x:v>
      </x:c>
      <x:c r="H1913" s="70" t="s">
        <x:v>838</x:v>
      </x:c>
      <x:c r="I1913" s="70" t="s">
        <x:v>833</x:v>
      </x:c>
      <x:c r="J1913" s="70" t="n">
        <x:v>190</x:v>
      </x:c>
      <x:c r="K1913" s="70" t="s">
        <x:v>1765</x:v>
      </x:c>
      <x:c r="L1913" s="70"/>
      <x:c r="M1913" s="70" t="s">
        <x:v>39</x:v>
      </x:c>
      <x:c r="N1913" s="71" t="n">
        <x:v>-94843</x:v>
      </x:c>
      <x:c r="O1913" s="72" t="n">
        <x:f aca="0">N1913/1000</x:f>
        <x:v>-94.843</x:v>
      </x:c>
      <x:c r="P1913" s="73" t="n">
        <x:f aca="0">FCCL!D118</x:f>
        <x:v>-94.843</x:v>
      </x:c>
      <x:c r="Q1913" s="70" t="str">
        <x:f aca="0">IF(ABS(O1913-P1913)&lt;0.000001,"PASS","FAIL")</x:f>
        <x:v>PASS</x:v>
      </x:c>
      <x:c r="R1913" s="70" t="s">
        <x:v>27</x:v>
      </x:c>
      <x:c r="S1913" s="70"/>
    </x:row>
    <x:row r="1914" ht="15" hidden="0">
      <x:c r="A1914" s="70" t="s">
        <x:v>2980</x:v>
      </x:c>
      <x:c r="B1914" s="70" t="s">
        <x:v>45</x:v>
      </x:c>
      <x:c r="C1914" s="70" t="s">
        <x:v>102</x:v>
      </x:c>
      <x:c r="D1914" s="70" t="s">
        <x:v>287</x:v>
      </x:c>
      <x:c r="E1914" s="70" t="s">
        <x:v>1203</x:v>
      </x:c>
      <x:c r="F1914" s="70" t="s">
        <x:v>1224</x:v>
      </x:c>
      <x:c r="G1914" s="70" t="s">
        <x:v>2628</x:v>
      </x:c>
      <x:c r="H1914" s="70" t="s">
        <x:v>842</x:v>
      </x:c>
      <x:c r="I1914" s="70" t="s">
        <x:v>833</x:v>
      </x:c>
      <x:c r="J1914" s="70" t="n">
        <x:v>212</x:v>
      </x:c>
      <x:c r="K1914" s="70" t="s">
        <x:v>2965</x:v>
      </x:c>
      <x:c r="L1914" s="70"/>
      <x:c r="M1914" s="70" t="s">
        <x:v>39</x:v>
      </x:c>
      <x:c r="N1914" s="71" t="n">
        <x:v>-985172</x:v>
      </x:c>
      <x:c r="O1914" s="72" t="n">
        <x:f aca="0">N1914/1000</x:f>
        <x:v>-985.172</x:v>
      </x:c>
      <x:c r="P1914" s="73" t="n">
        <x:f aca="0">FCCL!E118</x:f>
        <x:v>-985.172</x:v>
      </x:c>
      <x:c r="Q1914" s="70" t="str">
        <x:f aca="0">IF(ABS(O1914-P1914)&lt;0.000001,"PASS","FAIL")</x:f>
        <x:v>PASS</x:v>
      </x:c>
      <x:c r="R1914" s="70" t="s">
        <x:v>27</x:v>
      </x:c>
      <x:c r="S1914" s="70"/>
    </x:row>
    <x:row r="1915" ht="15" hidden="0">
      <x:c r="A1915" s="70" t="s">
        <x:v>2981</x:v>
      </x:c>
      <x:c r="B1915" s="70" t="s">
        <x:v>45</x:v>
      </x:c>
      <x:c r="C1915" s="70" t="s">
        <x:v>103</x:v>
      </x:c>
      <x:c r="D1915" s="70" t="s">
        <x:v>287</x:v>
      </x:c>
      <x:c r="E1915" s="70" t="s">
        <x:v>1203</x:v>
      </x:c>
      <x:c r="F1915" s="70" t="s">
        <x:v>1224</x:v>
      </x:c>
      <x:c r="G1915" s="70" t="s">
        <x:v>2631</x:v>
      </x:c>
      <x:c r="H1915" s="70" t="s">
        <x:v>845</x:v>
      </x:c>
      <x:c r="I1915" s="70" t="s">
        <x:v>833</x:v>
      </x:c>
      <x:c r="J1915" s="70" t="n">
        <x:v>195</x:v>
      </x:c>
      <x:c r="K1915" s="70" t="s">
        <x:v>834</x:v>
      </x:c>
      <x:c r="L1915" s="70"/>
      <x:c r="M1915" s="70" t="s">
        <x:v>39</x:v>
      </x:c>
      <x:c r="N1915" s="71" t="n">
        <x:v>-2483101</x:v>
      </x:c>
      <x:c r="O1915" s="72" t="n">
        <x:f aca="0">N1915/1000</x:f>
        <x:v>-2483.101</x:v>
      </x:c>
      <x:c r="P1915" s="73" t="n">
        <x:f aca="0">FCCL!F118</x:f>
        <x:v>-2483.101</x:v>
      </x:c>
      <x:c r="Q1915" s="70" t="str">
        <x:f aca="0">IF(ABS(O1915-P1915)&lt;0.000001,"PASS","FAIL")</x:f>
        <x:v>PASS</x:v>
      </x:c>
      <x:c r="R1915" s="70" t="s">
        <x:v>27</x:v>
      </x:c>
      <x:c r="S1915" s="70" t="s">
        <x:v>839</x:v>
      </x:c>
    </x:row>
    <x:row r="1916" ht="15" hidden="0">
      <x:c r="A1916" s="70" t="s">
        <x:v>2982</x:v>
      </x:c>
      <x:c r="B1916" s="70" t="s">
        <x:v>45</x:v>
      </x:c>
      <x:c r="C1916" s="70" t="s">
        <x:v>104</x:v>
      </x:c>
      <x:c r="D1916" s="70" t="s">
        <x:v>287</x:v>
      </x:c>
      <x:c r="E1916" s="70" t="s">
        <x:v>1203</x:v>
      </x:c>
      <x:c r="F1916" s="70" t="s">
        <x:v>2983</x:v>
      </x:c>
      <x:c r="G1916" s="70" t="s">
        <x:v>2633</x:v>
      </x:c>
      <x:c r="H1916" s="70" t="s">
        <x:v>849</x:v>
      </x:c>
      <x:c r="I1916" s="70" t="s">
        <x:v>833</x:v>
      </x:c>
      <x:c r="J1916" s="70" t="n">
        <x:v>249</x:v>
      </x:c>
      <x:c r="K1916" s="70" t="s">
        <x:v>834</x:v>
      </x:c>
      <x:c r="L1916" s="70"/>
      <x:c r="M1916" s="70" t="s">
        <x:v>39</x:v>
      </x:c>
      <x:c r="N1916" s="71" t="n">
        <x:v>-6993060</x:v>
      </x:c>
      <x:c r="O1916" s="72" t="n">
        <x:f aca="0">N1916/1000</x:f>
        <x:v>-6993.06</x:v>
      </x:c>
      <x:c r="P1916" s="73" t="n">
        <x:f aca="0">FCCL!G118</x:f>
        <x:v>-6993.06</x:v>
      </x:c>
      <x:c r="Q1916" s="70" t="str">
        <x:f aca="0">IF(ABS(O1916-P1916)&lt;0.000001,"PASS","FAIL")</x:f>
        <x:v>PASS</x:v>
      </x:c>
      <x:c r="R1916" s="70" t="s">
        <x:v>27</x:v>
      </x:c>
      <x:c r="S1916" s="70" t="s">
        <x:v>839</x:v>
      </x:c>
    </x:row>
    <x:row r="1917" ht="15" hidden="0">
      <x:c r="A1917" s="70" t="s">
        <x:v>2984</x:v>
      </x:c>
      <x:c r="B1917" s="70" t="s">
        <x:v>45</x:v>
      </x:c>
      <x:c r="C1917" s="70" t="s">
        <x:v>105</x:v>
      </x:c>
      <x:c r="D1917" s="70" t="s">
        <x:v>287</x:v>
      </x:c>
      <x:c r="E1917" s="70" t="s">
        <x:v>1203</x:v>
      </x:c>
      <x:c r="F1917" s="70" t="s">
        <x:v>2983</x:v>
      </x:c>
      <x:c r="G1917" s="70" t="s">
        <x:v>2633</x:v>
      </x:c>
      <x:c r="H1917" s="70" t="s">
        <x:v>849</x:v>
      </x:c>
      <x:c r="I1917" s="70" t="s">
        <x:v>852</x:v>
      </x:c>
      <x:c r="J1917" s="70" t="n">
        <x:v>249</x:v>
      </x:c>
      <x:c r="K1917" s="70" t="s">
        <x:v>834</x:v>
      </x:c>
      <x:c r="L1917" s="70"/>
      <x:c r="M1917" s="70" t="s">
        <x:v>39</x:v>
      </x:c>
      <x:c r="N1917" s="71" t="n">
        <x:v>-5559451</x:v>
      </x:c>
      <x:c r="O1917" s="72" t="n">
        <x:f aca="0">N1917/1000</x:f>
        <x:v>-5559.451</x:v>
      </x:c>
      <x:c r="P1917" s="73" t="n">
        <x:f aca="0">FCCL!H118</x:f>
        <x:v>-5559.451</x:v>
      </x:c>
      <x:c r="Q1917" s="70" t="str">
        <x:f aca="0">IF(ABS(O1917-P1917)&lt;0.000001,"PASS","FAIL")</x:f>
        <x:v>PASS</x:v>
      </x:c>
      <x:c r="R1917" s="70" t="s">
        <x:v>27</x:v>
      </x:c>
      <x:c r="S1917" s="70"/>
    </x:row>
    <x:row r="1918" ht="15" hidden="0">
      <x:c r="A1918" s="70" t="s">
        <x:v>2985</x:v>
      </x:c>
      <x:c r="B1918" s="70" t="s">
        <x:v>45</x:v>
      </x:c>
      <x:c r="C1918" s="70" t="s">
        <x:v>101</x:v>
      </x:c>
      <x:c r="D1918" s="70" t="s">
        <x:v>289</x:v>
      </x:c>
      <x:c r="E1918" s="70" t="s">
        <x:v>1203</x:v>
      </x:c>
      <x:c r="F1918" s="70" t="s">
        <x:v>1230</x:v>
      </x:c>
      <x:c r="G1918" s="70" t="s">
        <x:v>2626</x:v>
      </x:c>
      <x:c r="H1918" s="70" t="s">
        <x:v>838</x:v>
      </x:c>
      <x:c r="I1918" s="70" t="s">
        <x:v>833</x:v>
      </x:c>
      <x:c r="J1918" s="70" t="n">
        <x:v>190</x:v>
      </x:c>
      <x:c r="K1918" s="70" t="s">
        <x:v>1765</x:v>
      </x:c>
      <x:c r="L1918" s="70"/>
      <x:c r="M1918" s="70" t="s">
        <x:v>292</x:v>
      </x:c>
      <x:c r="N1918" s="70" t="s">
        <x:v>593</x:v>
      </x:c>
      <x:c r="O1918" s="70" t="str">
        <x:f aca="0">N1918</x:f>
        <x:v>Financing</x:v>
      </x:c>
      <x:c r="P1918" s="70" t="str">
        <x:f aca="0">FCCL!D119</x:f>
        <x:v>Financing</x:v>
      </x:c>
      <x:c r="Q1918" s="70" t="str">
        <x:f aca="0">IF(O1918=P1918,"PASS","FAIL")</x:f>
        <x:v>PASS</x:v>
      </x:c>
      <x:c r="R1918" s="70" t="s">
        <x:v>27</x:v>
      </x:c>
      <x:c r="S1918" s="70"/>
    </x:row>
    <x:row r="1919" ht="15" hidden="0">
      <x:c r="A1919" s="70" t="s">
        <x:v>2986</x:v>
      </x:c>
      <x:c r="B1919" s="70" t="s">
        <x:v>45</x:v>
      </x:c>
      <x:c r="C1919" s="70" t="s">
        <x:v>102</x:v>
      </x:c>
      <x:c r="D1919" s="70" t="s">
        <x:v>289</x:v>
      </x:c>
      <x:c r="E1919" s="70" t="s">
        <x:v>1203</x:v>
      </x:c>
      <x:c r="F1919" s="70" t="s">
        <x:v>1230</x:v>
      </x:c>
      <x:c r="G1919" s="70" t="s">
        <x:v>2628</x:v>
      </x:c>
      <x:c r="H1919" s="70" t="s">
        <x:v>842</x:v>
      </x:c>
      <x:c r="I1919" s="70" t="s">
        <x:v>833</x:v>
      </x:c>
      <x:c r="J1919" s="70" t="n">
        <x:v>212</x:v>
      </x:c>
      <x:c r="K1919" s="70" t="s">
        <x:v>2965</x:v>
      </x:c>
      <x:c r="L1919" s="70"/>
      <x:c r="M1919" s="70" t="s">
        <x:v>292</x:v>
      </x:c>
      <x:c r="N1919" s="70" t="s">
        <x:v>593</x:v>
      </x:c>
      <x:c r="O1919" s="70" t="str">
        <x:f aca="0">N1919</x:f>
        <x:v>Financing</x:v>
      </x:c>
      <x:c r="P1919" s="70" t="str">
        <x:f aca="0">FCCL!E119</x:f>
        <x:v>Financing</x:v>
      </x:c>
      <x:c r="Q1919" s="70" t="str">
        <x:f aca="0">IF(O1919=P1919,"PASS","FAIL")</x:f>
        <x:v>PASS</x:v>
      </x:c>
      <x:c r="R1919" s="70" t="s">
        <x:v>27</x:v>
      </x:c>
      <x:c r="S1919" s="70"/>
    </x:row>
    <x:row r="1920" ht="15" hidden="0">
      <x:c r="A1920" s="70" t="s">
        <x:v>2987</x:v>
      </x:c>
      <x:c r="B1920" s="70" t="s">
        <x:v>45</x:v>
      </x:c>
      <x:c r="C1920" s="70" t="s">
        <x:v>103</x:v>
      </x:c>
      <x:c r="D1920" s="70" t="s">
        <x:v>289</x:v>
      </x:c>
      <x:c r="E1920" s="70" t="s">
        <x:v>1203</x:v>
      </x:c>
      <x:c r="F1920" s="70" t="s">
        <x:v>1230</x:v>
      </x:c>
      <x:c r="G1920" s="70" t="s">
        <x:v>2631</x:v>
      </x:c>
      <x:c r="H1920" s="70" t="s">
        <x:v>845</x:v>
      </x:c>
      <x:c r="I1920" s="70" t="s">
        <x:v>833</x:v>
      </x:c>
      <x:c r="J1920" s="70" t="n">
        <x:v>195</x:v>
      </x:c>
      <x:c r="K1920" s="70" t="s">
        <x:v>834</x:v>
      </x:c>
      <x:c r="L1920" s="70"/>
      <x:c r="M1920" s="70" t="s">
        <x:v>292</x:v>
      </x:c>
      <x:c r="N1920" s="70" t="s">
        <x:v>593</x:v>
      </x:c>
      <x:c r="O1920" s="70" t="str">
        <x:f aca="0">N1920</x:f>
        <x:v>Financing</x:v>
      </x:c>
      <x:c r="P1920" s="70" t="str">
        <x:f aca="0">FCCL!F119</x:f>
        <x:v>Financing</x:v>
      </x:c>
      <x:c r="Q1920" s="70" t="str">
        <x:f aca="0">IF(O1920=P1920,"PASS","FAIL")</x:f>
        <x:v>PASS</x:v>
      </x:c>
      <x:c r="R1920" s="70" t="s">
        <x:v>27</x:v>
      </x:c>
      <x:c r="S1920" s="70"/>
    </x:row>
    <x:row r="1921" ht="15" hidden="0">
      <x:c r="A1921" s="70" t="s">
        <x:v>2988</x:v>
      </x:c>
      <x:c r="B1921" s="70" t="s">
        <x:v>45</x:v>
      </x:c>
      <x:c r="C1921" s="70" t="s">
        <x:v>104</x:v>
      </x:c>
      <x:c r="D1921" s="70" t="s">
        <x:v>289</x:v>
      </x:c>
      <x:c r="E1921" s="70" t="s">
        <x:v>1203</x:v>
      </x:c>
      <x:c r="F1921" s="70" t="s">
        <x:v>1230</x:v>
      </x:c>
      <x:c r="G1921" s="70" t="s">
        <x:v>2633</x:v>
      </x:c>
      <x:c r="H1921" s="70" t="s">
        <x:v>849</x:v>
      </x:c>
      <x:c r="I1921" s="70" t="s">
        <x:v>833</x:v>
      </x:c>
      <x:c r="J1921" s="70" t="n">
        <x:v>249</x:v>
      </x:c>
      <x:c r="K1921" s="70" t="s">
        <x:v>834</x:v>
      </x:c>
      <x:c r="L1921" s="70"/>
      <x:c r="M1921" s="70" t="s">
        <x:v>292</x:v>
      </x:c>
      <x:c r="N1921" s="70" t="s">
        <x:v>593</x:v>
      </x:c>
      <x:c r="O1921" s="70" t="str">
        <x:f aca="0">N1921</x:f>
        <x:v>Financing</x:v>
      </x:c>
      <x:c r="P1921" s="70" t="str">
        <x:f aca="0">FCCL!G119</x:f>
        <x:v>Financing</x:v>
      </x:c>
      <x:c r="Q1921" s="70" t="str">
        <x:f aca="0">IF(O1921=P1921,"PASS","FAIL")</x:f>
        <x:v>PASS</x:v>
      </x:c>
      <x:c r="R1921" s="70" t="s">
        <x:v>27</x:v>
      </x:c>
      <x:c r="S1921" s="70"/>
    </x:row>
    <x:row r="1922" ht="15" hidden="0">
      <x:c r="A1922" s="70" t="s">
        <x:v>2989</x:v>
      </x:c>
      <x:c r="B1922" s="70" t="s">
        <x:v>45</x:v>
      </x:c>
      <x:c r="C1922" s="70" t="s">
        <x:v>105</x:v>
      </x:c>
      <x:c r="D1922" s="70" t="s">
        <x:v>289</x:v>
      </x:c>
      <x:c r="E1922" s="70" t="s">
        <x:v>1203</x:v>
      </x:c>
      <x:c r="F1922" s="70" t="s">
        <x:v>1230</x:v>
      </x:c>
      <x:c r="G1922" s="70" t="s">
        <x:v>2633</x:v>
      </x:c>
      <x:c r="H1922" s="70" t="s">
        <x:v>849</x:v>
      </x:c>
      <x:c r="I1922" s="70" t="s">
        <x:v>852</x:v>
      </x:c>
      <x:c r="J1922" s="70" t="n">
        <x:v>249</x:v>
      </x:c>
      <x:c r="K1922" s="70" t="s">
        <x:v>834</x:v>
      </x:c>
      <x:c r="L1922" s="70"/>
      <x:c r="M1922" s="70" t="s">
        <x:v>292</x:v>
      </x:c>
      <x:c r="N1922" s="70" t="s">
        <x:v>593</x:v>
      </x:c>
      <x:c r="O1922" s="70" t="str">
        <x:f aca="0">N1922</x:f>
        <x:v>Financing</x:v>
      </x:c>
      <x:c r="P1922" s="70" t="str">
        <x:f aca="0">FCCL!H119</x:f>
        <x:v>Financing</x:v>
      </x:c>
      <x:c r="Q1922" s="70" t="str">
        <x:f aca="0">IF(O1922=P1922,"PASS","FAIL")</x:f>
        <x:v>PASS</x:v>
      </x:c>
      <x:c r="R1922" s="70" t="s">
        <x:v>27</x:v>
      </x:c>
      <x:c r="S1922" s="70"/>
    </x:row>
    <x:row r="1923" ht="15" hidden="0">
      <x:c r="A1923" s="70" t="s">
        <x:v>2990</x:v>
      </x:c>
      <x:c r="B1923" s="70" t="s">
        <x:v>45</x:v>
      </x:c>
      <x:c r="C1923" s="70" t="s">
        <x:v>101</x:v>
      </x:c>
      <x:c r="D1923" s="70" t="s">
        <x:v>295</x:v>
      </x:c>
      <x:c r="E1923" s="70" t="s">
        <x:v>1203</x:v>
      </x:c>
      <x:c r="F1923" s="70" t="s">
        <x:v>2991</x:v>
      </x:c>
      <x:c r="G1923" s="70" t="s">
        <x:v>2626</x:v>
      </x:c>
      <x:c r="H1923" s="70" t="s">
        <x:v>838</x:v>
      </x:c>
      <x:c r="I1923" s="70" t="s">
        <x:v>833</x:v>
      </x:c>
      <x:c r="J1923" s="70" t="n">
        <x:v>190</x:v>
      </x:c>
      <x:c r="K1923" s="70" t="s">
        <x:v>1765</x:v>
      </x:c>
      <x:c r="L1923" s="70"/>
      <x:c r="M1923" s="70" t="s">
        <x:v>39</x:v>
      </x:c>
      <x:c r="N1923" s="71" t="n">
        <x:v>-1007205</x:v>
      </x:c>
      <x:c r="O1923" s="72" t="n">
        <x:f aca="0">N1923/1000</x:f>
        <x:v>-1007.205</x:v>
      </x:c>
      <x:c r="P1923" s="73" t="n">
        <x:f aca="0">FCCL!D121</x:f>
        <x:v>-1007.205</x:v>
      </x:c>
      <x:c r="Q1923" s="70" t="str">
        <x:f aca="0">IF(ABS(O1923-P1923)&lt;0.000001,"PASS","FAIL")</x:f>
        <x:v>PASS</x:v>
      </x:c>
      <x:c r="R1923" s="70" t="s">
        <x:v>27</x:v>
      </x:c>
      <x:c r="S1923" s="70"/>
    </x:row>
    <x:row r="1924" ht="15" hidden="0">
      <x:c r="A1924" s="70" t="s">
        <x:v>2992</x:v>
      </x:c>
      <x:c r="B1924" s="70" t="s">
        <x:v>45</x:v>
      </x:c>
      <x:c r="C1924" s="70" t="s">
        <x:v>102</x:v>
      </x:c>
      <x:c r="D1924" s="70" t="s">
        <x:v>295</x:v>
      </x:c>
      <x:c r="E1924" s="70" t="s">
        <x:v>1203</x:v>
      </x:c>
      <x:c r="F1924" s="70" t="s">
        <x:v>2993</x:v>
      </x:c>
      <x:c r="G1924" s="70" t="s">
        <x:v>2628</x:v>
      </x:c>
      <x:c r="H1924" s="70" t="s">
        <x:v>842</x:v>
      </x:c>
      <x:c r="I1924" s="70" t="s">
        <x:v>833</x:v>
      </x:c>
      <x:c r="J1924" s="70" t="n">
        <x:v>212</x:v>
      </x:c>
      <x:c r="K1924" s="70" t="s">
        <x:v>2965</x:v>
      </x:c>
      <x:c r="L1924" s="70"/>
      <x:c r="M1924" s="70" t="s">
        <x:v>39</x:v>
      </x:c>
      <x:c r="N1924" s="71" t="n">
        <x:v>-28425596</x:v>
      </x:c>
      <x:c r="O1924" s="72" t="n">
        <x:f aca="0">N1924/1000</x:f>
        <x:v>-28425.596</x:v>
      </x:c>
      <x:c r="P1924" s="73" t="n">
        <x:f aca="0">FCCL!E121</x:f>
        <x:v>-28425.596</x:v>
      </x:c>
      <x:c r="Q1924" s="70" t="str">
        <x:f aca="0">IF(ABS(O1924-P1924)&lt;0.000001,"PASS","FAIL")</x:f>
        <x:v>PASS</x:v>
      </x:c>
      <x:c r="R1924" s="70" t="s">
        <x:v>27</x:v>
      </x:c>
      <x:c r="S1924" s="70"/>
    </x:row>
    <x:row r="1925" ht="15" hidden="0">
      <x:c r="A1925" s="70" t="s">
        <x:v>2994</x:v>
      </x:c>
      <x:c r="B1925" s="70" t="s">
        <x:v>45</x:v>
      </x:c>
      <x:c r="C1925" s="70" t="s">
        <x:v>103</x:v>
      </x:c>
      <x:c r="D1925" s="70" t="s">
        <x:v>295</x:v>
      </x:c>
      <x:c r="E1925" s="70" t="s">
        <x:v>1203</x:v>
      </x:c>
      <x:c r="F1925" s="70" t="s">
        <x:v>2995</x:v>
      </x:c>
      <x:c r="G1925" s="70" t="s">
        <x:v>2631</x:v>
      </x:c>
      <x:c r="H1925" s="70" t="s">
        <x:v>845</x:v>
      </x:c>
      <x:c r="I1925" s="70" t="s">
        <x:v>833</x:v>
      </x:c>
      <x:c r="J1925" s="70" t="n">
        <x:v>195</x:v>
      </x:c>
      <x:c r="K1925" s="70" t="s">
        <x:v>834</x:v>
      </x:c>
      <x:c r="L1925" s="70"/>
      <x:c r="M1925" s="70" t="s">
        <x:v>39</x:v>
      </x:c>
      <x:c r="N1925" s="71" t="n">
        <x:v>-33903442</x:v>
      </x:c>
      <x:c r="O1925" s="72" t="n">
        <x:f aca="0">N1925/1000</x:f>
        <x:v>-33903.442</x:v>
      </x:c>
      <x:c r="P1925" s="73" t="n">
        <x:f aca="0">FCCL!F121</x:f>
        <x:v>-33903.442</x:v>
      </x:c>
      <x:c r="Q1925" s="70" t="str">
        <x:f aca="0">IF(ABS(O1925-P1925)&lt;0.000001,"PASS","FAIL")</x:f>
        <x:v>PASS</x:v>
      </x:c>
      <x:c r="R1925" s="70" t="s">
        <x:v>27</x:v>
      </x:c>
      <x:c r="S1925" s="70"/>
    </x:row>
    <x:row r="1926" ht="15" hidden="0">
      <x:c r="A1926" s="70" t="s">
        <x:v>2996</x:v>
      </x:c>
      <x:c r="B1926" s="70" t="s">
        <x:v>45</x:v>
      </x:c>
      <x:c r="C1926" s="70" t="s">
        <x:v>104</x:v>
      </x:c>
      <x:c r="D1926" s="70" t="s">
        <x:v>295</x:v>
      </x:c>
      <x:c r="E1926" s="70" t="s">
        <x:v>1203</x:v>
      </x:c>
      <x:c r="F1926" s="70" t="s">
        <x:v>2995</x:v>
      </x:c>
      <x:c r="G1926" s="70" t="s">
        <x:v>2633</x:v>
      </x:c>
      <x:c r="H1926" s="70" t="s">
        <x:v>849</x:v>
      </x:c>
      <x:c r="I1926" s="70" t="s">
        <x:v>833</x:v>
      </x:c>
      <x:c r="J1926" s="70" t="n">
        <x:v>249</x:v>
      </x:c>
      <x:c r="K1926" s="70" t="s">
        <x:v>834</x:v>
      </x:c>
      <x:c r="L1926" s="70"/>
      <x:c r="M1926" s="70" t="s">
        <x:v>39</x:v>
      </x:c>
      <x:c r="N1926" s="71" t="n">
        <x:v>-8478876</x:v>
      </x:c>
      <x:c r="O1926" s="72" t="n">
        <x:f aca="0">N1926/1000</x:f>
        <x:v>-8478.876</x:v>
      </x:c>
      <x:c r="P1926" s="73" t="n">
        <x:f aca="0">FCCL!G121</x:f>
        <x:v>-8478.876</x:v>
      </x:c>
      <x:c r="Q1926" s="70" t="str">
        <x:f aca="0">IF(ABS(O1926-P1926)&lt;0.000001,"PASS","FAIL")</x:f>
        <x:v>PASS</x:v>
      </x:c>
      <x:c r="R1926" s="70" t="s">
        <x:v>27</x:v>
      </x:c>
      <x:c r="S1926" s="70"/>
    </x:row>
    <x:row r="1927" ht="15" hidden="0">
      <x:c r="A1927" s="70" t="s">
        <x:v>2997</x:v>
      </x:c>
      <x:c r="B1927" s="70" t="s">
        <x:v>45</x:v>
      </x:c>
      <x:c r="C1927" s="70" t="s">
        <x:v>105</x:v>
      </x:c>
      <x:c r="D1927" s="70" t="s">
        <x:v>295</x:v>
      </x:c>
      <x:c r="E1927" s="70" t="s">
        <x:v>1203</x:v>
      </x:c>
      <x:c r="F1927" s="70" t="s">
        <x:v>2995</x:v>
      </x:c>
      <x:c r="G1927" s="70" t="s">
        <x:v>2633</x:v>
      </x:c>
      <x:c r="H1927" s="70" t="s">
        <x:v>849</x:v>
      </x:c>
      <x:c r="I1927" s="70" t="s">
        <x:v>852</x:v>
      </x:c>
      <x:c r="J1927" s="70" t="n">
        <x:v>249</x:v>
      </x:c>
      <x:c r="K1927" s="70" t="s">
        <x:v>834</x:v>
      </x:c>
      <x:c r="L1927" s="70"/>
      <x:c r="M1927" s="70" t="s">
        <x:v>39</x:v>
      </x:c>
      <x:c r="N1927" s="71" t="n">
        <x:v>-3477647</x:v>
      </x:c>
      <x:c r="O1927" s="72" t="n">
        <x:f aca="0">N1927/1000</x:f>
        <x:v>-3477.647</x:v>
      </x:c>
      <x:c r="P1927" s="73" t="n">
        <x:f aca="0">FCCL!H121</x:f>
        <x:v>-3477.647</x:v>
      </x:c>
      <x:c r="Q1927" s="70" t="str">
        <x:f aca="0">IF(ABS(O1927-P1927)&lt;0.000001,"PASS","FAIL")</x:f>
        <x:v>PASS</x:v>
      </x:c>
      <x:c r="R1927" s="70" t="s">
        <x:v>27</x:v>
      </x:c>
      <x:c r="S1927" s="70"/>
    </x:row>
    <x:row r="1928" ht="15" hidden="0">
      <x:c r="A1928" s="70" t="s">
        <x:v>2998</x:v>
      </x:c>
      <x:c r="B1928" s="70" t="s">
        <x:v>45</x:v>
      </x:c>
      <x:c r="C1928" s="70" t="s">
        <x:v>101</x:v>
      </x:c>
      <x:c r="D1928" s="70" t="s">
        <x:v>297</x:v>
      </x:c>
      <x:c r="E1928" s="70" t="s">
        <x:v>1203</x:v>
      </x:c>
      <x:c r="F1928" s="70" t="s">
        <x:v>1242</x:v>
      </x:c>
      <x:c r="G1928" s="70" t="s">
        <x:v>2626</x:v>
      </x:c>
      <x:c r="H1928" s="70" t="s">
        <x:v>838</x:v>
      </x:c>
      <x:c r="I1928" s="70" t="s">
        <x:v>833</x:v>
      </x:c>
      <x:c r="J1928" s="70" t="n">
        <x:v>190</x:v>
      </x:c>
      <x:c r="K1928" s="70" t="s">
        <x:v>1765</x:v>
      </x:c>
      <x:c r="L1928" s="70"/>
      <x:c r="M1928" s="70" t="s">
        <x:v>39</x:v>
      </x:c>
      <x:c r="N1928" s="71" t="n">
        <x:v>-5141658</x:v>
      </x:c>
      <x:c r="O1928" s="72" t="n">
        <x:f aca="0">N1928/1000</x:f>
        <x:v>-5141.658</x:v>
      </x:c>
      <x:c r="P1928" s="73" t="n">
        <x:f aca="0">FCCL!D122</x:f>
        <x:v>-5141.658</x:v>
      </x:c>
      <x:c r="Q1928" s="70" t="str">
        <x:f aca="0">IF(ABS(O1928-P1928)&lt;0.000001,"PASS","FAIL")</x:f>
        <x:v>PASS</x:v>
      </x:c>
      <x:c r="R1928" s="70" t="s">
        <x:v>27</x:v>
      </x:c>
      <x:c r="S1928" s="70"/>
    </x:row>
    <x:row r="1929" ht="15" hidden="0">
      <x:c r="A1929" s="70" t="s">
        <x:v>2999</x:v>
      </x:c>
      <x:c r="B1929" s="70" t="s">
        <x:v>45</x:v>
      </x:c>
      <x:c r="C1929" s="70" t="s">
        <x:v>102</x:v>
      </x:c>
      <x:c r="D1929" s="70" t="s">
        <x:v>297</x:v>
      </x:c>
      <x:c r="E1929" s="70" t="s">
        <x:v>1203</x:v>
      </x:c>
      <x:c r="F1929" s="70" t="s">
        <x:v>1242</x:v>
      </x:c>
      <x:c r="G1929" s="70" t="s">
        <x:v>2628</x:v>
      </x:c>
      <x:c r="H1929" s="70" t="s">
        <x:v>842</x:v>
      </x:c>
      <x:c r="I1929" s="70" t="s">
        <x:v>833</x:v>
      </x:c>
      <x:c r="J1929" s="70" t="n">
        <x:v>212</x:v>
      </x:c>
      <x:c r="K1929" s="70" t="s">
        <x:v>2965</x:v>
      </x:c>
      <x:c r="L1929" s="70"/>
      <x:c r="M1929" s="70" t="s">
        <x:v>39</x:v>
      </x:c>
      <x:c r="N1929" s="71" t="n">
        <x:v>-26064704</x:v>
      </x:c>
      <x:c r="O1929" s="72" t="n">
        <x:f aca="0">N1929/1000</x:f>
        <x:v>-26064.704</x:v>
      </x:c>
      <x:c r="P1929" s="73" t="n">
        <x:f aca="0">FCCL!E122</x:f>
        <x:v>-26064.704</x:v>
      </x:c>
      <x:c r="Q1929" s="70" t="str">
        <x:f aca="0">IF(ABS(O1929-P1929)&lt;0.000001,"PASS","FAIL")</x:f>
        <x:v>PASS</x:v>
      </x:c>
      <x:c r="R1929" s="70" t="s">
        <x:v>27</x:v>
      </x:c>
      <x:c r="S1929" s="70"/>
    </x:row>
    <x:row r="1930" ht="15" hidden="0">
      <x:c r="A1930" s="70" t="s">
        <x:v>3000</x:v>
      </x:c>
      <x:c r="B1930" s="70" t="s">
        <x:v>45</x:v>
      </x:c>
      <x:c r="C1930" s="70" t="s">
        <x:v>103</x:v>
      </x:c>
      <x:c r="D1930" s="70" t="s">
        <x:v>297</x:v>
      </x:c>
      <x:c r="E1930" s="70" t="s">
        <x:v>1203</x:v>
      </x:c>
      <x:c r="F1930" s="70" t="s">
        <x:v>1242</x:v>
      </x:c>
      <x:c r="G1930" s="70" t="s">
        <x:v>2631</x:v>
      </x:c>
      <x:c r="H1930" s="70" t="s">
        <x:v>845</x:v>
      </x:c>
      <x:c r="I1930" s="70" t="s">
        <x:v>833</x:v>
      </x:c>
      <x:c r="J1930" s="70" t="n">
        <x:v>195</x:v>
      </x:c>
      <x:c r="K1930" s="70" t="s">
        <x:v>834</x:v>
      </x:c>
      <x:c r="L1930" s="70"/>
      <x:c r="M1930" s="70" t="s">
        <x:v>39</x:v>
      </x:c>
      <x:c r="N1930" s="71" t="n">
        <x:v>-29667173</x:v>
      </x:c>
      <x:c r="O1930" s="72" t="n">
        <x:f aca="0">N1930/1000</x:f>
        <x:v>-29667.173</x:v>
      </x:c>
      <x:c r="P1930" s="73" t="n">
        <x:f aca="0">FCCL!F122</x:f>
        <x:v>-29667.173</x:v>
      </x:c>
      <x:c r="Q1930" s="70" t="str">
        <x:f aca="0">IF(ABS(O1930-P1930)&lt;0.000001,"PASS","FAIL")</x:f>
        <x:v>PASS</x:v>
      </x:c>
      <x:c r="R1930" s="70" t="s">
        <x:v>27</x:v>
      </x:c>
      <x:c r="S1930" s="70"/>
    </x:row>
    <x:row r="1931" ht="15" hidden="0">
      <x:c r="A1931" s="70" t="s">
        <x:v>3001</x:v>
      </x:c>
      <x:c r="B1931" s="70" t="s">
        <x:v>45</x:v>
      </x:c>
      <x:c r="C1931" s="70" t="s">
        <x:v>104</x:v>
      </x:c>
      <x:c r="D1931" s="70" t="s">
        <x:v>297</x:v>
      </x:c>
      <x:c r="E1931" s="70" t="s">
        <x:v>1203</x:v>
      </x:c>
      <x:c r="F1931" s="70" t="s">
        <x:v>1242</x:v>
      </x:c>
      <x:c r="G1931" s="70" t="s">
        <x:v>2633</x:v>
      </x:c>
      <x:c r="H1931" s="70" t="s">
        <x:v>849</x:v>
      </x:c>
      <x:c r="I1931" s="70" t="s">
        <x:v>833</x:v>
      </x:c>
      <x:c r="J1931" s="70" t="n">
        <x:v>249</x:v>
      </x:c>
      <x:c r="K1931" s="70" t="s">
        <x:v>834</x:v>
      </x:c>
      <x:c r="L1931" s="70"/>
      <x:c r="M1931" s="70" t="s">
        <x:v>39</x:v>
      </x:c>
      <x:c r="N1931" s="71" t="n">
        <x:v>-8158036</x:v>
      </x:c>
      <x:c r="O1931" s="72" t="n">
        <x:f aca="0">N1931/1000</x:f>
        <x:v>-8158.036</x:v>
      </x:c>
      <x:c r="P1931" s="73" t="n">
        <x:f aca="0">FCCL!G122</x:f>
        <x:v>-8158.036</x:v>
      </x:c>
      <x:c r="Q1931" s="70" t="str">
        <x:f aca="0">IF(ABS(O1931-P1931)&lt;0.000001,"PASS","FAIL")</x:f>
        <x:v>PASS</x:v>
      </x:c>
      <x:c r="R1931" s="70" t="s">
        <x:v>27</x:v>
      </x:c>
      <x:c r="S1931" s="70" t="s">
        <x:v>839</x:v>
      </x:c>
    </x:row>
    <x:row r="1932" ht="15" hidden="0">
      <x:c r="A1932" s="70" t="s">
        <x:v>3002</x:v>
      </x:c>
      <x:c r="B1932" s="70" t="s">
        <x:v>45</x:v>
      </x:c>
      <x:c r="C1932" s="70" t="s">
        <x:v>105</x:v>
      </x:c>
      <x:c r="D1932" s="70" t="s">
        <x:v>297</x:v>
      </x:c>
      <x:c r="E1932" s="70" t="s">
        <x:v>1203</x:v>
      </x:c>
      <x:c r="F1932" s="70" t="s">
        <x:v>1242</x:v>
      </x:c>
      <x:c r="G1932" s="70" t="s">
        <x:v>2633</x:v>
      </x:c>
      <x:c r="H1932" s="70" t="s">
        <x:v>849</x:v>
      </x:c>
      <x:c r="I1932" s="70" t="s">
        <x:v>852</x:v>
      </x:c>
      <x:c r="J1932" s="70" t="n">
        <x:v>249</x:v>
      </x:c>
      <x:c r="K1932" s="70" t="s">
        <x:v>834</x:v>
      </x:c>
      <x:c r="L1932" s="70"/>
      <x:c r="M1932" s="70" t="s">
        <x:v>39</x:v>
      </x:c>
      <x:c r="N1932" s="71" t="n">
        <x:v>-11259190</x:v>
      </x:c>
      <x:c r="O1932" s="72" t="n">
        <x:f aca="0">N1932/1000</x:f>
        <x:v>-11259.19</x:v>
      </x:c>
      <x:c r="P1932" s="73" t="n">
        <x:f aca="0">FCCL!H122</x:f>
        <x:v>-11259.19</x:v>
      </x:c>
      <x:c r="Q1932" s="70" t="str">
        <x:f aca="0">IF(ABS(O1932-P1932)&lt;0.000001,"PASS","FAIL")</x:f>
        <x:v>PASS</x:v>
      </x:c>
      <x:c r="R1932" s="70" t="s">
        <x:v>27</x:v>
      </x:c>
      <x:c r="S1932" s="70"/>
    </x:row>
    <x:row r="1933" ht="15" hidden="0">
      <x:c r="A1933" s="70" t="s">
        <x:v>3003</x:v>
      </x:c>
      <x:c r="B1933" s="70" t="s">
        <x:v>45</x:v>
      </x:c>
      <x:c r="C1933" s="70" t="s">
        <x:v>101</x:v>
      </x:c>
      <x:c r="D1933" s="70" t="s">
        <x:v>299</x:v>
      </x:c>
      <x:c r="E1933" s="70" t="s">
        <x:v>1203</x:v>
      </x:c>
      <x:c r="F1933" s="70" t="s">
        <x:v>2579</x:v>
      </x:c>
      <x:c r="G1933" s="70" t="s">
        <x:v>2626</x:v>
      </x:c>
      <x:c r="H1933" s="70" t="s">
        <x:v>838</x:v>
      </x:c>
      <x:c r="I1933" s="70" t="s">
        <x:v>833</x:v>
      </x:c>
      <x:c r="J1933" s="70" t="n">
        <x:v>190</x:v>
      </x:c>
      <x:c r="K1933" s="70" t="s">
        <x:v>1765</x:v>
      </x:c>
      <x:c r="L1933" s="70"/>
      <x:c r="M1933" s="70" t="s">
        <x:v>39</x:v>
      </x:c>
      <x:c r="N1933" s="71" t="n">
        <x:v>-5455</x:v>
      </x:c>
      <x:c r="O1933" s="72" t="n">
        <x:f aca="0">N1933/1000</x:f>
        <x:v>-5.455</x:v>
      </x:c>
      <x:c r="P1933" s="73" t="n">
        <x:f aca="0">FCCL!D123</x:f>
        <x:v>-5.455</x:v>
      </x:c>
      <x:c r="Q1933" s="70" t="str">
        <x:f aca="0">IF(ABS(O1933-P1933)&lt;0.000001,"PASS","FAIL")</x:f>
        <x:v>PASS</x:v>
      </x:c>
      <x:c r="R1933" s="70" t="s">
        <x:v>27</x:v>
      </x:c>
      <x:c r="S1933" s="70"/>
    </x:row>
    <x:row r="1934" ht="15" hidden="0">
      <x:c r="A1934" s="70" t="s">
        <x:v>3004</x:v>
      </x:c>
      <x:c r="B1934" s="70" t="s">
        <x:v>45</x:v>
      </x:c>
      <x:c r="C1934" s="70" t="s">
        <x:v>102</x:v>
      </x:c>
      <x:c r="D1934" s="70" t="s">
        <x:v>299</x:v>
      </x:c>
      <x:c r="E1934" s="70" t="s">
        <x:v>1203</x:v>
      </x:c>
      <x:c r="F1934" s="70" t="s">
        <x:v>1697</x:v>
      </x:c>
      <x:c r="G1934" s="70" t="s">
        <x:v>2628</x:v>
      </x:c>
      <x:c r="H1934" s="70" t="s">
        <x:v>842</x:v>
      </x:c>
      <x:c r="I1934" s="70" t="s">
        <x:v>833</x:v>
      </x:c>
      <x:c r="J1934" s="70" t="n">
        <x:v>212</x:v>
      </x:c>
      <x:c r="K1934" s="70" t="s">
        <x:v>2965</x:v>
      </x:c>
      <x:c r="L1934" s="70"/>
      <x:c r="M1934" s="70" t="s">
        <x:v>39</x:v>
      </x:c>
      <x:c r="N1934" s="71" t="n">
        <x:v>19345923</x:v>
      </x:c>
      <x:c r="O1934" s="72" t="n">
        <x:f aca="0">N1934/1000</x:f>
        <x:v>19345.923</x:v>
      </x:c>
      <x:c r="P1934" s="73" t="n">
        <x:f aca="0">FCCL!E123</x:f>
        <x:v>19345.923</x:v>
      </x:c>
      <x:c r="Q1934" s="70" t="str">
        <x:f aca="0">IF(ABS(O1934-P1934)&lt;0.000001,"PASS","FAIL")</x:f>
        <x:v>PASS</x:v>
      </x:c>
      <x:c r="R1934" s="70" t="s">
        <x:v>27</x:v>
      </x:c>
      <x:c r="S1934" s="70"/>
    </x:row>
    <x:row r="1935" ht="15" hidden="0">
      <x:c r="A1935" s="70" t="s">
        <x:v>3005</x:v>
      </x:c>
      <x:c r="B1935" s="70" t="s">
        <x:v>45</x:v>
      </x:c>
      <x:c r="C1935" s="70" t="s">
        <x:v>103</x:v>
      </x:c>
      <x:c r="D1935" s="70" t="s">
        <x:v>299</x:v>
      </x:c>
      <x:c r="E1935" s="70" t="s">
        <x:v>1203</x:v>
      </x:c>
      <x:c r="F1935" s="70" t="s">
        <x:v>1700</x:v>
      </x:c>
      <x:c r="G1935" s="70" t="s">
        <x:v>2631</x:v>
      </x:c>
      <x:c r="H1935" s="70" t="s">
        <x:v>845</x:v>
      </x:c>
      <x:c r="I1935" s="70" t="s">
        <x:v>833</x:v>
      </x:c>
      <x:c r="J1935" s="70" t="n">
        <x:v>195</x:v>
      </x:c>
      <x:c r="K1935" s="70" t="s">
        <x:v>834</x:v>
      </x:c>
      <x:c r="L1935" s="70"/>
      <x:c r="M1935" s="70" t="s">
        <x:v>39</x:v>
      </x:c>
      <x:c r="N1935" s="71" t="n">
        <x:v>10897767</x:v>
      </x:c>
      <x:c r="O1935" s="72" t="n">
        <x:f aca="0">N1935/1000</x:f>
        <x:v>10897.767</x:v>
      </x:c>
      <x:c r="P1935" s="73" t="n">
        <x:f aca="0">FCCL!F123</x:f>
        <x:v>10897.767</x:v>
      </x:c>
      <x:c r="Q1935" s="70" t="str">
        <x:f aca="0">IF(ABS(O1935-P1935)&lt;0.000001,"PASS","FAIL")</x:f>
        <x:v>PASS</x:v>
      </x:c>
      <x:c r="R1935" s="70" t="s">
        <x:v>27</x:v>
      </x:c>
      <x:c r="S1935" s="70" t="s">
        <x:v>839</x:v>
      </x:c>
    </x:row>
    <x:row r="1936" ht="15" hidden="0">
      <x:c r="A1936" s="70" t="s">
        <x:v>3006</x:v>
      </x:c>
      <x:c r="B1936" s="70" t="s">
        <x:v>45</x:v>
      </x:c>
      <x:c r="C1936" s="70" t="s">
        <x:v>104</x:v>
      </x:c>
      <x:c r="D1936" s="70" t="s">
        <x:v>299</x:v>
      </x:c>
      <x:c r="E1936" s="70" t="s">
        <x:v>1203</x:v>
      </x:c>
      <x:c r="F1936" s="70" t="s">
        <x:v>1248</x:v>
      </x:c>
      <x:c r="G1936" s="70" t="s">
        <x:v>2633</x:v>
      </x:c>
      <x:c r="H1936" s="70" t="s">
        <x:v>849</x:v>
      </x:c>
      <x:c r="I1936" s="70" t="s">
        <x:v>833</x:v>
      </x:c>
      <x:c r="J1936" s="70" t="n">
        <x:v>249</x:v>
      </x:c>
      <x:c r="K1936" s="70" t="s">
        <x:v>834</x:v>
      </x:c>
      <x:c r="L1936" s="70"/>
      <x:c r="M1936" s="70" t="s">
        <x:v>39</x:v>
      </x:c>
      <x:c r="N1936" s="71" t="n">
        <x:v>-8479996</x:v>
      </x:c>
      <x:c r="O1936" s="72" t="n">
        <x:f aca="0">N1936/1000</x:f>
        <x:v>-8479.996</x:v>
      </x:c>
      <x:c r="P1936" s="73" t="n">
        <x:f aca="0">FCCL!G123</x:f>
        <x:v>-8479.996</x:v>
      </x:c>
      <x:c r="Q1936" s="70" t="str">
        <x:f aca="0">IF(ABS(O1936-P1936)&lt;0.000001,"PASS","FAIL")</x:f>
        <x:v>PASS</x:v>
      </x:c>
      <x:c r="R1936" s="70" t="s">
        <x:v>27</x:v>
      </x:c>
      <x:c r="S1936" s="70"/>
    </x:row>
    <x:row r="1937" ht="15" hidden="0">
      <x:c r="A1937" s="70" t="s">
        <x:v>3007</x:v>
      </x:c>
      <x:c r="B1937" s="70" t="s">
        <x:v>45</x:v>
      </x:c>
      <x:c r="C1937" s="70" t="s">
        <x:v>105</x:v>
      </x:c>
      <x:c r="D1937" s="70" t="s">
        <x:v>299</x:v>
      </x:c>
      <x:c r="E1937" s="70" t="s">
        <x:v>1203</x:v>
      </x:c>
      <x:c r="F1937" s="70" t="s">
        <x:v>1248</x:v>
      </x:c>
      <x:c r="G1937" s="70" t="s">
        <x:v>2633</x:v>
      </x:c>
      <x:c r="H1937" s="70" t="s">
        <x:v>849</x:v>
      </x:c>
      <x:c r="I1937" s="70" t="s">
        <x:v>852</x:v>
      </x:c>
      <x:c r="J1937" s="70" t="n">
        <x:v>249</x:v>
      </x:c>
      <x:c r="K1937" s="70" t="s">
        <x:v>834</x:v>
      </x:c>
      <x:c r="L1937" s="70"/>
      <x:c r="M1937" s="70" t="s">
        <x:v>39</x:v>
      </x:c>
      <x:c r="N1937" s="71" t="n">
        <x:v>-12739192</x:v>
      </x:c>
      <x:c r="O1937" s="72" t="n">
        <x:f aca="0">N1937/1000</x:f>
        <x:v>-12739.192</x:v>
      </x:c>
      <x:c r="P1937" s="73" t="n">
        <x:f aca="0">FCCL!H123</x:f>
        <x:v>-12739.192</x:v>
      </x:c>
      <x:c r="Q1937" s="70" t="str">
        <x:f aca="0">IF(ABS(O1937-P1937)&lt;0.000001,"PASS","FAIL")</x:f>
        <x:v>PASS</x:v>
      </x:c>
      <x:c r="R1937" s="70" t="s">
        <x:v>27</x:v>
      </x:c>
      <x:c r="S1937" s="70"/>
    </x:row>
    <x:row r="1938" ht="15" hidden="0">
      <x:c r="A1938" s="70" t="s">
        <x:v>3008</x:v>
      </x:c>
      <x:c r="B1938" s="70" t="s">
        <x:v>45</x:v>
      </x:c>
      <x:c r="C1938" s="70" t="s">
        <x:v>101</x:v>
      </x:c>
      <x:c r="D1938" s="70" t="s">
        <x:v>301</x:v>
      </x:c>
      <x:c r="E1938" s="70" t="s">
        <x:v>1203</x:v>
      </x:c>
      <x:c r="F1938" s="70" t="s">
        <x:v>1254</x:v>
      </x:c>
      <x:c r="G1938" s="70" t="s">
        <x:v>2626</x:v>
      </x:c>
      <x:c r="H1938" s="70" t="s">
        <x:v>838</x:v>
      </x:c>
      <x:c r="I1938" s="70" t="s">
        <x:v>833</x:v>
      </x:c>
      <x:c r="J1938" s="70" t="n">
        <x:v>190</x:v>
      </x:c>
      <x:c r="K1938" s="70" t="s">
        <x:v>1765</x:v>
      </x:c>
      <x:c r="L1938" s="70"/>
      <x:c r="M1938" s="70" t="s">
        <x:v>39</x:v>
      </x:c>
      <x:c r="N1938" s="71" t="n">
        <x:v>-1572</x:v>
      </x:c>
      <x:c r="O1938" s="72" t="n">
        <x:f aca="0">N1938/1000</x:f>
        <x:v>-1.572</x:v>
      </x:c>
      <x:c r="P1938" s="73" t="n">
        <x:f aca="0">FCCL!D124</x:f>
        <x:v>-1.572</x:v>
      </x:c>
      <x:c r="Q1938" s="70" t="str">
        <x:f aca="0">IF(ABS(O1938-P1938)&lt;0.000001,"PASS","FAIL")</x:f>
        <x:v>PASS</x:v>
      </x:c>
      <x:c r="R1938" s="70" t="s">
        <x:v>27</x:v>
      </x:c>
      <x:c r="S1938" s="70"/>
    </x:row>
    <x:row r="1939" ht="15" hidden="0">
      <x:c r="A1939" s="70" t="s">
        <x:v>3009</x:v>
      </x:c>
      <x:c r="B1939" s="70" t="s">
        <x:v>45</x:v>
      </x:c>
      <x:c r="C1939" s="70" t="s">
        <x:v>102</x:v>
      </x:c>
      <x:c r="D1939" s="70" t="s">
        <x:v>301</x:v>
      </x:c>
      <x:c r="E1939" s="70" t="s">
        <x:v>1203</x:v>
      </x:c>
      <x:c r="F1939" s="70" t="s">
        <x:v>3010</x:v>
      </x:c>
      <x:c r="G1939" s="70" t="s">
        <x:v>2628</x:v>
      </x:c>
      <x:c r="H1939" s="70" t="s">
        <x:v>842</x:v>
      </x:c>
      <x:c r="I1939" s="70" t="s">
        <x:v>833</x:v>
      </x:c>
      <x:c r="J1939" s="70" t="n">
        <x:v>212</x:v>
      </x:c>
      <x:c r="K1939" s="70" t="s">
        <x:v>2965</x:v>
      </x:c>
      <x:c r="L1939" s="70"/>
      <x:c r="M1939" s="70" t="s">
        <x:v>39</x:v>
      </x:c>
      <x:c r="N1939" s="71" t="n">
        <x:v>-1322</x:v>
      </x:c>
      <x:c r="O1939" s="72" t="n">
        <x:f aca="0">N1939/1000</x:f>
        <x:v>-1.322</x:v>
      </x:c>
      <x:c r="P1939" s="73" t="n">
        <x:f aca="0">FCCL!E124</x:f>
        <x:v>-1.322</x:v>
      </x:c>
      <x:c r="Q1939" s="70" t="str">
        <x:f aca="0">IF(ABS(O1939-P1939)&lt;0.000001,"PASS","FAIL")</x:f>
        <x:v>PASS</x:v>
      </x:c>
      <x:c r="R1939" s="70" t="s">
        <x:v>27</x:v>
      </x:c>
      <x:c r="S1939" s="70"/>
    </x:row>
    <x:row r="1940" ht="15" hidden="0">
      <x:c r="A1940" s="70" t="s">
        <x:v>3011</x:v>
      </x:c>
      <x:c r="B1940" s="70" t="s">
        <x:v>45</x:v>
      </x:c>
      <x:c r="C1940" s="70" t="s">
        <x:v>103</x:v>
      </x:c>
      <x:c r="D1940" s="70" t="s">
        <x:v>301</x:v>
      </x:c>
      <x:c r="E1940" s="70" t="s">
        <x:v>1203</x:v>
      </x:c>
      <x:c r="F1940" s="70" t="s">
        <x:v>3010</x:v>
      </x:c>
      <x:c r="G1940" s="70" t="s">
        <x:v>2631</x:v>
      </x:c>
      <x:c r="H1940" s="70" t="s">
        <x:v>845</x:v>
      </x:c>
      <x:c r="I1940" s="70" t="s">
        <x:v>833</x:v>
      </x:c>
      <x:c r="J1940" s="70" t="n">
        <x:v>195</x:v>
      </x:c>
      <x:c r="K1940" s="70" t="s">
        <x:v>834</x:v>
      </x:c>
      <x:c r="L1940" s="70"/>
      <x:c r="M1940" s="70" t="s">
        <x:v>39</x:v>
      </x:c>
      <x:c r="N1940" s="71" t="n">
        <x:v>-1156</x:v>
      </x:c>
      <x:c r="O1940" s="72" t="n">
        <x:f aca="0">N1940/1000</x:f>
        <x:v>-1.156</x:v>
      </x:c>
      <x:c r="P1940" s="73" t="n">
        <x:f aca="0">FCCL!F124</x:f>
        <x:v>-1.156</x:v>
      </x:c>
      <x:c r="Q1940" s="70" t="str">
        <x:f aca="0">IF(ABS(O1940-P1940)&lt;0.000001,"PASS","FAIL")</x:f>
        <x:v>PASS</x:v>
      </x:c>
      <x:c r="R1940" s="70" t="s">
        <x:v>27</x:v>
      </x:c>
      <x:c r="S1940" s="70"/>
    </x:row>
    <x:row r="1941" ht="15" hidden="0">
      <x:c r="A1941" s="70" t="s">
        <x:v>3012</x:v>
      </x:c>
      <x:c r="B1941" s="70" t="s">
        <x:v>45</x:v>
      </x:c>
      <x:c r="C1941" s="70" t="s">
        <x:v>104</x:v>
      </x:c>
      <x:c r="D1941" s="70" t="s">
        <x:v>301</x:v>
      </x:c>
      <x:c r="E1941" s="70" t="s">
        <x:v>1203</x:v>
      </x:c>
      <x:c r="F1941" s="70" t="s">
        <x:v>3013</x:v>
      </x:c>
      <x:c r="G1941" s="70" t="s">
        <x:v>2633</x:v>
      </x:c>
      <x:c r="H1941" s="70" t="s">
        <x:v>849</x:v>
      </x:c>
      <x:c r="I1941" s="70" t="s">
        <x:v>833</x:v>
      </x:c>
      <x:c r="J1941" s="70" t="n">
        <x:v>249</x:v>
      </x:c>
      <x:c r="K1941" s="70" t="s">
        <x:v>834</x:v>
      </x:c>
      <x:c r="L1941" s="70"/>
      <x:c r="M1941" s="70" t="s">
        <x:v>39</x:v>
      </x:c>
      <x:c r="N1941" s="71" t="n">
        <x:v>-355</x:v>
      </x:c>
      <x:c r="O1941" s="72" t="n">
        <x:f aca="0">N1941/1000</x:f>
        <x:v>-0.355</x:v>
      </x:c>
      <x:c r="P1941" s="73" t="n">
        <x:f aca="0">FCCL!G124</x:f>
        <x:v>-0.355</x:v>
      </x:c>
      <x:c r="Q1941" s="70" t="str">
        <x:f aca="0">IF(ABS(O1941-P1941)&lt;0.000001,"PASS","FAIL")</x:f>
        <x:v>PASS</x:v>
      </x:c>
      <x:c r="R1941" s="70" t="s">
        <x:v>27</x:v>
      </x:c>
      <x:c r="S1941" s="70"/>
    </x:row>
    <x:row r="1942" ht="15" hidden="0">
      <x:c r="A1942" s="70" t="s">
        <x:v>3014</x:v>
      </x:c>
      <x:c r="B1942" s="70" t="s">
        <x:v>45</x:v>
      </x:c>
      <x:c r="C1942" s="70" t="s">
        <x:v>105</x:v>
      </x:c>
      <x:c r="D1942" s="70" t="s">
        <x:v>301</x:v>
      </x:c>
      <x:c r="E1942" s="70" t="s">
        <x:v>1203</x:v>
      </x:c>
      <x:c r="F1942" s="70" t="s">
        <x:v>3013</x:v>
      </x:c>
      <x:c r="G1942" s="70" t="s">
        <x:v>2633</x:v>
      </x:c>
      <x:c r="H1942" s="70" t="s">
        <x:v>849</x:v>
      </x:c>
      <x:c r="I1942" s="70" t="s">
        <x:v>852</x:v>
      </x:c>
      <x:c r="J1942" s="70" t="n">
        <x:v>249</x:v>
      </x:c>
      <x:c r="K1942" s="70" t="s">
        <x:v>834</x:v>
      </x:c>
      <x:c r="L1942" s="70"/>
      <x:c r="M1942" s="70" t="s">
        <x:v>39</x:v>
      </x:c>
      <x:c r="N1942" s="71" t="n">
        <x:v>-2447311</x:v>
      </x:c>
      <x:c r="O1942" s="72" t="n">
        <x:f aca="0">N1942/1000</x:f>
        <x:v>-2447.311</x:v>
      </x:c>
      <x:c r="P1942" s="73" t="n">
        <x:f aca="0">FCCL!H124</x:f>
        <x:v>-2447.311</x:v>
      </x:c>
      <x:c r="Q1942" s="70" t="str">
        <x:f aca="0">IF(ABS(O1942-P1942)&lt;0.000001,"PASS","FAIL")</x:f>
        <x:v>PASS</x:v>
      </x:c>
      <x:c r="R1942" s="70" t="s">
        <x:v>27</x:v>
      </x:c>
      <x:c r="S1942" s="70"/>
    </x:row>
    <x:row r="1943" ht="15" hidden="0">
      <x:c r="A1943" s="70" t="s">
        <x:v>3015</x:v>
      </x:c>
      <x:c r="B1943" s="70" t="s">
        <x:v>45</x:v>
      </x:c>
      <x:c r="C1943" s="70" t="s">
        <x:v>101</x:v>
      </x:c>
      <x:c r="D1943" s="70" t="s">
        <x:v>304</x:v>
      </x:c>
      <x:c r="E1943" s="70" t="s">
        <x:v>855</x:v>
      </x:c>
      <x:c r="F1943" s="70" t="s">
        <x:v>1260</x:v>
      </x:c>
      <x:c r="G1943" s="70" t="s">
        <x:v>2624</x:v>
      </x:c>
      <x:c r="H1943" s="70" t="s">
        <x:v>832</x:v>
      </x:c>
      <x:c r="I1943" s="70" t="s">
        <x:v>852</x:v>
      </x:c>
      <x:c r="J1943" s="70" t="n">
        <x:v>201</x:v>
      </x:c>
      <x:c r="K1943" s="70" t="s">
        <x:v>3016</x:v>
      </x:c>
      <x:c r="L1943" s="70"/>
      <x:c r="M1943" s="70" t="s">
        <x:v>306</x:v>
      </x:c>
      <x:c r="N1943" s="70" t="n">
        <x:v>10</x:v>
      </x:c>
      <x:c r="O1943" s="70" t="n">
        <x:f aca="0">N1943</x:f>
        <x:v>10</x:v>
      </x:c>
      <x:c r="P1943" s="74" t="n">
        <x:f aca="0">FCCL!D127</x:f>
        <x:v>10</x:v>
      </x:c>
      <x:c r="Q1943" s="70" t="str">
        <x:f aca="0">IF(ABS(O1943-P1943)&lt;0.000001,"PASS","FAIL")</x:f>
        <x:v>PASS</x:v>
      </x:c>
      <x:c r="R1943" s="70" t="s">
        <x:v>27</x:v>
      </x:c>
      <x:c r="S1943" s="70" t="str">
        <x:v>Verified FY-end share basis; see Share Basis and Corporate Actions for source excerpts and normalization. Original source metadata superseded where the basis changed.</x:v>
      </x:c>
    </x:row>
    <x:row r="1944" ht="15" hidden="0">
      <x:c r="A1944" s="70" t="s">
        <x:v>3017</x:v>
      </x:c>
      <x:c r="B1944" s="70" t="s">
        <x:v>45</x:v>
      </x:c>
      <x:c r="C1944" s="70" t="s">
        <x:v>102</x:v>
      </x:c>
      <x:c r="D1944" s="70" t="s">
        <x:v>304</x:v>
      </x:c>
      <x:c r="E1944" s="70" t="s">
        <x:v>855</x:v>
      </x:c>
      <x:c r="F1944" s="70" t="s">
        <x:v>1260</x:v>
      </x:c>
      <x:c r="G1944" s="70" t="s">
        <x:v>2626</x:v>
      </x:c>
      <x:c r="H1944" s="70" t="s">
        <x:v>838</x:v>
      </x:c>
      <x:c r="I1944" s="70" t="s">
        <x:v>852</x:v>
      </x:c>
      <x:c r="J1944" s="70" t="n">
        <x:v>230</x:v>
      </x:c>
      <x:c r="K1944" s="70" t="s">
        <x:v>3018</x:v>
      </x:c>
      <x:c r="L1944" s="70"/>
      <x:c r="M1944" s="70" t="s">
        <x:v>306</x:v>
      </x:c>
      <x:c r="N1944" s="70" t="n">
        <x:v>10</x:v>
      </x:c>
      <x:c r="O1944" s="70" t="n">
        <x:f aca="0">N1944</x:f>
        <x:v>10</x:v>
      </x:c>
      <x:c r="P1944" s="74" t="n">
        <x:f aca="0">FCCL!E127</x:f>
        <x:v>10</x:v>
      </x:c>
      <x:c r="Q1944" s="70" t="str">
        <x:f aca="0">IF(ABS(O1944-P1944)&lt;0.000001,"PASS","FAIL")</x:f>
        <x:v>PASS</x:v>
      </x:c>
      <x:c r="R1944" s="70" t="s">
        <x:v>27</x:v>
      </x:c>
      <x:c r="S1944" s="70" t="str">
        <x:v>Verified FY-end share basis; see Share Basis and Corporate Actions for source excerpts and normalization. Original source metadata superseded where the basis changed.</x:v>
      </x:c>
    </x:row>
    <x:row r="1945" ht="15" hidden="0">
      <x:c r="A1945" s="70" t="s">
        <x:v>3019</x:v>
      </x:c>
      <x:c r="B1945" s="70" t="s">
        <x:v>45</x:v>
      </x:c>
      <x:c r="C1945" s="70" t="s">
        <x:v>103</x:v>
      </x:c>
      <x:c r="D1945" s="70" t="s">
        <x:v>304</x:v>
      </x:c>
      <x:c r="E1945" s="70" t="s">
        <x:v>855</x:v>
      </x:c>
      <x:c r="F1945" s="70" t="s">
        <x:v>1260</x:v>
      </x:c>
      <x:c r="G1945" s="70" t="s">
        <x:v>2628</x:v>
      </x:c>
      <x:c r="H1945" s="70" t="s">
        <x:v>842</x:v>
      </x:c>
      <x:c r="I1945" s="70" t="s">
        <x:v>852</x:v>
      </x:c>
      <x:c r="J1945" s="70" t="n">
        <x:v>251</x:v>
      </x:c>
      <x:c r="K1945" s="70" t="s">
        <x:v>2531</x:v>
      </x:c>
      <x:c r="L1945" s="70"/>
      <x:c r="M1945" s="70" t="s">
        <x:v>306</x:v>
      </x:c>
      <x:c r="N1945" s="70" t="n">
        <x:v>10</x:v>
      </x:c>
      <x:c r="O1945" s="70" t="n">
        <x:f aca="0">N1945</x:f>
        <x:v>10</x:v>
      </x:c>
      <x:c r="P1945" s="74" t="n">
        <x:f aca="0">FCCL!F127</x:f>
        <x:v>10</x:v>
      </x:c>
      <x:c r="Q1945" s="70" t="str">
        <x:f aca="0">IF(ABS(O1945-P1945)&lt;0.000001,"PASS","FAIL")</x:f>
        <x:v>PASS</x:v>
      </x:c>
      <x:c r="R1945" s="70" t="s">
        <x:v>27</x:v>
      </x:c>
      <x:c r="S1945" s="70" t="str">
        <x:v>Verified FY-end share basis; see Share Basis and Corporate Actions for source excerpts and normalization. Original source metadata superseded where the basis changed.</x:v>
      </x:c>
    </x:row>
    <x:row r="1946" ht="15" hidden="0">
      <x:c r="A1946" s="70" t="s">
        <x:v>3020</x:v>
      </x:c>
      <x:c r="B1946" s="70" t="s">
        <x:v>45</x:v>
      </x:c>
      <x:c r="C1946" s="70" t="s">
        <x:v>104</x:v>
      </x:c>
      <x:c r="D1946" s="70" t="s">
        <x:v>304</x:v>
      </x:c>
      <x:c r="E1946" s="70" t="s">
        <x:v>855</x:v>
      </x:c>
      <x:c r="F1946" s="70" t="s">
        <x:v>1260</x:v>
      </x:c>
      <x:c r="G1946" s="70" t="s">
        <x:v>2631</x:v>
      </x:c>
      <x:c r="H1946" s="70" t="s">
        <x:v>845</x:v>
      </x:c>
      <x:c r="I1946" s="70" t="s">
        <x:v>852</x:v>
      </x:c>
      <x:c r="J1946" s="70" t="n">
        <x:v>230</x:v>
      </x:c>
      <x:c r="K1946" s="70" t="s">
        <x:v>3018</x:v>
      </x:c>
      <x:c r="L1946" s="70"/>
      <x:c r="M1946" s="70" t="s">
        <x:v>306</x:v>
      </x:c>
      <x:c r="N1946" s="70" t="n">
        <x:v>10</x:v>
      </x:c>
      <x:c r="O1946" s="70" t="n">
        <x:f aca="0">N1946</x:f>
        <x:v>10</x:v>
      </x:c>
      <x:c r="P1946" s="74" t="n">
        <x:f aca="0">FCCL!G127</x:f>
        <x:v>10</x:v>
      </x:c>
      <x:c r="Q1946" s="70" t="str">
        <x:f aca="0">IF(ABS(O1946-P1946)&lt;0.000001,"PASS","FAIL")</x:f>
        <x:v>PASS</x:v>
      </x:c>
      <x:c r="R1946" s="70" t="s">
        <x:v>27</x:v>
      </x:c>
      <x:c r="S1946" s="70" t="str">
        <x:v>Verified FY-end share basis; see Share Basis and Corporate Actions for source excerpts and normalization. Original source metadata superseded where the basis changed.</x:v>
      </x:c>
    </x:row>
    <x:row r="1947" ht="15" hidden="0">
      <x:c r="A1947" s="70" t="s">
        <x:v>3021</x:v>
      </x:c>
      <x:c r="B1947" s="70" t="s">
        <x:v>45</x:v>
      </x:c>
      <x:c r="C1947" s="70" t="s">
        <x:v>105</x:v>
      </x:c>
      <x:c r="D1947" s="70" t="s">
        <x:v>304</x:v>
      </x:c>
      <x:c r="E1947" s="70" t="s">
        <x:v>855</x:v>
      </x:c>
      <x:c r="F1947" s="70" t="s">
        <x:v>1260</x:v>
      </x:c>
      <x:c r="G1947" s="70" t="s">
        <x:v>2633</x:v>
      </x:c>
      <x:c r="H1947" s="70" t="s">
        <x:v>849</x:v>
      </x:c>
      <x:c r="I1947" s="70" t="s">
        <x:v>852</x:v>
      </x:c>
      <x:c r="J1947" s="70" t="n">
        <x:v>285</x:v>
      </x:c>
      <x:c r="K1947" s="70" t="s">
        <x:v>834</x:v>
      </x:c>
      <x:c r="L1947" s="70"/>
      <x:c r="M1947" s="70" t="s">
        <x:v>306</x:v>
      </x:c>
      <x:c r="N1947" s="70" t="n">
        <x:v>10</x:v>
      </x:c>
      <x:c r="O1947" s="70" t="n">
        <x:f aca="0">N1947</x:f>
        <x:v>10</x:v>
      </x:c>
      <x:c r="P1947" s="74" t="n">
        <x:f aca="0">FCCL!H127</x:f>
        <x:v>10</x:v>
      </x:c>
      <x:c r="Q1947" s="70" t="str">
        <x:f aca="0">IF(ABS(O1947-P1947)&lt;0.000001,"PASS","FAIL")</x:f>
        <x:v>PASS</x:v>
      </x:c>
      <x:c r="R1947" s="70" t="s">
        <x:v>27</x:v>
      </x:c>
      <x:c r="S1947" s="70" t="str">
        <x:v>Verified FY-end share basis; see Share Basis and Corporate Actions for source excerpts and normalization. Original source metadata superseded where the basis changed.</x:v>
      </x:c>
    </x:row>
    <x:row r="1948" ht="15" hidden="0">
      <x:c r="A1948" s="70" t="s">
        <x:v>3022</x:v>
      </x:c>
      <x:c r="B1948" s="70" t="s">
        <x:v>45</x:v>
      </x:c>
      <x:c r="C1948" s="70" t="s">
        <x:v>101</x:v>
      </x:c>
      <x:c r="D1948" s="70" t="s">
        <x:v>310</x:v>
      </x:c>
      <x:c r="E1948" s="70" t="s">
        <x:v>855</x:v>
      </x:c>
      <x:c r="F1948" s="70" t="s">
        <x:v>1267</x:v>
      </x:c>
      <x:c r="G1948" s="70" t="str">
        <x:v>FCCL-Annual-Report-2021.pdf</x:v>
      </x:c>
      <x:c r="H1948" s="70" t="s">
        <x:v>832</x:v>
      </x:c>
      <x:c r="I1948" s="70" t="s">
        <x:v>852</x:v>
      </x:c>
      <x:c r="J1948" s="70" t="n">
        <x:v>201</x:v>
      </x:c>
      <x:c r="K1948" s="70" t="s">
        <x:v>3016</x:v>
      </x:c>
      <x:c r="L1948" s="70"/>
      <x:c r="M1948" s="70" t="s">
        <x:v>309</x:v>
      </x:c>
      <x:c r="N1948" s="70" t="n">
        <x:v>1379.815</x:v>
      </x:c>
      <x:c r="O1948" s="70" t="n">
        <x:f aca="0">N1948</x:f>
        <x:v>1379.815</x:v>
      </x:c>
      <x:c r="P1948" s="72" t="n">
        <x:f aca="0">FCCL!D129</x:f>
        <x:v>1379.815</x:v>
      </x:c>
      <x:c r="Q1948" s="70" t="str">
        <x:f aca="0">IF(ABS(O1948-P1948)&lt;0.000001,"PASS","FAIL")</x:f>
        <x:v>PASS</x:v>
      </x:c>
      <x:c r="R1948" s="70" t="s">
        <x:v>27</x:v>
      </x:c>
      <x:c r="S1948" s="70" t="str">
        <x:v>Verified FY-end share basis; see Share Basis and Corporate Actions for source excerpts and normalization. Original source metadata superseded where the basis changed.</x:v>
      </x:c>
    </x:row>
    <x:row r="1949" ht="15" hidden="0">
      <x:c r="A1949" s="70" t="s">
        <x:v>3023</x:v>
      </x:c>
      <x:c r="B1949" s="70" t="s">
        <x:v>45</x:v>
      </x:c>
      <x:c r="C1949" s="70" t="s">
        <x:v>102</x:v>
      </x:c>
      <x:c r="D1949" s="70" t="s">
        <x:v>310</x:v>
      </x:c>
      <x:c r="E1949" s="70" t="s">
        <x:v>855</x:v>
      </x:c>
      <x:c r="F1949" s="70" t="s">
        <x:v>1267</x:v>
      </x:c>
      <x:c r="G1949" s="70" t="str">
        <x:v>FCCL-Annual-Report-2022.pdf</x:v>
      </x:c>
      <x:c r="H1949" s="70" t="s">
        <x:v>838</x:v>
      </x:c>
      <x:c r="I1949" s="70" t="s">
        <x:v>852</x:v>
      </x:c>
      <x:c r="J1949" s="70" t="n">
        <x:v>230</x:v>
      </x:c>
      <x:c r="K1949" s="70" t="s">
        <x:v>3018</x:v>
      </x:c>
      <x:c r="L1949" s="70"/>
      <x:c r="M1949" s="70" t="s">
        <x:v>309</x:v>
      </x:c>
      <x:c r="N1949" s="70" t="n">
        <x:v>2180.309</x:v>
      </x:c>
      <x:c r="O1949" s="70" t="n">
        <x:f aca="0">N1949</x:f>
        <x:v>2180.309</x:v>
      </x:c>
      <x:c r="P1949" s="72" t="n">
        <x:f aca="0">FCCL!E129</x:f>
        <x:v>2180.309</x:v>
      </x:c>
      <x:c r="Q1949" s="70" t="str">
        <x:f aca="0">IF(ABS(O1949-P1949)&lt;0.000001,"PASS","FAIL")</x:f>
        <x:v>PASS</x:v>
      </x:c>
      <x:c r="R1949" s="70" t="s">
        <x:v>27</x:v>
      </x:c>
      <x:c r="S1949" s="70" t="str">
        <x:v>Verified FY-end share basis; see Share Basis and Corporate Actions for source excerpts and normalization. Original source metadata superseded where the basis changed.</x:v>
      </x:c>
    </x:row>
    <x:row r="1950" ht="15" hidden="0">
      <x:c r="A1950" s="70" t="s">
        <x:v>3024</x:v>
      </x:c>
      <x:c r="B1950" s="70" t="s">
        <x:v>45</x:v>
      </x:c>
      <x:c r="C1950" s="70" t="s">
        <x:v>103</x:v>
      </x:c>
      <x:c r="D1950" s="70" t="s">
        <x:v>310</x:v>
      </x:c>
      <x:c r="E1950" s="70" t="s">
        <x:v>855</x:v>
      </x:c>
      <x:c r="F1950" s="70" t="s">
        <x:v>1267</x:v>
      </x:c>
      <x:c r="G1950" s="70" t="str">
        <x:v>FCCL-Annual-Report-2023.pdf</x:v>
      </x:c>
      <x:c r="H1950" s="70" t="s">
        <x:v>842</x:v>
      </x:c>
      <x:c r="I1950" s="70" t="s">
        <x:v>852</x:v>
      </x:c>
      <x:c r="J1950" s="70" t="n">
        <x:v>251</x:v>
      </x:c>
      <x:c r="K1950" s="70" t="s">
        <x:v>2531</x:v>
      </x:c>
      <x:c r="L1950" s="70"/>
      <x:c r="M1950" s="70" t="s">
        <x:v>309</x:v>
      </x:c>
      <x:c r="N1950" s="70" t="n">
        <x:f>FCCL!F128</x:f>
        <x:v>2452.8476</x:v>
      </x:c>
      <x:c r="O1950" s="70" t="n">
        <x:f aca="0">N1950</x:f>
        <x:v>2452.8476</x:v>
      </x:c>
      <x:c r="P1950" s="72" t="n">
        <x:f aca="0">FCCL!F129</x:f>
        <x:v>2452.8476</x:v>
      </x:c>
      <x:c r="Q1950" s="70" t="str">
        <x:f aca="0">IF(ABS(O1950-P1950)&lt;0.000001,"PASS","FAIL")</x:f>
        <x:v>PASS</x:v>
      </x:c>
      <x:c r="R1950" s="70" t="s">
        <x:v>27</x:v>
      </x:c>
      <x:c r="S1950" s="70" t="str">
        <x:v>Verified FY-end share basis; see Share Basis and Corporate Actions for source excerpts and normalization. Original source metadata superseded where the basis changed.</x:v>
      </x:c>
    </x:row>
    <x:row r="1951" ht="15" hidden="0">
      <x:c r="A1951" s="70" t="s">
        <x:v>3025</x:v>
      </x:c>
      <x:c r="B1951" s="70" t="s">
        <x:v>45</x:v>
      </x:c>
      <x:c r="C1951" s="70" t="s">
        <x:v>104</x:v>
      </x:c>
      <x:c r="D1951" s="70" t="s">
        <x:v>310</x:v>
      </x:c>
      <x:c r="E1951" s="70" t="s">
        <x:v>855</x:v>
      </x:c>
      <x:c r="F1951" s="70" t="s">
        <x:v>1267</x:v>
      </x:c>
      <x:c r="G1951" s="70" t="str">
        <x:v>FCCL-Annual-Report-2024.pdf</x:v>
      </x:c>
      <x:c r="H1951" s="70" t="s">
        <x:v>845</x:v>
      </x:c>
      <x:c r="I1951" s="70" t="s">
        <x:v>852</x:v>
      </x:c>
      <x:c r="J1951" s="70" t="n">
        <x:v>230</x:v>
      </x:c>
      <x:c r="K1951" s="70" t="s">
        <x:v>3018</x:v>
      </x:c>
      <x:c r="L1951" s="70"/>
      <x:c r="M1951" s="70" t="s">
        <x:v>309</x:v>
      </x:c>
      <x:c r="N1951" s="70" t="n">
        <x:v>2452.847</x:v>
      </x:c>
      <x:c r="O1951" s="70" t="n">
        <x:f aca="0">N1951</x:f>
        <x:v>2452.847</x:v>
      </x:c>
      <x:c r="P1951" s="72" t="n">
        <x:f aca="0">FCCL!G129</x:f>
        <x:v>2452.847</x:v>
      </x:c>
      <x:c r="Q1951" s="70" t="str">
        <x:f aca="0">IF(ABS(O1951-P1951)&lt;0.000001,"PASS","FAIL")</x:f>
        <x:v>PASS</x:v>
      </x:c>
      <x:c r="R1951" s="70" t="s">
        <x:v>27</x:v>
      </x:c>
      <x:c r="S1951" s="70" t="str">
        <x:v>Verified FY-end share basis; see Share Basis and Corporate Actions for source excerpts and normalization. Original source metadata superseded where the basis changed.</x:v>
      </x:c>
    </x:row>
    <x:row r="1952" ht="15" hidden="0">
      <x:c r="A1952" s="70" t="s">
        <x:v>3026</x:v>
      </x:c>
      <x:c r="B1952" s="70" t="s">
        <x:v>45</x:v>
      </x:c>
      <x:c r="C1952" s="70" t="s">
        <x:v>105</x:v>
      </x:c>
      <x:c r="D1952" s="70" t="s">
        <x:v>310</x:v>
      </x:c>
      <x:c r="E1952" s="70" t="s">
        <x:v>855</x:v>
      </x:c>
      <x:c r="F1952" s="70" t="s">
        <x:v>1267</x:v>
      </x:c>
      <x:c r="G1952" s="70" t="str">
        <x:v>FCCL-Annual-Report-2025.pdf</x:v>
      </x:c>
      <x:c r="H1952" s="70" t="s">
        <x:v>849</x:v>
      </x:c>
      <x:c r="I1952" s="70" t="s">
        <x:v>852</x:v>
      </x:c>
      <x:c r="J1952" s="70" t="n">
        <x:v>285</x:v>
      </x:c>
      <x:c r="K1952" s="70" t="s">
        <x:v>834</x:v>
      </x:c>
      <x:c r="L1952" s="70"/>
      <x:c r="M1952" s="70" t="s">
        <x:v>309</x:v>
      </x:c>
      <x:c r="N1952" s="70" t="n">
        <x:v>2452.847</x:v>
      </x:c>
      <x:c r="O1952" s="70" t="n">
        <x:f aca="0">N1952</x:f>
        <x:v>2452.847</x:v>
      </x:c>
      <x:c r="P1952" s="72" t="n">
        <x:f aca="0">FCCL!H129</x:f>
        <x:v>2452.847</x:v>
      </x:c>
      <x:c r="Q1952" s="70" t="str">
        <x:f aca="0">IF(ABS(O1952-P1952)&lt;0.000001,"PASS","FAIL")</x:f>
        <x:v>PASS</x:v>
      </x:c>
      <x:c r="R1952" s="70" t="s">
        <x:v>27</x:v>
      </x:c>
      <x:c r="S1952" s="70" t="str">
        <x:v>Verified FY-end share basis; see Share Basis and Corporate Actions for source excerpts and normalization. Original source metadata superseded where the basis changed.</x:v>
      </x:c>
    </x:row>
    <x:row r="1953" ht="15" hidden="0">
      <x:c r="A1953" s="70" t="s">
        <x:v>3027</x:v>
      </x:c>
      <x:c r="B1953" s="70" t="s">
        <x:v>45</x:v>
      </x:c>
      <x:c r="C1953" s="70" t="s">
        <x:v>101</x:v>
      </x:c>
      <x:c r="D1953" s="70" t="str">
        <x:v>Actual FY-end closing price (Rs; unadjusted)</x:v>
      </x:c>
      <x:c r="E1953" s="70" t="s">
        <x:v>855</x:v>
      </x:c>
      <x:c r="F1953" s="70" t="str">
        <x:v>Official PSX historical CLOSE column</x:v>
      </x:c>
      <x:c r="G1953" s="70" t="str">
        <x:v>PSX historical response; hash and raw row on Price Evidence</x:v>
      </x:c>
      <x:c r="H1953" s="70" t="str">
        <x:v>https://dps.psx.com.pk/historical</x:v>
      </x:c>
      <x:c r="I1953" s="70" t="str">
        <x:v>POST date=2021-06-30</x:v>
      </x:c>
      <x:c r="J1953" s="70"/>
      <x:c r="K1953" s="70"/>
      <x:c r="L1953" s="70"/>
      <x:c r="M1953" s="70" t="s">
        <x:v>306</x:v>
      </x:c>
      <x:c r="N1953" s="70" t="n">
        <x:v>23</x:v>
      </x:c>
      <x:c r="O1953" s="70" t="n">
        <x:f aca="0">N1953</x:f>
        <x:v>23</x:v>
      </x:c>
      <x:c r="P1953" s="74" t="n">
        <x:f aca="0">FCCL!D130</x:f>
        <x:v>23</x:v>
      </x:c>
      <x:c r="Q1953" s="70" t="str">
        <x:f aca="0">IF(ABS(O1953-P1953)&lt;0.000001,"PASS","FAIL")</x:f>
        <x:v>PASS</x:v>
      </x:c>
      <x:c r="R1953" s="70" t="s">
        <x:v>27</x:v>
      </x:c>
      <x:c r="S1953" s="70" t="str">
        <x:v>Unadjusted traded close. No split factor applied to PSX price. Original report figure and date evidence preserved on PSX Prices / Price Evidence.</x:v>
      </x:c>
    </x:row>
    <x:row r="1954" ht="15" hidden="0">
      <x:c r="A1954" s="70" t="s">
        <x:v>3028</x:v>
      </x:c>
      <x:c r="B1954" s="70" t="s">
        <x:v>45</x:v>
      </x:c>
      <x:c r="C1954" s="70" t="s">
        <x:v>102</x:v>
      </x:c>
      <x:c r="D1954" s="70" t="str">
        <x:v>Actual FY-end closing price (Rs; unadjusted)</x:v>
      </x:c>
      <x:c r="E1954" s="70" t="s">
        <x:v>855</x:v>
      </x:c>
      <x:c r="F1954" s="70" t="str">
        <x:v>Official PSX historical CLOSE column</x:v>
      </x:c>
      <x:c r="G1954" s="70" t="str">
        <x:v>PSX historical response; hash and raw row on Price Evidence</x:v>
      </x:c>
      <x:c r="H1954" s="70" t="str">
        <x:v>https://dps.psx.com.pk/historical</x:v>
      </x:c>
      <x:c r="I1954" s="70" t="str">
        <x:v>POST date=2022-06-30</x:v>
      </x:c>
      <x:c r="J1954" s="70"/>
      <x:c r="K1954" s="70"/>
      <x:c r="L1954" s="70"/>
      <x:c r="M1954" s="70" t="s">
        <x:v>306</x:v>
      </x:c>
      <x:c r="N1954" s="70" t="n">
        <x:v>14.17</x:v>
      </x:c>
      <x:c r="O1954" s="70" t="n">
        <x:f aca="0">N1954</x:f>
        <x:v>14.17</x:v>
      </x:c>
      <x:c r="P1954" s="74" t="n">
        <x:f aca="0">FCCL!E130</x:f>
        <x:v>14.17</x:v>
      </x:c>
      <x:c r="Q1954" s="70" t="str">
        <x:f aca="0">IF(ABS(O1954-P1954)&lt;0.000001,"PASS","FAIL")</x:f>
        <x:v>PASS</x:v>
      </x:c>
      <x:c r="R1954" s="70" t="s">
        <x:v>27</x:v>
      </x:c>
      <x:c r="S1954" s="70" t="str">
        <x:v>Unadjusted traded close. No split factor applied to PSX price. Original report figure and date evidence preserved on PSX Prices / Price Evidence.</x:v>
      </x:c>
    </x:row>
    <x:row r="1955" ht="15" hidden="0">
      <x:c r="A1955" s="70" t="s">
        <x:v>3029</x:v>
      </x:c>
      <x:c r="B1955" s="70" t="s">
        <x:v>45</x:v>
      </x:c>
      <x:c r="C1955" s="70" t="s">
        <x:v>103</x:v>
      </x:c>
      <x:c r="D1955" s="70" t="str">
        <x:v>Actual FY-end closing price (Rs; unadjusted)</x:v>
      </x:c>
      <x:c r="E1955" s="70" t="s">
        <x:v>855</x:v>
      </x:c>
      <x:c r="F1955" s="70" t="str">
        <x:v>Official PSX historical CLOSE column</x:v>
      </x:c>
      <x:c r="G1955" s="70" t="str">
        <x:v>PSX historical response; hash and raw row on Price Evidence</x:v>
      </x:c>
      <x:c r="H1955" s="70" t="str">
        <x:v>https://dps.psx.com.pk/historical</x:v>
      </x:c>
      <x:c r="I1955" s="70" t="str">
        <x:v>POST date=2023-06-27</x:v>
      </x:c>
      <x:c r="J1955" s="70"/>
      <x:c r="K1955" s="70"/>
      <x:c r="L1955" s="70"/>
      <x:c r="M1955" s="70" t="s">
        <x:v>306</x:v>
      </x:c>
      <x:c r="N1955" s="70" t="n">
        <x:v>11.76</x:v>
      </x:c>
      <x:c r="O1955" s="70" t="n">
        <x:f aca="0">N1955</x:f>
        <x:v>11.76</x:v>
      </x:c>
      <x:c r="P1955" s="74" t="n">
        <x:f aca="0">FCCL!F130</x:f>
        <x:v>11.76</x:v>
      </x:c>
      <x:c r="Q1955" s="70" t="str">
        <x:f aca="0">IF(ABS(O1955-P1955)&lt;0.000001,"PASS","FAIL")</x:f>
        <x:v>PASS</x:v>
      </x:c>
      <x:c r="R1955" s="70" t="s">
        <x:v>27</x:v>
      </x:c>
      <x:c r="S1955" s="70" t="str">
        <x:v>Unadjusted traded close. No split factor applied to PSX price. Original report figure and date evidence preserved on PSX Prices / Price Evidence.</x:v>
      </x:c>
    </x:row>
    <x:row r="1956" ht="15" hidden="0">
      <x:c r="A1956" s="70" t="s">
        <x:v>3030</x:v>
      </x:c>
      <x:c r="B1956" s="70" t="s">
        <x:v>45</x:v>
      </x:c>
      <x:c r="C1956" s="70" t="s">
        <x:v>104</x:v>
      </x:c>
      <x:c r="D1956" s="70" t="str">
        <x:v>Actual FY-end closing price (Rs; unadjusted)</x:v>
      </x:c>
      <x:c r="E1956" s="70" t="s">
        <x:v>855</x:v>
      </x:c>
      <x:c r="F1956" s="70" t="str">
        <x:v>Official PSX historical CLOSE column</x:v>
      </x:c>
      <x:c r="G1956" s="70" t="str">
        <x:v>PSX historical response; hash and raw row on Price Evidence</x:v>
      </x:c>
      <x:c r="H1956" s="70" t="str">
        <x:v>https://dps.psx.com.pk/historical</x:v>
      </x:c>
      <x:c r="I1956" s="70" t="str">
        <x:v>POST date=2024-06-28</x:v>
      </x:c>
      <x:c r="J1956" s="70"/>
      <x:c r="K1956" s="70"/>
      <x:c r="L1956" s="70"/>
      <x:c r="M1956" s="70" t="s">
        <x:v>306</x:v>
      </x:c>
      <x:c r="N1956" s="70" t="n">
        <x:v>22.91</x:v>
      </x:c>
      <x:c r="O1956" s="70" t="n">
        <x:f aca="0">N1956</x:f>
        <x:v>22.91</x:v>
      </x:c>
      <x:c r="P1956" s="74" t="n">
        <x:f aca="0">FCCL!G130</x:f>
        <x:v>22.91</x:v>
      </x:c>
      <x:c r="Q1956" s="70" t="str">
        <x:f aca="0">IF(ABS(O1956-P1956)&lt;0.000001,"PASS","FAIL")</x:f>
        <x:v>PASS</x:v>
      </x:c>
      <x:c r="R1956" s="70" t="s">
        <x:v>27</x:v>
      </x:c>
      <x:c r="S1956" s="70" t="str">
        <x:v>Unadjusted traded close. No split factor applied to PSX price. Original report figure and date evidence preserved on PSX Prices / Price Evidence.</x:v>
      </x:c>
    </x:row>
    <x:row r="1957" ht="15" hidden="0">
      <x:c r="A1957" s="70" t="s">
        <x:v>3031</x:v>
      </x:c>
      <x:c r="B1957" s="70" t="s">
        <x:v>45</x:v>
      </x:c>
      <x:c r="C1957" s="70" t="s">
        <x:v>105</x:v>
      </x:c>
      <x:c r="D1957" s="70" t="str">
        <x:v>Actual FY-end closing price (Rs; unadjusted)</x:v>
      </x:c>
      <x:c r="E1957" s="70" t="s">
        <x:v>855</x:v>
      </x:c>
      <x:c r="F1957" s="70" t="str">
        <x:v>Official PSX historical CLOSE column</x:v>
      </x:c>
      <x:c r="G1957" s="70" t="str">
        <x:v>PSX historical response; hash and raw row on Price Evidence</x:v>
      </x:c>
      <x:c r="H1957" s="70" t="str">
        <x:v>https://dps.psx.com.pk/historical</x:v>
      </x:c>
      <x:c r="I1957" s="70" t="str">
        <x:v>POST date=2025-06-30</x:v>
      </x:c>
      <x:c r="J1957" s="70"/>
      <x:c r="K1957" s="70"/>
      <x:c r="L1957" s="70"/>
      <x:c r="M1957" s="70" t="s">
        <x:v>306</x:v>
      </x:c>
      <x:c r="N1957" s="70" t="n">
        <x:v>44.67</x:v>
      </x:c>
      <x:c r="O1957" s="70" t="n">
        <x:f aca="0">N1957</x:f>
        <x:v>44.67</x:v>
      </x:c>
      <x:c r="P1957" s="74" t="n">
        <x:f aca="0">FCCL!H130</x:f>
        <x:v>44.67</x:v>
      </x:c>
      <x:c r="Q1957" s="70" t="str">
        <x:f aca="0">IF(ABS(O1957-P1957)&lt;0.000001,"PASS","FAIL")</x:f>
        <x:v>PASS</x:v>
      </x:c>
      <x:c r="R1957" s="70" t="s">
        <x:v>27</x:v>
      </x:c>
      <x:c r="S1957" s="70" t="str">
        <x:v>Unadjusted traded close. No split factor applied to PSX price. Original report figure and date evidence preserved on PSX Prices / Price Evidence.</x:v>
      </x:c>
    </x:row>
    <x:row r="1958" ht="15" hidden="0">
      <x:c r="A1958" s="70" t="s">
        <x:v>3032</x:v>
      </x:c>
      <x:c r="B1958" s="70" t="s">
        <x:v>45</x:v>
      </x:c>
      <x:c r="C1958" s="70" t="s">
        <x:v>101</x:v>
      </x:c>
      <x:c r="D1958" s="70" t="s">
        <x:v>313</x:v>
      </x:c>
      <x:c r="E1958" s="70" t="s">
        <x:v>855</x:v>
      </x:c>
      <x:c r="F1958" s="70" t="s">
        <x:v>1278</x:v>
      </x:c>
      <x:c r="G1958" s="70" t="s">
        <x:v>2633</x:v>
      </x:c>
      <x:c r="H1958" s="70" t="s">
        <x:v>849</x:v>
      </x:c>
      <x:c r="I1958" s="70" t="s">
        <x:v>833</x:v>
      </x:c>
      <x:c r="J1958" s="70" t="n">
        <x:v>216</x:v>
      </x:c>
      <x:c r="K1958" s="70" t="s">
        <x:v>834</x:v>
      </x:c>
      <x:c r="L1958" s="70"/>
      <x:c r="M1958" s="70" t="s">
        <x:v>306</x:v>
      </x:c>
      <x:c r="N1958" s="70" t="n">
        <x:v>0</x:v>
      </x:c>
      <x:c r="O1958" s="70" t="n">
        <x:f aca="0">N1958</x:f>
        <x:v>0</x:v>
      </x:c>
      <x:c r="P1958" s="74" t="n">
        <x:f aca="0">FCCL!D131</x:f>
        <x:v>0</x:v>
      </x:c>
      <x:c r="Q1958" s="70" t="str">
        <x:f aca="0">IF(ABS(O1958-P1958)&lt;0.000001,"PASS","FAIL")</x:f>
        <x:v>PASS</x:v>
      </x:c>
      <x:c r="R1958" s="70" t="s">
        <x:v>27</x:v>
      </x:c>
      <x:c r="S1958" s="70" t="str">
        <x:v>Verified FY-end share basis; see Share Basis and Corporate Actions for source excerpts and normalization. Original source metadata superseded where the basis changed.</x:v>
      </x:c>
    </x:row>
    <x:row r="1959" ht="15" hidden="0">
      <x:c r="A1959" s="70" t="s">
        <x:v>3033</x:v>
      </x:c>
      <x:c r="B1959" s="70" t="s">
        <x:v>45</x:v>
      </x:c>
      <x:c r="C1959" s="70" t="s">
        <x:v>102</x:v>
      </x:c>
      <x:c r="D1959" s="70" t="s">
        <x:v>313</x:v>
      </x:c>
      <x:c r="E1959" s="70" t="s">
        <x:v>855</x:v>
      </x:c>
      <x:c r="F1959" s="70" t="s">
        <x:v>1278</x:v>
      </x:c>
      <x:c r="G1959" s="70" t="s">
        <x:v>2633</x:v>
      </x:c>
      <x:c r="H1959" s="70" t="s">
        <x:v>849</x:v>
      </x:c>
      <x:c r="I1959" s="70" t="s">
        <x:v>833</x:v>
      </x:c>
      <x:c r="J1959" s="70" t="n">
        <x:v>216</x:v>
      </x:c>
      <x:c r="K1959" s="70" t="s">
        <x:v>834</x:v>
      </x:c>
      <x:c r="L1959" s="70"/>
      <x:c r="M1959" s="70" t="s">
        <x:v>306</x:v>
      </x:c>
      <x:c r="N1959" s="70" t="n">
        <x:v>0</x:v>
      </x:c>
      <x:c r="O1959" s="70" t="n">
        <x:f aca="0">N1959</x:f>
        <x:v>0</x:v>
      </x:c>
      <x:c r="P1959" s="74" t="n">
        <x:f aca="0">FCCL!E131</x:f>
        <x:v>0</x:v>
      </x:c>
      <x:c r="Q1959" s="70" t="str">
        <x:f aca="0">IF(ABS(O1959-P1959)&lt;0.000001,"PASS","FAIL")</x:f>
        <x:v>PASS</x:v>
      </x:c>
      <x:c r="R1959" s="70" t="s">
        <x:v>27</x:v>
      </x:c>
      <x:c r="S1959" s="70" t="str">
        <x:v>Verified FY-end share basis; see Share Basis and Corporate Actions for source excerpts and normalization. Original source metadata superseded where the basis changed.</x:v>
      </x:c>
    </x:row>
    <x:row r="1960" ht="15" hidden="0">
      <x:c r="A1960" s="70" t="s">
        <x:v>3034</x:v>
      </x:c>
      <x:c r="B1960" s="70" t="s">
        <x:v>45</x:v>
      </x:c>
      <x:c r="C1960" s="70" t="s">
        <x:v>103</x:v>
      </x:c>
      <x:c r="D1960" s="70" t="s">
        <x:v>313</x:v>
      </x:c>
      <x:c r="E1960" s="70" t="s">
        <x:v>855</x:v>
      </x:c>
      <x:c r="F1960" s="70" t="s">
        <x:v>1278</x:v>
      </x:c>
      <x:c r="G1960" s="70" t="s">
        <x:v>2633</x:v>
      </x:c>
      <x:c r="H1960" s="70" t="s">
        <x:v>849</x:v>
      </x:c>
      <x:c r="I1960" s="70" t="s">
        <x:v>833</x:v>
      </x:c>
      <x:c r="J1960" s="70" t="n">
        <x:v>216</x:v>
      </x:c>
      <x:c r="K1960" s="70" t="s">
        <x:v>834</x:v>
      </x:c>
      <x:c r="L1960" s="70"/>
      <x:c r="M1960" s="70" t="s">
        <x:v>306</x:v>
      </x:c>
      <x:c r="N1960" s="70" t="n">
        <x:v>0</x:v>
      </x:c>
      <x:c r="O1960" s="70" t="n">
        <x:f aca="0">N1960</x:f>
        <x:v>0</x:v>
      </x:c>
      <x:c r="P1960" s="74" t="n">
        <x:f aca="0">FCCL!F131</x:f>
        <x:v>0</x:v>
      </x:c>
      <x:c r="Q1960" s="70" t="str">
        <x:f aca="0">IF(ABS(O1960-P1960)&lt;0.000001,"PASS","FAIL")</x:f>
        <x:v>PASS</x:v>
      </x:c>
      <x:c r="R1960" s="70" t="s">
        <x:v>27</x:v>
      </x:c>
      <x:c r="S1960" s="70" t="str">
        <x:v>Verified FY-end share basis; see Share Basis and Corporate Actions for source excerpts and normalization. Original source metadata superseded where the basis changed.</x:v>
      </x:c>
    </x:row>
    <x:row r="1961" ht="15" hidden="0">
      <x:c r="A1961" s="70" t="s">
        <x:v>3035</x:v>
      </x:c>
      <x:c r="B1961" s="70" t="s">
        <x:v>45</x:v>
      </x:c>
      <x:c r="C1961" s="70" t="s">
        <x:v>104</x:v>
      </x:c>
      <x:c r="D1961" s="70" t="s">
        <x:v>313</x:v>
      </x:c>
      <x:c r="E1961" s="70" t="s">
        <x:v>855</x:v>
      </x:c>
      <x:c r="F1961" s="70" t="s">
        <x:v>1278</x:v>
      </x:c>
      <x:c r="G1961" s="70" t="s">
        <x:v>2633</x:v>
      </x:c>
      <x:c r="H1961" s="70" t="s">
        <x:v>849</x:v>
      </x:c>
      <x:c r="I1961" s="70" t="s">
        <x:v>833</x:v>
      </x:c>
      <x:c r="J1961" s="70" t="n">
        <x:v>216</x:v>
      </x:c>
      <x:c r="K1961" s="70" t="s">
        <x:v>834</x:v>
      </x:c>
      <x:c r="L1961" s="70"/>
      <x:c r="M1961" s="70" t="s">
        <x:v>306</x:v>
      </x:c>
      <x:c r="N1961" s="70" t="n">
        <x:v>1</x:v>
      </x:c>
      <x:c r="O1961" s="70" t="n">
        <x:f aca="0">N1961</x:f>
        <x:v>1</x:v>
      </x:c>
      <x:c r="P1961" s="74" t="n">
        <x:f aca="0">FCCL!G131</x:f>
        <x:v>1</x:v>
      </x:c>
      <x:c r="Q1961" s="70" t="str">
        <x:f aca="0">IF(ABS(O1961-P1961)&lt;0.000001,"PASS","FAIL")</x:f>
        <x:v>PASS</x:v>
      </x:c>
      <x:c r="R1961" s="70" t="s">
        <x:v>27</x:v>
      </x:c>
      <x:c r="S1961" s="70" t="str">
        <x:v>Verified FY-end share basis; see Share Basis and Corporate Actions for source excerpts and normalization. Original source metadata superseded where the basis changed.</x:v>
      </x:c>
    </x:row>
    <x:row r="1962" ht="15" hidden="0">
      <x:c r="A1962" s="70" t="s">
        <x:v>3036</x:v>
      </x:c>
      <x:c r="B1962" s="70" t="s">
        <x:v>45</x:v>
      </x:c>
      <x:c r="C1962" s="70" t="s">
        <x:v>105</x:v>
      </x:c>
      <x:c r="D1962" s="70" t="s">
        <x:v>313</x:v>
      </x:c>
      <x:c r="E1962" s="70" t="s">
        <x:v>855</x:v>
      </x:c>
      <x:c r="F1962" s="70" t="s">
        <x:v>1278</x:v>
      </x:c>
      <x:c r="G1962" s="70" t="s">
        <x:v>2633</x:v>
      </x:c>
      <x:c r="H1962" s="70" t="s">
        <x:v>849</x:v>
      </x:c>
      <x:c r="I1962" s="70" t="s">
        <x:v>852</x:v>
      </x:c>
      <x:c r="J1962" s="70" t="n">
        <x:v>216</x:v>
      </x:c>
      <x:c r="K1962" s="70" t="s">
        <x:v>834</x:v>
      </x:c>
      <x:c r="L1962" s="70"/>
      <x:c r="M1962" s="70" t="s">
        <x:v>306</x:v>
      </x:c>
      <x:c r="N1962" s="70" t="n">
        <x:v>1.25</x:v>
      </x:c>
      <x:c r="O1962" s="70" t="n">
        <x:f aca="0">N1962</x:f>
        <x:v>1.25</x:v>
      </x:c>
      <x:c r="P1962" s="74" t="n">
        <x:f aca="0">FCCL!H131</x:f>
        <x:v>1.25</x:v>
      </x:c>
      <x:c r="Q1962" s="70" t="str">
        <x:f aca="0">IF(ABS(O1962-P1962)&lt;0.000001,"PASS","FAIL")</x:f>
        <x:v>PASS</x:v>
      </x:c>
      <x:c r="R1962" s="70" t="s">
        <x:v>27</x:v>
      </x:c>
      <x:c r="S1962" s="70" t="str">
        <x:v>Verified FY-end share basis; see Share Basis and Corporate Actions for source excerpts and normalization. Original source metadata superseded where the basis changed.</x:v>
      </x:c>
    </x:row>
    <x:row r="1963" ht="15" hidden="0">
      <x:c r="A1963" s="70" t="s">
        <x:v>3037</x:v>
      </x:c>
      <x:c r="B1963" s="70" t="s">
        <x:v>45</x:v>
      </x:c>
      <x:c r="C1963" s="70" t="s">
        <x:v>101</x:v>
      </x:c>
      <x:c r="D1963" s="70" t="s">
        <x:v>1284</x:v>
      </x:c>
      <x:c r="E1963" s="70" t="s">
        <x:v>1106</x:v>
      </x:c>
      <x:c r="F1963" s="70" t="s">
        <x:v>1285</x:v>
      </x:c>
      <x:c r="G1963" s="70" t="str">
        <x:v>FCCL-Annual-Report-2021.pdf</x:v>
      </x:c>
      <x:c r="H1963" s="70" t="s">
        <x:v>832</x:v>
      </x:c>
      <x:c r="I1963" s="70" t="s">
        <x:v>852</x:v>
      </x:c>
      <x:c r="J1963" s="70" t="n">
        <x:v>201</x:v>
      </x:c>
      <x:c r="K1963" s="70" t="s">
        <x:v>1726</x:v>
      </x:c>
      <x:c r="L1963" s="70"/>
      <x:c r="M1963" s="70" t="s">
        <x:v>306</x:v>
      </x:c>
      <x:c r="N1963" s="70" t="n">
        <x:v>2.52</x:v>
      </x:c>
      <x:c r="O1963" s="70" t="n">
        <x:f aca="0">N1963</x:f>
        <x:v>2.52</x:v>
      </x:c>
      <x:c r="P1963" s="74" t="n">
        <x:f aca="0">FCCL!D132</x:f>
        <x:v>2.52</x:v>
      </x:c>
      <x:c r="Q1963" s="70" t="str">
        <x:f aca="0">IF(ABS(O1963-P1963)&lt;0.000001,"PASS","FAIL")</x:f>
        <x:v>PASS</x:v>
      </x:c>
      <x:c r="R1963" s="70" t="s">
        <x:v>27</x:v>
      </x:c>
      <x:c r="S1963" s="70" t="str">
        <x:v>Verified FY-end share basis; see Share Basis and Corporate Actions for source excerpts and normalization. Original source metadata superseded where the basis changed.</x:v>
      </x:c>
    </x:row>
    <x:row r="1964" ht="15" hidden="0">
      <x:c r="A1964" s="70" t="s">
        <x:v>3038</x:v>
      </x:c>
      <x:c r="B1964" s="70" t="s">
        <x:v>45</x:v>
      </x:c>
      <x:c r="C1964" s="70" t="s">
        <x:v>102</x:v>
      </x:c>
      <x:c r="D1964" s="70" t="s">
        <x:v>1284</x:v>
      </x:c>
      <x:c r="E1964" s="70" t="s">
        <x:v>1106</x:v>
      </x:c>
      <x:c r="F1964" s="70" t="s">
        <x:v>1285</x:v>
      </x:c>
      <x:c r="G1964" s="70" t="str">
        <x:v>FCCL-Annual-Report-2022.pdf</x:v>
      </x:c>
      <x:c r="H1964" s="70" t="s">
        <x:v>838</x:v>
      </x:c>
      <x:c r="I1964" s="70" t="s">
        <x:v>852</x:v>
      </x:c>
      <x:c r="J1964" s="70" t="n">
        <x:v>230</x:v>
      </x:c>
      <x:c r="K1964" s="70" t="s">
        <x:v>1763</x:v>
      </x:c>
      <x:c r="L1964" s="70"/>
      <x:c r="M1964" s="70" t="s">
        <x:v>306</x:v>
      </x:c>
      <x:c r="N1964" s="70" t="n">
        <x:v>3.26</x:v>
      </x:c>
      <x:c r="O1964" s="70" t="n">
        <x:f aca="0">N1964</x:f>
        <x:v>3.26</x:v>
      </x:c>
      <x:c r="P1964" s="74" t="n">
        <x:f aca="0">FCCL!E132</x:f>
        <x:v>3.26</x:v>
      </x:c>
      <x:c r="Q1964" s="70" t="str">
        <x:f aca="0">IF(ABS(O1964-P1964)&lt;0.000001,"PASS","FAIL")</x:f>
        <x:v>PASS</x:v>
      </x:c>
      <x:c r="R1964" s="70" t="s">
        <x:v>27</x:v>
      </x:c>
      <x:c r="S1964" s="70" t="str">
        <x:v>Verified FY-end share basis; see Share Basis and Corporate Actions for source excerpts and normalization. Original source metadata superseded where the basis changed.</x:v>
      </x:c>
    </x:row>
    <x:row r="1965" ht="15" hidden="0">
      <x:c r="A1965" s="70" t="s">
        <x:v>3039</x:v>
      </x:c>
      <x:c r="B1965" s="70" t="s">
        <x:v>45</x:v>
      </x:c>
      <x:c r="C1965" s="70" t="s">
        <x:v>103</x:v>
      </x:c>
      <x:c r="D1965" s="70" t="s">
        <x:v>1284</x:v>
      </x:c>
      <x:c r="E1965" s="70" t="s">
        <x:v>1106</x:v>
      </x:c>
      <x:c r="F1965" s="70" t="s">
        <x:v>1285</x:v>
      </x:c>
      <x:c r="G1965" s="70" t="str">
        <x:v>FCCL-Annual-Report-2023.pdf</x:v>
      </x:c>
      <x:c r="H1965" s="70" t="s">
        <x:v>842</x:v>
      </x:c>
      <x:c r="I1965" s="70" t="s">
        <x:v>852</x:v>
      </x:c>
      <x:c r="J1965" s="70" t="n">
        <x:v>251</x:v>
      </x:c>
      <x:c r="K1965" s="70" t="s">
        <x:v>2095</x:v>
      </x:c>
      <x:c r="L1965" s="70"/>
      <x:c r="M1965" s="70" t="s">
        <x:v>306</x:v>
      </x:c>
      <x:c r="N1965" s="70" t="n">
        <x:v>3.16</x:v>
      </x:c>
      <x:c r="O1965" s="70" t="n">
        <x:f aca="0">N1965</x:f>
        <x:v>3.16</x:v>
      </x:c>
      <x:c r="P1965" s="74" t="n">
        <x:f aca="0">FCCL!F132</x:f>
        <x:v>3.16</x:v>
      </x:c>
      <x:c r="Q1965" s="70" t="str">
        <x:f aca="0">IF(ABS(O1965-P1965)&lt;0.000001,"PASS","FAIL")</x:f>
        <x:v>PASS</x:v>
      </x:c>
      <x:c r="R1965" s="70" t="s">
        <x:v>27</x:v>
      </x:c>
      <x:c r="S1965" s="70" t="str">
        <x:v>Verified FY-end share basis; see Share Basis and Corporate Actions for source excerpts and normalization. Original source metadata superseded where the basis changed.</x:v>
      </x:c>
    </x:row>
    <x:row r="1966" ht="15" hidden="0">
      <x:c r="A1966" s="70" t="s">
        <x:v>3040</x:v>
      </x:c>
      <x:c r="B1966" s="70" t="s">
        <x:v>45</x:v>
      </x:c>
      <x:c r="C1966" s="70" t="s">
        <x:v>104</x:v>
      </x:c>
      <x:c r="D1966" s="70" t="s">
        <x:v>1284</x:v>
      </x:c>
      <x:c r="E1966" s="70" t="s">
        <x:v>1106</x:v>
      </x:c>
      <x:c r="F1966" s="70" t="s">
        <x:v>1285</x:v>
      </x:c>
      <x:c r="G1966" s="70" t="str">
        <x:v>FCCL-Annual-Report-2024.pdf</x:v>
      </x:c>
      <x:c r="H1966" s="70" t="s">
        <x:v>845</x:v>
      </x:c>
      <x:c r="I1966" s="70" t="s">
        <x:v>852</x:v>
      </x:c>
      <x:c r="J1966" s="70" t="n">
        <x:v>230</x:v>
      </x:c>
      <x:c r="K1966" s="70" t="s">
        <x:v>2447</x:v>
      </x:c>
      <x:c r="L1966" s="70"/>
      <x:c r="M1966" s="70" t="s">
        <x:v>306</x:v>
      </x:c>
      <x:c r="N1966" s="70" t="n">
        <x:v>3.35</x:v>
      </x:c>
      <x:c r="O1966" s="70" t="n">
        <x:f aca="0">N1966</x:f>
        <x:v>3.35</x:v>
      </x:c>
      <x:c r="P1966" s="74" t="n">
        <x:f aca="0">FCCL!G132</x:f>
        <x:v>3.35</x:v>
      </x:c>
      <x:c r="Q1966" s="70" t="str">
        <x:f aca="0">IF(ABS(O1966-P1966)&lt;0.000001,"PASS","FAIL")</x:f>
        <x:v>PASS</x:v>
      </x:c>
      <x:c r="R1966" s="70" t="s">
        <x:v>27</x:v>
      </x:c>
      <x:c r="S1966" s="70" t="str">
        <x:v>Verified FY-end share basis; see Share Basis and Corporate Actions for source excerpts and normalization. Original source metadata superseded where the basis changed.</x:v>
      </x:c>
    </x:row>
    <x:row r="1967" ht="15" hidden="0">
      <x:c r="A1967" s="70" t="s">
        <x:v>3041</x:v>
      </x:c>
      <x:c r="B1967" s="70" t="s">
        <x:v>45</x:v>
      </x:c>
      <x:c r="C1967" s="70" t="s">
        <x:v>105</x:v>
      </x:c>
      <x:c r="D1967" s="70" t="s">
        <x:v>1284</x:v>
      </x:c>
      <x:c r="E1967" s="70" t="s">
        <x:v>1106</x:v>
      </x:c>
      <x:c r="F1967" s="70" t="s">
        <x:v>1285</x:v>
      </x:c>
      <x:c r="G1967" s="70" t="str">
        <x:v>FCCL-Annual-Report-2025.pdf</x:v>
      </x:c>
      <x:c r="H1967" s="70" t="s">
        <x:v>849</x:v>
      </x:c>
      <x:c r="I1967" s="70" t="s">
        <x:v>852</x:v>
      </x:c>
      <x:c r="J1967" s="70" t="n">
        <x:v>285</x:v>
      </x:c>
      <x:c r="K1967" s="70" t="s">
        <x:v>834</x:v>
      </x:c>
      <x:c r="L1967" s="70"/>
      <x:c r="M1967" s="70" t="s">
        <x:v>306</x:v>
      </x:c>
      <x:c r="N1967" s="70" t="n">
        <x:v>5.43</x:v>
      </x:c>
      <x:c r="O1967" s="70" t="n">
        <x:f aca="0">N1967</x:f>
        <x:v>5.43</x:v>
      </x:c>
      <x:c r="P1967" s="74" t="n">
        <x:f aca="0">FCCL!H132</x:f>
        <x:v>5.43</x:v>
      </x:c>
      <x:c r="Q1967" s="70" t="str">
        <x:f aca="0">IF(ABS(O1967-P1967)&lt;0.000001,"PASS","FAIL")</x:f>
        <x:v>PASS</x:v>
      </x:c>
      <x:c r="R1967" s="70" t="s">
        <x:v>27</x:v>
      </x:c>
      <x:c r="S1967" s="70" t="str">
        <x:v>Verified FY-end share basis; see Share Basis and Corporate Actions for source excerpts and normalization. Original source metadata superseded where the basis changed.</x:v>
      </x:c>
    </x:row>
    <x:row r="1968" ht="15" hidden="0">
      <x:c r="A1968" s="70" t="s">
        <x:v>3042</x:v>
      </x:c>
      <x:c r="B1968" s="70" t="s">
        <x:v>45</x:v>
      </x:c>
      <x:c r="C1968" s="70" t="s">
        <x:v>101</x:v>
      </x:c>
      <x:c r="D1968" s="70" t="s">
        <x:v>1291</x:v>
      </x:c>
      <x:c r="E1968" s="70" t="s">
        <x:v>855</x:v>
      </x:c>
      <x:c r="F1968" s="70" t="s">
        <x:v>1292</x:v>
      </x:c>
      <x:c r="G1968" s="70" t="s">
        <x:v>2633</x:v>
      </x:c>
      <x:c r="H1968" s="70" t="s">
        <x:v>849</x:v>
      </x:c>
      <x:c r="I1968" s="70" t="s">
        <x:v>833</x:v>
      </x:c>
      <x:c r="J1968" s="70" t="n">
        <x:v>216</x:v>
      </x:c>
      <x:c r="K1968" s="70" t="s">
        <x:v>834</x:v>
      </x:c>
      <x:c r="L1968" s="70"/>
      <x:c r="M1968" s="70" t="s">
        <x:v>319</x:v>
      </x:c>
      <x:c r="N1968" s="70" t="n">
        <x:v>1</x:v>
      </x:c>
      <x:c r="O1968" s="70" t="n">
        <x:f aca="0">N1968</x:f>
        <x:v>1</x:v>
      </x:c>
      <x:c r="P1968" s="74" t="n">
        <x:f aca="0">FCCL!D134</x:f>
        <x:v>1</x:v>
      </x:c>
      <x:c r="Q1968" s="70" t="str">
        <x:f aca="0">IF(ABS(O1968-P1968)&lt;0.000001,"PASS","FAIL")</x:f>
        <x:v>PASS</x:v>
      </x:c>
      <x:c r="R1968" s="70" t="s">
        <x:v>27</x:v>
      </x:c>
      <x:c r="S1968" s="70" t="str">
        <x:v>Verified FY-end share basis; see Share Basis and Corporate Actions for source excerpts and normalization. Original source metadata superseded where the basis changed.</x:v>
      </x:c>
    </x:row>
    <x:row r="1969" ht="15" hidden="0">
      <x:c r="A1969" s="70" t="s">
        <x:v>3043</x:v>
      </x:c>
      <x:c r="B1969" s="70" t="s">
        <x:v>45</x:v>
      </x:c>
      <x:c r="C1969" s="70" t="s">
        <x:v>102</x:v>
      </x:c>
      <x:c r="D1969" s="70" t="s">
        <x:v>1291</x:v>
      </x:c>
      <x:c r="E1969" s="70" t="s">
        <x:v>855</x:v>
      </x:c>
      <x:c r="F1969" s="70" t="s">
        <x:v>1292</x:v>
      </x:c>
      <x:c r="G1969" s="70" t="s">
        <x:v>2633</x:v>
      </x:c>
      <x:c r="H1969" s="70" t="s">
        <x:v>849</x:v>
      </x:c>
      <x:c r="I1969" s="70" t="s">
        <x:v>833</x:v>
      </x:c>
      <x:c r="J1969" s="70" t="n">
        <x:v>216</x:v>
      </x:c>
      <x:c r="K1969" s="70" t="s">
        <x:v>834</x:v>
      </x:c>
      <x:c r="L1969" s="70"/>
      <x:c r="M1969" s="70" t="s">
        <x:v>319</x:v>
      </x:c>
      <x:c r="N1969" s="70" t="n">
        <x:v>1</x:v>
      </x:c>
      <x:c r="O1969" s="70" t="n">
        <x:f aca="0">N1969</x:f>
        <x:v>1</x:v>
      </x:c>
      <x:c r="P1969" s="74" t="n">
        <x:f aca="0">FCCL!E134</x:f>
        <x:v>1</x:v>
      </x:c>
      <x:c r="Q1969" s="70" t="str">
        <x:f aca="0">IF(ABS(O1969-P1969)&lt;0.000001,"PASS","FAIL")</x:f>
        <x:v>PASS</x:v>
      </x:c>
      <x:c r="R1969" s="70" t="s">
        <x:v>27</x:v>
      </x:c>
      <x:c r="S1969" s="70" t="str">
        <x:v>Verified FY-end share basis; see Share Basis and Corporate Actions for source excerpts and normalization. Original source metadata superseded where the basis changed.</x:v>
      </x:c>
    </x:row>
    <x:row r="1970" ht="15" hidden="0">
      <x:c r="A1970" s="70" t="s">
        <x:v>3044</x:v>
      </x:c>
      <x:c r="B1970" s="70" t="s">
        <x:v>45</x:v>
      </x:c>
      <x:c r="C1970" s="70" t="s">
        <x:v>103</x:v>
      </x:c>
      <x:c r="D1970" s="70" t="s">
        <x:v>1291</x:v>
      </x:c>
      <x:c r="E1970" s="70" t="s">
        <x:v>855</x:v>
      </x:c>
      <x:c r="F1970" s="70" t="s">
        <x:v>1292</x:v>
      </x:c>
      <x:c r="G1970" s="70" t="s">
        <x:v>2633</x:v>
      </x:c>
      <x:c r="H1970" s="70" t="s">
        <x:v>849</x:v>
      </x:c>
      <x:c r="I1970" s="70" t="s">
        <x:v>833</x:v>
      </x:c>
      <x:c r="J1970" s="70" t="n">
        <x:v>216</x:v>
      </x:c>
      <x:c r="K1970" s="70" t="s">
        <x:v>834</x:v>
      </x:c>
      <x:c r="L1970" s="70"/>
      <x:c r="M1970" s="70" t="s">
        <x:v>319</x:v>
      </x:c>
      <x:c r="N1970" s="70" t="n">
        <x:v>1</x:v>
      </x:c>
      <x:c r="O1970" s="70" t="n">
        <x:f aca="0">N1970</x:f>
        <x:v>1</x:v>
      </x:c>
      <x:c r="P1970" s="74" t="n">
        <x:f aca="0">FCCL!F134</x:f>
        <x:v>1</x:v>
      </x:c>
      <x:c r="Q1970" s="70" t="str">
        <x:f aca="0">IF(ABS(O1970-P1970)&lt;0.000001,"PASS","FAIL")</x:f>
        <x:v>PASS</x:v>
      </x:c>
      <x:c r="R1970" s="70" t="s">
        <x:v>27</x:v>
      </x:c>
      <x:c r="S1970" s="70" t="str">
        <x:v>Verified FY-end share basis; see Share Basis and Corporate Actions for source excerpts and normalization. Original source metadata superseded where the basis changed.</x:v>
      </x:c>
    </x:row>
    <x:row r="1971" ht="15" hidden="0">
      <x:c r="A1971" s="70" t="s">
        <x:v>3045</x:v>
      </x:c>
      <x:c r="B1971" s="70" t="s">
        <x:v>45</x:v>
      </x:c>
      <x:c r="C1971" s="70" t="s">
        <x:v>104</x:v>
      </x:c>
      <x:c r="D1971" s="70" t="s">
        <x:v>1291</x:v>
      </x:c>
      <x:c r="E1971" s="70" t="s">
        <x:v>855</x:v>
      </x:c>
      <x:c r="F1971" s="70" t="s">
        <x:v>1292</x:v>
      </x:c>
      <x:c r="G1971" s="70" t="s">
        <x:v>2633</x:v>
      </x:c>
      <x:c r="H1971" s="70" t="s">
        <x:v>849</x:v>
      </x:c>
      <x:c r="I1971" s="70" t="s">
        <x:v>833</x:v>
      </x:c>
      <x:c r="J1971" s="70" t="n">
        <x:v>216</x:v>
      </x:c>
      <x:c r="K1971" s="70" t="s">
        <x:v>834</x:v>
      </x:c>
      <x:c r="L1971" s="70"/>
      <x:c r="M1971" s="70" t="s">
        <x:v>319</x:v>
      </x:c>
      <x:c r="N1971" s="70" t="n">
        <x:v>1</x:v>
      </x:c>
      <x:c r="O1971" s="70" t="n">
        <x:f aca="0">N1971</x:f>
        <x:v>1</x:v>
      </x:c>
      <x:c r="P1971" s="74" t="n">
        <x:f aca="0">FCCL!G134</x:f>
        <x:v>1</x:v>
      </x:c>
      <x:c r="Q1971" s="70" t="str">
        <x:f aca="0">IF(ABS(O1971-P1971)&lt;0.000001,"PASS","FAIL")</x:f>
        <x:v>PASS</x:v>
      </x:c>
      <x:c r="R1971" s="70" t="s">
        <x:v>27</x:v>
      </x:c>
      <x:c r="S1971" s="70" t="str">
        <x:v>Verified FY-end share basis; see Share Basis and Corporate Actions for source excerpts and normalization. Original source metadata superseded where the basis changed.</x:v>
      </x:c>
    </x:row>
    <x:row r="1972" ht="15" hidden="0">
      <x:c r="A1972" s="70" t="s">
        <x:v>3046</x:v>
      </x:c>
      <x:c r="B1972" s="70" t="s">
        <x:v>45</x:v>
      </x:c>
      <x:c r="C1972" s="70" t="s">
        <x:v>105</x:v>
      </x:c>
      <x:c r="D1972" s="70" t="s">
        <x:v>1291</x:v>
      </x:c>
      <x:c r="E1972" s="70" t="s">
        <x:v>855</x:v>
      </x:c>
      <x:c r="F1972" s="70" t="s">
        <x:v>1292</x:v>
      </x:c>
      <x:c r="G1972" s="70" t="s">
        <x:v>2633</x:v>
      </x:c>
      <x:c r="H1972" s="70" t="s">
        <x:v>849</x:v>
      </x:c>
      <x:c r="I1972" s="70" t="s">
        <x:v>852</x:v>
      </x:c>
      <x:c r="J1972" s="70" t="n">
        <x:v>216</x:v>
      </x:c>
      <x:c r="K1972" s="70" t="s">
        <x:v>834</x:v>
      </x:c>
      <x:c r="L1972" s="70"/>
      <x:c r="M1972" s="70" t="s">
        <x:v>319</x:v>
      </x:c>
      <x:c r="N1972" s="70" t="n">
        <x:v>1</x:v>
      </x:c>
      <x:c r="O1972" s="70" t="n">
        <x:f aca="0">N1972</x:f>
        <x:v>1</x:v>
      </x:c>
      <x:c r="P1972" s="74" t="n">
        <x:f aca="0">FCCL!H134</x:f>
        <x:v>1</x:v>
      </x:c>
      <x:c r="Q1972" s="70" t="str">
        <x:f aca="0">IF(ABS(O1972-P1972)&lt;0.000001,"PASS","FAIL")</x:f>
        <x:v>PASS</x:v>
      </x:c>
      <x:c r="R1972" s="70" t="s">
        <x:v>27</x:v>
      </x:c>
      <x:c r="S1972" s="70" t="str">
        <x:v>Verified FY-end share basis; see Share Basis and Corporate Actions for source excerpts and normalization. Original source metadata superseded where the basis changed.</x:v>
      </x:c>
    </x:row>
  </x:sheetData>
  <x:mergeCells>
    <x:mergeCell ref="D57:I57"/>
    <x:mergeCell ref="D58:I58"/>
    <x:mergeCell ref="D59:I59"/>
    <x:mergeCell ref="D60:I60"/>
    <x:mergeCell ref="D61:I61"/>
    <x:mergeCell ref="D62:I62"/>
    <x:mergeCell ref="D63:I63"/>
    <x:mergeCell ref="D64:I64"/>
    <x:mergeCell ref="D65:I65"/>
    <x:mergeCell ref="D66:I66"/>
    <x:mergeCell ref="D67:I67"/>
    <x:mergeCell ref="D68:I68"/>
    <x:mergeCell ref="D69:I69"/>
    <x:mergeCell ref="D70:I70"/>
    <x:mergeCell ref="C71:H71"/>
  </x:mergeCells>
  <x:pageMargins left="0.7" right="0.7" top="0.75" bottom="0.75" header="0.3" footer="0.3"/>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1" hidden="0" customWidth="1"/>
    <x:col min="11" max="11" width="56" hidden="0" customWidth="1"/>
    <x:col min="12" max="12" width="17" hidden="0" customWidth="1"/>
    <x:col min="13" max="13" width="17" hidden="0" customWidth="1"/>
    <x:col min="14" max="14" width="17" hidden="0" customWidth="1"/>
    <x:col min="15" max="15" width="17" hidden="0" customWidth="1"/>
  </x:cols>
  <x:sheetData>
    <x:row r="1" ht="24" customHeight="1">
      <x:c r="A1" s="76"/>
      <x:c r="B1" s="76"/>
      <x:c r="C1" s="76"/>
      <x:c r="D1" s="76"/>
      <x:c r="E1" s="76"/>
      <x:c r="F1" s="76"/>
      <x:c r="G1" s="76"/>
      <x:c r="H1" s="76"/>
      <x:c r="I1" s="76"/>
      <x:c r="J1" s="76"/>
      <x:c r="K1" s="76"/>
      <x:c r="L1" s="76"/>
      <x:c r="M1" s="76"/>
      <x:c r="N1" s="76"/>
      <x:c r="O1" s="76"/>
    </x:row>
    <x:row r="2" ht="24" customHeight="1">
      <x:c r="A2" s="77" t="str">
        <x:v>Verified FY-end PSX closing prices</x:v>
      </x:c>
      <x:c r="B2" s="76"/>
      <x:c r="C2" s="76"/>
      <x:c r="D2" s="76"/>
      <x:c r="E2" s="76"/>
      <x:c r="F2" s="76"/>
      <x:c r="G2" s="76"/>
      <x:c r="H2" s="76"/>
      <x:c r="I2" s="76"/>
      <x:c r="J2" s="76"/>
      <x:c r="K2" s="76"/>
      <x:c r="L2" s="76"/>
      <x:c r="M2" s="76"/>
      <x:c r="N2" s="76"/>
      <x:c r="O2" s="76"/>
    </x:row>
    <x:row r="3" ht="24" customHeight="1">
      <x:c r="A3" s="78" t="str">
        <x:v>25 unadjusted CLOSE observations. Report conversion is a cross-check only. The PSX price in column E is the market input. All dates are on or before 30 June.</x:v>
      </x:c>
      <x:c r="B3" s="76"/>
      <x:c r="C3" s="76"/>
      <x:c r="D3" s="76"/>
      <x:c r="E3" s="76"/>
      <x:c r="F3" s="76"/>
      <x:c r="G3" s="76"/>
      <x:c r="H3" s="76"/>
      <x:c r="I3" s="76"/>
      <x:c r="J3" s="76"/>
      <x:c r="K3" s="76"/>
      <x:c r="L3" s="76"/>
      <x:c r="M3" s="76"/>
      <x:c r="N3" s="76"/>
      <x:c r="O3" s="76"/>
    </x:row>
    <x:row r="4" ht="24" customHeight="1">
      <x:c r="A4" s="76"/>
      <x:c r="B4" s="76"/>
      <x:c r="C4" s="76"/>
      <x:c r="D4" s="76"/>
      <x:c r="E4" s="76"/>
      <x:c r="F4" s="76"/>
      <x:c r="G4" s="76"/>
      <x:c r="H4" s="76"/>
      <x:c r="I4" s="76"/>
      <x:c r="J4" s="76"/>
      <x:c r="K4" s="76"/>
      <x:c r="L4" s="76"/>
      <x:c r="M4" s="76"/>
      <x:c r="N4" s="76"/>
      <x:c r="O4" s="76"/>
    </x:row>
    <x:row r="5" ht="44" customHeight="1">
      <x:c r="A5" s="82" t="str">
        <x:v>Company</x:v>
      </x:c>
      <x:c r="B5" s="82" t="str">
        <x:v>FY</x:v>
      </x:c>
      <x:c r="C5" s="82" t="str">
        <x:v>FY-end</x:v>
      </x:c>
      <x:c r="D5" s="82" t="str">
        <x:v>Trading date</x:v>
      </x:c>
      <x:c r="E5" s="82" t="str">
        <x:v>PSX close (Rs)</x:v>
      </x:c>
      <x:c r="F5" s="82" t="str">
        <x:v>Report price (Rs)</x:v>
      </x:c>
      <x:c r="G5" s="82" t="str">
        <x:v>Report-to-date factor</x:v>
      </x:c>
      <x:c r="H5" s="82" t="str">
        <x:v>Report on date basis (Rs)</x:v>
      </x:c>
      <x:c r="I5" s="82" t="str">
        <x:v>PSX less report (Rs)</x:v>
      </x:c>
      <x:c r="J5" s="82" t="str">
        <x:v>Cross-check</x:v>
      </x:c>
      <x:c r="K5" s="82" t="str">
        <x:v>Session selection</x:v>
      </x:c>
      <x:c r="L5" s="82" t="str">
        <x:v>Report EPS (Rs)</x:v>
      </x:c>
      <x:c r="M5" s="82" t="str">
        <x:v>Report BVPS (Rs)</x:v>
      </x:c>
      <x:c r="N5" s="82" t="str">
        <x:v>Report DPS (Rs)</x:v>
      </x:c>
      <x:c r="O5" s="82" t="str">
        <x:v>Report WAVG (m)</x:v>
      </x:c>
    </x:row>
    <x:row r="6" ht="54" customHeight="1">
      <x:c r="A6" s="84" t="str">
        <x:v>KOHC</x:v>
      </x:c>
      <x:c r="B6" s="85" t="n">
        <x:v>2021</x:v>
      </x:c>
      <x:c r="C6" s="86" t="d">
        <x:v>2021-06-30T00:00:00.000Z</x:v>
      </x:c>
      <x:c r="D6" s="86" t="d">
        <x:v>2021-06-30T00:00:00.000Z</x:v>
      </x:c>
      <x:c r="E6" s="90" t="n">
        <x:v>206.49</x:v>
      </x:c>
      <x:c r="F6" s="90" t="n">
        <x:v>41.3</x:v>
      </x:c>
      <x:c r="G6" s="91" t="n">
        <x:v>5</x:v>
      </x:c>
      <x:c r="H6" s="88" t="n">
        <x:f>F6*G6</x:f>
        <x:v>206.5</x:v>
      </x:c>
      <x:c r="I6" s="88" t="n">
        <x:f>E6-H6</x:f>
        <x:v>-0.009999999999990905</x:v>
      </x:c>
      <x:c r="J6" s="98" t="str">
        <x:f>IF(ABS(I6)&lt;=G6*0.005+0.000001,"Agrees within report rounding","PSX / report discrepancy")</x:f>
        <x:v>Agrees within report rounding</x:v>
      </x:c>
      <x:c r="K6" s="98" t="str">
        <x:v>30 June trading session</x:v>
      </x:c>
      <x:c r="L6" s="96" t="n">
        <x:v>3.48</x:v>
      </x:c>
      <x:c r="M6" s="96" t="n">
        <x:v>22.13</x:v>
      </x:c>
      <x:c r="N6" s="96" t="n">
        <x:v>0</x:v>
      </x:c>
      <x:c r="O6" s="96" t="n">
        <x:v>1004.306485</x:v>
      </x:c>
    </x:row>
    <x:row r="7" ht="54" customHeight="1">
      <x:c r="A7" s="76" t="str">
        <x:v>KOHC</x:v>
      </x:c>
      <x:c r="B7" s="83" t="n">
        <x:v>2022</x:v>
      </x:c>
      <x:c r="C7" s="87" t="d">
        <x:v>2022-06-30T00:00:00.000Z</x:v>
      </x:c>
      <x:c r="D7" s="87" t="d">
        <x:v>2022-06-30T00:00:00.000Z</x:v>
      </x:c>
      <x:c r="E7" s="92" t="n">
        <x:v>130.13</x:v>
      </x:c>
      <x:c r="F7" s="92" t="n">
        <x:v>26.03</x:v>
      </x:c>
      <x:c r="G7" s="93" t="n">
        <x:v>5</x:v>
      </x:c>
      <x:c r="H7" s="89" t="n">
        <x:f>F7*G7</x:f>
        <x:v>130.15</x:v>
      </x:c>
      <x:c r="I7" s="89" t="n">
        <x:f>E7-H7</x:f>
        <x:v>-0.020000000000010232</x:v>
      </x:c>
      <x:c r="J7" s="99" t="str">
        <x:f>IF(ABS(I7)&lt;=G7*0.005+0.000001,"Agrees within report rounding","PSX / report discrepancy")</x:f>
        <x:v>Agrees within report rounding</x:v>
      </x:c>
      <x:c r="K7" s="99" t="str">
        <x:v>30 June trading session</x:v>
      </x:c>
      <x:c r="L7" s="97" t="n">
        <x:v>5</x:v>
      </x:c>
      <x:c r="M7" s="97" t="n">
        <x:v>27.13</x:v>
      </x:c>
      <x:c r="N7" s="97" t="n">
        <x:v>0</x:v>
      </x:c>
      <x:c r="O7" s="97" t="n">
        <x:v>1004.306485</x:v>
      </x:c>
    </x:row>
    <x:row r="8" ht="54" customHeight="1">
      <x:c r="A8" s="84" t="str">
        <x:v>KOHC</x:v>
      </x:c>
      <x:c r="B8" s="85" t="n">
        <x:v>2023</x:v>
      </x:c>
      <x:c r="C8" s="86" t="d">
        <x:v>2023-06-30T00:00:00.000Z</x:v>
      </x:c>
      <x:c r="D8" s="86" t="d">
        <x:v>2023-06-27T00:00:00.000Z</x:v>
      </x:c>
      <x:c r="E8" s="90" t="n">
        <x:v>173.47</x:v>
      </x:c>
      <x:c r="F8" s="90" t="n">
        <x:v>34.69</x:v>
      </x:c>
      <x:c r="G8" s="91" t="n">
        <x:v>5</x:v>
      </x:c>
      <x:c r="H8" s="88" t="n">
        <x:f>F8*G8</x:f>
        <x:v>173.45</x:v>
      </x:c>
      <x:c r="I8" s="88" t="n">
        <x:f>E8-H8</x:f>
        <x:v>0.020000000000010232</x:v>
      </x:c>
      <x:c r="J8" s="98" t="str">
        <x:f>IF(ABS(I8)&lt;=G8*0.005+0.000001,"Agrees within report rounding","PSX / report discrepancy")</x:f>
        <x:v>Agrees within report rounding</x:v>
      </x:c>
      <x:c r="K8" s="98" t="str">
        <x:v>No PSX trading records on 28–30 June; June symbol history ends 27 June.</x:v>
      </x:c>
      <x:c r="L8" s="96" t="n">
        <x:v>5.8</x:v>
      </x:c>
      <x:c r="M8" s="96" t="n">
        <x:v>32.47</x:v>
      </x:c>
      <x:c r="N8" s="96" t="n">
        <x:v>0</x:v>
      </x:c>
      <x:c r="O8" s="96" t="n">
        <x:v>1004.306485</x:v>
      </x:c>
    </x:row>
    <x:row r="9" ht="54" customHeight="1">
      <x:c r="A9" s="76" t="str">
        <x:v>KOHC</x:v>
      </x:c>
      <x:c r="B9" s="83" t="n">
        <x:v>2024</x:v>
      </x:c>
      <x:c r="C9" s="87" t="d">
        <x:v>2024-06-30T00:00:00.000Z</x:v>
      </x:c>
      <x:c r="D9" s="87" t="d">
        <x:v>2024-06-28T00:00:00.000Z</x:v>
      </x:c>
      <x:c r="E9" s="92" t="n">
        <x:v>250.43</x:v>
      </x:c>
      <x:c r="F9" s="92" t="n">
        <x:v>49</x:v>
      </x:c>
      <x:c r="G9" s="93" t="n">
        <x:v>5</x:v>
      </x:c>
      <x:c r="H9" s="89" t="n">
        <x:f>F9*G9</x:f>
        <x:v>245</x:v>
      </x:c>
      <x:c r="I9" s="89" t="n">
        <x:f>E9-H9</x:f>
        <x:v>5.430000000000007</x:v>
      </x:c>
      <x:c r="J9" s="99" t="str">
        <x:f>IF(ABS(I9)&lt;=G9*0.005+0.000001,"Agrees within report rounding","PSX / report discrepancy")</x:f>
        <x:v>PSX / report discrepancy</x:v>
      </x:c>
      <x:c r="K9" s="99" t="str">
        <x:v>30 June Sunday; 29 June Saturday. Last session 28 June.</x:v>
      </x:c>
      <x:c r="L9" s="97" t="n">
        <x:v>9.06</x:v>
      </x:c>
      <x:c r="M9" s="97" t="n">
        <x:v>41.84</x:v>
      </x:c>
      <x:c r="N9" s="97" t="n">
        <x:v>0</x:v>
      </x:c>
      <x:c r="O9" s="97" t="n">
        <x:v>982.175335</x:v>
      </x:c>
    </x:row>
    <x:row r="10" ht="54" customHeight="1">
      <x:c r="A10" s="84" t="str">
        <x:v>KOHC</x:v>
      </x:c>
      <x:c r="B10" s="85" t="n">
        <x:v>2025</x:v>
      </x:c>
      <x:c r="C10" s="86" t="d">
        <x:v>2025-06-30T00:00:00.000Z</x:v>
      </x:c>
      <x:c r="D10" s="86" t="d">
        <x:v>2025-06-30T00:00:00.000Z</x:v>
      </x:c>
      <x:c r="E10" s="90" t="n">
        <x:v>379.36</x:v>
      </x:c>
      <x:c r="F10" s="90" t="n">
        <x:v>75.67</x:v>
      </x:c>
      <x:c r="G10" s="91" t="n">
        <x:v>5</x:v>
      </x:c>
      <x:c r="H10" s="88" t="n">
        <x:f>F10*G10</x:f>
        <x:v>378.35</x:v>
      </x:c>
      <x:c r="I10" s="88" t="n">
        <x:f>E10-H10</x:f>
        <x:v>1.009999999999991</x:v>
      </x:c>
      <x:c r="J10" s="98" t="str">
        <x:f>IF(ABS(I10)&lt;=G10*0.005+0.000001,"Agrees within report rounding","PSX / report discrepancy")</x:f>
        <x:v>PSX / report discrepancy</x:v>
      </x:c>
      <x:c r="K10" s="98" t="str">
        <x:v>30 June trading session</x:v>
      </x:c>
      <x:c r="L10" s="96" t="n">
        <x:v>11.97</x:v>
      </x:c>
      <x:c r="M10" s="96" t="n">
        <x:v>49.58</x:v>
      </x:c>
      <x:c r="N10" s="96" t="n">
        <x:v>0</x:v>
      </x:c>
      <x:c r="O10" s="96" t="n">
        <x:v>967.1421</x:v>
      </x:c>
    </x:row>
    <x:row r="11" ht="54" customHeight="1">
      <x:c r="A11" s="76" t="str">
        <x:v>LUCK</x:v>
      </x:c>
      <x:c r="B11" s="83" t="n">
        <x:v>2021</x:v>
      </x:c>
      <x:c r="C11" s="87" t="d">
        <x:v>2021-06-30T00:00:00.000Z</x:v>
      </x:c>
      <x:c r="D11" s="87" t="d">
        <x:v>2021-06-30T00:00:00.000Z</x:v>
      </x:c>
      <x:c r="E11" s="92" t="n">
        <x:v>863.44</x:v>
      </x:c>
      <x:c r="F11" s="92" t="n">
        <x:v>172.69</x:v>
      </x:c>
      <x:c r="G11" s="93" t="n">
        <x:v>5</x:v>
      </x:c>
      <x:c r="H11" s="89" t="n">
        <x:f>F11*G11</x:f>
        <x:v>863.45</x:v>
      </x:c>
      <x:c r="I11" s="89" t="n">
        <x:f>E11-H11</x:f>
        <x:v>-0.009999999999990905</x:v>
      </x:c>
      <x:c r="J11" s="99" t="str">
        <x:f>IF(ABS(I11)&lt;=G11*0.005+0.000001,"Agrees within report rounding","PSX / report discrepancy")</x:f>
        <x:v>Agrees within report rounding</x:v>
      </x:c>
      <x:c r="K11" s="99" t="str">
        <x:v>30 June trading session</x:v>
      </x:c>
      <x:c r="L11" s="97" t="n">
        <x:v>8.7</x:v>
      </x:c>
      <x:c r="M11" s="97" t="n">
        <x:v>70.01</x:v>
      </x:c>
      <x:c r="N11" s="97" t="n">
        <x:v>0</x:v>
      </x:c>
      <x:c r="O11" s="97" t="n">
        <x:v>1616.875</x:v>
      </x:c>
    </x:row>
    <x:row r="12" ht="54" customHeight="1">
      <x:c r="A12" s="84" t="str">
        <x:v>LUCK</x:v>
      </x:c>
      <x:c r="B12" s="85" t="n">
        <x:v>2022</x:v>
      </x:c>
      <x:c r="C12" s="86" t="d">
        <x:v>2022-06-30T00:00:00.000Z</x:v>
      </x:c>
      <x:c r="D12" s="86" t="d">
        <x:v>2022-06-30T00:00:00.000Z</x:v>
      </x:c>
      <x:c r="E12" s="90" t="n">
        <x:v>459.04</x:v>
      </x:c>
      <x:c r="F12" s="90" t="n">
        <x:v>91.81</x:v>
      </x:c>
      <x:c r="G12" s="91" t="n">
        <x:v>5</x:v>
      </x:c>
      <x:c r="H12" s="88" t="n">
        <x:f>F12*G12</x:f>
        <x:v>459.05</x:v>
      </x:c>
      <x:c r="I12" s="88" t="n">
        <x:f>E12-H12</x:f>
        <x:v>-0.009999999999990905</x:v>
      </x:c>
      <x:c r="J12" s="98" t="str">
        <x:f>IF(ABS(I12)&lt;=G12*0.005+0.000001,"Agrees within report rounding","PSX / report discrepancy")</x:f>
        <x:v>Agrees within report rounding</x:v>
      </x:c>
      <x:c r="K12" s="98" t="str">
        <x:v>30 June trading session</x:v>
      </x:c>
      <x:c r="L12" s="96" t="n">
        <x:v>9.46</x:v>
      </x:c>
      <x:c r="M12" s="96" t="n">
        <x:v>79.5</x:v>
      </x:c>
      <x:c r="N12" s="96" t="n">
        <x:v>0</x:v>
      </x:c>
      <x:c r="O12" s="96" t="n">
        <x:v>1616.875</x:v>
      </x:c>
    </x:row>
    <x:row r="13" ht="54" customHeight="1">
      <x:c r="A13" s="76" t="str">
        <x:v>LUCK</x:v>
      </x:c>
      <x:c r="B13" s="83" t="n">
        <x:v>2023</x:v>
      </x:c>
      <x:c r="C13" s="87" t="d">
        <x:v>2023-06-30T00:00:00.000Z</x:v>
      </x:c>
      <x:c r="D13" s="87" t="d">
        <x:v>2023-06-27T00:00:00.000Z</x:v>
      </x:c>
      <x:c r="E13" s="92" t="n">
        <x:v>522.09</x:v>
      </x:c>
      <x:c r="F13" s="92" t="n">
        <x:v>104.42</x:v>
      </x:c>
      <x:c r="G13" s="93" t="n">
        <x:v>5</x:v>
      </x:c>
      <x:c r="H13" s="89" t="n">
        <x:f>F13*G13</x:f>
        <x:v>522.1</x:v>
      </x:c>
      <x:c r="I13" s="89" t="n">
        <x:f>E13-H13</x:f>
        <x:v>-0.009999999999990905</x:v>
      </x:c>
      <x:c r="J13" s="99" t="str">
        <x:f>IF(ABS(I13)&lt;=G13*0.005+0.000001,"Agrees within report rounding","PSX / report discrepancy")</x:f>
        <x:v>Agrees within report rounding</x:v>
      </x:c>
      <x:c r="K13" s="99" t="str">
        <x:v>No PSX trading records on 28–30 June; June symbol history ends 27 June.</x:v>
      </x:c>
      <x:c r="L13" s="97" t="n">
        <x:v>8.49</x:v>
      </x:c>
      <x:c r="M13" s="97" t="n">
        <x:v>87.67</x:v>
      </x:c>
      <x:c r="N13" s="97" t="n">
        <x:v>3.6</x:v>
      </x:c>
      <x:c r="O13" s="97" t="n">
        <x:v>1593.745</x:v>
      </x:c>
    </x:row>
    <x:row r="14" ht="54" customHeight="1">
      <x:c r="A14" s="84" t="str">
        <x:v>LUCK</x:v>
      </x:c>
      <x:c r="B14" s="85" t="n">
        <x:v>2024</x:v>
      </x:c>
      <x:c r="C14" s="86" t="d">
        <x:v>2024-06-30T00:00:00.000Z</x:v>
      </x:c>
      <x:c r="D14" s="86" t="d">
        <x:v>2024-06-28T00:00:00.000Z</x:v>
      </x:c>
      <x:c r="E14" s="90" t="n">
        <x:v>906.73</x:v>
      </x:c>
      <x:c r="F14" s="90" t="n">
        <x:v>181.35</x:v>
      </x:c>
      <x:c r="G14" s="91" t="n">
        <x:v>5</x:v>
      </x:c>
      <x:c r="H14" s="88" t="n">
        <x:f>F14*G14</x:f>
        <x:v>906.75</x:v>
      </x:c>
      <x:c r="I14" s="88" t="n">
        <x:f>E14-H14</x:f>
        <x:v>-0.01999999999998181</x:v>
      </x:c>
      <x:c r="J14" s="98" t="str">
        <x:f>IF(ABS(I14)&lt;=G14*0.005+0.000001,"Agrees within report rounding","PSX / report discrepancy")</x:f>
        <x:v>Agrees within report rounding</x:v>
      </x:c>
      <x:c r="K14" s="98" t="str">
        <x:v>30 June Sunday; 29 June Saturday. Last session 28 June.</x:v>
      </x:c>
      <x:c r="L14" s="96" t="n">
        <x:v>18.91</x:v>
      </x:c>
      <x:c r="M14" s="96" t="n">
        <x:v>100.86</x:v>
      </x:c>
      <x:c r="N14" s="96" t="n">
        <x:v>3</x:v>
      </x:c>
      <x:c r="O14" s="96" t="n">
        <x:v>1486.48</x:v>
      </x:c>
    </x:row>
    <x:row r="15" ht="54" customHeight="1">
      <x:c r="A15" s="76" t="str">
        <x:v>LUCK</x:v>
      </x:c>
      <x:c r="B15" s="83" t="n">
        <x:v>2025</x:v>
      </x:c>
      <x:c r="C15" s="87" t="d">
        <x:v>2025-06-30T00:00:00.000Z</x:v>
      </x:c>
      <x:c r="D15" s="87" t="d">
        <x:v>2025-06-30T00:00:00.000Z</x:v>
      </x:c>
      <x:c r="E15" s="92" t="n">
        <x:v>355.24</x:v>
      </x:c>
      <x:c r="F15" s="92" t="n">
        <x:v>355.24</x:v>
      </x:c>
      <x:c r="G15" s="93" t="n">
        <x:v>1</x:v>
      </x:c>
      <x:c r="H15" s="89" t="n">
        <x:f>F15*G15</x:f>
        <x:v>355.24</x:v>
      </x:c>
      <x:c r="I15" s="89" t="n">
        <x:f>E15-H15</x:f>
        <x:v>0</x:v>
      </x:c>
      <x:c r="J15" s="99" t="str">
        <x:f>IF(ABS(I15)&lt;=G15*0.005+0.000001,"Agrees within report rounding","PSX / report discrepancy")</x:f>
        <x:v>Agrees within report rounding</x:v>
      </x:c>
      <x:c r="K15" s="99" t="str">
        <x:v>30 June trading session</x:v>
      </x:c>
      <x:c r="L15" s="97" t="n">
        <x:v>22.59</x:v>
      </x:c>
      <x:c r="M15" s="97" t="n">
        <x:v>120.08</x:v>
      </x:c>
      <x:c r="N15" s="97" t="n">
        <x:v>4</x:v>
      </x:c>
      <x:c r="O15" s="97" t="n">
        <x:v>1465</x:v>
      </x:c>
    </x:row>
    <x:row r="16" ht="54" customHeight="1">
      <x:c r="A16" s="84" t="str">
        <x:v>DGKC</x:v>
      </x:c>
      <x:c r="B16" s="85" t="n">
        <x:v>2021</x:v>
      </x:c>
      <x:c r="C16" s="86" t="d">
        <x:v>2021-06-30T00:00:00.000Z</x:v>
      </x:c>
      <x:c r="D16" s="86" t="d">
        <x:v>2021-06-30T00:00:00.000Z</x:v>
      </x:c>
      <x:c r="E16" s="90" t="n">
        <x:v>117.92</x:v>
      </x:c>
      <x:c r="F16" s="90" t="n">
        <x:v>117.92</x:v>
      </x:c>
      <x:c r="G16" s="91" t="n">
        <x:v>1</x:v>
      </x:c>
      <x:c r="H16" s="88" t="n">
        <x:f>F16*G16</x:f>
        <x:v>117.92</x:v>
      </x:c>
      <x:c r="I16" s="88" t="n">
        <x:f>E16-H16</x:f>
        <x:v>0</x:v>
      </x:c>
      <x:c r="J16" s="98" t="str">
        <x:f>IF(ABS(I16)&lt;=G16*0.005+0.000001,"Agrees within report rounding","PSX / report discrepancy")</x:f>
        <x:v>Agrees within report rounding</x:v>
      </x:c>
      <x:c r="K16" s="98" t="str">
        <x:v>30 June trading session</x:v>
      </x:c>
      <x:c r="L16" s="96" t="n">
        <x:v>8.49</x:v>
      </x:c>
      <x:c r="M16" s="96" t="n">
        <x:v>167.71</x:v>
      </x:c>
      <x:c r="N16" s="96" t="n">
        <x:v>1</x:v>
      </x:c>
      <x:c r="O16" s="96" t="n">
        <x:v>438.119118</x:v>
      </x:c>
    </x:row>
    <x:row r="17" ht="54" customHeight="1">
      <x:c r="A17" s="76" t="str">
        <x:v>DGKC</x:v>
      </x:c>
      <x:c r="B17" s="83" t="n">
        <x:v>2022</x:v>
      </x:c>
      <x:c r="C17" s="87" t="d">
        <x:v>2022-06-30T00:00:00.000Z</x:v>
      </x:c>
      <x:c r="D17" s="87" t="d">
        <x:v>2022-06-30T00:00:00.000Z</x:v>
      </x:c>
      <x:c r="E17" s="92" t="n">
        <x:v>62.5</x:v>
      </x:c>
      <x:c r="F17" s="92" t="n">
        <x:v>62.5</x:v>
      </x:c>
      <x:c r="G17" s="93" t="n">
        <x:v>1</x:v>
      </x:c>
      <x:c r="H17" s="89" t="n">
        <x:f>F17*G17</x:f>
        <x:v>62.5</x:v>
      </x:c>
      <x:c r="I17" s="89" t="n">
        <x:f>E17-H17</x:f>
        <x:v>0</x:v>
      </x:c>
      <x:c r="J17" s="99" t="str">
        <x:f>IF(ABS(I17)&lt;=G17*0.005+0.000001,"Agrees within report rounding","PSX / report discrepancy")</x:f>
        <x:v>Agrees within report rounding</x:v>
      </x:c>
      <x:c r="K17" s="99" t="str">
        <x:v>30 June trading session</x:v>
      </x:c>
      <x:c r="L17" s="97" t="n">
        <x:v>6.78</x:v>
      </x:c>
      <x:c r="M17" s="97" t="n">
        <x:v>159.59</x:v>
      </x:c>
      <x:c r="N17" s="97" t="n">
        <x:v>1</x:v>
      </x:c>
      <x:c r="O17" s="97" t="n">
        <x:v>438.119118</x:v>
      </x:c>
    </x:row>
    <x:row r="18" ht="54" customHeight="1">
      <x:c r="A18" s="84" t="str">
        <x:v>DGKC</x:v>
      </x:c>
      <x:c r="B18" s="85" t="n">
        <x:v>2023</x:v>
      </x:c>
      <x:c r="C18" s="86" t="d">
        <x:v>2023-06-30T00:00:00.000Z</x:v>
      </x:c>
      <x:c r="D18" s="86" t="d">
        <x:v>2023-06-27T00:00:00.000Z</x:v>
      </x:c>
      <x:c r="E18" s="90" t="n">
        <x:v>51.3</x:v>
      </x:c>
      <x:c r="F18" s="90" t="n">
        <x:v>51.3</x:v>
      </x:c>
      <x:c r="G18" s="91" t="n">
        <x:v>1</x:v>
      </x:c>
      <x:c r="H18" s="88" t="n">
        <x:f>F18*G18</x:f>
        <x:v>51.3</x:v>
      </x:c>
      <x:c r="I18" s="88" t="n">
        <x:f>E18-H18</x:f>
        <x:v>0</x:v>
      </x:c>
      <x:c r="J18" s="98" t="str">
        <x:f>IF(ABS(I18)&lt;=G18*0.005+0.000001,"Agrees within report rounding","PSX / report discrepancy")</x:f>
        <x:v>Agrees within report rounding</x:v>
      </x:c>
      <x:c r="K18" s="98" t="str">
        <x:v>No PSX trading records on 28–30 June; June symbol history ends 27 June.</x:v>
      </x:c>
      <x:c r="L18" s="96" t="n">
        <x:v>-8.3</x:v>
      </x:c>
      <x:c r="M18" s="96" t="n">
        <x:v>146.52</x:v>
      </x:c>
      <x:c r="N18" s="96" t="n">
        <x:v>0</x:v>
      </x:c>
      <x:c r="O18" s="96" t="n">
        <x:v>438.119118</x:v>
      </x:c>
    </x:row>
    <x:row r="19" ht="54" customHeight="1">
      <x:c r="A19" s="76" t="str">
        <x:v>DGKC</x:v>
      </x:c>
      <x:c r="B19" s="83" t="n">
        <x:v>2024</x:v>
      </x:c>
      <x:c r="C19" s="87" t="d">
        <x:v>2024-06-30T00:00:00.000Z</x:v>
      </x:c>
      <x:c r="D19" s="87" t="d">
        <x:v>2024-06-28T00:00:00.000Z</x:v>
      </x:c>
      <x:c r="E19" s="92" t="n">
        <x:v>90.27</x:v>
      </x:c>
      <x:c r="F19" s="92" t="n">
        <x:v>90.27</x:v>
      </x:c>
      <x:c r="G19" s="93" t="n">
        <x:v>1</x:v>
      </x:c>
      <x:c r="H19" s="89" t="n">
        <x:f>F19*G19</x:f>
        <x:v>90.27</x:v>
      </x:c>
      <x:c r="I19" s="89" t="n">
        <x:f>E19-H19</x:f>
        <x:v>0</x:v>
      </x:c>
      <x:c r="J19" s="99" t="str">
        <x:f>IF(ABS(I19)&lt;=G19*0.005+0.000001,"Agrees within report rounding","PSX / report discrepancy")</x:f>
        <x:v>Agrees within report rounding</x:v>
      </x:c>
      <x:c r="K19" s="99" t="str">
        <x:v>30 June Sunday; 29 June Saturday. Last session 28 June.</x:v>
      </x:c>
      <x:c r="L19" s="97" t="n">
        <x:v>1.24</x:v>
      </x:c>
      <x:c r="M19" s="97" t="n">
        <x:v>173.12</x:v>
      </x:c>
      <x:c r="N19" s="97" t="n">
        <x:v>0</x:v>
      </x:c>
      <x:c r="O19" s="97" t="n">
        <x:v>438.119118</x:v>
      </x:c>
    </x:row>
    <x:row r="20" ht="54" customHeight="1">
      <x:c r="A20" s="84" t="str">
        <x:v>DGKC</x:v>
      </x:c>
      <x:c r="B20" s="85" t="n">
        <x:v>2025</x:v>
      </x:c>
      <x:c r="C20" s="86" t="d">
        <x:v>2025-06-30T00:00:00.000Z</x:v>
      </x:c>
      <x:c r="D20" s="86" t="d">
        <x:v>2025-06-30T00:00:00.000Z</x:v>
      </x:c>
      <x:c r="E20" s="90" t="n">
        <x:v>165.56</x:v>
      </x:c>
      <x:c r="F20" s="90" t="n">
        <x:v>165.56</x:v>
      </x:c>
      <x:c r="G20" s="91" t="n">
        <x:v>1</x:v>
      </x:c>
      <x:c r="H20" s="88" t="n">
        <x:f>F20*G20</x:f>
        <x:v>165.56</x:v>
      </x:c>
      <x:c r="I20" s="88" t="n">
        <x:f>E20-H20</x:f>
        <x:v>0</x:v>
      </x:c>
      <x:c r="J20" s="98" t="str">
        <x:f>IF(ABS(I20)&lt;=G20*0.005+0.000001,"Agrees within report rounding","PSX / report discrepancy")</x:f>
        <x:v>Agrees within report rounding</x:v>
      </x:c>
      <x:c r="K20" s="98" t="str">
        <x:v>30 June trading session</x:v>
      </x:c>
      <x:c r="L20" s="96" t="n">
        <x:v>19.8</x:v>
      </x:c>
      <x:c r="M20" s="96" t="n">
        <x:v>216.08</x:v>
      </x:c>
      <x:c r="N20" s="96" t="n">
        <x:v>2</x:v>
      </x:c>
      <x:c r="O20" s="96" t="n">
        <x:v>438.119118</x:v>
      </x:c>
    </x:row>
    <x:row r="21" ht="54" customHeight="1">
      <x:c r="A21" s="76" t="str">
        <x:v>MLCF</x:v>
      </x:c>
      <x:c r="B21" s="83" t="n">
        <x:v>2021</x:v>
      </x:c>
      <x:c r="C21" s="87" t="d">
        <x:v>2021-06-30T00:00:00.000Z</x:v>
      </x:c>
      <x:c r="D21" s="87" t="d">
        <x:v>2021-06-30T00:00:00.000Z</x:v>
      </x:c>
      <x:c r="E21" s="92" t="n">
        <x:v>46.98</x:v>
      </x:c>
      <x:c r="F21" s="92" t="n">
        <x:v>46.98</x:v>
      </x:c>
      <x:c r="G21" s="93" t="n">
        <x:v>1</x:v>
      </x:c>
      <x:c r="H21" s="89" t="n">
        <x:f>F21*G21</x:f>
        <x:v>46.98</x:v>
      </x:c>
      <x:c r="I21" s="89" t="n">
        <x:f>E21-H21</x:f>
        <x:v>0</x:v>
      </x:c>
      <x:c r="J21" s="99" t="str">
        <x:f>IF(ABS(I21)&lt;=G21*0.005+0.000001,"Agrees within report rounding","PSX / report discrepancy")</x:f>
        <x:v>Agrees within report rounding</x:v>
      </x:c>
      <x:c r="K21" s="99" t="str">
        <x:v>30 June trading session</x:v>
      </x:c>
      <x:c r="L21" s="97" t="n">
        <x:v>5.69</x:v>
      </x:c>
      <x:c r="M21" s="97" t="n">
        <x:v>34.18</x:v>
      </x:c>
      <x:c r="N21" s="97" t="n">
        <x:v>0</x:v>
      </x:c>
      <x:c r="O21" s="97" t="n">
        <x:v>1098.346</x:v>
      </x:c>
    </x:row>
    <x:row r="22" ht="54" customHeight="1">
      <x:c r="A22" s="84" t="str">
        <x:v>MLCF</x:v>
      </x:c>
      <x:c r="B22" s="85" t="n">
        <x:v>2022</x:v>
      </x:c>
      <x:c r="C22" s="86" t="d">
        <x:v>2022-06-30T00:00:00.000Z</x:v>
      </x:c>
      <x:c r="D22" s="86" t="d">
        <x:v>2022-06-30T00:00:00.000Z</x:v>
      </x:c>
      <x:c r="E22" s="90" t="n">
        <x:v>27.35</x:v>
      </x:c>
      <x:c r="F22" s="90" t="n">
        <x:v>27.35</x:v>
      </x:c>
      <x:c r="G22" s="91" t="n">
        <x:v>1</x:v>
      </x:c>
      <x:c r="H22" s="88" t="n">
        <x:f>F22*G22</x:f>
        <x:v>27.35</x:v>
      </x:c>
      <x:c r="I22" s="88" t="n">
        <x:f>E22-H22</x:f>
        <x:v>0</x:v>
      </x:c>
      <x:c r="J22" s="98" t="str">
        <x:f>IF(ABS(I22)&lt;=G22*0.005+0.000001,"Agrees within report rounding","PSX / report discrepancy")</x:f>
        <x:v>Agrees within report rounding</x:v>
      </x:c>
      <x:c r="K22" s="98" t="str">
        <x:v>30 June trading session</x:v>
      </x:c>
      <x:c r="L22" s="96" t="n">
        <x:v>3.3</x:v>
      </x:c>
      <x:c r="M22" s="96" t="n">
        <x:v>36.93</x:v>
      </x:c>
      <x:c r="N22" s="96" t="n">
        <x:v>0</x:v>
      </x:c>
      <x:c r="O22" s="96" t="n">
        <x:v>1097.524</x:v>
      </x:c>
    </x:row>
    <x:row r="23" ht="54" customHeight="1">
      <x:c r="A23" s="76" t="str">
        <x:v>MLCF</x:v>
      </x:c>
      <x:c r="B23" s="83" t="n">
        <x:v>2023</x:v>
      </x:c>
      <x:c r="C23" s="87" t="d">
        <x:v>2023-06-30T00:00:00.000Z</x:v>
      </x:c>
      <x:c r="D23" s="87" t="d">
        <x:v>2023-06-27T00:00:00.000Z</x:v>
      </x:c>
      <x:c r="E23" s="92" t="n">
        <x:v>28.33</x:v>
      </x:c>
      <x:c r="F23" s="92" t="n">
        <x:v>28.33</x:v>
      </x:c>
      <x:c r="G23" s="93" t="n">
        <x:v>1</x:v>
      </x:c>
      <x:c r="H23" s="89" t="n">
        <x:f>F23*G23</x:f>
        <x:v>28.33</x:v>
      </x:c>
      <x:c r="I23" s="89" t="n">
        <x:f>E23-H23</x:f>
        <x:v>0</x:v>
      </x:c>
      <x:c r="J23" s="99" t="str">
        <x:f>IF(ABS(I23)&lt;=G23*0.005+0.000001,"Agrees within report rounding","PSX / report discrepancy")</x:f>
        <x:v>Agrees within report rounding</x:v>
      </x:c>
      <x:c r="K23" s="99" t="str">
        <x:v>No PSX trading records on 28–30 June; June symbol history ends 27 June.</x:v>
      </x:c>
      <x:c r="L23" s="97" t="n">
        <x:v>4.18</x:v>
      </x:c>
      <x:c r="M23" s="97" t="n">
        <x:v>41.84</x:v>
      </x:c>
      <x:c r="N23" s="97" t="n">
        <x:v>0</x:v>
      </x:c>
      <x:c r="O23" s="97" t="n">
        <x:v>1073.405</x:v>
      </x:c>
    </x:row>
    <x:row r="24" ht="54" customHeight="1">
      <x:c r="A24" s="84" t="str">
        <x:v>MLCF</x:v>
      </x:c>
      <x:c r="B24" s="85" t="n">
        <x:v>2024</x:v>
      </x:c>
      <x:c r="C24" s="86" t="d">
        <x:v>2024-06-30T00:00:00.000Z</x:v>
      </x:c>
      <x:c r="D24" s="86" t="d">
        <x:v>2024-06-28T00:00:00.000Z</x:v>
      </x:c>
      <x:c r="E24" s="90" t="n">
        <x:v>38</x:v>
      </x:c>
      <x:c r="F24" s="90" t="n">
        <x:v>38</x:v>
      </x:c>
      <x:c r="G24" s="91" t="n">
        <x:v>1</x:v>
      </x:c>
      <x:c r="H24" s="88" t="n">
        <x:f>F24*G24</x:f>
        <x:v>38</x:v>
      </x:c>
      <x:c r="I24" s="88" t="n">
        <x:f>E24-H24</x:f>
        <x:v>0</x:v>
      </x:c>
      <x:c r="J24" s="98" t="str">
        <x:f>IF(ABS(I24)&lt;=G24*0.005+0.000001,"Agrees within report rounding","PSX / report discrepancy")</x:f>
        <x:v>Agrees within report rounding</x:v>
      </x:c>
      <x:c r="K24" s="98" t="str">
        <x:v>30 June Sunday; 29 June Saturday. Last session 28 June.</x:v>
      </x:c>
      <x:c r="L24" s="96" t="n">
        <x:v>4.98</x:v>
      </x:c>
      <x:c r="M24" s="96" t="n">
        <x:v>49.69</x:v>
      </x:c>
      <x:c r="N24" s="96" t="n">
        <x:v>0</x:v>
      </x:c>
      <x:c r="O24" s="96" t="n">
        <x:v>1058.911</x:v>
      </x:c>
    </x:row>
    <x:row r="25" ht="54" customHeight="1">
      <x:c r="A25" s="76" t="str">
        <x:v>MLCF</x:v>
      </x:c>
      <x:c r="B25" s="83" t="n">
        <x:v>2025</x:v>
      </x:c>
      <x:c r="C25" s="87" t="d">
        <x:v>2025-06-30T00:00:00.000Z</x:v>
      </x:c>
      <x:c r="D25" s="87" t="d">
        <x:v>2025-06-30T00:00:00.000Z</x:v>
      </x:c>
      <x:c r="E25" s="92" t="n">
        <x:v>84.28</x:v>
      </x:c>
      <x:c r="F25" s="92" t="n">
        <x:v>84.28</x:v>
      </x:c>
      <x:c r="G25" s="93" t="n">
        <x:v>1</x:v>
      </x:c>
      <x:c r="H25" s="89" t="n">
        <x:f>F25*G25</x:f>
        <x:v>84.28</x:v>
      </x:c>
      <x:c r="I25" s="89" t="n">
        <x:f>E25-H25</x:f>
        <x:v>0</x:v>
      </x:c>
      <x:c r="J25" s="99" t="str">
        <x:f>IF(ABS(I25)&lt;=G25*0.005+0.000001,"Agrees within report rounding","PSX / report discrepancy")</x:f>
        <x:v>Agrees within report rounding</x:v>
      </x:c>
      <x:c r="K25" s="99" t="str">
        <x:v>30 June trading session</x:v>
      </x:c>
      <x:c r="L25" s="97" t="n">
        <x:v>16.26</x:v>
      </x:c>
      <x:c r="M25" s="97" t="n">
        <x:v>68.22</x:v>
      </x:c>
      <x:c r="N25" s="97" t="n">
        <x:v>0</x:v>
      </x:c>
      <x:c r="O25" s="97" t="n">
        <x:v>1047.563</x:v>
      </x:c>
    </x:row>
    <x:row r="26" ht="54" customHeight="1">
      <x:c r="A26" s="84" t="str">
        <x:v>FCCL</x:v>
      </x:c>
      <x:c r="B26" s="85" t="n">
        <x:v>2021</x:v>
      </x:c>
      <x:c r="C26" s="86" t="d">
        <x:v>2021-06-30T00:00:00.000Z</x:v>
      </x:c>
      <x:c r="D26" s="86" t="d">
        <x:v>2021-06-30T00:00:00.000Z</x:v>
      </x:c>
      <x:c r="E26" s="90" t="n">
        <x:v>23</x:v>
      </x:c>
      <x:c r="F26" s="90" t="n">
        <x:v>23</x:v>
      </x:c>
      <x:c r="G26" s="91" t="n">
        <x:v>1</x:v>
      </x:c>
      <x:c r="H26" s="88" t="n">
        <x:f>F26*G26</x:f>
        <x:v>23</x:v>
      </x:c>
      <x:c r="I26" s="88" t="n">
        <x:f>E26-H26</x:f>
        <x:v>0</x:v>
      </x:c>
      <x:c r="J26" s="98" t="str">
        <x:f>IF(ABS(I26)&lt;=G26*0.005+0.000001,"Agrees within report rounding","PSX / report discrepancy")</x:f>
        <x:v>Agrees within report rounding</x:v>
      </x:c>
      <x:c r="K26" s="98" t="str">
        <x:v>30 June trading session</x:v>
      </x:c>
      <x:c r="L26" s="96" t="n">
        <x:v>2.52</x:v>
      </x:c>
      <x:c r="M26" s="96" t="n">
        <x:v>16.87</x:v>
      </x:c>
      <x:c r="N26" s="96" t="n">
        <x:v>0</x:v>
      </x:c>
      <x:c r="O26" s="96" t="n">
        <x:v>1379.815</x:v>
      </x:c>
    </x:row>
    <x:row r="27" ht="54" customHeight="1">
      <x:c r="A27" s="76" t="str">
        <x:v>FCCL</x:v>
      </x:c>
      <x:c r="B27" s="83" t="n">
        <x:v>2022</x:v>
      </x:c>
      <x:c r="C27" s="87" t="d">
        <x:v>2022-06-30T00:00:00.000Z</x:v>
      </x:c>
      <x:c r="D27" s="87" t="d">
        <x:v>2022-06-30T00:00:00.000Z</x:v>
      </x:c>
      <x:c r="E27" s="92" t="n">
        <x:v>14.17</x:v>
      </x:c>
      <x:c r="F27" s="92" t="n">
        <x:v>14.17</x:v>
      </x:c>
      <x:c r="G27" s="93" t="n">
        <x:v>1</x:v>
      </x:c>
      <x:c r="H27" s="89" t="n">
        <x:f>F27*G27</x:f>
        <x:v>14.17</x:v>
      </x:c>
      <x:c r="I27" s="89" t="n">
        <x:f>E27-H27</x:f>
        <x:v>0</x:v>
      </x:c>
      <x:c r="J27" s="99" t="str">
        <x:f>IF(ABS(I27)&lt;=G27*0.005+0.000001,"Agrees within report rounding","PSX / report discrepancy")</x:f>
        <x:v>Agrees within report rounding</x:v>
      </x:c>
      <x:c r="K27" s="99" t="str">
        <x:v>30 June trading session</x:v>
      </x:c>
      <x:c r="L27" s="97" t="n">
        <x:v>3.02</x:v>
      </x:c>
      <x:c r="M27" s="97" t="n">
        <x:v>26.48</x:v>
      </x:c>
      <x:c r="N27" s="97" t="n">
        <x:v>0</x:v>
      </x:c>
      <x:c r="O27" s="97" t="n">
        <x:v>2353.539</x:v>
      </x:c>
    </x:row>
    <x:row r="28" ht="54" customHeight="1">
      <x:c r="A28" s="84" t="str">
        <x:v>FCCL</x:v>
      </x:c>
      <x:c r="B28" s="85" t="n">
        <x:v>2023</x:v>
      </x:c>
      <x:c r="C28" s="86" t="d">
        <x:v>2023-06-30T00:00:00.000Z</x:v>
      </x:c>
      <x:c r="D28" s="86" t="d">
        <x:v>2023-06-27T00:00:00.000Z</x:v>
      </x:c>
      <x:c r="E28" s="90" t="n">
        <x:v>11.76</x:v>
      </x:c>
      <x:c r="F28" s="90" t="n">
        <x:v>11.76</x:v>
      </x:c>
      <x:c r="G28" s="91" t="n">
        <x:v>1</x:v>
      </x:c>
      <x:c r="H28" s="88" t="n">
        <x:f>F28*G28</x:f>
        <x:v>11.76</x:v>
      </x:c>
      <x:c r="I28" s="88" t="n">
        <x:f>E28-H28</x:f>
        <x:v>0</x:v>
      </x:c>
      <x:c r="J28" s="98" t="str">
        <x:f>IF(ABS(I28)&lt;=G28*0.005+0.000001,"Agrees within report rounding","PSX / report discrepancy")</x:f>
        <x:v>Agrees within report rounding</x:v>
      </x:c>
      <x:c r="K28" s="98" t="str">
        <x:v>No PSX trading records on 28–30 June; June symbol history ends 27 June.</x:v>
      </x:c>
      <x:c r="L28" s="96" t="n">
        <x:v>3.16</x:v>
      </x:c>
      <x:c r="M28" s="96" t="n">
        <x:v>26.57</x:v>
      </x:c>
      <x:c r="N28" s="96" t="n">
        <x:v>0</x:v>
      </x:c>
      <x:c r="O28" s="96" t="n">
        <x:v>2353.539</x:v>
      </x:c>
    </x:row>
    <x:row r="29" ht="54" customHeight="1">
      <x:c r="A29" s="76" t="str">
        <x:v>FCCL</x:v>
      </x:c>
      <x:c r="B29" s="83" t="n">
        <x:v>2024</x:v>
      </x:c>
      <x:c r="C29" s="87" t="d">
        <x:v>2024-06-30T00:00:00.000Z</x:v>
      </x:c>
      <x:c r="D29" s="87" t="d">
        <x:v>2024-06-28T00:00:00.000Z</x:v>
      </x:c>
      <x:c r="E29" s="92" t="n">
        <x:v>22.91</x:v>
      </x:c>
      <x:c r="F29" s="92" t="n">
        <x:v>22.91</x:v>
      </x:c>
      <x:c r="G29" s="93" t="n">
        <x:v>1</x:v>
      </x:c>
      <x:c r="H29" s="89" t="n">
        <x:f>F29*G29</x:f>
        <x:v>22.91</x:v>
      </x:c>
      <x:c r="I29" s="89" t="n">
        <x:f>E29-H29</x:f>
        <x:v>0</x:v>
      </x:c>
      <x:c r="J29" s="99" t="str">
        <x:f>IF(ABS(I29)&lt;=G29*0.005+0.000001,"Agrees within report rounding","PSX / report discrepancy")</x:f>
        <x:v>Agrees within report rounding</x:v>
      </x:c>
      <x:c r="K29" s="99" t="str">
        <x:v>30 June Sunday; 29 June Saturday. Last session 28 June.</x:v>
      </x:c>
      <x:c r="L29" s="97" t="n">
        <x:v>3.35</x:v>
      </x:c>
      <x:c r="M29" s="97" t="n">
        <x:v>29.92</x:v>
      </x:c>
      <x:c r="N29" s="97" t="n">
        <x:v>1</x:v>
      </x:c>
      <x:c r="O29" s="97" t="n">
        <x:v>2452.847</x:v>
      </x:c>
    </x:row>
    <x:row r="30" ht="54" customHeight="1">
      <x:c r="A30" s="84" t="str">
        <x:v>FCCL</x:v>
      </x:c>
      <x:c r="B30" s="85" t="n">
        <x:v>2025</x:v>
      </x:c>
      <x:c r="C30" s="86" t="d">
        <x:v>2025-06-30T00:00:00.000Z</x:v>
      </x:c>
      <x:c r="D30" s="86" t="d">
        <x:v>2025-06-30T00:00:00.000Z</x:v>
      </x:c>
      <x:c r="E30" s="90" t="n">
        <x:v>44.67</x:v>
      </x:c>
      <x:c r="F30" s="90" t="n">
        <x:v>44.67</x:v>
      </x:c>
      <x:c r="G30" s="91" t="n">
        <x:v>1</x:v>
      </x:c>
      <x:c r="H30" s="88" t="n">
        <x:f>F30*G30</x:f>
        <x:v>44.67</x:v>
      </x:c>
      <x:c r="I30" s="88" t="n">
        <x:f>E30-H30</x:f>
        <x:v>0</x:v>
      </x:c>
      <x:c r="J30" s="98" t="str">
        <x:f>IF(ABS(I30)&lt;=G30*0.005+0.000001,"Agrees within report rounding","PSX / report discrepancy")</x:f>
        <x:v>Agrees within report rounding</x:v>
      </x:c>
      <x:c r="K30" s="98" t="str">
        <x:v>30 June trading session</x:v>
      </x:c>
      <x:c r="L30" s="96" t="n">
        <x:v>5.43</x:v>
      </x:c>
      <x:c r="M30" s="96" t="n">
        <x:v>34.36</x:v>
      </x:c>
      <x:c r="N30" s="96" t="n">
        <x:v>1.25</x:v>
      </x:c>
      <x:c r="O30" s="96" t="n">
        <x:v>2452.847</x:v>
      </x:c>
    </x:row>
  </x:sheetData>
  <x:conditionalFormatting sqref="I6:I30">
    <x:cfRule type="cellIs" dxfId="0" priority="1" operator="greaterThan">
      <x:formula>0.03</x:formula>
    </x:cfRule>
  </x:conditionalFormatting>
  <x:pageMargins left="0.7" right="0.7" top="0.75" bottom="0.75" header="0.3" footer="0.3"/>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00" hidden="0" customWidth="1"/>
    <x:col min="19" max="19" width="17" hidden="0" customWidth="1"/>
    <x:col min="20" max="20" width="46" hidden="0" customWidth="1"/>
    <x:col min="21" max="21" width="90" hidden="0" customWidth="1"/>
  </x:cols>
  <x:sheetData>
    <x:row r="1" ht="24" customHeight="1">
      <x:c r="A1" s="76"/>
      <x:c r="B1" s="76"/>
      <x:c r="C1" s="76"/>
      <x:c r="D1" s="76"/>
      <x:c r="E1" s="76"/>
      <x:c r="F1" s="76"/>
      <x:c r="G1" s="76"/>
      <x:c r="H1" s="76"/>
      <x:c r="I1" s="76"/>
      <x:c r="J1" s="76"/>
      <x:c r="K1" s="76"/>
      <x:c r="L1" s="76"/>
      <x:c r="M1" s="76"/>
      <x:c r="N1" s="76"/>
      <x:c r="O1" s="76"/>
      <x:c r="P1" s="76"/>
      <x:c r="Q1" s="76"/>
      <x:c r="R1" s="76"/>
      <x:c r="S1" s="76"/>
      <x:c r="T1" s="76"/>
      <x:c r="U1" s="76"/>
    </x:row>
    <x:row r="2" ht="24" customHeight="1">
      <x:c r="A2" s="77" t="str">
        <x:v>Per-share basis and market ratio checks</x:v>
      </x:c>
      <x:c r="B2" s="76"/>
      <x:c r="C2" s="76"/>
      <x:c r="D2" s="76"/>
      <x:c r="E2" s="76"/>
      <x:c r="F2" s="76"/>
      <x:c r="G2" s="76"/>
      <x:c r="H2" s="76"/>
      <x:c r="I2" s="76"/>
      <x:c r="J2" s="76"/>
      <x:c r="K2" s="76"/>
      <x:c r="L2" s="76"/>
      <x:c r="M2" s="76"/>
      <x:c r="N2" s="76"/>
      <x:c r="O2" s="76"/>
      <x:c r="P2" s="76"/>
      <x:c r="Q2" s="76"/>
      <x:c r="R2" s="76"/>
      <x:c r="S2" s="76"/>
      <x:c r="T2" s="76"/>
      <x:c r="U2" s="76"/>
    </x:row>
    <x:row r="3" ht="24" customHeight="1">
      <x:c r="A3" s="78" t="str">
        <x:v>Prices stay on their actual trading basis. Company-published share-count anomalies remain visible. Source page numbers are PDF pages (1-based); EPS-note excerpts are on Price Evidence.</x:v>
      </x:c>
      <x:c r="B3" s="76"/>
      <x:c r="C3" s="76"/>
      <x:c r="D3" s="76"/>
      <x:c r="E3" s="76"/>
      <x:c r="F3" s="76"/>
      <x:c r="G3" s="76"/>
      <x:c r="H3" s="76"/>
      <x:c r="I3" s="76"/>
      <x:c r="J3" s="76"/>
      <x:c r="K3" s="76"/>
      <x:c r="L3" s="76"/>
      <x:c r="M3" s="76"/>
      <x:c r="N3" s="76"/>
      <x:c r="O3" s="76"/>
      <x:c r="P3" s="76"/>
      <x:c r="Q3" s="76"/>
      <x:c r="R3" s="76"/>
      <x:c r="S3" s="76"/>
      <x:c r="T3" s="76"/>
      <x:c r="U3" s="76"/>
    </x:row>
    <x:row r="4" ht="24" customHeight="1">
      <x:c r="A4" s="76"/>
      <x:c r="B4" s="76"/>
      <x:c r="C4" s="76"/>
      <x:c r="D4" s="76"/>
      <x:c r="E4" s="76"/>
      <x:c r="F4" s="76"/>
      <x:c r="G4" s="76"/>
      <x:c r="H4" s="76"/>
      <x:c r="I4" s="76"/>
      <x:c r="J4" s="76"/>
      <x:c r="K4" s="76"/>
      <x:c r="L4" s="76"/>
      <x:c r="M4" s="76"/>
      <x:c r="N4" s="76"/>
      <x:c r="O4" s="76"/>
      <x:c r="P4" s="76"/>
      <x:c r="Q4" s="76"/>
      <x:c r="R4" s="76"/>
      <x:c r="S4" s="76"/>
      <x:c r="T4" s="76"/>
      <x:c r="U4" s="76"/>
    </x:row>
    <x:row r="5" ht="44" customHeight="1">
      <x:c r="A5" s="82" t="str">
        <x:v>Company</x:v>
      </x:c>
      <x:c r="B5" s="82" t="str">
        <x:v>FY</x:v>
      </x:c>
      <x:c r="C5" s="82" t="str">
        <x:v>FY-end par (Rs)</x:v>
      </x:c>
      <x:c r="D5" s="82" t="str">
        <x:v>Report WAVG (m)</x:v>
      </x:c>
      <x:c r="E5" s="82" t="str">
        <x:v>Report share factor</x:v>
      </x:c>
      <x:c r="F5" s="82" t="str">
        <x:v>Applied WAVG (m)</x:v>
      </x:c>
      <x:c r="G5" s="82" t="str">
        <x:v>FY-end outstanding (m)</x:v>
      </x:c>
      <x:c r="H5" s="82" t="str">
        <x:v>Treasury (m)</x:v>
      </x:c>
      <x:c r="I5" s="82" t="str">
        <x:v>DPS on FY basis (Rs)</x:v>
      </x:c>
      <x:c r="J5" s="82" t="str">
        <x:v>Reported EPS (Rs)</x:v>
      </x:c>
      <x:c r="K5" s="82" t="str">
        <x:v>EPS factor to FY basis</x:v>
      </x:c>
      <x:c r="L5" s="82" t="str">
        <x:v>Calculated EPS (Rs)</x:v>
      </x:c>
      <x:c r="M5" s="82" t="str">
        <x:v>Report EPS on FY basis</x:v>
      </x:c>
      <x:c r="N5" s="82" t="str">
        <x:v>EPS difference (Rs)</x:v>
      </x:c>
      <x:c r="O5" s="82" t="str">
        <x:v>P/E</x:v>
      </x:c>
      <x:c r="P5" s="82" t="str">
        <x:v>Market-to-book</x:v>
      </x:c>
      <x:c r="Q5" s="82" t="str">
        <x:v>Dividend yield</x:v>
      </x:c>
      <x:c r="R5" s="82" t="str">
        <x:v>Basis review</x:v>
      </x:c>
      <x:c r="S5" s="82" t="str">
        <x:v>PDF page</x:v>
      </x:c>
      <x:c r="T5" s="82" t="str">
        <x:v>Source file</x:v>
      </x:c>
      <x:c r="U5" s="82" t="str">
        <x:v>Official source / index</x:v>
      </x:c>
    </x:row>
    <x:row r="6" ht="78" customHeight="1">
      <x:c r="A6" s="84" t="str">
        <x:v>KOHC</x:v>
      </x:c>
      <x:c r="B6" s="85" t="n">
        <x:v>2021</x:v>
      </x:c>
      <x:c r="C6" s="106" t="n">
        <x:v>10</x:v>
      </x:c>
      <x:c r="D6" s="102" t="n">
        <x:v>200.861297</x:v>
      </x:c>
      <x:c r="E6" s="85" t="n">
        <x:v>1</x:v>
      </x:c>
      <x:c r="F6" s="103" t="n">
        <x:f>KOHC!D129</x:f>
        <x:v>200.861297</x:v>
      </x:c>
      <x:c r="G6" s="103" t="n">
        <x:f>KOHC!D128</x:f>
        <x:v>200.86129699999998</x:v>
      </x:c>
      <x:c r="H6" s="103" t="n">
        <x:f>KOHC!D135</x:f>
        <x:v>0</x:v>
      </x:c>
      <x:c r="I6" s="108" t="n">
        <x:f>KOHC!D131</x:f>
        <x:v>0</x:v>
      </x:c>
      <x:c r="J6" s="109" t="n">
        <x:v>17.41</x:v>
      </x:c>
      <x:c r="K6" s="109" t="n">
        <x:v>1</x:v>
      </x:c>
      <x:c r="L6" s="108" t="n">
        <x:f>KOHC!D99/KOHC!D129</x:f>
        <x:v>17.412549352402124</x:v>
      </x:c>
      <x:c r="M6" s="109" t="n">
        <x:f>J6*K6</x:f>
        <x:v>17.41</x:v>
      </x:c>
      <x:c r="N6" s="109" t="n">
        <x:f>L6-M6</x:f>
        <x:v>0.002549352402123617</x:v>
      </x:c>
      <x:c r="O6" s="108" t="n">
        <x:f>KOHC!D172</x:f>
        <x:v>11.858688571154802</x:v>
      </x:c>
      <x:c r="P6" s="108" t="n">
        <x:f>KOHC!D170</x:f>
        <x:v>1.8663025958706099</x:v>
      </x:c>
      <x:c r="Q6" s="112" t="n">
        <x:f>KOHC!D173</x:f>
        <x:v>0</x:v>
      </x:c>
      <x:c r="R6" s="98" t="str">
        <x:v>Verified own-year EPS note. Price and per-share figures use the FY-end share basis.</x:v>
      </x:c>
      <x:c r="S6" s="85" t="n">
        <x:v>86</x:v>
      </x:c>
      <x:c r="T6" s="84" t="str">
        <x:v>KOHC_AR_2021.pdf</x:v>
      </x:c>
      <x:c r="U6" s="84" t="str">
        <x:v>https://www.kohatcement.com/pdf_files/reports/637671305090411851_KOHC_AR_2021.pdf</x:v>
      </x:c>
    </x:row>
    <x:row r="7" ht="78" customHeight="1">
      <x:c r="A7" s="76" t="str">
        <x:v>KOHC</x:v>
      </x:c>
      <x:c r="B7" s="83" t="n">
        <x:v>2022</x:v>
      </x:c>
      <x:c r="C7" s="107" t="n">
        <x:v>10</x:v>
      </x:c>
      <x:c r="D7" s="104" t="n">
        <x:v>200.861297</x:v>
      </x:c>
      <x:c r="E7" s="83" t="n">
        <x:v>1</x:v>
      </x:c>
      <x:c r="F7" s="105" t="n">
        <x:f>KOHC!E129</x:f>
        <x:v>200.861297</x:v>
      </x:c>
      <x:c r="G7" s="105" t="n">
        <x:f>KOHC!E128</x:f>
        <x:v>200.86129699999998</x:v>
      </x:c>
      <x:c r="H7" s="105" t="n">
        <x:f>KOHC!E135</x:f>
        <x:v>0</x:v>
      </x:c>
      <x:c r="I7" s="110" t="n">
        <x:f>KOHC!E131</x:f>
        <x:v>0</x:v>
      </x:c>
      <x:c r="J7" s="111" t="n">
        <x:v>25.01</x:v>
      </x:c>
      <x:c r="K7" s="111" t="n">
        <x:v>1</x:v>
      </x:c>
      <x:c r="L7" s="110" t="n">
        <x:f>KOHC!E99/KOHC!E129</x:f>
        <x:v>25.013680261160516</x:v>
      </x:c>
      <x:c r="M7" s="111" t="n">
        <x:f>J7*K7</x:f>
        <x:v>25.01</x:v>
      </x:c>
      <x:c r="N7" s="111" t="n">
        <x:f>L7-M7</x:f>
        <x:v>0.003680261160514675</x:v>
      </x:c>
      <x:c r="O7" s="110" t="n">
        <x:f>KOHC!E172</x:f>
        <x:v>5.202353217973155</x:v>
      </x:c>
      <x:c r="P7" s="110" t="n">
        <x:f>KOHC!E170</x:f>
        <x:v>0.959328683281757</x:v>
      </x:c>
      <x:c r="Q7" s="113" t="n">
        <x:f>KOHC!E173</x:f>
        <x:v>0</x:v>
      </x:c>
      <x:c r="R7" s="99" t="str">
        <x:v>Verified own-year EPS note. Price and per-share figures use the FY-end share basis.</x:v>
      </x:c>
      <x:c r="S7" s="83" t="n">
        <x:v>94</x:v>
      </x:c>
      <x:c r="T7" s="76" t="str">
        <x:v>Kohat_Cement_AR_2022.pdf</x:v>
      </x:c>
      <x:c r="U7" s="76" t="str">
        <x:v>https://www.kohatcement.com/pdf_files/reports/638034190382643789_Kohat_Cement_AR_2022.pdf</x:v>
      </x:c>
    </x:row>
    <x:row r="8" ht="78" customHeight="1">
      <x:c r="A8" s="84" t="str">
        <x:v>KOHC</x:v>
      </x:c>
      <x:c r="B8" s="85" t="n">
        <x:v>2023</x:v>
      </x:c>
      <x:c r="C8" s="106" t="n">
        <x:v>10</x:v>
      </x:c>
      <x:c r="D8" s="102" t="n">
        <x:v>200.861297</x:v>
      </x:c>
      <x:c r="E8" s="85" t="n">
        <x:v>1</x:v>
      </x:c>
      <x:c r="F8" s="103" t="n">
        <x:f>KOHC!F129</x:f>
        <x:v>200.861297</x:v>
      </x:c>
      <x:c r="G8" s="103" t="n">
        <x:f>KOHC!F128</x:f>
        <x:v>200.86129699999998</x:v>
      </x:c>
      <x:c r="H8" s="103" t="n">
        <x:f>KOHC!F135</x:f>
        <x:v>0</x:v>
      </x:c>
      <x:c r="I8" s="108" t="n">
        <x:f>KOHC!F131</x:f>
        <x:v>0</x:v>
      </x:c>
      <x:c r="J8" s="109" t="n">
        <x:v>28.98</x:v>
      </x:c>
      <x:c r="K8" s="109" t="n">
        <x:v>1</x:v>
      </x:c>
      <x:c r="L8" s="108" t="n">
        <x:f>KOHC!F99/KOHC!F129</x:f>
        <x:v>28.978958275869324</x:v>
      </x:c>
      <x:c r="M8" s="109" t="n">
        <x:f>J8*K8</x:f>
        <x:v>28.98</x:v>
      </x:c>
      <x:c r="N8" s="109" t="n">
        <x:f>L8-M8</x:f>
        <x:v>-0.0010417241306761582</x:v>
      </x:c>
      <x:c r="O8" s="108" t="n">
        <x:f>KOHC!F172</x:f>
        <x:v>5.986067488990722</x:v>
      </x:c>
      <x:c r="P8" s="108" t="n">
        <x:f>KOHC!F170</x:f>
        <x:v>1.0684870021034203</x:v>
      </x:c>
      <x:c r="Q8" s="112" t="n">
        <x:f>KOHC!F173</x:f>
        <x:v>0</x:v>
      </x:c>
      <x:c r="R8" s="98" t="str">
        <x:v>Verified own-year EPS note. Price and per-share figures use the FY-end share basis.</x:v>
      </x:c>
      <x:c r="S8" s="85" t="n">
        <x:v>92</x:v>
      </x:c>
      <x:c r="T8" s="84" t="str">
        <x:v>Financial_Statements-30-06-2023.pdf</x:v>
      </x:c>
      <x:c r="U8" s="84" t="str">
        <x:v>https://www.kohatcement.com/pdf_files/reports/638312334941931258_Financial_Statements-30-06-2023.pdf</x:v>
      </x:c>
    </x:row>
    <x:row r="9" ht="78" customHeight="1">
      <x:c r="A9" s="76" t="str">
        <x:v>KOHC</x:v>
      </x:c>
      <x:c r="B9" s="83" t="n">
        <x:v>2024</x:v>
      </x:c>
      <x:c r="C9" s="107" t="n">
        <x:v>10</x:v>
      </x:c>
      <x:c r="D9" s="104" t="n">
        <x:v>196.435067</x:v>
      </x:c>
      <x:c r="E9" s="83" t="n">
        <x:v>1</x:v>
      </x:c>
      <x:c r="F9" s="105" t="n">
        <x:f>KOHC!G129</x:f>
        <x:v>196.435067</x:v>
      </x:c>
      <x:c r="G9" s="105" t="n">
        <x:f>KOHC!G128</x:f>
        <x:v>195.86129699999998</x:v>
      </x:c>
      <x:c r="H9" s="105" t="n">
        <x:f>KOHC!G135</x:f>
        <x:v>0</x:v>
      </x:c>
      <x:c r="I9" s="110" t="n">
        <x:f>KOHC!G131</x:f>
        <x:v>0</x:v>
      </x:c>
      <x:c r="J9" s="111" t="n">
        <x:v>45.27</x:v>
      </x:c>
      <x:c r="K9" s="111" t="n">
        <x:v>1</x:v>
      </x:c>
      <x:c r="L9" s="110" t="n">
        <x:f>KOHC!G99/KOHC!G129</x:f>
        <x:v>45.27427267861498</x:v>
      </x:c>
      <x:c r="M9" s="111" t="n">
        <x:f>J9*K9</x:f>
        <x:v>45.27</x:v>
      </x:c>
      <x:c r="N9" s="111" t="n">
        <x:f>L9-M9</x:f>
        <x:v>0.004272678614974268</x:v>
      </x:c>
      <x:c r="O9" s="110" t="n">
        <x:f>KOHC!G172</x:f>
        <x:v>5.531397528519306</x:v>
      </x:c>
      <x:c r="P9" s="110" t="n">
        <x:f>KOHC!G170</x:f>
        <x:v>1.1937011482475721</x:v>
      </x:c>
      <x:c r="Q9" s="113" t="n">
        <x:f>KOHC!G173</x:f>
        <x:v>0</x:v>
      </x:c>
      <x:c r="R9" s="99" t="str">
        <x:v>Use own-year note 34.1: 196,435,067 shares. FY2025 comparative note prints conflicting 982,114,704 / 982,183,197 / 196,436,639 counts. Those conflicts are not resolved by an arbitrary adjustment.</x:v>
      </x:c>
      <x:c r="S9" s="83" t="n">
        <x:v>101</x:v>
      </x:c>
      <x:c r="T9" s="76" t="str">
        <x:v>Kohat_Cement_Annual_Report-2024.pdf</x:v>
      </x:c>
      <x:c r="U9" s="76" t="str">
        <x:v>https://www.kohatcement.com/pdf_files/reports/638627682528324242_Kohat_Cement_Annual_Report-2024.pdf</x:v>
      </x:c>
    </x:row>
    <x:row r="10" ht="78" customHeight="1">
      <x:c r="A10" s="84" t="str">
        <x:v>KOHC</x:v>
      </x:c>
      <x:c r="B10" s="85" t="n">
        <x:v>2025</x:v>
      </x:c>
      <x:c r="C10" s="106" t="n">
        <x:v>10</x:v>
      </x:c>
      <x:c r="D10" s="102" t="n">
        <x:v>967.142101</x:v>
      </x:c>
      <x:c r="E10" s="85" t="n">
        <x:v>5</x:v>
      </x:c>
      <x:c r="F10" s="103" t="n">
        <x:f>KOHC!H129</x:f>
        <x:v>193.42842</x:v>
      </x:c>
      <x:c r="G10" s="103" t="n">
        <x:f>KOHC!H128</x:f>
        <x:v>183.86129699999998</x:v>
      </x:c>
      <x:c r="H10" s="103" t="n">
        <x:f>KOHC!H135</x:f>
        <x:v>0</x:v>
      </x:c>
      <x:c r="I10" s="108" t="n">
        <x:f>KOHC!H131</x:f>
        <x:v>0</x:v>
      </x:c>
      <x:c r="J10" s="109" t="n">
        <x:v>11.97</x:v>
      </x:c>
      <x:c r="K10" s="109" t="n">
        <x:v>5</x:v>
      </x:c>
      <x:c r="L10" s="108" t="n">
        <x:f>KOHC!H99/KOHC!H129</x:f>
        <x:v>59.84205460086993</x:v>
      </x:c>
      <x:c r="M10" s="109" t="n">
        <x:f>J10*K10</x:f>
        <x:v>59.85</x:v>
      </x:c>
      <x:c r="N10" s="109" t="n">
        <x:f>L10-M10</x:f>
        <x:v>-0.007945399130072417</x:v>
      </x:c>
      <x:c r="O10" s="108" t="n">
        <x:f>KOHC!H172</x:f>
        <x:v>6.339354531361382</x:v>
      </x:c>
      <x:c r="P10" s="108" t="n">
        <x:f>KOHC!H170</x:f>
        <x:v>1.4544747850514033</x:v>
      </x:c>
      <x:c r="Q10" s="112" t="n">
        <x:f>KOHC!H173</x:f>
        <x:v>0</x:v>
      </x:c>
      <x:c r="R10" s="98" t="str">
        <x:v>FY2025 audited EPS is retrospectively split-adjusted. Use note 33.1.1 pre-split 193,428,420 weighted shares with the unadjusted June close. Split trading starts 25 August.</x:v>
      </x:c>
      <x:c r="S10" s="85" t="n">
        <x:v>109</x:v>
      </x:c>
      <x:c r="T10" s="84" t="str">
        <x:v>Kohat_Cement_Annual_Report_2025.pdf</x:v>
      </x:c>
      <x:c r="U10" s="84" t="str">
        <x:v>https://www.kohatcement.com/pdf_files/reports/638941365011906568_Kohat_Cement_Annual_Report_2025.pdf</x:v>
      </x:c>
    </x:row>
    <x:row r="11" ht="78" customHeight="1">
      <x:c r="A11" s="76" t="str">
        <x:v>LUCK</x:v>
      </x:c>
      <x:c r="B11" s="83" t="n">
        <x:v>2021</x:v>
      </x:c>
      <x:c r="C11" s="107" t="n">
        <x:v>10</x:v>
      </x:c>
      <x:c r="D11" s="104" t="n">
        <x:v>323.375</x:v>
      </x:c>
      <x:c r="E11" s="83" t="n">
        <x:v>1</x:v>
      </x:c>
      <x:c r="F11" s="105" t="n">
        <x:f>LUCK!D129</x:f>
        <x:v>323.375</x:v>
      </x:c>
      <x:c r="G11" s="105" t="n">
        <x:f>LUCK!D128</x:f>
        <x:v>323.375</x:v>
      </x:c>
      <x:c r="H11" s="105" t="n">
        <x:f>LUCK!D135</x:f>
        <x:v>0</x:v>
      </x:c>
      <x:c r="I11" s="110" t="n">
        <x:f>LUCK!D131</x:f>
        <x:v>0</x:v>
      </x:c>
      <x:c r="J11" s="111" t="n">
        <x:v>43.51</x:v>
      </x:c>
      <x:c r="K11" s="111" t="n">
        <x:v>1</x:v>
      </x:c>
      <x:c r="L11" s="110" t="n">
        <x:f>LUCK!D99/LUCK!D129</x:f>
        <x:v>43.51044143795904</x:v>
      </x:c>
      <x:c r="M11" s="111" t="n">
        <x:f>J11*K11</x:f>
        <x:v>43.51</x:v>
      </x:c>
      <x:c r="N11" s="111" t="n">
        <x:f>L11-M11</x:f>
        <x:v>0.00044143795904005856</x:v>
      </x:c>
      <x:c r="O11" s="110" t="n">
        <x:f>LUCK!D172</x:f>
        <x:v>19.844432082610968</x:v>
      </x:c>
      <x:c r="P11" s="110" t="n">
        <x:f>LUCK!D170</x:f>
        <x:v>2.4665571875286716</x:v>
      </x:c>
      <x:c r="Q11" s="113" t="n">
        <x:f>LUCK!D173</x:f>
        <x:v>0</x:v>
      </x:c>
      <x:c r="R11" s="99" t="str">
        <x:v>Verified own-year EPS note. Price and per-share figures use the FY-end share basis.</x:v>
      </x:c>
      <x:c r="S11" s="83" t="n">
        <x:v>222</x:v>
      </x:c>
      <x:c r="T11" s="76" t="str">
        <x:v>2021.pdf</x:v>
      </x:c>
      <x:c r="U11" s="76" t="str">
        <x:v>https://www.lucky-cement.com/investor-relations/downloads/financial-reports/</x:v>
      </x:c>
    </x:row>
    <x:row r="12" ht="78" customHeight="1">
      <x:c r="A12" s="84" t="str">
        <x:v>LUCK</x:v>
      </x:c>
      <x:c r="B12" s="85" t="n">
        <x:v>2022</x:v>
      </x:c>
      <x:c r="C12" s="106" t="n">
        <x:v>10</x:v>
      </x:c>
      <x:c r="D12" s="102" t="n">
        <x:v>323.375</x:v>
      </x:c>
      <x:c r="E12" s="85" t="n">
        <x:v>1</x:v>
      </x:c>
      <x:c r="F12" s="103" t="n">
        <x:f>LUCK!E129</x:f>
        <x:v>323.375</x:v>
      </x:c>
      <x:c r="G12" s="103" t="n">
        <x:f>LUCK!E128</x:f>
        <x:v>323.375</x:v>
      </x:c>
      <x:c r="H12" s="103" t="n">
        <x:f>LUCK!E135</x:f>
        <x:v>0</x:v>
      </x:c>
      <x:c r="I12" s="108" t="n">
        <x:f>LUCK!E131</x:f>
        <x:v>0</x:v>
      </x:c>
      <x:c r="J12" s="109" t="n">
        <x:v>47.31</x:v>
      </x:c>
      <x:c r="K12" s="109" t="n">
        <x:v>1</x:v>
      </x:c>
      <x:c r="L12" s="108" t="n">
        <x:f>LUCK!E99/LUCK!E129</x:f>
        <x:v>47.30921685349824</x:v>
      </x:c>
      <x:c r="M12" s="109" t="n">
        <x:f>J12*K12</x:f>
        <x:v>47.31</x:v>
      </x:c>
      <x:c r="N12" s="109" t="n">
        <x:f>L12-M12</x:f>
        <x:v>-0.0007831465017602568</x:v>
      </x:c>
      <x:c r="O12" s="108" t="n">
        <x:f>LUCK!E172</x:f>
        <x:v>9.702971863210132</x:v>
      </x:c>
      <x:c r="P12" s="108" t="n">
        <x:f>LUCK!E170</x:f>
        <x:v>1.154828736856148</x:v>
      </x:c>
      <x:c r="Q12" s="112" t="n">
        <x:f>LUCK!E173</x:f>
        <x:v>0</x:v>
      </x:c>
      <x:c r="R12" s="98" t="str">
        <x:v>Verified own-year EPS note. Price and per-share figures use the FY-end share basis.</x:v>
      </x:c>
      <x:c r="S12" s="85" t="n">
        <x:v>258</x:v>
      </x:c>
      <x:c r="T12" s="84" t="str">
        <x:v>2022.pdf</x:v>
      </x:c>
      <x:c r="U12" s="84" t="str">
        <x:v>https://www.lucky-cement.com/investor-relations/downloads/financial-reports/</x:v>
      </x:c>
    </x:row>
    <x:row r="13" ht="78" customHeight="1">
      <x:c r="A13" s="76" t="str">
        <x:v>LUCK</x:v>
      </x:c>
      <x:c r="B13" s="83" t="n">
        <x:v>2023</x:v>
      </x:c>
      <x:c r="C13" s="107" t="n">
        <x:v>10</x:v>
      </x:c>
      <x:c r="D13" s="104" t="n">
        <x:v>318.749</x:v>
      </x:c>
      <x:c r="E13" s="83" t="n">
        <x:v>1</x:v>
      </x:c>
      <x:c r="F13" s="105" t="n">
        <x:f>LUCK!F129</x:f>
        <x:v>318.749</x:v>
      </x:c>
      <x:c r="G13" s="105" t="n">
        <x:f>LUCK!F128</x:f>
        <x:v>311.8386</x:v>
      </x:c>
      <x:c r="H13" s="105" t="n">
        <x:f>LUCK!F135</x:f>
        <x:v>0</x:v>
      </x:c>
      <x:c r="I13" s="110" t="n">
        <x:f>LUCK!F131</x:f>
        <x:v>18</x:v>
      </x:c>
      <x:c r="J13" s="111" t="n">
        <x:v>43.06</x:v>
      </x:c>
      <x:c r="K13" s="111" t="n">
        <x:v>1</x:v>
      </x:c>
      <x:c r="L13" s="110" t="n">
        <x:f>LUCK!F99/LUCK!F129</x:f>
        <x:v>43.06151234984266</x:v>
      </x:c>
      <x:c r="M13" s="111" t="n">
        <x:f>J13*K13</x:f>
        <x:v>43.06</x:v>
      </x:c>
      <x:c r="N13" s="111" t="n">
        <x:f>L13-M13</x:f>
        <x:v>0.0015123498426561355</x:v>
      </x:c>
      <x:c r="O13" s="110" t="n">
        <x:f>LUCK!F172</x:f>
        <x:v>12.124283879265743</x:v>
      </x:c>
      <x:c r="P13" s="110" t="n">
        <x:f>LUCK!F170</x:f>
        <x:v>1.185209064075864</x:v>
      </x:c>
      <x:c r="Q13" s="113" t="n">
        <x:f>LUCK!F173</x:f>
        <x:v>0.034476814342354764</x:v>
      </x:c>
      <x:c r="R13" s="99" t="str">
        <x:v>Own-year note 36: 318.749m weighted shares, EPS 43.06. FY2025 summary prints split-basis EPS 8.49, which differs from 43.06 / 5. Use the audited own-year EPS denominator; summary discrepancy remains unresolved.</x:v>
      </x:c>
      <x:c r="S13" s="83" t="n">
        <x:v>266</x:v>
      </x:c>
      <x:c r="T13" s="76" t="str">
        <x:v>2023.pdf</x:v>
      </x:c>
      <x:c r="U13" s="76" t="str">
        <x:v>https://www.lucky-cement.com/investor-relations/downloads/financial-reports/</x:v>
      </x:c>
    </x:row>
    <x:row r="14" ht="78" customHeight="1">
      <x:c r="A14" s="84" t="str">
        <x:v>LUCK</x:v>
      </x:c>
      <x:c r="B14" s="85" t="n">
        <x:v>2024</x:v>
      </x:c>
      <x:c r="C14" s="106" t="n">
        <x:v>10</x:v>
      </x:c>
      <x:c r="D14" s="102" t="n">
        <x:v>297.296</x:v>
      </x:c>
      <x:c r="E14" s="85" t="n">
        <x:v>1</x:v>
      </x:c>
      <x:c r="F14" s="103" t="n">
        <x:f>LUCK!G129</x:f>
        <x:v>297.296</x:v>
      </x:c>
      <x:c r="G14" s="103" t="n">
        <x:f>LUCK!G128</x:f>
        <x:v>293</x:v>
      </x:c>
      <x:c r="H14" s="103" t="n">
        <x:f>LUCK!G135</x:f>
        <x:v>0</x:v>
      </x:c>
      <x:c r="I14" s="108" t="n">
        <x:f>LUCK!G131</x:f>
        <x:v>15</x:v>
      </x:c>
      <x:c r="J14" s="109" t="n">
        <x:v>94.54</x:v>
      </x:c>
      <x:c r="K14" s="109" t="n">
        <x:v>1</x:v>
      </x:c>
      <x:c r="L14" s="108" t="n">
        <x:f>LUCK!G99/LUCK!G129</x:f>
        <x:v>94.54058917711643</x:v>
      </x:c>
      <x:c r="M14" s="109" t="n">
        <x:f>J14*K14</x:f>
        <x:v>94.54</x:v>
      </x:c>
      <x:c r="N14" s="109" t="n">
        <x:f>L14-M14</x:f>
        <x:v>0.0005891771164243664</x:v>
      </x:c>
      <x:c r="O14" s="108" t="n">
        <x:f>LUCK!G172</x:f>
        <x:v>9.590907015623658</x:v>
      </x:c>
      <x:c r="P14" s="108" t="n">
        <x:f>LUCK!G170</x:f>
        <x:v>1.7979804681845026</x:v>
      </x:c>
      <x:c r="Q14" s="112" t="n">
        <x:f>LUCK!G173</x:f>
        <x:v>0.016542962072502287</x:v>
      </x:c>
      <x:c r="R14" s="98" t="str">
        <x:v>Verified own-year EPS note. Price and per-share figures use the FY-end share basis.</x:v>
      </x:c>
      <x:c r="S14" s="85" t="n">
        <x:v>271</x:v>
      </x:c>
      <x:c r="T14" s="84" t="str">
        <x:v>2024.pdf</x:v>
      </x:c>
      <x:c r="U14" s="84" t="str">
        <x:v>https://www.lucky-cement.com/investor-relations/downloads/financial-reports/</x:v>
      </x:c>
    </x:row>
    <x:row r="15" ht="78" customHeight="1">
      <x:c r="A15" s="76" t="str">
        <x:v>LUCK</x:v>
      </x:c>
      <x:c r="B15" s="83" t="n">
        <x:v>2025</x:v>
      </x:c>
      <x:c r="C15" s="107" t="n">
        <x:v>2</x:v>
      </x:c>
      <x:c r="D15" s="104" t="n">
        <x:v>1465</x:v>
      </x:c>
      <x:c r="E15" s="83" t="n">
        <x:v>1</x:v>
      </x:c>
      <x:c r="F15" s="105" t="n">
        <x:f>LUCK!H129</x:f>
        <x:v>1465</x:v>
      </x:c>
      <x:c r="G15" s="105" t="n">
        <x:f>LUCK!H128</x:f>
        <x:v>1465</x:v>
      </x:c>
      <x:c r="H15" s="105" t="n">
        <x:f>LUCK!H135</x:f>
        <x:v>0</x:v>
      </x:c>
      <x:c r="I15" s="110" t="n">
        <x:f>LUCK!H131</x:f>
        <x:v>4</x:v>
      </x:c>
      <x:c r="J15" s="111" t="n">
        <x:v>22.59</x:v>
      </x:c>
      <x:c r="K15" s="111" t="n">
        <x:v>1</x:v>
      </x:c>
      <x:c r="L15" s="110" t="n">
        <x:f>LUCK!H99/LUCK!H129</x:f>
        <x:v>22.58850648464164</x:v>
      </x:c>
      <x:c r="M15" s="111" t="n">
        <x:f>J15*K15</x:f>
        <x:v>22.59</x:v>
      </x:c>
      <x:c r="N15" s="111" t="n">
        <x:f>L15-M15</x:f>
        <x:v>-0.0014935153583586214</x:v>
      </x:c>
      <x:c r="O15" s="110" t="n">
        <x:f>LUCK!H172</x:f>
        <x:v>15.726582022655393</x:v>
      </x:c>
      <x:c r="P15" s="110" t="n">
        <x:f>LUCK!H170</x:f>
        <x:v>2.9584754511387614</x:v>
      </x:c>
      <x:c r="Q15" s="113" t="n">
        <x:f>LUCK!H173</x:f>
        <x:v>0.011259993244004052</x:v>
      </x:c>
      <x:c r="R15" s="99" t="str">
        <x:v>Verified own-year EPS note. Price and per-share figures use the FY-end share basis.</x:v>
      </x:c>
      <x:c r="S15" s="83" t="n">
        <x:v>274</x:v>
      </x:c>
      <x:c r="T15" s="76" t="str">
        <x:v>2025.pdf</x:v>
      </x:c>
      <x:c r="U15" s="76" t="str">
        <x:v>https://www.lucky-cement.com/wp-content/uploads/2025/09/Lucky-Cement-AR-2025_compressed.pdf</x:v>
      </x:c>
    </x:row>
    <x:row r="16" ht="78" customHeight="1">
      <x:c r="A16" s="84" t="str">
        <x:v>DGKC</x:v>
      </x:c>
      <x:c r="B16" s="85" t="n">
        <x:v>2021</x:v>
      </x:c>
      <x:c r="C16" s="106" t="n">
        <x:v>10</x:v>
      </x:c>
      <x:c r="D16" s="102" t="n">
        <x:v>438.119118</x:v>
      </x:c>
      <x:c r="E16" s="85" t="n">
        <x:v>1</x:v>
      </x:c>
      <x:c r="F16" s="103" t="n">
        <x:f>DGKC!D129</x:f>
        <x:v>438.119118</x:v>
      </x:c>
      <x:c r="G16" s="103" t="n">
        <x:f>DGKC!D128</x:f>
        <x:v>438.1191</x:v>
      </x:c>
      <x:c r="H16" s="103" t="n">
        <x:f>DGKC!D135</x:f>
        <x:v>0</x:v>
      </x:c>
      <x:c r="I16" s="108" t="n">
        <x:f>DGKC!D131</x:f>
        <x:v>1</x:v>
      </x:c>
      <x:c r="J16" s="109" t="n">
        <x:v>8.49</x:v>
      </x:c>
      <x:c r="K16" s="109" t="n">
        <x:v>1</x:v>
      </x:c>
      <x:c r="L16" s="108" t="n">
        <x:f>DGKC!D99/DGKC!D129</x:f>
        <x:v>8.493747127465003</x:v>
      </x:c>
      <x:c r="M16" s="109" t="n">
        <x:f>J16*K16</x:f>
        <x:v>8.49</x:v>
      </x:c>
      <x:c r="N16" s="109" t="n">
        <x:f>L16-M16</x:f>
        <x:v>0.0037471274650027198</x:v>
      </x:c>
      <x:c r="O16" s="108" t="n">
        <x:f>DGKC!D172</x:f>
        <x:v>13.883154069739035</x:v>
      </x:c>
      <x:c r="P16" s="108" t="n">
        <x:f>DGKC!D170</x:f>
        <x:v>0.7031096868032638</x:v>
      </x:c>
      <x:c r="Q16" s="112" t="n">
        <x:f>DGKC!D173</x:f>
        <x:v>0.008480325644504749</x:v>
      </x:c>
      <x:c r="R16" s="98" t="str">
        <x:v>Verified own-year EPS note. Price and per-share figures use the FY-end share basis.</x:v>
      </x:c>
      <x:c r="S16" s="85" t="n">
        <x:v>155</x:v>
      </x:c>
      <x:c r="T16" s="84" t="str">
        <x:v>DG_Annual_Report_2021.pdf</x:v>
      </x:c>
      <x:c r="U16" s="84" t="str">
        <x:v>https://www.dgcement.com/financial-reports/DG_Annual_Report_2021.pdf</x:v>
      </x:c>
    </x:row>
    <x:row r="17" ht="78" customHeight="1">
      <x:c r="A17" s="76" t="str">
        <x:v>DGKC</x:v>
      </x:c>
      <x:c r="B17" s="83" t="n">
        <x:v>2022</x:v>
      </x:c>
      <x:c r="C17" s="107" t="n">
        <x:v>10</x:v>
      </x:c>
      <x:c r="D17" s="104" t="n">
        <x:v>438.119118</x:v>
      </x:c>
      <x:c r="E17" s="83" t="n">
        <x:v>1</x:v>
      </x:c>
      <x:c r="F17" s="105" t="n">
        <x:f>DGKC!E129</x:f>
        <x:v>438.119118</x:v>
      </x:c>
      <x:c r="G17" s="105" t="n">
        <x:f>DGKC!E128</x:f>
        <x:v>438.1191</x:v>
      </x:c>
      <x:c r="H17" s="105" t="n">
        <x:f>DGKC!E135</x:f>
        <x:v>0</x:v>
      </x:c>
      <x:c r="I17" s="110" t="n">
        <x:f>DGKC!E131</x:f>
        <x:v>1</x:v>
      </x:c>
      <x:c r="J17" s="111" t="n">
        <x:v>6.78</x:v>
      </x:c>
      <x:c r="K17" s="111" t="n">
        <x:v>1</x:v>
      </x:c>
      <x:c r="L17" s="110" t="n">
        <x:f>DGKC!E99/DGKC!E129</x:f>
        <x:v>6.783844570781772</x:v>
      </x:c>
      <x:c r="M17" s="111" t="n">
        <x:f>J17*K17</x:f>
        <x:v>6.78</x:v>
      </x:c>
      <x:c r="N17" s="111" t="n">
        <x:f>L17-M17</x:f>
        <x:v>0.0038445707817720276</x:v>
      </x:c>
      <x:c r="O17" s="110" t="n">
        <x:f>DGKC!E172</x:f>
        <x:v>9.213064855464028</x:v>
      </x:c>
      <x:c r="P17" s="110" t="n">
        <x:f>DGKC!E170</x:f>
        <x:v>0.3916359707533251</x:v>
      </x:c>
      <x:c r="Q17" s="113" t="n">
        <x:f>DGKC!E173</x:f>
        <x:v>0.016</x:v>
      </x:c>
      <x:c r="R17" s="99" t="str">
        <x:v>Verified own-year EPS note. Price and per-share figures use the FY-end share basis.</x:v>
      </x:c>
      <x:c r="S17" s="83" t="n">
        <x:v>177</x:v>
      </x:c>
      <x:c r="T17" s="76" t="str">
        <x:v>DG_Annual_Report_2022.pdf</x:v>
      </x:c>
      <x:c r="U17" s="76" t="str">
        <x:v>https://www.dgcement.com/financial-reports/DG_Annual_Report_2022.pdf</x:v>
      </x:c>
    </x:row>
    <x:row r="18" ht="78" customHeight="1">
      <x:c r="A18" s="84" t="str">
        <x:v>DGKC</x:v>
      </x:c>
      <x:c r="B18" s="85" t="n">
        <x:v>2023</x:v>
      </x:c>
      <x:c r="C18" s="106" t="n">
        <x:v>10</x:v>
      </x:c>
      <x:c r="D18" s="102" t="n">
        <x:v>438.119118</x:v>
      </x:c>
      <x:c r="E18" s="85" t="n">
        <x:v>1</x:v>
      </x:c>
      <x:c r="F18" s="103" t="n">
        <x:f>DGKC!F129</x:f>
        <x:v>438.119118</x:v>
      </x:c>
      <x:c r="G18" s="103" t="n">
        <x:f>DGKC!F128</x:f>
        <x:v>438.1191</x:v>
      </x:c>
      <x:c r="H18" s="103" t="n">
        <x:f>DGKC!F135</x:f>
        <x:v>0</x:v>
      </x:c>
      <x:c r="I18" s="108" t="n">
        <x:f>DGKC!F131</x:f>
        <x:v>0</x:v>
      </x:c>
      <x:c r="J18" s="109" t="n">
        <x:v>-8.3</x:v>
      </x:c>
      <x:c r="K18" s="109" t="n">
        <x:v>1</x:v>
      </x:c>
      <x:c r="L18" s="108" t="n">
        <x:f>DGKC!F99/DGKC!F129</x:f>
        <x:v>-8.299058065756444</x:v>
      </x:c>
      <x:c r="M18" s="109" t="n">
        <x:f>J18*K18</x:f>
        <x:v>-8.3</x:v>
      </x:c>
      <x:c r="N18" s="109" t="n">
        <x:f>L18-M18</x:f>
        <x:v>0.0009419342435563749</x:v>
      </x:c>
      <x:c r="O18" s="108" t="str">
        <x:f>DGKC!F172</x:f>
        <x:v>n/m</x:v>
      </x:c>
      <x:c r="P18" s="108" t="n">
        <x:f>DGKC!F170</x:f>
        <x:v>0.35012794187063967</x:v>
      </x:c>
      <x:c r="Q18" s="112" t="n">
        <x:f>DGKC!F173</x:f>
        <x:v>0</x:v>
      </x:c>
      <x:c r="R18" s="98" t="str">
        <x:v>Verified own-year EPS note. Price and per-share figures use the FY-end share basis.</x:v>
      </x:c>
      <x:c r="S18" s="85" t="n">
        <x:v>202</x:v>
      </x:c>
      <x:c r="T18" s="84" t="str">
        <x:v>DGAnnual2023.pdf</x:v>
      </x:c>
      <x:c r="U18" s="84" t="str">
        <x:v>https://www.dgcement.com/financial-reports/DGAnnual2023.pdf</x:v>
      </x:c>
    </x:row>
    <x:row r="19" ht="78" customHeight="1">
      <x:c r="A19" s="76" t="str">
        <x:v>DGKC</x:v>
      </x:c>
      <x:c r="B19" s="83" t="n">
        <x:v>2024</x:v>
      </x:c>
      <x:c r="C19" s="107" t="n">
        <x:v>10</x:v>
      </x:c>
      <x:c r="D19" s="104" t="n">
        <x:v>438.119118</x:v>
      </x:c>
      <x:c r="E19" s="83" t="n">
        <x:v>1</x:v>
      </x:c>
      <x:c r="F19" s="105" t="n">
        <x:f>DGKC!G129</x:f>
        <x:v>438.119118</x:v>
      </x:c>
      <x:c r="G19" s="105" t="n">
        <x:f>DGKC!G128</x:f>
        <x:v>438.1191</x:v>
      </x:c>
      <x:c r="H19" s="105" t="n">
        <x:f>DGKC!G135</x:f>
        <x:v>0</x:v>
      </x:c>
      <x:c r="I19" s="110" t="n">
        <x:f>DGKC!G131</x:f>
        <x:v>0</x:v>
      </x:c>
      <x:c r="J19" s="111" t="n">
        <x:v>1.24</x:v>
      </x:c>
      <x:c r="K19" s="111" t="n">
        <x:v>1</x:v>
      </x:c>
      <x:c r="L19" s="110" t="n">
        <x:f>DGKC!G99/DGKC!G129</x:f>
        <x:v>1.2380103440270365</x:v>
      </x:c>
      <x:c r="M19" s="111" t="n">
        <x:f>J19*K19</x:f>
        <x:v>1.24</x:v>
      </x:c>
      <x:c r="N19" s="111" t="n">
        <x:f>L19-M19</x:f>
        <x:v>-0.001989655972963522</x:v>
      </x:c>
      <x:c r="O19" s="110" t="n">
        <x:f>DGKC!G172</x:f>
        <x:v>72.91538429829842</x:v>
      </x:c>
      <x:c r="P19" s="110" t="n">
        <x:f>DGKC!G170</x:f>
        <x:v>0.5214277509838222</x:v>
      </x:c>
      <x:c r="Q19" s="113" t="n">
        <x:f>DGKC!G173</x:f>
        <x:v>0</x:v>
      </x:c>
      <x:c r="R19" s="99" t="str">
        <x:v>Verified own-year EPS note. Price and per-share figures use the FY-end share basis.</x:v>
      </x:c>
      <x:c r="S19" s="83" t="n">
        <x:v>205</x:v>
      </x:c>
      <x:c r="T19" s="76" t="str">
        <x:v>DGAnnual2024.pdf</x:v>
      </x:c>
      <x:c r="U19" s="76" t="str">
        <x:v>https://www.dgcement.com/financial-reports/DGAnnual2024.pdf</x:v>
      </x:c>
    </x:row>
    <x:row r="20" ht="78" customHeight="1">
      <x:c r="A20" s="84" t="str">
        <x:v>DGKC</x:v>
      </x:c>
      <x:c r="B20" s="85" t="n">
        <x:v>2025</x:v>
      </x:c>
      <x:c r="C20" s="106" t="n">
        <x:v>10</x:v>
      </x:c>
      <x:c r="D20" s="102" t="n">
        <x:v>438.119118</x:v>
      </x:c>
      <x:c r="E20" s="85" t="n">
        <x:v>1</x:v>
      </x:c>
      <x:c r="F20" s="103" t="n">
        <x:f>DGKC!H129</x:f>
        <x:v>438.119118</x:v>
      </x:c>
      <x:c r="G20" s="103" t="n">
        <x:f>DGKC!H128</x:f>
        <x:v>438.1191</x:v>
      </x:c>
      <x:c r="H20" s="103" t="n">
        <x:f>DGKC!H135</x:f>
        <x:v>0</x:v>
      </x:c>
      <x:c r="I20" s="108" t="n">
        <x:f>DGKC!H131</x:f>
        <x:v>2</x:v>
      </x:c>
      <x:c r="J20" s="109" t="n">
        <x:v>19.8</x:v>
      </x:c>
      <x:c r="K20" s="109" t="n">
        <x:v>1</x:v>
      </x:c>
      <x:c r="L20" s="108" t="n">
        <x:f>DGKC!H99/DGKC!H129</x:f>
        <x:v>19.800685803443983</x:v>
      </x:c>
      <x:c r="M20" s="109" t="n">
        <x:f>J20*K20</x:f>
        <x:v>19.8</x:v>
      </x:c>
      <x:c r="N20" s="109" t="n">
        <x:f>L20-M20</x:f>
        <x:v>0.0006858034439822802</x:v>
      </x:c>
      <x:c r="O20" s="108" t="n">
        <x:f>DGKC!H172</x:f>
        <x:v>8.361326554214791</x:v>
      </x:c>
      <x:c r="P20" s="108" t="n">
        <x:f>DGKC!H170</x:f>
        <x:v>0.7662082029480072</x:v>
      </x:c>
      <x:c r="Q20" s="112" t="n">
        <x:f>DGKC!H173</x:f>
        <x:v>0.012080212611741966</x:v>
      </x:c>
      <x:c r="R20" s="98" t="str">
        <x:v>Verified own-year EPS note. Price and per-share figures use the FY-end share basis.</x:v>
      </x:c>
      <x:c r="S20" s="85" t="n">
        <x:v>210</x:v>
      </x:c>
      <x:c r="T20" s="84" t="str">
        <x:v>DGAnnual2025.pdf</x:v>
      </x:c>
      <x:c r="U20" s="84" t="str">
        <x:v>https://www.dgcement.com/financial-reports/DGAnnual2025.pdf</x:v>
      </x:c>
    </x:row>
    <x:row r="21" ht="78" customHeight="1">
      <x:c r="A21" s="76" t="str">
        <x:v>MLCF</x:v>
      </x:c>
      <x:c r="B21" s="83" t="n">
        <x:v>2021</x:v>
      </x:c>
      <x:c r="C21" s="107" t="n">
        <x:v>10</x:v>
      </x:c>
      <x:c r="D21" s="104" t="n">
        <x:v>1098.346</x:v>
      </x:c>
      <x:c r="E21" s="83" t="n">
        <x:v>1</x:v>
      </x:c>
      <x:c r="F21" s="105" t="n">
        <x:f>MLCF!D129</x:f>
        <x:v>1098.346</x:v>
      </x:c>
      <x:c r="G21" s="105" t="n">
        <x:f>MLCF!D128</x:f>
        <x:v>1098.3462</x:v>
      </x:c>
      <x:c r="H21" s="105" t="n">
        <x:f>MLCF!D135</x:f>
        <x:v>0</x:v>
      </x:c>
      <x:c r="I21" s="110" t="n">
        <x:f>MLCF!D131</x:f>
        <x:v>0</x:v>
      </x:c>
      <x:c r="J21" s="111" t="n">
        <x:v>5.69</x:v>
      </x:c>
      <x:c r="K21" s="111" t="n">
        <x:v>1</x:v>
      </x:c>
      <x:c r="L21" s="110" t="n">
        <x:f>MLCF!D99/MLCF!D129</x:f>
        <x:v>5.694115515511503</x:v>
      </x:c>
      <x:c r="M21" s="111" t="n">
        <x:f>J21*K21</x:f>
        <x:v>5.69</x:v>
      </x:c>
      <x:c r="N21" s="111" t="n">
        <x:f>L21-M21</x:f>
        <x:v>0.0041155155115024655</x:v>
      </x:c>
      <x:c r="O21" s="110" t="n">
        <x:f>MLCF!D172</x:f>
        <x:v>8.250622923265333</x:v>
      </x:c>
      <x:c r="P21" s="110" t="n">
        <x:f>MLCF!D170</x:f>
        <x:v>1.3744489078669448</x:v>
      </x:c>
      <x:c r="Q21" s="113" t="n">
        <x:f>MLCF!D173</x:f>
        <x:v>0</x:v>
      </x:c>
      <x:c r="R21" s="99" t="str">
        <x:v>Verified own-year EPS note. Price and per-share figures use the FY-end share basis.</x:v>
      </x:c>
      <x:c r="S21" s="83" t="n">
        <x:v>222</x:v>
      </x:c>
      <x:c r="T21" s="76" t="str">
        <x:v>2021.pdf</x:v>
      </x:c>
      <x:c r="U21" s="76" t="str">
        <x:v>https://www.kmlg.com/mlcfl/financials/</x:v>
      </x:c>
    </x:row>
    <x:row r="22" ht="78" customHeight="1">
      <x:c r="A22" s="84" t="str">
        <x:v>MLCF</x:v>
      </x:c>
      <x:c r="B22" s="85" t="n">
        <x:v>2022</x:v>
      </x:c>
      <x:c r="C22" s="106" t="n">
        <x:v>10</x:v>
      </x:c>
      <x:c r="D22" s="102" t="n">
        <x:v>1097.524</x:v>
      </x:c>
      <x:c r="E22" s="85" t="n">
        <x:v>1</x:v>
      </x:c>
      <x:c r="F22" s="103" t="n">
        <x:f>MLCF!E129</x:f>
        <x:v>1097.524</x:v>
      </x:c>
      <x:c r="G22" s="103" t="n">
        <x:f>MLCF!E128</x:f>
        <x:v>1079.8011999999999</x:v>
      </x:c>
      <x:c r="H22" s="103" t="n">
        <x:f>MLCF!E135</x:f>
        <x:v>18.545</x:v>
      </x:c>
      <x:c r="I22" s="108" t="n">
        <x:f>MLCF!E131</x:f>
        <x:v>0</x:v>
      </x:c>
      <x:c r="J22" s="109" t="n">
        <x:v>3.3</x:v>
      </x:c>
      <x:c r="K22" s="109" t="n">
        <x:v>1</x:v>
      </x:c>
      <x:c r="L22" s="108" t="n">
        <x:f>MLCF!E99/MLCF!E129</x:f>
        <x:v>3.3041099784606085</x:v>
      </x:c>
      <x:c r="M22" s="109" t="n">
        <x:f>J22*K22</x:f>
        <x:v>3.3</x:v>
      </x:c>
      <x:c r="N22" s="109" t="n">
        <x:f>L22-M22</x:f>
        <x:v>0.0041099784606086764</x:v>
      </x:c>
      <x:c r="O22" s="108" t="n">
        <x:f>MLCF!E172</x:f>
        <x:v>8.277569505341472</x:v>
      </x:c>
      <x:c r="P22" s="108" t="n">
        <x:f>MLCF!E170</x:f>
        <x:v>0.7281380679486422</x:v>
      </x:c>
      <x:c r="Q22" s="112" t="n">
        <x:f>MLCF!E173</x:f>
        <x:v>0</x:v>
      </x:c>
      <x:c r="R22" s="98" t="str">
        <x:v>Deduct treasury shares reported as 18.545m in note 6.3 from issued shares for BVPS. Source precision is 0.001m shares. Reported BVPS instead uses issued shares, including treasury stock.</x:v>
      </x:c>
      <x:c r="S22" s="85" t="n">
        <x:v>244</x:v>
      </x:c>
      <x:c r="T22" s="84" t="str">
        <x:v>2022.pdf</x:v>
      </x:c>
      <x:c r="U22" s="84" t="str">
        <x:v>https://www.kmlg.com/mlcfl/wp-content/uploads/2022/10/MLCF_AR_2022.pdf</x:v>
      </x:c>
    </x:row>
    <x:row r="23" ht="78" customHeight="1">
      <x:c r="A23" s="76" t="str">
        <x:v>MLCF</x:v>
      </x:c>
      <x:c r="B23" s="83" t="n">
        <x:v>2023</x:v>
      </x:c>
      <x:c r="C23" s="107" t="n">
        <x:v>10</x:v>
      </x:c>
      <x:c r="D23" s="104" t="n">
        <x:v>1073.405</x:v>
      </x:c>
      <x:c r="E23" s="83" t="n">
        <x:v>1</x:v>
      </x:c>
      <x:c r="F23" s="105" t="n">
        <x:f>MLCF!F129</x:f>
        <x:v>1073.405</x:v>
      </x:c>
      <x:c r="G23" s="105" t="n">
        <x:f>MLCF!F128</x:f>
        <x:v>1073.3462</x:v>
      </x:c>
      <x:c r="H23" s="105" t="n">
        <x:f>MLCF!F135</x:f>
        <x:v>0</x:v>
      </x:c>
      <x:c r="I23" s="110" t="n">
        <x:f>MLCF!F131</x:f>
        <x:v>0</x:v>
      </x:c>
      <x:c r="J23" s="111" t="n">
        <x:v>4.18</x:v>
      </x:c>
      <x:c r="K23" s="111" t="n">
        <x:v>1</x:v>
      </x:c>
      <x:c r="L23" s="110" t="n">
        <x:f>MLCF!F99/MLCF!F129</x:f>
        <x:v>4.18450538240459</x:v>
      </x:c>
      <x:c r="M23" s="111" t="n">
        <x:f>J23*K23</x:f>
        <x:v>4.18</x:v>
      </x:c>
      <x:c r="N23" s="111" t="n">
        <x:f>L23-M23</x:f>
        <x:v>0.004505382404590641</x:v>
      </x:c>
      <x:c r="O23" s="110" t="n">
        <x:f>MLCF!F172</x:f>
        <x:v>6.770214735324442</x:v>
      </x:c>
      <x:c r="P23" s="110" t="n">
        <x:f>MLCF!F170</x:f>
        <x:v>0.6770382887724061</x:v>
      </x:c>
      <x:c r="Q23" s="113" t="n">
        <x:f>MLCF!F173</x:f>
        <x:v>0</x:v>
      </x:c>
      <x:c r="R23" s="99" t="str">
        <x:v>Verified own-year EPS note. Price and per-share figures use the FY-end share basis.</x:v>
      </x:c>
      <x:c r="S23" s="83" t="n">
        <x:v>129</x:v>
      </x:c>
      <x:c r="T23" s="76" t="str">
        <x:v>2023.pdf</x:v>
      </x:c>
      <x:c r="U23" s="76" t="str">
        <x:v>https://www.kmlg.com/mlcfl/financials/</x:v>
      </x:c>
    </x:row>
    <x:row r="24" ht="78" customHeight="1">
      <x:c r="A24" s="84" t="str">
        <x:v>MLCF</x:v>
      </x:c>
      <x:c r="B24" s="85" t="n">
        <x:v>2024</x:v>
      </x:c>
      <x:c r="C24" s="106" t="n">
        <x:v>10</x:v>
      </x:c>
      <x:c r="D24" s="102" t="n">
        <x:v>1058.911</x:v>
      </x:c>
      <x:c r="E24" s="85" t="n">
        <x:v>1</x:v>
      </x:c>
      <x:c r="F24" s="103" t="n">
        <x:f>MLCF!G129</x:f>
        <x:v>1058.911</x:v>
      </x:c>
      <x:c r="G24" s="103" t="n">
        <x:f>MLCF!G128</x:f>
        <x:v>1047.5626</x:v>
      </x:c>
      <x:c r="H24" s="103" t="n">
        <x:f>MLCF!G135</x:f>
        <x:v>0</x:v>
      </x:c>
      <x:c r="I24" s="108" t="n">
        <x:f>MLCF!G131</x:f>
        <x:v>0</x:v>
      </x:c>
      <x:c r="J24" s="109" t="n">
        <x:v>4.98</x:v>
      </x:c>
      <x:c r="K24" s="109" t="n">
        <x:v>1</x:v>
      </x:c>
      <x:c r="L24" s="108" t="n">
        <x:f>MLCF!G99/MLCF!G129</x:f>
        <x:v>4.979197496295721</x:v>
      </x:c>
      <x:c r="M24" s="109" t="n">
        <x:f>J24*K24</x:f>
        <x:v>4.98</x:v>
      </x:c>
      <x:c r="N24" s="109" t="n">
        <x:f>L24-M24</x:f>
        <x:v>-0.000802503704279367</x:v>
      </x:c>
      <x:c r="O24" s="108" t="n">
        <x:f>MLCF!G172</x:f>
        <x:v>7.631751909473391</x:v>
      </x:c>
      <x:c r="P24" s="108" t="n">
        <x:f>MLCF!G170</x:f>
        <x:v>0.7565654630534934</x:v>
      </x:c>
      <x:c r="Q24" s="112" t="n">
        <x:f>MLCF!G173</x:f>
        <x:v>0</x:v>
      </x:c>
      <x:c r="R24" s="98" t="str">
        <x:v>Verified own-year EPS note. Price and per-share figures use the FY-end share basis.</x:v>
      </x:c>
      <x:c r="S24" s="85" t="n">
        <x:v>251</x:v>
      </x:c>
      <x:c r="T24" s="84" t="str">
        <x:v>2024.pdf</x:v>
      </x:c>
      <x:c r="U24" s="84" t="str">
        <x:v>https://www.kmlg.com/mlcfl/financials/</x:v>
      </x:c>
    </x:row>
    <x:row r="25" ht="78" customHeight="1">
      <x:c r="A25" s="76" t="str">
        <x:v>MLCF</x:v>
      </x:c>
      <x:c r="B25" s="83" t="n">
        <x:v>2025</x:v>
      </x:c>
      <x:c r="C25" s="107" t="n">
        <x:v>10</x:v>
      </x:c>
      <x:c r="D25" s="104" t="n">
        <x:v>1047.563</x:v>
      </x:c>
      <x:c r="E25" s="83" t="n">
        <x:v>1</x:v>
      </x:c>
      <x:c r="F25" s="105" t="n">
        <x:f>MLCF!H129</x:f>
        <x:v>1047.563</x:v>
      </x:c>
      <x:c r="G25" s="105" t="n">
        <x:f>MLCF!H128</x:f>
        <x:v>1047.5626</x:v>
      </x:c>
      <x:c r="H25" s="105" t="n">
        <x:f>MLCF!H135</x:f>
        <x:v>0</x:v>
      </x:c>
      <x:c r="I25" s="110" t="n">
        <x:f>MLCF!H131</x:f>
        <x:v>0</x:v>
      </x:c>
      <x:c r="J25" s="111" t="n">
        <x:v>16.26</x:v>
      </x:c>
      <x:c r="K25" s="111" t="n">
        <x:v>1</x:v>
      </x:c>
      <x:c r="L25" s="110" t="n">
        <x:f>MLCF!H99/MLCF!H129</x:f>
        <x:v>16.262863426829693</x:v>
      </x:c>
      <x:c r="M25" s="111" t="n">
        <x:f>J25*K25</x:f>
        <x:v>16.26</x:v>
      </x:c>
      <x:c r="N25" s="111" t="n">
        <x:f>L25-M25</x:f>
        <x:v>0.002863426829691207</x:v>
      </x:c>
      <x:c r="O25" s="110" t="n">
        <x:f>MLCF!H172</x:f>
        <x:v>5.182359206248938</x:v>
      </x:c>
      <x:c r="P25" s="110" t="n">
        <x:f>MLCF!H170</x:f>
        <x:v>1.2354689205356633</x:v>
      </x:c>
      <x:c r="Q25" s="113" t="n">
        <x:f>MLCF!H173</x:f>
        <x:v>0</x:v>
      </x:c>
      <x:c r="R25" s="99" t="str">
        <x:v>Verified own-year EPS note. Price and per-share figures use the FY-end share basis.</x:v>
      </x:c>
      <x:c r="S25" s="83" t="n">
        <x:v>267</x:v>
      </x:c>
      <x:c r="T25" s="76" t="str">
        <x:v>2025.pdf</x:v>
      </x:c>
      <x:c r="U25" s="76" t="str">
        <x:v>https://www.kmlg.com/mlcfl/wp-content/uploads/2025/06/MLCF-AR-2025.pdf</x:v>
      </x:c>
    </x:row>
    <x:row r="26" ht="78" customHeight="1">
      <x:c r="A26" s="84" t="str">
        <x:v>FCCL</x:v>
      </x:c>
      <x:c r="B26" s="85" t="n">
        <x:v>2021</x:v>
      </x:c>
      <x:c r="C26" s="106" t="n">
        <x:v>10</x:v>
      </x:c>
      <x:c r="D26" s="102" t="n">
        <x:v>1379.815</x:v>
      </x:c>
      <x:c r="E26" s="85" t="n">
        <x:v>1</x:v>
      </x:c>
      <x:c r="F26" s="103" t="n">
        <x:f>FCCL!D129</x:f>
        <x:v>1379.815</x:v>
      </x:c>
      <x:c r="G26" s="103" t="n">
        <x:f>FCCL!D128</x:f>
        <x:v>1379.815</x:v>
      </x:c>
      <x:c r="H26" s="103" t="n">
        <x:f>FCCL!D135</x:f>
        <x:v>0</x:v>
      </x:c>
      <x:c r="I26" s="108" t="n">
        <x:f>FCCL!D131</x:f>
        <x:v>0</x:v>
      </x:c>
      <x:c r="J26" s="109" t="n">
        <x:v>2.52</x:v>
      </x:c>
      <x:c r="K26" s="109" t="n">
        <x:v>1</x:v>
      </x:c>
      <x:c r="L26" s="108" t="n">
        <x:f>FCCL!D99/FCCL!D129</x:f>
        <x:v>2.5158090033808875</x:v>
      </x:c>
      <x:c r="M26" s="109" t="n">
        <x:f>J26*K26</x:f>
        <x:v>2.52</x:v>
      </x:c>
      <x:c r="N26" s="109" t="n">
        <x:f>L26-M26</x:f>
        <x:v>-0.004190996619112486</x:v>
      </x:c>
      <x:c r="O26" s="108" t="n">
        <x:f>FCCL!D172</x:f>
        <x:v>9.14218844478706</x:v>
      </x:c>
      <x:c r="P26" s="108" t="n">
        <x:f>FCCL!D170</x:f>
        <x:v>1.3634728296339984</x:v>
      </x:c>
      <x:c r="Q26" s="112" t="n">
        <x:f>FCCL!D173</x:f>
        <x:v>0</x:v>
      </x:c>
      <x:c r="R26" s="98" t="str">
        <x:v>Verified own-year EPS note. Price and per-share figures use the FY-end share basis.</x:v>
      </x:c>
      <x:c r="S26" s="85" t="n">
        <x:v>201</x:v>
      </x:c>
      <x:c r="T26" s="84" t="str">
        <x:v>FCCL-Annual-Report-2021.pdf</x:v>
      </x:c>
      <x:c r="U26" s="84" t="str">
        <x:v>https://fccl.com.pk/eng/financial-reports/</x:v>
      </x:c>
    </x:row>
    <x:row r="27" ht="78" customHeight="1">
      <x:c r="A27" s="76" t="str">
        <x:v>FCCL</x:v>
      </x:c>
      <x:c r="B27" s="83" t="n">
        <x:v>2022</x:v>
      </x:c>
      <x:c r="C27" s="107" t="n">
        <x:v>10</x:v>
      </x:c>
      <x:c r="D27" s="104" t="n">
        <x:v>2180.309</x:v>
      </x:c>
      <x:c r="E27" s="83" t="n">
        <x:v>1</x:v>
      </x:c>
      <x:c r="F27" s="105" t="n">
        <x:f>FCCL!E129</x:f>
        <x:v>2180.309</x:v>
      </x:c>
      <x:c r="G27" s="105" t="n">
        <x:f>FCCL!E128</x:f>
        <x:v>2180.309</x:v>
      </x:c>
      <x:c r="H27" s="105" t="n">
        <x:f>FCCL!E135</x:f>
        <x:v>0</x:v>
      </x:c>
      <x:c r="I27" s="110" t="n">
        <x:f>FCCL!E131</x:f>
        <x:v>0</x:v>
      </x:c>
      <x:c r="J27" s="111" t="n">
        <x:v>3.26</x:v>
      </x:c>
      <x:c r="K27" s="111" t="n">
        <x:v>1</x:v>
      </x:c>
      <x:c r="L27" s="110" t="n">
        <x:f>FCCL!E99/FCCL!E129</x:f>
        <x:v>3.2621706372812294</x:v>
      </x:c>
      <x:c r="M27" s="111" t="n">
        <x:f>J27*K27</x:f>
        <x:v>3.26</x:v>
      </x:c>
      <x:c r="N27" s="111" t="n">
        <x:f>L27-M27</x:f>
        <x:v>0.0021706372812295704</x:v>
      </x:c>
      <x:c r="O27" s="110" t="n">
        <x:f>FCCL!E172</x:f>
        <x:v>4.343733536823694</x:v>
      </x:c>
      <x:c r="P27" s="110" t="n">
        <x:f>FCCL!E170</x:f>
        <x:v>0.535107187266134</x:v>
      </x:c>
      <x:c r="Q27" s="113" t="n">
        <x:f>FCCL!E173</x:f>
        <x:v>0</x:v>
      </x:c>
      <x:c r="R27" s="99" t="str">
        <x:v>Verified own-year EPS note. Price and per-share figures use the FY-end share basis.</x:v>
      </x:c>
      <x:c r="S27" s="83" t="n">
        <x:v>230</x:v>
      </x:c>
      <x:c r="T27" s="76" t="str">
        <x:v>FCCL-Annual-Report-2022.pdf</x:v>
      </x:c>
      <x:c r="U27" s="76" t="str">
        <x:v>https://fccl.com.pk/eng/financial-reports/</x:v>
      </x:c>
    </x:row>
    <x:row r="28" ht="78" customHeight="1">
      <x:c r="A28" s="84" t="str">
        <x:v>FCCL</x:v>
      </x:c>
      <x:c r="B28" s="85" t="n">
        <x:v>2023</x:v>
      </x:c>
      <x:c r="C28" s="106" t="n">
        <x:v>10</x:v>
      </x:c>
      <x:c r="D28" s="102" t="n">
        <x:v>2353.539</x:v>
      </x:c>
      <x:c r="E28" s="85" t="n">
        <x:v>1</x:v>
      </x:c>
      <x:c r="F28" s="103" t="n">
        <x:f>FCCL!F129</x:f>
        <x:v>2452.8476</x:v>
      </x:c>
      <x:c r="G28" s="103" t="n">
        <x:f>FCCL!F128</x:f>
        <x:v>2452.8476</x:v>
      </x:c>
      <x:c r="H28" s="103" t="n">
        <x:f>FCCL!F135</x:f>
        <x:v>0</x:v>
      </x:c>
      <x:c r="I28" s="108" t="n">
        <x:f>FCCL!F131</x:f>
        <x:v>0</x:v>
      </x:c>
      <x:c r="J28" s="109" t="n">
        <x:v>3.16</x:v>
      </x:c>
      <x:c r="K28" s="109" t="n">
        <x:v>1</x:v>
      </x:c>
      <x:c r="L28" s="108" t="n">
        <x:f>FCCL!F99/FCCL!F129</x:f>
        <x:v>3.0330791851886794</x:v>
      </x:c>
      <x:c r="M28" s="109" t="n">
        <x:f>J28*K28</x:f>
        <x:v>3.16</x:v>
      </x:c>
      <x:c r="N28" s="109" t="n">
        <x:f>L28-M28</x:f>
        <x:v>-0.12692081481132078</x:v>
      </x:c>
      <x:c r="O28" s="108" t="n">
        <x:f>FCCL!F172</x:f>
        <x:v>3.877247932539039</x:v>
      </x:c>
      <x:c r="P28" s="108" t="n">
        <x:f>FCCL!F170</x:f>
        <x:v>0.4425801548818697</x:v>
      </x:c>
      <x:c r="Q28" s="112" t="n">
        <x:f>FCCL!F173</x:f>
        <x:v>0</x:v>
      </x:c>
      <x:c r="R28" s="98" t="str">
        <x:v>Further full-audit finding:2,353.539m is reproduced by calendar-weighting the bonus for232days from the day after confirmed10-Nov after-hours credit. This timing differs from IAS33 retrospective bonus treatment. The standardized full-year denominator remains2,452.8476m; the report accounting rationale is unresolved.</x:v>
      </x:c>
      <x:c r="S28" s="85" t="n">
        <x:v>251</x:v>
      </x:c>
      <x:c r="T28" s="84" t="str">
        <x:v>FCCL-Annual-Report-2023.pdf</x:v>
      </x:c>
      <x:c r="U28" s="84" t="str">
        <x:v>https://fccl.com.pk/eng/financial-reports/</x:v>
      </x:c>
    </x:row>
    <x:row r="29" ht="78" customHeight="1">
      <x:c r="A29" s="76" t="str">
        <x:v>FCCL</x:v>
      </x:c>
      <x:c r="B29" s="83" t="n">
        <x:v>2024</x:v>
      </x:c>
      <x:c r="C29" s="107" t="n">
        <x:v>10</x:v>
      </x:c>
      <x:c r="D29" s="104" t="n">
        <x:v>2452.847</x:v>
      </x:c>
      <x:c r="E29" s="83" t="n">
        <x:v>1</x:v>
      </x:c>
      <x:c r="F29" s="105" t="n">
        <x:f>FCCL!G129</x:f>
        <x:v>2452.847</x:v>
      </x:c>
      <x:c r="G29" s="105" t="n">
        <x:f>FCCL!G128</x:f>
        <x:v>2452.8476</x:v>
      </x:c>
      <x:c r="H29" s="105" t="n">
        <x:f>FCCL!G135</x:f>
        <x:v>0</x:v>
      </x:c>
      <x:c r="I29" s="110" t="n">
        <x:f>FCCL!G131</x:f>
        <x:v>1</x:v>
      </x:c>
      <x:c r="J29" s="111" t="n">
        <x:v>3.35</x:v>
      </x:c>
      <x:c r="K29" s="111" t="n">
        <x:v>1</x:v>
      </x:c>
      <x:c r="L29" s="110" t="n">
        <x:f>FCCL!G99/FCCL!G129</x:f>
        <x:v>3.3524781610919856</x:v>
      </x:c>
      <x:c r="M29" s="111" t="n">
        <x:f>J29*K29</x:f>
        <x:v>3.35</x:v>
      </x:c>
      <x:c r="N29" s="111" t="n">
        <x:f>L29-M29</x:f>
        <x:v>0.002478161091985509</x:v>
      </x:c>
      <x:c r="O29" s="110" t="n">
        <x:f>FCCL!G172</x:f>
        <x:v>6.833750705936781</x:v>
      </x:c>
      <x:c r="P29" s="110" t="n">
        <x:f>FCCL!G170</x:f>
        <x:v>0.7656078565151421</x:v>
      </x:c>
      <x:c r="Q29" s="113" t="n">
        <x:f>FCCL!G173</x:f>
        <x:v>0.04364906154517678</x:v>
      </x:c>
      <x:c r="R29" s="99" t="str">
        <x:v>FY2025 EPS note 38 gives 2,452.847m as comparative, correcting the FY2024 report’s 2,452.857m. No split or additional issue.</x:v>
      </x:c>
      <x:c r="S29" s="83" t="n">
        <x:v>230</x:v>
      </x:c>
      <x:c r="T29" s="76" t="str">
        <x:v>FCCL-Annual-Report-2024.pdf</x:v>
      </x:c>
      <x:c r="U29" s="76" t="str">
        <x:v>https://fccl.com.pk/eng/financial-reports/</x:v>
      </x:c>
    </x:row>
    <x:row r="30" ht="78" customHeight="1">
      <x:c r="A30" s="84" t="str">
        <x:v>FCCL</x:v>
      </x:c>
      <x:c r="B30" s="85" t="n">
        <x:v>2025</x:v>
      </x:c>
      <x:c r="C30" s="106" t="n">
        <x:v>10</x:v>
      </x:c>
      <x:c r="D30" s="102" t="n">
        <x:v>2452.847</x:v>
      </x:c>
      <x:c r="E30" s="85" t="n">
        <x:v>1</x:v>
      </x:c>
      <x:c r="F30" s="103" t="n">
        <x:f>FCCL!H129</x:f>
        <x:v>2452.847</x:v>
      </x:c>
      <x:c r="G30" s="103" t="n">
        <x:f>FCCL!H128</x:f>
        <x:v>2452.8476</x:v>
      </x:c>
      <x:c r="H30" s="103" t="n">
        <x:f>FCCL!H135</x:f>
        <x:v>0</x:v>
      </x:c>
      <x:c r="I30" s="108" t="n">
        <x:f>FCCL!H131</x:f>
        <x:v>1.25</x:v>
      </x:c>
      <x:c r="J30" s="109" t="n">
        <x:v>5.43</x:v>
      </x:c>
      <x:c r="K30" s="109" t="n">
        <x:v>1</x:v>
      </x:c>
      <x:c r="L30" s="108" t="n">
        <x:f>FCCL!H99/FCCL!H129</x:f>
        <x:v>5.432952809531124</x:v>
      </x:c>
      <x:c r="M30" s="109" t="n">
        <x:f>J30*K30</x:f>
        <x:v>5.43</x:v>
      </x:c>
      <x:c r="N30" s="109" t="n">
        <x:f>L30-M30</x:f>
        <x:v>0.002952809531124423</x:v>
      </x:c>
      <x:c r="O30" s="108" t="n">
        <x:f>FCCL!H172</x:f>
        <x:v>8.222048224242743</x:v>
      </x:c>
      <x:c r="P30" s="108" t="n">
        <x:f>FCCL!H170</x:f>
        <x:v>1.3001759998029245</x:v>
      </x:c>
      <x:c r="Q30" s="112" t="n">
        <x:f>FCCL!H173</x:f>
        <x:v>0.027982986344302664</x:v>
      </x:c>
      <x:c r="R30" s="98" t="str">
        <x:v>Verified own-year EPS note. Price and per-share figures use the FY-end share basis.</x:v>
      </x:c>
      <x:c r="S30" s="85" t="n">
        <x:v>285</x:v>
      </x:c>
      <x:c r="T30" s="84" t="str">
        <x:v>FCCL-Annual-Report-2025.pdf</x:v>
      </x:c>
      <x:c r="U30" s="84" t="str">
        <x:v>https://fccl.com.pk/eng/wp-content/uploads/2025/05/FCCL-Annual-Report-2025.pdf</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28" hidden="0" customWidth="1"/>
    <x:col min="3" max="3" width="17" hidden="0" customWidth="1"/>
    <x:col min="4" max="4" width="17" hidden="0" customWidth="1"/>
    <x:col min="5" max="5" width="17" hidden="0" customWidth="1"/>
    <x:col min="6" max="6" width="17" hidden="0" customWidth="1"/>
    <x:col min="7" max="7" width="40" hidden="0" customWidth="1"/>
    <x:col min="8" max="8" width="80" hidden="0" customWidth="1"/>
    <x:col min="9" max="9" width="80" hidden="0" customWidth="1"/>
    <x:col min="10" max="10" width="110" hidden="0" customWidth="1"/>
    <x:col min="11" max="11" width="17" hidden="0" customWidth="1"/>
  </x:cols>
  <x:sheetData>
    <x:row r="1" ht="24" customHeight="1">
      <x:c r="A1" s="76"/>
      <x:c r="B1" s="76"/>
      <x:c r="C1" s="76"/>
      <x:c r="D1" s="76"/>
      <x:c r="E1" s="76"/>
      <x:c r="F1" s="76"/>
      <x:c r="G1" s="76"/>
      <x:c r="H1" s="76"/>
      <x:c r="I1" s="76"/>
      <x:c r="J1" s="76"/>
      <x:c r="K1" s="76"/>
    </x:row>
    <x:row r="2" ht="24" customHeight="1">
      <x:c r="A2" s="77" t="str">
        <x:v>Verified corporate actions and price basis</x:v>
      </x:c>
      <x:c r="B2" s="76"/>
      <x:c r="C2" s="76"/>
      <x:c r="D2" s="76"/>
      <x:c r="E2" s="76"/>
      <x:c r="F2" s="76"/>
      <x:c r="G2" s="76"/>
      <x:c r="H2" s="76"/>
      <x:c r="I2" s="76"/>
      <x:c r="J2" s="76"/>
      <x:c r="K2" s="76"/>
    </x:row>
    <x:row r="3" ht="24" customHeight="1">
      <x:c r="A3" s="78" t="str">
        <x:v>Execution, credit, approval, announcement and first trading dates are distinguished. Blank trading dates are not assumed ex-dates.</x:v>
      </x:c>
      <x:c r="B3" s="76"/>
      <x:c r="C3" s="76"/>
      <x:c r="D3" s="76"/>
      <x:c r="E3" s="76"/>
      <x:c r="F3" s="76"/>
      <x:c r="G3" s="76"/>
      <x:c r="H3" s="76"/>
      <x:c r="I3" s="76"/>
      <x:c r="J3" s="76"/>
      <x:c r="K3" s="76"/>
    </x:row>
    <x:row r="4" ht="24" customHeight="1">
      <x:c r="A4" s="76"/>
      <x:c r="B4" s="76"/>
      <x:c r="C4" s="76"/>
      <x:c r="D4" s="76"/>
      <x:c r="E4" s="76"/>
      <x:c r="F4" s="76"/>
      <x:c r="G4" s="76"/>
      <x:c r="H4" s="76"/>
      <x:c r="I4" s="76"/>
      <x:c r="J4" s="76"/>
      <x:c r="K4" s="76"/>
    </x:row>
    <x:row r="5" ht="44" customHeight="1">
      <x:c r="A5" s="82" t="str">
        <x:v>Company</x:v>
      </x:c>
      <x:c r="B5" s="82" t="str">
        <x:v>Action</x:v>
      </x:c>
      <x:c r="C5" s="82" t="str">
        <x:v>Event date</x:v>
      </x:c>
      <x:c r="D5" s="82" t="str">
        <x:v>First split trading</x:v>
      </x:c>
      <x:c r="E5" s="82" t="str">
        <x:v>Factor</x:v>
      </x:c>
      <x:c r="F5" s="82" t="str">
        <x:v>Par value (Rs)</x:v>
      </x:c>
      <x:c r="G5" s="82" t="str">
        <x:v>Share-count evidence</x:v>
      </x:c>
      <x:c r="H5" s="82" t="str">
        <x:v>Treatment</x:v>
      </x:c>
      <x:c r="I5" s="82" t="str">
        <x:v>Source document</x:v>
      </x:c>
      <x:c r="J5" s="82" t="str">
        <x:v>Official URL</x:v>
      </x:c>
      <x:c r="K5" s="82" t="str">
        <x:v>PDF page</x:v>
      </x:c>
    </x:row>
    <x:row r="6" ht="95" customHeight="1">
      <x:c r="A6" s="98" t="str">
        <x:v>KOHC</x:v>
      </x:c>
      <x:c r="B6" s="114" t="str">
        <x:v>5-for-1 split</x:v>
      </x:c>
      <x:c r="C6" s="115" t="d">
        <x:v>2025-08-23T00:00:00.000Z</x:v>
      </x:c>
      <x:c r="D6" s="115" t="d">
        <x:v>2025-08-25T00:00:00.000Z</x:v>
      </x:c>
      <x:c r="E6" s="118" t="n">
        <x:v>5</x:v>
      </x:c>
      <x:c r="F6" s="98" t="str">
        <x:v>10 to 2</x:v>
      </x:c>
      <x:c r="G6" s="98" t="str">
        <x:v>183,861,297 to 919,306,485</x:v>
      </x:c>
      <x:c r="H6" s="98" t="str">
        <x:v>After all five FY-end observations. Use raw PSX prices and pre-split per-share data through FY2025.</x:v>
      </x:c>
      <x:c r="I6" s="98" t="str">
        <x:v>PSX/N-880 dated 15-Aug-2025</x:v>
      </x:c>
      <x:c r="J6" s="98" t="str">
        <x:v>https://www.psx.com.pk/psx/files/?file=257828-1.pdf</x:v>
      </x:c>
      <x:c r="K6" s="114" t="n">
        <x:v>1</x:v>
      </x:c>
    </x:row>
    <x:row r="7" ht="95" customHeight="1">
      <x:c r="A7" s="99" t="str">
        <x:v>LUCK</x:v>
      </x:c>
      <x:c r="B7" s="116" t="str">
        <x:v>5-for-1 split approval</x:v>
      </x:c>
      <x:c r="C7" s="117" t="d">
        <x:v>2025-03-18T00:00:00.000Z</x:v>
      </x:c>
      <x:c r="D7" s="117" t="d">
        <x:v>2025-04-28T00:00:00.000Z</x:v>
      </x:c>
      <x:c r="E7" s="119" t="n">
        <x:v>5</x:v>
      </x:c>
      <x:c r="F7" s="99" t="str">
        <x:v>10 to 2</x:v>
      </x:c>
      <x:c r="G7" s="99" t="str">
        <x:v>293,000,000 to 1,465,000,000</x:v>
      </x:c>
      <x:c r="H7" s="99" t="str">
        <x:v>Approved 18-Mar-2025 (FY2025 note 18.1); book closure 23–25 April. FY2025 post-split; FY2021–24 pre-split. First split trading date from PSX.</x:v>
      </x:c>
      <x:c r="I7" s="99" t="str">
        <x:v>PSX/N-368 dated 10-Apr-2025; FY2025 note 18.1</x:v>
      </x:c>
      <x:c r="J7" s="99" t="str">
        <x:v>https://www.psx.com.pk/psx/files/?file=250915-1.pdf</x:v>
      </x:c>
      <x:c r="K7" s="116" t="n">
        <x:v>1</x:v>
      </x:c>
    </x:row>
    <x:row r="8" ht="95" customHeight="1">
      <x:c r="A8" s="98" t="str">
        <x:v>FCCL</x:v>
      </x:c>
      <x:c r="B8" s="114" t="str">
        <x:v>12.5% bonus issue</x:v>
      </x:c>
      <x:c r="C8" s="115" t="d">
        <x:v>2022-10-21T00:00:00.000Z</x:v>
      </x:c>
      <x:c r="D8" s="115"/>
      <x:c r="E8" s="118" t="n">
        <x:v>1.125</x:v>
      </x:c>
      <x:c r="F8" s="98" t="str">
        <x:v>10 unchanged</x:v>
      </x:c>
      <x:c r="G8" s="98" t="str">
        <x:v>2,180.309m opening to 2,452.848m closing</x:v>
      </x:c>
      <x:c r="H8" s="98" t="str">
        <x:v>Approval 21-Oct-2022. PSX announcement confirms credit/dispatch by 11-Nov-2022. After FY2022, before FY2023 close. Historical PSX prices are not restated.</x:v>
      </x:c>
      <x:c r="I8" s="98" t="str">
        <x:v>PSX AGM resolutions and credit notice</x:v>
      </x:c>
      <x:c r="J8" s="98" t="str">
        <x:v>https://dps.psx.com.pk/download/document/195610.pdf</x:v>
      </x:c>
      <x:c r="K8" s="114" t="n">
        <x:v>1</x:v>
      </x:c>
    </x:row>
    <x:row r="9" ht="95" customHeight="1">
      <x:c r="A9" s="99" t="str">
        <x:v>FCCL</x:v>
      </x:c>
      <x:c r="B9" s="116" t="str">
        <x:v>Bonus credit notice</x:v>
      </x:c>
      <x:c r="C9" s="117" t="d">
        <x:v>2022-11-11T00:00:00.000Z</x:v>
      </x:c>
      <x:c r="D9" s="117"/>
      <x:c r="E9" s="119" t="n">
        <x:v>1.125</x:v>
      </x:c>
      <x:c r="F9" s="99" t="str">
        <x:v>10 unchanged</x:v>
      </x:c>
      <x:c r="G9" s="99" t="str">
        <x:v>272.539m bonus shares</x:v>
      </x:c>
      <x:c r="H9" s="99" t="str">
        <x:v>This is announcement date, not an assumed ex-date. Full-year FY2023 EPS denominator follows IAS 33.26–28.</x:v>
      </x:c>
      <x:c r="I9" s="99" t="str">
        <x:v>Credit / Dispatch of Bonus Share Certificates</x:v>
      </x:c>
      <x:c r="J9" s="99" t="str">
        <x:v>https://dps.psx.com.pk/download/document/197721.pdf</x:v>
      </x:c>
      <x:c r="K9" s="116" t="n">
        <x:v>1</x:v>
      </x:c>
    </x:row>
    <x:row r="10" ht="95" customHeight="1">
      <x:c r="A10" s="98" t="str">
        <x:v>KOHC</x:v>
      </x:c>
      <x:c r="B10" s="114" t="str">
        <x:v>Buybacks</x:v>
      </x:c>
      <x:c r="C10" s="115"/>
      <x:c r="D10" s="115"/>
      <x:c r="E10" s="118" t="n">
        <x:v>1</x:v>
      </x:c>
      <x:c r="F10" s="98" t="str">
        <x:v>10 before later split</x:v>
      </x:c>
      <x:c r="G10" s="98" t="str">
        <x:v>5m cancelled FY2024; 12m FY2025</x:v>
      </x:c>
      <x:c r="H10" s="98" t="str">
        <x:v>Year-end shares and weighted-average shares differ. Own-year FY2024 note used because FY2025 restated comparative counts conflict.</x:v>
      </x:c>
      <x:c r="I10" s="98" t="str">
        <x:v>FY2024 note 4 and 34.1; FY2025 note 4 and 33.1</x:v>
      </x:c>
      <x:c r="J10" s="98" t="str">
        <x:v>https://www.kohatcement.com/pdf_files/reports/638941365011906568_Kohat_Cement_Annual_Report_2025.pdf</x:v>
      </x:c>
      <x:c r="K10" s="114" t="n">
        <x:v>109</x:v>
      </x:c>
    </x:row>
    <x:row r="11" ht="95" customHeight="1">
      <x:c r="A11" s="99" t="str">
        <x:v>LUCK</x:v>
      </x:c>
      <x:c r="B11" s="116" t="str">
        <x:v>Buybacks</x:v>
      </x:c>
      <x:c r="C11" s="117"/>
      <x:c r="D11" s="117"/>
      <x:c r="E11" s="119" t="n">
        <x:v>1</x:v>
      </x:c>
      <x:c r="F11" s="99" t="str">
        <x:v>10 before April 2025</x:v>
      </x:c>
      <x:c r="G11" s="99" t="str">
        <x:v>FY2023 net 311.8386m; FY2024 293m</x:v>
      </x:c>
      <x:c r="H11" s="99" t="str">
        <x:v>FY2023 net capital already deducts shares held for cancellation. No second deduction. Use own-year audited weighted shares.</x:v>
      </x:c>
      <x:c r="I11" s="99" t="str">
        <x:v>FY2023–25 issued capital and EPS notes</x:v>
      </x:c>
      <x:c r="J11" s="99" t="str">
        <x:v>https://www.lucky-cement.com/wp-content/uploads/2025/09/Lucky-Cement-AR-2025_compressed.pdf</x:v>
      </x:c>
      <x:c r="K11" s="116" t="n">
        <x:v>274</x:v>
      </x:c>
    </x:row>
    <x:row r="12" ht="95" customHeight="1">
      <x:c r="A12" s="98" t="str">
        <x:v>MLCF</x:v>
      </x:c>
      <x:c r="B12" s="114" t="str">
        <x:v>Treasury shares and cancellations</x:v>
      </x:c>
      <x:c r="C12" s="115" t="d">
        <x:v>2022-06-30T00:00:00.000Z</x:v>
      </x:c>
      <x:c r="D12" s="115"/>
      <x:c r="E12" s="118" t="n">
        <x:v>1</x:v>
      </x:c>
      <x:c r="F12" s="98" t="str">
        <x:v>10 unchanged</x:v>
      </x:c>
      <x:c r="G12" s="98" t="str">
        <x:v>18.545m held for cancellation at FY2022</x:v>
      </x:c>
      <x:c r="H12" s="98" t="str">
        <x:v>Deduct reported 18.545m treasury shares for FY2022 outstanding shares. Do not deduct all 25m before subsequent purchases. Precision: 0.001m.</x:v>
      </x:c>
      <x:c r="I12" s="98" t="str">
        <x:v>FY2022 note 6.3</x:v>
      </x:c>
      <x:c r="J12" s="98" t="str">
        <x:v>https://www.kmlg.com/mlcfl/wp-content/uploads/2022/10/MLCF_AR_2022.pdf</x:v>
      </x:c>
      <x:c r="K12" s="114" t="n">
        <x:v>206</x:v>
      </x:c>
    </x:row>
    <x:row r="13" ht="95" customHeight="1">
      <x:c r="A13" s="99" t="str">
        <x:v>MLCF</x:v>
      </x:c>
      <x:c r="B13" s="116" t="str">
        <x:v>Buybacks</x:v>
      </x:c>
      <x:c r="C13" s="117"/>
      <x:c r="D13" s="117"/>
      <x:c r="E13" s="119" t="n">
        <x:v>1</x:v>
      </x:c>
      <x:c r="F13" s="99" t="str">
        <x:v>10 unchanged</x:v>
      </x:c>
      <x:c r="G13" s="99" t="str">
        <x:v>25m cancelled FY2023; 25,783,624 FY2024</x:v>
      </x:c>
      <x:c r="H13" s="99" t="str">
        <x:v>WAVG from own-year EPS notes; closing shares from share capital. No share split in FY2021–25.</x:v>
      </x:c>
      <x:c r="I13" s="99" t="str">
        <x:v>FY2023 note 5; FY2025 note 5.1.4</x:v>
      </x:c>
      <x:c r="J13" s="99" t="str">
        <x:v>https://www.kmlg.com/mlcfl/wp-content/uploads/2025/06/MLCF-AR-2025.pdf</x:v>
      </x:c>
      <x:c r="K13" s="116" t="n">
        <x:v>225</x:v>
      </x:c>
    </x:row>
    <x:row r="14" ht="95" customHeight="1">
      <x:c r="A14" s="98" t="str">
        <x:v>FCCL</x:v>
      </x:c>
      <x:c r="B14" s="114" t="str">
        <x:v>Askari amalgamation</x:v>
      </x:c>
      <x:c r="C14" s="115"/>
      <x:c r="D14" s="115"/>
      <x:c r="E14" s="118" t="n">
        <x:v>1</x:v>
      </x:c>
      <x:c r="F14" s="98" t="str">
        <x:v>10 unchanged</x:v>
      </x:c>
      <x:c r="G14" s="98" t="str">
        <x:v>800.494m merger shares in FY2022</x:v>
      </x:c>
      <x:c r="H14" s="98" t="str">
        <x:v>Use own-year FY2022 weighted shares of 2,180.309m and original EPS 3.26 with the pre-bonus year-end price.</x:v>
      </x:c>
      <x:c r="I14" s="98" t="str">
        <x:v>FY2022 note 4.2; FY2023 note 4.2</x:v>
      </x:c>
      <x:c r="J14" s="98" t="str">
        <x:v>https://fccl.com.pk/eng/financial-reports/</x:v>
      </x:c>
      <x:c r="K14" s="114" t="n">
        <x:v>208</x:v>
      </x:c>
    </x:row>
    <x:row r="15" ht="95" customHeight="1">
      <x:c r="A15" s="99" t="str">
        <x:v>DGKC</x:v>
      </x:c>
      <x:c r="B15" s="116" t="str">
        <x:v>Share capital continuity</x:v>
      </x:c>
      <x:c r="C15" s="117"/>
      <x:c r="D15" s="117"/>
      <x:c r="E15" s="119" t="n">
        <x:v>1</x:v>
      </x:c>
      <x:c r="F15" s="99" t="str">
        <x:v>10 unchanged</x:v>
      </x:c>
      <x:c r="G15" s="99" t="str">
        <x:v>438,119,118 shares throughout FY2021–25</x:v>
      </x:c>
      <x:c r="H15" s="99" t="str">
        <x:v>Own-year capital and EPS notes show constant shares; no split or bonus adjustment required in the analysis period.</x:v>
      </x:c>
      <x:c r="I15" s="99" t="str">
        <x:v>FY2021–25 capital and EPS notes</x:v>
      </x:c>
      <x:c r="J15" s="99" t="str">
        <x:v>https://www.dgcement.com/financial-reports/DGAnnual2025.pdf</x:v>
      </x:c>
      <x:c r="K15" s="116" t="n">
        <x:v>172</x:v>
      </x:c>
    </x:row>
    <x:row r="16" ht="95" customHeight="1">
      <x:c r="A16" s="98" t="str">
        <x:v>All</x:v>
      </x:c>
      <x:c r="B16" s="114" t="str">
        <x:v>EPS bonus/split rule</x:v>
      </x:c>
      <x:c r="C16" s="115"/>
      <x:c r="D16" s="115"/>
      <x:c r="E16" s="118"/>
      <x:c r="F16" s="98"/>
      <x:c r="G16" s="98"/>
      <x:c r="H16" s="98" t="str">
        <x:v>Bonus and split changes apply retrospectively to the EPS denominator. Historical traded prices remain raw; reverse subsequent splits only when matching EPS to the earlier market basis.</x:v>
      </x:c>
      <x:c r="I16" s="98" t="str">
        <x:v>IAS 33 paragraphs 26–28 and 64</x:v>
      </x:c>
      <x:c r="J16" s="98" t="str">
        <x:v>https://www.ifrs.org/content/dam/ifrs/publications/pdf-standards/english/2023/issued/part-a/ias-33-earnings-per-share.pdf?bypass=on</x:v>
      </x:c>
      <x:c r="K16" s="114"/>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48" hidden="0" customWidth="1"/>
    <x:col min="4" max="4" width="26" hidden="0" customWidth="1"/>
    <x:col min="5" max="5" width="90" hidden="0" customWidth="1"/>
    <x:col min="6" max="6" width="90" hidden="0" customWidth="1"/>
    <x:col min="7" max="7" width="70" hidden="0" customWidth="1"/>
    <x:col min="8" max="8" width="17" hidden="0" customWidth="1"/>
    <x:col min="9" max="9" width="50" hidden="0" customWidth="1"/>
    <x:col min="10" max="10" width="17" hidden="0" customWidth="1"/>
    <x:col min="11" max="11" width="140" hidden="0" customWidth="1"/>
    <x:col min="12" max="12" width="140" hidden="0" customWidth="1"/>
    <x:col min="13" max="13" width="140" hidden="0" customWidth="1"/>
  </x:cols>
  <x:sheetData>
    <x:row r="1" ht="24" customHeight="1">
      <x:c r="A1" s="76"/>
      <x:c r="B1" s="76"/>
      <x:c r="C1" s="76"/>
      <x:c r="D1" s="76"/>
      <x:c r="E1" s="76"/>
      <x:c r="F1" s="76"/>
      <x:c r="G1" s="76"/>
      <x:c r="H1" s="76"/>
      <x:c r="I1" s="76"/>
      <x:c r="J1" s="76"/>
      <x:c r="K1" s="76"/>
      <x:c r="L1" s="76"/>
      <x:c r="M1" s="76"/>
    </x:row>
    <x:row r="2" ht="24" customHeight="1">
      <x:c r="A2" s="77" t="str">
        <x:v>Official PSX trading evidence and report cross-checks</x:v>
      </x:c>
      <x:c r="B2" s="76"/>
      <x:c r="C2" s="76"/>
      <x:c r="D2" s="76"/>
      <x:c r="E2" s="76"/>
      <x:c r="F2" s="76"/>
      <x:c r="G2" s="76"/>
      <x:c r="H2" s="76"/>
      <x:c r="I2" s="76"/>
      <x:c r="J2" s="76"/>
      <x:c r="K2" s="76"/>
      <x:c r="L2" s="76"/>
      <x:c r="M2" s="76"/>
    </x:row>
    <x:row r="3" ht="24" customHeight="1">
      <x:c r="A3" s="78" t="str">
        <x:v>Raw regular-market rows and full-response SHA-256 hashes preserve the retrieved evidence. Reproduce via the PSX historical date search using the stated POST date. No third-party price inputs.</x:v>
      </x:c>
      <x:c r="B3" s="76"/>
      <x:c r="C3" s="76"/>
      <x:c r="D3" s="76"/>
      <x:c r="E3" s="76"/>
      <x:c r="F3" s="76"/>
      <x:c r="G3" s="76"/>
      <x:c r="H3" s="76"/>
      <x:c r="I3" s="76"/>
      <x:c r="J3" s="76"/>
      <x:c r="K3" s="76"/>
      <x:c r="L3" s="76"/>
      <x:c r="M3" s="76"/>
    </x:row>
    <x:row r="4" ht="24" customHeight="1">
      <x:c r="A4" s="76"/>
      <x:c r="B4" s="76"/>
      <x:c r="C4" s="76"/>
      <x:c r="D4" s="76"/>
      <x:c r="E4" s="76"/>
      <x:c r="F4" s="76"/>
      <x:c r="G4" s="76"/>
      <x:c r="H4" s="76"/>
      <x:c r="I4" s="76"/>
      <x:c r="J4" s="76"/>
      <x:c r="K4" s="76"/>
      <x:c r="L4" s="76"/>
      <x:c r="M4" s="76"/>
    </x:row>
    <x:row r="5" ht="44" customHeight="1">
      <x:c r="A5" s="82" t="str">
        <x:v>Company</x:v>
      </x:c>
      <x:c r="B5" s="82" t="str">
        <x:v>FY</x:v>
      </x:c>
      <x:c r="C5" s="82" t="str">
        <x:v>Official PSX endpoint</x:v>
      </x:c>
      <x:c r="D5" s="82" t="str">
        <x:v>Request</x:v>
      </x:c>
      <x:c r="E5" s="82" t="str">
        <x:v>PSX column order</x:v>
      </x:c>
      <x:c r="F5" s="82" t="str">
        <x:v>Raw PSX row</x:v>
      </x:c>
      <x:c r="G5" s="82" t="str">
        <x:v>Response SHA-256</x:v>
      </x:c>
      <x:c r="H5" s="82" t="str">
        <x:v>Retrieved (Pakistan date)</x:v>
      </x:c>
      <x:c r="I5" s="82" t="str">
        <x:v>Annual report file</x:v>
      </x:c>
      <x:c r="J5" s="82" t="str">
        <x:v>PDF page</x:v>
      </x:c>
      <x:c r="K5" s="82" t="str">
        <x:v>Official report URL</x:v>
      </x:c>
      <x:c r="L5" s="82" t="str">
        <x:v>Annual-report evidence</x:v>
      </x:c>
      <x:c r="M5" s="82" t="str">
        <x:v>Own-year EPS-note evidence</x:v>
      </x:c>
    </x:row>
    <x:row r="6" ht="140" customHeight="1">
      <x:c r="A6" s="84" t="str">
        <x:v>KOHC</x:v>
      </x:c>
      <x:c r="B6" s="85" t="n">
        <x:v>2021</x:v>
      </x:c>
      <x:c r="C6" s="84" t="str">
        <x:v>https://dps.psx.com.pk/historical</x:v>
      </x:c>
      <x:c r="D6" s="84" t="str">
        <x:v>POST date=2021-06-30</x:v>
      </x:c>
      <x:c r="E6" s="84" t="str">
        <x:v>SYMBOL | LDCP | OPEN | HIGH | LOW | CLOSE | CHANGE | CHANGE (%) | VOLUME</x:v>
      </x:c>
      <x:c r="F6" s="84" t="str">
        <x:v>KOHC | 210.26 | 211.99 | 212.99 | 205.00 | 206.49 | -3.77 | -1.79% | 158,200</x:v>
      </x:c>
      <x:c r="G6" s="84" t="str">
        <x:v>a7533f1ddd4bfe985aaa10fe7de6d004e59ddbe860bc5e861d82357f39639f9f</x:v>
      </x:c>
      <x:c r="H6" s="84" t="str">
        <x:v>2026-10-22</x:v>
      </x:c>
      <x:c r="I6" s="84" t="str">
        <x:v>Kohat_Cement_Annual_Report_2025.pdf</x:v>
      </x:c>
      <x:c r="J6" s="85" t="n">
        <x:v>53</x:v>
      </x:c>
      <x:c r="K6" s="84" t="str">
        <x:v>https://www.kohatcement.com/pdf_files/reports/638941365011906568_Kohat_Cement_Annual_Report_2025.pdf</x:v>
      </x:c>
      <x:c r="L6"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6" s="98" t="str">
        <x:v>e - basic and diluted 33.1 Basic Earnings / (loss) per share Profit / (loss) for the year after taxation Rupees 3,497,507,247 (443,735,698) Weighted average number of ordinary shares Numbers 200,861,297 200,861,297 Earnings / (loss) per share Rupees 17.41 (2.21) 33.2 Diluted (loss) / earnings per share There is no dilutive effect on the basic earnings / (loss) per share as the Company does not have any convertible instruments in issue as at 30 June 2021 and 30 June 2020. 82</x:v>
      </x:c>
    </x:row>
    <x:row r="7" ht="140" customHeight="1">
      <x:c r="A7" s="76" t="str">
        <x:v>KOHC</x:v>
      </x:c>
      <x:c r="B7" s="83" t="n">
        <x:v>2022</x:v>
      </x:c>
      <x:c r="C7" s="76" t="str">
        <x:v>https://dps.psx.com.pk/historical</x:v>
      </x:c>
      <x:c r="D7" s="76" t="str">
        <x:v>POST date=2022-06-30</x:v>
      </x:c>
      <x:c r="E7" s="76" t="str">
        <x:v>SYMBOL | LDCP | OPEN | HIGH | LOW | CLOSE | CHANGE | CHANGE (%) | VOLUME</x:v>
      </x:c>
      <x:c r="F7" s="76" t="str">
        <x:v>KOHC | 129.89 | 131.00 | 134.00 | 129.75 | 130.13 | 0.24 | 0.18% | 56,300</x:v>
      </x:c>
      <x:c r="G7" s="76" t="str">
        <x:v>dd7808b40b462c8056eef6b5d6f32228cdb7ebfb8706e2ff6036ed7ae0c134b7</x:v>
      </x:c>
      <x:c r="H7" s="76" t="str">
        <x:v>2026-10-22</x:v>
      </x:c>
      <x:c r="I7" s="76" t="str">
        <x:v>Kohat_Cement_Annual_Report_2025.pdf</x:v>
      </x:c>
      <x:c r="J7" s="83" t="n">
        <x:v>53</x:v>
      </x:c>
      <x:c r="K7" s="76" t="str">
        <x:v>https://www.kohatcement.com/pdf_files/reports/638941365011906568_Kohat_Cement_Annual_Report_2025.pdf</x:v>
      </x:c>
      <x:c r="L7" s="99"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7" s="99" t="str">
        <x:v> Earnings per share - basic and diluted 34.1 Basic Earnings per share Profit for the year after taxation Rupees 5,024,280,260 3,497,507,247 Weighted average number of ordinary shares Numbers 200,861,297 200,861,297 Earnings per share Rupees 25.01 17.41 92 NOTES TO THE FINANCIAL STATEMENTS For the year ended 30 June 2022</x:v>
      </x:c>
    </x:row>
    <x:row r="8" ht="140" customHeight="1">
      <x:c r="A8" s="84" t="str">
        <x:v>KOHC</x:v>
      </x:c>
      <x:c r="B8" s="85" t="n">
        <x:v>2023</x:v>
      </x:c>
      <x:c r="C8" s="84" t="str">
        <x:v>https://dps.psx.com.pk/historical</x:v>
      </x:c>
      <x:c r="D8" s="84" t="str">
        <x:v>POST date=2023-06-27</x:v>
      </x:c>
      <x:c r="E8" s="84" t="str">
        <x:v>SYMBOL | LDCP | OPEN | HIGH | LOW | CLOSE | CHANGE | CHANGE (%) | VOLUME</x:v>
      </x:c>
      <x:c r="F8" s="84" t="str">
        <x:v>KOHC | 170.20 | 170.01 | 178.80 | 170.00 | 173.47 | 3.27 | 1.92% | 305,724</x:v>
      </x:c>
      <x:c r="G8" s="84" t="str">
        <x:v>2e0eb9557487b380ab4c4b0235b16b477f45778d471df6dfd853dc1e33d23f05</x:v>
      </x:c>
      <x:c r="H8" s="84" t="str">
        <x:v>2026-10-22</x:v>
      </x:c>
      <x:c r="I8" s="84" t="str">
        <x:v>Kohat_Cement_Annual_Report_2025.pdf</x:v>
      </x:c>
      <x:c r="J8" s="85" t="n">
        <x:v>53</x:v>
      </x:c>
      <x:c r="K8" s="84" t="str">
        <x:v>https://www.kohatcement.com/pdf_files/reports/638941365011906568_Kohat_Cement_Annual_Report_2025.pdf</x:v>
      </x:c>
      <x:c r="L8"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8" s="98" t="str">
        <x:v> Earnings per share - basic and diluted 34.1 Basic Earnings per share Profit for the year after taxation Rupees 5,820,751,145 5,024,280,260 Weighted average number of ordinary shares Numbers 200,861,297 200,861,297 Earnings per share Rupees 28.98 25.01 90</x:v>
      </x:c>
    </x:row>
    <x:row r="9" ht="140" customHeight="1">
      <x:c r="A9" s="76" t="str">
        <x:v>KOHC</x:v>
      </x:c>
      <x:c r="B9" s="83" t="n">
        <x:v>2024</x:v>
      </x:c>
      <x:c r="C9" s="76" t="str">
        <x:v>https://dps.psx.com.pk/historical</x:v>
      </x:c>
      <x:c r="D9" s="76" t="str">
        <x:v>POST date=2024-06-28</x:v>
      </x:c>
      <x:c r="E9" s="76" t="str">
        <x:v>SYMBOL | LDCP | OPEN | HIGH | LOW | CLOSE | CHANGE | CHANGE (%) | VOLUME</x:v>
      </x:c>
      <x:c r="F9" s="76" t="str">
        <x:v>KOHC | 244.20 | 245.00 | 252.00 | 245.00 | 250.43 | 6.23 | 2.55% | 110,655</x:v>
      </x:c>
      <x:c r="G9" s="76" t="str">
        <x:v>efc8ea2445cacdcf79405956444140d56bf6dde7848de9b27aeb39b75c5cf4ac</x:v>
      </x:c>
      <x:c r="H9" s="76" t="str">
        <x:v>2026-10-22</x:v>
      </x:c>
      <x:c r="I9" s="76" t="str">
        <x:v>Kohat_Cement_Annual_Report_2025.pdf</x:v>
      </x:c>
      <x:c r="J9" s="83" t="n">
        <x:v>53</x:v>
      </x:c>
      <x:c r="K9" s="76" t="str">
        <x:v>https://www.kohatcement.com/pdf_files/reports/638941365011906568_Kohat_Cement_Annual_Report_2025.pdf</x:v>
      </x:c>
      <x:c r="L9" s="99"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9" s="99" t="str">
        <x:v>hare - basic and diluted 34.1 Basic Earnings per share Unit 2024 2023 Profit for the year after taxation Rupees 8,893,454,788 5,820,751,145 Weighted average number of ordinary shares Numbers 196,435,067 200,861,297 Earnings per share Rupees 45.27 28.98 34.2 Diluted earnings per share There is no dilutive effect on the basic earnings per share as the Company does not have any convertible instruments in issue as at 30 June 2024 and 30 June 2023. 99 Reaching New HEIGHTS Annual Report 2024</x:v>
      </x:c>
    </x:row>
    <x:row r="10" ht="140" customHeight="1">
      <x:c r="A10" s="84" t="str">
        <x:v>KOHC</x:v>
      </x:c>
      <x:c r="B10" s="85" t="n">
        <x:v>2025</x:v>
      </x:c>
      <x:c r="C10" s="84" t="str">
        <x:v>https://dps.psx.com.pk/historical</x:v>
      </x:c>
      <x:c r="D10" s="84" t="str">
        <x:v>POST date=2025-06-30</x:v>
      </x:c>
      <x:c r="E10" s="84" t="str">
        <x:v>SYMBOL | LDCP | OPEN | HIGH | LOW | CLOSE | CHANGE | CHANGE (%) | VOLUME</x:v>
      </x:c>
      <x:c r="F10" s="84" t="str">
        <x:v>KOHC | 385.07 | 386.37 | 389.26 | 378.35 | 379.36 | -5.71 | -1.48% | 47,629</x:v>
      </x:c>
      <x:c r="G10" s="84" t="str">
        <x:v>dc442e1cf6c040e091a7631042e5cafc369e5d192eccdb58b6f105fbb005fee4</x:v>
      </x:c>
      <x:c r="H10" s="84" t="str">
        <x:v>2026-10-22</x:v>
      </x:c>
      <x:c r="I10" s="84" t="str">
        <x:v>Kohat_Cement_Annual_Report_2025.pdf</x:v>
      </x:c>
      <x:c r="J10" s="85" t="n">
        <x:v>53</x:v>
      </x:c>
      <x:c r="K10" s="84" t="str">
        <x:v>https://www.kohatcement.com/pdf_files/reports/638941365011906568_Kohat_Cement_Annual_Report_2025.pdf</x:v>
      </x:c>
      <x:c r="L10"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10" s="98" t="str">
        <x:v>are - basic and diluted 33.1 Basic Earnings per share Unit 2025 2024 Profit for the year after taxation Rupees 11,575,154,071 8,893,454,787 Weighted average number of ordinary shares outstanding during the year (note 33.1.1) (2024:Restated) Numbers 967,142,101 982,114,704 Earnings per share (2024:Restated) Rupees 11.97 9.06 2025 2024 Note Numbers Numbers 33.1.1 Weighted average number of ordinary shares Outstanding number of shares before own shares purchased 195,861,297 200,861,297 Less: Own shares purchased during the year adjusted with time-weighting factor 33.1.2 (2,432,877) (4,424,658) Weighted average number of shares outstanding during the year 193,428,420 196,436,639 Weighted average number of shares outstanding during the year with retrospective adjustment of Stock Split in the ratio of 5:1 33.1.3 967,142,101 982,183,197 33.1.2 During the year, The Company cancelled 12 million (2024: 5 million) of its ordinary shares of Rs. 10 each purchased during the period from October 23, 2024 to April 12, 2025. The Purchase was made pursuant to special Resolution passed in the</x:v>
      </x:c>
    </x:row>
    <x:row r="11" ht="140" customHeight="1">
      <x:c r="A11" s="76" t="str">
        <x:v>LUCK</x:v>
      </x:c>
      <x:c r="B11" s="83" t="n">
        <x:v>2021</x:v>
      </x:c>
      <x:c r="C11" s="76" t="str">
        <x:v>https://dps.psx.com.pk/historical</x:v>
      </x:c>
      <x:c r="D11" s="76" t="str">
        <x:v>POST date=2021-06-30</x:v>
      </x:c>
      <x:c r="E11" s="76" t="str">
        <x:v>SYMBOL | LDCP | OPEN | HIGH | LOW | CLOSE | CHANGE | CHANGE (%) | VOLUME</x:v>
      </x:c>
      <x:c r="F11" s="76" t="str">
        <x:v>LUCK | 865.26 | 868.90 | 875.50 | 860.00 | 863.44 | -1.82 | -0.21% | 252,524</x:v>
      </x:c>
      <x:c r="G11" s="76" t="str">
        <x:v>a7533f1ddd4bfe985aaa10fe7de6d004e59ddbe860bc5e861d82357f39639f9f</x:v>
      </x:c>
      <x:c r="H11" s="76" t="str">
        <x:v>2026-10-22</x:v>
      </x:c>
      <x:c r="I11" s="76" t="str">
        <x:v>2025.pdf</x:v>
      </x:c>
      <x:c r="J11" s="83" t="n">
        <x:v>166</x:v>
      </x:c>
      <x:c r="K11" s="76" t="str">
        <x:v>https://www.lucky-cement.com/wp-content/uploads/2025/09/Lucky-Cement-AR-2025_compressed.pdf</x:v>
      </x:c>
      <x:c r="L11"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1" s="99" t="str">
        <x:v>ity 212,556 179,743 Exchange loss - net 35.1 (146,668) (104,533) Sale of scrap and others 250,152 41,457 396,226 162,986 Income from financial assets Dividend from subsidiaries 35.2 4,345,673 1,162,684 Dividend from associate 35.2 61,137 122,273 Dividend from a mutual fund 613,816 200,861 Income from deposits with Islamic banks 35.3 429,509 1,537,055 5,450,135 3,022,873 5,846,361 3,185,859 35.1 Represents exchange loss - net arising on revaluation of foreign currency financial assets and liabilities and on transactions in foreign currencies. The realised amount of exchange loss aggregates to PKR 139.835 million. 35.2 Dividend income earned from the subsidiaries and associate has been purified by making charitable donations as more fully explained in note 34.2 to these unconsolidated financial statements. 35.3 Represents profit earned from shariah compliant bank deposits and bank balances. 36. TAXATION 36.1 Relationship between income tax expense and accounting profit: 2021 2020 (PKR in ‘000’) Profit before taxation 16,992,213 3,819,928 T ax at the applicable tax rate of 29% 4,927,742 1,107,779 T ax effect under lower rate of tax (664,526) (195,918) T ax effect of exempt income (1,260,245) (337,178) Others (80,947) (98,688) 2,922,024 475,995 Effective tax rate 17% 12% 37. BASIC AND DIL UTED EARNINGS PER SHARE Profit after taxation (PKR in thousands) 14,070,189 3,343,933 W eighted average number of ordinary shares (in thousands) 323,375 323,375 Basic and diluted earnings per share (PKR) 43.51 10.34 237 ANNUAL REPORT2021 25 YEARS OF EXCELLENCE COMMITTED TO NATIONAL DEVELOPMENT</x:v>
      </x:c>
    </x:row>
    <x:row r="12" ht="140" customHeight="1">
      <x:c r="A12" s="84" t="str">
        <x:v>LUCK</x:v>
      </x:c>
      <x:c r="B12" s="85" t="n">
        <x:v>2022</x:v>
      </x:c>
      <x:c r="C12" s="84" t="str">
        <x:v>https://dps.psx.com.pk/historical</x:v>
      </x:c>
      <x:c r="D12" s="84" t="str">
        <x:v>POST date=2022-06-30</x:v>
      </x:c>
      <x:c r="E12" s="84" t="str">
        <x:v>SYMBOL | LDCP | OPEN | HIGH | LOW | CLOSE | CHANGE | CHANGE (%) | VOLUME</x:v>
      </x:c>
      <x:c r="F12" s="84" t="str">
        <x:v>LUCK | 457.51 | 457.50 | 466.00 | 450.10 | 459.04 | 1.53 | 0.33% | 1,584,750</x:v>
      </x:c>
      <x:c r="G12" s="84" t="str">
        <x:v>dd7808b40b462c8056eef6b5d6f32228cdb7ebfb8706e2ff6036ed7ae0c134b7</x:v>
      </x:c>
      <x:c r="H12" s="84" t="str">
        <x:v>2026-10-22</x:v>
      </x:c>
      <x:c r="I12" s="84" t="str">
        <x:v>2025.pdf</x:v>
      </x:c>
      <x:c r="J12" s="85" t="n">
        <x:v>166</x:v>
      </x:c>
      <x:c r="K12" s="84" t="str">
        <x:v>https://www.lucky-cement.com/wp-content/uploads/2025/09/Lucky-Cement-AR-2025_compressed.pdf</x:v>
      </x:c>
      <x:c r="L12" s="98"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2" s="98" t="str">
        <x:v>ffective tax rate 29% 17% 2022 2021 36. BASIC AND DILUTED EARNINGS PER SHARE Profit after taxation (PKR in thousands) 15,298,618 14,070,189 Weighted average number of ordinary shares (in thousands) 323,375 323,375 Basic and diluted earnings per share (PKR) 47.31 43.51 Note 2022 2021 (PKR in ‘000’) 37. CASH GENERATED FROM OPERATIONS Profit before taxation 21,421,232 16,992,213 Adjustments for non-cash charges and other items Depreciation 5.2 4,526,876 4,298,760 Amortisation of intangible assets 6.2 885 10,653 Provision for slow moving spares – 248,343 Net (reversal) / creation of provision for doubtful debts 12.3 (12,048) 19,579 Gain on disposal of property, plant and equipment 34 (132,368) (80,186) Income from deposits with Islamic banks 34 (307,059) (429,509) Dividend income from subsidiaries 34 (3,365,414) (4,345,673) Dividend / other income from associate 34 (187,572) (61,137) Dividend income from mutual fund 34 (1,167,048) (613,816) Provision for staff gratuity 24 479,353 388,704 Finance cost 32 394,517 332,905 Profit before working capital changes 21,651,354 16,760,836</x:v>
      </x:c>
    </x:row>
    <x:row r="13" ht="140" customHeight="1">
      <x:c r="A13" s="76" t="str">
        <x:v>LUCK</x:v>
      </x:c>
      <x:c r="B13" s="83" t="n">
        <x:v>2023</x:v>
      </x:c>
      <x:c r="C13" s="76" t="str">
        <x:v>https://dps.psx.com.pk/historical</x:v>
      </x:c>
      <x:c r="D13" s="76" t="str">
        <x:v>POST date=2023-06-27</x:v>
      </x:c>
      <x:c r="E13" s="76" t="str">
        <x:v>SYMBOL | LDCP | OPEN | HIGH | LOW | CLOSE | CHANGE | CHANGE (%) | VOLUME</x:v>
      </x:c>
      <x:c r="F13" s="76" t="str">
        <x:v>LUCK | 525.32 | 524.00 | 526.75 | 519.00 | 522.09 | -3.23 | -0.61% | 650,584</x:v>
      </x:c>
      <x:c r="G13" s="76" t="str">
        <x:v>2e0eb9557487b380ab4c4b0235b16b477f45778d471df6dfd853dc1e33d23f05</x:v>
      </x:c>
      <x:c r="H13" s="76" t="str">
        <x:v>2026-10-22</x:v>
      </x:c>
      <x:c r="I13" s="76" t="str">
        <x:v>2025.pdf</x:v>
      </x:c>
      <x:c r="J13" s="83" t="n">
        <x:v>166</x:v>
      </x:c>
      <x:c r="K13" s="76" t="str">
        <x:v>https://www.lucky-cement.com/wp-content/uploads/2025/09/Lucky-Cement-AR-2025_compressed.pdf</x:v>
      </x:c>
      <x:c r="L13"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3" s="99" t="str">
        <x:v> ended June 30, 2023 Note 2023 2022 36. BASIC AND DILUTED EARNINGS PER SHARE Profit after taxation (PKR in thousands) 13,725,814 15,298,618 Weighted average number of ordinary shares (in thousands) 36.1 318,749 323,375 Basic and diluted earnings per share (PKR) 43.06 47.31 36.1 Weighted average number of ordinary shares Outstanding number of shares before own shares purchased 323,375 323,375 Less: Impact of own shares purchased during the year 36.2 &amp; 36.3 (4,626) – 318,749 323,375 36.2 During the year, the Company cancelled 10 million of its own ordinary shares of PKR 10 each purchased during the first buy-back of share for the period from September 29, 2022 to March 17, 2023. The purchase was made pursuant to the special resolution passed in the Extraordinary General Meeting held on September 20, 2022, where the Company was allowed to purchase / buy back its issued ordinary shares up to the maximum of 10 million ordinary shares, through Pakistan Stock Exchange Limited, at spot / current share price prevailing during the period from September 29, 2022 to March 27, 2023 (bot</x:v>
      </x:c>
    </x:row>
    <x:row r="14" ht="140" customHeight="1">
      <x:c r="A14" s="84" t="str">
        <x:v>LUCK</x:v>
      </x:c>
      <x:c r="B14" s="85" t="n">
        <x:v>2024</x:v>
      </x:c>
      <x:c r="C14" s="84" t="str">
        <x:v>https://dps.psx.com.pk/historical</x:v>
      </x:c>
      <x:c r="D14" s="84" t="str">
        <x:v>POST date=2024-06-28</x:v>
      </x:c>
      <x:c r="E14" s="84" t="str">
        <x:v>SYMBOL | LDCP | OPEN | HIGH | LOW | CLOSE | CHANGE | CHANGE (%) | VOLUME</x:v>
      </x:c>
      <x:c r="F14" s="84" t="str">
        <x:v>LUCK | 902.98 | 910.00 | 911.40 | 895.01 | 906.73 | 3.75 | 0.42% | 81,042</x:v>
      </x:c>
      <x:c r="G14" s="84" t="str">
        <x:v>efc8ea2445cacdcf79405956444140d56bf6dde7848de9b27aeb39b75c5cf4ac</x:v>
      </x:c>
      <x:c r="H14" s="84" t="str">
        <x:v>2026-10-22</x:v>
      </x:c>
      <x:c r="I14" s="84" t="str">
        <x:v>2025.pdf</x:v>
      </x:c>
      <x:c r="J14" s="85" t="n">
        <x:v>166</x:v>
      </x:c>
      <x:c r="K14" s="84" t="str">
        <x:v>https://www.lucky-cement.com/wp-content/uploads/2025/09/Lucky-Cement-AR-2025_compressed.pdf</x:v>
      </x:c>
      <x:c r="L14" s="98"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4" s="98" t="str">
        <x:v>ive tax rate 30% 34% Note 2024 2023 36. BASIC AND DILUTED EARNINGS PER SHARE Profit after taxation (PKR in thousands) 28,106,539 13,725,814 Weighted average number of ordinary shares (in thousands) 36.1 297,296 318,749 Basic and diluted earnings per share (PKR) 94.54 43.06 36.1 Weighted average number of ordinary shares Outstanding number of shares before own shares purchased 311,839 323,375 Less: Impact of own shares purchased during the year 36.2 (14,543) (4,626) 297,296 318,749 36.2 During the year, the Company cancelled 20.375 million of its own ordinary shares of PKR 10 each purchased during the second buy-back of share for the period from June 20, 2023 to November 20, 2023. The purchase was made pursuant to special resolution passed in the Extraordinary General Meeting held on May 24, 2023. 269</x:v>
      </x:c>
    </x:row>
    <x:row r="15" ht="140" customHeight="1">
      <x:c r="A15" s="76" t="str">
        <x:v>LUCK</x:v>
      </x:c>
      <x:c r="B15" s="83" t="n">
        <x:v>2025</x:v>
      </x:c>
      <x:c r="C15" s="76" t="str">
        <x:v>https://dps.psx.com.pk/historical</x:v>
      </x:c>
      <x:c r="D15" s="76" t="str">
        <x:v>POST date=2025-06-30</x:v>
      </x:c>
      <x:c r="E15" s="76" t="str">
        <x:v>SYMBOL | LDCP | OPEN | HIGH | LOW | CLOSE | CHANGE | CHANGE (%) | VOLUME</x:v>
      </x:c>
      <x:c r="F15" s="76" t="str">
        <x:v>LUCK | 355.89 | 357.10 | 359.00 | 353.01 | 355.24 | -0.65 | -0.18% | 1,632,314</x:v>
      </x:c>
      <x:c r="G15" s="76" t="str">
        <x:v>dc442e1cf6c040e091a7631042e5cafc369e5d192eccdb58b6f105fbb005fee4</x:v>
      </x:c>
      <x:c r="H15" s="76" t="str">
        <x:v>2026-10-22</x:v>
      </x:c>
      <x:c r="I15" s="76" t="str">
        <x:v>2025.pdf</x:v>
      </x:c>
      <x:c r="J15" s="83" t="n">
        <x:v>166</x:v>
      </x:c>
      <x:c r="K15" s="76" t="str">
        <x:v>https://www.lucky-cement.com/wp-content/uploads/2025/09/Lucky-Cement-AR-2025_compressed.pdf</x:v>
      </x:c>
      <x:c r="L15"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5" s="99" t="str">
        <x:v>fective tax rate 30% 30% 35. BASIC AND DILUTED EARNINGS PER SHARE Profit after taxation (PKR in thousands) 33,092,162 28,106,539 (Restated) Weighted average number of ordinary shares (in thousands) 18.1 &amp; 35.1 1,465,000 1,486,480 Basic and diluted earnings per share (PKR) 22.59 18.91 35.1 Weighted average number of ordinary shares Outstanding number of shares before own shares purchased 1,465,000 1,559,195 Less: Impact of own shares purchased during the year 35.2 – (72,715) 1,465,000 1,486,480 35.2 During the previous year, the Company had cancelled 20.375 million of its own ordinary shares of PKR 10 each, which were purchased under the second buy-back pursuant to the special resolution passed at the Extraordinary General Meeting held on May 24, 2023. 272 ANNUAL REPORT 2025</x:v>
      </x:c>
    </x:row>
    <x:row r="16" ht="140" customHeight="1">
      <x:c r="A16" s="84" t="str">
        <x:v>DGKC</x:v>
      </x:c>
      <x:c r="B16" s="85" t="n">
        <x:v>2021</x:v>
      </x:c>
      <x:c r="C16" s="84" t="str">
        <x:v>https://dps.psx.com.pk/historical</x:v>
      </x:c>
      <x:c r="D16" s="84" t="str">
        <x:v>POST date=2021-06-30</x:v>
      </x:c>
      <x:c r="E16" s="84" t="str">
        <x:v>SYMBOL | LDCP | OPEN | HIGH | LOW | CLOSE | CHANGE | CHANGE (%) | VOLUME</x:v>
      </x:c>
      <x:c r="F16" s="84" t="str">
        <x:v>DGKC | 117.16 | 117.95 | 119.25 | 117.50 | 117.92 | 0.76 | 0.65% | 2,384,678</x:v>
      </x:c>
      <x:c r="G16" s="84" t="str">
        <x:v>a7533f1ddd4bfe985aaa10fe7de6d004e59ddbe860bc5e861d82357f39639f9f</x:v>
      </x:c>
      <x:c r="H16" s="84" t="str">
        <x:v>2026-10-22</x:v>
      </x:c>
      <x:c r="I16" s="84" t="str">
        <x:v>DGAnnual2025.pdf</x:v>
      </x:c>
      <x:c r="J16" s="85" t="n">
        <x:v>108</x:v>
      </x:c>
      <x:c r="K16" s="84" t="str">
        <x:v>https://www.dgcement.com/financial-reports/DGAnnual2025.pdf</x:v>
      </x:c>
      <x:c r="L16"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6" s="98" t="str">
        <x:v>tax rate 22.01 42.53 35. Earnings per share 35.1 Earnings per share - Basic Profit/(loss) for the year Rupees 3,721,273,000 (2,158,661,000) Weighted average number of ordinary shares Number 438,119,118 438,119,118 Earnings/(loss) per share - basic Rupees 8.49 (4.93) 35.2 Earnings per share - Diluted A diluted earnings per share has not been presented as the Company does not have any convertible instruments in issue as at June 30, 2021, and June 30, 2020, which would have any effect on the earnings per share if the option to convert is exercised.</x:v>
      </x:c>
    </x:row>
    <x:row r="17" ht="140" customHeight="1">
      <x:c r="A17" s="76" t="str">
        <x:v>DGKC</x:v>
      </x:c>
      <x:c r="B17" s="83" t="n">
        <x:v>2022</x:v>
      </x:c>
      <x:c r="C17" s="76" t="str">
        <x:v>https://dps.psx.com.pk/historical</x:v>
      </x:c>
      <x:c r="D17" s="76" t="str">
        <x:v>POST date=2022-06-30</x:v>
      </x:c>
      <x:c r="E17" s="76" t="str">
        <x:v>SYMBOL | LDCP | OPEN | HIGH | LOW | CLOSE | CHANGE | CHANGE (%) | VOLUME</x:v>
      </x:c>
      <x:c r="F17" s="76" t="str">
        <x:v>DGKC | 61.03 | 60.90 | 64.00 | 60.50 | 62.50 | 1.47 | 2.41% | 5,120,816</x:v>
      </x:c>
      <x:c r="G17" s="76" t="str">
        <x:v>dd7808b40b462c8056eef6b5d6f32228cdb7ebfb8706e2ff6036ed7ae0c134b7</x:v>
      </x:c>
      <x:c r="H17" s="76" t="str">
        <x:v>2026-10-22</x:v>
      </x:c>
      <x:c r="I17" s="76" t="str">
        <x:v>DGAnnual2025.pdf</x:v>
      </x:c>
      <x:c r="J17" s="83" t="n">
        <x:v>108</x:v>
      </x:c>
      <x:c r="K17" s="76" t="str">
        <x:v>https://www.dgcement.com/financial-reports/DGAnnual2025.pdf</x:v>
      </x:c>
      <x:c r="L17" s="99"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7" s="99" t="str">
        <x:v>ffective tax rate 50.63 22.01 36. Earnings per share 36.1 Earnings per share - Basic Profit for the year Rupees 2,972,132,130 3,721,273,000 Weighted average number of ordinary shares Number 438,119,118 438,119,118 Earnings per share - basic Rupees 6.78 8.49 36.2 Earnings per share - Diluted A diluted earnings per share has not been presented as the Company does not have any convertible instruments in issue as at June 30, 2022, and June 30, 2021, which would have any effect on the earnings per share if the option to convert is exercised. 176 ANNUA L REPORT 2022 DGKC</x:v>
      </x:c>
    </x:row>
    <x:row r="18" ht="140" customHeight="1">
      <x:c r="A18" s="84" t="str">
        <x:v>DGKC</x:v>
      </x:c>
      <x:c r="B18" s="85" t="n">
        <x:v>2023</x:v>
      </x:c>
      <x:c r="C18" s="84" t="str">
        <x:v>https://dps.psx.com.pk/historical</x:v>
      </x:c>
      <x:c r="D18" s="84" t="str">
        <x:v>POST date=2023-06-27</x:v>
      </x:c>
      <x:c r="E18" s="84" t="str">
        <x:v>SYMBOL | LDCP | OPEN | HIGH | LOW | CLOSE | CHANGE | CHANGE (%) | VOLUME</x:v>
      </x:c>
      <x:c r="F18" s="84" t="str">
        <x:v>DGKC | 52.16 | 52.00 | 52.20 | 50.70 | 51.30 | -0.86 | -1.65% | 1,249,328</x:v>
      </x:c>
      <x:c r="G18" s="84" t="str">
        <x:v>2e0eb9557487b380ab4c4b0235b16b477f45778d471df6dfd853dc1e33d23f05</x:v>
      </x:c>
      <x:c r="H18" s="84" t="str">
        <x:v>2026-10-22</x:v>
      </x:c>
      <x:c r="I18" s="84" t="str">
        <x:v>DGAnnual2025.pdf</x:v>
      </x:c>
      <x:c r="J18" s="85" t="n">
        <x:v>108</x:v>
      </x:c>
      <x:c r="K18" s="84" t="str">
        <x:v>https://www.dgcement.com/financial-reports/DGAnnual2025.pdf</x:v>
      </x:c>
      <x:c r="L18"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8" s="98" t="str">
        <x:v>ax rate 214.97 50.63 35. Earnings per share 35.1 Earnings per share - Basic (Loss)/profit for the year Rupees (3,635,976,000) 2,972,132,000 Weighted average number of ordinary shares Number 438,119,118 438,119,118 (Loss)/earnings per share - basic Rupees (8.30) 6.78 35.2 Earnings per share - Diluted A diluted earnings per share has not been presented as the Company does not have any convertible instruments in issue as at June 30, 2023, and June 30, 2022, which would have any effect on the earnings per share if the option to convert is exercised.</x:v>
      </x:c>
    </x:row>
    <x:row r="19" ht="140" customHeight="1">
      <x:c r="A19" s="76" t="str">
        <x:v>DGKC</x:v>
      </x:c>
      <x:c r="B19" s="83" t="n">
        <x:v>2024</x:v>
      </x:c>
      <x:c r="C19" s="76" t="str">
        <x:v>https://dps.psx.com.pk/historical</x:v>
      </x:c>
      <x:c r="D19" s="76" t="str">
        <x:v>POST date=2024-06-28</x:v>
      </x:c>
      <x:c r="E19" s="76" t="str">
        <x:v>SYMBOL | LDCP | OPEN | HIGH | LOW | CLOSE | CHANGE | CHANGE (%) | VOLUME</x:v>
      </x:c>
      <x:c r="F19" s="76" t="str">
        <x:v>DGKC | 91.07 | 90.80 | 91.70 | 90.00 | 90.27 | -0.80 | -0.88% | 2,418,251</x:v>
      </x:c>
      <x:c r="G19" s="76" t="str">
        <x:v>efc8ea2445cacdcf79405956444140d56bf6dde7848de9b27aeb39b75c5cf4ac</x:v>
      </x:c>
      <x:c r="H19" s="76" t="str">
        <x:v>2026-10-22</x:v>
      </x:c>
      <x:c r="I19" s="76" t="str">
        <x:v>DGAnnual2025.pdf</x:v>
      </x:c>
      <x:c r="J19" s="83" t="n">
        <x:v>108</x:v>
      </x:c>
      <x:c r="K19" s="76" t="str">
        <x:v>https://www.dgcement.com/financial-reports/DGAnnual2025.pdf</x:v>
      </x:c>
      <x:c r="L19" s="99"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9" s="99" t="str">
        <x:v>97 37. Earnings / (loss) per share 37.1 Earnings / (loss) per share - Basic Profit / (loss) for the year Rupees 542,396,000 (3,635,976,000) Weighted average number of ordinary shares Number 438,119,118 438,119,118 Earnings / (loss) per share - basic Rupees 1.24 (8.30) 37.2 Earnings / (loss) per share - Diluted A diluted earnings per share has not been presented as the Company does not have any convertible instruments in issue as at June 30, 2024, and June 30, 2023, which would have any effect on the earnings / (loss) per share if the option to convert is exercised.</x:v>
      </x:c>
    </x:row>
    <x:row r="20" ht="140" customHeight="1">
      <x:c r="A20" s="84" t="str">
        <x:v>DGKC</x:v>
      </x:c>
      <x:c r="B20" s="85" t="n">
        <x:v>2025</x:v>
      </x:c>
      <x:c r="C20" s="84" t="str">
        <x:v>https://dps.psx.com.pk/historical</x:v>
      </x:c>
      <x:c r="D20" s="84" t="str">
        <x:v>POST date=2025-06-30</x:v>
      </x:c>
      <x:c r="E20" s="84" t="str">
        <x:v>SYMBOL | LDCP | OPEN | HIGH | LOW | CLOSE | CHANGE | CHANGE (%) | VOLUME</x:v>
      </x:c>
      <x:c r="F20" s="84" t="str">
        <x:v>DGKC | 167.26 | 167.30 | 168.00 | 164.85 | 165.56 | -1.70 | -1.02% | 1,933,502</x:v>
      </x:c>
      <x:c r="G20" s="84" t="str">
        <x:v>dc442e1cf6c040e091a7631042e5cafc369e5d192eccdb58b6f105fbb005fee4</x:v>
      </x:c>
      <x:c r="H20" s="84" t="str">
        <x:v>2026-10-22</x:v>
      </x:c>
      <x:c r="I20" s="84" t="str">
        <x:v>DGAnnual2025.pdf</x:v>
      </x:c>
      <x:c r="J20" s="85" t="n">
        <x:v>108</x:v>
      </x:c>
      <x:c r="K20" s="84" t="str">
        <x:v>https://www.dgcement.com/financial-reports/DGAnnual2025.pdf</x:v>
      </x:c>
      <x:c r="L20"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20" s="98" t="str">
        <x:v>33.29 80.89 37. Earnings per share - basic and diluted 37.1 Earnings per share - Basic Profit for the year Rupees 8,675,059,000 542,396,000 Weighted average number of ordinary shares Number 438,119,118 438,119,118 Earnings per share - basic Rupees 19.80 1.24 37.2 Earnings per share - Diluted A diluted earnings per share has not been presented as the Company does not have any convertible instruments in issue as at June 30, 2025, and June 30, 2024, which would have any effect on the earnings per share if the option to convert is exercised.</x:v>
      </x:c>
    </x:row>
    <x:row r="21" ht="140" customHeight="1">
      <x:c r="A21" s="76" t="str">
        <x:v>MLCF</x:v>
      </x:c>
      <x:c r="B21" s="83" t="n">
        <x:v>2021</x:v>
      </x:c>
      <x:c r="C21" s="76" t="str">
        <x:v>https://dps.psx.com.pk/historical</x:v>
      </x:c>
      <x:c r="D21" s="76" t="str">
        <x:v>POST date=2021-06-30</x:v>
      </x:c>
      <x:c r="E21" s="76" t="str">
        <x:v>SYMBOL | LDCP | OPEN | HIGH | LOW | CLOSE | CHANGE | CHANGE (%) | VOLUME</x:v>
      </x:c>
      <x:c r="F21" s="76" t="str">
        <x:v>MLCF | 45.99 | 45.80 | 47.40 | 45.80 | 46.98 | 0.99 | 2.15% | 3,861,265</x:v>
      </x:c>
      <x:c r="G21" s="76" t="str">
        <x:v>a7533f1ddd4bfe985aaa10fe7de6d004e59ddbe860bc5e861d82357f39639f9f</x:v>
      </x:c>
      <x:c r="H21" s="76" t="str">
        <x:v>2026-10-22</x:v>
      </x:c>
      <x:c r="I21" s="76" t="str">
        <x:v>2025.pdf</x:v>
      </x:c>
      <x:c r="J21" s="83" t="n">
        <x:v>175</x:v>
      </x:c>
      <x:c r="K21" s="76" t="str">
        <x:v>https://www.kmlg.com/mlcfl/wp-content/uploads/2025/06/MLCF-AR-2025.pdf</x:v>
      </x:c>
      <x:c r="L21"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1" s="99" t="str">
        <x:v>BASIC AND DILUTED Unit 2021 2020 43.1 Basic earnings / (loss) per share Profit / (loss) after taxation Rupees in ‘000 6,254,109 (4,843,265) Weighted average number of ordinary shares No. of shares in ‘000 1,098,346 914,309 Rupees 5.69 (5.30) 43.2 Weighted average number of ordinary shares 2021 2020 (Rupees in thousand) Outstanding number of shares before right issue 1,098,346 593,701 Add: Impact on weighted average number of shares due to right issue during the year - 320,608 1,098,346 914,309 43.3 There is no dilution effect on the basic earnings per share. 2021 2020 Note (Rupees in thousand) 44. CASH AND CASH EQUIVALENTS Short term running finance 18.2 (207,310) (538,000) Temporary bank overdrafts - unsecured 18.3 (3,217) (298,751) Cash and bank 34 490,329 1,046,267 279,802 209,516</x:v>
      </x:c>
    </x:row>
    <x:row r="22" ht="140" customHeight="1">
      <x:c r="A22" s="84" t="str">
        <x:v>MLCF</x:v>
      </x:c>
      <x:c r="B22" s="85" t="n">
        <x:v>2022</x:v>
      </x:c>
      <x:c r="C22" s="84" t="str">
        <x:v>https://dps.psx.com.pk/historical</x:v>
      </x:c>
      <x:c r="D22" s="84" t="str">
        <x:v>POST date=2022-06-30</x:v>
      </x:c>
      <x:c r="E22" s="84" t="str">
        <x:v>SYMBOL | LDCP | OPEN | HIGH | LOW | CLOSE | CHANGE | CHANGE (%) | VOLUME</x:v>
      </x:c>
      <x:c r="F22" s="84" t="str">
        <x:v>MLCF | 26.97 | 27.00 | 27.50 | 26.90 | 27.35 | 0.38 | 1.41% | 3,884,188</x:v>
      </x:c>
      <x:c r="G22" s="84" t="str">
        <x:v>dd7808b40b462c8056eef6b5d6f32228cdb7ebfb8706e2ff6036ed7ae0c134b7</x:v>
      </x:c>
      <x:c r="H22" s="84" t="str">
        <x:v>2026-10-22</x:v>
      </x:c>
      <x:c r="I22" s="84" t="str">
        <x:v>2025.pdf</x:v>
      </x:c>
      <x:c r="J22" s="85" t="n">
        <x:v>175</x:v>
      </x:c>
      <x:c r="K22" s="84" t="str">
        <x:v>https://www.kmlg.com/mlcfl/wp-content/uploads/2025/06/MLCF-AR-2025.pdf</x:v>
      </x:c>
      <x:c r="L22" s="98"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2" s="98" t="str">
        <x:v>ARNINGS PER SHARE - BASIC AND DILUTED Unit 2022 2021 43.1 Basic earnings per share Profit after taxation Rupees in ‘000 3,626,340 6,254,109 Weighted average number of ordinary shares No. of shares in ‘000 1,097,524 1,098,346 Rupees 3.30 5.69 43.2 Weighted average number of ordinary shares 2022 2021 (Number of shares in ‘000’) Outstanding number of shares before own shares purchased 1,098,346 1,098,346 Add: Impact of own shares purchased during the year (822) - 1,097,524 1,098,346 43.3 There is no dilution effect on the basic earnings per share. 2022 2021 Note (Rupees in thousand) 44. CASH AND CASH EQUIVALENTS Short term running finance 18.2 (1,396,990) (207,310) Temporary bank overdrafts - unsecured 18.4 (505) (3,217) Cash and bank balances 34 793,576 490,329 (603,919) 279,802</x:v>
      </x:c>
    </x:row>
    <x:row r="23" ht="140" customHeight="1">
      <x:c r="A23" s="76" t="str">
        <x:v>MLCF</x:v>
      </x:c>
      <x:c r="B23" s="83" t="n">
        <x:v>2023</x:v>
      </x:c>
      <x:c r="C23" s="76" t="str">
        <x:v>https://dps.psx.com.pk/historical</x:v>
      </x:c>
      <x:c r="D23" s="76" t="str">
        <x:v>POST date=2023-06-27</x:v>
      </x:c>
      <x:c r="E23" s="76" t="str">
        <x:v>SYMBOL | LDCP | OPEN | HIGH | LOW | CLOSE | CHANGE | CHANGE (%) | VOLUME</x:v>
      </x:c>
      <x:c r="F23" s="76" t="str">
        <x:v>MLCF | 28.66 | 28.29 | 28.60 | 27.90 | 28.33 | -0.33 | -1.15% | 2,063,098</x:v>
      </x:c>
      <x:c r="G23" s="76" t="str">
        <x:v>2e0eb9557487b380ab4c4b0235b16b477f45778d471df6dfd853dc1e33d23f05</x:v>
      </x:c>
      <x:c r="H23" s="76" t="str">
        <x:v>2026-10-22</x:v>
      </x:c>
      <x:c r="I23" s="76" t="str">
        <x:v>2025.pdf</x:v>
      </x:c>
      <x:c r="J23" s="83" t="n">
        <x:v>175</x:v>
      </x:c>
      <x:c r="K23" s="76" t="str">
        <x:v>https://www.kmlg.com/mlcfl/wp-content/uploads/2025/06/MLCF-AR-2025.pdf</x:v>
      </x:c>
      <x:c r="L23"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3" s="99" t="str">
        <x:v>ARNINGS PER SHARE - BASIC AND DILUTED Unit 2023 2022 43.1 Basic earnings per share Profit after taxation Rupees in '000 4,491,669 3,626,340 Weighted average number of ordinary shares No. of shares in '000 1,073,405 1,097,524 Rupees 4.18 3.30 2023 2022 (Rupees in thousand) 43.2 Weighted average number of ordinary shares Outstanding number of shares before right issue 1,097,524 1,098,346 Less: Impact of own shares purchased (24,119) (822) 1,073,405 1,097,524 43.3 There is no dilution effect on the basic earnings per share. 2023 2022 Note (Rupees in thousand) 44. CASH AND CASH EQUIVALENTS Short term running finance 18.2 - (1,396,990) Temporary bank overdrafts - unsecured 18.4 - (505) Cash and bank 34 740,707 793,576 740,707 (603,919)</x:v>
      </x:c>
    </x:row>
    <x:row r="24" ht="140" customHeight="1">
      <x:c r="A24" s="84" t="str">
        <x:v>MLCF</x:v>
      </x:c>
      <x:c r="B24" s="85" t="n">
        <x:v>2024</x:v>
      </x:c>
      <x:c r="C24" s="84" t="str">
        <x:v>https://dps.psx.com.pk/historical</x:v>
      </x:c>
      <x:c r="D24" s="84" t="str">
        <x:v>POST date=2024-06-28</x:v>
      </x:c>
      <x:c r="E24" s="84" t="str">
        <x:v>SYMBOL | LDCP | OPEN | HIGH | LOW | CLOSE | CHANGE | CHANGE (%) | VOLUME</x:v>
      </x:c>
      <x:c r="F24" s="84" t="str">
        <x:v>MLCF | 38.00 | 38.25 | 38.30 | 37.80 | 38.00 | 0.00 | 0.00% | 1,417,089</x:v>
      </x:c>
      <x:c r="G24" s="84" t="str">
        <x:v>efc8ea2445cacdcf79405956444140d56bf6dde7848de9b27aeb39b75c5cf4ac</x:v>
      </x:c>
      <x:c r="H24" s="84" t="str">
        <x:v>2026-10-22</x:v>
      </x:c>
      <x:c r="I24" s="84" t="str">
        <x:v>2025.pdf</x:v>
      </x:c>
      <x:c r="J24" s="85" t="n">
        <x:v>175</x:v>
      </x:c>
      <x:c r="K24" s="84" t="str">
        <x:v>https://www.kmlg.com/mlcfl/wp-content/uploads/2025/06/MLCF-AR-2025.pdf</x:v>
      </x:c>
      <x:c r="L24" s="98"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4" s="98" t="str">
        <x:v>8 43. EARNINGS PER SHARE - BASIC AND DILUTED 2024 2023 43.1 Basic earnings per share Profit for the year Rupees in ‘000 5,272,527 4,491,669 Weighted average number of ordinary shares No. of shares in ‘000 1,058,911 1,073,405 Earning per share - basic Rupees 4.98 4.18 2024 2023 (Shares in thousand) 43.2 Weighted average number of ordinary shares Outstanding number of shares before right issue 1,073,405 1,097,524 Impact of own shares purchased (14,494) (24,119) 1,058,911 1,073,405 43.3 A diluted earnings per share has not been presented as the Company does not have any convertible instruments in issue as at June 30, 2024, and June 30, 2023, which would have any effect on the earnings per share if the option to convert is exercised.</x:v>
      </x:c>
    </x:row>
    <x:row r="25" ht="140" customHeight="1">
      <x:c r="A25" s="76" t="str">
        <x:v>MLCF</x:v>
      </x:c>
      <x:c r="B25" s="83" t="n">
        <x:v>2025</x:v>
      </x:c>
      <x:c r="C25" s="76" t="str">
        <x:v>https://dps.psx.com.pk/historical</x:v>
      </x:c>
      <x:c r="D25" s="76" t="str">
        <x:v>POST date=2025-06-30</x:v>
      </x:c>
      <x:c r="E25" s="76" t="str">
        <x:v>SYMBOL | LDCP | OPEN | HIGH | LOW | CLOSE | CHANGE | CHANGE (%) | VOLUME</x:v>
      </x:c>
      <x:c r="F25" s="76" t="str">
        <x:v>MLCF | 85.46 | 85.55 | 86.20 | 83.90 | 84.28 | -1.18 | -1.38% | 4,958,160</x:v>
      </x:c>
      <x:c r="G25" s="76" t="str">
        <x:v>dc442e1cf6c040e091a7631042e5cafc369e5d192eccdb58b6f105fbb005fee4</x:v>
      </x:c>
      <x:c r="H25" s="76" t="str">
        <x:v>2026-10-22</x:v>
      </x:c>
      <x:c r="I25" s="76" t="str">
        <x:v>2025.pdf</x:v>
      </x:c>
      <x:c r="J25" s="83" t="n">
        <x:v>175</x:v>
      </x:c>
      <x:c r="K25" s="76" t="str">
        <x:v>https://www.kmlg.com/mlcfl/wp-content/uploads/2025/06/MLCF-AR-2025.pdf</x:v>
      </x:c>
      <x:c r="L25"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5" s="99" t="str">
        <x:v> 43. EARNINGS PER SHARE - BASIC AND DILUTED 2025 2024 43.1 Basic earnings per share Profit for the year Rupees in ‘000 17,036,374 5,272,527 Weighted average number of ordinary shares No. of shares in ‘000 1,047,563 1,058,911 Earning per share - basic Rupees 16.26 4.98 2025 2024 (Shares in thousand) 43.2 Weighted average number of ordinary shares Outstanding number of shares 1,047,563 1,073,405 Impact of own shares purchased - (14,494) 1,047,563 1,058,911</x:v>
      </x:c>
    </x:row>
    <x:row r="26" ht="140" customHeight="1">
      <x:c r="A26" s="84" t="str">
        <x:v>FCCL</x:v>
      </x:c>
      <x:c r="B26" s="85" t="n">
        <x:v>2021</x:v>
      </x:c>
      <x:c r="C26" s="84" t="str">
        <x:v>https://dps.psx.com.pk/historical</x:v>
      </x:c>
      <x:c r="D26" s="84" t="str">
        <x:v>POST date=2021-06-30</x:v>
      </x:c>
      <x:c r="E26" s="84" t="str">
        <x:v>SYMBOL | LDCP | OPEN | HIGH | LOW | CLOSE | CHANGE | CHANGE (%) | VOLUME</x:v>
      </x:c>
      <x:c r="F26" s="84" t="str">
        <x:v>FCCL | 22.81 | 22.90 | 23.20 | 22.80 | 23.00 | 0.19 | 0.83% | 1,157,000</x:v>
      </x:c>
      <x:c r="G26" s="84" t="str">
        <x:v>a7533f1ddd4bfe985aaa10fe7de6d004e59ddbe860bc5e861d82357f39639f9f</x:v>
      </x:c>
      <x:c r="H26" s="84" t="str">
        <x:v>2026-10-22</x:v>
      </x:c>
      <x:c r="I26" s="84" t="str">
        <x:v>FCCL-Annual-Report-2025.pdf</x:v>
      </x:c>
      <x:c r="J26" s="85" t="n">
        <x:v>216</x:v>
      </x:c>
      <x:c r="K26" s="84" t="str">
        <x:v>https://fccl.com.pk/eng/wp-content/uploads/2025/05/FCCL-Annual-Report-2025.pdf</x:v>
      </x:c>
      <x:c r="L26"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6" s="98" t="str">
        <x:v>) Profit/ (loss) after tax (Rs. '000) 3,471,351 (59,381) Profit/ (loss) attributable to ordinary shareholders (Rs. '000) 3,471,351 (59,381) Weighted average number of ordinary shares (Numbers '000) 1,379,815 1,379,815 Earnings/ (loss) per share - basic (Rupees) 2.52 (0.04) 35.1 There is no dilution effect on earnings per share of the Company.</x:v>
      </x:c>
    </x:row>
    <x:row r="27" ht="140" customHeight="1">
      <x:c r="A27" s="76" t="str">
        <x:v>FCCL</x:v>
      </x:c>
      <x:c r="B27" s="83" t="n">
        <x:v>2022</x:v>
      </x:c>
      <x:c r="C27" s="76" t="str">
        <x:v>https://dps.psx.com.pk/historical</x:v>
      </x:c>
      <x:c r="D27" s="76" t="str">
        <x:v>POST date=2022-06-30</x:v>
      </x:c>
      <x:c r="E27" s="76" t="str">
        <x:v>SYMBOL | LDCP | OPEN | HIGH | LOW | CLOSE | CHANGE | CHANGE (%) | VOLUME</x:v>
      </x:c>
      <x:c r="F27" s="76" t="str">
        <x:v>FCCL | 14.43 | 14.50 | 14.90 | 13.36 | 14.17 | -0.26 | -1.80% | 13,104,000</x:v>
      </x:c>
      <x:c r="G27" s="76" t="str">
        <x:v>dd7808b40b462c8056eef6b5d6f32228cdb7ebfb8706e2ff6036ed7ae0c134b7</x:v>
      </x:c>
      <x:c r="H27" s="76" t="str">
        <x:v>2026-10-22</x:v>
      </x:c>
      <x:c r="I27" s="76" t="str">
        <x:v>FCCL-Annual-Report-2025.pdf</x:v>
      </x:c>
      <x:c r="J27" s="83" t="n">
        <x:v>216</x:v>
      </x:c>
      <x:c r="K27" s="76" t="str">
        <x:v>https://fccl.com.pk/eng/wp-content/uploads/2025/05/FCCL-Annual-Report-2025.pdf</x:v>
      </x:c>
      <x:c r="L27" s="99"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7" s="99" t="str">
        <x:v>IC AND DILUTED) Profit after tax (Rs. '000) 7,112,540 3,471,351 Profit attributable to ordinary shareholders (Rs. '000) 7,112,540 3,471,351 Weighted average number of ordinary shares (Numbers '000) 2,180,309 1,379,815 Earnings per share - basic (Rupees) 3.26 2.52 40.1 There is no dilution effect on earnings per share of the Company. 41 CASH AND CASH EQUIVALENTS Cash, cash equivalents and short-term borrowings (used for cash management purposes) include the following for the purposes of statement of cash flows. Note 2022 2021 Rupees'000 Rupees'000 Cash and bank balances 30 2,306,633 900,778 Short term borrowings - secured 15 (3,218,249) (1,616,787) (911,616) (716,009) NOTES TO THE FINANCIAL STATEMENTS FAUJI CEMENT COMPANY LIMITED FOR THE YEAR ENDED 30 JUNE 2022 228 Fauji Cement Company Limited</x:v>
      </x:c>
    </x:row>
    <x:row r="28" ht="140" customHeight="1">
      <x:c r="A28" s="84" t="str">
        <x:v>FCCL</x:v>
      </x:c>
      <x:c r="B28" s="85" t="n">
        <x:v>2023</x:v>
      </x:c>
      <x:c r="C28" s="84" t="str">
        <x:v>https://dps.psx.com.pk/historical</x:v>
      </x:c>
      <x:c r="D28" s="84" t="str">
        <x:v>POST date=2023-06-27</x:v>
      </x:c>
      <x:c r="E28" s="84" t="str">
        <x:v>SYMBOL | LDCP | OPEN | HIGH | LOW | CLOSE | CHANGE | CHANGE (%) | VOLUME</x:v>
      </x:c>
      <x:c r="F28" s="84" t="str">
        <x:v>FCCL | 12.23 | 12.05 | 12.11 | 11.68 | 11.76 | -0.47 | -3.84% | 4,486,000</x:v>
      </x:c>
      <x:c r="G28" s="84" t="str">
        <x:v>2e0eb9557487b380ab4c4b0235b16b477f45778d471df6dfd853dc1e33d23f05</x:v>
      </x:c>
      <x:c r="H28" s="84" t="str">
        <x:v>2026-10-22</x:v>
      </x:c>
      <x:c r="I28" s="84" t="str">
        <x:v>FCCL-Annual-Report-2025.pdf</x:v>
      </x:c>
      <x:c r="J28" s="85" t="n">
        <x:v>216</x:v>
      </x:c>
      <x:c r="K28" s="84" t="str">
        <x:v>https://fccl.com.pk/eng/wp-content/uploads/2025/05/FCCL-Annual-Report-2025.pdf</x:v>
      </x:c>
      <x:c r="L28"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8" s="98" t="str">
        <x:v>IC AND DILUTED) Profit after tax (Rs. ‘000) 7,439,681 7,112,540 Profit attributable to ordinary shareholders (Rs. ‘000) 7,439,681 7,112,540 Weighted average number of ordinary shares (Numbers ‘000) 2,353,539 2,353,539 Earnings per share - basic (Rupees) - Restated 3.16 3.02 37.1 There is no dilution effect on earnings per share of the Company. 37.2 There is no dilution effect on the basic earning per share of the Company as the Company has no convertible potential dilutive instruments outstanding as on June 30, 2023, which would have effect on the basic EPS, if the option to convert would have been exercised.</x:v>
      </x:c>
    </x:row>
    <x:row r="29" ht="140" customHeight="1">
      <x:c r="A29" s="76" t="str">
        <x:v>FCCL</x:v>
      </x:c>
      <x:c r="B29" s="83" t="n">
        <x:v>2024</x:v>
      </x:c>
      <x:c r="C29" s="76" t="str">
        <x:v>https://dps.psx.com.pk/historical</x:v>
      </x:c>
      <x:c r="D29" s="76" t="str">
        <x:v>POST date=2024-06-28</x:v>
      </x:c>
      <x:c r="E29" s="76" t="str">
        <x:v>SYMBOL | LDCP | OPEN | HIGH | LOW | CLOSE | CHANGE | CHANGE (%) | VOLUME</x:v>
      </x:c>
      <x:c r="F29" s="76" t="str">
        <x:v>FCCL | 22.82 | 22.82 | 23.08 | 22.65 | 22.91 | 0.09 | 0.39% | 3,114,681</x:v>
      </x:c>
      <x:c r="G29" s="76" t="str">
        <x:v>efc8ea2445cacdcf79405956444140d56bf6dde7848de9b27aeb39b75c5cf4ac</x:v>
      </x:c>
      <x:c r="H29" s="76" t="str">
        <x:v>2026-10-22</x:v>
      </x:c>
      <x:c r="I29" s="76" t="str">
        <x:v>FCCL-Annual-Report-2025.pdf</x:v>
      </x:c>
      <x:c r="J29" s="83" t="n">
        <x:v>216</x:v>
      </x:c>
      <x:c r="K29" s="76" t="str">
        <x:v>https://fccl.com.pk/eng/wp-content/uploads/2025/05/FCCL-Annual-Report-2025.pdf</x:v>
      </x:c>
      <x:c r="L29" s="99"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9" s="99" t="str">
        <x:v>ND DILUTED) Profit after tax 8,223,116 7,439,681 Profit attributable to ordinary shareholders 8,223,116 7,439,681 Numbers ‘000 Numbers ‘000 Weighted average number of ordinary shares 2,452,857 2,353,539 Rupees Rupees Earnings per share - basic 3.35 3.16 37.1 There is no dilution effect on earnings per share of the Company. 37.2 There is no dilution effect on the basic earning per share of the Company as the Company has no convertible potential dilutive instruments outstanding as on June 30, 2024, which would have effect on the basic EPS, if the option to convert would have been exercised. 38 CASH AND CASH EQUIVALENTS Cash, cash equivalents and short-term borrowings (used for cash management purposes) include the following for the purposes of statement of cash flows. Note 2024 2023 Rupees’000 Rupees’000 Cash and bank balances 26 2,932,984 970,457 Short term running finance - secured 14 (1,450,934) (4,530,981) Bank balances under lien 26.2 (85,500) (89,500) 1,396,550 (3,650,024) 39 REMUNERATION OF CHIEF EXECUTIVE, DIRECTORS AND EXECUTIVES The aggregate amounts recognized duri</x:v>
      </x:c>
    </x:row>
    <x:row r="30" ht="140" customHeight="1">
      <x:c r="A30" s="84" t="str">
        <x:v>FCCL</x:v>
      </x:c>
      <x:c r="B30" s="85" t="n">
        <x:v>2025</x:v>
      </x:c>
      <x:c r="C30" s="84" t="str">
        <x:v>https://dps.psx.com.pk/historical</x:v>
      </x:c>
      <x:c r="D30" s="84" t="str">
        <x:v>POST date=2025-06-30</x:v>
      </x:c>
      <x:c r="E30" s="84" t="str">
        <x:v>SYMBOL | LDCP | OPEN | HIGH | LOW | CLOSE | CHANGE | CHANGE (%) | VOLUME</x:v>
      </x:c>
      <x:c r="F30" s="84" t="str">
        <x:v>FCCL | 45.27 | 45.47 | 45.55 | 44.52 | 44.67 | -0.60 | -1.33% | 3,494,330</x:v>
      </x:c>
      <x:c r="G30" s="84" t="str">
        <x:v>dc442e1cf6c040e091a7631042e5cafc369e5d192eccdb58b6f105fbb005fee4</x:v>
      </x:c>
      <x:c r="H30" s="84" t="str">
        <x:v>2026-10-22</x:v>
      </x:c>
      <x:c r="I30" s="84" t="str">
        <x:v>FCCL-Annual-Report-2025.pdf</x:v>
      </x:c>
      <x:c r="J30" s="85" t="n">
        <x:v>216</x:v>
      </x:c>
      <x:c r="K30" s="84" t="str">
        <x:v>https://fccl.com.pk/eng/wp-content/uploads/2025/05/FCCL-Annual-Report-2025.pdf</x:v>
      </x:c>
      <x:c r="L30"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30" s="98" t="str">
        <x:v> DILUTED) Profit after tax 13,326,202 8,223,116 Profit attributable to ordinary shareholders 13,326,202 8,223,116 Numbers ‘000 Numbers ‘000 Weighted average number of ordinary shares 2,452,847 2,452,847 Rupees Rupees Earnings per share – basic 5.43 3.35 38.1 There is no dilution effect on the basic earning per share of the Company as the Company has no convertible potential dilutive instruments outstanding as on June 30, 2025, which would have effect on the basic EPS, if the option to convert would have been exercised. 39 CASH AND CASH EQUIVALENTS Cash, cash equivalents and short–term borrowings (used for cash management purposes) include the following for the purposes of statement of cash flows. Note 2025 2024 Rupees’000 Rupees’000 Cash and bank balances 27 2,665,338 2,932,984 Short term running finance – secured 15 (268,462) (850,934) Bank balances under lien 27.3 (85,500) (85,500) 2,311,376 1,996,550 40 REMUNERATION OF CHIEF EXECUTIVE, DIRECTORS AND EXECUTIVES The aggregate amounts recognized during the year on account of remuneration, including benefits and perquisites </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 hidden="0" customWidth="1"/>
    <x:col min="2" max="2" width="10" hidden="0" customWidth="1"/>
    <x:col min="3" max="3" width="8" hidden="0" customWidth="1"/>
    <x:col min="4" max="4" width="40" hidden="0" customWidth="1"/>
    <x:col min="5" max="5" width="15" hidden="0" customWidth="1"/>
    <x:col min="6" max="6" width="23" hidden="0" customWidth="1"/>
    <x:col min="7" max="7" width="23" hidden="0" customWidth="1"/>
    <x:col min="8" max="8" width="23" hidden="0" customWidth="1"/>
    <x:col min="9" max="9" width="25" hidden="0" customWidth="1"/>
    <x:col min="10" max="10" width="25" hidden="0" customWidth="1"/>
    <x:col min="11" max="11" width="25" hidden="0" customWidth="1"/>
    <x:col min="12" max="12" width="24" hidden="0" customWidth="1"/>
    <x:col min="13" max="13" width="24" hidden="0" customWidth="1"/>
    <x:col min="14" max="14" width="12" hidden="0" customWidth="1"/>
    <x:col min="15" max="15" width="65" hidden="0" customWidth="1"/>
    <x:col min="16" max="16" width="24" hidden="0" customWidth="1"/>
  </x:cols>
  <x:sheetData>
    <x:row r="1" ht="26" customHeight="1">
      <x:c r="A1" s="76"/>
      <x:c r="B1" s="76"/>
      <x:c r="C1" s="76"/>
      <x:c r="D1" s="76"/>
      <x:c r="E1" s="76"/>
      <x:c r="F1" s="76"/>
      <x:c r="G1" s="76"/>
      <x:c r="H1" s="76"/>
      <x:c r="I1" s="76"/>
      <x:c r="J1" s="76"/>
      <x:c r="K1" s="76"/>
      <x:c r="L1" s="76"/>
      <x:c r="M1" s="76"/>
      <x:c r="N1" s="76"/>
      <x:c r="O1" s="76"/>
      <x:c r="P1" s="76"/>
    </x:row>
    <x:row r="2" ht="26" customHeight="1">
      <x:c r="A2" s="77" t="str">
        <x:v>All 33 measures — numerator, denominator and result checks</x:v>
      </x:c>
      <x:c r="B2" s="76"/>
      <x:c r="C2" s="76"/>
      <x:c r="D2" s="76"/>
      <x:c r="E2" s="76"/>
      <x:c r="F2" s="76"/>
      <x:c r="G2" s="76"/>
      <x:c r="H2" s="76"/>
      <x:c r="I2" s="76"/>
      <x:c r="J2" s="76"/>
      <x:c r="K2" s="76"/>
      <x:c r="L2" s="76"/>
      <x:c r="M2" s="76"/>
      <x:c r="N2" s="76"/>
      <x:c r="O2" s="76"/>
      <x:c r="P2" s="76"/>
    </x:row>
    <x:row r="3" ht="26" customHeight="1">
      <x:c r="A3" s="164" t="str">
        <x:v>825 independent source-register calculations check every numerator, denominator and final display. Source observations and accounting classifications were reviewed separately.</x:v>
      </x:c>
      <x:c r="B3" s="76"/>
      <x:c r="C3" s="76"/>
      <x:c r="D3" s="76"/>
      <x:c r="E3" s="76"/>
      <x:c r="F3" s="76"/>
      <x:c r="G3" s="76"/>
      <x:c r="H3" s="76"/>
      <x:c r="I3" s="76"/>
      <x:c r="J3" s="76"/>
      <x:c r="K3" s="76"/>
      <x:c r="L3" s="76"/>
      <x:c r="M3" s="76"/>
      <x:c r="N3" s="76"/>
      <x:c r="O3" s="76"/>
      <x:c r="P3" s="76"/>
    </x:row>
    <x:row r="4" ht="26" customHeight="1">
      <x:c r="A4" s="76"/>
      <x:c r="B4" s="76"/>
      <x:c r="C4" s="76"/>
      <x:c r="D4" s="76"/>
      <x:c r="E4" s="76"/>
      <x:c r="F4" s="76"/>
      <x:c r="G4" s="76"/>
      <x:c r="H4" s="76"/>
      <x:c r="I4" s="76"/>
      <x:c r="J4" s="76"/>
      <x:c r="K4" s="76"/>
      <x:c r="L4" s="76"/>
      <x:c r="M4" s="76"/>
      <x:c r="N4" s="76"/>
      <x:c r="O4" s="76"/>
      <x:c r="P4" s="76"/>
    </x:row>
    <x:row r="5" ht="40" customHeight="1">
      <x:c r="A5" s="167" t="str">
        <x:v>Company</x:v>
      </x:c>
      <x:c r="B5" s="167" t="str">
        <x:v>FY</x:v>
      </x:c>
      <x:c r="C5" s="167" t="str">
        <x:v>No.</x:v>
      </x:c>
      <x:c r="D5" s="167" t="str">
        <x:v>Measure</x:v>
      </x:c>
      <x:c r="E5" s="167" t="str">
        <x:v>Requirement</x:v>
      </x:c>
      <x:c r="F5" s="167" t="str">
        <x:v>Excel numerator</x:v>
      </x:c>
      <x:c r="G5" s="167" t="str">
        <x:v>Excel denominator</x:v>
      </x:c>
      <x:c r="H5" s="167" t="str">
        <x:v>Raw Excel result</x:v>
      </x:c>
      <x:c r="I5" s="167" t="str">
        <x:v>Independent numerator</x:v>
      </x:c>
      <x:c r="J5" s="167" t="str">
        <x:v>Independent denominator</x:v>
      </x:c>
      <x:c r="K5" s="167" t="str">
        <x:v>Independent raw result</x:v>
      </x:c>
      <x:c r="L5" s="167" t="str">
        <x:v>Expected display</x:v>
      </x:c>
      <x:c r="M5" s="167" t="str">
        <x:v>Workbook result</x:v>
      </x:c>
      <x:c r="N5" s="167" t="str">
        <x:v>Check</x:v>
      </x:c>
      <x:c r="O5" s="167" t="str">
        <x:v>n/m reason</x:v>
      </x:c>
      <x:c r="P5" s="167" t="str">
        <x:v>Category</x:v>
      </x:c>
    </x:row>
    <x:row r="6" ht="26" customHeight="1">
      <x:c r="A6" s="168" t="str">
        <x:v>KOHC</x:v>
      </x:c>
      <x:c r="B6" s="168" t="n">
        <x:v>2021</x:v>
      </x:c>
      <x:c r="C6" s="168" t="n">
        <x:v>1</x:v>
      </x:c>
      <x:c r="D6" s="168" t="str">
        <x:v>Current ratio</x:v>
      </x:c>
      <x:c r="E6" s="168" t="str">
        <x:v>Mandatory</x:v>
      </x:c>
      <x:c r="F6" s="169" t="n">
        <x:f>KOHC!D36</x:f>
        <x:v>9848.798713999999</x:v>
      </x:c>
      <x:c r="G6" s="169" t="n">
        <x:f>KOHC!D61</x:f>
        <x:v>7572.24394</x:v>
      </x:c>
      <x:c r="H6" s="169" t="n">
        <x:f>IF(G6&lt;=0,"n/m",F6/G6)</x:f>
        <x:v>1.3006446691414961</x:v>
      </x:c>
      <x:c r="I6" s="169" t="n">
        <x:v>9848.798714</x:v>
      </x:c>
      <x:c r="J6" s="169" t="n">
        <x:v>7572.24394</x:v>
      </x:c>
      <x:c r="K6" s="169" t="n">
        <x:v>1.3006446691414963</x:v>
      </x:c>
      <x:c r="L6" s="175" t="n">
        <x:v>1.3006446691414963</x:v>
      </x:c>
      <x:c r="M6" s="175" t="n">
        <x:f>KOHC!D138</x:f>
        <x:v>1.3006446691414961</x:v>
      </x:c>
      <x:c r="N6" s="176" t="str">
        <x:f>IF(AND(ABS(F6-I6)&lt;0.000001,ABS(G6-J6)&lt;0.000001,IF(ISNUMBER(L6),IF(ISNUMBER(M6),ABS(L6-M6)&lt;0.00000001,FALSE),M6=L6)),"PASS","FAIL")</x:f>
        <x:v>PASS</x:v>
      </x:c>
      <x:c r="O6" s="171" t="str"/>
      <x:c r="P6" s="168" t="str">
        <x:v>Liquidity</x:v>
      </x:c>
    </x:row>
    <x:row r="7" ht="26" customHeight="1">
      <x:c r="A7" s="76" t="str">
        <x:v>KOHC</x:v>
      </x:c>
      <x:c r="B7" s="76" t="n">
        <x:v>2021</x:v>
      </x:c>
      <x:c r="C7" s="76" t="n">
        <x:v>2</x:v>
      </x:c>
      <x:c r="D7" s="76" t="str">
        <x:v>Quick ratio</x:v>
      </x:c>
      <x:c r="E7" s="76" t="str">
        <x:v>Mandatory</x:v>
      </x:c>
      <x:c r="F7" s="170" t="n">
        <x:f>KOHC!D36-KOHC!D65</x:f>
        <x:v>5665.253346999999</x:v>
      </x:c>
      <x:c r="G7" s="170" t="n">
        <x:f>KOHC!D61</x:f>
        <x:v>7572.24394</x:v>
      </x:c>
      <x:c r="H7" s="170" t="n">
        <x:f>IF(G7&lt;=0,"n/m",F7/G7)</x:f>
        <x:v>0.748160438555549</x:v>
      </x:c>
      <x:c r="I7" s="170" t="n">
        <x:v>5665.253347000001</x:v>
      </x:c>
      <x:c r="J7" s="170" t="n">
        <x:v>7572.24394</x:v>
      </x:c>
      <x:c r="K7" s="170" t="n">
        <x:v>0.7481604385555493</x:v>
      </x:c>
      <x:c r="L7" s="177" t="n">
        <x:v>0.7481604385555493</x:v>
      </x:c>
      <x:c r="M7" s="177" t="n">
        <x:f>KOHC!D139</x:f>
        <x:v>0.748160438555549</x:v>
      </x:c>
      <x:c r="N7" s="178" t="str">
        <x:f>IF(AND(ABS(F7-I7)&lt;0.000001,ABS(G7-J7)&lt;0.000001,IF(ISNUMBER(L7),IF(ISNUMBER(M7),ABS(L7-M7)&lt;0.00000001,FALSE),M7=L7)),"PASS","FAIL")</x:f>
        <x:v>PASS</x:v>
      </x:c>
      <x:c r="O7" s="99" t="str"/>
      <x:c r="P7" s="76" t="str">
        <x:v>Liquidity</x:v>
      </x:c>
    </x:row>
    <x:row r="8" ht="26" customHeight="1">
      <x:c r="A8" s="168" t="str">
        <x:v>KOHC</x:v>
      </x:c>
      <x:c r="B8" s="168" t="n">
        <x:v>2021</x:v>
      </x:c>
      <x:c r="C8" s="168" t="n">
        <x:v>3</x:v>
      </x:c>
      <x:c r="D8" s="168" t="str">
        <x:v>Cash ratio</x:v>
      </x:c>
      <x:c r="E8" s="168" t="str">
        <x:v>Mandatory</x:v>
      </x:c>
      <x:c r="F8" s="169" t="n">
        <x:f>KOHC!D34</x:f>
        <x:v>1197.729351</x:v>
      </x:c>
      <x:c r="G8" s="169" t="n">
        <x:f>KOHC!D61</x:f>
        <x:v>7572.24394</x:v>
      </x:c>
      <x:c r="H8" s="169" t="n">
        <x:f>IF(G8&lt;=0,"n/m",F8/G8)</x:f>
        <x:v>0.15817363525137568</x:v>
      </x:c>
      <x:c r="I8" s="169" t="n">
        <x:v>1197.729351</x:v>
      </x:c>
      <x:c r="J8" s="169" t="n">
        <x:v>7572.24394</x:v>
      </x:c>
      <x:c r="K8" s="169" t="n">
        <x:v>0.15817363525137568</x:v>
      </x:c>
      <x:c r="L8" s="175" t="n">
        <x:v>0.15817363525137568</x:v>
      </x:c>
      <x:c r="M8" s="175" t="n">
        <x:f>KOHC!D140</x:f>
        <x:v>0.15817363525137568</x:v>
      </x:c>
      <x:c r="N8" s="176" t="str">
        <x:f>IF(AND(ABS(F8-I8)&lt;0.000001,ABS(G8-J8)&lt;0.000001,IF(ISNUMBER(L8),IF(ISNUMBER(M8),ABS(L8-M8)&lt;0.00000001,FALSE),M8=L8)),"PASS","FAIL")</x:f>
        <x:v>PASS</x:v>
      </x:c>
      <x:c r="O8" s="171" t="str"/>
      <x:c r="P8" s="168" t="str">
        <x:v>Liquidity</x:v>
      </x:c>
    </x:row>
    <x:row r="9" ht="26" customHeight="1">
      <x:c r="A9" s="76" t="str">
        <x:v>KOHC</x:v>
      </x:c>
      <x:c r="B9" s="76" t="n">
        <x:v>2021</x:v>
      </x:c>
      <x:c r="C9" s="76" t="n">
        <x:v>4</x:v>
      </x:c>
      <x:c r="D9" s="76" t="str">
        <x:v>Net working capital (PKR m)</x:v>
      </x:c>
      <x:c r="E9" s="76" t="str">
        <x:v>Additional</x:v>
      </x:c>
      <x:c r="F9" s="170" t="n">
        <x:f>KOHC!D36-KOHC!D61</x:f>
        <x:v>2276.5547739999984</x:v>
      </x:c>
      <x:c r="G9" s="170" t="n">
        <x:f>1</x:f>
        <x:v>1</x:v>
      </x:c>
      <x:c r="H9" s="170" t="n">
        <x:f>IF(G9&lt;=0,"n/m",F9/G9)</x:f>
        <x:v>2276.5547739999984</x:v>
      </x:c>
      <x:c r="I9" s="170" t="n">
        <x:v>2276.554774</x:v>
      </x:c>
      <x:c r="J9" s="170" t="n">
        <x:v>1</x:v>
      </x:c>
      <x:c r="K9" s="170" t="n">
        <x:v>2276.554774</x:v>
      </x:c>
      <x:c r="L9" s="177" t="n">
        <x:v>2276.554774</x:v>
      </x:c>
      <x:c r="M9" s="177" t="n">
        <x:f>KOHC!D141</x:f>
        <x:v>2276.5547739999984</x:v>
      </x:c>
      <x:c r="N9" s="178" t="str">
        <x:f>IF(AND(ABS(F9-I9)&lt;0.000001,ABS(G9-J9)&lt;0.000001,IF(ISNUMBER(L9),IF(ISNUMBER(M9),ABS(L9-M9)&lt;0.00000001,FALSE),M9=L9)),"PASS","FAIL")</x:f>
        <x:v>PASS</x:v>
      </x:c>
      <x:c r="O9" s="99" t="str"/>
      <x:c r="P9" s="76" t="str">
        <x:v>Liquidity</x:v>
      </x:c>
    </x:row>
    <x:row r="10" ht="26" customHeight="1">
      <x:c r="A10" s="168" t="str">
        <x:v>KOHC</x:v>
      </x:c>
      <x:c r="B10" s="168" t="n">
        <x:v>2021</x:v>
      </x:c>
      <x:c r="C10" s="168" t="n">
        <x:v>5</x:v>
      </x:c>
      <x:c r="D10" s="168" t="str">
        <x:v>Net operating working capital (PKR m)</x:v>
      </x:c>
      <x:c r="E10" s="168" t="str">
        <x:v>Additional</x:v>
      </x:c>
      <x:c r="F10" s="169" t="n">
        <x:f>KOHC!D72-KOHC!D73</x:f>
        <x:v>-106.83863200000178</x:v>
      </x:c>
      <x:c r="G10" s="169" t="n">
        <x:f>1</x:f>
        <x:v>1</x:v>
      </x:c>
      <x:c r="H10" s="169" t="n">
        <x:f>IF(G10&lt;=0,"n/m",F10/G10)</x:f>
        <x:v>-106.83863200000178</x:v>
      </x:c>
      <x:c r="I10" s="169" t="n">
        <x:v>-106.83863199999996</x:v>
      </x:c>
      <x:c r="J10" s="169" t="n">
        <x:v>1</x:v>
      </x:c>
      <x:c r="K10" s="169" t="n">
        <x:v>-106.83863199999996</x:v>
      </x:c>
      <x:c r="L10" s="175" t="str">
        <x:v>n/m</x:v>
      </x:c>
      <x:c r="M10" s="175" t="str">
        <x:f>KOHC!D142</x:f>
        <x:v>n/m</x:v>
      </x:c>
      <x:c r="N10" s="176" t="str">
        <x:f>IF(AND(ABS(F10-I10)&lt;0.000001,ABS(G10-J10)&lt;0.000001,IF(ISNUMBER(L10),IF(ISNUMBER(M10),ABS(L10-M10)&lt;0.00000001,FALSE),M10=L10)),"PASS","FAIL")</x:f>
        <x:v>PASS</x:v>
      </x:c>
      <x:c r="O10" s="171" t="str">
        <x:v>Negative calculated measure; raw signed value in H/K.</x:v>
      </x:c>
      <x:c r="P10" s="168" t="str">
        <x:v>Liquidity</x:v>
      </x:c>
    </x:row>
    <x:row r="11" ht="26" customHeight="1">
      <x:c r="A11" s="76" t="str">
        <x:v>KOHC</x:v>
      </x:c>
      <x:c r="B11" s="76" t="n">
        <x:v>2021</x:v>
      </x:c>
      <x:c r="C11" s="76" t="n">
        <x:v>6</x:v>
      </x:c>
      <x:c r="D11" s="76" t="str">
        <x:v>Inventory turnover</x:v>
      </x:c>
      <x:c r="E11" s="76" t="str">
        <x:v>Mandatory</x:v>
      </x:c>
      <x:c r="F11" s="170" t="n">
        <x:f>-KOHC!D85</x:f>
        <x:v>18092.026933</x:v>
      </x:c>
      <x:c r="G11" s="170" t="n">
        <x:f>AVERAGE(KOHC!C65,KOHC!D65)</x:f>
        <x:v>3724.8630135</x:v>
      </x:c>
      <x:c r="H11" s="170" t="n">
        <x:f>IF(G11&lt;=0,"n/m",F11/G11)</x:f>
        <x:v>4.857098601325517</x:v>
      </x:c>
      <x:c r="I11" s="170" t="n">
        <x:v>18092.026933</x:v>
      </x:c>
      <x:c r="J11" s="170" t="n">
        <x:v>3724.8630135</x:v>
      </x:c>
      <x:c r="K11" s="170" t="n">
        <x:v>4.857098601325517</x:v>
      </x:c>
      <x:c r="L11" s="177" t="n">
        <x:v>4.857098601325517</x:v>
      </x:c>
      <x:c r="M11" s="177" t="n">
        <x:f>KOHC!D144</x:f>
        <x:v>4.857098601325517</x:v>
      </x:c>
      <x:c r="N11" s="178" t="str">
        <x:f>IF(AND(ABS(F11-I11)&lt;0.000001,ABS(G11-J11)&lt;0.000001,IF(ISNUMBER(L11),IF(ISNUMBER(M11),ABS(L11-M11)&lt;0.00000001,FALSE),M11=L11)),"PASS","FAIL")</x:f>
        <x:v>PASS</x:v>
      </x:c>
      <x:c r="O11" s="99" t="str"/>
      <x:c r="P11" s="76" t="str">
        <x:v>Asset Management</x:v>
      </x:c>
    </x:row>
    <x:row r="12" ht="26" customHeight="1">
      <x:c r="A12" s="168" t="str">
        <x:v>KOHC</x:v>
      </x:c>
      <x:c r="B12" s="168" t="n">
        <x:v>2021</x:v>
      </x:c>
      <x:c r="C12" s="168" t="n">
        <x:v>7</x:v>
      </x:c>
      <x:c r="D12" s="168" t="str">
        <x:v>Receivables turnover</x:v>
      </x:c>
      <x:c r="E12" s="168" t="str">
        <x:v>Additional</x:v>
      </x:c>
      <x:c r="F12" s="169" t="n">
        <x:f>KOHC!D84</x:f>
        <x:v>24057.375992</x:v>
      </x:c>
      <x:c r="G12" s="169" t="n">
        <x:f>AVERAGE(KOHC!C32,KOHC!D32)</x:f>
        <x:v>738.9417145</x:v>
      </x:c>
      <x:c r="H12" s="169" t="n">
        <x:f>IF(G12&lt;=0,"n/m",F12/G12)</x:f>
        <x:v>32.55652715218313</x:v>
      </x:c>
      <x:c r="I12" s="169" t="n">
        <x:v>24057.375992</x:v>
      </x:c>
      <x:c r="J12" s="169" t="n">
        <x:v>738.9417145</x:v>
      </x:c>
      <x:c r="K12" s="169" t="n">
        <x:v>32.55652715218313</x:v>
      </x:c>
      <x:c r="L12" s="175" t="n">
        <x:v>32.55652715218313</x:v>
      </x:c>
      <x:c r="M12" s="175" t="n">
        <x:f>KOHC!D145</x:f>
        <x:v>32.55652715218313</x:v>
      </x:c>
      <x:c r="N12" s="176" t="str">
        <x:f>IF(AND(ABS(F12-I12)&lt;0.000001,ABS(G12-J12)&lt;0.000001,IF(ISNUMBER(L12),IF(ISNUMBER(M12),ABS(L12-M12)&lt;0.00000001,FALSE),M12=L12)),"PASS","FAIL")</x:f>
        <x:v>PASS</x:v>
      </x:c>
      <x:c r="O12" s="171" t="str"/>
      <x:c r="P12" s="168" t="str">
        <x:v>Asset Management</x:v>
      </x:c>
    </x:row>
    <x:row r="13" ht="26" customHeight="1">
      <x:c r="A13" s="76" t="str">
        <x:v>KOHC</x:v>
      </x:c>
      <x:c r="B13" s="76" t="n">
        <x:v>2021</x:v>
      </x:c>
      <x:c r="C13" s="76" t="n">
        <x:v>8</x:v>
      </x:c>
      <x:c r="D13" s="76" t="str">
        <x:v>Payables turnover</x:v>
      </x:c>
      <x:c r="E13" s="76" t="str">
        <x:v>Additional</x:v>
      </x:c>
      <x:c r="F13" s="170" t="n">
        <x:f>-KOHC!D85</x:f>
        <x:v>18092.026933</x:v>
      </x:c>
      <x:c r="G13" s="170" t="n">
        <x:f>AVERAGE(KOHC!C51,KOHC!D51)</x:f>
        <x:v>1323.2292579999998</x:v>
      </x:c>
      <x:c r="H13" s="170" t="n">
        <x:f>IF(G13&lt;=0,"n/m",F13/G13)</x:f>
        <x:v>13.672632178905467</x:v>
      </x:c>
      <x:c r="I13" s="170" t="n">
        <x:v>18092.026933</x:v>
      </x:c>
      <x:c r="J13" s="170" t="n">
        <x:v>1323.2292579999998</x:v>
      </x:c>
      <x:c r="K13" s="170" t="n">
        <x:v>13.672632178905467</x:v>
      </x:c>
      <x:c r="L13" s="177" t="n">
        <x:v>13.672632178905467</x:v>
      </x:c>
      <x:c r="M13" s="177" t="n">
        <x:f>KOHC!D146</x:f>
        <x:v>13.672632178905467</x:v>
      </x:c>
      <x:c r="N13" s="178" t="str">
        <x:f>IF(AND(ABS(F13-I13)&lt;0.000001,ABS(G13-J13)&lt;0.000001,IF(ISNUMBER(L13),IF(ISNUMBER(M13),ABS(L13-M13)&lt;0.00000001,FALSE),M13=L13)),"PASS","FAIL")</x:f>
        <x:v>PASS</x:v>
      </x:c>
      <x:c r="O13" s="99" t="str"/>
      <x:c r="P13" s="76" t="str">
        <x:v>Asset Management</x:v>
      </x:c>
    </x:row>
    <x:row r="14" ht="26" customHeight="1">
      <x:c r="A14" s="168" t="str">
        <x:v>KOHC</x:v>
      </x:c>
      <x:c r="B14" s="168" t="n">
        <x:v>2021</x:v>
      </x:c>
      <x:c r="C14" s="168" t="n">
        <x:v>9</x:v>
      </x:c>
      <x:c r="D14" s="168" t="str">
        <x:v>Days inventory outstanding</x:v>
      </x:c>
      <x:c r="E14" s="168" t="str">
        <x:v>Additional</x:v>
      </x:c>
      <x:c r="F14" s="169" t="n">
        <x:f>365*AVERAGE(KOHC!C65,KOHC!D65)</x:f>
        <x:v>1359574.9999275</x:v>
      </x:c>
      <x:c r="G14" s="169" t="n">
        <x:f>-KOHC!D85</x:f>
        <x:v>18092.026933</x:v>
      </x:c>
      <x:c r="H14" s="169" t="n">
        <x:f>IF(G14&lt;=0,"n/m",F14/G14)</x:f>
        <x:v>75.14774353157878</x:v>
      </x:c>
      <x:c r="I14" s="169" t="n">
        <x:v>1359574.9999275</x:v>
      </x:c>
      <x:c r="J14" s="169" t="n">
        <x:v>18092.026933</x:v>
      </x:c>
      <x:c r="K14" s="169" t="n">
        <x:v>75.14774353157878</x:v>
      </x:c>
      <x:c r="L14" s="175" t="n">
        <x:v>75.14774353157878</x:v>
      </x:c>
      <x:c r="M14" s="175" t="n">
        <x:f>KOHC!D147</x:f>
        <x:v>75.14774353157878</x:v>
      </x:c>
      <x:c r="N14" s="176" t="str">
        <x:f>IF(AND(ABS(F14-I14)&lt;0.000001,ABS(G14-J14)&lt;0.000001,IF(ISNUMBER(L14),IF(ISNUMBER(M14),ABS(L14-M14)&lt;0.00000001,FALSE),M14=L14)),"PASS","FAIL")</x:f>
        <x:v>PASS</x:v>
      </x:c>
      <x:c r="O14" s="171" t="str"/>
      <x:c r="P14" s="168" t="str">
        <x:v>Asset Management</x:v>
      </x:c>
    </x:row>
    <x:row r="15" ht="26" customHeight="1">
      <x:c r="A15" s="76" t="str">
        <x:v>KOHC</x:v>
      </x:c>
      <x:c r="B15" s="76" t="n">
        <x:v>2021</x:v>
      </x:c>
      <x:c r="C15" s="76" t="n">
        <x:v>10</x:v>
      </x:c>
      <x:c r="D15" s="76" t="str">
        <x:v>Days sales outstanding</x:v>
      </x:c>
      <x:c r="E15" s="76" t="str">
        <x:v>Mandatory</x:v>
      </x:c>
      <x:c r="F15" s="170" t="n">
        <x:f>365*AVERAGE(KOHC!C32,KOHC!D32)</x:f>
        <x:v>269713.7257925</x:v>
      </x:c>
      <x:c r="G15" s="170" t="n">
        <x:f>KOHC!D84</x:f>
        <x:v>24057.375992</x:v>
      </x:c>
      <x:c r="H15" s="170" t="n">
        <x:f>IF(G15&lt;=0,"n/m",F15/G15)</x:f>
        <x:v>11.211269503464973</x:v>
      </x:c>
      <x:c r="I15" s="170" t="n">
        <x:v>269713.7257925</x:v>
      </x:c>
      <x:c r="J15" s="170" t="n">
        <x:v>24057.375992</x:v>
      </x:c>
      <x:c r="K15" s="170" t="n">
        <x:v>11.211269503464973</x:v>
      </x:c>
      <x:c r="L15" s="177" t="n">
        <x:v>11.211269503464973</x:v>
      </x:c>
      <x:c r="M15" s="177" t="n">
        <x:f>KOHC!D148</x:f>
        <x:v>11.211269503464973</x:v>
      </x:c>
      <x:c r="N15" s="178" t="str">
        <x:f>IF(AND(ABS(F15-I15)&lt;0.000001,ABS(G15-J15)&lt;0.000001,IF(ISNUMBER(L15),IF(ISNUMBER(M15),ABS(L15-M15)&lt;0.00000001,FALSE),M15=L15)),"PASS","FAIL")</x:f>
        <x:v>PASS</x:v>
      </x:c>
      <x:c r="O15" s="99" t="str"/>
      <x:c r="P15" s="76" t="str">
        <x:v>Asset Management</x:v>
      </x:c>
    </x:row>
    <x:row r="16" ht="26" customHeight="1">
      <x:c r="A16" s="168" t="str">
        <x:v>KOHC</x:v>
      </x:c>
      <x:c r="B16" s="168" t="n">
        <x:v>2021</x:v>
      </x:c>
      <x:c r="C16" s="168" t="n">
        <x:v>11</x:v>
      </x:c>
      <x:c r="D16" s="168" t="str">
        <x:v>Days payables outstanding</x:v>
      </x:c>
      <x:c r="E16" s="168" t="str">
        <x:v>Additional</x:v>
      </x:c>
      <x:c r="F16" s="169" t="n">
        <x:f>365*AVERAGE(KOHC!C51,KOHC!D51)</x:f>
        <x:v>482978.67916999996</x:v>
      </x:c>
      <x:c r="G16" s="169" t="n">
        <x:f>-KOHC!D85</x:f>
        <x:v>18092.026933</x:v>
      </x:c>
      <x:c r="H16" s="169" t="n">
        <x:f>IF(G16&lt;=0,"n/m",F16/G16)</x:f>
        <x:v>26.695664391757177</x:v>
      </x:c>
      <x:c r="I16" s="169" t="n">
        <x:v>482978.67916999996</x:v>
      </x:c>
      <x:c r="J16" s="169" t="n">
        <x:v>18092.026933</x:v>
      </x:c>
      <x:c r="K16" s="169" t="n">
        <x:v>26.695664391757177</x:v>
      </x:c>
      <x:c r="L16" s="175" t="n">
        <x:v>26.695664391757177</x:v>
      </x:c>
      <x:c r="M16" s="175" t="n">
        <x:f>KOHC!D149</x:f>
        <x:v>26.695664391757177</x:v>
      </x:c>
      <x:c r="N16" s="176" t="str">
        <x:f>IF(AND(ABS(F16-I16)&lt;0.000001,ABS(G16-J16)&lt;0.000001,IF(ISNUMBER(L16),IF(ISNUMBER(M16),ABS(L16-M16)&lt;0.00000001,FALSE),M16=L16)),"PASS","FAIL")</x:f>
        <x:v>PASS</x:v>
      </x:c>
      <x:c r="O16" s="171" t="str"/>
      <x:c r="P16" s="168" t="str">
        <x:v>Asset Management</x:v>
      </x:c>
    </x:row>
    <x:row r="17" ht="26" customHeight="1">
      <x:c r="A17" s="76" t="str">
        <x:v>KOHC</x:v>
      </x:c>
      <x:c r="B17" s="76" t="n">
        <x:v>2021</x:v>
      </x:c>
      <x:c r="C17" s="76" t="n">
        <x:v>12</x:v>
      </x:c>
      <x:c r="D17" s="76" t="str">
        <x:v>Operating cycle (days)</x:v>
      </x:c>
      <x:c r="E17" s="76" t="str">
        <x:v>Additional</x:v>
      </x:c>
      <x:c r="F17" s="170" t="n">
        <x:f>365*AVERAGE(KOHC!C65,KOHC!D65)/(-KOHC!D85)+365*AVERAGE(KOHC!C32,KOHC!D32)/KOHC!D84</x:f>
        <x:v>86.35901303504376</x:v>
      </x:c>
      <x:c r="G17" s="170" t="n">
        <x:f>1</x:f>
        <x:v>1</x:v>
      </x:c>
      <x:c r="H17" s="170" t="n">
        <x:f>IF(G17&lt;=0,"n/m",F17/G17)</x:f>
        <x:v>86.35901303504376</x:v>
      </x:c>
      <x:c r="I17" s="170" t="n">
        <x:v>86.35901303504376</x:v>
      </x:c>
      <x:c r="J17" s="170" t="n">
        <x:v>1</x:v>
      </x:c>
      <x:c r="K17" s="170" t="n">
        <x:v>86.35901303504376</x:v>
      </x:c>
      <x:c r="L17" s="177" t="n">
        <x:v>86.35901303504376</x:v>
      </x:c>
      <x:c r="M17" s="177" t="n">
        <x:f>KOHC!D150</x:f>
        <x:v>86.35901303504376</x:v>
      </x:c>
      <x:c r="N17" s="178" t="str">
        <x:f>IF(AND(ABS(F17-I17)&lt;0.000001,ABS(G17-J17)&lt;0.000001,IF(ISNUMBER(L17),IF(ISNUMBER(M17),ABS(L17-M17)&lt;0.00000001,FALSE),M17=L17)),"PASS","FAIL")</x:f>
        <x:v>PASS</x:v>
      </x:c>
      <x:c r="O17" s="99" t="str"/>
      <x:c r="P17" s="76" t="str">
        <x:v>Asset Management</x:v>
      </x:c>
    </x:row>
    <x:row r="18" ht="26" customHeight="1">
      <x:c r="A18" s="168" t="str">
        <x:v>KOHC</x:v>
      </x:c>
      <x:c r="B18" s="168" t="n">
        <x:v>2021</x:v>
      </x:c>
      <x:c r="C18" s="168" t="n">
        <x:v>13</x:v>
      </x:c>
      <x:c r="D18" s="168" t="str">
        <x:v>Cash conversion cycle (days)</x:v>
      </x:c>
      <x:c r="E18" s="168" t="str">
        <x:v>Additional</x:v>
      </x:c>
      <x:c r="F18" s="169" t="n">
        <x:f>365*AVERAGE(KOHC!C65,KOHC!D65)/(-KOHC!D85)+365*AVERAGE(KOHC!C32,KOHC!D32)/KOHC!D84-365*AVERAGE(KOHC!C51,KOHC!D51)/(-KOHC!D85)</x:f>
        <x:v>59.66334864328658</x:v>
      </x:c>
      <x:c r="G18" s="169" t="n">
        <x:f>1</x:f>
        <x:v>1</x:v>
      </x:c>
      <x:c r="H18" s="169" t="n">
        <x:f>IF(G18&lt;=0,"n/m",F18/G18)</x:f>
        <x:v>59.66334864328658</x:v>
      </x:c>
      <x:c r="I18" s="169" t="n">
        <x:v>59.66334864328658</x:v>
      </x:c>
      <x:c r="J18" s="169" t="n">
        <x:v>1</x:v>
      </x:c>
      <x:c r="K18" s="169" t="n">
        <x:v>59.66334864328658</x:v>
      </x:c>
      <x:c r="L18" s="175" t="n">
        <x:v>59.66334864328658</x:v>
      </x:c>
      <x:c r="M18" s="175" t="n">
        <x:f>KOHC!D151</x:f>
        <x:v>59.66334864328658</x:v>
      </x:c>
      <x:c r="N18" s="176" t="str">
        <x:f>IF(AND(ABS(F18-I18)&lt;0.000001,ABS(G18-J18)&lt;0.000001,IF(ISNUMBER(L18),IF(ISNUMBER(M18),ABS(L18-M18)&lt;0.00000001,FALSE),M18=L18)),"PASS","FAIL")</x:f>
        <x:v>PASS</x:v>
      </x:c>
      <x:c r="O18" s="171" t="str"/>
      <x:c r="P18" s="168" t="str">
        <x:v>Asset Management</x:v>
      </x:c>
    </x:row>
    <x:row r="19" ht="26" customHeight="1">
      <x:c r="A19" s="76" t="str">
        <x:v>KOHC</x:v>
      </x:c>
      <x:c r="B19" s="76" t="n">
        <x:v>2021</x:v>
      </x:c>
      <x:c r="C19" s="76" t="n">
        <x:v>14</x:v>
      </x:c>
      <x:c r="D19" s="76" t="str">
        <x:v>Total asset turnover</x:v>
      </x:c>
      <x:c r="E19" s="76" t="str">
        <x:v>Mandatory</x:v>
      </x:c>
      <x:c r="F19" s="170" t="n">
        <x:f>KOHC!D84</x:f>
        <x:v>24057.375992</x:v>
      </x:c>
      <x:c r="G19" s="170" t="n">
        <x:f>AVERAGE(KOHC!C37,KOHC!D37)</x:f>
        <x:v>33921.794372000004</x:v>
      </x:c>
      <x:c r="H19" s="170" t="n">
        <x:f>IF(G19&lt;=0,"n/m",F19/G19)</x:f>
        <x:v>0.7092011621843222</x:v>
      </x:c>
      <x:c r="I19" s="170" t="n">
        <x:v>24057.375992</x:v>
      </x:c>
      <x:c r="J19" s="170" t="n">
        <x:v>33921.794372</x:v>
      </x:c>
      <x:c r="K19" s="170" t="n">
        <x:v>0.7092011621843223</x:v>
      </x:c>
      <x:c r="L19" s="177" t="n">
        <x:v>0.7092011621843223</x:v>
      </x:c>
      <x:c r="M19" s="177" t="n">
        <x:f>KOHC!D152</x:f>
        <x:v>0.7092011621843222</x:v>
      </x:c>
      <x:c r="N19" s="178" t="str">
        <x:f>IF(AND(ABS(F19-I19)&lt;0.000001,ABS(G19-J19)&lt;0.000001,IF(ISNUMBER(L19),IF(ISNUMBER(M19),ABS(L19-M19)&lt;0.00000001,FALSE),M19=L19)),"PASS","FAIL")</x:f>
        <x:v>PASS</x:v>
      </x:c>
      <x:c r="O19" s="99" t="str"/>
      <x:c r="P19" s="76" t="str">
        <x:v>Asset Management</x:v>
      </x:c>
    </x:row>
    <x:row r="20" ht="26" customHeight="1">
      <x:c r="A20" s="168" t="str">
        <x:v>KOHC</x:v>
      </x:c>
      <x:c r="B20" s="168" t="n">
        <x:v>2021</x:v>
      </x:c>
      <x:c r="C20" s="168" t="n">
        <x:v>15</x:v>
      </x:c>
      <x:c r="D20" s="168" t="str">
        <x:v>Fixed asset turnover</x:v>
      </x:c>
      <x:c r="E20" s="168" t="str">
        <x:v>Mandatory</x:v>
      </x:c>
      <x:c r="F20" s="169" t="n">
        <x:f>KOHC!D84</x:f>
        <x:v>24057.375992</x:v>
      </x:c>
      <x:c r="G20" s="169" t="n">
        <x:f>AVERAGE(KOHC!C22,KOHC!D22)</x:f>
        <x:v>22183.3468015</x:v>
      </x:c>
      <x:c r="H20" s="169" t="n">
        <x:f>IF(G20&lt;=0,"n/m",F20/G20)</x:f>
        <x:v>1.0844791007988606</x:v>
      </x:c>
      <x:c r="I20" s="169" t="n">
        <x:v>24057.375992</x:v>
      </x:c>
      <x:c r="J20" s="169" t="n">
        <x:v>22183.3468015</x:v>
      </x:c>
      <x:c r="K20" s="169" t="n">
        <x:v>1.0844791007988606</x:v>
      </x:c>
      <x:c r="L20" s="175" t="n">
        <x:v>1.0844791007988606</x:v>
      </x:c>
      <x:c r="M20" s="175" t="n">
        <x:f>KOHC!D153</x:f>
        <x:v>1.0844791007988606</x:v>
      </x:c>
      <x:c r="N20" s="176" t="str">
        <x:f>IF(AND(ABS(F20-I20)&lt;0.000001,ABS(G20-J20)&lt;0.000001,IF(ISNUMBER(L20),IF(ISNUMBER(M20),ABS(L20-M20)&lt;0.00000001,FALSE),M20=L20)),"PASS","FAIL")</x:f>
        <x:v>PASS</x:v>
      </x:c>
      <x:c r="O20" s="171" t="str"/>
      <x:c r="P20" s="168" t="str">
        <x:v>Asset Management</x:v>
      </x:c>
    </x:row>
    <x:row r="21" ht="26" customHeight="1">
      <x:c r="A21" s="76" t="str">
        <x:v>KOHC</x:v>
      </x:c>
      <x:c r="B21" s="76" t="n">
        <x:v>2021</x:v>
      </x:c>
      <x:c r="C21" s="76" t="n">
        <x:v>16</x:v>
      </x:c>
      <x:c r="D21" s="76" t="str">
        <x:v>Debt ratio</x:v>
      </x:c>
      <x:c r="E21" s="76" t="str">
        <x:v>Mandatory</x:v>
      </x:c>
      <x:c r="F21" s="170" t="n">
        <x:f>KOHC!D62</x:f>
        <x:v>13863.382066</x:v>
      </x:c>
      <x:c r="G21" s="170" t="n">
        <x:f>KOHC!D37</x:f>
        <x:v>36086.921437000005</x:v>
      </x:c>
      <x:c r="H21" s="170" t="n">
        <x:f>IF(G21&lt;=0,"n/m",F21/G21)</x:f>
        <x:v>0.384166382555034</x:v>
      </x:c>
      <x:c r="I21" s="170" t="n">
        <x:v>13863.382066</x:v>
      </x:c>
      <x:c r="J21" s="170" t="n">
        <x:v>36086.921437</x:v>
      </x:c>
      <x:c r="K21" s="170" t="n">
        <x:v>0.38416638255503405</x:v>
      </x:c>
      <x:c r="L21" s="177" t="n">
        <x:v>0.38416638255503405</x:v>
      </x:c>
      <x:c r="M21" s="177" t="n">
        <x:f>KOHC!D155</x:f>
        <x:v>0.384166382555034</x:v>
      </x:c>
      <x:c r="N21" s="178" t="str">
        <x:f>IF(AND(ABS(F21-I21)&lt;0.000001,ABS(G21-J21)&lt;0.000001,IF(ISNUMBER(L21),IF(ISNUMBER(M21),ABS(L21-M21)&lt;0.00000001,FALSE),M21=L21)),"PASS","FAIL")</x:f>
        <x:v>PASS</x:v>
      </x:c>
      <x:c r="O21" s="99" t="str"/>
      <x:c r="P21" s="76" t="str">
        <x:v>Debt Management</x:v>
      </x:c>
    </x:row>
    <x:row r="22" ht="26" customHeight="1">
      <x:c r="A22" s="168" t="str">
        <x:v>KOHC</x:v>
      </x:c>
      <x:c r="B22" s="168" t="n">
        <x:v>2021</x:v>
      </x:c>
      <x:c r="C22" s="168" t="n">
        <x:v>17</x:v>
      </x:c>
      <x:c r="D22" s="168" t="str">
        <x:v>Debt-to-equity</x:v>
      </x:c>
      <x:c r="E22" s="168" t="str">
        <x:v>Mandatory</x:v>
      </x:c>
      <x:c r="F22" s="169" t="n">
        <x:f>KOHC!D62</x:f>
        <x:v>13863.382066</x:v>
      </x:c>
      <x:c r="G22" s="169" t="n">
        <x:f>KOHC!D41</x:f>
        <x:v>22223.539371</x:v>
      </x:c>
      <x:c r="H22" s="169" t="n">
        <x:f>IF(G22&lt;=0,"n/m",F22/G22)</x:f>
        <x:v>0.6238152183846396</x:v>
      </x:c>
      <x:c r="I22" s="169" t="n">
        <x:v>13863.382066</x:v>
      </x:c>
      <x:c r="J22" s="169" t="n">
        <x:v>22223.539371</x:v>
      </x:c>
      <x:c r="K22" s="169" t="n">
        <x:v>0.6238152183846396</x:v>
      </x:c>
      <x:c r="L22" s="175" t="n">
        <x:v>0.6238152183846396</x:v>
      </x:c>
      <x:c r="M22" s="175" t="n">
        <x:f>KOHC!D156</x:f>
        <x:v>0.6238152183846396</x:v>
      </x:c>
      <x:c r="N22" s="176" t="str">
        <x:f>IF(AND(ABS(F22-I22)&lt;0.000001,ABS(G22-J22)&lt;0.000001,IF(ISNUMBER(L22),IF(ISNUMBER(M22),ABS(L22-M22)&lt;0.00000001,FALSE),M22=L22)),"PASS","FAIL")</x:f>
        <x:v>PASS</x:v>
      </x:c>
      <x:c r="O22" s="171" t="str"/>
      <x:c r="P22" s="168" t="str">
        <x:v>Debt Management</x:v>
      </x:c>
    </x:row>
    <x:row r="23" ht="26" customHeight="1">
      <x:c r="A23" s="76" t="str">
        <x:v>KOHC</x:v>
      </x:c>
      <x:c r="B23" s="76" t="n">
        <x:v>2021</x:v>
      </x:c>
      <x:c r="C23" s="76" t="n">
        <x:v>18</x:v>
      </x:c>
      <x:c r="D23" s="76" t="str">
        <x:v>Total debt-to-capital</x:v>
      </x:c>
      <x:c r="E23" s="76" t="str">
        <x:v>Additional</x:v>
      </x:c>
      <x:c r="F23" s="170" t="n">
        <x:f>KOHC!D66</x:f>
        <x:v>6050.7861490000005</x:v>
      </x:c>
      <x:c r="G23" s="170" t="n">
        <x:f>KOHC!D66+KOHC!D41</x:f>
        <x:v>28274.32552</x:v>
      </x:c>
      <x:c r="H23" s="170" t="n">
        <x:f>IF(G23&lt;=0,"n/m",F23/G23)</x:f>
        <x:v>0.21400284667161887</x:v>
      </x:c>
      <x:c r="I23" s="170" t="n">
        <x:v>6050.7861490000005</x:v>
      </x:c>
      <x:c r="J23" s="170" t="n">
        <x:v>28274.32552</x:v>
      </x:c>
      <x:c r="K23" s="170" t="n">
        <x:v>0.21400284667161887</x:v>
      </x:c>
      <x:c r="L23" s="177" t="n">
        <x:v>0.21400284667161887</x:v>
      </x:c>
      <x:c r="M23" s="177" t="n">
        <x:f>KOHC!D157</x:f>
        <x:v>0.21400284667161887</x:v>
      </x:c>
      <x:c r="N23" s="178" t="str">
        <x:f>IF(AND(ABS(F23-I23)&lt;0.000001,ABS(G23-J23)&lt;0.000001,IF(ISNUMBER(L23),IF(ISNUMBER(M23),ABS(L23-M23)&lt;0.00000001,FALSE),M23=L23)),"PASS","FAIL")</x:f>
        <x:v>PASS</x:v>
      </x:c>
      <x:c r="O23" s="99" t="str"/>
      <x:c r="P23" s="76" t="str">
        <x:v>Debt Management</x:v>
      </x:c>
    </x:row>
    <x:row r="24" ht="26" customHeight="1">
      <x:c r="A24" s="168" t="str">
        <x:v>KOHC</x:v>
      </x:c>
      <x:c r="B24" s="168" t="n">
        <x:v>2021</x:v>
      </x:c>
      <x:c r="C24" s="168" t="n">
        <x:v>19</x:v>
      </x:c>
      <x:c r="D24" s="168" t="str">
        <x:v>Long-term debt ratio</x:v>
      </x:c>
      <x:c r="E24" s="168" t="str">
        <x:v>Additional</x:v>
      </x:c>
      <x:c r="F24" s="169" t="n">
        <x:f>KOHC!D67</x:f>
        <x:v>4405.765306</x:v>
      </x:c>
      <x:c r="G24" s="169" t="n">
        <x:f>KOHC!D37</x:f>
        <x:v>36086.921437000005</x:v>
      </x:c>
      <x:c r="H24" s="169" t="n">
        <x:f>IF(G24&lt;=0,"n/m",F24/G24)</x:f>
        <x:v>0.1220875910318789</x:v>
      </x:c>
      <x:c r="I24" s="169" t="n">
        <x:v>4405.765306</x:v>
      </x:c>
      <x:c r="J24" s="169" t="n">
        <x:v>36086.921437</x:v>
      </x:c>
      <x:c r="K24" s="169" t="n">
        <x:v>0.12208759103187893</x:v>
      </x:c>
      <x:c r="L24" s="175" t="n">
        <x:v>0.12208759103187893</x:v>
      </x:c>
      <x:c r="M24" s="175" t="n">
        <x:f>KOHC!D158</x:f>
        <x:v>0.1220875910318789</x:v>
      </x:c>
      <x:c r="N24" s="176" t="str">
        <x:f>IF(AND(ABS(F24-I24)&lt;0.000001,ABS(G24-J24)&lt;0.000001,IF(ISNUMBER(L24),IF(ISNUMBER(M24),ABS(L24-M24)&lt;0.00000001,FALSE),M24=L24)),"PASS","FAIL")</x:f>
        <x:v>PASS</x:v>
      </x:c>
      <x:c r="O24" s="171" t="str"/>
      <x:c r="P24" s="168" t="str">
        <x:v>Debt Management</x:v>
      </x:c>
    </x:row>
    <x:row r="25" ht="26" customHeight="1">
      <x:c r="A25" s="76" t="str">
        <x:v>KOHC</x:v>
      </x:c>
      <x:c r="B25" s="76" t="n">
        <x:v>2021</x:v>
      </x:c>
      <x:c r="C25" s="76" t="n">
        <x:v>20</x:v>
      </x:c>
      <x:c r="D25" s="76" t="str">
        <x:v>Times interest earned</x:v>
      </x:c>
      <x:c r="E25" s="76" t="str">
        <x:v>Mandatory</x:v>
      </x:c>
      <x:c r="F25" s="170" t="n">
        <x:f>KOHC!D108</x:f>
        <x:v>5403.010020000001</x:v>
      </x:c>
      <x:c r="G25" s="170" t="n">
        <x:f>KOHC!D106</x:f>
        <x:v>490.30433100000005</x:v>
      </x:c>
      <x:c r="H25" s="170" t="n">
        <x:f>IF(G25&lt;=0,"n/m",F25/G25)</x:f>
        <x:v>11.019706901181747</x:v>
      </x:c>
      <x:c r="I25" s="170" t="n">
        <x:v>5403.010020000001</x:v>
      </x:c>
      <x:c r="J25" s="170" t="n">
        <x:v>490.30433100000005</x:v>
      </x:c>
      <x:c r="K25" s="170" t="n">
        <x:v>11.019706901181747</x:v>
      </x:c>
      <x:c r="L25" s="177" t="n">
        <x:v>11.019706901181747</x:v>
      </x:c>
      <x:c r="M25" s="177" t="n">
        <x:f>KOHC!D159</x:f>
        <x:v>11.019706901181747</x:v>
      </x:c>
      <x:c r="N25" s="178" t="str">
        <x:f>IF(AND(ABS(F25-I25)&lt;0.000001,ABS(G25-J25)&lt;0.000001,IF(ISNUMBER(L25),IF(ISNUMBER(M25),ABS(L25-M25)&lt;0.00000001,FALSE),M25=L25)),"PASS","FAIL")</x:f>
        <x:v>PASS</x:v>
      </x:c>
      <x:c r="O25" s="99" t="str"/>
      <x:c r="P25" s="76" t="str">
        <x:v>Debt Management</x:v>
      </x:c>
    </x:row>
    <x:row r="26" ht="26" customHeight="1">
      <x:c r="A26" s="168" t="str">
        <x:v>KOHC</x:v>
      </x:c>
      <x:c r="B26" s="168" t="n">
        <x:v>2021</x:v>
      </x:c>
      <x:c r="C26" s="168" t="n">
        <x:v>21</x:v>
      </x:c>
      <x:c r="D26" s="168" t="str">
        <x:v>Gross profit margin</x:v>
      </x:c>
      <x:c r="E26" s="168" t="str">
        <x:v>Mandatory</x:v>
      </x:c>
      <x:c r="F26" s="169" t="n">
        <x:f>KOHC!D86</x:f>
        <x:v>5965.349059</x:v>
      </x:c>
      <x:c r="G26" s="169" t="n">
        <x:f>KOHC!D84</x:f>
        <x:v>24057.375992</x:v>
      </x:c>
      <x:c r="H26" s="169" t="n">
        <x:f>IF(G26&lt;=0,"n/m",F26/G26)</x:f>
        <x:v>0.2479634130082893</x:v>
      </x:c>
      <x:c r="I26" s="169" t="n">
        <x:v>5965.349059</x:v>
      </x:c>
      <x:c r="J26" s="169" t="n">
        <x:v>24057.375992</x:v>
      </x:c>
      <x:c r="K26" s="169" t="n">
        <x:v>0.2479634130082893</x:v>
      </x:c>
      <x:c r="L26" s="175" t="n">
        <x:v>0.2479634130082893</x:v>
      </x:c>
      <x:c r="M26" s="175" t="n">
        <x:f>KOHC!D161</x:f>
        <x:v>0.2479634130082893</x:v>
      </x:c>
      <x:c r="N26" s="176" t="str">
        <x:f>IF(AND(ABS(F26-I26)&lt;0.000001,ABS(G26-J26)&lt;0.000001,IF(ISNUMBER(L26),IF(ISNUMBER(M26),ABS(L26-M26)&lt;0.00000001,FALSE),M26=L26)),"PASS","FAIL")</x:f>
        <x:v>PASS</x:v>
      </x:c>
      <x:c r="O26" s="171" t="str"/>
      <x:c r="P26" s="168" t="str">
        <x:v>Profitability</x:v>
      </x:c>
    </x:row>
    <x:row r="27" ht="26" customHeight="1">
      <x:c r="A27" s="76" t="str">
        <x:v>KOHC</x:v>
      </x:c>
      <x:c r="B27" s="76" t="n">
        <x:v>2021</x:v>
      </x:c>
      <x:c r="C27" s="76" t="n">
        <x:v>22</x:v>
      </x:c>
      <x:c r="D27" s="76" t="str">
        <x:v>Operating margin</x:v>
      </x:c>
      <x:c r="E27" s="76" t="str">
        <x:v>Mandatory</x:v>
      </x:c>
      <x:c r="F27" s="170" t="n">
        <x:f>KOHC!D91</x:f>
        <x:v>5232.33535</x:v>
      </x:c>
      <x:c r="G27" s="170" t="n">
        <x:f>KOHC!D84</x:f>
        <x:v>24057.375992</x:v>
      </x:c>
      <x:c r="H27" s="170" t="n">
        <x:f>IF(G27&lt;=0,"n/m",F27/G27)</x:f>
        <x:v>0.2174940172918257</x:v>
      </x:c>
      <x:c r="I27" s="170" t="n">
        <x:v>5232.33535</x:v>
      </x:c>
      <x:c r="J27" s="170" t="n">
        <x:v>24057.375992</x:v>
      </x:c>
      <x:c r="K27" s="170" t="n">
        <x:v>0.2174940172918257</x:v>
      </x:c>
      <x:c r="L27" s="177" t="n">
        <x:v>0.2174940172918257</x:v>
      </x:c>
      <x:c r="M27" s="177" t="n">
        <x:f>KOHC!D162</x:f>
        <x:v>0.2174940172918257</x:v>
      </x:c>
      <x:c r="N27" s="178" t="str">
        <x:f>IF(AND(ABS(F27-I27)&lt;0.000001,ABS(G27-J27)&lt;0.000001,IF(ISNUMBER(L27),IF(ISNUMBER(M27),ABS(L27-M27)&lt;0.00000001,FALSE),M27=L27)),"PASS","FAIL")</x:f>
        <x:v>PASS</x:v>
      </x:c>
      <x:c r="O27" s="99" t="str"/>
      <x:c r="P27" s="76" t="str">
        <x:v>Profitability</x:v>
      </x:c>
    </x:row>
    <x:row r="28" ht="26" customHeight="1">
      <x:c r="A28" s="168" t="str">
        <x:v>KOHC</x:v>
      </x:c>
      <x:c r="B28" s="168" t="n">
        <x:v>2021</x:v>
      </x:c>
      <x:c r="C28" s="168" t="n">
        <x:v>23</x:v>
      </x:c>
      <x:c r="D28" s="168" t="str">
        <x:v>Net profit margin</x:v>
      </x:c>
      <x:c r="E28" s="168" t="str">
        <x:v>Mandatory</x:v>
      </x:c>
      <x:c r="F28" s="169" t="n">
        <x:f>KOHC!D99</x:f>
        <x:v>3497.5072470000005</x:v>
      </x:c>
      <x:c r="G28" s="169" t="n">
        <x:f>KOHC!D84</x:f>
        <x:v>24057.375992</x:v>
      </x:c>
      <x:c r="H28" s="169" t="n">
        <x:f>IF(G28&lt;=0,"n/m",F28/G28)</x:f>
        <x:v>0.1453819089897026</x:v>
      </x:c>
      <x:c r="I28" s="169" t="n">
        <x:v>3497.5072470000005</x:v>
      </x:c>
      <x:c r="J28" s="169" t="n">
        <x:v>24057.375992</x:v>
      </x:c>
      <x:c r="K28" s="169" t="n">
        <x:v>0.1453819089897026</x:v>
      </x:c>
      <x:c r="L28" s="175" t="n">
        <x:v>0.1453819089897026</x:v>
      </x:c>
      <x:c r="M28" s="175" t="n">
        <x:f>KOHC!D163</x:f>
        <x:v>0.1453819089897026</x:v>
      </x:c>
      <x:c r="N28" s="176" t="str">
        <x:f>IF(AND(ABS(F28-I28)&lt;0.000001,ABS(G28-J28)&lt;0.000001,IF(ISNUMBER(L28),IF(ISNUMBER(M28),ABS(L28-M28)&lt;0.00000001,FALSE),M28=L28)),"PASS","FAIL")</x:f>
        <x:v>PASS</x:v>
      </x:c>
      <x:c r="O28" s="171" t="str"/>
      <x:c r="P28" s="168" t="str">
        <x:v>Profitability</x:v>
      </x:c>
    </x:row>
    <x:row r="29" ht="26" customHeight="1">
      <x:c r="A29" s="76" t="str">
        <x:v>KOHC</x:v>
      </x:c>
      <x:c r="B29" s="76" t="n">
        <x:v>2021</x:v>
      </x:c>
      <x:c r="C29" s="76" t="n">
        <x:v>24</x:v>
      </x:c>
      <x:c r="D29" s="76" t="str">
        <x:v>Return on assets</x:v>
      </x:c>
      <x:c r="E29" s="76" t="str">
        <x:v>Mandatory</x:v>
      </x:c>
      <x:c r="F29" s="170" t="n">
        <x:f>KOHC!D99</x:f>
        <x:v>3497.5072470000005</x:v>
      </x:c>
      <x:c r="G29" s="170" t="n">
        <x:f>AVERAGE(KOHC!C37,KOHC!D37)</x:f>
        <x:v>33921.794372000004</x:v>
      </x:c>
      <x:c r="H29" s="170" t="n">
        <x:f>IF(G29&lt;=0,"n/m",F29/G29)</x:f>
        <x:v>0.10310501881607244</x:v>
      </x:c>
      <x:c r="I29" s="170" t="n">
        <x:v>3497.5072470000005</x:v>
      </x:c>
      <x:c r="J29" s="170" t="n">
        <x:v>33921.794372</x:v>
      </x:c>
      <x:c r="K29" s="170" t="n">
        <x:v>0.10310501881607245</x:v>
      </x:c>
      <x:c r="L29" s="177" t="n">
        <x:v>0.10310501881607245</x:v>
      </x:c>
      <x:c r="M29" s="177" t="n">
        <x:f>KOHC!D164</x:f>
        <x:v>0.10310501881607244</x:v>
      </x:c>
      <x:c r="N29" s="178" t="str">
        <x:f>IF(AND(ABS(F29-I29)&lt;0.000001,ABS(G29-J29)&lt;0.000001,IF(ISNUMBER(L29),IF(ISNUMBER(M29),ABS(L29-M29)&lt;0.00000001,FALSE),M29=L29)),"PASS","FAIL")</x:f>
        <x:v>PASS</x:v>
      </x:c>
      <x:c r="O29" s="99" t="str"/>
      <x:c r="P29" s="76" t="str">
        <x:v>Profitability</x:v>
      </x:c>
    </x:row>
    <x:row r="30" ht="26" customHeight="1">
      <x:c r="A30" s="168" t="str">
        <x:v>KOHC</x:v>
      </x:c>
      <x:c r="B30" s="168" t="n">
        <x:v>2021</x:v>
      </x:c>
      <x:c r="C30" s="168" t="n">
        <x:v>25</x:v>
      </x:c>
      <x:c r="D30" s="168" t="str">
        <x:v>Return on equity</x:v>
      </x:c>
      <x:c r="E30" s="168" t="str">
        <x:v>Mandatory</x:v>
      </x:c>
      <x:c r="F30" s="169" t="n">
        <x:f>KOHC!D99</x:f>
        <x:v>3497.5072470000005</x:v>
      </x:c>
      <x:c r="G30" s="169" t="n">
        <x:f>AVERAGE(KOHC!C41,KOHC!D41)</x:f>
        <x:v>20475.106347499997</x:v>
      </x:c>
      <x:c r="H30" s="169" t="n">
        <x:f>IF(G30&lt;=0,"n/m",F30/G30)</x:f>
        <x:v>0.1708175375326949</x:v>
      </x:c>
      <x:c r="I30" s="169" t="n">
        <x:v>3497.5072470000005</x:v>
      </x:c>
      <x:c r="J30" s="169" t="n">
        <x:v>20475.106347499997</x:v>
      </x:c>
      <x:c r="K30" s="169" t="n">
        <x:v>0.1708175375326949</x:v>
      </x:c>
      <x:c r="L30" s="175" t="n">
        <x:v>0.1708175375326949</x:v>
      </x:c>
      <x:c r="M30" s="175" t="n">
        <x:f>KOHC!D165</x:f>
        <x:v>0.1708175375326949</x:v>
      </x:c>
      <x:c r="N30" s="176" t="str">
        <x:f>IF(AND(ABS(F30-I30)&lt;0.000001,ABS(G30-J30)&lt;0.000001,IF(ISNUMBER(L30),IF(ISNUMBER(M30),ABS(L30-M30)&lt;0.00000001,FALSE),M30=L30)),"PASS","FAIL")</x:f>
        <x:v>PASS</x:v>
      </x:c>
      <x:c r="O30" s="171" t="str"/>
      <x:c r="P30" s="168" t="str">
        <x:v>Profitability</x:v>
      </x:c>
    </x:row>
    <x:row r="31" ht="26" customHeight="1">
      <x:c r="A31" s="76" t="str">
        <x:v>KOHC</x:v>
      </x:c>
      <x:c r="B31" s="76" t="n">
        <x:v>2021</x:v>
      </x:c>
      <x:c r="C31" s="76" t="n">
        <x:v>26</x:v>
      </x:c>
      <x:c r="D31" s="76" t="str">
        <x:v>Return on invested capital</x:v>
      </x:c>
      <x:c r="E31" s="76" t="str">
        <x:v>Additional</x:v>
      </x:c>
      <x:c r="F31" s="170" t="n">
        <x:f>KOHC!D113</x:f>
        <x:v>3867.630426506666</x:v>
      </x:c>
      <x:c r="G31" s="170" t="n">
        <x:f>AVERAGE(KOHC!C70,KOHC!D70)</x:f>
        <x:v>26995.165203999997</x:v>
      </x:c>
      <x:c r="H31" s="170" t="n">
        <x:f>IF(G31&lt;=0,"n/m",F31/G31)</x:f>
        <x:v>0.14327122643181978</x:v>
      </x:c>
      <x:c r="I31" s="170" t="n">
        <x:v>3867.630426506666</x:v>
      </x:c>
      <x:c r="J31" s="170" t="n">
        <x:v>26995.165203999997</x:v>
      </x:c>
      <x:c r="K31" s="170" t="n">
        <x:v>0.14327122643181978</x:v>
      </x:c>
      <x:c r="L31" s="177" t="n">
        <x:v>0.14327122643181978</x:v>
      </x:c>
      <x:c r="M31" s="177" t="n">
        <x:f>KOHC!D166</x:f>
        <x:v>0.14327122643181978</x:v>
      </x:c>
      <x:c r="N31" s="178" t="str">
        <x:f>IF(AND(ABS(F31-I31)&lt;0.000001,ABS(G31-J31)&lt;0.000001,IF(ISNUMBER(L31),IF(ISNUMBER(M31),ABS(L31-M31)&lt;0.00000001,FALSE),M31=L31)),"PASS","FAIL")</x:f>
        <x:v>PASS</x:v>
      </x:c>
      <x:c r="O31" s="99" t="str"/>
      <x:c r="P31" s="76" t="str">
        <x:v>Profitability</x:v>
      </x:c>
    </x:row>
    <x:row r="32" ht="26" customHeight="1">
      <x:c r="A32" s="168" t="str">
        <x:v>KOHC</x:v>
      </x:c>
      <x:c r="B32" s="168" t="n">
        <x:v>2021</x:v>
      </x:c>
      <x:c r="C32" s="168" t="n">
        <x:v>27</x:v>
      </x:c>
      <x:c r="D32" s="168" t="str">
        <x:v>Basic earning power</x:v>
      </x:c>
      <x:c r="E32" s="168" t="str">
        <x:v>Additional</x:v>
      </x:c>
      <x:c r="F32" s="169" t="n">
        <x:f>KOHC!D108</x:f>
        <x:v>5403.010020000001</x:v>
      </x:c>
      <x:c r="G32" s="169" t="n">
        <x:f>AVERAGE(KOHC!C37,KOHC!D37)</x:f>
        <x:v>33921.794372000004</x:v>
      </x:c>
      <x:c r="H32" s="169" t="n">
        <x:f>IF(G32&lt;=0,"n/m",F32/G32)</x:f>
        <x:v>0.15927842615719043</x:v>
      </x:c>
      <x:c r="I32" s="169" t="n">
        <x:v>5403.010020000001</x:v>
      </x:c>
      <x:c r="J32" s="169" t="n">
        <x:v>33921.794372</x:v>
      </x:c>
      <x:c r="K32" s="169" t="n">
        <x:v>0.15927842615719046</x:v>
      </x:c>
      <x:c r="L32" s="175" t="n">
        <x:v>0.15927842615719046</x:v>
      </x:c>
      <x:c r="M32" s="175" t="n">
        <x:f>KOHC!D167</x:f>
        <x:v>0.15927842615719043</x:v>
      </x:c>
      <x:c r="N32" s="176" t="str">
        <x:f>IF(AND(ABS(F32-I32)&lt;0.000001,ABS(G32-J32)&lt;0.000001,IF(ISNUMBER(L32),IF(ISNUMBER(M32),ABS(L32-M32)&lt;0.00000001,FALSE),M32=L32)),"PASS","FAIL")</x:f>
        <x:v>PASS</x:v>
      </x:c>
      <x:c r="O32" s="171" t="str"/>
      <x:c r="P32" s="168" t="str">
        <x:v>Profitability</x:v>
      </x:c>
    </x:row>
    <x:row r="33" ht="26" customHeight="1">
      <x:c r="A33" s="76" t="str">
        <x:v>KOHC</x:v>
      </x:c>
      <x:c r="B33" s="76" t="n">
        <x:v>2021</x:v>
      </x:c>
      <x:c r="C33" s="76" t="n">
        <x:v>28</x:v>
      </x:c>
      <x:c r="D33" s="76" t="str">
        <x:v>Book value per share (Rs)</x:v>
      </x:c>
      <x:c r="E33" s="76" t="str">
        <x:v>Additional</x:v>
      </x:c>
      <x:c r="F33" s="170" t="n">
        <x:f>KOHC!D41</x:f>
        <x:v>22223.539371</x:v>
      </x:c>
      <x:c r="G33" s="170" t="n">
        <x:f>KOHC!D128</x:f>
        <x:v>200.86129699999998</x:v>
      </x:c>
      <x:c r="H33" s="170" t="n">
        <x:f>IF(G33&lt;=0,"n/m",F33/G33)</x:f>
        <x:v>110.64122209168052</x:v>
      </x:c>
      <x:c r="I33" s="170" t="n">
        <x:v>22223.539371</x:v>
      </x:c>
      <x:c r="J33" s="170" t="n">
        <x:v>200.86129699999998</x:v>
      </x:c>
      <x:c r="K33" s="170" t="n">
        <x:v>110.64122209168052</x:v>
      </x:c>
      <x:c r="L33" s="177" t="n">
        <x:v>110.64122209168052</x:v>
      </x:c>
      <x:c r="M33" s="177" t="n">
        <x:f>KOHC!D169</x:f>
        <x:v>110.64122209168052</x:v>
      </x:c>
      <x:c r="N33" s="178" t="str">
        <x:f>IF(AND(ABS(F33-I33)&lt;0.000001,ABS(G33-J33)&lt;0.000001,IF(ISNUMBER(L33),IF(ISNUMBER(M33),ABS(L33-M33)&lt;0.00000001,FALSE),M33=L33)),"PASS","FAIL")</x:f>
        <x:v>PASS</x:v>
      </x:c>
      <x:c r="O33" s="99" t="str"/>
      <x:c r="P33" s="76" t="str">
        <x:v>Market Value</x:v>
      </x:c>
    </x:row>
    <x:row r="34" ht="26" customHeight="1">
      <x:c r="A34" s="168" t="str">
        <x:v>KOHC</x:v>
      </x:c>
      <x:c r="B34" s="168" t="n">
        <x:v>2021</x:v>
      </x:c>
      <x:c r="C34" s="168" t="n">
        <x:v>29</x:v>
      </x:c>
      <x:c r="D34" s="168" t="str">
        <x:v>Market-to-book ratio</x:v>
      </x:c>
      <x:c r="E34" s="168" t="str">
        <x:v>Mandatory</x:v>
      </x:c>
      <x:c r="F34" s="169" t="n">
        <x:f>KOHC!D130</x:f>
        <x:v>206.49</x:v>
      </x:c>
      <x:c r="G34" s="169" t="n">
        <x:f>KOHC!D41/KOHC!D128</x:f>
        <x:v>110.64122209168052</x:v>
      </x:c>
      <x:c r="H34" s="169" t="n">
        <x:f>IF(G34&lt;=0,"n/m",F34/G34)</x:f>
        <x:v>1.8663025958706099</x:v>
      </x:c>
      <x:c r="I34" s="169" t="n">
        <x:v>206.49</x:v>
      </x:c>
      <x:c r="J34" s="169" t="n">
        <x:v>110.64122209168052</x:v>
      </x:c>
      <x:c r="K34" s="169" t="n">
        <x:v>1.8663025958706099</x:v>
      </x:c>
      <x:c r="L34" s="175" t="n">
        <x:v>1.8663025958706099</x:v>
      </x:c>
      <x:c r="M34" s="175" t="n">
        <x:f>KOHC!D170</x:f>
        <x:v>1.8663025958706099</x:v>
      </x:c>
      <x:c r="N34" s="176" t="str">
        <x:f>IF(AND(ABS(F34-I34)&lt;0.000001,ABS(G34-J34)&lt;0.000001,IF(ISNUMBER(L34),IF(ISNUMBER(M34),ABS(L34-M34)&lt;0.00000001,FALSE),M34=L34)),"PASS","FAIL")</x:f>
        <x:v>PASS</x:v>
      </x:c>
      <x:c r="O34" s="171" t="str"/>
      <x:c r="P34" s="168" t="str">
        <x:v>Market Value</x:v>
      </x:c>
    </x:row>
    <x:row r="35" ht="26" customHeight="1">
      <x:c r="A35" s="76" t="str">
        <x:v>KOHC</x:v>
      </x:c>
      <x:c r="B35" s="76" t="n">
        <x:v>2021</x:v>
      </x:c>
      <x:c r="C35" s="76" t="n">
        <x:v>30</x:v>
      </x:c>
      <x:c r="D35" s="76" t="str">
        <x:v>Earnings per share (Rs)</x:v>
      </x:c>
      <x:c r="E35" s="76" t="str">
        <x:v>Mandatory</x:v>
      </x:c>
      <x:c r="F35" s="170" t="n">
        <x:f>KOHC!D99</x:f>
        <x:v>3497.5072470000005</x:v>
      </x:c>
      <x:c r="G35" s="170" t="n">
        <x:f>KOHC!D129</x:f>
        <x:v>200.861297</x:v>
      </x:c>
      <x:c r="H35" s="170" t="n">
        <x:f>IF(G35&lt;=0,"n/m",F35/G35)</x:f>
        <x:v>17.412549352402124</x:v>
      </x:c>
      <x:c r="I35" s="170" t="n">
        <x:v>3497.5072470000005</x:v>
      </x:c>
      <x:c r="J35" s="170" t="n">
        <x:v>200.861297</x:v>
      </x:c>
      <x:c r="K35" s="170" t="n">
        <x:v>17.412549352402124</x:v>
      </x:c>
      <x:c r="L35" s="177" t="n">
        <x:v>17.412549352402124</x:v>
      </x:c>
      <x:c r="M35" s="177" t="n">
        <x:f>KOHC!D171</x:f>
        <x:v>17.412549352402124</x:v>
      </x:c>
      <x:c r="N35" s="178" t="str">
        <x:f>IF(AND(ABS(F35-I35)&lt;0.000001,ABS(G35-J35)&lt;0.000001,IF(ISNUMBER(L35),IF(ISNUMBER(M35),ABS(L35-M35)&lt;0.00000001,FALSE),M35=L35)),"PASS","FAIL")</x:f>
        <x:v>PASS</x:v>
      </x:c>
      <x:c r="O35" s="99" t="str"/>
      <x:c r="P35" s="76" t="str">
        <x:v>Market Value</x:v>
      </x:c>
    </x:row>
    <x:row r="36" ht="26" customHeight="1">
      <x:c r="A36" s="168" t="str">
        <x:v>KOHC</x:v>
      </x:c>
      <x:c r="B36" s="168" t="n">
        <x:v>2021</x:v>
      </x:c>
      <x:c r="C36" s="168" t="n">
        <x:v>31</x:v>
      </x:c>
      <x:c r="D36" s="168" t="str">
        <x:v>Price-to-earnings ratio</x:v>
      </x:c>
      <x:c r="E36" s="168" t="str">
        <x:v>Mandatory</x:v>
      </x:c>
      <x:c r="F36" s="169" t="n">
        <x:f>KOHC!D130</x:f>
        <x:v>206.49</x:v>
      </x:c>
      <x:c r="G36" s="169" t="n">
        <x:f>KOHC!D99/KOHC!D129</x:f>
        <x:v>17.412549352402124</x:v>
      </x:c>
      <x:c r="H36" s="169" t="n">
        <x:f>IF(G36&lt;=0,"n/m",F36/G36)</x:f>
        <x:v>11.858688571154802</x:v>
      </x:c>
      <x:c r="I36" s="169" t="n">
        <x:v>206.49</x:v>
      </x:c>
      <x:c r="J36" s="169" t="n">
        <x:v>17.412549352402124</x:v>
      </x:c>
      <x:c r="K36" s="169" t="n">
        <x:v>11.858688571154802</x:v>
      </x:c>
      <x:c r="L36" s="175" t="n">
        <x:v>11.858688571154802</x:v>
      </x:c>
      <x:c r="M36" s="175" t="n">
        <x:f>KOHC!D172</x:f>
        <x:v>11.858688571154802</x:v>
      </x:c>
      <x:c r="N36" s="176" t="str">
        <x:f>IF(AND(ABS(F36-I36)&lt;0.000001,ABS(G36-J36)&lt;0.000001,IF(ISNUMBER(L36),IF(ISNUMBER(M36),ABS(L36-M36)&lt;0.00000001,FALSE),M36=L36)),"PASS","FAIL")</x:f>
        <x:v>PASS</x:v>
      </x:c>
      <x:c r="O36" s="171" t="str"/>
      <x:c r="P36" s="168" t="str">
        <x:v>Market Value</x:v>
      </x:c>
    </x:row>
    <x:row r="37" ht="26" customHeight="1">
      <x:c r="A37" s="76" t="str">
        <x:v>KOHC</x:v>
      </x:c>
      <x:c r="B37" s="76" t="n">
        <x:v>2021</x:v>
      </x:c>
      <x:c r="C37" s="76" t="n">
        <x:v>32</x:v>
      </x:c>
      <x:c r="D37" s="76" t="str">
        <x:v>Dividend yield</x:v>
      </x:c>
      <x:c r="E37" s="76" t="str">
        <x:v>Mandatory</x:v>
      </x:c>
      <x:c r="F37" s="170" t="n">
        <x:f>KOHC!D131</x:f>
        <x:v>0</x:v>
      </x:c>
      <x:c r="G37" s="170" t="n">
        <x:f>KOHC!D130</x:f>
        <x:v>206.49</x:v>
      </x:c>
      <x:c r="H37" s="170" t="n">
        <x:f>IF(G37&lt;=0,"n/m",F37/G37)</x:f>
        <x:v>0</x:v>
      </x:c>
      <x:c r="I37" s="170" t="n">
        <x:v>0</x:v>
      </x:c>
      <x:c r="J37" s="170" t="n">
        <x:v>206.49</x:v>
      </x:c>
      <x:c r="K37" s="170" t="n">
        <x:v>0</x:v>
      </x:c>
      <x:c r="L37" s="177" t="n">
        <x:v>0</x:v>
      </x:c>
      <x:c r="M37" s="177" t="n">
        <x:f>KOHC!D173</x:f>
        <x:v>0</x:v>
      </x:c>
      <x:c r="N37" s="178" t="str">
        <x:f>IF(AND(ABS(F37-I37)&lt;0.000001,ABS(G37-J37)&lt;0.000001,IF(ISNUMBER(L37),IF(ISNUMBER(M37),ABS(L37-M37)&lt;0.00000001,FALSE),M37=L37)),"PASS","FAIL")</x:f>
        <x:v>PASS</x:v>
      </x:c>
      <x:c r="O37" s="99" t="str"/>
      <x:c r="P37" s="76" t="str">
        <x:v>Market Value</x:v>
      </x:c>
    </x:row>
    <x:row r="38" ht="26" customHeight="1">
      <x:c r="A38" s="168" t="str">
        <x:v>KOHC</x:v>
      </x:c>
      <x:c r="B38" s="168" t="n">
        <x:v>2021</x:v>
      </x:c>
      <x:c r="C38" s="168" t="n">
        <x:v>33</x:v>
      </x:c>
      <x:c r="D38" s="168" t="str">
        <x:v>Dividend payout ratio</x:v>
      </x:c>
      <x:c r="E38" s="168" t="str">
        <x:v>Additional</x:v>
      </x:c>
      <x:c r="F38" s="169" t="n">
        <x:f>KOHC!D131</x:f>
        <x:v>0</x:v>
      </x:c>
      <x:c r="G38" s="169" t="n">
        <x:f>KOHC!D99/KOHC!D129</x:f>
        <x:v>17.412549352402124</x:v>
      </x:c>
      <x:c r="H38" s="169" t="n">
        <x:f>IF(G38&lt;=0,"n/m",F38/G38)</x:f>
        <x:v>0</x:v>
      </x:c>
      <x:c r="I38" s="169" t="n">
        <x:v>0</x:v>
      </x:c>
      <x:c r="J38" s="169" t="n">
        <x:v>17.412549352402124</x:v>
      </x:c>
      <x:c r="K38" s="169" t="n">
        <x:v>0</x:v>
      </x:c>
      <x:c r="L38" s="175" t="n">
        <x:v>0</x:v>
      </x:c>
      <x:c r="M38" s="175" t="n">
        <x:f>KOHC!D174</x:f>
        <x:v>0</x:v>
      </x:c>
      <x:c r="N38" s="176" t="str">
        <x:f>IF(AND(ABS(F38-I38)&lt;0.000001,ABS(G38-J38)&lt;0.000001,IF(ISNUMBER(L38),IF(ISNUMBER(M38),ABS(L38-M38)&lt;0.00000001,FALSE),M38=L38)),"PASS","FAIL")</x:f>
        <x:v>PASS</x:v>
      </x:c>
      <x:c r="O38" s="171" t="str"/>
      <x:c r="P38" s="168" t="str">
        <x:v>Market Value</x:v>
      </x:c>
    </x:row>
    <x:row r="39" ht="26" customHeight="1">
      <x:c r="A39" s="76" t="str">
        <x:v>KOHC</x:v>
      </x:c>
      <x:c r="B39" s="76" t="n">
        <x:v>2022</x:v>
      </x:c>
      <x:c r="C39" s="76" t="n">
        <x:v>1</x:v>
      </x:c>
      <x:c r="D39" s="76" t="str">
        <x:v>Current ratio</x:v>
      </x:c>
      <x:c r="E39" s="76" t="str">
        <x:v>Mandatory</x:v>
      </x:c>
      <x:c r="F39" s="170" t="n">
        <x:f>KOHC!E36</x:f>
        <x:v>17775.831446999997</x:v>
      </x:c>
      <x:c r="G39" s="170" t="n">
        <x:f>KOHC!E61</x:f>
        <x:v>9487.990679</x:v>
      </x:c>
      <x:c r="H39" s="170" t="n">
        <x:f>IF(G39&lt;=0,"n/m",F39/G39)</x:f>
        <x:v>1.8735085276109804</x:v>
      </x:c>
      <x:c r="I39" s="170" t="n">
        <x:v>17775.831447</x:v>
      </x:c>
      <x:c r="J39" s="170" t="n">
        <x:v>9487.990679</x:v>
      </x:c>
      <x:c r="K39" s="170" t="n">
        <x:v>1.8735085276109809</x:v>
      </x:c>
      <x:c r="L39" s="177" t="n">
        <x:v>1.8735085276109809</x:v>
      </x:c>
      <x:c r="M39" s="177" t="n">
        <x:f>KOHC!E138</x:f>
        <x:v>1.8735085276109804</x:v>
      </x:c>
      <x:c r="N39" s="178" t="str">
        <x:f>IF(AND(ABS(F39-I39)&lt;0.000001,ABS(G39-J39)&lt;0.000001,IF(ISNUMBER(L39),IF(ISNUMBER(M39),ABS(L39-M39)&lt;0.00000001,FALSE),M39=L39)),"PASS","FAIL")</x:f>
        <x:v>PASS</x:v>
      </x:c>
      <x:c r="O39" s="99" t="str"/>
      <x:c r="P39" s="76" t="str">
        <x:v>Liquidity</x:v>
      </x:c>
    </x:row>
    <x:row r="40" ht="26" customHeight="1">
      <x:c r="A40" s="168" t="str">
        <x:v>KOHC</x:v>
      </x:c>
      <x:c r="B40" s="168" t="n">
        <x:v>2022</x:v>
      </x:c>
      <x:c r="C40" s="168" t="n">
        <x:v>2</x:v>
      </x:c>
      <x:c r="D40" s="168" t="str">
        <x:v>Quick ratio</x:v>
      </x:c>
      <x:c r="E40" s="168" t="str">
        <x:v>Mandatory</x:v>
      </x:c>
      <x:c r="F40" s="169" t="n">
        <x:f>KOHC!E36-KOHC!E65</x:f>
        <x:v>12104.845028999996</x:v>
      </x:c>
      <x:c r="G40" s="169" t="n">
        <x:f>KOHC!E61</x:f>
        <x:v>9487.990679</x:v>
      </x:c>
      <x:c r="H40" s="169" t="n">
        <x:f>IF(G40&lt;=0,"n/m",F40/G40)</x:f>
        <x:v>1.2758070110452304</x:v>
      </x:c>
      <x:c r="I40" s="169" t="n">
        <x:v>12104.845029</x:v>
      </x:c>
      <x:c r="J40" s="169" t="n">
        <x:v>9487.990679</x:v>
      </x:c>
      <x:c r="K40" s="169" t="n">
        <x:v>1.2758070110452309</x:v>
      </x:c>
      <x:c r="L40" s="175" t="n">
        <x:v>1.2758070110452309</x:v>
      </x:c>
      <x:c r="M40" s="175" t="n">
        <x:f>KOHC!E139</x:f>
        <x:v>1.2758070110452304</x:v>
      </x:c>
      <x:c r="N40" s="176" t="str">
        <x:f>IF(AND(ABS(F40-I40)&lt;0.000001,ABS(G40-J40)&lt;0.000001,IF(ISNUMBER(L40),IF(ISNUMBER(M40),ABS(L40-M40)&lt;0.00000001,FALSE),M40=L40)),"PASS","FAIL")</x:f>
        <x:v>PASS</x:v>
      </x:c>
      <x:c r="O40" s="171" t="str"/>
      <x:c r="P40" s="168" t="str">
        <x:v>Liquidity</x:v>
      </x:c>
    </x:row>
    <x:row r="41" ht="26" customHeight="1">
      <x:c r="A41" s="76" t="str">
        <x:v>KOHC</x:v>
      </x:c>
      <x:c r="B41" s="76" t="n">
        <x:v>2022</x:v>
      </x:c>
      <x:c r="C41" s="76" t="n">
        <x:v>3</x:v>
      </x:c>
      <x:c r="D41" s="76" t="str">
        <x:v>Cash ratio</x:v>
      </x:c>
      <x:c r="E41" s="76" t="str">
        <x:v>Mandatory</x:v>
      </x:c>
      <x:c r="F41" s="170" t="n">
        <x:f>KOHC!E34</x:f>
        <x:v>480.765632</x:v>
      </x:c>
      <x:c r="G41" s="170" t="n">
        <x:f>KOHC!E61</x:f>
        <x:v>9487.990679</x:v>
      </x:c>
      <x:c r="H41" s="170" t="n">
        <x:f>IF(G41&lt;=0,"n/m",F41/G41)</x:f>
        <x:v>0.05067096377572231</x:v>
      </x:c>
      <x:c r="I41" s="170" t="n">
        <x:v>480.765632</x:v>
      </x:c>
      <x:c r="J41" s="170" t="n">
        <x:v>9487.990679</x:v>
      </x:c>
      <x:c r="K41" s="170" t="n">
        <x:v>0.05067096377572231</x:v>
      </x:c>
      <x:c r="L41" s="177" t="n">
        <x:v>0.05067096377572231</x:v>
      </x:c>
      <x:c r="M41" s="177" t="n">
        <x:f>KOHC!E140</x:f>
        <x:v>0.05067096377572231</x:v>
      </x:c>
      <x:c r="N41" s="178" t="str">
        <x:f>IF(AND(ABS(F41-I41)&lt;0.000001,ABS(G41-J41)&lt;0.000001,IF(ISNUMBER(L41),IF(ISNUMBER(M41),ABS(L41-M41)&lt;0.00000001,FALSE),M41=L41)),"PASS","FAIL")</x:f>
        <x:v>PASS</x:v>
      </x:c>
      <x:c r="O41" s="99" t="str"/>
      <x:c r="P41" s="76" t="str">
        <x:v>Liquidity</x:v>
      </x:c>
    </x:row>
    <x:row r="42" ht="26" customHeight="1">
      <x:c r="A42" s="168" t="str">
        <x:v>KOHC</x:v>
      </x:c>
      <x:c r="B42" s="168" t="n">
        <x:v>2022</x:v>
      </x:c>
      <x:c r="C42" s="168" t="n">
        <x:v>4</x:v>
      </x:c>
      <x:c r="D42" s="168" t="str">
        <x:v>Net working capital (PKR m)</x:v>
      </x:c>
      <x:c r="E42" s="168" t="str">
        <x:v>Additional</x:v>
      </x:c>
      <x:c r="F42" s="169" t="n">
        <x:f>KOHC!E36-KOHC!E61</x:f>
        <x:v>8287.840767999996</x:v>
      </x:c>
      <x:c r="G42" s="169" t="n">
        <x:f>1</x:f>
        <x:v>1</x:v>
      </x:c>
      <x:c r="H42" s="169" t="n">
        <x:f>IF(G42&lt;=0,"n/m",F42/G42)</x:f>
        <x:v>8287.840767999996</x:v>
      </x:c>
      <x:c r="I42" s="169" t="n">
        <x:v>8287.840768</x:v>
      </x:c>
      <x:c r="J42" s="169" t="n">
        <x:v>1</x:v>
      </x:c>
      <x:c r="K42" s="169" t="n">
        <x:v>8287.840768</x:v>
      </x:c>
      <x:c r="L42" s="175" t="n">
        <x:v>8287.840768</x:v>
      </x:c>
      <x:c r="M42" s="175" t="n">
        <x:f>KOHC!E141</x:f>
        <x:v>8287.840767999996</x:v>
      </x:c>
      <x:c r="N42" s="176" t="str">
        <x:f>IF(AND(ABS(F42-I42)&lt;0.000001,ABS(G42-J42)&lt;0.000001,IF(ISNUMBER(L42),IF(ISNUMBER(M42),ABS(L42-M42)&lt;0.00000001,FALSE),M42=L42)),"PASS","FAIL")</x:f>
        <x:v>PASS</x:v>
      </x:c>
      <x:c r="O42" s="171" t="str"/>
      <x:c r="P42" s="168" t="str">
        <x:v>Liquidity</x:v>
      </x:c>
    </x:row>
    <x:row r="43" ht="26" customHeight="1">
      <x:c r="A43" s="76" t="str">
        <x:v>KOHC</x:v>
      </x:c>
      <x:c r="B43" s="76" t="n">
        <x:v>2022</x:v>
      </x:c>
      <x:c r="C43" s="76" t="n">
        <x:v>5</x:v>
      </x:c>
      <x:c r="D43" s="76" t="str">
        <x:v>Net operating working capital (PKR m)</x:v>
      </x:c>
      <x:c r="E43" s="76" t="str">
        <x:v>Additional</x:v>
      </x:c>
      <x:c r="F43" s="170" t="n">
        <x:f>KOHC!E72-KOHC!E73</x:f>
        <x:v>-1057.2881590000015</x:v>
      </x:c>
      <x:c r="G43" s="170" t="n">
        <x:f>1</x:f>
        <x:v>1</x:v>
      </x:c>
      <x:c r="H43" s="170" t="n">
        <x:f>IF(G43&lt;=0,"n/m",F43/G43)</x:f>
        <x:v>-1057.2881590000015</x:v>
      </x:c>
      <x:c r="I43" s="170" t="n">
        <x:v>-1057.288158999998</x:v>
      </x:c>
      <x:c r="J43" s="170" t="n">
        <x:v>1</x:v>
      </x:c>
      <x:c r="K43" s="170" t="n">
        <x:v>-1057.288158999998</x:v>
      </x:c>
      <x:c r="L43" s="177" t="str">
        <x:v>n/m</x:v>
      </x:c>
      <x:c r="M43" s="177" t="str">
        <x:f>KOHC!E142</x:f>
        <x:v>n/m</x:v>
      </x:c>
      <x:c r="N43" s="178" t="str">
        <x:f>IF(AND(ABS(F43-I43)&lt;0.000001,ABS(G43-J43)&lt;0.000001,IF(ISNUMBER(L43),IF(ISNUMBER(M43),ABS(L43-M43)&lt;0.00000001,FALSE),M43=L43)),"PASS","FAIL")</x:f>
        <x:v>PASS</x:v>
      </x:c>
      <x:c r="O43" s="99" t="str">
        <x:v>Negative calculated measure; raw signed value in H/K.</x:v>
      </x:c>
      <x:c r="P43" s="76" t="str">
        <x:v>Liquidity</x:v>
      </x:c>
    </x:row>
    <x:row r="44" ht="26" customHeight="1">
      <x:c r="A44" s="168" t="str">
        <x:v>KOHC</x:v>
      </x:c>
      <x:c r="B44" s="168" t="n">
        <x:v>2022</x:v>
      </x:c>
      <x:c r="C44" s="168" t="n">
        <x:v>6</x:v>
      </x:c>
      <x:c r="D44" s="168" t="str">
        <x:v>Inventory turnover</x:v>
      </x:c>
      <x:c r="E44" s="168" t="str">
        <x:v>Mandatory</x:v>
      </x:c>
      <x:c r="F44" s="169" t="n">
        <x:f>-KOHC!E85</x:f>
        <x:v>23065.18067</x:v>
      </x:c>
      <x:c r="G44" s="169" t="n">
        <x:f>AVERAGE(KOHC!D65,KOHC!E65)</x:f>
        <x:v>4927.2658925</x:v>
      </x:c>
      <x:c r="H44" s="169" t="n">
        <x:f>IF(G44&lt;=0,"n/m",F44/G44)</x:f>
        <x:v>4.681131721571692</x:v>
      </x:c>
      <x:c r="I44" s="169" t="n">
        <x:v>23065.18067</x:v>
      </x:c>
      <x:c r="J44" s="169" t="n">
        <x:v>4927.2658925</x:v>
      </x:c>
      <x:c r="K44" s="169" t="n">
        <x:v>4.681131721571692</x:v>
      </x:c>
      <x:c r="L44" s="175" t="n">
        <x:v>4.681131721571692</x:v>
      </x:c>
      <x:c r="M44" s="175" t="n">
        <x:f>KOHC!E144</x:f>
        <x:v>4.681131721571692</x:v>
      </x:c>
      <x:c r="N44" s="176" t="str">
        <x:f>IF(AND(ABS(F44-I44)&lt;0.000001,ABS(G44-J44)&lt;0.000001,IF(ISNUMBER(L44),IF(ISNUMBER(M44),ABS(L44-M44)&lt;0.00000001,FALSE),M44=L44)),"PASS","FAIL")</x:f>
        <x:v>PASS</x:v>
      </x:c>
      <x:c r="O44" s="171" t="str"/>
      <x:c r="P44" s="168" t="str">
        <x:v>Asset Management</x:v>
      </x:c>
    </x:row>
    <x:row r="45" ht="26" customHeight="1">
      <x:c r="A45" s="76" t="str">
        <x:v>KOHC</x:v>
      </x:c>
      <x:c r="B45" s="76" t="n">
        <x:v>2022</x:v>
      </x:c>
      <x:c r="C45" s="76" t="n">
        <x:v>7</x:v>
      </x:c>
      <x:c r="D45" s="76" t="str">
        <x:v>Receivables turnover</x:v>
      </x:c>
      <x:c r="E45" s="76" t="str">
        <x:v>Additional</x:v>
      </x:c>
      <x:c r="F45" s="170" t="n">
        <x:f>KOHC!E84</x:f>
        <x:v>32876.949179</x:v>
      </x:c>
      <x:c r="G45" s="170" t="n">
        <x:f>AVERAGE(KOHC!D32,KOHC!E32)</x:f>
        <x:v>949.803846</x:v>
      </x:c>
      <x:c r="H45" s="170" t="n">
        <x:f>IF(G45&lt;=0,"n/m",F45/G45)</x:f>
        <x:v>34.61446204651397</x:v>
      </x:c>
      <x:c r="I45" s="170" t="n">
        <x:v>32876.949179</x:v>
      </x:c>
      <x:c r="J45" s="170" t="n">
        <x:v>949.803846</x:v>
      </x:c>
      <x:c r="K45" s="170" t="n">
        <x:v>34.61446204651397</x:v>
      </x:c>
      <x:c r="L45" s="177" t="n">
        <x:v>34.61446204651397</x:v>
      </x:c>
      <x:c r="M45" s="177" t="n">
        <x:f>KOHC!E145</x:f>
        <x:v>34.61446204651397</x:v>
      </x:c>
      <x:c r="N45" s="178" t="str">
        <x:f>IF(AND(ABS(F45-I45)&lt;0.000001,ABS(G45-J45)&lt;0.000001,IF(ISNUMBER(L45),IF(ISNUMBER(M45),ABS(L45-M45)&lt;0.00000001,FALSE),M45=L45)),"PASS","FAIL")</x:f>
        <x:v>PASS</x:v>
      </x:c>
      <x:c r="O45" s="99" t="str"/>
      <x:c r="P45" s="76" t="str">
        <x:v>Asset Management</x:v>
      </x:c>
    </x:row>
    <x:row r="46" ht="26" customHeight="1">
      <x:c r="A46" s="168" t="str">
        <x:v>KOHC</x:v>
      </x:c>
      <x:c r="B46" s="168" t="n">
        <x:v>2022</x:v>
      </x:c>
      <x:c r="C46" s="168" t="n">
        <x:v>8</x:v>
      </x:c>
      <x:c r="D46" s="168" t="str">
        <x:v>Payables turnover</x:v>
      </x:c>
      <x:c r="E46" s="168" t="str">
        <x:v>Additional</x:v>
      </x:c>
      <x:c r="F46" s="169" t="n">
        <x:f>-KOHC!E85</x:f>
        <x:v>23065.18067</x:v>
      </x:c>
      <x:c r="G46" s="169" t="n">
        <x:f>AVERAGE(KOHC!D51,KOHC!E51)</x:f>
        <x:v>1418.358671</x:v>
      </x:c>
      <x:c r="H46" s="169" t="n">
        <x:f>IF(G46&lt;=0,"n/m",F46/G46)</x:f>
        <x:v>16.26188152658038</x:v>
      </x:c>
      <x:c r="I46" s="169" t="n">
        <x:v>23065.18067</x:v>
      </x:c>
      <x:c r="J46" s="169" t="n">
        <x:v>1418.358671</x:v>
      </x:c>
      <x:c r="K46" s="169" t="n">
        <x:v>16.26188152658038</x:v>
      </x:c>
      <x:c r="L46" s="175" t="n">
        <x:v>16.26188152658038</x:v>
      </x:c>
      <x:c r="M46" s="175" t="n">
        <x:f>KOHC!E146</x:f>
        <x:v>16.26188152658038</x:v>
      </x:c>
      <x:c r="N46" s="176" t="str">
        <x:f>IF(AND(ABS(F46-I46)&lt;0.000001,ABS(G46-J46)&lt;0.000001,IF(ISNUMBER(L46),IF(ISNUMBER(M46),ABS(L46-M46)&lt;0.00000001,FALSE),M46=L46)),"PASS","FAIL")</x:f>
        <x:v>PASS</x:v>
      </x:c>
      <x:c r="O46" s="171" t="str"/>
      <x:c r="P46" s="168" t="str">
        <x:v>Asset Management</x:v>
      </x:c>
    </x:row>
    <x:row r="47" ht="26" customHeight="1">
      <x:c r="A47" s="76" t="str">
        <x:v>KOHC</x:v>
      </x:c>
      <x:c r="B47" s="76" t="n">
        <x:v>2022</x:v>
      </x:c>
      <x:c r="C47" s="76" t="n">
        <x:v>9</x:v>
      </x:c>
      <x:c r="D47" s="76" t="str">
        <x:v>Days inventory outstanding</x:v>
      </x:c>
      <x:c r="E47" s="76" t="str">
        <x:v>Additional</x:v>
      </x:c>
      <x:c r="F47" s="170" t="n">
        <x:f>365*AVERAGE(KOHC!D65,KOHC!E65)</x:f>
        <x:v>1798452.0507625</x:v>
      </x:c>
      <x:c r="G47" s="170" t="n">
        <x:f>-KOHC!E85</x:f>
        <x:v>23065.18067</x:v>
      </x:c>
      <x:c r="H47" s="170" t="n">
        <x:f>IF(G47&lt;=0,"n/m",F47/G47)</x:f>
        <x:v>77.97259759173176</x:v>
      </x:c>
      <x:c r="I47" s="170" t="n">
        <x:v>1798452.0507625</x:v>
      </x:c>
      <x:c r="J47" s="170" t="n">
        <x:v>23065.18067</x:v>
      </x:c>
      <x:c r="K47" s="170" t="n">
        <x:v>77.97259759173176</x:v>
      </x:c>
      <x:c r="L47" s="177" t="n">
        <x:v>77.97259759173176</x:v>
      </x:c>
      <x:c r="M47" s="177" t="n">
        <x:f>KOHC!E147</x:f>
        <x:v>77.97259759173176</x:v>
      </x:c>
      <x:c r="N47" s="178" t="str">
        <x:f>IF(AND(ABS(F47-I47)&lt;0.000001,ABS(G47-J47)&lt;0.000001,IF(ISNUMBER(L47),IF(ISNUMBER(M47),ABS(L47-M47)&lt;0.00000001,FALSE),M47=L47)),"PASS","FAIL")</x:f>
        <x:v>PASS</x:v>
      </x:c>
      <x:c r="O47" s="99" t="str"/>
      <x:c r="P47" s="76" t="str">
        <x:v>Asset Management</x:v>
      </x:c>
    </x:row>
    <x:row r="48" ht="26" customHeight="1">
      <x:c r="A48" s="168" t="str">
        <x:v>KOHC</x:v>
      </x:c>
      <x:c r="B48" s="168" t="n">
        <x:v>2022</x:v>
      </x:c>
      <x:c r="C48" s="168" t="n">
        <x:v>10</x:v>
      </x:c>
      <x:c r="D48" s="168" t="str">
        <x:v>Days sales outstanding</x:v>
      </x:c>
      <x:c r="E48" s="168" t="str">
        <x:v>Mandatory</x:v>
      </x:c>
      <x:c r="F48" s="169" t="n">
        <x:f>365*AVERAGE(KOHC!D32,KOHC!E32)</x:f>
        <x:v>346678.40379</x:v>
      </x:c>
      <x:c r="G48" s="169" t="n">
        <x:f>KOHC!E84</x:f>
        <x:v>32876.949179</x:v>
      </x:c>
      <x:c r="H48" s="169" t="n">
        <x:f>IF(G48&lt;=0,"n/m",F48/G48)</x:f>
        <x:v>10.544725482358297</x:v>
      </x:c>
      <x:c r="I48" s="169" t="n">
        <x:v>346678.40379</x:v>
      </x:c>
      <x:c r="J48" s="169" t="n">
        <x:v>32876.949179</x:v>
      </x:c>
      <x:c r="K48" s="169" t="n">
        <x:v>10.544725482358297</x:v>
      </x:c>
      <x:c r="L48" s="175" t="n">
        <x:v>10.544725482358297</x:v>
      </x:c>
      <x:c r="M48" s="175" t="n">
        <x:f>KOHC!E148</x:f>
        <x:v>10.544725482358297</x:v>
      </x:c>
      <x:c r="N48" s="176" t="str">
        <x:f>IF(AND(ABS(F48-I48)&lt;0.000001,ABS(G48-J48)&lt;0.000001,IF(ISNUMBER(L48),IF(ISNUMBER(M48),ABS(L48-M48)&lt;0.00000001,FALSE),M48=L48)),"PASS","FAIL")</x:f>
        <x:v>PASS</x:v>
      </x:c>
      <x:c r="O48" s="171" t="str"/>
      <x:c r="P48" s="168" t="str">
        <x:v>Asset Management</x:v>
      </x:c>
    </x:row>
    <x:row r="49" ht="26" customHeight="1">
      <x:c r="A49" s="76" t="str">
        <x:v>KOHC</x:v>
      </x:c>
      <x:c r="B49" s="76" t="n">
        <x:v>2022</x:v>
      </x:c>
      <x:c r="C49" s="76" t="n">
        <x:v>11</x:v>
      </x:c>
      <x:c r="D49" s="76" t="str">
        <x:v>Days payables outstanding</x:v>
      </x:c>
      <x:c r="E49" s="76" t="str">
        <x:v>Additional</x:v>
      </x:c>
      <x:c r="F49" s="170" t="n">
        <x:f>365*AVERAGE(KOHC!D51,KOHC!E51)</x:f>
        <x:v>517700.914915</x:v>
      </x:c>
      <x:c r="G49" s="170" t="n">
        <x:f>-KOHC!E85</x:f>
        <x:v>23065.18067</x:v>
      </x:c>
      <x:c r="H49" s="170" t="n">
        <x:f>IF(G49&lt;=0,"n/m",F49/G49)</x:f>
        <x:v>22.44512723840719</x:v>
      </x:c>
      <x:c r="I49" s="170" t="n">
        <x:v>517700.914915</x:v>
      </x:c>
      <x:c r="J49" s="170" t="n">
        <x:v>23065.18067</x:v>
      </x:c>
      <x:c r="K49" s="170" t="n">
        <x:v>22.44512723840719</x:v>
      </x:c>
      <x:c r="L49" s="177" t="n">
        <x:v>22.44512723840719</x:v>
      </x:c>
      <x:c r="M49" s="177" t="n">
        <x:f>KOHC!E149</x:f>
        <x:v>22.44512723840719</x:v>
      </x:c>
      <x:c r="N49" s="178" t="str">
        <x:f>IF(AND(ABS(F49-I49)&lt;0.000001,ABS(G49-J49)&lt;0.000001,IF(ISNUMBER(L49),IF(ISNUMBER(M49),ABS(L49-M49)&lt;0.00000001,FALSE),M49=L49)),"PASS","FAIL")</x:f>
        <x:v>PASS</x:v>
      </x:c>
      <x:c r="O49" s="99" t="str"/>
      <x:c r="P49" s="76" t="str">
        <x:v>Asset Management</x:v>
      </x:c>
    </x:row>
    <x:row r="50" ht="26" customHeight="1">
      <x:c r="A50" s="168" t="str">
        <x:v>KOHC</x:v>
      </x:c>
      <x:c r="B50" s="168" t="n">
        <x:v>2022</x:v>
      </x:c>
      <x:c r="C50" s="168" t="n">
        <x:v>12</x:v>
      </x:c>
      <x:c r="D50" s="168" t="str">
        <x:v>Operating cycle (days)</x:v>
      </x:c>
      <x:c r="E50" s="168" t="str">
        <x:v>Additional</x:v>
      </x:c>
      <x:c r="F50" s="169" t="n">
        <x:f>365*AVERAGE(KOHC!D65,KOHC!E65)/(-KOHC!E85)+365*AVERAGE(KOHC!D32,KOHC!E32)/KOHC!E84</x:f>
        <x:v>88.51732307409006</x:v>
      </x:c>
      <x:c r="G50" s="169" t="n">
        <x:f>1</x:f>
        <x:v>1</x:v>
      </x:c>
      <x:c r="H50" s="169" t="n">
        <x:f>IF(G50&lt;=0,"n/m",F50/G50)</x:f>
        <x:v>88.51732307409006</x:v>
      </x:c>
      <x:c r="I50" s="169" t="n">
        <x:v>88.51732307409006</x:v>
      </x:c>
      <x:c r="J50" s="169" t="n">
        <x:v>1</x:v>
      </x:c>
      <x:c r="K50" s="169" t="n">
        <x:v>88.51732307409006</x:v>
      </x:c>
      <x:c r="L50" s="175" t="n">
        <x:v>88.51732307409006</x:v>
      </x:c>
      <x:c r="M50" s="175" t="n">
        <x:f>KOHC!E150</x:f>
        <x:v>88.51732307409006</x:v>
      </x:c>
      <x:c r="N50" s="176" t="str">
        <x:f>IF(AND(ABS(F50-I50)&lt;0.000001,ABS(G50-J50)&lt;0.000001,IF(ISNUMBER(L50),IF(ISNUMBER(M50),ABS(L50-M50)&lt;0.00000001,FALSE),M50=L50)),"PASS","FAIL")</x:f>
        <x:v>PASS</x:v>
      </x:c>
      <x:c r="O50" s="171" t="str"/>
      <x:c r="P50" s="168" t="str">
        <x:v>Asset Management</x:v>
      </x:c>
    </x:row>
    <x:row r="51" ht="26" customHeight="1">
      <x:c r="A51" s="76" t="str">
        <x:v>KOHC</x:v>
      </x:c>
      <x:c r="B51" s="76" t="n">
        <x:v>2022</x:v>
      </x:c>
      <x:c r="C51" s="76" t="n">
        <x:v>13</x:v>
      </x:c>
      <x:c r="D51" s="76" t="str">
        <x:v>Cash conversion cycle (days)</x:v>
      </x:c>
      <x:c r="E51" s="76" t="str">
        <x:v>Additional</x:v>
      </x:c>
      <x:c r="F51" s="170" t="n">
        <x:f>365*AVERAGE(KOHC!D65,KOHC!E65)/(-KOHC!E85)+365*AVERAGE(KOHC!D32,KOHC!E32)/KOHC!E84-365*AVERAGE(KOHC!D51,KOHC!E51)/(-KOHC!E85)</x:f>
        <x:v>66.07219583568286</x:v>
      </x:c>
      <x:c r="G51" s="170" t="n">
        <x:f>1</x:f>
        <x:v>1</x:v>
      </x:c>
      <x:c r="H51" s="170" t="n">
        <x:f>IF(G51&lt;=0,"n/m",F51/G51)</x:f>
        <x:v>66.07219583568286</x:v>
      </x:c>
      <x:c r="I51" s="170" t="n">
        <x:v>66.07219583568286</x:v>
      </x:c>
      <x:c r="J51" s="170" t="n">
        <x:v>1</x:v>
      </x:c>
      <x:c r="K51" s="170" t="n">
        <x:v>66.07219583568286</x:v>
      </x:c>
      <x:c r="L51" s="177" t="n">
        <x:v>66.07219583568286</x:v>
      </x:c>
      <x:c r="M51" s="177" t="n">
        <x:f>KOHC!E151</x:f>
        <x:v>66.07219583568286</x:v>
      </x:c>
      <x:c r="N51" s="178" t="str">
        <x:f>IF(AND(ABS(F51-I51)&lt;0.000001,ABS(G51-J51)&lt;0.000001,IF(ISNUMBER(L51),IF(ISNUMBER(M51),ABS(L51-M51)&lt;0.00000001,FALSE),M51=L51)),"PASS","FAIL")</x:f>
        <x:v>PASS</x:v>
      </x:c>
      <x:c r="O51" s="99" t="str"/>
      <x:c r="P51" s="76" t="str">
        <x:v>Asset Management</x:v>
      </x:c>
    </x:row>
    <x:row r="52" ht="26" customHeight="1">
      <x:c r="A52" s="168" t="str">
        <x:v>KOHC</x:v>
      </x:c>
      <x:c r="B52" s="168" t="n">
        <x:v>2022</x:v>
      </x:c>
      <x:c r="C52" s="168" t="n">
        <x:v>14</x:v>
      </x:c>
      <x:c r="D52" s="168" t="str">
        <x:v>Total asset turnover</x:v>
      </x:c>
      <x:c r="E52" s="168" t="str">
        <x:v>Mandatory</x:v>
      </x:c>
      <x:c r="F52" s="169" t="n">
        <x:f>KOHC!E84</x:f>
        <x:v>32876.949179</x:v>
      </x:c>
      <x:c r="G52" s="169" t="n">
        <x:f>AVERAGE(KOHC!D37,KOHC!E37)</x:f>
        <x:v>39718.7946405</x:v>
      </x:c>
      <x:c r="H52" s="169" t="n">
        <x:f>IF(G52&lt;=0,"n/m",F52/G52)</x:f>
        <x:v>0.8277428727778264</x:v>
      </x:c>
      <x:c r="I52" s="169" t="n">
        <x:v>32876.949179</x:v>
      </x:c>
      <x:c r="J52" s="169" t="n">
        <x:v>39718.7946405</x:v>
      </x:c>
      <x:c r="K52" s="169" t="n">
        <x:v>0.8277428727778264</x:v>
      </x:c>
      <x:c r="L52" s="175" t="n">
        <x:v>0.8277428727778264</x:v>
      </x:c>
      <x:c r="M52" s="175" t="n">
        <x:f>KOHC!E152</x:f>
        <x:v>0.8277428727778264</x:v>
      </x:c>
      <x:c r="N52" s="176" t="str">
        <x:f>IF(AND(ABS(F52-I52)&lt;0.000001,ABS(G52-J52)&lt;0.000001,IF(ISNUMBER(L52),IF(ISNUMBER(M52),ABS(L52-M52)&lt;0.00000001,FALSE),M52=L52)),"PASS","FAIL")</x:f>
        <x:v>PASS</x:v>
      </x:c>
      <x:c r="O52" s="171" t="str"/>
      <x:c r="P52" s="168" t="str">
        <x:v>Asset Management</x:v>
      </x:c>
    </x:row>
    <x:row r="53" ht="26" customHeight="1">
      <x:c r="A53" s="76" t="str">
        <x:v>KOHC</x:v>
      </x:c>
      <x:c r="B53" s="76" t="n">
        <x:v>2022</x:v>
      </x:c>
      <x:c r="C53" s="76" t="n">
        <x:v>15</x:v>
      </x:c>
      <x:c r="D53" s="76" t="str">
        <x:v>Fixed asset turnover</x:v>
      </x:c>
      <x:c r="E53" s="76" t="str">
        <x:v>Mandatory</x:v>
      </x:c>
      <x:c r="F53" s="170" t="n">
        <x:f>KOHC!E84</x:f>
        <x:v>32876.949179</x:v>
      </x:c>
      <x:c r="G53" s="170" t="n">
        <x:f>AVERAGE(KOHC!D22,KOHC!E22)</x:f>
        <x:v>21477.0018845</x:v>
      </x:c>
      <x:c r="H53" s="170" t="n">
        <x:f>IF(G53&lt;=0,"n/m",F53/G53)</x:f>
        <x:v>1.5307978904973403</x:v>
      </x:c>
      <x:c r="I53" s="170" t="n">
        <x:v>32876.949179</x:v>
      </x:c>
      <x:c r="J53" s="170" t="n">
        <x:v>21477.0018845</x:v>
      </x:c>
      <x:c r="K53" s="170" t="n">
        <x:v>1.5307978904973403</x:v>
      </x:c>
      <x:c r="L53" s="177" t="n">
        <x:v>1.5307978904973403</x:v>
      </x:c>
      <x:c r="M53" s="177" t="n">
        <x:f>KOHC!E153</x:f>
        <x:v>1.5307978904973403</x:v>
      </x:c>
      <x:c r="N53" s="178" t="str">
        <x:f>IF(AND(ABS(F53-I53)&lt;0.000001,ABS(G53-J53)&lt;0.000001,IF(ISNUMBER(L53),IF(ISNUMBER(M53),ABS(L53-M53)&lt;0.00000001,FALSE),M53=L53)),"PASS","FAIL")</x:f>
        <x:v>PASS</x:v>
      </x:c>
      <x:c r="O53" s="99" t="str"/>
      <x:c r="P53" s="76" t="str">
        <x:v>Asset Management</x:v>
      </x:c>
    </x:row>
    <x:row r="54" ht="26" customHeight="1">
      <x:c r="A54" s="168" t="str">
        <x:v>KOHC</x:v>
      </x:c>
      <x:c r="B54" s="168" t="n">
        <x:v>2022</x:v>
      </x:c>
      <x:c r="C54" s="168" t="n">
        <x:v>16</x:v>
      </x:c>
      <x:c r="D54" s="168" t="str">
        <x:v>Debt ratio</x:v>
      </x:c>
      <x:c r="E54" s="168" t="str">
        <x:v>Mandatory</x:v>
      </x:c>
      <x:c r="F54" s="169" t="n">
        <x:f>KOHC!E62</x:f>
        <x:v>16104.447613</x:v>
      </x:c>
      <x:c r="G54" s="169" t="n">
        <x:f>KOHC!E37</x:f>
        <x:v>43350.667843999996</x:v>
      </x:c>
      <x:c r="H54" s="169" t="n">
        <x:f>IF(G54&lt;=0,"n/m",F54/G54)</x:f>
        <x:v>0.37149249167170456</x:v>
      </x:c>
      <x:c r="I54" s="169" t="n">
        <x:v>16104.447613</x:v>
      </x:c>
      <x:c r="J54" s="169" t="n">
        <x:v>43350.667843999996</x:v>
      </x:c>
      <x:c r="K54" s="169" t="n">
        <x:v>0.37149249167170456</x:v>
      </x:c>
      <x:c r="L54" s="175" t="n">
        <x:v>0.37149249167170456</x:v>
      </x:c>
      <x:c r="M54" s="175" t="n">
        <x:f>KOHC!E155</x:f>
        <x:v>0.37149249167170456</x:v>
      </x:c>
      <x:c r="N54" s="176" t="str">
        <x:f>IF(AND(ABS(F54-I54)&lt;0.000001,ABS(G54-J54)&lt;0.000001,IF(ISNUMBER(L54),IF(ISNUMBER(M54),ABS(L54-M54)&lt;0.00000001,FALSE),M54=L54)),"PASS","FAIL")</x:f>
        <x:v>PASS</x:v>
      </x:c>
      <x:c r="O54" s="171" t="str"/>
      <x:c r="P54" s="168" t="str">
        <x:v>Debt Management</x:v>
      </x:c>
    </x:row>
    <x:row r="55" ht="26" customHeight="1">
      <x:c r="A55" s="76" t="str">
        <x:v>KOHC</x:v>
      </x:c>
      <x:c r="B55" s="76" t="n">
        <x:v>2022</x:v>
      </x:c>
      <x:c r="C55" s="76" t="n">
        <x:v>17</x:v>
      </x:c>
      <x:c r="D55" s="76" t="str">
        <x:v>Debt-to-equity</x:v>
      </x:c>
      <x:c r="E55" s="76" t="str">
        <x:v>Mandatory</x:v>
      </x:c>
      <x:c r="F55" s="170" t="n">
        <x:f>KOHC!E62</x:f>
        <x:v>16104.447613</x:v>
      </x:c>
      <x:c r="G55" s="170" t="n">
        <x:f>KOHC!E41</x:f>
        <x:v>27246.220231</x:v>
      </x:c>
      <x:c r="H55" s="170" t="n">
        <x:f>IF(G55&lt;=0,"n/m",F55/G55)</x:f>
        <x:v>0.5910708889696489</x:v>
      </x:c>
      <x:c r="I55" s="170" t="n">
        <x:v>16104.447613</x:v>
      </x:c>
      <x:c r="J55" s="170" t="n">
        <x:v>27246.220231</x:v>
      </x:c>
      <x:c r="K55" s="170" t="n">
        <x:v>0.5910708889696489</x:v>
      </x:c>
      <x:c r="L55" s="177" t="n">
        <x:v>0.5910708889696489</x:v>
      </x:c>
      <x:c r="M55" s="177" t="n">
        <x:f>KOHC!E156</x:f>
        <x:v>0.5910708889696489</x:v>
      </x:c>
      <x:c r="N55" s="178" t="str">
        <x:f>IF(AND(ABS(F55-I55)&lt;0.000001,ABS(G55-J55)&lt;0.000001,IF(ISNUMBER(L55),IF(ISNUMBER(M55),ABS(L55-M55)&lt;0.00000001,FALSE),M55=L55)),"PASS","FAIL")</x:f>
        <x:v>PASS</x:v>
      </x:c>
      <x:c r="O55" s="99" t="str"/>
      <x:c r="P55" s="76" t="str">
        <x:v>Debt Management</x:v>
      </x:c>
    </x:row>
    <x:row r="56" ht="26" customHeight="1">
      <x:c r="A56" s="168" t="str">
        <x:v>KOHC</x:v>
      </x:c>
      <x:c r="B56" s="168" t="n">
        <x:v>2022</x:v>
      </x:c>
      <x:c r="C56" s="168" t="n">
        <x:v>18</x:v>
      </x:c>
      <x:c r="D56" s="168" t="str">
        <x:v>Total debt-to-capital</x:v>
      </x:c>
      <x:c r="E56" s="168" t="str">
        <x:v>Additional</x:v>
      </x:c>
      <x:c r="F56" s="169" t="n">
        <x:f>KOHC!E66</x:f>
        <x:v>4251.312474</x:v>
      </x:c>
      <x:c r="G56" s="169" t="n">
        <x:f>KOHC!E66+KOHC!E41</x:f>
        <x:v>31497.532704999998</x:v>
      </x:c>
      <x:c r="H56" s="169" t="n">
        <x:f>IF(G56&lt;=0,"n/m",F56/G56)</x:f>
        <x:v>0.13497287275854264</x:v>
      </x:c>
      <x:c r="I56" s="169" t="n">
        <x:v>4251.312474</x:v>
      </x:c>
      <x:c r="J56" s="169" t="n">
        <x:v>31497.532704999998</x:v>
      </x:c>
      <x:c r="K56" s="169" t="n">
        <x:v>0.13497287275854264</x:v>
      </x:c>
      <x:c r="L56" s="175" t="n">
        <x:v>0.13497287275854264</x:v>
      </x:c>
      <x:c r="M56" s="175" t="n">
        <x:f>KOHC!E157</x:f>
        <x:v>0.13497287275854264</x:v>
      </x:c>
      <x:c r="N56" s="176" t="str">
        <x:f>IF(AND(ABS(F56-I56)&lt;0.000001,ABS(G56-J56)&lt;0.000001,IF(ISNUMBER(L56),IF(ISNUMBER(M56),ABS(L56-M56)&lt;0.00000001,FALSE),M56=L56)),"PASS","FAIL")</x:f>
        <x:v>PASS</x:v>
      </x:c>
      <x:c r="O56" s="171" t="str"/>
      <x:c r="P56" s="168" t="str">
        <x:v>Debt Management</x:v>
      </x:c>
    </x:row>
    <x:row r="57" ht="26" customHeight="1">
      <x:c r="A57" s="76" t="str">
        <x:v>KOHC</x:v>
      </x:c>
      <x:c r="B57" s="76" t="n">
        <x:v>2022</x:v>
      </x:c>
      <x:c r="C57" s="76" t="n">
        <x:v>19</x:v>
      </x:c>
      <x:c r="D57" s="76" t="str">
        <x:v>Long-term debt ratio</x:v>
      </x:c>
      <x:c r="E57" s="76" t="str">
        <x:v>Additional</x:v>
      </x:c>
      <x:c r="F57" s="170" t="n">
        <x:f>KOHC!E67</x:f>
        <x:v>3179.400118</x:v>
      </x:c>
      <x:c r="G57" s="170" t="n">
        <x:f>KOHC!E37</x:f>
        <x:v>43350.667843999996</x:v>
      </x:c>
      <x:c r="H57" s="170" t="n">
        <x:f>IF(G57&lt;=0,"n/m",F57/G57)</x:f>
        <x:v>0.07334143338786069</x:v>
      </x:c>
      <x:c r="I57" s="170" t="n">
        <x:v>3179.400118</x:v>
      </x:c>
      <x:c r="J57" s="170" t="n">
        <x:v>43350.667843999996</x:v>
      </x:c>
      <x:c r="K57" s="170" t="n">
        <x:v>0.07334143338786069</x:v>
      </x:c>
      <x:c r="L57" s="177" t="n">
        <x:v>0.07334143338786069</x:v>
      </x:c>
      <x:c r="M57" s="177" t="n">
        <x:f>KOHC!E158</x:f>
        <x:v>0.07334143338786069</x:v>
      </x:c>
      <x:c r="N57" s="178" t="str">
        <x:f>IF(AND(ABS(F57-I57)&lt;0.000001,ABS(G57-J57)&lt;0.000001,IF(ISNUMBER(L57),IF(ISNUMBER(M57),ABS(L57-M57)&lt;0.00000001,FALSE),M57=L57)),"PASS","FAIL")</x:f>
        <x:v>PASS</x:v>
      </x:c>
      <x:c r="O57" s="99" t="str"/>
      <x:c r="P57" s="76" t="str">
        <x:v>Debt Management</x:v>
      </x:c>
    </x:row>
    <x:row r="58" ht="26" customHeight="1">
      <x:c r="A58" s="168" t="str">
        <x:v>KOHC</x:v>
      </x:c>
      <x:c r="B58" s="168" t="n">
        <x:v>2022</x:v>
      </x:c>
      <x:c r="C58" s="168" t="n">
        <x:v>20</x:v>
      </x:c>
      <x:c r="D58" s="168" t="str">
        <x:v>Times interest earned</x:v>
      </x:c>
      <x:c r="E58" s="168" t="str">
        <x:v>Mandatory</x:v>
      </x:c>
      <x:c r="F58" s="169" t="n">
        <x:f>KOHC!E108</x:f>
        <x:v>9463.199941</x:v>
      </x:c>
      <x:c r="G58" s="169" t="n">
        <x:f>KOHC!E106</x:f>
        <x:v>515.336349</x:v>
      </x:c>
      <x:c r="H58" s="169" t="n">
        <x:f>IF(G58&lt;=0,"n/m",F58/G58)</x:f>
        <x:v>18.36315245249661</x:v>
      </x:c>
      <x:c r="I58" s="169" t="n">
        <x:v>9463.199941</x:v>
      </x:c>
      <x:c r="J58" s="169" t="n">
        <x:v>515.336349</x:v>
      </x:c>
      <x:c r="K58" s="169" t="n">
        <x:v>18.36315245249661</x:v>
      </x:c>
      <x:c r="L58" s="175" t="n">
        <x:v>18.36315245249661</x:v>
      </x:c>
      <x:c r="M58" s="175" t="n">
        <x:f>KOHC!E159</x:f>
        <x:v>18.36315245249661</x:v>
      </x:c>
      <x:c r="N58" s="176" t="str">
        <x:f>IF(AND(ABS(F58-I58)&lt;0.000001,ABS(G58-J58)&lt;0.000001,IF(ISNUMBER(L58),IF(ISNUMBER(M58),ABS(L58-M58)&lt;0.00000001,FALSE),M58=L58)),"PASS","FAIL")</x:f>
        <x:v>PASS</x:v>
      </x:c>
      <x:c r="O58" s="171" t="str"/>
      <x:c r="P58" s="168" t="str">
        <x:v>Debt Management</x:v>
      </x:c>
    </x:row>
    <x:row r="59" ht="26" customHeight="1">
      <x:c r="A59" s="76" t="str">
        <x:v>KOHC</x:v>
      </x:c>
      <x:c r="B59" s="76" t="n">
        <x:v>2022</x:v>
      </x:c>
      <x:c r="C59" s="76" t="n">
        <x:v>21</x:v>
      </x:c>
      <x:c r="D59" s="76" t="str">
        <x:v>Gross profit margin</x:v>
      </x:c>
      <x:c r="E59" s="76" t="str">
        <x:v>Mandatory</x:v>
      </x:c>
      <x:c r="F59" s="170" t="n">
        <x:f>KOHC!E86</x:f>
        <x:v>9811.768509000001</x:v>
      </x:c>
      <x:c r="G59" s="170" t="n">
        <x:f>KOHC!E84</x:f>
        <x:v>32876.949179</x:v>
      </x:c>
      <x:c r="H59" s="170" t="n">
        <x:f>IF(G59&lt;=0,"n/m",F59/G59)</x:f>
        <x:v>0.2984391421350988</x:v>
      </x:c>
      <x:c r="I59" s="170" t="n">
        <x:v>9811.768509000001</x:v>
      </x:c>
      <x:c r="J59" s="170" t="n">
        <x:v>32876.949179</x:v>
      </x:c>
      <x:c r="K59" s="170" t="n">
        <x:v>0.2984391421350988</x:v>
      </x:c>
      <x:c r="L59" s="177" t="n">
        <x:v>0.2984391421350988</x:v>
      </x:c>
      <x:c r="M59" s="177" t="n">
        <x:f>KOHC!E161</x:f>
        <x:v>0.2984391421350988</x:v>
      </x:c>
      <x:c r="N59" s="178" t="str">
        <x:f>IF(AND(ABS(F59-I59)&lt;0.000001,ABS(G59-J59)&lt;0.000001,IF(ISNUMBER(L59),IF(ISNUMBER(M59),ABS(L59-M59)&lt;0.00000001,FALSE),M59=L59)),"PASS","FAIL")</x:f>
        <x:v>PASS</x:v>
      </x:c>
      <x:c r="O59" s="99" t="str"/>
      <x:c r="P59" s="76" t="str">
        <x:v>Profitability</x:v>
      </x:c>
    </x:row>
    <x:row r="60" ht="26" customHeight="1">
      <x:c r="A60" s="168" t="str">
        <x:v>KOHC</x:v>
      </x:c>
      <x:c r="B60" s="168" t="n">
        <x:v>2022</x:v>
      </x:c>
      <x:c r="C60" s="168" t="n">
        <x:v>22</x:v>
      </x:c>
      <x:c r="D60" s="168" t="str">
        <x:v>Operating margin</x:v>
      </x:c>
      <x:c r="E60" s="168" t="str">
        <x:v>Mandatory</x:v>
      </x:c>
      <x:c r="F60" s="169" t="n">
        <x:f>KOHC!E91</x:f>
        <x:v>8773.056545000001</x:v>
      </x:c>
      <x:c r="G60" s="169" t="n">
        <x:f>KOHC!E84</x:f>
        <x:v>32876.949179</x:v>
      </x:c>
      <x:c r="H60" s="169" t="n">
        <x:f>IF(G60&lt;=0,"n/m",F60/G60)</x:f>
        <x:v>0.26684521417223683</x:v>
      </x:c>
      <x:c r="I60" s="169" t="n">
        <x:v>8773.056545000001</x:v>
      </x:c>
      <x:c r="J60" s="169" t="n">
        <x:v>32876.949179</x:v>
      </x:c>
      <x:c r="K60" s="169" t="n">
        <x:v>0.26684521417223683</x:v>
      </x:c>
      <x:c r="L60" s="175" t="n">
        <x:v>0.26684521417223683</x:v>
      </x:c>
      <x:c r="M60" s="175" t="n">
        <x:f>KOHC!E162</x:f>
        <x:v>0.26684521417223683</x:v>
      </x:c>
      <x:c r="N60" s="176" t="str">
        <x:f>IF(AND(ABS(F60-I60)&lt;0.000001,ABS(G60-J60)&lt;0.000001,IF(ISNUMBER(L60),IF(ISNUMBER(M60),ABS(L60-M60)&lt;0.00000001,FALSE),M60=L60)),"PASS","FAIL")</x:f>
        <x:v>PASS</x:v>
      </x:c>
      <x:c r="O60" s="171" t="str"/>
      <x:c r="P60" s="168" t="str">
        <x:v>Profitability</x:v>
      </x:c>
    </x:row>
    <x:row r="61" ht="26" customHeight="1">
      <x:c r="A61" s="76" t="str">
        <x:v>KOHC</x:v>
      </x:c>
      <x:c r="B61" s="76" t="n">
        <x:v>2022</x:v>
      </x:c>
      <x:c r="C61" s="76" t="n">
        <x:v>23</x:v>
      </x:c>
      <x:c r="D61" s="76" t="str">
        <x:v>Net profit margin</x:v>
      </x:c>
      <x:c r="E61" s="76" t="str">
        <x:v>Mandatory</x:v>
      </x:c>
      <x:c r="F61" s="170" t="n">
        <x:f>KOHC!E99</x:f>
        <x:v>5024.28026</x:v>
      </x:c>
      <x:c r="G61" s="170" t="n">
        <x:f>KOHC!E84</x:f>
        <x:v>32876.949179</x:v>
      </x:c>
      <x:c r="H61" s="170" t="n">
        <x:f>IF(G61&lt;=0,"n/m",F61/G61)</x:f>
        <x:v>0.15282075695786385</x:v>
      </x:c>
      <x:c r="I61" s="170" t="n">
        <x:v>5024.28026</x:v>
      </x:c>
      <x:c r="J61" s="170" t="n">
        <x:v>32876.949179</x:v>
      </x:c>
      <x:c r="K61" s="170" t="n">
        <x:v>0.15282075695786385</x:v>
      </x:c>
      <x:c r="L61" s="177" t="n">
        <x:v>0.15282075695786385</x:v>
      </x:c>
      <x:c r="M61" s="177" t="n">
        <x:f>KOHC!E163</x:f>
        <x:v>0.15282075695786385</x:v>
      </x:c>
      <x:c r="N61" s="178" t="str">
        <x:f>IF(AND(ABS(F61-I61)&lt;0.000001,ABS(G61-J61)&lt;0.000001,IF(ISNUMBER(L61),IF(ISNUMBER(M61),ABS(L61-M61)&lt;0.00000001,FALSE),M61=L61)),"PASS","FAIL")</x:f>
        <x:v>PASS</x:v>
      </x:c>
      <x:c r="O61" s="99" t="str"/>
      <x:c r="P61" s="76" t="str">
        <x:v>Profitability</x:v>
      </x:c>
    </x:row>
    <x:row r="62" ht="26" customHeight="1">
      <x:c r="A62" s="168" t="str">
        <x:v>KOHC</x:v>
      </x:c>
      <x:c r="B62" s="168" t="n">
        <x:v>2022</x:v>
      </x:c>
      <x:c r="C62" s="168" t="n">
        <x:v>24</x:v>
      </x:c>
      <x:c r="D62" s="168" t="str">
        <x:v>Return on assets</x:v>
      </x:c>
      <x:c r="E62" s="168" t="str">
        <x:v>Mandatory</x:v>
      </x:c>
      <x:c r="F62" s="169" t="n">
        <x:f>KOHC!E99</x:f>
        <x:v>5024.28026</x:v>
      </x:c>
      <x:c r="G62" s="169" t="n">
        <x:f>AVERAGE(KOHC!D37,KOHC!E37)</x:f>
        <x:v>39718.7946405</x:v>
      </x:c>
      <x:c r="H62" s="169" t="n">
        <x:f>IF(G62&lt;=0,"n/m",F62/G62)</x:f>
        <x:v>0.12649629238438423</x:v>
      </x:c>
      <x:c r="I62" s="169" t="n">
        <x:v>5024.28026</x:v>
      </x:c>
      <x:c r="J62" s="169" t="n">
        <x:v>39718.7946405</x:v>
      </x:c>
      <x:c r="K62" s="169" t="n">
        <x:v>0.12649629238438423</x:v>
      </x:c>
      <x:c r="L62" s="175" t="n">
        <x:v>0.12649629238438423</x:v>
      </x:c>
      <x:c r="M62" s="175" t="n">
        <x:f>KOHC!E164</x:f>
        <x:v>0.12649629238438423</x:v>
      </x:c>
      <x:c r="N62" s="176" t="str">
        <x:f>IF(AND(ABS(F62-I62)&lt;0.000001,ABS(G62-J62)&lt;0.000001,IF(ISNUMBER(L62),IF(ISNUMBER(M62),ABS(L62-M62)&lt;0.00000001,FALSE),M62=L62)),"PASS","FAIL")</x:f>
        <x:v>PASS</x:v>
      </x:c>
      <x:c r="O62" s="171" t="str"/>
      <x:c r="P62" s="168" t="str">
        <x:v>Profitability</x:v>
      </x:c>
    </x:row>
    <x:row r="63" ht="26" customHeight="1">
      <x:c r="A63" s="76" t="str">
        <x:v>KOHC</x:v>
      </x:c>
      <x:c r="B63" s="76" t="n">
        <x:v>2022</x:v>
      </x:c>
      <x:c r="C63" s="76" t="n">
        <x:v>25</x:v>
      </x:c>
      <x:c r="D63" s="76" t="str">
        <x:v>Return on equity</x:v>
      </x:c>
      <x:c r="E63" s="76" t="str">
        <x:v>Mandatory</x:v>
      </x:c>
      <x:c r="F63" s="170" t="n">
        <x:f>KOHC!E99</x:f>
        <x:v>5024.28026</x:v>
      </x:c>
      <x:c r="G63" s="170" t="n">
        <x:f>AVERAGE(KOHC!D41,KOHC!E41)</x:f>
        <x:v>24734.879801</x:v>
      </x:c>
      <x:c r="H63" s="170" t="n">
        <x:f>IF(G63&lt;=0,"n/m",F63/G63)</x:f>
        <x:v>0.2031253153612202</x:v>
      </x:c>
      <x:c r="I63" s="170" t="n">
        <x:v>5024.28026</x:v>
      </x:c>
      <x:c r="J63" s="170" t="n">
        <x:v>24734.879801</x:v>
      </x:c>
      <x:c r="K63" s="170" t="n">
        <x:v>0.2031253153612202</x:v>
      </x:c>
      <x:c r="L63" s="177" t="n">
        <x:v>0.2031253153612202</x:v>
      </x:c>
      <x:c r="M63" s="177" t="n">
        <x:f>KOHC!E165</x:f>
        <x:v>0.2031253153612202</x:v>
      </x:c>
      <x:c r="N63" s="178" t="str">
        <x:f>IF(AND(ABS(F63-I63)&lt;0.000001,ABS(G63-J63)&lt;0.000001,IF(ISNUMBER(L63),IF(ISNUMBER(M63),ABS(L63-M63)&lt;0.00000001,FALSE),M63=L63)),"PASS","FAIL")</x:f>
        <x:v>PASS</x:v>
      </x:c>
      <x:c r="O63" s="99" t="str"/>
      <x:c r="P63" s="76" t="str">
        <x:v>Profitability</x:v>
      </x:c>
    </x:row>
    <x:row r="64" ht="26" customHeight="1">
      <x:c r="A64" s="168" t="str">
        <x:v>KOHC</x:v>
      </x:c>
      <x:c r="B64" s="168" t="n">
        <x:v>2022</x:v>
      </x:c>
      <x:c r="C64" s="168" t="n">
        <x:v>26</x:v>
      </x:c>
      <x:c r="D64" s="168" t="str">
        <x:v>Return on invested capital</x:v>
      </x:c>
      <x:c r="E64" s="168" t="str">
        <x:v>Additional</x:v>
      </x:c>
      <x:c r="F64" s="169" t="n">
        <x:f>KOHC!E113</x:f>
        <x:v>5326.965053545176</x:v>
      </x:c>
      <x:c r="G64" s="169" t="n">
        <x:f>AVERAGE(KOHC!D70,KOHC!E70)</x:f>
        <x:v>29885.929112499998</x:v>
      </x:c>
      <x:c r="H64" s="169" t="n">
        <x:f>IF(G64&lt;=0,"n/m",F64/G64)</x:f>
        <x:v>0.17824324729851332</x:v>
      </x:c>
      <x:c r="I64" s="169" t="n">
        <x:v>5326.965053545176</x:v>
      </x:c>
      <x:c r="J64" s="169" t="n">
        <x:v>29885.929112499998</x:v>
      </x:c>
      <x:c r="K64" s="169" t="n">
        <x:v>0.17824324729851332</x:v>
      </x:c>
      <x:c r="L64" s="175" t="n">
        <x:v>0.17824324729851332</x:v>
      </x:c>
      <x:c r="M64" s="175" t="n">
        <x:f>KOHC!E166</x:f>
        <x:v>0.17824324729851332</x:v>
      </x:c>
      <x:c r="N64" s="176" t="str">
        <x:f>IF(AND(ABS(F64-I64)&lt;0.000001,ABS(G64-J64)&lt;0.000001,IF(ISNUMBER(L64),IF(ISNUMBER(M64),ABS(L64-M64)&lt;0.00000001,FALSE),M64=L64)),"PASS","FAIL")</x:f>
        <x:v>PASS</x:v>
      </x:c>
      <x:c r="O64" s="171" t="str"/>
      <x:c r="P64" s="168" t="str">
        <x:v>Profitability</x:v>
      </x:c>
    </x:row>
    <x:row r="65" ht="26" customHeight="1">
      <x:c r="A65" s="76" t="str">
        <x:v>KOHC</x:v>
      </x:c>
      <x:c r="B65" s="76" t="n">
        <x:v>2022</x:v>
      </x:c>
      <x:c r="C65" s="76" t="n">
        <x:v>27</x:v>
      </x:c>
      <x:c r="D65" s="76" t="str">
        <x:v>Basic earning power</x:v>
      </x:c>
      <x:c r="E65" s="76" t="str">
        <x:v>Additional</x:v>
      </x:c>
      <x:c r="F65" s="170" t="n">
        <x:f>KOHC!E108</x:f>
        <x:v>9463.199941</x:v>
      </x:c>
      <x:c r="G65" s="170" t="n">
        <x:f>AVERAGE(KOHC!D37,KOHC!E37)</x:f>
        <x:v>39718.7946405</x:v>
      </x:c>
      <x:c r="H65" s="170" t="n">
        <x:f>IF(G65&lt;=0,"n/m",F65/G65)</x:f>
        <x:v>0.23825496283693048</x:v>
      </x:c>
      <x:c r="I65" s="170" t="n">
        <x:v>9463.199941</x:v>
      </x:c>
      <x:c r="J65" s="170" t="n">
        <x:v>39718.7946405</x:v>
      </x:c>
      <x:c r="K65" s="170" t="n">
        <x:v>0.23825496283693048</x:v>
      </x:c>
      <x:c r="L65" s="177" t="n">
        <x:v>0.23825496283693048</x:v>
      </x:c>
      <x:c r="M65" s="177" t="n">
        <x:f>KOHC!E167</x:f>
        <x:v>0.23825496283693048</x:v>
      </x:c>
      <x:c r="N65" s="178" t="str">
        <x:f>IF(AND(ABS(F65-I65)&lt;0.000001,ABS(G65-J65)&lt;0.000001,IF(ISNUMBER(L65),IF(ISNUMBER(M65),ABS(L65-M65)&lt;0.00000001,FALSE),M65=L65)),"PASS","FAIL")</x:f>
        <x:v>PASS</x:v>
      </x:c>
      <x:c r="O65" s="99" t="str"/>
      <x:c r="P65" s="76" t="str">
        <x:v>Profitability</x:v>
      </x:c>
    </x:row>
    <x:row r="66" ht="26" customHeight="1">
      <x:c r="A66" s="168" t="str">
        <x:v>KOHC</x:v>
      </x:c>
      <x:c r="B66" s="168" t="n">
        <x:v>2022</x:v>
      </x:c>
      <x:c r="C66" s="168" t="n">
        <x:v>28</x:v>
      </x:c>
      <x:c r="D66" s="168" t="str">
        <x:v>Book value per share (Rs)</x:v>
      </x:c>
      <x:c r="E66" s="168" t="str">
        <x:v>Additional</x:v>
      </x:c>
      <x:c r="F66" s="169" t="n">
        <x:f>KOHC!E41</x:f>
        <x:v>27246.220231</x:v>
      </x:c>
      <x:c r="G66" s="169" t="n">
        <x:f>KOHC!E128</x:f>
        <x:v>200.86129699999998</x:v>
      </x:c>
      <x:c r="H66" s="169" t="n">
        <x:f>IF(G66&lt;=0,"n/m",F66/G66)</x:f>
        <x:v>135.64693964412666</x:v>
      </x:c>
      <x:c r="I66" s="169" t="n">
        <x:v>27246.220231</x:v>
      </x:c>
      <x:c r="J66" s="169" t="n">
        <x:v>200.86129699999998</x:v>
      </x:c>
      <x:c r="K66" s="169" t="n">
        <x:v>135.64693964412666</x:v>
      </x:c>
      <x:c r="L66" s="175" t="n">
        <x:v>135.64693964412666</x:v>
      </x:c>
      <x:c r="M66" s="175" t="n">
        <x:f>KOHC!E169</x:f>
        <x:v>135.64693964412666</x:v>
      </x:c>
      <x:c r="N66" s="176" t="str">
        <x:f>IF(AND(ABS(F66-I66)&lt;0.000001,ABS(G66-J66)&lt;0.000001,IF(ISNUMBER(L66),IF(ISNUMBER(M66),ABS(L66-M66)&lt;0.00000001,FALSE),M66=L66)),"PASS","FAIL")</x:f>
        <x:v>PASS</x:v>
      </x:c>
      <x:c r="O66" s="171" t="str"/>
      <x:c r="P66" s="168" t="str">
        <x:v>Market Value</x:v>
      </x:c>
    </x:row>
    <x:row r="67" ht="26" customHeight="1">
      <x:c r="A67" s="76" t="str">
        <x:v>KOHC</x:v>
      </x:c>
      <x:c r="B67" s="76" t="n">
        <x:v>2022</x:v>
      </x:c>
      <x:c r="C67" s="76" t="n">
        <x:v>29</x:v>
      </x:c>
      <x:c r="D67" s="76" t="str">
        <x:v>Market-to-book ratio</x:v>
      </x:c>
      <x:c r="E67" s="76" t="str">
        <x:v>Mandatory</x:v>
      </x:c>
      <x:c r="F67" s="170" t="n">
        <x:f>KOHC!E130</x:f>
        <x:v>130.13</x:v>
      </x:c>
      <x:c r="G67" s="170" t="n">
        <x:f>KOHC!E41/KOHC!E128</x:f>
        <x:v>135.64693964412666</x:v>
      </x:c>
      <x:c r="H67" s="170" t="n">
        <x:f>IF(G67&lt;=0,"n/m",F67/G67)</x:f>
        <x:v>0.959328683281757</x:v>
      </x:c>
      <x:c r="I67" s="170" t="n">
        <x:v>130.13</x:v>
      </x:c>
      <x:c r="J67" s="170" t="n">
        <x:v>135.64693964412666</x:v>
      </x:c>
      <x:c r="K67" s="170" t="n">
        <x:v>0.959328683281757</x:v>
      </x:c>
      <x:c r="L67" s="177" t="n">
        <x:v>0.959328683281757</x:v>
      </x:c>
      <x:c r="M67" s="177" t="n">
        <x:f>KOHC!E170</x:f>
        <x:v>0.959328683281757</x:v>
      </x:c>
      <x:c r="N67" s="178" t="str">
        <x:f>IF(AND(ABS(F67-I67)&lt;0.000001,ABS(G67-J67)&lt;0.000001,IF(ISNUMBER(L67),IF(ISNUMBER(M67),ABS(L67-M67)&lt;0.00000001,FALSE),M67=L67)),"PASS","FAIL")</x:f>
        <x:v>PASS</x:v>
      </x:c>
      <x:c r="O67" s="99" t="str"/>
      <x:c r="P67" s="76" t="str">
        <x:v>Market Value</x:v>
      </x:c>
    </x:row>
    <x:row r="68" ht="26" customHeight="1">
      <x:c r="A68" s="168" t="str">
        <x:v>KOHC</x:v>
      </x:c>
      <x:c r="B68" s="168" t="n">
        <x:v>2022</x:v>
      </x:c>
      <x:c r="C68" s="168" t="n">
        <x:v>30</x:v>
      </x:c>
      <x:c r="D68" s="168" t="str">
        <x:v>Earnings per share (Rs)</x:v>
      </x:c>
      <x:c r="E68" s="168" t="str">
        <x:v>Mandatory</x:v>
      </x:c>
      <x:c r="F68" s="169" t="n">
        <x:f>KOHC!E99</x:f>
        <x:v>5024.28026</x:v>
      </x:c>
      <x:c r="G68" s="169" t="n">
        <x:f>KOHC!E129</x:f>
        <x:v>200.861297</x:v>
      </x:c>
      <x:c r="H68" s="169" t="n">
        <x:f>IF(G68&lt;=0,"n/m",F68/G68)</x:f>
        <x:v>25.013680261160516</x:v>
      </x:c>
      <x:c r="I68" s="169" t="n">
        <x:v>5024.28026</x:v>
      </x:c>
      <x:c r="J68" s="169" t="n">
        <x:v>200.861297</x:v>
      </x:c>
      <x:c r="K68" s="169" t="n">
        <x:v>25.013680261160516</x:v>
      </x:c>
      <x:c r="L68" s="175" t="n">
        <x:v>25.013680261160516</x:v>
      </x:c>
      <x:c r="M68" s="175" t="n">
        <x:f>KOHC!E171</x:f>
        <x:v>25.013680261160516</x:v>
      </x:c>
      <x:c r="N68" s="176" t="str">
        <x:f>IF(AND(ABS(F68-I68)&lt;0.000001,ABS(G68-J68)&lt;0.000001,IF(ISNUMBER(L68),IF(ISNUMBER(M68),ABS(L68-M68)&lt;0.00000001,FALSE),M68=L68)),"PASS","FAIL")</x:f>
        <x:v>PASS</x:v>
      </x:c>
      <x:c r="O68" s="171" t="str"/>
      <x:c r="P68" s="168" t="str">
        <x:v>Market Value</x:v>
      </x:c>
    </x:row>
    <x:row r="69" ht="26" customHeight="1">
      <x:c r="A69" s="76" t="str">
        <x:v>KOHC</x:v>
      </x:c>
      <x:c r="B69" s="76" t="n">
        <x:v>2022</x:v>
      </x:c>
      <x:c r="C69" s="76" t="n">
        <x:v>31</x:v>
      </x:c>
      <x:c r="D69" s="76" t="str">
        <x:v>Price-to-earnings ratio</x:v>
      </x:c>
      <x:c r="E69" s="76" t="str">
        <x:v>Mandatory</x:v>
      </x:c>
      <x:c r="F69" s="170" t="n">
        <x:f>KOHC!E130</x:f>
        <x:v>130.13</x:v>
      </x:c>
      <x:c r="G69" s="170" t="n">
        <x:f>KOHC!E99/KOHC!E129</x:f>
        <x:v>25.013680261160516</x:v>
      </x:c>
      <x:c r="H69" s="170" t="n">
        <x:f>IF(G69&lt;=0,"n/m",F69/G69)</x:f>
        <x:v>5.202353217973155</x:v>
      </x:c>
      <x:c r="I69" s="170" t="n">
        <x:v>130.13</x:v>
      </x:c>
      <x:c r="J69" s="170" t="n">
        <x:v>25.013680261160516</x:v>
      </x:c>
      <x:c r="K69" s="170" t="n">
        <x:v>5.202353217973155</x:v>
      </x:c>
      <x:c r="L69" s="177" t="n">
        <x:v>5.202353217973155</x:v>
      </x:c>
      <x:c r="M69" s="177" t="n">
        <x:f>KOHC!E172</x:f>
        <x:v>5.202353217973155</x:v>
      </x:c>
      <x:c r="N69" s="178" t="str">
        <x:f>IF(AND(ABS(F69-I69)&lt;0.000001,ABS(G69-J69)&lt;0.000001,IF(ISNUMBER(L69),IF(ISNUMBER(M69),ABS(L69-M69)&lt;0.00000001,FALSE),M69=L69)),"PASS","FAIL")</x:f>
        <x:v>PASS</x:v>
      </x:c>
      <x:c r="O69" s="99" t="str"/>
      <x:c r="P69" s="76" t="str">
        <x:v>Market Value</x:v>
      </x:c>
    </x:row>
    <x:row r="70" ht="26" customHeight="1">
      <x:c r="A70" s="168" t="str">
        <x:v>KOHC</x:v>
      </x:c>
      <x:c r="B70" s="168" t="n">
        <x:v>2022</x:v>
      </x:c>
      <x:c r="C70" s="168" t="n">
        <x:v>32</x:v>
      </x:c>
      <x:c r="D70" s="168" t="str">
        <x:v>Dividend yield</x:v>
      </x:c>
      <x:c r="E70" s="168" t="str">
        <x:v>Mandatory</x:v>
      </x:c>
      <x:c r="F70" s="169" t="n">
        <x:f>KOHC!E131</x:f>
        <x:v>0</x:v>
      </x:c>
      <x:c r="G70" s="169" t="n">
        <x:f>KOHC!E130</x:f>
        <x:v>130.13</x:v>
      </x:c>
      <x:c r="H70" s="169" t="n">
        <x:f>IF(G70&lt;=0,"n/m",F70/G70)</x:f>
        <x:v>0</x:v>
      </x:c>
      <x:c r="I70" s="169" t="n">
        <x:v>0</x:v>
      </x:c>
      <x:c r="J70" s="169" t="n">
        <x:v>130.13</x:v>
      </x:c>
      <x:c r="K70" s="169" t="n">
        <x:v>0</x:v>
      </x:c>
      <x:c r="L70" s="175" t="n">
        <x:v>0</x:v>
      </x:c>
      <x:c r="M70" s="175" t="n">
        <x:f>KOHC!E173</x:f>
        <x:v>0</x:v>
      </x:c>
      <x:c r="N70" s="176" t="str">
        <x:f>IF(AND(ABS(F70-I70)&lt;0.000001,ABS(G70-J70)&lt;0.000001,IF(ISNUMBER(L70),IF(ISNUMBER(M70),ABS(L70-M70)&lt;0.00000001,FALSE),M70=L70)),"PASS","FAIL")</x:f>
        <x:v>PASS</x:v>
      </x:c>
      <x:c r="O70" s="171" t="str"/>
      <x:c r="P70" s="168" t="str">
        <x:v>Market Value</x:v>
      </x:c>
    </x:row>
    <x:row r="71" ht="26" customHeight="1">
      <x:c r="A71" s="76" t="str">
        <x:v>KOHC</x:v>
      </x:c>
      <x:c r="B71" s="76" t="n">
        <x:v>2022</x:v>
      </x:c>
      <x:c r="C71" s="76" t="n">
        <x:v>33</x:v>
      </x:c>
      <x:c r="D71" s="76" t="str">
        <x:v>Dividend payout ratio</x:v>
      </x:c>
      <x:c r="E71" s="76" t="str">
        <x:v>Additional</x:v>
      </x:c>
      <x:c r="F71" s="170" t="n">
        <x:f>KOHC!E131</x:f>
        <x:v>0</x:v>
      </x:c>
      <x:c r="G71" s="170" t="n">
        <x:f>KOHC!E99/KOHC!E129</x:f>
        <x:v>25.013680261160516</x:v>
      </x:c>
      <x:c r="H71" s="170" t="n">
        <x:f>IF(G71&lt;=0,"n/m",F71/G71)</x:f>
        <x:v>0</x:v>
      </x:c>
      <x:c r="I71" s="170" t="n">
        <x:v>0</x:v>
      </x:c>
      <x:c r="J71" s="170" t="n">
        <x:v>25.013680261160516</x:v>
      </x:c>
      <x:c r="K71" s="170" t="n">
        <x:v>0</x:v>
      </x:c>
      <x:c r="L71" s="177" t="n">
        <x:v>0</x:v>
      </x:c>
      <x:c r="M71" s="177" t="n">
        <x:f>KOHC!E174</x:f>
        <x:v>0</x:v>
      </x:c>
      <x:c r="N71" s="178" t="str">
        <x:f>IF(AND(ABS(F71-I71)&lt;0.000001,ABS(G71-J71)&lt;0.000001,IF(ISNUMBER(L71),IF(ISNUMBER(M71),ABS(L71-M71)&lt;0.00000001,FALSE),M71=L71)),"PASS","FAIL")</x:f>
        <x:v>PASS</x:v>
      </x:c>
      <x:c r="O71" s="99" t="str"/>
      <x:c r="P71" s="76" t="str">
        <x:v>Market Value</x:v>
      </x:c>
    </x:row>
    <x:row r="72" ht="26" customHeight="1">
      <x:c r="A72" s="168" t="str">
        <x:v>KOHC</x:v>
      </x:c>
      <x:c r="B72" s="168" t="n">
        <x:v>2023</x:v>
      </x:c>
      <x:c r="C72" s="168" t="n">
        <x:v>1</x:v>
      </x:c>
      <x:c r="D72" s="168" t="str">
        <x:v>Current ratio</x:v>
      </x:c>
      <x:c r="E72" s="168" t="str">
        <x:v>Mandatory</x:v>
      </x:c>
      <x:c r="F72" s="169" t="n">
        <x:f>KOHC!F36</x:f>
        <x:v>22913.376649</x:v>
      </x:c>
      <x:c r="G72" s="169" t="n">
        <x:f>KOHC!F61</x:f>
        <x:v>9912.471411</x:v>
      </x:c>
      <x:c r="H72" s="169" t="n">
        <x:f>IF(G72&lt;=0,"n/m",F72/G72)</x:f>
        <x:v>2.311570515459215</x:v>
      </x:c>
      <x:c r="I72" s="169" t="n">
        <x:v>22913.376649</x:v>
      </x:c>
      <x:c r="J72" s="169" t="n">
        <x:v>9912.471411</x:v>
      </x:c>
      <x:c r="K72" s="169" t="n">
        <x:v>2.311570515459215</x:v>
      </x:c>
      <x:c r="L72" s="175" t="n">
        <x:v>2.311570515459215</x:v>
      </x:c>
      <x:c r="M72" s="175" t="n">
        <x:f>KOHC!F138</x:f>
        <x:v>2.311570515459215</x:v>
      </x:c>
      <x:c r="N72" s="176" t="str">
        <x:f>IF(AND(ABS(F72-I72)&lt;0.000001,ABS(G72-J72)&lt;0.000001,IF(ISNUMBER(L72),IF(ISNUMBER(M72),ABS(L72-M72)&lt;0.00000001,FALSE),M72=L72)),"PASS","FAIL")</x:f>
        <x:v>PASS</x:v>
      </x:c>
      <x:c r="O72" s="171" t="str"/>
      <x:c r="P72" s="168" t="str">
        <x:v>Liquidity</x:v>
      </x:c>
    </x:row>
    <x:row r="73" ht="26" customHeight="1">
      <x:c r="A73" s="76" t="str">
        <x:v>KOHC</x:v>
      </x:c>
      <x:c r="B73" s="76" t="n">
        <x:v>2023</x:v>
      </x:c>
      <x:c r="C73" s="76" t="n">
        <x:v>2</x:v>
      </x:c>
      <x:c r="D73" s="76" t="str">
        <x:v>Quick ratio</x:v>
      </x:c>
      <x:c r="E73" s="76" t="str">
        <x:v>Mandatory</x:v>
      </x:c>
      <x:c r="F73" s="170" t="n">
        <x:f>KOHC!F36-KOHC!F65</x:f>
        <x:v>15257.385331000001</x:v>
      </x:c>
      <x:c r="G73" s="170" t="n">
        <x:f>KOHC!F61</x:f>
        <x:v>9912.471411</x:v>
      </x:c>
      <x:c r="H73" s="170" t="n">
        <x:f>IF(G73&lt;=0,"n/m",F73/G73)</x:f>
        <x:v>1.5392110300634694</x:v>
      </x:c>
      <x:c r="I73" s="170" t="n">
        <x:v>15257.385331000001</x:v>
      </x:c>
      <x:c r="J73" s="170" t="n">
        <x:v>9912.471411</x:v>
      </x:c>
      <x:c r="K73" s="170" t="n">
        <x:v>1.5392110300634694</x:v>
      </x:c>
      <x:c r="L73" s="177" t="n">
        <x:v>1.5392110300634694</x:v>
      </x:c>
      <x:c r="M73" s="177" t="n">
        <x:f>KOHC!F139</x:f>
        <x:v>1.5392110300634694</x:v>
      </x:c>
      <x:c r="N73" s="178" t="str">
        <x:f>IF(AND(ABS(F73-I73)&lt;0.000001,ABS(G73-J73)&lt;0.000001,IF(ISNUMBER(L73),IF(ISNUMBER(M73),ABS(L73-M73)&lt;0.00000001,FALSE),M73=L73)),"PASS","FAIL")</x:f>
        <x:v>PASS</x:v>
      </x:c>
      <x:c r="O73" s="99" t="str"/>
      <x:c r="P73" s="76" t="str">
        <x:v>Liquidity</x:v>
      </x:c>
    </x:row>
    <x:row r="74" ht="26" customHeight="1">
      <x:c r="A74" s="168" t="str">
        <x:v>KOHC</x:v>
      </x:c>
      <x:c r="B74" s="168" t="n">
        <x:v>2023</x:v>
      </x:c>
      <x:c r="C74" s="168" t="n">
        <x:v>3</x:v>
      </x:c>
      <x:c r="D74" s="168" t="str">
        <x:v>Cash ratio</x:v>
      </x:c>
      <x:c r="E74" s="168" t="str">
        <x:v>Mandatory</x:v>
      </x:c>
      <x:c r="F74" s="169" t="n">
        <x:f>KOHC!F34</x:f>
        <x:v>933.537193</x:v>
      </x:c>
      <x:c r="G74" s="169" t="n">
        <x:f>KOHC!F61</x:f>
        <x:v>9912.471411</x:v>
      </x:c>
      <x:c r="H74" s="169" t="n">
        <x:f>IF(G74&lt;=0,"n/m",F74/G74)</x:f>
        <x:v>0.09417804645207263</x:v>
      </x:c>
      <x:c r="I74" s="169" t="n">
        <x:v>933.537193</x:v>
      </x:c>
      <x:c r="J74" s="169" t="n">
        <x:v>9912.471411</x:v>
      </x:c>
      <x:c r="K74" s="169" t="n">
        <x:v>0.09417804645207263</x:v>
      </x:c>
      <x:c r="L74" s="175" t="n">
        <x:v>0.09417804645207263</x:v>
      </x:c>
      <x:c r="M74" s="175" t="n">
        <x:f>KOHC!F140</x:f>
        <x:v>0.09417804645207263</x:v>
      </x:c>
      <x:c r="N74" s="176" t="str">
        <x:f>IF(AND(ABS(F74-I74)&lt;0.000001,ABS(G74-J74)&lt;0.000001,IF(ISNUMBER(L74),IF(ISNUMBER(M74),ABS(L74-M74)&lt;0.00000001,FALSE),M74=L74)),"PASS","FAIL")</x:f>
        <x:v>PASS</x:v>
      </x:c>
      <x:c r="O74" s="171" t="str"/>
      <x:c r="P74" s="168" t="str">
        <x:v>Liquidity</x:v>
      </x:c>
    </x:row>
    <x:row r="75" ht="26" customHeight="1">
      <x:c r="A75" s="76" t="str">
        <x:v>KOHC</x:v>
      </x:c>
      <x:c r="B75" s="76" t="n">
        <x:v>2023</x:v>
      </x:c>
      <x:c r="C75" s="76" t="n">
        <x:v>4</x:v>
      </x:c>
      <x:c r="D75" s="76" t="str">
        <x:v>Net working capital (PKR m)</x:v>
      </x:c>
      <x:c r="E75" s="76" t="str">
        <x:v>Additional</x:v>
      </x:c>
      <x:c r="F75" s="170" t="n">
        <x:f>KOHC!F36-KOHC!F61</x:f>
        <x:v>13000.905238000001</x:v>
      </x:c>
      <x:c r="G75" s="170" t="n">
        <x:f>1</x:f>
        <x:v>1</x:v>
      </x:c>
      <x:c r="H75" s="170" t="n">
        <x:f>IF(G75&lt;=0,"n/m",F75/G75)</x:f>
        <x:v>13000.905238000001</x:v>
      </x:c>
      <x:c r="I75" s="170" t="n">
        <x:v>13000.905238000001</x:v>
      </x:c>
      <x:c r="J75" s="170" t="n">
        <x:v>1</x:v>
      </x:c>
      <x:c r="K75" s="170" t="n">
        <x:v>13000.905238000001</x:v>
      </x:c>
      <x:c r="L75" s="177" t="n">
        <x:v>13000.905238000001</x:v>
      </x:c>
      <x:c r="M75" s="177" t="n">
        <x:f>KOHC!F141</x:f>
        <x:v>13000.905238000001</x:v>
      </x:c>
      <x:c r="N75" s="178" t="str">
        <x:f>IF(AND(ABS(F75-I75)&lt;0.000001,ABS(G75-J75)&lt;0.000001,IF(ISNUMBER(L75),IF(ISNUMBER(M75),ABS(L75-M75)&lt;0.00000001,FALSE),M75=L75)),"PASS","FAIL")</x:f>
        <x:v>PASS</x:v>
      </x:c>
      <x:c r="O75" s="99" t="str"/>
      <x:c r="P75" s="76" t="str">
        <x:v>Liquidity</x:v>
      </x:c>
    </x:row>
    <x:row r="76" ht="26" customHeight="1">
      <x:c r="A76" s="168" t="str">
        <x:v>KOHC</x:v>
      </x:c>
      <x:c r="B76" s="168" t="n">
        <x:v>2023</x:v>
      </x:c>
      <x:c r="C76" s="168" t="n">
        <x:v>5</x:v>
      </x:c>
      <x:c r="D76" s="168" t="str">
        <x:v>Net operating working capital (PKR m)</x:v>
      </x:c>
      <x:c r="E76" s="168" t="str">
        <x:v>Additional</x:v>
      </x:c>
      <x:c r="F76" s="169" t="n">
        <x:f>KOHC!F72-KOHC!F73</x:f>
        <x:v>1004.8001120000008</x:v>
      </x:c>
      <x:c r="G76" s="169" t="n">
        <x:f>1</x:f>
        <x:v>1</x:v>
      </x:c>
      <x:c r="H76" s="169" t="n">
        <x:f>IF(G76&lt;=0,"n/m",F76/G76)</x:f>
        <x:v>1004.8001120000008</x:v>
      </x:c>
      <x:c r="I76" s="169" t="n">
        <x:v>1004.8001120000008</x:v>
      </x:c>
      <x:c r="J76" s="169" t="n">
        <x:v>1</x:v>
      </x:c>
      <x:c r="K76" s="169" t="n">
        <x:v>1004.8001120000008</x:v>
      </x:c>
      <x:c r="L76" s="175" t="n">
        <x:v>1004.8001120000008</x:v>
      </x:c>
      <x:c r="M76" s="175" t="n">
        <x:f>KOHC!F142</x:f>
        <x:v>1004.8001120000008</x:v>
      </x:c>
      <x:c r="N76" s="176" t="str">
        <x:f>IF(AND(ABS(F76-I76)&lt;0.000001,ABS(G76-J76)&lt;0.000001,IF(ISNUMBER(L76),IF(ISNUMBER(M76),ABS(L76-M76)&lt;0.00000001,FALSE),M76=L76)),"PASS","FAIL")</x:f>
        <x:v>PASS</x:v>
      </x:c>
      <x:c r="O76" s="171" t="str"/>
      <x:c r="P76" s="168" t="str">
        <x:v>Liquidity</x:v>
      </x:c>
    </x:row>
    <x:row r="77" ht="26" customHeight="1">
      <x:c r="A77" s="76" t="str">
        <x:v>KOHC</x:v>
      </x:c>
      <x:c r="B77" s="76" t="n">
        <x:v>2023</x:v>
      </x:c>
      <x:c r="C77" s="76" t="n">
        <x:v>6</x:v>
      </x:c>
      <x:c r="D77" s="76" t="str">
        <x:v>Inventory turnover</x:v>
      </x:c>
      <x:c r="E77" s="76" t="str">
        <x:v>Mandatory</x:v>
      </x:c>
      <x:c r="F77" s="170" t="n">
        <x:f>-KOHC!F85</x:f>
        <x:v>28488.941331</x:v>
      </x:c>
      <x:c r="G77" s="170" t="n">
        <x:f>AVERAGE(KOHC!E65,KOHC!F65)</x:f>
        <x:v>6663.488868</x:v>
      </x:c>
      <x:c r="H77" s="170" t="n">
        <x:f>IF(G77&lt;=0,"n/m",F77/G77)</x:f>
        <x:v>4.275379143771386</x:v>
      </x:c>
      <x:c r="I77" s="170" t="n">
        <x:v>28488.941331</x:v>
      </x:c>
      <x:c r="J77" s="170" t="n">
        <x:v>6663.488868</x:v>
      </x:c>
      <x:c r="K77" s="170" t="n">
        <x:v>4.275379143771386</x:v>
      </x:c>
      <x:c r="L77" s="177" t="n">
        <x:v>4.275379143771386</x:v>
      </x:c>
      <x:c r="M77" s="177" t="n">
        <x:f>KOHC!F144</x:f>
        <x:v>4.275379143771386</x:v>
      </x:c>
      <x:c r="N77" s="178" t="str">
        <x:f>IF(AND(ABS(F77-I77)&lt;0.000001,ABS(G77-J77)&lt;0.000001,IF(ISNUMBER(L77),IF(ISNUMBER(M77),ABS(L77-M77)&lt;0.00000001,FALSE),M77=L77)),"PASS","FAIL")</x:f>
        <x:v>PASS</x:v>
      </x:c>
      <x:c r="O77" s="99" t="str"/>
      <x:c r="P77" s="76" t="str">
        <x:v>Asset Management</x:v>
      </x:c>
    </x:row>
    <x:row r="78" ht="26" customHeight="1">
      <x:c r="A78" s="168" t="str">
        <x:v>KOHC</x:v>
      </x:c>
      <x:c r="B78" s="168" t="n">
        <x:v>2023</x:v>
      </x:c>
      <x:c r="C78" s="168" t="n">
        <x:v>7</x:v>
      </x:c>
      <x:c r="D78" s="168" t="str">
        <x:v>Receivables turnover</x:v>
      </x:c>
      <x:c r="E78" s="168" t="str">
        <x:v>Additional</x:v>
      </x:c>
      <x:c r="F78" s="169" t="n">
        <x:f>KOHC!F84</x:f>
        <x:v>38921.63535</x:v>
      </x:c>
      <x:c r="G78" s="169" t="n">
        <x:f>AVERAGE(KOHC!E32,KOHC!F32)</x:f>
        <x:v>1060.796422</x:v>
      </x:c>
      <x:c r="H78" s="169" t="n">
        <x:f>IF(G78&lt;=0,"n/m",F78/G78)</x:f>
        <x:v>36.690956476472735</x:v>
      </x:c>
      <x:c r="I78" s="169" t="n">
        <x:v>38921.63535</x:v>
      </x:c>
      <x:c r="J78" s="169" t="n">
        <x:v>1060.796422</x:v>
      </x:c>
      <x:c r="K78" s="169" t="n">
        <x:v>36.690956476472735</x:v>
      </x:c>
      <x:c r="L78" s="175" t="n">
        <x:v>36.690956476472735</x:v>
      </x:c>
      <x:c r="M78" s="175" t="n">
        <x:f>KOHC!F145</x:f>
        <x:v>36.690956476472735</x:v>
      </x:c>
      <x:c r="N78" s="176" t="str">
        <x:f>IF(AND(ABS(F78-I78)&lt;0.000001,ABS(G78-J78)&lt;0.000001,IF(ISNUMBER(L78),IF(ISNUMBER(M78),ABS(L78-M78)&lt;0.00000001,FALSE),M78=L78)),"PASS","FAIL")</x:f>
        <x:v>PASS</x:v>
      </x:c>
      <x:c r="O78" s="171" t="str"/>
      <x:c r="P78" s="168" t="str">
        <x:v>Asset Management</x:v>
      </x:c>
    </x:row>
    <x:row r="79" ht="26" customHeight="1">
      <x:c r="A79" s="76" t="str">
        <x:v>KOHC</x:v>
      </x:c>
      <x:c r="B79" s="76" t="n">
        <x:v>2023</x:v>
      </x:c>
      <x:c r="C79" s="76" t="n">
        <x:v>8</x:v>
      </x:c>
      <x:c r="D79" s="76" t="str">
        <x:v>Payables turnover</x:v>
      </x:c>
      <x:c r="E79" s="76" t="str">
        <x:v>Additional</x:v>
      </x:c>
      <x:c r="F79" s="170" t="n">
        <x:f>-KOHC!F85</x:f>
        <x:v>28488.941331</x:v>
      </x:c>
      <x:c r="G79" s="170" t="n">
        <x:f>AVERAGE(KOHC!E51,KOHC!F51)</x:f>
        <x:v>978.1170404999999</x:v>
      </x:c>
      <x:c r="H79" s="170" t="n">
        <x:f>IF(G79&lt;=0,"n/m",F79/G79)</x:f>
        <x:v>29.126311219807445</x:v>
      </x:c>
      <x:c r="I79" s="170" t="n">
        <x:v>28488.941331</x:v>
      </x:c>
      <x:c r="J79" s="170" t="n">
        <x:v>978.1170404999999</x:v>
      </x:c>
      <x:c r="K79" s="170" t="n">
        <x:v>29.126311219807445</x:v>
      </x:c>
      <x:c r="L79" s="177" t="n">
        <x:v>29.126311219807445</x:v>
      </x:c>
      <x:c r="M79" s="177" t="n">
        <x:f>KOHC!F146</x:f>
        <x:v>29.126311219807445</x:v>
      </x:c>
      <x:c r="N79" s="178" t="str">
        <x:f>IF(AND(ABS(F79-I79)&lt;0.000001,ABS(G79-J79)&lt;0.000001,IF(ISNUMBER(L79),IF(ISNUMBER(M79),ABS(L79-M79)&lt;0.00000001,FALSE),M79=L79)),"PASS","FAIL")</x:f>
        <x:v>PASS</x:v>
      </x:c>
      <x:c r="O79" s="99" t="str"/>
      <x:c r="P79" s="76" t="str">
        <x:v>Asset Management</x:v>
      </x:c>
    </x:row>
    <x:row r="80" ht="26" customHeight="1">
      <x:c r="A80" s="168" t="str">
        <x:v>KOHC</x:v>
      </x:c>
      <x:c r="B80" s="168" t="n">
        <x:v>2023</x:v>
      </x:c>
      <x:c r="C80" s="168" t="n">
        <x:v>9</x:v>
      </x:c>
      <x:c r="D80" s="168" t="str">
        <x:v>Days inventory outstanding</x:v>
      </x:c>
      <x:c r="E80" s="168" t="str">
        <x:v>Additional</x:v>
      </x:c>
      <x:c r="F80" s="169" t="n">
        <x:f>365*AVERAGE(KOHC!E65,KOHC!F65)</x:f>
        <x:v>2432173.43682</x:v>
      </x:c>
      <x:c r="G80" s="169" t="n">
        <x:f>-KOHC!F85</x:f>
        <x:v>28488.941331</x:v>
      </x:c>
      <x:c r="H80" s="169" t="n">
        <x:f>IF(G80&lt;=0,"n/m",F80/G80)</x:f>
        <x:v>85.37254538740795</x:v>
      </x:c>
      <x:c r="I80" s="169" t="n">
        <x:v>2432173.43682</x:v>
      </x:c>
      <x:c r="J80" s="169" t="n">
        <x:v>28488.941331</x:v>
      </x:c>
      <x:c r="K80" s="169" t="n">
        <x:v>85.37254538740795</x:v>
      </x:c>
      <x:c r="L80" s="175" t="n">
        <x:v>85.37254538740795</x:v>
      </x:c>
      <x:c r="M80" s="175" t="n">
        <x:f>KOHC!F147</x:f>
        <x:v>85.37254538740795</x:v>
      </x:c>
      <x:c r="N80" s="176" t="str">
        <x:f>IF(AND(ABS(F80-I80)&lt;0.000001,ABS(G80-J80)&lt;0.000001,IF(ISNUMBER(L80),IF(ISNUMBER(M80),ABS(L80-M80)&lt;0.00000001,FALSE),M80=L80)),"PASS","FAIL")</x:f>
        <x:v>PASS</x:v>
      </x:c>
      <x:c r="O80" s="171" t="str"/>
      <x:c r="P80" s="168" t="str">
        <x:v>Asset Management</x:v>
      </x:c>
    </x:row>
    <x:row r="81" ht="26" customHeight="1">
      <x:c r="A81" s="76" t="str">
        <x:v>KOHC</x:v>
      </x:c>
      <x:c r="B81" s="76" t="n">
        <x:v>2023</x:v>
      </x:c>
      <x:c r="C81" s="76" t="n">
        <x:v>10</x:v>
      </x:c>
      <x:c r="D81" s="76" t="str">
        <x:v>Days sales outstanding</x:v>
      </x:c>
      <x:c r="E81" s="76" t="str">
        <x:v>Mandatory</x:v>
      </x:c>
      <x:c r="F81" s="170" t="n">
        <x:f>365*AVERAGE(KOHC!E32,KOHC!F32)</x:f>
        <x:v>387190.69402999996</x:v>
      </x:c>
      <x:c r="G81" s="170" t="n">
        <x:f>KOHC!F84</x:f>
        <x:v>38921.63535</x:v>
      </x:c>
      <x:c r="H81" s="170" t="n">
        <x:f>IF(G81&lt;=0,"n/m",F81/G81)</x:f>
        <x:v>9.947955437848785</x:v>
      </x:c>
      <x:c r="I81" s="170" t="n">
        <x:v>387190.69402999996</x:v>
      </x:c>
      <x:c r="J81" s="170" t="n">
        <x:v>38921.63535</x:v>
      </x:c>
      <x:c r="K81" s="170" t="n">
        <x:v>9.947955437848785</x:v>
      </x:c>
      <x:c r="L81" s="177" t="n">
        <x:v>9.947955437848785</x:v>
      </x:c>
      <x:c r="M81" s="177" t="n">
        <x:f>KOHC!F148</x:f>
        <x:v>9.947955437848785</x:v>
      </x:c>
      <x:c r="N81" s="178" t="str">
        <x:f>IF(AND(ABS(F81-I81)&lt;0.000001,ABS(G81-J81)&lt;0.000001,IF(ISNUMBER(L81),IF(ISNUMBER(M81),ABS(L81-M81)&lt;0.00000001,FALSE),M81=L81)),"PASS","FAIL")</x:f>
        <x:v>PASS</x:v>
      </x:c>
      <x:c r="O81" s="99" t="str"/>
      <x:c r="P81" s="76" t="str">
        <x:v>Asset Management</x:v>
      </x:c>
    </x:row>
    <x:row r="82" ht="26" customHeight="1">
      <x:c r="A82" s="168" t="str">
        <x:v>KOHC</x:v>
      </x:c>
      <x:c r="B82" s="168" t="n">
        <x:v>2023</x:v>
      </x:c>
      <x:c r="C82" s="168" t="n">
        <x:v>11</x:v>
      </x:c>
      <x:c r="D82" s="168" t="str">
        <x:v>Days payables outstanding</x:v>
      </x:c>
      <x:c r="E82" s="168" t="str">
        <x:v>Additional</x:v>
      </x:c>
      <x:c r="F82" s="169" t="n">
        <x:f>365*AVERAGE(KOHC!E51,KOHC!F51)</x:f>
        <x:v>357012.71978249995</x:v>
      </x:c>
      <x:c r="G82" s="169" t="n">
        <x:f>-KOHC!F85</x:f>
        <x:v>28488.941331</x:v>
      </x:c>
      <x:c r="H82" s="169" t="n">
        <x:f>IF(G82&lt;=0,"n/m",F82/G82)</x:f>
        <x:v>12.531624662163896</x:v>
      </x:c>
      <x:c r="I82" s="169" t="n">
        <x:v>357012.71978249995</x:v>
      </x:c>
      <x:c r="J82" s="169" t="n">
        <x:v>28488.941331</x:v>
      </x:c>
      <x:c r="K82" s="169" t="n">
        <x:v>12.531624662163896</x:v>
      </x:c>
      <x:c r="L82" s="175" t="n">
        <x:v>12.531624662163896</x:v>
      </x:c>
      <x:c r="M82" s="175" t="n">
        <x:f>KOHC!F149</x:f>
        <x:v>12.531624662163896</x:v>
      </x:c>
      <x:c r="N82" s="176" t="str">
        <x:f>IF(AND(ABS(F82-I82)&lt;0.000001,ABS(G82-J82)&lt;0.000001,IF(ISNUMBER(L82),IF(ISNUMBER(M82),ABS(L82-M82)&lt;0.00000001,FALSE),M82=L82)),"PASS","FAIL")</x:f>
        <x:v>PASS</x:v>
      </x:c>
      <x:c r="O82" s="171" t="str"/>
      <x:c r="P82" s="168" t="str">
        <x:v>Asset Management</x:v>
      </x:c>
    </x:row>
    <x:row r="83" ht="26" customHeight="1">
      <x:c r="A83" s="76" t="str">
        <x:v>KOHC</x:v>
      </x:c>
      <x:c r="B83" s="76" t="n">
        <x:v>2023</x:v>
      </x:c>
      <x:c r="C83" s="76" t="n">
        <x:v>12</x:v>
      </x:c>
      <x:c r="D83" s="76" t="str">
        <x:v>Operating cycle (days)</x:v>
      </x:c>
      <x:c r="E83" s="76" t="str">
        <x:v>Additional</x:v>
      </x:c>
      <x:c r="F83" s="170" t="n">
        <x:f>365*AVERAGE(KOHC!E65,KOHC!F65)/(-KOHC!F85)+365*AVERAGE(KOHC!E32,KOHC!F32)/KOHC!F84</x:f>
        <x:v>95.32050082525674</x:v>
      </x:c>
      <x:c r="G83" s="170" t="n">
        <x:f>1</x:f>
        <x:v>1</x:v>
      </x:c>
      <x:c r="H83" s="170" t="n">
        <x:f>IF(G83&lt;=0,"n/m",F83/G83)</x:f>
        <x:v>95.32050082525674</x:v>
      </x:c>
      <x:c r="I83" s="170" t="n">
        <x:v>95.32050082525674</x:v>
      </x:c>
      <x:c r="J83" s="170" t="n">
        <x:v>1</x:v>
      </x:c>
      <x:c r="K83" s="170" t="n">
        <x:v>95.32050082525674</x:v>
      </x:c>
      <x:c r="L83" s="177" t="n">
        <x:v>95.32050082525674</x:v>
      </x:c>
      <x:c r="M83" s="177" t="n">
        <x:f>KOHC!F150</x:f>
        <x:v>95.32050082525674</x:v>
      </x:c>
      <x:c r="N83" s="178" t="str">
        <x:f>IF(AND(ABS(F83-I83)&lt;0.000001,ABS(G83-J83)&lt;0.000001,IF(ISNUMBER(L83),IF(ISNUMBER(M83),ABS(L83-M83)&lt;0.00000001,FALSE),M83=L83)),"PASS","FAIL")</x:f>
        <x:v>PASS</x:v>
      </x:c>
      <x:c r="O83" s="99" t="str"/>
      <x:c r="P83" s="76" t="str">
        <x:v>Asset Management</x:v>
      </x:c>
    </x:row>
    <x:row r="84" ht="26" customHeight="1">
      <x:c r="A84" s="168" t="str">
        <x:v>KOHC</x:v>
      </x:c>
      <x:c r="B84" s="168" t="n">
        <x:v>2023</x:v>
      </x:c>
      <x:c r="C84" s="168" t="n">
        <x:v>13</x:v>
      </x:c>
      <x:c r="D84" s="168" t="str">
        <x:v>Cash conversion cycle (days)</x:v>
      </x:c>
      <x:c r="E84" s="168" t="str">
        <x:v>Additional</x:v>
      </x:c>
      <x:c r="F84" s="169" t="n">
        <x:f>365*AVERAGE(KOHC!E65,KOHC!F65)/(-KOHC!F85)+365*AVERAGE(KOHC!E32,KOHC!F32)/KOHC!F84-365*AVERAGE(KOHC!E51,KOHC!F51)/(-KOHC!F85)</x:f>
        <x:v>82.78887616309285</x:v>
      </x:c>
      <x:c r="G84" s="169" t="n">
        <x:f>1</x:f>
        <x:v>1</x:v>
      </x:c>
      <x:c r="H84" s="169" t="n">
        <x:f>IF(G84&lt;=0,"n/m",F84/G84)</x:f>
        <x:v>82.78887616309285</x:v>
      </x:c>
      <x:c r="I84" s="169" t="n">
        <x:v>82.78887616309285</x:v>
      </x:c>
      <x:c r="J84" s="169" t="n">
        <x:v>1</x:v>
      </x:c>
      <x:c r="K84" s="169" t="n">
        <x:v>82.78887616309285</x:v>
      </x:c>
      <x:c r="L84" s="175" t="n">
        <x:v>82.78887616309285</x:v>
      </x:c>
      <x:c r="M84" s="175" t="n">
        <x:f>KOHC!F151</x:f>
        <x:v>82.78887616309285</x:v>
      </x:c>
      <x:c r="N84" s="176" t="str">
        <x:f>IF(AND(ABS(F84-I84)&lt;0.000001,ABS(G84-J84)&lt;0.000001,IF(ISNUMBER(L84),IF(ISNUMBER(M84),ABS(L84-M84)&lt;0.00000001,FALSE),M84=L84)),"PASS","FAIL")</x:f>
        <x:v>PASS</x:v>
      </x:c>
      <x:c r="O84" s="171" t="str"/>
      <x:c r="P84" s="168" t="str">
        <x:v>Asset Management</x:v>
      </x:c>
    </x:row>
    <x:row r="85" ht="26" customHeight="1">
      <x:c r="A85" s="76" t="str">
        <x:v>KOHC</x:v>
      </x:c>
      <x:c r="B85" s="76" t="n">
        <x:v>2023</x:v>
      </x:c>
      <x:c r="C85" s="76" t="n">
        <x:v>14</x:v>
      </x:c>
      <x:c r="D85" s="76" t="str">
        <x:v>Total asset turnover</x:v>
      </x:c>
      <x:c r="E85" s="76" t="str">
        <x:v>Mandatory</x:v>
      </x:c>
      <x:c r="F85" s="170" t="n">
        <x:f>KOHC!F84</x:f>
        <x:v>38921.63535</x:v>
      </x:c>
      <x:c r="G85" s="170" t="n">
        <x:f>AVERAGE(KOHC!E37,KOHC!F37)</x:f>
        <x:v>46440.3716945</x:v>
      </x:c>
      <x:c r="H85" s="170" t="n">
        <x:f>IF(G85&lt;=0,"n/m",F85/G85)</x:f>
        <x:v>0.838099135080987</x:v>
      </x:c>
      <x:c r="I85" s="170" t="n">
        <x:v>38921.63535</x:v>
      </x:c>
      <x:c r="J85" s="170" t="n">
        <x:v>46440.3716945</x:v>
      </x:c>
      <x:c r="K85" s="170" t="n">
        <x:v>0.838099135080987</x:v>
      </x:c>
      <x:c r="L85" s="177" t="n">
        <x:v>0.838099135080987</x:v>
      </x:c>
      <x:c r="M85" s="177" t="n">
        <x:f>KOHC!F152</x:f>
        <x:v>0.838099135080987</x:v>
      </x:c>
      <x:c r="N85" s="178" t="str">
        <x:f>IF(AND(ABS(F85-I85)&lt;0.000001,ABS(G85-J85)&lt;0.000001,IF(ISNUMBER(L85),IF(ISNUMBER(M85),ABS(L85-M85)&lt;0.00000001,FALSE),M85=L85)),"PASS","FAIL")</x:f>
        <x:v>PASS</x:v>
      </x:c>
      <x:c r="O85" s="99" t="str"/>
      <x:c r="P85" s="76" t="str">
        <x:v>Asset Management</x:v>
      </x:c>
    </x:row>
    <x:row r="86" ht="26" customHeight="1">
      <x:c r="A86" s="168" t="str">
        <x:v>KOHC</x:v>
      </x:c>
      <x:c r="B86" s="168" t="n">
        <x:v>2023</x:v>
      </x:c>
      <x:c r="C86" s="168" t="n">
        <x:v>15</x:v>
      </x:c>
      <x:c r="D86" s="168" t="str">
        <x:v>Fixed asset turnover</x:v>
      </x:c>
      <x:c r="E86" s="168" t="str">
        <x:v>Mandatory</x:v>
      </x:c>
      <x:c r="F86" s="169" t="n">
        <x:f>KOHC!F84</x:f>
        <x:v>38921.63535</x:v>
      </x:c>
      <x:c r="G86" s="169" t="n">
        <x:f>AVERAGE(KOHC!E22,KOHC!F22)</x:f>
        <x:v>20743.4066485</x:v>
      </x:c>
      <x:c r="H86" s="169" t="n">
        <x:f>IF(G86&lt;=0,"n/m",F86/G86)</x:f>
        <x:v>1.876337672472641</x:v>
      </x:c>
      <x:c r="I86" s="169" t="n">
        <x:v>38921.63535</x:v>
      </x:c>
      <x:c r="J86" s="169" t="n">
        <x:v>20743.4066485</x:v>
      </x:c>
      <x:c r="K86" s="169" t="n">
        <x:v>1.876337672472641</x:v>
      </x:c>
      <x:c r="L86" s="175" t="n">
        <x:v>1.876337672472641</x:v>
      </x:c>
      <x:c r="M86" s="175" t="n">
        <x:f>KOHC!F153</x:f>
        <x:v>1.876337672472641</x:v>
      </x:c>
      <x:c r="N86" s="176" t="str">
        <x:f>IF(AND(ABS(F86-I86)&lt;0.000001,ABS(G86-J86)&lt;0.000001,IF(ISNUMBER(L86),IF(ISNUMBER(M86),ABS(L86-M86)&lt;0.00000001,FALSE),M86=L86)),"PASS","FAIL")</x:f>
        <x:v>PASS</x:v>
      </x:c>
      <x:c r="O86" s="171" t="str"/>
      <x:c r="P86" s="168" t="str">
        <x:v>Asset Management</x:v>
      </x:c>
    </x:row>
    <x:row r="87" ht="26" customHeight="1">
      <x:c r="A87" s="76" t="str">
        <x:v>KOHC</x:v>
      </x:c>
      <x:c r="B87" s="76" t="n">
        <x:v>2023</x:v>
      </x:c>
      <x:c r="C87" s="76" t="n">
        <x:v>16</x:v>
      </x:c>
      <x:c r="D87" s="76" t="str">
        <x:v>Debt ratio</x:v>
      </x:c>
      <x:c r="E87" s="76" t="str">
        <x:v>Mandatory</x:v>
      </x:c>
      <x:c r="F87" s="170" t="n">
        <x:f>KOHC!F62</x:f>
        <x:v>16920.030573</x:v>
      </x:c>
      <x:c r="G87" s="170" t="n">
        <x:f>KOHC!F37</x:f>
        <x:v>49530.075545</x:v>
      </x:c>
      <x:c r="H87" s="170" t="n">
        <x:f>IF(G87&lt;=0,"n/m",F87/G87)</x:f>
        <x:v>0.3416112409848334</x:v>
      </x:c>
      <x:c r="I87" s="170" t="n">
        <x:v>16920.030573</x:v>
      </x:c>
      <x:c r="J87" s="170" t="n">
        <x:v>49530.075545</x:v>
      </x:c>
      <x:c r="K87" s="170" t="n">
        <x:v>0.3416112409848334</x:v>
      </x:c>
      <x:c r="L87" s="177" t="n">
        <x:v>0.3416112409848334</x:v>
      </x:c>
      <x:c r="M87" s="177" t="n">
        <x:f>KOHC!F155</x:f>
        <x:v>0.3416112409848334</x:v>
      </x:c>
      <x:c r="N87" s="178" t="str">
        <x:f>IF(AND(ABS(F87-I87)&lt;0.000001,ABS(G87-J87)&lt;0.000001,IF(ISNUMBER(L87),IF(ISNUMBER(M87),ABS(L87-M87)&lt;0.00000001,FALSE),M87=L87)),"PASS","FAIL")</x:f>
        <x:v>PASS</x:v>
      </x:c>
      <x:c r="O87" s="99" t="str"/>
      <x:c r="P87" s="76" t="str">
        <x:v>Debt Management</x:v>
      </x:c>
    </x:row>
    <x:row r="88" ht="26" customHeight="1">
      <x:c r="A88" s="168" t="str">
        <x:v>KOHC</x:v>
      </x:c>
      <x:c r="B88" s="168" t="n">
        <x:v>2023</x:v>
      </x:c>
      <x:c r="C88" s="168" t="n">
        <x:v>17</x:v>
      </x:c>
      <x:c r="D88" s="168" t="str">
        <x:v>Debt-to-equity</x:v>
      </x:c>
      <x:c r="E88" s="168" t="str">
        <x:v>Mandatory</x:v>
      </x:c>
      <x:c r="F88" s="169" t="n">
        <x:f>KOHC!F62</x:f>
        <x:v>16920.030573</x:v>
      </x:c>
      <x:c r="G88" s="169" t="n">
        <x:f>KOHC!F41</x:f>
        <x:v>32610.044972</x:v>
      </x:c>
      <x:c r="H88" s="169" t="n">
        <x:f>IF(G88&lt;=0,"n/m",F88/G88)</x:f>
        <x:v>0.5188594676127575</x:v>
      </x:c>
      <x:c r="I88" s="169" t="n">
        <x:v>16920.030573</x:v>
      </x:c>
      <x:c r="J88" s="169" t="n">
        <x:v>32610.044972</x:v>
      </x:c>
      <x:c r="K88" s="169" t="n">
        <x:v>0.5188594676127575</x:v>
      </x:c>
      <x:c r="L88" s="175" t="n">
        <x:v>0.5188594676127575</x:v>
      </x:c>
      <x:c r="M88" s="175" t="n">
        <x:f>KOHC!F156</x:f>
        <x:v>0.5188594676127575</x:v>
      </x:c>
      <x:c r="N88" s="176" t="str">
        <x:f>IF(AND(ABS(F88-I88)&lt;0.000001,ABS(G88-J88)&lt;0.000001,IF(ISNUMBER(L88),IF(ISNUMBER(M88),ABS(L88-M88)&lt;0.00000001,FALSE),M88=L88)),"PASS","FAIL")</x:f>
        <x:v>PASS</x:v>
      </x:c>
      <x:c r="O88" s="171" t="str"/>
      <x:c r="P88" s="168" t="str">
        <x:v>Debt Management</x:v>
      </x:c>
    </x:row>
    <x:row r="89" ht="26" customHeight="1">
      <x:c r="A89" s="76" t="str">
        <x:v>KOHC</x:v>
      </x:c>
      <x:c r="B89" s="76" t="n">
        <x:v>2023</x:v>
      </x:c>
      <x:c r="C89" s="76" t="n">
        <x:v>18</x:v>
      </x:c>
      <x:c r="D89" s="76" t="str">
        <x:v>Total debt-to-capital</x:v>
      </x:c>
      <x:c r="E89" s="76" t="str">
        <x:v>Additional</x:v>
      </x:c>
      <x:c r="F89" s="170" t="n">
        <x:f>KOHC!F66</x:f>
        <x:v>3183.373248</x:v>
      </x:c>
      <x:c r="G89" s="170" t="n">
        <x:f>KOHC!F66+KOHC!F41</x:f>
        <x:v>35793.41822</x:v>
      </x:c>
      <x:c r="H89" s="170" t="n">
        <x:f>IF(G89&lt;=0,"n/m",F89/G89)</x:f>
        <x:v>0.08893739146213345</x:v>
      </x:c>
      <x:c r="I89" s="170" t="n">
        <x:v>3183.373248</x:v>
      </x:c>
      <x:c r="J89" s="170" t="n">
        <x:v>35793.41822</x:v>
      </x:c>
      <x:c r="K89" s="170" t="n">
        <x:v>0.08893739146213345</x:v>
      </x:c>
      <x:c r="L89" s="177" t="n">
        <x:v>0.08893739146213345</x:v>
      </x:c>
      <x:c r="M89" s="177" t="n">
        <x:f>KOHC!F157</x:f>
        <x:v>0.08893739146213345</x:v>
      </x:c>
      <x:c r="N89" s="178" t="str">
        <x:f>IF(AND(ABS(F89-I89)&lt;0.000001,ABS(G89-J89)&lt;0.000001,IF(ISNUMBER(L89),IF(ISNUMBER(M89),ABS(L89-M89)&lt;0.00000001,FALSE),M89=L89)),"PASS","FAIL")</x:f>
        <x:v>PASS</x:v>
      </x:c>
      <x:c r="O89" s="99" t="str"/>
      <x:c r="P89" s="76" t="str">
        <x:v>Debt Management</x:v>
      </x:c>
    </x:row>
    <x:row r="90" ht="26" customHeight="1">
      <x:c r="A90" s="168" t="str">
        <x:v>KOHC</x:v>
      </x:c>
      <x:c r="B90" s="168" t="n">
        <x:v>2023</x:v>
      </x:c>
      <x:c r="C90" s="168" t="n">
        <x:v>19</x:v>
      </x:c>
      <x:c r="D90" s="168" t="str">
        <x:v>Long-term debt ratio</x:v>
      </x:c>
      <x:c r="E90" s="168" t="str">
        <x:v>Additional</x:v>
      </x:c>
      <x:c r="F90" s="169" t="n">
        <x:f>KOHC!F67</x:f>
        <x:v>2149.017375</x:v>
      </x:c>
      <x:c r="G90" s="169" t="n">
        <x:f>KOHC!F37</x:f>
        <x:v>49530.075545</x:v>
      </x:c>
      <x:c r="H90" s="169" t="n">
        <x:f>IF(G90&lt;=0,"n/m",F90/G90)</x:f>
        <x:v>0.04338813037035516</x:v>
      </x:c>
      <x:c r="I90" s="169" t="n">
        <x:v>2149.017375</x:v>
      </x:c>
      <x:c r="J90" s="169" t="n">
        <x:v>49530.075545</x:v>
      </x:c>
      <x:c r="K90" s="169" t="n">
        <x:v>0.04338813037035516</x:v>
      </x:c>
      <x:c r="L90" s="175" t="n">
        <x:v>0.04338813037035516</x:v>
      </x:c>
      <x:c r="M90" s="175" t="n">
        <x:f>KOHC!F158</x:f>
        <x:v>0.04338813037035516</x:v>
      </x:c>
      <x:c r="N90" s="176" t="str">
        <x:f>IF(AND(ABS(F90-I90)&lt;0.000001,ABS(G90-J90)&lt;0.000001,IF(ISNUMBER(L90),IF(ISNUMBER(M90),ABS(L90-M90)&lt;0.00000001,FALSE),M90=L90)),"PASS","FAIL")</x:f>
        <x:v>PASS</x:v>
      </x:c>
      <x:c r="O90" s="171" t="str"/>
      <x:c r="P90" s="168" t="str">
        <x:v>Debt Management</x:v>
      </x:c>
    </x:row>
    <x:row r="91" ht="26" customHeight="1">
      <x:c r="A91" s="76" t="str">
        <x:v>KOHC</x:v>
      </x:c>
      <x:c r="B91" s="76" t="n">
        <x:v>2023</x:v>
      </x:c>
      <x:c r="C91" s="76" t="n">
        <x:v>20</x:v>
      </x:c>
      <x:c r="D91" s="76" t="str">
        <x:v>Times interest earned</x:v>
      </x:c>
      <x:c r="E91" s="76" t="str">
        <x:v>Mandatory</x:v>
      </x:c>
      <x:c r="F91" s="170" t="n">
        <x:f>KOHC!F108</x:f>
        <x:v>11209.635599999996</x:v>
      </x:c>
      <x:c r="G91" s="170" t="n">
        <x:f>KOHC!F106</x:f>
        <x:v>683.563329</x:v>
      </x:c>
      <x:c r="H91" s="170" t="n">
        <x:f>IF(G91&lt;=0,"n/m",F91/G91)</x:f>
        <x:v>16.398825279873954</x:v>
      </x:c>
      <x:c r="I91" s="170" t="n">
        <x:v>11209.635599999996</x:v>
      </x:c>
      <x:c r="J91" s="170" t="n">
        <x:v>683.563329</x:v>
      </x:c>
      <x:c r="K91" s="170" t="n">
        <x:v>16.398825279873954</x:v>
      </x:c>
      <x:c r="L91" s="177" t="n">
        <x:v>16.398825279873954</x:v>
      </x:c>
      <x:c r="M91" s="177" t="n">
        <x:f>KOHC!F159</x:f>
        <x:v>16.398825279873954</x:v>
      </x:c>
      <x:c r="N91" s="178" t="str">
        <x:f>IF(AND(ABS(F91-I91)&lt;0.000001,ABS(G91-J91)&lt;0.000001,IF(ISNUMBER(L91),IF(ISNUMBER(M91),ABS(L91-M91)&lt;0.00000001,FALSE),M91=L91)),"PASS","FAIL")</x:f>
        <x:v>PASS</x:v>
      </x:c>
      <x:c r="O91" s="99" t="str"/>
      <x:c r="P91" s="76" t="str">
        <x:v>Debt Management</x:v>
      </x:c>
    </x:row>
    <x:row r="92" ht="26" customHeight="1">
      <x:c r="A92" s="168" t="str">
        <x:v>KOHC</x:v>
      </x:c>
      <x:c r="B92" s="168" t="n">
        <x:v>2023</x:v>
      </x:c>
      <x:c r="C92" s="168" t="n">
        <x:v>21</x:v>
      </x:c>
      <x:c r="D92" s="168" t="str">
        <x:v>Gross profit margin</x:v>
      </x:c>
      <x:c r="E92" s="168" t="str">
        <x:v>Mandatory</x:v>
      </x:c>
      <x:c r="F92" s="169" t="n">
        <x:f>KOHC!F86</x:f>
        <x:v>10432.694018999995</x:v>
      </x:c>
      <x:c r="G92" s="169" t="n">
        <x:f>KOHC!F84</x:f>
        <x:v>38921.63535</x:v>
      </x:c>
      <x:c r="H92" s="169" t="n">
        <x:f>IF(G92&lt;=0,"n/m",F92/G92)</x:f>
        <x:v>0.2680435681898961</x:v>
      </x:c>
      <x:c r="I92" s="169" t="n">
        <x:v>10432.694018999995</x:v>
      </x:c>
      <x:c r="J92" s="169" t="n">
        <x:v>38921.63535</x:v>
      </x:c>
      <x:c r="K92" s="169" t="n">
        <x:v>0.2680435681898961</x:v>
      </x:c>
      <x:c r="L92" s="175" t="n">
        <x:v>0.2680435681898961</x:v>
      </x:c>
      <x:c r="M92" s="175" t="n">
        <x:f>KOHC!F161</x:f>
        <x:v>0.2680435681898961</x:v>
      </x:c>
      <x:c r="N92" s="176" t="str">
        <x:f>IF(AND(ABS(F92-I92)&lt;0.000001,ABS(G92-J92)&lt;0.000001,IF(ISNUMBER(L92),IF(ISNUMBER(M92),ABS(L92-M92)&lt;0.00000001,FALSE),M92=L92)),"PASS","FAIL")</x:f>
        <x:v>PASS</x:v>
      </x:c>
      <x:c r="O92" s="171" t="str"/>
      <x:c r="P92" s="168" t="str">
        <x:v>Profitability</x:v>
      </x:c>
    </x:row>
    <x:row r="93" ht="26" customHeight="1">
      <x:c r="A93" s="76" t="str">
        <x:v>KOHC</x:v>
      </x:c>
      <x:c r="B93" s="76" t="n">
        <x:v>2023</x:v>
      </x:c>
      <x:c r="C93" s="76" t="n">
        <x:v>22</x:v>
      </x:c>
      <x:c r="D93" s="76" t="str">
        <x:v>Operating margin</x:v>
      </x:c>
      <x:c r="E93" s="76" t="str">
        <x:v>Mandatory</x:v>
      </x:c>
      <x:c r="F93" s="170" t="n">
        <x:f>KOHC!F91</x:f>
        <x:v>9123.827546999995</x:v>
      </x:c>
      <x:c r="G93" s="170" t="n">
        <x:f>KOHC!F84</x:f>
        <x:v>38921.63535</x:v>
      </x:c>
      <x:c r="H93" s="170" t="n">
        <x:f>IF(G93&lt;=0,"n/m",F93/G93)</x:f>
        <x:v>0.23441531849714523</x:v>
      </x:c>
      <x:c r="I93" s="170" t="n">
        <x:v>9123.827546999995</x:v>
      </x:c>
      <x:c r="J93" s="170" t="n">
        <x:v>38921.63535</x:v>
      </x:c>
      <x:c r="K93" s="170" t="n">
        <x:v>0.23441531849714523</x:v>
      </x:c>
      <x:c r="L93" s="177" t="n">
        <x:v>0.23441531849714523</x:v>
      </x:c>
      <x:c r="M93" s="177" t="n">
        <x:f>KOHC!F162</x:f>
        <x:v>0.23441531849714523</x:v>
      </x:c>
      <x:c r="N93" s="178" t="str">
        <x:f>IF(AND(ABS(F93-I93)&lt;0.000001,ABS(G93-J93)&lt;0.000001,IF(ISNUMBER(L93),IF(ISNUMBER(M93),ABS(L93-M93)&lt;0.00000001,FALSE),M93=L93)),"PASS","FAIL")</x:f>
        <x:v>PASS</x:v>
      </x:c>
      <x:c r="O93" s="99" t="str"/>
      <x:c r="P93" s="76" t="str">
        <x:v>Profitability</x:v>
      </x:c>
    </x:row>
    <x:row r="94" ht="26" customHeight="1">
      <x:c r="A94" s="168" t="str">
        <x:v>KOHC</x:v>
      </x:c>
      <x:c r="B94" s="168" t="n">
        <x:v>2023</x:v>
      </x:c>
      <x:c r="C94" s="168" t="n">
        <x:v>23</x:v>
      </x:c>
      <x:c r="D94" s="168" t="str">
        <x:v>Net profit margin</x:v>
      </x:c>
      <x:c r="E94" s="168" t="str">
        <x:v>Mandatory</x:v>
      </x:c>
      <x:c r="F94" s="169" t="n">
        <x:f>KOHC!F99</x:f>
        <x:v>5820.7511449999965</x:v>
      </x:c>
      <x:c r="G94" s="169" t="n">
        <x:f>KOHC!F84</x:f>
        <x:v>38921.63535</x:v>
      </x:c>
      <x:c r="H94" s="169" t="n">
        <x:f>IF(G94&lt;=0,"n/m",F94/G94)</x:f>
        <x:v>0.14955052871384544</x:v>
      </x:c>
      <x:c r="I94" s="169" t="n">
        <x:v>5820.7511449999965</x:v>
      </x:c>
      <x:c r="J94" s="169" t="n">
        <x:v>38921.63535</x:v>
      </x:c>
      <x:c r="K94" s="169" t="n">
        <x:v>0.14955052871384544</x:v>
      </x:c>
      <x:c r="L94" s="175" t="n">
        <x:v>0.14955052871384544</x:v>
      </x:c>
      <x:c r="M94" s="175" t="n">
        <x:f>KOHC!F163</x:f>
        <x:v>0.14955052871384544</x:v>
      </x:c>
      <x:c r="N94" s="176" t="str">
        <x:f>IF(AND(ABS(F94-I94)&lt;0.000001,ABS(G94-J94)&lt;0.000001,IF(ISNUMBER(L94),IF(ISNUMBER(M94),ABS(L94-M94)&lt;0.00000001,FALSE),M94=L94)),"PASS","FAIL")</x:f>
        <x:v>PASS</x:v>
      </x:c>
      <x:c r="O94" s="171" t="str"/>
      <x:c r="P94" s="168" t="str">
        <x:v>Profitability</x:v>
      </x:c>
    </x:row>
    <x:row r="95" ht="26" customHeight="1">
      <x:c r="A95" s="76" t="str">
        <x:v>KOHC</x:v>
      </x:c>
      <x:c r="B95" s="76" t="n">
        <x:v>2023</x:v>
      </x:c>
      <x:c r="C95" s="76" t="n">
        <x:v>24</x:v>
      </x:c>
      <x:c r="D95" s="76" t="str">
        <x:v>Return on assets</x:v>
      </x:c>
      <x:c r="E95" s="76" t="str">
        <x:v>Mandatory</x:v>
      </x:c>
      <x:c r="F95" s="170" t="n">
        <x:f>KOHC!F99</x:f>
        <x:v>5820.7511449999965</x:v>
      </x:c>
      <x:c r="G95" s="170" t="n">
        <x:f>AVERAGE(KOHC!E37,KOHC!F37)</x:f>
        <x:v>46440.3716945</x:v>
      </x:c>
      <x:c r="H95" s="170" t="n">
        <x:f>IF(G95&lt;=0,"n/m",F95/G95)</x:f>
        <x:v>0.12533816876597817</x:v>
      </x:c>
      <x:c r="I95" s="170" t="n">
        <x:v>5820.7511449999965</x:v>
      </x:c>
      <x:c r="J95" s="170" t="n">
        <x:v>46440.3716945</x:v>
      </x:c>
      <x:c r="K95" s="170" t="n">
        <x:v>0.12533816876597817</x:v>
      </x:c>
      <x:c r="L95" s="177" t="n">
        <x:v>0.12533816876597817</x:v>
      </x:c>
      <x:c r="M95" s="177" t="n">
        <x:f>KOHC!F164</x:f>
        <x:v>0.12533816876597817</x:v>
      </x:c>
      <x:c r="N95" s="178" t="str">
        <x:f>IF(AND(ABS(F95-I95)&lt;0.000001,ABS(G95-J95)&lt;0.000001,IF(ISNUMBER(L95),IF(ISNUMBER(M95),ABS(L95-M95)&lt;0.00000001,FALSE),M95=L95)),"PASS","FAIL")</x:f>
        <x:v>PASS</x:v>
      </x:c>
      <x:c r="O95" s="99" t="str"/>
      <x:c r="P95" s="76" t="str">
        <x:v>Profitability</x:v>
      </x:c>
    </x:row>
    <x:row r="96" ht="26" customHeight="1">
      <x:c r="A96" s="168" t="str">
        <x:v>KOHC</x:v>
      </x:c>
      <x:c r="B96" s="168" t="n">
        <x:v>2023</x:v>
      </x:c>
      <x:c r="C96" s="168" t="n">
        <x:v>25</x:v>
      </x:c>
      <x:c r="D96" s="168" t="str">
        <x:v>Return on equity</x:v>
      </x:c>
      <x:c r="E96" s="168" t="str">
        <x:v>Mandatory</x:v>
      </x:c>
      <x:c r="F96" s="169" t="n">
        <x:f>KOHC!F99</x:f>
        <x:v>5820.7511449999965</x:v>
      </x:c>
      <x:c r="G96" s="169" t="n">
        <x:f>AVERAGE(KOHC!E41,KOHC!F41)</x:f>
        <x:v>29928.1326015</x:v>
      </x:c>
      <x:c r="H96" s="169" t="n">
        <x:f>IF(G96&lt;=0,"n/m",F96/G96)</x:f>
        <x:v>0.1944909568032407</x:v>
      </x:c>
      <x:c r="I96" s="169" t="n">
        <x:v>5820.7511449999965</x:v>
      </x:c>
      <x:c r="J96" s="169" t="n">
        <x:v>29928.1326015</x:v>
      </x:c>
      <x:c r="K96" s="169" t="n">
        <x:v>0.1944909568032407</x:v>
      </x:c>
      <x:c r="L96" s="175" t="n">
        <x:v>0.1944909568032407</x:v>
      </x:c>
      <x:c r="M96" s="175" t="n">
        <x:f>KOHC!F165</x:f>
        <x:v>0.1944909568032407</x:v>
      </x:c>
      <x:c r="N96" s="176" t="str">
        <x:f>IF(AND(ABS(F96-I96)&lt;0.000001,ABS(G96-J96)&lt;0.000001,IF(ISNUMBER(L96),IF(ISNUMBER(M96),ABS(L96-M96)&lt;0.00000001,FALSE),M96=L96)),"PASS","FAIL")</x:f>
        <x:v>PASS</x:v>
      </x:c>
      <x:c r="O96" s="171" t="str"/>
      <x:c r="P96" s="168" t="str">
        <x:v>Profitability</x:v>
      </x:c>
    </x:row>
    <x:row r="97" ht="26" customHeight="1">
      <x:c r="A97" s="76" t="str">
        <x:v>KOHC</x:v>
      </x:c>
      <x:c r="B97" s="76" t="n">
        <x:v>2023</x:v>
      </x:c>
      <x:c r="C97" s="76" t="n">
        <x:v>26</x:v>
      </x:c>
      <x:c r="D97" s="76" t="str">
        <x:v>Return on invested capital</x:v>
      </x:c>
      <x:c r="E97" s="76" t="str">
        <x:v>Additional</x:v>
      </x:c>
      <x:c r="F97" s="170" t="n">
        <x:f>KOHC!F113</x:f>
        <x:v>6232.3484683731995</x:v>
      </x:c>
      <x:c r="G97" s="170" t="n">
        <x:f>AVERAGE(KOHC!E70,KOHC!F70)</x:f>
        <x:v>33645.4754625</x:v>
      </x:c>
      <x:c r="H97" s="170" t="n">
        <x:f>IF(G97&lt;=0,"n/m",F97/G97)</x:f>
        <x:v>0.18523585661078099</x:v>
      </x:c>
      <x:c r="I97" s="170" t="n">
        <x:v>6232.3484683731995</x:v>
      </x:c>
      <x:c r="J97" s="170" t="n">
        <x:v>33645.4754625</x:v>
      </x:c>
      <x:c r="K97" s="170" t="n">
        <x:v>0.18523585661078099</x:v>
      </x:c>
      <x:c r="L97" s="177" t="n">
        <x:v>0.18523585661078099</x:v>
      </x:c>
      <x:c r="M97" s="177" t="n">
        <x:f>KOHC!F166</x:f>
        <x:v>0.18523585661078099</x:v>
      </x:c>
      <x:c r="N97" s="178" t="str">
        <x:f>IF(AND(ABS(F97-I97)&lt;0.000001,ABS(G97-J97)&lt;0.000001,IF(ISNUMBER(L97),IF(ISNUMBER(M97),ABS(L97-M97)&lt;0.00000001,FALSE),M97=L97)),"PASS","FAIL")</x:f>
        <x:v>PASS</x:v>
      </x:c>
      <x:c r="O97" s="99" t="str"/>
      <x:c r="P97" s="76" t="str">
        <x:v>Profitability</x:v>
      </x:c>
    </x:row>
    <x:row r="98" ht="26" customHeight="1">
      <x:c r="A98" s="168" t="str">
        <x:v>KOHC</x:v>
      </x:c>
      <x:c r="B98" s="168" t="n">
        <x:v>2023</x:v>
      </x:c>
      <x:c r="C98" s="168" t="n">
        <x:v>27</x:v>
      </x:c>
      <x:c r="D98" s="168" t="str">
        <x:v>Basic earning power</x:v>
      </x:c>
      <x:c r="E98" s="168" t="str">
        <x:v>Additional</x:v>
      </x:c>
      <x:c r="F98" s="169" t="n">
        <x:f>KOHC!F108</x:f>
        <x:v>11209.635599999996</x:v>
      </x:c>
      <x:c r="G98" s="169" t="n">
        <x:f>AVERAGE(KOHC!E37,KOHC!F37)</x:f>
        <x:v>46440.3716945</x:v>
      </x:c>
      <x:c r="H98" s="169" t="n">
        <x:f>IF(G98&lt;=0,"n/m",F98/G98)</x:f>
        <x:v>0.24137695696625033</x:v>
      </x:c>
      <x:c r="I98" s="169" t="n">
        <x:v>11209.635599999996</x:v>
      </x:c>
      <x:c r="J98" s="169" t="n">
        <x:v>46440.3716945</x:v>
      </x:c>
      <x:c r="K98" s="169" t="n">
        <x:v>0.24137695696625033</x:v>
      </x:c>
      <x:c r="L98" s="175" t="n">
        <x:v>0.24137695696625033</x:v>
      </x:c>
      <x:c r="M98" s="175" t="n">
        <x:f>KOHC!F167</x:f>
        <x:v>0.24137695696625033</x:v>
      </x:c>
      <x:c r="N98" s="176" t="str">
        <x:f>IF(AND(ABS(F98-I98)&lt;0.000001,ABS(G98-J98)&lt;0.000001,IF(ISNUMBER(L98),IF(ISNUMBER(M98),ABS(L98-M98)&lt;0.00000001,FALSE),M98=L98)),"PASS","FAIL")</x:f>
        <x:v>PASS</x:v>
      </x:c>
      <x:c r="O98" s="171" t="str"/>
      <x:c r="P98" s="168" t="str">
        <x:v>Profitability</x:v>
      </x:c>
    </x:row>
    <x:row r="99" ht="26" customHeight="1">
      <x:c r="A99" s="76" t="str">
        <x:v>KOHC</x:v>
      </x:c>
      <x:c r="B99" s="76" t="n">
        <x:v>2023</x:v>
      </x:c>
      <x:c r="C99" s="76" t="n">
        <x:v>28</x:v>
      </x:c>
      <x:c r="D99" s="76" t="str">
        <x:v>Book value per share (Rs)</x:v>
      </x:c>
      <x:c r="E99" s="76" t="str">
        <x:v>Additional</x:v>
      </x:c>
      <x:c r="F99" s="170" t="n">
        <x:f>KOHC!F41</x:f>
        <x:v>32610.044972</x:v>
      </x:c>
      <x:c r="G99" s="170" t="n">
        <x:f>KOHC!F128</x:f>
        <x:v>200.86129699999998</x:v>
      </x:c>
      <x:c r="H99" s="170" t="n">
        <x:f>IF(G99&lt;=0,"n/m",F99/G99)</x:f>
        <x:v>162.35106244484723</x:v>
      </x:c>
      <x:c r="I99" s="170" t="n">
        <x:v>32610.044972</x:v>
      </x:c>
      <x:c r="J99" s="170" t="n">
        <x:v>200.86129699999998</x:v>
      </x:c>
      <x:c r="K99" s="170" t="n">
        <x:v>162.35106244484723</x:v>
      </x:c>
      <x:c r="L99" s="177" t="n">
        <x:v>162.35106244484723</x:v>
      </x:c>
      <x:c r="M99" s="177" t="n">
        <x:f>KOHC!F169</x:f>
        <x:v>162.35106244484723</x:v>
      </x:c>
      <x:c r="N99" s="178" t="str">
        <x:f>IF(AND(ABS(F99-I99)&lt;0.000001,ABS(G99-J99)&lt;0.000001,IF(ISNUMBER(L99),IF(ISNUMBER(M99),ABS(L99-M99)&lt;0.00000001,FALSE),M99=L99)),"PASS","FAIL")</x:f>
        <x:v>PASS</x:v>
      </x:c>
      <x:c r="O99" s="99" t="str"/>
      <x:c r="P99" s="76" t="str">
        <x:v>Market Value</x:v>
      </x:c>
    </x:row>
    <x:row r="100" ht="26" customHeight="1">
      <x:c r="A100" s="168" t="str">
        <x:v>KOHC</x:v>
      </x:c>
      <x:c r="B100" s="168" t="n">
        <x:v>2023</x:v>
      </x:c>
      <x:c r="C100" s="168" t="n">
        <x:v>29</x:v>
      </x:c>
      <x:c r="D100" s="168" t="str">
        <x:v>Market-to-book ratio</x:v>
      </x:c>
      <x:c r="E100" s="168" t="str">
        <x:v>Mandatory</x:v>
      </x:c>
      <x:c r="F100" s="169" t="n">
        <x:f>KOHC!F130</x:f>
        <x:v>173.47</x:v>
      </x:c>
      <x:c r="G100" s="169" t="n">
        <x:f>KOHC!F41/KOHC!F128</x:f>
        <x:v>162.35106244484723</x:v>
      </x:c>
      <x:c r="H100" s="169" t="n">
        <x:f>IF(G100&lt;=0,"n/m",F100/G100)</x:f>
        <x:v>1.0684870021034203</x:v>
      </x:c>
      <x:c r="I100" s="169" t="n">
        <x:v>173.47</x:v>
      </x:c>
      <x:c r="J100" s="169" t="n">
        <x:v>162.35106244484723</x:v>
      </x:c>
      <x:c r="K100" s="169" t="n">
        <x:v>1.0684870021034203</x:v>
      </x:c>
      <x:c r="L100" s="175" t="n">
        <x:v>1.0684870021034203</x:v>
      </x:c>
      <x:c r="M100" s="175" t="n">
        <x:f>KOHC!F170</x:f>
        <x:v>1.0684870021034203</x:v>
      </x:c>
      <x:c r="N100" s="176" t="str">
        <x:f>IF(AND(ABS(F100-I100)&lt;0.000001,ABS(G100-J100)&lt;0.000001,IF(ISNUMBER(L100),IF(ISNUMBER(M100),ABS(L100-M100)&lt;0.00000001,FALSE),M100=L100)),"PASS","FAIL")</x:f>
        <x:v>PASS</x:v>
      </x:c>
      <x:c r="O100" s="171" t="str"/>
      <x:c r="P100" s="168" t="str">
        <x:v>Market Value</x:v>
      </x:c>
    </x:row>
    <x:row r="101" ht="26" customHeight="1">
      <x:c r="A101" s="76" t="str">
        <x:v>KOHC</x:v>
      </x:c>
      <x:c r="B101" s="76" t="n">
        <x:v>2023</x:v>
      </x:c>
      <x:c r="C101" s="76" t="n">
        <x:v>30</x:v>
      </x:c>
      <x:c r="D101" s="76" t="str">
        <x:v>Earnings per share (Rs)</x:v>
      </x:c>
      <x:c r="E101" s="76" t="str">
        <x:v>Mandatory</x:v>
      </x:c>
      <x:c r="F101" s="170" t="n">
        <x:f>KOHC!F99</x:f>
        <x:v>5820.7511449999965</x:v>
      </x:c>
      <x:c r="G101" s="170" t="n">
        <x:f>KOHC!F129</x:f>
        <x:v>200.861297</x:v>
      </x:c>
      <x:c r="H101" s="170" t="n">
        <x:f>IF(G101&lt;=0,"n/m",F101/G101)</x:f>
        <x:v>28.978958275869324</x:v>
      </x:c>
      <x:c r="I101" s="170" t="n">
        <x:v>5820.7511449999965</x:v>
      </x:c>
      <x:c r="J101" s="170" t="n">
        <x:v>200.861297</x:v>
      </x:c>
      <x:c r="K101" s="170" t="n">
        <x:v>28.978958275869324</x:v>
      </x:c>
      <x:c r="L101" s="177" t="n">
        <x:v>28.978958275869324</x:v>
      </x:c>
      <x:c r="M101" s="177" t="n">
        <x:f>KOHC!F171</x:f>
        <x:v>28.978958275869324</x:v>
      </x:c>
      <x:c r="N101" s="178" t="str">
        <x:f>IF(AND(ABS(F101-I101)&lt;0.000001,ABS(G101-J101)&lt;0.000001,IF(ISNUMBER(L101),IF(ISNUMBER(M101),ABS(L101-M101)&lt;0.00000001,FALSE),M101=L101)),"PASS","FAIL")</x:f>
        <x:v>PASS</x:v>
      </x:c>
      <x:c r="O101" s="99" t="str"/>
      <x:c r="P101" s="76" t="str">
        <x:v>Market Value</x:v>
      </x:c>
    </x:row>
    <x:row r="102" ht="26" customHeight="1">
      <x:c r="A102" s="168" t="str">
        <x:v>KOHC</x:v>
      </x:c>
      <x:c r="B102" s="168" t="n">
        <x:v>2023</x:v>
      </x:c>
      <x:c r="C102" s="168" t="n">
        <x:v>31</x:v>
      </x:c>
      <x:c r="D102" s="168" t="str">
        <x:v>Price-to-earnings ratio</x:v>
      </x:c>
      <x:c r="E102" s="168" t="str">
        <x:v>Mandatory</x:v>
      </x:c>
      <x:c r="F102" s="169" t="n">
        <x:f>KOHC!F130</x:f>
        <x:v>173.47</x:v>
      </x:c>
      <x:c r="G102" s="169" t="n">
        <x:f>KOHC!F99/KOHC!F129</x:f>
        <x:v>28.978958275869324</x:v>
      </x:c>
      <x:c r="H102" s="169" t="n">
        <x:f>IF(G102&lt;=0,"n/m",F102/G102)</x:f>
        <x:v>5.986067488990722</x:v>
      </x:c>
      <x:c r="I102" s="169" t="n">
        <x:v>173.47</x:v>
      </x:c>
      <x:c r="J102" s="169" t="n">
        <x:v>28.978958275869324</x:v>
      </x:c>
      <x:c r="K102" s="169" t="n">
        <x:v>5.986067488990722</x:v>
      </x:c>
      <x:c r="L102" s="175" t="n">
        <x:v>5.986067488990722</x:v>
      </x:c>
      <x:c r="M102" s="175" t="n">
        <x:f>KOHC!F172</x:f>
        <x:v>5.986067488990722</x:v>
      </x:c>
      <x:c r="N102" s="176" t="str">
        <x:f>IF(AND(ABS(F102-I102)&lt;0.000001,ABS(G102-J102)&lt;0.000001,IF(ISNUMBER(L102),IF(ISNUMBER(M102),ABS(L102-M102)&lt;0.00000001,FALSE),M102=L102)),"PASS","FAIL")</x:f>
        <x:v>PASS</x:v>
      </x:c>
      <x:c r="O102" s="171" t="str"/>
      <x:c r="P102" s="168" t="str">
        <x:v>Market Value</x:v>
      </x:c>
    </x:row>
    <x:row r="103" ht="26" customHeight="1">
      <x:c r="A103" s="76" t="str">
        <x:v>KOHC</x:v>
      </x:c>
      <x:c r="B103" s="76" t="n">
        <x:v>2023</x:v>
      </x:c>
      <x:c r="C103" s="76" t="n">
        <x:v>32</x:v>
      </x:c>
      <x:c r="D103" s="76" t="str">
        <x:v>Dividend yield</x:v>
      </x:c>
      <x:c r="E103" s="76" t="str">
        <x:v>Mandatory</x:v>
      </x:c>
      <x:c r="F103" s="170" t="n">
        <x:f>KOHC!F131</x:f>
        <x:v>0</x:v>
      </x:c>
      <x:c r="G103" s="170" t="n">
        <x:f>KOHC!F130</x:f>
        <x:v>173.47</x:v>
      </x:c>
      <x:c r="H103" s="170" t="n">
        <x:f>IF(G103&lt;=0,"n/m",F103/G103)</x:f>
        <x:v>0</x:v>
      </x:c>
      <x:c r="I103" s="170" t="n">
        <x:v>0</x:v>
      </x:c>
      <x:c r="J103" s="170" t="n">
        <x:v>173.47</x:v>
      </x:c>
      <x:c r="K103" s="170" t="n">
        <x:v>0</x:v>
      </x:c>
      <x:c r="L103" s="177" t="n">
        <x:v>0</x:v>
      </x:c>
      <x:c r="M103" s="177" t="n">
        <x:f>KOHC!F173</x:f>
        <x:v>0</x:v>
      </x:c>
      <x:c r="N103" s="178" t="str">
        <x:f>IF(AND(ABS(F103-I103)&lt;0.000001,ABS(G103-J103)&lt;0.000001,IF(ISNUMBER(L103),IF(ISNUMBER(M103),ABS(L103-M103)&lt;0.00000001,FALSE),M103=L103)),"PASS","FAIL")</x:f>
        <x:v>PASS</x:v>
      </x:c>
      <x:c r="O103" s="99" t="str"/>
      <x:c r="P103" s="76" t="str">
        <x:v>Market Value</x:v>
      </x:c>
    </x:row>
    <x:row r="104" ht="26" customHeight="1">
      <x:c r="A104" s="168" t="str">
        <x:v>KOHC</x:v>
      </x:c>
      <x:c r="B104" s="168" t="n">
        <x:v>2023</x:v>
      </x:c>
      <x:c r="C104" s="168" t="n">
        <x:v>33</x:v>
      </x:c>
      <x:c r="D104" s="168" t="str">
        <x:v>Dividend payout ratio</x:v>
      </x:c>
      <x:c r="E104" s="168" t="str">
        <x:v>Additional</x:v>
      </x:c>
      <x:c r="F104" s="169" t="n">
        <x:f>KOHC!F131</x:f>
        <x:v>0</x:v>
      </x:c>
      <x:c r="G104" s="169" t="n">
        <x:f>KOHC!F99/KOHC!F129</x:f>
        <x:v>28.978958275869324</x:v>
      </x:c>
      <x:c r="H104" s="169" t="n">
        <x:f>IF(G104&lt;=0,"n/m",F104/G104)</x:f>
        <x:v>0</x:v>
      </x:c>
      <x:c r="I104" s="169" t="n">
        <x:v>0</x:v>
      </x:c>
      <x:c r="J104" s="169" t="n">
        <x:v>28.978958275869324</x:v>
      </x:c>
      <x:c r="K104" s="169" t="n">
        <x:v>0</x:v>
      </x:c>
      <x:c r="L104" s="175" t="n">
        <x:v>0</x:v>
      </x:c>
      <x:c r="M104" s="175" t="n">
        <x:f>KOHC!F174</x:f>
        <x:v>0</x:v>
      </x:c>
      <x:c r="N104" s="176" t="str">
        <x:f>IF(AND(ABS(F104-I104)&lt;0.000001,ABS(G104-J104)&lt;0.000001,IF(ISNUMBER(L104),IF(ISNUMBER(M104),ABS(L104-M104)&lt;0.00000001,FALSE),M104=L104)),"PASS","FAIL")</x:f>
        <x:v>PASS</x:v>
      </x:c>
      <x:c r="O104" s="171" t="str"/>
      <x:c r="P104" s="168" t="str">
        <x:v>Market Value</x:v>
      </x:c>
    </x:row>
    <x:row r="105" ht="26" customHeight="1">
      <x:c r="A105" s="76" t="str">
        <x:v>KOHC</x:v>
      </x:c>
      <x:c r="B105" s="76" t="n">
        <x:v>2024</x:v>
      </x:c>
      <x:c r="C105" s="76" t="n">
        <x:v>1</x:v>
      </x:c>
      <x:c r="D105" s="76" t="str">
        <x:v>Current ratio</x:v>
      </x:c>
      <x:c r="E105" s="76" t="str">
        <x:v>Mandatory</x:v>
      </x:c>
      <x:c r="F105" s="170" t="n">
        <x:f>KOHC!G36</x:f>
        <x:v>32212.396773</x:v>
      </x:c>
      <x:c r="G105" s="170" t="n">
        <x:f>KOHC!G61</x:f>
        <x:v>11095.636231</x:v>
      </x:c>
      <x:c r="H105" s="170" t="n">
        <x:f>IF(G105&lt;=0,"n/m",F105/G105)</x:f>
        <x:v>2.903159053016002</x:v>
      </x:c>
      <x:c r="I105" s="170" t="n">
        <x:v>32212.396773</x:v>
      </x:c>
      <x:c r="J105" s="170" t="n">
        <x:v>11095.636231</x:v>
      </x:c>
      <x:c r="K105" s="170" t="n">
        <x:v>2.903159053016002</x:v>
      </x:c>
      <x:c r="L105" s="177" t="n">
        <x:v>2.903159053016002</x:v>
      </x:c>
      <x:c r="M105" s="177" t="n">
        <x:f>KOHC!G138</x:f>
        <x:v>2.903159053016002</x:v>
      </x:c>
      <x:c r="N105" s="178" t="str">
        <x:f>IF(AND(ABS(F105-I105)&lt;0.000001,ABS(G105-J105)&lt;0.000001,IF(ISNUMBER(L105),IF(ISNUMBER(M105),ABS(L105-M105)&lt;0.00000001,FALSE),M105=L105)),"PASS","FAIL")</x:f>
        <x:v>PASS</x:v>
      </x:c>
      <x:c r="O105" s="99" t="str"/>
      <x:c r="P105" s="76" t="str">
        <x:v>Liquidity</x:v>
      </x:c>
    </x:row>
    <x:row r="106" ht="26" customHeight="1">
      <x:c r="A106" s="168" t="str">
        <x:v>KOHC</x:v>
      </x:c>
      <x:c r="B106" s="168" t="n">
        <x:v>2024</x:v>
      </x:c>
      <x:c r="C106" s="168" t="n">
        <x:v>2</x:v>
      </x:c>
      <x:c r="D106" s="168" t="str">
        <x:v>Quick ratio</x:v>
      </x:c>
      <x:c r="E106" s="168" t="str">
        <x:v>Mandatory</x:v>
      </x:c>
      <x:c r="F106" s="169" t="n">
        <x:f>KOHC!G36-KOHC!G65</x:f>
        <x:v>24632.970847</x:v>
      </x:c>
      <x:c r="G106" s="169" t="n">
        <x:f>KOHC!G61</x:f>
        <x:v>11095.636231</x:v>
      </x:c>
      <x:c r="H106" s="169" t="n">
        <x:f>IF(G106&lt;=0,"n/m",F106/G106)</x:f>
        <x:v>2.220059339921235</x:v>
      </x:c>
      <x:c r="I106" s="169" t="n">
        <x:v>24632.970847</x:v>
      </x:c>
      <x:c r="J106" s="169" t="n">
        <x:v>11095.636231</x:v>
      </x:c>
      <x:c r="K106" s="169" t="n">
        <x:v>2.220059339921235</x:v>
      </x:c>
      <x:c r="L106" s="175" t="n">
        <x:v>2.220059339921235</x:v>
      </x:c>
      <x:c r="M106" s="175" t="n">
        <x:f>KOHC!G139</x:f>
        <x:v>2.220059339921235</x:v>
      </x:c>
      <x:c r="N106" s="176" t="str">
        <x:f>IF(AND(ABS(F106-I106)&lt;0.000001,ABS(G106-J106)&lt;0.000001,IF(ISNUMBER(L106),IF(ISNUMBER(M106),ABS(L106-M106)&lt;0.00000001,FALSE),M106=L106)),"PASS","FAIL")</x:f>
        <x:v>PASS</x:v>
      </x:c>
      <x:c r="O106" s="171" t="str"/>
      <x:c r="P106" s="168" t="str">
        <x:v>Liquidity</x:v>
      </x:c>
    </x:row>
    <x:row r="107" ht="26" customHeight="1">
      <x:c r="A107" s="76" t="str">
        <x:v>KOHC</x:v>
      </x:c>
      <x:c r="B107" s="76" t="n">
        <x:v>2024</x:v>
      </x:c>
      <x:c r="C107" s="76" t="n">
        <x:v>3</x:v>
      </x:c>
      <x:c r="D107" s="76" t="str">
        <x:v>Cash ratio</x:v>
      </x:c>
      <x:c r="E107" s="76" t="str">
        <x:v>Mandatory</x:v>
      </x:c>
      <x:c r="F107" s="170" t="n">
        <x:f>KOHC!G34</x:f>
        <x:v>1102.649172</x:v>
      </x:c>
      <x:c r="G107" s="170" t="n">
        <x:f>KOHC!G61</x:f>
        <x:v>11095.636231</x:v>
      </x:c>
      <x:c r="H107" s="170" t="n">
        <x:f>IF(G107&lt;=0,"n/m",F107/G107)</x:f>
        <x:v>0.09937683148978137</x:v>
      </x:c>
      <x:c r="I107" s="170" t="n">
        <x:v>1102.649172</x:v>
      </x:c>
      <x:c r="J107" s="170" t="n">
        <x:v>11095.636231</x:v>
      </x:c>
      <x:c r="K107" s="170" t="n">
        <x:v>0.09937683148978137</x:v>
      </x:c>
      <x:c r="L107" s="177" t="n">
        <x:v>0.09937683148978137</x:v>
      </x:c>
      <x:c r="M107" s="177" t="n">
        <x:f>KOHC!G140</x:f>
        <x:v>0.09937683148978137</x:v>
      </x:c>
      <x:c r="N107" s="178" t="str">
        <x:f>IF(AND(ABS(F107-I107)&lt;0.000001,ABS(G107-J107)&lt;0.000001,IF(ISNUMBER(L107),IF(ISNUMBER(M107),ABS(L107-M107)&lt;0.00000001,FALSE),M107=L107)),"PASS","FAIL")</x:f>
        <x:v>PASS</x:v>
      </x:c>
      <x:c r="O107" s="99" t="str"/>
      <x:c r="P107" s="76" t="str">
        <x:v>Liquidity</x:v>
      </x:c>
    </x:row>
    <x:row r="108" ht="26" customHeight="1">
      <x:c r="A108" s="168" t="str">
        <x:v>KOHC</x:v>
      </x:c>
      <x:c r="B108" s="168" t="n">
        <x:v>2024</x:v>
      </x:c>
      <x:c r="C108" s="168" t="n">
        <x:v>4</x:v>
      </x:c>
      <x:c r="D108" s="168" t="str">
        <x:v>Net working capital (PKR m)</x:v>
      </x:c>
      <x:c r="E108" s="168" t="str">
        <x:v>Additional</x:v>
      </x:c>
      <x:c r="F108" s="169" t="n">
        <x:f>KOHC!G36-KOHC!G61</x:f>
        <x:v>21116.760542</x:v>
      </x:c>
      <x:c r="G108" s="169" t="n">
        <x:f>1</x:f>
        <x:v>1</x:v>
      </x:c>
      <x:c r="H108" s="169" t="n">
        <x:f>IF(G108&lt;=0,"n/m",F108/G108)</x:f>
        <x:v>21116.760542</x:v>
      </x:c>
      <x:c r="I108" s="169" t="n">
        <x:v>21116.760542</x:v>
      </x:c>
      <x:c r="J108" s="169" t="n">
        <x:v>1</x:v>
      </x:c>
      <x:c r="K108" s="169" t="n">
        <x:v>21116.760542</x:v>
      </x:c>
      <x:c r="L108" s="175" t="n">
        <x:v>21116.760542</x:v>
      </x:c>
      <x:c r="M108" s="175" t="n">
        <x:f>KOHC!G141</x:f>
        <x:v>21116.760542</x:v>
      </x:c>
      <x:c r="N108" s="176" t="str">
        <x:f>IF(AND(ABS(F108-I108)&lt;0.000001,ABS(G108-J108)&lt;0.000001,IF(ISNUMBER(L108),IF(ISNUMBER(M108),ABS(L108-M108)&lt;0.00000001,FALSE),M108=L108)),"PASS","FAIL")</x:f>
        <x:v>PASS</x:v>
      </x:c>
      <x:c r="O108" s="171" t="str"/>
      <x:c r="P108" s="168" t="str">
        <x:v>Liquidity</x:v>
      </x:c>
    </x:row>
    <x:row r="109" ht="26" customHeight="1">
      <x:c r="A109" s="76" t="str">
        <x:v>KOHC</x:v>
      </x:c>
      <x:c r="B109" s="76" t="n">
        <x:v>2024</x:v>
      </x:c>
      <x:c r="C109" s="76" t="n">
        <x:v>5</x:v>
      </x:c>
      <x:c r="D109" s="76" t="str">
        <x:v>Net operating working capital (PKR m)</x:v>
      </x:c>
      <x:c r="E109" s="76" t="str">
        <x:v>Additional</x:v>
      </x:c>
      <x:c r="F109" s="170" t="n">
        <x:f>KOHC!G72-KOHC!G73</x:f>
        <x:v>949.0612429999965</x:v>
      </x:c>
      <x:c r="G109" s="170" t="n">
        <x:f>1</x:f>
        <x:v>1</x:v>
      </x:c>
      <x:c r="H109" s="170" t="n">
        <x:f>IF(G109&lt;=0,"n/m",F109/G109)</x:f>
        <x:v>949.0612429999965</x:v>
      </x:c>
      <x:c r="I109" s="170" t="n">
        <x:v>949.0612429999965</x:v>
      </x:c>
      <x:c r="J109" s="170" t="n">
        <x:v>1</x:v>
      </x:c>
      <x:c r="K109" s="170" t="n">
        <x:v>949.0612429999965</x:v>
      </x:c>
      <x:c r="L109" s="177" t="n">
        <x:v>949.0612429999965</x:v>
      </x:c>
      <x:c r="M109" s="177" t="n">
        <x:f>KOHC!G142</x:f>
        <x:v>949.0612429999965</x:v>
      </x:c>
      <x:c r="N109" s="178" t="str">
        <x:f>IF(AND(ABS(F109-I109)&lt;0.000001,ABS(G109-J109)&lt;0.000001,IF(ISNUMBER(L109),IF(ISNUMBER(M109),ABS(L109-M109)&lt;0.00000001,FALSE),M109=L109)),"PASS","FAIL")</x:f>
        <x:v>PASS</x:v>
      </x:c>
      <x:c r="O109" s="99" t="str"/>
      <x:c r="P109" s="76" t="str">
        <x:v>Liquidity</x:v>
      </x:c>
    </x:row>
    <x:row r="110" ht="26" customHeight="1">
      <x:c r="A110" s="168" t="str">
        <x:v>KOHC</x:v>
      </x:c>
      <x:c r="B110" s="168" t="n">
        <x:v>2024</x:v>
      </x:c>
      <x:c r="C110" s="168" t="n">
        <x:v>6</x:v>
      </x:c>
      <x:c r="D110" s="168" t="str">
        <x:v>Inventory turnover</x:v>
      </x:c>
      <x:c r="E110" s="168" t="str">
        <x:v>Mandatory</x:v>
      </x:c>
      <x:c r="F110" s="169" t="n">
        <x:f>-KOHC!G85</x:f>
        <x:v>27391.276477</x:v>
      </x:c>
      <x:c r="G110" s="169" t="n">
        <x:f>AVERAGE(KOHC!F65,KOHC!G65)</x:f>
        <x:v>7617.708622</x:v>
      </x:c>
      <x:c r="H110" s="169" t="n">
        <x:f>IF(G110&lt;=0,"n/m",F110/G110)</x:f>
        <x:v>3.5957369645110586</x:v>
      </x:c>
      <x:c r="I110" s="169" t="n">
        <x:v>27391.276477</x:v>
      </x:c>
      <x:c r="J110" s="169" t="n">
        <x:v>7617.708622</x:v>
      </x:c>
      <x:c r="K110" s="169" t="n">
        <x:v>3.5957369645110586</x:v>
      </x:c>
      <x:c r="L110" s="175" t="n">
        <x:v>3.5957369645110586</x:v>
      </x:c>
      <x:c r="M110" s="175" t="n">
        <x:f>KOHC!G144</x:f>
        <x:v>3.5957369645110586</x:v>
      </x:c>
      <x:c r="N110" s="176" t="str">
        <x:f>IF(AND(ABS(F110-I110)&lt;0.000001,ABS(G110-J110)&lt;0.000001,IF(ISNUMBER(L110),IF(ISNUMBER(M110),ABS(L110-M110)&lt;0.00000001,FALSE),M110=L110)),"PASS","FAIL")</x:f>
        <x:v>PASS</x:v>
      </x:c>
      <x:c r="O110" s="171" t="str"/>
      <x:c r="P110" s="168" t="str">
        <x:v>Asset Management</x:v>
      </x:c>
    </x:row>
    <x:row r="111" ht="26" customHeight="1">
      <x:c r="A111" s="76" t="str">
        <x:v>KOHC</x:v>
      </x:c>
      <x:c r="B111" s="76" t="n">
        <x:v>2024</x:v>
      </x:c>
      <x:c r="C111" s="76" t="n">
        <x:v>7</x:v>
      </x:c>
      <x:c r="D111" s="76" t="str">
        <x:v>Receivables turnover</x:v>
      </x:c>
      <x:c r="E111" s="76" t="str">
        <x:v>Additional</x:v>
      </x:c>
      <x:c r="F111" s="170" t="n">
        <x:f>KOHC!G84</x:f>
        <x:v>38647.767972</x:v>
      </x:c>
      <x:c r="G111" s="170" t="n">
        <x:f>AVERAGE(KOHC!F32,KOHC!G32)</x:f>
        <x:v>1657.9006385</x:v>
      </x:c>
      <x:c r="H111" s="170" t="n">
        <x:f>IF(G111&lt;=0,"n/m",F111/G111)</x:f>
        <x:v>23.311269128267483</x:v>
      </x:c>
      <x:c r="I111" s="170" t="n">
        <x:v>38647.767972</x:v>
      </x:c>
      <x:c r="J111" s="170" t="n">
        <x:v>1657.9006385</x:v>
      </x:c>
      <x:c r="K111" s="170" t="n">
        <x:v>23.311269128267483</x:v>
      </x:c>
      <x:c r="L111" s="177" t="n">
        <x:v>23.311269128267483</x:v>
      </x:c>
      <x:c r="M111" s="177" t="n">
        <x:f>KOHC!G145</x:f>
        <x:v>23.311269128267483</x:v>
      </x:c>
      <x:c r="N111" s="178" t="str">
        <x:f>IF(AND(ABS(F111-I111)&lt;0.000001,ABS(G111-J111)&lt;0.000001,IF(ISNUMBER(L111),IF(ISNUMBER(M111),ABS(L111-M111)&lt;0.00000001,FALSE),M111=L111)),"PASS","FAIL")</x:f>
        <x:v>PASS</x:v>
      </x:c>
      <x:c r="O111" s="99" t="str"/>
      <x:c r="P111" s="76" t="str">
        <x:v>Asset Management</x:v>
      </x:c>
    </x:row>
    <x:row r="112" ht="26" customHeight="1">
      <x:c r="A112" s="168" t="str">
        <x:v>KOHC</x:v>
      </x:c>
      <x:c r="B112" s="168" t="n">
        <x:v>2024</x:v>
      </x:c>
      <x:c r="C112" s="168" t="n">
        <x:v>8</x:v>
      </x:c>
      <x:c r="D112" s="168" t="str">
        <x:v>Payables turnover</x:v>
      </x:c>
      <x:c r="E112" s="168" t="str">
        <x:v>Additional</x:v>
      </x:c>
      <x:c r="F112" s="169" t="n">
        <x:f>-KOHC!G85</x:f>
        <x:v>27391.276477</x:v>
      </x:c>
      <x:c r="G112" s="169" t="n">
        <x:f>AVERAGE(KOHC!F51,KOHC!G51)</x:f>
        <x:v>1228.0605775</x:v>
      </x:c>
      <x:c r="H112" s="169" t="n">
        <x:f>IF(G112&lt;=0,"n/m",F112/G112)</x:f>
        <x:v>22.3044994512903</x:v>
      </x:c>
      <x:c r="I112" s="169" t="n">
        <x:v>27391.276477</x:v>
      </x:c>
      <x:c r="J112" s="169" t="n">
        <x:v>1228.0605775</x:v>
      </x:c>
      <x:c r="K112" s="169" t="n">
        <x:v>22.3044994512903</x:v>
      </x:c>
      <x:c r="L112" s="175" t="n">
        <x:v>22.3044994512903</x:v>
      </x:c>
      <x:c r="M112" s="175" t="n">
        <x:f>KOHC!G146</x:f>
        <x:v>22.3044994512903</x:v>
      </x:c>
      <x:c r="N112" s="176" t="str">
        <x:f>IF(AND(ABS(F112-I112)&lt;0.000001,ABS(G112-J112)&lt;0.000001,IF(ISNUMBER(L112),IF(ISNUMBER(M112),ABS(L112-M112)&lt;0.00000001,FALSE),M112=L112)),"PASS","FAIL")</x:f>
        <x:v>PASS</x:v>
      </x:c>
      <x:c r="O112" s="171" t="str"/>
      <x:c r="P112" s="168" t="str">
        <x:v>Asset Management</x:v>
      </x:c>
    </x:row>
    <x:row r="113" ht="26" customHeight="1">
      <x:c r="A113" s="76" t="str">
        <x:v>KOHC</x:v>
      </x:c>
      <x:c r="B113" s="76" t="n">
        <x:v>2024</x:v>
      </x:c>
      <x:c r="C113" s="76" t="n">
        <x:v>9</x:v>
      </x:c>
      <x:c r="D113" s="76" t="str">
        <x:v>Days inventory outstanding</x:v>
      </x:c>
      <x:c r="E113" s="76" t="str">
        <x:v>Additional</x:v>
      </x:c>
      <x:c r="F113" s="170" t="n">
        <x:f>365*AVERAGE(KOHC!F65,KOHC!G65)</x:f>
        <x:v>2780463.64703</x:v>
      </x:c>
      <x:c r="G113" s="170" t="n">
        <x:f>-KOHC!G85</x:f>
        <x:v>27391.276477</x:v>
      </x:c>
      <x:c r="H113" s="170" t="n">
        <x:f>IF(G113&lt;=0,"n/m",F113/G113)</x:f>
        <x:v>101.50909357454404</x:v>
      </x:c>
      <x:c r="I113" s="170" t="n">
        <x:v>2780463.64703</x:v>
      </x:c>
      <x:c r="J113" s="170" t="n">
        <x:v>27391.276477</x:v>
      </x:c>
      <x:c r="K113" s="170" t="n">
        <x:v>101.50909357454404</x:v>
      </x:c>
      <x:c r="L113" s="177" t="n">
        <x:v>101.50909357454404</x:v>
      </x:c>
      <x:c r="M113" s="177" t="n">
        <x:f>KOHC!G147</x:f>
        <x:v>101.50909357454404</x:v>
      </x:c>
      <x:c r="N113" s="178" t="str">
        <x:f>IF(AND(ABS(F113-I113)&lt;0.000001,ABS(G113-J113)&lt;0.000001,IF(ISNUMBER(L113),IF(ISNUMBER(M113),ABS(L113-M113)&lt;0.00000001,FALSE),M113=L113)),"PASS","FAIL")</x:f>
        <x:v>PASS</x:v>
      </x:c>
      <x:c r="O113" s="99" t="str"/>
      <x:c r="P113" s="76" t="str">
        <x:v>Asset Management</x:v>
      </x:c>
    </x:row>
    <x:row r="114" ht="26" customHeight="1">
      <x:c r="A114" s="168" t="str">
        <x:v>KOHC</x:v>
      </x:c>
      <x:c r="B114" s="168" t="n">
        <x:v>2024</x:v>
      </x:c>
      <x:c r="C114" s="168" t="n">
        <x:v>10</x:v>
      </x:c>
      <x:c r="D114" s="168" t="str">
        <x:v>Days sales outstanding</x:v>
      </x:c>
      <x:c r="E114" s="168" t="str">
        <x:v>Mandatory</x:v>
      </x:c>
      <x:c r="F114" s="169" t="n">
        <x:f>365*AVERAGE(KOHC!F32,KOHC!G32)</x:f>
        <x:v>605133.7330525</x:v>
      </x:c>
      <x:c r="G114" s="169" t="n">
        <x:f>KOHC!G84</x:f>
        <x:v>38647.767972</x:v>
      </x:c>
      <x:c r="H114" s="169" t="n">
        <x:f>IF(G114&lt;=0,"n/m",F114/G114)</x:f>
        <x:v>15.65766316675557</x:v>
      </x:c>
      <x:c r="I114" s="169" t="n">
        <x:v>605133.7330525</x:v>
      </x:c>
      <x:c r="J114" s="169" t="n">
        <x:v>38647.767972</x:v>
      </x:c>
      <x:c r="K114" s="169" t="n">
        <x:v>15.65766316675557</x:v>
      </x:c>
      <x:c r="L114" s="175" t="n">
        <x:v>15.65766316675557</x:v>
      </x:c>
      <x:c r="M114" s="175" t="n">
        <x:f>KOHC!G148</x:f>
        <x:v>15.65766316675557</x:v>
      </x:c>
      <x:c r="N114" s="176" t="str">
        <x:f>IF(AND(ABS(F114-I114)&lt;0.000001,ABS(G114-J114)&lt;0.000001,IF(ISNUMBER(L114),IF(ISNUMBER(M114),ABS(L114-M114)&lt;0.00000001,FALSE),M114=L114)),"PASS","FAIL")</x:f>
        <x:v>PASS</x:v>
      </x:c>
      <x:c r="O114" s="171" t="str"/>
      <x:c r="P114" s="168" t="str">
        <x:v>Asset Management</x:v>
      </x:c>
    </x:row>
    <x:row r="115" ht="26" customHeight="1">
      <x:c r="A115" s="76" t="str">
        <x:v>KOHC</x:v>
      </x:c>
      <x:c r="B115" s="76" t="n">
        <x:v>2024</x:v>
      </x:c>
      <x:c r="C115" s="76" t="n">
        <x:v>11</x:v>
      </x:c>
      <x:c r="D115" s="76" t="str">
        <x:v>Days payables outstanding</x:v>
      </x:c>
      <x:c r="E115" s="76" t="str">
        <x:v>Additional</x:v>
      </x:c>
      <x:c r="F115" s="170" t="n">
        <x:f>365*AVERAGE(KOHC!F51,KOHC!G51)</x:f>
        <x:v>448242.1107875</x:v>
      </x:c>
      <x:c r="G115" s="170" t="n">
        <x:f>-KOHC!G85</x:f>
        <x:v>27391.276477</x:v>
      </x:c>
      <x:c r="H115" s="170" t="n">
        <x:f>IF(G115&lt;=0,"n/m",F115/G115)</x:f>
        <x:v>16.36441117170576</x:v>
      </x:c>
      <x:c r="I115" s="170" t="n">
        <x:v>448242.1107875</x:v>
      </x:c>
      <x:c r="J115" s="170" t="n">
        <x:v>27391.276477</x:v>
      </x:c>
      <x:c r="K115" s="170" t="n">
        <x:v>16.36441117170576</x:v>
      </x:c>
      <x:c r="L115" s="177" t="n">
        <x:v>16.36441117170576</x:v>
      </x:c>
      <x:c r="M115" s="177" t="n">
        <x:f>KOHC!G149</x:f>
        <x:v>16.36441117170576</x:v>
      </x:c>
      <x:c r="N115" s="178" t="str">
        <x:f>IF(AND(ABS(F115-I115)&lt;0.000001,ABS(G115-J115)&lt;0.000001,IF(ISNUMBER(L115),IF(ISNUMBER(M115),ABS(L115-M115)&lt;0.00000001,FALSE),M115=L115)),"PASS","FAIL")</x:f>
        <x:v>PASS</x:v>
      </x:c>
      <x:c r="O115" s="99" t="str"/>
      <x:c r="P115" s="76" t="str">
        <x:v>Asset Management</x:v>
      </x:c>
    </x:row>
    <x:row r="116" ht="26" customHeight="1">
      <x:c r="A116" s="168" t="str">
        <x:v>KOHC</x:v>
      </x:c>
      <x:c r="B116" s="168" t="n">
        <x:v>2024</x:v>
      </x:c>
      <x:c r="C116" s="168" t="n">
        <x:v>12</x:v>
      </x:c>
      <x:c r="D116" s="168" t="str">
        <x:v>Operating cycle (days)</x:v>
      </x:c>
      <x:c r="E116" s="168" t="str">
        <x:v>Additional</x:v>
      </x:c>
      <x:c r="F116" s="169" t="n">
        <x:f>365*AVERAGE(KOHC!F65,KOHC!G65)/(-KOHC!G85)+365*AVERAGE(KOHC!F32,KOHC!G32)/KOHC!G84</x:f>
        <x:v>117.16675674129961</x:v>
      </x:c>
      <x:c r="G116" s="169" t="n">
        <x:f>1</x:f>
        <x:v>1</x:v>
      </x:c>
      <x:c r="H116" s="169" t="n">
        <x:f>IF(G116&lt;=0,"n/m",F116/G116)</x:f>
        <x:v>117.16675674129961</x:v>
      </x:c>
      <x:c r="I116" s="169" t="n">
        <x:v>117.16675674129961</x:v>
      </x:c>
      <x:c r="J116" s="169" t="n">
        <x:v>1</x:v>
      </x:c>
      <x:c r="K116" s="169" t="n">
        <x:v>117.16675674129961</x:v>
      </x:c>
      <x:c r="L116" s="175" t="n">
        <x:v>117.16675674129961</x:v>
      </x:c>
      <x:c r="M116" s="175" t="n">
        <x:f>KOHC!G150</x:f>
        <x:v>117.16675674129961</x:v>
      </x:c>
      <x:c r="N116" s="176" t="str">
        <x:f>IF(AND(ABS(F116-I116)&lt;0.000001,ABS(G116-J116)&lt;0.000001,IF(ISNUMBER(L116),IF(ISNUMBER(M116),ABS(L116-M116)&lt;0.00000001,FALSE),M116=L116)),"PASS","FAIL")</x:f>
        <x:v>PASS</x:v>
      </x:c>
      <x:c r="O116" s="171" t="str"/>
      <x:c r="P116" s="168" t="str">
        <x:v>Asset Management</x:v>
      </x:c>
    </x:row>
    <x:row r="117" ht="26" customHeight="1">
      <x:c r="A117" s="76" t="str">
        <x:v>KOHC</x:v>
      </x:c>
      <x:c r="B117" s="76" t="n">
        <x:v>2024</x:v>
      </x:c>
      <x:c r="C117" s="76" t="n">
        <x:v>13</x:v>
      </x:c>
      <x:c r="D117" s="76" t="str">
        <x:v>Cash conversion cycle (days)</x:v>
      </x:c>
      <x:c r="E117" s="76" t="str">
        <x:v>Additional</x:v>
      </x:c>
      <x:c r="F117" s="170" t="n">
        <x:f>365*AVERAGE(KOHC!F65,KOHC!G65)/(-KOHC!G85)+365*AVERAGE(KOHC!F32,KOHC!G32)/KOHC!G84-365*AVERAGE(KOHC!F51,KOHC!G51)/(-KOHC!G85)</x:f>
        <x:v>100.80234556959385</x:v>
      </x:c>
      <x:c r="G117" s="170" t="n">
        <x:f>1</x:f>
        <x:v>1</x:v>
      </x:c>
      <x:c r="H117" s="170" t="n">
        <x:f>IF(G117&lt;=0,"n/m",F117/G117)</x:f>
        <x:v>100.80234556959385</x:v>
      </x:c>
      <x:c r="I117" s="170" t="n">
        <x:v>100.80234556959385</x:v>
      </x:c>
      <x:c r="J117" s="170" t="n">
        <x:v>1</x:v>
      </x:c>
      <x:c r="K117" s="170" t="n">
        <x:v>100.80234556959385</x:v>
      </x:c>
      <x:c r="L117" s="177" t="n">
        <x:v>100.80234556959385</x:v>
      </x:c>
      <x:c r="M117" s="177" t="n">
        <x:f>KOHC!G151</x:f>
        <x:v>100.80234556959385</x:v>
      </x:c>
      <x:c r="N117" s="178" t="str">
        <x:f>IF(AND(ABS(F117-I117)&lt;0.000001,ABS(G117-J117)&lt;0.000001,IF(ISNUMBER(L117),IF(ISNUMBER(M117),ABS(L117-M117)&lt;0.00000001,FALSE),M117=L117)),"PASS","FAIL")</x:f>
        <x:v>PASS</x:v>
      </x:c>
      <x:c r="O117" s="99" t="str"/>
      <x:c r="P117" s="76" t="str">
        <x:v>Asset Management</x:v>
      </x:c>
    </x:row>
    <x:row r="118" ht="26" customHeight="1">
      <x:c r="A118" s="168" t="str">
        <x:v>KOHC</x:v>
      </x:c>
      <x:c r="B118" s="168" t="n">
        <x:v>2024</x:v>
      </x:c>
      <x:c r="C118" s="168" t="n">
        <x:v>14</x:v>
      </x:c>
      <x:c r="D118" s="168" t="str">
        <x:v>Total asset turnover</x:v>
      </x:c>
      <x:c r="E118" s="168" t="str">
        <x:v>Mandatory</x:v>
      </x:c>
      <x:c r="F118" s="169" t="n">
        <x:f>KOHC!G84</x:f>
        <x:v>38647.767972</x:v>
      </x:c>
      <x:c r="G118" s="169" t="n">
        <x:f>AVERAGE(KOHC!F37,KOHC!G37)</x:f>
        <x:v>54186.685371</x:v>
      </x:c>
      <x:c r="H118" s="169" t="n">
        <x:f>IF(G118&lt;=0,"n/m",F118/G118)</x:f>
        <x:v>0.7132336607672219</x:v>
      </x:c>
      <x:c r="I118" s="169" t="n">
        <x:v>38647.767972</x:v>
      </x:c>
      <x:c r="J118" s="169" t="n">
        <x:v>54186.685371</x:v>
      </x:c>
      <x:c r="K118" s="169" t="n">
        <x:v>0.7132336607672219</x:v>
      </x:c>
      <x:c r="L118" s="175" t="n">
        <x:v>0.7132336607672219</x:v>
      </x:c>
      <x:c r="M118" s="175" t="n">
        <x:f>KOHC!G152</x:f>
        <x:v>0.7132336607672219</x:v>
      </x:c>
      <x:c r="N118" s="176" t="str">
        <x:f>IF(AND(ABS(F118-I118)&lt;0.000001,ABS(G118-J118)&lt;0.000001,IF(ISNUMBER(L118),IF(ISNUMBER(M118),ABS(L118-M118)&lt;0.00000001,FALSE),M118=L118)),"PASS","FAIL")</x:f>
        <x:v>PASS</x:v>
      </x:c>
      <x:c r="O118" s="171" t="str"/>
      <x:c r="P118" s="168" t="str">
        <x:v>Asset Management</x:v>
      </x:c>
    </x:row>
    <x:row r="119" ht="26" customHeight="1">
      <x:c r="A119" s="76" t="str">
        <x:v>KOHC</x:v>
      </x:c>
      <x:c r="B119" s="76" t="n">
        <x:v>2024</x:v>
      </x:c>
      <x:c r="C119" s="76" t="n">
        <x:v>15</x:v>
      </x:c>
      <x:c r="D119" s="76" t="str">
        <x:v>Fixed asset turnover</x:v>
      </x:c>
      <x:c r="E119" s="76" t="str">
        <x:v>Mandatory</x:v>
      </x:c>
      <x:c r="F119" s="170" t="n">
        <x:f>KOHC!G84</x:f>
        <x:v>38647.767972</x:v>
      </x:c>
      <x:c r="G119" s="170" t="n">
        <x:f>AVERAGE(KOHC!F22,KOHC!G22)</x:f>
        <x:v>20721.864405</x:v>
      </x:c>
      <x:c r="H119" s="170" t="n">
        <x:f>IF(G119&lt;=0,"n/m",F119/G119)</x:f>
        <x:v>1.8650719460684553</x:v>
      </x:c>
      <x:c r="I119" s="170" t="n">
        <x:v>38647.767972</x:v>
      </x:c>
      <x:c r="J119" s="170" t="n">
        <x:v>20721.864405</x:v>
      </x:c>
      <x:c r="K119" s="170" t="n">
        <x:v>1.8650719460684553</x:v>
      </x:c>
      <x:c r="L119" s="177" t="n">
        <x:v>1.8650719460684553</x:v>
      </x:c>
      <x:c r="M119" s="177" t="n">
        <x:f>KOHC!G153</x:f>
        <x:v>1.8650719460684553</x:v>
      </x:c>
      <x:c r="N119" s="178" t="str">
        <x:f>IF(AND(ABS(F119-I119)&lt;0.000001,ABS(G119-J119)&lt;0.000001,IF(ISNUMBER(L119),IF(ISNUMBER(M119),ABS(L119-M119)&lt;0.00000001,FALSE),M119=L119)),"PASS","FAIL")</x:f>
        <x:v>PASS</x:v>
      </x:c>
      <x:c r="O119" s="99" t="str"/>
      <x:c r="P119" s="76" t="str">
        <x:v>Asset Management</x:v>
      </x:c>
    </x:row>
    <x:row r="120" ht="26" customHeight="1">
      <x:c r="A120" s="168" t="str">
        <x:v>KOHC</x:v>
      </x:c>
      <x:c r="B120" s="168" t="n">
        <x:v>2024</x:v>
      </x:c>
      <x:c r="C120" s="168" t="n">
        <x:v>16</x:v>
      </x:c>
      <x:c r="D120" s="168" t="str">
        <x:v>Debt ratio</x:v>
      </x:c>
      <x:c r="E120" s="168" t="str">
        <x:v>Mandatory</x:v>
      </x:c>
      <x:c r="F120" s="169" t="n">
        <x:f>KOHC!G62</x:f>
        <x:v>17752.989906000003</x:v>
      </x:c>
      <x:c r="G120" s="169" t="n">
        <x:f>KOHC!G37</x:f>
        <x:v>58843.295197</x:v>
      </x:c>
      <x:c r="H120" s="169" t="n">
        <x:f>IF(G120&lt;=0,"n/m",F120/G120)</x:f>
        <x:v>0.3016994518502951</x:v>
      </x:c>
      <x:c r="I120" s="169" t="n">
        <x:v>17752.989906000003</x:v>
      </x:c>
      <x:c r="J120" s="169" t="n">
        <x:v>58843.295197</x:v>
      </x:c>
      <x:c r="K120" s="169" t="n">
        <x:v>0.3016994518502951</x:v>
      </x:c>
      <x:c r="L120" s="175" t="n">
        <x:v>0.3016994518502951</x:v>
      </x:c>
      <x:c r="M120" s="175" t="n">
        <x:f>KOHC!G155</x:f>
        <x:v>0.3016994518502951</x:v>
      </x:c>
      <x:c r="N120" s="176" t="str">
        <x:f>IF(AND(ABS(F120-I120)&lt;0.000001,ABS(G120-J120)&lt;0.000001,IF(ISNUMBER(L120),IF(ISNUMBER(M120),ABS(L120-M120)&lt;0.00000001,FALSE),M120=L120)),"PASS","FAIL")</x:f>
        <x:v>PASS</x:v>
      </x:c>
      <x:c r="O120" s="171" t="str"/>
      <x:c r="P120" s="168" t="str">
        <x:v>Debt Management</x:v>
      </x:c>
    </x:row>
    <x:row r="121" ht="26" customHeight="1">
      <x:c r="A121" s="76" t="str">
        <x:v>KOHC</x:v>
      </x:c>
      <x:c r="B121" s="76" t="n">
        <x:v>2024</x:v>
      </x:c>
      <x:c r="C121" s="76" t="n">
        <x:v>17</x:v>
      </x:c>
      <x:c r="D121" s="76" t="str">
        <x:v>Debt-to-equity</x:v>
      </x:c>
      <x:c r="E121" s="76" t="str">
        <x:v>Mandatory</x:v>
      </x:c>
      <x:c r="F121" s="170" t="n">
        <x:f>KOHC!G62</x:f>
        <x:v>17752.989906000003</x:v>
      </x:c>
      <x:c r="G121" s="170" t="n">
        <x:f>KOHC!G41</x:f>
        <x:v>41090.305291000004</x:v>
      </x:c>
      <x:c r="H121" s="170" t="n">
        <x:f>IF(G121&lt;=0,"n/m",F121/G121)</x:f>
        <x:v>0.4320481383692331</x:v>
      </x:c>
      <x:c r="I121" s="170" t="n">
        <x:v>17752.989906000003</x:v>
      </x:c>
      <x:c r="J121" s="170" t="n">
        <x:v>41090.305291000004</x:v>
      </x:c>
      <x:c r="K121" s="170" t="n">
        <x:v>0.4320481383692331</x:v>
      </x:c>
      <x:c r="L121" s="177" t="n">
        <x:v>0.4320481383692331</x:v>
      </x:c>
      <x:c r="M121" s="177" t="n">
        <x:f>KOHC!G156</x:f>
        <x:v>0.4320481383692331</x:v>
      </x:c>
      <x:c r="N121" s="178" t="str">
        <x:f>IF(AND(ABS(F121-I121)&lt;0.000001,ABS(G121-J121)&lt;0.000001,IF(ISNUMBER(L121),IF(ISNUMBER(M121),ABS(L121-M121)&lt;0.00000001,FALSE),M121=L121)),"PASS","FAIL")</x:f>
        <x:v>PASS</x:v>
      </x:c>
      <x:c r="O121" s="99" t="str"/>
      <x:c r="P121" s="76" t="str">
        <x:v>Debt Management</x:v>
      </x:c>
    </x:row>
    <x:row r="122" ht="26" customHeight="1">
      <x:c r="A122" s="168" t="str">
        <x:v>KOHC</x:v>
      </x:c>
      <x:c r="B122" s="168" t="n">
        <x:v>2024</x:v>
      </x:c>
      <x:c r="C122" s="168" t="n">
        <x:v>18</x:v>
      </x:c>
      <x:c r="D122" s="168" t="str">
        <x:v>Total debt-to-capital</x:v>
      </x:c>
      <x:c r="E122" s="168" t="str">
        <x:v>Additional</x:v>
      </x:c>
      <x:c r="F122" s="169" t="n">
        <x:f>KOHC!G66</x:f>
        <x:v>2153.059604</x:v>
      </x:c>
      <x:c r="G122" s="169" t="n">
        <x:f>KOHC!G66+KOHC!G41</x:f>
        <x:v>43243.364895000006</x:v>
      </x:c>
      <x:c r="H122" s="169" t="n">
        <x:f>IF(G122&lt;=0,"n/m",F122/G122)</x:f>
        <x:v>0.04978936327521882</x:v>
      </x:c>
      <x:c r="I122" s="169" t="n">
        <x:v>2153.059604</x:v>
      </x:c>
      <x:c r="J122" s="169" t="n">
        <x:v>43243.364895000006</x:v>
      </x:c>
      <x:c r="K122" s="169" t="n">
        <x:v>0.04978936327521882</x:v>
      </x:c>
      <x:c r="L122" s="175" t="n">
        <x:v>0.04978936327521882</x:v>
      </x:c>
      <x:c r="M122" s="175" t="n">
        <x:f>KOHC!G157</x:f>
        <x:v>0.04978936327521882</x:v>
      </x:c>
      <x:c r="N122" s="176" t="str">
        <x:f>IF(AND(ABS(F122-I122)&lt;0.000001,ABS(G122-J122)&lt;0.000001,IF(ISNUMBER(L122),IF(ISNUMBER(M122),ABS(L122-M122)&lt;0.00000001,FALSE),M122=L122)),"PASS","FAIL")</x:f>
        <x:v>PASS</x:v>
      </x:c>
      <x:c r="O122" s="171" t="str"/>
      <x:c r="P122" s="168" t="str">
        <x:v>Debt Management</x:v>
      </x:c>
    </x:row>
    <x:row r="123" ht="26" customHeight="1">
      <x:c r="A123" s="76" t="str">
        <x:v>KOHC</x:v>
      </x:c>
      <x:c r="B123" s="76" t="n">
        <x:v>2024</x:v>
      </x:c>
      <x:c r="C123" s="76" t="n">
        <x:v>19</x:v>
      </x:c>
      <x:c r="D123" s="76" t="str">
        <x:v>Long-term debt ratio</x:v>
      </x:c>
      <x:c r="E123" s="76" t="str">
        <x:v>Additional</x:v>
      </x:c>
      <x:c r="F123" s="170" t="n">
        <x:f>KOHC!G67</x:f>
        <x:v>1118.642478</x:v>
      </x:c>
      <x:c r="G123" s="170" t="n">
        <x:f>KOHC!G37</x:f>
        <x:v>58843.295197</x:v>
      </x:c>
      <x:c r="H123" s="170" t="n">
        <x:f>IF(G123&lt;=0,"n/m",F123/G123)</x:f>
        <x:v>0.01901053423767185</x:v>
      </x:c>
      <x:c r="I123" s="170" t="n">
        <x:v>1118.642478</x:v>
      </x:c>
      <x:c r="J123" s="170" t="n">
        <x:v>58843.295197</x:v>
      </x:c>
      <x:c r="K123" s="170" t="n">
        <x:v>0.01901053423767185</x:v>
      </x:c>
      <x:c r="L123" s="177" t="n">
        <x:v>0.01901053423767185</x:v>
      </x:c>
      <x:c r="M123" s="177" t="n">
        <x:f>KOHC!G158</x:f>
        <x:v>0.01901053423767185</x:v>
      </x:c>
      <x:c r="N123" s="178" t="str">
        <x:f>IF(AND(ABS(F123-I123)&lt;0.000001,ABS(G123-J123)&lt;0.000001,IF(ISNUMBER(L123),IF(ISNUMBER(M123),ABS(L123-M123)&lt;0.00000001,FALSE),M123=L123)),"PASS","FAIL")</x:f>
        <x:v>PASS</x:v>
      </x:c>
      <x:c r="O123" s="99" t="str"/>
      <x:c r="P123" s="76" t="str">
        <x:v>Debt Management</x:v>
      </x:c>
    </x:row>
    <x:row r="124" ht="26" customHeight="1">
      <x:c r="A124" s="168" t="str">
        <x:v>KOHC</x:v>
      </x:c>
      <x:c r="B124" s="168" t="n">
        <x:v>2024</x:v>
      </x:c>
      <x:c r="C124" s="168" t="n">
        <x:v>20</x:v>
      </x:c>
      <x:c r="D124" s="168" t="str">
        <x:v>Times interest earned</x:v>
      </x:c>
      <x:c r="E124" s="168" t="str">
        <x:v>Mandatory</x:v>
      </x:c>
      <x:c r="F124" s="169" t="n">
        <x:f>KOHC!G108</x:f>
        <x:v>14453.665945000002</x:v>
      </x:c>
      <x:c r="G124" s="169" t="n">
        <x:f>KOHC!G106</x:f>
        <x:v>646.184135</x:v>
      </x:c>
      <x:c r="H124" s="169" t="n">
        <x:f>IF(G124&lt;=0,"n/m",F124/G124)</x:f>
        <x:v>22.367720224205137</x:v>
      </x:c>
      <x:c r="I124" s="169" t="n">
        <x:v>14453.665945000002</x:v>
      </x:c>
      <x:c r="J124" s="169" t="n">
        <x:v>646.184135</x:v>
      </x:c>
      <x:c r="K124" s="169" t="n">
        <x:v>22.367720224205137</x:v>
      </x:c>
      <x:c r="L124" s="175" t="n">
        <x:v>22.367720224205137</x:v>
      </x:c>
      <x:c r="M124" s="175" t="n">
        <x:f>KOHC!G159</x:f>
        <x:v>22.367720224205137</x:v>
      </x:c>
      <x:c r="N124" s="176" t="str">
        <x:f>IF(AND(ABS(F124-I124)&lt;0.000001,ABS(G124-J124)&lt;0.000001,IF(ISNUMBER(L124),IF(ISNUMBER(M124),ABS(L124-M124)&lt;0.00000001,FALSE),M124=L124)),"PASS","FAIL")</x:f>
        <x:v>PASS</x:v>
      </x:c>
      <x:c r="O124" s="171" t="str"/>
      <x:c r="P124" s="168" t="str">
        <x:v>Debt Management</x:v>
      </x:c>
    </x:row>
    <x:row r="125" ht="26" customHeight="1">
      <x:c r="A125" s="76" t="str">
        <x:v>KOHC</x:v>
      </x:c>
      <x:c r="B125" s="76" t="n">
        <x:v>2024</x:v>
      </x:c>
      <x:c r="C125" s="76" t="n">
        <x:v>21</x:v>
      </x:c>
      <x:c r="D125" s="76" t="str">
        <x:v>Gross profit margin</x:v>
      </x:c>
      <x:c r="E125" s="76" t="str">
        <x:v>Mandatory</x:v>
      </x:c>
      <x:c r="F125" s="170" t="n">
        <x:f>KOHC!G86</x:f>
        <x:v>11256.491495000002</x:v>
      </x:c>
      <x:c r="G125" s="170" t="n">
        <x:f>KOHC!G84</x:f>
        <x:v>38647.767972</x:v>
      </x:c>
      <x:c r="H125" s="170" t="n">
        <x:f>IF(G125&lt;=0,"n/m",F125/G125)</x:f>
        <x:v>0.29125851467425595</x:v>
      </x:c>
      <x:c r="I125" s="170" t="n">
        <x:v>11256.491495000002</x:v>
      </x:c>
      <x:c r="J125" s="170" t="n">
        <x:v>38647.767972</x:v>
      </x:c>
      <x:c r="K125" s="170" t="n">
        <x:v>0.29125851467425595</x:v>
      </x:c>
      <x:c r="L125" s="177" t="n">
        <x:v>0.29125851467425595</x:v>
      </x:c>
      <x:c r="M125" s="177" t="n">
        <x:f>KOHC!G161</x:f>
        <x:v>0.29125851467425595</x:v>
      </x:c>
      <x:c r="N125" s="178" t="str">
        <x:f>IF(AND(ABS(F125-I125)&lt;0.000001,ABS(G125-J125)&lt;0.000001,IF(ISNUMBER(L125),IF(ISNUMBER(M125),ABS(L125-M125)&lt;0.00000001,FALSE),M125=L125)),"PASS","FAIL")</x:f>
        <x:v>PASS</x:v>
      </x:c>
      <x:c r="O125" s="99" t="str"/>
      <x:c r="P125" s="76" t="str">
        <x:v>Profitability</x:v>
      </x:c>
    </x:row>
    <x:row r="126" ht="26" customHeight="1">
      <x:c r="A126" s="168" t="str">
        <x:v>KOHC</x:v>
      </x:c>
      <x:c r="B126" s="168" t="n">
        <x:v>2024</x:v>
      </x:c>
      <x:c r="C126" s="168" t="n">
        <x:v>22</x:v>
      </x:c>
      <x:c r="D126" s="168" t="str">
        <x:v>Operating margin</x:v>
      </x:c>
      <x:c r="E126" s="168" t="str">
        <x:v>Mandatory</x:v>
      </x:c>
      <x:c r="F126" s="169" t="n">
        <x:f>KOHC!G91</x:f>
        <x:v>10001.249432000002</x:v>
      </x:c>
      <x:c r="G126" s="169" t="n">
        <x:f>KOHC!G84</x:f>
        <x:v>38647.767972</x:v>
      </x:c>
      <x:c r="H126" s="169" t="n">
        <x:f>IF(G126&lt;=0,"n/m",F126/G126)</x:f>
        <x:v>0.25877948344250634</x:v>
      </x:c>
      <x:c r="I126" s="169" t="n">
        <x:v>10001.249432000002</x:v>
      </x:c>
      <x:c r="J126" s="169" t="n">
        <x:v>38647.767972</x:v>
      </x:c>
      <x:c r="K126" s="169" t="n">
        <x:v>0.25877948344250634</x:v>
      </x:c>
      <x:c r="L126" s="175" t="n">
        <x:v>0.25877948344250634</x:v>
      </x:c>
      <x:c r="M126" s="175" t="n">
        <x:f>KOHC!G162</x:f>
        <x:v>0.25877948344250634</x:v>
      </x:c>
      <x:c r="N126" s="176" t="str">
        <x:f>IF(AND(ABS(F126-I126)&lt;0.000001,ABS(G126-J126)&lt;0.000001,IF(ISNUMBER(L126),IF(ISNUMBER(M126),ABS(L126-M126)&lt;0.00000001,FALSE),M126=L126)),"PASS","FAIL")</x:f>
        <x:v>PASS</x:v>
      </x:c>
      <x:c r="O126" s="171" t="str"/>
      <x:c r="P126" s="168" t="str">
        <x:v>Profitability</x:v>
      </x:c>
    </x:row>
    <x:row r="127" ht="26" customHeight="1">
      <x:c r="A127" s="76" t="str">
        <x:v>KOHC</x:v>
      </x:c>
      <x:c r="B127" s="76" t="n">
        <x:v>2024</x:v>
      </x:c>
      <x:c r="C127" s="76" t="n">
        <x:v>23</x:v>
      </x:c>
      <x:c r="D127" s="76" t="str">
        <x:v>Net profit margin</x:v>
      </x:c>
      <x:c r="E127" s="76" t="str">
        <x:v>Mandatory</x:v>
      </x:c>
      <x:c r="F127" s="170" t="n">
        <x:f>KOHC!G99</x:f>
        <x:v>8893.454787000002</x:v>
      </x:c>
      <x:c r="G127" s="170" t="n">
        <x:f>KOHC!G84</x:f>
        <x:v>38647.767972</x:v>
      </x:c>
      <x:c r="H127" s="170" t="n">
        <x:f>IF(G127&lt;=0,"n/m",F127/G127)</x:f>
        <x:v>0.23011561219895646</x:v>
      </x:c>
      <x:c r="I127" s="170" t="n">
        <x:v>8893.454787000002</x:v>
      </x:c>
      <x:c r="J127" s="170" t="n">
        <x:v>38647.767972</x:v>
      </x:c>
      <x:c r="K127" s="170" t="n">
        <x:v>0.23011561219895646</x:v>
      </x:c>
      <x:c r="L127" s="177" t="n">
        <x:v>0.23011561219895646</x:v>
      </x:c>
      <x:c r="M127" s="177" t="n">
        <x:f>KOHC!G163</x:f>
        <x:v>0.23011561219895646</x:v>
      </x:c>
      <x:c r="N127" s="178" t="str">
        <x:f>IF(AND(ABS(F127-I127)&lt;0.000001,ABS(G127-J127)&lt;0.000001,IF(ISNUMBER(L127),IF(ISNUMBER(M127),ABS(L127-M127)&lt;0.00000001,FALSE),M127=L127)),"PASS","FAIL")</x:f>
        <x:v>PASS</x:v>
      </x:c>
      <x:c r="O127" s="99" t="str"/>
      <x:c r="P127" s="76" t="str">
        <x:v>Profitability</x:v>
      </x:c>
    </x:row>
    <x:row r="128" ht="26" customHeight="1">
      <x:c r="A128" s="168" t="str">
        <x:v>KOHC</x:v>
      </x:c>
      <x:c r="B128" s="168" t="n">
        <x:v>2024</x:v>
      </x:c>
      <x:c r="C128" s="168" t="n">
        <x:v>24</x:v>
      </x:c>
      <x:c r="D128" s="168" t="str">
        <x:v>Return on assets</x:v>
      </x:c>
      <x:c r="E128" s="168" t="str">
        <x:v>Mandatory</x:v>
      </x:c>
      <x:c r="F128" s="169" t="n">
        <x:f>KOHC!G99</x:f>
        <x:v>8893.454787000002</x:v>
      </x:c>
      <x:c r="G128" s="169" t="n">
        <x:f>AVERAGE(KOHC!F37,KOHC!G37)</x:f>
        <x:v>54186.685371</x:v>
      </x:c>
      <x:c r="H128" s="169" t="n">
        <x:f>IF(G128&lt;=0,"n/m",F128/G128)</x:f>
        <x:v>0.1641262004883521</x:v>
      </x:c>
      <x:c r="I128" s="169" t="n">
        <x:v>8893.454787000002</x:v>
      </x:c>
      <x:c r="J128" s="169" t="n">
        <x:v>54186.685371</x:v>
      </x:c>
      <x:c r="K128" s="169" t="n">
        <x:v>0.1641262004883521</x:v>
      </x:c>
      <x:c r="L128" s="175" t="n">
        <x:v>0.1641262004883521</x:v>
      </x:c>
      <x:c r="M128" s="175" t="n">
        <x:f>KOHC!G164</x:f>
        <x:v>0.1641262004883521</x:v>
      </x:c>
      <x:c r="N128" s="176" t="str">
        <x:f>IF(AND(ABS(F128-I128)&lt;0.000001,ABS(G128-J128)&lt;0.000001,IF(ISNUMBER(L128),IF(ISNUMBER(M128),ABS(L128-M128)&lt;0.00000001,FALSE),M128=L128)),"PASS","FAIL")</x:f>
        <x:v>PASS</x:v>
      </x:c>
      <x:c r="O128" s="171" t="str"/>
      <x:c r="P128" s="168" t="str">
        <x:v>Profitability</x:v>
      </x:c>
    </x:row>
    <x:row r="129" ht="26" customHeight="1">
      <x:c r="A129" s="76" t="str">
        <x:v>KOHC</x:v>
      </x:c>
      <x:c r="B129" s="76" t="n">
        <x:v>2024</x:v>
      </x:c>
      <x:c r="C129" s="76" t="n">
        <x:v>25</x:v>
      </x:c>
      <x:c r="D129" s="76" t="str">
        <x:v>Return on equity</x:v>
      </x:c>
      <x:c r="E129" s="76" t="str">
        <x:v>Mandatory</x:v>
      </x:c>
      <x:c r="F129" s="170" t="n">
        <x:f>KOHC!G99</x:f>
        <x:v>8893.454787000002</x:v>
      </x:c>
      <x:c r="G129" s="170" t="n">
        <x:f>AVERAGE(KOHC!F41,KOHC!G41)</x:f>
        <x:v>36850.1751315</x:v>
      </x:c>
      <x:c r="H129" s="170" t="n">
        <x:f>IF(G129&lt;=0,"n/m",F129/G129)</x:f>
        <x:v>0.24134090965005384</x:v>
      </x:c>
      <x:c r="I129" s="170" t="n">
        <x:v>8893.454787000002</x:v>
      </x:c>
      <x:c r="J129" s="170" t="n">
        <x:v>36850.1751315</x:v>
      </x:c>
      <x:c r="K129" s="170" t="n">
        <x:v>0.24134090965005384</x:v>
      </x:c>
      <x:c r="L129" s="177" t="n">
        <x:v>0.24134090965005384</x:v>
      </x:c>
      <x:c r="M129" s="177" t="n">
        <x:f>KOHC!G165</x:f>
        <x:v>0.24134090965005384</x:v>
      </x:c>
      <x:c r="N129" s="178" t="str">
        <x:f>IF(AND(ABS(F129-I129)&lt;0.000001,ABS(G129-J129)&lt;0.000001,IF(ISNUMBER(L129),IF(ISNUMBER(M129),ABS(L129-M129)&lt;0.00000001,FALSE),M129=L129)),"PASS","FAIL")</x:f>
        <x:v>PASS</x:v>
      </x:c>
      <x:c r="O129" s="99" t="str"/>
      <x:c r="P129" s="76" t="str">
        <x:v>Profitability</x:v>
      </x:c>
    </x:row>
    <x:row r="130" ht="26" customHeight="1">
      <x:c r="A130" s="168" t="str">
        <x:v>KOHC</x:v>
      </x:c>
      <x:c r="B130" s="168" t="n">
        <x:v>2024</x:v>
      </x:c>
      <x:c r="C130" s="168" t="n">
        <x:v>26</x:v>
      </x:c>
      <x:c r="D130" s="168" t="str">
        <x:v>Return on invested capital</x:v>
      </x:c>
      <x:c r="E130" s="168" t="str">
        <x:v>Additional</x:v>
      </x:c>
      <x:c r="F130" s="169" t="n">
        <x:f>KOHC!G113</x:f>
        <x:v>9330.746544165173</x:v>
      </x:c>
      <x:c r="G130" s="169" t="n">
        <x:f>AVERAGE(KOHC!F70,KOHC!G70)</x:f>
        <x:v>39518.3915575</x:v>
      </x:c>
      <x:c r="H130" s="169" t="n">
        <x:f>IF(G130&lt;=0,"n/m",F130/G130)</x:f>
        <x:v>0.23611149584842697</x:v>
      </x:c>
      <x:c r="I130" s="169" t="n">
        <x:v>9330.746544165173</x:v>
      </x:c>
      <x:c r="J130" s="169" t="n">
        <x:v>39518.3915575</x:v>
      </x:c>
      <x:c r="K130" s="169" t="n">
        <x:v>0.23611149584842697</x:v>
      </x:c>
      <x:c r="L130" s="175" t="n">
        <x:v>0.23611149584842697</x:v>
      </x:c>
      <x:c r="M130" s="175" t="n">
        <x:f>KOHC!G166</x:f>
        <x:v>0.23611149584842697</x:v>
      </x:c>
      <x:c r="N130" s="176" t="str">
        <x:f>IF(AND(ABS(F130-I130)&lt;0.000001,ABS(G130-J130)&lt;0.000001,IF(ISNUMBER(L130),IF(ISNUMBER(M130),ABS(L130-M130)&lt;0.00000001,FALSE),M130=L130)),"PASS","FAIL")</x:f>
        <x:v>PASS</x:v>
      </x:c>
      <x:c r="O130" s="171" t="str"/>
      <x:c r="P130" s="168" t="str">
        <x:v>Profitability</x:v>
      </x:c>
    </x:row>
    <x:row r="131" ht="26" customHeight="1">
      <x:c r="A131" s="76" t="str">
        <x:v>KOHC</x:v>
      </x:c>
      <x:c r="B131" s="76" t="n">
        <x:v>2024</x:v>
      </x:c>
      <x:c r="C131" s="76" t="n">
        <x:v>27</x:v>
      </x:c>
      <x:c r="D131" s="76" t="str">
        <x:v>Basic earning power</x:v>
      </x:c>
      <x:c r="E131" s="76" t="str">
        <x:v>Additional</x:v>
      </x:c>
      <x:c r="F131" s="170" t="n">
        <x:f>KOHC!G108</x:f>
        <x:v>14453.665945000002</x:v>
      </x:c>
      <x:c r="G131" s="170" t="n">
        <x:f>AVERAGE(KOHC!F37,KOHC!G37)</x:f>
        <x:v>54186.685371</x:v>
      </x:c>
      <x:c r="H131" s="170" t="n">
        <x:f>IF(G131&lt;=0,"n/m",F131/G131)</x:f>
        <x:v>0.2667383296475893</x:v>
      </x:c>
      <x:c r="I131" s="170" t="n">
        <x:v>14453.665945000002</x:v>
      </x:c>
      <x:c r="J131" s="170" t="n">
        <x:v>54186.685371</x:v>
      </x:c>
      <x:c r="K131" s="170" t="n">
        <x:v>0.2667383296475893</x:v>
      </x:c>
      <x:c r="L131" s="177" t="n">
        <x:v>0.2667383296475893</x:v>
      </x:c>
      <x:c r="M131" s="177" t="n">
        <x:f>KOHC!G167</x:f>
        <x:v>0.2667383296475893</x:v>
      </x:c>
      <x:c r="N131" s="178" t="str">
        <x:f>IF(AND(ABS(F131-I131)&lt;0.000001,ABS(G131-J131)&lt;0.000001,IF(ISNUMBER(L131),IF(ISNUMBER(M131),ABS(L131-M131)&lt;0.00000001,FALSE),M131=L131)),"PASS","FAIL")</x:f>
        <x:v>PASS</x:v>
      </x:c>
      <x:c r="O131" s="99" t="str"/>
      <x:c r="P131" s="76" t="str">
        <x:v>Profitability</x:v>
      </x:c>
    </x:row>
    <x:row r="132" ht="26" customHeight="1">
      <x:c r="A132" s="168" t="str">
        <x:v>KOHC</x:v>
      </x:c>
      <x:c r="B132" s="168" t="n">
        <x:v>2024</x:v>
      </x:c>
      <x:c r="C132" s="168" t="n">
        <x:v>28</x:v>
      </x:c>
      <x:c r="D132" s="168" t="str">
        <x:v>Book value per share (Rs)</x:v>
      </x:c>
      <x:c r="E132" s="168" t="str">
        <x:v>Additional</x:v>
      </x:c>
      <x:c r="F132" s="169" t="n">
        <x:f>KOHC!G41</x:f>
        <x:v>41090.305291000004</x:v>
      </x:c>
      <x:c r="G132" s="169" t="n">
        <x:f>KOHC!G128</x:f>
        <x:v>195.86129699999998</x:v>
      </x:c>
      <x:c r="H132" s="169" t="n">
        <x:f>IF(G132&lt;=0,"n/m",F132/G132)</x:f>
        <x:v>209.7928785338331</x:v>
      </x:c>
      <x:c r="I132" s="169" t="n">
        <x:v>41090.305291000004</x:v>
      </x:c>
      <x:c r="J132" s="169" t="n">
        <x:v>195.86129699999998</x:v>
      </x:c>
      <x:c r="K132" s="169" t="n">
        <x:v>209.7928785338331</x:v>
      </x:c>
      <x:c r="L132" s="175" t="n">
        <x:v>209.7928785338331</x:v>
      </x:c>
      <x:c r="M132" s="175" t="n">
        <x:f>KOHC!G169</x:f>
        <x:v>209.7928785338331</x:v>
      </x:c>
      <x:c r="N132" s="176" t="str">
        <x:f>IF(AND(ABS(F132-I132)&lt;0.000001,ABS(G132-J132)&lt;0.000001,IF(ISNUMBER(L132),IF(ISNUMBER(M132),ABS(L132-M132)&lt;0.00000001,FALSE),M132=L132)),"PASS","FAIL")</x:f>
        <x:v>PASS</x:v>
      </x:c>
      <x:c r="O132" s="171" t="str"/>
      <x:c r="P132" s="168" t="str">
        <x:v>Market Value</x:v>
      </x:c>
    </x:row>
    <x:row r="133" ht="26" customHeight="1">
      <x:c r="A133" s="76" t="str">
        <x:v>KOHC</x:v>
      </x:c>
      <x:c r="B133" s="76" t="n">
        <x:v>2024</x:v>
      </x:c>
      <x:c r="C133" s="76" t="n">
        <x:v>29</x:v>
      </x:c>
      <x:c r="D133" s="76" t="str">
        <x:v>Market-to-book ratio</x:v>
      </x:c>
      <x:c r="E133" s="76" t="str">
        <x:v>Mandatory</x:v>
      </x:c>
      <x:c r="F133" s="170" t="n">
        <x:f>KOHC!G130</x:f>
        <x:v>250.43</x:v>
      </x:c>
      <x:c r="G133" s="170" t="n">
        <x:f>KOHC!G41/KOHC!G128</x:f>
        <x:v>209.7928785338331</x:v>
      </x:c>
      <x:c r="H133" s="170" t="n">
        <x:f>IF(G133&lt;=0,"n/m",F133/G133)</x:f>
        <x:v>1.1937011482475721</x:v>
      </x:c>
      <x:c r="I133" s="170" t="n">
        <x:v>250.43</x:v>
      </x:c>
      <x:c r="J133" s="170" t="n">
        <x:v>209.7928785338331</x:v>
      </x:c>
      <x:c r="K133" s="170" t="n">
        <x:v>1.1937011482475721</x:v>
      </x:c>
      <x:c r="L133" s="177" t="n">
        <x:v>1.1937011482475721</x:v>
      </x:c>
      <x:c r="M133" s="177" t="n">
        <x:f>KOHC!G170</x:f>
        <x:v>1.1937011482475721</x:v>
      </x:c>
      <x:c r="N133" s="178" t="str">
        <x:f>IF(AND(ABS(F133-I133)&lt;0.000001,ABS(G133-J133)&lt;0.000001,IF(ISNUMBER(L133),IF(ISNUMBER(M133),ABS(L133-M133)&lt;0.00000001,FALSE),M133=L133)),"PASS","FAIL")</x:f>
        <x:v>PASS</x:v>
      </x:c>
      <x:c r="O133" s="99" t="str"/>
      <x:c r="P133" s="76" t="str">
        <x:v>Market Value</x:v>
      </x:c>
    </x:row>
    <x:row r="134" ht="26" customHeight="1">
      <x:c r="A134" s="168" t="str">
        <x:v>KOHC</x:v>
      </x:c>
      <x:c r="B134" s="168" t="n">
        <x:v>2024</x:v>
      </x:c>
      <x:c r="C134" s="168" t="n">
        <x:v>30</x:v>
      </x:c>
      <x:c r="D134" s="168" t="str">
        <x:v>Earnings per share (Rs)</x:v>
      </x:c>
      <x:c r="E134" s="168" t="str">
        <x:v>Mandatory</x:v>
      </x:c>
      <x:c r="F134" s="169" t="n">
        <x:f>KOHC!G99</x:f>
        <x:v>8893.454787000002</x:v>
      </x:c>
      <x:c r="G134" s="169" t="n">
        <x:f>KOHC!G129</x:f>
        <x:v>196.435067</x:v>
      </x:c>
      <x:c r="H134" s="169" t="n">
        <x:f>IF(G134&lt;=0,"n/m",F134/G134)</x:f>
        <x:v>45.27427267861498</x:v>
      </x:c>
      <x:c r="I134" s="169" t="n">
        <x:v>8893.454787000002</x:v>
      </x:c>
      <x:c r="J134" s="169" t="n">
        <x:v>196.435067</x:v>
      </x:c>
      <x:c r="K134" s="169" t="n">
        <x:v>45.27427267861498</x:v>
      </x:c>
      <x:c r="L134" s="175" t="n">
        <x:v>45.27427267861498</x:v>
      </x:c>
      <x:c r="M134" s="175" t="n">
        <x:f>KOHC!G171</x:f>
        <x:v>45.27427267861498</x:v>
      </x:c>
      <x:c r="N134" s="176" t="str">
        <x:f>IF(AND(ABS(F134-I134)&lt;0.000001,ABS(G134-J134)&lt;0.000001,IF(ISNUMBER(L134),IF(ISNUMBER(M134),ABS(L134-M134)&lt;0.00000001,FALSE),M134=L134)),"PASS","FAIL")</x:f>
        <x:v>PASS</x:v>
      </x:c>
      <x:c r="O134" s="171" t="str"/>
      <x:c r="P134" s="168" t="str">
        <x:v>Market Value</x:v>
      </x:c>
    </x:row>
    <x:row r="135" ht="26" customHeight="1">
      <x:c r="A135" s="76" t="str">
        <x:v>KOHC</x:v>
      </x:c>
      <x:c r="B135" s="76" t="n">
        <x:v>2024</x:v>
      </x:c>
      <x:c r="C135" s="76" t="n">
        <x:v>31</x:v>
      </x:c>
      <x:c r="D135" s="76" t="str">
        <x:v>Price-to-earnings ratio</x:v>
      </x:c>
      <x:c r="E135" s="76" t="str">
        <x:v>Mandatory</x:v>
      </x:c>
      <x:c r="F135" s="170" t="n">
        <x:f>KOHC!G130</x:f>
        <x:v>250.43</x:v>
      </x:c>
      <x:c r="G135" s="170" t="n">
        <x:f>KOHC!G99/KOHC!G129</x:f>
        <x:v>45.27427267861498</x:v>
      </x:c>
      <x:c r="H135" s="170" t="n">
        <x:f>IF(G135&lt;=0,"n/m",F135/G135)</x:f>
        <x:v>5.531397528519306</x:v>
      </x:c>
      <x:c r="I135" s="170" t="n">
        <x:v>250.43</x:v>
      </x:c>
      <x:c r="J135" s="170" t="n">
        <x:v>45.27427267861498</x:v>
      </x:c>
      <x:c r="K135" s="170" t="n">
        <x:v>5.531397528519306</x:v>
      </x:c>
      <x:c r="L135" s="177" t="n">
        <x:v>5.531397528519306</x:v>
      </x:c>
      <x:c r="M135" s="177" t="n">
        <x:f>KOHC!G172</x:f>
        <x:v>5.531397528519306</x:v>
      </x:c>
      <x:c r="N135" s="178" t="str">
        <x:f>IF(AND(ABS(F135-I135)&lt;0.000001,ABS(G135-J135)&lt;0.000001,IF(ISNUMBER(L135),IF(ISNUMBER(M135),ABS(L135-M135)&lt;0.00000001,FALSE),M135=L135)),"PASS","FAIL")</x:f>
        <x:v>PASS</x:v>
      </x:c>
      <x:c r="O135" s="99" t="str"/>
      <x:c r="P135" s="76" t="str">
        <x:v>Market Value</x:v>
      </x:c>
    </x:row>
    <x:row r="136" ht="26" customHeight="1">
      <x:c r="A136" s="168" t="str">
        <x:v>KOHC</x:v>
      </x:c>
      <x:c r="B136" s="168" t="n">
        <x:v>2024</x:v>
      </x:c>
      <x:c r="C136" s="168" t="n">
        <x:v>32</x:v>
      </x:c>
      <x:c r="D136" s="168" t="str">
        <x:v>Dividend yield</x:v>
      </x:c>
      <x:c r="E136" s="168" t="str">
        <x:v>Mandatory</x:v>
      </x:c>
      <x:c r="F136" s="169" t="n">
        <x:f>KOHC!G131</x:f>
        <x:v>0</x:v>
      </x:c>
      <x:c r="G136" s="169" t="n">
        <x:f>KOHC!G130</x:f>
        <x:v>250.43</x:v>
      </x:c>
      <x:c r="H136" s="169" t="n">
        <x:f>IF(G136&lt;=0,"n/m",F136/G136)</x:f>
        <x:v>0</x:v>
      </x:c>
      <x:c r="I136" s="169" t="n">
        <x:v>0</x:v>
      </x:c>
      <x:c r="J136" s="169" t="n">
        <x:v>250.43</x:v>
      </x:c>
      <x:c r="K136" s="169" t="n">
        <x:v>0</x:v>
      </x:c>
      <x:c r="L136" s="175" t="n">
        <x:v>0</x:v>
      </x:c>
      <x:c r="M136" s="175" t="n">
        <x:f>KOHC!G173</x:f>
        <x:v>0</x:v>
      </x:c>
      <x:c r="N136" s="176" t="str">
        <x:f>IF(AND(ABS(F136-I136)&lt;0.000001,ABS(G136-J136)&lt;0.000001,IF(ISNUMBER(L136),IF(ISNUMBER(M136),ABS(L136-M136)&lt;0.00000001,FALSE),M136=L136)),"PASS","FAIL")</x:f>
        <x:v>PASS</x:v>
      </x:c>
      <x:c r="O136" s="171" t="str"/>
      <x:c r="P136" s="168" t="str">
        <x:v>Market Value</x:v>
      </x:c>
    </x:row>
    <x:row r="137" ht="26" customHeight="1">
      <x:c r="A137" s="76" t="str">
        <x:v>KOHC</x:v>
      </x:c>
      <x:c r="B137" s="76" t="n">
        <x:v>2024</x:v>
      </x:c>
      <x:c r="C137" s="76" t="n">
        <x:v>33</x:v>
      </x:c>
      <x:c r="D137" s="76" t="str">
        <x:v>Dividend payout ratio</x:v>
      </x:c>
      <x:c r="E137" s="76" t="str">
        <x:v>Additional</x:v>
      </x:c>
      <x:c r="F137" s="170" t="n">
        <x:f>KOHC!G131</x:f>
        <x:v>0</x:v>
      </x:c>
      <x:c r="G137" s="170" t="n">
        <x:f>KOHC!G99/KOHC!G129</x:f>
        <x:v>45.27427267861498</x:v>
      </x:c>
      <x:c r="H137" s="170" t="n">
        <x:f>IF(G137&lt;=0,"n/m",F137/G137)</x:f>
        <x:v>0</x:v>
      </x:c>
      <x:c r="I137" s="170" t="n">
        <x:v>0</x:v>
      </x:c>
      <x:c r="J137" s="170" t="n">
        <x:v>45.27427267861498</x:v>
      </x:c>
      <x:c r="K137" s="170" t="n">
        <x:v>0</x:v>
      </x:c>
      <x:c r="L137" s="177" t="n">
        <x:v>0</x:v>
      </x:c>
      <x:c r="M137" s="177" t="n">
        <x:f>KOHC!G174</x:f>
        <x:v>0</x:v>
      </x:c>
      <x:c r="N137" s="178" t="str">
        <x:f>IF(AND(ABS(F137-I137)&lt;0.000001,ABS(G137-J137)&lt;0.000001,IF(ISNUMBER(L137),IF(ISNUMBER(M137),ABS(L137-M137)&lt;0.00000001,FALSE),M137=L137)),"PASS","FAIL")</x:f>
        <x:v>PASS</x:v>
      </x:c>
      <x:c r="O137" s="99" t="str"/>
      <x:c r="P137" s="76" t="str">
        <x:v>Market Value</x:v>
      </x:c>
    </x:row>
    <x:row r="138" ht="26" customHeight="1">
      <x:c r="A138" s="168" t="str">
        <x:v>KOHC</x:v>
      </x:c>
      <x:c r="B138" s="168" t="n">
        <x:v>2025</x:v>
      </x:c>
      <x:c r="C138" s="168" t="n">
        <x:v>1</x:v>
      </x:c>
      <x:c r="D138" s="168" t="str">
        <x:v>Current ratio</x:v>
      </x:c>
      <x:c r="E138" s="168" t="str">
        <x:v>Mandatory</x:v>
      </x:c>
      <x:c r="F138" s="169" t="n">
        <x:f>KOHC!H36</x:f>
        <x:v>38614.792494</x:v>
      </x:c>
      <x:c r="G138" s="169" t="n">
        <x:f>KOHC!H61</x:f>
        <x:v>11661.701110999998</x:v>
      </x:c>
      <x:c r="H138" s="169" t="n">
        <x:f>IF(G138&lt;=0,"n/m",F138/G138)</x:f>
        <x:v>3.311248687172772</x:v>
      </x:c>
      <x:c r="I138" s="169" t="n">
        <x:v>38614.792494</x:v>
      </x:c>
      <x:c r="J138" s="169" t="n">
        <x:v>11661.701110999998</x:v>
      </x:c>
      <x:c r="K138" s="169" t="n">
        <x:v>3.311248687172772</x:v>
      </x:c>
      <x:c r="L138" s="175" t="n">
        <x:v>3.311248687172772</x:v>
      </x:c>
      <x:c r="M138" s="175" t="n">
        <x:f>KOHC!H138</x:f>
        <x:v>3.311248687172772</x:v>
      </x:c>
      <x:c r="N138" s="176" t="str">
        <x:f>IF(AND(ABS(F138-I138)&lt;0.000001,ABS(G138-J138)&lt;0.000001,IF(ISNUMBER(L138),IF(ISNUMBER(M138),ABS(L138-M138)&lt;0.00000001,FALSE),M138=L138)),"PASS","FAIL")</x:f>
        <x:v>PASS</x:v>
      </x:c>
      <x:c r="O138" s="171" t="str"/>
      <x:c r="P138" s="168" t="str">
        <x:v>Liquidity</x:v>
      </x:c>
    </x:row>
    <x:row r="139" ht="26" customHeight="1">
      <x:c r="A139" s="76" t="str">
        <x:v>KOHC</x:v>
      </x:c>
      <x:c r="B139" s="76" t="n">
        <x:v>2025</x:v>
      </x:c>
      <x:c r="C139" s="76" t="n">
        <x:v>2</x:v>
      </x:c>
      <x:c r="D139" s="76" t="str">
        <x:v>Quick ratio</x:v>
      </x:c>
      <x:c r="E139" s="76" t="str">
        <x:v>Mandatory</x:v>
      </x:c>
      <x:c r="F139" s="170" t="n">
        <x:f>KOHC!H36-KOHC!H65</x:f>
        <x:v>31109.924467</x:v>
      </x:c>
      <x:c r="G139" s="170" t="n">
        <x:f>KOHC!H61</x:f>
        <x:v>11661.701110999998</x:v>
      </x:c>
      <x:c r="H139" s="170" t="n">
        <x:f>IF(G139&lt;=0,"n/m",F139/G139)</x:f>
        <x:v>2.6677003784340947</x:v>
      </x:c>
      <x:c r="I139" s="170" t="n">
        <x:v>31109.924467</x:v>
      </x:c>
      <x:c r="J139" s="170" t="n">
        <x:v>11661.701110999998</x:v>
      </x:c>
      <x:c r="K139" s="170" t="n">
        <x:v>2.6677003784340947</x:v>
      </x:c>
      <x:c r="L139" s="177" t="n">
        <x:v>2.6677003784340947</x:v>
      </x:c>
      <x:c r="M139" s="177" t="n">
        <x:f>KOHC!H139</x:f>
        <x:v>2.6677003784340947</x:v>
      </x:c>
      <x:c r="N139" s="178" t="str">
        <x:f>IF(AND(ABS(F139-I139)&lt;0.000001,ABS(G139-J139)&lt;0.000001,IF(ISNUMBER(L139),IF(ISNUMBER(M139),ABS(L139-M139)&lt;0.00000001,FALSE),M139=L139)),"PASS","FAIL")</x:f>
        <x:v>PASS</x:v>
      </x:c>
      <x:c r="O139" s="99" t="str"/>
      <x:c r="P139" s="76" t="str">
        <x:v>Liquidity</x:v>
      </x:c>
    </x:row>
    <x:row r="140" ht="26" customHeight="1">
      <x:c r="A140" s="168" t="str">
        <x:v>KOHC</x:v>
      </x:c>
      <x:c r="B140" s="168" t="n">
        <x:v>2025</x:v>
      </x:c>
      <x:c r="C140" s="168" t="n">
        <x:v>3</x:v>
      </x:c>
      <x:c r="D140" s="168" t="str">
        <x:v>Cash ratio</x:v>
      </x:c>
      <x:c r="E140" s="168" t="str">
        <x:v>Mandatory</x:v>
      </x:c>
      <x:c r="F140" s="169" t="n">
        <x:f>KOHC!H34</x:f>
        <x:v>1450.702723</x:v>
      </x:c>
      <x:c r="G140" s="169" t="n">
        <x:f>KOHC!H61</x:f>
        <x:v>11661.701110999998</x:v>
      </x:c>
      <x:c r="H140" s="169" t="n">
        <x:f>IF(G140&lt;=0,"n/m",F140/G140)</x:f>
        <x:v>0.1243988942257843</x:v>
      </x:c>
      <x:c r="I140" s="169" t="n">
        <x:v>1450.702723</x:v>
      </x:c>
      <x:c r="J140" s="169" t="n">
        <x:v>11661.701110999998</x:v>
      </x:c>
      <x:c r="K140" s="169" t="n">
        <x:v>0.1243988942257843</x:v>
      </x:c>
      <x:c r="L140" s="175" t="n">
        <x:v>0.1243988942257843</x:v>
      </x:c>
      <x:c r="M140" s="175" t="n">
        <x:f>KOHC!H140</x:f>
        <x:v>0.1243988942257843</x:v>
      </x:c>
      <x:c r="N140" s="176" t="str">
        <x:f>IF(AND(ABS(F140-I140)&lt;0.000001,ABS(G140-J140)&lt;0.000001,IF(ISNUMBER(L140),IF(ISNUMBER(M140),ABS(L140-M140)&lt;0.00000001,FALSE),M140=L140)),"PASS","FAIL")</x:f>
        <x:v>PASS</x:v>
      </x:c>
      <x:c r="O140" s="171" t="str"/>
      <x:c r="P140" s="168" t="str">
        <x:v>Liquidity</x:v>
      </x:c>
    </x:row>
    <x:row r="141" ht="26" customHeight="1">
      <x:c r="A141" s="76" t="str">
        <x:v>KOHC</x:v>
      </x:c>
      <x:c r="B141" s="76" t="n">
        <x:v>2025</x:v>
      </x:c>
      <x:c r="C141" s="76" t="n">
        <x:v>4</x:v>
      </x:c>
      <x:c r="D141" s="76" t="str">
        <x:v>Net working capital (PKR m)</x:v>
      </x:c>
      <x:c r="E141" s="76" t="str">
        <x:v>Additional</x:v>
      </x:c>
      <x:c r="F141" s="170" t="n">
        <x:f>KOHC!H36-KOHC!H61</x:f>
        <x:v>26953.091383000003</x:v>
      </x:c>
      <x:c r="G141" s="170" t="n">
        <x:f>1</x:f>
        <x:v>1</x:v>
      </x:c>
      <x:c r="H141" s="170" t="n">
        <x:f>IF(G141&lt;=0,"n/m",F141/G141)</x:f>
        <x:v>26953.091383000003</x:v>
      </x:c>
      <x:c r="I141" s="170" t="n">
        <x:v>26953.091383000003</x:v>
      </x:c>
      <x:c r="J141" s="170" t="n">
        <x:v>1</x:v>
      </x:c>
      <x:c r="K141" s="170" t="n">
        <x:v>26953.091383000003</x:v>
      </x:c>
      <x:c r="L141" s="177" t="n">
        <x:v>26953.091383000003</x:v>
      </x:c>
      <x:c r="M141" s="177" t="n">
        <x:f>KOHC!H141</x:f>
        <x:v>26953.091383000003</x:v>
      </x:c>
      <x:c r="N141" s="178" t="str">
        <x:f>IF(AND(ABS(F141-I141)&lt;0.000001,ABS(G141-J141)&lt;0.000001,IF(ISNUMBER(L141),IF(ISNUMBER(M141),ABS(L141-M141)&lt;0.00000001,FALSE),M141=L141)),"PASS","FAIL")</x:f>
        <x:v>PASS</x:v>
      </x:c>
      <x:c r="O141" s="99" t="str"/>
      <x:c r="P141" s="76" t="str">
        <x:v>Liquidity</x:v>
      </x:c>
    </x:row>
    <x:row r="142" ht="26" customHeight="1">
      <x:c r="A142" s="168" t="str">
        <x:v>KOHC</x:v>
      </x:c>
      <x:c r="B142" s="168" t="n">
        <x:v>2025</x:v>
      </x:c>
      <x:c r="C142" s="168" t="n">
        <x:v>5</x:v>
      </x:c>
      <x:c r="D142" s="168" t="str">
        <x:v>Net operating working capital (PKR m)</x:v>
      </x:c>
      <x:c r="E142" s="168" t="str">
        <x:v>Additional</x:v>
      </x:c>
      <x:c r="F142" s="169" t="n">
        <x:f>KOHC!H72-KOHC!H73</x:f>
        <x:v>-555.9981459999999</x:v>
      </x:c>
      <x:c r="G142" s="169" t="n">
        <x:f>1</x:f>
        <x:v>1</x:v>
      </x:c>
      <x:c r="H142" s="169" t="n">
        <x:f>IF(G142&lt;=0,"n/m",F142/G142)</x:f>
        <x:v>-555.9981459999999</x:v>
      </x:c>
      <x:c r="I142" s="169" t="n">
        <x:v>-555.9981460000017</x:v>
      </x:c>
      <x:c r="J142" s="169" t="n">
        <x:v>1</x:v>
      </x:c>
      <x:c r="K142" s="169" t="n">
        <x:v>-555.9981460000017</x:v>
      </x:c>
      <x:c r="L142" s="175" t="str">
        <x:v>n/m</x:v>
      </x:c>
      <x:c r="M142" s="175" t="str">
        <x:f>KOHC!H142</x:f>
        <x:v>n/m</x:v>
      </x:c>
      <x:c r="N142" s="176" t="str">
        <x:f>IF(AND(ABS(F142-I142)&lt;0.000001,ABS(G142-J142)&lt;0.000001,IF(ISNUMBER(L142),IF(ISNUMBER(M142),ABS(L142-M142)&lt;0.00000001,FALSE),M142=L142)),"PASS","FAIL")</x:f>
        <x:v>PASS</x:v>
      </x:c>
      <x:c r="O142" s="171" t="str">
        <x:v>Negative calculated measure; raw signed value in H/K.</x:v>
      </x:c>
      <x:c r="P142" s="168" t="str">
        <x:v>Liquidity</x:v>
      </x:c>
    </x:row>
    <x:row r="143" ht="26" customHeight="1">
      <x:c r="A143" s="76" t="str">
        <x:v>KOHC</x:v>
      </x:c>
      <x:c r="B143" s="76" t="n">
        <x:v>2025</x:v>
      </x:c>
      <x:c r="C143" s="76" t="n">
        <x:v>6</x:v>
      </x:c>
      <x:c r="D143" s="76" t="str">
        <x:v>Inventory turnover</x:v>
      </x:c>
      <x:c r="E143" s="76" t="str">
        <x:v>Mandatory</x:v>
      </x:c>
      <x:c r="F143" s="170" t="n">
        <x:f>-KOHC!H85</x:f>
        <x:v>22814.094271</x:v>
      </x:c>
      <x:c r="G143" s="170" t="n">
        <x:f>AVERAGE(KOHC!G65,KOHC!H65)</x:f>
        <x:v>7542.1469765</x:v>
      </x:c>
      <x:c r="H143" s="170" t="n">
        <x:f>IF(G143&lt;=0,"n/m",F143/G143)</x:f>
        <x:v>3.024880626442934</x:v>
      </x:c>
      <x:c r="I143" s="170" t="n">
        <x:v>22814.094271</x:v>
      </x:c>
      <x:c r="J143" s="170" t="n">
        <x:v>7542.1469765</x:v>
      </x:c>
      <x:c r="K143" s="170" t="n">
        <x:v>3.024880626442934</x:v>
      </x:c>
      <x:c r="L143" s="177" t="n">
        <x:v>3.024880626442934</x:v>
      </x:c>
      <x:c r="M143" s="177" t="n">
        <x:f>KOHC!H144</x:f>
        <x:v>3.024880626442934</x:v>
      </x:c>
      <x:c r="N143" s="178" t="str">
        <x:f>IF(AND(ABS(F143-I143)&lt;0.000001,ABS(G143-J143)&lt;0.000001,IF(ISNUMBER(L143),IF(ISNUMBER(M143),ABS(L143-M143)&lt;0.00000001,FALSE),M143=L143)),"PASS","FAIL")</x:f>
        <x:v>PASS</x:v>
      </x:c>
      <x:c r="O143" s="99" t="str"/>
      <x:c r="P143" s="76" t="str">
        <x:v>Asset Management</x:v>
      </x:c>
    </x:row>
    <x:row r="144" ht="26" customHeight="1">
      <x:c r="A144" s="168" t="str">
        <x:v>KOHC</x:v>
      </x:c>
      <x:c r="B144" s="168" t="n">
        <x:v>2025</x:v>
      </x:c>
      <x:c r="C144" s="168" t="n">
        <x:v>7</x:v>
      </x:c>
      <x:c r="D144" s="168" t="str">
        <x:v>Receivables turnover</x:v>
      </x:c>
      <x:c r="E144" s="168" t="str">
        <x:v>Additional</x:v>
      </x:c>
      <x:c r="F144" s="169" t="n">
        <x:f>KOHC!H84</x:f>
        <x:v>37535.700372</x:v>
      </x:c>
      <x:c r="G144" s="169" t="n">
        <x:f>AVERAGE(KOHC!G32,KOHC!H32)</x:f>
        <x:v>1901.2328670000002</x:v>
      </x:c>
      <x:c r="H144" s="169" t="n">
        <x:f>IF(G144&lt;=0,"n/m",F144/G144)</x:f>
        <x:v>19.742821104933064</x:v>
      </x:c>
      <x:c r="I144" s="169" t="n">
        <x:v>37535.700372</x:v>
      </x:c>
      <x:c r="J144" s="169" t="n">
        <x:v>1901.2328670000002</x:v>
      </x:c>
      <x:c r="K144" s="169" t="n">
        <x:v>19.742821104933064</x:v>
      </x:c>
      <x:c r="L144" s="175" t="n">
        <x:v>19.742821104933064</x:v>
      </x:c>
      <x:c r="M144" s="175" t="n">
        <x:f>KOHC!H145</x:f>
        <x:v>19.742821104933064</x:v>
      </x:c>
      <x:c r="N144" s="176" t="str">
        <x:f>IF(AND(ABS(F144-I144)&lt;0.000001,ABS(G144-J144)&lt;0.000001,IF(ISNUMBER(L144),IF(ISNUMBER(M144),ABS(L144-M144)&lt;0.00000001,FALSE),M144=L144)),"PASS","FAIL")</x:f>
        <x:v>PASS</x:v>
      </x:c>
      <x:c r="O144" s="171" t="str"/>
      <x:c r="P144" s="168" t="str">
        <x:v>Asset Management</x:v>
      </x:c>
    </x:row>
    <x:row r="145" ht="26" customHeight="1">
      <x:c r="A145" s="76" t="str">
        <x:v>KOHC</x:v>
      </x:c>
      <x:c r="B145" s="76" t="n">
        <x:v>2025</x:v>
      </x:c>
      <x:c r="C145" s="76" t="n">
        <x:v>8</x:v>
      </x:c>
      <x:c r="D145" s="76" t="str">
        <x:v>Payables turnover</x:v>
      </x:c>
      <x:c r="E145" s="76" t="str">
        <x:v>Additional</x:v>
      </x:c>
      <x:c r="F145" s="170" t="n">
        <x:f>-KOHC!H85</x:f>
        <x:v>22814.094271</x:v>
      </x:c>
      <x:c r="G145" s="170" t="n">
        <x:f>AVERAGE(KOHC!G51,KOHC!H51)</x:f>
        <x:v>1944.2914230000001</x:v>
      </x:c>
      <x:c r="H145" s="170" t="n">
        <x:f>IF(G145&lt;=0,"n/m",F145/G145)</x:f>
        <x:v>11.733886186566796</x:v>
      </x:c>
      <x:c r="I145" s="170" t="n">
        <x:v>22814.094271</x:v>
      </x:c>
      <x:c r="J145" s="170" t="n">
        <x:v>1944.2914230000001</x:v>
      </x:c>
      <x:c r="K145" s="170" t="n">
        <x:v>11.733886186566796</x:v>
      </x:c>
      <x:c r="L145" s="177" t="n">
        <x:v>11.733886186566796</x:v>
      </x:c>
      <x:c r="M145" s="177" t="n">
        <x:f>KOHC!H146</x:f>
        <x:v>11.733886186566796</x:v>
      </x:c>
      <x:c r="N145" s="178" t="str">
        <x:f>IF(AND(ABS(F145-I145)&lt;0.000001,ABS(G145-J145)&lt;0.000001,IF(ISNUMBER(L145),IF(ISNUMBER(M145),ABS(L145-M145)&lt;0.00000001,FALSE),M145=L145)),"PASS","FAIL")</x:f>
        <x:v>PASS</x:v>
      </x:c>
      <x:c r="O145" s="99" t="str"/>
      <x:c r="P145" s="76" t="str">
        <x:v>Asset Management</x:v>
      </x:c>
    </x:row>
    <x:row r="146" ht="26" customHeight="1">
      <x:c r="A146" s="168" t="str">
        <x:v>KOHC</x:v>
      </x:c>
      <x:c r="B146" s="168" t="n">
        <x:v>2025</x:v>
      </x:c>
      <x:c r="C146" s="168" t="n">
        <x:v>9</x:v>
      </x:c>
      <x:c r="D146" s="168" t="str">
        <x:v>Days inventory outstanding</x:v>
      </x:c>
      <x:c r="E146" s="168" t="str">
        <x:v>Additional</x:v>
      </x:c>
      <x:c r="F146" s="169" t="n">
        <x:f>365*AVERAGE(KOHC!G65,KOHC!H65)</x:f>
        <x:v>2752883.6464225003</x:v>
      </x:c>
      <x:c r="G146" s="169" t="n">
        <x:f>-KOHC!H85</x:f>
        <x:v>22814.094271</x:v>
      </x:c>
      <x:c r="H146" s="169" t="n">
        <x:f>IF(G146&lt;=0,"n/m",F146/G146)</x:f>
        <x:v>120.66591878345184</x:v>
      </x:c>
      <x:c r="I146" s="169" t="n">
        <x:v>2752883.6464225003</x:v>
      </x:c>
      <x:c r="J146" s="169" t="n">
        <x:v>22814.094271</x:v>
      </x:c>
      <x:c r="K146" s="169" t="n">
        <x:v>120.66591878345184</x:v>
      </x:c>
      <x:c r="L146" s="175" t="n">
        <x:v>120.66591878345184</x:v>
      </x:c>
      <x:c r="M146" s="175" t="n">
        <x:f>KOHC!H147</x:f>
        <x:v>120.66591878345184</x:v>
      </x:c>
      <x:c r="N146" s="176" t="str">
        <x:f>IF(AND(ABS(F146-I146)&lt;0.000001,ABS(G146-J146)&lt;0.000001,IF(ISNUMBER(L146),IF(ISNUMBER(M146),ABS(L146-M146)&lt;0.00000001,FALSE),M146=L146)),"PASS","FAIL")</x:f>
        <x:v>PASS</x:v>
      </x:c>
      <x:c r="O146" s="171" t="str"/>
      <x:c r="P146" s="168" t="str">
        <x:v>Asset Management</x:v>
      </x:c>
    </x:row>
    <x:row r="147" ht="26" customHeight="1">
      <x:c r="A147" s="76" t="str">
        <x:v>KOHC</x:v>
      </x:c>
      <x:c r="B147" s="76" t="n">
        <x:v>2025</x:v>
      </x:c>
      <x:c r="C147" s="76" t="n">
        <x:v>10</x:v>
      </x:c>
      <x:c r="D147" s="76" t="str">
        <x:v>Days sales outstanding</x:v>
      </x:c>
      <x:c r="E147" s="76" t="str">
        <x:v>Mandatory</x:v>
      </x:c>
      <x:c r="F147" s="170" t="n">
        <x:f>365*AVERAGE(KOHC!G32,KOHC!H32)</x:f>
        <x:v>693949.996455</x:v>
      </x:c>
      <x:c r="G147" s="170" t="n">
        <x:f>KOHC!H84</x:f>
        <x:v>37535.700372</x:v>
      </x:c>
      <x:c r="H147" s="170" t="n">
        <x:f>IF(G147&lt;=0,"n/m",F147/G147)</x:f>
        <x:v>18.487732733839078</x:v>
      </x:c>
      <x:c r="I147" s="170" t="n">
        <x:v>693949.996455</x:v>
      </x:c>
      <x:c r="J147" s="170" t="n">
        <x:v>37535.700372</x:v>
      </x:c>
      <x:c r="K147" s="170" t="n">
        <x:v>18.487732733839078</x:v>
      </x:c>
      <x:c r="L147" s="177" t="n">
        <x:v>18.487732733839078</x:v>
      </x:c>
      <x:c r="M147" s="177" t="n">
        <x:f>KOHC!H148</x:f>
        <x:v>18.487732733839078</x:v>
      </x:c>
      <x:c r="N147" s="178" t="str">
        <x:f>IF(AND(ABS(F147-I147)&lt;0.000001,ABS(G147-J147)&lt;0.000001,IF(ISNUMBER(L147),IF(ISNUMBER(M147),ABS(L147-M147)&lt;0.00000001,FALSE),M147=L147)),"PASS","FAIL")</x:f>
        <x:v>PASS</x:v>
      </x:c>
      <x:c r="O147" s="99" t="str"/>
      <x:c r="P147" s="76" t="str">
        <x:v>Asset Management</x:v>
      </x:c>
    </x:row>
    <x:row r="148" ht="26" customHeight="1">
      <x:c r="A148" s="168" t="str">
        <x:v>KOHC</x:v>
      </x:c>
      <x:c r="B148" s="168" t="n">
        <x:v>2025</x:v>
      </x:c>
      <x:c r="C148" s="168" t="n">
        <x:v>11</x:v>
      </x:c>
      <x:c r="D148" s="168" t="str">
        <x:v>Days payables outstanding</x:v>
      </x:c>
      <x:c r="E148" s="168" t="str">
        <x:v>Additional</x:v>
      </x:c>
      <x:c r="F148" s="169" t="n">
        <x:f>365*AVERAGE(KOHC!G51,KOHC!H51)</x:f>
        <x:v>709666.369395</x:v>
      </x:c>
      <x:c r="G148" s="169" t="n">
        <x:f>-KOHC!H85</x:f>
        <x:v>22814.094271</x:v>
      </x:c>
      <x:c r="H148" s="169" t="n">
        <x:f>IF(G148&lt;=0,"n/m",F148/G148)</x:f>
        <x:v>31.10648886452127</x:v>
      </x:c>
      <x:c r="I148" s="169" t="n">
        <x:v>709666.369395</x:v>
      </x:c>
      <x:c r="J148" s="169" t="n">
        <x:v>22814.094271</x:v>
      </x:c>
      <x:c r="K148" s="169" t="n">
        <x:v>31.10648886452127</x:v>
      </x:c>
      <x:c r="L148" s="175" t="n">
        <x:v>31.10648886452127</x:v>
      </x:c>
      <x:c r="M148" s="175" t="n">
        <x:f>KOHC!H149</x:f>
        <x:v>31.10648886452127</x:v>
      </x:c>
      <x:c r="N148" s="176" t="str">
        <x:f>IF(AND(ABS(F148-I148)&lt;0.000001,ABS(G148-J148)&lt;0.000001,IF(ISNUMBER(L148),IF(ISNUMBER(M148),ABS(L148-M148)&lt;0.00000001,FALSE),M148=L148)),"PASS","FAIL")</x:f>
        <x:v>PASS</x:v>
      </x:c>
      <x:c r="O148" s="171" t="str"/>
      <x:c r="P148" s="168" t="str">
        <x:v>Asset Management</x:v>
      </x:c>
    </x:row>
    <x:row r="149" ht="26" customHeight="1">
      <x:c r="A149" s="76" t="str">
        <x:v>KOHC</x:v>
      </x:c>
      <x:c r="B149" s="76" t="n">
        <x:v>2025</x:v>
      </x:c>
      <x:c r="C149" s="76" t="n">
        <x:v>12</x:v>
      </x:c>
      <x:c r="D149" s="76" t="str">
        <x:v>Operating cycle (days)</x:v>
      </x:c>
      <x:c r="E149" s="76" t="str">
        <x:v>Additional</x:v>
      </x:c>
      <x:c r="F149" s="170" t="n">
        <x:f>365*AVERAGE(KOHC!G65,KOHC!H65)/(-KOHC!H85)+365*AVERAGE(KOHC!G32,KOHC!H32)/KOHC!H84</x:f>
        <x:v>139.1536515172909</x:v>
      </x:c>
      <x:c r="G149" s="170" t="n">
        <x:f>1</x:f>
        <x:v>1</x:v>
      </x:c>
      <x:c r="H149" s="170" t="n">
        <x:f>IF(G149&lt;=0,"n/m",F149/G149)</x:f>
        <x:v>139.1536515172909</x:v>
      </x:c>
      <x:c r="I149" s="170" t="n">
        <x:v>139.1536515172909</x:v>
      </x:c>
      <x:c r="J149" s="170" t="n">
        <x:v>1</x:v>
      </x:c>
      <x:c r="K149" s="170" t="n">
        <x:v>139.1536515172909</x:v>
      </x:c>
      <x:c r="L149" s="177" t="n">
        <x:v>139.1536515172909</x:v>
      </x:c>
      <x:c r="M149" s="177" t="n">
        <x:f>KOHC!H150</x:f>
        <x:v>139.1536515172909</x:v>
      </x:c>
      <x:c r="N149" s="178" t="str">
        <x:f>IF(AND(ABS(F149-I149)&lt;0.000001,ABS(G149-J149)&lt;0.000001,IF(ISNUMBER(L149),IF(ISNUMBER(M149),ABS(L149-M149)&lt;0.00000001,FALSE),M149=L149)),"PASS","FAIL")</x:f>
        <x:v>PASS</x:v>
      </x:c>
      <x:c r="O149" s="99" t="str"/>
      <x:c r="P149" s="76" t="str">
        <x:v>Asset Management</x:v>
      </x:c>
    </x:row>
    <x:row r="150" ht="26" customHeight="1">
      <x:c r="A150" s="168" t="str">
        <x:v>KOHC</x:v>
      </x:c>
      <x:c r="B150" s="168" t="n">
        <x:v>2025</x:v>
      </x:c>
      <x:c r="C150" s="168" t="n">
        <x:v>13</x:v>
      </x:c>
      <x:c r="D150" s="168" t="str">
        <x:v>Cash conversion cycle (days)</x:v>
      </x:c>
      <x:c r="E150" s="168" t="str">
        <x:v>Additional</x:v>
      </x:c>
      <x:c r="F150" s="169" t="n">
        <x:f>365*AVERAGE(KOHC!G65,KOHC!H65)/(-KOHC!H85)+365*AVERAGE(KOHC!G32,KOHC!H32)/KOHC!H84-365*AVERAGE(KOHC!G51,KOHC!H51)/(-KOHC!H85)</x:f>
        <x:v>108.04716265276964</x:v>
      </x:c>
      <x:c r="G150" s="169" t="n">
        <x:f>1</x:f>
        <x:v>1</x:v>
      </x:c>
      <x:c r="H150" s="169" t="n">
        <x:f>IF(G150&lt;=0,"n/m",F150/G150)</x:f>
        <x:v>108.04716265276964</x:v>
      </x:c>
      <x:c r="I150" s="169" t="n">
        <x:v>108.04716265276964</x:v>
      </x:c>
      <x:c r="J150" s="169" t="n">
        <x:v>1</x:v>
      </x:c>
      <x:c r="K150" s="169" t="n">
        <x:v>108.04716265276964</x:v>
      </x:c>
      <x:c r="L150" s="175" t="n">
        <x:v>108.04716265276964</x:v>
      </x:c>
      <x:c r="M150" s="175" t="n">
        <x:f>KOHC!H151</x:f>
        <x:v>108.04716265276964</x:v>
      </x:c>
      <x:c r="N150" s="176" t="str">
        <x:f>IF(AND(ABS(F150-I150)&lt;0.000001,ABS(G150-J150)&lt;0.000001,IF(ISNUMBER(L150),IF(ISNUMBER(M150),ABS(L150-M150)&lt;0.00000001,FALSE),M150=L150)),"PASS","FAIL")</x:f>
        <x:v>PASS</x:v>
      </x:c>
      <x:c r="O150" s="171" t="str"/>
      <x:c r="P150" s="168" t="str">
        <x:v>Asset Management</x:v>
      </x:c>
    </x:row>
    <x:row r="151" ht="26" customHeight="1">
      <x:c r="A151" s="76" t="str">
        <x:v>KOHC</x:v>
      </x:c>
      <x:c r="B151" s="76" t="n">
        <x:v>2025</x:v>
      </x:c>
      <x:c r="C151" s="76" t="n">
        <x:v>14</x:v>
      </x:c>
      <x:c r="D151" s="76" t="str">
        <x:v>Total asset turnover</x:v>
      </x:c>
      <x:c r="E151" s="76" t="str">
        <x:v>Mandatory</x:v>
      </x:c>
      <x:c r="F151" s="170" t="n">
        <x:f>KOHC!H84</x:f>
        <x:v>37535.700372</x:v>
      </x:c>
      <x:c r="G151" s="170" t="n">
        <x:f>AVERAGE(KOHC!G37,KOHC!H37)</x:f>
        <x:v>62818.8034825</x:v>
      </x:c>
      <x:c r="H151" s="170" t="n">
        <x:f>IF(G151&lt;=0,"n/m",F151/G151)</x:f>
        <x:v>0.59752332567838</x:v>
      </x:c>
      <x:c r="I151" s="170" t="n">
        <x:v>37535.700372</x:v>
      </x:c>
      <x:c r="J151" s="170" t="n">
        <x:v>62818.8034825</x:v>
      </x:c>
      <x:c r="K151" s="170" t="n">
        <x:v>0.59752332567838</x:v>
      </x:c>
      <x:c r="L151" s="177" t="n">
        <x:v>0.59752332567838</x:v>
      </x:c>
      <x:c r="M151" s="177" t="n">
        <x:f>KOHC!H152</x:f>
        <x:v>0.59752332567838</x:v>
      </x:c>
      <x:c r="N151" s="178" t="str">
        <x:f>IF(AND(ABS(F151-I151)&lt;0.000001,ABS(G151-J151)&lt;0.000001,IF(ISNUMBER(L151),IF(ISNUMBER(M151),ABS(L151-M151)&lt;0.00000001,FALSE),M151=L151)),"PASS","FAIL")</x:f>
        <x:v>PASS</x:v>
      </x:c>
      <x:c r="O151" s="99" t="str"/>
      <x:c r="P151" s="76" t="str">
        <x:v>Asset Management</x:v>
      </x:c>
    </x:row>
    <x:row r="152" ht="26" customHeight="1">
      <x:c r="A152" s="168" t="str">
        <x:v>KOHC</x:v>
      </x:c>
      <x:c r="B152" s="168" t="n">
        <x:v>2025</x:v>
      </x:c>
      <x:c r="C152" s="168" t="n">
        <x:v>15</x:v>
      </x:c>
      <x:c r="D152" s="168" t="str">
        <x:v>Fixed asset turnover</x:v>
      </x:c>
      <x:c r="E152" s="168" t="str">
        <x:v>Mandatory</x:v>
      </x:c>
      <x:c r="F152" s="169" t="n">
        <x:f>KOHC!H84</x:f>
        <x:v>37535.700372</x:v>
      </x:c>
      <x:c r="G152" s="169" t="n">
        <x:f>AVERAGE(KOHC!G22,KOHC!H22)</x:f>
        <x:v>21015.329841000002</x:v>
      </x:c>
      <x:c r="H152" s="169" t="n">
        <x:f>IF(G152&lt;=0,"n/m",F152/G152)</x:f>
        <x:v>1.7861104563188661</x:v>
      </x:c>
      <x:c r="I152" s="169" t="n">
        <x:v>37535.700372</x:v>
      </x:c>
      <x:c r="J152" s="169" t="n">
        <x:v>21015.329841000002</x:v>
      </x:c>
      <x:c r="K152" s="169" t="n">
        <x:v>1.7861104563188661</x:v>
      </x:c>
      <x:c r="L152" s="175" t="n">
        <x:v>1.7861104563188661</x:v>
      </x:c>
      <x:c r="M152" s="175" t="n">
        <x:f>KOHC!H153</x:f>
        <x:v>1.7861104563188661</x:v>
      </x:c>
      <x:c r="N152" s="176" t="str">
        <x:f>IF(AND(ABS(F152-I152)&lt;0.000001,ABS(G152-J152)&lt;0.000001,IF(ISNUMBER(L152),IF(ISNUMBER(M152),ABS(L152-M152)&lt;0.00000001,FALSE),M152=L152)),"PASS","FAIL")</x:f>
        <x:v>PASS</x:v>
      </x:c>
      <x:c r="O152" s="171" t="str"/>
      <x:c r="P152" s="168" t="str">
        <x:v>Asset Management</x:v>
      </x:c>
    </x:row>
    <x:row r="153" ht="26" customHeight="1">
      <x:c r="A153" s="76" t="str">
        <x:v>KOHC</x:v>
      </x:c>
      <x:c r="B153" s="76" t="n">
        <x:v>2025</x:v>
      </x:c>
      <x:c r="C153" s="76" t="n">
        <x:v>16</x:v>
      </x:c>
      <x:c r="D153" s="76" t="str">
        <x:v>Debt ratio</x:v>
      </x:c>
      <x:c r="E153" s="76" t="str">
        <x:v>Mandatory</x:v>
      </x:c>
      <x:c r="F153" s="170" t="n">
        <x:f>KOHC!H62</x:f>
        <x:v>18839.116981</x:v>
      </x:c>
      <x:c r="G153" s="170" t="n">
        <x:f>KOHC!H37</x:f>
        <x:v>66794.311768</x:v>
      </x:c>
      <x:c r="H153" s="170" t="n">
        <x:f>IF(G153&lt;=0,"n/m",F153/G153)</x:f>
        <x:v>0.28204672647028445</x:v>
      </x:c>
      <x:c r="I153" s="170" t="n">
        <x:v>18839.116981</x:v>
      </x:c>
      <x:c r="J153" s="170" t="n">
        <x:v>66794.311768</x:v>
      </x:c>
      <x:c r="K153" s="170" t="n">
        <x:v>0.28204672647028445</x:v>
      </x:c>
      <x:c r="L153" s="177" t="n">
        <x:v>0.28204672647028445</x:v>
      </x:c>
      <x:c r="M153" s="177" t="n">
        <x:f>KOHC!H155</x:f>
        <x:v>0.28204672647028445</x:v>
      </x:c>
      <x:c r="N153" s="178" t="str">
        <x:f>IF(AND(ABS(F153-I153)&lt;0.000001,ABS(G153-J153)&lt;0.000001,IF(ISNUMBER(L153),IF(ISNUMBER(M153),ABS(L153-M153)&lt;0.00000001,FALSE),M153=L153)),"PASS","FAIL")</x:f>
        <x:v>PASS</x:v>
      </x:c>
      <x:c r="O153" s="99" t="str"/>
      <x:c r="P153" s="76" t="str">
        <x:v>Debt Management</x:v>
      </x:c>
    </x:row>
    <x:row r="154" ht="26" customHeight="1">
      <x:c r="A154" s="168" t="str">
        <x:v>KOHC</x:v>
      </x:c>
      <x:c r="B154" s="168" t="n">
        <x:v>2025</x:v>
      </x:c>
      <x:c r="C154" s="168" t="n">
        <x:v>17</x:v>
      </x:c>
      <x:c r="D154" s="168" t="str">
        <x:v>Debt-to-equity</x:v>
      </x:c>
      <x:c r="E154" s="168" t="str">
        <x:v>Mandatory</x:v>
      </x:c>
      <x:c r="F154" s="169" t="n">
        <x:f>KOHC!H62</x:f>
        <x:v>18839.116981</x:v>
      </x:c>
      <x:c r="G154" s="169" t="n">
        <x:f>KOHC!H41</x:f>
        <x:v>47955.194787</x:v>
      </x:c>
      <x:c r="H154" s="169" t="n">
        <x:f>IF(G154&lt;=0,"n/m",F154/G154)</x:f>
        <x:v>0.3928483048536595</x:v>
      </x:c>
      <x:c r="I154" s="169" t="n">
        <x:v>18839.116981</x:v>
      </x:c>
      <x:c r="J154" s="169" t="n">
        <x:v>47955.194787</x:v>
      </x:c>
      <x:c r="K154" s="169" t="n">
        <x:v>0.3928483048536595</x:v>
      </x:c>
      <x:c r="L154" s="175" t="n">
        <x:v>0.3928483048536595</x:v>
      </x:c>
      <x:c r="M154" s="175" t="n">
        <x:f>KOHC!H156</x:f>
        <x:v>0.3928483048536595</x:v>
      </x:c>
      <x:c r="N154" s="176" t="str">
        <x:f>IF(AND(ABS(F154-I154)&lt;0.000001,ABS(G154-J154)&lt;0.000001,IF(ISNUMBER(L154),IF(ISNUMBER(M154),ABS(L154-M154)&lt;0.00000001,FALSE),M154=L154)),"PASS","FAIL")</x:f>
        <x:v>PASS</x:v>
      </x:c>
      <x:c r="O154" s="171" t="str"/>
      <x:c r="P154" s="168" t="str">
        <x:v>Debt Management</x:v>
      </x:c>
    </x:row>
    <x:row r="155" ht="26" customHeight="1">
      <x:c r="A155" s="76" t="str">
        <x:v>KOHC</x:v>
      </x:c>
      <x:c r="B155" s="76" t="n">
        <x:v>2025</x:v>
      </x:c>
      <x:c r="C155" s="76" t="n">
        <x:v>18</x:v>
      </x:c>
      <x:c r="D155" s="76" t="str">
        <x:v>Total debt-to-capital</x:v>
      </x:c>
      <x:c r="E155" s="76" t="str">
        <x:v>Additional</x:v>
      </x:c>
      <x:c r="F155" s="170" t="n">
        <x:f>KOHC!H66</x:f>
        <x:v>2242.621544</x:v>
      </x:c>
      <x:c r="G155" s="170" t="n">
        <x:f>KOHC!H66+KOHC!H41</x:f>
        <x:v>50197.816331</x:v>
      </x:c>
      <x:c r="H155" s="170" t="n">
        <x:f>IF(G155&lt;=0,"n/m",F155/G155)</x:f>
        <x:v>0.044675679300716</x:v>
      </x:c>
      <x:c r="I155" s="170" t="n">
        <x:v>2242.621544</x:v>
      </x:c>
      <x:c r="J155" s="170" t="n">
        <x:v>50197.816331</x:v>
      </x:c>
      <x:c r="K155" s="170" t="n">
        <x:v>0.044675679300716</x:v>
      </x:c>
      <x:c r="L155" s="177" t="n">
        <x:v>0.044675679300716</x:v>
      </x:c>
      <x:c r="M155" s="177" t="n">
        <x:f>KOHC!H157</x:f>
        <x:v>0.044675679300716</x:v>
      </x:c>
      <x:c r="N155" s="178" t="str">
        <x:f>IF(AND(ABS(F155-I155)&lt;0.000001,ABS(G155-J155)&lt;0.000001,IF(ISNUMBER(L155),IF(ISNUMBER(M155),ABS(L155-M155)&lt;0.00000001,FALSE),M155=L155)),"PASS","FAIL")</x:f>
        <x:v>PASS</x:v>
      </x:c>
      <x:c r="O155" s="99" t="str"/>
      <x:c r="P155" s="76" t="str">
        <x:v>Debt Management</x:v>
      </x:c>
    </x:row>
    <x:row r="156" ht="26" customHeight="1">
      <x:c r="A156" s="168" t="str">
        <x:v>KOHC</x:v>
      </x:c>
      <x:c r="B156" s="168" t="n">
        <x:v>2025</x:v>
      </x:c>
      <x:c r="C156" s="168" t="n">
        <x:v>19</x:v>
      </x:c>
      <x:c r="D156" s="168" t="str">
        <x:v>Long-term debt ratio</x:v>
      </x:c>
      <x:c r="E156" s="168" t="str">
        <x:v>Additional</x:v>
      </x:c>
      <x:c r="F156" s="169" t="n">
        <x:f>KOHC!H67</x:f>
        <x:v>1448.977799</x:v>
      </x:c>
      <x:c r="G156" s="169" t="n">
        <x:f>KOHC!H37</x:f>
        <x:v>66794.311768</x:v>
      </x:c>
      <x:c r="H156" s="169" t="n">
        <x:f>IF(G156&lt;=0,"n/m",F156/G156)</x:f>
        <x:v>0.02169313165517457</x:v>
      </x:c>
      <x:c r="I156" s="169" t="n">
        <x:v>1448.977799</x:v>
      </x:c>
      <x:c r="J156" s="169" t="n">
        <x:v>66794.311768</x:v>
      </x:c>
      <x:c r="K156" s="169" t="n">
        <x:v>0.02169313165517457</x:v>
      </x:c>
      <x:c r="L156" s="175" t="n">
        <x:v>0.02169313165517457</x:v>
      </x:c>
      <x:c r="M156" s="175" t="n">
        <x:f>KOHC!H158</x:f>
        <x:v>0.02169313165517457</x:v>
      </x:c>
      <x:c r="N156" s="176" t="str">
        <x:f>IF(AND(ABS(F156-I156)&lt;0.000001,ABS(G156-J156)&lt;0.000001,IF(ISNUMBER(L156),IF(ISNUMBER(M156),ABS(L156-M156)&lt;0.00000001,FALSE),M156=L156)),"PASS","FAIL")</x:f>
        <x:v>PASS</x:v>
      </x:c>
      <x:c r="O156" s="171" t="str"/>
      <x:c r="P156" s="168" t="str">
        <x:v>Debt Management</x:v>
      </x:c>
    </x:row>
    <x:row r="157" ht="26" customHeight="1">
      <x:c r="A157" s="76" t="str">
        <x:v>KOHC</x:v>
      </x:c>
      <x:c r="B157" s="76" t="n">
        <x:v>2025</x:v>
      </x:c>
      <x:c r="C157" s="76" t="n">
        <x:v>20</x:v>
      </x:c>
      <x:c r="D157" s="76" t="str">
        <x:v>Times interest earned</x:v>
      </x:c>
      <x:c r="E157" s="76" t="str">
        <x:v>Mandatory</x:v>
      </x:c>
      <x:c r="F157" s="170" t="n">
        <x:f>KOHC!H108</x:f>
        <x:v>18096.734132999998</x:v>
      </x:c>
      <x:c r="G157" s="170" t="n">
        <x:f>KOHC!H106</x:f>
        <x:v>306.210739</x:v>
      </x:c>
      <x:c r="H157" s="170" t="n">
        <x:f>IF(G157&lt;=0,"n/m",F157/G157)</x:f>
        <x:v>59.09895319837231</x:v>
      </x:c>
      <x:c r="I157" s="170" t="n">
        <x:v>18096.734132999998</x:v>
      </x:c>
      <x:c r="J157" s="170" t="n">
        <x:v>306.210739</x:v>
      </x:c>
      <x:c r="K157" s="170" t="n">
        <x:v>59.09895319837231</x:v>
      </x:c>
      <x:c r="L157" s="177" t="n">
        <x:v>59.09895319837231</x:v>
      </x:c>
      <x:c r="M157" s="177" t="n">
        <x:f>KOHC!H159</x:f>
        <x:v>59.09895319837231</x:v>
      </x:c>
      <x:c r="N157" s="178" t="str">
        <x:f>IF(AND(ABS(F157-I157)&lt;0.000001,ABS(G157-J157)&lt;0.000001,IF(ISNUMBER(L157),IF(ISNUMBER(M157),ABS(L157-M157)&lt;0.00000001,FALSE),M157=L157)),"PASS","FAIL")</x:f>
        <x:v>PASS</x:v>
      </x:c>
      <x:c r="O157" s="99" t="str"/>
      <x:c r="P157" s="76" t="str">
        <x:v>Debt Management</x:v>
      </x:c>
    </x:row>
    <x:row r="158" ht="26" customHeight="1">
      <x:c r="A158" s="168" t="str">
        <x:v>KOHC</x:v>
      </x:c>
      <x:c r="B158" s="168" t="n">
        <x:v>2025</x:v>
      </x:c>
      <x:c r="C158" s="168" t="n">
        <x:v>21</x:v>
      </x:c>
      <x:c r="D158" s="168" t="str">
        <x:v>Gross profit margin</x:v>
      </x:c>
      <x:c r="E158" s="168" t="str">
        <x:v>Mandatory</x:v>
      </x:c>
      <x:c r="F158" s="169" t="n">
        <x:f>KOHC!H86</x:f>
        <x:v>14721.606100999998</x:v>
      </x:c>
      <x:c r="G158" s="169" t="n">
        <x:f>KOHC!H84</x:f>
        <x:v>37535.700372</x:v>
      </x:c>
      <x:c r="H158" s="169" t="n">
        <x:f>IF(G158&lt;=0,"n/m",F158/G158)</x:f>
        <x:v>0.39220278175445145</x:v>
      </x:c>
      <x:c r="I158" s="169" t="n">
        <x:v>14721.606100999998</x:v>
      </x:c>
      <x:c r="J158" s="169" t="n">
        <x:v>37535.700372</x:v>
      </x:c>
      <x:c r="K158" s="169" t="n">
        <x:v>0.39220278175445145</x:v>
      </x:c>
      <x:c r="L158" s="175" t="n">
        <x:v>0.39220278175445145</x:v>
      </x:c>
      <x:c r="M158" s="175" t="n">
        <x:f>KOHC!H161</x:f>
        <x:v>0.39220278175445145</x:v>
      </x:c>
      <x:c r="N158" s="176" t="str">
        <x:f>IF(AND(ABS(F158-I158)&lt;0.000001,ABS(G158-J158)&lt;0.000001,IF(ISNUMBER(L158),IF(ISNUMBER(M158),ABS(L158-M158)&lt;0.00000001,FALSE),M158=L158)),"PASS","FAIL")</x:f>
        <x:v>PASS</x:v>
      </x:c>
      <x:c r="O158" s="171" t="str"/>
      <x:c r="P158" s="168" t="str">
        <x:v>Profitability</x:v>
      </x:c>
    </x:row>
    <x:row r="159" ht="26" customHeight="1">
      <x:c r="A159" s="76" t="str">
        <x:v>KOHC</x:v>
      </x:c>
      <x:c r="B159" s="76" t="n">
        <x:v>2025</x:v>
      </x:c>
      <x:c r="C159" s="76" t="n">
        <x:v>22</x:v>
      </x:c>
      <x:c r="D159" s="76" t="str">
        <x:v>Operating margin</x:v>
      </x:c>
      <x:c r="E159" s="76" t="str">
        <x:v>Mandatory</x:v>
      </x:c>
      <x:c r="F159" s="170" t="n">
        <x:f>KOHC!H91</x:f>
        <x:v>12816.014935999998</x:v>
      </x:c>
      <x:c r="G159" s="170" t="n">
        <x:f>KOHC!H84</x:f>
        <x:v>37535.700372</x:v>
      </x:c>
      <x:c r="H159" s="170" t="n">
        <x:f>IF(G159&lt;=0,"n/m",F159/G159)</x:f>
        <x:v>0.34143534845456586</x:v>
      </x:c>
      <x:c r="I159" s="170" t="n">
        <x:v>12816.014935999998</x:v>
      </x:c>
      <x:c r="J159" s="170" t="n">
        <x:v>37535.700372</x:v>
      </x:c>
      <x:c r="K159" s="170" t="n">
        <x:v>0.34143534845456586</x:v>
      </x:c>
      <x:c r="L159" s="177" t="n">
        <x:v>0.34143534845456586</x:v>
      </x:c>
      <x:c r="M159" s="177" t="n">
        <x:f>KOHC!H162</x:f>
        <x:v>0.34143534845456586</x:v>
      </x:c>
      <x:c r="N159" s="178" t="str">
        <x:f>IF(AND(ABS(F159-I159)&lt;0.000001,ABS(G159-J159)&lt;0.000001,IF(ISNUMBER(L159),IF(ISNUMBER(M159),ABS(L159-M159)&lt;0.00000001,FALSE),M159=L159)),"PASS","FAIL")</x:f>
        <x:v>PASS</x:v>
      </x:c>
      <x:c r="O159" s="99" t="str"/>
      <x:c r="P159" s="76" t="str">
        <x:v>Profitability</x:v>
      </x:c>
    </x:row>
    <x:row r="160" ht="26" customHeight="1">
      <x:c r="A160" s="168" t="str">
        <x:v>KOHC</x:v>
      </x:c>
      <x:c r="B160" s="168" t="n">
        <x:v>2025</x:v>
      </x:c>
      <x:c r="C160" s="168" t="n">
        <x:v>23</x:v>
      </x:c>
      <x:c r="D160" s="168" t="str">
        <x:v>Net profit margin</x:v>
      </x:c>
      <x:c r="E160" s="168" t="str">
        <x:v>Mandatory</x:v>
      </x:c>
      <x:c r="F160" s="169" t="n">
        <x:f>KOHC!H99</x:f>
        <x:v>11575.154071</x:v>
      </x:c>
      <x:c r="G160" s="169" t="n">
        <x:f>KOHC!H84</x:f>
        <x:v>37535.700372</x:v>
      </x:c>
      <x:c r="H160" s="169" t="n">
        <x:f>IF(G160&lt;=0,"n/m",F160/G160)</x:f>
        <x:v>0.3083771970759486</x:v>
      </x:c>
      <x:c r="I160" s="169" t="n">
        <x:v>11575.154071</x:v>
      </x:c>
      <x:c r="J160" s="169" t="n">
        <x:v>37535.700372</x:v>
      </x:c>
      <x:c r="K160" s="169" t="n">
        <x:v>0.3083771970759486</x:v>
      </x:c>
      <x:c r="L160" s="175" t="n">
        <x:v>0.3083771970759486</x:v>
      </x:c>
      <x:c r="M160" s="175" t="n">
        <x:f>KOHC!H163</x:f>
        <x:v>0.3083771970759486</x:v>
      </x:c>
      <x:c r="N160" s="176" t="str">
        <x:f>IF(AND(ABS(F160-I160)&lt;0.000001,ABS(G160-J160)&lt;0.000001,IF(ISNUMBER(L160),IF(ISNUMBER(M160),ABS(L160-M160)&lt;0.00000001,FALSE),M160=L160)),"PASS","FAIL")</x:f>
        <x:v>PASS</x:v>
      </x:c>
      <x:c r="O160" s="171" t="str"/>
      <x:c r="P160" s="168" t="str">
        <x:v>Profitability</x:v>
      </x:c>
    </x:row>
    <x:row r="161" ht="26" customHeight="1">
      <x:c r="A161" s="76" t="str">
        <x:v>KOHC</x:v>
      </x:c>
      <x:c r="B161" s="76" t="n">
        <x:v>2025</x:v>
      </x:c>
      <x:c r="C161" s="76" t="n">
        <x:v>24</x:v>
      </x:c>
      <x:c r="D161" s="76" t="str">
        <x:v>Return on assets</x:v>
      </x:c>
      <x:c r="E161" s="76" t="str">
        <x:v>Mandatory</x:v>
      </x:c>
      <x:c r="F161" s="170" t="n">
        <x:f>KOHC!H99</x:f>
        <x:v>11575.154071</x:v>
      </x:c>
      <x:c r="G161" s="170" t="n">
        <x:f>AVERAGE(KOHC!G37,KOHC!H37)</x:f>
        <x:v>62818.8034825</x:v>
      </x:c>
      <x:c r="H161" s="170" t="n">
        <x:f>IF(G161&lt;=0,"n/m",F161/G161)</x:f>
        <x:v>0.184262568360198</x:v>
      </x:c>
      <x:c r="I161" s="170" t="n">
        <x:v>11575.154071</x:v>
      </x:c>
      <x:c r="J161" s="170" t="n">
        <x:v>62818.8034825</x:v>
      </x:c>
      <x:c r="K161" s="170" t="n">
        <x:v>0.184262568360198</x:v>
      </x:c>
      <x:c r="L161" s="177" t="n">
        <x:v>0.184262568360198</x:v>
      </x:c>
      <x:c r="M161" s="177" t="n">
        <x:f>KOHC!H164</x:f>
        <x:v>0.184262568360198</x:v>
      </x:c>
      <x:c r="N161" s="178" t="str">
        <x:f>IF(AND(ABS(F161-I161)&lt;0.000001,ABS(G161-J161)&lt;0.000001,IF(ISNUMBER(L161),IF(ISNUMBER(M161),ABS(L161-M161)&lt;0.00000001,FALSE),M161=L161)),"PASS","FAIL")</x:f>
        <x:v>PASS</x:v>
      </x:c>
      <x:c r="O161" s="99" t="str"/>
      <x:c r="P161" s="76" t="str">
        <x:v>Profitability</x:v>
      </x:c>
    </x:row>
    <x:row r="162" ht="26" customHeight="1">
      <x:c r="A162" s="168" t="str">
        <x:v>KOHC</x:v>
      </x:c>
      <x:c r="B162" s="168" t="n">
        <x:v>2025</x:v>
      </x:c>
      <x:c r="C162" s="168" t="n">
        <x:v>25</x:v>
      </x:c>
      <x:c r="D162" s="168" t="str">
        <x:v>Return on equity</x:v>
      </x:c>
      <x:c r="E162" s="168" t="str">
        <x:v>Mandatory</x:v>
      </x:c>
      <x:c r="F162" s="169" t="n">
        <x:f>KOHC!H99</x:f>
        <x:v>11575.154071</x:v>
      </x:c>
      <x:c r="G162" s="169" t="n">
        <x:f>AVERAGE(KOHC!G41,KOHC!H41)</x:f>
        <x:v>44522.750039000006</x:v>
      </x:c>
      <x:c r="H162" s="169" t="n">
        <x:f>IF(G162&lt;=0,"n/m",F162/G162)</x:f>
        <x:v>0.25998290898160303</x:v>
      </x:c>
      <x:c r="I162" s="169" t="n">
        <x:v>11575.154071</x:v>
      </x:c>
      <x:c r="J162" s="169" t="n">
        <x:v>44522.750039000006</x:v>
      </x:c>
      <x:c r="K162" s="169" t="n">
        <x:v>0.25998290898160303</x:v>
      </x:c>
      <x:c r="L162" s="175" t="n">
        <x:v>0.25998290898160303</x:v>
      </x:c>
      <x:c r="M162" s="175" t="n">
        <x:f>KOHC!H165</x:f>
        <x:v>0.25998290898160303</x:v>
      </x:c>
      <x:c r="N162" s="176" t="str">
        <x:f>IF(AND(ABS(F162-I162)&lt;0.000001,ABS(G162-J162)&lt;0.000001,IF(ISNUMBER(L162),IF(ISNUMBER(M162),ABS(L162-M162)&lt;0.00000001,FALSE),M162=L162)),"PASS","FAIL")</x:f>
        <x:v>PASS</x:v>
      </x:c>
      <x:c r="O162" s="171" t="str"/>
      <x:c r="P162" s="168" t="str">
        <x:v>Profitability</x:v>
      </x:c>
    </x:row>
    <x:row r="163" ht="26" customHeight="1">
      <x:c r="A163" s="76" t="str">
        <x:v>KOHC</x:v>
      </x:c>
      <x:c r="B163" s="76" t="n">
        <x:v>2025</x:v>
      </x:c>
      <x:c r="C163" s="76" t="n">
        <x:v>26</x:v>
      </x:c>
      <x:c r="D163" s="76" t="str">
        <x:v>Return on invested capital</x:v>
      </x:c>
      <x:c r="E163" s="76" t="str">
        <x:v>Additional</x:v>
      </x:c>
      <x:c r="F163" s="170" t="n">
        <x:f>KOHC!H113</x:f>
        <x:v>11803.379165352044</x:v>
      </x:c>
      <x:c r="G163" s="170" t="n">
        <x:f>AVERAGE(KOHC!G70,KOHC!H70)</x:f>
        <x:v>46720.59061300001</x:v>
      </x:c>
      <x:c r="H163" s="170" t="n">
        <x:f>IF(G163&lt;=0,"n/m",F163/G163)</x:f>
        <x:v>0.2526376274461683</x:v>
      </x:c>
      <x:c r="I163" s="170" t="n">
        <x:v>11803.379165352044</x:v>
      </x:c>
      <x:c r="J163" s="170" t="n">
        <x:v>46720.59061300001</x:v>
      </x:c>
      <x:c r="K163" s="170" t="n">
        <x:v>0.2526376274461683</x:v>
      </x:c>
      <x:c r="L163" s="177" t="n">
        <x:v>0.2526376274461683</x:v>
      </x:c>
      <x:c r="M163" s="177" t="n">
        <x:f>KOHC!H166</x:f>
        <x:v>0.2526376274461683</x:v>
      </x:c>
      <x:c r="N163" s="178" t="str">
        <x:f>IF(AND(ABS(F163-I163)&lt;0.000001,ABS(G163-J163)&lt;0.000001,IF(ISNUMBER(L163),IF(ISNUMBER(M163),ABS(L163-M163)&lt;0.00000001,FALSE),M163=L163)),"PASS","FAIL")</x:f>
        <x:v>PASS</x:v>
      </x:c>
      <x:c r="O163" s="99" t="str"/>
      <x:c r="P163" s="76" t="str">
        <x:v>Profitability</x:v>
      </x:c>
    </x:row>
    <x:row r="164" ht="26" customHeight="1">
      <x:c r="A164" s="168" t="str">
        <x:v>KOHC</x:v>
      </x:c>
      <x:c r="B164" s="168" t="n">
        <x:v>2025</x:v>
      </x:c>
      <x:c r="C164" s="168" t="n">
        <x:v>27</x:v>
      </x:c>
      <x:c r="D164" s="168" t="str">
        <x:v>Basic earning power</x:v>
      </x:c>
      <x:c r="E164" s="168" t="str">
        <x:v>Additional</x:v>
      </x:c>
      <x:c r="F164" s="169" t="n">
        <x:f>KOHC!H108</x:f>
        <x:v>18096.734132999998</x:v>
      </x:c>
      <x:c r="G164" s="169" t="n">
        <x:f>AVERAGE(KOHC!G37,KOHC!H37)</x:f>
        <x:v>62818.8034825</x:v>
      </x:c>
      <x:c r="H164" s="169" t="n">
        <x:f>IF(G164&lt;=0,"n/m",F164/G164)</x:f>
        <x:v>0.28807830028219766</x:v>
      </x:c>
      <x:c r="I164" s="169" t="n">
        <x:v>18096.734132999998</x:v>
      </x:c>
      <x:c r="J164" s="169" t="n">
        <x:v>62818.8034825</x:v>
      </x:c>
      <x:c r="K164" s="169" t="n">
        <x:v>0.28807830028219766</x:v>
      </x:c>
      <x:c r="L164" s="175" t="n">
        <x:v>0.28807830028219766</x:v>
      </x:c>
      <x:c r="M164" s="175" t="n">
        <x:f>KOHC!H167</x:f>
        <x:v>0.28807830028219766</x:v>
      </x:c>
      <x:c r="N164" s="176" t="str">
        <x:f>IF(AND(ABS(F164-I164)&lt;0.000001,ABS(G164-J164)&lt;0.000001,IF(ISNUMBER(L164),IF(ISNUMBER(M164),ABS(L164-M164)&lt;0.00000001,FALSE),M164=L164)),"PASS","FAIL")</x:f>
        <x:v>PASS</x:v>
      </x:c>
      <x:c r="O164" s="171" t="str"/>
      <x:c r="P164" s="168" t="str">
        <x:v>Profitability</x:v>
      </x:c>
    </x:row>
    <x:row r="165" ht="26" customHeight="1">
      <x:c r="A165" s="76" t="str">
        <x:v>KOHC</x:v>
      </x:c>
      <x:c r="B165" s="76" t="n">
        <x:v>2025</x:v>
      </x:c>
      <x:c r="C165" s="76" t="n">
        <x:v>28</x:v>
      </x:c>
      <x:c r="D165" s="76" t="str">
        <x:v>Book value per share (Rs)</x:v>
      </x:c>
      <x:c r="E165" s="76" t="str">
        <x:v>Additional</x:v>
      </x:c>
      <x:c r="F165" s="170" t="n">
        <x:f>KOHC!H41</x:f>
        <x:v>47955.194787</x:v>
      </x:c>
      <x:c r="G165" s="170" t="n">
        <x:f>KOHC!H128</x:f>
        <x:v>183.86129699999998</x:v>
      </x:c>
      <x:c r="H165" s="170" t="n">
        <x:f>IF(G165&lt;=0,"n/m",F165/G165)</x:f>
        <x:v>260.8226721418157</x:v>
      </x:c>
      <x:c r="I165" s="170" t="n">
        <x:v>47955.194787</x:v>
      </x:c>
      <x:c r="J165" s="170" t="n">
        <x:v>183.86129699999998</x:v>
      </x:c>
      <x:c r="K165" s="170" t="n">
        <x:v>260.8226721418157</x:v>
      </x:c>
      <x:c r="L165" s="177" t="n">
        <x:v>260.8226721418157</x:v>
      </x:c>
      <x:c r="M165" s="177" t="n">
        <x:f>KOHC!H169</x:f>
        <x:v>260.8226721418157</x:v>
      </x:c>
      <x:c r="N165" s="178" t="str">
        <x:f>IF(AND(ABS(F165-I165)&lt;0.000001,ABS(G165-J165)&lt;0.000001,IF(ISNUMBER(L165),IF(ISNUMBER(M165),ABS(L165-M165)&lt;0.00000001,FALSE),M165=L165)),"PASS","FAIL")</x:f>
        <x:v>PASS</x:v>
      </x:c>
      <x:c r="O165" s="99" t="str"/>
      <x:c r="P165" s="76" t="str">
        <x:v>Market Value</x:v>
      </x:c>
    </x:row>
    <x:row r="166" ht="26" customHeight="1">
      <x:c r="A166" s="168" t="str">
        <x:v>KOHC</x:v>
      </x:c>
      <x:c r="B166" s="168" t="n">
        <x:v>2025</x:v>
      </x:c>
      <x:c r="C166" s="168" t="n">
        <x:v>29</x:v>
      </x:c>
      <x:c r="D166" s="168" t="str">
        <x:v>Market-to-book ratio</x:v>
      </x:c>
      <x:c r="E166" s="168" t="str">
        <x:v>Mandatory</x:v>
      </x:c>
      <x:c r="F166" s="169" t="n">
        <x:f>KOHC!H130</x:f>
        <x:v>379.36</x:v>
      </x:c>
      <x:c r="G166" s="169" t="n">
        <x:f>KOHC!H41/KOHC!H128</x:f>
        <x:v>260.8226721418157</x:v>
      </x:c>
      <x:c r="H166" s="169" t="n">
        <x:f>IF(G166&lt;=0,"n/m",F166/G166)</x:f>
        <x:v>1.4544747850514033</x:v>
      </x:c>
      <x:c r="I166" s="169" t="n">
        <x:v>379.36</x:v>
      </x:c>
      <x:c r="J166" s="169" t="n">
        <x:v>260.8226721418157</x:v>
      </x:c>
      <x:c r="K166" s="169" t="n">
        <x:v>1.4544747850514033</x:v>
      </x:c>
      <x:c r="L166" s="175" t="n">
        <x:v>1.4544747850514033</x:v>
      </x:c>
      <x:c r="M166" s="175" t="n">
        <x:f>KOHC!H170</x:f>
        <x:v>1.4544747850514033</x:v>
      </x:c>
      <x:c r="N166" s="176" t="str">
        <x:f>IF(AND(ABS(F166-I166)&lt;0.000001,ABS(G166-J166)&lt;0.000001,IF(ISNUMBER(L166),IF(ISNUMBER(M166),ABS(L166-M166)&lt;0.00000001,FALSE),M166=L166)),"PASS","FAIL")</x:f>
        <x:v>PASS</x:v>
      </x:c>
      <x:c r="O166" s="171" t="str"/>
      <x:c r="P166" s="168" t="str">
        <x:v>Market Value</x:v>
      </x:c>
    </x:row>
    <x:row r="167" ht="26" customHeight="1">
      <x:c r="A167" s="76" t="str">
        <x:v>KOHC</x:v>
      </x:c>
      <x:c r="B167" s="76" t="n">
        <x:v>2025</x:v>
      </x:c>
      <x:c r="C167" s="76" t="n">
        <x:v>30</x:v>
      </x:c>
      <x:c r="D167" s="76" t="str">
        <x:v>Earnings per share (Rs)</x:v>
      </x:c>
      <x:c r="E167" s="76" t="str">
        <x:v>Mandatory</x:v>
      </x:c>
      <x:c r="F167" s="170" t="n">
        <x:f>KOHC!H99</x:f>
        <x:v>11575.154071</x:v>
      </x:c>
      <x:c r="G167" s="170" t="n">
        <x:f>KOHC!H129</x:f>
        <x:v>193.42842</x:v>
      </x:c>
      <x:c r="H167" s="170" t="n">
        <x:f>IF(G167&lt;=0,"n/m",F167/G167)</x:f>
        <x:v>59.84205460086993</x:v>
      </x:c>
      <x:c r="I167" s="170" t="n">
        <x:v>11575.154071</x:v>
      </x:c>
      <x:c r="J167" s="170" t="n">
        <x:v>193.42842</x:v>
      </x:c>
      <x:c r="K167" s="170" t="n">
        <x:v>59.84205460086993</x:v>
      </x:c>
      <x:c r="L167" s="177" t="n">
        <x:v>59.84205460086993</x:v>
      </x:c>
      <x:c r="M167" s="177" t="n">
        <x:f>KOHC!H171</x:f>
        <x:v>59.84205460086993</x:v>
      </x:c>
      <x:c r="N167" s="178" t="str">
        <x:f>IF(AND(ABS(F167-I167)&lt;0.000001,ABS(G167-J167)&lt;0.000001,IF(ISNUMBER(L167),IF(ISNUMBER(M167),ABS(L167-M167)&lt;0.00000001,FALSE),M167=L167)),"PASS","FAIL")</x:f>
        <x:v>PASS</x:v>
      </x:c>
      <x:c r="O167" s="99" t="str"/>
      <x:c r="P167" s="76" t="str">
        <x:v>Market Value</x:v>
      </x:c>
    </x:row>
    <x:row r="168" ht="26" customHeight="1">
      <x:c r="A168" s="168" t="str">
        <x:v>KOHC</x:v>
      </x:c>
      <x:c r="B168" s="168" t="n">
        <x:v>2025</x:v>
      </x:c>
      <x:c r="C168" s="168" t="n">
        <x:v>31</x:v>
      </x:c>
      <x:c r="D168" s="168" t="str">
        <x:v>Price-to-earnings ratio</x:v>
      </x:c>
      <x:c r="E168" s="168" t="str">
        <x:v>Mandatory</x:v>
      </x:c>
      <x:c r="F168" s="169" t="n">
        <x:f>KOHC!H130</x:f>
        <x:v>379.36</x:v>
      </x:c>
      <x:c r="G168" s="169" t="n">
        <x:f>KOHC!H99/KOHC!H129</x:f>
        <x:v>59.84205460086993</x:v>
      </x:c>
      <x:c r="H168" s="169" t="n">
        <x:f>IF(G168&lt;=0,"n/m",F168/G168)</x:f>
        <x:v>6.339354531361382</x:v>
      </x:c>
      <x:c r="I168" s="169" t="n">
        <x:v>379.36</x:v>
      </x:c>
      <x:c r="J168" s="169" t="n">
        <x:v>59.84205460086993</x:v>
      </x:c>
      <x:c r="K168" s="169" t="n">
        <x:v>6.339354531361382</x:v>
      </x:c>
      <x:c r="L168" s="175" t="n">
        <x:v>6.339354531361382</x:v>
      </x:c>
      <x:c r="M168" s="175" t="n">
        <x:f>KOHC!H172</x:f>
        <x:v>6.339354531361382</x:v>
      </x:c>
      <x:c r="N168" s="176" t="str">
        <x:f>IF(AND(ABS(F168-I168)&lt;0.000001,ABS(G168-J168)&lt;0.000001,IF(ISNUMBER(L168),IF(ISNUMBER(M168),ABS(L168-M168)&lt;0.00000001,FALSE),M168=L168)),"PASS","FAIL")</x:f>
        <x:v>PASS</x:v>
      </x:c>
      <x:c r="O168" s="171" t="str"/>
      <x:c r="P168" s="168" t="str">
        <x:v>Market Value</x:v>
      </x:c>
    </x:row>
    <x:row r="169" ht="26" customHeight="1">
      <x:c r="A169" s="76" t="str">
        <x:v>KOHC</x:v>
      </x:c>
      <x:c r="B169" s="76" t="n">
        <x:v>2025</x:v>
      </x:c>
      <x:c r="C169" s="76" t="n">
        <x:v>32</x:v>
      </x:c>
      <x:c r="D169" s="76" t="str">
        <x:v>Dividend yield</x:v>
      </x:c>
      <x:c r="E169" s="76" t="str">
        <x:v>Mandatory</x:v>
      </x:c>
      <x:c r="F169" s="170" t="n">
        <x:f>KOHC!H131</x:f>
        <x:v>0</x:v>
      </x:c>
      <x:c r="G169" s="170" t="n">
        <x:f>KOHC!H130</x:f>
        <x:v>379.36</x:v>
      </x:c>
      <x:c r="H169" s="170" t="n">
        <x:f>IF(G169&lt;=0,"n/m",F169/G169)</x:f>
        <x:v>0</x:v>
      </x:c>
      <x:c r="I169" s="170" t="n">
        <x:v>0</x:v>
      </x:c>
      <x:c r="J169" s="170" t="n">
        <x:v>379.36</x:v>
      </x:c>
      <x:c r="K169" s="170" t="n">
        <x:v>0</x:v>
      </x:c>
      <x:c r="L169" s="177" t="n">
        <x:v>0</x:v>
      </x:c>
      <x:c r="M169" s="177" t="n">
        <x:f>KOHC!H173</x:f>
        <x:v>0</x:v>
      </x:c>
      <x:c r="N169" s="178" t="str">
        <x:f>IF(AND(ABS(F169-I169)&lt;0.000001,ABS(G169-J169)&lt;0.000001,IF(ISNUMBER(L169),IF(ISNUMBER(M169),ABS(L169-M169)&lt;0.00000001,FALSE),M169=L169)),"PASS","FAIL")</x:f>
        <x:v>PASS</x:v>
      </x:c>
      <x:c r="O169" s="99" t="str"/>
      <x:c r="P169" s="76" t="str">
        <x:v>Market Value</x:v>
      </x:c>
    </x:row>
    <x:row r="170" ht="26" customHeight="1">
      <x:c r="A170" s="168" t="str">
        <x:v>KOHC</x:v>
      </x:c>
      <x:c r="B170" s="168" t="n">
        <x:v>2025</x:v>
      </x:c>
      <x:c r="C170" s="168" t="n">
        <x:v>33</x:v>
      </x:c>
      <x:c r="D170" s="168" t="str">
        <x:v>Dividend payout ratio</x:v>
      </x:c>
      <x:c r="E170" s="168" t="str">
        <x:v>Additional</x:v>
      </x:c>
      <x:c r="F170" s="169" t="n">
        <x:f>KOHC!H131</x:f>
        <x:v>0</x:v>
      </x:c>
      <x:c r="G170" s="169" t="n">
        <x:f>KOHC!H99/KOHC!H129</x:f>
        <x:v>59.84205460086993</x:v>
      </x:c>
      <x:c r="H170" s="169" t="n">
        <x:f>IF(G170&lt;=0,"n/m",F170/G170)</x:f>
        <x:v>0</x:v>
      </x:c>
      <x:c r="I170" s="169" t="n">
        <x:v>0</x:v>
      </x:c>
      <x:c r="J170" s="169" t="n">
        <x:v>59.84205460086993</x:v>
      </x:c>
      <x:c r="K170" s="169" t="n">
        <x:v>0</x:v>
      </x:c>
      <x:c r="L170" s="175" t="n">
        <x:v>0</x:v>
      </x:c>
      <x:c r="M170" s="175" t="n">
        <x:f>KOHC!H174</x:f>
        <x:v>0</x:v>
      </x:c>
      <x:c r="N170" s="176" t="str">
        <x:f>IF(AND(ABS(F170-I170)&lt;0.000001,ABS(G170-J170)&lt;0.000001,IF(ISNUMBER(L170),IF(ISNUMBER(M170),ABS(L170-M170)&lt;0.00000001,FALSE),M170=L170)),"PASS","FAIL")</x:f>
        <x:v>PASS</x:v>
      </x:c>
      <x:c r="O170" s="171" t="str"/>
      <x:c r="P170" s="168" t="str">
        <x:v>Market Value</x:v>
      </x:c>
    </x:row>
    <x:row r="171" ht="26" customHeight="1">
      <x:c r="A171" s="76" t="str">
        <x:v>LUCK</x:v>
      </x:c>
      <x:c r="B171" s="76" t="n">
        <x:v>2021</x:v>
      </x:c>
      <x:c r="C171" s="76" t="n">
        <x:v>1</x:v>
      </x:c>
      <x:c r="D171" s="76" t="str">
        <x:v>Current ratio</x:v>
      </x:c>
      <x:c r="E171" s="76" t="str">
        <x:v>Mandatory</x:v>
      </x:c>
      <x:c r="F171" s="170" t="n">
        <x:f>LUCK!D36</x:f>
        <x:v>40676.368</x:v>
      </x:c>
      <x:c r="G171" s="170" t="n">
        <x:f>LUCK!D61</x:f>
        <x:v>30387.065999999995</x:v>
      </x:c>
      <x:c r="H171" s="170" t="n">
        <x:f>IF(G171&lt;=0,"n/m",F171/G171)</x:f>
        <x:v>1.3386079458938223</x:v>
      </x:c>
      <x:c r="I171" s="170" t="n">
        <x:v>40676.368</x:v>
      </x:c>
      <x:c r="J171" s="170" t="n">
        <x:v>30387.066</x:v>
      </x:c>
      <x:c r="K171" s="170" t="n">
        <x:v>1.3386079458938223</x:v>
      </x:c>
      <x:c r="L171" s="177" t="n">
        <x:v>1.3386079458938223</x:v>
      </x:c>
      <x:c r="M171" s="177" t="n">
        <x:f>LUCK!D138</x:f>
        <x:v>1.3386079458938223</x:v>
      </x:c>
      <x:c r="N171" s="178" t="str">
        <x:f>IF(AND(ABS(F171-I171)&lt;0.000001,ABS(G171-J171)&lt;0.000001,IF(ISNUMBER(L171),IF(ISNUMBER(M171),ABS(L171-M171)&lt;0.00000001,FALSE),M171=L171)),"PASS","FAIL")</x:f>
        <x:v>PASS</x:v>
      </x:c>
      <x:c r="O171" s="99" t="str"/>
      <x:c r="P171" s="76" t="str">
        <x:v>Liquidity</x:v>
      </x:c>
    </x:row>
    <x:row r="172" ht="26" customHeight="1">
      <x:c r="A172" s="168" t="str">
        <x:v>LUCK</x:v>
      </x:c>
      <x:c r="B172" s="168" t="n">
        <x:v>2021</x:v>
      </x:c>
      <x:c r="C172" s="168" t="n">
        <x:v>2</x:v>
      </x:c>
      <x:c r="D172" s="168" t="str">
        <x:v>Quick ratio</x:v>
      </x:c>
      <x:c r="E172" s="168" t="str">
        <x:v>Mandatory</x:v>
      </x:c>
      <x:c r="F172" s="169" t="n">
        <x:f>LUCK!D36-LUCK!D65</x:f>
        <x:v>27044.758</x:v>
      </x:c>
      <x:c r="G172" s="169" t="n">
        <x:f>LUCK!D61</x:f>
        <x:v>30387.065999999995</x:v>
      </x:c>
      <x:c r="H172" s="169" t="n">
        <x:f>IF(G172&lt;=0,"n/m",F172/G172)</x:f>
        <x:v>0.890008861006851</x:v>
      </x:c>
      <x:c r="I172" s="169" t="n">
        <x:v>27044.758</x:v>
      </x:c>
      <x:c r="J172" s="169" t="n">
        <x:v>30387.066</x:v>
      </x:c>
      <x:c r="K172" s="169" t="n">
        <x:v>0.8900088610068508</x:v>
      </x:c>
      <x:c r="L172" s="175" t="n">
        <x:v>0.8900088610068508</x:v>
      </x:c>
      <x:c r="M172" s="175" t="n">
        <x:f>LUCK!D139</x:f>
        <x:v>0.890008861006851</x:v>
      </x:c>
      <x:c r="N172" s="176" t="str">
        <x:f>IF(AND(ABS(F172-I172)&lt;0.000001,ABS(G172-J172)&lt;0.000001,IF(ISNUMBER(L172),IF(ISNUMBER(M172),ABS(L172-M172)&lt;0.00000001,FALSE),M172=L172)),"PASS","FAIL")</x:f>
        <x:v>PASS</x:v>
      </x:c>
      <x:c r="O172" s="171" t="str"/>
      <x:c r="P172" s="168" t="str">
        <x:v>Liquidity</x:v>
      </x:c>
    </x:row>
    <x:row r="173" ht="26" customHeight="1">
      <x:c r="A173" s="76" t="str">
        <x:v>LUCK</x:v>
      </x:c>
      <x:c r="B173" s="76" t="n">
        <x:v>2021</x:v>
      </x:c>
      <x:c r="C173" s="76" t="n">
        <x:v>3</x:v>
      </x:c>
      <x:c r="D173" s="76" t="str">
        <x:v>Cash ratio</x:v>
      </x:c>
      <x:c r="E173" s="76" t="str">
        <x:v>Mandatory</x:v>
      </x:c>
      <x:c r="F173" s="170" t="n">
        <x:f>LUCK!D34</x:f>
        <x:v>2825.424</x:v>
      </x:c>
      <x:c r="G173" s="170" t="n">
        <x:f>LUCK!D61</x:f>
        <x:v>30387.065999999995</x:v>
      </x:c>
      <x:c r="H173" s="170" t="n">
        <x:f>IF(G173&lt;=0,"n/m",F173/G173)</x:f>
        <x:v>0.09298113875159913</x:v>
      </x:c>
      <x:c r="I173" s="170" t="n">
        <x:v>2825.424</x:v>
      </x:c>
      <x:c r="J173" s="170" t="n">
        <x:v>30387.066</x:v>
      </x:c>
      <x:c r="K173" s="170" t="n">
        <x:v>0.09298113875159912</x:v>
      </x:c>
      <x:c r="L173" s="177" t="n">
        <x:v>0.09298113875159912</x:v>
      </x:c>
      <x:c r="M173" s="177" t="n">
        <x:f>LUCK!D140</x:f>
        <x:v>0.09298113875159913</x:v>
      </x:c>
      <x:c r="N173" s="178" t="str">
        <x:f>IF(AND(ABS(F173-I173)&lt;0.000001,ABS(G173-J173)&lt;0.000001,IF(ISNUMBER(L173),IF(ISNUMBER(M173),ABS(L173-M173)&lt;0.00000001,FALSE),M173=L173)),"PASS","FAIL")</x:f>
        <x:v>PASS</x:v>
      </x:c>
      <x:c r="O173" s="99" t="str"/>
      <x:c r="P173" s="76" t="str">
        <x:v>Liquidity</x:v>
      </x:c>
    </x:row>
    <x:row r="174" ht="26" customHeight="1">
      <x:c r="A174" s="168" t="str">
        <x:v>LUCK</x:v>
      </x:c>
      <x:c r="B174" s="168" t="n">
        <x:v>2021</x:v>
      </x:c>
      <x:c r="C174" s="168" t="n">
        <x:v>4</x:v>
      </x:c>
      <x:c r="D174" s="168" t="str">
        <x:v>Net working capital (PKR m)</x:v>
      </x:c>
      <x:c r="E174" s="168" t="str">
        <x:v>Additional</x:v>
      </x:c>
      <x:c r="F174" s="169" t="n">
        <x:f>LUCK!D36-LUCK!D61</x:f>
        <x:v>10289.302000000007</x:v>
      </x:c>
      <x:c r="G174" s="169" t="n">
        <x:f>1</x:f>
        <x:v>1</x:v>
      </x:c>
      <x:c r="H174" s="169" t="n">
        <x:f>IF(G174&lt;=0,"n/m",F174/G174)</x:f>
        <x:v>10289.302000000007</x:v>
      </x:c>
      <x:c r="I174" s="169" t="n">
        <x:v>10289.302000000003</x:v>
      </x:c>
      <x:c r="J174" s="169" t="n">
        <x:v>1</x:v>
      </x:c>
      <x:c r="K174" s="169" t="n">
        <x:v>10289.302000000003</x:v>
      </x:c>
      <x:c r="L174" s="175" t="n">
        <x:v>10289.302000000003</x:v>
      </x:c>
      <x:c r="M174" s="175" t="n">
        <x:f>LUCK!D141</x:f>
        <x:v>10289.302000000007</x:v>
      </x:c>
      <x:c r="N174" s="176" t="str">
        <x:f>IF(AND(ABS(F174-I174)&lt;0.000001,ABS(G174-J174)&lt;0.000001,IF(ISNUMBER(L174),IF(ISNUMBER(M174),ABS(L174-M174)&lt;0.00000001,FALSE),M174=L174)),"PASS","FAIL")</x:f>
        <x:v>PASS</x:v>
      </x:c>
      <x:c r="O174" s="171" t="str"/>
      <x:c r="P174" s="168" t="str">
        <x:v>Liquidity</x:v>
      </x:c>
    </x:row>
    <x:row r="175" ht="26" customHeight="1">
      <x:c r="A175" s="76" t="str">
        <x:v>LUCK</x:v>
      </x:c>
      <x:c r="B175" s="76" t="n">
        <x:v>2021</x:v>
      </x:c>
      <x:c r="C175" s="76" t="n">
        <x:v>5</x:v>
      </x:c>
      <x:c r="D175" s="76" t="str">
        <x:v>Net operating working capital (PKR m)</x:v>
      </x:c>
      <x:c r="E175" s="76" t="str">
        <x:v>Additional</x:v>
      </x:c>
      <x:c r="F175" s="170" t="n">
        <x:f>LUCK!D72-LUCK!D73</x:f>
        <x:v>-1081.9909999999945</x:v>
      </x:c>
      <x:c r="G175" s="170" t="n">
        <x:f>1</x:f>
        <x:v>1</x:v>
      </x:c>
      <x:c r="H175" s="170" t="n">
        <x:f>IF(G175&lt;=0,"n/m",F175/G175)</x:f>
        <x:v>-1081.9909999999945</x:v>
      </x:c>
      <x:c r="I175" s="170" t="n">
        <x:v>-1081.9909999999945</x:v>
      </x:c>
      <x:c r="J175" s="170" t="n">
        <x:v>1</x:v>
      </x:c>
      <x:c r="K175" s="170" t="n">
        <x:v>-1081.9909999999945</x:v>
      </x:c>
      <x:c r="L175" s="177" t="str">
        <x:v>n/m</x:v>
      </x:c>
      <x:c r="M175" s="177" t="str">
        <x:f>LUCK!D142</x:f>
        <x:v>n/m</x:v>
      </x:c>
      <x:c r="N175" s="178" t="str">
        <x:f>IF(AND(ABS(F175-I175)&lt;0.000001,ABS(G175-J175)&lt;0.000001,IF(ISNUMBER(L175),IF(ISNUMBER(M175),ABS(L175-M175)&lt;0.00000001,FALSE),M175=L175)),"PASS","FAIL")</x:f>
        <x:v>PASS</x:v>
      </x:c>
      <x:c r="O175" s="99" t="str">
        <x:v>Negative calculated measure; raw signed value in H/K.</x:v>
      </x:c>
      <x:c r="P175" s="76" t="str">
        <x:v>Liquidity</x:v>
      </x:c>
    </x:row>
    <x:row r="176" ht="26" customHeight="1">
      <x:c r="A176" s="168" t="str">
        <x:v>LUCK</x:v>
      </x:c>
      <x:c r="B176" s="168" t="n">
        <x:v>2021</x:v>
      </x:c>
      <x:c r="C176" s="168" t="n">
        <x:v>6</x:v>
      </x:c>
      <x:c r="D176" s="168" t="str">
        <x:v>Inventory turnover</x:v>
      </x:c>
      <x:c r="E176" s="168" t="str">
        <x:v>Mandatory</x:v>
      </x:c>
      <x:c r="F176" s="169" t="n">
        <x:f>-LUCK!D85</x:f>
        <x:v>43984.873</x:v>
      </x:c>
      <x:c r="G176" s="169" t="n">
        <x:f>AVERAGE(LUCK!C65,LUCK!D65)</x:f>
        <x:v>11533.666000000001</x:v>
      </x:c>
      <x:c r="H176" s="169" t="n">
        <x:f>IF(G176&lt;=0,"n/m",F176/G176)</x:f>
        <x:v>3.813607312713928</x:v>
      </x:c>
      <x:c r="I176" s="169" t="n">
        <x:v>43984.873</x:v>
      </x:c>
      <x:c r="J176" s="169" t="n">
        <x:v>11533.666000000001</x:v>
      </x:c>
      <x:c r="K176" s="169" t="n">
        <x:v>3.813607312713928</x:v>
      </x:c>
      <x:c r="L176" s="175" t="n">
        <x:v>3.813607312713928</x:v>
      </x:c>
      <x:c r="M176" s="175" t="n">
        <x:f>LUCK!D144</x:f>
        <x:v>3.813607312713928</x:v>
      </x:c>
      <x:c r="N176" s="176" t="str">
        <x:f>IF(AND(ABS(F176-I176)&lt;0.000001,ABS(G176-J176)&lt;0.000001,IF(ISNUMBER(L176),IF(ISNUMBER(M176),ABS(L176-M176)&lt;0.00000001,FALSE),M176=L176)),"PASS","FAIL")</x:f>
        <x:v>PASS</x:v>
      </x:c>
      <x:c r="O176" s="171" t="str"/>
      <x:c r="P176" s="168" t="str">
        <x:v>Asset Management</x:v>
      </x:c>
    </x:row>
    <x:row r="177" ht="26" customHeight="1">
      <x:c r="A177" s="76" t="str">
        <x:v>LUCK</x:v>
      </x:c>
      <x:c r="B177" s="76" t="n">
        <x:v>2021</x:v>
      </x:c>
      <x:c r="C177" s="76" t="n">
        <x:v>7</x:v>
      </x:c>
      <x:c r="D177" s="76" t="str">
        <x:v>Receivables turnover</x:v>
      </x:c>
      <x:c r="E177" s="76" t="str">
        <x:v>Additional</x:v>
      </x:c>
      <x:c r="F177" s="170" t="n">
        <x:f>LUCK!D84</x:f>
        <x:v>62940.805</x:v>
      </x:c>
      <x:c r="G177" s="170" t="n">
        <x:f>AVERAGE(LUCK!C32,LUCK!D32)</x:f>
        <x:v>3066.424</x:v>
      </x:c>
      <x:c r="H177" s="170" t="n">
        <x:f>IF(G177&lt;=0,"n/m",F177/G177)</x:f>
        <x:v>20.525799758937445</x:v>
      </x:c>
      <x:c r="I177" s="170" t="n">
        <x:v>62940.805</x:v>
      </x:c>
      <x:c r="J177" s="170" t="n">
        <x:v>3066.424</x:v>
      </x:c>
      <x:c r="K177" s="170" t="n">
        <x:v>20.525799758937445</x:v>
      </x:c>
      <x:c r="L177" s="177" t="n">
        <x:v>20.525799758937445</x:v>
      </x:c>
      <x:c r="M177" s="177" t="n">
        <x:f>LUCK!D145</x:f>
        <x:v>20.525799758937445</x:v>
      </x:c>
      <x:c r="N177" s="178" t="str">
        <x:f>IF(AND(ABS(F177-I177)&lt;0.000001,ABS(G177-J177)&lt;0.000001,IF(ISNUMBER(L177),IF(ISNUMBER(M177),ABS(L177-M177)&lt;0.00000001,FALSE),M177=L177)),"PASS","FAIL")</x:f>
        <x:v>PASS</x:v>
      </x:c>
      <x:c r="O177" s="99" t="str"/>
      <x:c r="P177" s="76" t="str">
        <x:v>Asset Management</x:v>
      </x:c>
    </x:row>
    <x:row r="178" ht="26" customHeight="1">
      <x:c r="A178" s="168" t="str">
        <x:v>LUCK</x:v>
      </x:c>
      <x:c r="B178" s="168" t="n">
        <x:v>2021</x:v>
      </x:c>
      <x:c r="C178" s="168" t="n">
        <x:v>8</x:v>
      </x:c>
      <x:c r="D178" s="168" t="str">
        <x:v>Payables turnover</x:v>
      </x:c>
      <x:c r="E178" s="168" t="str">
        <x:v>Additional</x:v>
      </x:c>
      <x:c r="F178" s="169" t="n">
        <x:f>-LUCK!D85</x:f>
        <x:v>43984.873</x:v>
      </x:c>
      <x:c r="G178" s="169" t="n">
        <x:f>AVERAGE(LUCK!C51,LUCK!D51)</x:f>
        <x:v>2740.862</x:v>
      </x:c>
      <x:c r="H178" s="169" t="n">
        <x:f>IF(G178&lt;=0,"n/m",F178/G178)</x:f>
        <x:v>16.04782473542995</x:v>
      </x:c>
      <x:c r="I178" s="169" t="n">
        <x:v>43984.873</x:v>
      </x:c>
      <x:c r="J178" s="169" t="n">
        <x:v>2740.862</x:v>
      </x:c>
      <x:c r="K178" s="169" t="n">
        <x:v>16.04782473542995</x:v>
      </x:c>
      <x:c r="L178" s="175" t="n">
        <x:v>16.04782473542995</x:v>
      </x:c>
      <x:c r="M178" s="175" t="n">
        <x:f>LUCK!D146</x:f>
        <x:v>16.04782473542995</x:v>
      </x:c>
      <x:c r="N178" s="176" t="str">
        <x:f>IF(AND(ABS(F178-I178)&lt;0.000001,ABS(G178-J178)&lt;0.000001,IF(ISNUMBER(L178),IF(ISNUMBER(M178),ABS(L178-M178)&lt;0.00000001,FALSE),M178=L178)),"PASS","FAIL")</x:f>
        <x:v>PASS</x:v>
      </x:c>
      <x:c r="O178" s="171" t="str"/>
      <x:c r="P178" s="168" t="str">
        <x:v>Asset Management</x:v>
      </x:c>
    </x:row>
    <x:row r="179" ht="26" customHeight="1">
      <x:c r="A179" s="76" t="str">
        <x:v>LUCK</x:v>
      </x:c>
      <x:c r="B179" s="76" t="n">
        <x:v>2021</x:v>
      </x:c>
      <x:c r="C179" s="76" t="n">
        <x:v>9</x:v>
      </x:c>
      <x:c r="D179" s="76" t="str">
        <x:v>Days inventory outstanding</x:v>
      </x:c>
      <x:c r="E179" s="76" t="str">
        <x:v>Additional</x:v>
      </x:c>
      <x:c r="F179" s="170" t="n">
        <x:f>365*AVERAGE(LUCK!C65,LUCK!D65)</x:f>
        <x:v>4209788.090000001</x:v>
      </x:c>
      <x:c r="G179" s="170" t="n">
        <x:f>-LUCK!D85</x:f>
        <x:v>43984.873</x:v>
      </x:c>
      <x:c r="H179" s="170" t="n">
        <x:f>IF(G179&lt;=0,"n/m",F179/G179)</x:f>
        <x:v>95.70990667632485</x:v>
      </x:c>
      <x:c r="I179" s="170" t="n">
        <x:v>4209788.090000001</x:v>
      </x:c>
      <x:c r="J179" s="170" t="n">
        <x:v>43984.873</x:v>
      </x:c>
      <x:c r="K179" s="170" t="n">
        <x:v>95.70990667632485</x:v>
      </x:c>
      <x:c r="L179" s="177" t="n">
        <x:v>95.70990667632485</x:v>
      </x:c>
      <x:c r="M179" s="177" t="n">
        <x:f>LUCK!D147</x:f>
        <x:v>95.70990667632485</x:v>
      </x:c>
      <x:c r="N179" s="178" t="str">
        <x:f>IF(AND(ABS(F179-I179)&lt;0.000001,ABS(G179-J179)&lt;0.000001,IF(ISNUMBER(L179),IF(ISNUMBER(M179),ABS(L179-M179)&lt;0.00000001,FALSE),M179=L179)),"PASS","FAIL")</x:f>
        <x:v>PASS</x:v>
      </x:c>
      <x:c r="O179" s="99" t="str"/>
      <x:c r="P179" s="76" t="str">
        <x:v>Asset Management</x:v>
      </x:c>
    </x:row>
    <x:row r="180" ht="26" customHeight="1">
      <x:c r="A180" s="168" t="str">
        <x:v>LUCK</x:v>
      </x:c>
      <x:c r="B180" s="168" t="n">
        <x:v>2021</x:v>
      </x:c>
      <x:c r="C180" s="168" t="n">
        <x:v>10</x:v>
      </x:c>
      <x:c r="D180" s="168" t="str">
        <x:v>Days sales outstanding</x:v>
      </x:c>
      <x:c r="E180" s="168" t="str">
        <x:v>Mandatory</x:v>
      </x:c>
      <x:c r="F180" s="169" t="n">
        <x:f>365*AVERAGE(LUCK!C32,LUCK!D32)</x:f>
        <x:v>1119244.76</x:v>
      </x:c>
      <x:c r="G180" s="169" t="n">
        <x:f>LUCK!D84</x:f>
        <x:v>62940.805</x:v>
      </x:c>
      <x:c r="H180" s="169" t="n">
        <x:f>IF(G180&lt;=0,"n/m",F180/G180)</x:f>
        <x:v>17.78249833315605</x:v>
      </x:c>
      <x:c r="I180" s="169" t="n">
        <x:v>1119244.76</x:v>
      </x:c>
      <x:c r="J180" s="169" t="n">
        <x:v>62940.805</x:v>
      </x:c>
      <x:c r="K180" s="169" t="n">
        <x:v>17.78249833315605</x:v>
      </x:c>
      <x:c r="L180" s="175" t="n">
        <x:v>17.78249833315605</x:v>
      </x:c>
      <x:c r="M180" s="175" t="n">
        <x:f>LUCK!D148</x:f>
        <x:v>17.78249833315605</x:v>
      </x:c>
      <x:c r="N180" s="176" t="str">
        <x:f>IF(AND(ABS(F180-I180)&lt;0.000001,ABS(G180-J180)&lt;0.000001,IF(ISNUMBER(L180),IF(ISNUMBER(M180),ABS(L180-M180)&lt;0.00000001,FALSE),M180=L180)),"PASS","FAIL")</x:f>
        <x:v>PASS</x:v>
      </x:c>
      <x:c r="O180" s="171" t="str"/>
      <x:c r="P180" s="168" t="str">
        <x:v>Asset Management</x:v>
      </x:c>
    </x:row>
    <x:row r="181" ht="26" customHeight="1">
      <x:c r="A181" s="76" t="str">
        <x:v>LUCK</x:v>
      </x:c>
      <x:c r="B181" s="76" t="n">
        <x:v>2021</x:v>
      </x:c>
      <x:c r="C181" s="76" t="n">
        <x:v>11</x:v>
      </x:c>
      <x:c r="D181" s="76" t="str">
        <x:v>Days payables outstanding</x:v>
      </x:c>
      <x:c r="E181" s="76" t="str">
        <x:v>Additional</x:v>
      </x:c>
      <x:c r="F181" s="170" t="n">
        <x:f>365*AVERAGE(LUCK!C51,LUCK!D51)</x:f>
        <x:v>1000414.63</x:v>
      </x:c>
      <x:c r="G181" s="170" t="n">
        <x:f>-LUCK!D85</x:f>
        <x:v>43984.873</x:v>
      </x:c>
      <x:c r="H181" s="170" t="n">
        <x:f>IF(G181&lt;=0,"n/m",F181/G181)</x:f>
        <x:v>22.744515597441875</x:v>
      </x:c>
      <x:c r="I181" s="170" t="n">
        <x:v>1000414.63</x:v>
      </x:c>
      <x:c r="J181" s="170" t="n">
        <x:v>43984.873</x:v>
      </x:c>
      <x:c r="K181" s="170" t="n">
        <x:v>22.744515597441875</x:v>
      </x:c>
      <x:c r="L181" s="177" t="n">
        <x:v>22.744515597441875</x:v>
      </x:c>
      <x:c r="M181" s="177" t="n">
        <x:f>LUCK!D149</x:f>
        <x:v>22.744515597441875</x:v>
      </x:c>
      <x:c r="N181" s="178" t="str">
        <x:f>IF(AND(ABS(F181-I181)&lt;0.000001,ABS(G181-J181)&lt;0.000001,IF(ISNUMBER(L181),IF(ISNUMBER(M181),ABS(L181-M181)&lt;0.00000001,FALSE),M181=L181)),"PASS","FAIL")</x:f>
        <x:v>PASS</x:v>
      </x:c>
      <x:c r="O181" s="99" t="str"/>
      <x:c r="P181" s="76" t="str">
        <x:v>Asset Management</x:v>
      </x:c>
    </x:row>
    <x:row r="182" ht="26" customHeight="1">
      <x:c r="A182" s="168" t="str">
        <x:v>LUCK</x:v>
      </x:c>
      <x:c r="B182" s="168" t="n">
        <x:v>2021</x:v>
      </x:c>
      <x:c r="C182" s="168" t="n">
        <x:v>12</x:v>
      </x:c>
      <x:c r="D182" s="168" t="str">
        <x:v>Operating cycle (days)</x:v>
      </x:c>
      <x:c r="E182" s="168" t="str">
        <x:v>Additional</x:v>
      </x:c>
      <x:c r="F182" s="169" t="n">
        <x:f>365*AVERAGE(LUCK!C65,LUCK!D65)/(-LUCK!D85)+365*AVERAGE(LUCK!C32,LUCK!D32)/LUCK!D84</x:f>
        <x:v>113.4924050094809</x:v>
      </x:c>
      <x:c r="G182" s="169" t="n">
        <x:f>1</x:f>
        <x:v>1</x:v>
      </x:c>
      <x:c r="H182" s="169" t="n">
        <x:f>IF(G182&lt;=0,"n/m",F182/G182)</x:f>
        <x:v>113.4924050094809</x:v>
      </x:c>
      <x:c r="I182" s="169" t="n">
        <x:v>113.4924050094809</x:v>
      </x:c>
      <x:c r="J182" s="169" t="n">
        <x:v>1</x:v>
      </x:c>
      <x:c r="K182" s="169" t="n">
        <x:v>113.4924050094809</x:v>
      </x:c>
      <x:c r="L182" s="175" t="n">
        <x:v>113.4924050094809</x:v>
      </x:c>
      <x:c r="M182" s="175" t="n">
        <x:f>LUCK!D150</x:f>
        <x:v>113.4924050094809</x:v>
      </x:c>
      <x:c r="N182" s="176" t="str">
        <x:f>IF(AND(ABS(F182-I182)&lt;0.000001,ABS(G182-J182)&lt;0.000001,IF(ISNUMBER(L182),IF(ISNUMBER(M182),ABS(L182-M182)&lt;0.00000001,FALSE),M182=L182)),"PASS","FAIL")</x:f>
        <x:v>PASS</x:v>
      </x:c>
      <x:c r="O182" s="171" t="str"/>
      <x:c r="P182" s="168" t="str">
        <x:v>Asset Management</x:v>
      </x:c>
    </x:row>
    <x:row r="183" ht="26" customHeight="1">
      <x:c r="A183" s="76" t="str">
        <x:v>LUCK</x:v>
      </x:c>
      <x:c r="B183" s="76" t="n">
        <x:v>2021</x:v>
      </x:c>
      <x:c r="C183" s="76" t="n">
        <x:v>13</x:v>
      </x:c>
      <x:c r="D183" s="76" t="str">
        <x:v>Cash conversion cycle (days)</x:v>
      </x:c>
      <x:c r="E183" s="76" t="str">
        <x:v>Additional</x:v>
      </x:c>
      <x:c r="F183" s="170" t="n">
        <x:f>365*AVERAGE(LUCK!C65,LUCK!D65)/(-LUCK!D85)+365*AVERAGE(LUCK!C32,LUCK!D32)/LUCK!D84-365*AVERAGE(LUCK!C51,LUCK!D51)/(-LUCK!D85)</x:f>
        <x:v>90.74788941203903</x:v>
      </x:c>
      <x:c r="G183" s="170" t="n">
        <x:f>1</x:f>
        <x:v>1</x:v>
      </x:c>
      <x:c r="H183" s="170" t="n">
        <x:f>IF(G183&lt;=0,"n/m",F183/G183)</x:f>
        <x:v>90.74788941203903</x:v>
      </x:c>
      <x:c r="I183" s="170" t="n">
        <x:v>90.74788941203903</x:v>
      </x:c>
      <x:c r="J183" s="170" t="n">
        <x:v>1</x:v>
      </x:c>
      <x:c r="K183" s="170" t="n">
        <x:v>90.74788941203903</x:v>
      </x:c>
      <x:c r="L183" s="177" t="n">
        <x:v>90.74788941203903</x:v>
      </x:c>
      <x:c r="M183" s="177" t="n">
        <x:f>LUCK!D151</x:f>
        <x:v>90.74788941203903</x:v>
      </x:c>
      <x:c r="N183" s="178" t="str">
        <x:f>IF(AND(ABS(F183-I183)&lt;0.000001,ABS(G183-J183)&lt;0.000001,IF(ISNUMBER(L183),IF(ISNUMBER(M183),ABS(L183-M183)&lt;0.00000001,FALSE),M183=L183)),"PASS","FAIL")</x:f>
        <x:v>PASS</x:v>
      </x:c>
      <x:c r="O183" s="99" t="str"/>
      <x:c r="P183" s="76" t="str">
        <x:v>Asset Management</x:v>
      </x:c>
    </x:row>
    <x:row r="184" ht="26" customHeight="1">
      <x:c r="A184" s="168" t="str">
        <x:v>LUCK</x:v>
      </x:c>
      <x:c r="B184" s="168" t="n">
        <x:v>2021</x:v>
      </x:c>
      <x:c r="C184" s="168" t="n">
        <x:v>14</x:v>
      </x:c>
      <x:c r="D184" s="168" t="str">
        <x:v>Total asset turnover</x:v>
      </x:c>
      <x:c r="E184" s="168" t="str">
        <x:v>Mandatory</x:v>
      </x:c>
      <x:c r="F184" s="169" t="n">
        <x:f>LUCK!D84</x:f>
        <x:v>62940.805</x:v>
      </x:c>
      <x:c r="G184" s="169" t="n">
        <x:f>AVERAGE(LUCK!C37,LUCK!D37)</x:f>
        <x:v>146118.26799999998</x:v>
      </x:c>
      <x:c r="H184" s="169" t="n">
        <x:f>IF(G184&lt;=0,"n/m",F184/G184)</x:f>
        <x:v>0.43075247100519976</x:v>
      </x:c>
      <x:c r="I184" s="169" t="n">
        <x:v>62940.805</x:v>
      </x:c>
      <x:c r="J184" s="169" t="n">
        <x:v>146118.26799999998</x:v>
      </x:c>
      <x:c r="K184" s="169" t="n">
        <x:v>0.43075247100519976</x:v>
      </x:c>
      <x:c r="L184" s="175" t="n">
        <x:v>0.43075247100519976</x:v>
      </x:c>
      <x:c r="M184" s="175" t="n">
        <x:f>LUCK!D152</x:f>
        <x:v>0.43075247100519976</x:v>
      </x:c>
      <x:c r="N184" s="176" t="str">
        <x:f>IF(AND(ABS(F184-I184)&lt;0.000001,ABS(G184-J184)&lt;0.000001,IF(ISNUMBER(L184),IF(ISNUMBER(M184),ABS(L184-M184)&lt;0.00000001,FALSE),M184=L184)),"PASS","FAIL")</x:f>
        <x:v>PASS</x:v>
      </x:c>
      <x:c r="O184" s="171" t="str"/>
      <x:c r="P184" s="168" t="str">
        <x:v>Asset Management</x:v>
      </x:c>
    </x:row>
    <x:row r="185" ht="26" customHeight="1">
      <x:c r="A185" s="76" t="str">
        <x:v>LUCK</x:v>
      </x:c>
      <x:c r="B185" s="76" t="n">
        <x:v>2021</x:v>
      </x:c>
      <x:c r="C185" s="76" t="n">
        <x:v>15</x:v>
      </x:c>
      <x:c r="D185" s="76" t="str">
        <x:v>Fixed asset turnover</x:v>
      </x:c>
      <x:c r="E185" s="76" t="str">
        <x:v>Mandatory</x:v>
      </x:c>
      <x:c r="F185" s="170" t="n">
        <x:f>LUCK!D84</x:f>
        <x:v>62940.805</x:v>
      </x:c>
      <x:c r="G185" s="170" t="n">
        <x:f>AVERAGE(LUCK!C22,LUCK!D22)</x:f>
        <x:v>59144.141</x:v>
      </x:c>
      <x:c r="H185" s="170" t="n">
        <x:f>IF(G185&lt;=0,"n/m",F185/G185)</x:f>
        <x:v>1.064193408439223</x:v>
      </x:c>
      <x:c r="I185" s="170" t="n">
        <x:v>62940.805</x:v>
      </x:c>
      <x:c r="J185" s="170" t="n">
        <x:v>59144.141</x:v>
      </x:c>
      <x:c r="K185" s="170" t="n">
        <x:v>1.064193408439223</x:v>
      </x:c>
      <x:c r="L185" s="177" t="n">
        <x:v>1.064193408439223</x:v>
      </x:c>
      <x:c r="M185" s="177" t="n">
        <x:f>LUCK!D153</x:f>
        <x:v>1.064193408439223</x:v>
      </x:c>
      <x:c r="N185" s="178" t="str">
        <x:f>IF(AND(ABS(F185-I185)&lt;0.000001,ABS(G185-J185)&lt;0.000001,IF(ISNUMBER(L185),IF(ISNUMBER(M185),ABS(L185-M185)&lt;0.00000001,FALSE),M185=L185)),"PASS","FAIL")</x:f>
        <x:v>PASS</x:v>
      </x:c>
      <x:c r="O185" s="99" t="str"/>
      <x:c r="P185" s="76" t="str">
        <x:v>Asset Management</x:v>
      </x:c>
    </x:row>
    <x:row r="186" ht="26" customHeight="1">
      <x:c r="A186" s="168" t="str">
        <x:v>LUCK</x:v>
      </x:c>
      <x:c r="B186" s="168" t="n">
        <x:v>2021</x:v>
      </x:c>
      <x:c r="C186" s="168" t="n">
        <x:v>16</x:v>
      </x:c>
      <x:c r="D186" s="168" t="str">
        <x:v>Debt ratio</x:v>
      </x:c>
      <x:c r="E186" s="168" t="str">
        <x:v>Mandatory</x:v>
      </x:c>
      <x:c r="F186" s="169" t="n">
        <x:f>LUCK!D62</x:f>
        <x:v>43167.804</x:v>
      </x:c>
      <x:c r="G186" s="169" t="n">
        <x:f>LUCK!D37</x:f>
        <x:v>156368.062</x:v>
      </x:c>
      <x:c r="H186" s="169" t="n">
        <x:f>IF(G186&lt;=0,"n/m",F186/G186)</x:f>
        <x:v>0.27606535150381284</x:v>
      </x:c>
      <x:c r="I186" s="169" t="n">
        <x:v>43167.804000000004</x:v>
      </x:c>
      <x:c r="J186" s="169" t="n">
        <x:v>156368.062</x:v>
      </x:c>
      <x:c r="K186" s="169" t="n">
        <x:v>0.27606535150381284</x:v>
      </x:c>
      <x:c r="L186" s="175" t="n">
        <x:v>0.27606535150381284</x:v>
      </x:c>
      <x:c r="M186" s="175" t="n">
        <x:f>LUCK!D155</x:f>
        <x:v>0.27606535150381284</x:v>
      </x:c>
      <x:c r="N186" s="176" t="str">
        <x:f>IF(AND(ABS(F186-I186)&lt;0.000001,ABS(G186-J186)&lt;0.000001,IF(ISNUMBER(L186),IF(ISNUMBER(M186),ABS(L186-M186)&lt;0.00000001,FALSE),M186=L186)),"PASS","FAIL")</x:f>
        <x:v>PASS</x:v>
      </x:c>
      <x:c r="O186" s="171" t="str"/>
      <x:c r="P186" s="168" t="str">
        <x:v>Debt Management</x:v>
      </x:c>
    </x:row>
    <x:row r="187" ht="26" customHeight="1">
      <x:c r="A187" s="76" t="str">
        <x:v>LUCK</x:v>
      </x:c>
      <x:c r="B187" s="76" t="n">
        <x:v>2021</x:v>
      </x:c>
      <x:c r="C187" s="76" t="n">
        <x:v>17</x:v>
      </x:c>
      <x:c r="D187" s="76" t="str">
        <x:v>Debt-to-equity</x:v>
      </x:c>
      <x:c r="E187" s="76" t="str">
        <x:v>Mandatory</x:v>
      </x:c>
      <x:c r="F187" s="170" t="n">
        <x:f>LUCK!D62</x:f>
        <x:v>43167.804</x:v>
      </x:c>
      <x:c r="G187" s="170" t="n">
        <x:f>LUCK!D41</x:f>
        <x:v>113200.258</x:v>
      </x:c>
      <x:c r="H187" s="170" t="n">
        <x:f>IF(G187&lt;=0,"n/m",F187/G187)</x:f>
        <x:v>0.3813401556028255</x:v>
      </x:c>
      <x:c r="I187" s="170" t="n">
        <x:v>43167.804000000004</x:v>
      </x:c>
      <x:c r="J187" s="170" t="n">
        <x:v>113200.258</x:v>
      </x:c>
      <x:c r="K187" s="170" t="n">
        <x:v>0.3813401556028256</x:v>
      </x:c>
      <x:c r="L187" s="177" t="n">
        <x:v>0.3813401556028256</x:v>
      </x:c>
      <x:c r="M187" s="177" t="n">
        <x:f>LUCK!D156</x:f>
        <x:v>0.3813401556028255</x:v>
      </x:c>
      <x:c r="N187" s="178" t="str">
        <x:f>IF(AND(ABS(F187-I187)&lt;0.000001,ABS(G187-J187)&lt;0.000001,IF(ISNUMBER(L187),IF(ISNUMBER(M187),ABS(L187-M187)&lt;0.00000001,FALSE),M187=L187)),"PASS","FAIL")</x:f>
        <x:v>PASS</x:v>
      </x:c>
      <x:c r="O187" s="99" t="str"/>
      <x:c r="P187" s="76" t="str">
        <x:v>Debt Management</x:v>
      </x:c>
    </x:row>
    <x:row r="188" ht="26" customHeight="1">
      <x:c r="A188" s="168" t="str">
        <x:v>LUCK</x:v>
      </x:c>
      <x:c r="B188" s="168" t="n">
        <x:v>2021</x:v>
      </x:c>
      <x:c r="C188" s="168" t="n">
        <x:v>18</x:v>
      </x:c>
      <x:c r="D188" s="168" t="str">
        <x:v>Total debt-to-capital</x:v>
      </x:c>
      <x:c r="E188" s="168" t="str">
        <x:v>Additional</x:v>
      </x:c>
      <x:c r="F188" s="169" t="n">
        <x:f>LUCK!D66</x:f>
        <x:v>10490.952</x:v>
      </x:c>
      <x:c r="G188" s="169" t="n">
        <x:f>LUCK!D66+LUCK!D41</x:f>
        <x:v>123691.21</x:v>
      </x:c>
      <x:c r="H188" s="169" t="n">
        <x:f>IF(G188&lt;=0,"n/m",F188/G188)</x:f>
        <x:v>0.08481566313402544</x:v>
      </x:c>
      <x:c r="I188" s="169" t="n">
        <x:v>10490.952</x:v>
      </x:c>
      <x:c r="J188" s="169" t="n">
        <x:v>123691.21</x:v>
      </x:c>
      <x:c r="K188" s="169" t="n">
        <x:v>0.08481566313402544</x:v>
      </x:c>
      <x:c r="L188" s="175" t="n">
        <x:v>0.08481566313402544</x:v>
      </x:c>
      <x:c r="M188" s="175" t="n">
        <x:f>LUCK!D157</x:f>
        <x:v>0.08481566313402544</x:v>
      </x:c>
      <x:c r="N188" s="176" t="str">
        <x:f>IF(AND(ABS(F188-I188)&lt;0.000001,ABS(G188-J188)&lt;0.000001,IF(ISNUMBER(L188),IF(ISNUMBER(M188),ABS(L188-M188)&lt;0.00000001,FALSE),M188=L188)),"PASS","FAIL")</x:f>
        <x:v>PASS</x:v>
      </x:c>
      <x:c r="O188" s="171" t="str"/>
      <x:c r="P188" s="168" t="str">
        <x:v>Debt Management</x:v>
      </x:c>
    </x:row>
    <x:row r="189" ht="26" customHeight="1">
      <x:c r="A189" s="76" t="str">
        <x:v>LUCK</x:v>
      </x:c>
      <x:c r="B189" s="76" t="n">
        <x:v>2021</x:v>
      </x:c>
      <x:c r="C189" s="76" t="n">
        <x:v>19</x:v>
      </x:c>
      <x:c r="D189" s="76" t="str">
        <x:v>Long-term debt ratio</x:v>
      </x:c>
      <x:c r="E189" s="76" t="str">
        <x:v>Additional</x:v>
      </x:c>
      <x:c r="F189" s="170" t="n">
        <x:f>LUCK!D67</x:f>
        <x:v>2934.044</x:v>
      </x:c>
      <x:c r="G189" s="170" t="n">
        <x:f>LUCK!D37</x:f>
        <x:v>156368.062</x:v>
      </x:c>
      <x:c r="H189" s="170" t="n">
        <x:f>IF(G189&lt;=0,"n/m",F189/G189)</x:f>
        <x:v>0.018763703805448454</x:v>
      </x:c>
      <x:c r="I189" s="170" t="n">
        <x:v>2934.044</x:v>
      </x:c>
      <x:c r="J189" s="170" t="n">
        <x:v>156368.062</x:v>
      </x:c>
      <x:c r="K189" s="170" t="n">
        <x:v>0.018763703805448454</x:v>
      </x:c>
      <x:c r="L189" s="177" t="n">
        <x:v>0.018763703805448454</x:v>
      </x:c>
      <x:c r="M189" s="177" t="n">
        <x:f>LUCK!D158</x:f>
        <x:v>0.018763703805448454</x:v>
      </x:c>
      <x:c r="N189" s="178" t="str">
        <x:f>IF(AND(ABS(F189-I189)&lt;0.000001,ABS(G189-J189)&lt;0.000001,IF(ISNUMBER(L189),IF(ISNUMBER(M189),ABS(L189-M189)&lt;0.00000001,FALSE),M189=L189)),"PASS","FAIL")</x:f>
        <x:v>PASS</x:v>
      </x:c>
      <x:c r="O189" s="99" t="str"/>
      <x:c r="P189" s="76" t="str">
        <x:v>Debt Management</x:v>
      </x:c>
    </x:row>
    <x:row r="190" ht="26" customHeight="1">
      <x:c r="A190" s="168" t="str">
        <x:v>LUCK</x:v>
      </x:c>
      <x:c r="B190" s="168" t="n">
        <x:v>2021</x:v>
      </x:c>
      <x:c r="C190" s="168" t="n">
        <x:v>20</x:v>
      </x:c>
      <x:c r="D190" s="168" t="str">
        <x:v>Times interest earned</x:v>
      </x:c>
      <x:c r="E190" s="168" t="str">
        <x:v>Mandatory</x:v>
      </x:c>
      <x:c r="F190" s="169" t="n">
        <x:f>LUCK!D108</x:f>
        <x:v>17325.118000000002</x:v>
      </x:c>
      <x:c r="G190" s="169" t="n">
        <x:f>LUCK!D106</x:f>
        <x:v>332.905</x:v>
      </x:c>
      <x:c r="H190" s="169" t="n">
        <x:f>IF(G190&lt;=0,"n/m",F190/G190)</x:f>
        <x:v>52.04222826331838</x:v>
      </x:c>
      <x:c r="I190" s="169" t="n">
        <x:v>17325.118000000002</x:v>
      </x:c>
      <x:c r="J190" s="169" t="n">
        <x:v>332.905</x:v>
      </x:c>
      <x:c r="K190" s="169" t="n">
        <x:v>52.04222826331838</x:v>
      </x:c>
      <x:c r="L190" s="175" t="n">
        <x:v>52.04222826331838</x:v>
      </x:c>
      <x:c r="M190" s="175" t="n">
        <x:f>LUCK!D159</x:f>
        <x:v>52.04222826331838</x:v>
      </x:c>
      <x:c r="N190" s="176" t="str">
        <x:f>IF(AND(ABS(F190-I190)&lt;0.000001,ABS(G190-J190)&lt;0.000001,IF(ISNUMBER(L190),IF(ISNUMBER(M190),ABS(L190-M190)&lt;0.00000001,FALSE),M190=L190)),"PASS","FAIL")</x:f>
        <x:v>PASS</x:v>
      </x:c>
      <x:c r="O190" s="171" t="str"/>
      <x:c r="P190" s="168" t="str">
        <x:v>Debt Management</x:v>
      </x:c>
    </x:row>
    <x:row r="191" ht="26" customHeight="1">
      <x:c r="A191" s="76" t="str">
        <x:v>LUCK</x:v>
      </x:c>
      <x:c r="B191" s="76" t="n">
        <x:v>2021</x:v>
      </x:c>
      <x:c r="C191" s="76" t="n">
        <x:v>21</x:v>
      </x:c>
      <x:c r="D191" s="76" t="str">
        <x:v>Gross profit margin</x:v>
      </x:c>
      <x:c r="E191" s="76" t="str">
        <x:v>Mandatory</x:v>
      </x:c>
      <x:c r="F191" s="170" t="n">
        <x:f>LUCK!D86</x:f>
        <x:v>18955.932</x:v>
      </x:c>
      <x:c r="G191" s="170" t="n">
        <x:f>LUCK!D84</x:f>
        <x:v>62940.805</x:v>
      </x:c>
      <x:c r="H191" s="170" t="n">
        <x:f>IF(G191&lt;=0,"n/m",F191/G191)</x:f>
        <x:v>0.30117079055471246</x:v>
      </x:c>
      <x:c r="I191" s="170" t="n">
        <x:v>18955.932</x:v>
      </x:c>
      <x:c r="J191" s="170" t="n">
        <x:v>62940.805</x:v>
      </x:c>
      <x:c r="K191" s="170" t="n">
        <x:v>0.30117079055471246</x:v>
      </x:c>
      <x:c r="L191" s="177" t="n">
        <x:v>0.30117079055471246</x:v>
      </x:c>
      <x:c r="M191" s="177" t="n">
        <x:f>LUCK!D161</x:f>
        <x:v>0.30117079055471246</x:v>
      </x:c>
      <x:c r="N191" s="178" t="str">
        <x:f>IF(AND(ABS(F191-I191)&lt;0.000001,ABS(G191-J191)&lt;0.000001,IF(ISNUMBER(L191),IF(ISNUMBER(M191),ABS(L191-M191)&lt;0.00000001,FALSE),M191=L191)),"PASS","FAIL")</x:f>
        <x:v>PASS</x:v>
      </x:c>
      <x:c r="O191" s="99" t="str"/>
      <x:c r="P191" s="76" t="str">
        <x:v>Profitability</x:v>
      </x:c>
    </x:row>
    <x:row r="192" ht="26" customHeight="1">
      <x:c r="A192" s="168" t="str">
        <x:v>LUCK</x:v>
      </x:c>
      <x:c r="B192" s="168" t="n">
        <x:v>2021</x:v>
      </x:c>
      <x:c r="C192" s="168" t="n">
        <x:v>22</x:v>
      </x:c>
      <x:c r="D192" s="168" t="str">
        <x:v>Operating margin</x:v>
      </x:c>
      <x:c r="E192" s="168" t="str">
        <x:v>Mandatory</x:v>
      </x:c>
      <x:c r="F192" s="169" t="n">
        <x:f>LUCK!D91</x:f>
        <x:v>11332.089</x:v>
      </x:c>
      <x:c r="G192" s="169" t="n">
        <x:f>LUCK!D84</x:f>
        <x:v>62940.805</x:v>
      </x:c>
      <x:c r="H192" s="169" t="n">
        <x:f>IF(G192&lt;=0,"n/m",F192/G192)</x:f>
        <x:v>0.18004359810777762</x:v>
      </x:c>
      <x:c r="I192" s="169" t="n">
        <x:v>11332.089000000002</x:v>
      </x:c>
      <x:c r="J192" s="169" t="n">
        <x:v>62940.805</x:v>
      </x:c>
      <x:c r="K192" s="169" t="n">
        <x:v>0.18004359810777765</x:v>
      </x:c>
      <x:c r="L192" s="175" t="n">
        <x:v>0.18004359810777765</x:v>
      </x:c>
      <x:c r="M192" s="175" t="n">
        <x:f>LUCK!D162</x:f>
        <x:v>0.18004359810777762</x:v>
      </x:c>
      <x:c r="N192" s="176" t="str">
        <x:f>IF(AND(ABS(F192-I192)&lt;0.000001,ABS(G192-J192)&lt;0.000001,IF(ISNUMBER(L192),IF(ISNUMBER(M192),ABS(L192-M192)&lt;0.00000001,FALSE),M192=L192)),"PASS","FAIL")</x:f>
        <x:v>PASS</x:v>
      </x:c>
      <x:c r="O192" s="171" t="str"/>
      <x:c r="P192" s="168" t="str">
        <x:v>Profitability</x:v>
      </x:c>
    </x:row>
    <x:row r="193" ht="26" customHeight="1">
      <x:c r="A193" s="76" t="str">
        <x:v>LUCK</x:v>
      </x:c>
      <x:c r="B193" s="76" t="n">
        <x:v>2021</x:v>
      </x:c>
      <x:c r="C193" s="76" t="n">
        <x:v>23</x:v>
      </x:c>
      <x:c r="D193" s="76" t="str">
        <x:v>Net profit margin</x:v>
      </x:c>
      <x:c r="E193" s="76" t="str">
        <x:v>Mandatory</x:v>
      </x:c>
      <x:c r="F193" s="170" t="n">
        <x:f>LUCK!D99</x:f>
        <x:v>14070.189000000004</x:v>
      </x:c>
      <x:c r="G193" s="170" t="n">
        <x:f>LUCK!D84</x:f>
        <x:v>62940.805</x:v>
      </x:c>
      <x:c r="H193" s="170" t="n">
        <x:f>IF(G193&lt;=0,"n/m",F193/G193)</x:f>
        <x:v>0.22354637821997994</x:v>
      </x:c>
      <x:c r="I193" s="170" t="n">
        <x:v>14070.189000000004</x:v>
      </x:c>
      <x:c r="J193" s="170" t="n">
        <x:v>62940.805</x:v>
      </x:c>
      <x:c r="K193" s="170" t="n">
        <x:v>0.22354637821997994</x:v>
      </x:c>
      <x:c r="L193" s="177" t="n">
        <x:v>0.22354637821997994</x:v>
      </x:c>
      <x:c r="M193" s="177" t="n">
        <x:f>LUCK!D163</x:f>
        <x:v>0.22354637821997994</x:v>
      </x:c>
      <x:c r="N193" s="178" t="str">
        <x:f>IF(AND(ABS(F193-I193)&lt;0.000001,ABS(G193-J193)&lt;0.000001,IF(ISNUMBER(L193),IF(ISNUMBER(M193),ABS(L193-M193)&lt;0.00000001,FALSE),M193=L193)),"PASS","FAIL")</x:f>
        <x:v>PASS</x:v>
      </x:c>
      <x:c r="O193" s="99" t="str"/>
      <x:c r="P193" s="76" t="str">
        <x:v>Profitability</x:v>
      </x:c>
    </x:row>
    <x:row r="194" ht="26" customHeight="1">
      <x:c r="A194" s="168" t="str">
        <x:v>LUCK</x:v>
      </x:c>
      <x:c r="B194" s="168" t="n">
        <x:v>2021</x:v>
      </x:c>
      <x:c r="C194" s="168" t="n">
        <x:v>24</x:v>
      </x:c>
      <x:c r="D194" s="168" t="str">
        <x:v>Return on assets</x:v>
      </x:c>
      <x:c r="E194" s="168" t="str">
        <x:v>Mandatory</x:v>
      </x:c>
      <x:c r="F194" s="169" t="n">
        <x:f>LUCK!D99</x:f>
        <x:v>14070.189000000004</x:v>
      </x:c>
      <x:c r="G194" s="169" t="n">
        <x:f>AVERAGE(LUCK!C37,LUCK!D37)</x:f>
        <x:v>146118.26799999998</x:v>
      </x:c>
      <x:c r="H194" s="169" t="n">
        <x:f>IF(G194&lt;=0,"n/m",F194/G194)</x:f>
        <x:v>0.09629315480251932</x:v>
      </x:c>
      <x:c r="I194" s="169" t="n">
        <x:v>14070.189000000004</x:v>
      </x:c>
      <x:c r="J194" s="169" t="n">
        <x:v>146118.26799999998</x:v>
      </x:c>
      <x:c r="K194" s="169" t="n">
        <x:v>0.09629315480251932</x:v>
      </x:c>
      <x:c r="L194" s="175" t="n">
        <x:v>0.09629315480251932</x:v>
      </x:c>
      <x:c r="M194" s="175" t="n">
        <x:f>LUCK!D164</x:f>
        <x:v>0.09629315480251932</x:v>
      </x:c>
      <x:c r="N194" s="176" t="str">
        <x:f>IF(AND(ABS(F194-I194)&lt;0.000001,ABS(G194-J194)&lt;0.000001,IF(ISNUMBER(L194),IF(ISNUMBER(M194),ABS(L194-M194)&lt;0.00000001,FALSE),M194=L194)),"PASS","FAIL")</x:f>
        <x:v>PASS</x:v>
      </x:c>
      <x:c r="O194" s="171" t="str"/>
      <x:c r="P194" s="168" t="str">
        <x:v>Profitability</x:v>
      </x:c>
    </x:row>
    <x:row r="195" ht="26" customHeight="1">
      <x:c r="A195" s="76" t="str">
        <x:v>LUCK</x:v>
      </x:c>
      <x:c r="B195" s="76" t="n">
        <x:v>2021</x:v>
      </x:c>
      <x:c r="C195" s="76" t="n">
        <x:v>25</x:v>
      </x:c>
      <x:c r="D195" s="76" t="str">
        <x:v>Return on equity</x:v>
      </x:c>
      <x:c r="E195" s="76" t="str">
        <x:v>Mandatory</x:v>
      </x:c>
      <x:c r="F195" s="170" t="n">
        <x:f>LUCK!D99</x:f>
        <x:v>14070.189000000004</x:v>
      </x:c>
      <x:c r="G195" s="170" t="n">
        <x:f>AVERAGE(LUCK!C41,LUCK!D41)</x:f>
        <x:v>106192.0595</x:v>
      </x:c>
      <x:c r="H195" s="170" t="n">
        <x:f>IF(G195&lt;=0,"n/m",F195/G195)</x:f>
        <x:v>0.13249756211762712</x:v>
      </x:c>
      <x:c r="I195" s="170" t="n">
        <x:v>14070.189000000004</x:v>
      </x:c>
      <x:c r="J195" s="170" t="n">
        <x:v>106192.0595</x:v>
      </x:c>
      <x:c r="K195" s="170" t="n">
        <x:v>0.13249756211762712</x:v>
      </x:c>
      <x:c r="L195" s="177" t="n">
        <x:v>0.13249756211762712</x:v>
      </x:c>
      <x:c r="M195" s="177" t="n">
        <x:f>LUCK!D165</x:f>
        <x:v>0.13249756211762712</x:v>
      </x:c>
      <x:c r="N195" s="178" t="str">
        <x:f>IF(AND(ABS(F195-I195)&lt;0.000001,ABS(G195-J195)&lt;0.000001,IF(ISNUMBER(L195),IF(ISNUMBER(M195),ABS(L195-M195)&lt;0.00000001,FALSE),M195=L195)),"PASS","FAIL")</x:f>
        <x:v>PASS</x:v>
      </x:c>
      <x:c r="O195" s="99" t="str"/>
      <x:c r="P195" s="76" t="str">
        <x:v>Profitability</x:v>
      </x:c>
    </x:row>
    <x:row r="196" ht="26" customHeight="1">
      <x:c r="A196" s="168" t="str">
        <x:v>LUCK</x:v>
      </x:c>
      <x:c r="B196" s="168" t="n">
        <x:v>2021</x:v>
      </x:c>
      <x:c r="C196" s="168" t="n">
        <x:v>26</x:v>
      </x:c>
      <x:c r="D196" s="168" t="str">
        <x:v>Return on invested capital</x:v>
      </x:c>
      <x:c r="E196" s="168" t="str">
        <x:v>Additional</x:v>
      </x:c>
      <x:c r="F196" s="169" t="n">
        <x:f>LUCK!D113</x:f>
        <x:v>14345.84681273134</x:v>
      </x:c>
      <x:c r="G196" s="169" t="n">
        <x:f>AVERAGE(LUCK!C70,LUCK!D70)</x:f>
        <x:v>115626.8515</x:v>
      </x:c>
      <x:c r="H196" s="169" t="n">
        <x:f>IF(G196&lt;=0,"n/m",F196/G196)</x:f>
        <x:v>0.12407020191785936</x:v>
      </x:c>
      <x:c r="I196" s="169" t="n">
        <x:v>14345.84681273134</x:v>
      </x:c>
      <x:c r="J196" s="169" t="n">
        <x:v>115626.8515</x:v>
      </x:c>
      <x:c r="K196" s="169" t="n">
        <x:v>0.12407020191785936</x:v>
      </x:c>
      <x:c r="L196" s="175" t="n">
        <x:v>0.12407020191785936</x:v>
      </x:c>
      <x:c r="M196" s="175" t="n">
        <x:f>LUCK!D166</x:f>
        <x:v>0.12407020191785936</x:v>
      </x:c>
      <x:c r="N196" s="176" t="str">
        <x:f>IF(AND(ABS(F196-I196)&lt;0.000001,ABS(G196-J196)&lt;0.000001,IF(ISNUMBER(L196),IF(ISNUMBER(M196),ABS(L196-M196)&lt;0.00000001,FALSE),M196=L196)),"PASS","FAIL")</x:f>
        <x:v>PASS</x:v>
      </x:c>
      <x:c r="O196" s="171" t="str"/>
      <x:c r="P196" s="168" t="str">
        <x:v>Profitability</x:v>
      </x:c>
    </x:row>
    <x:row r="197" ht="26" customHeight="1">
      <x:c r="A197" s="76" t="str">
        <x:v>LUCK</x:v>
      </x:c>
      <x:c r="B197" s="76" t="n">
        <x:v>2021</x:v>
      </x:c>
      <x:c r="C197" s="76" t="n">
        <x:v>27</x:v>
      </x:c>
      <x:c r="D197" s="76" t="str">
        <x:v>Basic earning power</x:v>
      </x:c>
      <x:c r="E197" s="76" t="str">
        <x:v>Additional</x:v>
      </x:c>
      <x:c r="F197" s="170" t="n">
        <x:f>LUCK!D108</x:f>
        <x:v>17325.118000000002</x:v>
      </x:c>
      <x:c r="G197" s="170" t="n">
        <x:f>AVERAGE(LUCK!C37,LUCK!D37)</x:f>
        <x:v>146118.26799999998</x:v>
      </x:c>
      <x:c r="H197" s="170" t="n">
        <x:f>IF(G197&lt;=0,"n/m",F197/G197)</x:f>
        <x:v>0.11856914427701815</x:v>
      </x:c>
      <x:c r="I197" s="170" t="n">
        <x:v>17325.118000000002</x:v>
      </x:c>
      <x:c r="J197" s="170" t="n">
        <x:v>146118.26799999998</x:v>
      </x:c>
      <x:c r="K197" s="170" t="n">
        <x:v>0.11856914427701815</x:v>
      </x:c>
      <x:c r="L197" s="177" t="n">
        <x:v>0.11856914427701815</x:v>
      </x:c>
      <x:c r="M197" s="177" t="n">
        <x:f>LUCK!D167</x:f>
        <x:v>0.11856914427701815</x:v>
      </x:c>
      <x:c r="N197" s="178" t="str">
        <x:f>IF(AND(ABS(F197-I197)&lt;0.000001,ABS(G197-J197)&lt;0.000001,IF(ISNUMBER(L197),IF(ISNUMBER(M197),ABS(L197-M197)&lt;0.00000001,FALSE),M197=L197)),"PASS","FAIL")</x:f>
        <x:v>PASS</x:v>
      </x:c>
      <x:c r="O197" s="99" t="str"/>
      <x:c r="P197" s="76" t="str">
        <x:v>Profitability</x:v>
      </x:c>
    </x:row>
    <x:row r="198" ht="26" customHeight="1">
      <x:c r="A198" s="168" t="str">
        <x:v>LUCK</x:v>
      </x:c>
      <x:c r="B198" s="168" t="n">
        <x:v>2021</x:v>
      </x:c>
      <x:c r="C198" s="168" t="n">
        <x:v>28</x:v>
      </x:c>
      <x:c r="D198" s="168" t="str">
        <x:v>Book value per share (Rs)</x:v>
      </x:c>
      <x:c r="E198" s="168" t="str">
        <x:v>Additional</x:v>
      </x:c>
      <x:c r="F198" s="169" t="n">
        <x:f>LUCK!D41</x:f>
        <x:v>113200.258</x:v>
      </x:c>
      <x:c r="G198" s="169" t="n">
        <x:f>LUCK!D128</x:f>
        <x:v>323.375</x:v>
      </x:c>
      <x:c r="H198" s="169" t="n">
        <x:f>IF(G198&lt;=0,"n/m",F198/G198)</x:f>
        <x:v>350.05878005411677</x:v>
      </x:c>
      <x:c r="I198" s="169" t="n">
        <x:v>113200.258</x:v>
      </x:c>
      <x:c r="J198" s="169" t="n">
        <x:v>323.375</x:v>
      </x:c>
      <x:c r="K198" s="169" t="n">
        <x:v>350.05878005411677</x:v>
      </x:c>
      <x:c r="L198" s="175" t="n">
        <x:v>350.05878005411677</x:v>
      </x:c>
      <x:c r="M198" s="175" t="n">
        <x:f>LUCK!D169</x:f>
        <x:v>350.05878005411677</x:v>
      </x:c>
      <x:c r="N198" s="176" t="str">
        <x:f>IF(AND(ABS(F198-I198)&lt;0.000001,ABS(G198-J198)&lt;0.000001,IF(ISNUMBER(L198),IF(ISNUMBER(M198),ABS(L198-M198)&lt;0.00000001,FALSE),M198=L198)),"PASS","FAIL")</x:f>
        <x:v>PASS</x:v>
      </x:c>
      <x:c r="O198" s="171" t="str"/>
      <x:c r="P198" s="168" t="str">
        <x:v>Market Value</x:v>
      </x:c>
    </x:row>
    <x:row r="199" ht="26" customHeight="1">
      <x:c r="A199" s="76" t="str">
        <x:v>LUCK</x:v>
      </x:c>
      <x:c r="B199" s="76" t="n">
        <x:v>2021</x:v>
      </x:c>
      <x:c r="C199" s="76" t="n">
        <x:v>29</x:v>
      </x:c>
      <x:c r="D199" s="76" t="str">
        <x:v>Market-to-book ratio</x:v>
      </x:c>
      <x:c r="E199" s="76" t="str">
        <x:v>Mandatory</x:v>
      </x:c>
      <x:c r="F199" s="170" t="n">
        <x:f>LUCK!D130</x:f>
        <x:v>863.44</x:v>
      </x:c>
      <x:c r="G199" s="170" t="n">
        <x:f>LUCK!D41/LUCK!D128</x:f>
        <x:v>350.05878005411677</x:v>
      </x:c>
      <x:c r="H199" s="170" t="n">
        <x:f>IF(G199&lt;=0,"n/m",F199/G199)</x:f>
        <x:v>2.4665571875286716</x:v>
      </x:c>
      <x:c r="I199" s="170" t="n">
        <x:v>863.44</x:v>
      </x:c>
      <x:c r="J199" s="170" t="n">
        <x:v>350.05878005411677</x:v>
      </x:c>
      <x:c r="K199" s="170" t="n">
        <x:v>2.4665571875286716</x:v>
      </x:c>
      <x:c r="L199" s="177" t="n">
        <x:v>2.4665571875286716</x:v>
      </x:c>
      <x:c r="M199" s="177" t="n">
        <x:f>LUCK!D170</x:f>
        <x:v>2.4665571875286716</x:v>
      </x:c>
      <x:c r="N199" s="178" t="str">
        <x:f>IF(AND(ABS(F199-I199)&lt;0.000001,ABS(G199-J199)&lt;0.000001,IF(ISNUMBER(L199),IF(ISNUMBER(M199),ABS(L199-M199)&lt;0.00000001,FALSE),M199=L199)),"PASS","FAIL")</x:f>
        <x:v>PASS</x:v>
      </x:c>
      <x:c r="O199" s="99" t="str"/>
      <x:c r="P199" s="76" t="str">
        <x:v>Market Value</x:v>
      </x:c>
    </x:row>
    <x:row r="200" ht="26" customHeight="1">
      <x:c r="A200" s="168" t="str">
        <x:v>LUCK</x:v>
      </x:c>
      <x:c r="B200" s="168" t="n">
        <x:v>2021</x:v>
      </x:c>
      <x:c r="C200" s="168" t="n">
        <x:v>30</x:v>
      </x:c>
      <x:c r="D200" s="168" t="str">
        <x:v>Earnings per share (Rs)</x:v>
      </x:c>
      <x:c r="E200" s="168" t="str">
        <x:v>Mandatory</x:v>
      </x:c>
      <x:c r="F200" s="169" t="n">
        <x:f>LUCK!D99</x:f>
        <x:v>14070.189000000004</x:v>
      </x:c>
      <x:c r="G200" s="169" t="n">
        <x:f>LUCK!D129</x:f>
        <x:v>323.375</x:v>
      </x:c>
      <x:c r="H200" s="169" t="n">
        <x:f>IF(G200&lt;=0,"n/m",F200/G200)</x:f>
        <x:v>43.51044143795904</x:v>
      </x:c>
      <x:c r="I200" s="169" t="n">
        <x:v>14070.189000000004</x:v>
      </x:c>
      <x:c r="J200" s="169" t="n">
        <x:v>323.375</x:v>
      </x:c>
      <x:c r="K200" s="169" t="n">
        <x:v>43.51044143795904</x:v>
      </x:c>
      <x:c r="L200" s="175" t="n">
        <x:v>43.51044143795904</x:v>
      </x:c>
      <x:c r="M200" s="175" t="n">
        <x:f>LUCK!D171</x:f>
        <x:v>43.51044143795904</x:v>
      </x:c>
      <x:c r="N200" s="176" t="str">
        <x:f>IF(AND(ABS(F200-I200)&lt;0.000001,ABS(G200-J200)&lt;0.000001,IF(ISNUMBER(L200),IF(ISNUMBER(M200),ABS(L200-M200)&lt;0.00000001,FALSE),M200=L200)),"PASS","FAIL")</x:f>
        <x:v>PASS</x:v>
      </x:c>
      <x:c r="O200" s="171" t="str"/>
      <x:c r="P200" s="168" t="str">
        <x:v>Market Value</x:v>
      </x:c>
    </x:row>
    <x:row r="201" ht="26" customHeight="1">
      <x:c r="A201" s="76" t="str">
        <x:v>LUCK</x:v>
      </x:c>
      <x:c r="B201" s="76" t="n">
        <x:v>2021</x:v>
      </x:c>
      <x:c r="C201" s="76" t="n">
        <x:v>31</x:v>
      </x:c>
      <x:c r="D201" s="76" t="str">
        <x:v>Price-to-earnings ratio</x:v>
      </x:c>
      <x:c r="E201" s="76" t="str">
        <x:v>Mandatory</x:v>
      </x:c>
      <x:c r="F201" s="170" t="n">
        <x:f>LUCK!D130</x:f>
        <x:v>863.44</x:v>
      </x:c>
      <x:c r="G201" s="170" t="n">
        <x:f>LUCK!D99/LUCK!D129</x:f>
        <x:v>43.51044143795904</x:v>
      </x:c>
      <x:c r="H201" s="170" t="n">
        <x:f>IF(G201&lt;=0,"n/m",F201/G201)</x:f>
        <x:v>19.844432082610968</x:v>
      </x:c>
      <x:c r="I201" s="170" t="n">
        <x:v>863.44</x:v>
      </x:c>
      <x:c r="J201" s="170" t="n">
        <x:v>43.51044143795904</x:v>
      </x:c>
      <x:c r="K201" s="170" t="n">
        <x:v>19.844432082610968</x:v>
      </x:c>
      <x:c r="L201" s="177" t="n">
        <x:v>19.844432082610968</x:v>
      </x:c>
      <x:c r="M201" s="177" t="n">
        <x:f>LUCK!D172</x:f>
        <x:v>19.844432082610968</x:v>
      </x:c>
      <x:c r="N201" s="178" t="str">
        <x:f>IF(AND(ABS(F201-I201)&lt;0.000001,ABS(G201-J201)&lt;0.000001,IF(ISNUMBER(L201),IF(ISNUMBER(M201),ABS(L201-M201)&lt;0.00000001,FALSE),M201=L201)),"PASS","FAIL")</x:f>
        <x:v>PASS</x:v>
      </x:c>
      <x:c r="O201" s="99" t="str"/>
      <x:c r="P201" s="76" t="str">
        <x:v>Market Value</x:v>
      </x:c>
    </x:row>
    <x:row r="202" ht="26" customHeight="1">
      <x:c r="A202" s="168" t="str">
        <x:v>LUCK</x:v>
      </x:c>
      <x:c r="B202" s="168" t="n">
        <x:v>2021</x:v>
      </x:c>
      <x:c r="C202" s="168" t="n">
        <x:v>32</x:v>
      </x:c>
      <x:c r="D202" s="168" t="str">
        <x:v>Dividend yield</x:v>
      </x:c>
      <x:c r="E202" s="168" t="str">
        <x:v>Mandatory</x:v>
      </x:c>
      <x:c r="F202" s="169" t="n">
        <x:f>LUCK!D131</x:f>
        <x:v>0</x:v>
      </x:c>
      <x:c r="G202" s="169" t="n">
        <x:f>LUCK!D130</x:f>
        <x:v>863.44</x:v>
      </x:c>
      <x:c r="H202" s="169" t="n">
        <x:f>IF(G202&lt;=0,"n/m",F202/G202)</x:f>
        <x:v>0</x:v>
      </x:c>
      <x:c r="I202" s="169" t="n">
        <x:v>0</x:v>
      </x:c>
      <x:c r="J202" s="169" t="n">
        <x:v>863.44</x:v>
      </x:c>
      <x:c r="K202" s="169" t="n">
        <x:v>0</x:v>
      </x:c>
      <x:c r="L202" s="175" t="n">
        <x:v>0</x:v>
      </x:c>
      <x:c r="M202" s="175" t="n">
        <x:f>LUCK!D173</x:f>
        <x:v>0</x:v>
      </x:c>
      <x:c r="N202" s="176" t="str">
        <x:f>IF(AND(ABS(F202-I202)&lt;0.000001,ABS(G202-J202)&lt;0.000001,IF(ISNUMBER(L202),IF(ISNUMBER(M202),ABS(L202-M202)&lt;0.00000001,FALSE),M202=L202)),"PASS","FAIL")</x:f>
        <x:v>PASS</x:v>
      </x:c>
      <x:c r="O202" s="171" t="str"/>
      <x:c r="P202" s="168" t="str">
        <x:v>Market Value</x:v>
      </x:c>
    </x:row>
    <x:row r="203" ht="26" customHeight="1">
      <x:c r="A203" s="76" t="str">
        <x:v>LUCK</x:v>
      </x:c>
      <x:c r="B203" s="76" t="n">
        <x:v>2021</x:v>
      </x:c>
      <x:c r="C203" s="76" t="n">
        <x:v>33</x:v>
      </x:c>
      <x:c r="D203" s="76" t="str">
        <x:v>Dividend payout ratio</x:v>
      </x:c>
      <x:c r="E203" s="76" t="str">
        <x:v>Additional</x:v>
      </x:c>
      <x:c r="F203" s="170" t="n">
        <x:f>LUCK!D131</x:f>
        <x:v>0</x:v>
      </x:c>
      <x:c r="G203" s="170" t="n">
        <x:f>LUCK!D99/LUCK!D129</x:f>
        <x:v>43.51044143795904</x:v>
      </x:c>
      <x:c r="H203" s="170" t="n">
        <x:f>IF(G203&lt;=0,"n/m",F203/G203)</x:f>
        <x:v>0</x:v>
      </x:c>
      <x:c r="I203" s="170" t="n">
        <x:v>0</x:v>
      </x:c>
      <x:c r="J203" s="170" t="n">
        <x:v>43.51044143795904</x:v>
      </x:c>
      <x:c r="K203" s="170" t="n">
        <x:v>0</x:v>
      </x:c>
      <x:c r="L203" s="177" t="n">
        <x:v>0</x:v>
      </x:c>
      <x:c r="M203" s="177" t="n">
        <x:f>LUCK!D174</x:f>
        <x:v>0</x:v>
      </x:c>
      <x:c r="N203" s="178" t="str">
        <x:f>IF(AND(ABS(F203-I203)&lt;0.000001,ABS(G203-J203)&lt;0.000001,IF(ISNUMBER(L203),IF(ISNUMBER(M203),ABS(L203-M203)&lt;0.00000001,FALSE),M203=L203)),"PASS","FAIL")</x:f>
        <x:v>PASS</x:v>
      </x:c>
      <x:c r="O203" s="99" t="str"/>
      <x:c r="P203" s="76" t="str">
        <x:v>Market Value</x:v>
      </x:c>
    </x:row>
    <x:row r="204" ht="26" customHeight="1">
      <x:c r="A204" s="168" t="str">
        <x:v>LUCK</x:v>
      </x:c>
      <x:c r="B204" s="168" t="n">
        <x:v>2022</x:v>
      </x:c>
      <x:c r="C204" s="168" t="n">
        <x:v>1</x:v>
      </x:c>
      <x:c r="D204" s="168" t="str">
        <x:v>Current ratio</x:v>
      </x:c>
      <x:c r="E204" s="168" t="str">
        <x:v>Mandatory</x:v>
      </x:c>
      <x:c r="F204" s="169" t="n">
        <x:f>LUCK!E36</x:f>
        <x:v>44815.691000000006</x:v>
      </x:c>
      <x:c r="G204" s="169" t="n">
        <x:f>LUCK!E61</x:f>
        <x:v>30361.358</x:v>
      </x:c>
      <x:c r="H204" s="169" t="n">
        <x:f>IF(G204&lt;=0,"n/m",F204/G204)</x:f>
        <x:v>1.4760766300374313</x:v>
      </x:c>
      <x:c r="I204" s="169" t="n">
        <x:v>44815.691</x:v>
      </x:c>
      <x:c r="J204" s="169" t="n">
        <x:v>30361.358</x:v>
      </x:c>
      <x:c r="K204" s="169" t="n">
        <x:v>1.476076630037431</x:v>
      </x:c>
      <x:c r="L204" s="175" t="n">
        <x:v>1.476076630037431</x:v>
      </x:c>
      <x:c r="M204" s="175" t="n">
        <x:f>LUCK!E138</x:f>
        <x:v>1.4760766300374313</x:v>
      </x:c>
      <x:c r="N204" s="176" t="str">
        <x:f>IF(AND(ABS(F204-I204)&lt;0.000001,ABS(G204-J204)&lt;0.000001,IF(ISNUMBER(L204),IF(ISNUMBER(M204),ABS(L204-M204)&lt;0.00000001,FALSE),M204=L204)),"PASS","FAIL")</x:f>
        <x:v>PASS</x:v>
      </x:c>
      <x:c r="O204" s="171" t="str"/>
      <x:c r="P204" s="168" t="str">
        <x:v>Liquidity</x:v>
      </x:c>
    </x:row>
    <x:row r="205" ht="26" customHeight="1">
      <x:c r="A205" s="76" t="str">
        <x:v>LUCK</x:v>
      </x:c>
      <x:c r="B205" s="76" t="n">
        <x:v>2022</x:v>
      </x:c>
      <x:c r="C205" s="76" t="n">
        <x:v>2</x:v>
      </x:c>
      <x:c r="D205" s="76" t="str">
        <x:v>Quick ratio</x:v>
      </x:c>
      <x:c r="E205" s="76" t="str">
        <x:v>Mandatory</x:v>
      </x:c>
      <x:c r="F205" s="170" t="n">
        <x:f>LUCK!E36-LUCK!E65</x:f>
        <x:v>26437.484000000004</x:v>
      </x:c>
      <x:c r="G205" s="170" t="n">
        <x:f>LUCK!E61</x:f>
        <x:v>30361.358</x:v>
      </x:c>
      <x:c r="H205" s="170" t="n">
        <x:f>IF(G205&lt;=0,"n/m",F205/G205)</x:f>
        <x:v>0.8707609191920863</x:v>
      </x:c>
      <x:c r="I205" s="170" t="n">
        <x:v>26437.483999999997</x:v>
      </x:c>
      <x:c r="J205" s="170" t="n">
        <x:v>30361.358</x:v>
      </x:c>
      <x:c r="K205" s="170" t="n">
        <x:v>0.8707609191920861</x:v>
      </x:c>
      <x:c r="L205" s="177" t="n">
        <x:v>0.8707609191920861</x:v>
      </x:c>
      <x:c r="M205" s="177" t="n">
        <x:f>LUCK!E139</x:f>
        <x:v>0.8707609191920863</x:v>
      </x:c>
      <x:c r="N205" s="178" t="str">
        <x:f>IF(AND(ABS(F205-I205)&lt;0.000001,ABS(G205-J205)&lt;0.000001,IF(ISNUMBER(L205),IF(ISNUMBER(M205),ABS(L205-M205)&lt;0.00000001,FALSE),M205=L205)),"PASS","FAIL")</x:f>
        <x:v>PASS</x:v>
      </x:c>
      <x:c r="O205" s="99" t="str"/>
      <x:c r="P205" s="76" t="str">
        <x:v>Liquidity</x:v>
      </x:c>
    </x:row>
    <x:row r="206" ht="26" customHeight="1">
      <x:c r="A206" s="168" t="str">
        <x:v>LUCK</x:v>
      </x:c>
      <x:c r="B206" s="168" t="n">
        <x:v>2022</x:v>
      </x:c>
      <x:c r="C206" s="168" t="n">
        <x:v>3</x:v>
      </x:c>
      <x:c r="D206" s="168" t="str">
        <x:v>Cash ratio</x:v>
      </x:c>
      <x:c r="E206" s="168" t="str">
        <x:v>Mandatory</x:v>
      </x:c>
      <x:c r="F206" s="169" t="n">
        <x:f>LUCK!E34</x:f>
        <x:v>3871.078</x:v>
      </x:c>
      <x:c r="G206" s="169" t="n">
        <x:f>LUCK!E61</x:f>
        <x:v>30361.358</x:v>
      </x:c>
      <x:c r="H206" s="169" t="n">
        <x:f>IF(G206&lt;=0,"n/m",F206/G206)</x:f>
        <x:v>0.12750015990720837</x:v>
      </x:c>
      <x:c r="I206" s="169" t="n">
        <x:v>3871.078</x:v>
      </x:c>
      <x:c r="J206" s="169" t="n">
        <x:v>30361.358</x:v>
      </x:c>
      <x:c r="K206" s="169" t="n">
        <x:v>0.12750015990720837</x:v>
      </x:c>
      <x:c r="L206" s="175" t="n">
        <x:v>0.12750015990720837</x:v>
      </x:c>
      <x:c r="M206" s="175" t="n">
        <x:f>LUCK!E140</x:f>
        <x:v>0.12750015990720837</x:v>
      </x:c>
      <x:c r="N206" s="176" t="str">
        <x:f>IF(AND(ABS(F206-I206)&lt;0.000001,ABS(G206-J206)&lt;0.000001,IF(ISNUMBER(L206),IF(ISNUMBER(M206),ABS(L206-M206)&lt;0.00000001,FALSE),M206=L206)),"PASS","FAIL")</x:f>
        <x:v>PASS</x:v>
      </x:c>
      <x:c r="O206" s="171" t="str"/>
      <x:c r="P206" s="168" t="str">
        <x:v>Liquidity</x:v>
      </x:c>
    </x:row>
    <x:row r="207" ht="26" customHeight="1">
      <x:c r="A207" s="76" t="str">
        <x:v>LUCK</x:v>
      </x:c>
      <x:c r="B207" s="76" t="n">
        <x:v>2022</x:v>
      </x:c>
      <x:c r="C207" s="76" t="n">
        <x:v>4</x:v>
      </x:c>
      <x:c r="D207" s="76" t="str">
        <x:v>Net working capital (PKR m)</x:v>
      </x:c>
      <x:c r="E207" s="76" t="str">
        <x:v>Additional</x:v>
      </x:c>
      <x:c r="F207" s="170" t="n">
        <x:f>LUCK!E36-LUCK!E61</x:f>
        <x:v>14454.333000000006</x:v>
      </x:c>
      <x:c r="G207" s="170" t="n">
        <x:f>1</x:f>
        <x:v>1</x:v>
      </x:c>
      <x:c r="H207" s="170" t="n">
        <x:f>IF(G207&lt;=0,"n/m",F207/G207)</x:f>
        <x:v>14454.333000000006</x:v>
      </x:c>
      <x:c r="I207" s="170" t="n">
        <x:v>14454.332999999999</x:v>
      </x:c>
      <x:c r="J207" s="170" t="n">
        <x:v>1</x:v>
      </x:c>
      <x:c r="K207" s="170" t="n">
        <x:v>14454.332999999999</x:v>
      </x:c>
      <x:c r="L207" s="177" t="n">
        <x:v>14454.332999999999</x:v>
      </x:c>
      <x:c r="M207" s="177" t="n">
        <x:f>LUCK!E141</x:f>
        <x:v>14454.333000000006</x:v>
      </x:c>
      <x:c r="N207" s="178" t="str">
        <x:f>IF(AND(ABS(F207-I207)&lt;0.000001,ABS(G207-J207)&lt;0.000001,IF(ISNUMBER(L207),IF(ISNUMBER(M207),ABS(L207-M207)&lt;0.00000001,FALSE),M207=L207)),"PASS","FAIL")</x:f>
        <x:v>PASS</x:v>
      </x:c>
      <x:c r="O207" s="99" t="str"/>
      <x:c r="P207" s="76" t="str">
        <x:v>Liquidity</x:v>
      </x:c>
    </x:row>
    <x:row r="208" ht="26" customHeight="1">
      <x:c r="A208" s="168" t="str">
        <x:v>LUCK</x:v>
      </x:c>
      <x:c r="B208" s="168" t="n">
        <x:v>2022</x:v>
      </x:c>
      <x:c r="C208" s="168" t="n">
        <x:v>5</x:v>
      </x:c>
      <x:c r="D208" s="168" t="str">
        <x:v>Net operating working capital (PKR m)</x:v>
      </x:c>
      <x:c r="E208" s="168" t="str">
        <x:v>Additional</x:v>
      </x:c>
      <x:c r="F208" s="169" t="n">
        <x:f>LUCK!E72-LUCK!E73</x:f>
        <x:v>-494.2159999999931</x:v>
      </x:c>
      <x:c r="G208" s="169" t="n">
        <x:f>1</x:f>
        <x:v>1</x:v>
      </x:c>
      <x:c r="H208" s="169" t="n">
        <x:f>IF(G208&lt;=0,"n/m",F208/G208)</x:f>
        <x:v>-494.2159999999931</x:v>
      </x:c>
      <x:c r="I208" s="169" t="n">
        <x:v>-494.21600000000035</x:v>
      </x:c>
      <x:c r="J208" s="169" t="n">
        <x:v>1</x:v>
      </x:c>
      <x:c r="K208" s="169" t="n">
        <x:v>-494.21600000000035</x:v>
      </x:c>
      <x:c r="L208" s="175" t="str">
        <x:v>n/m</x:v>
      </x:c>
      <x:c r="M208" s="175" t="str">
        <x:f>LUCK!E142</x:f>
        <x:v>n/m</x:v>
      </x:c>
      <x:c r="N208" s="176" t="str">
        <x:f>IF(AND(ABS(F208-I208)&lt;0.000001,ABS(G208-J208)&lt;0.000001,IF(ISNUMBER(L208),IF(ISNUMBER(M208),ABS(L208-M208)&lt;0.00000001,FALSE),M208=L208)),"PASS","FAIL")</x:f>
        <x:v>PASS</x:v>
      </x:c>
      <x:c r="O208" s="171" t="str">
        <x:v>Negative calculated measure; raw signed value in H/K.</x:v>
      </x:c>
      <x:c r="P208" s="168" t="str">
        <x:v>Liquidity</x:v>
      </x:c>
    </x:row>
    <x:row r="209" ht="26" customHeight="1">
      <x:c r="A209" s="76" t="str">
        <x:v>LUCK</x:v>
      </x:c>
      <x:c r="B209" s="76" t="n">
        <x:v>2022</x:v>
      </x:c>
      <x:c r="C209" s="76" t="n">
        <x:v>6</x:v>
      </x:c>
      <x:c r="D209" s="76" t="str">
        <x:v>Inventory turnover</x:v>
      </x:c>
      <x:c r="E209" s="76" t="str">
        <x:v>Mandatory</x:v>
      </x:c>
      <x:c r="F209" s="170" t="n">
        <x:f>-LUCK!E85</x:f>
        <x:v>58541.684</x:v>
      </x:c>
      <x:c r="G209" s="170" t="n">
        <x:f>AVERAGE(LUCK!D65,LUCK!E65)</x:f>
        <x:v>16004.908500000001</x:v>
      </x:c>
      <x:c r="H209" s="170" t="n">
        <x:f>IF(G209&lt;=0,"n/m",F209/G209)</x:f>
        <x:v>3.657733126059421</x:v>
      </x:c>
      <x:c r="I209" s="170" t="n">
        <x:v>58541.684</x:v>
      </x:c>
      <x:c r="J209" s="170" t="n">
        <x:v>16004.908500000001</x:v>
      </x:c>
      <x:c r="K209" s="170" t="n">
        <x:v>3.657733126059421</x:v>
      </x:c>
      <x:c r="L209" s="177" t="n">
        <x:v>3.657733126059421</x:v>
      </x:c>
      <x:c r="M209" s="177" t="n">
        <x:f>LUCK!E144</x:f>
        <x:v>3.657733126059421</x:v>
      </x:c>
      <x:c r="N209" s="178" t="str">
        <x:f>IF(AND(ABS(F209-I209)&lt;0.000001,ABS(G209-J209)&lt;0.000001,IF(ISNUMBER(L209),IF(ISNUMBER(M209),ABS(L209-M209)&lt;0.00000001,FALSE),M209=L209)),"PASS","FAIL")</x:f>
        <x:v>PASS</x:v>
      </x:c>
      <x:c r="O209" s="99" t="str"/>
      <x:c r="P209" s="76" t="str">
        <x:v>Asset Management</x:v>
      </x:c>
    </x:row>
    <x:row r="210" ht="26" customHeight="1">
      <x:c r="A210" s="168" t="str">
        <x:v>LUCK</x:v>
      </x:c>
      <x:c r="B210" s="168" t="n">
        <x:v>2022</x:v>
      </x:c>
      <x:c r="C210" s="168" t="n">
        <x:v>7</x:v>
      </x:c>
      <x:c r="D210" s="168" t="str">
        <x:v>Receivables turnover</x:v>
      </x:c>
      <x:c r="E210" s="168" t="str">
        <x:v>Additional</x:v>
      </x:c>
      <x:c r="F210" s="169" t="n">
        <x:f>LUCK!E84</x:f>
        <x:v>81093.525</x:v>
      </x:c>
      <x:c r="G210" s="169" t="n">
        <x:f>AVERAGE(LUCK!D32,LUCK!E32)</x:f>
        <x:v>3116.5060000000003</x:v>
      </x:c>
      <x:c r="H210" s="169" t="n">
        <x:f>IF(G210&lt;=0,"n/m",F210/G210)</x:f>
        <x:v>26.020654219821807</x:v>
      </x:c>
      <x:c r="I210" s="169" t="n">
        <x:v>81093.525</x:v>
      </x:c>
      <x:c r="J210" s="169" t="n">
        <x:v>3116.5060000000003</x:v>
      </x:c>
      <x:c r="K210" s="169" t="n">
        <x:v>26.020654219821807</x:v>
      </x:c>
      <x:c r="L210" s="175" t="n">
        <x:v>26.020654219821807</x:v>
      </x:c>
      <x:c r="M210" s="175" t="n">
        <x:f>LUCK!E145</x:f>
        <x:v>26.020654219821807</x:v>
      </x:c>
      <x:c r="N210" s="176" t="str">
        <x:f>IF(AND(ABS(F210-I210)&lt;0.000001,ABS(G210-J210)&lt;0.000001,IF(ISNUMBER(L210),IF(ISNUMBER(M210),ABS(L210-M210)&lt;0.00000001,FALSE),M210=L210)),"PASS","FAIL")</x:f>
        <x:v>PASS</x:v>
      </x:c>
      <x:c r="O210" s="171" t="str"/>
      <x:c r="P210" s="168" t="str">
        <x:v>Asset Management</x:v>
      </x:c>
    </x:row>
    <x:row r="211" ht="26" customHeight="1">
      <x:c r="A211" s="76" t="str">
        <x:v>LUCK</x:v>
      </x:c>
      <x:c r="B211" s="76" t="n">
        <x:v>2022</x:v>
      </x:c>
      <x:c r="C211" s="76" t="n">
        <x:v>8</x:v>
      </x:c>
      <x:c r="D211" s="76" t="str">
        <x:v>Payables turnover</x:v>
      </x:c>
      <x:c r="E211" s="76" t="str">
        <x:v>Additional</x:v>
      </x:c>
      <x:c r="F211" s="170" t="n">
        <x:f>-LUCK!E85</x:f>
        <x:v>58541.684</x:v>
      </x:c>
      <x:c r="G211" s="170" t="n">
        <x:f>AVERAGE(LUCK!D51,LUCK!E51)</x:f>
        <x:v>3117.7160000000003</x:v>
      </x:c>
      <x:c r="H211" s="170" t="n">
        <x:f>IF(G211&lt;=0,"n/m",F211/G211)</x:f>
        <x:v>18.777106060975406</x:v>
      </x:c>
      <x:c r="I211" s="170" t="n">
        <x:v>58541.684</x:v>
      </x:c>
      <x:c r="J211" s="170" t="n">
        <x:v>3117.7160000000003</x:v>
      </x:c>
      <x:c r="K211" s="170" t="n">
        <x:v>18.777106060975406</x:v>
      </x:c>
      <x:c r="L211" s="177" t="n">
        <x:v>18.777106060975406</x:v>
      </x:c>
      <x:c r="M211" s="177" t="n">
        <x:f>LUCK!E146</x:f>
        <x:v>18.777106060975406</x:v>
      </x:c>
      <x:c r="N211" s="178" t="str">
        <x:f>IF(AND(ABS(F211-I211)&lt;0.000001,ABS(G211-J211)&lt;0.000001,IF(ISNUMBER(L211),IF(ISNUMBER(M211),ABS(L211-M211)&lt;0.00000001,FALSE),M211=L211)),"PASS","FAIL")</x:f>
        <x:v>PASS</x:v>
      </x:c>
      <x:c r="O211" s="99" t="str"/>
      <x:c r="P211" s="76" t="str">
        <x:v>Asset Management</x:v>
      </x:c>
    </x:row>
    <x:row r="212" ht="26" customHeight="1">
      <x:c r="A212" s="168" t="str">
        <x:v>LUCK</x:v>
      </x:c>
      <x:c r="B212" s="168" t="n">
        <x:v>2022</x:v>
      </x:c>
      <x:c r="C212" s="168" t="n">
        <x:v>9</x:v>
      </x:c>
      <x:c r="D212" s="168" t="str">
        <x:v>Days inventory outstanding</x:v>
      </x:c>
      <x:c r="E212" s="168" t="str">
        <x:v>Additional</x:v>
      </x:c>
      <x:c r="F212" s="169" t="n">
        <x:f>365*AVERAGE(LUCK!D65,LUCK!E65)</x:f>
        <x:v>5841791.6025</x:v>
      </x:c>
      <x:c r="G212" s="169" t="n">
        <x:f>-LUCK!E85</x:f>
        <x:v>58541.684</x:v>
      </x:c>
      <x:c r="H212" s="169" t="n">
        <x:f>IF(G212&lt;=0,"n/m",F212/G212)</x:f>
        <x:v>99.78858145761573</x:v>
      </x:c>
      <x:c r="I212" s="169" t="n">
        <x:v>5841791.6025</x:v>
      </x:c>
      <x:c r="J212" s="169" t="n">
        <x:v>58541.684</x:v>
      </x:c>
      <x:c r="K212" s="169" t="n">
        <x:v>99.78858145761573</x:v>
      </x:c>
      <x:c r="L212" s="175" t="n">
        <x:v>99.78858145761573</x:v>
      </x:c>
      <x:c r="M212" s="175" t="n">
        <x:f>LUCK!E147</x:f>
        <x:v>99.78858145761573</x:v>
      </x:c>
      <x:c r="N212" s="176" t="str">
        <x:f>IF(AND(ABS(F212-I212)&lt;0.000001,ABS(G212-J212)&lt;0.000001,IF(ISNUMBER(L212),IF(ISNUMBER(M212),ABS(L212-M212)&lt;0.00000001,FALSE),M212=L212)),"PASS","FAIL")</x:f>
        <x:v>PASS</x:v>
      </x:c>
      <x:c r="O212" s="171" t="str"/>
      <x:c r="P212" s="168" t="str">
        <x:v>Asset Management</x:v>
      </x:c>
    </x:row>
    <x:row r="213" ht="26" customHeight="1">
      <x:c r="A213" s="76" t="str">
        <x:v>LUCK</x:v>
      </x:c>
      <x:c r="B213" s="76" t="n">
        <x:v>2022</x:v>
      </x:c>
      <x:c r="C213" s="76" t="n">
        <x:v>10</x:v>
      </x:c>
      <x:c r="D213" s="76" t="str">
        <x:v>Days sales outstanding</x:v>
      </x:c>
      <x:c r="E213" s="76" t="str">
        <x:v>Mandatory</x:v>
      </x:c>
      <x:c r="F213" s="170" t="n">
        <x:f>365*AVERAGE(LUCK!D32,LUCK!E32)</x:f>
        <x:v>1137524.6900000002</x:v>
      </x:c>
      <x:c r="G213" s="170" t="n">
        <x:f>LUCK!E84</x:f>
        <x:v>81093.525</x:v>
      </x:c>
      <x:c r="H213" s="170" t="n">
        <x:f>IF(G213&lt;=0,"n/m",F213/G213)</x:f>
        <x:v>14.027318333985361</x:v>
      </x:c>
      <x:c r="I213" s="170" t="n">
        <x:v>1137524.6900000002</x:v>
      </x:c>
      <x:c r="J213" s="170" t="n">
        <x:v>81093.525</x:v>
      </x:c>
      <x:c r="K213" s="170" t="n">
        <x:v>14.027318333985361</x:v>
      </x:c>
      <x:c r="L213" s="177" t="n">
        <x:v>14.027318333985361</x:v>
      </x:c>
      <x:c r="M213" s="177" t="n">
        <x:f>LUCK!E148</x:f>
        <x:v>14.027318333985361</x:v>
      </x:c>
      <x:c r="N213" s="178" t="str">
        <x:f>IF(AND(ABS(F213-I213)&lt;0.000001,ABS(G213-J213)&lt;0.000001,IF(ISNUMBER(L213),IF(ISNUMBER(M213),ABS(L213-M213)&lt;0.00000001,FALSE),M213=L213)),"PASS","FAIL")</x:f>
        <x:v>PASS</x:v>
      </x:c>
      <x:c r="O213" s="99" t="str"/>
      <x:c r="P213" s="76" t="str">
        <x:v>Asset Management</x:v>
      </x:c>
    </x:row>
    <x:row r="214" ht="26" customHeight="1">
      <x:c r="A214" s="168" t="str">
        <x:v>LUCK</x:v>
      </x:c>
      <x:c r="B214" s="168" t="n">
        <x:v>2022</x:v>
      </x:c>
      <x:c r="C214" s="168" t="n">
        <x:v>11</x:v>
      </x:c>
      <x:c r="D214" s="168" t="str">
        <x:v>Days payables outstanding</x:v>
      </x:c>
      <x:c r="E214" s="168" t="str">
        <x:v>Additional</x:v>
      </x:c>
      <x:c r="F214" s="169" t="n">
        <x:f>365*AVERAGE(LUCK!D51,LUCK!E51)</x:f>
        <x:v>1137966.34</x:v>
      </x:c>
      <x:c r="G214" s="169" t="n">
        <x:f>-LUCK!E85</x:f>
        <x:v>58541.684</x:v>
      </x:c>
      <x:c r="H214" s="169" t="n">
        <x:f>IF(G214&lt;=0,"n/m",F214/G214)</x:f>
        <x:v>19.438565176908817</x:v>
      </x:c>
      <x:c r="I214" s="169" t="n">
        <x:v>1137966.34</x:v>
      </x:c>
      <x:c r="J214" s="169" t="n">
        <x:v>58541.684</x:v>
      </x:c>
      <x:c r="K214" s="169" t="n">
        <x:v>19.438565176908817</x:v>
      </x:c>
      <x:c r="L214" s="175" t="n">
        <x:v>19.438565176908817</x:v>
      </x:c>
      <x:c r="M214" s="175" t="n">
        <x:f>LUCK!E149</x:f>
        <x:v>19.438565176908817</x:v>
      </x:c>
      <x:c r="N214" s="176" t="str">
        <x:f>IF(AND(ABS(F214-I214)&lt;0.000001,ABS(G214-J214)&lt;0.000001,IF(ISNUMBER(L214),IF(ISNUMBER(M214),ABS(L214-M214)&lt;0.00000001,FALSE),M214=L214)),"PASS","FAIL")</x:f>
        <x:v>PASS</x:v>
      </x:c>
      <x:c r="O214" s="171" t="str"/>
      <x:c r="P214" s="168" t="str">
        <x:v>Asset Management</x:v>
      </x:c>
    </x:row>
    <x:row r="215" ht="26" customHeight="1">
      <x:c r="A215" s="76" t="str">
        <x:v>LUCK</x:v>
      </x:c>
      <x:c r="B215" s="76" t="n">
        <x:v>2022</x:v>
      </x:c>
      <x:c r="C215" s="76" t="n">
        <x:v>12</x:v>
      </x:c>
      <x:c r="D215" s="76" t="str">
        <x:v>Operating cycle (days)</x:v>
      </x:c>
      <x:c r="E215" s="76" t="str">
        <x:v>Additional</x:v>
      </x:c>
      <x:c r="F215" s="170" t="n">
        <x:f>365*AVERAGE(LUCK!D65,LUCK!E65)/(-LUCK!E85)+365*AVERAGE(LUCK!D32,LUCK!E32)/LUCK!E84</x:f>
        <x:v>113.8158997916011</x:v>
      </x:c>
      <x:c r="G215" s="170" t="n">
        <x:f>1</x:f>
        <x:v>1</x:v>
      </x:c>
      <x:c r="H215" s="170" t="n">
        <x:f>IF(G215&lt;=0,"n/m",F215/G215)</x:f>
        <x:v>113.8158997916011</x:v>
      </x:c>
      <x:c r="I215" s="170" t="n">
        <x:v>113.8158997916011</x:v>
      </x:c>
      <x:c r="J215" s="170" t="n">
        <x:v>1</x:v>
      </x:c>
      <x:c r="K215" s="170" t="n">
        <x:v>113.8158997916011</x:v>
      </x:c>
      <x:c r="L215" s="177" t="n">
        <x:v>113.8158997916011</x:v>
      </x:c>
      <x:c r="M215" s="177" t="n">
        <x:f>LUCK!E150</x:f>
        <x:v>113.8158997916011</x:v>
      </x:c>
      <x:c r="N215" s="178" t="str">
        <x:f>IF(AND(ABS(F215-I215)&lt;0.000001,ABS(G215-J215)&lt;0.000001,IF(ISNUMBER(L215),IF(ISNUMBER(M215),ABS(L215-M215)&lt;0.00000001,FALSE),M215=L215)),"PASS","FAIL")</x:f>
        <x:v>PASS</x:v>
      </x:c>
      <x:c r="O215" s="99" t="str"/>
      <x:c r="P215" s="76" t="str">
        <x:v>Asset Management</x:v>
      </x:c>
    </x:row>
    <x:row r="216" ht="26" customHeight="1">
      <x:c r="A216" s="168" t="str">
        <x:v>LUCK</x:v>
      </x:c>
      <x:c r="B216" s="168" t="n">
        <x:v>2022</x:v>
      </x:c>
      <x:c r="C216" s="168" t="n">
        <x:v>13</x:v>
      </x:c>
      <x:c r="D216" s="168" t="str">
        <x:v>Cash conversion cycle (days)</x:v>
      </x:c>
      <x:c r="E216" s="168" t="str">
        <x:v>Additional</x:v>
      </x:c>
      <x:c r="F216" s="169" t="n">
        <x:f>365*AVERAGE(LUCK!D65,LUCK!E65)/(-LUCK!E85)+365*AVERAGE(LUCK!D32,LUCK!E32)/LUCK!E84-365*AVERAGE(LUCK!D51,LUCK!E51)/(-LUCK!E85)</x:f>
        <x:v>94.37733461469227</x:v>
      </x:c>
      <x:c r="G216" s="169" t="n">
        <x:f>1</x:f>
        <x:v>1</x:v>
      </x:c>
      <x:c r="H216" s="169" t="n">
        <x:f>IF(G216&lt;=0,"n/m",F216/G216)</x:f>
        <x:v>94.37733461469227</x:v>
      </x:c>
      <x:c r="I216" s="169" t="n">
        <x:v>94.37733461469227</x:v>
      </x:c>
      <x:c r="J216" s="169" t="n">
        <x:v>1</x:v>
      </x:c>
      <x:c r="K216" s="169" t="n">
        <x:v>94.37733461469227</x:v>
      </x:c>
      <x:c r="L216" s="175" t="n">
        <x:v>94.37733461469227</x:v>
      </x:c>
      <x:c r="M216" s="175" t="n">
        <x:f>LUCK!E151</x:f>
        <x:v>94.37733461469227</x:v>
      </x:c>
      <x:c r="N216" s="176" t="str">
        <x:f>IF(AND(ABS(F216-I216)&lt;0.000001,ABS(G216-J216)&lt;0.000001,IF(ISNUMBER(L216),IF(ISNUMBER(M216),ABS(L216-M216)&lt;0.00000001,FALSE),M216=L216)),"PASS","FAIL")</x:f>
        <x:v>PASS</x:v>
      </x:c>
      <x:c r="O216" s="171" t="str"/>
      <x:c r="P216" s="168" t="str">
        <x:v>Asset Management</x:v>
      </x:c>
    </x:row>
    <x:row r="217" ht="26" customHeight="1">
      <x:c r="A217" s="76" t="str">
        <x:v>LUCK</x:v>
      </x:c>
      <x:c r="B217" s="76" t="n">
        <x:v>2022</x:v>
      </x:c>
      <x:c r="C217" s="76" t="n">
        <x:v>14</x:v>
      </x:c>
      <x:c r="D217" s="76" t="str">
        <x:v>Total asset turnover</x:v>
      </x:c>
      <x:c r="E217" s="76" t="str">
        <x:v>Mandatory</x:v>
      </x:c>
      <x:c r="F217" s="170" t="n">
        <x:f>LUCK!E84</x:f>
        <x:v>81093.525</x:v>
      </x:c>
      <x:c r="G217" s="170" t="n">
        <x:f>AVERAGE(LUCK!D37,LUCK!E37)</x:f>
        <x:v>170665.21500000003</x:v>
      </x:c>
      <x:c r="H217" s="170" t="n">
        <x:f>IF(G217&lt;=0,"n/m",F217/G217)</x:f>
        <x:v>0.4751614147030488</x:v>
      </x:c>
      <x:c r="I217" s="170" t="n">
        <x:v>81093.525</x:v>
      </x:c>
      <x:c r="J217" s="170" t="n">
        <x:v>170665.215</x:v>
      </x:c>
      <x:c r="K217" s="170" t="n">
        <x:v>0.47516141470304885</x:v>
      </x:c>
      <x:c r="L217" s="177" t="n">
        <x:v>0.47516141470304885</x:v>
      </x:c>
      <x:c r="M217" s="177" t="n">
        <x:f>LUCK!E152</x:f>
        <x:v>0.4751614147030488</x:v>
      </x:c>
      <x:c r="N217" s="178" t="str">
        <x:f>IF(AND(ABS(F217-I217)&lt;0.000001,ABS(G217-J217)&lt;0.000001,IF(ISNUMBER(L217),IF(ISNUMBER(M217),ABS(L217-M217)&lt;0.00000001,FALSE),M217=L217)),"PASS","FAIL")</x:f>
        <x:v>PASS</x:v>
      </x:c>
      <x:c r="O217" s="99" t="str"/>
      <x:c r="P217" s="76" t="str">
        <x:v>Asset Management</x:v>
      </x:c>
    </x:row>
    <x:row r="218" ht="26" customHeight="1">
      <x:c r="A218" s="168" t="str">
        <x:v>LUCK</x:v>
      </x:c>
      <x:c r="B218" s="168" t="n">
        <x:v>2022</x:v>
      </x:c>
      <x:c r="C218" s="168" t="n">
        <x:v>15</x:v>
      </x:c>
      <x:c r="D218" s="168" t="str">
        <x:v>Fixed asset turnover</x:v>
      </x:c>
      <x:c r="E218" s="168" t="str">
        <x:v>Mandatory</x:v>
      </x:c>
      <x:c r="F218" s="169" t="n">
        <x:f>LUCK!E84</x:f>
        <x:v>81093.525</x:v>
      </x:c>
      <x:c r="G218" s="169" t="n">
        <x:f>AVERAGE(LUCK!D22,LUCK!E22)</x:f>
        <x:v>59382.3695</x:v>
      </x:c>
      <x:c r="H218" s="169" t="n">
        <x:f>IF(G218&lt;=0,"n/m",F218/G218)</x:f>
        <x:v>1.3656161868044014</x:v>
      </x:c>
      <x:c r="I218" s="169" t="n">
        <x:v>81093.525</x:v>
      </x:c>
      <x:c r="J218" s="169" t="n">
        <x:v>59382.3695</x:v>
      </x:c>
      <x:c r="K218" s="169" t="n">
        <x:v>1.3656161868044014</x:v>
      </x:c>
      <x:c r="L218" s="175" t="n">
        <x:v>1.3656161868044014</x:v>
      </x:c>
      <x:c r="M218" s="175" t="n">
        <x:f>LUCK!E153</x:f>
        <x:v>1.3656161868044014</x:v>
      </x:c>
      <x:c r="N218" s="176" t="str">
        <x:f>IF(AND(ABS(F218-I218)&lt;0.000001,ABS(G218-J218)&lt;0.000001,IF(ISNUMBER(L218),IF(ISNUMBER(M218),ABS(L218-M218)&lt;0.00000001,FALSE),M218=L218)),"PASS","FAIL")</x:f>
        <x:v>PASS</x:v>
      </x:c>
      <x:c r="O218" s="171" t="str"/>
      <x:c r="P218" s="168" t="str">
        <x:v>Asset Management</x:v>
      </x:c>
    </x:row>
    <x:row r="219" ht="26" customHeight="1">
      <x:c r="A219" s="76" t="str">
        <x:v>LUCK</x:v>
      </x:c>
      <x:c r="B219" s="76" t="n">
        <x:v>2022</x:v>
      </x:c>
      <x:c r="C219" s="76" t="n">
        <x:v>16</x:v>
      </x:c>
      <x:c r="D219" s="76" t="str">
        <x:v>Debt ratio</x:v>
      </x:c>
      <x:c r="E219" s="76" t="str">
        <x:v>Mandatory</x:v>
      </x:c>
      <x:c r="F219" s="170" t="n">
        <x:f>LUCK!E62</x:f>
        <x:v>56422.044</x:v>
      </x:c>
      <x:c r="G219" s="170" t="n">
        <x:f>LUCK!E37</x:f>
        <x:v>184962.36800000002</x:v>
      </x:c>
      <x:c r="H219" s="170" t="n">
        <x:f>IF(G219&lt;=0,"n/m",F219/G219)</x:f>
        <x:v>0.3050460729395506</x:v>
      </x:c>
      <x:c r="I219" s="170" t="n">
        <x:v>56422.043999999994</x:v>
      </x:c>
      <x:c r="J219" s="170" t="n">
        <x:v>184962.368</x:v>
      </x:c>
      <x:c r="K219" s="170" t="n">
        <x:v>0.3050460729395506</x:v>
      </x:c>
      <x:c r="L219" s="177" t="n">
        <x:v>0.3050460729395506</x:v>
      </x:c>
      <x:c r="M219" s="177" t="n">
        <x:f>LUCK!E155</x:f>
        <x:v>0.3050460729395506</x:v>
      </x:c>
      <x:c r="N219" s="178" t="str">
        <x:f>IF(AND(ABS(F219-I219)&lt;0.000001,ABS(G219-J219)&lt;0.000001,IF(ISNUMBER(L219),IF(ISNUMBER(M219),ABS(L219-M219)&lt;0.00000001,FALSE),M219=L219)),"PASS","FAIL")</x:f>
        <x:v>PASS</x:v>
      </x:c>
      <x:c r="O219" s="99" t="str"/>
      <x:c r="P219" s="76" t="str">
        <x:v>Debt Management</x:v>
      </x:c>
    </x:row>
    <x:row r="220" ht="26" customHeight="1">
      <x:c r="A220" s="168" t="str">
        <x:v>LUCK</x:v>
      </x:c>
      <x:c r="B220" s="168" t="n">
        <x:v>2022</x:v>
      </x:c>
      <x:c r="C220" s="168" t="n">
        <x:v>17</x:v>
      </x:c>
      <x:c r="D220" s="168" t="str">
        <x:v>Debt-to-equity</x:v>
      </x:c>
      <x:c r="E220" s="168" t="str">
        <x:v>Mandatory</x:v>
      </x:c>
      <x:c r="F220" s="169" t="n">
        <x:f>LUCK!E62</x:f>
        <x:v>56422.044</x:v>
      </x:c>
      <x:c r="G220" s="169" t="n">
        <x:f>LUCK!E41</x:f>
        <x:v>128540.324</x:v>
      </x:c>
      <x:c r="H220" s="169" t="n">
        <x:f>IF(G220&lt;=0,"n/m",F220/G220)</x:f>
        <x:v>0.4389443113586675</x:v>
      </x:c>
      <x:c r="I220" s="169" t="n">
        <x:v>56422.043999999994</x:v>
      </x:c>
      <x:c r="J220" s="169" t="n">
        <x:v>128540.324</x:v>
      </x:c>
      <x:c r="K220" s="169" t="n">
        <x:v>0.43894431135866746</x:v>
      </x:c>
      <x:c r="L220" s="175" t="n">
        <x:v>0.43894431135866746</x:v>
      </x:c>
      <x:c r="M220" s="175" t="n">
        <x:f>LUCK!E156</x:f>
        <x:v>0.4389443113586675</x:v>
      </x:c>
      <x:c r="N220" s="176" t="str">
        <x:f>IF(AND(ABS(F220-I220)&lt;0.000001,ABS(G220-J220)&lt;0.000001,IF(ISNUMBER(L220),IF(ISNUMBER(M220),ABS(L220-M220)&lt;0.00000001,FALSE),M220=L220)),"PASS","FAIL")</x:f>
        <x:v>PASS</x:v>
      </x:c>
      <x:c r="O220" s="171" t="str"/>
      <x:c r="P220" s="168" t="str">
        <x:v>Debt Management</x:v>
      </x:c>
    </x:row>
    <x:row r="221" ht="26" customHeight="1">
      <x:c r="A221" s="76" t="str">
        <x:v>LUCK</x:v>
      </x:c>
      <x:c r="B221" s="76" t="n">
        <x:v>2022</x:v>
      </x:c>
      <x:c r="C221" s="76" t="n">
        <x:v>18</x:v>
      </x:c>
      <x:c r="D221" s="76" t="str">
        <x:v>Total debt-to-capital</x:v>
      </x:c>
      <x:c r="E221" s="76" t="str">
        <x:v>Additional</x:v>
      </x:c>
      <x:c r="F221" s="170" t="n">
        <x:f>LUCK!E66</x:f>
        <x:v>15595.648</x:v>
      </x:c>
      <x:c r="G221" s="170" t="n">
        <x:f>LUCK!E66+LUCK!E41</x:f>
        <x:v>144135.97199999998</x:v>
      </x:c>
      <x:c r="H221" s="170" t="n">
        <x:f>IF(G221&lt;=0,"n/m",F221/G221)</x:f>
        <x:v>0.10820094237127705</x:v>
      </x:c>
      <x:c r="I221" s="170" t="n">
        <x:v>15595.648</x:v>
      </x:c>
      <x:c r="J221" s="170" t="n">
        <x:v>144135.97199999998</x:v>
      </x:c>
      <x:c r="K221" s="170" t="n">
        <x:v>0.10820094237127705</x:v>
      </x:c>
      <x:c r="L221" s="177" t="n">
        <x:v>0.10820094237127705</x:v>
      </x:c>
      <x:c r="M221" s="177" t="n">
        <x:f>LUCK!E157</x:f>
        <x:v>0.10820094237127705</x:v>
      </x:c>
      <x:c r="N221" s="178" t="str">
        <x:f>IF(AND(ABS(F221-I221)&lt;0.000001,ABS(G221-J221)&lt;0.000001,IF(ISNUMBER(L221),IF(ISNUMBER(M221),ABS(L221-M221)&lt;0.00000001,FALSE),M221=L221)),"PASS","FAIL")</x:f>
        <x:v>PASS</x:v>
      </x:c>
      <x:c r="O221" s="99" t="str"/>
      <x:c r="P221" s="76" t="str">
        <x:v>Debt Management</x:v>
      </x:c>
    </x:row>
    <x:row r="222" ht="26" customHeight="1">
      <x:c r="A222" s="168" t="str">
        <x:v>LUCK</x:v>
      </x:c>
      <x:c r="B222" s="168" t="n">
        <x:v>2022</x:v>
      </x:c>
      <x:c r="C222" s="168" t="n">
        <x:v>19</x:v>
      </x:c>
      <x:c r="D222" s="168" t="str">
        <x:v>Long-term debt ratio</x:v>
      </x:c>
      <x:c r="E222" s="168" t="str">
        <x:v>Additional</x:v>
      </x:c>
      <x:c r="F222" s="169" t="n">
        <x:f>LUCK!E67</x:f>
        <x:v>14108.446</x:v>
      </x:c>
      <x:c r="G222" s="169" t="n">
        <x:f>LUCK!E37</x:f>
        <x:v>184962.36800000002</x:v>
      </x:c>
      <x:c r="H222" s="169" t="n">
        <x:f>IF(G222&lt;=0,"n/m",F222/G222)</x:f>
        <x:v>0.07627738632757988</x:v>
      </x:c>
      <x:c r="I222" s="169" t="n">
        <x:v>14108.446</x:v>
      </x:c>
      <x:c r="J222" s="169" t="n">
        <x:v>184962.368</x:v>
      </x:c>
      <x:c r="K222" s="169" t="n">
        <x:v>0.0762773863275799</x:v>
      </x:c>
      <x:c r="L222" s="175" t="n">
        <x:v>0.0762773863275799</x:v>
      </x:c>
      <x:c r="M222" s="175" t="n">
        <x:f>LUCK!E158</x:f>
        <x:v>0.07627738632757988</x:v>
      </x:c>
      <x:c r="N222" s="176" t="str">
        <x:f>IF(AND(ABS(F222-I222)&lt;0.000001,ABS(G222-J222)&lt;0.000001,IF(ISNUMBER(L222),IF(ISNUMBER(M222),ABS(L222-M222)&lt;0.00000001,FALSE),M222=L222)),"PASS","FAIL")</x:f>
        <x:v>PASS</x:v>
      </x:c>
      <x:c r="O222" s="171" t="str"/>
      <x:c r="P222" s="168" t="str">
        <x:v>Debt Management</x:v>
      </x:c>
    </x:row>
    <x:row r="223" ht="26" customHeight="1">
      <x:c r="A223" s="76" t="str">
        <x:v>LUCK</x:v>
      </x:c>
      <x:c r="B223" s="76" t="n">
        <x:v>2022</x:v>
      </x:c>
      <x:c r="C223" s="76" t="n">
        <x:v>20</x:v>
      </x:c>
      <x:c r="D223" s="76" t="str">
        <x:v>Times interest earned</x:v>
      </x:c>
      <x:c r="E223" s="76" t="str">
        <x:v>Mandatory</x:v>
      </x:c>
      <x:c r="F223" s="170" t="n">
        <x:f>LUCK!E108</x:f>
        <x:v>21815.748999999993</x:v>
      </x:c>
      <x:c r="G223" s="170" t="n">
        <x:f>LUCK!E106</x:f>
        <x:v>394.517</x:v>
      </x:c>
      <x:c r="H223" s="170" t="n">
        <x:f>IF(G223&lt;=0,"n/m",F223/G223)</x:f>
        <x:v>55.297361076962446</x:v>
      </x:c>
      <x:c r="I223" s="170" t="n">
        <x:v>21815.748999999993</x:v>
      </x:c>
      <x:c r="J223" s="170" t="n">
        <x:v>394.517</x:v>
      </x:c>
      <x:c r="K223" s="170" t="n">
        <x:v>55.297361076962446</x:v>
      </x:c>
      <x:c r="L223" s="177" t="n">
        <x:v>55.297361076962446</x:v>
      </x:c>
      <x:c r="M223" s="177" t="n">
        <x:f>LUCK!E159</x:f>
        <x:v>55.297361076962446</x:v>
      </x:c>
      <x:c r="N223" s="178" t="str">
        <x:f>IF(AND(ABS(F223-I223)&lt;0.000001,ABS(G223-J223)&lt;0.000001,IF(ISNUMBER(L223),IF(ISNUMBER(M223),ABS(L223-M223)&lt;0.00000001,FALSE),M223=L223)),"PASS","FAIL")</x:f>
        <x:v>PASS</x:v>
      </x:c>
      <x:c r="O223" s="99" t="str"/>
      <x:c r="P223" s="76" t="str">
        <x:v>Debt Management</x:v>
      </x:c>
    </x:row>
    <x:row r="224" ht="26" customHeight="1">
      <x:c r="A224" s="168" t="str">
        <x:v>LUCK</x:v>
      </x:c>
      <x:c r="B224" s="168" t="n">
        <x:v>2022</x:v>
      </x:c>
      <x:c r="C224" s="168" t="n">
        <x:v>21</x:v>
      </x:c>
      <x:c r="D224" s="168" t="str">
        <x:v>Gross profit margin</x:v>
      </x:c>
      <x:c r="E224" s="168" t="str">
        <x:v>Mandatory</x:v>
      </x:c>
      <x:c r="F224" s="169" t="n">
        <x:f>LUCK!E86</x:f>
        <x:v>22551.840999999993</x:v>
      </x:c>
      <x:c r="G224" s="169" t="n">
        <x:f>LUCK!E84</x:f>
        <x:v>81093.525</x:v>
      </x:c>
      <x:c r="H224" s="169" t="n">
        <x:f>IF(G224&lt;=0,"n/m",F224/G224)</x:f>
        <x:v>0.278096691443614</x:v>
      </x:c>
      <x:c r="I224" s="169" t="n">
        <x:v>22551.840999999993</x:v>
      </x:c>
      <x:c r="J224" s="169" t="n">
        <x:v>81093.525</x:v>
      </x:c>
      <x:c r="K224" s="169" t="n">
        <x:v>0.278096691443614</x:v>
      </x:c>
      <x:c r="L224" s="175" t="n">
        <x:v>0.278096691443614</x:v>
      </x:c>
      <x:c r="M224" s="175" t="n">
        <x:f>LUCK!E161</x:f>
        <x:v>0.278096691443614</x:v>
      </x:c>
      <x:c r="N224" s="176" t="str">
        <x:f>IF(AND(ABS(F224-I224)&lt;0.000001,ABS(G224-J224)&lt;0.000001,IF(ISNUMBER(L224),IF(ISNUMBER(M224),ABS(L224-M224)&lt;0.00000001,FALSE),M224=L224)),"PASS","FAIL")</x:f>
        <x:v>PASS</x:v>
      </x:c>
      <x:c r="O224" s="171" t="str"/>
      <x:c r="P224" s="168" t="str">
        <x:v>Profitability</x:v>
      </x:c>
    </x:row>
    <x:row r="225" ht="26" customHeight="1">
      <x:c r="A225" s="76" t="str">
        <x:v>LUCK</x:v>
      </x:c>
      <x:c r="B225" s="76" t="n">
        <x:v>2022</x:v>
      </x:c>
      <x:c r="C225" s="76" t="n">
        <x:v>22</x:v>
      </x:c>
      <x:c r="D225" s="76" t="str">
        <x:v>Operating margin</x:v>
      </x:c>
      <x:c r="E225" s="76" t="str">
        <x:v>Mandatory</x:v>
      </x:c>
      <x:c r="F225" s="170" t="n">
        <x:f>LUCK!E91</x:f>
        <x:v>14427.948999999991</x:v>
      </x:c>
      <x:c r="G225" s="170" t="n">
        <x:f>LUCK!E84</x:f>
        <x:v>81093.525</x:v>
      </x:c>
      <x:c r="H225" s="170" t="n">
        <x:f>IF(G225&lt;=0,"n/m",F225/G225)</x:f>
        <x:v>0.1779173984606045</x:v>
      </x:c>
      <x:c r="I225" s="170" t="n">
        <x:v>14427.948999999993</x:v>
      </x:c>
      <x:c r="J225" s="170" t="n">
        <x:v>81093.525</x:v>
      </x:c>
      <x:c r="K225" s="170" t="n">
        <x:v>0.17791739846060453</x:v>
      </x:c>
      <x:c r="L225" s="177" t="n">
        <x:v>0.17791739846060453</x:v>
      </x:c>
      <x:c r="M225" s="177" t="n">
        <x:f>LUCK!E162</x:f>
        <x:v>0.1779173984606045</x:v>
      </x:c>
      <x:c r="N225" s="178" t="str">
        <x:f>IF(AND(ABS(F225-I225)&lt;0.000001,ABS(G225-J225)&lt;0.000001,IF(ISNUMBER(L225),IF(ISNUMBER(M225),ABS(L225-M225)&lt;0.00000001,FALSE),M225=L225)),"PASS","FAIL")</x:f>
        <x:v>PASS</x:v>
      </x:c>
      <x:c r="O225" s="99" t="str"/>
      <x:c r="P225" s="76" t="str">
        <x:v>Profitability</x:v>
      </x:c>
    </x:row>
    <x:row r="226" ht="26" customHeight="1">
      <x:c r="A226" s="168" t="str">
        <x:v>LUCK</x:v>
      </x:c>
      <x:c r="B226" s="168" t="n">
        <x:v>2022</x:v>
      </x:c>
      <x:c r="C226" s="168" t="n">
        <x:v>23</x:v>
      </x:c>
      <x:c r="D226" s="168" t="str">
        <x:v>Net profit margin</x:v>
      </x:c>
      <x:c r="E226" s="168" t="str">
        <x:v>Mandatory</x:v>
      </x:c>
      <x:c r="F226" s="169" t="n">
        <x:f>LUCK!E99</x:f>
        <x:v>15298.617999999993</x:v>
      </x:c>
      <x:c r="G226" s="169" t="n">
        <x:f>LUCK!E84</x:f>
        <x:v>81093.525</x:v>
      </x:c>
      <x:c r="H226" s="169" t="n">
        <x:f>IF(G226&lt;=0,"n/m",F226/G226)</x:f>
        <x:v>0.18865400166042842</x:v>
      </x:c>
      <x:c r="I226" s="169" t="n">
        <x:v>15298.617999999993</x:v>
      </x:c>
      <x:c r="J226" s="169" t="n">
        <x:v>81093.525</x:v>
      </x:c>
      <x:c r="K226" s="169" t="n">
        <x:v>0.18865400166042842</x:v>
      </x:c>
      <x:c r="L226" s="175" t="n">
        <x:v>0.18865400166042842</x:v>
      </x:c>
      <x:c r="M226" s="175" t="n">
        <x:f>LUCK!E163</x:f>
        <x:v>0.18865400166042842</x:v>
      </x:c>
      <x:c r="N226" s="176" t="str">
        <x:f>IF(AND(ABS(F226-I226)&lt;0.000001,ABS(G226-J226)&lt;0.000001,IF(ISNUMBER(L226),IF(ISNUMBER(M226),ABS(L226-M226)&lt;0.00000001,FALSE),M226=L226)),"PASS","FAIL")</x:f>
        <x:v>PASS</x:v>
      </x:c>
      <x:c r="O226" s="171" t="str"/>
      <x:c r="P226" s="168" t="str">
        <x:v>Profitability</x:v>
      </x:c>
    </x:row>
    <x:row r="227" ht="26" customHeight="1">
      <x:c r="A227" s="76" t="str">
        <x:v>LUCK</x:v>
      </x:c>
      <x:c r="B227" s="76" t="n">
        <x:v>2022</x:v>
      </x:c>
      <x:c r="C227" s="76" t="n">
        <x:v>24</x:v>
      </x:c>
      <x:c r="D227" s="76" t="str">
        <x:v>Return on assets</x:v>
      </x:c>
      <x:c r="E227" s="76" t="str">
        <x:v>Mandatory</x:v>
      </x:c>
      <x:c r="F227" s="170" t="n">
        <x:f>LUCK!E99</x:f>
        <x:v>15298.617999999993</x:v>
      </x:c>
      <x:c r="G227" s="170" t="n">
        <x:f>AVERAGE(LUCK!D37,LUCK!E37)</x:f>
        <x:v>170665.21500000003</x:v>
      </x:c>
      <x:c r="H227" s="170" t="n">
        <x:f>IF(G227&lt;=0,"n/m",F227/G227)</x:f>
        <x:v>0.08964110231836049</x:v>
      </x:c>
      <x:c r="I227" s="170" t="n">
        <x:v>15298.617999999993</x:v>
      </x:c>
      <x:c r="J227" s="170" t="n">
        <x:v>170665.215</x:v>
      </x:c>
      <x:c r="K227" s="170" t="n">
        <x:v>0.0896411023183605</x:v>
      </x:c>
      <x:c r="L227" s="177" t="n">
        <x:v>0.0896411023183605</x:v>
      </x:c>
      <x:c r="M227" s="177" t="n">
        <x:f>LUCK!E164</x:f>
        <x:v>0.08964110231836049</x:v>
      </x:c>
      <x:c r="N227" s="178" t="str">
        <x:f>IF(AND(ABS(F227-I227)&lt;0.000001,ABS(G227-J227)&lt;0.000001,IF(ISNUMBER(L227),IF(ISNUMBER(M227),ABS(L227-M227)&lt;0.00000001,FALSE),M227=L227)),"PASS","FAIL")</x:f>
        <x:v>PASS</x:v>
      </x:c>
      <x:c r="O227" s="99" t="str"/>
      <x:c r="P227" s="76" t="str">
        <x:v>Profitability</x:v>
      </x:c>
    </x:row>
    <x:row r="228" ht="26" customHeight="1">
      <x:c r="A228" s="168" t="str">
        <x:v>LUCK</x:v>
      </x:c>
      <x:c r="B228" s="168" t="n">
        <x:v>2022</x:v>
      </x:c>
      <x:c r="C228" s="168" t="n">
        <x:v>25</x:v>
      </x:c>
      <x:c r="D228" s="168" t="str">
        <x:v>Return on equity</x:v>
      </x:c>
      <x:c r="E228" s="168" t="str">
        <x:v>Mandatory</x:v>
      </x:c>
      <x:c r="F228" s="169" t="n">
        <x:f>LUCK!E99</x:f>
        <x:v>15298.617999999993</x:v>
      </x:c>
      <x:c r="G228" s="169" t="n">
        <x:f>AVERAGE(LUCK!D41,LUCK!E41)</x:f>
        <x:v>120870.291</x:v>
      </x:c>
      <x:c r="H228" s="169" t="n">
        <x:f>IF(G228&lt;=0,"n/m",F228/G228)</x:f>
        <x:v>0.1265705399848834</x:v>
      </x:c>
      <x:c r="I228" s="169" t="n">
        <x:v>15298.617999999993</x:v>
      </x:c>
      <x:c r="J228" s="169" t="n">
        <x:v>120870.291</x:v>
      </x:c>
      <x:c r="K228" s="169" t="n">
        <x:v>0.1265705399848834</x:v>
      </x:c>
      <x:c r="L228" s="175" t="n">
        <x:v>0.1265705399848834</x:v>
      </x:c>
      <x:c r="M228" s="175" t="n">
        <x:f>LUCK!E165</x:f>
        <x:v>0.1265705399848834</x:v>
      </x:c>
      <x:c r="N228" s="176" t="str">
        <x:f>IF(AND(ABS(F228-I228)&lt;0.000001,ABS(G228-J228)&lt;0.000001,IF(ISNUMBER(L228),IF(ISNUMBER(M228),ABS(L228-M228)&lt;0.00000001,FALSE),M228=L228)),"PASS","FAIL")</x:f>
        <x:v>PASS</x:v>
      </x:c>
      <x:c r="O228" s="171" t="str"/>
      <x:c r="P228" s="168" t="str">
        <x:v>Profitability</x:v>
      </x:c>
    </x:row>
    <x:row r="229" ht="26" customHeight="1">
      <x:c r="A229" s="76" t="str">
        <x:v>LUCK</x:v>
      </x:c>
      <x:c r="B229" s="76" t="n">
        <x:v>2022</x:v>
      </x:c>
      <x:c r="C229" s="76" t="n">
        <x:v>26</x:v>
      </x:c>
      <x:c r="D229" s="76" t="str">
        <x:v>Return on invested capital</x:v>
      </x:c>
      <x:c r="E229" s="76" t="str">
        <x:v>Additional</x:v>
      </x:c>
      <x:c r="F229" s="170" t="n">
        <x:f>LUCK!E113</x:f>
        <x:v>15580.37419765968</x:v>
      </x:c>
      <x:c r="G229" s="170" t="n">
        <x:f>AVERAGE(LUCK!D70,LUCK!E70)</x:f>
        <x:v>133913.591</x:v>
      </x:c>
      <x:c r="H229" s="170" t="n">
        <x:f>IF(G229&lt;=0,"n/m",F229/G229)</x:f>
        <x:v>0.11634647447890245</x:v>
      </x:c>
      <x:c r="I229" s="170" t="n">
        <x:v>15580.37419765968</x:v>
      </x:c>
      <x:c r="J229" s="170" t="n">
        <x:v>133913.591</x:v>
      </x:c>
      <x:c r="K229" s="170" t="n">
        <x:v>0.11634647447890245</x:v>
      </x:c>
      <x:c r="L229" s="177" t="n">
        <x:v>0.11634647447890245</x:v>
      </x:c>
      <x:c r="M229" s="177" t="n">
        <x:f>LUCK!E166</x:f>
        <x:v>0.11634647447890245</x:v>
      </x:c>
      <x:c r="N229" s="178" t="str">
        <x:f>IF(AND(ABS(F229-I229)&lt;0.000001,ABS(G229-J229)&lt;0.000001,IF(ISNUMBER(L229),IF(ISNUMBER(M229),ABS(L229-M229)&lt;0.00000001,FALSE),M229=L229)),"PASS","FAIL")</x:f>
        <x:v>PASS</x:v>
      </x:c>
      <x:c r="O229" s="99" t="str"/>
      <x:c r="P229" s="76" t="str">
        <x:v>Profitability</x:v>
      </x:c>
    </x:row>
    <x:row r="230" ht="26" customHeight="1">
      <x:c r="A230" s="168" t="str">
        <x:v>LUCK</x:v>
      </x:c>
      <x:c r="B230" s="168" t="n">
        <x:v>2022</x:v>
      </x:c>
      <x:c r="C230" s="168" t="n">
        <x:v>27</x:v>
      </x:c>
      <x:c r="D230" s="168" t="str">
        <x:v>Basic earning power</x:v>
      </x:c>
      <x:c r="E230" s="168" t="str">
        <x:v>Additional</x:v>
      </x:c>
      <x:c r="F230" s="169" t="n">
        <x:f>LUCK!E108</x:f>
        <x:v>21815.748999999993</x:v>
      </x:c>
      <x:c r="G230" s="169" t="n">
        <x:f>AVERAGE(LUCK!D37,LUCK!E37)</x:f>
        <x:v>170665.21500000003</x:v>
      </x:c>
      <x:c r="H230" s="169" t="n">
        <x:f>IF(G230&lt;=0,"n/m",F230/G230)</x:f>
        <x:v>0.12782774158166904</x:v>
      </x:c>
      <x:c r="I230" s="169" t="n">
        <x:v>21815.748999999993</x:v>
      </x:c>
      <x:c r="J230" s="169" t="n">
        <x:v>170665.215</x:v>
      </x:c>
      <x:c r="K230" s="169" t="n">
        <x:v>0.12782774158166907</x:v>
      </x:c>
      <x:c r="L230" s="175" t="n">
        <x:v>0.12782774158166907</x:v>
      </x:c>
      <x:c r="M230" s="175" t="n">
        <x:f>LUCK!E167</x:f>
        <x:v>0.12782774158166904</x:v>
      </x:c>
      <x:c r="N230" s="176" t="str">
        <x:f>IF(AND(ABS(F230-I230)&lt;0.000001,ABS(G230-J230)&lt;0.000001,IF(ISNUMBER(L230),IF(ISNUMBER(M230),ABS(L230-M230)&lt;0.00000001,FALSE),M230=L230)),"PASS","FAIL")</x:f>
        <x:v>PASS</x:v>
      </x:c>
      <x:c r="O230" s="171" t="str"/>
      <x:c r="P230" s="168" t="str">
        <x:v>Profitability</x:v>
      </x:c>
    </x:row>
    <x:row r="231" ht="26" customHeight="1">
      <x:c r="A231" s="76" t="str">
        <x:v>LUCK</x:v>
      </x:c>
      <x:c r="B231" s="76" t="n">
        <x:v>2022</x:v>
      </x:c>
      <x:c r="C231" s="76" t="n">
        <x:v>28</x:v>
      </x:c>
      <x:c r="D231" s="76" t="str">
        <x:v>Book value per share (Rs)</x:v>
      </x:c>
      <x:c r="E231" s="76" t="str">
        <x:v>Additional</x:v>
      </x:c>
      <x:c r="F231" s="170" t="n">
        <x:f>LUCK!E41</x:f>
        <x:v>128540.324</x:v>
      </x:c>
      <x:c r="G231" s="170" t="n">
        <x:f>LUCK!E128</x:f>
        <x:v>323.375</x:v>
      </x:c>
      <x:c r="H231" s="170" t="n">
        <x:f>IF(G231&lt;=0,"n/m",F231/G231)</x:f>
        <x:v>397.4961700811751</x:v>
      </x:c>
      <x:c r="I231" s="170" t="n">
        <x:v>128540.324</x:v>
      </x:c>
      <x:c r="J231" s="170" t="n">
        <x:v>323.375</x:v>
      </x:c>
      <x:c r="K231" s="170" t="n">
        <x:v>397.4961700811751</x:v>
      </x:c>
      <x:c r="L231" s="177" t="n">
        <x:v>397.4961700811751</x:v>
      </x:c>
      <x:c r="M231" s="177" t="n">
        <x:f>LUCK!E169</x:f>
        <x:v>397.4961700811751</x:v>
      </x:c>
      <x:c r="N231" s="178" t="str">
        <x:f>IF(AND(ABS(F231-I231)&lt;0.000001,ABS(G231-J231)&lt;0.000001,IF(ISNUMBER(L231),IF(ISNUMBER(M231),ABS(L231-M231)&lt;0.00000001,FALSE),M231=L231)),"PASS","FAIL")</x:f>
        <x:v>PASS</x:v>
      </x:c>
      <x:c r="O231" s="99" t="str"/>
      <x:c r="P231" s="76" t="str">
        <x:v>Market Value</x:v>
      </x:c>
    </x:row>
    <x:row r="232" ht="26" customHeight="1">
      <x:c r="A232" s="168" t="str">
        <x:v>LUCK</x:v>
      </x:c>
      <x:c r="B232" s="168" t="n">
        <x:v>2022</x:v>
      </x:c>
      <x:c r="C232" s="168" t="n">
        <x:v>29</x:v>
      </x:c>
      <x:c r="D232" s="168" t="str">
        <x:v>Market-to-book ratio</x:v>
      </x:c>
      <x:c r="E232" s="168" t="str">
        <x:v>Mandatory</x:v>
      </x:c>
      <x:c r="F232" s="169" t="n">
        <x:f>LUCK!E130</x:f>
        <x:v>459.04</x:v>
      </x:c>
      <x:c r="G232" s="169" t="n">
        <x:f>LUCK!E41/LUCK!E128</x:f>
        <x:v>397.4961700811751</x:v>
      </x:c>
      <x:c r="H232" s="169" t="n">
        <x:f>IF(G232&lt;=0,"n/m",F232/G232)</x:f>
        <x:v>1.154828736856148</x:v>
      </x:c>
      <x:c r="I232" s="169" t="n">
        <x:v>459.04</x:v>
      </x:c>
      <x:c r="J232" s="169" t="n">
        <x:v>397.4961700811751</x:v>
      </x:c>
      <x:c r="K232" s="169" t="n">
        <x:v>1.154828736856148</x:v>
      </x:c>
      <x:c r="L232" s="175" t="n">
        <x:v>1.154828736856148</x:v>
      </x:c>
      <x:c r="M232" s="175" t="n">
        <x:f>LUCK!E170</x:f>
        <x:v>1.154828736856148</x:v>
      </x:c>
      <x:c r="N232" s="176" t="str">
        <x:f>IF(AND(ABS(F232-I232)&lt;0.000001,ABS(G232-J232)&lt;0.000001,IF(ISNUMBER(L232),IF(ISNUMBER(M232),ABS(L232-M232)&lt;0.00000001,FALSE),M232=L232)),"PASS","FAIL")</x:f>
        <x:v>PASS</x:v>
      </x:c>
      <x:c r="O232" s="171" t="str"/>
      <x:c r="P232" s="168" t="str">
        <x:v>Market Value</x:v>
      </x:c>
    </x:row>
    <x:row r="233" ht="26" customHeight="1">
      <x:c r="A233" s="76" t="str">
        <x:v>LUCK</x:v>
      </x:c>
      <x:c r="B233" s="76" t="n">
        <x:v>2022</x:v>
      </x:c>
      <x:c r="C233" s="76" t="n">
        <x:v>30</x:v>
      </x:c>
      <x:c r="D233" s="76" t="str">
        <x:v>Earnings per share (Rs)</x:v>
      </x:c>
      <x:c r="E233" s="76" t="str">
        <x:v>Mandatory</x:v>
      </x:c>
      <x:c r="F233" s="170" t="n">
        <x:f>LUCK!E99</x:f>
        <x:v>15298.617999999993</x:v>
      </x:c>
      <x:c r="G233" s="170" t="n">
        <x:f>LUCK!E129</x:f>
        <x:v>323.375</x:v>
      </x:c>
      <x:c r="H233" s="170" t="n">
        <x:f>IF(G233&lt;=0,"n/m",F233/G233)</x:f>
        <x:v>47.30921685349824</x:v>
      </x:c>
      <x:c r="I233" s="170" t="n">
        <x:v>15298.617999999993</x:v>
      </x:c>
      <x:c r="J233" s="170" t="n">
        <x:v>323.375</x:v>
      </x:c>
      <x:c r="K233" s="170" t="n">
        <x:v>47.30921685349824</x:v>
      </x:c>
      <x:c r="L233" s="177" t="n">
        <x:v>47.30921685349824</x:v>
      </x:c>
      <x:c r="M233" s="177" t="n">
        <x:f>LUCK!E171</x:f>
        <x:v>47.30921685349824</x:v>
      </x:c>
      <x:c r="N233" s="178" t="str">
        <x:f>IF(AND(ABS(F233-I233)&lt;0.000001,ABS(G233-J233)&lt;0.000001,IF(ISNUMBER(L233),IF(ISNUMBER(M233),ABS(L233-M233)&lt;0.00000001,FALSE),M233=L233)),"PASS","FAIL")</x:f>
        <x:v>PASS</x:v>
      </x:c>
      <x:c r="O233" s="99" t="str"/>
      <x:c r="P233" s="76" t="str">
        <x:v>Market Value</x:v>
      </x:c>
    </x:row>
    <x:row r="234" ht="26" customHeight="1">
      <x:c r="A234" s="168" t="str">
        <x:v>LUCK</x:v>
      </x:c>
      <x:c r="B234" s="168" t="n">
        <x:v>2022</x:v>
      </x:c>
      <x:c r="C234" s="168" t="n">
        <x:v>31</x:v>
      </x:c>
      <x:c r="D234" s="168" t="str">
        <x:v>Price-to-earnings ratio</x:v>
      </x:c>
      <x:c r="E234" s="168" t="str">
        <x:v>Mandatory</x:v>
      </x:c>
      <x:c r="F234" s="169" t="n">
        <x:f>LUCK!E130</x:f>
        <x:v>459.04</x:v>
      </x:c>
      <x:c r="G234" s="169" t="n">
        <x:f>LUCK!E99/LUCK!E129</x:f>
        <x:v>47.30921685349824</x:v>
      </x:c>
      <x:c r="H234" s="169" t="n">
        <x:f>IF(G234&lt;=0,"n/m",F234/G234)</x:f>
        <x:v>9.702971863210132</x:v>
      </x:c>
      <x:c r="I234" s="169" t="n">
        <x:v>459.04</x:v>
      </x:c>
      <x:c r="J234" s="169" t="n">
        <x:v>47.30921685349824</x:v>
      </x:c>
      <x:c r="K234" s="169" t="n">
        <x:v>9.702971863210132</x:v>
      </x:c>
      <x:c r="L234" s="175" t="n">
        <x:v>9.702971863210132</x:v>
      </x:c>
      <x:c r="M234" s="175" t="n">
        <x:f>LUCK!E172</x:f>
        <x:v>9.702971863210132</x:v>
      </x:c>
      <x:c r="N234" s="176" t="str">
        <x:f>IF(AND(ABS(F234-I234)&lt;0.000001,ABS(G234-J234)&lt;0.000001,IF(ISNUMBER(L234),IF(ISNUMBER(M234),ABS(L234-M234)&lt;0.00000001,FALSE),M234=L234)),"PASS","FAIL")</x:f>
        <x:v>PASS</x:v>
      </x:c>
      <x:c r="O234" s="171" t="str"/>
      <x:c r="P234" s="168" t="str">
        <x:v>Market Value</x:v>
      </x:c>
    </x:row>
    <x:row r="235" ht="26" customHeight="1">
      <x:c r="A235" s="76" t="str">
        <x:v>LUCK</x:v>
      </x:c>
      <x:c r="B235" s="76" t="n">
        <x:v>2022</x:v>
      </x:c>
      <x:c r="C235" s="76" t="n">
        <x:v>32</x:v>
      </x:c>
      <x:c r="D235" s="76" t="str">
        <x:v>Dividend yield</x:v>
      </x:c>
      <x:c r="E235" s="76" t="str">
        <x:v>Mandatory</x:v>
      </x:c>
      <x:c r="F235" s="170" t="n">
        <x:f>LUCK!E131</x:f>
        <x:v>0</x:v>
      </x:c>
      <x:c r="G235" s="170" t="n">
        <x:f>LUCK!E130</x:f>
        <x:v>459.04</x:v>
      </x:c>
      <x:c r="H235" s="170" t="n">
        <x:f>IF(G235&lt;=0,"n/m",F235/G235)</x:f>
        <x:v>0</x:v>
      </x:c>
      <x:c r="I235" s="170" t="n">
        <x:v>0</x:v>
      </x:c>
      <x:c r="J235" s="170" t="n">
        <x:v>459.04</x:v>
      </x:c>
      <x:c r="K235" s="170" t="n">
        <x:v>0</x:v>
      </x:c>
      <x:c r="L235" s="177" t="n">
        <x:v>0</x:v>
      </x:c>
      <x:c r="M235" s="177" t="n">
        <x:f>LUCK!E173</x:f>
        <x:v>0</x:v>
      </x:c>
      <x:c r="N235" s="178" t="str">
        <x:f>IF(AND(ABS(F235-I235)&lt;0.000001,ABS(G235-J235)&lt;0.000001,IF(ISNUMBER(L235),IF(ISNUMBER(M235),ABS(L235-M235)&lt;0.00000001,FALSE),M235=L235)),"PASS","FAIL")</x:f>
        <x:v>PASS</x:v>
      </x:c>
      <x:c r="O235" s="99" t="str"/>
      <x:c r="P235" s="76" t="str">
        <x:v>Market Value</x:v>
      </x:c>
    </x:row>
    <x:row r="236" ht="26" customHeight="1">
      <x:c r="A236" s="168" t="str">
        <x:v>LUCK</x:v>
      </x:c>
      <x:c r="B236" s="168" t="n">
        <x:v>2022</x:v>
      </x:c>
      <x:c r="C236" s="168" t="n">
        <x:v>33</x:v>
      </x:c>
      <x:c r="D236" s="168" t="str">
        <x:v>Dividend payout ratio</x:v>
      </x:c>
      <x:c r="E236" s="168" t="str">
        <x:v>Additional</x:v>
      </x:c>
      <x:c r="F236" s="169" t="n">
        <x:f>LUCK!E131</x:f>
        <x:v>0</x:v>
      </x:c>
      <x:c r="G236" s="169" t="n">
        <x:f>LUCK!E99/LUCK!E129</x:f>
        <x:v>47.30921685349824</x:v>
      </x:c>
      <x:c r="H236" s="169" t="n">
        <x:f>IF(G236&lt;=0,"n/m",F236/G236)</x:f>
        <x:v>0</x:v>
      </x:c>
      <x:c r="I236" s="169" t="n">
        <x:v>0</x:v>
      </x:c>
      <x:c r="J236" s="169" t="n">
        <x:v>47.30921685349824</x:v>
      </x:c>
      <x:c r="K236" s="169" t="n">
        <x:v>0</x:v>
      </x:c>
      <x:c r="L236" s="175" t="n">
        <x:v>0</x:v>
      </x:c>
      <x:c r="M236" s="175" t="n">
        <x:f>LUCK!E174</x:f>
        <x:v>0</x:v>
      </x:c>
      <x:c r="N236" s="176" t="str">
        <x:f>IF(AND(ABS(F236-I236)&lt;0.000001,ABS(G236-J236)&lt;0.000001,IF(ISNUMBER(L236),IF(ISNUMBER(M236),ABS(L236-M236)&lt;0.00000001,FALSE),M236=L236)),"PASS","FAIL")</x:f>
        <x:v>PASS</x:v>
      </x:c>
      <x:c r="O236" s="171" t="str"/>
      <x:c r="P236" s="168" t="str">
        <x:v>Market Value</x:v>
      </x:c>
    </x:row>
    <x:row r="237" ht="26" customHeight="1">
      <x:c r="A237" s="76" t="str">
        <x:v>LUCK</x:v>
      </x:c>
      <x:c r="B237" s="76" t="n">
        <x:v>2023</x:v>
      </x:c>
      <x:c r="C237" s="76" t="n">
        <x:v>1</x:v>
      </x:c>
      <x:c r="D237" s="76" t="str">
        <x:v>Current ratio</x:v>
      </x:c>
      <x:c r="E237" s="76" t="str">
        <x:v>Mandatory</x:v>
      </x:c>
      <x:c r="F237" s="170" t="n">
        <x:f>LUCK!F36</x:f>
        <x:v>59576.642</x:v>
      </x:c>
      <x:c r="G237" s="170" t="n">
        <x:f>LUCK!F61</x:f>
        <x:v>46180.879</x:v>
      </x:c>
      <x:c r="H237" s="170" t="n">
        <x:f>IF(G237&lt;=0,"n/m",F237/G237)</x:f>
        <x:v>1.290071633326858</x:v>
      </x:c>
      <x:c r="I237" s="170" t="n">
        <x:v>59576.642</x:v>
      </x:c>
      <x:c r="J237" s="170" t="n">
        <x:v>46180.879</x:v>
      </x:c>
      <x:c r="K237" s="170" t="n">
        <x:v>1.290071633326858</x:v>
      </x:c>
      <x:c r="L237" s="177" t="n">
        <x:v>1.290071633326858</x:v>
      </x:c>
      <x:c r="M237" s="177" t="n">
        <x:f>LUCK!F138</x:f>
        <x:v>1.290071633326858</x:v>
      </x:c>
      <x:c r="N237" s="178" t="str">
        <x:f>IF(AND(ABS(F237-I237)&lt;0.000001,ABS(G237-J237)&lt;0.000001,IF(ISNUMBER(L237),IF(ISNUMBER(M237),ABS(L237-M237)&lt;0.00000001,FALSE),M237=L237)),"PASS","FAIL")</x:f>
        <x:v>PASS</x:v>
      </x:c>
      <x:c r="O237" s="99" t="str"/>
      <x:c r="P237" s="76" t="str">
        <x:v>Liquidity</x:v>
      </x:c>
    </x:row>
    <x:row r="238" ht="26" customHeight="1">
      <x:c r="A238" s="168" t="str">
        <x:v>LUCK</x:v>
      </x:c>
      <x:c r="B238" s="168" t="n">
        <x:v>2023</x:v>
      </x:c>
      <x:c r="C238" s="168" t="n">
        <x:v>2</x:v>
      </x:c>
      <x:c r="D238" s="168" t="str">
        <x:v>Quick ratio</x:v>
      </x:c>
      <x:c r="E238" s="168" t="str">
        <x:v>Mandatory</x:v>
      </x:c>
      <x:c r="F238" s="169" t="n">
        <x:f>LUCK!F36-LUCK!F65</x:f>
        <x:v>39444.117</x:v>
      </x:c>
      <x:c r="G238" s="169" t="n">
        <x:f>LUCK!F61</x:f>
        <x:v>46180.879</x:v>
      </x:c>
      <x:c r="H238" s="169" t="n">
        <x:f>IF(G238&lt;=0,"n/m",F238/G238)</x:f>
        <x:v>0.8541222656242641</x:v>
      </x:c>
      <x:c r="I238" s="169" t="n">
        <x:v>39444.117</x:v>
      </x:c>
      <x:c r="J238" s="169" t="n">
        <x:v>46180.879</x:v>
      </x:c>
      <x:c r="K238" s="169" t="n">
        <x:v>0.8541222656242641</x:v>
      </x:c>
      <x:c r="L238" s="175" t="n">
        <x:v>0.8541222656242641</x:v>
      </x:c>
      <x:c r="M238" s="175" t="n">
        <x:f>LUCK!F139</x:f>
        <x:v>0.8541222656242641</x:v>
      </x:c>
      <x:c r="N238" s="176" t="str">
        <x:f>IF(AND(ABS(F238-I238)&lt;0.000001,ABS(G238-J238)&lt;0.000001,IF(ISNUMBER(L238),IF(ISNUMBER(M238),ABS(L238-M238)&lt;0.00000001,FALSE),M238=L238)),"PASS","FAIL")</x:f>
        <x:v>PASS</x:v>
      </x:c>
      <x:c r="O238" s="171" t="str"/>
      <x:c r="P238" s="168" t="str">
        <x:v>Liquidity</x:v>
      </x:c>
    </x:row>
    <x:row r="239" ht="26" customHeight="1">
      <x:c r="A239" s="76" t="str">
        <x:v>LUCK</x:v>
      </x:c>
      <x:c r="B239" s="76" t="n">
        <x:v>2023</x:v>
      </x:c>
      <x:c r="C239" s="76" t="n">
        <x:v>3</x:v>
      </x:c>
      <x:c r="D239" s="76" t="str">
        <x:v>Cash ratio</x:v>
      </x:c>
      <x:c r="E239" s="76" t="str">
        <x:v>Mandatory</x:v>
      </x:c>
      <x:c r="F239" s="170" t="n">
        <x:f>LUCK!F34</x:f>
        <x:v>4116.181</x:v>
      </x:c>
      <x:c r="G239" s="170" t="n">
        <x:f>LUCK!F61</x:f>
        <x:v>46180.879</x:v>
      </x:c>
      <x:c r="H239" s="170" t="n">
        <x:f>IF(G239&lt;=0,"n/m",F239/G239)</x:f>
        <x:v>0.08913171618062964</x:v>
      </x:c>
      <x:c r="I239" s="170" t="n">
        <x:v>4116.181</x:v>
      </x:c>
      <x:c r="J239" s="170" t="n">
        <x:v>46180.879</x:v>
      </x:c>
      <x:c r="K239" s="170" t="n">
        <x:v>0.08913171618062964</x:v>
      </x:c>
      <x:c r="L239" s="177" t="n">
        <x:v>0.08913171618062964</x:v>
      </x:c>
      <x:c r="M239" s="177" t="n">
        <x:f>LUCK!F140</x:f>
        <x:v>0.08913171618062964</x:v>
      </x:c>
      <x:c r="N239" s="178" t="str">
        <x:f>IF(AND(ABS(F239-I239)&lt;0.000001,ABS(G239-J239)&lt;0.000001,IF(ISNUMBER(L239),IF(ISNUMBER(M239),ABS(L239-M239)&lt;0.00000001,FALSE),M239=L239)),"PASS","FAIL")</x:f>
        <x:v>PASS</x:v>
      </x:c>
      <x:c r="O239" s="99" t="str"/>
      <x:c r="P239" s="76" t="str">
        <x:v>Liquidity</x:v>
      </x:c>
    </x:row>
    <x:row r="240" ht="26" customHeight="1">
      <x:c r="A240" s="168" t="str">
        <x:v>LUCK</x:v>
      </x:c>
      <x:c r="B240" s="168" t="n">
        <x:v>2023</x:v>
      </x:c>
      <x:c r="C240" s="168" t="n">
        <x:v>4</x:v>
      </x:c>
      <x:c r="D240" s="168" t="str">
        <x:v>Net working capital (PKR m)</x:v>
      </x:c>
      <x:c r="E240" s="168" t="str">
        <x:v>Additional</x:v>
      </x:c>
      <x:c r="F240" s="169" t="n">
        <x:f>LUCK!F36-LUCK!F61</x:f>
        <x:v>13395.762999999999</x:v>
      </x:c>
      <x:c r="G240" s="169" t="n">
        <x:f>1</x:f>
        <x:v>1</x:v>
      </x:c>
      <x:c r="H240" s="169" t="n">
        <x:f>IF(G240&lt;=0,"n/m",F240/G240)</x:f>
        <x:v>13395.762999999999</x:v>
      </x:c>
      <x:c r="I240" s="169" t="n">
        <x:v>13395.762999999999</x:v>
      </x:c>
      <x:c r="J240" s="169" t="n">
        <x:v>1</x:v>
      </x:c>
      <x:c r="K240" s="169" t="n">
        <x:v>13395.762999999999</x:v>
      </x:c>
      <x:c r="L240" s="175" t="n">
        <x:v>13395.762999999999</x:v>
      </x:c>
      <x:c r="M240" s="175" t="n">
        <x:f>LUCK!F141</x:f>
        <x:v>13395.762999999999</x:v>
      </x:c>
      <x:c r="N240" s="176" t="str">
        <x:f>IF(AND(ABS(F240-I240)&lt;0.000001,ABS(G240-J240)&lt;0.000001,IF(ISNUMBER(L240),IF(ISNUMBER(M240),ABS(L240-M240)&lt;0.00000001,FALSE),M240=L240)),"PASS","FAIL")</x:f>
        <x:v>PASS</x:v>
      </x:c>
      <x:c r="O240" s="171" t="str"/>
      <x:c r="P240" s="168" t="str">
        <x:v>Liquidity</x:v>
      </x:c>
    </x:row>
    <x:row r="241" ht="26" customHeight="1">
      <x:c r="A241" s="76" t="str">
        <x:v>LUCK</x:v>
      </x:c>
      <x:c r="B241" s="76" t="n">
        <x:v>2023</x:v>
      </x:c>
      <x:c r="C241" s="76" t="n">
        <x:v>5</x:v>
      </x:c>
      <x:c r="D241" s="76" t="str">
        <x:v>Net operating working capital (PKR m)</x:v>
      </x:c>
      <x:c r="E241" s="76" t="str">
        <x:v>Additional</x:v>
      </x:c>
      <x:c r="F241" s="170" t="n">
        <x:f>LUCK!F72-LUCK!F73</x:f>
        <x:v>-5586.400999999998</x:v>
      </x:c>
      <x:c r="G241" s="170" t="n">
        <x:f>1</x:f>
        <x:v>1</x:v>
      </x:c>
      <x:c r="H241" s="170" t="n">
        <x:f>IF(G241&lt;=0,"n/m",F241/G241)</x:f>
        <x:v>-5586.400999999998</x:v>
      </x:c>
      <x:c r="I241" s="170" t="n">
        <x:v>-5586.400999999998</x:v>
      </x:c>
      <x:c r="J241" s="170" t="n">
        <x:v>1</x:v>
      </x:c>
      <x:c r="K241" s="170" t="n">
        <x:v>-5586.400999999998</x:v>
      </x:c>
      <x:c r="L241" s="177" t="str">
        <x:v>n/m</x:v>
      </x:c>
      <x:c r="M241" s="177" t="str">
        <x:f>LUCK!F142</x:f>
        <x:v>n/m</x:v>
      </x:c>
      <x:c r="N241" s="178" t="str">
        <x:f>IF(AND(ABS(F241-I241)&lt;0.000001,ABS(G241-J241)&lt;0.000001,IF(ISNUMBER(L241),IF(ISNUMBER(M241),ABS(L241-M241)&lt;0.00000001,FALSE),M241=L241)),"PASS","FAIL")</x:f>
        <x:v>PASS</x:v>
      </x:c>
      <x:c r="O241" s="99" t="str">
        <x:v>Negative calculated measure; raw signed value in H/K.</x:v>
      </x:c>
      <x:c r="P241" s="76" t="str">
        <x:v>Liquidity</x:v>
      </x:c>
    </x:row>
    <x:row r="242" ht="26" customHeight="1">
      <x:c r="A242" s="168" t="str">
        <x:v>LUCK</x:v>
      </x:c>
      <x:c r="B242" s="168" t="n">
        <x:v>2023</x:v>
      </x:c>
      <x:c r="C242" s="168" t="n">
        <x:v>6</x:v>
      </x:c>
      <x:c r="D242" s="168" t="str">
        <x:v>Inventory turnover</x:v>
      </x:c>
      <x:c r="E242" s="168" t="str">
        <x:v>Mandatory</x:v>
      </x:c>
      <x:c r="F242" s="169" t="n">
        <x:f>-LUCK!F85</x:f>
        <x:v>69771.469</x:v>
      </x:c>
      <x:c r="G242" s="169" t="n">
        <x:f>AVERAGE(LUCK!E65,LUCK!F65)</x:f>
        <x:v>19255.366</x:v>
      </x:c>
      <x:c r="H242" s="169" t="n">
        <x:f>IF(G242&lt;=0,"n/m",F242/G242)</x:f>
        <x:v>3.6234818387767853</x:v>
      </x:c>
      <x:c r="I242" s="169" t="n">
        <x:v>69771.469</x:v>
      </x:c>
      <x:c r="J242" s="169" t="n">
        <x:v>19255.366</x:v>
      </x:c>
      <x:c r="K242" s="169" t="n">
        <x:v>3.6234818387767853</x:v>
      </x:c>
      <x:c r="L242" s="175" t="n">
        <x:v>3.6234818387767853</x:v>
      </x:c>
      <x:c r="M242" s="175" t="n">
        <x:f>LUCK!F144</x:f>
        <x:v>3.6234818387767853</x:v>
      </x:c>
      <x:c r="N242" s="176" t="str">
        <x:f>IF(AND(ABS(F242-I242)&lt;0.000001,ABS(G242-J242)&lt;0.000001,IF(ISNUMBER(L242),IF(ISNUMBER(M242),ABS(L242-M242)&lt;0.00000001,FALSE),M242=L242)),"PASS","FAIL")</x:f>
        <x:v>PASS</x:v>
      </x:c>
      <x:c r="O242" s="171" t="str"/>
      <x:c r="P242" s="168" t="str">
        <x:v>Asset Management</x:v>
      </x:c>
    </x:row>
    <x:row r="243" ht="26" customHeight="1">
      <x:c r="A243" s="76" t="str">
        <x:v>LUCK</x:v>
      </x:c>
      <x:c r="B243" s="76" t="n">
        <x:v>2023</x:v>
      </x:c>
      <x:c r="C243" s="76" t="n">
        <x:v>7</x:v>
      </x:c>
      <x:c r="D243" s="76" t="str">
        <x:v>Receivables turnover</x:v>
      </x:c>
      <x:c r="E243" s="76" t="str">
        <x:v>Additional</x:v>
      </x:c>
      <x:c r="F243" s="170" t="n">
        <x:f>LUCK!F84</x:f>
        <x:v>95832.147</x:v>
      </x:c>
      <x:c r="G243" s="170" t="n">
        <x:f>AVERAGE(LUCK!E32,LUCK!F32)</x:f>
        <x:v>4306.299</x:v>
      </x:c>
      <x:c r="H243" s="170" t="n">
        <x:f>IF(G243&lt;=0,"n/m",F243/G243)</x:f>
        <x:v>22.253946370189343</x:v>
      </x:c>
      <x:c r="I243" s="170" t="n">
        <x:v>95832.147</x:v>
      </x:c>
      <x:c r="J243" s="170" t="n">
        <x:v>4306.299</x:v>
      </x:c>
      <x:c r="K243" s="170" t="n">
        <x:v>22.253946370189343</x:v>
      </x:c>
      <x:c r="L243" s="177" t="n">
        <x:v>22.253946370189343</x:v>
      </x:c>
      <x:c r="M243" s="177" t="n">
        <x:f>LUCK!F145</x:f>
        <x:v>22.253946370189343</x:v>
      </x:c>
      <x:c r="N243" s="178" t="str">
        <x:f>IF(AND(ABS(F243-I243)&lt;0.000001,ABS(G243-J243)&lt;0.000001,IF(ISNUMBER(L243),IF(ISNUMBER(M243),ABS(L243-M243)&lt;0.00000001,FALSE),M243=L243)),"PASS","FAIL")</x:f>
        <x:v>PASS</x:v>
      </x:c>
      <x:c r="O243" s="99" t="str"/>
      <x:c r="P243" s="76" t="str">
        <x:v>Asset Management</x:v>
      </x:c>
    </x:row>
    <x:row r="244" ht="26" customHeight="1">
      <x:c r="A244" s="168" t="str">
        <x:v>LUCK</x:v>
      </x:c>
      <x:c r="B244" s="168" t="n">
        <x:v>2023</x:v>
      </x:c>
      <x:c r="C244" s="168" t="n">
        <x:v>8</x:v>
      </x:c>
      <x:c r="D244" s="168" t="str">
        <x:v>Payables turnover</x:v>
      </x:c>
      <x:c r="E244" s="168" t="str">
        <x:v>Additional</x:v>
      </x:c>
      <x:c r="F244" s="169" t="n">
        <x:f>-LUCK!F85</x:f>
        <x:v>69771.469</x:v>
      </x:c>
      <x:c r="G244" s="169" t="n">
        <x:f>AVERAGE(LUCK!E51,LUCK!F51)</x:f>
        <x:v>4191.772</x:v>
      </x:c>
      <x:c r="H244" s="169" t="n">
        <x:f>IF(G244&lt;=0,"n/m",F244/G244)</x:f>
        <x:v>16.644862602259856</x:v>
      </x:c>
      <x:c r="I244" s="169" t="n">
        <x:v>69771.469</x:v>
      </x:c>
      <x:c r="J244" s="169" t="n">
        <x:v>4191.772</x:v>
      </x:c>
      <x:c r="K244" s="169" t="n">
        <x:v>16.644862602259856</x:v>
      </x:c>
      <x:c r="L244" s="175" t="n">
        <x:v>16.644862602259856</x:v>
      </x:c>
      <x:c r="M244" s="175" t="n">
        <x:f>LUCK!F146</x:f>
        <x:v>16.644862602259856</x:v>
      </x:c>
      <x:c r="N244" s="176" t="str">
        <x:f>IF(AND(ABS(F244-I244)&lt;0.000001,ABS(G244-J244)&lt;0.000001,IF(ISNUMBER(L244),IF(ISNUMBER(M244),ABS(L244-M244)&lt;0.00000001,FALSE),M244=L244)),"PASS","FAIL")</x:f>
        <x:v>PASS</x:v>
      </x:c>
      <x:c r="O244" s="171" t="str"/>
      <x:c r="P244" s="168" t="str">
        <x:v>Asset Management</x:v>
      </x:c>
    </x:row>
    <x:row r="245" ht="26" customHeight="1">
      <x:c r="A245" s="76" t="str">
        <x:v>LUCK</x:v>
      </x:c>
      <x:c r="B245" s="76" t="n">
        <x:v>2023</x:v>
      </x:c>
      <x:c r="C245" s="76" t="n">
        <x:v>9</x:v>
      </x:c>
      <x:c r="D245" s="76" t="str">
        <x:v>Days inventory outstanding</x:v>
      </x:c>
      <x:c r="E245" s="76" t="str">
        <x:v>Additional</x:v>
      </x:c>
      <x:c r="F245" s="170" t="n">
        <x:f>365*AVERAGE(LUCK!E65,LUCK!F65)</x:f>
        <x:v>7028208.590000001</x:v>
      </x:c>
      <x:c r="G245" s="170" t="n">
        <x:f>-LUCK!F85</x:f>
        <x:v>69771.469</x:v>
      </x:c>
      <x:c r="H245" s="170" t="n">
        <x:f>IF(G245&lt;=0,"n/m",F245/G245)</x:f>
        <x:v>100.73184197970664</x:v>
      </x:c>
      <x:c r="I245" s="170" t="n">
        <x:v>7028208.590000001</x:v>
      </x:c>
      <x:c r="J245" s="170" t="n">
        <x:v>69771.469</x:v>
      </x:c>
      <x:c r="K245" s="170" t="n">
        <x:v>100.73184197970664</x:v>
      </x:c>
      <x:c r="L245" s="177" t="n">
        <x:v>100.73184197970664</x:v>
      </x:c>
      <x:c r="M245" s="177" t="n">
        <x:f>LUCK!F147</x:f>
        <x:v>100.73184197970664</x:v>
      </x:c>
      <x:c r="N245" s="178" t="str">
        <x:f>IF(AND(ABS(F245-I245)&lt;0.000001,ABS(G245-J245)&lt;0.000001,IF(ISNUMBER(L245),IF(ISNUMBER(M245),ABS(L245-M245)&lt;0.00000001,FALSE),M245=L245)),"PASS","FAIL")</x:f>
        <x:v>PASS</x:v>
      </x:c>
      <x:c r="O245" s="99" t="str"/>
      <x:c r="P245" s="76" t="str">
        <x:v>Asset Management</x:v>
      </x:c>
    </x:row>
    <x:row r="246" ht="26" customHeight="1">
      <x:c r="A246" s="168" t="str">
        <x:v>LUCK</x:v>
      </x:c>
      <x:c r="B246" s="168" t="n">
        <x:v>2023</x:v>
      </x:c>
      <x:c r="C246" s="168" t="n">
        <x:v>10</x:v>
      </x:c>
      <x:c r="D246" s="168" t="str">
        <x:v>Days sales outstanding</x:v>
      </x:c>
      <x:c r="E246" s="168" t="str">
        <x:v>Mandatory</x:v>
      </x:c>
      <x:c r="F246" s="169" t="n">
        <x:f>365*AVERAGE(LUCK!E32,LUCK!F32)</x:f>
        <x:v>1571799.135</x:v>
      </x:c>
      <x:c r="G246" s="169" t="n">
        <x:f>LUCK!F84</x:f>
        <x:v>95832.147</x:v>
      </x:c>
      <x:c r="H246" s="169" t="n">
        <x:f>IF(G246&lt;=0,"n/m",F246/G246)</x:f>
        <x:v>16.40158531562483</x:v>
      </x:c>
      <x:c r="I246" s="169" t="n">
        <x:v>1571799.135</x:v>
      </x:c>
      <x:c r="J246" s="169" t="n">
        <x:v>95832.147</x:v>
      </x:c>
      <x:c r="K246" s="169" t="n">
        <x:v>16.40158531562483</x:v>
      </x:c>
      <x:c r="L246" s="175" t="n">
        <x:v>16.40158531562483</x:v>
      </x:c>
      <x:c r="M246" s="175" t="n">
        <x:f>LUCK!F148</x:f>
        <x:v>16.40158531562483</x:v>
      </x:c>
      <x:c r="N246" s="176" t="str">
        <x:f>IF(AND(ABS(F246-I246)&lt;0.000001,ABS(G246-J246)&lt;0.000001,IF(ISNUMBER(L246),IF(ISNUMBER(M246),ABS(L246-M246)&lt;0.00000001,FALSE),M246=L246)),"PASS","FAIL")</x:f>
        <x:v>PASS</x:v>
      </x:c>
      <x:c r="O246" s="171" t="str"/>
      <x:c r="P246" s="168" t="str">
        <x:v>Asset Management</x:v>
      </x:c>
    </x:row>
    <x:row r="247" ht="26" customHeight="1">
      <x:c r="A247" s="76" t="str">
        <x:v>LUCK</x:v>
      </x:c>
      <x:c r="B247" s="76" t="n">
        <x:v>2023</x:v>
      </x:c>
      <x:c r="C247" s="76" t="n">
        <x:v>11</x:v>
      </x:c>
      <x:c r="D247" s="76" t="str">
        <x:v>Days payables outstanding</x:v>
      </x:c>
      <x:c r="E247" s="76" t="str">
        <x:v>Additional</x:v>
      </x:c>
      <x:c r="F247" s="170" t="n">
        <x:f>365*AVERAGE(LUCK!E51,LUCK!F51)</x:f>
        <x:v>1529996.78</x:v>
      </x:c>
      <x:c r="G247" s="170" t="n">
        <x:f>-LUCK!F85</x:f>
        <x:v>69771.469</x:v>
      </x:c>
      <x:c r="H247" s="170" t="n">
        <x:f>IF(G247&lt;=0,"n/m",F247/G247)</x:f>
        <x:v>21.928688071624236</x:v>
      </x:c>
      <x:c r="I247" s="170" t="n">
        <x:v>1529996.78</x:v>
      </x:c>
      <x:c r="J247" s="170" t="n">
        <x:v>69771.469</x:v>
      </x:c>
      <x:c r="K247" s="170" t="n">
        <x:v>21.928688071624236</x:v>
      </x:c>
      <x:c r="L247" s="177" t="n">
        <x:v>21.928688071624236</x:v>
      </x:c>
      <x:c r="M247" s="177" t="n">
        <x:f>LUCK!F149</x:f>
        <x:v>21.928688071624236</x:v>
      </x:c>
      <x:c r="N247" s="178" t="str">
        <x:f>IF(AND(ABS(F247-I247)&lt;0.000001,ABS(G247-J247)&lt;0.000001,IF(ISNUMBER(L247),IF(ISNUMBER(M247),ABS(L247-M247)&lt;0.00000001,FALSE),M247=L247)),"PASS","FAIL")</x:f>
        <x:v>PASS</x:v>
      </x:c>
      <x:c r="O247" s="99" t="str"/>
      <x:c r="P247" s="76" t="str">
        <x:v>Asset Management</x:v>
      </x:c>
    </x:row>
    <x:row r="248" ht="26" customHeight="1">
      <x:c r="A248" s="168" t="str">
        <x:v>LUCK</x:v>
      </x:c>
      <x:c r="B248" s="168" t="n">
        <x:v>2023</x:v>
      </x:c>
      <x:c r="C248" s="168" t="n">
        <x:v>12</x:v>
      </x:c>
      <x:c r="D248" s="168" t="str">
        <x:v>Operating cycle (days)</x:v>
      </x:c>
      <x:c r="E248" s="168" t="str">
        <x:v>Additional</x:v>
      </x:c>
      <x:c r="F248" s="169" t="n">
        <x:f>365*AVERAGE(LUCK!E65,LUCK!F65)/(-LUCK!F85)+365*AVERAGE(LUCK!E32,LUCK!F32)/LUCK!F84</x:f>
        <x:v>117.13342729533147</x:v>
      </x:c>
      <x:c r="G248" s="169" t="n">
        <x:f>1</x:f>
        <x:v>1</x:v>
      </x:c>
      <x:c r="H248" s="169" t="n">
        <x:f>IF(G248&lt;=0,"n/m",F248/G248)</x:f>
        <x:v>117.13342729533147</x:v>
      </x:c>
      <x:c r="I248" s="169" t="n">
        <x:v>117.13342729533147</x:v>
      </x:c>
      <x:c r="J248" s="169" t="n">
        <x:v>1</x:v>
      </x:c>
      <x:c r="K248" s="169" t="n">
        <x:v>117.13342729533147</x:v>
      </x:c>
      <x:c r="L248" s="175" t="n">
        <x:v>117.13342729533147</x:v>
      </x:c>
      <x:c r="M248" s="175" t="n">
        <x:f>LUCK!F150</x:f>
        <x:v>117.13342729533147</x:v>
      </x:c>
      <x:c r="N248" s="176" t="str">
        <x:f>IF(AND(ABS(F248-I248)&lt;0.000001,ABS(G248-J248)&lt;0.000001,IF(ISNUMBER(L248),IF(ISNUMBER(M248),ABS(L248-M248)&lt;0.00000001,FALSE),M248=L248)),"PASS","FAIL")</x:f>
        <x:v>PASS</x:v>
      </x:c>
      <x:c r="O248" s="171" t="str"/>
      <x:c r="P248" s="168" t="str">
        <x:v>Asset Management</x:v>
      </x:c>
    </x:row>
    <x:row r="249" ht="26" customHeight="1">
      <x:c r="A249" s="76" t="str">
        <x:v>LUCK</x:v>
      </x:c>
      <x:c r="B249" s="76" t="n">
        <x:v>2023</x:v>
      </x:c>
      <x:c r="C249" s="76" t="n">
        <x:v>13</x:v>
      </x:c>
      <x:c r="D249" s="76" t="str">
        <x:v>Cash conversion cycle (days)</x:v>
      </x:c>
      <x:c r="E249" s="76" t="str">
        <x:v>Additional</x:v>
      </x:c>
      <x:c r="F249" s="170" t="n">
        <x:f>365*AVERAGE(LUCK!E65,LUCK!F65)/(-LUCK!F85)+365*AVERAGE(LUCK!E32,LUCK!F32)/LUCK!F84-365*AVERAGE(LUCK!E51,LUCK!F51)/(-LUCK!F85)</x:f>
        <x:v>95.20473922370724</x:v>
      </x:c>
      <x:c r="G249" s="170" t="n">
        <x:f>1</x:f>
        <x:v>1</x:v>
      </x:c>
      <x:c r="H249" s="170" t="n">
        <x:f>IF(G249&lt;=0,"n/m",F249/G249)</x:f>
        <x:v>95.20473922370724</x:v>
      </x:c>
      <x:c r="I249" s="170" t="n">
        <x:v>95.20473922370724</x:v>
      </x:c>
      <x:c r="J249" s="170" t="n">
        <x:v>1</x:v>
      </x:c>
      <x:c r="K249" s="170" t="n">
        <x:v>95.20473922370724</x:v>
      </x:c>
      <x:c r="L249" s="177" t="n">
        <x:v>95.20473922370724</x:v>
      </x:c>
      <x:c r="M249" s="177" t="n">
        <x:f>LUCK!F151</x:f>
        <x:v>95.20473922370724</x:v>
      </x:c>
      <x:c r="N249" s="178" t="str">
        <x:f>IF(AND(ABS(F249-I249)&lt;0.000001,ABS(G249-J249)&lt;0.000001,IF(ISNUMBER(L249),IF(ISNUMBER(M249),ABS(L249-M249)&lt;0.00000001,FALSE),M249=L249)),"PASS","FAIL")</x:f>
        <x:v>PASS</x:v>
      </x:c>
      <x:c r="O249" s="99" t="str"/>
      <x:c r="P249" s="76" t="str">
        <x:v>Asset Management</x:v>
      </x:c>
    </x:row>
    <x:row r="250" ht="26" customHeight="1">
      <x:c r="A250" s="168" t="str">
        <x:v>LUCK</x:v>
      </x:c>
      <x:c r="B250" s="168" t="n">
        <x:v>2023</x:v>
      </x:c>
      <x:c r="C250" s="168" t="n">
        <x:v>14</x:v>
      </x:c>
      <x:c r="D250" s="168" t="str">
        <x:v>Total asset turnover</x:v>
      </x:c>
      <x:c r="E250" s="168" t="str">
        <x:v>Mandatory</x:v>
      </x:c>
      <x:c r="F250" s="169" t="n">
        <x:f>LUCK!F84</x:f>
        <x:v>95832.147</x:v>
      </x:c>
      <x:c r="G250" s="169" t="n">
        <x:f>AVERAGE(LUCK!E37,LUCK!F37)</x:f>
        <x:v>199020.71750000003</x:v>
      </x:c>
      <x:c r="H250" s="169" t="n">
        <x:f>IF(G250&lt;=0,"n/m",F250/G250)</x:f>
        <x:v>0.4815184479475107</x:v>
      </x:c>
      <x:c r="I250" s="169" t="n">
        <x:v>95832.147</x:v>
      </x:c>
      <x:c r="J250" s="169" t="n">
        <x:v>199020.71749999997</x:v>
      </x:c>
      <x:c r="K250" s="169" t="n">
        <x:v>0.48151844794751086</x:v>
      </x:c>
      <x:c r="L250" s="175" t="n">
        <x:v>0.48151844794751086</x:v>
      </x:c>
      <x:c r="M250" s="175" t="n">
        <x:f>LUCK!F152</x:f>
        <x:v>0.4815184479475107</x:v>
      </x:c>
      <x:c r="N250" s="176" t="str">
        <x:f>IF(AND(ABS(F250-I250)&lt;0.000001,ABS(G250-J250)&lt;0.000001,IF(ISNUMBER(L250),IF(ISNUMBER(M250),ABS(L250-M250)&lt;0.00000001,FALSE),M250=L250)),"PASS","FAIL")</x:f>
        <x:v>PASS</x:v>
      </x:c>
      <x:c r="O250" s="171" t="str"/>
      <x:c r="P250" s="168" t="str">
        <x:v>Asset Management</x:v>
      </x:c>
    </x:row>
    <x:row r="251" ht="26" customHeight="1">
      <x:c r="A251" s="76" t="str">
        <x:v>LUCK</x:v>
      </x:c>
      <x:c r="B251" s="76" t="n">
        <x:v>2023</x:v>
      </x:c>
      <x:c r="C251" s="76" t="n">
        <x:v>15</x:v>
      </x:c>
      <x:c r="D251" s="76" t="str">
        <x:v>Fixed asset turnover</x:v>
      </x:c>
      <x:c r="E251" s="76" t="str">
        <x:v>Mandatory</x:v>
      </x:c>
      <x:c r="F251" s="170" t="n">
        <x:f>LUCK!F84</x:f>
        <x:v>95832.147</x:v>
      </x:c>
      <x:c r="G251" s="170" t="n">
        <x:f>AVERAGE(LUCK!E22,LUCK!F22)</x:f>
        <x:v>75223.9985</x:v>
      </x:c>
      <x:c r="H251" s="170" t="n">
        <x:f>IF(G251&lt;=0,"n/m",F251/G251)</x:f>
        <x:v>1.2739571002729932</x:v>
      </x:c>
      <x:c r="I251" s="170" t="n">
        <x:v>95832.147</x:v>
      </x:c>
      <x:c r="J251" s="170" t="n">
        <x:v>75223.9985</x:v>
      </x:c>
      <x:c r="K251" s="170" t="n">
        <x:v>1.2739571002729932</x:v>
      </x:c>
      <x:c r="L251" s="177" t="n">
        <x:v>1.2739571002729932</x:v>
      </x:c>
      <x:c r="M251" s="177" t="n">
        <x:f>LUCK!F153</x:f>
        <x:v>1.2739571002729932</x:v>
      </x:c>
      <x:c r="N251" s="178" t="str">
        <x:f>IF(AND(ABS(F251-I251)&lt;0.000001,ABS(G251-J251)&lt;0.000001,IF(ISNUMBER(L251),IF(ISNUMBER(M251),ABS(L251-M251)&lt;0.00000001,FALSE),M251=L251)),"PASS","FAIL")</x:f>
        <x:v>PASS</x:v>
      </x:c>
      <x:c r="O251" s="99" t="str"/>
      <x:c r="P251" s="76" t="str">
        <x:v>Asset Management</x:v>
      </x:c>
    </x:row>
    <x:row r="252" ht="26" customHeight="1">
      <x:c r="A252" s="168" t="str">
        <x:v>LUCK</x:v>
      </x:c>
      <x:c r="B252" s="168" t="n">
        <x:v>2023</x:v>
      </x:c>
      <x:c r="C252" s="168" t="n">
        <x:v>16</x:v>
      </x:c>
      <x:c r="D252" s="168" t="str">
        <x:v>Debt ratio</x:v>
      </x:c>
      <x:c r="E252" s="168" t="str">
        <x:v>Mandatory</x:v>
      </x:c>
      <x:c r="F252" s="169" t="n">
        <x:f>LUCK!F62</x:f>
        <x:v>75712.741</x:v>
      </x:c>
      <x:c r="G252" s="169" t="n">
        <x:f>LUCK!F37</x:f>
        <x:v>213079.067</x:v>
      </x:c>
      <x:c r="H252" s="169" t="n">
        <x:f>IF(G252&lt;=0,"n/m",F252/G252)</x:f>
        <x:v>0.35532697822447284</x:v>
      </x:c>
      <x:c r="I252" s="169" t="n">
        <x:v>75712.74100000001</x:v>
      </x:c>
      <x:c r="J252" s="169" t="n">
        <x:v>213079.06699999998</x:v>
      </x:c>
      <x:c r="K252" s="169" t="n">
        <x:v>0.35532697822447296</x:v>
      </x:c>
      <x:c r="L252" s="175" t="n">
        <x:v>0.35532697822447296</x:v>
      </x:c>
      <x:c r="M252" s="175" t="n">
        <x:f>LUCK!F155</x:f>
        <x:v>0.35532697822447284</x:v>
      </x:c>
      <x:c r="N252" s="176" t="str">
        <x:f>IF(AND(ABS(F252-I252)&lt;0.000001,ABS(G252-J252)&lt;0.000001,IF(ISNUMBER(L252),IF(ISNUMBER(M252),ABS(L252-M252)&lt;0.00000001,FALSE),M252=L252)),"PASS","FAIL")</x:f>
        <x:v>PASS</x:v>
      </x:c>
      <x:c r="O252" s="171" t="str"/>
      <x:c r="P252" s="168" t="str">
        <x:v>Debt Management</x:v>
      </x:c>
    </x:row>
    <x:row r="253" ht="26" customHeight="1">
      <x:c r="A253" s="76" t="str">
        <x:v>LUCK</x:v>
      </x:c>
      <x:c r="B253" s="76" t="n">
        <x:v>2023</x:v>
      </x:c>
      <x:c r="C253" s="76" t="n">
        <x:v>17</x:v>
      </x:c>
      <x:c r="D253" s="76" t="str">
        <x:v>Debt-to-equity</x:v>
      </x:c>
      <x:c r="E253" s="76" t="str">
        <x:v>Mandatory</x:v>
      </x:c>
      <x:c r="F253" s="170" t="n">
        <x:f>LUCK!F62</x:f>
        <x:v>75712.741</x:v>
      </x:c>
      <x:c r="G253" s="170" t="n">
        <x:f>LUCK!F41</x:f>
        <x:v>137366.326</x:v>
      </x:c>
      <x:c r="H253" s="170" t="n">
        <x:f>IF(G253&lt;=0,"n/m",F253/G253)</x:f>
        <x:v>0.5511739536514938</x:v>
      </x:c>
      <x:c r="I253" s="170" t="n">
        <x:v>75712.74100000001</x:v>
      </x:c>
      <x:c r="J253" s="170" t="n">
        <x:v>137366.326</x:v>
      </x:c>
      <x:c r="K253" s="170" t="n">
        <x:v>0.5511739536514939</x:v>
      </x:c>
      <x:c r="L253" s="177" t="n">
        <x:v>0.5511739536514939</x:v>
      </x:c>
      <x:c r="M253" s="177" t="n">
        <x:f>LUCK!F156</x:f>
        <x:v>0.5511739536514938</x:v>
      </x:c>
      <x:c r="N253" s="178" t="str">
        <x:f>IF(AND(ABS(F253-I253)&lt;0.000001,ABS(G253-J253)&lt;0.000001,IF(ISNUMBER(L253),IF(ISNUMBER(M253),ABS(L253-M253)&lt;0.00000001,FALSE),M253=L253)),"PASS","FAIL")</x:f>
        <x:v>PASS</x:v>
      </x:c>
      <x:c r="O253" s="99" t="str"/>
      <x:c r="P253" s="76" t="str">
        <x:v>Debt Management</x:v>
      </x:c>
    </x:row>
    <x:row r="254" ht="26" customHeight="1">
      <x:c r="A254" s="168" t="str">
        <x:v>LUCK</x:v>
      </x:c>
      <x:c r="B254" s="168" t="n">
        <x:v>2023</x:v>
      </x:c>
      <x:c r="C254" s="168" t="n">
        <x:v>18</x:v>
      </x:c>
      <x:c r="D254" s="168" t="str">
        <x:v>Total debt-to-capital</x:v>
      </x:c>
      <x:c r="E254" s="168" t="str">
        <x:v>Additional</x:v>
      </x:c>
      <x:c r="F254" s="169" t="n">
        <x:f>LUCK!F66</x:f>
        <x:v>21041.947</x:v>
      </x:c>
      <x:c r="G254" s="169" t="n">
        <x:f>LUCK!F66+LUCK!F41</x:f>
        <x:v>158408.273</x:v>
      </x:c>
      <x:c r="H254" s="169" t="n">
        <x:f>IF(G254&lt;=0,"n/m",F254/G254)</x:f>
        <x:v>0.13283363678865434</x:v>
      </x:c>
      <x:c r="I254" s="169" t="n">
        <x:v>21041.947</x:v>
      </x:c>
      <x:c r="J254" s="169" t="n">
        <x:v>158408.273</x:v>
      </x:c>
      <x:c r="K254" s="169" t="n">
        <x:v>0.13283363678865434</x:v>
      </x:c>
      <x:c r="L254" s="175" t="n">
        <x:v>0.13283363678865434</x:v>
      </x:c>
      <x:c r="M254" s="175" t="n">
        <x:f>LUCK!F157</x:f>
        <x:v>0.13283363678865434</x:v>
      </x:c>
      <x:c r="N254" s="176" t="str">
        <x:f>IF(AND(ABS(F254-I254)&lt;0.000001,ABS(G254-J254)&lt;0.000001,IF(ISNUMBER(L254),IF(ISNUMBER(M254),ABS(L254-M254)&lt;0.00000001,FALSE),M254=L254)),"PASS","FAIL")</x:f>
        <x:v>PASS</x:v>
      </x:c>
      <x:c r="O254" s="171" t="str"/>
      <x:c r="P254" s="168" t="str">
        <x:v>Debt Management</x:v>
      </x:c>
    </x:row>
    <x:row r="255" ht="26" customHeight="1">
      <x:c r="A255" s="76" t="str">
        <x:v>LUCK</x:v>
      </x:c>
      <x:c r="B255" s="76" t="n">
        <x:v>2023</x:v>
      </x:c>
      <x:c r="C255" s="76" t="n">
        <x:v>19</x:v>
      </x:c>
      <x:c r="D255" s="76" t="str">
        <x:v>Long-term debt ratio</x:v>
      </x:c>
      <x:c r="E255" s="76" t="str">
        <x:v>Additional</x:v>
      </x:c>
      <x:c r="F255" s="170" t="n">
        <x:f>LUCK!F67</x:f>
        <x:v>14557.294</x:v>
      </x:c>
      <x:c r="G255" s="170" t="n">
        <x:f>LUCK!F37</x:f>
        <x:v>213079.067</x:v>
      </x:c>
      <x:c r="H255" s="170" t="n">
        <x:f>IF(G255&lt;=0,"n/m",F255/G255)</x:f>
        <x:v>0.0683187429199697</x:v>
      </x:c>
      <x:c r="I255" s="170" t="n">
        <x:v>14557.294</x:v>
      </x:c>
      <x:c r="J255" s="170" t="n">
        <x:v>213079.06699999998</x:v>
      </x:c>
      <x:c r="K255" s="170" t="n">
        <x:v>0.06831874291996971</x:v>
      </x:c>
      <x:c r="L255" s="177" t="n">
        <x:v>0.06831874291996971</x:v>
      </x:c>
      <x:c r="M255" s="177" t="n">
        <x:f>LUCK!F158</x:f>
        <x:v>0.0683187429199697</x:v>
      </x:c>
      <x:c r="N255" s="178" t="str">
        <x:f>IF(AND(ABS(F255-I255)&lt;0.000001,ABS(G255-J255)&lt;0.000001,IF(ISNUMBER(L255),IF(ISNUMBER(M255),ABS(L255-M255)&lt;0.00000001,FALSE),M255=L255)),"PASS","FAIL")</x:f>
        <x:v>PASS</x:v>
      </x:c>
      <x:c r="O255" s="99" t="str"/>
      <x:c r="P255" s="76" t="str">
        <x:v>Debt Management</x:v>
      </x:c>
    </x:row>
    <x:row r="256" ht="26" customHeight="1">
      <x:c r="A256" s="168" t="str">
        <x:v>LUCK</x:v>
      </x:c>
      <x:c r="B256" s="168" t="n">
        <x:v>2023</x:v>
      </x:c>
      <x:c r="C256" s="168" t="n">
        <x:v>20</x:v>
      </x:c>
      <x:c r="D256" s="168" t="str">
        <x:v>Times interest earned</x:v>
      </x:c>
      <x:c r="E256" s="168" t="str">
        <x:v>Mandatory</x:v>
      </x:c>
      <x:c r="F256" s="169" t="n">
        <x:f>LUCK!F108</x:f>
        <x:v>22513.043999999998</x:v>
      </x:c>
      <x:c r="G256" s="169" t="n">
        <x:f>LUCK!F106</x:f>
        <x:v>1158.796</x:v>
      </x:c>
      <x:c r="H256" s="169" t="n">
        <x:f>IF(G256&lt;=0,"n/m",F256/G256)</x:f>
        <x:v>19.427961435835122</x:v>
      </x:c>
      <x:c r="I256" s="169" t="n">
        <x:v>22513.043999999998</x:v>
      </x:c>
      <x:c r="J256" s="169" t="n">
        <x:v>1158.796</x:v>
      </x:c>
      <x:c r="K256" s="169" t="n">
        <x:v>19.427961435835122</x:v>
      </x:c>
      <x:c r="L256" s="175" t="n">
        <x:v>19.427961435835122</x:v>
      </x:c>
      <x:c r="M256" s="175" t="n">
        <x:f>LUCK!F159</x:f>
        <x:v>19.427961435835122</x:v>
      </x:c>
      <x:c r="N256" s="176" t="str">
        <x:f>IF(AND(ABS(F256-I256)&lt;0.000001,ABS(G256-J256)&lt;0.000001,IF(ISNUMBER(L256),IF(ISNUMBER(M256),ABS(L256-M256)&lt;0.00000001,FALSE),M256=L256)),"PASS","FAIL")</x:f>
        <x:v>PASS</x:v>
      </x:c>
      <x:c r="O256" s="171" t="str"/>
      <x:c r="P256" s="168" t="str">
        <x:v>Debt Management</x:v>
      </x:c>
    </x:row>
    <x:row r="257" ht="26" customHeight="1">
      <x:c r="A257" s="76" t="str">
        <x:v>LUCK</x:v>
      </x:c>
      <x:c r="B257" s="76" t="n">
        <x:v>2023</x:v>
      </x:c>
      <x:c r="C257" s="76" t="n">
        <x:v>21</x:v>
      </x:c>
      <x:c r="D257" s="76" t="str">
        <x:v>Gross profit margin</x:v>
      </x:c>
      <x:c r="E257" s="76" t="str">
        <x:v>Mandatory</x:v>
      </x:c>
      <x:c r="F257" s="170" t="n">
        <x:f>LUCK!F86</x:f>
        <x:v>26060.678</x:v>
      </x:c>
      <x:c r="G257" s="170" t="n">
        <x:f>LUCK!F84</x:f>
        <x:v>95832.147</x:v>
      </x:c>
      <x:c r="H257" s="170" t="n">
        <x:f>IF(G257&lt;=0,"n/m",F257/G257)</x:f>
        <x:v>0.2719408759567914</x:v>
      </x:c>
      <x:c r="I257" s="170" t="n">
        <x:v>26060.678</x:v>
      </x:c>
      <x:c r="J257" s="170" t="n">
        <x:v>95832.147</x:v>
      </x:c>
      <x:c r="K257" s="170" t="n">
        <x:v>0.2719408759567914</x:v>
      </x:c>
      <x:c r="L257" s="177" t="n">
        <x:v>0.2719408759567914</x:v>
      </x:c>
      <x:c r="M257" s="177" t="n">
        <x:f>LUCK!F161</x:f>
        <x:v>0.2719408759567914</x:v>
      </x:c>
      <x:c r="N257" s="178" t="str">
        <x:f>IF(AND(ABS(F257-I257)&lt;0.000001,ABS(G257-J257)&lt;0.000001,IF(ISNUMBER(L257),IF(ISNUMBER(M257),ABS(L257-M257)&lt;0.00000001,FALSE),M257=L257)),"PASS","FAIL")</x:f>
        <x:v>PASS</x:v>
      </x:c>
      <x:c r="O257" s="99" t="str"/>
      <x:c r="P257" s="76" t="str">
        <x:v>Profitability</x:v>
      </x:c>
    </x:row>
    <x:row r="258" ht="26" customHeight="1">
      <x:c r="A258" s="168" t="str">
        <x:v>LUCK</x:v>
      </x:c>
      <x:c r="B258" s="168" t="n">
        <x:v>2023</x:v>
      </x:c>
      <x:c r="C258" s="168" t="n">
        <x:v>22</x:v>
      </x:c>
      <x:c r="D258" s="168" t="str">
        <x:v>Operating margin</x:v>
      </x:c>
      <x:c r="E258" s="168" t="str">
        <x:v>Mandatory</x:v>
      </x:c>
      <x:c r="F258" s="169" t="n">
        <x:f>LUCK!F91</x:f>
        <x:v>16465.621</x:v>
      </x:c>
      <x:c r="G258" s="169" t="n">
        <x:f>LUCK!F84</x:f>
        <x:v>95832.147</x:v>
      </x:c>
      <x:c r="H258" s="169" t="n">
        <x:f>IF(G258&lt;=0,"n/m",F258/G258)</x:f>
        <x:v>0.17181730260097375</x:v>
      </x:c>
      <x:c r="I258" s="169" t="n">
        <x:v>16465.621</x:v>
      </x:c>
      <x:c r="J258" s="169" t="n">
        <x:v>95832.147</x:v>
      </x:c>
      <x:c r="K258" s="169" t="n">
        <x:v>0.17181730260097375</x:v>
      </x:c>
      <x:c r="L258" s="175" t="n">
        <x:v>0.17181730260097375</x:v>
      </x:c>
      <x:c r="M258" s="175" t="n">
        <x:f>LUCK!F162</x:f>
        <x:v>0.17181730260097375</x:v>
      </x:c>
      <x:c r="N258" s="176" t="str">
        <x:f>IF(AND(ABS(F258-I258)&lt;0.000001,ABS(G258-J258)&lt;0.000001,IF(ISNUMBER(L258),IF(ISNUMBER(M258),ABS(L258-M258)&lt;0.00000001,FALSE),M258=L258)),"PASS","FAIL")</x:f>
        <x:v>PASS</x:v>
      </x:c>
      <x:c r="O258" s="171" t="str"/>
      <x:c r="P258" s="168" t="str">
        <x:v>Profitability</x:v>
      </x:c>
    </x:row>
    <x:row r="259" ht="26" customHeight="1">
      <x:c r="A259" s="76" t="str">
        <x:v>LUCK</x:v>
      </x:c>
      <x:c r="B259" s="76" t="n">
        <x:v>2023</x:v>
      </x:c>
      <x:c r="C259" s="76" t="n">
        <x:v>23</x:v>
      </x:c>
      <x:c r="D259" s="76" t="str">
        <x:v>Net profit margin</x:v>
      </x:c>
      <x:c r="E259" s="76" t="str">
        <x:v>Mandatory</x:v>
      </x:c>
      <x:c r="F259" s="170" t="n">
        <x:f>LUCK!F99</x:f>
        <x:v>13725.813999999998</x:v>
      </x:c>
      <x:c r="G259" s="170" t="n">
        <x:f>LUCK!F84</x:f>
        <x:v>95832.147</x:v>
      </x:c>
      <x:c r="H259" s="170" t="n">
        <x:f>IF(G259&lt;=0,"n/m",F259/G259)</x:f>
        <x:v>0.14322765825125466</x:v>
      </x:c>
      <x:c r="I259" s="170" t="n">
        <x:v>13725.813999999998</x:v>
      </x:c>
      <x:c r="J259" s="170" t="n">
        <x:v>95832.147</x:v>
      </x:c>
      <x:c r="K259" s="170" t="n">
        <x:v>0.14322765825125466</x:v>
      </x:c>
      <x:c r="L259" s="177" t="n">
        <x:v>0.14322765825125466</x:v>
      </x:c>
      <x:c r="M259" s="177" t="n">
        <x:f>LUCK!F163</x:f>
        <x:v>0.14322765825125466</x:v>
      </x:c>
      <x:c r="N259" s="178" t="str">
        <x:f>IF(AND(ABS(F259-I259)&lt;0.000001,ABS(G259-J259)&lt;0.000001,IF(ISNUMBER(L259),IF(ISNUMBER(M259),ABS(L259-M259)&lt;0.00000001,FALSE),M259=L259)),"PASS","FAIL")</x:f>
        <x:v>PASS</x:v>
      </x:c>
      <x:c r="O259" s="99" t="str"/>
      <x:c r="P259" s="76" t="str">
        <x:v>Profitability</x:v>
      </x:c>
    </x:row>
    <x:row r="260" ht="26" customHeight="1">
      <x:c r="A260" s="168" t="str">
        <x:v>LUCK</x:v>
      </x:c>
      <x:c r="B260" s="168" t="n">
        <x:v>2023</x:v>
      </x:c>
      <x:c r="C260" s="168" t="n">
        <x:v>24</x:v>
      </x:c>
      <x:c r="D260" s="168" t="str">
        <x:v>Return on assets</x:v>
      </x:c>
      <x:c r="E260" s="168" t="str">
        <x:v>Mandatory</x:v>
      </x:c>
      <x:c r="F260" s="169" t="n">
        <x:f>LUCK!F99</x:f>
        <x:v>13725.813999999998</x:v>
      </x:c>
      <x:c r="G260" s="169" t="n">
        <x:f>AVERAGE(LUCK!E37,LUCK!F37)</x:f>
        <x:v>199020.71750000003</x:v>
      </x:c>
      <x:c r="H260" s="169" t="n">
        <x:f>IF(G260&lt;=0,"n/m",F260/G260)</x:f>
        <x:v>0.06896675970430062</x:v>
      </x:c>
      <x:c r="I260" s="169" t="n">
        <x:v>13725.813999999998</x:v>
      </x:c>
      <x:c r="J260" s="169" t="n">
        <x:v>199020.71749999997</x:v>
      </x:c>
      <x:c r="K260" s="169" t="n">
        <x:v>0.06896675970430063</x:v>
      </x:c>
      <x:c r="L260" s="175" t="n">
        <x:v>0.06896675970430063</x:v>
      </x:c>
      <x:c r="M260" s="175" t="n">
        <x:f>LUCK!F164</x:f>
        <x:v>0.06896675970430062</x:v>
      </x:c>
      <x:c r="N260" s="176" t="str">
        <x:f>IF(AND(ABS(F260-I260)&lt;0.000001,ABS(G260-J260)&lt;0.000001,IF(ISNUMBER(L260),IF(ISNUMBER(M260),ABS(L260-M260)&lt;0.00000001,FALSE),M260=L260)),"PASS","FAIL")</x:f>
        <x:v>PASS</x:v>
      </x:c>
      <x:c r="O260" s="171" t="str"/>
      <x:c r="P260" s="168" t="str">
        <x:v>Profitability</x:v>
      </x:c>
    </x:row>
    <x:row r="261" ht="26" customHeight="1">
      <x:c r="A261" s="76" t="str">
        <x:v>LUCK</x:v>
      </x:c>
      <x:c r="B261" s="76" t="n">
        <x:v>2023</x:v>
      </x:c>
      <x:c r="C261" s="76" t="n">
        <x:v>25</x:v>
      </x:c>
      <x:c r="D261" s="76" t="str">
        <x:v>Return on equity</x:v>
      </x:c>
      <x:c r="E261" s="76" t="str">
        <x:v>Mandatory</x:v>
      </x:c>
      <x:c r="F261" s="170" t="n">
        <x:f>LUCK!F99</x:f>
        <x:v>13725.813999999998</x:v>
      </x:c>
      <x:c r="G261" s="170" t="n">
        <x:f>AVERAGE(LUCK!E41,LUCK!F41)</x:f>
        <x:v>132953.325</x:v>
      </x:c>
      <x:c r="H261" s="170" t="n">
        <x:f>IF(G261&lt;=0,"n/m",F261/G261)</x:f>
        <x:v>0.10323783929435384</x:v>
      </x:c>
      <x:c r="I261" s="170" t="n">
        <x:v>13725.813999999998</x:v>
      </x:c>
      <x:c r="J261" s="170" t="n">
        <x:v>132953.325</x:v>
      </x:c>
      <x:c r="K261" s="170" t="n">
        <x:v>0.10323783929435384</x:v>
      </x:c>
      <x:c r="L261" s="177" t="n">
        <x:v>0.10323783929435384</x:v>
      </x:c>
      <x:c r="M261" s="177" t="n">
        <x:f>LUCK!F165</x:f>
        <x:v>0.10323783929435384</x:v>
      </x:c>
      <x:c r="N261" s="178" t="str">
        <x:f>IF(AND(ABS(F261-I261)&lt;0.000001,ABS(G261-J261)&lt;0.000001,IF(ISNUMBER(L261),IF(ISNUMBER(M261),ABS(L261-M261)&lt;0.00000001,FALSE),M261=L261)),"PASS","FAIL")</x:f>
        <x:v>PASS</x:v>
      </x:c>
      <x:c r="O261" s="99" t="str"/>
      <x:c r="P261" s="76" t="str">
        <x:v>Profitability</x:v>
      </x:c>
    </x:row>
    <x:row r="262" ht="26" customHeight="1">
      <x:c r="A262" s="168" t="str">
        <x:v>LUCK</x:v>
      </x:c>
      <x:c r="B262" s="168" t="n">
        <x:v>2023</x:v>
      </x:c>
      <x:c r="C262" s="168" t="n">
        <x:v>26</x:v>
      </x:c>
      <x:c r="D262" s="168" t="str">
        <x:v>Return on invested capital</x:v>
      </x:c>
      <x:c r="E262" s="168" t="str">
        <x:v>Additional</x:v>
      </x:c>
      <x:c r="F262" s="169" t="n">
        <x:f>LUCK!F113</x:f>
        <x:v>14478.090592746734</x:v>
      </x:c>
      <x:c r="G262" s="169" t="n">
        <x:f>AVERAGE(LUCK!E70,LUCK!F70)</x:f>
        <x:v>151272.1225</x:v>
      </x:c>
      <x:c r="H262" s="169" t="n">
        <x:f>IF(G262&lt;=0,"n/m",F262/G262)</x:f>
        <x:v>0.09570891419697462</x:v>
      </x:c>
      <x:c r="I262" s="169" t="n">
        <x:v>14478.090592746734</x:v>
      </x:c>
      <x:c r="J262" s="169" t="n">
        <x:v>151272.1225</x:v>
      </x:c>
      <x:c r="K262" s="169" t="n">
        <x:v>0.09570891419697462</x:v>
      </x:c>
      <x:c r="L262" s="175" t="n">
        <x:v>0.09570891419697462</x:v>
      </x:c>
      <x:c r="M262" s="175" t="n">
        <x:f>LUCK!F166</x:f>
        <x:v>0.09570891419697462</x:v>
      </x:c>
      <x:c r="N262" s="176" t="str">
        <x:f>IF(AND(ABS(F262-I262)&lt;0.000001,ABS(G262-J262)&lt;0.000001,IF(ISNUMBER(L262),IF(ISNUMBER(M262),ABS(L262-M262)&lt;0.00000001,FALSE),M262=L262)),"PASS","FAIL")</x:f>
        <x:v>PASS</x:v>
      </x:c>
      <x:c r="O262" s="171" t="str"/>
      <x:c r="P262" s="168" t="str">
        <x:v>Profitability</x:v>
      </x:c>
    </x:row>
    <x:row r="263" ht="26" customHeight="1">
      <x:c r="A263" s="76" t="str">
        <x:v>LUCK</x:v>
      </x:c>
      <x:c r="B263" s="76" t="n">
        <x:v>2023</x:v>
      </x:c>
      <x:c r="C263" s="76" t="n">
        <x:v>27</x:v>
      </x:c>
      <x:c r="D263" s="76" t="str">
        <x:v>Basic earning power</x:v>
      </x:c>
      <x:c r="E263" s="76" t="str">
        <x:v>Additional</x:v>
      </x:c>
      <x:c r="F263" s="170" t="n">
        <x:f>LUCK!F108</x:f>
        <x:v>22513.043999999998</x:v>
      </x:c>
      <x:c r="G263" s="170" t="n">
        <x:f>AVERAGE(LUCK!E37,LUCK!F37)</x:f>
        <x:v>199020.71750000003</x:v>
      </x:c>
      <x:c r="H263" s="170" t="n">
        <x:f>IF(G263&lt;=0,"n/m",F263/G263)</x:f>
        <x:v>0.11311909776428172</x:v>
      </x:c>
      <x:c r="I263" s="170" t="n">
        <x:v>22513.043999999998</x:v>
      </x:c>
      <x:c r="J263" s="170" t="n">
        <x:v>199020.71749999997</x:v>
      </x:c>
      <x:c r="K263" s="170" t="n">
        <x:v>0.11311909776428176</x:v>
      </x:c>
      <x:c r="L263" s="177" t="n">
        <x:v>0.11311909776428176</x:v>
      </x:c>
      <x:c r="M263" s="177" t="n">
        <x:f>LUCK!F167</x:f>
        <x:v>0.11311909776428172</x:v>
      </x:c>
      <x:c r="N263" s="178" t="str">
        <x:f>IF(AND(ABS(F263-I263)&lt;0.000001,ABS(G263-J263)&lt;0.000001,IF(ISNUMBER(L263),IF(ISNUMBER(M263),ABS(L263-M263)&lt;0.00000001,FALSE),M263=L263)),"PASS","FAIL")</x:f>
        <x:v>PASS</x:v>
      </x:c>
      <x:c r="O263" s="99" t="str"/>
      <x:c r="P263" s="76" t="str">
        <x:v>Profitability</x:v>
      </x:c>
    </x:row>
    <x:row r="264" ht="26" customHeight="1">
      <x:c r="A264" s="168" t="str">
        <x:v>LUCK</x:v>
      </x:c>
      <x:c r="B264" s="168" t="n">
        <x:v>2023</x:v>
      </x:c>
      <x:c r="C264" s="168" t="n">
        <x:v>28</x:v>
      </x:c>
      <x:c r="D264" s="168" t="str">
        <x:v>Book value per share (Rs)</x:v>
      </x:c>
      <x:c r="E264" s="168" t="str">
        <x:v>Additional</x:v>
      </x:c>
      <x:c r="F264" s="169" t="n">
        <x:f>LUCK!F41</x:f>
        <x:v>137366.326</x:v>
      </x:c>
      <x:c r="G264" s="169" t="n">
        <x:f>LUCK!F128</x:f>
        <x:v>311.8386</x:v>
      </x:c>
      <x:c r="H264" s="169" t="n">
        <x:f>IF(G264&lt;=0,"n/m",F264/G264)</x:f>
        <x:v>440.50456229600826</x:v>
      </x:c>
      <x:c r="I264" s="169" t="n">
        <x:v>137366.326</x:v>
      </x:c>
      <x:c r="J264" s="169" t="n">
        <x:v>311.8386</x:v>
      </x:c>
      <x:c r="K264" s="169" t="n">
        <x:v>440.50456229600826</x:v>
      </x:c>
      <x:c r="L264" s="175" t="n">
        <x:v>440.50456229600826</x:v>
      </x:c>
      <x:c r="M264" s="175" t="n">
        <x:f>LUCK!F169</x:f>
        <x:v>440.50456229600826</x:v>
      </x:c>
      <x:c r="N264" s="176" t="str">
        <x:f>IF(AND(ABS(F264-I264)&lt;0.000001,ABS(G264-J264)&lt;0.000001,IF(ISNUMBER(L264),IF(ISNUMBER(M264),ABS(L264-M264)&lt;0.00000001,FALSE),M264=L264)),"PASS","FAIL")</x:f>
        <x:v>PASS</x:v>
      </x:c>
      <x:c r="O264" s="171" t="str"/>
      <x:c r="P264" s="168" t="str">
        <x:v>Market Value</x:v>
      </x:c>
    </x:row>
    <x:row r="265" ht="26" customHeight="1">
      <x:c r="A265" s="76" t="str">
        <x:v>LUCK</x:v>
      </x:c>
      <x:c r="B265" s="76" t="n">
        <x:v>2023</x:v>
      </x:c>
      <x:c r="C265" s="76" t="n">
        <x:v>29</x:v>
      </x:c>
      <x:c r="D265" s="76" t="str">
        <x:v>Market-to-book ratio</x:v>
      </x:c>
      <x:c r="E265" s="76" t="str">
        <x:v>Mandatory</x:v>
      </x:c>
      <x:c r="F265" s="170" t="n">
        <x:f>LUCK!F130</x:f>
        <x:v>522.09</x:v>
      </x:c>
      <x:c r="G265" s="170" t="n">
        <x:f>LUCK!F41/LUCK!F128</x:f>
        <x:v>440.50456229600826</x:v>
      </x:c>
      <x:c r="H265" s="170" t="n">
        <x:f>IF(G265&lt;=0,"n/m",F265/G265)</x:f>
        <x:v>1.185209064075864</x:v>
      </x:c>
      <x:c r="I265" s="170" t="n">
        <x:v>522.09</x:v>
      </x:c>
      <x:c r="J265" s="170" t="n">
        <x:v>440.50456229600826</x:v>
      </x:c>
      <x:c r="K265" s="170" t="n">
        <x:v>1.185209064075864</x:v>
      </x:c>
      <x:c r="L265" s="177" t="n">
        <x:v>1.185209064075864</x:v>
      </x:c>
      <x:c r="M265" s="177" t="n">
        <x:f>LUCK!F170</x:f>
        <x:v>1.185209064075864</x:v>
      </x:c>
      <x:c r="N265" s="178" t="str">
        <x:f>IF(AND(ABS(F265-I265)&lt;0.000001,ABS(G265-J265)&lt;0.000001,IF(ISNUMBER(L265),IF(ISNUMBER(M265),ABS(L265-M265)&lt;0.00000001,FALSE),M265=L265)),"PASS","FAIL")</x:f>
        <x:v>PASS</x:v>
      </x:c>
      <x:c r="O265" s="99" t="str"/>
      <x:c r="P265" s="76" t="str">
        <x:v>Market Value</x:v>
      </x:c>
    </x:row>
    <x:row r="266" ht="26" customHeight="1">
      <x:c r="A266" s="168" t="str">
        <x:v>LUCK</x:v>
      </x:c>
      <x:c r="B266" s="168" t="n">
        <x:v>2023</x:v>
      </x:c>
      <x:c r="C266" s="168" t="n">
        <x:v>30</x:v>
      </x:c>
      <x:c r="D266" s="168" t="str">
        <x:v>Earnings per share (Rs)</x:v>
      </x:c>
      <x:c r="E266" s="168" t="str">
        <x:v>Mandatory</x:v>
      </x:c>
      <x:c r="F266" s="169" t="n">
        <x:f>LUCK!F99</x:f>
        <x:v>13725.813999999998</x:v>
      </x:c>
      <x:c r="G266" s="169" t="n">
        <x:f>LUCK!F129</x:f>
        <x:v>318.749</x:v>
      </x:c>
      <x:c r="H266" s="169" t="n">
        <x:f>IF(G266&lt;=0,"n/m",F266/G266)</x:f>
        <x:v>43.06151234984266</x:v>
      </x:c>
      <x:c r="I266" s="169" t="n">
        <x:v>13725.813999999998</x:v>
      </x:c>
      <x:c r="J266" s="169" t="n">
        <x:v>318.749</x:v>
      </x:c>
      <x:c r="K266" s="169" t="n">
        <x:v>43.06151234984266</x:v>
      </x:c>
      <x:c r="L266" s="175" t="n">
        <x:v>43.06151234984266</x:v>
      </x:c>
      <x:c r="M266" s="175" t="n">
        <x:f>LUCK!F171</x:f>
        <x:v>43.06151234984266</x:v>
      </x:c>
      <x:c r="N266" s="176" t="str">
        <x:f>IF(AND(ABS(F266-I266)&lt;0.000001,ABS(G266-J266)&lt;0.000001,IF(ISNUMBER(L266),IF(ISNUMBER(M266),ABS(L266-M266)&lt;0.00000001,FALSE),M266=L266)),"PASS","FAIL")</x:f>
        <x:v>PASS</x:v>
      </x:c>
      <x:c r="O266" s="171" t="str"/>
      <x:c r="P266" s="168" t="str">
        <x:v>Market Value</x:v>
      </x:c>
    </x:row>
    <x:row r="267" ht="26" customHeight="1">
      <x:c r="A267" s="76" t="str">
        <x:v>LUCK</x:v>
      </x:c>
      <x:c r="B267" s="76" t="n">
        <x:v>2023</x:v>
      </x:c>
      <x:c r="C267" s="76" t="n">
        <x:v>31</x:v>
      </x:c>
      <x:c r="D267" s="76" t="str">
        <x:v>Price-to-earnings ratio</x:v>
      </x:c>
      <x:c r="E267" s="76" t="str">
        <x:v>Mandatory</x:v>
      </x:c>
      <x:c r="F267" s="170" t="n">
        <x:f>LUCK!F130</x:f>
        <x:v>522.09</x:v>
      </x:c>
      <x:c r="G267" s="170" t="n">
        <x:f>LUCK!F99/LUCK!F129</x:f>
        <x:v>43.06151234984266</x:v>
      </x:c>
      <x:c r="H267" s="170" t="n">
        <x:f>IF(G267&lt;=0,"n/m",F267/G267)</x:f>
        <x:v>12.124283879265743</x:v>
      </x:c>
      <x:c r="I267" s="170" t="n">
        <x:v>522.09</x:v>
      </x:c>
      <x:c r="J267" s="170" t="n">
        <x:v>43.06151234984266</x:v>
      </x:c>
      <x:c r="K267" s="170" t="n">
        <x:v>12.124283879265743</x:v>
      </x:c>
      <x:c r="L267" s="177" t="n">
        <x:v>12.124283879265743</x:v>
      </x:c>
      <x:c r="M267" s="177" t="n">
        <x:f>LUCK!F172</x:f>
        <x:v>12.124283879265743</x:v>
      </x:c>
      <x:c r="N267" s="178" t="str">
        <x:f>IF(AND(ABS(F267-I267)&lt;0.000001,ABS(G267-J267)&lt;0.000001,IF(ISNUMBER(L267),IF(ISNUMBER(M267),ABS(L267-M267)&lt;0.00000001,FALSE),M267=L267)),"PASS","FAIL")</x:f>
        <x:v>PASS</x:v>
      </x:c>
      <x:c r="O267" s="99" t="str"/>
      <x:c r="P267" s="76" t="str">
        <x:v>Market Value</x:v>
      </x:c>
    </x:row>
    <x:row r="268" ht="26" customHeight="1">
      <x:c r="A268" s="168" t="str">
        <x:v>LUCK</x:v>
      </x:c>
      <x:c r="B268" s="168" t="n">
        <x:v>2023</x:v>
      </x:c>
      <x:c r="C268" s="168" t="n">
        <x:v>32</x:v>
      </x:c>
      <x:c r="D268" s="168" t="str">
        <x:v>Dividend yield</x:v>
      </x:c>
      <x:c r="E268" s="168" t="str">
        <x:v>Mandatory</x:v>
      </x:c>
      <x:c r="F268" s="169" t="n">
        <x:f>LUCK!F131</x:f>
        <x:v>18</x:v>
      </x:c>
      <x:c r="G268" s="169" t="n">
        <x:f>LUCK!F130</x:f>
        <x:v>522.09</x:v>
      </x:c>
      <x:c r="H268" s="169" t="n">
        <x:f>IF(G268&lt;=0,"n/m",F268/G268)</x:f>
        <x:v>0.034476814342354764</x:v>
      </x:c>
      <x:c r="I268" s="169" t="n">
        <x:v>18</x:v>
      </x:c>
      <x:c r="J268" s="169" t="n">
        <x:v>522.09</x:v>
      </x:c>
      <x:c r="K268" s="169" t="n">
        <x:v>0.034476814342354764</x:v>
      </x:c>
      <x:c r="L268" s="175" t="n">
        <x:v>0.034476814342354764</x:v>
      </x:c>
      <x:c r="M268" s="175" t="n">
        <x:f>LUCK!F173</x:f>
        <x:v>0.034476814342354764</x:v>
      </x:c>
      <x:c r="N268" s="176" t="str">
        <x:f>IF(AND(ABS(F268-I268)&lt;0.000001,ABS(G268-J268)&lt;0.000001,IF(ISNUMBER(L268),IF(ISNUMBER(M268),ABS(L268-M268)&lt;0.00000001,FALSE),M268=L268)),"PASS","FAIL")</x:f>
        <x:v>PASS</x:v>
      </x:c>
      <x:c r="O268" s="171" t="str"/>
      <x:c r="P268" s="168" t="str">
        <x:v>Market Value</x:v>
      </x:c>
    </x:row>
    <x:row r="269" ht="26" customHeight="1">
      <x:c r="A269" s="76" t="str">
        <x:v>LUCK</x:v>
      </x:c>
      <x:c r="B269" s="76" t="n">
        <x:v>2023</x:v>
      </x:c>
      <x:c r="C269" s="76" t="n">
        <x:v>33</x:v>
      </x:c>
      <x:c r="D269" s="76" t="str">
        <x:v>Dividend payout ratio</x:v>
      </x:c>
      <x:c r="E269" s="76" t="str">
        <x:v>Additional</x:v>
      </x:c>
      <x:c r="F269" s="170" t="n">
        <x:f>LUCK!F131</x:f>
        <x:v>18</x:v>
      </x:c>
      <x:c r="G269" s="170" t="n">
        <x:f>LUCK!F99/LUCK!F129</x:f>
        <x:v>43.06151234984266</x:v>
      </x:c>
      <x:c r="H269" s="170" t="n">
        <x:f>IF(G269&lt;=0,"n/m",F269/G269)</x:f>
        <x:v>0.4180066843394498</x:v>
      </x:c>
      <x:c r="I269" s="170" t="n">
        <x:v>18</x:v>
      </x:c>
      <x:c r="J269" s="170" t="n">
        <x:v>43.06151234984266</x:v>
      </x:c>
      <x:c r="K269" s="170" t="n">
        <x:v>0.4180066843394498</x:v>
      </x:c>
      <x:c r="L269" s="177" t="n">
        <x:v>0.4180066843394498</x:v>
      </x:c>
      <x:c r="M269" s="177" t="n">
        <x:f>LUCK!F174</x:f>
        <x:v>0.4180066843394498</x:v>
      </x:c>
      <x:c r="N269" s="178" t="str">
        <x:f>IF(AND(ABS(F269-I269)&lt;0.000001,ABS(G269-J269)&lt;0.000001,IF(ISNUMBER(L269),IF(ISNUMBER(M269),ABS(L269-M269)&lt;0.00000001,FALSE),M269=L269)),"PASS","FAIL")</x:f>
        <x:v>PASS</x:v>
      </x:c>
      <x:c r="O269" s="99" t="str"/>
      <x:c r="P269" s="76" t="str">
        <x:v>Market Value</x:v>
      </x:c>
    </x:row>
    <x:row r="270" ht="26" customHeight="1">
      <x:c r="A270" s="168" t="str">
        <x:v>LUCK</x:v>
      </x:c>
      <x:c r="B270" s="168" t="n">
        <x:v>2024</x:v>
      </x:c>
      <x:c r="C270" s="168" t="n">
        <x:v>1</x:v>
      </x:c>
      <x:c r="D270" s="168" t="str">
        <x:v>Current ratio</x:v>
      </x:c>
      <x:c r="E270" s="168" t="str">
        <x:v>Mandatory</x:v>
      </x:c>
      <x:c r="F270" s="169" t="n">
        <x:f>LUCK!G36</x:f>
        <x:v>68452.084</x:v>
      </x:c>
      <x:c r="G270" s="169" t="n">
        <x:f>LUCK!G61</x:f>
        <x:v>54188.473</x:v>
      </x:c>
      <x:c r="H270" s="169" t="n">
        <x:f>IF(G270&lt;=0,"n/m",F270/G270)</x:f>
        <x:v>1.2632222354743232</x:v>
      </x:c>
      <x:c r="I270" s="169" t="n">
        <x:v>68452.084</x:v>
      </x:c>
      <x:c r="J270" s="169" t="n">
        <x:v>54188.473</x:v>
      </x:c>
      <x:c r="K270" s="169" t="n">
        <x:v>1.2632222354743232</x:v>
      </x:c>
      <x:c r="L270" s="175" t="n">
        <x:v>1.2632222354743232</x:v>
      </x:c>
      <x:c r="M270" s="175" t="n">
        <x:f>LUCK!G138</x:f>
        <x:v>1.2632222354743232</x:v>
      </x:c>
      <x:c r="N270" s="176" t="str">
        <x:f>IF(AND(ABS(F270-I270)&lt;0.000001,ABS(G270-J270)&lt;0.000001,IF(ISNUMBER(L270),IF(ISNUMBER(M270),ABS(L270-M270)&lt;0.00000001,FALSE),M270=L270)),"PASS","FAIL")</x:f>
        <x:v>PASS</x:v>
      </x:c>
      <x:c r="O270" s="171" t="str"/>
      <x:c r="P270" s="168" t="str">
        <x:v>Liquidity</x:v>
      </x:c>
    </x:row>
    <x:row r="271" ht="26" customHeight="1">
      <x:c r="A271" s="76" t="str">
        <x:v>LUCK</x:v>
      </x:c>
      <x:c r="B271" s="76" t="n">
        <x:v>2024</x:v>
      </x:c>
      <x:c r="C271" s="76" t="n">
        <x:v>2</x:v>
      </x:c>
      <x:c r="D271" s="76" t="str">
        <x:v>Quick ratio</x:v>
      </x:c>
      <x:c r="E271" s="76" t="str">
        <x:v>Mandatory</x:v>
      </x:c>
      <x:c r="F271" s="170" t="n">
        <x:f>LUCK!G36-LUCK!G65</x:f>
        <x:v>45354.837</x:v>
      </x:c>
      <x:c r="G271" s="170" t="n">
        <x:f>LUCK!G61</x:f>
        <x:v>54188.473</x:v>
      </x:c>
      <x:c r="H271" s="170" t="n">
        <x:f>IF(G271&lt;=0,"n/m",F271/G271)</x:f>
        <x:v>0.8369831163170072</x:v>
      </x:c>
      <x:c r="I271" s="170" t="n">
        <x:v>45354.837</x:v>
      </x:c>
      <x:c r="J271" s="170" t="n">
        <x:v>54188.473</x:v>
      </x:c>
      <x:c r="K271" s="170" t="n">
        <x:v>0.8369831163170072</x:v>
      </x:c>
      <x:c r="L271" s="177" t="n">
        <x:v>0.8369831163170072</x:v>
      </x:c>
      <x:c r="M271" s="177" t="n">
        <x:f>LUCK!G139</x:f>
        <x:v>0.8369831163170072</x:v>
      </x:c>
      <x:c r="N271" s="178" t="str">
        <x:f>IF(AND(ABS(F271-I271)&lt;0.000001,ABS(G271-J271)&lt;0.000001,IF(ISNUMBER(L271),IF(ISNUMBER(M271),ABS(L271-M271)&lt;0.00000001,FALSE),M271=L271)),"PASS","FAIL")</x:f>
        <x:v>PASS</x:v>
      </x:c>
      <x:c r="O271" s="99" t="str"/>
      <x:c r="P271" s="76" t="str">
        <x:v>Liquidity</x:v>
      </x:c>
    </x:row>
    <x:row r="272" ht="26" customHeight="1">
      <x:c r="A272" s="168" t="str">
        <x:v>LUCK</x:v>
      </x:c>
      <x:c r="B272" s="168" t="n">
        <x:v>2024</x:v>
      </x:c>
      <x:c r="C272" s="168" t="n">
        <x:v>3</x:v>
      </x:c>
      <x:c r="D272" s="168" t="str">
        <x:v>Cash ratio</x:v>
      </x:c>
      <x:c r="E272" s="168" t="str">
        <x:v>Mandatory</x:v>
      </x:c>
      <x:c r="F272" s="169" t="n">
        <x:f>LUCK!G34</x:f>
        <x:v>2567.176</x:v>
      </x:c>
      <x:c r="G272" s="169" t="n">
        <x:f>LUCK!G61</x:f>
        <x:v>54188.473</x:v>
      </x:c>
      <x:c r="H272" s="169" t="n">
        <x:f>IF(G272&lt;=0,"n/m",F272/G272)</x:f>
        <x:v>0.04737494632853006</x:v>
      </x:c>
      <x:c r="I272" s="169" t="n">
        <x:v>2567.176</x:v>
      </x:c>
      <x:c r="J272" s="169" t="n">
        <x:v>54188.473</x:v>
      </x:c>
      <x:c r="K272" s="169" t="n">
        <x:v>0.04737494632853006</x:v>
      </x:c>
      <x:c r="L272" s="175" t="n">
        <x:v>0.04737494632853006</x:v>
      </x:c>
      <x:c r="M272" s="175" t="n">
        <x:f>LUCK!G140</x:f>
        <x:v>0.04737494632853006</x:v>
      </x:c>
      <x:c r="N272" s="176" t="str">
        <x:f>IF(AND(ABS(F272-I272)&lt;0.000001,ABS(G272-J272)&lt;0.000001,IF(ISNUMBER(L272),IF(ISNUMBER(M272),ABS(L272-M272)&lt;0.00000001,FALSE),M272=L272)),"PASS","FAIL")</x:f>
        <x:v>PASS</x:v>
      </x:c>
      <x:c r="O272" s="171" t="str"/>
      <x:c r="P272" s="168" t="str">
        <x:v>Liquidity</x:v>
      </x:c>
    </x:row>
    <x:row r="273" ht="26" customHeight="1">
      <x:c r="A273" s="76" t="str">
        <x:v>LUCK</x:v>
      </x:c>
      <x:c r="B273" s="76" t="n">
        <x:v>2024</x:v>
      </x:c>
      <x:c r="C273" s="76" t="n">
        <x:v>4</x:v>
      </x:c>
      <x:c r="D273" s="76" t="str">
        <x:v>Net working capital (PKR m)</x:v>
      </x:c>
      <x:c r="E273" s="76" t="str">
        <x:v>Additional</x:v>
      </x:c>
      <x:c r="F273" s="170" t="n">
        <x:f>LUCK!G36-LUCK!G61</x:f>
        <x:v>14263.611000000004</x:v>
      </x:c>
      <x:c r="G273" s="170" t="n">
        <x:f>1</x:f>
        <x:v>1</x:v>
      </x:c>
      <x:c r="H273" s="170" t="n">
        <x:f>IF(G273&lt;=0,"n/m",F273/G273)</x:f>
        <x:v>14263.611000000004</x:v>
      </x:c>
      <x:c r="I273" s="170" t="n">
        <x:v>14263.611000000004</x:v>
      </x:c>
      <x:c r="J273" s="170" t="n">
        <x:v>1</x:v>
      </x:c>
      <x:c r="K273" s="170" t="n">
        <x:v>14263.611000000004</x:v>
      </x:c>
      <x:c r="L273" s="177" t="n">
        <x:v>14263.611000000004</x:v>
      </x:c>
      <x:c r="M273" s="177" t="n">
        <x:f>LUCK!G141</x:f>
        <x:v>14263.611000000004</x:v>
      </x:c>
      <x:c r="N273" s="178" t="str">
        <x:f>IF(AND(ABS(F273-I273)&lt;0.000001,ABS(G273-J273)&lt;0.000001,IF(ISNUMBER(L273),IF(ISNUMBER(M273),ABS(L273-M273)&lt;0.00000001,FALSE),M273=L273)),"PASS","FAIL")</x:f>
        <x:v>PASS</x:v>
      </x:c>
      <x:c r="O273" s="99" t="str"/>
      <x:c r="P273" s="76" t="str">
        <x:v>Liquidity</x:v>
      </x:c>
    </x:row>
    <x:row r="274" ht="26" customHeight="1">
      <x:c r="A274" s="168" t="str">
        <x:v>LUCK</x:v>
      </x:c>
      <x:c r="B274" s="168" t="n">
        <x:v>2024</x:v>
      </x:c>
      <x:c r="C274" s="168" t="n">
        <x:v>5</x:v>
      </x:c>
      <x:c r="D274" s="168" t="str">
        <x:v>Net operating working capital (PKR m)</x:v>
      </x:c>
      <x:c r="E274" s="168" t="str">
        <x:v>Additional</x:v>
      </x:c>
      <x:c r="F274" s="169" t="n">
        <x:f>LUCK!G72-LUCK!G73</x:f>
        <x:v>-10154.963000000003</x:v>
      </x:c>
      <x:c r="G274" s="169" t="n">
        <x:f>1</x:f>
        <x:v>1</x:v>
      </x:c>
      <x:c r="H274" s="169" t="n">
        <x:f>IF(G274&lt;=0,"n/m",F274/G274)</x:f>
        <x:v>-10154.963000000003</x:v>
      </x:c>
      <x:c r="I274" s="169" t="n">
        <x:v>-10154.963000000003</x:v>
      </x:c>
      <x:c r="J274" s="169" t="n">
        <x:v>1</x:v>
      </x:c>
      <x:c r="K274" s="169" t="n">
        <x:v>-10154.963000000003</x:v>
      </x:c>
      <x:c r="L274" s="175" t="str">
        <x:v>n/m</x:v>
      </x:c>
      <x:c r="M274" s="175" t="str">
        <x:f>LUCK!G142</x:f>
        <x:v>n/m</x:v>
      </x:c>
      <x:c r="N274" s="176" t="str">
        <x:f>IF(AND(ABS(F274-I274)&lt;0.000001,ABS(G274-J274)&lt;0.000001,IF(ISNUMBER(L274),IF(ISNUMBER(M274),ABS(L274-M274)&lt;0.00000001,FALSE),M274=L274)),"PASS","FAIL")</x:f>
        <x:v>PASS</x:v>
      </x:c>
      <x:c r="O274" s="171" t="str">
        <x:v>Negative calculated measure; raw signed value in H/K.</x:v>
      </x:c>
      <x:c r="P274" s="168" t="str">
        <x:v>Liquidity</x:v>
      </x:c>
    </x:row>
    <x:row r="275" ht="26" customHeight="1">
      <x:c r="A275" s="76" t="str">
        <x:v>LUCK</x:v>
      </x:c>
      <x:c r="B275" s="76" t="n">
        <x:v>2024</x:v>
      </x:c>
      <x:c r="C275" s="76" t="n">
        <x:v>6</x:v>
      </x:c>
      <x:c r="D275" s="76" t="str">
        <x:v>Inventory turnover</x:v>
      </x:c>
      <x:c r="E275" s="76" t="str">
        <x:v>Mandatory</x:v>
      </x:c>
      <x:c r="F275" s="170" t="n">
        <x:f>-LUCK!G85</x:f>
        <x:v>76520.37</x:v>
      </x:c>
      <x:c r="G275" s="170" t="n">
        <x:f>AVERAGE(LUCK!F65,LUCK!G65)</x:f>
        <x:v>21614.886</x:v>
      </x:c>
      <x:c r="H275" s="170" t="n">
        <x:f>IF(G275&lt;=0,"n/m",F275/G275)</x:f>
        <x:v>3.5401699550948362</x:v>
      </x:c>
      <x:c r="I275" s="170" t="n">
        <x:v>76520.37</x:v>
      </x:c>
      <x:c r="J275" s="170" t="n">
        <x:v>21614.886</x:v>
      </x:c>
      <x:c r="K275" s="170" t="n">
        <x:v>3.5401699550948362</x:v>
      </x:c>
      <x:c r="L275" s="177" t="n">
        <x:v>3.5401699550948362</x:v>
      </x:c>
      <x:c r="M275" s="177" t="n">
        <x:f>LUCK!G144</x:f>
        <x:v>3.5401699550948362</x:v>
      </x:c>
      <x:c r="N275" s="178" t="str">
        <x:f>IF(AND(ABS(F275-I275)&lt;0.000001,ABS(G275-J275)&lt;0.000001,IF(ISNUMBER(L275),IF(ISNUMBER(M275),ABS(L275-M275)&lt;0.00000001,FALSE),M275=L275)),"PASS","FAIL")</x:f>
        <x:v>PASS</x:v>
      </x:c>
      <x:c r="O275" s="99" t="str"/>
      <x:c r="P275" s="76" t="str">
        <x:v>Asset Management</x:v>
      </x:c>
    </x:row>
    <x:row r="276" ht="26" customHeight="1">
      <x:c r="A276" s="168" t="str">
        <x:v>LUCK</x:v>
      </x:c>
      <x:c r="B276" s="168" t="n">
        <x:v>2024</x:v>
      </x:c>
      <x:c r="C276" s="168" t="n">
        <x:v>7</x:v>
      </x:c>
      <x:c r="D276" s="168" t="str">
        <x:v>Receivables turnover</x:v>
      </x:c>
      <x:c r="E276" s="168" t="str">
        <x:v>Additional</x:v>
      </x:c>
      <x:c r="F276" s="169" t="n">
        <x:f>LUCK!G84</x:f>
        <x:v>115324.942</x:v>
      </x:c>
      <x:c r="G276" s="169" t="n">
        <x:f>AVERAGE(LUCK!F32,LUCK!G32)</x:f>
        <x:v>6011.073</x:v>
      </x:c>
      <x:c r="H276" s="169" t="n">
        <x:f>IF(G276&lt;=0,"n/m",F276/G276)</x:f>
        <x:v>19.185416979630755</x:v>
      </x:c>
      <x:c r="I276" s="169" t="n">
        <x:v>115324.942</x:v>
      </x:c>
      <x:c r="J276" s="169" t="n">
        <x:v>6011.073</x:v>
      </x:c>
      <x:c r="K276" s="169" t="n">
        <x:v>19.185416979630755</x:v>
      </x:c>
      <x:c r="L276" s="175" t="n">
        <x:v>19.185416979630755</x:v>
      </x:c>
      <x:c r="M276" s="175" t="n">
        <x:f>LUCK!G145</x:f>
        <x:v>19.185416979630755</x:v>
      </x:c>
      <x:c r="N276" s="176" t="str">
        <x:f>IF(AND(ABS(F276-I276)&lt;0.000001,ABS(G276-J276)&lt;0.000001,IF(ISNUMBER(L276),IF(ISNUMBER(M276),ABS(L276-M276)&lt;0.00000001,FALSE),M276=L276)),"PASS","FAIL")</x:f>
        <x:v>PASS</x:v>
      </x:c>
      <x:c r="O276" s="171" t="str"/>
      <x:c r="P276" s="168" t="str">
        <x:v>Asset Management</x:v>
      </x:c>
    </x:row>
    <x:row r="277" ht="26" customHeight="1">
      <x:c r="A277" s="76" t="str">
        <x:v>LUCK</x:v>
      </x:c>
      <x:c r="B277" s="76" t="n">
        <x:v>2024</x:v>
      </x:c>
      <x:c r="C277" s="76" t="n">
        <x:v>8</x:v>
      </x:c>
      <x:c r="D277" s="76" t="str">
        <x:v>Payables turnover</x:v>
      </x:c>
      <x:c r="E277" s="76" t="str">
        <x:v>Additional</x:v>
      </x:c>
      <x:c r="F277" s="170" t="n">
        <x:f>-LUCK!G85</x:f>
        <x:v>76520.37</x:v>
      </x:c>
      <x:c r="G277" s="170" t="n">
        <x:f>AVERAGE(LUCK!F51,LUCK!G51)</x:f>
        <x:v>6101.345</x:v>
      </x:c>
      <x:c r="H277" s="170" t="n">
        <x:f>IF(G277&lt;=0,"n/m",F277/G277)</x:f>
        <x:v>12.541557640159668</x:v>
      </x:c>
      <x:c r="I277" s="170" t="n">
        <x:v>76520.37</x:v>
      </x:c>
      <x:c r="J277" s="170" t="n">
        <x:v>6101.345</x:v>
      </x:c>
      <x:c r="K277" s="170" t="n">
        <x:v>12.541557640159668</x:v>
      </x:c>
      <x:c r="L277" s="177" t="n">
        <x:v>12.541557640159668</x:v>
      </x:c>
      <x:c r="M277" s="177" t="n">
        <x:f>LUCK!G146</x:f>
        <x:v>12.541557640159668</x:v>
      </x:c>
      <x:c r="N277" s="178" t="str">
        <x:f>IF(AND(ABS(F277-I277)&lt;0.000001,ABS(G277-J277)&lt;0.000001,IF(ISNUMBER(L277),IF(ISNUMBER(M277),ABS(L277-M277)&lt;0.00000001,FALSE),M277=L277)),"PASS","FAIL")</x:f>
        <x:v>PASS</x:v>
      </x:c>
      <x:c r="O277" s="99" t="str"/>
      <x:c r="P277" s="76" t="str">
        <x:v>Asset Management</x:v>
      </x:c>
    </x:row>
    <x:row r="278" ht="26" customHeight="1">
      <x:c r="A278" s="168" t="str">
        <x:v>LUCK</x:v>
      </x:c>
      <x:c r="B278" s="168" t="n">
        <x:v>2024</x:v>
      </x:c>
      <x:c r="C278" s="168" t="n">
        <x:v>9</x:v>
      </x:c>
      <x:c r="D278" s="168" t="str">
        <x:v>Days inventory outstanding</x:v>
      </x:c>
      <x:c r="E278" s="168" t="str">
        <x:v>Additional</x:v>
      </x:c>
      <x:c r="F278" s="169" t="n">
        <x:f>365*AVERAGE(LUCK!F65,LUCK!G65)</x:f>
        <x:v>7889433.39</x:v>
      </x:c>
      <x:c r="G278" s="169" t="n">
        <x:f>-LUCK!G85</x:f>
        <x:v>76520.37</x:v>
      </x:c>
      <x:c r="H278" s="169" t="n">
        <x:f>IF(G278&lt;=0,"n/m",F278/G278)</x:f>
        <x:v>103.10239469568691</x:v>
      </x:c>
      <x:c r="I278" s="169" t="n">
        <x:v>7889433.39</x:v>
      </x:c>
      <x:c r="J278" s="169" t="n">
        <x:v>76520.37</x:v>
      </x:c>
      <x:c r="K278" s="169" t="n">
        <x:v>103.10239469568691</x:v>
      </x:c>
      <x:c r="L278" s="175" t="n">
        <x:v>103.10239469568691</x:v>
      </x:c>
      <x:c r="M278" s="175" t="n">
        <x:f>LUCK!G147</x:f>
        <x:v>103.10239469568691</x:v>
      </x:c>
      <x:c r="N278" s="176" t="str">
        <x:f>IF(AND(ABS(F278-I278)&lt;0.000001,ABS(G278-J278)&lt;0.000001,IF(ISNUMBER(L278),IF(ISNUMBER(M278),ABS(L278-M278)&lt;0.00000001,FALSE),M278=L278)),"PASS","FAIL")</x:f>
        <x:v>PASS</x:v>
      </x:c>
      <x:c r="O278" s="171" t="str"/>
      <x:c r="P278" s="168" t="str">
        <x:v>Asset Management</x:v>
      </x:c>
    </x:row>
    <x:row r="279" ht="26" customHeight="1">
      <x:c r="A279" s="76" t="str">
        <x:v>LUCK</x:v>
      </x:c>
      <x:c r="B279" s="76" t="n">
        <x:v>2024</x:v>
      </x:c>
      <x:c r="C279" s="76" t="n">
        <x:v>10</x:v>
      </x:c>
      <x:c r="D279" s="76" t="str">
        <x:v>Days sales outstanding</x:v>
      </x:c>
      <x:c r="E279" s="76" t="str">
        <x:v>Mandatory</x:v>
      </x:c>
      <x:c r="F279" s="170" t="n">
        <x:f>365*AVERAGE(LUCK!F32,LUCK!G32)</x:f>
        <x:v>2194041.645</x:v>
      </x:c>
      <x:c r="G279" s="170" t="n">
        <x:f>LUCK!G84</x:f>
        <x:v>115324.942</x:v>
      </x:c>
      <x:c r="H279" s="170" t="n">
        <x:f>IF(G279&lt;=0,"n/m",F279/G279)</x:f>
        <x:v>19.024866667611246</x:v>
      </x:c>
      <x:c r="I279" s="170" t="n">
        <x:v>2194041.645</x:v>
      </x:c>
      <x:c r="J279" s="170" t="n">
        <x:v>115324.942</x:v>
      </x:c>
      <x:c r="K279" s="170" t="n">
        <x:v>19.024866667611246</x:v>
      </x:c>
      <x:c r="L279" s="177" t="n">
        <x:v>19.024866667611246</x:v>
      </x:c>
      <x:c r="M279" s="177" t="n">
        <x:f>LUCK!G148</x:f>
        <x:v>19.024866667611246</x:v>
      </x:c>
      <x:c r="N279" s="178" t="str">
        <x:f>IF(AND(ABS(F279-I279)&lt;0.000001,ABS(G279-J279)&lt;0.000001,IF(ISNUMBER(L279),IF(ISNUMBER(M279),ABS(L279-M279)&lt;0.00000001,FALSE),M279=L279)),"PASS","FAIL")</x:f>
        <x:v>PASS</x:v>
      </x:c>
      <x:c r="O279" s="99" t="str"/>
      <x:c r="P279" s="76" t="str">
        <x:v>Asset Management</x:v>
      </x:c>
    </x:row>
    <x:row r="280" ht="26" customHeight="1">
      <x:c r="A280" s="168" t="str">
        <x:v>LUCK</x:v>
      </x:c>
      <x:c r="B280" s="168" t="n">
        <x:v>2024</x:v>
      </x:c>
      <x:c r="C280" s="168" t="n">
        <x:v>11</x:v>
      </x:c>
      <x:c r="D280" s="168" t="str">
        <x:v>Days payables outstanding</x:v>
      </x:c>
      <x:c r="E280" s="168" t="str">
        <x:v>Additional</x:v>
      </x:c>
      <x:c r="F280" s="169" t="n">
        <x:f>365*AVERAGE(LUCK!F51,LUCK!G51)</x:f>
        <x:v>2226990.9250000003</x:v>
      </x:c>
      <x:c r="G280" s="169" t="n">
        <x:f>-LUCK!G85</x:f>
        <x:v>76520.37</x:v>
      </x:c>
      <x:c r="H280" s="169" t="n">
        <x:f>IF(G280&lt;=0,"n/m",F280/G280)</x:f>
        <x:v>29.103243031888116</x:v>
      </x:c>
      <x:c r="I280" s="169" t="n">
        <x:v>2226990.9250000003</x:v>
      </x:c>
      <x:c r="J280" s="169" t="n">
        <x:v>76520.37</x:v>
      </x:c>
      <x:c r="K280" s="169" t="n">
        <x:v>29.103243031888116</x:v>
      </x:c>
      <x:c r="L280" s="175" t="n">
        <x:v>29.103243031888116</x:v>
      </x:c>
      <x:c r="M280" s="175" t="n">
        <x:f>LUCK!G149</x:f>
        <x:v>29.103243031888116</x:v>
      </x:c>
      <x:c r="N280" s="176" t="str">
        <x:f>IF(AND(ABS(F280-I280)&lt;0.000001,ABS(G280-J280)&lt;0.000001,IF(ISNUMBER(L280),IF(ISNUMBER(M280),ABS(L280-M280)&lt;0.00000001,FALSE),M280=L280)),"PASS","FAIL")</x:f>
        <x:v>PASS</x:v>
      </x:c>
      <x:c r="O280" s="171" t="str"/>
      <x:c r="P280" s="168" t="str">
        <x:v>Asset Management</x:v>
      </x:c>
    </x:row>
    <x:row r="281" ht="26" customHeight="1">
      <x:c r="A281" s="76" t="str">
        <x:v>LUCK</x:v>
      </x:c>
      <x:c r="B281" s="76" t="n">
        <x:v>2024</x:v>
      </x:c>
      <x:c r="C281" s="76" t="n">
        <x:v>12</x:v>
      </x:c>
      <x:c r="D281" s="76" t="str">
        <x:v>Operating cycle (days)</x:v>
      </x:c>
      <x:c r="E281" s="76" t="str">
        <x:v>Additional</x:v>
      </x:c>
      <x:c r="F281" s="170" t="n">
        <x:f>365*AVERAGE(LUCK!F65,LUCK!G65)/(-LUCK!G85)+365*AVERAGE(LUCK!F32,LUCK!G32)/LUCK!G84</x:f>
        <x:v>122.12726136329816</x:v>
      </x:c>
      <x:c r="G281" s="170" t="n">
        <x:f>1</x:f>
        <x:v>1</x:v>
      </x:c>
      <x:c r="H281" s="170" t="n">
        <x:f>IF(G281&lt;=0,"n/m",F281/G281)</x:f>
        <x:v>122.12726136329816</x:v>
      </x:c>
      <x:c r="I281" s="170" t="n">
        <x:v>122.12726136329816</x:v>
      </x:c>
      <x:c r="J281" s="170" t="n">
        <x:v>1</x:v>
      </x:c>
      <x:c r="K281" s="170" t="n">
        <x:v>122.12726136329816</x:v>
      </x:c>
      <x:c r="L281" s="177" t="n">
        <x:v>122.12726136329816</x:v>
      </x:c>
      <x:c r="M281" s="177" t="n">
        <x:f>LUCK!G150</x:f>
        <x:v>122.12726136329816</x:v>
      </x:c>
      <x:c r="N281" s="178" t="str">
        <x:f>IF(AND(ABS(F281-I281)&lt;0.000001,ABS(G281-J281)&lt;0.000001,IF(ISNUMBER(L281),IF(ISNUMBER(M281),ABS(L281-M281)&lt;0.00000001,FALSE),M281=L281)),"PASS","FAIL")</x:f>
        <x:v>PASS</x:v>
      </x:c>
      <x:c r="O281" s="99" t="str"/>
      <x:c r="P281" s="76" t="str">
        <x:v>Asset Management</x:v>
      </x:c>
    </x:row>
    <x:row r="282" ht="26" customHeight="1">
      <x:c r="A282" s="168" t="str">
        <x:v>LUCK</x:v>
      </x:c>
      <x:c r="B282" s="168" t="n">
        <x:v>2024</x:v>
      </x:c>
      <x:c r="C282" s="168" t="n">
        <x:v>13</x:v>
      </x:c>
      <x:c r="D282" s="168" t="str">
        <x:v>Cash conversion cycle (days)</x:v>
      </x:c>
      <x:c r="E282" s="168" t="str">
        <x:v>Additional</x:v>
      </x:c>
      <x:c r="F282" s="169" t="n">
        <x:f>365*AVERAGE(LUCK!F65,LUCK!G65)/(-LUCK!G85)+365*AVERAGE(LUCK!F32,LUCK!G32)/LUCK!G84-365*AVERAGE(LUCK!F51,LUCK!G51)/(-LUCK!G85)</x:f>
        <x:v>93.02401833141005</x:v>
      </x:c>
      <x:c r="G282" s="169" t="n">
        <x:f>1</x:f>
        <x:v>1</x:v>
      </x:c>
      <x:c r="H282" s="169" t="n">
        <x:f>IF(G282&lt;=0,"n/m",F282/G282)</x:f>
        <x:v>93.02401833141005</x:v>
      </x:c>
      <x:c r="I282" s="169" t="n">
        <x:v>93.02401833141005</x:v>
      </x:c>
      <x:c r="J282" s="169" t="n">
        <x:v>1</x:v>
      </x:c>
      <x:c r="K282" s="169" t="n">
        <x:v>93.02401833141005</x:v>
      </x:c>
      <x:c r="L282" s="175" t="n">
        <x:v>93.02401833141005</x:v>
      </x:c>
      <x:c r="M282" s="175" t="n">
        <x:f>LUCK!G151</x:f>
        <x:v>93.02401833141005</x:v>
      </x:c>
      <x:c r="N282" s="176" t="str">
        <x:f>IF(AND(ABS(F282-I282)&lt;0.000001,ABS(G282-J282)&lt;0.000001,IF(ISNUMBER(L282),IF(ISNUMBER(M282),ABS(L282-M282)&lt;0.00000001,FALSE),M282=L282)),"PASS","FAIL")</x:f>
        <x:v>PASS</x:v>
      </x:c>
      <x:c r="O282" s="171" t="str"/>
      <x:c r="P282" s="168" t="str">
        <x:v>Asset Management</x:v>
      </x:c>
    </x:row>
    <x:row r="283" ht="26" customHeight="1">
      <x:c r="A283" s="76" t="str">
        <x:v>LUCK</x:v>
      </x:c>
      <x:c r="B283" s="76" t="n">
        <x:v>2024</x:v>
      </x:c>
      <x:c r="C283" s="76" t="n">
        <x:v>14</x:v>
      </x:c>
      <x:c r="D283" s="76" t="str">
        <x:v>Total asset turnover</x:v>
      </x:c>
      <x:c r="E283" s="76" t="str">
        <x:v>Mandatory</x:v>
      </x:c>
      <x:c r="F283" s="170" t="n">
        <x:f>LUCK!G84</x:f>
        <x:v>115324.942</x:v>
      </x:c>
      <x:c r="G283" s="170" t="n">
        <x:f>AVERAGE(LUCK!F37,LUCK!G37)</x:f>
        <x:v>223548.5785</x:v>
      </x:c>
      <x:c r="H283" s="170" t="n">
        <x:f>IF(G283&lt;=0,"n/m",F283/G283)</x:f>
        <x:v>0.5158831372305058</x:v>
      </x:c>
      <x:c r="I283" s="170" t="n">
        <x:v>115324.942</x:v>
      </x:c>
      <x:c r="J283" s="170" t="n">
        <x:v>223548.5785</x:v>
      </x:c>
      <x:c r="K283" s="170" t="n">
        <x:v>0.5158831372305058</x:v>
      </x:c>
      <x:c r="L283" s="177" t="n">
        <x:v>0.5158831372305058</x:v>
      </x:c>
      <x:c r="M283" s="177" t="n">
        <x:f>LUCK!G152</x:f>
        <x:v>0.5158831372305058</x:v>
      </x:c>
      <x:c r="N283" s="178" t="str">
        <x:f>IF(AND(ABS(F283-I283)&lt;0.000001,ABS(G283-J283)&lt;0.000001,IF(ISNUMBER(L283),IF(ISNUMBER(M283),ABS(L283-M283)&lt;0.00000001,FALSE),M283=L283)),"PASS","FAIL")</x:f>
        <x:v>PASS</x:v>
      </x:c>
      <x:c r="O283" s="99" t="str"/>
      <x:c r="P283" s="76" t="str">
        <x:v>Asset Management</x:v>
      </x:c>
    </x:row>
    <x:row r="284" ht="26" customHeight="1">
      <x:c r="A284" s="168" t="str">
        <x:v>LUCK</x:v>
      </x:c>
      <x:c r="B284" s="168" t="n">
        <x:v>2024</x:v>
      </x:c>
      <x:c r="C284" s="168" t="n">
        <x:v>15</x:v>
      </x:c>
      <x:c r="D284" s="168" t="str">
        <x:v>Fixed asset turnover</x:v>
      </x:c>
      <x:c r="E284" s="168" t="str">
        <x:v>Mandatory</x:v>
      </x:c>
      <x:c r="F284" s="169" t="n">
        <x:f>LUCK!G84</x:f>
        <x:v>115324.942</x:v>
      </x:c>
      <x:c r="G284" s="169" t="n">
        <x:f>AVERAGE(LUCK!F22,LUCK!G22)</x:f>
        <x:v>92841.9155</x:v>
      </x:c>
      <x:c r="H284" s="169" t="n">
        <x:f>IF(G284&lt;=0,"n/m",F284/G284)</x:f>
        <x:v>1.242164612598929</x:v>
      </x:c>
      <x:c r="I284" s="169" t="n">
        <x:v>115324.942</x:v>
      </x:c>
      <x:c r="J284" s="169" t="n">
        <x:v>92841.9155</x:v>
      </x:c>
      <x:c r="K284" s="169" t="n">
        <x:v>1.242164612598929</x:v>
      </x:c>
      <x:c r="L284" s="175" t="n">
        <x:v>1.242164612598929</x:v>
      </x:c>
      <x:c r="M284" s="175" t="n">
        <x:f>LUCK!G153</x:f>
        <x:v>1.242164612598929</x:v>
      </x:c>
      <x:c r="N284" s="176" t="str">
        <x:f>IF(AND(ABS(F284-I284)&lt;0.000001,ABS(G284-J284)&lt;0.000001,IF(ISNUMBER(L284),IF(ISNUMBER(M284),ABS(L284-M284)&lt;0.00000001,FALSE),M284=L284)),"PASS","FAIL")</x:f>
        <x:v>PASS</x:v>
      </x:c>
      <x:c r="O284" s="171" t="str"/>
      <x:c r="P284" s="168" t="str">
        <x:v>Asset Management</x:v>
      </x:c>
    </x:row>
    <x:row r="285" ht="26" customHeight="1">
      <x:c r="A285" s="76" t="str">
        <x:v>LUCK</x:v>
      </x:c>
      <x:c r="B285" s="76" t="n">
        <x:v>2024</x:v>
      </x:c>
      <x:c r="C285" s="76" t="n">
        <x:v>16</x:v>
      </x:c>
      <x:c r="D285" s="76" t="str">
        <x:v>Debt ratio</x:v>
      </x:c>
      <x:c r="E285" s="76" t="str">
        <x:v>Mandatory</x:v>
      </x:c>
      <x:c r="F285" s="170" t="n">
        <x:f>LUCK!G62</x:f>
        <x:v>86256.813</x:v>
      </x:c>
      <x:c r="G285" s="170" t="n">
        <x:f>LUCK!G37</x:f>
        <x:v>234018.09</x:v>
      </x:c>
      <x:c r="H285" s="170" t="n">
        <x:f>IF(G285&lt;=0,"n/m",F285/G285)</x:f>
        <x:v>0.3685903641039032</x:v>
      </x:c>
      <x:c r="I285" s="170" t="n">
        <x:v>86256.813</x:v>
      </x:c>
      <x:c r="J285" s="170" t="n">
        <x:v>234018.09</x:v>
      </x:c>
      <x:c r="K285" s="170" t="n">
        <x:v>0.3685903641039032</x:v>
      </x:c>
      <x:c r="L285" s="177" t="n">
        <x:v>0.3685903641039032</x:v>
      </x:c>
      <x:c r="M285" s="177" t="n">
        <x:f>LUCK!G155</x:f>
        <x:v>0.3685903641039032</x:v>
      </x:c>
      <x:c r="N285" s="178" t="str">
        <x:f>IF(AND(ABS(F285-I285)&lt;0.000001,ABS(G285-J285)&lt;0.000001,IF(ISNUMBER(L285),IF(ISNUMBER(M285),ABS(L285-M285)&lt;0.00000001,FALSE),M285=L285)),"PASS","FAIL")</x:f>
        <x:v>PASS</x:v>
      </x:c>
      <x:c r="O285" s="99" t="str"/>
      <x:c r="P285" s="76" t="str">
        <x:v>Debt Management</x:v>
      </x:c>
    </x:row>
    <x:row r="286" ht="26" customHeight="1">
      <x:c r="A286" s="168" t="str">
        <x:v>LUCK</x:v>
      </x:c>
      <x:c r="B286" s="168" t="n">
        <x:v>2024</x:v>
      </x:c>
      <x:c r="C286" s="168" t="n">
        <x:v>17</x:v>
      </x:c>
      <x:c r="D286" s="168" t="str">
        <x:v>Debt-to-equity</x:v>
      </x:c>
      <x:c r="E286" s="168" t="str">
        <x:v>Mandatory</x:v>
      </x:c>
      <x:c r="F286" s="169" t="n">
        <x:f>LUCK!G62</x:f>
        <x:v>86256.813</x:v>
      </x:c>
      <x:c r="G286" s="169" t="n">
        <x:f>LUCK!G41</x:f>
        <x:v>147761.277</x:v>
      </x:c>
      <x:c r="H286" s="169" t="n">
        <x:f>IF(G286&lt;=0,"n/m",F286/G286)</x:f>
        <x:v>0.5837579016050328</x:v>
      </x:c>
      <x:c r="I286" s="169" t="n">
        <x:v>86256.813</x:v>
      </x:c>
      <x:c r="J286" s="169" t="n">
        <x:v>147761.277</x:v>
      </x:c>
      <x:c r="K286" s="169" t="n">
        <x:v>0.5837579016050328</x:v>
      </x:c>
      <x:c r="L286" s="175" t="n">
        <x:v>0.5837579016050328</x:v>
      </x:c>
      <x:c r="M286" s="175" t="n">
        <x:f>LUCK!G156</x:f>
        <x:v>0.5837579016050328</x:v>
      </x:c>
      <x:c r="N286" s="176" t="str">
        <x:f>IF(AND(ABS(F286-I286)&lt;0.000001,ABS(G286-J286)&lt;0.000001,IF(ISNUMBER(L286),IF(ISNUMBER(M286),ABS(L286-M286)&lt;0.00000001,FALSE),M286=L286)),"PASS","FAIL")</x:f>
        <x:v>PASS</x:v>
      </x:c>
      <x:c r="O286" s="171" t="str"/>
      <x:c r="P286" s="168" t="str">
        <x:v>Debt Management</x:v>
      </x:c>
    </x:row>
    <x:row r="287" ht="26" customHeight="1">
      <x:c r="A287" s="76" t="str">
        <x:v>LUCK</x:v>
      </x:c>
      <x:c r="B287" s="76" t="n">
        <x:v>2024</x:v>
      </x:c>
      <x:c r="C287" s="76" t="n">
        <x:v>18</x:v>
      </x:c>
      <x:c r="D287" s="76" t="str">
        <x:v>Total debt-to-capital</x:v>
      </x:c>
      <x:c r="E287" s="76" t="str">
        <x:v>Additional</x:v>
      </x:c>
      <x:c r="F287" s="170" t="n">
        <x:f>LUCK!G66</x:f>
        <x:v>20344.784000000003</x:v>
      </x:c>
      <x:c r="G287" s="170" t="n">
        <x:f>LUCK!G66+LUCK!G41</x:f>
        <x:v>168106.06100000002</x:v>
      </x:c>
      <x:c r="H287" s="170" t="n">
        <x:f>IF(G287&lt;=0,"n/m",F287/G287)</x:f>
        <x:v>0.12102350075289672</x:v>
      </x:c>
      <x:c r="I287" s="170" t="n">
        <x:v>20344.784</x:v>
      </x:c>
      <x:c r="J287" s="170" t="n">
        <x:v>168106.061</x:v>
      </x:c>
      <x:c r="K287" s="170" t="n">
        <x:v>0.12102350075289671</x:v>
      </x:c>
      <x:c r="L287" s="177" t="n">
        <x:v>0.12102350075289671</x:v>
      </x:c>
      <x:c r="M287" s="177" t="n">
        <x:f>LUCK!G157</x:f>
        <x:v>0.12102350075289672</x:v>
      </x:c>
      <x:c r="N287" s="178" t="str">
        <x:f>IF(AND(ABS(F287-I287)&lt;0.000001,ABS(G287-J287)&lt;0.000001,IF(ISNUMBER(L287),IF(ISNUMBER(M287),ABS(L287-M287)&lt;0.00000001,FALSE),M287=L287)),"PASS","FAIL")</x:f>
        <x:v>PASS</x:v>
      </x:c>
      <x:c r="O287" s="99" t="str"/>
      <x:c r="P287" s="76" t="str">
        <x:v>Debt Management</x:v>
      </x:c>
    </x:row>
    <x:row r="288" ht="26" customHeight="1">
      <x:c r="A288" s="168" t="str">
        <x:v>LUCK</x:v>
      </x:c>
      <x:c r="B288" s="168" t="n">
        <x:v>2024</x:v>
      </x:c>
      <x:c r="C288" s="168" t="n">
        <x:v>19</x:v>
      </x:c>
      <x:c r="D288" s="168" t="str">
        <x:v>Long-term debt ratio</x:v>
      </x:c>
      <x:c r="E288" s="168" t="str">
        <x:v>Additional</x:v>
      </x:c>
      <x:c r="F288" s="169" t="n">
        <x:f>LUCK!G67</x:f>
        <x:v>12760.637</x:v>
      </x:c>
      <x:c r="G288" s="169" t="n">
        <x:f>LUCK!G37</x:f>
        <x:v>234018.09</x:v>
      </x:c>
      <x:c r="H288" s="169" t="n">
        <x:f>IF(G288&lt;=0,"n/m",F288/G288)</x:f>
        <x:v>0.054528421285721974</x:v>
      </x:c>
      <x:c r="I288" s="169" t="n">
        <x:v>12760.637</x:v>
      </x:c>
      <x:c r="J288" s="169" t="n">
        <x:v>234018.09</x:v>
      </x:c>
      <x:c r="K288" s="169" t="n">
        <x:v>0.054528421285721974</x:v>
      </x:c>
      <x:c r="L288" s="175" t="n">
        <x:v>0.054528421285721974</x:v>
      </x:c>
      <x:c r="M288" s="175" t="n">
        <x:f>LUCK!G158</x:f>
        <x:v>0.054528421285721974</x:v>
      </x:c>
      <x:c r="N288" s="176" t="str">
        <x:f>IF(AND(ABS(F288-I288)&lt;0.000001,ABS(G288-J288)&lt;0.000001,IF(ISNUMBER(L288),IF(ISNUMBER(M288),ABS(L288-M288)&lt;0.00000001,FALSE),M288=L288)),"PASS","FAIL")</x:f>
        <x:v>PASS</x:v>
      </x:c>
      <x:c r="O288" s="171" t="str"/>
      <x:c r="P288" s="168" t="str">
        <x:v>Debt Management</x:v>
      </x:c>
    </x:row>
    <x:row r="289" ht="26" customHeight="1">
      <x:c r="A289" s="76" t="str">
        <x:v>LUCK</x:v>
      </x:c>
      <x:c r="B289" s="76" t="n">
        <x:v>2024</x:v>
      </x:c>
      <x:c r="C289" s="76" t="n">
        <x:v>20</x:v>
      </x:c>
      <x:c r="D289" s="76" t="str">
        <x:v>Times interest earned</x:v>
      </x:c>
      <x:c r="E289" s="76" t="str">
        <x:v>Mandatory</x:v>
      </x:c>
      <x:c r="F289" s="170" t="n">
        <x:f>LUCK!G108</x:f>
        <x:v>42968.732</x:v>
      </x:c>
      <x:c r="G289" s="170" t="n">
        <x:f>LUCK!G106</x:f>
        <x:v>1560.5349999999999</x:v>
      </x:c>
      <x:c r="H289" s="170" t="n">
        <x:f>IF(G289&lt;=0,"n/m",F289/G289)</x:f>
        <x:v>27.534616013098077</x:v>
      </x:c>
      <x:c r="I289" s="170" t="n">
        <x:v>42968.731999999996</x:v>
      </x:c>
      <x:c r="J289" s="170" t="n">
        <x:v>1560.5349999999999</x:v>
      </x:c>
      <x:c r="K289" s="170" t="n">
        <x:v>27.534616013098073</x:v>
      </x:c>
      <x:c r="L289" s="177" t="n">
        <x:v>27.534616013098073</x:v>
      </x:c>
      <x:c r="M289" s="177" t="n">
        <x:f>LUCK!G159</x:f>
        <x:v>27.534616013098077</x:v>
      </x:c>
      <x:c r="N289" s="178" t="str">
        <x:f>IF(AND(ABS(F289-I289)&lt;0.000001,ABS(G289-J289)&lt;0.000001,IF(ISNUMBER(L289),IF(ISNUMBER(M289),ABS(L289-M289)&lt;0.00000001,FALSE),M289=L289)),"PASS","FAIL")</x:f>
        <x:v>PASS</x:v>
      </x:c>
      <x:c r="O289" s="99" t="str"/>
      <x:c r="P289" s="76" t="str">
        <x:v>Debt Management</x:v>
      </x:c>
    </x:row>
    <x:row r="290" ht="26" customHeight="1">
      <x:c r="A290" s="168" t="str">
        <x:v>LUCK</x:v>
      </x:c>
      <x:c r="B290" s="168" t="n">
        <x:v>2024</x:v>
      </x:c>
      <x:c r="C290" s="168" t="n">
        <x:v>21</x:v>
      </x:c>
      <x:c r="D290" s="168" t="str">
        <x:v>Gross profit margin</x:v>
      </x:c>
      <x:c r="E290" s="168" t="str">
        <x:v>Mandatory</x:v>
      </x:c>
      <x:c r="F290" s="169" t="n">
        <x:f>LUCK!G86</x:f>
        <x:v>38804.572</x:v>
      </x:c>
      <x:c r="G290" s="169" t="n">
        <x:f>LUCK!G84</x:f>
        <x:v>115324.942</x:v>
      </x:c>
      <x:c r="H290" s="169" t="n">
        <x:f>IF(G290&lt;=0,"n/m",F290/G290)</x:f>
        <x:v>0.3364803079632158</x:v>
      </x:c>
      <x:c r="I290" s="169" t="n">
        <x:v>38804.572</x:v>
      </x:c>
      <x:c r="J290" s="169" t="n">
        <x:v>115324.942</x:v>
      </x:c>
      <x:c r="K290" s="169" t="n">
        <x:v>0.3364803079632158</x:v>
      </x:c>
      <x:c r="L290" s="175" t="n">
        <x:v>0.3364803079632158</x:v>
      </x:c>
      <x:c r="M290" s="175" t="n">
        <x:f>LUCK!G161</x:f>
        <x:v>0.3364803079632158</x:v>
      </x:c>
      <x:c r="N290" s="176" t="str">
        <x:f>IF(AND(ABS(F290-I290)&lt;0.000001,ABS(G290-J290)&lt;0.000001,IF(ISNUMBER(L290),IF(ISNUMBER(M290),ABS(L290-M290)&lt;0.00000001,FALSE),M290=L290)),"PASS","FAIL")</x:f>
        <x:v>PASS</x:v>
      </x:c>
      <x:c r="O290" s="171" t="str"/>
      <x:c r="P290" s="168" t="str">
        <x:v>Profitability</x:v>
      </x:c>
    </x:row>
    <x:row r="291" ht="26" customHeight="1">
      <x:c r="A291" s="76" t="str">
        <x:v>LUCK</x:v>
      </x:c>
      <x:c r="B291" s="76" t="n">
        <x:v>2024</x:v>
      </x:c>
      <x:c r="C291" s="76" t="n">
        <x:v>22</x:v>
      </x:c>
      <x:c r="D291" s="76" t="str">
        <x:v>Operating margin</x:v>
      </x:c>
      <x:c r="E291" s="76" t="str">
        <x:v>Mandatory</x:v>
      </x:c>
      <x:c r="F291" s="170" t="n">
        <x:f>LUCK!G91</x:f>
        <x:v>26393.369</x:v>
      </x:c>
      <x:c r="G291" s="170" t="n">
        <x:f>LUCK!G84</x:f>
        <x:v>115324.942</x:v>
      </x:c>
      <x:c r="H291" s="170" t="n">
        <x:f>IF(G291&lt;=0,"n/m",F291/G291)</x:f>
        <x:v>0.22886089116784467</x:v>
      </x:c>
      <x:c r="I291" s="170" t="n">
        <x:v>26393.369</x:v>
      </x:c>
      <x:c r="J291" s="170" t="n">
        <x:v>115324.942</x:v>
      </x:c>
      <x:c r="K291" s="170" t="n">
        <x:v>0.22886089116784467</x:v>
      </x:c>
      <x:c r="L291" s="177" t="n">
        <x:v>0.22886089116784467</x:v>
      </x:c>
      <x:c r="M291" s="177" t="n">
        <x:f>LUCK!G162</x:f>
        <x:v>0.22886089116784467</x:v>
      </x:c>
      <x:c r="N291" s="178" t="str">
        <x:f>IF(AND(ABS(F291-I291)&lt;0.000001,ABS(G291-J291)&lt;0.000001,IF(ISNUMBER(L291),IF(ISNUMBER(M291),ABS(L291-M291)&lt;0.00000001,FALSE),M291=L291)),"PASS","FAIL")</x:f>
        <x:v>PASS</x:v>
      </x:c>
      <x:c r="O291" s="99" t="str"/>
      <x:c r="P291" s="76" t="str">
        <x:v>Profitability</x:v>
      </x:c>
    </x:row>
    <x:row r="292" ht="26" customHeight="1">
      <x:c r="A292" s="168" t="str">
        <x:v>LUCK</x:v>
      </x:c>
      <x:c r="B292" s="168" t="n">
        <x:v>2024</x:v>
      </x:c>
      <x:c r="C292" s="168" t="n">
        <x:v>23</x:v>
      </x:c>
      <x:c r="D292" s="168" t="str">
        <x:v>Net profit margin</x:v>
      </x:c>
      <x:c r="E292" s="168" t="str">
        <x:v>Mandatory</x:v>
      </x:c>
      <x:c r="F292" s="169" t="n">
        <x:f>LUCK!G99</x:f>
        <x:v>28106.539000000004</x:v>
      </x:c>
      <x:c r="G292" s="169" t="n">
        <x:f>LUCK!G84</x:f>
        <x:v>115324.942</x:v>
      </x:c>
      <x:c r="H292" s="169" t="n">
        <x:f>IF(G292&lt;=0,"n/m",F292/G292)</x:f>
        <x:v>0.24371604713228476</x:v>
      </x:c>
      <x:c r="I292" s="169" t="n">
        <x:v>28106.538999999997</x:v>
      </x:c>
      <x:c r="J292" s="169" t="n">
        <x:v>115324.942</x:v>
      </x:c>
      <x:c r="K292" s="169" t="n">
        <x:v>0.2437160471322847</x:v>
      </x:c>
      <x:c r="L292" s="175" t="n">
        <x:v>0.2437160471322847</x:v>
      </x:c>
      <x:c r="M292" s="175" t="n">
        <x:f>LUCK!G163</x:f>
        <x:v>0.24371604713228476</x:v>
      </x:c>
      <x:c r="N292" s="176" t="str">
        <x:f>IF(AND(ABS(F292-I292)&lt;0.000001,ABS(G292-J292)&lt;0.000001,IF(ISNUMBER(L292),IF(ISNUMBER(M292),ABS(L292-M292)&lt;0.00000001,FALSE),M292=L292)),"PASS","FAIL")</x:f>
        <x:v>PASS</x:v>
      </x:c>
      <x:c r="O292" s="171" t="str"/>
      <x:c r="P292" s="168" t="str">
        <x:v>Profitability</x:v>
      </x:c>
    </x:row>
    <x:row r="293" ht="26" customHeight="1">
      <x:c r="A293" s="76" t="str">
        <x:v>LUCK</x:v>
      </x:c>
      <x:c r="B293" s="76" t="n">
        <x:v>2024</x:v>
      </x:c>
      <x:c r="C293" s="76" t="n">
        <x:v>24</x:v>
      </x:c>
      <x:c r="D293" s="76" t="str">
        <x:v>Return on assets</x:v>
      </x:c>
      <x:c r="E293" s="76" t="str">
        <x:v>Mandatory</x:v>
      </x:c>
      <x:c r="F293" s="170" t="n">
        <x:f>LUCK!G99</x:f>
        <x:v>28106.539000000004</x:v>
      </x:c>
      <x:c r="G293" s="170" t="n">
        <x:f>AVERAGE(LUCK!F37,LUCK!G37)</x:f>
        <x:v>223548.5785</x:v>
      </x:c>
      <x:c r="H293" s="170" t="n">
        <x:f>IF(G293&lt;=0,"n/m",F293/G293)</x:f>
        <x:v>0.12572899898802087</x:v>
      </x:c>
      <x:c r="I293" s="170" t="n">
        <x:v>28106.538999999997</x:v>
      </x:c>
      <x:c r="J293" s="170" t="n">
        <x:v>223548.5785</x:v>
      </x:c>
      <x:c r="K293" s="170" t="n">
        <x:v>0.12572899898802084</x:v>
      </x:c>
      <x:c r="L293" s="177" t="n">
        <x:v>0.12572899898802084</x:v>
      </x:c>
      <x:c r="M293" s="177" t="n">
        <x:f>LUCK!G164</x:f>
        <x:v>0.12572899898802087</x:v>
      </x:c>
      <x:c r="N293" s="178" t="str">
        <x:f>IF(AND(ABS(F293-I293)&lt;0.000001,ABS(G293-J293)&lt;0.000001,IF(ISNUMBER(L293),IF(ISNUMBER(M293),ABS(L293-M293)&lt;0.00000001,FALSE),M293=L293)),"PASS","FAIL")</x:f>
        <x:v>PASS</x:v>
      </x:c>
      <x:c r="O293" s="99" t="str"/>
      <x:c r="P293" s="76" t="str">
        <x:v>Profitability</x:v>
      </x:c>
    </x:row>
    <x:row r="294" ht="26" customHeight="1">
      <x:c r="A294" s="168" t="str">
        <x:v>LUCK</x:v>
      </x:c>
      <x:c r="B294" s="168" t="n">
        <x:v>2024</x:v>
      </x:c>
      <x:c r="C294" s="168" t="n">
        <x:v>25</x:v>
      </x:c>
      <x:c r="D294" s="168" t="str">
        <x:v>Return on equity</x:v>
      </x:c>
      <x:c r="E294" s="168" t="str">
        <x:v>Mandatory</x:v>
      </x:c>
      <x:c r="F294" s="169" t="n">
        <x:f>LUCK!G99</x:f>
        <x:v>28106.539000000004</x:v>
      </x:c>
      <x:c r="G294" s="169" t="n">
        <x:f>AVERAGE(LUCK!F41,LUCK!G41)</x:f>
        <x:v>142563.8015</x:v>
      </x:c>
      <x:c r="H294" s="169" t="n">
        <x:f>IF(G294&lt;=0,"n/m",F294/G294)</x:f>
        <x:v>0.19715059997190104</x:v>
      </x:c>
      <x:c r="I294" s="169" t="n">
        <x:v>28106.538999999997</x:v>
      </x:c>
      <x:c r="J294" s="169" t="n">
        <x:v>142563.8015</x:v>
      </x:c>
      <x:c r="K294" s="169" t="n">
        <x:v>0.19715059997190099</x:v>
      </x:c>
      <x:c r="L294" s="175" t="n">
        <x:v>0.19715059997190099</x:v>
      </x:c>
      <x:c r="M294" s="175" t="n">
        <x:f>LUCK!G165</x:f>
        <x:v>0.19715059997190104</x:v>
      </x:c>
      <x:c r="N294" s="176" t="str">
        <x:f>IF(AND(ABS(F294-I294)&lt;0.000001,ABS(G294-J294)&lt;0.000001,IF(ISNUMBER(L294),IF(ISNUMBER(M294),ABS(L294-M294)&lt;0.00000001,FALSE),M294=L294)),"PASS","FAIL")</x:f>
        <x:v>PASS</x:v>
      </x:c>
      <x:c r="O294" s="171" t="str"/>
      <x:c r="P294" s="168" t="str">
        <x:v>Profitability</x:v>
      </x:c>
    </x:row>
    <x:row r="295" ht="26" customHeight="1">
      <x:c r="A295" s="76" t="str">
        <x:v>LUCK</x:v>
      </x:c>
      <x:c r="B295" s="76" t="n">
        <x:v>2024</x:v>
      </x:c>
      <x:c r="C295" s="76" t="n">
        <x:v>26</x:v>
      </x:c>
      <x:c r="D295" s="76" t="str">
        <x:v>Return on invested capital</x:v>
      </x:c>
      <x:c r="E295" s="76" t="str">
        <x:v>Additional</x:v>
      </x:c>
      <x:c r="F295" s="170" t="n">
        <x:f>LUCK!G113</x:f>
        <x:v>29180.319521548747</x:v>
      </x:c>
      <x:c r="G295" s="170" t="n">
        <x:f>AVERAGE(LUCK!F70,LUCK!G70)</x:f>
        <x:v>163257.16700000002</x:v>
      </x:c>
      <x:c r="H295" s="170" t="n">
        <x:f>IF(G295&lt;=0,"n/m",F295/G295)</x:f>
        <x:v>0.1787383675569278</x:v>
      </x:c>
      <x:c r="I295" s="170" t="n">
        <x:v>29180.319521548743</x:v>
      </x:c>
      <x:c r="J295" s="170" t="n">
        <x:v>163257.167</x:v>
      </x:c>
      <x:c r="K295" s="170" t="n">
        <x:v>0.17873836755692782</x:v>
      </x:c>
      <x:c r="L295" s="177" t="n">
        <x:v>0.17873836755692782</x:v>
      </x:c>
      <x:c r="M295" s="177" t="n">
        <x:f>LUCK!G166</x:f>
        <x:v>0.1787383675569278</x:v>
      </x:c>
      <x:c r="N295" s="178" t="str">
        <x:f>IF(AND(ABS(F295-I295)&lt;0.000001,ABS(G295-J295)&lt;0.000001,IF(ISNUMBER(L295),IF(ISNUMBER(M295),ABS(L295-M295)&lt;0.00000001,FALSE),M295=L295)),"PASS","FAIL")</x:f>
        <x:v>PASS</x:v>
      </x:c>
      <x:c r="O295" s="99" t="str"/>
      <x:c r="P295" s="76" t="str">
        <x:v>Profitability</x:v>
      </x:c>
    </x:row>
    <x:row r="296" ht="26" customHeight="1">
      <x:c r="A296" s="168" t="str">
        <x:v>LUCK</x:v>
      </x:c>
      <x:c r="B296" s="168" t="n">
        <x:v>2024</x:v>
      </x:c>
      <x:c r="C296" s="168" t="n">
        <x:v>27</x:v>
      </x:c>
      <x:c r="D296" s="168" t="str">
        <x:v>Basic earning power</x:v>
      </x:c>
      <x:c r="E296" s="168" t="str">
        <x:v>Additional</x:v>
      </x:c>
      <x:c r="F296" s="169" t="n">
        <x:f>LUCK!G108</x:f>
        <x:v>42968.732</x:v>
      </x:c>
      <x:c r="G296" s="169" t="n">
        <x:f>AVERAGE(LUCK!F37,LUCK!G37)</x:f>
        <x:v>223548.5785</x:v>
      </x:c>
      <x:c r="H296" s="169" t="n">
        <x:f>IF(G296&lt;=0,"n/m",F296/G296)</x:f>
        <x:v>0.19221205649491527</x:v>
      </x:c>
      <x:c r="I296" s="169" t="n">
        <x:v>42968.731999999996</x:v>
      </x:c>
      <x:c r="J296" s="169" t="n">
        <x:v>223548.5785</x:v>
      </x:c>
      <x:c r="K296" s="169" t="n">
        <x:v>0.19221205649491524</x:v>
      </x:c>
      <x:c r="L296" s="175" t="n">
        <x:v>0.19221205649491524</x:v>
      </x:c>
      <x:c r="M296" s="175" t="n">
        <x:f>LUCK!G167</x:f>
        <x:v>0.19221205649491527</x:v>
      </x:c>
      <x:c r="N296" s="176" t="str">
        <x:f>IF(AND(ABS(F296-I296)&lt;0.000001,ABS(G296-J296)&lt;0.000001,IF(ISNUMBER(L296),IF(ISNUMBER(M296),ABS(L296-M296)&lt;0.00000001,FALSE),M296=L296)),"PASS","FAIL")</x:f>
        <x:v>PASS</x:v>
      </x:c>
      <x:c r="O296" s="171" t="str"/>
      <x:c r="P296" s="168" t="str">
        <x:v>Profitability</x:v>
      </x:c>
    </x:row>
    <x:row r="297" ht="26" customHeight="1">
      <x:c r="A297" s="76" t="str">
        <x:v>LUCK</x:v>
      </x:c>
      <x:c r="B297" s="76" t="n">
        <x:v>2024</x:v>
      </x:c>
      <x:c r="C297" s="76" t="n">
        <x:v>28</x:v>
      </x:c>
      <x:c r="D297" s="76" t="str">
        <x:v>Book value per share (Rs)</x:v>
      </x:c>
      <x:c r="E297" s="76" t="str">
        <x:v>Additional</x:v>
      </x:c>
      <x:c r="F297" s="170" t="n">
        <x:f>LUCK!G41</x:f>
        <x:v>147761.277</x:v>
      </x:c>
      <x:c r="G297" s="170" t="n">
        <x:f>LUCK!G128</x:f>
        <x:v>293</x:v>
      </x:c>
      <x:c r="H297" s="170" t="n">
        <x:f>IF(G297&lt;=0,"n/m",F297/G297)</x:f>
        <x:v>504.3046996587031</x:v>
      </x:c>
      <x:c r="I297" s="170" t="n">
        <x:v>147761.277</x:v>
      </x:c>
      <x:c r="J297" s="170" t="n">
        <x:v>293</x:v>
      </x:c>
      <x:c r="K297" s="170" t="n">
        <x:v>504.3046996587031</x:v>
      </x:c>
      <x:c r="L297" s="177" t="n">
        <x:v>504.3046996587031</x:v>
      </x:c>
      <x:c r="M297" s="177" t="n">
        <x:f>LUCK!G169</x:f>
        <x:v>504.3046996587031</x:v>
      </x:c>
      <x:c r="N297" s="178" t="str">
        <x:f>IF(AND(ABS(F297-I297)&lt;0.000001,ABS(G297-J297)&lt;0.000001,IF(ISNUMBER(L297),IF(ISNUMBER(M297),ABS(L297-M297)&lt;0.00000001,FALSE),M297=L297)),"PASS","FAIL")</x:f>
        <x:v>PASS</x:v>
      </x:c>
      <x:c r="O297" s="99" t="str"/>
      <x:c r="P297" s="76" t="str">
        <x:v>Market Value</x:v>
      </x:c>
    </x:row>
    <x:row r="298" ht="26" customHeight="1">
      <x:c r="A298" s="168" t="str">
        <x:v>LUCK</x:v>
      </x:c>
      <x:c r="B298" s="168" t="n">
        <x:v>2024</x:v>
      </x:c>
      <x:c r="C298" s="168" t="n">
        <x:v>29</x:v>
      </x:c>
      <x:c r="D298" s="168" t="str">
        <x:v>Market-to-book ratio</x:v>
      </x:c>
      <x:c r="E298" s="168" t="str">
        <x:v>Mandatory</x:v>
      </x:c>
      <x:c r="F298" s="169" t="n">
        <x:f>LUCK!G130</x:f>
        <x:v>906.73</x:v>
      </x:c>
      <x:c r="G298" s="169" t="n">
        <x:f>LUCK!G41/LUCK!G128</x:f>
        <x:v>504.3046996587031</x:v>
      </x:c>
      <x:c r="H298" s="169" t="n">
        <x:f>IF(G298&lt;=0,"n/m",F298/G298)</x:f>
        <x:v>1.7979804681845026</x:v>
      </x:c>
      <x:c r="I298" s="169" t="n">
        <x:v>906.73</x:v>
      </x:c>
      <x:c r="J298" s="169" t="n">
        <x:v>504.3046996587031</x:v>
      </x:c>
      <x:c r="K298" s="169" t="n">
        <x:v>1.7979804681845026</x:v>
      </x:c>
      <x:c r="L298" s="175" t="n">
        <x:v>1.7979804681845026</x:v>
      </x:c>
      <x:c r="M298" s="175" t="n">
        <x:f>LUCK!G170</x:f>
        <x:v>1.7979804681845026</x:v>
      </x:c>
      <x:c r="N298" s="176" t="str">
        <x:f>IF(AND(ABS(F298-I298)&lt;0.000001,ABS(G298-J298)&lt;0.000001,IF(ISNUMBER(L298),IF(ISNUMBER(M298),ABS(L298-M298)&lt;0.00000001,FALSE),M298=L298)),"PASS","FAIL")</x:f>
        <x:v>PASS</x:v>
      </x:c>
      <x:c r="O298" s="171" t="str"/>
      <x:c r="P298" s="168" t="str">
        <x:v>Market Value</x:v>
      </x:c>
    </x:row>
    <x:row r="299" ht="26" customHeight="1">
      <x:c r="A299" s="76" t="str">
        <x:v>LUCK</x:v>
      </x:c>
      <x:c r="B299" s="76" t="n">
        <x:v>2024</x:v>
      </x:c>
      <x:c r="C299" s="76" t="n">
        <x:v>30</x:v>
      </x:c>
      <x:c r="D299" s="76" t="str">
        <x:v>Earnings per share (Rs)</x:v>
      </x:c>
      <x:c r="E299" s="76" t="str">
        <x:v>Mandatory</x:v>
      </x:c>
      <x:c r="F299" s="170" t="n">
        <x:f>LUCK!G99</x:f>
        <x:v>28106.539000000004</x:v>
      </x:c>
      <x:c r="G299" s="170" t="n">
        <x:f>LUCK!G129</x:f>
        <x:v>297.296</x:v>
      </x:c>
      <x:c r="H299" s="170" t="n">
        <x:f>IF(G299&lt;=0,"n/m",F299/G299)</x:f>
        <x:v>94.54058917711643</x:v>
      </x:c>
      <x:c r="I299" s="170" t="n">
        <x:v>28106.538999999997</x:v>
      </x:c>
      <x:c r="J299" s="170" t="n">
        <x:v>297.296</x:v>
      </x:c>
      <x:c r="K299" s="170" t="n">
        <x:v>94.5405891771164</x:v>
      </x:c>
      <x:c r="L299" s="177" t="n">
        <x:v>94.5405891771164</x:v>
      </x:c>
      <x:c r="M299" s="177" t="n">
        <x:f>LUCK!G171</x:f>
        <x:v>94.54058917711643</x:v>
      </x:c>
      <x:c r="N299" s="178" t="str">
        <x:f>IF(AND(ABS(F299-I299)&lt;0.000001,ABS(G299-J299)&lt;0.000001,IF(ISNUMBER(L299),IF(ISNUMBER(M299),ABS(L299-M299)&lt;0.00000001,FALSE),M299=L299)),"PASS","FAIL")</x:f>
        <x:v>PASS</x:v>
      </x:c>
      <x:c r="O299" s="99" t="str"/>
      <x:c r="P299" s="76" t="str">
        <x:v>Market Value</x:v>
      </x:c>
    </x:row>
    <x:row r="300" ht="26" customHeight="1">
      <x:c r="A300" s="168" t="str">
        <x:v>LUCK</x:v>
      </x:c>
      <x:c r="B300" s="168" t="n">
        <x:v>2024</x:v>
      </x:c>
      <x:c r="C300" s="168" t="n">
        <x:v>31</x:v>
      </x:c>
      <x:c r="D300" s="168" t="str">
        <x:v>Price-to-earnings ratio</x:v>
      </x:c>
      <x:c r="E300" s="168" t="str">
        <x:v>Mandatory</x:v>
      </x:c>
      <x:c r="F300" s="169" t="n">
        <x:f>LUCK!G130</x:f>
        <x:v>906.73</x:v>
      </x:c>
      <x:c r="G300" s="169" t="n">
        <x:f>LUCK!G99/LUCK!G129</x:f>
        <x:v>94.54058917711643</x:v>
      </x:c>
      <x:c r="H300" s="169" t="n">
        <x:f>IF(G300&lt;=0,"n/m",F300/G300)</x:f>
        <x:v>9.590907015623658</x:v>
      </x:c>
      <x:c r="I300" s="169" t="n">
        <x:v>906.73</x:v>
      </x:c>
      <x:c r="J300" s="169" t="n">
        <x:v>94.5405891771164</x:v>
      </x:c>
      <x:c r="K300" s="169" t="n">
        <x:v>9.59090701562366</x:v>
      </x:c>
      <x:c r="L300" s="175" t="n">
        <x:v>9.59090701562366</x:v>
      </x:c>
      <x:c r="M300" s="175" t="n">
        <x:f>LUCK!G172</x:f>
        <x:v>9.590907015623658</x:v>
      </x:c>
      <x:c r="N300" s="176" t="str">
        <x:f>IF(AND(ABS(F300-I300)&lt;0.000001,ABS(G300-J300)&lt;0.000001,IF(ISNUMBER(L300),IF(ISNUMBER(M300),ABS(L300-M300)&lt;0.00000001,FALSE),M300=L300)),"PASS","FAIL")</x:f>
        <x:v>PASS</x:v>
      </x:c>
      <x:c r="O300" s="171" t="str"/>
      <x:c r="P300" s="168" t="str">
        <x:v>Market Value</x:v>
      </x:c>
    </x:row>
    <x:row r="301" ht="26" customHeight="1">
      <x:c r="A301" s="76" t="str">
        <x:v>LUCK</x:v>
      </x:c>
      <x:c r="B301" s="76" t="n">
        <x:v>2024</x:v>
      </x:c>
      <x:c r="C301" s="76" t="n">
        <x:v>32</x:v>
      </x:c>
      <x:c r="D301" s="76" t="str">
        <x:v>Dividend yield</x:v>
      </x:c>
      <x:c r="E301" s="76" t="str">
        <x:v>Mandatory</x:v>
      </x:c>
      <x:c r="F301" s="170" t="n">
        <x:f>LUCK!G131</x:f>
        <x:v>15</x:v>
      </x:c>
      <x:c r="G301" s="170" t="n">
        <x:f>LUCK!G130</x:f>
        <x:v>906.73</x:v>
      </x:c>
      <x:c r="H301" s="170" t="n">
        <x:f>IF(G301&lt;=0,"n/m",F301/G301)</x:f>
        <x:v>0.016542962072502287</x:v>
      </x:c>
      <x:c r="I301" s="170" t="n">
        <x:v>15</x:v>
      </x:c>
      <x:c r="J301" s="170" t="n">
        <x:v>906.73</x:v>
      </x:c>
      <x:c r="K301" s="170" t="n">
        <x:v>0.016542962072502287</x:v>
      </x:c>
      <x:c r="L301" s="177" t="n">
        <x:v>0.016542962072502287</x:v>
      </x:c>
      <x:c r="M301" s="177" t="n">
        <x:f>LUCK!G173</x:f>
        <x:v>0.016542962072502287</x:v>
      </x:c>
      <x:c r="N301" s="178" t="str">
        <x:f>IF(AND(ABS(F301-I301)&lt;0.000001,ABS(G301-J301)&lt;0.000001,IF(ISNUMBER(L301),IF(ISNUMBER(M301),ABS(L301-M301)&lt;0.00000001,FALSE),M301=L301)),"PASS","FAIL")</x:f>
        <x:v>PASS</x:v>
      </x:c>
      <x:c r="O301" s="99" t="str"/>
      <x:c r="P301" s="76" t="str">
        <x:v>Market Value</x:v>
      </x:c>
    </x:row>
    <x:row r="302" ht="26" customHeight="1">
      <x:c r="A302" s="168" t="str">
        <x:v>LUCK</x:v>
      </x:c>
      <x:c r="B302" s="168" t="n">
        <x:v>2024</x:v>
      </x:c>
      <x:c r="C302" s="168" t="n">
        <x:v>33</x:v>
      </x:c>
      <x:c r="D302" s="168" t="str">
        <x:v>Dividend payout ratio</x:v>
      </x:c>
      <x:c r="E302" s="168" t="str">
        <x:v>Additional</x:v>
      </x:c>
      <x:c r="F302" s="169" t="n">
        <x:f>LUCK!G131</x:f>
        <x:v>15</x:v>
      </x:c>
      <x:c r="G302" s="169" t="n">
        <x:f>LUCK!G99/LUCK!G129</x:f>
        <x:v>94.54058917711643</x:v>
      </x:c>
      <x:c r="H302" s="169" t="n">
        <x:f>IF(G302&lt;=0,"n/m",F302/G302)</x:f>
        <x:v>0.1586620110003583</x:v>
      </x:c>
      <x:c r="I302" s="169" t="n">
        <x:v>15</x:v>
      </x:c>
      <x:c r="J302" s="169" t="n">
        <x:v>94.5405891771164</x:v>
      </x:c>
      <x:c r="K302" s="169" t="n">
        <x:v>0.15866201100035832</x:v>
      </x:c>
      <x:c r="L302" s="175" t="n">
        <x:v>0.15866201100035832</x:v>
      </x:c>
      <x:c r="M302" s="175" t="n">
        <x:f>LUCK!G174</x:f>
        <x:v>0.1586620110003583</x:v>
      </x:c>
      <x:c r="N302" s="176" t="str">
        <x:f>IF(AND(ABS(F302-I302)&lt;0.000001,ABS(G302-J302)&lt;0.000001,IF(ISNUMBER(L302),IF(ISNUMBER(M302),ABS(L302-M302)&lt;0.00000001,FALSE),M302=L302)),"PASS","FAIL")</x:f>
        <x:v>PASS</x:v>
      </x:c>
      <x:c r="O302" s="171" t="str"/>
      <x:c r="P302" s="168" t="str">
        <x:v>Market Value</x:v>
      </x:c>
    </x:row>
    <x:row r="303" ht="26" customHeight="1">
      <x:c r="A303" s="76" t="str">
        <x:v>LUCK</x:v>
      </x:c>
      <x:c r="B303" s="76" t="n">
        <x:v>2025</x:v>
      </x:c>
      <x:c r="C303" s="76" t="n">
        <x:v>1</x:v>
      </x:c>
      <x:c r="D303" s="76" t="str">
        <x:v>Current ratio</x:v>
      </x:c>
      <x:c r="E303" s="76" t="str">
        <x:v>Mandatory</x:v>
      </x:c>
      <x:c r="F303" s="170" t="n">
        <x:f>LUCK!H36</x:f>
        <x:v>100547.35900000001</x:v>
      </x:c>
      <x:c r="G303" s="170" t="n">
        <x:f>LUCK!H61</x:f>
        <x:v>58641.383</x:v>
      </x:c>
      <x:c r="H303" s="170" t="n">
        <x:f>IF(G303&lt;=0,"n/m",F303/G303)</x:f>
        <x:v>1.7146143875904156</x:v>
      </x:c>
      <x:c r="I303" s="170" t="n">
        <x:v>100547.35900000001</x:v>
      </x:c>
      <x:c r="J303" s="170" t="n">
        <x:v>58641.383</x:v>
      </x:c>
      <x:c r="K303" s="170" t="n">
        <x:v>1.7146143875904156</x:v>
      </x:c>
      <x:c r="L303" s="177" t="n">
        <x:v>1.7146143875904156</x:v>
      </x:c>
      <x:c r="M303" s="177" t="n">
        <x:f>LUCK!H138</x:f>
        <x:v>1.7146143875904156</x:v>
      </x:c>
      <x:c r="N303" s="178" t="str">
        <x:f>IF(AND(ABS(F303-I303)&lt;0.000001,ABS(G303-J303)&lt;0.000001,IF(ISNUMBER(L303),IF(ISNUMBER(M303),ABS(L303-M303)&lt;0.00000001,FALSE),M303=L303)),"PASS","FAIL")</x:f>
        <x:v>PASS</x:v>
      </x:c>
      <x:c r="O303" s="99" t="str"/>
      <x:c r="P303" s="76" t="str">
        <x:v>Liquidity</x:v>
      </x:c>
    </x:row>
    <x:row r="304" ht="26" customHeight="1">
      <x:c r="A304" s="168" t="str">
        <x:v>LUCK</x:v>
      </x:c>
      <x:c r="B304" s="168" t="n">
        <x:v>2025</x:v>
      </x:c>
      <x:c r="C304" s="168" t="n">
        <x:v>2</x:v>
      </x:c>
      <x:c r="D304" s="168" t="str">
        <x:v>Quick ratio</x:v>
      </x:c>
      <x:c r="E304" s="168" t="str">
        <x:v>Mandatory</x:v>
      </x:c>
      <x:c r="F304" s="169" t="n">
        <x:f>LUCK!H36-LUCK!H65</x:f>
        <x:v>75877.652</x:v>
      </x:c>
      <x:c r="G304" s="169" t="n">
        <x:f>LUCK!H61</x:f>
        <x:v>58641.383</x:v>
      </x:c>
      <x:c r="H304" s="169" t="n">
        <x:f>IF(G304&lt;=0,"n/m",F304/G304)</x:f>
        <x:v>1.2939267138361998</x:v>
      </x:c>
      <x:c r="I304" s="169" t="n">
        <x:v>75877.652</x:v>
      </x:c>
      <x:c r="J304" s="169" t="n">
        <x:v>58641.383</x:v>
      </x:c>
      <x:c r="K304" s="169" t="n">
        <x:v>1.2939267138361998</x:v>
      </x:c>
      <x:c r="L304" s="175" t="n">
        <x:v>1.2939267138361998</x:v>
      </x:c>
      <x:c r="M304" s="175" t="n">
        <x:f>LUCK!H139</x:f>
        <x:v>1.2939267138361998</x:v>
      </x:c>
      <x:c r="N304" s="176" t="str">
        <x:f>IF(AND(ABS(F304-I304)&lt;0.000001,ABS(G304-J304)&lt;0.000001,IF(ISNUMBER(L304),IF(ISNUMBER(M304),ABS(L304-M304)&lt;0.00000001,FALSE),M304=L304)),"PASS","FAIL")</x:f>
        <x:v>PASS</x:v>
      </x:c>
      <x:c r="O304" s="171" t="str"/>
      <x:c r="P304" s="168" t="str">
        <x:v>Liquidity</x:v>
      </x:c>
    </x:row>
    <x:row r="305" ht="26" customHeight="1">
      <x:c r="A305" s="76" t="str">
        <x:v>LUCK</x:v>
      </x:c>
      <x:c r="B305" s="76" t="n">
        <x:v>2025</x:v>
      </x:c>
      <x:c r="C305" s="76" t="n">
        <x:v>3</x:v>
      </x:c>
      <x:c r="D305" s="76" t="str">
        <x:v>Cash ratio</x:v>
      </x:c>
      <x:c r="E305" s="76" t="str">
        <x:v>Mandatory</x:v>
      </x:c>
      <x:c r="F305" s="170" t="n">
        <x:f>LUCK!H34</x:f>
        <x:v>2790.323</x:v>
      </x:c>
      <x:c r="G305" s="170" t="n">
        <x:f>LUCK!H61</x:f>
        <x:v>58641.383</x:v>
      </x:c>
      <x:c r="H305" s="170" t="n">
        <x:f>IF(G305&lt;=0,"n/m",F305/G305)</x:f>
        <x:v>0.04758283071188822</x:v>
      </x:c>
      <x:c r="I305" s="170" t="n">
        <x:v>2790.323</x:v>
      </x:c>
      <x:c r="J305" s="170" t="n">
        <x:v>58641.383</x:v>
      </x:c>
      <x:c r="K305" s="170" t="n">
        <x:v>0.04758283071188822</x:v>
      </x:c>
      <x:c r="L305" s="177" t="n">
        <x:v>0.04758283071188822</x:v>
      </x:c>
      <x:c r="M305" s="177" t="n">
        <x:f>LUCK!H140</x:f>
        <x:v>0.04758283071188822</x:v>
      </x:c>
      <x:c r="N305" s="178" t="str">
        <x:f>IF(AND(ABS(F305-I305)&lt;0.000001,ABS(G305-J305)&lt;0.000001,IF(ISNUMBER(L305),IF(ISNUMBER(M305),ABS(L305-M305)&lt;0.00000001,FALSE),M305=L305)),"PASS","FAIL")</x:f>
        <x:v>PASS</x:v>
      </x:c>
      <x:c r="O305" s="99" t="str"/>
      <x:c r="P305" s="76" t="str">
        <x:v>Liquidity</x:v>
      </x:c>
    </x:row>
    <x:row r="306" ht="26" customHeight="1">
      <x:c r="A306" s="168" t="str">
        <x:v>LUCK</x:v>
      </x:c>
      <x:c r="B306" s="168" t="n">
        <x:v>2025</x:v>
      </x:c>
      <x:c r="C306" s="168" t="n">
        <x:v>4</x:v>
      </x:c>
      <x:c r="D306" s="168" t="str">
        <x:v>Net working capital (PKR m)</x:v>
      </x:c>
      <x:c r="E306" s="168" t="str">
        <x:v>Additional</x:v>
      </x:c>
      <x:c r="F306" s="169" t="n">
        <x:f>LUCK!H36-LUCK!H61</x:f>
        <x:v>41905.97600000001</x:v>
      </x:c>
      <x:c r="G306" s="169" t="n">
        <x:f>1</x:f>
        <x:v>1</x:v>
      </x:c>
      <x:c r="H306" s="169" t="n">
        <x:f>IF(G306&lt;=0,"n/m",F306/G306)</x:f>
        <x:v>41905.97600000001</x:v>
      </x:c>
      <x:c r="I306" s="169" t="n">
        <x:v>41905.97600000001</x:v>
      </x:c>
      <x:c r="J306" s="169" t="n">
        <x:v>1</x:v>
      </x:c>
      <x:c r="K306" s="169" t="n">
        <x:v>41905.97600000001</x:v>
      </x:c>
      <x:c r="L306" s="175" t="n">
        <x:v>41905.97600000001</x:v>
      </x:c>
      <x:c r="M306" s="175" t="n">
        <x:f>LUCK!H141</x:f>
        <x:v>41905.97600000001</x:v>
      </x:c>
      <x:c r="N306" s="176" t="str">
        <x:f>IF(AND(ABS(F306-I306)&lt;0.000001,ABS(G306-J306)&lt;0.000001,IF(ISNUMBER(L306),IF(ISNUMBER(M306),ABS(L306-M306)&lt;0.00000001,FALSE),M306=L306)),"PASS","FAIL")</x:f>
        <x:v>PASS</x:v>
      </x:c>
      <x:c r="O306" s="171" t="str"/>
      <x:c r="P306" s="168" t="str">
        <x:v>Liquidity</x:v>
      </x:c>
    </x:row>
    <x:row r="307" ht="26" customHeight="1">
      <x:c r="A307" s="76" t="str">
        <x:v>LUCK</x:v>
      </x:c>
      <x:c r="B307" s="76" t="n">
        <x:v>2025</x:v>
      </x:c>
      <x:c r="C307" s="76" t="n">
        <x:v>5</x:v>
      </x:c>
      <x:c r="D307" s="76" t="str">
        <x:v>Net operating working capital (PKR m)</x:v>
      </x:c>
      <x:c r="E307" s="76" t="str">
        <x:v>Additional</x:v>
      </x:c>
      <x:c r="F307" s="170" t="n">
        <x:f>LUCK!H72-LUCK!H73</x:f>
        <x:v>-13579.952999999994</x:v>
      </x:c>
      <x:c r="G307" s="170" t="n">
        <x:f>1</x:f>
        <x:v>1</x:v>
      </x:c>
      <x:c r="H307" s="170" t="n">
        <x:f>IF(G307&lt;=0,"n/m",F307/G307)</x:f>
        <x:v>-13579.952999999994</x:v>
      </x:c>
      <x:c r="I307" s="170" t="n">
        <x:v>-13579.953000000001</x:v>
      </x:c>
      <x:c r="J307" s="170" t="n">
        <x:v>1</x:v>
      </x:c>
      <x:c r="K307" s="170" t="n">
        <x:v>-13579.953000000001</x:v>
      </x:c>
      <x:c r="L307" s="177" t="str">
        <x:v>n/m</x:v>
      </x:c>
      <x:c r="M307" s="177" t="str">
        <x:f>LUCK!H142</x:f>
        <x:v>n/m</x:v>
      </x:c>
      <x:c r="N307" s="178" t="str">
        <x:f>IF(AND(ABS(F307-I307)&lt;0.000001,ABS(G307-J307)&lt;0.000001,IF(ISNUMBER(L307),IF(ISNUMBER(M307),ABS(L307-M307)&lt;0.00000001,FALSE),M307=L307)),"PASS","FAIL")</x:f>
        <x:v>PASS</x:v>
      </x:c>
      <x:c r="O307" s="99" t="str">
        <x:v>Negative calculated measure; raw signed value in H/K.</x:v>
      </x:c>
      <x:c r="P307" s="76" t="str">
        <x:v>Liquidity</x:v>
      </x:c>
    </x:row>
    <x:row r="308" ht="26" customHeight="1">
      <x:c r="A308" s="168" t="str">
        <x:v>LUCK</x:v>
      </x:c>
      <x:c r="B308" s="168" t="n">
        <x:v>2025</x:v>
      </x:c>
      <x:c r="C308" s="168" t="n">
        <x:v>6</x:v>
      </x:c>
      <x:c r="D308" s="168" t="str">
        <x:v>Inventory turnover</x:v>
      </x:c>
      <x:c r="E308" s="168" t="str">
        <x:v>Mandatory</x:v>
      </x:c>
      <x:c r="F308" s="169" t="n">
        <x:f>-LUCK!H85</x:f>
        <x:v>81827.06</x:v>
      </x:c>
      <x:c r="G308" s="169" t="n">
        <x:f>AVERAGE(LUCK!G65,LUCK!H65)</x:f>
        <x:v>23883.477</x:v>
      </x:c>
      <x:c r="H308" s="169" t="n">
        <x:f>IF(G308&lt;=0,"n/m",F308/G308)</x:f>
        <x:v>3.426094952590027</x:v>
      </x:c>
      <x:c r="I308" s="169" t="n">
        <x:v>81827.06</x:v>
      </x:c>
      <x:c r="J308" s="169" t="n">
        <x:v>23883.477</x:v>
      </x:c>
      <x:c r="K308" s="169" t="n">
        <x:v>3.426094952590027</x:v>
      </x:c>
      <x:c r="L308" s="175" t="n">
        <x:v>3.426094952590027</x:v>
      </x:c>
      <x:c r="M308" s="175" t="n">
        <x:f>LUCK!H144</x:f>
        <x:v>3.426094952590027</x:v>
      </x:c>
      <x:c r="N308" s="176" t="str">
        <x:f>IF(AND(ABS(F308-I308)&lt;0.000001,ABS(G308-J308)&lt;0.000001,IF(ISNUMBER(L308),IF(ISNUMBER(M308),ABS(L308-M308)&lt;0.00000001,FALSE),M308=L308)),"PASS","FAIL")</x:f>
        <x:v>PASS</x:v>
      </x:c>
      <x:c r="O308" s="171" t="str"/>
      <x:c r="P308" s="168" t="str">
        <x:v>Asset Management</x:v>
      </x:c>
    </x:row>
    <x:row r="309" ht="26" customHeight="1">
      <x:c r="A309" s="76" t="str">
        <x:v>LUCK</x:v>
      </x:c>
      <x:c r="B309" s="76" t="n">
        <x:v>2025</x:v>
      </x:c>
      <x:c r="C309" s="76" t="n">
        <x:v>7</x:v>
      </x:c>
      <x:c r="D309" s="76" t="str">
        <x:v>Receivables turnover</x:v>
      </x:c>
      <x:c r="E309" s="76" t="str">
        <x:v>Additional</x:v>
      </x:c>
      <x:c r="F309" s="170" t="n">
        <x:f>LUCK!H84</x:f>
        <x:v>124511.744</x:v>
      </x:c>
      <x:c r="G309" s="170" t="n">
        <x:f>AVERAGE(LUCK!G32,LUCK!H32)</x:f>
        <x:v>6642.8365</x:v>
      </x:c>
      <x:c r="H309" s="170" t="n">
        <x:f>IF(G309&lt;=0,"n/m",F309/G309)</x:f>
        <x:v>18.743761644592638</x:v>
      </x:c>
      <x:c r="I309" s="170" t="n">
        <x:v>124511.744</x:v>
      </x:c>
      <x:c r="J309" s="170" t="n">
        <x:v>6642.8365</x:v>
      </x:c>
      <x:c r="K309" s="170" t="n">
        <x:v>18.743761644592638</x:v>
      </x:c>
      <x:c r="L309" s="177" t="n">
        <x:v>18.743761644592638</x:v>
      </x:c>
      <x:c r="M309" s="177" t="n">
        <x:f>LUCK!H145</x:f>
        <x:v>18.743761644592638</x:v>
      </x:c>
      <x:c r="N309" s="178" t="str">
        <x:f>IF(AND(ABS(F309-I309)&lt;0.000001,ABS(G309-J309)&lt;0.000001,IF(ISNUMBER(L309),IF(ISNUMBER(M309),ABS(L309-M309)&lt;0.00000001,FALSE),M309=L309)),"PASS","FAIL")</x:f>
        <x:v>PASS</x:v>
      </x:c>
      <x:c r="O309" s="99" t="str"/>
      <x:c r="P309" s="76" t="str">
        <x:v>Asset Management</x:v>
      </x:c>
    </x:row>
    <x:row r="310" ht="26" customHeight="1">
      <x:c r="A310" s="168" t="str">
        <x:v>LUCK</x:v>
      </x:c>
      <x:c r="B310" s="168" t="n">
        <x:v>2025</x:v>
      </x:c>
      <x:c r="C310" s="168" t="n">
        <x:v>8</x:v>
      </x:c>
      <x:c r="D310" s="168" t="str">
        <x:v>Payables turnover</x:v>
      </x:c>
      <x:c r="E310" s="168" t="str">
        <x:v>Additional</x:v>
      </x:c>
      <x:c r="F310" s="169" t="n">
        <x:f>-LUCK!H85</x:f>
        <x:v>81827.06</x:v>
      </x:c>
      <x:c r="G310" s="169" t="n">
        <x:f>AVERAGE(LUCK!G51,LUCK!H51)</x:f>
        <x:v>6799.5595</x:v>
      </x:c>
      <x:c r="H310" s="169" t="n">
        <x:f>IF(G310&lt;=0,"n/m",F310/G310)</x:f>
        <x:v>12.034170742972393</x:v>
      </x:c>
      <x:c r="I310" s="169" t="n">
        <x:v>81827.06</x:v>
      </x:c>
      <x:c r="J310" s="169" t="n">
        <x:v>6799.5595</x:v>
      </x:c>
      <x:c r="K310" s="169" t="n">
        <x:v>12.034170742972393</x:v>
      </x:c>
      <x:c r="L310" s="175" t="n">
        <x:v>12.034170742972393</x:v>
      </x:c>
      <x:c r="M310" s="175" t="n">
        <x:f>LUCK!H146</x:f>
        <x:v>12.034170742972393</x:v>
      </x:c>
      <x:c r="N310" s="176" t="str">
        <x:f>IF(AND(ABS(F310-I310)&lt;0.000001,ABS(G310-J310)&lt;0.000001,IF(ISNUMBER(L310),IF(ISNUMBER(M310),ABS(L310-M310)&lt;0.00000001,FALSE),M310=L310)),"PASS","FAIL")</x:f>
        <x:v>PASS</x:v>
      </x:c>
      <x:c r="O310" s="171" t="str"/>
      <x:c r="P310" s="168" t="str">
        <x:v>Asset Management</x:v>
      </x:c>
    </x:row>
    <x:row r="311" ht="26" customHeight="1">
      <x:c r="A311" s="76" t="str">
        <x:v>LUCK</x:v>
      </x:c>
      <x:c r="B311" s="76" t="n">
        <x:v>2025</x:v>
      </x:c>
      <x:c r="C311" s="76" t="n">
        <x:v>9</x:v>
      </x:c>
      <x:c r="D311" s="76" t="str">
        <x:v>Days inventory outstanding</x:v>
      </x:c>
      <x:c r="E311" s="76" t="str">
        <x:v>Additional</x:v>
      </x:c>
      <x:c r="F311" s="170" t="n">
        <x:f>365*AVERAGE(LUCK!G65,LUCK!H65)</x:f>
        <x:v>8717469.105</x:v>
      </x:c>
      <x:c r="G311" s="170" t="n">
        <x:f>-LUCK!H85</x:f>
        <x:v>81827.06</x:v>
      </x:c>
      <x:c r="H311" s="170" t="n">
        <x:f>IF(G311&lt;=0,"n/m",F311/G311)</x:f>
        <x:v>106.53528435458882</x:v>
      </x:c>
      <x:c r="I311" s="170" t="n">
        <x:v>8717469.105</x:v>
      </x:c>
      <x:c r="J311" s="170" t="n">
        <x:v>81827.06</x:v>
      </x:c>
      <x:c r="K311" s="170" t="n">
        <x:v>106.53528435458882</x:v>
      </x:c>
      <x:c r="L311" s="177" t="n">
        <x:v>106.53528435458882</x:v>
      </x:c>
      <x:c r="M311" s="177" t="n">
        <x:f>LUCK!H147</x:f>
        <x:v>106.53528435458882</x:v>
      </x:c>
      <x:c r="N311" s="178" t="str">
        <x:f>IF(AND(ABS(F311-I311)&lt;0.000001,ABS(G311-J311)&lt;0.000001,IF(ISNUMBER(L311),IF(ISNUMBER(M311),ABS(L311-M311)&lt;0.00000001,FALSE),M311=L311)),"PASS","FAIL")</x:f>
        <x:v>PASS</x:v>
      </x:c>
      <x:c r="O311" s="99" t="str"/>
      <x:c r="P311" s="76" t="str">
        <x:v>Asset Management</x:v>
      </x:c>
    </x:row>
    <x:row r="312" ht="26" customHeight="1">
      <x:c r="A312" s="168" t="str">
        <x:v>LUCK</x:v>
      </x:c>
      <x:c r="B312" s="168" t="n">
        <x:v>2025</x:v>
      </x:c>
      <x:c r="C312" s="168" t="n">
        <x:v>10</x:v>
      </x:c>
      <x:c r="D312" s="168" t="str">
        <x:v>Days sales outstanding</x:v>
      </x:c>
      <x:c r="E312" s="168" t="str">
        <x:v>Mandatory</x:v>
      </x:c>
      <x:c r="F312" s="169" t="n">
        <x:f>365*AVERAGE(LUCK!G32,LUCK!H32)</x:f>
        <x:v>2424635.3225000002</x:v>
      </x:c>
      <x:c r="G312" s="169" t="n">
        <x:f>LUCK!H84</x:f>
        <x:v>124511.744</x:v>
      </x:c>
      <x:c r="H312" s="169" t="n">
        <x:f>IF(G312&lt;=0,"n/m",F312/G312)</x:f>
        <x:v>19.473145621508603</x:v>
      </x:c>
      <x:c r="I312" s="169" t="n">
        <x:v>2424635.3225000002</x:v>
      </x:c>
      <x:c r="J312" s="169" t="n">
        <x:v>124511.744</x:v>
      </x:c>
      <x:c r="K312" s="169" t="n">
        <x:v>19.473145621508603</x:v>
      </x:c>
      <x:c r="L312" s="175" t="n">
        <x:v>19.473145621508603</x:v>
      </x:c>
      <x:c r="M312" s="175" t="n">
        <x:f>LUCK!H148</x:f>
        <x:v>19.473145621508603</x:v>
      </x:c>
      <x:c r="N312" s="176" t="str">
        <x:f>IF(AND(ABS(F312-I312)&lt;0.000001,ABS(G312-J312)&lt;0.000001,IF(ISNUMBER(L312),IF(ISNUMBER(M312),ABS(L312-M312)&lt;0.00000001,FALSE),M312=L312)),"PASS","FAIL")</x:f>
        <x:v>PASS</x:v>
      </x:c>
      <x:c r="O312" s="171" t="str"/>
      <x:c r="P312" s="168" t="str">
        <x:v>Asset Management</x:v>
      </x:c>
    </x:row>
    <x:row r="313" ht="26" customHeight="1">
      <x:c r="A313" s="76" t="str">
        <x:v>LUCK</x:v>
      </x:c>
      <x:c r="B313" s="76" t="n">
        <x:v>2025</x:v>
      </x:c>
      <x:c r="C313" s="76" t="n">
        <x:v>11</x:v>
      </x:c>
      <x:c r="D313" s="76" t="str">
        <x:v>Days payables outstanding</x:v>
      </x:c>
      <x:c r="E313" s="76" t="str">
        <x:v>Additional</x:v>
      </x:c>
      <x:c r="F313" s="170" t="n">
        <x:f>365*AVERAGE(LUCK!G51,LUCK!H51)</x:f>
        <x:v>2481839.2175000003</x:v>
      </x:c>
      <x:c r="G313" s="170" t="n">
        <x:f>-LUCK!H85</x:f>
        <x:v>81827.06</x:v>
      </x:c>
      <x:c r="H313" s="170" t="n">
        <x:f>IF(G313&lt;=0,"n/m",F313/G313)</x:f>
        <x:v>30.3302992616379</x:v>
      </x:c>
      <x:c r="I313" s="170" t="n">
        <x:v>2481839.2175000003</x:v>
      </x:c>
      <x:c r="J313" s="170" t="n">
        <x:v>81827.06</x:v>
      </x:c>
      <x:c r="K313" s="170" t="n">
        <x:v>30.3302992616379</x:v>
      </x:c>
      <x:c r="L313" s="177" t="n">
        <x:v>30.3302992616379</x:v>
      </x:c>
      <x:c r="M313" s="177" t="n">
        <x:f>LUCK!H149</x:f>
        <x:v>30.3302992616379</x:v>
      </x:c>
      <x:c r="N313" s="178" t="str">
        <x:f>IF(AND(ABS(F313-I313)&lt;0.000001,ABS(G313-J313)&lt;0.000001,IF(ISNUMBER(L313),IF(ISNUMBER(M313),ABS(L313-M313)&lt;0.00000001,FALSE),M313=L313)),"PASS","FAIL")</x:f>
        <x:v>PASS</x:v>
      </x:c>
      <x:c r="O313" s="99" t="str"/>
      <x:c r="P313" s="76" t="str">
        <x:v>Asset Management</x:v>
      </x:c>
    </x:row>
    <x:row r="314" ht="26" customHeight="1">
      <x:c r="A314" s="168" t="str">
        <x:v>LUCK</x:v>
      </x:c>
      <x:c r="B314" s="168" t="n">
        <x:v>2025</x:v>
      </x:c>
      <x:c r="C314" s="168" t="n">
        <x:v>12</x:v>
      </x:c>
      <x:c r="D314" s="168" t="str">
        <x:v>Operating cycle (days)</x:v>
      </x:c>
      <x:c r="E314" s="168" t="str">
        <x:v>Additional</x:v>
      </x:c>
      <x:c r="F314" s="169" t="n">
        <x:f>365*AVERAGE(LUCK!G65,LUCK!H65)/(-LUCK!H85)+365*AVERAGE(LUCK!G32,LUCK!H32)/LUCK!H84</x:f>
        <x:v>126.00842997609743</x:v>
      </x:c>
      <x:c r="G314" s="169" t="n">
        <x:f>1</x:f>
        <x:v>1</x:v>
      </x:c>
      <x:c r="H314" s="169" t="n">
        <x:f>IF(G314&lt;=0,"n/m",F314/G314)</x:f>
        <x:v>126.00842997609743</x:v>
      </x:c>
      <x:c r="I314" s="169" t="n">
        <x:v>126.00842997609743</x:v>
      </x:c>
      <x:c r="J314" s="169" t="n">
        <x:v>1</x:v>
      </x:c>
      <x:c r="K314" s="169" t="n">
        <x:v>126.00842997609743</x:v>
      </x:c>
      <x:c r="L314" s="175" t="n">
        <x:v>126.00842997609743</x:v>
      </x:c>
      <x:c r="M314" s="175" t="n">
        <x:f>LUCK!H150</x:f>
        <x:v>126.00842997609743</x:v>
      </x:c>
      <x:c r="N314" s="176" t="str">
        <x:f>IF(AND(ABS(F314-I314)&lt;0.000001,ABS(G314-J314)&lt;0.000001,IF(ISNUMBER(L314),IF(ISNUMBER(M314),ABS(L314-M314)&lt;0.00000001,FALSE),M314=L314)),"PASS","FAIL")</x:f>
        <x:v>PASS</x:v>
      </x:c>
      <x:c r="O314" s="171" t="str"/>
      <x:c r="P314" s="168" t="str">
        <x:v>Asset Management</x:v>
      </x:c>
    </x:row>
    <x:row r="315" ht="26" customHeight="1">
      <x:c r="A315" s="76" t="str">
        <x:v>LUCK</x:v>
      </x:c>
      <x:c r="B315" s="76" t="n">
        <x:v>2025</x:v>
      </x:c>
      <x:c r="C315" s="76" t="n">
        <x:v>13</x:v>
      </x:c>
      <x:c r="D315" s="76" t="str">
        <x:v>Cash conversion cycle (days)</x:v>
      </x:c>
      <x:c r="E315" s="76" t="str">
        <x:v>Additional</x:v>
      </x:c>
      <x:c r="F315" s="170" t="n">
        <x:f>365*AVERAGE(LUCK!G65,LUCK!H65)/(-LUCK!H85)+365*AVERAGE(LUCK!G32,LUCK!H32)/LUCK!H84-365*AVERAGE(LUCK!G51,LUCK!H51)/(-LUCK!H85)</x:f>
        <x:v>95.67813071445953</x:v>
      </x:c>
      <x:c r="G315" s="170" t="n">
        <x:f>1</x:f>
        <x:v>1</x:v>
      </x:c>
      <x:c r="H315" s="170" t="n">
        <x:f>IF(G315&lt;=0,"n/m",F315/G315)</x:f>
        <x:v>95.67813071445953</x:v>
      </x:c>
      <x:c r="I315" s="170" t="n">
        <x:v>95.67813071445953</x:v>
      </x:c>
      <x:c r="J315" s="170" t="n">
        <x:v>1</x:v>
      </x:c>
      <x:c r="K315" s="170" t="n">
        <x:v>95.67813071445953</x:v>
      </x:c>
      <x:c r="L315" s="177" t="n">
        <x:v>95.67813071445953</x:v>
      </x:c>
      <x:c r="M315" s="177" t="n">
        <x:f>LUCK!H151</x:f>
        <x:v>95.67813071445953</x:v>
      </x:c>
      <x:c r="N315" s="178" t="str">
        <x:f>IF(AND(ABS(F315-I315)&lt;0.000001,ABS(G315-J315)&lt;0.000001,IF(ISNUMBER(L315),IF(ISNUMBER(M315),ABS(L315-M315)&lt;0.00000001,FALSE),M315=L315)),"PASS","FAIL")</x:f>
        <x:v>PASS</x:v>
      </x:c>
      <x:c r="O315" s="99" t="str"/>
      <x:c r="P315" s="76" t="str">
        <x:v>Asset Management</x:v>
      </x:c>
    </x:row>
    <x:row r="316" ht="26" customHeight="1">
      <x:c r="A316" s="168" t="str">
        <x:v>LUCK</x:v>
      </x:c>
      <x:c r="B316" s="168" t="n">
        <x:v>2025</x:v>
      </x:c>
      <x:c r="C316" s="168" t="n">
        <x:v>14</x:v>
      </x:c>
      <x:c r="D316" s="168" t="str">
        <x:v>Total asset turnover</x:v>
      </x:c>
      <x:c r="E316" s="168" t="str">
        <x:v>Mandatory</x:v>
      </x:c>
      <x:c r="F316" s="169" t="n">
        <x:f>LUCK!H84</x:f>
        <x:v>124511.744</x:v>
      </x:c>
      <x:c r="G316" s="169" t="n">
        <x:f>AVERAGE(LUCK!G37,LUCK!H37)</x:f>
        <x:v>250383.06</x:v>
      </x:c>
      <x:c r="H316" s="169" t="n">
        <x:f>IF(G316&lt;=0,"n/m",F316/G316)</x:f>
        <x:v>0.49728501600707337</x:v>
      </x:c>
      <x:c r="I316" s="169" t="n">
        <x:v>124511.744</x:v>
      </x:c>
      <x:c r="J316" s="169" t="n">
        <x:v>250383.06</x:v>
      </x:c>
      <x:c r="K316" s="169" t="n">
        <x:v>0.49728501600707337</x:v>
      </x:c>
      <x:c r="L316" s="175" t="n">
        <x:v>0.49728501600707337</x:v>
      </x:c>
      <x:c r="M316" s="175" t="n">
        <x:f>LUCK!H152</x:f>
        <x:v>0.49728501600707337</x:v>
      </x:c>
      <x:c r="N316" s="176" t="str">
        <x:f>IF(AND(ABS(F316-I316)&lt;0.000001,ABS(G316-J316)&lt;0.000001,IF(ISNUMBER(L316),IF(ISNUMBER(M316),ABS(L316-M316)&lt;0.00000001,FALSE),M316=L316)),"PASS","FAIL")</x:f>
        <x:v>PASS</x:v>
      </x:c>
      <x:c r="O316" s="171" t="str"/>
      <x:c r="P316" s="168" t="str">
        <x:v>Asset Management</x:v>
      </x:c>
    </x:row>
    <x:row r="317" ht="26" customHeight="1">
      <x:c r="A317" s="76" t="str">
        <x:v>LUCK</x:v>
      </x:c>
      <x:c r="B317" s="76" t="n">
        <x:v>2025</x:v>
      </x:c>
      <x:c r="C317" s="76" t="n">
        <x:v>15</x:v>
      </x:c>
      <x:c r="D317" s="76" t="str">
        <x:v>Fixed asset turnover</x:v>
      </x:c>
      <x:c r="E317" s="76" t="str">
        <x:v>Mandatory</x:v>
      </x:c>
      <x:c r="F317" s="170" t="n">
        <x:f>LUCK!H84</x:f>
        <x:v>124511.744</x:v>
      </x:c>
      <x:c r="G317" s="170" t="n">
        <x:f>AVERAGE(LUCK!G22,LUCK!H22)</x:f>
        <x:v>98807.258</x:v>
      </x:c>
      <x:c r="H317" s="170" t="n">
        <x:f>IF(G317&lt;=0,"n/m",F317/G317)</x:f>
        <x:v>1.2601477514941262</x:v>
      </x:c>
      <x:c r="I317" s="170" t="n">
        <x:v>124511.744</x:v>
      </x:c>
      <x:c r="J317" s="170" t="n">
        <x:v>98807.258</x:v>
      </x:c>
      <x:c r="K317" s="170" t="n">
        <x:v>1.2601477514941262</x:v>
      </x:c>
      <x:c r="L317" s="177" t="n">
        <x:v>1.2601477514941262</x:v>
      </x:c>
      <x:c r="M317" s="177" t="n">
        <x:f>LUCK!H153</x:f>
        <x:v>1.2601477514941262</x:v>
      </x:c>
      <x:c r="N317" s="178" t="str">
        <x:f>IF(AND(ABS(F317-I317)&lt;0.000001,ABS(G317-J317)&lt;0.000001,IF(ISNUMBER(L317),IF(ISNUMBER(M317),ABS(L317-M317)&lt;0.00000001,FALSE),M317=L317)),"PASS","FAIL")</x:f>
        <x:v>PASS</x:v>
      </x:c>
      <x:c r="O317" s="99" t="str"/>
      <x:c r="P317" s="76" t="str">
        <x:v>Asset Management</x:v>
      </x:c>
    </x:row>
    <x:row r="318" ht="26" customHeight="1">
      <x:c r="A318" s="168" t="str">
        <x:v>LUCK</x:v>
      </x:c>
      <x:c r="B318" s="168" t="n">
        <x:v>2025</x:v>
      </x:c>
      <x:c r="C318" s="168" t="n">
        <x:v>16</x:v>
      </x:c>
      <x:c r="D318" s="168" t="str">
        <x:v>Debt ratio</x:v>
      </x:c>
      <x:c r="E318" s="168" t="str">
        <x:v>Mandatory</x:v>
      </x:c>
      <x:c r="F318" s="169" t="n">
        <x:f>LUCK!H62</x:f>
        <x:v>90837.63</x:v>
      </x:c>
      <x:c r="G318" s="169" t="n">
        <x:f>LUCK!H37</x:f>
        <x:v>266748.03</x:v>
      </x:c>
      <x:c r="H318" s="169" t="n">
        <x:f>IF(G318&lt;=0,"n/m",F318/G318)</x:f>
        <x:v>0.34053721034041</x:v>
      </x:c>
      <x:c r="I318" s="169" t="n">
        <x:v>90837.63</x:v>
      </x:c>
      <x:c r="J318" s="169" t="n">
        <x:v>266748.03</x:v>
      </x:c>
      <x:c r="K318" s="169" t="n">
        <x:v>0.34053721034041</x:v>
      </x:c>
      <x:c r="L318" s="175" t="n">
        <x:v>0.34053721034041</x:v>
      </x:c>
      <x:c r="M318" s="175" t="n">
        <x:f>LUCK!H155</x:f>
        <x:v>0.34053721034041</x:v>
      </x:c>
      <x:c r="N318" s="176" t="str">
        <x:f>IF(AND(ABS(F318-I318)&lt;0.000001,ABS(G318-J318)&lt;0.000001,IF(ISNUMBER(L318),IF(ISNUMBER(M318),ABS(L318-M318)&lt;0.00000001,FALSE),M318=L318)),"PASS","FAIL")</x:f>
        <x:v>PASS</x:v>
      </x:c>
      <x:c r="O318" s="171" t="str"/>
      <x:c r="P318" s="168" t="str">
        <x:v>Debt Management</x:v>
      </x:c>
    </x:row>
    <x:row r="319" ht="26" customHeight="1">
      <x:c r="A319" s="76" t="str">
        <x:v>LUCK</x:v>
      </x:c>
      <x:c r="B319" s="76" t="n">
        <x:v>2025</x:v>
      </x:c>
      <x:c r="C319" s="76" t="n">
        <x:v>17</x:v>
      </x:c>
      <x:c r="D319" s="76" t="str">
        <x:v>Debt-to-equity</x:v>
      </x:c>
      <x:c r="E319" s="76" t="str">
        <x:v>Mandatory</x:v>
      </x:c>
      <x:c r="F319" s="170" t="n">
        <x:f>LUCK!H62</x:f>
        <x:v>90837.63</x:v>
      </x:c>
      <x:c r="G319" s="170" t="n">
        <x:f>LUCK!H41</x:f>
        <x:v>175910.4</x:v>
      </x:c>
      <x:c r="H319" s="170" t="n">
        <x:f>IF(G319&lt;=0,"n/m",F319/G319)</x:f>
        <x:v>0.5163857850360184</x:v>
      </x:c>
      <x:c r="I319" s="170" t="n">
        <x:v>90837.63</x:v>
      </x:c>
      <x:c r="J319" s="170" t="n">
        <x:v>175910.4</x:v>
      </x:c>
      <x:c r="K319" s="170" t="n">
        <x:v>0.5163857850360184</x:v>
      </x:c>
      <x:c r="L319" s="177" t="n">
        <x:v>0.5163857850360184</x:v>
      </x:c>
      <x:c r="M319" s="177" t="n">
        <x:f>LUCK!H156</x:f>
        <x:v>0.5163857850360184</x:v>
      </x:c>
      <x:c r="N319" s="178" t="str">
        <x:f>IF(AND(ABS(F319-I319)&lt;0.000001,ABS(G319-J319)&lt;0.000001,IF(ISNUMBER(L319),IF(ISNUMBER(M319),ABS(L319-M319)&lt;0.00000001,FALSE),M319=L319)),"PASS","FAIL")</x:f>
        <x:v>PASS</x:v>
      </x:c>
      <x:c r="O319" s="99" t="str"/>
      <x:c r="P319" s="76" t="str">
        <x:v>Debt Management</x:v>
      </x:c>
    </x:row>
    <x:row r="320" ht="26" customHeight="1">
      <x:c r="A320" s="168" t="str">
        <x:v>LUCK</x:v>
      </x:c>
      <x:c r="B320" s="168" t="n">
        <x:v>2025</x:v>
      </x:c>
      <x:c r="C320" s="168" t="n">
        <x:v>18</x:v>
      </x:c>
      <x:c r="D320" s="168" t="str">
        <x:v>Total debt-to-capital</x:v>
      </x:c>
      <x:c r="E320" s="168" t="str">
        <x:v>Additional</x:v>
      </x:c>
      <x:c r="F320" s="169" t="n">
        <x:f>LUCK!H66</x:f>
        <x:v>17535.607</x:v>
      </x:c>
      <x:c r="G320" s="169" t="n">
        <x:f>LUCK!H66+LUCK!H41</x:f>
        <x:v>193446.00699999998</x:v>
      </x:c>
      <x:c r="H320" s="169" t="n">
        <x:f>IF(G320&lt;=0,"n/m",F320/G320)</x:f>
        <x:v>0.0906485859901983</x:v>
      </x:c>
      <x:c r="I320" s="169" t="n">
        <x:v>17535.607</x:v>
      </x:c>
      <x:c r="J320" s="169" t="n">
        <x:v>193446.00699999998</x:v>
      </x:c>
      <x:c r="K320" s="169" t="n">
        <x:v>0.0906485859901983</x:v>
      </x:c>
      <x:c r="L320" s="175" t="n">
        <x:v>0.0906485859901983</x:v>
      </x:c>
      <x:c r="M320" s="175" t="n">
        <x:f>LUCK!H157</x:f>
        <x:v>0.0906485859901983</x:v>
      </x:c>
      <x:c r="N320" s="176" t="str">
        <x:f>IF(AND(ABS(F320-I320)&lt;0.000001,ABS(G320-J320)&lt;0.000001,IF(ISNUMBER(L320),IF(ISNUMBER(M320),ABS(L320-M320)&lt;0.00000001,FALSE),M320=L320)),"PASS","FAIL")</x:f>
        <x:v>PASS</x:v>
      </x:c>
      <x:c r="O320" s="171" t="str"/>
      <x:c r="P320" s="168" t="str">
        <x:v>Debt Management</x:v>
      </x:c>
    </x:row>
    <x:row r="321" ht="26" customHeight="1">
      <x:c r="A321" s="76" t="str">
        <x:v>LUCK</x:v>
      </x:c>
      <x:c r="B321" s="76" t="n">
        <x:v>2025</x:v>
      </x:c>
      <x:c r="C321" s="76" t="n">
        <x:v>19</x:v>
      </x:c>
      <x:c r="D321" s="76" t="str">
        <x:v>Long-term debt ratio</x:v>
      </x:c>
      <x:c r="E321" s="76" t="str">
        <x:v>Additional</x:v>
      </x:c>
      <x:c r="F321" s="170" t="n">
        <x:f>LUCK!H67</x:f>
        <x:v>9184.522</x:v>
      </x:c>
      <x:c r="G321" s="170" t="n">
        <x:f>LUCK!H37</x:f>
        <x:v>266748.03</x:v>
      </x:c>
      <x:c r="H321" s="170" t="n">
        <x:f>IF(G321&lt;=0,"n/m",F321/G321)</x:f>
        <x:v>0.0344314520335914</x:v>
      </x:c>
      <x:c r="I321" s="170" t="n">
        <x:v>9184.522</x:v>
      </x:c>
      <x:c r="J321" s="170" t="n">
        <x:v>266748.03</x:v>
      </x:c>
      <x:c r="K321" s="170" t="n">
        <x:v>0.0344314520335914</x:v>
      </x:c>
      <x:c r="L321" s="177" t="n">
        <x:v>0.0344314520335914</x:v>
      </x:c>
      <x:c r="M321" s="177" t="n">
        <x:f>LUCK!H158</x:f>
        <x:v>0.0344314520335914</x:v>
      </x:c>
      <x:c r="N321" s="178" t="str">
        <x:f>IF(AND(ABS(F321-I321)&lt;0.000001,ABS(G321-J321)&lt;0.000001,IF(ISNUMBER(L321),IF(ISNUMBER(M321),ABS(L321-M321)&lt;0.00000001,FALSE),M321=L321)),"PASS","FAIL")</x:f>
        <x:v>PASS</x:v>
      </x:c>
      <x:c r="O321" s="99" t="str"/>
      <x:c r="P321" s="76" t="str">
        <x:v>Debt Management</x:v>
      </x:c>
    </x:row>
    <x:row r="322" ht="26" customHeight="1">
      <x:c r="A322" s="168" t="str">
        <x:v>LUCK</x:v>
      </x:c>
      <x:c r="B322" s="168" t="n">
        <x:v>2025</x:v>
      </x:c>
      <x:c r="C322" s="168" t="n">
        <x:v>20</x:v>
      </x:c>
      <x:c r="D322" s="168" t="str">
        <x:v>Times interest earned</x:v>
      </x:c>
      <x:c r="E322" s="168" t="str">
        <x:v>Mandatory</x:v>
      </x:c>
      <x:c r="F322" s="169" t="n">
        <x:f>LUCK!H108</x:f>
        <x:v>48693.628000000004</x:v>
      </x:c>
      <x:c r="G322" s="169" t="n">
        <x:f>LUCK!H106</x:f>
        <x:v>1326.047</x:v>
      </x:c>
      <x:c r="H322" s="169" t="n">
        <x:f>IF(G322&lt;=0,"n/m",F322/G322)</x:f>
        <x:v>36.7208914917797</x:v>
      </x:c>
      <x:c r="I322" s="169" t="n">
        <x:v>48693.62800000001</x:v>
      </x:c>
      <x:c r="J322" s="169" t="n">
        <x:v>1326.047</x:v>
      </x:c>
      <x:c r="K322" s="169" t="n">
        <x:v>36.72089149177971</x:v>
      </x:c>
      <x:c r="L322" s="175" t="n">
        <x:v>36.72089149177971</x:v>
      </x:c>
      <x:c r="M322" s="175" t="n">
        <x:f>LUCK!H159</x:f>
        <x:v>36.7208914917797</x:v>
      </x:c>
      <x:c r="N322" s="176" t="str">
        <x:f>IF(AND(ABS(F322-I322)&lt;0.000001,ABS(G322-J322)&lt;0.000001,IF(ISNUMBER(L322),IF(ISNUMBER(M322),ABS(L322-M322)&lt;0.00000001,FALSE),M322=L322)),"PASS","FAIL")</x:f>
        <x:v>PASS</x:v>
      </x:c>
      <x:c r="O322" s="171" t="str"/>
      <x:c r="P322" s="168" t="str">
        <x:v>Debt Management</x:v>
      </x:c>
    </x:row>
    <x:row r="323" ht="26" customHeight="1">
      <x:c r="A323" s="76" t="str">
        <x:v>LUCK</x:v>
      </x:c>
      <x:c r="B323" s="76" t="n">
        <x:v>2025</x:v>
      </x:c>
      <x:c r="C323" s="76" t="n">
        <x:v>21</x:v>
      </x:c>
      <x:c r="D323" s="76" t="str">
        <x:v>Gross profit margin</x:v>
      </x:c>
      <x:c r="E323" s="76" t="str">
        <x:v>Mandatory</x:v>
      </x:c>
      <x:c r="F323" s="170" t="n">
        <x:f>LUCK!H86</x:f>
        <x:v>42684.68400000001</x:v>
      </x:c>
      <x:c r="G323" s="170" t="n">
        <x:f>LUCK!H84</x:f>
        <x:v>124511.744</x:v>
      </x:c>
      <x:c r="H323" s="170" t="n">
        <x:f>IF(G323&lt;=0,"n/m",F323/G323)</x:f>
        <x:v>0.342816529820673</x:v>
      </x:c>
      <x:c r="I323" s="170" t="n">
        <x:v>42684.68400000001</x:v>
      </x:c>
      <x:c r="J323" s="170" t="n">
        <x:v>124511.744</x:v>
      </x:c>
      <x:c r="K323" s="170" t="n">
        <x:v>0.342816529820673</x:v>
      </x:c>
      <x:c r="L323" s="177" t="n">
        <x:v>0.342816529820673</x:v>
      </x:c>
      <x:c r="M323" s="177" t="n">
        <x:f>LUCK!H161</x:f>
        <x:v>0.342816529820673</x:v>
      </x:c>
      <x:c r="N323" s="178" t="str">
        <x:f>IF(AND(ABS(F323-I323)&lt;0.000001,ABS(G323-J323)&lt;0.000001,IF(ISNUMBER(L323),IF(ISNUMBER(M323),ABS(L323-M323)&lt;0.00000001,FALSE),M323=L323)),"PASS","FAIL")</x:f>
        <x:v>PASS</x:v>
      </x:c>
      <x:c r="O323" s="99" t="str"/>
      <x:c r="P323" s="76" t="str">
        <x:v>Profitability</x:v>
      </x:c>
    </x:row>
    <x:row r="324" ht="26" customHeight="1">
      <x:c r="A324" s="168" t="str">
        <x:v>LUCK</x:v>
      </x:c>
      <x:c r="B324" s="168" t="n">
        <x:v>2025</x:v>
      </x:c>
      <x:c r="C324" s="168" t="n">
        <x:v>22</x:v>
      </x:c>
      <x:c r="D324" s="168" t="str">
        <x:v>Operating margin</x:v>
      </x:c>
      <x:c r="E324" s="168" t="str">
        <x:v>Mandatory</x:v>
      </x:c>
      <x:c r="F324" s="169" t="n">
        <x:f>LUCK!H91</x:f>
        <x:v>28227.707000000006</x:v>
      </x:c>
      <x:c r="G324" s="169" t="n">
        <x:f>LUCK!H84</x:f>
        <x:v>124511.744</x:v>
      </x:c>
      <x:c r="H324" s="169" t="n">
        <x:f>IF(G324&lt;=0,"n/m",F324/G324)</x:f>
        <x:v>0.22670718514712962</x:v>
      </x:c>
      <x:c r="I324" s="169" t="n">
        <x:v>28227.70700000001</x:v>
      </x:c>
      <x:c r="J324" s="169" t="n">
        <x:v>124511.744</x:v>
      </x:c>
      <x:c r="K324" s="169" t="n">
        <x:v>0.22670718514712965</x:v>
      </x:c>
      <x:c r="L324" s="175" t="n">
        <x:v>0.22670718514712965</x:v>
      </x:c>
      <x:c r="M324" s="175" t="n">
        <x:f>LUCK!H162</x:f>
        <x:v>0.22670718514712962</x:v>
      </x:c>
      <x:c r="N324" s="176" t="str">
        <x:f>IF(AND(ABS(F324-I324)&lt;0.000001,ABS(G324-J324)&lt;0.000001,IF(ISNUMBER(L324),IF(ISNUMBER(M324),ABS(L324-M324)&lt;0.00000001,FALSE),M324=L324)),"PASS","FAIL")</x:f>
        <x:v>PASS</x:v>
      </x:c>
      <x:c r="O324" s="171" t="str"/>
      <x:c r="P324" s="168" t="str">
        <x:v>Profitability</x:v>
      </x:c>
    </x:row>
    <x:row r="325" ht="26" customHeight="1">
      <x:c r="A325" s="76" t="str">
        <x:v>LUCK</x:v>
      </x:c>
      <x:c r="B325" s="76" t="n">
        <x:v>2025</x:v>
      </x:c>
      <x:c r="C325" s="76" t="n">
        <x:v>23</x:v>
      </x:c>
      <x:c r="D325" s="76" t="str">
        <x:v>Net profit margin</x:v>
      </x:c>
      <x:c r="E325" s="76" t="str">
        <x:v>Mandatory</x:v>
      </x:c>
      <x:c r="F325" s="170" t="n">
        <x:f>LUCK!H99</x:f>
        <x:v>33092.162000000004</x:v>
      </x:c>
      <x:c r="G325" s="170" t="n">
        <x:f>LUCK!H84</x:f>
        <x:v>124511.744</x:v>
      </x:c>
      <x:c r="H325" s="170" t="n">
        <x:f>IF(G325&lt;=0,"n/m",F325/G325)</x:f>
        <x:v>0.26577542757733763</x:v>
      </x:c>
      <x:c r="I325" s="170" t="n">
        <x:v>33092.16200000001</x:v>
      </x:c>
      <x:c r="J325" s="170" t="n">
        <x:v>124511.744</x:v>
      </x:c>
      <x:c r="K325" s="170" t="n">
        <x:v>0.2657754275773377</x:v>
      </x:c>
      <x:c r="L325" s="177" t="n">
        <x:v>0.2657754275773377</x:v>
      </x:c>
      <x:c r="M325" s="177" t="n">
        <x:f>LUCK!H163</x:f>
        <x:v>0.26577542757733763</x:v>
      </x:c>
      <x:c r="N325" s="178" t="str">
        <x:f>IF(AND(ABS(F325-I325)&lt;0.000001,ABS(G325-J325)&lt;0.000001,IF(ISNUMBER(L325),IF(ISNUMBER(M325),ABS(L325-M325)&lt;0.00000001,FALSE),M325=L325)),"PASS","FAIL")</x:f>
        <x:v>PASS</x:v>
      </x:c>
      <x:c r="O325" s="99" t="str"/>
      <x:c r="P325" s="76" t="str">
        <x:v>Profitability</x:v>
      </x:c>
    </x:row>
    <x:row r="326" ht="26" customHeight="1">
      <x:c r="A326" s="168" t="str">
        <x:v>LUCK</x:v>
      </x:c>
      <x:c r="B326" s="168" t="n">
        <x:v>2025</x:v>
      </x:c>
      <x:c r="C326" s="168" t="n">
        <x:v>24</x:v>
      </x:c>
      <x:c r="D326" s="168" t="str">
        <x:v>Return on assets</x:v>
      </x:c>
      <x:c r="E326" s="168" t="str">
        <x:v>Mandatory</x:v>
      </x:c>
      <x:c r="F326" s="169" t="n">
        <x:f>LUCK!H99</x:f>
        <x:v>33092.162000000004</x:v>
      </x:c>
      <x:c r="G326" s="169" t="n">
        <x:f>AVERAGE(LUCK!G37,LUCK!H37)</x:f>
        <x:v>250383.06</x:v>
      </x:c>
      <x:c r="H326" s="169" t="n">
        <x:f>IF(G326&lt;=0,"n/m",F326/G326)</x:f>
        <x:v>0.1321661377570831</x:v>
      </x:c>
      <x:c r="I326" s="169" t="n">
        <x:v>33092.16200000001</x:v>
      </x:c>
      <x:c r="J326" s="169" t="n">
        <x:v>250383.06</x:v>
      </x:c>
      <x:c r="K326" s="169" t="n">
        <x:v>0.13216613775708314</x:v>
      </x:c>
      <x:c r="L326" s="175" t="n">
        <x:v>0.13216613775708314</x:v>
      </x:c>
      <x:c r="M326" s="175" t="n">
        <x:f>LUCK!H164</x:f>
        <x:v>0.1321661377570831</x:v>
      </x:c>
      <x:c r="N326" s="176" t="str">
        <x:f>IF(AND(ABS(F326-I326)&lt;0.000001,ABS(G326-J326)&lt;0.000001,IF(ISNUMBER(L326),IF(ISNUMBER(M326),ABS(L326-M326)&lt;0.00000001,FALSE),M326=L326)),"PASS","FAIL")</x:f>
        <x:v>PASS</x:v>
      </x:c>
      <x:c r="O326" s="171" t="str"/>
      <x:c r="P326" s="168" t="str">
        <x:v>Profitability</x:v>
      </x:c>
    </x:row>
    <x:row r="327" ht="26" customHeight="1">
      <x:c r="A327" s="76" t="str">
        <x:v>LUCK</x:v>
      </x:c>
      <x:c r="B327" s="76" t="n">
        <x:v>2025</x:v>
      </x:c>
      <x:c r="C327" s="76" t="n">
        <x:v>25</x:v>
      </x:c>
      <x:c r="D327" s="76" t="str">
        <x:v>Return on equity</x:v>
      </x:c>
      <x:c r="E327" s="76" t="str">
        <x:v>Mandatory</x:v>
      </x:c>
      <x:c r="F327" s="170" t="n">
        <x:f>LUCK!H99</x:f>
        <x:v>33092.162000000004</x:v>
      </x:c>
      <x:c r="G327" s="170" t="n">
        <x:f>AVERAGE(LUCK!G41,LUCK!H41)</x:f>
        <x:v>161835.8385</x:v>
      </x:c>
      <x:c r="H327" s="170" t="n">
        <x:f>IF(G327&lt;=0,"n/m",F327/G327)</x:f>
        <x:v>0.2044798130421526</x:v>
      </x:c>
      <x:c r="I327" s="170" t="n">
        <x:v>33092.16200000001</x:v>
      </x:c>
      <x:c r="J327" s="170" t="n">
        <x:v>161835.8385</x:v>
      </x:c>
      <x:c r="K327" s="170" t="n">
        <x:v>0.20447981304215265</x:v>
      </x:c>
      <x:c r="L327" s="177" t="n">
        <x:v>0.20447981304215265</x:v>
      </x:c>
      <x:c r="M327" s="177" t="n">
        <x:f>LUCK!H165</x:f>
        <x:v>0.2044798130421526</x:v>
      </x:c>
      <x:c r="N327" s="178" t="str">
        <x:f>IF(AND(ABS(F327-I327)&lt;0.000001,ABS(G327-J327)&lt;0.000001,IF(ISNUMBER(L327),IF(ISNUMBER(M327),ABS(L327-M327)&lt;0.00000001,FALSE),M327=L327)),"PASS","FAIL")</x:f>
        <x:v>PASS</x:v>
      </x:c>
      <x:c r="O327" s="99" t="str"/>
      <x:c r="P327" s="76" t="str">
        <x:v>Profitability</x:v>
      </x:c>
    </x:row>
    <x:row r="328" ht="26" customHeight="1">
      <x:c r="A328" s="168" t="str">
        <x:v>LUCK</x:v>
      </x:c>
      <x:c r="B328" s="168" t="n">
        <x:v>2025</x:v>
      </x:c>
      <x:c r="C328" s="168" t="n">
        <x:v>26</x:v>
      </x:c>
      <x:c r="D328" s="168" t="str">
        <x:v>Return on invested capital</x:v>
      </x:c>
      <x:c r="E328" s="168" t="str">
        <x:v>Additional</x:v>
      </x:c>
      <x:c r="F328" s="169" t="n">
        <x:f>LUCK!H113</x:f>
        <x:v>34050.576192543595</x:v>
      </x:c>
      <x:c r="G328" s="169" t="n">
        <x:f>AVERAGE(LUCK!G70,LUCK!H70)</x:f>
        <x:v>180776.03399999999</x:v>
      </x:c>
      <x:c r="H328" s="169" t="n">
        <x:f>IF(G328&lt;=0,"n/m",F328/G328)</x:f>
        <x:v>0.18835780074997993</x:v>
      </x:c>
      <x:c r="I328" s="169" t="n">
        <x:v>34050.57619254361</x:v>
      </x:c>
      <x:c r="J328" s="169" t="n">
        <x:v>180776.03399999999</x:v>
      </x:c>
      <x:c r="K328" s="169" t="n">
        <x:v>0.18835780074998001</x:v>
      </x:c>
      <x:c r="L328" s="175" t="n">
        <x:v>0.18835780074998001</x:v>
      </x:c>
      <x:c r="M328" s="175" t="n">
        <x:f>LUCK!H166</x:f>
        <x:v>0.18835780074997993</x:v>
      </x:c>
      <x:c r="N328" s="176" t="str">
        <x:f>IF(AND(ABS(F328-I328)&lt;0.000001,ABS(G328-J328)&lt;0.000001,IF(ISNUMBER(L328),IF(ISNUMBER(M328),ABS(L328-M328)&lt;0.00000001,FALSE),M328=L328)),"PASS","FAIL")</x:f>
        <x:v>PASS</x:v>
      </x:c>
      <x:c r="O328" s="171" t="str"/>
      <x:c r="P328" s="168" t="str">
        <x:v>Profitability</x:v>
      </x:c>
    </x:row>
    <x:row r="329" ht="26" customHeight="1">
      <x:c r="A329" s="76" t="str">
        <x:v>LUCK</x:v>
      </x:c>
      <x:c r="B329" s="76" t="n">
        <x:v>2025</x:v>
      </x:c>
      <x:c r="C329" s="76" t="n">
        <x:v>27</x:v>
      </x:c>
      <x:c r="D329" s="76" t="str">
        <x:v>Basic earning power</x:v>
      </x:c>
      <x:c r="E329" s="76" t="str">
        <x:v>Additional</x:v>
      </x:c>
      <x:c r="F329" s="170" t="n">
        <x:f>LUCK!H108</x:f>
        <x:v>48693.628000000004</x:v>
      </x:c>
      <x:c r="G329" s="170" t="n">
        <x:f>AVERAGE(LUCK!G37,LUCK!H37)</x:f>
        <x:v>250383.06</x:v>
      </x:c>
      <x:c r="H329" s="170" t="n">
        <x:f>IF(G329&lt;=0,"n/m",F329/G329)</x:f>
        <x:v>0.19447652728583156</x:v>
      </x:c>
      <x:c r="I329" s="170" t="n">
        <x:v>48693.62800000001</x:v>
      </x:c>
      <x:c r="J329" s="170" t="n">
        <x:v>250383.06</x:v>
      </x:c>
      <x:c r="K329" s="170" t="n">
        <x:v>0.19447652728583162</x:v>
      </x:c>
      <x:c r="L329" s="177" t="n">
        <x:v>0.19447652728583162</x:v>
      </x:c>
      <x:c r="M329" s="177" t="n">
        <x:f>LUCK!H167</x:f>
        <x:v>0.19447652728583156</x:v>
      </x:c>
      <x:c r="N329" s="178" t="str">
        <x:f>IF(AND(ABS(F329-I329)&lt;0.000001,ABS(G329-J329)&lt;0.000001,IF(ISNUMBER(L329),IF(ISNUMBER(M329),ABS(L329-M329)&lt;0.00000001,FALSE),M329=L329)),"PASS","FAIL")</x:f>
        <x:v>PASS</x:v>
      </x:c>
      <x:c r="O329" s="99" t="str"/>
      <x:c r="P329" s="76" t="str">
        <x:v>Profitability</x:v>
      </x:c>
    </x:row>
    <x:row r="330" ht="26" customHeight="1">
      <x:c r="A330" s="168" t="str">
        <x:v>LUCK</x:v>
      </x:c>
      <x:c r="B330" s="168" t="n">
        <x:v>2025</x:v>
      </x:c>
      <x:c r="C330" s="168" t="n">
        <x:v>28</x:v>
      </x:c>
      <x:c r="D330" s="168" t="str">
        <x:v>Book value per share (Rs)</x:v>
      </x:c>
      <x:c r="E330" s="168" t="str">
        <x:v>Additional</x:v>
      </x:c>
      <x:c r="F330" s="169" t="n">
        <x:f>LUCK!H41</x:f>
        <x:v>175910.4</x:v>
      </x:c>
      <x:c r="G330" s="169" t="n">
        <x:f>LUCK!H128</x:f>
        <x:v>1465</x:v>
      </x:c>
      <x:c r="H330" s="169" t="n">
        <x:f>IF(G330&lt;=0,"n/m",F330/G330)</x:f>
        <x:v>120.07535836177475</x:v>
      </x:c>
      <x:c r="I330" s="169" t="n">
        <x:v>175910.4</x:v>
      </x:c>
      <x:c r="J330" s="169" t="n">
        <x:v>1465</x:v>
      </x:c>
      <x:c r="K330" s="169" t="n">
        <x:v>120.07535836177475</x:v>
      </x:c>
      <x:c r="L330" s="175" t="n">
        <x:v>120.07535836177475</x:v>
      </x:c>
      <x:c r="M330" s="175" t="n">
        <x:f>LUCK!H169</x:f>
        <x:v>120.07535836177475</x:v>
      </x:c>
      <x:c r="N330" s="176" t="str">
        <x:f>IF(AND(ABS(F330-I330)&lt;0.000001,ABS(G330-J330)&lt;0.000001,IF(ISNUMBER(L330),IF(ISNUMBER(M330),ABS(L330-M330)&lt;0.00000001,FALSE),M330=L330)),"PASS","FAIL")</x:f>
        <x:v>PASS</x:v>
      </x:c>
      <x:c r="O330" s="171" t="str"/>
      <x:c r="P330" s="168" t="str">
        <x:v>Market Value</x:v>
      </x:c>
    </x:row>
    <x:row r="331" ht="26" customHeight="1">
      <x:c r="A331" s="76" t="str">
        <x:v>LUCK</x:v>
      </x:c>
      <x:c r="B331" s="76" t="n">
        <x:v>2025</x:v>
      </x:c>
      <x:c r="C331" s="76" t="n">
        <x:v>29</x:v>
      </x:c>
      <x:c r="D331" s="76" t="str">
        <x:v>Market-to-book ratio</x:v>
      </x:c>
      <x:c r="E331" s="76" t="str">
        <x:v>Mandatory</x:v>
      </x:c>
      <x:c r="F331" s="170" t="n">
        <x:f>LUCK!H130</x:f>
        <x:v>355.24</x:v>
      </x:c>
      <x:c r="G331" s="170" t="n">
        <x:f>LUCK!H41/LUCK!H128</x:f>
        <x:v>120.07535836177475</x:v>
      </x:c>
      <x:c r="H331" s="170" t="n">
        <x:f>IF(G331&lt;=0,"n/m",F331/G331)</x:f>
        <x:v>2.9584754511387614</x:v>
      </x:c>
      <x:c r="I331" s="170" t="n">
        <x:v>355.24</x:v>
      </x:c>
      <x:c r="J331" s="170" t="n">
        <x:v>120.07535836177475</x:v>
      </x:c>
      <x:c r="K331" s="170" t="n">
        <x:v>2.9584754511387614</x:v>
      </x:c>
      <x:c r="L331" s="177" t="n">
        <x:v>2.9584754511387614</x:v>
      </x:c>
      <x:c r="M331" s="177" t="n">
        <x:f>LUCK!H170</x:f>
        <x:v>2.9584754511387614</x:v>
      </x:c>
      <x:c r="N331" s="178" t="str">
        <x:f>IF(AND(ABS(F331-I331)&lt;0.000001,ABS(G331-J331)&lt;0.000001,IF(ISNUMBER(L331),IF(ISNUMBER(M331),ABS(L331-M331)&lt;0.00000001,FALSE),M331=L331)),"PASS","FAIL")</x:f>
        <x:v>PASS</x:v>
      </x:c>
      <x:c r="O331" s="99" t="str"/>
      <x:c r="P331" s="76" t="str">
        <x:v>Market Value</x:v>
      </x:c>
    </x:row>
    <x:row r="332" ht="26" customHeight="1">
      <x:c r="A332" s="168" t="str">
        <x:v>LUCK</x:v>
      </x:c>
      <x:c r="B332" s="168" t="n">
        <x:v>2025</x:v>
      </x:c>
      <x:c r="C332" s="168" t="n">
        <x:v>30</x:v>
      </x:c>
      <x:c r="D332" s="168" t="str">
        <x:v>Earnings per share (Rs)</x:v>
      </x:c>
      <x:c r="E332" s="168" t="str">
        <x:v>Mandatory</x:v>
      </x:c>
      <x:c r="F332" s="169" t="n">
        <x:f>LUCK!H99</x:f>
        <x:v>33092.162000000004</x:v>
      </x:c>
      <x:c r="G332" s="169" t="n">
        <x:f>LUCK!H129</x:f>
        <x:v>1465</x:v>
      </x:c>
      <x:c r="H332" s="169" t="n">
        <x:f>IF(G332&lt;=0,"n/m",F332/G332)</x:f>
        <x:v>22.58850648464164</x:v>
      </x:c>
      <x:c r="I332" s="169" t="n">
        <x:v>33092.16200000001</x:v>
      </x:c>
      <x:c r="J332" s="169" t="n">
        <x:v>1465</x:v>
      </x:c>
      <x:c r="K332" s="169" t="n">
        <x:v>22.588506484641645</x:v>
      </x:c>
      <x:c r="L332" s="175" t="n">
        <x:v>22.588506484641645</x:v>
      </x:c>
      <x:c r="M332" s="175" t="n">
        <x:f>LUCK!H171</x:f>
        <x:v>22.58850648464164</x:v>
      </x:c>
      <x:c r="N332" s="176" t="str">
        <x:f>IF(AND(ABS(F332-I332)&lt;0.000001,ABS(G332-J332)&lt;0.000001,IF(ISNUMBER(L332),IF(ISNUMBER(M332),ABS(L332-M332)&lt;0.00000001,FALSE),M332=L332)),"PASS","FAIL")</x:f>
        <x:v>PASS</x:v>
      </x:c>
      <x:c r="O332" s="171" t="str"/>
      <x:c r="P332" s="168" t="str">
        <x:v>Market Value</x:v>
      </x:c>
    </x:row>
    <x:row r="333" ht="26" customHeight="1">
      <x:c r="A333" s="76" t="str">
        <x:v>LUCK</x:v>
      </x:c>
      <x:c r="B333" s="76" t="n">
        <x:v>2025</x:v>
      </x:c>
      <x:c r="C333" s="76" t="n">
        <x:v>31</x:v>
      </x:c>
      <x:c r="D333" s="76" t="str">
        <x:v>Price-to-earnings ratio</x:v>
      </x:c>
      <x:c r="E333" s="76" t="str">
        <x:v>Mandatory</x:v>
      </x:c>
      <x:c r="F333" s="170" t="n">
        <x:f>LUCK!H130</x:f>
        <x:v>355.24</x:v>
      </x:c>
      <x:c r="G333" s="170" t="n">
        <x:f>LUCK!H99/LUCK!H129</x:f>
        <x:v>22.58850648464164</x:v>
      </x:c>
      <x:c r="H333" s="170" t="n">
        <x:f>IF(G333&lt;=0,"n/m",F333/G333)</x:f>
        <x:v>15.726582022655393</x:v>
      </x:c>
      <x:c r="I333" s="170" t="n">
        <x:v>355.24</x:v>
      </x:c>
      <x:c r="J333" s="170" t="n">
        <x:v>22.588506484641645</x:v>
      </x:c>
      <x:c r="K333" s="170" t="n">
        <x:v>15.726582022655391</x:v>
      </x:c>
      <x:c r="L333" s="177" t="n">
        <x:v>15.726582022655391</x:v>
      </x:c>
      <x:c r="M333" s="177" t="n">
        <x:f>LUCK!H172</x:f>
        <x:v>15.726582022655393</x:v>
      </x:c>
      <x:c r="N333" s="178" t="str">
        <x:f>IF(AND(ABS(F333-I333)&lt;0.000001,ABS(G333-J333)&lt;0.000001,IF(ISNUMBER(L333),IF(ISNUMBER(M333),ABS(L333-M333)&lt;0.00000001,FALSE),M333=L333)),"PASS","FAIL")</x:f>
        <x:v>PASS</x:v>
      </x:c>
      <x:c r="O333" s="99" t="str"/>
      <x:c r="P333" s="76" t="str">
        <x:v>Market Value</x:v>
      </x:c>
    </x:row>
    <x:row r="334" ht="26" customHeight="1">
      <x:c r="A334" s="168" t="str">
        <x:v>LUCK</x:v>
      </x:c>
      <x:c r="B334" s="168" t="n">
        <x:v>2025</x:v>
      </x:c>
      <x:c r="C334" s="168" t="n">
        <x:v>32</x:v>
      </x:c>
      <x:c r="D334" s="168" t="str">
        <x:v>Dividend yield</x:v>
      </x:c>
      <x:c r="E334" s="168" t="str">
        <x:v>Mandatory</x:v>
      </x:c>
      <x:c r="F334" s="169" t="n">
        <x:f>LUCK!H131</x:f>
        <x:v>4</x:v>
      </x:c>
      <x:c r="G334" s="169" t="n">
        <x:f>LUCK!H130</x:f>
        <x:v>355.24</x:v>
      </x:c>
      <x:c r="H334" s="169" t="n">
        <x:f>IF(G334&lt;=0,"n/m",F334/G334)</x:f>
        <x:v>0.011259993244004052</x:v>
      </x:c>
      <x:c r="I334" s="169" t="n">
        <x:v>4</x:v>
      </x:c>
      <x:c r="J334" s="169" t="n">
        <x:v>355.24</x:v>
      </x:c>
      <x:c r="K334" s="169" t="n">
        <x:v>0.011259993244004052</x:v>
      </x:c>
      <x:c r="L334" s="175" t="n">
        <x:v>0.011259993244004052</x:v>
      </x:c>
      <x:c r="M334" s="175" t="n">
        <x:f>LUCK!H173</x:f>
        <x:v>0.011259993244004052</x:v>
      </x:c>
      <x:c r="N334" s="176" t="str">
        <x:f>IF(AND(ABS(F334-I334)&lt;0.000001,ABS(G334-J334)&lt;0.000001,IF(ISNUMBER(L334),IF(ISNUMBER(M334),ABS(L334-M334)&lt;0.00000001,FALSE),M334=L334)),"PASS","FAIL")</x:f>
        <x:v>PASS</x:v>
      </x:c>
      <x:c r="O334" s="171" t="str"/>
      <x:c r="P334" s="168" t="str">
        <x:v>Market Value</x:v>
      </x:c>
    </x:row>
    <x:row r="335" ht="26" customHeight="1">
      <x:c r="A335" s="76" t="str">
        <x:v>LUCK</x:v>
      </x:c>
      <x:c r="B335" s="76" t="n">
        <x:v>2025</x:v>
      </x:c>
      <x:c r="C335" s="76" t="n">
        <x:v>33</x:v>
      </x:c>
      <x:c r="D335" s="76" t="str">
        <x:v>Dividend payout ratio</x:v>
      </x:c>
      <x:c r="E335" s="76" t="str">
        <x:v>Additional</x:v>
      </x:c>
      <x:c r="F335" s="170" t="n">
        <x:f>LUCK!H131</x:f>
        <x:v>4</x:v>
      </x:c>
      <x:c r="G335" s="170" t="n">
        <x:f>LUCK!H99/LUCK!H129</x:f>
        <x:v>22.58850648464164</x:v>
      </x:c>
      <x:c r="H335" s="170" t="n">
        <x:f>IF(G335&lt;=0,"n/m",F335/G335)</x:f>
        <x:v>0.17708120732637533</x:v>
      </x:c>
      <x:c r="I335" s="170" t="n">
        <x:v>4</x:v>
      </x:c>
      <x:c r="J335" s="170" t="n">
        <x:v>22.588506484641645</x:v>
      </x:c>
      <x:c r="K335" s="170" t="n">
        <x:v>0.1770812073263753</x:v>
      </x:c>
      <x:c r="L335" s="177" t="n">
        <x:v>0.1770812073263753</x:v>
      </x:c>
      <x:c r="M335" s="177" t="n">
        <x:f>LUCK!H174</x:f>
        <x:v>0.17708120732637533</x:v>
      </x:c>
      <x:c r="N335" s="178" t="str">
        <x:f>IF(AND(ABS(F335-I335)&lt;0.000001,ABS(G335-J335)&lt;0.000001,IF(ISNUMBER(L335),IF(ISNUMBER(M335),ABS(L335-M335)&lt;0.00000001,FALSE),M335=L335)),"PASS","FAIL")</x:f>
        <x:v>PASS</x:v>
      </x:c>
      <x:c r="O335" s="99" t="str"/>
      <x:c r="P335" s="76" t="str">
        <x:v>Market Value</x:v>
      </x:c>
    </x:row>
    <x:row r="336" ht="26" customHeight="1">
      <x:c r="A336" s="168" t="str">
        <x:v>DGKC</x:v>
      </x:c>
      <x:c r="B336" s="168" t="n">
        <x:v>2021</x:v>
      </x:c>
      <x:c r="C336" s="168" t="n">
        <x:v>1</x:v>
      </x:c>
      <x:c r="D336" s="168" t="str">
        <x:v>Current ratio</x:v>
      </x:c>
      <x:c r="E336" s="168" t="str">
        <x:v>Mandatory</x:v>
      </x:c>
      <x:c r="F336" s="169" t="n">
        <x:f>DGKC!D36</x:f>
        <x:v>36851.264</x:v>
      </x:c>
      <x:c r="G336" s="169" t="n">
        <x:f>DGKC!D61</x:f>
        <x:v>40295.52</x:v>
      </x:c>
      <x:c r="H336" s="169" t="n">
        <x:f>IF(G336&lt;=0,"n/m",F336/G336)</x:f>
        <x:v>0.9145250886450902</x:v>
      </x:c>
      <x:c r="I336" s="169" t="n">
        <x:v>36851.264</x:v>
      </x:c>
      <x:c r="J336" s="169" t="n">
        <x:v>40295.52</x:v>
      </x:c>
      <x:c r="K336" s="169" t="n">
        <x:v>0.9145250886450902</x:v>
      </x:c>
      <x:c r="L336" s="175" t="n">
        <x:v>0.9145250886450902</x:v>
      </x:c>
      <x:c r="M336" s="175" t="n">
        <x:f>DGKC!D138</x:f>
        <x:v>0.9145250886450902</x:v>
      </x:c>
      <x:c r="N336" s="176" t="str">
        <x:f>IF(AND(ABS(F336-I336)&lt;0.000001,ABS(G336-J336)&lt;0.000001,IF(ISNUMBER(L336),IF(ISNUMBER(M336),ABS(L336-M336)&lt;0.00000001,FALSE),M336=L336)),"PASS","FAIL")</x:f>
        <x:v>PASS</x:v>
      </x:c>
      <x:c r="O336" s="171" t="str"/>
      <x:c r="P336" s="168" t="str">
        <x:v>Liquidity</x:v>
      </x:c>
    </x:row>
    <x:row r="337" ht="26" customHeight="1">
      <x:c r="A337" s="76" t="str">
        <x:v>DGKC</x:v>
      </x:c>
      <x:c r="B337" s="76" t="n">
        <x:v>2021</x:v>
      </x:c>
      <x:c r="C337" s="76" t="n">
        <x:v>2</x:v>
      </x:c>
      <x:c r="D337" s="76" t="str">
        <x:v>Quick ratio</x:v>
      </x:c>
      <x:c r="E337" s="76" t="str">
        <x:v>Mandatory</x:v>
      </x:c>
      <x:c r="F337" s="170" t="n">
        <x:f>DGKC!D36-DGKC!D65</x:f>
        <x:v>21243.327000000005</x:v>
      </x:c>
      <x:c r="G337" s="170" t="n">
        <x:f>DGKC!D61</x:f>
        <x:v>40295.52</x:v>
      </x:c>
      <x:c r="H337" s="170" t="n">
        <x:f>IF(G337&lt;=0,"n/m",F337/G337)</x:f>
        <x:v>0.527188307782106</x:v>
      </x:c>
      <x:c r="I337" s="170" t="n">
        <x:v>21243.327000000005</x:v>
      </x:c>
      <x:c r="J337" s="170" t="n">
        <x:v>40295.52</x:v>
      </x:c>
      <x:c r="K337" s="170" t="n">
        <x:v>0.527188307782106</x:v>
      </x:c>
      <x:c r="L337" s="177" t="n">
        <x:v>0.527188307782106</x:v>
      </x:c>
      <x:c r="M337" s="177" t="n">
        <x:f>DGKC!D139</x:f>
        <x:v>0.527188307782106</x:v>
      </x:c>
      <x:c r="N337" s="178" t="str">
        <x:f>IF(AND(ABS(F337-I337)&lt;0.000001,ABS(G337-J337)&lt;0.000001,IF(ISNUMBER(L337),IF(ISNUMBER(M337),ABS(L337-M337)&lt;0.00000001,FALSE),M337=L337)),"PASS","FAIL")</x:f>
        <x:v>PASS</x:v>
      </x:c>
      <x:c r="O337" s="99" t="str"/>
      <x:c r="P337" s="76" t="str">
        <x:v>Liquidity</x:v>
      </x:c>
    </x:row>
    <x:row r="338" ht="26" customHeight="1">
      <x:c r="A338" s="168" t="str">
        <x:v>DGKC</x:v>
      </x:c>
      <x:c r="B338" s="168" t="n">
        <x:v>2021</x:v>
      </x:c>
      <x:c r="C338" s="168" t="n">
        <x:v>3</x:v>
      </x:c>
      <x:c r="D338" s="168" t="str">
        <x:v>Cash ratio</x:v>
      </x:c>
      <x:c r="E338" s="168" t="str">
        <x:v>Mandatory</x:v>
      </x:c>
      <x:c r="F338" s="169" t="n">
        <x:f>DGKC!D34</x:f>
        <x:v>806.373</x:v>
      </x:c>
      <x:c r="G338" s="169" t="n">
        <x:f>DGKC!D61</x:f>
        <x:v>40295.52</x:v>
      </x:c>
      <x:c r="H338" s="169" t="n">
        <x:f>IF(G338&lt;=0,"n/m",F338/G338)</x:f>
        <x:v>0.020011480184397672</x:v>
      </x:c>
      <x:c r="I338" s="169" t="n">
        <x:v>806.373</x:v>
      </x:c>
      <x:c r="J338" s="169" t="n">
        <x:v>40295.52</x:v>
      </x:c>
      <x:c r="K338" s="169" t="n">
        <x:v>0.020011480184397672</x:v>
      </x:c>
      <x:c r="L338" s="175" t="n">
        <x:v>0.020011480184397672</x:v>
      </x:c>
      <x:c r="M338" s="175" t="n">
        <x:f>DGKC!D140</x:f>
        <x:v>0.020011480184397672</x:v>
      </x:c>
      <x:c r="N338" s="176" t="str">
        <x:f>IF(AND(ABS(F338-I338)&lt;0.000001,ABS(G338-J338)&lt;0.000001,IF(ISNUMBER(L338),IF(ISNUMBER(M338),ABS(L338-M338)&lt;0.00000001,FALSE),M338=L338)),"PASS","FAIL")</x:f>
        <x:v>PASS</x:v>
      </x:c>
      <x:c r="O338" s="171" t="str"/>
      <x:c r="P338" s="168" t="str">
        <x:v>Liquidity</x:v>
      </x:c>
    </x:row>
    <x:row r="339" ht="26" customHeight="1">
      <x:c r="A339" s="76" t="str">
        <x:v>DGKC</x:v>
      </x:c>
      <x:c r="B339" s="76" t="n">
        <x:v>2021</x:v>
      </x:c>
      <x:c r="C339" s="76" t="n">
        <x:v>4</x:v>
      </x:c>
      <x:c r="D339" s="76" t="str">
        <x:v>Net working capital (PKR m)</x:v>
      </x:c>
      <x:c r="E339" s="76" t="str">
        <x:v>Additional</x:v>
      </x:c>
      <x:c r="F339" s="170" t="n">
        <x:f>DGKC!D36-DGKC!D61</x:f>
        <x:v>-3444.255999999994</x:v>
      </x:c>
      <x:c r="G339" s="170" t="n">
        <x:f>1</x:f>
        <x:v>1</x:v>
      </x:c>
      <x:c r="H339" s="170" t="n">
        <x:f>IF(G339&lt;=0,"n/m",F339/G339)</x:f>
        <x:v>-3444.255999999994</x:v>
      </x:c>
      <x:c r="I339" s="170" t="n">
        <x:v>-3444.255999999994</x:v>
      </x:c>
      <x:c r="J339" s="170" t="n">
        <x:v>1</x:v>
      </x:c>
      <x:c r="K339" s="170" t="n">
        <x:v>-3444.255999999994</x:v>
      </x:c>
      <x:c r="L339" s="177" t="str">
        <x:v>n/m</x:v>
      </x:c>
      <x:c r="M339" s="177" t="str">
        <x:f>DGKC!D141</x:f>
        <x:v>n/m</x:v>
      </x:c>
      <x:c r="N339" s="178" t="str">
        <x:f>IF(AND(ABS(F339-I339)&lt;0.000001,ABS(G339-J339)&lt;0.000001,IF(ISNUMBER(L339),IF(ISNUMBER(M339),ABS(L339-M339)&lt;0.00000001,FALSE),M339=L339)),"PASS","FAIL")</x:f>
        <x:v>PASS</x:v>
      </x:c>
      <x:c r="O339" s="99" t="str">
        <x:v>Negative calculated measure; raw signed value in H/K.</x:v>
      </x:c>
      <x:c r="P339" s="76" t="str">
        <x:v>Liquidity</x:v>
      </x:c>
    </x:row>
    <x:row r="340" ht="26" customHeight="1">
      <x:c r="A340" s="168" t="str">
        <x:v>DGKC</x:v>
      </x:c>
      <x:c r="B340" s="168" t="n">
        <x:v>2021</x:v>
      </x:c>
      <x:c r="C340" s="168" t="n">
        <x:v>5</x:v>
      </x:c>
      <x:c r="D340" s="168" t="str">
        <x:v>Net operating working capital (PKR m)</x:v>
      </x:c>
      <x:c r="E340" s="168" t="str">
        <x:v>Additional</x:v>
      </x:c>
      <x:c r="F340" s="169" t="n">
        <x:f>DGKC!D72-DGKC!D73</x:f>
        <x:v>8099.147000000006</x:v>
      </x:c>
      <x:c r="G340" s="169" t="n">
        <x:f>1</x:f>
        <x:v>1</x:v>
      </x:c>
      <x:c r="H340" s="169" t="n">
        <x:f>IF(G340&lt;=0,"n/m",F340/G340)</x:f>
        <x:v>8099.147000000006</x:v>
      </x:c>
      <x:c r="I340" s="169" t="n">
        <x:v>8099.1470000000045</x:v>
      </x:c>
      <x:c r="J340" s="169" t="n">
        <x:v>1</x:v>
      </x:c>
      <x:c r="K340" s="169" t="n">
        <x:v>8099.1470000000045</x:v>
      </x:c>
      <x:c r="L340" s="175" t="n">
        <x:v>8099.1470000000045</x:v>
      </x:c>
      <x:c r="M340" s="175" t="n">
        <x:f>DGKC!D142</x:f>
        <x:v>8099.147000000006</x:v>
      </x:c>
      <x:c r="N340" s="176" t="str">
        <x:f>IF(AND(ABS(F340-I340)&lt;0.000001,ABS(G340-J340)&lt;0.000001,IF(ISNUMBER(L340),IF(ISNUMBER(M340),ABS(L340-M340)&lt;0.00000001,FALSE),M340=L340)),"PASS","FAIL")</x:f>
        <x:v>PASS</x:v>
      </x:c>
      <x:c r="O340" s="171" t="str"/>
      <x:c r="P340" s="168" t="str">
        <x:v>Liquidity</x:v>
      </x:c>
    </x:row>
    <x:row r="341" ht="26" customHeight="1">
      <x:c r="A341" s="76" t="str">
        <x:v>DGKC</x:v>
      </x:c>
      <x:c r="B341" s="76" t="n">
        <x:v>2021</x:v>
      </x:c>
      <x:c r="C341" s="76" t="n">
        <x:v>6</x:v>
      </x:c>
      <x:c r="D341" s="76" t="str">
        <x:v>Inventory turnover</x:v>
      </x:c>
      <x:c r="E341" s="76" t="str">
        <x:v>Mandatory</x:v>
      </x:c>
      <x:c r="F341" s="170" t="n">
        <x:f>-DGKC!D85</x:f>
        <x:v>37035.798</x:v>
      </x:c>
      <x:c r="G341" s="170" t="n">
        <x:f>AVERAGE(DGKC!C65,DGKC!D65)</x:f>
        <x:v>14099.461</x:v>
      </x:c>
      <x:c r="H341" s="170" t="n">
        <x:f>IF(G341&lt;=0,"n/m",F341/G341)</x:f>
        <x:v>2.626752753172622</x:v>
      </x:c>
      <x:c r="I341" s="170" t="n">
        <x:v>37035.798</x:v>
      </x:c>
      <x:c r="J341" s="170" t="n">
        <x:v>14099.461</x:v>
      </x:c>
      <x:c r="K341" s="170" t="n">
        <x:v>2.626752753172622</x:v>
      </x:c>
      <x:c r="L341" s="177" t="n">
        <x:v>2.626752753172622</x:v>
      </x:c>
      <x:c r="M341" s="177" t="n">
        <x:f>DGKC!D144</x:f>
        <x:v>2.626752753172622</x:v>
      </x:c>
      <x:c r="N341" s="178" t="str">
        <x:f>IF(AND(ABS(F341-I341)&lt;0.000001,ABS(G341-J341)&lt;0.000001,IF(ISNUMBER(L341),IF(ISNUMBER(M341),ABS(L341-M341)&lt;0.00000001,FALSE),M341=L341)),"PASS","FAIL")</x:f>
        <x:v>PASS</x:v>
      </x:c>
      <x:c r="O341" s="99" t="str"/>
      <x:c r="P341" s="76" t="str">
        <x:v>Asset Management</x:v>
      </x:c>
    </x:row>
    <x:row r="342" ht="26" customHeight="1">
      <x:c r="A342" s="168" t="str">
        <x:v>DGKC</x:v>
      </x:c>
      <x:c r="B342" s="168" t="n">
        <x:v>2021</x:v>
      </x:c>
      <x:c r="C342" s="168" t="n">
        <x:v>7</x:v>
      </x:c>
      <x:c r="D342" s="168" t="str">
        <x:v>Receivables turnover</x:v>
      </x:c>
      <x:c r="E342" s="168" t="str">
        <x:v>Additional</x:v>
      </x:c>
      <x:c r="F342" s="169" t="n">
        <x:f>DGKC!D84</x:f>
        <x:v>45107.69</x:v>
      </x:c>
      <x:c r="G342" s="169" t="n">
        <x:f>AVERAGE(DGKC!C32,DGKC!D32)</x:f>
        <x:v>1981.1644999999999</x:v>
      </x:c>
      <x:c r="H342" s="169" t="n">
        <x:f>IF(G342&lt;=0,"n/m",F342/G342)</x:f>
        <x:v>22.768270883109405</x:v>
      </x:c>
      <x:c r="I342" s="169" t="n">
        <x:v>45107.69</x:v>
      </x:c>
      <x:c r="J342" s="169" t="n">
        <x:v>1981.1644999999999</x:v>
      </x:c>
      <x:c r="K342" s="169" t="n">
        <x:v>22.768270883109405</x:v>
      </x:c>
      <x:c r="L342" s="175" t="n">
        <x:v>22.768270883109405</x:v>
      </x:c>
      <x:c r="M342" s="175" t="n">
        <x:f>DGKC!D145</x:f>
        <x:v>22.768270883109405</x:v>
      </x:c>
      <x:c r="N342" s="176" t="str">
        <x:f>IF(AND(ABS(F342-I342)&lt;0.000001,ABS(G342-J342)&lt;0.000001,IF(ISNUMBER(L342),IF(ISNUMBER(M342),ABS(L342-M342)&lt;0.00000001,FALSE),M342=L342)),"PASS","FAIL")</x:f>
        <x:v>PASS</x:v>
      </x:c>
      <x:c r="O342" s="171" t="str"/>
      <x:c r="P342" s="168" t="str">
        <x:v>Asset Management</x:v>
      </x:c>
    </x:row>
    <x:row r="343" ht="26" customHeight="1">
      <x:c r="A343" s="76" t="str">
        <x:v>DGKC</x:v>
      </x:c>
      <x:c r="B343" s="76" t="n">
        <x:v>2021</x:v>
      </x:c>
      <x:c r="C343" s="76" t="n">
        <x:v>8</x:v>
      </x:c>
      <x:c r="D343" s="76" t="str">
        <x:v>Payables turnover</x:v>
      </x:c>
      <x:c r="E343" s="76" t="str">
        <x:v>Additional</x:v>
      </x:c>
      <x:c r="F343" s="170" t="n">
        <x:f>-DGKC!D85</x:f>
        <x:v>37035.798</x:v>
      </x:c>
      <x:c r="G343" s="170" t="n">
        <x:f>AVERAGE(DGKC!C51,DGKC!D51)</x:f>
        <x:v>5850.475</x:v>
      </x:c>
      <x:c r="H343" s="170" t="n">
        <x:f>IF(G343&lt;=0,"n/m",F343/G343)</x:f>
        <x:v>6.330391634867254</x:v>
      </x:c>
      <x:c r="I343" s="170" t="n">
        <x:v>37035.798</x:v>
      </x:c>
      <x:c r="J343" s="170" t="n">
        <x:v>5850.475</x:v>
      </x:c>
      <x:c r="K343" s="170" t="n">
        <x:v>6.330391634867254</x:v>
      </x:c>
      <x:c r="L343" s="177" t="n">
        <x:v>6.330391634867254</x:v>
      </x:c>
      <x:c r="M343" s="177" t="n">
        <x:f>DGKC!D146</x:f>
        <x:v>6.330391634867254</x:v>
      </x:c>
      <x:c r="N343" s="178" t="str">
        <x:f>IF(AND(ABS(F343-I343)&lt;0.000001,ABS(G343-J343)&lt;0.000001,IF(ISNUMBER(L343),IF(ISNUMBER(M343),ABS(L343-M343)&lt;0.00000001,FALSE),M343=L343)),"PASS","FAIL")</x:f>
        <x:v>PASS</x:v>
      </x:c>
      <x:c r="O343" s="99" t="str"/>
      <x:c r="P343" s="76" t="str">
        <x:v>Asset Management</x:v>
      </x:c>
    </x:row>
    <x:row r="344" ht="26" customHeight="1">
      <x:c r="A344" s="168" t="str">
        <x:v>DGKC</x:v>
      </x:c>
      <x:c r="B344" s="168" t="n">
        <x:v>2021</x:v>
      </x:c>
      <x:c r="C344" s="168" t="n">
        <x:v>9</x:v>
      </x:c>
      <x:c r="D344" s="168" t="str">
        <x:v>Days inventory outstanding</x:v>
      </x:c>
      <x:c r="E344" s="168" t="str">
        <x:v>Additional</x:v>
      </x:c>
      <x:c r="F344" s="169" t="n">
        <x:f>365*AVERAGE(DGKC!C65,DGKC!D65)</x:f>
        <x:v>5146303.265</x:v>
      </x:c>
      <x:c r="G344" s="169" t="n">
        <x:f>-DGKC!D85</x:f>
        <x:v>37035.798</x:v>
      </x:c>
      <x:c r="H344" s="169" t="n">
        <x:f>IF(G344&lt;=0,"n/m",F344/G344)</x:f>
        <x:v>138.95483675010863</x:v>
      </x:c>
      <x:c r="I344" s="169" t="n">
        <x:v>5146303.265</x:v>
      </x:c>
      <x:c r="J344" s="169" t="n">
        <x:v>37035.798</x:v>
      </x:c>
      <x:c r="K344" s="169" t="n">
        <x:v>138.95483675010863</x:v>
      </x:c>
      <x:c r="L344" s="175" t="n">
        <x:v>138.95483675010863</x:v>
      </x:c>
      <x:c r="M344" s="175" t="n">
        <x:f>DGKC!D147</x:f>
        <x:v>138.95483675010863</x:v>
      </x:c>
      <x:c r="N344" s="176" t="str">
        <x:f>IF(AND(ABS(F344-I344)&lt;0.000001,ABS(G344-J344)&lt;0.000001,IF(ISNUMBER(L344),IF(ISNUMBER(M344),ABS(L344-M344)&lt;0.00000001,FALSE),M344=L344)),"PASS","FAIL")</x:f>
        <x:v>PASS</x:v>
      </x:c>
      <x:c r="O344" s="171" t="str"/>
      <x:c r="P344" s="168" t="str">
        <x:v>Asset Management</x:v>
      </x:c>
    </x:row>
    <x:row r="345" ht="26" customHeight="1">
      <x:c r="A345" s="76" t="str">
        <x:v>DGKC</x:v>
      </x:c>
      <x:c r="B345" s="76" t="n">
        <x:v>2021</x:v>
      </x:c>
      <x:c r="C345" s="76" t="n">
        <x:v>10</x:v>
      </x:c>
      <x:c r="D345" s="76" t="str">
        <x:v>Days sales outstanding</x:v>
      </x:c>
      <x:c r="E345" s="76" t="str">
        <x:v>Mandatory</x:v>
      </x:c>
      <x:c r="F345" s="170" t="n">
        <x:f>365*AVERAGE(DGKC!C32,DGKC!D32)</x:f>
        <x:v>723125.0425</x:v>
      </x:c>
      <x:c r="G345" s="170" t="n">
        <x:f>DGKC!D84</x:f>
        <x:v>45107.69</x:v>
      </x:c>
      <x:c r="H345" s="170" t="n">
        <x:f>IF(G345&lt;=0,"n/m",F345/G345)</x:f>
        <x:v>16.031081230273596</x:v>
      </x:c>
      <x:c r="I345" s="170" t="n">
        <x:v>723125.0425</x:v>
      </x:c>
      <x:c r="J345" s="170" t="n">
        <x:v>45107.69</x:v>
      </x:c>
      <x:c r="K345" s="170" t="n">
        <x:v>16.031081230273596</x:v>
      </x:c>
      <x:c r="L345" s="177" t="n">
        <x:v>16.031081230273596</x:v>
      </x:c>
      <x:c r="M345" s="177" t="n">
        <x:f>DGKC!D148</x:f>
        <x:v>16.031081230273596</x:v>
      </x:c>
      <x:c r="N345" s="178" t="str">
        <x:f>IF(AND(ABS(F345-I345)&lt;0.000001,ABS(G345-J345)&lt;0.000001,IF(ISNUMBER(L345),IF(ISNUMBER(M345),ABS(L345-M345)&lt;0.00000001,FALSE),M345=L345)),"PASS","FAIL")</x:f>
        <x:v>PASS</x:v>
      </x:c>
      <x:c r="O345" s="99" t="str"/>
      <x:c r="P345" s="76" t="str">
        <x:v>Asset Management</x:v>
      </x:c>
    </x:row>
    <x:row r="346" ht="26" customHeight="1">
      <x:c r="A346" s="168" t="str">
        <x:v>DGKC</x:v>
      </x:c>
      <x:c r="B346" s="168" t="n">
        <x:v>2021</x:v>
      </x:c>
      <x:c r="C346" s="168" t="n">
        <x:v>11</x:v>
      </x:c>
      <x:c r="D346" s="168" t="str">
        <x:v>Days payables outstanding</x:v>
      </x:c>
      <x:c r="E346" s="168" t="str">
        <x:v>Additional</x:v>
      </x:c>
      <x:c r="F346" s="169" t="n">
        <x:f>365*AVERAGE(DGKC!C51,DGKC!D51)</x:f>
        <x:v>2135423.375</x:v>
      </x:c>
      <x:c r="G346" s="169" t="n">
        <x:f>-DGKC!D85</x:f>
        <x:v>37035.798</x:v>
      </x:c>
      <x:c r="H346" s="169" t="n">
        <x:f>IF(G346&lt;=0,"n/m",F346/G346)</x:f>
        <x:v>57.65836002777637</x:v>
      </x:c>
      <x:c r="I346" s="169" t="n">
        <x:v>2135423.375</x:v>
      </x:c>
      <x:c r="J346" s="169" t="n">
        <x:v>37035.798</x:v>
      </x:c>
      <x:c r="K346" s="169" t="n">
        <x:v>57.65836002777637</x:v>
      </x:c>
      <x:c r="L346" s="175" t="n">
        <x:v>57.65836002777637</x:v>
      </x:c>
      <x:c r="M346" s="175" t="n">
        <x:f>DGKC!D149</x:f>
        <x:v>57.65836002777637</x:v>
      </x:c>
      <x:c r="N346" s="176" t="str">
        <x:f>IF(AND(ABS(F346-I346)&lt;0.000001,ABS(G346-J346)&lt;0.000001,IF(ISNUMBER(L346),IF(ISNUMBER(M346),ABS(L346-M346)&lt;0.00000001,FALSE),M346=L346)),"PASS","FAIL")</x:f>
        <x:v>PASS</x:v>
      </x:c>
      <x:c r="O346" s="171" t="str"/>
      <x:c r="P346" s="168" t="str">
        <x:v>Asset Management</x:v>
      </x:c>
    </x:row>
    <x:row r="347" ht="26" customHeight="1">
      <x:c r="A347" s="76" t="str">
        <x:v>DGKC</x:v>
      </x:c>
      <x:c r="B347" s="76" t="n">
        <x:v>2021</x:v>
      </x:c>
      <x:c r="C347" s="76" t="n">
        <x:v>12</x:v>
      </x:c>
      <x:c r="D347" s="76" t="str">
        <x:v>Operating cycle (days)</x:v>
      </x:c>
      <x:c r="E347" s="76" t="str">
        <x:v>Additional</x:v>
      </x:c>
      <x:c r="F347" s="170" t="n">
        <x:f>365*AVERAGE(DGKC!C65,DGKC!D65)/(-DGKC!D85)+365*AVERAGE(DGKC!C32,DGKC!D32)/DGKC!D84</x:f>
        <x:v>154.98591798038223</x:v>
      </x:c>
      <x:c r="G347" s="170" t="n">
        <x:f>1</x:f>
        <x:v>1</x:v>
      </x:c>
      <x:c r="H347" s="170" t="n">
        <x:f>IF(G347&lt;=0,"n/m",F347/G347)</x:f>
        <x:v>154.98591798038223</x:v>
      </x:c>
      <x:c r="I347" s="170" t="n">
        <x:v>154.98591798038223</x:v>
      </x:c>
      <x:c r="J347" s="170" t="n">
        <x:v>1</x:v>
      </x:c>
      <x:c r="K347" s="170" t="n">
        <x:v>154.98591798038223</x:v>
      </x:c>
      <x:c r="L347" s="177" t="n">
        <x:v>154.98591798038223</x:v>
      </x:c>
      <x:c r="M347" s="177" t="n">
        <x:f>DGKC!D150</x:f>
        <x:v>154.98591798038223</x:v>
      </x:c>
      <x:c r="N347" s="178" t="str">
        <x:f>IF(AND(ABS(F347-I347)&lt;0.000001,ABS(G347-J347)&lt;0.000001,IF(ISNUMBER(L347),IF(ISNUMBER(M347),ABS(L347-M347)&lt;0.00000001,FALSE),M347=L347)),"PASS","FAIL")</x:f>
        <x:v>PASS</x:v>
      </x:c>
      <x:c r="O347" s="99" t="str"/>
      <x:c r="P347" s="76" t="str">
        <x:v>Asset Management</x:v>
      </x:c>
    </x:row>
    <x:row r="348" ht="26" customHeight="1">
      <x:c r="A348" s="168" t="str">
        <x:v>DGKC</x:v>
      </x:c>
      <x:c r="B348" s="168" t="n">
        <x:v>2021</x:v>
      </x:c>
      <x:c r="C348" s="168" t="n">
        <x:v>13</x:v>
      </x:c>
      <x:c r="D348" s="168" t="str">
        <x:v>Cash conversion cycle (days)</x:v>
      </x:c>
      <x:c r="E348" s="168" t="str">
        <x:v>Additional</x:v>
      </x:c>
      <x:c r="F348" s="169" t="n">
        <x:f>365*AVERAGE(DGKC!C65,DGKC!D65)/(-DGKC!D85)+365*AVERAGE(DGKC!C32,DGKC!D32)/DGKC!D84-365*AVERAGE(DGKC!C51,DGKC!D51)/(-DGKC!D85)</x:f>
        <x:v>97.32755795260586</x:v>
      </x:c>
      <x:c r="G348" s="169" t="n">
        <x:f>1</x:f>
        <x:v>1</x:v>
      </x:c>
      <x:c r="H348" s="169" t="n">
        <x:f>IF(G348&lt;=0,"n/m",F348/G348)</x:f>
        <x:v>97.32755795260586</x:v>
      </x:c>
      <x:c r="I348" s="169" t="n">
        <x:v>97.32755795260586</x:v>
      </x:c>
      <x:c r="J348" s="169" t="n">
        <x:v>1</x:v>
      </x:c>
      <x:c r="K348" s="169" t="n">
        <x:v>97.32755795260586</x:v>
      </x:c>
      <x:c r="L348" s="175" t="n">
        <x:v>97.32755795260586</x:v>
      </x:c>
      <x:c r="M348" s="175" t="n">
        <x:f>DGKC!D151</x:f>
        <x:v>97.32755795260586</x:v>
      </x:c>
      <x:c r="N348" s="176" t="str">
        <x:f>IF(AND(ABS(F348-I348)&lt;0.000001,ABS(G348-J348)&lt;0.000001,IF(ISNUMBER(L348),IF(ISNUMBER(M348),ABS(L348-M348)&lt;0.00000001,FALSE),M348=L348)),"PASS","FAIL")</x:f>
        <x:v>PASS</x:v>
      </x:c>
      <x:c r="O348" s="171" t="str"/>
      <x:c r="P348" s="168" t="str">
        <x:v>Asset Management</x:v>
      </x:c>
    </x:row>
    <x:row r="349" ht="26" customHeight="1">
      <x:c r="A349" s="76" t="str">
        <x:v>DGKC</x:v>
      </x:c>
      <x:c r="B349" s="76" t="n">
        <x:v>2021</x:v>
      </x:c>
      <x:c r="C349" s="76" t="n">
        <x:v>14</x:v>
      </x:c>
      <x:c r="D349" s="76" t="str">
        <x:v>Total asset turnover</x:v>
      </x:c>
      <x:c r="E349" s="76" t="str">
        <x:v>Mandatory</x:v>
      </x:c>
      <x:c r="F349" s="170" t="n">
        <x:f>DGKC!D84</x:f>
        <x:v>45107.69</x:v>
      </x:c>
      <x:c r="G349" s="170" t="n">
        <x:f>AVERAGE(DGKC!C37,DGKC!D37)</x:f>
        <x:v>133723.1155</x:v>
      </x:c>
      <x:c r="H349" s="170" t="n">
        <x:f>IF(G349&lt;=0,"n/m",F349/G349)</x:f>
        <x:v>0.337321560534536</x:v>
      </x:c>
      <x:c r="I349" s="170" t="n">
        <x:v>45107.69</x:v>
      </x:c>
      <x:c r="J349" s="170" t="n">
        <x:v>133723.1155</x:v>
      </x:c>
      <x:c r="K349" s="170" t="n">
        <x:v>0.337321560534536</x:v>
      </x:c>
      <x:c r="L349" s="177" t="n">
        <x:v>0.337321560534536</x:v>
      </x:c>
      <x:c r="M349" s="177" t="n">
        <x:f>DGKC!D152</x:f>
        <x:v>0.337321560534536</x:v>
      </x:c>
      <x:c r="N349" s="178" t="str">
        <x:f>IF(AND(ABS(F349-I349)&lt;0.000001,ABS(G349-J349)&lt;0.000001,IF(ISNUMBER(L349),IF(ISNUMBER(M349),ABS(L349-M349)&lt;0.00000001,FALSE),M349=L349)),"PASS","FAIL")</x:f>
        <x:v>PASS</x:v>
      </x:c>
      <x:c r="O349" s="99" t="str"/>
      <x:c r="P349" s="76" t="str">
        <x:v>Asset Management</x:v>
      </x:c>
    </x:row>
    <x:row r="350" ht="26" customHeight="1">
      <x:c r="A350" s="168" t="str">
        <x:v>DGKC</x:v>
      </x:c>
      <x:c r="B350" s="168" t="n">
        <x:v>2021</x:v>
      </x:c>
      <x:c r="C350" s="168" t="n">
        <x:v>15</x:v>
      </x:c>
      <x:c r="D350" s="168" t="str">
        <x:v>Fixed asset turnover</x:v>
      </x:c>
      <x:c r="E350" s="168" t="str">
        <x:v>Mandatory</x:v>
      </x:c>
      <x:c r="F350" s="169" t="n">
        <x:f>DGKC!D84</x:f>
        <x:v>45107.69</x:v>
      </x:c>
      <x:c r="G350" s="169" t="n">
        <x:f>AVERAGE(DGKC!C22,DGKC!D22)</x:f>
        <x:v>77236.2125</x:v>
      </x:c>
      <x:c r="H350" s="169" t="n">
        <x:f>IF(G350&lt;=0,"n/m",F350/G350)</x:f>
        <x:v>0.5840225528925309</x:v>
      </x:c>
      <x:c r="I350" s="169" t="n">
        <x:v>45107.69</x:v>
      </x:c>
      <x:c r="J350" s="169" t="n">
        <x:v>77236.2125</x:v>
      </x:c>
      <x:c r="K350" s="169" t="n">
        <x:v>0.5840225528925309</x:v>
      </x:c>
      <x:c r="L350" s="175" t="n">
        <x:v>0.5840225528925309</x:v>
      </x:c>
      <x:c r="M350" s="175" t="n">
        <x:f>DGKC!D153</x:f>
        <x:v>0.5840225528925309</x:v>
      </x:c>
      <x:c r="N350" s="176" t="str">
        <x:f>IF(AND(ABS(F350-I350)&lt;0.000001,ABS(G350-J350)&lt;0.000001,IF(ISNUMBER(L350),IF(ISNUMBER(M350),ABS(L350-M350)&lt;0.00000001,FALSE),M350=L350)),"PASS","FAIL")</x:f>
        <x:v>PASS</x:v>
      </x:c>
      <x:c r="O350" s="171" t="str"/>
      <x:c r="P350" s="168" t="str">
        <x:v>Asset Management</x:v>
      </x:c>
    </x:row>
    <x:row r="351" ht="26" customHeight="1">
      <x:c r="A351" s="76" t="str">
        <x:v>DGKC</x:v>
      </x:c>
      <x:c r="B351" s="76" t="n">
        <x:v>2021</x:v>
      </x:c>
      <x:c r="C351" s="76" t="n">
        <x:v>16</x:v>
      </x:c>
      <x:c r="D351" s="76" t="str">
        <x:v>Debt ratio</x:v>
      </x:c>
      <x:c r="E351" s="76" t="str">
        <x:v>Mandatory</x:v>
      </x:c>
      <x:c r="F351" s="170" t="n">
        <x:f>DGKC!D62</x:f>
        <x:v>64416.82399999999</x:v>
      </x:c>
      <x:c r="G351" s="170" t="n">
        <x:f>DGKC!D37</x:f>
        <x:v>137894.69700000001</x:v>
      </x:c>
      <x:c r="H351" s="170" t="n">
        <x:f>IF(G351&lt;=0,"n/m",F351/G351)</x:f>
        <x:v>0.46714504184305206</x:v>
      </x:c>
      <x:c r="I351" s="170" t="n">
        <x:v>64416.82399999999</x:v>
      </x:c>
      <x:c r="J351" s="170" t="n">
        <x:v>137894.697</x:v>
      </x:c>
      <x:c r="K351" s="170" t="n">
        <x:v>0.46714504184305217</x:v>
      </x:c>
      <x:c r="L351" s="177" t="n">
        <x:v>0.46714504184305217</x:v>
      </x:c>
      <x:c r="M351" s="177" t="n">
        <x:f>DGKC!D155</x:f>
        <x:v>0.46714504184305206</x:v>
      </x:c>
      <x:c r="N351" s="178" t="str">
        <x:f>IF(AND(ABS(F351-I351)&lt;0.000001,ABS(G351-J351)&lt;0.000001,IF(ISNUMBER(L351),IF(ISNUMBER(M351),ABS(L351-M351)&lt;0.00000001,FALSE),M351=L351)),"PASS","FAIL")</x:f>
        <x:v>PASS</x:v>
      </x:c>
      <x:c r="O351" s="99" t="str"/>
      <x:c r="P351" s="76" t="str">
        <x:v>Debt Management</x:v>
      </x:c>
    </x:row>
    <x:row r="352" ht="26" customHeight="1">
      <x:c r="A352" s="168" t="str">
        <x:v>DGKC</x:v>
      </x:c>
      <x:c r="B352" s="168" t="n">
        <x:v>2021</x:v>
      </x:c>
      <x:c r="C352" s="168" t="n">
        <x:v>17</x:v>
      </x:c>
      <x:c r="D352" s="168" t="str">
        <x:v>Debt-to-equity</x:v>
      </x:c>
      <x:c r="E352" s="168" t="str">
        <x:v>Mandatory</x:v>
      </x:c>
      <x:c r="F352" s="169" t="n">
        <x:f>DGKC!D62</x:f>
        <x:v>64416.82399999999</x:v>
      </x:c>
      <x:c r="G352" s="169" t="n">
        <x:f>DGKC!D41</x:f>
        <x:v>73477.873</x:v>
      </x:c>
      <x:c r="H352" s="169" t="n">
        <x:f>IF(G352&lt;=0,"n/m",F352/G352)</x:f>
        <x:v>0.8766832975690517</x:v>
      </x:c>
      <x:c r="I352" s="169" t="n">
        <x:v>64416.82399999999</x:v>
      </x:c>
      <x:c r="J352" s="169" t="n">
        <x:v>73477.873</x:v>
      </x:c>
      <x:c r="K352" s="169" t="n">
        <x:v>0.8766832975690517</x:v>
      </x:c>
      <x:c r="L352" s="175" t="n">
        <x:v>0.8766832975690517</x:v>
      </x:c>
      <x:c r="M352" s="175" t="n">
        <x:f>DGKC!D156</x:f>
        <x:v>0.8766832975690517</x:v>
      </x:c>
      <x:c r="N352" s="176" t="str">
        <x:f>IF(AND(ABS(F352-I352)&lt;0.000001,ABS(G352-J352)&lt;0.000001,IF(ISNUMBER(L352),IF(ISNUMBER(M352),ABS(L352-M352)&lt;0.00000001,FALSE),M352=L352)),"PASS","FAIL")</x:f>
        <x:v>PASS</x:v>
      </x:c>
      <x:c r="O352" s="171" t="str"/>
      <x:c r="P352" s="168" t="str">
        <x:v>Debt Management</x:v>
      </x:c>
    </x:row>
    <x:row r="353" ht="26" customHeight="1">
      <x:c r="A353" s="76" t="str">
        <x:v>DGKC</x:v>
      </x:c>
      <x:c r="B353" s="76" t="n">
        <x:v>2021</x:v>
      </x:c>
      <x:c r="C353" s="76" t="n">
        <x:v>18</x:v>
      </x:c>
      <x:c r="D353" s="76" t="str">
        <x:v>Total debt-to-capital</x:v>
      </x:c>
      <x:c r="E353" s="76" t="str">
        <x:v>Additional</x:v>
      </x:c>
      <x:c r="F353" s="170" t="n">
        <x:f>DGKC!D66</x:f>
        <x:v>43792.817</x:v>
      </x:c>
      <x:c r="G353" s="170" t="n">
        <x:f>DGKC!D66+DGKC!D41</x:f>
        <x:v>117270.69</x:v>
      </x:c>
      <x:c r="H353" s="170" t="n">
        <x:f>IF(G353&lt;=0,"n/m",F353/G353)</x:f>
        <x:v>0.37343360902882045</x:v>
      </x:c>
      <x:c r="I353" s="170" t="n">
        <x:v>43792.816999999995</x:v>
      </x:c>
      <x:c r="J353" s="170" t="n">
        <x:v>117270.69</x:v>
      </x:c>
      <x:c r="K353" s="170" t="n">
        <x:v>0.3734336090288204</x:v>
      </x:c>
      <x:c r="L353" s="177" t="n">
        <x:v>0.3734336090288204</x:v>
      </x:c>
      <x:c r="M353" s="177" t="n">
        <x:f>DGKC!D157</x:f>
        <x:v>0.37343360902882045</x:v>
      </x:c>
      <x:c r="N353" s="178" t="str">
        <x:f>IF(AND(ABS(F353-I353)&lt;0.000001,ABS(G353-J353)&lt;0.000001,IF(ISNUMBER(L353),IF(ISNUMBER(M353),ABS(L353-M353)&lt;0.00000001,FALSE),M353=L353)),"PASS","FAIL")</x:f>
        <x:v>PASS</x:v>
      </x:c>
      <x:c r="O353" s="99" t="str"/>
      <x:c r="P353" s="76" t="str">
        <x:v>Debt Management</x:v>
      </x:c>
    </x:row>
    <x:row r="354" ht="26" customHeight="1">
      <x:c r="A354" s="168" t="str">
        <x:v>DGKC</x:v>
      </x:c>
      <x:c r="B354" s="168" t="n">
        <x:v>2021</x:v>
      </x:c>
      <x:c r="C354" s="168" t="n">
        <x:v>19</x:v>
      </x:c>
      <x:c r="D354" s="168" t="str">
        <x:v>Long-term debt ratio</x:v>
      </x:c>
      <x:c r="E354" s="168" t="str">
        <x:v>Additional</x:v>
      </x:c>
      <x:c r="F354" s="169" t="n">
        <x:f>DGKC!D67</x:f>
        <x:v>19300.064</x:v>
      </x:c>
      <x:c r="G354" s="169" t="n">
        <x:f>DGKC!D37</x:f>
        <x:v>137894.69700000001</x:v>
      </x:c>
      <x:c r="H354" s="169" t="n">
        <x:f>IF(G354&lt;=0,"n/m",F354/G354)</x:f>
        <x:v>0.13996233662270563</x:v>
      </x:c>
      <x:c r="I354" s="169" t="n">
        <x:v>19300.064</x:v>
      </x:c>
      <x:c r="J354" s="169" t="n">
        <x:v>137894.697</x:v>
      </x:c>
      <x:c r="K354" s="169" t="n">
        <x:v>0.13996233662270566</x:v>
      </x:c>
      <x:c r="L354" s="175" t="n">
        <x:v>0.13996233662270566</x:v>
      </x:c>
      <x:c r="M354" s="175" t="n">
        <x:f>DGKC!D158</x:f>
        <x:v>0.13996233662270563</x:v>
      </x:c>
      <x:c r="N354" s="176" t="str">
        <x:f>IF(AND(ABS(F354-I354)&lt;0.000001,ABS(G354-J354)&lt;0.000001,IF(ISNUMBER(L354),IF(ISNUMBER(M354),ABS(L354-M354)&lt;0.00000001,FALSE),M354=L354)),"PASS","FAIL")</x:f>
        <x:v>PASS</x:v>
      </x:c>
      <x:c r="O354" s="171" t="str"/>
      <x:c r="P354" s="168" t="str">
        <x:v>Debt Management</x:v>
      </x:c>
    </x:row>
    <x:row r="355" ht="26" customHeight="1">
      <x:c r="A355" s="76" t="str">
        <x:v>DGKC</x:v>
      </x:c>
      <x:c r="B355" s="76" t="n">
        <x:v>2021</x:v>
      </x:c>
      <x:c r="C355" s="76" t="n">
        <x:v>20</x:v>
      </x:c>
      <x:c r="D355" s="76" t="str">
        <x:v>Times interest earned</x:v>
      </x:c>
      <x:c r="E355" s="76" t="str">
        <x:v>Mandatory</x:v>
      </x:c>
      <x:c r="F355" s="170" t="n">
        <x:f>DGKC!D108</x:f>
        <x:v>7692.280000000001</x:v>
      </x:c>
      <x:c r="G355" s="170" t="n">
        <x:f>DGKC!D106</x:f>
        <x:v>2886.109</x:v>
      </x:c>
      <x:c r="H355" s="170" t="n">
        <x:f>IF(G355&lt;=0,"n/m",F355/G355)</x:f>
        <x:v>2.665277021761826</x:v>
      </x:c>
      <x:c r="I355" s="170" t="n">
        <x:v>7692.28</x:v>
      </x:c>
      <x:c r="J355" s="170" t="n">
        <x:v>2886.109</x:v>
      </x:c>
      <x:c r="K355" s="170" t="n">
        <x:v>2.6652770217618253</x:v>
      </x:c>
      <x:c r="L355" s="177" t="n">
        <x:v>2.6652770217618253</x:v>
      </x:c>
      <x:c r="M355" s="177" t="n">
        <x:f>DGKC!D159</x:f>
        <x:v>2.665277021761826</x:v>
      </x:c>
      <x:c r="N355" s="178" t="str">
        <x:f>IF(AND(ABS(F355-I355)&lt;0.000001,ABS(G355-J355)&lt;0.000001,IF(ISNUMBER(L355),IF(ISNUMBER(M355),ABS(L355-M355)&lt;0.00000001,FALSE),M355=L355)),"PASS","FAIL")</x:f>
        <x:v>PASS</x:v>
      </x:c>
      <x:c r="O355" s="99" t="str"/>
      <x:c r="P355" s="76" t="str">
        <x:v>Debt Management</x:v>
      </x:c>
    </x:row>
    <x:row r="356" ht="26" customHeight="1">
      <x:c r="A356" s="168" t="str">
        <x:v>DGKC</x:v>
      </x:c>
      <x:c r="B356" s="168" t="n">
        <x:v>2021</x:v>
      </x:c>
      <x:c r="C356" s="168" t="n">
        <x:v>21</x:v>
      </x:c>
      <x:c r="D356" s="168" t="str">
        <x:v>Gross profit margin</x:v>
      </x:c>
      <x:c r="E356" s="168" t="str">
        <x:v>Mandatory</x:v>
      </x:c>
      <x:c r="F356" s="169" t="n">
        <x:f>DGKC!D86</x:f>
        <x:v>8071.892</x:v>
      </x:c>
      <x:c r="G356" s="169" t="n">
        <x:f>DGKC!D84</x:f>
        <x:v>45107.69</x:v>
      </x:c>
      <x:c r="H356" s="169" t="n">
        <x:f>IF(G356&lt;=0,"n/m",F356/G356)</x:f>
        <x:v>0.1789471373949763</x:v>
      </x:c>
      <x:c r="I356" s="169" t="n">
        <x:v>8071.892</x:v>
      </x:c>
      <x:c r="J356" s="169" t="n">
        <x:v>45107.69</x:v>
      </x:c>
      <x:c r="K356" s="169" t="n">
        <x:v>0.1789471373949763</x:v>
      </x:c>
      <x:c r="L356" s="175" t="n">
        <x:v>0.1789471373949763</x:v>
      </x:c>
      <x:c r="M356" s="175" t="n">
        <x:f>DGKC!D161</x:f>
        <x:v>0.1789471373949763</x:v>
      </x:c>
      <x:c r="N356" s="176" t="str">
        <x:f>IF(AND(ABS(F356-I356)&lt;0.000001,ABS(G356-J356)&lt;0.000001,IF(ISNUMBER(L356),IF(ISNUMBER(M356),ABS(L356-M356)&lt;0.00000001,FALSE),M356=L356)),"PASS","FAIL")</x:f>
        <x:v>PASS</x:v>
      </x:c>
      <x:c r="O356" s="171" t="str"/>
      <x:c r="P356" s="168" t="str">
        <x:v>Profitability</x:v>
      </x:c>
    </x:row>
    <x:row r="357" ht="26" customHeight="1">
      <x:c r="A357" s="76" t="str">
        <x:v>DGKC</x:v>
      </x:c>
      <x:c r="B357" s="76" t="n">
        <x:v>2021</x:v>
      </x:c>
      <x:c r="C357" s="76" t="n">
        <x:v>22</x:v>
      </x:c>
      <x:c r="D357" s="76" t="str">
        <x:v>Operating margin</x:v>
      </x:c>
      <x:c r="E357" s="76" t="str">
        <x:v>Mandatory</x:v>
      </x:c>
      <x:c r="F357" s="170" t="n">
        <x:f>DGKC!D91</x:f>
        <x:v>5165.462</x:v>
      </x:c>
      <x:c r="G357" s="170" t="n">
        <x:f>DGKC!D84</x:f>
        <x:v>45107.69</x:v>
      </x:c>
      <x:c r="H357" s="170" t="n">
        <x:f>IF(G357&lt;=0,"n/m",F357/G357)</x:f>
        <x:v>0.11451399971933833</x:v>
      </x:c>
      <x:c r="I357" s="170" t="n">
        <x:v>5165.4619999999995</x:v>
      </x:c>
      <x:c r="J357" s="170" t="n">
        <x:v>45107.69</x:v>
      </x:c>
      <x:c r="K357" s="170" t="n">
        <x:v>0.1145139997193383</x:v>
      </x:c>
      <x:c r="L357" s="177" t="n">
        <x:v>0.1145139997193383</x:v>
      </x:c>
      <x:c r="M357" s="177" t="n">
        <x:f>DGKC!D162</x:f>
        <x:v>0.11451399971933833</x:v>
      </x:c>
      <x:c r="N357" s="178" t="str">
        <x:f>IF(AND(ABS(F357-I357)&lt;0.000001,ABS(G357-J357)&lt;0.000001,IF(ISNUMBER(L357),IF(ISNUMBER(M357),ABS(L357-M357)&lt;0.00000001,FALSE),M357=L357)),"PASS","FAIL")</x:f>
        <x:v>PASS</x:v>
      </x:c>
      <x:c r="O357" s="99" t="str"/>
      <x:c r="P357" s="76" t="str">
        <x:v>Profitability</x:v>
      </x:c>
    </x:row>
    <x:row r="358" ht="26" customHeight="1">
      <x:c r="A358" s="168" t="str">
        <x:v>DGKC</x:v>
      </x:c>
      <x:c r="B358" s="168" t="n">
        <x:v>2021</x:v>
      </x:c>
      <x:c r="C358" s="168" t="n">
        <x:v>23</x:v>
      </x:c>
      <x:c r="D358" s="168" t="str">
        <x:v>Net profit margin</x:v>
      </x:c>
      <x:c r="E358" s="168" t="str">
        <x:v>Mandatory</x:v>
      </x:c>
      <x:c r="F358" s="169" t="n">
        <x:f>DGKC!D99</x:f>
        <x:v>3721.2730000000006</x:v>
      </x:c>
      <x:c r="G358" s="169" t="n">
        <x:f>DGKC!D84</x:f>
        <x:v>45107.69</x:v>
      </x:c>
      <x:c r="H358" s="169" t="n">
        <x:f>IF(G358&lt;=0,"n/m",F358/G358)</x:f>
        <x:v>0.08249752980035112</x:v>
      </x:c>
      <x:c r="I358" s="169" t="n">
        <x:v>3721.2729999999997</x:v>
      </x:c>
      <x:c r="J358" s="169" t="n">
        <x:v>45107.69</x:v>
      </x:c>
      <x:c r="K358" s="169" t="n">
        <x:v>0.0824975298003511</x:v>
      </x:c>
      <x:c r="L358" s="175" t="n">
        <x:v>0.0824975298003511</x:v>
      </x:c>
      <x:c r="M358" s="175" t="n">
        <x:f>DGKC!D163</x:f>
        <x:v>0.08249752980035112</x:v>
      </x:c>
      <x:c r="N358" s="176" t="str">
        <x:f>IF(AND(ABS(F358-I358)&lt;0.000001,ABS(G358-J358)&lt;0.000001,IF(ISNUMBER(L358),IF(ISNUMBER(M358),ABS(L358-M358)&lt;0.00000001,FALSE),M358=L358)),"PASS","FAIL")</x:f>
        <x:v>PASS</x:v>
      </x:c>
      <x:c r="O358" s="171" t="str"/>
      <x:c r="P358" s="168" t="str">
        <x:v>Profitability</x:v>
      </x:c>
    </x:row>
    <x:row r="359" ht="26" customHeight="1">
      <x:c r="A359" s="76" t="str">
        <x:v>DGKC</x:v>
      </x:c>
      <x:c r="B359" s="76" t="n">
        <x:v>2021</x:v>
      </x:c>
      <x:c r="C359" s="76" t="n">
        <x:v>24</x:v>
      </x:c>
      <x:c r="D359" s="76" t="str">
        <x:v>Return on assets</x:v>
      </x:c>
      <x:c r="E359" s="76" t="str">
        <x:v>Mandatory</x:v>
      </x:c>
      <x:c r="F359" s="170" t="n">
        <x:f>DGKC!D99</x:f>
        <x:v>3721.2730000000006</x:v>
      </x:c>
      <x:c r="G359" s="170" t="n">
        <x:f>AVERAGE(DGKC!C37,DGKC!D37)</x:f>
        <x:v>133723.1155</x:v>
      </x:c>
      <x:c r="H359" s="170" t="n">
        <x:f>IF(G359&lt;=0,"n/m",F359/G359)</x:f>
        <x:v>0.02782819549249883</x:v>
      </x:c>
      <x:c r="I359" s="170" t="n">
        <x:v>3721.2729999999997</x:v>
      </x:c>
      <x:c r="J359" s="170" t="n">
        <x:v>133723.1155</x:v>
      </x:c>
      <x:c r="K359" s="170" t="n">
        <x:v>0.027828195492498823</x:v>
      </x:c>
      <x:c r="L359" s="177" t="n">
        <x:v>0.027828195492498823</x:v>
      </x:c>
      <x:c r="M359" s="177" t="n">
        <x:f>DGKC!D164</x:f>
        <x:v>0.02782819549249883</x:v>
      </x:c>
      <x:c r="N359" s="178" t="str">
        <x:f>IF(AND(ABS(F359-I359)&lt;0.000001,ABS(G359-J359)&lt;0.000001,IF(ISNUMBER(L359),IF(ISNUMBER(M359),ABS(L359-M359)&lt;0.00000001,FALSE),M359=L359)),"PASS","FAIL")</x:f>
        <x:v>PASS</x:v>
      </x:c>
      <x:c r="O359" s="99" t="str"/>
      <x:c r="P359" s="76" t="str">
        <x:v>Profitability</x:v>
      </x:c>
    </x:row>
    <x:row r="360" ht="26" customHeight="1">
      <x:c r="A360" s="168" t="str">
        <x:v>DGKC</x:v>
      </x:c>
      <x:c r="B360" s="168" t="n">
        <x:v>2021</x:v>
      </x:c>
      <x:c r="C360" s="168" t="n">
        <x:v>25</x:v>
      </x:c>
      <x:c r="D360" s="168" t="str">
        <x:v>Return on equity</x:v>
      </x:c>
      <x:c r="E360" s="168" t="str">
        <x:v>Mandatory</x:v>
      </x:c>
      <x:c r="F360" s="169" t="n">
        <x:f>DGKC!D99</x:f>
        <x:v>3721.2730000000006</x:v>
      </x:c>
      <x:c r="G360" s="169" t="n">
        <x:f>AVERAGE(DGKC!C41,DGKC!D41)</x:f>
        <x:v>70061.01500000001</x:v>
      </x:c>
      <x:c r="H360" s="169" t="n">
        <x:f>IF(G360&lt;=0,"n/m",F360/G360)</x:f>
        <x:v>0.05311474576838488</x:v>
      </x:c>
      <x:c r="I360" s="169" t="n">
        <x:v>3721.2729999999997</x:v>
      </x:c>
      <x:c r="J360" s="169" t="n">
        <x:v>70061.01500000001</x:v>
      </x:c>
      <x:c r="K360" s="169" t="n">
        <x:v>0.05311474576838487</x:v>
      </x:c>
      <x:c r="L360" s="175" t="n">
        <x:v>0.05311474576838487</x:v>
      </x:c>
      <x:c r="M360" s="175" t="n">
        <x:f>DGKC!D165</x:f>
        <x:v>0.05311474576838488</x:v>
      </x:c>
      <x:c r="N360" s="176" t="str">
        <x:f>IF(AND(ABS(F360-I360)&lt;0.000001,ABS(G360-J360)&lt;0.000001,IF(ISNUMBER(L360),IF(ISNUMBER(M360),ABS(L360-M360)&lt;0.00000001,FALSE),M360=L360)),"PASS","FAIL")</x:f>
        <x:v>PASS</x:v>
      </x:c>
      <x:c r="O360" s="171" t="str"/>
      <x:c r="P360" s="168" t="str">
        <x:v>Profitability</x:v>
      </x:c>
    </x:row>
    <x:row r="361" ht="26" customHeight="1">
      <x:c r="A361" s="76" t="str">
        <x:v>DGKC</x:v>
      </x:c>
      <x:c r="B361" s="76" t="n">
        <x:v>2021</x:v>
      </x:c>
      <x:c r="C361" s="76" t="n">
        <x:v>26</x:v>
      </x:c>
      <x:c r="D361" s="76" t="str">
        <x:v>Return on invested capital</x:v>
      </x:c>
      <x:c r="E361" s="76" t="str">
        <x:v>Additional</x:v>
      </x:c>
      <x:c r="F361" s="170" t="n">
        <x:f>DGKC!D113</x:f>
        <x:v>5999.296616497657</x:v>
      </x:c>
      <x:c r="G361" s="170" t="n">
        <x:f>AVERAGE(DGKC!C70,DGKC!D70)</x:f>
        <x:v>115696.7175</x:v>
      </x:c>
      <x:c r="H361" s="170" t="n">
        <x:f>IF(G361&lt;=0,"n/m",F361/G361)</x:f>
        <x:v>0.05185364586076227</x:v>
      </x:c>
      <x:c r="I361" s="170" t="n">
        <x:v>5999.296616497656</x:v>
      </x:c>
      <x:c r="J361" s="170" t="n">
        <x:v>115696.7175</x:v>
      </x:c>
      <x:c r="K361" s="170" t="n">
        <x:v>0.051853645860762264</x:v>
      </x:c>
      <x:c r="L361" s="177" t="n">
        <x:v>0.051853645860762264</x:v>
      </x:c>
      <x:c r="M361" s="177" t="n">
        <x:f>DGKC!D166</x:f>
        <x:v>0.05185364586076227</x:v>
      </x:c>
      <x:c r="N361" s="178" t="str">
        <x:f>IF(AND(ABS(F361-I361)&lt;0.000001,ABS(G361-J361)&lt;0.000001,IF(ISNUMBER(L361),IF(ISNUMBER(M361),ABS(L361-M361)&lt;0.00000001,FALSE),M361=L361)),"PASS","FAIL")</x:f>
        <x:v>PASS</x:v>
      </x:c>
      <x:c r="O361" s="99" t="str"/>
      <x:c r="P361" s="76" t="str">
        <x:v>Profitability</x:v>
      </x:c>
    </x:row>
    <x:row r="362" ht="26" customHeight="1">
      <x:c r="A362" s="168" t="str">
        <x:v>DGKC</x:v>
      </x:c>
      <x:c r="B362" s="168" t="n">
        <x:v>2021</x:v>
      </x:c>
      <x:c r="C362" s="168" t="n">
        <x:v>27</x:v>
      </x:c>
      <x:c r="D362" s="168" t="str">
        <x:v>Basic earning power</x:v>
      </x:c>
      <x:c r="E362" s="168" t="str">
        <x:v>Additional</x:v>
      </x:c>
      <x:c r="F362" s="169" t="n">
        <x:f>DGKC!D108</x:f>
        <x:v>7692.280000000001</x:v>
      </x:c>
      <x:c r="G362" s="169" t="n">
        <x:f>AVERAGE(DGKC!C37,DGKC!D37)</x:f>
        <x:v>133723.1155</x:v>
      </x:c>
      <x:c r="H362" s="169" t="n">
        <x:f>IF(G362&lt;=0,"n/m",F362/G362)</x:f>
        <x:v>0.05752393646556941</x:v>
      </x:c>
      <x:c r="I362" s="169" t="n">
        <x:v>7692.28</x:v>
      </x:c>
      <x:c r="J362" s="169" t="n">
        <x:v>133723.1155</x:v>
      </x:c>
      <x:c r="K362" s="169" t="n">
        <x:v>0.0575239364655694</x:v>
      </x:c>
      <x:c r="L362" s="175" t="n">
        <x:v>0.0575239364655694</x:v>
      </x:c>
      <x:c r="M362" s="175" t="n">
        <x:f>DGKC!D167</x:f>
        <x:v>0.05752393646556941</x:v>
      </x:c>
      <x:c r="N362" s="176" t="str">
        <x:f>IF(AND(ABS(F362-I362)&lt;0.000001,ABS(G362-J362)&lt;0.000001,IF(ISNUMBER(L362),IF(ISNUMBER(M362),ABS(L362-M362)&lt;0.00000001,FALSE),M362=L362)),"PASS","FAIL")</x:f>
        <x:v>PASS</x:v>
      </x:c>
      <x:c r="O362" s="171" t="str"/>
      <x:c r="P362" s="168" t="str">
        <x:v>Profitability</x:v>
      </x:c>
    </x:row>
    <x:row r="363" ht="26" customHeight="1">
      <x:c r="A363" s="76" t="str">
        <x:v>DGKC</x:v>
      </x:c>
      <x:c r="B363" s="76" t="n">
        <x:v>2021</x:v>
      </x:c>
      <x:c r="C363" s="76" t="n">
        <x:v>28</x:v>
      </x:c>
      <x:c r="D363" s="76" t="str">
        <x:v>Book value per share (Rs)</x:v>
      </x:c>
      <x:c r="E363" s="76" t="str">
        <x:v>Additional</x:v>
      </x:c>
      <x:c r="F363" s="170" t="n">
        <x:f>DGKC!D41</x:f>
        <x:v>73477.873</x:v>
      </x:c>
      <x:c r="G363" s="170" t="n">
        <x:f>DGKC!D128</x:f>
        <x:v>438.1191</x:v>
      </x:c>
      <x:c r="H363" s="170" t="n">
        <x:f>IF(G363&lt;=0,"n/m",F363/G363)</x:f>
        <x:v>167.71209700741193</x:v>
      </x:c>
      <x:c r="I363" s="170" t="n">
        <x:v>73477.873</x:v>
      </x:c>
      <x:c r="J363" s="170" t="n">
        <x:v>438.1191</x:v>
      </x:c>
      <x:c r="K363" s="170" t="n">
        <x:v>167.71209700741193</x:v>
      </x:c>
      <x:c r="L363" s="177" t="n">
        <x:v>167.71209700741193</x:v>
      </x:c>
      <x:c r="M363" s="177" t="n">
        <x:f>DGKC!D169</x:f>
        <x:v>167.71209700741193</x:v>
      </x:c>
      <x:c r="N363" s="178" t="str">
        <x:f>IF(AND(ABS(F363-I363)&lt;0.000001,ABS(G363-J363)&lt;0.000001,IF(ISNUMBER(L363),IF(ISNUMBER(M363),ABS(L363-M363)&lt;0.00000001,FALSE),M363=L363)),"PASS","FAIL")</x:f>
        <x:v>PASS</x:v>
      </x:c>
      <x:c r="O363" s="99" t="str"/>
      <x:c r="P363" s="76" t="str">
        <x:v>Market Value</x:v>
      </x:c>
    </x:row>
    <x:row r="364" ht="26" customHeight="1">
      <x:c r="A364" s="168" t="str">
        <x:v>DGKC</x:v>
      </x:c>
      <x:c r="B364" s="168" t="n">
        <x:v>2021</x:v>
      </x:c>
      <x:c r="C364" s="168" t="n">
        <x:v>29</x:v>
      </x:c>
      <x:c r="D364" s="168" t="str">
        <x:v>Market-to-book ratio</x:v>
      </x:c>
      <x:c r="E364" s="168" t="str">
        <x:v>Mandatory</x:v>
      </x:c>
      <x:c r="F364" s="169" t="n">
        <x:f>DGKC!D130</x:f>
        <x:v>117.92</x:v>
      </x:c>
      <x:c r="G364" s="169" t="n">
        <x:f>DGKC!D41/DGKC!D128</x:f>
        <x:v>167.71209700741193</x:v>
      </x:c>
      <x:c r="H364" s="169" t="n">
        <x:f>IF(G364&lt;=0,"n/m",F364/G364)</x:f>
        <x:v>0.7031096868032638</x:v>
      </x:c>
      <x:c r="I364" s="169" t="n">
        <x:v>117.92</x:v>
      </x:c>
      <x:c r="J364" s="169" t="n">
        <x:v>167.71209700741193</x:v>
      </x:c>
      <x:c r="K364" s="169" t="n">
        <x:v>0.7031096868032638</x:v>
      </x:c>
      <x:c r="L364" s="175" t="n">
        <x:v>0.7031096868032638</x:v>
      </x:c>
      <x:c r="M364" s="175" t="n">
        <x:f>DGKC!D170</x:f>
        <x:v>0.7031096868032638</x:v>
      </x:c>
      <x:c r="N364" s="176" t="str">
        <x:f>IF(AND(ABS(F364-I364)&lt;0.000001,ABS(G364-J364)&lt;0.000001,IF(ISNUMBER(L364),IF(ISNUMBER(M364),ABS(L364-M364)&lt;0.00000001,FALSE),M364=L364)),"PASS","FAIL")</x:f>
        <x:v>PASS</x:v>
      </x:c>
      <x:c r="O364" s="171" t="str"/>
      <x:c r="P364" s="168" t="str">
        <x:v>Market Value</x:v>
      </x:c>
    </x:row>
    <x:row r="365" ht="26" customHeight="1">
      <x:c r="A365" s="76" t="str">
        <x:v>DGKC</x:v>
      </x:c>
      <x:c r="B365" s="76" t="n">
        <x:v>2021</x:v>
      </x:c>
      <x:c r="C365" s="76" t="n">
        <x:v>30</x:v>
      </x:c>
      <x:c r="D365" s="76" t="str">
        <x:v>Earnings per share (Rs)</x:v>
      </x:c>
      <x:c r="E365" s="76" t="str">
        <x:v>Mandatory</x:v>
      </x:c>
      <x:c r="F365" s="170" t="n">
        <x:f>DGKC!D99</x:f>
        <x:v>3721.2730000000006</x:v>
      </x:c>
      <x:c r="G365" s="170" t="n">
        <x:f>DGKC!D129</x:f>
        <x:v>438.119118</x:v>
      </x:c>
      <x:c r="H365" s="170" t="n">
        <x:f>IF(G365&lt;=0,"n/m",F365/G365)</x:f>
        <x:v>8.493747127465003</x:v>
      </x:c>
      <x:c r="I365" s="170" t="n">
        <x:v>3721.2729999999997</x:v>
      </x:c>
      <x:c r="J365" s="170" t="n">
        <x:v>438.119118</x:v>
      </x:c>
      <x:c r="K365" s="170" t="n">
        <x:v>8.493747127465001</x:v>
      </x:c>
      <x:c r="L365" s="177" t="n">
        <x:v>8.493747127465001</x:v>
      </x:c>
      <x:c r="M365" s="177" t="n">
        <x:f>DGKC!D171</x:f>
        <x:v>8.493747127465003</x:v>
      </x:c>
      <x:c r="N365" s="178" t="str">
        <x:f>IF(AND(ABS(F365-I365)&lt;0.000001,ABS(G365-J365)&lt;0.000001,IF(ISNUMBER(L365),IF(ISNUMBER(M365),ABS(L365-M365)&lt;0.00000001,FALSE),M365=L365)),"PASS","FAIL")</x:f>
        <x:v>PASS</x:v>
      </x:c>
      <x:c r="O365" s="99" t="str"/>
      <x:c r="P365" s="76" t="str">
        <x:v>Market Value</x:v>
      </x:c>
    </x:row>
    <x:row r="366" ht="26" customHeight="1">
      <x:c r="A366" s="168" t="str">
        <x:v>DGKC</x:v>
      </x:c>
      <x:c r="B366" s="168" t="n">
        <x:v>2021</x:v>
      </x:c>
      <x:c r="C366" s="168" t="n">
        <x:v>31</x:v>
      </x:c>
      <x:c r="D366" s="168" t="str">
        <x:v>Price-to-earnings ratio</x:v>
      </x:c>
      <x:c r="E366" s="168" t="str">
        <x:v>Mandatory</x:v>
      </x:c>
      <x:c r="F366" s="169" t="n">
        <x:f>DGKC!D130</x:f>
        <x:v>117.92</x:v>
      </x:c>
      <x:c r="G366" s="169" t="n">
        <x:f>DGKC!D99/DGKC!D129</x:f>
        <x:v>8.493747127465003</x:v>
      </x:c>
      <x:c r="H366" s="169" t="n">
        <x:f>IF(G366&lt;=0,"n/m",F366/G366)</x:f>
        <x:v>13.883154069739035</x:v>
      </x:c>
      <x:c r="I366" s="169" t="n">
        <x:v>117.92</x:v>
      </x:c>
      <x:c r="J366" s="169" t="n">
        <x:v>8.493747127465001</x:v>
      </x:c>
      <x:c r="K366" s="169" t="n">
        <x:v>13.883154069739039</x:v>
      </x:c>
      <x:c r="L366" s="175" t="n">
        <x:v>13.883154069739039</x:v>
      </x:c>
      <x:c r="M366" s="175" t="n">
        <x:f>DGKC!D172</x:f>
        <x:v>13.883154069739035</x:v>
      </x:c>
      <x:c r="N366" s="176" t="str">
        <x:f>IF(AND(ABS(F366-I366)&lt;0.000001,ABS(G366-J366)&lt;0.000001,IF(ISNUMBER(L366),IF(ISNUMBER(M366),ABS(L366-M366)&lt;0.00000001,FALSE),M366=L366)),"PASS","FAIL")</x:f>
        <x:v>PASS</x:v>
      </x:c>
      <x:c r="O366" s="171" t="str"/>
      <x:c r="P366" s="168" t="str">
        <x:v>Market Value</x:v>
      </x:c>
    </x:row>
    <x:row r="367" ht="26" customHeight="1">
      <x:c r="A367" s="76" t="str">
        <x:v>DGKC</x:v>
      </x:c>
      <x:c r="B367" s="76" t="n">
        <x:v>2021</x:v>
      </x:c>
      <x:c r="C367" s="76" t="n">
        <x:v>32</x:v>
      </x:c>
      <x:c r="D367" s="76" t="str">
        <x:v>Dividend yield</x:v>
      </x:c>
      <x:c r="E367" s="76" t="str">
        <x:v>Mandatory</x:v>
      </x:c>
      <x:c r="F367" s="170" t="n">
        <x:f>DGKC!D131</x:f>
        <x:v>1</x:v>
      </x:c>
      <x:c r="G367" s="170" t="n">
        <x:f>DGKC!D130</x:f>
        <x:v>117.92</x:v>
      </x:c>
      <x:c r="H367" s="170" t="n">
        <x:f>IF(G367&lt;=0,"n/m",F367/G367)</x:f>
        <x:v>0.008480325644504749</x:v>
      </x:c>
      <x:c r="I367" s="170" t="n">
        <x:v>1</x:v>
      </x:c>
      <x:c r="J367" s="170" t="n">
        <x:v>117.92</x:v>
      </x:c>
      <x:c r="K367" s="170" t="n">
        <x:v>0.008480325644504749</x:v>
      </x:c>
      <x:c r="L367" s="177" t="n">
        <x:v>0.008480325644504749</x:v>
      </x:c>
      <x:c r="M367" s="177" t="n">
        <x:f>DGKC!D173</x:f>
        <x:v>0.008480325644504749</x:v>
      </x:c>
      <x:c r="N367" s="178" t="str">
        <x:f>IF(AND(ABS(F367-I367)&lt;0.000001,ABS(G367-J367)&lt;0.000001,IF(ISNUMBER(L367),IF(ISNUMBER(M367),ABS(L367-M367)&lt;0.00000001,FALSE),M367=L367)),"PASS","FAIL")</x:f>
        <x:v>PASS</x:v>
      </x:c>
      <x:c r="O367" s="99" t="str"/>
      <x:c r="P367" s="76" t="str">
        <x:v>Market Value</x:v>
      </x:c>
    </x:row>
    <x:row r="368" ht="26" customHeight="1">
      <x:c r="A368" s="168" t="str">
        <x:v>DGKC</x:v>
      </x:c>
      <x:c r="B368" s="168" t="n">
        <x:v>2021</x:v>
      </x:c>
      <x:c r="C368" s="168" t="n">
        <x:v>33</x:v>
      </x:c>
      <x:c r="D368" s="168" t="str">
        <x:v>Dividend payout ratio</x:v>
      </x:c>
      <x:c r="E368" s="168" t="str">
        <x:v>Additional</x:v>
      </x:c>
      <x:c r="F368" s="169" t="n">
        <x:f>DGKC!D131</x:f>
        <x:v>1</x:v>
      </x:c>
      <x:c r="G368" s="169" t="n">
        <x:f>DGKC!D99/DGKC!D129</x:f>
        <x:v>8.493747127465003</x:v>
      </x:c>
      <x:c r="H368" s="169" t="n">
        <x:f>IF(G368&lt;=0,"n/m",F368/G368)</x:f>
        <x:v>0.11773366748421842</x:v>
      </x:c>
      <x:c r="I368" s="169" t="n">
        <x:v>1</x:v>
      </x:c>
      <x:c r="J368" s="169" t="n">
        <x:v>8.493747127465001</x:v>
      </x:c>
      <x:c r="K368" s="169" t="n">
        <x:v>0.11773366748421844</x:v>
      </x:c>
      <x:c r="L368" s="175" t="n">
        <x:v>0.11773366748421844</x:v>
      </x:c>
      <x:c r="M368" s="175" t="n">
        <x:f>DGKC!D174</x:f>
        <x:v>0.11773366748421842</x:v>
      </x:c>
      <x:c r="N368" s="176" t="str">
        <x:f>IF(AND(ABS(F368-I368)&lt;0.000001,ABS(G368-J368)&lt;0.000001,IF(ISNUMBER(L368),IF(ISNUMBER(M368),ABS(L368-M368)&lt;0.00000001,FALSE),M368=L368)),"PASS","FAIL")</x:f>
        <x:v>PASS</x:v>
      </x:c>
      <x:c r="O368" s="171" t="str"/>
      <x:c r="P368" s="168" t="str">
        <x:v>Market Value</x:v>
      </x:c>
    </x:row>
    <x:row r="369" ht="26" customHeight="1">
      <x:c r="A369" s="76" t="str">
        <x:v>DGKC</x:v>
      </x:c>
      <x:c r="B369" s="76" t="n">
        <x:v>2022</x:v>
      </x:c>
      <x:c r="C369" s="76" t="n">
        <x:v>1</x:v>
      </x:c>
      <x:c r="D369" s="76" t="str">
        <x:v>Current ratio</x:v>
      </x:c>
      <x:c r="E369" s="76" t="str">
        <x:v>Mandatory</x:v>
      </x:c>
      <x:c r="F369" s="170" t="n">
        <x:f>DGKC!E36</x:f>
        <x:v>40813.163</x:v>
      </x:c>
      <x:c r="G369" s="170" t="n">
        <x:f>DGKC!E61</x:f>
        <x:v>46089.031</x:v>
      </x:c>
      <x:c r="H369" s="170" t="n">
        <x:f>IF(G369&lt;=0,"n/m",F369/G369)</x:f>
        <x:v>0.8855287714771004</x:v>
      </x:c>
      <x:c r="I369" s="170" t="n">
        <x:v>40813.163</x:v>
      </x:c>
      <x:c r="J369" s="170" t="n">
        <x:v>46089.031</x:v>
      </x:c>
      <x:c r="K369" s="170" t="n">
        <x:v>0.8855287714771004</x:v>
      </x:c>
      <x:c r="L369" s="177" t="n">
        <x:v>0.8855287714771004</x:v>
      </x:c>
      <x:c r="M369" s="177" t="n">
        <x:f>DGKC!E138</x:f>
        <x:v>0.8855287714771004</x:v>
      </x:c>
      <x:c r="N369" s="178" t="str">
        <x:f>IF(AND(ABS(F369-I369)&lt;0.000001,ABS(G369-J369)&lt;0.000001,IF(ISNUMBER(L369),IF(ISNUMBER(M369),ABS(L369-M369)&lt;0.00000001,FALSE),M369=L369)),"PASS","FAIL")</x:f>
        <x:v>PASS</x:v>
      </x:c>
      <x:c r="O369" s="99" t="str"/>
      <x:c r="P369" s="76" t="str">
        <x:v>Liquidity</x:v>
      </x:c>
    </x:row>
    <x:row r="370" ht="26" customHeight="1">
      <x:c r="A370" s="168" t="str">
        <x:v>DGKC</x:v>
      </x:c>
      <x:c r="B370" s="168" t="n">
        <x:v>2022</x:v>
      </x:c>
      <x:c r="C370" s="168" t="n">
        <x:v>2</x:v>
      </x:c>
      <x:c r="D370" s="168" t="str">
        <x:v>Quick ratio</x:v>
      </x:c>
      <x:c r="E370" s="168" t="str">
        <x:v>Mandatory</x:v>
      </x:c>
      <x:c r="F370" s="169" t="n">
        <x:f>DGKC!E36-DGKC!E65</x:f>
        <x:v>18017.765</x:v>
      </x:c>
      <x:c r="G370" s="169" t="n">
        <x:f>DGKC!E61</x:f>
        <x:v>46089.031</x:v>
      </x:c>
      <x:c r="H370" s="169" t="n">
        <x:f>IF(G370&lt;=0,"n/m",F370/G370)</x:f>
        <x:v>0.3909339078966533</x:v>
      </x:c>
      <x:c r="I370" s="169" t="n">
        <x:v>18017.765</x:v>
      </x:c>
      <x:c r="J370" s="169" t="n">
        <x:v>46089.031</x:v>
      </x:c>
      <x:c r="K370" s="169" t="n">
        <x:v>0.3909339078966533</x:v>
      </x:c>
      <x:c r="L370" s="175" t="n">
        <x:v>0.3909339078966533</x:v>
      </x:c>
      <x:c r="M370" s="175" t="n">
        <x:f>DGKC!E139</x:f>
        <x:v>0.3909339078966533</x:v>
      </x:c>
      <x:c r="N370" s="176" t="str">
        <x:f>IF(AND(ABS(F370-I370)&lt;0.000001,ABS(G370-J370)&lt;0.000001,IF(ISNUMBER(L370),IF(ISNUMBER(M370),ABS(L370-M370)&lt;0.00000001,FALSE),M370=L370)),"PASS","FAIL")</x:f>
        <x:v>PASS</x:v>
      </x:c>
      <x:c r="O370" s="171" t="str"/>
      <x:c r="P370" s="168" t="str">
        <x:v>Liquidity</x:v>
      </x:c>
    </x:row>
    <x:row r="371" ht="26" customHeight="1">
      <x:c r="A371" s="76" t="str">
        <x:v>DGKC</x:v>
      </x:c>
      <x:c r="B371" s="76" t="n">
        <x:v>2022</x:v>
      </x:c>
      <x:c r="C371" s="76" t="n">
        <x:v>3</x:v>
      </x:c>
      <x:c r="D371" s="76" t="str">
        <x:v>Cash ratio</x:v>
      </x:c>
      <x:c r="E371" s="76" t="str">
        <x:v>Mandatory</x:v>
      </x:c>
      <x:c r="F371" s="170" t="n">
        <x:f>DGKC!E34</x:f>
        <x:v>410.803</x:v>
      </x:c>
      <x:c r="G371" s="170" t="n">
        <x:f>DGKC!E61</x:f>
        <x:v>46089.031</x:v>
      </x:c>
      <x:c r="H371" s="170" t="n">
        <x:f>IF(G371&lt;=0,"n/m",F371/G371)</x:f>
        <x:v>0.008913248794490819</x:v>
      </x:c>
      <x:c r="I371" s="170" t="n">
        <x:v>410.803</x:v>
      </x:c>
      <x:c r="J371" s="170" t="n">
        <x:v>46089.031</x:v>
      </x:c>
      <x:c r="K371" s="170" t="n">
        <x:v>0.008913248794490819</x:v>
      </x:c>
      <x:c r="L371" s="177" t="n">
        <x:v>0.008913248794490819</x:v>
      </x:c>
      <x:c r="M371" s="177" t="n">
        <x:f>DGKC!E140</x:f>
        <x:v>0.008913248794490819</x:v>
      </x:c>
      <x:c r="N371" s="178" t="str">
        <x:f>IF(AND(ABS(F371-I371)&lt;0.000001,ABS(G371-J371)&lt;0.000001,IF(ISNUMBER(L371),IF(ISNUMBER(M371),ABS(L371-M371)&lt;0.00000001,FALSE),M371=L371)),"PASS","FAIL")</x:f>
        <x:v>PASS</x:v>
      </x:c>
      <x:c r="O371" s="99" t="str"/>
      <x:c r="P371" s="76" t="str">
        <x:v>Liquidity</x:v>
      </x:c>
    </x:row>
    <x:row r="372" ht="26" customHeight="1">
      <x:c r="A372" s="168" t="str">
        <x:v>DGKC</x:v>
      </x:c>
      <x:c r="B372" s="168" t="n">
        <x:v>2022</x:v>
      </x:c>
      <x:c r="C372" s="168" t="n">
        <x:v>4</x:v>
      </x:c>
      <x:c r="D372" s="168" t="str">
        <x:v>Net working capital (PKR m)</x:v>
      </x:c>
      <x:c r="E372" s="168" t="str">
        <x:v>Additional</x:v>
      </x:c>
      <x:c r="F372" s="169" t="n">
        <x:f>DGKC!E36-DGKC!E61</x:f>
        <x:v>-5275.868000000002</x:v>
      </x:c>
      <x:c r="G372" s="169" t="n">
        <x:f>1</x:f>
        <x:v>1</x:v>
      </x:c>
      <x:c r="H372" s="169" t="n">
        <x:f>IF(G372&lt;=0,"n/m",F372/G372)</x:f>
        <x:v>-5275.868000000002</x:v>
      </x:c>
      <x:c r="I372" s="169" t="n">
        <x:v>-5275.868000000002</x:v>
      </x:c>
      <x:c r="J372" s="169" t="n">
        <x:v>1</x:v>
      </x:c>
      <x:c r="K372" s="169" t="n">
        <x:v>-5275.868000000002</x:v>
      </x:c>
      <x:c r="L372" s="175" t="str">
        <x:v>n/m</x:v>
      </x:c>
      <x:c r="M372" s="175" t="str">
        <x:f>DGKC!E141</x:f>
        <x:v>n/m</x:v>
      </x:c>
      <x:c r="N372" s="176" t="str">
        <x:f>IF(AND(ABS(F372-I372)&lt;0.000001,ABS(G372-J372)&lt;0.000001,IF(ISNUMBER(L372),IF(ISNUMBER(M372),ABS(L372-M372)&lt;0.00000001,FALSE),M372=L372)),"PASS","FAIL")</x:f>
        <x:v>PASS</x:v>
      </x:c>
      <x:c r="O372" s="171" t="str">
        <x:v>Negative calculated measure; raw signed value in H/K.</x:v>
      </x:c>
      <x:c r="P372" s="168" t="str">
        <x:v>Liquidity</x:v>
      </x:c>
    </x:row>
    <x:row r="373" ht="26" customHeight="1">
      <x:c r="A373" s="76" t="str">
        <x:v>DGKC</x:v>
      </x:c>
      <x:c r="B373" s="76" t="n">
        <x:v>2022</x:v>
      </x:c>
      <x:c r="C373" s="76" t="n">
        <x:v>5</x:v>
      </x:c>
      <x:c r="D373" s="76" t="str">
        <x:v>Net operating working capital (PKR m)</x:v>
      </x:c>
      <x:c r="E373" s="76" t="str">
        <x:v>Additional</x:v>
      </x:c>
      <x:c r="F373" s="170" t="n">
        <x:f>DGKC!E72-DGKC!E73</x:f>
        <x:v>17790.203999999998</x:v>
      </x:c>
      <x:c r="G373" s="170" t="n">
        <x:f>1</x:f>
        <x:v>1</x:v>
      </x:c>
      <x:c r="H373" s="170" t="n">
        <x:f>IF(G373&lt;=0,"n/m",F373/G373)</x:f>
        <x:v>17790.203999999998</x:v>
      </x:c>
      <x:c r="I373" s="170" t="n">
        <x:v>17790.203999999998</x:v>
      </x:c>
      <x:c r="J373" s="170" t="n">
        <x:v>1</x:v>
      </x:c>
      <x:c r="K373" s="170" t="n">
        <x:v>17790.203999999998</x:v>
      </x:c>
      <x:c r="L373" s="177" t="n">
        <x:v>17790.203999999998</x:v>
      </x:c>
      <x:c r="M373" s="177" t="n">
        <x:f>DGKC!E142</x:f>
        <x:v>17790.203999999998</x:v>
      </x:c>
      <x:c r="N373" s="178" t="str">
        <x:f>IF(AND(ABS(F373-I373)&lt;0.000001,ABS(G373-J373)&lt;0.000001,IF(ISNUMBER(L373),IF(ISNUMBER(M373),ABS(L373-M373)&lt;0.00000001,FALSE),M373=L373)),"PASS","FAIL")</x:f>
        <x:v>PASS</x:v>
      </x:c>
      <x:c r="O373" s="99" t="str"/>
      <x:c r="P373" s="76" t="str">
        <x:v>Liquidity</x:v>
      </x:c>
    </x:row>
    <x:row r="374" ht="26" customHeight="1">
      <x:c r="A374" s="168" t="str">
        <x:v>DGKC</x:v>
      </x:c>
      <x:c r="B374" s="168" t="n">
        <x:v>2022</x:v>
      </x:c>
      <x:c r="C374" s="168" t="n">
        <x:v>6</x:v>
      </x:c>
      <x:c r="D374" s="168" t="str">
        <x:v>Inventory turnover</x:v>
      </x:c>
      <x:c r="E374" s="168" t="str">
        <x:v>Mandatory</x:v>
      </x:c>
      <x:c r="F374" s="169" t="n">
        <x:f>-DGKC!E85</x:f>
        <x:v>47615.551</x:v>
      </x:c>
      <x:c r="G374" s="169" t="n">
        <x:f>AVERAGE(DGKC!D65,DGKC!E65)</x:f>
        <x:v>19201.6675</x:v>
      </x:c>
      <x:c r="H374" s="169" t="n">
        <x:f>IF(G374&lt;=0,"n/m",F374/G374)</x:f>
        <x:v>2.479761249901864</x:v>
      </x:c>
      <x:c r="I374" s="169" t="n">
        <x:v>47615.551</x:v>
      </x:c>
      <x:c r="J374" s="169" t="n">
        <x:v>19201.6675</x:v>
      </x:c>
      <x:c r="K374" s="169" t="n">
        <x:v>2.479761249901864</x:v>
      </x:c>
      <x:c r="L374" s="175" t="n">
        <x:v>2.479761249901864</x:v>
      </x:c>
      <x:c r="M374" s="175" t="n">
        <x:f>DGKC!E144</x:f>
        <x:v>2.479761249901864</x:v>
      </x:c>
      <x:c r="N374" s="176" t="str">
        <x:f>IF(AND(ABS(F374-I374)&lt;0.000001,ABS(G374-J374)&lt;0.000001,IF(ISNUMBER(L374),IF(ISNUMBER(M374),ABS(L374-M374)&lt;0.00000001,FALSE),M374=L374)),"PASS","FAIL")</x:f>
        <x:v>PASS</x:v>
      </x:c>
      <x:c r="O374" s="171" t="str"/>
      <x:c r="P374" s="168" t="str">
        <x:v>Asset Management</x:v>
      </x:c>
    </x:row>
    <x:row r="375" ht="26" customHeight="1">
      <x:c r="A375" s="76" t="str">
        <x:v>DGKC</x:v>
      </x:c>
      <x:c r="B375" s="76" t="n">
        <x:v>2022</x:v>
      </x:c>
      <x:c r="C375" s="76" t="n">
        <x:v>7</x:v>
      </x:c>
      <x:c r="D375" s="76" t="str">
        <x:v>Receivables turnover</x:v>
      </x:c>
      <x:c r="E375" s="76" t="str">
        <x:v>Additional</x:v>
      </x:c>
      <x:c r="F375" s="170" t="n">
        <x:f>DGKC!E84</x:f>
        <x:v>58043.863</x:v>
      </x:c>
      <x:c r="G375" s="170" t="n">
        <x:f>AVERAGE(DGKC!D32,DGKC!E32)</x:f>
        <x:v>1572.0535</x:v>
      </x:c>
      <x:c r="H375" s="170" t="n">
        <x:f>IF(G375&lt;=0,"n/m",F375/G375)</x:f>
        <x:v>36.92232039176783</x:v>
      </x:c>
      <x:c r="I375" s="170" t="n">
        <x:v>58043.863</x:v>
      </x:c>
      <x:c r="J375" s="170" t="n">
        <x:v>1572.0535</x:v>
      </x:c>
      <x:c r="K375" s="170" t="n">
        <x:v>36.92232039176783</x:v>
      </x:c>
      <x:c r="L375" s="177" t="n">
        <x:v>36.92232039176783</x:v>
      </x:c>
      <x:c r="M375" s="177" t="n">
        <x:f>DGKC!E145</x:f>
        <x:v>36.92232039176783</x:v>
      </x:c>
      <x:c r="N375" s="178" t="str">
        <x:f>IF(AND(ABS(F375-I375)&lt;0.000001,ABS(G375-J375)&lt;0.000001,IF(ISNUMBER(L375),IF(ISNUMBER(M375),ABS(L375-M375)&lt;0.00000001,FALSE),M375=L375)),"PASS","FAIL")</x:f>
        <x:v>PASS</x:v>
      </x:c>
      <x:c r="O375" s="99" t="str"/>
      <x:c r="P375" s="76" t="str">
        <x:v>Asset Management</x:v>
      </x:c>
    </x:row>
    <x:row r="376" ht="26" customHeight="1">
      <x:c r="A376" s="168" t="str">
        <x:v>DGKC</x:v>
      </x:c>
      <x:c r="B376" s="168" t="n">
        <x:v>2022</x:v>
      </x:c>
      <x:c r="C376" s="168" t="n">
        <x:v>8</x:v>
      </x:c>
      <x:c r="D376" s="168" t="str">
        <x:v>Payables turnover</x:v>
      </x:c>
      <x:c r="E376" s="168" t="str">
        <x:v>Additional</x:v>
      </x:c>
      <x:c r="F376" s="169" t="n">
        <x:f>-DGKC!E85</x:f>
        <x:v>47615.551</x:v>
      </x:c>
      <x:c r="G376" s="169" t="n">
        <x:f>AVERAGE(DGKC!D51,DGKC!E51)</x:f>
        <x:v>5623.4185</x:v>
      </x:c>
      <x:c r="H376" s="169" t="n">
        <x:f>IF(G376&lt;=0,"n/m",F376/G376)</x:f>
        <x:v>8.467367491855711</x:v>
      </x:c>
      <x:c r="I376" s="169" t="n">
        <x:v>47615.551</x:v>
      </x:c>
      <x:c r="J376" s="169" t="n">
        <x:v>5623.4185</x:v>
      </x:c>
      <x:c r="K376" s="169" t="n">
        <x:v>8.467367491855711</x:v>
      </x:c>
      <x:c r="L376" s="175" t="n">
        <x:v>8.467367491855711</x:v>
      </x:c>
      <x:c r="M376" s="175" t="n">
        <x:f>DGKC!E146</x:f>
        <x:v>8.467367491855711</x:v>
      </x:c>
      <x:c r="N376" s="176" t="str">
        <x:f>IF(AND(ABS(F376-I376)&lt;0.000001,ABS(G376-J376)&lt;0.000001,IF(ISNUMBER(L376),IF(ISNUMBER(M376),ABS(L376-M376)&lt;0.00000001,FALSE),M376=L376)),"PASS","FAIL")</x:f>
        <x:v>PASS</x:v>
      </x:c>
      <x:c r="O376" s="171" t="str"/>
      <x:c r="P376" s="168" t="str">
        <x:v>Asset Management</x:v>
      </x:c>
    </x:row>
    <x:row r="377" ht="26" customHeight="1">
      <x:c r="A377" s="76" t="str">
        <x:v>DGKC</x:v>
      </x:c>
      <x:c r="B377" s="76" t="n">
        <x:v>2022</x:v>
      </x:c>
      <x:c r="C377" s="76" t="n">
        <x:v>9</x:v>
      </x:c>
      <x:c r="D377" s="76" t="str">
        <x:v>Days inventory outstanding</x:v>
      </x:c>
      <x:c r="E377" s="76" t="str">
        <x:v>Additional</x:v>
      </x:c>
      <x:c r="F377" s="170" t="n">
        <x:f>365*AVERAGE(DGKC!D65,DGKC!E65)</x:f>
        <x:v>7008608.6375</x:v>
      </x:c>
      <x:c r="G377" s="170" t="n">
        <x:f>-DGKC!E85</x:f>
        <x:v>47615.551</x:v>
      </x:c>
      <x:c r="H377" s="170" t="n">
        <x:f>IF(G377&lt;=0,"n/m",F377/G377)</x:f>
        <x:v>147.19158951872677</x:v>
      </x:c>
      <x:c r="I377" s="170" t="n">
        <x:v>7008608.6375</x:v>
      </x:c>
      <x:c r="J377" s="170" t="n">
        <x:v>47615.551</x:v>
      </x:c>
      <x:c r="K377" s="170" t="n">
        <x:v>147.19158951872677</x:v>
      </x:c>
      <x:c r="L377" s="177" t="n">
        <x:v>147.19158951872677</x:v>
      </x:c>
      <x:c r="M377" s="177" t="n">
        <x:f>DGKC!E147</x:f>
        <x:v>147.19158951872677</x:v>
      </x:c>
      <x:c r="N377" s="178" t="str">
        <x:f>IF(AND(ABS(F377-I377)&lt;0.000001,ABS(G377-J377)&lt;0.000001,IF(ISNUMBER(L377),IF(ISNUMBER(M377),ABS(L377-M377)&lt;0.00000001,FALSE),M377=L377)),"PASS","FAIL")</x:f>
        <x:v>PASS</x:v>
      </x:c>
      <x:c r="O377" s="99" t="str"/>
      <x:c r="P377" s="76" t="str">
        <x:v>Asset Management</x:v>
      </x:c>
    </x:row>
    <x:row r="378" ht="26" customHeight="1">
      <x:c r="A378" s="168" t="str">
        <x:v>DGKC</x:v>
      </x:c>
      <x:c r="B378" s="168" t="n">
        <x:v>2022</x:v>
      </x:c>
      <x:c r="C378" s="168" t="n">
        <x:v>10</x:v>
      </x:c>
      <x:c r="D378" s="168" t="str">
        <x:v>Days sales outstanding</x:v>
      </x:c>
      <x:c r="E378" s="168" t="str">
        <x:v>Mandatory</x:v>
      </x:c>
      <x:c r="F378" s="169" t="n">
        <x:f>365*AVERAGE(DGKC!D32,DGKC!E32)</x:f>
        <x:v>573799.5275</x:v>
      </x:c>
      <x:c r="G378" s="169" t="n">
        <x:f>DGKC!E84</x:f>
        <x:v>58043.863</x:v>
      </x:c>
      <x:c r="H378" s="169" t="n">
        <x:f>IF(G378&lt;=0,"n/m",F378/G378)</x:f>
        <x:v>9.885619216970449</x:v>
      </x:c>
      <x:c r="I378" s="169" t="n">
        <x:v>573799.5275</x:v>
      </x:c>
      <x:c r="J378" s="169" t="n">
        <x:v>58043.863</x:v>
      </x:c>
      <x:c r="K378" s="169" t="n">
        <x:v>9.885619216970449</x:v>
      </x:c>
      <x:c r="L378" s="175" t="n">
        <x:v>9.885619216970449</x:v>
      </x:c>
      <x:c r="M378" s="175" t="n">
        <x:f>DGKC!E148</x:f>
        <x:v>9.885619216970449</x:v>
      </x:c>
      <x:c r="N378" s="176" t="str">
        <x:f>IF(AND(ABS(F378-I378)&lt;0.000001,ABS(G378-J378)&lt;0.000001,IF(ISNUMBER(L378),IF(ISNUMBER(M378),ABS(L378-M378)&lt;0.00000001,FALSE),M378=L378)),"PASS","FAIL")</x:f>
        <x:v>PASS</x:v>
      </x:c>
      <x:c r="O378" s="171" t="str"/>
      <x:c r="P378" s="168" t="str">
        <x:v>Asset Management</x:v>
      </x:c>
    </x:row>
    <x:row r="379" ht="26" customHeight="1">
      <x:c r="A379" s="76" t="str">
        <x:v>DGKC</x:v>
      </x:c>
      <x:c r="B379" s="76" t="n">
        <x:v>2022</x:v>
      </x:c>
      <x:c r="C379" s="76" t="n">
        <x:v>11</x:v>
      </x:c>
      <x:c r="D379" s="76" t="str">
        <x:v>Days payables outstanding</x:v>
      </x:c>
      <x:c r="E379" s="76" t="str">
        <x:v>Additional</x:v>
      </x:c>
      <x:c r="F379" s="170" t="n">
        <x:f>365*AVERAGE(DGKC!D51,DGKC!E51)</x:f>
        <x:v>2052547.7525</x:v>
      </x:c>
      <x:c r="G379" s="170" t="n">
        <x:f>-DGKC!E85</x:f>
        <x:v>47615.551</x:v>
      </x:c>
      <x:c r="H379" s="170" t="n">
        <x:f>IF(G379&lt;=0,"n/m",F379/G379)</x:f>
        <x:v>43.106668082030595</x:v>
      </x:c>
      <x:c r="I379" s="170" t="n">
        <x:v>2052547.7525</x:v>
      </x:c>
      <x:c r="J379" s="170" t="n">
        <x:v>47615.551</x:v>
      </x:c>
      <x:c r="K379" s="170" t="n">
        <x:v>43.106668082030595</x:v>
      </x:c>
      <x:c r="L379" s="177" t="n">
        <x:v>43.106668082030595</x:v>
      </x:c>
      <x:c r="M379" s="177" t="n">
        <x:f>DGKC!E149</x:f>
        <x:v>43.106668082030595</x:v>
      </x:c>
      <x:c r="N379" s="178" t="str">
        <x:f>IF(AND(ABS(F379-I379)&lt;0.000001,ABS(G379-J379)&lt;0.000001,IF(ISNUMBER(L379),IF(ISNUMBER(M379),ABS(L379-M379)&lt;0.00000001,FALSE),M379=L379)),"PASS","FAIL")</x:f>
        <x:v>PASS</x:v>
      </x:c>
      <x:c r="O379" s="99" t="str"/>
      <x:c r="P379" s="76" t="str">
        <x:v>Asset Management</x:v>
      </x:c>
    </x:row>
    <x:row r="380" ht="26" customHeight="1">
      <x:c r="A380" s="168" t="str">
        <x:v>DGKC</x:v>
      </x:c>
      <x:c r="B380" s="168" t="n">
        <x:v>2022</x:v>
      </x:c>
      <x:c r="C380" s="168" t="n">
        <x:v>12</x:v>
      </x:c>
      <x:c r="D380" s="168" t="str">
        <x:v>Operating cycle (days)</x:v>
      </x:c>
      <x:c r="E380" s="168" t="str">
        <x:v>Additional</x:v>
      </x:c>
      <x:c r="F380" s="169" t="n">
        <x:f>365*AVERAGE(DGKC!D65,DGKC!E65)/(-DGKC!E85)+365*AVERAGE(DGKC!D32,DGKC!E32)/DGKC!E84</x:f>
        <x:v>157.0772087356972</x:v>
      </x:c>
      <x:c r="G380" s="169" t="n">
        <x:f>1</x:f>
        <x:v>1</x:v>
      </x:c>
      <x:c r="H380" s="169" t="n">
        <x:f>IF(G380&lt;=0,"n/m",F380/G380)</x:f>
        <x:v>157.0772087356972</x:v>
      </x:c>
      <x:c r="I380" s="169" t="n">
        <x:v>157.0772087356972</x:v>
      </x:c>
      <x:c r="J380" s="169" t="n">
        <x:v>1</x:v>
      </x:c>
      <x:c r="K380" s="169" t="n">
        <x:v>157.0772087356972</x:v>
      </x:c>
      <x:c r="L380" s="175" t="n">
        <x:v>157.0772087356972</x:v>
      </x:c>
      <x:c r="M380" s="175" t="n">
        <x:f>DGKC!E150</x:f>
        <x:v>157.0772087356972</x:v>
      </x:c>
      <x:c r="N380" s="176" t="str">
        <x:f>IF(AND(ABS(F380-I380)&lt;0.000001,ABS(G380-J380)&lt;0.000001,IF(ISNUMBER(L380),IF(ISNUMBER(M380),ABS(L380-M380)&lt;0.00000001,FALSE),M380=L380)),"PASS","FAIL")</x:f>
        <x:v>PASS</x:v>
      </x:c>
      <x:c r="O380" s="171" t="str"/>
      <x:c r="P380" s="168" t="str">
        <x:v>Asset Management</x:v>
      </x:c>
    </x:row>
    <x:row r="381" ht="26" customHeight="1">
      <x:c r="A381" s="76" t="str">
        <x:v>DGKC</x:v>
      </x:c>
      <x:c r="B381" s="76" t="n">
        <x:v>2022</x:v>
      </x:c>
      <x:c r="C381" s="76" t="n">
        <x:v>13</x:v>
      </x:c>
      <x:c r="D381" s="76" t="str">
        <x:v>Cash conversion cycle (days)</x:v>
      </x:c>
      <x:c r="E381" s="76" t="str">
        <x:v>Additional</x:v>
      </x:c>
      <x:c r="F381" s="170" t="n">
        <x:f>365*AVERAGE(DGKC!D65,DGKC!E65)/(-DGKC!E85)+365*AVERAGE(DGKC!D32,DGKC!E32)/DGKC!E84-365*AVERAGE(DGKC!D51,DGKC!E51)/(-DGKC!E85)</x:f>
        <x:v>113.97054065366662</x:v>
      </x:c>
      <x:c r="G381" s="170" t="n">
        <x:f>1</x:f>
        <x:v>1</x:v>
      </x:c>
      <x:c r="H381" s="170" t="n">
        <x:f>IF(G381&lt;=0,"n/m",F381/G381)</x:f>
        <x:v>113.97054065366662</x:v>
      </x:c>
      <x:c r="I381" s="170" t="n">
        <x:v>113.97054065366662</x:v>
      </x:c>
      <x:c r="J381" s="170" t="n">
        <x:v>1</x:v>
      </x:c>
      <x:c r="K381" s="170" t="n">
        <x:v>113.97054065366662</x:v>
      </x:c>
      <x:c r="L381" s="177" t="n">
        <x:v>113.97054065366662</x:v>
      </x:c>
      <x:c r="M381" s="177" t="n">
        <x:f>DGKC!E151</x:f>
        <x:v>113.97054065366662</x:v>
      </x:c>
      <x:c r="N381" s="178" t="str">
        <x:f>IF(AND(ABS(F381-I381)&lt;0.000001,ABS(G381-J381)&lt;0.000001,IF(ISNUMBER(L381),IF(ISNUMBER(M381),ABS(L381-M381)&lt;0.00000001,FALSE),M381=L381)),"PASS","FAIL")</x:f>
        <x:v>PASS</x:v>
      </x:c>
      <x:c r="O381" s="99" t="str"/>
      <x:c r="P381" s="76" t="str">
        <x:v>Asset Management</x:v>
      </x:c>
    </x:row>
    <x:row r="382" ht="26" customHeight="1">
      <x:c r="A382" s="168" t="str">
        <x:v>DGKC</x:v>
      </x:c>
      <x:c r="B382" s="168" t="n">
        <x:v>2022</x:v>
      </x:c>
      <x:c r="C382" s="168" t="n">
        <x:v>14</x:v>
      </x:c>
      <x:c r="D382" s="168" t="str">
        <x:v>Total asset turnover</x:v>
      </x:c>
      <x:c r="E382" s="168" t="str">
        <x:v>Mandatory</x:v>
      </x:c>
      <x:c r="F382" s="169" t="n">
        <x:f>DGKC!E84</x:f>
        <x:v>58043.863</x:v>
      </x:c>
      <x:c r="G382" s="169" t="n">
        <x:f>AVERAGE(DGKC!D37,DGKC!E37)</x:f>
        <x:v>137228.355</x:v>
      </x:c>
      <x:c r="H382" s="169" t="n">
        <x:f>IF(G382&lt;=0,"n/m",F382/G382)</x:f>
        <x:v>0.42297281053904634</x:v>
      </x:c>
      <x:c r="I382" s="169" t="n">
        <x:v>58043.863</x:v>
      </x:c>
      <x:c r="J382" s="169" t="n">
        <x:v>137228.35499999998</x:v>
      </x:c>
      <x:c r="K382" s="169" t="n">
        <x:v>0.42297281053904645</x:v>
      </x:c>
      <x:c r="L382" s="175" t="n">
        <x:v>0.42297281053904645</x:v>
      </x:c>
      <x:c r="M382" s="175" t="n">
        <x:f>DGKC!E152</x:f>
        <x:v>0.42297281053904634</x:v>
      </x:c>
      <x:c r="N382" s="176" t="str">
        <x:f>IF(AND(ABS(F382-I382)&lt;0.000001,ABS(G382-J382)&lt;0.000001,IF(ISNUMBER(L382),IF(ISNUMBER(M382),ABS(L382-M382)&lt;0.00000001,FALSE),M382=L382)),"PASS","FAIL")</x:f>
        <x:v>PASS</x:v>
      </x:c>
      <x:c r="O382" s="171" t="str"/>
      <x:c r="P382" s="168" t="str">
        <x:v>Asset Management</x:v>
      </x:c>
    </x:row>
    <x:row r="383" ht="26" customHeight="1">
      <x:c r="A383" s="76" t="str">
        <x:v>DGKC</x:v>
      </x:c>
      <x:c r="B383" s="76" t="n">
        <x:v>2022</x:v>
      </x:c>
      <x:c r="C383" s="76" t="n">
        <x:v>15</x:v>
      </x:c>
      <x:c r="D383" s="76" t="str">
        <x:v>Fixed asset turnover</x:v>
      </x:c>
      <x:c r="E383" s="76" t="str">
        <x:v>Mandatory</x:v>
      </x:c>
      <x:c r="F383" s="170" t="n">
        <x:f>DGKC!E84</x:f>
        <x:v>58043.863</x:v>
      </x:c>
      <x:c r="G383" s="170" t="n">
        <x:f>AVERAGE(DGKC!D22,DGKC!E22)</x:f>
        <x:v>79686.5405</x:v>
      </x:c>
      <x:c r="H383" s="170" t="n">
        <x:f>IF(G383&lt;=0,"n/m",F383/G383)</x:f>
        <x:v>0.7284023454374957</x:v>
      </x:c>
      <x:c r="I383" s="170" t="n">
        <x:v>58043.863</x:v>
      </x:c>
      <x:c r="J383" s="170" t="n">
        <x:v>79686.5405</x:v>
      </x:c>
      <x:c r="K383" s="170" t="n">
        <x:v>0.7284023454374957</x:v>
      </x:c>
      <x:c r="L383" s="177" t="n">
        <x:v>0.7284023454374957</x:v>
      </x:c>
      <x:c r="M383" s="177" t="n">
        <x:f>DGKC!E153</x:f>
        <x:v>0.7284023454374957</x:v>
      </x:c>
      <x:c r="N383" s="178" t="str">
        <x:f>IF(AND(ABS(F383-I383)&lt;0.000001,ABS(G383-J383)&lt;0.000001,IF(ISNUMBER(L383),IF(ISNUMBER(M383),ABS(L383-M383)&lt;0.00000001,FALSE),M383=L383)),"PASS","FAIL")</x:f>
        <x:v>PASS</x:v>
      </x:c>
      <x:c r="O383" s="99" t="str"/>
      <x:c r="P383" s="76" t="str">
        <x:v>Asset Management</x:v>
      </x:c>
    </x:row>
    <x:row r="384" ht="26" customHeight="1">
      <x:c r="A384" s="168" t="str">
        <x:v>DGKC</x:v>
      </x:c>
      <x:c r="B384" s="168" t="n">
        <x:v>2022</x:v>
      </x:c>
      <x:c r="C384" s="168" t="n">
        <x:v>16</x:v>
      </x:c>
      <x:c r="D384" s="168" t="str">
        <x:v>Debt ratio</x:v>
      </x:c>
      <x:c r="E384" s="168" t="str">
        <x:v>Mandatory</x:v>
      </x:c>
      <x:c r="F384" s="169" t="n">
        <x:f>DGKC!E62</x:f>
        <x:v>66643.911</x:v>
      </x:c>
      <x:c r="G384" s="169" t="n">
        <x:f>DGKC!E37</x:f>
        <x:v>136562.013</x:v>
      </x:c>
      <x:c r="H384" s="169" t="n">
        <x:f>IF(G384&lt;=0,"n/m",F384/G384)</x:f>
        <x:v>0.48801207258126744</x:v>
      </x:c>
      <x:c r="I384" s="169" t="n">
        <x:v>66643.911</x:v>
      </x:c>
      <x:c r="J384" s="169" t="n">
        <x:v>136562.013</x:v>
      </x:c>
      <x:c r="K384" s="169" t="n">
        <x:v>0.48801207258126744</x:v>
      </x:c>
      <x:c r="L384" s="175" t="n">
        <x:v>0.48801207258126744</x:v>
      </x:c>
      <x:c r="M384" s="175" t="n">
        <x:f>DGKC!E155</x:f>
        <x:v>0.48801207258126744</x:v>
      </x:c>
      <x:c r="N384" s="176" t="str">
        <x:f>IF(AND(ABS(F384-I384)&lt;0.000001,ABS(G384-J384)&lt;0.000001,IF(ISNUMBER(L384),IF(ISNUMBER(M384),ABS(L384-M384)&lt;0.00000001,FALSE),M384=L384)),"PASS","FAIL")</x:f>
        <x:v>PASS</x:v>
      </x:c>
      <x:c r="O384" s="171" t="str"/>
      <x:c r="P384" s="168" t="str">
        <x:v>Debt Management</x:v>
      </x:c>
    </x:row>
    <x:row r="385" ht="26" customHeight="1">
      <x:c r="A385" s="76" t="str">
        <x:v>DGKC</x:v>
      </x:c>
      <x:c r="B385" s="76" t="n">
        <x:v>2022</x:v>
      </x:c>
      <x:c r="C385" s="76" t="n">
        <x:v>17</x:v>
      </x:c>
      <x:c r="D385" s="76" t="str">
        <x:v>Debt-to-equity</x:v>
      </x:c>
      <x:c r="E385" s="76" t="str">
        <x:v>Mandatory</x:v>
      </x:c>
      <x:c r="F385" s="170" t="n">
        <x:f>DGKC!E62</x:f>
        <x:v>66643.911</x:v>
      </x:c>
      <x:c r="G385" s="170" t="n">
        <x:f>DGKC!E41</x:f>
        <x:v>69918.102</x:v>
      </x:c>
      <x:c r="H385" s="170" t="n">
        <x:f>IF(G385&lt;=0,"n/m",F385/G385)</x:f>
        <x:v>0.9531710543286772</x:v>
      </x:c>
      <x:c r="I385" s="170" t="n">
        <x:v>66643.911</x:v>
      </x:c>
      <x:c r="J385" s="170" t="n">
        <x:v>69918.102</x:v>
      </x:c>
      <x:c r="K385" s="170" t="n">
        <x:v>0.9531710543286772</x:v>
      </x:c>
      <x:c r="L385" s="177" t="n">
        <x:v>0.9531710543286772</x:v>
      </x:c>
      <x:c r="M385" s="177" t="n">
        <x:f>DGKC!E156</x:f>
        <x:v>0.9531710543286772</x:v>
      </x:c>
      <x:c r="N385" s="178" t="str">
        <x:f>IF(AND(ABS(F385-I385)&lt;0.000001,ABS(G385-J385)&lt;0.000001,IF(ISNUMBER(L385),IF(ISNUMBER(M385),ABS(L385-M385)&lt;0.00000001,FALSE),M385=L385)),"PASS","FAIL")</x:f>
        <x:v>PASS</x:v>
      </x:c>
      <x:c r="O385" s="99" t="str"/>
      <x:c r="P385" s="76" t="str">
        <x:v>Debt Management</x:v>
      </x:c>
    </x:row>
    <x:row r="386" ht="26" customHeight="1">
      <x:c r="A386" s="168" t="str">
        <x:v>DGKC</x:v>
      </x:c>
      <x:c r="B386" s="168" t="n">
        <x:v>2022</x:v>
      </x:c>
      <x:c r="C386" s="168" t="n">
        <x:v>18</x:v>
      </x:c>
      <x:c r="D386" s="168" t="str">
        <x:v>Total debt-to-capital</x:v>
      </x:c>
      <x:c r="E386" s="168" t="str">
        <x:v>Additional</x:v>
      </x:c>
      <x:c r="F386" s="169" t="n">
        <x:f>DGKC!E66</x:f>
        <x:v>46475.901</x:v>
      </x:c>
      <x:c r="G386" s="169" t="n">
        <x:f>DGKC!E66+DGKC!E41</x:f>
        <x:v>116394.003</x:v>
      </x:c>
      <x:c r="H386" s="169" t="n">
        <x:f>IF(G386&lt;=0,"n/m",F386/G386)</x:f>
        <x:v>0.39929807208366225</x:v>
      </x:c>
      <x:c r="I386" s="169" t="n">
        <x:v>46475.901</x:v>
      </x:c>
      <x:c r="J386" s="169" t="n">
        <x:v>116394.003</x:v>
      </x:c>
      <x:c r="K386" s="169" t="n">
        <x:v>0.39929807208366225</x:v>
      </x:c>
      <x:c r="L386" s="175" t="n">
        <x:v>0.39929807208366225</x:v>
      </x:c>
      <x:c r="M386" s="175" t="n">
        <x:f>DGKC!E157</x:f>
        <x:v>0.39929807208366225</x:v>
      </x:c>
      <x:c r="N386" s="176" t="str">
        <x:f>IF(AND(ABS(F386-I386)&lt;0.000001,ABS(G386-J386)&lt;0.000001,IF(ISNUMBER(L386),IF(ISNUMBER(M386),ABS(L386-M386)&lt;0.00000001,FALSE),M386=L386)),"PASS","FAIL")</x:f>
        <x:v>PASS</x:v>
      </x:c>
      <x:c r="O386" s="171" t="str"/>
      <x:c r="P386" s="168" t="str">
        <x:v>Debt Management</x:v>
      </x:c>
    </x:row>
    <x:row r="387" ht="26" customHeight="1">
      <x:c r="A387" s="76" t="str">
        <x:v>DGKC</x:v>
      </x:c>
      <x:c r="B387" s="76" t="n">
        <x:v>2022</x:v>
      </x:c>
      <x:c r="C387" s="76" t="n">
        <x:v>19</x:v>
      </x:c>
      <x:c r="D387" s="76" t="str">
        <x:v>Long-term debt ratio</x:v>
      </x:c>
      <x:c r="E387" s="76" t="str">
        <x:v>Additional</x:v>
      </x:c>
      <x:c r="F387" s="170" t="n">
        <x:f>DGKC!E67</x:f>
        <x:v>14168.229</x:v>
      </x:c>
      <x:c r="G387" s="170" t="n">
        <x:f>DGKC!E37</x:f>
        <x:v>136562.013</x:v>
      </x:c>
      <x:c r="H387" s="170" t="n">
        <x:f>IF(G387&lt;=0,"n/m",F387/G387)</x:f>
        <x:v>0.10374941529310935</x:v>
      </x:c>
      <x:c r="I387" s="170" t="n">
        <x:v>14168.229</x:v>
      </x:c>
      <x:c r="J387" s="170" t="n">
        <x:v>136562.013</x:v>
      </x:c>
      <x:c r="K387" s="170" t="n">
        <x:v>0.10374941529310935</x:v>
      </x:c>
      <x:c r="L387" s="177" t="n">
        <x:v>0.10374941529310935</x:v>
      </x:c>
      <x:c r="M387" s="177" t="n">
        <x:f>DGKC!E158</x:f>
        <x:v>0.10374941529310935</x:v>
      </x:c>
      <x:c r="N387" s="178" t="str">
        <x:f>IF(AND(ABS(F387-I387)&lt;0.000001,ABS(G387-J387)&lt;0.000001,IF(ISNUMBER(L387),IF(ISNUMBER(M387),ABS(L387-M387)&lt;0.00000001,FALSE),M387=L387)),"PASS","FAIL")</x:f>
        <x:v>PASS</x:v>
      </x:c>
      <x:c r="O387" s="99" t="str"/>
      <x:c r="P387" s="76" t="str">
        <x:v>Debt Management</x:v>
      </x:c>
    </x:row>
    <x:row r="388" ht="26" customHeight="1">
      <x:c r="A388" s="168" t="str">
        <x:v>DGKC</x:v>
      </x:c>
      <x:c r="B388" s="168" t="n">
        <x:v>2022</x:v>
      </x:c>
      <x:c r="C388" s="168" t="n">
        <x:v>20</x:v>
      </x:c>
      <x:c r="D388" s="168" t="str">
        <x:v>Times interest earned</x:v>
      </x:c>
      <x:c r="E388" s="168" t="str">
        <x:v>Mandatory</x:v>
      </x:c>
      <x:c r="F388" s="169" t="n">
        <x:f>DGKC!E108</x:f>
        <x:v>9590.947999999999</x:v>
      </x:c>
      <x:c r="G388" s="169" t="n">
        <x:f>DGKC!E106</x:f>
        <x:v>3544.6569999999997</x:v>
      </x:c>
      <x:c r="H388" s="169" t="n">
        <x:f>IF(G388&lt;=0,"n/m",F388/G388)</x:f>
        <x:v>2.7057478339935286</x:v>
      </x:c>
      <x:c r="I388" s="169" t="n">
        <x:v>9590.947999999999</x:v>
      </x:c>
      <x:c r="J388" s="169" t="n">
        <x:v>3544.6569999999997</x:v>
      </x:c>
      <x:c r="K388" s="169" t="n">
        <x:v>2.7057478339935286</x:v>
      </x:c>
      <x:c r="L388" s="175" t="n">
        <x:v>2.7057478339935286</x:v>
      </x:c>
      <x:c r="M388" s="175" t="n">
        <x:f>DGKC!E159</x:f>
        <x:v>2.7057478339935286</x:v>
      </x:c>
      <x:c r="N388" s="176" t="str">
        <x:f>IF(AND(ABS(F388-I388)&lt;0.000001,ABS(G388-J388)&lt;0.000001,IF(ISNUMBER(L388),IF(ISNUMBER(M388),ABS(L388-M388)&lt;0.00000001,FALSE),M388=L388)),"PASS","FAIL")</x:f>
        <x:v>PASS</x:v>
      </x:c>
      <x:c r="O388" s="171" t="str"/>
      <x:c r="P388" s="168" t="str">
        <x:v>Debt Management</x:v>
      </x:c>
    </x:row>
    <x:row r="389" ht="26" customHeight="1">
      <x:c r="A389" s="76" t="str">
        <x:v>DGKC</x:v>
      </x:c>
      <x:c r="B389" s="76" t="n">
        <x:v>2022</x:v>
      </x:c>
      <x:c r="C389" s="76" t="n">
        <x:v>21</x:v>
      </x:c>
      <x:c r="D389" s="76" t="str">
        <x:v>Gross profit margin</x:v>
      </x:c>
      <x:c r="E389" s="76" t="str">
        <x:v>Mandatory</x:v>
      </x:c>
      <x:c r="F389" s="170" t="n">
        <x:f>DGKC!E86</x:f>
        <x:v>10428.311999999998</x:v>
      </x:c>
      <x:c r="G389" s="170" t="n">
        <x:f>DGKC!E84</x:f>
        <x:v>58043.863</x:v>
      </x:c>
      <x:c r="H389" s="170" t="n">
        <x:f>IF(G389&lt;=0,"n/m",F389/G389)</x:f>
        <x:v>0.1796626113599641</x:v>
      </x:c>
      <x:c r="I389" s="170" t="n">
        <x:v>10428.311999999998</x:v>
      </x:c>
      <x:c r="J389" s="170" t="n">
        <x:v>58043.863</x:v>
      </x:c>
      <x:c r="K389" s="170" t="n">
        <x:v>0.1796626113599641</x:v>
      </x:c>
      <x:c r="L389" s="177" t="n">
        <x:v>0.1796626113599641</x:v>
      </x:c>
      <x:c r="M389" s="177" t="n">
        <x:f>DGKC!E161</x:f>
        <x:v>0.1796626113599641</x:v>
      </x:c>
      <x:c r="N389" s="178" t="str">
        <x:f>IF(AND(ABS(F389-I389)&lt;0.000001,ABS(G389-J389)&lt;0.000001,IF(ISNUMBER(L389),IF(ISNUMBER(M389),ABS(L389-M389)&lt;0.00000001,FALSE),M389=L389)),"PASS","FAIL")</x:f>
        <x:v>PASS</x:v>
      </x:c>
      <x:c r="O389" s="99" t="str"/>
      <x:c r="P389" s="76" t="str">
        <x:v>Profitability</x:v>
      </x:c>
    </x:row>
    <x:row r="390" ht="26" customHeight="1">
      <x:c r="A390" s="168" t="str">
        <x:v>DGKC</x:v>
      </x:c>
      <x:c r="B390" s="168" t="n">
        <x:v>2022</x:v>
      </x:c>
      <x:c r="C390" s="168" t="n">
        <x:v>22</x:v>
      </x:c>
      <x:c r="D390" s="168" t="str">
        <x:v>Operating margin</x:v>
      </x:c>
      <x:c r="E390" s="168" t="str">
        <x:v>Mandatory</x:v>
      </x:c>
      <x:c r="F390" s="169" t="n">
        <x:f>DGKC!E91</x:f>
        <x:v>6876.607999999998</x:v>
      </x:c>
      <x:c r="G390" s="169" t="n">
        <x:f>DGKC!E84</x:f>
        <x:v>58043.863</x:v>
      </x:c>
      <x:c r="H390" s="169" t="n">
        <x:f>IF(G390&lt;=0,"n/m",F390/G390)</x:f>
        <x:v>0.11847261096319517</x:v>
      </x:c>
      <x:c r="I390" s="169" t="n">
        <x:v>6876.607999999998</x:v>
      </x:c>
      <x:c r="J390" s="169" t="n">
        <x:v>58043.863</x:v>
      </x:c>
      <x:c r="K390" s="169" t="n">
        <x:v>0.11847261096319517</x:v>
      </x:c>
      <x:c r="L390" s="175" t="n">
        <x:v>0.11847261096319517</x:v>
      </x:c>
      <x:c r="M390" s="175" t="n">
        <x:f>DGKC!E162</x:f>
        <x:v>0.11847261096319517</x:v>
      </x:c>
      <x:c r="N390" s="176" t="str">
        <x:f>IF(AND(ABS(F390-I390)&lt;0.000001,ABS(G390-J390)&lt;0.000001,IF(ISNUMBER(L390),IF(ISNUMBER(M390),ABS(L390-M390)&lt;0.00000001,FALSE),M390=L390)),"PASS","FAIL")</x:f>
        <x:v>PASS</x:v>
      </x:c>
      <x:c r="O390" s="171" t="str"/>
      <x:c r="P390" s="168" t="str">
        <x:v>Profitability</x:v>
      </x:c>
    </x:row>
    <x:row r="391" ht="26" customHeight="1">
      <x:c r="A391" s="76" t="str">
        <x:v>DGKC</x:v>
      </x:c>
      <x:c r="B391" s="76" t="n">
        <x:v>2022</x:v>
      </x:c>
      <x:c r="C391" s="76" t="n">
        <x:v>23</x:v>
      </x:c>
      <x:c r="D391" s="76" t="str">
        <x:v>Net profit margin</x:v>
      </x:c>
      <x:c r="E391" s="76" t="str">
        <x:v>Mandatory</x:v>
      </x:c>
      <x:c r="F391" s="170" t="n">
        <x:f>DGKC!E99</x:f>
        <x:v>2972.1319999999987</x:v>
      </x:c>
      <x:c r="G391" s="170" t="n">
        <x:f>DGKC!E84</x:f>
        <x:v>58043.863</x:v>
      </x:c>
      <x:c r="H391" s="170" t="n">
        <x:f>IF(G391&lt;=0,"n/m",F391/G391)</x:f>
        <x:v>0.05120493100192175</x:v>
      </x:c>
      <x:c r="I391" s="170" t="n">
        <x:v>2972.1319999999987</x:v>
      </x:c>
      <x:c r="J391" s="170" t="n">
        <x:v>58043.863</x:v>
      </x:c>
      <x:c r="K391" s="170" t="n">
        <x:v>0.05120493100192175</x:v>
      </x:c>
      <x:c r="L391" s="177" t="n">
        <x:v>0.05120493100192175</x:v>
      </x:c>
      <x:c r="M391" s="177" t="n">
        <x:f>DGKC!E163</x:f>
        <x:v>0.05120493100192175</x:v>
      </x:c>
      <x:c r="N391" s="178" t="str">
        <x:f>IF(AND(ABS(F391-I391)&lt;0.000001,ABS(G391-J391)&lt;0.000001,IF(ISNUMBER(L391),IF(ISNUMBER(M391),ABS(L391-M391)&lt;0.00000001,FALSE),M391=L391)),"PASS","FAIL")</x:f>
        <x:v>PASS</x:v>
      </x:c>
      <x:c r="O391" s="99" t="str"/>
      <x:c r="P391" s="76" t="str">
        <x:v>Profitability</x:v>
      </x:c>
    </x:row>
    <x:row r="392" ht="26" customHeight="1">
      <x:c r="A392" s="168" t="str">
        <x:v>DGKC</x:v>
      </x:c>
      <x:c r="B392" s="168" t="n">
        <x:v>2022</x:v>
      </x:c>
      <x:c r="C392" s="168" t="n">
        <x:v>24</x:v>
      </x:c>
      <x:c r="D392" s="168" t="str">
        <x:v>Return on assets</x:v>
      </x:c>
      <x:c r="E392" s="168" t="str">
        <x:v>Mandatory</x:v>
      </x:c>
      <x:c r="F392" s="169" t="n">
        <x:f>DGKC!E99</x:f>
        <x:v>2972.1319999999987</x:v>
      </x:c>
      <x:c r="G392" s="169" t="n">
        <x:f>AVERAGE(DGKC!D37,DGKC!E37)</x:f>
        <x:v>137228.355</x:v>
      </x:c>
      <x:c r="H392" s="169" t="n">
        <x:f>IF(G392&lt;=0,"n/m",F392/G392)</x:f>
        <x:v>0.02165829357934079</x:v>
      </x:c>
      <x:c r="I392" s="169" t="n">
        <x:v>2972.1319999999987</x:v>
      </x:c>
      <x:c r="J392" s="169" t="n">
        <x:v>137228.35499999998</x:v>
      </x:c>
      <x:c r="K392" s="169" t="n">
        <x:v>0.021658293579340793</x:v>
      </x:c>
      <x:c r="L392" s="175" t="n">
        <x:v>0.021658293579340793</x:v>
      </x:c>
      <x:c r="M392" s="175" t="n">
        <x:f>DGKC!E164</x:f>
        <x:v>0.02165829357934079</x:v>
      </x:c>
      <x:c r="N392" s="176" t="str">
        <x:f>IF(AND(ABS(F392-I392)&lt;0.000001,ABS(G392-J392)&lt;0.000001,IF(ISNUMBER(L392),IF(ISNUMBER(M392),ABS(L392-M392)&lt;0.00000001,FALSE),M392=L392)),"PASS","FAIL")</x:f>
        <x:v>PASS</x:v>
      </x:c>
      <x:c r="O392" s="171" t="str"/>
      <x:c r="P392" s="168" t="str">
        <x:v>Profitability</x:v>
      </x:c>
    </x:row>
    <x:row r="393" ht="26" customHeight="1">
      <x:c r="A393" s="76" t="str">
        <x:v>DGKC</x:v>
      </x:c>
      <x:c r="B393" s="76" t="n">
        <x:v>2022</x:v>
      </x:c>
      <x:c r="C393" s="76" t="n">
        <x:v>25</x:v>
      </x:c>
      <x:c r="D393" s="76" t="str">
        <x:v>Return on equity</x:v>
      </x:c>
      <x:c r="E393" s="76" t="str">
        <x:v>Mandatory</x:v>
      </x:c>
      <x:c r="F393" s="170" t="n">
        <x:f>DGKC!E99</x:f>
        <x:v>2972.1319999999987</x:v>
      </x:c>
      <x:c r="G393" s="170" t="n">
        <x:f>AVERAGE(DGKC!D41,DGKC!E41)</x:f>
        <x:v>71697.9875</x:v>
      </x:c>
      <x:c r="H393" s="170" t="n">
        <x:f>IF(G393&lt;=0,"n/m",F393/G393)</x:f>
        <x:v>0.041453492679972344</x:v>
      </x:c>
      <x:c r="I393" s="170" t="n">
        <x:v>2972.1319999999987</x:v>
      </x:c>
      <x:c r="J393" s="170" t="n">
        <x:v>71697.9875</x:v>
      </x:c>
      <x:c r="K393" s="170" t="n">
        <x:v>0.041453492679972344</x:v>
      </x:c>
      <x:c r="L393" s="177" t="n">
        <x:v>0.041453492679972344</x:v>
      </x:c>
      <x:c r="M393" s="177" t="n">
        <x:f>DGKC!E165</x:f>
        <x:v>0.041453492679972344</x:v>
      </x:c>
      <x:c r="N393" s="178" t="str">
        <x:f>IF(AND(ABS(F393-I393)&lt;0.000001,ABS(G393-J393)&lt;0.000001,IF(ISNUMBER(L393),IF(ISNUMBER(M393),ABS(L393-M393)&lt;0.00000001,FALSE),M393=L393)),"PASS","FAIL")</x:f>
        <x:v>PASS</x:v>
      </x:c>
      <x:c r="O393" s="99" t="str"/>
      <x:c r="P393" s="76" t="str">
        <x:v>Profitability</x:v>
      </x:c>
    </x:row>
    <x:row r="394" ht="26" customHeight="1">
      <x:c r="A394" s="168" t="str">
        <x:v>DGKC</x:v>
      </x:c>
      <x:c r="B394" s="168" t="n">
        <x:v>2022</x:v>
      </x:c>
      <x:c r="C394" s="168" t="n">
        <x:v>26</x:v>
      </x:c>
      <x:c r="D394" s="168" t="str">
        <x:v>Return on invested capital</x:v>
      </x:c>
      <x:c r="E394" s="168" t="str">
        <x:v>Additional</x:v>
      </x:c>
      <x:c r="F394" s="169" t="n">
        <x:f>DGKC!E113</x:f>
        <x:v>4735.331429459739</x:v>
      </x:c>
      <x:c r="G394" s="169" t="n">
        <x:f>AVERAGE(DGKC!D70,DGKC!E70)</x:f>
        <x:v>116832.3465</x:v>
      </x:c>
      <x:c r="H394" s="169" t="n">
        <x:f>IF(G394&lt;=0,"n/m",F394/G394)</x:f>
        <x:v>0.0405309965203835</x:v>
      </x:c>
      <x:c r="I394" s="169" t="n">
        <x:v>4735.331429459739</x:v>
      </x:c>
      <x:c r="J394" s="169" t="n">
        <x:v>116832.3465</x:v>
      </x:c>
      <x:c r="K394" s="169" t="n">
        <x:v>0.0405309965203835</x:v>
      </x:c>
      <x:c r="L394" s="175" t="n">
        <x:v>0.0405309965203835</x:v>
      </x:c>
      <x:c r="M394" s="175" t="n">
        <x:f>DGKC!E166</x:f>
        <x:v>0.0405309965203835</x:v>
      </x:c>
      <x:c r="N394" s="176" t="str">
        <x:f>IF(AND(ABS(F394-I394)&lt;0.000001,ABS(G394-J394)&lt;0.000001,IF(ISNUMBER(L394),IF(ISNUMBER(M394),ABS(L394-M394)&lt;0.00000001,FALSE),M394=L394)),"PASS","FAIL")</x:f>
        <x:v>PASS</x:v>
      </x:c>
      <x:c r="O394" s="171" t="str"/>
      <x:c r="P394" s="168" t="str">
        <x:v>Profitability</x:v>
      </x:c>
    </x:row>
    <x:row r="395" ht="26" customHeight="1">
      <x:c r="A395" s="76" t="str">
        <x:v>DGKC</x:v>
      </x:c>
      <x:c r="B395" s="76" t="n">
        <x:v>2022</x:v>
      </x:c>
      <x:c r="C395" s="76" t="n">
        <x:v>27</x:v>
      </x:c>
      <x:c r="D395" s="76" t="str">
        <x:v>Basic earning power</x:v>
      </x:c>
      <x:c r="E395" s="76" t="str">
        <x:v>Additional</x:v>
      </x:c>
      <x:c r="F395" s="170" t="n">
        <x:f>DGKC!E108</x:f>
        <x:v>9590.947999999999</x:v>
      </x:c>
      <x:c r="G395" s="170" t="n">
        <x:f>AVERAGE(DGKC!D37,DGKC!E37)</x:f>
        <x:v>137228.355</x:v>
      </x:c>
      <x:c r="H395" s="170" t="n">
        <x:f>IF(G395&lt;=0,"n/m",F395/G395)</x:f>
        <x:v>0.06989042461377605</x:v>
      </x:c>
      <x:c r="I395" s="170" t="n">
        <x:v>9590.947999999999</x:v>
      </x:c>
      <x:c r="J395" s="170" t="n">
        <x:v>137228.35499999998</x:v>
      </x:c>
      <x:c r="K395" s="170" t="n">
        <x:v>0.06989042461377606</x:v>
      </x:c>
      <x:c r="L395" s="177" t="n">
        <x:v>0.06989042461377606</x:v>
      </x:c>
      <x:c r="M395" s="177" t="n">
        <x:f>DGKC!E167</x:f>
        <x:v>0.06989042461377605</x:v>
      </x:c>
      <x:c r="N395" s="178" t="str">
        <x:f>IF(AND(ABS(F395-I395)&lt;0.000001,ABS(G395-J395)&lt;0.000001,IF(ISNUMBER(L395),IF(ISNUMBER(M395),ABS(L395-M395)&lt;0.00000001,FALSE),M395=L395)),"PASS","FAIL")</x:f>
        <x:v>PASS</x:v>
      </x:c>
      <x:c r="O395" s="99" t="str"/>
      <x:c r="P395" s="76" t="str">
        <x:v>Profitability</x:v>
      </x:c>
    </x:row>
    <x:row r="396" ht="26" customHeight="1">
      <x:c r="A396" s="168" t="str">
        <x:v>DGKC</x:v>
      </x:c>
      <x:c r="B396" s="168" t="n">
        <x:v>2022</x:v>
      </x:c>
      <x:c r="C396" s="168" t="n">
        <x:v>28</x:v>
      </x:c>
      <x:c r="D396" s="168" t="str">
        <x:v>Book value per share (Rs)</x:v>
      </x:c>
      <x:c r="E396" s="168" t="str">
        <x:v>Additional</x:v>
      </x:c>
      <x:c r="F396" s="169" t="n">
        <x:f>DGKC!E41</x:f>
        <x:v>69918.102</x:v>
      </x:c>
      <x:c r="G396" s="169" t="n">
        <x:f>DGKC!E128</x:f>
        <x:v>438.1191</x:v>
      </x:c>
      <x:c r="H396" s="169" t="n">
        <x:f>IF(G396&lt;=0,"n/m",F396/G396)</x:f>
        <x:v>159.58697532246367</x:v>
      </x:c>
      <x:c r="I396" s="169" t="n">
        <x:v>69918.102</x:v>
      </x:c>
      <x:c r="J396" s="169" t="n">
        <x:v>438.1191</x:v>
      </x:c>
      <x:c r="K396" s="169" t="n">
        <x:v>159.58697532246367</x:v>
      </x:c>
      <x:c r="L396" s="175" t="n">
        <x:v>159.58697532246367</x:v>
      </x:c>
      <x:c r="M396" s="175" t="n">
        <x:f>DGKC!E169</x:f>
        <x:v>159.58697532246367</x:v>
      </x:c>
      <x:c r="N396" s="176" t="str">
        <x:f>IF(AND(ABS(F396-I396)&lt;0.000001,ABS(G396-J396)&lt;0.000001,IF(ISNUMBER(L396),IF(ISNUMBER(M396),ABS(L396-M396)&lt;0.00000001,FALSE),M396=L396)),"PASS","FAIL")</x:f>
        <x:v>PASS</x:v>
      </x:c>
      <x:c r="O396" s="171" t="str"/>
      <x:c r="P396" s="168" t="str">
        <x:v>Market Value</x:v>
      </x:c>
    </x:row>
    <x:row r="397" ht="26" customHeight="1">
      <x:c r="A397" s="76" t="str">
        <x:v>DGKC</x:v>
      </x:c>
      <x:c r="B397" s="76" t="n">
        <x:v>2022</x:v>
      </x:c>
      <x:c r="C397" s="76" t="n">
        <x:v>29</x:v>
      </x:c>
      <x:c r="D397" s="76" t="str">
        <x:v>Market-to-book ratio</x:v>
      </x:c>
      <x:c r="E397" s="76" t="str">
        <x:v>Mandatory</x:v>
      </x:c>
      <x:c r="F397" s="170" t="n">
        <x:f>DGKC!E130</x:f>
        <x:v>62.5</x:v>
      </x:c>
      <x:c r="G397" s="170" t="n">
        <x:f>DGKC!E41/DGKC!E128</x:f>
        <x:v>159.58697532246367</x:v>
      </x:c>
      <x:c r="H397" s="170" t="n">
        <x:f>IF(G397&lt;=0,"n/m",F397/G397)</x:f>
        <x:v>0.3916359707533251</x:v>
      </x:c>
      <x:c r="I397" s="170" t="n">
        <x:v>62.5</x:v>
      </x:c>
      <x:c r="J397" s="170" t="n">
        <x:v>159.58697532246367</x:v>
      </x:c>
      <x:c r="K397" s="170" t="n">
        <x:v>0.3916359707533251</x:v>
      </x:c>
      <x:c r="L397" s="177" t="n">
        <x:v>0.3916359707533251</x:v>
      </x:c>
      <x:c r="M397" s="177" t="n">
        <x:f>DGKC!E170</x:f>
        <x:v>0.3916359707533251</x:v>
      </x:c>
      <x:c r="N397" s="178" t="str">
        <x:f>IF(AND(ABS(F397-I397)&lt;0.000001,ABS(G397-J397)&lt;0.000001,IF(ISNUMBER(L397),IF(ISNUMBER(M397),ABS(L397-M397)&lt;0.00000001,FALSE),M397=L397)),"PASS","FAIL")</x:f>
        <x:v>PASS</x:v>
      </x:c>
      <x:c r="O397" s="99" t="str"/>
      <x:c r="P397" s="76" t="str">
        <x:v>Market Value</x:v>
      </x:c>
    </x:row>
    <x:row r="398" ht="26" customHeight="1">
      <x:c r="A398" s="168" t="str">
        <x:v>DGKC</x:v>
      </x:c>
      <x:c r="B398" s="168" t="n">
        <x:v>2022</x:v>
      </x:c>
      <x:c r="C398" s="168" t="n">
        <x:v>30</x:v>
      </x:c>
      <x:c r="D398" s="168" t="str">
        <x:v>Earnings per share (Rs)</x:v>
      </x:c>
      <x:c r="E398" s="168" t="str">
        <x:v>Mandatory</x:v>
      </x:c>
      <x:c r="F398" s="169" t="n">
        <x:f>DGKC!E99</x:f>
        <x:v>2972.1319999999987</x:v>
      </x:c>
      <x:c r="G398" s="169" t="n">
        <x:f>DGKC!E129</x:f>
        <x:v>438.119118</x:v>
      </x:c>
      <x:c r="H398" s="169" t="n">
        <x:f>IF(G398&lt;=0,"n/m",F398/G398)</x:f>
        <x:v>6.783844570781772</x:v>
      </x:c>
      <x:c r="I398" s="169" t="n">
        <x:v>2972.1319999999987</x:v>
      </x:c>
      <x:c r="J398" s="169" t="n">
        <x:v>438.119118</x:v>
      </x:c>
      <x:c r="K398" s="169" t="n">
        <x:v>6.783844570781772</x:v>
      </x:c>
      <x:c r="L398" s="175" t="n">
        <x:v>6.783844570781772</x:v>
      </x:c>
      <x:c r="M398" s="175" t="n">
        <x:f>DGKC!E171</x:f>
        <x:v>6.783844570781772</x:v>
      </x:c>
      <x:c r="N398" s="176" t="str">
        <x:f>IF(AND(ABS(F398-I398)&lt;0.000001,ABS(G398-J398)&lt;0.000001,IF(ISNUMBER(L398),IF(ISNUMBER(M398),ABS(L398-M398)&lt;0.00000001,FALSE),M398=L398)),"PASS","FAIL")</x:f>
        <x:v>PASS</x:v>
      </x:c>
      <x:c r="O398" s="171" t="str"/>
      <x:c r="P398" s="168" t="str">
        <x:v>Market Value</x:v>
      </x:c>
    </x:row>
    <x:row r="399" ht="26" customHeight="1">
      <x:c r="A399" s="76" t="str">
        <x:v>DGKC</x:v>
      </x:c>
      <x:c r="B399" s="76" t="n">
        <x:v>2022</x:v>
      </x:c>
      <x:c r="C399" s="76" t="n">
        <x:v>31</x:v>
      </x:c>
      <x:c r="D399" s="76" t="str">
        <x:v>Price-to-earnings ratio</x:v>
      </x:c>
      <x:c r="E399" s="76" t="str">
        <x:v>Mandatory</x:v>
      </x:c>
      <x:c r="F399" s="170" t="n">
        <x:f>DGKC!E130</x:f>
        <x:v>62.5</x:v>
      </x:c>
      <x:c r="G399" s="170" t="n">
        <x:f>DGKC!E99/DGKC!E129</x:f>
        <x:v>6.783844570781772</x:v>
      </x:c>
      <x:c r="H399" s="170" t="n">
        <x:f>IF(G399&lt;=0,"n/m",F399/G399)</x:f>
        <x:v>9.213064855464028</x:v>
      </x:c>
      <x:c r="I399" s="170" t="n">
        <x:v>62.5</x:v>
      </x:c>
      <x:c r="J399" s="170" t="n">
        <x:v>6.783844570781772</x:v>
      </x:c>
      <x:c r="K399" s="170" t="n">
        <x:v>9.213064855464028</x:v>
      </x:c>
      <x:c r="L399" s="177" t="n">
        <x:v>9.213064855464028</x:v>
      </x:c>
      <x:c r="M399" s="177" t="n">
        <x:f>DGKC!E172</x:f>
        <x:v>9.213064855464028</x:v>
      </x:c>
      <x:c r="N399" s="178" t="str">
        <x:f>IF(AND(ABS(F399-I399)&lt;0.000001,ABS(G399-J399)&lt;0.000001,IF(ISNUMBER(L399),IF(ISNUMBER(M399),ABS(L399-M399)&lt;0.00000001,FALSE),M399=L399)),"PASS","FAIL")</x:f>
        <x:v>PASS</x:v>
      </x:c>
      <x:c r="O399" s="99" t="str"/>
      <x:c r="P399" s="76" t="str">
        <x:v>Market Value</x:v>
      </x:c>
    </x:row>
    <x:row r="400" ht="26" customHeight="1">
      <x:c r="A400" s="168" t="str">
        <x:v>DGKC</x:v>
      </x:c>
      <x:c r="B400" s="168" t="n">
        <x:v>2022</x:v>
      </x:c>
      <x:c r="C400" s="168" t="n">
        <x:v>32</x:v>
      </x:c>
      <x:c r="D400" s="168" t="str">
        <x:v>Dividend yield</x:v>
      </x:c>
      <x:c r="E400" s="168" t="str">
        <x:v>Mandatory</x:v>
      </x:c>
      <x:c r="F400" s="169" t="n">
        <x:f>DGKC!E131</x:f>
        <x:v>1</x:v>
      </x:c>
      <x:c r="G400" s="169" t="n">
        <x:f>DGKC!E130</x:f>
        <x:v>62.5</x:v>
      </x:c>
      <x:c r="H400" s="169" t="n">
        <x:f>IF(G400&lt;=0,"n/m",F400/G400)</x:f>
        <x:v>0.016</x:v>
      </x:c>
      <x:c r="I400" s="169" t="n">
        <x:v>1</x:v>
      </x:c>
      <x:c r="J400" s="169" t="n">
        <x:v>62.5</x:v>
      </x:c>
      <x:c r="K400" s="169" t="n">
        <x:v>0.016</x:v>
      </x:c>
      <x:c r="L400" s="175" t="n">
        <x:v>0.016</x:v>
      </x:c>
      <x:c r="M400" s="175" t="n">
        <x:f>DGKC!E173</x:f>
        <x:v>0.016</x:v>
      </x:c>
      <x:c r="N400" s="176" t="str">
        <x:f>IF(AND(ABS(F400-I400)&lt;0.000001,ABS(G400-J400)&lt;0.000001,IF(ISNUMBER(L400),IF(ISNUMBER(M400),ABS(L400-M400)&lt;0.00000001,FALSE),M400=L400)),"PASS","FAIL")</x:f>
        <x:v>PASS</x:v>
      </x:c>
      <x:c r="O400" s="171" t="str"/>
      <x:c r="P400" s="168" t="str">
        <x:v>Market Value</x:v>
      </x:c>
    </x:row>
    <x:row r="401" ht="26" customHeight="1">
      <x:c r="A401" s="76" t="str">
        <x:v>DGKC</x:v>
      </x:c>
      <x:c r="B401" s="76" t="n">
        <x:v>2022</x:v>
      </x:c>
      <x:c r="C401" s="76" t="n">
        <x:v>33</x:v>
      </x:c>
      <x:c r="D401" s="76" t="str">
        <x:v>Dividend payout ratio</x:v>
      </x:c>
      <x:c r="E401" s="76" t="str">
        <x:v>Additional</x:v>
      </x:c>
      <x:c r="F401" s="170" t="n">
        <x:f>DGKC!E131</x:f>
        <x:v>1</x:v>
      </x:c>
      <x:c r="G401" s="170" t="n">
        <x:f>DGKC!E99/DGKC!E129</x:f>
        <x:v>6.783844570781772</x:v>
      </x:c>
      <x:c r="H401" s="170" t="n">
        <x:f>IF(G401&lt;=0,"n/m",F401/G401)</x:f>
        <x:v>0.14740903768742444</x:v>
      </x:c>
      <x:c r="I401" s="170" t="n">
        <x:v>1</x:v>
      </x:c>
      <x:c r="J401" s="170" t="n">
        <x:v>6.783844570781772</x:v>
      </x:c>
      <x:c r="K401" s="170" t="n">
        <x:v>0.14740903768742444</x:v>
      </x:c>
      <x:c r="L401" s="177" t="n">
        <x:v>0.14740903768742444</x:v>
      </x:c>
      <x:c r="M401" s="177" t="n">
        <x:f>DGKC!E174</x:f>
        <x:v>0.14740903768742444</x:v>
      </x:c>
      <x:c r="N401" s="178" t="str">
        <x:f>IF(AND(ABS(F401-I401)&lt;0.000001,ABS(G401-J401)&lt;0.000001,IF(ISNUMBER(L401),IF(ISNUMBER(M401),ABS(L401-M401)&lt;0.00000001,FALSE),M401=L401)),"PASS","FAIL")</x:f>
        <x:v>PASS</x:v>
      </x:c>
      <x:c r="O401" s="99" t="str"/>
      <x:c r="P401" s="76" t="str">
        <x:v>Market Value</x:v>
      </x:c>
    </x:row>
    <x:row r="402" ht="26" customHeight="1">
      <x:c r="A402" s="168" t="str">
        <x:v>DGKC</x:v>
      </x:c>
      <x:c r="B402" s="168" t="n">
        <x:v>2023</x:v>
      </x:c>
      <x:c r="C402" s="168" t="n">
        <x:v>1</x:v>
      </x:c>
      <x:c r="D402" s="168" t="str">
        <x:v>Current ratio</x:v>
      </x:c>
      <x:c r="E402" s="168" t="str">
        <x:v>Mandatory</x:v>
      </x:c>
      <x:c r="F402" s="169" t="n">
        <x:f>DGKC!F36</x:f>
        <x:v>39026.666</x:v>
      </x:c>
      <x:c r="G402" s="169" t="n">
        <x:f>DGKC!F61</x:f>
        <x:v>48675.78999999999</x:v>
      </x:c>
      <x:c r="H402" s="169" t="n">
        <x:f>IF(G402&lt;=0,"n/m",F402/G402)</x:f>
        <x:v>0.8017674905738562</x:v>
      </x:c>
      <x:c r="I402" s="169" t="n">
        <x:v>39026.666</x:v>
      </x:c>
      <x:c r="J402" s="169" t="n">
        <x:v>48675.79</x:v>
      </x:c>
      <x:c r="K402" s="169" t="n">
        <x:v>0.8017674905738561</x:v>
      </x:c>
      <x:c r="L402" s="175" t="n">
        <x:v>0.8017674905738561</x:v>
      </x:c>
      <x:c r="M402" s="175" t="n">
        <x:f>DGKC!F138</x:f>
        <x:v>0.8017674905738562</x:v>
      </x:c>
      <x:c r="N402" s="176" t="str">
        <x:f>IF(AND(ABS(F402-I402)&lt;0.000001,ABS(G402-J402)&lt;0.000001,IF(ISNUMBER(L402),IF(ISNUMBER(M402),ABS(L402-M402)&lt;0.00000001,FALSE),M402=L402)),"PASS","FAIL")</x:f>
        <x:v>PASS</x:v>
      </x:c>
      <x:c r="O402" s="171" t="str"/>
      <x:c r="P402" s="168" t="str">
        <x:v>Liquidity</x:v>
      </x:c>
    </x:row>
    <x:row r="403" ht="26" customHeight="1">
      <x:c r="A403" s="76" t="str">
        <x:v>DGKC</x:v>
      </x:c>
      <x:c r="B403" s="76" t="n">
        <x:v>2023</x:v>
      </x:c>
      <x:c r="C403" s="76" t="n">
        <x:v>2</x:v>
      </x:c>
      <x:c r="D403" s="76" t="str">
        <x:v>Quick ratio</x:v>
      </x:c>
      <x:c r="E403" s="76" t="str">
        <x:v>Mandatory</x:v>
      </x:c>
      <x:c r="F403" s="170" t="n">
        <x:f>DGKC!F36-DGKC!F65</x:f>
        <x:v>16301.490999999998</x:v>
      </x:c>
      <x:c r="G403" s="170" t="n">
        <x:f>DGKC!F61</x:f>
        <x:v>48675.78999999999</x:v>
      </x:c>
      <x:c r="H403" s="170" t="n">
        <x:f>IF(G403&lt;=0,"n/m",F403/G403)</x:f>
        <x:v>0.3348993616744587</x:v>
      </x:c>
      <x:c r="I403" s="170" t="n">
        <x:v>16301.490999999998</x:v>
      </x:c>
      <x:c r="J403" s="170" t="n">
        <x:v>48675.79</x:v>
      </x:c>
      <x:c r="K403" s="170" t="n">
        <x:v>0.33489936167445866</x:v>
      </x:c>
      <x:c r="L403" s="177" t="n">
        <x:v>0.33489936167445866</x:v>
      </x:c>
      <x:c r="M403" s="177" t="n">
        <x:f>DGKC!F139</x:f>
        <x:v>0.3348993616744587</x:v>
      </x:c>
      <x:c r="N403" s="178" t="str">
        <x:f>IF(AND(ABS(F403-I403)&lt;0.000001,ABS(G403-J403)&lt;0.000001,IF(ISNUMBER(L403),IF(ISNUMBER(M403),ABS(L403-M403)&lt;0.00000001,FALSE),M403=L403)),"PASS","FAIL")</x:f>
        <x:v>PASS</x:v>
      </x:c>
      <x:c r="O403" s="99" t="str"/>
      <x:c r="P403" s="76" t="str">
        <x:v>Liquidity</x:v>
      </x:c>
    </x:row>
    <x:row r="404" ht="26" customHeight="1">
      <x:c r="A404" s="168" t="str">
        <x:v>DGKC</x:v>
      </x:c>
      <x:c r="B404" s="168" t="n">
        <x:v>2023</x:v>
      </x:c>
      <x:c r="C404" s="168" t="n">
        <x:v>3</x:v>
      </x:c>
      <x:c r="D404" s="168" t="str">
        <x:v>Cash ratio</x:v>
      </x:c>
      <x:c r="E404" s="168" t="str">
        <x:v>Mandatory</x:v>
      </x:c>
      <x:c r="F404" s="169" t="n">
        <x:f>DGKC!F34</x:f>
        <x:v>674.972</x:v>
      </x:c>
      <x:c r="G404" s="169" t="n">
        <x:f>DGKC!F61</x:f>
        <x:v>48675.78999999999</x:v>
      </x:c>
      <x:c r="H404" s="169" t="n">
        <x:f>IF(G404&lt;=0,"n/m",F404/G404)</x:f>
        <x:v>0.013866688142092815</x:v>
      </x:c>
      <x:c r="I404" s="169" t="n">
        <x:v>674.972</x:v>
      </x:c>
      <x:c r="J404" s="169" t="n">
        <x:v>48675.79</x:v>
      </x:c>
      <x:c r="K404" s="169" t="n">
        <x:v>0.013866688142092813</x:v>
      </x:c>
      <x:c r="L404" s="175" t="n">
        <x:v>0.013866688142092813</x:v>
      </x:c>
      <x:c r="M404" s="175" t="n">
        <x:f>DGKC!F140</x:f>
        <x:v>0.013866688142092815</x:v>
      </x:c>
      <x:c r="N404" s="176" t="str">
        <x:f>IF(AND(ABS(F404-I404)&lt;0.000001,ABS(G404-J404)&lt;0.000001,IF(ISNUMBER(L404),IF(ISNUMBER(M404),ABS(L404-M404)&lt;0.00000001,FALSE),M404=L404)),"PASS","FAIL")</x:f>
        <x:v>PASS</x:v>
      </x:c>
      <x:c r="O404" s="171" t="str"/>
      <x:c r="P404" s="168" t="str">
        <x:v>Liquidity</x:v>
      </x:c>
    </x:row>
    <x:row r="405" ht="26" customHeight="1">
      <x:c r="A405" s="76" t="str">
        <x:v>DGKC</x:v>
      </x:c>
      <x:c r="B405" s="76" t="n">
        <x:v>2023</x:v>
      </x:c>
      <x:c r="C405" s="76" t="n">
        <x:v>4</x:v>
      </x:c>
      <x:c r="D405" s="76" t="str">
        <x:v>Net working capital (PKR m)</x:v>
      </x:c>
      <x:c r="E405" s="76" t="str">
        <x:v>Additional</x:v>
      </x:c>
      <x:c r="F405" s="170" t="n">
        <x:f>DGKC!F36-DGKC!F61</x:f>
        <x:v>-9649.123999999996</x:v>
      </x:c>
      <x:c r="G405" s="170" t="n">
        <x:f>1</x:f>
        <x:v>1</x:v>
      </x:c>
      <x:c r="H405" s="170" t="n">
        <x:f>IF(G405&lt;=0,"n/m",F405/G405)</x:f>
        <x:v>-9649.123999999996</x:v>
      </x:c>
      <x:c r="I405" s="170" t="n">
        <x:v>-9649.124000000003</x:v>
      </x:c>
      <x:c r="J405" s="170" t="n">
        <x:v>1</x:v>
      </x:c>
      <x:c r="K405" s="170" t="n">
        <x:v>-9649.124000000003</x:v>
      </x:c>
      <x:c r="L405" s="177" t="str">
        <x:v>n/m</x:v>
      </x:c>
      <x:c r="M405" s="177" t="str">
        <x:f>DGKC!F141</x:f>
        <x:v>n/m</x:v>
      </x:c>
      <x:c r="N405" s="178" t="str">
        <x:f>IF(AND(ABS(F405-I405)&lt;0.000001,ABS(G405-J405)&lt;0.000001,IF(ISNUMBER(L405),IF(ISNUMBER(M405),ABS(L405-M405)&lt;0.00000001,FALSE),M405=L405)),"PASS","FAIL")</x:f>
        <x:v>PASS</x:v>
      </x:c>
      <x:c r="O405" s="99" t="str">
        <x:v>Negative calculated measure; raw signed value in H/K.</x:v>
      </x:c>
      <x:c r="P405" s="76" t="str">
        <x:v>Liquidity</x:v>
      </x:c>
    </x:row>
    <x:row r="406" ht="26" customHeight="1">
      <x:c r="A406" s="168" t="str">
        <x:v>DGKC</x:v>
      </x:c>
      <x:c r="B406" s="168" t="n">
        <x:v>2023</x:v>
      </x:c>
      <x:c r="C406" s="168" t="n">
        <x:v>5</x:v>
      </x:c>
      <x:c r="D406" s="168" t="str">
        <x:v>Net operating working capital (PKR m)</x:v>
      </x:c>
      <x:c r="E406" s="168" t="str">
        <x:v>Additional</x:v>
      </x:c>
      <x:c r="F406" s="169" t="n">
        <x:f>DGKC!F72-DGKC!F73</x:f>
        <x:v>15215.495000000003</x:v>
      </x:c>
      <x:c r="G406" s="169" t="n">
        <x:f>1</x:f>
        <x:v>1</x:v>
      </x:c>
      <x:c r="H406" s="169" t="n">
        <x:f>IF(G406&lt;=0,"n/m",F406/G406)</x:f>
        <x:v>15215.495000000003</x:v>
      </x:c>
      <x:c r="I406" s="169" t="n">
        <x:v>15215.494999999995</x:v>
      </x:c>
      <x:c r="J406" s="169" t="n">
        <x:v>1</x:v>
      </x:c>
      <x:c r="K406" s="169" t="n">
        <x:v>15215.494999999995</x:v>
      </x:c>
      <x:c r="L406" s="175" t="n">
        <x:v>15215.494999999995</x:v>
      </x:c>
      <x:c r="M406" s="175" t="n">
        <x:f>DGKC!F142</x:f>
        <x:v>15215.495000000003</x:v>
      </x:c>
      <x:c r="N406" s="176" t="str">
        <x:f>IF(AND(ABS(F406-I406)&lt;0.000001,ABS(G406-J406)&lt;0.000001,IF(ISNUMBER(L406),IF(ISNUMBER(M406),ABS(L406-M406)&lt;0.00000001,FALSE),M406=L406)),"PASS","FAIL")</x:f>
        <x:v>PASS</x:v>
      </x:c>
      <x:c r="O406" s="171" t="str"/>
      <x:c r="P406" s="168" t="str">
        <x:v>Liquidity</x:v>
      </x:c>
    </x:row>
    <x:row r="407" ht="26" customHeight="1">
      <x:c r="A407" s="76" t="str">
        <x:v>DGKC</x:v>
      </x:c>
      <x:c r="B407" s="76" t="n">
        <x:v>2023</x:v>
      </x:c>
      <x:c r="C407" s="76" t="n">
        <x:v>6</x:v>
      </x:c>
      <x:c r="D407" s="76" t="str">
        <x:v>Inventory turnover</x:v>
      </x:c>
      <x:c r="E407" s="76" t="str">
        <x:v>Mandatory</x:v>
      </x:c>
      <x:c r="F407" s="170" t="n">
        <x:f>-DGKC!F85</x:f>
        <x:v>55428.046</x:v>
      </x:c>
      <x:c r="G407" s="170" t="n">
        <x:f>AVERAGE(DGKC!E65,DGKC!F65)</x:f>
        <x:v>22760.286500000002</x:v>
      </x:c>
      <x:c r="H407" s="170" t="n">
        <x:f>IF(G407&lt;=0,"n/m",F407/G407)</x:f>
        <x:v>2.4352964976956684</x:v>
      </x:c>
      <x:c r="I407" s="170" t="n">
        <x:v>55428.046</x:v>
      </x:c>
      <x:c r="J407" s="170" t="n">
        <x:v>22760.286500000002</x:v>
      </x:c>
      <x:c r="K407" s="170" t="n">
        <x:v>2.4352964976956684</x:v>
      </x:c>
      <x:c r="L407" s="177" t="n">
        <x:v>2.4352964976956684</x:v>
      </x:c>
      <x:c r="M407" s="177" t="n">
        <x:f>DGKC!F144</x:f>
        <x:v>2.4352964976956684</x:v>
      </x:c>
      <x:c r="N407" s="178" t="str">
        <x:f>IF(AND(ABS(F407-I407)&lt;0.000001,ABS(G407-J407)&lt;0.000001,IF(ISNUMBER(L407),IF(ISNUMBER(M407),ABS(L407-M407)&lt;0.00000001,FALSE),M407=L407)),"PASS","FAIL")</x:f>
        <x:v>PASS</x:v>
      </x:c>
      <x:c r="O407" s="99" t="str"/>
      <x:c r="P407" s="76" t="str">
        <x:v>Asset Management</x:v>
      </x:c>
    </x:row>
    <x:row r="408" ht="26" customHeight="1">
      <x:c r="A408" s="168" t="str">
        <x:v>DGKC</x:v>
      </x:c>
      <x:c r="B408" s="168" t="n">
        <x:v>2023</x:v>
      </x:c>
      <x:c r="C408" s="168" t="n">
        <x:v>7</x:v>
      </x:c>
      <x:c r="D408" s="168" t="str">
        <x:v>Receivables turnover</x:v>
      </x:c>
      <x:c r="E408" s="168" t="str">
        <x:v>Additional</x:v>
      </x:c>
      <x:c r="F408" s="169" t="n">
        <x:f>DGKC!F84</x:f>
        <x:v>64983.821</x:v>
      </x:c>
      <x:c r="G408" s="169" t="n">
        <x:f>AVERAGE(DGKC!E32,DGKC!F32)</x:f>
        <x:v>1330.651</x:v>
      </x:c>
      <x:c r="H408" s="169" t="n">
        <x:f>IF(G408&lt;=0,"n/m",F408/G408)</x:f>
        <x:v>48.836111797909446</x:v>
      </x:c>
      <x:c r="I408" s="169" t="n">
        <x:v>64983.821</x:v>
      </x:c>
      <x:c r="J408" s="169" t="n">
        <x:v>1330.651</x:v>
      </x:c>
      <x:c r="K408" s="169" t="n">
        <x:v>48.836111797909446</x:v>
      </x:c>
      <x:c r="L408" s="175" t="n">
        <x:v>48.836111797909446</x:v>
      </x:c>
      <x:c r="M408" s="175" t="n">
        <x:f>DGKC!F145</x:f>
        <x:v>48.836111797909446</x:v>
      </x:c>
      <x:c r="N408" s="176" t="str">
        <x:f>IF(AND(ABS(F408-I408)&lt;0.000001,ABS(G408-J408)&lt;0.000001,IF(ISNUMBER(L408),IF(ISNUMBER(M408),ABS(L408-M408)&lt;0.00000001,FALSE),M408=L408)),"PASS","FAIL")</x:f>
        <x:v>PASS</x:v>
      </x:c>
      <x:c r="O408" s="171" t="str"/>
      <x:c r="P408" s="168" t="str">
        <x:v>Asset Management</x:v>
      </x:c>
    </x:row>
    <x:row r="409" ht="26" customHeight="1">
      <x:c r="A409" s="76" t="str">
        <x:v>DGKC</x:v>
      </x:c>
      <x:c r="B409" s="76" t="n">
        <x:v>2023</x:v>
      </x:c>
      <x:c r="C409" s="76" t="n">
        <x:v>8</x:v>
      </x:c>
      <x:c r="D409" s="76" t="str">
        <x:v>Payables turnover</x:v>
      </x:c>
      <x:c r="E409" s="76" t="str">
        <x:v>Additional</x:v>
      </x:c>
      <x:c r="F409" s="170" t="n">
        <x:f>-DGKC!F85</x:f>
        <x:v>55428.046</x:v>
      </x:c>
      <x:c r="G409" s="170" t="n">
        <x:f>AVERAGE(DGKC!E51,DGKC!F51)</x:f>
        <x:v>5200.628</x:v>
      </x:c>
      <x:c r="H409" s="170" t="n">
        <x:f>IF(G409&lt;=0,"n/m",F409/G409)</x:f>
        <x:v>10.657952462664126</x:v>
      </x:c>
      <x:c r="I409" s="170" t="n">
        <x:v>55428.046</x:v>
      </x:c>
      <x:c r="J409" s="170" t="n">
        <x:v>5200.628</x:v>
      </x:c>
      <x:c r="K409" s="170" t="n">
        <x:v>10.657952462664126</x:v>
      </x:c>
      <x:c r="L409" s="177" t="n">
        <x:v>10.657952462664126</x:v>
      </x:c>
      <x:c r="M409" s="177" t="n">
        <x:f>DGKC!F146</x:f>
        <x:v>10.657952462664126</x:v>
      </x:c>
      <x:c r="N409" s="178" t="str">
        <x:f>IF(AND(ABS(F409-I409)&lt;0.000001,ABS(G409-J409)&lt;0.000001,IF(ISNUMBER(L409),IF(ISNUMBER(M409),ABS(L409-M409)&lt;0.00000001,FALSE),M409=L409)),"PASS","FAIL")</x:f>
        <x:v>PASS</x:v>
      </x:c>
      <x:c r="O409" s="99" t="str"/>
      <x:c r="P409" s="76" t="str">
        <x:v>Asset Management</x:v>
      </x:c>
    </x:row>
    <x:row r="410" ht="26" customHeight="1">
      <x:c r="A410" s="168" t="str">
        <x:v>DGKC</x:v>
      </x:c>
      <x:c r="B410" s="168" t="n">
        <x:v>2023</x:v>
      </x:c>
      <x:c r="C410" s="168" t="n">
        <x:v>9</x:v>
      </x:c>
      <x:c r="D410" s="168" t="str">
        <x:v>Days inventory outstanding</x:v>
      </x:c>
      <x:c r="E410" s="168" t="str">
        <x:v>Additional</x:v>
      </x:c>
      <x:c r="F410" s="169" t="n">
        <x:f>365*AVERAGE(DGKC!E65,DGKC!F65)</x:f>
        <x:v>8307504.572500001</x:v>
      </x:c>
      <x:c r="G410" s="169" t="n">
        <x:f>-DGKC!F85</x:f>
        <x:v>55428.046</x:v>
      </x:c>
      <x:c r="H410" s="169" t="n">
        <x:f>IF(G410&lt;=0,"n/m",F410/G410)</x:f>
        <x:v>149.87908057411946</x:v>
      </x:c>
      <x:c r="I410" s="169" t="n">
        <x:v>8307504.572500001</x:v>
      </x:c>
      <x:c r="J410" s="169" t="n">
        <x:v>55428.046</x:v>
      </x:c>
      <x:c r="K410" s="169" t="n">
        <x:v>149.87908057411946</x:v>
      </x:c>
      <x:c r="L410" s="175" t="n">
        <x:v>149.87908057411946</x:v>
      </x:c>
      <x:c r="M410" s="175" t="n">
        <x:f>DGKC!F147</x:f>
        <x:v>149.87908057411946</x:v>
      </x:c>
      <x:c r="N410" s="176" t="str">
        <x:f>IF(AND(ABS(F410-I410)&lt;0.000001,ABS(G410-J410)&lt;0.000001,IF(ISNUMBER(L410),IF(ISNUMBER(M410),ABS(L410-M410)&lt;0.00000001,FALSE),M410=L410)),"PASS","FAIL")</x:f>
        <x:v>PASS</x:v>
      </x:c>
      <x:c r="O410" s="171" t="str"/>
      <x:c r="P410" s="168" t="str">
        <x:v>Asset Management</x:v>
      </x:c>
    </x:row>
    <x:row r="411" ht="26" customHeight="1">
      <x:c r="A411" s="76" t="str">
        <x:v>DGKC</x:v>
      </x:c>
      <x:c r="B411" s="76" t="n">
        <x:v>2023</x:v>
      </x:c>
      <x:c r="C411" s="76" t="n">
        <x:v>10</x:v>
      </x:c>
      <x:c r="D411" s="76" t="str">
        <x:v>Days sales outstanding</x:v>
      </x:c>
      <x:c r="E411" s="76" t="str">
        <x:v>Mandatory</x:v>
      </x:c>
      <x:c r="F411" s="170" t="n">
        <x:f>365*AVERAGE(DGKC!E32,DGKC!F32)</x:f>
        <x:v>485687.61500000005</x:v>
      </x:c>
      <x:c r="G411" s="170" t="n">
        <x:f>DGKC!F84</x:f>
        <x:v>64983.821</x:v>
      </x:c>
      <x:c r="H411" s="170" t="n">
        <x:f>IF(G411&lt;=0,"n/m",F411/G411)</x:f>
        <x:v>7.4739774843341396</x:v>
      </x:c>
      <x:c r="I411" s="170" t="n">
        <x:v>485687.61500000005</x:v>
      </x:c>
      <x:c r="J411" s="170" t="n">
        <x:v>64983.821</x:v>
      </x:c>
      <x:c r="K411" s="170" t="n">
        <x:v>7.4739774843341396</x:v>
      </x:c>
      <x:c r="L411" s="177" t="n">
        <x:v>7.4739774843341396</x:v>
      </x:c>
      <x:c r="M411" s="177" t="n">
        <x:f>DGKC!F148</x:f>
        <x:v>7.4739774843341396</x:v>
      </x:c>
      <x:c r="N411" s="178" t="str">
        <x:f>IF(AND(ABS(F411-I411)&lt;0.000001,ABS(G411-J411)&lt;0.000001,IF(ISNUMBER(L411),IF(ISNUMBER(M411),ABS(L411-M411)&lt;0.00000001,FALSE),M411=L411)),"PASS","FAIL")</x:f>
        <x:v>PASS</x:v>
      </x:c>
      <x:c r="O411" s="99" t="str"/>
      <x:c r="P411" s="76" t="str">
        <x:v>Asset Management</x:v>
      </x:c>
    </x:row>
    <x:row r="412" ht="26" customHeight="1">
      <x:c r="A412" s="168" t="str">
        <x:v>DGKC</x:v>
      </x:c>
      <x:c r="B412" s="168" t="n">
        <x:v>2023</x:v>
      </x:c>
      <x:c r="C412" s="168" t="n">
        <x:v>11</x:v>
      </x:c>
      <x:c r="D412" s="168" t="str">
        <x:v>Days payables outstanding</x:v>
      </x:c>
      <x:c r="E412" s="168" t="str">
        <x:v>Additional</x:v>
      </x:c>
      <x:c r="F412" s="169" t="n">
        <x:f>365*AVERAGE(DGKC!E51,DGKC!F51)</x:f>
        <x:v>1898229.22</x:v>
      </x:c>
      <x:c r="G412" s="169" t="n">
        <x:f>-DGKC!F85</x:f>
        <x:v>55428.046</x:v>
      </x:c>
      <x:c r="H412" s="169" t="n">
        <x:f>IF(G412&lt;=0,"n/m",F412/G412)</x:f>
        <x:v>34.24672809140701</x:v>
      </x:c>
      <x:c r="I412" s="169" t="n">
        <x:v>1898229.22</x:v>
      </x:c>
      <x:c r="J412" s="169" t="n">
        <x:v>55428.046</x:v>
      </x:c>
      <x:c r="K412" s="169" t="n">
        <x:v>34.24672809140701</x:v>
      </x:c>
      <x:c r="L412" s="175" t="n">
        <x:v>34.24672809140701</x:v>
      </x:c>
      <x:c r="M412" s="175" t="n">
        <x:f>DGKC!F149</x:f>
        <x:v>34.24672809140701</x:v>
      </x:c>
      <x:c r="N412" s="176" t="str">
        <x:f>IF(AND(ABS(F412-I412)&lt;0.000001,ABS(G412-J412)&lt;0.000001,IF(ISNUMBER(L412),IF(ISNUMBER(M412),ABS(L412-M412)&lt;0.00000001,FALSE),M412=L412)),"PASS","FAIL")</x:f>
        <x:v>PASS</x:v>
      </x:c>
      <x:c r="O412" s="171" t="str"/>
      <x:c r="P412" s="168" t="str">
        <x:v>Asset Management</x:v>
      </x:c>
    </x:row>
    <x:row r="413" ht="26" customHeight="1">
      <x:c r="A413" s="76" t="str">
        <x:v>DGKC</x:v>
      </x:c>
      <x:c r="B413" s="76" t="n">
        <x:v>2023</x:v>
      </x:c>
      <x:c r="C413" s="76" t="n">
        <x:v>12</x:v>
      </x:c>
      <x:c r="D413" s="76" t="str">
        <x:v>Operating cycle (days)</x:v>
      </x:c>
      <x:c r="E413" s="76" t="str">
        <x:v>Additional</x:v>
      </x:c>
      <x:c r="F413" s="170" t="n">
        <x:f>365*AVERAGE(DGKC!E65,DGKC!F65)/(-DGKC!F85)+365*AVERAGE(DGKC!E32,DGKC!F32)/DGKC!F84</x:f>
        <x:v>157.3530580584536</x:v>
      </x:c>
      <x:c r="G413" s="170" t="n">
        <x:f>1</x:f>
        <x:v>1</x:v>
      </x:c>
      <x:c r="H413" s="170" t="n">
        <x:f>IF(G413&lt;=0,"n/m",F413/G413)</x:f>
        <x:v>157.3530580584536</x:v>
      </x:c>
      <x:c r="I413" s="170" t="n">
        <x:v>157.3530580584536</x:v>
      </x:c>
      <x:c r="J413" s="170" t="n">
        <x:v>1</x:v>
      </x:c>
      <x:c r="K413" s="170" t="n">
        <x:v>157.3530580584536</x:v>
      </x:c>
      <x:c r="L413" s="177" t="n">
        <x:v>157.3530580584536</x:v>
      </x:c>
      <x:c r="M413" s="177" t="n">
        <x:f>DGKC!F150</x:f>
        <x:v>157.3530580584536</x:v>
      </x:c>
      <x:c r="N413" s="178" t="str">
        <x:f>IF(AND(ABS(F413-I413)&lt;0.000001,ABS(G413-J413)&lt;0.000001,IF(ISNUMBER(L413),IF(ISNUMBER(M413),ABS(L413-M413)&lt;0.00000001,FALSE),M413=L413)),"PASS","FAIL")</x:f>
        <x:v>PASS</x:v>
      </x:c>
      <x:c r="O413" s="99" t="str"/>
      <x:c r="P413" s="76" t="str">
        <x:v>Asset Management</x:v>
      </x:c>
    </x:row>
    <x:row r="414" ht="26" customHeight="1">
      <x:c r="A414" s="168" t="str">
        <x:v>DGKC</x:v>
      </x:c>
      <x:c r="B414" s="168" t="n">
        <x:v>2023</x:v>
      </x:c>
      <x:c r="C414" s="168" t="n">
        <x:v>13</x:v>
      </x:c>
      <x:c r="D414" s="168" t="str">
        <x:v>Cash conversion cycle (days)</x:v>
      </x:c>
      <x:c r="E414" s="168" t="str">
        <x:v>Additional</x:v>
      </x:c>
      <x:c r="F414" s="169" t="n">
        <x:f>365*AVERAGE(DGKC!E65,DGKC!F65)/(-DGKC!F85)+365*AVERAGE(DGKC!E32,DGKC!F32)/DGKC!F84-365*AVERAGE(DGKC!E51,DGKC!F51)/(-DGKC!F85)</x:f>
        <x:v>123.10632996704659</x:v>
      </x:c>
      <x:c r="G414" s="169" t="n">
        <x:f>1</x:f>
        <x:v>1</x:v>
      </x:c>
      <x:c r="H414" s="169" t="n">
        <x:f>IF(G414&lt;=0,"n/m",F414/G414)</x:f>
        <x:v>123.10632996704659</x:v>
      </x:c>
      <x:c r="I414" s="169" t="n">
        <x:v>123.10632996704659</x:v>
      </x:c>
      <x:c r="J414" s="169" t="n">
        <x:v>1</x:v>
      </x:c>
      <x:c r="K414" s="169" t="n">
        <x:v>123.10632996704659</x:v>
      </x:c>
      <x:c r="L414" s="175" t="n">
        <x:v>123.10632996704659</x:v>
      </x:c>
      <x:c r="M414" s="175" t="n">
        <x:f>DGKC!F151</x:f>
        <x:v>123.10632996704659</x:v>
      </x:c>
      <x:c r="N414" s="176" t="str">
        <x:f>IF(AND(ABS(F414-I414)&lt;0.000001,ABS(G414-J414)&lt;0.000001,IF(ISNUMBER(L414),IF(ISNUMBER(M414),ABS(L414-M414)&lt;0.00000001,FALSE),M414=L414)),"PASS","FAIL")</x:f>
        <x:v>PASS</x:v>
      </x:c>
      <x:c r="O414" s="171" t="str"/>
      <x:c r="P414" s="168" t="str">
        <x:v>Asset Management</x:v>
      </x:c>
    </x:row>
    <x:row r="415" ht="26" customHeight="1">
      <x:c r="A415" s="76" t="str">
        <x:v>DGKC</x:v>
      </x:c>
      <x:c r="B415" s="76" t="n">
        <x:v>2023</x:v>
      </x:c>
      <x:c r="C415" s="76" t="n">
        <x:v>14</x:v>
      </x:c>
      <x:c r="D415" s="76" t="str">
        <x:v>Total asset turnover</x:v>
      </x:c>
      <x:c r="E415" s="76" t="str">
        <x:v>Mandatory</x:v>
      </x:c>
      <x:c r="F415" s="170" t="n">
        <x:f>DGKC!F84</x:f>
        <x:v>64983.821</x:v>
      </x:c>
      <x:c r="G415" s="170" t="n">
        <x:f>AVERAGE(DGKC!E37,DGKC!F37)</x:f>
        <x:v>135637.6335</x:v>
      </x:c>
      <x:c r="H415" s="170" t="n">
        <x:f>IF(G415&lt;=0,"n/m",F415/G415)</x:f>
        <x:v>0.47909875248597583</x:v>
      </x:c>
      <x:c r="I415" s="170" t="n">
        <x:v>64983.821</x:v>
      </x:c>
      <x:c r="J415" s="170" t="n">
        <x:v>135637.6335</x:v>
      </x:c>
      <x:c r="K415" s="170" t="n">
        <x:v>0.47909875248597583</x:v>
      </x:c>
      <x:c r="L415" s="177" t="n">
        <x:v>0.47909875248597583</x:v>
      </x:c>
      <x:c r="M415" s="177" t="n">
        <x:f>DGKC!F152</x:f>
        <x:v>0.47909875248597583</x:v>
      </x:c>
      <x:c r="N415" s="178" t="str">
        <x:f>IF(AND(ABS(F415-I415)&lt;0.000001,ABS(G415-J415)&lt;0.000001,IF(ISNUMBER(L415),IF(ISNUMBER(M415),ABS(L415-M415)&lt;0.00000001,FALSE),M415=L415)),"PASS","FAIL")</x:f>
        <x:v>PASS</x:v>
      </x:c>
      <x:c r="O415" s="99" t="str"/>
      <x:c r="P415" s="76" t="str">
        <x:v>Asset Management</x:v>
      </x:c>
    </x:row>
    <x:row r="416" ht="26" customHeight="1">
      <x:c r="A416" s="168" t="str">
        <x:v>DGKC</x:v>
      </x:c>
      <x:c r="B416" s="168" t="n">
        <x:v>2023</x:v>
      </x:c>
      <x:c r="C416" s="168" t="n">
        <x:v>15</x:v>
      </x:c>
      <x:c r="D416" s="168" t="str">
        <x:v>Fixed asset turnover</x:v>
      </x:c>
      <x:c r="E416" s="168" t="str">
        <x:v>Mandatory</x:v>
      </x:c>
      <x:c r="F416" s="169" t="n">
        <x:f>DGKC!F84</x:f>
        <x:v>64983.821</x:v>
      </x:c>
      <x:c r="G416" s="169" t="n">
        <x:f>AVERAGE(DGKC!E22,DGKC!F22)</x:f>
        <x:v>81159.239</x:v>
      </x:c>
      <x:c r="H416" s="169" t="n">
        <x:f>IF(G416&lt;=0,"n/m",F416/G416)</x:f>
        <x:v>0.8006952973031204</x:v>
      </x:c>
      <x:c r="I416" s="169" t="n">
        <x:v>64983.821</x:v>
      </x:c>
      <x:c r="J416" s="169" t="n">
        <x:v>81159.239</x:v>
      </x:c>
      <x:c r="K416" s="169" t="n">
        <x:v>0.8006952973031204</x:v>
      </x:c>
      <x:c r="L416" s="175" t="n">
        <x:v>0.8006952973031204</x:v>
      </x:c>
      <x:c r="M416" s="175" t="n">
        <x:f>DGKC!F153</x:f>
        <x:v>0.8006952973031204</x:v>
      </x:c>
      <x:c r="N416" s="176" t="str">
        <x:f>IF(AND(ABS(F416-I416)&lt;0.000001,ABS(G416-J416)&lt;0.000001,IF(ISNUMBER(L416),IF(ISNUMBER(M416),ABS(L416-M416)&lt;0.00000001,FALSE),M416=L416)),"PASS","FAIL")</x:f>
        <x:v>PASS</x:v>
      </x:c>
      <x:c r="O416" s="171" t="str"/>
      <x:c r="P416" s="168" t="str">
        <x:v>Asset Management</x:v>
      </x:c>
    </x:row>
    <x:row r="417" ht="26" customHeight="1">
      <x:c r="A417" s="76" t="str">
        <x:v>DGKC</x:v>
      </x:c>
      <x:c r="B417" s="76" t="n">
        <x:v>2023</x:v>
      </x:c>
      <x:c r="C417" s="76" t="n">
        <x:v>16</x:v>
      </x:c>
      <x:c r="D417" s="76" t="str">
        <x:v>Debt ratio</x:v>
      </x:c>
      <x:c r="E417" s="76" t="str">
        <x:v>Mandatory</x:v>
      </x:c>
      <x:c r="F417" s="170" t="n">
        <x:f>DGKC!F62</x:f>
        <x:v>70520.97699999998</x:v>
      </x:c>
      <x:c r="G417" s="170" t="n">
        <x:f>DGKC!F37</x:f>
        <x:v>134713.25400000002</x:v>
      </x:c>
      <x:c r="H417" s="170" t="n">
        <x:f>IF(G417&lt;=0,"n/m",F417/G417)</x:f>
        <x:v>0.5234895224192266</x:v>
      </x:c>
      <x:c r="I417" s="170" t="n">
        <x:v>70520.977</x:v>
      </x:c>
      <x:c r="J417" s="170" t="n">
        <x:v>134713.254</x:v>
      </x:c>
      <x:c r="K417" s="170" t="n">
        <x:v>0.5234895224192269</x:v>
      </x:c>
      <x:c r="L417" s="177" t="n">
        <x:v>0.5234895224192269</x:v>
      </x:c>
      <x:c r="M417" s="177" t="n">
        <x:f>DGKC!F155</x:f>
        <x:v>0.5234895224192266</x:v>
      </x:c>
      <x:c r="N417" s="178" t="str">
        <x:f>IF(AND(ABS(F417-I417)&lt;0.000001,ABS(G417-J417)&lt;0.000001,IF(ISNUMBER(L417),IF(ISNUMBER(M417),ABS(L417-M417)&lt;0.00000001,FALSE),M417=L417)),"PASS","FAIL")</x:f>
        <x:v>PASS</x:v>
      </x:c>
      <x:c r="O417" s="99" t="str"/>
      <x:c r="P417" s="76" t="str">
        <x:v>Debt Management</x:v>
      </x:c>
    </x:row>
    <x:row r="418" ht="26" customHeight="1">
      <x:c r="A418" s="168" t="str">
        <x:v>DGKC</x:v>
      </x:c>
      <x:c r="B418" s="168" t="n">
        <x:v>2023</x:v>
      </x:c>
      <x:c r="C418" s="168" t="n">
        <x:v>17</x:v>
      </x:c>
      <x:c r="D418" s="168" t="str">
        <x:v>Debt-to-equity</x:v>
      </x:c>
      <x:c r="E418" s="168" t="str">
        <x:v>Mandatory</x:v>
      </x:c>
      <x:c r="F418" s="169" t="n">
        <x:f>DGKC!F62</x:f>
        <x:v>70520.97699999998</x:v>
      </x:c>
      <x:c r="G418" s="169" t="n">
        <x:f>DGKC!F41</x:f>
        <x:v>64192.277</x:v>
      </x:c>
      <x:c r="H418" s="169" t="n">
        <x:f>IF(G418&lt;=0,"n/m",F418/G418)</x:f>
        <x:v>1.0985897415665749</x:v>
      </x:c>
      <x:c r="I418" s="169" t="n">
        <x:v>70520.977</x:v>
      </x:c>
      <x:c r="J418" s="169" t="n">
        <x:v>64192.277</x:v>
      </x:c>
      <x:c r="K418" s="169" t="n">
        <x:v>1.098589741566575</x:v>
      </x:c>
      <x:c r="L418" s="175" t="n">
        <x:v>1.098589741566575</x:v>
      </x:c>
      <x:c r="M418" s="175" t="n">
        <x:f>DGKC!F156</x:f>
        <x:v>1.0985897415665749</x:v>
      </x:c>
      <x:c r="N418" s="176" t="str">
        <x:f>IF(AND(ABS(F418-I418)&lt;0.000001,ABS(G418-J418)&lt;0.000001,IF(ISNUMBER(L418),IF(ISNUMBER(M418),ABS(L418-M418)&lt;0.00000001,FALSE),M418=L418)),"PASS","FAIL")</x:f>
        <x:v>PASS</x:v>
      </x:c>
      <x:c r="O418" s="171" t="str"/>
      <x:c r="P418" s="168" t="str">
        <x:v>Debt Management</x:v>
      </x:c>
    </x:row>
    <x:row r="419" ht="26" customHeight="1">
      <x:c r="A419" s="76" t="str">
        <x:v>DGKC</x:v>
      </x:c>
      <x:c r="B419" s="76" t="n">
        <x:v>2023</x:v>
      </x:c>
      <x:c r="C419" s="76" t="n">
        <x:v>18</x:v>
      </x:c>
      <x:c r="D419" s="76" t="str">
        <x:v>Total debt-to-capital</x:v>
      </x:c>
      <x:c r="E419" s="76" t="str">
        <x:v>Additional</x:v>
      </x:c>
      <x:c r="F419" s="170" t="n">
        <x:f>DGKC!F66</x:f>
        <x:v>42528.276000000005</x:v>
      </x:c>
      <x:c r="G419" s="170" t="n">
        <x:f>DGKC!F66+DGKC!F41</x:f>
        <x:v>106720.55300000001</x:v>
      </x:c>
      <x:c r="H419" s="170" t="n">
        <x:f>IF(G419&lt;=0,"n/m",F419/G419)</x:f>
        <x:v>0.39850127088453147</x:v>
      </x:c>
      <x:c r="I419" s="170" t="n">
        <x:v>42528.276</x:v>
      </x:c>
      <x:c r="J419" s="170" t="n">
        <x:v>106720.553</x:v>
      </x:c>
      <x:c r="K419" s="170" t="n">
        <x:v>0.39850127088453147</x:v>
      </x:c>
      <x:c r="L419" s="177" t="n">
        <x:v>0.39850127088453147</x:v>
      </x:c>
      <x:c r="M419" s="177" t="n">
        <x:f>DGKC!F157</x:f>
        <x:v>0.39850127088453147</x:v>
      </x:c>
      <x:c r="N419" s="178" t="str">
        <x:f>IF(AND(ABS(F419-I419)&lt;0.000001,ABS(G419-J419)&lt;0.000001,IF(ISNUMBER(L419),IF(ISNUMBER(M419),ABS(L419-M419)&lt;0.00000001,FALSE),M419=L419)),"PASS","FAIL")</x:f>
        <x:v>PASS</x:v>
      </x:c>
      <x:c r="O419" s="99" t="str"/>
      <x:c r="P419" s="76" t="str">
        <x:v>Debt Management</x:v>
      </x:c>
    </x:row>
    <x:row r="420" ht="26" customHeight="1">
      <x:c r="A420" s="168" t="str">
        <x:v>DGKC</x:v>
      </x:c>
      <x:c r="B420" s="168" t="n">
        <x:v>2023</x:v>
      </x:c>
      <x:c r="C420" s="168" t="n">
        <x:v>19</x:v>
      </x:c>
      <x:c r="D420" s="168" t="str">
        <x:v>Long-term debt ratio</x:v>
      </x:c>
      <x:c r="E420" s="168" t="str">
        <x:v>Additional</x:v>
      </x:c>
      <x:c r="F420" s="169" t="n">
        <x:f>DGKC!F67</x:f>
        <x:v>9663.619</x:v>
      </x:c>
      <x:c r="G420" s="169" t="n">
        <x:f>DGKC!F37</x:f>
        <x:v>134713.25400000002</x:v>
      </x:c>
      <x:c r="H420" s="169" t="n">
        <x:f>IF(G420&lt;=0,"n/m",F420/G420)</x:f>
        <x:v>0.07173473071922083</x:v>
      </x:c>
      <x:c r="I420" s="169" t="n">
        <x:v>9663.619</x:v>
      </x:c>
      <x:c r="J420" s="169" t="n">
        <x:v>134713.254</x:v>
      </x:c>
      <x:c r="K420" s="169" t="n">
        <x:v>0.07173473071922086</x:v>
      </x:c>
      <x:c r="L420" s="175" t="n">
        <x:v>0.07173473071922086</x:v>
      </x:c>
      <x:c r="M420" s="175" t="n">
        <x:f>DGKC!F158</x:f>
        <x:v>0.07173473071922083</x:v>
      </x:c>
      <x:c r="N420" s="176" t="str">
        <x:f>IF(AND(ABS(F420-I420)&lt;0.000001,ABS(G420-J420)&lt;0.000001,IF(ISNUMBER(L420),IF(ISNUMBER(M420),ABS(L420-M420)&lt;0.00000001,FALSE),M420=L420)),"PASS","FAIL")</x:f>
        <x:v>PASS</x:v>
      </x:c>
      <x:c r="O420" s="171" t="str"/>
      <x:c r="P420" s="168" t="str">
        <x:v>Debt Management</x:v>
      </x:c>
    </x:row>
    <x:row r="421" ht="26" customHeight="1">
      <x:c r="A421" s="76" t="str">
        <x:v>DGKC</x:v>
      </x:c>
      <x:c r="B421" s="76" t="n">
        <x:v>2023</x:v>
      </x:c>
      <x:c r="C421" s="76" t="n">
        <x:v>20</x:v>
      </x:c>
      <x:c r="D421" s="76" t="str">
        <x:v>Times interest earned</x:v>
      </x:c>
      <x:c r="E421" s="76" t="str">
        <x:v>Mandatory</x:v>
      </x:c>
      <x:c r="F421" s="170" t="n">
        <x:f>DGKC!F108</x:f>
        <x:v>9904.835000000001</x:v>
      </x:c>
      <x:c r="G421" s="170" t="n">
        <x:f>DGKC!F106</x:f>
        <x:v>6703.799</x:v>
      </x:c>
      <x:c r="H421" s="170" t="n">
        <x:f>IF(G421&lt;=0,"n/m",F421/G421)</x:f>
        <x:v>1.4774958199074884</x:v>
      </x:c>
      <x:c r="I421" s="170" t="n">
        <x:v>9904.835000000001</x:v>
      </x:c>
      <x:c r="J421" s="170" t="n">
        <x:v>6703.799</x:v>
      </x:c>
      <x:c r="K421" s="170" t="n">
        <x:v>1.4774958199074884</x:v>
      </x:c>
      <x:c r="L421" s="177" t="n">
        <x:v>1.4774958199074884</x:v>
      </x:c>
      <x:c r="M421" s="177" t="n">
        <x:f>DGKC!F159</x:f>
        <x:v>1.4774958199074884</x:v>
      </x:c>
      <x:c r="N421" s="178" t="str">
        <x:f>IF(AND(ABS(F421-I421)&lt;0.000001,ABS(G421-J421)&lt;0.000001,IF(ISNUMBER(L421),IF(ISNUMBER(M421),ABS(L421-M421)&lt;0.00000001,FALSE),M421=L421)),"PASS","FAIL")</x:f>
        <x:v>PASS</x:v>
      </x:c>
      <x:c r="O421" s="99" t="str"/>
      <x:c r="P421" s="76" t="str">
        <x:v>Debt Management</x:v>
      </x:c>
    </x:row>
    <x:row r="422" ht="26" customHeight="1">
      <x:c r="A422" s="168" t="str">
        <x:v>DGKC</x:v>
      </x:c>
      <x:c r="B422" s="168" t="n">
        <x:v>2023</x:v>
      </x:c>
      <x:c r="C422" s="168" t="n">
        <x:v>21</x:v>
      </x:c>
      <x:c r="D422" s="168" t="str">
        <x:v>Gross profit margin</x:v>
      </x:c>
      <x:c r="E422" s="168" t="str">
        <x:v>Mandatory</x:v>
      </x:c>
      <x:c r="F422" s="169" t="n">
        <x:f>DGKC!F86</x:f>
        <x:v>9555.775000000001</x:v>
      </x:c>
      <x:c r="G422" s="169" t="n">
        <x:f>DGKC!F84</x:f>
        <x:v>64983.821</x:v>
      </x:c>
      <x:c r="H422" s="169" t="n">
        <x:f>IF(G422&lt;=0,"n/m",F422/G422)</x:f>
        <x:v>0.147048524585835</x:v>
      </x:c>
      <x:c r="I422" s="169" t="n">
        <x:v>9555.775000000001</x:v>
      </x:c>
      <x:c r="J422" s="169" t="n">
        <x:v>64983.821</x:v>
      </x:c>
      <x:c r="K422" s="169" t="n">
        <x:v>0.147048524585835</x:v>
      </x:c>
      <x:c r="L422" s="175" t="n">
        <x:v>0.147048524585835</x:v>
      </x:c>
      <x:c r="M422" s="175" t="n">
        <x:f>DGKC!F161</x:f>
        <x:v>0.147048524585835</x:v>
      </x:c>
      <x:c r="N422" s="176" t="str">
        <x:f>IF(AND(ABS(F422-I422)&lt;0.000001,ABS(G422-J422)&lt;0.000001,IF(ISNUMBER(L422),IF(ISNUMBER(M422),ABS(L422-M422)&lt;0.00000001,FALSE),M422=L422)),"PASS","FAIL")</x:f>
        <x:v>PASS</x:v>
      </x:c>
      <x:c r="O422" s="171" t="str"/>
      <x:c r="P422" s="168" t="str">
        <x:v>Profitability</x:v>
      </x:c>
    </x:row>
    <x:row r="423" ht="26" customHeight="1">
      <x:c r="A423" s="76" t="str">
        <x:v>DGKC</x:v>
      </x:c>
      <x:c r="B423" s="76" t="n">
        <x:v>2023</x:v>
      </x:c>
      <x:c r="C423" s="76" t="n">
        <x:v>22</x:v>
      </x:c>
      <x:c r="D423" s="76" t="str">
        <x:v>Operating margin</x:v>
      </x:c>
      <x:c r="E423" s="76" t="str">
        <x:v>Mandatory</x:v>
      </x:c>
      <x:c r="F423" s="170" t="n">
        <x:f>DGKC!F91</x:f>
        <x:v>6657.836000000001</x:v>
      </x:c>
      <x:c r="G423" s="170" t="n">
        <x:f>DGKC!F84</x:f>
        <x:v>64983.821</x:v>
      </x:c>
      <x:c r="H423" s="170" t="n">
        <x:f>IF(G423&lt;=0,"n/m",F423/G423)</x:f>
        <x:v>0.10245374767974941</x:v>
      </x:c>
      <x:c r="I423" s="170" t="n">
        <x:v>6657.836000000001</x:v>
      </x:c>
      <x:c r="J423" s="170" t="n">
        <x:v>64983.821</x:v>
      </x:c>
      <x:c r="K423" s="170" t="n">
        <x:v>0.10245374767974941</x:v>
      </x:c>
      <x:c r="L423" s="177" t="n">
        <x:v>0.10245374767974941</x:v>
      </x:c>
      <x:c r="M423" s="177" t="n">
        <x:f>DGKC!F162</x:f>
        <x:v>0.10245374767974941</x:v>
      </x:c>
      <x:c r="N423" s="178" t="str">
        <x:f>IF(AND(ABS(F423-I423)&lt;0.000001,ABS(G423-J423)&lt;0.000001,IF(ISNUMBER(L423),IF(ISNUMBER(M423),ABS(L423-M423)&lt;0.00000001,FALSE),M423=L423)),"PASS","FAIL")</x:f>
        <x:v>PASS</x:v>
      </x:c>
      <x:c r="O423" s="99" t="str"/>
      <x:c r="P423" s="76" t="str">
        <x:v>Profitability</x:v>
      </x:c>
    </x:row>
    <x:row r="424" ht="26" customHeight="1">
      <x:c r="A424" s="168" t="str">
        <x:v>DGKC</x:v>
      </x:c>
      <x:c r="B424" s="168" t="n">
        <x:v>2023</x:v>
      </x:c>
      <x:c r="C424" s="168" t="n">
        <x:v>23</x:v>
      </x:c>
      <x:c r="D424" s="168" t="str">
        <x:v>Net profit margin</x:v>
      </x:c>
      <x:c r="E424" s="168" t="str">
        <x:v>Mandatory</x:v>
      </x:c>
      <x:c r="F424" s="169" t="n">
        <x:f>DGKC!F99</x:f>
        <x:v>-3635.9759999999997</x:v>
      </x:c>
      <x:c r="G424" s="169" t="n">
        <x:f>DGKC!F84</x:f>
        <x:v>64983.821</x:v>
      </x:c>
      <x:c r="H424" s="169" t="n">
        <x:f>IF(G424&lt;=0,"n/m",F424/G424)</x:f>
        <x:v>-0.05595201919567025</x:v>
      </x:c>
      <x:c r="I424" s="169" t="n">
        <x:v>-3635.9759999999997</x:v>
      </x:c>
      <x:c r="J424" s="169" t="n">
        <x:v>64983.821</x:v>
      </x:c>
      <x:c r="K424" s="169" t="n">
        <x:v>-0.05595201919567025</x:v>
      </x:c>
      <x:c r="L424" s="175" t="str">
        <x:v>n/m</x:v>
      </x:c>
      <x:c r="M424" s="175" t="str">
        <x:f>DGKC!F163</x:f>
        <x:v>n/m</x:v>
      </x:c>
      <x:c r="N424" s="176" t="str">
        <x:f>IF(AND(ABS(F424-I424)&lt;0.000001,ABS(G424-J424)&lt;0.000001,IF(ISNUMBER(L424),IF(ISNUMBER(M424),ABS(L424-M424)&lt;0.00000001,FALSE),M424=L424)),"PASS","FAIL")</x:f>
        <x:v>PASS</x:v>
      </x:c>
      <x:c r="O424" s="171" t="str">
        <x:v>Negative calculated measure; raw signed value in H/K.</x:v>
      </x:c>
      <x:c r="P424" s="168" t="str">
        <x:v>Profitability</x:v>
      </x:c>
    </x:row>
    <x:row r="425" ht="26" customHeight="1">
      <x:c r="A425" s="76" t="str">
        <x:v>DGKC</x:v>
      </x:c>
      <x:c r="B425" s="76" t="n">
        <x:v>2023</x:v>
      </x:c>
      <x:c r="C425" s="76" t="n">
        <x:v>24</x:v>
      </x:c>
      <x:c r="D425" s="76" t="str">
        <x:v>Return on assets</x:v>
      </x:c>
      <x:c r="E425" s="76" t="str">
        <x:v>Mandatory</x:v>
      </x:c>
      <x:c r="F425" s="170" t="n">
        <x:f>DGKC!F99</x:f>
        <x:v>-3635.9759999999997</x:v>
      </x:c>
      <x:c r="G425" s="170" t="n">
        <x:f>AVERAGE(DGKC!E37,DGKC!F37)</x:f>
        <x:v>135637.6335</x:v>
      </x:c>
      <x:c r="H425" s="170" t="n">
        <x:f>IF(G425&lt;=0,"n/m",F425/G425)</x:f>
        <x:v>-0.02680654259571699</x:v>
      </x:c>
      <x:c r="I425" s="170" t="n">
        <x:v>-3635.9759999999997</x:v>
      </x:c>
      <x:c r="J425" s="170" t="n">
        <x:v>135637.6335</x:v>
      </x:c>
      <x:c r="K425" s="170" t="n">
        <x:v>-0.02680654259571699</x:v>
      </x:c>
      <x:c r="L425" s="177" t="str">
        <x:v>n/m</x:v>
      </x:c>
      <x:c r="M425" s="177" t="str">
        <x:f>DGKC!F164</x:f>
        <x:v>n/m</x:v>
      </x:c>
      <x:c r="N425" s="178" t="str">
        <x:f>IF(AND(ABS(F425-I425)&lt;0.000001,ABS(G425-J425)&lt;0.000001,IF(ISNUMBER(L425),IF(ISNUMBER(M425),ABS(L425-M425)&lt;0.00000001,FALSE),M425=L425)),"PASS","FAIL")</x:f>
        <x:v>PASS</x:v>
      </x:c>
      <x:c r="O425" s="99" t="str">
        <x:v>Negative calculated measure; raw signed value in H/K.</x:v>
      </x:c>
      <x:c r="P425" s="76" t="str">
        <x:v>Profitability</x:v>
      </x:c>
    </x:row>
    <x:row r="426" ht="26" customHeight="1">
      <x:c r="A426" s="168" t="str">
        <x:v>DGKC</x:v>
      </x:c>
      <x:c r="B426" s="168" t="n">
        <x:v>2023</x:v>
      </x:c>
      <x:c r="C426" s="168" t="n">
        <x:v>25</x:v>
      </x:c>
      <x:c r="D426" s="168" t="str">
        <x:v>Return on equity</x:v>
      </x:c>
      <x:c r="E426" s="168" t="str">
        <x:v>Mandatory</x:v>
      </x:c>
      <x:c r="F426" s="169" t="n">
        <x:f>DGKC!F99</x:f>
        <x:v>-3635.9759999999997</x:v>
      </x:c>
      <x:c r="G426" s="169" t="n">
        <x:f>AVERAGE(DGKC!E41,DGKC!F41)</x:f>
        <x:v>67055.18950000001</x:v>
      </x:c>
      <x:c r="H426" s="169" t="n">
        <x:f>IF(G426&lt;=0,"n/m",F426/G426)</x:f>
        <x:v>-0.05422363320589824</x:v>
      </x:c>
      <x:c r="I426" s="169" t="n">
        <x:v>-3635.9759999999997</x:v>
      </x:c>
      <x:c r="J426" s="169" t="n">
        <x:v>67055.18950000001</x:v>
      </x:c>
      <x:c r="K426" s="169" t="n">
        <x:v>-0.05422363320589824</x:v>
      </x:c>
      <x:c r="L426" s="175" t="str">
        <x:v>n/m</x:v>
      </x:c>
      <x:c r="M426" s="175" t="str">
        <x:f>DGKC!F165</x:f>
        <x:v>n/m</x:v>
      </x:c>
      <x:c r="N426" s="176" t="str">
        <x:f>IF(AND(ABS(F426-I426)&lt;0.000001,ABS(G426-J426)&lt;0.000001,IF(ISNUMBER(L426),IF(ISNUMBER(M426),ABS(L426-M426)&lt;0.00000001,FALSE),M426=L426)),"PASS","FAIL")</x:f>
        <x:v>PASS</x:v>
      </x:c>
      <x:c r="O426" s="171" t="str">
        <x:v>Negative calculated measure; raw signed value in H/K.</x:v>
      </x:c>
      <x:c r="P426" s="168" t="str">
        <x:v>Profitability</x:v>
      </x:c>
    </x:row>
    <x:row r="427" ht="26" customHeight="1">
      <x:c r="A427" s="76" t="str">
        <x:v>DGKC</x:v>
      </x:c>
      <x:c r="B427" s="76" t="n">
        <x:v>2023</x:v>
      </x:c>
      <x:c r="C427" s="76" t="n">
        <x:v>26</x:v>
      </x:c>
      <x:c r="D427" s="76" t="str">
        <x:v>Return on invested capital</x:v>
      </x:c>
      <x:c r="E427" s="76" t="str">
        <x:v>Additional</x:v>
      </x:c>
      <x:c r="F427" s="170" t="n">
        <x:f>DGKC!F113</x:f>
        <x:v>-11387.589779478094</x:v>
      </x:c>
      <x:c r="G427" s="170" t="n">
        <x:f>AVERAGE(DGKC!E70,DGKC!F70)</x:f>
        <x:v>111557.278</x:v>
      </x:c>
      <x:c r="H427" s="170" t="n">
        <x:f>IF(G427&lt;=0,"n/m",F427/G427)</x:f>
        <x:v>-0.10207841194796895</x:v>
      </x:c>
      <x:c r="I427" s="170" t="n">
        <x:v>-11387.589779478094</x:v>
      </x:c>
      <x:c r="J427" s="170" t="n">
        <x:v>111557.27799999999</x:v>
      </x:c>
      <x:c r="K427" s="170" t="n">
        <x:v>-0.10207841194796896</x:v>
      </x:c>
      <x:c r="L427" s="177" t="str">
        <x:v>n/m</x:v>
      </x:c>
      <x:c r="M427" s="177" t="str">
        <x:f>DGKC!F166</x:f>
        <x:v>n/m</x:v>
      </x:c>
      <x:c r="N427" s="178" t="str">
        <x:f>IF(AND(ABS(F427-I427)&lt;0.000001,ABS(G427-J427)&lt;0.000001,IF(ISNUMBER(L427),IF(ISNUMBER(M427),ABS(L427-M427)&lt;0.00000001,FALSE),M427=L427)),"PASS","FAIL")</x:f>
        <x:v>PASS</x:v>
      </x:c>
      <x:c r="O427" s="99" t="str">
        <x:v>Negative calculated measure; raw signed value in H/K.</x:v>
      </x:c>
      <x:c r="P427" s="76" t="str">
        <x:v>Profitability</x:v>
      </x:c>
    </x:row>
    <x:row r="428" ht="26" customHeight="1">
      <x:c r="A428" s="168" t="str">
        <x:v>DGKC</x:v>
      </x:c>
      <x:c r="B428" s="168" t="n">
        <x:v>2023</x:v>
      </x:c>
      <x:c r="C428" s="168" t="n">
        <x:v>27</x:v>
      </x:c>
      <x:c r="D428" s="168" t="str">
        <x:v>Basic earning power</x:v>
      </x:c>
      <x:c r="E428" s="168" t="str">
        <x:v>Additional</x:v>
      </x:c>
      <x:c r="F428" s="169" t="n">
        <x:f>DGKC!F108</x:f>
        <x:v>9904.835000000001</x:v>
      </x:c>
      <x:c r="G428" s="169" t="n">
        <x:f>AVERAGE(DGKC!E37,DGKC!F37)</x:f>
        <x:v>135637.6335</x:v>
      </x:c>
      <x:c r="H428" s="169" t="n">
        <x:f>IF(G428&lt;=0,"n/m",F428/G428)</x:f>
        <x:v>0.07302423924994239</x:v>
      </x:c>
      <x:c r="I428" s="169" t="n">
        <x:v>9904.835000000001</x:v>
      </x:c>
      <x:c r="J428" s="169" t="n">
        <x:v>135637.6335</x:v>
      </x:c>
      <x:c r="K428" s="169" t="n">
        <x:v>0.07302423924994239</x:v>
      </x:c>
      <x:c r="L428" s="175" t="n">
        <x:v>0.07302423924994239</x:v>
      </x:c>
      <x:c r="M428" s="175" t="n">
        <x:f>DGKC!F167</x:f>
        <x:v>0.07302423924994239</x:v>
      </x:c>
      <x:c r="N428" s="176" t="str">
        <x:f>IF(AND(ABS(F428-I428)&lt;0.000001,ABS(G428-J428)&lt;0.000001,IF(ISNUMBER(L428),IF(ISNUMBER(M428),ABS(L428-M428)&lt;0.00000001,FALSE),M428=L428)),"PASS","FAIL")</x:f>
        <x:v>PASS</x:v>
      </x:c>
      <x:c r="O428" s="171" t="str"/>
      <x:c r="P428" s="168" t="str">
        <x:v>Profitability</x:v>
      </x:c>
    </x:row>
    <x:row r="429" ht="26" customHeight="1">
      <x:c r="A429" s="76" t="str">
        <x:v>DGKC</x:v>
      </x:c>
      <x:c r="B429" s="76" t="n">
        <x:v>2023</x:v>
      </x:c>
      <x:c r="C429" s="76" t="n">
        <x:v>28</x:v>
      </x:c>
      <x:c r="D429" s="76" t="str">
        <x:v>Book value per share (Rs)</x:v>
      </x:c>
      <x:c r="E429" s="76" t="str">
        <x:v>Additional</x:v>
      </x:c>
      <x:c r="F429" s="170" t="n">
        <x:f>DGKC!F41</x:f>
        <x:v>64192.277</x:v>
      </x:c>
      <x:c r="G429" s="170" t="n">
        <x:f>DGKC!F128</x:f>
        <x:v>438.1191</x:v>
      </x:c>
      <x:c r="H429" s="170" t="n">
        <x:f>IF(G429&lt;=0,"n/m",F429/G429)</x:f>
        <x:v>146.51786922779672</x:v>
      </x:c>
      <x:c r="I429" s="170" t="n">
        <x:v>64192.277</x:v>
      </x:c>
      <x:c r="J429" s="170" t="n">
        <x:v>438.1191</x:v>
      </x:c>
      <x:c r="K429" s="170" t="n">
        <x:v>146.51786922779672</x:v>
      </x:c>
      <x:c r="L429" s="177" t="n">
        <x:v>146.51786922779672</x:v>
      </x:c>
      <x:c r="M429" s="177" t="n">
        <x:f>DGKC!F169</x:f>
        <x:v>146.51786922779672</x:v>
      </x:c>
      <x:c r="N429" s="178" t="str">
        <x:f>IF(AND(ABS(F429-I429)&lt;0.000001,ABS(G429-J429)&lt;0.000001,IF(ISNUMBER(L429),IF(ISNUMBER(M429),ABS(L429-M429)&lt;0.00000001,FALSE),M429=L429)),"PASS","FAIL")</x:f>
        <x:v>PASS</x:v>
      </x:c>
      <x:c r="O429" s="99" t="str"/>
      <x:c r="P429" s="76" t="str">
        <x:v>Market Value</x:v>
      </x:c>
    </x:row>
    <x:row r="430" ht="26" customHeight="1">
      <x:c r="A430" s="168" t="str">
        <x:v>DGKC</x:v>
      </x:c>
      <x:c r="B430" s="168" t="n">
        <x:v>2023</x:v>
      </x:c>
      <x:c r="C430" s="168" t="n">
        <x:v>29</x:v>
      </x:c>
      <x:c r="D430" s="168" t="str">
        <x:v>Market-to-book ratio</x:v>
      </x:c>
      <x:c r="E430" s="168" t="str">
        <x:v>Mandatory</x:v>
      </x:c>
      <x:c r="F430" s="169" t="n">
        <x:f>DGKC!F130</x:f>
        <x:v>51.3</x:v>
      </x:c>
      <x:c r="G430" s="169" t="n">
        <x:f>DGKC!F41/DGKC!F128</x:f>
        <x:v>146.51786922779672</x:v>
      </x:c>
      <x:c r="H430" s="169" t="n">
        <x:f>IF(G430&lt;=0,"n/m",F430/G430)</x:f>
        <x:v>0.35012794187063967</x:v>
      </x:c>
      <x:c r="I430" s="169" t="n">
        <x:v>51.3</x:v>
      </x:c>
      <x:c r="J430" s="169" t="n">
        <x:v>146.51786922779672</x:v>
      </x:c>
      <x:c r="K430" s="169" t="n">
        <x:v>0.35012794187063967</x:v>
      </x:c>
      <x:c r="L430" s="175" t="n">
        <x:v>0.35012794187063967</x:v>
      </x:c>
      <x:c r="M430" s="175" t="n">
        <x:f>DGKC!F170</x:f>
        <x:v>0.35012794187063967</x:v>
      </x:c>
      <x:c r="N430" s="176" t="str">
        <x:f>IF(AND(ABS(F430-I430)&lt;0.000001,ABS(G430-J430)&lt;0.000001,IF(ISNUMBER(L430),IF(ISNUMBER(M430),ABS(L430-M430)&lt;0.00000001,FALSE),M430=L430)),"PASS","FAIL")</x:f>
        <x:v>PASS</x:v>
      </x:c>
      <x:c r="O430" s="171" t="str"/>
      <x:c r="P430" s="168" t="str">
        <x:v>Market Value</x:v>
      </x:c>
    </x:row>
    <x:row r="431" ht="26" customHeight="1">
      <x:c r="A431" s="76" t="str">
        <x:v>DGKC</x:v>
      </x:c>
      <x:c r="B431" s="76" t="n">
        <x:v>2023</x:v>
      </x:c>
      <x:c r="C431" s="76" t="n">
        <x:v>30</x:v>
      </x:c>
      <x:c r="D431" s="76" t="str">
        <x:v>Earnings per share (Rs)</x:v>
      </x:c>
      <x:c r="E431" s="76" t="str">
        <x:v>Mandatory</x:v>
      </x:c>
      <x:c r="F431" s="170" t="n">
        <x:f>DGKC!F99</x:f>
        <x:v>-3635.9759999999997</x:v>
      </x:c>
      <x:c r="G431" s="170" t="n">
        <x:f>DGKC!F129</x:f>
        <x:v>438.119118</x:v>
      </x:c>
      <x:c r="H431" s="170" t="n">
        <x:f>IF(G431&lt;=0,"n/m",F431/G431)</x:f>
        <x:v>-8.299058065756444</x:v>
      </x:c>
      <x:c r="I431" s="170" t="n">
        <x:v>-3635.9759999999997</x:v>
      </x:c>
      <x:c r="J431" s="170" t="n">
        <x:v>438.119118</x:v>
      </x:c>
      <x:c r="K431" s="170" t="n">
        <x:v>-8.299058065756444</x:v>
      </x:c>
      <x:c r="L431" s="177" t="str">
        <x:v>n/m</x:v>
      </x:c>
      <x:c r="M431" s="177" t="str">
        <x:f>DGKC!F171</x:f>
        <x:v>n/m</x:v>
      </x:c>
      <x:c r="N431" s="178" t="str">
        <x:f>IF(AND(ABS(F431-I431)&lt;0.000001,ABS(G431-J431)&lt;0.000001,IF(ISNUMBER(L431),IF(ISNUMBER(M431),ABS(L431-M431)&lt;0.00000001,FALSE),M431=L431)),"PASS","FAIL")</x:f>
        <x:v>PASS</x:v>
      </x:c>
      <x:c r="O431" s="99" t="str">
        <x:v>Negative calculated measure; raw signed value in H/K.</x:v>
      </x:c>
      <x:c r="P431" s="76" t="str">
        <x:v>Market Value</x:v>
      </x:c>
    </x:row>
    <x:row r="432" ht="26" customHeight="1">
      <x:c r="A432" s="168" t="str">
        <x:v>DGKC</x:v>
      </x:c>
      <x:c r="B432" s="168" t="n">
        <x:v>2023</x:v>
      </x:c>
      <x:c r="C432" s="168" t="n">
        <x:v>31</x:v>
      </x:c>
      <x:c r="D432" s="168" t="str">
        <x:v>Price-to-earnings ratio</x:v>
      </x:c>
      <x:c r="E432" s="168" t="str">
        <x:v>Mandatory</x:v>
      </x:c>
      <x:c r="F432" s="169" t="n">
        <x:f>DGKC!F130</x:f>
        <x:v>51.3</x:v>
      </x:c>
      <x:c r="G432" s="169" t="n">
        <x:f>DGKC!F99/DGKC!F129</x:f>
        <x:v>-8.299058065756444</x:v>
      </x:c>
      <x:c r="H432" s="169" t="str">
        <x:f>IF(G432&lt;=0,"n/m",F432/G432)</x:f>
        <x:v>n/m</x:v>
      </x:c>
      <x:c r="I432" s="169" t="n">
        <x:v>51.3</x:v>
      </x:c>
      <x:c r="J432" s="169" t="n">
        <x:v>-8.299058065756444</x:v>
      </x:c>
      <x:c r="K432" s="169" t="str">
        <x:v>n/m</x:v>
      </x:c>
      <x:c r="L432" s="175" t="str">
        <x:v>n/m</x:v>
      </x:c>
      <x:c r="M432" s="175" t="str">
        <x:f>DGKC!F172</x:f>
        <x:v>n/m</x:v>
      </x:c>
      <x:c r="N432" s="176" t="str">
        <x:f>IF(AND(ABS(F432-I432)&lt;0.000001,ABS(G432-J432)&lt;0.000001,IF(ISNUMBER(L432),IF(ISNUMBER(M432),ABS(L432-M432)&lt;0.00000001,FALSE),M432=L432)),"PASS","FAIL")</x:f>
        <x:v>PASS</x:v>
      </x:c>
      <x:c r="O432" s="171" t="str">
        <x:v>Non-positive denominator; measure undefined.</x:v>
      </x:c>
      <x:c r="P432" s="168" t="str">
        <x:v>Market Value</x:v>
      </x:c>
    </x:row>
    <x:row r="433" ht="26" customHeight="1">
      <x:c r="A433" s="76" t="str">
        <x:v>DGKC</x:v>
      </x:c>
      <x:c r="B433" s="76" t="n">
        <x:v>2023</x:v>
      </x:c>
      <x:c r="C433" s="76" t="n">
        <x:v>32</x:v>
      </x:c>
      <x:c r="D433" s="76" t="str">
        <x:v>Dividend yield</x:v>
      </x:c>
      <x:c r="E433" s="76" t="str">
        <x:v>Mandatory</x:v>
      </x:c>
      <x:c r="F433" s="170" t="n">
        <x:f>DGKC!F131</x:f>
        <x:v>0</x:v>
      </x:c>
      <x:c r="G433" s="170" t="n">
        <x:f>DGKC!F130</x:f>
        <x:v>51.3</x:v>
      </x:c>
      <x:c r="H433" s="170" t="n">
        <x:f>IF(G433&lt;=0,"n/m",F433/G433)</x:f>
        <x:v>0</x:v>
      </x:c>
      <x:c r="I433" s="170" t="n">
        <x:v>0</x:v>
      </x:c>
      <x:c r="J433" s="170" t="n">
        <x:v>51.3</x:v>
      </x:c>
      <x:c r="K433" s="170" t="n">
        <x:v>0</x:v>
      </x:c>
      <x:c r="L433" s="177" t="n">
        <x:v>0</x:v>
      </x:c>
      <x:c r="M433" s="177" t="n">
        <x:f>DGKC!F173</x:f>
        <x:v>0</x:v>
      </x:c>
      <x:c r="N433" s="178" t="str">
        <x:f>IF(AND(ABS(F433-I433)&lt;0.000001,ABS(G433-J433)&lt;0.000001,IF(ISNUMBER(L433),IF(ISNUMBER(M433),ABS(L433-M433)&lt;0.00000001,FALSE),M433=L433)),"PASS","FAIL")</x:f>
        <x:v>PASS</x:v>
      </x:c>
      <x:c r="O433" s="99" t="str"/>
      <x:c r="P433" s="76" t="str">
        <x:v>Market Value</x:v>
      </x:c>
    </x:row>
    <x:row r="434" ht="26" customHeight="1">
      <x:c r="A434" s="168" t="str">
        <x:v>DGKC</x:v>
      </x:c>
      <x:c r="B434" s="168" t="n">
        <x:v>2023</x:v>
      </x:c>
      <x:c r="C434" s="168" t="n">
        <x:v>33</x:v>
      </x:c>
      <x:c r="D434" s="168" t="str">
        <x:v>Dividend payout ratio</x:v>
      </x:c>
      <x:c r="E434" s="168" t="str">
        <x:v>Additional</x:v>
      </x:c>
      <x:c r="F434" s="169" t="n">
        <x:f>DGKC!F131</x:f>
        <x:v>0</x:v>
      </x:c>
      <x:c r="G434" s="169" t="n">
        <x:f>DGKC!F99/DGKC!F129</x:f>
        <x:v>-8.299058065756444</x:v>
      </x:c>
      <x:c r="H434" s="169" t="str">
        <x:f>IF(G434&lt;=0,"n/m",F434/G434)</x:f>
        <x:v>n/m</x:v>
      </x:c>
      <x:c r="I434" s="169" t="n">
        <x:v>0</x:v>
      </x:c>
      <x:c r="J434" s="169" t="n">
        <x:v>-8.299058065756444</x:v>
      </x:c>
      <x:c r="K434" s="169" t="str">
        <x:v>n/m</x:v>
      </x:c>
      <x:c r="L434" s="175" t="str">
        <x:v>n/m</x:v>
      </x:c>
      <x:c r="M434" s="175" t="str">
        <x:f>DGKC!F174</x:f>
        <x:v>n/m</x:v>
      </x:c>
      <x:c r="N434" s="176" t="str">
        <x:f>IF(AND(ABS(F434-I434)&lt;0.000001,ABS(G434-J434)&lt;0.000001,IF(ISNUMBER(L434),IF(ISNUMBER(M434),ABS(L434-M434)&lt;0.00000001,FALSE),M434=L434)),"PASS","FAIL")</x:f>
        <x:v>PASS</x:v>
      </x:c>
      <x:c r="O434" s="171" t="str">
        <x:v>Non-positive denominator; measure undefined.</x:v>
      </x:c>
      <x:c r="P434" s="168" t="str">
        <x:v>Market Value</x:v>
      </x:c>
    </x:row>
    <x:row r="435" ht="26" customHeight="1">
      <x:c r="A435" s="76" t="str">
        <x:v>DGKC</x:v>
      </x:c>
      <x:c r="B435" s="76" t="n">
        <x:v>2024</x:v>
      </x:c>
      <x:c r="C435" s="76" t="n">
        <x:v>1</x:v>
      </x:c>
      <x:c r="D435" s="76" t="str">
        <x:v>Current ratio</x:v>
      </x:c>
      <x:c r="E435" s="76" t="str">
        <x:v>Mandatory</x:v>
      </x:c>
      <x:c r="F435" s="170" t="n">
        <x:f>DGKC!G36</x:f>
        <x:v>41770.52099999999</x:v>
      </x:c>
      <x:c r="G435" s="170" t="n">
        <x:f>DGKC!G61</x:f>
        <x:v>32225.717</x:v>
      </x:c>
      <x:c r="H435" s="170" t="n">
        <x:f>IF(G435&lt;=0,"n/m",F435/G435)</x:f>
        <x:v>1.296185931254842</x:v>
      </x:c>
      <x:c r="I435" s="170" t="n">
        <x:v>41770.521</x:v>
      </x:c>
      <x:c r="J435" s="170" t="n">
        <x:v>32225.716999999997</x:v>
      </x:c>
      <x:c r="K435" s="170" t="n">
        <x:v>1.2961859312548423</x:v>
      </x:c>
      <x:c r="L435" s="177" t="n">
        <x:v>1.2961859312548423</x:v>
      </x:c>
      <x:c r="M435" s="177" t="n">
        <x:f>DGKC!G138</x:f>
        <x:v>1.296185931254842</x:v>
      </x:c>
      <x:c r="N435" s="178" t="str">
        <x:f>IF(AND(ABS(F435-I435)&lt;0.000001,ABS(G435-J435)&lt;0.000001,IF(ISNUMBER(L435),IF(ISNUMBER(M435),ABS(L435-M435)&lt;0.00000001,FALSE),M435=L435)),"PASS","FAIL")</x:f>
        <x:v>PASS</x:v>
      </x:c>
      <x:c r="O435" s="99" t="str"/>
      <x:c r="P435" s="76" t="str">
        <x:v>Liquidity</x:v>
      </x:c>
    </x:row>
    <x:row r="436" ht="26" customHeight="1">
      <x:c r="A436" s="168" t="str">
        <x:v>DGKC</x:v>
      </x:c>
      <x:c r="B436" s="168" t="n">
        <x:v>2024</x:v>
      </x:c>
      <x:c r="C436" s="168" t="n">
        <x:v>2</x:v>
      </x:c>
      <x:c r="D436" s="168" t="str">
        <x:v>Quick ratio</x:v>
      </x:c>
      <x:c r="E436" s="168" t="str">
        <x:v>Mandatory</x:v>
      </x:c>
      <x:c r="F436" s="169" t="n">
        <x:f>DGKC!G36-DGKC!G65</x:f>
        <x:v>21517.679999999993</x:v>
      </x:c>
      <x:c r="G436" s="169" t="n">
        <x:f>DGKC!G61</x:f>
        <x:v>32225.717</x:v>
      </x:c>
      <x:c r="H436" s="169" t="n">
        <x:f>IF(G436&lt;=0,"n/m",F436/G436)</x:f>
        <x:v>0.6677176492302713</x:v>
      </x:c>
      <x:c r="I436" s="169" t="n">
        <x:v>21517.68</x:v>
      </x:c>
      <x:c r="J436" s="169" t="n">
        <x:v>32225.716999999997</x:v>
      </x:c>
      <x:c r="K436" s="169" t="n">
        <x:v>0.6677176492302717</x:v>
      </x:c>
      <x:c r="L436" s="175" t="n">
        <x:v>0.6677176492302717</x:v>
      </x:c>
      <x:c r="M436" s="175" t="n">
        <x:f>DGKC!G139</x:f>
        <x:v>0.6677176492302713</x:v>
      </x:c>
      <x:c r="N436" s="176" t="str">
        <x:f>IF(AND(ABS(F436-I436)&lt;0.000001,ABS(G436-J436)&lt;0.000001,IF(ISNUMBER(L436),IF(ISNUMBER(M436),ABS(L436-M436)&lt;0.00000001,FALSE),M436=L436)),"PASS","FAIL")</x:f>
        <x:v>PASS</x:v>
      </x:c>
      <x:c r="O436" s="171" t="str"/>
      <x:c r="P436" s="168" t="str">
        <x:v>Liquidity</x:v>
      </x:c>
    </x:row>
    <x:row r="437" ht="26" customHeight="1">
      <x:c r="A437" s="76" t="str">
        <x:v>DGKC</x:v>
      </x:c>
      <x:c r="B437" s="76" t="n">
        <x:v>2024</x:v>
      </x:c>
      <x:c r="C437" s="76" t="n">
        <x:v>3</x:v>
      </x:c>
      <x:c r="D437" s="76" t="str">
        <x:v>Cash ratio</x:v>
      </x:c>
      <x:c r="E437" s="76" t="str">
        <x:v>Mandatory</x:v>
      </x:c>
      <x:c r="F437" s="170" t="n">
        <x:f>DGKC!G34</x:f>
        <x:v>732.168</x:v>
      </x:c>
      <x:c r="G437" s="170" t="n">
        <x:f>DGKC!G61</x:f>
        <x:v>32225.717</x:v>
      </x:c>
      <x:c r="H437" s="170" t="n">
        <x:f>IF(G437&lt;=0,"n/m",F437/G437)</x:f>
        <x:v>0.022719990993528554</x:v>
      </x:c>
      <x:c r="I437" s="170" t="n">
        <x:v>732.168</x:v>
      </x:c>
      <x:c r="J437" s="170" t="n">
        <x:v>32225.716999999997</x:v>
      </x:c>
      <x:c r="K437" s="170" t="n">
        <x:v>0.022719990993528557</x:v>
      </x:c>
      <x:c r="L437" s="177" t="n">
        <x:v>0.022719990993528557</x:v>
      </x:c>
      <x:c r="M437" s="177" t="n">
        <x:f>DGKC!G140</x:f>
        <x:v>0.022719990993528554</x:v>
      </x:c>
      <x:c r="N437" s="178" t="str">
        <x:f>IF(AND(ABS(F437-I437)&lt;0.000001,ABS(G437-J437)&lt;0.000001,IF(ISNUMBER(L437),IF(ISNUMBER(M437),ABS(L437-M437)&lt;0.00000001,FALSE),M437=L437)),"PASS","FAIL")</x:f>
        <x:v>PASS</x:v>
      </x:c>
      <x:c r="O437" s="99" t="str"/>
      <x:c r="P437" s="76" t="str">
        <x:v>Liquidity</x:v>
      </x:c>
    </x:row>
    <x:row r="438" ht="26" customHeight="1">
      <x:c r="A438" s="168" t="str">
        <x:v>DGKC</x:v>
      </x:c>
      <x:c r="B438" s="168" t="n">
        <x:v>2024</x:v>
      </x:c>
      <x:c r="C438" s="168" t="n">
        <x:v>4</x:v>
      </x:c>
      <x:c r="D438" s="168" t="str">
        <x:v>Net working capital (PKR m)</x:v>
      </x:c>
      <x:c r="E438" s="168" t="str">
        <x:v>Additional</x:v>
      </x:c>
      <x:c r="F438" s="169" t="n">
        <x:f>DGKC!G36-DGKC!G61</x:f>
        <x:v>9544.803999999993</x:v>
      </x:c>
      <x:c r="G438" s="169" t="n">
        <x:f>1</x:f>
        <x:v>1</x:v>
      </x:c>
      <x:c r="H438" s="169" t="n">
        <x:f>IF(G438&lt;=0,"n/m",F438/G438)</x:f>
        <x:v>9544.803999999993</x:v>
      </x:c>
      <x:c r="I438" s="169" t="n">
        <x:v>9544.804000000004</x:v>
      </x:c>
      <x:c r="J438" s="169" t="n">
        <x:v>1</x:v>
      </x:c>
      <x:c r="K438" s="169" t="n">
        <x:v>9544.804000000004</x:v>
      </x:c>
      <x:c r="L438" s="175" t="n">
        <x:v>9544.804000000004</x:v>
      </x:c>
      <x:c r="M438" s="175" t="n">
        <x:f>DGKC!G141</x:f>
        <x:v>9544.803999999993</x:v>
      </x:c>
      <x:c r="N438" s="176" t="str">
        <x:f>IF(AND(ABS(F438-I438)&lt;0.000001,ABS(G438-J438)&lt;0.000001,IF(ISNUMBER(L438),IF(ISNUMBER(M438),ABS(L438-M438)&lt;0.00000001,FALSE),M438=L438)),"PASS","FAIL")</x:f>
        <x:v>PASS</x:v>
      </x:c>
      <x:c r="O438" s="171" t="str"/>
      <x:c r="P438" s="168" t="str">
        <x:v>Liquidity</x:v>
      </x:c>
    </x:row>
    <x:row r="439" ht="26" customHeight="1">
      <x:c r="A439" s="76" t="str">
        <x:v>DGKC</x:v>
      </x:c>
      <x:c r="B439" s="76" t="n">
        <x:v>2024</x:v>
      </x:c>
      <x:c r="C439" s="76" t="n">
        <x:v>5</x:v>
      </x:c>
      <x:c r="D439" s="76" t="str">
        <x:v>Net operating working capital (PKR m)</x:v>
      </x:c>
      <x:c r="E439" s="76" t="str">
        <x:v>Additional</x:v>
      </x:c>
      <x:c r="F439" s="170" t="n">
        <x:f>DGKC!G72-DGKC!G73</x:f>
        <x:v>10223.228999999994</x:v>
      </x:c>
      <x:c r="G439" s="170" t="n">
        <x:f>1</x:f>
        <x:v>1</x:v>
      </x:c>
      <x:c r="H439" s="170" t="n">
        <x:f>IF(G439&lt;=0,"n/m",F439/G439)</x:f>
        <x:v>10223.228999999994</x:v>
      </x:c>
      <x:c r="I439" s="170" t="n">
        <x:v>10223.229000000007</x:v>
      </x:c>
      <x:c r="J439" s="170" t="n">
        <x:v>1</x:v>
      </x:c>
      <x:c r="K439" s="170" t="n">
        <x:v>10223.229000000007</x:v>
      </x:c>
      <x:c r="L439" s="177" t="n">
        <x:v>10223.229000000007</x:v>
      </x:c>
      <x:c r="M439" s="177" t="n">
        <x:f>DGKC!G142</x:f>
        <x:v>10223.228999999994</x:v>
      </x:c>
      <x:c r="N439" s="178" t="str">
        <x:f>IF(AND(ABS(F439-I439)&lt;0.000001,ABS(G439-J439)&lt;0.000001,IF(ISNUMBER(L439),IF(ISNUMBER(M439),ABS(L439-M439)&lt;0.00000001,FALSE),M439=L439)),"PASS","FAIL")</x:f>
        <x:v>PASS</x:v>
      </x:c>
      <x:c r="O439" s="99" t="str"/>
      <x:c r="P439" s="76" t="str">
        <x:v>Liquidity</x:v>
      </x:c>
    </x:row>
    <x:row r="440" ht="26" customHeight="1">
      <x:c r="A440" s="168" t="str">
        <x:v>DGKC</x:v>
      </x:c>
      <x:c r="B440" s="168" t="n">
        <x:v>2024</x:v>
      </x:c>
      <x:c r="C440" s="168" t="n">
        <x:v>6</x:v>
      </x:c>
      <x:c r="D440" s="168" t="str">
        <x:v>Inventory turnover</x:v>
      </x:c>
      <x:c r="E440" s="168" t="str">
        <x:v>Mandatory</x:v>
      </x:c>
      <x:c r="F440" s="169" t="n">
        <x:f>-DGKC!G85</x:f>
        <x:v>55510.429</x:v>
      </x:c>
      <x:c r="G440" s="169" t="n">
        <x:f>AVERAGE(DGKC!F65,DGKC!G65)</x:f>
        <x:v>21489.008</x:v>
      </x:c>
      <x:c r="H440" s="169" t="n">
        <x:f>IF(G440&lt;=0,"n/m",F440/G440)</x:f>
        <x:v>2.583201095183174</x:v>
      </x:c>
      <x:c r="I440" s="169" t="n">
        <x:v>55510.429</x:v>
      </x:c>
      <x:c r="J440" s="169" t="n">
        <x:v>21489.008</x:v>
      </x:c>
      <x:c r="K440" s="169" t="n">
        <x:v>2.583201095183174</x:v>
      </x:c>
      <x:c r="L440" s="175" t="n">
        <x:v>2.583201095183174</x:v>
      </x:c>
      <x:c r="M440" s="175" t="n">
        <x:f>DGKC!G144</x:f>
        <x:v>2.583201095183174</x:v>
      </x:c>
      <x:c r="N440" s="176" t="str">
        <x:f>IF(AND(ABS(F440-I440)&lt;0.000001,ABS(G440-J440)&lt;0.000001,IF(ISNUMBER(L440),IF(ISNUMBER(M440),ABS(L440-M440)&lt;0.00000001,FALSE),M440=L440)),"PASS","FAIL")</x:f>
        <x:v>PASS</x:v>
      </x:c>
      <x:c r="O440" s="171" t="str"/>
      <x:c r="P440" s="168" t="str">
        <x:v>Asset Management</x:v>
      </x:c>
    </x:row>
    <x:row r="441" ht="26" customHeight="1">
      <x:c r="A441" s="76" t="str">
        <x:v>DGKC</x:v>
      </x:c>
      <x:c r="B441" s="76" t="n">
        <x:v>2024</x:v>
      </x:c>
      <x:c r="C441" s="76" t="n">
        <x:v>7</x:v>
      </x:c>
      <x:c r="D441" s="76" t="str">
        <x:v>Receivables turnover</x:v>
      </x:c>
      <x:c r="E441" s="76" t="str">
        <x:v>Additional</x:v>
      </x:c>
      <x:c r="F441" s="170" t="n">
        <x:f>DGKC!G84</x:f>
        <x:v>66038.689</x:v>
      </x:c>
      <x:c r="G441" s="170" t="n">
        <x:f>AVERAGE(DGKC!F32,DGKC!G32)</x:f>
        <x:v>1024.591</x:v>
      </x:c>
      <x:c r="H441" s="170" t="n">
        <x:f>IF(G441&lt;=0,"n/m",F441/G441)</x:f>
        <x:v>64.45370786977438</x:v>
      </x:c>
      <x:c r="I441" s="170" t="n">
        <x:v>66038.689</x:v>
      </x:c>
      <x:c r="J441" s="170" t="n">
        <x:v>1024.591</x:v>
      </x:c>
      <x:c r="K441" s="170" t="n">
        <x:v>64.45370786977438</x:v>
      </x:c>
      <x:c r="L441" s="177" t="n">
        <x:v>64.45370786977438</x:v>
      </x:c>
      <x:c r="M441" s="177" t="n">
        <x:f>DGKC!G145</x:f>
        <x:v>64.45370786977438</x:v>
      </x:c>
      <x:c r="N441" s="178" t="str">
        <x:f>IF(AND(ABS(F441-I441)&lt;0.000001,ABS(G441-J441)&lt;0.000001,IF(ISNUMBER(L441),IF(ISNUMBER(M441),ABS(L441-M441)&lt;0.00000001,FALSE),M441=L441)),"PASS","FAIL")</x:f>
        <x:v>PASS</x:v>
      </x:c>
      <x:c r="O441" s="99" t="str"/>
      <x:c r="P441" s="76" t="str">
        <x:v>Asset Management</x:v>
      </x:c>
    </x:row>
    <x:row r="442" ht="26" customHeight="1">
      <x:c r="A442" s="168" t="str">
        <x:v>DGKC</x:v>
      </x:c>
      <x:c r="B442" s="168" t="n">
        <x:v>2024</x:v>
      </x:c>
      <x:c r="C442" s="168" t="n">
        <x:v>8</x:v>
      </x:c>
      <x:c r="D442" s="168" t="str">
        <x:v>Payables turnover</x:v>
      </x:c>
      <x:c r="E442" s="168" t="str">
        <x:v>Additional</x:v>
      </x:c>
      <x:c r="F442" s="169" t="n">
        <x:f>-DGKC!G85</x:f>
        <x:v>55510.429</x:v>
      </x:c>
      <x:c r="G442" s="169" t="n">
        <x:f>AVERAGE(DGKC!F51,DGKC!G51)</x:f>
        <x:v>5788.3965</x:v>
      </x:c>
      <x:c r="H442" s="169" t="n">
        <x:f>IF(G442&lt;=0,"n/m",F442/G442)</x:f>
        <x:v>9.58994930634071</x:v>
      </x:c>
      <x:c r="I442" s="169" t="n">
        <x:v>55510.429</x:v>
      </x:c>
      <x:c r="J442" s="169" t="n">
        <x:v>5788.3965</x:v>
      </x:c>
      <x:c r="K442" s="169" t="n">
        <x:v>9.58994930634071</x:v>
      </x:c>
      <x:c r="L442" s="175" t="n">
        <x:v>9.58994930634071</x:v>
      </x:c>
      <x:c r="M442" s="175" t="n">
        <x:f>DGKC!G146</x:f>
        <x:v>9.58994930634071</x:v>
      </x:c>
      <x:c r="N442" s="176" t="str">
        <x:f>IF(AND(ABS(F442-I442)&lt;0.000001,ABS(G442-J442)&lt;0.000001,IF(ISNUMBER(L442),IF(ISNUMBER(M442),ABS(L442-M442)&lt;0.00000001,FALSE),M442=L442)),"PASS","FAIL")</x:f>
        <x:v>PASS</x:v>
      </x:c>
      <x:c r="O442" s="171" t="str"/>
      <x:c r="P442" s="168" t="str">
        <x:v>Asset Management</x:v>
      </x:c>
    </x:row>
    <x:row r="443" ht="26" customHeight="1">
      <x:c r="A443" s="76" t="str">
        <x:v>DGKC</x:v>
      </x:c>
      <x:c r="B443" s="76" t="n">
        <x:v>2024</x:v>
      </x:c>
      <x:c r="C443" s="76" t="n">
        <x:v>9</x:v>
      </x:c>
      <x:c r="D443" s="76" t="str">
        <x:v>Days inventory outstanding</x:v>
      </x:c>
      <x:c r="E443" s="76" t="str">
        <x:v>Additional</x:v>
      </x:c>
      <x:c r="F443" s="170" t="n">
        <x:f>365*AVERAGE(DGKC!F65,DGKC!G65)</x:f>
        <x:v>7843487.920000001</x:v>
      </x:c>
      <x:c r="G443" s="170" t="n">
        <x:f>-DGKC!G85</x:f>
        <x:v>55510.429</x:v>
      </x:c>
      <x:c r="H443" s="170" t="n">
        <x:f>IF(G443&lt;=0,"n/m",F443/G443)</x:f>
        <x:v>141.2975554557505</x:v>
      </x:c>
      <x:c r="I443" s="170" t="n">
        <x:v>7843487.920000001</x:v>
      </x:c>
      <x:c r="J443" s="170" t="n">
        <x:v>55510.429</x:v>
      </x:c>
      <x:c r="K443" s="170" t="n">
        <x:v>141.2975554557505</x:v>
      </x:c>
      <x:c r="L443" s="177" t="n">
        <x:v>141.2975554557505</x:v>
      </x:c>
      <x:c r="M443" s="177" t="n">
        <x:f>DGKC!G147</x:f>
        <x:v>141.2975554557505</x:v>
      </x:c>
      <x:c r="N443" s="178" t="str">
        <x:f>IF(AND(ABS(F443-I443)&lt;0.000001,ABS(G443-J443)&lt;0.000001,IF(ISNUMBER(L443),IF(ISNUMBER(M443),ABS(L443-M443)&lt;0.00000001,FALSE),M443=L443)),"PASS","FAIL")</x:f>
        <x:v>PASS</x:v>
      </x:c>
      <x:c r="O443" s="99" t="str"/>
      <x:c r="P443" s="76" t="str">
        <x:v>Asset Management</x:v>
      </x:c>
    </x:row>
    <x:row r="444" ht="26" customHeight="1">
      <x:c r="A444" s="168" t="str">
        <x:v>DGKC</x:v>
      </x:c>
      <x:c r="B444" s="168" t="n">
        <x:v>2024</x:v>
      </x:c>
      <x:c r="C444" s="168" t="n">
        <x:v>10</x:v>
      </x:c>
      <x:c r="D444" s="168" t="str">
        <x:v>Days sales outstanding</x:v>
      </x:c>
      <x:c r="E444" s="168" t="str">
        <x:v>Mandatory</x:v>
      </x:c>
      <x:c r="F444" s="169" t="n">
        <x:f>365*AVERAGE(DGKC!F32,DGKC!G32)</x:f>
        <x:v>373975.71499999997</x:v>
      </x:c>
      <x:c r="G444" s="169" t="n">
        <x:f>DGKC!G84</x:f>
        <x:v>66038.689</x:v>
      </x:c>
      <x:c r="H444" s="169" t="n">
        <x:f>IF(G444&lt;=0,"n/m",F444/G444)</x:f>
        <x:v>5.662979090938646</x:v>
      </x:c>
      <x:c r="I444" s="169" t="n">
        <x:v>373975.71499999997</x:v>
      </x:c>
      <x:c r="J444" s="169" t="n">
        <x:v>66038.689</x:v>
      </x:c>
      <x:c r="K444" s="169" t="n">
        <x:v>5.662979090938646</x:v>
      </x:c>
      <x:c r="L444" s="175" t="n">
        <x:v>5.662979090938646</x:v>
      </x:c>
      <x:c r="M444" s="175" t="n">
        <x:f>DGKC!G148</x:f>
        <x:v>5.662979090938646</x:v>
      </x:c>
      <x:c r="N444" s="176" t="str">
        <x:f>IF(AND(ABS(F444-I444)&lt;0.000001,ABS(G444-J444)&lt;0.000001,IF(ISNUMBER(L444),IF(ISNUMBER(M444),ABS(L444-M444)&lt;0.00000001,FALSE),M444=L444)),"PASS","FAIL")</x:f>
        <x:v>PASS</x:v>
      </x:c>
      <x:c r="O444" s="171" t="str"/>
      <x:c r="P444" s="168" t="str">
        <x:v>Asset Management</x:v>
      </x:c>
    </x:row>
    <x:row r="445" ht="26" customHeight="1">
      <x:c r="A445" s="76" t="str">
        <x:v>DGKC</x:v>
      </x:c>
      <x:c r="B445" s="76" t="n">
        <x:v>2024</x:v>
      </x:c>
      <x:c r="C445" s="76" t="n">
        <x:v>11</x:v>
      </x:c>
      <x:c r="D445" s="76" t="str">
        <x:v>Days payables outstanding</x:v>
      </x:c>
      <x:c r="E445" s="76" t="str">
        <x:v>Additional</x:v>
      </x:c>
      <x:c r="F445" s="170" t="n">
        <x:f>365*AVERAGE(DGKC!F51,DGKC!G51)</x:f>
        <x:v>2112764.7225</x:v>
      </x:c>
      <x:c r="G445" s="170" t="n">
        <x:f>-DGKC!G85</x:f>
        <x:v>55510.429</x:v>
      </x:c>
      <x:c r="H445" s="170" t="n">
        <x:f>IF(G445&lt;=0,"n/m",F445/G445)</x:f>
        <x:v>38.06068085872657</x:v>
      </x:c>
      <x:c r="I445" s="170" t="n">
        <x:v>2112764.7225</x:v>
      </x:c>
      <x:c r="J445" s="170" t="n">
        <x:v>55510.429</x:v>
      </x:c>
      <x:c r="K445" s="170" t="n">
        <x:v>38.06068085872657</x:v>
      </x:c>
      <x:c r="L445" s="177" t="n">
        <x:v>38.06068085872657</x:v>
      </x:c>
      <x:c r="M445" s="177" t="n">
        <x:f>DGKC!G149</x:f>
        <x:v>38.06068085872657</x:v>
      </x:c>
      <x:c r="N445" s="178" t="str">
        <x:f>IF(AND(ABS(F445-I445)&lt;0.000001,ABS(G445-J445)&lt;0.000001,IF(ISNUMBER(L445),IF(ISNUMBER(M445),ABS(L445-M445)&lt;0.00000001,FALSE),M445=L445)),"PASS","FAIL")</x:f>
        <x:v>PASS</x:v>
      </x:c>
      <x:c r="O445" s="99" t="str"/>
      <x:c r="P445" s="76" t="str">
        <x:v>Asset Management</x:v>
      </x:c>
    </x:row>
    <x:row r="446" ht="26" customHeight="1">
      <x:c r="A446" s="168" t="str">
        <x:v>DGKC</x:v>
      </x:c>
      <x:c r="B446" s="168" t="n">
        <x:v>2024</x:v>
      </x:c>
      <x:c r="C446" s="168" t="n">
        <x:v>12</x:v>
      </x:c>
      <x:c r="D446" s="168" t="str">
        <x:v>Operating cycle (days)</x:v>
      </x:c>
      <x:c r="E446" s="168" t="str">
        <x:v>Additional</x:v>
      </x:c>
      <x:c r="F446" s="169" t="n">
        <x:f>365*AVERAGE(DGKC!F65,DGKC!G65)/(-DGKC!G85)+365*AVERAGE(DGKC!F32,DGKC!G32)/DGKC!G84</x:f>
        <x:v>146.96053454668916</x:v>
      </x:c>
      <x:c r="G446" s="169" t="n">
        <x:f>1</x:f>
        <x:v>1</x:v>
      </x:c>
      <x:c r="H446" s="169" t="n">
        <x:f>IF(G446&lt;=0,"n/m",F446/G446)</x:f>
        <x:v>146.96053454668916</x:v>
      </x:c>
      <x:c r="I446" s="169" t="n">
        <x:v>146.96053454668916</x:v>
      </x:c>
      <x:c r="J446" s="169" t="n">
        <x:v>1</x:v>
      </x:c>
      <x:c r="K446" s="169" t="n">
        <x:v>146.96053454668916</x:v>
      </x:c>
      <x:c r="L446" s="175" t="n">
        <x:v>146.96053454668916</x:v>
      </x:c>
      <x:c r="M446" s="175" t="n">
        <x:f>DGKC!G150</x:f>
        <x:v>146.96053454668916</x:v>
      </x:c>
      <x:c r="N446" s="176" t="str">
        <x:f>IF(AND(ABS(F446-I446)&lt;0.000001,ABS(G446-J446)&lt;0.000001,IF(ISNUMBER(L446),IF(ISNUMBER(M446),ABS(L446-M446)&lt;0.00000001,FALSE),M446=L446)),"PASS","FAIL")</x:f>
        <x:v>PASS</x:v>
      </x:c>
      <x:c r="O446" s="171" t="str"/>
      <x:c r="P446" s="168" t="str">
        <x:v>Asset Management</x:v>
      </x:c>
    </x:row>
    <x:row r="447" ht="26" customHeight="1">
      <x:c r="A447" s="76" t="str">
        <x:v>DGKC</x:v>
      </x:c>
      <x:c r="B447" s="76" t="n">
        <x:v>2024</x:v>
      </x:c>
      <x:c r="C447" s="76" t="n">
        <x:v>13</x:v>
      </x:c>
      <x:c r="D447" s="76" t="str">
        <x:v>Cash conversion cycle (days)</x:v>
      </x:c>
      <x:c r="E447" s="76" t="str">
        <x:v>Additional</x:v>
      </x:c>
      <x:c r="F447" s="170" t="n">
        <x:f>365*AVERAGE(DGKC!F65,DGKC!G65)/(-DGKC!G85)+365*AVERAGE(DGKC!F32,DGKC!G32)/DGKC!G84-365*AVERAGE(DGKC!F51,DGKC!G51)/(-DGKC!G85)</x:f>
        <x:v>108.89985368796259</x:v>
      </x:c>
      <x:c r="G447" s="170" t="n">
        <x:f>1</x:f>
        <x:v>1</x:v>
      </x:c>
      <x:c r="H447" s="170" t="n">
        <x:f>IF(G447&lt;=0,"n/m",F447/G447)</x:f>
        <x:v>108.89985368796259</x:v>
      </x:c>
      <x:c r="I447" s="170" t="n">
        <x:v>108.89985368796259</x:v>
      </x:c>
      <x:c r="J447" s="170" t="n">
        <x:v>1</x:v>
      </x:c>
      <x:c r="K447" s="170" t="n">
        <x:v>108.89985368796259</x:v>
      </x:c>
      <x:c r="L447" s="177" t="n">
        <x:v>108.89985368796259</x:v>
      </x:c>
      <x:c r="M447" s="177" t="n">
        <x:f>DGKC!G151</x:f>
        <x:v>108.89985368796259</x:v>
      </x:c>
      <x:c r="N447" s="178" t="str">
        <x:f>IF(AND(ABS(F447-I447)&lt;0.000001,ABS(G447-J447)&lt;0.000001,IF(ISNUMBER(L447),IF(ISNUMBER(M447),ABS(L447-M447)&lt;0.00000001,FALSE),M447=L447)),"PASS","FAIL")</x:f>
        <x:v>PASS</x:v>
      </x:c>
      <x:c r="O447" s="99" t="str"/>
      <x:c r="P447" s="76" t="str">
        <x:v>Asset Management</x:v>
      </x:c>
    </x:row>
    <x:row r="448" ht="26" customHeight="1">
      <x:c r="A448" s="168" t="str">
        <x:v>DGKC</x:v>
      </x:c>
      <x:c r="B448" s="168" t="n">
        <x:v>2024</x:v>
      </x:c>
      <x:c r="C448" s="168" t="n">
        <x:v>14</x:v>
      </x:c>
      <x:c r="D448" s="168" t="str">
        <x:v>Total asset turnover</x:v>
      </x:c>
      <x:c r="E448" s="168" t="str">
        <x:v>Mandatory</x:v>
      </x:c>
      <x:c r="F448" s="169" t="n">
        <x:f>DGKC!G84</x:f>
        <x:v>66038.689</x:v>
      </x:c>
      <x:c r="G448" s="169" t="n">
        <x:f>AVERAGE(DGKC!F37,DGKC!G37)</x:f>
        <x:v>136549.50400000002</x:v>
      </x:c>
      <x:c r="H448" s="169" t="n">
        <x:f>IF(G448&lt;=0,"n/m",F448/G448)</x:f>
        <x:v>0.48362452491954855</x:v>
      </x:c>
      <x:c r="I448" s="169" t="n">
        <x:v>66038.689</x:v>
      </x:c>
      <x:c r="J448" s="169" t="n">
        <x:v>136549.50400000002</x:v>
      </x:c>
      <x:c r="K448" s="169" t="n">
        <x:v>0.48362452491954855</x:v>
      </x:c>
      <x:c r="L448" s="175" t="n">
        <x:v>0.48362452491954855</x:v>
      </x:c>
      <x:c r="M448" s="175" t="n">
        <x:f>DGKC!G152</x:f>
        <x:v>0.48362452491954855</x:v>
      </x:c>
      <x:c r="N448" s="176" t="str">
        <x:f>IF(AND(ABS(F448-I448)&lt;0.000001,ABS(G448-J448)&lt;0.000001,IF(ISNUMBER(L448),IF(ISNUMBER(M448),ABS(L448-M448)&lt;0.00000001,FALSE),M448=L448)),"PASS","FAIL")</x:f>
        <x:v>PASS</x:v>
      </x:c>
      <x:c r="O448" s="171" t="str"/>
      <x:c r="P448" s="168" t="str">
        <x:v>Asset Management</x:v>
      </x:c>
    </x:row>
    <x:row r="449" ht="26" customHeight="1">
      <x:c r="A449" s="76" t="str">
        <x:v>DGKC</x:v>
      </x:c>
      <x:c r="B449" s="76" t="n">
        <x:v>2024</x:v>
      </x:c>
      <x:c r="C449" s="76" t="n">
        <x:v>15</x:v>
      </x:c>
      <x:c r="D449" s="76" t="str">
        <x:v>Fixed asset turnover</x:v>
      </x:c>
      <x:c r="E449" s="76" t="str">
        <x:v>Mandatory</x:v>
      </x:c>
      <x:c r="F449" s="170" t="n">
        <x:f>DGKC!G84</x:f>
        <x:v>66038.689</x:v>
      </x:c>
      <x:c r="G449" s="170" t="n">
        <x:f>AVERAGE(DGKC!F22,DGKC!G22)</x:f>
        <x:v>79387.79800000001</x:v>
      </x:c>
      <x:c r="H449" s="170" t="n">
        <x:f>IF(G449&lt;=0,"n/m",F449/G449)</x:f>
        <x:v>0.8318493605276719</x:v>
      </x:c>
      <x:c r="I449" s="170" t="n">
        <x:v>66038.689</x:v>
      </x:c>
      <x:c r="J449" s="170" t="n">
        <x:v>79387.79800000001</x:v>
      </x:c>
      <x:c r="K449" s="170" t="n">
        <x:v>0.8318493605276719</x:v>
      </x:c>
      <x:c r="L449" s="177" t="n">
        <x:v>0.8318493605276719</x:v>
      </x:c>
      <x:c r="M449" s="177" t="n">
        <x:f>DGKC!G153</x:f>
        <x:v>0.8318493605276719</x:v>
      </x:c>
      <x:c r="N449" s="178" t="str">
        <x:f>IF(AND(ABS(F449-I449)&lt;0.000001,ABS(G449-J449)&lt;0.000001,IF(ISNUMBER(L449),IF(ISNUMBER(M449),ABS(L449-M449)&lt;0.00000001,FALSE),M449=L449)),"PASS","FAIL")</x:f>
        <x:v>PASS</x:v>
      </x:c>
      <x:c r="O449" s="99" t="str"/>
      <x:c r="P449" s="76" t="str">
        <x:v>Asset Management</x:v>
      </x:c>
    </x:row>
    <x:row r="450" ht="26" customHeight="1">
      <x:c r="A450" s="168" t="str">
        <x:v>DGKC</x:v>
      </x:c>
      <x:c r="B450" s="168" t="n">
        <x:v>2024</x:v>
      </x:c>
      <x:c r="C450" s="168" t="n">
        <x:v>16</x:v>
      </x:c>
      <x:c r="D450" s="168" t="str">
        <x:v>Debt ratio</x:v>
      </x:c>
      <x:c r="E450" s="168" t="str">
        <x:v>Mandatory</x:v>
      </x:c>
      <x:c r="F450" s="169" t="n">
        <x:f>DGKC!G62</x:f>
        <x:v>62538.216</x:v>
      </x:c>
      <x:c r="G450" s="169" t="n">
        <x:f>DGKC!G37</x:f>
        <x:v>138385.75400000002</x:v>
      </x:c>
      <x:c r="H450" s="169" t="n">
        <x:f>IF(G450&lt;=0,"n/m",F450/G450)</x:f>
        <x:v>0.4519122394636083</x:v>
      </x:c>
      <x:c r="I450" s="169" t="n">
        <x:v>62538.216</x:v>
      </x:c>
      <x:c r="J450" s="169" t="n">
        <x:v>138385.75400000002</x:v>
      </x:c>
      <x:c r="K450" s="169" t="n">
        <x:v>0.4519122394636083</x:v>
      </x:c>
      <x:c r="L450" s="175" t="n">
        <x:v>0.4519122394636083</x:v>
      </x:c>
      <x:c r="M450" s="175" t="n">
        <x:f>DGKC!G155</x:f>
        <x:v>0.4519122394636083</x:v>
      </x:c>
      <x:c r="N450" s="176" t="str">
        <x:f>IF(AND(ABS(F450-I450)&lt;0.000001,ABS(G450-J450)&lt;0.000001,IF(ISNUMBER(L450),IF(ISNUMBER(M450),ABS(L450-M450)&lt;0.00000001,FALSE),M450=L450)),"PASS","FAIL")</x:f>
        <x:v>PASS</x:v>
      </x:c>
      <x:c r="O450" s="171" t="str"/>
      <x:c r="P450" s="168" t="str">
        <x:v>Debt Management</x:v>
      </x:c>
    </x:row>
    <x:row r="451" ht="26" customHeight="1">
      <x:c r="A451" s="76" t="str">
        <x:v>DGKC</x:v>
      </x:c>
      <x:c r="B451" s="76" t="n">
        <x:v>2024</x:v>
      </x:c>
      <x:c r="C451" s="76" t="n">
        <x:v>17</x:v>
      </x:c>
      <x:c r="D451" s="76" t="str">
        <x:v>Debt-to-equity</x:v>
      </x:c>
      <x:c r="E451" s="76" t="str">
        <x:v>Mandatory</x:v>
      </x:c>
      <x:c r="F451" s="170" t="n">
        <x:f>DGKC!G62</x:f>
        <x:v>62538.216</x:v>
      </x:c>
      <x:c r="G451" s="170" t="n">
        <x:f>DGKC!G41</x:f>
        <x:v>75847.538</x:v>
      </x:c>
      <x:c r="H451" s="170" t="n">
        <x:f>IF(G451&lt;=0,"n/m",F451/G451)</x:f>
        <x:v>0.8245253260560679</x:v>
      </x:c>
      <x:c r="I451" s="170" t="n">
        <x:v>62538.216</x:v>
      </x:c>
      <x:c r="J451" s="170" t="n">
        <x:v>75847.538</x:v>
      </x:c>
      <x:c r="K451" s="170" t="n">
        <x:v>0.8245253260560679</x:v>
      </x:c>
      <x:c r="L451" s="177" t="n">
        <x:v>0.8245253260560679</x:v>
      </x:c>
      <x:c r="M451" s="177" t="n">
        <x:f>DGKC!G156</x:f>
        <x:v>0.8245253260560679</x:v>
      </x:c>
      <x:c r="N451" s="178" t="str">
        <x:f>IF(AND(ABS(F451-I451)&lt;0.000001,ABS(G451-J451)&lt;0.000001,IF(ISNUMBER(L451),IF(ISNUMBER(M451),ABS(L451-M451)&lt;0.00000001,FALSE),M451=L451)),"PASS","FAIL")</x:f>
        <x:v>PASS</x:v>
      </x:c>
      <x:c r="O451" s="99" t="str"/>
      <x:c r="P451" s="76" t="str">
        <x:v>Debt Management</x:v>
      </x:c>
    </x:row>
    <x:row r="452" ht="26" customHeight="1">
      <x:c r="A452" s="168" t="str">
        <x:v>DGKC</x:v>
      </x:c>
      <x:c r="B452" s="168" t="n">
        <x:v>2024</x:v>
      </x:c>
      <x:c r="C452" s="168" t="n">
        <x:v>18</x:v>
      </x:c>
      <x:c r="D452" s="168" t="str">
        <x:v>Total debt-to-capital</x:v>
      </x:c>
      <x:c r="E452" s="168" t="str">
        <x:v>Additional</x:v>
      </x:c>
      <x:c r="F452" s="169" t="n">
        <x:f>DGKC!G66</x:f>
        <x:v>34321.806000000004</x:v>
      </x:c>
      <x:c r="G452" s="169" t="n">
        <x:f>DGKC!G66+DGKC!G41</x:f>
        <x:v>110169.34400000001</x:v>
      </x:c>
      <x:c r="H452" s="169" t="n">
        <x:f>IF(G452&lt;=0,"n/m",F452/G452)</x:f>
        <x:v>0.31153681009483003</x:v>
      </x:c>
      <x:c r="I452" s="169" t="n">
        <x:v>34321.806</x:v>
      </x:c>
      <x:c r="J452" s="169" t="n">
        <x:v>110169.344</x:v>
      </x:c>
      <x:c r="K452" s="169" t="n">
        <x:v>0.31153681009483</x:v>
      </x:c>
      <x:c r="L452" s="175" t="n">
        <x:v>0.31153681009483</x:v>
      </x:c>
      <x:c r="M452" s="175" t="n">
        <x:f>DGKC!G157</x:f>
        <x:v>0.31153681009483003</x:v>
      </x:c>
      <x:c r="N452" s="176" t="str">
        <x:f>IF(AND(ABS(F452-I452)&lt;0.000001,ABS(G452-J452)&lt;0.000001,IF(ISNUMBER(L452),IF(ISNUMBER(M452),ABS(L452-M452)&lt;0.00000001,FALSE),M452=L452)),"PASS","FAIL")</x:f>
        <x:v>PASS</x:v>
      </x:c>
      <x:c r="O452" s="171" t="str"/>
      <x:c r="P452" s="168" t="str">
        <x:v>Debt Management</x:v>
      </x:c>
    </x:row>
    <x:row r="453" ht="26" customHeight="1">
      <x:c r="A453" s="76" t="str">
        <x:v>DGKC</x:v>
      </x:c>
      <x:c r="B453" s="76" t="n">
        <x:v>2024</x:v>
      </x:c>
      <x:c r="C453" s="76" t="n">
        <x:v>19</x:v>
      </x:c>
      <x:c r="D453" s="76" t="str">
        <x:v>Long-term debt ratio</x:v>
      </x:c>
      <x:c r="E453" s="76" t="str">
        <x:v>Additional</x:v>
      </x:c>
      <x:c r="F453" s="170" t="n">
        <x:f>DGKC!G67</x:f>
        <x:v>15965.116</x:v>
      </x:c>
      <x:c r="G453" s="170" t="n">
        <x:f>DGKC!G37</x:f>
        <x:v>138385.75400000002</x:v>
      </x:c>
      <x:c r="H453" s="170" t="n">
        <x:f>IF(G453&lt;=0,"n/m",F453/G453)</x:f>
        <x:v>0.11536675950040348</x:v>
      </x:c>
      <x:c r="I453" s="170" t="n">
        <x:v>15965.116</x:v>
      </x:c>
      <x:c r="J453" s="170" t="n">
        <x:v>138385.75400000002</x:v>
      </x:c>
      <x:c r="K453" s="170" t="n">
        <x:v>0.11536675950040348</x:v>
      </x:c>
      <x:c r="L453" s="177" t="n">
        <x:v>0.11536675950040348</x:v>
      </x:c>
      <x:c r="M453" s="177" t="n">
        <x:f>DGKC!G158</x:f>
        <x:v>0.11536675950040348</x:v>
      </x:c>
      <x:c r="N453" s="178" t="str">
        <x:f>IF(AND(ABS(F453-I453)&lt;0.000001,ABS(G453-J453)&lt;0.000001,IF(ISNUMBER(L453),IF(ISNUMBER(M453),ABS(L453-M453)&lt;0.00000001,FALSE),M453=L453)),"PASS","FAIL")</x:f>
        <x:v>PASS</x:v>
      </x:c>
      <x:c r="O453" s="99" t="str"/>
      <x:c r="P453" s="76" t="str">
        <x:v>Debt Management</x:v>
      </x:c>
    </x:row>
    <x:row r="454" ht="26" customHeight="1">
      <x:c r="A454" s="168" t="str">
        <x:v>DGKC</x:v>
      </x:c>
      <x:c r="B454" s="168" t="n">
        <x:v>2024</x:v>
      </x:c>
      <x:c r="C454" s="168" t="n">
        <x:v>20</x:v>
      </x:c>
      <x:c r="D454" s="168" t="str">
        <x:v>Times interest earned</x:v>
      </x:c>
      <x:c r="E454" s="168" t="str">
        <x:v>Mandatory</x:v>
      </x:c>
      <x:c r="F454" s="169" t="n">
        <x:f>DGKC!G108</x:f>
        <x:v>10840.015000000001</x:v>
      </x:c>
      <x:c r="G454" s="169" t="n">
        <x:f>DGKC!G106</x:f>
        <x:v>7924.977999999999</x:v>
      </x:c>
      <x:c r="H454" s="169" t="n">
        <x:f>IF(G454&lt;=0,"n/m",F454/G454)</x:f>
        <x:v>1.367829033720977</x:v>
      </x:c>
      <x:c r="I454" s="169" t="n">
        <x:v>10840.015000000003</x:v>
      </x:c>
      <x:c r="J454" s="169" t="n">
        <x:v>7924.977999999999</x:v>
      </x:c>
      <x:c r="K454" s="169" t="n">
        <x:v>1.3678290337209775</x:v>
      </x:c>
      <x:c r="L454" s="175" t="n">
        <x:v>1.3678290337209775</x:v>
      </x:c>
      <x:c r="M454" s="175" t="n">
        <x:f>DGKC!G159</x:f>
        <x:v>1.367829033720977</x:v>
      </x:c>
      <x:c r="N454" s="176" t="str">
        <x:f>IF(AND(ABS(F454-I454)&lt;0.000001,ABS(G454-J454)&lt;0.000001,IF(ISNUMBER(L454),IF(ISNUMBER(M454),ABS(L454-M454)&lt;0.00000001,FALSE),M454=L454)),"PASS","FAIL")</x:f>
        <x:v>PASS</x:v>
      </x:c>
      <x:c r="O454" s="171" t="str"/>
      <x:c r="P454" s="168" t="str">
        <x:v>Debt Management</x:v>
      </x:c>
    </x:row>
    <x:row r="455" ht="26" customHeight="1">
      <x:c r="A455" s="76" t="str">
        <x:v>DGKC</x:v>
      </x:c>
      <x:c r="B455" s="76" t="n">
        <x:v>2024</x:v>
      </x:c>
      <x:c r="C455" s="76" t="n">
        <x:v>21</x:v>
      </x:c>
      <x:c r="D455" s="76" t="str">
        <x:v>Gross profit margin</x:v>
      </x:c>
      <x:c r="E455" s="76" t="str">
        <x:v>Mandatory</x:v>
      </x:c>
      <x:c r="F455" s="170" t="n">
        <x:f>DGKC!G86</x:f>
        <x:v>10528.260000000002</x:v>
      </x:c>
      <x:c r="G455" s="170" t="n">
        <x:f>DGKC!G84</x:f>
        <x:v>66038.689</x:v>
      </x:c>
      <x:c r="H455" s="170" t="n">
        <x:f>IF(G455&lt;=0,"n/m",F455/G455)</x:f>
        <x:v>0.1594256360843263</x:v>
      </x:c>
      <x:c r="I455" s="170" t="n">
        <x:v>10528.260000000002</x:v>
      </x:c>
      <x:c r="J455" s="170" t="n">
        <x:v>66038.689</x:v>
      </x:c>
      <x:c r="K455" s="170" t="n">
        <x:v>0.1594256360843263</x:v>
      </x:c>
      <x:c r="L455" s="177" t="n">
        <x:v>0.1594256360843263</x:v>
      </x:c>
      <x:c r="M455" s="177" t="n">
        <x:f>DGKC!G161</x:f>
        <x:v>0.1594256360843263</x:v>
      </x:c>
      <x:c r="N455" s="178" t="str">
        <x:f>IF(AND(ABS(F455-I455)&lt;0.000001,ABS(G455-J455)&lt;0.000001,IF(ISNUMBER(L455),IF(ISNUMBER(M455),ABS(L455-M455)&lt;0.00000001,FALSE),M455=L455)),"PASS","FAIL")</x:f>
        <x:v>PASS</x:v>
      </x:c>
      <x:c r="O455" s="99" t="str"/>
      <x:c r="P455" s="76" t="str">
        <x:v>Profitability</x:v>
      </x:c>
    </x:row>
    <x:row r="456" ht="26" customHeight="1">
      <x:c r="A456" s="168" t="str">
        <x:v>DGKC</x:v>
      </x:c>
      <x:c r="B456" s="168" t="n">
        <x:v>2024</x:v>
      </x:c>
      <x:c r="C456" s="168" t="n">
        <x:v>22</x:v>
      </x:c>
      <x:c r="D456" s="168" t="str">
        <x:v>Operating margin</x:v>
      </x:c>
      <x:c r="E456" s="168" t="str">
        <x:v>Mandatory</x:v>
      </x:c>
      <x:c r="F456" s="169" t="n">
        <x:f>DGKC!G91</x:f>
        <x:v>6605.218000000002</x:v>
      </x:c>
      <x:c r="G456" s="169" t="n">
        <x:f>DGKC!G84</x:f>
        <x:v>66038.689</x:v>
      </x:c>
      <x:c r="H456" s="169" t="n">
        <x:f>IF(G456&lt;=0,"n/m",F456/G456)</x:f>
        <x:v>0.1000204289337119</x:v>
      </x:c>
      <x:c r="I456" s="169" t="n">
        <x:v>6605.218000000003</x:v>
      </x:c>
      <x:c r="J456" s="169" t="n">
        <x:v>66038.689</x:v>
      </x:c>
      <x:c r="K456" s="169" t="n">
        <x:v>0.10002042893371191</x:v>
      </x:c>
      <x:c r="L456" s="175" t="n">
        <x:v>0.10002042893371191</x:v>
      </x:c>
      <x:c r="M456" s="175" t="n">
        <x:f>DGKC!G162</x:f>
        <x:v>0.1000204289337119</x:v>
      </x:c>
      <x:c r="N456" s="176" t="str">
        <x:f>IF(AND(ABS(F456-I456)&lt;0.000001,ABS(G456-J456)&lt;0.000001,IF(ISNUMBER(L456),IF(ISNUMBER(M456),ABS(L456-M456)&lt;0.00000001,FALSE),M456=L456)),"PASS","FAIL")</x:f>
        <x:v>PASS</x:v>
      </x:c>
      <x:c r="O456" s="171" t="str"/>
      <x:c r="P456" s="168" t="str">
        <x:v>Profitability</x:v>
      </x:c>
    </x:row>
    <x:row r="457" ht="26" customHeight="1">
      <x:c r="A457" s="76" t="str">
        <x:v>DGKC</x:v>
      </x:c>
      <x:c r="B457" s="76" t="n">
        <x:v>2024</x:v>
      </x:c>
      <x:c r="C457" s="76" t="n">
        <x:v>23</x:v>
      </x:c>
      <x:c r="D457" s="76" t="str">
        <x:v>Net profit margin</x:v>
      </x:c>
      <x:c r="E457" s="76" t="str">
        <x:v>Mandatory</x:v>
      </x:c>
      <x:c r="F457" s="170" t="n">
        <x:f>DGKC!G99</x:f>
        <x:v>542.3960000000018</x:v>
      </x:c>
      <x:c r="G457" s="170" t="n">
        <x:f>DGKC!G84</x:f>
        <x:v>66038.689</x:v>
      </x:c>
      <x:c r="H457" s="170" t="n">
        <x:f>IF(G457&lt;=0,"n/m",F457/G457)</x:f>
        <x:v>0.008213306596683071</x:v>
      </x:c>
      <x:c r="I457" s="170" t="n">
        <x:v>542.3960000000027</x:v>
      </x:c>
      <x:c r="J457" s="170" t="n">
        <x:v>66038.689</x:v>
      </x:c>
      <x:c r="K457" s="170" t="n">
        <x:v>0.008213306596683085</x:v>
      </x:c>
      <x:c r="L457" s="177" t="n">
        <x:v>0.008213306596683085</x:v>
      </x:c>
      <x:c r="M457" s="177" t="n">
        <x:f>DGKC!G163</x:f>
        <x:v>0.008213306596683071</x:v>
      </x:c>
      <x:c r="N457" s="178" t="str">
        <x:f>IF(AND(ABS(F457-I457)&lt;0.000001,ABS(G457-J457)&lt;0.000001,IF(ISNUMBER(L457),IF(ISNUMBER(M457),ABS(L457-M457)&lt;0.00000001,FALSE),M457=L457)),"PASS","FAIL")</x:f>
        <x:v>PASS</x:v>
      </x:c>
      <x:c r="O457" s="99" t="str"/>
      <x:c r="P457" s="76" t="str">
        <x:v>Profitability</x:v>
      </x:c>
    </x:row>
    <x:row r="458" ht="26" customHeight="1">
      <x:c r="A458" s="168" t="str">
        <x:v>DGKC</x:v>
      </x:c>
      <x:c r="B458" s="168" t="n">
        <x:v>2024</x:v>
      </x:c>
      <x:c r="C458" s="168" t="n">
        <x:v>24</x:v>
      </x:c>
      <x:c r="D458" s="168" t="str">
        <x:v>Return on assets</x:v>
      </x:c>
      <x:c r="E458" s="168" t="str">
        <x:v>Mandatory</x:v>
      </x:c>
      <x:c r="F458" s="169" t="n">
        <x:f>DGKC!G99</x:f>
        <x:v>542.3960000000018</x:v>
      </x:c>
      <x:c r="G458" s="169" t="n">
        <x:f>AVERAGE(DGKC!F37,DGKC!G37)</x:f>
        <x:v>136549.50400000002</x:v>
      </x:c>
      <x:c r="H458" s="169" t="n">
        <x:f>IF(G458&lt;=0,"n/m",F458/G458)</x:f>
        <x:v>0.003972156500839445</x:v>
      </x:c>
      <x:c r="I458" s="169" t="n">
        <x:v>542.3960000000027</x:v>
      </x:c>
      <x:c r="J458" s="169" t="n">
        <x:v>136549.50400000002</x:v>
      </x:c>
      <x:c r="K458" s="169" t="n">
        <x:v>0.003972156500839451</x:v>
      </x:c>
      <x:c r="L458" s="175" t="n">
        <x:v>0.003972156500839451</x:v>
      </x:c>
      <x:c r="M458" s="175" t="n">
        <x:f>DGKC!G164</x:f>
        <x:v>0.003972156500839445</x:v>
      </x:c>
      <x:c r="N458" s="176" t="str">
        <x:f>IF(AND(ABS(F458-I458)&lt;0.000001,ABS(G458-J458)&lt;0.000001,IF(ISNUMBER(L458),IF(ISNUMBER(M458),ABS(L458-M458)&lt;0.00000001,FALSE),M458=L458)),"PASS","FAIL")</x:f>
        <x:v>PASS</x:v>
      </x:c>
      <x:c r="O458" s="171" t="str"/>
      <x:c r="P458" s="168" t="str">
        <x:v>Profitability</x:v>
      </x:c>
    </x:row>
    <x:row r="459" ht="26" customHeight="1">
      <x:c r="A459" s="76" t="str">
        <x:v>DGKC</x:v>
      </x:c>
      <x:c r="B459" s="76" t="n">
        <x:v>2024</x:v>
      </x:c>
      <x:c r="C459" s="76" t="n">
        <x:v>25</x:v>
      </x:c>
      <x:c r="D459" s="76" t="str">
        <x:v>Return on equity</x:v>
      </x:c>
      <x:c r="E459" s="76" t="str">
        <x:v>Mandatory</x:v>
      </x:c>
      <x:c r="F459" s="170" t="n">
        <x:f>DGKC!G99</x:f>
        <x:v>542.3960000000018</x:v>
      </x:c>
      <x:c r="G459" s="170" t="n">
        <x:f>AVERAGE(DGKC!F41,DGKC!G41)</x:f>
        <x:v>70019.9075</x:v>
      </x:c>
      <x:c r="H459" s="170" t="n">
        <x:f>IF(G459&lt;=0,"n/m",F459/G459)</x:f>
        <x:v>0.007746311290114197</x:v>
      </x:c>
      <x:c r="I459" s="170" t="n">
        <x:v>542.3960000000027</x:v>
      </x:c>
      <x:c r="J459" s="170" t="n">
        <x:v>70019.9075</x:v>
      </x:c>
      <x:c r="K459" s="170" t="n">
        <x:v>0.00774631129011421</x:v>
      </x:c>
      <x:c r="L459" s="177" t="n">
        <x:v>0.00774631129011421</x:v>
      </x:c>
      <x:c r="M459" s="177" t="n">
        <x:f>DGKC!G165</x:f>
        <x:v>0.007746311290114197</x:v>
      </x:c>
      <x:c r="N459" s="178" t="str">
        <x:f>IF(AND(ABS(F459-I459)&lt;0.000001,ABS(G459-J459)&lt;0.000001,IF(ISNUMBER(L459),IF(ISNUMBER(M459),ABS(L459-M459)&lt;0.00000001,FALSE),M459=L459)),"PASS","FAIL")</x:f>
        <x:v>PASS</x:v>
      </x:c>
      <x:c r="O459" s="99" t="str"/>
      <x:c r="P459" s="76" t="str">
        <x:v>Profitability</x:v>
      </x:c>
    </x:row>
    <x:row r="460" ht="26" customHeight="1">
      <x:c r="A460" s="168" t="str">
        <x:v>DGKC</x:v>
      </x:c>
      <x:c r="B460" s="168" t="n">
        <x:v>2024</x:v>
      </x:c>
      <x:c r="C460" s="168" t="n">
        <x:v>26</x:v>
      </x:c>
      <x:c r="D460" s="168" t="str">
        <x:v>Return on invested capital</x:v>
      </x:c>
      <x:c r="E460" s="168" t="str">
        <x:v>Additional</x:v>
      </x:c>
      <x:c r="F460" s="169" t="n">
        <x:f>DGKC!G113</x:f>
        <x:v>2071.0698035302335</x:v>
      </x:c>
      <x:c r="G460" s="169" t="n">
        <x:f>AVERAGE(DGKC!F70,DGKC!G70)</x:f>
        <x:v>108444.94850000001</x:v>
      </x:c>
      <x:c r="H460" s="169" t="n">
        <x:f>IF(G460&lt;=0,"n/m",F460/G460)</x:f>
        <x:v>0.01909789097765336</x:v>
      </x:c>
      <x:c r="I460" s="169" t="n">
        <x:v>2071.069803530236</x:v>
      </x:c>
      <x:c r="J460" s="169" t="n">
        <x:v>108444.9485</x:v>
      </x:c>
      <x:c r="K460" s="169" t="n">
        <x:v>0.019097890977653388</x:v>
      </x:c>
      <x:c r="L460" s="175" t="n">
        <x:v>0.019097890977653388</x:v>
      </x:c>
      <x:c r="M460" s="175" t="n">
        <x:f>DGKC!G166</x:f>
        <x:v>0.01909789097765336</x:v>
      </x:c>
      <x:c r="N460" s="176" t="str">
        <x:f>IF(AND(ABS(F460-I460)&lt;0.000001,ABS(G460-J460)&lt;0.000001,IF(ISNUMBER(L460),IF(ISNUMBER(M460),ABS(L460-M460)&lt;0.00000001,FALSE),M460=L460)),"PASS","FAIL")</x:f>
        <x:v>PASS</x:v>
      </x:c>
      <x:c r="O460" s="171" t="str"/>
      <x:c r="P460" s="168" t="str">
        <x:v>Profitability</x:v>
      </x:c>
    </x:row>
    <x:row r="461" ht="26" customHeight="1">
      <x:c r="A461" s="76" t="str">
        <x:v>DGKC</x:v>
      </x:c>
      <x:c r="B461" s="76" t="n">
        <x:v>2024</x:v>
      </x:c>
      <x:c r="C461" s="76" t="n">
        <x:v>27</x:v>
      </x:c>
      <x:c r="D461" s="76" t="str">
        <x:v>Basic earning power</x:v>
      </x:c>
      <x:c r="E461" s="76" t="str">
        <x:v>Additional</x:v>
      </x:c>
      <x:c r="F461" s="170" t="n">
        <x:f>DGKC!G108</x:f>
        <x:v>10840.015000000001</x:v>
      </x:c>
      <x:c r="G461" s="170" t="n">
        <x:f>AVERAGE(DGKC!F37,DGKC!G37)</x:f>
        <x:v>136549.50400000002</x:v>
      </x:c>
      <x:c r="H461" s="170" t="n">
        <x:f>IF(G461&lt;=0,"n/m",F461/G461)</x:f>
        <x:v>0.07938523892404618</x:v>
      </x:c>
      <x:c r="I461" s="170" t="n">
        <x:v>10840.015000000003</x:v>
      </x:c>
      <x:c r="J461" s="170" t="n">
        <x:v>136549.50400000002</x:v>
      </x:c>
      <x:c r="K461" s="170" t="n">
        <x:v>0.0793852389240462</x:v>
      </x:c>
      <x:c r="L461" s="177" t="n">
        <x:v>0.0793852389240462</x:v>
      </x:c>
      <x:c r="M461" s="177" t="n">
        <x:f>DGKC!G167</x:f>
        <x:v>0.07938523892404618</x:v>
      </x:c>
      <x:c r="N461" s="178" t="str">
        <x:f>IF(AND(ABS(F461-I461)&lt;0.000001,ABS(G461-J461)&lt;0.000001,IF(ISNUMBER(L461),IF(ISNUMBER(M461),ABS(L461-M461)&lt;0.00000001,FALSE),M461=L461)),"PASS","FAIL")</x:f>
        <x:v>PASS</x:v>
      </x:c>
      <x:c r="O461" s="99" t="str"/>
      <x:c r="P461" s="76" t="str">
        <x:v>Profitability</x:v>
      </x:c>
    </x:row>
    <x:row r="462" ht="26" customHeight="1">
      <x:c r="A462" s="168" t="str">
        <x:v>DGKC</x:v>
      </x:c>
      <x:c r="B462" s="168" t="n">
        <x:v>2024</x:v>
      </x:c>
      <x:c r="C462" s="168" t="n">
        <x:v>28</x:v>
      </x:c>
      <x:c r="D462" s="168" t="str">
        <x:v>Book value per share (Rs)</x:v>
      </x:c>
      <x:c r="E462" s="168" t="str">
        <x:v>Additional</x:v>
      </x:c>
      <x:c r="F462" s="169" t="n">
        <x:f>DGKC!G41</x:f>
        <x:v>75847.538</x:v>
      </x:c>
      <x:c r="G462" s="169" t="n">
        <x:f>DGKC!G128</x:f>
        <x:v>438.1191</x:v>
      </x:c>
      <x:c r="H462" s="169" t="n">
        <x:f>IF(G462&lt;=0,"n/m",F462/G462)</x:f>
        <x:v>173.12082034314415</x:v>
      </x:c>
      <x:c r="I462" s="169" t="n">
        <x:v>75847.538</x:v>
      </x:c>
      <x:c r="J462" s="169" t="n">
        <x:v>438.1191</x:v>
      </x:c>
      <x:c r="K462" s="169" t="n">
        <x:v>173.12082034314415</x:v>
      </x:c>
      <x:c r="L462" s="175" t="n">
        <x:v>173.12082034314415</x:v>
      </x:c>
      <x:c r="M462" s="175" t="n">
        <x:f>DGKC!G169</x:f>
        <x:v>173.12082034314415</x:v>
      </x:c>
      <x:c r="N462" s="176" t="str">
        <x:f>IF(AND(ABS(F462-I462)&lt;0.000001,ABS(G462-J462)&lt;0.000001,IF(ISNUMBER(L462),IF(ISNUMBER(M462),ABS(L462-M462)&lt;0.00000001,FALSE),M462=L462)),"PASS","FAIL")</x:f>
        <x:v>PASS</x:v>
      </x:c>
      <x:c r="O462" s="171" t="str"/>
      <x:c r="P462" s="168" t="str">
        <x:v>Market Value</x:v>
      </x:c>
    </x:row>
    <x:row r="463" ht="26" customHeight="1">
      <x:c r="A463" s="76" t="str">
        <x:v>DGKC</x:v>
      </x:c>
      <x:c r="B463" s="76" t="n">
        <x:v>2024</x:v>
      </x:c>
      <x:c r="C463" s="76" t="n">
        <x:v>29</x:v>
      </x:c>
      <x:c r="D463" s="76" t="str">
        <x:v>Market-to-book ratio</x:v>
      </x:c>
      <x:c r="E463" s="76" t="str">
        <x:v>Mandatory</x:v>
      </x:c>
      <x:c r="F463" s="170" t="n">
        <x:f>DGKC!G130</x:f>
        <x:v>90.27</x:v>
      </x:c>
      <x:c r="G463" s="170" t="n">
        <x:f>DGKC!G41/DGKC!G128</x:f>
        <x:v>173.12082034314415</x:v>
      </x:c>
      <x:c r="H463" s="170" t="n">
        <x:f>IF(G463&lt;=0,"n/m",F463/G463)</x:f>
        <x:v>0.5214277509838222</x:v>
      </x:c>
      <x:c r="I463" s="170" t="n">
        <x:v>90.27</x:v>
      </x:c>
      <x:c r="J463" s="170" t="n">
        <x:v>173.12082034314415</x:v>
      </x:c>
      <x:c r="K463" s="170" t="n">
        <x:v>0.5214277509838222</x:v>
      </x:c>
      <x:c r="L463" s="177" t="n">
        <x:v>0.5214277509838222</x:v>
      </x:c>
      <x:c r="M463" s="177" t="n">
        <x:f>DGKC!G170</x:f>
        <x:v>0.5214277509838222</x:v>
      </x:c>
      <x:c r="N463" s="178" t="str">
        <x:f>IF(AND(ABS(F463-I463)&lt;0.000001,ABS(G463-J463)&lt;0.000001,IF(ISNUMBER(L463),IF(ISNUMBER(M463),ABS(L463-M463)&lt;0.00000001,FALSE),M463=L463)),"PASS","FAIL")</x:f>
        <x:v>PASS</x:v>
      </x:c>
      <x:c r="O463" s="99" t="str"/>
      <x:c r="P463" s="76" t="str">
        <x:v>Market Value</x:v>
      </x:c>
    </x:row>
    <x:row r="464" ht="26" customHeight="1">
      <x:c r="A464" s="168" t="str">
        <x:v>DGKC</x:v>
      </x:c>
      <x:c r="B464" s="168" t="n">
        <x:v>2024</x:v>
      </x:c>
      <x:c r="C464" s="168" t="n">
        <x:v>30</x:v>
      </x:c>
      <x:c r="D464" s="168" t="str">
        <x:v>Earnings per share (Rs)</x:v>
      </x:c>
      <x:c r="E464" s="168" t="str">
        <x:v>Mandatory</x:v>
      </x:c>
      <x:c r="F464" s="169" t="n">
        <x:f>DGKC!G99</x:f>
        <x:v>542.3960000000018</x:v>
      </x:c>
      <x:c r="G464" s="169" t="n">
        <x:f>DGKC!G129</x:f>
        <x:v>438.119118</x:v>
      </x:c>
      <x:c r="H464" s="169" t="n">
        <x:f>IF(G464&lt;=0,"n/m",F464/G464)</x:f>
        <x:v>1.2380103440270365</x:v>
      </x:c>
      <x:c r="I464" s="169" t="n">
        <x:v>542.3960000000027</x:v>
      </x:c>
      <x:c r="J464" s="169" t="n">
        <x:v>438.119118</x:v>
      </x:c>
      <x:c r="K464" s="169" t="n">
        <x:v>1.2380103440270385</x:v>
      </x:c>
      <x:c r="L464" s="175" t="n">
        <x:v>1.2380103440270385</x:v>
      </x:c>
      <x:c r="M464" s="175" t="n">
        <x:f>DGKC!G171</x:f>
        <x:v>1.2380103440270365</x:v>
      </x:c>
      <x:c r="N464" s="176" t="str">
        <x:f>IF(AND(ABS(F464-I464)&lt;0.000001,ABS(G464-J464)&lt;0.000001,IF(ISNUMBER(L464),IF(ISNUMBER(M464),ABS(L464-M464)&lt;0.00000001,FALSE),M464=L464)),"PASS","FAIL")</x:f>
        <x:v>PASS</x:v>
      </x:c>
      <x:c r="O464" s="171" t="str"/>
      <x:c r="P464" s="168" t="str">
        <x:v>Market Value</x:v>
      </x:c>
    </x:row>
    <x:row r="465" ht="26" customHeight="1">
      <x:c r="A465" s="76" t="str">
        <x:v>DGKC</x:v>
      </x:c>
      <x:c r="B465" s="76" t="n">
        <x:v>2024</x:v>
      </x:c>
      <x:c r="C465" s="76" t="n">
        <x:v>31</x:v>
      </x:c>
      <x:c r="D465" s="76" t="str">
        <x:v>Price-to-earnings ratio</x:v>
      </x:c>
      <x:c r="E465" s="76" t="str">
        <x:v>Mandatory</x:v>
      </x:c>
      <x:c r="F465" s="170" t="n">
        <x:f>DGKC!G130</x:f>
        <x:v>90.27</x:v>
      </x:c>
      <x:c r="G465" s="170" t="n">
        <x:f>DGKC!G99/DGKC!G129</x:f>
        <x:v>1.2380103440270365</x:v>
      </x:c>
      <x:c r="H465" s="170" t="n">
        <x:f>IF(G465&lt;=0,"n/m",F465/G465)</x:f>
        <x:v>72.91538429829842</x:v>
      </x:c>
      <x:c r="I465" s="170" t="n">
        <x:v>90.27</x:v>
      </x:c>
      <x:c r="J465" s="170" t="n">
        <x:v>1.2380103440270385</x:v>
      </x:c>
      <x:c r="K465" s="170" t="n">
        <x:v>72.91538429829829</x:v>
      </x:c>
      <x:c r="L465" s="177" t="n">
        <x:v>72.91538429829829</x:v>
      </x:c>
      <x:c r="M465" s="177" t="n">
        <x:f>DGKC!G172</x:f>
        <x:v>72.91538429829842</x:v>
      </x:c>
      <x:c r="N465" s="178" t="str">
        <x:f>IF(AND(ABS(F465-I465)&lt;0.000001,ABS(G465-J465)&lt;0.000001,IF(ISNUMBER(L465),IF(ISNUMBER(M465),ABS(L465-M465)&lt;0.00000001,FALSE),M465=L465)),"PASS","FAIL")</x:f>
        <x:v>PASS</x:v>
      </x:c>
      <x:c r="O465" s="99" t="str"/>
      <x:c r="P465" s="76" t="str">
        <x:v>Market Value</x:v>
      </x:c>
    </x:row>
    <x:row r="466" ht="26" customHeight="1">
      <x:c r="A466" s="168" t="str">
        <x:v>DGKC</x:v>
      </x:c>
      <x:c r="B466" s="168" t="n">
        <x:v>2024</x:v>
      </x:c>
      <x:c r="C466" s="168" t="n">
        <x:v>32</x:v>
      </x:c>
      <x:c r="D466" s="168" t="str">
        <x:v>Dividend yield</x:v>
      </x:c>
      <x:c r="E466" s="168" t="str">
        <x:v>Mandatory</x:v>
      </x:c>
      <x:c r="F466" s="169" t="n">
        <x:f>DGKC!G131</x:f>
        <x:v>0</x:v>
      </x:c>
      <x:c r="G466" s="169" t="n">
        <x:f>DGKC!G130</x:f>
        <x:v>90.27</x:v>
      </x:c>
      <x:c r="H466" s="169" t="n">
        <x:f>IF(G466&lt;=0,"n/m",F466/G466)</x:f>
        <x:v>0</x:v>
      </x:c>
      <x:c r="I466" s="169" t="n">
        <x:v>0</x:v>
      </x:c>
      <x:c r="J466" s="169" t="n">
        <x:v>90.27</x:v>
      </x:c>
      <x:c r="K466" s="169" t="n">
        <x:v>0</x:v>
      </x:c>
      <x:c r="L466" s="175" t="n">
        <x:v>0</x:v>
      </x:c>
      <x:c r="M466" s="175" t="n">
        <x:f>DGKC!G173</x:f>
        <x:v>0</x:v>
      </x:c>
      <x:c r="N466" s="176" t="str">
        <x:f>IF(AND(ABS(F466-I466)&lt;0.000001,ABS(G466-J466)&lt;0.000001,IF(ISNUMBER(L466),IF(ISNUMBER(M466),ABS(L466-M466)&lt;0.00000001,FALSE),M466=L466)),"PASS","FAIL")</x:f>
        <x:v>PASS</x:v>
      </x:c>
      <x:c r="O466" s="171" t="str"/>
      <x:c r="P466" s="168" t="str">
        <x:v>Market Value</x:v>
      </x:c>
    </x:row>
    <x:row r="467" ht="26" customHeight="1">
      <x:c r="A467" s="76" t="str">
        <x:v>DGKC</x:v>
      </x:c>
      <x:c r="B467" s="76" t="n">
        <x:v>2024</x:v>
      </x:c>
      <x:c r="C467" s="76" t="n">
        <x:v>33</x:v>
      </x:c>
      <x:c r="D467" s="76" t="str">
        <x:v>Dividend payout ratio</x:v>
      </x:c>
      <x:c r="E467" s="76" t="str">
        <x:v>Additional</x:v>
      </x:c>
      <x:c r="F467" s="170" t="n">
        <x:f>DGKC!G131</x:f>
        <x:v>0</x:v>
      </x:c>
      <x:c r="G467" s="170" t="n">
        <x:f>DGKC!G99/DGKC!G129</x:f>
        <x:v>1.2380103440270365</x:v>
      </x:c>
      <x:c r="H467" s="170" t="n">
        <x:f>IF(G467&lt;=0,"n/m",F467/G467)</x:f>
        <x:v>0</x:v>
      </x:c>
      <x:c r="I467" s="170" t="n">
        <x:v>0</x:v>
      </x:c>
      <x:c r="J467" s="170" t="n">
        <x:v>1.2380103440270385</x:v>
      </x:c>
      <x:c r="K467" s="170" t="n">
        <x:v>0</x:v>
      </x:c>
      <x:c r="L467" s="177" t="n">
        <x:v>0</x:v>
      </x:c>
      <x:c r="M467" s="177" t="n">
        <x:f>DGKC!G174</x:f>
        <x:v>0</x:v>
      </x:c>
      <x:c r="N467" s="178" t="str">
        <x:f>IF(AND(ABS(F467-I467)&lt;0.000001,ABS(G467-J467)&lt;0.000001,IF(ISNUMBER(L467),IF(ISNUMBER(M467),ABS(L467-M467)&lt;0.00000001,FALSE),M467=L467)),"PASS","FAIL")</x:f>
        <x:v>PASS</x:v>
      </x:c>
      <x:c r="O467" s="99" t="str"/>
      <x:c r="P467" s="76" t="str">
        <x:v>Market Value</x:v>
      </x:c>
    </x:row>
    <x:row r="468" ht="26" customHeight="1">
      <x:c r="A468" s="168" t="str">
        <x:v>DGKC</x:v>
      </x:c>
      <x:c r="B468" s="168" t="n">
        <x:v>2025</x:v>
      </x:c>
      <x:c r="C468" s="168" t="n">
        <x:v>1</x:v>
      </x:c>
      <x:c r="D468" s="168" t="str">
        <x:v>Current ratio</x:v>
      </x:c>
      <x:c r="E468" s="168" t="str">
        <x:v>Mandatory</x:v>
      </x:c>
      <x:c r="F468" s="169" t="n">
        <x:f>DGKC!H36</x:f>
        <x:v>47908.042</x:v>
      </x:c>
      <x:c r="G468" s="169" t="n">
        <x:f>DGKC!H61</x:f>
        <x:v>25910.920000000002</x:v>
      </x:c>
      <x:c r="H468" s="169" t="n">
        <x:f>IF(G468&lt;=0,"n/m",F468/G468)</x:f>
        <x:v>1.8489517932979607</x:v>
      </x:c>
      <x:c r="I468" s="169" t="n">
        <x:v>47908.042</x:v>
      </x:c>
      <x:c r="J468" s="169" t="n">
        <x:v>25910.92</x:v>
      </x:c>
      <x:c r="K468" s="169" t="n">
        <x:v>1.848951793297961</x:v>
      </x:c>
      <x:c r="L468" s="175" t="n">
        <x:v>1.848951793297961</x:v>
      </x:c>
      <x:c r="M468" s="175" t="n">
        <x:f>DGKC!H138</x:f>
        <x:v>1.8489517932979607</x:v>
      </x:c>
      <x:c r="N468" s="176" t="str">
        <x:f>IF(AND(ABS(F468-I468)&lt;0.000001,ABS(G468-J468)&lt;0.000001,IF(ISNUMBER(L468),IF(ISNUMBER(M468),ABS(L468-M468)&lt;0.00000001,FALSE),M468=L468)),"PASS","FAIL")</x:f>
        <x:v>PASS</x:v>
      </x:c>
      <x:c r="O468" s="171" t="str"/>
      <x:c r="P468" s="168" t="str">
        <x:v>Liquidity</x:v>
      </x:c>
    </x:row>
    <x:row r="469" ht="26" customHeight="1">
      <x:c r="A469" s="76" t="str">
        <x:v>DGKC</x:v>
      </x:c>
      <x:c r="B469" s="76" t="n">
        <x:v>2025</x:v>
      </x:c>
      <x:c r="C469" s="76" t="n">
        <x:v>2</x:v>
      </x:c>
      <x:c r="D469" s="76" t="str">
        <x:v>Quick ratio</x:v>
      </x:c>
      <x:c r="E469" s="76" t="str">
        <x:v>Mandatory</x:v>
      </x:c>
      <x:c r="F469" s="170" t="n">
        <x:f>DGKC!H36-DGKC!H65</x:f>
        <x:v>27412.685</x:v>
      </x:c>
      <x:c r="G469" s="170" t="n">
        <x:f>DGKC!H61</x:f>
        <x:v>25910.920000000002</x:v>
      </x:c>
      <x:c r="H469" s="170" t="n">
        <x:f>IF(G469&lt;=0,"n/m",F469/G469)</x:f>
        <x:v>1.0579587679634685</x:v>
      </x:c>
      <x:c r="I469" s="170" t="n">
        <x:v>27412.685</x:v>
      </x:c>
      <x:c r="J469" s="170" t="n">
        <x:v>25910.92</x:v>
      </x:c>
      <x:c r="K469" s="170" t="n">
        <x:v>1.0579587679634688</x:v>
      </x:c>
      <x:c r="L469" s="177" t="n">
        <x:v>1.0579587679634688</x:v>
      </x:c>
      <x:c r="M469" s="177" t="n">
        <x:f>DGKC!H139</x:f>
        <x:v>1.0579587679634685</x:v>
      </x:c>
      <x:c r="N469" s="178" t="str">
        <x:f>IF(AND(ABS(F469-I469)&lt;0.000001,ABS(G469-J469)&lt;0.000001,IF(ISNUMBER(L469),IF(ISNUMBER(M469),ABS(L469-M469)&lt;0.00000001,FALSE),M469=L469)),"PASS","FAIL")</x:f>
        <x:v>PASS</x:v>
      </x:c>
      <x:c r="O469" s="99" t="str"/>
      <x:c r="P469" s="76" t="str">
        <x:v>Liquidity</x:v>
      </x:c>
    </x:row>
    <x:row r="470" ht="26" customHeight="1">
      <x:c r="A470" s="168" t="str">
        <x:v>DGKC</x:v>
      </x:c>
      <x:c r="B470" s="168" t="n">
        <x:v>2025</x:v>
      </x:c>
      <x:c r="C470" s="168" t="n">
        <x:v>3</x:v>
      </x:c>
      <x:c r="D470" s="168" t="str">
        <x:v>Cash ratio</x:v>
      </x:c>
      <x:c r="E470" s="168" t="str">
        <x:v>Mandatory</x:v>
      </x:c>
      <x:c r="F470" s="169" t="n">
        <x:f>DGKC!H34</x:f>
        <x:v>568.832</x:v>
      </x:c>
      <x:c r="G470" s="169" t="n">
        <x:f>DGKC!H61</x:f>
        <x:v>25910.920000000002</x:v>
      </x:c>
      <x:c r="H470" s="169" t="n">
        <x:f>IF(G470&lt;=0,"n/m",F470/G470)</x:f>
        <x:v>0.02195336946739058</x:v>
      </x:c>
      <x:c r="I470" s="169" t="n">
        <x:v>568.832</x:v>
      </x:c>
      <x:c r="J470" s="169" t="n">
        <x:v>25910.92</x:v>
      </x:c>
      <x:c r="K470" s="169" t="n">
        <x:v>0.021953369467390585</x:v>
      </x:c>
      <x:c r="L470" s="175" t="n">
        <x:v>0.021953369467390585</x:v>
      </x:c>
      <x:c r="M470" s="175" t="n">
        <x:f>DGKC!H140</x:f>
        <x:v>0.02195336946739058</x:v>
      </x:c>
      <x:c r="N470" s="176" t="str">
        <x:f>IF(AND(ABS(F470-I470)&lt;0.000001,ABS(G470-J470)&lt;0.000001,IF(ISNUMBER(L470),IF(ISNUMBER(M470),ABS(L470-M470)&lt;0.00000001,FALSE),M470=L470)),"PASS","FAIL")</x:f>
        <x:v>PASS</x:v>
      </x:c>
      <x:c r="O470" s="171" t="str"/>
      <x:c r="P470" s="168" t="str">
        <x:v>Liquidity</x:v>
      </x:c>
    </x:row>
    <x:row r="471" ht="26" customHeight="1">
      <x:c r="A471" s="76" t="str">
        <x:v>DGKC</x:v>
      </x:c>
      <x:c r="B471" s="76" t="n">
        <x:v>2025</x:v>
      </x:c>
      <x:c r="C471" s="76" t="n">
        <x:v>4</x:v>
      </x:c>
      <x:c r="D471" s="76" t="str">
        <x:v>Net working capital (PKR m)</x:v>
      </x:c>
      <x:c r="E471" s="76" t="str">
        <x:v>Additional</x:v>
      </x:c>
      <x:c r="F471" s="170" t="n">
        <x:f>DGKC!H36-DGKC!H61</x:f>
        <x:v>21997.122</x:v>
      </x:c>
      <x:c r="G471" s="170" t="n">
        <x:f>1</x:f>
        <x:v>1</x:v>
      </x:c>
      <x:c r="H471" s="170" t="n">
        <x:f>IF(G471&lt;=0,"n/m",F471/G471)</x:f>
        <x:v>21997.122</x:v>
      </x:c>
      <x:c r="I471" s="170" t="n">
        <x:v>21997.122000000003</x:v>
      </x:c>
      <x:c r="J471" s="170" t="n">
        <x:v>1</x:v>
      </x:c>
      <x:c r="K471" s="170" t="n">
        <x:v>21997.122000000003</x:v>
      </x:c>
      <x:c r="L471" s="177" t="n">
        <x:v>21997.122000000003</x:v>
      </x:c>
      <x:c r="M471" s="177" t="n">
        <x:f>DGKC!H141</x:f>
        <x:v>21997.122</x:v>
      </x:c>
      <x:c r="N471" s="178" t="str">
        <x:f>IF(AND(ABS(F471-I471)&lt;0.000001,ABS(G471-J471)&lt;0.000001,IF(ISNUMBER(L471),IF(ISNUMBER(M471),ABS(L471-M471)&lt;0.00000001,FALSE),M471=L471)),"PASS","FAIL")</x:f>
        <x:v>PASS</x:v>
      </x:c>
      <x:c r="O471" s="99" t="str"/>
      <x:c r="P471" s="76" t="str">
        <x:v>Liquidity</x:v>
      </x:c>
    </x:row>
    <x:row r="472" ht="26" customHeight="1">
      <x:c r="A472" s="168" t="str">
        <x:v>DGKC</x:v>
      </x:c>
      <x:c r="B472" s="168" t="n">
        <x:v>2025</x:v>
      </x:c>
      <x:c r="C472" s="168" t="n">
        <x:v>5</x:v>
      </x:c>
      <x:c r="D472" s="168" t="str">
        <x:v>Net operating working capital (PKR m)</x:v>
      </x:c>
      <x:c r="E472" s="168" t="str">
        <x:v>Additional</x:v>
      </x:c>
      <x:c r="F472" s="169" t="n">
        <x:f>DGKC!H72-DGKC!H73</x:f>
        <x:v>9579.732</x:v>
      </x:c>
      <x:c r="G472" s="169" t="n">
        <x:f>1</x:f>
        <x:v>1</x:v>
      </x:c>
      <x:c r="H472" s="169" t="n">
        <x:f>IF(G472&lt;=0,"n/m",F472/G472)</x:f>
        <x:v>9579.732</x:v>
      </x:c>
      <x:c r="I472" s="169" t="n">
        <x:v>9579.732000000002</x:v>
      </x:c>
      <x:c r="J472" s="169" t="n">
        <x:v>1</x:v>
      </x:c>
      <x:c r="K472" s="169" t="n">
        <x:v>9579.732000000002</x:v>
      </x:c>
      <x:c r="L472" s="175" t="n">
        <x:v>9579.732000000002</x:v>
      </x:c>
      <x:c r="M472" s="175" t="n">
        <x:f>DGKC!H142</x:f>
        <x:v>9579.732</x:v>
      </x:c>
      <x:c r="N472" s="176" t="str">
        <x:f>IF(AND(ABS(F472-I472)&lt;0.000001,ABS(G472-J472)&lt;0.000001,IF(ISNUMBER(L472),IF(ISNUMBER(M472),ABS(L472-M472)&lt;0.00000001,FALSE),M472=L472)),"PASS","FAIL")</x:f>
        <x:v>PASS</x:v>
      </x:c>
      <x:c r="O472" s="171" t="str"/>
      <x:c r="P472" s="168" t="str">
        <x:v>Liquidity</x:v>
      </x:c>
    </x:row>
    <x:row r="473" ht="26" customHeight="1">
      <x:c r="A473" s="76" t="str">
        <x:v>DGKC</x:v>
      </x:c>
      <x:c r="B473" s="76" t="n">
        <x:v>2025</x:v>
      </x:c>
      <x:c r="C473" s="76" t="n">
        <x:v>6</x:v>
      </x:c>
      <x:c r="D473" s="76" t="str">
        <x:v>Inventory turnover</x:v>
      </x:c>
      <x:c r="E473" s="76" t="str">
        <x:v>Mandatory</x:v>
      </x:c>
      <x:c r="F473" s="170" t="n">
        <x:f>-DGKC!H85</x:f>
        <x:v>53387.166</x:v>
      </x:c>
      <x:c r="G473" s="170" t="n">
        <x:f>AVERAGE(DGKC!G65,DGKC!H65)</x:f>
        <x:v>20374.099000000002</x:v>
      </x:c>
      <x:c r="H473" s="170" t="n">
        <x:f>IF(G473&lt;=0,"n/m",F473/G473)</x:f>
        <x:v>2.6203448800361673</x:v>
      </x:c>
      <x:c r="I473" s="170" t="n">
        <x:v>53387.166</x:v>
      </x:c>
      <x:c r="J473" s="170" t="n">
        <x:v>20374.099000000002</x:v>
      </x:c>
      <x:c r="K473" s="170" t="n">
        <x:v>2.6203448800361673</x:v>
      </x:c>
      <x:c r="L473" s="177" t="n">
        <x:v>2.6203448800361673</x:v>
      </x:c>
      <x:c r="M473" s="177" t="n">
        <x:f>DGKC!H144</x:f>
        <x:v>2.6203448800361673</x:v>
      </x:c>
      <x:c r="N473" s="178" t="str">
        <x:f>IF(AND(ABS(F473-I473)&lt;0.000001,ABS(G473-J473)&lt;0.000001,IF(ISNUMBER(L473),IF(ISNUMBER(M473),ABS(L473-M473)&lt;0.00000001,FALSE),M473=L473)),"PASS","FAIL")</x:f>
        <x:v>PASS</x:v>
      </x:c>
      <x:c r="O473" s="99" t="str"/>
      <x:c r="P473" s="76" t="str">
        <x:v>Asset Management</x:v>
      </x:c>
    </x:row>
    <x:row r="474" ht="26" customHeight="1">
      <x:c r="A474" s="168" t="str">
        <x:v>DGKC</x:v>
      </x:c>
      <x:c r="B474" s="168" t="n">
        <x:v>2025</x:v>
      </x:c>
      <x:c r="C474" s="168" t="n">
        <x:v>7</x:v>
      </x:c>
      <x:c r="D474" s="168" t="str">
        <x:v>Receivables turnover</x:v>
      </x:c>
      <x:c r="E474" s="168" t="str">
        <x:v>Additional</x:v>
      </x:c>
      <x:c r="F474" s="169" t="n">
        <x:f>DGKC!H84</x:f>
        <x:v>71892.837</x:v>
      </x:c>
      <x:c r="G474" s="169" t="n">
        <x:f>AVERAGE(DGKC!G32,DGKC!H32)</x:f>
        <x:v>1174.411</x:v>
      </x:c>
      <x:c r="H474" s="169" t="n">
        <x:f>IF(G474&lt;=0,"n/m",F474/G474)</x:f>
        <x:v>61.21607937936548</x:v>
      </x:c>
      <x:c r="I474" s="169" t="n">
        <x:v>71892.837</x:v>
      </x:c>
      <x:c r="J474" s="169" t="n">
        <x:v>1174.411</x:v>
      </x:c>
      <x:c r="K474" s="169" t="n">
        <x:v>61.21607937936548</x:v>
      </x:c>
      <x:c r="L474" s="175" t="n">
        <x:v>61.21607937936548</x:v>
      </x:c>
      <x:c r="M474" s="175" t="n">
        <x:f>DGKC!H145</x:f>
        <x:v>61.21607937936548</x:v>
      </x:c>
      <x:c r="N474" s="176" t="str">
        <x:f>IF(AND(ABS(F474-I474)&lt;0.000001,ABS(G474-J474)&lt;0.000001,IF(ISNUMBER(L474),IF(ISNUMBER(M474),ABS(L474-M474)&lt;0.00000001,FALSE),M474=L474)),"PASS","FAIL")</x:f>
        <x:v>PASS</x:v>
      </x:c>
      <x:c r="O474" s="171" t="str"/>
      <x:c r="P474" s="168" t="str">
        <x:v>Asset Management</x:v>
      </x:c>
    </x:row>
    <x:row r="475" ht="26" customHeight="1">
      <x:c r="A475" s="76" t="str">
        <x:v>DGKC</x:v>
      </x:c>
      <x:c r="B475" s="76" t="n">
        <x:v>2025</x:v>
      </x:c>
      <x:c r="C475" s="76" t="n">
        <x:v>8</x:v>
      </x:c>
      <x:c r="D475" s="76" t="str">
        <x:v>Payables turnover</x:v>
      </x:c>
      <x:c r="E475" s="76" t="str">
        <x:v>Additional</x:v>
      </x:c>
      <x:c r="F475" s="170" t="n">
        <x:f>-DGKC!H85</x:f>
        <x:v>53387.166</x:v>
      </x:c>
      <x:c r="G475" s="170" t="n">
        <x:f>AVERAGE(DGKC!G51,DGKC!H51)</x:f>
        <x:v>4473.442999999999</x:v>
      </x:c>
      <x:c r="H475" s="170" t="n">
        <x:f>IF(G475&lt;=0,"n/m",F475/G475)</x:f>
        <x:v>11.93424527818953</x:v>
      </x:c>
      <x:c r="I475" s="170" t="n">
        <x:v>53387.166</x:v>
      </x:c>
      <x:c r="J475" s="170" t="n">
        <x:v>4473.442999999999</x:v>
      </x:c>
      <x:c r="K475" s="170" t="n">
        <x:v>11.93424527818953</x:v>
      </x:c>
      <x:c r="L475" s="177" t="n">
        <x:v>11.93424527818953</x:v>
      </x:c>
      <x:c r="M475" s="177" t="n">
        <x:f>DGKC!H146</x:f>
        <x:v>11.93424527818953</x:v>
      </x:c>
      <x:c r="N475" s="178" t="str">
        <x:f>IF(AND(ABS(F475-I475)&lt;0.000001,ABS(G475-J475)&lt;0.000001,IF(ISNUMBER(L475),IF(ISNUMBER(M475),ABS(L475-M475)&lt;0.00000001,FALSE),M475=L475)),"PASS","FAIL")</x:f>
        <x:v>PASS</x:v>
      </x:c>
      <x:c r="O475" s="99" t="str"/>
      <x:c r="P475" s="76" t="str">
        <x:v>Asset Management</x:v>
      </x:c>
    </x:row>
    <x:row r="476" ht="26" customHeight="1">
      <x:c r="A476" s="168" t="str">
        <x:v>DGKC</x:v>
      </x:c>
      <x:c r="B476" s="168" t="n">
        <x:v>2025</x:v>
      </x:c>
      <x:c r="C476" s="168" t="n">
        <x:v>9</x:v>
      </x:c>
      <x:c r="D476" s="168" t="str">
        <x:v>Days inventory outstanding</x:v>
      </x:c>
      <x:c r="E476" s="168" t="str">
        <x:v>Additional</x:v>
      </x:c>
      <x:c r="F476" s="169" t="n">
        <x:f>365*AVERAGE(DGKC!G65,DGKC!H65)</x:f>
        <x:v>7436546.135000001</x:v>
      </x:c>
      <x:c r="G476" s="169" t="n">
        <x:f>-DGKC!H85</x:f>
        <x:v>53387.166</x:v>
      </x:c>
      <x:c r="H476" s="169" t="n">
        <x:f>IF(G476&lt;=0,"n/m",F476/G476)</x:f>
        <x:v>139.29464124392746</x:v>
      </x:c>
      <x:c r="I476" s="169" t="n">
        <x:v>7436546.135000001</x:v>
      </x:c>
      <x:c r="J476" s="169" t="n">
        <x:v>53387.166</x:v>
      </x:c>
      <x:c r="K476" s="169" t="n">
        <x:v>139.29464124392746</x:v>
      </x:c>
      <x:c r="L476" s="175" t="n">
        <x:v>139.29464124392746</x:v>
      </x:c>
      <x:c r="M476" s="175" t="n">
        <x:f>DGKC!H147</x:f>
        <x:v>139.29464124392746</x:v>
      </x:c>
      <x:c r="N476" s="176" t="str">
        <x:f>IF(AND(ABS(F476-I476)&lt;0.000001,ABS(G476-J476)&lt;0.000001,IF(ISNUMBER(L476),IF(ISNUMBER(M476),ABS(L476-M476)&lt;0.00000001,FALSE),M476=L476)),"PASS","FAIL")</x:f>
        <x:v>PASS</x:v>
      </x:c>
      <x:c r="O476" s="171" t="str"/>
      <x:c r="P476" s="168" t="str">
        <x:v>Asset Management</x:v>
      </x:c>
    </x:row>
    <x:row r="477" ht="26" customHeight="1">
      <x:c r="A477" s="76" t="str">
        <x:v>DGKC</x:v>
      </x:c>
      <x:c r="B477" s="76" t="n">
        <x:v>2025</x:v>
      </x:c>
      <x:c r="C477" s="76" t="n">
        <x:v>10</x:v>
      </x:c>
      <x:c r="D477" s="76" t="str">
        <x:v>Days sales outstanding</x:v>
      </x:c>
      <x:c r="E477" s="76" t="str">
        <x:v>Mandatory</x:v>
      </x:c>
      <x:c r="F477" s="170" t="n">
        <x:f>365*AVERAGE(DGKC!G32,DGKC!H32)</x:f>
        <x:v>428660.015</x:v>
      </x:c>
      <x:c r="G477" s="170" t="n">
        <x:f>DGKC!H84</x:f>
        <x:v>71892.837</x:v>
      </x:c>
      <x:c r="H477" s="170" t="n">
        <x:f>IF(G477&lt;=0,"n/m",F477/G477)</x:f>
        <x:v>5.962485734149008</x:v>
      </x:c>
      <x:c r="I477" s="170" t="n">
        <x:v>428660.015</x:v>
      </x:c>
      <x:c r="J477" s="170" t="n">
        <x:v>71892.837</x:v>
      </x:c>
      <x:c r="K477" s="170" t="n">
        <x:v>5.962485734149008</x:v>
      </x:c>
      <x:c r="L477" s="177" t="n">
        <x:v>5.962485734149008</x:v>
      </x:c>
      <x:c r="M477" s="177" t="n">
        <x:f>DGKC!H148</x:f>
        <x:v>5.962485734149008</x:v>
      </x:c>
      <x:c r="N477" s="178" t="str">
        <x:f>IF(AND(ABS(F477-I477)&lt;0.000001,ABS(G477-J477)&lt;0.000001,IF(ISNUMBER(L477),IF(ISNUMBER(M477),ABS(L477-M477)&lt;0.00000001,FALSE),M477=L477)),"PASS","FAIL")</x:f>
        <x:v>PASS</x:v>
      </x:c>
      <x:c r="O477" s="99" t="str"/>
      <x:c r="P477" s="76" t="str">
        <x:v>Asset Management</x:v>
      </x:c>
    </x:row>
    <x:row r="478" ht="26" customHeight="1">
      <x:c r="A478" s="168" t="str">
        <x:v>DGKC</x:v>
      </x:c>
      <x:c r="B478" s="168" t="n">
        <x:v>2025</x:v>
      </x:c>
      <x:c r="C478" s="168" t="n">
        <x:v>11</x:v>
      </x:c>
      <x:c r="D478" s="168" t="str">
        <x:v>Days payables outstanding</x:v>
      </x:c>
      <x:c r="E478" s="168" t="str">
        <x:v>Additional</x:v>
      </x:c>
      <x:c r="F478" s="169" t="n">
        <x:f>365*AVERAGE(DGKC!G51,DGKC!H51)</x:f>
        <x:v>1632806.6949999998</x:v>
      </x:c>
      <x:c r="G478" s="169" t="n">
        <x:f>-DGKC!H85</x:f>
        <x:v>53387.166</x:v>
      </x:c>
      <x:c r="H478" s="169" t="n">
        <x:f>IF(G478&lt;=0,"n/m",F478/G478)</x:f>
        <x:v>30.58425493123197</x:v>
      </x:c>
      <x:c r="I478" s="169" t="n">
        <x:v>1632806.6949999998</x:v>
      </x:c>
      <x:c r="J478" s="169" t="n">
        <x:v>53387.166</x:v>
      </x:c>
      <x:c r="K478" s="169" t="n">
        <x:v>30.58425493123197</x:v>
      </x:c>
      <x:c r="L478" s="175" t="n">
        <x:v>30.58425493123197</x:v>
      </x:c>
      <x:c r="M478" s="175" t="n">
        <x:f>DGKC!H149</x:f>
        <x:v>30.58425493123197</x:v>
      </x:c>
      <x:c r="N478" s="176" t="str">
        <x:f>IF(AND(ABS(F478-I478)&lt;0.000001,ABS(G478-J478)&lt;0.000001,IF(ISNUMBER(L478),IF(ISNUMBER(M478),ABS(L478-M478)&lt;0.00000001,FALSE),M478=L478)),"PASS","FAIL")</x:f>
        <x:v>PASS</x:v>
      </x:c>
      <x:c r="O478" s="171" t="str"/>
      <x:c r="P478" s="168" t="str">
        <x:v>Asset Management</x:v>
      </x:c>
    </x:row>
    <x:row r="479" ht="26" customHeight="1">
      <x:c r="A479" s="76" t="str">
        <x:v>DGKC</x:v>
      </x:c>
      <x:c r="B479" s="76" t="n">
        <x:v>2025</x:v>
      </x:c>
      <x:c r="C479" s="76" t="n">
        <x:v>12</x:v>
      </x:c>
      <x:c r="D479" s="76" t="str">
        <x:v>Operating cycle (days)</x:v>
      </x:c>
      <x:c r="E479" s="76" t="str">
        <x:v>Additional</x:v>
      </x:c>
      <x:c r="F479" s="170" t="n">
        <x:f>365*AVERAGE(DGKC!G65,DGKC!H65)/(-DGKC!H85)+365*AVERAGE(DGKC!G32,DGKC!H32)/DGKC!H84</x:f>
        <x:v>145.25712697807646</x:v>
      </x:c>
      <x:c r="G479" s="170" t="n">
        <x:f>1</x:f>
        <x:v>1</x:v>
      </x:c>
      <x:c r="H479" s="170" t="n">
        <x:f>IF(G479&lt;=0,"n/m",F479/G479)</x:f>
        <x:v>145.25712697807646</x:v>
      </x:c>
      <x:c r="I479" s="170" t="n">
        <x:v>145.25712697807646</x:v>
      </x:c>
      <x:c r="J479" s="170" t="n">
        <x:v>1</x:v>
      </x:c>
      <x:c r="K479" s="170" t="n">
        <x:v>145.25712697807646</x:v>
      </x:c>
      <x:c r="L479" s="177" t="n">
        <x:v>145.25712697807646</x:v>
      </x:c>
      <x:c r="M479" s="177" t="n">
        <x:f>DGKC!H150</x:f>
        <x:v>145.25712697807646</x:v>
      </x:c>
      <x:c r="N479" s="178" t="str">
        <x:f>IF(AND(ABS(F479-I479)&lt;0.000001,ABS(G479-J479)&lt;0.000001,IF(ISNUMBER(L479),IF(ISNUMBER(M479),ABS(L479-M479)&lt;0.00000001,FALSE),M479=L479)),"PASS","FAIL")</x:f>
        <x:v>PASS</x:v>
      </x:c>
      <x:c r="O479" s="99" t="str"/>
      <x:c r="P479" s="76" t="str">
        <x:v>Asset Management</x:v>
      </x:c>
    </x:row>
    <x:row r="480" ht="26" customHeight="1">
      <x:c r="A480" s="168" t="str">
        <x:v>DGKC</x:v>
      </x:c>
      <x:c r="B480" s="168" t="n">
        <x:v>2025</x:v>
      </x:c>
      <x:c r="C480" s="168" t="n">
        <x:v>13</x:v>
      </x:c>
      <x:c r="D480" s="168" t="str">
        <x:v>Cash conversion cycle (days)</x:v>
      </x:c>
      <x:c r="E480" s="168" t="str">
        <x:v>Additional</x:v>
      </x:c>
      <x:c r="F480" s="169" t="n">
        <x:f>365*AVERAGE(DGKC!G65,DGKC!H65)/(-DGKC!H85)+365*AVERAGE(DGKC!G32,DGKC!H32)/DGKC!H84-365*AVERAGE(DGKC!G51,DGKC!H51)/(-DGKC!H85)</x:f>
        <x:v>114.67287204684449</x:v>
      </x:c>
      <x:c r="G480" s="169" t="n">
        <x:f>1</x:f>
        <x:v>1</x:v>
      </x:c>
      <x:c r="H480" s="169" t="n">
        <x:f>IF(G480&lt;=0,"n/m",F480/G480)</x:f>
        <x:v>114.67287204684449</x:v>
      </x:c>
      <x:c r="I480" s="169" t="n">
        <x:v>114.67287204684449</x:v>
      </x:c>
      <x:c r="J480" s="169" t="n">
        <x:v>1</x:v>
      </x:c>
      <x:c r="K480" s="169" t="n">
        <x:v>114.67287204684449</x:v>
      </x:c>
      <x:c r="L480" s="175" t="n">
        <x:v>114.67287204684449</x:v>
      </x:c>
      <x:c r="M480" s="175" t="n">
        <x:f>DGKC!H151</x:f>
        <x:v>114.67287204684449</x:v>
      </x:c>
      <x:c r="N480" s="176" t="str">
        <x:f>IF(AND(ABS(F480-I480)&lt;0.000001,ABS(G480-J480)&lt;0.000001,IF(ISNUMBER(L480),IF(ISNUMBER(M480),ABS(L480-M480)&lt;0.00000001,FALSE),M480=L480)),"PASS","FAIL")</x:f>
        <x:v>PASS</x:v>
      </x:c>
      <x:c r="O480" s="171" t="str"/>
      <x:c r="P480" s="168" t="str">
        <x:v>Asset Management</x:v>
      </x:c>
    </x:row>
    <x:row r="481" ht="26" customHeight="1">
      <x:c r="A481" s="76" t="str">
        <x:v>DGKC</x:v>
      </x:c>
      <x:c r="B481" s="76" t="n">
        <x:v>2025</x:v>
      </x:c>
      <x:c r="C481" s="76" t="n">
        <x:v>14</x:v>
      </x:c>
      <x:c r="D481" s="76" t="str">
        <x:v>Total asset turnover</x:v>
      </x:c>
      <x:c r="E481" s="76" t="str">
        <x:v>Mandatory</x:v>
      </x:c>
      <x:c r="F481" s="170" t="n">
        <x:f>DGKC!H84</x:f>
        <x:v>71892.837</x:v>
      </x:c>
      <x:c r="G481" s="170" t="n">
        <x:f>AVERAGE(DGKC!G37,DGKC!H37)</x:f>
        <x:v>142154.9945</x:v>
      </x:c>
      <x:c r="H481" s="170" t="n">
        <x:f>IF(G481&lt;=0,"n/m",F481/G481)</x:f>
        <x:v>0.5057355687914292</x:v>
      </x:c>
      <x:c r="I481" s="170" t="n">
        <x:v>71892.837</x:v>
      </x:c>
      <x:c r="J481" s="170" t="n">
        <x:v>142154.9945</x:v>
      </x:c>
      <x:c r="K481" s="170" t="n">
        <x:v>0.5057355687914292</x:v>
      </x:c>
      <x:c r="L481" s="177" t="n">
        <x:v>0.5057355687914292</x:v>
      </x:c>
      <x:c r="M481" s="177" t="n">
        <x:f>DGKC!H152</x:f>
        <x:v>0.5057355687914292</x:v>
      </x:c>
      <x:c r="N481" s="178" t="str">
        <x:f>IF(AND(ABS(F481-I481)&lt;0.000001,ABS(G481-J481)&lt;0.000001,IF(ISNUMBER(L481),IF(ISNUMBER(M481),ABS(L481-M481)&lt;0.00000001,FALSE),M481=L481)),"PASS","FAIL")</x:f>
        <x:v>PASS</x:v>
      </x:c>
      <x:c r="O481" s="99" t="str"/>
      <x:c r="P481" s="76" t="str">
        <x:v>Asset Management</x:v>
      </x:c>
    </x:row>
    <x:row r="482" ht="26" customHeight="1">
      <x:c r="A482" s="168" t="str">
        <x:v>DGKC</x:v>
      </x:c>
      <x:c r="B482" s="168" t="n">
        <x:v>2025</x:v>
      </x:c>
      <x:c r="C482" s="168" t="n">
        <x:v>15</x:v>
      </x:c>
      <x:c r="D482" s="168" t="str">
        <x:v>Fixed asset turnover</x:v>
      </x:c>
      <x:c r="E482" s="168" t="str">
        <x:v>Mandatory</x:v>
      </x:c>
      <x:c r="F482" s="169" t="n">
        <x:f>DGKC!H84</x:f>
        <x:v>71892.837</x:v>
      </x:c>
      <x:c r="G482" s="169" t="n">
        <x:f>AVERAGE(DGKC!G22,DGKC!H22)</x:f>
        <x:v>77495.5285</x:v>
      </x:c>
      <x:c r="H482" s="169" t="n">
        <x:f>IF(G482&lt;=0,"n/m",F482/G482)</x:f>
        <x:v>0.9277030351499571</x:v>
      </x:c>
      <x:c r="I482" s="169" t="n">
        <x:v>71892.837</x:v>
      </x:c>
      <x:c r="J482" s="169" t="n">
        <x:v>77495.5285</x:v>
      </x:c>
      <x:c r="K482" s="169" t="n">
        <x:v>0.9277030351499571</x:v>
      </x:c>
      <x:c r="L482" s="175" t="n">
        <x:v>0.9277030351499571</x:v>
      </x:c>
      <x:c r="M482" s="175" t="n">
        <x:f>DGKC!H153</x:f>
        <x:v>0.9277030351499571</x:v>
      </x:c>
      <x:c r="N482" s="176" t="str">
        <x:f>IF(AND(ABS(F482-I482)&lt;0.000001,ABS(G482-J482)&lt;0.000001,IF(ISNUMBER(L482),IF(ISNUMBER(M482),ABS(L482-M482)&lt;0.00000001,FALSE),M482=L482)),"PASS","FAIL")</x:f>
        <x:v>PASS</x:v>
      </x:c>
      <x:c r="O482" s="171" t="str"/>
      <x:c r="P482" s="168" t="str">
        <x:v>Asset Management</x:v>
      </x:c>
    </x:row>
    <x:row r="483" ht="26" customHeight="1">
      <x:c r="A483" s="76" t="str">
        <x:v>DGKC</x:v>
      </x:c>
      <x:c r="B483" s="76" t="n">
        <x:v>2025</x:v>
      </x:c>
      <x:c r="C483" s="76" t="n">
        <x:v>16</x:v>
      </x:c>
      <x:c r="D483" s="76" t="str">
        <x:v>Debt ratio</x:v>
      </x:c>
      <x:c r="E483" s="76" t="str">
        <x:v>Mandatory</x:v>
      </x:c>
      <x:c r="F483" s="170" t="n">
        <x:f>DGKC!H62</x:f>
        <x:v>51256.757</x:v>
      </x:c>
      <x:c r="G483" s="170" t="n">
        <x:f>DGKC!H37</x:f>
        <x:v>145924.235</x:v>
      </x:c>
      <x:c r="H483" s="170" t="n">
        <x:f>IF(G483&lt;=0,"n/m",F483/G483)</x:f>
        <x:v>0.3512559582717703</x:v>
      </x:c>
      <x:c r="I483" s="170" t="n">
        <x:v>51256.757</x:v>
      </x:c>
      <x:c r="J483" s="170" t="n">
        <x:v>145924.235</x:v>
      </x:c>
      <x:c r="K483" s="170" t="n">
        <x:v>0.3512559582717703</x:v>
      </x:c>
      <x:c r="L483" s="177" t="n">
        <x:v>0.3512559582717703</x:v>
      </x:c>
      <x:c r="M483" s="177" t="n">
        <x:f>DGKC!H155</x:f>
        <x:v>0.3512559582717703</x:v>
      </x:c>
      <x:c r="N483" s="178" t="str">
        <x:f>IF(AND(ABS(F483-I483)&lt;0.000001,ABS(G483-J483)&lt;0.000001,IF(ISNUMBER(L483),IF(ISNUMBER(M483),ABS(L483-M483)&lt;0.00000001,FALSE),M483=L483)),"PASS","FAIL")</x:f>
        <x:v>PASS</x:v>
      </x:c>
      <x:c r="O483" s="99" t="str"/>
      <x:c r="P483" s="76" t="str">
        <x:v>Debt Management</x:v>
      </x:c>
    </x:row>
    <x:row r="484" ht="26" customHeight="1">
      <x:c r="A484" s="168" t="str">
        <x:v>DGKC</x:v>
      </x:c>
      <x:c r="B484" s="168" t="n">
        <x:v>2025</x:v>
      </x:c>
      <x:c r="C484" s="168" t="n">
        <x:v>17</x:v>
      </x:c>
      <x:c r="D484" s="168" t="str">
        <x:v>Debt-to-equity</x:v>
      </x:c>
      <x:c r="E484" s="168" t="str">
        <x:v>Mandatory</x:v>
      </x:c>
      <x:c r="F484" s="169" t="n">
        <x:f>DGKC!H62</x:f>
        <x:v>51256.757</x:v>
      </x:c>
      <x:c r="G484" s="169" t="n">
        <x:f>DGKC!H41</x:f>
        <x:v>94667.478</x:v>
      </x:c>
      <x:c r="H484" s="169" t="n">
        <x:f>IF(G484&lt;=0,"n/m",F484/G484)</x:f>
        <x:v>0.5414399758278128</x:v>
      </x:c>
      <x:c r="I484" s="169" t="n">
        <x:v>51256.757</x:v>
      </x:c>
      <x:c r="J484" s="169" t="n">
        <x:v>94667.478</x:v>
      </x:c>
      <x:c r="K484" s="169" t="n">
        <x:v>0.5414399758278128</x:v>
      </x:c>
      <x:c r="L484" s="175" t="n">
        <x:v>0.5414399758278128</x:v>
      </x:c>
      <x:c r="M484" s="175" t="n">
        <x:f>DGKC!H156</x:f>
        <x:v>0.5414399758278128</x:v>
      </x:c>
      <x:c r="N484" s="176" t="str">
        <x:f>IF(AND(ABS(F484-I484)&lt;0.000001,ABS(G484-J484)&lt;0.000001,IF(ISNUMBER(L484),IF(ISNUMBER(M484),ABS(L484-M484)&lt;0.00000001,FALSE),M484=L484)),"PASS","FAIL")</x:f>
        <x:v>PASS</x:v>
      </x:c>
      <x:c r="O484" s="171" t="str"/>
      <x:c r="P484" s="168" t="str">
        <x:v>Debt Management</x:v>
      </x:c>
    </x:row>
    <x:row r="485" ht="26" customHeight="1">
      <x:c r="A485" s="76" t="str">
        <x:v>DGKC</x:v>
      </x:c>
      <x:c r="B485" s="76" t="n">
        <x:v>2025</x:v>
      </x:c>
      <x:c r="C485" s="76" t="n">
        <x:v>18</x:v>
      </x:c>
      <x:c r="D485" s="76" t="str">
        <x:v>Total debt-to-capital</x:v>
      </x:c>
      <x:c r="E485" s="76" t="str">
        <x:v>Additional</x:v>
      </x:c>
      <x:c r="F485" s="170" t="n">
        <x:f>DGKC!H66</x:f>
        <x:v>21907.100000000002</x:v>
      </x:c>
      <x:c r="G485" s="170" t="n">
        <x:f>DGKC!H66+DGKC!H41</x:f>
        <x:v>116574.57800000001</x:v>
      </x:c>
      <x:c r="H485" s="170" t="n">
        <x:f>IF(G485&lt;=0,"n/m",F485/G485)</x:f>
        <x:v>0.18792347676351873</x:v>
      </x:c>
      <x:c r="I485" s="170" t="n">
        <x:v>21907.1</x:v>
      </x:c>
      <x:c r="J485" s="170" t="n">
        <x:v>116574.57800000001</x:v>
      </x:c>
      <x:c r="K485" s="170" t="n">
        <x:v>0.1879234767635187</x:v>
      </x:c>
      <x:c r="L485" s="177" t="n">
        <x:v>0.1879234767635187</x:v>
      </x:c>
      <x:c r="M485" s="177" t="n">
        <x:f>DGKC!H157</x:f>
        <x:v>0.18792347676351873</x:v>
      </x:c>
      <x:c r="N485" s="178" t="str">
        <x:f>IF(AND(ABS(F485-I485)&lt;0.000001,ABS(G485-J485)&lt;0.000001,IF(ISNUMBER(L485),IF(ISNUMBER(M485),ABS(L485-M485)&lt;0.00000001,FALSE),M485=L485)),"PASS","FAIL")</x:f>
        <x:v>PASS</x:v>
      </x:c>
      <x:c r="O485" s="99" t="str"/>
      <x:c r="P485" s="76" t="str">
        <x:v>Debt Management</x:v>
      </x:c>
    </x:row>
    <x:row r="486" ht="26" customHeight="1">
      <x:c r="A486" s="168" t="str">
        <x:v>DGKC</x:v>
      </x:c>
      <x:c r="B486" s="168" t="n">
        <x:v>2025</x:v>
      </x:c>
      <x:c r="C486" s="168" t="n">
        <x:v>19</x:v>
      </x:c>
      <x:c r="D486" s="168" t="str">
        <x:v>Long-term debt ratio</x:v>
      </x:c>
      <x:c r="E486" s="168" t="str">
        <x:v>Additional</x:v>
      </x:c>
      <x:c r="F486" s="169" t="n">
        <x:f>DGKC!H67</x:f>
        <x:v>10093.829</x:v>
      </x:c>
      <x:c r="G486" s="169" t="n">
        <x:f>DGKC!H37</x:f>
        <x:v>145924.235</x:v>
      </x:c>
      <x:c r="H486" s="169" t="n">
        <x:f>IF(G486&lt;=0,"n/m",F486/G486)</x:f>
        <x:v>0.06917171092245233</x:v>
      </x:c>
      <x:c r="I486" s="169" t="n">
        <x:v>10093.829</x:v>
      </x:c>
      <x:c r="J486" s="169" t="n">
        <x:v>145924.235</x:v>
      </x:c>
      <x:c r="K486" s="169" t="n">
        <x:v>0.06917171092245233</x:v>
      </x:c>
      <x:c r="L486" s="175" t="n">
        <x:v>0.06917171092245233</x:v>
      </x:c>
      <x:c r="M486" s="175" t="n">
        <x:f>DGKC!H158</x:f>
        <x:v>0.06917171092245233</x:v>
      </x:c>
      <x:c r="N486" s="176" t="str">
        <x:f>IF(AND(ABS(F486-I486)&lt;0.000001,ABS(G486-J486)&lt;0.000001,IF(ISNUMBER(L486),IF(ISNUMBER(M486),ABS(L486-M486)&lt;0.00000001,FALSE),M486=L486)),"PASS","FAIL")</x:f>
        <x:v>PASS</x:v>
      </x:c>
      <x:c r="O486" s="171" t="str"/>
      <x:c r="P486" s="168" t="str">
        <x:v>Debt Management</x:v>
      </x:c>
    </x:row>
    <x:row r="487" ht="26" customHeight="1">
      <x:c r="A487" s="76" t="str">
        <x:v>DGKC</x:v>
      </x:c>
      <x:c r="B487" s="76" t="n">
        <x:v>2025</x:v>
      </x:c>
      <x:c r="C487" s="76" t="n">
        <x:v>20</x:v>
      </x:c>
      <x:c r="D487" s="76" t="str">
        <x:v>Times interest earned</x:v>
      </x:c>
      <x:c r="E487" s="76" t="str">
        <x:v>Mandatory</x:v>
      </x:c>
      <x:c r="F487" s="170" t="n">
        <x:f>DGKC!H108</x:f>
        <x:v>16875.017</x:v>
      </x:c>
      <x:c r="G487" s="170" t="n">
        <x:f>DGKC!H106</x:f>
        <x:v>3816.7360000000003</x:v>
      </x:c>
      <x:c r="H487" s="170" t="n">
        <x:f>IF(G487&lt;=0,"n/m",F487/G487)</x:f>
        <x:v>4.421321516604763</x:v>
      </x:c>
      <x:c r="I487" s="170" t="n">
        <x:v>16875.017</x:v>
      </x:c>
      <x:c r="J487" s="170" t="n">
        <x:v>3816.7360000000003</x:v>
      </x:c>
      <x:c r="K487" s="170" t="n">
        <x:v>4.421321516604763</x:v>
      </x:c>
      <x:c r="L487" s="177" t="n">
        <x:v>4.421321516604763</x:v>
      </x:c>
      <x:c r="M487" s="177" t="n">
        <x:f>DGKC!H159</x:f>
        <x:v>4.421321516604763</x:v>
      </x:c>
      <x:c r="N487" s="178" t="str">
        <x:f>IF(AND(ABS(F487-I487)&lt;0.000001,ABS(G487-J487)&lt;0.000001,IF(ISNUMBER(L487),IF(ISNUMBER(M487),ABS(L487-M487)&lt;0.00000001,FALSE),M487=L487)),"PASS","FAIL")</x:f>
        <x:v>PASS</x:v>
      </x:c>
      <x:c r="O487" s="99" t="str"/>
      <x:c r="P487" s="76" t="str">
        <x:v>Debt Management</x:v>
      </x:c>
    </x:row>
    <x:row r="488" ht="26" customHeight="1">
      <x:c r="A488" s="168" t="str">
        <x:v>DGKC</x:v>
      </x:c>
      <x:c r="B488" s="168" t="n">
        <x:v>2025</x:v>
      </x:c>
      <x:c r="C488" s="168" t="n">
        <x:v>21</x:v>
      </x:c>
      <x:c r="D488" s="168" t="str">
        <x:v>Gross profit margin</x:v>
      </x:c>
      <x:c r="E488" s="168" t="str">
        <x:v>Mandatory</x:v>
      </x:c>
      <x:c r="F488" s="169" t="n">
        <x:f>DGKC!H86</x:f>
        <x:v>18505.671000000002</x:v>
      </x:c>
      <x:c r="G488" s="169" t="n">
        <x:f>DGKC!H84</x:f>
        <x:v>71892.837</x:v>
      </x:c>
      <x:c r="H488" s="169" t="n">
        <x:f>IF(G488&lt;=0,"n/m",F488/G488)</x:f>
        <x:v>0.25740632547300923</x:v>
      </x:c>
      <x:c r="I488" s="169" t="n">
        <x:v>18505.671000000002</x:v>
      </x:c>
      <x:c r="J488" s="169" t="n">
        <x:v>71892.837</x:v>
      </x:c>
      <x:c r="K488" s="169" t="n">
        <x:v>0.25740632547300923</x:v>
      </x:c>
      <x:c r="L488" s="175" t="n">
        <x:v>0.25740632547300923</x:v>
      </x:c>
      <x:c r="M488" s="175" t="n">
        <x:f>DGKC!H161</x:f>
        <x:v>0.25740632547300923</x:v>
      </x:c>
      <x:c r="N488" s="176" t="str">
        <x:f>IF(AND(ABS(F488-I488)&lt;0.000001,ABS(G488-J488)&lt;0.000001,IF(ISNUMBER(L488),IF(ISNUMBER(M488),ABS(L488-M488)&lt;0.00000001,FALSE),M488=L488)),"PASS","FAIL")</x:f>
        <x:v>PASS</x:v>
      </x:c>
      <x:c r="O488" s="171" t="str"/>
      <x:c r="P488" s="168" t="str">
        <x:v>Profitability</x:v>
      </x:c>
    </x:row>
    <x:row r="489" ht="26" customHeight="1">
      <x:c r="A489" s="76" t="str">
        <x:v>DGKC</x:v>
      </x:c>
      <x:c r="B489" s="76" t="n">
        <x:v>2025</x:v>
      </x:c>
      <x:c r="C489" s="76" t="n">
        <x:v>22</x:v>
      </x:c>
      <x:c r="D489" s="76" t="str">
        <x:v>Operating margin</x:v>
      </x:c>
      <x:c r="E489" s="76" t="str">
        <x:v>Mandatory</x:v>
      </x:c>
      <x:c r="F489" s="170" t="n">
        <x:f>DGKC!H91</x:f>
        <x:v>12603.447000000002</x:v>
      </x:c>
      <x:c r="G489" s="170" t="n">
        <x:f>DGKC!H84</x:f>
        <x:v>71892.837</x:v>
      </x:c>
      <x:c r="H489" s="170" t="n">
        <x:f>IF(G489&lt;=0,"n/m",F489/G489)</x:f>
        <x:v>0.17530880023555062</x:v>
      </x:c>
      <x:c r="I489" s="170" t="n">
        <x:v>12603.447000000002</x:v>
      </x:c>
      <x:c r="J489" s="170" t="n">
        <x:v>71892.837</x:v>
      </x:c>
      <x:c r="K489" s="170" t="n">
        <x:v>0.17530880023555062</x:v>
      </x:c>
      <x:c r="L489" s="177" t="n">
        <x:v>0.17530880023555062</x:v>
      </x:c>
      <x:c r="M489" s="177" t="n">
        <x:f>DGKC!H162</x:f>
        <x:v>0.17530880023555062</x:v>
      </x:c>
      <x:c r="N489" s="178" t="str">
        <x:f>IF(AND(ABS(F489-I489)&lt;0.000001,ABS(G489-J489)&lt;0.000001,IF(ISNUMBER(L489),IF(ISNUMBER(M489),ABS(L489-M489)&lt;0.00000001,FALSE),M489=L489)),"PASS","FAIL")</x:f>
        <x:v>PASS</x:v>
      </x:c>
      <x:c r="O489" s="99" t="str"/>
      <x:c r="P489" s="76" t="str">
        <x:v>Profitability</x:v>
      </x:c>
    </x:row>
    <x:row r="490" ht="26" customHeight="1">
      <x:c r="A490" s="168" t="str">
        <x:v>DGKC</x:v>
      </x:c>
      <x:c r="B490" s="168" t="n">
        <x:v>2025</x:v>
      </x:c>
      <x:c r="C490" s="168" t="n">
        <x:v>23</x:v>
      </x:c>
      <x:c r="D490" s="168" t="str">
        <x:v>Net profit margin</x:v>
      </x:c>
      <x:c r="E490" s="168" t="str">
        <x:v>Mandatory</x:v>
      </x:c>
      <x:c r="F490" s="169" t="n">
        <x:f>DGKC!H99</x:f>
        <x:v>8675.059</x:v>
      </x:c>
      <x:c r="G490" s="169" t="n">
        <x:f>DGKC!H84</x:f>
        <x:v>71892.837</x:v>
      </x:c>
      <x:c r="H490" s="169" t="n">
        <x:f>IF(G490&lt;=0,"n/m",F490/G490)</x:f>
        <x:v>0.12066652759857006</x:v>
      </x:c>
      <x:c r="I490" s="169" t="n">
        <x:v>8675.059000000001</x:v>
      </x:c>
      <x:c r="J490" s="169" t="n">
        <x:v>71892.837</x:v>
      </x:c>
      <x:c r="K490" s="169" t="n">
        <x:v>0.12066652759857009</x:v>
      </x:c>
      <x:c r="L490" s="175" t="n">
        <x:v>0.12066652759857009</x:v>
      </x:c>
      <x:c r="M490" s="175" t="n">
        <x:f>DGKC!H163</x:f>
        <x:v>0.12066652759857006</x:v>
      </x:c>
      <x:c r="N490" s="176" t="str">
        <x:f>IF(AND(ABS(F490-I490)&lt;0.000001,ABS(G490-J490)&lt;0.000001,IF(ISNUMBER(L490),IF(ISNUMBER(M490),ABS(L490-M490)&lt;0.00000001,FALSE),M490=L490)),"PASS","FAIL")</x:f>
        <x:v>PASS</x:v>
      </x:c>
      <x:c r="O490" s="171" t="str"/>
      <x:c r="P490" s="168" t="str">
        <x:v>Profitability</x:v>
      </x:c>
    </x:row>
    <x:row r="491" ht="26" customHeight="1">
      <x:c r="A491" s="76" t="str">
        <x:v>DGKC</x:v>
      </x:c>
      <x:c r="B491" s="76" t="n">
        <x:v>2025</x:v>
      </x:c>
      <x:c r="C491" s="76" t="n">
        <x:v>24</x:v>
      </x:c>
      <x:c r="D491" s="76" t="str">
        <x:v>Return on assets</x:v>
      </x:c>
      <x:c r="E491" s="76" t="str">
        <x:v>Mandatory</x:v>
      </x:c>
      <x:c r="F491" s="170" t="n">
        <x:f>DGKC!H99</x:f>
        <x:v>8675.059</x:v>
      </x:c>
      <x:c r="G491" s="170" t="n">
        <x:f>AVERAGE(DGKC!G37,DGKC!H37)</x:f>
        <x:v>142154.9945</x:v>
      </x:c>
      <x:c r="H491" s="170" t="n">
        <x:f>IF(G491&lt;=0,"n/m",F491/G491)</x:f>
        <x:v>0.06102535496914953</x:v>
      </x:c>
      <x:c r="I491" s="170" t="n">
        <x:v>8675.059000000001</x:v>
      </x:c>
      <x:c r="J491" s="170" t="n">
        <x:v>142154.9945</x:v>
      </x:c>
      <x:c r="K491" s="170" t="n">
        <x:v>0.06102535496914954</x:v>
      </x:c>
      <x:c r="L491" s="177" t="n">
        <x:v>0.06102535496914954</x:v>
      </x:c>
      <x:c r="M491" s="177" t="n">
        <x:f>DGKC!H164</x:f>
        <x:v>0.06102535496914953</x:v>
      </x:c>
      <x:c r="N491" s="178" t="str">
        <x:f>IF(AND(ABS(F491-I491)&lt;0.000001,ABS(G491-J491)&lt;0.000001,IF(ISNUMBER(L491),IF(ISNUMBER(M491),ABS(L491-M491)&lt;0.00000001,FALSE),M491=L491)),"PASS","FAIL")</x:f>
        <x:v>PASS</x:v>
      </x:c>
      <x:c r="O491" s="99" t="str"/>
      <x:c r="P491" s="76" t="str">
        <x:v>Profitability</x:v>
      </x:c>
    </x:row>
    <x:row r="492" ht="26" customHeight="1">
      <x:c r="A492" s="168" t="str">
        <x:v>DGKC</x:v>
      </x:c>
      <x:c r="B492" s="168" t="n">
        <x:v>2025</x:v>
      </x:c>
      <x:c r="C492" s="168" t="n">
        <x:v>25</x:v>
      </x:c>
      <x:c r="D492" s="168" t="str">
        <x:v>Return on equity</x:v>
      </x:c>
      <x:c r="E492" s="168" t="str">
        <x:v>Mandatory</x:v>
      </x:c>
      <x:c r="F492" s="169" t="n">
        <x:f>DGKC!H99</x:f>
        <x:v>8675.059</x:v>
      </x:c>
      <x:c r="G492" s="169" t="n">
        <x:f>AVERAGE(DGKC!G41,DGKC!H41)</x:f>
        <x:v>85257.508</x:v>
      </x:c>
      <x:c r="H492" s="169" t="n">
        <x:f>IF(G492&lt;=0,"n/m",F492/G492)</x:f>
        <x:v>0.10175126160150023</x:v>
      </x:c>
      <x:c r="I492" s="169" t="n">
        <x:v>8675.059000000001</x:v>
      </x:c>
      <x:c r="J492" s="169" t="n">
        <x:v>85257.508</x:v>
      </x:c>
      <x:c r="K492" s="169" t="n">
        <x:v>0.10175126160150026</x:v>
      </x:c>
      <x:c r="L492" s="175" t="n">
        <x:v>0.10175126160150026</x:v>
      </x:c>
      <x:c r="M492" s="175" t="n">
        <x:f>DGKC!H165</x:f>
        <x:v>0.10175126160150023</x:v>
      </x:c>
      <x:c r="N492" s="176" t="str">
        <x:f>IF(AND(ABS(F492-I492)&lt;0.000001,ABS(G492-J492)&lt;0.000001,IF(ISNUMBER(L492),IF(ISNUMBER(M492),ABS(L492-M492)&lt;0.00000001,FALSE),M492=L492)),"PASS","FAIL")</x:f>
        <x:v>PASS</x:v>
      </x:c>
      <x:c r="O492" s="171" t="str"/>
      <x:c r="P492" s="168" t="str">
        <x:v>Profitability</x:v>
      </x:c>
    </x:row>
    <x:row r="493" ht="26" customHeight="1">
      <x:c r="A493" s="76" t="str">
        <x:v>DGKC</x:v>
      </x:c>
      <x:c r="B493" s="76" t="n">
        <x:v>2025</x:v>
      </x:c>
      <x:c r="C493" s="76" t="n">
        <x:v>26</x:v>
      </x:c>
      <x:c r="D493" s="76" t="str">
        <x:v>Return on invested capital</x:v>
      </x:c>
      <x:c r="E493" s="76" t="str">
        <x:v>Additional</x:v>
      </x:c>
      <x:c r="F493" s="170" t="n">
        <x:f>DGKC!H113</x:f>
        <x:v>11256.911632657935</x:v>
      </x:c>
      <x:c r="G493" s="170" t="n">
        <x:f>AVERAGE(DGKC!G70,DGKC!H70)</x:f>
        <x:v>113371.96100000001</x:v>
      </x:c>
      <x:c r="H493" s="170" t="n">
        <x:f>IF(G493&lt;=0,"n/m",F493/G493)</x:f>
        <x:v>0.09929184900187035</x:v>
      </x:c>
      <x:c r="I493" s="170" t="n">
        <x:v>11256.911632657939</x:v>
      </x:c>
      <x:c r="J493" s="170" t="n">
        <x:v>113371.96100000001</x:v>
      </x:c>
      <x:c r="K493" s="170" t="n">
        <x:v>0.09929184900187038</x:v>
      </x:c>
      <x:c r="L493" s="177" t="n">
        <x:v>0.09929184900187038</x:v>
      </x:c>
      <x:c r="M493" s="177" t="n">
        <x:f>DGKC!H166</x:f>
        <x:v>0.09929184900187035</x:v>
      </x:c>
      <x:c r="N493" s="178" t="str">
        <x:f>IF(AND(ABS(F493-I493)&lt;0.000001,ABS(G493-J493)&lt;0.000001,IF(ISNUMBER(L493),IF(ISNUMBER(M493),ABS(L493-M493)&lt;0.00000001,FALSE),M493=L493)),"PASS","FAIL")</x:f>
        <x:v>PASS</x:v>
      </x:c>
      <x:c r="O493" s="99" t="str"/>
      <x:c r="P493" s="76" t="str">
        <x:v>Profitability</x:v>
      </x:c>
    </x:row>
    <x:row r="494" ht="26" customHeight="1">
      <x:c r="A494" s="168" t="str">
        <x:v>DGKC</x:v>
      </x:c>
      <x:c r="B494" s="168" t="n">
        <x:v>2025</x:v>
      </x:c>
      <x:c r="C494" s="168" t="n">
        <x:v>27</x:v>
      </x:c>
      <x:c r="D494" s="168" t="str">
        <x:v>Basic earning power</x:v>
      </x:c>
      <x:c r="E494" s="168" t="str">
        <x:v>Additional</x:v>
      </x:c>
      <x:c r="F494" s="169" t="n">
        <x:f>DGKC!H108</x:f>
        <x:v>16875.017</x:v>
      </x:c>
      <x:c r="G494" s="169" t="n">
        <x:f>AVERAGE(DGKC!G37,DGKC!H37)</x:f>
        <x:v>142154.9945</x:v>
      </x:c>
      <x:c r="H494" s="169" t="n">
        <x:f>IF(G494&lt;=0,"n/m",F494/G494)</x:f>
        <x:v>0.11870857622241335</x:v>
      </x:c>
      <x:c r="I494" s="169" t="n">
        <x:v>16875.017</x:v>
      </x:c>
      <x:c r="J494" s="169" t="n">
        <x:v>142154.9945</x:v>
      </x:c>
      <x:c r="K494" s="169" t="n">
        <x:v>0.11870857622241335</x:v>
      </x:c>
      <x:c r="L494" s="175" t="n">
        <x:v>0.11870857622241335</x:v>
      </x:c>
      <x:c r="M494" s="175" t="n">
        <x:f>DGKC!H167</x:f>
        <x:v>0.11870857622241335</x:v>
      </x:c>
      <x:c r="N494" s="176" t="str">
        <x:f>IF(AND(ABS(F494-I494)&lt;0.000001,ABS(G494-J494)&lt;0.000001,IF(ISNUMBER(L494),IF(ISNUMBER(M494),ABS(L494-M494)&lt;0.00000001,FALSE),M494=L494)),"PASS","FAIL")</x:f>
        <x:v>PASS</x:v>
      </x:c>
      <x:c r="O494" s="171" t="str"/>
      <x:c r="P494" s="168" t="str">
        <x:v>Profitability</x:v>
      </x:c>
    </x:row>
    <x:row r="495" ht="26" customHeight="1">
      <x:c r="A495" s="76" t="str">
        <x:v>DGKC</x:v>
      </x:c>
      <x:c r="B495" s="76" t="n">
        <x:v>2025</x:v>
      </x:c>
      <x:c r="C495" s="76" t="n">
        <x:v>28</x:v>
      </x:c>
      <x:c r="D495" s="76" t="str">
        <x:v>Book value per share (Rs)</x:v>
      </x:c>
      <x:c r="E495" s="76" t="str">
        <x:v>Additional</x:v>
      </x:c>
      <x:c r="F495" s="170" t="n">
        <x:f>DGKC!H41</x:f>
        <x:v>94667.478</x:v>
      </x:c>
      <x:c r="G495" s="170" t="n">
        <x:f>DGKC!H128</x:f>
        <x:v>438.1191</x:v>
      </x:c>
      <x:c r="H495" s="170" t="n">
        <x:f>IF(G495&lt;=0,"n/m",F495/G495)</x:f>
        <x:v>216.07703932560804</x:v>
      </x:c>
      <x:c r="I495" s="170" t="n">
        <x:v>94667.478</x:v>
      </x:c>
      <x:c r="J495" s="170" t="n">
        <x:v>438.1191</x:v>
      </x:c>
      <x:c r="K495" s="170" t="n">
        <x:v>216.07703932560804</x:v>
      </x:c>
      <x:c r="L495" s="177" t="n">
        <x:v>216.07703932560804</x:v>
      </x:c>
      <x:c r="M495" s="177" t="n">
        <x:f>DGKC!H169</x:f>
        <x:v>216.07703932560804</x:v>
      </x:c>
      <x:c r="N495" s="178" t="str">
        <x:f>IF(AND(ABS(F495-I495)&lt;0.000001,ABS(G495-J495)&lt;0.000001,IF(ISNUMBER(L495),IF(ISNUMBER(M495),ABS(L495-M495)&lt;0.00000001,FALSE),M495=L495)),"PASS","FAIL")</x:f>
        <x:v>PASS</x:v>
      </x:c>
      <x:c r="O495" s="99" t="str"/>
      <x:c r="P495" s="76" t="str">
        <x:v>Market Value</x:v>
      </x:c>
    </x:row>
    <x:row r="496" ht="26" customHeight="1">
      <x:c r="A496" s="168" t="str">
        <x:v>DGKC</x:v>
      </x:c>
      <x:c r="B496" s="168" t="n">
        <x:v>2025</x:v>
      </x:c>
      <x:c r="C496" s="168" t="n">
        <x:v>29</x:v>
      </x:c>
      <x:c r="D496" s="168" t="str">
        <x:v>Market-to-book ratio</x:v>
      </x:c>
      <x:c r="E496" s="168" t="str">
        <x:v>Mandatory</x:v>
      </x:c>
      <x:c r="F496" s="169" t="n">
        <x:f>DGKC!H130</x:f>
        <x:v>165.56</x:v>
      </x:c>
      <x:c r="G496" s="169" t="n">
        <x:f>DGKC!H41/DGKC!H128</x:f>
        <x:v>216.07703932560804</x:v>
      </x:c>
      <x:c r="H496" s="169" t="n">
        <x:f>IF(G496&lt;=0,"n/m",F496/G496)</x:f>
        <x:v>0.7662082029480072</x:v>
      </x:c>
      <x:c r="I496" s="169" t="n">
        <x:v>165.56</x:v>
      </x:c>
      <x:c r="J496" s="169" t="n">
        <x:v>216.07703932560804</x:v>
      </x:c>
      <x:c r="K496" s="169" t="n">
        <x:v>0.7662082029480072</x:v>
      </x:c>
      <x:c r="L496" s="175" t="n">
        <x:v>0.7662082029480072</x:v>
      </x:c>
      <x:c r="M496" s="175" t="n">
        <x:f>DGKC!H170</x:f>
        <x:v>0.7662082029480072</x:v>
      </x:c>
      <x:c r="N496" s="176" t="str">
        <x:f>IF(AND(ABS(F496-I496)&lt;0.000001,ABS(G496-J496)&lt;0.000001,IF(ISNUMBER(L496),IF(ISNUMBER(M496),ABS(L496-M496)&lt;0.00000001,FALSE),M496=L496)),"PASS","FAIL")</x:f>
        <x:v>PASS</x:v>
      </x:c>
      <x:c r="O496" s="171" t="str"/>
      <x:c r="P496" s="168" t="str">
        <x:v>Market Value</x:v>
      </x:c>
    </x:row>
    <x:row r="497" ht="26" customHeight="1">
      <x:c r="A497" s="76" t="str">
        <x:v>DGKC</x:v>
      </x:c>
      <x:c r="B497" s="76" t="n">
        <x:v>2025</x:v>
      </x:c>
      <x:c r="C497" s="76" t="n">
        <x:v>30</x:v>
      </x:c>
      <x:c r="D497" s="76" t="str">
        <x:v>Earnings per share (Rs)</x:v>
      </x:c>
      <x:c r="E497" s="76" t="str">
        <x:v>Mandatory</x:v>
      </x:c>
      <x:c r="F497" s="170" t="n">
        <x:f>DGKC!H99</x:f>
        <x:v>8675.059</x:v>
      </x:c>
      <x:c r="G497" s="170" t="n">
        <x:f>DGKC!H129</x:f>
        <x:v>438.119118</x:v>
      </x:c>
      <x:c r="H497" s="170" t="n">
        <x:f>IF(G497&lt;=0,"n/m",F497/G497)</x:f>
        <x:v>19.800685803443983</x:v>
      </x:c>
      <x:c r="I497" s="170" t="n">
        <x:v>8675.059000000001</x:v>
      </x:c>
      <x:c r="J497" s="170" t="n">
        <x:v>438.119118</x:v>
      </x:c>
      <x:c r="K497" s="170" t="n">
        <x:v>19.800685803443987</x:v>
      </x:c>
      <x:c r="L497" s="177" t="n">
        <x:v>19.800685803443987</x:v>
      </x:c>
      <x:c r="M497" s="177" t="n">
        <x:f>DGKC!H171</x:f>
        <x:v>19.800685803443983</x:v>
      </x:c>
      <x:c r="N497" s="178" t="str">
        <x:f>IF(AND(ABS(F497-I497)&lt;0.000001,ABS(G497-J497)&lt;0.000001,IF(ISNUMBER(L497),IF(ISNUMBER(M497),ABS(L497-M497)&lt;0.00000001,FALSE),M497=L497)),"PASS","FAIL")</x:f>
        <x:v>PASS</x:v>
      </x:c>
      <x:c r="O497" s="99" t="str"/>
      <x:c r="P497" s="76" t="str">
        <x:v>Market Value</x:v>
      </x:c>
    </x:row>
    <x:row r="498" ht="26" customHeight="1">
      <x:c r="A498" s="168" t="str">
        <x:v>DGKC</x:v>
      </x:c>
      <x:c r="B498" s="168" t="n">
        <x:v>2025</x:v>
      </x:c>
      <x:c r="C498" s="168" t="n">
        <x:v>31</x:v>
      </x:c>
      <x:c r="D498" s="168" t="str">
        <x:v>Price-to-earnings ratio</x:v>
      </x:c>
      <x:c r="E498" s="168" t="str">
        <x:v>Mandatory</x:v>
      </x:c>
      <x:c r="F498" s="169" t="n">
        <x:f>DGKC!H130</x:f>
        <x:v>165.56</x:v>
      </x:c>
      <x:c r="G498" s="169" t="n">
        <x:f>DGKC!H99/DGKC!H129</x:f>
        <x:v>19.800685803443983</x:v>
      </x:c>
      <x:c r="H498" s="169" t="n">
        <x:f>IF(G498&lt;=0,"n/m",F498/G498)</x:f>
        <x:v>8.361326554214791</x:v>
      </x:c>
      <x:c r="I498" s="169" t="n">
        <x:v>165.56</x:v>
      </x:c>
      <x:c r="J498" s="169" t="n">
        <x:v>19.800685803443987</x:v>
      </x:c>
      <x:c r="K498" s="169" t="n">
        <x:v>8.36132655421479</x:v>
      </x:c>
      <x:c r="L498" s="175" t="n">
        <x:v>8.36132655421479</x:v>
      </x:c>
      <x:c r="M498" s="175" t="n">
        <x:f>DGKC!H172</x:f>
        <x:v>8.361326554214791</x:v>
      </x:c>
      <x:c r="N498" s="176" t="str">
        <x:f>IF(AND(ABS(F498-I498)&lt;0.000001,ABS(G498-J498)&lt;0.000001,IF(ISNUMBER(L498),IF(ISNUMBER(M498),ABS(L498-M498)&lt;0.00000001,FALSE),M498=L498)),"PASS","FAIL")</x:f>
        <x:v>PASS</x:v>
      </x:c>
      <x:c r="O498" s="171" t="str"/>
      <x:c r="P498" s="168" t="str">
        <x:v>Market Value</x:v>
      </x:c>
    </x:row>
    <x:row r="499" ht="26" customHeight="1">
      <x:c r="A499" s="76" t="str">
        <x:v>DGKC</x:v>
      </x:c>
      <x:c r="B499" s="76" t="n">
        <x:v>2025</x:v>
      </x:c>
      <x:c r="C499" s="76" t="n">
        <x:v>32</x:v>
      </x:c>
      <x:c r="D499" s="76" t="str">
        <x:v>Dividend yield</x:v>
      </x:c>
      <x:c r="E499" s="76" t="str">
        <x:v>Mandatory</x:v>
      </x:c>
      <x:c r="F499" s="170" t="n">
        <x:f>DGKC!H131</x:f>
        <x:v>2</x:v>
      </x:c>
      <x:c r="G499" s="170" t="n">
        <x:f>DGKC!H130</x:f>
        <x:v>165.56</x:v>
      </x:c>
      <x:c r="H499" s="170" t="n">
        <x:f>IF(G499&lt;=0,"n/m",F499/G499)</x:f>
        <x:v>0.012080212611741966</x:v>
      </x:c>
      <x:c r="I499" s="170" t="n">
        <x:v>2</x:v>
      </x:c>
      <x:c r="J499" s="170" t="n">
        <x:v>165.56</x:v>
      </x:c>
      <x:c r="K499" s="170" t="n">
        <x:v>0.012080212611741966</x:v>
      </x:c>
      <x:c r="L499" s="177" t="n">
        <x:v>0.012080212611741966</x:v>
      </x:c>
      <x:c r="M499" s="177" t="n">
        <x:f>DGKC!H173</x:f>
        <x:v>0.012080212611741966</x:v>
      </x:c>
      <x:c r="N499" s="178" t="str">
        <x:f>IF(AND(ABS(F499-I499)&lt;0.000001,ABS(G499-J499)&lt;0.000001,IF(ISNUMBER(L499),IF(ISNUMBER(M499),ABS(L499-M499)&lt;0.00000001,FALSE),M499=L499)),"PASS","FAIL")</x:f>
        <x:v>PASS</x:v>
      </x:c>
      <x:c r="O499" s="99" t="str"/>
      <x:c r="P499" s="76" t="str">
        <x:v>Market Value</x:v>
      </x:c>
    </x:row>
    <x:row r="500" ht="26" customHeight="1">
      <x:c r="A500" s="168" t="str">
        <x:v>DGKC</x:v>
      </x:c>
      <x:c r="B500" s="168" t="n">
        <x:v>2025</x:v>
      </x:c>
      <x:c r="C500" s="168" t="n">
        <x:v>33</x:v>
      </x:c>
      <x:c r="D500" s="168" t="str">
        <x:v>Dividend payout ratio</x:v>
      </x:c>
      <x:c r="E500" s="168" t="str">
        <x:v>Additional</x:v>
      </x:c>
      <x:c r="F500" s="169" t="n">
        <x:f>DGKC!H131</x:f>
        <x:v>2</x:v>
      </x:c>
      <x:c r="G500" s="169" t="n">
        <x:f>DGKC!H99/DGKC!H129</x:f>
        <x:v>19.800685803443983</x:v>
      </x:c>
      <x:c r="H500" s="169" t="n">
        <x:f>IF(G500&lt;=0,"n/m",F500/G500)</x:f>
        <x:v>0.10100660249111851</x:v>
      </x:c>
      <x:c r="I500" s="169" t="n">
        <x:v>2</x:v>
      </x:c>
      <x:c r="J500" s="169" t="n">
        <x:v>19.800685803443987</x:v>
      </x:c>
      <x:c r="K500" s="169" t="n">
        <x:v>0.1010066024911185</x:v>
      </x:c>
      <x:c r="L500" s="175" t="n">
        <x:v>0.1010066024911185</x:v>
      </x:c>
      <x:c r="M500" s="175" t="n">
        <x:f>DGKC!H174</x:f>
        <x:v>0.10100660249111851</x:v>
      </x:c>
      <x:c r="N500" s="176" t="str">
        <x:f>IF(AND(ABS(F500-I500)&lt;0.000001,ABS(G500-J500)&lt;0.000001,IF(ISNUMBER(L500),IF(ISNUMBER(M500),ABS(L500-M500)&lt;0.00000001,FALSE),M500=L500)),"PASS","FAIL")</x:f>
        <x:v>PASS</x:v>
      </x:c>
      <x:c r="O500" s="171" t="str"/>
      <x:c r="P500" s="168" t="str">
        <x:v>Market Value</x:v>
      </x:c>
    </x:row>
    <x:row r="501" ht="26" customHeight="1">
      <x:c r="A501" s="76" t="str">
        <x:v>MLCF</x:v>
      </x:c>
      <x:c r="B501" s="76" t="n">
        <x:v>2021</x:v>
      </x:c>
      <x:c r="C501" s="76" t="n">
        <x:v>1</x:v>
      </x:c>
      <x:c r="D501" s="76" t="str">
        <x:v>Current ratio</x:v>
      </x:c>
      <x:c r="E501" s="76" t="str">
        <x:v>Mandatory</x:v>
      </x:c>
      <x:c r="F501" s="170" t="n">
        <x:f>MLCF!D36</x:f>
        <x:v>16923.416</x:v>
      </x:c>
      <x:c r="G501" s="170" t="n">
        <x:f>MLCF!D61</x:f>
        <x:v>11449.447999999999</x:v>
      </x:c>
      <x:c r="H501" s="170" t="n">
        <x:f>IF(G501&lt;=0,"n/m",F501/G501)</x:f>
        <x:v>1.4780988568182505</x:v>
      </x:c>
      <x:c r="I501" s="170" t="n">
        <x:v>16923.416</x:v>
      </x:c>
      <x:c r="J501" s="170" t="n">
        <x:v>11449.448</x:v>
      </x:c>
      <x:c r="K501" s="170" t="n">
        <x:v>1.4780988568182503</x:v>
      </x:c>
      <x:c r="L501" s="177" t="n">
        <x:v>1.4780988568182503</x:v>
      </x:c>
      <x:c r="M501" s="177" t="n">
        <x:f>MLCF!D138</x:f>
        <x:v>1.4780988568182505</x:v>
      </x:c>
      <x:c r="N501" s="178" t="str">
        <x:f>IF(AND(ABS(F501-I501)&lt;0.000001,ABS(G501-J501)&lt;0.000001,IF(ISNUMBER(L501),IF(ISNUMBER(M501),ABS(L501-M501)&lt;0.00000001,FALSE),M501=L501)),"PASS","FAIL")</x:f>
        <x:v>PASS</x:v>
      </x:c>
      <x:c r="O501" s="99" t="str"/>
      <x:c r="P501" s="76" t="str">
        <x:v>Liquidity</x:v>
      </x:c>
    </x:row>
    <x:row r="502" ht="26" customHeight="1">
      <x:c r="A502" s="168" t="str">
        <x:v>MLCF</x:v>
      </x:c>
      <x:c r="B502" s="168" t="n">
        <x:v>2021</x:v>
      </x:c>
      <x:c r="C502" s="168" t="n">
        <x:v>2</x:v>
      </x:c>
      <x:c r="D502" s="168" t="str">
        <x:v>Quick ratio</x:v>
      </x:c>
      <x:c r="E502" s="168" t="str">
        <x:v>Mandatory</x:v>
      </x:c>
      <x:c r="F502" s="169" t="n">
        <x:f>MLCF!D36-MLCF!D65</x:f>
        <x:v>5034.516</x:v>
      </x:c>
      <x:c r="G502" s="169" t="n">
        <x:f>MLCF!D61</x:f>
        <x:v>11449.447999999999</x:v>
      </x:c>
      <x:c r="H502" s="169" t="n">
        <x:f>IF(G502&lt;=0,"n/m",F502/G502)</x:f>
        <x:v>0.439716919103873</x:v>
      </x:c>
      <x:c r="I502" s="169" t="n">
        <x:v>5034.516</x:v>
      </x:c>
      <x:c r="J502" s="169" t="n">
        <x:v>11449.448</x:v>
      </x:c>
      <x:c r="K502" s="169" t="n">
        <x:v>0.4397169191038729</x:v>
      </x:c>
      <x:c r="L502" s="175" t="n">
        <x:v>0.4397169191038729</x:v>
      </x:c>
      <x:c r="M502" s="175" t="n">
        <x:f>MLCF!D139</x:f>
        <x:v>0.439716919103873</x:v>
      </x:c>
      <x:c r="N502" s="176" t="str">
        <x:f>IF(AND(ABS(F502-I502)&lt;0.000001,ABS(G502-J502)&lt;0.000001,IF(ISNUMBER(L502),IF(ISNUMBER(M502),ABS(L502-M502)&lt;0.00000001,FALSE),M502=L502)),"PASS","FAIL")</x:f>
        <x:v>PASS</x:v>
      </x:c>
      <x:c r="O502" s="171" t="str"/>
      <x:c r="P502" s="168" t="str">
        <x:v>Liquidity</x:v>
      </x:c>
    </x:row>
    <x:row r="503" ht="26" customHeight="1">
      <x:c r="A503" s="76" t="str">
        <x:v>MLCF</x:v>
      </x:c>
      <x:c r="B503" s="76" t="n">
        <x:v>2021</x:v>
      </x:c>
      <x:c r="C503" s="76" t="n">
        <x:v>3</x:v>
      </x:c>
      <x:c r="D503" s="76" t="str">
        <x:v>Cash ratio</x:v>
      </x:c>
      <x:c r="E503" s="76" t="str">
        <x:v>Mandatory</x:v>
      </x:c>
      <x:c r="F503" s="170" t="n">
        <x:f>MLCF!D34</x:f>
        <x:v>490.329</x:v>
      </x:c>
      <x:c r="G503" s="170" t="n">
        <x:f>MLCF!D61</x:f>
        <x:v>11449.447999999999</x:v>
      </x:c>
      <x:c r="H503" s="170" t="n">
        <x:f>IF(G503&lt;=0,"n/m",F503/G503)</x:f>
        <x:v>0.0428255580531044</x:v>
      </x:c>
      <x:c r="I503" s="170" t="n">
        <x:v>490.329</x:v>
      </x:c>
      <x:c r="J503" s="170" t="n">
        <x:v>11449.448</x:v>
      </x:c>
      <x:c r="K503" s="170" t="n">
        <x:v>0.042825558053104396</x:v>
      </x:c>
      <x:c r="L503" s="177" t="n">
        <x:v>0.042825558053104396</x:v>
      </x:c>
      <x:c r="M503" s="177" t="n">
        <x:f>MLCF!D140</x:f>
        <x:v>0.0428255580531044</x:v>
      </x:c>
      <x:c r="N503" s="178" t="str">
        <x:f>IF(AND(ABS(F503-I503)&lt;0.000001,ABS(G503-J503)&lt;0.000001,IF(ISNUMBER(L503),IF(ISNUMBER(M503),ABS(L503-M503)&lt;0.00000001,FALSE),M503=L503)),"PASS","FAIL")</x:f>
        <x:v>PASS</x:v>
      </x:c>
      <x:c r="O503" s="99" t="str"/>
      <x:c r="P503" s="76" t="str">
        <x:v>Liquidity</x:v>
      </x:c>
    </x:row>
    <x:row r="504" ht="26" customHeight="1">
      <x:c r="A504" s="168" t="str">
        <x:v>MLCF</x:v>
      </x:c>
      <x:c r="B504" s="168" t="n">
        <x:v>2021</x:v>
      </x:c>
      <x:c r="C504" s="168" t="n">
        <x:v>4</x:v>
      </x:c>
      <x:c r="D504" s="168" t="str">
        <x:v>Net working capital (PKR m)</x:v>
      </x:c>
      <x:c r="E504" s="168" t="str">
        <x:v>Additional</x:v>
      </x:c>
      <x:c r="F504" s="169" t="n">
        <x:f>MLCF!D36-MLCF!D61</x:f>
        <x:v>5473.968000000003</x:v>
      </x:c>
      <x:c r="G504" s="169" t="n">
        <x:f>1</x:f>
        <x:v>1</x:v>
      </x:c>
      <x:c r="H504" s="169" t="n">
        <x:f>IF(G504&lt;=0,"n/m",F504/G504)</x:f>
        <x:v>5473.968000000003</x:v>
      </x:c>
      <x:c r="I504" s="169" t="n">
        <x:v>5473.968000000001</x:v>
      </x:c>
      <x:c r="J504" s="169" t="n">
        <x:v>1</x:v>
      </x:c>
      <x:c r="K504" s="169" t="n">
        <x:v>5473.968000000001</x:v>
      </x:c>
      <x:c r="L504" s="175" t="n">
        <x:v>5473.968000000001</x:v>
      </x:c>
      <x:c r="M504" s="175" t="n">
        <x:f>MLCF!D141</x:f>
        <x:v>5473.968000000003</x:v>
      </x:c>
      <x:c r="N504" s="176" t="str">
        <x:f>IF(AND(ABS(F504-I504)&lt;0.000001,ABS(G504-J504)&lt;0.000001,IF(ISNUMBER(L504),IF(ISNUMBER(M504),ABS(L504-M504)&lt;0.00000001,FALSE),M504=L504)),"PASS","FAIL")</x:f>
        <x:v>PASS</x:v>
      </x:c>
      <x:c r="O504" s="171" t="str"/>
      <x:c r="P504" s="168" t="str">
        <x:v>Liquidity</x:v>
      </x:c>
    </x:row>
    <x:row r="505" ht="26" customHeight="1">
      <x:c r="A505" s="76" t="str">
        <x:v>MLCF</x:v>
      </x:c>
      <x:c r="B505" s="76" t="n">
        <x:v>2021</x:v>
      </x:c>
      <x:c r="C505" s="76" t="n">
        <x:v>5</x:v>
      </x:c>
      <x:c r="D505" s="76" t="str">
        <x:v>Net operating working capital (PKR m)</x:v>
      </x:c>
      <x:c r="E505" s="76" t="str">
        <x:v>Additional</x:v>
      </x:c>
      <x:c r="F505" s="170" t="n">
        <x:f>MLCF!D72-MLCF!D73</x:f>
        <x:v>8772.302000000001</x:v>
      </x:c>
      <x:c r="G505" s="170" t="n">
        <x:f>1</x:f>
        <x:v>1</x:v>
      </x:c>
      <x:c r="H505" s="170" t="n">
        <x:f>IF(G505&lt;=0,"n/m",F505/G505)</x:f>
        <x:v>8772.302000000001</x:v>
      </x:c>
      <x:c r="I505" s="170" t="n">
        <x:v>8772.302</x:v>
      </x:c>
      <x:c r="J505" s="170" t="n">
        <x:v>1</x:v>
      </x:c>
      <x:c r="K505" s="170" t="n">
        <x:v>8772.302</x:v>
      </x:c>
      <x:c r="L505" s="177" t="n">
        <x:v>8772.302</x:v>
      </x:c>
      <x:c r="M505" s="177" t="n">
        <x:f>MLCF!D142</x:f>
        <x:v>8772.302000000001</x:v>
      </x:c>
      <x:c r="N505" s="178" t="str">
        <x:f>IF(AND(ABS(F505-I505)&lt;0.000001,ABS(G505-J505)&lt;0.000001,IF(ISNUMBER(L505),IF(ISNUMBER(M505),ABS(L505-M505)&lt;0.00000001,FALSE),M505=L505)),"PASS","FAIL")</x:f>
        <x:v>PASS</x:v>
      </x:c>
      <x:c r="O505" s="99" t="str"/>
      <x:c r="P505" s="76" t="str">
        <x:v>Liquidity</x:v>
      </x:c>
    </x:row>
    <x:row r="506" ht="26" customHeight="1">
      <x:c r="A506" s="168" t="str">
        <x:v>MLCF</x:v>
      </x:c>
      <x:c r="B506" s="168" t="n">
        <x:v>2021</x:v>
      </x:c>
      <x:c r="C506" s="168" t="n">
        <x:v>6</x:v>
      </x:c>
      <x:c r="D506" s="168" t="str">
        <x:v>Inventory turnover</x:v>
      </x:c>
      <x:c r="E506" s="168" t="str">
        <x:v>Mandatory</x:v>
      </x:c>
      <x:c r="F506" s="169" t="n">
        <x:f>-MLCF!D85</x:f>
        <x:v>28135.419</x:v>
      </x:c>
      <x:c r="G506" s="169" t="n">
        <x:f>AVERAGE(MLCF!C65,MLCF!D65)</x:f>
        <x:v>11031.957000000002</x:v>
      </x:c>
      <x:c r="H506" s="169" t="n">
        <x:f>IF(G506&lt;=0,"n/m",F506/G506)</x:f>
        <x:v>2.5503561154199565</x:v>
      </x:c>
      <x:c r="I506" s="169" t="n">
        <x:v>28135.419</x:v>
      </x:c>
      <x:c r="J506" s="169" t="n">
        <x:v>11031.957000000002</x:v>
      </x:c>
      <x:c r="K506" s="169" t="n">
        <x:v>2.5503561154199565</x:v>
      </x:c>
      <x:c r="L506" s="175" t="n">
        <x:v>2.5503561154199565</x:v>
      </x:c>
      <x:c r="M506" s="175" t="n">
        <x:f>MLCF!D144</x:f>
        <x:v>2.5503561154199565</x:v>
      </x:c>
      <x:c r="N506" s="176" t="str">
        <x:f>IF(AND(ABS(F506-I506)&lt;0.000001,ABS(G506-J506)&lt;0.000001,IF(ISNUMBER(L506),IF(ISNUMBER(M506),ABS(L506-M506)&lt;0.00000001,FALSE),M506=L506)),"PASS","FAIL")</x:f>
        <x:v>PASS</x:v>
      </x:c>
      <x:c r="O506" s="171" t="str"/>
      <x:c r="P506" s="168" t="str">
        <x:v>Asset Management</x:v>
      </x:c>
    </x:row>
    <x:row r="507" ht="26" customHeight="1">
      <x:c r="A507" s="76" t="str">
        <x:v>MLCF</x:v>
      </x:c>
      <x:c r="B507" s="76" t="n">
        <x:v>2021</x:v>
      </x:c>
      <x:c r="C507" s="76" t="n">
        <x:v>7</x:v>
      </x:c>
      <x:c r="D507" s="76" t="str">
        <x:v>Receivables turnover</x:v>
      </x:c>
      <x:c r="E507" s="76" t="str">
        <x:v>Additional</x:v>
      </x:c>
      <x:c r="F507" s="170" t="n">
        <x:f>MLCF!D84</x:f>
        <x:v>35538.301</x:v>
      </x:c>
      <x:c r="G507" s="170" t="n">
        <x:f>AVERAGE(MLCF!C32,MLCF!D32)</x:f>
        <x:v>2365.917</x:v>
      </x:c>
      <x:c r="H507" s="170" t="n">
        <x:f>IF(G507&lt;=0,"n/m",F507/G507)</x:f>
        <x:v>15.020941563038772</x:v>
      </x:c>
      <x:c r="I507" s="170" t="n">
        <x:v>35538.301</x:v>
      </x:c>
      <x:c r="J507" s="170" t="n">
        <x:v>2365.917</x:v>
      </x:c>
      <x:c r="K507" s="170" t="n">
        <x:v>15.020941563038772</x:v>
      </x:c>
      <x:c r="L507" s="177" t="n">
        <x:v>15.020941563038772</x:v>
      </x:c>
      <x:c r="M507" s="177" t="n">
        <x:f>MLCF!D145</x:f>
        <x:v>15.020941563038772</x:v>
      </x:c>
      <x:c r="N507" s="178" t="str">
        <x:f>IF(AND(ABS(F507-I507)&lt;0.000001,ABS(G507-J507)&lt;0.000001,IF(ISNUMBER(L507),IF(ISNUMBER(M507),ABS(L507-M507)&lt;0.00000001,FALSE),M507=L507)),"PASS","FAIL")</x:f>
        <x:v>PASS</x:v>
      </x:c>
      <x:c r="O507" s="99" t="str"/>
      <x:c r="P507" s="76" t="str">
        <x:v>Asset Management</x:v>
      </x:c>
    </x:row>
    <x:row r="508" ht="26" customHeight="1">
      <x:c r="A508" s="168" t="str">
        <x:v>MLCF</x:v>
      </x:c>
      <x:c r="B508" s="168" t="n">
        <x:v>2021</x:v>
      </x:c>
      <x:c r="C508" s="168" t="n">
        <x:v>8</x:v>
      </x:c>
      <x:c r="D508" s="168" t="str">
        <x:v>Payables turnover</x:v>
      </x:c>
      <x:c r="E508" s="168" t="str">
        <x:v>Additional</x:v>
      </x:c>
      <x:c r="F508" s="169" t="n">
        <x:f>-MLCF!D85</x:f>
        <x:v>28135.419</x:v>
      </x:c>
      <x:c r="G508" s="169" t="n">
        <x:f>AVERAGE(MLCF!C51,MLCF!D51)</x:f>
        <x:v>3875.2875000000004</x:v>
      </x:c>
      <x:c r="H508" s="169" t="n">
        <x:f>IF(G508&lt;=0,"n/m",F508/G508)</x:f>
        <x:v>7.260214629237185</x:v>
      </x:c>
      <x:c r="I508" s="169" t="n">
        <x:v>28135.419</x:v>
      </x:c>
      <x:c r="J508" s="169" t="n">
        <x:v>3875.2875000000004</x:v>
      </x:c>
      <x:c r="K508" s="169" t="n">
        <x:v>7.260214629237185</x:v>
      </x:c>
      <x:c r="L508" s="175" t="n">
        <x:v>7.260214629237185</x:v>
      </x:c>
      <x:c r="M508" s="175" t="n">
        <x:f>MLCF!D146</x:f>
        <x:v>7.260214629237185</x:v>
      </x:c>
      <x:c r="N508" s="176" t="str">
        <x:f>IF(AND(ABS(F508-I508)&lt;0.000001,ABS(G508-J508)&lt;0.000001,IF(ISNUMBER(L508),IF(ISNUMBER(M508),ABS(L508-M508)&lt;0.00000001,FALSE),M508=L508)),"PASS","FAIL")</x:f>
        <x:v>PASS</x:v>
      </x:c>
      <x:c r="O508" s="171" t="str"/>
      <x:c r="P508" s="168" t="str">
        <x:v>Asset Management</x:v>
      </x:c>
    </x:row>
    <x:row r="509" ht="26" customHeight="1">
      <x:c r="A509" s="76" t="str">
        <x:v>MLCF</x:v>
      </x:c>
      <x:c r="B509" s="76" t="n">
        <x:v>2021</x:v>
      </x:c>
      <x:c r="C509" s="76" t="n">
        <x:v>9</x:v>
      </x:c>
      <x:c r="D509" s="76" t="str">
        <x:v>Days inventory outstanding</x:v>
      </x:c>
      <x:c r="E509" s="76" t="str">
        <x:v>Additional</x:v>
      </x:c>
      <x:c r="F509" s="170" t="n">
        <x:f>365*AVERAGE(MLCF!C65,MLCF!D65)</x:f>
        <x:v>4026664.3050000006</x:v>
      </x:c>
      <x:c r="G509" s="170" t="n">
        <x:f>-MLCF!D85</x:f>
        <x:v>28135.419</x:v>
      </x:c>
      <x:c r="H509" s="170" t="n">
        <x:f>IF(G509&lt;=0,"n/m",F509/G509)</x:f>
        <x:v>143.11726813096334</x:v>
      </x:c>
      <x:c r="I509" s="170" t="n">
        <x:v>4026664.3050000006</x:v>
      </x:c>
      <x:c r="J509" s="170" t="n">
        <x:v>28135.419</x:v>
      </x:c>
      <x:c r="K509" s="170" t="n">
        <x:v>143.11726813096334</x:v>
      </x:c>
      <x:c r="L509" s="177" t="n">
        <x:v>143.11726813096334</x:v>
      </x:c>
      <x:c r="M509" s="177" t="n">
        <x:f>MLCF!D147</x:f>
        <x:v>143.11726813096334</x:v>
      </x:c>
      <x:c r="N509" s="178" t="str">
        <x:f>IF(AND(ABS(F509-I509)&lt;0.000001,ABS(G509-J509)&lt;0.000001,IF(ISNUMBER(L509),IF(ISNUMBER(M509),ABS(L509-M509)&lt;0.00000001,FALSE),M509=L509)),"PASS","FAIL")</x:f>
        <x:v>PASS</x:v>
      </x:c>
      <x:c r="O509" s="99" t="str"/>
      <x:c r="P509" s="76" t="str">
        <x:v>Asset Management</x:v>
      </x:c>
    </x:row>
    <x:row r="510" ht="26" customHeight="1">
      <x:c r="A510" s="168" t="str">
        <x:v>MLCF</x:v>
      </x:c>
      <x:c r="B510" s="168" t="n">
        <x:v>2021</x:v>
      </x:c>
      <x:c r="C510" s="168" t="n">
        <x:v>10</x:v>
      </x:c>
      <x:c r="D510" s="168" t="str">
        <x:v>Days sales outstanding</x:v>
      </x:c>
      <x:c r="E510" s="168" t="str">
        <x:v>Mandatory</x:v>
      </x:c>
      <x:c r="F510" s="169" t="n">
        <x:f>365*AVERAGE(MLCF!C32,MLCF!D32)</x:f>
        <x:v>863559.705</x:v>
      </x:c>
      <x:c r="G510" s="169" t="n">
        <x:f>MLCF!D84</x:f>
        <x:v>35538.301</x:v>
      </x:c>
      <x:c r="H510" s="169" t="n">
        <x:f>IF(G510&lt;=0,"n/m",F510/G510)</x:f>
        <x:v>24.299408826550263</x:v>
      </x:c>
      <x:c r="I510" s="169" t="n">
        <x:v>863559.705</x:v>
      </x:c>
      <x:c r="J510" s="169" t="n">
        <x:v>35538.301</x:v>
      </x:c>
      <x:c r="K510" s="169" t="n">
        <x:v>24.299408826550263</x:v>
      </x:c>
      <x:c r="L510" s="175" t="n">
        <x:v>24.299408826550263</x:v>
      </x:c>
      <x:c r="M510" s="175" t="n">
        <x:f>MLCF!D148</x:f>
        <x:v>24.299408826550263</x:v>
      </x:c>
      <x:c r="N510" s="176" t="str">
        <x:f>IF(AND(ABS(F510-I510)&lt;0.000001,ABS(G510-J510)&lt;0.000001,IF(ISNUMBER(L510),IF(ISNUMBER(M510),ABS(L510-M510)&lt;0.00000001,FALSE),M510=L510)),"PASS","FAIL")</x:f>
        <x:v>PASS</x:v>
      </x:c>
      <x:c r="O510" s="171" t="str"/>
      <x:c r="P510" s="168" t="str">
        <x:v>Asset Management</x:v>
      </x:c>
    </x:row>
    <x:row r="511" ht="26" customHeight="1">
      <x:c r="A511" s="76" t="str">
        <x:v>MLCF</x:v>
      </x:c>
      <x:c r="B511" s="76" t="n">
        <x:v>2021</x:v>
      </x:c>
      <x:c r="C511" s="76" t="n">
        <x:v>11</x:v>
      </x:c>
      <x:c r="D511" s="76" t="str">
        <x:v>Days payables outstanding</x:v>
      </x:c>
      <x:c r="E511" s="76" t="str">
        <x:v>Additional</x:v>
      </x:c>
      <x:c r="F511" s="170" t="n">
        <x:f>365*AVERAGE(MLCF!C51,MLCF!D51)</x:f>
        <x:v>1414479.9375000002</x:v>
      </x:c>
      <x:c r="G511" s="170" t="n">
        <x:f>-MLCF!D85</x:f>
        <x:v>28135.419</x:v>
      </x:c>
      <x:c r="H511" s="170" t="n">
        <x:f>IF(G511&lt;=0,"n/m",F511/G511)</x:f>
        <x:v>50.273995830664546</x:v>
      </x:c>
      <x:c r="I511" s="170" t="n">
        <x:v>1414479.9375000002</x:v>
      </x:c>
      <x:c r="J511" s="170" t="n">
        <x:v>28135.419</x:v>
      </x:c>
      <x:c r="K511" s="170" t="n">
        <x:v>50.273995830664546</x:v>
      </x:c>
      <x:c r="L511" s="177" t="n">
        <x:v>50.273995830664546</x:v>
      </x:c>
      <x:c r="M511" s="177" t="n">
        <x:f>MLCF!D149</x:f>
        <x:v>50.273995830664546</x:v>
      </x:c>
      <x:c r="N511" s="178" t="str">
        <x:f>IF(AND(ABS(F511-I511)&lt;0.000001,ABS(G511-J511)&lt;0.000001,IF(ISNUMBER(L511),IF(ISNUMBER(M511),ABS(L511-M511)&lt;0.00000001,FALSE),M511=L511)),"PASS","FAIL")</x:f>
        <x:v>PASS</x:v>
      </x:c>
      <x:c r="O511" s="99" t="str"/>
      <x:c r="P511" s="76" t="str">
        <x:v>Asset Management</x:v>
      </x:c>
    </x:row>
    <x:row r="512" ht="26" customHeight="1">
      <x:c r="A512" s="168" t="str">
        <x:v>MLCF</x:v>
      </x:c>
      <x:c r="B512" s="168" t="n">
        <x:v>2021</x:v>
      </x:c>
      <x:c r="C512" s="168" t="n">
        <x:v>12</x:v>
      </x:c>
      <x:c r="D512" s="168" t="str">
        <x:v>Operating cycle (days)</x:v>
      </x:c>
      <x:c r="E512" s="168" t="str">
        <x:v>Additional</x:v>
      </x:c>
      <x:c r="F512" s="169" t="n">
        <x:f>365*AVERAGE(MLCF!C65,MLCF!D65)/(-MLCF!D85)+365*AVERAGE(MLCF!C32,MLCF!D32)/MLCF!D84</x:f>
        <x:v>167.4166769575136</x:v>
      </x:c>
      <x:c r="G512" s="169" t="n">
        <x:f>1</x:f>
        <x:v>1</x:v>
      </x:c>
      <x:c r="H512" s="169" t="n">
        <x:f>IF(G512&lt;=0,"n/m",F512/G512)</x:f>
        <x:v>167.4166769575136</x:v>
      </x:c>
      <x:c r="I512" s="169" t="n">
        <x:v>167.4166769575136</x:v>
      </x:c>
      <x:c r="J512" s="169" t="n">
        <x:v>1</x:v>
      </x:c>
      <x:c r="K512" s="169" t="n">
        <x:v>167.4166769575136</x:v>
      </x:c>
      <x:c r="L512" s="175" t="n">
        <x:v>167.4166769575136</x:v>
      </x:c>
      <x:c r="M512" s="175" t="n">
        <x:f>MLCF!D150</x:f>
        <x:v>167.4166769575136</x:v>
      </x:c>
      <x:c r="N512" s="176" t="str">
        <x:f>IF(AND(ABS(F512-I512)&lt;0.000001,ABS(G512-J512)&lt;0.000001,IF(ISNUMBER(L512),IF(ISNUMBER(M512),ABS(L512-M512)&lt;0.00000001,FALSE),M512=L512)),"PASS","FAIL")</x:f>
        <x:v>PASS</x:v>
      </x:c>
      <x:c r="O512" s="171" t="str"/>
      <x:c r="P512" s="168" t="str">
        <x:v>Asset Management</x:v>
      </x:c>
    </x:row>
    <x:row r="513" ht="26" customHeight="1">
      <x:c r="A513" s="76" t="str">
        <x:v>MLCF</x:v>
      </x:c>
      <x:c r="B513" s="76" t="n">
        <x:v>2021</x:v>
      </x:c>
      <x:c r="C513" s="76" t="n">
        <x:v>13</x:v>
      </x:c>
      <x:c r="D513" s="76" t="str">
        <x:v>Cash conversion cycle (days)</x:v>
      </x:c>
      <x:c r="E513" s="76" t="str">
        <x:v>Additional</x:v>
      </x:c>
      <x:c r="F513" s="170" t="n">
        <x:f>365*AVERAGE(MLCF!C65,MLCF!D65)/(-MLCF!D85)+365*AVERAGE(MLCF!C32,MLCF!D32)/MLCF!D84-365*AVERAGE(MLCF!C51,MLCF!D51)/(-MLCF!D85)</x:f>
        <x:v>117.14268112684906</x:v>
      </x:c>
      <x:c r="G513" s="170" t="n">
        <x:f>1</x:f>
        <x:v>1</x:v>
      </x:c>
      <x:c r="H513" s="170" t="n">
        <x:f>IF(G513&lt;=0,"n/m",F513/G513)</x:f>
        <x:v>117.14268112684906</x:v>
      </x:c>
      <x:c r="I513" s="170" t="n">
        <x:v>117.14268112684906</x:v>
      </x:c>
      <x:c r="J513" s="170" t="n">
        <x:v>1</x:v>
      </x:c>
      <x:c r="K513" s="170" t="n">
        <x:v>117.14268112684906</x:v>
      </x:c>
      <x:c r="L513" s="177" t="n">
        <x:v>117.14268112684906</x:v>
      </x:c>
      <x:c r="M513" s="177" t="n">
        <x:f>MLCF!D151</x:f>
        <x:v>117.14268112684906</x:v>
      </x:c>
      <x:c r="N513" s="178" t="str">
        <x:f>IF(AND(ABS(F513-I513)&lt;0.000001,ABS(G513-J513)&lt;0.000001,IF(ISNUMBER(L513),IF(ISNUMBER(M513),ABS(L513-M513)&lt;0.00000001,FALSE),M513=L513)),"PASS","FAIL")</x:f>
        <x:v>PASS</x:v>
      </x:c>
      <x:c r="O513" s="99" t="str"/>
      <x:c r="P513" s="76" t="str">
        <x:v>Asset Management</x:v>
      </x:c>
    </x:row>
    <x:row r="514" ht="26" customHeight="1">
      <x:c r="A514" s="168" t="str">
        <x:v>MLCF</x:v>
      </x:c>
      <x:c r="B514" s="168" t="n">
        <x:v>2021</x:v>
      </x:c>
      <x:c r="C514" s="168" t="n">
        <x:v>14</x:v>
      </x:c>
      <x:c r="D514" s="168" t="str">
        <x:v>Total asset turnover</x:v>
      </x:c>
      <x:c r="E514" s="168" t="str">
        <x:v>Mandatory</x:v>
      </x:c>
      <x:c r="F514" s="169" t="n">
        <x:f>MLCF!D84</x:f>
        <x:v>35538.301</x:v>
      </x:c>
      <x:c r="G514" s="169" t="n">
        <x:f>AVERAGE(MLCF!C37,MLCF!D37)</x:f>
        <x:v>66124.5245</x:v>
      </x:c>
      <x:c r="H514" s="169" t="n">
        <x:f>IF(G514&lt;=0,"n/m",F514/G514)</x:f>
        <x:v>0.5374450896807583</x:v>
      </x:c>
      <x:c r="I514" s="169" t="n">
        <x:v>35538.301</x:v>
      </x:c>
      <x:c r="J514" s="169" t="n">
        <x:v>66124.5245</x:v>
      </x:c>
      <x:c r="K514" s="169" t="n">
        <x:v>0.5374450896807583</x:v>
      </x:c>
      <x:c r="L514" s="175" t="n">
        <x:v>0.5374450896807583</x:v>
      </x:c>
      <x:c r="M514" s="175" t="n">
        <x:f>MLCF!D152</x:f>
        <x:v>0.5374450896807583</x:v>
      </x:c>
      <x:c r="N514" s="176" t="str">
        <x:f>IF(AND(ABS(F514-I514)&lt;0.000001,ABS(G514-J514)&lt;0.000001,IF(ISNUMBER(L514),IF(ISNUMBER(M514),ABS(L514-M514)&lt;0.00000001,FALSE),M514=L514)),"PASS","FAIL")</x:f>
        <x:v>PASS</x:v>
      </x:c>
      <x:c r="O514" s="171" t="str"/>
      <x:c r="P514" s="168" t="str">
        <x:v>Asset Management</x:v>
      </x:c>
    </x:row>
    <x:row r="515" ht="26" customHeight="1">
      <x:c r="A515" s="76" t="str">
        <x:v>MLCF</x:v>
      </x:c>
      <x:c r="B515" s="76" t="n">
        <x:v>2021</x:v>
      </x:c>
      <x:c r="C515" s="76" t="n">
        <x:v>15</x:v>
      </x:c>
      <x:c r="D515" s="76" t="str">
        <x:v>Fixed asset turnover</x:v>
      </x:c>
      <x:c r="E515" s="76" t="str">
        <x:v>Mandatory</x:v>
      </x:c>
      <x:c r="F515" s="170" t="n">
        <x:f>MLCF!D84</x:f>
        <x:v>35538.301</x:v>
      </x:c>
      <x:c r="G515" s="170" t="n">
        <x:f>AVERAGE(MLCF!C22,MLCF!D22)</x:f>
        <x:v>42393.9005</x:v>
      </x:c>
      <x:c r="H515" s="170" t="n">
        <x:f>IF(G515&lt;=0,"n/m",F515/G515)</x:f>
        <x:v>0.838288069294308</x:v>
      </x:c>
      <x:c r="I515" s="170" t="n">
        <x:v>35538.301</x:v>
      </x:c>
      <x:c r="J515" s="170" t="n">
        <x:v>42393.9005</x:v>
      </x:c>
      <x:c r="K515" s="170" t="n">
        <x:v>0.838288069294308</x:v>
      </x:c>
      <x:c r="L515" s="177" t="n">
        <x:v>0.838288069294308</x:v>
      </x:c>
      <x:c r="M515" s="177" t="n">
        <x:f>MLCF!D153</x:f>
        <x:v>0.838288069294308</x:v>
      </x:c>
      <x:c r="N515" s="178" t="str">
        <x:f>IF(AND(ABS(F515-I515)&lt;0.000001,ABS(G515-J515)&lt;0.000001,IF(ISNUMBER(L515),IF(ISNUMBER(M515),ABS(L515-M515)&lt;0.00000001,FALSE),M515=L515)),"PASS","FAIL")</x:f>
        <x:v>PASS</x:v>
      </x:c>
      <x:c r="O515" s="99" t="str"/>
      <x:c r="P515" s="76" t="str">
        <x:v>Asset Management</x:v>
      </x:c>
    </x:row>
    <x:row r="516" ht="26" customHeight="1">
      <x:c r="A516" s="168" t="str">
        <x:v>MLCF</x:v>
      </x:c>
      <x:c r="B516" s="168" t="n">
        <x:v>2021</x:v>
      </x:c>
      <x:c r="C516" s="168" t="n">
        <x:v>16</x:v>
      </x:c>
      <x:c r="D516" s="168" t="str">
        <x:v>Debt ratio</x:v>
      </x:c>
      <x:c r="E516" s="168" t="str">
        <x:v>Mandatory</x:v>
      </x:c>
      <x:c r="F516" s="169" t="n">
        <x:f>MLCF!D62</x:f>
        <x:v>28696.736999999994</x:v>
      </x:c>
      <x:c r="G516" s="169" t="n">
        <x:f>MLCF!D37</x:f>
        <x:v>66239.27799999999</x:v>
      </x:c>
      <x:c r="H516" s="169" t="n">
        <x:f>IF(G516&lt;=0,"n/m",F516/G516)</x:f>
        <x:v>0.4332284086792129</x:v>
      </x:c>
      <x:c r="I516" s="169" t="n">
        <x:v>28696.737</x:v>
      </x:c>
      <x:c r="J516" s="169" t="n">
        <x:v>66239.27799999999</x:v>
      </x:c>
      <x:c r="K516" s="169" t="n">
        <x:v>0.43322840867921303</x:v>
      </x:c>
      <x:c r="L516" s="175" t="n">
        <x:v>0.43322840867921303</x:v>
      </x:c>
      <x:c r="M516" s="175" t="n">
        <x:f>MLCF!D155</x:f>
        <x:v>0.4332284086792129</x:v>
      </x:c>
      <x:c r="N516" s="176" t="str">
        <x:f>IF(AND(ABS(F516-I516)&lt;0.000001,ABS(G516-J516)&lt;0.000001,IF(ISNUMBER(L516),IF(ISNUMBER(M516),ABS(L516-M516)&lt;0.00000001,FALSE),M516=L516)),"PASS","FAIL")</x:f>
        <x:v>PASS</x:v>
      </x:c>
      <x:c r="O516" s="171" t="str"/>
      <x:c r="P516" s="168" t="str">
        <x:v>Debt Management</x:v>
      </x:c>
    </x:row>
    <x:row r="517" ht="26" customHeight="1">
      <x:c r="A517" s="76" t="str">
        <x:v>MLCF</x:v>
      </x:c>
      <x:c r="B517" s="76" t="n">
        <x:v>2021</x:v>
      </x:c>
      <x:c r="C517" s="76" t="n">
        <x:v>17</x:v>
      </x:c>
      <x:c r="D517" s="76" t="str">
        <x:v>Debt-to-equity</x:v>
      </x:c>
      <x:c r="E517" s="76" t="str">
        <x:v>Mandatory</x:v>
      </x:c>
      <x:c r="F517" s="170" t="n">
        <x:f>MLCF!D62</x:f>
        <x:v>28696.736999999994</x:v>
      </x:c>
      <x:c r="G517" s="170" t="n">
        <x:f>MLCF!D41</x:f>
        <x:v>37542.541</x:v>
      </x:c>
      <x:c r="H517" s="170" t="n">
        <x:f>IF(G517&lt;=0,"n/m",F517/G517)</x:f>
        <x:v>0.7643791878658399</x:v>
      </x:c>
      <x:c r="I517" s="170" t="n">
        <x:v>28696.737</x:v>
      </x:c>
      <x:c r="J517" s="170" t="n">
        <x:v>37542.541</x:v>
      </x:c>
      <x:c r="K517" s="170" t="n">
        <x:v>0.76437918786584</x:v>
      </x:c>
      <x:c r="L517" s="177" t="n">
        <x:v>0.76437918786584</x:v>
      </x:c>
      <x:c r="M517" s="177" t="n">
        <x:f>MLCF!D156</x:f>
        <x:v>0.7643791878658399</x:v>
      </x:c>
      <x:c r="N517" s="178" t="str">
        <x:f>IF(AND(ABS(F517-I517)&lt;0.000001,ABS(G517-J517)&lt;0.000001,IF(ISNUMBER(L517),IF(ISNUMBER(M517),ABS(L517-M517)&lt;0.00000001,FALSE),M517=L517)),"PASS","FAIL")</x:f>
        <x:v>PASS</x:v>
      </x:c>
      <x:c r="O517" s="99" t="str"/>
      <x:c r="P517" s="76" t="str">
        <x:v>Debt Management</x:v>
      </x:c>
    </x:row>
    <x:row r="518" ht="26" customHeight="1">
      <x:c r="A518" s="168" t="str">
        <x:v>MLCF</x:v>
      </x:c>
      <x:c r="B518" s="168" t="n">
        <x:v>2021</x:v>
      </x:c>
      <x:c r="C518" s="168" t="n">
        <x:v>18</x:v>
      </x:c>
      <x:c r="D518" s="168" t="str">
        <x:v>Total debt-to-capital</x:v>
      </x:c>
      <x:c r="E518" s="168" t="str">
        <x:v>Additional</x:v>
      </x:c>
      <x:c r="F518" s="169" t="n">
        <x:f>MLCF!D66</x:f>
        <x:v>16235.475999999999</x:v>
      </x:c>
      <x:c r="G518" s="169" t="n">
        <x:f>MLCF!D66+MLCF!D41</x:f>
        <x:v>53778.01699999999</x:v>
      </x:c>
      <x:c r="H518" s="169" t="n">
        <x:f>IF(G518&lt;=0,"n/m",F518/G518)</x:f>
        <x:v>0.3018980041603245</x:v>
      </x:c>
      <x:c r="I518" s="169" t="n">
        <x:v>16235.476</x:v>
      </x:c>
      <x:c r="J518" s="169" t="n">
        <x:v>53778.017</x:v>
      </x:c>
      <x:c r="K518" s="169" t="n">
        <x:v>0.3018980041603245</x:v>
      </x:c>
      <x:c r="L518" s="175" t="n">
        <x:v>0.3018980041603245</x:v>
      </x:c>
      <x:c r="M518" s="175" t="n">
        <x:f>MLCF!D157</x:f>
        <x:v>0.3018980041603245</x:v>
      </x:c>
      <x:c r="N518" s="176" t="str">
        <x:f>IF(AND(ABS(F518-I518)&lt;0.000001,ABS(G518-J518)&lt;0.000001,IF(ISNUMBER(L518),IF(ISNUMBER(M518),ABS(L518-M518)&lt;0.00000001,FALSE),M518=L518)),"PASS","FAIL")</x:f>
        <x:v>PASS</x:v>
      </x:c>
      <x:c r="O518" s="171" t="str"/>
      <x:c r="P518" s="168" t="str">
        <x:v>Debt Management</x:v>
      </x:c>
    </x:row>
    <x:row r="519" ht="26" customHeight="1">
      <x:c r="A519" s="76" t="str">
        <x:v>MLCF</x:v>
      </x:c>
      <x:c r="B519" s="76" t="n">
        <x:v>2021</x:v>
      </x:c>
      <x:c r="C519" s="76" t="n">
        <x:v>19</x:v>
      </x:c>
      <x:c r="D519" s="76" t="str">
        <x:v>Long-term debt ratio</x:v>
      </x:c>
      <x:c r="E519" s="76" t="str">
        <x:v>Additional</x:v>
      </x:c>
      <x:c r="F519" s="170" t="n">
        <x:f>MLCF!D67</x:f>
        <x:v>12636.749</x:v>
      </x:c>
      <x:c r="G519" s="170" t="n">
        <x:f>MLCF!D37</x:f>
        <x:v>66239.27799999999</x:v>
      </x:c>
      <x:c r="H519" s="170" t="n">
        <x:f>IF(G519&lt;=0,"n/m",F519/G519)</x:f>
        <x:v>0.19077425632568037</x:v>
      </x:c>
      <x:c r="I519" s="170" t="n">
        <x:v>12636.749</x:v>
      </x:c>
      <x:c r="J519" s="170" t="n">
        <x:v>66239.27799999999</x:v>
      </x:c>
      <x:c r="K519" s="170" t="n">
        <x:v>0.19077425632568037</x:v>
      </x:c>
      <x:c r="L519" s="177" t="n">
        <x:v>0.19077425632568037</x:v>
      </x:c>
      <x:c r="M519" s="177" t="n">
        <x:f>MLCF!D158</x:f>
        <x:v>0.19077425632568037</x:v>
      </x:c>
      <x:c r="N519" s="178" t="str">
        <x:f>IF(AND(ABS(F519-I519)&lt;0.000001,ABS(G519-J519)&lt;0.000001,IF(ISNUMBER(L519),IF(ISNUMBER(M519),ABS(L519-M519)&lt;0.00000001,FALSE),M519=L519)),"PASS","FAIL")</x:f>
        <x:v>PASS</x:v>
      </x:c>
      <x:c r="O519" s="99" t="str"/>
      <x:c r="P519" s="76" t="str">
        <x:v>Debt Management</x:v>
      </x:c>
    </x:row>
    <x:row r="520" ht="26" customHeight="1">
      <x:c r="A520" s="168" t="str">
        <x:v>MLCF</x:v>
      </x:c>
      <x:c r="B520" s="168" t="n">
        <x:v>2021</x:v>
      </x:c>
      <x:c r="C520" s="168" t="n">
        <x:v>20</x:v>
      </x:c>
      <x:c r="D520" s="168" t="str">
        <x:v>Times interest earned</x:v>
      </x:c>
      <x:c r="E520" s="168" t="str">
        <x:v>Mandatory</x:v>
      </x:c>
      <x:c r="F520" s="169" t="n">
        <x:f>MLCF!D108</x:f>
        <x:v>8783.530999999997</x:v>
      </x:c>
      <x:c r="G520" s="169" t="n">
        <x:f>MLCF!D106</x:f>
        <x:v>1447.278</x:v>
      </x:c>
      <x:c r="H520" s="169" t="n">
        <x:f>IF(G520&lt;=0,"n/m",F520/G520)</x:f>
        <x:v>6.069000565198944</x:v>
      </x:c>
      <x:c r="I520" s="169" t="n">
        <x:v>8783.530999999997</x:v>
      </x:c>
      <x:c r="J520" s="169" t="n">
        <x:v>1447.278</x:v>
      </x:c>
      <x:c r="K520" s="169" t="n">
        <x:v>6.069000565198944</x:v>
      </x:c>
      <x:c r="L520" s="175" t="n">
        <x:v>6.069000565198944</x:v>
      </x:c>
      <x:c r="M520" s="175" t="n">
        <x:f>MLCF!D159</x:f>
        <x:v>6.069000565198944</x:v>
      </x:c>
      <x:c r="N520" s="176" t="str">
        <x:f>IF(AND(ABS(F520-I520)&lt;0.000001,ABS(G520-J520)&lt;0.000001,IF(ISNUMBER(L520),IF(ISNUMBER(M520),ABS(L520-M520)&lt;0.00000001,FALSE),M520=L520)),"PASS","FAIL")</x:f>
        <x:v>PASS</x:v>
      </x:c>
      <x:c r="O520" s="171" t="str"/>
      <x:c r="P520" s="168" t="str">
        <x:v>Debt Management</x:v>
      </x:c>
    </x:row>
    <x:row r="521" ht="26" customHeight="1">
      <x:c r="A521" s="76" t="str">
        <x:v>MLCF</x:v>
      </x:c>
      <x:c r="B521" s="76" t="n">
        <x:v>2021</x:v>
      </x:c>
      <x:c r="C521" s="76" t="n">
        <x:v>21</x:v>
      </x:c>
      <x:c r="D521" s="76" t="str">
        <x:v>Gross profit margin</x:v>
      </x:c>
      <x:c r="E521" s="76" t="str">
        <x:v>Mandatory</x:v>
      </x:c>
      <x:c r="F521" s="170" t="n">
        <x:f>MLCF!D86</x:f>
        <x:v>7402.881999999998</x:v>
      </x:c>
      <x:c r="G521" s="170" t="n">
        <x:f>MLCF!D84</x:f>
        <x:v>35538.301</x:v>
      </x:c>
      <x:c r="H521" s="170" t="n">
        <x:f>IF(G521&lt;=0,"n/m",F521/G521)</x:f>
        <x:v>0.20830714445240356</x:v>
      </x:c>
      <x:c r="I521" s="170" t="n">
        <x:v>7402.881999999998</x:v>
      </x:c>
      <x:c r="J521" s="170" t="n">
        <x:v>35538.301</x:v>
      </x:c>
      <x:c r="K521" s="170" t="n">
        <x:v>0.20830714445240356</x:v>
      </x:c>
      <x:c r="L521" s="177" t="n">
        <x:v>0.20830714445240356</x:v>
      </x:c>
      <x:c r="M521" s="177" t="n">
        <x:f>MLCF!D161</x:f>
        <x:v>0.20830714445240356</x:v>
      </x:c>
      <x:c r="N521" s="178" t="str">
        <x:f>IF(AND(ABS(F521-I521)&lt;0.000001,ABS(G521-J521)&lt;0.000001,IF(ISNUMBER(L521),IF(ISNUMBER(M521),ABS(L521-M521)&lt;0.00000001,FALSE),M521=L521)),"PASS","FAIL")</x:f>
        <x:v>PASS</x:v>
      </x:c>
      <x:c r="O521" s="99" t="str"/>
      <x:c r="P521" s="76" t="str">
        <x:v>Profitability</x:v>
      </x:c>
    </x:row>
    <x:row r="522" ht="26" customHeight="1">
      <x:c r="A522" s="168" t="str">
        <x:v>MLCF</x:v>
      </x:c>
      <x:c r="B522" s="168" t="n">
        <x:v>2021</x:v>
      </x:c>
      <x:c r="C522" s="168" t="n">
        <x:v>22</x:v>
      </x:c>
      <x:c r="D522" s="168" t="str">
        <x:v>Operating margin</x:v>
      </x:c>
      <x:c r="E522" s="168" t="str">
        <x:v>Mandatory</x:v>
      </x:c>
      <x:c r="F522" s="169" t="n">
        <x:f>MLCF!D91</x:f>
        <x:v>5051.398999999998</x:v>
      </x:c>
      <x:c r="G522" s="169" t="n">
        <x:f>MLCF!D84</x:f>
        <x:v>35538.301</x:v>
      </x:c>
      <x:c r="H522" s="169" t="n">
        <x:f>IF(G522&lt;=0,"n/m",F522/G522)</x:f>
        <x:v>0.14213957498981164</x:v>
      </x:c>
      <x:c r="I522" s="169" t="n">
        <x:v>5051.398999999998</x:v>
      </x:c>
      <x:c r="J522" s="169" t="n">
        <x:v>35538.301</x:v>
      </x:c>
      <x:c r="K522" s="169" t="n">
        <x:v>0.14213957498981164</x:v>
      </x:c>
      <x:c r="L522" s="175" t="n">
        <x:v>0.14213957498981164</x:v>
      </x:c>
      <x:c r="M522" s="175" t="n">
        <x:f>MLCF!D162</x:f>
        <x:v>0.14213957498981164</x:v>
      </x:c>
      <x:c r="N522" s="176" t="str">
        <x:f>IF(AND(ABS(F522-I522)&lt;0.000001,ABS(G522-J522)&lt;0.000001,IF(ISNUMBER(L522),IF(ISNUMBER(M522),ABS(L522-M522)&lt;0.00000001,FALSE),M522=L522)),"PASS","FAIL")</x:f>
        <x:v>PASS</x:v>
      </x:c>
      <x:c r="O522" s="171" t="str"/>
      <x:c r="P522" s="168" t="str">
        <x:v>Profitability</x:v>
      </x:c>
    </x:row>
    <x:row r="523" ht="26" customHeight="1">
      <x:c r="A523" s="76" t="str">
        <x:v>MLCF</x:v>
      </x:c>
      <x:c r="B523" s="76" t="n">
        <x:v>2021</x:v>
      </x:c>
      <x:c r="C523" s="76" t="n">
        <x:v>23</x:v>
      </x:c>
      <x:c r="D523" s="76" t="str">
        <x:v>Net profit margin</x:v>
      </x:c>
      <x:c r="E523" s="76" t="str">
        <x:v>Mandatory</x:v>
      </x:c>
      <x:c r="F523" s="170" t="n">
        <x:f>MLCF!D99</x:f>
        <x:v>6254.108999999997</x:v>
      </x:c>
      <x:c r="G523" s="170" t="n">
        <x:f>MLCF!D84</x:f>
        <x:v>35538.301</x:v>
      </x:c>
      <x:c r="H523" s="170" t="n">
        <x:f>IF(G523&lt;=0,"n/m",F523/G523)</x:f>
        <x:v>0.1759822170452098</x:v>
      </x:c>
      <x:c r="I523" s="170" t="n">
        <x:v>6254.108999999998</x:v>
      </x:c>
      <x:c r="J523" s="170" t="n">
        <x:v>35538.301</x:v>
      </x:c>
      <x:c r="K523" s="170" t="n">
        <x:v>0.17598221704520983</x:v>
      </x:c>
      <x:c r="L523" s="177" t="n">
        <x:v>0.17598221704520983</x:v>
      </x:c>
      <x:c r="M523" s="177" t="n">
        <x:f>MLCF!D163</x:f>
        <x:v>0.1759822170452098</x:v>
      </x:c>
      <x:c r="N523" s="178" t="str">
        <x:f>IF(AND(ABS(F523-I523)&lt;0.000001,ABS(G523-J523)&lt;0.000001,IF(ISNUMBER(L523),IF(ISNUMBER(M523),ABS(L523-M523)&lt;0.00000001,FALSE),M523=L523)),"PASS","FAIL")</x:f>
        <x:v>PASS</x:v>
      </x:c>
      <x:c r="O523" s="99" t="str"/>
      <x:c r="P523" s="76" t="str">
        <x:v>Profitability</x:v>
      </x:c>
    </x:row>
    <x:row r="524" ht="26" customHeight="1">
      <x:c r="A524" s="168" t="str">
        <x:v>MLCF</x:v>
      </x:c>
      <x:c r="B524" s="168" t="n">
        <x:v>2021</x:v>
      </x:c>
      <x:c r="C524" s="168" t="n">
        <x:v>24</x:v>
      </x:c>
      <x:c r="D524" s="168" t="str">
        <x:v>Return on assets</x:v>
      </x:c>
      <x:c r="E524" s="168" t="str">
        <x:v>Mandatory</x:v>
      </x:c>
      <x:c r="F524" s="169" t="n">
        <x:f>MLCF!D99</x:f>
        <x:v>6254.108999999997</x:v>
      </x:c>
      <x:c r="G524" s="169" t="n">
        <x:f>AVERAGE(MLCF!C37,MLCF!D37)</x:f>
        <x:v>66124.5245</x:v>
      </x:c>
      <x:c r="H524" s="169" t="n">
        <x:f>IF(G524&lt;=0,"n/m",F524/G524)</x:f>
        <x:v>0.09458077842208146</x:v>
      </x:c>
      <x:c r="I524" s="169" t="n">
        <x:v>6254.108999999998</x:v>
      </x:c>
      <x:c r="J524" s="169" t="n">
        <x:v>66124.5245</x:v>
      </x:c>
      <x:c r="K524" s="169" t="n">
        <x:v>0.09458077842208147</x:v>
      </x:c>
      <x:c r="L524" s="175" t="n">
        <x:v>0.09458077842208147</x:v>
      </x:c>
      <x:c r="M524" s="175" t="n">
        <x:f>MLCF!D164</x:f>
        <x:v>0.09458077842208146</x:v>
      </x:c>
      <x:c r="N524" s="176" t="str">
        <x:f>IF(AND(ABS(F524-I524)&lt;0.000001,ABS(G524-J524)&lt;0.000001,IF(ISNUMBER(L524),IF(ISNUMBER(M524),ABS(L524-M524)&lt;0.00000001,FALSE),M524=L524)),"PASS","FAIL")</x:f>
        <x:v>PASS</x:v>
      </x:c>
      <x:c r="O524" s="171" t="str"/>
      <x:c r="P524" s="168" t="str">
        <x:v>Profitability</x:v>
      </x:c>
    </x:row>
    <x:row r="525" ht="26" customHeight="1">
      <x:c r="A525" s="76" t="str">
        <x:v>MLCF</x:v>
      </x:c>
      <x:c r="B525" s="76" t="n">
        <x:v>2021</x:v>
      </x:c>
      <x:c r="C525" s="76" t="n">
        <x:v>25</x:v>
      </x:c>
      <x:c r="D525" s="76" t="str">
        <x:v>Return on equity</x:v>
      </x:c>
      <x:c r="E525" s="76" t="str">
        <x:v>Mandatory</x:v>
      </x:c>
      <x:c r="F525" s="170" t="n">
        <x:f>MLCF!D99</x:f>
        <x:v>6254.108999999997</x:v>
      </x:c>
      <x:c r="G525" s="170" t="n">
        <x:f>AVERAGE(MLCF!C41,MLCF!D41)</x:f>
        <x:v>34431.686</x:v>
      </x:c>
      <x:c r="H525" s="170" t="n">
        <x:f>IF(G525&lt;=0,"n/m",F525/G525)</x:f>
        <x:v>0.18163818640771748</x:v>
      </x:c>
      <x:c r="I525" s="170" t="n">
        <x:v>6254.108999999998</x:v>
      </x:c>
      <x:c r="J525" s="170" t="n">
        <x:v>34431.686</x:v>
      </x:c>
      <x:c r="K525" s="170" t="n">
        <x:v>0.1816381864077175</x:v>
      </x:c>
      <x:c r="L525" s="177" t="n">
        <x:v>0.1816381864077175</x:v>
      </x:c>
      <x:c r="M525" s="177" t="n">
        <x:f>MLCF!D165</x:f>
        <x:v>0.18163818640771748</x:v>
      </x:c>
      <x:c r="N525" s="178" t="str">
        <x:f>IF(AND(ABS(F525-I525)&lt;0.000001,ABS(G525-J525)&lt;0.000001,IF(ISNUMBER(L525),IF(ISNUMBER(M525),ABS(L525-M525)&lt;0.00000001,FALSE),M525=L525)),"PASS","FAIL")</x:f>
        <x:v>PASS</x:v>
      </x:c>
      <x:c r="O525" s="99" t="str"/>
      <x:c r="P525" s="76" t="str">
        <x:v>Profitability</x:v>
      </x:c>
    </x:row>
    <x:row r="526" ht="26" customHeight="1">
      <x:c r="A526" s="168" t="str">
        <x:v>MLCF</x:v>
      </x:c>
      <x:c r="B526" s="168" t="n">
        <x:v>2021</x:v>
      </x:c>
      <x:c r="C526" s="168" t="n">
        <x:v>26</x:v>
      </x:c>
      <x:c r="D526" s="168" t="str">
        <x:v>Return on invested capital</x:v>
      </x:c>
      <x:c r="E526" s="168" t="str">
        <x:v>Additional</x:v>
      </x:c>
      <x:c r="F526" s="169" t="n">
        <x:f>MLCF!D113</x:f>
        <x:v>7535.825387271399</x:v>
      </x:c>
      <x:c r="G526" s="169" t="n">
        <x:f>AVERAGE(MLCF!C70,MLCF!D70)</x:f>
        <x:v>53519.630999999994</x:v>
      </x:c>
      <x:c r="H526" s="169" t="n">
        <x:f>IF(G526&lt;=0,"n/m",F526/G526)</x:f>
        <x:v>0.140804883114224</x:v>
      </x:c>
      <x:c r="I526" s="169" t="n">
        <x:v>7535.825387271399</x:v>
      </x:c>
      <x:c r="J526" s="169" t="n">
        <x:v>53519.630999999994</x:v>
      </x:c>
      <x:c r="K526" s="169" t="n">
        <x:v>0.140804883114224</x:v>
      </x:c>
      <x:c r="L526" s="175" t="n">
        <x:v>0.140804883114224</x:v>
      </x:c>
      <x:c r="M526" s="175" t="n">
        <x:f>MLCF!D166</x:f>
        <x:v>0.140804883114224</x:v>
      </x:c>
      <x:c r="N526" s="176" t="str">
        <x:f>IF(AND(ABS(F526-I526)&lt;0.000001,ABS(G526-J526)&lt;0.000001,IF(ISNUMBER(L526),IF(ISNUMBER(M526),ABS(L526-M526)&lt;0.00000001,FALSE),M526=L526)),"PASS","FAIL")</x:f>
        <x:v>PASS</x:v>
      </x:c>
      <x:c r="O526" s="171" t="str"/>
      <x:c r="P526" s="168" t="str">
        <x:v>Profitability</x:v>
      </x:c>
    </x:row>
    <x:row r="527" ht="26" customHeight="1">
      <x:c r="A527" s="76" t="str">
        <x:v>MLCF</x:v>
      </x:c>
      <x:c r="B527" s="76" t="n">
        <x:v>2021</x:v>
      </x:c>
      <x:c r="C527" s="76" t="n">
        <x:v>27</x:v>
      </x:c>
      <x:c r="D527" s="76" t="str">
        <x:v>Basic earning power</x:v>
      </x:c>
      <x:c r="E527" s="76" t="str">
        <x:v>Additional</x:v>
      </x:c>
      <x:c r="F527" s="170" t="n">
        <x:f>MLCF!D108</x:f>
        <x:v>8783.530999999997</x:v>
      </x:c>
      <x:c r="G527" s="170" t="n">
        <x:f>AVERAGE(MLCF!C37,MLCF!D37)</x:f>
        <x:v>66124.5245</x:v>
      </x:c>
      <x:c r="H527" s="170" t="n">
        <x:f>IF(G527&lt;=0,"n/m",F527/G527)</x:f>
        <x:v>0.13283318203671918</x:v>
      </x:c>
      <x:c r="I527" s="170" t="n">
        <x:v>8783.530999999997</x:v>
      </x:c>
      <x:c r="J527" s="170" t="n">
        <x:v>66124.5245</x:v>
      </x:c>
      <x:c r="K527" s="170" t="n">
        <x:v>0.13283318203671918</x:v>
      </x:c>
      <x:c r="L527" s="177" t="n">
        <x:v>0.13283318203671918</x:v>
      </x:c>
      <x:c r="M527" s="177" t="n">
        <x:f>MLCF!D167</x:f>
        <x:v>0.13283318203671918</x:v>
      </x:c>
      <x:c r="N527" s="178" t="str">
        <x:f>IF(AND(ABS(F527-I527)&lt;0.000001,ABS(G527-J527)&lt;0.000001,IF(ISNUMBER(L527),IF(ISNUMBER(M527),ABS(L527-M527)&lt;0.00000001,FALSE),M527=L527)),"PASS","FAIL")</x:f>
        <x:v>PASS</x:v>
      </x:c>
      <x:c r="O527" s="99" t="str"/>
      <x:c r="P527" s="76" t="str">
        <x:v>Profitability</x:v>
      </x:c>
    </x:row>
    <x:row r="528" ht="26" customHeight="1">
      <x:c r="A528" s="168" t="str">
        <x:v>MLCF</x:v>
      </x:c>
      <x:c r="B528" s="168" t="n">
        <x:v>2021</x:v>
      </x:c>
      <x:c r="C528" s="168" t="n">
        <x:v>28</x:v>
      </x:c>
      <x:c r="D528" s="168" t="str">
        <x:v>Book value per share (Rs)</x:v>
      </x:c>
      <x:c r="E528" s="168" t="str">
        <x:v>Additional</x:v>
      </x:c>
      <x:c r="F528" s="169" t="n">
        <x:f>MLCF!D41</x:f>
        <x:v>37542.541</x:v>
      </x:c>
      <x:c r="G528" s="169" t="n">
        <x:f>MLCF!D128</x:f>
        <x:v>1098.3462</x:v>
      </x:c>
      <x:c r="H528" s="169" t="n">
        <x:f>IF(G528&lt;=0,"n/m",F528/G528)</x:f>
        <x:v>34.18097226539319</x:v>
      </x:c>
      <x:c r="I528" s="169" t="n">
        <x:v>37542.541</x:v>
      </x:c>
      <x:c r="J528" s="169" t="n">
        <x:v>1098.3462</x:v>
      </x:c>
      <x:c r="K528" s="169" t="n">
        <x:v>34.18097226539319</x:v>
      </x:c>
      <x:c r="L528" s="175" t="n">
        <x:v>34.18097226539319</x:v>
      </x:c>
      <x:c r="M528" s="175" t="n">
        <x:f>MLCF!D169</x:f>
        <x:v>34.18097226539319</x:v>
      </x:c>
      <x:c r="N528" s="176" t="str">
        <x:f>IF(AND(ABS(F528-I528)&lt;0.000001,ABS(G528-J528)&lt;0.000001,IF(ISNUMBER(L528),IF(ISNUMBER(M528),ABS(L528-M528)&lt;0.00000001,FALSE),M528=L528)),"PASS","FAIL")</x:f>
        <x:v>PASS</x:v>
      </x:c>
      <x:c r="O528" s="171" t="str"/>
      <x:c r="P528" s="168" t="str">
        <x:v>Market Value</x:v>
      </x:c>
    </x:row>
    <x:row r="529" ht="26" customHeight="1">
      <x:c r="A529" s="76" t="str">
        <x:v>MLCF</x:v>
      </x:c>
      <x:c r="B529" s="76" t="n">
        <x:v>2021</x:v>
      </x:c>
      <x:c r="C529" s="76" t="n">
        <x:v>29</x:v>
      </x:c>
      <x:c r="D529" s="76" t="str">
        <x:v>Market-to-book ratio</x:v>
      </x:c>
      <x:c r="E529" s="76" t="str">
        <x:v>Mandatory</x:v>
      </x:c>
      <x:c r="F529" s="170" t="n">
        <x:f>MLCF!D130</x:f>
        <x:v>46.98</x:v>
      </x:c>
      <x:c r="G529" s="170" t="n">
        <x:f>MLCF!D41/MLCF!D128</x:f>
        <x:v>34.18097226539319</x:v>
      </x:c>
      <x:c r="H529" s="170" t="n">
        <x:f>IF(G529&lt;=0,"n/m",F529/G529)</x:f>
        <x:v>1.3744489078669448</x:v>
      </x:c>
      <x:c r="I529" s="170" t="n">
        <x:v>46.98</x:v>
      </x:c>
      <x:c r="J529" s="170" t="n">
        <x:v>34.18097226539319</x:v>
      </x:c>
      <x:c r="K529" s="170" t="n">
        <x:v>1.3744489078669448</x:v>
      </x:c>
      <x:c r="L529" s="177" t="n">
        <x:v>1.3744489078669448</x:v>
      </x:c>
      <x:c r="M529" s="177" t="n">
        <x:f>MLCF!D170</x:f>
        <x:v>1.3744489078669448</x:v>
      </x:c>
      <x:c r="N529" s="178" t="str">
        <x:f>IF(AND(ABS(F529-I529)&lt;0.000001,ABS(G529-J529)&lt;0.000001,IF(ISNUMBER(L529),IF(ISNUMBER(M529),ABS(L529-M529)&lt;0.00000001,FALSE),M529=L529)),"PASS","FAIL")</x:f>
        <x:v>PASS</x:v>
      </x:c>
      <x:c r="O529" s="99" t="str"/>
      <x:c r="P529" s="76" t="str">
        <x:v>Market Value</x:v>
      </x:c>
    </x:row>
    <x:row r="530" ht="26" customHeight="1">
      <x:c r="A530" s="168" t="str">
        <x:v>MLCF</x:v>
      </x:c>
      <x:c r="B530" s="168" t="n">
        <x:v>2021</x:v>
      </x:c>
      <x:c r="C530" s="168" t="n">
        <x:v>30</x:v>
      </x:c>
      <x:c r="D530" s="168" t="str">
        <x:v>Earnings per share (Rs)</x:v>
      </x:c>
      <x:c r="E530" s="168" t="str">
        <x:v>Mandatory</x:v>
      </x:c>
      <x:c r="F530" s="169" t="n">
        <x:f>MLCF!D99</x:f>
        <x:v>6254.108999999997</x:v>
      </x:c>
      <x:c r="G530" s="169" t="n">
        <x:f>MLCF!D129</x:f>
        <x:v>1098.346</x:v>
      </x:c>
      <x:c r="H530" s="169" t="n">
        <x:f>IF(G530&lt;=0,"n/m",F530/G530)</x:f>
        <x:v>5.694115515511503</x:v>
      </x:c>
      <x:c r="I530" s="169" t="n">
        <x:v>6254.108999999998</x:v>
      </x:c>
      <x:c r="J530" s="169" t="n">
        <x:v>1098.346</x:v>
      </x:c>
      <x:c r="K530" s="169" t="n">
        <x:v>5.694115515511504</x:v>
      </x:c>
      <x:c r="L530" s="175" t="n">
        <x:v>5.694115515511504</x:v>
      </x:c>
      <x:c r="M530" s="175" t="n">
        <x:f>MLCF!D171</x:f>
        <x:v>5.694115515511503</x:v>
      </x:c>
      <x:c r="N530" s="176" t="str">
        <x:f>IF(AND(ABS(F530-I530)&lt;0.000001,ABS(G530-J530)&lt;0.000001,IF(ISNUMBER(L530),IF(ISNUMBER(M530),ABS(L530-M530)&lt;0.00000001,FALSE),M530=L530)),"PASS","FAIL")</x:f>
        <x:v>PASS</x:v>
      </x:c>
      <x:c r="O530" s="171" t="str"/>
      <x:c r="P530" s="168" t="str">
        <x:v>Market Value</x:v>
      </x:c>
    </x:row>
    <x:row r="531" ht="26" customHeight="1">
      <x:c r="A531" s="76" t="str">
        <x:v>MLCF</x:v>
      </x:c>
      <x:c r="B531" s="76" t="n">
        <x:v>2021</x:v>
      </x:c>
      <x:c r="C531" s="76" t="n">
        <x:v>31</x:v>
      </x:c>
      <x:c r="D531" s="76" t="str">
        <x:v>Price-to-earnings ratio</x:v>
      </x:c>
      <x:c r="E531" s="76" t="str">
        <x:v>Mandatory</x:v>
      </x:c>
      <x:c r="F531" s="170" t="n">
        <x:f>MLCF!D130</x:f>
        <x:v>46.98</x:v>
      </x:c>
      <x:c r="G531" s="170" t="n">
        <x:f>MLCF!D99/MLCF!D129</x:f>
        <x:v>5.694115515511503</x:v>
      </x:c>
      <x:c r="H531" s="170" t="n">
        <x:f>IF(G531&lt;=0,"n/m",F531/G531)</x:f>
        <x:v>8.250622923265333</x:v>
      </x:c>
      <x:c r="I531" s="170" t="n">
        <x:v>46.98</x:v>
      </x:c>
      <x:c r="J531" s="170" t="n">
        <x:v>5.694115515511504</x:v>
      </x:c>
      <x:c r="K531" s="170" t="n">
        <x:v>8.25062292326533</x:v>
      </x:c>
      <x:c r="L531" s="177" t="n">
        <x:v>8.25062292326533</x:v>
      </x:c>
      <x:c r="M531" s="177" t="n">
        <x:f>MLCF!D172</x:f>
        <x:v>8.250622923265333</x:v>
      </x:c>
      <x:c r="N531" s="178" t="str">
        <x:f>IF(AND(ABS(F531-I531)&lt;0.000001,ABS(G531-J531)&lt;0.000001,IF(ISNUMBER(L531),IF(ISNUMBER(M531),ABS(L531-M531)&lt;0.00000001,FALSE),M531=L531)),"PASS","FAIL")</x:f>
        <x:v>PASS</x:v>
      </x:c>
      <x:c r="O531" s="99" t="str"/>
      <x:c r="P531" s="76" t="str">
        <x:v>Market Value</x:v>
      </x:c>
    </x:row>
    <x:row r="532" ht="26" customHeight="1">
      <x:c r="A532" s="168" t="str">
        <x:v>MLCF</x:v>
      </x:c>
      <x:c r="B532" s="168" t="n">
        <x:v>2021</x:v>
      </x:c>
      <x:c r="C532" s="168" t="n">
        <x:v>32</x:v>
      </x:c>
      <x:c r="D532" s="168" t="str">
        <x:v>Dividend yield</x:v>
      </x:c>
      <x:c r="E532" s="168" t="str">
        <x:v>Mandatory</x:v>
      </x:c>
      <x:c r="F532" s="169" t="n">
        <x:f>MLCF!D131</x:f>
        <x:v>0</x:v>
      </x:c>
      <x:c r="G532" s="169" t="n">
        <x:f>MLCF!D130</x:f>
        <x:v>46.98</x:v>
      </x:c>
      <x:c r="H532" s="169" t="n">
        <x:f>IF(G532&lt;=0,"n/m",F532/G532)</x:f>
        <x:v>0</x:v>
      </x:c>
      <x:c r="I532" s="169" t="n">
        <x:v>0</x:v>
      </x:c>
      <x:c r="J532" s="169" t="n">
        <x:v>46.98</x:v>
      </x:c>
      <x:c r="K532" s="169" t="n">
        <x:v>0</x:v>
      </x:c>
      <x:c r="L532" s="175" t="n">
        <x:v>0</x:v>
      </x:c>
      <x:c r="M532" s="175" t="n">
        <x:f>MLCF!D173</x:f>
        <x:v>0</x:v>
      </x:c>
      <x:c r="N532" s="176" t="str">
        <x:f>IF(AND(ABS(F532-I532)&lt;0.000001,ABS(G532-J532)&lt;0.000001,IF(ISNUMBER(L532),IF(ISNUMBER(M532),ABS(L532-M532)&lt;0.00000001,FALSE),M532=L532)),"PASS","FAIL")</x:f>
        <x:v>PASS</x:v>
      </x:c>
      <x:c r="O532" s="171" t="str"/>
      <x:c r="P532" s="168" t="str">
        <x:v>Market Value</x:v>
      </x:c>
    </x:row>
    <x:row r="533" ht="26" customHeight="1">
      <x:c r="A533" s="76" t="str">
        <x:v>MLCF</x:v>
      </x:c>
      <x:c r="B533" s="76" t="n">
        <x:v>2021</x:v>
      </x:c>
      <x:c r="C533" s="76" t="n">
        <x:v>33</x:v>
      </x:c>
      <x:c r="D533" s="76" t="str">
        <x:v>Dividend payout ratio</x:v>
      </x:c>
      <x:c r="E533" s="76" t="str">
        <x:v>Additional</x:v>
      </x:c>
      <x:c r="F533" s="170" t="n">
        <x:f>MLCF!D131</x:f>
        <x:v>0</x:v>
      </x:c>
      <x:c r="G533" s="170" t="n">
        <x:f>MLCF!D99/MLCF!D129</x:f>
        <x:v>5.694115515511503</x:v>
      </x:c>
      <x:c r="H533" s="170" t="n">
        <x:f>IF(G533&lt;=0,"n/m",F533/G533)</x:f>
        <x:v>0</x:v>
      </x:c>
      <x:c r="I533" s="170" t="n">
        <x:v>0</x:v>
      </x:c>
      <x:c r="J533" s="170" t="n">
        <x:v>5.694115515511504</x:v>
      </x:c>
      <x:c r="K533" s="170" t="n">
        <x:v>0</x:v>
      </x:c>
      <x:c r="L533" s="177" t="n">
        <x:v>0</x:v>
      </x:c>
      <x:c r="M533" s="177" t="n">
        <x:f>MLCF!D174</x:f>
        <x:v>0</x:v>
      </x:c>
      <x:c r="N533" s="178" t="str">
        <x:f>IF(AND(ABS(F533-I533)&lt;0.000001,ABS(G533-J533)&lt;0.000001,IF(ISNUMBER(L533),IF(ISNUMBER(M533),ABS(L533-M533)&lt;0.00000001,FALSE),M533=L533)),"PASS","FAIL")</x:f>
        <x:v>PASS</x:v>
      </x:c>
      <x:c r="O533" s="99" t="str"/>
      <x:c r="P533" s="76" t="str">
        <x:v>Market Value</x:v>
      </x:c>
    </x:row>
    <x:row r="534" ht="26" customHeight="1">
      <x:c r="A534" s="168" t="str">
        <x:v>MLCF</x:v>
      </x:c>
      <x:c r="B534" s="168" t="n">
        <x:v>2022</x:v>
      </x:c>
      <x:c r="C534" s="168" t="n">
        <x:v>1</x:v>
      </x:c>
      <x:c r="D534" s="168" t="str">
        <x:v>Current ratio</x:v>
      </x:c>
      <x:c r="E534" s="168" t="str">
        <x:v>Mandatory</x:v>
      </x:c>
      <x:c r="F534" s="169" t="n">
        <x:f>MLCF!E36</x:f>
        <x:v>20321.989</x:v>
      </x:c>
      <x:c r="G534" s="169" t="n">
        <x:f>MLCF!E61</x:f>
        <x:v>16193.390999999998</x:v>
      </x:c>
      <x:c r="H534" s="169" t="n">
        <x:f>IF(G534&lt;=0,"n/m",F534/G534)</x:f>
        <x:v>1.2549557408945418</x:v>
      </x:c>
      <x:c r="I534" s="169" t="n">
        <x:v>20321.989</x:v>
      </x:c>
      <x:c r="J534" s="169" t="n">
        <x:v>16193.391</x:v>
      </x:c>
      <x:c r="K534" s="169" t="n">
        <x:v>1.2549557408945415</x:v>
      </x:c>
      <x:c r="L534" s="175" t="n">
        <x:v>1.2549557408945415</x:v>
      </x:c>
      <x:c r="M534" s="175" t="n">
        <x:f>MLCF!E138</x:f>
        <x:v>1.2549557408945418</x:v>
      </x:c>
      <x:c r="N534" s="176" t="str">
        <x:f>IF(AND(ABS(F534-I534)&lt;0.000001,ABS(G534-J534)&lt;0.000001,IF(ISNUMBER(L534),IF(ISNUMBER(M534),ABS(L534-M534)&lt;0.00000001,FALSE),M534=L534)),"PASS","FAIL")</x:f>
        <x:v>PASS</x:v>
      </x:c>
      <x:c r="O534" s="171" t="str"/>
      <x:c r="P534" s="168" t="str">
        <x:v>Liquidity</x:v>
      </x:c>
    </x:row>
    <x:row r="535" ht="26" customHeight="1">
      <x:c r="A535" s="76" t="str">
        <x:v>MLCF</x:v>
      </x:c>
      <x:c r="B535" s="76" t="n">
        <x:v>2022</x:v>
      </x:c>
      <x:c r="C535" s="76" t="n">
        <x:v>2</x:v>
      </x:c>
      <x:c r="D535" s="76" t="str">
        <x:v>Quick ratio</x:v>
      </x:c>
      <x:c r="E535" s="76" t="str">
        <x:v>Mandatory</x:v>
      </x:c>
      <x:c r="F535" s="170" t="n">
        <x:f>MLCF!E36-MLCF!E65</x:f>
        <x:v>4772.763000000003</x:v>
      </x:c>
      <x:c r="G535" s="170" t="n">
        <x:f>MLCF!E61</x:f>
        <x:v>16193.390999999998</x:v>
      </x:c>
      <x:c r="H535" s="170" t="n">
        <x:f>IF(G535&lt;=0,"n/m",F535/G535)</x:f>
        <x:v>0.29473524106223353</x:v>
      </x:c>
      <x:c r="I535" s="170" t="n">
        <x:v>4772.763000000003</x:v>
      </x:c>
      <x:c r="J535" s="170" t="n">
        <x:v>16193.391</x:v>
      </x:c>
      <x:c r="K535" s="170" t="n">
        <x:v>0.29473524106223353</x:v>
      </x:c>
      <x:c r="L535" s="177" t="n">
        <x:v>0.29473524106223353</x:v>
      </x:c>
      <x:c r="M535" s="177" t="n">
        <x:f>MLCF!E139</x:f>
        <x:v>0.29473524106223353</x:v>
      </x:c>
      <x:c r="N535" s="178" t="str">
        <x:f>IF(AND(ABS(F535-I535)&lt;0.000001,ABS(G535-J535)&lt;0.000001,IF(ISNUMBER(L535),IF(ISNUMBER(M535),ABS(L535-M535)&lt;0.00000001,FALSE),M535=L535)),"PASS","FAIL")</x:f>
        <x:v>PASS</x:v>
      </x:c>
      <x:c r="O535" s="99" t="str"/>
      <x:c r="P535" s="76" t="str">
        <x:v>Liquidity</x:v>
      </x:c>
    </x:row>
    <x:row r="536" ht="26" customHeight="1">
      <x:c r="A536" s="168" t="str">
        <x:v>MLCF</x:v>
      </x:c>
      <x:c r="B536" s="168" t="n">
        <x:v>2022</x:v>
      </x:c>
      <x:c r="C536" s="168" t="n">
        <x:v>3</x:v>
      </x:c>
      <x:c r="D536" s="168" t="str">
        <x:v>Cash ratio</x:v>
      </x:c>
      <x:c r="E536" s="168" t="str">
        <x:v>Mandatory</x:v>
      </x:c>
      <x:c r="F536" s="169" t="n">
        <x:f>MLCF!E34</x:f>
        <x:v>793.576</x:v>
      </x:c>
      <x:c r="G536" s="169" t="n">
        <x:f>MLCF!E61</x:f>
        <x:v>16193.390999999998</x:v>
      </x:c>
      <x:c r="H536" s="169" t="n">
        <x:f>IF(G536&lt;=0,"n/m",F536/G536)</x:f>
        <x:v>0.04900616554000333</x:v>
      </x:c>
      <x:c r="I536" s="169" t="n">
        <x:v>793.576</x:v>
      </x:c>
      <x:c r="J536" s="169" t="n">
        <x:v>16193.391</x:v>
      </x:c>
      <x:c r="K536" s="169" t="n">
        <x:v>0.04900616554000333</x:v>
      </x:c>
      <x:c r="L536" s="175" t="n">
        <x:v>0.04900616554000333</x:v>
      </x:c>
      <x:c r="M536" s="175" t="n">
        <x:f>MLCF!E140</x:f>
        <x:v>0.04900616554000333</x:v>
      </x:c>
      <x:c r="N536" s="176" t="str">
        <x:f>IF(AND(ABS(F536-I536)&lt;0.000001,ABS(G536-J536)&lt;0.000001,IF(ISNUMBER(L536),IF(ISNUMBER(M536),ABS(L536-M536)&lt;0.00000001,FALSE),M536=L536)),"PASS","FAIL")</x:f>
        <x:v>PASS</x:v>
      </x:c>
      <x:c r="O536" s="171" t="str"/>
      <x:c r="P536" s="168" t="str">
        <x:v>Liquidity</x:v>
      </x:c>
    </x:row>
    <x:row r="537" ht="26" customHeight="1">
      <x:c r="A537" s="76" t="str">
        <x:v>MLCF</x:v>
      </x:c>
      <x:c r="B537" s="76" t="n">
        <x:v>2022</x:v>
      </x:c>
      <x:c r="C537" s="76" t="n">
        <x:v>4</x:v>
      </x:c>
      <x:c r="D537" s="76" t="str">
        <x:v>Net working capital (PKR m)</x:v>
      </x:c>
      <x:c r="E537" s="76" t="str">
        <x:v>Additional</x:v>
      </x:c>
      <x:c r="F537" s="170" t="n">
        <x:f>MLCF!E36-MLCF!E61</x:f>
        <x:v>4128.598000000004</x:v>
      </x:c>
      <x:c r="G537" s="170" t="n">
        <x:f>1</x:f>
        <x:v>1</x:v>
      </x:c>
      <x:c r="H537" s="170" t="n">
        <x:f>IF(G537&lt;=0,"n/m",F537/G537)</x:f>
        <x:v>4128.598000000004</x:v>
      </x:c>
      <x:c r="I537" s="170" t="n">
        <x:v>4128.598000000002</x:v>
      </x:c>
      <x:c r="J537" s="170" t="n">
        <x:v>1</x:v>
      </x:c>
      <x:c r="K537" s="170" t="n">
        <x:v>4128.598000000002</x:v>
      </x:c>
      <x:c r="L537" s="177" t="n">
        <x:v>4128.598000000002</x:v>
      </x:c>
      <x:c r="M537" s="177" t="n">
        <x:f>MLCF!E141</x:f>
        <x:v>4128.598000000004</x:v>
      </x:c>
      <x:c r="N537" s="178" t="str">
        <x:f>IF(AND(ABS(F537-I537)&lt;0.000001,ABS(G537-J537)&lt;0.000001,IF(ISNUMBER(L537),IF(ISNUMBER(M537),ABS(L537-M537)&lt;0.00000001,FALSE),M537=L537)),"PASS","FAIL")</x:f>
        <x:v>PASS</x:v>
      </x:c>
      <x:c r="O537" s="99" t="str"/>
      <x:c r="P537" s="76" t="str">
        <x:v>Liquidity</x:v>
      </x:c>
    </x:row>
    <x:row r="538" ht="26" customHeight="1">
      <x:c r="A538" s="168" t="str">
        <x:v>MLCF</x:v>
      </x:c>
      <x:c r="B538" s="168" t="n">
        <x:v>2022</x:v>
      </x:c>
      <x:c r="C538" s="168" t="n">
        <x:v>5</x:v>
      </x:c>
      <x:c r="D538" s="168" t="str">
        <x:v>Net operating working capital (PKR m)</x:v>
      </x:c>
      <x:c r="E538" s="168" t="str">
        <x:v>Additional</x:v>
      </x:c>
      <x:c r="F538" s="169" t="n">
        <x:f>MLCF!E72-MLCF!E73</x:f>
        <x:v>10212.653</x:v>
      </x:c>
      <x:c r="G538" s="169" t="n">
        <x:f>1</x:f>
        <x:v>1</x:v>
      </x:c>
      <x:c r="H538" s="169" t="n">
        <x:f>IF(G538&lt;=0,"n/m",F538/G538)</x:f>
        <x:v>10212.653</x:v>
      </x:c>
      <x:c r="I538" s="169" t="n">
        <x:v>10212.652999999998</x:v>
      </x:c>
      <x:c r="J538" s="169" t="n">
        <x:v>1</x:v>
      </x:c>
      <x:c r="K538" s="169" t="n">
        <x:v>10212.652999999998</x:v>
      </x:c>
      <x:c r="L538" s="175" t="n">
        <x:v>10212.652999999998</x:v>
      </x:c>
      <x:c r="M538" s="175" t="n">
        <x:f>MLCF!E142</x:f>
        <x:v>10212.653</x:v>
      </x:c>
      <x:c r="N538" s="176" t="str">
        <x:f>IF(AND(ABS(F538-I538)&lt;0.000001,ABS(G538-J538)&lt;0.000001,IF(ISNUMBER(L538),IF(ISNUMBER(M538),ABS(L538-M538)&lt;0.00000001,FALSE),M538=L538)),"PASS","FAIL")</x:f>
        <x:v>PASS</x:v>
      </x:c>
      <x:c r="O538" s="171" t="str"/>
      <x:c r="P538" s="168" t="str">
        <x:v>Liquidity</x:v>
      </x:c>
    </x:row>
    <x:row r="539" ht="26" customHeight="1">
      <x:c r="A539" s="76" t="str">
        <x:v>MLCF</x:v>
      </x:c>
      <x:c r="B539" s="76" t="n">
        <x:v>2022</x:v>
      </x:c>
      <x:c r="C539" s="76" t="n">
        <x:v>6</x:v>
      </x:c>
      <x:c r="D539" s="76" t="str">
        <x:v>Inventory turnover</x:v>
      </x:c>
      <x:c r="E539" s="76" t="str">
        <x:v>Mandatory</x:v>
      </x:c>
      <x:c r="F539" s="170" t="n">
        <x:f>-MLCF!E85</x:f>
        <x:v>36244.156</x:v>
      </x:c>
      <x:c r="G539" s="170" t="n">
        <x:f>AVERAGE(MLCF!D65,MLCF!E65)</x:f>
        <x:v>13719.063</x:v>
      </x:c>
      <x:c r="H539" s="170" t="n">
        <x:f>IF(G539&lt;=0,"n/m",F539/G539)</x:f>
        <x:v>2.6418827583195736</x:v>
      </x:c>
      <x:c r="I539" s="170" t="n">
        <x:v>36244.156</x:v>
      </x:c>
      <x:c r="J539" s="170" t="n">
        <x:v>13719.063</x:v>
      </x:c>
      <x:c r="K539" s="170" t="n">
        <x:v>2.6418827583195736</x:v>
      </x:c>
      <x:c r="L539" s="177" t="n">
        <x:v>2.6418827583195736</x:v>
      </x:c>
      <x:c r="M539" s="177" t="n">
        <x:f>MLCF!E144</x:f>
        <x:v>2.6418827583195736</x:v>
      </x:c>
      <x:c r="N539" s="178" t="str">
        <x:f>IF(AND(ABS(F539-I539)&lt;0.000001,ABS(G539-J539)&lt;0.000001,IF(ISNUMBER(L539),IF(ISNUMBER(M539),ABS(L539-M539)&lt;0.00000001,FALSE),M539=L539)),"PASS","FAIL")</x:f>
        <x:v>PASS</x:v>
      </x:c>
      <x:c r="O539" s="99" t="str"/>
      <x:c r="P539" s="76" t="str">
        <x:v>Asset Management</x:v>
      </x:c>
    </x:row>
    <x:row r="540" ht="26" customHeight="1">
      <x:c r="A540" s="168" t="str">
        <x:v>MLCF</x:v>
      </x:c>
      <x:c r="B540" s="168" t="n">
        <x:v>2022</x:v>
      </x:c>
      <x:c r="C540" s="168" t="n">
        <x:v>7</x:v>
      </x:c>
      <x:c r="D540" s="168" t="str">
        <x:v>Receivables turnover</x:v>
      </x:c>
      <x:c r="E540" s="168" t="str">
        <x:v>Additional</x:v>
      </x:c>
      <x:c r="F540" s="169" t="n">
        <x:f>MLCF!E84</x:f>
        <x:v>48519.622</x:v>
      </x:c>
      <x:c r="G540" s="169" t="n">
        <x:f>AVERAGE(MLCF!D32,MLCF!E32)</x:f>
        <x:v>1872.958</x:v>
      </x:c>
      <x:c r="H540" s="169" t="n">
        <x:f>IF(G540&lt;=0,"n/m",F540/G540)</x:f>
        <x:v>25.905344380386534</x:v>
      </x:c>
      <x:c r="I540" s="169" t="n">
        <x:v>48519.622</x:v>
      </x:c>
      <x:c r="J540" s="169" t="n">
        <x:v>1872.958</x:v>
      </x:c>
      <x:c r="K540" s="169" t="n">
        <x:v>25.905344380386534</x:v>
      </x:c>
      <x:c r="L540" s="175" t="n">
        <x:v>25.905344380386534</x:v>
      </x:c>
      <x:c r="M540" s="175" t="n">
        <x:f>MLCF!E145</x:f>
        <x:v>25.905344380386534</x:v>
      </x:c>
      <x:c r="N540" s="176" t="str">
        <x:f>IF(AND(ABS(F540-I540)&lt;0.000001,ABS(G540-J540)&lt;0.000001,IF(ISNUMBER(L540),IF(ISNUMBER(M540),ABS(L540-M540)&lt;0.00000001,FALSE),M540=L540)),"PASS","FAIL")</x:f>
        <x:v>PASS</x:v>
      </x:c>
      <x:c r="O540" s="171" t="str"/>
      <x:c r="P540" s="168" t="str">
        <x:v>Asset Management</x:v>
      </x:c>
    </x:row>
    <x:row r="541" ht="26" customHeight="1">
      <x:c r="A541" s="76" t="str">
        <x:v>MLCF</x:v>
      </x:c>
      <x:c r="B541" s="76" t="n">
        <x:v>2022</x:v>
      </x:c>
      <x:c r="C541" s="76" t="n">
        <x:v>8</x:v>
      </x:c>
      <x:c r="D541" s="76" t="str">
        <x:v>Payables turnover</x:v>
      </x:c>
      <x:c r="E541" s="76" t="str">
        <x:v>Additional</x:v>
      </x:c>
      <x:c r="F541" s="170" t="n">
        <x:f>-MLCF!E85</x:f>
        <x:v>36244.156</x:v>
      </x:c>
      <x:c r="G541" s="170" t="n">
        <x:f>AVERAGE(MLCF!D51,MLCF!E51)</x:f>
        <x:v>3842.4695</x:v>
      </x:c>
      <x:c r="H541" s="170" t="n">
        <x:f>IF(G541&lt;=0,"n/m",F541/G541)</x:f>
        <x:v>9.432516250291641</x:v>
      </x:c>
      <x:c r="I541" s="170" t="n">
        <x:v>36244.156</x:v>
      </x:c>
      <x:c r="J541" s="170" t="n">
        <x:v>3842.4695</x:v>
      </x:c>
      <x:c r="K541" s="170" t="n">
        <x:v>9.432516250291641</x:v>
      </x:c>
      <x:c r="L541" s="177" t="n">
        <x:v>9.432516250291641</x:v>
      </x:c>
      <x:c r="M541" s="177" t="n">
        <x:f>MLCF!E146</x:f>
        <x:v>9.432516250291641</x:v>
      </x:c>
      <x:c r="N541" s="178" t="str">
        <x:f>IF(AND(ABS(F541-I541)&lt;0.000001,ABS(G541-J541)&lt;0.000001,IF(ISNUMBER(L541),IF(ISNUMBER(M541),ABS(L541-M541)&lt;0.00000001,FALSE),M541=L541)),"PASS","FAIL")</x:f>
        <x:v>PASS</x:v>
      </x:c>
      <x:c r="O541" s="99" t="str"/>
      <x:c r="P541" s="76" t="str">
        <x:v>Asset Management</x:v>
      </x:c>
    </x:row>
    <x:row r="542" ht="26" customHeight="1">
      <x:c r="A542" s="168" t="str">
        <x:v>MLCF</x:v>
      </x:c>
      <x:c r="B542" s="168" t="n">
        <x:v>2022</x:v>
      </x:c>
      <x:c r="C542" s="168" t="n">
        <x:v>9</x:v>
      </x:c>
      <x:c r="D542" s="168" t="str">
        <x:v>Days inventory outstanding</x:v>
      </x:c>
      <x:c r="E542" s="168" t="str">
        <x:v>Additional</x:v>
      </x:c>
      <x:c r="F542" s="169" t="n">
        <x:f>365*AVERAGE(MLCF!D65,MLCF!E65)</x:f>
        <x:v>5007457.995</x:v>
      </x:c>
      <x:c r="G542" s="169" t="n">
        <x:f>-MLCF!E85</x:f>
        <x:v>36244.156</x:v>
      </x:c>
      <x:c r="H542" s="169" t="n">
        <x:f>IF(G542&lt;=0,"n/m",F542/G542)</x:f>
        <x:v>138.1590454196257</x:v>
      </x:c>
      <x:c r="I542" s="169" t="n">
        <x:v>5007457.995</x:v>
      </x:c>
      <x:c r="J542" s="169" t="n">
        <x:v>36244.156</x:v>
      </x:c>
      <x:c r="K542" s="169" t="n">
        <x:v>138.1590454196257</x:v>
      </x:c>
      <x:c r="L542" s="175" t="n">
        <x:v>138.1590454196257</x:v>
      </x:c>
      <x:c r="M542" s="175" t="n">
        <x:f>MLCF!E147</x:f>
        <x:v>138.1590454196257</x:v>
      </x:c>
      <x:c r="N542" s="176" t="str">
        <x:f>IF(AND(ABS(F542-I542)&lt;0.000001,ABS(G542-J542)&lt;0.000001,IF(ISNUMBER(L542),IF(ISNUMBER(M542),ABS(L542-M542)&lt;0.00000001,FALSE),M542=L542)),"PASS","FAIL")</x:f>
        <x:v>PASS</x:v>
      </x:c>
      <x:c r="O542" s="171" t="str"/>
      <x:c r="P542" s="168" t="str">
        <x:v>Asset Management</x:v>
      </x:c>
    </x:row>
    <x:row r="543" ht="26" customHeight="1">
      <x:c r="A543" s="76" t="str">
        <x:v>MLCF</x:v>
      </x:c>
      <x:c r="B543" s="76" t="n">
        <x:v>2022</x:v>
      </x:c>
      <x:c r="C543" s="76" t="n">
        <x:v>10</x:v>
      </x:c>
      <x:c r="D543" s="76" t="str">
        <x:v>Days sales outstanding</x:v>
      </x:c>
      <x:c r="E543" s="76" t="str">
        <x:v>Mandatory</x:v>
      </x:c>
      <x:c r="F543" s="170" t="n">
        <x:f>365*AVERAGE(MLCF!D32,MLCF!E32)</x:f>
        <x:v>683629.67</x:v>
      </x:c>
      <x:c r="G543" s="170" t="n">
        <x:f>MLCF!E84</x:f>
        <x:v>48519.622</x:v>
      </x:c>
      <x:c r="H543" s="170" t="n">
        <x:f>IF(G543&lt;=0,"n/m",F543/G543)</x:f>
        <x:v>14.089756717395696</x:v>
      </x:c>
      <x:c r="I543" s="170" t="n">
        <x:v>683629.67</x:v>
      </x:c>
      <x:c r="J543" s="170" t="n">
        <x:v>48519.622</x:v>
      </x:c>
      <x:c r="K543" s="170" t="n">
        <x:v>14.089756717395696</x:v>
      </x:c>
      <x:c r="L543" s="177" t="n">
        <x:v>14.089756717395696</x:v>
      </x:c>
      <x:c r="M543" s="177" t="n">
        <x:f>MLCF!E148</x:f>
        <x:v>14.089756717395696</x:v>
      </x:c>
      <x:c r="N543" s="178" t="str">
        <x:f>IF(AND(ABS(F543-I543)&lt;0.000001,ABS(G543-J543)&lt;0.000001,IF(ISNUMBER(L543),IF(ISNUMBER(M543),ABS(L543-M543)&lt;0.00000001,FALSE),M543=L543)),"PASS","FAIL")</x:f>
        <x:v>PASS</x:v>
      </x:c>
      <x:c r="O543" s="99" t="str"/>
      <x:c r="P543" s="76" t="str">
        <x:v>Asset Management</x:v>
      </x:c>
    </x:row>
    <x:row r="544" ht="26" customHeight="1">
      <x:c r="A544" s="168" t="str">
        <x:v>MLCF</x:v>
      </x:c>
      <x:c r="B544" s="168" t="n">
        <x:v>2022</x:v>
      </x:c>
      <x:c r="C544" s="168" t="n">
        <x:v>11</x:v>
      </x:c>
      <x:c r="D544" s="168" t="str">
        <x:v>Days payables outstanding</x:v>
      </x:c>
      <x:c r="E544" s="168" t="str">
        <x:v>Additional</x:v>
      </x:c>
      <x:c r="F544" s="169" t="n">
        <x:f>365*AVERAGE(MLCF!D51,MLCF!E51)</x:f>
        <x:v>1402501.3675000002</x:v>
      </x:c>
      <x:c r="G544" s="169" t="n">
        <x:f>-MLCF!E85</x:f>
        <x:v>36244.156</x:v>
      </x:c>
      <x:c r="H544" s="169" t="n">
        <x:f>IF(G544&lt;=0,"n/m",F544/G544)</x:f>
        <x:v>38.69593121440047</x:v>
      </x:c>
      <x:c r="I544" s="169" t="n">
        <x:v>1402501.3675000002</x:v>
      </x:c>
      <x:c r="J544" s="169" t="n">
        <x:v>36244.156</x:v>
      </x:c>
      <x:c r="K544" s="169" t="n">
        <x:v>38.69593121440047</x:v>
      </x:c>
      <x:c r="L544" s="175" t="n">
        <x:v>38.69593121440047</x:v>
      </x:c>
      <x:c r="M544" s="175" t="n">
        <x:f>MLCF!E149</x:f>
        <x:v>38.69593121440047</x:v>
      </x:c>
      <x:c r="N544" s="176" t="str">
        <x:f>IF(AND(ABS(F544-I544)&lt;0.000001,ABS(G544-J544)&lt;0.000001,IF(ISNUMBER(L544),IF(ISNUMBER(M544),ABS(L544-M544)&lt;0.00000001,FALSE),M544=L544)),"PASS","FAIL")</x:f>
        <x:v>PASS</x:v>
      </x:c>
      <x:c r="O544" s="171" t="str"/>
      <x:c r="P544" s="168" t="str">
        <x:v>Asset Management</x:v>
      </x:c>
    </x:row>
    <x:row r="545" ht="26" customHeight="1">
      <x:c r="A545" s="76" t="str">
        <x:v>MLCF</x:v>
      </x:c>
      <x:c r="B545" s="76" t="n">
        <x:v>2022</x:v>
      </x:c>
      <x:c r="C545" s="76" t="n">
        <x:v>12</x:v>
      </x:c>
      <x:c r="D545" s="76" t="str">
        <x:v>Operating cycle (days)</x:v>
      </x:c>
      <x:c r="E545" s="76" t="str">
        <x:v>Additional</x:v>
      </x:c>
      <x:c r="F545" s="170" t="n">
        <x:f>365*AVERAGE(MLCF!D65,MLCF!E65)/(-MLCF!E85)+365*AVERAGE(MLCF!D32,MLCF!E32)/MLCF!E84</x:f>
        <x:v>152.24880213702139</x:v>
      </x:c>
      <x:c r="G545" s="170" t="n">
        <x:f>1</x:f>
        <x:v>1</x:v>
      </x:c>
      <x:c r="H545" s="170" t="n">
        <x:f>IF(G545&lt;=0,"n/m",F545/G545)</x:f>
        <x:v>152.24880213702139</x:v>
      </x:c>
      <x:c r="I545" s="170" t="n">
        <x:v>152.24880213702139</x:v>
      </x:c>
      <x:c r="J545" s="170" t="n">
        <x:v>1</x:v>
      </x:c>
      <x:c r="K545" s="170" t="n">
        <x:v>152.24880213702139</x:v>
      </x:c>
      <x:c r="L545" s="177" t="n">
        <x:v>152.24880213702139</x:v>
      </x:c>
      <x:c r="M545" s="177" t="n">
        <x:f>MLCF!E150</x:f>
        <x:v>152.24880213702139</x:v>
      </x:c>
      <x:c r="N545" s="178" t="str">
        <x:f>IF(AND(ABS(F545-I545)&lt;0.000001,ABS(G545-J545)&lt;0.000001,IF(ISNUMBER(L545),IF(ISNUMBER(M545),ABS(L545-M545)&lt;0.00000001,FALSE),M545=L545)),"PASS","FAIL")</x:f>
        <x:v>PASS</x:v>
      </x:c>
      <x:c r="O545" s="99" t="str"/>
      <x:c r="P545" s="76" t="str">
        <x:v>Asset Management</x:v>
      </x:c>
    </x:row>
    <x:row r="546" ht="26" customHeight="1">
      <x:c r="A546" s="168" t="str">
        <x:v>MLCF</x:v>
      </x:c>
      <x:c r="B546" s="168" t="n">
        <x:v>2022</x:v>
      </x:c>
      <x:c r="C546" s="168" t="n">
        <x:v>13</x:v>
      </x:c>
      <x:c r="D546" s="168" t="str">
        <x:v>Cash conversion cycle (days)</x:v>
      </x:c>
      <x:c r="E546" s="168" t="str">
        <x:v>Additional</x:v>
      </x:c>
      <x:c r="F546" s="169" t="n">
        <x:f>365*AVERAGE(MLCF!D65,MLCF!E65)/(-MLCF!E85)+365*AVERAGE(MLCF!D32,MLCF!E32)/MLCF!E84-365*AVERAGE(MLCF!D51,MLCF!E51)/(-MLCF!E85)</x:f>
        <x:v>113.55287092262091</x:v>
      </x:c>
      <x:c r="G546" s="169" t="n">
        <x:f>1</x:f>
        <x:v>1</x:v>
      </x:c>
      <x:c r="H546" s="169" t="n">
        <x:f>IF(G546&lt;=0,"n/m",F546/G546)</x:f>
        <x:v>113.55287092262091</x:v>
      </x:c>
      <x:c r="I546" s="169" t="n">
        <x:v>113.55287092262091</x:v>
      </x:c>
      <x:c r="J546" s="169" t="n">
        <x:v>1</x:v>
      </x:c>
      <x:c r="K546" s="169" t="n">
        <x:v>113.55287092262091</x:v>
      </x:c>
      <x:c r="L546" s="175" t="n">
        <x:v>113.55287092262091</x:v>
      </x:c>
      <x:c r="M546" s="175" t="n">
        <x:f>MLCF!E151</x:f>
        <x:v>113.55287092262091</x:v>
      </x:c>
      <x:c r="N546" s="176" t="str">
        <x:f>IF(AND(ABS(F546-I546)&lt;0.000001,ABS(G546-J546)&lt;0.000001,IF(ISNUMBER(L546),IF(ISNUMBER(M546),ABS(L546-M546)&lt;0.00000001,FALSE),M546=L546)),"PASS","FAIL")</x:f>
        <x:v>PASS</x:v>
      </x:c>
      <x:c r="O546" s="171" t="str"/>
      <x:c r="P546" s="168" t="str">
        <x:v>Asset Management</x:v>
      </x:c>
    </x:row>
    <x:row r="547" ht="26" customHeight="1">
      <x:c r="A547" s="76" t="str">
        <x:v>MLCF</x:v>
      </x:c>
      <x:c r="B547" s="76" t="n">
        <x:v>2022</x:v>
      </x:c>
      <x:c r="C547" s="76" t="n">
        <x:v>14</x:v>
      </x:c>
      <x:c r="D547" s="76" t="str">
        <x:v>Total asset turnover</x:v>
      </x:c>
      <x:c r="E547" s="76" t="str">
        <x:v>Mandatory</x:v>
      </x:c>
      <x:c r="F547" s="170" t="n">
        <x:f>MLCF!E84</x:f>
        <x:v>48519.622</x:v>
      </x:c>
      <x:c r="G547" s="170" t="n">
        <x:f>AVERAGE(MLCF!D37,MLCF!E37)</x:f>
        <x:v>74226.74399999999</x:v>
      </x:c>
      <x:c r="H547" s="170" t="n">
        <x:f>IF(G547&lt;=0,"n/m",F547/G547)</x:f>
        <x:v>0.6536676591930263</x:v>
      </x:c>
      <x:c r="I547" s="170" t="n">
        <x:v>48519.622</x:v>
      </x:c>
      <x:c r="J547" s="170" t="n">
        <x:v>74226.74399999999</x:v>
      </x:c>
      <x:c r="K547" s="170" t="n">
        <x:v>0.6536676591930263</x:v>
      </x:c>
      <x:c r="L547" s="177" t="n">
        <x:v>0.6536676591930263</x:v>
      </x:c>
      <x:c r="M547" s="177" t="n">
        <x:f>MLCF!E152</x:f>
        <x:v>0.6536676591930263</x:v>
      </x:c>
      <x:c r="N547" s="178" t="str">
        <x:f>IF(AND(ABS(F547-I547)&lt;0.000001,ABS(G547-J547)&lt;0.000001,IF(ISNUMBER(L547),IF(ISNUMBER(M547),ABS(L547-M547)&lt;0.00000001,FALSE),M547=L547)),"PASS","FAIL")</x:f>
        <x:v>PASS</x:v>
      </x:c>
      <x:c r="O547" s="99" t="str"/>
      <x:c r="P547" s="76" t="str">
        <x:v>Asset Management</x:v>
      </x:c>
    </x:row>
    <x:row r="548" ht="26" customHeight="1">
      <x:c r="A548" s="168" t="str">
        <x:v>MLCF</x:v>
      </x:c>
      <x:c r="B548" s="168" t="n">
        <x:v>2022</x:v>
      </x:c>
      <x:c r="C548" s="168" t="n">
        <x:v>15</x:v>
      </x:c>
      <x:c r="D548" s="168" t="str">
        <x:v>Fixed asset turnover</x:v>
      </x:c>
      <x:c r="E548" s="168" t="str">
        <x:v>Mandatory</x:v>
      </x:c>
      <x:c r="F548" s="169" t="n">
        <x:f>MLCF!E84</x:f>
        <x:v>48519.622</x:v>
      </x:c>
      <x:c r="G548" s="169" t="n">
        <x:f>AVERAGE(MLCF!D22,MLCF!E22)</x:f>
        <x:v>41396.643</x:v>
      </x:c>
      <x:c r="H548" s="169" t="n">
        <x:f>IF(G548&lt;=0,"n/m",F548/G548)</x:f>
        <x:v>1.172066585205955</x:v>
      </x:c>
      <x:c r="I548" s="169" t="n">
        <x:v>48519.622</x:v>
      </x:c>
      <x:c r="J548" s="169" t="n">
        <x:v>41396.643</x:v>
      </x:c>
      <x:c r="K548" s="169" t="n">
        <x:v>1.172066585205955</x:v>
      </x:c>
      <x:c r="L548" s="175" t="n">
        <x:v>1.172066585205955</x:v>
      </x:c>
      <x:c r="M548" s="175" t="n">
        <x:f>MLCF!E153</x:f>
        <x:v>1.172066585205955</x:v>
      </x:c>
      <x:c r="N548" s="176" t="str">
        <x:f>IF(AND(ABS(F548-I548)&lt;0.000001,ABS(G548-J548)&lt;0.000001,IF(ISNUMBER(L548),IF(ISNUMBER(M548),ABS(L548-M548)&lt;0.00000001,FALSE),M548=L548)),"PASS","FAIL")</x:f>
        <x:v>PASS</x:v>
      </x:c>
      <x:c r="O548" s="171" t="str"/>
      <x:c r="P548" s="168" t="str">
        <x:v>Asset Management</x:v>
      </x:c>
    </x:row>
    <x:row r="549" ht="26" customHeight="1">
      <x:c r="A549" s="76" t="str">
        <x:v>MLCF</x:v>
      </x:c>
      <x:c r="B549" s="76" t="n">
        <x:v>2022</x:v>
      </x:c>
      <x:c r="C549" s="76" t="n">
        <x:v>16</x:v>
      </x:c>
      <x:c r="D549" s="76" t="str">
        <x:v>Debt ratio</x:v>
      </x:c>
      <x:c r="E549" s="76" t="str">
        <x:v>Mandatory</x:v>
      </x:c>
      <x:c r="F549" s="170" t="n">
        <x:f>MLCF!E62</x:f>
        <x:v>41655.195</x:v>
      </x:c>
      <x:c r="G549" s="170" t="n">
        <x:f>MLCF!E37</x:f>
        <x:v>82214.20999999999</x:v>
      </x:c>
      <x:c r="H549" s="170" t="n">
        <x:f>IF(G549&lt;=0,"n/m",F549/G549)</x:f>
        <x:v>0.5066666090934888</x:v>
      </x:c>
      <x:c r="I549" s="170" t="n">
        <x:v>41655.195</x:v>
      </x:c>
      <x:c r="J549" s="170" t="n">
        <x:v>82214.20999999999</x:v>
      </x:c>
      <x:c r="K549" s="170" t="n">
        <x:v>0.5066666090934888</x:v>
      </x:c>
      <x:c r="L549" s="177" t="n">
        <x:v>0.5066666090934888</x:v>
      </x:c>
      <x:c r="M549" s="177" t="n">
        <x:f>MLCF!E155</x:f>
        <x:v>0.5066666090934888</x:v>
      </x:c>
      <x:c r="N549" s="178" t="str">
        <x:f>IF(AND(ABS(F549-I549)&lt;0.000001,ABS(G549-J549)&lt;0.000001,IF(ISNUMBER(L549),IF(ISNUMBER(M549),ABS(L549-M549)&lt;0.00000001,FALSE),M549=L549)),"PASS","FAIL")</x:f>
        <x:v>PASS</x:v>
      </x:c>
      <x:c r="O549" s="99" t="str"/>
      <x:c r="P549" s="76" t="str">
        <x:v>Debt Management</x:v>
      </x:c>
    </x:row>
    <x:row r="550" ht="26" customHeight="1">
      <x:c r="A550" s="168" t="str">
        <x:v>MLCF</x:v>
      </x:c>
      <x:c r="B550" s="168" t="n">
        <x:v>2022</x:v>
      </x:c>
      <x:c r="C550" s="168" t="n">
        <x:v>17</x:v>
      </x:c>
      <x:c r="D550" s="168" t="str">
        <x:v>Debt-to-equity</x:v>
      </x:c>
      <x:c r="E550" s="168" t="str">
        <x:v>Mandatory</x:v>
      </x:c>
      <x:c r="F550" s="169" t="n">
        <x:f>MLCF!E62</x:f>
        <x:v>41655.195</x:v>
      </x:c>
      <x:c r="G550" s="169" t="n">
        <x:f>MLCF!E41</x:f>
        <x:v>40559.015</x:v>
      </x:c>
      <x:c r="H550" s="169" t="n">
        <x:f>IF(G550&lt;=0,"n/m",F550/G550)</x:f>
        <x:v>1.027026790468161</x:v>
      </x:c>
      <x:c r="I550" s="169" t="n">
        <x:v>41655.195</x:v>
      </x:c>
      <x:c r="J550" s="169" t="n">
        <x:v>40559.015</x:v>
      </x:c>
      <x:c r="K550" s="169" t="n">
        <x:v>1.027026790468161</x:v>
      </x:c>
      <x:c r="L550" s="175" t="n">
        <x:v>1.027026790468161</x:v>
      </x:c>
      <x:c r="M550" s="175" t="n">
        <x:f>MLCF!E156</x:f>
        <x:v>1.027026790468161</x:v>
      </x:c>
      <x:c r="N550" s="176" t="str">
        <x:f>IF(AND(ABS(F550-I550)&lt;0.000001,ABS(G550-J550)&lt;0.000001,IF(ISNUMBER(L550),IF(ISNUMBER(M550),ABS(L550-M550)&lt;0.00000001,FALSE),M550=L550)),"PASS","FAIL")</x:f>
        <x:v>PASS</x:v>
      </x:c>
      <x:c r="O550" s="171" t="str"/>
      <x:c r="P550" s="168" t="str">
        <x:v>Debt Management</x:v>
      </x:c>
    </x:row>
    <x:row r="551" ht="26" customHeight="1">
      <x:c r="A551" s="76" t="str">
        <x:v>MLCF</x:v>
      </x:c>
      <x:c r="B551" s="76" t="n">
        <x:v>2022</x:v>
      </x:c>
      <x:c r="C551" s="76" t="n">
        <x:v>18</x:v>
      </x:c>
      <x:c r="D551" s="76" t="str">
        <x:v>Total debt-to-capital</x:v>
      </x:c>
      <x:c r="E551" s="76" t="str">
        <x:v>Additional</x:v>
      </x:c>
      <x:c r="F551" s="170" t="n">
        <x:f>MLCF!E66</x:f>
        <x:v>24973.713999999996</x:v>
      </x:c>
      <x:c r="G551" s="170" t="n">
        <x:f>MLCF!E66+MLCF!E41</x:f>
        <x:v>65532.72899999999</x:v>
      </x:c>
      <x:c r="H551" s="170" t="n">
        <x:f>IF(G551&lt;=0,"n/m",F551/G551)</x:f>
        <x:v>0.381087654689308</x:v>
      </x:c>
      <x:c r="I551" s="170" t="n">
        <x:v>24973.714</x:v>
      </x:c>
      <x:c r="J551" s="170" t="n">
        <x:v>65532.729</x:v>
      </x:c>
      <x:c r="K551" s="170" t="n">
        <x:v>0.381087654689308</x:v>
      </x:c>
      <x:c r="L551" s="177" t="n">
        <x:v>0.381087654689308</x:v>
      </x:c>
      <x:c r="M551" s="177" t="n">
        <x:f>MLCF!E157</x:f>
        <x:v>0.381087654689308</x:v>
      </x:c>
      <x:c r="N551" s="178" t="str">
        <x:f>IF(AND(ABS(F551-I551)&lt;0.000001,ABS(G551-J551)&lt;0.000001,IF(ISNUMBER(L551),IF(ISNUMBER(M551),ABS(L551-M551)&lt;0.00000001,FALSE),M551=L551)),"PASS","FAIL")</x:f>
        <x:v>PASS</x:v>
      </x:c>
      <x:c r="O551" s="99" t="str"/>
      <x:c r="P551" s="76" t="str">
        <x:v>Debt Management</x:v>
      </x:c>
    </x:row>
    <x:row r="552" ht="26" customHeight="1">
      <x:c r="A552" s="168" t="str">
        <x:v>MLCF</x:v>
      </x:c>
      <x:c r="B552" s="168" t="n">
        <x:v>2022</x:v>
      </x:c>
      <x:c r="C552" s="168" t="n">
        <x:v>19</x:v>
      </x:c>
      <x:c r="D552" s="168" t="str">
        <x:v>Long-term debt ratio</x:v>
      </x:c>
      <x:c r="E552" s="168" t="str">
        <x:v>Additional</x:v>
      </x:c>
      <x:c r="F552" s="169" t="n">
        <x:f>MLCF!E67</x:f>
        <x:v>18775.003999999997</x:v>
      </x:c>
      <x:c r="G552" s="169" t="n">
        <x:f>MLCF!E37</x:f>
        <x:v>82214.20999999999</x:v>
      </x:c>
      <x:c r="H552" s="169" t="n">
        <x:f>IF(G552&lt;=0,"n/m",F552/G552)</x:f>
        <x:v>0.22836689667151214</x:v>
      </x:c>
      <x:c r="I552" s="169" t="n">
        <x:v>18775.003999999997</x:v>
      </x:c>
      <x:c r="J552" s="169" t="n">
        <x:v>82214.20999999999</x:v>
      </x:c>
      <x:c r="K552" s="169" t="n">
        <x:v>0.22836689667151214</x:v>
      </x:c>
      <x:c r="L552" s="175" t="n">
        <x:v>0.22836689667151214</x:v>
      </x:c>
      <x:c r="M552" s="175" t="n">
        <x:f>MLCF!E158</x:f>
        <x:v>0.22836689667151214</x:v>
      </x:c>
      <x:c r="N552" s="176" t="str">
        <x:f>IF(AND(ABS(F552-I552)&lt;0.000001,ABS(G552-J552)&lt;0.000001,IF(ISNUMBER(L552),IF(ISNUMBER(M552),ABS(L552-M552)&lt;0.00000001,FALSE),M552=L552)),"PASS","FAIL")</x:f>
        <x:v>PASS</x:v>
      </x:c>
      <x:c r="O552" s="171" t="str"/>
      <x:c r="P552" s="168" t="str">
        <x:v>Debt Management</x:v>
      </x:c>
    </x:row>
    <x:row r="553" ht="26" customHeight="1">
      <x:c r="A553" s="76" t="str">
        <x:v>MLCF</x:v>
      </x:c>
      <x:c r="B553" s="76" t="n">
        <x:v>2022</x:v>
      </x:c>
      <x:c r="C553" s="76" t="n">
        <x:v>20</x:v>
      </x:c>
      <x:c r="D553" s="76" t="str">
        <x:v>Times interest earned</x:v>
      </x:c>
      <x:c r="E553" s="76" t="str">
        <x:v>Mandatory</x:v>
      </x:c>
      <x:c r="F553" s="170" t="n">
        <x:f>MLCF!E108</x:f>
        <x:v>8924.538</x:v>
      </x:c>
      <x:c r="G553" s="170" t="n">
        <x:f>MLCF!E106</x:f>
        <x:v>1690.025</x:v>
      </x:c>
      <x:c r="H553" s="170" t="n">
        <x:f>IF(G553&lt;=0,"n/m",F553/G553)</x:f>
        <x:v>5.280713598911259</x:v>
      </x:c>
      <x:c r="I553" s="170" t="n">
        <x:v>8924.538</x:v>
      </x:c>
      <x:c r="J553" s="170" t="n">
        <x:v>1690.025</x:v>
      </x:c>
      <x:c r="K553" s="170" t="n">
        <x:v>5.280713598911259</x:v>
      </x:c>
      <x:c r="L553" s="177" t="n">
        <x:v>5.280713598911259</x:v>
      </x:c>
      <x:c r="M553" s="177" t="n">
        <x:f>MLCF!E159</x:f>
        <x:v>5.280713598911259</x:v>
      </x:c>
      <x:c r="N553" s="178" t="str">
        <x:f>IF(AND(ABS(F553-I553)&lt;0.000001,ABS(G553-J553)&lt;0.000001,IF(ISNUMBER(L553),IF(ISNUMBER(M553),ABS(L553-M553)&lt;0.00000001,FALSE),M553=L553)),"PASS","FAIL")</x:f>
        <x:v>PASS</x:v>
      </x:c>
      <x:c r="O553" s="99" t="str"/>
      <x:c r="P553" s="76" t="str">
        <x:v>Debt Management</x:v>
      </x:c>
    </x:row>
    <x:row r="554" ht="26" customHeight="1">
      <x:c r="A554" s="168" t="str">
        <x:v>MLCF</x:v>
      </x:c>
      <x:c r="B554" s="168" t="n">
        <x:v>2022</x:v>
      </x:c>
      <x:c r="C554" s="168" t="n">
        <x:v>21</x:v>
      </x:c>
      <x:c r="D554" s="168" t="str">
        <x:v>Gross profit margin</x:v>
      </x:c>
      <x:c r="E554" s="168" t="str">
        <x:v>Mandatory</x:v>
      </x:c>
      <x:c r="F554" s="169" t="n">
        <x:f>MLCF!E86</x:f>
        <x:v>12275.466</x:v>
      </x:c>
      <x:c r="G554" s="169" t="n">
        <x:f>MLCF!E84</x:f>
        <x:v>48519.622</x:v>
      </x:c>
      <x:c r="H554" s="169" t="n">
        <x:f>IF(G554&lt;=0,"n/m",F554/G554)</x:f>
        <x:v>0.25300003367709667</x:v>
      </x:c>
      <x:c r="I554" s="169" t="n">
        <x:v>12275.466</x:v>
      </x:c>
      <x:c r="J554" s="169" t="n">
        <x:v>48519.622</x:v>
      </x:c>
      <x:c r="K554" s="169" t="n">
        <x:v>0.25300003367709667</x:v>
      </x:c>
      <x:c r="L554" s="175" t="n">
        <x:v>0.25300003367709667</x:v>
      </x:c>
      <x:c r="M554" s="175" t="n">
        <x:f>MLCF!E161</x:f>
        <x:v>0.25300003367709667</x:v>
      </x:c>
      <x:c r="N554" s="176" t="str">
        <x:f>IF(AND(ABS(F554-I554)&lt;0.000001,ABS(G554-J554)&lt;0.000001,IF(ISNUMBER(L554),IF(ISNUMBER(M554),ABS(L554-M554)&lt;0.00000001,FALSE),M554=L554)),"PASS","FAIL")</x:f>
        <x:v>PASS</x:v>
      </x:c>
      <x:c r="O554" s="171" t="str"/>
      <x:c r="P554" s="168" t="str">
        <x:v>Profitability</x:v>
      </x:c>
    </x:row>
    <x:row r="555" ht="26" customHeight="1">
      <x:c r="A555" s="76" t="str">
        <x:v>MLCF</x:v>
      </x:c>
      <x:c r="B555" s="76" t="n">
        <x:v>2022</x:v>
      </x:c>
      <x:c r="C555" s="76" t="n">
        <x:v>22</x:v>
      </x:c>
      <x:c r="D555" s="76" t="str">
        <x:v>Operating margin</x:v>
      </x:c>
      <x:c r="E555" s="76" t="str">
        <x:v>Mandatory</x:v>
      </x:c>
      <x:c r="F555" s="170" t="n">
        <x:f>MLCF!E91</x:f>
        <x:v>8867.937</x:v>
      </x:c>
      <x:c r="G555" s="170" t="n">
        <x:f>MLCF!E84</x:f>
        <x:v>48519.622</x:v>
      </x:c>
      <x:c r="H555" s="170" t="n">
        <x:f>IF(G555&lt;=0,"n/m",F555/G555)</x:f>
        <x:v>0.18277011721154793</x:v>
      </x:c>
      <x:c r="I555" s="170" t="n">
        <x:v>8867.937</x:v>
      </x:c>
      <x:c r="J555" s="170" t="n">
        <x:v>48519.622</x:v>
      </x:c>
      <x:c r="K555" s="170" t="n">
        <x:v>0.18277011721154793</x:v>
      </x:c>
      <x:c r="L555" s="177" t="n">
        <x:v>0.18277011721154793</x:v>
      </x:c>
      <x:c r="M555" s="177" t="n">
        <x:f>MLCF!E162</x:f>
        <x:v>0.18277011721154793</x:v>
      </x:c>
      <x:c r="N555" s="178" t="str">
        <x:f>IF(AND(ABS(F555-I555)&lt;0.000001,ABS(G555-J555)&lt;0.000001,IF(ISNUMBER(L555),IF(ISNUMBER(M555),ABS(L555-M555)&lt;0.00000001,FALSE),M555=L555)),"PASS","FAIL")</x:f>
        <x:v>PASS</x:v>
      </x:c>
      <x:c r="O555" s="99" t="str"/>
      <x:c r="P555" s="76" t="str">
        <x:v>Profitability</x:v>
      </x:c>
    </x:row>
    <x:row r="556" ht="26" customHeight="1">
      <x:c r="A556" s="168" t="str">
        <x:v>MLCF</x:v>
      </x:c>
      <x:c r="B556" s="168" t="n">
        <x:v>2022</x:v>
      </x:c>
      <x:c r="C556" s="168" t="n">
        <x:v>23</x:v>
      </x:c>
      <x:c r="D556" s="168" t="str">
        <x:v>Net profit margin</x:v>
      </x:c>
      <x:c r="E556" s="168" t="str">
        <x:v>Mandatory</x:v>
      </x:c>
      <x:c r="F556" s="169" t="n">
        <x:f>MLCF!E99</x:f>
        <x:v>3626.3400000000006</x:v>
      </x:c>
      <x:c r="G556" s="169" t="n">
        <x:f>MLCF!E84</x:f>
        <x:v>48519.622</x:v>
      </x:c>
      <x:c r="H556" s="169" t="n">
        <x:f>IF(G556&lt;=0,"n/m",F556/G556)</x:f>
        <x:v>0.07473965893633715</x:v>
      </x:c>
      <x:c r="I556" s="169" t="n">
        <x:v>3626.3399999999997</x:v>
      </x:c>
      <x:c r="J556" s="169" t="n">
        <x:v>48519.622</x:v>
      </x:c>
      <x:c r="K556" s="169" t="n">
        <x:v>0.07473965893633713</x:v>
      </x:c>
      <x:c r="L556" s="175" t="n">
        <x:v>0.07473965893633713</x:v>
      </x:c>
      <x:c r="M556" s="175" t="n">
        <x:f>MLCF!E163</x:f>
        <x:v>0.07473965893633715</x:v>
      </x:c>
      <x:c r="N556" s="176" t="str">
        <x:f>IF(AND(ABS(F556-I556)&lt;0.000001,ABS(G556-J556)&lt;0.000001,IF(ISNUMBER(L556),IF(ISNUMBER(M556),ABS(L556-M556)&lt;0.00000001,FALSE),M556=L556)),"PASS","FAIL")</x:f>
        <x:v>PASS</x:v>
      </x:c>
      <x:c r="O556" s="171" t="str"/>
      <x:c r="P556" s="168" t="str">
        <x:v>Profitability</x:v>
      </x:c>
    </x:row>
    <x:row r="557" ht="26" customHeight="1">
      <x:c r="A557" s="76" t="str">
        <x:v>MLCF</x:v>
      </x:c>
      <x:c r="B557" s="76" t="n">
        <x:v>2022</x:v>
      </x:c>
      <x:c r="C557" s="76" t="n">
        <x:v>24</x:v>
      </x:c>
      <x:c r="D557" s="76" t="str">
        <x:v>Return on assets</x:v>
      </x:c>
      <x:c r="E557" s="76" t="str">
        <x:v>Mandatory</x:v>
      </x:c>
      <x:c r="F557" s="170" t="n">
        <x:f>MLCF!E99</x:f>
        <x:v>3626.3400000000006</x:v>
      </x:c>
      <x:c r="G557" s="170" t="n">
        <x:f>AVERAGE(MLCF!D37,MLCF!E37)</x:f>
        <x:v>74226.74399999999</x:v>
      </x:c>
      <x:c r="H557" s="170" t="n">
        <x:f>IF(G557&lt;=0,"n/m",F557/G557)</x:f>
        <x:v>0.04885489790580065</x:v>
      </x:c>
      <x:c r="I557" s="170" t="n">
        <x:v>3626.3399999999997</x:v>
      </x:c>
      <x:c r="J557" s="170" t="n">
        <x:v>74226.74399999999</x:v>
      </x:c>
      <x:c r="K557" s="170" t="n">
        <x:v>0.04885489790580064</x:v>
      </x:c>
      <x:c r="L557" s="177" t="n">
        <x:v>0.04885489790580064</x:v>
      </x:c>
      <x:c r="M557" s="177" t="n">
        <x:f>MLCF!E164</x:f>
        <x:v>0.04885489790580065</x:v>
      </x:c>
      <x:c r="N557" s="178" t="str">
        <x:f>IF(AND(ABS(F557-I557)&lt;0.000001,ABS(G557-J557)&lt;0.000001,IF(ISNUMBER(L557),IF(ISNUMBER(M557),ABS(L557-M557)&lt;0.00000001,FALSE),M557=L557)),"PASS","FAIL")</x:f>
        <x:v>PASS</x:v>
      </x:c>
      <x:c r="O557" s="99" t="str"/>
      <x:c r="P557" s="76" t="str">
        <x:v>Profitability</x:v>
      </x:c>
    </x:row>
    <x:row r="558" ht="26" customHeight="1">
      <x:c r="A558" s="168" t="str">
        <x:v>MLCF</x:v>
      </x:c>
      <x:c r="B558" s="168" t="n">
        <x:v>2022</x:v>
      </x:c>
      <x:c r="C558" s="168" t="n">
        <x:v>25</x:v>
      </x:c>
      <x:c r="D558" s="168" t="str">
        <x:v>Return on equity</x:v>
      </x:c>
      <x:c r="E558" s="168" t="str">
        <x:v>Mandatory</x:v>
      </x:c>
      <x:c r="F558" s="169" t="n">
        <x:f>MLCF!E99</x:f>
        <x:v>3626.3400000000006</x:v>
      </x:c>
      <x:c r="G558" s="169" t="n">
        <x:f>AVERAGE(MLCF!D41,MLCF!E41)</x:f>
        <x:v>39050.778</x:v>
      </x:c>
      <x:c r="H558" s="169" t="n">
        <x:f>IF(G558&lt;=0,"n/m",F558/G558)</x:f>
        <x:v>0.09286217037724577</x:v>
      </x:c>
      <x:c r="I558" s="169" t="n">
        <x:v>3626.3399999999997</x:v>
      </x:c>
      <x:c r="J558" s="169" t="n">
        <x:v>39050.778</x:v>
      </x:c>
      <x:c r="K558" s="169" t="n">
        <x:v>0.09286217037724574</x:v>
      </x:c>
      <x:c r="L558" s="175" t="n">
        <x:v>0.09286217037724574</x:v>
      </x:c>
      <x:c r="M558" s="175" t="n">
        <x:f>MLCF!E165</x:f>
        <x:v>0.09286217037724577</x:v>
      </x:c>
      <x:c r="N558" s="176" t="str">
        <x:f>IF(AND(ABS(F558-I558)&lt;0.000001,ABS(G558-J558)&lt;0.000001,IF(ISNUMBER(L558),IF(ISNUMBER(M558),ABS(L558-M558)&lt;0.00000001,FALSE),M558=L558)),"PASS","FAIL")</x:f>
        <x:v>PASS</x:v>
      </x:c>
      <x:c r="O558" s="171" t="str"/>
      <x:c r="P558" s="168" t="str">
        <x:v>Profitability</x:v>
      </x:c>
    </x:row>
    <x:row r="559" ht="26" customHeight="1">
      <x:c r="A559" s="76" t="str">
        <x:v>MLCF</x:v>
      </x:c>
      <x:c r="B559" s="76" t="n">
        <x:v>2022</x:v>
      </x:c>
      <x:c r="C559" s="76" t="n">
        <x:v>26</x:v>
      </x:c>
      <x:c r="D559" s="76" t="str">
        <x:v>Return on invested capital</x:v>
      </x:c>
      <x:c r="E559" s="76" t="str">
        <x:v>Additional</x:v>
      </x:c>
      <x:c r="F559" s="170" t="n">
        <x:f>MLCF!E113</x:f>
        <x:v>4505.234922823266</x:v>
      </x:c>
      <x:c r="G559" s="170" t="n">
        <x:f>AVERAGE(MLCF!D70,MLCF!E70)</x:f>
        <x:v>59655.37299999999</x:v>
      </x:c>
      <x:c r="H559" s="170" t="n">
        <x:f>IF(G559&lt;=0,"n/m",F559/G559)</x:f>
        <x:v>0.07552102511911654</x:v>
      </x:c>
      <x:c r="I559" s="170" t="n">
        <x:v>4505.234922823266</x:v>
      </x:c>
      <x:c r="J559" s="170" t="n">
        <x:v>59655.373</x:v>
      </x:c>
      <x:c r="K559" s="170" t="n">
        <x:v>0.07552102511911653</x:v>
      </x:c>
      <x:c r="L559" s="177" t="n">
        <x:v>0.07552102511911653</x:v>
      </x:c>
      <x:c r="M559" s="177" t="n">
        <x:f>MLCF!E166</x:f>
        <x:v>0.07552102511911654</x:v>
      </x:c>
      <x:c r="N559" s="178" t="str">
        <x:f>IF(AND(ABS(F559-I559)&lt;0.000001,ABS(G559-J559)&lt;0.000001,IF(ISNUMBER(L559),IF(ISNUMBER(M559),ABS(L559-M559)&lt;0.00000001,FALSE),M559=L559)),"PASS","FAIL")</x:f>
        <x:v>PASS</x:v>
      </x:c>
      <x:c r="O559" s="99" t="str"/>
      <x:c r="P559" s="76" t="str">
        <x:v>Profitability</x:v>
      </x:c>
    </x:row>
    <x:row r="560" ht="26" customHeight="1">
      <x:c r="A560" s="168" t="str">
        <x:v>MLCF</x:v>
      </x:c>
      <x:c r="B560" s="168" t="n">
        <x:v>2022</x:v>
      </x:c>
      <x:c r="C560" s="168" t="n">
        <x:v>27</x:v>
      </x:c>
      <x:c r="D560" s="168" t="str">
        <x:v>Basic earning power</x:v>
      </x:c>
      <x:c r="E560" s="168" t="str">
        <x:v>Additional</x:v>
      </x:c>
      <x:c r="F560" s="169" t="n">
        <x:f>MLCF!E108</x:f>
        <x:v>8924.538</x:v>
      </x:c>
      <x:c r="G560" s="169" t="n">
        <x:f>AVERAGE(MLCF!D37,MLCF!E37)</x:f>
        <x:v>74226.74399999999</x:v>
      </x:c>
      <x:c r="H560" s="169" t="n">
        <x:f>IF(G560&lt;=0,"n/m",F560/G560)</x:f>
        <x:v>0.12023345655576649</x:v>
      </x:c>
      <x:c r="I560" s="169" t="n">
        <x:v>8924.538</x:v>
      </x:c>
      <x:c r="J560" s="169" t="n">
        <x:v>74226.74399999999</x:v>
      </x:c>
      <x:c r="K560" s="169" t="n">
        <x:v>0.12023345655576649</x:v>
      </x:c>
      <x:c r="L560" s="175" t="n">
        <x:v>0.12023345655576649</x:v>
      </x:c>
      <x:c r="M560" s="175" t="n">
        <x:f>MLCF!E167</x:f>
        <x:v>0.12023345655576649</x:v>
      </x:c>
      <x:c r="N560" s="176" t="str">
        <x:f>IF(AND(ABS(F560-I560)&lt;0.000001,ABS(G560-J560)&lt;0.000001,IF(ISNUMBER(L560),IF(ISNUMBER(M560),ABS(L560-M560)&lt;0.00000001,FALSE),M560=L560)),"PASS","FAIL")</x:f>
        <x:v>PASS</x:v>
      </x:c>
      <x:c r="O560" s="171" t="str"/>
      <x:c r="P560" s="168" t="str">
        <x:v>Profitability</x:v>
      </x:c>
    </x:row>
    <x:row r="561" ht="26" customHeight="1">
      <x:c r="A561" s="76" t="str">
        <x:v>MLCF</x:v>
      </x:c>
      <x:c r="B561" s="76" t="n">
        <x:v>2022</x:v>
      </x:c>
      <x:c r="C561" s="76" t="n">
        <x:v>28</x:v>
      </x:c>
      <x:c r="D561" s="76" t="str">
        <x:v>Book value per share (Rs)</x:v>
      </x:c>
      <x:c r="E561" s="76" t="str">
        <x:v>Additional</x:v>
      </x:c>
      <x:c r="F561" s="170" t="n">
        <x:f>MLCF!E41</x:f>
        <x:v>40559.015</x:v>
      </x:c>
      <x:c r="G561" s="170" t="n">
        <x:f>MLCF!E128</x:f>
        <x:v>1079.8011999999999</x:v>
      </x:c>
      <x:c r="H561" s="170" t="n">
        <x:f>IF(G561&lt;=0,"n/m",F561/G561)</x:f>
        <x:v>37.56155762745958</x:v>
      </x:c>
      <x:c r="I561" s="170" t="n">
        <x:v>40559.015</x:v>
      </x:c>
      <x:c r="J561" s="170" t="n">
        <x:v>1079.8011999999999</x:v>
      </x:c>
      <x:c r="K561" s="170" t="n">
        <x:v>37.56155762745958</x:v>
      </x:c>
      <x:c r="L561" s="177" t="n">
        <x:v>37.56155762745958</x:v>
      </x:c>
      <x:c r="M561" s="177" t="n">
        <x:f>MLCF!E169</x:f>
        <x:v>37.56155762745958</x:v>
      </x:c>
      <x:c r="N561" s="178" t="str">
        <x:f>IF(AND(ABS(F561-I561)&lt;0.000001,ABS(G561-J561)&lt;0.000001,IF(ISNUMBER(L561),IF(ISNUMBER(M561),ABS(L561-M561)&lt;0.00000001,FALSE),M561=L561)),"PASS","FAIL")</x:f>
        <x:v>PASS</x:v>
      </x:c>
      <x:c r="O561" s="99" t="str"/>
      <x:c r="P561" s="76" t="str">
        <x:v>Market Value</x:v>
      </x:c>
    </x:row>
    <x:row r="562" ht="26" customHeight="1">
      <x:c r="A562" s="168" t="str">
        <x:v>MLCF</x:v>
      </x:c>
      <x:c r="B562" s="168" t="n">
        <x:v>2022</x:v>
      </x:c>
      <x:c r="C562" s="168" t="n">
        <x:v>29</x:v>
      </x:c>
      <x:c r="D562" s="168" t="str">
        <x:v>Market-to-book ratio</x:v>
      </x:c>
      <x:c r="E562" s="168" t="str">
        <x:v>Mandatory</x:v>
      </x:c>
      <x:c r="F562" s="169" t="n">
        <x:f>MLCF!E130</x:f>
        <x:v>27.35</x:v>
      </x:c>
      <x:c r="G562" s="169" t="n">
        <x:f>MLCF!E41/MLCF!E128</x:f>
        <x:v>37.56155762745958</x:v>
      </x:c>
      <x:c r="H562" s="169" t="n">
        <x:f>IF(G562&lt;=0,"n/m",F562/G562)</x:f>
        <x:v>0.7281380679486422</x:v>
      </x:c>
      <x:c r="I562" s="169" t="n">
        <x:v>27.35</x:v>
      </x:c>
      <x:c r="J562" s="169" t="n">
        <x:v>37.56155762745958</x:v>
      </x:c>
      <x:c r="K562" s="169" t="n">
        <x:v>0.7281380679486422</x:v>
      </x:c>
      <x:c r="L562" s="175" t="n">
        <x:v>0.7281380679486422</x:v>
      </x:c>
      <x:c r="M562" s="175" t="n">
        <x:f>MLCF!E170</x:f>
        <x:v>0.7281380679486422</x:v>
      </x:c>
      <x:c r="N562" s="176" t="str">
        <x:f>IF(AND(ABS(F562-I562)&lt;0.000001,ABS(G562-J562)&lt;0.000001,IF(ISNUMBER(L562),IF(ISNUMBER(M562),ABS(L562-M562)&lt;0.00000001,FALSE),M562=L562)),"PASS","FAIL")</x:f>
        <x:v>PASS</x:v>
      </x:c>
      <x:c r="O562" s="171" t="str"/>
      <x:c r="P562" s="168" t="str">
        <x:v>Market Value</x:v>
      </x:c>
    </x:row>
    <x:row r="563" ht="26" customHeight="1">
      <x:c r="A563" s="76" t="str">
        <x:v>MLCF</x:v>
      </x:c>
      <x:c r="B563" s="76" t="n">
        <x:v>2022</x:v>
      </x:c>
      <x:c r="C563" s="76" t="n">
        <x:v>30</x:v>
      </x:c>
      <x:c r="D563" s="76" t="str">
        <x:v>Earnings per share (Rs)</x:v>
      </x:c>
      <x:c r="E563" s="76" t="str">
        <x:v>Mandatory</x:v>
      </x:c>
      <x:c r="F563" s="170" t="n">
        <x:f>MLCF!E99</x:f>
        <x:v>3626.3400000000006</x:v>
      </x:c>
      <x:c r="G563" s="170" t="n">
        <x:f>MLCF!E129</x:f>
        <x:v>1097.524</x:v>
      </x:c>
      <x:c r="H563" s="170" t="n">
        <x:f>IF(G563&lt;=0,"n/m",F563/G563)</x:f>
        <x:v>3.3041099784606085</x:v>
      </x:c>
      <x:c r="I563" s="170" t="n">
        <x:v>3626.3399999999997</x:v>
      </x:c>
      <x:c r="J563" s="170" t="n">
        <x:v>1097.524</x:v>
      </x:c>
      <x:c r="K563" s="170" t="n">
        <x:v>3.3041099784606076</x:v>
      </x:c>
      <x:c r="L563" s="177" t="n">
        <x:v>3.3041099784606076</x:v>
      </x:c>
      <x:c r="M563" s="177" t="n">
        <x:f>MLCF!E171</x:f>
        <x:v>3.3041099784606085</x:v>
      </x:c>
      <x:c r="N563" s="178" t="str">
        <x:f>IF(AND(ABS(F563-I563)&lt;0.000001,ABS(G563-J563)&lt;0.000001,IF(ISNUMBER(L563),IF(ISNUMBER(M563),ABS(L563-M563)&lt;0.00000001,FALSE),M563=L563)),"PASS","FAIL")</x:f>
        <x:v>PASS</x:v>
      </x:c>
      <x:c r="O563" s="99" t="str"/>
      <x:c r="P563" s="76" t="str">
        <x:v>Market Value</x:v>
      </x:c>
    </x:row>
    <x:row r="564" ht="26" customHeight="1">
      <x:c r="A564" s="168" t="str">
        <x:v>MLCF</x:v>
      </x:c>
      <x:c r="B564" s="168" t="n">
        <x:v>2022</x:v>
      </x:c>
      <x:c r="C564" s="168" t="n">
        <x:v>31</x:v>
      </x:c>
      <x:c r="D564" s="168" t="str">
        <x:v>Price-to-earnings ratio</x:v>
      </x:c>
      <x:c r="E564" s="168" t="str">
        <x:v>Mandatory</x:v>
      </x:c>
      <x:c r="F564" s="169" t="n">
        <x:f>MLCF!E130</x:f>
        <x:v>27.35</x:v>
      </x:c>
      <x:c r="G564" s="169" t="n">
        <x:f>MLCF!E99/MLCF!E129</x:f>
        <x:v>3.3041099784606085</x:v>
      </x:c>
      <x:c r="H564" s="169" t="n">
        <x:f>IF(G564&lt;=0,"n/m",F564/G564)</x:f>
        <x:v>8.277569505341472</x:v>
      </x:c>
      <x:c r="I564" s="169" t="n">
        <x:v>27.35</x:v>
      </x:c>
      <x:c r="J564" s="169" t="n">
        <x:v>3.3041099784606076</x:v>
      </x:c>
      <x:c r="K564" s="169" t="n">
        <x:v>8.277569505341475</x:v>
      </x:c>
      <x:c r="L564" s="175" t="n">
        <x:v>8.277569505341475</x:v>
      </x:c>
      <x:c r="M564" s="175" t="n">
        <x:f>MLCF!E172</x:f>
        <x:v>8.277569505341472</x:v>
      </x:c>
      <x:c r="N564" s="176" t="str">
        <x:f>IF(AND(ABS(F564-I564)&lt;0.000001,ABS(G564-J564)&lt;0.000001,IF(ISNUMBER(L564),IF(ISNUMBER(M564),ABS(L564-M564)&lt;0.00000001,FALSE),M564=L564)),"PASS","FAIL")</x:f>
        <x:v>PASS</x:v>
      </x:c>
      <x:c r="O564" s="171" t="str"/>
      <x:c r="P564" s="168" t="str">
        <x:v>Market Value</x:v>
      </x:c>
    </x:row>
    <x:row r="565" ht="26" customHeight="1">
      <x:c r="A565" s="76" t="str">
        <x:v>MLCF</x:v>
      </x:c>
      <x:c r="B565" s="76" t="n">
        <x:v>2022</x:v>
      </x:c>
      <x:c r="C565" s="76" t="n">
        <x:v>32</x:v>
      </x:c>
      <x:c r="D565" s="76" t="str">
        <x:v>Dividend yield</x:v>
      </x:c>
      <x:c r="E565" s="76" t="str">
        <x:v>Mandatory</x:v>
      </x:c>
      <x:c r="F565" s="170" t="n">
        <x:f>MLCF!E131</x:f>
        <x:v>0</x:v>
      </x:c>
      <x:c r="G565" s="170" t="n">
        <x:f>MLCF!E130</x:f>
        <x:v>27.35</x:v>
      </x:c>
      <x:c r="H565" s="170" t="n">
        <x:f>IF(G565&lt;=0,"n/m",F565/G565)</x:f>
        <x:v>0</x:v>
      </x:c>
      <x:c r="I565" s="170" t="n">
        <x:v>0</x:v>
      </x:c>
      <x:c r="J565" s="170" t="n">
        <x:v>27.35</x:v>
      </x:c>
      <x:c r="K565" s="170" t="n">
        <x:v>0</x:v>
      </x:c>
      <x:c r="L565" s="177" t="n">
        <x:v>0</x:v>
      </x:c>
      <x:c r="M565" s="177" t="n">
        <x:f>MLCF!E173</x:f>
        <x:v>0</x:v>
      </x:c>
      <x:c r="N565" s="178" t="str">
        <x:f>IF(AND(ABS(F565-I565)&lt;0.000001,ABS(G565-J565)&lt;0.000001,IF(ISNUMBER(L565),IF(ISNUMBER(M565),ABS(L565-M565)&lt;0.00000001,FALSE),M565=L565)),"PASS","FAIL")</x:f>
        <x:v>PASS</x:v>
      </x:c>
      <x:c r="O565" s="99" t="str"/>
      <x:c r="P565" s="76" t="str">
        <x:v>Market Value</x:v>
      </x:c>
    </x:row>
    <x:row r="566" ht="26" customHeight="1">
      <x:c r="A566" s="168" t="str">
        <x:v>MLCF</x:v>
      </x:c>
      <x:c r="B566" s="168" t="n">
        <x:v>2022</x:v>
      </x:c>
      <x:c r="C566" s="168" t="n">
        <x:v>33</x:v>
      </x:c>
      <x:c r="D566" s="168" t="str">
        <x:v>Dividend payout ratio</x:v>
      </x:c>
      <x:c r="E566" s="168" t="str">
        <x:v>Additional</x:v>
      </x:c>
      <x:c r="F566" s="169" t="n">
        <x:f>MLCF!E131</x:f>
        <x:v>0</x:v>
      </x:c>
      <x:c r="G566" s="169" t="n">
        <x:f>MLCF!E99/MLCF!E129</x:f>
        <x:v>3.3041099784606085</x:v>
      </x:c>
      <x:c r="H566" s="169" t="n">
        <x:f>IF(G566&lt;=0,"n/m",F566/G566)</x:f>
        <x:v>0</x:v>
      </x:c>
      <x:c r="I566" s="169" t="n">
        <x:v>0</x:v>
      </x:c>
      <x:c r="J566" s="169" t="n">
        <x:v>3.3041099784606076</x:v>
      </x:c>
      <x:c r="K566" s="169" t="n">
        <x:v>0</x:v>
      </x:c>
      <x:c r="L566" s="175" t="n">
        <x:v>0</x:v>
      </x:c>
      <x:c r="M566" s="175" t="n">
        <x:f>MLCF!E174</x:f>
        <x:v>0</x:v>
      </x:c>
      <x:c r="N566" s="176" t="str">
        <x:f>IF(AND(ABS(F566-I566)&lt;0.000001,ABS(G566-J566)&lt;0.000001,IF(ISNUMBER(L566),IF(ISNUMBER(M566),ABS(L566-M566)&lt;0.00000001,FALSE),M566=L566)),"PASS","FAIL")</x:f>
        <x:v>PASS</x:v>
      </x:c>
      <x:c r="O566" s="171" t="str"/>
      <x:c r="P566" s="168" t="str">
        <x:v>Market Value</x:v>
      </x:c>
    </x:row>
    <x:row r="567" ht="26" customHeight="1">
      <x:c r="A567" s="76" t="str">
        <x:v>MLCF</x:v>
      </x:c>
      <x:c r="B567" s="76" t="n">
        <x:v>2023</x:v>
      </x:c>
      <x:c r="C567" s="76" t="n">
        <x:v>1</x:v>
      </x:c>
      <x:c r="D567" s="76" t="str">
        <x:v>Current ratio</x:v>
      </x:c>
      <x:c r="E567" s="76" t="str">
        <x:v>Mandatory</x:v>
      </x:c>
      <x:c r="F567" s="170" t="n">
        <x:f>MLCF!F36</x:f>
        <x:v>22239.666999999998</x:v>
      </x:c>
      <x:c r="G567" s="170" t="n">
        <x:f>MLCF!F61</x:f>
        <x:v>16215.021</x:v>
      </x:c>
      <x:c r="H567" s="170" t="n">
        <x:f>IF(G567&lt;=0,"n/m",F567/G567)</x:f>
        <x:v>1.3715472215546312</x:v>
      </x:c>
      <x:c r="I567" s="170" t="n">
        <x:v>22239.667</x:v>
      </x:c>
      <x:c r="J567" s="170" t="n">
        <x:v>16215.021</x:v>
      </x:c>
      <x:c r="K567" s="170" t="n">
        <x:v>1.3715472215546314</x:v>
      </x:c>
      <x:c r="L567" s="177" t="n">
        <x:v>1.3715472215546314</x:v>
      </x:c>
      <x:c r="M567" s="177" t="n">
        <x:f>MLCF!F138</x:f>
        <x:v>1.3715472215546312</x:v>
      </x:c>
      <x:c r="N567" s="178" t="str">
        <x:f>IF(AND(ABS(F567-I567)&lt;0.000001,ABS(G567-J567)&lt;0.000001,IF(ISNUMBER(L567),IF(ISNUMBER(M567),ABS(L567-M567)&lt;0.00000001,FALSE),M567=L567)),"PASS","FAIL")</x:f>
        <x:v>PASS</x:v>
      </x:c>
      <x:c r="O567" s="99" t="str"/>
      <x:c r="P567" s="76" t="str">
        <x:v>Liquidity</x:v>
      </x:c>
    </x:row>
    <x:row r="568" ht="26" customHeight="1">
      <x:c r="A568" s="168" t="str">
        <x:v>MLCF</x:v>
      </x:c>
      <x:c r="B568" s="168" t="n">
        <x:v>2023</x:v>
      </x:c>
      <x:c r="C568" s="168" t="n">
        <x:v>2</x:v>
      </x:c>
      <x:c r="D568" s="168" t="str">
        <x:v>Quick ratio</x:v>
      </x:c>
      <x:c r="E568" s="168" t="str">
        <x:v>Mandatory</x:v>
      </x:c>
      <x:c r="F568" s="169" t="n">
        <x:f>MLCF!F36-MLCF!F65</x:f>
        <x:v>8439.206999999999</x:v>
      </x:c>
      <x:c r="G568" s="169" t="n">
        <x:f>MLCF!F61</x:f>
        <x:v>16215.021</x:v>
      </x:c>
      <x:c r="H568" s="169" t="n">
        <x:f>IF(G568&lt;=0,"n/m",F568/G568)</x:f>
        <x:v>0.5204561252187091</x:v>
      </x:c>
      <x:c r="I568" s="169" t="n">
        <x:v>8439.207000000002</x:v>
      </x:c>
      <x:c r="J568" s="169" t="n">
        <x:v>16215.021</x:v>
      </x:c>
      <x:c r="K568" s="169" t="n">
        <x:v>0.5204561252187093</x:v>
      </x:c>
      <x:c r="L568" s="175" t="n">
        <x:v>0.5204561252187093</x:v>
      </x:c>
      <x:c r="M568" s="175" t="n">
        <x:f>MLCF!F139</x:f>
        <x:v>0.5204561252187091</x:v>
      </x:c>
      <x:c r="N568" s="176" t="str">
        <x:f>IF(AND(ABS(F568-I568)&lt;0.000001,ABS(G568-J568)&lt;0.000001,IF(ISNUMBER(L568),IF(ISNUMBER(M568),ABS(L568-M568)&lt;0.00000001,FALSE),M568=L568)),"PASS","FAIL")</x:f>
        <x:v>PASS</x:v>
      </x:c>
      <x:c r="O568" s="171" t="str"/>
      <x:c r="P568" s="168" t="str">
        <x:v>Liquidity</x:v>
      </x:c>
    </x:row>
    <x:row r="569" ht="26" customHeight="1">
      <x:c r="A569" s="76" t="str">
        <x:v>MLCF</x:v>
      </x:c>
      <x:c r="B569" s="76" t="n">
        <x:v>2023</x:v>
      </x:c>
      <x:c r="C569" s="76" t="n">
        <x:v>3</x:v>
      </x:c>
      <x:c r="D569" s="76" t="str">
        <x:v>Cash ratio</x:v>
      </x:c>
      <x:c r="E569" s="76" t="str">
        <x:v>Mandatory</x:v>
      </x:c>
      <x:c r="F569" s="170" t="n">
        <x:f>MLCF!F34</x:f>
        <x:v>740.707</x:v>
      </x:c>
      <x:c r="G569" s="170" t="n">
        <x:f>MLCF!F61</x:f>
        <x:v>16215.021</x:v>
      </x:c>
      <x:c r="H569" s="170" t="n">
        <x:f>IF(G569&lt;=0,"n/m",F569/G569)</x:f>
        <x:v>0.04568029853307005</x:v>
      </x:c>
      <x:c r="I569" s="170" t="n">
        <x:v>740.707</x:v>
      </x:c>
      <x:c r="J569" s="170" t="n">
        <x:v>16215.021</x:v>
      </x:c>
      <x:c r="K569" s="170" t="n">
        <x:v>0.04568029853307005</x:v>
      </x:c>
      <x:c r="L569" s="177" t="n">
        <x:v>0.04568029853307005</x:v>
      </x:c>
      <x:c r="M569" s="177" t="n">
        <x:f>MLCF!F140</x:f>
        <x:v>0.04568029853307005</x:v>
      </x:c>
      <x:c r="N569" s="178" t="str">
        <x:f>IF(AND(ABS(F569-I569)&lt;0.000001,ABS(G569-J569)&lt;0.000001,IF(ISNUMBER(L569),IF(ISNUMBER(M569),ABS(L569-M569)&lt;0.00000001,FALSE),M569=L569)),"PASS","FAIL")</x:f>
        <x:v>PASS</x:v>
      </x:c>
      <x:c r="O569" s="99" t="str"/>
      <x:c r="P569" s="76" t="str">
        <x:v>Liquidity</x:v>
      </x:c>
    </x:row>
    <x:row r="570" ht="26" customHeight="1">
      <x:c r="A570" s="168" t="str">
        <x:v>MLCF</x:v>
      </x:c>
      <x:c r="B570" s="168" t="n">
        <x:v>2023</x:v>
      </x:c>
      <x:c r="C570" s="168" t="n">
        <x:v>4</x:v>
      </x:c>
      <x:c r="D570" s="168" t="str">
        <x:v>Net working capital (PKR m)</x:v>
      </x:c>
      <x:c r="E570" s="168" t="str">
        <x:v>Additional</x:v>
      </x:c>
      <x:c r="F570" s="169" t="n">
        <x:f>MLCF!F36-MLCF!F61</x:f>
        <x:v>6024.645999999997</x:v>
      </x:c>
      <x:c r="G570" s="169" t="n">
        <x:f>1</x:f>
        <x:v>1</x:v>
      </x:c>
      <x:c r="H570" s="169" t="n">
        <x:f>IF(G570&lt;=0,"n/m",F570/G570)</x:f>
        <x:v>6024.645999999997</x:v>
      </x:c>
      <x:c r="I570" s="169" t="n">
        <x:v>6024.646000000001</x:v>
      </x:c>
      <x:c r="J570" s="169" t="n">
        <x:v>1</x:v>
      </x:c>
      <x:c r="K570" s="169" t="n">
        <x:v>6024.646000000001</x:v>
      </x:c>
      <x:c r="L570" s="175" t="n">
        <x:v>6024.646000000001</x:v>
      </x:c>
      <x:c r="M570" s="175" t="n">
        <x:f>MLCF!F141</x:f>
        <x:v>6024.645999999997</x:v>
      </x:c>
      <x:c r="N570" s="176" t="str">
        <x:f>IF(AND(ABS(F570-I570)&lt;0.000001,ABS(G570-J570)&lt;0.000001,IF(ISNUMBER(L570),IF(ISNUMBER(M570),ABS(L570-M570)&lt;0.00000001,FALSE),M570=L570)),"PASS","FAIL")</x:f>
        <x:v>PASS</x:v>
      </x:c>
      <x:c r="O570" s="171" t="str"/>
      <x:c r="P570" s="168" t="str">
        <x:v>Liquidity</x:v>
      </x:c>
    </x:row>
    <x:row r="571" ht="26" customHeight="1">
      <x:c r="A571" s="76" t="str">
        <x:v>MLCF</x:v>
      </x:c>
      <x:c r="B571" s="76" t="n">
        <x:v>2023</x:v>
      </x:c>
      <x:c r="C571" s="76" t="n">
        <x:v>5</x:v>
      </x:c>
      <x:c r="D571" s="76" t="str">
        <x:v>Net operating working capital (PKR m)</x:v>
      </x:c>
      <x:c r="E571" s="76" t="str">
        <x:v>Additional</x:v>
      </x:c>
      <x:c r="F571" s="170" t="n">
        <x:f>MLCF!F72-MLCF!F73</x:f>
        <x:v>5291.223999999998</x:v>
      </x:c>
      <x:c r="G571" s="170" t="n">
        <x:f>1</x:f>
        <x:v>1</x:v>
      </x:c>
      <x:c r="H571" s="170" t="n">
        <x:f>IF(G571&lt;=0,"n/m",F571/G571)</x:f>
        <x:v>5291.223999999998</x:v>
      </x:c>
      <x:c r="I571" s="170" t="n">
        <x:v>5291.224000000002</x:v>
      </x:c>
      <x:c r="J571" s="170" t="n">
        <x:v>1</x:v>
      </x:c>
      <x:c r="K571" s="170" t="n">
        <x:v>5291.224000000002</x:v>
      </x:c>
      <x:c r="L571" s="177" t="n">
        <x:v>5291.224000000002</x:v>
      </x:c>
      <x:c r="M571" s="177" t="n">
        <x:f>MLCF!F142</x:f>
        <x:v>5291.223999999998</x:v>
      </x:c>
      <x:c r="N571" s="178" t="str">
        <x:f>IF(AND(ABS(F571-I571)&lt;0.000001,ABS(G571-J571)&lt;0.000001,IF(ISNUMBER(L571),IF(ISNUMBER(M571),ABS(L571-M571)&lt;0.00000001,FALSE),M571=L571)),"PASS","FAIL")</x:f>
        <x:v>PASS</x:v>
      </x:c>
      <x:c r="O571" s="99" t="str"/>
      <x:c r="P571" s="76" t="str">
        <x:v>Liquidity</x:v>
      </x:c>
    </x:row>
    <x:row r="572" ht="26" customHeight="1">
      <x:c r="A572" s="168" t="str">
        <x:v>MLCF</x:v>
      </x:c>
      <x:c r="B572" s="168" t="n">
        <x:v>2023</x:v>
      </x:c>
      <x:c r="C572" s="168" t="n">
        <x:v>6</x:v>
      </x:c>
      <x:c r="D572" s="168" t="str">
        <x:v>Inventory turnover</x:v>
      </x:c>
      <x:c r="E572" s="168" t="str">
        <x:v>Mandatory</x:v>
      </x:c>
      <x:c r="F572" s="169" t="n">
        <x:f>-MLCF!F85</x:f>
        <x:v>43901.906</x:v>
      </x:c>
      <x:c r="G572" s="169" t="n">
        <x:f>AVERAGE(MLCF!E65,MLCF!F65)</x:f>
        <x:v>14674.842999999999</x:v>
      </x:c>
      <x:c r="H572" s="169" t="n">
        <x:f>IF(G572&lt;=0,"n/m",F572/G572)</x:f>
        <x:v>2.991643999189634</x:v>
      </x:c>
      <x:c r="I572" s="169" t="n">
        <x:v>43901.906</x:v>
      </x:c>
      <x:c r="J572" s="169" t="n">
        <x:v>14674.842999999999</x:v>
      </x:c>
      <x:c r="K572" s="169" t="n">
        <x:v>2.991643999189634</x:v>
      </x:c>
      <x:c r="L572" s="175" t="n">
        <x:v>2.991643999189634</x:v>
      </x:c>
      <x:c r="M572" s="175" t="n">
        <x:f>MLCF!F144</x:f>
        <x:v>2.991643999189634</x:v>
      </x:c>
      <x:c r="N572" s="176" t="str">
        <x:f>IF(AND(ABS(F572-I572)&lt;0.000001,ABS(G572-J572)&lt;0.000001,IF(ISNUMBER(L572),IF(ISNUMBER(M572),ABS(L572-M572)&lt;0.00000001,FALSE),M572=L572)),"PASS","FAIL")</x:f>
        <x:v>PASS</x:v>
      </x:c>
      <x:c r="O572" s="171" t="str"/>
      <x:c r="P572" s="168" t="str">
        <x:v>Asset Management</x:v>
      </x:c>
    </x:row>
    <x:row r="573" ht="26" customHeight="1">
      <x:c r="A573" s="76" t="str">
        <x:v>MLCF</x:v>
      </x:c>
      <x:c r="B573" s="76" t="n">
        <x:v>2023</x:v>
      </x:c>
      <x:c r="C573" s="76" t="n">
        <x:v>7</x:v>
      </x:c>
      <x:c r="D573" s="76" t="str">
        <x:v>Receivables turnover</x:v>
      </x:c>
      <x:c r="E573" s="76" t="str">
        <x:v>Additional</x:v>
      </x:c>
      <x:c r="F573" s="170" t="n">
        <x:f>MLCF!F84</x:f>
        <x:v>62075.259</x:v>
      </x:c>
      <x:c r="G573" s="170" t="n">
        <x:f>AVERAGE(MLCF!E32,MLCF!F32)</x:f>
        <x:v>2333.5985</x:v>
      </x:c>
      <x:c r="H573" s="170" t="n">
        <x:f>IF(G573&lt;=0,"n/m",F573/G573)</x:f>
        <x:v>26.600659453629234</x:v>
      </x:c>
      <x:c r="I573" s="170" t="n">
        <x:v>62075.259</x:v>
      </x:c>
      <x:c r="J573" s="170" t="n">
        <x:v>2333.5985</x:v>
      </x:c>
      <x:c r="K573" s="170" t="n">
        <x:v>26.600659453629234</x:v>
      </x:c>
      <x:c r="L573" s="177" t="n">
        <x:v>26.600659453629234</x:v>
      </x:c>
      <x:c r="M573" s="177" t="n">
        <x:f>MLCF!F145</x:f>
        <x:v>26.600659453629234</x:v>
      </x:c>
      <x:c r="N573" s="178" t="str">
        <x:f>IF(AND(ABS(F573-I573)&lt;0.000001,ABS(G573-J573)&lt;0.000001,IF(ISNUMBER(L573),IF(ISNUMBER(M573),ABS(L573-M573)&lt;0.00000001,FALSE),M573=L573)),"PASS","FAIL")</x:f>
        <x:v>PASS</x:v>
      </x:c>
      <x:c r="O573" s="99" t="str"/>
      <x:c r="P573" s="76" t="str">
        <x:v>Asset Management</x:v>
      </x:c>
    </x:row>
    <x:row r="574" ht="26" customHeight="1">
      <x:c r="A574" s="168" t="str">
        <x:v>MLCF</x:v>
      </x:c>
      <x:c r="B574" s="168" t="n">
        <x:v>2023</x:v>
      </x:c>
      <x:c r="C574" s="168" t="n">
        <x:v>8</x:v>
      </x:c>
      <x:c r="D574" s="168" t="str">
        <x:v>Payables turnover</x:v>
      </x:c>
      <x:c r="E574" s="168" t="str">
        <x:v>Additional</x:v>
      </x:c>
      <x:c r="F574" s="169" t="n">
        <x:f>-MLCF!F85</x:f>
        <x:v>43901.906</x:v>
      </x:c>
      <x:c r="G574" s="169" t="n">
        <x:f>AVERAGE(MLCF!E51,MLCF!F51)</x:f>
        <x:v>5392.263999999999</x:v>
      </x:c>
      <x:c r="H574" s="169" t="n">
        <x:f>IF(G574&lt;=0,"n/m",F574/G574)</x:f>
        <x:v>8.141646254708599</x:v>
      </x:c>
      <x:c r="I574" s="169" t="n">
        <x:v>43901.906</x:v>
      </x:c>
      <x:c r="J574" s="169" t="n">
        <x:v>5392.263999999999</x:v>
      </x:c>
      <x:c r="K574" s="169" t="n">
        <x:v>8.141646254708599</x:v>
      </x:c>
      <x:c r="L574" s="175" t="n">
        <x:v>8.141646254708599</x:v>
      </x:c>
      <x:c r="M574" s="175" t="n">
        <x:f>MLCF!F146</x:f>
        <x:v>8.141646254708599</x:v>
      </x:c>
      <x:c r="N574" s="176" t="str">
        <x:f>IF(AND(ABS(F574-I574)&lt;0.000001,ABS(G574-J574)&lt;0.000001,IF(ISNUMBER(L574),IF(ISNUMBER(M574),ABS(L574-M574)&lt;0.00000001,FALSE),M574=L574)),"PASS","FAIL")</x:f>
        <x:v>PASS</x:v>
      </x:c>
      <x:c r="O574" s="171" t="str"/>
      <x:c r="P574" s="168" t="str">
        <x:v>Asset Management</x:v>
      </x:c>
    </x:row>
    <x:row r="575" ht="26" customHeight="1">
      <x:c r="A575" s="76" t="str">
        <x:v>MLCF</x:v>
      </x:c>
      <x:c r="B575" s="76" t="n">
        <x:v>2023</x:v>
      </x:c>
      <x:c r="C575" s="76" t="n">
        <x:v>9</x:v>
      </x:c>
      <x:c r="D575" s="76" t="str">
        <x:v>Days inventory outstanding</x:v>
      </x:c>
      <x:c r="E575" s="76" t="str">
        <x:v>Additional</x:v>
      </x:c>
      <x:c r="F575" s="170" t="n">
        <x:f>365*AVERAGE(MLCF!E65,MLCF!F65)</x:f>
        <x:v>5356317.694999999</x:v>
      </x:c>
      <x:c r="G575" s="170" t="n">
        <x:f>-MLCF!F85</x:f>
        <x:v>43901.906</x:v>
      </x:c>
      <x:c r="H575" s="170" t="n">
        <x:f>IF(G575&lt;=0,"n/m",F575/G575)</x:f>
        <x:v>122.0064954583065</x:v>
      </x:c>
      <x:c r="I575" s="170" t="n">
        <x:v>5356317.694999999</x:v>
      </x:c>
      <x:c r="J575" s="170" t="n">
        <x:v>43901.906</x:v>
      </x:c>
      <x:c r="K575" s="170" t="n">
        <x:v>122.0064954583065</x:v>
      </x:c>
      <x:c r="L575" s="177" t="n">
        <x:v>122.0064954583065</x:v>
      </x:c>
      <x:c r="M575" s="177" t="n">
        <x:f>MLCF!F147</x:f>
        <x:v>122.0064954583065</x:v>
      </x:c>
      <x:c r="N575" s="178" t="str">
        <x:f>IF(AND(ABS(F575-I575)&lt;0.000001,ABS(G575-J575)&lt;0.000001,IF(ISNUMBER(L575),IF(ISNUMBER(M575),ABS(L575-M575)&lt;0.00000001,FALSE),M575=L575)),"PASS","FAIL")</x:f>
        <x:v>PASS</x:v>
      </x:c>
      <x:c r="O575" s="99" t="str"/>
      <x:c r="P575" s="76" t="str">
        <x:v>Asset Management</x:v>
      </x:c>
    </x:row>
    <x:row r="576" ht="26" customHeight="1">
      <x:c r="A576" s="168" t="str">
        <x:v>MLCF</x:v>
      </x:c>
      <x:c r="B576" s="168" t="n">
        <x:v>2023</x:v>
      </x:c>
      <x:c r="C576" s="168" t="n">
        <x:v>10</x:v>
      </x:c>
      <x:c r="D576" s="168" t="str">
        <x:v>Days sales outstanding</x:v>
      </x:c>
      <x:c r="E576" s="168" t="str">
        <x:v>Mandatory</x:v>
      </x:c>
      <x:c r="F576" s="169" t="n">
        <x:f>365*AVERAGE(MLCF!E32,MLCF!F32)</x:f>
        <x:v>851763.4525</x:v>
      </x:c>
      <x:c r="G576" s="169" t="n">
        <x:f>MLCF!F84</x:f>
        <x:v>62075.259</x:v>
      </x:c>
      <x:c r="H576" s="169" t="n">
        <x:f>IF(G576&lt;=0,"n/m",F576/G576)</x:f>
        <x:v>13.72146433573479</x:v>
      </x:c>
      <x:c r="I576" s="169" t="n">
        <x:v>851763.4525</x:v>
      </x:c>
      <x:c r="J576" s="169" t="n">
        <x:v>62075.259</x:v>
      </x:c>
      <x:c r="K576" s="169" t="n">
        <x:v>13.72146433573479</x:v>
      </x:c>
      <x:c r="L576" s="175" t="n">
        <x:v>13.72146433573479</x:v>
      </x:c>
      <x:c r="M576" s="175" t="n">
        <x:f>MLCF!F148</x:f>
        <x:v>13.72146433573479</x:v>
      </x:c>
      <x:c r="N576" s="176" t="str">
        <x:f>IF(AND(ABS(F576-I576)&lt;0.000001,ABS(G576-J576)&lt;0.000001,IF(ISNUMBER(L576),IF(ISNUMBER(M576),ABS(L576-M576)&lt;0.00000001,FALSE),M576=L576)),"PASS","FAIL")</x:f>
        <x:v>PASS</x:v>
      </x:c>
      <x:c r="O576" s="171" t="str"/>
      <x:c r="P576" s="168" t="str">
        <x:v>Asset Management</x:v>
      </x:c>
    </x:row>
    <x:row r="577" ht="26" customHeight="1">
      <x:c r="A577" s="76" t="str">
        <x:v>MLCF</x:v>
      </x:c>
      <x:c r="B577" s="76" t="n">
        <x:v>2023</x:v>
      </x:c>
      <x:c r="C577" s="76" t="n">
        <x:v>11</x:v>
      </x:c>
      <x:c r="D577" s="76" t="str">
        <x:v>Days payables outstanding</x:v>
      </x:c>
      <x:c r="E577" s="76" t="str">
        <x:v>Additional</x:v>
      </x:c>
      <x:c r="F577" s="170" t="n">
        <x:f>365*AVERAGE(MLCF!E51,MLCF!F51)</x:f>
        <x:v>1968176.3599999996</x:v>
      </x:c>
      <x:c r="G577" s="170" t="n">
        <x:f>-MLCF!F85</x:f>
        <x:v>43901.906</x:v>
      </x:c>
      <x:c r="H577" s="170" t="n">
        <x:f>IF(G577&lt;=0,"n/m",F577/G577)</x:f>
        <x:v>44.831228056476625</x:v>
      </x:c>
      <x:c r="I577" s="170" t="n">
        <x:v>1968176.3599999996</x:v>
      </x:c>
      <x:c r="J577" s="170" t="n">
        <x:v>43901.906</x:v>
      </x:c>
      <x:c r="K577" s="170" t="n">
        <x:v>44.831228056476625</x:v>
      </x:c>
      <x:c r="L577" s="177" t="n">
        <x:v>44.831228056476625</x:v>
      </x:c>
      <x:c r="M577" s="177" t="n">
        <x:f>MLCF!F149</x:f>
        <x:v>44.831228056476625</x:v>
      </x:c>
      <x:c r="N577" s="178" t="str">
        <x:f>IF(AND(ABS(F577-I577)&lt;0.000001,ABS(G577-J577)&lt;0.000001,IF(ISNUMBER(L577),IF(ISNUMBER(M577),ABS(L577-M577)&lt;0.00000001,FALSE),M577=L577)),"PASS","FAIL")</x:f>
        <x:v>PASS</x:v>
      </x:c>
      <x:c r="O577" s="99" t="str"/>
      <x:c r="P577" s="76" t="str">
        <x:v>Asset Management</x:v>
      </x:c>
    </x:row>
    <x:row r="578" ht="26" customHeight="1">
      <x:c r="A578" s="168" t="str">
        <x:v>MLCF</x:v>
      </x:c>
      <x:c r="B578" s="168" t="n">
        <x:v>2023</x:v>
      </x:c>
      <x:c r="C578" s="168" t="n">
        <x:v>12</x:v>
      </x:c>
      <x:c r="D578" s="168" t="str">
        <x:v>Operating cycle (days)</x:v>
      </x:c>
      <x:c r="E578" s="168" t="str">
        <x:v>Additional</x:v>
      </x:c>
      <x:c r="F578" s="169" t="n">
        <x:f>365*AVERAGE(MLCF!E65,MLCF!F65)/(-MLCF!F85)+365*AVERAGE(MLCF!E32,MLCF!F32)/MLCF!F84</x:f>
        <x:v>135.72795979404128</x:v>
      </x:c>
      <x:c r="G578" s="169" t="n">
        <x:f>1</x:f>
        <x:v>1</x:v>
      </x:c>
      <x:c r="H578" s="169" t="n">
        <x:f>IF(G578&lt;=0,"n/m",F578/G578)</x:f>
        <x:v>135.72795979404128</x:v>
      </x:c>
      <x:c r="I578" s="169" t="n">
        <x:v>135.72795979404128</x:v>
      </x:c>
      <x:c r="J578" s="169" t="n">
        <x:v>1</x:v>
      </x:c>
      <x:c r="K578" s="169" t="n">
        <x:v>135.72795979404128</x:v>
      </x:c>
      <x:c r="L578" s="175" t="n">
        <x:v>135.72795979404128</x:v>
      </x:c>
      <x:c r="M578" s="175" t="n">
        <x:f>MLCF!F150</x:f>
        <x:v>135.72795979404128</x:v>
      </x:c>
      <x:c r="N578" s="176" t="str">
        <x:f>IF(AND(ABS(F578-I578)&lt;0.000001,ABS(G578-J578)&lt;0.000001,IF(ISNUMBER(L578),IF(ISNUMBER(M578),ABS(L578-M578)&lt;0.00000001,FALSE),M578=L578)),"PASS","FAIL")</x:f>
        <x:v>PASS</x:v>
      </x:c>
      <x:c r="O578" s="171" t="str"/>
      <x:c r="P578" s="168" t="str">
        <x:v>Asset Management</x:v>
      </x:c>
    </x:row>
    <x:row r="579" ht="26" customHeight="1">
      <x:c r="A579" s="76" t="str">
        <x:v>MLCF</x:v>
      </x:c>
      <x:c r="B579" s="76" t="n">
        <x:v>2023</x:v>
      </x:c>
      <x:c r="C579" s="76" t="n">
        <x:v>13</x:v>
      </x:c>
      <x:c r="D579" s="76" t="str">
        <x:v>Cash conversion cycle (days)</x:v>
      </x:c>
      <x:c r="E579" s="76" t="str">
        <x:v>Additional</x:v>
      </x:c>
      <x:c r="F579" s="170" t="n">
        <x:f>365*AVERAGE(MLCF!E65,MLCF!F65)/(-MLCF!F85)+365*AVERAGE(MLCF!E32,MLCF!F32)/MLCF!F84-365*AVERAGE(MLCF!E51,MLCF!F51)/(-MLCF!F85)</x:f>
        <x:v>90.89673173756466</x:v>
      </x:c>
      <x:c r="G579" s="170" t="n">
        <x:f>1</x:f>
        <x:v>1</x:v>
      </x:c>
      <x:c r="H579" s="170" t="n">
        <x:f>IF(G579&lt;=0,"n/m",F579/G579)</x:f>
        <x:v>90.89673173756466</x:v>
      </x:c>
      <x:c r="I579" s="170" t="n">
        <x:v>90.89673173756466</x:v>
      </x:c>
      <x:c r="J579" s="170" t="n">
        <x:v>1</x:v>
      </x:c>
      <x:c r="K579" s="170" t="n">
        <x:v>90.89673173756466</x:v>
      </x:c>
      <x:c r="L579" s="177" t="n">
        <x:v>90.89673173756466</x:v>
      </x:c>
      <x:c r="M579" s="177" t="n">
        <x:f>MLCF!F151</x:f>
        <x:v>90.89673173756466</x:v>
      </x:c>
      <x:c r="N579" s="178" t="str">
        <x:f>IF(AND(ABS(F579-I579)&lt;0.000001,ABS(G579-J579)&lt;0.000001,IF(ISNUMBER(L579),IF(ISNUMBER(M579),ABS(L579-M579)&lt;0.00000001,FALSE),M579=L579)),"PASS","FAIL")</x:f>
        <x:v>PASS</x:v>
      </x:c>
      <x:c r="O579" s="99" t="str"/>
      <x:c r="P579" s="76" t="str">
        <x:v>Asset Management</x:v>
      </x:c>
    </x:row>
    <x:row r="580" ht="26" customHeight="1">
      <x:c r="A580" s="168" t="str">
        <x:v>MLCF</x:v>
      </x:c>
      <x:c r="B580" s="168" t="n">
        <x:v>2023</x:v>
      </x:c>
      <x:c r="C580" s="168" t="n">
        <x:v>14</x:v>
      </x:c>
      <x:c r="D580" s="168" t="str">
        <x:v>Total asset turnover</x:v>
      </x:c>
      <x:c r="E580" s="168" t="str">
        <x:v>Mandatory</x:v>
      </x:c>
      <x:c r="F580" s="169" t="n">
        <x:f>MLCF!F84</x:f>
        <x:v>62075.259</x:v>
      </x:c>
      <x:c r="G580" s="169" t="n">
        <x:f>AVERAGE(MLCF!E37,MLCF!F37)</x:f>
        <x:v>85960.9605</x:v>
      </x:c>
      <x:c r="H580" s="169" t="n">
        <x:f>IF(G580&lt;=0,"n/m",F580/G580)</x:f>
        <x:v>0.7221331478723996</x:v>
      </x:c>
      <x:c r="I580" s="169" t="n">
        <x:v>62075.259</x:v>
      </x:c>
      <x:c r="J580" s="169" t="n">
        <x:v>85960.96049999999</x:v>
      </x:c>
      <x:c r="K580" s="169" t="n">
        <x:v>0.7221331478723997</x:v>
      </x:c>
      <x:c r="L580" s="175" t="n">
        <x:v>0.7221331478723997</x:v>
      </x:c>
      <x:c r="M580" s="175" t="n">
        <x:f>MLCF!F152</x:f>
        <x:v>0.7221331478723996</x:v>
      </x:c>
      <x:c r="N580" s="176" t="str">
        <x:f>IF(AND(ABS(F580-I580)&lt;0.000001,ABS(G580-J580)&lt;0.000001,IF(ISNUMBER(L580),IF(ISNUMBER(M580),ABS(L580-M580)&lt;0.00000001,FALSE),M580=L580)),"PASS","FAIL")</x:f>
        <x:v>PASS</x:v>
      </x:c>
      <x:c r="O580" s="171" t="str"/>
      <x:c r="P580" s="168" t="str">
        <x:v>Asset Management</x:v>
      </x:c>
    </x:row>
    <x:row r="581" ht="26" customHeight="1">
      <x:c r="A581" s="76" t="str">
        <x:v>MLCF</x:v>
      </x:c>
      <x:c r="B581" s="76" t="n">
        <x:v>2023</x:v>
      </x:c>
      <x:c r="C581" s="76" t="n">
        <x:v>15</x:v>
      </x:c>
      <x:c r="D581" s="76" t="str">
        <x:v>Fixed asset turnover</x:v>
      </x:c>
      <x:c r="E581" s="76" t="str">
        <x:v>Mandatory</x:v>
      </x:c>
      <x:c r="F581" s="170" t="n">
        <x:f>MLCF!F84</x:f>
        <x:v>62075.259</x:v>
      </x:c>
      <x:c r="G581" s="170" t="n">
        <x:f>AVERAGE(MLCF!E22,MLCF!F22)</x:f>
        <x:v>51054.92599999999</x:v>
      </x:c>
      <x:c r="H581" s="170" t="n">
        <x:f>IF(G581&lt;=0,"n/m",F581/G581)</x:f>
        <x:v>1.2158524918829576</x:v>
      </x:c>
      <x:c r="I581" s="170" t="n">
        <x:v>62075.259</x:v>
      </x:c>
      <x:c r="J581" s="170" t="n">
        <x:v>51054.92599999999</x:v>
      </x:c>
      <x:c r="K581" s="170" t="n">
        <x:v>1.2158524918829576</x:v>
      </x:c>
      <x:c r="L581" s="177" t="n">
        <x:v>1.2158524918829576</x:v>
      </x:c>
      <x:c r="M581" s="177" t="n">
        <x:f>MLCF!F153</x:f>
        <x:v>1.2158524918829576</x:v>
      </x:c>
      <x:c r="N581" s="178" t="str">
        <x:f>IF(AND(ABS(F581-I581)&lt;0.000001,ABS(G581-J581)&lt;0.000001,IF(ISNUMBER(L581),IF(ISNUMBER(M581),ABS(L581-M581)&lt;0.00000001,FALSE),M581=L581)),"PASS","FAIL")</x:f>
        <x:v>PASS</x:v>
      </x:c>
      <x:c r="O581" s="99" t="str"/>
      <x:c r="P581" s="76" t="str">
        <x:v>Asset Management</x:v>
      </x:c>
    </x:row>
    <x:row r="582" ht="26" customHeight="1">
      <x:c r="A582" s="168" t="str">
        <x:v>MLCF</x:v>
      </x:c>
      <x:c r="B582" s="168" t="n">
        <x:v>2023</x:v>
      </x:c>
      <x:c r="C582" s="168" t="n">
        <x:v>16</x:v>
      </x:c>
      <x:c r="D582" s="168" t="str">
        <x:v>Debt ratio</x:v>
      </x:c>
      <x:c r="E582" s="168" t="str">
        <x:v>Mandatory</x:v>
      </x:c>
      <x:c r="F582" s="169" t="n">
        <x:f>MLCF!F62</x:f>
        <x:v>44794.596999999994</x:v>
      </x:c>
      <x:c r="G582" s="169" t="n">
        <x:f>MLCF!F37</x:f>
        <x:v>89707.71100000001</x:v>
      </x:c>
      <x:c r="H582" s="169" t="n">
        <x:f>IF(G582&lt;=0,"n/m",F582/G582)</x:f>
        <x:v>0.49933942690835115</x:v>
      </x:c>
      <x:c r="I582" s="169" t="n">
        <x:v>44794.596999999994</x:v>
      </x:c>
      <x:c r="J582" s="169" t="n">
        <x:v>89707.711</x:v>
      </x:c>
      <x:c r="K582" s="169" t="n">
        <x:v>0.49933942690835126</x:v>
      </x:c>
      <x:c r="L582" s="175" t="n">
        <x:v>0.49933942690835126</x:v>
      </x:c>
      <x:c r="M582" s="175" t="n">
        <x:f>MLCF!F155</x:f>
        <x:v>0.49933942690835115</x:v>
      </x:c>
      <x:c r="N582" s="176" t="str">
        <x:f>IF(AND(ABS(F582-I582)&lt;0.000001,ABS(G582-J582)&lt;0.000001,IF(ISNUMBER(L582),IF(ISNUMBER(M582),ABS(L582-M582)&lt;0.00000001,FALSE),M582=L582)),"PASS","FAIL")</x:f>
        <x:v>PASS</x:v>
      </x:c>
      <x:c r="O582" s="171" t="str"/>
      <x:c r="P582" s="168" t="str">
        <x:v>Debt Management</x:v>
      </x:c>
    </x:row>
    <x:row r="583" ht="26" customHeight="1">
      <x:c r="A583" s="76" t="str">
        <x:v>MLCF</x:v>
      </x:c>
      <x:c r="B583" s="76" t="n">
        <x:v>2023</x:v>
      </x:c>
      <x:c r="C583" s="76" t="n">
        <x:v>17</x:v>
      </x:c>
      <x:c r="D583" s="76" t="str">
        <x:v>Debt-to-equity</x:v>
      </x:c>
      <x:c r="E583" s="76" t="str">
        <x:v>Mandatory</x:v>
      </x:c>
      <x:c r="F583" s="170" t="n">
        <x:f>MLCF!F62</x:f>
        <x:v>44794.596999999994</x:v>
      </x:c>
      <x:c r="G583" s="170" t="n">
        <x:f>MLCF!F41</x:f>
        <x:v>44913.114</x:v>
      </x:c>
      <x:c r="H583" s="170" t="n">
        <x:f>IF(G583&lt;=0,"n/m",F583/G583)</x:f>
        <x:v>0.9973611938820361</x:v>
      </x:c>
      <x:c r="I583" s="170" t="n">
        <x:v>44794.596999999994</x:v>
      </x:c>
      <x:c r="J583" s="170" t="n">
        <x:v>44913.114</x:v>
      </x:c>
      <x:c r="K583" s="170" t="n">
        <x:v>0.9973611938820361</x:v>
      </x:c>
      <x:c r="L583" s="177" t="n">
        <x:v>0.9973611938820361</x:v>
      </x:c>
      <x:c r="M583" s="177" t="n">
        <x:f>MLCF!F156</x:f>
        <x:v>0.9973611938820361</x:v>
      </x:c>
      <x:c r="N583" s="178" t="str">
        <x:f>IF(AND(ABS(F583-I583)&lt;0.000001,ABS(G583-J583)&lt;0.000001,IF(ISNUMBER(L583),IF(ISNUMBER(M583),ABS(L583-M583)&lt;0.00000001,FALSE),M583=L583)),"PASS","FAIL")</x:f>
        <x:v>PASS</x:v>
      </x:c>
      <x:c r="O583" s="99" t="str"/>
      <x:c r="P583" s="76" t="str">
        <x:v>Debt Management</x:v>
      </x:c>
    </x:row>
    <x:row r="584" ht="26" customHeight="1">
      <x:c r="A584" s="168" t="str">
        <x:v>MLCF</x:v>
      </x:c>
      <x:c r="B584" s="168" t="n">
        <x:v>2023</x:v>
      </x:c>
      <x:c r="C584" s="168" t="n">
        <x:v>18</x:v>
      </x:c>
      <x:c r="D584" s="168" t="str">
        <x:v>Total debt-to-capital</x:v>
      </x:c>
      <x:c r="E584" s="168" t="str">
        <x:v>Additional</x:v>
      </x:c>
      <x:c r="F584" s="169" t="n">
        <x:f>MLCF!F66</x:f>
        <x:v>19874.403000000002</x:v>
      </x:c>
      <x:c r="G584" s="169" t="n">
        <x:f>MLCF!F66+MLCF!F41</x:f>
        <x:v>64787.51700000001</x:v>
      </x:c>
      <x:c r="H584" s="169" t="n">
        <x:f>IF(G584&lt;=0,"n/m",F584/G584)</x:f>
        <x:v>0.30676284445350793</x:v>
      </x:c>
      <x:c r="I584" s="169" t="n">
        <x:v>19874.403</x:v>
      </x:c>
      <x:c r="J584" s="169" t="n">
        <x:v>64787.517</x:v>
      </x:c>
      <x:c r="K584" s="169" t="n">
        <x:v>0.3067628444535079</x:v>
      </x:c>
      <x:c r="L584" s="175" t="n">
        <x:v>0.3067628444535079</x:v>
      </x:c>
      <x:c r="M584" s="175" t="n">
        <x:f>MLCF!F157</x:f>
        <x:v>0.30676284445350793</x:v>
      </x:c>
      <x:c r="N584" s="176" t="str">
        <x:f>IF(AND(ABS(F584-I584)&lt;0.000001,ABS(G584-J584)&lt;0.000001,IF(ISNUMBER(L584),IF(ISNUMBER(M584),ABS(L584-M584)&lt;0.00000001,FALSE),M584=L584)),"PASS","FAIL")</x:f>
        <x:v>PASS</x:v>
      </x:c>
      <x:c r="O584" s="171" t="str"/>
      <x:c r="P584" s="168" t="str">
        <x:v>Debt Management</x:v>
      </x:c>
    </x:row>
    <x:row r="585" ht="26" customHeight="1">
      <x:c r="A585" s="76" t="str">
        <x:v>MLCF</x:v>
      </x:c>
      <x:c r="B585" s="76" t="n">
        <x:v>2023</x:v>
      </x:c>
      <x:c r="C585" s="76" t="n">
        <x:v>19</x:v>
      </x:c>
      <x:c r="D585" s="76" t="str">
        <x:v>Long-term debt ratio</x:v>
      </x:c>
      <x:c r="E585" s="76" t="str">
        <x:v>Additional</x:v>
      </x:c>
      <x:c r="F585" s="170" t="n">
        <x:f>MLCF!F67</x:f>
        <x:v>17264.745</x:v>
      </x:c>
      <x:c r="G585" s="170" t="n">
        <x:f>MLCF!F37</x:f>
        <x:v>89707.71100000001</x:v>
      </x:c>
      <x:c r="H585" s="170" t="n">
        <x:f>IF(G585&lt;=0,"n/m",F585/G585)</x:f>
        <x:v>0.19245552926882725</x:v>
      </x:c>
      <x:c r="I585" s="170" t="n">
        <x:v>17264.745</x:v>
      </x:c>
      <x:c r="J585" s="170" t="n">
        <x:v>89707.711</x:v>
      </x:c>
      <x:c r="K585" s="170" t="n">
        <x:v>0.19245552926882728</x:v>
      </x:c>
      <x:c r="L585" s="177" t="n">
        <x:v>0.19245552926882728</x:v>
      </x:c>
      <x:c r="M585" s="177" t="n">
        <x:f>MLCF!F158</x:f>
        <x:v>0.19245552926882725</x:v>
      </x:c>
      <x:c r="N585" s="178" t="str">
        <x:f>IF(AND(ABS(F585-I585)&lt;0.000001,ABS(G585-J585)&lt;0.000001,IF(ISNUMBER(L585),IF(ISNUMBER(M585),ABS(L585-M585)&lt;0.00000001,FALSE),M585=L585)),"PASS","FAIL")</x:f>
        <x:v>PASS</x:v>
      </x:c>
      <x:c r="O585" s="99" t="str"/>
      <x:c r="P585" s="76" t="str">
        <x:v>Debt Management</x:v>
      </x:c>
    </x:row>
    <x:row r="586" ht="26" customHeight="1">
      <x:c r="A586" s="168" t="str">
        <x:v>MLCF</x:v>
      </x:c>
      <x:c r="B586" s="168" t="n">
        <x:v>2023</x:v>
      </x:c>
      <x:c r="C586" s="168" t="n">
        <x:v>20</x:v>
      </x:c>
      <x:c r="D586" s="168" t="str">
        <x:v>Times interest earned</x:v>
      </x:c>
      <x:c r="E586" s="168" t="str">
        <x:v>Mandatory</x:v>
      </x:c>
      <x:c r="F586" s="169" t="n">
        <x:f>MLCF!F108</x:f>
        <x:v>12001.414999999997</x:v>
      </x:c>
      <x:c r="G586" s="169" t="n">
        <x:f>MLCF!F106</x:f>
        <x:v>2683.175</x:v>
      </x:c>
      <x:c r="H586" s="169" t="n">
        <x:f>IF(G586&lt;=0,"n/m",F586/G586)</x:f>
        <x:v>4.472840944030858</x:v>
      </x:c>
      <x:c r="I586" s="169" t="n">
        <x:v>12001.414999999994</x:v>
      </x:c>
      <x:c r="J586" s="169" t="n">
        <x:v>2683.175</x:v>
      </x:c>
      <x:c r="K586" s="169" t="n">
        <x:v>4.472840944030856</x:v>
      </x:c>
      <x:c r="L586" s="175" t="n">
        <x:v>4.472840944030856</x:v>
      </x:c>
      <x:c r="M586" s="175" t="n">
        <x:f>MLCF!F159</x:f>
        <x:v>4.472840944030858</x:v>
      </x:c>
      <x:c r="N586" s="176" t="str">
        <x:f>IF(AND(ABS(F586-I586)&lt;0.000001,ABS(G586-J586)&lt;0.000001,IF(ISNUMBER(L586),IF(ISNUMBER(M586),ABS(L586-M586)&lt;0.00000001,FALSE),M586=L586)),"PASS","FAIL")</x:f>
        <x:v>PASS</x:v>
      </x:c>
      <x:c r="O586" s="171" t="str"/>
      <x:c r="P586" s="168" t="str">
        <x:v>Debt Management</x:v>
      </x:c>
    </x:row>
    <x:row r="587" ht="26" customHeight="1">
      <x:c r="A587" s="76" t="str">
        <x:v>MLCF</x:v>
      </x:c>
      <x:c r="B587" s="76" t="n">
        <x:v>2023</x:v>
      </x:c>
      <x:c r="C587" s="76" t="n">
        <x:v>21</x:v>
      </x:c>
      <x:c r="D587" s="76" t="str">
        <x:v>Gross profit margin</x:v>
      </x:c>
      <x:c r="E587" s="76" t="str">
        <x:v>Mandatory</x:v>
      </x:c>
      <x:c r="F587" s="170" t="n">
        <x:f>MLCF!F86</x:f>
        <x:v>18173.352999999996</x:v>
      </x:c>
      <x:c r="G587" s="170" t="n">
        <x:f>MLCF!F84</x:f>
        <x:v>62075.259</x:v>
      </x:c>
      <x:c r="H587" s="170" t="n">
        <x:f>IF(G587&lt;=0,"n/m",F587/G587)</x:f>
        <x:v>0.2927632247172742</x:v>
      </x:c>
      <x:c r="I587" s="170" t="n">
        <x:v>18173.352999999996</x:v>
      </x:c>
      <x:c r="J587" s="170" t="n">
        <x:v>62075.259</x:v>
      </x:c>
      <x:c r="K587" s="170" t="n">
        <x:v>0.2927632247172742</x:v>
      </x:c>
      <x:c r="L587" s="177" t="n">
        <x:v>0.2927632247172742</x:v>
      </x:c>
      <x:c r="M587" s="177" t="n">
        <x:f>MLCF!F161</x:f>
        <x:v>0.2927632247172742</x:v>
      </x:c>
      <x:c r="N587" s="178" t="str">
        <x:f>IF(AND(ABS(F587-I587)&lt;0.000001,ABS(G587-J587)&lt;0.000001,IF(ISNUMBER(L587),IF(ISNUMBER(M587),ABS(L587-M587)&lt;0.00000001,FALSE),M587=L587)),"PASS","FAIL")</x:f>
        <x:v>PASS</x:v>
      </x:c>
      <x:c r="O587" s="99" t="str"/>
      <x:c r="P587" s="76" t="str">
        <x:v>Profitability</x:v>
      </x:c>
    </x:row>
    <x:row r="588" ht="26" customHeight="1">
      <x:c r="A588" s="168" t="str">
        <x:v>MLCF</x:v>
      </x:c>
      <x:c r="B588" s="168" t="n">
        <x:v>2023</x:v>
      </x:c>
      <x:c r="C588" s="168" t="n">
        <x:v>22</x:v>
      </x:c>
      <x:c r="D588" s="168" t="str">
        <x:v>Operating margin</x:v>
      </x:c>
      <x:c r="E588" s="168" t="str">
        <x:v>Mandatory</x:v>
      </x:c>
      <x:c r="F588" s="169" t="n">
        <x:f>MLCF!F91</x:f>
        <x:v>11854.768999999997</x:v>
      </x:c>
      <x:c r="G588" s="169" t="n">
        <x:f>MLCF!F84</x:f>
        <x:v>62075.259</x:v>
      </x:c>
      <x:c r="H588" s="169" t="n">
        <x:f>IF(G588&lt;=0,"n/m",F588/G588)</x:f>
        <x:v>0.19097413673296146</x:v>
      </x:c>
      <x:c r="I588" s="169" t="n">
        <x:v>11854.768999999995</x:v>
      </x:c>
      <x:c r="J588" s="169" t="n">
        <x:v>62075.259</x:v>
      </x:c>
      <x:c r="K588" s="169" t="n">
        <x:v>0.19097413673296143</x:v>
      </x:c>
      <x:c r="L588" s="175" t="n">
        <x:v>0.19097413673296143</x:v>
      </x:c>
      <x:c r="M588" s="175" t="n">
        <x:f>MLCF!F162</x:f>
        <x:v>0.19097413673296146</x:v>
      </x:c>
      <x:c r="N588" s="176" t="str">
        <x:f>IF(AND(ABS(F588-I588)&lt;0.000001,ABS(G588-J588)&lt;0.000001,IF(ISNUMBER(L588),IF(ISNUMBER(M588),ABS(L588-M588)&lt;0.00000001,FALSE),M588=L588)),"PASS","FAIL")</x:f>
        <x:v>PASS</x:v>
      </x:c>
      <x:c r="O588" s="171" t="str"/>
      <x:c r="P588" s="168" t="str">
        <x:v>Profitability</x:v>
      </x:c>
    </x:row>
    <x:row r="589" ht="26" customHeight="1">
      <x:c r="A589" s="76" t="str">
        <x:v>MLCF</x:v>
      </x:c>
      <x:c r="B589" s="76" t="n">
        <x:v>2023</x:v>
      </x:c>
      <x:c r="C589" s="76" t="n">
        <x:v>23</x:v>
      </x:c>
      <x:c r="D589" s="76" t="str">
        <x:v>Net profit margin</x:v>
      </x:c>
      <x:c r="E589" s="76" t="str">
        <x:v>Mandatory</x:v>
      </x:c>
      <x:c r="F589" s="170" t="n">
        <x:f>MLCF!F99</x:f>
        <x:v>4491.668999999999</x:v>
      </x:c>
      <x:c r="G589" s="170" t="n">
        <x:f>MLCF!F84</x:f>
        <x:v>62075.259</x:v>
      </x:c>
      <x:c r="H589" s="170" t="n">
        <x:f>IF(G589&lt;=0,"n/m",F589/G589)</x:f>
        <x:v>0.07235844154915244</x:v>
      </x:c>
      <x:c r="I589" s="170" t="n">
        <x:v>4491.668999999995</x:v>
      </x:c>
      <x:c r="J589" s="170" t="n">
        <x:v>62075.259</x:v>
      </x:c>
      <x:c r="K589" s="170" t="n">
        <x:v>0.07235844154915239</x:v>
      </x:c>
      <x:c r="L589" s="177" t="n">
        <x:v>0.07235844154915239</x:v>
      </x:c>
      <x:c r="M589" s="177" t="n">
        <x:f>MLCF!F163</x:f>
        <x:v>0.07235844154915244</x:v>
      </x:c>
      <x:c r="N589" s="178" t="str">
        <x:f>IF(AND(ABS(F589-I589)&lt;0.000001,ABS(G589-J589)&lt;0.000001,IF(ISNUMBER(L589),IF(ISNUMBER(M589),ABS(L589-M589)&lt;0.00000001,FALSE),M589=L589)),"PASS","FAIL")</x:f>
        <x:v>PASS</x:v>
      </x:c>
      <x:c r="O589" s="99" t="str"/>
      <x:c r="P589" s="76" t="str">
        <x:v>Profitability</x:v>
      </x:c>
    </x:row>
    <x:row r="590" ht="26" customHeight="1">
      <x:c r="A590" s="168" t="str">
        <x:v>MLCF</x:v>
      </x:c>
      <x:c r="B590" s="168" t="n">
        <x:v>2023</x:v>
      </x:c>
      <x:c r="C590" s="168" t="n">
        <x:v>24</x:v>
      </x:c>
      <x:c r="D590" s="168" t="str">
        <x:v>Return on assets</x:v>
      </x:c>
      <x:c r="E590" s="168" t="str">
        <x:v>Mandatory</x:v>
      </x:c>
      <x:c r="F590" s="169" t="n">
        <x:f>MLCF!F99</x:f>
        <x:v>4491.668999999999</x:v>
      </x:c>
      <x:c r="G590" s="169" t="n">
        <x:f>AVERAGE(MLCF!E37,MLCF!F37)</x:f>
        <x:v>85960.9605</x:v>
      </x:c>
      <x:c r="H590" s="169" t="n">
        <x:f>IF(G590&lt;=0,"n/m",F590/G590)</x:f>
        <x:v>0.05225242917103048</x:v>
      </x:c>
      <x:c r="I590" s="169" t="n">
        <x:v>4491.668999999995</x:v>
      </x:c>
      <x:c r="J590" s="169" t="n">
        <x:v>85960.96049999999</x:v>
      </x:c>
      <x:c r="K590" s="169" t="n">
        <x:v>0.05225242917103045</x:v>
      </x:c>
      <x:c r="L590" s="175" t="n">
        <x:v>0.05225242917103045</x:v>
      </x:c>
      <x:c r="M590" s="175" t="n">
        <x:f>MLCF!F164</x:f>
        <x:v>0.05225242917103048</x:v>
      </x:c>
      <x:c r="N590" s="176" t="str">
        <x:f>IF(AND(ABS(F590-I590)&lt;0.000001,ABS(G590-J590)&lt;0.000001,IF(ISNUMBER(L590),IF(ISNUMBER(M590),ABS(L590-M590)&lt;0.00000001,FALSE),M590=L590)),"PASS","FAIL")</x:f>
        <x:v>PASS</x:v>
      </x:c>
      <x:c r="O590" s="171" t="str"/>
      <x:c r="P590" s="168" t="str">
        <x:v>Profitability</x:v>
      </x:c>
    </x:row>
    <x:row r="591" ht="26" customHeight="1">
      <x:c r="A591" s="76" t="str">
        <x:v>MLCF</x:v>
      </x:c>
      <x:c r="B591" s="76" t="n">
        <x:v>2023</x:v>
      </x:c>
      <x:c r="C591" s="76" t="n">
        <x:v>25</x:v>
      </x:c>
      <x:c r="D591" s="76" t="str">
        <x:v>Return on equity</x:v>
      </x:c>
      <x:c r="E591" s="76" t="str">
        <x:v>Mandatory</x:v>
      </x:c>
      <x:c r="F591" s="170" t="n">
        <x:f>MLCF!F99</x:f>
        <x:v>4491.668999999999</x:v>
      </x:c>
      <x:c r="G591" s="170" t="n">
        <x:f>AVERAGE(MLCF!E41,MLCF!F41)</x:f>
        <x:v>42736.0645</x:v>
      </x:c>
      <x:c r="H591" s="170" t="n">
        <x:f>IF(G591&lt;=0,"n/m",F591/G591)</x:f>
        <x:v>0.10510254167180039</x:v>
      </x:c>
      <x:c r="I591" s="170" t="n">
        <x:v>4491.668999999995</x:v>
      </x:c>
      <x:c r="J591" s="170" t="n">
        <x:v>42736.0645</x:v>
      </x:c>
      <x:c r="K591" s="170" t="n">
        <x:v>0.10510254167180029</x:v>
      </x:c>
      <x:c r="L591" s="177" t="n">
        <x:v>0.10510254167180029</x:v>
      </x:c>
      <x:c r="M591" s="177" t="n">
        <x:f>MLCF!F165</x:f>
        <x:v>0.10510254167180039</x:v>
      </x:c>
      <x:c r="N591" s="178" t="str">
        <x:f>IF(AND(ABS(F591-I591)&lt;0.000001,ABS(G591-J591)&lt;0.000001,IF(ISNUMBER(L591),IF(ISNUMBER(M591),ABS(L591-M591)&lt;0.00000001,FALSE),M591=L591)),"PASS","FAIL")</x:f>
        <x:v>PASS</x:v>
      </x:c>
      <x:c r="O591" s="99" t="str"/>
      <x:c r="P591" s="76" t="str">
        <x:v>Profitability</x:v>
      </x:c>
    </x:row>
    <x:row r="592" ht="26" customHeight="1">
      <x:c r="A592" s="168" t="str">
        <x:v>MLCF</x:v>
      </x:c>
      <x:c r="B592" s="168" t="n">
        <x:v>2023</x:v>
      </x:c>
      <x:c r="C592" s="168" t="n">
        <x:v>26</x:v>
      </x:c>
      <x:c r="D592" s="168" t="str">
        <x:v>Return on invested capital</x:v>
      </x:c>
      <x:c r="E592" s="168" t="str">
        <x:v>Additional</x:v>
      </x:c>
      <x:c r="F592" s="169" t="n">
        <x:f>MLCF!F113</x:f>
        <x:v>5827.296962655231</x:v>
      </x:c>
      <x:c r="G592" s="169" t="n">
        <x:f>AVERAGE(MLCF!E70,MLCF!F70)</x:f>
        <x:v>65160.123</x:v>
      </x:c>
      <x:c r="H592" s="169" t="n">
        <x:f>IF(G592&lt;=0,"n/m",F592/G592)</x:f>
        <x:v>0.08943041686178571</x:v>
      </x:c>
      <x:c r="I592" s="169" t="n">
        <x:v>5827.296962655227</x:v>
      </x:c>
      <x:c r="J592" s="169" t="n">
        <x:v>65160.123</x:v>
      </x:c>
      <x:c r="K592" s="169" t="n">
        <x:v>0.08943041686178564</x:v>
      </x:c>
      <x:c r="L592" s="175" t="n">
        <x:v>0.08943041686178564</x:v>
      </x:c>
      <x:c r="M592" s="175" t="n">
        <x:f>MLCF!F166</x:f>
        <x:v>0.08943041686178571</x:v>
      </x:c>
      <x:c r="N592" s="176" t="str">
        <x:f>IF(AND(ABS(F592-I592)&lt;0.000001,ABS(G592-J592)&lt;0.000001,IF(ISNUMBER(L592),IF(ISNUMBER(M592),ABS(L592-M592)&lt;0.00000001,FALSE),M592=L592)),"PASS","FAIL")</x:f>
        <x:v>PASS</x:v>
      </x:c>
      <x:c r="O592" s="171" t="str"/>
      <x:c r="P592" s="168" t="str">
        <x:v>Profitability</x:v>
      </x:c>
    </x:row>
    <x:row r="593" ht="26" customHeight="1">
      <x:c r="A593" s="76" t="str">
        <x:v>MLCF</x:v>
      </x:c>
      <x:c r="B593" s="76" t="n">
        <x:v>2023</x:v>
      </x:c>
      <x:c r="C593" s="76" t="n">
        <x:v>27</x:v>
      </x:c>
      <x:c r="D593" s="76" t="str">
        <x:v>Basic earning power</x:v>
      </x:c>
      <x:c r="E593" s="76" t="str">
        <x:v>Additional</x:v>
      </x:c>
      <x:c r="F593" s="170" t="n">
        <x:f>MLCF!F108</x:f>
        <x:v>12001.414999999997</x:v>
      </x:c>
      <x:c r="G593" s="170" t="n">
        <x:f>AVERAGE(MLCF!E37,MLCF!F37)</x:f>
        <x:v>85960.9605</x:v>
      </x:c>
      <x:c r="H593" s="170" t="n">
        <x:f>IF(G593&lt;=0,"n/m",F593/G593)</x:f>
        <x:v>0.1396147149844841</x:v>
      </x:c>
      <x:c r="I593" s="170" t="n">
        <x:v>12001.414999999994</x:v>
      </x:c>
      <x:c r="J593" s="170" t="n">
        <x:v>85960.96049999999</x:v>
      </x:c>
      <x:c r="K593" s="170" t="n">
        <x:v>0.1396147149844841</x:v>
      </x:c>
      <x:c r="L593" s="177" t="n">
        <x:v>0.1396147149844841</x:v>
      </x:c>
      <x:c r="M593" s="177" t="n">
        <x:f>MLCF!F167</x:f>
        <x:v>0.1396147149844841</x:v>
      </x:c>
      <x:c r="N593" s="178" t="str">
        <x:f>IF(AND(ABS(F593-I593)&lt;0.000001,ABS(G593-J593)&lt;0.000001,IF(ISNUMBER(L593),IF(ISNUMBER(M593),ABS(L593-M593)&lt;0.00000001,FALSE),M593=L593)),"PASS","FAIL")</x:f>
        <x:v>PASS</x:v>
      </x:c>
      <x:c r="O593" s="99" t="str"/>
      <x:c r="P593" s="76" t="str">
        <x:v>Profitability</x:v>
      </x:c>
    </x:row>
    <x:row r="594" ht="26" customHeight="1">
      <x:c r="A594" s="168" t="str">
        <x:v>MLCF</x:v>
      </x:c>
      <x:c r="B594" s="168" t="n">
        <x:v>2023</x:v>
      </x:c>
      <x:c r="C594" s="168" t="n">
        <x:v>28</x:v>
      </x:c>
      <x:c r="D594" s="168" t="str">
        <x:v>Book value per share (Rs)</x:v>
      </x:c>
      <x:c r="E594" s="168" t="str">
        <x:v>Additional</x:v>
      </x:c>
      <x:c r="F594" s="169" t="n">
        <x:f>MLCF!F41</x:f>
        <x:v>44913.114</x:v>
      </x:c>
      <x:c r="G594" s="169" t="n">
        <x:f>MLCF!F128</x:f>
        <x:v>1073.3462</x:v>
      </x:c>
      <x:c r="H594" s="169" t="n">
        <x:f>IF(G594&lt;=0,"n/m",F594/G594)</x:f>
        <x:v>41.84401454069526</x:v>
      </x:c>
      <x:c r="I594" s="169" t="n">
        <x:v>44913.114</x:v>
      </x:c>
      <x:c r="J594" s="169" t="n">
        <x:v>1073.3462</x:v>
      </x:c>
      <x:c r="K594" s="169" t="n">
        <x:v>41.84401454069526</x:v>
      </x:c>
      <x:c r="L594" s="175" t="n">
        <x:v>41.84401454069526</x:v>
      </x:c>
      <x:c r="M594" s="175" t="n">
        <x:f>MLCF!F169</x:f>
        <x:v>41.84401454069526</x:v>
      </x:c>
      <x:c r="N594" s="176" t="str">
        <x:f>IF(AND(ABS(F594-I594)&lt;0.000001,ABS(G594-J594)&lt;0.000001,IF(ISNUMBER(L594),IF(ISNUMBER(M594),ABS(L594-M594)&lt;0.00000001,FALSE),M594=L594)),"PASS","FAIL")</x:f>
        <x:v>PASS</x:v>
      </x:c>
      <x:c r="O594" s="171" t="str"/>
      <x:c r="P594" s="168" t="str">
        <x:v>Market Value</x:v>
      </x:c>
    </x:row>
    <x:row r="595" ht="26" customHeight="1">
      <x:c r="A595" s="76" t="str">
        <x:v>MLCF</x:v>
      </x:c>
      <x:c r="B595" s="76" t="n">
        <x:v>2023</x:v>
      </x:c>
      <x:c r="C595" s="76" t="n">
        <x:v>29</x:v>
      </x:c>
      <x:c r="D595" s="76" t="str">
        <x:v>Market-to-book ratio</x:v>
      </x:c>
      <x:c r="E595" s="76" t="str">
        <x:v>Mandatory</x:v>
      </x:c>
      <x:c r="F595" s="170" t="n">
        <x:f>MLCF!F130</x:f>
        <x:v>28.33</x:v>
      </x:c>
      <x:c r="G595" s="170" t="n">
        <x:f>MLCF!F41/MLCF!F128</x:f>
        <x:v>41.84401454069526</x:v>
      </x:c>
      <x:c r="H595" s="170" t="n">
        <x:f>IF(G595&lt;=0,"n/m",F595/G595)</x:f>
        <x:v>0.6770382887724061</x:v>
      </x:c>
      <x:c r="I595" s="170" t="n">
        <x:v>28.33</x:v>
      </x:c>
      <x:c r="J595" s="170" t="n">
        <x:v>41.84401454069526</x:v>
      </x:c>
      <x:c r="K595" s="170" t="n">
        <x:v>0.6770382887724061</x:v>
      </x:c>
      <x:c r="L595" s="177" t="n">
        <x:v>0.6770382887724061</x:v>
      </x:c>
      <x:c r="M595" s="177" t="n">
        <x:f>MLCF!F170</x:f>
        <x:v>0.6770382887724061</x:v>
      </x:c>
      <x:c r="N595" s="178" t="str">
        <x:f>IF(AND(ABS(F595-I595)&lt;0.000001,ABS(G595-J595)&lt;0.000001,IF(ISNUMBER(L595),IF(ISNUMBER(M595),ABS(L595-M595)&lt;0.00000001,FALSE),M595=L595)),"PASS","FAIL")</x:f>
        <x:v>PASS</x:v>
      </x:c>
      <x:c r="O595" s="99" t="str"/>
      <x:c r="P595" s="76" t="str">
        <x:v>Market Value</x:v>
      </x:c>
    </x:row>
    <x:row r="596" ht="26" customHeight="1">
      <x:c r="A596" s="168" t="str">
        <x:v>MLCF</x:v>
      </x:c>
      <x:c r="B596" s="168" t="n">
        <x:v>2023</x:v>
      </x:c>
      <x:c r="C596" s="168" t="n">
        <x:v>30</x:v>
      </x:c>
      <x:c r="D596" s="168" t="str">
        <x:v>Earnings per share (Rs)</x:v>
      </x:c>
      <x:c r="E596" s="168" t="str">
        <x:v>Mandatory</x:v>
      </x:c>
      <x:c r="F596" s="169" t="n">
        <x:f>MLCF!F99</x:f>
        <x:v>4491.668999999999</x:v>
      </x:c>
      <x:c r="G596" s="169" t="n">
        <x:f>MLCF!F129</x:f>
        <x:v>1073.405</x:v>
      </x:c>
      <x:c r="H596" s="169" t="n">
        <x:f>IF(G596&lt;=0,"n/m",F596/G596)</x:f>
        <x:v>4.18450538240459</x:v>
      </x:c>
      <x:c r="I596" s="169" t="n">
        <x:v>4491.668999999995</x:v>
      </x:c>
      <x:c r="J596" s="169" t="n">
        <x:v>1073.405</x:v>
      </x:c>
      <x:c r="K596" s="169" t="n">
        <x:v>4.184505382404587</x:v>
      </x:c>
      <x:c r="L596" s="175" t="n">
        <x:v>4.184505382404587</x:v>
      </x:c>
      <x:c r="M596" s="175" t="n">
        <x:f>MLCF!F171</x:f>
        <x:v>4.18450538240459</x:v>
      </x:c>
      <x:c r="N596" s="176" t="str">
        <x:f>IF(AND(ABS(F596-I596)&lt;0.000001,ABS(G596-J596)&lt;0.000001,IF(ISNUMBER(L596),IF(ISNUMBER(M596),ABS(L596-M596)&lt;0.00000001,FALSE),M596=L596)),"PASS","FAIL")</x:f>
        <x:v>PASS</x:v>
      </x:c>
      <x:c r="O596" s="171" t="str"/>
      <x:c r="P596" s="168" t="str">
        <x:v>Market Value</x:v>
      </x:c>
    </x:row>
    <x:row r="597" ht="26" customHeight="1">
      <x:c r="A597" s="76" t="str">
        <x:v>MLCF</x:v>
      </x:c>
      <x:c r="B597" s="76" t="n">
        <x:v>2023</x:v>
      </x:c>
      <x:c r="C597" s="76" t="n">
        <x:v>31</x:v>
      </x:c>
      <x:c r="D597" s="76" t="str">
        <x:v>Price-to-earnings ratio</x:v>
      </x:c>
      <x:c r="E597" s="76" t="str">
        <x:v>Mandatory</x:v>
      </x:c>
      <x:c r="F597" s="170" t="n">
        <x:f>MLCF!F130</x:f>
        <x:v>28.33</x:v>
      </x:c>
      <x:c r="G597" s="170" t="n">
        <x:f>MLCF!F99/MLCF!F129</x:f>
        <x:v>4.18450538240459</x:v>
      </x:c>
      <x:c r="H597" s="170" t="n">
        <x:f>IF(G597&lt;=0,"n/m",F597/G597)</x:f>
        <x:v>6.770214735324442</x:v>
      </x:c>
      <x:c r="I597" s="170" t="n">
        <x:v>28.33</x:v>
      </x:c>
      <x:c r="J597" s="170" t="n">
        <x:v>4.184505382404587</x:v>
      </x:c>
      <x:c r="K597" s="170" t="n">
        <x:v>6.770214735324448</x:v>
      </x:c>
      <x:c r="L597" s="177" t="n">
        <x:v>6.770214735324448</x:v>
      </x:c>
      <x:c r="M597" s="177" t="n">
        <x:f>MLCF!F172</x:f>
        <x:v>6.770214735324442</x:v>
      </x:c>
      <x:c r="N597" s="178" t="str">
        <x:f>IF(AND(ABS(F597-I597)&lt;0.000001,ABS(G597-J597)&lt;0.000001,IF(ISNUMBER(L597),IF(ISNUMBER(M597),ABS(L597-M597)&lt;0.00000001,FALSE),M597=L597)),"PASS","FAIL")</x:f>
        <x:v>PASS</x:v>
      </x:c>
      <x:c r="O597" s="99" t="str"/>
      <x:c r="P597" s="76" t="str">
        <x:v>Market Value</x:v>
      </x:c>
    </x:row>
    <x:row r="598" ht="26" customHeight="1">
      <x:c r="A598" s="168" t="str">
        <x:v>MLCF</x:v>
      </x:c>
      <x:c r="B598" s="168" t="n">
        <x:v>2023</x:v>
      </x:c>
      <x:c r="C598" s="168" t="n">
        <x:v>32</x:v>
      </x:c>
      <x:c r="D598" s="168" t="str">
        <x:v>Dividend yield</x:v>
      </x:c>
      <x:c r="E598" s="168" t="str">
        <x:v>Mandatory</x:v>
      </x:c>
      <x:c r="F598" s="169" t="n">
        <x:f>MLCF!F131</x:f>
        <x:v>0</x:v>
      </x:c>
      <x:c r="G598" s="169" t="n">
        <x:f>MLCF!F130</x:f>
        <x:v>28.33</x:v>
      </x:c>
      <x:c r="H598" s="169" t="n">
        <x:f>IF(G598&lt;=0,"n/m",F598/G598)</x:f>
        <x:v>0</x:v>
      </x:c>
      <x:c r="I598" s="169" t="n">
        <x:v>0</x:v>
      </x:c>
      <x:c r="J598" s="169" t="n">
        <x:v>28.33</x:v>
      </x:c>
      <x:c r="K598" s="169" t="n">
        <x:v>0</x:v>
      </x:c>
      <x:c r="L598" s="175" t="n">
        <x:v>0</x:v>
      </x:c>
      <x:c r="M598" s="175" t="n">
        <x:f>MLCF!F173</x:f>
        <x:v>0</x:v>
      </x:c>
      <x:c r="N598" s="176" t="str">
        <x:f>IF(AND(ABS(F598-I598)&lt;0.000001,ABS(G598-J598)&lt;0.000001,IF(ISNUMBER(L598),IF(ISNUMBER(M598),ABS(L598-M598)&lt;0.00000001,FALSE),M598=L598)),"PASS","FAIL")</x:f>
        <x:v>PASS</x:v>
      </x:c>
      <x:c r="O598" s="171" t="str"/>
      <x:c r="P598" s="168" t="str">
        <x:v>Market Value</x:v>
      </x:c>
    </x:row>
    <x:row r="599" ht="26" customHeight="1">
      <x:c r="A599" s="76" t="str">
        <x:v>MLCF</x:v>
      </x:c>
      <x:c r="B599" s="76" t="n">
        <x:v>2023</x:v>
      </x:c>
      <x:c r="C599" s="76" t="n">
        <x:v>33</x:v>
      </x:c>
      <x:c r="D599" s="76" t="str">
        <x:v>Dividend payout ratio</x:v>
      </x:c>
      <x:c r="E599" s="76" t="str">
        <x:v>Additional</x:v>
      </x:c>
      <x:c r="F599" s="170" t="n">
        <x:f>MLCF!F131</x:f>
        <x:v>0</x:v>
      </x:c>
      <x:c r="G599" s="170" t="n">
        <x:f>MLCF!F99/MLCF!F129</x:f>
        <x:v>4.18450538240459</x:v>
      </x:c>
      <x:c r="H599" s="170" t="n">
        <x:f>IF(G599&lt;=0,"n/m",F599/G599)</x:f>
        <x:v>0</x:v>
      </x:c>
      <x:c r="I599" s="170" t="n">
        <x:v>0</x:v>
      </x:c>
      <x:c r="J599" s="170" t="n">
        <x:v>4.184505382404587</x:v>
      </x:c>
      <x:c r="K599" s="170" t="n">
        <x:v>0</x:v>
      </x:c>
      <x:c r="L599" s="177" t="n">
        <x:v>0</x:v>
      </x:c>
      <x:c r="M599" s="177" t="n">
        <x:f>MLCF!F174</x:f>
        <x:v>0</x:v>
      </x:c>
      <x:c r="N599" s="178" t="str">
        <x:f>IF(AND(ABS(F599-I599)&lt;0.000001,ABS(G599-J599)&lt;0.000001,IF(ISNUMBER(L599),IF(ISNUMBER(M599),ABS(L599-M599)&lt;0.00000001,FALSE),M599=L599)),"PASS","FAIL")</x:f>
        <x:v>PASS</x:v>
      </x:c>
      <x:c r="O599" s="99" t="str"/>
      <x:c r="P599" s="76" t="str">
        <x:v>Market Value</x:v>
      </x:c>
    </x:row>
    <x:row r="600" ht="26" customHeight="1">
      <x:c r="A600" s="168" t="str">
        <x:v>MLCF</x:v>
      </x:c>
      <x:c r="B600" s="168" t="n">
        <x:v>2024</x:v>
      </x:c>
      <x:c r="C600" s="168" t="n">
        <x:v>1</x:v>
      </x:c>
      <x:c r="D600" s="168" t="str">
        <x:v>Current ratio</x:v>
      </x:c>
      <x:c r="E600" s="168" t="str">
        <x:v>Mandatory</x:v>
      </x:c>
      <x:c r="F600" s="169" t="n">
        <x:f>MLCF!G36</x:f>
        <x:v>26867.837</x:v>
      </x:c>
      <x:c r="G600" s="169" t="n">
        <x:f>MLCF!G61</x:f>
        <x:v>18597.8</x:v>
      </x:c>
      <x:c r="H600" s="169" t="n">
        <x:f>IF(G600&lt;=0,"n/m",F600/G600)</x:f>
        <x:v>1.444678241512437</x:v>
      </x:c>
      <x:c r="I600" s="169" t="n">
        <x:v>26867.837</x:v>
      </x:c>
      <x:c r="J600" s="169" t="n">
        <x:v>18597.8</x:v>
      </x:c>
      <x:c r="K600" s="169" t="n">
        <x:v>1.444678241512437</x:v>
      </x:c>
      <x:c r="L600" s="175" t="n">
        <x:v>1.444678241512437</x:v>
      </x:c>
      <x:c r="M600" s="175" t="n">
        <x:f>MLCF!G138</x:f>
        <x:v>1.444678241512437</x:v>
      </x:c>
      <x:c r="N600" s="176" t="str">
        <x:f>IF(AND(ABS(F600-I600)&lt;0.000001,ABS(G600-J600)&lt;0.000001,IF(ISNUMBER(L600),IF(ISNUMBER(M600),ABS(L600-M600)&lt;0.00000001,FALSE),M600=L600)),"PASS","FAIL")</x:f>
        <x:v>PASS</x:v>
      </x:c>
      <x:c r="O600" s="171" t="str"/>
      <x:c r="P600" s="168" t="str">
        <x:v>Liquidity</x:v>
      </x:c>
    </x:row>
    <x:row r="601" ht="26" customHeight="1">
      <x:c r="A601" s="76" t="str">
        <x:v>MLCF</x:v>
      </x:c>
      <x:c r="B601" s="76" t="n">
        <x:v>2024</x:v>
      </x:c>
      <x:c r="C601" s="76" t="n">
        <x:v>2</x:v>
      </x:c>
      <x:c r="D601" s="76" t="str">
        <x:v>Quick ratio</x:v>
      </x:c>
      <x:c r="E601" s="76" t="str">
        <x:v>Mandatory</x:v>
      </x:c>
      <x:c r="F601" s="170" t="n">
        <x:f>MLCF!G36-MLCF!G65</x:f>
        <x:v>11333.996</x:v>
      </x:c>
      <x:c r="G601" s="170" t="n">
        <x:f>MLCF!G61</x:f>
        <x:v>18597.8</x:v>
      </x:c>
      <x:c r="H601" s="170" t="n">
        <x:f>IF(G601&lt;=0,"n/m",F601/G601)</x:f>
        <x:v>0.6094267063846261</x:v>
      </x:c>
      <x:c r="I601" s="170" t="n">
        <x:v>11333.996</x:v>
      </x:c>
      <x:c r="J601" s="170" t="n">
        <x:v>18597.8</x:v>
      </x:c>
      <x:c r="K601" s="170" t="n">
        <x:v>0.6094267063846261</x:v>
      </x:c>
      <x:c r="L601" s="177" t="n">
        <x:v>0.6094267063846261</x:v>
      </x:c>
      <x:c r="M601" s="177" t="n">
        <x:f>MLCF!G139</x:f>
        <x:v>0.6094267063846261</x:v>
      </x:c>
      <x:c r="N601" s="178" t="str">
        <x:f>IF(AND(ABS(F601-I601)&lt;0.000001,ABS(G601-J601)&lt;0.000001,IF(ISNUMBER(L601),IF(ISNUMBER(M601),ABS(L601-M601)&lt;0.00000001,FALSE),M601=L601)),"PASS","FAIL")</x:f>
        <x:v>PASS</x:v>
      </x:c>
      <x:c r="O601" s="99" t="str"/>
      <x:c r="P601" s="76" t="str">
        <x:v>Liquidity</x:v>
      </x:c>
    </x:row>
    <x:row r="602" ht="26" customHeight="1">
      <x:c r="A602" s="168" t="str">
        <x:v>MLCF</x:v>
      </x:c>
      <x:c r="B602" s="168" t="n">
        <x:v>2024</x:v>
      </x:c>
      <x:c r="C602" s="168" t="n">
        <x:v>3</x:v>
      </x:c>
      <x:c r="D602" s="168" t="str">
        <x:v>Cash ratio</x:v>
      </x:c>
      <x:c r="E602" s="168" t="str">
        <x:v>Mandatory</x:v>
      </x:c>
      <x:c r="F602" s="169" t="n">
        <x:f>MLCF!G34</x:f>
        <x:v>1133.412</x:v>
      </x:c>
      <x:c r="G602" s="169" t="n">
        <x:f>MLCF!G61</x:f>
        <x:v>18597.8</x:v>
      </x:c>
      <x:c r="H602" s="169" t="n">
        <x:f>IF(G602&lt;=0,"n/m",F602/G602)</x:f>
        <x:v>0.06094333738399166</x:v>
      </x:c>
      <x:c r="I602" s="169" t="n">
        <x:v>1133.412</x:v>
      </x:c>
      <x:c r="J602" s="169" t="n">
        <x:v>18597.8</x:v>
      </x:c>
      <x:c r="K602" s="169" t="n">
        <x:v>0.06094333738399166</x:v>
      </x:c>
      <x:c r="L602" s="175" t="n">
        <x:v>0.06094333738399166</x:v>
      </x:c>
      <x:c r="M602" s="175" t="n">
        <x:f>MLCF!G140</x:f>
        <x:v>0.06094333738399166</x:v>
      </x:c>
      <x:c r="N602" s="176" t="str">
        <x:f>IF(AND(ABS(F602-I602)&lt;0.000001,ABS(G602-J602)&lt;0.000001,IF(ISNUMBER(L602),IF(ISNUMBER(M602),ABS(L602-M602)&lt;0.00000001,FALSE),M602=L602)),"PASS","FAIL")</x:f>
        <x:v>PASS</x:v>
      </x:c>
      <x:c r="O602" s="171" t="str"/>
      <x:c r="P602" s="168" t="str">
        <x:v>Liquidity</x:v>
      </x:c>
    </x:row>
    <x:row r="603" ht="26" customHeight="1">
      <x:c r="A603" s="76" t="str">
        <x:v>MLCF</x:v>
      </x:c>
      <x:c r="B603" s="76" t="n">
        <x:v>2024</x:v>
      </x:c>
      <x:c r="C603" s="76" t="n">
        <x:v>4</x:v>
      </x:c>
      <x:c r="D603" s="76" t="str">
        <x:v>Net working capital (PKR m)</x:v>
      </x:c>
      <x:c r="E603" s="76" t="str">
        <x:v>Additional</x:v>
      </x:c>
      <x:c r="F603" s="170" t="n">
        <x:f>MLCF!G36-MLCF!G61</x:f>
        <x:v>8270.037</x:v>
      </x:c>
      <x:c r="G603" s="170" t="n">
        <x:f>1</x:f>
        <x:v>1</x:v>
      </x:c>
      <x:c r="H603" s="170" t="n">
        <x:f>IF(G603&lt;=0,"n/m",F603/G603)</x:f>
        <x:v>8270.037</x:v>
      </x:c>
      <x:c r="I603" s="170" t="n">
        <x:v>8270.037</x:v>
      </x:c>
      <x:c r="J603" s="170" t="n">
        <x:v>1</x:v>
      </x:c>
      <x:c r="K603" s="170" t="n">
        <x:v>8270.037</x:v>
      </x:c>
      <x:c r="L603" s="177" t="n">
        <x:v>8270.037</x:v>
      </x:c>
      <x:c r="M603" s="177" t="n">
        <x:f>MLCF!G141</x:f>
        <x:v>8270.037</x:v>
      </x:c>
      <x:c r="N603" s="178" t="str">
        <x:f>IF(AND(ABS(F603-I603)&lt;0.000001,ABS(G603-J603)&lt;0.000001,IF(ISNUMBER(L603),IF(ISNUMBER(M603),ABS(L603-M603)&lt;0.00000001,FALSE),M603=L603)),"PASS","FAIL")</x:f>
        <x:v>PASS</x:v>
      </x:c>
      <x:c r="O603" s="99" t="str"/>
      <x:c r="P603" s="76" t="str">
        <x:v>Liquidity</x:v>
      </x:c>
    </x:row>
    <x:row r="604" ht="26" customHeight="1">
      <x:c r="A604" s="168" t="str">
        <x:v>MLCF</x:v>
      </x:c>
      <x:c r="B604" s="168" t="n">
        <x:v>2024</x:v>
      </x:c>
      <x:c r="C604" s="168" t="n">
        <x:v>5</x:v>
      </x:c>
      <x:c r="D604" s="168" t="str">
        <x:v>Net operating working capital (PKR m)</x:v>
      </x:c>
      <x:c r="E604" s="168" t="str">
        <x:v>Additional</x:v>
      </x:c>
      <x:c r="F604" s="169" t="n">
        <x:f>MLCF!G72-MLCF!G73</x:f>
        <x:v>9031.93</x:v>
      </x:c>
      <x:c r="G604" s="169" t="n">
        <x:f>1</x:f>
        <x:v>1</x:v>
      </x:c>
      <x:c r="H604" s="169" t="n">
        <x:f>IF(G604&lt;=0,"n/m",F604/G604)</x:f>
        <x:v>9031.93</x:v>
      </x:c>
      <x:c r="I604" s="169" t="n">
        <x:v>9031.93</x:v>
      </x:c>
      <x:c r="J604" s="169" t="n">
        <x:v>1</x:v>
      </x:c>
      <x:c r="K604" s="169" t="n">
        <x:v>9031.93</x:v>
      </x:c>
      <x:c r="L604" s="175" t="n">
        <x:v>9031.93</x:v>
      </x:c>
      <x:c r="M604" s="175" t="n">
        <x:f>MLCF!G142</x:f>
        <x:v>9031.93</x:v>
      </x:c>
      <x:c r="N604" s="176" t="str">
        <x:f>IF(AND(ABS(F604-I604)&lt;0.000001,ABS(G604-J604)&lt;0.000001,IF(ISNUMBER(L604),IF(ISNUMBER(M604),ABS(L604-M604)&lt;0.00000001,FALSE),M604=L604)),"PASS","FAIL")</x:f>
        <x:v>PASS</x:v>
      </x:c>
      <x:c r="O604" s="171" t="str"/>
      <x:c r="P604" s="168" t="str">
        <x:v>Liquidity</x:v>
      </x:c>
    </x:row>
    <x:row r="605" ht="26" customHeight="1">
      <x:c r="A605" s="76" t="str">
        <x:v>MLCF</x:v>
      </x:c>
      <x:c r="B605" s="76" t="n">
        <x:v>2024</x:v>
      </x:c>
      <x:c r="C605" s="76" t="n">
        <x:v>6</x:v>
      </x:c>
      <x:c r="D605" s="76" t="str">
        <x:v>Inventory turnover</x:v>
      </x:c>
      <x:c r="E605" s="76" t="str">
        <x:v>Mandatory</x:v>
      </x:c>
      <x:c r="F605" s="170" t="n">
        <x:f>-MLCF!G85</x:f>
        <x:v>45488.064</x:v>
      </x:c>
      <x:c r="G605" s="170" t="n">
        <x:f>AVERAGE(MLCF!F65,MLCF!G65)</x:f>
        <x:v>14667.1505</x:v>
      </x:c>
      <x:c r="H605" s="170" t="n">
        <x:f>IF(G605&lt;=0,"n/m",F605/G605)</x:f>
        <x:v>3.101356599565812</x:v>
      </x:c>
      <x:c r="I605" s="170" t="n">
        <x:v>45488.064</x:v>
      </x:c>
      <x:c r="J605" s="170" t="n">
        <x:v>14667.1505</x:v>
      </x:c>
      <x:c r="K605" s="170" t="n">
        <x:v>3.101356599565812</x:v>
      </x:c>
      <x:c r="L605" s="177" t="n">
        <x:v>3.101356599565812</x:v>
      </x:c>
      <x:c r="M605" s="177" t="n">
        <x:f>MLCF!G144</x:f>
        <x:v>3.101356599565812</x:v>
      </x:c>
      <x:c r="N605" s="178" t="str">
        <x:f>IF(AND(ABS(F605-I605)&lt;0.000001,ABS(G605-J605)&lt;0.000001,IF(ISNUMBER(L605),IF(ISNUMBER(M605),ABS(L605-M605)&lt;0.00000001,FALSE),M605=L605)),"PASS","FAIL")</x:f>
        <x:v>PASS</x:v>
      </x:c>
      <x:c r="O605" s="99" t="str"/>
      <x:c r="P605" s="76" t="str">
        <x:v>Asset Management</x:v>
      </x:c>
    </x:row>
    <x:row r="606" ht="26" customHeight="1">
      <x:c r="A606" s="168" t="str">
        <x:v>MLCF</x:v>
      </x:c>
      <x:c r="B606" s="168" t="n">
        <x:v>2024</x:v>
      </x:c>
      <x:c r="C606" s="168" t="n">
        <x:v>7</x:v>
      </x:c>
      <x:c r="D606" s="168" t="str">
        <x:v>Receivables turnover</x:v>
      </x:c>
      <x:c r="E606" s="168" t="str">
        <x:v>Additional</x:v>
      </x:c>
      <x:c r="F606" s="169" t="n">
        <x:f>MLCF!G84</x:f>
        <x:v>66452.348</x:v>
      </x:c>
      <x:c r="G606" s="169" t="n">
        <x:f>AVERAGE(MLCF!F32,MLCF!G32)</x:f>
        <x:v>3394.865</x:v>
      </x:c>
      <x:c r="H606" s="169" t="n">
        <x:f>IF(G606&lt;=0,"n/m",F606/G606)</x:f>
        <x:v>19.574371293114748</x:v>
      </x:c>
      <x:c r="I606" s="169" t="n">
        <x:v>66452.348</x:v>
      </x:c>
      <x:c r="J606" s="169" t="n">
        <x:v>3394.865</x:v>
      </x:c>
      <x:c r="K606" s="169" t="n">
        <x:v>19.574371293114748</x:v>
      </x:c>
      <x:c r="L606" s="175" t="n">
        <x:v>19.574371293114748</x:v>
      </x:c>
      <x:c r="M606" s="175" t="n">
        <x:f>MLCF!G145</x:f>
        <x:v>19.574371293114748</x:v>
      </x:c>
      <x:c r="N606" s="176" t="str">
        <x:f>IF(AND(ABS(F606-I606)&lt;0.000001,ABS(G606-J606)&lt;0.000001,IF(ISNUMBER(L606),IF(ISNUMBER(M606),ABS(L606-M606)&lt;0.00000001,FALSE),M606=L606)),"PASS","FAIL")</x:f>
        <x:v>PASS</x:v>
      </x:c>
      <x:c r="O606" s="171" t="str"/>
      <x:c r="P606" s="168" t="str">
        <x:v>Asset Management</x:v>
      </x:c>
    </x:row>
    <x:row r="607" ht="26" customHeight="1">
      <x:c r="A607" s="76" t="str">
        <x:v>MLCF</x:v>
      </x:c>
      <x:c r="B607" s="76" t="n">
        <x:v>2024</x:v>
      </x:c>
      <x:c r="C607" s="76" t="n">
        <x:v>8</x:v>
      </x:c>
      <x:c r="D607" s="76" t="str">
        <x:v>Payables turnover</x:v>
      </x:c>
      <x:c r="E607" s="76" t="str">
        <x:v>Additional</x:v>
      </x:c>
      <x:c r="F607" s="170" t="n">
        <x:f>-MLCF!G85</x:f>
        <x:v>45488.064</x:v>
      </x:c>
      <x:c r="G607" s="170" t="n">
        <x:f>AVERAGE(MLCF!F51,MLCF!G51)</x:f>
        <x:v>6036.4130000000005</x:v>
      </x:c>
      <x:c r="H607" s="170" t="n">
        <x:f>IF(G607&lt;=0,"n/m",F607/G607)</x:f>
        <x:v>7.535611628959118</x:v>
      </x:c>
      <x:c r="I607" s="170" t="n">
        <x:v>45488.064</x:v>
      </x:c>
      <x:c r="J607" s="170" t="n">
        <x:v>6036.413</x:v>
      </x:c>
      <x:c r="K607" s="170" t="n">
        <x:v>7.535611628959119</x:v>
      </x:c>
      <x:c r="L607" s="177" t="n">
        <x:v>7.535611628959119</x:v>
      </x:c>
      <x:c r="M607" s="177" t="n">
        <x:f>MLCF!G146</x:f>
        <x:v>7.535611628959118</x:v>
      </x:c>
      <x:c r="N607" s="178" t="str">
        <x:f>IF(AND(ABS(F607-I607)&lt;0.000001,ABS(G607-J607)&lt;0.000001,IF(ISNUMBER(L607),IF(ISNUMBER(M607),ABS(L607-M607)&lt;0.00000001,FALSE),M607=L607)),"PASS","FAIL")</x:f>
        <x:v>PASS</x:v>
      </x:c>
      <x:c r="O607" s="99" t="str"/>
      <x:c r="P607" s="76" t="str">
        <x:v>Asset Management</x:v>
      </x:c>
    </x:row>
    <x:row r="608" ht="26" customHeight="1">
      <x:c r="A608" s="168" t="str">
        <x:v>MLCF</x:v>
      </x:c>
      <x:c r="B608" s="168" t="n">
        <x:v>2024</x:v>
      </x:c>
      <x:c r="C608" s="168" t="n">
        <x:v>9</x:v>
      </x:c>
      <x:c r="D608" s="168" t="str">
        <x:v>Days inventory outstanding</x:v>
      </x:c>
      <x:c r="E608" s="168" t="str">
        <x:v>Additional</x:v>
      </x:c>
      <x:c r="F608" s="169" t="n">
        <x:f>365*AVERAGE(MLCF!F65,MLCF!G65)</x:f>
        <x:v>5353509.9325</x:v>
      </x:c>
      <x:c r="G608" s="169" t="n">
        <x:f>-MLCF!G85</x:f>
        <x:v>45488.064</x:v>
      </x:c>
      <x:c r="H608" s="169" t="n">
        <x:f>IF(G608&lt;=0,"n/m",F608/G608)</x:f>
        <x:v>117.69043264844159</x:v>
      </x:c>
      <x:c r="I608" s="169" t="n">
        <x:v>5353509.9325</x:v>
      </x:c>
      <x:c r="J608" s="169" t="n">
        <x:v>45488.064</x:v>
      </x:c>
      <x:c r="K608" s="169" t="n">
        <x:v>117.69043264844159</x:v>
      </x:c>
      <x:c r="L608" s="175" t="n">
        <x:v>117.69043264844159</x:v>
      </x:c>
      <x:c r="M608" s="175" t="n">
        <x:f>MLCF!G147</x:f>
        <x:v>117.69043264844159</x:v>
      </x:c>
      <x:c r="N608" s="176" t="str">
        <x:f>IF(AND(ABS(F608-I608)&lt;0.000001,ABS(G608-J608)&lt;0.000001,IF(ISNUMBER(L608),IF(ISNUMBER(M608),ABS(L608-M608)&lt;0.00000001,FALSE),M608=L608)),"PASS","FAIL")</x:f>
        <x:v>PASS</x:v>
      </x:c>
      <x:c r="O608" s="171" t="str"/>
      <x:c r="P608" s="168" t="str">
        <x:v>Asset Management</x:v>
      </x:c>
    </x:row>
    <x:row r="609" ht="26" customHeight="1">
      <x:c r="A609" s="76" t="str">
        <x:v>MLCF</x:v>
      </x:c>
      <x:c r="B609" s="76" t="n">
        <x:v>2024</x:v>
      </x:c>
      <x:c r="C609" s="76" t="n">
        <x:v>10</x:v>
      </x:c>
      <x:c r="D609" s="76" t="str">
        <x:v>Days sales outstanding</x:v>
      </x:c>
      <x:c r="E609" s="76" t="str">
        <x:v>Mandatory</x:v>
      </x:c>
      <x:c r="F609" s="170" t="n">
        <x:f>365*AVERAGE(MLCF!F32,MLCF!G32)</x:f>
        <x:v>1239125.7249999999</x:v>
      </x:c>
      <x:c r="G609" s="170" t="n">
        <x:f>MLCF!G84</x:f>
        <x:v>66452.348</x:v>
      </x:c>
      <x:c r="H609" s="170" t="n">
        <x:f>IF(G609&lt;=0,"n/m",F609/G609)</x:f>
        <x:v>18.646831335440545</x:v>
      </x:c>
      <x:c r="I609" s="170" t="n">
        <x:v>1239125.7249999999</x:v>
      </x:c>
      <x:c r="J609" s="170" t="n">
        <x:v>66452.348</x:v>
      </x:c>
      <x:c r="K609" s="170" t="n">
        <x:v>18.646831335440545</x:v>
      </x:c>
      <x:c r="L609" s="177" t="n">
        <x:v>18.646831335440545</x:v>
      </x:c>
      <x:c r="M609" s="177" t="n">
        <x:f>MLCF!G148</x:f>
        <x:v>18.646831335440545</x:v>
      </x:c>
      <x:c r="N609" s="178" t="str">
        <x:f>IF(AND(ABS(F609-I609)&lt;0.000001,ABS(G609-J609)&lt;0.000001,IF(ISNUMBER(L609),IF(ISNUMBER(M609),ABS(L609-M609)&lt;0.00000001,FALSE),M609=L609)),"PASS","FAIL")</x:f>
        <x:v>PASS</x:v>
      </x:c>
      <x:c r="O609" s="99" t="str"/>
      <x:c r="P609" s="76" t="str">
        <x:v>Asset Management</x:v>
      </x:c>
    </x:row>
    <x:row r="610" ht="26" customHeight="1">
      <x:c r="A610" s="168" t="str">
        <x:v>MLCF</x:v>
      </x:c>
      <x:c r="B610" s="168" t="n">
        <x:v>2024</x:v>
      </x:c>
      <x:c r="C610" s="168" t="n">
        <x:v>11</x:v>
      </x:c>
      <x:c r="D610" s="168" t="str">
        <x:v>Days payables outstanding</x:v>
      </x:c>
      <x:c r="E610" s="168" t="str">
        <x:v>Additional</x:v>
      </x:c>
      <x:c r="F610" s="169" t="n">
        <x:f>365*AVERAGE(MLCF!F51,MLCF!G51)</x:f>
        <x:v>2203290.745</x:v>
      </x:c>
      <x:c r="G610" s="169" t="n">
        <x:f>-MLCF!G85</x:f>
        <x:v>45488.064</x:v>
      </x:c>
      <x:c r="H610" s="169" t="n">
        <x:f>IF(G610&lt;=0,"n/m",F610/G610)</x:f>
        <x:v>48.43667879556273</x:v>
      </x:c>
      <x:c r="I610" s="169" t="n">
        <x:v>2203290.7449999996</x:v>
      </x:c>
      <x:c r="J610" s="169" t="n">
        <x:v>45488.064</x:v>
      </x:c>
      <x:c r="K610" s="169" t="n">
        <x:v>48.43667879556271</x:v>
      </x:c>
      <x:c r="L610" s="175" t="n">
        <x:v>48.43667879556271</x:v>
      </x:c>
      <x:c r="M610" s="175" t="n">
        <x:f>MLCF!G149</x:f>
        <x:v>48.43667879556273</x:v>
      </x:c>
      <x:c r="N610" s="176" t="str">
        <x:f>IF(AND(ABS(F610-I610)&lt;0.000001,ABS(G610-J610)&lt;0.000001,IF(ISNUMBER(L610),IF(ISNUMBER(M610),ABS(L610-M610)&lt;0.00000001,FALSE),M610=L610)),"PASS","FAIL")</x:f>
        <x:v>PASS</x:v>
      </x:c>
      <x:c r="O610" s="171" t="str"/>
      <x:c r="P610" s="168" t="str">
        <x:v>Asset Management</x:v>
      </x:c>
    </x:row>
    <x:row r="611" ht="26" customHeight="1">
      <x:c r="A611" s="76" t="str">
        <x:v>MLCF</x:v>
      </x:c>
      <x:c r="B611" s="76" t="n">
        <x:v>2024</x:v>
      </x:c>
      <x:c r="C611" s="76" t="n">
        <x:v>12</x:v>
      </x:c>
      <x:c r="D611" s="76" t="str">
        <x:v>Operating cycle (days)</x:v>
      </x:c>
      <x:c r="E611" s="76" t="str">
        <x:v>Additional</x:v>
      </x:c>
      <x:c r="F611" s="170" t="n">
        <x:f>365*AVERAGE(MLCF!F65,MLCF!G65)/(-MLCF!G85)+365*AVERAGE(MLCF!F32,MLCF!G32)/MLCF!G84</x:f>
        <x:v>136.33726398388214</x:v>
      </x:c>
      <x:c r="G611" s="170" t="n">
        <x:f>1</x:f>
        <x:v>1</x:v>
      </x:c>
      <x:c r="H611" s="170" t="n">
        <x:f>IF(G611&lt;=0,"n/m",F611/G611)</x:f>
        <x:v>136.33726398388214</x:v>
      </x:c>
      <x:c r="I611" s="170" t="n">
        <x:v>136.33726398388214</x:v>
      </x:c>
      <x:c r="J611" s="170" t="n">
        <x:v>1</x:v>
      </x:c>
      <x:c r="K611" s="170" t="n">
        <x:v>136.33726398388214</x:v>
      </x:c>
      <x:c r="L611" s="177" t="n">
        <x:v>136.33726398388214</x:v>
      </x:c>
      <x:c r="M611" s="177" t="n">
        <x:f>MLCF!G150</x:f>
        <x:v>136.33726398388214</x:v>
      </x:c>
      <x:c r="N611" s="178" t="str">
        <x:f>IF(AND(ABS(F611-I611)&lt;0.000001,ABS(G611-J611)&lt;0.000001,IF(ISNUMBER(L611),IF(ISNUMBER(M611),ABS(L611-M611)&lt;0.00000001,FALSE),M611=L611)),"PASS","FAIL")</x:f>
        <x:v>PASS</x:v>
      </x:c>
      <x:c r="O611" s="99" t="str"/>
      <x:c r="P611" s="76" t="str">
        <x:v>Asset Management</x:v>
      </x:c>
    </x:row>
    <x:row r="612" ht="26" customHeight="1">
      <x:c r="A612" s="168" t="str">
        <x:v>MLCF</x:v>
      </x:c>
      <x:c r="B612" s="168" t="n">
        <x:v>2024</x:v>
      </x:c>
      <x:c r="C612" s="168" t="n">
        <x:v>13</x:v>
      </x:c>
      <x:c r="D612" s="168" t="str">
        <x:v>Cash conversion cycle (days)</x:v>
      </x:c>
      <x:c r="E612" s="168" t="str">
        <x:v>Additional</x:v>
      </x:c>
      <x:c r="F612" s="169" t="n">
        <x:f>365*AVERAGE(MLCF!F65,MLCF!G65)/(-MLCF!G85)+365*AVERAGE(MLCF!F32,MLCF!G32)/MLCF!G84-365*AVERAGE(MLCF!F51,MLCF!G51)/(-MLCF!G85)</x:f>
        <x:v>87.90058518831941</x:v>
      </x:c>
      <x:c r="G612" s="169" t="n">
        <x:f>1</x:f>
        <x:v>1</x:v>
      </x:c>
      <x:c r="H612" s="169" t="n">
        <x:f>IF(G612&lt;=0,"n/m",F612/G612)</x:f>
        <x:v>87.90058518831941</x:v>
      </x:c>
      <x:c r="I612" s="169" t="n">
        <x:v>87.90058518831943</x:v>
      </x:c>
      <x:c r="J612" s="169" t="n">
        <x:v>1</x:v>
      </x:c>
      <x:c r="K612" s="169" t="n">
        <x:v>87.90058518831943</x:v>
      </x:c>
      <x:c r="L612" s="175" t="n">
        <x:v>87.90058518831943</x:v>
      </x:c>
      <x:c r="M612" s="175" t="n">
        <x:f>MLCF!G151</x:f>
        <x:v>87.90058518831941</x:v>
      </x:c>
      <x:c r="N612" s="176" t="str">
        <x:f>IF(AND(ABS(F612-I612)&lt;0.000001,ABS(G612-J612)&lt;0.000001,IF(ISNUMBER(L612),IF(ISNUMBER(M612),ABS(L612-M612)&lt;0.00000001,FALSE),M612=L612)),"PASS","FAIL")</x:f>
        <x:v>PASS</x:v>
      </x:c>
      <x:c r="O612" s="171" t="str"/>
      <x:c r="P612" s="168" t="str">
        <x:v>Asset Management</x:v>
      </x:c>
    </x:row>
    <x:row r="613" ht="26" customHeight="1">
      <x:c r="A613" s="76" t="str">
        <x:v>MLCF</x:v>
      </x:c>
      <x:c r="B613" s="76" t="n">
        <x:v>2024</x:v>
      </x:c>
      <x:c r="C613" s="76" t="n">
        <x:v>14</x:v>
      </x:c>
      <x:c r="D613" s="76" t="str">
        <x:v>Total asset turnover</x:v>
      </x:c>
      <x:c r="E613" s="76" t="str">
        <x:v>Mandatory</x:v>
      </x:c>
      <x:c r="F613" s="170" t="n">
        <x:f>MLCF!G84</x:f>
        <x:v>66452.348</x:v>
      </x:c>
      <x:c r="G613" s="170" t="n">
        <x:f>AVERAGE(MLCF!F37,MLCF!G37)</x:f>
        <x:v>94536.6965</x:v>
      </x:c>
      <x:c r="H613" s="170" t="n">
        <x:f>IF(G613&lt;=0,"n/m",F613/G613)</x:f>
        <x:v>0.7029264873878895</x:v>
      </x:c>
      <x:c r="I613" s="170" t="n">
        <x:v>66452.348</x:v>
      </x:c>
      <x:c r="J613" s="170" t="n">
        <x:v>94536.69649999999</x:v>
      </x:c>
      <x:c r="K613" s="170" t="n">
        <x:v>0.7029264873878897</x:v>
      </x:c>
      <x:c r="L613" s="177" t="n">
        <x:v>0.7029264873878897</x:v>
      </x:c>
      <x:c r="M613" s="177" t="n">
        <x:f>MLCF!G152</x:f>
        <x:v>0.7029264873878895</x:v>
      </x:c>
      <x:c r="N613" s="178" t="str">
        <x:f>IF(AND(ABS(F613-I613)&lt;0.000001,ABS(G613-J613)&lt;0.000001,IF(ISNUMBER(L613),IF(ISNUMBER(M613),ABS(L613-M613)&lt;0.00000001,FALSE),M613=L613)),"PASS","FAIL")</x:f>
        <x:v>PASS</x:v>
      </x:c>
      <x:c r="O613" s="99" t="str"/>
      <x:c r="P613" s="76" t="str">
        <x:v>Asset Management</x:v>
      </x:c>
    </x:row>
    <x:row r="614" ht="26" customHeight="1">
      <x:c r="A614" s="168" t="str">
        <x:v>MLCF</x:v>
      </x:c>
      <x:c r="B614" s="168" t="n">
        <x:v>2024</x:v>
      </x:c>
      <x:c r="C614" s="168" t="n">
        <x:v>15</x:v>
      </x:c>
      <x:c r="D614" s="168" t="str">
        <x:v>Fixed asset turnover</x:v>
      </x:c>
      <x:c r="E614" s="168" t="str">
        <x:v>Mandatory</x:v>
      </x:c>
      <x:c r="F614" s="169" t="n">
        <x:f>MLCF!G84</x:f>
        <x:v>66452.348</x:v>
      </x:c>
      <x:c r="G614" s="169" t="n">
        <x:f>AVERAGE(MLCF!F22,MLCF!G22)</x:f>
        <x:v>63101.118</x:v>
      </x:c>
      <x:c r="H614" s="169" t="n">
        <x:f>IF(G614&lt;=0,"n/m",F614/G614)</x:f>
        <x:v>1.0531088846951966</x:v>
      </x:c>
      <x:c r="I614" s="169" t="n">
        <x:v>66452.348</x:v>
      </x:c>
      <x:c r="J614" s="169" t="n">
        <x:v>63101.118</x:v>
      </x:c>
      <x:c r="K614" s="169" t="n">
        <x:v>1.0531088846951966</x:v>
      </x:c>
      <x:c r="L614" s="175" t="n">
        <x:v>1.0531088846951966</x:v>
      </x:c>
      <x:c r="M614" s="175" t="n">
        <x:f>MLCF!G153</x:f>
        <x:v>1.0531088846951966</x:v>
      </x:c>
      <x:c r="N614" s="176" t="str">
        <x:f>IF(AND(ABS(F614-I614)&lt;0.000001,ABS(G614-J614)&lt;0.000001,IF(ISNUMBER(L614),IF(ISNUMBER(M614),ABS(L614-M614)&lt;0.00000001,FALSE),M614=L614)),"PASS","FAIL")</x:f>
        <x:v>PASS</x:v>
      </x:c>
      <x:c r="O614" s="171" t="str"/>
      <x:c r="P614" s="168" t="str">
        <x:v>Asset Management</x:v>
      </x:c>
    </x:row>
    <x:row r="615" ht="26" customHeight="1">
      <x:c r="A615" s="76" t="str">
        <x:v>MLCF</x:v>
      </x:c>
      <x:c r="B615" s="76" t="n">
        <x:v>2024</x:v>
      </x:c>
      <x:c r="C615" s="76" t="n">
        <x:v>16</x:v>
      </x:c>
      <x:c r="D615" s="76" t="str">
        <x:v>Debt ratio</x:v>
      </x:c>
      <x:c r="E615" s="76" t="str">
        <x:v>Mandatory</x:v>
      </x:c>
      <x:c r="F615" s="170" t="n">
        <x:f>MLCF!G62</x:f>
        <x:v>46749.774000000005</x:v>
      </x:c>
      <x:c r="G615" s="170" t="n">
        <x:f>MLCF!G37</x:f>
        <x:v>99365.682</x:v>
      </x:c>
      <x:c r="H615" s="170" t="n">
        <x:f>IF(G615&lt;=0,"n/m",F615/G615)</x:f>
        <x:v>0.4704820926001394</x:v>
      </x:c>
      <x:c r="I615" s="170" t="n">
        <x:v>46749.774000000005</x:v>
      </x:c>
      <x:c r="J615" s="170" t="n">
        <x:v>99365.682</x:v>
      </x:c>
      <x:c r="K615" s="170" t="n">
        <x:v>0.4704820926001394</x:v>
      </x:c>
      <x:c r="L615" s="177" t="n">
        <x:v>0.4704820926001394</x:v>
      </x:c>
      <x:c r="M615" s="177" t="n">
        <x:f>MLCF!G155</x:f>
        <x:v>0.4704820926001394</x:v>
      </x:c>
      <x:c r="N615" s="178" t="str">
        <x:f>IF(AND(ABS(F615-I615)&lt;0.000001,ABS(G615-J615)&lt;0.000001,IF(ISNUMBER(L615),IF(ISNUMBER(M615),ABS(L615-M615)&lt;0.00000001,FALSE),M615=L615)),"PASS","FAIL")</x:f>
        <x:v>PASS</x:v>
      </x:c>
      <x:c r="O615" s="99" t="str"/>
      <x:c r="P615" s="76" t="str">
        <x:v>Debt Management</x:v>
      </x:c>
    </x:row>
    <x:row r="616" ht="26" customHeight="1">
      <x:c r="A616" s="168" t="str">
        <x:v>MLCF</x:v>
      </x:c>
      <x:c r="B616" s="168" t="n">
        <x:v>2024</x:v>
      </x:c>
      <x:c r="C616" s="168" t="n">
        <x:v>17</x:v>
      </x:c>
      <x:c r="D616" s="168" t="str">
        <x:v>Debt-to-equity</x:v>
      </x:c>
      <x:c r="E616" s="168" t="str">
        <x:v>Mandatory</x:v>
      </x:c>
      <x:c r="F616" s="169" t="n">
        <x:f>MLCF!G62</x:f>
        <x:v>46749.774000000005</x:v>
      </x:c>
      <x:c r="G616" s="169" t="n">
        <x:f>MLCF!G41</x:f>
        <x:v>52615.907999999996</x:v>
      </x:c>
      <x:c r="H616" s="169" t="n">
        <x:f>IF(G616&lt;=0,"n/m",F616/G616)</x:f>
        <x:v>0.8885102581523445</x:v>
      </x:c>
      <x:c r="I616" s="169" t="n">
        <x:v>46749.774000000005</x:v>
      </x:c>
      <x:c r="J616" s="169" t="n">
        <x:v>52615.907999999996</x:v>
      </x:c>
      <x:c r="K616" s="169" t="n">
        <x:v>0.8885102581523445</x:v>
      </x:c>
      <x:c r="L616" s="175" t="n">
        <x:v>0.8885102581523445</x:v>
      </x:c>
      <x:c r="M616" s="175" t="n">
        <x:f>MLCF!G156</x:f>
        <x:v>0.8885102581523445</x:v>
      </x:c>
      <x:c r="N616" s="176" t="str">
        <x:f>IF(AND(ABS(F616-I616)&lt;0.000001,ABS(G616-J616)&lt;0.000001,IF(ISNUMBER(L616),IF(ISNUMBER(M616),ABS(L616-M616)&lt;0.00000001,FALSE),M616=L616)),"PASS","FAIL")</x:f>
        <x:v>PASS</x:v>
      </x:c>
      <x:c r="O616" s="171" t="str"/>
      <x:c r="P616" s="168" t="str">
        <x:v>Debt Management</x:v>
      </x:c>
    </x:row>
    <x:row r="617" ht="26" customHeight="1">
      <x:c r="A617" s="76" t="str">
        <x:v>MLCF</x:v>
      </x:c>
      <x:c r="B617" s="76" t="n">
        <x:v>2024</x:v>
      </x:c>
      <x:c r="C617" s="76" t="n">
        <x:v>18</x:v>
      </x:c>
      <x:c r="D617" s="76" t="str">
        <x:v>Total debt-to-capital</x:v>
      </x:c>
      <x:c r="E617" s="76" t="str">
        <x:v>Additional</x:v>
      </x:c>
      <x:c r="F617" s="170" t="n">
        <x:f>MLCF!G66</x:f>
        <x:v>19387.383</x:v>
      </x:c>
      <x:c r="G617" s="170" t="n">
        <x:f>MLCF!G66+MLCF!G41</x:f>
        <x:v>72003.291</x:v>
      </x:c>
      <x:c r="H617" s="170" t="n">
        <x:f>IF(G617&lt;=0,"n/m",F617/G617)</x:f>
        <x:v>0.2692569010491479</x:v>
      </x:c>
      <x:c r="I617" s="170" t="n">
        <x:v>19387.383</x:v>
      </x:c>
      <x:c r="J617" s="170" t="n">
        <x:v>72003.291</x:v>
      </x:c>
      <x:c r="K617" s="170" t="n">
        <x:v>0.2692569010491479</x:v>
      </x:c>
      <x:c r="L617" s="177" t="n">
        <x:v>0.2692569010491479</x:v>
      </x:c>
      <x:c r="M617" s="177" t="n">
        <x:f>MLCF!G157</x:f>
        <x:v>0.2692569010491479</x:v>
      </x:c>
      <x:c r="N617" s="178" t="str">
        <x:f>IF(AND(ABS(F617-I617)&lt;0.000001,ABS(G617-J617)&lt;0.000001,IF(ISNUMBER(L617),IF(ISNUMBER(M617),ABS(L617-M617)&lt;0.00000001,FALSE),M617=L617)),"PASS","FAIL")</x:f>
        <x:v>PASS</x:v>
      </x:c>
      <x:c r="O617" s="99" t="str"/>
      <x:c r="P617" s="76" t="str">
        <x:v>Debt Management</x:v>
      </x:c>
    </x:row>
    <x:row r="618" ht="26" customHeight="1">
      <x:c r="A618" s="168" t="str">
        <x:v>MLCF</x:v>
      </x:c>
      <x:c r="B618" s="168" t="n">
        <x:v>2024</x:v>
      </x:c>
      <x:c r="C618" s="168" t="n">
        <x:v>19</x:v>
      </x:c>
      <x:c r="D618" s="168" t="str">
        <x:v>Long-term debt ratio</x:v>
      </x:c>
      <x:c r="E618" s="168" t="str">
        <x:v>Additional</x:v>
      </x:c>
      <x:c r="F618" s="169" t="n">
        <x:f>MLCF!G67</x:f>
        <x:v>14320.456</x:v>
      </x:c>
      <x:c r="G618" s="169" t="n">
        <x:f>MLCF!G37</x:f>
        <x:v>99365.682</x:v>
      </x:c>
      <x:c r="H618" s="169" t="n">
        <x:f>IF(G618&lt;=0,"n/m",F618/G618)</x:f>
        <x:v>0.1441187310524372</x:v>
      </x:c>
      <x:c r="I618" s="169" t="n">
        <x:v>14320.456</x:v>
      </x:c>
      <x:c r="J618" s="169" t="n">
        <x:v>99365.682</x:v>
      </x:c>
      <x:c r="K618" s="169" t="n">
        <x:v>0.1441187310524372</x:v>
      </x:c>
      <x:c r="L618" s="175" t="n">
        <x:v>0.1441187310524372</x:v>
      </x:c>
      <x:c r="M618" s="175" t="n">
        <x:f>MLCF!G158</x:f>
        <x:v>0.1441187310524372</x:v>
      </x:c>
      <x:c r="N618" s="176" t="str">
        <x:f>IF(AND(ABS(F618-I618)&lt;0.000001,ABS(G618-J618)&lt;0.000001,IF(ISNUMBER(L618),IF(ISNUMBER(M618),ABS(L618-M618)&lt;0.00000001,FALSE),M618=L618)),"PASS","FAIL")</x:f>
        <x:v>PASS</x:v>
      </x:c>
      <x:c r="O618" s="171" t="str"/>
      <x:c r="P618" s="168" t="str">
        <x:v>Debt Management</x:v>
      </x:c>
    </x:row>
    <x:row r="619" ht="26" customHeight="1">
      <x:c r="A619" s="76" t="str">
        <x:v>MLCF</x:v>
      </x:c>
      <x:c r="B619" s="76" t="n">
        <x:v>2024</x:v>
      </x:c>
      <x:c r="C619" s="76" t="n">
        <x:v>20</x:v>
      </x:c>
      <x:c r="D619" s="76" t="str">
        <x:v>Times interest earned</x:v>
      </x:c>
      <x:c r="E619" s="76" t="str">
        <x:v>Mandatory</x:v>
      </x:c>
      <x:c r="F619" s="170" t="n">
        <x:f>MLCF!G108</x:f>
        <x:v>13069.733999999999</x:v>
      </x:c>
      <x:c r="G619" s="170" t="n">
        <x:f>MLCF!G106</x:f>
        <x:v>4055.42</x:v>
      </x:c>
      <x:c r="H619" s="170" t="n">
        <x:f>IF(G619&lt;=0,"n/m",F619/G619)</x:f>
        <x:v>3.222781857366191</x:v>
      </x:c>
      <x:c r="I619" s="170" t="n">
        <x:v>13069.734</x:v>
      </x:c>
      <x:c r="J619" s="170" t="n">
        <x:v>4055.42</x:v>
      </x:c>
      <x:c r="K619" s="170" t="n">
        <x:v>3.2227818573661913</x:v>
      </x:c>
      <x:c r="L619" s="177" t="n">
        <x:v>3.2227818573661913</x:v>
      </x:c>
      <x:c r="M619" s="177" t="n">
        <x:f>MLCF!G159</x:f>
        <x:v>3.222781857366191</x:v>
      </x:c>
      <x:c r="N619" s="178" t="str">
        <x:f>IF(AND(ABS(F619-I619)&lt;0.000001,ABS(G619-J619)&lt;0.000001,IF(ISNUMBER(L619),IF(ISNUMBER(M619),ABS(L619-M619)&lt;0.00000001,FALSE),M619=L619)),"PASS","FAIL")</x:f>
        <x:v>PASS</x:v>
      </x:c>
      <x:c r="O619" s="99" t="str"/>
      <x:c r="P619" s="76" t="str">
        <x:v>Debt Management</x:v>
      </x:c>
    </x:row>
    <x:row r="620" ht="26" customHeight="1">
      <x:c r="A620" s="168" t="str">
        <x:v>MLCF</x:v>
      </x:c>
      <x:c r="B620" s="168" t="n">
        <x:v>2024</x:v>
      </x:c>
      <x:c r="C620" s="168" t="n">
        <x:v>21</x:v>
      </x:c>
      <x:c r="D620" s="168" t="str">
        <x:v>Gross profit margin</x:v>
      </x:c>
      <x:c r="E620" s="168" t="str">
        <x:v>Mandatory</x:v>
      </x:c>
      <x:c r="F620" s="169" t="n">
        <x:f>MLCF!G86</x:f>
        <x:v>20964.284</x:v>
      </x:c>
      <x:c r="G620" s="169" t="n">
        <x:f>MLCF!G84</x:f>
        <x:v>66452.348</x:v>
      </x:c>
      <x:c r="H620" s="169" t="n">
        <x:f>IF(G620&lt;=0,"n/m",F620/G620)</x:f>
        <x:v>0.31547845382378364</x:v>
      </x:c>
      <x:c r="I620" s="169" t="n">
        <x:v>20964.284</x:v>
      </x:c>
      <x:c r="J620" s="169" t="n">
        <x:v>66452.348</x:v>
      </x:c>
      <x:c r="K620" s="169" t="n">
        <x:v>0.31547845382378364</x:v>
      </x:c>
      <x:c r="L620" s="175" t="n">
        <x:v>0.31547845382378364</x:v>
      </x:c>
      <x:c r="M620" s="175" t="n">
        <x:f>MLCF!G161</x:f>
        <x:v>0.31547845382378364</x:v>
      </x:c>
      <x:c r="N620" s="176" t="str">
        <x:f>IF(AND(ABS(F620-I620)&lt;0.000001,ABS(G620-J620)&lt;0.000001,IF(ISNUMBER(L620),IF(ISNUMBER(M620),ABS(L620-M620)&lt;0.00000001,FALSE),M620=L620)),"PASS","FAIL")</x:f>
        <x:v>PASS</x:v>
      </x:c>
      <x:c r="O620" s="171" t="str"/>
      <x:c r="P620" s="168" t="str">
        <x:v>Profitability</x:v>
      </x:c>
    </x:row>
    <x:row r="621" ht="26" customHeight="1">
      <x:c r="A621" s="76" t="str">
        <x:v>MLCF</x:v>
      </x:c>
      <x:c r="B621" s="76" t="n">
        <x:v>2024</x:v>
      </x:c>
      <x:c r="C621" s="76" t="n">
        <x:v>22</x:v>
      </x:c>
      <x:c r="D621" s="76" t="str">
        <x:v>Operating margin</x:v>
      </x:c>
      <x:c r="E621" s="76" t="str">
        <x:v>Mandatory</x:v>
      </x:c>
      <x:c r="F621" s="170" t="n">
        <x:f>MLCF!G91</x:f>
        <x:v>12713.591999999999</x:v>
      </x:c>
      <x:c r="G621" s="170" t="n">
        <x:f>MLCF!G84</x:f>
        <x:v>66452.348</x:v>
      </x:c>
      <x:c r="H621" s="170" t="n">
        <x:f>IF(G621&lt;=0,"n/m",F621/G621)</x:f>
        <x:v>0.19131892826420518</x:v>
      </x:c>
      <x:c r="I621" s="170" t="n">
        <x:v>12713.592</x:v>
      </x:c>
      <x:c r="J621" s="170" t="n">
        <x:v>66452.348</x:v>
      </x:c>
      <x:c r="K621" s="170" t="n">
        <x:v>0.1913189282642052</x:v>
      </x:c>
      <x:c r="L621" s="177" t="n">
        <x:v>0.1913189282642052</x:v>
      </x:c>
      <x:c r="M621" s="177" t="n">
        <x:f>MLCF!G162</x:f>
        <x:v>0.19131892826420518</x:v>
      </x:c>
      <x:c r="N621" s="178" t="str">
        <x:f>IF(AND(ABS(F621-I621)&lt;0.000001,ABS(G621-J621)&lt;0.000001,IF(ISNUMBER(L621),IF(ISNUMBER(M621),ABS(L621-M621)&lt;0.00000001,FALSE),M621=L621)),"PASS","FAIL")</x:f>
        <x:v>PASS</x:v>
      </x:c>
      <x:c r="O621" s="99" t="str"/>
      <x:c r="P621" s="76" t="str">
        <x:v>Profitability</x:v>
      </x:c>
    </x:row>
    <x:row r="622" ht="26" customHeight="1">
      <x:c r="A622" s="168" t="str">
        <x:v>MLCF</x:v>
      </x:c>
      <x:c r="B622" s="168" t="n">
        <x:v>2024</x:v>
      </x:c>
      <x:c r="C622" s="168" t="n">
        <x:v>23</x:v>
      </x:c>
      <x:c r="D622" s="168" t="str">
        <x:v>Net profit margin</x:v>
      </x:c>
      <x:c r="E622" s="168" t="str">
        <x:v>Mandatory</x:v>
      </x:c>
      <x:c r="F622" s="169" t="n">
        <x:f>MLCF!G99</x:f>
        <x:v>5272.526999999998</x:v>
      </x:c>
      <x:c r="G622" s="169" t="n">
        <x:f>MLCF!G84</x:f>
        <x:v>66452.348</x:v>
      </x:c>
      <x:c r="H622" s="169" t="n">
        <x:f>IF(G622&lt;=0,"n/m",F622/G622)</x:f>
        <x:v>0.07934297520984508</x:v>
      </x:c>
      <x:c r="I622" s="169" t="n">
        <x:v>5272.527</x:v>
      </x:c>
      <x:c r="J622" s="169" t="n">
        <x:v>66452.348</x:v>
      </x:c>
      <x:c r="K622" s="169" t="n">
        <x:v>0.07934297520984511</x:v>
      </x:c>
      <x:c r="L622" s="175" t="n">
        <x:v>0.07934297520984511</x:v>
      </x:c>
      <x:c r="M622" s="175" t="n">
        <x:f>MLCF!G163</x:f>
        <x:v>0.07934297520984508</x:v>
      </x:c>
      <x:c r="N622" s="176" t="str">
        <x:f>IF(AND(ABS(F622-I622)&lt;0.000001,ABS(G622-J622)&lt;0.000001,IF(ISNUMBER(L622),IF(ISNUMBER(M622),ABS(L622-M622)&lt;0.00000001,FALSE),M622=L622)),"PASS","FAIL")</x:f>
        <x:v>PASS</x:v>
      </x:c>
      <x:c r="O622" s="171" t="str"/>
      <x:c r="P622" s="168" t="str">
        <x:v>Profitability</x:v>
      </x:c>
    </x:row>
    <x:row r="623" ht="26" customHeight="1">
      <x:c r="A623" s="76" t="str">
        <x:v>MLCF</x:v>
      </x:c>
      <x:c r="B623" s="76" t="n">
        <x:v>2024</x:v>
      </x:c>
      <x:c r="C623" s="76" t="n">
        <x:v>24</x:v>
      </x:c>
      <x:c r="D623" s="76" t="str">
        <x:v>Return on assets</x:v>
      </x:c>
      <x:c r="E623" s="76" t="str">
        <x:v>Mandatory</x:v>
      </x:c>
      <x:c r="F623" s="170" t="n">
        <x:f>MLCF!G99</x:f>
        <x:v>5272.526999999998</x:v>
      </x:c>
      <x:c r="G623" s="170" t="n">
        <x:f>AVERAGE(MLCF!F37,MLCF!G37)</x:f>
        <x:v>94536.6965</x:v>
      </x:c>
      <x:c r="H623" s="170" t="n">
        <x:f>IF(G623&lt;=0,"n/m",F623/G623)</x:f>
        <x:v>0.0557722788631608</x:v>
      </x:c>
      <x:c r="I623" s="170" t="n">
        <x:v>5272.527</x:v>
      </x:c>
      <x:c r="J623" s="170" t="n">
        <x:v>94536.69649999999</x:v>
      </x:c>
      <x:c r="K623" s="170" t="n">
        <x:v>0.05577227886316083</x:v>
      </x:c>
      <x:c r="L623" s="177" t="n">
        <x:v>0.05577227886316083</x:v>
      </x:c>
      <x:c r="M623" s="177" t="n">
        <x:f>MLCF!G164</x:f>
        <x:v>0.0557722788631608</x:v>
      </x:c>
      <x:c r="N623" s="178" t="str">
        <x:f>IF(AND(ABS(F623-I623)&lt;0.000001,ABS(G623-J623)&lt;0.000001,IF(ISNUMBER(L623),IF(ISNUMBER(M623),ABS(L623-M623)&lt;0.00000001,FALSE),M623=L623)),"PASS","FAIL")</x:f>
        <x:v>PASS</x:v>
      </x:c>
      <x:c r="O623" s="99" t="str"/>
      <x:c r="P623" s="76" t="str">
        <x:v>Profitability</x:v>
      </x:c>
    </x:row>
    <x:row r="624" ht="26" customHeight="1">
      <x:c r="A624" s="168" t="str">
        <x:v>MLCF</x:v>
      </x:c>
      <x:c r="B624" s="168" t="n">
        <x:v>2024</x:v>
      </x:c>
      <x:c r="C624" s="168" t="n">
        <x:v>25</x:v>
      </x:c>
      <x:c r="D624" s="168" t="str">
        <x:v>Return on equity</x:v>
      </x:c>
      <x:c r="E624" s="168" t="str">
        <x:v>Mandatory</x:v>
      </x:c>
      <x:c r="F624" s="169" t="n">
        <x:f>MLCF!G99</x:f>
        <x:v>5272.526999999998</x:v>
      </x:c>
      <x:c r="G624" s="169" t="n">
        <x:f>AVERAGE(MLCF!F41,MLCF!G41)</x:f>
        <x:v>48764.511</x:v>
      </x:c>
      <x:c r="H624" s="169" t="n">
        <x:f>IF(G624&lt;=0,"n/m",F624/G624)</x:f>
        <x:v>0.10812221617479151</x:v>
      </x:c>
      <x:c r="I624" s="169" t="n">
        <x:v>5272.527</x:v>
      </x:c>
      <x:c r="J624" s="169" t="n">
        <x:v>48764.511</x:v>
      </x:c>
      <x:c r="K624" s="169" t="n">
        <x:v>0.10812221617479155</x:v>
      </x:c>
      <x:c r="L624" s="175" t="n">
        <x:v>0.10812221617479155</x:v>
      </x:c>
      <x:c r="M624" s="175" t="n">
        <x:f>MLCF!G165</x:f>
        <x:v>0.10812221617479151</x:v>
      </x:c>
      <x:c r="N624" s="176" t="str">
        <x:f>IF(AND(ABS(F624-I624)&lt;0.000001,ABS(G624-J624)&lt;0.000001,IF(ISNUMBER(L624),IF(ISNUMBER(M624),ABS(L624-M624)&lt;0.00000001,FALSE),M624=L624)),"PASS","FAIL")</x:f>
        <x:v>PASS</x:v>
      </x:c>
      <x:c r="O624" s="171" t="str"/>
      <x:c r="P624" s="168" t="str">
        <x:v>Profitability</x:v>
      </x:c>
    </x:row>
    <x:row r="625" ht="26" customHeight="1">
      <x:c r="A625" s="76" t="str">
        <x:v>MLCF</x:v>
      </x:c>
      <x:c r="B625" s="76" t="n">
        <x:v>2024</x:v>
      </x:c>
      <x:c r="C625" s="76" t="n">
        <x:v>26</x:v>
      </x:c>
      <x:c r="D625" s="76" t="str">
        <x:v>Return on invested capital</x:v>
      </x:c>
      <x:c r="E625" s="76" t="str">
        <x:v>Additional</x:v>
      </x:c>
      <x:c r="F625" s="170" t="n">
        <x:f>MLCF!G113</x:f>
        <x:v>7715.493097851321</x:v>
      </x:c>
      <x:c r="G625" s="170" t="n">
        <x:f>AVERAGE(MLCF!F70,MLCF!G70)</x:f>
        <x:v>68395.40400000001</x:v>
      </x:c>
      <x:c r="H625" s="170" t="n">
        <x:f>IF(G625&lt;=0,"n/m",F625/G625)</x:f>
        <x:v>0.1128071865450392</x:v>
      </x:c>
      <x:c r="I625" s="170" t="n">
        <x:v>7715.493097851322</x:v>
      </x:c>
      <x:c r="J625" s="170" t="n">
        <x:v>68395.404</x:v>
      </x:c>
      <x:c r="K625" s="170" t="n">
        <x:v>0.11280718654503924</x:v>
      </x:c>
      <x:c r="L625" s="177" t="n">
        <x:v>0.11280718654503924</x:v>
      </x:c>
      <x:c r="M625" s="177" t="n">
        <x:f>MLCF!G166</x:f>
        <x:v>0.1128071865450392</x:v>
      </x:c>
      <x:c r="N625" s="178" t="str">
        <x:f>IF(AND(ABS(F625-I625)&lt;0.000001,ABS(G625-J625)&lt;0.000001,IF(ISNUMBER(L625),IF(ISNUMBER(M625),ABS(L625-M625)&lt;0.00000001,FALSE),M625=L625)),"PASS","FAIL")</x:f>
        <x:v>PASS</x:v>
      </x:c>
      <x:c r="O625" s="99" t="str"/>
      <x:c r="P625" s="76" t="str">
        <x:v>Profitability</x:v>
      </x:c>
    </x:row>
    <x:row r="626" ht="26" customHeight="1">
      <x:c r="A626" s="168" t="str">
        <x:v>MLCF</x:v>
      </x:c>
      <x:c r="B626" s="168" t="n">
        <x:v>2024</x:v>
      </x:c>
      <x:c r="C626" s="168" t="n">
        <x:v>27</x:v>
      </x:c>
      <x:c r="D626" s="168" t="str">
        <x:v>Basic earning power</x:v>
      </x:c>
      <x:c r="E626" s="168" t="str">
        <x:v>Additional</x:v>
      </x:c>
      <x:c r="F626" s="169" t="n">
        <x:f>MLCF!G108</x:f>
        <x:v>13069.733999999999</x:v>
      </x:c>
      <x:c r="G626" s="169" t="n">
        <x:f>AVERAGE(MLCF!F37,MLCF!G37)</x:f>
        <x:v>94536.6965</x:v>
      </x:c>
      <x:c r="H626" s="169" t="n">
        <x:f>IF(G626&lt;=0,"n/m",F626/G626)</x:f>
        <x:v>0.1382503777250139</x:v>
      </x:c>
      <x:c r="I626" s="169" t="n">
        <x:v>13069.734</x:v>
      </x:c>
      <x:c r="J626" s="169" t="n">
        <x:v>94536.69649999999</x:v>
      </x:c>
      <x:c r="K626" s="169" t="n">
        <x:v>0.13825037772501392</x:v>
      </x:c>
      <x:c r="L626" s="175" t="n">
        <x:v>0.13825037772501392</x:v>
      </x:c>
      <x:c r="M626" s="175" t="n">
        <x:f>MLCF!G167</x:f>
        <x:v>0.1382503777250139</x:v>
      </x:c>
      <x:c r="N626" s="176" t="str">
        <x:f>IF(AND(ABS(F626-I626)&lt;0.000001,ABS(G626-J626)&lt;0.000001,IF(ISNUMBER(L626),IF(ISNUMBER(M626),ABS(L626-M626)&lt;0.00000001,FALSE),M626=L626)),"PASS","FAIL")</x:f>
        <x:v>PASS</x:v>
      </x:c>
      <x:c r="O626" s="171" t="str"/>
      <x:c r="P626" s="168" t="str">
        <x:v>Profitability</x:v>
      </x:c>
    </x:row>
    <x:row r="627" ht="26" customHeight="1">
      <x:c r="A627" s="76" t="str">
        <x:v>MLCF</x:v>
      </x:c>
      <x:c r="B627" s="76" t="n">
        <x:v>2024</x:v>
      </x:c>
      <x:c r="C627" s="76" t="n">
        <x:v>28</x:v>
      </x:c>
      <x:c r="D627" s="76" t="str">
        <x:v>Book value per share (Rs)</x:v>
      </x:c>
      <x:c r="E627" s="76" t="str">
        <x:v>Additional</x:v>
      </x:c>
      <x:c r="F627" s="170" t="n">
        <x:f>MLCF!G41</x:f>
        <x:v>52615.907999999996</x:v>
      </x:c>
      <x:c r="G627" s="170" t="n">
        <x:f>MLCF!G128</x:f>
        <x:v>1047.5626</x:v>
      </x:c>
      <x:c r="H627" s="170" t="n">
        <x:f>IF(G627&lt;=0,"n/m",F627/G627)</x:f>
        <x:v>50.22698213930126</x:v>
      </x:c>
      <x:c r="I627" s="170" t="n">
        <x:v>52615.907999999996</x:v>
      </x:c>
      <x:c r="J627" s="170" t="n">
        <x:v>1047.5626</x:v>
      </x:c>
      <x:c r="K627" s="170" t="n">
        <x:v>50.22698213930126</x:v>
      </x:c>
      <x:c r="L627" s="177" t="n">
        <x:v>50.22698213930126</x:v>
      </x:c>
      <x:c r="M627" s="177" t="n">
        <x:f>MLCF!G169</x:f>
        <x:v>50.22698213930126</x:v>
      </x:c>
      <x:c r="N627" s="178" t="str">
        <x:f>IF(AND(ABS(F627-I627)&lt;0.000001,ABS(G627-J627)&lt;0.000001,IF(ISNUMBER(L627),IF(ISNUMBER(M627),ABS(L627-M627)&lt;0.00000001,FALSE),M627=L627)),"PASS","FAIL")</x:f>
        <x:v>PASS</x:v>
      </x:c>
      <x:c r="O627" s="99" t="str"/>
      <x:c r="P627" s="76" t="str">
        <x:v>Market Value</x:v>
      </x:c>
    </x:row>
    <x:row r="628" ht="26" customHeight="1">
      <x:c r="A628" s="168" t="str">
        <x:v>MLCF</x:v>
      </x:c>
      <x:c r="B628" s="168" t="n">
        <x:v>2024</x:v>
      </x:c>
      <x:c r="C628" s="168" t="n">
        <x:v>29</x:v>
      </x:c>
      <x:c r="D628" s="168" t="str">
        <x:v>Market-to-book ratio</x:v>
      </x:c>
      <x:c r="E628" s="168" t="str">
        <x:v>Mandatory</x:v>
      </x:c>
      <x:c r="F628" s="169" t="n">
        <x:f>MLCF!G130</x:f>
        <x:v>38</x:v>
      </x:c>
      <x:c r="G628" s="169" t="n">
        <x:f>MLCF!G41/MLCF!G128</x:f>
        <x:v>50.22698213930126</x:v>
      </x:c>
      <x:c r="H628" s="169" t="n">
        <x:f>IF(G628&lt;=0,"n/m",F628/G628)</x:f>
        <x:v>0.7565654630534934</x:v>
      </x:c>
      <x:c r="I628" s="169" t="n">
        <x:v>38</x:v>
      </x:c>
      <x:c r="J628" s="169" t="n">
        <x:v>50.22698213930126</x:v>
      </x:c>
      <x:c r="K628" s="169" t="n">
        <x:v>0.7565654630534934</x:v>
      </x:c>
      <x:c r="L628" s="175" t="n">
        <x:v>0.7565654630534934</x:v>
      </x:c>
      <x:c r="M628" s="175" t="n">
        <x:f>MLCF!G170</x:f>
        <x:v>0.7565654630534934</x:v>
      </x:c>
      <x:c r="N628" s="176" t="str">
        <x:f>IF(AND(ABS(F628-I628)&lt;0.000001,ABS(G628-J628)&lt;0.000001,IF(ISNUMBER(L628),IF(ISNUMBER(M628),ABS(L628-M628)&lt;0.00000001,FALSE),M628=L628)),"PASS","FAIL")</x:f>
        <x:v>PASS</x:v>
      </x:c>
      <x:c r="O628" s="171" t="str"/>
      <x:c r="P628" s="168" t="str">
        <x:v>Market Value</x:v>
      </x:c>
    </x:row>
    <x:row r="629" ht="26" customHeight="1">
      <x:c r="A629" s="76" t="str">
        <x:v>MLCF</x:v>
      </x:c>
      <x:c r="B629" s="76" t="n">
        <x:v>2024</x:v>
      </x:c>
      <x:c r="C629" s="76" t="n">
        <x:v>30</x:v>
      </x:c>
      <x:c r="D629" s="76" t="str">
        <x:v>Earnings per share (Rs)</x:v>
      </x:c>
      <x:c r="E629" s="76" t="str">
        <x:v>Mandatory</x:v>
      </x:c>
      <x:c r="F629" s="170" t="n">
        <x:f>MLCF!G99</x:f>
        <x:v>5272.526999999998</x:v>
      </x:c>
      <x:c r="G629" s="170" t="n">
        <x:f>MLCF!G129</x:f>
        <x:v>1058.911</x:v>
      </x:c>
      <x:c r="H629" s="170" t="n">
        <x:f>IF(G629&lt;=0,"n/m",F629/G629)</x:f>
        <x:v>4.979197496295721</x:v>
      </x:c>
      <x:c r="I629" s="170" t="n">
        <x:v>5272.527</x:v>
      </x:c>
      <x:c r="J629" s="170" t="n">
        <x:v>1058.911</x:v>
      </x:c>
      <x:c r="K629" s="170" t="n">
        <x:v>4.979197496295723</x:v>
      </x:c>
      <x:c r="L629" s="177" t="n">
        <x:v>4.979197496295723</x:v>
      </x:c>
      <x:c r="M629" s="177" t="n">
        <x:f>MLCF!G171</x:f>
        <x:v>4.979197496295721</x:v>
      </x:c>
      <x:c r="N629" s="178" t="str">
        <x:f>IF(AND(ABS(F629-I629)&lt;0.000001,ABS(G629-J629)&lt;0.000001,IF(ISNUMBER(L629),IF(ISNUMBER(M629),ABS(L629-M629)&lt;0.00000001,FALSE),M629=L629)),"PASS","FAIL")</x:f>
        <x:v>PASS</x:v>
      </x:c>
      <x:c r="O629" s="99" t="str"/>
      <x:c r="P629" s="76" t="str">
        <x:v>Market Value</x:v>
      </x:c>
    </x:row>
    <x:row r="630" ht="26" customHeight="1">
      <x:c r="A630" s="168" t="str">
        <x:v>MLCF</x:v>
      </x:c>
      <x:c r="B630" s="168" t="n">
        <x:v>2024</x:v>
      </x:c>
      <x:c r="C630" s="168" t="n">
        <x:v>31</x:v>
      </x:c>
      <x:c r="D630" s="168" t="str">
        <x:v>Price-to-earnings ratio</x:v>
      </x:c>
      <x:c r="E630" s="168" t="str">
        <x:v>Mandatory</x:v>
      </x:c>
      <x:c r="F630" s="169" t="n">
        <x:f>MLCF!G130</x:f>
        <x:v>38</x:v>
      </x:c>
      <x:c r="G630" s="169" t="n">
        <x:f>MLCF!G99/MLCF!G129</x:f>
        <x:v>4.979197496295721</x:v>
      </x:c>
      <x:c r="H630" s="169" t="n">
        <x:f>IF(G630&lt;=0,"n/m",F630/G630)</x:f>
        <x:v>7.631751909473391</x:v>
      </x:c>
      <x:c r="I630" s="169" t="n">
        <x:v>38</x:v>
      </x:c>
      <x:c r="J630" s="169" t="n">
        <x:v>4.979197496295723</x:v>
      </x:c>
      <x:c r="K630" s="169" t="n">
        <x:v>7.6317519094733886</x:v>
      </x:c>
      <x:c r="L630" s="175" t="n">
        <x:v>7.6317519094733886</x:v>
      </x:c>
      <x:c r="M630" s="175" t="n">
        <x:f>MLCF!G172</x:f>
        <x:v>7.631751909473391</x:v>
      </x:c>
      <x:c r="N630" s="176" t="str">
        <x:f>IF(AND(ABS(F630-I630)&lt;0.000001,ABS(G630-J630)&lt;0.000001,IF(ISNUMBER(L630),IF(ISNUMBER(M630),ABS(L630-M630)&lt;0.00000001,FALSE),M630=L630)),"PASS","FAIL")</x:f>
        <x:v>PASS</x:v>
      </x:c>
      <x:c r="O630" s="171" t="str"/>
      <x:c r="P630" s="168" t="str">
        <x:v>Market Value</x:v>
      </x:c>
    </x:row>
    <x:row r="631" ht="26" customHeight="1">
      <x:c r="A631" s="76" t="str">
        <x:v>MLCF</x:v>
      </x:c>
      <x:c r="B631" s="76" t="n">
        <x:v>2024</x:v>
      </x:c>
      <x:c r="C631" s="76" t="n">
        <x:v>32</x:v>
      </x:c>
      <x:c r="D631" s="76" t="str">
        <x:v>Dividend yield</x:v>
      </x:c>
      <x:c r="E631" s="76" t="str">
        <x:v>Mandatory</x:v>
      </x:c>
      <x:c r="F631" s="170" t="n">
        <x:f>MLCF!G131</x:f>
        <x:v>0</x:v>
      </x:c>
      <x:c r="G631" s="170" t="n">
        <x:f>MLCF!G130</x:f>
        <x:v>38</x:v>
      </x:c>
      <x:c r="H631" s="170" t="n">
        <x:f>IF(G631&lt;=0,"n/m",F631/G631)</x:f>
        <x:v>0</x:v>
      </x:c>
      <x:c r="I631" s="170" t="n">
        <x:v>0</x:v>
      </x:c>
      <x:c r="J631" s="170" t="n">
        <x:v>38</x:v>
      </x:c>
      <x:c r="K631" s="170" t="n">
        <x:v>0</x:v>
      </x:c>
      <x:c r="L631" s="177" t="n">
        <x:v>0</x:v>
      </x:c>
      <x:c r="M631" s="177" t="n">
        <x:f>MLCF!G173</x:f>
        <x:v>0</x:v>
      </x:c>
      <x:c r="N631" s="178" t="str">
        <x:f>IF(AND(ABS(F631-I631)&lt;0.000001,ABS(G631-J631)&lt;0.000001,IF(ISNUMBER(L631),IF(ISNUMBER(M631),ABS(L631-M631)&lt;0.00000001,FALSE),M631=L631)),"PASS","FAIL")</x:f>
        <x:v>PASS</x:v>
      </x:c>
      <x:c r="O631" s="99" t="str"/>
      <x:c r="P631" s="76" t="str">
        <x:v>Market Value</x:v>
      </x:c>
    </x:row>
    <x:row r="632" ht="26" customHeight="1">
      <x:c r="A632" s="168" t="str">
        <x:v>MLCF</x:v>
      </x:c>
      <x:c r="B632" s="168" t="n">
        <x:v>2024</x:v>
      </x:c>
      <x:c r="C632" s="168" t="n">
        <x:v>33</x:v>
      </x:c>
      <x:c r="D632" s="168" t="str">
        <x:v>Dividend payout ratio</x:v>
      </x:c>
      <x:c r="E632" s="168" t="str">
        <x:v>Additional</x:v>
      </x:c>
      <x:c r="F632" s="169" t="n">
        <x:f>MLCF!G131</x:f>
        <x:v>0</x:v>
      </x:c>
      <x:c r="G632" s="169" t="n">
        <x:f>MLCF!G99/MLCF!G129</x:f>
        <x:v>4.979197496295721</x:v>
      </x:c>
      <x:c r="H632" s="169" t="n">
        <x:f>IF(G632&lt;=0,"n/m",F632/G632)</x:f>
        <x:v>0</x:v>
      </x:c>
      <x:c r="I632" s="169" t="n">
        <x:v>0</x:v>
      </x:c>
      <x:c r="J632" s="169" t="n">
        <x:v>4.979197496295723</x:v>
      </x:c>
      <x:c r="K632" s="169" t="n">
        <x:v>0</x:v>
      </x:c>
      <x:c r="L632" s="175" t="n">
        <x:v>0</x:v>
      </x:c>
      <x:c r="M632" s="175" t="n">
        <x:f>MLCF!G174</x:f>
        <x:v>0</x:v>
      </x:c>
      <x:c r="N632" s="176" t="str">
        <x:f>IF(AND(ABS(F632-I632)&lt;0.000001,ABS(G632-J632)&lt;0.000001,IF(ISNUMBER(L632),IF(ISNUMBER(M632),ABS(L632-M632)&lt;0.00000001,FALSE),M632=L632)),"PASS","FAIL")</x:f>
        <x:v>PASS</x:v>
      </x:c>
      <x:c r="O632" s="171" t="str"/>
      <x:c r="P632" s="168" t="str">
        <x:v>Market Value</x:v>
      </x:c>
    </x:row>
    <x:row r="633" ht="26" customHeight="1">
      <x:c r="A633" s="76" t="str">
        <x:v>MLCF</x:v>
      </x:c>
      <x:c r="B633" s="76" t="n">
        <x:v>2025</x:v>
      </x:c>
      <x:c r="C633" s="76" t="n">
        <x:v>1</x:v>
      </x:c>
      <x:c r="D633" s="76" t="str">
        <x:v>Current ratio</x:v>
      </x:c>
      <x:c r="E633" s="76" t="str">
        <x:v>Mandatory</x:v>
      </x:c>
      <x:c r="F633" s="170" t="n">
        <x:f>MLCF!H36</x:f>
        <x:v>35752.604</x:v>
      </x:c>
      <x:c r="G633" s="170" t="n">
        <x:f>MLCF!H61</x:f>
        <x:v>23330.491000000005</x:v>
      </x:c>
      <x:c r="H633" s="170" t="n">
        <x:f>IF(G633&lt;=0,"n/m",F633/G633)</x:f>
        <x:v>1.5324411303645513</x:v>
      </x:c>
      <x:c r="I633" s="170" t="n">
        <x:v>35752.604</x:v>
      </x:c>
      <x:c r="J633" s="170" t="n">
        <x:v>23330.491</x:v>
      </x:c>
      <x:c r="K633" s="170" t="n">
        <x:v>1.5324411303645515</x:v>
      </x:c>
      <x:c r="L633" s="177" t="n">
        <x:v>1.5324411303645515</x:v>
      </x:c>
      <x:c r="M633" s="177" t="n">
        <x:f>MLCF!H138</x:f>
        <x:v>1.5324411303645513</x:v>
      </x:c>
      <x:c r="N633" s="178" t="str">
        <x:f>IF(AND(ABS(F633-I633)&lt;0.000001,ABS(G633-J633)&lt;0.000001,IF(ISNUMBER(L633),IF(ISNUMBER(M633),ABS(L633-M633)&lt;0.00000001,FALSE),M633=L633)),"PASS","FAIL")</x:f>
        <x:v>PASS</x:v>
      </x:c>
      <x:c r="O633" s="99" t="str"/>
      <x:c r="P633" s="76" t="str">
        <x:v>Liquidity</x:v>
      </x:c>
    </x:row>
    <x:row r="634" ht="26" customHeight="1">
      <x:c r="A634" s="168" t="str">
        <x:v>MLCF</x:v>
      </x:c>
      <x:c r="B634" s="168" t="n">
        <x:v>2025</x:v>
      </x:c>
      <x:c r="C634" s="168" t="n">
        <x:v>2</x:v>
      </x:c>
      <x:c r="D634" s="168" t="str">
        <x:v>Quick ratio</x:v>
      </x:c>
      <x:c r="E634" s="168" t="str">
        <x:v>Mandatory</x:v>
      </x:c>
      <x:c r="F634" s="169" t="n">
        <x:f>MLCF!H36-MLCF!H65</x:f>
        <x:v>18848.303</x:v>
      </x:c>
      <x:c r="G634" s="169" t="n">
        <x:f>MLCF!H61</x:f>
        <x:v>23330.491000000005</x:v>
      </x:c>
      <x:c r="H634" s="169" t="n">
        <x:f>IF(G634&lt;=0,"n/m",F634/G634)</x:f>
        <x:v>0.8078828259550986</x:v>
      </x:c>
      <x:c r="I634" s="169" t="n">
        <x:v>18848.303</x:v>
      </x:c>
      <x:c r="J634" s="169" t="n">
        <x:v>23330.491</x:v>
      </x:c>
      <x:c r="K634" s="169" t="n">
        <x:v>0.8078828259550987</x:v>
      </x:c>
      <x:c r="L634" s="175" t="n">
        <x:v>0.8078828259550987</x:v>
      </x:c>
      <x:c r="M634" s="175" t="n">
        <x:f>MLCF!H139</x:f>
        <x:v>0.8078828259550986</x:v>
      </x:c>
      <x:c r="N634" s="176" t="str">
        <x:f>IF(AND(ABS(F634-I634)&lt;0.000001,ABS(G634-J634)&lt;0.000001,IF(ISNUMBER(L634),IF(ISNUMBER(M634),ABS(L634-M634)&lt;0.00000001,FALSE),M634=L634)),"PASS","FAIL")</x:f>
        <x:v>PASS</x:v>
      </x:c>
      <x:c r="O634" s="171" t="str"/>
      <x:c r="P634" s="168" t="str">
        <x:v>Liquidity</x:v>
      </x:c>
    </x:row>
    <x:row r="635" ht="26" customHeight="1">
      <x:c r="A635" s="76" t="str">
        <x:v>MLCF</x:v>
      </x:c>
      <x:c r="B635" s="76" t="n">
        <x:v>2025</x:v>
      </x:c>
      <x:c r="C635" s="76" t="n">
        <x:v>3</x:v>
      </x:c>
      <x:c r="D635" s="76" t="str">
        <x:v>Cash ratio</x:v>
      </x:c>
      <x:c r="E635" s="76" t="str">
        <x:v>Mandatory</x:v>
      </x:c>
      <x:c r="F635" s="170" t="n">
        <x:f>MLCF!H34</x:f>
        <x:v>1615.481</x:v>
      </x:c>
      <x:c r="G635" s="170" t="n">
        <x:f>MLCF!H61</x:f>
        <x:v>23330.491000000005</x:v>
      </x:c>
      <x:c r="H635" s="170" t="n">
        <x:f>IF(G635&lt;=0,"n/m",F635/G635)</x:f>
        <x:v>0.06924333482737245</x:v>
      </x:c>
      <x:c r="I635" s="170" t="n">
        <x:v>1615.481</x:v>
      </x:c>
      <x:c r="J635" s="170" t="n">
        <x:v>23330.491</x:v>
      </x:c>
      <x:c r="K635" s="170" t="n">
        <x:v>0.06924333482737247</x:v>
      </x:c>
      <x:c r="L635" s="177" t="n">
        <x:v>0.06924333482737247</x:v>
      </x:c>
      <x:c r="M635" s="177" t="n">
        <x:f>MLCF!H140</x:f>
        <x:v>0.06924333482737245</x:v>
      </x:c>
      <x:c r="N635" s="178" t="str">
        <x:f>IF(AND(ABS(F635-I635)&lt;0.000001,ABS(G635-J635)&lt;0.000001,IF(ISNUMBER(L635),IF(ISNUMBER(M635),ABS(L635-M635)&lt;0.00000001,FALSE),M635=L635)),"PASS","FAIL")</x:f>
        <x:v>PASS</x:v>
      </x:c>
      <x:c r="O635" s="99" t="str"/>
      <x:c r="P635" s="76" t="str">
        <x:v>Liquidity</x:v>
      </x:c>
    </x:row>
    <x:row r="636" ht="26" customHeight="1">
      <x:c r="A636" s="168" t="str">
        <x:v>MLCF</x:v>
      </x:c>
      <x:c r="B636" s="168" t="n">
        <x:v>2025</x:v>
      </x:c>
      <x:c r="C636" s="168" t="n">
        <x:v>4</x:v>
      </x:c>
      <x:c r="D636" s="168" t="str">
        <x:v>Net working capital (PKR m)</x:v>
      </x:c>
      <x:c r="E636" s="168" t="str">
        <x:v>Additional</x:v>
      </x:c>
      <x:c r="F636" s="169" t="n">
        <x:f>MLCF!H36-MLCF!H61</x:f>
        <x:v>12422.112999999994</x:v>
      </x:c>
      <x:c r="G636" s="169" t="n">
        <x:f>1</x:f>
        <x:v>1</x:v>
      </x:c>
      <x:c r="H636" s="169" t="n">
        <x:f>IF(G636&lt;=0,"n/m",F636/G636)</x:f>
        <x:v>12422.112999999994</x:v>
      </x:c>
      <x:c r="I636" s="169" t="n">
        <x:v>12422.112999999998</x:v>
      </x:c>
      <x:c r="J636" s="169" t="n">
        <x:v>1</x:v>
      </x:c>
      <x:c r="K636" s="169" t="n">
        <x:v>12422.112999999998</x:v>
      </x:c>
      <x:c r="L636" s="175" t="n">
        <x:v>12422.112999999998</x:v>
      </x:c>
      <x:c r="M636" s="175" t="n">
        <x:f>MLCF!H141</x:f>
        <x:v>12422.112999999994</x:v>
      </x:c>
      <x:c r="N636" s="176" t="str">
        <x:f>IF(AND(ABS(F636-I636)&lt;0.000001,ABS(G636-J636)&lt;0.000001,IF(ISNUMBER(L636),IF(ISNUMBER(M636),ABS(L636-M636)&lt;0.00000001,FALSE),M636=L636)),"PASS","FAIL")</x:f>
        <x:v>PASS</x:v>
      </x:c>
      <x:c r="O636" s="171" t="str"/>
      <x:c r="P636" s="168" t="str">
        <x:v>Liquidity</x:v>
      </x:c>
    </x:row>
    <x:row r="637" ht="26" customHeight="1">
      <x:c r="A637" s="76" t="str">
        <x:v>MLCF</x:v>
      </x:c>
      <x:c r="B637" s="76" t="n">
        <x:v>2025</x:v>
      </x:c>
      <x:c r="C637" s="76" t="n">
        <x:v>5</x:v>
      </x:c>
      <x:c r="D637" s="76" t="str">
        <x:v>Net operating working capital (PKR m)</x:v>
      </x:c>
      <x:c r="E637" s="76" t="str">
        <x:v>Additional</x:v>
      </x:c>
      <x:c r="F637" s="170" t="n">
        <x:f>MLCF!H72-MLCF!H73</x:f>
        <x:v>4949.648999999998</x:v>
      </x:c>
      <x:c r="G637" s="170" t="n">
        <x:f>1</x:f>
        <x:v>1</x:v>
      </x:c>
      <x:c r="H637" s="170" t="n">
        <x:f>IF(G637&lt;=0,"n/m",F637/G637)</x:f>
        <x:v>4949.648999999998</x:v>
      </x:c>
      <x:c r="I637" s="170" t="n">
        <x:v>4949.648999999998</x:v>
      </x:c>
      <x:c r="J637" s="170" t="n">
        <x:v>1</x:v>
      </x:c>
      <x:c r="K637" s="170" t="n">
        <x:v>4949.648999999998</x:v>
      </x:c>
      <x:c r="L637" s="177" t="n">
        <x:v>4949.648999999998</x:v>
      </x:c>
      <x:c r="M637" s="177" t="n">
        <x:f>MLCF!H142</x:f>
        <x:v>4949.648999999998</x:v>
      </x:c>
      <x:c r="N637" s="178" t="str">
        <x:f>IF(AND(ABS(F637-I637)&lt;0.000001,ABS(G637-J637)&lt;0.000001,IF(ISNUMBER(L637),IF(ISNUMBER(M637),ABS(L637-M637)&lt;0.00000001,FALSE),M637=L637)),"PASS","FAIL")</x:f>
        <x:v>PASS</x:v>
      </x:c>
      <x:c r="O637" s="99" t="str"/>
      <x:c r="P637" s="76" t="str">
        <x:v>Liquidity</x:v>
      </x:c>
    </x:row>
    <x:row r="638" ht="26" customHeight="1">
      <x:c r="A638" s="168" t="str">
        <x:v>MLCF</x:v>
      </x:c>
      <x:c r="B638" s="168" t="n">
        <x:v>2025</x:v>
      </x:c>
      <x:c r="C638" s="168" t="n">
        <x:v>6</x:v>
      </x:c>
      <x:c r="D638" s="168" t="str">
        <x:v>Inventory turnover</x:v>
      </x:c>
      <x:c r="E638" s="168" t="str">
        <x:v>Mandatory</x:v>
      </x:c>
      <x:c r="F638" s="169" t="n">
        <x:f>-MLCF!H85</x:f>
        <x:v>45195.63</x:v>
      </x:c>
      <x:c r="G638" s="169" t="n">
        <x:f>AVERAGE(MLCF!G65,MLCF!H65)</x:f>
        <x:v>16219.071</x:v>
      </x:c>
      <x:c r="H638" s="169" t="n">
        <x:f>IF(G638&lt;=0,"n/m",F638/G638)</x:f>
        <x:v>2.786573287705566</x:v>
      </x:c>
      <x:c r="I638" s="169" t="n">
        <x:v>45195.63</x:v>
      </x:c>
      <x:c r="J638" s="169" t="n">
        <x:v>16219.071</x:v>
      </x:c>
      <x:c r="K638" s="169" t="n">
        <x:v>2.786573287705566</x:v>
      </x:c>
      <x:c r="L638" s="175" t="n">
        <x:v>2.786573287705566</x:v>
      </x:c>
      <x:c r="M638" s="175" t="n">
        <x:f>MLCF!H144</x:f>
        <x:v>2.786573287705566</x:v>
      </x:c>
      <x:c r="N638" s="176" t="str">
        <x:f>IF(AND(ABS(F638-I638)&lt;0.000001,ABS(G638-J638)&lt;0.000001,IF(ISNUMBER(L638),IF(ISNUMBER(M638),ABS(L638-M638)&lt;0.00000001,FALSE),M638=L638)),"PASS","FAIL")</x:f>
        <x:v>PASS</x:v>
      </x:c>
      <x:c r="O638" s="171" t="str"/>
      <x:c r="P638" s="168" t="str">
        <x:v>Asset Management</x:v>
      </x:c>
    </x:row>
    <x:row r="639" ht="26" customHeight="1">
      <x:c r="A639" s="76" t="str">
        <x:v>MLCF</x:v>
      </x:c>
      <x:c r="B639" s="76" t="n">
        <x:v>2025</x:v>
      </x:c>
      <x:c r="C639" s="76" t="n">
        <x:v>7</x:v>
      </x:c>
      <x:c r="D639" s="76" t="str">
        <x:v>Receivables turnover</x:v>
      </x:c>
      <x:c r="E639" s="76" t="str">
        <x:v>Additional</x:v>
      </x:c>
      <x:c r="F639" s="170" t="n">
        <x:f>MLCF!H84</x:f>
        <x:v>68942.446</x:v>
      </x:c>
      <x:c r="G639" s="170" t="n">
        <x:f>AVERAGE(MLCF!G32,MLCF!H32)</x:f>
        <x:v>4399.4635</x:v>
      </x:c>
      <x:c r="H639" s="170" t="n">
        <x:f>IF(G639&lt;=0,"n/m",F639/G639)</x:f>
        <x:v>15.67064847793373</x:v>
      </x:c>
      <x:c r="I639" s="170" t="n">
        <x:v>68942.446</x:v>
      </x:c>
      <x:c r="J639" s="170" t="n">
        <x:v>4399.4635</x:v>
      </x:c>
      <x:c r="K639" s="170" t="n">
        <x:v>15.67064847793373</x:v>
      </x:c>
      <x:c r="L639" s="177" t="n">
        <x:v>15.67064847793373</x:v>
      </x:c>
      <x:c r="M639" s="177" t="n">
        <x:f>MLCF!H145</x:f>
        <x:v>15.67064847793373</x:v>
      </x:c>
      <x:c r="N639" s="178" t="str">
        <x:f>IF(AND(ABS(F639-I639)&lt;0.000001,ABS(G639-J639)&lt;0.000001,IF(ISNUMBER(L639),IF(ISNUMBER(M639),ABS(L639-M639)&lt;0.00000001,FALSE),M639=L639)),"PASS","FAIL")</x:f>
        <x:v>PASS</x:v>
      </x:c>
      <x:c r="O639" s="99" t="str"/>
      <x:c r="P639" s="76" t="str">
        <x:v>Asset Management</x:v>
      </x:c>
    </x:row>
    <x:row r="640" ht="26" customHeight="1">
      <x:c r="A640" s="168" t="str">
        <x:v>MLCF</x:v>
      </x:c>
      <x:c r="B640" s="168" t="n">
        <x:v>2025</x:v>
      </x:c>
      <x:c r="C640" s="168" t="n">
        <x:v>8</x:v>
      </x:c>
      <x:c r="D640" s="168" t="str">
        <x:v>Payables turnover</x:v>
      </x:c>
      <x:c r="E640" s="168" t="str">
        <x:v>Additional</x:v>
      </x:c>
      <x:c r="F640" s="169" t="n">
        <x:f>-MLCF!H85</x:f>
        <x:v>45195.63</x:v>
      </x:c>
      <x:c r="G640" s="169" t="n">
        <x:f>AVERAGE(MLCF!G51,MLCF!H51)</x:f>
        <x:v>6359.6939999999995</x:v>
      </x:c>
      <x:c r="H640" s="169" t="n">
        <x:f>IF(G640&lt;=0,"n/m",F640/G640)</x:f>
        <x:v>7.106573052099677</x:v>
      </x:c>
      <x:c r="I640" s="169" t="n">
        <x:v>45195.63</x:v>
      </x:c>
      <x:c r="J640" s="169" t="n">
        <x:v>6359.6939999999995</x:v>
      </x:c>
      <x:c r="K640" s="169" t="n">
        <x:v>7.106573052099677</x:v>
      </x:c>
      <x:c r="L640" s="175" t="n">
        <x:v>7.106573052099677</x:v>
      </x:c>
      <x:c r="M640" s="175" t="n">
        <x:f>MLCF!H146</x:f>
        <x:v>7.106573052099677</x:v>
      </x:c>
      <x:c r="N640" s="176" t="str">
        <x:f>IF(AND(ABS(F640-I640)&lt;0.000001,ABS(G640-J640)&lt;0.000001,IF(ISNUMBER(L640),IF(ISNUMBER(M640),ABS(L640-M640)&lt;0.00000001,FALSE),M640=L640)),"PASS","FAIL")</x:f>
        <x:v>PASS</x:v>
      </x:c>
      <x:c r="O640" s="171" t="str"/>
      <x:c r="P640" s="168" t="str">
        <x:v>Asset Management</x:v>
      </x:c>
    </x:row>
    <x:row r="641" ht="26" customHeight="1">
      <x:c r="A641" s="76" t="str">
        <x:v>MLCF</x:v>
      </x:c>
      <x:c r="B641" s="76" t="n">
        <x:v>2025</x:v>
      </x:c>
      <x:c r="C641" s="76" t="n">
        <x:v>9</x:v>
      </x:c>
      <x:c r="D641" s="76" t="str">
        <x:v>Days inventory outstanding</x:v>
      </x:c>
      <x:c r="E641" s="76" t="str">
        <x:v>Additional</x:v>
      </x:c>
      <x:c r="F641" s="170" t="n">
        <x:f>365*AVERAGE(MLCF!G65,MLCF!H65)</x:f>
        <x:v>5919960.915</x:v>
      </x:c>
      <x:c r="G641" s="170" t="n">
        <x:f>-MLCF!H85</x:f>
        <x:v>45195.63</x:v>
      </x:c>
      <x:c r="H641" s="170" t="n">
        <x:f>IF(G641&lt;=0,"n/m",F641/G641)</x:f>
        <x:v>130.98525045452405</x:v>
      </x:c>
      <x:c r="I641" s="170" t="n">
        <x:v>5919960.915</x:v>
      </x:c>
      <x:c r="J641" s="170" t="n">
        <x:v>45195.63</x:v>
      </x:c>
      <x:c r="K641" s="170" t="n">
        <x:v>130.98525045452405</x:v>
      </x:c>
      <x:c r="L641" s="177" t="n">
        <x:v>130.98525045452405</x:v>
      </x:c>
      <x:c r="M641" s="177" t="n">
        <x:f>MLCF!H147</x:f>
        <x:v>130.98525045452405</x:v>
      </x:c>
      <x:c r="N641" s="178" t="str">
        <x:f>IF(AND(ABS(F641-I641)&lt;0.000001,ABS(G641-J641)&lt;0.000001,IF(ISNUMBER(L641),IF(ISNUMBER(M641),ABS(L641-M641)&lt;0.00000001,FALSE),M641=L641)),"PASS","FAIL")</x:f>
        <x:v>PASS</x:v>
      </x:c>
      <x:c r="O641" s="99" t="str"/>
      <x:c r="P641" s="76" t="str">
        <x:v>Asset Management</x:v>
      </x:c>
    </x:row>
    <x:row r="642" ht="26" customHeight="1">
      <x:c r="A642" s="168" t="str">
        <x:v>MLCF</x:v>
      </x:c>
      <x:c r="B642" s="168" t="n">
        <x:v>2025</x:v>
      </x:c>
      <x:c r="C642" s="168" t="n">
        <x:v>10</x:v>
      </x:c>
      <x:c r="D642" s="168" t="str">
        <x:v>Days sales outstanding</x:v>
      </x:c>
      <x:c r="E642" s="168" t="str">
        <x:v>Mandatory</x:v>
      </x:c>
      <x:c r="F642" s="169" t="n">
        <x:f>365*AVERAGE(MLCF!G32,MLCF!H32)</x:f>
        <x:v>1605804.1775</x:v>
      </x:c>
      <x:c r="G642" s="169" t="n">
        <x:f>MLCF!H84</x:f>
        <x:v>68942.446</x:v>
      </x:c>
      <x:c r="H642" s="169" t="n">
        <x:f>IF(G642&lt;=0,"n/m",F642/G642)</x:f>
        <x:v>23.29195250049585</x:v>
      </x:c>
      <x:c r="I642" s="169" t="n">
        <x:v>1605804.1775</x:v>
      </x:c>
      <x:c r="J642" s="169" t="n">
        <x:v>68942.446</x:v>
      </x:c>
      <x:c r="K642" s="169" t="n">
        <x:v>23.29195250049585</x:v>
      </x:c>
      <x:c r="L642" s="175" t="n">
        <x:v>23.29195250049585</x:v>
      </x:c>
      <x:c r="M642" s="175" t="n">
        <x:f>MLCF!H148</x:f>
        <x:v>23.29195250049585</x:v>
      </x:c>
      <x:c r="N642" s="176" t="str">
        <x:f>IF(AND(ABS(F642-I642)&lt;0.000001,ABS(G642-J642)&lt;0.000001,IF(ISNUMBER(L642),IF(ISNUMBER(M642),ABS(L642-M642)&lt;0.00000001,FALSE),M642=L642)),"PASS","FAIL")</x:f>
        <x:v>PASS</x:v>
      </x:c>
      <x:c r="O642" s="171" t="str"/>
      <x:c r="P642" s="168" t="str">
        <x:v>Asset Management</x:v>
      </x:c>
    </x:row>
    <x:row r="643" ht="26" customHeight="1">
      <x:c r="A643" s="76" t="str">
        <x:v>MLCF</x:v>
      </x:c>
      <x:c r="B643" s="76" t="n">
        <x:v>2025</x:v>
      </x:c>
      <x:c r="C643" s="76" t="n">
        <x:v>11</x:v>
      </x:c>
      <x:c r="D643" s="76" t="str">
        <x:v>Days payables outstanding</x:v>
      </x:c>
      <x:c r="E643" s="76" t="str">
        <x:v>Additional</x:v>
      </x:c>
      <x:c r="F643" s="170" t="n">
        <x:f>365*AVERAGE(MLCF!G51,MLCF!H51)</x:f>
        <x:v>2321288.3099999996</x:v>
      </x:c>
      <x:c r="G643" s="170" t="n">
        <x:f>-MLCF!H85</x:f>
        <x:v>45195.63</x:v>
      </x:c>
      <x:c r="H643" s="170" t="n">
        <x:f>IF(G643&lt;=0,"n/m",F643/G643)</x:f>
        <x:v>51.3609017066473</x:v>
      </x:c>
      <x:c r="I643" s="170" t="n">
        <x:v>2321288.3099999996</x:v>
      </x:c>
      <x:c r="J643" s="170" t="n">
        <x:v>45195.63</x:v>
      </x:c>
      <x:c r="K643" s="170" t="n">
        <x:v>51.3609017066473</x:v>
      </x:c>
      <x:c r="L643" s="177" t="n">
        <x:v>51.3609017066473</x:v>
      </x:c>
      <x:c r="M643" s="177" t="n">
        <x:f>MLCF!H149</x:f>
        <x:v>51.3609017066473</x:v>
      </x:c>
      <x:c r="N643" s="178" t="str">
        <x:f>IF(AND(ABS(F643-I643)&lt;0.000001,ABS(G643-J643)&lt;0.000001,IF(ISNUMBER(L643),IF(ISNUMBER(M643),ABS(L643-M643)&lt;0.00000001,FALSE),M643=L643)),"PASS","FAIL")</x:f>
        <x:v>PASS</x:v>
      </x:c>
      <x:c r="O643" s="99" t="str"/>
      <x:c r="P643" s="76" t="str">
        <x:v>Asset Management</x:v>
      </x:c>
    </x:row>
    <x:row r="644" ht="26" customHeight="1">
      <x:c r="A644" s="168" t="str">
        <x:v>MLCF</x:v>
      </x:c>
      <x:c r="B644" s="168" t="n">
        <x:v>2025</x:v>
      </x:c>
      <x:c r="C644" s="168" t="n">
        <x:v>12</x:v>
      </x:c>
      <x:c r="D644" s="168" t="str">
        <x:v>Operating cycle (days)</x:v>
      </x:c>
      <x:c r="E644" s="168" t="str">
        <x:v>Additional</x:v>
      </x:c>
      <x:c r="F644" s="169" t="n">
        <x:f>365*AVERAGE(MLCF!G65,MLCF!H65)/(-MLCF!H85)+365*AVERAGE(MLCF!G32,MLCF!H32)/MLCF!H84</x:f>
        <x:v>154.2772029550199</x:v>
      </x:c>
      <x:c r="G644" s="169" t="n">
        <x:f>1</x:f>
        <x:v>1</x:v>
      </x:c>
      <x:c r="H644" s="169" t="n">
        <x:f>IF(G644&lt;=0,"n/m",F644/G644)</x:f>
        <x:v>154.2772029550199</x:v>
      </x:c>
      <x:c r="I644" s="169" t="n">
        <x:v>154.2772029550199</x:v>
      </x:c>
      <x:c r="J644" s="169" t="n">
        <x:v>1</x:v>
      </x:c>
      <x:c r="K644" s="169" t="n">
        <x:v>154.2772029550199</x:v>
      </x:c>
      <x:c r="L644" s="175" t="n">
        <x:v>154.2772029550199</x:v>
      </x:c>
      <x:c r="M644" s="175" t="n">
        <x:f>MLCF!H150</x:f>
        <x:v>154.2772029550199</x:v>
      </x:c>
      <x:c r="N644" s="176" t="str">
        <x:f>IF(AND(ABS(F644-I644)&lt;0.000001,ABS(G644-J644)&lt;0.000001,IF(ISNUMBER(L644),IF(ISNUMBER(M644),ABS(L644-M644)&lt;0.00000001,FALSE),M644=L644)),"PASS","FAIL")</x:f>
        <x:v>PASS</x:v>
      </x:c>
      <x:c r="O644" s="171" t="str"/>
      <x:c r="P644" s="168" t="str">
        <x:v>Asset Management</x:v>
      </x:c>
    </x:row>
    <x:row r="645" ht="26" customHeight="1">
      <x:c r="A645" s="76" t="str">
        <x:v>MLCF</x:v>
      </x:c>
      <x:c r="B645" s="76" t="n">
        <x:v>2025</x:v>
      </x:c>
      <x:c r="C645" s="76" t="n">
        <x:v>13</x:v>
      </x:c>
      <x:c r="D645" s="76" t="str">
        <x:v>Cash conversion cycle (days)</x:v>
      </x:c>
      <x:c r="E645" s="76" t="str">
        <x:v>Additional</x:v>
      </x:c>
      <x:c r="F645" s="170" t="n">
        <x:f>365*AVERAGE(MLCF!G65,MLCF!H65)/(-MLCF!H85)+365*AVERAGE(MLCF!G32,MLCF!H32)/MLCF!H84-365*AVERAGE(MLCF!G51,MLCF!H51)/(-MLCF!H85)</x:f>
        <x:v>102.9163012483726</x:v>
      </x:c>
      <x:c r="G645" s="170" t="n">
        <x:f>1</x:f>
        <x:v>1</x:v>
      </x:c>
      <x:c r="H645" s="170" t="n">
        <x:f>IF(G645&lt;=0,"n/m",F645/G645)</x:f>
        <x:v>102.9163012483726</x:v>
      </x:c>
      <x:c r="I645" s="170" t="n">
        <x:v>102.9163012483726</x:v>
      </x:c>
      <x:c r="J645" s="170" t="n">
        <x:v>1</x:v>
      </x:c>
      <x:c r="K645" s="170" t="n">
        <x:v>102.9163012483726</x:v>
      </x:c>
      <x:c r="L645" s="177" t="n">
        <x:v>102.9163012483726</x:v>
      </x:c>
      <x:c r="M645" s="177" t="n">
        <x:f>MLCF!H151</x:f>
        <x:v>102.9163012483726</x:v>
      </x:c>
      <x:c r="N645" s="178" t="str">
        <x:f>IF(AND(ABS(F645-I645)&lt;0.000001,ABS(G645-J645)&lt;0.000001,IF(ISNUMBER(L645),IF(ISNUMBER(M645),ABS(L645-M645)&lt;0.00000001,FALSE),M645=L645)),"PASS","FAIL")</x:f>
        <x:v>PASS</x:v>
      </x:c>
      <x:c r="O645" s="99" t="str"/>
      <x:c r="P645" s="76" t="str">
        <x:v>Asset Management</x:v>
      </x:c>
    </x:row>
    <x:row r="646" ht="26" customHeight="1">
      <x:c r="A646" s="168" t="str">
        <x:v>MLCF</x:v>
      </x:c>
      <x:c r="B646" s="168" t="n">
        <x:v>2025</x:v>
      </x:c>
      <x:c r="C646" s="168" t="n">
        <x:v>14</x:v>
      </x:c>
      <x:c r="D646" s="168" t="str">
        <x:v>Total asset turnover</x:v>
      </x:c>
      <x:c r="E646" s="168" t="str">
        <x:v>Mandatory</x:v>
      </x:c>
      <x:c r="F646" s="169" t="n">
        <x:f>MLCF!H84</x:f>
        <x:v>68942.446</x:v>
      </x:c>
      <x:c r="G646" s="169" t="n">
        <x:f>AVERAGE(MLCF!G37,MLCF!H37)</x:f>
        <x:v>109235.97649999999</x:v>
      </x:c>
      <x:c r="H646" s="169" t="n">
        <x:f>IF(G646&lt;=0,"n/m",F646/G646)</x:f>
        <x:v>0.6311331505330572</x:v>
      </x:c>
      <x:c r="I646" s="169" t="n">
        <x:v>68942.446</x:v>
      </x:c>
      <x:c r="J646" s="169" t="n">
        <x:v>109235.9765</x:v>
      </x:c>
      <x:c r="K646" s="169" t="n">
        <x:v>0.6311331505330572</x:v>
      </x:c>
      <x:c r="L646" s="175" t="n">
        <x:v>0.6311331505330572</x:v>
      </x:c>
      <x:c r="M646" s="175" t="n">
        <x:f>MLCF!H152</x:f>
        <x:v>0.6311331505330572</x:v>
      </x:c>
      <x:c r="N646" s="176" t="str">
        <x:f>IF(AND(ABS(F646-I646)&lt;0.000001,ABS(G646-J646)&lt;0.000001,IF(ISNUMBER(L646),IF(ISNUMBER(M646),ABS(L646-M646)&lt;0.00000001,FALSE),M646=L646)),"PASS","FAIL")</x:f>
        <x:v>PASS</x:v>
      </x:c>
      <x:c r="O646" s="171" t="str"/>
      <x:c r="P646" s="168" t="str">
        <x:v>Asset Management</x:v>
      </x:c>
    </x:row>
    <x:row r="647" ht="26" customHeight="1">
      <x:c r="A647" s="76" t="str">
        <x:v>MLCF</x:v>
      </x:c>
      <x:c r="B647" s="76" t="n">
        <x:v>2025</x:v>
      </x:c>
      <x:c r="C647" s="76" t="n">
        <x:v>15</x:v>
      </x:c>
      <x:c r="D647" s="76" t="str">
        <x:v>Fixed asset turnover</x:v>
      </x:c>
      <x:c r="E647" s="76" t="str">
        <x:v>Mandatory</x:v>
      </x:c>
      <x:c r="F647" s="170" t="n">
        <x:f>MLCF!H84</x:f>
        <x:v>68942.446</x:v>
      </x:c>
      <x:c r="G647" s="170" t="n">
        <x:f>AVERAGE(MLCF!G22,MLCF!H22)</x:f>
        <x:v>64117.466</x:v>
      </x:c>
      <x:c r="H647" s="170" t="n">
        <x:f>IF(G647&lt;=0,"n/m",F647/G647)</x:f>
        <x:v>1.0752521941525262</x:v>
      </x:c>
      <x:c r="I647" s="170" t="n">
        <x:v>68942.446</x:v>
      </x:c>
      <x:c r="J647" s="170" t="n">
        <x:v>64117.466</x:v>
      </x:c>
      <x:c r="K647" s="170" t="n">
        <x:v>1.0752521941525262</x:v>
      </x:c>
      <x:c r="L647" s="177" t="n">
        <x:v>1.0752521941525262</x:v>
      </x:c>
      <x:c r="M647" s="177" t="n">
        <x:f>MLCF!H153</x:f>
        <x:v>1.0752521941525262</x:v>
      </x:c>
      <x:c r="N647" s="178" t="str">
        <x:f>IF(AND(ABS(F647-I647)&lt;0.000001,ABS(G647-J647)&lt;0.000001,IF(ISNUMBER(L647),IF(ISNUMBER(M647),ABS(L647-M647)&lt;0.00000001,FALSE),M647=L647)),"PASS","FAIL")</x:f>
        <x:v>PASS</x:v>
      </x:c>
      <x:c r="O647" s="99" t="str"/>
      <x:c r="P647" s="76" t="str">
        <x:v>Asset Management</x:v>
      </x:c>
    </x:row>
    <x:row r="648" ht="26" customHeight="1">
      <x:c r="A648" s="168" t="str">
        <x:v>MLCF</x:v>
      </x:c>
      <x:c r="B648" s="168" t="n">
        <x:v>2025</x:v>
      </x:c>
      <x:c r="C648" s="168" t="n">
        <x:v>16</x:v>
      </x:c>
      <x:c r="D648" s="168" t="str">
        <x:v>Debt ratio</x:v>
      </x:c>
      <x:c r="E648" s="168" t="str">
        <x:v>Mandatory</x:v>
      </x:c>
      <x:c r="F648" s="169" t="n">
        <x:f>MLCF!H62</x:f>
        <x:v>47644.679000000004</x:v>
      </x:c>
      <x:c r="G648" s="169" t="n">
        <x:f>MLCF!H37</x:f>
        <x:v>119106.27099999998</x:v>
      </x:c>
      <x:c r="H648" s="169" t="n">
        <x:f>IF(G648&lt;=0,"n/m",F648/G648)</x:f>
        <x:v>0.4000182240614351</x:v>
      </x:c>
      <x:c r="I648" s="169" t="n">
        <x:v>47644.679000000004</x:v>
      </x:c>
      <x:c r="J648" s="169" t="n">
        <x:v>119106.27100000001</x:v>
      </x:c>
      <x:c r="K648" s="169" t="n">
        <x:v>0.400018224061435</x:v>
      </x:c>
      <x:c r="L648" s="175" t="n">
        <x:v>0.400018224061435</x:v>
      </x:c>
      <x:c r="M648" s="175" t="n">
        <x:f>MLCF!H155</x:f>
        <x:v>0.4000182240614351</x:v>
      </x:c>
      <x:c r="N648" s="176" t="str">
        <x:f>IF(AND(ABS(F648-I648)&lt;0.000001,ABS(G648-J648)&lt;0.000001,IF(ISNUMBER(L648),IF(ISNUMBER(M648),ABS(L648-M648)&lt;0.00000001,FALSE),M648=L648)),"PASS","FAIL")</x:f>
        <x:v>PASS</x:v>
      </x:c>
      <x:c r="O648" s="171" t="str"/>
      <x:c r="P648" s="168" t="str">
        <x:v>Debt Management</x:v>
      </x:c>
    </x:row>
    <x:row r="649" ht="26" customHeight="1">
      <x:c r="A649" s="76" t="str">
        <x:v>MLCF</x:v>
      </x:c>
      <x:c r="B649" s="76" t="n">
        <x:v>2025</x:v>
      </x:c>
      <x:c r="C649" s="76" t="n">
        <x:v>17</x:v>
      </x:c>
      <x:c r="D649" s="76" t="str">
        <x:v>Debt-to-equity</x:v>
      </x:c>
      <x:c r="E649" s="76" t="str">
        <x:v>Mandatory</x:v>
      </x:c>
      <x:c r="F649" s="170" t="n">
        <x:f>MLCF!H62</x:f>
        <x:v>47644.679000000004</x:v>
      </x:c>
      <x:c r="G649" s="170" t="n">
        <x:f>MLCF!H41</x:f>
        <x:v>71461.592</x:v>
      </x:c>
      <x:c r="H649" s="170" t="n">
        <x:f>IF(G649&lt;=0,"n/m",F649/G649)</x:f>
        <x:v>0.6667172905971644</x:v>
      </x:c>
      <x:c r="I649" s="170" t="n">
        <x:v>47644.679000000004</x:v>
      </x:c>
      <x:c r="J649" s="170" t="n">
        <x:v>71461.592</x:v>
      </x:c>
      <x:c r="K649" s="170" t="n">
        <x:v>0.6667172905971644</x:v>
      </x:c>
      <x:c r="L649" s="177" t="n">
        <x:v>0.6667172905971644</x:v>
      </x:c>
      <x:c r="M649" s="177" t="n">
        <x:f>MLCF!H156</x:f>
        <x:v>0.6667172905971644</x:v>
      </x:c>
      <x:c r="N649" s="178" t="str">
        <x:f>IF(AND(ABS(F649-I649)&lt;0.000001,ABS(G649-J649)&lt;0.000001,IF(ISNUMBER(L649),IF(ISNUMBER(M649),ABS(L649-M649)&lt;0.00000001,FALSE),M649=L649)),"PASS","FAIL")</x:f>
        <x:v>PASS</x:v>
      </x:c>
      <x:c r="O649" s="99" t="str"/>
      <x:c r="P649" s="76" t="str">
        <x:v>Debt Management</x:v>
      </x:c>
    </x:row>
    <x:row r="650" ht="26" customHeight="1">
      <x:c r="A650" s="168" t="str">
        <x:v>MLCF</x:v>
      </x:c>
      <x:c r="B650" s="168" t="n">
        <x:v>2025</x:v>
      </x:c>
      <x:c r="C650" s="168" t="n">
        <x:v>18</x:v>
      </x:c>
      <x:c r="D650" s="168" t="str">
        <x:v>Total debt-to-capital</x:v>
      </x:c>
      <x:c r="E650" s="168" t="str">
        <x:v>Additional</x:v>
      </x:c>
      <x:c r="F650" s="169" t="n">
        <x:f>MLCF!H66</x:f>
        <x:v>14580.07</x:v>
      </x:c>
      <x:c r="G650" s="169" t="n">
        <x:f>MLCF!H66+MLCF!H41</x:f>
        <x:v>86041.66200000001</x:v>
      </x:c>
      <x:c r="H650" s="169" t="n">
        <x:f>IF(G650&lt;=0,"n/m",F650/G650)</x:f>
        <x:v>0.1694536072536581</x:v>
      </x:c>
      <x:c r="I650" s="169" t="n">
        <x:v>14580.07</x:v>
      </x:c>
      <x:c r="J650" s="169" t="n">
        <x:v>86041.66200000001</x:v>
      </x:c>
      <x:c r="K650" s="169" t="n">
        <x:v>0.1694536072536581</x:v>
      </x:c>
      <x:c r="L650" s="175" t="n">
        <x:v>0.1694536072536581</x:v>
      </x:c>
      <x:c r="M650" s="175" t="n">
        <x:f>MLCF!H157</x:f>
        <x:v>0.1694536072536581</x:v>
      </x:c>
      <x:c r="N650" s="176" t="str">
        <x:f>IF(AND(ABS(F650-I650)&lt;0.000001,ABS(G650-J650)&lt;0.000001,IF(ISNUMBER(L650),IF(ISNUMBER(M650),ABS(L650-M650)&lt;0.00000001,FALSE),M650=L650)),"PASS","FAIL")</x:f>
        <x:v>PASS</x:v>
      </x:c>
      <x:c r="O650" s="171" t="str"/>
      <x:c r="P650" s="168" t="str">
        <x:v>Debt Management</x:v>
      </x:c>
    </x:row>
    <x:row r="651" ht="26" customHeight="1">
      <x:c r="A651" s="76" t="str">
        <x:v>MLCF</x:v>
      </x:c>
      <x:c r="B651" s="76" t="n">
        <x:v>2025</x:v>
      </x:c>
      <x:c r="C651" s="76" t="n">
        <x:v>19</x:v>
      </x:c>
      <x:c r="D651" s="76" t="str">
        <x:v>Long-term debt ratio</x:v>
      </x:c>
      <x:c r="E651" s="76" t="str">
        <x:v>Additional</x:v>
      </x:c>
      <x:c r="F651" s="170" t="n">
        <x:f>MLCF!H67</x:f>
        <x:v>9810.134</x:v>
      </x:c>
      <x:c r="G651" s="170" t="n">
        <x:f>MLCF!H37</x:f>
        <x:v>119106.27099999998</x:v>
      </x:c>
      <x:c r="H651" s="170" t="n">
        <x:f>IF(G651&lt;=0,"n/m",F651/G651)</x:f>
        <x:v>0.08236454653172713</x:v>
      </x:c>
      <x:c r="I651" s="170" t="n">
        <x:v>9810.134</x:v>
      </x:c>
      <x:c r="J651" s="170" t="n">
        <x:v>119106.27100000001</x:v>
      </x:c>
      <x:c r="K651" s="170" t="n">
        <x:v>0.08236454653172712</x:v>
      </x:c>
      <x:c r="L651" s="177" t="n">
        <x:v>0.08236454653172712</x:v>
      </x:c>
      <x:c r="M651" s="177" t="n">
        <x:f>MLCF!H158</x:f>
        <x:v>0.08236454653172713</x:v>
      </x:c>
      <x:c r="N651" s="178" t="str">
        <x:f>IF(AND(ABS(F651-I651)&lt;0.000001,ABS(G651-J651)&lt;0.000001,IF(ISNUMBER(L651),IF(ISNUMBER(M651),ABS(L651-M651)&lt;0.00000001,FALSE),M651=L651)),"PASS","FAIL")</x:f>
        <x:v>PASS</x:v>
      </x:c>
      <x:c r="O651" s="99" t="str"/>
      <x:c r="P651" s="76" t="str">
        <x:v>Debt Management</x:v>
      </x:c>
    </x:row>
    <x:row r="652" ht="26" customHeight="1">
      <x:c r="A652" s="168" t="str">
        <x:v>MLCF</x:v>
      </x:c>
      <x:c r="B652" s="168" t="n">
        <x:v>2025</x:v>
      </x:c>
      <x:c r="C652" s="168" t="n">
        <x:v>20</x:v>
      </x:c>
      <x:c r="D652" s="168" t="str">
        <x:v>Times interest earned</x:v>
      </x:c>
      <x:c r="E652" s="168" t="str">
        <x:v>Mandatory</x:v>
      </x:c>
      <x:c r="F652" s="169" t="n">
        <x:f>MLCF!H108</x:f>
        <x:v>25219.024999999998</x:v>
      </x:c>
      <x:c r="G652" s="169" t="n">
        <x:f>MLCF!H106</x:f>
        <x:v>3413.954</x:v>
      </x:c>
      <x:c r="H652" s="169" t="n">
        <x:f>IF(G652&lt;=0,"n/m",F652/G652)</x:f>
        <x:v>7.387043000579386</x:v>
      </x:c>
      <x:c r="I652" s="169" t="n">
        <x:v>25219.024999999998</x:v>
      </x:c>
      <x:c r="J652" s="169" t="n">
        <x:v>3413.954</x:v>
      </x:c>
      <x:c r="K652" s="169" t="n">
        <x:v>7.387043000579386</x:v>
      </x:c>
      <x:c r="L652" s="175" t="n">
        <x:v>7.387043000579386</x:v>
      </x:c>
      <x:c r="M652" s="175" t="n">
        <x:f>MLCF!H159</x:f>
        <x:v>7.387043000579386</x:v>
      </x:c>
      <x:c r="N652" s="176" t="str">
        <x:f>IF(AND(ABS(F652-I652)&lt;0.000001,ABS(G652-J652)&lt;0.000001,IF(ISNUMBER(L652),IF(ISNUMBER(M652),ABS(L652-M652)&lt;0.00000001,FALSE),M652=L652)),"PASS","FAIL")</x:f>
        <x:v>PASS</x:v>
      </x:c>
      <x:c r="O652" s="171" t="str"/>
      <x:c r="P652" s="168" t="str">
        <x:v>Debt Management</x:v>
      </x:c>
    </x:row>
    <x:row r="653" ht="26" customHeight="1">
      <x:c r="A653" s="76" t="str">
        <x:v>MLCF</x:v>
      </x:c>
      <x:c r="B653" s="76" t="n">
        <x:v>2025</x:v>
      </x:c>
      <x:c r="C653" s="76" t="n">
        <x:v>21</x:v>
      </x:c>
      <x:c r="D653" s="76" t="str">
        <x:v>Gross profit margin</x:v>
      </x:c>
      <x:c r="E653" s="76" t="str">
        <x:v>Mandatory</x:v>
      </x:c>
      <x:c r="F653" s="170" t="n">
        <x:f>MLCF!H86</x:f>
        <x:v>23746.816</x:v>
      </x:c>
      <x:c r="G653" s="170" t="n">
        <x:f>MLCF!H84</x:f>
        <x:v>68942.446</x:v>
      </x:c>
      <x:c r="H653" s="170" t="n">
        <x:f>IF(G653&lt;=0,"n/m",F653/G653)</x:f>
        <x:v>0.3444440599046921</x:v>
      </x:c>
      <x:c r="I653" s="170" t="n">
        <x:v>23746.816</x:v>
      </x:c>
      <x:c r="J653" s="170" t="n">
        <x:v>68942.446</x:v>
      </x:c>
      <x:c r="K653" s="170" t="n">
        <x:v>0.3444440599046921</x:v>
      </x:c>
      <x:c r="L653" s="177" t="n">
        <x:v>0.3444440599046921</x:v>
      </x:c>
      <x:c r="M653" s="177" t="n">
        <x:f>MLCF!H161</x:f>
        <x:v>0.3444440599046921</x:v>
      </x:c>
      <x:c r="N653" s="178" t="str">
        <x:f>IF(AND(ABS(F653-I653)&lt;0.000001,ABS(G653-J653)&lt;0.000001,IF(ISNUMBER(L653),IF(ISNUMBER(M653),ABS(L653-M653)&lt;0.00000001,FALSE),M653=L653)),"PASS","FAIL")</x:f>
        <x:v>PASS</x:v>
      </x:c>
      <x:c r="O653" s="99" t="str"/>
      <x:c r="P653" s="76" t="str">
        <x:v>Profitability</x:v>
      </x:c>
    </x:row>
    <x:row r="654" ht="26" customHeight="1">
      <x:c r="A654" s="168" t="str">
        <x:v>MLCF</x:v>
      </x:c>
      <x:c r="B654" s="168" t="n">
        <x:v>2025</x:v>
      </x:c>
      <x:c r="C654" s="168" t="n">
        <x:v>22</x:v>
      </x:c>
      <x:c r="D654" s="168" t="str">
        <x:v>Operating margin</x:v>
      </x:c>
      <x:c r="E654" s="168" t="str">
        <x:v>Mandatory</x:v>
      </x:c>
      <x:c r="F654" s="169" t="n">
        <x:f>MLCF!H91</x:f>
        <x:v>15725.293999999998</x:v>
      </x:c>
      <x:c r="G654" s="169" t="n">
        <x:f>MLCF!H84</x:f>
        <x:v>68942.446</x:v>
      </x:c>
      <x:c r="H654" s="169" t="n">
        <x:f>IF(G654&lt;=0,"n/m",F654/G654)</x:f>
        <x:v>0.2280930676582029</x:v>
      </x:c>
      <x:c r="I654" s="169" t="n">
        <x:v>15725.293999999998</x:v>
      </x:c>
      <x:c r="J654" s="169" t="n">
        <x:v>68942.446</x:v>
      </x:c>
      <x:c r="K654" s="169" t="n">
        <x:v>0.2280930676582029</x:v>
      </x:c>
      <x:c r="L654" s="175" t="n">
        <x:v>0.2280930676582029</x:v>
      </x:c>
      <x:c r="M654" s="175" t="n">
        <x:f>MLCF!H162</x:f>
        <x:v>0.2280930676582029</x:v>
      </x:c>
      <x:c r="N654" s="176" t="str">
        <x:f>IF(AND(ABS(F654-I654)&lt;0.000001,ABS(G654-J654)&lt;0.000001,IF(ISNUMBER(L654),IF(ISNUMBER(M654),ABS(L654-M654)&lt;0.00000001,FALSE),M654=L654)),"PASS","FAIL")</x:f>
        <x:v>PASS</x:v>
      </x:c>
      <x:c r="O654" s="171" t="str"/>
      <x:c r="P654" s="168" t="str">
        <x:v>Profitability</x:v>
      </x:c>
    </x:row>
    <x:row r="655" ht="26" customHeight="1">
      <x:c r="A655" s="76" t="str">
        <x:v>MLCF</x:v>
      </x:c>
      <x:c r="B655" s="76" t="n">
        <x:v>2025</x:v>
      </x:c>
      <x:c r="C655" s="76" t="n">
        <x:v>23</x:v>
      </x:c>
      <x:c r="D655" s="76" t="str">
        <x:v>Net profit margin</x:v>
      </x:c>
      <x:c r="E655" s="76" t="str">
        <x:v>Mandatory</x:v>
      </x:c>
      <x:c r="F655" s="170" t="n">
        <x:f>MLCF!H99</x:f>
        <x:v>17036.373999999996</x:v>
      </x:c>
      <x:c r="G655" s="170" t="n">
        <x:f>MLCF!H84</x:f>
        <x:v>68942.446</x:v>
      </x:c>
      <x:c r="H655" s="170" t="n">
        <x:f>IF(G655&lt;=0,"n/m",F655/G655)</x:f>
        <x:v>0.24711008947956384</x:v>
      </x:c>
      <x:c r="I655" s="170" t="n">
        <x:v>17036.373999999996</x:v>
      </x:c>
      <x:c r="J655" s="170" t="n">
        <x:v>68942.446</x:v>
      </x:c>
      <x:c r="K655" s="170" t="n">
        <x:v>0.24711008947956384</x:v>
      </x:c>
      <x:c r="L655" s="177" t="n">
        <x:v>0.24711008947956384</x:v>
      </x:c>
      <x:c r="M655" s="177" t="n">
        <x:f>MLCF!H163</x:f>
        <x:v>0.24711008947956384</x:v>
      </x:c>
      <x:c r="N655" s="178" t="str">
        <x:f>IF(AND(ABS(F655-I655)&lt;0.000001,ABS(G655-J655)&lt;0.000001,IF(ISNUMBER(L655),IF(ISNUMBER(M655),ABS(L655-M655)&lt;0.00000001,FALSE),M655=L655)),"PASS","FAIL")</x:f>
        <x:v>PASS</x:v>
      </x:c>
      <x:c r="O655" s="99" t="str"/>
      <x:c r="P655" s="76" t="str">
        <x:v>Profitability</x:v>
      </x:c>
    </x:row>
    <x:row r="656" ht="26" customHeight="1">
      <x:c r="A656" s="168" t="str">
        <x:v>MLCF</x:v>
      </x:c>
      <x:c r="B656" s="168" t="n">
        <x:v>2025</x:v>
      </x:c>
      <x:c r="C656" s="168" t="n">
        <x:v>24</x:v>
      </x:c>
      <x:c r="D656" s="168" t="str">
        <x:v>Return on assets</x:v>
      </x:c>
      <x:c r="E656" s="168" t="str">
        <x:v>Mandatory</x:v>
      </x:c>
      <x:c r="F656" s="169" t="n">
        <x:f>MLCF!H99</x:f>
        <x:v>17036.373999999996</x:v>
      </x:c>
      <x:c r="G656" s="169" t="n">
        <x:f>AVERAGE(MLCF!G37,MLCF!H37)</x:f>
        <x:v>109235.97649999999</x:v>
      </x:c>
      <x:c r="H656" s="169" t="n">
        <x:f>IF(G656&lt;=0,"n/m",F656/G656)</x:f>
        <x:v>0.1559593693017428</x:v>
      </x:c>
      <x:c r="I656" s="169" t="n">
        <x:v>17036.373999999996</x:v>
      </x:c>
      <x:c r="J656" s="169" t="n">
        <x:v>109235.9765</x:v>
      </x:c>
      <x:c r="K656" s="169" t="n">
        <x:v>0.15595936930174278</x:v>
      </x:c>
      <x:c r="L656" s="175" t="n">
        <x:v>0.15595936930174278</x:v>
      </x:c>
      <x:c r="M656" s="175" t="n">
        <x:f>MLCF!H164</x:f>
        <x:v>0.1559593693017428</x:v>
      </x:c>
      <x:c r="N656" s="176" t="str">
        <x:f>IF(AND(ABS(F656-I656)&lt;0.000001,ABS(G656-J656)&lt;0.000001,IF(ISNUMBER(L656),IF(ISNUMBER(M656),ABS(L656-M656)&lt;0.00000001,FALSE),M656=L656)),"PASS","FAIL")</x:f>
        <x:v>PASS</x:v>
      </x:c>
      <x:c r="O656" s="171" t="str"/>
      <x:c r="P656" s="168" t="str">
        <x:v>Profitability</x:v>
      </x:c>
    </x:row>
    <x:row r="657" ht="26" customHeight="1">
      <x:c r="A657" s="76" t="str">
        <x:v>MLCF</x:v>
      </x:c>
      <x:c r="B657" s="76" t="n">
        <x:v>2025</x:v>
      </x:c>
      <x:c r="C657" s="76" t="n">
        <x:v>25</x:v>
      </x:c>
      <x:c r="D657" s="76" t="str">
        <x:v>Return on equity</x:v>
      </x:c>
      <x:c r="E657" s="76" t="str">
        <x:v>Mandatory</x:v>
      </x:c>
      <x:c r="F657" s="170" t="n">
        <x:f>MLCF!H99</x:f>
        <x:v>17036.373999999996</x:v>
      </x:c>
      <x:c r="G657" s="170" t="n">
        <x:f>AVERAGE(MLCF!G41,MLCF!H41)</x:f>
        <x:v>62038.75</x:v>
      </x:c>
      <x:c r="H657" s="170" t="n">
        <x:f>IF(G657&lt;=0,"n/m",F657/G657)</x:f>
        <x:v>0.2746085954343051</x:v>
      </x:c>
      <x:c r="I657" s="170" t="n">
        <x:v>17036.373999999996</x:v>
      </x:c>
      <x:c r="J657" s="170" t="n">
        <x:v>62038.75</x:v>
      </x:c>
      <x:c r="K657" s="170" t="n">
        <x:v>0.2746085954343051</x:v>
      </x:c>
      <x:c r="L657" s="177" t="n">
        <x:v>0.2746085954343051</x:v>
      </x:c>
      <x:c r="M657" s="177" t="n">
        <x:f>MLCF!H165</x:f>
        <x:v>0.2746085954343051</x:v>
      </x:c>
      <x:c r="N657" s="178" t="str">
        <x:f>IF(AND(ABS(F657-I657)&lt;0.000001,ABS(G657-J657)&lt;0.000001,IF(ISNUMBER(L657),IF(ISNUMBER(M657),ABS(L657-M657)&lt;0.00000001,FALSE),M657=L657)),"PASS","FAIL")</x:f>
        <x:v>PASS</x:v>
      </x:c>
      <x:c r="O657" s="99" t="str"/>
      <x:c r="P657" s="76" t="str">
        <x:v>Profitability</x:v>
      </x:c>
    </x:row>
    <x:row r="658" ht="26" customHeight="1">
      <x:c r="A658" s="168" t="str">
        <x:v>MLCF</x:v>
      </x:c>
      <x:c r="B658" s="168" t="n">
        <x:v>2025</x:v>
      </x:c>
      <x:c r="C658" s="168" t="n">
        <x:v>26</x:v>
      </x:c>
      <x:c r="D658" s="168" t="str">
        <x:v>Return on invested capital</x:v>
      </x:c>
      <x:c r="E658" s="168" t="str">
        <x:v>Additional</x:v>
      </x:c>
      <x:c r="F658" s="169" t="n">
        <x:f>MLCF!H113</x:f>
        <x:v>19831.796606330976</x:v>
      </x:c>
      <x:c r="G658" s="169" t="n">
        <x:f>AVERAGE(MLCF!G70,MLCF!H70)</x:f>
        <x:v>79022.4765</x:v>
      </x:c>
      <x:c r="H658" s="169" t="n">
        <x:f>IF(G658&lt;=0,"n/m",F658/G658)</x:f>
        <x:v>0.25096399764604915</x:v>
      </x:c>
      <x:c r="I658" s="169" t="n">
        <x:v>19831.796606330976</x:v>
      </x:c>
      <x:c r="J658" s="169" t="n">
        <x:v>79022.4765</x:v>
      </x:c>
      <x:c r="K658" s="169" t="n">
        <x:v>0.25096399764604915</x:v>
      </x:c>
      <x:c r="L658" s="175" t="n">
        <x:v>0.25096399764604915</x:v>
      </x:c>
      <x:c r="M658" s="175" t="n">
        <x:f>MLCF!H166</x:f>
        <x:v>0.25096399764604915</x:v>
      </x:c>
      <x:c r="N658" s="176" t="str">
        <x:f>IF(AND(ABS(F658-I658)&lt;0.000001,ABS(G658-J658)&lt;0.000001,IF(ISNUMBER(L658),IF(ISNUMBER(M658),ABS(L658-M658)&lt;0.00000001,FALSE),M658=L658)),"PASS","FAIL")</x:f>
        <x:v>PASS</x:v>
      </x:c>
      <x:c r="O658" s="171" t="str"/>
      <x:c r="P658" s="168" t="str">
        <x:v>Profitability</x:v>
      </x:c>
    </x:row>
    <x:row r="659" ht="26" customHeight="1">
      <x:c r="A659" s="76" t="str">
        <x:v>MLCF</x:v>
      </x:c>
      <x:c r="B659" s="76" t="n">
        <x:v>2025</x:v>
      </x:c>
      <x:c r="C659" s="76" t="n">
        <x:v>27</x:v>
      </x:c>
      <x:c r="D659" s="76" t="str">
        <x:v>Basic earning power</x:v>
      </x:c>
      <x:c r="E659" s="76" t="str">
        <x:v>Additional</x:v>
      </x:c>
      <x:c r="F659" s="170" t="n">
        <x:f>MLCF!H108</x:f>
        <x:v>25219.024999999998</x:v>
      </x:c>
      <x:c r="G659" s="170" t="n">
        <x:f>AVERAGE(MLCF!G37,MLCF!H37)</x:f>
        <x:v>109235.97649999999</x:v>
      </x:c>
      <x:c r="H659" s="170" t="n">
        <x:f>IF(G659&lt;=0,"n/m",F659/G659)</x:f>
        <x:v>0.23086739193474415</x:v>
      </x:c>
      <x:c r="I659" s="170" t="n">
        <x:v>25219.024999999998</x:v>
      </x:c>
      <x:c r="J659" s="170" t="n">
        <x:v>109235.9765</x:v>
      </x:c>
      <x:c r="K659" s="170" t="n">
        <x:v>0.23086739193474412</x:v>
      </x:c>
      <x:c r="L659" s="177" t="n">
        <x:v>0.23086739193474412</x:v>
      </x:c>
      <x:c r="M659" s="177" t="n">
        <x:f>MLCF!H167</x:f>
        <x:v>0.23086739193474415</x:v>
      </x:c>
      <x:c r="N659" s="178" t="str">
        <x:f>IF(AND(ABS(F659-I659)&lt;0.000001,ABS(G659-J659)&lt;0.000001,IF(ISNUMBER(L659),IF(ISNUMBER(M659),ABS(L659-M659)&lt;0.00000001,FALSE),M659=L659)),"PASS","FAIL")</x:f>
        <x:v>PASS</x:v>
      </x:c>
      <x:c r="O659" s="99" t="str"/>
      <x:c r="P659" s="76" t="str">
        <x:v>Profitability</x:v>
      </x:c>
    </x:row>
    <x:row r="660" ht="26" customHeight="1">
      <x:c r="A660" s="168" t="str">
        <x:v>MLCF</x:v>
      </x:c>
      <x:c r="B660" s="168" t="n">
        <x:v>2025</x:v>
      </x:c>
      <x:c r="C660" s="168" t="n">
        <x:v>28</x:v>
      </x:c>
      <x:c r="D660" s="168" t="str">
        <x:v>Book value per share (Rs)</x:v>
      </x:c>
      <x:c r="E660" s="168" t="str">
        <x:v>Additional</x:v>
      </x:c>
      <x:c r="F660" s="169" t="n">
        <x:f>MLCF!H41</x:f>
        <x:v>71461.592</x:v>
      </x:c>
      <x:c r="G660" s="169" t="n">
        <x:f>MLCF!H128</x:f>
        <x:v>1047.5626</x:v>
      </x:c>
      <x:c r="H660" s="169" t="n">
        <x:f>IF(G660&lt;=0,"n/m",F660/G660)</x:f>
        <x:v>68.21701347489879</x:v>
      </x:c>
      <x:c r="I660" s="169" t="n">
        <x:v>71461.592</x:v>
      </x:c>
      <x:c r="J660" s="169" t="n">
        <x:v>1047.5626</x:v>
      </x:c>
      <x:c r="K660" s="169" t="n">
        <x:v>68.21701347489879</x:v>
      </x:c>
      <x:c r="L660" s="175" t="n">
        <x:v>68.21701347489879</x:v>
      </x:c>
      <x:c r="M660" s="175" t="n">
        <x:f>MLCF!H169</x:f>
        <x:v>68.21701347489879</x:v>
      </x:c>
      <x:c r="N660" s="176" t="str">
        <x:f>IF(AND(ABS(F660-I660)&lt;0.000001,ABS(G660-J660)&lt;0.000001,IF(ISNUMBER(L660),IF(ISNUMBER(M660),ABS(L660-M660)&lt;0.00000001,FALSE),M660=L660)),"PASS","FAIL")</x:f>
        <x:v>PASS</x:v>
      </x:c>
      <x:c r="O660" s="171" t="str"/>
      <x:c r="P660" s="168" t="str">
        <x:v>Market Value</x:v>
      </x:c>
    </x:row>
    <x:row r="661" ht="26" customHeight="1">
      <x:c r="A661" s="76" t="str">
        <x:v>MLCF</x:v>
      </x:c>
      <x:c r="B661" s="76" t="n">
        <x:v>2025</x:v>
      </x:c>
      <x:c r="C661" s="76" t="n">
        <x:v>29</x:v>
      </x:c>
      <x:c r="D661" s="76" t="str">
        <x:v>Market-to-book ratio</x:v>
      </x:c>
      <x:c r="E661" s="76" t="str">
        <x:v>Mandatory</x:v>
      </x:c>
      <x:c r="F661" s="170" t="n">
        <x:f>MLCF!H130</x:f>
        <x:v>84.28</x:v>
      </x:c>
      <x:c r="G661" s="170" t="n">
        <x:f>MLCF!H41/MLCF!H128</x:f>
        <x:v>68.21701347489879</x:v>
      </x:c>
      <x:c r="H661" s="170" t="n">
        <x:f>IF(G661&lt;=0,"n/m",F661/G661)</x:f>
        <x:v>1.2354689205356633</x:v>
      </x:c>
      <x:c r="I661" s="170" t="n">
        <x:v>84.28</x:v>
      </x:c>
      <x:c r="J661" s="170" t="n">
        <x:v>68.21701347489879</x:v>
      </x:c>
      <x:c r="K661" s="170" t="n">
        <x:v>1.2354689205356633</x:v>
      </x:c>
      <x:c r="L661" s="177" t="n">
        <x:v>1.2354689205356633</x:v>
      </x:c>
      <x:c r="M661" s="177" t="n">
        <x:f>MLCF!H170</x:f>
        <x:v>1.2354689205356633</x:v>
      </x:c>
      <x:c r="N661" s="178" t="str">
        <x:f>IF(AND(ABS(F661-I661)&lt;0.000001,ABS(G661-J661)&lt;0.000001,IF(ISNUMBER(L661),IF(ISNUMBER(M661),ABS(L661-M661)&lt;0.00000001,FALSE),M661=L661)),"PASS","FAIL")</x:f>
        <x:v>PASS</x:v>
      </x:c>
      <x:c r="O661" s="99" t="str"/>
      <x:c r="P661" s="76" t="str">
        <x:v>Market Value</x:v>
      </x:c>
    </x:row>
    <x:row r="662" ht="26" customHeight="1">
      <x:c r="A662" s="168" t="str">
        <x:v>MLCF</x:v>
      </x:c>
      <x:c r="B662" s="168" t="n">
        <x:v>2025</x:v>
      </x:c>
      <x:c r="C662" s="168" t="n">
        <x:v>30</x:v>
      </x:c>
      <x:c r="D662" s="168" t="str">
        <x:v>Earnings per share (Rs)</x:v>
      </x:c>
      <x:c r="E662" s="168" t="str">
        <x:v>Mandatory</x:v>
      </x:c>
      <x:c r="F662" s="169" t="n">
        <x:f>MLCF!H99</x:f>
        <x:v>17036.373999999996</x:v>
      </x:c>
      <x:c r="G662" s="169" t="n">
        <x:f>MLCF!H129</x:f>
        <x:v>1047.563</x:v>
      </x:c>
      <x:c r="H662" s="169" t="n">
        <x:f>IF(G662&lt;=0,"n/m",F662/G662)</x:f>
        <x:v>16.262863426829693</x:v>
      </x:c>
      <x:c r="I662" s="169" t="n">
        <x:v>17036.373999999996</x:v>
      </x:c>
      <x:c r="J662" s="169" t="n">
        <x:v>1047.563</x:v>
      </x:c>
      <x:c r="K662" s="169" t="n">
        <x:v>16.262863426829693</x:v>
      </x:c>
      <x:c r="L662" s="175" t="n">
        <x:v>16.262863426829693</x:v>
      </x:c>
      <x:c r="M662" s="175" t="n">
        <x:f>MLCF!H171</x:f>
        <x:v>16.262863426829693</x:v>
      </x:c>
      <x:c r="N662" s="176" t="str">
        <x:f>IF(AND(ABS(F662-I662)&lt;0.000001,ABS(G662-J662)&lt;0.000001,IF(ISNUMBER(L662),IF(ISNUMBER(M662),ABS(L662-M662)&lt;0.00000001,FALSE),M662=L662)),"PASS","FAIL")</x:f>
        <x:v>PASS</x:v>
      </x:c>
      <x:c r="O662" s="171" t="str"/>
      <x:c r="P662" s="168" t="str">
        <x:v>Market Value</x:v>
      </x:c>
    </x:row>
    <x:row r="663" ht="26" customHeight="1">
      <x:c r="A663" s="76" t="str">
        <x:v>MLCF</x:v>
      </x:c>
      <x:c r="B663" s="76" t="n">
        <x:v>2025</x:v>
      </x:c>
      <x:c r="C663" s="76" t="n">
        <x:v>31</x:v>
      </x:c>
      <x:c r="D663" s="76" t="str">
        <x:v>Price-to-earnings ratio</x:v>
      </x:c>
      <x:c r="E663" s="76" t="str">
        <x:v>Mandatory</x:v>
      </x:c>
      <x:c r="F663" s="170" t="n">
        <x:f>MLCF!H130</x:f>
        <x:v>84.28</x:v>
      </x:c>
      <x:c r="G663" s="170" t="n">
        <x:f>MLCF!H99/MLCF!H129</x:f>
        <x:v>16.262863426829693</x:v>
      </x:c>
      <x:c r="H663" s="170" t="n">
        <x:f>IF(G663&lt;=0,"n/m",F663/G663)</x:f>
        <x:v>5.182359206248938</x:v>
      </x:c>
      <x:c r="I663" s="170" t="n">
        <x:v>84.28</x:v>
      </x:c>
      <x:c r="J663" s="170" t="n">
        <x:v>16.262863426829693</x:v>
      </x:c>
      <x:c r="K663" s="170" t="n">
        <x:v>5.182359206248938</x:v>
      </x:c>
      <x:c r="L663" s="177" t="n">
        <x:v>5.182359206248938</x:v>
      </x:c>
      <x:c r="M663" s="177" t="n">
        <x:f>MLCF!H172</x:f>
        <x:v>5.182359206248938</x:v>
      </x:c>
      <x:c r="N663" s="178" t="str">
        <x:f>IF(AND(ABS(F663-I663)&lt;0.000001,ABS(G663-J663)&lt;0.000001,IF(ISNUMBER(L663),IF(ISNUMBER(M663),ABS(L663-M663)&lt;0.00000001,FALSE),M663=L663)),"PASS","FAIL")</x:f>
        <x:v>PASS</x:v>
      </x:c>
      <x:c r="O663" s="99" t="str"/>
      <x:c r="P663" s="76" t="str">
        <x:v>Market Value</x:v>
      </x:c>
    </x:row>
    <x:row r="664" ht="26" customHeight="1">
      <x:c r="A664" s="168" t="str">
        <x:v>MLCF</x:v>
      </x:c>
      <x:c r="B664" s="168" t="n">
        <x:v>2025</x:v>
      </x:c>
      <x:c r="C664" s="168" t="n">
        <x:v>32</x:v>
      </x:c>
      <x:c r="D664" s="168" t="str">
        <x:v>Dividend yield</x:v>
      </x:c>
      <x:c r="E664" s="168" t="str">
        <x:v>Mandatory</x:v>
      </x:c>
      <x:c r="F664" s="169" t="n">
        <x:f>MLCF!H131</x:f>
        <x:v>0</x:v>
      </x:c>
      <x:c r="G664" s="169" t="n">
        <x:f>MLCF!H130</x:f>
        <x:v>84.28</x:v>
      </x:c>
      <x:c r="H664" s="169" t="n">
        <x:f>IF(G664&lt;=0,"n/m",F664/G664)</x:f>
        <x:v>0</x:v>
      </x:c>
      <x:c r="I664" s="169" t="n">
        <x:v>0</x:v>
      </x:c>
      <x:c r="J664" s="169" t="n">
        <x:v>84.28</x:v>
      </x:c>
      <x:c r="K664" s="169" t="n">
        <x:v>0</x:v>
      </x:c>
      <x:c r="L664" s="175" t="n">
        <x:v>0</x:v>
      </x:c>
      <x:c r="M664" s="175" t="n">
        <x:f>MLCF!H173</x:f>
        <x:v>0</x:v>
      </x:c>
      <x:c r="N664" s="176" t="str">
        <x:f>IF(AND(ABS(F664-I664)&lt;0.000001,ABS(G664-J664)&lt;0.000001,IF(ISNUMBER(L664),IF(ISNUMBER(M664),ABS(L664-M664)&lt;0.00000001,FALSE),M664=L664)),"PASS","FAIL")</x:f>
        <x:v>PASS</x:v>
      </x:c>
      <x:c r="O664" s="171" t="str"/>
      <x:c r="P664" s="168" t="str">
        <x:v>Market Value</x:v>
      </x:c>
    </x:row>
    <x:row r="665" ht="26" customHeight="1">
      <x:c r="A665" s="76" t="str">
        <x:v>MLCF</x:v>
      </x:c>
      <x:c r="B665" s="76" t="n">
        <x:v>2025</x:v>
      </x:c>
      <x:c r="C665" s="76" t="n">
        <x:v>33</x:v>
      </x:c>
      <x:c r="D665" s="76" t="str">
        <x:v>Dividend payout ratio</x:v>
      </x:c>
      <x:c r="E665" s="76" t="str">
        <x:v>Additional</x:v>
      </x:c>
      <x:c r="F665" s="170" t="n">
        <x:f>MLCF!H131</x:f>
        <x:v>0</x:v>
      </x:c>
      <x:c r="G665" s="170" t="n">
        <x:f>MLCF!H99/MLCF!H129</x:f>
        <x:v>16.262863426829693</x:v>
      </x:c>
      <x:c r="H665" s="170" t="n">
        <x:f>IF(G665&lt;=0,"n/m",F665/G665)</x:f>
        <x:v>0</x:v>
      </x:c>
      <x:c r="I665" s="170" t="n">
        <x:v>0</x:v>
      </x:c>
      <x:c r="J665" s="170" t="n">
        <x:v>16.262863426829693</x:v>
      </x:c>
      <x:c r="K665" s="170" t="n">
        <x:v>0</x:v>
      </x:c>
      <x:c r="L665" s="177" t="n">
        <x:v>0</x:v>
      </x:c>
      <x:c r="M665" s="177" t="n">
        <x:f>MLCF!H174</x:f>
        <x:v>0</x:v>
      </x:c>
      <x:c r="N665" s="178" t="str">
        <x:f>IF(AND(ABS(F665-I665)&lt;0.000001,ABS(G665-J665)&lt;0.000001,IF(ISNUMBER(L665),IF(ISNUMBER(M665),ABS(L665-M665)&lt;0.00000001,FALSE),M665=L665)),"PASS","FAIL")</x:f>
        <x:v>PASS</x:v>
      </x:c>
      <x:c r="O665" s="99" t="str"/>
      <x:c r="P665" s="76" t="str">
        <x:v>Market Value</x:v>
      </x:c>
    </x:row>
    <x:row r="666" ht="26" customHeight="1">
      <x:c r="A666" s="168" t="str">
        <x:v>FCCL</x:v>
      </x:c>
      <x:c r="B666" s="168" t="n">
        <x:v>2021</x:v>
      </x:c>
      <x:c r="C666" s="168" t="n">
        <x:v>1</x:v>
      </x:c>
      <x:c r="D666" s="168" t="str">
        <x:v>Current ratio</x:v>
      </x:c>
      <x:c r="E666" s="168" t="str">
        <x:v>Mandatory</x:v>
      </x:c>
      <x:c r="F666" s="169" t="n">
        <x:f>FCCL!D36</x:f>
        <x:v>12438.732</x:v>
      </x:c>
      <x:c r="G666" s="169" t="n">
        <x:f>FCCL!D61</x:f>
        <x:v>6161.989</x:v>
      </x:c>
      <x:c r="H666" s="169" t="n">
        <x:f>IF(G666&lt;=0,"n/m",F666/G666)</x:f>
        <x:v>2.01862288296847</x:v>
      </x:c>
      <x:c r="I666" s="169" t="n">
        <x:v>12438.732</x:v>
      </x:c>
      <x:c r="J666" s="169" t="n">
        <x:v>6161.989</x:v>
      </x:c>
      <x:c r="K666" s="169" t="n">
        <x:v>2.01862288296847</x:v>
      </x:c>
      <x:c r="L666" s="175" t="n">
        <x:v>2.01862288296847</x:v>
      </x:c>
      <x:c r="M666" s="175" t="n">
        <x:f>FCCL!D138</x:f>
        <x:v>2.01862288296847</x:v>
      </x:c>
      <x:c r="N666" s="176" t="str">
        <x:f>IF(AND(ABS(F666-I666)&lt;0.000001,ABS(G666-J666)&lt;0.000001,IF(ISNUMBER(L666),IF(ISNUMBER(M666),ABS(L666-M666)&lt;0.00000001,FALSE),M666=L666)),"PASS","FAIL")</x:f>
        <x:v>PASS</x:v>
      </x:c>
      <x:c r="O666" s="171" t="str"/>
      <x:c r="P666" s="168" t="str">
        <x:v>Liquidity</x:v>
      </x:c>
    </x:row>
    <x:row r="667" ht="26" customHeight="1">
      <x:c r="A667" s="76" t="str">
        <x:v>FCCL</x:v>
      </x:c>
      <x:c r="B667" s="76" t="n">
        <x:v>2021</x:v>
      </x:c>
      <x:c r="C667" s="76" t="n">
        <x:v>2</x:v>
      </x:c>
      <x:c r="D667" s="76" t="str">
        <x:v>Quick ratio</x:v>
      </x:c>
      <x:c r="E667" s="76" t="str">
        <x:v>Mandatory</x:v>
      </x:c>
      <x:c r="F667" s="170" t="n">
        <x:f>FCCL!D36-FCCL!D65</x:f>
        <x:v>6998.78</x:v>
      </x:c>
      <x:c r="G667" s="170" t="n">
        <x:f>FCCL!D61</x:f>
        <x:v>6161.989</x:v>
      </x:c>
      <x:c r="H667" s="170" t="n">
        <x:f>IF(G667&lt;=0,"n/m",F667/G667)</x:f>
        <x:v>1.1357988467684703</x:v>
      </x:c>
      <x:c r="I667" s="170" t="n">
        <x:v>6998.78</x:v>
      </x:c>
      <x:c r="J667" s="170" t="n">
        <x:v>6161.989</x:v>
      </x:c>
      <x:c r="K667" s="170" t="n">
        <x:v>1.1357988467684703</x:v>
      </x:c>
      <x:c r="L667" s="177" t="n">
        <x:v>1.1357988467684703</x:v>
      </x:c>
      <x:c r="M667" s="177" t="n">
        <x:f>FCCL!D139</x:f>
        <x:v>1.1357988467684703</x:v>
      </x:c>
      <x:c r="N667" s="178" t="str">
        <x:f>IF(AND(ABS(F667-I667)&lt;0.000001,ABS(G667-J667)&lt;0.000001,IF(ISNUMBER(L667),IF(ISNUMBER(M667),ABS(L667-M667)&lt;0.00000001,FALSE),M667=L667)),"PASS","FAIL")</x:f>
        <x:v>PASS</x:v>
      </x:c>
      <x:c r="O667" s="99" t="str"/>
      <x:c r="P667" s="76" t="str">
        <x:v>Liquidity</x:v>
      </x:c>
    </x:row>
    <x:row r="668" ht="26" customHeight="1">
      <x:c r="A668" s="168" t="str">
        <x:v>FCCL</x:v>
      </x:c>
      <x:c r="B668" s="168" t="n">
        <x:v>2021</x:v>
      </x:c>
      <x:c r="C668" s="168" t="n">
        <x:v>3</x:v>
      </x:c>
      <x:c r="D668" s="168" t="str">
        <x:v>Cash ratio</x:v>
      </x:c>
      <x:c r="E668" s="168" t="str">
        <x:v>Mandatory</x:v>
      </x:c>
      <x:c r="F668" s="169" t="n">
        <x:f>FCCL!D34</x:f>
        <x:v>900.778</x:v>
      </x:c>
      <x:c r="G668" s="169" t="n">
        <x:f>FCCL!D61</x:f>
        <x:v>6161.989</x:v>
      </x:c>
      <x:c r="H668" s="169" t="n">
        <x:f>IF(G668&lt;=0,"n/m",F668/G668)</x:f>
        <x:v>0.14618299383526975</x:v>
      </x:c>
      <x:c r="I668" s="169" t="n">
        <x:v>900.778</x:v>
      </x:c>
      <x:c r="J668" s="169" t="n">
        <x:v>6161.989</x:v>
      </x:c>
      <x:c r="K668" s="169" t="n">
        <x:v>0.14618299383526975</x:v>
      </x:c>
      <x:c r="L668" s="175" t="n">
        <x:v>0.14618299383526975</x:v>
      </x:c>
      <x:c r="M668" s="175" t="n">
        <x:f>FCCL!D140</x:f>
        <x:v>0.14618299383526975</x:v>
      </x:c>
      <x:c r="N668" s="176" t="str">
        <x:f>IF(AND(ABS(F668-I668)&lt;0.000001,ABS(G668-J668)&lt;0.000001,IF(ISNUMBER(L668),IF(ISNUMBER(M668),ABS(L668-M668)&lt;0.00000001,FALSE),M668=L668)),"PASS","FAIL")</x:f>
        <x:v>PASS</x:v>
      </x:c>
      <x:c r="O668" s="171" t="str"/>
      <x:c r="P668" s="168" t="str">
        <x:v>Liquidity</x:v>
      </x:c>
    </x:row>
    <x:row r="669" ht="26" customHeight="1">
      <x:c r="A669" s="76" t="str">
        <x:v>FCCL</x:v>
      </x:c>
      <x:c r="B669" s="76" t="n">
        <x:v>2021</x:v>
      </x:c>
      <x:c r="C669" s="76" t="n">
        <x:v>4</x:v>
      </x:c>
      <x:c r="D669" s="76" t="str">
        <x:v>Net working capital (PKR m)</x:v>
      </x:c>
      <x:c r="E669" s="76" t="str">
        <x:v>Additional</x:v>
      </x:c>
      <x:c r="F669" s="170" t="n">
        <x:f>FCCL!D36-FCCL!D61</x:f>
        <x:v>6276.743</x:v>
      </x:c>
      <x:c r="G669" s="170" t="n">
        <x:f>1</x:f>
        <x:v>1</x:v>
      </x:c>
      <x:c r="H669" s="170" t="n">
        <x:f>IF(G669&lt;=0,"n/m",F669/G669)</x:f>
        <x:v>6276.743</x:v>
      </x:c>
      <x:c r="I669" s="170" t="n">
        <x:v>6276.743</x:v>
      </x:c>
      <x:c r="J669" s="170" t="n">
        <x:v>1</x:v>
      </x:c>
      <x:c r="K669" s="170" t="n">
        <x:v>6276.743</x:v>
      </x:c>
      <x:c r="L669" s="177" t="n">
        <x:v>6276.743</x:v>
      </x:c>
      <x:c r="M669" s="177" t="n">
        <x:f>FCCL!D141</x:f>
        <x:v>6276.743</x:v>
      </x:c>
      <x:c r="N669" s="178" t="str">
        <x:f>IF(AND(ABS(F669-I669)&lt;0.000001,ABS(G669-J669)&lt;0.000001,IF(ISNUMBER(L669),IF(ISNUMBER(M669),ABS(L669-M669)&lt;0.00000001,FALSE),M669=L669)),"PASS","FAIL")</x:f>
        <x:v>PASS</x:v>
      </x:c>
      <x:c r="O669" s="99" t="str"/>
      <x:c r="P669" s="76" t="str">
        <x:v>Liquidity</x:v>
      </x:c>
    </x:row>
    <x:row r="670" ht="26" customHeight="1">
      <x:c r="A670" s="168" t="str">
        <x:v>FCCL</x:v>
      </x:c>
      <x:c r="B670" s="168" t="n">
        <x:v>2021</x:v>
      </x:c>
      <x:c r="C670" s="168" t="n">
        <x:v>5</x:v>
      </x:c>
      <x:c r="D670" s="168" t="str">
        <x:v>Net operating working capital (PKR m)</x:v>
      </x:c>
      <x:c r="E670" s="168" t="str">
        <x:v>Additional</x:v>
      </x:c>
      <x:c r="F670" s="169" t="n">
        <x:f>FCCL!D72-FCCL!D73</x:f>
        <x:v>3035.393000000001</x:v>
      </x:c>
      <x:c r="G670" s="169" t="n">
        <x:f>1</x:f>
        <x:v>1</x:v>
      </x:c>
      <x:c r="H670" s="169" t="n">
        <x:f>IF(G670&lt;=0,"n/m",F670/G670)</x:f>
        <x:v>3035.393000000001</x:v>
      </x:c>
      <x:c r="I670" s="169" t="n">
        <x:v>3035.393000000001</x:v>
      </x:c>
      <x:c r="J670" s="169" t="n">
        <x:v>1</x:v>
      </x:c>
      <x:c r="K670" s="169" t="n">
        <x:v>3035.393000000001</x:v>
      </x:c>
      <x:c r="L670" s="175" t="n">
        <x:v>3035.393000000001</x:v>
      </x:c>
      <x:c r="M670" s="175" t="n">
        <x:f>FCCL!D142</x:f>
        <x:v>3035.393000000001</x:v>
      </x:c>
      <x:c r="N670" s="176" t="str">
        <x:f>IF(AND(ABS(F670-I670)&lt;0.000001,ABS(G670-J670)&lt;0.000001,IF(ISNUMBER(L670),IF(ISNUMBER(M670),ABS(L670-M670)&lt;0.00000001,FALSE),M670=L670)),"PASS","FAIL")</x:f>
        <x:v>PASS</x:v>
      </x:c>
      <x:c r="O670" s="171" t="str"/>
      <x:c r="P670" s="168" t="str">
        <x:v>Liquidity</x:v>
      </x:c>
    </x:row>
    <x:row r="671" ht="26" customHeight="1">
      <x:c r="A671" s="76" t="str">
        <x:v>FCCL</x:v>
      </x:c>
      <x:c r="B671" s="76" t="n">
        <x:v>2021</x:v>
      </x:c>
      <x:c r="C671" s="76" t="n">
        <x:v>6</x:v>
      </x:c>
      <x:c r="D671" s="76" t="str">
        <x:v>Inventory turnover</x:v>
      </x:c>
      <x:c r="E671" s="76" t="str">
        <x:v>Mandatory</x:v>
      </x:c>
      <x:c r="F671" s="170" t="n">
        <x:f>-FCCL!D85</x:f>
        <x:v>18206.88</x:v>
      </x:c>
      <x:c r="G671" s="170" t="n">
        <x:f>AVERAGE(FCCL!C65,FCCL!D65)</x:f>
        <x:v>5066.7564999999995</x:v>
      </x:c>
      <x:c r="H671" s="170" t="n">
        <x:f>IF(G671&lt;=0,"n/m",F671/G671)</x:f>
        <x:v>3.593399445976929</x:v>
      </x:c>
      <x:c r="I671" s="170" t="n">
        <x:v>18206.88</x:v>
      </x:c>
      <x:c r="J671" s="170" t="n">
        <x:v>5066.7564999999995</x:v>
      </x:c>
      <x:c r="K671" s="170" t="n">
        <x:v>3.593399445976929</x:v>
      </x:c>
      <x:c r="L671" s="177" t="n">
        <x:v>3.593399445976929</x:v>
      </x:c>
      <x:c r="M671" s="177" t="n">
        <x:f>FCCL!D144</x:f>
        <x:v>3.593399445976929</x:v>
      </x:c>
      <x:c r="N671" s="178" t="str">
        <x:f>IF(AND(ABS(F671-I671)&lt;0.000001,ABS(G671-J671)&lt;0.000001,IF(ISNUMBER(L671),IF(ISNUMBER(M671),ABS(L671-M671)&lt;0.00000001,FALSE),M671=L671)),"PASS","FAIL")</x:f>
        <x:v>PASS</x:v>
      </x:c>
      <x:c r="O671" s="99" t="str"/>
      <x:c r="P671" s="76" t="str">
        <x:v>Asset Management</x:v>
      </x:c>
    </x:row>
    <x:row r="672" ht="26" customHeight="1">
      <x:c r="A672" s="168" t="str">
        <x:v>FCCL</x:v>
      </x:c>
      <x:c r="B672" s="168" t="n">
        <x:v>2021</x:v>
      </x:c>
      <x:c r="C672" s="168" t="n">
        <x:v>7</x:v>
      </x:c>
      <x:c r="D672" s="168" t="str">
        <x:v>Receivables turnover</x:v>
      </x:c>
      <x:c r="E672" s="168" t="str">
        <x:v>Additional</x:v>
      </x:c>
      <x:c r="F672" s="169" t="n">
        <x:f>FCCL!D84</x:f>
        <x:v>24271.285</x:v>
      </x:c>
      <x:c r="G672" s="169" t="n">
        <x:f>AVERAGE(FCCL!C32,FCCL!D32)</x:f>
        <x:v>1250.12</x:v>
      </x:c>
      <x:c r="H672" s="169" t="n">
        <x:f>IF(G672&lt;=0,"n/m",F672/G672)</x:f>
        <x:v>19.415164144242155</x:v>
      </x:c>
      <x:c r="I672" s="169" t="n">
        <x:v>24271.285</x:v>
      </x:c>
      <x:c r="J672" s="169" t="n">
        <x:v>1250.12</x:v>
      </x:c>
      <x:c r="K672" s="169" t="n">
        <x:v>19.415164144242155</x:v>
      </x:c>
      <x:c r="L672" s="175" t="n">
        <x:v>19.415164144242155</x:v>
      </x:c>
      <x:c r="M672" s="175" t="n">
        <x:f>FCCL!D145</x:f>
        <x:v>19.415164144242155</x:v>
      </x:c>
      <x:c r="N672" s="176" t="str">
        <x:f>IF(AND(ABS(F672-I672)&lt;0.000001,ABS(G672-J672)&lt;0.000001,IF(ISNUMBER(L672),IF(ISNUMBER(M672),ABS(L672-M672)&lt;0.00000001,FALSE),M672=L672)),"PASS","FAIL")</x:f>
        <x:v>PASS</x:v>
      </x:c>
      <x:c r="O672" s="171" t="str"/>
      <x:c r="P672" s="168" t="str">
        <x:v>Asset Management</x:v>
      </x:c>
    </x:row>
    <x:row r="673" ht="26" customHeight="1">
      <x:c r="A673" s="76" t="str">
        <x:v>FCCL</x:v>
      </x:c>
      <x:c r="B673" s="76" t="n">
        <x:v>2021</x:v>
      </x:c>
      <x:c r="C673" s="76" t="n">
        <x:v>8</x:v>
      </x:c>
      <x:c r="D673" s="76" t="str">
        <x:v>Payables turnover</x:v>
      </x:c>
      <x:c r="E673" s="76" t="str">
        <x:v>Additional</x:v>
      </x:c>
      <x:c r="F673" s="170" t="n">
        <x:f>-FCCL!D85</x:f>
        <x:v>18206.88</x:v>
      </x:c>
      <x:c r="G673" s="170" t="n">
        <x:f>AVERAGE(FCCL!C51,FCCL!D51)</x:f>
        <x:v>608.812</x:v>
      </x:c>
      <x:c r="H673" s="170" t="n">
        <x:f>IF(G673&lt;=0,"n/m",F673/G673)</x:f>
        <x:v>29.905586617872185</x:v>
      </x:c>
      <x:c r="I673" s="170" t="n">
        <x:v>18206.88</x:v>
      </x:c>
      <x:c r="J673" s="170" t="n">
        <x:v>608.812</x:v>
      </x:c>
      <x:c r="K673" s="170" t="n">
        <x:v>29.905586617872185</x:v>
      </x:c>
      <x:c r="L673" s="177" t="n">
        <x:v>29.905586617872185</x:v>
      </x:c>
      <x:c r="M673" s="177" t="n">
        <x:f>FCCL!D146</x:f>
        <x:v>29.905586617872185</x:v>
      </x:c>
      <x:c r="N673" s="178" t="str">
        <x:f>IF(AND(ABS(F673-I673)&lt;0.000001,ABS(G673-J673)&lt;0.000001,IF(ISNUMBER(L673),IF(ISNUMBER(M673),ABS(L673-M673)&lt;0.00000001,FALSE),M673=L673)),"PASS","FAIL")</x:f>
        <x:v>PASS</x:v>
      </x:c>
      <x:c r="O673" s="99" t="str"/>
      <x:c r="P673" s="76" t="str">
        <x:v>Asset Management</x:v>
      </x:c>
    </x:row>
    <x:row r="674" ht="26" customHeight="1">
      <x:c r="A674" s="168" t="str">
        <x:v>FCCL</x:v>
      </x:c>
      <x:c r="B674" s="168" t="n">
        <x:v>2021</x:v>
      </x:c>
      <x:c r="C674" s="168" t="n">
        <x:v>9</x:v>
      </x:c>
      <x:c r="D674" s="168" t="str">
        <x:v>Days inventory outstanding</x:v>
      </x:c>
      <x:c r="E674" s="168" t="str">
        <x:v>Additional</x:v>
      </x:c>
      <x:c r="F674" s="169" t="n">
        <x:f>365*AVERAGE(FCCL!C65,FCCL!D65)</x:f>
        <x:v>1849366.1224999998</x:v>
      </x:c>
      <x:c r="G674" s="169" t="n">
        <x:f>-FCCL!D85</x:f>
        <x:v>18206.88</x:v>
      </x:c>
      <x:c r="H674" s="169" t="n">
        <x:f>IF(G674&lt;=0,"n/m",F674/G674)</x:f>
        <x:v>101.57512558439446</x:v>
      </x:c>
      <x:c r="I674" s="169" t="n">
        <x:v>1849366.1224999998</x:v>
      </x:c>
      <x:c r="J674" s="169" t="n">
        <x:v>18206.88</x:v>
      </x:c>
      <x:c r="K674" s="169" t="n">
        <x:v>101.57512558439446</x:v>
      </x:c>
      <x:c r="L674" s="175" t="n">
        <x:v>101.57512558439446</x:v>
      </x:c>
      <x:c r="M674" s="175" t="n">
        <x:f>FCCL!D147</x:f>
        <x:v>101.57512558439446</x:v>
      </x:c>
      <x:c r="N674" s="176" t="str">
        <x:f>IF(AND(ABS(F674-I674)&lt;0.000001,ABS(G674-J674)&lt;0.000001,IF(ISNUMBER(L674),IF(ISNUMBER(M674),ABS(L674-M674)&lt;0.00000001,FALSE),M674=L674)),"PASS","FAIL")</x:f>
        <x:v>PASS</x:v>
      </x:c>
      <x:c r="O674" s="171" t="str"/>
      <x:c r="P674" s="168" t="str">
        <x:v>Asset Management</x:v>
      </x:c>
    </x:row>
    <x:row r="675" ht="26" customHeight="1">
      <x:c r="A675" s="76" t="str">
        <x:v>FCCL</x:v>
      </x:c>
      <x:c r="B675" s="76" t="n">
        <x:v>2021</x:v>
      </x:c>
      <x:c r="C675" s="76" t="n">
        <x:v>10</x:v>
      </x:c>
      <x:c r="D675" s="76" t="str">
        <x:v>Days sales outstanding</x:v>
      </x:c>
      <x:c r="E675" s="76" t="str">
        <x:v>Mandatory</x:v>
      </x:c>
      <x:c r="F675" s="170" t="n">
        <x:f>365*AVERAGE(FCCL!C32,FCCL!D32)</x:f>
        <x:v>456293.8</x:v>
      </x:c>
      <x:c r="G675" s="170" t="n">
        <x:f>FCCL!D84</x:f>
        <x:v>24271.285</x:v>
      </x:c>
      <x:c r="H675" s="170" t="n">
        <x:f>IF(G675&lt;=0,"n/m",F675/G675)</x:f>
        <x:v>18.799738044359827</x:v>
      </x:c>
      <x:c r="I675" s="170" t="n">
        <x:v>456293.8</x:v>
      </x:c>
      <x:c r="J675" s="170" t="n">
        <x:v>24271.285</x:v>
      </x:c>
      <x:c r="K675" s="170" t="n">
        <x:v>18.799738044359827</x:v>
      </x:c>
      <x:c r="L675" s="177" t="n">
        <x:v>18.799738044359827</x:v>
      </x:c>
      <x:c r="M675" s="177" t="n">
        <x:f>FCCL!D148</x:f>
        <x:v>18.799738044359827</x:v>
      </x:c>
      <x:c r="N675" s="178" t="str">
        <x:f>IF(AND(ABS(F675-I675)&lt;0.000001,ABS(G675-J675)&lt;0.000001,IF(ISNUMBER(L675),IF(ISNUMBER(M675),ABS(L675-M675)&lt;0.00000001,FALSE),M675=L675)),"PASS","FAIL")</x:f>
        <x:v>PASS</x:v>
      </x:c>
      <x:c r="O675" s="99" t="str"/>
      <x:c r="P675" s="76" t="str">
        <x:v>Asset Management</x:v>
      </x:c>
    </x:row>
    <x:row r="676" ht="26" customHeight="1">
      <x:c r="A676" s="168" t="str">
        <x:v>FCCL</x:v>
      </x:c>
      <x:c r="B676" s="168" t="n">
        <x:v>2021</x:v>
      </x:c>
      <x:c r="C676" s="168" t="n">
        <x:v>11</x:v>
      </x:c>
      <x:c r="D676" s="168" t="str">
        <x:v>Days payables outstanding</x:v>
      </x:c>
      <x:c r="E676" s="168" t="str">
        <x:v>Additional</x:v>
      </x:c>
      <x:c r="F676" s="169" t="n">
        <x:f>365*AVERAGE(FCCL!C51,FCCL!D51)</x:f>
        <x:v>222216.38</x:v>
      </x:c>
      <x:c r="G676" s="169" t="n">
        <x:f>-FCCL!D85</x:f>
        <x:v>18206.88</x:v>
      </x:c>
      <x:c r="H676" s="169" t="n">
        <x:f>IF(G676&lt;=0,"n/m",F676/G676)</x:f>
        <x:v>12.205077421282503</x:v>
      </x:c>
      <x:c r="I676" s="169" t="n">
        <x:v>222216.38</x:v>
      </x:c>
      <x:c r="J676" s="169" t="n">
        <x:v>18206.88</x:v>
      </x:c>
      <x:c r="K676" s="169" t="n">
        <x:v>12.205077421282503</x:v>
      </x:c>
      <x:c r="L676" s="175" t="n">
        <x:v>12.205077421282503</x:v>
      </x:c>
      <x:c r="M676" s="175" t="n">
        <x:f>FCCL!D149</x:f>
        <x:v>12.205077421282503</x:v>
      </x:c>
      <x:c r="N676" s="176" t="str">
        <x:f>IF(AND(ABS(F676-I676)&lt;0.000001,ABS(G676-J676)&lt;0.000001,IF(ISNUMBER(L676),IF(ISNUMBER(M676),ABS(L676-M676)&lt;0.00000001,FALSE),M676=L676)),"PASS","FAIL")</x:f>
        <x:v>PASS</x:v>
      </x:c>
      <x:c r="O676" s="171" t="str"/>
      <x:c r="P676" s="168" t="str">
        <x:v>Asset Management</x:v>
      </x:c>
    </x:row>
    <x:row r="677" ht="26" customHeight="1">
      <x:c r="A677" s="76" t="str">
        <x:v>FCCL</x:v>
      </x:c>
      <x:c r="B677" s="76" t="n">
        <x:v>2021</x:v>
      </x:c>
      <x:c r="C677" s="76" t="n">
        <x:v>12</x:v>
      </x:c>
      <x:c r="D677" s="76" t="str">
        <x:v>Operating cycle (days)</x:v>
      </x:c>
      <x:c r="E677" s="76" t="str">
        <x:v>Additional</x:v>
      </x:c>
      <x:c r="F677" s="170" t="n">
        <x:f>365*AVERAGE(FCCL!C65,FCCL!D65)/(-FCCL!D85)+365*AVERAGE(FCCL!C32,FCCL!D32)/FCCL!D84</x:f>
        <x:v>120.37486362875428</x:v>
      </x:c>
      <x:c r="G677" s="170" t="n">
        <x:f>1</x:f>
        <x:v>1</x:v>
      </x:c>
      <x:c r="H677" s="170" t="n">
        <x:f>IF(G677&lt;=0,"n/m",F677/G677)</x:f>
        <x:v>120.37486362875428</x:v>
      </x:c>
      <x:c r="I677" s="170" t="n">
        <x:v>120.37486362875428</x:v>
      </x:c>
      <x:c r="J677" s="170" t="n">
        <x:v>1</x:v>
      </x:c>
      <x:c r="K677" s="170" t="n">
        <x:v>120.37486362875428</x:v>
      </x:c>
      <x:c r="L677" s="177" t="n">
        <x:v>120.37486362875428</x:v>
      </x:c>
      <x:c r="M677" s="177" t="n">
        <x:f>FCCL!D150</x:f>
        <x:v>120.37486362875428</x:v>
      </x:c>
      <x:c r="N677" s="178" t="str">
        <x:f>IF(AND(ABS(F677-I677)&lt;0.000001,ABS(G677-J677)&lt;0.000001,IF(ISNUMBER(L677),IF(ISNUMBER(M677),ABS(L677-M677)&lt;0.00000001,FALSE),M677=L677)),"PASS","FAIL")</x:f>
        <x:v>PASS</x:v>
      </x:c>
      <x:c r="O677" s="99" t="str"/>
      <x:c r="P677" s="76" t="str">
        <x:v>Asset Management</x:v>
      </x:c>
    </x:row>
    <x:row r="678" ht="26" customHeight="1">
      <x:c r="A678" s="168" t="str">
        <x:v>FCCL</x:v>
      </x:c>
      <x:c r="B678" s="168" t="n">
        <x:v>2021</x:v>
      </x:c>
      <x:c r="C678" s="168" t="n">
        <x:v>13</x:v>
      </x:c>
      <x:c r="D678" s="168" t="str">
        <x:v>Cash conversion cycle (days)</x:v>
      </x:c>
      <x:c r="E678" s="168" t="str">
        <x:v>Additional</x:v>
      </x:c>
      <x:c r="F678" s="169" t="n">
        <x:f>365*AVERAGE(FCCL!C65,FCCL!D65)/(-FCCL!D85)+365*AVERAGE(FCCL!C32,FCCL!D32)/FCCL!D84-365*AVERAGE(FCCL!C51,FCCL!D51)/(-FCCL!D85)</x:f>
        <x:v>108.16978620747179</x:v>
      </x:c>
      <x:c r="G678" s="169" t="n">
        <x:f>1</x:f>
        <x:v>1</x:v>
      </x:c>
      <x:c r="H678" s="169" t="n">
        <x:f>IF(G678&lt;=0,"n/m",F678/G678)</x:f>
        <x:v>108.16978620747179</x:v>
      </x:c>
      <x:c r="I678" s="169" t="n">
        <x:v>108.16978620747179</x:v>
      </x:c>
      <x:c r="J678" s="169" t="n">
        <x:v>1</x:v>
      </x:c>
      <x:c r="K678" s="169" t="n">
        <x:v>108.16978620747179</x:v>
      </x:c>
      <x:c r="L678" s="175" t="n">
        <x:v>108.16978620747179</x:v>
      </x:c>
      <x:c r="M678" s="175" t="n">
        <x:f>FCCL!D151</x:f>
        <x:v>108.16978620747179</x:v>
      </x:c>
      <x:c r="N678" s="176" t="str">
        <x:f>IF(AND(ABS(F678-I678)&lt;0.000001,ABS(G678-J678)&lt;0.000001,IF(ISNUMBER(L678),IF(ISNUMBER(M678),ABS(L678-M678)&lt;0.00000001,FALSE),M678=L678)),"PASS","FAIL")</x:f>
        <x:v>PASS</x:v>
      </x:c>
      <x:c r="O678" s="171" t="str"/>
      <x:c r="P678" s="168" t="str">
        <x:v>Asset Management</x:v>
      </x:c>
    </x:row>
    <x:row r="679" ht="26" customHeight="1">
      <x:c r="A679" s="76" t="str">
        <x:v>FCCL</x:v>
      </x:c>
      <x:c r="B679" s="76" t="n">
        <x:v>2021</x:v>
      </x:c>
      <x:c r="C679" s="76" t="n">
        <x:v>14</x:v>
      </x:c>
      <x:c r="D679" s="76" t="str">
        <x:v>Total asset turnover</x:v>
      </x:c>
      <x:c r="E679" s="76" t="str">
        <x:v>Mandatory</x:v>
      </x:c>
      <x:c r="F679" s="170" t="n">
        <x:f>FCCL!D84</x:f>
        <x:v>24271.285</x:v>
      </x:c>
      <x:c r="G679" s="170" t="n">
        <x:f>AVERAGE(FCCL!C37,FCCL!D37)</x:f>
        <x:v>31630.0735</x:v>
      </x:c>
      <x:c r="H679" s="170" t="n">
        <x:f>IF(G679&lt;=0,"n/m",F679/G679)</x:f>
        <x:v>0.7673483591494026</x:v>
      </x:c>
      <x:c r="I679" s="170" t="n">
        <x:v>24271.285</x:v>
      </x:c>
      <x:c r="J679" s="170" t="n">
        <x:v>31630.0735</x:v>
      </x:c>
      <x:c r="K679" s="170" t="n">
        <x:v>0.7673483591494026</x:v>
      </x:c>
      <x:c r="L679" s="177" t="n">
        <x:v>0.7673483591494026</x:v>
      </x:c>
      <x:c r="M679" s="177" t="n">
        <x:f>FCCL!D152</x:f>
        <x:v>0.7673483591494026</x:v>
      </x:c>
      <x:c r="N679" s="178" t="str">
        <x:f>IF(AND(ABS(F679-I679)&lt;0.000001,ABS(G679-J679)&lt;0.000001,IF(ISNUMBER(L679),IF(ISNUMBER(M679),ABS(L679-M679)&lt;0.00000001,FALSE),M679=L679)),"PASS","FAIL")</x:f>
        <x:v>PASS</x:v>
      </x:c>
      <x:c r="O679" s="99" t="str"/>
      <x:c r="P679" s="76" t="str">
        <x:v>Asset Management</x:v>
      </x:c>
    </x:row>
    <x:row r="680" ht="26" customHeight="1">
      <x:c r="A680" s="168" t="str">
        <x:v>FCCL</x:v>
      </x:c>
      <x:c r="B680" s="168" t="n">
        <x:v>2021</x:v>
      </x:c>
      <x:c r="C680" s="168" t="n">
        <x:v>15</x:v>
      </x:c>
      <x:c r="D680" s="168" t="str">
        <x:v>Fixed asset turnover</x:v>
      </x:c>
      <x:c r="E680" s="168" t="str">
        <x:v>Mandatory</x:v>
      </x:c>
      <x:c r="F680" s="169" t="n">
        <x:f>FCCL!D84</x:f>
        <x:v>24271.285</x:v>
      </x:c>
      <x:c r="G680" s="169" t="n">
        <x:f>AVERAGE(FCCL!C22,FCCL!D22)</x:f>
        <x:v>21641.246</x:v>
      </x:c>
      <x:c r="H680" s="169" t="n">
        <x:f>IF(G680&lt;=0,"n/m",F680/G680)</x:f>
        <x:v>1.121529000686929</x:v>
      </x:c>
      <x:c r="I680" s="169" t="n">
        <x:v>24271.285</x:v>
      </x:c>
      <x:c r="J680" s="169" t="n">
        <x:v>21641.246</x:v>
      </x:c>
      <x:c r="K680" s="169" t="n">
        <x:v>1.121529000686929</x:v>
      </x:c>
      <x:c r="L680" s="175" t="n">
        <x:v>1.121529000686929</x:v>
      </x:c>
      <x:c r="M680" s="175" t="n">
        <x:f>FCCL!D153</x:f>
        <x:v>1.121529000686929</x:v>
      </x:c>
      <x:c r="N680" s="176" t="str">
        <x:f>IF(AND(ABS(F680-I680)&lt;0.000001,ABS(G680-J680)&lt;0.000001,IF(ISNUMBER(L680),IF(ISNUMBER(M680),ABS(L680-M680)&lt;0.00000001,FALSE),M680=L680)),"PASS","FAIL")</x:f>
        <x:v>PASS</x:v>
      </x:c>
      <x:c r="O680" s="171" t="str"/>
      <x:c r="P680" s="168" t="str">
        <x:v>Asset Management</x:v>
      </x:c>
    </x:row>
    <x:row r="681" ht="26" customHeight="1">
      <x:c r="A681" s="76" t="str">
        <x:v>FCCL</x:v>
      </x:c>
      <x:c r="B681" s="76" t="n">
        <x:v>2021</x:v>
      </x:c>
      <x:c r="C681" s="76" t="n">
        <x:v>16</x:v>
      </x:c>
      <x:c r="D681" s="76" t="str">
        <x:v>Debt ratio</x:v>
      </x:c>
      <x:c r="E681" s="76" t="str">
        <x:v>Mandatory</x:v>
      </x:c>
      <x:c r="F681" s="170" t="n">
        <x:f>FCCL!D62</x:f>
        <x:v>10776.56</x:v>
      </x:c>
      <x:c r="G681" s="170" t="n">
        <x:f>FCCL!D37</x:f>
        <x:v>34052.231</x:v>
      </x:c>
      <x:c r="H681" s="170" t="n">
        <x:f>IF(G681&lt;=0,"n/m",F681/G681)</x:f>
        <x:v>0.3164714817070282</x:v>
      </x:c>
      <x:c r="I681" s="170" t="n">
        <x:v>10776.56</x:v>
      </x:c>
      <x:c r="J681" s="170" t="n">
        <x:v>34052.231</x:v>
      </x:c>
      <x:c r="K681" s="170" t="n">
        <x:v>0.3164714817070282</x:v>
      </x:c>
      <x:c r="L681" s="177" t="n">
        <x:v>0.3164714817070282</x:v>
      </x:c>
      <x:c r="M681" s="177" t="n">
        <x:f>FCCL!D155</x:f>
        <x:v>0.3164714817070282</x:v>
      </x:c>
      <x:c r="N681" s="178" t="str">
        <x:f>IF(AND(ABS(F681-I681)&lt;0.000001,ABS(G681-J681)&lt;0.000001,IF(ISNUMBER(L681),IF(ISNUMBER(M681),ABS(L681-M681)&lt;0.00000001,FALSE),M681=L681)),"PASS","FAIL")</x:f>
        <x:v>PASS</x:v>
      </x:c>
      <x:c r="O681" s="99" t="str"/>
      <x:c r="P681" s="76" t="str">
        <x:v>Debt Management</x:v>
      </x:c>
    </x:row>
    <x:row r="682" ht="26" customHeight="1">
      <x:c r="A682" s="168" t="str">
        <x:v>FCCL</x:v>
      </x:c>
      <x:c r="B682" s="168" t="n">
        <x:v>2021</x:v>
      </x:c>
      <x:c r="C682" s="168" t="n">
        <x:v>17</x:v>
      </x:c>
      <x:c r="D682" s="168" t="str">
        <x:v>Debt-to-equity</x:v>
      </x:c>
      <x:c r="E682" s="168" t="str">
        <x:v>Mandatory</x:v>
      </x:c>
      <x:c r="F682" s="169" t="n">
        <x:f>FCCL!D62</x:f>
        <x:v>10776.56</x:v>
      </x:c>
      <x:c r="G682" s="169" t="n">
        <x:f>FCCL!D41</x:f>
        <x:v>23275.671000000002</x:v>
      </x:c>
      <x:c r="H682" s="169" t="n">
        <x:f>IF(G682&lt;=0,"n/m",F682/G682)</x:f>
        <x:v>0.4629967488370152</x:v>
      </x:c>
      <x:c r="I682" s="169" t="n">
        <x:v>10776.56</x:v>
      </x:c>
      <x:c r="J682" s="169" t="n">
        <x:v>23275.671000000002</x:v>
      </x:c>
      <x:c r="K682" s="169" t="n">
        <x:v>0.4629967488370152</x:v>
      </x:c>
      <x:c r="L682" s="175" t="n">
        <x:v>0.4629967488370152</x:v>
      </x:c>
      <x:c r="M682" s="175" t="n">
        <x:f>FCCL!D156</x:f>
        <x:v>0.4629967488370152</x:v>
      </x:c>
      <x:c r="N682" s="176" t="str">
        <x:f>IF(AND(ABS(F682-I682)&lt;0.000001,ABS(G682-J682)&lt;0.000001,IF(ISNUMBER(L682),IF(ISNUMBER(M682),ABS(L682-M682)&lt;0.00000001,FALSE),M682=L682)),"PASS","FAIL")</x:f>
        <x:v>PASS</x:v>
      </x:c>
      <x:c r="O682" s="171" t="str"/>
      <x:c r="P682" s="168" t="str">
        <x:v>Debt Management</x:v>
      </x:c>
    </x:row>
    <x:row r="683" ht="26" customHeight="1">
      <x:c r="A683" s="76" t="str">
        <x:v>FCCL</x:v>
      </x:c>
      <x:c r="B683" s="76" t="n">
        <x:v>2021</x:v>
      </x:c>
      <x:c r="C683" s="76" t="n">
        <x:v>18</x:v>
      </x:c>
      <x:c r="D683" s="76" t="str">
        <x:v>Total debt-to-capital</x:v>
      </x:c>
      <x:c r="E683" s="76" t="str">
        <x:v>Additional</x:v>
      </x:c>
      <x:c r="F683" s="170" t="n">
        <x:f>FCCL!D66</x:f>
        <x:v>2568.0890000000004</x:v>
      </x:c>
      <x:c r="G683" s="170" t="n">
        <x:f>FCCL!D66+FCCL!D41</x:f>
        <x:v>25843.760000000002</x:v>
      </x:c>
      <x:c r="H683" s="170" t="n">
        <x:f>IF(G683&lt;=0,"n/m",F683/G683)</x:f>
        <x:v>0.09936978984482135</x:v>
      </x:c>
      <x:c r="I683" s="170" t="n">
        <x:v>2568.089</x:v>
      </x:c>
      <x:c r="J683" s="170" t="n">
        <x:v>25843.760000000002</x:v>
      </x:c>
      <x:c r="K683" s="170" t="n">
        <x:v>0.09936978984482134</x:v>
      </x:c>
      <x:c r="L683" s="177" t="n">
        <x:v>0.09936978984482134</x:v>
      </x:c>
      <x:c r="M683" s="177" t="n">
        <x:f>FCCL!D157</x:f>
        <x:v>0.09936978984482135</x:v>
      </x:c>
      <x:c r="N683" s="178" t="str">
        <x:f>IF(AND(ABS(F683-I683)&lt;0.000001,ABS(G683-J683)&lt;0.000001,IF(ISNUMBER(L683),IF(ISNUMBER(M683),ABS(L683-M683)&lt;0.00000001,FALSE),M683=L683)),"PASS","FAIL")</x:f>
        <x:v>PASS</x:v>
      </x:c>
      <x:c r="O683" s="99" t="str"/>
      <x:c r="P683" s="76" t="str">
        <x:v>Debt Management</x:v>
      </x:c>
    </x:row>
    <x:row r="684" ht="26" customHeight="1">
      <x:c r="A684" s="168" t="str">
        <x:v>FCCL</x:v>
      </x:c>
      <x:c r="B684" s="168" t="n">
        <x:v>2021</x:v>
      </x:c>
      <x:c r="C684" s="168" t="n">
        <x:v>19</x:v>
      </x:c>
      <x:c r="D684" s="168" t="str">
        <x:v>Long-term debt ratio</x:v>
      </x:c>
      <x:c r="E684" s="168" t="str">
        <x:v>Additional</x:v>
      </x:c>
      <x:c r="F684" s="169" t="n">
        <x:f>FCCL!D67</x:f>
        <x:v>565.095</x:v>
      </x:c>
      <x:c r="G684" s="169" t="n">
        <x:f>FCCL!D37</x:f>
        <x:v>34052.231</x:v>
      </x:c>
      <x:c r="H684" s="169" t="n">
        <x:f>IF(G684&lt;=0,"n/m",F684/G684)</x:f>
        <x:v>0.01659494791985876</x:v>
      </x:c>
      <x:c r="I684" s="169" t="n">
        <x:v>565.095</x:v>
      </x:c>
      <x:c r="J684" s="169" t="n">
        <x:v>34052.231</x:v>
      </x:c>
      <x:c r="K684" s="169" t="n">
        <x:v>0.01659494791985876</x:v>
      </x:c>
      <x:c r="L684" s="175" t="n">
        <x:v>0.01659494791985876</x:v>
      </x:c>
      <x:c r="M684" s="175" t="n">
        <x:f>FCCL!D158</x:f>
        <x:v>0.01659494791985876</x:v>
      </x:c>
      <x:c r="N684" s="176" t="str">
        <x:f>IF(AND(ABS(F684-I684)&lt;0.000001,ABS(G684-J684)&lt;0.000001,IF(ISNUMBER(L684),IF(ISNUMBER(M684),ABS(L684-M684)&lt;0.00000001,FALSE),M684=L684)),"PASS","FAIL")</x:f>
        <x:v>PASS</x:v>
      </x:c>
      <x:c r="O684" s="171" t="str"/>
      <x:c r="P684" s="168" t="str">
        <x:v>Debt Management</x:v>
      </x:c>
    </x:row>
    <x:row r="685" ht="26" customHeight="1">
      <x:c r="A685" s="76" t="str">
        <x:v>FCCL</x:v>
      </x:c>
      <x:c r="B685" s="76" t="n">
        <x:v>2021</x:v>
      </x:c>
      <x:c r="C685" s="76" t="n">
        <x:v>20</x:v>
      </x:c>
      <x:c r="D685" s="76" t="str">
        <x:v>Times interest earned</x:v>
      </x:c>
      <x:c r="E685" s="76" t="str">
        <x:v>Mandatory</x:v>
      </x:c>
      <x:c r="F685" s="170" t="n">
        <x:f>FCCL!D108</x:f>
        <x:v>5217.314999999999</x:v>
      </x:c>
      <x:c r="G685" s="170" t="n">
        <x:f>FCCL!D106</x:f>
        <x:v>92.11200000000001</x:v>
      </x:c>
      <x:c r="H685" s="170" t="n">
        <x:f>IF(G685&lt;=0,"n/m",F685/G685)</x:f>
        <x:v>56.640991401771736</x:v>
      </x:c>
      <x:c r="I685" s="170" t="n">
        <x:v>5217.314999999999</x:v>
      </x:c>
      <x:c r="J685" s="170" t="n">
        <x:v>92.11200000000001</x:v>
      </x:c>
      <x:c r="K685" s="170" t="n">
        <x:v>56.640991401771736</x:v>
      </x:c>
      <x:c r="L685" s="177" t="n">
        <x:v>56.640991401771736</x:v>
      </x:c>
      <x:c r="M685" s="177" t="n">
        <x:f>FCCL!D159</x:f>
        <x:v>56.640991401771736</x:v>
      </x:c>
      <x:c r="N685" s="178" t="str">
        <x:f>IF(AND(ABS(F685-I685)&lt;0.000001,ABS(G685-J685)&lt;0.000001,IF(ISNUMBER(L685),IF(ISNUMBER(M685),ABS(L685-M685)&lt;0.00000001,FALSE),M685=L685)),"PASS","FAIL")</x:f>
        <x:v>PASS</x:v>
      </x:c>
      <x:c r="O685" s="99" t="str"/>
      <x:c r="P685" s="76" t="str">
        <x:v>Debt Management</x:v>
      </x:c>
    </x:row>
    <x:row r="686" ht="26" customHeight="1">
      <x:c r="A686" s="168" t="str">
        <x:v>FCCL</x:v>
      </x:c>
      <x:c r="B686" s="168" t="n">
        <x:v>2021</x:v>
      </x:c>
      <x:c r="C686" s="168" t="n">
        <x:v>21</x:v>
      </x:c>
      <x:c r="D686" s="168" t="str">
        <x:v>Gross profit margin</x:v>
      </x:c>
      <x:c r="E686" s="168" t="str">
        <x:v>Mandatory</x:v>
      </x:c>
      <x:c r="F686" s="169" t="n">
        <x:f>FCCL!D86</x:f>
        <x:v>6064.404999999999</x:v>
      </x:c>
      <x:c r="G686" s="169" t="n">
        <x:f>FCCL!D84</x:f>
        <x:v>24271.285</x:v>
      </x:c>
      <x:c r="H686" s="169" t="n">
        <x:f>IF(G686&lt;=0,"n/m",F686/G686)</x:f>
        <x:v>0.24985924725452316</x:v>
      </x:c>
      <x:c r="I686" s="169" t="n">
        <x:v>6064.404999999999</x:v>
      </x:c>
      <x:c r="J686" s="169" t="n">
        <x:v>24271.285</x:v>
      </x:c>
      <x:c r="K686" s="169" t="n">
        <x:v>0.24985924725452316</x:v>
      </x:c>
      <x:c r="L686" s="175" t="n">
        <x:v>0.24985924725452316</x:v>
      </x:c>
      <x:c r="M686" s="175" t="n">
        <x:f>FCCL!D161</x:f>
        <x:v>0.24985924725452316</x:v>
      </x:c>
      <x:c r="N686" s="176" t="str">
        <x:f>IF(AND(ABS(F686-I686)&lt;0.000001,ABS(G686-J686)&lt;0.000001,IF(ISNUMBER(L686),IF(ISNUMBER(M686),ABS(L686-M686)&lt;0.00000001,FALSE),M686=L686)),"PASS","FAIL")</x:f>
        <x:v>PASS</x:v>
      </x:c>
      <x:c r="O686" s="171" t="str"/>
      <x:c r="P686" s="168" t="str">
        <x:v>Profitability</x:v>
      </x:c>
    </x:row>
    <x:row r="687" ht="26" customHeight="1">
      <x:c r="A687" s="76" t="str">
        <x:v>FCCL</x:v>
      </x:c>
      <x:c r="B687" s="76" t="n">
        <x:v>2021</x:v>
      </x:c>
      <x:c r="C687" s="76" t="n">
        <x:v>22</x:v>
      </x:c>
      <x:c r="D687" s="76" t="str">
        <x:v>Operating margin</x:v>
      </x:c>
      <x:c r="E687" s="76" t="str">
        <x:v>Mandatory</x:v>
      </x:c>
      <x:c r="F687" s="170" t="n">
        <x:f>FCCL!D91</x:f>
        <x:v>4972.212999999999</x:v>
      </x:c>
      <x:c r="G687" s="170" t="n">
        <x:f>FCCL!D84</x:f>
        <x:v>24271.285</x:v>
      </x:c>
      <x:c r="H687" s="170" t="n">
        <x:f>IF(G687&lt;=0,"n/m",F687/G687)</x:f>
        <x:v>0.20485989925955708</x:v>
      </x:c>
      <x:c r="I687" s="170" t="n">
        <x:v>4972.212999999999</x:v>
      </x:c>
      <x:c r="J687" s="170" t="n">
        <x:v>24271.285</x:v>
      </x:c>
      <x:c r="K687" s="170" t="n">
        <x:v>0.20485989925955708</x:v>
      </x:c>
      <x:c r="L687" s="177" t="n">
        <x:v>0.20485989925955708</x:v>
      </x:c>
      <x:c r="M687" s="177" t="n">
        <x:f>FCCL!D162</x:f>
        <x:v>0.20485989925955708</x:v>
      </x:c>
      <x:c r="N687" s="178" t="str">
        <x:f>IF(AND(ABS(F687-I687)&lt;0.000001,ABS(G687-J687)&lt;0.000001,IF(ISNUMBER(L687),IF(ISNUMBER(M687),ABS(L687-M687)&lt;0.00000001,FALSE),M687=L687)),"PASS","FAIL")</x:f>
        <x:v>PASS</x:v>
      </x:c>
      <x:c r="O687" s="99" t="str"/>
      <x:c r="P687" s="76" t="str">
        <x:v>Profitability</x:v>
      </x:c>
    </x:row>
    <x:row r="688" ht="26" customHeight="1">
      <x:c r="A688" s="168" t="str">
        <x:v>FCCL</x:v>
      </x:c>
      <x:c r="B688" s="168" t="n">
        <x:v>2021</x:v>
      </x:c>
      <x:c r="C688" s="168" t="n">
        <x:v>23</x:v>
      </x:c>
      <x:c r="D688" s="168" t="str">
        <x:v>Net profit margin</x:v>
      </x:c>
      <x:c r="E688" s="168" t="str">
        <x:v>Mandatory</x:v>
      </x:c>
      <x:c r="F688" s="169" t="n">
        <x:f>FCCL!D99</x:f>
        <x:v>3471.350999999999</x:v>
      </x:c>
      <x:c r="G688" s="169" t="n">
        <x:f>FCCL!D84</x:f>
        <x:v>24271.285</x:v>
      </x:c>
      <x:c r="H688" s="169" t="n">
        <x:f>IF(G688&lt;=0,"n/m",F688/G688)</x:f>
        <x:v>0.14302295902338913</x:v>
      </x:c>
      <x:c r="I688" s="169" t="n">
        <x:v>3471.350999999999</x:v>
      </x:c>
      <x:c r="J688" s="169" t="n">
        <x:v>24271.285</x:v>
      </x:c>
      <x:c r="K688" s="169" t="n">
        <x:v>0.14302295902338913</x:v>
      </x:c>
      <x:c r="L688" s="175" t="n">
        <x:v>0.14302295902338913</x:v>
      </x:c>
      <x:c r="M688" s="175" t="n">
        <x:f>FCCL!D163</x:f>
        <x:v>0.14302295902338913</x:v>
      </x:c>
      <x:c r="N688" s="176" t="str">
        <x:f>IF(AND(ABS(F688-I688)&lt;0.000001,ABS(G688-J688)&lt;0.000001,IF(ISNUMBER(L688),IF(ISNUMBER(M688),ABS(L688-M688)&lt;0.00000001,FALSE),M688=L688)),"PASS","FAIL")</x:f>
        <x:v>PASS</x:v>
      </x:c>
      <x:c r="O688" s="171" t="str"/>
      <x:c r="P688" s="168" t="str">
        <x:v>Profitability</x:v>
      </x:c>
    </x:row>
    <x:row r="689" ht="26" customHeight="1">
      <x:c r="A689" s="76" t="str">
        <x:v>FCCL</x:v>
      </x:c>
      <x:c r="B689" s="76" t="n">
        <x:v>2021</x:v>
      </x:c>
      <x:c r="C689" s="76" t="n">
        <x:v>24</x:v>
      </x:c>
      <x:c r="D689" s="76" t="str">
        <x:v>Return on assets</x:v>
      </x:c>
      <x:c r="E689" s="76" t="str">
        <x:v>Mandatory</x:v>
      </x:c>
      <x:c r="F689" s="170" t="n">
        <x:f>FCCL!D99</x:f>
        <x:v>3471.350999999999</x:v>
      </x:c>
      <x:c r="G689" s="170" t="n">
        <x:f>AVERAGE(FCCL!C37,FCCL!D37)</x:f>
        <x:v>31630.0735</x:v>
      </x:c>
      <x:c r="H689" s="170" t="n">
        <x:f>IF(G689&lt;=0,"n/m",F689/G689)</x:f>
        <x:v>0.10974843292728989</x:v>
      </x:c>
      <x:c r="I689" s="170" t="n">
        <x:v>3471.350999999999</x:v>
      </x:c>
      <x:c r="J689" s="170" t="n">
        <x:v>31630.0735</x:v>
      </x:c>
      <x:c r="K689" s="170" t="n">
        <x:v>0.10974843292728989</x:v>
      </x:c>
      <x:c r="L689" s="177" t="n">
        <x:v>0.10974843292728989</x:v>
      </x:c>
      <x:c r="M689" s="177" t="n">
        <x:f>FCCL!D164</x:f>
        <x:v>0.10974843292728989</x:v>
      </x:c>
      <x:c r="N689" s="178" t="str">
        <x:f>IF(AND(ABS(F689-I689)&lt;0.000001,ABS(G689-J689)&lt;0.000001,IF(ISNUMBER(L689),IF(ISNUMBER(M689),ABS(L689-M689)&lt;0.00000001,FALSE),M689=L689)),"PASS","FAIL")</x:f>
        <x:v>PASS</x:v>
      </x:c>
      <x:c r="O689" s="99" t="str"/>
      <x:c r="P689" s="76" t="str">
        <x:v>Profitability</x:v>
      </x:c>
    </x:row>
    <x:row r="690" ht="26" customHeight="1">
      <x:c r="A690" s="168" t="str">
        <x:v>FCCL</x:v>
      </x:c>
      <x:c r="B690" s="168" t="n">
        <x:v>2021</x:v>
      </x:c>
      <x:c r="C690" s="168" t="n">
        <x:v>25</x:v>
      </x:c>
      <x:c r="D690" s="168" t="str">
        <x:v>Return on equity</x:v>
      </x:c>
      <x:c r="E690" s="168" t="str">
        <x:v>Mandatory</x:v>
      </x:c>
      <x:c r="F690" s="169" t="n">
        <x:f>FCCL!D99</x:f>
        <x:v>3471.350999999999</x:v>
      </x:c>
      <x:c r="G690" s="169" t="n">
        <x:f>AVERAGE(FCCL!C41,FCCL!D41)</x:f>
        <x:v>21539.9955</x:v>
      </x:c>
      <x:c r="H690" s="169" t="n">
        <x:f>IF(G690&lt;=0,"n/m",F690/G690)</x:f>
        <x:v>0.16115839021414832</x:v>
      </x:c>
      <x:c r="I690" s="169" t="n">
        <x:v>3471.350999999999</x:v>
      </x:c>
      <x:c r="J690" s="169" t="n">
        <x:v>21539.9955</x:v>
      </x:c>
      <x:c r="K690" s="169" t="n">
        <x:v>0.16115839021414832</x:v>
      </x:c>
      <x:c r="L690" s="175" t="n">
        <x:v>0.16115839021414832</x:v>
      </x:c>
      <x:c r="M690" s="175" t="n">
        <x:f>FCCL!D165</x:f>
        <x:v>0.16115839021414832</x:v>
      </x:c>
      <x:c r="N690" s="176" t="str">
        <x:f>IF(AND(ABS(F690-I690)&lt;0.000001,ABS(G690-J690)&lt;0.000001,IF(ISNUMBER(L690),IF(ISNUMBER(M690),ABS(L690-M690)&lt;0.00000001,FALSE),M690=L690)),"PASS","FAIL")</x:f>
        <x:v>PASS</x:v>
      </x:c>
      <x:c r="O690" s="171" t="str"/>
      <x:c r="P690" s="168" t="str">
        <x:v>Profitability</x:v>
      </x:c>
    </x:row>
    <x:row r="691" ht="26" customHeight="1">
      <x:c r="A691" s="76" t="str">
        <x:v>FCCL</x:v>
      </x:c>
      <x:c r="B691" s="76" t="n">
        <x:v>2021</x:v>
      </x:c>
      <x:c r="C691" s="76" t="n">
        <x:v>26</x:v>
      </x:c>
      <x:c r="D691" s="76" t="str">
        <x:v>Return on invested capital</x:v>
      </x:c>
      <x:c r="E691" s="76" t="str">
        <x:v>Additional</x:v>
      </x:c>
      <x:c r="F691" s="170" t="n">
        <x:f>FCCL!D113</x:f>
        <x:v>3545.854300252442</x:v>
      </x:c>
      <x:c r="G691" s="170" t="n">
        <x:f>AVERAGE(FCCL!C70,FCCL!D70)</x:f>
        <x:v>24174.9395</x:v>
      </x:c>
      <x:c r="H691" s="170" t="n">
        <x:f>IF(G691&lt;=0,"n/m",F691/G691)</x:f>
        <x:v>0.14667479520486254</x:v>
      </x:c>
      <x:c r="I691" s="170" t="n">
        <x:v>3545.854300252442</x:v>
      </x:c>
      <x:c r="J691" s="170" t="n">
        <x:v>24174.9395</x:v>
      </x:c>
      <x:c r="K691" s="170" t="n">
        <x:v>0.14667479520486254</x:v>
      </x:c>
      <x:c r="L691" s="177" t="n">
        <x:v>0.14667479520486254</x:v>
      </x:c>
      <x:c r="M691" s="177" t="n">
        <x:f>FCCL!D166</x:f>
        <x:v>0.14667479520486254</x:v>
      </x:c>
      <x:c r="N691" s="178" t="str">
        <x:f>IF(AND(ABS(F691-I691)&lt;0.000001,ABS(G691-J691)&lt;0.000001,IF(ISNUMBER(L691),IF(ISNUMBER(M691),ABS(L691-M691)&lt;0.00000001,FALSE),M691=L691)),"PASS","FAIL")</x:f>
        <x:v>PASS</x:v>
      </x:c>
      <x:c r="O691" s="99" t="str"/>
      <x:c r="P691" s="76" t="str">
        <x:v>Profitability</x:v>
      </x:c>
    </x:row>
    <x:row r="692" ht="26" customHeight="1">
      <x:c r="A692" s="168" t="str">
        <x:v>FCCL</x:v>
      </x:c>
      <x:c r="B692" s="168" t="n">
        <x:v>2021</x:v>
      </x:c>
      <x:c r="C692" s="168" t="n">
        <x:v>27</x:v>
      </x:c>
      <x:c r="D692" s="168" t="str">
        <x:v>Basic earning power</x:v>
      </x:c>
      <x:c r="E692" s="168" t="str">
        <x:v>Additional</x:v>
      </x:c>
      <x:c r="F692" s="169" t="n">
        <x:f>FCCL!D108</x:f>
        <x:v>5217.314999999999</x:v>
      </x:c>
      <x:c r="G692" s="169" t="n">
        <x:f>AVERAGE(FCCL!C37,FCCL!D37)</x:f>
        <x:v>31630.0735</x:v>
      </x:c>
      <x:c r="H692" s="169" t="n">
        <x:f>IF(G692&lt;=0,"n/m",F692/G692)</x:f>
        <x:v>0.16494792527118216</x:v>
      </x:c>
      <x:c r="I692" s="169" t="n">
        <x:v>5217.314999999999</x:v>
      </x:c>
      <x:c r="J692" s="169" t="n">
        <x:v>31630.0735</x:v>
      </x:c>
      <x:c r="K692" s="169" t="n">
        <x:v>0.16494792527118216</x:v>
      </x:c>
      <x:c r="L692" s="175" t="n">
        <x:v>0.16494792527118216</x:v>
      </x:c>
      <x:c r="M692" s="175" t="n">
        <x:f>FCCL!D167</x:f>
        <x:v>0.16494792527118216</x:v>
      </x:c>
      <x:c r="N692" s="176" t="str">
        <x:f>IF(AND(ABS(F692-I692)&lt;0.000001,ABS(G692-J692)&lt;0.000001,IF(ISNUMBER(L692),IF(ISNUMBER(M692),ABS(L692-M692)&lt;0.00000001,FALSE),M692=L692)),"PASS","FAIL")</x:f>
        <x:v>PASS</x:v>
      </x:c>
      <x:c r="O692" s="171" t="str"/>
      <x:c r="P692" s="168" t="str">
        <x:v>Profitability</x:v>
      </x:c>
    </x:row>
    <x:row r="693" ht="26" customHeight="1">
      <x:c r="A693" s="76" t="str">
        <x:v>FCCL</x:v>
      </x:c>
      <x:c r="B693" s="76" t="n">
        <x:v>2021</x:v>
      </x:c>
      <x:c r="C693" s="76" t="n">
        <x:v>28</x:v>
      </x:c>
      <x:c r="D693" s="76" t="str">
        <x:v>Book value per share (Rs)</x:v>
      </x:c>
      <x:c r="E693" s="76" t="str">
        <x:v>Additional</x:v>
      </x:c>
      <x:c r="F693" s="170" t="n">
        <x:f>FCCL!D41</x:f>
        <x:v>23275.671000000002</x:v>
      </x:c>
      <x:c r="G693" s="170" t="n">
        <x:f>FCCL!D128</x:f>
        <x:v>1379.815</x:v>
      </x:c>
      <x:c r="H693" s="170" t="n">
        <x:f>IF(G693&lt;=0,"n/m",F693/G693)</x:f>
        <x:v>16.868689643176804</x:v>
      </x:c>
      <x:c r="I693" s="170" t="n">
        <x:v>23275.671000000002</x:v>
      </x:c>
      <x:c r="J693" s="170" t="n">
        <x:v>1379.815</x:v>
      </x:c>
      <x:c r="K693" s="170" t="n">
        <x:v>16.868689643176804</x:v>
      </x:c>
      <x:c r="L693" s="177" t="n">
        <x:v>16.868689643176804</x:v>
      </x:c>
      <x:c r="M693" s="177" t="n">
        <x:f>FCCL!D169</x:f>
        <x:v>16.868689643176804</x:v>
      </x:c>
      <x:c r="N693" s="178" t="str">
        <x:f>IF(AND(ABS(F693-I693)&lt;0.000001,ABS(G693-J693)&lt;0.000001,IF(ISNUMBER(L693),IF(ISNUMBER(M693),ABS(L693-M693)&lt;0.00000001,FALSE),M693=L693)),"PASS","FAIL")</x:f>
        <x:v>PASS</x:v>
      </x:c>
      <x:c r="O693" s="99" t="str"/>
      <x:c r="P693" s="76" t="str">
        <x:v>Market Value</x:v>
      </x:c>
    </x:row>
    <x:row r="694" ht="26" customHeight="1">
      <x:c r="A694" s="168" t="str">
        <x:v>FCCL</x:v>
      </x:c>
      <x:c r="B694" s="168" t="n">
        <x:v>2021</x:v>
      </x:c>
      <x:c r="C694" s="168" t="n">
        <x:v>29</x:v>
      </x:c>
      <x:c r="D694" s="168" t="str">
        <x:v>Market-to-book ratio</x:v>
      </x:c>
      <x:c r="E694" s="168" t="str">
        <x:v>Mandatory</x:v>
      </x:c>
      <x:c r="F694" s="169" t="n">
        <x:f>FCCL!D130</x:f>
        <x:v>23</x:v>
      </x:c>
      <x:c r="G694" s="169" t="n">
        <x:f>FCCL!D41/FCCL!D128</x:f>
        <x:v>16.868689643176804</x:v>
      </x:c>
      <x:c r="H694" s="169" t="n">
        <x:f>IF(G694&lt;=0,"n/m",F694/G694)</x:f>
        <x:v>1.3634728296339984</x:v>
      </x:c>
      <x:c r="I694" s="169" t="n">
        <x:v>23</x:v>
      </x:c>
      <x:c r="J694" s="169" t="n">
        <x:v>16.868689643176804</x:v>
      </x:c>
      <x:c r="K694" s="169" t="n">
        <x:v>1.3634728296339984</x:v>
      </x:c>
      <x:c r="L694" s="175" t="n">
        <x:v>1.3634728296339984</x:v>
      </x:c>
      <x:c r="M694" s="175" t="n">
        <x:f>FCCL!D170</x:f>
        <x:v>1.3634728296339984</x:v>
      </x:c>
      <x:c r="N694" s="176" t="str">
        <x:f>IF(AND(ABS(F694-I694)&lt;0.000001,ABS(G694-J694)&lt;0.000001,IF(ISNUMBER(L694),IF(ISNUMBER(M694),ABS(L694-M694)&lt;0.00000001,FALSE),M694=L694)),"PASS","FAIL")</x:f>
        <x:v>PASS</x:v>
      </x:c>
      <x:c r="O694" s="171" t="str"/>
      <x:c r="P694" s="168" t="str">
        <x:v>Market Value</x:v>
      </x:c>
    </x:row>
    <x:row r="695" ht="26" customHeight="1">
      <x:c r="A695" s="76" t="str">
        <x:v>FCCL</x:v>
      </x:c>
      <x:c r="B695" s="76" t="n">
        <x:v>2021</x:v>
      </x:c>
      <x:c r="C695" s="76" t="n">
        <x:v>30</x:v>
      </x:c>
      <x:c r="D695" s="76" t="str">
        <x:v>Earnings per share (Rs)</x:v>
      </x:c>
      <x:c r="E695" s="76" t="str">
        <x:v>Mandatory</x:v>
      </x:c>
      <x:c r="F695" s="170" t="n">
        <x:f>FCCL!D99</x:f>
        <x:v>3471.350999999999</x:v>
      </x:c>
      <x:c r="G695" s="170" t="n">
        <x:f>FCCL!D129</x:f>
        <x:v>1379.815</x:v>
      </x:c>
      <x:c r="H695" s="170" t="n">
        <x:f>IF(G695&lt;=0,"n/m",F695/G695)</x:f>
        <x:v>2.5158090033808875</x:v>
      </x:c>
      <x:c r="I695" s="170" t="n">
        <x:v>3471.350999999999</x:v>
      </x:c>
      <x:c r="J695" s="170" t="n">
        <x:v>1379.815</x:v>
      </x:c>
      <x:c r="K695" s="170" t="n">
        <x:v>2.5158090033808875</x:v>
      </x:c>
      <x:c r="L695" s="177" t="n">
        <x:v>2.5158090033808875</x:v>
      </x:c>
      <x:c r="M695" s="177" t="n">
        <x:f>FCCL!D171</x:f>
        <x:v>2.5158090033808875</x:v>
      </x:c>
      <x:c r="N695" s="178" t="str">
        <x:f>IF(AND(ABS(F695-I695)&lt;0.000001,ABS(G695-J695)&lt;0.000001,IF(ISNUMBER(L695),IF(ISNUMBER(M695),ABS(L695-M695)&lt;0.00000001,FALSE),M695=L695)),"PASS","FAIL")</x:f>
        <x:v>PASS</x:v>
      </x:c>
      <x:c r="O695" s="99" t="str"/>
      <x:c r="P695" s="76" t="str">
        <x:v>Market Value</x:v>
      </x:c>
    </x:row>
    <x:row r="696" ht="26" customHeight="1">
      <x:c r="A696" s="168" t="str">
        <x:v>FCCL</x:v>
      </x:c>
      <x:c r="B696" s="168" t="n">
        <x:v>2021</x:v>
      </x:c>
      <x:c r="C696" s="168" t="n">
        <x:v>31</x:v>
      </x:c>
      <x:c r="D696" s="168" t="str">
        <x:v>Price-to-earnings ratio</x:v>
      </x:c>
      <x:c r="E696" s="168" t="str">
        <x:v>Mandatory</x:v>
      </x:c>
      <x:c r="F696" s="169" t="n">
        <x:f>FCCL!D130</x:f>
        <x:v>23</x:v>
      </x:c>
      <x:c r="G696" s="169" t="n">
        <x:f>FCCL!D99/FCCL!D129</x:f>
        <x:v>2.5158090033808875</x:v>
      </x:c>
      <x:c r="H696" s="169" t="n">
        <x:f>IF(G696&lt;=0,"n/m",F696/G696)</x:f>
        <x:v>9.14218844478706</x:v>
      </x:c>
      <x:c r="I696" s="169" t="n">
        <x:v>23</x:v>
      </x:c>
      <x:c r="J696" s="169" t="n">
        <x:v>2.5158090033808875</x:v>
      </x:c>
      <x:c r="K696" s="169" t="n">
        <x:v>9.14218844478706</x:v>
      </x:c>
      <x:c r="L696" s="175" t="n">
        <x:v>9.14218844478706</x:v>
      </x:c>
      <x:c r="M696" s="175" t="n">
        <x:f>FCCL!D172</x:f>
        <x:v>9.14218844478706</x:v>
      </x:c>
      <x:c r="N696" s="176" t="str">
        <x:f>IF(AND(ABS(F696-I696)&lt;0.000001,ABS(G696-J696)&lt;0.000001,IF(ISNUMBER(L696),IF(ISNUMBER(M696),ABS(L696-M696)&lt;0.00000001,FALSE),M696=L696)),"PASS","FAIL")</x:f>
        <x:v>PASS</x:v>
      </x:c>
      <x:c r="O696" s="171" t="str"/>
      <x:c r="P696" s="168" t="str">
        <x:v>Market Value</x:v>
      </x:c>
    </x:row>
    <x:row r="697" ht="26" customHeight="1">
      <x:c r="A697" s="76" t="str">
        <x:v>FCCL</x:v>
      </x:c>
      <x:c r="B697" s="76" t="n">
        <x:v>2021</x:v>
      </x:c>
      <x:c r="C697" s="76" t="n">
        <x:v>32</x:v>
      </x:c>
      <x:c r="D697" s="76" t="str">
        <x:v>Dividend yield</x:v>
      </x:c>
      <x:c r="E697" s="76" t="str">
        <x:v>Mandatory</x:v>
      </x:c>
      <x:c r="F697" s="170" t="n">
        <x:f>FCCL!D131</x:f>
        <x:v>0</x:v>
      </x:c>
      <x:c r="G697" s="170" t="n">
        <x:f>FCCL!D130</x:f>
        <x:v>23</x:v>
      </x:c>
      <x:c r="H697" s="170" t="n">
        <x:f>IF(G697&lt;=0,"n/m",F697/G697)</x:f>
        <x:v>0</x:v>
      </x:c>
      <x:c r="I697" s="170" t="n">
        <x:v>0</x:v>
      </x:c>
      <x:c r="J697" s="170" t="n">
        <x:v>23</x:v>
      </x:c>
      <x:c r="K697" s="170" t="n">
        <x:v>0</x:v>
      </x:c>
      <x:c r="L697" s="177" t="n">
        <x:v>0</x:v>
      </x:c>
      <x:c r="M697" s="177" t="n">
        <x:f>FCCL!D173</x:f>
        <x:v>0</x:v>
      </x:c>
      <x:c r="N697" s="178" t="str">
        <x:f>IF(AND(ABS(F697-I697)&lt;0.000001,ABS(G697-J697)&lt;0.000001,IF(ISNUMBER(L697),IF(ISNUMBER(M697),ABS(L697-M697)&lt;0.00000001,FALSE),M697=L697)),"PASS","FAIL")</x:f>
        <x:v>PASS</x:v>
      </x:c>
      <x:c r="O697" s="99" t="str"/>
      <x:c r="P697" s="76" t="str">
        <x:v>Market Value</x:v>
      </x:c>
    </x:row>
    <x:row r="698" ht="26" customHeight="1">
      <x:c r="A698" s="168" t="str">
        <x:v>FCCL</x:v>
      </x:c>
      <x:c r="B698" s="168" t="n">
        <x:v>2021</x:v>
      </x:c>
      <x:c r="C698" s="168" t="n">
        <x:v>33</x:v>
      </x:c>
      <x:c r="D698" s="168" t="str">
        <x:v>Dividend payout ratio</x:v>
      </x:c>
      <x:c r="E698" s="168" t="str">
        <x:v>Additional</x:v>
      </x:c>
      <x:c r="F698" s="169" t="n">
        <x:f>FCCL!D131</x:f>
        <x:v>0</x:v>
      </x:c>
      <x:c r="G698" s="169" t="n">
        <x:f>FCCL!D99/FCCL!D129</x:f>
        <x:v>2.5158090033808875</x:v>
      </x:c>
      <x:c r="H698" s="169" t="n">
        <x:f>IF(G698&lt;=0,"n/m",F698/G698)</x:f>
        <x:v>0</x:v>
      </x:c>
      <x:c r="I698" s="169" t="n">
        <x:v>0</x:v>
      </x:c>
      <x:c r="J698" s="169" t="n">
        <x:v>2.5158090033808875</x:v>
      </x:c>
      <x:c r="K698" s="169" t="n">
        <x:v>0</x:v>
      </x:c>
      <x:c r="L698" s="175" t="n">
        <x:v>0</x:v>
      </x:c>
      <x:c r="M698" s="175" t="n">
        <x:f>FCCL!D174</x:f>
        <x:v>0</x:v>
      </x:c>
      <x:c r="N698" s="176" t="str">
        <x:f>IF(AND(ABS(F698-I698)&lt;0.000001,ABS(G698-J698)&lt;0.000001,IF(ISNUMBER(L698),IF(ISNUMBER(M698),ABS(L698-M698)&lt;0.00000001,FALSE),M698=L698)),"PASS","FAIL")</x:f>
        <x:v>PASS</x:v>
      </x:c>
      <x:c r="O698" s="171" t="str"/>
      <x:c r="P698" s="168" t="str">
        <x:v>Market Value</x:v>
      </x:c>
    </x:row>
    <x:row r="699" ht="26" customHeight="1">
      <x:c r="A699" s="76" t="str">
        <x:v>FCCL</x:v>
      </x:c>
      <x:c r="B699" s="76" t="n">
        <x:v>2022</x:v>
      </x:c>
      <x:c r="C699" s="76" t="n">
        <x:v>1</x:v>
      </x:c>
      <x:c r="D699" s="76" t="str">
        <x:v>Current ratio</x:v>
      </x:c>
      <x:c r="E699" s="76" t="str">
        <x:v>Mandatory</x:v>
      </x:c>
      <x:c r="F699" s="170" t="n">
        <x:f>FCCL!E36</x:f>
        <x:v>28216.812</x:v>
      </x:c>
      <x:c r="G699" s="170" t="n">
        <x:f>FCCL!E61</x:f>
        <x:v>26721.253</x:v>
      </x:c>
      <x:c r="H699" s="170" t="n">
        <x:f>IF(G699&lt;=0,"n/m",F699/G699)</x:f>
        <x:v>1.0559688948718087</x:v>
      </x:c>
      <x:c r="I699" s="170" t="n">
        <x:v>28216.812</x:v>
      </x:c>
      <x:c r="J699" s="170" t="n">
        <x:v>26721.253</x:v>
      </x:c>
      <x:c r="K699" s="170" t="n">
        <x:v>1.0559688948718087</x:v>
      </x:c>
      <x:c r="L699" s="177" t="n">
        <x:v>1.0559688948718087</x:v>
      </x:c>
      <x:c r="M699" s="177" t="n">
        <x:f>FCCL!E138</x:f>
        <x:v>1.0559688948718087</x:v>
      </x:c>
      <x:c r="N699" s="178" t="str">
        <x:f>IF(AND(ABS(F699-I699)&lt;0.000001,ABS(G699-J699)&lt;0.000001,IF(ISNUMBER(L699),IF(ISNUMBER(M699),ABS(L699-M699)&lt;0.00000001,FALSE),M699=L699)),"PASS","FAIL")</x:f>
        <x:v>PASS</x:v>
      </x:c>
      <x:c r="O699" s="99" t="str"/>
      <x:c r="P699" s="76" t="str">
        <x:v>Liquidity</x:v>
      </x:c>
    </x:row>
    <x:row r="700" ht="26" customHeight="1">
      <x:c r="A700" s="168" t="str">
        <x:v>FCCL</x:v>
      </x:c>
      <x:c r="B700" s="168" t="n">
        <x:v>2022</x:v>
      </x:c>
      <x:c r="C700" s="168" t="n">
        <x:v>2</x:v>
      </x:c>
      <x:c r="D700" s="168" t="str">
        <x:v>Quick ratio</x:v>
      </x:c>
      <x:c r="E700" s="168" t="str">
        <x:v>Mandatory</x:v>
      </x:c>
      <x:c r="F700" s="169" t="n">
        <x:f>FCCL!E36-FCCL!E65</x:f>
        <x:v>12579.944000000001</x:v>
      </x:c>
      <x:c r="G700" s="169" t="n">
        <x:f>FCCL!E61</x:f>
        <x:v>26721.253</x:v>
      </x:c>
      <x:c r="H700" s="169" t="n">
        <x:f>IF(G700&lt;=0,"n/m",F700/G700)</x:f>
        <x:v>0.4707842106056928</x:v>
      </x:c>
      <x:c r="I700" s="169" t="n">
        <x:v>12579.944000000001</x:v>
      </x:c>
      <x:c r="J700" s="169" t="n">
        <x:v>26721.253</x:v>
      </x:c>
      <x:c r="K700" s="169" t="n">
        <x:v>0.4707842106056928</x:v>
      </x:c>
      <x:c r="L700" s="175" t="n">
        <x:v>0.4707842106056928</x:v>
      </x:c>
      <x:c r="M700" s="175" t="n">
        <x:f>FCCL!E139</x:f>
        <x:v>0.4707842106056928</x:v>
      </x:c>
      <x:c r="N700" s="176" t="str">
        <x:f>IF(AND(ABS(F700-I700)&lt;0.000001,ABS(G700-J700)&lt;0.000001,IF(ISNUMBER(L700),IF(ISNUMBER(M700),ABS(L700-M700)&lt;0.00000001,FALSE),M700=L700)),"PASS","FAIL")</x:f>
        <x:v>PASS</x:v>
      </x:c>
      <x:c r="O700" s="171" t="str"/>
      <x:c r="P700" s="168" t="str">
        <x:v>Liquidity</x:v>
      </x:c>
    </x:row>
    <x:row r="701" ht="26" customHeight="1">
      <x:c r="A701" s="76" t="str">
        <x:v>FCCL</x:v>
      </x:c>
      <x:c r="B701" s="76" t="n">
        <x:v>2022</x:v>
      </x:c>
      <x:c r="C701" s="76" t="n">
        <x:v>3</x:v>
      </x:c>
      <x:c r="D701" s="76" t="str">
        <x:v>Cash ratio</x:v>
      </x:c>
      <x:c r="E701" s="76" t="str">
        <x:v>Mandatory</x:v>
      </x:c>
      <x:c r="F701" s="170" t="n">
        <x:f>FCCL!E34</x:f>
        <x:v>2306.633</x:v>
      </x:c>
      <x:c r="G701" s="170" t="n">
        <x:f>FCCL!E61</x:f>
        <x:v>26721.253</x:v>
      </x:c>
      <x:c r="H701" s="170" t="n">
        <x:f>IF(G701&lt;=0,"n/m",F701/G701)</x:f>
        <x:v>0.08632203736853207</x:v>
      </x:c>
      <x:c r="I701" s="170" t="n">
        <x:v>2306.633</x:v>
      </x:c>
      <x:c r="J701" s="170" t="n">
        <x:v>26721.253</x:v>
      </x:c>
      <x:c r="K701" s="170" t="n">
        <x:v>0.08632203736853207</x:v>
      </x:c>
      <x:c r="L701" s="177" t="n">
        <x:v>0.08632203736853207</x:v>
      </x:c>
      <x:c r="M701" s="177" t="n">
        <x:f>FCCL!E140</x:f>
        <x:v>0.08632203736853207</x:v>
      </x:c>
      <x:c r="N701" s="178" t="str">
        <x:f>IF(AND(ABS(F701-I701)&lt;0.000001,ABS(G701-J701)&lt;0.000001,IF(ISNUMBER(L701),IF(ISNUMBER(M701),ABS(L701-M701)&lt;0.00000001,FALSE),M701=L701)),"PASS","FAIL")</x:f>
        <x:v>PASS</x:v>
      </x:c>
      <x:c r="O701" s="99" t="str"/>
      <x:c r="P701" s="76" t="str">
        <x:v>Liquidity</x:v>
      </x:c>
    </x:row>
    <x:row r="702" ht="26" customHeight="1">
      <x:c r="A702" s="168" t="str">
        <x:v>FCCL</x:v>
      </x:c>
      <x:c r="B702" s="168" t="n">
        <x:v>2022</x:v>
      </x:c>
      <x:c r="C702" s="168" t="n">
        <x:v>4</x:v>
      </x:c>
      <x:c r="D702" s="168" t="str">
        <x:v>Net working capital (PKR m)</x:v>
      </x:c>
      <x:c r="E702" s="168" t="str">
        <x:v>Additional</x:v>
      </x:c>
      <x:c r="F702" s="169" t="n">
        <x:f>FCCL!E36-FCCL!E61</x:f>
        <x:v>1495.559000000001</x:v>
      </x:c>
      <x:c r="G702" s="169" t="n">
        <x:f>1</x:f>
        <x:v>1</x:v>
      </x:c>
      <x:c r="H702" s="169" t="n">
        <x:f>IF(G702&lt;=0,"n/m",F702/G702)</x:f>
        <x:v>1495.559000000001</x:v>
      </x:c>
      <x:c r="I702" s="169" t="n">
        <x:v>1495.559000000001</x:v>
      </x:c>
      <x:c r="J702" s="169" t="n">
        <x:v>1</x:v>
      </x:c>
      <x:c r="K702" s="169" t="n">
        <x:v>1495.559000000001</x:v>
      </x:c>
      <x:c r="L702" s="175" t="n">
        <x:v>1495.559000000001</x:v>
      </x:c>
      <x:c r="M702" s="175" t="n">
        <x:f>FCCL!E141</x:f>
        <x:v>1495.559000000001</x:v>
      </x:c>
      <x:c r="N702" s="176" t="str">
        <x:f>IF(AND(ABS(F702-I702)&lt;0.000001,ABS(G702-J702)&lt;0.000001,IF(ISNUMBER(L702),IF(ISNUMBER(M702),ABS(L702-M702)&lt;0.00000001,FALSE),M702=L702)),"PASS","FAIL")</x:f>
        <x:v>PASS</x:v>
      </x:c>
      <x:c r="O702" s="171" t="str"/>
      <x:c r="P702" s="168" t="str">
        <x:v>Liquidity</x:v>
      </x:c>
    </x:row>
    <x:row r="703" ht="26" customHeight="1">
      <x:c r="A703" s="76" t="str">
        <x:v>FCCL</x:v>
      </x:c>
      <x:c r="B703" s="76" t="n">
        <x:v>2022</x:v>
      </x:c>
      <x:c r="C703" s="76" t="n">
        <x:v>5</x:v>
      </x:c>
      <x:c r="D703" s="76" t="str">
        <x:v>Net operating working capital (PKR m)</x:v>
      </x:c>
      <x:c r="E703" s="76" t="str">
        <x:v>Additional</x:v>
      </x:c>
      <x:c r="F703" s="170" t="n">
        <x:f>FCCL!E72-FCCL!E73</x:f>
        <x:v>9408.205</x:v>
      </x:c>
      <x:c r="G703" s="170" t="n">
        <x:f>1</x:f>
        <x:v>1</x:v>
      </x:c>
      <x:c r="H703" s="170" t="n">
        <x:f>IF(G703&lt;=0,"n/m",F703/G703)</x:f>
        <x:v>9408.205</x:v>
      </x:c>
      <x:c r="I703" s="170" t="n">
        <x:v>9408.205000000002</x:v>
      </x:c>
      <x:c r="J703" s="170" t="n">
        <x:v>1</x:v>
      </x:c>
      <x:c r="K703" s="170" t="n">
        <x:v>9408.205000000002</x:v>
      </x:c>
      <x:c r="L703" s="177" t="n">
        <x:v>9408.205000000002</x:v>
      </x:c>
      <x:c r="M703" s="177" t="n">
        <x:f>FCCL!E142</x:f>
        <x:v>9408.205</x:v>
      </x:c>
      <x:c r="N703" s="178" t="str">
        <x:f>IF(AND(ABS(F703-I703)&lt;0.000001,ABS(G703-J703)&lt;0.000001,IF(ISNUMBER(L703),IF(ISNUMBER(M703),ABS(L703-M703)&lt;0.00000001,FALSE),M703=L703)),"PASS","FAIL")</x:f>
        <x:v>PASS</x:v>
      </x:c>
      <x:c r="O703" s="99" t="str"/>
      <x:c r="P703" s="76" t="str">
        <x:v>Liquidity</x:v>
      </x:c>
    </x:row>
    <x:row r="704" ht="26" customHeight="1">
      <x:c r="A704" s="168" t="str">
        <x:v>FCCL</x:v>
      </x:c>
      <x:c r="B704" s="168" t="n">
        <x:v>2022</x:v>
      </x:c>
      <x:c r="C704" s="168" t="n">
        <x:v>6</x:v>
      </x:c>
      <x:c r="D704" s="168" t="str">
        <x:v>Inventory turnover</x:v>
      </x:c>
      <x:c r="E704" s="168" t="str">
        <x:v>Mandatory</x:v>
      </x:c>
      <x:c r="F704" s="169" t="n">
        <x:f>-FCCL!E85</x:f>
        <x:v>38779.542</x:v>
      </x:c>
      <x:c r="G704" s="169" t="n">
        <x:f>AVERAGE(FCCL!D65,FCCL!E65)</x:f>
        <x:v>10538.41</x:v>
      </x:c>
      <x:c r="H704" s="169" t="n">
        <x:f>IF(G704&lt;=0,"n/m",F704/G704)</x:f>
        <x:v>3.679828550986344</x:v>
      </x:c>
      <x:c r="I704" s="169" t="n">
        <x:v>38779.542</x:v>
      </x:c>
      <x:c r="J704" s="169" t="n">
        <x:v>10538.41</x:v>
      </x:c>
      <x:c r="K704" s="169" t="n">
        <x:v>3.679828550986344</x:v>
      </x:c>
      <x:c r="L704" s="175" t="n">
        <x:v>3.679828550986344</x:v>
      </x:c>
      <x:c r="M704" s="175" t="n">
        <x:f>FCCL!E144</x:f>
        <x:v>3.679828550986344</x:v>
      </x:c>
      <x:c r="N704" s="176" t="str">
        <x:f>IF(AND(ABS(F704-I704)&lt;0.000001,ABS(G704-J704)&lt;0.000001,IF(ISNUMBER(L704),IF(ISNUMBER(M704),ABS(L704-M704)&lt;0.00000001,FALSE),M704=L704)),"PASS","FAIL")</x:f>
        <x:v>PASS</x:v>
      </x:c>
      <x:c r="O704" s="171" t="str"/>
      <x:c r="P704" s="168" t="str">
        <x:v>Asset Management</x:v>
      </x:c>
    </x:row>
    <x:row r="705" ht="26" customHeight="1">
      <x:c r="A705" s="76" t="str">
        <x:v>FCCL</x:v>
      </x:c>
      <x:c r="B705" s="76" t="n">
        <x:v>2022</x:v>
      </x:c>
      <x:c r="C705" s="76" t="n">
        <x:v>7</x:v>
      </x:c>
      <x:c r="D705" s="76" t="str">
        <x:v>Receivables turnover</x:v>
      </x:c>
      <x:c r="E705" s="76" t="str">
        <x:v>Additional</x:v>
      </x:c>
      <x:c r="F705" s="170" t="n">
        <x:f>FCCL!E84</x:f>
        <x:v>54243.118</x:v>
      </x:c>
      <x:c r="G705" s="170" t="n">
        <x:f>AVERAGE(FCCL!D32,FCCL!E32)</x:f>
        <x:v>1931.1789999999999</x:v>
      </x:c>
      <x:c r="H705" s="170" t="n">
        <x:f>IF(G705&lt;=0,"n/m",F705/G705)</x:f>
        <x:v>28.088084014998095</x:v>
      </x:c>
      <x:c r="I705" s="170" t="n">
        <x:v>54243.118</x:v>
      </x:c>
      <x:c r="J705" s="170" t="n">
        <x:v>1931.1789999999999</x:v>
      </x:c>
      <x:c r="K705" s="170" t="n">
        <x:v>28.088084014998095</x:v>
      </x:c>
      <x:c r="L705" s="177" t="n">
        <x:v>28.088084014998095</x:v>
      </x:c>
      <x:c r="M705" s="177" t="n">
        <x:f>FCCL!E145</x:f>
        <x:v>28.088084014998095</x:v>
      </x:c>
      <x:c r="N705" s="178" t="str">
        <x:f>IF(AND(ABS(F705-I705)&lt;0.000001,ABS(G705-J705)&lt;0.000001,IF(ISNUMBER(L705),IF(ISNUMBER(M705),ABS(L705-M705)&lt;0.00000001,FALSE),M705=L705)),"PASS","FAIL")</x:f>
        <x:v>PASS</x:v>
      </x:c>
      <x:c r="O705" s="99" t="str"/>
      <x:c r="P705" s="76" t="str">
        <x:v>Asset Management</x:v>
      </x:c>
    </x:row>
    <x:row r="706" ht="26" customHeight="1">
      <x:c r="A706" s="168" t="str">
        <x:v>FCCL</x:v>
      </x:c>
      <x:c r="B706" s="168" t="n">
        <x:v>2022</x:v>
      </x:c>
      <x:c r="C706" s="168" t="n">
        <x:v>8</x:v>
      </x:c>
      <x:c r="D706" s="168" t="str">
        <x:v>Payables turnover</x:v>
      </x:c>
      <x:c r="E706" s="168" t="str">
        <x:v>Additional</x:v>
      </x:c>
      <x:c r="F706" s="169" t="n">
        <x:f>-FCCL!E85</x:f>
        <x:v>38779.542</x:v>
      </x:c>
      <x:c r="G706" s="169" t="n">
        <x:f>AVERAGE(FCCL!D51,FCCL!E51)</x:f>
        <x:v>1773.124</x:v>
      </x:c>
      <x:c r="H706" s="169" t="n">
        <x:f>IF(G706&lt;=0,"n/m",F706/G706)</x:f>
        <x:v>21.870744516457957</x:v>
      </x:c>
      <x:c r="I706" s="169" t="n">
        <x:v>38779.542</x:v>
      </x:c>
      <x:c r="J706" s="169" t="n">
        <x:v>1773.124</x:v>
      </x:c>
      <x:c r="K706" s="169" t="n">
        <x:v>21.870744516457957</x:v>
      </x:c>
      <x:c r="L706" s="175" t="n">
        <x:v>21.870744516457957</x:v>
      </x:c>
      <x:c r="M706" s="175" t="n">
        <x:f>FCCL!E146</x:f>
        <x:v>21.870744516457957</x:v>
      </x:c>
      <x:c r="N706" s="176" t="str">
        <x:f>IF(AND(ABS(F706-I706)&lt;0.000001,ABS(G706-J706)&lt;0.000001,IF(ISNUMBER(L706),IF(ISNUMBER(M706),ABS(L706-M706)&lt;0.00000001,FALSE),M706=L706)),"PASS","FAIL")</x:f>
        <x:v>PASS</x:v>
      </x:c>
      <x:c r="O706" s="171" t="str"/>
      <x:c r="P706" s="168" t="str">
        <x:v>Asset Management</x:v>
      </x:c>
    </x:row>
    <x:row r="707" ht="26" customHeight="1">
      <x:c r="A707" s="76" t="str">
        <x:v>FCCL</x:v>
      </x:c>
      <x:c r="B707" s="76" t="n">
        <x:v>2022</x:v>
      </x:c>
      <x:c r="C707" s="76" t="n">
        <x:v>9</x:v>
      </x:c>
      <x:c r="D707" s="76" t="str">
        <x:v>Days inventory outstanding</x:v>
      </x:c>
      <x:c r="E707" s="76" t="str">
        <x:v>Additional</x:v>
      </x:c>
      <x:c r="F707" s="170" t="n">
        <x:f>365*AVERAGE(FCCL!D65,FCCL!E65)</x:f>
        <x:v>3846519.65</x:v>
      </x:c>
      <x:c r="G707" s="170" t="n">
        <x:f>-FCCL!E85</x:f>
        <x:v>38779.542</x:v>
      </x:c>
      <x:c r="H707" s="170" t="n">
        <x:f>IF(G707&lt;=0,"n/m",F707/G707)</x:f>
        <x:v>99.189403784088</x:v>
      </x:c>
      <x:c r="I707" s="170" t="n">
        <x:v>3846519.65</x:v>
      </x:c>
      <x:c r="J707" s="170" t="n">
        <x:v>38779.542</x:v>
      </x:c>
      <x:c r="K707" s="170" t="n">
        <x:v>99.189403784088</x:v>
      </x:c>
      <x:c r="L707" s="177" t="n">
        <x:v>99.189403784088</x:v>
      </x:c>
      <x:c r="M707" s="177" t="n">
        <x:f>FCCL!E147</x:f>
        <x:v>99.189403784088</x:v>
      </x:c>
      <x:c r="N707" s="178" t="str">
        <x:f>IF(AND(ABS(F707-I707)&lt;0.000001,ABS(G707-J707)&lt;0.000001,IF(ISNUMBER(L707),IF(ISNUMBER(M707),ABS(L707-M707)&lt;0.00000001,FALSE),M707=L707)),"PASS","FAIL")</x:f>
        <x:v>PASS</x:v>
      </x:c>
      <x:c r="O707" s="99" t="str"/>
      <x:c r="P707" s="76" t="str">
        <x:v>Asset Management</x:v>
      </x:c>
    </x:row>
    <x:row r="708" ht="26" customHeight="1">
      <x:c r="A708" s="168" t="str">
        <x:v>FCCL</x:v>
      </x:c>
      <x:c r="B708" s="168" t="n">
        <x:v>2022</x:v>
      </x:c>
      <x:c r="C708" s="168" t="n">
        <x:v>10</x:v>
      </x:c>
      <x:c r="D708" s="168" t="str">
        <x:v>Days sales outstanding</x:v>
      </x:c>
      <x:c r="E708" s="168" t="str">
        <x:v>Mandatory</x:v>
      </x:c>
      <x:c r="F708" s="169" t="n">
        <x:f>365*AVERAGE(FCCL!D32,FCCL!E32)</x:f>
        <x:v>704880.335</x:v>
      </x:c>
      <x:c r="G708" s="169" t="n">
        <x:f>FCCL!E84</x:f>
        <x:v>54243.118</x:v>
      </x:c>
      <x:c r="H708" s="169" t="n">
        <x:f>IF(G708&lt;=0,"n/m",F708/G708)</x:f>
        <x:v>12.994834386179642</x:v>
      </x:c>
      <x:c r="I708" s="169" t="n">
        <x:v>704880.335</x:v>
      </x:c>
      <x:c r="J708" s="169" t="n">
        <x:v>54243.118</x:v>
      </x:c>
      <x:c r="K708" s="169" t="n">
        <x:v>12.994834386179642</x:v>
      </x:c>
      <x:c r="L708" s="175" t="n">
        <x:v>12.994834386179642</x:v>
      </x:c>
      <x:c r="M708" s="175" t="n">
        <x:f>FCCL!E148</x:f>
        <x:v>12.994834386179642</x:v>
      </x:c>
      <x:c r="N708" s="176" t="str">
        <x:f>IF(AND(ABS(F708-I708)&lt;0.000001,ABS(G708-J708)&lt;0.000001,IF(ISNUMBER(L708),IF(ISNUMBER(M708),ABS(L708-M708)&lt;0.00000001,FALSE),M708=L708)),"PASS","FAIL")</x:f>
        <x:v>PASS</x:v>
      </x:c>
      <x:c r="O708" s="171" t="str"/>
      <x:c r="P708" s="168" t="str">
        <x:v>Asset Management</x:v>
      </x:c>
    </x:row>
    <x:row r="709" ht="26" customHeight="1">
      <x:c r="A709" s="76" t="str">
        <x:v>FCCL</x:v>
      </x:c>
      <x:c r="B709" s="76" t="n">
        <x:v>2022</x:v>
      </x:c>
      <x:c r="C709" s="76" t="n">
        <x:v>11</x:v>
      </x:c>
      <x:c r="D709" s="76" t="str">
        <x:v>Days payables outstanding</x:v>
      </x:c>
      <x:c r="E709" s="76" t="str">
        <x:v>Additional</x:v>
      </x:c>
      <x:c r="F709" s="170" t="n">
        <x:f>365*AVERAGE(FCCL!D51,FCCL!E51)</x:f>
        <x:v>647190.26</x:v>
      </x:c>
      <x:c r="G709" s="170" t="n">
        <x:f>-FCCL!E85</x:f>
        <x:v>38779.542</x:v>
      </x:c>
      <x:c r="H709" s="170" t="n">
        <x:f>IF(G709&lt;=0,"n/m",F709/G709)</x:f>
        <x:v>16.688960895928066</x:v>
      </x:c>
      <x:c r="I709" s="170" t="n">
        <x:v>647190.26</x:v>
      </x:c>
      <x:c r="J709" s="170" t="n">
        <x:v>38779.542</x:v>
      </x:c>
      <x:c r="K709" s="170" t="n">
        <x:v>16.688960895928066</x:v>
      </x:c>
      <x:c r="L709" s="177" t="n">
        <x:v>16.688960895928066</x:v>
      </x:c>
      <x:c r="M709" s="177" t="n">
        <x:f>FCCL!E149</x:f>
        <x:v>16.688960895928066</x:v>
      </x:c>
      <x:c r="N709" s="178" t="str">
        <x:f>IF(AND(ABS(F709-I709)&lt;0.000001,ABS(G709-J709)&lt;0.000001,IF(ISNUMBER(L709),IF(ISNUMBER(M709),ABS(L709-M709)&lt;0.00000001,FALSE),M709=L709)),"PASS","FAIL")</x:f>
        <x:v>PASS</x:v>
      </x:c>
      <x:c r="O709" s="99" t="str"/>
      <x:c r="P709" s="76" t="str">
        <x:v>Asset Management</x:v>
      </x:c>
    </x:row>
    <x:row r="710" ht="26" customHeight="1">
      <x:c r="A710" s="168" t="str">
        <x:v>FCCL</x:v>
      </x:c>
      <x:c r="B710" s="168" t="n">
        <x:v>2022</x:v>
      </x:c>
      <x:c r="C710" s="168" t="n">
        <x:v>12</x:v>
      </x:c>
      <x:c r="D710" s="168" t="str">
        <x:v>Operating cycle (days)</x:v>
      </x:c>
      <x:c r="E710" s="168" t="str">
        <x:v>Additional</x:v>
      </x:c>
      <x:c r="F710" s="169" t="n">
        <x:f>365*AVERAGE(FCCL!D65,FCCL!E65)/(-FCCL!E85)+365*AVERAGE(FCCL!D32,FCCL!E32)/FCCL!E84</x:f>
        <x:v>112.18423817026765</x:v>
      </x:c>
      <x:c r="G710" s="169" t="n">
        <x:f>1</x:f>
        <x:v>1</x:v>
      </x:c>
      <x:c r="H710" s="169" t="n">
        <x:f>IF(G710&lt;=0,"n/m",F710/G710)</x:f>
        <x:v>112.18423817026765</x:v>
      </x:c>
      <x:c r="I710" s="169" t="n">
        <x:v>112.18423817026765</x:v>
      </x:c>
      <x:c r="J710" s="169" t="n">
        <x:v>1</x:v>
      </x:c>
      <x:c r="K710" s="169" t="n">
        <x:v>112.18423817026765</x:v>
      </x:c>
      <x:c r="L710" s="175" t="n">
        <x:v>112.18423817026765</x:v>
      </x:c>
      <x:c r="M710" s="175" t="n">
        <x:f>FCCL!E150</x:f>
        <x:v>112.18423817026765</x:v>
      </x:c>
      <x:c r="N710" s="176" t="str">
        <x:f>IF(AND(ABS(F710-I710)&lt;0.000001,ABS(G710-J710)&lt;0.000001,IF(ISNUMBER(L710),IF(ISNUMBER(M710),ABS(L710-M710)&lt;0.00000001,FALSE),M710=L710)),"PASS","FAIL")</x:f>
        <x:v>PASS</x:v>
      </x:c>
      <x:c r="O710" s="171" t="str"/>
      <x:c r="P710" s="168" t="str">
        <x:v>Asset Management</x:v>
      </x:c>
    </x:row>
    <x:row r="711" ht="26" customHeight="1">
      <x:c r="A711" s="76" t="str">
        <x:v>FCCL</x:v>
      </x:c>
      <x:c r="B711" s="76" t="n">
        <x:v>2022</x:v>
      </x:c>
      <x:c r="C711" s="76" t="n">
        <x:v>13</x:v>
      </x:c>
      <x:c r="D711" s="76" t="str">
        <x:v>Cash conversion cycle (days)</x:v>
      </x:c>
      <x:c r="E711" s="76" t="str">
        <x:v>Additional</x:v>
      </x:c>
      <x:c r="F711" s="170" t="n">
        <x:f>365*AVERAGE(FCCL!D65,FCCL!E65)/(-FCCL!E85)+365*AVERAGE(FCCL!D32,FCCL!E32)/FCCL!E84-365*AVERAGE(FCCL!D51,FCCL!E51)/(-FCCL!E85)</x:f>
        <x:v>95.49527727433959</x:v>
      </x:c>
      <x:c r="G711" s="170" t="n">
        <x:f>1</x:f>
        <x:v>1</x:v>
      </x:c>
      <x:c r="H711" s="170" t="n">
        <x:f>IF(G711&lt;=0,"n/m",F711/G711)</x:f>
        <x:v>95.49527727433959</x:v>
      </x:c>
      <x:c r="I711" s="170" t="n">
        <x:v>95.49527727433959</x:v>
      </x:c>
      <x:c r="J711" s="170" t="n">
        <x:v>1</x:v>
      </x:c>
      <x:c r="K711" s="170" t="n">
        <x:v>95.49527727433959</x:v>
      </x:c>
      <x:c r="L711" s="177" t="n">
        <x:v>95.49527727433959</x:v>
      </x:c>
      <x:c r="M711" s="177" t="n">
        <x:f>FCCL!E151</x:f>
        <x:v>95.49527727433959</x:v>
      </x:c>
      <x:c r="N711" s="178" t="str">
        <x:f>IF(AND(ABS(F711-I711)&lt;0.000001,ABS(G711-J711)&lt;0.000001,IF(ISNUMBER(L711),IF(ISNUMBER(M711),ABS(L711-M711)&lt;0.00000001,FALSE),M711=L711)),"PASS","FAIL")</x:f>
        <x:v>PASS</x:v>
      </x:c>
      <x:c r="O711" s="99" t="str"/>
      <x:c r="P711" s="76" t="str">
        <x:v>Asset Management</x:v>
      </x:c>
    </x:row>
    <x:row r="712" ht="26" customHeight="1">
      <x:c r="A712" s="168" t="str">
        <x:v>FCCL</x:v>
      </x:c>
      <x:c r="B712" s="168" t="n">
        <x:v>2022</x:v>
      </x:c>
      <x:c r="C712" s="168" t="n">
        <x:v>14</x:v>
      </x:c>
      <x:c r="D712" s="168" t="str">
        <x:v>Total asset turnover</x:v>
      </x:c>
      <x:c r="E712" s="168" t="str">
        <x:v>Mandatory</x:v>
      </x:c>
      <x:c r="F712" s="169" t="n">
        <x:f>FCCL!E84</x:f>
        <x:v>54243.118</x:v>
      </x:c>
      <x:c r="G712" s="169" t="n">
        <x:f>AVERAGE(FCCL!D37,FCCL!E37)</x:f>
        <x:v>73875.15400000001</x:v>
      </x:c>
      <x:c r="H712" s="169" t="n">
        <x:f>IF(G712&lt;=0,"n/m",F712/G712)</x:f>
        <x:v>0.7342538737719585</x:v>
      </x:c>
      <x:c r="I712" s="169" t="n">
        <x:v>54243.118</x:v>
      </x:c>
      <x:c r="J712" s="169" t="n">
        <x:v>73875.15400000001</x:v>
      </x:c>
      <x:c r="K712" s="169" t="n">
        <x:v>0.7342538737719585</x:v>
      </x:c>
      <x:c r="L712" s="175" t="n">
        <x:v>0.7342538737719585</x:v>
      </x:c>
      <x:c r="M712" s="175" t="n">
        <x:f>FCCL!E152</x:f>
        <x:v>0.7342538737719585</x:v>
      </x:c>
      <x:c r="N712" s="176" t="str">
        <x:f>IF(AND(ABS(F712-I712)&lt;0.000001,ABS(G712-J712)&lt;0.000001,IF(ISNUMBER(L712),IF(ISNUMBER(M712),ABS(L712-M712)&lt;0.00000001,FALSE),M712=L712)),"PASS","FAIL")</x:f>
        <x:v>PASS</x:v>
      </x:c>
      <x:c r="O712" s="171" t="str"/>
      <x:c r="P712" s="168" t="str">
        <x:v>Asset Management</x:v>
      </x:c>
    </x:row>
    <x:row r="713" ht="26" customHeight="1">
      <x:c r="A713" s="76" t="str">
        <x:v>FCCL</x:v>
      </x:c>
      <x:c r="B713" s="76" t="n">
        <x:v>2022</x:v>
      </x:c>
      <x:c r="C713" s="76" t="n">
        <x:v>15</x:v>
      </x:c>
      <x:c r="D713" s="76" t="str">
        <x:v>Fixed asset turnover</x:v>
      </x:c>
      <x:c r="E713" s="76" t="str">
        <x:v>Mandatory</x:v>
      </x:c>
      <x:c r="F713" s="170" t="n">
        <x:f>FCCL!E84</x:f>
        <x:v>54243.118</x:v>
      </x:c>
      <x:c r="G713" s="170" t="n">
        <x:f>AVERAGE(FCCL!D22,FCCL!E22)</x:f>
        <x:v>32772.1365</x:v>
      </x:c>
      <x:c r="H713" s="170" t="n">
        <x:f>IF(G713&lt;=0,"n/m",F713/G713)</x:f>
        <x:v>1.6551596506379742</x:v>
      </x:c>
      <x:c r="I713" s="170" t="n">
        <x:v>54243.118</x:v>
      </x:c>
      <x:c r="J713" s="170" t="n">
        <x:v>32772.1365</x:v>
      </x:c>
      <x:c r="K713" s="170" t="n">
        <x:v>1.6551596506379742</x:v>
      </x:c>
      <x:c r="L713" s="177" t="n">
        <x:v>1.6551596506379742</x:v>
      </x:c>
      <x:c r="M713" s="177" t="n">
        <x:f>FCCL!E153</x:f>
        <x:v>1.6551596506379742</x:v>
      </x:c>
      <x:c r="N713" s="178" t="str">
        <x:f>IF(AND(ABS(F713-I713)&lt;0.000001,ABS(G713-J713)&lt;0.000001,IF(ISNUMBER(L713),IF(ISNUMBER(M713),ABS(L713-M713)&lt;0.00000001,FALSE),M713=L713)),"PASS","FAIL")</x:f>
        <x:v>PASS</x:v>
      </x:c>
      <x:c r="O713" s="99" t="str"/>
      <x:c r="P713" s="76" t="str">
        <x:v>Asset Management</x:v>
      </x:c>
    </x:row>
    <x:row r="714" ht="26" customHeight="1">
      <x:c r="A714" s="168" t="str">
        <x:v>FCCL</x:v>
      </x:c>
      <x:c r="B714" s="168" t="n">
        <x:v>2022</x:v>
      </x:c>
      <x:c r="C714" s="168" t="n">
        <x:v>16</x:v>
      </x:c>
      <x:c r="D714" s="168" t="str">
        <x:v>Debt ratio</x:v>
      </x:c>
      <x:c r="E714" s="168" t="str">
        <x:v>Mandatory</x:v>
      </x:c>
      <x:c r="F714" s="169" t="n">
        <x:f>FCCL!E62</x:f>
        <x:v>55962.021</x:v>
      </x:c>
      <x:c r="G714" s="169" t="n">
        <x:f>FCCL!E37</x:f>
        <x:v>113698.07700000002</x:v>
      </x:c>
      <x:c r="H714" s="169" t="n">
        <x:f>IF(G714&lt;=0,"n/m",F714/G714)</x:f>
        <x:v>0.4921984828292214</x:v>
      </x:c>
      <x:c r="I714" s="169" t="n">
        <x:v>55962.021</x:v>
      </x:c>
      <x:c r="J714" s="169" t="n">
        <x:v>113698.077</x:v>
      </x:c>
      <x:c r="K714" s="169" t="n">
        <x:v>0.49219848282922146</x:v>
      </x:c>
      <x:c r="L714" s="175" t="n">
        <x:v>0.49219848282922146</x:v>
      </x:c>
      <x:c r="M714" s="175" t="n">
        <x:f>FCCL!E155</x:f>
        <x:v>0.4921984828292214</x:v>
      </x:c>
      <x:c r="N714" s="176" t="str">
        <x:f>IF(AND(ABS(F714-I714)&lt;0.000001,ABS(G714-J714)&lt;0.000001,IF(ISNUMBER(L714),IF(ISNUMBER(M714),ABS(L714-M714)&lt;0.00000001,FALSE),M714=L714)),"PASS","FAIL")</x:f>
        <x:v>PASS</x:v>
      </x:c>
      <x:c r="O714" s="171" t="str"/>
      <x:c r="P714" s="168" t="str">
        <x:v>Debt Management</x:v>
      </x:c>
    </x:row>
    <x:row r="715" ht="26" customHeight="1">
      <x:c r="A715" s="76" t="str">
        <x:v>FCCL</x:v>
      </x:c>
      <x:c r="B715" s="76" t="n">
        <x:v>2022</x:v>
      </x:c>
      <x:c r="C715" s="76" t="n">
        <x:v>17</x:v>
      </x:c>
      <x:c r="D715" s="76" t="str">
        <x:v>Debt-to-equity</x:v>
      </x:c>
      <x:c r="E715" s="76" t="str">
        <x:v>Mandatory</x:v>
      </x:c>
      <x:c r="F715" s="170" t="n">
        <x:f>FCCL!E62</x:f>
        <x:v>55962.021</x:v>
      </x:c>
      <x:c r="G715" s="170" t="n">
        <x:f>FCCL!E41</x:f>
        <x:v>57736.056</x:v>
      </x:c>
      <x:c r="H715" s="170" t="n">
        <x:f>IF(G715&lt;=0,"n/m",F715/G715)</x:f>
        <x:v>0.9692733601339171</x:v>
      </x:c>
      <x:c r="I715" s="170" t="n">
        <x:v>55962.021</x:v>
      </x:c>
      <x:c r="J715" s="170" t="n">
        <x:v>57736.056</x:v>
      </x:c>
      <x:c r="K715" s="170" t="n">
        <x:v>0.9692733601339171</x:v>
      </x:c>
      <x:c r="L715" s="177" t="n">
        <x:v>0.9692733601339171</x:v>
      </x:c>
      <x:c r="M715" s="177" t="n">
        <x:f>FCCL!E156</x:f>
        <x:v>0.9692733601339171</x:v>
      </x:c>
      <x:c r="N715" s="178" t="str">
        <x:f>IF(AND(ABS(F715-I715)&lt;0.000001,ABS(G715-J715)&lt;0.000001,IF(ISNUMBER(L715),IF(ISNUMBER(M715),ABS(L715-M715)&lt;0.00000001,FALSE),M715=L715)),"PASS","FAIL")</x:f>
        <x:v>PASS</x:v>
      </x:c>
      <x:c r="O715" s="99" t="str"/>
      <x:c r="P715" s="76" t="str">
        <x:v>Debt Management</x:v>
      </x:c>
    </x:row>
    <x:row r="716" ht="26" customHeight="1">
      <x:c r="A716" s="168" t="str">
        <x:v>FCCL</x:v>
      </x:c>
      <x:c r="B716" s="168" t="n">
        <x:v>2022</x:v>
      </x:c>
      <x:c r="C716" s="168" t="n">
        <x:v>18</x:v>
      </x:c>
      <x:c r="D716" s="168" t="str">
        <x:v>Total debt-to-capital</x:v>
      </x:c>
      <x:c r="E716" s="168" t="str">
        <x:v>Additional</x:v>
      </x:c>
      <x:c r="F716" s="169" t="n">
        <x:f>FCCL!E66</x:f>
        <x:v>25917.630000000005</x:v>
      </x:c>
      <x:c r="G716" s="169" t="n">
        <x:f>FCCL!E66+FCCL!E41</x:f>
        <x:v>83653.686</x:v>
      </x:c>
      <x:c r="H716" s="169" t="n">
        <x:f>IF(G716&lt;=0,"n/m",F716/G716)</x:f>
        <x:v>0.3098205379736645</x:v>
      </x:c>
      <x:c r="I716" s="169" t="n">
        <x:v>25917.629999999997</x:v>
      </x:c>
      <x:c r="J716" s="169" t="n">
        <x:v>83653.68599999999</x:v>
      </x:c>
      <x:c r="K716" s="169" t="n">
        <x:v>0.30982053797366443</x:v>
      </x:c>
      <x:c r="L716" s="175" t="n">
        <x:v>0.30982053797366443</x:v>
      </x:c>
      <x:c r="M716" s="175" t="n">
        <x:f>FCCL!E157</x:f>
        <x:v>0.3098205379736645</x:v>
      </x:c>
      <x:c r="N716" s="176" t="str">
        <x:f>IF(AND(ABS(F716-I716)&lt;0.000001,ABS(G716-J716)&lt;0.000001,IF(ISNUMBER(L716),IF(ISNUMBER(M716),ABS(L716-M716)&lt;0.00000001,FALSE),M716=L716)),"PASS","FAIL")</x:f>
        <x:v>PASS</x:v>
      </x:c>
      <x:c r="O716" s="171" t="str"/>
      <x:c r="P716" s="168" t="str">
        <x:v>Debt Management</x:v>
      </x:c>
    </x:row>
    <x:row r="717" ht="26" customHeight="1">
      <x:c r="A717" s="76" t="str">
        <x:v>FCCL</x:v>
      </x:c>
      <x:c r="B717" s="76" t="n">
        <x:v>2022</x:v>
      </x:c>
      <x:c r="C717" s="76" t="n">
        <x:v>19</x:v>
      </x:c>
      <x:c r="D717" s="76" t="str">
        <x:v>Long-term debt ratio</x:v>
      </x:c>
      <x:c r="E717" s="76" t="str">
        <x:v>Additional</x:v>
      </x:c>
      <x:c r="F717" s="170" t="n">
        <x:f>FCCL!E67</x:f>
        <x:v>19645.962</x:v>
      </x:c>
      <x:c r="G717" s="170" t="n">
        <x:f>FCCL!E37</x:f>
        <x:v>113698.07700000002</x:v>
      </x:c>
      <x:c r="H717" s="170" t="n">
        <x:f>IF(G717&lt;=0,"n/m",F717/G717)</x:f>
        <x:v>0.1727906268810509</x:v>
      </x:c>
      <x:c r="I717" s="170" t="n">
        <x:v>19645.962</x:v>
      </x:c>
      <x:c r="J717" s="170" t="n">
        <x:v>113698.077</x:v>
      </x:c>
      <x:c r="K717" s="170" t="n">
        <x:v>0.17279062688105093</x:v>
      </x:c>
      <x:c r="L717" s="177" t="n">
        <x:v>0.17279062688105093</x:v>
      </x:c>
      <x:c r="M717" s="177" t="n">
        <x:f>FCCL!E158</x:f>
        <x:v>0.1727906268810509</x:v>
      </x:c>
      <x:c r="N717" s="178" t="str">
        <x:f>IF(AND(ABS(F717-I717)&lt;0.000001,ABS(G717-J717)&lt;0.000001,IF(ISNUMBER(L717),IF(ISNUMBER(M717),ABS(L717-M717)&lt;0.00000001,FALSE),M717=L717)),"PASS","FAIL")</x:f>
        <x:v>PASS</x:v>
      </x:c>
      <x:c r="O717" s="99" t="str"/>
      <x:c r="P717" s="76" t="str">
        <x:v>Debt Management</x:v>
      </x:c>
    </x:row>
    <x:row r="718" ht="26" customHeight="1">
      <x:c r="A718" s="168" t="str">
        <x:v>FCCL</x:v>
      </x:c>
      <x:c r="B718" s="168" t="n">
        <x:v>2022</x:v>
      </x:c>
      <x:c r="C718" s="168" t="n">
        <x:v>20</x:v>
      </x:c>
      <x:c r="D718" s="168" t="str">
        <x:v>Times interest earned</x:v>
      </x:c>
      <x:c r="E718" s="168" t="str">
        <x:v>Mandatory</x:v>
      </x:c>
      <x:c r="F718" s="169" t="n">
        <x:f>FCCL!E108</x:f>
        <x:v>12729.705000000002</x:v>
      </x:c>
      <x:c r="G718" s="169" t="n">
        <x:f>FCCL!E106</x:f>
        <x:v>995.224</x:v>
      </x:c>
      <x:c r="H718" s="169" t="n">
        <x:f>IF(G718&lt;=0,"n/m",F718/G718)</x:f>
        <x:v>12.790793831338474</x:v>
      </x:c>
      <x:c r="I718" s="169" t="n">
        <x:v>12729.705000000002</x:v>
      </x:c>
      <x:c r="J718" s="169" t="n">
        <x:v>995.224</x:v>
      </x:c>
      <x:c r="K718" s="169" t="n">
        <x:v>12.790793831338474</x:v>
      </x:c>
      <x:c r="L718" s="175" t="n">
        <x:v>12.790793831338474</x:v>
      </x:c>
      <x:c r="M718" s="175" t="n">
        <x:f>FCCL!E159</x:f>
        <x:v>12.790793831338474</x:v>
      </x:c>
      <x:c r="N718" s="176" t="str">
        <x:f>IF(AND(ABS(F718-I718)&lt;0.000001,ABS(G718-J718)&lt;0.000001,IF(ISNUMBER(L718),IF(ISNUMBER(M718),ABS(L718-M718)&lt;0.00000001,FALSE),M718=L718)),"PASS","FAIL")</x:f>
        <x:v>PASS</x:v>
      </x:c>
      <x:c r="O718" s="171" t="str"/>
      <x:c r="P718" s="168" t="str">
        <x:v>Debt Management</x:v>
      </x:c>
    </x:row>
    <x:row r="719" ht="26" customHeight="1">
      <x:c r="A719" s="76" t="str">
        <x:v>FCCL</x:v>
      </x:c>
      <x:c r="B719" s="76" t="n">
        <x:v>2022</x:v>
      </x:c>
      <x:c r="C719" s="76" t="n">
        <x:v>21</x:v>
      </x:c>
      <x:c r="D719" s="76" t="str">
        <x:v>Gross profit margin</x:v>
      </x:c>
      <x:c r="E719" s="76" t="str">
        <x:v>Mandatory</x:v>
      </x:c>
      <x:c r="F719" s="170" t="n">
        <x:f>FCCL!E86</x:f>
        <x:v>15463.576000000001</x:v>
      </x:c>
      <x:c r="G719" s="170" t="n">
        <x:f>FCCL!E84</x:f>
        <x:v>54243.118</x:v>
      </x:c>
      <x:c r="H719" s="170" t="n">
        <x:f>IF(G719&lt;=0,"n/m",F719/G719)</x:f>
        <x:v>0.28507903988852556</x:v>
      </x:c>
      <x:c r="I719" s="170" t="n">
        <x:v>15463.576000000001</x:v>
      </x:c>
      <x:c r="J719" s="170" t="n">
        <x:v>54243.118</x:v>
      </x:c>
      <x:c r="K719" s="170" t="n">
        <x:v>0.28507903988852556</x:v>
      </x:c>
      <x:c r="L719" s="177" t="n">
        <x:v>0.28507903988852556</x:v>
      </x:c>
      <x:c r="M719" s="177" t="n">
        <x:f>FCCL!E161</x:f>
        <x:v>0.28507903988852556</x:v>
      </x:c>
      <x:c r="N719" s="178" t="str">
        <x:f>IF(AND(ABS(F719-I719)&lt;0.000001,ABS(G719-J719)&lt;0.000001,IF(ISNUMBER(L719),IF(ISNUMBER(M719),ABS(L719-M719)&lt;0.00000001,FALSE),M719=L719)),"PASS","FAIL")</x:f>
        <x:v>PASS</x:v>
      </x:c>
      <x:c r="O719" s="99" t="str"/>
      <x:c r="P719" s="76" t="str">
        <x:v>Profitability</x:v>
      </x:c>
    </x:row>
    <x:row r="720" ht="26" customHeight="1">
      <x:c r="A720" s="168" t="str">
        <x:v>FCCL</x:v>
      </x:c>
      <x:c r="B720" s="168" t="n">
        <x:v>2022</x:v>
      </x:c>
      <x:c r="C720" s="168" t="n">
        <x:v>22</x:v>
      </x:c>
      <x:c r="D720" s="168" t="str">
        <x:v>Operating margin</x:v>
      </x:c>
      <x:c r="E720" s="168" t="str">
        <x:v>Mandatory</x:v>
      </x:c>
      <x:c r="F720" s="169" t="n">
        <x:f>FCCL!E91</x:f>
        <x:v>11751.85</x:v>
      </x:c>
      <x:c r="G720" s="169" t="n">
        <x:f>FCCL!E84</x:f>
        <x:v>54243.118</x:v>
      </x:c>
      <x:c r="H720" s="169" t="n">
        <x:f>IF(G720&lt;=0,"n/m",F720/G720)</x:f>
        <x:v>0.21665144691719232</x:v>
      </x:c>
      <x:c r="I720" s="169" t="n">
        <x:v>11751.85</x:v>
      </x:c>
      <x:c r="J720" s="169" t="n">
        <x:v>54243.118</x:v>
      </x:c>
      <x:c r="K720" s="169" t="n">
        <x:v>0.21665144691719232</x:v>
      </x:c>
      <x:c r="L720" s="175" t="n">
        <x:v>0.21665144691719232</x:v>
      </x:c>
      <x:c r="M720" s="175" t="n">
        <x:f>FCCL!E162</x:f>
        <x:v>0.21665144691719232</x:v>
      </x:c>
      <x:c r="N720" s="176" t="str">
        <x:f>IF(AND(ABS(F720-I720)&lt;0.000001,ABS(G720-J720)&lt;0.000001,IF(ISNUMBER(L720),IF(ISNUMBER(M720),ABS(L720-M720)&lt;0.00000001,FALSE),M720=L720)),"PASS","FAIL")</x:f>
        <x:v>PASS</x:v>
      </x:c>
      <x:c r="O720" s="171" t="str"/>
      <x:c r="P720" s="168" t="str">
        <x:v>Profitability</x:v>
      </x:c>
    </x:row>
    <x:row r="721" ht="26" customHeight="1">
      <x:c r="A721" s="76" t="str">
        <x:v>FCCL</x:v>
      </x:c>
      <x:c r="B721" s="76" t="n">
        <x:v>2022</x:v>
      </x:c>
      <x:c r="C721" s="76" t="n">
        <x:v>23</x:v>
      </x:c>
      <x:c r="D721" s="76" t="str">
        <x:v>Net profit margin</x:v>
      </x:c>
      <x:c r="E721" s="76" t="str">
        <x:v>Mandatory</x:v>
      </x:c>
      <x:c r="F721" s="170" t="n">
        <x:f>FCCL!E99</x:f>
        <x:v>7112.540000000001</x:v>
      </x:c>
      <x:c r="G721" s="170" t="n">
        <x:f>FCCL!E84</x:f>
        <x:v>54243.118</x:v>
      </x:c>
      <x:c r="H721" s="170" t="n">
        <x:f>IF(G721&lt;=0,"n/m",F721/G721)</x:f>
        <x:v>0.13112336204567002</x:v>
      </x:c>
      <x:c r="I721" s="170" t="n">
        <x:v>7112.540000000001</x:v>
      </x:c>
      <x:c r="J721" s="170" t="n">
        <x:v>54243.118</x:v>
      </x:c>
      <x:c r="K721" s="170" t="n">
        <x:v>0.13112336204567002</x:v>
      </x:c>
      <x:c r="L721" s="177" t="n">
        <x:v>0.13112336204567002</x:v>
      </x:c>
      <x:c r="M721" s="177" t="n">
        <x:f>FCCL!E163</x:f>
        <x:v>0.13112336204567002</x:v>
      </x:c>
      <x:c r="N721" s="178" t="str">
        <x:f>IF(AND(ABS(F721-I721)&lt;0.000001,ABS(G721-J721)&lt;0.000001,IF(ISNUMBER(L721),IF(ISNUMBER(M721),ABS(L721-M721)&lt;0.00000001,FALSE),M721=L721)),"PASS","FAIL")</x:f>
        <x:v>PASS</x:v>
      </x:c>
      <x:c r="O721" s="99" t="str"/>
      <x:c r="P721" s="76" t="str">
        <x:v>Profitability</x:v>
      </x:c>
    </x:row>
    <x:row r="722" ht="26" customHeight="1">
      <x:c r="A722" s="168" t="str">
        <x:v>FCCL</x:v>
      </x:c>
      <x:c r="B722" s="168" t="n">
        <x:v>2022</x:v>
      </x:c>
      <x:c r="C722" s="168" t="n">
        <x:v>24</x:v>
      </x:c>
      <x:c r="D722" s="168" t="str">
        <x:v>Return on assets</x:v>
      </x:c>
      <x:c r="E722" s="168" t="str">
        <x:v>Mandatory</x:v>
      </x:c>
      <x:c r="F722" s="169" t="n">
        <x:f>FCCL!E99</x:f>
        <x:v>7112.540000000001</x:v>
      </x:c>
      <x:c r="G722" s="169" t="n">
        <x:f>AVERAGE(FCCL!D37,FCCL!E37)</x:f>
        <x:v>73875.15400000001</x:v>
      </x:c>
      <x:c r="H722" s="169" t="n">
        <x:f>IF(G722&lt;=0,"n/m",F722/G722)</x:f>
        <x:v>0.09627783652403621</x:v>
      </x:c>
      <x:c r="I722" s="169" t="n">
        <x:v>7112.540000000001</x:v>
      </x:c>
      <x:c r="J722" s="169" t="n">
        <x:v>73875.15400000001</x:v>
      </x:c>
      <x:c r="K722" s="169" t="n">
        <x:v>0.09627783652403621</x:v>
      </x:c>
      <x:c r="L722" s="175" t="n">
        <x:v>0.09627783652403621</x:v>
      </x:c>
      <x:c r="M722" s="175" t="n">
        <x:f>FCCL!E164</x:f>
        <x:v>0.09627783652403621</x:v>
      </x:c>
      <x:c r="N722" s="176" t="str">
        <x:f>IF(AND(ABS(F722-I722)&lt;0.000001,ABS(G722-J722)&lt;0.000001,IF(ISNUMBER(L722),IF(ISNUMBER(M722),ABS(L722-M722)&lt;0.00000001,FALSE),M722=L722)),"PASS","FAIL")</x:f>
        <x:v>PASS</x:v>
      </x:c>
      <x:c r="O722" s="171" t="str"/>
      <x:c r="P722" s="168" t="str">
        <x:v>Profitability</x:v>
      </x:c>
    </x:row>
    <x:row r="723" ht="26" customHeight="1">
      <x:c r="A723" s="76" t="str">
        <x:v>FCCL</x:v>
      </x:c>
      <x:c r="B723" s="76" t="n">
        <x:v>2022</x:v>
      </x:c>
      <x:c r="C723" s="76" t="n">
        <x:v>25</x:v>
      </x:c>
      <x:c r="D723" s="76" t="str">
        <x:v>Return on equity</x:v>
      </x:c>
      <x:c r="E723" s="76" t="str">
        <x:v>Mandatory</x:v>
      </x:c>
      <x:c r="F723" s="170" t="n">
        <x:f>FCCL!E99</x:f>
        <x:v>7112.540000000001</x:v>
      </x:c>
      <x:c r="G723" s="170" t="n">
        <x:f>AVERAGE(FCCL!D41,FCCL!E41)</x:f>
        <x:v>40505.8635</x:v>
      </x:c>
      <x:c r="H723" s="170" t="n">
        <x:f>IF(G723&lt;=0,"n/m",F723/G723)</x:f>
        <x:v>0.17559284966237051</x:v>
      </x:c>
      <x:c r="I723" s="170" t="n">
        <x:v>7112.540000000001</x:v>
      </x:c>
      <x:c r="J723" s="170" t="n">
        <x:v>40505.8635</x:v>
      </x:c>
      <x:c r="K723" s="170" t="n">
        <x:v>0.17559284966237051</x:v>
      </x:c>
      <x:c r="L723" s="177" t="n">
        <x:v>0.17559284966237051</x:v>
      </x:c>
      <x:c r="M723" s="177" t="n">
        <x:f>FCCL!E165</x:f>
        <x:v>0.17559284966237051</x:v>
      </x:c>
      <x:c r="N723" s="178" t="str">
        <x:f>IF(AND(ABS(F723-I723)&lt;0.000001,ABS(G723-J723)&lt;0.000001,IF(ISNUMBER(L723),IF(ISNUMBER(M723),ABS(L723-M723)&lt;0.00000001,FALSE),M723=L723)),"PASS","FAIL")</x:f>
        <x:v>PASS</x:v>
      </x:c>
      <x:c r="O723" s="99" t="str"/>
      <x:c r="P723" s="76" t="str">
        <x:v>Profitability</x:v>
      </x:c>
    </x:row>
    <x:row r="724" ht="26" customHeight="1">
      <x:c r="A724" s="168" t="str">
        <x:v>FCCL</x:v>
      </x:c>
      <x:c r="B724" s="168" t="n">
        <x:v>2022</x:v>
      </x:c>
      <x:c r="C724" s="168" t="n">
        <x:v>26</x:v>
      </x:c>
      <x:c r="D724" s="168" t="str">
        <x:v>Return on invested capital</x:v>
      </x:c>
      <x:c r="E724" s="168" t="str">
        <x:v>Additional</x:v>
      </x:c>
      <x:c r="F724" s="169" t="n">
        <x:f>FCCL!E113</x:f>
        <x:v>7853.904023909246</x:v>
      </x:c>
      <x:c r="G724" s="169" t="n">
        <x:f>AVERAGE(FCCL!D70,FCCL!E70)</x:f>
        <x:v>54748.723</x:v>
      </x:c>
      <x:c r="H724" s="169" t="n">
        <x:f>IF(G724&lt;=0,"n/m",F724/G724)</x:f>
        <x:v>0.14345364774826339</x:v>
      </x:c>
      <x:c r="I724" s="169" t="n">
        <x:v>7853.904023909246</x:v>
      </x:c>
      <x:c r="J724" s="169" t="n">
        <x:v>54748.723</x:v>
      </x:c>
      <x:c r="K724" s="169" t="n">
        <x:v>0.14345364774826339</x:v>
      </x:c>
      <x:c r="L724" s="175" t="n">
        <x:v>0.14345364774826339</x:v>
      </x:c>
      <x:c r="M724" s="175" t="n">
        <x:f>FCCL!E166</x:f>
        <x:v>0.14345364774826339</x:v>
      </x:c>
      <x:c r="N724" s="176" t="str">
        <x:f>IF(AND(ABS(F724-I724)&lt;0.000001,ABS(G724-J724)&lt;0.000001,IF(ISNUMBER(L724),IF(ISNUMBER(M724),ABS(L724-M724)&lt;0.00000001,FALSE),M724=L724)),"PASS","FAIL")</x:f>
        <x:v>PASS</x:v>
      </x:c>
      <x:c r="O724" s="171" t="str"/>
      <x:c r="P724" s="168" t="str">
        <x:v>Profitability</x:v>
      </x:c>
    </x:row>
    <x:row r="725" ht="26" customHeight="1">
      <x:c r="A725" s="76" t="str">
        <x:v>FCCL</x:v>
      </x:c>
      <x:c r="B725" s="76" t="n">
        <x:v>2022</x:v>
      </x:c>
      <x:c r="C725" s="76" t="n">
        <x:v>27</x:v>
      </x:c>
      <x:c r="D725" s="76" t="str">
        <x:v>Basic earning power</x:v>
      </x:c>
      <x:c r="E725" s="76" t="str">
        <x:v>Additional</x:v>
      </x:c>
      <x:c r="F725" s="170" t="n">
        <x:f>FCCL!E108</x:f>
        <x:v>12729.705000000002</x:v>
      </x:c>
      <x:c r="G725" s="170" t="n">
        <x:f>AVERAGE(FCCL!D37,FCCL!E37)</x:f>
        <x:v>73875.15400000001</x:v>
      </x:c>
      <x:c r="H725" s="170" t="n">
        <x:f>IF(G725&lt;=0,"n/m",F725/G725)</x:f>
        <x:v>0.1723137524694703</x:v>
      </x:c>
      <x:c r="I725" s="170" t="n">
        <x:v>12729.705000000002</x:v>
      </x:c>
      <x:c r="J725" s="170" t="n">
        <x:v>73875.15400000001</x:v>
      </x:c>
      <x:c r="K725" s="170" t="n">
        <x:v>0.1723137524694703</x:v>
      </x:c>
      <x:c r="L725" s="177" t="n">
        <x:v>0.1723137524694703</x:v>
      </x:c>
      <x:c r="M725" s="177" t="n">
        <x:f>FCCL!E167</x:f>
        <x:v>0.1723137524694703</x:v>
      </x:c>
      <x:c r="N725" s="178" t="str">
        <x:f>IF(AND(ABS(F725-I725)&lt;0.000001,ABS(G725-J725)&lt;0.000001,IF(ISNUMBER(L725),IF(ISNUMBER(M725),ABS(L725-M725)&lt;0.00000001,FALSE),M725=L725)),"PASS","FAIL")</x:f>
        <x:v>PASS</x:v>
      </x:c>
      <x:c r="O725" s="99" t="str"/>
      <x:c r="P725" s="76" t="str">
        <x:v>Profitability</x:v>
      </x:c>
    </x:row>
    <x:row r="726" ht="26" customHeight="1">
      <x:c r="A726" s="168" t="str">
        <x:v>FCCL</x:v>
      </x:c>
      <x:c r="B726" s="168" t="n">
        <x:v>2022</x:v>
      </x:c>
      <x:c r="C726" s="168" t="n">
        <x:v>28</x:v>
      </x:c>
      <x:c r="D726" s="168" t="str">
        <x:v>Book value per share (Rs)</x:v>
      </x:c>
      <x:c r="E726" s="168" t="str">
        <x:v>Additional</x:v>
      </x:c>
      <x:c r="F726" s="169" t="n">
        <x:f>FCCL!E41</x:f>
        <x:v>57736.056</x:v>
      </x:c>
      <x:c r="G726" s="169" t="n">
        <x:f>FCCL!E128</x:f>
        <x:v>2180.309</x:v>
      </x:c>
      <x:c r="H726" s="169" t="n">
        <x:f>IF(G726&lt;=0,"n/m",F726/G726)</x:f>
        <x:v>26.480675904195227</x:v>
      </x:c>
      <x:c r="I726" s="169" t="n">
        <x:v>57736.056</x:v>
      </x:c>
      <x:c r="J726" s="169" t="n">
        <x:v>2180.309</x:v>
      </x:c>
      <x:c r="K726" s="169" t="n">
        <x:v>26.480675904195227</x:v>
      </x:c>
      <x:c r="L726" s="175" t="n">
        <x:v>26.480675904195227</x:v>
      </x:c>
      <x:c r="M726" s="175" t="n">
        <x:f>FCCL!E169</x:f>
        <x:v>26.480675904195227</x:v>
      </x:c>
      <x:c r="N726" s="176" t="str">
        <x:f>IF(AND(ABS(F726-I726)&lt;0.000001,ABS(G726-J726)&lt;0.000001,IF(ISNUMBER(L726),IF(ISNUMBER(M726),ABS(L726-M726)&lt;0.00000001,FALSE),M726=L726)),"PASS","FAIL")</x:f>
        <x:v>PASS</x:v>
      </x:c>
      <x:c r="O726" s="171" t="str"/>
      <x:c r="P726" s="168" t="str">
        <x:v>Market Value</x:v>
      </x:c>
    </x:row>
    <x:row r="727" ht="26" customHeight="1">
      <x:c r="A727" s="76" t="str">
        <x:v>FCCL</x:v>
      </x:c>
      <x:c r="B727" s="76" t="n">
        <x:v>2022</x:v>
      </x:c>
      <x:c r="C727" s="76" t="n">
        <x:v>29</x:v>
      </x:c>
      <x:c r="D727" s="76" t="str">
        <x:v>Market-to-book ratio</x:v>
      </x:c>
      <x:c r="E727" s="76" t="str">
        <x:v>Mandatory</x:v>
      </x:c>
      <x:c r="F727" s="170" t="n">
        <x:f>FCCL!E130</x:f>
        <x:v>14.17</x:v>
      </x:c>
      <x:c r="G727" s="170" t="n">
        <x:f>FCCL!E41/FCCL!E128</x:f>
        <x:v>26.480675904195227</x:v>
      </x:c>
      <x:c r="H727" s="170" t="n">
        <x:f>IF(G727&lt;=0,"n/m",F727/G727)</x:f>
        <x:v>0.535107187266134</x:v>
      </x:c>
      <x:c r="I727" s="170" t="n">
        <x:v>14.17</x:v>
      </x:c>
      <x:c r="J727" s="170" t="n">
        <x:v>26.480675904195227</x:v>
      </x:c>
      <x:c r="K727" s="170" t="n">
        <x:v>0.535107187266134</x:v>
      </x:c>
      <x:c r="L727" s="177" t="n">
        <x:v>0.535107187266134</x:v>
      </x:c>
      <x:c r="M727" s="177" t="n">
        <x:f>FCCL!E170</x:f>
        <x:v>0.535107187266134</x:v>
      </x:c>
      <x:c r="N727" s="178" t="str">
        <x:f>IF(AND(ABS(F727-I727)&lt;0.000001,ABS(G727-J727)&lt;0.000001,IF(ISNUMBER(L727),IF(ISNUMBER(M727),ABS(L727-M727)&lt;0.00000001,FALSE),M727=L727)),"PASS","FAIL")</x:f>
        <x:v>PASS</x:v>
      </x:c>
      <x:c r="O727" s="99" t="str"/>
      <x:c r="P727" s="76" t="str">
        <x:v>Market Value</x:v>
      </x:c>
    </x:row>
    <x:row r="728" ht="26" customHeight="1">
      <x:c r="A728" s="168" t="str">
        <x:v>FCCL</x:v>
      </x:c>
      <x:c r="B728" s="168" t="n">
        <x:v>2022</x:v>
      </x:c>
      <x:c r="C728" s="168" t="n">
        <x:v>30</x:v>
      </x:c>
      <x:c r="D728" s="168" t="str">
        <x:v>Earnings per share (Rs)</x:v>
      </x:c>
      <x:c r="E728" s="168" t="str">
        <x:v>Mandatory</x:v>
      </x:c>
      <x:c r="F728" s="169" t="n">
        <x:f>FCCL!E99</x:f>
        <x:v>7112.540000000001</x:v>
      </x:c>
      <x:c r="G728" s="169" t="n">
        <x:f>FCCL!E129</x:f>
        <x:v>2180.309</x:v>
      </x:c>
      <x:c r="H728" s="169" t="n">
        <x:f>IF(G728&lt;=0,"n/m",F728/G728)</x:f>
        <x:v>3.2621706372812294</x:v>
      </x:c>
      <x:c r="I728" s="169" t="n">
        <x:v>7112.540000000001</x:v>
      </x:c>
      <x:c r="J728" s="169" t="n">
        <x:v>2180.309</x:v>
      </x:c>
      <x:c r="K728" s="169" t="n">
        <x:v>3.2621706372812294</x:v>
      </x:c>
      <x:c r="L728" s="175" t="n">
        <x:v>3.2621706372812294</x:v>
      </x:c>
      <x:c r="M728" s="175" t="n">
        <x:f>FCCL!E171</x:f>
        <x:v>3.2621706372812294</x:v>
      </x:c>
      <x:c r="N728" s="176" t="str">
        <x:f>IF(AND(ABS(F728-I728)&lt;0.000001,ABS(G728-J728)&lt;0.000001,IF(ISNUMBER(L728),IF(ISNUMBER(M728),ABS(L728-M728)&lt;0.00000001,FALSE),M728=L728)),"PASS","FAIL")</x:f>
        <x:v>PASS</x:v>
      </x:c>
      <x:c r="O728" s="171" t="str"/>
      <x:c r="P728" s="168" t="str">
        <x:v>Market Value</x:v>
      </x:c>
    </x:row>
    <x:row r="729" ht="26" customHeight="1">
      <x:c r="A729" s="76" t="str">
        <x:v>FCCL</x:v>
      </x:c>
      <x:c r="B729" s="76" t="n">
        <x:v>2022</x:v>
      </x:c>
      <x:c r="C729" s="76" t="n">
        <x:v>31</x:v>
      </x:c>
      <x:c r="D729" s="76" t="str">
        <x:v>Price-to-earnings ratio</x:v>
      </x:c>
      <x:c r="E729" s="76" t="str">
        <x:v>Mandatory</x:v>
      </x:c>
      <x:c r="F729" s="170" t="n">
        <x:f>FCCL!E130</x:f>
        <x:v>14.17</x:v>
      </x:c>
      <x:c r="G729" s="170" t="n">
        <x:f>FCCL!E99/FCCL!E129</x:f>
        <x:v>3.2621706372812294</x:v>
      </x:c>
      <x:c r="H729" s="170" t="n">
        <x:f>IF(G729&lt;=0,"n/m",F729/G729)</x:f>
        <x:v>4.343733536823694</x:v>
      </x:c>
      <x:c r="I729" s="170" t="n">
        <x:v>14.17</x:v>
      </x:c>
      <x:c r="J729" s="170" t="n">
        <x:v>3.2621706372812294</x:v>
      </x:c>
      <x:c r="K729" s="170" t="n">
        <x:v>4.343733536823694</x:v>
      </x:c>
      <x:c r="L729" s="177" t="n">
        <x:v>4.343733536823694</x:v>
      </x:c>
      <x:c r="M729" s="177" t="n">
        <x:f>FCCL!E172</x:f>
        <x:v>4.343733536823694</x:v>
      </x:c>
      <x:c r="N729" s="178" t="str">
        <x:f>IF(AND(ABS(F729-I729)&lt;0.000001,ABS(G729-J729)&lt;0.000001,IF(ISNUMBER(L729),IF(ISNUMBER(M729),ABS(L729-M729)&lt;0.00000001,FALSE),M729=L729)),"PASS","FAIL")</x:f>
        <x:v>PASS</x:v>
      </x:c>
      <x:c r="O729" s="99" t="str"/>
      <x:c r="P729" s="76" t="str">
        <x:v>Market Value</x:v>
      </x:c>
    </x:row>
    <x:row r="730" ht="26" customHeight="1">
      <x:c r="A730" s="168" t="str">
        <x:v>FCCL</x:v>
      </x:c>
      <x:c r="B730" s="168" t="n">
        <x:v>2022</x:v>
      </x:c>
      <x:c r="C730" s="168" t="n">
        <x:v>32</x:v>
      </x:c>
      <x:c r="D730" s="168" t="str">
        <x:v>Dividend yield</x:v>
      </x:c>
      <x:c r="E730" s="168" t="str">
        <x:v>Mandatory</x:v>
      </x:c>
      <x:c r="F730" s="169" t="n">
        <x:f>FCCL!E131</x:f>
        <x:v>0</x:v>
      </x:c>
      <x:c r="G730" s="169" t="n">
        <x:f>FCCL!E130</x:f>
        <x:v>14.17</x:v>
      </x:c>
      <x:c r="H730" s="169" t="n">
        <x:f>IF(G730&lt;=0,"n/m",F730/G730)</x:f>
        <x:v>0</x:v>
      </x:c>
      <x:c r="I730" s="169" t="n">
        <x:v>0</x:v>
      </x:c>
      <x:c r="J730" s="169" t="n">
        <x:v>14.17</x:v>
      </x:c>
      <x:c r="K730" s="169" t="n">
        <x:v>0</x:v>
      </x:c>
      <x:c r="L730" s="175" t="n">
        <x:v>0</x:v>
      </x:c>
      <x:c r="M730" s="175" t="n">
        <x:f>FCCL!E173</x:f>
        <x:v>0</x:v>
      </x:c>
      <x:c r="N730" s="176" t="str">
        <x:f>IF(AND(ABS(F730-I730)&lt;0.000001,ABS(G730-J730)&lt;0.000001,IF(ISNUMBER(L730),IF(ISNUMBER(M730),ABS(L730-M730)&lt;0.00000001,FALSE),M730=L730)),"PASS","FAIL")</x:f>
        <x:v>PASS</x:v>
      </x:c>
      <x:c r="O730" s="171" t="str"/>
      <x:c r="P730" s="168" t="str">
        <x:v>Market Value</x:v>
      </x:c>
    </x:row>
    <x:row r="731" ht="26" customHeight="1">
      <x:c r="A731" s="76" t="str">
        <x:v>FCCL</x:v>
      </x:c>
      <x:c r="B731" s="76" t="n">
        <x:v>2022</x:v>
      </x:c>
      <x:c r="C731" s="76" t="n">
        <x:v>33</x:v>
      </x:c>
      <x:c r="D731" s="76" t="str">
        <x:v>Dividend payout ratio</x:v>
      </x:c>
      <x:c r="E731" s="76" t="str">
        <x:v>Additional</x:v>
      </x:c>
      <x:c r="F731" s="170" t="n">
        <x:f>FCCL!E131</x:f>
        <x:v>0</x:v>
      </x:c>
      <x:c r="G731" s="170" t="n">
        <x:f>FCCL!E99/FCCL!E129</x:f>
        <x:v>3.2621706372812294</x:v>
      </x:c>
      <x:c r="H731" s="170" t="n">
        <x:f>IF(G731&lt;=0,"n/m",F731/G731)</x:f>
        <x:v>0</x:v>
      </x:c>
      <x:c r="I731" s="170" t="n">
        <x:v>0</x:v>
      </x:c>
      <x:c r="J731" s="170" t="n">
        <x:v>3.2621706372812294</x:v>
      </x:c>
      <x:c r="K731" s="170" t="n">
        <x:v>0</x:v>
      </x:c>
      <x:c r="L731" s="177" t="n">
        <x:v>0</x:v>
      </x:c>
      <x:c r="M731" s="177" t="n">
        <x:f>FCCL!E174</x:f>
        <x:v>0</x:v>
      </x:c>
      <x:c r="N731" s="178" t="str">
        <x:f>IF(AND(ABS(F731-I731)&lt;0.000001,ABS(G731-J731)&lt;0.000001,IF(ISNUMBER(L731),IF(ISNUMBER(M731),ABS(L731-M731)&lt;0.00000001,FALSE),M731=L731)),"PASS","FAIL")</x:f>
        <x:v>PASS</x:v>
      </x:c>
      <x:c r="O731" s="99" t="str"/>
      <x:c r="P731" s="76" t="str">
        <x:v>Market Value</x:v>
      </x:c>
    </x:row>
    <x:row r="732" ht="26" customHeight="1">
      <x:c r="A732" s="168" t="str">
        <x:v>FCCL</x:v>
      </x:c>
      <x:c r="B732" s="168" t="n">
        <x:v>2023</x:v>
      </x:c>
      <x:c r="C732" s="168" t="n">
        <x:v>1</x:v>
      </x:c>
      <x:c r="D732" s="168" t="str">
        <x:v>Current ratio</x:v>
      </x:c>
      <x:c r="E732" s="168" t="str">
        <x:v>Mandatory</x:v>
      </x:c>
      <x:c r="F732" s="169" t="n">
        <x:f>FCCL!F36</x:f>
        <x:v>23134.499</x:v>
      </x:c>
      <x:c r="G732" s="169" t="n">
        <x:f>FCCL!F61</x:f>
        <x:v>28486.855000000003</x:v>
      </x:c>
      <x:c r="H732" s="169" t="n">
        <x:f>IF(G732&lt;=0,"n/m",F732/G732)</x:f>
        <x:v>0.8121113755800701</x:v>
      </x:c>
      <x:c r="I732" s="169" t="n">
        <x:v>23134.499</x:v>
      </x:c>
      <x:c r="J732" s="169" t="n">
        <x:v>28486.855</x:v>
      </x:c>
      <x:c r="K732" s="169" t="n">
        <x:v>0.8121113755800702</x:v>
      </x:c>
      <x:c r="L732" s="175" t="n">
        <x:v>0.8121113755800702</x:v>
      </x:c>
      <x:c r="M732" s="175" t="n">
        <x:f>FCCL!F138</x:f>
        <x:v>0.8121113755800701</x:v>
      </x:c>
      <x:c r="N732" s="176" t="str">
        <x:f>IF(AND(ABS(F732-I732)&lt;0.000001,ABS(G732-J732)&lt;0.000001,IF(ISNUMBER(L732),IF(ISNUMBER(M732),ABS(L732-M732)&lt;0.00000001,FALSE),M732=L732)),"PASS","FAIL")</x:f>
        <x:v>PASS</x:v>
      </x:c>
      <x:c r="O732" s="171" t="str"/>
      <x:c r="P732" s="168" t="str">
        <x:v>Liquidity</x:v>
      </x:c>
    </x:row>
    <x:row r="733" ht="26" customHeight="1">
      <x:c r="A733" s="76" t="str">
        <x:v>FCCL</x:v>
      </x:c>
      <x:c r="B733" s="76" t="n">
        <x:v>2023</x:v>
      </x:c>
      <x:c r="C733" s="76" t="n">
        <x:v>2</x:v>
      </x:c>
      <x:c r="D733" s="76" t="str">
        <x:v>Quick ratio</x:v>
      </x:c>
      <x:c r="E733" s="76" t="str">
        <x:v>Mandatory</x:v>
      </x:c>
      <x:c r="F733" s="170" t="n">
        <x:f>FCCL!F36-FCCL!F65</x:f>
        <x:v>8010.991</x:v>
      </x:c>
      <x:c r="G733" s="170" t="n">
        <x:f>FCCL!F61</x:f>
        <x:v>28486.855000000003</x:v>
      </x:c>
      <x:c r="H733" s="170" t="n">
        <x:f>IF(G733&lt;=0,"n/m",F733/G733)</x:f>
        <x:v>0.2812171087331332</x:v>
      </x:c>
      <x:c r="I733" s="170" t="n">
        <x:v>8010.991</x:v>
      </x:c>
      <x:c r="J733" s="170" t="n">
        <x:v>28486.855</x:v>
      </x:c>
      <x:c r="K733" s="170" t="n">
        <x:v>0.2812171087331332</x:v>
      </x:c>
      <x:c r="L733" s="177" t="n">
        <x:v>0.2812171087331332</x:v>
      </x:c>
      <x:c r="M733" s="177" t="n">
        <x:f>FCCL!F139</x:f>
        <x:v>0.2812171087331332</x:v>
      </x:c>
      <x:c r="N733" s="178" t="str">
        <x:f>IF(AND(ABS(F733-I733)&lt;0.000001,ABS(G733-J733)&lt;0.000001,IF(ISNUMBER(L733),IF(ISNUMBER(M733),ABS(L733-M733)&lt;0.00000001,FALSE),M733=L733)),"PASS","FAIL")</x:f>
        <x:v>PASS</x:v>
      </x:c>
      <x:c r="O733" s="99" t="str"/>
      <x:c r="P733" s="76" t="str">
        <x:v>Liquidity</x:v>
      </x:c>
    </x:row>
    <x:row r="734" ht="26" customHeight="1">
      <x:c r="A734" s="168" t="str">
        <x:v>FCCL</x:v>
      </x:c>
      <x:c r="B734" s="168" t="n">
        <x:v>2023</x:v>
      </x:c>
      <x:c r="C734" s="168" t="n">
        <x:v>3</x:v>
      </x:c>
      <x:c r="D734" s="168" t="str">
        <x:v>Cash ratio</x:v>
      </x:c>
      <x:c r="E734" s="168" t="str">
        <x:v>Mandatory</x:v>
      </x:c>
      <x:c r="F734" s="169" t="n">
        <x:f>FCCL!F34</x:f>
        <x:v>970.457</x:v>
      </x:c>
      <x:c r="G734" s="169" t="n">
        <x:f>FCCL!F61</x:f>
        <x:v>28486.855000000003</x:v>
      </x:c>
      <x:c r="H734" s="169" t="n">
        <x:f>IF(G734&lt;=0,"n/m",F734/G734)</x:f>
        <x:v>0.03406683538776042</x:v>
      </x:c>
      <x:c r="I734" s="169" t="n">
        <x:v>970.457</x:v>
      </x:c>
      <x:c r="J734" s="169" t="n">
        <x:v>28486.855</x:v>
      </x:c>
      <x:c r="K734" s="169" t="n">
        <x:v>0.034066835387760425</x:v>
      </x:c>
      <x:c r="L734" s="175" t="n">
        <x:v>0.034066835387760425</x:v>
      </x:c>
      <x:c r="M734" s="175" t="n">
        <x:f>FCCL!F140</x:f>
        <x:v>0.03406683538776042</x:v>
      </x:c>
      <x:c r="N734" s="176" t="str">
        <x:f>IF(AND(ABS(F734-I734)&lt;0.000001,ABS(G734-J734)&lt;0.000001,IF(ISNUMBER(L734),IF(ISNUMBER(M734),ABS(L734-M734)&lt;0.00000001,FALSE),M734=L734)),"PASS","FAIL")</x:f>
        <x:v>PASS</x:v>
      </x:c>
      <x:c r="O734" s="171" t="str"/>
      <x:c r="P734" s="168" t="str">
        <x:v>Liquidity</x:v>
      </x:c>
    </x:row>
    <x:row r="735" ht="26" customHeight="1">
      <x:c r="A735" s="76" t="str">
        <x:v>FCCL</x:v>
      </x:c>
      <x:c r="B735" s="76" t="n">
        <x:v>2023</x:v>
      </x:c>
      <x:c r="C735" s="76" t="n">
        <x:v>4</x:v>
      </x:c>
      <x:c r="D735" s="76" t="str">
        <x:v>Net working capital (PKR m)</x:v>
      </x:c>
      <x:c r="E735" s="76" t="str">
        <x:v>Additional</x:v>
      </x:c>
      <x:c r="F735" s="170" t="n">
        <x:f>FCCL!F36-FCCL!F61</x:f>
        <x:v>-5352.356000000003</x:v>
      </x:c>
      <x:c r="G735" s="170" t="n">
        <x:f>1</x:f>
        <x:v>1</x:v>
      </x:c>
      <x:c r="H735" s="170" t="n">
        <x:f>IF(G735&lt;=0,"n/m",F735/G735)</x:f>
        <x:v>-5352.356000000003</x:v>
      </x:c>
      <x:c r="I735" s="170" t="n">
        <x:v>-5352.356</x:v>
      </x:c>
      <x:c r="J735" s="170" t="n">
        <x:v>1</x:v>
      </x:c>
      <x:c r="K735" s="170" t="n">
        <x:v>-5352.356</x:v>
      </x:c>
      <x:c r="L735" s="177" t="str">
        <x:v>n/m</x:v>
      </x:c>
      <x:c r="M735" s="177" t="str">
        <x:f>FCCL!F141</x:f>
        <x:v>n/m</x:v>
      </x:c>
      <x:c r="N735" s="178" t="str">
        <x:f>IF(AND(ABS(F735-I735)&lt;0.000001,ABS(G735-J735)&lt;0.000001,IF(ISNUMBER(L735),IF(ISNUMBER(M735),ABS(L735-M735)&lt;0.00000001,FALSE),M735=L735)),"PASS","FAIL")</x:f>
        <x:v>PASS</x:v>
      </x:c>
      <x:c r="O735" s="99" t="str">
        <x:v>Negative calculated measure; raw signed value in H/K.</x:v>
      </x:c>
      <x:c r="P735" s="76" t="str">
        <x:v>Liquidity</x:v>
      </x:c>
    </x:row>
    <x:row r="736" ht="26" customHeight="1">
      <x:c r="A736" s="168" t="str">
        <x:v>FCCL</x:v>
      </x:c>
      <x:c r="B736" s="168" t="n">
        <x:v>2023</x:v>
      </x:c>
      <x:c r="C736" s="168" t="n">
        <x:v>5</x:v>
      </x:c>
      <x:c r="D736" s="168" t="str">
        <x:v>Net operating working capital (PKR m)</x:v>
      </x:c>
      <x:c r="E736" s="168" t="str">
        <x:v>Additional</x:v>
      </x:c>
      <x:c r="F736" s="169" t="n">
        <x:f>FCCL!F72-FCCL!F73</x:f>
        <x:v>10212.416999999998</x:v>
      </x:c>
      <x:c r="G736" s="169" t="n">
        <x:f>1</x:f>
        <x:v>1</x:v>
      </x:c>
      <x:c r="H736" s="169" t="n">
        <x:f>IF(G736&lt;=0,"n/m",F736/G736)</x:f>
        <x:v>10212.416999999998</x:v>
      </x:c>
      <x:c r="I736" s="169" t="n">
        <x:v>10212.417000000001</x:v>
      </x:c>
      <x:c r="J736" s="169" t="n">
        <x:v>1</x:v>
      </x:c>
      <x:c r="K736" s="169" t="n">
        <x:v>10212.417000000001</x:v>
      </x:c>
      <x:c r="L736" s="175" t="n">
        <x:v>10212.417000000001</x:v>
      </x:c>
      <x:c r="M736" s="175" t="n">
        <x:f>FCCL!F142</x:f>
        <x:v>10212.416999999998</x:v>
      </x:c>
      <x:c r="N736" s="176" t="str">
        <x:f>IF(AND(ABS(F736-I736)&lt;0.000001,ABS(G736-J736)&lt;0.000001,IF(ISNUMBER(L736),IF(ISNUMBER(M736),ABS(L736-M736)&lt;0.00000001,FALSE),M736=L736)),"PASS","FAIL")</x:f>
        <x:v>PASS</x:v>
      </x:c>
      <x:c r="O736" s="171" t="str"/>
      <x:c r="P736" s="168" t="str">
        <x:v>Liquidity</x:v>
      </x:c>
    </x:row>
    <x:row r="737" ht="26" customHeight="1">
      <x:c r="A737" s="76" t="str">
        <x:v>FCCL</x:v>
      </x:c>
      <x:c r="B737" s="76" t="n">
        <x:v>2023</x:v>
      </x:c>
      <x:c r="C737" s="76" t="n">
        <x:v>6</x:v>
      </x:c>
      <x:c r="D737" s="76" t="str">
        <x:v>Inventory turnover</x:v>
      </x:c>
      <x:c r="E737" s="76" t="str">
        <x:v>Mandatory</x:v>
      </x:c>
      <x:c r="F737" s="170" t="n">
        <x:f>-FCCL!F85</x:f>
        <x:v>47650.809</x:v>
      </x:c>
      <x:c r="G737" s="170" t="n">
        <x:f>AVERAGE(FCCL!E65,FCCL!F65)</x:f>
        <x:v>15380.188</x:v>
      </x:c>
      <x:c r="H737" s="170" t="n">
        <x:f>IF(G737&lt;=0,"n/m",F737/G737)</x:f>
        <x:v>3.0981941833220765</x:v>
      </x:c>
      <x:c r="I737" s="170" t="n">
        <x:v>47650.809</x:v>
      </x:c>
      <x:c r="J737" s="170" t="n">
        <x:v>15380.188</x:v>
      </x:c>
      <x:c r="K737" s="170" t="n">
        <x:v>3.0981941833220765</x:v>
      </x:c>
      <x:c r="L737" s="177" t="n">
        <x:v>3.0981941833220765</x:v>
      </x:c>
      <x:c r="M737" s="177" t="n">
        <x:f>FCCL!F144</x:f>
        <x:v>3.0981941833220765</x:v>
      </x:c>
      <x:c r="N737" s="178" t="str">
        <x:f>IF(AND(ABS(F737-I737)&lt;0.000001,ABS(G737-J737)&lt;0.000001,IF(ISNUMBER(L737),IF(ISNUMBER(M737),ABS(L737-M737)&lt;0.00000001,FALSE),M737=L737)),"PASS","FAIL")</x:f>
        <x:v>PASS</x:v>
      </x:c>
      <x:c r="O737" s="99" t="str"/>
      <x:c r="P737" s="76" t="str">
        <x:v>Asset Management</x:v>
      </x:c>
    </x:row>
    <x:row r="738" ht="26" customHeight="1">
      <x:c r="A738" s="168" t="str">
        <x:v>FCCL</x:v>
      </x:c>
      <x:c r="B738" s="168" t="n">
        <x:v>2023</x:v>
      </x:c>
      <x:c r="C738" s="168" t="n">
        <x:v>7</x:v>
      </x:c>
      <x:c r="D738" s="168" t="str">
        <x:v>Receivables turnover</x:v>
      </x:c>
      <x:c r="E738" s="168" t="str">
        <x:v>Additional</x:v>
      </x:c>
      <x:c r="F738" s="169" t="n">
        <x:f>FCCL!F84</x:f>
        <x:v>68069.282</x:v>
      </x:c>
      <x:c r="G738" s="169" t="n">
        <x:f>AVERAGE(FCCL!E32,FCCL!F32)</x:f>
        <x:v>2992.6014999999998</x:v>
      </x:c>
      <x:c r="H738" s="169" t="n">
        <x:f>IF(G738&lt;=0,"n/m",F738/G738)</x:f>
        <x:v>22.74585573789227</x:v>
      </x:c>
      <x:c r="I738" s="169" t="n">
        <x:v>68069.282</x:v>
      </x:c>
      <x:c r="J738" s="169" t="n">
        <x:v>2992.6014999999998</x:v>
      </x:c>
      <x:c r="K738" s="169" t="n">
        <x:v>22.74585573789227</x:v>
      </x:c>
      <x:c r="L738" s="175" t="n">
        <x:v>22.74585573789227</x:v>
      </x:c>
      <x:c r="M738" s="175" t="n">
        <x:f>FCCL!F145</x:f>
        <x:v>22.74585573789227</x:v>
      </x:c>
      <x:c r="N738" s="176" t="str">
        <x:f>IF(AND(ABS(F738-I738)&lt;0.000001,ABS(G738-J738)&lt;0.000001,IF(ISNUMBER(L738),IF(ISNUMBER(M738),ABS(L738-M738)&lt;0.00000001,FALSE),M738=L738)),"PASS","FAIL")</x:f>
        <x:v>PASS</x:v>
      </x:c>
      <x:c r="O738" s="171" t="str"/>
      <x:c r="P738" s="168" t="str">
        <x:v>Asset Management</x:v>
      </x:c>
    </x:row>
    <x:row r="739" ht="26" customHeight="1">
      <x:c r="A739" s="76" t="str">
        <x:v>FCCL</x:v>
      </x:c>
      <x:c r="B739" s="76" t="n">
        <x:v>2023</x:v>
      </x:c>
      <x:c r="C739" s="76" t="n">
        <x:v>8</x:v>
      </x:c>
      <x:c r="D739" s="76" t="str">
        <x:v>Payables turnover</x:v>
      </x:c>
      <x:c r="E739" s="76" t="str">
        <x:v>Additional</x:v>
      </x:c>
      <x:c r="F739" s="170" t="n">
        <x:f>-FCCL!F85</x:f>
        <x:v>47650.809</x:v>
      </x:c>
      <x:c r="G739" s="170" t="n">
        <x:f>AVERAGE(FCCL!E51,FCCL!F51)</x:f>
        <x:v>2653.276</x:v>
      </x:c>
      <x:c r="H739" s="170" t="n">
        <x:f>IF(G739&lt;=0,"n/m",F739/G739)</x:f>
        <x:v>17.959235676951813</x:v>
      </x:c>
      <x:c r="I739" s="170" t="n">
        <x:v>47650.809</x:v>
      </x:c>
      <x:c r="J739" s="170" t="n">
        <x:v>2653.276</x:v>
      </x:c>
      <x:c r="K739" s="170" t="n">
        <x:v>17.959235676951813</x:v>
      </x:c>
      <x:c r="L739" s="177" t="n">
        <x:v>17.959235676951813</x:v>
      </x:c>
      <x:c r="M739" s="177" t="n">
        <x:f>FCCL!F146</x:f>
        <x:v>17.959235676951813</x:v>
      </x:c>
      <x:c r="N739" s="178" t="str">
        <x:f>IF(AND(ABS(F739-I739)&lt;0.000001,ABS(G739-J739)&lt;0.000001,IF(ISNUMBER(L739),IF(ISNUMBER(M739),ABS(L739-M739)&lt;0.00000001,FALSE),M739=L739)),"PASS","FAIL")</x:f>
        <x:v>PASS</x:v>
      </x:c>
      <x:c r="O739" s="99" t="str"/>
      <x:c r="P739" s="76" t="str">
        <x:v>Asset Management</x:v>
      </x:c>
    </x:row>
    <x:row r="740" ht="26" customHeight="1">
      <x:c r="A740" s="168" t="str">
        <x:v>FCCL</x:v>
      </x:c>
      <x:c r="B740" s="168" t="n">
        <x:v>2023</x:v>
      </x:c>
      <x:c r="C740" s="168" t="n">
        <x:v>9</x:v>
      </x:c>
      <x:c r="D740" s="168" t="str">
        <x:v>Days inventory outstanding</x:v>
      </x:c>
      <x:c r="E740" s="168" t="str">
        <x:v>Additional</x:v>
      </x:c>
      <x:c r="F740" s="169" t="n">
        <x:f>365*AVERAGE(FCCL!E65,FCCL!F65)</x:f>
        <x:v>5613768.62</x:v>
      </x:c>
      <x:c r="G740" s="169" t="n">
        <x:f>-FCCL!F85</x:f>
        <x:v>47650.809</x:v>
      </x:c>
      <x:c r="H740" s="169" t="n">
        <x:f>IF(G740&lt;=0,"n/m",F740/G740)</x:f>
        <x:v>117.81056267061489</x:v>
      </x:c>
      <x:c r="I740" s="169" t="n">
        <x:v>5613768.62</x:v>
      </x:c>
      <x:c r="J740" s="169" t="n">
        <x:v>47650.809</x:v>
      </x:c>
      <x:c r="K740" s="169" t="n">
        <x:v>117.81056267061489</x:v>
      </x:c>
      <x:c r="L740" s="175" t="n">
        <x:v>117.81056267061489</x:v>
      </x:c>
      <x:c r="M740" s="175" t="n">
        <x:f>FCCL!F147</x:f>
        <x:v>117.81056267061489</x:v>
      </x:c>
      <x:c r="N740" s="176" t="str">
        <x:f>IF(AND(ABS(F740-I740)&lt;0.000001,ABS(G740-J740)&lt;0.000001,IF(ISNUMBER(L740),IF(ISNUMBER(M740),ABS(L740-M740)&lt;0.00000001,FALSE),M740=L740)),"PASS","FAIL")</x:f>
        <x:v>PASS</x:v>
      </x:c>
      <x:c r="O740" s="171" t="str"/>
      <x:c r="P740" s="168" t="str">
        <x:v>Asset Management</x:v>
      </x:c>
    </x:row>
    <x:row r="741" ht="26" customHeight="1">
      <x:c r="A741" s="76" t="str">
        <x:v>FCCL</x:v>
      </x:c>
      <x:c r="B741" s="76" t="n">
        <x:v>2023</x:v>
      </x:c>
      <x:c r="C741" s="76" t="n">
        <x:v>10</x:v>
      </x:c>
      <x:c r="D741" s="76" t="str">
        <x:v>Days sales outstanding</x:v>
      </x:c>
      <x:c r="E741" s="76" t="str">
        <x:v>Mandatory</x:v>
      </x:c>
      <x:c r="F741" s="170" t="n">
        <x:f>365*AVERAGE(FCCL!E32,FCCL!F32)</x:f>
        <x:v>1092299.5474999999</x:v>
      </x:c>
      <x:c r="G741" s="170" t="n">
        <x:f>FCCL!F84</x:f>
        <x:v>68069.282</x:v>
      </x:c>
      <x:c r="H741" s="170" t="n">
        <x:f>IF(G741&lt;=0,"n/m",F741/G741)</x:f>
        <x:v>16.04687922960609</x:v>
      </x:c>
      <x:c r="I741" s="170" t="n">
        <x:v>1092299.5474999999</x:v>
      </x:c>
      <x:c r="J741" s="170" t="n">
        <x:v>68069.282</x:v>
      </x:c>
      <x:c r="K741" s="170" t="n">
        <x:v>16.04687922960609</x:v>
      </x:c>
      <x:c r="L741" s="177" t="n">
        <x:v>16.04687922960609</x:v>
      </x:c>
      <x:c r="M741" s="177" t="n">
        <x:f>FCCL!F148</x:f>
        <x:v>16.04687922960609</x:v>
      </x:c>
      <x:c r="N741" s="178" t="str">
        <x:f>IF(AND(ABS(F741-I741)&lt;0.000001,ABS(G741-J741)&lt;0.000001,IF(ISNUMBER(L741),IF(ISNUMBER(M741),ABS(L741-M741)&lt;0.00000001,FALSE),M741=L741)),"PASS","FAIL")</x:f>
        <x:v>PASS</x:v>
      </x:c>
      <x:c r="O741" s="99" t="str"/>
      <x:c r="P741" s="76" t="str">
        <x:v>Asset Management</x:v>
      </x:c>
    </x:row>
    <x:row r="742" ht="26" customHeight="1">
      <x:c r="A742" s="168" t="str">
        <x:v>FCCL</x:v>
      </x:c>
      <x:c r="B742" s="168" t="n">
        <x:v>2023</x:v>
      </x:c>
      <x:c r="C742" s="168" t="n">
        <x:v>11</x:v>
      </x:c>
      <x:c r="D742" s="168" t="str">
        <x:v>Days payables outstanding</x:v>
      </x:c>
      <x:c r="E742" s="168" t="str">
        <x:v>Additional</x:v>
      </x:c>
      <x:c r="F742" s="169" t="n">
        <x:f>365*AVERAGE(FCCL!E51,FCCL!F51)</x:f>
        <x:v>968445.74</x:v>
      </x:c>
      <x:c r="G742" s="169" t="n">
        <x:f>-FCCL!F85</x:f>
        <x:v>47650.809</x:v>
      </x:c>
      <x:c r="H742" s="169" t="n">
        <x:f>IF(G742&lt;=0,"n/m",F742/G742)</x:f>
        <x:v>20.323804785769745</x:v>
      </x:c>
      <x:c r="I742" s="169" t="n">
        <x:v>968445.74</x:v>
      </x:c>
      <x:c r="J742" s="169" t="n">
        <x:v>47650.809</x:v>
      </x:c>
      <x:c r="K742" s="169" t="n">
        <x:v>20.323804785769745</x:v>
      </x:c>
      <x:c r="L742" s="175" t="n">
        <x:v>20.323804785769745</x:v>
      </x:c>
      <x:c r="M742" s="175" t="n">
        <x:f>FCCL!F149</x:f>
        <x:v>20.323804785769745</x:v>
      </x:c>
      <x:c r="N742" s="176" t="str">
        <x:f>IF(AND(ABS(F742-I742)&lt;0.000001,ABS(G742-J742)&lt;0.000001,IF(ISNUMBER(L742),IF(ISNUMBER(M742),ABS(L742-M742)&lt;0.00000001,FALSE),M742=L742)),"PASS","FAIL")</x:f>
        <x:v>PASS</x:v>
      </x:c>
      <x:c r="O742" s="171" t="str"/>
      <x:c r="P742" s="168" t="str">
        <x:v>Asset Management</x:v>
      </x:c>
    </x:row>
    <x:row r="743" ht="26" customHeight="1">
      <x:c r="A743" s="76" t="str">
        <x:v>FCCL</x:v>
      </x:c>
      <x:c r="B743" s="76" t="n">
        <x:v>2023</x:v>
      </x:c>
      <x:c r="C743" s="76" t="n">
        <x:v>12</x:v>
      </x:c>
      <x:c r="D743" s="76" t="str">
        <x:v>Operating cycle (days)</x:v>
      </x:c>
      <x:c r="E743" s="76" t="str">
        <x:v>Additional</x:v>
      </x:c>
      <x:c r="F743" s="170" t="n">
        <x:f>365*AVERAGE(FCCL!E65,FCCL!F65)/(-FCCL!F85)+365*AVERAGE(FCCL!E32,FCCL!F32)/FCCL!F84</x:f>
        <x:v>133.85744190022098</x:v>
      </x:c>
      <x:c r="G743" s="170" t="n">
        <x:f>1</x:f>
        <x:v>1</x:v>
      </x:c>
      <x:c r="H743" s="170" t="n">
        <x:f>IF(G743&lt;=0,"n/m",F743/G743)</x:f>
        <x:v>133.85744190022098</x:v>
      </x:c>
      <x:c r="I743" s="170" t="n">
        <x:v>133.85744190022098</x:v>
      </x:c>
      <x:c r="J743" s="170" t="n">
        <x:v>1</x:v>
      </x:c>
      <x:c r="K743" s="170" t="n">
        <x:v>133.85744190022098</x:v>
      </x:c>
      <x:c r="L743" s="177" t="n">
        <x:v>133.85744190022098</x:v>
      </x:c>
      <x:c r="M743" s="177" t="n">
        <x:f>FCCL!F150</x:f>
        <x:v>133.85744190022098</x:v>
      </x:c>
      <x:c r="N743" s="178" t="str">
        <x:f>IF(AND(ABS(F743-I743)&lt;0.000001,ABS(G743-J743)&lt;0.000001,IF(ISNUMBER(L743),IF(ISNUMBER(M743),ABS(L743-M743)&lt;0.00000001,FALSE),M743=L743)),"PASS","FAIL")</x:f>
        <x:v>PASS</x:v>
      </x:c>
      <x:c r="O743" s="99" t="str"/>
      <x:c r="P743" s="76" t="str">
        <x:v>Asset Management</x:v>
      </x:c>
    </x:row>
    <x:row r="744" ht="26" customHeight="1">
      <x:c r="A744" s="168" t="str">
        <x:v>FCCL</x:v>
      </x:c>
      <x:c r="B744" s="168" t="n">
        <x:v>2023</x:v>
      </x:c>
      <x:c r="C744" s="168" t="n">
        <x:v>13</x:v>
      </x:c>
      <x:c r="D744" s="168" t="str">
        <x:v>Cash conversion cycle (days)</x:v>
      </x:c>
      <x:c r="E744" s="168" t="str">
        <x:v>Additional</x:v>
      </x:c>
      <x:c r="F744" s="169" t="n">
        <x:f>365*AVERAGE(FCCL!E65,FCCL!F65)/(-FCCL!F85)+365*AVERAGE(FCCL!E32,FCCL!F32)/FCCL!F84-365*AVERAGE(FCCL!E51,FCCL!F51)/(-FCCL!F85)</x:f>
        <x:v>113.53363711445124</x:v>
      </x:c>
      <x:c r="G744" s="169" t="n">
        <x:f>1</x:f>
        <x:v>1</x:v>
      </x:c>
      <x:c r="H744" s="169" t="n">
        <x:f>IF(G744&lt;=0,"n/m",F744/G744)</x:f>
        <x:v>113.53363711445124</x:v>
      </x:c>
      <x:c r="I744" s="169" t="n">
        <x:v>113.53363711445124</x:v>
      </x:c>
      <x:c r="J744" s="169" t="n">
        <x:v>1</x:v>
      </x:c>
      <x:c r="K744" s="169" t="n">
        <x:v>113.53363711445124</x:v>
      </x:c>
      <x:c r="L744" s="175" t="n">
        <x:v>113.53363711445124</x:v>
      </x:c>
      <x:c r="M744" s="175" t="n">
        <x:f>FCCL!F151</x:f>
        <x:v>113.53363711445124</x:v>
      </x:c>
      <x:c r="N744" s="176" t="str">
        <x:f>IF(AND(ABS(F744-I744)&lt;0.000001,ABS(G744-J744)&lt;0.000001,IF(ISNUMBER(L744),IF(ISNUMBER(M744),ABS(L744-M744)&lt;0.00000001,FALSE),M744=L744)),"PASS","FAIL")</x:f>
        <x:v>PASS</x:v>
      </x:c>
      <x:c r="O744" s="171" t="str"/>
      <x:c r="P744" s="168" t="str">
        <x:v>Asset Management</x:v>
      </x:c>
    </x:row>
    <x:row r="745" ht="26" customHeight="1">
      <x:c r="A745" s="76" t="str">
        <x:v>FCCL</x:v>
      </x:c>
      <x:c r="B745" s="76" t="n">
        <x:v>2023</x:v>
      </x:c>
      <x:c r="C745" s="76" t="n">
        <x:v>14</x:v>
      </x:c>
      <x:c r="D745" s="76" t="str">
        <x:v>Total asset turnover</x:v>
      </x:c>
      <x:c r="E745" s="76" t="str">
        <x:v>Mandatory</x:v>
      </x:c>
      <x:c r="F745" s="170" t="n">
        <x:f>FCCL!F84</x:f>
        <x:v>68069.282</x:v>
      </x:c>
      <x:c r="G745" s="170" t="n">
        <x:f>AVERAGE(FCCL!E37,FCCL!F37)</x:f>
        <x:v>126263.28700000001</x:v>
      </x:c>
      <x:c r="H745" s="170" t="n">
        <x:f>IF(G745&lt;=0,"n/m",F745/G745)</x:f>
        <x:v>0.5391058922773014</x:v>
      </x:c>
      <x:c r="I745" s="170" t="n">
        <x:v>68069.282</x:v>
      </x:c>
      <x:c r="J745" s="170" t="n">
        <x:v>126263.28700000001</x:v>
      </x:c>
      <x:c r="K745" s="170" t="n">
        <x:v>0.5391058922773014</x:v>
      </x:c>
      <x:c r="L745" s="177" t="n">
        <x:v>0.5391058922773014</x:v>
      </x:c>
      <x:c r="M745" s="177" t="n">
        <x:f>FCCL!F152</x:f>
        <x:v>0.5391058922773014</x:v>
      </x:c>
      <x:c r="N745" s="178" t="str">
        <x:f>IF(AND(ABS(F745-I745)&lt;0.000001,ABS(G745-J745)&lt;0.000001,IF(ISNUMBER(L745),IF(ISNUMBER(M745),ABS(L745-M745)&lt;0.00000001,FALSE),M745=L745)),"PASS","FAIL")</x:f>
        <x:v>PASS</x:v>
      </x:c>
      <x:c r="O745" s="99" t="str"/>
      <x:c r="P745" s="76" t="str">
        <x:v>Asset Management</x:v>
      </x:c>
    </x:row>
    <x:row r="746" ht="26" customHeight="1">
      <x:c r="A746" s="168" t="str">
        <x:v>FCCL</x:v>
      </x:c>
      <x:c r="B746" s="168" t="n">
        <x:v>2023</x:v>
      </x:c>
      <x:c r="C746" s="168" t="n">
        <x:v>15</x:v>
      </x:c>
      <x:c r="D746" s="168" t="str">
        <x:v>Fixed asset turnover</x:v>
      </x:c>
      <x:c r="E746" s="168" t="str">
        <x:v>Mandatory</x:v>
      </x:c>
      <x:c r="F746" s="169" t="n">
        <x:f>FCCL!F84</x:f>
        <x:v>68069.282</x:v>
      </x:c>
      <x:c r="G746" s="169" t="n">
        <x:f>AVERAGE(FCCL!E22,FCCL!F22)</x:f>
        <x:v>57109.077</x:v>
      </x:c>
      <x:c r="H746" s="169" t="n">
        <x:f>IF(G746&lt;=0,"n/m",F746/G746)</x:f>
        <x:v>1.1919170397378338</x:v>
      </x:c>
      <x:c r="I746" s="169" t="n">
        <x:v>68069.282</x:v>
      </x:c>
      <x:c r="J746" s="169" t="n">
        <x:v>57109.077</x:v>
      </x:c>
      <x:c r="K746" s="169" t="n">
        <x:v>1.1919170397378338</x:v>
      </x:c>
      <x:c r="L746" s="175" t="n">
        <x:v>1.1919170397378338</x:v>
      </x:c>
      <x:c r="M746" s="175" t="n">
        <x:f>FCCL!F153</x:f>
        <x:v>1.1919170397378338</x:v>
      </x:c>
      <x:c r="N746" s="176" t="str">
        <x:f>IF(AND(ABS(F746-I746)&lt;0.000001,ABS(G746-J746)&lt;0.000001,IF(ISNUMBER(L746),IF(ISNUMBER(M746),ABS(L746-M746)&lt;0.00000001,FALSE),M746=L746)),"PASS","FAIL")</x:f>
        <x:v>PASS</x:v>
      </x:c>
      <x:c r="O746" s="171" t="str"/>
      <x:c r="P746" s="168" t="str">
        <x:v>Asset Management</x:v>
      </x:c>
    </x:row>
    <x:row r="747" ht="26" customHeight="1">
      <x:c r="A747" s="76" t="str">
        <x:v>FCCL</x:v>
      </x:c>
      <x:c r="B747" s="76" t="n">
        <x:v>2023</x:v>
      </x:c>
      <x:c r="C747" s="76" t="n">
        <x:v>16</x:v>
      </x:c>
      <x:c r="D747" s="76" t="str">
        <x:v>Debt ratio</x:v>
      </x:c>
      <x:c r="E747" s="76" t="str">
        <x:v>Mandatory</x:v>
      </x:c>
      <x:c r="F747" s="170" t="n">
        <x:f>FCCL!F62</x:f>
        <x:v>73652.76000000001</x:v>
      </x:c>
      <x:c r="G747" s="170" t="n">
        <x:f>FCCL!F37</x:f>
        <x:v>138828.497</x:v>
      </x:c>
      <x:c r="H747" s="170" t="n">
        <x:f>IF(G747&lt;=0,"n/m",F747/G747)</x:f>
        <x:v>0.530530558146142</x:v>
      </x:c>
      <x:c r="I747" s="170" t="n">
        <x:v>73652.76</x:v>
      </x:c>
      <x:c r="J747" s="170" t="n">
        <x:v>138828.497</x:v>
      </x:c>
      <x:c r="K747" s="170" t="n">
        <x:v>0.5305305581461419</x:v>
      </x:c>
      <x:c r="L747" s="177" t="n">
        <x:v>0.5305305581461419</x:v>
      </x:c>
      <x:c r="M747" s="177" t="n">
        <x:f>FCCL!F155</x:f>
        <x:v>0.530530558146142</x:v>
      </x:c>
      <x:c r="N747" s="178" t="str">
        <x:f>IF(AND(ABS(F747-I747)&lt;0.000001,ABS(G747-J747)&lt;0.000001,IF(ISNUMBER(L747),IF(ISNUMBER(M747),ABS(L747-M747)&lt;0.00000001,FALSE),M747=L747)),"PASS","FAIL")</x:f>
        <x:v>PASS</x:v>
      </x:c>
      <x:c r="O747" s="99" t="str"/>
      <x:c r="P747" s="76" t="str">
        <x:v>Debt Management</x:v>
      </x:c>
    </x:row>
    <x:row r="748" ht="26" customHeight="1">
      <x:c r="A748" s="168" t="str">
        <x:v>FCCL</x:v>
      </x:c>
      <x:c r="B748" s="168" t="n">
        <x:v>2023</x:v>
      </x:c>
      <x:c r="C748" s="168" t="n">
        <x:v>17</x:v>
      </x:c>
      <x:c r="D748" s="168" t="str">
        <x:v>Debt-to-equity</x:v>
      </x:c>
      <x:c r="E748" s="168" t="str">
        <x:v>Mandatory</x:v>
      </x:c>
      <x:c r="F748" s="169" t="n">
        <x:f>FCCL!F62</x:f>
        <x:v>73652.76000000001</x:v>
      </x:c>
      <x:c r="G748" s="169" t="n">
        <x:f>FCCL!F41</x:f>
        <x:v>65175.736999999994</x:v>
      </x:c>
      <x:c r="H748" s="169" t="n">
        <x:f>IF(G748&lt;=0,"n/m",F748/G748)</x:f>
        <x:v>1.130064091181662</x:v>
      </x:c>
      <x:c r="I748" s="169" t="n">
        <x:v>73652.76</x:v>
      </x:c>
      <x:c r="J748" s="169" t="n">
        <x:v>65175.736999999994</x:v>
      </x:c>
      <x:c r="K748" s="169" t="n">
        <x:v>1.1300640911816617</x:v>
      </x:c>
      <x:c r="L748" s="175" t="n">
        <x:v>1.1300640911816617</x:v>
      </x:c>
      <x:c r="M748" s="175" t="n">
        <x:f>FCCL!F156</x:f>
        <x:v>1.130064091181662</x:v>
      </x:c>
      <x:c r="N748" s="176" t="str">
        <x:f>IF(AND(ABS(F748-I748)&lt;0.000001,ABS(G748-J748)&lt;0.000001,IF(ISNUMBER(L748),IF(ISNUMBER(M748),ABS(L748-M748)&lt;0.00000001,FALSE),M748=L748)),"PASS","FAIL")</x:f>
        <x:v>PASS</x:v>
      </x:c>
      <x:c r="O748" s="171" t="str"/>
      <x:c r="P748" s="168" t="str">
        <x:v>Debt Management</x:v>
      </x:c>
    </x:row>
    <x:row r="749" ht="26" customHeight="1">
      <x:c r="A749" s="76" t="str">
        <x:v>FCCL</x:v>
      </x:c>
      <x:c r="B749" s="76" t="n">
        <x:v>2023</x:v>
      </x:c>
      <x:c r="C749" s="76" t="n">
        <x:v>18</x:v>
      </x:c>
      <x:c r="D749" s="76" t="str">
        <x:v>Total debt-to-capital</x:v>
      </x:c>
      <x:c r="E749" s="76" t="str">
        <x:v>Additional</x:v>
      </x:c>
      <x:c r="F749" s="170" t="n">
        <x:f>FCCL!F66</x:f>
        <x:v>40653.99600000001</x:v>
      </x:c>
      <x:c r="G749" s="170" t="n">
        <x:f>FCCL!F66+FCCL!F41</x:f>
        <x:v>105829.73300000001</x:v>
      </x:c>
      <x:c r="H749" s="170" t="n">
        <x:f>IF(G749&lt;=0,"n/m",F749/G749)</x:f>
        <x:v>0.3841453138694019</x:v>
      </x:c>
      <x:c r="I749" s="170" t="n">
        <x:v>40653.996</x:v>
      </x:c>
      <x:c r="J749" s="170" t="n">
        <x:v>105829.733</x:v>
      </x:c>
      <x:c r="K749" s="170" t="n">
        <x:v>0.3841453138694019</x:v>
      </x:c>
      <x:c r="L749" s="177" t="n">
        <x:v>0.3841453138694019</x:v>
      </x:c>
      <x:c r="M749" s="177" t="n">
        <x:f>FCCL!F157</x:f>
        <x:v>0.3841453138694019</x:v>
      </x:c>
      <x:c r="N749" s="178" t="str">
        <x:f>IF(AND(ABS(F749-I749)&lt;0.000001,ABS(G749-J749)&lt;0.000001,IF(ISNUMBER(L749),IF(ISNUMBER(M749),ABS(L749-M749)&lt;0.00000001,FALSE),M749=L749)),"PASS","FAIL")</x:f>
        <x:v>PASS</x:v>
      </x:c>
      <x:c r="O749" s="99" t="str"/>
      <x:c r="P749" s="76" t="str">
        <x:v>Debt Management</x:v>
      </x:c>
    </x:row>
    <x:row r="750" ht="26" customHeight="1">
      <x:c r="A750" s="168" t="str">
        <x:v>FCCL</x:v>
      </x:c>
      <x:c r="B750" s="168" t="n">
        <x:v>2023</x:v>
      </x:c>
      <x:c r="C750" s="168" t="n">
        <x:v>19</x:v>
      </x:c>
      <x:c r="D750" s="168" t="str">
        <x:v>Long-term debt ratio</x:v>
      </x:c>
      <x:c r="E750" s="168" t="str">
        <x:v>Additional</x:v>
      </x:c>
      <x:c r="F750" s="169" t="n">
        <x:f>FCCL!F67</x:f>
        <x:v>31896.059</x:v>
      </x:c>
      <x:c r="G750" s="169" t="n">
        <x:f>FCCL!F37</x:f>
        <x:v>138828.497</x:v>
      </x:c>
      <x:c r="H750" s="169" t="n">
        <x:f>IF(G750&lt;=0,"n/m",F750/G750)</x:f>
        <x:v>0.22975152572601862</x:v>
      </x:c>
      <x:c r="I750" s="169" t="n">
        <x:v>31896.059</x:v>
      </x:c>
      <x:c r="J750" s="169" t="n">
        <x:v>138828.497</x:v>
      </x:c>
      <x:c r="K750" s="169" t="n">
        <x:v>0.22975152572601862</x:v>
      </x:c>
      <x:c r="L750" s="175" t="n">
        <x:v>0.22975152572601862</x:v>
      </x:c>
      <x:c r="M750" s="175" t="n">
        <x:f>FCCL!F158</x:f>
        <x:v>0.22975152572601862</x:v>
      </x:c>
      <x:c r="N750" s="176" t="str">
        <x:f>IF(AND(ABS(F750-I750)&lt;0.000001,ABS(G750-J750)&lt;0.000001,IF(ISNUMBER(L750),IF(ISNUMBER(M750),ABS(L750-M750)&lt;0.00000001,FALSE),M750=L750)),"PASS","FAIL")</x:f>
        <x:v>PASS</x:v>
      </x:c>
      <x:c r="O750" s="171" t="str"/>
      <x:c r="P750" s="168" t="str">
        <x:v>Debt Management</x:v>
      </x:c>
    </x:row>
    <x:row r="751" ht="26" customHeight="1">
      <x:c r="A751" s="76" t="str">
        <x:v>FCCL</x:v>
      </x:c>
      <x:c r="B751" s="76" t="n">
        <x:v>2023</x:v>
      </x:c>
      <x:c r="C751" s="76" t="n">
        <x:v>20</x:v>
      </x:c>
      <x:c r="D751" s="76" t="str">
        <x:v>Times interest earned</x:v>
      </x:c>
      <x:c r="E751" s="76" t="str">
        <x:v>Mandatory</x:v>
      </x:c>
      <x:c r="F751" s="170" t="n">
        <x:f>FCCL!F108</x:f>
        <x:v>16545.374000000007</x:v>
      </x:c>
      <x:c r="G751" s="170" t="n">
        <x:f>FCCL!F106</x:f>
        <x:v>2624.81</x:v>
      </x:c>
      <x:c r="H751" s="170" t="n">
        <x:f>IF(G751&lt;=0,"n/m",F751/G751)</x:f>
        <x:v>6.303455869186725</x:v>
      </x:c>
      <x:c r="I751" s="170" t="n">
        <x:v>16545.374000000007</x:v>
      </x:c>
      <x:c r="J751" s="170" t="n">
        <x:v>2624.81</x:v>
      </x:c>
      <x:c r="K751" s="170" t="n">
        <x:v>6.303455869186725</x:v>
      </x:c>
      <x:c r="L751" s="177" t="n">
        <x:v>6.303455869186725</x:v>
      </x:c>
      <x:c r="M751" s="177" t="n">
        <x:f>FCCL!F159</x:f>
        <x:v>6.303455869186725</x:v>
      </x:c>
      <x:c r="N751" s="178" t="str">
        <x:f>IF(AND(ABS(F751-I751)&lt;0.000001,ABS(G751-J751)&lt;0.000001,IF(ISNUMBER(L751),IF(ISNUMBER(M751),ABS(L751-M751)&lt;0.00000001,FALSE),M751=L751)),"PASS","FAIL")</x:f>
        <x:v>PASS</x:v>
      </x:c>
      <x:c r="O751" s="99" t="str"/>
      <x:c r="P751" s="76" t="str">
        <x:v>Debt Management</x:v>
      </x:c>
    </x:row>
    <x:row r="752" ht="26" customHeight="1">
      <x:c r="A752" s="168" t="str">
        <x:v>FCCL</x:v>
      </x:c>
      <x:c r="B752" s="168" t="n">
        <x:v>2023</x:v>
      </x:c>
      <x:c r="C752" s="168" t="n">
        <x:v>21</x:v>
      </x:c>
      <x:c r="D752" s="168" t="str">
        <x:v>Gross profit margin</x:v>
      </x:c>
      <x:c r="E752" s="168" t="str">
        <x:v>Mandatory</x:v>
      </x:c>
      <x:c r="F752" s="169" t="n">
        <x:f>FCCL!F86</x:f>
        <x:v>20418.473000000005</x:v>
      </x:c>
      <x:c r="G752" s="169" t="n">
        <x:f>FCCL!F84</x:f>
        <x:v>68069.282</x:v>
      </x:c>
      <x:c r="H752" s="169" t="n">
        <x:f>IF(G752&lt;=0,"n/m",F752/G752)</x:f>
        <x:v>0.2999660404821077</x:v>
      </x:c>
      <x:c r="I752" s="169" t="n">
        <x:v>20418.473000000005</x:v>
      </x:c>
      <x:c r="J752" s="169" t="n">
        <x:v>68069.282</x:v>
      </x:c>
      <x:c r="K752" s="169" t="n">
        <x:v>0.2999660404821077</x:v>
      </x:c>
      <x:c r="L752" s="175" t="n">
        <x:v>0.2999660404821077</x:v>
      </x:c>
      <x:c r="M752" s="175" t="n">
        <x:f>FCCL!F161</x:f>
        <x:v>0.2999660404821077</x:v>
      </x:c>
      <x:c r="N752" s="176" t="str">
        <x:f>IF(AND(ABS(F752-I752)&lt;0.000001,ABS(G752-J752)&lt;0.000001,IF(ISNUMBER(L752),IF(ISNUMBER(M752),ABS(L752-M752)&lt;0.00000001,FALSE),M752=L752)),"PASS","FAIL")</x:f>
        <x:v>PASS</x:v>
      </x:c>
      <x:c r="O752" s="171" t="str"/>
      <x:c r="P752" s="168" t="str">
        <x:v>Profitability</x:v>
      </x:c>
    </x:row>
    <x:row r="753" ht="26" customHeight="1">
      <x:c r="A753" s="76" t="str">
        <x:v>FCCL</x:v>
      </x:c>
      <x:c r="B753" s="76" t="n">
        <x:v>2023</x:v>
      </x:c>
      <x:c r="C753" s="76" t="n">
        <x:v>22</x:v>
      </x:c>
      <x:c r="D753" s="76" t="str">
        <x:v>Operating margin</x:v>
      </x:c>
      <x:c r="E753" s="76" t="str">
        <x:v>Mandatory</x:v>
      </x:c>
      <x:c r="F753" s="170" t="n">
        <x:f>FCCL!F91</x:f>
        <x:v>15581.499000000007</x:v>
      </x:c>
      <x:c r="G753" s="170" t="n">
        <x:f>FCCL!F84</x:f>
        <x:v>68069.282</x:v>
      </x:c>
      <x:c r="H753" s="170" t="n">
        <x:f>IF(G753&lt;=0,"n/m",F753/G753)</x:f>
        <x:v>0.2289064691471258</x:v>
      </x:c>
      <x:c r="I753" s="170" t="n">
        <x:v>15581.499000000005</x:v>
      </x:c>
      <x:c r="J753" s="170" t="n">
        <x:v>68069.282</x:v>
      </x:c>
      <x:c r="K753" s="170" t="n">
        <x:v>0.22890646914712579</x:v>
      </x:c>
      <x:c r="L753" s="177" t="n">
        <x:v>0.22890646914712579</x:v>
      </x:c>
      <x:c r="M753" s="177" t="n">
        <x:f>FCCL!F162</x:f>
        <x:v>0.2289064691471258</x:v>
      </x:c>
      <x:c r="N753" s="178" t="str">
        <x:f>IF(AND(ABS(F753-I753)&lt;0.000001,ABS(G753-J753)&lt;0.000001,IF(ISNUMBER(L753),IF(ISNUMBER(M753),ABS(L753-M753)&lt;0.00000001,FALSE),M753=L753)),"PASS","FAIL")</x:f>
        <x:v>PASS</x:v>
      </x:c>
      <x:c r="O753" s="99" t="str"/>
      <x:c r="P753" s="76" t="str">
        <x:v>Profitability</x:v>
      </x:c>
    </x:row>
    <x:row r="754" ht="26" customHeight="1">
      <x:c r="A754" s="168" t="str">
        <x:v>FCCL</x:v>
      </x:c>
      <x:c r="B754" s="168" t="n">
        <x:v>2023</x:v>
      </x:c>
      <x:c r="C754" s="168" t="n">
        <x:v>23</x:v>
      </x:c>
      <x:c r="D754" s="168" t="str">
        <x:v>Net profit margin</x:v>
      </x:c>
      <x:c r="E754" s="168" t="str">
        <x:v>Mandatory</x:v>
      </x:c>
      <x:c r="F754" s="169" t="n">
        <x:f>FCCL!F99</x:f>
        <x:v>7439.681000000008</x:v>
      </x:c>
      <x:c r="G754" s="169" t="n">
        <x:f>FCCL!F84</x:f>
        <x:v>68069.282</x:v>
      </x:c>
      <x:c r="H754" s="169" t="n">
        <x:f>IF(G754&lt;=0,"n/m",F754/G754)</x:f>
        <x:v>0.10929571726641699</x:v>
      </x:c>
      <x:c r="I754" s="169" t="n">
        <x:v>7439.681000000006</x:v>
      </x:c>
      <x:c r="J754" s="169" t="n">
        <x:v>68069.282</x:v>
      </x:c>
      <x:c r="K754" s="169" t="n">
        <x:v>0.10929571726641696</x:v>
      </x:c>
      <x:c r="L754" s="175" t="n">
        <x:v>0.10929571726641696</x:v>
      </x:c>
      <x:c r="M754" s="175" t="n">
        <x:f>FCCL!F163</x:f>
        <x:v>0.10929571726641699</x:v>
      </x:c>
      <x:c r="N754" s="176" t="str">
        <x:f>IF(AND(ABS(F754-I754)&lt;0.000001,ABS(G754-J754)&lt;0.000001,IF(ISNUMBER(L754),IF(ISNUMBER(M754),ABS(L754-M754)&lt;0.00000001,FALSE),M754=L754)),"PASS","FAIL")</x:f>
        <x:v>PASS</x:v>
      </x:c>
      <x:c r="O754" s="171" t="str"/>
      <x:c r="P754" s="168" t="str">
        <x:v>Profitability</x:v>
      </x:c>
    </x:row>
    <x:row r="755" ht="26" customHeight="1">
      <x:c r="A755" s="76" t="str">
        <x:v>FCCL</x:v>
      </x:c>
      <x:c r="B755" s="76" t="n">
        <x:v>2023</x:v>
      </x:c>
      <x:c r="C755" s="76" t="n">
        <x:v>24</x:v>
      </x:c>
      <x:c r="D755" s="76" t="str">
        <x:v>Return on assets</x:v>
      </x:c>
      <x:c r="E755" s="76" t="str">
        <x:v>Mandatory</x:v>
      </x:c>
      <x:c r="F755" s="170" t="n">
        <x:f>FCCL!F99</x:f>
        <x:v>7439.681000000008</x:v>
      </x:c>
      <x:c r="G755" s="170" t="n">
        <x:f>AVERAGE(FCCL!E37,FCCL!F37)</x:f>
        <x:v>126263.28700000001</x:v>
      </x:c>
      <x:c r="H755" s="170" t="n">
        <x:f>IF(G755&lt;=0,"n/m",F755/G755)</x:f>
        <x:v>0.0589219651789994</x:v>
      </x:c>
      <x:c r="I755" s="170" t="n">
        <x:v>7439.681000000006</x:v>
      </x:c>
      <x:c r="J755" s="170" t="n">
        <x:v>126263.28700000001</x:v>
      </x:c>
      <x:c r="K755" s="170" t="n">
        <x:v>0.058921965178999385</x:v>
      </x:c>
      <x:c r="L755" s="177" t="n">
        <x:v>0.058921965178999385</x:v>
      </x:c>
      <x:c r="M755" s="177" t="n">
        <x:f>FCCL!F164</x:f>
        <x:v>0.0589219651789994</x:v>
      </x:c>
      <x:c r="N755" s="178" t="str">
        <x:f>IF(AND(ABS(F755-I755)&lt;0.000001,ABS(G755-J755)&lt;0.000001,IF(ISNUMBER(L755),IF(ISNUMBER(M755),ABS(L755-M755)&lt;0.00000001,FALSE),M755=L755)),"PASS","FAIL")</x:f>
        <x:v>PASS</x:v>
      </x:c>
      <x:c r="O755" s="99" t="str"/>
      <x:c r="P755" s="76" t="str">
        <x:v>Profitability</x:v>
      </x:c>
    </x:row>
    <x:row r="756" ht="26" customHeight="1">
      <x:c r="A756" s="168" t="str">
        <x:v>FCCL</x:v>
      </x:c>
      <x:c r="B756" s="168" t="n">
        <x:v>2023</x:v>
      </x:c>
      <x:c r="C756" s="168" t="n">
        <x:v>25</x:v>
      </x:c>
      <x:c r="D756" s="168" t="str">
        <x:v>Return on equity</x:v>
      </x:c>
      <x:c r="E756" s="168" t="str">
        <x:v>Mandatory</x:v>
      </x:c>
      <x:c r="F756" s="169" t="n">
        <x:f>FCCL!F99</x:f>
        <x:v>7439.681000000008</x:v>
      </x:c>
      <x:c r="G756" s="169" t="n">
        <x:f>AVERAGE(FCCL!E41,FCCL!F41)</x:f>
        <x:v>61455.896499999995</x:v>
      </x:c>
      <x:c r="H756" s="169" t="n">
        <x:f>IF(G756&lt;=0,"n/m",F756/G756)</x:f>
        <x:v>0.12105723655011702</x:v>
      </x:c>
      <x:c r="I756" s="169" t="n">
        <x:v>7439.681000000006</x:v>
      </x:c>
      <x:c r="J756" s="169" t="n">
        <x:v>61455.896499999995</x:v>
      </x:c>
      <x:c r="K756" s="169" t="n">
        <x:v>0.12105723655011699</x:v>
      </x:c>
      <x:c r="L756" s="175" t="n">
        <x:v>0.12105723655011699</x:v>
      </x:c>
      <x:c r="M756" s="175" t="n">
        <x:f>FCCL!F165</x:f>
        <x:v>0.12105723655011702</x:v>
      </x:c>
      <x:c r="N756" s="176" t="str">
        <x:f>IF(AND(ABS(F756-I756)&lt;0.000001,ABS(G756-J756)&lt;0.000001,IF(ISNUMBER(L756),IF(ISNUMBER(M756),ABS(L756-M756)&lt;0.00000001,FALSE),M756=L756)),"PASS","FAIL")</x:f>
        <x:v>PASS</x:v>
      </x:c>
      <x:c r="O756" s="171" t="str"/>
      <x:c r="P756" s="168" t="str">
        <x:v>Profitability</x:v>
      </x:c>
    </x:row>
    <x:row r="757" ht="26" customHeight="1">
      <x:c r="A757" s="76" t="str">
        <x:v>FCCL</x:v>
      </x:c>
      <x:c r="B757" s="76" t="n">
        <x:v>2023</x:v>
      </x:c>
      <x:c r="C757" s="76" t="n">
        <x:v>26</x:v>
      </x:c>
      <x:c r="D757" s="76" t="str">
        <x:v>Return on invested capital</x:v>
      </x:c>
      <x:c r="E757" s="76" t="str">
        <x:v>Additional</x:v>
      </x:c>
      <x:c r="F757" s="170" t="n">
        <x:f>FCCL!F113</x:f>
        <x:v>9541.958489319286</x:v>
      </x:c>
      <x:c r="G757" s="170" t="n">
        <x:f>AVERAGE(FCCL!E70,FCCL!F70)</x:f>
        <x:v>94741.7095</x:v>
      </x:c>
      <x:c r="H757" s="170" t="n">
        <x:f>IF(G757&lt;=0,"n/m",F757/G757)</x:f>
        <x:v>0.1007154983763438</x:v>
      </x:c>
      <x:c r="I757" s="170" t="n">
        <x:v>9541.958489319284</x:v>
      </x:c>
      <x:c r="J757" s="170" t="n">
        <x:v>94741.7095</x:v>
      </x:c>
      <x:c r="K757" s="170" t="n">
        <x:v>0.10071549837634379</x:v>
      </x:c>
      <x:c r="L757" s="177" t="n">
        <x:v>0.10071549837634379</x:v>
      </x:c>
      <x:c r="M757" s="177" t="n">
        <x:f>FCCL!F166</x:f>
        <x:v>0.1007154983763438</x:v>
      </x:c>
      <x:c r="N757" s="178" t="str">
        <x:f>IF(AND(ABS(F757-I757)&lt;0.000001,ABS(G757-J757)&lt;0.000001,IF(ISNUMBER(L757),IF(ISNUMBER(M757),ABS(L757-M757)&lt;0.00000001,FALSE),M757=L757)),"PASS","FAIL")</x:f>
        <x:v>PASS</x:v>
      </x:c>
      <x:c r="O757" s="99" t="str"/>
      <x:c r="P757" s="76" t="str">
        <x:v>Profitability</x:v>
      </x:c>
    </x:row>
    <x:row r="758" ht="26" customHeight="1">
      <x:c r="A758" s="168" t="str">
        <x:v>FCCL</x:v>
      </x:c>
      <x:c r="B758" s="168" t="n">
        <x:v>2023</x:v>
      </x:c>
      <x:c r="C758" s="168" t="n">
        <x:v>27</x:v>
      </x:c>
      <x:c r="D758" s="168" t="str">
        <x:v>Basic earning power</x:v>
      </x:c>
      <x:c r="E758" s="168" t="str">
        <x:v>Additional</x:v>
      </x:c>
      <x:c r="F758" s="169" t="n">
        <x:f>FCCL!F108</x:f>
        <x:v>16545.374000000007</x:v>
      </x:c>
      <x:c r="G758" s="169" t="n">
        <x:f>AVERAGE(FCCL!E37,FCCL!F37)</x:f>
        <x:v>126263.28700000001</x:v>
      </x:c>
      <x:c r="H758" s="169" t="n">
        <x:f>IF(G758&lt;=0,"n/m",F758/G758)</x:f>
        <x:v>0.13103867634936517</x:v>
      </x:c>
      <x:c r="I758" s="169" t="n">
        <x:v>16545.374000000007</x:v>
      </x:c>
      <x:c r="J758" s="169" t="n">
        <x:v>126263.28700000001</x:v>
      </x:c>
      <x:c r="K758" s="169" t="n">
        <x:v>0.13103867634936517</x:v>
      </x:c>
      <x:c r="L758" s="175" t="n">
        <x:v>0.13103867634936517</x:v>
      </x:c>
      <x:c r="M758" s="175" t="n">
        <x:f>FCCL!F167</x:f>
        <x:v>0.13103867634936517</x:v>
      </x:c>
      <x:c r="N758" s="176" t="str">
        <x:f>IF(AND(ABS(F758-I758)&lt;0.000001,ABS(G758-J758)&lt;0.000001,IF(ISNUMBER(L758),IF(ISNUMBER(M758),ABS(L758-M758)&lt;0.00000001,FALSE),M758=L758)),"PASS","FAIL")</x:f>
        <x:v>PASS</x:v>
      </x:c>
      <x:c r="O758" s="171" t="str"/>
      <x:c r="P758" s="168" t="str">
        <x:v>Profitability</x:v>
      </x:c>
    </x:row>
    <x:row r="759" ht="26" customHeight="1">
      <x:c r="A759" s="76" t="str">
        <x:v>FCCL</x:v>
      </x:c>
      <x:c r="B759" s="76" t="n">
        <x:v>2023</x:v>
      </x:c>
      <x:c r="C759" s="76" t="n">
        <x:v>28</x:v>
      </x:c>
      <x:c r="D759" s="76" t="str">
        <x:v>Book value per share (Rs)</x:v>
      </x:c>
      <x:c r="E759" s="76" t="str">
        <x:v>Additional</x:v>
      </x:c>
      <x:c r="F759" s="170" t="n">
        <x:f>FCCL!F41</x:f>
        <x:v>65175.736999999994</x:v>
      </x:c>
      <x:c r="G759" s="170" t="n">
        <x:f>FCCL!F128</x:f>
        <x:v>2452.8476</x:v>
      </x:c>
      <x:c r="H759" s="170" t="n">
        <x:f>IF(G759&lt;=0,"n/m",F759/G759)</x:f>
        <x:v>26.57145800660424</x:v>
      </x:c>
      <x:c r="I759" s="170" t="n">
        <x:v>65175.736999999994</x:v>
      </x:c>
      <x:c r="J759" s="170" t="n">
        <x:v>2452.8476</x:v>
      </x:c>
      <x:c r="K759" s="170" t="n">
        <x:v>26.57145800660424</x:v>
      </x:c>
      <x:c r="L759" s="177" t="n">
        <x:v>26.57145800660424</x:v>
      </x:c>
      <x:c r="M759" s="177" t="n">
        <x:f>FCCL!F169</x:f>
        <x:v>26.57145800660424</x:v>
      </x:c>
      <x:c r="N759" s="178" t="str">
        <x:f>IF(AND(ABS(F759-I759)&lt;0.000001,ABS(G759-J759)&lt;0.000001,IF(ISNUMBER(L759),IF(ISNUMBER(M759),ABS(L759-M759)&lt;0.00000001,FALSE),M759=L759)),"PASS","FAIL")</x:f>
        <x:v>PASS</x:v>
      </x:c>
      <x:c r="O759" s="99" t="str"/>
      <x:c r="P759" s="76" t="str">
        <x:v>Market Value</x:v>
      </x:c>
    </x:row>
    <x:row r="760" ht="26" customHeight="1">
      <x:c r="A760" s="168" t="str">
        <x:v>FCCL</x:v>
      </x:c>
      <x:c r="B760" s="168" t="n">
        <x:v>2023</x:v>
      </x:c>
      <x:c r="C760" s="168" t="n">
        <x:v>29</x:v>
      </x:c>
      <x:c r="D760" s="168" t="str">
        <x:v>Market-to-book ratio</x:v>
      </x:c>
      <x:c r="E760" s="168" t="str">
        <x:v>Mandatory</x:v>
      </x:c>
      <x:c r="F760" s="169" t="n">
        <x:f>FCCL!F130</x:f>
        <x:v>11.76</x:v>
      </x:c>
      <x:c r="G760" s="169" t="n">
        <x:f>FCCL!F41/FCCL!F128</x:f>
        <x:v>26.57145800660424</x:v>
      </x:c>
      <x:c r="H760" s="169" t="n">
        <x:f>IF(G760&lt;=0,"n/m",F760/G760)</x:f>
        <x:v>0.4425801548818697</x:v>
      </x:c>
      <x:c r="I760" s="169" t="n">
        <x:v>11.76</x:v>
      </x:c>
      <x:c r="J760" s="169" t="n">
        <x:v>26.57145800660424</x:v>
      </x:c>
      <x:c r="K760" s="169" t="n">
        <x:v>0.4425801548818697</x:v>
      </x:c>
      <x:c r="L760" s="175" t="n">
        <x:v>0.4425801548818697</x:v>
      </x:c>
      <x:c r="M760" s="175" t="n">
        <x:f>FCCL!F170</x:f>
        <x:v>0.4425801548818697</x:v>
      </x:c>
      <x:c r="N760" s="176" t="str">
        <x:f>IF(AND(ABS(F760-I760)&lt;0.000001,ABS(G760-J760)&lt;0.000001,IF(ISNUMBER(L760),IF(ISNUMBER(M760),ABS(L760-M760)&lt;0.00000001,FALSE),M760=L760)),"PASS","FAIL")</x:f>
        <x:v>PASS</x:v>
      </x:c>
      <x:c r="O760" s="171" t="str"/>
      <x:c r="P760" s="168" t="str">
        <x:v>Market Value</x:v>
      </x:c>
    </x:row>
    <x:row r="761" ht="26" customHeight="1">
      <x:c r="A761" s="76" t="str">
        <x:v>FCCL</x:v>
      </x:c>
      <x:c r="B761" s="76" t="n">
        <x:v>2023</x:v>
      </x:c>
      <x:c r="C761" s="76" t="n">
        <x:v>30</x:v>
      </x:c>
      <x:c r="D761" s="76" t="str">
        <x:v>Earnings per share (Rs)</x:v>
      </x:c>
      <x:c r="E761" s="76" t="str">
        <x:v>Mandatory</x:v>
      </x:c>
      <x:c r="F761" s="170" t="n">
        <x:f>FCCL!F99</x:f>
        <x:v>7439.681000000008</x:v>
      </x:c>
      <x:c r="G761" s="170" t="n">
        <x:f>FCCL!F129</x:f>
        <x:v>2452.8476</x:v>
      </x:c>
      <x:c r="H761" s="170" t="n">
        <x:f>IF(G761&lt;=0,"n/m",F761/G761)</x:f>
        <x:v>3.0330791851886794</x:v>
      </x:c>
      <x:c r="I761" s="170" t="n">
        <x:v>7439.681000000006</x:v>
      </x:c>
      <x:c r="J761" s="170" t="n">
        <x:v>2452.8476</x:v>
      </x:c>
      <x:c r="K761" s="170" t="n">
        <x:v>3.0330791851886785</x:v>
      </x:c>
      <x:c r="L761" s="177" t="n">
        <x:v>3.0330791851886785</x:v>
      </x:c>
      <x:c r="M761" s="177" t="n">
        <x:f>FCCL!F171</x:f>
        <x:v>3.0330791851886794</x:v>
      </x:c>
      <x:c r="N761" s="178" t="str">
        <x:f>IF(AND(ABS(F761-I761)&lt;0.000001,ABS(G761-J761)&lt;0.000001,IF(ISNUMBER(L761),IF(ISNUMBER(M761),ABS(L761-M761)&lt;0.00000001,FALSE),M761=L761)),"PASS","FAIL")</x:f>
        <x:v>PASS</x:v>
      </x:c>
      <x:c r="O761" s="99" t="str"/>
      <x:c r="P761" s="76" t="str">
        <x:v>Market Value</x:v>
      </x:c>
    </x:row>
    <x:row r="762" ht="26" customHeight="1">
      <x:c r="A762" s="168" t="str">
        <x:v>FCCL</x:v>
      </x:c>
      <x:c r="B762" s="168" t="n">
        <x:v>2023</x:v>
      </x:c>
      <x:c r="C762" s="168" t="n">
        <x:v>31</x:v>
      </x:c>
      <x:c r="D762" s="168" t="str">
        <x:v>Price-to-earnings ratio</x:v>
      </x:c>
      <x:c r="E762" s="168" t="str">
        <x:v>Mandatory</x:v>
      </x:c>
      <x:c r="F762" s="169" t="n">
        <x:f>FCCL!F130</x:f>
        <x:v>11.76</x:v>
      </x:c>
      <x:c r="G762" s="169" t="n">
        <x:f>FCCL!F99/FCCL!F129</x:f>
        <x:v>3.0330791851886794</x:v>
      </x:c>
      <x:c r="H762" s="169" t="n">
        <x:f>IF(G762&lt;=0,"n/m",F762/G762)</x:f>
        <x:v>3.877247932539039</x:v>
      </x:c>
      <x:c r="I762" s="169" t="n">
        <x:v>11.76</x:v>
      </x:c>
      <x:c r="J762" s="169" t="n">
        <x:v>3.0330791851886785</x:v>
      </x:c>
      <x:c r="K762" s="169" t="n">
        <x:v>3.87724793253904</x:v>
      </x:c>
      <x:c r="L762" s="175" t="n">
        <x:v>3.87724793253904</x:v>
      </x:c>
      <x:c r="M762" s="175" t="n">
        <x:f>FCCL!F172</x:f>
        <x:v>3.877247932539039</x:v>
      </x:c>
      <x:c r="N762" s="176" t="str">
        <x:f>IF(AND(ABS(F762-I762)&lt;0.000001,ABS(G762-J762)&lt;0.000001,IF(ISNUMBER(L762),IF(ISNUMBER(M762),ABS(L762-M762)&lt;0.00000001,FALSE),M762=L762)),"PASS","FAIL")</x:f>
        <x:v>PASS</x:v>
      </x:c>
      <x:c r="O762" s="171" t="str"/>
      <x:c r="P762" s="168" t="str">
        <x:v>Market Value</x:v>
      </x:c>
    </x:row>
    <x:row r="763" ht="26" customHeight="1">
      <x:c r="A763" s="76" t="str">
        <x:v>FCCL</x:v>
      </x:c>
      <x:c r="B763" s="76" t="n">
        <x:v>2023</x:v>
      </x:c>
      <x:c r="C763" s="76" t="n">
        <x:v>32</x:v>
      </x:c>
      <x:c r="D763" s="76" t="str">
        <x:v>Dividend yield</x:v>
      </x:c>
      <x:c r="E763" s="76" t="str">
        <x:v>Mandatory</x:v>
      </x:c>
      <x:c r="F763" s="170" t="n">
        <x:f>FCCL!F131</x:f>
        <x:v>0</x:v>
      </x:c>
      <x:c r="G763" s="170" t="n">
        <x:f>FCCL!F130</x:f>
        <x:v>11.76</x:v>
      </x:c>
      <x:c r="H763" s="170" t="n">
        <x:f>IF(G763&lt;=0,"n/m",F763/G763)</x:f>
        <x:v>0</x:v>
      </x:c>
      <x:c r="I763" s="170" t="n">
        <x:v>0</x:v>
      </x:c>
      <x:c r="J763" s="170" t="n">
        <x:v>11.76</x:v>
      </x:c>
      <x:c r="K763" s="170" t="n">
        <x:v>0</x:v>
      </x:c>
      <x:c r="L763" s="177" t="n">
        <x:v>0</x:v>
      </x:c>
      <x:c r="M763" s="177" t="n">
        <x:f>FCCL!F173</x:f>
        <x:v>0</x:v>
      </x:c>
      <x:c r="N763" s="178" t="str">
        <x:f>IF(AND(ABS(F763-I763)&lt;0.000001,ABS(G763-J763)&lt;0.000001,IF(ISNUMBER(L763),IF(ISNUMBER(M763),ABS(L763-M763)&lt;0.00000001,FALSE),M763=L763)),"PASS","FAIL")</x:f>
        <x:v>PASS</x:v>
      </x:c>
      <x:c r="O763" s="99" t="str"/>
      <x:c r="P763" s="76" t="str">
        <x:v>Market Value</x:v>
      </x:c>
    </x:row>
    <x:row r="764" ht="26" customHeight="1">
      <x:c r="A764" s="168" t="str">
        <x:v>FCCL</x:v>
      </x:c>
      <x:c r="B764" s="168" t="n">
        <x:v>2023</x:v>
      </x:c>
      <x:c r="C764" s="168" t="n">
        <x:v>33</x:v>
      </x:c>
      <x:c r="D764" s="168" t="str">
        <x:v>Dividend payout ratio</x:v>
      </x:c>
      <x:c r="E764" s="168" t="str">
        <x:v>Additional</x:v>
      </x:c>
      <x:c r="F764" s="169" t="n">
        <x:f>FCCL!F131</x:f>
        <x:v>0</x:v>
      </x:c>
      <x:c r="G764" s="169" t="n">
        <x:f>FCCL!F99/FCCL!F129</x:f>
        <x:v>3.0330791851886794</x:v>
      </x:c>
      <x:c r="H764" s="169" t="n">
        <x:f>IF(G764&lt;=0,"n/m",F764/G764)</x:f>
        <x:v>0</x:v>
      </x:c>
      <x:c r="I764" s="169" t="n">
        <x:v>0</x:v>
      </x:c>
      <x:c r="J764" s="169" t="n">
        <x:v>3.0330791851886785</x:v>
      </x:c>
      <x:c r="K764" s="169" t="n">
        <x:v>0</x:v>
      </x:c>
      <x:c r="L764" s="175" t="n">
        <x:v>0</x:v>
      </x:c>
      <x:c r="M764" s="175" t="n">
        <x:f>FCCL!F174</x:f>
        <x:v>0</x:v>
      </x:c>
      <x:c r="N764" s="176" t="str">
        <x:f>IF(AND(ABS(F764-I764)&lt;0.000001,ABS(G764-J764)&lt;0.000001,IF(ISNUMBER(L764),IF(ISNUMBER(M764),ABS(L764-M764)&lt;0.00000001,FALSE),M764=L764)),"PASS","FAIL")</x:f>
        <x:v>PASS</x:v>
      </x:c>
      <x:c r="O764" s="171" t="str"/>
      <x:c r="P764" s="168" t="str">
        <x:v>Market Value</x:v>
      </x:c>
    </x:row>
    <x:row r="765" ht="26" customHeight="1">
      <x:c r="A765" s="76" t="str">
        <x:v>FCCL</x:v>
      </x:c>
      <x:c r="B765" s="76" t="n">
        <x:v>2024</x:v>
      </x:c>
      <x:c r="C765" s="76" t="n">
        <x:v>1</x:v>
      </x:c>
      <x:c r="D765" s="76" t="str">
        <x:v>Current ratio</x:v>
      </x:c>
      <x:c r="E765" s="76" t="str">
        <x:v>Mandatory</x:v>
      </x:c>
      <x:c r="F765" s="170" t="n">
        <x:f>FCCL!G36</x:f>
        <x:v>25784.071</x:v>
      </x:c>
      <x:c r="G765" s="170" t="n">
        <x:f>FCCL!G61</x:f>
        <x:v>26865.467000000004</x:v>
      </x:c>
      <x:c r="H765" s="170" t="n">
        <x:f>IF(G765&lt;=0,"n/m",F765/G765)</x:f>
        <x:v>0.9597477311673009</x:v>
      </x:c>
      <x:c r="I765" s="170" t="n">
        <x:v>25784.071</x:v>
      </x:c>
      <x:c r="J765" s="170" t="n">
        <x:v>26865.467</x:v>
      </x:c>
      <x:c r="K765" s="170" t="n">
        <x:v>0.959747731167301</x:v>
      </x:c>
      <x:c r="L765" s="177" t="n">
        <x:v>0.959747731167301</x:v>
      </x:c>
      <x:c r="M765" s="177" t="n">
        <x:f>FCCL!G138</x:f>
        <x:v>0.9597477311673009</x:v>
      </x:c>
      <x:c r="N765" s="178" t="str">
        <x:f>IF(AND(ABS(F765-I765)&lt;0.000001,ABS(G765-J765)&lt;0.000001,IF(ISNUMBER(L765),IF(ISNUMBER(M765),ABS(L765-M765)&lt;0.00000001,FALSE),M765=L765)),"PASS","FAIL")</x:f>
        <x:v>PASS</x:v>
      </x:c>
      <x:c r="O765" s="99" t="str"/>
      <x:c r="P765" s="76" t="str">
        <x:v>Liquidity</x:v>
      </x:c>
    </x:row>
    <x:row r="766" ht="26" customHeight="1">
      <x:c r="A766" s="168" t="str">
        <x:v>FCCL</x:v>
      </x:c>
      <x:c r="B766" s="168" t="n">
        <x:v>2024</x:v>
      </x:c>
      <x:c r="C766" s="168" t="n">
        <x:v>2</x:v>
      </x:c>
      <x:c r="D766" s="168" t="str">
        <x:v>Quick ratio</x:v>
      </x:c>
      <x:c r="E766" s="168" t="str">
        <x:v>Mandatory</x:v>
      </x:c>
      <x:c r="F766" s="169" t="n">
        <x:f>FCCL!G36-FCCL!G65</x:f>
        <x:v>9189.236</x:v>
      </x:c>
      <x:c r="G766" s="169" t="n">
        <x:f>FCCL!G61</x:f>
        <x:v>26865.467000000004</x:v>
      </x:c>
      <x:c r="H766" s="169" t="n">
        <x:f>IF(G766&lt;=0,"n/m",F766/G766)</x:f>
        <x:v>0.3420463898878065</x:v>
      </x:c>
      <x:c r="I766" s="169" t="n">
        <x:v>9189.236</x:v>
      </x:c>
      <x:c r="J766" s="169" t="n">
        <x:v>26865.467</x:v>
      </x:c>
      <x:c r="K766" s="169" t="n">
        <x:v>0.34204638988780656</x:v>
      </x:c>
      <x:c r="L766" s="175" t="n">
        <x:v>0.34204638988780656</x:v>
      </x:c>
      <x:c r="M766" s="175" t="n">
        <x:f>FCCL!G139</x:f>
        <x:v>0.3420463898878065</x:v>
      </x:c>
      <x:c r="N766" s="176" t="str">
        <x:f>IF(AND(ABS(F766-I766)&lt;0.000001,ABS(G766-J766)&lt;0.000001,IF(ISNUMBER(L766),IF(ISNUMBER(M766),ABS(L766-M766)&lt;0.00000001,FALSE),M766=L766)),"PASS","FAIL")</x:f>
        <x:v>PASS</x:v>
      </x:c>
      <x:c r="O766" s="171" t="str"/>
      <x:c r="P766" s="168" t="str">
        <x:v>Liquidity</x:v>
      </x:c>
    </x:row>
    <x:row r="767" ht="26" customHeight="1">
      <x:c r="A767" s="76" t="str">
        <x:v>FCCL</x:v>
      </x:c>
      <x:c r="B767" s="76" t="n">
        <x:v>2024</x:v>
      </x:c>
      <x:c r="C767" s="76" t="n">
        <x:v>3</x:v>
      </x:c>
      <x:c r="D767" s="76" t="str">
        <x:v>Cash ratio</x:v>
      </x:c>
      <x:c r="E767" s="76" t="str">
        <x:v>Mandatory</x:v>
      </x:c>
      <x:c r="F767" s="170" t="n">
        <x:f>FCCL!G34</x:f>
        <x:v>2932.984</x:v>
      </x:c>
      <x:c r="G767" s="170" t="n">
        <x:f>FCCL!G61</x:f>
        <x:v>26865.467000000004</x:v>
      </x:c>
      <x:c r="H767" s="170" t="n">
        <x:f>IF(G767&lt;=0,"n/m",F767/G767)</x:f>
        <x:v>0.10917301381732912</x:v>
      </x:c>
      <x:c r="I767" s="170" t="n">
        <x:v>2932.984</x:v>
      </x:c>
      <x:c r="J767" s="170" t="n">
        <x:v>26865.467</x:v>
      </x:c>
      <x:c r="K767" s="170" t="n">
        <x:v>0.10917301381732913</x:v>
      </x:c>
      <x:c r="L767" s="177" t="n">
        <x:v>0.10917301381732913</x:v>
      </x:c>
      <x:c r="M767" s="177" t="n">
        <x:f>FCCL!G140</x:f>
        <x:v>0.10917301381732912</x:v>
      </x:c>
      <x:c r="N767" s="178" t="str">
        <x:f>IF(AND(ABS(F767-I767)&lt;0.000001,ABS(G767-J767)&lt;0.000001,IF(ISNUMBER(L767),IF(ISNUMBER(M767),ABS(L767-M767)&lt;0.00000001,FALSE),M767=L767)),"PASS","FAIL")</x:f>
        <x:v>PASS</x:v>
      </x:c>
      <x:c r="O767" s="99" t="str"/>
      <x:c r="P767" s="76" t="str">
        <x:v>Liquidity</x:v>
      </x:c>
    </x:row>
    <x:row r="768" ht="26" customHeight="1">
      <x:c r="A768" s="168" t="str">
        <x:v>FCCL</x:v>
      </x:c>
      <x:c r="B768" s="168" t="n">
        <x:v>2024</x:v>
      </x:c>
      <x:c r="C768" s="168" t="n">
        <x:v>4</x:v>
      </x:c>
      <x:c r="D768" s="168" t="str">
        <x:v>Net working capital (PKR m)</x:v>
      </x:c>
      <x:c r="E768" s="168" t="str">
        <x:v>Additional</x:v>
      </x:c>
      <x:c r="F768" s="169" t="n">
        <x:f>FCCL!G36-FCCL!G61</x:f>
        <x:v>-1081.3960000000043</x:v>
      </x:c>
      <x:c r="G768" s="169" t="n">
        <x:f>1</x:f>
        <x:v>1</x:v>
      </x:c>
      <x:c r="H768" s="169" t="n">
        <x:f>IF(G768&lt;=0,"n/m",F768/G768)</x:f>
        <x:v>-1081.3960000000043</x:v>
      </x:c>
      <x:c r="I768" s="169" t="n">
        <x:v>-1081.3960000000006</x:v>
      </x:c>
      <x:c r="J768" s="169" t="n">
        <x:v>1</x:v>
      </x:c>
      <x:c r="K768" s="169" t="n">
        <x:v>-1081.3960000000006</x:v>
      </x:c>
      <x:c r="L768" s="175" t="str">
        <x:v>n/m</x:v>
      </x:c>
      <x:c r="M768" s="175" t="str">
        <x:f>FCCL!G141</x:f>
        <x:v>n/m</x:v>
      </x:c>
      <x:c r="N768" s="176" t="str">
        <x:f>IF(AND(ABS(F768-I768)&lt;0.000001,ABS(G768-J768)&lt;0.000001,IF(ISNUMBER(L768),IF(ISNUMBER(M768),ABS(L768-M768)&lt;0.00000001,FALSE),M768=L768)),"PASS","FAIL")</x:f>
        <x:v>PASS</x:v>
      </x:c>
      <x:c r="O768" s="171" t="str">
        <x:v>Negative calculated measure; raw signed value in H/K.</x:v>
      </x:c>
      <x:c r="P768" s="168" t="str">
        <x:v>Liquidity</x:v>
      </x:c>
    </x:row>
    <x:row r="769" ht="26" customHeight="1">
      <x:c r="A769" s="76" t="str">
        <x:v>FCCL</x:v>
      </x:c>
      <x:c r="B769" s="76" t="n">
        <x:v>2024</x:v>
      </x:c>
      <x:c r="C769" s="76" t="n">
        <x:v>5</x:v>
      </x:c>
      <x:c r="D769" s="76" t="str">
        <x:v>Net operating working capital (PKR m)</x:v>
      </x:c>
      <x:c r="E769" s="76" t="str">
        <x:v>Additional</x:v>
      </x:c>
      <x:c r="F769" s="170" t="n">
        <x:f>FCCL!G72-FCCL!G73</x:f>
        <x:v>10303.164999999997</x:v>
      </x:c>
      <x:c r="G769" s="170" t="n">
        <x:f>1</x:f>
        <x:v>1</x:v>
      </x:c>
      <x:c r="H769" s="170" t="n">
        <x:f>IF(G769&lt;=0,"n/m",F769/G769)</x:f>
        <x:v>10303.164999999997</x:v>
      </x:c>
      <x:c r="I769" s="170" t="n">
        <x:v>10303.164999999999</x:v>
      </x:c>
      <x:c r="J769" s="170" t="n">
        <x:v>1</x:v>
      </x:c>
      <x:c r="K769" s="170" t="n">
        <x:v>10303.164999999999</x:v>
      </x:c>
      <x:c r="L769" s="177" t="n">
        <x:v>10303.164999999999</x:v>
      </x:c>
      <x:c r="M769" s="177" t="n">
        <x:f>FCCL!G142</x:f>
        <x:v>10303.164999999997</x:v>
      </x:c>
      <x:c r="N769" s="178" t="str">
        <x:f>IF(AND(ABS(F769-I769)&lt;0.000001,ABS(G769-J769)&lt;0.000001,IF(ISNUMBER(L769),IF(ISNUMBER(M769),ABS(L769-M769)&lt;0.00000001,FALSE),M769=L769)),"PASS","FAIL")</x:f>
        <x:v>PASS</x:v>
      </x:c>
      <x:c r="O769" s="99" t="str"/>
      <x:c r="P769" s="76" t="str">
        <x:v>Liquidity</x:v>
      </x:c>
    </x:row>
    <x:row r="770" ht="26" customHeight="1">
      <x:c r="A770" s="168" t="str">
        <x:v>FCCL</x:v>
      </x:c>
      <x:c r="B770" s="168" t="n">
        <x:v>2024</x:v>
      </x:c>
      <x:c r="C770" s="168" t="n">
        <x:v>6</x:v>
      </x:c>
      <x:c r="D770" s="168" t="str">
        <x:v>Inventory turnover</x:v>
      </x:c>
      <x:c r="E770" s="168" t="str">
        <x:v>Mandatory</x:v>
      </x:c>
      <x:c r="F770" s="169" t="n">
        <x:f>-FCCL!G85</x:f>
        <x:v>54345.821</x:v>
      </x:c>
      <x:c r="G770" s="169" t="n">
        <x:f>AVERAGE(FCCL!F65,FCCL!G65)</x:f>
        <x:v>15859.1715</x:v>
      </x:c>
      <x:c r="H770" s="169" t="n">
        <x:f>IF(G770&lt;=0,"n/m",F770/G770)</x:f>
        <x:v>3.4267755412065504</x:v>
      </x:c>
      <x:c r="I770" s="169" t="n">
        <x:v>54345.821</x:v>
      </x:c>
      <x:c r="J770" s="169" t="n">
        <x:v>15859.1715</x:v>
      </x:c>
      <x:c r="K770" s="169" t="n">
        <x:v>3.4267755412065504</x:v>
      </x:c>
      <x:c r="L770" s="175" t="n">
        <x:v>3.4267755412065504</x:v>
      </x:c>
      <x:c r="M770" s="175" t="n">
        <x:f>FCCL!G144</x:f>
        <x:v>3.4267755412065504</x:v>
      </x:c>
      <x:c r="N770" s="176" t="str">
        <x:f>IF(AND(ABS(F770-I770)&lt;0.000001,ABS(G770-J770)&lt;0.000001,IF(ISNUMBER(L770),IF(ISNUMBER(M770),ABS(L770-M770)&lt;0.00000001,FALSE),M770=L770)),"PASS","FAIL")</x:f>
        <x:v>PASS</x:v>
      </x:c>
      <x:c r="O770" s="171" t="str"/>
      <x:c r="P770" s="168" t="str">
        <x:v>Asset Management</x:v>
      </x:c>
    </x:row>
    <x:row r="771" ht="26" customHeight="1">
      <x:c r="A771" s="76" t="str">
        <x:v>FCCL</x:v>
      </x:c>
      <x:c r="B771" s="76" t="n">
        <x:v>2024</x:v>
      </x:c>
      <x:c r="C771" s="76" t="n">
        <x:v>7</x:v>
      </x:c>
      <x:c r="D771" s="76" t="str">
        <x:v>Receivables turnover</x:v>
      </x:c>
      <x:c r="E771" s="76" t="str">
        <x:v>Additional</x:v>
      </x:c>
      <x:c r="F771" s="170" t="n">
        <x:f>FCCL!G84</x:f>
        <x:v>80026.226</x:v>
      </x:c>
      <x:c r="G771" s="170" t="n">
        <x:f>AVERAGE(FCCL!F32,FCCL!G32)</x:f>
        <x:v>4558.843</x:v>
      </x:c>
      <x:c r="H771" s="170" t="n">
        <x:f>IF(G771&lt;=0,"n/m",F771/G771)</x:f>
        <x:v>17.554064923929165</x:v>
      </x:c>
      <x:c r="I771" s="170" t="n">
        <x:v>80026.226</x:v>
      </x:c>
      <x:c r="J771" s="170" t="n">
        <x:v>4558.843</x:v>
      </x:c>
      <x:c r="K771" s="170" t="n">
        <x:v>17.554064923929165</x:v>
      </x:c>
      <x:c r="L771" s="177" t="n">
        <x:v>17.554064923929165</x:v>
      </x:c>
      <x:c r="M771" s="177" t="n">
        <x:f>FCCL!G145</x:f>
        <x:v>17.554064923929165</x:v>
      </x:c>
      <x:c r="N771" s="178" t="str">
        <x:f>IF(AND(ABS(F771-I771)&lt;0.000001,ABS(G771-J771)&lt;0.000001,IF(ISNUMBER(L771),IF(ISNUMBER(M771),ABS(L771-M771)&lt;0.00000001,FALSE),M771=L771)),"PASS","FAIL")</x:f>
        <x:v>PASS</x:v>
      </x:c>
      <x:c r="O771" s="99" t="str"/>
      <x:c r="P771" s="76" t="str">
        <x:v>Asset Management</x:v>
      </x:c>
    </x:row>
    <x:row r="772" ht="26" customHeight="1">
      <x:c r="A772" s="168" t="str">
        <x:v>FCCL</x:v>
      </x:c>
      <x:c r="B772" s="168" t="n">
        <x:v>2024</x:v>
      </x:c>
      <x:c r="C772" s="168" t="n">
        <x:v>8</x:v>
      </x:c>
      <x:c r="D772" s="168" t="str">
        <x:v>Payables turnover</x:v>
      </x:c>
      <x:c r="E772" s="168" t="str">
        <x:v>Additional</x:v>
      </x:c>
      <x:c r="F772" s="169" t="n">
        <x:f>-FCCL!G85</x:f>
        <x:v>54345.821</x:v>
      </x:c>
      <x:c r="G772" s="169" t="n">
        <x:f>AVERAGE(FCCL!F51,FCCL!G51)</x:f>
        <x:v>2675.003</x:v>
      </x:c>
      <x:c r="H772" s="169" t="n">
        <x:f>IF(G772&lt;=0,"n/m",F772/G772)</x:f>
        <x:v>20.3161719818632</x:v>
      </x:c>
      <x:c r="I772" s="169" t="n">
        <x:v>54345.821</x:v>
      </x:c>
      <x:c r="J772" s="169" t="n">
        <x:v>2675.003</x:v>
      </x:c>
      <x:c r="K772" s="169" t="n">
        <x:v>20.3161719818632</x:v>
      </x:c>
      <x:c r="L772" s="175" t="n">
        <x:v>20.3161719818632</x:v>
      </x:c>
      <x:c r="M772" s="175" t="n">
        <x:f>FCCL!G146</x:f>
        <x:v>20.3161719818632</x:v>
      </x:c>
      <x:c r="N772" s="176" t="str">
        <x:f>IF(AND(ABS(F772-I772)&lt;0.000001,ABS(G772-J772)&lt;0.000001,IF(ISNUMBER(L772),IF(ISNUMBER(M772),ABS(L772-M772)&lt;0.00000001,FALSE),M772=L772)),"PASS","FAIL")</x:f>
        <x:v>PASS</x:v>
      </x:c>
      <x:c r="O772" s="171" t="str"/>
      <x:c r="P772" s="168" t="str">
        <x:v>Asset Management</x:v>
      </x:c>
    </x:row>
    <x:row r="773" ht="26" customHeight="1">
      <x:c r="A773" s="76" t="str">
        <x:v>FCCL</x:v>
      </x:c>
      <x:c r="B773" s="76" t="n">
        <x:v>2024</x:v>
      </x:c>
      <x:c r="C773" s="76" t="n">
        <x:v>9</x:v>
      </x:c>
      <x:c r="D773" s="76" t="str">
        <x:v>Days inventory outstanding</x:v>
      </x:c>
      <x:c r="E773" s="76" t="str">
        <x:v>Additional</x:v>
      </x:c>
      <x:c r="F773" s="170" t="n">
        <x:f>365*AVERAGE(FCCL!F65,FCCL!G65)</x:f>
        <x:v>5788597.5975</x:v>
      </x:c>
      <x:c r="G773" s="170" t="n">
        <x:f>-FCCL!G85</x:f>
        <x:v>54345.821</x:v>
      </x:c>
      <x:c r="H773" s="170" t="n">
        <x:f>IF(G773&lt;=0,"n/m",F773/G773)</x:f>
        <x:v>106.51412548353994</x:v>
      </x:c>
      <x:c r="I773" s="170" t="n">
        <x:v>5788597.5975</x:v>
      </x:c>
      <x:c r="J773" s="170" t="n">
        <x:v>54345.821</x:v>
      </x:c>
      <x:c r="K773" s="170" t="n">
        <x:v>106.51412548353994</x:v>
      </x:c>
      <x:c r="L773" s="177" t="n">
        <x:v>106.51412548353994</x:v>
      </x:c>
      <x:c r="M773" s="177" t="n">
        <x:f>FCCL!G147</x:f>
        <x:v>106.51412548353994</x:v>
      </x:c>
      <x:c r="N773" s="178" t="str">
        <x:f>IF(AND(ABS(F773-I773)&lt;0.000001,ABS(G773-J773)&lt;0.000001,IF(ISNUMBER(L773),IF(ISNUMBER(M773),ABS(L773-M773)&lt;0.00000001,FALSE),M773=L773)),"PASS","FAIL")</x:f>
        <x:v>PASS</x:v>
      </x:c>
      <x:c r="O773" s="99" t="str"/>
      <x:c r="P773" s="76" t="str">
        <x:v>Asset Management</x:v>
      </x:c>
    </x:row>
    <x:row r="774" ht="26" customHeight="1">
      <x:c r="A774" s="168" t="str">
        <x:v>FCCL</x:v>
      </x:c>
      <x:c r="B774" s="168" t="n">
        <x:v>2024</x:v>
      </x:c>
      <x:c r="C774" s="168" t="n">
        <x:v>10</x:v>
      </x:c>
      <x:c r="D774" s="168" t="str">
        <x:v>Days sales outstanding</x:v>
      </x:c>
      <x:c r="E774" s="168" t="str">
        <x:v>Mandatory</x:v>
      </x:c>
      <x:c r="F774" s="169" t="n">
        <x:f>365*AVERAGE(FCCL!F32,FCCL!G32)</x:f>
        <x:v>1663977.6949999998</x:v>
      </x:c>
      <x:c r="G774" s="169" t="n">
        <x:f>FCCL!G84</x:f>
        <x:v>80026.226</x:v>
      </x:c>
      <x:c r="H774" s="169" t="n">
        <x:f>IF(G774&lt;=0,"n/m",F774/G774)</x:f>
        <x:v>20.792904753499183</x:v>
      </x:c>
      <x:c r="I774" s="169" t="n">
        <x:v>1663977.6949999998</x:v>
      </x:c>
      <x:c r="J774" s="169" t="n">
        <x:v>80026.226</x:v>
      </x:c>
      <x:c r="K774" s="169" t="n">
        <x:v>20.792904753499183</x:v>
      </x:c>
      <x:c r="L774" s="175" t="n">
        <x:v>20.792904753499183</x:v>
      </x:c>
      <x:c r="M774" s="175" t="n">
        <x:f>FCCL!G148</x:f>
        <x:v>20.792904753499183</x:v>
      </x:c>
      <x:c r="N774" s="176" t="str">
        <x:f>IF(AND(ABS(F774-I774)&lt;0.000001,ABS(G774-J774)&lt;0.000001,IF(ISNUMBER(L774),IF(ISNUMBER(M774),ABS(L774-M774)&lt;0.00000001,FALSE),M774=L774)),"PASS","FAIL")</x:f>
        <x:v>PASS</x:v>
      </x:c>
      <x:c r="O774" s="171" t="str"/>
      <x:c r="P774" s="168" t="str">
        <x:v>Asset Management</x:v>
      </x:c>
    </x:row>
    <x:row r="775" ht="26" customHeight="1">
      <x:c r="A775" s="76" t="str">
        <x:v>FCCL</x:v>
      </x:c>
      <x:c r="B775" s="76" t="n">
        <x:v>2024</x:v>
      </x:c>
      <x:c r="C775" s="76" t="n">
        <x:v>11</x:v>
      </x:c>
      <x:c r="D775" s="76" t="str">
        <x:v>Days payables outstanding</x:v>
      </x:c>
      <x:c r="E775" s="76" t="str">
        <x:v>Additional</x:v>
      </x:c>
      <x:c r="F775" s="170" t="n">
        <x:f>365*AVERAGE(FCCL!F51,FCCL!G51)</x:f>
        <x:v>976376.0950000001</x:v>
      </x:c>
      <x:c r="G775" s="170" t="n">
        <x:f>-FCCL!G85</x:f>
        <x:v>54345.821</x:v>
      </x:c>
      <x:c r="H775" s="170" t="n">
        <x:f>IF(G775&lt;=0,"n/m",F775/G775)</x:f>
        <x:v>17.96598297778959</x:v>
      </x:c>
      <x:c r="I775" s="170" t="n">
        <x:v>976376.0950000001</x:v>
      </x:c>
      <x:c r="J775" s="170" t="n">
        <x:v>54345.821</x:v>
      </x:c>
      <x:c r="K775" s="170" t="n">
        <x:v>17.96598297778959</x:v>
      </x:c>
      <x:c r="L775" s="177" t="n">
        <x:v>17.96598297778959</x:v>
      </x:c>
      <x:c r="M775" s="177" t="n">
        <x:f>FCCL!G149</x:f>
        <x:v>17.96598297778959</x:v>
      </x:c>
      <x:c r="N775" s="178" t="str">
        <x:f>IF(AND(ABS(F775-I775)&lt;0.000001,ABS(G775-J775)&lt;0.000001,IF(ISNUMBER(L775),IF(ISNUMBER(M775),ABS(L775-M775)&lt;0.00000001,FALSE),M775=L775)),"PASS","FAIL")</x:f>
        <x:v>PASS</x:v>
      </x:c>
      <x:c r="O775" s="99" t="str"/>
      <x:c r="P775" s="76" t="str">
        <x:v>Asset Management</x:v>
      </x:c>
    </x:row>
    <x:row r="776" ht="26" customHeight="1">
      <x:c r="A776" s="168" t="str">
        <x:v>FCCL</x:v>
      </x:c>
      <x:c r="B776" s="168" t="n">
        <x:v>2024</x:v>
      </x:c>
      <x:c r="C776" s="168" t="n">
        <x:v>12</x:v>
      </x:c>
      <x:c r="D776" s="168" t="str">
        <x:v>Operating cycle (days)</x:v>
      </x:c>
      <x:c r="E776" s="168" t="str">
        <x:v>Additional</x:v>
      </x:c>
      <x:c r="F776" s="169" t="n">
        <x:f>365*AVERAGE(FCCL!F65,FCCL!G65)/(-FCCL!G85)+365*AVERAGE(FCCL!F32,FCCL!G32)/FCCL!G84</x:f>
        <x:v>127.30703023703913</x:v>
      </x:c>
      <x:c r="G776" s="169" t="n">
        <x:f>1</x:f>
        <x:v>1</x:v>
      </x:c>
      <x:c r="H776" s="169" t="n">
        <x:f>IF(G776&lt;=0,"n/m",F776/G776)</x:f>
        <x:v>127.30703023703913</x:v>
      </x:c>
      <x:c r="I776" s="169" t="n">
        <x:v>127.30703023703913</x:v>
      </x:c>
      <x:c r="J776" s="169" t="n">
        <x:v>1</x:v>
      </x:c>
      <x:c r="K776" s="169" t="n">
        <x:v>127.30703023703913</x:v>
      </x:c>
      <x:c r="L776" s="175" t="n">
        <x:v>127.30703023703913</x:v>
      </x:c>
      <x:c r="M776" s="175" t="n">
        <x:f>FCCL!G150</x:f>
        <x:v>127.30703023703913</x:v>
      </x:c>
      <x:c r="N776" s="176" t="str">
        <x:f>IF(AND(ABS(F776-I776)&lt;0.000001,ABS(G776-J776)&lt;0.000001,IF(ISNUMBER(L776),IF(ISNUMBER(M776),ABS(L776-M776)&lt;0.00000001,FALSE),M776=L776)),"PASS","FAIL")</x:f>
        <x:v>PASS</x:v>
      </x:c>
      <x:c r="O776" s="171" t="str"/>
      <x:c r="P776" s="168" t="str">
        <x:v>Asset Management</x:v>
      </x:c>
    </x:row>
    <x:row r="777" ht="26" customHeight="1">
      <x:c r="A777" s="76" t="str">
        <x:v>FCCL</x:v>
      </x:c>
      <x:c r="B777" s="76" t="n">
        <x:v>2024</x:v>
      </x:c>
      <x:c r="C777" s="76" t="n">
        <x:v>13</x:v>
      </x:c>
      <x:c r="D777" s="76" t="str">
        <x:v>Cash conversion cycle (days)</x:v>
      </x:c>
      <x:c r="E777" s="76" t="str">
        <x:v>Additional</x:v>
      </x:c>
      <x:c r="F777" s="170" t="n">
        <x:f>365*AVERAGE(FCCL!F65,FCCL!G65)/(-FCCL!G85)+365*AVERAGE(FCCL!F32,FCCL!G32)/FCCL!G84-365*AVERAGE(FCCL!F51,FCCL!G51)/(-FCCL!G85)</x:f>
        <x:v>109.34104725924954</x:v>
      </x:c>
      <x:c r="G777" s="170" t="n">
        <x:f>1</x:f>
        <x:v>1</x:v>
      </x:c>
      <x:c r="H777" s="170" t="n">
        <x:f>IF(G777&lt;=0,"n/m",F777/G777)</x:f>
        <x:v>109.34104725924954</x:v>
      </x:c>
      <x:c r="I777" s="170" t="n">
        <x:v>109.34104725924954</x:v>
      </x:c>
      <x:c r="J777" s="170" t="n">
        <x:v>1</x:v>
      </x:c>
      <x:c r="K777" s="170" t="n">
        <x:v>109.34104725924954</x:v>
      </x:c>
      <x:c r="L777" s="177" t="n">
        <x:v>109.34104725924954</x:v>
      </x:c>
      <x:c r="M777" s="177" t="n">
        <x:f>FCCL!G151</x:f>
        <x:v>109.34104725924954</x:v>
      </x:c>
      <x:c r="N777" s="178" t="str">
        <x:f>IF(AND(ABS(F777-I777)&lt;0.000001,ABS(G777-J777)&lt;0.000001,IF(ISNUMBER(L777),IF(ISNUMBER(M777),ABS(L777-M777)&lt;0.00000001,FALSE),M777=L777)),"PASS","FAIL")</x:f>
        <x:v>PASS</x:v>
      </x:c>
      <x:c r="O777" s="99" t="str"/>
      <x:c r="P777" s="76" t="str">
        <x:v>Asset Management</x:v>
      </x:c>
    </x:row>
    <x:row r="778" ht="26" customHeight="1">
      <x:c r="A778" s="168" t="str">
        <x:v>FCCL</x:v>
      </x:c>
      <x:c r="B778" s="168" t="n">
        <x:v>2024</x:v>
      </x:c>
      <x:c r="C778" s="168" t="n">
        <x:v>14</x:v>
      </x:c>
      <x:c r="D778" s="168" t="str">
        <x:v>Total asset turnover</x:v>
      </x:c>
      <x:c r="E778" s="168" t="str">
        <x:v>Mandatory</x:v>
      </x:c>
      <x:c r="F778" s="169" t="n">
        <x:f>FCCL!G84</x:f>
        <x:v>80026.226</x:v>
      </x:c>
      <x:c r="G778" s="169" t="n">
        <x:f>AVERAGE(FCCL!F37,FCCL!G37)</x:f>
        <x:v>143232.398</x:v>
      </x:c>
      <x:c r="H778" s="169" t="n">
        <x:f>IF(G778&lt;=0,"n/m",F778/G778)</x:f>
        <x:v>0.5587159547520806</x:v>
      </x:c>
      <x:c r="I778" s="169" t="n">
        <x:v>80026.226</x:v>
      </x:c>
      <x:c r="J778" s="169" t="n">
        <x:v>143232.398</x:v>
      </x:c>
      <x:c r="K778" s="169" t="n">
        <x:v>0.5587159547520806</x:v>
      </x:c>
      <x:c r="L778" s="175" t="n">
        <x:v>0.5587159547520806</x:v>
      </x:c>
      <x:c r="M778" s="175" t="n">
        <x:f>FCCL!G152</x:f>
        <x:v>0.5587159547520806</x:v>
      </x:c>
      <x:c r="N778" s="176" t="str">
        <x:f>IF(AND(ABS(F778-I778)&lt;0.000001,ABS(G778-J778)&lt;0.000001,IF(ISNUMBER(L778),IF(ISNUMBER(M778),ABS(L778-M778)&lt;0.00000001,FALSE),M778=L778)),"PASS","FAIL")</x:f>
        <x:v>PASS</x:v>
      </x:c>
      <x:c r="O778" s="171" t="str"/>
      <x:c r="P778" s="168" t="str">
        <x:v>Asset Management</x:v>
      </x:c>
    </x:row>
    <x:row r="779" ht="26" customHeight="1">
      <x:c r="A779" s="76" t="str">
        <x:v>FCCL</x:v>
      </x:c>
      <x:c r="B779" s="76" t="n">
        <x:v>2024</x:v>
      </x:c>
      <x:c r="C779" s="76" t="n">
        <x:v>15</x:v>
      </x:c>
      <x:c r="D779" s="76" t="str">
        <x:v>Fixed asset turnover</x:v>
      </x:c>
      <x:c r="E779" s="76" t="str">
        <x:v>Mandatory</x:v>
      </x:c>
      <x:c r="F779" s="170" t="n">
        <x:f>FCCL!G84</x:f>
        <x:v>80026.226</x:v>
      </x:c>
      <x:c r="G779" s="170" t="n">
        <x:f>AVERAGE(FCCL!F22,FCCL!G22)</x:f>
        <x:v>90019.75949999999</x:v>
      </x:c>
      <x:c r="H779" s="170" t="n">
        <x:f>IF(G779&lt;=0,"n/m",F779/G779)</x:f>
        <x:v>0.8889851122075039</x:v>
      </x:c>
      <x:c r="I779" s="170" t="n">
        <x:v>80026.226</x:v>
      </x:c>
      <x:c r="J779" s="170" t="n">
        <x:v>90019.75949999999</x:v>
      </x:c>
      <x:c r="K779" s="170" t="n">
        <x:v>0.8889851122075039</x:v>
      </x:c>
      <x:c r="L779" s="177" t="n">
        <x:v>0.8889851122075039</x:v>
      </x:c>
      <x:c r="M779" s="177" t="n">
        <x:f>FCCL!G153</x:f>
        <x:v>0.8889851122075039</x:v>
      </x:c>
      <x:c r="N779" s="178" t="str">
        <x:f>IF(AND(ABS(F779-I779)&lt;0.000001,ABS(G779-J779)&lt;0.000001,IF(ISNUMBER(L779),IF(ISNUMBER(M779),ABS(L779-M779)&lt;0.00000001,FALSE),M779=L779)),"PASS","FAIL")</x:f>
        <x:v>PASS</x:v>
      </x:c>
      <x:c r="O779" s="99" t="str"/>
      <x:c r="P779" s="76" t="str">
        <x:v>Asset Management</x:v>
      </x:c>
    </x:row>
    <x:row r="780" ht="26" customHeight="1">
      <x:c r="A780" s="168" t="str">
        <x:v>FCCL</x:v>
      </x:c>
      <x:c r="B780" s="168" t="n">
        <x:v>2024</x:v>
      </x:c>
      <x:c r="C780" s="168" t="n">
        <x:v>16</x:v>
      </x:c>
      <x:c r="D780" s="168" t="str">
        <x:v>Debt ratio</x:v>
      </x:c>
      <x:c r="E780" s="168" t="str">
        <x:v>Mandatory</x:v>
      </x:c>
      <x:c r="F780" s="169" t="n">
        <x:f>FCCL!G62</x:f>
        <x:v>74237.44600000001</x:v>
      </x:c>
      <x:c r="G780" s="169" t="n">
        <x:f>FCCL!G37</x:f>
        <x:v>147636.299</x:v>
      </x:c>
      <x:c r="H780" s="169" t="n">
        <x:f>IF(G780&lt;=0,"n/m",F780/G780)</x:f>
        <x:v>0.5028400637434024</x:v>
      </x:c>
      <x:c r="I780" s="169" t="n">
        <x:v>74237.446</x:v>
      </x:c>
      <x:c r="J780" s="169" t="n">
        <x:v>147636.299</x:v>
      </x:c>
      <x:c r="K780" s="169" t="n">
        <x:v>0.5028400637434023</x:v>
      </x:c>
      <x:c r="L780" s="175" t="n">
        <x:v>0.5028400637434023</x:v>
      </x:c>
      <x:c r="M780" s="175" t="n">
        <x:f>FCCL!G155</x:f>
        <x:v>0.5028400637434024</x:v>
      </x:c>
      <x:c r="N780" s="176" t="str">
        <x:f>IF(AND(ABS(F780-I780)&lt;0.000001,ABS(G780-J780)&lt;0.000001,IF(ISNUMBER(L780),IF(ISNUMBER(M780),ABS(L780-M780)&lt;0.00000001,FALSE),M780=L780)),"PASS","FAIL")</x:f>
        <x:v>PASS</x:v>
      </x:c>
      <x:c r="O780" s="171" t="str"/>
      <x:c r="P780" s="168" t="str">
        <x:v>Debt Management</x:v>
      </x:c>
    </x:row>
    <x:row r="781" ht="26" customHeight="1">
      <x:c r="A781" s="76" t="str">
        <x:v>FCCL</x:v>
      </x:c>
      <x:c r="B781" s="76" t="n">
        <x:v>2024</x:v>
      </x:c>
      <x:c r="C781" s="76" t="n">
        <x:v>17</x:v>
      </x:c>
      <x:c r="D781" s="76" t="str">
        <x:v>Debt-to-equity</x:v>
      </x:c>
      <x:c r="E781" s="76" t="str">
        <x:v>Mandatory</x:v>
      </x:c>
      <x:c r="F781" s="170" t="n">
        <x:f>FCCL!G62</x:f>
        <x:v>74237.44600000001</x:v>
      </x:c>
      <x:c r="G781" s="170" t="n">
        <x:f>FCCL!G41</x:f>
        <x:v>73398.853</x:v>
      </x:c>
      <x:c r="H781" s="170" t="n">
        <x:f>IF(G781&lt;=0,"n/m",F781/G781)</x:f>
        <x:v>1.0114251512894896</x:v>
      </x:c>
      <x:c r="I781" s="170" t="n">
        <x:v>74237.446</x:v>
      </x:c>
      <x:c r="J781" s="170" t="n">
        <x:v>73398.853</x:v>
      </x:c>
      <x:c r="K781" s="170" t="n">
        <x:v>1.0114251512894894</x:v>
      </x:c>
      <x:c r="L781" s="177" t="n">
        <x:v>1.0114251512894894</x:v>
      </x:c>
      <x:c r="M781" s="177" t="n">
        <x:f>FCCL!G156</x:f>
        <x:v>1.0114251512894896</x:v>
      </x:c>
      <x:c r="N781" s="178" t="str">
        <x:f>IF(AND(ABS(F781-I781)&lt;0.000001,ABS(G781-J781)&lt;0.000001,IF(ISNUMBER(L781),IF(ISNUMBER(M781),ABS(L781-M781)&lt;0.00000001,FALSE),M781=L781)),"PASS","FAIL")</x:f>
        <x:v>PASS</x:v>
      </x:c>
      <x:c r="O781" s="99" t="str"/>
      <x:c r="P781" s="76" t="str">
        <x:v>Debt Management</x:v>
      </x:c>
    </x:row>
    <x:row r="782" ht="26" customHeight="1">
      <x:c r="A782" s="168" t="str">
        <x:v>FCCL</x:v>
      </x:c>
      <x:c r="B782" s="168" t="n">
        <x:v>2024</x:v>
      </x:c>
      <x:c r="C782" s="168" t="n">
        <x:v>18</x:v>
      </x:c>
      <x:c r="D782" s="168" t="str">
        <x:v>Total debt-to-capital</x:v>
      </x:c>
      <x:c r="E782" s="168" t="str">
        <x:v>Additional</x:v>
      </x:c>
      <x:c r="F782" s="169" t="n">
        <x:f>FCCL!G66</x:f>
        <x:v>36589.749</x:v>
      </x:c>
      <x:c r="G782" s="169" t="n">
        <x:f>FCCL!G66+FCCL!G41</x:f>
        <x:v>109988.60200000001</x:v>
      </x:c>
      <x:c r="H782" s="169" t="n">
        <x:f>IF(G782&lt;=0,"n/m",F782/G782)</x:f>
        <x:v>0.3326685523287222</x:v>
      </x:c>
      <x:c r="I782" s="169" t="n">
        <x:v>36589.749</x:v>
      </x:c>
      <x:c r="J782" s="169" t="n">
        <x:v>109988.60200000001</x:v>
      </x:c>
      <x:c r="K782" s="169" t="n">
        <x:v>0.3326685523287222</x:v>
      </x:c>
      <x:c r="L782" s="175" t="n">
        <x:v>0.3326685523287222</x:v>
      </x:c>
      <x:c r="M782" s="175" t="n">
        <x:f>FCCL!G157</x:f>
        <x:v>0.3326685523287222</x:v>
      </x:c>
      <x:c r="N782" s="176" t="str">
        <x:f>IF(AND(ABS(F782-I782)&lt;0.000001,ABS(G782-J782)&lt;0.000001,IF(ISNUMBER(L782),IF(ISNUMBER(M782),ABS(L782-M782)&lt;0.00000001,FALSE),M782=L782)),"PASS","FAIL")</x:f>
        <x:v>PASS</x:v>
      </x:c>
      <x:c r="O782" s="171" t="str"/>
      <x:c r="P782" s="168" t="str">
        <x:v>Debt Management</x:v>
      </x:c>
    </x:row>
    <x:row r="783" ht="26" customHeight="1">
      <x:c r="A783" s="76" t="str">
        <x:v>FCCL</x:v>
      </x:c>
      <x:c r="B783" s="76" t="n">
        <x:v>2024</x:v>
      </x:c>
      <x:c r="C783" s="76" t="n">
        <x:v>19</x:v>
      </x:c>
      <x:c r="D783" s="76" t="str">
        <x:v>Long-term debt ratio</x:v>
      </x:c>
      <x:c r="E783" s="76" t="str">
        <x:v>Additional</x:v>
      </x:c>
      <x:c r="F783" s="170" t="n">
        <x:f>FCCL!G67</x:f>
        <x:v>30025.741</x:v>
      </x:c>
      <x:c r="G783" s="170" t="n">
        <x:f>FCCL!G37</x:f>
        <x:v>147636.299</x:v>
      </x:c>
      <x:c r="H783" s="170" t="n">
        <x:f>IF(G783&lt;=0,"n/m",F783/G783)</x:f>
        <x:v>0.203376413547186</x:v>
      </x:c>
      <x:c r="I783" s="170" t="n">
        <x:v>30025.741</x:v>
      </x:c>
      <x:c r="J783" s="170" t="n">
        <x:v>147636.299</x:v>
      </x:c>
      <x:c r="K783" s="170" t="n">
        <x:v>0.203376413547186</x:v>
      </x:c>
      <x:c r="L783" s="177" t="n">
        <x:v>0.203376413547186</x:v>
      </x:c>
      <x:c r="M783" s="177" t="n">
        <x:f>FCCL!G158</x:f>
        <x:v>0.203376413547186</x:v>
      </x:c>
      <x:c r="N783" s="178" t="str">
        <x:f>IF(AND(ABS(F783-I783)&lt;0.000001,ABS(G783-J783)&lt;0.000001,IF(ISNUMBER(L783),IF(ISNUMBER(M783),ABS(L783-M783)&lt;0.00000001,FALSE),M783=L783)),"PASS","FAIL")</x:f>
        <x:v>PASS</x:v>
      </x:c>
      <x:c r="O783" s="99" t="str"/>
      <x:c r="P783" s="76" t="str">
        <x:v>Debt Management</x:v>
      </x:c>
    </x:row>
    <x:row r="784" ht="26" customHeight="1">
      <x:c r="A784" s="168" t="str">
        <x:v>FCCL</x:v>
      </x:c>
      <x:c r="B784" s="168" t="n">
        <x:v>2024</x:v>
      </x:c>
      <x:c r="C784" s="168" t="n">
        <x:v>20</x:v>
      </x:c>
      <x:c r="D784" s="168" t="str">
        <x:v>Times interest earned</x:v>
      </x:c>
      <x:c r="E784" s="168" t="str">
        <x:v>Mandatory</x:v>
      </x:c>
      <x:c r="F784" s="169" t="n">
        <x:f>FCCL!G108</x:f>
        <x:v>20891.251999999993</x:v>
      </x:c>
      <x:c r="G784" s="169" t="n">
        <x:f>FCCL!G106</x:f>
        <x:v>5523.737</x:v>
      </x:c>
      <x:c r="H784" s="169" t="n">
        <x:f>IF(G784&lt;=0,"n/m",F784/G784)</x:f>
        <x:v>3.782086656189459</x:v>
      </x:c>
      <x:c r="I784" s="169" t="n">
        <x:v>20891.25199999999</x:v>
      </x:c>
      <x:c r="J784" s="169" t="n">
        <x:v>5523.737</x:v>
      </x:c>
      <x:c r="K784" s="169" t="n">
        <x:v>3.7820866561894584</x:v>
      </x:c>
      <x:c r="L784" s="175" t="n">
        <x:v>3.7820866561894584</x:v>
      </x:c>
      <x:c r="M784" s="175" t="n">
        <x:f>FCCL!G159</x:f>
        <x:v>3.782086656189459</x:v>
      </x:c>
      <x:c r="N784" s="176" t="str">
        <x:f>IF(AND(ABS(F784-I784)&lt;0.000001,ABS(G784-J784)&lt;0.000001,IF(ISNUMBER(L784),IF(ISNUMBER(M784),ABS(L784-M784)&lt;0.00000001,FALSE),M784=L784)),"PASS","FAIL")</x:f>
        <x:v>PASS</x:v>
      </x:c>
      <x:c r="O784" s="171" t="str"/>
      <x:c r="P784" s="168" t="str">
        <x:v>Debt Management</x:v>
      </x:c>
    </x:row>
    <x:row r="785" ht="26" customHeight="1">
      <x:c r="A785" s="76" t="str">
        <x:v>FCCL</x:v>
      </x:c>
      <x:c r="B785" s="76" t="n">
        <x:v>2024</x:v>
      </x:c>
      <x:c r="C785" s="76" t="n">
        <x:v>21</x:v>
      </x:c>
      <x:c r="D785" s="76" t="str">
        <x:v>Gross profit margin</x:v>
      </x:c>
      <x:c r="E785" s="76" t="str">
        <x:v>Mandatory</x:v>
      </x:c>
      <x:c r="F785" s="170" t="n">
        <x:f>FCCL!G86</x:f>
        <x:v>25680.40499999999</x:v>
      </x:c>
      <x:c r="G785" s="170" t="n">
        <x:f>FCCL!G84</x:f>
        <x:v>80026.226</x:v>
      </x:c>
      <x:c r="H785" s="170" t="n">
        <x:f>IF(G785&lt;=0,"n/m",F785/G785)</x:f>
        <x:v>0.3208998635022473</x:v>
      </x:c>
      <x:c r="I785" s="170" t="n">
        <x:v>25680.40499999999</x:v>
      </x:c>
      <x:c r="J785" s="170" t="n">
        <x:v>80026.226</x:v>
      </x:c>
      <x:c r="K785" s="170" t="n">
        <x:v>0.3208998635022473</x:v>
      </x:c>
      <x:c r="L785" s="177" t="n">
        <x:v>0.3208998635022473</x:v>
      </x:c>
      <x:c r="M785" s="177" t="n">
        <x:f>FCCL!G161</x:f>
        <x:v>0.3208998635022473</x:v>
      </x:c>
      <x:c r="N785" s="178" t="str">
        <x:f>IF(AND(ABS(F785-I785)&lt;0.000001,ABS(G785-J785)&lt;0.000001,IF(ISNUMBER(L785),IF(ISNUMBER(M785),ABS(L785-M785)&lt;0.00000001,FALSE),M785=L785)),"PASS","FAIL")</x:f>
        <x:v>PASS</x:v>
      </x:c>
      <x:c r="O785" s="99" t="str"/>
      <x:c r="P785" s="76" t="str">
        <x:v>Profitability</x:v>
      </x:c>
    </x:row>
    <x:row r="786" ht="26" customHeight="1">
      <x:c r="A786" s="168" t="str">
        <x:v>FCCL</x:v>
      </x:c>
      <x:c r="B786" s="168" t="n">
        <x:v>2024</x:v>
      </x:c>
      <x:c r="C786" s="168" t="n">
        <x:v>22</x:v>
      </x:c>
      <x:c r="D786" s="168" t="str">
        <x:v>Operating margin</x:v>
      </x:c>
      <x:c r="E786" s="168" t="str">
        <x:v>Mandatory</x:v>
      </x:c>
      <x:c r="F786" s="169" t="n">
        <x:f>FCCL!G91</x:f>
        <x:v>20051.560999999994</x:v>
      </x:c>
      <x:c r="G786" s="169" t="n">
        <x:f>FCCL!G84</x:f>
        <x:v>80026.226</x:v>
      </x:c>
      <x:c r="H786" s="169" t="n">
        <x:f>IF(G786&lt;=0,"n/m",F786/G786)</x:f>
        <x:v>0.25056237189043495</x:v>
      </x:c>
      <x:c r="I786" s="169" t="n">
        <x:v>20051.56099999999</x:v>
      </x:c>
      <x:c r="J786" s="169" t="n">
        <x:v>80026.226</x:v>
      </x:c>
      <x:c r="K786" s="169" t="n">
        <x:v>0.2505623718904349</x:v>
      </x:c>
      <x:c r="L786" s="175" t="n">
        <x:v>0.2505623718904349</x:v>
      </x:c>
      <x:c r="M786" s="175" t="n">
        <x:f>FCCL!G162</x:f>
        <x:v>0.25056237189043495</x:v>
      </x:c>
      <x:c r="N786" s="176" t="str">
        <x:f>IF(AND(ABS(F786-I786)&lt;0.000001,ABS(G786-J786)&lt;0.000001,IF(ISNUMBER(L786),IF(ISNUMBER(M786),ABS(L786-M786)&lt;0.00000001,FALSE),M786=L786)),"PASS","FAIL")</x:f>
        <x:v>PASS</x:v>
      </x:c>
      <x:c r="O786" s="171" t="str"/>
      <x:c r="P786" s="168" t="str">
        <x:v>Profitability</x:v>
      </x:c>
    </x:row>
    <x:row r="787" ht="26" customHeight="1">
      <x:c r="A787" s="76" t="str">
        <x:v>FCCL</x:v>
      </x:c>
      <x:c r="B787" s="76" t="n">
        <x:v>2024</x:v>
      </x:c>
      <x:c r="C787" s="76" t="n">
        <x:v>23</x:v>
      </x:c>
      <x:c r="D787" s="76" t="str">
        <x:v>Net profit margin</x:v>
      </x:c>
      <x:c r="E787" s="76" t="str">
        <x:v>Mandatory</x:v>
      </x:c>
      <x:c r="F787" s="170" t="n">
        <x:f>FCCL!G99</x:f>
        <x:v>8223.115999999995</x:v>
      </x:c>
      <x:c r="G787" s="170" t="n">
        <x:f>FCCL!G84</x:f>
        <x:v>80026.226</x:v>
      </x:c>
      <x:c r="H787" s="170" t="n">
        <x:f>IF(G787&lt;=0,"n/m",F787/G787)</x:f>
        <x:v>0.10275526425549537</x:v>
      </x:c>
      <x:c r="I787" s="170" t="n">
        <x:v>8223.11599999999</x:v>
      </x:c>
      <x:c r="J787" s="170" t="n">
        <x:v>80026.226</x:v>
      </x:c>
      <x:c r="K787" s="170" t="n">
        <x:v>0.10275526425549533</x:v>
      </x:c>
      <x:c r="L787" s="177" t="n">
        <x:v>0.10275526425549533</x:v>
      </x:c>
      <x:c r="M787" s="177" t="n">
        <x:f>FCCL!G163</x:f>
        <x:v>0.10275526425549537</x:v>
      </x:c>
      <x:c r="N787" s="178" t="str">
        <x:f>IF(AND(ABS(F787-I787)&lt;0.000001,ABS(G787-J787)&lt;0.000001,IF(ISNUMBER(L787),IF(ISNUMBER(M787),ABS(L787-M787)&lt;0.00000001,FALSE),M787=L787)),"PASS","FAIL")</x:f>
        <x:v>PASS</x:v>
      </x:c>
      <x:c r="O787" s="99" t="str"/>
      <x:c r="P787" s="76" t="str">
        <x:v>Profitability</x:v>
      </x:c>
    </x:row>
    <x:row r="788" ht="26" customHeight="1">
      <x:c r="A788" s="168" t="str">
        <x:v>FCCL</x:v>
      </x:c>
      <x:c r="B788" s="168" t="n">
        <x:v>2024</x:v>
      </x:c>
      <x:c r="C788" s="168" t="n">
        <x:v>24</x:v>
      </x:c>
      <x:c r="D788" s="168" t="str">
        <x:v>Return on assets</x:v>
      </x:c>
      <x:c r="E788" s="168" t="str">
        <x:v>Mandatory</x:v>
      </x:c>
      <x:c r="F788" s="169" t="n">
        <x:f>FCCL!G99</x:f>
        <x:v>8223.115999999995</x:v>
      </x:c>
      <x:c r="G788" s="169" t="n">
        <x:f>AVERAGE(FCCL!F37,FCCL!G37)</x:f>
        <x:v>143232.398</x:v>
      </x:c>
      <x:c r="H788" s="169" t="n">
        <x:f>IF(G788&lt;=0,"n/m",F788/G788)</x:f>
        <x:v>0.05741100557431145</x:v>
      </x:c>
      <x:c r="I788" s="169" t="n">
        <x:v>8223.11599999999</x:v>
      </x:c>
      <x:c r="J788" s="169" t="n">
        <x:v>143232.398</x:v>
      </x:c>
      <x:c r="K788" s="169" t="n">
        <x:v>0.05741100557431142</x:v>
      </x:c>
      <x:c r="L788" s="175" t="n">
        <x:v>0.05741100557431142</x:v>
      </x:c>
      <x:c r="M788" s="175" t="n">
        <x:f>FCCL!G164</x:f>
        <x:v>0.05741100557431145</x:v>
      </x:c>
      <x:c r="N788" s="176" t="str">
        <x:f>IF(AND(ABS(F788-I788)&lt;0.000001,ABS(G788-J788)&lt;0.000001,IF(ISNUMBER(L788),IF(ISNUMBER(M788),ABS(L788-M788)&lt;0.00000001,FALSE),M788=L788)),"PASS","FAIL")</x:f>
        <x:v>PASS</x:v>
      </x:c>
      <x:c r="O788" s="171" t="str"/>
      <x:c r="P788" s="168" t="str">
        <x:v>Profitability</x:v>
      </x:c>
    </x:row>
    <x:row r="789" ht="26" customHeight="1">
      <x:c r="A789" s="76" t="str">
        <x:v>FCCL</x:v>
      </x:c>
      <x:c r="B789" s="76" t="n">
        <x:v>2024</x:v>
      </x:c>
      <x:c r="C789" s="76" t="n">
        <x:v>25</x:v>
      </x:c>
      <x:c r="D789" s="76" t="str">
        <x:v>Return on equity</x:v>
      </x:c>
      <x:c r="E789" s="76" t="str">
        <x:v>Mandatory</x:v>
      </x:c>
      <x:c r="F789" s="170" t="n">
        <x:f>FCCL!G99</x:f>
        <x:v>8223.115999999995</x:v>
      </x:c>
      <x:c r="G789" s="170" t="n">
        <x:f>AVERAGE(FCCL!F41,FCCL!G41)</x:f>
        <x:v>69287.295</x:v>
      </x:c>
      <x:c r="H789" s="170" t="n">
        <x:f>IF(G789&lt;=0,"n/m",F789/G789)</x:f>
        <x:v>0.11868144080382984</x:v>
      </x:c>
      <x:c r="I789" s="170" t="n">
        <x:v>8223.11599999999</x:v>
      </x:c>
      <x:c r="J789" s="170" t="n">
        <x:v>69287.295</x:v>
      </x:c>
      <x:c r="K789" s="170" t="n">
        <x:v>0.11868144080382978</x:v>
      </x:c>
      <x:c r="L789" s="177" t="n">
        <x:v>0.11868144080382978</x:v>
      </x:c>
      <x:c r="M789" s="177" t="n">
        <x:f>FCCL!G165</x:f>
        <x:v>0.11868144080382984</x:v>
      </x:c>
      <x:c r="N789" s="178" t="str">
        <x:f>IF(AND(ABS(F789-I789)&lt;0.000001,ABS(G789-J789)&lt;0.000001,IF(ISNUMBER(L789),IF(ISNUMBER(M789),ABS(L789-M789)&lt;0.00000001,FALSE),M789=L789)),"PASS","FAIL")</x:f>
        <x:v>PASS</x:v>
      </x:c>
      <x:c r="O789" s="99" t="str"/>
      <x:c r="P789" s="76" t="str">
        <x:v>Profitability</x:v>
      </x:c>
    </x:row>
    <x:row r="790" ht="26" customHeight="1">
      <x:c r="A790" s="168" t="str">
        <x:v>FCCL</x:v>
      </x:c>
      <x:c r="B790" s="168" t="n">
        <x:v>2024</x:v>
      </x:c>
      <x:c r="C790" s="168" t="n">
        <x:v>26</x:v>
      </x:c>
      <x:c r="D790" s="168" t="str">
        <x:v>Return on invested capital</x:v>
      </x:c>
      <x:c r="E790" s="168" t="str">
        <x:v>Additional</x:v>
      </x:c>
      <x:c r="F790" s="169" t="n">
        <x:f>FCCL!G113</x:f>
        <x:v>11187.997605283083</x:v>
      </x:c>
      <x:c r="G790" s="169" t="n">
        <x:f>AVERAGE(FCCL!F70,FCCL!G70)</x:f>
        <x:v>107909.16750000001</x:v>
      </x:c>
      <x:c r="H790" s="169" t="n">
        <x:f>IF(G790&lt;=0,"n/m",F790/G790)</x:f>
        <x:v>0.10367976942536491</x:v>
      </x:c>
      <x:c r="I790" s="169" t="n">
        <x:v>11187.997605283079</x:v>
      </x:c>
      <x:c r="J790" s="169" t="n">
        <x:v>107909.16750000001</x:v>
      </x:c>
      <x:c r="K790" s="169" t="n">
        <x:v>0.10367976942536489</x:v>
      </x:c>
      <x:c r="L790" s="175" t="n">
        <x:v>0.10367976942536489</x:v>
      </x:c>
      <x:c r="M790" s="175" t="n">
        <x:f>FCCL!G166</x:f>
        <x:v>0.10367976942536491</x:v>
      </x:c>
      <x:c r="N790" s="176" t="str">
        <x:f>IF(AND(ABS(F790-I790)&lt;0.000001,ABS(G790-J790)&lt;0.000001,IF(ISNUMBER(L790),IF(ISNUMBER(M790),ABS(L790-M790)&lt;0.00000001,FALSE),M790=L790)),"PASS","FAIL")</x:f>
        <x:v>PASS</x:v>
      </x:c>
      <x:c r="O790" s="171" t="str"/>
      <x:c r="P790" s="168" t="str">
        <x:v>Profitability</x:v>
      </x:c>
    </x:row>
    <x:row r="791" ht="26" customHeight="1">
      <x:c r="A791" s="76" t="str">
        <x:v>FCCL</x:v>
      </x:c>
      <x:c r="B791" s="76" t="n">
        <x:v>2024</x:v>
      </x:c>
      <x:c r="C791" s="76" t="n">
        <x:v>27</x:v>
      </x:c>
      <x:c r="D791" s="76" t="str">
        <x:v>Basic earning power</x:v>
      </x:c>
      <x:c r="E791" s="76" t="str">
        <x:v>Additional</x:v>
      </x:c>
      <x:c r="F791" s="170" t="n">
        <x:f>FCCL!G108</x:f>
        <x:v>20891.251999999993</x:v>
      </x:c>
      <x:c r="G791" s="170" t="n">
        <x:f>AVERAGE(FCCL!F37,FCCL!G37)</x:f>
        <x:v>143232.398</x:v>
      </x:c>
      <x:c r="H791" s="170" t="n">
        <x:f>IF(G791&lt;=0,"n/m",F791/G791)</x:f>
        <x:v>0.1458556324666155</x:v>
      </x:c>
      <x:c r="I791" s="170" t="n">
        <x:v>20891.25199999999</x:v>
      </x:c>
      <x:c r="J791" s="170" t="n">
        <x:v>143232.398</x:v>
      </x:c>
      <x:c r="K791" s="170" t="n">
        <x:v>0.14585563246661548</x:v>
      </x:c>
      <x:c r="L791" s="177" t="n">
        <x:v>0.14585563246661548</x:v>
      </x:c>
      <x:c r="M791" s="177" t="n">
        <x:f>FCCL!G167</x:f>
        <x:v>0.1458556324666155</x:v>
      </x:c>
      <x:c r="N791" s="178" t="str">
        <x:f>IF(AND(ABS(F791-I791)&lt;0.000001,ABS(G791-J791)&lt;0.000001,IF(ISNUMBER(L791),IF(ISNUMBER(M791),ABS(L791-M791)&lt;0.00000001,FALSE),M791=L791)),"PASS","FAIL")</x:f>
        <x:v>PASS</x:v>
      </x:c>
      <x:c r="O791" s="99" t="str"/>
      <x:c r="P791" s="76" t="str">
        <x:v>Profitability</x:v>
      </x:c>
    </x:row>
    <x:row r="792" ht="26" customHeight="1">
      <x:c r="A792" s="168" t="str">
        <x:v>FCCL</x:v>
      </x:c>
      <x:c r="B792" s="168" t="n">
        <x:v>2024</x:v>
      </x:c>
      <x:c r="C792" s="168" t="n">
        <x:v>28</x:v>
      </x:c>
      <x:c r="D792" s="168" t="str">
        <x:v>Book value per share (Rs)</x:v>
      </x:c>
      <x:c r="E792" s="168" t="str">
        <x:v>Additional</x:v>
      </x:c>
      <x:c r="F792" s="169" t="n">
        <x:f>FCCL!G41</x:f>
        <x:v>73398.853</x:v>
      </x:c>
      <x:c r="G792" s="169" t="n">
        <x:f>FCCL!G128</x:f>
        <x:v>2452.8476</x:v>
      </x:c>
      <x:c r="H792" s="169" t="n">
        <x:f>IF(G792&lt;=0,"n/m",F792/G792)</x:f>
        <x:v>29.923935347634316</x:v>
      </x:c>
      <x:c r="I792" s="169" t="n">
        <x:v>73398.853</x:v>
      </x:c>
      <x:c r="J792" s="169" t="n">
        <x:v>2452.8476</x:v>
      </x:c>
      <x:c r="K792" s="169" t="n">
        <x:v>29.923935347634316</x:v>
      </x:c>
      <x:c r="L792" s="175" t="n">
        <x:v>29.923935347634316</x:v>
      </x:c>
      <x:c r="M792" s="175" t="n">
        <x:f>FCCL!G169</x:f>
        <x:v>29.923935347634316</x:v>
      </x:c>
      <x:c r="N792" s="176" t="str">
        <x:f>IF(AND(ABS(F792-I792)&lt;0.000001,ABS(G792-J792)&lt;0.000001,IF(ISNUMBER(L792),IF(ISNUMBER(M792),ABS(L792-M792)&lt;0.00000001,FALSE),M792=L792)),"PASS","FAIL")</x:f>
        <x:v>PASS</x:v>
      </x:c>
      <x:c r="O792" s="171" t="str"/>
      <x:c r="P792" s="168" t="str">
        <x:v>Market Value</x:v>
      </x:c>
    </x:row>
    <x:row r="793" ht="26" customHeight="1">
      <x:c r="A793" s="76" t="str">
        <x:v>FCCL</x:v>
      </x:c>
      <x:c r="B793" s="76" t="n">
        <x:v>2024</x:v>
      </x:c>
      <x:c r="C793" s="76" t="n">
        <x:v>29</x:v>
      </x:c>
      <x:c r="D793" s="76" t="str">
        <x:v>Market-to-book ratio</x:v>
      </x:c>
      <x:c r="E793" s="76" t="str">
        <x:v>Mandatory</x:v>
      </x:c>
      <x:c r="F793" s="170" t="n">
        <x:f>FCCL!G130</x:f>
        <x:v>22.91</x:v>
      </x:c>
      <x:c r="G793" s="170" t="n">
        <x:f>FCCL!G41/FCCL!G128</x:f>
        <x:v>29.923935347634316</x:v>
      </x:c>
      <x:c r="H793" s="170" t="n">
        <x:f>IF(G793&lt;=0,"n/m",F793/G793)</x:f>
        <x:v>0.7656078565151421</x:v>
      </x:c>
      <x:c r="I793" s="170" t="n">
        <x:v>22.91</x:v>
      </x:c>
      <x:c r="J793" s="170" t="n">
        <x:v>29.923935347634316</x:v>
      </x:c>
      <x:c r="K793" s="170" t="n">
        <x:v>0.7656078565151421</x:v>
      </x:c>
      <x:c r="L793" s="177" t="n">
        <x:v>0.7656078565151421</x:v>
      </x:c>
      <x:c r="M793" s="177" t="n">
        <x:f>FCCL!G170</x:f>
        <x:v>0.7656078565151421</x:v>
      </x:c>
      <x:c r="N793" s="178" t="str">
        <x:f>IF(AND(ABS(F793-I793)&lt;0.000001,ABS(G793-J793)&lt;0.000001,IF(ISNUMBER(L793),IF(ISNUMBER(M793),ABS(L793-M793)&lt;0.00000001,FALSE),M793=L793)),"PASS","FAIL")</x:f>
        <x:v>PASS</x:v>
      </x:c>
      <x:c r="O793" s="99" t="str"/>
      <x:c r="P793" s="76" t="str">
        <x:v>Market Value</x:v>
      </x:c>
    </x:row>
    <x:row r="794" ht="26" customHeight="1">
      <x:c r="A794" s="168" t="str">
        <x:v>FCCL</x:v>
      </x:c>
      <x:c r="B794" s="168" t="n">
        <x:v>2024</x:v>
      </x:c>
      <x:c r="C794" s="168" t="n">
        <x:v>30</x:v>
      </x:c>
      <x:c r="D794" s="168" t="str">
        <x:v>Earnings per share (Rs)</x:v>
      </x:c>
      <x:c r="E794" s="168" t="str">
        <x:v>Mandatory</x:v>
      </x:c>
      <x:c r="F794" s="169" t="n">
        <x:f>FCCL!G99</x:f>
        <x:v>8223.115999999995</x:v>
      </x:c>
      <x:c r="G794" s="169" t="n">
        <x:f>FCCL!G129</x:f>
        <x:v>2452.847</x:v>
      </x:c>
      <x:c r="H794" s="169" t="n">
        <x:f>IF(G794&lt;=0,"n/m",F794/G794)</x:f>
        <x:v>3.3524781610919856</x:v>
      </x:c>
      <x:c r="I794" s="169" t="n">
        <x:v>8223.11599999999</x:v>
      </x:c>
      <x:c r="J794" s="169" t="n">
        <x:v>2452.847</x:v>
      </x:c>
      <x:c r="K794" s="169" t="n">
        <x:v>3.3524781610919843</x:v>
      </x:c>
      <x:c r="L794" s="175" t="n">
        <x:v>3.3524781610919843</x:v>
      </x:c>
      <x:c r="M794" s="175" t="n">
        <x:f>FCCL!G171</x:f>
        <x:v>3.3524781610919856</x:v>
      </x:c>
      <x:c r="N794" s="176" t="str">
        <x:f>IF(AND(ABS(F794-I794)&lt;0.000001,ABS(G794-J794)&lt;0.000001,IF(ISNUMBER(L794),IF(ISNUMBER(M794),ABS(L794-M794)&lt;0.00000001,FALSE),M794=L794)),"PASS","FAIL")</x:f>
        <x:v>PASS</x:v>
      </x:c>
      <x:c r="O794" s="171" t="str"/>
      <x:c r="P794" s="168" t="str">
        <x:v>Market Value</x:v>
      </x:c>
    </x:row>
    <x:row r="795" ht="26" customHeight="1">
      <x:c r="A795" s="76" t="str">
        <x:v>FCCL</x:v>
      </x:c>
      <x:c r="B795" s="76" t="n">
        <x:v>2024</x:v>
      </x:c>
      <x:c r="C795" s="76" t="n">
        <x:v>31</x:v>
      </x:c>
      <x:c r="D795" s="76" t="str">
        <x:v>Price-to-earnings ratio</x:v>
      </x:c>
      <x:c r="E795" s="76" t="str">
        <x:v>Mandatory</x:v>
      </x:c>
      <x:c r="F795" s="170" t="n">
        <x:f>FCCL!G130</x:f>
        <x:v>22.91</x:v>
      </x:c>
      <x:c r="G795" s="170" t="n">
        <x:f>FCCL!G99/FCCL!G129</x:f>
        <x:v>3.3524781610919856</x:v>
      </x:c>
      <x:c r="H795" s="170" t="n">
        <x:f>IF(G795&lt;=0,"n/m",F795/G795)</x:f>
        <x:v>6.833750705936781</x:v>
      </x:c>
      <x:c r="I795" s="170" t="n">
        <x:v>22.91</x:v>
      </x:c>
      <x:c r="J795" s="170" t="n">
        <x:v>3.3524781610919843</x:v>
      </x:c>
      <x:c r="K795" s="170" t="n">
        <x:v>6.833750705936785</x:v>
      </x:c>
      <x:c r="L795" s="177" t="n">
        <x:v>6.833750705936785</x:v>
      </x:c>
      <x:c r="M795" s="177" t="n">
        <x:f>FCCL!G172</x:f>
        <x:v>6.833750705936781</x:v>
      </x:c>
      <x:c r="N795" s="178" t="str">
        <x:f>IF(AND(ABS(F795-I795)&lt;0.000001,ABS(G795-J795)&lt;0.000001,IF(ISNUMBER(L795),IF(ISNUMBER(M795),ABS(L795-M795)&lt;0.00000001,FALSE),M795=L795)),"PASS","FAIL")</x:f>
        <x:v>PASS</x:v>
      </x:c>
      <x:c r="O795" s="99" t="str"/>
      <x:c r="P795" s="76" t="str">
        <x:v>Market Value</x:v>
      </x:c>
    </x:row>
    <x:row r="796" ht="26" customHeight="1">
      <x:c r="A796" s="168" t="str">
        <x:v>FCCL</x:v>
      </x:c>
      <x:c r="B796" s="168" t="n">
        <x:v>2024</x:v>
      </x:c>
      <x:c r="C796" s="168" t="n">
        <x:v>32</x:v>
      </x:c>
      <x:c r="D796" s="168" t="str">
        <x:v>Dividend yield</x:v>
      </x:c>
      <x:c r="E796" s="168" t="str">
        <x:v>Mandatory</x:v>
      </x:c>
      <x:c r="F796" s="169" t="n">
        <x:f>FCCL!G131</x:f>
        <x:v>1</x:v>
      </x:c>
      <x:c r="G796" s="169" t="n">
        <x:f>FCCL!G130</x:f>
        <x:v>22.91</x:v>
      </x:c>
      <x:c r="H796" s="169" t="n">
        <x:f>IF(G796&lt;=0,"n/m",F796/G796)</x:f>
        <x:v>0.04364906154517678</x:v>
      </x:c>
      <x:c r="I796" s="169" t="n">
        <x:v>1</x:v>
      </x:c>
      <x:c r="J796" s="169" t="n">
        <x:v>22.91</x:v>
      </x:c>
      <x:c r="K796" s="169" t="n">
        <x:v>0.04364906154517678</x:v>
      </x:c>
      <x:c r="L796" s="175" t="n">
        <x:v>0.04364906154517678</x:v>
      </x:c>
      <x:c r="M796" s="175" t="n">
        <x:f>FCCL!G173</x:f>
        <x:v>0.04364906154517678</x:v>
      </x:c>
      <x:c r="N796" s="176" t="str">
        <x:f>IF(AND(ABS(F796-I796)&lt;0.000001,ABS(G796-J796)&lt;0.000001,IF(ISNUMBER(L796),IF(ISNUMBER(M796),ABS(L796-M796)&lt;0.00000001,FALSE),M796=L796)),"PASS","FAIL")</x:f>
        <x:v>PASS</x:v>
      </x:c>
      <x:c r="O796" s="171" t="str"/>
      <x:c r="P796" s="168" t="str">
        <x:v>Market Value</x:v>
      </x:c>
    </x:row>
    <x:row r="797" ht="26" customHeight="1">
      <x:c r="A797" s="76" t="str">
        <x:v>FCCL</x:v>
      </x:c>
      <x:c r="B797" s="76" t="n">
        <x:v>2024</x:v>
      </x:c>
      <x:c r="C797" s="76" t="n">
        <x:v>33</x:v>
      </x:c>
      <x:c r="D797" s="76" t="str">
        <x:v>Dividend payout ratio</x:v>
      </x:c>
      <x:c r="E797" s="76" t="str">
        <x:v>Additional</x:v>
      </x:c>
      <x:c r="F797" s="170" t="n">
        <x:f>FCCL!G131</x:f>
        <x:v>1</x:v>
      </x:c>
      <x:c r="G797" s="170" t="n">
        <x:f>FCCL!G99/FCCL!G129</x:f>
        <x:v>3.3524781610919856</x:v>
      </x:c>
      <x:c r="H797" s="170" t="n">
        <x:f>IF(G797&lt;=0,"n/m",F797/G797)</x:f>
        <x:v>0.29828680514782985</x:v>
      </x:c>
      <x:c r="I797" s="170" t="n">
        <x:v>1</x:v>
      </x:c>
      <x:c r="J797" s="170" t="n">
        <x:v>3.3524781610919843</x:v>
      </x:c>
      <x:c r="K797" s="170" t="n">
        <x:v>0.29828680514782996</x:v>
      </x:c>
      <x:c r="L797" s="177" t="n">
        <x:v>0.29828680514782996</x:v>
      </x:c>
      <x:c r="M797" s="177" t="n">
        <x:f>FCCL!G174</x:f>
        <x:v>0.29828680514782985</x:v>
      </x:c>
      <x:c r="N797" s="178" t="str">
        <x:f>IF(AND(ABS(F797-I797)&lt;0.000001,ABS(G797-J797)&lt;0.000001,IF(ISNUMBER(L797),IF(ISNUMBER(M797),ABS(L797-M797)&lt;0.00000001,FALSE),M797=L797)),"PASS","FAIL")</x:f>
        <x:v>PASS</x:v>
      </x:c>
      <x:c r="O797" s="99" t="str"/>
      <x:c r="P797" s="76" t="str">
        <x:v>Market Value</x:v>
      </x:c>
    </x:row>
    <x:row r="798" ht="26" customHeight="1">
      <x:c r="A798" s="168" t="str">
        <x:v>FCCL</x:v>
      </x:c>
      <x:c r="B798" s="168" t="n">
        <x:v>2025</x:v>
      </x:c>
      <x:c r="C798" s="168" t="n">
        <x:v>1</x:v>
      </x:c>
      <x:c r="D798" s="168" t="str">
        <x:v>Current ratio</x:v>
      </x:c>
      <x:c r="E798" s="168" t="str">
        <x:v>Mandatory</x:v>
      </x:c>
      <x:c r="F798" s="169" t="n">
        <x:f>FCCL!H36</x:f>
        <x:v>40472.565</x:v>
      </x:c>
      <x:c r="G798" s="169" t="n">
        <x:f>FCCL!H61</x:f>
        <x:v>30637.496999999996</x:v>
      </x:c>
      <x:c r="H798" s="169" t="n">
        <x:f>IF(G798&lt;=0,"n/m",F798/G798)</x:f>
        <x:v>1.3210140828410366</x:v>
      </x:c>
      <x:c r="I798" s="169" t="n">
        <x:v>40472.565</x:v>
      </x:c>
      <x:c r="J798" s="169" t="n">
        <x:v>30637.496999999996</x:v>
      </x:c>
      <x:c r="K798" s="169" t="n">
        <x:v>1.3210140828410366</x:v>
      </x:c>
      <x:c r="L798" s="175" t="n">
        <x:v>1.3210140828410366</x:v>
      </x:c>
      <x:c r="M798" s="175" t="n">
        <x:f>FCCL!H138</x:f>
        <x:v>1.3210140828410366</x:v>
      </x:c>
      <x:c r="N798" s="176" t="str">
        <x:f>IF(AND(ABS(F798-I798)&lt;0.000001,ABS(G798-J798)&lt;0.000001,IF(ISNUMBER(L798),IF(ISNUMBER(M798),ABS(L798-M798)&lt;0.00000001,FALSE),M798=L798)),"PASS","FAIL")</x:f>
        <x:v>PASS</x:v>
      </x:c>
      <x:c r="O798" s="171" t="str"/>
      <x:c r="P798" s="168" t="str">
        <x:v>Liquidity</x:v>
      </x:c>
    </x:row>
    <x:row r="799" ht="26" customHeight="1">
      <x:c r="A799" s="76" t="str">
        <x:v>FCCL</x:v>
      </x:c>
      <x:c r="B799" s="76" t="n">
        <x:v>2025</x:v>
      </x:c>
      <x:c r="C799" s="76" t="n">
        <x:v>2</x:v>
      </x:c>
      <x:c r="D799" s="76" t="str">
        <x:v>Quick ratio</x:v>
      </x:c>
      <x:c r="E799" s="76" t="str">
        <x:v>Mandatory</x:v>
      </x:c>
      <x:c r="F799" s="170" t="n">
        <x:f>FCCL!H36-FCCL!H65</x:f>
        <x:v>20757.940000000002</x:v>
      </x:c>
      <x:c r="G799" s="170" t="n">
        <x:f>FCCL!H61</x:f>
        <x:v>30637.496999999996</x:v>
      </x:c>
      <x:c r="H799" s="170" t="n">
        <x:f>IF(G799&lt;=0,"n/m",F799/G799)</x:f>
        <x:v>0.6775338076736492</x:v>
      </x:c>
      <x:c r="I799" s="170" t="n">
        <x:v>20757.940000000002</x:v>
      </x:c>
      <x:c r="J799" s="170" t="n">
        <x:v>30637.496999999996</x:v>
      </x:c>
      <x:c r="K799" s="170" t="n">
        <x:v>0.6775338076736492</x:v>
      </x:c>
      <x:c r="L799" s="177" t="n">
        <x:v>0.6775338076736492</x:v>
      </x:c>
      <x:c r="M799" s="177" t="n">
        <x:f>FCCL!H139</x:f>
        <x:v>0.6775338076736492</x:v>
      </x:c>
      <x:c r="N799" s="178" t="str">
        <x:f>IF(AND(ABS(F799-I799)&lt;0.000001,ABS(G799-J799)&lt;0.000001,IF(ISNUMBER(L799),IF(ISNUMBER(M799),ABS(L799-M799)&lt;0.00000001,FALSE),M799=L799)),"PASS","FAIL")</x:f>
        <x:v>PASS</x:v>
      </x:c>
      <x:c r="O799" s="99" t="str"/>
      <x:c r="P799" s="76" t="str">
        <x:v>Liquidity</x:v>
      </x:c>
    </x:row>
    <x:row r="800" ht="26" customHeight="1">
      <x:c r="A800" s="168" t="str">
        <x:v>FCCL</x:v>
      </x:c>
      <x:c r="B800" s="168" t="n">
        <x:v>2025</x:v>
      </x:c>
      <x:c r="C800" s="168" t="n">
        <x:v>3</x:v>
      </x:c>
      <x:c r="D800" s="168" t="str">
        <x:v>Cash ratio</x:v>
      </x:c>
      <x:c r="E800" s="168" t="str">
        <x:v>Mandatory</x:v>
      </x:c>
      <x:c r="F800" s="169" t="n">
        <x:f>FCCL!H34</x:f>
        <x:v>2665.338</x:v>
      </x:c>
      <x:c r="G800" s="169" t="n">
        <x:f>FCCL!H61</x:f>
        <x:v>30637.496999999996</x:v>
      </x:c>
      <x:c r="H800" s="169" t="n">
        <x:f>IF(G800&lt;=0,"n/m",F800/G800)</x:f>
        <x:v>0.08699594487108397</x:v>
      </x:c>
      <x:c r="I800" s="169" t="n">
        <x:v>2665.338</x:v>
      </x:c>
      <x:c r="J800" s="169" t="n">
        <x:v>30637.496999999996</x:v>
      </x:c>
      <x:c r="K800" s="169" t="n">
        <x:v>0.08699594487108397</x:v>
      </x:c>
      <x:c r="L800" s="175" t="n">
        <x:v>0.08699594487108397</x:v>
      </x:c>
      <x:c r="M800" s="175" t="n">
        <x:f>FCCL!H140</x:f>
        <x:v>0.08699594487108397</x:v>
      </x:c>
      <x:c r="N800" s="176" t="str">
        <x:f>IF(AND(ABS(F800-I800)&lt;0.000001,ABS(G800-J800)&lt;0.000001,IF(ISNUMBER(L800),IF(ISNUMBER(M800),ABS(L800-M800)&lt;0.00000001,FALSE),M800=L800)),"PASS","FAIL")</x:f>
        <x:v>PASS</x:v>
      </x:c>
      <x:c r="O800" s="171" t="str"/>
      <x:c r="P800" s="168" t="str">
        <x:v>Liquidity</x:v>
      </x:c>
    </x:row>
    <x:row r="801" ht="26" customHeight="1">
      <x:c r="A801" s="76" t="str">
        <x:v>FCCL</x:v>
      </x:c>
      <x:c r="B801" s="76" t="n">
        <x:v>2025</x:v>
      </x:c>
      <x:c r="C801" s="76" t="n">
        <x:v>4</x:v>
      </x:c>
      <x:c r="D801" s="76" t="str">
        <x:v>Net working capital (PKR m)</x:v>
      </x:c>
      <x:c r="E801" s="76" t="str">
        <x:v>Additional</x:v>
      </x:c>
      <x:c r="F801" s="170" t="n">
        <x:f>FCCL!H36-FCCL!H61</x:f>
        <x:v>9835.068000000007</x:v>
      </x:c>
      <x:c r="G801" s="170" t="n">
        <x:f>1</x:f>
        <x:v>1</x:v>
      </x:c>
      <x:c r="H801" s="170" t="n">
        <x:f>IF(G801&lt;=0,"n/m",F801/G801)</x:f>
        <x:v>9835.068000000007</x:v>
      </x:c>
      <x:c r="I801" s="170" t="n">
        <x:v>9835.068000000007</x:v>
      </x:c>
      <x:c r="J801" s="170" t="n">
        <x:v>1</x:v>
      </x:c>
      <x:c r="K801" s="170" t="n">
        <x:v>9835.068000000007</x:v>
      </x:c>
      <x:c r="L801" s="177" t="n">
        <x:v>9835.068000000007</x:v>
      </x:c>
      <x:c r="M801" s="177" t="n">
        <x:f>FCCL!H141</x:f>
        <x:v>9835.068000000007</x:v>
      </x:c>
      <x:c r="N801" s="178" t="str">
        <x:f>IF(AND(ABS(F801-I801)&lt;0.000001,ABS(G801-J801)&lt;0.000001,IF(ISNUMBER(L801),IF(ISNUMBER(M801),ABS(L801-M801)&lt;0.00000001,FALSE),M801=L801)),"PASS","FAIL")</x:f>
        <x:v>PASS</x:v>
      </x:c>
      <x:c r="O801" s="99" t="str"/>
      <x:c r="P801" s="76" t="str">
        <x:v>Liquidity</x:v>
      </x:c>
    </x:row>
    <x:row r="802" ht="26" customHeight="1">
      <x:c r="A802" s="168" t="str">
        <x:v>FCCL</x:v>
      </x:c>
      <x:c r="B802" s="168" t="n">
        <x:v>2025</x:v>
      </x:c>
      <x:c r="C802" s="168" t="n">
        <x:v>5</x:v>
      </x:c>
      <x:c r="D802" s="168" t="str">
        <x:v>Net operating working capital (PKR m)</x:v>
      </x:c>
      <x:c r="E802" s="168" t="str">
        <x:v>Additional</x:v>
      </x:c>
      <x:c r="F802" s="169" t="n">
        <x:f>FCCL!H72-FCCL!H73</x:f>
        <x:v>14427.799000000005</x:v>
      </x:c>
      <x:c r="G802" s="169" t="n">
        <x:f>1</x:f>
        <x:v>1</x:v>
      </x:c>
      <x:c r="H802" s="169" t="n">
        <x:f>IF(G802&lt;=0,"n/m",F802/G802)</x:f>
        <x:v>14427.799000000005</x:v>
      </x:c>
      <x:c r="I802" s="169" t="n">
        <x:v>14427.799000000003</x:v>
      </x:c>
      <x:c r="J802" s="169" t="n">
        <x:v>1</x:v>
      </x:c>
      <x:c r="K802" s="169" t="n">
        <x:v>14427.799000000003</x:v>
      </x:c>
      <x:c r="L802" s="175" t="n">
        <x:v>14427.799000000003</x:v>
      </x:c>
      <x:c r="M802" s="175" t="n">
        <x:f>FCCL!H142</x:f>
        <x:v>14427.799000000005</x:v>
      </x:c>
      <x:c r="N802" s="176" t="str">
        <x:f>IF(AND(ABS(F802-I802)&lt;0.000001,ABS(G802-J802)&lt;0.000001,IF(ISNUMBER(L802),IF(ISNUMBER(M802),ABS(L802-M802)&lt;0.00000001,FALSE),M802=L802)),"PASS","FAIL")</x:f>
        <x:v>PASS</x:v>
      </x:c>
      <x:c r="O802" s="171" t="str"/>
      <x:c r="P802" s="168" t="str">
        <x:v>Liquidity</x:v>
      </x:c>
    </x:row>
    <x:row r="803" ht="26" customHeight="1">
      <x:c r="A803" s="76" t="str">
        <x:v>FCCL</x:v>
      </x:c>
      <x:c r="B803" s="76" t="n">
        <x:v>2025</x:v>
      </x:c>
      <x:c r="C803" s="76" t="n">
        <x:v>6</x:v>
      </x:c>
      <x:c r="D803" s="76" t="str">
        <x:v>Inventory turnover</x:v>
      </x:c>
      <x:c r="E803" s="76" t="str">
        <x:v>Mandatory</x:v>
      </x:c>
      <x:c r="F803" s="170" t="n">
        <x:f>-FCCL!H85</x:f>
        <x:v>57384.978</x:v>
      </x:c>
      <x:c r="G803" s="170" t="n">
        <x:f>AVERAGE(FCCL!G65,FCCL!H65)</x:f>
        <x:v>18154.73</x:v>
      </x:c>
      <x:c r="H803" s="170" t="n">
        <x:f>IF(G803&lt;=0,"n/m",F803/G803)</x:f>
        <x:v>3.1608830315846066</x:v>
      </x:c>
      <x:c r="I803" s="170" t="n">
        <x:v>57384.978</x:v>
      </x:c>
      <x:c r="J803" s="170" t="n">
        <x:v>18154.73</x:v>
      </x:c>
      <x:c r="K803" s="170" t="n">
        <x:v>3.1608830315846066</x:v>
      </x:c>
      <x:c r="L803" s="177" t="n">
        <x:v>3.1608830315846066</x:v>
      </x:c>
      <x:c r="M803" s="177" t="n">
        <x:f>FCCL!H144</x:f>
        <x:v>3.1608830315846066</x:v>
      </x:c>
      <x:c r="N803" s="178" t="str">
        <x:f>IF(AND(ABS(F803-I803)&lt;0.000001,ABS(G803-J803)&lt;0.000001,IF(ISNUMBER(L803),IF(ISNUMBER(M803),ABS(L803-M803)&lt;0.00000001,FALSE),M803=L803)),"PASS","FAIL")</x:f>
        <x:v>PASS</x:v>
      </x:c>
      <x:c r="O803" s="99" t="str"/>
      <x:c r="P803" s="76" t="str">
        <x:v>Asset Management</x:v>
      </x:c>
    </x:row>
    <x:row r="804" ht="26" customHeight="1">
      <x:c r="A804" s="168" t="str">
        <x:v>FCCL</x:v>
      </x:c>
      <x:c r="B804" s="168" t="n">
        <x:v>2025</x:v>
      </x:c>
      <x:c r="C804" s="168" t="n">
        <x:v>7</x:v>
      </x:c>
      <x:c r="D804" s="168" t="str">
        <x:v>Receivables turnover</x:v>
      </x:c>
      <x:c r="E804" s="168" t="str">
        <x:v>Additional</x:v>
      </x:c>
      <x:c r="F804" s="169" t="n">
        <x:f>FCCL!H84</x:f>
        <x:v>88956.328</x:v>
      </x:c>
      <x:c r="G804" s="169" t="n">
        <x:f>AVERAGE(FCCL!G32,FCCL!H32)</x:f>
        <x:v>6228.2815</x:v>
      </x:c>
      <x:c r="H804" s="169" t="n">
        <x:f>IF(G804&lt;=0,"n/m",F804/G804)</x:f>
        <x:v>14.28264409693107</x:v>
      </x:c>
      <x:c r="I804" s="169" t="n">
        <x:v>88956.328</x:v>
      </x:c>
      <x:c r="J804" s="169" t="n">
        <x:v>6228.2815</x:v>
      </x:c>
      <x:c r="K804" s="169" t="n">
        <x:v>14.28264409693107</x:v>
      </x:c>
      <x:c r="L804" s="175" t="n">
        <x:v>14.28264409693107</x:v>
      </x:c>
      <x:c r="M804" s="175" t="n">
        <x:f>FCCL!H145</x:f>
        <x:v>14.28264409693107</x:v>
      </x:c>
      <x:c r="N804" s="176" t="str">
        <x:f>IF(AND(ABS(F804-I804)&lt;0.000001,ABS(G804-J804)&lt;0.000001,IF(ISNUMBER(L804),IF(ISNUMBER(M804),ABS(L804-M804)&lt;0.00000001,FALSE),M804=L804)),"PASS","FAIL")</x:f>
        <x:v>PASS</x:v>
      </x:c>
      <x:c r="O804" s="171" t="str"/>
      <x:c r="P804" s="168" t="str">
        <x:v>Asset Management</x:v>
      </x:c>
    </x:row>
    <x:row r="805" ht="26" customHeight="1">
      <x:c r="A805" s="76" t="str">
        <x:v>FCCL</x:v>
      </x:c>
      <x:c r="B805" s="76" t="n">
        <x:v>2025</x:v>
      </x:c>
      <x:c r="C805" s="76" t="n">
        <x:v>8</x:v>
      </x:c>
      <x:c r="D805" s="76" t="str">
        <x:v>Payables turnover</x:v>
      </x:c>
      <x:c r="E805" s="76" t="str">
        <x:v>Additional</x:v>
      </x:c>
      <x:c r="F805" s="170" t="n">
        <x:f>-FCCL!H85</x:f>
        <x:v>57384.978</x:v>
      </x:c>
      <x:c r="G805" s="170" t="n">
        <x:f>AVERAGE(FCCL!G51,FCCL!H51)</x:f>
        <x:v>2380.4025</x:v>
      </x:c>
      <x:c r="H805" s="170" t="n">
        <x:f>IF(G805&lt;=0,"n/m",F805/G805)</x:f>
        <x:v>24.107258331311616</x:v>
      </x:c>
      <x:c r="I805" s="170" t="n">
        <x:v>57384.978</x:v>
      </x:c>
      <x:c r="J805" s="170" t="n">
        <x:v>2380.4025</x:v>
      </x:c>
      <x:c r="K805" s="170" t="n">
        <x:v>24.107258331311616</x:v>
      </x:c>
      <x:c r="L805" s="177" t="n">
        <x:v>24.107258331311616</x:v>
      </x:c>
      <x:c r="M805" s="177" t="n">
        <x:f>FCCL!H146</x:f>
        <x:v>24.107258331311616</x:v>
      </x:c>
      <x:c r="N805" s="178" t="str">
        <x:f>IF(AND(ABS(F805-I805)&lt;0.000001,ABS(G805-J805)&lt;0.000001,IF(ISNUMBER(L805),IF(ISNUMBER(M805),ABS(L805-M805)&lt;0.00000001,FALSE),M805=L805)),"PASS","FAIL")</x:f>
        <x:v>PASS</x:v>
      </x:c>
      <x:c r="O805" s="99" t="str"/>
      <x:c r="P805" s="76" t="str">
        <x:v>Asset Management</x:v>
      </x:c>
    </x:row>
    <x:row r="806" ht="26" customHeight="1">
      <x:c r="A806" s="168" t="str">
        <x:v>FCCL</x:v>
      </x:c>
      <x:c r="B806" s="168" t="n">
        <x:v>2025</x:v>
      </x:c>
      <x:c r="C806" s="168" t="n">
        <x:v>9</x:v>
      </x:c>
      <x:c r="D806" s="168" t="str">
        <x:v>Days inventory outstanding</x:v>
      </x:c>
      <x:c r="E806" s="168" t="str">
        <x:v>Additional</x:v>
      </x:c>
      <x:c r="F806" s="169" t="n">
        <x:f>365*AVERAGE(FCCL!G65,FCCL!H65)</x:f>
        <x:v>6626476.45</x:v>
      </x:c>
      <x:c r="G806" s="169" t="n">
        <x:f>-FCCL!H85</x:f>
        <x:v>57384.978</x:v>
      </x:c>
      <x:c r="H806" s="169" t="n">
        <x:f>IF(G806&lt;=0,"n/m",F806/G806)</x:f>
        <x:v>115.47406099903009</x:v>
      </x:c>
      <x:c r="I806" s="169" t="n">
        <x:v>6626476.45</x:v>
      </x:c>
      <x:c r="J806" s="169" t="n">
        <x:v>57384.978</x:v>
      </x:c>
      <x:c r="K806" s="169" t="n">
        <x:v>115.47406099903009</x:v>
      </x:c>
      <x:c r="L806" s="175" t="n">
        <x:v>115.47406099903009</x:v>
      </x:c>
      <x:c r="M806" s="175" t="n">
        <x:f>FCCL!H147</x:f>
        <x:v>115.47406099903009</x:v>
      </x:c>
      <x:c r="N806" s="176" t="str">
        <x:f>IF(AND(ABS(F806-I806)&lt;0.000001,ABS(G806-J806)&lt;0.000001,IF(ISNUMBER(L806),IF(ISNUMBER(M806),ABS(L806-M806)&lt;0.00000001,FALSE),M806=L806)),"PASS","FAIL")</x:f>
        <x:v>PASS</x:v>
      </x:c>
      <x:c r="O806" s="171" t="str"/>
      <x:c r="P806" s="168" t="str">
        <x:v>Asset Management</x:v>
      </x:c>
    </x:row>
    <x:row r="807" ht="26" customHeight="1">
      <x:c r="A807" s="76" t="str">
        <x:v>FCCL</x:v>
      </x:c>
      <x:c r="B807" s="76" t="n">
        <x:v>2025</x:v>
      </x:c>
      <x:c r="C807" s="76" t="n">
        <x:v>10</x:v>
      </x:c>
      <x:c r="D807" s="76" t="str">
        <x:v>Days sales outstanding</x:v>
      </x:c>
      <x:c r="E807" s="76" t="str">
        <x:v>Mandatory</x:v>
      </x:c>
      <x:c r="F807" s="170" t="n">
        <x:f>365*AVERAGE(FCCL!G32,FCCL!H32)</x:f>
        <x:v>2273322.7475</x:v>
      </x:c>
      <x:c r="G807" s="170" t="n">
        <x:f>FCCL!H84</x:f>
        <x:v>88956.328</x:v>
      </x:c>
      <x:c r="H807" s="170" t="n">
        <x:f>IF(G807&lt;=0,"n/m",F807/G807)</x:f>
        <x:v>25.555492212987932</x:v>
      </x:c>
      <x:c r="I807" s="170" t="n">
        <x:v>2273322.7475</x:v>
      </x:c>
      <x:c r="J807" s="170" t="n">
        <x:v>88956.328</x:v>
      </x:c>
      <x:c r="K807" s="170" t="n">
        <x:v>25.555492212987932</x:v>
      </x:c>
      <x:c r="L807" s="177" t="n">
        <x:v>25.555492212987932</x:v>
      </x:c>
      <x:c r="M807" s="177" t="n">
        <x:f>FCCL!H148</x:f>
        <x:v>25.555492212987932</x:v>
      </x:c>
      <x:c r="N807" s="178" t="str">
        <x:f>IF(AND(ABS(F807-I807)&lt;0.000001,ABS(G807-J807)&lt;0.000001,IF(ISNUMBER(L807),IF(ISNUMBER(M807),ABS(L807-M807)&lt;0.00000001,FALSE),M807=L807)),"PASS","FAIL")</x:f>
        <x:v>PASS</x:v>
      </x:c>
      <x:c r="O807" s="99" t="str"/>
      <x:c r="P807" s="76" t="str">
        <x:v>Asset Management</x:v>
      </x:c>
    </x:row>
    <x:row r="808" ht="26" customHeight="1">
      <x:c r="A808" s="168" t="str">
        <x:v>FCCL</x:v>
      </x:c>
      <x:c r="B808" s="168" t="n">
        <x:v>2025</x:v>
      </x:c>
      <x:c r="C808" s="168" t="n">
        <x:v>11</x:v>
      </x:c>
      <x:c r="D808" s="168" t="str">
        <x:v>Days payables outstanding</x:v>
      </x:c>
      <x:c r="E808" s="168" t="str">
        <x:v>Additional</x:v>
      </x:c>
      <x:c r="F808" s="169" t="n">
        <x:f>365*AVERAGE(FCCL!G51,FCCL!H51)</x:f>
        <x:v>868846.9125000001</x:v>
      </x:c>
      <x:c r="G808" s="169" t="n">
        <x:f>-FCCL!H85</x:f>
        <x:v>57384.978</x:v>
      </x:c>
      <x:c r="H808" s="169" t="n">
        <x:f>IF(G808&lt;=0,"n/m",F808/G808)</x:f>
        <x:v>15.14066821634052</x:v>
      </x:c>
      <x:c r="I808" s="169" t="n">
        <x:v>868846.9125000001</x:v>
      </x:c>
      <x:c r="J808" s="169" t="n">
        <x:v>57384.978</x:v>
      </x:c>
      <x:c r="K808" s="169" t="n">
        <x:v>15.14066821634052</x:v>
      </x:c>
      <x:c r="L808" s="175" t="n">
        <x:v>15.14066821634052</x:v>
      </x:c>
      <x:c r="M808" s="175" t="n">
        <x:f>FCCL!H149</x:f>
        <x:v>15.14066821634052</x:v>
      </x:c>
      <x:c r="N808" s="176" t="str">
        <x:f>IF(AND(ABS(F808-I808)&lt;0.000001,ABS(G808-J808)&lt;0.000001,IF(ISNUMBER(L808),IF(ISNUMBER(M808),ABS(L808-M808)&lt;0.00000001,FALSE),M808=L808)),"PASS","FAIL")</x:f>
        <x:v>PASS</x:v>
      </x:c>
      <x:c r="O808" s="171" t="str"/>
      <x:c r="P808" s="168" t="str">
        <x:v>Asset Management</x:v>
      </x:c>
    </x:row>
    <x:row r="809" ht="26" customHeight="1">
      <x:c r="A809" s="76" t="str">
        <x:v>FCCL</x:v>
      </x:c>
      <x:c r="B809" s="76" t="n">
        <x:v>2025</x:v>
      </x:c>
      <x:c r="C809" s="76" t="n">
        <x:v>12</x:v>
      </x:c>
      <x:c r="D809" s="76" t="str">
        <x:v>Operating cycle (days)</x:v>
      </x:c>
      <x:c r="E809" s="76" t="str">
        <x:v>Additional</x:v>
      </x:c>
      <x:c r="F809" s="170" t="n">
        <x:f>365*AVERAGE(FCCL!G65,FCCL!H65)/(-FCCL!H85)+365*AVERAGE(FCCL!G32,FCCL!H32)/FCCL!H84</x:f>
        <x:v>141.02955321201802</x:v>
      </x:c>
      <x:c r="G809" s="170" t="n">
        <x:f>1</x:f>
        <x:v>1</x:v>
      </x:c>
      <x:c r="H809" s="170" t="n">
        <x:f>IF(G809&lt;=0,"n/m",F809/G809)</x:f>
        <x:v>141.02955321201802</x:v>
      </x:c>
      <x:c r="I809" s="170" t="n">
        <x:v>141.02955321201802</x:v>
      </x:c>
      <x:c r="J809" s="170" t="n">
        <x:v>1</x:v>
      </x:c>
      <x:c r="K809" s="170" t="n">
        <x:v>141.02955321201802</x:v>
      </x:c>
      <x:c r="L809" s="177" t="n">
        <x:v>141.02955321201802</x:v>
      </x:c>
      <x:c r="M809" s="177" t="n">
        <x:f>FCCL!H150</x:f>
        <x:v>141.02955321201802</x:v>
      </x:c>
      <x:c r="N809" s="178" t="str">
        <x:f>IF(AND(ABS(F809-I809)&lt;0.000001,ABS(G809-J809)&lt;0.000001,IF(ISNUMBER(L809),IF(ISNUMBER(M809),ABS(L809-M809)&lt;0.00000001,FALSE),M809=L809)),"PASS","FAIL")</x:f>
        <x:v>PASS</x:v>
      </x:c>
      <x:c r="O809" s="99" t="str"/>
      <x:c r="P809" s="76" t="str">
        <x:v>Asset Management</x:v>
      </x:c>
    </x:row>
    <x:row r="810" ht="26" customHeight="1">
      <x:c r="A810" s="168" t="str">
        <x:v>FCCL</x:v>
      </x:c>
      <x:c r="B810" s="168" t="n">
        <x:v>2025</x:v>
      </x:c>
      <x:c r="C810" s="168" t="n">
        <x:v>13</x:v>
      </x:c>
      <x:c r="D810" s="168" t="str">
        <x:v>Cash conversion cycle (days)</x:v>
      </x:c>
      <x:c r="E810" s="168" t="str">
        <x:v>Additional</x:v>
      </x:c>
      <x:c r="F810" s="169" t="n">
        <x:f>365*AVERAGE(FCCL!G65,FCCL!H65)/(-FCCL!H85)+365*AVERAGE(FCCL!G32,FCCL!H32)/FCCL!H84-365*AVERAGE(FCCL!G51,FCCL!H51)/(-FCCL!H85)</x:f>
        <x:v>125.8888849956775</x:v>
      </x:c>
      <x:c r="G810" s="169" t="n">
        <x:f>1</x:f>
        <x:v>1</x:v>
      </x:c>
      <x:c r="H810" s="169" t="n">
        <x:f>IF(G810&lt;=0,"n/m",F810/G810)</x:f>
        <x:v>125.8888849956775</x:v>
      </x:c>
      <x:c r="I810" s="169" t="n">
        <x:v>125.8888849956775</x:v>
      </x:c>
      <x:c r="J810" s="169" t="n">
        <x:v>1</x:v>
      </x:c>
      <x:c r="K810" s="169" t="n">
        <x:v>125.8888849956775</x:v>
      </x:c>
      <x:c r="L810" s="175" t="n">
        <x:v>125.8888849956775</x:v>
      </x:c>
      <x:c r="M810" s="175" t="n">
        <x:f>FCCL!H151</x:f>
        <x:v>125.8888849956775</x:v>
      </x:c>
      <x:c r="N810" s="176" t="str">
        <x:f>IF(AND(ABS(F810-I810)&lt;0.000001,ABS(G810-J810)&lt;0.000001,IF(ISNUMBER(L810),IF(ISNUMBER(M810),ABS(L810-M810)&lt;0.00000001,FALSE),M810=L810)),"PASS","FAIL")</x:f>
        <x:v>PASS</x:v>
      </x:c>
      <x:c r="O810" s="171" t="str"/>
      <x:c r="P810" s="168" t="str">
        <x:v>Asset Management</x:v>
      </x:c>
    </x:row>
    <x:row r="811" ht="26" customHeight="1">
      <x:c r="A811" s="76" t="str">
        <x:v>FCCL</x:v>
      </x:c>
      <x:c r="B811" s="76" t="n">
        <x:v>2025</x:v>
      </x:c>
      <x:c r="C811" s="76" t="n">
        <x:v>14</x:v>
      </x:c>
      <x:c r="D811" s="76" t="str">
        <x:v>Total asset turnover</x:v>
      </x:c>
      <x:c r="E811" s="76" t="str">
        <x:v>Mandatory</x:v>
      </x:c>
      <x:c r="F811" s="170" t="n">
        <x:f>FCCL!H84</x:f>
        <x:v>88956.328</x:v>
      </x:c>
      <x:c r="G811" s="170" t="n">
        <x:f>AVERAGE(FCCL!G37,FCCL!H37)</x:f>
        <x:v>154240.745</x:v>
      </x:c>
      <x:c r="H811" s="170" t="n">
        <x:f>IF(G811&lt;=0,"n/m",F811/G811)</x:f>
        <x:v>0.576736892706269</x:v>
      </x:c>
      <x:c r="I811" s="170" t="n">
        <x:v>88956.328</x:v>
      </x:c>
      <x:c r="J811" s="170" t="n">
        <x:v>154240.745</x:v>
      </x:c>
      <x:c r="K811" s="170" t="n">
        <x:v>0.576736892706269</x:v>
      </x:c>
      <x:c r="L811" s="177" t="n">
        <x:v>0.576736892706269</x:v>
      </x:c>
      <x:c r="M811" s="177" t="n">
        <x:f>FCCL!H152</x:f>
        <x:v>0.576736892706269</x:v>
      </x:c>
      <x:c r="N811" s="178" t="str">
        <x:f>IF(AND(ABS(F811-I811)&lt;0.000001,ABS(G811-J811)&lt;0.000001,IF(ISNUMBER(L811),IF(ISNUMBER(M811),ABS(L811-M811)&lt;0.00000001,FALSE),M811=L811)),"PASS","FAIL")</x:f>
        <x:v>PASS</x:v>
      </x:c>
      <x:c r="O811" s="99" t="str"/>
      <x:c r="P811" s="76" t="str">
        <x:v>Asset Management</x:v>
      </x:c>
    </x:row>
    <x:row r="812" ht="26" customHeight="1">
      <x:c r="A812" s="168" t="str">
        <x:v>FCCL</x:v>
      </x:c>
      <x:c r="B812" s="168" t="n">
        <x:v>2025</x:v>
      </x:c>
      <x:c r="C812" s="168" t="n">
        <x:v>15</x:v>
      </x:c>
      <x:c r="D812" s="168" t="str">
        <x:v>Fixed asset turnover</x:v>
      </x:c>
      <x:c r="E812" s="168" t="str">
        <x:v>Mandatory</x:v>
      </x:c>
      <x:c r="F812" s="169" t="n">
        <x:f>FCCL!H84</x:f>
        <x:v>88956.328</x:v>
      </x:c>
      <x:c r="G812" s="169" t="n">
        <x:f>AVERAGE(FCCL!G22,FCCL!H22)</x:f>
        <x:v>109714.01250000001</x:v>
      </x:c>
      <x:c r="H812" s="169" t="n">
        <x:f>IF(G812&lt;=0,"n/m",F812/G812)</x:f>
        <x:v>0.8108018836700552</x:v>
      </x:c>
      <x:c r="I812" s="169" t="n">
        <x:v>88956.328</x:v>
      </x:c>
      <x:c r="J812" s="169" t="n">
        <x:v>109714.01250000001</x:v>
      </x:c>
      <x:c r="K812" s="169" t="n">
        <x:v>0.8108018836700552</x:v>
      </x:c>
      <x:c r="L812" s="175" t="n">
        <x:v>0.8108018836700552</x:v>
      </x:c>
      <x:c r="M812" s="175" t="n">
        <x:f>FCCL!H153</x:f>
        <x:v>0.8108018836700552</x:v>
      </x:c>
      <x:c r="N812" s="176" t="str">
        <x:f>IF(AND(ABS(F812-I812)&lt;0.000001,ABS(G812-J812)&lt;0.000001,IF(ISNUMBER(L812),IF(ISNUMBER(M812),ABS(L812-M812)&lt;0.00000001,FALSE),M812=L812)),"PASS","FAIL")</x:f>
        <x:v>PASS</x:v>
      </x:c>
      <x:c r="O812" s="171" t="str"/>
      <x:c r="P812" s="168" t="str">
        <x:v>Asset Management</x:v>
      </x:c>
    </x:row>
    <x:row r="813" ht="26" customHeight="1">
      <x:c r="A813" s="76" t="str">
        <x:v>FCCL</x:v>
      </x:c>
      <x:c r="B813" s="76" t="n">
        <x:v>2025</x:v>
      </x:c>
      <x:c r="C813" s="76" t="n">
        <x:v>16</x:v>
      </x:c>
      <x:c r="D813" s="76" t="str">
        <x:v>Debt ratio</x:v>
      </x:c>
      <x:c r="E813" s="76" t="str">
        <x:v>Mandatory</x:v>
      </x:c>
      <x:c r="F813" s="170" t="n">
        <x:f>FCCL!H62</x:f>
        <x:v>76572.983</x:v>
      </x:c>
      <x:c r="G813" s="170" t="n">
        <x:f>FCCL!H37</x:f>
        <x:v>160845.19100000002</x:v>
      </x:c>
      <x:c r="H813" s="170" t="n">
        <x:f>IF(G813&lt;=0,"n/m",F813/G813)</x:f>
        <x:v>0.4760663500346739</x:v>
      </x:c>
      <x:c r="I813" s="170" t="n">
        <x:v>76572.983</x:v>
      </x:c>
      <x:c r="J813" s="170" t="n">
        <x:v>160845.191</x:v>
      </x:c>
      <x:c r="K813" s="170" t="n">
        <x:v>0.476066350034674</x:v>
      </x:c>
      <x:c r="L813" s="177" t="n">
        <x:v>0.476066350034674</x:v>
      </x:c>
      <x:c r="M813" s="177" t="n">
        <x:f>FCCL!H155</x:f>
        <x:v>0.4760663500346739</x:v>
      </x:c>
      <x:c r="N813" s="178" t="str">
        <x:f>IF(AND(ABS(F813-I813)&lt;0.000001,ABS(G813-J813)&lt;0.000001,IF(ISNUMBER(L813),IF(ISNUMBER(M813),ABS(L813-M813)&lt;0.00000001,FALSE),M813=L813)),"PASS","FAIL")</x:f>
        <x:v>PASS</x:v>
      </x:c>
      <x:c r="O813" s="99" t="str"/>
      <x:c r="P813" s="76" t="str">
        <x:v>Debt Management</x:v>
      </x:c>
    </x:row>
    <x:row r="814" ht="26" customHeight="1">
      <x:c r="A814" s="168" t="str">
        <x:v>FCCL</x:v>
      </x:c>
      <x:c r="B814" s="168" t="n">
        <x:v>2025</x:v>
      </x:c>
      <x:c r="C814" s="168" t="n">
        <x:v>17</x:v>
      </x:c>
      <x:c r="D814" s="168" t="str">
        <x:v>Debt-to-equity</x:v>
      </x:c>
      <x:c r="E814" s="168" t="str">
        <x:v>Mandatory</x:v>
      </x:c>
      <x:c r="F814" s="169" t="n">
        <x:f>FCCL!H62</x:f>
        <x:v>76572.983</x:v>
      </x:c>
      <x:c r="G814" s="169" t="n">
        <x:f>FCCL!H41</x:f>
        <x:v>84272.208</x:v>
      </x:c>
      <x:c r="H814" s="169" t="n">
        <x:f>IF(G814&lt;=0,"n/m",F814/G814)</x:f>
        <x:v>0.9086386225931091</x:v>
      </x:c>
      <x:c r="I814" s="169" t="n">
        <x:v>76572.983</x:v>
      </x:c>
      <x:c r="J814" s="169" t="n">
        <x:v>84272.208</x:v>
      </x:c>
      <x:c r="K814" s="169" t="n">
        <x:v>0.9086386225931091</x:v>
      </x:c>
      <x:c r="L814" s="175" t="n">
        <x:v>0.9086386225931091</x:v>
      </x:c>
      <x:c r="M814" s="175" t="n">
        <x:f>FCCL!H156</x:f>
        <x:v>0.9086386225931091</x:v>
      </x:c>
      <x:c r="N814" s="176" t="str">
        <x:f>IF(AND(ABS(F814-I814)&lt;0.000001,ABS(G814-J814)&lt;0.000001,IF(ISNUMBER(L814),IF(ISNUMBER(M814),ABS(L814-M814)&lt;0.00000001,FALSE),M814=L814)),"PASS","FAIL")</x:f>
        <x:v>PASS</x:v>
      </x:c>
      <x:c r="O814" s="171" t="str"/>
      <x:c r="P814" s="168" t="str">
        <x:v>Debt Management</x:v>
      </x:c>
    </x:row>
    <x:row r="815" ht="26" customHeight="1">
      <x:c r="A815" s="76" t="str">
        <x:v>FCCL</x:v>
      </x:c>
      <x:c r="B815" s="76" t="n">
        <x:v>2025</x:v>
      </x:c>
      <x:c r="C815" s="76" t="n">
        <x:v>18</x:v>
      </x:c>
      <x:c r="D815" s="76" t="str">
        <x:v>Total debt-to-capital</x:v>
      </x:c>
      <x:c r="E815" s="76" t="str">
        <x:v>Additional</x:v>
      </x:c>
      <x:c r="F815" s="170" t="n">
        <x:f>FCCL!H66</x:f>
        <x:v>40036.47</x:v>
      </x:c>
      <x:c r="G815" s="170" t="n">
        <x:f>FCCL!H66+FCCL!H41</x:f>
        <x:v>124308.678</x:v>
      </x:c>
      <x:c r="H815" s="170" t="n">
        <x:f>IF(G815&lt;=0,"n/m",F815/G815)</x:f>
        <x:v>0.3220730092552348</x:v>
      </x:c>
      <x:c r="I815" s="170" t="n">
        <x:v>40036.47</x:v>
      </x:c>
      <x:c r="J815" s="170" t="n">
        <x:v>124308.678</x:v>
      </x:c>
      <x:c r="K815" s="170" t="n">
        <x:v>0.3220730092552348</x:v>
      </x:c>
      <x:c r="L815" s="177" t="n">
        <x:v>0.3220730092552348</x:v>
      </x:c>
      <x:c r="M815" s="177" t="n">
        <x:f>FCCL!H157</x:f>
        <x:v>0.3220730092552348</x:v>
      </x:c>
      <x:c r="N815" s="178" t="str">
        <x:f>IF(AND(ABS(F815-I815)&lt;0.000001,ABS(G815-J815)&lt;0.000001,IF(ISNUMBER(L815),IF(ISNUMBER(M815),ABS(L815-M815)&lt;0.00000001,FALSE),M815=L815)),"PASS","FAIL")</x:f>
        <x:v>PASS</x:v>
      </x:c>
      <x:c r="O815" s="99" t="str"/>
      <x:c r="P815" s="76" t="str">
        <x:v>Debt Management</x:v>
      </x:c>
    </x:row>
    <x:row r="816" ht="26" customHeight="1">
      <x:c r="A816" s="168" t="str">
        <x:v>FCCL</x:v>
      </x:c>
      <x:c r="B816" s="168" t="n">
        <x:v>2025</x:v>
      </x:c>
      <x:c r="C816" s="168" t="n">
        <x:v>19</x:v>
      </x:c>
      <x:c r="D816" s="168" t="str">
        <x:v>Long-term debt ratio</x:v>
      </x:c>
      <x:c r="E816" s="168" t="str">
        <x:v>Additional</x:v>
      </x:c>
      <x:c r="F816" s="169" t="n">
        <x:f>FCCL!H67</x:f>
        <x:v>24309.844</x:v>
      </x:c>
      <x:c r="G816" s="169" t="n">
        <x:f>FCCL!H37</x:f>
        <x:v>160845.19100000002</x:v>
      </x:c>
      <x:c r="H816" s="169" t="n">
        <x:f>IF(G816&lt;=0,"n/m",F816/G816)</x:f>
        <x:v>0.15113814624398686</x:v>
      </x:c>
      <x:c r="I816" s="169" t="n">
        <x:v>24309.844</x:v>
      </x:c>
      <x:c r="J816" s="169" t="n">
        <x:v>160845.191</x:v>
      </x:c>
      <x:c r="K816" s="169" t="n">
        <x:v>0.1511381462439869</x:v>
      </x:c>
      <x:c r="L816" s="175" t="n">
        <x:v>0.1511381462439869</x:v>
      </x:c>
      <x:c r="M816" s="175" t="n">
        <x:f>FCCL!H158</x:f>
        <x:v>0.15113814624398686</x:v>
      </x:c>
      <x:c r="N816" s="176" t="str">
        <x:f>IF(AND(ABS(F816-I816)&lt;0.000001,ABS(G816-J816)&lt;0.000001,IF(ISNUMBER(L816),IF(ISNUMBER(M816),ABS(L816-M816)&lt;0.00000001,FALSE),M816=L816)),"PASS","FAIL")</x:f>
        <x:v>PASS</x:v>
      </x:c>
      <x:c r="O816" s="171" t="str"/>
      <x:c r="P816" s="168" t="str">
        <x:v>Debt Management</x:v>
      </x:c>
    </x:row>
    <x:row r="817" ht="26" customHeight="1">
      <x:c r="A817" s="76" t="str">
        <x:v>FCCL</x:v>
      </x:c>
      <x:c r="B817" s="76" t="n">
        <x:v>2025</x:v>
      </x:c>
      <x:c r="C817" s="76" t="n">
        <x:v>20</x:v>
      </x:c>
      <x:c r="D817" s="76" t="str">
        <x:v>Times interest earned</x:v>
      </x:c>
      <x:c r="E817" s="76" t="str">
        <x:v>Mandatory</x:v>
      </x:c>
      <x:c r="F817" s="170" t="n">
        <x:f>FCCL!H108</x:f>
        <x:v>27297.651999999987</x:v>
      </x:c>
      <x:c r="G817" s="170" t="n">
        <x:f>FCCL!H106</x:f>
        <x:v>5674.277999999999</x:v>
      </x:c>
      <x:c r="H817" s="170" t="n">
        <x:f>IF(G817&lt;=0,"n/m",F817/G817)</x:f>
        <x:v>4.810770991481205</x:v>
      </x:c>
      <x:c r="I817" s="170" t="n">
        <x:v>27297.651999999995</x:v>
      </x:c>
      <x:c r="J817" s="170" t="n">
        <x:v>5674.277999999999</x:v>
      </x:c>
      <x:c r="K817" s="170" t="n">
        <x:v>4.810770991481206</x:v>
      </x:c>
      <x:c r="L817" s="177" t="n">
        <x:v>4.810770991481206</x:v>
      </x:c>
      <x:c r="M817" s="177" t="n">
        <x:f>FCCL!H159</x:f>
        <x:v>4.810770991481205</x:v>
      </x:c>
      <x:c r="N817" s="178" t="str">
        <x:f>IF(AND(ABS(F817-I817)&lt;0.000001,ABS(G817-J817)&lt;0.000001,IF(ISNUMBER(L817),IF(ISNUMBER(M817),ABS(L817-M817)&lt;0.00000001,FALSE),M817=L817)),"PASS","FAIL")</x:f>
        <x:v>PASS</x:v>
      </x:c>
      <x:c r="O817" s="99" t="str"/>
      <x:c r="P817" s="76" t="str">
        <x:v>Debt Management</x:v>
      </x:c>
    </x:row>
    <x:row r="818" ht="26" customHeight="1">
      <x:c r="A818" s="168" t="str">
        <x:v>FCCL</x:v>
      </x:c>
      <x:c r="B818" s="168" t="n">
        <x:v>2025</x:v>
      </x:c>
      <x:c r="C818" s="168" t="n">
        <x:v>21</x:v>
      </x:c>
      <x:c r="D818" s="168" t="str">
        <x:v>Gross profit margin</x:v>
      </x:c>
      <x:c r="E818" s="168" t="str">
        <x:v>Mandatory</x:v>
      </x:c>
      <x:c r="F818" s="169" t="n">
        <x:f>FCCL!H86</x:f>
        <x:v>31571.34999999999</x:v>
      </x:c>
      <x:c r="G818" s="169" t="n">
        <x:f>FCCL!H84</x:f>
        <x:v>88956.328</x:v>
      </x:c>
      <x:c r="H818" s="169" t="n">
        <x:f>IF(G818&lt;=0,"n/m",F818/G818)</x:f>
        <x:v>0.3549084220292905</x:v>
      </x:c>
      <x:c r="I818" s="169" t="n">
        <x:v>31571.34999999999</x:v>
      </x:c>
      <x:c r="J818" s="169" t="n">
        <x:v>88956.328</x:v>
      </x:c>
      <x:c r="K818" s="169" t="n">
        <x:v>0.3549084220292905</x:v>
      </x:c>
      <x:c r="L818" s="175" t="n">
        <x:v>0.3549084220292905</x:v>
      </x:c>
      <x:c r="M818" s="175" t="n">
        <x:f>FCCL!H161</x:f>
        <x:v>0.3549084220292905</x:v>
      </x:c>
      <x:c r="N818" s="176" t="str">
        <x:f>IF(AND(ABS(F818-I818)&lt;0.000001,ABS(G818-J818)&lt;0.000001,IF(ISNUMBER(L818),IF(ISNUMBER(M818),ABS(L818-M818)&lt;0.00000001,FALSE),M818=L818)),"PASS","FAIL")</x:f>
        <x:v>PASS</x:v>
      </x:c>
      <x:c r="O818" s="171" t="str"/>
      <x:c r="P818" s="168" t="str">
        <x:v>Profitability</x:v>
      </x:c>
    </x:row>
    <x:row r="819" ht="26" customHeight="1">
      <x:c r="A819" s="76" t="str">
        <x:v>FCCL</x:v>
      </x:c>
      <x:c r="B819" s="76" t="n">
        <x:v>2025</x:v>
      </x:c>
      <x:c r="C819" s="76" t="n">
        <x:v>22</x:v>
      </x:c>
      <x:c r="D819" s="76" t="str">
        <x:v>Operating margin</x:v>
      </x:c>
      <x:c r="E819" s="76" t="str">
        <x:v>Mandatory</x:v>
      </x:c>
      <x:c r="F819" s="170" t="n">
        <x:f>FCCL!H91</x:f>
        <x:v>25468.04899999999</x:v>
      </x:c>
      <x:c r="G819" s="170" t="n">
        <x:f>FCCL!H84</x:f>
        <x:v>88956.328</x:v>
      </x:c>
      <x:c r="H819" s="170" t="n">
        <x:f>IF(G819&lt;=0,"n/m",F819/G819)</x:f>
        <x:v>0.2862983395627571</x:v>
      </x:c>
      <x:c r="I819" s="170" t="n">
        <x:v>25468.04899999999</x:v>
      </x:c>
      <x:c r="J819" s="170" t="n">
        <x:v>88956.328</x:v>
      </x:c>
      <x:c r="K819" s="170" t="n">
        <x:v>0.2862983395627571</x:v>
      </x:c>
      <x:c r="L819" s="177" t="n">
        <x:v>0.2862983395627571</x:v>
      </x:c>
      <x:c r="M819" s="177" t="n">
        <x:f>FCCL!H162</x:f>
        <x:v>0.2862983395627571</x:v>
      </x:c>
      <x:c r="N819" s="178" t="str">
        <x:f>IF(AND(ABS(F819-I819)&lt;0.000001,ABS(G819-J819)&lt;0.000001,IF(ISNUMBER(L819),IF(ISNUMBER(M819),ABS(L819-M819)&lt;0.00000001,FALSE),M819=L819)),"PASS","FAIL")</x:f>
        <x:v>PASS</x:v>
      </x:c>
      <x:c r="O819" s="99" t="str"/>
      <x:c r="P819" s="76" t="str">
        <x:v>Profitability</x:v>
      </x:c>
    </x:row>
    <x:row r="820" ht="26" customHeight="1">
      <x:c r="A820" s="168" t="str">
        <x:v>FCCL</x:v>
      </x:c>
      <x:c r="B820" s="168" t="n">
        <x:v>2025</x:v>
      </x:c>
      <x:c r="C820" s="168" t="n">
        <x:v>23</x:v>
      </x:c>
      <x:c r="D820" s="168" t="str">
        <x:v>Net profit margin</x:v>
      </x:c>
      <x:c r="E820" s="168" t="str">
        <x:v>Mandatory</x:v>
      </x:c>
      <x:c r="F820" s="169" t="n">
        <x:f>FCCL!H99</x:f>
        <x:v>13326.20199999999</x:v>
      </x:c>
      <x:c r="G820" s="169" t="n">
        <x:f>FCCL!H84</x:f>
        <x:v>88956.328</x:v>
      </x:c>
      <x:c r="H820" s="169" t="n">
        <x:f>IF(G820&lt;=0,"n/m",F820/G820)</x:f>
        <x:v>0.14980611609777766</x:v>
      </x:c>
      <x:c r="I820" s="169" t="n">
        <x:v>13326.201999999994</x:v>
      </x:c>
      <x:c r="J820" s="169" t="n">
        <x:v>88956.328</x:v>
      </x:c>
      <x:c r="K820" s="169" t="n">
        <x:v>0.14980611609777772</x:v>
      </x:c>
      <x:c r="L820" s="175" t="n">
        <x:v>0.14980611609777772</x:v>
      </x:c>
      <x:c r="M820" s="175" t="n">
        <x:f>FCCL!H163</x:f>
        <x:v>0.14980611609777766</x:v>
      </x:c>
      <x:c r="N820" s="176" t="str">
        <x:f>IF(AND(ABS(F820-I820)&lt;0.000001,ABS(G820-J820)&lt;0.000001,IF(ISNUMBER(L820),IF(ISNUMBER(M820),ABS(L820-M820)&lt;0.00000001,FALSE),M820=L820)),"PASS","FAIL")</x:f>
        <x:v>PASS</x:v>
      </x:c>
      <x:c r="O820" s="171" t="str"/>
      <x:c r="P820" s="168" t="str">
        <x:v>Profitability</x:v>
      </x:c>
    </x:row>
    <x:row r="821" ht="26" customHeight="1">
      <x:c r="A821" s="76" t="str">
        <x:v>FCCL</x:v>
      </x:c>
      <x:c r="B821" s="76" t="n">
        <x:v>2025</x:v>
      </x:c>
      <x:c r="C821" s="76" t="n">
        <x:v>24</x:v>
      </x:c>
      <x:c r="D821" s="76" t="str">
        <x:v>Return on assets</x:v>
      </x:c>
      <x:c r="E821" s="76" t="str">
        <x:v>Mandatory</x:v>
      </x:c>
      <x:c r="F821" s="170" t="n">
        <x:f>FCCL!H99</x:f>
        <x:v>13326.20199999999</x:v>
      </x:c>
      <x:c r="G821" s="170" t="n">
        <x:f>AVERAGE(FCCL!G37,FCCL!H37)</x:f>
        <x:v>154240.745</x:v>
      </x:c>
      <x:c r="H821" s="170" t="n">
        <x:f>IF(G821&lt;=0,"n/m",F821/G821)</x:f>
        <x:v>0.08639871390662689</x:v>
      </x:c>
      <x:c r="I821" s="170" t="n">
        <x:v>13326.201999999994</x:v>
      </x:c>
      <x:c r="J821" s="170" t="n">
        <x:v>154240.745</x:v>
      </x:c>
      <x:c r="K821" s="170" t="n">
        <x:v>0.0863987139066269</x:v>
      </x:c>
      <x:c r="L821" s="177" t="n">
        <x:v>0.0863987139066269</x:v>
      </x:c>
      <x:c r="M821" s="177" t="n">
        <x:f>FCCL!H164</x:f>
        <x:v>0.08639871390662689</x:v>
      </x:c>
      <x:c r="N821" s="178" t="str">
        <x:f>IF(AND(ABS(F821-I821)&lt;0.000001,ABS(G821-J821)&lt;0.000001,IF(ISNUMBER(L821),IF(ISNUMBER(M821),ABS(L821-M821)&lt;0.00000001,FALSE),M821=L821)),"PASS","FAIL")</x:f>
        <x:v>PASS</x:v>
      </x:c>
      <x:c r="O821" s="99" t="str"/>
      <x:c r="P821" s="76" t="str">
        <x:v>Profitability</x:v>
      </x:c>
    </x:row>
    <x:row r="822" ht="26" customHeight="1">
      <x:c r="A822" s="168" t="str">
        <x:v>FCCL</x:v>
      </x:c>
      <x:c r="B822" s="168" t="n">
        <x:v>2025</x:v>
      </x:c>
      <x:c r="C822" s="168" t="n">
        <x:v>25</x:v>
      </x:c>
      <x:c r="D822" s="168" t="str">
        <x:v>Return on equity</x:v>
      </x:c>
      <x:c r="E822" s="168" t="str">
        <x:v>Mandatory</x:v>
      </x:c>
      <x:c r="F822" s="169" t="n">
        <x:f>FCCL!H99</x:f>
        <x:v>13326.20199999999</x:v>
      </x:c>
      <x:c r="G822" s="169" t="n">
        <x:f>AVERAGE(FCCL!G41,FCCL!H41)</x:f>
        <x:v>78835.5305</x:v>
      </x:c>
      <x:c r="H822" s="169" t="n">
        <x:f>IF(G822&lt;=0,"n/m",F822/G822)</x:f>
        <x:v>0.1690380202363196</x:v>
      </x:c>
      <x:c r="I822" s="169" t="n">
        <x:v>13326.201999999994</x:v>
      </x:c>
      <x:c r="J822" s="169" t="n">
        <x:v>78835.5305</x:v>
      </x:c>
      <x:c r="K822" s="169" t="n">
        <x:v>0.16903802023631964</x:v>
      </x:c>
      <x:c r="L822" s="175" t="n">
        <x:v>0.16903802023631964</x:v>
      </x:c>
      <x:c r="M822" s="175" t="n">
        <x:f>FCCL!H165</x:f>
        <x:v>0.1690380202363196</x:v>
      </x:c>
      <x:c r="N822" s="176" t="str">
        <x:f>IF(AND(ABS(F822-I822)&lt;0.000001,ABS(G822-J822)&lt;0.000001,IF(ISNUMBER(L822),IF(ISNUMBER(M822),ABS(L822-M822)&lt;0.00000001,FALSE),M822=L822)),"PASS","FAIL")</x:f>
        <x:v>PASS</x:v>
      </x:c>
      <x:c r="O822" s="171" t="str"/>
      <x:c r="P822" s="168" t="str">
        <x:v>Profitability</x:v>
      </x:c>
    </x:row>
    <x:row r="823" ht="26" customHeight="1">
      <x:c r="A823" s="76" t="str">
        <x:v>FCCL</x:v>
      </x:c>
      <x:c r="B823" s="76" t="n">
        <x:v>2025</x:v>
      </x:c>
      <x:c r="C823" s="76" t="n">
        <x:v>26</x:v>
      </x:c>
      <x:c r="D823" s="76" t="str">
        <x:v>Return on invested capital</x:v>
      </x:c>
      <x:c r="E823" s="76" t="str">
        <x:v>Additional</x:v>
      </x:c>
      <x:c r="F823" s="170" t="n">
        <x:f>FCCL!H113</x:f>
        <x:v>16899.662571575678</x:v>
      </x:c>
      <x:c r="G823" s="170" t="n">
        <x:f>AVERAGE(FCCL!G70,FCCL!H70)</x:f>
        <x:v>117148.64000000001</x:v>
      </x:c>
      <x:c r="H823" s="170" t="n">
        <x:f>IF(G823&lt;=0,"n/m",F823/G823)</x:f>
        <x:v>0.1442582907627069</x:v>
      </x:c>
      <x:c r="I823" s="170" t="n">
        <x:v>16899.662571575685</x:v>
      </x:c>
      <x:c r="J823" s="170" t="n">
        <x:v>117148.64000000001</x:v>
      </x:c>
      <x:c r="K823" s="170" t="n">
        <x:v>0.14425829076270696</x:v>
      </x:c>
      <x:c r="L823" s="177" t="n">
        <x:v>0.14425829076270696</x:v>
      </x:c>
      <x:c r="M823" s="177" t="n">
        <x:f>FCCL!H166</x:f>
        <x:v>0.1442582907627069</x:v>
      </x:c>
      <x:c r="N823" s="178" t="str">
        <x:f>IF(AND(ABS(F823-I823)&lt;0.000001,ABS(G823-J823)&lt;0.000001,IF(ISNUMBER(L823),IF(ISNUMBER(M823),ABS(L823-M823)&lt;0.00000001,FALSE),M823=L823)),"PASS","FAIL")</x:f>
        <x:v>PASS</x:v>
      </x:c>
      <x:c r="O823" s="99" t="str"/>
      <x:c r="P823" s="76" t="str">
        <x:v>Profitability</x:v>
      </x:c>
    </x:row>
    <x:row r="824" ht="26" customHeight="1">
      <x:c r="A824" s="168" t="str">
        <x:v>FCCL</x:v>
      </x:c>
      <x:c r="B824" s="168" t="n">
        <x:v>2025</x:v>
      </x:c>
      <x:c r="C824" s="168" t="n">
        <x:v>27</x:v>
      </x:c>
      <x:c r="D824" s="168" t="str">
        <x:v>Basic earning power</x:v>
      </x:c>
      <x:c r="E824" s="168" t="str">
        <x:v>Additional</x:v>
      </x:c>
      <x:c r="F824" s="169" t="n">
        <x:f>FCCL!H108</x:f>
        <x:v>27297.651999999987</x:v>
      </x:c>
      <x:c r="G824" s="169" t="n">
        <x:f>AVERAGE(FCCL!G37,FCCL!H37)</x:f>
        <x:v>154240.745</x:v>
      </x:c>
      <x:c r="H824" s="169" t="n">
        <x:f>IF(G824&lt;=0,"n/m",F824/G824)</x:f>
        <x:v>0.1769808100965798</x:v>
      </x:c>
      <x:c r="I824" s="169" t="n">
        <x:v>27297.651999999995</x:v>
      </x:c>
      <x:c r="J824" s="169" t="n">
        <x:v>154240.745</x:v>
      </x:c>
      <x:c r="K824" s="169" t="n">
        <x:v>0.17698081009657984</x:v>
      </x:c>
      <x:c r="L824" s="175" t="n">
        <x:v>0.17698081009657984</x:v>
      </x:c>
      <x:c r="M824" s="175" t="n">
        <x:f>FCCL!H167</x:f>
        <x:v>0.1769808100965798</x:v>
      </x:c>
      <x:c r="N824" s="176" t="str">
        <x:f>IF(AND(ABS(F824-I824)&lt;0.000001,ABS(G824-J824)&lt;0.000001,IF(ISNUMBER(L824),IF(ISNUMBER(M824),ABS(L824-M824)&lt;0.00000001,FALSE),M824=L824)),"PASS","FAIL")</x:f>
        <x:v>PASS</x:v>
      </x:c>
      <x:c r="O824" s="171" t="str"/>
      <x:c r="P824" s="168" t="str">
        <x:v>Profitability</x:v>
      </x:c>
    </x:row>
    <x:row r="825" ht="26" customHeight="1">
      <x:c r="A825" s="76" t="str">
        <x:v>FCCL</x:v>
      </x:c>
      <x:c r="B825" s="76" t="n">
        <x:v>2025</x:v>
      </x:c>
      <x:c r="C825" s="76" t="n">
        <x:v>28</x:v>
      </x:c>
      <x:c r="D825" s="76" t="str">
        <x:v>Book value per share (Rs)</x:v>
      </x:c>
      <x:c r="E825" s="76" t="str">
        <x:v>Additional</x:v>
      </x:c>
      <x:c r="F825" s="170" t="n">
        <x:f>FCCL!H41</x:f>
        <x:v>84272.208</x:v>
      </x:c>
      <x:c r="G825" s="170" t="n">
        <x:f>FCCL!H128</x:f>
        <x:v>2452.8476</x:v>
      </x:c>
      <x:c r="H825" s="170" t="n">
        <x:f>IF(G825&lt;=0,"n/m",F825/G825)</x:f>
        <x:v>34.35688707280468</x:v>
      </x:c>
      <x:c r="I825" s="170" t="n">
        <x:v>84272.208</x:v>
      </x:c>
      <x:c r="J825" s="170" t="n">
        <x:v>2452.8476</x:v>
      </x:c>
      <x:c r="K825" s="170" t="n">
        <x:v>34.35688707280468</x:v>
      </x:c>
      <x:c r="L825" s="177" t="n">
        <x:v>34.35688707280468</x:v>
      </x:c>
      <x:c r="M825" s="177" t="n">
        <x:f>FCCL!H169</x:f>
        <x:v>34.35688707280468</x:v>
      </x:c>
      <x:c r="N825" s="178" t="str">
        <x:f>IF(AND(ABS(F825-I825)&lt;0.000001,ABS(G825-J825)&lt;0.000001,IF(ISNUMBER(L825),IF(ISNUMBER(M825),ABS(L825-M825)&lt;0.00000001,FALSE),M825=L825)),"PASS","FAIL")</x:f>
        <x:v>PASS</x:v>
      </x:c>
      <x:c r="O825" s="99" t="str"/>
      <x:c r="P825" s="76" t="str">
        <x:v>Market Value</x:v>
      </x:c>
    </x:row>
    <x:row r="826" ht="26" customHeight="1">
      <x:c r="A826" s="168" t="str">
        <x:v>FCCL</x:v>
      </x:c>
      <x:c r="B826" s="168" t="n">
        <x:v>2025</x:v>
      </x:c>
      <x:c r="C826" s="168" t="n">
        <x:v>29</x:v>
      </x:c>
      <x:c r="D826" s="168" t="str">
        <x:v>Market-to-book ratio</x:v>
      </x:c>
      <x:c r="E826" s="168" t="str">
        <x:v>Mandatory</x:v>
      </x:c>
      <x:c r="F826" s="169" t="n">
        <x:f>FCCL!H130</x:f>
        <x:v>44.67</x:v>
      </x:c>
      <x:c r="G826" s="169" t="n">
        <x:f>FCCL!H41/FCCL!H128</x:f>
        <x:v>34.35688707280468</x:v>
      </x:c>
      <x:c r="H826" s="169" t="n">
        <x:f>IF(G826&lt;=0,"n/m",F826/G826)</x:f>
        <x:v>1.3001759998029245</x:v>
      </x:c>
      <x:c r="I826" s="169" t="n">
        <x:v>44.67</x:v>
      </x:c>
      <x:c r="J826" s="169" t="n">
        <x:v>34.35688707280468</x:v>
      </x:c>
      <x:c r="K826" s="169" t="n">
        <x:v>1.3001759998029245</x:v>
      </x:c>
      <x:c r="L826" s="175" t="n">
        <x:v>1.3001759998029245</x:v>
      </x:c>
      <x:c r="M826" s="175" t="n">
        <x:f>FCCL!H170</x:f>
        <x:v>1.3001759998029245</x:v>
      </x:c>
      <x:c r="N826" s="176" t="str">
        <x:f>IF(AND(ABS(F826-I826)&lt;0.000001,ABS(G826-J826)&lt;0.000001,IF(ISNUMBER(L826),IF(ISNUMBER(M826),ABS(L826-M826)&lt;0.00000001,FALSE),M826=L826)),"PASS","FAIL")</x:f>
        <x:v>PASS</x:v>
      </x:c>
      <x:c r="O826" s="171" t="str"/>
      <x:c r="P826" s="168" t="str">
        <x:v>Market Value</x:v>
      </x:c>
    </x:row>
    <x:row r="827" ht="26" customHeight="1">
      <x:c r="A827" s="76" t="str">
        <x:v>FCCL</x:v>
      </x:c>
      <x:c r="B827" s="76" t="n">
        <x:v>2025</x:v>
      </x:c>
      <x:c r="C827" s="76" t="n">
        <x:v>30</x:v>
      </x:c>
      <x:c r="D827" s="76" t="str">
        <x:v>Earnings per share (Rs)</x:v>
      </x:c>
      <x:c r="E827" s="76" t="str">
        <x:v>Mandatory</x:v>
      </x:c>
      <x:c r="F827" s="170" t="n">
        <x:f>FCCL!H99</x:f>
        <x:v>13326.20199999999</x:v>
      </x:c>
      <x:c r="G827" s="170" t="n">
        <x:f>FCCL!H129</x:f>
        <x:v>2452.847</x:v>
      </x:c>
      <x:c r="H827" s="170" t="n">
        <x:f>IF(G827&lt;=0,"n/m",F827/G827)</x:f>
        <x:v>5.432952809531124</x:v>
      </x:c>
      <x:c r="I827" s="170" t="n">
        <x:v>13326.201999999994</x:v>
      </x:c>
      <x:c r="J827" s="170" t="n">
        <x:v>2452.847</x:v>
      </x:c>
      <x:c r="K827" s="170" t="n">
        <x:v>5.432952809531126</x:v>
      </x:c>
      <x:c r="L827" s="177" t="n">
        <x:v>5.432952809531126</x:v>
      </x:c>
      <x:c r="M827" s="177" t="n">
        <x:f>FCCL!H171</x:f>
        <x:v>5.432952809531124</x:v>
      </x:c>
      <x:c r="N827" s="178" t="str">
        <x:f>IF(AND(ABS(F827-I827)&lt;0.000001,ABS(G827-J827)&lt;0.000001,IF(ISNUMBER(L827),IF(ISNUMBER(M827),ABS(L827-M827)&lt;0.00000001,FALSE),M827=L827)),"PASS","FAIL")</x:f>
        <x:v>PASS</x:v>
      </x:c>
      <x:c r="O827" s="99" t="str"/>
      <x:c r="P827" s="76" t="str">
        <x:v>Market Value</x:v>
      </x:c>
    </x:row>
    <x:row r="828" ht="26" customHeight="1">
      <x:c r="A828" s="168" t="str">
        <x:v>FCCL</x:v>
      </x:c>
      <x:c r="B828" s="168" t="n">
        <x:v>2025</x:v>
      </x:c>
      <x:c r="C828" s="168" t="n">
        <x:v>31</x:v>
      </x:c>
      <x:c r="D828" s="168" t="str">
        <x:v>Price-to-earnings ratio</x:v>
      </x:c>
      <x:c r="E828" s="168" t="str">
        <x:v>Mandatory</x:v>
      </x:c>
      <x:c r="F828" s="169" t="n">
        <x:f>FCCL!H130</x:f>
        <x:v>44.67</x:v>
      </x:c>
      <x:c r="G828" s="169" t="n">
        <x:f>FCCL!H99/FCCL!H129</x:f>
        <x:v>5.432952809531124</x:v>
      </x:c>
      <x:c r="H828" s="169" t="n">
        <x:f>IF(G828&lt;=0,"n/m",F828/G828)</x:f>
        <x:v>8.222048224242743</x:v>
      </x:c>
      <x:c r="I828" s="169" t="n">
        <x:v>44.67</x:v>
      </x:c>
      <x:c r="J828" s="169" t="n">
        <x:v>5.432952809531126</x:v>
      </x:c>
      <x:c r="K828" s="169" t="n">
        <x:v>8.22204822424274</x:v>
      </x:c>
      <x:c r="L828" s="175" t="n">
        <x:v>8.22204822424274</x:v>
      </x:c>
      <x:c r="M828" s="175" t="n">
        <x:f>FCCL!H172</x:f>
        <x:v>8.222048224242743</x:v>
      </x:c>
      <x:c r="N828" s="176" t="str">
        <x:f>IF(AND(ABS(F828-I828)&lt;0.000001,ABS(G828-J828)&lt;0.000001,IF(ISNUMBER(L828),IF(ISNUMBER(M828),ABS(L828-M828)&lt;0.00000001,FALSE),M828=L828)),"PASS","FAIL")</x:f>
        <x:v>PASS</x:v>
      </x:c>
      <x:c r="O828" s="171" t="str"/>
      <x:c r="P828" s="168" t="str">
        <x:v>Market Value</x:v>
      </x:c>
    </x:row>
    <x:row r="829" ht="26" customHeight="1">
      <x:c r="A829" s="76" t="str">
        <x:v>FCCL</x:v>
      </x:c>
      <x:c r="B829" s="76" t="n">
        <x:v>2025</x:v>
      </x:c>
      <x:c r="C829" s="76" t="n">
        <x:v>32</x:v>
      </x:c>
      <x:c r="D829" s="76" t="str">
        <x:v>Dividend yield</x:v>
      </x:c>
      <x:c r="E829" s="76" t="str">
        <x:v>Mandatory</x:v>
      </x:c>
      <x:c r="F829" s="170" t="n">
        <x:f>FCCL!H131</x:f>
        <x:v>1.25</x:v>
      </x:c>
      <x:c r="G829" s="170" t="n">
        <x:f>FCCL!H130</x:f>
        <x:v>44.67</x:v>
      </x:c>
      <x:c r="H829" s="170" t="n">
        <x:f>IF(G829&lt;=0,"n/m",F829/G829)</x:f>
        <x:v>0.027982986344302664</x:v>
      </x:c>
      <x:c r="I829" s="170" t="n">
        <x:v>1.25</x:v>
      </x:c>
      <x:c r="J829" s="170" t="n">
        <x:v>44.67</x:v>
      </x:c>
      <x:c r="K829" s="170" t="n">
        <x:v>0.027982986344302664</x:v>
      </x:c>
      <x:c r="L829" s="177" t="n">
        <x:v>0.027982986344302664</x:v>
      </x:c>
      <x:c r="M829" s="177" t="n">
        <x:f>FCCL!H173</x:f>
        <x:v>0.027982986344302664</x:v>
      </x:c>
      <x:c r="N829" s="178" t="str">
        <x:f>IF(AND(ABS(F829-I829)&lt;0.000001,ABS(G829-J829)&lt;0.000001,IF(ISNUMBER(L829),IF(ISNUMBER(M829),ABS(L829-M829)&lt;0.00000001,FALSE),M829=L829)),"PASS","FAIL")</x:f>
        <x:v>PASS</x:v>
      </x:c>
      <x:c r="O829" s="99" t="str"/>
      <x:c r="P829" s="76" t="str">
        <x:v>Market Value</x:v>
      </x:c>
    </x:row>
    <x:row r="830" ht="26" customHeight="1">
      <x:c r="A830" s="168" t="str">
        <x:v>FCCL</x:v>
      </x:c>
      <x:c r="B830" s="168" t="n">
        <x:v>2025</x:v>
      </x:c>
      <x:c r="C830" s="168" t="n">
        <x:v>33</x:v>
      </x:c>
      <x:c r="D830" s="168" t="str">
        <x:v>Dividend payout ratio</x:v>
      </x:c>
      <x:c r="E830" s="168" t="str">
        <x:v>Additional</x:v>
      </x:c>
      <x:c r="F830" s="169" t="n">
        <x:f>FCCL!H131</x:f>
        <x:v>1.25</x:v>
      </x:c>
      <x:c r="G830" s="169" t="n">
        <x:f>FCCL!H99/FCCL!H129</x:f>
        <x:v>5.432952809531124</x:v>
      </x:c>
      <x:c r="H830" s="169" t="n">
        <x:f>IF(G830&lt;=0,"n/m",F830/G830)</x:f>
        <x:v>0.23007746318118263</x:v>
      </x:c>
      <x:c r="I830" s="169" t="n">
        <x:v>1.25</x:v>
      </x:c>
      <x:c r="J830" s="169" t="n">
        <x:v>5.432952809531126</x:v>
      </x:c>
      <x:c r="K830" s="169" t="n">
        <x:v>0.23007746318118258</x:v>
      </x:c>
      <x:c r="L830" s="175" t="n">
        <x:v>0.23007746318118258</x:v>
      </x:c>
      <x:c r="M830" s="175" t="n">
        <x:f>FCCL!H174</x:f>
        <x:v>0.23007746318118263</x:v>
      </x:c>
      <x:c r="N830" s="176" t="str">
        <x:f>IF(AND(ABS(F830-I830)&lt;0.000001,ABS(G830-J830)&lt;0.000001,IF(ISNUMBER(L830),IF(ISNUMBER(M830),ABS(L830-M830)&lt;0.00000001,FALSE),M830=L830)),"PASS","FAIL")</x:f>
        <x:v>PASS</x:v>
      </x:c>
      <x:c r="O830" s="171" t="str"/>
      <x:c r="P830" s="168" t="str">
        <x:v>Market Value</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10" hidden="0" customWidth="1"/>
    <x:col min="3" max="3" width="12" hidden="0" customWidth="1"/>
    <x:col min="4" max="4" width="52" hidden="0" customWidth="1"/>
    <x:col min="5" max="5" width="23" hidden="0" customWidth="1"/>
    <x:col min="6" max="6" width="24" hidden="0" customWidth="1"/>
    <x:col min="7" max="7" width="16" hidden="0" customWidth="1"/>
    <x:col min="8" max="8" width="24" hidden="0" customWidth="1"/>
    <x:col min="9" max="9" width="24" hidden="0" customWidth="1"/>
    <x:col min="10" max="10" width="22" hidden="0" customWidth="1"/>
    <x:col min="11" max="11" width="50" hidden="0" customWidth="1"/>
    <x:col min="12" max="12" width="12" hidden="0" customWidth="1"/>
    <x:col min="13" max="13" width="22" hidden="0" customWidth="1"/>
    <x:col min="14" max="14" width="50" hidden="0" customWidth="1"/>
    <x:col min="15" max="15" width="110" hidden="0" customWidth="1"/>
    <x:col min="16" max="16" width="140" hidden="0" customWidth="1"/>
  </x:cols>
  <x:sheetData>
    <x:row r="1" ht="26" customHeight="1">
      <x:c r="A1" s="76"/>
      <x:c r="B1" s="76"/>
      <x:c r="C1" s="76"/>
      <x:c r="D1" s="76"/>
      <x:c r="E1" s="76"/>
      <x:c r="F1" s="76"/>
      <x:c r="G1" s="76"/>
      <x:c r="H1" s="76"/>
      <x:c r="I1" s="76"/>
      <x:c r="J1" s="76"/>
      <x:c r="K1" s="76"/>
      <x:c r="L1" s="76"/>
      <x:c r="M1" s="76"/>
      <x:c r="N1" s="76"/>
      <x:c r="O1" s="76"/>
      <x:c r="P1" s="76"/>
    </x:row>
    <x:row r="2" ht="26" customHeight="1">
      <x:c r="A2" s="77" t="str">
        <x:v>Financial input review and signed source evidence</x:v>
      </x:c>
      <x:c r="B2" s="76"/>
      <x:c r="C2" s="76"/>
      <x:c r="D2" s="76"/>
      <x:c r="E2" s="76"/>
      <x:c r="F2" s="76"/>
      <x:c r="G2" s="76"/>
      <x:c r="H2" s="76"/>
      <x:c r="I2" s="76"/>
      <x:c r="J2" s="76"/>
      <x:c r="K2" s="76"/>
      <x:c r="L2" s="76"/>
      <x:c r="M2" s="76"/>
      <x:c r="N2" s="76"/>
      <x:c r="O2" s="76"/>
      <x:c r="P2" s="76"/>
    </x:row>
    <x:row r="3" ht="26" customHeight="1">
      <x:c r="A3" s="164" t="str">
        <x:v>1,675 original financial-input records plus35 explicit note components. Original raw signs, revised official amounts, model trace and source evidence are shown separately.</x:v>
      </x:c>
      <x:c r="B3" s="76"/>
      <x:c r="C3" s="76"/>
      <x:c r="D3" s="76"/>
      <x:c r="E3" s="76"/>
      <x:c r="F3" s="76"/>
      <x:c r="G3" s="76"/>
      <x:c r="H3" s="76"/>
      <x:c r="I3" s="76"/>
      <x:c r="J3" s="76"/>
      <x:c r="K3" s="76"/>
      <x:c r="L3" s="76"/>
      <x:c r="M3" s="76"/>
      <x:c r="N3" s="76"/>
      <x:c r="O3" s="76"/>
      <x:c r="P3" s="76"/>
    </x:row>
    <x:row r="4" ht="26" customHeight="1">
      <x:c r="A4" s="76"/>
      <x:c r="B4" s="76"/>
      <x:c r="C4" s="76"/>
      <x:c r="D4" s="76"/>
      <x:c r="E4" s="76"/>
      <x:c r="F4" s="76"/>
      <x:c r="G4" s="76"/>
      <x:c r="H4" s="76"/>
      <x:c r="I4" s="76"/>
      <x:c r="J4" s="76"/>
      <x:c r="K4" s="76"/>
      <x:c r="L4" s="76"/>
      <x:c r="M4" s="76"/>
      <x:c r="N4" s="76"/>
      <x:c r="O4" s="76"/>
      <x:c r="P4" s="76"/>
    </x:row>
    <x:row r="5" ht="40" customHeight="1">
      <x:c r="A5" s="167" t="str">
        <x:v>Input key</x:v>
      </x:c>
      <x:c r="B5" s="167" t="str">
        <x:v>Company</x:v>
      </x:c>
      <x:c r="C5" s="167" t="str">
        <x:v>FY</x:v>
      </x:c>
      <x:c r="D5" s="167" t="str">
        <x:v>Accounting input</x:v>
      </x:c>
      <x:c r="E5" s="167" t="str">
        <x:v>Prior source amount</x:v>
      </x:c>
      <x:c r="F5" s="167" t="str">
        <x:v>Revised official amount</x:v>
      </x:c>
      <x:c r="G5" s="167" t="str">
        <x:v>Official units</x:v>
      </x:c>
      <x:c r="H5" s="167" t="str">
        <x:v>Converted PKR m</x:v>
      </x:c>
      <x:c r="I5" s="167" t="str">
        <x:v>Model amount</x:v>
      </x:c>
      <x:c r="J5" s="167" t="str">
        <x:v>Trace difference</x:v>
      </x:c>
      <x:c r="K5" s="167" t="str">
        <x:v>Official annual report</x:v>
      </x:c>
      <x:c r="L5" s="167" t="str">
        <x:v>PDF page</x:v>
      </x:c>
      <x:c r="M5" s="167" t="str">
        <x:v>Current / comparative</x:v>
      </x:c>
      <x:c r="N5" s="167" t="str">
        <x:v>Evidence type</x:v>
      </x:c>
      <x:c r="O5" s="167" t="str">
        <x:v>Classification / control</x:v>
      </x:c>
      <x:c r="P5" s="167" t="str">
        <x:v>Source excerpt</x:v>
      </x:c>
    </x:row>
    <x:row r="6" ht="82" customHeight="1">
      <x:c r="A6" s="168" t="str">
        <x:v>KOHC|ppe|2020</x:v>
      </x:c>
      <x:c r="B6" s="168" t="str">
        <x:v>KOHC</x:v>
      </x:c>
      <x:c r="C6" s="168" t="str">
        <x:v>FY2020</x:v>
      </x:c>
      <x:c r="D6" s="168" t="str">
        <x:v>Property, plant and equipment (as presented)</x:v>
      </x:c>
      <x:c r="E6" s="169" t="n">
        <x:v>22777666271</x:v>
      </x:c>
      <x:c r="F6" s="169" t="n">
        <x:v>22777666271</x:v>
      </x:c>
      <x:c r="G6" s="169" t="str">
        <x:v>Rupees</x:v>
      </x:c>
      <x:c r="H6" s="169" t="n">
        <x:f>F6/1000000</x:f>
        <x:v>22777.666271</x:v>
      </x:c>
      <x:c r="I6" s="169" t="n">
        <x:f>KOHC!C20</x:f>
        <x:v>22777.666271</x:v>
      </x:c>
      <x:c r="J6" s="169" t="n">
        <x:f>H6-I6</x:f>
        <x:v>0</x:v>
      </x:c>
      <x:c r="K6" s="168" t="str">
        <x:v>KOHC_AR_2021.pdf</x:v>
      </x:c>
      <x:c r="L6" s="168" t="n">
        <x:v>45</x:v>
      </x:c>
      <x:c r="M6" s="168" t="str">
        <x:v>Comparative</x:v>
      </x:c>
      <x:c r="N6" s="171" t="str">
        <x:v>Printed amount independently located</x:v>
      </x:c>
      <x:c r="O6" s="171" t="str">
        <x:v>Exact source amount found; audited year/current-comparative column recorded. Accounting subtotal tests performed separately.</x:v>
      </x:c>
      <x:c r="P6" s="171" t="str">
        <x:v>(Restated)
  2021 2020
 Note Rupees Rupees
ASSETS
Non current assets 
Property, plant and equipment 15  22,051,984,013   22,777,666,271 
Intangibles 16  6,725,911   11,210,982 
Long term deposits 17  43,326,640   38,326,640 
Investment property 18  4,136,086,159   3,691,839,635 
     26,238,122,723   26,519,043,52</x:v>
      </x:c>
    </x:row>
    <x:row r="7" ht="82" customHeight="1">
      <x:c r="A7" s="76" t="str">
        <x:v>KOHC|ppe|2021</x:v>
      </x:c>
      <x:c r="B7" s="76" t="str">
        <x:v>KOHC</x:v>
      </x:c>
      <x:c r="C7" s="76" t="str">
        <x:v>FY2021</x:v>
      </x:c>
      <x:c r="D7" s="76" t="str">
        <x:v>Property, plant and equipment (as presented)</x:v>
      </x:c>
      <x:c r="E7" s="170" t="n">
        <x:v>22027544913</x:v>
      </x:c>
      <x:c r="F7" s="170" t="n">
        <x:v>22027544913</x:v>
      </x:c>
      <x:c r="G7" s="170" t="str">
        <x:v>Rupees</x:v>
      </x:c>
      <x:c r="H7" s="170" t="n">
        <x:f>F7/1000000</x:f>
        <x:v>22027.544913</x:v>
      </x:c>
      <x:c r="I7" s="170" t="n">
        <x:f>KOHC!D20</x:f>
        <x:v>22027.544913</x:v>
      </x:c>
      <x:c r="J7" s="170" t="n">
        <x:f>H7-I7</x:f>
        <x:v>0</x:v>
      </x:c>
      <x:c r="K7" s="76" t="str">
        <x:v>Kohat_Cement_AR_2022.pdf</x:v>
      </x:c>
      <x:c r="L7" s="76" t="n">
        <x:v>53</x:v>
      </x:c>
      <x:c r="M7" s="76" t="str">
        <x:v>Comparative</x:v>
      </x:c>
      <x:c r="N7" s="99" t="str">
        <x:v>Printed amount independently located</x:v>
      </x:c>
      <x:c r="O7" s="99" t="str">
        <x:v>Exact source amount found; audited year/current-comparative column recorded. Accounting subtotal tests performed separately.</x:v>
      </x:c>
      <x:c r="P7" s="99" t="str">
        <x:v>2022 2021
 Note Rupees Rupees
ASSETS 
Non current assets 
Property, plant and equipment 15  21,331,296,362   22,027,544,913 
Intangibles 16  2,701,357   6,725,911 
Long term loans and advances 17  63,226,829   26,439,100 
Long term deposits 18  43,356,640   43,326,640 
Investment property 19  4,134,255</x:v>
      </x:c>
    </x:row>
    <x:row r="8" ht="82" customHeight="1">
      <x:c r="A8" s="168" t="str">
        <x:v>KOHC|ppe|2022</x:v>
      </x:c>
      <x:c r="B8" s="168" t="str">
        <x:v>KOHC</x:v>
      </x:c>
      <x:c r="C8" s="168" t="str">
        <x:v>FY2022</x:v>
      </x:c>
      <x:c r="D8" s="168" t="str">
        <x:v>Property, plant and equipment (as presented)</x:v>
      </x:c>
      <x:c r="E8" s="169" t="n">
        <x:v>21331296362</x:v>
      </x:c>
      <x:c r="F8" s="169" t="n">
        <x:v>21331296362</x:v>
      </x:c>
      <x:c r="G8" s="169" t="str">
        <x:v>Rupees</x:v>
      </x:c>
      <x:c r="H8" s="169" t="n">
        <x:f>F8/1000000</x:f>
        <x:v>21331.296362</x:v>
      </x:c>
      <x:c r="I8" s="169" t="n">
        <x:f>KOHC!E20</x:f>
        <x:v>21331.296362</x:v>
      </x:c>
      <x:c r="J8" s="169" t="n">
        <x:f>H8-I8</x:f>
        <x:v>0</x:v>
      </x:c>
      <x:c r="K8" s="168" t="str">
        <x:v>Financial_Statements-30-06-2023.pdf</x:v>
      </x:c>
      <x:c r="L8" s="168" t="n">
        <x:v>53</x:v>
      </x:c>
      <x:c r="M8" s="168" t="str">
        <x:v>Comparative</x:v>
      </x:c>
      <x:c r="N8" s="171" t="str">
        <x:v>Printed amount independently located</x:v>
      </x:c>
      <x:c r="O8" s="171" t="str">
        <x:v>Exact source amount found; audited year/current-comparative column recorded. Accounting subtotal tests performed separately.</x:v>
      </x:c>
      <x:c r="P8" s="171" t="str">
        <x:v>nual Report 2023
Shaping the
Future
51
  2023 2022
 Note Rupees Rupees
ASSETS 
Non current assets 
Property, plant and equipment 15  22,229,434,463   21,331,296,362 
Intangibles 16  1,567,709   2,701,357 
Long term loans and advances 17  17,429,341   63,226,829 
Long term deposits 18  43,356,640   43,356,640 
Investment property 19  4,324,910</x:v>
      </x:c>
    </x:row>
    <x:row r="9" ht="82" customHeight="1">
      <x:c r="A9" s="76" t="str">
        <x:v>KOHC|ppe|2023</x:v>
      </x:c>
      <x:c r="B9" s="76" t="str">
        <x:v>KOHC</x:v>
      </x:c>
      <x:c r="C9" s="76" t="str">
        <x:v>FY2023</x:v>
      </x:c>
      <x:c r="D9" s="76" t="str">
        <x:v>Property, plant and equipment (as presented)</x:v>
      </x:c>
      <x:c r="E9" s="170" t="n">
        <x:v>22229434463</x:v>
      </x:c>
      <x:c r="F9" s="170" t="n">
        <x:v>22229434463</x:v>
      </x:c>
      <x:c r="G9" s="170" t="str">
        <x:v>Rupees</x:v>
      </x:c>
      <x:c r="H9" s="170" t="n">
        <x:f>F9/1000000</x:f>
        <x:v>22229.434463</x:v>
      </x:c>
      <x:c r="I9" s="170" t="n">
        <x:f>KOHC!F20</x:f>
        <x:v>22229.434463</x:v>
      </x:c>
      <x:c r="J9" s="170" t="n">
        <x:f>H9-I9</x:f>
        <x:v>0</x:v>
      </x:c>
      <x:c r="K9" s="76" t="str">
        <x:v>Kohat_Cement_Annual_Report-2024.pdf</x:v>
      </x:c>
      <x:c r="L9" s="76" t="n">
        <x:v>59</x:v>
      </x:c>
      <x:c r="M9" s="76" t="str">
        <x:v>Comparative</x:v>
      </x:c>
      <x:c r="N9" s="99" t="str">
        <x:v>Printed amount independently located</x:v>
      </x:c>
      <x:c r="O9" s="99" t="str">
        <x:v>Exact source amount found; audited year/current-comparative column recorded. Accounting subtotal tests performed separately.</x:v>
      </x:c>
      <x:c r="P9" s="99" t="str">
        <x:v>HEIGHTS Annual Report 2024
  2024 2023
 Note Rupees Rupees
   Restated
ASSETS
Non current assets 
Property, plant and equipment 14  22,157,690,533   22,229,434,463 
Intangibles 15  508,226   1,567,709 
Long term loans and advances 16  21,170,394   17,429,341 
Long term deposits 17  43,356,640   43,356,640 
Investment property 18 4,326,361,55</x:v>
      </x:c>
    </x:row>
    <x:row r="10" ht="82" customHeight="1">
      <x:c r="A10" s="168" t="str">
        <x:v>KOHC|ppe|2024</x:v>
      </x:c>
      <x:c r="B10" s="168" t="str">
        <x:v>KOHC</x:v>
      </x:c>
      <x:c r="C10" s="168" t="str">
        <x:v>FY2024</x:v>
      </x:c>
      <x:c r="D10" s="168" t="str">
        <x:v>Property, plant and equipment (as presented)</x:v>
      </x:c>
      <x:c r="E10" s="169" t="n">
        <x:v>22156640533</x:v>
      </x:c>
      <x:c r="F10" s="169" t="n">
        <x:v>22156640533</x:v>
      </x:c>
      <x:c r="G10" s="169" t="str">
        <x:v>Rupees</x:v>
      </x:c>
      <x:c r="H10" s="169" t="n">
        <x:f>F10/1000000</x:f>
        <x:v>22156.640533</x:v>
      </x:c>
      <x:c r="I10" s="169" t="n">
        <x:f>KOHC!G20</x:f>
        <x:v>22156.640533</x:v>
      </x:c>
      <x:c r="J10" s="169" t="n">
        <x:f>H10-I10</x:f>
        <x:v>0</x:v>
      </x:c>
      <x:c r="K10" s="168" t="str">
        <x:v>Kohat_Cement_Annual_Report_2025.pdf</x:v>
      </x:c>
      <x:c r="L10" s="168" t="n">
        <x:v>69</x:v>
      </x:c>
      <x:c r="M10" s="168" t="str">
        <x:v>Comparative</x:v>
      </x:c>
      <x:c r="N10" s="171" t="str">
        <x:v>Printed amount independently located</x:v>
      </x:c>
      <x:c r="O10" s="171" t="str">
        <x:v>Exact source amount found; audited year/current-comparative column recorded. Accounting subtotal tests performed separately.</x:v>
      </x:c>
      <x:c r="P10" s="171" t="str">
        <x:v>67
  2025 2024
 Note Rupees Rupees
ASSETS 
Non current assets 
Property, plant and equipment 13  23,359,980,509   22,156,640,533 
Intangibles 14  259,742   508,226 
Long term loans and advances 15  434,691,328   89,361,970 
Long term deposits 16  58,226,136   58,026,136 
Investment property 17  4,326,361,55</x:v>
      </x:c>
    </x:row>
    <x:row r="11" ht="82" customHeight="1">
      <x:c r="A11" s="76" t="str">
        <x:v>KOHC|ppe|2025</x:v>
      </x:c>
      <x:c r="B11" s="76" t="str">
        <x:v>KOHC</x:v>
      </x:c>
      <x:c r="C11" s="76" t="str">
        <x:v>FY2025</x:v>
      </x:c>
      <x:c r="D11" s="76" t="str">
        <x:v>Property, plant and equipment (as presented)</x:v>
      </x:c>
      <x:c r="E11" s="170" t="n">
        <x:v>23359980509</x:v>
      </x:c>
      <x:c r="F11" s="170" t="n">
        <x:v>23359980509</x:v>
      </x:c>
      <x:c r="G11" s="170" t="str">
        <x:v>Rupees</x:v>
      </x:c>
      <x:c r="H11" s="170" t="n">
        <x:f>F11/1000000</x:f>
        <x:v>23359.980509</x:v>
      </x:c>
      <x:c r="I11" s="170" t="n">
        <x:f>KOHC!H20</x:f>
        <x:v>23359.980509</x:v>
      </x:c>
      <x:c r="J11" s="170" t="n">
        <x:f>H11-I11</x:f>
        <x:v>0</x:v>
      </x:c>
      <x:c r="K11" s="76" t="str">
        <x:v>Kohat_Cement_Annual_Report_2025.pdf</x:v>
      </x:c>
      <x:c r="L11" s="76" t="n">
        <x:v>69</x:v>
      </x:c>
      <x:c r="M11" s="76" t="str">
        <x:v>Current year</x:v>
      </x:c>
      <x:c r="N11" s="99" t="str">
        <x:v>Printed amount independently located</x:v>
      </x:c>
      <x:c r="O11" s="99" t="str">
        <x:v>Exact source amount found; audited year/current-comparative column recorded. Accounting subtotal tests performed separately.</x:v>
      </x:c>
      <x:c r="P11" s="99" t="str">
        <x:v>67
  2025 2024
 Note Rupees Rupees
ASSETS 
Non current assets 
Property, plant and equipment 13  23,359,980,509   22,156,640,533 
Intangibles 14  259,742   508,226 
Long term loans and advances 15  434,691,328   89,361,970 
Long term deposits 16  58,226,136   58,026,136 
Investment property</x:v>
      </x:c>
    </x:row>
    <x:row r="12" ht="82" customHeight="1">
      <x:c r="A12" s="168" t="str">
        <x:v>KOHC|cwip|2020</x:v>
      </x:c>
      <x:c r="B12" s="168" t="str">
        <x:v>KOHC</x:v>
      </x:c>
      <x:c r="C12" s="168" t="str">
        <x:v>FY2020</x:v>
      </x:c>
      <x:c r="D12" s="168" t="str">
        <x:v>of which: capital work-in-progress (note)</x:v>
      </x:c>
      <x:c r="E12" s="169" t="n">
        <x:v>164578022</x:v>
      </x:c>
      <x:c r="F12" s="169" t="n">
        <x:v>164578022</x:v>
      </x:c>
      <x:c r="G12" s="169" t="str">
        <x:v>Rupees</x:v>
      </x:c>
      <x:c r="H12" s="169" t="n">
        <x:f>F12/1000000</x:f>
        <x:v>164.578022</x:v>
      </x:c>
      <x:c r="I12" s="169" t="n">
        <x:f>KOHC!C21</x:f>
        <x:v>164.578022</x:v>
      </x:c>
      <x:c r="J12" s="169" t="n">
        <x:f>H12-I12</x:f>
        <x:v>0</x:v>
      </x:c>
      <x:c r="K12" s="168" t="str">
        <x:v>KOHC_AR_2021.pdf</x:v>
      </x:c>
      <x:c r="L12" s="168" t="n">
        <x:v>74</x:v>
      </x:c>
      <x:c r="M12" s="168" t="str">
        <x:v>Comparative</x:v>
      </x:c>
      <x:c r="N12" s="171" t="str">
        <x:v>Printed amount independently located</x:v>
      </x:c>
      <x:c r="O12" s="171" t="str">
        <x:v>Exact source amount found; audited year/current-comparative column recorded. Accounting subtotal tests performed separately.</x:v>
      </x:c>
      <x:c r="P12" s="171" t="str">
        <x:v>15 Property, plant and equipment
 Operating fixed assets 15.1   21,753,605,354   22,613,088,249 
 Capital work in progress 15.7   298,378,659   164,578,022 
        22,051,984,013   22,777,666,271
70</x:v>
      </x:c>
    </x:row>
    <x:row r="13" ht="82" customHeight="1">
      <x:c r="A13" s="76" t="str">
        <x:v>KOHC|cwip|2021</x:v>
      </x:c>
      <x:c r="B13" s="76" t="str">
        <x:v>KOHC</x:v>
      </x:c>
      <x:c r="C13" s="76" t="str">
        <x:v>FY2021</x:v>
      </x:c>
      <x:c r="D13" s="76" t="str">
        <x:v>of which: capital work-in-progress (note)</x:v>
      </x:c>
      <x:c r="E13" s="170" t="n">
        <x:v>273939559</x:v>
      </x:c>
      <x:c r="F13" s="170" t="n">
        <x:v>273939559</x:v>
      </x:c>
      <x:c r="G13" s="170" t="str">
        <x:v>Rupees</x:v>
      </x:c>
      <x:c r="H13" s="170" t="n">
        <x:f>F13/1000000</x:f>
        <x:v>273.939559</x:v>
      </x:c>
      <x:c r="I13" s="170" t="n">
        <x:f>KOHC!D21</x:f>
        <x:v>273.939559</x:v>
      </x:c>
      <x:c r="J13" s="170" t="n">
        <x:f>H13-I13</x:f>
        <x:v>0</x:v>
      </x:c>
      <x:c r="K13" s="76" t="str">
        <x:v>Kohat_Cement_AR_2022.pdf</x:v>
      </x:c>
      <x:c r="L13" s="76" t="n">
        <x:v>83</x:v>
      </x:c>
      <x:c r="M13" s="76" t="str">
        <x:v>Comparative</x:v>
      </x:c>
      <x:c r="N13" s="99" t="str">
        <x:v>Printed amount independently located</x:v>
      </x:c>
      <x:c r="O13" s="99" t="str">
        <x:v>Exact source amount found; audited year/current-comparative column recorded. Accounting subtotal tests performed separately.</x:v>
      </x:c>
      <x:c r="P13" s="99" t="str">
        <x:v>7,598
15 Property, plant and equipment
 Operating fixed assets 15.1   21,200,398,415   21,753,605,354 
 Capital work in progress 15.6   130,897,947   273,939,559
        21,331,296,362   22,027,544,913
81
NOTES TO THE 
FINANCIAL STATEMENTS
For the year ended 30 June 2022
Annual Report 2022
OUREXPANDING</x:v>
      </x:c>
    </x:row>
    <x:row r="14" ht="82" customHeight="1">
      <x:c r="A14" s="168" t="str">
        <x:v>KOHC|cwip|2022</x:v>
      </x:c>
      <x:c r="B14" s="168" t="str">
        <x:v>KOHC</x:v>
      </x:c>
      <x:c r="C14" s="168" t="str">
        <x:v>FY2022</x:v>
      </x:c>
      <x:c r="D14" s="168" t="str">
        <x:v>of which: capital work-in-progress (note)</x:v>
      </x:c>
      <x:c r="E14" s="169" t="n">
        <x:v>130897947</x:v>
      </x:c>
      <x:c r="F14" s="169" t="n">
        <x:v>130897947</x:v>
      </x:c>
      <x:c r="G14" s="169" t="str">
        <x:v>Rupees</x:v>
      </x:c>
      <x:c r="H14" s="169" t="n">
        <x:f>F14/1000000</x:f>
        <x:v>130.897947</x:v>
      </x:c>
      <x:c r="I14" s="169" t="n">
        <x:f>KOHC!E21</x:f>
        <x:v>130.897947</x:v>
      </x:c>
      <x:c r="J14" s="169" t="n">
        <x:f>H14-I14</x:f>
        <x:v>0</x:v>
      </x:c>
      <x:c r="K14" s="168" t="str">
        <x:v>Financial_Statements-30-06-2023.pdf</x:v>
      </x:c>
      <x:c r="L14" s="168" t="n">
        <x:v>81</x:v>
      </x:c>
      <x:c r="M14" s="168" t="str">
        <x:v>Comparative</x:v>
      </x:c>
      <x:c r="N14" s="171" t="str">
        <x:v>Printed amount independently located</x:v>
      </x:c>
      <x:c r="O14" s="171" t="str">
        <x:v>Exact source amount found; audited year/current-comparative column recorded. Accounting subtotal tests performed separately.</x:v>
      </x:c>
      <x:c r="P14" s="171" t="str">
        <x:v>15 Property, plant and equipment
 Operating fixed assets 15.1   20,286,414,882   21,200,398,415 
 Capital work in progress 15.5   1,943,019,581   130,897,947 
        22,229,434,463   21,331,296,362
Annual Report 2023
Shaping the
Future
79</x:v>
      </x:c>
    </x:row>
    <x:row r="15" ht="82" customHeight="1">
      <x:c r="A15" s="76" t="str">
        <x:v>KOHC|cwip|2023</x:v>
      </x:c>
      <x:c r="B15" s="76" t="str">
        <x:v>KOHC</x:v>
      </x:c>
      <x:c r="C15" s="76" t="str">
        <x:v>FY2023</x:v>
      </x:c>
      <x:c r="D15" s="76" t="str">
        <x:v>of which: capital work-in-progress (note)</x:v>
      </x:c>
      <x:c r="E15" s="170" t="n">
        <x:v>1943019581</x:v>
      </x:c>
      <x:c r="F15" s="170" t="n">
        <x:v>1943019581</x:v>
      </x:c>
      <x:c r="G15" s="170" t="str">
        <x:v>Rupees</x:v>
      </x:c>
      <x:c r="H15" s="170" t="n">
        <x:f>F15/1000000</x:f>
        <x:v>1943.019581</x:v>
      </x:c>
      <x:c r="I15" s="170" t="n">
        <x:f>KOHC!F21</x:f>
        <x:v>1943.019581</x:v>
      </x:c>
      <x:c r="J15" s="170" t="n">
        <x:f>H15-I15</x:f>
        <x:v>0</x:v>
      </x:c>
      <x:c r="K15" s="76" t="str">
        <x:v>Kohat_Cement_Annual_Report-2024.pdf</x:v>
      </x:c>
      <x:c r="L15" s="76" t="n">
        <x:v>89</x:v>
      </x:c>
      <x:c r="M15" s="76" t="str">
        <x:v>Comparative</x:v>
      </x:c>
      <x:c r="N15" s="99" t="str">
        <x:v>Printed amount independently located</x:v>
      </x:c>
      <x:c r="O15" s="99" t="str">
        <x:v>Exact source amount found; audited year/current-comparative column recorded. Accounting subtotal tests performed separately.</x:v>
      </x:c>
      <x:c r="P15" s="99" t="str">
        <x:v>14 Property, plant and equipment
 Operating fixed assets 14.1   21,157,313,928   20,286,414,882 
 Capital work in progress 14.2   1,000,376,605   1,943,019,581 
        22,157,690,533   22,229,434,463
87
Reaching New 
HEIGHTS Annual Report 2024</x:v>
      </x:c>
    </x:row>
    <x:row r="16" ht="82" customHeight="1">
      <x:c r="A16" s="168" t="str">
        <x:v>KOHC|cwip|2024</x:v>
      </x:c>
      <x:c r="B16" s="168" t="str">
        <x:v>KOHC</x:v>
      </x:c>
      <x:c r="C16" s="168" t="str">
        <x:v>FY2024</x:v>
      </x:c>
      <x:c r="D16" s="168" t="str">
        <x:v>of which: capital work-in-progress (note)</x:v>
      </x:c>
      <x:c r="E16" s="169" t="n">
        <x:v>999326605</x:v>
      </x:c>
      <x:c r="F16" s="169" t="n">
        <x:v>999326605</x:v>
      </x:c>
      <x:c r="G16" s="169" t="str">
        <x:v>Rupees</x:v>
      </x:c>
      <x:c r="H16" s="169" t="n">
        <x:f>F16/1000000</x:f>
        <x:v>999.326605</x:v>
      </x:c>
      <x:c r="I16" s="169" t="n">
        <x:f>KOHC!G21</x:f>
        <x:v>999.326605</x:v>
      </x:c>
      <x:c r="J16" s="169" t="n">
        <x:f>H16-I16</x:f>
        <x:v>0</x:v>
      </x:c>
      <x:c r="K16" s="168" t="str">
        <x:v>Kohat_Cement_Annual_Report_2025.pdf</x:v>
      </x:c>
      <x:c r="L16" s="168" t="n">
        <x:v>97</x:v>
      </x:c>
      <x:c r="M16" s="168" t="str">
        <x:v>Comparative</x:v>
      </x:c>
      <x:c r="N16" s="171" t="str">
        <x:v>Printed amount independently located</x:v>
      </x:c>
      <x:c r="O16" s="171" t="str">
        <x:v>Exact source amount found; audited year/current-comparative column recorded. Accounting subtotal tests performed separately.</x:v>
      </x:c>
      <x:c r="P16" s="171" t="str">
        <x:v>13 Property, plant and equipment
 Operating fixed assets 13.1   20,873,345,754   21,157,313,928 
 Capital work in progress 13.2   2,486,634,755   999,326,605 
      23,359,980,509   22,156,640,533
95
Annual Report 2025</x:v>
      </x:c>
    </x:row>
    <x:row r="17" ht="82" customHeight="1">
      <x:c r="A17" s="76" t="str">
        <x:v>KOHC|cwip|2025</x:v>
      </x:c>
      <x:c r="B17" s="76" t="str">
        <x:v>KOHC</x:v>
      </x:c>
      <x:c r="C17" s="76" t="str">
        <x:v>FY2025</x:v>
      </x:c>
      <x:c r="D17" s="76" t="str">
        <x:v>of which: capital work-in-progress (note)</x:v>
      </x:c>
      <x:c r="E17" s="170" t="n">
        <x:v>2486634755</x:v>
      </x:c>
      <x:c r="F17" s="170" t="n">
        <x:v>2486634755</x:v>
      </x:c>
      <x:c r="G17" s="170" t="str">
        <x:v>Rupees</x:v>
      </x:c>
      <x:c r="H17" s="170" t="n">
        <x:f>F17/1000000</x:f>
        <x:v>2486.634755</x:v>
      </x:c>
      <x:c r="I17" s="170" t="n">
        <x:f>KOHC!H21</x:f>
        <x:v>2486.634755</x:v>
      </x:c>
      <x:c r="J17" s="170" t="n">
        <x:f>H17-I17</x:f>
        <x:v>0</x:v>
      </x:c>
      <x:c r="K17" s="76" t="str">
        <x:v>Kohat_Cement_Annual_Report_2025.pdf</x:v>
      </x:c>
      <x:c r="L17" s="76" t="n">
        <x:v>97</x:v>
      </x:c>
      <x:c r="M17" s="76" t="str">
        <x:v>Current year</x:v>
      </x:c>
      <x:c r="N17" s="99" t="str">
        <x:v>Printed amount independently located</x:v>
      </x:c>
      <x:c r="O17" s="99" t="str">
        <x:v>Exact source amount found; audited year/current-comparative column recorded. Accounting subtotal tests performed separately.</x:v>
      </x:c>
      <x:c r="P17" s="99" t="str">
        <x:v>36   598,585,518 
13 Property, plant and equipment
 Operating fixed assets 13.1   20,873,345,754   21,157,313,928 
 Capital work in progress 13.2   2,486,634,755   999,326,605 
      23,359,980,509   22,156,640,533
95
Annual Report 2025</x:v>
      </x:c>
    </x:row>
    <x:row r="18" ht="82" customHeight="1">
      <x:c r="A18" s="168" t="str">
        <x:v>KOHC|rou|2020</x:v>
      </x:c>
      <x:c r="B18" s="168" t="str">
        <x:v>KOHC</x:v>
      </x:c>
      <x:c r="C18" s="168" t="str">
        <x:v>FY2020</x:v>
      </x:c>
      <x:c r="D18" s="168" t="str">
        <x:v>Right-of-use assets (presented separately)</x:v>
      </x:c>
      <x:c r="E18" s="169" t="n">
        <x:v>0</x:v>
      </x:c>
      <x:c r="F18" s="169" t="n">
        <x:v>0</x:v>
      </x:c>
      <x:c r="G18" s="169" t="str">
        <x:v>Rupees</x:v>
      </x:c>
      <x:c r="H18" s="169" t="n">
        <x:f>F18/1000000</x:f>
        <x:v>0</x:v>
      </x:c>
      <x:c r="I18" s="169" t="n">
        <x:f>KOHC!C23</x:f>
        <x:v>0</x:v>
      </x:c>
      <x:c r="J18" s="169" t="n">
        <x:f>H18-I18</x:f>
        <x:v>0</x:v>
      </x:c>
      <x:c r="K18" s="168" t="str">
        <x:v>KOHC_AR_2021.pdf</x:v>
      </x:c>
      <x:c r="L18" s="168" t="n">
        <x:v>44</x:v>
      </x:c>
      <x:c r="M18" s="168" t="str">
        <x:v>Comparative</x:v>
      </x:c>
      <x:c r="N18" s="171" t="str">
        <x:v>Zero / no separate line in audited presentation</x:v>
      </x:c>
      <x:c r="O18" s="171" t="str">
        <x:v>Zero classification checked within the audited statement/note and reconstructed statement totals; absence of a separate line does not imply a missing replacement estimate.</x:v>
      </x:c>
      <x:c r="P18" s="171" t="str">
        <x:v>
STATEMENT OF 
FINANCIAL POSITION 
As at 30 June 2021
   (Restated)
  2021 2020
 Note Rupees Rupees
EQUITY AND LIABILITIES
Authorized share capital 4  | Right-of-use assets (presented separately)</x:v>
      </x:c>
    </x:row>
    <x:row r="19" ht="82" customHeight="1">
      <x:c r="A19" s="76" t="str">
        <x:v>KOHC|rou|2021</x:v>
      </x:c>
      <x:c r="B19" s="76" t="str">
        <x:v>KOHC</x:v>
      </x:c>
      <x:c r="C19" s="76" t="str">
        <x:v>FY2021</x:v>
      </x:c>
      <x:c r="D19" s="76" t="str">
        <x:v>Right-of-use assets (presented separately)</x:v>
      </x:c>
      <x:c r="E19" s="170" t="n">
        <x:v>0</x:v>
      </x:c>
      <x:c r="F19" s="170" t="n">
        <x:v>0</x:v>
      </x:c>
      <x:c r="G19" s="170" t="str">
        <x:v>Rupees</x:v>
      </x:c>
      <x:c r="H19" s="170" t="n">
        <x:f>F19/1000000</x:f>
        <x:v>0</x:v>
      </x:c>
      <x:c r="I19" s="170" t="n">
        <x:f>KOHC!D23</x:f>
        <x:v>0</x:v>
      </x:c>
      <x:c r="J19" s="170" t="n">
        <x:f>H19-I19</x:f>
        <x:v>0</x:v>
      </x:c>
      <x:c r="K19" s="76" t="str">
        <x:v>Kohat_Cement_AR_2022.pdf</x:v>
      </x:c>
      <x:c r="L19" s="76" t="n">
        <x:v>52</x:v>
      </x:c>
      <x:c r="M19" s="76" t="str">
        <x:v>Comparative</x:v>
      </x:c>
      <x:c r="N19" s="99" t="str">
        <x:v>Zero / no separate line in audited presentation</x:v>
      </x:c>
      <x:c r="O19" s="99" t="str">
        <x:v>Zero classification checked within the audited statement/note and reconstructed statement totals; absence of a separate line does not imply a missing replacement estimate.</x:v>
      </x:c>
      <x:c r="P19" s="99" t="str">
        <x:v>
STATEMENT OF 
FINANCIAL POSITION 
As at 30 June 2022
  2022 2021
 Note Rupees Rupees
EQUITY AND LIABILITIES 
Authorized share capital 4  3,000,000,00 | Right-of-use assets (presented separately)</x:v>
      </x:c>
    </x:row>
    <x:row r="20" ht="82" customHeight="1">
      <x:c r="A20" s="168" t="str">
        <x:v>KOHC|rou|2022</x:v>
      </x:c>
      <x:c r="B20" s="168" t="str">
        <x:v>KOHC</x:v>
      </x:c>
      <x:c r="C20" s="168" t="str">
        <x:v>FY2022</x:v>
      </x:c>
      <x:c r="D20" s="168" t="str">
        <x:v>Right-of-use assets (presented separately)</x:v>
      </x:c>
      <x:c r="E20" s="169" t="n">
        <x:v>0</x:v>
      </x:c>
      <x:c r="F20" s="169" t="n">
        <x:v>0</x:v>
      </x:c>
      <x:c r="G20" s="169" t="str">
        <x:v>Rupees</x:v>
      </x:c>
      <x:c r="H20" s="169" t="n">
        <x:f>F20/1000000</x:f>
        <x:v>0</x:v>
      </x:c>
      <x:c r="I20" s="169" t="n">
        <x:f>KOHC!E23</x:f>
        <x:v>0</x:v>
      </x:c>
      <x:c r="J20" s="169" t="n">
        <x:f>H20-I20</x:f>
        <x:v>0</x:v>
      </x:c>
      <x:c r="K20" s="168" t="str">
        <x:v>Financial_Statements-30-06-2023.pdf</x:v>
      </x:c>
      <x:c r="L20" s="168" t="n">
        <x:v>52</x:v>
      </x:c>
      <x:c r="M20" s="168" t="str">
        <x:v>Comparative</x:v>
      </x:c>
      <x:c r="N20" s="171" t="str">
        <x:v>Zero / no separate line in audited presentation</x:v>
      </x:c>
      <x:c r="O20" s="171" t="str">
        <x:v>Zero classification checked within the audited statement/note and reconstructed statement totals; absence of a separate line does not imply a missing replacement estimate.</x:v>
      </x:c>
      <x:c r="P20" s="171" t="str">
        <x:v>
50
STATEMENT OF 
FINANCIAL POSITION 
As at 30 June 2023
  2023 2022
 Note Rupees Rupees
EQUITY AND LIABILITIES 
Authorized share capital 4  3,000,000 | Right-of-use assets (presented separately)</x:v>
      </x:c>
    </x:row>
    <x:row r="21" ht="82" customHeight="1">
      <x:c r="A21" s="76" t="str">
        <x:v>KOHC|rou|2023</x:v>
      </x:c>
      <x:c r="B21" s="76" t="str">
        <x:v>KOHC</x:v>
      </x:c>
      <x:c r="C21" s="76" t="str">
        <x:v>FY2023</x:v>
      </x:c>
      <x:c r="D21" s="76" t="str">
        <x:v>Right-of-use assets (presented separately)</x:v>
      </x:c>
      <x:c r="E21" s="170" t="n">
        <x:v>0</x:v>
      </x:c>
      <x:c r="F21" s="170" t="n">
        <x:v>0</x:v>
      </x:c>
      <x:c r="G21" s="170" t="str">
        <x:v>Rupees</x:v>
      </x:c>
      <x:c r="H21" s="170" t="n">
        <x:f>F21/1000000</x:f>
        <x:v>0</x:v>
      </x:c>
      <x:c r="I21" s="170" t="n">
        <x:f>KOHC!F23</x:f>
        <x:v>0</x:v>
      </x:c>
      <x:c r="J21" s="170" t="n">
        <x:f>H21-I21</x:f>
        <x:v>0</x:v>
      </x:c>
      <x:c r="K21" s="76" t="str">
        <x:v>Kohat_Cement_Annual_Report-2024.pdf</x:v>
      </x:c>
      <x:c r="L21" s="76" t="n">
        <x:v>58</x:v>
      </x:c>
      <x:c r="M21" s="76" t="str">
        <x:v>Comparative</x:v>
      </x:c>
      <x:c r="N21" s="99" t="str">
        <x:v>Zero / no separate line in audited presentation</x:v>
      </x:c>
      <x:c r="O21" s="99" t="str">
        <x:v>Zero classification checked within the audited statement/note and reconstructed statement totals; absence of a separate line does not imply a missing replacement estimate.</x:v>
      </x:c>
      <x:c r="P21" s="99" t="str">
        <x:v>
56
STATEMENT OF 
FINANCIAL POSITION 
As at 30 June 2024
  2024 2023
 Note Rupees Rupees
   Restated
EQUITY AND LIABILITIES
Authorized share capital 4 | Right-of-use assets (presented separately)</x:v>
      </x:c>
    </x:row>
    <x:row r="22" ht="82" customHeight="1">
      <x:c r="A22" s="168" t="str">
        <x:v>KOHC|rou|2024</x:v>
      </x:c>
      <x:c r="B22" s="168" t="str">
        <x:v>KOHC</x:v>
      </x:c>
      <x:c r="C22" s="168" t="str">
        <x:v>FY2024</x:v>
      </x:c>
      <x:c r="D22" s="168" t="str">
        <x:v>Right-of-use assets (presented separately)</x:v>
      </x:c>
      <x:c r="E22" s="169" t="n">
        <x:v>0</x:v>
      </x:c>
      <x:c r="F22" s="169" t="n">
        <x:v>0</x:v>
      </x:c>
      <x:c r="G22" s="169" t="str">
        <x:v>Rupees</x:v>
      </x:c>
      <x:c r="H22" s="169" t="n">
        <x:f>F22/1000000</x:f>
        <x:v>0</x:v>
      </x:c>
      <x:c r="I22" s="169" t="n">
        <x:f>KOHC!G23</x:f>
        <x:v>0</x:v>
      </x:c>
      <x:c r="J22" s="169" t="n">
        <x:f>H22-I22</x:f>
        <x:v>0</x:v>
      </x:c>
      <x:c r="K22" s="168" t="str">
        <x:v>Kohat_Cement_Annual_Report_2025.pdf</x:v>
      </x:c>
      <x:c r="L22" s="168" t="n">
        <x:v>68</x:v>
      </x:c>
      <x:c r="M22" s="168" t="str">
        <x:v>Comparative</x:v>
      </x:c>
      <x:c r="N22" s="171" t="str">
        <x:v>Zero / no separate line in audited presentation</x:v>
      </x:c>
      <x:c r="O22" s="171" t="str">
        <x:v>Zero classification checked within the audited statement/note and reconstructed statement totals; absence of a separate line does not imply a missing replacement estimate.</x:v>
      </x:c>
      <x:c r="P22" s="171" t="str">
        <x:v>
66
STATEMENT OF 
FINANCIAL POSITION 
As at June 30, 2025
  2025 2024
 Note Rupees Rupees
EQUITY AND LIABILITIES 
Authorized share capital 4  3,000,00 | Right-of-use assets (presented separately)</x:v>
      </x:c>
    </x:row>
    <x:row r="23" ht="82" customHeight="1">
      <x:c r="A23" s="76" t="str">
        <x:v>KOHC|rou|2025</x:v>
      </x:c>
      <x:c r="B23" s="76" t="str">
        <x:v>KOHC</x:v>
      </x:c>
      <x:c r="C23" s="76" t="str">
        <x:v>FY2025</x:v>
      </x:c>
      <x:c r="D23" s="76" t="str">
        <x:v>Right-of-use assets (presented separately)</x:v>
      </x:c>
      <x:c r="E23" s="170" t="n">
        <x:v>0</x:v>
      </x:c>
      <x:c r="F23" s="170" t="n">
        <x:v>0</x:v>
      </x:c>
      <x:c r="G23" s="170" t="str">
        <x:v>Rupees</x:v>
      </x:c>
      <x:c r="H23" s="170" t="n">
        <x:f>F23/1000000</x:f>
        <x:v>0</x:v>
      </x:c>
      <x:c r="I23" s="170" t="n">
        <x:f>KOHC!H23</x:f>
        <x:v>0</x:v>
      </x:c>
      <x:c r="J23" s="170" t="n">
        <x:f>H23-I23</x:f>
        <x:v>0</x:v>
      </x:c>
      <x:c r="K23" s="76" t="str">
        <x:v>Kohat_Cement_Annual_Report_2025.pdf</x:v>
      </x:c>
      <x:c r="L23" s="76" t="n">
        <x:v>68</x:v>
      </x:c>
      <x:c r="M23" s="76" t="str">
        <x:v>Current year</x:v>
      </x:c>
      <x:c r="N23" s="99" t="str">
        <x:v>Zero / no separate line in audited presentation</x:v>
      </x:c>
      <x:c r="O23" s="99" t="str">
        <x:v>Zero classification checked within the audited statement/note and reconstructed statement totals; absence of a separate line does not imply a missing replacement estimate.</x:v>
      </x:c>
      <x:c r="P23" s="99" t="str">
        <x:v>
66
STATEMENT OF 
FINANCIAL POSITION 
As at June 30, 2025
  2025 2024
 Note Rupees Rupees
EQUITY AND LIABILITIES 
Authorized share capital 4  3,000,00 | Right-of-use assets (presented separately)</x:v>
      </x:c>
    </x:row>
    <x:row r="24" ht="82" customHeight="1">
      <x:c r="A24" s="168" t="str">
        <x:v>KOHC|intang|2020</x:v>
      </x:c>
      <x:c r="B24" s="168" t="str">
        <x:v>KOHC</x:v>
      </x:c>
      <x:c r="C24" s="168" t="str">
        <x:v>FY2020</x:v>
      </x:c>
      <x:c r="D24" s="168" t="str">
        <x:v>Intangible assets</x:v>
      </x:c>
      <x:c r="E24" s="169" t="n">
        <x:v>11210982</x:v>
      </x:c>
      <x:c r="F24" s="169" t="n">
        <x:v>11210982</x:v>
      </x:c>
      <x:c r="G24" s="169" t="str">
        <x:v>Rupees</x:v>
      </x:c>
      <x:c r="H24" s="169" t="n">
        <x:f>F24/1000000</x:f>
        <x:v>11.210982</x:v>
      </x:c>
      <x:c r="I24" s="169" t="n">
        <x:f>KOHC!C24</x:f>
        <x:v>11.210982</x:v>
      </x:c>
      <x:c r="J24" s="169" t="n">
        <x:f>H24-I24</x:f>
        <x:v>0</x:v>
      </x:c>
      <x:c r="K24" s="168" t="str">
        <x:v>KOHC_AR_2021.pdf</x:v>
      </x:c>
      <x:c r="L24" s="168" t="n">
        <x:v>45</x:v>
      </x:c>
      <x:c r="M24" s="168" t="str">
        <x:v>Comparative</x:v>
      </x:c>
      <x:c r="N24" s="171" t="str">
        <x:v>Printed amount independently located</x:v>
      </x:c>
      <x:c r="O24" s="171" t="str">
        <x:v>Exact source amount found; audited year/current-comparative column recorded. Accounting subtotal tests performed separately.</x:v>
      </x:c>
      <x:c r="P24" s="171" t="str">
        <x:v>21 2020
 Note Rupees Rupees
ASSETS
Non current assets 
Property, plant and equipment 15  22,051,984,013   22,777,666,271 
Intangibles 16  6,725,911   11,210,982 
Long term deposits 17  43,326,640   38,326,640 
Investment property 18  4,136,086,159   3,691,839,635 
     26,238,122,723   26,519,043,528 
Current assets 
Stores, spares and</x:v>
      </x:c>
    </x:row>
    <x:row r="25" ht="82" customHeight="1">
      <x:c r="A25" s="76" t="str">
        <x:v>KOHC|intang|2021</x:v>
      </x:c>
      <x:c r="B25" s="76" t="str">
        <x:v>KOHC</x:v>
      </x:c>
      <x:c r="C25" s="76" t="str">
        <x:v>FY2021</x:v>
      </x:c>
      <x:c r="D25" s="76" t="str">
        <x:v>Intangible assets</x:v>
      </x:c>
      <x:c r="E25" s="170" t="n">
        <x:v>6725911</x:v>
      </x:c>
      <x:c r="F25" s="170" t="n">
        <x:v>6725911</x:v>
      </x:c>
      <x:c r="G25" s="170" t="str">
        <x:v>Rupees</x:v>
      </x:c>
      <x:c r="H25" s="170" t="n">
        <x:f>F25/1000000</x:f>
        <x:v>6.725911</x:v>
      </x:c>
      <x:c r="I25" s="170" t="n">
        <x:f>KOHC!D24</x:f>
        <x:v>6.725911</x:v>
      </x:c>
      <x:c r="J25" s="170" t="n">
        <x:f>H25-I25</x:f>
        <x:v>0</x:v>
      </x:c>
      <x:c r="K25" s="76" t="str">
        <x:v>Kohat_Cement_AR_2022.pdf</x:v>
      </x:c>
      <x:c r="L25" s="76" t="n">
        <x:v>53</x:v>
      </x:c>
      <x:c r="M25" s="76" t="str">
        <x:v>Comparative</x:v>
      </x:c>
      <x:c r="N25" s="99" t="str">
        <x:v>Printed amount independently located</x:v>
      </x:c>
      <x:c r="O25" s="99" t="str">
        <x:v>Exact source amount found; audited year/current-comparative column recorded. Accounting subtotal tests performed separately.</x:v>
      </x:c>
      <x:c r="P25" s="99" t="str">
        <x:v>2 2021
 Note Rupees Rupees
ASSETS 
Non current assets 
Property, plant and equipment 15  21,331,296,362   22,027,544,913 
Intangibles 16  2,701,357   6,725,911 
Long term loans and advances 17  63,226,829   26,439,100 
Long term deposits 18  43,356,640   43,326,640 
Investment property 19  4,134,255,209   4,134,086,159 
     25,574,836,3</x:v>
      </x:c>
    </x:row>
    <x:row r="26" ht="82" customHeight="1">
      <x:c r="A26" s="168" t="str">
        <x:v>KOHC|intang|2022</x:v>
      </x:c>
      <x:c r="B26" s="168" t="str">
        <x:v>KOHC</x:v>
      </x:c>
      <x:c r="C26" s="168" t="str">
        <x:v>FY2022</x:v>
      </x:c>
      <x:c r="D26" s="168" t="str">
        <x:v>Intangible assets</x:v>
      </x:c>
      <x:c r="E26" s="169" t="n">
        <x:v>2701357</x:v>
      </x:c>
      <x:c r="F26" s="169" t="n">
        <x:v>2701357</x:v>
      </x:c>
      <x:c r="G26" s="169" t="str">
        <x:v>Rupees</x:v>
      </x:c>
      <x:c r="H26" s="169" t="n">
        <x:f>F26/1000000</x:f>
        <x:v>2.701357</x:v>
      </x:c>
      <x:c r="I26" s="169" t="n">
        <x:f>KOHC!E24</x:f>
        <x:v>2.701357</x:v>
      </x:c>
      <x:c r="J26" s="169" t="n">
        <x:f>H26-I26</x:f>
        <x:v>0</x:v>
      </x:c>
      <x:c r="K26" s="168" t="str">
        <x:v>Financial_Statements-30-06-2023.pdf</x:v>
      </x:c>
      <x:c r="L26" s="168" t="n">
        <x:v>53</x:v>
      </x:c>
      <x:c r="M26" s="168" t="str">
        <x:v>Comparative</x:v>
      </x:c>
      <x:c r="N26" s="171" t="str">
        <x:v>Printed amount independently located</x:v>
      </x:c>
      <x:c r="O26" s="171" t="str">
        <x:v>Exact source amount found; audited year/current-comparative column recorded. Accounting subtotal tests performed separately.</x:v>
      </x:c>
      <x:c r="P26" s="171" t="str">
        <x:v>3 2022
 Note Rupees Rupees
ASSETS 
Non current assets 
Property, plant and equipment 15  22,229,434,463   21,331,296,362 
Intangibles 16  1,567,709   2,701,357 
Long term loans and advances 17  17,429,341   63,226,829 
Long term deposits 18  43,356,640   43,356,640 
Investment property 19  4,324,910,743   4,134,255,209 
     26,616,698,8</x:v>
      </x:c>
    </x:row>
    <x:row r="27" ht="82" customHeight="1">
      <x:c r="A27" s="76" t="str">
        <x:v>KOHC|intang|2023</x:v>
      </x:c>
      <x:c r="B27" s="76" t="str">
        <x:v>KOHC</x:v>
      </x:c>
      <x:c r="C27" s="76" t="str">
        <x:v>FY2023</x:v>
      </x:c>
      <x:c r="D27" s="76" t="str">
        <x:v>Intangible assets</x:v>
      </x:c>
      <x:c r="E27" s="170" t="n">
        <x:v>1567709</x:v>
      </x:c>
      <x:c r="F27" s="170" t="n">
        <x:v>1567709</x:v>
      </x:c>
      <x:c r="G27" s="170" t="str">
        <x:v>Rupees</x:v>
      </x:c>
      <x:c r="H27" s="170" t="n">
        <x:f>F27/1000000</x:f>
        <x:v>1.567709</x:v>
      </x:c>
      <x:c r="I27" s="170" t="n">
        <x:f>KOHC!F24</x:f>
        <x:v>1.567709</x:v>
      </x:c>
      <x:c r="J27" s="170" t="n">
        <x:f>H27-I27</x:f>
        <x:v>0</x:v>
      </x:c>
      <x:c r="K27" s="76" t="str">
        <x:v>Kohat_Cement_Annual_Report-2024.pdf</x:v>
      </x:c>
      <x:c r="L27" s="76" t="n">
        <x:v>59</x:v>
      </x:c>
      <x:c r="M27" s="76" t="str">
        <x:v>Comparative</x:v>
      </x:c>
      <x:c r="N27" s="99" t="str">
        <x:v>Printed amount independently located</x:v>
      </x:c>
      <x:c r="O27" s="99" t="str">
        <x:v>Exact source amount found; audited year/current-comparative column recorded. Accounting subtotal tests performed separately.</x:v>
      </x:c>
      <x:c r="P27" s="99" t="str">
        <x:v>ote Rupees Rupees
   Restated
ASSETS
Non current assets 
Property, plant and equipment 14  22,157,690,533   22,229,434,463 
Intangibles 15  508,226   1,567,709 
Long term loans and advances 16  21,170,394   17,429,341 
Long term deposits 17  43,356,640   43,356,640 
Investment property 18 4,326,361,559  4,324,910,743 
    26,549,087,352</x:v>
      </x:c>
    </x:row>
    <x:row r="28" ht="82" customHeight="1">
      <x:c r="A28" s="168" t="str">
        <x:v>KOHC|intang|2024</x:v>
      </x:c>
      <x:c r="B28" s="168" t="str">
        <x:v>KOHC</x:v>
      </x:c>
      <x:c r="C28" s="168" t="str">
        <x:v>FY2024</x:v>
      </x:c>
      <x:c r="D28" s="168" t="str">
        <x:v>Intangible assets</x:v>
      </x:c>
      <x:c r="E28" s="169" t="n">
        <x:v>508226</x:v>
      </x:c>
      <x:c r="F28" s="169" t="n">
        <x:v>508226</x:v>
      </x:c>
      <x:c r="G28" s="169" t="str">
        <x:v>Rupees</x:v>
      </x:c>
      <x:c r="H28" s="169" t="n">
        <x:f>F28/1000000</x:f>
        <x:v>0.508226</x:v>
      </x:c>
      <x:c r="I28" s="169" t="n">
        <x:f>KOHC!G24</x:f>
        <x:v>0.508226</x:v>
      </x:c>
      <x:c r="J28" s="169" t="n">
        <x:f>H28-I28</x:f>
        <x:v>0</x:v>
      </x:c>
      <x:c r="K28" s="168" t="str">
        <x:v>Kohat_Cement_Annual_Report_2025.pdf</x:v>
      </x:c>
      <x:c r="L28" s="168" t="n">
        <x:v>69</x:v>
      </x:c>
      <x:c r="M28" s="168" t="str">
        <x:v>Comparative</x:v>
      </x:c>
      <x:c r="N28" s="171" t="str">
        <x:v>Printed amount independently located</x:v>
      </x:c>
      <x:c r="O28" s="171" t="str">
        <x:v>Exact source amount found; audited year/current-comparative column recorded. Accounting subtotal tests performed separately.</x:v>
      </x:c>
      <x:c r="P28" s="171" t="str">
        <x:v>025 2024
 Note Rupees Rupees
ASSETS 
Non current assets 
Property, plant and equipment 13  23,359,980,509   22,156,640,533 
Intangibles 14  259,742   508,226 
Long term loans and advances 15  434,691,328   89,361,970 
Long term deposits 16  58,226,136   58,026,136 
Investment property 17  4,326,361,559   4,326,361,559 
     28,179,519,</x:v>
      </x:c>
    </x:row>
    <x:row r="29" ht="82" customHeight="1">
      <x:c r="A29" s="76" t="str">
        <x:v>KOHC|intang|2025</x:v>
      </x:c>
      <x:c r="B29" s="76" t="str">
        <x:v>KOHC</x:v>
      </x:c>
      <x:c r="C29" s="76" t="str">
        <x:v>FY2025</x:v>
      </x:c>
      <x:c r="D29" s="76" t="str">
        <x:v>Intangible assets</x:v>
      </x:c>
      <x:c r="E29" s="170" t="n">
        <x:v>259742</x:v>
      </x:c>
      <x:c r="F29" s="170" t="n">
        <x:v>259742</x:v>
      </x:c>
      <x:c r="G29" s="170" t="str">
        <x:v>Rupees</x:v>
      </x:c>
      <x:c r="H29" s="170" t="n">
        <x:f>F29/1000000</x:f>
        <x:v>0.259742</x:v>
      </x:c>
      <x:c r="I29" s="170" t="n">
        <x:f>KOHC!H24</x:f>
        <x:v>0.259742</x:v>
      </x:c>
      <x:c r="J29" s="170" t="n">
        <x:f>H29-I29</x:f>
        <x:v>0</x:v>
      </x:c>
      <x:c r="K29" s="76" t="str">
        <x:v>Kohat_Cement_Annual_Report_2025.pdf</x:v>
      </x:c>
      <x:c r="L29" s="76" t="n">
        <x:v>69</x:v>
      </x:c>
      <x:c r="M29" s="76" t="str">
        <x:v>Current year</x:v>
      </x:c>
      <x:c r="N29" s="99" t="str">
        <x:v>Printed amount independently located</x:v>
      </x:c>
      <x:c r="O29" s="99" t="str">
        <x:v>Exact source amount found; audited year/current-comparative column recorded. Accounting subtotal tests performed separately.</x:v>
      </x:c>
      <x:c r="P29" s="99" t="str">
        <x:v>67
  2025 2024
 Note Rupees Rupees
ASSETS 
Non current assets 
Property, plant and equipment 13  23,359,980,509   22,156,640,533 
Intangibles 14  259,742   508,226 
Long term loans and advances 15  434,691,328   89,361,970 
Long term deposits 16  58,226,136   58,026,136 
Investment property 17  4,326,361,559   4,326,361,559 
     2</x:v>
      </x:c>
    </x:row>
    <x:row r="30" ht="82" customHeight="1">
      <x:c r="A30" s="168" t="str">
        <x:v>KOHC|inv_prop|2020</x:v>
      </x:c>
      <x:c r="B30" s="168" t="str">
        <x:v>KOHC</x:v>
      </x:c>
      <x:c r="C30" s="168" t="str">
        <x:v>FY2020</x:v>
      </x:c>
      <x:c r="D30" s="168" t="str">
        <x:v>Investment property</x:v>
      </x:c>
      <x:c r="E30" s="169" t="n">
        <x:v>3691839635</x:v>
      </x:c>
      <x:c r="F30" s="169" t="n">
        <x:v>3691839635</x:v>
      </x:c>
      <x:c r="G30" s="169" t="str">
        <x:v>Rupees</x:v>
      </x:c>
      <x:c r="H30" s="169" t="n">
        <x:f>F30/1000000</x:f>
        <x:v>3691.839635</x:v>
      </x:c>
      <x:c r="I30" s="169" t="n">
        <x:f>KOHC!C25</x:f>
        <x:v>3691.839635</x:v>
      </x:c>
      <x:c r="J30" s="169" t="n">
        <x:f>H30-I30</x:f>
        <x:v>0</x:v>
      </x:c>
      <x:c r="K30" s="168" t="str">
        <x:v>KOHC_AR_2021.pdf</x:v>
      </x:c>
      <x:c r="L30" s="168" t="n">
        <x:v>45</x:v>
      </x:c>
      <x:c r="M30" s="168" t="str">
        <x:v>Comparative</x:v>
      </x:c>
      <x:c r="N30" s="171" t="str">
        <x:v>Printed amount independently located</x:v>
      </x:c>
      <x:c r="O30" s="171" t="str">
        <x:v>Exact source amount found; audited year/current-comparative column recorded. Accounting subtotal tests performed separately.</x:v>
      </x:c>
      <x:c r="P30" s="171" t="str">
        <x:v>013   22,777,666,271 
Intangibles 16  6,725,911   11,210,982 
Long term deposits 17  43,326,640   38,326,640 
Investment property 18  4,136,086,159   3,691,839,635 
     26,238,122,723   26,519,043,528 
Current assets 
Stores, spares and loose tools 19  3,070,769,101   2,250,156,437 
Stock-in-trade 20  1,112,776,266   1,016,024,223 
Trade</x:v>
      </x:c>
    </x:row>
    <x:row r="31" ht="82" customHeight="1">
      <x:c r="A31" s="76" t="str">
        <x:v>KOHC|inv_prop|2021</x:v>
      </x:c>
      <x:c r="B31" s="76" t="str">
        <x:v>KOHC</x:v>
      </x:c>
      <x:c r="C31" s="76" t="str">
        <x:v>FY2021</x:v>
      </x:c>
      <x:c r="D31" s="76" t="str">
        <x:v>Investment property</x:v>
      </x:c>
      <x:c r="E31" s="170" t="n">
        <x:v>4134086159</x:v>
      </x:c>
      <x:c r="F31" s="170" t="n">
        <x:v>4134086159</x:v>
      </x:c>
      <x:c r="G31" s="170" t="str">
        <x:v>Rupees</x:v>
      </x:c>
      <x:c r="H31" s="170" t="n">
        <x:f>F31/1000000</x:f>
        <x:v>4134.086159</x:v>
      </x:c>
      <x:c r="I31" s="170" t="n">
        <x:f>KOHC!D25</x:f>
        <x:v>4134.086159</x:v>
      </x:c>
      <x:c r="J31" s="170" t="n">
        <x:f>H31-I31</x:f>
        <x:v>0</x:v>
      </x:c>
      <x:c r="K31" s="76" t="str">
        <x:v>Kohat_Cement_AR_2022.pdf</x:v>
      </x:c>
      <x:c r="L31" s="76" t="n">
        <x:v>53</x:v>
      </x:c>
      <x:c r="M31" s="76" t="str">
        <x:v>Comparative</x:v>
      </x:c>
      <x:c r="N31" s="99" t="str">
        <x:v>Printed amount independently located</x:v>
      </x:c>
      <x:c r="O31" s="99" t="str">
        <x:v>Exact source amount found; audited year/current-comparative column recorded. Accounting subtotal tests performed separately.</x:v>
      </x:c>
      <x:c r="P31" s="99" t="str">
        <x:v>11 
Long term loans and advances 17  63,226,829   26,439,100 
Long term deposits 18  43,356,640   43,326,640 
Investment property 19  4,134,255,209   4,134,086,159 
     25,574,836,397   26,238,122,723 
Current assets 
Stores, spares and loose tools 20  4,214,829,636   3,070,769,101 
Stock-in-trade 21  1,456,156,782   1,112,776,266 
Trade de</x:v>
      </x:c>
    </x:row>
    <x:row r="32" ht="82" customHeight="1">
      <x:c r="A32" s="168" t="str">
        <x:v>KOHC|inv_prop|2022</x:v>
      </x:c>
      <x:c r="B32" s="168" t="str">
        <x:v>KOHC</x:v>
      </x:c>
      <x:c r="C32" s="168" t="str">
        <x:v>FY2022</x:v>
      </x:c>
      <x:c r="D32" s="168" t="str">
        <x:v>Investment property</x:v>
      </x:c>
      <x:c r="E32" s="169" t="n">
        <x:v>4134255209</x:v>
      </x:c>
      <x:c r="F32" s="169" t="n">
        <x:v>4134255209</x:v>
      </x:c>
      <x:c r="G32" s="169" t="str">
        <x:v>Rupees</x:v>
      </x:c>
      <x:c r="H32" s="169" t="n">
        <x:f>F32/1000000</x:f>
        <x:v>4134.255209</x:v>
      </x:c>
      <x:c r="I32" s="169" t="n">
        <x:f>KOHC!E25</x:f>
        <x:v>4134.255209</x:v>
      </x:c>
      <x:c r="J32" s="169" t="n">
        <x:f>H32-I32</x:f>
        <x:v>0</x:v>
      </x:c>
      <x:c r="K32" s="168" t="str">
        <x:v>Financial_Statements-30-06-2023.pdf</x:v>
      </x:c>
      <x:c r="L32" s="168" t="n">
        <x:v>53</x:v>
      </x:c>
      <x:c r="M32" s="168" t="str">
        <x:v>Comparative</x:v>
      </x:c>
      <x:c r="N32" s="171" t="str">
        <x:v>Printed amount independently located</x:v>
      </x:c>
      <x:c r="O32" s="171" t="str">
        <x:v>Exact source amount found; audited year/current-comparative column recorded. Accounting subtotal tests performed separately.</x:v>
      </x:c>
      <x:c r="P32" s="171" t="str">
        <x:v>57 
Long term loans and advances 17  17,429,341   63,226,829 
Long term deposits 18  43,356,640   43,356,640 
Investment property 19  4,324,910,743   4,134,255,209 
     26,616,698,896   25,574,836,397
Current assets 
Stores, spares and loose tools 20  4,713,129,764   4,214,829,636 
Stock-in-trade 21  2,942,861,554   1,456,156,782 
Trade d</x:v>
      </x:c>
    </x:row>
    <x:row r="33" ht="82" customHeight="1">
      <x:c r="A33" s="76" t="str">
        <x:v>KOHC|inv_prop|2023</x:v>
      </x:c>
      <x:c r="B33" s="76" t="str">
        <x:v>KOHC</x:v>
      </x:c>
      <x:c r="C33" s="76" t="str">
        <x:v>FY2023</x:v>
      </x:c>
      <x:c r="D33" s="76" t="str">
        <x:v>Investment property</x:v>
      </x:c>
      <x:c r="E33" s="170" t="n">
        <x:v>4324910743</x:v>
      </x:c>
      <x:c r="F33" s="170" t="n">
        <x:v>4324910743</x:v>
      </x:c>
      <x:c r="G33" s="170" t="str">
        <x:v>Rupees</x:v>
      </x:c>
      <x:c r="H33" s="170" t="n">
        <x:f>F33/1000000</x:f>
        <x:v>4324.910743</x:v>
      </x:c>
      <x:c r="I33" s="170" t="n">
        <x:f>KOHC!F25</x:f>
        <x:v>4324.910743</x:v>
      </x:c>
      <x:c r="J33" s="170" t="n">
        <x:f>H33-I33</x:f>
        <x:v>0</x:v>
      </x:c>
      <x:c r="K33" s="76" t="str">
        <x:v>Kohat_Cement_Annual_Report-2024.pdf</x:v>
      </x:c>
      <x:c r="L33" s="76" t="n">
        <x:v>59</x:v>
      </x:c>
      <x:c r="M33" s="76" t="str">
        <x:v>Comparative</x:v>
      </x:c>
      <x:c r="N33" s="99" t="str">
        <x:v>Printed amount independently located</x:v>
      </x:c>
      <x:c r="O33" s="99" t="str">
        <x:v>Exact source amount found; audited year/current-comparative column recorded. Accounting subtotal tests performed separately.</x:v>
      </x:c>
      <x:c r="P33" s="99" t="str">
        <x:v>,709 
Long term loans and advances 16  21,170,394   17,429,341 
Long term deposits 17  43,356,640   43,356,640 
Investment property 18 4,326,361,559  4,324,910,743 
    26,549,087,352  26,616,698,896 
Current assets 
Stores, spares and loose tools 19  5,785,683,486   4,713,129,764 
Stock-in-trade 20 1,793,742,440  2,942,861,554 
Trade debts</x:v>
      </x:c>
    </x:row>
    <x:row r="34" ht="82" customHeight="1">
      <x:c r="A34" s="168" t="str">
        <x:v>KOHC|inv_prop|2024</x:v>
      </x:c>
      <x:c r="B34" s="168" t="str">
        <x:v>KOHC</x:v>
      </x:c>
      <x:c r="C34" s="168" t="str">
        <x:v>FY2024</x:v>
      </x:c>
      <x:c r="D34" s="168" t="str">
        <x:v>Investment property</x:v>
      </x:c>
      <x:c r="E34" s="169" t="n">
        <x:v>4326361559</x:v>
      </x:c>
      <x:c r="F34" s="169" t="n">
        <x:v>4326361559</x:v>
      </x:c>
      <x:c r="G34" s="169" t="str">
        <x:v>Rupees</x:v>
      </x:c>
      <x:c r="H34" s="169" t="n">
        <x:f>F34/1000000</x:f>
        <x:v>4326.361559</x:v>
      </x:c>
      <x:c r="I34" s="169" t="n">
        <x:f>KOHC!G25</x:f>
        <x:v>4326.361559</x:v>
      </x:c>
      <x:c r="J34" s="169" t="n">
        <x:f>H34-I34</x:f>
        <x:v>0</x:v>
      </x:c>
      <x:c r="K34" s="168" t="str">
        <x:v>Kohat_Cement_Annual_Report_2025.pdf</x:v>
      </x:c>
      <x:c r="L34" s="168" t="n">
        <x:v>69</x:v>
      </x:c>
      <x:c r="M34" s="168" t="str">
        <x:v>Comparative</x:v>
      </x:c>
      <x:c r="N34" s="171" t="str">
        <x:v>Printed amount independently located</x:v>
      </x:c>
      <x:c r="O34" s="171" t="str">
        <x:v>Exact source amount found; audited year/current-comparative column recorded. Accounting subtotal tests performed separately.</x:v>
      </x:c>
      <x:c r="P34" s="171" t="str">
        <x:v>259,742   508,226 
Long term loans and advances 15  434,691,328   89,361,970 
Long term deposits 16  58,226,136   58,026,136 
Investment property 17  4,326,361,559   4,326,361,559 
     28,179,519,274   26,630,898,424 
Current assets 
Stores, spares and loose tools 18  4,991,311,475   5,785,683,486 
Stock-in-trade 19  2,513,556,552   1,793,7</x:v>
      </x:c>
    </x:row>
    <x:row r="35" ht="82" customHeight="1">
      <x:c r="A35" s="76" t="str">
        <x:v>KOHC|inv_prop|2025</x:v>
      </x:c>
      <x:c r="B35" s="76" t="str">
        <x:v>KOHC</x:v>
      </x:c>
      <x:c r="C35" s="76" t="str">
        <x:v>FY2025</x:v>
      </x:c>
      <x:c r="D35" s="76" t="str">
        <x:v>Investment property</x:v>
      </x:c>
      <x:c r="E35" s="170" t="n">
        <x:v>4326361559</x:v>
      </x:c>
      <x:c r="F35" s="170" t="n">
        <x:v>4326361559</x:v>
      </x:c>
      <x:c r="G35" s="170" t="str">
        <x:v>Rupees</x:v>
      </x:c>
      <x:c r="H35" s="170" t="n">
        <x:f>F35/1000000</x:f>
        <x:v>4326.361559</x:v>
      </x:c>
      <x:c r="I35" s="170" t="n">
        <x:f>KOHC!H25</x:f>
        <x:v>4326.361559</x:v>
      </x:c>
      <x:c r="J35" s="170" t="n">
        <x:f>H35-I35</x:f>
        <x:v>0</x:v>
      </x:c>
      <x:c r="K35" s="76" t="str">
        <x:v>Kohat_Cement_Annual_Report_2025.pdf</x:v>
      </x:c>
      <x:c r="L35" s="76" t="n">
        <x:v>69</x:v>
      </x:c>
      <x:c r="M35" s="76" t="str">
        <x:v>Current year</x:v>
      </x:c>
      <x:c r="N35" s="99" t="str">
        <x:v>Printed amount independently located</x:v>
      </x:c>
      <x:c r="O35" s="99" t="str">
        <x:v>Exact source amount found; audited year/current-comparative column recorded. Accounting subtotal tests performed separately.</x:v>
      </x:c>
      <x:c r="P35" s="99" t="str">
        <x:v>259,742   508,226 
Long term loans and advances 15  434,691,328   89,361,970 
Long term deposits 16  58,226,136   58,026,136 
Investment property 17  4,326,361,559   4,326,361,559 
     28,179,519,274   26,630,898,424 
Current assets 
Stores, spares and loose tools 18  4,991,311,475   5,785,683,486 
Stock-in-trade 19  2,513,556,552   1,793,7</x:v>
      </x:c>
    </x:row>
    <x:row r="36" ht="82" customHeight="1">
      <x:c r="A36" s="168" t="str">
        <x:v>KOHC|lt_inv|2020</x:v>
      </x:c>
      <x:c r="B36" s="168" t="str">
        <x:v>KOHC</x:v>
      </x:c>
      <x:c r="C36" s="168" t="str">
        <x:v>FY2020</x:v>
      </x:c>
      <x:c r="D36" s="168" t="str">
        <x:v>Long-term investments</x:v>
      </x:c>
      <x:c r="E36" s="169" t="n">
        <x:v>0</x:v>
      </x:c>
      <x:c r="F36" s="169" t="n">
        <x:v>0</x:v>
      </x:c>
      <x:c r="G36" s="169" t="str">
        <x:v>Rupees</x:v>
      </x:c>
      <x:c r="H36" s="169" t="n">
        <x:f>F36/1000000</x:f>
        <x:v>0</x:v>
      </x:c>
      <x:c r="I36" s="169" t="n">
        <x:f>KOHC!C26</x:f>
        <x:v>0</x:v>
      </x:c>
      <x:c r="J36" s="169" t="n">
        <x:f>H36-I36</x:f>
        <x:v>0</x:v>
      </x:c>
      <x:c r="K36" s="168" t="str">
        <x:v>KOHC_AR_2021.pdf</x:v>
      </x:c>
      <x:c r="L36" s="168" t="n">
        <x:v>44</x:v>
      </x:c>
      <x:c r="M36" s="168" t="str">
        <x:v>Comparative</x:v>
      </x:c>
      <x:c r="N36" s="171" t="str">
        <x:v>Zero / no separate line in audited presentation</x:v>
      </x:c>
      <x:c r="O36" s="171" t="str">
        <x:v>Zero classification checked within the audited statement/note and reconstructed statement totals; absence of a separate line does not imply a missing replacement estimate.</x:v>
      </x:c>
      <x:c r="P36" s="171" t="str">
        <x:v>
STATEMENT OF 
FINANCIAL POSITION 
As at 30 June 2021
   (Restated)
  2021 2020
 Note Rupees Rupees
EQUITY AND LIABILITIES
Authorized share capital 4  | Long-term investments</x:v>
      </x:c>
    </x:row>
    <x:row r="37" ht="82" customHeight="1">
      <x:c r="A37" s="76" t="str">
        <x:v>KOHC|lt_inv|2021</x:v>
      </x:c>
      <x:c r="B37" s="76" t="str">
        <x:v>KOHC</x:v>
      </x:c>
      <x:c r="C37" s="76" t="str">
        <x:v>FY2021</x:v>
      </x:c>
      <x:c r="D37" s="76" t="str">
        <x:v>Long-term investments</x:v>
      </x:c>
      <x:c r="E37" s="170" t="n">
        <x:v>0</x:v>
      </x:c>
      <x:c r="F37" s="170" t="n">
        <x:v>0</x:v>
      </x:c>
      <x:c r="G37" s="170" t="str">
        <x:v>Rupees</x:v>
      </x:c>
      <x:c r="H37" s="170" t="n">
        <x:f>F37/1000000</x:f>
        <x:v>0</x:v>
      </x:c>
      <x:c r="I37" s="170" t="n">
        <x:f>KOHC!D26</x:f>
        <x:v>0</x:v>
      </x:c>
      <x:c r="J37" s="170" t="n">
        <x:f>H37-I37</x:f>
        <x:v>0</x:v>
      </x:c>
      <x:c r="K37" s="76" t="str">
        <x:v>Kohat_Cement_AR_2022.pdf</x:v>
      </x:c>
      <x:c r="L37" s="76" t="n">
        <x:v>52</x:v>
      </x:c>
      <x:c r="M37" s="76" t="str">
        <x:v>Comparative</x:v>
      </x:c>
      <x:c r="N37" s="99" t="str">
        <x:v>Zero / no separate line in audited presentation</x:v>
      </x:c>
      <x:c r="O37" s="99" t="str">
        <x:v>Zero classification checked within the audited statement/note and reconstructed statement totals; absence of a separate line does not imply a missing replacement estimate.</x:v>
      </x:c>
      <x:c r="P37" s="99" t="str">
        <x:v>
STATEMENT OF 
FINANCIAL POSITION 
As at 30 June 2022
  2022 2021
 Note Rupees Rupees
EQUITY AND LIABILITIES 
Authorized share capital 4  3,000,000,00 | Long-term investments</x:v>
      </x:c>
    </x:row>
    <x:row r="38" ht="82" customHeight="1">
      <x:c r="A38" s="168" t="str">
        <x:v>KOHC|lt_inv|2022</x:v>
      </x:c>
      <x:c r="B38" s="168" t="str">
        <x:v>KOHC</x:v>
      </x:c>
      <x:c r="C38" s="168" t="str">
        <x:v>FY2022</x:v>
      </x:c>
      <x:c r="D38" s="168" t="str">
        <x:v>Long-term investments</x:v>
      </x:c>
      <x:c r="E38" s="169" t="n">
        <x:v>0</x:v>
      </x:c>
      <x:c r="F38" s="169" t="n">
        <x:v>0</x:v>
      </x:c>
      <x:c r="G38" s="169" t="str">
        <x:v>Rupees</x:v>
      </x:c>
      <x:c r="H38" s="169" t="n">
        <x:f>F38/1000000</x:f>
        <x:v>0</x:v>
      </x:c>
      <x:c r="I38" s="169" t="n">
        <x:f>KOHC!E26</x:f>
        <x:v>0</x:v>
      </x:c>
      <x:c r="J38" s="169" t="n">
        <x:f>H38-I38</x:f>
        <x:v>0</x:v>
      </x:c>
      <x:c r="K38" s="168" t="str">
        <x:v>Financial_Statements-30-06-2023.pdf</x:v>
      </x:c>
      <x:c r="L38" s="168" t="n">
        <x:v>52</x:v>
      </x:c>
      <x:c r="M38" s="168" t="str">
        <x:v>Comparative</x:v>
      </x:c>
      <x:c r="N38" s="171" t="str">
        <x:v>Zero / no separate line in audited presentation</x:v>
      </x:c>
      <x:c r="O38" s="171" t="str">
        <x:v>Zero classification checked within the audited statement/note and reconstructed statement totals; absence of a separate line does not imply a missing replacement estimate.</x:v>
      </x:c>
      <x:c r="P38" s="171" t="str">
        <x:v>
50
STATEMENT OF 
FINANCIAL POSITION 
As at 30 June 2023
  2023 2022
 Note Rupees Rupees
EQUITY AND LIABILITIES 
Authorized share capital 4  3,000,000 | Long-term investments</x:v>
      </x:c>
    </x:row>
    <x:row r="39" ht="82" customHeight="1">
      <x:c r="A39" s="76" t="str">
        <x:v>KOHC|lt_inv|2023</x:v>
      </x:c>
      <x:c r="B39" s="76" t="str">
        <x:v>KOHC</x:v>
      </x:c>
      <x:c r="C39" s="76" t="str">
        <x:v>FY2023</x:v>
      </x:c>
      <x:c r="D39" s="76" t="str">
        <x:v>Long-term investments</x:v>
      </x:c>
      <x:c r="E39" s="170" t="n">
        <x:v>0</x:v>
      </x:c>
      <x:c r="F39" s="170" t="n">
        <x:v>0</x:v>
      </x:c>
      <x:c r="G39" s="170" t="str">
        <x:v>Rupees</x:v>
      </x:c>
      <x:c r="H39" s="170" t="n">
        <x:f>F39/1000000</x:f>
        <x:v>0</x:v>
      </x:c>
      <x:c r="I39" s="170" t="n">
        <x:f>KOHC!F26</x:f>
        <x:v>0</x:v>
      </x:c>
      <x:c r="J39" s="170" t="n">
        <x:f>H39-I39</x:f>
        <x:v>0</x:v>
      </x:c>
      <x:c r="K39" s="76" t="str">
        <x:v>Kohat_Cement_Annual_Report-2024.pdf</x:v>
      </x:c>
      <x:c r="L39" s="76" t="n">
        <x:v>58</x:v>
      </x:c>
      <x:c r="M39" s="76" t="str">
        <x:v>Comparative</x:v>
      </x:c>
      <x:c r="N39" s="99" t="str">
        <x:v>Zero / no separate line in audited presentation</x:v>
      </x:c>
      <x:c r="O39" s="99" t="str">
        <x:v>Zero classification checked within the audited statement/note and reconstructed statement totals; absence of a separate line does not imply a missing replacement estimate.</x:v>
      </x:c>
      <x:c r="P39" s="99" t="str">
        <x:v>
56
STATEMENT OF 
FINANCIAL POSITION 
As at 30 June 2024
  2024 2023
 Note Rupees Rupees
   Restated
EQUITY AND LIABILITIES
Authorized share capital 4 | Long-term investments</x:v>
      </x:c>
    </x:row>
    <x:row r="40" ht="82" customHeight="1">
      <x:c r="A40" s="168" t="str">
        <x:v>KOHC|lt_inv|2024</x:v>
      </x:c>
      <x:c r="B40" s="168" t="str">
        <x:v>KOHC</x:v>
      </x:c>
      <x:c r="C40" s="168" t="str">
        <x:v>FY2024</x:v>
      </x:c>
      <x:c r="D40" s="168" t="str">
        <x:v>Long-term investments</x:v>
      </x:c>
      <x:c r="E40" s="169" t="n">
        <x:v>0</x:v>
      </x:c>
      <x:c r="F40" s="169" t="n">
        <x:v>0</x:v>
      </x:c>
      <x:c r="G40" s="169" t="str">
        <x:v>Rupees</x:v>
      </x:c>
      <x:c r="H40" s="169" t="n">
        <x:f>F40/1000000</x:f>
        <x:v>0</x:v>
      </x:c>
      <x:c r="I40" s="169" t="n">
        <x:f>KOHC!G26</x:f>
        <x:v>0</x:v>
      </x:c>
      <x:c r="J40" s="169" t="n">
        <x:f>H40-I40</x:f>
        <x:v>0</x:v>
      </x:c>
      <x:c r="K40" s="168" t="str">
        <x:v>Kohat_Cement_Annual_Report_2025.pdf</x:v>
      </x:c>
      <x:c r="L40" s="168" t="n">
        <x:v>68</x:v>
      </x:c>
      <x:c r="M40" s="168" t="str">
        <x:v>Comparative</x:v>
      </x:c>
      <x:c r="N40" s="171" t="str">
        <x:v>Zero / no separate line in audited presentation</x:v>
      </x:c>
      <x:c r="O40" s="171" t="str">
        <x:v>Zero classification checked within the audited statement/note and reconstructed statement totals; absence of a separate line does not imply a missing replacement estimate.</x:v>
      </x:c>
      <x:c r="P40" s="171" t="str">
        <x:v>
66
STATEMENT OF 
FINANCIAL POSITION 
As at June 30, 2025
  2025 2024
 Note Rupees Rupees
EQUITY AND LIABILITIES 
Authorized share capital 4  3,000,00 | Long-term investments</x:v>
      </x:c>
    </x:row>
    <x:row r="41" ht="82" customHeight="1">
      <x:c r="A41" s="76" t="str">
        <x:v>KOHC|lt_inv|2025</x:v>
      </x:c>
      <x:c r="B41" s="76" t="str">
        <x:v>KOHC</x:v>
      </x:c>
      <x:c r="C41" s="76" t="str">
        <x:v>FY2025</x:v>
      </x:c>
      <x:c r="D41" s="76" t="str">
        <x:v>Long-term investments</x:v>
      </x:c>
      <x:c r="E41" s="170" t="n">
        <x:v>0</x:v>
      </x:c>
      <x:c r="F41" s="170" t="n">
        <x:v>0</x:v>
      </x:c>
      <x:c r="G41" s="170" t="str">
        <x:v>Rupees</x:v>
      </x:c>
      <x:c r="H41" s="170" t="n">
        <x:f>F41/1000000</x:f>
        <x:v>0</x:v>
      </x:c>
      <x:c r="I41" s="170" t="n">
        <x:f>KOHC!H26</x:f>
        <x:v>0</x:v>
      </x:c>
      <x:c r="J41" s="170" t="n">
        <x:f>H41-I41</x:f>
        <x:v>0</x:v>
      </x:c>
      <x:c r="K41" s="76" t="str">
        <x:v>Kohat_Cement_Annual_Report_2025.pdf</x:v>
      </x:c>
      <x:c r="L41" s="76" t="n">
        <x:v>68</x:v>
      </x:c>
      <x:c r="M41" s="76" t="str">
        <x:v>Current year</x:v>
      </x:c>
      <x:c r="N41" s="99" t="str">
        <x:v>Zero / no separate line in audited presentation</x:v>
      </x:c>
      <x:c r="O41" s="99" t="str">
        <x:v>Zero classification checked within the audited statement/note and reconstructed statement totals; absence of a separate line does not imply a missing replacement estimate.</x:v>
      </x:c>
      <x:c r="P41" s="99" t="str">
        <x:v>
66
STATEMENT OF 
FINANCIAL POSITION 
As at June 30, 2025
  2025 2024
 Note Rupees Rupees
EQUITY AND LIABILITIES 
Authorized share capital 4  3,000,00 | Long-term investments</x:v>
      </x:c>
    </x:row>
    <x:row r="42" ht="82" customHeight="1">
      <x:c r="A42" s="168" t="str">
        <x:v>KOHC|nca_other|2020</x:v>
      </x:c>
      <x:c r="B42" s="168" t="str">
        <x:v>KOHC</x:v>
      </x:c>
      <x:c r="C42" s="168" t="str">
        <x:v>FY2020</x:v>
      </x:c>
      <x:c r="D42" s="168" t="str">
        <x:v>Other non-current assets</x:v>
      </x:c>
      <x:c r="E42" s="169" t="n">
        <x:v>38326640</x:v>
      </x:c>
      <x:c r="F42" s="169" t="n">
        <x:v>38326640</x:v>
      </x:c>
      <x:c r="G42" s="169" t="str">
        <x:v>Rupees</x:v>
      </x:c>
      <x:c r="H42" s="169" t="n">
        <x:f>F42/1000000</x:f>
        <x:v>38.32664</x:v>
      </x:c>
      <x:c r="I42" s="169" t="n">
        <x:f>KOHC!C27</x:f>
        <x:v>38.32664</x:v>
      </x:c>
      <x:c r="J42" s="169" t="n">
        <x:f>H42-I42</x:f>
        <x:v>0</x:v>
      </x:c>
      <x:c r="K42" s="168" t="str">
        <x:v>KOHC_AR_2021.pdf</x:v>
      </x:c>
      <x:c r="L42" s="168" t="n">
        <x:v>45</x:v>
      </x:c>
      <x:c r="M42" s="168" t="str">
        <x:v>Comparative</x:v>
      </x:c>
      <x:c r="N42" s="171" t="str">
        <x:v>Printed amount independently located</x:v>
      </x:c>
      <x:c r="O42" s="171" t="str">
        <x:v>Exact source amount found; audited year/current-comparative column recorded. Accounting subtotal tests performed separately.</x:v>
      </x:c>
      <x:c r="P42" s="171" t="str">
        <x:v>ssets 
Property, plant and equipment 15  22,051,984,013   22,777,666,271 
Intangibles 16  6,725,911   11,210,982 
Long term deposits 17  43,326,640   38,326,640 
Investment property 18  4,136,086,159   3,691,839,635 
     26,238,122,723   26,519,043,528 
Current assets 
Stores, spares and loose tools 19  3,070,769,101   2,250,156,437 
S</x:v>
      </x:c>
    </x:row>
    <x:row r="43" ht="82" customHeight="1">
      <x:c r="A43" s="76" t="str">
        <x:v>KOHC|nca_other|2021</x:v>
      </x:c>
      <x:c r="B43" s="76" t="str">
        <x:v>KOHC</x:v>
      </x:c>
      <x:c r="C43" s="76" t="str">
        <x:v>FY2021</x:v>
      </x:c>
      <x:c r="D43" s="76" t="str">
        <x:v>Other non-current assets</x:v>
      </x:c>
      <x:c r="E43" s="170" t="n">
        <x:v>69765740</x:v>
      </x:c>
      <x:c r="F43" s="170" t="n">
        <x:v>69765740</x:v>
      </x:c>
      <x:c r="G43" s="170" t="str">
        <x:v>Rupees</x:v>
      </x:c>
      <x:c r="H43" s="170" t="n">
        <x:f>F43/1000000</x:f>
        <x:v>69.76574</x:v>
      </x:c>
      <x:c r="I43" s="170" t="n">
        <x:f>KOHC!D27</x:f>
        <x:v>69.76574</x:v>
      </x:c>
      <x:c r="J43" s="170" t="n">
        <x:f>H43-I43</x:f>
        <x:v>0</x:v>
      </x:c>
      <x:c r="K43" s="76" t="str">
        <x:v>Kohat_Cement_AR_2022.pdf</x:v>
      </x:c>
      <x:c r="L43" s="76" t="n">
        <x:v>53</x:v>
      </x:c>
      <x:c r="M43" s="76" t="str">
        <x:v>Comparative</x:v>
      </x:c>
      <x:c r="N43" s="99" t="str">
        <x:v>Aggregated audited components</x:v>
      </x:c>
      <x:c r="O43" s="99" t="str">
        <x:v>Source-labelled component sum; statement controls and signed-unit conversion independently recomputed.</x:v>
      </x:c>
      <x:c r="P43" s="99" t="str">
        <x:v>
  2022 2021
 Note Rupees Rupees
ASSETS 
Non current assets 
Property, plant and equipment 15  21,331,296,362   22,027,544,913 
Intangibles 16  2,701,357   6,725,911 
Long term loa | Components: Long term deposits; Long term loans and advances</x:v>
      </x:c>
    </x:row>
    <x:row r="44" ht="82" customHeight="1">
      <x:c r="A44" s="168" t="str">
        <x:v>KOHC|nca_other|2022</x:v>
      </x:c>
      <x:c r="B44" s="168" t="str">
        <x:v>KOHC</x:v>
      </x:c>
      <x:c r="C44" s="168" t="str">
        <x:v>FY2022</x:v>
      </x:c>
      <x:c r="D44" s="168" t="str">
        <x:v>Other non-current assets</x:v>
      </x:c>
      <x:c r="E44" s="169" t="n">
        <x:v>106583469</x:v>
      </x:c>
      <x:c r="F44" s="169" t="n">
        <x:v>106583469</x:v>
      </x:c>
      <x:c r="G44" s="169" t="str">
        <x:v>Rupees</x:v>
      </x:c>
      <x:c r="H44" s="169" t="n">
        <x:f>F44/1000000</x:f>
        <x:v>106.583469</x:v>
      </x:c>
      <x:c r="I44" s="169" t="n">
        <x:f>KOHC!E27</x:f>
        <x:v>106.583469</x:v>
      </x:c>
      <x:c r="J44" s="169" t="n">
        <x:f>H44-I44</x:f>
        <x:v>0</x:v>
      </x:c>
      <x:c r="K44" s="168" t="str">
        <x:v>Financial_Statements-30-06-2023.pdf</x:v>
      </x:c>
      <x:c r="L44" s="168" t="n">
        <x:v>53</x:v>
      </x:c>
      <x:c r="M44" s="168" t="str">
        <x:v>Comparative</x:v>
      </x:c>
      <x:c r="N44" s="171" t="str">
        <x:v>Aggregated audited components</x:v>
      </x:c>
      <x:c r="O44" s="171" t="str">
        <x:v>Source-labelled component sum; statement controls and signed-unit conversion independently recomputed.</x:v>
      </x:c>
      <x:c r="P44" s="171" t="str">
        <x:v>
Annual Report 2023
Shaping the
Future
51
  2023 2022
 Note Rupees Rupees
ASSETS 
Non current assets 
Property, plant and equipment 15  22,229,434,463   21,331,296,362 
Intangibles | Components: Long term deposits; Long term loans and advances</x:v>
      </x:c>
    </x:row>
    <x:row r="45" ht="82" customHeight="1">
      <x:c r="A45" s="76" t="str">
        <x:v>KOHC|nca_other|2023</x:v>
      </x:c>
      <x:c r="B45" s="76" t="str">
        <x:v>KOHC</x:v>
      </x:c>
      <x:c r="C45" s="76" t="str">
        <x:v>FY2023</x:v>
      </x:c>
      <x:c r="D45" s="76" t="str">
        <x:v>Other non-current assets</x:v>
      </x:c>
      <x:c r="E45" s="170" t="n">
        <x:v>60785981</x:v>
      </x:c>
      <x:c r="F45" s="170" t="n">
        <x:v>60785981</x:v>
      </x:c>
      <x:c r="G45" s="170" t="str">
        <x:v>Rupees</x:v>
      </x:c>
      <x:c r="H45" s="170" t="n">
        <x:f>F45/1000000</x:f>
        <x:v>60.785981</x:v>
      </x:c>
      <x:c r="I45" s="170" t="n">
        <x:f>KOHC!F27</x:f>
        <x:v>60.785981</x:v>
      </x:c>
      <x:c r="J45" s="170" t="n">
        <x:f>H45-I45</x:f>
        <x:v>0</x:v>
      </x:c>
      <x:c r="K45" s="76" t="str">
        <x:v>Kohat_Cement_Annual_Report-2024.pdf</x:v>
      </x:c>
      <x:c r="L45" s="76" t="n">
        <x:v>59</x:v>
      </x:c>
      <x:c r="M45" s="76" t="str">
        <x:v>Comparative</x:v>
      </x:c>
      <x:c r="N45" s="99" t="str">
        <x:v>Aggregated audited components</x:v>
      </x:c>
      <x:c r="O45" s="99" t="str">
        <x:v>Source-labelled component sum; statement controls and signed-unit conversion independently recomputed.</x:v>
      </x:c>
      <x:c r="P45" s="99" t="str">
        <x:v>
57
Reaching New 
HEIGHTS Annual Report 2024
  2024 2023
 Note Rupees Rupees
   Restated
ASSETS
Non current assets 
Property, plant and equipment 14  22,157,690,533   22,229,434,46 | Components: Long term deposits; Long term loans and advances</x:v>
      </x:c>
    </x:row>
    <x:row r="46" ht="82" customHeight="1">
      <x:c r="A46" s="168" t="str">
        <x:v>KOHC|nca_other|2024</x:v>
      </x:c>
      <x:c r="B46" s="168" t="str">
        <x:v>KOHC</x:v>
      </x:c>
      <x:c r="C46" s="168" t="str">
        <x:v>FY2024</x:v>
      </x:c>
      <x:c r="D46" s="168" t="str">
        <x:v>Other non-current assets</x:v>
      </x:c>
      <x:c r="E46" s="169" t="n">
        <x:v>147388106</x:v>
      </x:c>
      <x:c r="F46" s="169" t="n">
        <x:v>147388106</x:v>
      </x:c>
      <x:c r="G46" s="169" t="str">
        <x:v>Rupees</x:v>
      </x:c>
      <x:c r="H46" s="169" t="n">
        <x:f>F46/1000000</x:f>
        <x:v>147.388106</x:v>
      </x:c>
      <x:c r="I46" s="169" t="n">
        <x:f>KOHC!G27</x:f>
        <x:v>147.388106</x:v>
      </x:c>
      <x:c r="J46" s="169" t="n">
        <x:f>H46-I46</x:f>
        <x:v>0</x:v>
      </x:c>
      <x:c r="K46" s="168" t="str">
        <x:v>Kohat_Cement_Annual_Report_2025.pdf</x:v>
      </x:c>
      <x:c r="L46" s="168" t="n">
        <x:v>69</x:v>
      </x:c>
      <x:c r="M46" s="168" t="str">
        <x:v>Comparative</x:v>
      </x:c>
      <x:c r="N46" s="171" t="str">
        <x:v>Aggregated audited components</x:v>
      </x:c>
      <x:c r="O46" s="171" t="str">
        <x:v>Source-labelled component sum; statement controls and signed-unit conversion independently recomputed.</x:v>
      </x:c>
      <x:c r="P46" s="171" t="str">
        <x:v>
67
  2025 2024
 Note Rupees Rupees
ASSETS 
Non current assets 
Property, plant and equipment 13  23,359,980,509   22,156,640,533 
Intangibles 14  259,742   508,226 
Long term loan | Components: Long term deposits; Long term loans and advances</x:v>
      </x:c>
    </x:row>
    <x:row r="47" ht="82" customHeight="1">
      <x:c r="A47" s="76" t="str">
        <x:v>KOHC|nca_other|2025</x:v>
      </x:c>
      <x:c r="B47" s="76" t="str">
        <x:v>KOHC</x:v>
      </x:c>
      <x:c r="C47" s="76" t="str">
        <x:v>FY2025</x:v>
      </x:c>
      <x:c r="D47" s="76" t="str">
        <x:v>Other non-current assets</x:v>
      </x:c>
      <x:c r="E47" s="170" t="n">
        <x:v>492917464</x:v>
      </x:c>
      <x:c r="F47" s="170" t="n">
        <x:v>492917464</x:v>
      </x:c>
      <x:c r="G47" s="170" t="str">
        <x:v>Rupees</x:v>
      </x:c>
      <x:c r="H47" s="170" t="n">
        <x:f>F47/1000000</x:f>
        <x:v>492.917464</x:v>
      </x:c>
      <x:c r="I47" s="170" t="n">
        <x:f>KOHC!H27</x:f>
        <x:v>492.917464</x:v>
      </x:c>
      <x:c r="J47" s="170" t="n">
        <x:f>H47-I47</x:f>
        <x:v>0</x:v>
      </x:c>
      <x:c r="K47" s="76" t="str">
        <x:v>Kohat_Cement_Annual_Report_2025.pdf</x:v>
      </x:c>
      <x:c r="L47" s="76" t="n">
        <x:v>69</x:v>
      </x:c>
      <x:c r="M47" s="76" t="str">
        <x:v>Current year</x:v>
      </x:c>
      <x:c r="N47" s="99" t="str">
        <x:v>Aggregated audited components</x:v>
      </x:c>
      <x:c r="O47" s="99" t="str">
        <x:v>Source-labelled component sum; statement controls and signed-unit conversion independently recomputed.</x:v>
      </x:c>
      <x:c r="P47" s="99" t="str">
        <x:v>
67
  2025 2024
 Note Rupees Rupees
ASSETS 
Non current assets 
Property, plant and equipment 13  23,359,980,509   22,156,640,533 
Intangibles 14  259,742   508,226 
Long term loan | Components: Long term deposits; Long term loans and advances</x:v>
      </x:c>
    </x:row>
    <x:row r="48" ht="82" customHeight="1">
      <x:c r="A48" s="168" t="str">
        <x:v>KOHC|stores|2020</x:v>
      </x:c>
      <x:c r="B48" s="168" t="str">
        <x:v>KOHC</x:v>
      </x:c>
      <x:c r="C48" s="168" t="str">
        <x:v>FY2020</x:v>
      </x:c>
      <x:c r="D48" s="168" t="str">
        <x:v>Stores, spares and loose tools</x:v>
      </x:c>
      <x:c r="E48" s="169" t="n">
        <x:v>2250156437</x:v>
      </x:c>
      <x:c r="F48" s="169" t="n">
        <x:v>2250156437</x:v>
      </x:c>
      <x:c r="G48" s="169" t="str">
        <x:v>Rupees</x:v>
      </x:c>
      <x:c r="H48" s="169" t="n">
        <x:f>F48/1000000</x:f>
        <x:v>2250.156437</x:v>
      </x:c>
      <x:c r="I48" s="169" t="n">
        <x:f>KOHC!C30</x:f>
        <x:v>2250.156437</x:v>
      </x:c>
      <x:c r="J48" s="169" t="n">
        <x:f>H48-I48</x:f>
        <x:v>0</x:v>
      </x:c>
      <x:c r="K48" s="168" t="str">
        <x:v>KOHC_AR_2021.pdf</x:v>
      </x:c>
      <x:c r="L48" s="168" t="n">
        <x:v>45</x:v>
      </x:c>
      <x:c r="M48" s="168" t="str">
        <x:v>Comparative</x:v>
      </x:c>
      <x:c r="N48" s="171" t="str">
        <x:v>Printed amount independently located</x:v>
      </x:c>
      <x:c r="O48" s="171" t="str">
        <x:v>Exact source amount found; audited year/current-comparative column recorded. Accounting subtotal tests performed separately.</x:v>
      </x:c>
      <x:c r="P48" s="171" t="str">
        <x:v>roperty 18  4,136,086,159   3,691,839,635 
     26,238,122,723   26,519,043,528 
Current assets 
Stores, spares and loose tools 19  3,070,769,101   2,250,156,437 
Stock-in-trade 20  1,112,776,266   1,016,024,223 
Trade debts - unsecured, considered good 21  983,568,223   494,315,206 
Short term investments 22  2,999,496,423   160,130,600</x:v>
      </x:c>
    </x:row>
    <x:row r="49" ht="82" customHeight="1">
      <x:c r="A49" s="76" t="str">
        <x:v>KOHC|stores|2021</x:v>
      </x:c>
      <x:c r="B49" s="76" t="str">
        <x:v>KOHC</x:v>
      </x:c>
      <x:c r="C49" s="76" t="str">
        <x:v>FY2021</x:v>
      </x:c>
      <x:c r="D49" s="76" t="str">
        <x:v>Stores, spares and loose tools</x:v>
      </x:c>
      <x:c r="E49" s="170" t="n">
        <x:v>3070769101</x:v>
      </x:c>
      <x:c r="F49" s="170" t="n">
        <x:v>3070769101</x:v>
      </x:c>
      <x:c r="G49" s="170" t="str">
        <x:v>Rupees</x:v>
      </x:c>
      <x:c r="H49" s="170" t="n">
        <x:f>F49/1000000</x:f>
        <x:v>3070.769101</x:v>
      </x:c>
      <x:c r="I49" s="170" t="n">
        <x:f>KOHC!D30</x:f>
        <x:v>3070.769101</x:v>
      </x:c>
      <x:c r="J49" s="170" t="n">
        <x:f>H49-I49</x:f>
        <x:v>0</x:v>
      </x:c>
      <x:c r="K49" s="76" t="str">
        <x:v>Kohat_Cement_AR_2022.pdf</x:v>
      </x:c>
      <x:c r="L49" s="76" t="n">
        <x:v>53</x:v>
      </x:c>
      <x:c r="M49" s="76" t="str">
        <x:v>Comparative</x:v>
      </x:c>
      <x:c r="N49" s="99" t="str">
        <x:v>Printed amount independently located</x:v>
      </x:c>
      <x:c r="O49" s="99" t="str">
        <x:v>Exact source amount found; audited year/current-comparative column recorded. Accounting subtotal tests performed separately.</x:v>
      </x:c>
      <x:c r="P49" s="99" t="str">
        <x:v>property 19  4,134,255,209   4,134,086,159 
     25,574,836,397   26,238,122,723 
Current assets 
Stores, spares and loose tools 20  4,214,829,636   3,070,769,101 
Stock-in-trade 21  1,456,156,782   1,112,776,266 
Trade debts - unsecured, considered good 22  916,039,469   983,568,223 
Short term investments 23  10,124,095,693   2,999,496,42</x:v>
      </x:c>
    </x:row>
    <x:row r="50" ht="82" customHeight="1">
      <x:c r="A50" s="168" t="str">
        <x:v>KOHC|stores|2022</x:v>
      </x:c>
      <x:c r="B50" s="168" t="str">
        <x:v>KOHC</x:v>
      </x:c>
      <x:c r="C50" s="168" t="str">
        <x:v>FY2022</x:v>
      </x:c>
      <x:c r="D50" s="168" t="str">
        <x:v>Stores, spares and loose tools</x:v>
      </x:c>
      <x:c r="E50" s="169" t="n">
        <x:v>4214829636</x:v>
      </x:c>
      <x:c r="F50" s="169" t="n">
        <x:v>4214829636</x:v>
      </x:c>
      <x:c r="G50" s="169" t="str">
        <x:v>Rupees</x:v>
      </x:c>
      <x:c r="H50" s="169" t="n">
        <x:f>F50/1000000</x:f>
        <x:v>4214.829636</x:v>
      </x:c>
      <x:c r="I50" s="169" t="n">
        <x:f>KOHC!E30</x:f>
        <x:v>4214.829636</x:v>
      </x:c>
      <x:c r="J50" s="169" t="n">
        <x:f>H50-I50</x:f>
        <x:v>0</x:v>
      </x:c>
      <x:c r="K50" s="168" t="str">
        <x:v>Financial_Statements-30-06-2023.pdf</x:v>
      </x:c>
      <x:c r="L50" s="168" t="n">
        <x:v>53</x:v>
      </x:c>
      <x:c r="M50" s="168" t="str">
        <x:v>Comparative</x:v>
      </x:c>
      <x:c r="N50" s="171" t="str">
        <x:v>Printed amount independently located</x:v>
      </x:c>
      <x:c r="O50" s="171" t="str">
        <x:v>Exact source amount found; audited year/current-comparative column recorded. Accounting subtotal tests performed separately.</x:v>
      </x:c>
      <x:c r="P50" s="171" t="str">
        <x:v>property 19  4,324,910,743   4,134,255,209 
     26,616,698,896   25,574,836,397
Current assets 
Stores, spares and loose tools 20  4,713,129,764   4,214,829,636 
Stock-in-trade 21  2,942,861,554   1,456,156,782 
Trade debts - unsecured, considered good 22  1,205,553,375   916,039,469 
Short term investments 23  12,335,073,816   10,124,095</x:v>
      </x:c>
    </x:row>
    <x:row r="51" ht="82" customHeight="1">
      <x:c r="A51" s="76" t="str">
        <x:v>KOHC|stores|2023</x:v>
      </x:c>
      <x:c r="B51" s="76" t="str">
        <x:v>KOHC</x:v>
      </x:c>
      <x:c r="C51" s="76" t="str">
        <x:v>FY2023</x:v>
      </x:c>
      <x:c r="D51" s="76" t="str">
        <x:v>Stores, spares and loose tools</x:v>
      </x:c>
      <x:c r="E51" s="170" t="n">
        <x:v>4713129764</x:v>
      </x:c>
      <x:c r="F51" s="170" t="n">
        <x:v>4713129764</x:v>
      </x:c>
      <x:c r="G51" s="170" t="str">
        <x:v>Rupees</x:v>
      </x:c>
      <x:c r="H51" s="170" t="n">
        <x:f>F51/1000000</x:f>
        <x:v>4713.129764</x:v>
      </x:c>
      <x:c r="I51" s="170" t="n">
        <x:f>KOHC!F30</x:f>
        <x:v>4713.129764</x:v>
      </x:c>
      <x:c r="J51" s="170" t="n">
        <x:f>H51-I51</x:f>
        <x:v>0</x:v>
      </x:c>
      <x:c r="K51" s="76" t="str">
        <x:v>Kohat_Cement_Annual_Report-2024.pdf</x:v>
      </x:c>
      <x:c r="L51" s="76" t="n">
        <x:v>59</x:v>
      </x:c>
      <x:c r="M51" s="76" t="str">
        <x:v>Comparative</x:v>
      </x:c>
      <x:c r="N51" s="99" t="str">
        <x:v>Printed amount independently located</x:v>
      </x:c>
      <x:c r="O51" s="99" t="str">
        <x:v>Exact source amount found; audited year/current-comparative column recorded. Accounting subtotal tests performed separately.</x:v>
      </x:c>
      <x:c r="P51" s="99" t="str">
        <x:v>ment property 18 4,326,361,559  4,324,910,743 
    26,549,087,352  26,616,698,896 
Current assets 
Stores, spares and loose tools 19  5,785,683,486   4,713,129,764 
Stock-in-trade 20 1,793,742,440  2,942,861,554 
Trade debts - unsecured, considered good 21  2,110,247,902   1,205,553,375 
Short term investments 22  20,279,745,954   12,335,073</x:v>
      </x:c>
    </x:row>
    <x:row r="52" ht="82" customHeight="1">
      <x:c r="A52" s="168" t="str">
        <x:v>KOHC|stores|2024</x:v>
      </x:c>
      <x:c r="B52" s="168" t="str">
        <x:v>KOHC</x:v>
      </x:c>
      <x:c r="C52" s="168" t="str">
        <x:v>FY2024</x:v>
      </x:c>
      <x:c r="D52" s="168" t="str">
        <x:v>Stores, spares and loose tools</x:v>
      </x:c>
      <x:c r="E52" s="169" t="n">
        <x:v>5785683486</x:v>
      </x:c>
      <x:c r="F52" s="169" t="n">
        <x:v>5785683486</x:v>
      </x:c>
      <x:c r="G52" s="169" t="str">
        <x:v>Rupees</x:v>
      </x:c>
      <x:c r="H52" s="169" t="n">
        <x:f>F52/1000000</x:f>
        <x:v>5785.683486</x:v>
      </x:c>
      <x:c r="I52" s="169" t="n">
        <x:f>KOHC!G30</x:f>
        <x:v>5785.683486</x:v>
      </x:c>
      <x:c r="J52" s="169" t="n">
        <x:f>H52-I52</x:f>
        <x:v>0</x:v>
      </x:c>
      <x:c r="K52" s="168" t="str">
        <x:v>Kohat_Cement_Annual_Report_2025.pdf</x:v>
      </x:c>
      <x:c r="L52" s="168" t="n">
        <x:v>69</x:v>
      </x:c>
      <x:c r="M52" s="168" t="str">
        <x:v>Comparative</x:v>
      </x:c>
      <x:c r="N52" s="171" t="str">
        <x:v>Printed amount independently located</x:v>
      </x:c>
      <x:c r="O52" s="171" t="str">
        <x:v>Exact source amount found; audited year/current-comparative column recorded. Accounting subtotal tests performed separately.</x:v>
      </x:c>
      <x:c r="P52" s="171" t="str">
        <x:v>property 17  4,326,361,559   4,326,361,559 
     28,179,519,274   26,630,898,424 
Current assets 
Stores, spares and loose tools 18  4,991,311,475   5,785,683,486 
Stock-in-trade 19  2,513,556,552   1,793,742,440 
Trade debts - unsecured, considered good 20  1,692,217,832   2,110,247,902 
Short term investments 21  26,941,632,205   20,279,7</x:v>
      </x:c>
    </x:row>
    <x:row r="53" ht="82" customHeight="1">
      <x:c r="A53" s="76" t="str">
        <x:v>KOHC|stores|2025</x:v>
      </x:c>
      <x:c r="B53" s="76" t="str">
        <x:v>KOHC</x:v>
      </x:c>
      <x:c r="C53" s="76" t="str">
        <x:v>FY2025</x:v>
      </x:c>
      <x:c r="D53" s="76" t="str">
        <x:v>Stores, spares and loose tools</x:v>
      </x:c>
      <x:c r="E53" s="170" t="n">
        <x:v>4991311475</x:v>
      </x:c>
      <x:c r="F53" s="170" t="n">
        <x:v>4991311475</x:v>
      </x:c>
      <x:c r="G53" s="170" t="str">
        <x:v>Rupees</x:v>
      </x:c>
      <x:c r="H53" s="170" t="n">
        <x:f>F53/1000000</x:f>
        <x:v>4991.311475</x:v>
      </x:c>
      <x:c r="I53" s="170" t="n">
        <x:f>KOHC!H30</x:f>
        <x:v>4991.311475</x:v>
      </x:c>
      <x:c r="J53" s="170" t="n">
        <x:f>H53-I53</x:f>
        <x:v>0</x:v>
      </x:c>
      <x:c r="K53" s="76" t="str">
        <x:v>Kohat_Cement_Annual_Report_2025.pdf</x:v>
      </x:c>
      <x:c r="L53" s="76" t="n">
        <x:v>69</x:v>
      </x:c>
      <x:c r="M53" s="76" t="str">
        <x:v>Current year</x:v>
      </x:c>
      <x:c r="N53" s="99" t="str">
        <x:v>Printed amount independently located</x:v>
      </x:c>
      <x:c r="O53" s="99" t="str">
        <x:v>Exact source amount found; audited year/current-comparative column recorded. Accounting subtotal tests performed separately.</x:v>
      </x:c>
      <x:c r="P53" s="99" t="str">
        <x:v>,136 
Investment property 17  4,326,361,559   4,326,361,559 
     28,179,519,274   26,630,898,424 
Current assets 
Stores, spares and loose tools 18  4,991,311,475   5,785,683,486 
Stock-in-trade 19  2,513,556,552   1,793,742,440 
Trade debts - unsecured, considered good 20  1,692,217,832   2,110,247,902 
Short term investments 21  26,941,63</x:v>
      </x:c>
    </x:row>
    <x:row r="54" ht="82" customHeight="1">
      <x:c r="A54" s="168" t="str">
        <x:v>KOHC|sit|2020</x:v>
      </x:c>
      <x:c r="B54" s="168" t="str">
        <x:v>KOHC</x:v>
      </x:c>
      <x:c r="C54" s="168" t="str">
        <x:v>FY2020</x:v>
      </x:c>
      <x:c r="D54" s="168" t="str">
        <x:v>Stock-in-trade</x:v>
      </x:c>
      <x:c r="E54" s="169" t="n">
        <x:v>1016024223</x:v>
      </x:c>
      <x:c r="F54" s="169" t="n">
        <x:v>1016024223</x:v>
      </x:c>
      <x:c r="G54" s="169" t="str">
        <x:v>Rupees</x:v>
      </x:c>
      <x:c r="H54" s="169" t="n">
        <x:f>F54/1000000</x:f>
        <x:v>1016.024223</x:v>
      </x:c>
      <x:c r="I54" s="169" t="n">
        <x:f>KOHC!C31</x:f>
        <x:v>1016.024223</x:v>
      </x:c>
      <x:c r="J54" s="169" t="n">
        <x:f>H54-I54</x:f>
        <x:v>0</x:v>
      </x:c>
      <x:c r="K54" s="168" t="str">
        <x:v>KOHC_AR_2021.pdf</x:v>
      </x:c>
      <x:c r="L54" s="168" t="n">
        <x:v>45</x:v>
      </x:c>
      <x:c r="M54" s="168" t="str">
        <x:v>Comparative</x:v>
      </x:c>
      <x:c r="N54" s="171" t="str">
        <x:v>Printed amount independently located</x:v>
      </x:c>
      <x:c r="O54" s="171" t="str">
        <x:v>Exact source amount found; audited year/current-comparative column recorded. Accounting subtotal tests performed separately.</x:v>
      </x:c>
      <x:c r="P54" s="171" t="str">
        <x:v>,238,122,723   26,519,043,528 
Current assets 
Stores, spares and loose tools 19  3,070,769,101   2,250,156,437 
Stock-in-trade 20  1,112,776,266   1,016,024,223 
Trade debts - unsecured, considered good 21  983,568,223   494,315,206 
Short term investments 22  2,999,496,423   160,130,600 
Advances, deposits, prepayments and other receivab</x:v>
      </x:c>
    </x:row>
    <x:row r="55" ht="82" customHeight="1">
      <x:c r="A55" s="76" t="str">
        <x:v>KOHC|sit|2021</x:v>
      </x:c>
      <x:c r="B55" s="76" t="str">
        <x:v>KOHC</x:v>
      </x:c>
      <x:c r="C55" s="76" t="str">
        <x:v>FY2021</x:v>
      </x:c>
      <x:c r="D55" s="76" t="str">
        <x:v>Stock-in-trade</x:v>
      </x:c>
      <x:c r="E55" s="170" t="n">
        <x:v>1112776266</x:v>
      </x:c>
      <x:c r="F55" s="170" t="n">
        <x:v>1112776266</x:v>
      </x:c>
      <x:c r="G55" s="170" t="str">
        <x:v>Rupees</x:v>
      </x:c>
      <x:c r="H55" s="170" t="n">
        <x:f>F55/1000000</x:f>
        <x:v>1112.776266</x:v>
      </x:c>
      <x:c r="I55" s="170" t="n">
        <x:f>KOHC!D31</x:f>
        <x:v>1112.776266</x:v>
      </x:c>
      <x:c r="J55" s="170" t="n">
        <x:f>H55-I55</x:f>
        <x:v>0</x:v>
      </x:c>
      <x:c r="K55" s="76" t="str">
        <x:v>Kohat_Cement_AR_2022.pdf</x:v>
      </x:c>
      <x:c r="L55" s="76" t="n">
        <x:v>53</x:v>
      </x:c>
      <x:c r="M55" s="76" t="str">
        <x:v>Comparative</x:v>
      </x:c>
      <x:c r="N55" s="99" t="str">
        <x:v>Printed amount independently located</x:v>
      </x:c>
      <x:c r="O55" s="99" t="str">
        <x:v>Exact source amount found; audited year/current-comparative column recorded. Accounting subtotal tests performed separately.</x:v>
      </x:c>
      <x:c r="P55" s="99" t="str">
        <x:v>25,574,836,397   26,238,122,723 
Current assets 
Stores, spares and loose tools 20  4,214,829,636   3,070,769,101 
Stock-in-trade 21  1,456,156,782   1,112,776,266 
Trade debts - unsecured, considered good 22  916,039,469   983,568,223 
Short term investments 23  10,124,095,693   2,999,496,423 
Advances, deposits, prepayments and other recei</x:v>
      </x:c>
    </x:row>
    <x:row r="56" ht="82" customHeight="1">
      <x:c r="A56" s="168" t="str">
        <x:v>KOHC|sit|2022</x:v>
      </x:c>
      <x:c r="B56" s="168" t="str">
        <x:v>KOHC</x:v>
      </x:c>
      <x:c r="C56" s="168" t="str">
        <x:v>FY2022</x:v>
      </x:c>
      <x:c r="D56" s="168" t="str">
        <x:v>Stock-in-trade</x:v>
      </x:c>
      <x:c r="E56" s="169" t="n">
        <x:v>1456156782</x:v>
      </x:c>
      <x:c r="F56" s="169" t="n">
        <x:v>1456156782</x:v>
      </x:c>
      <x:c r="G56" s="169" t="str">
        <x:v>Rupees</x:v>
      </x:c>
      <x:c r="H56" s="169" t="n">
        <x:f>F56/1000000</x:f>
        <x:v>1456.156782</x:v>
      </x:c>
      <x:c r="I56" s="169" t="n">
        <x:f>KOHC!E31</x:f>
        <x:v>1456.156782</x:v>
      </x:c>
      <x:c r="J56" s="169" t="n">
        <x:f>H56-I56</x:f>
        <x:v>0</x:v>
      </x:c>
      <x:c r="K56" s="168" t="str">
        <x:v>Financial_Statements-30-06-2023.pdf</x:v>
      </x:c>
      <x:c r="L56" s="168" t="n">
        <x:v>53</x:v>
      </x:c>
      <x:c r="M56" s="168" t="str">
        <x:v>Comparative</x:v>
      </x:c>
      <x:c r="N56" s="171" t="str">
        <x:v>Printed amount independently located</x:v>
      </x:c>
      <x:c r="O56" s="171" t="str">
        <x:v>Exact source amount found; audited year/current-comparative column recorded. Accounting subtotal tests performed separately.</x:v>
      </x:c>
      <x:c r="P56" s="171" t="str">
        <x:v>6,616,698,896   25,574,836,397
Current assets 
Stores, spares and loose tools 20  4,713,129,764   4,214,829,636 
Stock-in-trade 21  2,942,861,554   1,456,156,782 
Trade debts - unsecured, considered good 22  1,205,553,375   916,039,469 
Short term investments 23  12,335,073,816   10,124,095,693 
Loans, Advances, deposits, prepayments and o</x:v>
      </x:c>
    </x:row>
    <x:row r="57" ht="82" customHeight="1">
      <x:c r="A57" s="76" t="str">
        <x:v>KOHC|sit|2023</x:v>
      </x:c>
      <x:c r="B57" s="76" t="str">
        <x:v>KOHC</x:v>
      </x:c>
      <x:c r="C57" s="76" t="str">
        <x:v>FY2023</x:v>
      </x:c>
      <x:c r="D57" s="76" t="str">
        <x:v>Stock-in-trade</x:v>
      </x:c>
      <x:c r="E57" s="170" t="n">
        <x:v>2942861554</x:v>
      </x:c>
      <x:c r="F57" s="170" t="n">
        <x:v>2942861554</x:v>
      </x:c>
      <x:c r="G57" s="170" t="str">
        <x:v>Rupees</x:v>
      </x:c>
      <x:c r="H57" s="170" t="n">
        <x:f>F57/1000000</x:f>
        <x:v>2942.861554</x:v>
      </x:c>
      <x:c r="I57" s="170" t="n">
        <x:f>KOHC!F31</x:f>
        <x:v>2942.861554</x:v>
      </x:c>
      <x:c r="J57" s="170" t="n">
        <x:f>H57-I57</x:f>
        <x:v>0</x:v>
      </x:c>
      <x:c r="K57" s="76" t="str">
        <x:v>Kohat_Cement_Annual_Report-2024.pdf</x:v>
      </x:c>
      <x:c r="L57" s="76" t="n">
        <x:v>59</x:v>
      </x:c>
      <x:c r="M57" s="76" t="str">
        <x:v>Comparative</x:v>
      </x:c>
      <x:c r="N57" s="99" t="str">
        <x:v>Printed amount independently located</x:v>
      </x:c>
      <x:c r="O57" s="99" t="str">
        <x:v>Exact source amount found; audited year/current-comparative column recorded. Accounting subtotal tests performed separately.</x:v>
      </x:c>
      <x:c r="P57" s="99" t="str">
        <x:v>26,549,087,352  26,616,698,896 
Current assets 
Stores, spares and loose tools 19  5,785,683,486   4,713,129,764 
Stock-in-trade 20 1,793,742,440  2,942,861,554 
Trade debts - unsecured, considered good 21  2,110,247,902   1,205,553,375 
Short term investments 22  20,279,745,954   12,335,073,816 
Loans, Advances, deposits, prepayments and</x:v>
      </x:c>
    </x:row>
    <x:row r="58" ht="82" customHeight="1">
      <x:c r="A58" s="168" t="str">
        <x:v>KOHC|sit|2024</x:v>
      </x:c>
      <x:c r="B58" s="168" t="str">
        <x:v>KOHC</x:v>
      </x:c>
      <x:c r="C58" s="168" t="str">
        <x:v>FY2024</x:v>
      </x:c>
      <x:c r="D58" s="168" t="str">
        <x:v>Stock-in-trade</x:v>
      </x:c>
      <x:c r="E58" s="169" t="n">
        <x:v>1793742440</x:v>
      </x:c>
      <x:c r="F58" s="169" t="n">
        <x:v>1793742440</x:v>
      </x:c>
      <x:c r="G58" s="169" t="str">
        <x:v>Rupees</x:v>
      </x:c>
      <x:c r="H58" s="169" t="n">
        <x:f>F58/1000000</x:f>
        <x:v>1793.74244</x:v>
      </x:c>
      <x:c r="I58" s="169" t="n">
        <x:f>KOHC!G31</x:f>
        <x:v>1793.74244</x:v>
      </x:c>
      <x:c r="J58" s="169" t="n">
        <x:f>H58-I58</x:f>
        <x:v>0</x:v>
      </x:c>
      <x:c r="K58" s="168" t="str">
        <x:v>Kohat_Cement_Annual_Report_2025.pdf</x:v>
      </x:c>
      <x:c r="L58" s="168" t="n">
        <x:v>69</x:v>
      </x:c>
      <x:c r="M58" s="168" t="str">
        <x:v>Comparative</x:v>
      </x:c>
      <x:c r="N58" s="171" t="str">
        <x:v>Printed amount independently located</x:v>
      </x:c>
      <x:c r="O58" s="171" t="str">
        <x:v>Exact source amount found; audited year/current-comparative column recorded. Accounting subtotal tests performed separately.</x:v>
      </x:c>
      <x:c r="P58" s="171" t="str">
        <x:v>28,179,519,274   26,630,898,424 
Current assets 
Stores, spares and loose tools 18  4,991,311,475   5,785,683,486 
Stock-in-trade 19  2,513,556,552   1,793,742,440 
Trade debts - unsecured, considered good 20  1,692,217,832   2,110,247,902 
Short term investments 21  26,941,632,205   20,279,745,954 
Loans, advances, deposits, prepayments and</x:v>
      </x:c>
    </x:row>
    <x:row r="59" ht="82" customHeight="1">
      <x:c r="A59" s="76" t="str">
        <x:v>KOHC|sit|2025</x:v>
      </x:c>
      <x:c r="B59" s="76" t="str">
        <x:v>KOHC</x:v>
      </x:c>
      <x:c r="C59" s="76" t="str">
        <x:v>FY2025</x:v>
      </x:c>
      <x:c r="D59" s="76" t="str">
        <x:v>Stock-in-trade</x:v>
      </x:c>
      <x:c r="E59" s="170" t="n">
        <x:v>2513556552</x:v>
      </x:c>
      <x:c r="F59" s="170" t="n">
        <x:v>2513556552</x:v>
      </x:c>
      <x:c r="G59" s="170" t="str">
        <x:v>Rupees</x:v>
      </x:c>
      <x:c r="H59" s="170" t="n">
        <x:f>F59/1000000</x:f>
        <x:v>2513.556552</x:v>
      </x:c>
      <x:c r="I59" s="170" t="n">
        <x:f>KOHC!H31</x:f>
        <x:v>2513.556552</x:v>
      </x:c>
      <x:c r="J59" s="170" t="n">
        <x:f>H59-I59</x:f>
        <x:v>0</x:v>
      </x:c>
      <x:c r="K59" s="76" t="str">
        <x:v>Kohat_Cement_Annual_Report_2025.pdf</x:v>
      </x:c>
      <x:c r="L59" s="76" t="n">
        <x:v>69</x:v>
      </x:c>
      <x:c r="M59" s="76" t="str">
        <x:v>Current year</x:v>
      </x:c>
      <x:c r="N59" s="99" t="str">
        <x:v>Printed amount independently located</x:v>
      </x:c>
      <x:c r="O59" s="99" t="str">
        <x:v>Exact source amount found; audited year/current-comparative column recorded. Accounting subtotal tests performed separately.</x:v>
      </x:c>
      <x:c r="P59" s="99" t="str">
        <x:v>6,361,559 
     28,179,519,274   26,630,898,424 
Current assets 
Stores, spares and loose tools 18  4,991,311,475   5,785,683,486 
Stock-in-trade 19  2,513,556,552   1,793,742,440 
Trade debts - unsecured, considered good 20  1,692,217,832   2,110,247,902 
Short term investments 21  26,941,632,205   20,279,745,954 
Loans, advances, deposits,</x:v>
      </x:c>
    </x:row>
    <x:row r="60" ht="82" customHeight="1">
      <x:c r="A60" s="168" t="str">
        <x:v>KOHC|debts|2020</x:v>
      </x:c>
      <x:c r="B60" s="168" t="str">
        <x:v>KOHC</x:v>
      </x:c>
      <x:c r="C60" s="168" t="str">
        <x:v>FY2020</x:v>
      </x:c>
      <x:c r="D60" s="168" t="str">
        <x:v>Trade debts</x:v>
      </x:c>
      <x:c r="E60" s="169" t="n">
        <x:v>494315206</x:v>
      </x:c>
      <x:c r="F60" s="169" t="n">
        <x:v>494315206</x:v>
      </x:c>
      <x:c r="G60" s="169" t="str">
        <x:v>Rupees</x:v>
      </x:c>
      <x:c r="H60" s="169" t="n">
        <x:f>F60/1000000</x:f>
        <x:v>494.315206</x:v>
      </x:c>
      <x:c r="I60" s="169" t="n">
        <x:f>KOHC!C32</x:f>
        <x:v>494.315206</x:v>
      </x:c>
      <x:c r="J60" s="169" t="n">
        <x:f>H60-I60</x:f>
        <x:v>0</x:v>
      </x:c>
      <x:c r="K60" s="168" t="str">
        <x:v>KOHC_AR_2021.pdf</x:v>
      </x:c>
      <x:c r="L60" s="168" t="n">
        <x:v>45</x:v>
      </x:c>
      <x:c r="M60" s="168" t="str">
        <x:v>Comparative</x:v>
      </x:c>
      <x:c r="N60" s="171" t="str">
        <x:v>Printed amount independently located</x:v>
      </x:c>
      <x:c r="O60" s="171" t="str">
        <x:v>Exact source amount found; audited year/current-comparative column recorded. Accounting subtotal tests performed separately.</x:v>
      </x:c>
      <x:c r="P60" s="171" t="str">
        <x:v>tools 19  3,070,769,101   2,250,156,437 
Stock-in-trade 20  1,112,776,266   1,016,024,223 
Trade debts - unsecured, considered good 21  983,568,223   494,315,206 
Short term investments 22  2,999,496,423   160,130,600 
Advances, deposits, prepayments and other receivables 23  484,459,350   425,391,226 
Cash and bank balances 24  1,197,729,</x:v>
      </x:c>
    </x:row>
    <x:row r="61" ht="82" customHeight="1">
      <x:c r="A61" s="76" t="str">
        <x:v>KOHC|debts|2021</x:v>
      </x:c>
      <x:c r="B61" s="76" t="str">
        <x:v>KOHC</x:v>
      </x:c>
      <x:c r="C61" s="76" t="str">
        <x:v>FY2021</x:v>
      </x:c>
      <x:c r="D61" s="76" t="str">
        <x:v>Trade debts</x:v>
      </x:c>
      <x:c r="E61" s="170" t="n">
        <x:v>983568223</x:v>
      </x:c>
      <x:c r="F61" s="170" t="n">
        <x:v>983568223</x:v>
      </x:c>
      <x:c r="G61" s="170" t="str">
        <x:v>Rupees</x:v>
      </x:c>
      <x:c r="H61" s="170" t="n">
        <x:f>F61/1000000</x:f>
        <x:v>983.568223</x:v>
      </x:c>
      <x:c r="I61" s="170" t="n">
        <x:f>KOHC!D32</x:f>
        <x:v>983.568223</x:v>
      </x:c>
      <x:c r="J61" s="170" t="n">
        <x:f>H61-I61</x:f>
        <x:v>0</x:v>
      </x:c>
      <x:c r="K61" s="76" t="str">
        <x:v>Kohat_Cement_AR_2022.pdf</x:v>
      </x:c>
      <x:c r="L61" s="76" t="n">
        <x:v>53</x:v>
      </x:c>
      <x:c r="M61" s="76" t="str">
        <x:v>Comparative</x:v>
      </x:c>
      <x:c r="N61" s="99" t="str">
        <x:v>Printed amount independently located</x:v>
      </x:c>
      <x:c r="O61" s="99" t="str">
        <x:v>Exact source amount found; audited year/current-comparative column recorded. Accounting subtotal tests performed separately.</x:v>
      </x:c>
      <x:c r="P61" s="99" t="str">
        <x:v>tools 20  4,214,829,636   3,070,769,101 
Stock-in-trade 21  1,456,156,782   1,112,776,266 
Trade debts - unsecured, considered good 22  916,039,469   983,568,223 
Short term investments 23  10,124,095,693   2,999,496,423 
Advances, deposits, prepayments and other receivables 24  583,944,235   484,459,350 
Cash and bank balances 25  480,765</x:v>
      </x:c>
    </x:row>
    <x:row r="62" ht="82" customHeight="1">
      <x:c r="A62" s="168" t="str">
        <x:v>KOHC|debts|2022</x:v>
      </x:c>
      <x:c r="B62" s="168" t="str">
        <x:v>KOHC</x:v>
      </x:c>
      <x:c r="C62" s="168" t="str">
        <x:v>FY2022</x:v>
      </x:c>
      <x:c r="D62" s="168" t="str">
        <x:v>Trade debts</x:v>
      </x:c>
      <x:c r="E62" s="169" t="n">
        <x:v>916039469</x:v>
      </x:c>
      <x:c r="F62" s="169" t="n">
        <x:v>916039469</x:v>
      </x:c>
      <x:c r="G62" s="169" t="str">
        <x:v>Rupees</x:v>
      </x:c>
      <x:c r="H62" s="169" t="n">
        <x:f>F62/1000000</x:f>
        <x:v>916.039469</x:v>
      </x:c>
      <x:c r="I62" s="169" t="n">
        <x:f>KOHC!E32</x:f>
        <x:v>916.039469</x:v>
      </x:c>
      <x:c r="J62" s="169" t="n">
        <x:f>H62-I62</x:f>
        <x:v>0</x:v>
      </x:c>
      <x:c r="K62" s="168" t="str">
        <x:v>Financial_Statements-30-06-2023.pdf</x:v>
      </x:c>
      <x:c r="L62" s="168" t="n">
        <x:v>53</x:v>
      </x:c>
      <x:c r="M62" s="168" t="str">
        <x:v>Comparative</x:v>
      </x:c>
      <x:c r="N62" s="171" t="str">
        <x:v>Printed amount independently located</x:v>
      </x:c>
      <x:c r="O62" s="171" t="str">
        <x:v>Exact source amount found; audited year/current-comparative column recorded. Accounting subtotal tests performed separately.</x:v>
      </x:c>
      <x:c r="P62" s="171" t="str">
        <x:v>ols 20  4,713,129,764   4,214,829,636 
Stock-in-trade 21  2,942,861,554   1,456,156,782 
Trade debts - unsecured, considered good 22  1,205,553,375   916,039,469 
Short term investments 23  12,335,073,816   10,124,095,693 
Loans, Advances, deposits, prepayments and other receivables 24  783,220,947   583,944,235 
Cash and bank balances 25</x:v>
      </x:c>
    </x:row>
    <x:row r="63" ht="82" customHeight="1">
      <x:c r="A63" s="76" t="str">
        <x:v>KOHC|debts|2023</x:v>
      </x:c>
      <x:c r="B63" s="76" t="str">
        <x:v>KOHC</x:v>
      </x:c>
      <x:c r="C63" s="76" t="str">
        <x:v>FY2023</x:v>
      </x:c>
      <x:c r="D63" s="76" t="str">
        <x:v>Trade debts</x:v>
      </x:c>
      <x:c r="E63" s="170" t="n">
        <x:v>1205553375</x:v>
      </x:c>
      <x:c r="F63" s="170" t="n">
        <x:v>1205553375</x:v>
      </x:c>
      <x:c r="G63" s="170" t="str">
        <x:v>Rupees</x:v>
      </x:c>
      <x:c r="H63" s="170" t="n">
        <x:f>F63/1000000</x:f>
        <x:v>1205.553375</x:v>
      </x:c>
      <x:c r="I63" s="170" t="n">
        <x:f>KOHC!F32</x:f>
        <x:v>1205.553375</x:v>
      </x:c>
      <x:c r="J63" s="170" t="n">
        <x:f>H63-I63</x:f>
        <x:v>0</x:v>
      </x:c>
      <x:c r="K63" s="76" t="str">
        <x:v>Kohat_Cement_Annual_Report-2024.pdf</x:v>
      </x:c>
      <x:c r="L63" s="76" t="n">
        <x:v>59</x:v>
      </x:c>
      <x:c r="M63" s="76" t="str">
        <x:v>Comparative</x:v>
      </x:c>
      <x:c r="N63" s="99" t="str">
        <x:v>Printed amount independently located</x:v>
      </x:c>
      <x:c r="O63" s="99" t="str">
        <x:v>Exact source amount found; audited year/current-comparative column recorded. Accounting subtotal tests performed separately.</x:v>
      </x:c>
      <x:c r="P63" s="99" t="str">
        <x:v>tools 19  5,785,683,486   4,713,129,764 
Stock-in-trade 20 1,793,742,440  2,942,861,554 
Trade debts - unsecured, considered good 21  2,110,247,902   1,205,553,375 
Short term investments 22  20,279,745,954   12,335,073,816 
Loans, Advances, deposits, prepayments and other receivables 23  1,222,138,891   783,220,947 
Cash and bank balances 2</x:v>
      </x:c>
    </x:row>
    <x:row r="64" ht="82" customHeight="1">
      <x:c r="A64" s="168" t="str">
        <x:v>KOHC|debts|2024</x:v>
      </x:c>
      <x:c r="B64" s="168" t="str">
        <x:v>KOHC</x:v>
      </x:c>
      <x:c r="C64" s="168" t="str">
        <x:v>FY2024</x:v>
      </x:c>
      <x:c r="D64" s="168" t="str">
        <x:v>Trade debts</x:v>
      </x:c>
      <x:c r="E64" s="169" t="n">
        <x:v>2110247902</x:v>
      </x:c>
      <x:c r="F64" s="169" t="n">
        <x:v>2110247902</x:v>
      </x:c>
      <x:c r="G64" s="169" t="str">
        <x:v>Rupees</x:v>
      </x:c>
      <x:c r="H64" s="169" t="n">
        <x:f>F64/1000000</x:f>
        <x:v>2110.247902</x:v>
      </x:c>
      <x:c r="I64" s="169" t="n">
        <x:f>KOHC!G32</x:f>
        <x:v>2110.247902</x:v>
      </x:c>
      <x:c r="J64" s="169" t="n">
        <x:f>H64-I64</x:f>
        <x:v>0</x:v>
      </x:c>
      <x:c r="K64" s="168" t="str">
        <x:v>Kohat_Cement_Annual_Report_2025.pdf</x:v>
      </x:c>
      <x:c r="L64" s="168" t="n">
        <x:v>69</x:v>
      </x:c>
      <x:c r="M64" s="168" t="str">
        <x:v>Comparative</x:v>
      </x:c>
      <x:c r="N64" s="171" t="str">
        <x:v>Printed amount independently located</x:v>
      </x:c>
      <x:c r="O64" s="171" t="str">
        <x:v>Exact source amount found; audited year/current-comparative column recorded. Accounting subtotal tests performed separately.</x:v>
      </x:c>
      <x:c r="P64" s="171" t="str">
        <x:v>ols 18  4,991,311,475   5,785,683,486 
Stock-in-trade 19  2,513,556,552   1,793,742,440 
Trade debts - unsecured, considered good 20  1,692,217,832   2,110,247,902 
Short term investments 21  26,941,632,205   20,279,745,954 
Loans, advances, deposits, prepayments and other receivables 22  1,025,371,707   1,140,327,819 
Cash and bank balances</x:v>
      </x:c>
    </x:row>
    <x:row r="65" ht="82" customHeight="1">
      <x:c r="A65" s="76" t="str">
        <x:v>KOHC|debts|2025</x:v>
      </x:c>
      <x:c r="B65" s="76" t="str">
        <x:v>KOHC</x:v>
      </x:c>
      <x:c r="C65" s="76" t="str">
        <x:v>FY2025</x:v>
      </x:c>
      <x:c r="D65" s="76" t="str">
        <x:v>Trade debts</x:v>
      </x:c>
      <x:c r="E65" s="170" t="n">
        <x:v>1692217832</x:v>
      </x:c>
      <x:c r="F65" s="170" t="n">
        <x:v>1692217832</x:v>
      </x:c>
      <x:c r="G65" s="170" t="str">
        <x:v>Rupees</x:v>
      </x:c>
      <x:c r="H65" s="170" t="n">
        <x:f>F65/1000000</x:f>
        <x:v>1692.217832</x:v>
      </x:c>
      <x:c r="I65" s="170" t="n">
        <x:f>KOHC!H32</x:f>
        <x:v>1692.217832</x:v>
      </x:c>
      <x:c r="J65" s="170" t="n">
        <x:f>H65-I65</x:f>
        <x:v>0</x:v>
      </x:c>
      <x:c r="K65" s="76" t="str">
        <x:v>Kohat_Cement_Annual_Report_2025.pdf</x:v>
      </x:c>
      <x:c r="L65" s="76" t="n">
        <x:v>69</x:v>
      </x:c>
      <x:c r="M65" s="76" t="str">
        <x:v>Current year</x:v>
      </x:c>
      <x:c r="N65" s="99" t="str">
        <x:v>Printed amount independently located</x:v>
      </x:c>
      <x:c r="O65" s="99" t="str">
        <x:v>Exact source amount found; audited year/current-comparative column recorded. Accounting subtotal tests performed separately.</x:v>
      </x:c>
      <x:c r="P65" s="99" t="str">
        <x:v>res and loose tools 18  4,991,311,475   5,785,683,486 
Stock-in-trade 19  2,513,556,552   1,793,742,440 
Trade debts - unsecured, considered good 20  1,692,217,832   2,110,247,902 
Short term investments 21  26,941,632,205   20,279,745,954 
Loans, advances, deposits, prepayments and other receivables 22  1,025,371,707   1,140,327,819 
Cash a</x:v>
      </x:c>
    </x:row>
    <x:row r="66" ht="82" customHeight="1">
      <x:c r="A66" s="168" t="str">
        <x:v>KOHC|st_inv|2020</x:v>
      </x:c>
      <x:c r="B66" s="168" t="str">
        <x:v>KOHC</x:v>
      </x:c>
      <x:c r="C66" s="168" t="str">
        <x:v>FY2020</x:v>
      </x:c>
      <x:c r="D66" s="168" t="str">
        <x:v>Short-term investments</x:v>
      </x:c>
      <x:c r="E66" s="169" t="n">
        <x:v>160130600</x:v>
      </x:c>
      <x:c r="F66" s="169" t="n">
        <x:v>160130600</x:v>
      </x:c>
      <x:c r="G66" s="169" t="str">
        <x:v>Rupees</x:v>
      </x:c>
      <x:c r="H66" s="169" t="n">
        <x:f>F66/1000000</x:f>
        <x:v>160.1306</x:v>
      </x:c>
      <x:c r="I66" s="169" t="n">
        <x:f>KOHC!C33</x:f>
        <x:v>160.1306</x:v>
      </x:c>
      <x:c r="J66" s="169" t="n">
        <x:f>H66-I66</x:f>
        <x:v>0</x:v>
      </x:c>
      <x:c r="K66" s="168" t="str">
        <x:v>KOHC_AR_2021.pdf</x:v>
      </x:c>
      <x:c r="L66" s="168" t="n">
        <x:v>45</x:v>
      </x:c>
      <x:c r="M66" s="168" t="str">
        <x:v>Comparative</x:v>
      </x:c>
      <x:c r="N66" s="171" t="str">
        <x:v>Printed amount independently located</x:v>
      </x:c>
      <x:c r="O66" s="171" t="str">
        <x:v>Exact source amount found; audited year/current-comparative column recorded. Accounting subtotal tests performed separately.</x:v>
      </x:c>
      <x:c r="P66" s="171" t="str">
        <x:v>20  1,112,776,266   1,016,024,223 
Trade debts - unsecured, considered good 21  983,568,223   494,315,206 
Short term investments 22  2,999,496,423   160,130,600 
Advances, deposits, prepayments and other receivables 23  484,459,350   425,391,226 
Cash and bank balances 24  1,197,729,351   891,606,087 
     9,848,798,714   5,237,623,778</x:v>
      </x:c>
    </x:row>
    <x:row r="67" ht="82" customHeight="1">
      <x:c r="A67" s="76" t="str">
        <x:v>KOHC|st_inv|2021</x:v>
      </x:c>
      <x:c r="B67" s="76" t="str">
        <x:v>KOHC</x:v>
      </x:c>
      <x:c r="C67" s="76" t="str">
        <x:v>FY2021</x:v>
      </x:c>
      <x:c r="D67" s="76" t="str">
        <x:v>Short-term investments</x:v>
      </x:c>
      <x:c r="E67" s="170" t="n">
        <x:v>2999496423</x:v>
      </x:c>
      <x:c r="F67" s="170" t="n">
        <x:v>2999496423</x:v>
      </x:c>
      <x:c r="G67" s="170" t="str">
        <x:v>Rupees</x:v>
      </x:c>
      <x:c r="H67" s="170" t="n">
        <x:f>F67/1000000</x:f>
        <x:v>2999.496423</x:v>
      </x:c>
      <x:c r="I67" s="170" t="n">
        <x:f>KOHC!D33</x:f>
        <x:v>2999.496423</x:v>
      </x:c>
      <x:c r="J67" s="170" t="n">
        <x:f>H67-I67</x:f>
        <x:v>0</x:v>
      </x:c>
      <x:c r="K67" s="76" t="str">
        <x:v>Kohat_Cement_AR_2022.pdf</x:v>
      </x:c>
      <x:c r="L67" s="76" t="n">
        <x:v>53</x:v>
      </x:c>
      <x:c r="M67" s="76" t="str">
        <x:v>Comparative</x:v>
      </x:c>
      <x:c r="N67" s="99" t="str">
        <x:v>Printed amount independently located</x:v>
      </x:c>
      <x:c r="O67" s="99" t="str">
        <x:v>Exact source amount found; audited year/current-comparative column recorded. Accounting subtotal tests performed separately.</x:v>
      </x:c>
      <x:c r="P67" s="99" t="str">
        <x:v>1  1,456,156,782   1,112,776,266 
Trade debts - unsecured, considered good 22  916,039,469   983,568,223 
Short term investments 23  10,124,095,693   2,999,496,423 
Advances, deposits, prepayments and other receivables 24  583,944,235   484,459,350 
Cash and bank balances 25  480,765,632   1,197,729,351 
     17,775,831,447   9,848,798,714</x:v>
      </x:c>
    </x:row>
    <x:row r="68" ht="82" customHeight="1">
      <x:c r="A68" s="168" t="str">
        <x:v>KOHC|st_inv|2022</x:v>
      </x:c>
      <x:c r="B68" s="168" t="str">
        <x:v>KOHC</x:v>
      </x:c>
      <x:c r="C68" s="168" t="str">
        <x:v>FY2022</x:v>
      </x:c>
      <x:c r="D68" s="168" t="str">
        <x:v>Short-term investments</x:v>
      </x:c>
      <x:c r="E68" s="169" t="n">
        <x:v>10124095693</x:v>
      </x:c>
      <x:c r="F68" s="169" t="n">
        <x:v>10124095693</x:v>
      </x:c>
      <x:c r="G68" s="169" t="str">
        <x:v>Rupees</x:v>
      </x:c>
      <x:c r="H68" s="169" t="n">
        <x:f>F68/1000000</x:f>
        <x:v>10124.095693</x:v>
      </x:c>
      <x:c r="I68" s="169" t="n">
        <x:f>KOHC!E33</x:f>
        <x:v>10124.095693</x:v>
      </x:c>
      <x:c r="J68" s="169" t="n">
        <x:f>H68-I68</x:f>
        <x:v>0</x:v>
      </x:c>
      <x:c r="K68" s="168" t="str">
        <x:v>Financial_Statements-30-06-2023.pdf</x:v>
      </x:c>
      <x:c r="L68" s="168" t="n">
        <x:v>53</x:v>
      </x:c>
      <x:c r="M68" s="168" t="str">
        <x:v>Comparative</x:v>
      </x:c>
      <x:c r="N68" s="171" t="str">
        <x:v>Printed amount independently located</x:v>
      </x:c>
      <x:c r="O68" s="171" t="str">
        <x:v>Exact source amount found; audited year/current-comparative column recorded. Accounting subtotal tests performed separately.</x:v>
      </x:c>
      <x:c r="P68" s="171" t="str">
        <x:v>2,942,861,554   1,456,156,782 
Trade debts - unsecured, considered good 22  1,205,553,375   916,039,469 
Short term investments 23  12,335,073,816   10,124,095,693 
Loans, Advances, deposits, prepayments and other receivables 24  783,220,947   583,944,235 
Cash and bank balances 25  933,537,193   480,765,632 
     22,913,376,649   17,775,831</x:v>
      </x:c>
    </x:row>
    <x:row r="69" ht="82" customHeight="1">
      <x:c r="A69" s="76" t="str">
        <x:v>KOHC|st_inv|2023</x:v>
      </x:c>
      <x:c r="B69" s="76" t="str">
        <x:v>KOHC</x:v>
      </x:c>
      <x:c r="C69" s="76" t="str">
        <x:v>FY2023</x:v>
      </x:c>
      <x:c r="D69" s="76" t="str">
        <x:v>Short-term investments</x:v>
      </x:c>
      <x:c r="E69" s="170" t="n">
        <x:v>12335073816</x:v>
      </x:c>
      <x:c r="F69" s="170" t="n">
        <x:v>12335073816</x:v>
      </x:c>
      <x:c r="G69" s="170" t="str">
        <x:v>Rupees</x:v>
      </x:c>
      <x:c r="H69" s="170" t="n">
        <x:f>F69/1000000</x:f>
        <x:v>12335.073816</x:v>
      </x:c>
      <x:c r="I69" s="170" t="n">
        <x:f>KOHC!F33</x:f>
        <x:v>12335.073816</x:v>
      </x:c>
      <x:c r="J69" s="170" t="n">
        <x:f>H69-I69</x:f>
        <x:v>0</x:v>
      </x:c>
      <x:c r="K69" s="76" t="str">
        <x:v>Kohat_Cement_Annual_Report-2024.pdf</x:v>
      </x:c>
      <x:c r="L69" s="76" t="n">
        <x:v>59</x:v>
      </x:c>
      <x:c r="M69" s="76" t="str">
        <x:v>Comparative</x:v>
      </x:c>
      <x:c r="N69" s="99" t="str">
        <x:v>Printed amount independently located</x:v>
      </x:c>
      <x:c r="O69" s="99" t="str">
        <x:v>Exact source amount found; audited year/current-comparative column recorded. Accounting subtotal tests performed separately.</x:v>
      </x:c>
      <x:c r="P69" s="99" t="str">
        <x:v>1,793,742,440  2,942,861,554 
Trade debts - unsecured, considered good 21  2,110,247,902   1,205,553,375 
Short term investments 22  20,279,745,954   12,335,073,816 
Loans, Advances, deposits, prepayments and other receivables 23  1,222,138,891   783,220,947 
Cash and bank balances 24  1,102,649,172   933,537,193 
    32,294,207,845  22,913,3</x:v>
      </x:c>
    </x:row>
    <x:row r="70" ht="82" customHeight="1">
      <x:c r="A70" s="168" t="str">
        <x:v>KOHC|st_inv|2024</x:v>
      </x:c>
      <x:c r="B70" s="168" t="str">
        <x:v>KOHC</x:v>
      </x:c>
      <x:c r="C70" s="168" t="str">
        <x:v>FY2024</x:v>
      </x:c>
      <x:c r="D70" s="168" t="str">
        <x:v>Short-term investments</x:v>
      </x:c>
      <x:c r="E70" s="169" t="n">
        <x:v>20279745954</x:v>
      </x:c>
      <x:c r="F70" s="169" t="n">
        <x:v>20279745954</x:v>
      </x:c>
      <x:c r="G70" s="169" t="str">
        <x:v>Rupees</x:v>
      </x:c>
      <x:c r="H70" s="169" t="n">
        <x:f>F70/1000000</x:f>
        <x:v>20279.745954</x:v>
      </x:c>
      <x:c r="I70" s="169" t="n">
        <x:f>KOHC!G33</x:f>
        <x:v>20279.745954</x:v>
      </x:c>
      <x:c r="J70" s="169" t="n">
        <x:f>H70-I70</x:f>
        <x:v>0</x:v>
      </x:c>
      <x:c r="K70" s="168" t="str">
        <x:v>Kohat_Cement_Annual_Report_2025.pdf</x:v>
      </x:c>
      <x:c r="L70" s="168" t="n">
        <x:v>69</x:v>
      </x:c>
      <x:c r="M70" s="168" t="str">
        <x:v>Comparative</x:v>
      </x:c>
      <x:c r="N70" s="171" t="str">
        <x:v>Printed amount independently located</x:v>
      </x:c>
      <x:c r="O70" s="171" t="str">
        <x:v>Exact source amount found; audited year/current-comparative column recorded. Accounting subtotal tests performed separately.</x:v>
      </x:c>
      <x:c r="P70" s="171" t="str">
        <x:v>,513,556,552   1,793,742,440 
Trade debts - unsecured, considered good 20  1,692,217,832   2,110,247,902 
Short term investments 21  26,941,632,205   20,279,745,954 
Loans, advances, deposits, prepayments and other receivables 22  1,025,371,707   1,140,327,819 
Cash and bank balances 23  1,450,702,723   1,102,649,172 
     38,614,792,494   32</x:v>
      </x:c>
    </x:row>
    <x:row r="71" ht="82" customHeight="1">
      <x:c r="A71" s="76" t="str">
        <x:v>KOHC|st_inv|2025</x:v>
      </x:c>
      <x:c r="B71" s="76" t="str">
        <x:v>KOHC</x:v>
      </x:c>
      <x:c r="C71" s="76" t="str">
        <x:v>FY2025</x:v>
      </x:c>
      <x:c r="D71" s="76" t="str">
        <x:v>Short-term investments</x:v>
      </x:c>
      <x:c r="E71" s="170" t="n">
        <x:v>26941632205</x:v>
      </x:c>
      <x:c r="F71" s="170" t="n">
        <x:v>26941632205</x:v>
      </x:c>
      <x:c r="G71" s="170" t="str">
        <x:v>Rupees</x:v>
      </x:c>
      <x:c r="H71" s="170" t="n">
        <x:f>F71/1000000</x:f>
        <x:v>26941.632205</x:v>
      </x:c>
      <x:c r="I71" s="170" t="n">
        <x:f>KOHC!H33</x:f>
        <x:v>26941.632205</x:v>
      </x:c>
      <x:c r="J71" s="170" t="n">
        <x:f>H71-I71</x:f>
        <x:v>0</x:v>
      </x:c>
      <x:c r="K71" s="76" t="str">
        <x:v>Kohat_Cement_Annual_Report_2025.pdf</x:v>
      </x:c>
      <x:c r="L71" s="76" t="n">
        <x:v>69</x:v>
      </x:c>
      <x:c r="M71" s="76" t="str">
        <x:v>Current year</x:v>
      </x:c>
      <x:c r="N71" s="99" t="str">
        <x:v>Printed amount independently located</x:v>
      </x:c>
      <x:c r="O71" s="99" t="str">
        <x:v>Exact source amount found; audited year/current-comparative column recorded. Accounting subtotal tests performed separately.</x:v>
      </x:c>
      <x:c r="P71" s="99" t="str">
        <x:v>ck-in-trade 19  2,513,556,552   1,793,742,440 
Trade debts - unsecured, considered good 20  1,692,217,832   2,110,247,902 
Short term investments 21  26,941,632,205   20,279,745,954 
Loans, advances, deposits, prepayments and other receivables 22  1,025,371,707   1,140,327,819 
Cash and bank balances 23  1,450,702,723   1,102,649,172 
     38</x:v>
      </x:c>
    </x:row>
    <x:row r="72" ht="82" customHeight="1">
      <x:c r="A72" s="168" t="str">
        <x:v>KOHC|cash|2020</x:v>
      </x:c>
      <x:c r="B72" s="168" t="str">
        <x:v>KOHC</x:v>
      </x:c>
      <x:c r="C72" s="168" t="str">
        <x:v>FY2020</x:v>
      </x:c>
      <x:c r="D72" s="168" t="str">
        <x:v>Cash and bank balances</x:v>
      </x:c>
      <x:c r="E72" s="169" t="n">
        <x:v>891606087</x:v>
      </x:c>
      <x:c r="F72" s="169" t="n">
        <x:v>891606087</x:v>
      </x:c>
      <x:c r="G72" s="169" t="str">
        <x:v>Rupees</x:v>
      </x:c>
      <x:c r="H72" s="169" t="n">
        <x:f>F72/1000000</x:f>
        <x:v>891.606087</x:v>
      </x:c>
      <x:c r="I72" s="169" t="n">
        <x:f>KOHC!C34</x:f>
        <x:v>891.606087</x:v>
      </x:c>
      <x:c r="J72" s="169" t="n">
        <x:f>H72-I72</x:f>
        <x:v>0</x:v>
      </x:c>
      <x:c r="K72" s="168" t="str">
        <x:v>KOHC_AR_2021.pdf</x:v>
      </x:c>
      <x:c r="L72" s="168" t="n">
        <x:v>45</x:v>
      </x:c>
      <x:c r="M72" s="168" t="str">
        <x:v>Comparative</x:v>
      </x:c>
      <x:c r="N72" s="171" t="str">
        <x:v>Printed amount independently located</x:v>
      </x:c>
      <x:c r="O72" s="171" t="str">
        <x:v>Exact source amount found; audited year/current-comparative column recorded. Accounting subtotal tests performed separately.</x:v>
      </x:c>
      <x:c r="P72" s="171" t="str">
        <x:v>96,423   160,130,600 
Advances, deposits, prepayments and other receivables 23  484,459,350   425,391,226 
Cash and bank balances 24  1,197,729,351   891,606,087 
     9,848,798,714   5,237,623,778 
     36,086,921,437   31,756,667,306 
Chief Financial Officer     Director
Building a Foundation for
and
INNOV ATION
GROWTH</x:v>
      </x:c>
    </x:row>
    <x:row r="73" ht="82" customHeight="1">
      <x:c r="A73" s="76" t="str">
        <x:v>KOHC|cash|2021</x:v>
      </x:c>
      <x:c r="B73" s="76" t="str">
        <x:v>KOHC</x:v>
      </x:c>
      <x:c r="C73" s="76" t="str">
        <x:v>FY2021</x:v>
      </x:c>
      <x:c r="D73" s="76" t="str">
        <x:v>Cash and bank balances</x:v>
      </x:c>
      <x:c r="E73" s="170" t="n">
        <x:v>1197729351</x:v>
      </x:c>
      <x:c r="F73" s="170" t="n">
        <x:v>1197729351</x:v>
      </x:c>
      <x:c r="G73" s="170" t="str">
        <x:v>Rupees</x:v>
      </x:c>
      <x:c r="H73" s="170" t="n">
        <x:f>F73/1000000</x:f>
        <x:v>1197.729351</x:v>
      </x:c>
      <x:c r="I73" s="170" t="n">
        <x:f>KOHC!D34</x:f>
        <x:v>1197.729351</x:v>
      </x:c>
      <x:c r="J73" s="170" t="n">
        <x:f>H73-I73</x:f>
        <x:v>0</x:v>
      </x:c>
      <x:c r="K73" s="76" t="str">
        <x:v>Kohat_Cement_AR_2022.pdf</x:v>
      </x:c>
      <x:c r="L73" s="76" t="n">
        <x:v>53</x:v>
      </x:c>
      <x:c r="M73" s="76" t="str">
        <x:v>Comparative</x:v>
      </x:c>
      <x:c r="N73" s="99" t="str">
        <x:v>Printed amount independently located</x:v>
      </x:c>
      <x:c r="O73" s="99" t="str">
        <x:v>Exact source amount found; audited year/current-comparative column recorded. Accounting subtotal tests performed separately.</x:v>
      </x:c>
      <x:c r="P73" s="99" t="str">
        <x:v>95,693   2,999,496,423 
Advances, deposits, prepayments and other receivables 24  583,944,235   484,459,350 
Cash and bank balances 25  480,765,632   1,197,729,351 
     17,775,831,447   9,848,798,714 
     43,350,667,844   36,086,921,437 
Chief Financial Officer     Director
51
Annual</x:v>
      </x:c>
    </x:row>
    <x:row r="74" ht="82" customHeight="1">
      <x:c r="A74" s="168" t="str">
        <x:v>KOHC|cash|2022</x:v>
      </x:c>
      <x:c r="B74" s="168" t="str">
        <x:v>KOHC</x:v>
      </x:c>
      <x:c r="C74" s="168" t="str">
        <x:v>FY2022</x:v>
      </x:c>
      <x:c r="D74" s="168" t="str">
        <x:v>Cash and bank balances</x:v>
      </x:c>
      <x:c r="E74" s="169" t="n">
        <x:v>480765632</x:v>
      </x:c>
      <x:c r="F74" s="169" t="n">
        <x:v>480765632</x:v>
      </x:c>
      <x:c r="G74" s="169" t="str">
        <x:v>Rupees</x:v>
      </x:c>
      <x:c r="H74" s="169" t="n">
        <x:f>F74/1000000</x:f>
        <x:v>480.765632</x:v>
      </x:c>
      <x:c r="I74" s="169" t="n">
        <x:f>KOHC!E34</x:f>
        <x:v>480.765632</x:v>
      </x:c>
      <x:c r="J74" s="169" t="n">
        <x:f>H74-I74</x:f>
        <x:v>0</x:v>
      </x:c>
      <x:c r="K74" s="168" t="str">
        <x:v>Financial_Statements-30-06-2023.pdf</x:v>
      </x:c>
      <x:c r="L74" s="168" t="n">
        <x:v>53</x:v>
      </x:c>
      <x:c r="M74" s="168" t="str">
        <x:v>Comparative</x:v>
      </x:c>
      <x:c r="N74" s="171" t="str">
        <x:v>Printed amount independently located</x:v>
      </x:c>
      <x:c r="O74" s="171" t="str">
        <x:v>Exact source amount found; audited year/current-comparative column recorded. Accounting subtotal tests performed separately.</x:v>
      </x:c>
      <x:c r="P74" s="171" t="str">
        <x:v>10,124,095,693 
Loans, Advances, deposits, prepayments and other receivables 24  783,220,947   583,944,235 
Cash and bank balances 25  933,537,193   480,765,632 
     22,913,376,649   17,775,831,447
     49,530,075,545   43,350,667,844 
Chief Executive Officer     Director</x:v>
      </x:c>
    </x:row>
    <x:row r="75" ht="82" customHeight="1">
      <x:c r="A75" s="76" t="str">
        <x:v>KOHC|cash|2023</x:v>
      </x:c>
      <x:c r="B75" s="76" t="str">
        <x:v>KOHC</x:v>
      </x:c>
      <x:c r="C75" s="76" t="str">
        <x:v>FY2023</x:v>
      </x:c>
      <x:c r="D75" s="76" t="str">
        <x:v>Cash and bank balances</x:v>
      </x:c>
      <x:c r="E75" s="170" t="n">
        <x:v>933537193</x:v>
      </x:c>
      <x:c r="F75" s="170" t="n">
        <x:v>933537193</x:v>
      </x:c>
      <x:c r="G75" s="170" t="str">
        <x:v>Rupees</x:v>
      </x:c>
      <x:c r="H75" s="170" t="n">
        <x:f>F75/1000000</x:f>
        <x:v>933.537193</x:v>
      </x:c>
      <x:c r="I75" s="170" t="n">
        <x:f>KOHC!F34</x:f>
        <x:v>933.537193</x:v>
      </x:c>
      <x:c r="J75" s="170" t="n">
        <x:f>H75-I75</x:f>
        <x:v>0</x:v>
      </x:c>
      <x:c r="K75" s="76" t="str">
        <x:v>Kohat_Cement_Annual_Report-2024.pdf</x:v>
      </x:c>
      <x:c r="L75" s="76" t="n">
        <x:v>59</x:v>
      </x:c>
      <x:c r="M75" s="76" t="str">
        <x:v>Comparative</x:v>
      </x:c>
      <x:c r="N75" s="99" t="str">
        <x:v>Printed amount independently located</x:v>
      </x:c>
      <x:c r="O75" s="99" t="str">
        <x:v>Exact source amount found; audited year/current-comparative column recorded. Accounting subtotal tests performed separately.</x:v>
      </x:c>
      <x:c r="P75" s="99" t="str">
        <x:v>335,073,816 
Loans, Advances, deposits, prepayments and other receivables 23  1,222,138,891   783,220,947 
Cash and bank balances 24  1,102,649,172   933,537,193 
    32,294,207,845  22,913,376,649 
    58,843,295,197  49,530,075,545 
Chief Executive Officer     Director</x:v>
      </x:c>
    </x:row>
    <x:row r="76" ht="82" customHeight="1">
      <x:c r="A76" s="168" t="str">
        <x:v>KOHC|cash|2024</x:v>
      </x:c>
      <x:c r="B76" s="168" t="str">
        <x:v>KOHC</x:v>
      </x:c>
      <x:c r="C76" s="168" t="str">
        <x:v>FY2024</x:v>
      </x:c>
      <x:c r="D76" s="168" t="str">
        <x:v>Cash and bank balances</x:v>
      </x:c>
      <x:c r="E76" s="169" t="n">
        <x:v>1102649172</x:v>
      </x:c>
      <x:c r="F76" s="169" t="n">
        <x:v>1102649172</x:v>
      </x:c>
      <x:c r="G76" s="169" t="str">
        <x:v>Rupees</x:v>
      </x:c>
      <x:c r="H76" s="169" t="n">
        <x:f>F76/1000000</x:f>
        <x:v>1102.649172</x:v>
      </x:c>
      <x:c r="I76" s="169" t="n">
        <x:f>KOHC!G34</x:f>
        <x:v>1102.649172</x:v>
      </x:c>
      <x:c r="J76" s="169" t="n">
        <x:f>H76-I76</x:f>
        <x:v>0</x:v>
      </x:c>
      <x:c r="K76" s="168" t="str">
        <x:v>Kohat_Cement_Annual_Report_2025.pdf</x:v>
      </x:c>
      <x:c r="L76" s="168" t="n">
        <x:v>69</x:v>
      </x:c>
      <x:c r="M76" s="168" t="str">
        <x:v>Comparative</x:v>
      </x:c>
      <x:c r="N76" s="171" t="str">
        <x:v>Printed amount independently located</x:v>
      </x:c>
      <x:c r="O76" s="171" t="str">
        <x:v>Exact source amount found; audited year/current-comparative column recorded. Accounting subtotal tests performed separately.</x:v>
      </x:c>
      <x:c r="P76" s="171" t="str">
        <x:v>9,745,954 
Loans, advances, deposits, prepayments and other receivables 22  1,025,371,707   1,140,327,819 
Cash and bank balances 23  1,450,702,723   1,102,649,172 
     38,614,792,494   32,212,396,773 
     66,794,311,768   58,843,295,197
Chief Executive Officer     Director
Annual Report 2025</x:v>
      </x:c>
    </x:row>
    <x:row r="77" ht="82" customHeight="1">
      <x:c r="A77" s="76" t="str">
        <x:v>KOHC|cash|2025</x:v>
      </x:c>
      <x:c r="B77" s="76" t="str">
        <x:v>KOHC</x:v>
      </x:c>
      <x:c r="C77" s="76" t="str">
        <x:v>FY2025</x:v>
      </x:c>
      <x:c r="D77" s="76" t="str">
        <x:v>Cash and bank balances</x:v>
      </x:c>
      <x:c r="E77" s="170" t="n">
        <x:v>1450702723</x:v>
      </x:c>
      <x:c r="F77" s="170" t="n">
        <x:v>1450702723</x:v>
      </x:c>
      <x:c r="G77" s="170" t="str">
        <x:v>Rupees</x:v>
      </x:c>
      <x:c r="H77" s="170" t="n">
        <x:f>F77/1000000</x:f>
        <x:v>1450.702723</x:v>
      </x:c>
      <x:c r="I77" s="170" t="n">
        <x:f>KOHC!H34</x:f>
        <x:v>1450.702723</x:v>
      </x:c>
      <x:c r="J77" s="170" t="n">
        <x:f>H77-I77</x:f>
        <x:v>0</x:v>
      </x:c>
      <x:c r="K77" s="76" t="str">
        <x:v>Kohat_Cement_Annual_Report_2025.pdf</x:v>
      </x:c>
      <x:c r="L77" s="76" t="n">
        <x:v>69</x:v>
      </x:c>
      <x:c r="M77" s="76" t="str">
        <x:v>Current year</x:v>
      </x:c>
      <x:c r="N77" s="99" t="str">
        <x:v>Printed amount independently located</x:v>
      </x:c>
      <x:c r="O77" s="99" t="str">
        <x:v>Exact source amount found; audited year/current-comparative column recorded. Accounting subtotal tests performed separately.</x:v>
      </x:c>
      <x:c r="P77" s="99" t="str">
        <x:v>,632,205   20,279,745,954 
Loans, advances, deposits, prepayments and other receivables 22  1,025,371,707   1,140,327,819 
Cash and bank balances 23  1,450,702,723   1,102,649,172 
     38,614,792,494   32,212,396,773 
     66,794,311,768   58,843,295,197
Chief Executive Officer     Director
An</x:v>
      </x:c>
    </x:row>
    <x:row r="78" ht="82" customHeight="1">
      <x:c r="A78" s="168" t="str">
        <x:v>KOHC|ca_other|2020</x:v>
      </x:c>
      <x:c r="B78" s="168" t="str">
        <x:v>KOHC</x:v>
      </x:c>
      <x:c r="C78" s="168" t="str">
        <x:v>FY2020</x:v>
      </x:c>
      <x:c r="D78" s="168" t="str">
        <x:v>Other current assets</x:v>
      </x:c>
      <x:c r="E78" s="169" t="n">
        <x:v>425391226</x:v>
      </x:c>
      <x:c r="F78" s="169" t="n">
        <x:v>425391226</x:v>
      </x:c>
      <x:c r="G78" s="169" t="str">
        <x:v>Rupees</x:v>
      </x:c>
      <x:c r="H78" s="169" t="n">
        <x:f>F78/1000000</x:f>
        <x:v>425.391226</x:v>
      </x:c>
      <x:c r="I78" s="169" t="n">
        <x:f>KOHC!C35</x:f>
        <x:v>425.391226</x:v>
      </x:c>
      <x:c r="J78" s="169" t="n">
        <x:f>H78-I78</x:f>
        <x:v>0</x:v>
      </x:c>
      <x:c r="K78" s="168" t="str">
        <x:v>KOHC_AR_2021.pdf</x:v>
      </x:c>
      <x:c r="L78" s="168" t="n">
        <x:v>45</x:v>
      </x:c>
      <x:c r="M78" s="168" t="str">
        <x:v>Comparative</x:v>
      </x:c>
      <x:c r="N78" s="171" t="str">
        <x:v>Printed amount independently located</x:v>
      </x:c>
      <x:c r="O78" s="171" t="str">
        <x:v>Exact source amount found; audited year/current-comparative column recorded. Accounting subtotal tests performed separately.</x:v>
      </x:c>
      <x:c r="P78" s="171" t="str">
        <x:v>68,223   494,315,206 
Short term investments 22  2,999,496,423   160,130,600 
Advances, deposits, prepayments and other receivables 23  484,459,350   425,391,226 
Cash and bank balances 24  1,197,729,351   891,606,087 
     9,848,798,714   5,237,623,778 
     36,086,921,437   31,756,667,306 
Chief Financial Officer     Di</x:v>
      </x:c>
    </x:row>
    <x:row r="79" ht="82" customHeight="1">
      <x:c r="A79" s="76" t="str">
        <x:v>KOHC|ca_other|2021</x:v>
      </x:c>
      <x:c r="B79" s="76" t="str">
        <x:v>KOHC</x:v>
      </x:c>
      <x:c r="C79" s="76" t="str">
        <x:v>FY2021</x:v>
      </x:c>
      <x:c r="D79" s="76" t="str">
        <x:v>Other current assets</x:v>
      </x:c>
      <x:c r="E79" s="170" t="n">
        <x:v>484459350</x:v>
      </x:c>
      <x:c r="F79" s="170" t="n">
        <x:v>484459350</x:v>
      </x:c>
      <x:c r="G79" s="170" t="str">
        <x:v>Rupees</x:v>
      </x:c>
      <x:c r="H79" s="170" t="n">
        <x:f>F79/1000000</x:f>
        <x:v>484.45935</x:v>
      </x:c>
      <x:c r="I79" s="170" t="n">
        <x:f>KOHC!D35</x:f>
        <x:v>484.45935</x:v>
      </x:c>
      <x:c r="J79" s="170" t="n">
        <x:f>H79-I79</x:f>
        <x:v>0</x:v>
      </x:c>
      <x:c r="K79" s="76" t="str">
        <x:v>Kohat_Cement_AR_2022.pdf</x:v>
      </x:c>
      <x:c r="L79" s="76" t="n">
        <x:v>53</x:v>
      </x:c>
      <x:c r="M79" s="76" t="str">
        <x:v>Comparative</x:v>
      </x:c>
      <x:c r="N79" s="99" t="str">
        <x:v>Printed amount independently located</x:v>
      </x:c>
      <x:c r="O79" s="99" t="str">
        <x:v>Exact source amount found; audited year/current-comparative column recorded. Accounting subtotal tests performed separately.</x:v>
      </x:c>
      <x:c r="P79" s="99" t="str">
        <x:v>469   983,568,223 
Short term investments 23  10,124,095,693   2,999,496,423 
Advances, deposits, prepayments and other receivables 24  583,944,235   484,459,350 
Cash and bank balances 25  480,765,632   1,197,729,351 
     17,775,831,447   9,848,798,714 
     43,350,667,844   36,086,</x:v>
      </x:c>
    </x:row>
    <x:row r="80" ht="82" customHeight="1">
      <x:c r="A80" s="168" t="str">
        <x:v>KOHC|ca_other|2022</x:v>
      </x:c>
      <x:c r="B80" s="168" t="str">
        <x:v>KOHC</x:v>
      </x:c>
      <x:c r="C80" s="168" t="str">
        <x:v>FY2022</x:v>
      </x:c>
      <x:c r="D80" s="168" t="str">
        <x:v>Other current assets</x:v>
      </x:c>
      <x:c r="E80" s="169" t="n">
        <x:v>583944235</x:v>
      </x:c>
      <x:c r="F80" s="169" t="n">
        <x:v>583944235</x:v>
      </x:c>
      <x:c r="G80" s="169" t="str">
        <x:v>Rupees</x:v>
      </x:c>
      <x:c r="H80" s="169" t="n">
        <x:f>F80/1000000</x:f>
        <x:v>583.944235</x:v>
      </x:c>
      <x:c r="I80" s="169" t="n">
        <x:f>KOHC!E35</x:f>
        <x:v>583.944235</x:v>
      </x:c>
      <x:c r="J80" s="169" t="n">
        <x:f>H80-I80</x:f>
        <x:v>0</x:v>
      </x:c>
      <x:c r="K80" s="168" t="str">
        <x:v>Financial_Statements-30-06-2023.pdf</x:v>
      </x:c>
      <x:c r="L80" s="168" t="n">
        <x:v>53</x:v>
      </x:c>
      <x:c r="M80" s="168" t="str">
        <x:v>Comparative</x:v>
      </x:c>
      <x:c r="N80" s="171" t="str">
        <x:v>Printed amount independently located</x:v>
      </x:c>
      <x:c r="O80" s="171" t="str">
        <x:v>Exact source amount found; audited year/current-comparative column recorded. Accounting subtotal tests performed separately.</x:v>
      </x:c>
      <x:c r="P80" s="171" t="str">
        <x:v>6,039,469 
Short term investments 23  12,335,073,816   10,124,095,693 
Loans, Advances, deposits, prepayments and other receivables 24  783,220,947   583,944,235 
Cash and bank balances 25  933,537,193   480,765,632 
     22,913,376,649   17,775,831,447
     49,530,075,545   43,350,667,844 
Chief E</x:v>
      </x:c>
    </x:row>
    <x:row r="81" ht="82" customHeight="1">
      <x:c r="A81" s="76" t="str">
        <x:v>KOHC|ca_other|2023</x:v>
      </x:c>
      <x:c r="B81" s="76" t="str">
        <x:v>KOHC</x:v>
      </x:c>
      <x:c r="C81" s="76" t="str">
        <x:v>FY2023</x:v>
      </x:c>
      <x:c r="D81" s="76" t="str">
        <x:v>Other current assets</x:v>
      </x:c>
      <x:c r="E81" s="170" t="n">
        <x:v>783220947</x:v>
      </x:c>
      <x:c r="F81" s="170" t="n">
        <x:v>783220947</x:v>
      </x:c>
      <x:c r="G81" s="170" t="str">
        <x:v>Rupees</x:v>
      </x:c>
      <x:c r="H81" s="170" t="n">
        <x:f>F81/1000000</x:f>
        <x:v>783.220947</x:v>
      </x:c>
      <x:c r="I81" s="170" t="n">
        <x:f>KOHC!F35</x:f>
        <x:v>783.220947</x:v>
      </x:c>
      <x:c r="J81" s="170" t="n">
        <x:f>H81-I81</x:f>
        <x:v>0</x:v>
      </x:c>
      <x:c r="K81" s="76" t="str">
        <x:v>Kohat_Cement_Annual_Report-2024.pdf</x:v>
      </x:c>
      <x:c r="L81" s="76" t="n">
        <x:v>59</x:v>
      </x:c>
      <x:c r="M81" s="76" t="str">
        <x:v>Comparative</x:v>
      </x:c>
      <x:c r="N81" s="99" t="str">
        <x:v>Printed amount independently located</x:v>
      </x:c>
      <x:c r="O81" s="99" t="str">
        <x:v>Exact source amount found; audited year/current-comparative column recorded. Accounting subtotal tests performed separately.</x:v>
      </x:c>
      <x:c r="P81" s="99" t="str">
        <x:v>553,375 
Short term investments 22  20,279,745,954   12,335,073,816 
Loans, Advances, deposits, prepayments and other receivables 23  1,222,138,891   783,220,947 
Cash and bank balances 24  1,102,649,172   933,537,193 
    32,294,207,845  22,913,376,649 
    58,843,295,197  49,530,075,545 
Ch</x:v>
      </x:c>
    </x:row>
    <x:row r="82" ht="82" customHeight="1">
      <x:c r="A82" s="168" t="str">
        <x:v>KOHC|ca_other|2024</x:v>
      </x:c>
      <x:c r="B82" s="168" t="str">
        <x:v>KOHC</x:v>
      </x:c>
      <x:c r="C82" s="168" t="str">
        <x:v>FY2024</x:v>
      </x:c>
      <x:c r="D82" s="168" t="str">
        <x:v>Other current assets</x:v>
      </x:c>
      <x:c r="E82" s="169" t="n">
        <x:v>1140327819</x:v>
      </x:c>
      <x:c r="F82" s="169" t="n">
        <x:v>1140327819</x:v>
      </x:c>
      <x:c r="G82" s="169" t="str">
        <x:v>Rupees</x:v>
      </x:c>
      <x:c r="H82" s="169" t="n">
        <x:f>F82/1000000</x:f>
        <x:v>1140.327819</x:v>
      </x:c>
      <x:c r="I82" s="169" t="n">
        <x:f>KOHC!G35</x:f>
        <x:v>1140.327819</x:v>
      </x:c>
      <x:c r="J82" s="169" t="n">
        <x:f>H82-I82</x:f>
        <x:v>0</x:v>
      </x:c>
      <x:c r="K82" s="168" t="str">
        <x:v>Kohat_Cement_Annual_Report_2025.pdf</x:v>
      </x:c>
      <x:c r="L82" s="168" t="n">
        <x:v>69</x:v>
      </x:c>
      <x:c r="M82" s="168" t="str">
        <x:v>Comparative</x:v>
      </x:c>
      <x:c r="N82" s="171" t="str">
        <x:v>Printed amount independently located</x:v>
      </x:c>
      <x:c r="O82" s="171" t="str">
        <x:v>Exact source amount found; audited year/current-comparative column recorded. Accounting subtotal tests performed separately.</x:v>
      </x:c>
      <x:c r="P82" s="171" t="str">
        <x:v>247,902 
Short term investments 21  26,941,632,205   20,279,745,954 
Loans, advances, deposits, prepayments and other receivables 22  1,025,371,707   1,140,327,819 
Cash and bank balances 23  1,450,702,723   1,102,649,172 
     38,614,792,494   32,212,396,773 
     66,794,311,768   58,843,295,1</x:v>
      </x:c>
    </x:row>
    <x:row r="83" ht="82" customHeight="1">
      <x:c r="A83" s="76" t="str">
        <x:v>KOHC|ca_other|2025</x:v>
      </x:c>
      <x:c r="B83" s="76" t="str">
        <x:v>KOHC</x:v>
      </x:c>
      <x:c r="C83" s="76" t="str">
        <x:v>FY2025</x:v>
      </x:c>
      <x:c r="D83" s="76" t="str">
        <x:v>Other current assets</x:v>
      </x:c>
      <x:c r="E83" s="170" t="n">
        <x:v>1025371707</x:v>
      </x:c>
      <x:c r="F83" s="170" t="n">
        <x:v>1025371707</x:v>
      </x:c>
      <x:c r="G83" s="170" t="str">
        <x:v>Rupees</x:v>
      </x:c>
      <x:c r="H83" s="170" t="n">
        <x:f>F83/1000000</x:f>
        <x:v>1025.371707</x:v>
      </x:c>
      <x:c r="I83" s="170" t="n">
        <x:f>KOHC!H35</x:f>
        <x:v>1025.371707</x:v>
      </x:c>
      <x:c r="J83" s="170" t="n">
        <x:f>H83-I83</x:f>
        <x:v>0</x:v>
      </x:c>
      <x:c r="K83" s="76" t="str">
        <x:v>Kohat_Cement_Annual_Report_2025.pdf</x:v>
      </x:c>
      <x:c r="L83" s="76" t="n">
        <x:v>69</x:v>
      </x:c>
      <x:c r="M83" s="76" t="str">
        <x:v>Current year</x:v>
      </x:c>
      <x:c r="N83" s="99" t="str">
        <x:v>Printed amount independently located</x:v>
      </x:c>
      <x:c r="O83" s="99" t="str">
        <x:v>Exact source amount found; audited year/current-comparative column recorded. Accounting subtotal tests performed separately.</x:v>
      </x:c>
      <x:c r="P83" s="99" t="str">
        <x:v>217,832   2,110,247,902 
Short term investments 21  26,941,632,205   20,279,745,954 
Loans, advances, deposits, prepayments and other receivables 22  1,025,371,707   1,140,327,819 
Cash and bank balances 23  1,450,702,723   1,102,649,172 
     38,614,792,494   32,212,396,773 
     66,794,311,76</x:v>
      </x:c>
    </x:row>
    <x:row r="84" ht="82" customHeight="1">
      <x:c r="A84" s="168" t="str">
        <x:v>KOHC|share_cap|2020</x:v>
      </x:c>
      <x:c r="B84" s="168" t="str">
        <x:v>KOHC</x:v>
      </x:c>
      <x:c r="C84" s="168" t="str">
        <x:v>FY2020</x:v>
      </x:c>
      <x:c r="D84" s="168" t="str">
        <x:v>Issued, subscribed and paid-up share capital</x:v>
      </x:c>
      <x:c r="E84" s="169" t="n">
        <x:v>2008612970</x:v>
      </x:c>
      <x:c r="F84" s="169" t="n">
        <x:v>2008612970</x:v>
      </x:c>
      <x:c r="G84" s="169" t="str">
        <x:v>Rupees</x:v>
      </x:c>
      <x:c r="H84" s="169" t="n">
        <x:f>F84/1000000</x:f>
        <x:v>2008.61297</x:v>
      </x:c>
      <x:c r="I84" s="169" t="n">
        <x:f>KOHC!C39</x:f>
        <x:v>2008.61297</x:v>
      </x:c>
      <x:c r="J84" s="169" t="n">
        <x:f>H84-I84</x:f>
        <x:v>0</x:v>
      </x:c>
      <x:c r="K84" s="168" t="str">
        <x:v>KOHC_AR_2021.pdf</x:v>
      </x:c>
      <x:c r="L84" s="168" t="n">
        <x:v>44</x:v>
      </x:c>
      <x:c r="M84" s="168" t="str">
        <x:v>Comparative</x:v>
      </x:c>
      <x:c r="N84" s="171" t="str">
        <x:v>Printed amount independently located</x:v>
      </x:c>
      <x:c r="O84" s="171" t="str">
        <x:v>Exact source amount found; audited year/current-comparative column recorded. Accounting subtotal tests performed separately.</x:v>
      </x:c>
      <x:c r="P84" s="171" t="str">
        <x:v>20
 Note Rupees Rupees
EQUITY AND LIABILITIES
Authorized share capital 4  3,000,000,000   3,000,000,000 
Issued, subscribed and paid-up capital 4  2,008,612,970   2,008,612,970 
Reserves 5  119,105,065   119,746,265 
Accumulated profits   20,095,821,336   16,598,314,089 
     22,223,539,371   18,726,673,324 
Non-current liabilities   
Lon</x:v>
      </x:c>
    </x:row>
    <x:row r="85" ht="82" customHeight="1">
      <x:c r="A85" s="76" t="str">
        <x:v>KOHC|share_cap|2021</x:v>
      </x:c>
      <x:c r="B85" s="76" t="str">
        <x:v>KOHC</x:v>
      </x:c>
      <x:c r="C85" s="76" t="str">
        <x:v>FY2021</x:v>
      </x:c>
      <x:c r="D85" s="76" t="str">
        <x:v>Issued, subscribed and paid-up share capital</x:v>
      </x:c>
      <x:c r="E85" s="170" t="n">
        <x:v>2008612970</x:v>
      </x:c>
      <x:c r="F85" s="170" t="n">
        <x:v>2008612970</x:v>
      </x:c>
      <x:c r="G85" s="170" t="str">
        <x:v>Rupees</x:v>
      </x:c>
      <x:c r="H85" s="170" t="n">
        <x:f>F85/1000000</x:f>
        <x:v>2008.61297</x:v>
      </x:c>
      <x:c r="I85" s="170" t="n">
        <x:f>KOHC!D39</x:f>
        <x:v>2008.61297</x:v>
      </x:c>
      <x:c r="J85" s="170" t="n">
        <x:f>H85-I85</x:f>
        <x:v>0</x:v>
      </x:c>
      <x:c r="K85" s="76" t="str">
        <x:v>Kohat_Cement_AR_2022.pdf</x:v>
      </x:c>
      <x:c r="L85" s="76" t="n">
        <x:v>52</x:v>
      </x:c>
      <x:c r="M85" s="76" t="str">
        <x:v>Comparative</x:v>
      </x:c>
      <x:c r="N85" s="99" t="str">
        <x:v>Printed amount independently located</x:v>
      </x:c>
      <x:c r="O85" s="99" t="str">
        <x:v>Exact source amount found; audited year/current-comparative column recorded. Accounting subtotal tests performed separately.</x:v>
      </x:c>
      <x:c r="P85" s="99" t="str">
        <x:v>21
 Note Rupees Rupees
EQUITY AND LIABILITIES 
Authorized share capital 4  3,000,000,000   3,000,000,000 
Issued, subscribed and paid-up capital 4  2,008,612,970   2,008,612,970 
Reserves 5  117,505,665   119,105,065 
Accumulated profits   25,120,101,596   20,095,821,336 
     27,246,220,231   22,223,539,371 
Non-current liabilities  
Long</x:v>
      </x:c>
    </x:row>
    <x:row r="86" ht="82" customHeight="1">
      <x:c r="A86" s="168" t="str">
        <x:v>KOHC|share_cap|2022</x:v>
      </x:c>
      <x:c r="B86" s="168" t="str">
        <x:v>KOHC</x:v>
      </x:c>
      <x:c r="C86" s="168" t="str">
        <x:v>FY2022</x:v>
      </x:c>
      <x:c r="D86" s="168" t="str">
        <x:v>Issued, subscribed and paid-up share capital</x:v>
      </x:c>
      <x:c r="E86" s="169" t="n">
        <x:v>2008612970</x:v>
      </x:c>
      <x:c r="F86" s="169" t="n">
        <x:v>2008612970</x:v>
      </x:c>
      <x:c r="G86" s="169" t="str">
        <x:v>Rupees</x:v>
      </x:c>
      <x:c r="H86" s="169" t="n">
        <x:f>F86/1000000</x:f>
        <x:v>2008.61297</x:v>
      </x:c>
      <x:c r="I86" s="169" t="n">
        <x:f>KOHC!E39</x:f>
        <x:v>2008.61297</x:v>
      </x:c>
      <x:c r="J86" s="169" t="n">
        <x:f>H86-I86</x:f>
        <x:v>0</x:v>
      </x:c>
      <x:c r="K86" s="168" t="str">
        <x:v>Financial_Statements-30-06-2023.pdf</x:v>
      </x:c>
      <x:c r="L86" s="168" t="n">
        <x:v>52</x:v>
      </x:c>
      <x:c r="M86" s="168" t="str">
        <x:v>Comparative</x:v>
      </x:c>
      <x:c r="N86" s="171" t="str">
        <x:v>Printed amount independently located</x:v>
      </x:c>
      <x:c r="O86" s="171" t="str">
        <x:v>Exact source amount found; audited year/current-comparative column recorded. Accounting subtotal tests performed separately.</x:v>
      </x:c>
      <x:c r="P86" s="171" t="str">
        <x:v>22
 Note Rupees Rupees
EQUITY AND LIABILITIES 
Authorized share capital 4  3,000,000,000   3,000,000,000 
Issued, subscribed and paid-up capital 4  2,008,612,970   2,008,612,970 
Reserves 5  117,280,665   117,505,665 
Accumulated profits   30,484,151,337   25,120,101,596 
     32,610,044,972   27,246,220,231 
Non-current liabilities  
Long</x:v>
      </x:c>
    </x:row>
    <x:row r="87" ht="82" customHeight="1">
      <x:c r="A87" s="76" t="str">
        <x:v>KOHC|share_cap|2023</x:v>
      </x:c>
      <x:c r="B87" s="76" t="str">
        <x:v>KOHC</x:v>
      </x:c>
      <x:c r="C87" s="76" t="str">
        <x:v>FY2023</x:v>
      </x:c>
      <x:c r="D87" s="76" t="str">
        <x:v>Issued, subscribed and paid-up share capital</x:v>
      </x:c>
      <x:c r="E87" s="170" t="n">
        <x:v>2008612970</x:v>
      </x:c>
      <x:c r="F87" s="170" t="n">
        <x:v>2008612970</x:v>
      </x:c>
      <x:c r="G87" s="170" t="str">
        <x:v>Rupees</x:v>
      </x:c>
      <x:c r="H87" s="170" t="n">
        <x:f>F87/1000000</x:f>
        <x:v>2008.61297</x:v>
      </x:c>
      <x:c r="I87" s="170" t="n">
        <x:f>KOHC!F39</x:f>
        <x:v>2008.61297</x:v>
      </x:c>
      <x:c r="J87" s="170" t="n">
        <x:f>H87-I87</x:f>
        <x:v>0</x:v>
      </x:c>
      <x:c r="K87" s="76" t="str">
        <x:v>Kohat_Cement_Annual_Report-2024.pdf</x:v>
      </x:c>
      <x:c r="L87" s="76" t="n">
        <x:v>58</x:v>
      </x:c>
      <x:c r="M87" s="76" t="str">
        <x:v>Comparative</x:v>
      </x:c>
      <x:c r="N87" s="99" t="str">
        <x:v>Printed amount independently located</x:v>
      </x:c>
      <x:c r="O87" s="99" t="str">
        <x:v>Exact source amount found; audited year/current-comparative column recorded. Accounting subtotal tests performed separately.</x:v>
      </x:c>
      <x:c r="P87" s="99" t="str">
        <x:v>estated
EQUITY AND LIABILITIES
Authorized share capital 4  3,000,000,000   3,000,000,000 
Issued, subscribed and paid–up capital 4  1,958,612,970   2,008,612,970 
Reserves 5  117,044,951     117,280,665 
Accumulated profits   39,014,647,370     30,484,151,337 
     41,090,305,291     32,610,044,972 
Non–current liabilities  
Long term fina</x:v>
      </x:c>
    </x:row>
    <x:row r="88" ht="82" customHeight="1">
      <x:c r="A88" s="168" t="str">
        <x:v>KOHC|share_cap|2024</x:v>
      </x:c>
      <x:c r="B88" s="168" t="str">
        <x:v>KOHC</x:v>
      </x:c>
      <x:c r="C88" s="168" t="str">
        <x:v>FY2024</x:v>
      </x:c>
      <x:c r="D88" s="168" t="str">
        <x:v>Issued, subscribed and paid-up share capital</x:v>
      </x:c>
      <x:c r="E88" s="169" t="n">
        <x:v>1958612970</x:v>
      </x:c>
      <x:c r="F88" s="169" t="n">
        <x:v>1958612970</x:v>
      </x:c>
      <x:c r="G88" s="169" t="str">
        <x:v>Rupees</x:v>
      </x:c>
      <x:c r="H88" s="169" t="n">
        <x:f>F88/1000000</x:f>
        <x:v>1958.61297</x:v>
      </x:c>
      <x:c r="I88" s="169" t="n">
        <x:f>KOHC!G39</x:f>
        <x:v>1958.61297</x:v>
      </x:c>
      <x:c r="J88" s="169" t="n">
        <x:f>H88-I88</x:f>
        <x:v>0</x:v>
      </x:c>
      <x:c r="K88" s="168" t="str">
        <x:v>Kohat_Cement_Annual_Report_2025.pdf</x:v>
      </x:c>
      <x:c r="L88" s="168" t="n">
        <x:v>68</x:v>
      </x:c>
      <x:c r="M88" s="168" t="str">
        <x:v>Comparative</x:v>
      </x:c>
      <x:c r="N88" s="171" t="str">
        <x:v>Printed amount independently located</x:v>
      </x:c>
      <x:c r="O88" s="171" t="str">
        <x:v>Exact source amount found; audited year/current-comparative column recorded. Accounting subtotal tests performed separately.</x:v>
      </x:c>
      <x:c r="P88" s="171" t="str">
        <x:v>s Rupees
EQUITY AND LIABILITIES 
Authorized share capital 4  3,000,000,000   3,000,000,000 
Issued, subscribed and paid-up capital 4  1,838,612,970   1,958,612,970 
Reserves 5  286,145,601   167,044,951 
Accumulated profits   45,830,436,216   38,964,647,370 
     47,955,194,787   41,090,305,291 
Non-current liabilities 
Long term financing -</x:v>
      </x:c>
    </x:row>
    <x:row r="89" ht="82" customHeight="1">
      <x:c r="A89" s="76" t="str">
        <x:v>KOHC|share_cap|2025</x:v>
      </x:c>
      <x:c r="B89" s="76" t="str">
        <x:v>KOHC</x:v>
      </x:c>
      <x:c r="C89" s="76" t="str">
        <x:v>FY2025</x:v>
      </x:c>
      <x:c r="D89" s="76" t="str">
        <x:v>Issued, subscribed and paid-up share capital</x:v>
      </x:c>
      <x:c r="E89" s="170" t="n">
        <x:v>1838612970</x:v>
      </x:c>
      <x:c r="F89" s="170" t="n">
        <x:v>1838612970</x:v>
      </x:c>
      <x:c r="G89" s="170" t="str">
        <x:v>Rupees</x:v>
      </x:c>
      <x:c r="H89" s="170" t="n">
        <x:f>F89/1000000</x:f>
        <x:v>1838.61297</x:v>
      </x:c>
      <x:c r="I89" s="170" t="n">
        <x:f>KOHC!H39</x:f>
        <x:v>1838.61297</x:v>
      </x:c>
      <x:c r="J89" s="170" t="n">
        <x:f>H89-I89</x:f>
        <x:v>0</x:v>
      </x:c>
      <x:c r="K89" s="76" t="str">
        <x:v>Kohat_Cement_Annual_Report_2025.pdf</x:v>
      </x:c>
      <x:c r="L89" s="76" t="n">
        <x:v>68</x:v>
      </x:c>
      <x:c r="M89" s="76" t="str">
        <x:v>Current year</x:v>
      </x:c>
      <x:c r="N89" s="99" t="str">
        <x:v>Printed amount independently located</x:v>
      </x:c>
      <x:c r="O89" s="99" t="str">
        <x:v>Exact source amount found; audited year/current-comparative column recorded. Accounting subtotal tests performed separately.</x:v>
      </x:c>
      <x:c r="P89" s="99" t="str">
        <x:v>2024
 Note Rupees Rupees
EQUITY AND LIABILITIES 
Authorized share capital 4  3,000,000,000   3,000,000,000 
Issued, subscribed and paid-up capital 4  1,838,612,970   1,958,612,970 
Reserves 5  286,145,601   167,044,951 
Accumulated profits   45,830,436,216   38,964,647,370 
     47,955,194,787   41,090,305,291 
Non-current liabilities 
Long</x:v>
      </x:c>
    </x:row>
    <x:row r="90" ht="82" customHeight="1">
      <x:c r="A90" s="168" t="str">
        <x:v>KOHC|eq_other|2020</x:v>
      </x:c>
      <x:c r="B90" s="168" t="str">
        <x:v>KOHC</x:v>
      </x:c>
      <x:c r="C90" s="168" t="str">
        <x:v>FY2020</x:v>
      </x:c>
      <x:c r="D90" s="168" t="str">
        <x:v>Reserves, retained earnings and revaluation surplus</x:v>
      </x:c>
      <x:c r="E90" s="169" t="n">
        <x:v>16718060354</x:v>
      </x:c>
      <x:c r="F90" s="169" t="n">
        <x:v>16718060354</x:v>
      </x:c>
      <x:c r="G90" s="169" t="str">
        <x:v>Rupees</x:v>
      </x:c>
      <x:c r="H90" s="169" t="n">
        <x:f>F90/1000000</x:f>
        <x:v>16718.060354</x:v>
      </x:c>
      <x:c r="I90" s="169" t="n">
        <x:f>KOHC!C40</x:f>
        <x:v>16718.060354</x:v>
      </x:c>
      <x:c r="J90" s="169" t="n">
        <x:f>H90-I90</x:f>
        <x:v>0</x:v>
      </x:c>
      <x:c r="K90" s="168" t="str">
        <x:v>KOHC_AR_2021.pdf</x:v>
      </x:c>
      <x:c r="L90" s="168" t="n">
        <x:v>44</x:v>
      </x:c>
      <x:c r="M90" s="168" t="str">
        <x:v>Comparative</x:v>
      </x:c>
      <x:c r="N90" s="171" t="str">
        <x:v>Aggregated audited components</x:v>
      </x:c>
      <x:c r="O90" s="171" t="str">
        <x:v>Source-labelled component sum; statement controls and signed-unit conversion independently recomputed.</x:v>
      </x:c>
      <x:c r="P90" s="171" t="str">
        <x:v>
STATEMENT OF 
FINANCIAL POSITION 
As at 30 June 2021
   (Restated)
  2021 2020
 Note Rupees Rupees
EQUITY AND LIABILITIES
Authorized share capital 4  3,000,000,000   3,000,000,000 | Components: Accumulated profits; Reserves</x:v>
      </x:c>
    </x:row>
    <x:row r="91" ht="82" customHeight="1">
      <x:c r="A91" s="76" t="str">
        <x:v>KOHC|eq_other|2021</x:v>
      </x:c>
      <x:c r="B91" s="76" t="str">
        <x:v>KOHC</x:v>
      </x:c>
      <x:c r="C91" s="76" t="str">
        <x:v>FY2021</x:v>
      </x:c>
      <x:c r="D91" s="76" t="str">
        <x:v>Reserves, retained earnings and revaluation surplus</x:v>
      </x:c>
      <x:c r="E91" s="170" t="n">
        <x:v>20214926401</x:v>
      </x:c>
      <x:c r="F91" s="170" t="n">
        <x:v>20214926401</x:v>
      </x:c>
      <x:c r="G91" s="170" t="str">
        <x:v>Rupees</x:v>
      </x:c>
      <x:c r="H91" s="170" t="n">
        <x:f>F91/1000000</x:f>
        <x:v>20214.926401</x:v>
      </x:c>
      <x:c r="I91" s="170" t="n">
        <x:f>KOHC!D40</x:f>
        <x:v>20214.926401</x:v>
      </x:c>
      <x:c r="J91" s="170" t="n">
        <x:f>H91-I91</x:f>
        <x:v>0</x:v>
      </x:c>
      <x:c r="K91" s="76" t="str">
        <x:v>Kohat_Cement_AR_2022.pdf</x:v>
      </x:c>
      <x:c r="L91" s="76" t="n">
        <x:v>52</x:v>
      </x:c>
      <x:c r="M91" s="76" t="str">
        <x:v>Comparative</x:v>
      </x:c>
      <x:c r="N91" s="99" t="str">
        <x:v>Aggregated audited components</x:v>
      </x:c>
      <x:c r="O91" s="99" t="str">
        <x:v>Source-labelled component sum; statement controls and signed-unit conversion independently recomputed.</x:v>
      </x:c>
      <x:c r="P91" s="99" t="str">
        <x:v>
STATEMENT OF 
FINANCIAL POSITION 
As at 30 June 2022
  2022 2021
 Note Rupees Rupees
EQUITY AND LIABILITIES 
Authorized share capital 4  3,000,000,000   3,000,000,000 
Issued, s | Components: Accumulated profits; Reserves</x:v>
      </x:c>
    </x:row>
    <x:row r="92" ht="82" customHeight="1">
      <x:c r="A92" s="168" t="str">
        <x:v>KOHC|eq_other|2022</x:v>
      </x:c>
      <x:c r="B92" s="168" t="str">
        <x:v>KOHC</x:v>
      </x:c>
      <x:c r="C92" s="168" t="str">
        <x:v>FY2022</x:v>
      </x:c>
      <x:c r="D92" s="168" t="str">
        <x:v>Reserves, retained earnings and revaluation surplus</x:v>
      </x:c>
      <x:c r="E92" s="169" t="n">
        <x:v>25237607261</x:v>
      </x:c>
      <x:c r="F92" s="169" t="n">
        <x:v>25237607261</x:v>
      </x:c>
      <x:c r="G92" s="169" t="str">
        <x:v>Rupees</x:v>
      </x:c>
      <x:c r="H92" s="169" t="n">
        <x:f>F92/1000000</x:f>
        <x:v>25237.607261</x:v>
      </x:c>
      <x:c r="I92" s="169" t="n">
        <x:f>KOHC!E40</x:f>
        <x:v>25237.607261</x:v>
      </x:c>
      <x:c r="J92" s="169" t="n">
        <x:f>H92-I92</x:f>
        <x:v>0</x:v>
      </x:c>
      <x:c r="K92" s="168" t="str">
        <x:v>Financial_Statements-30-06-2023.pdf</x:v>
      </x:c>
      <x:c r="L92" s="168" t="n">
        <x:v>52</x:v>
      </x:c>
      <x:c r="M92" s="168" t="str">
        <x:v>Comparative</x:v>
      </x:c>
      <x:c r="N92" s="171" t="str">
        <x:v>Aggregated audited components</x:v>
      </x:c>
      <x:c r="O92" s="171" t="str">
        <x:v>Source-labelled component sum; statement controls and signed-unit conversion independently recomputed.</x:v>
      </x:c>
      <x:c r="P92" s="171" t="str">
        <x:v>
50
STATEMENT OF 
FINANCIAL POSITION 
As at 30 June 2023
  2023 2022
 Note Rupees Rupees
EQUITY AND LIABILITIES 
Authorized share capital 4  3,000,000,000   3,000,000,000 
Issued | Components: Accumulated profits; Reserves</x:v>
      </x:c>
    </x:row>
    <x:row r="93" ht="82" customHeight="1">
      <x:c r="A93" s="76" t="str">
        <x:v>KOHC|eq_other|2023</x:v>
      </x:c>
      <x:c r="B93" s="76" t="str">
        <x:v>KOHC</x:v>
      </x:c>
      <x:c r="C93" s="76" t="str">
        <x:v>FY2023</x:v>
      </x:c>
      <x:c r="D93" s="76" t="str">
        <x:v>Reserves, retained earnings and revaluation surplus</x:v>
      </x:c>
      <x:c r="E93" s="170" t="n">
        <x:v>30601432002</x:v>
      </x:c>
      <x:c r="F93" s="170" t="n">
        <x:v>30601432002</x:v>
      </x:c>
      <x:c r="G93" s="170" t="str">
        <x:v>Rupees</x:v>
      </x:c>
      <x:c r="H93" s="170" t="n">
        <x:f>F93/1000000</x:f>
        <x:v>30601.432002</x:v>
      </x:c>
      <x:c r="I93" s="170" t="n">
        <x:f>KOHC!F40</x:f>
        <x:v>30601.432002</x:v>
      </x:c>
      <x:c r="J93" s="170" t="n">
        <x:f>H93-I93</x:f>
        <x:v>0</x:v>
      </x:c>
      <x:c r="K93" s="76" t="str">
        <x:v>Kohat_Cement_Annual_Report-2024.pdf</x:v>
      </x:c>
      <x:c r="L93" s="76" t="n">
        <x:v>58</x:v>
      </x:c>
      <x:c r="M93" s="76" t="str">
        <x:v>Comparative</x:v>
      </x:c>
      <x:c r="N93" s="99" t="str">
        <x:v>Aggregated audited components</x:v>
      </x:c>
      <x:c r="O93" s="99" t="str">
        <x:v>Source-labelled component sum; statement controls and signed-unit conversion independently recomputed.</x:v>
      </x:c>
      <x:c r="P93" s="99" t="str">
        <x:v>
56
STATEMENT OF 
FINANCIAL POSITION 
As at 30 June 2024
  2024 2023
 Note Rupees Rupees
   Restated
EQUITY AND LIABILITIES
Authorized share capital 4  3,000,000,000   3,000,000,00 | Components: Accumulated profits; Reserves</x:v>
      </x:c>
    </x:row>
    <x:row r="94" ht="82" customHeight="1">
      <x:c r="A94" s="168" t="str">
        <x:v>KOHC|eq_other|2024</x:v>
      </x:c>
      <x:c r="B94" s="168" t="str">
        <x:v>KOHC</x:v>
      </x:c>
      <x:c r="C94" s="168" t="str">
        <x:v>FY2024</x:v>
      </x:c>
      <x:c r="D94" s="168" t="str">
        <x:v>Reserves, retained earnings and revaluation surplus</x:v>
      </x:c>
      <x:c r="E94" s="169" t="n">
        <x:v>39131692321</x:v>
      </x:c>
      <x:c r="F94" s="169" t="n">
        <x:v>39131692321</x:v>
      </x:c>
      <x:c r="G94" s="169" t="str">
        <x:v>Rupees</x:v>
      </x:c>
      <x:c r="H94" s="169" t="n">
        <x:f>F94/1000000</x:f>
        <x:v>39131.692321</x:v>
      </x:c>
      <x:c r="I94" s="169" t="n">
        <x:f>KOHC!G40</x:f>
        <x:v>39131.692321</x:v>
      </x:c>
      <x:c r="J94" s="169" t="n">
        <x:f>H94-I94</x:f>
        <x:v>0</x:v>
      </x:c>
      <x:c r="K94" s="168" t="str">
        <x:v>Kohat_Cement_Annual_Report_2025.pdf</x:v>
      </x:c>
      <x:c r="L94" s="168" t="n">
        <x:v>68</x:v>
      </x:c>
      <x:c r="M94" s="168" t="str">
        <x:v>Comparative</x:v>
      </x:c>
      <x:c r="N94" s="171" t="str">
        <x:v>Aggregated audited components</x:v>
      </x:c>
      <x:c r="O94" s="171" t="str">
        <x:v>Source-labelled component sum; statement controls and signed-unit conversion independently recomputed.</x:v>
      </x:c>
      <x:c r="P94" s="171" t="str">
        <x:v>
66
STATEMENT OF 
FINANCIAL POSITION 
As at June 30, 2025
  2025 2024
 Note Rupees Rupees
EQUITY AND LIABILITIES 
Authorized share capital 4  3,000,000,000   3,000,000,000 
Issued, | Components: Accumulated profits; Reserves</x:v>
      </x:c>
    </x:row>
    <x:row r="95" ht="82" customHeight="1">
      <x:c r="A95" s="76" t="str">
        <x:v>KOHC|eq_other|2025</x:v>
      </x:c>
      <x:c r="B95" s="76" t="str">
        <x:v>KOHC</x:v>
      </x:c>
      <x:c r="C95" s="76" t="str">
        <x:v>FY2025</x:v>
      </x:c>
      <x:c r="D95" s="76" t="str">
        <x:v>Reserves, retained earnings and revaluation surplus</x:v>
      </x:c>
      <x:c r="E95" s="170" t="n">
        <x:v>46116581817</x:v>
      </x:c>
      <x:c r="F95" s="170" t="n">
        <x:v>46116581817</x:v>
      </x:c>
      <x:c r="G95" s="170" t="str">
        <x:v>Rupees</x:v>
      </x:c>
      <x:c r="H95" s="170" t="n">
        <x:f>F95/1000000</x:f>
        <x:v>46116.581817</x:v>
      </x:c>
      <x:c r="I95" s="170" t="n">
        <x:f>KOHC!H40</x:f>
        <x:v>46116.581817</x:v>
      </x:c>
      <x:c r="J95" s="170" t="n">
        <x:f>H95-I95</x:f>
        <x:v>0</x:v>
      </x:c>
      <x:c r="K95" s="76" t="str">
        <x:v>Kohat_Cement_Annual_Report_2025.pdf</x:v>
      </x:c>
      <x:c r="L95" s="76" t="n">
        <x:v>68</x:v>
      </x:c>
      <x:c r="M95" s="76" t="str">
        <x:v>Current year</x:v>
      </x:c>
      <x:c r="N95" s="99" t="str">
        <x:v>Aggregated audited components</x:v>
      </x:c>
      <x:c r="O95" s="99" t="str">
        <x:v>Source-labelled component sum; statement controls and signed-unit conversion independently recomputed.</x:v>
      </x:c>
      <x:c r="P95" s="99" t="str">
        <x:v>
66
STATEMENT OF 
FINANCIAL POSITION 
As at June 30, 2025
  2025 2024
 Note Rupees Rupees
EQUITY AND LIABILITIES 
Authorized share capital 4  3,000,000,000   3,000,000,000 
Issued, | Components: Accumulated profits; Reserves</x:v>
      </x:c>
    </x:row>
    <x:row r="96" ht="82" customHeight="1">
      <x:c r="A96" s="168" t="str">
        <x:v>KOHC|ltf_nc|2020</x:v>
      </x:c>
      <x:c r="B96" s="168" t="str">
        <x:v>KOHC</x:v>
      </x:c>
      <x:c r="C96" s="168" t="str">
        <x:v>FY2020</x:v>
      </x:c>
      <x:c r="D96" s="168" t="str">
        <x:v>Long-term financing (non-current, interest-bearing)</x:v>
      </x:c>
      <x:c r="E96" s="169" t="n">
        <x:v>5439226142</x:v>
      </x:c>
      <x:c r="F96" s="169" t="n">
        <x:v>5439226142</x:v>
      </x:c>
      <x:c r="G96" s="169" t="str">
        <x:v>Rupees</x:v>
      </x:c>
      <x:c r="H96" s="169" t="n">
        <x:f>F96/1000000</x:f>
        <x:v>5439.226142</x:v>
      </x:c>
      <x:c r="I96" s="169" t="n">
        <x:f>KOHC!C43</x:f>
        <x:v>5439.226142</x:v>
      </x:c>
      <x:c r="J96" s="169" t="n">
        <x:f>H96-I96</x:f>
        <x:v>0</x:v>
      </x:c>
      <x:c r="K96" s="168" t="str">
        <x:v>KOHC_AR_2021.pdf</x:v>
      </x:c>
      <x:c r="L96" s="168" t="n">
        <x:v>44</x:v>
      </x:c>
      <x:c r="M96" s="168" t="str">
        <x:v>Comparative</x:v>
      </x:c>
      <x:c r="N96" s="171" t="str">
        <x:v>Printed amount independently located</x:v>
      </x:c>
      <x:c r="O96" s="171" t="str">
        <x:v>Exact source amount found; audited year/current-comparative column recorded. Accounting subtotal tests performed separately.</x:v>
      </x:c>
      <x:c r="P96" s="171" t="str">
        <x:v>20,095,821,336   16,598,314,089 
     22,223,539,371   18,726,673,324 
Non-current liabilities   
Long term financing - secured 6  4,405,765,306   5,439,226,142 
Deferred grant 6.8  1,328,937  –  
Long term deposits  7  2,036,100   2,036,100 
Deferred liabilities  
 - deferred taxation 8.1  1,857,649,347   1,287,942,113 
 - compensated ab</x:v>
      </x:c>
    </x:row>
    <x:row r="97" ht="82" customHeight="1">
      <x:c r="A97" s="76" t="str">
        <x:v>KOHC|ltf_nc|2021</x:v>
      </x:c>
      <x:c r="B97" s="76" t="str">
        <x:v>KOHC</x:v>
      </x:c>
      <x:c r="C97" s="76" t="str">
        <x:v>FY2021</x:v>
      </x:c>
      <x:c r="D97" s="76" t="str">
        <x:v>Long-term financing (non-current, interest-bearing)</x:v>
      </x:c>
      <x:c r="E97" s="170" t="n">
        <x:v>4405765306</x:v>
      </x:c>
      <x:c r="F97" s="170" t="n">
        <x:v>4405765306</x:v>
      </x:c>
      <x:c r="G97" s="170" t="str">
        <x:v>Rupees</x:v>
      </x:c>
      <x:c r="H97" s="170" t="n">
        <x:f>F97/1000000</x:f>
        <x:v>4405.765306</x:v>
      </x:c>
      <x:c r="I97" s="170" t="n">
        <x:f>KOHC!D43</x:f>
        <x:v>4405.765306</x:v>
      </x:c>
      <x:c r="J97" s="170" t="n">
        <x:f>H97-I97</x:f>
        <x:v>0</x:v>
      </x:c>
      <x:c r="K97" s="76" t="str">
        <x:v>Kohat_Cement_AR_2022.pdf</x:v>
      </x:c>
      <x:c r="L97" s="76" t="n">
        <x:v>52</x:v>
      </x:c>
      <x:c r="M97" s="76" t="str">
        <x:v>Comparative</x:v>
      </x:c>
      <x:c r="N97" s="99" t="str">
        <x:v>Printed amount independently located</x:v>
      </x:c>
      <x:c r="O97" s="99" t="str">
        <x:v>Exact source amount found; audited year/current-comparative column recorded. Accounting subtotal tests performed separately.</x:v>
      </x:c>
      <x:c r="P97" s="99" t="str">
        <x:v>s   25,120,101,596   20,095,821,336 
     27,246,220,231   22,223,539,371 
Non-current liabilities  
Long term financing - secured 6  3,179,400,118   4,405,765,306 
Deferred grant 6.8 –    1,328,937 
Long term deposits  7  2,036,100   2,036,100 
Deferred liabilities 
 - deferred taxation 8.1  3,407,373,618   1,857,649,347 
 - compensated abs</x:v>
      </x:c>
    </x:row>
    <x:row r="98" ht="82" customHeight="1">
      <x:c r="A98" s="168" t="str">
        <x:v>KOHC|ltf_nc|2022</x:v>
      </x:c>
      <x:c r="B98" s="168" t="str">
        <x:v>KOHC</x:v>
      </x:c>
      <x:c r="C98" s="168" t="str">
        <x:v>FY2022</x:v>
      </x:c>
      <x:c r="D98" s="168" t="str">
        <x:v>Long-term financing (non-current, interest-bearing)</x:v>
      </x:c>
      <x:c r="E98" s="169" t="n">
        <x:v>3179400118</x:v>
      </x:c>
      <x:c r="F98" s="169" t="n">
        <x:v>3179400118</x:v>
      </x:c>
      <x:c r="G98" s="169" t="str">
        <x:v>Rupees</x:v>
      </x:c>
      <x:c r="H98" s="169" t="n">
        <x:f>F98/1000000</x:f>
        <x:v>3179.400118</x:v>
      </x:c>
      <x:c r="I98" s="169" t="n">
        <x:f>KOHC!E43</x:f>
        <x:v>3179.400118</x:v>
      </x:c>
      <x:c r="J98" s="169" t="n">
        <x:f>H98-I98</x:f>
        <x:v>0</x:v>
      </x:c>
      <x:c r="K98" s="168" t="str">
        <x:v>Financial_Statements-30-06-2023.pdf</x:v>
      </x:c>
      <x:c r="L98" s="168" t="n">
        <x:v>52</x:v>
      </x:c>
      <x:c r="M98" s="168" t="str">
        <x:v>Comparative</x:v>
      </x:c>
      <x:c r="N98" s="171" t="str">
        <x:v>Printed amount independently located</x:v>
      </x:c>
      <x:c r="O98" s="171" t="str">
        <x:v>Exact source amount found; audited year/current-comparative column recorded. Accounting subtotal tests performed separately.</x:v>
      </x:c>
      <x:c r="P98" s="171" t="str">
        <x:v>s   30,484,151,337   25,120,101,596 
     32,610,044,972   27,246,220,231 
Non-current liabilities  
Long term financing - secured 6  2,149,017,375   3,179,400,118 
Long term deposits  7  3,536,100   2,036,100 
Deferred liabilities 
 - deferred taxation 8.1  4,823,158,446   3,407,373,618 
 - compensated absences 8.2  31,847,241   27,647,098</x:v>
      </x:c>
    </x:row>
    <x:row r="99" ht="82" customHeight="1">
      <x:c r="A99" s="76" t="str">
        <x:v>KOHC|ltf_nc|2023</x:v>
      </x:c>
      <x:c r="B99" s="76" t="str">
        <x:v>KOHC</x:v>
      </x:c>
      <x:c r="C99" s="76" t="str">
        <x:v>FY2023</x:v>
      </x:c>
      <x:c r="D99" s="76" t="str">
        <x:v>Long-term financing (non-current, interest-bearing)</x:v>
      </x:c>
      <x:c r="E99" s="170" t="n">
        <x:v>2149017375</x:v>
      </x:c>
      <x:c r="F99" s="170" t="n">
        <x:v>2149017375</x:v>
      </x:c>
      <x:c r="G99" s="170" t="str">
        <x:v>Rupees</x:v>
      </x:c>
      <x:c r="H99" s="170" t="n">
        <x:f>F99/1000000</x:f>
        <x:v>2149.017375</x:v>
      </x:c>
      <x:c r="I99" s="170" t="n">
        <x:f>KOHC!F43</x:f>
        <x:v>2149.017375</x:v>
      </x:c>
      <x:c r="J99" s="170" t="n">
        <x:f>H99-I99</x:f>
        <x:v>0</x:v>
      </x:c>
      <x:c r="K99" s="76" t="str">
        <x:v>Kohat_Cement_Annual_Report-2024.pdf</x:v>
      </x:c>
      <x:c r="L99" s="76" t="n">
        <x:v>58</x:v>
      </x:c>
      <x:c r="M99" s="76" t="str">
        <x:v>Comparative</x:v>
      </x:c>
      <x:c r="N99" s="99" t="str">
        <x:v>Printed amount independently located</x:v>
      </x:c>
      <x:c r="O99" s="99" t="str">
        <x:v>Exact source amount found; audited year/current-comparative column recorded. Accounting subtotal tests performed separately.</x:v>
      </x:c>
      <x:c r="P99" s="99" t="str">
        <x:v>39,014,647,370     30,484,151,337 
     41,090,305,291     32,610,044,972 
Non–current liabilities  
Long term financing – secured 6  1,118,642,478   2,149,017,375 
Long term deposits  7  3,536,100   3,536,100 
Deferred liabilities 
 – deferred taxation 8.1  5,505,823,994   4,823,158,446 
 – compensated absences 8.2  29,351,103   31,847,241</x:v>
      </x:c>
    </x:row>
    <x:row r="100" ht="82" customHeight="1">
      <x:c r="A100" s="168" t="str">
        <x:v>KOHC|ltf_nc|2024</x:v>
      </x:c>
      <x:c r="B100" s="168" t="str">
        <x:v>KOHC</x:v>
      </x:c>
      <x:c r="C100" s="168" t="str">
        <x:v>FY2024</x:v>
      </x:c>
      <x:c r="D100" s="168" t="str">
        <x:v>Long-term financing (non-current, interest-bearing)</x:v>
      </x:c>
      <x:c r="E100" s="169" t="n">
        <x:v>1118642478</x:v>
      </x:c>
      <x:c r="F100" s="169" t="n">
        <x:v>1118642478</x:v>
      </x:c>
      <x:c r="G100" s="169" t="str">
        <x:v>Rupees</x:v>
      </x:c>
      <x:c r="H100" s="169" t="n">
        <x:f>F100/1000000</x:f>
        <x:v>1118.642478</x:v>
      </x:c>
      <x:c r="I100" s="169" t="n">
        <x:f>KOHC!G43</x:f>
        <x:v>1118.642478</x:v>
      </x:c>
      <x:c r="J100" s="169" t="n">
        <x:f>H100-I100</x:f>
        <x:v>0</x:v>
      </x:c>
      <x:c r="K100" s="168" t="str">
        <x:v>Kohat_Cement_Annual_Report_2025.pdf</x:v>
      </x:c>
      <x:c r="L100" s="168" t="n">
        <x:v>68</x:v>
      </x:c>
      <x:c r="M100" s="168" t="str">
        <x:v>Comparative</x:v>
      </x:c>
      <x:c r="N100" s="171" t="str">
        <x:v>Printed amount independently located</x:v>
      </x:c>
      <x:c r="O100" s="171" t="str">
        <x:v>Exact source amount found; audited year/current-comparative column recorded. Accounting subtotal tests performed separately.</x:v>
      </x:c>
      <x:c r="P100" s="171" t="str">
        <x:v>ts   45,830,436,216   38,964,647,370 
     47,955,194,787   41,090,305,291 
Non-current liabilities 
Long term financing - secured 6  1,448,977,799   1,118,642,478 
Long term deposits  7  3,536,100   3,536,100 
Deferred liabilities 
- deferred taxation 8.1  5,688,116,040   5,505,823,994 
- compensated absences 8.2  36,785,931   29,351,103</x:v>
      </x:c>
    </x:row>
    <x:row r="101" ht="82" customHeight="1">
      <x:c r="A101" s="76" t="str">
        <x:v>KOHC|ltf_nc|2025</x:v>
      </x:c>
      <x:c r="B101" s="76" t="str">
        <x:v>KOHC</x:v>
      </x:c>
      <x:c r="C101" s="76" t="str">
        <x:v>FY2025</x:v>
      </x:c>
      <x:c r="D101" s="76" t="str">
        <x:v>Long-term financing (non-current, interest-bearing)</x:v>
      </x:c>
      <x:c r="E101" s="170" t="n">
        <x:v>1448977799</x:v>
      </x:c>
      <x:c r="F101" s="170" t="n">
        <x:v>1448977799</x:v>
      </x:c>
      <x:c r="G101" s="170" t="str">
        <x:v>Rupees</x:v>
      </x:c>
      <x:c r="H101" s="170" t="n">
        <x:f>F101/1000000</x:f>
        <x:v>1448.977799</x:v>
      </x:c>
      <x:c r="I101" s="170" t="n">
        <x:f>KOHC!H43</x:f>
        <x:v>1448.977799</x:v>
      </x:c>
      <x:c r="J101" s="170" t="n">
        <x:f>H101-I101</x:f>
        <x:v>0</x:v>
      </x:c>
      <x:c r="K101" s="76" t="str">
        <x:v>Kohat_Cement_Annual_Report_2025.pdf</x:v>
      </x:c>
      <x:c r="L101" s="76" t="n">
        <x:v>68</x:v>
      </x:c>
      <x:c r="M101" s="76" t="str">
        <x:v>Current year</x:v>
      </x:c>
      <x:c r="N101" s="99" t="str">
        <x:v>Printed amount independently located</x:v>
      </x:c>
      <x:c r="O101" s="99" t="str">
        <x:v>Exact source amount found; audited year/current-comparative column recorded. Accounting subtotal tests performed separately.</x:v>
      </x:c>
      <x:c r="P101" s="99" t="str">
        <x:v>ccumulated profits   45,830,436,216   38,964,647,370 
     47,955,194,787   41,090,305,291 
Non-current liabilities 
Long term financing - secured 6  1,448,977,799   1,118,642,478 
Long term deposits  7  3,536,100   3,536,100 
Deferred liabilities 
- deferred taxation 8.1  5,688,116,040   5,505,823,994 
- compensated absences 8.2  36,785,931</x:v>
      </x:c>
    </x:row>
    <x:row r="102" ht="82" customHeight="1">
      <x:c r="A102" s="168" t="str">
        <x:v>KOHC|lease_nc|2020</x:v>
      </x:c>
      <x:c r="B102" s="168" t="str">
        <x:v>KOHC</x:v>
      </x:c>
      <x:c r="C102" s="168" t="str">
        <x:v>FY2020</x:v>
      </x:c>
      <x:c r="D102" s="168" t="str">
        <x:v>Lease liabilities (non-current)</x:v>
      </x:c>
      <x:c r="E102" s="169" t="n">
        <x:v>0</x:v>
      </x:c>
      <x:c r="F102" s="169" t="n">
        <x:v>0</x:v>
      </x:c>
      <x:c r="G102" s="169" t="str">
        <x:v>Rupees</x:v>
      </x:c>
      <x:c r="H102" s="169" t="n">
        <x:f>F102/1000000</x:f>
        <x:v>0</x:v>
      </x:c>
      <x:c r="I102" s="169" t="n">
        <x:f>KOHC!C44</x:f>
        <x:v>0</x:v>
      </x:c>
      <x:c r="J102" s="169" t="n">
        <x:f>H102-I102</x:f>
        <x:v>0</x:v>
      </x:c>
      <x:c r="K102" s="168" t="str">
        <x:v>KOHC_AR_2021.pdf</x:v>
      </x:c>
      <x:c r="L102" s="168" t="n">
        <x:v>44</x:v>
      </x:c>
      <x:c r="M102" s="168" t="str">
        <x:v>Comparative</x:v>
      </x:c>
      <x:c r="N102" s="171" t="str">
        <x:v>Zero / no separate line in audited presentation</x:v>
      </x:c>
      <x:c r="O102" s="171" t="str">
        <x:v>Zero classification checked within the audited statement/note and reconstructed statement totals; absence of a separate line does not imply a missing replacement estimate.</x:v>
      </x:c>
      <x:c r="P102" s="171" t="str">
        <x:v>
STATEMENT OF 
FINANCIAL POSITION 
As at 30 June 2021
   (Restated)
  2021 2020
 Note Rupees Rupees
EQUITY AND LIABILITIES
Authorized share capital 4  | Lease liabilities (non-current)</x:v>
      </x:c>
    </x:row>
    <x:row r="103" ht="82" customHeight="1">
      <x:c r="A103" s="76" t="str">
        <x:v>KOHC|lease_nc|2021</x:v>
      </x:c>
      <x:c r="B103" s="76" t="str">
        <x:v>KOHC</x:v>
      </x:c>
      <x:c r="C103" s="76" t="str">
        <x:v>FY2021</x:v>
      </x:c>
      <x:c r="D103" s="76" t="str">
        <x:v>Lease liabilities (non-current)</x:v>
      </x:c>
      <x:c r="E103" s="170" t="n">
        <x:v>0</x:v>
      </x:c>
      <x:c r="F103" s="170" t="n">
        <x:v>0</x:v>
      </x:c>
      <x:c r="G103" s="170" t="str">
        <x:v>Rupees</x:v>
      </x:c>
      <x:c r="H103" s="170" t="n">
        <x:f>F103/1000000</x:f>
        <x:v>0</x:v>
      </x:c>
      <x:c r="I103" s="170" t="n">
        <x:f>KOHC!D44</x:f>
        <x:v>0</x:v>
      </x:c>
      <x:c r="J103" s="170" t="n">
        <x:f>H103-I103</x:f>
        <x:v>0</x:v>
      </x:c>
      <x:c r="K103" s="76" t="str">
        <x:v>Kohat_Cement_AR_2022.pdf</x:v>
      </x:c>
      <x:c r="L103" s="76" t="n">
        <x:v>52</x:v>
      </x:c>
      <x:c r="M103" s="76" t="str">
        <x:v>Comparative</x:v>
      </x:c>
      <x:c r="N103" s="99" t="str">
        <x:v>Zero / no separate line in audited presentation</x:v>
      </x:c>
      <x:c r="O103" s="99" t="str">
        <x:v>Zero classification checked within the audited statement/note and reconstructed statement totals; absence of a separate line does not imply a missing replacement estimate.</x:v>
      </x:c>
      <x:c r="P103" s="99" t="str">
        <x:v>
STATEMENT OF 
FINANCIAL POSITION 
As at 30 June 2022
  2022 2021
 Note Rupees Rupees
EQUITY AND LIABILITIES 
Authorized share capital 4  3,000,000,00 | Lease liabilities (non-current)</x:v>
      </x:c>
    </x:row>
    <x:row r="104" ht="82" customHeight="1">
      <x:c r="A104" s="168" t="str">
        <x:v>KOHC|lease_nc|2022</x:v>
      </x:c>
      <x:c r="B104" s="168" t="str">
        <x:v>KOHC</x:v>
      </x:c>
      <x:c r="C104" s="168" t="str">
        <x:v>FY2022</x:v>
      </x:c>
      <x:c r="D104" s="168" t="str">
        <x:v>Lease liabilities (non-current)</x:v>
      </x:c>
      <x:c r="E104" s="169" t="n">
        <x:v>0</x:v>
      </x:c>
      <x:c r="F104" s="169" t="n">
        <x:v>0</x:v>
      </x:c>
      <x:c r="G104" s="169" t="str">
        <x:v>Rupees</x:v>
      </x:c>
      <x:c r="H104" s="169" t="n">
        <x:f>F104/1000000</x:f>
        <x:v>0</x:v>
      </x:c>
      <x:c r="I104" s="169" t="n">
        <x:f>KOHC!E44</x:f>
        <x:v>0</x:v>
      </x:c>
      <x:c r="J104" s="169" t="n">
        <x:f>H104-I104</x:f>
        <x:v>0</x:v>
      </x:c>
      <x:c r="K104" s="168" t="str">
        <x:v>Financial_Statements-30-06-2023.pdf</x:v>
      </x:c>
      <x:c r="L104" s="168" t="n">
        <x:v>52</x:v>
      </x:c>
      <x:c r="M104" s="168" t="str">
        <x:v>Comparative</x:v>
      </x:c>
      <x:c r="N104" s="171" t="str">
        <x:v>Zero / no separate line in audited presentation</x:v>
      </x:c>
      <x:c r="O104" s="171" t="str">
        <x:v>Zero classification checked within the audited statement/note and reconstructed statement totals; absence of a separate line does not imply a missing replacement estimate.</x:v>
      </x:c>
      <x:c r="P104" s="171" t="str">
        <x:v>
50
STATEMENT OF 
FINANCIAL POSITION 
As at 30 June 2023
  2023 2022
 Note Rupees Rupees
EQUITY AND LIABILITIES 
Authorized share capital 4  3,000,000 | Lease liabilities (non-current)</x:v>
      </x:c>
    </x:row>
    <x:row r="105" ht="82" customHeight="1">
      <x:c r="A105" s="76" t="str">
        <x:v>KOHC|lease_nc|2023</x:v>
      </x:c>
      <x:c r="B105" s="76" t="str">
        <x:v>KOHC</x:v>
      </x:c>
      <x:c r="C105" s="76" t="str">
        <x:v>FY2023</x:v>
      </x:c>
      <x:c r="D105" s="76" t="str">
        <x:v>Lease liabilities (non-current)</x:v>
      </x:c>
      <x:c r="E105" s="170" t="n">
        <x:v>0</x:v>
      </x:c>
      <x:c r="F105" s="170" t="n">
        <x:v>0</x:v>
      </x:c>
      <x:c r="G105" s="170" t="str">
        <x:v>Rupees</x:v>
      </x:c>
      <x:c r="H105" s="170" t="n">
        <x:f>F105/1000000</x:f>
        <x:v>0</x:v>
      </x:c>
      <x:c r="I105" s="170" t="n">
        <x:f>KOHC!F44</x:f>
        <x:v>0</x:v>
      </x:c>
      <x:c r="J105" s="170" t="n">
        <x:f>H105-I105</x:f>
        <x:v>0</x:v>
      </x:c>
      <x:c r="K105" s="76" t="str">
        <x:v>Kohat_Cement_Annual_Report-2024.pdf</x:v>
      </x:c>
      <x:c r="L105" s="76" t="n">
        <x:v>58</x:v>
      </x:c>
      <x:c r="M105" s="76" t="str">
        <x:v>Comparative</x:v>
      </x:c>
      <x:c r="N105" s="99" t="str">
        <x:v>Zero / no separate line in audited presentation</x:v>
      </x:c>
      <x:c r="O105" s="99" t="str">
        <x:v>Zero classification checked within the audited statement/note and reconstructed statement totals; absence of a separate line does not imply a missing replacement estimate.</x:v>
      </x:c>
      <x:c r="P105" s="99" t="str">
        <x:v>
56
STATEMENT OF 
FINANCIAL POSITION 
As at 30 June 2024
  2024 2023
 Note Rupees Rupees
   Restated
EQUITY AND LIABILITIES
Authorized share capital 4 | Lease liabilities (non-current)</x:v>
      </x:c>
    </x:row>
    <x:row r="106" ht="82" customHeight="1">
      <x:c r="A106" s="168" t="str">
        <x:v>KOHC|lease_nc|2024</x:v>
      </x:c>
      <x:c r="B106" s="168" t="str">
        <x:v>KOHC</x:v>
      </x:c>
      <x:c r="C106" s="168" t="str">
        <x:v>FY2024</x:v>
      </x:c>
      <x:c r="D106" s="168" t="str">
        <x:v>Lease liabilities (non-current)</x:v>
      </x:c>
      <x:c r="E106" s="169" t="n">
        <x:v>0</x:v>
      </x:c>
      <x:c r="F106" s="169" t="n">
        <x:v>0</x:v>
      </x:c>
      <x:c r="G106" s="169" t="str">
        <x:v>Rupees</x:v>
      </x:c>
      <x:c r="H106" s="169" t="n">
        <x:f>F106/1000000</x:f>
        <x:v>0</x:v>
      </x:c>
      <x:c r="I106" s="169" t="n">
        <x:f>KOHC!G44</x:f>
        <x:v>0</x:v>
      </x:c>
      <x:c r="J106" s="169" t="n">
        <x:f>H106-I106</x:f>
        <x:v>0</x:v>
      </x:c>
      <x:c r="K106" s="168" t="str">
        <x:v>Kohat_Cement_Annual_Report_2025.pdf</x:v>
      </x:c>
      <x:c r="L106" s="168" t="n">
        <x:v>68</x:v>
      </x:c>
      <x:c r="M106" s="168" t="str">
        <x:v>Comparative</x:v>
      </x:c>
      <x:c r="N106" s="171" t="str">
        <x:v>Zero / no separate line in audited presentation</x:v>
      </x:c>
      <x:c r="O106" s="171" t="str">
        <x:v>Zero classification checked within the audited statement/note and reconstructed statement totals; absence of a separate line does not imply a missing replacement estimate.</x:v>
      </x:c>
      <x:c r="P106" s="171" t="str">
        <x:v>
66
STATEMENT OF 
FINANCIAL POSITION 
As at June 30, 2025
  2025 2024
 Note Rupees Rupees
EQUITY AND LIABILITIES 
Authorized share capital 4  3,000,00 | Lease liabilities (non-current)</x:v>
      </x:c>
    </x:row>
    <x:row r="107" ht="82" customHeight="1">
      <x:c r="A107" s="76" t="str">
        <x:v>KOHC|lease_nc|2025</x:v>
      </x:c>
      <x:c r="B107" s="76" t="str">
        <x:v>KOHC</x:v>
      </x:c>
      <x:c r="C107" s="76" t="str">
        <x:v>FY2025</x:v>
      </x:c>
      <x:c r="D107" s="76" t="str">
        <x:v>Lease liabilities (non-current)</x:v>
      </x:c>
      <x:c r="E107" s="170" t="n">
        <x:v>0</x:v>
      </x:c>
      <x:c r="F107" s="170" t="n">
        <x:v>0</x:v>
      </x:c>
      <x:c r="G107" s="170" t="str">
        <x:v>Rupees</x:v>
      </x:c>
      <x:c r="H107" s="170" t="n">
        <x:f>F107/1000000</x:f>
        <x:v>0</x:v>
      </x:c>
      <x:c r="I107" s="170" t="n">
        <x:f>KOHC!H44</x:f>
        <x:v>0</x:v>
      </x:c>
      <x:c r="J107" s="170" t="n">
        <x:f>H107-I107</x:f>
        <x:v>0</x:v>
      </x:c>
      <x:c r="K107" s="76" t="str">
        <x:v>Kohat_Cement_Annual_Report_2025.pdf</x:v>
      </x:c>
      <x:c r="L107" s="76" t="n">
        <x:v>68</x:v>
      </x:c>
      <x:c r="M107" s="76" t="str">
        <x:v>Current year</x:v>
      </x:c>
      <x:c r="N107" s="99" t="str">
        <x:v>Zero / no separate line in audited presentation</x:v>
      </x:c>
      <x:c r="O107" s="99" t="str">
        <x:v>Zero classification checked within the audited statement/note and reconstructed statement totals; absence of a separate line does not imply a missing replacement estimate.</x:v>
      </x:c>
      <x:c r="P107" s="99" t="str">
        <x:v>
66
STATEMENT OF 
FINANCIAL POSITION 
As at June 30, 2025
  2025 2024
 Note Rupees Rupees
EQUITY AND LIABILITIES 
Authorized share capital 4  3,000,00 | Lease liabilities (non-current)</x:v>
      </x:c>
    </x:row>
    <x:row r="108" ht="82" customHeight="1">
      <x:c r="A108" s="168" t="str">
        <x:v>KOHC|grant_nc|2020</x:v>
      </x:c>
      <x:c r="B108" s="168" t="str">
        <x:v>KOHC</x:v>
      </x:c>
      <x:c r="C108" s="168" t="str">
        <x:v>FY2020</x:v>
      </x:c>
      <x:c r="D108" s="168" t="str">
        <x:v>Deferred government grant (non-current)</x:v>
      </x:c>
      <x:c r="E108" s="169" t="n">
        <x:v>0</x:v>
      </x:c>
      <x:c r="F108" s="169" t="n">
        <x:v>0</x:v>
      </x:c>
      <x:c r="G108" s="169" t="str">
        <x:v>Rupees</x:v>
      </x:c>
      <x:c r="H108" s="169" t="n">
        <x:f>F108/1000000</x:f>
        <x:v>0</x:v>
      </x:c>
      <x:c r="I108" s="169" t="n">
        <x:f>KOHC!C45</x:f>
        <x:v>0</x:v>
      </x:c>
      <x:c r="J108" s="169" t="n">
        <x:f>H108-I108</x:f>
        <x:v>0</x:v>
      </x:c>
      <x:c r="K108" s="168" t="str">
        <x:v>KOHC_AR_2021.pdf</x:v>
      </x:c>
      <x:c r="L108" s="168" t="n">
        <x:v>44</x:v>
      </x:c>
      <x:c r="M108" s="168" t="str">
        <x:v>Comparative</x:v>
      </x:c>
      <x:c r="N108" s="171" t="str">
        <x:v>Zero / no separate line in audited presentation</x:v>
      </x:c>
      <x:c r="O108" s="171" t="str">
        <x:v>Zero classification checked within the audited statement/note and reconstructed statement totals; absence of a separate line does not imply a missing replacement estimate.</x:v>
      </x:c>
      <x:c r="P108" s="171" t="str">
        <x:v>
STATEMENT OF 
FINANCIAL POSITION 
As at 30 June 2021
   (Restated)
  2021 2020
 Note Rupees Rupees
EQUITY AND LIABILITIES
Authorized share capital 4  | Deferred grant</x:v>
      </x:c>
    </x:row>
    <x:row r="109" ht="82" customHeight="1">
      <x:c r="A109" s="76" t="str">
        <x:v>KOHC|grant_nc|2021</x:v>
      </x:c>
      <x:c r="B109" s="76" t="str">
        <x:v>KOHC</x:v>
      </x:c>
      <x:c r="C109" s="76" t="str">
        <x:v>FY2021</x:v>
      </x:c>
      <x:c r="D109" s="76" t="str">
        <x:v>Deferred government grant (non-current)</x:v>
      </x:c>
      <x:c r="E109" s="170" t="n">
        <x:v>1328937</x:v>
      </x:c>
      <x:c r="F109" s="170" t="n">
        <x:v>1328937</x:v>
      </x:c>
      <x:c r="G109" s="170" t="str">
        <x:v>Rupees</x:v>
      </x:c>
      <x:c r="H109" s="170" t="n">
        <x:f>F109/1000000</x:f>
        <x:v>1.328937</x:v>
      </x:c>
      <x:c r="I109" s="170" t="n">
        <x:f>KOHC!D45</x:f>
        <x:v>1.328937</x:v>
      </x:c>
      <x:c r="J109" s="170" t="n">
        <x:f>H109-I109</x:f>
        <x:v>0</x:v>
      </x:c>
      <x:c r="K109" s="76" t="str">
        <x:v>Kohat_Cement_AR_2022.pdf</x:v>
      </x:c>
      <x:c r="L109" s="76" t="n">
        <x:v>52</x:v>
      </x:c>
      <x:c r="M109" s="76" t="str">
        <x:v>Comparative</x:v>
      </x:c>
      <x:c r="N109" s="99" t="str">
        <x:v>Printed amount independently located</x:v>
      </x:c>
      <x:c r="O109" s="99" t="str">
        <x:v>Exact source amount found; audited year/current-comparative column recorded. Accounting subtotal tests performed separately.</x:v>
      </x:c>
      <x:c r="P109" s="99" t="str">
        <x:v>27,246,220,231   22,223,539,371 
Non-current liabilities  
Long term financing - secured 6  3,179,400,118   4,405,765,306 
Deferred grant 6.8 –    1,328,937 
Long term deposits  7  2,036,100   2,036,100 
Deferred liabilities 
 - deferred taxation 8.1  3,407,373,618   1,857,649,347 
 - compensated absences 8.2  27,647,098   24,358,436</x:v>
      </x:c>
    </x:row>
    <x:row r="110" ht="82" customHeight="1">
      <x:c r="A110" s="168" t="str">
        <x:v>KOHC|grant_nc|2022</x:v>
      </x:c>
      <x:c r="B110" s="168" t="str">
        <x:v>KOHC</x:v>
      </x:c>
      <x:c r="C110" s="168" t="str">
        <x:v>FY2022</x:v>
      </x:c>
      <x:c r="D110" s="168" t="str">
        <x:v>Deferred government grant (non-current)</x:v>
      </x:c>
      <x:c r="E110" s="169" t="n">
        <x:v>0</x:v>
      </x:c>
      <x:c r="F110" s="169" t="n">
        <x:v>0</x:v>
      </x:c>
      <x:c r="G110" s="169" t="str">
        <x:v>Rupees</x:v>
      </x:c>
      <x:c r="H110" s="169" t="n">
        <x:f>F110/1000000</x:f>
        <x:v>0</x:v>
      </x:c>
      <x:c r="I110" s="169" t="n">
        <x:f>KOHC!E45</x:f>
        <x:v>0</x:v>
      </x:c>
      <x:c r="J110" s="169" t="n">
        <x:f>H110-I110</x:f>
        <x:v>0</x:v>
      </x:c>
      <x:c r="K110" s="168" t="str">
        <x:v>Financial_Statements-30-06-2023.pdf</x:v>
      </x:c>
      <x:c r="L110" s="168" t="n">
        <x:v>52</x:v>
      </x:c>
      <x:c r="M110" s="168" t="str">
        <x:v>Comparative</x:v>
      </x:c>
      <x:c r="N110" s="171" t="str">
        <x:v>Zero / no separate line in audited presentation</x:v>
      </x:c>
      <x:c r="O110" s="171" t="str">
        <x:v>Zero classification checked within the audited statement/note and reconstructed statement totals; absence of a separate line does not imply a missing replacement estimate.</x:v>
      </x:c>
      <x:c r="P110" s="171" t="str">
        <x:v>
50
STATEMENT OF 
FINANCIAL POSITION 
As at 30 June 2023
  2023 2022
 Note Rupees Rupees
EQUITY AND LIABILITIES 
Authorized share capital 4  3,000,000 | Deferred government grant (non-current)</x:v>
      </x:c>
    </x:row>
    <x:row r="111" ht="82" customHeight="1">
      <x:c r="A111" s="76" t="str">
        <x:v>KOHC|grant_nc|2023</x:v>
      </x:c>
      <x:c r="B111" s="76" t="str">
        <x:v>KOHC</x:v>
      </x:c>
      <x:c r="C111" s="76" t="str">
        <x:v>FY2023</x:v>
      </x:c>
      <x:c r="D111" s="76" t="str">
        <x:v>Deferred government grant (non-current)</x:v>
      </x:c>
      <x:c r="E111" s="170" t="n">
        <x:v>0</x:v>
      </x:c>
      <x:c r="F111" s="170" t="n">
        <x:v>0</x:v>
      </x:c>
      <x:c r="G111" s="170" t="str">
        <x:v>Rupees</x:v>
      </x:c>
      <x:c r="H111" s="170" t="n">
        <x:f>F111/1000000</x:f>
        <x:v>0</x:v>
      </x:c>
      <x:c r="I111" s="170" t="n">
        <x:f>KOHC!F45</x:f>
        <x:v>0</x:v>
      </x:c>
      <x:c r="J111" s="170" t="n">
        <x:f>H111-I111</x:f>
        <x:v>0</x:v>
      </x:c>
      <x:c r="K111" s="76" t="str">
        <x:v>Kohat_Cement_Annual_Report-2024.pdf</x:v>
      </x:c>
      <x:c r="L111" s="76" t="n">
        <x:v>58</x:v>
      </x:c>
      <x:c r="M111" s="76" t="str">
        <x:v>Comparative</x:v>
      </x:c>
      <x:c r="N111" s="99" t="str">
        <x:v>Zero / no separate line in audited presentation</x:v>
      </x:c>
      <x:c r="O111" s="99" t="str">
        <x:v>Zero classification checked within the audited statement/note and reconstructed statement totals; absence of a separate line does not imply a missing replacement estimate.</x:v>
      </x:c>
      <x:c r="P111" s="99" t="str">
        <x:v>
56
STATEMENT OF 
FINANCIAL POSITION 
As at 30 June 2024
  2024 2023
 Note Rupees Rupees
   Restated
EQUITY AND LIABILITIES
Authorized share capital 4 | Deferred government grant (non-current)</x:v>
      </x:c>
    </x:row>
    <x:row r="112" ht="82" customHeight="1">
      <x:c r="A112" s="168" t="str">
        <x:v>KOHC|grant_nc|2024</x:v>
      </x:c>
      <x:c r="B112" s="168" t="str">
        <x:v>KOHC</x:v>
      </x:c>
      <x:c r="C112" s="168" t="str">
        <x:v>FY2024</x:v>
      </x:c>
      <x:c r="D112" s="168" t="str">
        <x:v>Deferred government grant (non-current)</x:v>
      </x:c>
      <x:c r="E112" s="169" t="n">
        <x:v>0</x:v>
      </x:c>
      <x:c r="F112" s="169" t="n">
        <x:v>0</x:v>
      </x:c>
      <x:c r="G112" s="169" t="str">
        <x:v>Rupees</x:v>
      </x:c>
      <x:c r="H112" s="169" t="n">
        <x:f>F112/1000000</x:f>
        <x:v>0</x:v>
      </x:c>
      <x:c r="I112" s="169" t="n">
        <x:f>KOHC!G45</x:f>
        <x:v>0</x:v>
      </x:c>
      <x:c r="J112" s="169" t="n">
        <x:f>H112-I112</x:f>
        <x:v>0</x:v>
      </x:c>
      <x:c r="K112" s="168" t="str">
        <x:v>Kohat_Cement_Annual_Report_2025.pdf</x:v>
      </x:c>
      <x:c r="L112" s="168" t="n">
        <x:v>68</x:v>
      </x:c>
      <x:c r="M112" s="168" t="str">
        <x:v>Comparative</x:v>
      </x:c>
      <x:c r="N112" s="171" t="str">
        <x:v>Zero / no separate line in audited presentation</x:v>
      </x:c>
      <x:c r="O112" s="171" t="str">
        <x:v>Zero classification checked within the audited statement/note and reconstructed statement totals; absence of a separate line does not imply a missing replacement estimate.</x:v>
      </x:c>
      <x:c r="P112" s="171" t="str">
        <x:v>
66
STATEMENT OF 
FINANCIAL POSITION 
As at June 30, 2025
  2025 2024
 Note Rupees Rupees
EQUITY AND LIABILITIES 
Authorized share capital 4  3,000,00 | Deferred government grant (non-current)</x:v>
      </x:c>
    </x:row>
    <x:row r="113" ht="82" customHeight="1">
      <x:c r="A113" s="76" t="str">
        <x:v>KOHC|grant_nc|2025</x:v>
      </x:c>
      <x:c r="B113" s="76" t="str">
        <x:v>KOHC</x:v>
      </x:c>
      <x:c r="C113" s="76" t="str">
        <x:v>FY2025</x:v>
      </x:c>
      <x:c r="D113" s="76" t="str">
        <x:v>Deferred government grant (non-current)</x:v>
      </x:c>
      <x:c r="E113" s="170" t="n">
        <x:v>0</x:v>
      </x:c>
      <x:c r="F113" s="170" t="n">
        <x:v>0</x:v>
      </x:c>
      <x:c r="G113" s="170" t="str">
        <x:v>Rupees</x:v>
      </x:c>
      <x:c r="H113" s="170" t="n">
        <x:f>F113/1000000</x:f>
        <x:v>0</x:v>
      </x:c>
      <x:c r="I113" s="170" t="n">
        <x:f>KOHC!H45</x:f>
        <x:v>0</x:v>
      </x:c>
      <x:c r="J113" s="170" t="n">
        <x:f>H113-I113</x:f>
        <x:v>0</x:v>
      </x:c>
      <x:c r="K113" s="76" t="str">
        <x:v>Kohat_Cement_Annual_Report_2025.pdf</x:v>
      </x:c>
      <x:c r="L113" s="76" t="n">
        <x:v>68</x:v>
      </x:c>
      <x:c r="M113" s="76" t="str">
        <x:v>Current year</x:v>
      </x:c>
      <x:c r="N113" s="99" t="str">
        <x:v>Zero / no separate line in audited presentation</x:v>
      </x:c>
      <x:c r="O113" s="99" t="str">
        <x:v>Zero classification checked within the audited statement/note and reconstructed statement totals; absence of a separate line does not imply a missing replacement estimate.</x:v>
      </x:c>
      <x:c r="P113" s="99" t="str">
        <x:v>
66
STATEMENT OF 
FINANCIAL POSITION 
As at June 30, 2025
  2025 2024
 Note Rupees Rupees
EQUITY AND LIABILITIES 
Authorized share capital 4  3,000,00 | Deferred government grant (non-current)</x:v>
      </x:c>
    </x:row>
    <x:row r="114" ht="82" customHeight="1">
      <x:c r="A114" s="168" t="str">
        <x:v>KOHC|def_tax|2020</x:v>
      </x:c>
      <x:c r="B114" s="168" t="str">
        <x:v>KOHC</x:v>
      </x:c>
      <x:c r="C114" s="168" t="str">
        <x:v>FY2020</x:v>
      </x:c>
      <x:c r="D114" s="168" t="str">
        <x:v>Deferred tax liability</x:v>
      </x:c>
      <x:c r="E114" s="169" t="n">
        <x:v>1287942113</x:v>
      </x:c>
      <x:c r="F114" s="169" t="n">
        <x:v>1287942113</x:v>
      </x:c>
      <x:c r="G114" s="169" t="str">
        <x:v>Rupees</x:v>
      </x:c>
      <x:c r="H114" s="169" t="n">
        <x:f>F114/1000000</x:f>
        <x:v>1287.942113</x:v>
      </x:c>
      <x:c r="I114" s="169" t="n">
        <x:f>KOHC!C46</x:f>
        <x:v>1287.942113</x:v>
      </x:c>
      <x:c r="J114" s="169" t="n">
        <x:f>H114-I114</x:f>
        <x:v>0</x:v>
      </x:c>
      <x:c r="K114" s="168" t="str">
        <x:v>KOHC_AR_2021.pdf</x:v>
      </x:c>
      <x:c r="L114" s="168" t="n">
        <x:v>44</x:v>
      </x:c>
      <x:c r="M114" s="168" t="str">
        <x:v>Comparative</x:v>
      </x:c>
      <x:c r="N114" s="171" t="str">
        <x:v>Printed amount independently located</x:v>
      </x:c>
      <x:c r="O114" s="171" t="str">
        <x:v>Exact source amount found; audited year/current-comparative column recorded. Accounting subtotal tests performed separately.</x:v>
      </x:c>
      <x:c r="P114" s="171" t="str">
        <x:v>42 
Deferred grant 6.8  1,328,937  –  
Long term deposits  7  2,036,100   2,036,100 
Deferred liabilities  
 - deferred taxation 8.1  1,857,649,347   1,287,942,113 
 - compensated absences 8.2  24,358,436   21,241,356 
     6,291,138,126   6,750,445,711 
Current liabilities   
Current portion of long term financing 6  1,147,020,843   248,496</x:v>
      </x:c>
    </x:row>
    <x:row r="115" ht="82" customHeight="1">
      <x:c r="A115" s="76" t="str">
        <x:v>KOHC|def_tax|2021</x:v>
      </x:c>
      <x:c r="B115" s="76" t="str">
        <x:v>KOHC</x:v>
      </x:c>
      <x:c r="C115" s="76" t="str">
        <x:v>FY2021</x:v>
      </x:c>
      <x:c r="D115" s="76" t="str">
        <x:v>Deferred tax liability</x:v>
      </x:c>
      <x:c r="E115" s="170" t="n">
        <x:v>1857649347</x:v>
      </x:c>
      <x:c r="F115" s="170" t="n">
        <x:v>1857649347</x:v>
      </x:c>
      <x:c r="G115" s="170" t="str">
        <x:v>Rupees</x:v>
      </x:c>
      <x:c r="H115" s="170" t="n">
        <x:f>F115/1000000</x:f>
        <x:v>1857.649347</x:v>
      </x:c>
      <x:c r="I115" s="170" t="n">
        <x:f>KOHC!D46</x:f>
        <x:v>1857.649347</x:v>
      </x:c>
      <x:c r="J115" s="170" t="n">
        <x:f>H115-I115</x:f>
        <x:v>0</x:v>
      </x:c>
      <x:c r="K115" s="76" t="str">
        <x:v>Kohat_Cement_AR_2022.pdf</x:v>
      </x:c>
      <x:c r="L115" s="76" t="n">
        <x:v>52</x:v>
      </x:c>
      <x:c r="M115" s="76" t="str">
        <x:v>Comparative</x:v>
      </x:c>
      <x:c r="N115" s="99" t="str">
        <x:v>Printed amount independently located</x:v>
      </x:c>
      <x:c r="O115" s="99" t="str">
        <x:v>Exact source amount found; audited year/current-comparative column recorded. Accounting subtotal tests performed separately.</x:v>
      </x:c>
      <x:c r="P115" s="99" t="str">
        <x:v>306 
Deferred grant 6.8 –    1,328,937 
Long term deposits  7  2,036,100   2,036,100 
Deferred liabilities 
 - deferred taxation 8.1  3,407,373,618   1,857,649,347 
 - compensated absences 8.2  27,647,098   24,358,436 
     6,616,456,934   6,291,138,126 
Current liabilities  
Current portion of long term financing 6  1,071,912,356   1,147,02</x:v>
      </x:c>
    </x:row>
    <x:row r="116" ht="82" customHeight="1">
      <x:c r="A116" s="168" t="str">
        <x:v>KOHC|def_tax|2022</x:v>
      </x:c>
      <x:c r="B116" s="168" t="str">
        <x:v>KOHC</x:v>
      </x:c>
      <x:c r="C116" s="168" t="str">
        <x:v>FY2022</x:v>
      </x:c>
      <x:c r="D116" s="168" t="str">
        <x:v>Deferred tax liability</x:v>
      </x:c>
      <x:c r="E116" s="169" t="n">
        <x:v>3407373618</x:v>
      </x:c>
      <x:c r="F116" s="169" t="n">
        <x:v>3407373618</x:v>
      </x:c>
      <x:c r="G116" s="169" t="str">
        <x:v>Rupees</x:v>
      </x:c>
      <x:c r="H116" s="169" t="n">
        <x:f>F116/1000000</x:f>
        <x:v>3407.373618</x:v>
      </x:c>
      <x:c r="I116" s="169" t="n">
        <x:f>KOHC!E46</x:f>
        <x:v>3407.373618</x:v>
      </x:c>
      <x:c r="J116" s="169" t="n">
        <x:f>H116-I116</x:f>
        <x:v>0</x:v>
      </x:c>
      <x:c r="K116" s="168" t="str">
        <x:v>Financial_Statements-30-06-2023.pdf</x:v>
      </x:c>
      <x:c r="L116" s="168" t="n">
        <x:v>52</x:v>
      </x:c>
      <x:c r="M116" s="168" t="str">
        <x:v>Comparative</x:v>
      </x:c>
      <x:c r="N116" s="171" t="str">
        <x:v>Printed amount independently located</x:v>
      </x:c>
      <x:c r="O116" s="171" t="str">
        <x:v>Exact source amount found; audited year/current-comparative column recorded. Accounting subtotal tests performed separately.</x:v>
      </x:c>
      <x:c r="P116" s="171" t="str">
        <x:v>cured 6  2,149,017,375   3,179,400,118 
Long term deposits  7  3,536,100   2,036,100 
Deferred liabilities 
 - deferred taxation 8.1  4,823,158,446   3,407,373,618 
 - compensated absences 8.2  31,847,241   27,647,098 
     7,007,559,162   6,616,456,934 
Current liabilities  
Current portion of long term financing 6  1,034,355,873   1,071,91</x:v>
      </x:c>
    </x:row>
    <x:row r="117" ht="82" customHeight="1">
      <x:c r="A117" s="76" t="str">
        <x:v>KOHC|def_tax|2023</x:v>
      </x:c>
      <x:c r="B117" s="76" t="str">
        <x:v>KOHC</x:v>
      </x:c>
      <x:c r="C117" s="76" t="str">
        <x:v>FY2023</x:v>
      </x:c>
      <x:c r="D117" s="76" t="str">
        <x:v>Deferred tax liability</x:v>
      </x:c>
      <x:c r="E117" s="170" t="n">
        <x:v>4823158446</x:v>
      </x:c>
      <x:c r="F117" s="170" t="n">
        <x:v>4823158446</x:v>
      </x:c>
      <x:c r="G117" s="170" t="str">
        <x:v>Rupees</x:v>
      </x:c>
      <x:c r="H117" s="170" t="n">
        <x:f>F117/1000000</x:f>
        <x:v>4823.158446</x:v>
      </x:c>
      <x:c r="I117" s="170" t="n">
        <x:f>KOHC!F46</x:f>
        <x:v>4823.158446</x:v>
      </x:c>
      <x:c r="J117" s="170" t="n">
        <x:f>H117-I117</x:f>
        <x:v>0</x:v>
      </x:c>
      <x:c r="K117" s="76" t="str">
        <x:v>Kohat_Cement_Annual_Report-2024.pdf</x:v>
      </x:c>
      <x:c r="L117" s="76" t="n">
        <x:v>58</x:v>
      </x:c>
      <x:c r="M117" s="76" t="str">
        <x:v>Comparative</x:v>
      </x:c>
      <x:c r="N117" s="99" t="str">
        <x:v>Printed amount independently located</x:v>
      </x:c>
      <x:c r="O117" s="99" t="str">
        <x:v>Exact source amount found; audited year/current-comparative column recorded. Accounting subtotal tests performed separately.</x:v>
      </x:c>
      <x:c r="P117" s="99" t="str">
        <x:v>cured 6  1,118,642,478   2,149,017,375 
Long term deposits  7  3,536,100   3,536,100 
Deferred liabilities 
 – deferred taxation 8.1  5,505,823,994   4,823,158,446 
 – compensated absences 8.2  29,351,103   31,847,241 
     6,657,353,675   7,007,559,162 
Current liabilities  
Current portion of long term financing 6  1,034,355,873   1,034,35</x:v>
      </x:c>
    </x:row>
    <x:row r="118" ht="82" customHeight="1">
      <x:c r="A118" s="168" t="str">
        <x:v>KOHC|def_tax|2024</x:v>
      </x:c>
      <x:c r="B118" s="168" t="str">
        <x:v>KOHC</x:v>
      </x:c>
      <x:c r="C118" s="168" t="str">
        <x:v>FY2024</x:v>
      </x:c>
      <x:c r="D118" s="168" t="str">
        <x:v>Deferred tax liability</x:v>
      </x:c>
      <x:c r="E118" s="169" t="n">
        <x:v>5505823994</x:v>
      </x:c>
      <x:c r="F118" s="169" t="n">
        <x:v>5505823994</x:v>
      </x:c>
      <x:c r="G118" s="169" t="str">
        <x:v>Rupees</x:v>
      </x:c>
      <x:c r="H118" s="169" t="n">
        <x:f>F118/1000000</x:f>
        <x:v>5505.823994</x:v>
      </x:c>
      <x:c r="I118" s="169" t="n">
        <x:f>KOHC!G46</x:f>
        <x:v>5505.823994</x:v>
      </x:c>
      <x:c r="J118" s="169" t="n">
        <x:f>H118-I118</x:f>
        <x:v>0</x:v>
      </x:c>
      <x:c r="K118" s="168" t="str">
        <x:v>Kohat_Cement_Annual_Report_2025.pdf</x:v>
      </x:c>
      <x:c r="L118" s="168" t="n">
        <x:v>68</x:v>
      </x:c>
      <x:c r="M118" s="168" t="str">
        <x:v>Comparative</x:v>
      </x:c>
      <x:c r="N118" s="171" t="str">
        <x:v>Printed amount independently located</x:v>
      </x:c>
      <x:c r="O118" s="171" t="str">
        <x:v>Exact source amount found; audited year/current-comparative column recorded. Accounting subtotal tests performed separately.</x:v>
      </x:c>
      <x:c r="P118" s="171" t="str">
        <x:v>ecured 6  1,448,977,799   1,118,642,478 
Long term deposits  7  3,536,100   3,536,100 
Deferred liabilities 
- deferred taxation 8.1  5,688,116,040   5,505,823,994 
- compensated absences 8.2  36,785,931   29,351,103 
     7,177,415,870   6,657,353,675 
Current liabilities 
Current portion of long term financing 6  837,359,258   1,169,295,64</x:v>
      </x:c>
    </x:row>
    <x:row r="119" ht="82" customHeight="1">
      <x:c r="A119" s="76" t="str">
        <x:v>KOHC|def_tax|2025</x:v>
      </x:c>
      <x:c r="B119" s="76" t="str">
        <x:v>KOHC</x:v>
      </x:c>
      <x:c r="C119" s="76" t="str">
        <x:v>FY2025</x:v>
      </x:c>
      <x:c r="D119" s="76" t="str">
        <x:v>Deferred tax liability</x:v>
      </x:c>
      <x:c r="E119" s="170" t="n">
        <x:v>5688116040</x:v>
      </x:c>
      <x:c r="F119" s="170" t="n">
        <x:v>5688116040</x:v>
      </x:c>
      <x:c r="G119" s="170" t="str">
        <x:v>Rupees</x:v>
      </x:c>
      <x:c r="H119" s="170" t="n">
        <x:f>F119/1000000</x:f>
        <x:v>5688.11604</x:v>
      </x:c>
      <x:c r="I119" s="170" t="n">
        <x:f>KOHC!H46</x:f>
        <x:v>5688.11604</x:v>
      </x:c>
      <x:c r="J119" s="170" t="n">
        <x:f>H119-I119</x:f>
        <x:v>0</x:v>
      </x:c>
      <x:c r="K119" s="76" t="str">
        <x:v>Kohat_Cement_Annual_Report_2025.pdf</x:v>
      </x:c>
      <x:c r="L119" s="76" t="n">
        <x:v>68</x:v>
      </x:c>
      <x:c r="M119" s="76" t="str">
        <x:v>Current year</x:v>
      </x:c>
      <x:c r="N119" s="99" t="str">
        <x:v>Printed amount independently located</x:v>
      </x:c>
      <x:c r="O119" s="99" t="str">
        <x:v>Exact source amount found; audited year/current-comparative column recorded. Accounting subtotal tests performed separately.</x:v>
      </x:c>
      <x:c r="P119" s="99" t="str">
        <x:v>rm financing - secured 6  1,448,977,799   1,118,642,478 
Long term deposits  7  3,536,100   3,536,100 
Deferred liabilities 
- deferred taxation 8.1  5,688,116,040   5,505,823,994 
- compensated absences 8.2  36,785,931   29,351,103 
     7,177,415,870   6,657,353,675 
Current liabilities 
Current portion of long term financing 6  837,359,25</x:v>
      </x:c>
    </x:row>
    <x:row r="120" ht="82" customHeight="1">
      <x:c r="A120" s="168" t="str">
        <x:v>KOHC|ncl_other|2020</x:v>
      </x:c>
      <x:c r="B120" s="168" t="str">
        <x:v>KOHC</x:v>
      </x:c>
      <x:c r="C120" s="168" t="str">
        <x:v>FY2020</x:v>
      </x:c>
      <x:c r="D120" s="168" t="str">
        <x:v>Other non-current liabilities</x:v>
      </x:c>
      <x:c r="E120" s="169" t="n">
        <x:v>23277456</x:v>
      </x:c>
      <x:c r="F120" s="169" t="n">
        <x:v>23277456</x:v>
      </x:c>
      <x:c r="G120" s="169" t="str">
        <x:v>Rupees</x:v>
      </x:c>
      <x:c r="H120" s="169" t="n">
        <x:f>F120/1000000</x:f>
        <x:v>23.277456</x:v>
      </x:c>
      <x:c r="I120" s="169" t="n">
        <x:f>KOHC!C47</x:f>
        <x:v>23.277456</x:v>
      </x:c>
      <x:c r="J120" s="169" t="n">
        <x:f>H120-I120</x:f>
        <x:v>0</x:v>
      </x:c>
      <x:c r="K120" s="168" t="str">
        <x:v>KOHC_AR_2021.pdf</x:v>
      </x:c>
      <x:c r="L120" s="168" t="n">
        <x:v>44</x:v>
      </x:c>
      <x:c r="M120" s="168" t="str">
        <x:v>Comparative</x:v>
      </x:c>
      <x:c r="N120" s="171" t="str">
        <x:v>Aggregated audited components</x:v>
      </x:c>
      <x:c r="O120" s="171" t="str">
        <x:v>Source-labelled component sum; statement controls and signed-unit conversion independently recomputed.</x:v>
      </x:c>
      <x:c r="P120" s="171" t="str">
        <x:v>
STATEMENT OF 
FINANCIAL POSITION 
As at 30 June 2021
   (Restated)
  2021 2020
 Note Rupees Rupees
EQUITY AND LIABILITIES
Authorized share capital 4  3,000,000,000   3,000,000,000 | Components: - compensated absences; Long term deposits</x:v>
      </x:c>
    </x:row>
    <x:row r="121" ht="82" customHeight="1">
      <x:c r="A121" s="76" t="str">
        <x:v>KOHC|ncl_other|2021</x:v>
      </x:c>
      <x:c r="B121" s="76" t="str">
        <x:v>KOHC</x:v>
      </x:c>
      <x:c r="C121" s="76" t="str">
        <x:v>FY2021</x:v>
      </x:c>
      <x:c r="D121" s="76" t="str">
        <x:v>Other non-current liabilities</x:v>
      </x:c>
      <x:c r="E121" s="170" t="n">
        <x:v>26394536</x:v>
      </x:c>
      <x:c r="F121" s="170" t="n">
        <x:v>26394536</x:v>
      </x:c>
      <x:c r="G121" s="170" t="str">
        <x:v>Rupees</x:v>
      </x:c>
      <x:c r="H121" s="170" t="n">
        <x:f>F121/1000000</x:f>
        <x:v>26.394536</x:v>
      </x:c>
      <x:c r="I121" s="170" t="n">
        <x:f>KOHC!D47</x:f>
        <x:v>26.394536</x:v>
      </x:c>
      <x:c r="J121" s="170" t="n">
        <x:f>H121-I121</x:f>
        <x:v>0</x:v>
      </x:c>
      <x:c r="K121" s="76" t="str">
        <x:v>Kohat_Cement_AR_2022.pdf</x:v>
      </x:c>
      <x:c r="L121" s="76" t="n">
        <x:v>52</x:v>
      </x:c>
      <x:c r="M121" s="76" t="str">
        <x:v>Comparative</x:v>
      </x:c>
      <x:c r="N121" s="99" t="str">
        <x:v>Aggregated audited components</x:v>
      </x:c>
      <x:c r="O121" s="99" t="str">
        <x:v>Source-labelled component sum; statement controls and signed-unit conversion independently recomputed.</x:v>
      </x:c>
      <x:c r="P121" s="99" t="str">
        <x:v>
STATEMENT OF 
FINANCIAL POSITION 
As at 30 June 2022
  2022 2021
 Note Rupees Rupees
EQUITY AND LIABILITIES 
Authorized share capital 4  3,000,000,000   3,000,000,000 
Issued, s | Components: - compensated absences; Long term deposits</x:v>
      </x:c>
    </x:row>
    <x:row r="122" ht="82" customHeight="1">
      <x:c r="A122" s="168" t="str">
        <x:v>KOHC|ncl_other|2022</x:v>
      </x:c>
      <x:c r="B122" s="168" t="str">
        <x:v>KOHC</x:v>
      </x:c>
      <x:c r="C122" s="168" t="str">
        <x:v>FY2022</x:v>
      </x:c>
      <x:c r="D122" s="168" t="str">
        <x:v>Other non-current liabilities</x:v>
      </x:c>
      <x:c r="E122" s="169" t="n">
        <x:v>29683198</x:v>
      </x:c>
      <x:c r="F122" s="169" t="n">
        <x:v>29683198</x:v>
      </x:c>
      <x:c r="G122" s="169" t="str">
        <x:v>Rupees</x:v>
      </x:c>
      <x:c r="H122" s="169" t="n">
        <x:f>F122/1000000</x:f>
        <x:v>29.683198</x:v>
      </x:c>
      <x:c r="I122" s="169" t="n">
        <x:f>KOHC!E47</x:f>
        <x:v>29.683198</x:v>
      </x:c>
      <x:c r="J122" s="169" t="n">
        <x:f>H122-I122</x:f>
        <x:v>0</x:v>
      </x:c>
      <x:c r="K122" s="168" t="str">
        <x:v>Financial_Statements-30-06-2023.pdf</x:v>
      </x:c>
      <x:c r="L122" s="168" t="n">
        <x:v>52</x:v>
      </x:c>
      <x:c r="M122" s="168" t="str">
        <x:v>Comparative</x:v>
      </x:c>
      <x:c r="N122" s="171" t="str">
        <x:v>Aggregated audited components</x:v>
      </x:c>
      <x:c r="O122" s="171" t="str">
        <x:v>Source-labelled component sum; statement controls and signed-unit conversion independently recomputed.</x:v>
      </x:c>
      <x:c r="P122" s="171" t="str">
        <x:v>
50
STATEMENT OF 
FINANCIAL POSITION 
As at 30 June 2023
  2023 2022
 Note Rupees Rupees
EQUITY AND LIABILITIES 
Authorized share capital 4  3,000,000,000   3,000,000,000 
Issued | Components: - compensated absences; Long term deposits</x:v>
      </x:c>
    </x:row>
    <x:row r="123" ht="82" customHeight="1">
      <x:c r="A123" s="76" t="str">
        <x:v>KOHC|ncl_other|2023</x:v>
      </x:c>
      <x:c r="B123" s="76" t="str">
        <x:v>KOHC</x:v>
      </x:c>
      <x:c r="C123" s="76" t="str">
        <x:v>FY2023</x:v>
      </x:c>
      <x:c r="D123" s="76" t="str">
        <x:v>Other non-current liabilities</x:v>
      </x:c>
      <x:c r="E123" s="170" t="n">
        <x:v>35383341</x:v>
      </x:c>
      <x:c r="F123" s="170" t="n">
        <x:v>35383341</x:v>
      </x:c>
      <x:c r="G123" s="170" t="str">
        <x:v>Rupees</x:v>
      </x:c>
      <x:c r="H123" s="170" t="n">
        <x:f>F123/1000000</x:f>
        <x:v>35.383341</x:v>
      </x:c>
      <x:c r="I123" s="170" t="n">
        <x:f>KOHC!F47</x:f>
        <x:v>35.383341</x:v>
      </x:c>
      <x:c r="J123" s="170" t="n">
        <x:f>H123-I123</x:f>
        <x:v>0</x:v>
      </x:c>
      <x:c r="K123" s="76" t="str">
        <x:v>Kohat_Cement_Annual_Report-2024.pdf</x:v>
      </x:c>
      <x:c r="L123" s="76" t="n">
        <x:v>58</x:v>
      </x:c>
      <x:c r="M123" s="76" t="str">
        <x:v>Comparative</x:v>
      </x:c>
      <x:c r="N123" s="99" t="str">
        <x:v>Aggregated audited components</x:v>
      </x:c>
      <x:c r="O123" s="99" t="str">
        <x:v>Source-labelled component sum; statement controls and signed-unit conversion independently recomputed.</x:v>
      </x:c>
      <x:c r="P123" s="99" t="str">
        <x:v>
56
STATEMENT OF 
FINANCIAL POSITION 
As at 30 June 2024
  2024 2023
 Note Rupees Rupees
   Restated
EQUITY AND LIABILITIES
Authorized share capital 4  3,000,000,000   3,000,000,00 | Components: - compensated absences; Long term deposits</x:v>
      </x:c>
    </x:row>
    <x:row r="124" ht="82" customHeight="1">
      <x:c r="A124" s="168" t="str">
        <x:v>KOHC|ncl_other|2024</x:v>
      </x:c>
      <x:c r="B124" s="168" t="str">
        <x:v>KOHC</x:v>
      </x:c>
      <x:c r="C124" s="168" t="str">
        <x:v>FY2024</x:v>
      </x:c>
      <x:c r="D124" s="168" t="str">
        <x:v>Other non-current liabilities</x:v>
      </x:c>
      <x:c r="E124" s="169" t="n">
        <x:v>32887203</x:v>
      </x:c>
      <x:c r="F124" s="169" t="n">
        <x:v>32887203</x:v>
      </x:c>
      <x:c r="G124" s="169" t="str">
        <x:v>Rupees</x:v>
      </x:c>
      <x:c r="H124" s="169" t="n">
        <x:f>F124/1000000</x:f>
        <x:v>32.887203</x:v>
      </x:c>
      <x:c r="I124" s="169" t="n">
        <x:f>KOHC!G47</x:f>
        <x:v>32.887203</x:v>
      </x:c>
      <x:c r="J124" s="169" t="n">
        <x:f>H124-I124</x:f>
        <x:v>0</x:v>
      </x:c>
      <x:c r="K124" s="168" t="str">
        <x:v>Kohat_Cement_Annual_Report_2025.pdf</x:v>
      </x:c>
      <x:c r="L124" s="168" t="n">
        <x:v>68</x:v>
      </x:c>
      <x:c r="M124" s="168" t="str">
        <x:v>Comparative</x:v>
      </x:c>
      <x:c r="N124" s="171" t="str">
        <x:v>Aggregated audited components</x:v>
      </x:c>
      <x:c r="O124" s="171" t="str">
        <x:v>Source-labelled component sum; statement controls and signed-unit conversion independently recomputed.</x:v>
      </x:c>
      <x:c r="P124" s="171" t="str">
        <x:v>
66
STATEMENT OF 
FINANCIAL POSITION 
As at June 30, 2025
  2025 2024
 Note Rupees Rupees
EQUITY AND LIABILITIES 
Authorized share capital 4  3,000,000,000   3,000,000,000 
Issued, | Components: - compensated absences; Long term deposits</x:v>
      </x:c>
    </x:row>
    <x:row r="125" ht="82" customHeight="1">
      <x:c r="A125" s="76" t="str">
        <x:v>KOHC|ncl_other|2025</x:v>
      </x:c>
      <x:c r="B125" s="76" t="str">
        <x:v>KOHC</x:v>
      </x:c>
      <x:c r="C125" s="76" t="str">
        <x:v>FY2025</x:v>
      </x:c>
      <x:c r="D125" s="76" t="str">
        <x:v>Other non-current liabilities</x:v>
      </x:c>
      <x:c r="E125" s="170" t="n">
        <x:v>40322031</x:v>
      </x:c>
      <x:c r="F125" s="170" t="n">
        <x:v>40322031</x:v>
      </x:c>
      <x:c r="G125" s="170" t="str">
        <x:v>Rupees</x:v>
      </x:c>
      <x:c r="H125" s="170" t="n">
        <x:f>F125/1000000</x:f>
        <x:v>40.322031</x:v>
      </x:c>
      <x:c r="I125" s="170" t="n">
        <x:f>KOHC!H47</x:f>
        <x:v>40.322031</x:v>
      </x:c>
      <x:c r="J125" s="170" t="n">
        <x:f>H125-I125</x:f>
        <x:v>0</x:v>
      </x:c>
      <x:c r="K125" s="76" t="str">
        <x:v>Kohat_Cement_Annual_Report_2025.pdf</x:v>
      </x:c>
      <x:c r="L125" s="76" t="n">
        <x:v>68</x:v>
      </x:c>
      <x:c r="M125" s="76" t="str">
        <x:v>Current year</x:v>
      </x:c>
      <x:c r="N125" s="99" t="str">
        <x:v>Aggregated audited components</x:v>
      </x:c>
      <x:c r="O125" s="99" t="str">
        <x:v>Source-labelled component sum; statement controls and signed-unit conversion independently recomputed.</x:v>
      </x:c>
      <x:c r="P125" s="99" t="str">
        <x:v>
66
STATEMENT OF 
FINANCIAL POSITION 
As at June 30, 2025
  2025 2024
 Note Rupees Rupees
EQUITY AND LIABILITIES 
Authorized share capital 4  3,000,000,000   3,000,000,000 
Issued, | Components: - compensated absences; Long term deposits</x:v>
      </x:c>
    </x:row>
    <x:row r="126" ht="82" customHeight="1">
      <x:c r="A126" s="168" t="str">
        <x:v>KOHC|tap|2020</x:v>
      </x:c>
      <x:c r="B126" s="168" t="str">
        <x:v>KOHC</x:v>
      </x:c>
      <x:c r="C126" s="168" t="str">
        <x:v>FY2020</x:v>
      </x:c>
      <x:c r="D126" s="168" t="str">
        <x:v>Trade and other payables</x:v>
      </x:c>
      <x:c r="E126" s="169" t="n">
        <x:v>4293205395</x:v>
      </x:c>
      <x:c r="F126" s="169" t="n">
        <x:v>4293205395</x:v>
      </x:c>
      <x:c r="G126" s="169" t="str">
        <x:v>Rupees</x:v>
      </x:c>
      <x:c r="H126" s="169" t="n">
        <x:f>F126/1000000</x:f>
        <x:v>4293.205395</x:v>
      </x:c>
      <x:c r="I126" s="169" t="n">
        <x:f>KOHC!C50</x:f>
        <x:v>4293.205395</x:v>
      </x:c>
      <x:c r="J126" s="169" t="n">
        <x:f>H126-I126</x:f>
        <x:v>0</x:v>
      </x:c>
      <x:c r="K126" s="168" t="str">
        <x:v>KOHC_AR_2021.pdf</x:v>
      </x:c>
      <x:c r="L126" s="168" t="n">
        <x:v>44</x:v>
      </x:c>
      <x:c r="M126" s="168" t="str">
        <x:v>Comparative</x:v>
      </x:c>
      <x:c r="N126" s="171" t="str">
        <x:v>Printed amount independently located</x:v>
      </x:c>
      <x:c r="O126" s="171" t="str">
        <x:v>Exact source amount found; audited year/current-comparative column recorded. Accounting subtotal tests performed separately.</x:v>
      </x:c>
      <x:c r="P126" s="171" t="str">
        <x:v>50,445,711 
Current liabilities   
Current portion of long term financing 6  1,147,020,843   248,496,322 
Trade and other payables 9  4,985,385,529   4,293,205,395 
Contract liability 10  137,091,500   126,582,689 
Unclaimed dividend   8,559,447   9,416,974 
Dividend payable 11  37,638,105   38,597,374 
Short term borrowings - secured 12  49</x:v>
      </x:c>
    </x:row>
    <x:row r="127" ht="82" customHeight="1">
      <x:c r="A127" s="76" t="str">
        <x:v>KOHC|tap|2021</x:v>
      </x:c>
      <x:c r="B127" s="76" t="str">
        <x:v>KOHC</x:v>
      </x:c>
      <x:c r="C127" s="76" t="str">
        <x:v>FY2021</x:v>
      </x:c>
      <x:c r="D127" s="76" t="str">
        <x:v>Trade and other payables</x:v>
      </x:c>
      <x:c r="E127" s="170" t="n">
        <x:v>4985385529</x:v>
      </x:c>
      <x:c r="F127" s="170" t="n">
        <x:v>4985385529</x:v>
      </x:c>
      <x:c r="G127" s="170" t="str">
        <x:v>Rupees</x:v>
      </x:c>
      <x:c r="H127" s="170" t="n">
        <x:f>F127/1000000</x:f>
        <x:v>4985.385529</x:v>
      </x:c>
      <x:c r="I127" s="170" t="n">
        <x:f>KOHC!D50</x:f>
        <x:v>4985.385529</x:v>
      </x:c>
      <x:c r="J127" s="170" t="n">
        <x:f>H127-I127</x:f>
        <x:v>0</x:v>
      </x:c>
      <x:c r="K127" s="76" t="str">
        <x:v>Kohat_Cement_AR_2022.pdf</x:v>
      </x:c>
      <x:c r="L127" s="76" t="n">
        <x:v>52</x:v>
      </x:c>
      <x:c r="M127" s="76" t="str">
        <x:v>Comparative</x:v>
      </x:c>
      <x:c r="N127" s="99" t="str">
        <x:v>Printed amount independently located</x:v>
      </x:c>
      <x:c r="O127" s="99" t="str">
        <x:v>Exact source amount found; audited year/current-comparative column recorded. Accounting subtotal tests performed separately.</x:v>
      </x:c>
      <x:c r="P127" s="99" t="str">
        <x:v>1,138,126 
Current liabilities  
Current portion of long term financing 6  1,071,912,356   1,147,020,843 
Trade and other payables 9  5,525,221,208   4,985,385,529 
Contract liability 10  264,984,408   137,091,500 
Unclaimed dividend   8,535,357   8,559,447 
Dividend payable 11  37,112,692   37,638,105 
Short term borrowings - secured 12 –</x:v>
      </x:c>
    </x:row>
    <x:row r="128" ht="82" customHeight="1">
      <x:c r="A128" s="168" t="str">
        <x:v>KOHC|tap|2022</x:v>
      </x:c>
      <x:c r="B128" s="168" t="str">
        <x:v>KOHC</x:v>
      </x:c>
      <x:c r="C128" s="168" t="str">
        <x:v>FY2022</x:v>
      </x:c>
      <x:c r="D128" s="168" t="str">
        <x:v>Trade and other payables</x:v>
      </x:c>
      <x:c r="E128" s="169" t="n">
        <x:v>5525221208</x:v>
      </x:c>
      <x:c r="F128" s="169" t="n">
        <x:v>5525221208</x:v>
      </x:c>
      <x:c r="G128" s="169" t="str">
        <x:v>Rupees</x:v>
      </x:c>
      <x:c r="H128" s="169" t="n">
        <x:f>F128/1000000</x:f>
        <x:v>5525.221208</x:v>
      </x:c>
      <x:c r="I128" s="169" t="n">
        <x:f>KOHC!E50</x:f>
        <x:v>5525.221208</x:v>
      </x:c>
      <x:c r="J128" s="169" t="n">
        <x:f>H128-I128</x:f>
        <x:v>0</x:v>
      </x:c>
      <x:c r="K128" s="168" t="str">
        <x:v>Financial_Statements-30-06-2023.pdf</x:v>
      </x:c>
      <x:c r="L128" s="168" t="n">
        <x:v>52</x:v>
      </x:c>
      <x:c r="M128" s="168" t="str">
        <x:v>Comparative</x:v>
      </x:c>
      <x:c r="N128" s="171" t="str">
        <x:v>Printed amount independently located</x:v>
      </x:c>
      <x:c r="O128" s="171" t="str">
        <x:v>Exact source amount found; audited year/current-comparative column recorded. Accounting subtotal tests performed separately.</x:v>
      </x:c>
      <x:c r="P128" s="171" t="str">
        <x:v>6,456,934 
Current liabilities  
Current portion of long term financing 6  1,034,355,873   1,071,912,356 
Trade and other payables 9  5,171,144,705   5,525,221,208 
Contract liability 10  253,135,945   264,984,408 
Unclaimed dividend   8,535,358   8,535,357 
Dividend payable 11  36,939,862   37,112,692 
Provision for taxation - net   3,215,6</x:v>
      </x:c>
    </x:row>
    <x:row r="129" ht="82" customHeight="1">
      <x:c r="A129" s="76" t="str">
        <x:v>KOHC|tap|2023</x:v>
      </x:c>
      <x:c r="B129" s="76" t="str">
        <x:v>KOHC</x:v>
      </x:c>
      <x:c r="C129" s="76" t="str">
        <x:v>FY2023</x:v>
      </x:c>
      <x:c r="D129" s="76" t="str">
        <x:v>Trade and other payables</x:v>
      </x:c>
      <x:c r="E129" s="170" t="n">
        <x:v>5307075353</x:v>
      </x:c>
      <x:c r="F129" s="170" t="n">
        <x:v>5307075353</x:v>
      </x:c>
      <x:c r="G129" s="170" t="str">
        <x:v>Rupees</x:v>
      </x:c>
      <x:c r="H129" s="170" t="n">
        <x:f>F129/1000000</x:f>
        <x:v>5307.075353</x:v>
      </x:c>
      <x:c r="I129" s="170" t="n">
        <x:f>KOHC!F50</x:f>
        <x:v>5307.075353</x:v>
      </x:c>
      <x:c r="J129" s="170" t="n">
        <x:f>H129-I129</x:f>
        <x:v>0</x:v>
      </x:c>
      <x:c r="K129" s="76" t="str">
        <x:v>Kohat_Cement_Annual_Report-2024.pdf</x:v>
      </x:c>
      <x:c r="L129" s="76" t="n">
        <x:v>58</x:v>
      </x:c>
      <x:c r="M129" s="76" t="str">
        <x:v>Comparative</x:v>
      </x:c>
      <x:c r="N129" s="99" t="str">
        <x:v>Printed amount independently located</x:v>
      </x:c>
      <x:c r="O129" s="99" t="str">
        <x:v>Exact source amount found; audited year/current-comparative column recorded. Accounting subtotal tests performed separately.</x:v>
      </x:c>
      <x:c r="P129" s="99" t="str">
        <x:v>7,559,162 
Current liabilities  
Current portion of long term financing 6  1,034,355,873   1,034,355,873 
Trade and other payables 9  6,223,153,321   5,307,075,353 
Contract liability   113,418,606   253,135,945 
Unclaimed dividend   8,503,909   8,535,358 
Dividend payable 10  36,835,022   36,939,862 
Provision for taxation – net  3,544,368,</x:v>
      </x:c>
    </x:row>
    <x:row r="130" ht="82" customHeight="1">
      <x:c r="A130" s="168" t="str">
        <x:v>KOHC|tap|2024</x:v>
      </x:c>
      <x:c r="B130" s="168" t="str">
        <x:v>KOHC</x:v>
      </x:c>
      <x:c r="C130" s="168" t="str">
        <x:v>FY2024</x:v>
      </x:c>
      <x:c r="D130" s="168" t="str">
        <x:v>Trade and other payables</x:v>
      </x:c>
      <x:c r="E130" s="169" t="n">
        <x:v>6223153321</x:v>
      </x:c>
      <x:c r="F130" s="169" t="n">
        <x:v>6223153321</x:v>
      </x:c>
      <x:c r="G130" s="169" t="str">
        <x:v>Rupees</x:v>
      </x:c>
      <x:c r="H130" s="169" t="n">
        <x:f>F130/1000000</x:f>
        <x:v>6223.153321</x:v>
      </x:c>
      <x:c r="I130" s="169" t="n">
        <x:f>KOHC!G50</x:f>
        <x:v>6223.153321</x:v>
      </x:c>
      <x:c r="J130" s="169" t="n">
        <x:f>H130-I130</x:f>
        <x:v>0</x:v>
      </x:c>
      <x:c r="K130" s="168" t="str">
        <x:v>Kohat_Cement_Annual_Report_2025.pdf</x:v>
      </x:c>
      <x:c r="L130" s="168" t="n">
        <x:v>68</x:v>
      </x:c>
      <x:c r="M130" s="168" t="str">
        <x:v>Comparative</x:v>
      </x:c>
      <x:c r="N130" s="171" t="str">
        <x:v>Printed amount independently located</x:v>
      </x:c>
      <x:c r="O130" s="171" t="str">
        <x:v>Exact source amount found; audited year/current-comparative column recorded. Accounting subtotal tests performed separately.</x:v>
      </x:c>
      <x:c r="P130" s="171" t="str">
        <x:v>,657,353,675 
Current liabilities 
Current portion of long term financing 6  837,359,258   1,169,295,643 
Trade and other payables 9  7,710,012,398   6,223,153,321 
Contract liability 24.1.3  144,300,907   113,418,606 
Unclaimed dividend   8,503,909   8,503,909 
Dividend payable 10  33,677,348   36,835,022 
Provision for taxation - net   2,9</x:v>
      </x:c>
    </x:row>
    <x:row r="131" ht="82" customHeight="1">
      <x:c r="A131" s="76" t="str">
        <x:v>KOHC|tap|2025</x:v>
      </x:c>
      <x:c r="B131" s="76" t="str">
        <x:v>KOHC</x:v>
      </x:c>
      <x:c r="C131" s="76" t="str">
        <x:v>FY2025</x:v>
      </x:c>
      <x:c r="D131" s="76" t="str">
        <x:v>Trade and other payables</x:v>
      </x:c>
      <x:c r="E131" s="170" t="n">
        <x:v>7710012398</x:v>
      </x:c>
      <x:c r="F131" s="170" t="n">
        <x:v>7710012398</x:v>
      </x:c>
      <x:c r="G131" s="170" t="str">
        <x:v>Rupees</x:v>
      </x:c>
      <x:c r="H131" s="170" t="n">
        <x:f>F131/1000000</x:f>
        <x:v>7710.012398</x:v>
      </x:c>
      <x:c r="I131" s="170" t="n">
        <x:f>KOHC!H50</x:f>
        <x:v>7710.012398</x:v>
      </x:c>
      <x:c r="J131" s="170" t="n">
        <x:f>H131-I131</x:f>
        <x:v>0</x:v>
      </x:c>
      <x:c r="K131" s="76" t="str">
        <x:v>Kohat_Cement_Annual_Report_2025.pdf</x:v>
      </x:c>
      <x:c r="L131" s="76" t="n">
        <x:v>68</x:v>
      </x:c>
      <x:c r="M131" s="76" t="str">
        <x:v>Current year</x:v>
      </x:c>
      <x:c r="N131" s="99" t="str">
        <x:v>Printed amount independently located</x:v>
      </x:c>
      <x:c r="O131" s="99" t="str">
        <x:v>Exact source amount found; audited year/current-comparative column recorded. Accounting subtotal tests performed separately.</x:v>
      </x:c>
      <x:c r="P131" s="99" t="str">
        <x:v>,177,415,870   6,657,353,675 
Current liabilities 
Current portion of long term financing 6  837,359,258   1,169,295,643 
Trade and other payables 9  7,710,012,398   6,223,153,321 
Contract liability 24.1.3  144,300,907   113,418,606 
Unclaimed dividend   8,503,909   8,503,909 
Dividend payable 10  33,677,348   36,835,022 
Provision for taxa</x:v>
      </x:c>
    </x:row>
    <x:row r="132" ht="82" customHeight="1">
      <x:c r="A132" s="168" t="str">
        <x:v>KOHC|trade_cred|2020</x:v>
      </x:c>
      <x:c r="B132" s="168" t="str">
        <x:v>KOHC</x:v>
      </x:c>
      <x:c r="C132" s="168" t="str">
        <x:v>FY2020</x:v>
      </x:c>
      <x:c r="D132" s="168" t="str">
        <x:v>memo: trade creditors / bills payable (note)</x:v>
      </x:c>
      <x:c r="E132" s="169" t="n">
        <x:v>1091300971</x:v>
      </x:c>
      <x:c r="F132" s="169" t="n">
        <x:v>1091300971</x:v>
      </x:c>
      <x:c r="G132" s="169" t="str">
        <x:v>Rupees</x:v>
      </x:c>
      <x:c r="H132" s="169" t="n">
        <x:f>F132/1000000</x:f>
        <x:v>1091.300971</x:v>
      </x:c>
      <x:c r="I132" s="169" t="n">
        <x:f>KOHC!C51</x:f>
        <x:v>1091.300971</x:v>
      </x:c>
      <x:c r="J132" s="169" t="n">
        <x:f>H132-I132</x:f>
        <x:v>0</x:v>
      </x:c>
      <x:c r="K132" s="168" t="str">
        <x:v>KOHC_AR_2021.pdf</x:v>
      </x:c>
      <x:c r="L132" s="168" t="n">
        <x:v>67</x:v>
      </x:c>
      <x:c r="M132" s="168" t="str">
        <x:v>Comparative</x:v>
      </x:c>
      <x:c r="N132" s="171" t="str">
        <x:v>Aggregated audited components</x:v>
      </x:c>
      <x:c r="O132" s="171" t="str">
        <x:v>Sum of local supplier and import supplier bills; contractor and retention balances excluded from standardized supplier balance.</x:v>
      </x:c>
      <x:c r="P132" s="171" t="str">
        <x:v>Trade creditors - local   927,496,291   724,716,328 | Trade creditors - imports   627,661,254   366,584,643</x:v>
      </x:c>
    </x:row>
    <x:row r="133" ht="82" customHeight="1">
      <x:c r="A133" s="76" t="str">
        <x:v>KOHC|trade_cred|2021</x:v>
      </x:c>
      <x:c r="B133" s="76" t="str">
        <x:v>KOHC</x:v>
      </x:c>
      <x:c r="C133" s="76" t="str">
        <x:v>FY2021</x:v>
      </x:c>
      <x:c r="D133" s="76" t="str">
        <x:v>memo: trade creditors / bills payable (note)</x:v>
      </x:c>
      <x:c r="E133" s="170" t="n">
        <x:v>1555157545</x:v>
      </x:c>
      <x:c r="F133" s="170" t="n">
        <x:v>1555157545</x:v>
      </x:c>
      <x:c r="G133" s="170" t="str">
        <x:v>Rupees</x:v>
      </x:c>
      <x:c r="H133" s="170" t="n">
        <x:f>F133/1000000</x:f>
        <x:v>1555.157545</x:v>
      </x:c>
      <x:c r="I133" s="170" t="n">
        <x:f>KOHC!D51</x:f>
        <x:v>1555.157545</x:v>
      </x:c>
      <x:c r="J133" s="170" t="n">
        <x:f>H133-I133</x:f>
        <x:v>0</x:v>
      </x:c>
      <x:c r="K133" s="76" t="str">
        <x:v>Kohat_Cement_AR_2022.pdf</x:v>
      </x:c>
      <x:c r="L133" s="76" t="n">
        <x:v>75</x:v>
      </x:c>
      <x:c r="M133" s="76" t="str">
        <x:v>Comparative</x:v>
      </x:c>
      <x:c r="N133" s="99" t="str">
        <x:v>Aggregated audited components</x:v>
      </x:c>
      <x:c r="O133" s="99" t="str">
        <x:v>Sum of local supplier and import supplier bills; contractor and retention balances excluded from standardized supplier balance.</x:v>
      </x:c>
      <x:c r="P133" s="99" t="str">
        <x:v>Trade creditors - local 9.1  1,270,981,043   927,496,291 | Trade creditors - imports   10,578,754   627,661,254</x:v>
      </x:c>
    </x:row>
    <x:row r="134" ht="82" customHeight="1">
      <x:c r="A134" s="168" t="str">
        <x:v>KOHC|trade_cred|2022</x:v>
      </x:c>
      <x:c r="B134" s="168" t="str">
        <x:v>KOHC</x:v>
      </x:c>
      <x:c r="C134" s="168" t="str">
        <x:v>FY2022</x:v>
      </x:c>
      <x:c r="D134" s="168" t="str">
        <x:v>memo: trade creditors / bills payable (note)</x:v>
      </x:c>
      <x:c r="E134" s="169" t="n">
        <x:v>1281559797</x:v>
      </x:c>
      <x:c r="F134" s="169" t="n">
        <x:v>1281559797</x:v>
      </x:c>
      <x:c r="G134" s="169" t="str">
        <x:v>Rupees</x:v>
      </x:c>
      <x:c r="H134" s="169" t="n">
        <x:f>F134/1000000</x:f>
        <x:v>1281.559797</x:v>
      </x:c>
      <x:c r="I134" s="169" t="n">
        <x:f>KOHC!E51</x:f>
        <x:v>1281.559797</x:v>
      </x:c>
      <x:c r="J134" s="169" t="n">
        <x:f>H134-I134</x:f>
        <x:v>0</x:v>
      </x:c>
      <x:c r="K134" s="168" t="str">
        <x:v>Financial_Statements-30-06-2023.pdf</x:v>
      </x:c>
      <x:c r="L134" s="168" t="n">
        <x:v>75</x:v>
      </x:c>
      <x:c r="M134" s="168" t="str">
        <x:v>Comparative</x:v>
      </x:c>
      <x:c r="N134" s="171" t="str">
        <x:v>Aggregated audited components</x:v>
      </x:c>
      <x:c r="O134" s="171" t="str">
        <x:v>Sum of local supplier and import supplier bills; contractor and retention balances excluded from standardized supplier balance.</x:v>
      </x:c>
      <x:c r="P134" s="171" t="str">
        <x:v>Trade creditors - local 9.1  647,949,685   1,270,981,043 | Trade creditors - imports   26,724,599   10,578,754</x:v>
      </x:c>
    </x:row>
    <x:row r="135" ht="82" customHeight="1">
      <x:c r="A135" s="76" t="str">
        <x:v>KOHC|trade_cred|2023</x:v>
      </x:c>
      <x:c r="B135" s="76" t="str">
        <x:v>KOHC</x:v>
      </x:c>
      <x:c r="C135" s="76" t="str">
        <x:v>FY2023</x:v>
      </x:c>
      <x:c r="D135" s="76" t="str">
        <x:v>memo: trade creditors / bills payable (note)</x:v>
      </x:c>
      <x:c r="E135" s="170" t="n">
        <x:v>674674284</x:v>
      </x:c>
      <x:c r="F135" s="170" t="n">
        <x:v>674674284</x:v>
      </x:c>
      <x:c r="G135" s="170" t="str">
        <x:v>Rupees</x:v>
      </x:c>
      <x:c r="H135" s="170" t="n">
        <x:f>F135/1000000</x:f>
        <x:v>674.674284</x:v>
      </x:c>
      <x:c r="I135" s="170" t="n">
        <x:f>KOHC!F51</x:f>
        <x:v>674.674284</x:v>
      </x:c>
      <x:c r="J135" s="170" t="n">
        <x:f>H135-I135</x:f>
        <x:v>0</x:v>
      </x:c>
      <x:c r="K135" s="76" t="str">
        <x:v>Kohat_Cement_Annual_Report-2024.pdf</x:v>
      </x:c>
      <x:c r="L135" s="76" t="n">
        <x:v>83</x:v>
      </x:c>
      <x:c r="M135" s="76" t="str">
        <x:v>Comparative</x:v>
      </x:c>
      <x:c r="N135" s="99" t="str">
        <x:v>Aggregated audited components</x:v>
      </x:c>
      <x:c r="O135" s="99" t="str">
        <x:v>Sum of local supplier and import supplier bills; contractor and retention balances excluded from standardized supplier balance.</x:v>
      </x:c>
      <x:c r="P135" s="99" t="str">
        <x:v>Trade creditors - local 9.1  847,755,790   647,949,685 | Trade creditors - imports   933,691,081   26,724,599</x:v>
      </x:c>
    </x:row>
    <x:row r="136" ht="82" customHeight="1">
      <x:c r="A136" s="168" t="str">
        <x:v>KOHC|trade_cred|2024</x:v>
      </x:c>
      <x:c r="B136" s="168" t="str">
        <x:v>KOHC</x:v>
      </x:c>
      <x:c r="C136" s="168" t="str">
        <x:v>FY2024</x:v>
      </x:c>
      <x:c r="D136" s="168" t="str">
        <x:v>memo: trade creditors / bills payable (note)</x:v>
      </x:c>
      <x:c r="E136" s="169" t="n">
        <x:v>1781446871</x:v>
      </x:c>
      <x:c r="F136" s="169" t="n">
        <x:v>1781446871</x:v>
      </x:c>
      <x:c r="G136" s="169" t="str">
        <x:v>Rupees</x:v>
      </x:c>
      <x:c r="H136" s="169" t="n">
        <x:f>F136/1000000</x:f>
        <x:v>1781.446871</x:v>
      </x:c>
      <x:c r="I136" s="169" t="n">
        <x:f>KOHC!G51</x:f>
        <x:v>1781.446871</x:v>
      </x:c>
      <x:c r="J136" s="169" t="n">
        <x:f>H136-I136</x:f>
        <x:v>0</x:v>
      </x:c>
      <x:c r="K136" s="168" t="str">
        <x:v>Kohat_Cement_Annual_Report_2025.pdf</x:v>
      </x:c>
      <x:c r="L136" s="168" t="n">
        <x:v>91</x:v>
      </x:c>
      <x:c r="M136" s="168" t="str">
        <x:v>Comparative</x:v>
      </x:c>
      <x:c r="N136" s="171" t="str">
        <x:v>Aggregated audited components</x:v>
      </x:c>
      <x:c r="O136" s="171" t="str">
        <x:v>Sum of local supplier and import supplier bills; contractor and retention balances excluded from standardized supplier balance.</x:v>
      </x:c>
      <x:c r="P136" s="171" t="str">
        <x:v>Trade creditors - local 9.1  1,002,955,575   847,755,790 | Imports bills payable   1,104,180,400   933,691,081</x:v>
      </x:c>
    </x:row>
    <x:row r="137" ht="82" customHeight="1">
      <x:c r="A137" s="76" t="str">
        <x:v>KOHC|trade_cred|2025</x:v>
      </x:c>
      <x:c r="B137" s="76" t="str">
        <x:v>KOHC</x:v>
      </x:c>
      <x:c r="C137" s="76" t="str">
        <x:v>FY2025</x:v>
      </x:c>
      <x:c r="D137" s="76" t="str">
        <x:v>memo: trade creditors / bills payable (note)</x:v>
      </x:c>
      <x:c r="E137" s="170" t="n">
        <x:v>2107135975</x:v>
      </x:c>
      <x:c r="F137" s="170" t="n">
        <x:v>2107135975</x:v>
      </x:c>
      <x:c r="G137" s="170" t="str">
        <x:v>Rupees</x:v>
      </x:c>
      <x:c r="H137" s="170" t="n">
        <x:f>F137/1000000</x:f>
        <x:v>2107.135975</x:v>
      </x:c>
      <x:c r="I137" s="170" t="n">
        <x:f>KOHC!H51</x:f>
        <x:v>2107.135975</x:v>
      </x:c>
      <x:c r="J137" s="170" t="n">
        <x:f>H137-I137</x:f>
        <x:v>0</x:v>
      </x:c>
      <x:c r="K137" s="76" t="str">
        <x:v>Kohat_Cement_Annual_Report_2025.pdf</x:v>
      </x:c>
      <x:c r="L137" s="76" t="n">
        <x:v>91</x:v>
      </x:c>
      <x:c r="M137" s="76" t="str">
        <x:v>Current year</x:v>
      </x:c>
      <x:c r="N137" s="99" t="str">
        <x:v>Aggregated audited components</x:v>
      </x:c>
      <x:c r="O137" s="99" t="str">
        <x:v>Sum of local supplier and import supplier bills; contractor and retention balances excluded from standardized supplier balance.</x:v>
      </x:c>
      <x:c r="P137" s="99" t="str">
        <x:v>Trade creditors - local 9.1  1,002,955,575   847,755,790 | Imports bills payable   1,104,180,400   933,691,081</x:v>
      </x:c>
    </x:row>
    <x:row r="138" ht="82" customHeight="1">
      <x:c r="A138" s="168" t="str">
        <x:v>KOHC|contract|2020</x:v>
      </x:c>
      <x:c r="B138" s="168" t="str">
        <x:v>KOHC</x:v>
      </x:c>
      <x:c r="C138" s="168" t="str">
        <x:v>FY2020</x:v>
      </x:c>
      <x:c r="D138" s="168" t="str">
        <x:v>Contract liabilities / advances from customers</x:v>
      </x:c>
      <x:c r="E138" s="169" t="n">
        <x:v>126582689</x:v>
      </x:c>
      <x:c r="F138" s="169" t="n">
        <x:v>126582689</x:v>
      </x:c>
      <x:c r="G138" s="169" t="str">
        <x:v>Rupees</x:v>
      </x:c>
      <x:c r="H138" s="169" t="n">
        <x:f>F138/1000000</x:f>
        <x:v>126.582689</x:v>
      </x:c>
      <x:c r="I138" s="169" t="n">
        <x:f>KOHC!C52</x:f>
        <x:v>126.582689</x:v>
      </x:c>
      <x:c r="J138" s="169" t="n">
        <x:f>H138-I138</x:f>
        <x:v>0</x:v>
      </x:c>
      <x:c r="K138" s="168" t="str">
        <x:v>KOHC_AR_2021.pdf</x:v>
      </x:c>
      <x:c r="L138" s="168" t="n">
        <x:v>44</x:v>
      </x:c>
      <x:c r="M138" s="168" t="str">
        <x:v>Comparative</x:v>
      </x:c>
      <x:c r="N138" s="171" t="str">
        <x:v>Printed amount independently located</x:v>
      </x:c>
      <x:c r="O138" s="171" t="str">
        <x:v>Exact source amount found; audited year/current-comparative column recorded. Accounting subtotal tests performed separately.</x:v>
      </x:c>
      <x:c r="P138" s="171" t="str">
        <x:v>f long term financing 6  1,147,020,843   248,496,322 
Trade and other payables 9  4,985,385,529   4,293,205,395 
Contract liability 10  137,091,500   126,582,689 
Unclaimed dividend   8,559,447   9,416,974 
Dividend payable 11  37,638,105   38,597,374 
Short term borrowings - secured 12  498,000,000   1,301,609,100 
Provision for taxation</x:v>
      </x:c>
    </x:row>
    <x:row r="139" ht="82" customHeight="1">
      <x:c r="A139" s="76" t="str">
        <x:v>KOHC|contract|2021</x:v>
      </x:c>
      <x:c r="B139" s="76" t="str">
        <x:v>KOHC</x:v>
      </x:c>
      <x:c r="C139" s="76" t="str">
        <x:v>FY2021</x:v>
      </x:c>
      <x:c r="D139" s="76" t="str">
        <x:v>Contract liabilities / advances from customers</x:v>
      </x:c>
      <x:c r="E139" s="170" t="n">
        <x:v>137091500</x:v>
      </x:c>
      <x:c r="F139" s="170" t="n">
        <x:v>137091500</x:v>
      </x:c>
      <x:c r="G139" s="170" t="str">
        <x:v>Rupees</x:v>
      </x:c>
      <x:c r="H139" s="170" t="n">
        <x:f>F139/1000000</x:f>
        <x:v>137.0915</x:v>
      </x:c>
      <x:c r="I139" s="170" t="n">
        <x:f>KOHC!D52</x:f>
        <x:v>137.0915</x:v>
      </x:c>
      <x:c r="J139" s="170" t="n">
        <x:f>H139-I139</x:f>
        <x:v>0</x:v>
      </x:c>
      <x:c r="K139" s="76" t="str">
        <x:v>Kohat_Cement_AR_2022.pdf</x:v>
      </x:c>
      <x:c r="L139" s="76" t="n">
        <x:v>52</x:v>
      </x:c>
      <x:c r="M139" s="76" t="str">
        <x:v>Comparative</x:v>
      </x:c>
      <x:c r="N139" s="99" t="str">
        <x:v>Printed amount independently located</x:v>
      </x:c>
      <x:c r="O139" s="99" t="str">
        <x:v>Exact source amount found; audited year/current-comparative column recorded. Accounting subtotal tests performed separately.</x:v>
      </x:c>
      <x:c r="P139" s="99" t="str">
        <x:v>long term financing 6  1,071,912,356   1,147,020,843 
Trade and other payables 9  5,525,221,208   4,985,385,529 
Contract liability 10  264,984,408   137,091,500 
Unclaimed dividend   8,535,357   8,559,447 
Dividend payable 11  37,112,692   37,638,105 
Short term borrowings - secured 12 –     498,000,000 
Provision for taxation - net   2,4</x:v>
      </x:c>
    </x:row>
    <x:row r="140" ht="82" customHeight="1">
      <x:c r="A140" s="168" t="str">
        <x:v>KOHC|contract|2022</x:v>
      </x:c>
      <x:c r="B140" s="168" t="str">
        <x:v>KOHC</x:v>
      </x:c>
      <x:c r="C140" s="168" t="str">
        <x:v>FY2022</x:v>
      </x:c>
      <x:c r="D140" s="168" t="str">
        <x:v>Contract liabilities / advances from customers</x:v>
      </x:c>
      <x:c r="E140" s="169" t="n">
        <x:v>264984408</x:v>
      </x:c>
      <x:c r="F140" s="169" t="n">
        <x:v>264984408</x:v>
      </x:c>
      <x:c r="G140" s="169" t="str">
        <x:v>Rupees</x:v>
      </x:c>
      <x:c r="H140" s="169" t="n">
        <x:f>F140/1000000</x:f>
        <x:v>264.984408</x:v>
      </x:c>
      <x:c r="I140" s="169" t="n">
        <x:f>KOHC!E52</x:f>
        <x:v>264.984408</x:v>
      </x:c>
      <x:c r="J140" s="169" t="n">
        <x:f>H140-I140</x:f>
        <x:v>0</x:v>
      </x:c>
      <x:c r="K140" s="168" t="str">
        <x:v>Financial_Statements-30-06-2023.pdf</x:v>
      </x:c>
      <x:c r="L140" s="168" t="n">
        <x:v>52</x:v>
      </x:c>
      <x:c r="M140" s="168" t="str">
        <x:v>Comparative</x:v>
      </x:c>
      <x:c r="N140" s="171" t="str">
        <x:v>Printed amount independently located</x:v>
      </x:c>
      <x:c r="O140" s="171" t="str">
        <x:v>Exact source amount found; audited year/current-comparative column recorded. Accounting subtotal tests performed separately.</x:v>
      </x:c>
      <x:c r="P140" s="171" t="str">
        <x:v>long term financing 6  1,034,355,873   1,071,912,356 
Trade and other payables 9  5,171,144,705   5,525,221,208 
Contract liability 10  253,135,945   264,984,408 
Unclaimed dividend   8,535,358   8,535,357 
Dividend payable 11  36,939,862   37,112,692 
Provision for taxation - net   3,215,684,878   2,438,052,665 
Mark-up accrued on borrowi</x:v>
      </x:c>
    </x:row>
    <x:row r="141" ht="82" customHeight="1">
      <x:c r="A141" s="76" t="str">
        <x:v>KOHC|contract|2023</x:v>
      </x:c>
      <x:c r="B141" s="76" t="str">
        <x:v>KOHC</x:v>
      </x:c>
      <x:c r="C141" s="76" t="str">
        <x:v>FY2023</x:v>
      </x:c>
      <x:c r="D141" s="76" t="str">
        <x:v>Contract liabilities / advances from customers</x:v>
      </x:c>
      <x:c r="E141" s="170" t="n">
        <x:v>253135945</x:v>
      </x:c>
      <x:c r="F141" s="170" t="n">
        <x:v>253135945</x:v>
      </x:c>
      <x:c r="G141" s="170" t="str">
        <x:v>Rupees</x:v>
      </x:c>
      <x:c r="H141" s="170" t="n">
        <x:f>F141/1000000</x:f>
        <x:v>253.135945</x:v>
      </x:c>
      <x:c r="I141" s="170" t="n">
        <x:f>KOHC!F52</x:f>
        <x:v>253.135945</x:v>
      </x:c>
      <x:c r="J141" s="170" t="n">
        <x:f>H141-I141</x:f>
        <x:v>0</x:v>
      </x:c>
      <x:c r="K141" s="76" t="str">
        <x:v>Kohat_Cement_Annual_Report-2024.pdf</x:v>
      </x:c>
      <x:c r="L141" s="76" t="n">
        <x:v>58</x:v>
      </x:c>
      <x:c r="M141" s="76" t="str">
        <x:v>Comparative</x:v>
      </x:c>
      <x:c r="N141" s="99" t="str">
        <x:v>Printed amount independently located</x:v>
      </x:c>
      <x:c r="O141" s="99" t="str">
        <x:v>Exact source amount found; audited year/current-comparative column recorded. Accounting subtotal tests performed separately.</x:v>
      </x:c>
      <x:c r="P141" s="99" t="str">
        <x:v>f long term financing 6  1,034,355,873   1,034,355,873 
Trade and other payables 9  6,223,153,321   5,307,075,353 
Contract liability   113,418,606   253,135,945 
Unclaimed dividend   8,503,909   8,535,358 
Dividend payable 10  36,835,022   36,939,862 
Provision for taxation – net  3,544,368,477  3,079,754,230 
Mark–up accrued on borrowing</x:v>
      </x:c>
    </x:row>
    <x:row r="142" ht="82" customHeight="1">
      <x:c r="A142" s="168" t="str">
        <x:v>KOHC|contract|2024</x:v>
      </x:c>
      <x:c r="B142" s="168" t="str">
        <x:v>KOHC</x:v>
      </x:c>
      <x:c r="C142" s="168" t="str">
        <x:v>FY2024</x:v>
      </x:c>
      <x:c r="D142" s="168" t="str">
        <x:v>Contract liabilities / advances from customers</x:v>
      </x:c>
      <x:c r="E142" s="169" t="n">
        <x:v>113418606</x:v>
      </x:c>
      <x:c r="F142" s="169" t="n">
        <x:v>113418606</x:v>
      </x:c>
      <x:c r="G142" s="169" t="str">
        <x:v>Rupees</x:v>
      </x:c>
      <x:c r="H142" s="169" t="n">
        <x:f>F142/1000000</x:f>
        <x:v>113.418606</x:v>
      </x:c>
      <x:c r="I142" s="169" t="n">
        <x:f>KOHC!G52</x:f>
        <x:v>113.418606</x:v>
      </x:c>
      <x:c r="J142" s="169" t="n">
        <x:f>H142-I142</x:f>
        <x:v>0</x:v>
      </x:c>
      <x:c r="K142" s="168" t="str">
        <x:v>Kohat_Cement_Annual_Report_2025.pdf</x:v>
      </x:c>
      <x:c r="L142" s="168" t="n">
        <x:v>68</x:v>
      </x:c>
      <x:c r="M142" s="168" t="str">
        <x:v>Comparative</x:v>
      </x:c>
      <x:c r="N142" s="171" t="str">
        <x:v>Printed amount independently located</x:v>
      </x:c>
      <x:c r="O142" s="171" t="str">
        <x:v>Exact source amount found; audited year/current-comparative column recorded. Accounting subtotal tests performed separately.</x:v>
      </x:c>
      <x:c r="P142" s="171" t="str">
        <x:v>ng term financing 6  837,359,258   1,169,295,643 
Trade and other payables 9  7,710,012,398   6,223,153,321 
Contract liability 24.1.3  144,300,907   113,418,606 
Unclaimed dividend   8,503,909   8,503,909 
Dividend payable 10  33,677,348   36,835,022 
Provision for taxation - net   2,924,142,407   3,544,368,477 
Short term borrowings - se</x:v>
      </x:c>
    </x:row>
    <x:row r="143" ht="82" customHeight="1">
      <x:c r="A143" s="76" t="str">
        <x:v>KOHC|contract|2025</x:v>
      </x:c>
      <x:c r="B143" s="76" t="str">
        <x:v>KOHC</x:v>
      </x:c>
      <x:c r="C143" s="76" t="str">
        <x:v>FY2025</x:v>
      </x:c>
      <x:c r="D143" s="76" t="str">
        <x:v>Contract liabilities / advances from customers</x:v>
      </x:c>
      <x:c r="E143" s="170" t="n">
        <x:v>144300907</x:v>
      </x:c>
      <x:c r="F143" s="170" t="n">
        <x:v>144300907</x:v>
      </x:c>
      <x:c r="G143" s="170" t="str">
        <x:v>Rupees</x:v>
      </x:c>
      <x:c r="H143" s="170" t="n">
        <x:f>F143/1000000</x:f>
        <x:v>144.300907</x:v>
      </x:c>
      <x:c r="I143" s="170" t="n">
        <x:f>KOHC!H52</x:f>
        <x:v>144.300907</x:v>
      </x:c>
      <x:c r="J143" s="170" t="n">
        <x:f>H143-I143</x:f>
        <x:v>0</x:v>
      </x:c>
      <x:c r="K143" s="76" t="str">
        <x:v>Kohat_Cement_Annual_Report_2025.pdf</x:v>
      </x:c>
      <x:c r="L143" s="76" t="n">
        <x:v>68</x:v>
      </x:c>
      <x:c r="M143" s="76" t="str">
        <x:v>Current year</x:v>
      </x:c>
      <x:c r="N143" s="99" t="str">
        <x:v>Printed amount independently located</x:v>
      </x:c>
      <x:c r="O143" s="99" t="str">
        <x:v>Exact source amount found; audited year/current-comparative column recorded. Accounting subtotal tests performed separately.</x:v>
      </x:c>
      <x:c r="P143" s="99" t="str">
        <x:v>portion of long term financing 6  837,359,258   1,169,295,643 
Trade and other payables 9  7,710,012,398   6,223,153,321 
Contract liability 24.1.3  144,300,907   113,418,606 
Unclaimed dividend   8,503,909   8,503,909 
Dividend payable 10  33,677,348   36,835,022 
Provision for taxation - net   2,924,142,407   3,544,368,477 
Short term b</x:v>
      </x:c>
    </x:row>
    <x:row r="144" ht="82" customHeight="1">
      <x:c r="A144" s="168" t="str">
        <x:v>KOHC|acc_markup|2020</x:v>
      </x:c>
      <x:c r="B144" s="168" t="str">
        <x:v>KOHC</x:v>
      </x:c>
      <x:c r="C144" s="168" t="str">
        <x:v>FY2020</x:v>
      </x:c>
      <x:c r="D144" s="168" t="str">
        <x:v>Accrued mark-up / interest</x:v>
      </x:c>
      <x:c r="E144" s="169" t="n">
        <x:v>208766756</x:v>
      </x:c>
      <x:c r="F144" s="169" t="n">
        <x:v>208766756</x:v>
      </x:c>
      <x:c r="G144" s="169" t="str">
        <x:v>Rupees</x:v>
      </x:c>
      <x:c r="H144" s="169" t="n">
        <x:f>F144/1000000</x:f>
        <x:v>208.766756</x:v>
      </x:c>
      <x:c r="I144" s="169" t="n">
        <x:f>KOHC!C53</x:f>
        <x:v>208.766756</x:v>
      </x:c>
      <x:c r="J144" s="169" t="n">
        <x:f>H144-I144</x:f>
        <x:v>0</x:v>
      </x:c>
      <x:c r="K144" s="168" t="str">
        <x:v>KOHC_AR_2021.pdf</x:v>
      </x:c>
      <x:c r="L144" s="168" t="n">
        <x:v>44</x:v>
      </x:c>
      <x:c r="M144" s="168" t="str">
        <x:v>Comparative</x:v>
      </x:c>
      <x:c r="N144" s="171" t="str">
        <x:v>Printed amount independently located</x:v>
      </x:c>
      <x:c r="O144" s="171" t="str">
        <x:v>Exact source amount found; audited year/current-comparative column recorded. Accounting subtotal tests performed separately.</x:v>
      </x:c>
      <x:c r="P144" s="171" t="str">
        <x:v>s - secured 12  498,000,000   1,301,609,100 
Provision for taxation - net   635,934,543   52,873,661 
Mark-up accrued on borrowings 13  122,613,973   208,766,756 
     7,572,243,940   6,279,548,271 
Contingencies and commitments  14 
     36,086,921,437   31,756,667,306
The annexed notes from 1 to 48 form an integral part of these financ</x:v>
      </x:c>
    </x:row>
    <x:row r="145" ht="82" customHeight="1">
      <x:c r="A145" s="76" t="str">
        <x:v>KOHC|acc_markup|2021</x:v>
      </x:c>
      <x:c r="B145" s="76" t="str">
        <x:v>KOHC</x:v>
      </x:c>
      <x:c r="C145" s="76" t="str">
        <x:v>FY2021</x:v>
      </x:c>
      <x:c r="D145" s="76" t="str">
        <x:v>Accrued mark-up / interest</x:v>
      </x:c>
      <x:c r="E145" s="170" t="n">
        <x:v>122613973</x:v>
      </x:c>
      <x:c r="F145" s="170" t="n">
        <x:v>122613973</x:v>
      </x:c>
      <x:c r="G145" s="170" t="str">
        <x:v>Rupees</x:v>
      </x:c>
      <x:c r="H145" s="170" t="n">
        <x:f>F145/1000000</x:f>
        <x:v>122.613973</x:v>
      </x:c>
      <x:c r="I145" s="170" t="n">
        <x:f>KOHC!D53</x:f>
        <x:v>122.613973</x:v>
      </x:c>
      <x:c r="J145" s="170" t="n">
        <x:f>H145-I145</x:f>
        <x:v>0</x:v>
      </x:c>
      <x:c r="K145" s="76" t="str">
        <x:v>Kohat_Cement_AR_2022.pdf</x:v>
      </x:c>
      <x:c r="L145" s="76" t="n">
        <x:v>52</x:v>
      </x:c>
      <x:c r="M145" s="76" t="str">
        <x:v>Comparative</x:v>
      </x:c>
      <x:c r="N145" s="99" t="str">
        <x:v>Printed amount independently located</x:v>
      </x:c>
      <x:c r="O145" s="99" t="str">
        <x:v>Exact source amount found; audited year/current-comparative column recorded. Accounting subtotal tests performed separately.</x:v>
      </x:c>
      <x:c r="P145" s="99" t="str">
        <x:v>orrowings - secured 12 –     498,000,000 
Provision for taxation - net   2,438,052,665   635,934,543 
Mark-up accrued on borrowings 13  142,171,993   122,613,973 
     9,487,990,679   7,572,243,940 
Contingencies and commitments  14 
     43,350,667,844   36,086,921,437 
The annexed notes from 1 to 49 form an integral part of these</x:v>
      </x:c>
    </x:row>
    <x:row r="146" ht="82" customHeight="1">
      <x:c r="A146" s="168" t="str">
        <x:v>KOHC|acc_markup|2022</x:v>
      </x:c>
      <x:c r="B146" s="168" t="str">
        <x:v>KOHC</x:v>
      </x:c>
      <x:c r="C146" s="168" t="str">
        <x:v>FY2022</x:v>
      </x:c>
      <x:c r="D146" s="168" t="str">
        <x:v>Accrued mark-up / interest</x:v>
      </x:c>
      <x:c r="E146" s="169" t="n">
        <x:v>142171993</x:v>
      </x:c>
      <x:c r="F146" s="169" t="n">
        <x:v>142171993</x:v>
      </x:c>
      <x:c r="G146" s="169" t="str">
        <x:v>Rupees</x:v>
      </x:c>
      <x:c r="H146" s="169" t="n">
        <x:f>F146/1000000</x:f>
        <x:v>142.171993</x:v>
      </x:c>
      <x:c r="I146" s="169" t="n">
        <x:f>KOHC!E53</x:f>
        <x:v>142.171993</x:v>
      </x:c>
      <x:c r="J146" s="169" t="n">
        <x:f>H146-I146</x:f>
        <x:v>0</x:v>
      </x:c>
      <x:c r="K146" s="168" t="str">
        <x:v>Financial_Statements-30-06-2023.pdf</x:v>
      </x:c>
      <x:c r="L146" s="168" t="n">
        <x:v>52</x:v>
      </x:c>
      <x:c r="M146" s="168" t="str">
        <x:v>Comparative</x:v>
      </x:c>
      <x:c r="N146" s="171" t="str">
        <x:v>Printed amount independently located</x:v>
      </x:c>
      <x:c r="O146" s="171" t="str">
        <x:v>Exact source amount found; audited year/current-comparative column recorded. Accounting subtotal tests performed separately.</x:v>
      </x:c>
      <x:c r="P146" s="171" t="str">
        <x:v>nd payable 11  36,939,862   37,112,692 
Provision for taxation - net   3,215,684,878   2,438,052,665 
Mark-up accrued on borrowings 13  192,674,790   142,171,993 
     9,912,471,411   9,487,990,679 
Contingencies and commitments  14
     49,530,075,545   43,350,667,844 
The annexed notes from 1 to 48 form an integral part of these</x:v>
      </x:c>
    </x:row>
    <x:row r="147" ht="82" customHeight="1">
      <x:c r="A147" s="76" t="str">
        <x:v>KOHC|acc_markup|2023</x:v>
      </x:c>
      <x:c r="B147" s="76" t="str">
        <x:v>KOHC</x:v>
      </x:c>
      <x:c r="C147" s="76" t="str">
        <x:v>FY2023</x:v>
      </x:c>
      <x:c r="D147" s="76" t="str">
        <x:v>Accrued mark-up / interest</x:v>
      </x:c>
      <x:c r="E147" s="170" t="n">
        <x:v>192674790</x:v>
      </x:c>
      <x:c r="F147" s="170" t="n">
        <x:v>192674790</x:v>
      </x:c>
      <x:c r="G147" s="170" t="str">
        <x:v>Rupees</x:v>
      </x:c>
      <x:c r="H147" s="170" t="n">
        <x:f>F147/1000000</x:f>
        <x:v>192.67479</x:v>
      </x:c>
      <x:c r="I147" s="170" t="n">
        <x:f>KOHC!F53</x:f>
        <x:v>192.67479</x:v>
      </x:c>
      <x:c r="J147" s="170" t="n">
        <x:f>H147-I147</x:f>
        <x:v>0</x:v>
      </x:c>
      <x:c r="K147" s="76" t="str">
        <x:v>Kohat_Cement_Annual_Report-2024.pdf</x:v>
      </x:c>
      <x:c r="L147" s="76" t="n">
        <x:v>58</x:v>
      </x:c>
      <x:c r="M147" s="76" t="str">
        <x:v>Comparative</x:v>
      </x:c>
      <x:c r="N147" s="99" t="str">
        <x:v>Printed amount independently located</x:v>
      </x:c>
      <x:c r="O147" s="99" t="str">
        <x:v>Exact source amount found; audited year/current-comparative column recorded. Accounting subtotal tests performed separately.</x:v>
      </x:c>
      <x:c r="P147" s="99" t="str">
        <x:v>dend payable 10  36,835,022   36,939,862 
Provision for taxation – net  3,544,368,477  3,079,754,230 
Mark–up accrued on borrowings 12  135,001,023   192,674,790 
    11,095,636,231  9,912,471,411 
Contingencies and commitments  13 
    58,843,295,197   49,530,075,545 
The annexed notes from 1 to 47 form an integral part of these</x:v>
      </x:c>
    </x:row>
    <x:row r="148" ht="82" customHeight="1">
      <x:c r="A148" s="168" t="str">
        <x:v>KOHC|acc_markup|2024</x:v>
      </x:c>
      <x:c r="B148" s="168" t="str">
        <x:v>KOHC</x:v>
      </x:c>
      <x:c r="C148" s="168" t="str">
        <x:v>FY2024</x:v>
      </x:c>
      <x:c r="D148" s="168" t="str">
        <x:v>Accrued mark-up / interest</x:v>
      </x:c>
      <x:c r="E148" s="169" t="n">
        <x:v>0</x:v>
      </x:c>
      <x:c r="F148" s="169" t="n">
        <x:v>0</x:v>
      </x:c>
      <x:c r="G148" s="169" t="str">
        <x:v>Rupees</x:v>
      </x:c>
      <x:c r="H148" s="169" t="n">
        <x:f>F148/1000000</x:f>
        <x:v>0</x:v>
      </x:c>
      <x:c r="I148" s="169" t="n">
        <x:f>KOHC!G53</x:f>
        <x:v>0</x:v>
      </x:c>
      <x:c r="J148" s="169" t="n">
        <x:f>H148-I148</x:f>
        <x:v>0</x:v>
      </x:c>
      <x:c r="K148" s="168" t="str">
        <x:v>Kohat_Cement_Annual_Report_2025.pdf</x:v>
      </x:c>
      <x:c r="L148" s="168" t="n">
        <x:v>68</x:v>
      </x:c>
      <x:c r="M148" s="168" t="str">
        <x:v>Comparative</x:v>
      </x:c>
      <x:c r="N148" s="171" t="str">
        <x:v>Zero / no separate line in audited presentation</x:v>
      </x:c>
      <x:c r="O148" s="171" t="str">
        <x:v>Zero classification checked within the audited statement/note and reconstructed statement totals; absence of a separate line does not imply a missing replacement estimate.</x:v>
      </x:c>
      <x:c r="P148" s="171" t="str">
        <x:v>
66
STATEMENT OF 
FINANCIAL POSITION 
As at June 30, 2025
  2025 2024
 Note Rupees Rupees
EQUITY AND LIABILITIES 
Authorized share capital 4  3,000,00 | Accrued mark-up / interest</x:v>
      </x:c>
    </x:row>
    <x:row r="149" ht="82" customHeight="1">
      <x:c r="A149" s="76" t="str">
        <x:v>KOHC|acc_markup|2025</x:v>
      </x:c>
      <x:c r="B149" s="76" t="str">
        <x:v>KOHC</x:v>
      </x:c>
      <x:c r="C149" s="76" t="str">
        <x:v>FY2025</x:v>
      </x:c>
      <x:c r="D149" s="76" t="str">
        <x:v>Accrued mark-up / interest</x:v>
      </x:c>
      <x:c r="E149" s="170" t="n">
        <x:v>0</x:v>
      </x:c>
      <x:c r="F149" s="170" t="n">
        <x:v>0</x:v>
      </x:c>
      <x:c r="G149" s="170" t="str">
        <x:v>Rupees</x:v>
      </x:c>
      <x:c r="H149" s="170" t="n">
        <x:f>F149/1000000</x:f>
        <x:v>0</x:v>
      </x:c>
      <x:c r="I149" s="170" t="n">
        <x:f>KOHC!H53</x:f>
        <x:v>0</x:v>
      </x:c>
      <x:c r="J149" s="170" t="n">
        <x:f>H149-I149</x:f>
        <x:v>0</x:v>
      </x:c>
      <x:c r="K149" s="76" t="str">
        <x:v>Kohat_Cement_Annual_Report_2025.pdf</x:v>
      </x:c>
      <x:c r="L149" s="76" t="n">
        <x:v>68</x:v>
      </x:c>
      <x:c r="M149" s="76" t="str">
        <x:v>Current year</x:v>
      </x:c>
      <x:c r="N149" s="99" t="str">
        <x:v>Zero / no separate line in audited presentation</x:v>
      </x:c>
      <x:c r="O149" s="99" t="str">
        <x:v>Zero classification checked within the audited statement/note and reconstructed statement totals; absence of a separate line does not imply a missing replacement estimate.</x:v>
      </x:c>
      <x:c r="P149" s="99" t="str">
        <x:v>
66
STATEMENT OF 
FINANCIAL POSITION 
As at June 30, 2025
  2025 2024
 Note Rupees Rupees
EQUITY AND LIABILITIES 
Authorized share capital 4  3,000,00 | Accrued mark-up / interest</x:v>
      </x:c>
    </x:row>
    <x:row r="150" ht="82" customHeight="1">
      <x:c r="A150" s="168" t="str">
        <x:v>KOHC|stb|2020</x:v>
      </x:c>
      <x:c r="B150" s="168" t="str">
        <x:v>KOHC</x:v>
      </x:c>
      <x:c r="C150" s="168" t="str">
        <x:v>FY2020</x:v>
      </x:c>
      <x:c r="D150" s="168" t="str">
        <x:v>Short-term borrowings (incl. running finance; FCCL parent loan)</x:v>
      </x:c>
      <x:c r="E150" s="169" t="n">
        <x:v>1301609100</x:v>
      </x:c>
      <x:c r="F150" s="169" t="n">
        <x:v>1301609100</x:v>
      </x:c>
      <x:c r="G150" s="169" t="str">
        <x:v>Rupees</x:v>
      </x:c>
      <x:c r="H150" s="169" t="n">
        <x:f>F150/1000000</x:f>
        <x:v>1301.6091</x:v>
      </x:c>
      <x:c r="I150" s="169" t="n">
        <x:f>KOHC!C54</x:f>
        <x:v>1301.6091</x:v>
      </x:c>
      <x:c r="J150" s="169" t="n">
        <x:f>H150-I150</x:f>
        <x:v>0</x:v>
      </x:c>
      <x:c r="K150" s="168" t="str">
        <x:v>KOHC_AR_2021.pdf</x:v>
      </x:c>
      <x:c r="L150" s="168" t="n">
        <x:v>44</x:v>
      </x:c>
      <x:c r="M150" s="168" t="str">
        <x:v>Comparative</x:v>
      </x:c>
      <x:c r="N150" s="171" t="str">
        <x:v>Printed amount independently located</x:v>
      </x:c>
      <x:c r="O150" s="171" t="str">
        <x:v>Exact source amount found; audited year/current-comparative column recorded. Accounting subtotal tests performed separately.</x:v>
      </x:c>
      <x:c r="P150" s="171" t="str">
        <x:v>,582,689 
Unclaimed dividend   8,559,447   9,416,974 
Dividend payable 11  37,638,105   38,597,374 
Short term borrowings - secured 12  498,000,000   1,301,609,100 
Provision for taxation - net   635,934,543   52,873,661 
Mark-up accrued on borrowings 13  122,613,973   208,766,756 
     7,572,243,940   6,279,548,271 
Contingencies and commit</x:v>
      </x:c>
    </x:row>
    <x:row r="151" ht="82" customHeight="1">
      <x:c r="A151" s="76" t="str">
        <x:v>KOHC|stb|2021</x:v>
      </x:c>
      <x:c r="B151" s="76" t="str">
        <x:v>KOHC</x:v>
      </x:c>
      <x:c r="C151" s="76" t="str">
        <x:v>FY2021</x:v>
      </x:c>
      <x:c r="D151" s="76" t="str">
        <x:v>Short-term borrowings (incl. running finance; FCCL parent loan)</x:v>
      </x:c>
      <x:c r="E151" s="170" t="n">
        <x:v>498000000</x:v>
      </x:c>
      <x:c r="F151" s="170" t="n">
        <x:v>498000000</x:v>
      </x:c>
      <x:c r="G151" s="170" t="str">
        <x:v>Rupees</x:v>
      </x:c>
      <x:c r="H151" s="170" t="n">
        <x:f>F151/1000000</x:f>
        <x:v>498</x:v>
      </x:c>
      <x:c r="I151" s="170" t="n">
        <x:f>KOHC!D54</x:f>
        <x:v>498</x:v>
      </x:c>
      <x:c r="J151" s="170" t="n">
        <x:f>H151-I151</x:f>
        <x:v>0</x:v>
      </x:c>
      <x:c r="K151" s="76" t="str">
        <x:v>Kohat_Cement_AR_2022.pdf</x:v>
      </x:c>
      <x:c r="L151" s="76" t="n">
        <x:v>52</x:v>
      </x:c>
      <x:c r="M151" s="76" t="str">
        <x:v>Comparative</x:v>
      </x:c>
      <x:c r="N151" s="99" t="str">
        <x:v>Printed amount independently located</x:v>
      </x:c>
      <x:c r="O151" s="99" t="str">
        <x:v>Exact source amount found; audited year/current-comparative column recorded. Accounting subtotal tests performed separately.</x:v>
      </x:c>
      <x:c r="P151" s="99" t="str">
        <x:v>408   137,091,500 
Unclaimed dividend   8,535,357   8,559,447 
Dividend payable 11  37,112,692   37,638,105 
Short term borrowings - secured 12 –     498,000,000 
Provision for taxation - net   2,438,052,665   635,934,543 
Mark-up accrued on borrowings 13  142,171,993   122,613,973 
     9,487,990,679   7,572,243,940 
Contingencies and com</x:v>
      </x:c>
    </x:row>
    <x:row r="152" ht="82" customHeight="1">
      <x:c r="A152" s="168" t="str">
        <x:v>KOHC|stb|2022</x:v>
      </x:c>
      <x:c r="B152" s="168" t="str">
        <x:v>KOHC</x:v>
      </x:c>
      <x:c r="C152" s="168" t="str">
        <x:v>FY2022</x:v>
      </x:c>
      <x:c r="D152" s="168" t="str">
        <x:v>Short-term borrowings (incl. running finance; FCCL parent loan)</x:v>
      </x:c>
      <x:c r="E152" s="169" t="n">
        <x:v>0</x:v>
      </x:c>
      <x:c r="F152" s="169" t="n">
        <x:v>0</x:v>
      </x:c>
      <x:c r="G152" s="169" t="str">
        <x:v>Rupees</x:v>
      </x:c>
      <x:c r="H152" s="169" t="n">
        <x:f>F152/1000000</x:f>
        <x:v>0</x:v>
      </x:c>
      <x:c r="I152" s="169" t="n">
        <x:f>KOHC!E54</x:f>
        <x:v>0</x:v>
      </x:c>
      <x:c r="J152" s="169" t="n">
        <x:f>H152-I152</x:f>
        <x:v>0</x:v>
      </x:c>
      <x:c r="K152" s="168" t="str">
        <x:v>Financial_Statements-30-06-2023.pdf</x:v>
      </x:c>
      <x:c r="L152" s="168" t="n">
        <x:v>52</x:v>
      </x:c>
      <x:c r="M152" s="168" t="str">
        <x:v>Comparative</x:v>
      </x:c>
      <x:c r="N152" s="171" t="str">
        <x:v>Zero / no separate line in audited presentation</x:v>
      </x:c>
      <x:c r="O152" s="171" t="str">
        <x:v>Zero classification checked within the audited statement/note and reconstructed statement totals; absence of a separate line does not imply a missing replacement estimate.</x:v>
      </x:c>
      <x:c r="P152" s="171" t="str">
        <x:v>
50
STATEMENT OF 
FINANCIAL POSITION 
As at 30 June 2023
  2023 2022
 Note Rupees Rupees
EQUITY AND LIABILITIES 
Authorized share capital 4  3,000,000 | Short-term borrowings (incl. running finance; FCCL parent loan)</x:v>
      </x:c>
    </x:row>
    <x:row r="153" ht="82" customHeight="1">
      <x:c r="A153" s="76" t="str">
        <x:v>KOHC|stb|2023</x:v>
      </x:c>
      <x:c r="B153" s="76" t="str">
        <x:v>KOHC</x:v>
      </x:c>
      <x:c r="C153" s="76" t="str">
        <x:v>FY2023</x:v>
      </x:c>
      <x:c r="D153" s="76" t="str">
        <x:v>Short-term borrowings (incl. running finance; FCCL parent loan)</x:v>
      </x:c>
      <x:c r="E153" s="170" t="n">
        <x:v>0</x:v>
      </x:c>
      <x:c r="F153" s="170" t="n">
        <x:v>0</x:v>
      </x:c>
      <x:c r="G153" s="170" t="str">
        <x:v>Rupees</x:v>
      </x:c>
      <x:c r="H153" s="170" t="n">
        <x:f>F153/1000000</x:f>
        <x:v>0</x:v>
      </x:c>
      <x:c r="I153" s="170" t="n">
        <x:f>KOHC!F54</x:f>
        <x:v>0</x:v>
      </x:c>
      <x:c r="J153" s="170" t="n">
        <x:f>H153-I153</x:f>
        <x:v>0</x:v>
      </x:c>
      <x:c r="K153" s="76" t="str">
        <x:v>Kohat_Cement_Annual_Report-2024.pdf</x:v>
      </x:c>
      <x:c r="L153" s="76" t="n">
        <x:v>58</x:v>
      </x:c>
      <x:c r="M153" s="76" t="str">
        <x:v>Comparative</x:v>
      </x:c>
      <x:c r="N153" s="99" t="str">
        <x:v>Zero / no separate line in audited presentation</x:v>
      </x:c>
      <x:c r="O153" s="99" t="str">
        <x:v>Zero classification checked within the audited statement/note and reconstructed statement totals; absence of a separate line does not imply a missing replacement estimate.</x:v>
      </x:c>
      <x:c r="P153" s="99" t="str">
        <x:v>
56
STATEMENT OF 
FINANCIAL POSITION 
As at 30 June 2024
  2024 2023
 Note Rupees Rupees
   Restated
EQUITY AND LIABILITIES
Authorized share capital 4 | Short-term borrowings (incl. running finance; FCCL parent loan)</x:v>
      </x:c>
    </x:row>
    <x:row r="154" ht="82" customHeight="1">
      <x:c r="A154" s="168" t="str">
        <x:v>KOHC|stb|2024</x:v>
      </x:c>
      <x:c r="B154" s="168" t="str">
        <x:v>KOHC</x:v>
      </x:c>
      <x:c r="C154" s="168" t="str">
        <x:v>FY2024</x:v>
      </x:c>
      <x:c r="D154" s="168" t="str">
        <x:v>Short-term borrowings (incl. running finance; FCCL parent loan)</x:v>
      </x:c>
      <x:c r="E154" s="169" t="n">
        <x:v>61253</x:v>
      </x:c>
      <x:c r="F154" s="169" t="n">
        <x:v>61253</x:v>
      </x:c>
      <x:c r="G154" s="169" t="str">
        <x:v>Rupees</x:v>
      </x:c>
      <x:c r="H154" s="169" t="n">
        <x:f>F154/1000000</x:f>
        <x:v>0.061253</x:v>
      </x:c>
      <x:c r="I154" s="169" t="n">
        <x:f>KOHC!G54</x:f>
        <x:v>0.061253</x:v>
      </x:c>
      <x:c r="J154" s="169" t="n">
        <x:f>H154-I154</x:f>
        <x:v>0</x:v>
      </x:c>
      <x:c r="K154" s="168" t="str">
        <x:v>Kohat_Cement_Annual_Report_2025.pdf</x:v>
      </x:c>
      <x:c r="L154" s="168" t="n">
        <x:v>68</x:v>
      </x:c>
      <x:c r="M154" s="168" t="str">
        <x:v>Comparative</x:v>
      </x:c>
      <x:c r="N154" s="171" t="str">
        <x:v>Printed amount independently located</x:v>
      </x:c>
      <x:c r="O154" s="171" t="str">
        <x:v>Exact source amount found; audited year/current-comparative column recorded. Accounting subtotal tests performed separately.</x:v>
      </x:c>
      <x:c r="P154" s="171" t="str">
        <x:v>nd payable 10  33,677,348   36,835,022 
Provision for taxation - net   2,924,142,407   3,544,368,477 
Short term borrowings - secured 11  3,704,884   61,253 
     11,661,701,111   11,095,636,231
Contingencies and commitments  12
     66,794,311,768   58,843,295,197 
The annexed notes from 1 to 47 form an integral part of thes</x:v>
      </x:c>
    </x:row>
    <x:row r="155" ht="82" customHeight="1">
      <x:c r="A155" s="76" t="str">
        <x:v>KOHC|stb|2025</x:v>
      </x:c>
      <x:c r="B155" s="76" t="str">
        <x:v>KOHC</x:v>
      </x:c>
      <x:c r="C155" s="76" t="str">
        <x:v>FY2025</x:v>
      </x:c>
      <x:c r="D155" s="76" t="str">
        <x:v>Short-term borrowings (incl. running finance; FCCL parent loan)</x:v>
      </x:c>
      <x:c r="E155" s="170" t="n">
        <x:v>3704884</x:v>
      </x:c>
      <x:c r="F155" s="170" t="n">
        <x:v>3704884</x:v>
      </x:c>
      <x:c r="G155" s="170" t="str">
        <x:v>Rupees</x:v>
      </x:c>
      <x:c r="H155" s="170" t="n">
        <x:f>F155/1000000</x:f>
        <x:v>3.704884</x:v>
      </x:c>
      <x:c r="I155" s="170" t="n">
        <x:f>KOHC!H54</x:f>
        <x:v>3.704884</x:v>
      </x:c>
      <x:c r="J155" s="170" t="n">
        <x:f>H155-I155</x:f>
        <x:v>0</x:v>
      </x:c>
      <x:c r="K155" s="76" t="str">
        <x:v>Kohat_Cement_Annual_Report_2025.pdf</x:v>
      </x:c>
      <x:c r="L155" s="76" t="n">
        <x:v>68</x:v>
      </x:c>
      <x:c r="M155" s="76" t="str">
        <x:v>Current year</x:v>
      </x:c>
      <x:c r="N155" s="99" t="str">
        <x:v>Printed amount independently located</x:v>
      </x:c>
      <x:c r="O155" s="99" t="str">
        <x:v>Exact source amount found; audited year/current-comparative column recorded. Accounting subtotal tests performed separately.</x:v>
      </x:c>
      <x:c r="P155" s="99" t="str">
        <x:v>,909 
Dividend payable 10  33,677,348   36,835,022 
Provision for taxation - net   2,924,142,407   3,544,368,477 
Short term borrowings - secured 11  3,704,884   61,253 
     11,661,701,111   11,095,636,231
Contingencies and commitments  12
     66,794,311,768   58,843,295,197 
The annexed notes from 1 to 47 form an integral par</x:v>
      </x:c>
    </x:row>
    <x:row r="156" ht="82" customHeight="1">
      <x:c r="A156" s="168" t="str">
        <x:v>KOHC|cp_ltf|2020</x:v>
      </x:c>
      <x:c r="B156" s="168" t="str">
        <x:v>KOHC</x:v>
      </x:c>
      <x:c r="C156" s="168" t="str">
        <x:v>FY2020</x:v>
      </x:c>
      <x:c r="D156" s="168" t="str">
        <x:v>Current portion of long-term financing</x:v>
      </x:c>
      <x:c r="E156" s="169" t="n">
        <x:v>248496322</x:v>
      </x:c>
      <x:c r="F156" s="169" t="n">
        <x:v>248496322</x:v>
      </x:c>
      <x:c r="G156" s="169" t="str">
        <x:v>Rupees</x:v>
      </x:c>
      <x:c r="H156" s="169" t="n">
        <x:f>F156/1000000</x:f>
        <x:v>248.496322</x:v>
      </x:c>
      <x:c r="I156" s="169" t="n">
        <x:f>KOHC!C55</x:f>
        <x:v>248.496322</x:v>
      </x:c>
      <x:c r="J156" s="169" t="n">
        <x:f>H156-I156</x:f>
        <x:v>0</x:v>
      </x:c>
      <x:c r="K156" s="168" t="str">
        <x:v>KOHC_AR_2021.pdf</x:v>
      </x:c>
      <x:c r="L156" s="168" t="n">
        <x:v>44</x:v>
      </x:c>
      <x:c r="M156" s="168" t="str">
        <x:v>Comparative</x:v>
      </x:c>
      <x:c r="N156" s="171" t="str">
        <x:v>Printed amount independently located</x:v>
      </x:c>
      <x:c r="O156" s="171" t="str">
        <x:v>Exact source amount found; audited year/current-comparative column recorded. Accounting subtotal tests performed separately.</x:v>
      </x:c>
      <x:c r="P156" s="171" t="str">
        <x:v>es 8.2  24,358,436   21,241,356 
     6,291,138,126   6,750,445,711 
Current liabilities   
Current portion of long term financing 6  1,147,020,843   248,496,322 
Trade and other payables 9  4,985,385,529   4,293,205,395 
Contract liability 10  137,091,500   126,582,689 
Unclaimed dividend   8,559,447   9,416,974 
Dividend payable 11  37,6</x:v>
      </x:c>
    </x:row>
    <x:row r="157" ht="82" customHeight="1">
      <x:c r="A157" s="76" t="str">
        <x:v>KOHC|cp_ltf|2021</x:v>
      </x:c>
      <x:c r="B157" s="76" t="str">
        <x:v>KOHC</x:v>
      </x:c>
      <x:c r="C157" s="76" t="str">
        <x:v>FY2021</x:v>
      </x:c>
      <x:c r="D157" s="76" t="str">
        <x:v>Current portion of long-term financing</x:v>
      </x:c>
      <x:c r="E157" s="170" t="n">
        <x:v>1147020843</x:v>
      </x:c>
      <x:c r="F157" s="170" t="n">
        <x:v>1147020843</x:v>
      </x:c>
      <x:c r="G157" s="170" t="str">
        <x:v>Rupees</x:v>
      </x:c>
      <x:c r="H157" s="170" t="n">
        <x:f>F157/1000000</x:f>
        <x:v>1147.020843</x:v>
      </x:c>
      <x:c r="I157" s="170" t="n">
        <x:f>KOHC!D55</x:f>
        <x:v>1147.020843</x:v>
      </x:c>
      <x:c r="J157" s="170" t="n">
        <x:f>H157-I157</x:f>
        <x:v>0</x:v>
      </x:c>
      <x:c r="K157" s="76" t="str">
        <x:v>Kohat_Cement_AR_2022.pdf</x:v>
      </x:c>
      <x:c r="L157" s="76" t="n">
        <x:v>52</x:v>
      </x:c>
      <x:c r="M157" s="76" t="str">
        <x:v>Comparative</x:v>
      </x:c>
      <x:c r="N157" s="99" t="str">
        <x:v>Printed amount independently located</x:v>
      </x:c>
      <x:c r="O157" s="99" t="str">
        <x:v>Exact source amount found; audited year/current-comparative column recorded. Accounting subtotal tests performed separately.</x:v>
      </x:c>
      <x:c r="P157" s="99" t="str">
        <x:v>ces 8.2  27,647,098   24,358,436 
     6,616,456,934   6,291,138,126 
Current liabilities  
Current portion of long term financing 6  1,071,912,356   1,147,020,843 
Trade and other payables 9  5,525,221,208   4,985,385,529 
Contract liability 10  264,984,408   137,091,500 
Unclaimed dividend   8,535,357   8,559,447 
Dividend payable 11  37,1</x:v>
      </x:c>
    </x:row>
    <x:row r="158" ht="82" customHeight="1">
      <x:c r="A158" s="168" t="str">
        <x:v>KOHC|cp_ltf|2022</x:v>
      </x:c>
      <x:c r="B158" s="168" t="str">
        <x:v>KOHC</x:v>
      </x:c>
      <x:c r="C158" s="168" t="str">
        <x:v>FY2022</x:v>
      </x:c>
      <x:c r="D158" s="168" t="str">
        <x:v>Current portion of long-term financing</x:v>
      </x:c>
      <x:c r="E158" s="169" t="n">
        <x:v>1071912356</x:v>
      </x:c>
      <x:c r="F158" s="169" t="n">
        <x:v>1071912356</x:v>
      </x:c>
      <x:c r="G158" s="169" t="str">
        <x:v>Rupees</x:v>
      </x:c>
      <x:c r="H158" s="169" t="n">
        <x:f>F158/1000000</x:f>
        <x:v>1071.912356</x:v>
      </x:c>
      <x:c r="I158" s="169" t="n">
        <x:f>KOHC!E55</x:f>
        <x:v>1071.912356</x:v>
      </x:c>
      <x:c r="J158" s="169" t="n">
        <x:f>H158-I158</x:f>
        <x:v>0</x:v>
      </x:c>
      <x:c r="K158" s="168" t="str">
        <x:v>Financial_Statements-30-06-2023.pdf</x:v>
      </x:c>
      <x:c r="L158" s="168" t="n">
        <x:v>52</x:v>
      </x:c>
      <x:c r="M158" s="168" t="str">
        <x:v>Comparative</x:v>
      </x:c>
      <x:c r="N158" s="171" t="str">
        <x:v>Printed amount independently located</x:v>
      </x:c>
      <x:c r="O158" s="171" t="str">
        <x:v>Exact source amount found; audited year/current-comparative column recorded. Accounting subtotal tests performed separately.</x:v>
      </x:c>
      <x:c r="P158" s="171" t="str">
        <x:v>ces 8.2  31,847,241   27,647,098 
     7,007,559,162   6,616,456,934 
Current liabilities  
Current portion of long term financing 6  1,034,355,873   1,071,912,356 
Trade and other payables 9  5,171,144,705   5,525,221,208 
Contract liability 10  253,135,945   264,984,408 
Unclaimed dividend   8,535,358   8,535,357 
Dividend payable 11  36,9</x:v>
      </x:c>
    </x:row>
    <x:row r="159" ht="82" customHeight="1">
      <x:c r="A159" s="76" t="str">
        <x:v>KOHC|cp_ltf|2023</x:v>
      </x:c>
      <x:c r="B159" s="76" t="str">
        <x:v>KOHC</x:v>
      </x:c>
      <x:c r="C159" s="76" t="str">
        <x:v>FY2023</x:v>
      </x:c>
      <x:c r="D159" s="76" t="str">
        <x:v>Current portion of long-term financing</x:v>
      </x:c>
      <x:c r="E159" s="170" t="n">
        <x:v>1034355873</x:v>
      </x:c>
      <x:c r="F159" s="170" t="n">
        <x:v>1034355873</x:v>
      </x:c>
      <x:c r="G159" s="170" t="str">
        <x:v>Rupees</x:v>
      </x:c>
      <x:c r="H159" s="170" t="n">
        <x:f>F159/1000000</x:f>
        <x:v>1034.355873</x:v>
      </x:c>
      <x:c r="I159" s="170" t="n">
        <x:f>KOHC!F55</x:f>
        <x:v>1034.355873</x:v>
      </x:c>
      <x:c r="J159" s="170" t="n">
        <x:f>H159-I159</x:f>
        <x:v>0</x:v>
      </x:c>
      <x:c r="K159" s="76" t="str">
        <x:v>Kohat_Cement_Annual_Report-2024.pdf</x:v>
      </x:c>
      <x:c r="L159" s="76" t="n">
        <x:v>58</x:v>
      </x:c>
      <x:c r="M159" s="76" t="str">
        <x:v>Comparative</x:v>
      </x:c>
      <x:c r="N159" s="99" t="str">
        <x:v>Printed amount independently located</x:v>
      </x:c>
      <x:c r="O159" s="99" t="str">
        <x:v>Exact source amount found; audited year/current-comparative column recorded. Accounting subtotal tests performed separately.</x:v>
      </x:c>
      <x:c r="P159" s="99" t="str">
        <x:v>ompensated absences 8.2  29,351,103   31,847,241 
     6,657,353,675   7,007,559,162 
Current liabilities  
Current portion of long term financing 6  1,034,355,873   1,034,355,873 
Trade and other payables 9  6,223,153,321   5,307,075,353 
Contract liability   113,418,606   253,135,945 
Unclaimed dividend   8,503,909   8,535,358 
Dividend pa</x:v>
      </x:c>
    </x:row>
    <x:row r="160" ht="82" customHeight="1">
      <x:c r="A160" s="168" t="str">
        <x:v>KOHC|cp_ltf|2024</x:v>
      </x:c>
      <x:c r="B160" s="168" t="str">
        <x:v>KOHC</x:v>
      </x:c>
      <x:c r="C160" s="168" t="str">
        <x:v>FY2024</x:v>
      </x:c>
      <x:c r="D160" s="168" t="str">
        <x:v>Current portion of long-term financing</x:v>
      </x:c>
      <x:c r="E160" s="169" t="n">
        <x:v>1169295643</x:v>
      </x:c>
      <x:c r="F160" s="169" t="n">
        <x:v>1169295643</x:v>
      </x:c>
      <x:c r="G160" s="169" t="str">
        <x:v>Rupees</x:v>
      </x:c>
      <x:c r="H160" s="169" t="n">
        <x:f>F160/1000000</x:f>
        <x:v>1169.295643</x:v>
      </x:c>
      <x:c r="I160" s="169" t="n">
        <x:f>KOHC!G55</x:f>
        <x:v>1169.295643</x:v>
      </x:c>
      <x:c r="J160" s="169" t="n">
        <x:f>H160-I160</x:f>
        <x:v>0</x:v>
      </x:c>
      <x:c r="K160" s="168" t="str">
        <x:v>Kohat_Cement_Annual_Report_2025.pdf</x:v>
      </x:c>
      <x:c r="L160" s="168" t="n">
        <x:v>68</x:v>
      </x:c>
      <x:c r="M160" s="168" t="str">
        <x:v>Comparative</x:v>
      </x:c>
      <x:c r="N160" s="171" t="str">
        <x:v>Printed amount independently located</x:v>
      </x:c>
      <x:c r="O160" s="171" t="str">
        <x:v>Exact source amount found; audited year/current-comparative column recorded. Accounting subtotal tests performed separately.</x:v>
      </x:c>
      <x:c r="P160" s="171" t="str">
        <x:v>sences 8.2  36,785,931   29,351,103 
     7,177,415,870   6,657,353,675 
Current liabilities 
Current portion of long term financing 6  837,359,258   1,169,295,643 
Trade and other payables 9  7,710,012,398   6,223,153,321 
Contract liability 24.1.3  144,300,907   113,418,606 
Unclaimed dividend   8,503,909   8,503,909 
Dividend payable 10</x:v>
      </x:c>
    </x:row>
    <x:row r="161" ht="82" customHeight="1">
      <x:c r="A161" s="76" t="str">
        <x:v>KOHC|cp_ltf|2025</x:v>
      </x:c>
      <x:c r="B161" s="76" t="str">
        <x:v>KOHC</x:v>
      </x:c>
      <x:c r="C161" s="76" t="str">
        <x:v>FY2025</x:v>
      </x:c>
      <x:c r="D161" s="76" t="str">
        <x:v>Current portion of long-term financing</x:v>
      </x:c>
      <x:c r="E161" s="170" t="n">
        <x:v>837359258</x:v>
      </x:c>
      <x:c r="F161" s="170" t="n">
        <x:v>837359258</x:v>
      </x:c>
      <x:c r="G161" s="170" t="str">
        <x:v>Rupees</x:v>
      </x:c>
      <x:c r="H161" s="170" t="n">
        <x:f>F161/1000000</x:f>
        <x:v>837.359258</x:v>
      </x:c>
      <x:c r="I161" s="170" t="n">
        <x:f>KOHC!H55</x:f>
        <x:v>837.359258</x:v>
      </x:c>
      <x:c r="J161" s="170" t="n">
        <x:f>H161-I161</x:f>
        <x:v>0</x:v>
      </x:c>
      <x:c r="K161" s="76" t="str">
        <x:v>Kohat_Cement_Annual_Report_2025.pdf</x:v>
      </x:c>
      <x:c r="L161" s="76" t="n">
        <x:v>68</x:v>
      </x:c>
      <x:c r="M161" s="76" t="str">
        <x:v>Current year</x:v>
      </x:c>
      <x:c r="N161" s="99" t="str">
        <x:v>Printed amount independently located</x:v>
      </x:c>
      <x:c r="O161" s="99" t="str">
        <x:v>Exact source amount found; audited year/current-comparative column recorded. Accounting subtotal tests performed separately.</x:v>
      </x:c>
      <x:c r="P161" s="99" t="str">
        <x:v>compensated absences 8.2  36,785,931   29,351,103 
     7,177,415,870   6,657,353,675 
Current liabilities 
Current portion of long term financing 6  837,359,258   1,169,295,643 
Trade and other payables 9  7,710,012,398   6,223,153,321 
Contract liability 24.1.3  144,300,907   113,418,606 
Unclaimed dividend   8,503,909   8,503,909 
Divid</x:v>
      </x:c>
    </x:row>
    <x:row r="162" ht="82" customHeight="1">
      <x:c r="A162" s="168" t="str">
        <x:v>KOHC|cp_lease|2020</x:v>
      </x:c>
      <x:c r="B162" s="168" t="str">
        <x:v>KOHC</x:v>
      </x:c>
      <x:c r="C162" s="168" t="str">
        <x:v>FY2020</x:v>
      </x:c>
      <x:c r="D162" s="168" t="str">
        <x:v>Current portion of lease liabilities</x:v>
      </x:c>
      <x:c r="E162" s="169" t="n">
        <x:v>0</x:v>
      </x:c>
      <x:c r="F162" s="169" t="n">
        <x:v>0</x:v>
      </x:c>
      <x:c r="G162" s="169" t="str">
        <x:v>Rupees</x:v>
      </x:c>
      <x:c r="H162" s="169" t="n">
        <x:f>F162/1000000</x:f>
        <x:v>0</x:v>
      </x:c>
      <x:c r="I162" s="169" t="n">
        <x:f>KOHC!C56</x:f>
        <x:v>0</x:v>
      </x:c>
      <x:c r="J162" s="169" t="n">
        <x:f>H162-I162</x:f>
        <x:v>0</x:v>
      </x:c>
      <x:c r="K162" s="168" t="str">
        <x:v>KOHC_AR_2021.pdf</x:v>
      </x:c>
      <x:c r="L162" s="168" t="n">
        <x:v>44</x:v>
      </x:c>
      <x:c r="M162" s="168" t="str">
        <x:v>Comparative</x:v>
      </x:c>
      <x:c r="N162" s="171" t="str">
        <x:v>Zero / no separate line in audited presentation</x:v>
      </x:c>
      <x:c r="O162" s="171" t="str">
        <x:v>Zero classification checked within the audited statement/note and reconstructed statement totals; absence of a separate line does not imply a missing replacement estimate.</x:v>
      </x:c>
      <x:c r="P162" s="171" t="str">
        <x:v>
STATEMENT OF 
FINANCIAL POSITION 
As at 30 June 2021
   (Restated)
  2021 2020
 Note Rupees Rupees
EQUITY AND LIABILITIES
Authorized share capital 4  | Current portion of lease liabilities</x:v>
      </x:c>
    </x:row>
    <x:row r="163" ht="82" customHeight="1">
      <x:c r="A163" s="76" t="str">
        <x:v>KOHC|cp_lease|2021</x:v>
      </x:c>
      <x:c r="B163" s="76" t="str">
        <x:v>KOHC</x:v>
      </x:c>
      <x:c r="C163" s="76" t="str">
        <x:v>FY2021</x:v>
      </x:c>
      <x:c r="D163" s="76" t="str">
        <x:v>Current portion of lease liabilities</x:v>
      </x:c>
      <x:c r="E163" s="170" t="n">
        <x:v>0</x:v>
      </x:c>
      <x:c r="F163" s="170" t="n">
        <x:v>0</x:v>
      </x:c>
      <x:c r="G163" s="170" t="str">
        <x:v>Rupees</x:v>
      </x:c>
      <x:c r="H163" s="170" t="n">
        <x:f>F163/1000000</x:f>
        <x:v>0</x:v>
      </x:c>
      <x:c r="I163" s="170" t="n">
        <x:f>KOHC!D56</x:f>
        <x:v>0</x:v>
      </x:c>
      <x:c r="J163" s="170" t="n">
        <x:f>H163-I163</x:f>
        <x:v>0</x:v>
      </x:c>
      <x:c r="K163" s="76" t="str">
        <x:v>Kohat_Cement_AR_2022.pdf</x:v>
      </x:c>
      <x:c r="L163" s="76" t="n">
        <x:v>52</x:v>
      </x:c>
      <x:c r="M163" s="76" t="str">
        <x:v>Comparative</x:v>
      </x:c>
      <x:c r="N163" s="99" t="str">
        <x:v>Zero / no separate line in audited presentation</x:v>
      </x:c>
      <x:c r="O163" s="99" t="str">
        <x:v>Zero classification checked within the audited statement/note and reconstructed statement totals; absence of a separate line does not imply a missing replacement estimate.</x:v>
      </x:c>
      <x:c r="P163" s="99" t="str">
        <x:v>
STATEMENT OF 
FINANCIAL POSITION 
As at 30 June 2022
  2022 2021
 Note Rupees Rupees
EQUITY AND LIABILITIES 
Authorized share capital 4  3,000,000,00 | Current portion of lease liabilities</x:v>
      </x:c>
    </x:row>
    <x:row r="164" ht="82" customHeight="1">
      <x:c r="A164" s="168" t="str">
        <x:v>KOHC|cp_lease|2022</x:v>
      </x:c>
      <x:c r="B164" s="168" t="str">
        <x:v>KOHC</x:v>
      </x:c>
      <x:c r="C164" s="168" t="str">
        <x:v>FY2022</x:v>
      </x:c>
      <x:c r="D164" s="168" t="str">
        <x:v>Current portion of lease liabilities</x:v>
      </x:c>
      <x:c r="E164" s="169" t="n">
        <x:v>0</x:v>
      </x:c>
      <x:c r="F164" s="169" t="n">
        <x:v>0</x:v>
      </x:c>
      <x:c r="G164" s="169" t="str">
        <x:v>Rupees</x:v>
      </x:c>
      <x:c r="H164" s="169" t="n">
        <x:f>F164/1000000</x:f>
        <x:v>0</x:v>
      </x:c>
      <x:c r="I164" s="169" t="n">
        <x:f>KOHC!E56</x:f>
        <x:v>0</x:v>
      </x:c>
      <x:c r="J164" s="169" t="n">
        <x:f>H164-I164</x:f>
        <x:v>0</x:v>
      </x:c>
      <x:c r="K164" s="168" t="str">
        <x:v>Financial_Statements-30-06-2023.pdf</x:v>
      </x:c>
      <x:c r="L164" s="168" t="n">
        <x:v>52</x:v>
      </x:c>
      <x:c r="M164" s="168" t="str">
        <x:v>Comparative</x:v>
      </x:c>
      <x:c r="N164" s="171" t="str">
        <x:v>Zero / no separate line in audited presentation</x:v>
      </x:c>
      <x:c r="O164" s="171" t="str">
        <x:v>Zero classification checked within the audited statement/note and reconstructed statement totals; absence of a separate line does not imply a missing replacement estimate.</x:v>
      </x:c>
      <x:c r="P164" s="171" t="str">
        <x:v>
50
STATEMENT OF 
FINANCIAL POSITION 
As at 30 June 2023
  2023 2022
 Note Rupees Rupees
EQUITY AND LIABILITIES 
Authorized share capital 4  3,000,000 | Current portion of lease liabilities</x:v>
      </x:c>
    </x:row>
    <x:row r="165" ht="82" customHeight="1">
      <x:c r="A165" s="76" t="str">
        <x:v>KOHC|cp_lease|2023</x:v>
      </x:c>
      <x:c r="B165" s="76" t="str">
        <x:v>KOHC</x:v>
      </x:c>
      <x:c r="C165" s="76" t="str">
        <x:v>FY2023</x:v>
      </x:c>
      <x:c r="D165" s="76" t="str">
        <x:v>Current portion of lease liabilities</x:v>
      </x:c>
      <x:c r="E165" s="170" t="n">
        <x:v>0</x:v>
      </x:c>
      <x:c r="F165" s="170" t="n">
        <x:v>0</x:v>
      </x:c>
      <x:c r="G165" s="170" t="str">
        <x:v>Rupees</x:v>
      </x:c>
      <x:c r="H165" s="170" t="n">
        <x:f>F165/1000000</x:f>
        <x:v>0</x:v>
      </x:c>
      <x:c r="I165" s="170" t="n">
        <x:f>KOHC!F56</x:f>
        <x:v>0</x:v>
      </x:c>
      <x:c r="J165" s="170" t="n">
        <x:f>H165-I165</x:f>
        <x:v>0</x:v>
      </x:c>
      <x:c r="K165" s="76" t="str">
        <x:v>Kohat_Cement_Annual_Report-2024.pdf</x:v>
      </x:c>
      <x:c r="L165" s="76" t="n">
        <x:v>58</x:v>
      </x:c>
      <x:c r="M165" s="76" t="str">
        <x:v>Comparative</x:v>
      </x:c>
      <x:c r="N165" s="99" t="str">
        <x:v>Zero / no separate line in audited presentation</x:v>
      </x:c>
      <x:c r="O165" s="99" t="str">
        <x:v>Zero classification checked within the audited statement/note and reconstructed statement totals; absence of a separate line does not imply a missing replacement estimate.</x:v>
      </x:c>
      <x:c r="P165" s="99" t="str">
        <x:v>
56
STATEMENT OF 
FINANCIAL POSITION 
As at 30 June 2024
  2024 2023
 Note Rupees Rupees
   Restated
EQUITY AND LIABILITIES
Authorized share capital 4 | Current portion of lease liabilities</x:v>
      </x:c>
    </x:row>
    <x:row r="166" ht="82" customHeight="1">
      <x:c r="A166" s="168" t="str">
        <x:v>KOHC|cp_lease|2024</x:v>
      </x:c>
      <x:c r="B166" s="168" t="str">
        <x:v>KOHC</x:v>
      </x:c>
      <x:c r="C166" s="168" t="str">
        <x:v>FY2024</x:v>
      </x:c>
      <x:c r="D166" s="168" t="str">
        <x:v>Current portion of lease liabilities</x:v>
      </x:c>
      <x:c r="E166" s="169" t="n">
        <x:v>0</x:v>
      </x:c>
      <x:c r="F166" s="169" t="n">
        <x:v>0</x:v>
      </x:c>
      <x:c r="G166" s="169" t="str">
        <x:v>Rupees</x:v>
      </x:c>
      <x:c r="H166" s="169" t="n">
        <x:f>F166/1000000</x:f>
        <x:v>0</x:v>
      </x:c>
      <x:c r="I166" s="169" t="n">
        <x:f>KOHC!G56</x:f>
        <x:v>0</x:v>
      </x:c>
      <x:c r="J166" s="169" t="n">
        <x:f>H166-I166</x:f>
        <x:v>0</x:v>
      </x:c>
      <x:c r="K166" s="168" t="str">
        <x:v>Kohat_Cement_Annual_Report_2025.pdf</x:v>
      </x:c>
      <x:c r="L166" s="168" t="n">
        <x:v>68</x:v>
      </x:c>
      <x:c r="M166" s="168" t="str">
        <x:v>Comparative</x:v>
      </x:c>
      <x:c r="N166" s="171" t="str">
        <x:v>Zero / no separate line in audited presentation</x:v>
      </x:c>
      <x:c r="O166" s="171" t="str">
        <x:v>Zero classification checked within the audited statement/note and reconstructed statement totals; absence of a separate line does not imply a missing replacement estimate.</x:v>
      </x:c>
      <x:c r="P166" s="171" t="str">
        <x:v>
66
STATEMENT OF 
FINANCIAL POSITION 
As at June 30, 2025
  2025 2024
 Note Rupees Rupees
EQUITY AND LIABILITIES 
Authorized share capital 4  3,000,00 | Current portion of lease liabilities</x:v>
      </x:c>
    </x:row>
    <x:row r="167" ht="82" customHeight="1">
      <x:c r="A167" s="76" t="str">
        <x:v>KOHC|cp_lease|2025</x:v>
      </x:c>
      <x:c r="B167" s="76" t="str">
        <x:v>KOHC</x:v>
      </x:c>
      <x:c r="C167" s="76" t="str">
        <x:v>FY2025</x:v>
      </x:c>
      <x:c r="D167" s="76" t="str">
        <x:v>Current portion of lease liabilities</x:v>
      </x:c>
      <x:c r="E167" s="170" t="n">
        <x:v>0</x:v>
      </x:c>
      <x:c r="F167" s="170" t="n">
        <x:v>0</x:v>
      </x:c>
      <x:c r="G167" s="170" t="str">
        <x:v>Rupees</x:v>
      </x:c>
      <x:c r="H167" s="170" t="n">
        <x:f>F167/1000000</x:f>
        <x:v>0</x:v>
      </x:c>
      <x:c r="I167" s="170" t="n">
        <x:f>KOHC!H56</x:f>
        <x:v>0</x:v>
      </x:c>
      <x:c r="J167" s="170" t="n">
        <x:f>H167-I167</x:f>
        <x:v>0</x:v>
      </x:c>
      <x:c r="K167" s="76" t="str">
        <x:v>Kohat_Cement_Annual_Report_2025.pdf</x:v>
      </x:c>
      <x:c r="L167" s="76" t="n">
        <x:v>68</x:v>
      </x:c>
      <x:c r="M167" s="76" t="str">
        <x:v>Current year</x:v>
      </x:c>
      <x:c r="N167" s="99" t="str">
        <x:v>Zero / no separate line in audited presentation</x:v>
      </x:c>
      <x:c r="O167" s="99" t="str">
        <x:v>Zero classification checked within the audited statement/note and reconstructed statement totals; absence of a separate line does not imply a missing replacement estimate.</x:v>
      </x:c>
      <x:c r="P167" s="99" t="str">
        <x:v>
66
STATEMENT OF 
FINANCIAL POSITION 
As at June 30, 2025
  2025 2024
 Note Rupees Rupees
EQUITY AND LIABILITIES 
Authorized share capital 4  3,000,00 | Current portion of lease liabilities</x:v>
      </x:c>
    </x:row>
    <x:row r="168" ht="82" customHeight="1">
      <x:c r="A168" s="168" t="str">
        <x:v>KOHC|cp_grant|2020</x:v>
      </x:c>
      <x:c r="B168" s="168" t="str">
        <x:v>KOHC</x:v>
      </x:c>
      <x:c r="C168" s="168" t="str">
        <x:v>FY2020</x:v>
      </x:c>
      <x:c r="D168" s="168" t="str">
        <x:v>Current portion of deferred government grant</x:v>
      </x:c>
      <x:c r="E168" s="169" t="n">
        <x:v>0</x:v>
      </x:c>
      <x:c r="F168" s="169" t="n">
        <x:v>0</x:v>
      </x:c>
      <x:c r="G168" s="169" t="str">
        <x:v>Rupees</x:v>
      </x:c>
      <x:c r="H168" s="169" t="n">
        <x:f>F168/1000000</x:f>
        <x:v>0</x:v>
      </x:c>
      <x:c r="I168" s="169" t="n">
        <x:f>KOHC!C57</x:f>
        <x:v>0</x:v>
      </x:c>
      <x:c r="J168" s="169" t="n">
        <x:f>H168-I168</x:f>
        <x:v>0</x:v>
      </x:c>
      <x:c r="K168" s="168" t="str">
        <x:v>KOHC_AR_2021.pdf</x:v>
      </x:c>
      <x:c r="L168" s="168" t="n">
        <x:v>44</x:v>
      </x:c>
      <x:c r="M168" s="168" t="str">
        <x:v>Comparative</x:v>
      </x:c>
      <x:c r="N168" s="171" t="str">
        <x:v>Zero / no separate line in audited presentation</x:v>
      </x:c>
      <x:c r="O168" s="171" t="str">
        <x:v>Zero classification checked within the audited statement/note and reconstructed statement totals; absence of a separate line does not imply a missing replacement estimate.</x:v>
      </x:c>
      <x:c r="P168" s="171" t="str">
        <x:v>
STATEMENT OF 
FINANCIAL POSITION 
As at 30 June 2021
   (Restated)
  2021 2020
 Note Rupees Rupees
EQUITY AND LIABILITIES
Authorized share capital 4  | Current portion of deferred government grant</x:v>
      </x:c>
    </x:row>
    <x:row r="169" ht="82" customHeight="1">
      <x:c r="A169" s="76" t="str">
        <x:v>KOHC|cp_grant|2021</x:v>
      </x:c>
      <x:c r="B169" s="76" t="str">
        <x:v>KOHC</x:v>
      </x:c>
      <x:c r="C169" s="76" t="str">
        <x:v>FY2021</x:v>
      </x:c>
      <x:c r="D169" s="76" t="str">
        <x:v>Current portion of deferred government grant</x:v>
      </x:c>
      <x:c r="E169" s="170" t="n">
        <x:v>0</x:v>
      </x:c>
      <x:c r="F169" s="170" t="n">
        <x:v>0</x:v>
      </x:c>
      <x:c r="G169" s="170" t="str">
        <x:v>Rupees</x:v>
      </x:c>
      <x:c r="H169" s="170" t="n">
        <x:f>F169/1000000</x:f>
        <x:v>0</x:v>
      </x:c>
      <x:c r="I169" s="170" t="n">
        <x:f>KOHC!D57</x:f>
        <x:v>0</x:v>
      </x:c>
      <x:c r="J169" s="170" t="n">
        <x:f>H169-I169</x:f>
        <x:v>0</x:v>
      </x:c>
      <x:c r="K169" s="76" t="str">
        <x:v>Kohat_Cement_AR_2022.pdf</x:v>
      </x:c>
      <x:c r="L169" s="76" t="n">
        <x:v>52</x:v>
      </x:c>
      <x:c r="M169" s="76" t="str">
        <x:v>Comparative</x:v>
      </x:c>
      <x:c r="N169" s="99" t="str">
        <x:v>Zero / no separate line in audited presentation</x:v>
      </x:c>
      <x:c r="O169" s="99" t="str">
        <x:v>Zero classification checked within the audited statement/note and reconstructed statement totals; absence of a separate line does not imply a missing replacement estimate.</x:v>
      </x:c>
      <x:c r="P169" s="99" t="str">
        <x:v>
STATEMENT OF 
FINANCIAL POSITION 
As at 30 June 2022
  2022 2021
 Note Rupees Rupees
EQUITY AND LIABILITIES 
Authorized share capital 4  3,000,000,00 | Current portion of deferred government grant</x:v>
      </x:c>
    </x:row>
    <x:row r="170" ht="82" customHeight="1">
      <x:c r="A170" s="168" t="str">
        <x:v>KOHC|cp_grant|2022</x:v>
      </x:c>
      <x:c r="B170" s="168" t="str">
        <x:v>KOHC</x:v>
      </x:c>
      <x:c r="C170" s="168" t="str">
        <x:v>FY2022</x:v>
      </x:c>
      <x:c r="D170" s="168" t="str">
        <x:v>Current portion of deferred government grant</x:v>
      </x:c>
      <x:c r="E170" s="169" t="n">
        <x:v>0</x:v>
      </x:c>
      <x:c r="F170" s="169" t="n">
        <x:v>0</x:v>
      </x:c>
      <x:c r="G170" s="169" t="str">
        <x:v>Rupees</x:v>
      </x:c>
      <x:c r="H170" s="169" t="n">
        <x:f>F170/1000000</x:f>
        <x:v>0</x:v>
      </x:c>
      <x:c r="I170" s="169" t="n">
        <x:f>KOHC!E57</x:f>
        <x:v>0</x:v>
      </x:c>
      <x:c r="J170" s="169" t="n">
        <x:f>H170-I170</x:f>
        <x:v>0</x:v>
      </x:c>
      <x:c r="K170" s="168" t="str">
        <x:v>Financial_Statements-30-06-2023.pdf</x:v>
      </x:c>
      <x:c r="L170" s="168" t="n">
        <x:v>52</x:v>
      </x:c>
      <x:c r="M170" s="168" t="str">
        <x:v>Comparative</x:v>
      </x:c>
      <x:c r="N170" s="171" t="str">
        <x:v>Zero / no separate line in audited presentation</x:v>
      </x:c>
      <x:c r="O170" s="171" t="str">
        <x:v>Zero classification checked within the audited statement/note and reconstructed statement totals; absence of a separate line does not imply a missing replacement estimate.</x:v>
      </x:c>
      <x:c r="P170" s="171" t="str">
        <x:v>
50
STATEMENT OF 
FINANCIAL POSITION 
As at 30 June 2023
  2023 2022
 Note Rupees Rupees
EQUITY AND LIABILITIES 
Authorized share capital 4  3,000,000 | Current portion of deferred government grant</x:v>
      </x:c>
    </x:row>
    <x:row r="171" ht="82" customHeight="1">
      <x:c r="A171" s="76" t="str">
        <x:v>KOHC|cp_grant|2023</x:v>
      </x:c>
      <x:c r="B171" s="76" t="str">
        <x:v>KOHC</x:v>
      </x:c>
      <x:c r="C171" s="76" t="str">
        <x:v>FY2023</x:v>
      </x:c>
      <x:c r="D171" s="76" t="str">
        <x:v>Current portion of deferred government grant</x:v>
      </x:c>
      <x:c r="E171" s="170" t="n">
        <x:v>0</x:v>
      </x:c>
      <x:c r="F171" s="170" t="n">
        <x:v>0</x:v>
      </x:c>
      <x:c r="G171" s="170" t="str">
        <x:v>Rupees</x:v>
      </x:c>
      <x:c r="H171" s="170" t="n">
        <x:f>F171/1000000</x:f>
        <x:v>0</x:v>
      </x:c>
      <x:c r="I171" s="170" t="n">
        <x:f>KOHC!F57</x:f>
        <x:v>0</x:v>
      </x:c>
      <x:c r="J171" s="170" t="n">
        <x:f>H171-I171</x:f>
        <x:v>0</x:v>
      </x:c>
      <x:c r="K171" s="76" t="str">
        <x:v>Kohat_Cement_Annual_Report-2024.pdf</x:v>
      </x:c>
      <x:c r="L171" s="76" t="n">
        <x:v>58</x:v>
      </x:c>
      <x:c r="M171" s="76" t="str">
        <x:v>Comparative</x:v>
      </x:c>
      <x:c r="N171" s="99" t="str">
        <x:v>Zero / no separate line in audited presentation</x:v>
      </x:c>
      <x:c r="O171" s="99" t="str">
        <x:v>Zero classification checked within the audited statement/note and reconstructed statement totals; absence of a separate line does not imply a missing replacement estimate.</x:v>
      </x:c>
      <x:c r="P171" s="99" t="str">
        <x:v>
56
STATEMENT OF 
FINANCIAL POSITION 
As at 30 June 2024
  2024 2023
 Note Rupees Rupees
   Restated
EQUITY AND LIABILITIES
Authorized share capital 4 | Current portion of deferred government grant</x:v>
      </x:c>
    </x:row>
    <x:row r="172" ht="82" customHeight="1">
      <x:c r="A172" s="168" t="str">
        <x:v>KOHC|cp_grant|2024</x:v>
      </x:c>
      <x:c r="B172" s="168" t="str">
        <x:v>KOHC</x:v>
      </x:c>
      <x:c r="C172" s="168" t="str">
        <x:v>FY2024</x:v>
      </x:c>
      <x:c r="D172" s="168" t="str">
        <x:v>Current portion of deferred government grant</x:v>
      </x:c>
      <x:c r="E172" s="169" t="n">
        <x:v>0</x:v>
      </x:c>
      <x:c r="F172" s="169" t="n">
        <x:v>0</x:v>
      </x:c>
      <x:c r="G172" s="169" t="str">
        <x:v>Rupees</x:v>
      </x:c>
      <x:c r="H172" s="169" t="n">
        <x:f>F172/1000000</x:f>
        <x:v>0</x:v>
      </x:c>
      <x:c r="I172" s="169" t="n">
        <x:f>KOHC!G57</x:f>
        <x:v>0</x:v>
      </x:c>
      <x:c r="J172" s="169" t="n">
        <x:f>H172-I172</x:f>
        <x:v>0</x:v>
      </x:c>
      <x:c r="K172" s="168" t="str">
        <x:v>Kohat_Cement_Annual_Report_2025.pdf</x:v>
      </x:c>
      <x:c r="L172" s="168" t="n">
        <x:v>68</x:v>
      </x:c>
      <x:c r="M172" s="168" t="str">
        <x:v>Comparative</x:v>
      </x:c>
      <x:c r="N172" s="171" t="str">
        <x:v>Zero / no separate line in audited presentation</x:v>
      </x:c>
      <x:c r="O172" s="171" t="str">
        <x:v>Zero classification checked within the audited statement/note and reconstructed statement totals; absence of a separate line does not imply a missing replacement estimate.</x:v>
      </x:c>
      <x:c r="P172" s="171" t="str">
        <x:v>
66
STATEMENT OF 
FINANCIAL POSITION 
As at June 30, 2025
  2025 2024
 Note Rupees Rupees
EQUITY AND LIABILITIES 
Authorized share capital 4  3,000,00 | Current portion of deferred government grant</x:v>
      </x:c>
    </x:row>
    <x:row r="173" ht="82" customHeight="1">
      <x:c r="A173" s="76" t="str">
        <x:v>KOHC|cp_grant|2025</x:v>
      </x:c>
      <x:c r="B173" s="76" t="str">
        <x:v>KOHC</x:v>
      </x:c>
      <x:c r="C173" s="76" t="str">
        <x:v>FY2025</x:v>
      </x:c>
      <x:c r="D173" s="76" t="str">
        <x:v>Current portion of deferred government grant</x:v>
      </x:c>
      <x:c r="E173" s="170" t="n">
        <x:v>0</x:v>
      </x:c>
      <x:c r="F173" s="170" t="n">
        <x:v>0</x:v>
      </x:c>
      <x:c r="G173" s="170" t="str">
        <x:v>Rupees</x:v>
      </x:c>
      <x:c r="H173" s="170" t="n">
        <x:f>F173/1000000</x:f>
        <x:v>0</x:v>
      </x:c>
      <x:c r="I173" s="170" t="n">
        <x:f>KOHC!H57</x:f>
        <x:v>0</x:v>
      </x:c>
      <x:c r="J173" s="170" t="n">
        <x:f>H173-I173</x:f>
        <x:v>0</x:v>
      </x:c>
      <x:c r="K173" s="76" t="str">
        <x:v>Kohat_Cement_Annual_Report_2025.pdf</x:v>
      </x:c>
      <x:c r="L173" s="76" t="n">
        <x:v>68</x:v>
      </x:c>
      <x:c r="M173" s="76" t="str">
        <x:v>Current year</x:v>
      </x:c>
      <x:c r="N173" s="99" t="str">
        <x:v>Zero / no separate line in audited presentation</x:v>
      </x:c>
      <x:c r="O173" s="99" t="str">
        <x:v>Zero classification checked within the audited statement/note and reconstructed statement totals; absence of a separate line does not imply a missing replacement estimate.</x:v>
      </x:c>
      <x:c r="P173" s="99" t="str">
        <x:v>
66
STATEMENT OF 
FINANCIAL POSITION 
As at June 30, 2025
  2025 2024
 Note Rupees Rupees
EQUITY AND LIABILITIES 
Authorized share capital 4  3,000,00 | Current portion of deferred government grant</x:v>
      </x:c>
    </x:row>
    <x:row r="174" ht="82" customHeight="1">
      <x:c r="A174" s="168" t="str">
        <x:v>KOHC|div_liab|2020</x:v>
      </x:c>
      <x:c r="B174" s="168" t="str">
        <x:v>KOHC</x:v>
      </x:c>
      <x:c r="C174" s="168" t="str">
        <x:v>FY2020</x:v>
      </x:c>
      <x:c r="D174" s="168" t="str">
        <x:v>Unclaimed / unpaid dividends</x:v>
      </x:c>
      <x:c r="E174" s="169" t="n">
        <x:v>48014348</x:v>
      </x:c>
      <x:c r="F174" s="169" t="n">
        <x:v>48014348</x:v>
      </x:c>
      <x:c r="G174" s="169" t="str">
        <x:v>Rupees</x:v>
      </x:c>
      <x:c r="H174" s="169" t="n">
        <x:f>F174/1000000</x:f>
        <x:v>48.014348</x:v>
      </x:c>
      <x:c r="I174" s="169" t="n">
        <x:f>KOHC!C58</x:f>
        <x:v>48.014348</x:v>
      </x:c>
      <x:c r="J174" s="169" t="n">
        <x:f>H174-I174</x:f>
        <x:v>0</x:v>
      </x:c>
      <x:c r="K174" s="168" t="str">
        <x:v>KOHC_AR_2021.pdf</x:v>
      </x:c>
      <x:c r="L174" s="168" t="n">
        <x:v>44</x:v>
      </x:c>
      <x:c r="M174" s="168" t="str">
        <x:v>Comparative</x:v>
      </x:c>
      <x:c r="N174" s="171" t="str">
        <x:v>Aggregated audited components</x:v>
      </x:c>
      <x:c r="O174" s="171" t="str">
        <x:v>Source-labelled component sum; statement controls and signed-unit conversion independently recomputed.</x:v>
      </x:c>
      <x:c r="P174" s="171" t="str">
        <x:v>
STATEMENT OF 
FINANCIAL POSITION 
As at 30 June 2021
   (Restated)
  2021 2020
 Note Rupees Rupees
EQUITY AND LIABILITIES
Authorized share capital 4  3,000,000,000   3,000,000,000 | Components: Dividend payable; Unclaimed dividend</x:v>
      </x:c>
    </x:row>
    <x:row r="175" ht="82" customHeight="1">
      <x:c r="A175" s="76" t="str">
        <x:v>KOHC|div_liab|2021</x:v>
      </x:c>
      <x:c r="B175" s="76" t="str">
        <x:v>KOHC</x:v>
      </x:c>
      <x:c r="C175" s="76" t="str">
        <x:v>FY2021</x:v>
      </x:c>
      <x:c r="D175" s="76" t="str">
        <x:v>Unclaimed / unpaid dividends</x:v>
      </x:c>
      <x:c r="E175" s="170" t="n">
        <x:v>46197552</x:v>
      </x:c>
      <x:c r="F175" s="170" t="n">
        <x:v>46197552</x:v>
      </x:c>
      <x:c r="G175" s="170" t="str">
        <x:v>Rupees</x:v>
      </x:c>
      <x:c r="H175" s="170" t="n">
        <x:f>F175/1000000</x:f>
        <x:v>46.197552</x:v>
      </x:c>
      <x:c r="I175" s="170" t="n">
        <x:f>KOHC!D58</x:f>
        <x:v>46.197552</x:v>
      </x:c>
      <x:c r="J175" s="170" t="n">
        <x:f>H175-I175</x:f>
        <x:v>0</x:v>
      </x:c>
      <x:c r="K175" s="76" t="str">
        <x:v>Kohat_Cement_AR_2022.pdf</x:v>
      </x:c>
      <x:c r="L175" s="76" t="n">
        <x:v>52</x:v>
      </x:c>
      <x:c r="M175" s="76" t="str">
        <x:v>Comparative</x:v>
      </x:c>
      <x:c r="N175" s="99" t="str">
        <x:v>Aggregated audited components</x:v>
      </x:c>
      <x:c r="O175" s="99" t="str">
        <x:v>Source-labelled component sum; statement controls and signed-unit conversion independently recomputed.</x:v>
      </x:c>
      <x:c r="P175" s="99" t="str">
        <x:v>
STATEMENT OF 
FINANCIAL POSITION 
As at 30 June 2022
  2022 2021
 Note Rupees Rupees
EQUITY AND LIABILITIES 
Authorized share capital 4  3,000,000,000   3,000,000,000 
Issued, s | Components: Dividend payable; Unclaimed dividend</x:v>
      </x:c>
    </x:row>
    <x:row r="176" ht="82" customHeight="1">
      <x:c r="A176" s="168" t="str">
        <x:v>KOHC|div_liab|2022</x:v>
      </x:c>
      <x:c r="B176" s="168" t="str">
        <x:v>KOHC</x:v>
      </x:c>
      <x:c r="C176" s="168" t="str">
        <x:v>FY2022</x:v>
      </x:c>
      <x:c r="D176" s="168" t="str">
        <x:v>Unclaimed / unpaid dividends</x:v>
      </x:c>
      <x:c r="E176" s="169" t="n">
        <x:v>45648049</x:v>
      </x:c>
      <x:c r="F176" s="169" t="n">
        <x:v>45648049</x:v>
      </x:c>
      <x:c r="G176" s="169" t="str">
        <x:v>Rupees</x:v>
      </x:c>
      <x:c r="H176" s="169" t="n">
        <x:f>F176/1000000</x:f>
        <x:v>45.648049</x:v>
      </x:c>
      <x:c r="I176" s="169" t="n">
        <x:f>KOHC!E58</x:f>
        <x:v>45.648049</x:v>
      </x:c>
      <x:c r="J176" s="169" t="n">
        <x:f>H176-I176</x:f>
        <x:v>0</x:v>
      </x:c>
      <x:c r="K176" s="168" t="str">
        <x:v>Financial_Statements-30-06-2023.pdf</x:v>
      </x:c>
      <x:c r="L176" s="168" t="n">
        <x:v>52</x:v>
      </x:c>
      <x:c r="M176" s="168" t="str">
        <x:v>Comparative</x:v>
      </x:c>
      <x:c r="N176" s="171" t="str">
        <x:v>Aggregated audited components</x:v>
      </x:c>
      <x:c r="O176" s="171" t="str">
        <x:v>Source-labelled component sum; statement controls and signed-unit conversion independently recomputed.</x:v>
      </x:c>
      <x:c r="P176" s="171" t="str">
        <x:v>
50
STATEMENT OF 
FINANCIAL POSITION 
As at 30 June 2023
  2023 2022
 Note Rupees Rupees
EQUITY AND LIABILITIES 
Authorized share capital 4  3,000,000,000   3,000,000,000 
Issued | Components: Dividend payable; Unclaimed dividend</x:v>
      </x:c>
    </x:row>
    <x:row r="177" ht="82" customHeight="1">
      <x:c r="A177" s="76" t="str">
        <x:v>KOHC|div_liab|2023</x:v>
      </x:c>
      <x:c r="B177" s="76" t="str">
        <x:v>KOHC</x:v>
      </x:c>
      <x:c r="C177" s="76" t="str">
        <x:v>FY2023</x:v>
      </x:c>
      <x:c r="D177" s="76" t="str">
        <x:v>Unclaimed / unpaid dividends</x:v>
      </x:c>
      <x:c r="E177" s="170" t="n">
        <x:v>45475220</x:v>
      </x:c>
      <x:c r="F177" s="170" t="n">
        <x:v>45475220</x:v>
      </x:c>
      <x:c r="G177" s="170" t="str">
        <x:v>Rupees</x:v>
      </x:c>
      <x:c r="H177" s="170" t="n">
        <x:f>F177/1000000</x:f>
        <x:v>45.47522</x:v>
      </x:c>
      <x:c r="I177" s="170" t="n">
        <x:f>KOHC!F58</x:f>
        <x:v>45.47522</x:v>
      </x:c>
      <x:c r="J177" s="170" t="n">
        <x:f>H177-I177</x:f>
        <x:v>0</x:v>
      </x:c>
      <x:c r="K177" s="76" t="str">
        <x:v>Kohat_Cement_Annual_Report-2024.pdf</x:v>
      </x:c>
      <x:c r="L177" s="76" t="n">
        <x:v>58</x:v>
      </x:c>
      <x:c r="M177" s="76" t="str">
        <x:v>Comparative</x:v>
      </x:c>
      <x:c r="N177" s="99" t="str">
        <x:v>Aggregated audited components</x:v>
      </x:c>
      <x:c r="O177" s="99" t="str">
        <x:v>Source-labelled component sum; statement controls and signed-unit conversion independently recomputed.</x:v>
      </x:c>
      <x:c r="P177" s="99" t="str">
        <x:v>
56
STATEMENT OF 
FINANCIAL POSITION 
As at 30 June 2024
  2024 2023
 Note Rupees Rupees
   Restated
EQUITY AND LIABILITIES
Authorized share capital 4  3,000,000,000   3,000,000,00 | Components: Dividend payable; Unclaimed dividend</x:v>
      </x:c>
    </x:row>
    <x:row r="178" ht="82" customHeight="1">
      <x:c r="A178" s="168" t="str">
        <x:v>KOHC|div_liab|2024</x:v>
      </x:c>
      <x:c r="B178" s="168" t="str">
        <x:v>KOHC</x:v>
      </x:c>
      <x:c r="C178" s="168" t="str">
        <x:v>FY2024</x:v>
      </x:c>
      <x:c r="D178" s="168" t="str">
        <x:v>Unclaimed / unpaid dividends</x:v>
      </x:c>
      <x:c r="E178" s="169" t="n">
        <x:v>45338931</x:v>
      </x:c>
      <x:c r="F178" s="169" t="n">
        <x:v>45338931</x:v>
      </x:c>
      <x:c r="G178" s="169" t="str">
        <x:v>Rupees</x:v>
      </x:c>
      <x:c r="H178" s="169" t="n">
        <x:f>F178/1000000</x:f>
        <x:v>45.338931</x:v>
      </x:c>
      <x:c r="I178" s="169" t="n">
        <x:f>KOHC!G58</x:f>
        <x:v>45.338931</x:v>
      </x:c>
      <x:c r="J178" s="169" t="n">
        <x:f>H178-I178</x:f>
        <x:v>0</x:v>
      </x:c>
      <x:c r="K178" s="168" t="str">
        <x:v>Kohat_Cement_Annual_Report_2025.pdf</x:v>
      </x:c>
      <x:c r="L178" s="168" t="n">
        <x:v>68</x:v>
      </x:c>
      <x:c r="M178" s="168" t="str">
        <x:v>Comparative</x:v>
      </x:c>
      <x:c r="N178" s="171" t="str">
        <x:v>Aggregated audited components</x:v>
      </x:c>
      <x:c r="O178" s="171" t="str">
        <x:v>Source-labelled component sum; statement controls and signed-unit conversion independently recomputed.</x:v>
      </x:c>
      <x:c r="P178" s="171" t="str">
        <x:v>
66
STATEMENT OF 
FINANCIAL POSITION 
As at June 30, 2025
  2025 2024
 Note Rupees Rupees
EQUITY AND LIABILITIES 
Authorized share capital 4  3,000,000,000   3,000,000,000 
Issued, | Components: Dividend payable; Unclaimed dividend</x:v>
      </x:c>
    </x:row>
    <x:row r="179" ht="82" customHeight="1">
      <x:c r="A179" s="76" t="str">
        <x:v>KOHC|div_liab|2025</x:v>
      </x:c>
      <x:c r="B179" s="76" t="str">
        <x:v>KOHC</x:v>
      </x:c>
      <x:c r="C179" s="76" t="str">
        <x:v>FY2025</x:v>
      </x:c>
      <x:c r="D179" s="76" t="str">
        <x:v>Unclaimed / unpaid dividends</x:v>
      </x:c>
      <x:c r="E179" s="170" t="n">
        <x:v>42181257</x:v>
      </x:c>
      <x:c r="F179" s="170" t="n">
        <x:v>42181257</x:v>
      </x:c>
      <x:c r="G179" s="170" t="str">
        <x:v>Rupees</x:v>
      </x:c>
      <x:c r="H179" s="170" t="n">
        <x:f>F179/1000000</x:f>
        <x:v>42.181257</x:v>
      </x:c>
      <x:c r="I179" s="170" t="n">
        <x:f>KOHC!H58</x:f>
        <x:v>42.181257</x:v>
      </x:c>
      <x:c r="J179" s="170" t="n">
        <x:f>H179-I179</x:f>
        <x:v>0</x:v>
      </x:c>
      <x:c r="K179" s="76" t="str">
        <x:v>Kohat_Cement_Annual_Report_2025.pdf</x:v>
      </x:c>
      <x:c r="L179" s="76" t="n">
        <x:v>68</x:v>
      </x:c>
      <x:c r="M179" s="76" t="str">
        <x:v>Current year</x:v>
      </x:c>
      <x:c r="N179" s="99" t="str">
        <x:v>Aggregated audited components</x:v>
      </x:c>
      <x:c r="O179" s="99" t="str">
        <x:v>Source-labelled component sum; statement controls and signed-unit conversion independently recomputed.</x:v>
      </x:c>
      <x:c r="P179" s="99" t="str">
        <x:v>
66
STATEMENT OF 
FINANCIAL POSITION 
As at June 30, 2025
  2025 2024
 Note Rupees Rupees
EQUITY AND LIABILITIES 
Authorized share capital 4  3,000,000,000   3,000,000,000 
Issued, | Components: Dividend payable; Unclaimed dividend</x:v>
      </x:c>
    </x:row>
    <x:row r="180" ht="82" customHeight="1">
      <x:c r="A180" s="168" t="str">
        <x:v>KOHC|tax_liab|2020</x:v>
      </x:c>
      <x:c r="B180" s="168" t="str">
        <x:v>KOHC</x:v>
      </x:c>
      <x:c r="C180" s="168" t="str">
        <x:v>FY2020</x:v>
      </x:c>
      <x:c r="D180" s="168" t="str">
        <x:v>Taxation payable (net)</x:v>
      </x:c>
      <x:c r="E180" s="169" t="n">
        <x:v>52873661</x:v>
      </x:c>
      <x:c r="F180" s="169" t="n">
        <x:v>52873661</x:v>
      </x:c>
      <x:c r="G180" s="169" t="str">
        <x:v>Rupees</x:v>
      </x:c>
      <x:c r="H180" s="169" t="n">
        <x:f>F180/1000000</x:f>
        <x:v>52.873661</x:v>
      </x:c>
      <x:c r="I180" s="169" t="n">
        <x:f>KOHC!C59</x:f>
        <x:v>52.873661</x:v>
      </x:c>
      <x:c r="J180" s="169" t="n">
        <x:f>H180-I180</x:f>
        <x:v>0</x:v>
      </x:c>
      <x:c r="K180" s="168" t="str">
        <x:v>KOHC_AR_2021.pdf</x:v>
      </x:c>
      <x:c r="L180" s="168" t="n">
        <x:v>44</x:v>
      </x:c>
      <x:c r="M180" s="168" t="str">
        <x:v>Comparative</x:v>
      </x:c>
      <x:c r="N180" s="171" t="str">
        <x:v>Printed amount independently located</x:v>
      </x:c>
      <x:c r="O180" s="171" t="str">
        <x:v>Exact source amount found; audited year/current-comparative column recorded. Accounting subtotal tests performed separately.</x:v>
      </x:c>
      <x:c r="P180" s="171" t="str">
        <x:v>nd payable 11  37,638,105   38,597,374 
Short term borrowings - secured 12  498,000,000   1,301,609,100 
Provision for taxation - net   635,934,543   52,873,661 
Mark-up accrued on borrowings 13  122,613,973   208,766,756 
     7,572,243,940   6,279,548,271 
Contingencies and commitments  14 
     36,086,921,437   31,756,667,306
The ann</x:v>
      </x:c>
    </x:row>
    <x:row r="181" ht="82" customHeight="1">
      <x:c r="A181" s="76" t="str">
        <x:v>KOHC|tax_liab|2021</x:v>
      </x:c>
      <x:c r="B181" s="76" t="str">
        <x:v>KOHC</x:v>
      </x:c>
      <x:c r="C181" s="76" t="str">
        <x:v>FY2021</x:v>
      </x:c>
      <x:c r="D181" s="76" t="str">
        <x:v>Taxation payable (net)</x:v>
      </x:c>
      <x:c r="E181" s="170" t="n">
        <x:v>635934543</x:v>
      </x:c>
      <x:c r="F181" s="170" t="n">
        <x:v>635934543</x:v>
      </x:c>
      <x:c r="G181" s="170" t="str">
        <x:v>Rupees</x:v>
      </x:c>
      <x:c r="H181" s="170" t="n">
        <x:f>F181/1000000</x:f>
        <x:v>635.934543</x:v>
      </x:c>
      <x:c r="I181" s="170" t="n">
        <x:f>KOHC!D59</x:f>
        <x:v>635.934543</x:v>
      </x:c>
      <x:c r="J181" s="170" t="n">
        <x:f>H181-I181</x:f>
        <x:v>0</x:v>
      </x:c>
      <x:c r="K181" s="76" t="str">
        <x:v>Kohat_Cement_AR_2022.pdf</x:v>
      </x:c>
      <x:c r="L181" s="76" t="n">
        <x:v>52</x:v>
      </x:c>
      <x:c r="M181" s="76" t="str">
        <x:v>Comparative</x:v>
      </x:c>
      <x:c r="N181" s="99" t="str">
        <x:v>Printed amount independently located</x:v>
      </x:c>
      <x:c r="O181" s="99" t="str">
        <x:v>Exact source amount found; audited year/current-comparative column recorded. Accounting subtotal tests performed separately.</x:v>
      </x:c>
      <x:c r="P181" s="99" t="str">
        <x:v>7 
Dividend payable 11  37,112,692   37,638,105 
Short term borrowings - secured 12 –     498,000,000 
Provision for taxation - net   2,438,052,665   635,934,543 
Mark-up accrued on borrowings 13  142,171,993   122,613,973 
     9,487,990,679   7,572,243,940 
Contingencies and commitments  14 
     43,350,667,844   36,086,921,437 
T</x:v>
      </x:c>
    </x:row>
    <x:row r="182" ht="82" customHeight="1">
      <x:c r="A182" s="168" t="str">
        <x:v>KOHC|tax_liab|2022</x:v>
      </x:c>
      <x:c r="B182" s="168" t="str">
        <x:v>KOHC</x:v>
      </x:c>
      <x:c r="C182" s="168" t="str">
        <x:v>FY2022</x:v>
      </x:c>
      <x:c r="D182" s="168" t="str">
        <x:v>Taxation payable (net)</x:v>
      </x:c>
      <x:c r="E182" s="169" t="n">
        <x:v>2438052665</x:v>
      </x:c>
      <x:c r="F182" s="169" t="n">
        <x:v>2438052665</x:v>
      </x:c>
      <x:c r="G182" s="169" t="str">
        <x:v>Rupees</x:v>
      </x:c>
      <x:c r="H182" s="169" t="n">
        <x:f>F182/1000000</x:f>
        <x:v>2438.052665</x:v>
      </x:c>
      <x:c r="I182" s="169" t="n">
        <x:f>KOHC!E59</x:f>
        <x:v>2438.052665</x:v>
      </x:c>
      <x:c r="J182" s="169" t="n">
        <x:f>H182-I182</x:f>
        <x:v>0</x:v>
      </x:c>
      <x:c r="K182" s="168" t="str">
        <x:v>Financial_Statements-30-06-2023.pdf</x:v>
      </x:c>
      <x:c r="L182" s="168" t="n">
        <x:v>52</x:v>
      </x:c>
      <x:c r="M182" s="168" t="str">
        <x:v>Comparative</x:v>
      </x:c>
      <x:c r="N182" s="171" t="str">
        <x:v>Printed amount independently located</x:v>
      </x:c>
      <x:c r="O182" s="171" t="str">
        <x:v>Exact source amount found; audited year/current-comparative column recorded. Accounting subtotal tests performed separately.</x:v>
      </x:c>
      <x:c r="P182" s="171" t="str">
        <x:v>264,984,408 
Unclaimed dividend   8,535,358   8,535,357 
Dividend payable 11  36,939,862   37,112,692 
Provision for taxation - net   3,215,684,878   2,438,052,665 
Mark-up accrued on borrowings 13  192,674,790   142,171,993 
     9,912,471,411   9,487,990,679 
Contingencies and commitments  14
     49,530,075,545   43,350,667,844</x:v>
      </x:c>
    </x:row>
    <x:row r="183" ht="82" customHeight="1">
      <x:c r="A183" s="76" t="str">
        <x:v>KOHC|tax_liab|2023</x:v>
      </x:c>
      <x:c r="B183" s="76" t="str">
        <x:v>KOHC</x:v>
      </x:c>
      <x:c r="C183" s="76" t="str">
        <x:v>FY2023</x:v>
      </x:c>
      <x:c r="D183" s="76" t="str">
        <x:v>Taxation payable (net)</x:v>
      </x:c>
      <x:c r="E183" s="170" t="n">
        <x:v>3079754230</x:v>
      </x:c>
      <x:c r="F183" s="170" t="n">
        <x:v>3079754230</x:v>
      </x:c>
      <x:c r="G183" s="170" t="str">
        <x:v>Rupees</x:v>
      </x:c>
      <x:c r="H183" s="170" t="n">
        <x:f>F183/1000000</x:f>
        <x:v>3079.75423</x:v>
      </x:c>
      <x:c r="I183" s="170" t="n">
        <x:f>KOHC!F59</x:f>
        <x:v>3079.75423</x:v>
      </x:c>
      <x:c r="J183" s="170" t="n">
        <x:f>H183-I183</x:f>
        <x:v>0</x:v>
      </x:c>
      <x:c r="K183" s="76" t="str">
        <x:v>Kohat_Cement_Annual_Report-2024.pdf</x:v>
      </x:c>
      <x:c r="L183" s="76" t="n">
        <x:v>58</x:v>
      </x:c>
      <x:c r="M183" s="76" t="str">
        <x:v>Comparative</x:v>
      </x:c>
      <x:c r="N183" s="99" t="str">
        <x:v>Printed amount independently located</x:v>
      </x:c>
      <x:c r="O183" s="99" t="str">
        <x:v>Exact source amount found; audited year/current-comparative column recorded. Accounting subtotal tests performed separately.</x:v>
      </x:c>
      <x:c r="P183" s="99" t="str">
        <x:v>253,135,945 
Unclaimed dividend   8,503,909   8,535,358 
Dividend payable 10  36,835,022   36,939,862 
Provision for taxation – net  3,544,368,477  3,079,754,230 
Mark–up accrued on borrowings 12  135,001,023   192,674,790 
    11,095,636,231  9,912,471,411 
Contingencies and commitments  13 
    58,843,295,197   49,530,075,545 
T</x:v>
      </x:c>
    </x:row>
    <x:row r="184" ht="82" customHeight="1">
      <x:c r="A184" s="168" t="str">
        <x:v>KOHC|tax_liab|2024</x:v>
      </x:c>
      <x:c r="B184" s="168" t="str">
        <x:v>KOHC</x:v>
      </x:c>
      <x:c r="C184" s="168" t="str">
        <x:v>FY2024</x:v>
      </x:c>
      <x:c r="D184" s="168" t="str">
        <x:v>Taxation payable (net)</x:v>
      </x:c>
      <x:c r="E184" s="169" t="n">
        <x:v>3544368477</x:v>
      </x:c>
      <x:c r="F184" s="169" t="n">
        <x:v>3544368477</x:v>
      </x:c>
      <x:c r="G184" s="169" t="str">
        <x:v>Rupees</x:v>
      </x:c>
      <x:c r="H184" s="169" t="n">
        <x:f>F184/1000000</x:f>
        <x:v>3544.368477</x:v>
      </x:c>
      <x:c r="I184" s="169" t="n">
        <x:f>KOHC!G59</x:f>
        <x:v>3544.368477</x:v>
      </x:c>
      <x:c r="J184" s="169" t="n">
        <x:f>H184-I184</x:f>
        <x:v>0</x:v>
      </x:c>
      <x:c r="K184" s="168" t="str">
        <x:v>Kohat_Cement_Annual_Report_2025.pdf</x:v>
      </x:c>
      <x:c r="L184" s="168" t="n">
        <x:v>68</x:v>
      </x:c>
      <x:c r="M184" s="168" t="str">
        <x:v>Comparative</x:v>
      </x:c>
      <x:c r="N184" s="171" t="str">
        <x:v>Printed amount independently located</x:v>
      </x:c>
      <x:c r="O184" s="171" t="str">
        <x:v>Exact source amount found; audited year/current-comparative column recorded. Accounting subtotal tests performed separately.</x:v>
      </x:c>
      <x:c r="P184" s="171" t="str">
        <x:v>113,418,606 
Unclaimed dividend   8,503,909   8,503,909 
Dividend payable 10  33,677,348   36,835,022 
Provision for taxation - net   2,924,142,407   3,544,368,477 
Short term borrowings - secured 11  3,704,884   61,253 
     11,661,701,111   11,095,636,231
Contingencies and commitments  12
     66,794,311,768   58,843,295,197 
The</x:v>
      </x:c>
    </x:row>
    <x:row r="185" ht="82" customHeight="1">
      <x:c r="A185" s="76" t="str">
        <x:v>KOHC|tax_liab|2025</x:v>
      </x:c>
      <x:c r="B185" s="76" t="str">
        <x:v>KOHC</x:v>
      </x:c>
      <x:c r="C185" s="76" t="str">
        <x:v>FY2025</x:v>
      </x:c>
      <x:c r="D185" s="76" t="str">
        <x:v>Taxation payable (net)</x:v>
      </x:c>
      <x:c r="E185" s="170" t="n">
        <x:v>2924142407</x:v>
      </x:c>
      <x:c r="F185" s="170" t="n">
        <x:v>2924142407</x:v>
      </x:c>
      <x:c r="G185" s="170" t="str">
        <x:v>Rupees</x:v>
      </x:c>
      <x:c r="H185" s="170" t="n">
        <x:f>F185/1000000</x:f>
        <x:v>2924.142407</x:v>
      </x:c>
      <x:c r="I185" s="170" t="n">
        <x:f>KOHC!H59</x:f>
        <x:v>2924.142407</x:v>
      </x:c>
      <x:c r="J185" s="170" t="n">
        <x:f>H185-I185</x:f>
        <x:v>0</x:v>
      </x:c>
      <x:c r="K185" s="76" t="str">
        <x:v>Kohat_Cement_Annual_Report_2025.pdf</x:v>
      </x:c>
      <x:c r="L185" s="76" t="n">
        <x:v>68</x:v>
      </x:c>
      <x:c r="M185" s="76" t="str">
        <x:v>Current year</x:v>
      </x:c>
      <x:c r="N185" s="99" t="str">
        <x:v>Printed amount independently located</x:v>
      </x:c>
      <x:c r="O185" s="99" t="str">
        <x:v>Exact source amount found; audited year/current-comparative column recorded. Accounting subtotal tests performed separately.</x:v>
      </x:c>
      <x:c r="P185" s="99" t="str">
        <x:v>144,300,907   113,418,606 
Unclaimed dividend   8,503,909   8,503,909 
Dividend payable 10  33,677,348   36,835,022 
Provision for taxation - net   2,924,142,407   3,544,368,477 
Short term borrowings - secured 11  3,704,884   61,253 
     11,661,701,111   11,095,636,231
Contingencies and commitments  12
     66,794,311,768   58,843,29</x:v>
      </x:c>
    </x:row>
    <x:row r="186" ht="82" customHeight="1">
      <x:c r="A186" s="168" t="str">
        <x:v>KOHC|cl_other|2020</x:v>
      </x:c>
      <x:c r="B186" s="168" t="str">
        <x:v>KOHC</x:v>
      </x:c>
      <x:c r="C186" s="168" t="str">
        <x:v>FY2020</x:v>
      </x:c>
      <x:c r="D186" s="168" t="str">
        <x:v>Other current liabilities</x:v>
      </x:c>
      <x:c r="E186" s="169" t="n">
        <x:v>0</x:v>
      </x:c>
      <x:c r="F186" s="169" t="n">
        <x:v>0</x:v>
      </x:c>
      <x:c r="G186" s="169" t="str">
        <x:v>Rupees</x:v>
      </x:c>
      <x:c r="H186" s="169" t="n">
        <x:f>F186/1000000</x:f>
        <x:v>0</x:v>
      </x:c>
      <x:c r="I186" s="169" t="n">
        <x:f>KOHC!C60</x:f>
        <x:v>0</x:v>
      </x:c>
      <x:c r="J186" s="169" t="n">
        <x:f>H186-I186</x:f>
        <x:v>0</x:v>
      </x:c>
      <x:c r="K186" s="168" t="str">
        <x:v>KOHC_AR_2021.pdf</x:v>
      </x:c>
      <x:c r="L186" s="168" t="n">
        <x:v>44</x:v>
      </x:c>
      <x:c r="M186" s="168" t="str">
        <x:v>Comparative</x:v>
      </x:c>
      <x:c r="N186" s="171" t="str">
        <x:v>Zero / no separate line in audited presentation</x:v>
      </x:c>
      <x:c r="O186" s="171" t="str">
        <x:v>Zero classification checked within the audited statement/note and reconstructed statement totals; absence of a separate line does not imply a missing replacement estimate.</x:v>
      </x:c>
      <x:c r="P186" s="171" t="str">
        <x:v>
STATEMENT OF 
FINANCIAL POSITION 
As at 30 June 2021
   (Restated)
  2021 2020
 Note Rupees Rupees
EQUITY AND LIABILITIES
Authorized share capital 4  | Other current liabilities</x:v>
      </x:c>
    </x:row>
    <x:row r="187" ht="82" customHeight="1">
      <x:c r="A187" s="76" t="str">
        <x:v>KOHC|cl_other|2021</x:v>
      </x:c>
      <x:c r="B187" s="76" t="str">
        <x:v>KOHC</x:v>
      </x:c>
      <x:c r="C187" s="76" t="str">
        <x:v>FY2021</x:v>
      </x:c>
      <x:c r="D187" s="76" t="str">
        <x:v>Other current liabilities</x:v>
      </x:c>
      <x:c r="E187" s="170" t="n">
        <x:v>0</x:v>
      </x:c>
      <x:c r="F187" s="170" t="n">
        <x:v>0</x:v>
      </x:c>
      <x:c r="G187" s="170" t="str">
        <x:v>Rupees</x:v>
      </x:c>
      <x:c r="H187" s="170" t="n">
        <x:f>F187/1000000</x:f>
        <x:v>0</x:v>
      </x:c>
      <x:c r="I187" s="170" t="n">
        <x:f>KOHC!D60</x:f>
        <x:v>0</x:v>
      </x:c>
      <x:c r="J187" s="170" t="n">
        <x:f>H187-I187</x:f>
        <x:v>0</x:v>
      </x:c>
      <x:c r="K187" s="76" t="str">
        <x:v>Kohat_Cement_AR_2022.pdf</x:v>
      </x:c>
      <x:c r="L187" s="76" t="n">
        <x:v>52</x:v>
      </x:c>
      <x:c r="M187" s="76" t="str">
        <x:v>Comparative</x:v>
      </x:c>
      <x:c r="N187" s="99" t="str">
        <x:v>Zero / no separate line in audited presentation</x:v>
      </x:c>
      <x:c r="O187" s="99" t="str">
        <x:v>Zero classification checked within the audited statement/note and reconstructed statement totals; absence of a separate line does not imply a missing replacement estimate.</x:v>
      </x:c>
      <x:c r="P187" s="99" t="str">
        <x:v>
STATEMENT OF 
FINANCIAL POSITION 
As at 30 June 2022
  2022 2021
 Note Rupees Rupees
EQUITY AND LIABILITIES 
Authorized share capital 4  3,000,000,00 | Other current liabilities</x:v>
      </x:c>
    </x:row>
    <x:row r="188" ht="82" customHeight="1">
      <x:c r="A188" s="168" t="str">
        <x:v>KOHC|cl_other|2022</x:v>
      </x:c>
      <x:c r="B188" s="168" t="str">
        <x:v>KOHC</x:v>
      </x:c>
      <x:c r="C188" s="168" t="str">
        <x:v>FY2022</x:v>
      </x:c>
      <x:c r="D188" s="168" t="str">
        <x:v>Other current liabilities</x:v>
      </x:c>
      <x:c r="E188" s="169" t="n">
        <x:v>0</x:v>
      </x:c>
      <x:c r="F188" s="169" t="n">
        <x:v>0</x:v>
      </x:c>
      <x:c r="G188" s="169" t="str">
        <x:v>Rupees</x:v>
      </x:c>
      <x:c r="H188" s="169" t="n">
        <x:f>F188/1000000</x:f>
        <x:v>0</x:v>
      </x:c>
      <x:c r="I188" s="169" t="n">
        <x:f>KOHC!E60</x:f>
        <x:v>0</x:v>
      </x:c>
      <x:c r="J188" s="169" t="n">
        <x:f>H188-I188</x:f>
        <x:v>0</x:v>
      </x:c>
      <x:c r="K188" s="168" t="str">
        <x:v>Financial_Statements-30-06-2023.pdf</x:v>
      </x:c>
      <x:c r="L188" s="168" t="n">
        <x:v>52</x:v>
      </x:c>
      <x:c r="M188" s="168" t="str">
        <x:v>Comparative</x:v>
      </x:c>
      <x:c r="N188" s="171" t="str">
        <x:v>Zero / no separate line in audited presentation</x:v>
      </x:c>
      <x:c r="O188" s="171" t="str">
        <x:v>Zero classification checked within the audited statement/note and reconstructed statement totals; absence of a separate line does not imply a missing replacement estimate.</x:v>
      </x:c>
      <x:c r="P188" s="171" t="str">
        <x:v>
50
STATEMENT OF 
FINANCIAL POSITION 
As at 30 June 2023
  2023 2022
 Note Rupees Rupees
EQUITY AND LIABILITIES 
Authorized share capital 4  3,000,000 | Other current liabilities</x:v>
      </x:c>
    </x:row>
    <x:row r="189" ht="82" customHeight="1">
      <x:c r="A189" s="76" t="str">
        <x:v>KOHC|cl_other|2023</x:v>
      </x:c>
      <x:c r="B189" s="76" t="str">
        <x:v>KOHC</x:v>
      </x:c>
      <x:c r="C189" s="76" t="str">
        <x:v>FY2023</x:v>
      </x:c>
      <x:c r="D189" s="76" t="str">
        <x:v>Other current liabilities</x:v>
      </x:c>
      <x:c r="E189" s="170" t="n">
        <x:v>0</x:v>
      </x:c>
      <x:c r="F189" s="170" t="n">
        <x:v>0</x:v>
      </x:c>
      <x:c r="G189" s="170" t="str">
        <x:v>Rupees</x:v>
      </x:c>
      <x:c r="H189" s="170" t="n">
        <x:f>F189/1000000</x:f>
        <x:v>0</x:v>
      </x:c>
      <x:c r="I189" s="170" t="n">
        <x:f>KOHC!F60</x:f>
        <x:v>0</x:v>
      </x:c>
      <x:c r="J189" s="170" t="n">
        <x:f>H189-I189</x:f>
        <x:v>0</x:v>
      </x:c>
      <x:c r="K189" s="76" t="str">
        <x:v>Kohat_Cement_Annual_Report-2024.pdf</x:v>
      </x:c>
      <x:c r="L189" s="76" t="n">
        <x:v>58</x:v>
      </x:c>
      <x:c r="M189" s="76" t="str">
        <x:v>Comparative</x:v>
      </x:c>
      <x:c r="N189" s="99" t="str">
        <x:v>Zero / no separate line in audited presentation</x:v>
      </x:c>
      <x:c r="O189" s="99" t="str">
        <x:v>Zero classification checked within the audited statement/note and reconstructed statement totals; absence of a separate line does not imply a missing replacement estimate.</x:v>
      </x:c>
      <x:c r="P189" s="99" t="str">
        <x:v>
56
STATEMENT OF 
FINANCIAL POSITION 
As at 30 June 2024
  2024 2023
 Note Rupees Rupees
   Restated
EQUITY AND LIABILITIES
Authorized share capital 4 | Other current liabilities</x:v>
      </x:c>
    </x:row>
    <x:row r="190" ht="82" customHeight="1">
      <x:c r="A190" s="168" t="str">
        <x:v>KOHC|cl_other|2024</x:v>
      </x:c>
      <x:c r="B190" s="168" t="str">
        <x:v>KOHC</x:v>
      </x:c>
      <x:c r="C190" s="168" t="str">
        <x:v>FY2024</x:v>
      </x:c>
      <x:c r="D190" s="168" t="str">
        <x:v>Other current liabilities</x:v>
      </x:c>
      <x:c r="E190" s="169" t="n">
        <x:v>0</x:v>
      </x:c>
      <x:c r="F190" s="169" t="n">
        <x:v>0</x:v>
      </x:c>
      <x:c r="G190" s="169" t="str">
        <x:v>Rupees</x:v>
      </x:c>
      <x:c r="H190" s="169" t="n">
        <x:f>F190/1000000</x:f>
        <x:v>0</x:v>
      </x:c>
      <x:c r="I190" s="169" t="n">
        <x:f>KOHC!G60</x:f>
        <x:v>0</x:v>
      </x:c>
      <x:c r="J190" s="169" t="n">
        <x:f>H190-I190</x:f>
        <x:v>0</x:v>
      </x:c>
      <x:c r="K190" s="168" t="str">
        <x:v>Kohat_Cement_Annual_Report_2025.pdf</x:v>
      </x:c>
      <x:c r="L190" s="168" t="n">
        <x:v>68</x:v>
      </x:c>
      <x:c r="M190" s="168" t="str">
        <x:v>Comparative</x:v>
      </x:c>
      <x:c r="N190" s="171" t="str">
        <x:v>Zero / no separate line in audited presentation</x:v>
      </x:c>
      <x:c r="O190" s="171" t="str">
        <x:v>Zero classification checked within the audited statement/note and reconstructed statement totals; absence of a separate line does not imply a missing replacement estimate.</x:v>
      </x:c>
      <x:c r="P190" s="171" t="str">
        <x:v>
66
STATEMENT OF 
FINANCIAL POSITION 
As at June 30, 2025
  2025 2024
 Note Rupees Rupees
EQUITY AND LIABILITIES 
Authorized share capital 4  3,000,00 | Other current liabilities</x:v>
      </x:c>
    </x:row>
    <x:row r="191" ht="82" customHeight="1">
      <x:c r="A191" s="76" t="str">
        <x:v>KOHC|cl_other|2025</x:v>
      </x:c>
      <x:c r="B191" s="76" t="str">
        <x:v>KOHC</x:v>
      </x:c>
      <x:c r="C191" s="76" t="str">
        <x:v>FY2025</x:v>
      </x:c>
      <x:c r="D191" s="76" t="str">
        <x:v>Other current liabilities</x:v>
      </x:c>
      <x:c r="E191" s="170" t="n">
        <x:v>0</x:v>
      </x:c>
      <x:c r="F191" s="170" t="n">
        <x:v>0</x:v>
      </x:c>
      <x:c r="G191" s="170" t="str">
        <x:v>Rupees</x:v>
      </x:c>
      <x:c r="H191" s="170" t="n">
        <x:f>F191/1000000</x:f>
        <x:v>0</x:v>
      </x:c>
      <x:c r="I191" s="170" t="n">
        <x:f>KOHC!H60</x:f>
        <x:v>0</x:v>
      </x:c>
      <x:c r="J191" s="170" t="n">
        <x:f>H191-I191</x:f>
        <x:v>0</x:v>
      </x:c>
      <x:c r="K191" s="76" t="str">
        <x:v>Kohat_Cement_Annual_Report_2025.pdf</x:v>
      </x:c>
      <x:c r="L191" s="76" t="n">
        <x:v>68</x:v>
      </x:c>
      <x:c r="M191" s="76" t="str">
        <x:v>Current year</x:v>
      </x:c>
      <x:c r="N191" s="99" t="str">
        <x:v>Zero / no separate line in audited presentation</x:v>
      </x:c>
      <x:c r="O191" s="99" t="str">
        <x:v>Zero classification checked within the audited statement/note and reconstructed statement totals; absence of a separate line does not imply a missing replacement estimate.</x:v>
      </x:c>
      <x:c r="P191" s="99" t="str">
        <x:v>
66
STATEMENT OF 
FINANCIAL POSITION 
As at June 30, 2025
  2025 2024
 Note Rupees Rupees
EQUITY AND LIABILITIES 
Authorized share capital 4  3,000,00 | Other current liabilities</x:v>
      </x:c>
    </x:row>
    <x:row r="192" ht="82" customHeight="1">
      <x:c r="A192" s="168" t="str">
        <x:v>KOHC|pr_TA|2020</x:v>
      </x:c>
      <x:c r="B192" s="168" t="str">
        <x:v>KOHC</x:v>
      </x:c>
      <x:c r="C192" s="168" t="str">
        <x:v>FY2020</x:v>
      </x:c>
      <x:c r="D192" s="168" t="str">
        <x:v>Printed total assets</x:v>
      </x:c>
      <x:c r="E192" s="169" t="n">
        <x:v>31756667306</x:v>
      </x:c>
      <x:c r="F192" s="169" t="n">
        <x:v>31756667306</x:v>
      </x:c>
      <x:c r="G192" s="169" t="str">
        <x:v>Rupees</x:v>
      </x:c>
      <x:c r="H192" s="169" t="n">
        <x:f>F192/1000000</x:f>
        <x:v>31756.667306</x:v>
      </x:c>
      <x:c r="I192" s="169" t="n">
        <x:f>KOHC!C75</x:f>
        <x:v>31756.667306</x:v>
      </x:c>
      <x:c r="J192" s="169" t="n">
        <x:f>H192-I192</x:f>
        <x:v>0</x:v>
      </x:c>
      <x:c r="K192" s="168" t="str">
        <x:v>KOHC_AR_2021.pdf</x:v>
      </x:c>
      <x:c r="L192" s="168" t="n">
        <x:v>45</x:v>
      </x:c>
      <x:c r="M192" s="168" t="str">
        <x:v>Comparative</x:v>
      </x:c>
      <x:c r="N192" s="171" t="str">
        <x:v>Printed amount independently located</x:v>
      </x:c>
      <x:c r="O192" s="171" t="str">
        <x:v>Exact source amount found; audited year/current-comparative column recorded. Accounting subtotal tests performed separately.</x:v>
      </x:c>
      <x:c r="P192" s="171" t="str">
        <x:v>50   425,391,226 
Cash and bank balances 24  1,197,729,351   891,606,087 
     9,848,798,714   5,237,623,778 
     36,086,921,437   31,756,667,306 
Chief Financial Officer     Director
Building a Foundation for
and
INNOV ATION
GROWTH Annual Report 2021
41</x:v>
      </x:c>
    </x:row>
    <x:row r="193" ht="82" customHeight="1">
      <x:c r="A193" s="76" t="str">
        <x:v>KOHC|pr_TA|2021</x:v>
      </x:c>
      <x:c r="B193" s="76" t="str">
        <x:v>KOHC</x:v>
      </x:c>
      <x:c r="C193" s="76" t="str">
        <x:v>FY2021</x:v>
      </x:c>
      <x:c r="D193" s="76" t="str">
        <x:v>Printed total assets</x:v>
      </x:c>
      <x:c r="E193" s="170" t="n">
        <x:v>36086921437</x:v>
      </x:c>
      <x:c r="F193" s="170" t="n">
        <x:v>36086921437</x:v>
      </x:c>
      <x:c r="G193" s="170" t="str">
        <x:v>Rupees</x:v>
      </x:c>
      <x:c r="H193" s="170" t="n">
        <x:f>F193/1000000</x:f>
        <x:v>36086.921437</x:v>
      </x:c>
      <x:c r="I193" s="170" t="n">
        <x:f>KOHC!D75</x:f>
        <x:v>36086.921437</x:v>
      </x:c>
      <x:c r="J193" s="170" t="n">
        <x:f>H193-I193</x:f>
        <x:v>0</x:v>
      </x:c>
      <x:c r="K193" s="76" t="str">
        <x:v>Kohat_Cement_AR_2022.pdf</x:v>
      </x:c>
      <x:c r="L193" s="76" t="n">
        <x:v>53</x:v>
      </x:c>
      <x:c r="M193" s="76" t="str">
        <x:v>Comparative</x:v>
      </x:c>
      <x:c r="N193" s="99" t="str">
        <x:v>Printed amount independently located</x:v>
      </x:c>
      <x:c r="O193" s="99" t="str">
        <x:v>Exact source amount found; audited year/current-comparative column recorded. Accounting subtotal tests performed separately.</x:v>
      </x:c>
      <x:c r="P193" s="99" t="str">
        <x:v>s 25  480,765,632   1,197,729,351 
     17,775,831,447   9,848,798,714 
     43,350,667,844   36,086,921,437 
Chief Financial Officer     Director
51
Annual Report 2022
OUREXPANDING</x:v>
      </x:c>
    </x:row>
    <x:row r="194" ht="82" customHeight="1">
      <x:c r="A194" s="168" t="str">
        <x:v>KOHC|pr_TA|2022</x:v>
      </x:c>
      <x:c r="B194" s="168" t="str">
        <x:v>KOHC</x:v>
      </x:c>
      <x:c r="C194" s="168" t="str">
        <x:v>FY2022</x:v>
      </x:c>
      <x:c r="D194" s="168" t="str">
        <x:v>Printed total assets</x:v>
      </x:c>
      <x:c r="E194" s="169" t="n">
        <x:v>43350667844</x:v>
      </x:c>
      <x:c r="F194" s="169" t="n">
        <x:v>43350667844</x:v>
      </x:c>
      <x:c r="G194" s="169" t="str">
        <x:v>Rupees</x:v>
      </x:c>
      <x:c r="H194" s="169" t="n">
        <x:f>F194/1000000</x:f>
        <x:v>43350.667844</x:v>
      </x:c>
      <x:c r="I194" s="169" t="n">
        <x:f>KOHC!E75</x:f>
        <x:v>43350.667844</x:v>
      </x:c>
      <x:c r="J194" s="169" t="n">
        <x:f>H194-I194</x:f>
        <x:v>0</x:v>
      </x:c>
      <x:c r="K194" s="168" t="str">
        <x:v>Financial_Statements-30-06-2023.pdf</x:v>
      </x:c>
      <x:c r="L194" s="168" t="n">
        <x:v>53</x:v>
      </x:c>
      <x:c r="M194" s="168" t="str">
        <x:v>Comparative</x:v>
      </x:c>
      <x:c r="N194" s="171" t="str">
        <x:v>Printed amount independently located</x:v>
      </x:c>
      <x:c r="O194" s="171" t="str">
        <x:v>Exact source amount found; audited year/current-comparative column recorded. Accounting subtotal tests performed separately.</x:v>
      </x:c>
      <x:c r="P194" s="171" t="str">
        <x:v>and bank balances 25  933,537,193   480,765,632 
     22,913,376,649   17,775,831,447
     49,530,075,545   43,350,667,844 
Chief Executive Officer     Director</x:v>
      </x:c>
    </x:row>
    <x:row r="195" ht="82" customHeight="1">
      <x:c r="A195" s="76" t="str">
        <x:v>KOHC|pr_TA|2023</x:v>
      </x:c>
      <x:c r="B195" s="76" t="str">
        <x:v>KOHC</x:v>
      </x:c>
      <x:c r="C195" s="76" t="str">
        <x:v>FY2023</x:v>
      </x:c>
      <x:c r="D195" s="76" t="str">
        <x:v>Printed total assets</x:v>
      </x:c>
      <x:c r="E195" s="170" t="n">
        <x:v>49530075545</x:v>
      </x:c>
      <x:c r="F195" s="170" t="n">
        <x:v>49530075545</x:v>
      </x:c>
      <x:c r="G195" s="170" t="str">
        <x:v>Rupees</x:v>
      </x:c>
      <x:c r="H195" s="170" t="n">
        <x:f>F195/1000000</x:f>
        <x:v>49530.075545</x:v>
      </x:c>
      <x:c r="I195" s="170" t="n">
        <x:f>KOHC!F75</x:f>
        <x:v>49530.075545</x:v>
      </x:c>
      <x:c r="J195" s="170" t="n">
        <x:f>H195-I195</x:f>
        <x:v>0</x:v>
      </x:c>
      <x:c r="K195" s="76" t="str">
        <x:v>Kohat_Cement_Annual_Report-2024.pdf</x:v>
      </x:c>
      <x:c r="L195" s="76" t="n">
        <x:v>59</x:v>
      </x:c>
      <x:c r="M195" s="76" t="str">
        <x:v>Comparative</x:v>
      </x:c>
      <x:c r="N195" s="99" t="str">
        <x:v>Printed amount independently located</x:v>
      </x:c>
      <x:c r="O195" s="99" t="str">
        <x:v>Exact source amount found; audited year/current-comparative column recorded. Accounting subtotal tests performed separately.</x:v>
      </x:c>
      <x:c r="P195" s="99" t="str">
        <x:v>ank balances 24  1,102,649,172   933,537,193 
    32,294,207,845  22,913,376,649 
    58,843,295,197  49,530,075,545 
Chief Executive Officer     Director</x:v>
      </x:c>
    </x:row>
    <x:row r="196" ht="82" customHeight="1">
      <x:c r="A196" s="168" t="str">
        <x:v>KOHC|pr_TA|2024</x:v>
      </x:c>
      <x:c r="B196" s="168" t="str">
        <x:v>KOHC</x:v>
      </x:c>
      <x:c r="C196" s="168" t="str">
        <x:v>FY2024</x:v>
      </x:c>
      <x:c r="D196" s="168" t="str">
        <x:v>Printed total assets</x:v>
      </x:c>
      <x:c r="E196" s="169" t="n">
        <x:v>58843295197</x:v>
      </x:c>
      <x:c r="F196" s="169" t="n">
        <x:v>58843295197</x:v>
      </x:c>
      <x:c r="G196" s="169" t="str">
        <x:v>Rupees</x:v>
      </x:c>
      <x:c r="H196" s="169" t="n">
        <x:f>F196/1000000</x:f>
        <x:v>58843.295197</x:v>
      </x:c>
      <x:c r="I196" s="169" t="n">
        <x:f>KOHC!G75</x:f>
        <x:v>58843.295197</x:v>
      </x:c>
      <x:c r="J196" s="169" t="n">
        <x:f>H196-I196</x:f>
        <x:v>0</x:v>
      </x:c>
      <x:c r="K196" s="168" t="str">
        <x:v>Kohat_Cement_Annual_Report_2025.pdf</x:v>
      </x:c>
      <x:c r="L196" s="168" t="n">
        <x:v>69</x:v>
      </x:c>
      <x:c r="M196" s="168" t="str">
        <x:v>Comparative</x:v>
      </x:c>
      <x:c r="N196" s="171" t="str">
        <x:v>Printed amount independently located</x:v>
      </x:c>
      <x:c r="O196" s="171" t="str">
        <x:v>Exact source amount found; audited year/current-comparative column recorded. Accounting subtotal tests performed separately.</x:v>
      </x:c>
      <x:c r="P196" s="171" t="str">
        <x:v>lances 23  1,450,702,723   1,102,649,172 
     38,614,792,494   32,212,396,773 
     66,794,311,768   58,843,295,197
Chief Executive Officer     Director
Annual Report 2025</x:v>
      </x:c>
    </x:row>
    <x:row r="197" ht="82" customHeight="1">
      <x:c r="A197" s="76" t="str">
        <x:v>KOHC|pr_TA|2025</x:v>
      </x:c>
      <x:c r="B197" s="76" t="str">
        <x:v>KOHC</x:v>
      </x:c>
      <x:c r="C197" s="76" t="str">
        <x:v>FY2025</x:v>
      </x:c>
      <x:c r="D197" s="76" t="str">
        <x:v>Printed total assets</x:v>
      </x:c>
      <x:c r="E197" s="170" t="n">
        <x:v>66794311768</x:v>
      </x:c>
      <x:c r="F197" s="170" t="n">
        <x:v>66794311768</x:v>
      </x:c>
      <x:c r="G197" s="170" t="str">
        <x:v>Rupees</x:v>
      </x:c>
      <x:c r="H197" s="170" t="n">
        <x:f>F197/1000000</x:f>
        <x:v>66794.311768</x:v>
      </x:c>
      <x:c r="I197" s="170" t="n">
        <x:f>KOHC!H75</x:f>
        <x:v>66794.311768</x:v>
      </x:c>
      <x:c r="J197" s="170" t="n">
        <x:f>H197-I197</x:f>
        <x:v>0</x:v>
      </x:c>
      <x:c r="K197" s="76" t="str">
        <x:v>Kohat_Cement_Annual_Report_2025.pdf</x:v>
      </x:c>
      <x:c r="L197" s="76" t="n">
        <x:v>69</x:v>
      </x:c>
      <x:c r="M197" s="76" t="str">
        <x:v>Current year</x:v>
      </x:c>
      <x:c r="N197" s="99" t="str">
        <x:v>Printed amount independently located</x:v>
      </x:c>
      <x:c r="O197" s="99" t="str">
        <x:v>Exact source amount found; audited year/current-comparative column recorded. Accounting subtotal tests performed separately.</x:v>
      </x:c>
      <x:c r="P197" s="99" t="str">
        <x:v>Cash and bank balances 23  1,450,702,723   1,102,649,172 
     38,614,792,494   32,212,396,773 
     66,794,311,768   58,843,295,197
Chief Executive Officer     Director
Annual Report 2025</x:v>
      </x:c>
    </x:row>
    <x:row r="198" ht="82" customHeight="1">
      <x:c r="A198" s="168" t="str">
        <x:v>KOHC|pr_EQ|2020</x:v>
      </x:c>
      <x:c r="B198" s="168" t="str">
        <x:v>KOHC</x:v>
      </x:c>
      <x:c r="C198" s="168" t="str">
        <x:v>FY2020</x:v>
      </x:c>
      <x:c r="D198" s="168" t="str">
        <x:v>Printed total equity</x:v>
      </x:c>
      <x:c r="E198" s="169" t="n">
        <x:v>18726673324</x:v>
      </x:c>
      <x:c r="F198" s="169" t="n">
        <x:v>18726673324</x:v>
      </x:c>
      <x:c r="G198" s="169" t="str">
        <x:v>Rupees</x:v>
      </x:c>
      <x:c r="H198" s="169" t="n">
        <x:f>F198/1000000</x:f>
        <x:v>18726.673324</x:v>
      </x:c>
      <x:c r="I198" s="169" t="n">
        <x:f>KOHC!C76</x:f>
        <x:v>18726.673324</x:v>
      </x:c>
      <x:c r="J198" s="169" t="n">
        <x:f>H198-I198</x:f>
        <x:v>0</x:v>
      </x:c>
      <x:c r="K198" s="168" t="str">
        <x:v>KOHC_AR_2021.pdf</x:v>
      </x:c>
      <x:c r="L198" s="168" t="n">
        <x:v>44</x:v>
      </x:c>
      <x:c r="M198" s="168" t="str">
        <x:v>Comparative</x:v>
      </x:c>
      <x:c r="N198" s="171" t="str">
        <x:v>Printed amount independently located</x:v>
      </x:c>
      <x:c r="O198" s="171" t="str">
        <x:v>Exact source amount found; audited year/current-comparative column recorded. Accounting subtotal tests performed separately.</x:v>
      </x:c>
      <x:c r="P198" s="171" t="str">
        <x:v>4  2,008,612,970   2,008,612,970 
Reserves 5  119,105,065   119,746,265 
Accumulated profits   20,095,821,336   16,598,314,089 
     22,223,539,371   18,726,673,324 
Non-current liabilities   
Long term financing - secured 6  4,405,765,306   5,439,226,142 
Deferred grant 6.8  1,328,937  –  
Long term deposits  7  2,036,100   2,036,100 
Deferr</x:v>
      </x:c>
    </x:row>
    <x:row r="199" ht="82" customHeight="1">
      <x:c r="A199" s="76" t="str">
        <x:v>KOHC|pr_EQ|2021</x:v>
      </x:c>
      <x:c r="B199" s="76" t="str">
        <x:v>KOHC</x:v>
      </x:c>
      <x:c r="C199" s="76" t="str">
        <x:v>FY2021</x:v>
      </x:c>
      <x:c r="D199" s="76" t="str">
        <x:v>Printed total equity</x:v>
      </x:c>
      <x:c r="E199" s="170" t="n">
        <x:v>22223539371</x:v>
      </x:c>
      <x:c r="F199" s="170" t="n">
        <x:v>22223539371</x:v>
      </x:c>
      <x:c r="G199" s="170" t="str">
        <x:v>Rupees</x:v>
      </x:c>
      <x:c r="H199" s="170" t="n">
        <x:f>F199/1000000</x:f>
        <x:v>22223.539371</x:v>
      </x:c>
      <x:c r="I199" s="170" t="n">
        <x:f>KOHC!D76</x:f>
        <x:v>22223.539371</x:v>
      </x:c>
      <x:c r="J199" s="170" t="n">
        <x:f>H199-I199</x:f>
        <x:v>0</x:v>
      </x:c>
      <x:c r="K199" s="76" t="str">
        <x:v>Kohat_Cement_AR_2022.pdf</x:v>
      </x:c>
      <x:c r="L199" s="76" t="n">
        <x:v>52</x:v>
      </x:c>
      <x:c r="M199" s="76" t="str">
        <x:v>Comparative</x:v>
      </x:c>
      <x:c r="N199" s="99" t="str">
        <x:v>Printed amount independently located</x:v>
      </x:c>
      <x:c r="O199" s="99" t="str">
        <x:v>Exact source amount found; audited year/current-comparative column recorded. Accounting subtotal tests performed separately.</x:v>
      </x:c>
      <x:c r="P199" s="99" t="str">
        <x:v>4  2,008,612,970   2,008,612,970 
Reserves 5  117,505,665   119,105,065 
Accumulated profits   25,120,101,596   20,095,821,336 
     27,246,220,231   22,223,539,371 
Non-current liabilities  
Long term financing - secured 6  3,179,400,118   4,405,765,306 
Deferred grant 6.8 –    1,328,937 
Long term deposits  7  2,036,100   2,036,100 
Deferre</x:v>
      </x:c>
    </x:row>
    <x:row r="200" ht="82" customHeight="1">
      <x:c r="A200" s="168" t="str">
        <x:v>KOHC|pr_EQ|2022</x:v>
      </x:c>
      <x:c r="B200" s="168" t="str">
        <x:v>KOHC</x:v>
      </x:c>
      <x:c r="C200" s="168" t="str">
        <x:v>FY2022</x:v>
      </x:c>
      <x:c r="D200" s="168" t="str">
        <x:v>Printed total equity</x:v>
      </x:c>
      <x:c r="E200" s="169" t="n">
        <x:v>27246220231</x:v>
      </x:c>
      <x:c r="F200" s="169" t="n">
        <x:v>27246220231</x:v>
      </x:c>
      <x:c r="G200" s="169" t="str">
        <x:v>Rupees</x:v>
      </x:c>
      <x:c r="H200" s="169" t="n">
        <x:f>F200/1000000</x:f>
        <x:v>27246.220231</x:v>
      </x:c>
      <x:c r="I200" s="169" t="n">
        <x:f>KOHC!E76</x:f>
        <x:v>27246.220231</x:v>
      </x:c>
      <x:c r="J200" s="169" t="n">
        <x:f>H200-I200</x:f>
        <x:v>0</x:v>
      </x:c>
      <x:c r="K200" s="168" t="str">
        <x:v>Financial_Statements-30-06-2023.pdf</x:v>
      </x:c>
      <x:c r="L200" s="168" t="n">
        <x:v>52</x:v>
      </x:c>
      <x:c r="M200" s="168" t="str">
        <x:v>Comparative</x:v>
      </x:c>
      <x:c r="N200" s="171" t="str">
        <x:v>Printed amount independently located</x:v>
      </x:c>
      <x:c r="O200" s="171" t="str">
        <x:v>Exact source amount found; audited year/current-comparative column recorded. Accounting subtotal tests performed separately.</x:v>
      </x:c>
      <x:c r="P200" s="171" t="str">
        <x:v>4  2,008,612,970   2,008,612,970 
Reserves 5  117,280,665   117,505,665 
Accumulated profits   30,484,151,337   25,120,101,596 
     32,610,044,972   27,246,220,231 
Non-current liabilities  
Long term financing - secured 6  2,149,017,375   3,179,400,118 
Long term deposits  7  3,536,100   2,036,100 
Deferred liabilities 
 - deferred taxation</x:v>
      </x:c>
    </x:row>
    <x:row r="201" ht="82" customHeight="1">
      <x:c r="A201" s="76" t="str">
        <x:v>KOHC|pr_EQ|2023</x:v>
      </x:c>
      <x:c r="B201" s="76" t="str">
        <x:v>KOHC</x:v>
      </x:c>
      <x:c r="C201" s="76" t="str">
        <x:v>FY2023</x:v>
      </x:c>
      <x:c r="D201" s="76" t="str">
        <x:v>Printed total equity</x:v>
      </x:c>
      <x:c r="E201" s="170" t="n">
        <x:v>32610044972</x:v>
      </x:c>
      <x:c r="F201" s="170" t="n">
        <x:v>32610044972</x:v>
      </x:c>
      <x:c r="G201" s="170" t="str">
        <x:v>Rupees</x:v>
      </x:c>
      <x:c r="H201" s="170" t="n">
        <x:f>F201/1000000</x:f>
        <x:v>32610.044972</x:v>
      </x:c>
      <x:c r="I201" s="170" t="n">
        <x:f>KOHC!F76</x:f>
        <x:v>32610.044972</x:v>
      </x:c>
      <x:c r="J201" s="170" t="n">
        <x:f>H201-I201</x:f>
        <x:v>0</x:v>
      </x:c>
      <x:c r="K201" s="76" t="str">
        <x:v>Kohat_Cement_Annual_Report-2024.pdf</x:v>
      </x:c>
      <x:c r="L201" s="76" t="n">
        <x:v>58</x:v>
      </x:c>
      <x:c r="M201" s="76" t="str">
        <x:v>Comparative</x:v>
      </x:c>
      <x:c r="N201" s="99" t="str">
        <x:v>Printed amount independently located</x:v>
      </x:c>
      <x:c r="O201" s="99" t="str">
        <x:v>Exact source amount found; audited year/current-comparative column recorded. Accounting subtotal tests performed separately.</x:v>
      </x:c>
      <x:c r="P201" s="99" t="str">
        <x:v>58,612,970   2,008,612,970 
Reserves 5  117,044,951     117,280,665 
Accumulated profits   39,014,647,370     30,484,151,337 
     41,090,305,291     32,610,044,972 
Non–current liabilities  
Long term financing – secured 6  1,118,642,478   2,149,017,375 
Long term deposits  7  3,536,100   3,536,100 
Deferred liabilities 
 – deferred taxation</x:v>
      </x:c>
    </x:row>
    <x:row r="202" ht="82" customHeight="1">
      <x:c r="A202" s="168" t="str">
        <x:v>KOHC|pr_EQ|2024</x:v>
      </x:c>
      <x:c r="B202" s="168" t="str">
        <x:v>KOHC</x:v>
      </x:c>
      <x:c r="C202" s="168" t="str">
        <x:v>FY2024</x:v>
      </x:c>
      <x:c r="D202" s="168" t="str">
        <x:v>Printed total equity</x:v>
      </x:c>
      <x:c r="E202" s="169" t="n">
        <x:v>41090305291</x:v>
      </x:c>
      <x:c r="F202" s="169" t="n">
        <x:v>41090305291</x:v>
      </x:c>
      <x:c r="G202" s="169" t="str">
        <x:v>Rupees</x:v>
      </x:c>
      <x:c r="H202" s="169" t="n">
        <x:f>F202/1000000</x:f>
        <x:v>41090.305291</x:v>
      </x:c>
      <x:c r="I202" s="169" t="n">
        <x:f>KOHC!G76</x:f>
        <x:v>41090.305291</x:v>
      </x:c>
      <x:c r="J202" s="169" t="n">
        <x:f>H202-I202</x:f>
        <x:v>0</x:v>
      </x:c>
      <x:c r="K202" s="168" t="str">
        <x:v>Kohat_Cement_Annual_Report_2025.pdf</x:v>
      </x:c>
      <x:c r="L202" s="168" t="n">
        <x:v>68</x:v>
      </x:c>
      <x:c r="M202" s="168" t="str">
        <x:v>Comparative</x:v>
      </x:c>
      <x:c r="N202" s="171" t="str">
        <x:v>Printed amount independently located</x:v>
      </x:c>
      <x:c r="O202" s="171" t="str">
        <x:v>Exact source amount found; audited year/current-comparative column recorded. Accounting subtotal tests performed separately.</x:v>
      </x:c>
      <x:c r="P202" s="171" t="str">
        <x:v>4  1,838,612,970   1,958,612,970 
Reserves 5  286,145,601   167,044,951 
Accumulated profits   45,830,436,216   38,964,647,370 
     47,955,194,787   41,090,305,291 
Non-current liabilities 
Long term financing - secured 6  1,448,977,799   1,118,642,478 
Long term deposits  7  3,536,100   3,536,100 
Deferred liabilities 
- deferred taxation 8</x:v>
      </x:c>
    </x:row>
    <x:row r="203" ht="82" customHeight="1">
      <x:c r="A203" s="76" t="str">
        <x:v>KOHC|pr_EQ|2025</x:v>
      </x:c>
      <x:c r="B203" s="76" t="str">
        <x:v>KOHC</x:v>
      </x:c>
      <x:c r="C203" s="76" t="str">
        <x:v>FY2025</x:v>
      </x:c>
      <x:c r="D203" s="76" t="str">
        <x:v>Printed total equity</x:v>
      </x:c>
      <x:c r="E203" s="170" t="n">
        <x:v>47955194787</x:v>
      </x:c>
      <x:c r="F203" s="170" t="n">
        <x:v>47955194787</x:v>
      </x:c>
      <x:c r="G203" s="170" t="str">
        <x:v>Rupees</x:v>
      </x:c>
      <x:c r="H203" s="170" t="n">
        <x:f>F203/1000000</x:f>
        <x:v>47955.194787</x:v>
      </x:c>
      <x:c r="I203" s="170" t="n">
        <x:f>KOHC!H76</x:f>
        <x:v>47955.194787</x:v>
      </x:c>
      <x:c r="J203" s="170" t="n">
        <x:f>H203-I203</x:f>
        <x:v>0</x:v>
      </x:c>
      <x:c r="K203" s="76" t="str">
        <x:v>Kohat_Cement_Annual_Report_2025.pdf</x:v>
      </x:c>
      <x:c r="L203" s="76" t="n">
        <x:v>68</x:v>
      </x:c>
      <x:c r="M203" s="76" t="str">
        <x:v>Current year</x:v>
      </x:c>
      <x:c r="N203" s="99" t="str">
        <x:v>Printed amount independently located</x:v>
      </x:c>
      <x:c r="O203" s="99" t="str">
        <x:v>Exact source amount found; audited year/current-comparative column recorded. Accounting subtotal tests performed separately.</x:v>
      </x:c>
      <x:c r="P203" s="99" t="str">
        <x:v>paid-up capital 4  1,838,612,970   1,958,612,970 
Reserves 5  286,145,601   167,044,951 
Accumulated profits   45,830,436,216   38,964,647,370 
     47,955,194,787   41,090,305,291 
Non-current liabilities 
Long term financing - secured 6  1,448,977,799   1,118,642,478 
Long term deposits  7  3,536,100   3,536,100 
Deferred liabilities 
- de</x:v>
      </x:c>
    </x:row>
    <x:row r="204" ht="82" customHeight="1">
      <x:c r="A204" s="168" t="str">
        <x:v>KOHC|pr_CA|2020</x:v>
      </x:c>
      <x:c r="B204" s="168" t="str">
        <x:v>KOHC</x:v>
      </x:c>
      <x:c r="C204" s="168" t="str">
        <x:v>FY2020</x:v>
      </x:c>
      <x:c r="D204" s="168" t="str">
        <x:v>Printed total current assets</x:v>
      </x:c>
      <x:c r="E204" s="169" t="n">
        <x:v>5237623778</x:v>
      </x:c>
      <x:c r="F204" s="169" t="n">
        <x:v>5237623778</x:v>
      </x:c>
      <x:c r="G204" s="169" t="str">
        <x:v>Rupees</x:v>
      </x:c>
      <x:c r="H204" s="169" t="n">
        <x:f>F204/1000000</x:f>
        <x:v>5237.623778</x:v>
      </x:c>
      <x:c r="I204" s="169" t="n">
        <x:f>KOHC!C77</x:f>
        <x:v>5237.623778</x:v>
      </x:c>
      <x:c r="J204" s="169" t="n">
        <x:f>H204-I204</x:f>
        <x:v>0</x:v>
      </x:c>
      <x:c r="K204" s="168" t="str">
        <x:v>KOHC_AR_2021.pdf</x:v>
      </x:c>
      <x:c r="L204" s="168" t="n">
        <x:v>45</x:v>
      </x:c>
      <x:c r="M204" s="168" t="str">
        <x:v>Comparative</x:v>
      </x:c>
      <x:c r="N204" s="171" t="str">
        <x:v>Printed amount independently located</x:v>
      </x:c>
      <x:c r="O204" s="171" t="str">
        <x:v>Exact source amount found; audited year/current-comparative column recorded. Accounting subtotal tests performed separately.</x:v>
      </x:c>
      <x:c r="P204" s="171" t="str">
        <x:v>posits, prepayments and other receivables 23  484,459,350   425,391,226 
Cash and bank balances 24  1,197,729,351   891,606,087 
     9,848,798,714   5,237,623,778 
     36,086,921,437   31,756,667,306 
Chief Financial Officer     Director
Building a Foundation for
and
INNOV ATION
GROWTH Annual Report 2021
41</x:v>
      </x:c>
    </x:row>
    <x:row r="205" ht="82" customHeight="1">
      <x:c r="A205" s="76" t="str">
        <x:v>KOHC|pr_CA|2021</x:v>
      </x:c>
      <x:c r="B205" s="76" t="str">
        <x:v>KOHC</x:v>
      </x:c>
      <x:c r="C205" s="76" t="str">
        <x:v>FY2021</x:v>
      </x:c>
      <x:c r="D205" s="76" t="str">
        <x:v>Printed total current assets</x:v>
      </x:c>
      <x:c r="E205" s="170" t="n">
        <x:v>9848798714</x:v>
      </x:c>
      <x:c r="F205" s="170" t="n">
        <x:v>9848798714</x:v>
      </x:c>
      <x:c r="G205" s="170" t="str">
        <x:v>Rupees</x:v>
      </x:c>
      <x:c r="H205" s="170" t="n">
        <x:f>F205/1000000</x:f>
        <x:v>9848.798714</x:v>
      </x:c>
      <x:c r="I205" s="170" t="n">
        <x:f>KOHC!D77</x:f>
        <x:v>9848.798714</x:v>
      </x:c>
      <x:c r="J205" s="170" t="n">
        <x:f>H205-I205</x:f>
        <x:v>0</x:v>
      </x:c>
      <x:c r="K205" s="76" t="str">
        <x:v>Kohat_Cement_AR_2022.pdf</x:v>
      </x:c>
      <x:c r="L205" s="76" t="n">
        <x:v>53</x:v>
      </x:c>
      <x:c r="M205" s="76" t="str">
        <x:v>Comparative</x:v>
      </x:c>
      <x:c r="N205" s="99" t="str">
        <x:v>Printed amount independently located</x:v>
      </x:c>
      <x:c r="O205" s="99" t="str">
        <x:v>Exact source amount found; audited year/current-comparative column recorded. Accounting subtotal tests performed separately.</x:v>
      </x:c>
      <x:c r="P205" s="99" t="str">
        <x:v>osits, prepayments and other receivables 24  583,944,235   484,459,350 
Cash and bank balances 25  480,765,632   1,197,729,351 
     17,775,831,447   9,848,798,714 
     43,350,667,844   36,086,921,437 
Chief Financial Officer     Director
51
Annual Report 2022
OUREXPANDING</x:v>
      </x:c>
    </x:row>
    <x:row r="206" ht="82" customHeight="1">
      <x:c r="A206" s="168" t="str">
        <x:v>KOHC|pr_CA|2022</x:v>
      </x:c>
      <x:c r="B206" s="168" t="str">
        <x:v>KOHC</x:v>
      </x:c>
      <x:c r="C206" s="168" t="str">
        <x:v>FY2022</x:v>
      </x:c>
      <x:c r="D206" s="168" t="str">
        <x:v>Printed total current assets</x:v>
      </x:c>
      <x:c r="E206" s="169" t="n">
        <x:v>17775831447</x:v>
      </x:c>
      <x:c r="F206" s="169" t="n">
        <x:v>17775831447</x:v>
      </x:c>
      <x:c r="G206" s="169" t="str">
        <x:v>Rupees</x:v>
      </x:c>
      <x:c r="H206" s="169" t="n">
        <x:f>F206/1000000</x:f>
        <x:v>17775.831447</x:v>
      </x:c>
      <x:c r="I206" s="169" t="n">
        <x:f>KOHC!E77</x:f>
        <x:v>17775.831447</x:v>
      </x:c>
      <x:c r="J206" s="169" t="n">
        <x:f>H206-I206</x:f>
        <x:v>0</x:v>
      </x:c>
      <x:c r="K206" s="168" t="str">
        <x:v>Financial_Statements-30-06-2023.pdf</x:v>
      </x:c>
      <x:c r="L206" s="168" t="n">
        <x:v>53</x:v>
      </x:c>
      <x:c r="M206" s="168" t="str">
        <x:v>Comparative</x:v>
      </x:c>
      <x:c r="N206" s="171" t="str">
        <x:v>Printed amount independently located</x:v>
      </x:c>
      <x:c r="O206" s="171" t="str">
        <x:v>Exact source amount found; audited year/current-comparative column recorded. Accounting subtotal tests performed separately.</x:v>
      </x:c>
      <x:c r="P206" s="171" t="str">
        <x:v>eposits, prepayments and other receivables 24  783,220,947   583,944,235 
Cash and bank balances 25  933,537,193   480,765,632 
     22,913,376,649   17,775,831,447
     49,530,075,545   43,350,667,844 
Chief Executive Officer     Director</x:v>
      </x:c>
    </x:row>
    <x:row r="207" ht="82" customHeight="1">
      <x:c r="A207" s="76" t="str">
        <x:v>KOHC|pr_CA|2023</x:v>
      </x:c>
      <x:c r="B207" s="76" t="str">
        <x:v>KOHC</x:v>
      </x:c>
      <x:c r="C207" s="76" t="str">
        <x:v>FY2023</x:v>
      </x:c>
      <x:c r="D207" s="76" t="str">
        <x:v>Printed total current assets</x:v>
      </x:c>
      <x:c r="E207" s="170" t="n">
        <x:v>22913376649</x:v>
      </x:c>
      <x:c r="F207" s="170" t="n">
        <x:v>22913376649</x:v>
      </x:c>
      <x:c r="G207" s="170" t="str">
        <x:v>Rupees</x:v>
      </x:c>
      <x:c r="H207" s="170" t="n">
        <x:f>F207/1000000</x:f>
        <x:v>22913.376649</x:v>
      </x:c>
      <x:c r="I207" s="170" t="n">
        <x:f>KOHC!F77</x:f>
        <x:v>22913.376649</x:v>
      </x:c>
      <x:c r="J207" s="170" t="n">
        <x:f>H207-I207</x:f>
        <x:v>0</x:v>
      </x:c>
      <x:c r="K207" s="76" t="str">
        <x:v>Kohat_Cement_Annual_Report-2024.pdf</x:v>
      </x:c>
      <x:c r="L207" s="76" t="n">
        <x:v>59</x:v>
      </x:c>
      <x:c r="M207" s="76" t="str">
        <x:v>Comparative</x:v>
      </x:c>
      <x:c r="N207" s="99" t="str">
        <x:v>Printed amount independently located</x:v>
      </x:c>
      <x:c r="O207" s="99" t="str">
        <x:v>Exact source amount found; audited year/current-comparative column recorded. Accounting subtotal tests performed separately.</x:v>
      </x:c>
      <x:c r="P207" s="99" t="str">
        <x:v>osits, prepayments and other receivables 23  1,222,138,891   783,220,947 
Cash and bank balances 24  1,102,649,172   933,537,193 
    32,294,207,845  22,913,376,649 
    58,843,295,197  49,530,075,545 
Chief Executive Officer     Director</x:v>
      </x:c>
    </x:row>
    <x:row r="208" ht="82" customHeight="1">
      <x:c r="A208" s="168" t="str">
        <x:v>KOHC|pr_CA|2024</x:v>
      </x:c>
      <x:c r="B208" s="168" t="str">
        <x:v>KOHC</x:v>
      </x:c>
      <x:c r="C208" s="168" t="str">
        <x:v>FY2024</x:v>
      </x:c>
      <x:c r="D208" s="168" t="str">
        <x:v>Printed total current assets</x:v>
      </x:c>
      <x:c r="E208" s="169" t="n">
        <x:v>32212396773</x:v>
      </x:c>
      <x:c r="F208" s="169" t="n">
        <x:v>32212396773</x:v>
      </x:c>
      <x:c r="G208" s="169" t="str">
        <x:v>Rupees</x:v>
      </x:c>
      <x:c r="H208" s="169" t="n">
        <x:f>F208/1000000</x:f>
        <x:v>32212.396773</x:v>
      </x:c>
      <x:c r="I208" s="169" t="n">
        <x:f>KOHC!G77</x:f>
        <x:v>32212.396773</x:v>
      </x:c>
      <x:c r="J208" s="169" t="n">
        <x:f>H208-I208</x:f>
        <x:v>0</x:v>
      </x:c>
      <x:c r="K208" s="168" t="str">
        <x:v>Kohat_Cement_Annual_Report_2025.pdf</x:v>
      </x:c>
      <x:c r="L208" s="168" t="n">
        <x:v>69</x:v>
      </x:c>
      <x:c r="M208" s="168" t="str">
        <x:v>Comparative</x:v>
      </x:c>
      <x:c r="N208" s="171" t="str">
        <x:v>Printed amount independently located</x:v>
      </x:c>
      <x:c r="O208" s="171" t="str">
        <x:v>Exact source amount found; audited year/current-comparative column recorded. Accounting subtotal tests performed separately.</x:v>
      </x:c>
      <x:c r="P208" s="171" t="str">
        <x:v>prepayments and other receivables 22  1,025,371,707   1,140,327,819 
Cash and bank balances 23  1,450,702,723   1,102,649,172 
     38,614,792,494   32,212,396,773 
     66,794,311,768   58,843,295,197
Chief Executive Officer     Director
Annual Report 2025</x:v>
      </x:c>
    </x:row>
    <x:row r="209" ht="82" customHeight="1">
      <x:c r="A209" s="76" t="str">
        <x:v>KOHC|pr_CA|2025</x:v>
      </x:c>
      <x:c r="B209" s="76" t="str">
        <x:v>KOHC</x:v>
      </x:c>
      <x:c r="C209" s="76" t="str">
        <x:v>FY2025</x:v>
      </x:c>
      <x:c r="D209" s="76" t="str">
        <x:v>Printed total current assets</x:v>
      </x:c>
      <x:c r="E209" s="170" t="n">
        <x:v>38614792494</x:v>
      </x:c>
      <x:c r="F209" s="170" t="n">
        <x:v>38614792494</x:v>
      </x:c>
      <x:c r="G209" s="170" t="str">
        <x:v>Rupees</x:v>
      </x:c>
      <x:c r="H209" s="170" t="n">
        <x:f>F209/1000000</x:f>
        <x:v>38614.792494</x:v>
      </x:c>
      <x:c r="I209" s="170" t="n">
        <x:f>KOHC!H77</x:f>
        <x:v>38614.792494</x:v>
      </x:c>
      <x:c r="J209" s="170" t="n">
        <x:f>H209-I209</x:f>
        <x:v>0</x:v>
      </x:c>
      <x:c r="K209" s="76" t="str">
        <x:v>Kohat_Cement_Annual_Report_2025.pdf</x:v>
      </x:c>
      <x:c r="L209" s="76" t="n">
        <x:v>69</x:v>
      </x:c>
      <x:c r="M209" s="76" t="str">
        <x:v>Current year</x:v>
      </x:c>
      <x:c r="N209" s="99" t="str">
        <x:v>Printed amount independently located</x:v>
      </x:c>
      <x:c r="O209" s="99" t="str">
        <x:v>Exact source amount found; audited year/current-comparative column recorded. Accounting subtotal tests performed separately.</x:v>
      </x:c>
      <x:c r="P209" s="99" t="str">
        <x:v>vances, deposits, prepayments and other receivables 22  1,025,371,707   1,140,327,819 
Cash and bank balances 23  1,450,702,723   1,102,649,172 
     38,614,792,494   32,212,396,773 
     66,794,311,768   58,843,295,197
Chief Executive Officer     Director
Annual Report 2025</x:v>
      </x:c>
    </x:row>
    <x:row r="210" ht="82" customHeight="1">
      <x:c r="A210" s="168" t="str">
        <x:v>KOHC|pr_CL|2020</x:v>
      </x:c>
      <x:c r="B210" s="168" t="str">
        <x:v>KOHC</x:v>
      </x:c>
      <x:c r="C210" s="168" t="str">
        <x:v>FY2020</x:v>
      </x:c>
      <x:c r="D210" s="168" t="str">
        <x:v>Printed total current liabilities</x:v>
      </x:c>
      <x:c r="E210" s="169" t="n">
        <x:v>6279548271</x:v>
      </x:c>
      <x:c r="F210" s="169" t="n">
        <x:v>6279548271</x:v>
      </x:c>
      <x:c r="G210" s="169" t="str">
        <x:v>Rupees</x:v>
      </x:c>
      <x:c r="H210" s="169" t="n">
        <x:f>F210/1000000</x:f>
        <x:v>6279.548271</x:v>
      </x:c>
      <x:c r="I210" s="169" t="n">
        <x:f>KOHC!C78</x:f>
        <x:v>6279.548271</x:v>
      </x:c>
      <x:c r="J210" s="169" t="n">
        <x:f>H210-I210</x:f>
        <x:v>0</x:v>
      </x:c>
      <x:c r="K210" s="168" t="str">
        <x:v>KOHC_AR_2021.pdf</x:v>
      </x:c>
      <x:c r="L210" s="168" t="n">
        <x:v>44</x:v>
      </x:c>
      <x:c r="M210" s="168" t="str">
        <x:v>Comparative</x:v>
      </x:c>
      <x:c r="N210" s="171" t="str">
        <x:v>Printed amount independently located</x:v>
      </x:c>
      <x:c r="O210" s="171" t="str">
        <x:v>Exact source amount found; audited year/current-comparative column recorded. Accounting subtotal tests performed separately.</x:v>
      </x:c>
      <x:c r="P210" s="171" t="str">
        <x:v>1,609,100 
Provision for taxation - net   635,934,543   52,873,661 
Mark-up accrued on borrowings 13  122,613,973   208,766,756 
     7,572,243,940   6,279,548,271 
Contingencies and commitments  14 
     36,086,921,437   31,756,667,306
The annexed notes from 1 to 48 form an integral part of these financial statements.
Chief Executive</x:v>
      </x:c>
    </x:row>
    <x:row r="211" ht="82" customHeight="1">
      <x:c r="A211" s="76" t="str">
        <x:v>KOHC|pr_CL|2021</x:v>
      </x:c>
      <x:c r="B211" s="76" t="str">
        <x:v>KOHC</x:v>
      </x:c>
      <x:c r="C211" s="76" t="str">
        <x:v>FY2021</x:v>
      </x:c>
      <x:c r="D211" s="76" t="str">
        <x:v>Printed total current liabilities</x:v>
      </x:c>
      <x:c r="E211" s="170" t="n">
        <x:v>7572243940</x:v>
      </x:c>
      <x:c r="F211" s="170" t="n">
        <x:v>7572243940</x:v>
      </x:c>
      <x:c r="G211" s="170" t="str">
        <x:v>Rupees</x:v>
      </x:c>
      <x:c r="H211" s="170" t="n">
        <x:f>F211/1000000</x:f>
        <x:v>7572.24394</x:v>
      </x:c>
      <x:c r="I211" s="170" t="n">
        <x:f>KOHC!D78</x:f>
        <x:v>7572.24394</x:v>
      </x:c>
      <x:c r="J211" s="170" t="n">
        <x:f>H211-I211</x:f>
        <x:v>0</x:v>
      </x:c>
      <x:c r="K211" s="76" t="str">
        <x:v>Kohat_Cement_AR_2022.pdf</x:v>
      </x:c>
      <x:c r="L211" s="76" t="n">
        <x:v>52</x:v>
      </x:c>
      <x:c r="M211" s="76" t="str">
        <x:v>Comparative</x:v>
      </x:c>
      <x:c r="N211" s="99" t="str">
        <x:v>Printed amount independently located</x:v>
      </x:c>
      <x:c r="O211" s="99" t="str">
        <x:v>Exact source amount found; audited year/current-comparative column recorded. Accounting subtotal tests performed separately.</x:v>
      </x:c>
      <x:c r="P211" s="99" t="str">
        <x:v>00,000 
Provision for taxation - net   2,438,052,665   635,934,543 
Mark-up accrued on borrowings 13  142,171,993   122,613,973 
     9,487,990,679   7,572,243,940 
Contingencies and commitments  14 
     43,350,667,844   36,086,921,437 
The annexed notes from 1 to 49 form an integral part of these financial statements.
Chief Executiv</x:v>
      </x:c>
    </x:row>
    <x:row r="212" ht="82" customHeight="1">
      <x:c r="A212" s="168" t="str">
        <x:v>KOHC|pr_CL|2022</x:v>
      </x:c>
      <x:c r="B212" s="168" t="str">
        <x:v>KOHC</x:v>
      </x:c>
      <x:c r="C212" s="168" t="str">
        <x:v>FY2022</x:v>
      </x:c>
      <x:c r="D212" s="168" t="str">
        <x:v>Printed total current liabilities</x:v>
      </x:c>
      <x:c r="E212" s="169" t="n">
        <x:v>9487990679</x:v>
      </x:c>
      <x:c r="F212" s="169" t="n">
        <x:v>9487990679</x:v>
      </x:c>
      <x:c r="G212" s="169" t="str">
        <x:v>Rupees</x:v>
      </x:c>
      <x:c r="H212" s="169" t="n">
        <x:f>F212/1000000</x:f>
        <x:v>9487.990679</x:v>
      </x:c>
      <x:c r="I212" s="169" t="n">
        <x:f>KOHC!E78</x:f>
        <x:v>9487.990679</x:v>
      </x:c>
      <x:c r="J212" s="169" t="n">
        <x:f>H212-I212</x:f>
        <x:v>0</x:v>
      </x:c>
      <x:c r="K212" s="168" t="str">
        <x:v>Financial_Statements-30-06-2023.pdf</x:v>
      </x:c>
      <x:c r="L212" s="168" t="n">
        <x:v>52</x:v>
      </x:c>
      <x:c r="M212" s="168" t="str">
        <x:v>Comparative</x:v>
      </x:c>
      <x:c r="N212" s="171" t="str">
        <x:v>Printed amount independently located</x:v>
      </x:c>
      <x:c r="O212" s="171" t="str">
        <x:v>Exact source amount found; audited year/current-comparative column recorded. Accounting subtotal tests performed separately.</x:v>
      </x:c>
      <x:c r="P212" s="171" t="str">
        <x:v>,692 
Provision for taxation - net   3,215,684,878   2,438,052,665 
Mark-up accrued on borrowings 13  192,674,790   142,171,993 
     9,912,471,411   9,487,990,679 
Contingencies and commitments  14
     49,530,075,545   43,350,667,844 
The annexed notes from 1 to 48 form an integral part of these financial statements.
Chief Financi</x:v>
      </x:c>
    </x:row>
    <x:row r="213" ht="82" customHeight="1">
      <x:c r="A213" s="76" t="str">
        <x:v>KOHC|pr_CL|2023</x:v>
      </x:c>
      <x:c r="B213" s="76" t="str">
        <x:v>KOHC</x:v>
      </x:c>
      <x:c r="C213" s="76" t="str">
        <x:v>FY2023</x:v>
      </x:c>
      <x:c r="D213" s="76" t="str">
        <x:v>Printed total current liabilities</x:v>
      </x:c>
      <x:c r="E213" s="170" t="n">
        <x:v>9912471411</x:v>
      </x:c>
      <x:c r="F213" s="170" t="n">
        <x:v>9912471411</x:v>
      </x:c>
      <x:c r="G213" s="170" t="str">
        <x:v>Rupees</x:v>
      </x:c>
      <x:c r="H213" s="170" t="n">
        <x:f>F213/1000000</x:f>
        <x:v>9912.471411</x:v>
      </x:c>
      <x:c r="I213" s="170" t="n">
        <x:f>KOHC!F78</x:f>
        <x:v>9912.471411</x:v>
      </x:c>
      <x:c r="J213" s="170" t="n">
        <x:f>H213-I213</x:f>
        <x:v>0</x:v>
      </x:c>
      <x:c r="K213" s="76" t="str">
        <x:v>Kohat_Cement_Annual_Report-2024.pdf</x:v>
      </x:c>
      <x:c r="L213" s="76" t="n">
        <x:v>58</x:v>
      </x:c>
      <x:c r="M213" s="76" t="str">
        <x:v>Comparative</x:v>
      </x:c>
      <x:c r="N213" s="99" t="str">
        <x:v>Printed amount independently located</x:v>
      </x:c>
      <x:c r="O213" s="99" t="str">
        <x:v>Exact source amount found; audited year/current-comparative column recorded. Accounting subtotal tests performed separately.</x:v>
      </x:c>
      <x:c r="P213" s="99" t="str">
        <x:v>939,862 
Provision for taxation – net  3,544,368,477  3,079,754,230 
Mark–up accrued on borrowings 12  135,001,023   192,674,790 
    11,095,636,231  9,912,471,411 
Contingencies and commitments  13 
    58,843,295,197   49,530,075,545 
The annexed notes from 1 to 47 form an integral part of these financial statements.   
Chief Fi</x:v>
      </x:c>
    </x:row>
    <x:row r="214" ht="82" customHeight="1">
      <x:c r="A214" s="168" t="str">
        <x:v>KOHC|pr_CL|2024</x:v>
      </x:c>
      <x:c r="B214" s="168" t="str">
        <x:v>KOHC</x:v>
      </x:c>
      <x:c r="C214" s="168" t="str">
        <x:v>FY2024</x:v>
      </x:c>
      <x:c r="D214" s="168" t="str">
        <x:v>Printed total current liabilities</x:v>
      </x:c>
      <x:c r="E214" s="169" t="n">
        <x:v>11095636231</x:v>
      </x:c>
      <x:c r="F214" s="169" t="n">
        <x:v>11095636231</x:v>
      </x:c>
      <x:c r="G214" s="169" t="str">
        <x:v>Rupees</x:v>
      </x:c>
      <x:c r="H214" s="169" t="n">
        <x:f>F214/1000000</x:f>
        <x:v>11095.636231</x:v>
      </x:c>
      <x:c r="I214" s="169" t="n">
        <x:f>KOHC!G78</x:f>
        <x:v>11095.636231</x:v>
      </x:c>
      <x:c r="J214" s="169" t="n">
        <x:f>H214-I214</x:f>
        <x:v>0</x:v>
      </x:c>
      <x:c r="K214" s="168" t="str">
        <x:v>Kohat_Cement_Annual_Report_2025.pdf</x:v>
      </x:c>
      <x:c r="L214" s="168" t="n">
        <x:v>68</x:v>
      </x:c>
      <x:c r="M214" s="168" t="str">
        <x:v>Comparative</x:v>
      </x:c>
      <x:c r="N214" s="171" t="str">
        <x:v>Printed amount independently located</x:v>
      </x:c>
      <x:c r="O214" s="171" t="str">
        <x:v>Exact source amount found; audited year/current-comparative column recorded. Accounting subtotal tests performed separately.</x:v>
      </x:c>
      <x:c r="P214" s="171" t="str">
        <x:v>,835,022 
Provision for taxation - net   2,924,142,407   3,544,368,477 
Short term borrowings - secured 11  3,704,884   61,253 
     11,661,701,111   11,095,636,231
Contingencies and commitments  12
     66,794,311,768   58,843,295,197 
The annexed notes from 1 to 47 form an integral part of these financial statements.   
Chief Fin</x:v>
      </x:c>
    </x:row>
    <x:row r="215" ht="82" customHeight="1">
      <x:c r="A215" s="76" t="str">
        <x:v>KOHC|pr_CL|2025</x:v>
      </x:c>
      <x:c r="B215" s="76" t="str">
        <x:v>KOHC</x:v>
      </x:c>
      <x:c r="C215" s="76" t="str">
        <x:v>FY2025</x:v>
      </x:c>
      <x:c r="D215" s="76" t="str">
        <x:v>Printed total current liabilities</x:v>
      </x:c>
      <x:c r="E215" s="170" t="n">
        <x:v>11661701111</x:v>
      </x:c>
      <x:c r="F215" s="170" t="n">
        <x:v>11661701111</x:v>
      </x:c>
      <x:c r="G215" s="170" t="str">
        <x:v>Rupees</x:v>
      </x:c>
      <x:c r="H215" s="170" t="n">
        <x:f>F215/1000000</x:f>
        <x:v>11661.701111</x:v>
      </x:c>
      <x:c r="I215" s="170" t="n">
        <x:f>KOHC!H78</x:f>
        <x:v>11661.701111</x:v>
      </x:c>
      <x:c r="J215" s="170" t="n">
        <x:f>H215-I215</x:f>
        <x:v>0</x:v>
      </x:c>
      <x:c r="K215" s="76" t="str">
        <x:v>Kohat_Cement_Annual_Report_2025.pdf</x:v>
      </x:c>
      <x:c r="L215" s="76" t="n">
        <x:v>68</x:v>
      </x:c>
      <x:c r="M215" s="76" t="str">
        <x:v>Current year</x:v>
      </x:c>
      <x:c r="N215" s="99" t="str">
        <x:v>Printed amount independently located</x:v>
      </x:c>
      <x:c r="O215" s="99" t="str">
        <x:v>Exact source amount found; audited year/current-comparative column recorded. Accounting subtotal tests performed separately.</x:v>
      </x:c>
      <x:c r="P215" s="99" t="str">
        <x:v>33,677,348   36,835,022 
Provision for taxation - net   2,924,142,407   3,544,368,477 
Short term borrowings - secured 11  3,704,884   61,253 
     11,661,701,111   11,095,636,231
Contingencies and commitments  12
     66,794,311,768   58,843,295,197 
The annexed notes from 1 to 47 form an integral part of these financial statement</x:v>
      </x:c>
    </x:row>
    <x:row r="216" ht="82" customHeight="1">
      <x:c r="A216" s="168" t="str">
        <x:v>KOHC|rev|2021</x:v>
      </x:c>
      <x:c r="B216" s="168" t="str">
        <x:v>KOHC</x:v>
      </x:c>
      <x:c r="C216" s="168" t="str">
        <x:v>FY2021</x:v>
      </x:c>
      <x:c r="D216" s="168" t="str">
        <x:v>Revenue / net sales</x:v>
      </x:c>
      <x:c r="E216" s="169" t="n">
        <x:v>24057375992</x:v>
      </x:c>
      <x:c r="F216" s="169" t="n">
        <x:v>24057375992</x:v>
      </x:c>
      <x:c r="G216" s="169" t="str">
        <x:v>Rupees</x:v>
      </x:c>
      <x:c r="H216" s="169" t="n">
        <x:f>F216/1000000</x:f>
        <x:v>24057.375992</x:v>
      </x:c>
      <x:c r="I216" s="169" t="n">
        <x:f>KOHC!D84</x:f>
        <x:v>24057.375992</x:v>
      </x:c>
      <x:c r="J216" s="169" t="n">
        <x:f>H216-I216</x:f>
        <x:v>0</x:v>
      </x:c>
      <x:c r="K216" s="168" t="str">
        <x:v>Kohat_Cement_AR_2022.pdf</x:v>
      </x:c>
      <x:c r="L216" s="168" t="n">
        <x:v>54</x:v>
      </x:c>
      <x:c r="M216" s="168" t="str">
        <x:v>Comparative</x:v>
      </x:c>
      <x:c r="N216" s="171" t="str">
        <x:v>Printed amount independently located</x:v>
      </x:c>
      <x:c r="O216" s="171" t="str">
        <x:v>Exact source amount found; audited year/current-comparative column recorded. Accounting subtotal tests performed separately.</x:v>
      </x:c>
      <x:c r="P216" s="171" t="str">
        <x:v>2022 2021
 Note Rupees Rupees
Sales-net 26   32,876,949,179   24,057,375,992 
Cost of sales 27   (23,065,180,670)  (18,092,026,933)
Gross Profit    9,811,768,509  5,965,349,059
Selling and distribution expenses 28   (122,136,736)  (94,165,965)
Administ</x:v>
      </x:c>
    </x:row>
    <x:row r="217" ht="82" customHeight="1">
      <x:c r="A217" s="76" t="str">
        <x:v>KOHC|rev|2022</x:v>
      </x:c>
      <x:c r="B217" s="76" t="str">
        <x:v>KOHC</x:v>
      </x:c>
      <x:c r="C217" s="76" t="str">
        <x:v>FY2022</x:v>
      </x:c>
      <x:c r="D217" s="76" t="str">
        <x:v>Revenue / net sales</x:v>
      </x:c>
      <x:c r="E217" s="170" t="n">
        <x:v>32876949179</x:v>
      </x:c>
      <x:c r="F217" s="170" t="n">
        <x:v>32876949179</x:v>
      </x:c>
      <x:c r="G217" s="170" t="str">
        <x:v>Rupees</x:v>
      </x:c>
      <x:c r="H217" s="170" t="n">
        <x:f>F217/1000000</x:f>
        <x:v>32876.949179</x:v>
      </x:c>
      <x:c r="I217" s="170" t="n">
        <x:f>KOHC!E84</x:f>
        <x:v>32876.949179</x:v>
      </x:c>
      <x:c r="J217" s="170" t="n">
        <x:f>H217-I217</x:f>
        <x:v>0</x:v>
      </x:c>
      <x:c r="K217" s="76" t="str">
        <x:v>Financial_Statements-30-06-2023.pdf</x:v>
      </x:c>
      <x:c r="L217" s="76" t="n">
        <x:v>54</x:v>
      </x:c>
      <x:c r="M217" s="76" t="str">
        <x:v>Comparative</x:v>
      </x:c>
      <x:c r="N217" s="99" t="str">
        <x:v>Printed amount independently located</x:v>
      </x:c>
      <x:c r="O217" s="99" t="str">
        <x:v>Exact source amount found; audited year/current-comparative column recorded. Accounting subtotal tests performed separately.</x:v>
      </x:c>
      <x:c r="P217" s="99" t="str">
        <x:v>52
  2023 2022
 Note Rupees Rupees
Sales-net 26   38,921,635,350   32,876,949,179 
Cost of sales 27   (28,488,941,331)  (23,065,180,670)
Gross Profit    10,432,694,019  9,811,768,509
Selling and distribution expenses 28   (176,123,458)  (122,136,736)
Admini</x:v>
      </x:c>
    </x:row>
    <x:row r="218" ht="82" customHeight="1">
      <x:c r="A218" s="168" t="str">
        <x:v>KOHC|rev|2023</x:v>
      </x:c>
      <x:c r="B218" s="168" t="str">
        <x:v>KOHC</x:v>
      </x:c>
      <x:c r="C218" s="168" t="str">
        <x:v>FY2023</x:v>
      </x:c>
      <x:c r="D218" s="168" t="str">
        <x:v>Revenue / net sales</x:v>
      </x:c>
      <x:c r="E218" s="169" t="n">
        <x:v>38921635350</x:v>
      </x:c>
      <x:c r="F218" s="169" t="n">
        <x:v>38921635350</x:v>
      </x:c>
      <x:c r="G218" s="169" t="str">
        <x:v>Rupees</x:v>
      </x:c>
      <x:c r="H218" s="169" t="n">
        <x:f>F218/1000000</x:f>
        <x:v>38921.63535</x:v>
      </x:c>
      <x:c r="I218" s="169" t="n">
        <x:f>KOHC!F84</x:f>
        <x:v>38921.63535</x:v>
      </x:c>
      <x:c r="J218" s="169" t="n">
        <x:f>H218-I218</x:f>
        <x:v>0</x:v>
      </x:c>
      <x:c r="K218" s="168" t="str">
        <x:v>Kohat_Cement_Annual_Report-2024.pdf</x:v>
      </x:c>
      <x:c r="L218" s="168" t="n">
        <x:v>60</x:v>
      </x:c>
      <x:c r="M218" s="168" t="str">
        <x:v>Comparative</x:v>
      </x:c>
      <x:c r="N218" s="171" t="str">
        <x:v>Printed amount independently located</x:v>
      </x:c>
      <x:c r="O218" s="171" t="str">
        <x:v>Exact source amount found; audited year/current-comparative column recorded. Accounting subtotal tests performed separately.</x:v>
      </x:c>
      <x:c r="P218" s="171" t="str">
        <x:v>58
  2024 2023
 Note Rupees Rupees
   Restated
Sales–net 25   38,647,767,972     38,921,635,350 
Cost of sales 26    (27,391,276,477)     (28,488,941,331)
Gross Profit   11,256,491,495    10,432,694,019 
Selling and distribution expenses 27   (197,259,359)  (176,123,458)
A</x:v>
      </x:c>
    </x:row>
    <x:row r="219" ht="82" customHeight="1">
      <x:c r="A219" s="76" t="str">
        <x:v>KOHC|rev|2024</x:v>
      </x:c>
      <x:c r="B219" s="76" t="str">
        <x:v>KOHC</x:v>
      </x:c>
      <x:c r="C219" s="76" t="str">
        <x:v>FY2024</x:v>
      </x:c>
      <x:c r="D219" s="76" t="str">
        <x:v>Revenue / net sales</x:v>
      </x:c>
      <x:c r="E219" s="170" t="n">
        <x:v>38647767972</x:v>
      </x:c>
      <x:c r="F219" s="170" t="n">
        <x:v>38647767972</x:v>
      </x:c>
      <x:c r="G219" s="170" t="str">
        <x:v>Rupees</x:v>
      </x:c>
      <x:c r="H219" s="170" t="n">
        <x:f>F219/1000000</x:f>
        <x:v>38647.767972</x:v>
      </x:c>
      <x:c r="I219" s="170" t="n">
        <x:f>KOHC!G84</x:f>
        <x:v>38647.767972</x:v>
      </x:c>
      <x:c r="J219" s="170" t="n">
        <x:f>H219-I219</x:f>
        <x:v>0</x:v>
      </x:c>
      <x:c r="K219" s="76" t="str">
        <x:v>Kohat_Cement_Annual_Report_2025.pdf</x:v>
      </x:c>
      <x:c r="L219" s="76" t="n">
        <x:v>70</x:v>
      </x:c>
      <x:c r="M219" s="76" t="str">
        <x:v>Comparative</x:v>
      </x:c>
      <x:c r="N219" s="99" t="str">
        <x:v>Printed amount independently located</x:v>
      </x:c>
      <x:c r="O219" s="99" t="str">
        <x:v>Exact source amount found; audited year/current-comparative column recorded. Accounting subtotal tests performed separately.</x:v>
      </x:c>
      <x:c r="P219" s="99" t="str">
        <x:v>cutive Officer Director
STATEMENT OF 
PROFIT OR LOSS
For the year ended June 30, 2025
  2025 2024
 Note Rupees Rupees
Sales-net 24   37,535,700,372   38,647,767,972 
Cost of sales 25   (22,814,094,271)  (27,391,276,477)
Gross Profit    14,721,606,101  11,256,491,495 
Selling and distribution expenses 26   (225,600,417)  (197,259,359)
Administ</x:v>
      </x:c>
    </x:row>
    <x:row r="220" ht="82" customHeight="1">
      <x:c r="A220" s="168" t="str">
        <x:v>KOHC|rev|2025</x:v>
      </x:c>
      <x:c r="B220" s="168" t="str">
        <x:v>KOHC</x:v>
      </x:c>
      <x:c r="C220" s="168" t="str">
        <x:v>FY2025</x:v>
      </x:c>
      <x:c r="D220" s="168" t="str">
        <x:v>Revenue / net sales</x:v>
      </x:c>
      <x:c r="E220" s="169" t="n">
        <x:v>37535700372</x:v>
      </x:c>
      <x:c r="F220" s="169" t="n">
        <x:v>37535700372</x:v>
      </x:c>
      <x:c r="G220" s="169" t="str">
        <x:v>Rupees</x:v>
      </x:c>
      <x:c r="H220" s="169" t="n">
        <x:f>F220/1000000</x:f>
        <x:v>37535.700372</x:v>
      </x:c>
      <x:c r="I220" s="169" t="n">
        <x:f>KOHC!H84</x:f>
        <x:v>37535.700372</x:v>
      </x:c>
      <x:c r="J220" s="169" t="n">
        <x:f>H220-I220</x:f>
        <x:v>0</x:v>
      </x:c>
      <x:c r="K220" s="168" t="str">
        <x:v>Kohat_Cement_Annual_Report_2025.pdf</x:v>
      </x:c>
      <x:c r="L220" s="168" t="n">
        <x:v>70</x:v>
      </x:c>
      <x:c r="M220" s="168" t="str">
        <x:v>Current year</x:v>
      </x:c>
      <x:c r="N220" s="171" t="str">
        <x:v>Printed amount independently located</x:v>
      </x:c>
      <x:c r="O220" s="171" t="str">
        <x:v>Exact source amount found; audited year/current-comparative column recorded. Accounting subtotal tests performed separately.</x:v>
      </x:c>
      <x:c r="P220" s="171" t="str">
        <x:v>Officer Chief Executive Officer Director
STATEMENT OF 
PROFIT OR LOSS
For the year ended June 30, 2025
  2025 2024
 Note Rupees Rupees
Sales-net 24   37,535,700,372   38,647,767,972 
Cost of sales 25   (22,814,094,271)  (27,391,276,477)
Gross Profit    14,721,606,101  11,256,491,495 
Selling and distribution expenses 26   (225,600,417)  (197,</x:v>
      </x:c>
    </x:row>
    <x:row r="221" ht="82" customHeight="1">
      <x:c r="A221" s="76" t="str">
        <x:v>KOHC|cogs|2021</x:v>
      </x:c>
      <x:c r="B221" s="76" t="str">
        <x:v>KOHC</x:v>
      </x:c>
      <x:c r="C221" s="76" t="str">
        <x:v>FY2021</x:v>
      </x:c>
      <x:c r="D221" s="76" t="str">
        <x:v>Cost of sales</x:v>
      </x:c>
      <x:c r="E221" s="170" t="n">
        <x:v>-18092026933</x:v>
      </x:c>
      <x:c r="F221" s="170" t="n">
        <x:v>-18092026933</x:v>
      </x:c>
      <x:c r="G221" s="170" t="str">
        <x:v>Rupees</x:v>
      </x:c>
      <x:c r="H221" s="170" t="n">
        <x:f>F221/1000000</x:f>
        <x:v>-18092.026933</x:v>
      </x:c>
      <x:c r="I221" s="170" t="n">
        <x:f>KOHC!D85</x:f>
        <x:v>-18092.026933</x:v>
      </x:c>
      <x:c r="J221" s="170" t="n">
        <x:f>H221-I221</x:f>
        <x:v>0</x:v>
      </x:c>
      <x:c r="K221" s="76" t="str">
        <x:v>Kohat_Cement_AR_2022.pdf</x:v>
      </x:c>
      <x:c r="L221" s="76" t="n">
        <x:v>54</x:v>
      </x:c>
      <x:c r="M221" s="76" t="str">
        <x:v>Comparative</x:v>
      </x:c>
      <x:c r="N221" s="99" t="str">
        <x:v>Printed amount independently located</x:v>
      </x:c>
      <x:c r="O221" s="99" t="str">
        <x:v>Exact source amount found; audited year/current-comparative column recorded. Accounting subtotal tests performed separately.</x:v>
      </x:c>
      <x:c r="P221" s="99" t="str">
        <x:v>2022 2021
 Note Rupees Rupees
Sales-net 26   32,876,949,179   24,057,375,992 
Cost of sales 27   (23,065,180,670)  (18,092,026,933)
Gross Profit    9,811,768,509  5,965,349,059
Selling and distribution expenses 28   (122,136,736)  (94,165,965)
Administrative and general expenses 29   (353,522,846)  (313,52</x:v>
      </x:c>
    </x:row>
    <x:row r="222" ht="82" customHeight="1">
      <x:c r="A222" s="168" t="str">
        <x:v>KOHC|cogs|2022</x:v>
      </x:c>
      <x:c r="B222" s="168" t="str">
        <x:v>KOHC</x:v>
      </x:c>
      <x:c r="C222" s="168" t="str">
        <x:v>FY2022</x:v>
      </x:c>
      <x:c r="D222" s="168" t="str">
        <x:v>Cost of sales</x:v>
      </x:c>
      <x:c r="E222" s="169" t="n">
        <x:v>-23065180670</x:v>
      </x:c>
      <x:c r="F222" s="169" t="n">
        <x:v>-23065180670</x:v>
      </x:c>
      <x:c r="G222" s="169" t="str">
        <x:v>Rupees</x:v>
      </x:c>
      <x:c r="H222" s="169" t="n">
        <x:f>F222/1000000</x:f>
        <x:v>-23065.18067</x:v>
      </x:c>
      <x:c r="I222" s="169" t="n">
        <x:f>KOHC!E85</x:f>
        <x:v>-23065.18067</x:v>
      </x:c>
      <x:c r="J222" s="169" t="n">
        <x:f>H222-I222</x:f>
        <x:v>0</x:v>
      </x:c>
      <x:c r="K222" s="168" t="str">
        <x:v>Financial_Statements-30-06-2023.pdf</x:v>
      </x:c>
      <x:c r="L222" s="168" t="n">
        <x:v>54</x:v>
      </x:c>
      <x:c r="M222" s="168" t="str">
        <x:v>Comparative</x:v>
      </x:c>
      <x:c r="N222" s="171" t="str">
        <x:v>Printed amount independently located</x:v>
      </x:c>
      <x:c r="O222" s="171" t="str">
        <x:v>Exact source amount found; audited year/current-comparative column recorded. Accounting subtotal tests performed separately.</x:v>
      </x:c>
      <x:c r="P222" s="171" t="str">
        <x:v>52
  2023 2022
 Note Rupees Rupees
Sales-net 26   38,921,635,350   32,876,949,179 
Cost of sales 27   (28,488,941,331)  (23,065,180,670)
Gross Profit    10,432,694,019  9,811,768,509
Selling and distribution expenses 28   (176,123,458)  (122,136,736)
Administrative and general expenses 29   (396,230,055)  (353,</x:v>
      </x:c>
    </x:row>
    <x:row r="223" ht="82" customHeight="1">
      <x:c r="A223" s="76" t="str">
        <x:v>KOHC|cogs|2023</x:v>
      </x:c>
      <x:c r="B223" s="76" t="str">
        <x:v>KOHC</x:v>
      </x:c>
      <x:c r="C223" s="76" t="str">
        <x:v>FY2023</x:v>
      </x:c>
      <x:c r="D223" s="76" t="str">
        <x:v>Cost of sales</x:v>
      </x:c>
      <x:c r="E223" s="170" t="n">
        <x:v>-28488941331</x:v>
      </x:c>
      <x:c r="F223" s="170" t="n">
        <x:v>-28488941331</x:v>
      </x:c>
      <x:c r="G223" s="170" t="str">
        <x:v>Rupees</x:v>
      </x:c>
      <x:c r="H223" s="170" t="n">
        <x:f>F223/1000000</x:f>
        <x:v>-28488.941331</x:v>
      </x:c>
      <x:c r="I223" s="170" t="n">
        <x:f>KOHC!F85</x:f>
        <x:v>-28488.941331</x:v>
      </x:c>
      <x:c r="J223" s="170" t="n">
        <x:f>H223-I223</x:f>
        <x:v>0</x:v>
      </x:c>
      <x:c r="K223" s="76" t="str">
        <x:v>Kohat_Cement_Annual_Report-2024.pdf</x:v>
      </x:c>
      <x:c r="L223" s="76" t="n">
        <x:v>60</x:v>
      </x:c>
      <x:c r="M223" s="76" t="str">
        <x:v>Comparative</x:v>
      </x:c>
      <x:c r="N223" s="99" t="str">
        <x:v>Printed amount independently located</x:v>
      </x:c>
      <x:c r="O223" s="99" t="str">
        <x:v>Exact source amount found; audited year/current-comparative column recorded. Accounting subtotal tests performed separately.</x:v>
      </x:c>
      <x:c r="P223" s="99" t="str">
        <x:v>58
  2024 2023
 Note Rupees Rupees
   Restated
Sales–net 25   38,647,767,972     38,921,635,350 
Cost of sales 26    (27,391,276,477)     (28,488,941,331)
Gross Profit   11,256,491,495    10,432,694,019 
Selling and distribution expenses 27   (197,259,359)  (176,123,458)
Administrative and general expenses 28   (488,042,831)  (396</x:v>
      </x:c>
    </x:row>
    <x:row r="224" ht="82" customHeight="1">
      <x:c r="A224" s="168" t="str">
        <x:v>KOHC|cogs|2024</x:v>
      </x:c>
      <x:c r="B224" s="168" t="str">
        <x:v>KOHC</x:v>
      </x:c>
      <x:c r="C224" s="168" t="str">
        <x:v>FY2024</x:v>
      </x:c>
      <x:c r="D224" s="168" t="str">
        <x:v>Cost of sales</x:v>
      </x:c>
      <x:c r="E224" s="169" t="n">
        <x:v>-27391276477</x:v>
      </x:c>
      <x:c r="F224" s="169" t="n">
        <x:v>-27391276477</x:v>
      </x:c>
      <x:c r="G224" s="169" t="str">
        <x:v>Rupees</x:v>
      </x:c>
      <x:c r="H224" s="169" t="n">
        <x:f>F224/1000000</x:f>
        <x:v>-27391.276477</x:v>
      </x:c>
      <x:c r="I224" s="169" t="n">
        <x:f>KOHC!G85</x:f>
        <x:v>-27391.276477</x:v>
      </x:c>
      <x:c r="J224" s="169" t="n">
        <x:f>H224-I224</x:f>
        <x:v>0</x:v>
      </x:c>
      <x:c r="K224" s="168" t="str">
        <x:v>Kohat_Cement_Annual_Report_2025.pdf</x:v>
      </x:c>
      <x:c r="L224" s="168" t="n">
        <x:v>70</x:v>
      </x:c>
      <x:c r="M224" s="168" t="str">
        <x:v>Comparative</x:v>
      </x:c>
      <x:c r="N224" s="171" t="str">
        <x:v>Printed amount independently located</x:v>
      </x:c>
      <x:c r="O224" s="171" t="str">
        <x:v>Exact source amount found; audited year/current-comparative column recorded. Accounting subtotal tests performed separately.</x:v>
      </x:c>
      <x:c r="P224" s="171" t="str">
        <x:v>For the year ended June 30, 2025
  2025 2024
 Note Rupees Rupees
Sales-net 24   37,535,700,372   38,647,767,972 
Cost of sales 25   (22,814,094,271)  (27,391,276,477)
Gross Profit    14,721,606,101  11,256,491,495 
Selling and distribution expenses 26   (225,600,417)  (197,259,359)
Administrative and general expenses 27   (695,553,118)  (488,04</x:v>
      </x:c>
    </x:row>
    <x:row r="225" ht="82" customHeight="1">
      <x:c r="A225" s="76" t="str">
        <x:v>KOHC|cogs|2025</x:v>
      </x:c>
      <x:c r="B225" s="76" t="str">
        <x:v>KOHC</x:v>
      </x:c>
      <x:c r="C225" s="76" t="str">
        <x:v>FY2025</x:v>
      </x:c>
      <x:c r="D225" s="76" t="str">
        <x:v>Cost of sales</x:v>
      </x:c>
      <x:c r="E225" s="170" t="n">
        <x:v>-22814094271</x:v>
      </x:c>
      <x:c r="F225" s="170" t="n">
        <x:v>-22814094271</x:v>
      </x:c>
      <x:c r="G225" s="170" t="str">
        <x:v>Rupees</x:v>
      </x:c>
      <x:c r="H225" s="170" t="n">
        <x:f>F225/1000000</x:f>
        <x:v>-22814.094271</x:v>
      </x:c>
      <x:c r="I225" s="170" t="n">
        <x:f>KOHC!H85</x:f>
        <x:v>-22814.094271</x:v>
      </x:c>
      <x:c r="J225" s="170" t="n">
        <x:f>H225-I225</x:f>
        <x:v>0</x:v>
      </x:c>
      <x:c r="K225" s="76" t="str">
        <x:v>Kohat_Cement_Annual_Report_2025.pdf</x:v>
      </x:c>
      <x:c r="L225" s="76" t="n">
        <x:v>70</x:v>
      </x:c>
      <x:c r="M225" s="76" t="str">
        <x:v>Current year</x:v>
      </x:c>
      <x:c r="N225" s="99" t="str">
        <x:v>Printed amount independently located</x:v>
      </x:c>
      <x:c r="O225" s="99" t="str">
        <x:v>Exact source amount found; audited year/current-comparative column recorded. Accounting subtotal tests performed separately.</x:v>
      </x:c>
      <x:c r="P225" s="99" t="str">
        <x:v>F 
PROFIT OR LOSS
For the year ended June 30, 2025
  2025 2024
 Note Rupees Rupees
Sales-net 24   37,535,700,372   38,647,767,972 
Cost of sales 25   (22,814,094,271)  (27,391,276,477)
Gross Profit    14,721,606,101  11,256,491,495 
Selling and distribution expenses 26   (225,600,417)  (197,259,359)
Administrative and general expenses 27   (695</x:v>
      </x:c>
    </x:row>
    <x:row r="226" ht="82" customHeight="1">
      <x:c r="A226" s="168" t="str">
        <x:v>KOHC|selling|2021</x:v>
      </x:c>
      <x:c r="B226" s="168" t="str">
        <x:v>KOHC</x:v>
      </x:c>
      <x:c r="C226" s="168" t="str">
        <x:v>FY2021</x:v>
      </x:c>
      <x:c r="D226" s="168" t="str">
        <x:v>Selling and distribution expenses</x:v>
      </x:c>
      <x:c r="E226" s="169" t="n">
        <x:v>-94165965</x:v>
      </x:c>
      <x:c r="F226" s="169" t="n">
        <x:v>-94165965</x:v>
      </x:c>
      <x:c r="G226" s="169" t="str">
        <x:v>Rupees</x:v>
      </x:c>
      <x:c r="H226" s="169" t="n">
        <x:f>F226/1000000</x:f>
        <x:v>-94.165965</x:v>
      </x:c>
      <x:c r="I226" s="169" t="n">
        <x:f>KOHC!D87</x:f>
        <x:v>-94.165965</x:v>
      </x:c>
      <x:c r="J226" s="169" t="n">
        <x:f>H226-I226</x:f>
        <x:v>0</x:v>
      </x:c>
      <x:c r="K226" s="168" t="str">
        <x:v>Kohat_Cement_AR_2022.pdf</x:v>
      </x:c>
      <x:c r="L226" s="168" t="n">
        <x:v>54</x:v>
      </x:c>
      <x:c r="M226" s="168" t="str">
        <x:v>Comparative</x:v>
      </x:c>
      <x:c r="N226" s="171" t="str">
        <x:v>Printed amount independently located</x:v>
      </x:c>
      <x:c r="O226" s="171" t="str">
        <x:v>Exact source amount found; audited year/current-comparative column recorded. Accounting subtotal tests performed separately.</x:v>
      </x:c>
      <x:c r="P226" s="171" t="str">
        <x:v>sales 27   (23,065,180,670)  (18,092,026,933)
Gross Profit    9,811,768,509  5,965,349,059
Selling and distribution expenses 28   (122,136,736)  (94,165,965)
Administrative and general expenses 29   (353,522,846)  (313,524,670)
Other income 30   690,143,396   170,674,670 
Other expenses 31   (563,052,382)  (325,323,074)
     (348,568,5</x:v>
      </x:c>
    </x:row>
    <x:row r="227" ht="82" customHeight="1">
      <x:c r="A227" s="76" t="str">
        <x:v>KOHC|selling|2022</x:v>
      </x:c>
      <x:c r="B227" s="76" t="str">
        <x:v>KOHC</x:v>
      </x:c>
      <x:c r="C227" s="76" t="str">
        <x:v>FY2022</x:v>
      </x:c>
      <x:c r="D227" s="76" t="str">
        <x:v>Selling and distribution expenses</x:v>
      </x:c>
      <x:c r="E227" s="170" t="n">
        <x:v>-122136736</x:v>
      </x:c>
      <x:c r="F227" s="170" t="n">
        <x:v>-122136736</x:v>
      </x:c>
      <x:c r="G227" s="170" t="str">
        <x:v>Rupees</x:v>
      </x:c>
      <x:c r="H227" s="170" t="n">
        <x:f>F227/1000000</x:f>
        <x:v>-122.136736</x:v>
      </x:c>
      <x:c r="I227" s="170" t="n">
        <x:f>KOHC!E87</x:f>
        <x:v>-122.136736</x:v>
      </x:c>
      <x:c r="J227" s="170" t="n">
        <x:f>H227-I227</x:f>
        <x:v>0</x:v>
      </x:c>
      <x:c r="K227" s="76" t="str">
        <x:v>Financial_Statements-30-06-2023.pdf</x:v>
      </x:c>
      <x:c r="L227" s="76" t="n">
        <x:v>54</x:v>
      </x:c>
      <x:c r="M227" s="76" t="str">
        <x:v>Comparative</x:v>
      </x:c>
      <x:c r="N227" s="99" t="str">
        <x:v>Printed amount independently located</x:v>
      </x:c>
      <x:c r="O227" s="99" t="str">
        <x:v>Exact source amount found; audited year/current-comparative column recorded. Accounting subtotal tests performed separately.</x:v>
      </x:c>
      <x:c r="P227" s="99" t="str">
        <x:v>sales 27   (28,488,941,331)  (23,065,180,670)
Gross Profit    10,432,694,019  9,811,768,509
Selling and distribution expenses 28   (176,123,458)  (122,136,736)
Administrative and general expenses 29   (396,230,055)  (353,522,846)
Other income 30   2,085,808,053   690,143,396 
Other expenses 31   (736,512,959)  (563,052,382)
     776,941,</x:v>
      </x:c>
    </x:row>
    <x:row r="228" ht="82" customHeight="1">
      <x:c r="A228" s="168" t="str">
        <x:v>KOHC|selling|2023</x:v>
      </x:c>
      <x:c r="B228" s="168" t="str">
        <x:v>KOHC</x:v>
      </x:c>
      <x:c r="C228" s="168" t="str">
        <x:v>FY2023</x:v>
      </x:c>
      <x:c r="D228" s="168" t="str">
        <x:v>Selling and distribution expenses</x:v>
      </x:c>
      <x:c r="E228" s="169" t="n">
        <x:v>-176123458</x:v>
      </x:c>
      <x:c r="F228" s="169" t="n">
        <x:v>-176123458</x:v>
      </x:c>
      <x:c r="G228" s="169" t="str">
        <x:v>Rupees</x:v>
      </x:c>
      <x:c r="H228" s="169" t="n">
        <x:f>F228/1000000</x:f>
        <x:v>-176.123458</x:v>
      </x:c>
      <x:c r="I228" s="169" t="n">
        <x:f>KOHC!F87</x:f>
        <x:v>-176.123458</x:v>
      </x:c>
      <x:c r="J228" s="169" t="n">
        <x:f>H228-I228</x:f>
        <x:v>0</x:v>
      </x:c>
      <x:c r="K228" s="168" t="str">
        <x:v>Kohat_Cement_Annual_Report-2024.pdf</x:v>
      </x:c>
      <x:c r="L228" s="168" t="n">
        <x:v>60</x:v>
      </x:c>
      <x:c r="M228" s="168" t="str">
        <x:v>Comparative</x:v>
      </x:c>
      <x:c r="N228" s="171" t="str">
        <x:v>Printed amount independently located</x:v>
      </x:c>
      <x:c r="O228" s="171" t="str">
        <x:v>Exact source amount found; audited year/current-comparative column recorded. Accounting subtotal tests performed separately.</x:v>
      </x:c>
      <x:c r="P228" s="171" t="str">
        <x:v>26    (27,391,276,477)     (28,488,941,331)
Gross Profit   11,256,491,495    10,432,694,019 
Selling and distribution expenses 27   (197,259,359)  (176,123,458)
Administrative and general expenses 28   (488,042,831)  (396,230,055)
Other expenses 29   (571,950,389)  (736,512,959)
     (1,257,252,579)  (1,308,866,472)
Operating profit   9,9</x:v>
      </x:c>
    </x:row>
    <x:row r="229" ht="82" customHeight="1">
      <x:c r="A229" s="76" t="str">
        <x:v>KOHC|selling|2024</x:v>
      </x:c>
      <x:c r="B229" s="76" t="str">
        <x:v>KOHC</x:v>
      </x:c>
      <x:c r="C229" s="76" t="str">
        <x:v>FY2024</x:v>
      </x:c>
      <x:c r="D229" s="76" t="str">
        <x:v>Selling and distribution expenses</x:v>
      </x:c>
      <x:c r="E229" s="170" t="n">
        <x:v>-197259359</x:v>
      </x:c>
      <x:c r="F229" s="170" t="n">
        <x:v>-197259359</x:v>
      </x:c>
      <x:c r="G229" s="170" t="str">
        <x:v>Rupees</x:v>
      </x:c>
      <x:c r="H229" s="170" t="n">
        <x:f>F229/1000000</x:f>
        <x:v>-197.259359</x:v>
      </x:c>
      <x:c r="I229" s="170" t="n">
        <x:f>KOHC!G87</x:f>
        <x:v>-197.259359</x:v>
      </x:c>
      <x:c r="J229" s="170" t="n">
        <x:f>H229-I229</x:f>
        <x:v>0</x:v>
      </x:c>
      <x:c r="K229" s="76" t="str">
        <x:v>Kohat_Cement_Annual_Report_2025.pdf</x:v>
      </x:c>
      <x:c r="L229" s="76" t="n">
        <x:v>70</x:v>
      </x:c>
      <x:c r="M229" s="76" t="str">
        <x:v>Comparative</x:v>
      </x:c>
      <x:c r="N229" s="99" t="str">
        <x:v>Printed amount independently located</x:v>
      </x:c>
      <x:c r="O229" s="99" t="str">
        <x:v>Exact source amount found; audited year/current-comparative column recorded. Accounting subtotal tests performed separately.</x:v>
      </x:c>
      <x:c r="P229" s="99" t="str">
        <x:v>f sales 25   (22,814,094,271)  (27,391,276,477)
Gross Profit    14,721,606,101  11,256,491,495 
Selling and distribution expenses 26   (225,600,417)  (197,259,359)
Administrative and general expenses 27   (695,553,118)  (488,042,831)
(Allowance) / reversal of expected credit loss  on trade debts  20   (44,078,565)  2,010,516 
Other expenses</x:v>
      </x:c>
    </x:row>
    <x:row r="230" ht="82" customHeight="1">
      <x:c r="A230" s="168" t="str">
        <x:v>KOHC|selling|2025</x:v>
      </x:c>
      <x:c r="B230" s="168" t="str">
        <x:v>KOHC</x:v>
      </x:c>
      <x:c r="C230" s="168" t="str">
        <x:v>FY2025</x:v>
      </x:c>
      <x:c r="D230" s="168" t="str">
        <x:v>Selling and distribution expenses</x:v>
      </x:c>
      <x:c r="E230" s="169" t="n">
        <x:v>-225600417</x:v>
      </x:c>
      <x:c r="F230" s="169" t="n">
        <x:v>-225600417</x:v>
      </x:c>
      <x:c r="G230" s="169" t="str">
        <x:v>Rupees</x:v>
      </x:c>
      <x:c r="H230" s="169" t="n">
        <x:f>F230/1000000</x:f>
        <x:v>-225.600417</x:v>
      </x:c>
      <x:c r="I230" s="169" t="n">
        <x:f>KOHC!H87</x:f>
        <x:v>-225.600417</x:v>
      </x:c>
      <x:c r="J230" s="169" t="n">
        <x:f>H230-I230</x:f>
        <x:v>0</x:v>
      </x:c>
      <x:c r="K230" s="168" t="str">
        <x:v>Kohat_Cement_Annual_Report_2025.pdf</x:v>
      </x:c>
      <x:c r="L230" s="168" t="n">
        <x:v>70</x:v>
      </x:c>
      <x:c r="M230" s="168" t="str">
        <x:v>Current year</x:v>
      </x:c>
      <x:c r="N230" s="171" t="str">
        <x:v>Printed amount independently located</x:v>
      </x:c>
      <x:c r="O230" s="171" t="str">
        <x:v>Exact source amount found; audited year/current-comparative column recorded. Accounting subtotal tests performed separately.</x:v>
      </x:c>
      <x:c r="P230" s="171" t="str">
        <x:v>767,972 
Cost of sales 25   (22,814,094,271)  (27,391,276,477)
Gross Profit    14,721,606,101  11,256,491,495 
Selling and distribution expenses 26   (225,600,417)  (197,259,359)
Administrative and general expenses 27   (695,553,118)  (488,042,831)
(Allowance) / reversal of expected credit loss  on trade debts  20   (44,078,565)  2,010,516</x:v>
      </x:c>
    </x:row>
    <x:row r="231" ht="82" customHeight="1">
      <x:c r="A231" s="76" t="str">
        <x:v>KOHC|admin|2021</x:v>
      </x:c>
      <x:c r="B231" s="76" t="str">
        <x:v>KOHC</x:v>
      </x:c>
      <x:c r="C231" s="76" t="str">
        <x:v>FY2021</x:v>
      </x:c>
      <x:c r="D231" s="76" t="str">
        <x:v>Administrative expenses</x:v>
      </x:c>
      <x:c r="E231" s="170" t="n">
        <x:v>-313524670</x:v>
      </x:c>
      <x:c r="F231" s="170" t="n">
        <x:v>-313524670</x:v>
      </x:c>
      <x:c r="G231" s="170" t="str">
        <x:v>Rupees</x:v>
      </x:c>
      <x:c r="H231" s="170" t="n">
        <x:f>F231/1000000</x:f>
        <x:v>-313.52467</x:v>
      </x:c>
      <x:c r="I231" s="170" t="n">
        <x:f>KOHC!D88</x:f>
        <x:v>-313.52467</x:v>
      </x:c>
      <x:c r="J231" s="170" t="n">
        <x:f>H231-I231</x:f>
        <x:v>0</x:v>
      </x:c>
      <x:c r="K231" s="76" t="str">
        <x:v>Kohat_Cement_AR_2022.pdf</x:v>
      </x:c>
      <x:c r="L231" s="76" t="n">
        <x:v>54</x:v>
      </x:c>
      <x:c r="M231" s="76" t="str">
        <x:v>Comparative</x:v>
      </x:c>
      <x:c r="N231" s="99" t="str">
        <x:v>Printed amount independently located</x:v>
      </x:c>
      <x:c r="O231" s="99" t="str">
        <x:v>Exact source amount found; audited year/current-comparative column recorded. Accounting subtotal tests performed separately.</x:v>
      </x:c>
      <x:c r="P231" s="99" t="str">
        <x:v>768,509  5,965,349,059
Selling and distribution expenses 28   (122,136,736)  (94,165,965)
Administrative and general expenses 29   (353,522,846)  (313,524,670)
Other income 30   690,143,396   170,674,670 
Other expenses 31   (563,052,382)  (325,323,074)
     (348,568,568)  (562,339,039)
Operating profit    9,463,199,941  5,403,010,020 
F</x:v>
      </x:c>
    </x:row>
    <x:row r="232" ht="82" customHeight="1">
      <x:c r="A232" s="168" t="str">
        <x:v>KOHC|admin|2022</x:v>
      </x:c>
      <x:c r="B232" s="168" t="str">
        <x:v>KOHC</x:v>
      </x:c>
      <x:c r="C232" s="168" t="str">
        <x:v>FY2022</x:v>
      </x:c>
      <x:c r="D232" s="168" t="str">
        <x:v>Administrative expenses</x:v>
      </x:c>
      <x:c r="E232" s="169" t="n">
        <x:v>-353522846</x:v>
      </x:c>
      <x:c r="F232" s="169" t="n">
        <x:v>-353522846</x:v>
      </x:c>
      <x:c r="G232" s="169" t="str">
        <x:v>Rupees</x:v>
      </x:c>
      <x:c r="H232" s="169" t="n">
        <x:f>F232/1000000</x:f>
        <x:v>-353.522846</x:v>
      </x:c>
      <x:c r="I232" s="169" t="n">
        <x:f>KOHC!E88</x:f>
        <x:v>-353.522846</x:v>
      </x:c>
      <x:c r="J232" s="169" t="n">
        <x:f>H232-I232</x:f>
        <x:v>0</x:v>
      </x:c>
      <x:c r="K232" s="168" t="str">
        <x:v>Financial_Statements-30-06-2023.pdf</x:v>
      </x:c>
      <x:c r="L232" s="168" t="n">
        <x:v>54</x:v>
      </x:c>
      <x:c r="M232" s="168" t="str">
        <x:v>Comparative</x:v>
      </x:c>
      <x:c r="N232" s="171" t="str">
        <x:v>Printed amount independently located</x:v>
      </x:c>
      <x:c r="O232" s="171" t="str">
        <x:v>Exact source amount found; audited year/current-comparative column recorded. Accounting subtotal tests performed separately.</x:v>
      </x:c>
      <x:c r="P232" s="171" t="str">
        <x:v>94,019  9,811,768,509
Selling and distribution expenses 28   (176,123,458)  (122,136,736)
Administrative and general expenses 29   (396,230,055)  (353,522,846)
Other income 30   2,085,808,053   690,143,396 
Other expenses 31   (736,512,959)  (563,052,382)
     776,941,581   (348,568,568)
Operating profit    11,209,635,600  9,463,199,941</x:v>
      </x:c>
    </x:row>
    <x:row r="233" ht="82" customHeight="1">
      <x:c r="A233" s="76" t="str">
        <x:v>KOHC|admin|2023</x:v>
      </x:c>
      <x:c r="B233" s="76" t="str">
        <x:v>KOHC</x:v>
      </x:c>
      <x:c r="C233" s="76" t="str">
        <x:v>FY2023</x:v>
      </x:c>
      <x:c r="D233" s="76" t="str">
        <x:v>Administrative expenses</x:v>
      </x:c>
      <x:c r="E233" s="170" t="n">
        <x:v>-396230055</x:v>
      </x:c>
      <x:c r="F233" s="170" t="n">
        <x:v>-396230055</x:v>
      </x:c>
      <x:c r="G233" s="170" t="str">
        <x:v>Rupees</x:v>
      </x:c>
      <x:c r="H233" s="170" t="n">
        <x:f>F233/1000000</x:f>
        <x:v>-396.230055</x:v>
      </x:c>
      <x:c r="I233" s="170" t="n">
        <x:f>KOHC!F88</x:f>
        <x:v>-396.230055</x:v>
      </x:c>
      <x:c r="J233" s="170" t="n">
        <x:f>H233-I233</x:f>
        <x:v>0</x:v>
      </x:c>
      <x:c r="K233" s="76" t="str">
        <x:v>Kohat_Cement_Annual_Report-2024.pdf</x:v>
      </x:c>
      <x:c r="L233" s="76" t="n">
        <x:v>60</x:v>
      </x:c>
      <x:c r="M233" s="76" t="str">
        <x:v>Comparative</x:v>
      </x:c>
      <x:c r="N233" s="99" t="str">
        <x:v>Printed amount independently located</x:v>
      </x:c>
      <x:c r="O233" s="99" t="str">
        <x:v>Exact source amount found; audited year/current-comparative column recorded. Accounting subtotal tests performed separately.</x:v>
      </x:c>
      <x:c r="P233" s="99" t="str">
        <x:v>,495    10,432,694,019 
Selling and distribution expenses 27   (197,259,359)  (176,123,458)
Administrative and general expenses 28   (488,042,831)  (396,230,055)
Other expenses 29   (571,950,389)  (736,512,959)
     (1,257,252,579)  (1,308,866,472)
Operating profit   9,999,238,916   9,123,827,547 
Other income 30  4,454,427,029     2,085,8</x:v>
      </x:c>
    </x:row>
    <x:row r="234" ht="82" customHeight="1">
      <x:c r="A234" s="168" t="str">
        <x:v>KOHC|admin|2024</x:v>
      </x:c>
      <x:c r="B234" s="168" t="str">
        <x:v>KOHC</x:v>
      </x:c>
      <x:c r="C234" s="168" t="str">
        <x:v>FY2024</x:v>
      </x:c>
      <x:c r="D234" s="168" t="str">
        <x:v>Administrative expenses</x:v>
      </x:c>
      <x:c r="E234" s="169" t="n">
        <x:v>-488042831</x:v>
      </x:c>
      <x:c r="F234" s="169" t="n">
        <x:v>-488042831</x:v>
      </x:c>
      <x:c r="G234" s="169" t="str">
        <x:v>Rupees</x:v>
      </x:c>
      <x:c r="H234" s="169" t="n">
        <x:f>F234/1000000</x:f>
        <x:v>-488.042831</x:v>
      </x:c>
      <x:c r="I234" s="169" t="n">
        <x:f>KOHC!G88</x:f>
        <x:v>-488.042831</x:v>
      </x:c>
      <x:c r="J234" s="169" t="n">
        <x:f>H234-I234</x:f>
        <x:v>0</x:v>
      </x:c>
      <x:c r="K234" s="168" t="str">
        <x:v>Kohat_Cement_Annual_Report_2025.pdf</x:v>
      </x:c>
      <x:c r="L234" s="168" t="n">
        <x:v>70</x:v>
      </x:c>
      <x:c r="M234" s="168" t="str">
        <x:v>Comparative</x:v>
      </x:c>
      <x:c r="N234" s="171" t="str">
        <x:v>Printed amount independently located</x:v>
      </x:c>
      <x:c r="O234" s="171" t="str">
        <x:v>Exact source amount found; audited year/current-comparative column recorded. Accounting subtotal tests performed separately.</x:v>
      </x:c>
      <x:c r="P234" s="171" t="str">
        <x:v>,606,101  11,256,491,495 
Selling and distribution expenses 26   (225,600,417)  (197,259,359)
Administrative and general expenses 27   (695,553,118)  (488,042,831)
(Allowance) / reversal of expected credit loss  on trade debts  20   (44,078,565)  2,010,516 
Other expenses 28   (940,359,065)  (571,950,389)
     (1,905,591,165)  (1,255,242,063</x:v>
      </x:c>
    </x:row>
    <x:row r="235" ht="82" customHeight="1">
      <x:c r="A235" s="76" t="str">
        <x:v>KOHC|admin|2025</x:v>
      </x:c>
      <x:c r="B235" s="76" t="str">
        <x:v>KOHC</x:v>
      </x:c>
      <x:c r="C235" s="76" t="str">
        <x:v>FY2025</x:v>
      </x:c>
      <x:c r="D235" s="76" t="str">
        <x:v>Administrative expenses</x:v>
      </x:c>
      <x:c r="E235" s="170" t="n">
        <x:v>-695553118</x:v>
      </x:c>
      <x:c r="F235" s="170" t="n">
        <x:v>-695553118</x:v>
      </x:c>
      <x:c r="G235" s="170" t="str">
        <x:v>Rupees</x:v>
      </x:c>
      <x:c r="H235" s="170" t="n">
        <x:f>F235/1000000</x:f>
        <x:v>-695.553118</x:v>
      </x:c>
      <x:c r="I235" s="170" t="n">
        <x:f>KOHC!H88</x:f>
        <x:v>-695.553118</x:v>
      </x:c>
      <x:c r="J235" s="170" t="n">
        <x:f>H235-I235</x:f>
        <x:v>0</x:v>
      </x:c>
      <x:c r="K235" s="76" t="str">
        <x:v>Kohat_Cement_Annual_Report_2025.pdf</x:v>
      </x:c>
      <x:c r="L235" s="76" t="n">
        <x:v>70</x:v>
      </x:c>
      <x:c r="M235" s="76" t="str">
        <x:v>Current year</x:v>
      </x:c>
      <x:c r="N235" s="99" t="str">
        <x:v>Printed amount independently located</x:v>
      </x:c>
      <x:c r="O235" s="99" t="str">
        <x:v>Exact source amount found; audited year/current-comparative column recorded. Accounting subtotal tests performed separately.</x:v>
      </x:c>
      <x:c r="P235" s="99" t="str">
        <x:v>rofit    14,721,606,101  11,256,491,495 
Selling and distribution expenses 26   (225,600,417)  (197,259,359)
Administrative and general expenses 27   (695,553,118)  (488,042,831)
(Allowance) / reversal of expected credit loss  on trade debts  20   (44,078,565)  2,010,516 
Other expenses 28   (940,359,065)  (571,950,389)
     (1,905,591,165)</x:v>
      </x:c>
    </x:row>
    <x:row r="236" ht="82" customHeight="1">
      <x:c r="A236" s="168" t="str">
        <x:v>KOHC|impair|2021</x:v>
      </x:c>
      <x:c r="B236" s="168" t="str">
        <x:v>KOHC</x:v>
      </x:c>
      <x:c r="C236" s="168" t="str">
        <x:v>FY2021</x:v>
      </x:c>
      <x:c r="D236" s="168" t="str">
        <x:v>Impairment / expected credit loss on financial assets</x:v>
      </x:c>
      <x:c r="E236" s="169" t="n">
        <x:v>0</x:v>
      </x:c>
      <x:c r="F236" s="169" t="n">
        <x:v>0</x:v>
      </x:c>
      <x:c r="G236" s="169" t="str">
        <x:v>Rupees</x:v>
      </x:c>
      <x:c r="H236" s="169" t="n">
        <x:f>F236/1000000</x:f>
        <x:v>0</x:v>
      </x:c>
      <x:c r="I236" s="169" t="n">
        <x:f>KOHC!D89</x:f>
        <x:v>0</x:v>
      </x:c>
      <x:c r="J236" s="169" t="n">
        <x:f>H236-I236</x:f>
        <x:v>0</x:v>
      </x:c>
      <x:c r="K236" s="168" t="str">
        <x:v>Kohat_Cement_AR_2022.pdf</x:v>
      </x:c>
      <x:c r="L236" s="168" t="n">
        <x:v>54</x:v>
      </x:c>
      <x:c r="M236" s="168" t="str">
        <x:v>Comparative</x:v>
      </x:c>
      <x:c r="N236" s="171" t="str">
        <x:v>Zero / no separate line in audited presentation</x:v>
      </x:c>
      <x:c r="O236" s="171" t="str">
        <x:v>Zero classification checked within the audited statement/note and reconstructed statement totals; absence of a separate line does not imply a missing replacement estimate.</x:v>
      </x:c>
      <x:c r="P236" s="171" t="str">
        <x:v>
  2022 2021
 Note Rupees Rupees
Sales-net 26   32,876,949,179   24,057,375,992 
Cost of sales 27   (23,065,180,670)  (18,092,026,933)
Gross Profit    | Impairment / expected credit loss on financial assets</x:v>
      </x:c>
    </x:row>
    <x:row r="237" ht="82" customHeight="1">
      <x:c r="A237" s="76" t="str">
        <x:v>KOHC|impair|2022</x:v>
      </x:c>
      <x:c r="B237" s="76" t="str">
        <x:v>KOHC</x:v>
      </x:c>
      <x:c r="C237" s="76" t="str">
        <x:v>FY2022</x:v>
      </x:c>
      <x:c r="D237" s="76" t="str">
        <x:v>Impairment / expected credit loss on financial assets</x:v>
      </x:c>
      <x:c r="E237" s="170" t="n">
        <x:v>0</x:v>
      </x:c>
      <x:c r="F237" s="170" t="n">
        <x:v>0</x:v>
      </x:c>
      <x:c r="G237" s="170" t="str">
        <x:v>Rupees</x:v>
      </x:c>
      <x:c r="H237" s="170" t="n">
        <x:f>F237/1000000</x:f>
        <x:v>0</x:v>
      </x:c>
      <x:c r="I237" s="170" t="n">
        <x:f>KOHC!E89</x:f>
        <x:v>0</x:v>
      </x:c>
      <x:c r="J237" s="170" t="n">
        <x:f>H237-I237</x:f>
        <x:v>0</x:v>
      </x:c>
      <x:c r="K237" s="76" t="str">
        <x:v>Financial_Statements-30-06-2023.pdf</x:v>
      </x:c>
      <x:c r="L237" s="76" t="n">
        <x:v>54</x:v>
      </x:c>
      <x:c r="M237" s="76" t="str">
        <x:v>Comparative</x:v>
      </x:c>
      <x:c r="N237" s="99" t="str">
        <x:v>Zero / no separate line in audited presentation</x:v>
      </x:c>
      <x:c r="O237" s="99" t="str">
        <x:v>Zero classification checked within the audited statement/note and reconstructed statement totals; absence of a separate line does not imply a missing replacement estimate.</x:v>
      </x:c>
      <x:c r="P237" s="99" t="str">
        <x:v>
52
  2023 2022
 Note Rupees Rupees
Sales-net 26   38,921,635,350   32,876,949,179 
Cost of sales 27   (28,488,941,331)  (23,065,180,670)
Gross Profit | Impairment / expected credit loss on financial assets</x:v>
      </x:c>
    </x:row>
    <x:row r="238" ht="82" customHeight="1">
      <x:c r="A238" s="168" t="str">
        <x:v>KOHC|impair|2023</x:v>
      </x:c>
      <x:c r="B238" s="168" t="str">
        <x:v>KOHC</x:v>
      </x:c>
      <x:c r="C238" s="168" t="str">
        <x:v>FY2023</x:v>
      </x:c>
      <x:c r="D238" s="168" t="str">
        <x:v>Impairment / expected credit loss on financial assets</x:v>
      </x:c>
      <x:c r="E238" s="169" t="n">
        <x:v>0</x:v>
      </x:c>
      <x:c r="F238" s="169" t="n">
        <x:v>0</x:v>
      </x:c>
      <x:c r="G238" s="169" t="str">
        <x:v>Rupees</x:v>
      </x:c>
      <x:c r="H238" s="169" t="n">
        <x:f>F238/1000000</x:f>
        <x:v>0</x:v>
      </x:c>
      <x:c r="I238" s="169" t="n">
        <x:f>KOHC!F89</x:f>
        <x:v>0</x:v>
      </x:c>
      <x:c r="J238" s="169" t="n">
        <x:f>H238-I238</x:f>
        <x:v>0</x:v>
      </x:c>
      <x:c r="K238" s="168" t="str">
        <x:v>Kohat_Cement_Annual_Report-2024.pdf</x:v>
      </x:c>
      <x:c r="L238" s="168" t="n">
        <x:v>60</x:v>
      </x:c>
      <x:c r="M238" s="168" t="str">
        <x:v>Comparative</x:v>
      </x:c>
      <x:c r="N238" s="171" t="str">
        <x:v>Zero / no separate line in audited presentation</x:v>
      </x:c>
      <x:c r="O238" s="171" t="str">
        <x:v>Zero classification checked within the audited statement/note and reconstructed statement totals; absence of a separate line does not imply a missing replacement estimate.</x:v>
      </x:c>
      <x:c r="P238" s="171" t="str">
        <x:v>
58
  2024 2023
 Note Rupees Rupees
   Restated
Sales–net 25   38,647,767,972     38,921,635,350 
Cost of sales 26    (27,391,276,477)     (28,488,941 | Impairment / expected credit loss on financial assets</x:v>
      </x:c>
    </x:row>
    <x:row r="239" ht="82" customHeight="1">
      <x:c r="A239" s="76" t="str">
        <x:v>KOHC|impair|2024</x:v>
      </x:c>
      <x:c r="B239" s="76" t="str">
        <x:v>KOHC</x:v>
      </x:c>
      <x:c r="C239" s="76" t="str">
        <x:v>FY2024</x:v>
      </x:c>
      <x:c r="D239" s="76" t="str">
        <x:v>Impairment / expected credit loss on financial assets</x:v>
      </x:c>
      <x:c r="E239" s="170" t="n">
        <x:v>2010516</x:v>
      </x:c>
      <x:c r="F239" s="170" t="n">
        <x:v>2010516</x:v>
      </x:c>
      <x:c r="G239" s="170" t="str">
        <x:v>Rupees</x:v>
      </x:c>
      <x:c r="H239" s="170" t="n">
        <x:f>F239/1000000</x:f>
        <x:v>2.010516</x:v>
      </x:c>
      <x:c r="I239" s="170" t="n">
        <x:f>KOHC!G89</x:f>
        <x:v>2.010516</x:v>
      </x:c>
      <x:c r="J239" s="170" t="n">
        <x:f>H239-I239</x:f>
        <x:v>0</x:v>
      </x:c>
      <x:c r="K239" s="76" t="str">
        <x:v>Kohat_Cement_Annual_Report_2025.pdf</x:v>
      </x:c>
      <x:c r="L239" s="76" t="n">
        <x:v>70</x:v>
      </x:c>
      <x:c r="M239" s="76" t="str">
        <x:v>Comparative</x:v>
      </x:c>
      <x:c r="N239" s="99" t="str">
        <x:v>Printed amount independently located</x:v>
      </x:c>
      <x:c r="O239" s="99" t="str">
        <x:v>Exact source amount found; audited year/current-comparative column recorded. Accounting subtotal tests performed separately.</x:v>
      </x:c>
      <x:c r="P239" s="99" t="str">
        <x:v>inistrative and general expenses 27   (695,553,118)  (488,042,831)
(Allowance) / reversal of expected credit loss  on trade debts  20   (44,078,565)  2,010,516 
Other expenses 28   (940,359,065)  (571,950,389)
     (1,905,591,165)  (1,255,242,063)
Operating profit    12,816,014,936  10,001,249,432 
Other income 29   5,280,719,197   4,4</x:v>
      </x:c>
    </x:row>
    <x:row r="240" ht="82" customHeight="1">
      <x:c r="A240" s="168" t="str">
        <x:v>KOHC|impair|2025</x:v>
      </x:c>
      <x:c r="B240" s="168" t="str">
        <x:v>KOHC</x:v>
      </x:c>
      <x:c r="C240" s="168" t="str">
        <x:v>FY2025</x:v>
      </x:c>
      <x:c r="D240" s="168" t="str">
        <x:v>Impairment / expected credit loss on financial assets</x:v>
      </x:c>
      <x:c r="E240" s="169" t="n">
        <x:v>-44078565</x:v>
      </x:c>
      <x:c r="F240" s="169" t="n">
        <x:v>-44078565</x:v>
      </x:c>
      <x:c r="G240" s="169" t="str">
        <x:v>Rupees</x:v>
      </x:c>
      <x:c r="H240" s="169" t="n">
        <x:f>F240/1000000</x:f>
        <x:v>-44.078565</x:v>
      </x:c>
      <x:c r="I240" s="169" t="n">
        <x:f>KOHC!H89</x:f>
        <x:v>-44.078565</x:v>
      </x:c>
      <x:c r="J240" s="169" t="n">
        <x:f>H240-I240</x:f>
        <x:v>0</x:v>
      </x:c>
      <x:c r="K240" s="168" t="str">
        <x:v>Kohat_Cement_Annual_Report_2025.pdf</x:v>
      </x:c>
      <x:c r="L240" s="168" t="n">
        <x:v>70</x:v>
      </x:c>
      <x:c r="M240" s="168" t="str">
        <x:v>Current year</x:v>
      </x:c>
      <x:c r="N240" s="171" t="str">
        <x:v>Printed amount independently located</x:v>
      </x:c>
      <x:c r="O240" s="171" t="str">
        <x:v>Exact source amount found; audited year/current-comparative column recorded. Accounting subtotal tests performed separately.</x:v>
      </x:c>
      <x:c r="P240" s="171" t="str">
        <x:v>7,259,359)
Administrative and general expenses 27   (695,553,118)  (488,042,831)
(Allowance) / reversal of expected credit loss  on trade debts  20   (44,078,565)  2,010,516 
Other expenses 28   (940,359,065)  (571,950,389)
     (1,905,591,165)  (1,255,242,063)
Operating profit    12,816,014,936  10,001,249,432 
Other income 29   5,280,71</x:v>
      </x:c>
    </x:row>
    <x:row r="241" ht="82" customHeight="1">
      <x:c r="A241" s="76" t="str">
        <x:v>KOHC|oth_exp|2021</x:v>
      </x:c>
      <x:c r="B241" s="76" t="str">
        <x:v>KOHC</x:v>
      </x:c>
      <x:c r="C241" s="76" t="str">
        <x:v>FY2021</x:v>
      </x:c>
      <x:c r="D241" s="76" t="str">
        <x:v>Other operating expenses (incl. WPPF/WWF)</x:v>
      </x:c>
      <x:c r="E241" s="170" t="n">
        <x:v>-325323074</x:v>
      </x:c>
      <x:c r="F241" s="170" t="n">
        <x:v>-325323074</x:v>
      </x:c>
      <x:c r="G241" s="170" t="str">
        <x:v>Rupees</x:v>
      </x:c>
      <x:c r="H241" s="170" t="n">
        <x:f>F241/1000000</x:f>
        <x:v>-325.323074</x:v>
      </x:c>
      <x:c r="I241" s="170" t="n">
        <x:f>KOHC!D90</x:f>
        <x:v>-325.323074</x:v>
      </x:c>
      <x:c r="J241" s="170" t="n">
        <x:f>H241-I241</x:f>
        <x:v>0</x:v>
      </x:c>
      <x:c r="K241" s="76" t="str">
        <x:v>Kohat_Cement_AR_2022.pdf</x:v>
      </x:c>
      <x:c r="L241" s="76" t="n">
        <x:v>54</x:v>
      </x:c>
      <x:c r="M241" s="76" t="str">
        <x:v>Comparative</x:v>
      </x:c>
      <x:c r="N241" s="99" t="str">
        <x:v>Printed amount independently located</x:v>
      </x:c>
      <x:c r="O241" s="99" t="str">
        <x:v>Exact source amount found; audited year/current-comparative column recorded. Accounting subtotal tests performed separately.</x:v>
      </x:c>
      <x:c r="P241" s="99" t="str">
        <x:v>Administrative and general expenses 29   (353,522,846)  (313,524,670)
Other income 30   690,143,396   170,674,670 
Other expenses 31   (563,052,382)  (325,323,074)
     (348,568,568)  (562,339,039)
Operating profit    9,463,199,941  5,403,010,020 
Finance cost 32   (537,710,815)  (517,055,413)
Profit before taxation   8,925,489,126  4,885,95</x:v>
      </x:c>
    </x:row>
    <x:row r="242" ht="82" customHeight="1">
      <x:c r="A242" s="168" t="str">
        <x:v>KOHC|oth_exp|2022</x:v>
      </x:c>
      <x:c r="B242" s="168" t="str">
        <x:v>KOHC</x:v>
      </x:c>
      <x:c r="C242" s="168" t="str">
        <x:v>FY2022</x:v>
      </x:c>
      <x:c r="D242" s="168" t="str">
        <x:v>Other operating expenses (incl. WPPF/WWF)</x:v>
      </x:c>
      <x:c r="E242" s="169" t="n">
        <x:v>-563052382</x:v>
      </x:c>
      <x:c r="F242" s="169" t="n">
        <x:v>-563052382</x:v>
      </x:c>
      <x:c r="G242" s="169" t="str">
        <x:v>Rupees</x:v>
      </x:c>
      <x:c r="H242" s="169" t="n">
        <x:f>F242/1000000</x:f>
        <x:v>-563.052382</x:v>
      </x:c>
      <x:c r="I242" s="169" t="n">
        <x:f>KOHC!E90</x:f>
        <x:v>-563.052382</x:v>
      </x:c>
      <x:c r="J242" s="169" t="n">
        <x:f>H242-I242</x:f>
        <x:v>0</x:v>
      </x:c>
      <x:c r="K242" s="168" t="str">
        <x:v>Financial_Statements-30-06-2023.pdf</x:v>
      </x:c>
      <x:c r="L242" s="168" t="n">
        <x:v>54</x:v>
      </x:c>
      <x:c r="M242" s="168" t="str">
        <x:v>Comparative</x:v>
      </x:c>
      <x:c r="N242" s="171" t="str">
        <x:v>Printed amount independently located</x:v>
      </x:c>
      <x:c r="O242" s="171" t="str">
        <x:v>Exact source amount found; audited year/current-comparative column recorded. Accounting subtotal tests performed separately.</x:v>
      </x:c>
      <x:c r="P242" s="171" t="str">
        <x:v>ministrative and general expenses 29   (396,230,055)  (353,522,846)
Other income 30   2,085,808,053   690,143,396 
Other expenses 31   (736,512,959)  (563,052,382)
     776,941,581   (348,568,568)
Operating profit    11,209,635,600  9,463,199,941 
Finance cost 32   (740,307,772)  (537,710,815)
Profit before taxation   10,469,327,828  8,925,4</x:v>
      </x:c>
    </x:row>
    <x:row r="243" ht="82" customHeight="1">
      <x:c r="A243" s="76" t="str">
        <x:v>KOHC|oth_exp|2023</x:v>
      </x:c>
      <x:c r="B243" s="76" t="str">
        <x:v>KOHC</x:v>
      </x:c>
      <x:c r="C243" s="76" t="str">
        <x:v>FY2023</x:v>
      </x:c>
      <x:c r="D243" s="76" t="str">
        <x:v>Other operating expenses (incl. WPPF/WWF)</x:v>
      </x:c>
      <x:c r="E243" s="170" t="n">
        <x:v>-736512959</x:v>
      </x:c>
      <x:c r="F243" s="170" t="n">
        <x:v>-736512959</x:v>
      </x:c>
      <x:c r="G243" s="170" t="str">
        <x:v>Rupees</x:v>
      </x:c>
      <x:c r="H243" s="170" t="n">
        <x:f>F243/1000000</x:f>
        <x:v>-736.512959</x:v>
      </x:c>
      <x:c r="I243" s="170" t="n">
        <x:f>KOHC!F90</x:f>
        <x:v>-736.512959</x:v>
      </x:c>
      <x:c r="J243" s="170" t="n">
        <x:f>H243-I243</x:f>
        <x:v>0</x:v>
      </x:c>
      <x:c r="K243" s="76" t="str">
        <x:v>Kohat_Cement_Annual_Report-2024.pdf</x:v>
      </x:c>
      <x:c r="L243" s="76" t="n">
        <x:v>60</x:v>
      </x:c>
      <x:c r="M243" s="76" t="str">
        <x:v>Comparative</x:v>
      </x:c>
      <x:c r="N243" s="99" t="str">
        <x:v>Printed amount independently located</x:v>
      </x:c>
      <x:c r="O243" s="99" t="str">
        <x:v>Exact source amount found; audited year/current-comparative column recorded. Accounting subtotal tests performed separately.</x:v>
      </x:c>
      <x:c r="P243" s="99" t="str">
        <x:v>n expenses 27   (197,259,359)  (176,123,458)
Administrative and general expenses 28   (488,042,831)  (396,230,055)
Other expenses 29   (571,950,389)  (736,512,959)
     (1,257,252,579)  (1,308,866,472)
Operating profit   9,999,238,916   9,123,827,547 
Other income 30  4,454,427,029     2,085,808,053 
Finance cost 31   (677,380,845)  (740,307</x:v>
      </x:c>
    </x:row>
    <x:row r="244" ht="82" customHeight="1">
      <x:c r="A244" s="168" t="str">
        <x:v>KOHC|oth_exp|2024</x:v>
      </x:c>
      <x:c r="B244" s="168" t="str">
        <x:v>KOHC</x:v>
      </x:c>
      <x:c r="C244" s="168" t="str">
        <x:v>FY2024</x:v>
      </x:c>
      <x:c r="D244" s="168" t="str">
        <x:v>Other operating expenses (incl. WPPF/WWF)</x:v>
      </x:c>
      <x:c r="E244" s="169" t="n">
        <x:v>-571950389</x:v>
      </x:c>
      <x:c r="F244" s="169" t="n">
        <x:v>-571950389</x:v>
      </x:c>
      <x:c r="G244" s="169" t="str">
        <x:v>Rupees</x:v>
      </x:c>
      <x:c r="H244" s="169" t="n">
        <x:f>F244/1000000</x:f>
        <x:v>-571.950389</x:v>
      </x:c>
      <x:c r="I244" s="169" t="n">
        <x:f>KOHC!G90</x:f>
        <x:v>-571.950389</x:v>
      </x:c>
      <x:c r="J244" s="169" t="n">
        <x:f>H244-I244</x:f>
        <x:v>0</x:v>
      </x:c>
      <x:c r="K244" s="168" t="str">
        <x:v>Kohat_Cement_Annual_Report_2025.pdf</x:v>
      </x:c>
      <x:c r="L244" s="168" t="n">
        <x:v>70</x:v>
      </x:c>
      <x:c r="M244" s="168" t="str">
        <x:v>Comparative</x:v>
      </x:c>
      <x:c r="N244" s="171" t="str">
        <x:v>Printed amount independently located</x:v>
      </x:c>
      <x:c r="O244" s="171" t="str">
        <x:v>Exact source amount found; audited year/current-comparative column recorded. Accounting subtotal tests performed separately.</x:v>
      </x:c>
      <x:c r="P244" s="171" t="str">
        <x:v>,118)  (488,042,831)
(Allowance) / reversal of expected credit loss  on trade debts  20   (44,078,565)  2,010,516 
Other expenses 28   (940,359,065)  (571,950,389)
     (1,905,591,165)  (1,255,242,063)
Operating profit    12,816,014,936  10,001,249,432 
Other income 29   5,280,719,197   4,452,416,513 
Finance cost 30   (349,910,716)  (677,</x:v>
      </x:c>
    </x:row>
    <x:row r="245" ht="82" customHeight="1">
      <x:c r="A245" s="76" t="str">
        <x:v>KOHC|oth_exp|2025</x:v>
      </x:c>
      <x:c r="B245" s="76" t="str">
        <x:v>KOHC</x:v>
      </x:c>
      <x:c r="C245" s="76" t="str">
        <x:v>FY2025</x:v>
      </x:c>
      <x:c r="D245" s="76" t="str">
        <x:v>Other operating expenses (incl. WPPF/WWF)</x:v>
      </x:c>
      <x:c r="E245" s="170" t="n">
        <x:v>-940359065</x:v>
      </x:c>
      <x:c r="F245" s="170" t="n">
        <x:v>-940359065</x:v>
      </x:c>
      <x:c r="G245" s="170" t="str">
        <x:v>Rupees</x:v>
      </x:c>
      <x:c r="H245" s="170" t="n">
        <x:f>F245/1000000</x:f>
        <x:v>-940.359065</x:v>
      </x:c>
      <x:c r="I245" s="170" t="n">
        <x:f>KOHC!H90</x:f>
        <x:v>-940.359065</x:v>
      </x:c>
      <x:c r="J245" s="170" t="n">
        <x:f>H245-I245</x:f>
        <x:v>0</x:v>
      </x:c>
      <x:c r="K245" s="76" t="str">
        <x:v>Kohat_Cement_Annual_Report_2025.pdf</x:v>
      </x:c>
      <x:c r="L245" s="76" t="n">
        <x:v>70</x:v>
      </x:c>
      <x:c r="M245" s="76" t="str">
        <x:v>Current year</x:v>
      </x:c>
      <x:c r="N245" s="99" t="str">
        <x:v>Printed amount independently located</x:v>
      </x:c>
      <x:c r="O245" s="99" t="str">
        <x:v>Exact source amount found; audited year/current-comparative column recorded. Accounting subtotal tests performed separately.</x:v>
      </x:c>
      <x:c r="P245" s="99" t="str">
        <x:v>s 27   (695,553,118)  (488,042,831)
(Allowance) / reversal of expected credit loss  on trade debts  20   (44,078,565)  2,010,516 
Other expenses 28   (940,359,065)  (571,950,389)
     (1,905,591,165)  (1,255,242,063)
Operating profit    12,816,014,936  10,001,249,432 
Other income 29   5,280,719,197   4,452,416,513 
Finance cost 30   (349,</x:v>
      </x:c>
    </x:row>
    <x:row r="246" ht="82" customHeight="1">
      <x:c r="A246" s="168" t="str">
        <x:v>KOHC|oth_inc|2021</x:v>
      </x:c>
      <x:c r="B246" s="168" t="str">
        <x:v>KOHC</x:v>
      </x:c>
      <x:c r="C246" s="168" t="str">
        <x:v>FY2021</x:v>
      </x:c>
      <x:c r="D246" s="168" t="str">
        <x:v>Other income</x:v>
      </x:c>
      <x:c r="E246" s="169" t="n">
        <x:v>170674670</x:v>
      </x:c>
      <x:c r="F246" s="169" t="n">
        <x:v>170674670</x:v>
      </x:c>
      <x:c r="G246" s="169" t="str">
        <x:v>Rupees</x:v>
      </x:c>
      <x:c r="H246" s="169" t="n">
        <x:f>F246/1000000</x:f>
        <x:v>170.67467</x:v>
      </x:c>
      <x:c r="I246" s="169" t="n">
        <x:f>KOHC!D92</x:f>
        <x:v>170.67467</x:v>
      </x:c>
      <x:c r="J246" s="169" t="n">
        <x:f>H246-I246</x:f>
        <x:v>0</x:v>
      </x:c>
      <x:c r="K246" s="168" t="str">
        <x:v>Kohat_Cement_AR_2022.pdf</x:v>
      </x:c>
      <x:c r="L246" s="168" t="n">
        <x:v>54</x:v>
      </x:c>
      <x:c r="M246" s="168" t="str">
        <x:v>Comparative</x:v>
      </x:c>
      <x:c r="N246" s="171" t="str">
        <x:v>Printed amount independently located</x:v>
      </x:c>
      <x:c r="O246" s="171" t="str">
        <x:v>Exact source amount found; audited year/current-comparative column recorded. Accounting subtotal tests performed separately.</x:v>
      </x:c>
      <x:c r="P246" s="171" t="str">
        <x:v>ution expenses 28   (122,136,736)  (94,165,965)
Administrative and general expenses 29   (353,522,846)  (313,524,670)
Other income 30   690,143,396   170,674,670 
Other expenses 31   (563,052,382)  (325,323,074)
     (348,568,568)  (562,339,039)
Operating profit    9,463,199,941  5,403,010,020 
Finance cost 32   (537,710,815)  (517,055,413</x:v>
      </x:c>
    </x:row>
    <x:row r="247" ht="82" customHeight="1">
      <x:c r="A247" s="76" t="str">
        <x:v>KOHC|oth_inc|2022</x:v>
      </x:c>
      <x:c r="B247" s="76" t="str">
        <x:v>KOHC</x:v>
      </x:c>
      <x:c r="C247" s="76" t="str">
        <x:v>FY2022</x:v>
      </x:c>
      <x:c r="D247" s="76" t="str">
        <x:v>Other income</x:v>
      </x:c>
      <x:c r="E247" s="170" t="n">
        <x:v>690143396</x:v>
      </x:c>
      <x:c r="F247" s="170" t="n">
        <x:v>690143396</x:v>
      </x:c>
      <x:c r="G247" s="170" t="str">
        <x:v>Rupees</x:v>
      </x:c>
      <x:c r="H247" s="170" t="n">
        <x:f>F247/1000000</x:f>
        <x:v>690.143396</x:v>
      </x:c>
      <x:c r="I247" s="170" t="n">
        <x:f>KOHC!E92</x:f>
        <x:v>690.143396</x:v>
      </x:c>
      <x:c r="J247" s="170" t="n">
        <x:f>H247-I247</x:f>
        <x:v>0</x:v>
      </x:c>
      <x:c r="K247" s="76" t="str">
        <x:v>Financial_Statements-30-06-2023.pdf</x:v>
      </x:c>
      <x:c r="L247" s="76" t="n">
        <x:v>54</x:v>
      </x:c>
      <x:c r="M247" s="76" t="str">
        <x:v>Comparative</x:v>
      </x:c>
      <x:c r="N247" s="99" t="str">
        <x:v>Printed amount independently located</x:v>
      </x:c>
      <x:c r="O247" s="99" t="str">
        <x:v>Exact source amount found; audited year/current-comparative column recorded. Accounting subtotal tests performed separately.</x:v>
      </x:c>
      <x:c r="P247" s="99" t="str">
        <x:v>on expenses 28   (176,123,458)  (122,136,736)
Administrative and general expenses 29   (396,230,055)  (353,522,846)
Other income 30   2,085,808,053   690,143,396 
Other expenses 31   (736,512,959)  (563,052,382)
     776,941,581   (348,568,568)
Operating profit    11,209,635,600  9,463,199,941 
Finance cost 32   (740,307,772)  (537,710,815</x:v>
      </x:c>
    </x:row>
    <x:row r="248" ht="82" customHeight="1">
      <x:c r="A248" s="168" t="str">
        <x:v>KOHC|oth_inc|2023</x:v>
      </x:c>
      <x:c r="B248" s="168" t="str">
        <x:v>KOHC</x:v>
      </x:c>
      <x:c r="C248" s="168" t="str">
        <x:v>FY2023</x:v>
      </x:c>
      <x:c r="D248" s="168" t="str">
        <x:v>Other income</x:v>
      </x:c>
      <x:c r="E248" s="169" t="n">
        <x:v>2085808053</x:v>
      </x:c>
      <x:c r="F248" s="169" t="n">
        <x:v>2085808053</x:v>
      </x:c>
      <x:c r="G248" s="169" t="str">
        <x:v>Rupees</x:v>
      </x:c>
      <x:c r="H248" s="169" t="n">
        <x:f>F248/1000000</x:f>
        <x:v>2085.808053</x:v>
      </x:c>
      <x:c r="I248" s="169" t="n">
        <x:f>KOHC!F92</x:f>
        <x:v>2085.808053</x:v>
      </x:c>
      <x:c r="J248" s="169" t="n">
        <x:f>H248-I248</x:f>
        <x:v>0</x:v>
      </x:c>
      <x:c r="K248" s="168" t="str">
        <x:v>Kohat_Cement_Annual_Report-2024.pdf</x:v>
      </x:c>
      <x:c r="L248" s="168" t="n">
        <x:v>60</x:v>
      </x:c>
      <x:c r="M248" s="168" t="str">
        <x:v>Comparative</x:v>
      </x:c>
      <x:c r="N248" s="171" t="str">
        <x:v>Printed amount independently located</x:v>
      </x:c>
      <x:c r="O248" s="171" t="str">
        <x:v>Exact source amount found; audited year/current-comparative column recorded. Accounting subtotal tests performed separately.</x:v>
      </x:c>
      <x:c r="P248" s="171" t="str">
        <x:v>71,950,389)  (736,512,959)
     (1,257,252,579)  (1,308,866,472)
Operating profit   9,999,238,916   9,123,827,547 
Other income 30  4,454,427,029     2,085,808,053 
Finance cost 31   (677,380,845)  (740,307,772)
Profit before income tax and final tax  13,776,285,100    10,469,327,828 
Final tax 32   (844,151,365) (343,981,005)
Profit before</x:v>
      </x:c>
    </x:row>
    <x:row r="249" ht="82" customHeight="1">
      <x:c r="A249" s="76" t="str">
        <x:v>KOHC|oth_inc|2024</x:v>
      </x:c>
      <x:c r="B249" s="76" t="str">
        <x:v>KOHC</x:v>
      </x:c>
      <x:c r="C249" s="76" t="str">
        <x:v>FY2024</x:v>
      </x:c>
      <x:c r="D249" s="76" t="str">
        <x:v>Other income</x:v>
      </x:c>
      <x:c r="E249" s="170" t="n">
        <x:v>4452416513</x:v>
      </x:c>
      <x:c r="F249" s="170" t="n">
        <x:v>4452416513</x:v>
      </x:c>
      <x:c r="G249" s="170" t="str">
        <x:v>Rupees</x:v>
      </x:c>
      <x:c r="H249" s="170" t="n">
        <x:f>F249/1000000</x:f>
        <x:v>4452.416513</x:v>
      </x:c>
      <x:c r="I249" s="170" t="n">
        <x:f>KOHC!G92</x:f>
        <x:v>4452.416513</x:v>
      </x:c>
      <x:c r="J249" s="170" t="n">
        <x:f>H249-I249</x:f>
        <x:v>0</x:v>
      </x:c>
      <x:c r="K249" s="76" t="str">
        <x:v>Kohat_Cement_Annual_Report_2025.pdf</x:v>
      </x:c>
      <x:c r="L249" s="76" t="n">
        <x:v>70</x:v>
      </x:c>
      <x:c r="M249" s="76" t="str">
        <x:v>Comparative</x:v>
      </x:c>
      <x:c r="N249" s="99" t="str">
        <x:v>Printed amount independently located</x:v>
      </x:c>
      <x:c r="O249" s="99" t="str">
        <x:v>Exact source amount found; audited year/current-comparative column recorded. Accounting subtotal tests performed separately.</x:v>
      </x:c>
      <x:c r="P249" s="99" t="str">
        <x:v>359,065)  (571,950,389)
     (1,905,591,165)  (1,255,242,063)
Operating profit    12,816,014,936  10,001,249,432 
Other income 29   5,280,719,197   4,452,416,513 
Finance cost 30   (349,910,716)  (677,380,845)
Profit before income tax and final tax   17,746,823,417  13,776,285,100 
Final tax 31   (58,631,368) (844,151,365)
Profit before ta</x:v>
      </x:c>
    </x:row>
    <x:row r="250" ht="82" customHeight="1">
      <x:c r="A250" s="168" t="str">
        <x:v>KOHC|oth_inc|2025</x:v>
      </x:c>
      <x:c r="B250" s="168" t="str">
        <x:v>KOHC</x:v>
      </x:c>
      <x:c r="C250" s="168" t="str">
        <x:v>FY2025</x:v>
      </x:c>
      <x:c r="D250" s="168" t="str">
        <x:v>Other income</x:v>
      </x:c>
      <x:c r="E250" s="169" t="n">
        <x:v>5280719197</x:v>
      </x:c>
      <x:c r="F250" s="169" t="n">
        <x:v>5280719197</x:v>
      </x:c>
      <x:c r="G250" s="169" t="str">
        <x:v>Rupees</x:v>
      </x:c>
      <x:c r="H250" s="169" t="n">
        <x:f>F250/1000000</x:f>
        <x:v>5280.719197</x:v>
      </x:c>
      <x:c r="I250" s="169" t="n">
        <x:f>KOHC!H92</x:f>
        <x:v>5280.719197</x:v>
      </x:c>
      <x:c r="J250" s="169" t="n">
        <x:f>H250-I250</x:f>
        <x:v>0</x:v>
      </x:c>
      <x:c r="K250" s="168" t="str">
        <x:v>Kohat_Cement_Annual_Report_2025.pdf</x:v>
      </x:c>
      <x:c r="L250" s="168" t="n">
        <x:v>70</x:v>
      </x:c>
      <x:c r="M250" s="168" t="str">
        <x:v>Current year</x:v>
      </x:c>
      <x:c r="N250" s="171" t="str">
        <x:v>Printed amount independently located</x:v>
      </x:c>
      <x:c r="O250" s="171" t="str">
        <x:v>Exact source amount found; audited year/current-comparative column recorded. Accounting subtotal tests performed separately.</x:v>
      </x:c>
      <x:c r="P250" s="171" t="str">
        <x:v>enses 28   (940,359,065)  (571,950,389)
     (1,905,591,165)  (1,255,242,063)
Operating profit    12,816,014,936  10,001,249,432 
Other income 29   5,280,719,197   4,452,416,513 
Finance cost 30   (349,910,716)  (677,380,845)
Profit before income tax and final tax   17,746,823,417  13,776,285,100 
Final tax 31   (58,631,368) (844,151,365)</x:v>
      </x:c>
    </x:row>
    <x:row r="251" ht="82" customHeight="1">
      <x:c r="A251" s="76" t="str">
        <x:v>KOHC|fin_inc|2021</x:v>
      </x:c>
      <x:c r="B251" s="76" t="str">
        <x:v>KOHC</x:v>
      </x:c>
      <x:c r="C251" s="76" t="str">
        <x:v>FY2021</x:v>
      </x:c>
      <x:c r="D251" s="76" t="str">
        <x:v>Finance income (where presented separately)</x:v>
      </x:c>
      <x:c r="E251" s="170" t="n">
        <x:v>0</x:v>
      </x:c>
      <x:c r="F251" s="170" t="n">
        <x:v>0</x:v>
      </x:c>
      <x:c r="G251" s="170" t="str">
        <x:v>Rupees</x:v>
      </x:c>
      <x:c r="H251" s="170" t="n">
        <x:f>F251/1000000</x:f>
        <x:v>0</x:v>
      </x:c>
      <x:c r="I251" s="170" t="n">
        <x:f>KOHC!D93</x:f>
        <x:v>0</x:v>
      </x:c>
      <x:c r="J251" s="170" t="n">
        <x:f>H251-I251</x:f>
        <x:v>0</x:v>
      </x:c>
      <x:c r="K251" s="76" t="str">
        <x:v>Kohat_Cement_AR_2022.pdf</x:v>
      </x:c>
      <x:c r="L251" s="76" t="n">
        <x:v>54</x:v>
      </x:c>
      <x:c r="M251" s="76" t="str">
        <x:v>Comparative</x:v>
      </x:c>
      <x:c r="N251" s="99" t="str">
        <x:v>Zero / no separate line in audited presentation</x:v>
      </x:c>
      <x:c r="O251" s="99" t="str">
        <x:v>Zero classification checked within the audited statement/note and reconstructed statement totals; absence of a separate line does not imply a missing replacement estimate.</x:v>
      </x:c>
      <x:c r="P251" s="99" t="str">
        <x:v>
  2022 2021
 Note Rupees Rupees
Sales-net 26   32,876,949,179   24,057,375,992 
Cost of sales 27   (23,065,180,670)  (18,092,026,933)
Gross Profit    | Finance income (where presented separately)</x:v>
      </x:c>
    </x:row>
    <x:row r="252" ht="82" customHeight="1">
      <x:c r="A252" s="168" t="str">
        <x:v>KOHC|fin_inc|2022</x:v>
      </x:c>
      <x:c r="B252" s="168" t="str">
        <x:v>KOHC</x:v>
      </x:c>
      <x:c r="C252" s="168" t="str">
        <x:v>FY2022</x:v>
      </x:c>
      <x:c r="D252" s="168" t="str">
        <x:v>Finance income (where presented separately)</x:v>
      </x:c>
      <x:c r="E252" s="169" t="n">
        <x:v>0</x:v>
      </x:c>
      <x:c r="F252" s="169" t="n">
        <x:v>0</x:v>
      </x:c>
      <x:c r="G252" s="169" t="str">
        <x:v>Rupees</x:v>
      </x:c>
      <x:c r="H252" s="169" t="n">
        <x:f>F252/1000000</x:f>
        <x:v>0</x:v>
      </x:c>
      <x:c r="I252" s="169" t="n">
        <x:f>KOHC!E93</x:f>
        <x:v>0</x:v>
      </x:c>
      <x:c r="J252" s="169" t="n">
        <x:f>H252-I252</x:f>
        <x:v>0</x:v>
      </x:c>
      <x:c r="K252" s="168" t="str">
        <x:v>Financial_Statements-30-06-2023.pdf</x:v>
      </x:c>
      <x:c r="L252" s="168" t="n">
        <x:v>54</x:v>
      </x:c>
      <x:c r="M252" s="168" t="str">
        <x:v>Comparative</x:v>
      </x:c>
      <x:c r="N252" s="171" t="str">
        <x:v>Zero / no separate line in audited presentation</x:v>
      </x:c>
      <x:c r="O252" s="171" t="str">
        <x:v>Zero classification checked within the audited statement/note and reconstructed statement totals; absence of a separate line does not imply a missing replacement estimate.</x:v>
      </x:c>
      <x:c r="P252" s="171" t="str">
        <x:v>
52
  2023 2022
 Note Rupees Rupees
Sales-net 26   38,921,635,350   32,876,949,179 
Cost of sales 27   (28,488,941,331)  (23,065,180,670)
Gross Profit | Finance income (where presented separately)</x:v>
      </x:c>
    </x:row>
    <x:row r="253" ht="82" customHeight="1">
      <x:c r="A253" s="76" t="str">
        <x:v>KOHC|fin_inc|2023</x:v>
      </x:c>
      <x:c r="B253" s="76" t="str">
        <x:v>KOHC</x:v>
      </x:c>
      <x:c r="C253" s="76" t="str">
        <x:v>FY2023</x:v>
      </x:c>
      <x:c r="D253" s="76" t="str">
        <x:v>Finance income (where presented separately)</x:v>
      </x:c>
      <x:c r="E253" s="170" t="n">
        <x:v>0</x:v>
      </x:c>
      <x:c r="F253" s="170" t="n">
        <x:v>0</x:v>
      </x:c>
      <x:c r="G253" s="170" t="str">
        <x:v>Rupees</x:v>
      </x:c>
      <x:c r="H253" s="170" t="n">
        <x:f>F253/1000000</x:f>
        <x:v>0</x:v>
      </x:c>
      <x:c r="I253" s="170" t="n">
        <x:f>KOHC!F93</x:f>
        <x:v>0</x:v>
      </x:c>
      <x:c r="J253" s="170" t="n">
        <x:f>H253-I253</x:f>
        <x:v>0</x:v>
      </x:c>
      <x:c r="K253" s="76" t="str">
        <x:v>Kohat_Cement_Annual_Report-2024.pdf</x:v>
      </x:c>
      <x:c r="L253" s="76" t="n">
        <x:v>60</x:v>
      </x:c>
      <x:c r="M253" s="76" t="str">
        <x:v>Comparative</x:v>
      </x:c>
      <x:c r="N253" s="99" t="str">
        <x:v>Zero / no separate line in audited presentation</x:v>
      </x:c>
      <x:c r="O253" s="99" t="str">
        <x:v>Zero classification checked within the audited statement/note and reconstructed statement totals; absence of a separate line does not imply a missing replacement estimate.</x:v>
      </x:c>
      <x:c r="P253" s="99" t="str">
        <x:v>
58
  2024 2023
 Note Rupees Rupees
   Restated
Sales–net 25   38,647,767,972     38,921,635,350 
Cost of sales 26    (27,391,276,477)     (28,488,941 | Finance income (where presented separately)</x:v>
      </x:c>
    </x:row>
    <x:row r="254" ht="82" customHeight="1">
      <x:c r="A254" s="168" t="str">
        <x:v>KOHC|fin_inc|2024</x:v>
      </x:c>
      <x:c r="B254" s="168" t="str">
        <x:v>KOHC</x:v>
      </x:c>
      <x:c r="C254" s="168" t="str">
        <x:v>FY2024</x:v>
      </x:c>
      <x:c r="D254" s="168" t="str">
        <x:v>Finance income (where presented separately)</x:v>
      </x:c>
      <x:c r="E254" s="169" t="n">
        <x:v>0</x:v>
      </x:c>
      <x:c r="F254" s="169" t="n">
        <x:v>0</x:v>
      </x:c>
      <x:c r="G254" s="169" t="str">
        <x:v>Rupees</x:v>
      </x:c>
      <x:c r="H254" s="169" t="n">
        <x:f>F254/1000000</x:f>
        <x:v>0</x:v>
      </x:c>
      <x:c r="I254" s="169" t="n">
        <x:f>KOHC!G93</x:f>
        <x:v>0</x:v>
      </x:c>
      <x:c r="J254" s="169" t="n">
        <x:f>H254-I254</x:f>
        <x:v>0</x:v>
      </x:c>
      <x:c r="K254" s="168" t="str">
        <x:v>Kohat_Cement_Annual_Report_2025.pdf</x:v>
      </x:c>
      <x:c r="L254" s="168" t="n">
        <x:v>70</x:v>
      </x:c>
      <x:c r="M254" s="168" t="str">
        <x:v>Comparative</x:v>
      </x:c>
      <x:c r="N254" s="171" t="str">
        <x:v>Zero / no separate line in audited presentation</x:v>
      </x:c>
      <x:c r="O254" s="171" t="str">
        <x:v>Zero classification checked within the audited statement/note and reconstructed statement totals; absence of a separate line does not imply a missing replacement estimate.</x:v>
      </x:c>
      <x:c r="P254" s="171" t="str">
        <x:v>
68
Chief Financial Officer Chief Executive Officer Director
STATEMENT OF 
PROFIT OR LOSS
For the year ended June 30, 2025
  2025 2024
 Note Rupees Ru | Finance income (where presented separately)</x:v>
      </x:c>
    </x:row>
    <x:row r="255" ht="82" customHeight="1">
      <x:c r="A255" s="76" t="str">
        <x:v>KOHC|fin_inc|2025</x:v>
      </x:c>
      <x:c r="B255" s="76" t="str">
        <x:v>KOHC</x:v>
      </x:c>
      <x:c r="C255" s="76" t="str">
        <x:v>FY2025</x:v>
      </x:c>
      <x:c r="D255" s="76" t="str">
        <x:v>Finance income (where presented separately)</x:v>
      </x:c>
      <x:c r="E255" s="170" t="n">
        <x:v>0</x:v>
      </x:c>
      <x:c r="F255" s="170" t="n">
        <x:v>0</x:v>
      </x:c>
      <x:c r="G255" s="170" t="str">
        <x:v>Rupees</x:v>
      </x:c>
      <x:c r="H255" s="170" t="n">
        <x:f>F255/1000000</x:f>
        <x:v>0</x:v>
      </x:c>
      <x:c r="I255" s="170" t="n">
        <x:f>KOHC!H93</x:f>
        <x:v>0</x:v>
      </x:c>
      <x:c r="J255" s="170" t="n">
        <x:f>H255-I255</x:f>
        <x:v>0</x:v>
      </x:c>
      <x:c r="K255" s="76" t="str">
        <x:v>Kohat_Cement_Annual_Report_2025.pdf</x:v>
      </x:c>
      <x:c r="L255" s="76" t="n">
        <x:v>70</x:v>
      </x:c>
      <x:c r="M255" s="76" t="str">
        <x:v>Current year</x:v>
      </x:c>
      <x:c r="N255" s="99" t="str">
        <x:v>Zero / no separate line in audited presentation</x:v>
      </x:c>
      <x:c r="O255" s="99" t="str">
        <x:v>Zero classification checked within the audited statement/note and reconstructed statement totals; absence of a separate line does not imply a missing replacement estimate.</x:v>
      </x:c>
      <x:c r="P255" s="99" t="str">
        <x:v>
68
Chief Financial Officer Chief Executive Officer Director
STATEMENT OF 
PROFIT OR LOSS
For the year ended June 30, 2025
  2025 2024
 Note Rupees Ru | Finance income (where presented separately)</x:v>
      </x:c>
    </x:row>
    <x:row r="256" ht="82" customHeight="1">
      <x:c r="A256" s="168" t="str">
        <x:v>KOHC|assoc|2021</x:v>
      </x:c>
      <x:c r="B256" s="168" t="str">
        <x:v>KOHC</x:v>
      </x:c>
      <x:c r="C256" s="168" t="str">
        <x:v>FY2021</x:v>
      </x:c>
      <x:c r="D256" s="168" t="str">
        <x:v>Share of profit of associate</x:v>
      </x:c>
      <x:c r="E256" s="169" t="n">
        <x:v>0</x:v>
      </x:c>
      <x:c r="F256" s="169" t="n">
        <x:v>0</x:v>
      </x:c>
      <x:c r="G256" s="169" t="str">
        <x:v>Rupees</x:v>
      </x:c>
      <x:c r="H256" s="169" t="n">
        <x:f>F256/1000000</x:f>
        <x:v>0</x:v>
      </x:c>
      <x:c r="I256" s="169" t="n">
        <x:f>KOHC!D94</x:f>
        <x:v>0</x:v>
      </x:c>
      <x:c r="J256" s="169" t="n">
        <x:f>H256-I256</x:f>
        <x:v>0</x:v>
      </x:c>
      <x:c r="K256" s="168" t="str">
        <x:v>Kohat_Cement_AR_2022.pdf</x:v>
      </x:c>
      <x:c r="L256" s="168" t="n">
        <x:v>54</x:v>
      </x:c>
      <x:c r="M256" s="168" t="str">
        <x:v>Comparative</x:v>
      </x:c>
      <x:c r="N256" s="171" t="str">
        <x:v>Zero / no separate line in audited presentation</x:v>
      </x:c>
      <x:c r="O256" s="171" t="str">
        <x:v>Zero classification checked within the audited statement/note and reconstructed statement totals; absence of a separate line does not imply a missing replacement estimate.</x:v>
      </x:c>
      <x:c r="P256" s="171" t="str">
        <x:v>
  2022 2021
 Note Rupees Rupees
Sales-net 26   32,876,949,179   24,057,375,992 
Cost of sales 27   (23,065,180,670)  (18,092,026,933)
Gross Profit    | Share of profit of associate</x:v>
      </x:c>
    </x:row>
    <x:row r="257" ht="82" customHeight="1">
      <x:c r="A257" s="76" t="str">
        <x:v>KOHC|assoc|2022</x:v>
      </x:c>
      <x:c r="B257" s="76" t="str">
        <x:v>KOHC</x:v>
      </x:c>
      <x:c r="C257" s="76" t="str">
        <x:v>FY2022</x:v>
      </x:c>
      <x:c r="D257" s="76" t="str">
        <x:v>Share of profit of associate</x:v>
      </x:c>
      <x:c r="E257" s="170" t="n">
        <x:v>0</x:v>
      </x:c>
      <x:c r="F257" s="170" t="n">
        <x:v>0</x:v>
      </x:c>
      <x:c r="G257" s="170" t="str">
        <x:v>Rupees</x:v>
      </x:c>
      <x:c r="H257" s="170" t="n">
        <x:f>F257/1000000</x:f>
        <x:v>0</x:v>
      </x:c>
      <x:c r="I257" s="170" t="n">
        <x:f>KOHC!E94</x:f>
        <x:v>0</x:v>
      </x:c>
      <x:c r="J257" s="170" t="n">
        <x:f>H257-I257</x:f>
        <x:v>0</x:v>
      </x:c>
      <x:c r="K257" s="76" t="str">
        <x:v>Financial_Statements-30-06-2023.pdf</x:v>
      </x:c>
      <x:c r="L257" s="76" t="n">
        <x:v>54</x:v>
      </x:c>
      <x:c r="M257" s="76" t="str">
        <x:v>Comparative</x:v>
      </x:c>
      <x:c r="N257" s="99" t="str">
        <x:v>Zero / no separate line in audited presentation</x:v>
      </x:c>
      <x:c r="O257" s="99" t="str">
        <x:v>Zero classification checked within the audited statement/note and reconstructed statement totals; absence of a separate line does not imply a missing replacement estimate.</x:v>
      </x:c>
      <x:c r="P257" s="99" t="str">
        <x:v>
52
  2023 2022
 Note Rupees Rupees
Sales-net 26   38,921,635,350   32,876,949,179 
Cost of sales 27   (28,488,941,331)  (23,065,180,670)
Gross Profit | Share of profit of associate</x:v>
      </x:c>
    </x:row>
    <x:row r="258" ht="82" customHeight="1">
      <x:c r="A258" s="168" t="str">
        <x:v>KOHC|assoc|2023</x:v>
      </x:c>
      <x:c r="B258" s="168" t="str">
        <x:v>KOHC</x:v>
      </x:c>
      <x:c r="C258" s="168" t="str">
        <x:v>FY2023</x:v>
      </x:c>
      <x:c r="D258" s="168" t="str">
        <x:v>Share of profit of associate</x:v>
      </x:c>
      <x:c r="E258" s="169" t="n">
        <x:v>0</x:v>
      </x:c>
      <x:c r="F258" s="169" t="n">
        <x:v>0</x:v>
      </x:c>
      <x:c r="G258" s="169" t="str">
        <x:v>Rupees</x:v>
      </x:c>
      <x:c r="H258" s="169" t="n">
        <x:f>F258/1000000</x:f>
        <x:v>0</x:v>
      </x:c>
      <x:c r="I258" s="169" t="n">
        <x:f>KOHC!F94</x:f>
        <x:v>0</x:v>
      </x:c>
      <x:c r="J258" s="169" t="n">
        <x:f>H258-I258</x:f>
        <x:v>0</x:v>
      </x:c>
      <x:c r="K258" s="168" t="str">
        <x:v>Kohat_Cement_Annual_Report-2024.pdf</x:v>
      </x:c>
      <x:c r="L258" s="168" t="n">
        <x:v>60</x:v>
      </x:c>
      <x:c r="M258" s="168" t="str">
        <x:v>Comparative</x:v>
      </x:c>
      <x:c r="N258" s="171" t="str">
        <x:v>Zero / no separate line in audited presentation</x:v>
      </x:c>
      <x:c r="O258" s="171" t="str">
        <x:v>Zero classification checked within the audited statement/note and reconstructed statement totals; absence of a separate line does not imply a missing replacement estimate.</x:v>
      </x:c>
      <x:c r="P258" s="171" t="str">
        <x:v>
58
  2024 2023
 Note Rupees Rupees
   Restated
Sales–net 25   38,647,767,972     38,921,635,350 
Cost of sales 26    (27,391,276,477)     (28,488,941 | Share of profit of associate</x:v>
      </x:c>
    </x:row>
    <x:row r="259" ht="82" customHeight="1">
      <x:c r="A259" s="76" t="str">
        <x:v>KOHC|assoc|2024</x:v>
      </x:c>
      <x:c r="B259" s="76" t="str">
        <x:v>KOHC</x:v>
      </x:c>
      <x:c r="C259" s="76" t="str">
        <x:v>FY2024</x:v>
      </x:c>
      <x:c r="D259" s="76" t="str">
        <x:v>Share of profit of associate</x:v>
      </x:c>
      <x:c r="E259" s="170" t="n">
        <x:v>0</x:v>
      </x:c>
      <x:c r="F259" s="170" t="n">
        <x:v>0</x:v>
      </x:c>
      <x:c r="G259" s="170" t="str">
        <x:v>Rupees</x:v>
      </x:c>
      <x:c r="H259" s="170" t="n">
        <x:f>F259/1000000</x:f>
        <x:v>0</x:v>
      </x:c>
      <x:c r="I259" s="170" t="n">
        <x:f>KOHC!G94</x:f>
        <x:v>0</x:v>
      </x:c>
      <x:c r="J259" s="170" t="n">
        <x:f>H259-I259</x:f>
        <x:v>0</x:v>
      </x:c>
      <x:c r="K259" s="76" t="str">
        <x:v>Kohat_Cement_Annual_Report_2025.pdf</x:v>
      </x:c>
      <x:c r="L259" s="76" t="n">
        <x:v>70</x:v>
      </x:c>
      <x:c r="M259" s="76" t="str">
        <x:v>Comparative</x:v>
      </x:c>
      <x:c r="N259" s="99" t="str">
        <x:v>Zero / no separate line in audited presentation</x:v>
      </x:c>
      <x:c r="O259" s="99" t="str">
        <x:v>Zero classification checked within the audited statement/note and reconstructed statement totals; absence of a separate line does not imply a missing replacement estimate.</x:v>
      </x:c>
      <x:c r="P259" s="99" t="str">
        <x:v>
68
Chief Financial Officer Chief Executive Officer Director
STATEMENT OF 
PROFIT OR LOSS
For the year ended June 30, 2025
  2025 2024
 Note Rupees Ru | Share of profit of associate</x:v>
      </x:c>
    </x:row>
    <x:row r="260" ht="82" customHeight="1">
      <x:c r="A260" s="168" t="str">
        <x:v>KOHC|assoc|2025</x:v>
      </x:c>
      <x:c r="B260" s="168" t="str">
        <x:v>KOHC</x:v>
      </x:c>
      <x:c r="C260" s="168" t="str">
        <x:v>FY2025</x:v>
      </x:c>
      <x:c r="D260" s="168" t="str">
        <x:v>Share of profit of associate</x:v>
      </x:c>
      <x:c r="E260" s="169" t="n">
        <x:v>0</x:v>
      </x:c>
      <x:c r="F260" s="169" t="n">
        <x:v>0</x:v>
      </x:c>
      <x:c r="G260" s="169" t="str">
        <x:v>Rupees</x:v>
      </x:c>
      <x:c r="H260" s="169" t="n">
        <x:f>F260/1000000</x:f>
        <x:v>0</x:v>
      </x:c>
      <x:c r="I260" s="169" t="n">
        <x:f>KOHC!H94</x:f>
        <x:v>0</x:v>
      </x:c>
      <x:c r="J260" s="169" t="n">
        <x:f>H260-I260</x:f>
        <x:v>0</x:v>
      </x:c>
      <x:c r="K260" s="168" t="str">
        <x:v>Kohat_Cement_Annual_Report_2025.pdf</x:v>
      </x:c>
      <x:c r="L260" s="168" t="n">
        <x:v>70</x:v>
      </x:c>
      <x:c r="M260" s="168" t="str">
        <x:v>Current year</x:v>
      </x:c>
      <x:c r="N260" s="171" t="str">
        <x:v>Zero / no separate line in audited presentation</x:v>
      </x:c>
      <x:c r="O260" s="171" t="str">
        <x:v>Zero classification checked within the audited statement/note and reconstructed statement totals; absence of a separate line does not imply a missing replacement estimate.</x:v>
      </x:c>
      <x:c r="P260" s="171" t="str">
        <x:v>
68
Chief Financial Officer Chief Executive Officer Director
STATEMENT OF 
PROFIT OR LOSS
For the year ended June 30, 2025
  2025 2024
 Note Rupees Ru | Share of profit of associate</x:v>
      </x:c>
    </x:row>
    <x:row r="261" ht="82" customHeight="1">
      <x:c r="A261" s="76" t="str">
        <x:v>KOHC|fin_cost|2021</x:v>
      </x:c>
      <x:c r="B261" s="76" t="str">
        <x:v>KOHC</x:v>
      </x:c>
      <x:c r="C261" s="76" t="str">
        <x:v>FY2021</x:v>
      </x:c>
      <x:c r="D261" s="76" t="str">
        <x:v>Finance cost</x:v>
      </x:c>
      <x:c r="E261" s="170" t="n">
        <x:v>-517055413</x:v>
      </x:c>
      <x:c r="F261" s="170" t="n">
        <x:v>-517055413</x:v>
      </x:c>
      <x:c r="G261" s="170" t="str">
        <x:v>Rupees</x:v>
      </x:c>
      <x:c r="H261" s="170" t="n">
        <x:f>F261/1000000</x:f>
        <x:v>-517.055413</x:v>
      </x:c>
      <x:c r="I261" s="170" t="n">
        <x:f>KOHC!D95</x:f>
        <x:v>-517.055413</x:v>
      </x:c>
      <x:c r="J261" s="170" t="n">
        <x:f>H261-I261</x:f>
        <x:v>0</x:v>
      </x:c>
      <x:c r="K261" s="76" t="str">
        <x:v>Kohat_Cement_AR_2022.pdf</x:v>
      </x:c>
      <x:c r="L261" s="76" t="n">
        <x:v>54</x:v>
      </x:c>
      <x:c r="M261" s="76" t="str">
        <x:v>Comparative</x:v>
      </x:c>
      <x:c r="N261" s="99" t="str">
        <x:v>Printed amount independently located</x:v>
      </x:c>
      <x:c r="O261" s="99" t="str">
        <x:v>Exact source amount found; audited year/current-comparative column recorded. Accounting subtotal tests performed separately.</x:v>
      </x:c>
      <x:c r="P261" s="99" t="str">
        <x:v>1   (563,052,382)  (325,323,074)
     (348,568,568)  (562,339,039)
Operating profit    9,463,199,941  5,403,010,020 
Finance cost 32   (537,710,815)  (517,055,413)
Profit before taxation   8,925,489,126  4,885,954,607 
T axation 33   (3,901,208,866)  (1,388,447,360)
Profit after taxation   5,024,280,260  3,497,507,247 
Earnings per share -</x:v>
      </x:c>
    </x:row>
    <x:row r="262" ht="82" customHeight="1">
      <x:c r="A262" s="168" t="str">
        <x:v>KOHC|fin_cost|2022</x:v>
      </x:c>
      <x:c r="B262" s="168" t="str">
        <x:v>KOHC</x:v>
      </x:c>
      <x:c r="C262" s="168" t="str">
        <x:v>FY2022</x:v>
      </x:c>
      <x:c r="D262" s="168" t="str">
        <x:v>Finance cost</x:v>
      </x:c>
      <x:c r="E262" s="169" t="n">
        <x:v>-537710815</x:v>
      </x:c>
      <x:c r="F262" s="169" t="n">
        <x:v>-537710815</x:v>
      </x:c>
      <x:c r="G262" s="169" t="str">
        <x:v>Rupees</x:v>
      </x:c>
      <x:c r="H262" s="169" t="n">
        <x:f>F262/1000000</x:f>
        <x:v>-537.710815</x:v>
      </x:c>
      <x:c r="I262" s="169" t="n">
        <x:f>KOHC!E95</x:f>
        <x:v>-537.710815</x:v>
      </x:c>
      <x:c r="J262" s="169" t="n">
        <x:f>H262-I262</x:f>
        <x:v>0</x:v>
      </x:c>
      <x:c r="K262" s="168" t="str">
        <x:v>Financial_Statements-30-06-2023.pdf</x:v>
      </x:c>
      <x:c r="L262" s="168" t="n">
        <x:v>54</x:v>
      </x:c>
      <x:c r="M262" s="168" t="str">
        <x:v>Comparative</x:v>
      </x:c>
      <x:c r="N262" s="171" t="str">
        <x:v>Printed amount independently located</x:v>
      </x:c>
      <x:c r="O262" s="171" t="str">
        <x:v>Exact source amount found; audited year/current-comparative column recorded. Accounting subtotal tests performed separately.</x:v>
      </x:c>
      <x:c r="P262" s="171" t="str">
        <x:v>1   (736,512,959)  (563,052,382)
     776,941,581   (348,568,568)
Operating profit    11,209,635,600  9,463,199,941 
Finance cost 32   (740,307,772)  (537,710,815)
Profit before taxation   10,469,327,828  8,925,489,126 
Taxation 33   (4,648,576,683)  (3,901,208,866)
Profit after taxation   5,820,751,145  5,024,280,260 
Earnings per share -</x:v>
      </x:c>
    </x:row>
    <x:row r="263" ht="82" customHeight="1">
      <x:c r="A263" s="76" t="str">
        <x:v>KOHC|fin_cost|2023</x:v>
      </x:c>
      <x:c r="B263" s="76" t="str">
        <x:v>KOHC</x:v>
      </x:c>
      <x:c r="C263" s="76" t="str">
        <x:v>FY2023</x:v>
      </x:c>
      <x:c r="D263" s="76" t="str">
        <x:v>Finance cost</x:v>
      </x:c>
      <x:c r="E263" s="170" t="n">
        <x:v>-740307772</x:v>
      </x:c>
      <x:c r="F263" s="170" t="n">
        <x:v>-740307772</x:v>
      </x:c>
      <x:c r="G263" s="170" t="str">
        <x:v>Rupees</x:v>
      </x:c>
      <x:c r="H263" s="170" t="n">
        <x:f>F263/1000000</x:f>
        <x:v>-740.307772</x:v>
      </x:c>
      <x:c r="I263" s="170" t="n">
        <x:f>KOHC!F95</x:f>
        <x:v>-740.307772</x:v>
      </x:c>
      <x:c r="J263" s="170" t="n">
        <x:f>H263-I263</x:f>
        <x:v>0</x:v>
      </x:c>
      <x:c r="K263" s="76" t="str">
        <x:v>Kohat_Cement_Annual_Report-2024.pdf</x:v>
      </x:c>
      <x:c r="L263" s="76" t="n">
        <x:v>60</x:v>
      </x:c>
      <x:c r="M263" s="76" t="str">
        <x:v>Comparative</x:v>
      </x:c>
      <x:c r="N263" s="99" t="str">
        <x:v>Printed amount independently located</x:v>
      </x:c>
      <x:c r="O263" s="99" t="str">
        <x:v>Exact source amount found; audited year/current-comparative column recorded. Accounting subtotal tests performed separately.</x:v>
      </x:c>
      <x:c r="P263" s="99" t="str">
        <x:v>(1,308,866,472)
Operating profit   9,999,238,916   9,123,827,547 
Other income 30  4,454,427,029     2,085,808,053 
Finance cost 31   (677,380,845)  (740,307,772)
Profit before income tax and final tax  13,776,285,100    10,469,327,828 
Final tax 32   (844,151,365) (343,981,005)
Profit before taxation  12,932,133,735     10,125,346,823 
Tax</x:v>
      </x:c>
    </x:row>
    <x:row r="264" ht="82" customHeight="1">
      <x:c r="A264" s="168" t="str">
        <x:v>KOHC|fin_cost|2024</x:v>
      </x:c>
      <x:c r="B264" s="168" t="str">
        <x:v>KOHC</x:v>
      </x:c>
      <x:c r="C264" s="168" t="str">
        <x:v>FY2024</x:v>
      </x:c>
      <x:c r="D264" s="168" t="str">
        <x:v>Finance cost</x:v>
      </x:c>
      <x:c r="E264" s="169" t="n">
        <x:v>-677380845</x:v>
      </x:c>
      <x:c r="F264" s="169" t="n">
        <x:v>-677380845</x:v>
      </x:c>
      <x:c r="G264" s="169" t="str">
        <x:v>Rupees</x:v>
      </x:c>
      <x:c r="H264" s="169" t="n">
        <x:f>F264/1000000</x:f>
        <x:v>-677.380845</x:v>
      </x:c>
      <x:c r="I264" s="169" t="n">
        <x:f>KOHC!G95</x:f>
        <x:v>-677.380845</x:v>
      </x:c>
      <x:c r="J264" s="169" t="n">
        <x:f>H264-I264</x:f>
        <x:v>0</x:v>
      </x:c>
      <x:c r="K264" s="168" t="str">
        <x:v>Kohat_Cement_Annual_Report_2025.pdf</x:v>
      </x:c>
      <x:c r="L264" s="168" t="n">
        <x:v>70</x:v>
      </x:c>
      <x:c r="M264" s="168" t="str">
        <x:v>Comparative</x:v>
      </x:c>
      <x:c r="N264" s="171" t="str">
        <x:v>Printed amount independently located</x:v>
      </x:c>
      <x:c r="O264" s="171" t="str">
        <x:v>Exact source amount found; audited year/current-comparative column recorded. Accounting subtotal tests performed separately.</x:v>
      </x:c>
      <x:c r="P264" s="171" t="str">
        <x:v>,255,242,063)
Operating profit    12,816,014,936  10,001,249,432 
Other income 29   5,280,719,197   4,452,416,513 
Finance cost 30   (349,910,716)  (677,380,845)
Profit before income tax and final tax   17,746,823,417  13,776,285,100 
Final tax 31   (58,631,368) (844,151,365)
Profit before taxation   17,688,192,049   12,932,133,735 
Taxati</x:v>
      </x:c>
    </x:row>
    <x:row r="265" ht="82" customHeight="1">
      <x:c r="A265" s="76" t="str">
        <x:v>KOHC|fin_cost|2025</x:v>
      </x:c>
      <x:c r="B265" s="76" t="str">
        <x:v>KOHC</x:v>
      </x:c>
      <x:c r="C265" s="76" t="str">
        <x:v>FY2025</x:v>
      </x:c>
      <x:c r="D265" s="76" t="str">
        <x:v>Finance cost</x:v>
      </x:c>
      <x:c r="E265" s="170" t="n">
        <x:v>-349910716</x:v>
      </x:c>
      <x:c r="F265" s="170" t="n">
        <x:v>-349910716</x:v>
      </x:c>
      <x:c r="G265" s="170" t="str">
        <x:v>Rupees</x:v>
      </x:c>
      <x:c r="H265" s="170" t="n">
        <x:f>F265/1000000</x:f>
        <x:v>-349.910716</x:v>
      </x:c>
      <x:c r="I265" s="170" t="n">
        <x:f>KOHC!H95</x:f>
        <x:v>-349.910716</x:v>
      </x:c>
      <x:c r="J265" s="170" t="n">
        <x:f>H265-I265</x:f>
        <x:v>0</x:v>
      </x:c>
      <x:c r="K265" s="76" t="str">
        <x:v>Kohat_Cement_Annual_Report_2025.pdf</x:v>
      </x:c>
      <x:c r="L265" s="76" t="n">
        <x:v>70</x:v>
      </x:c>
      <x:c r="M265" s="76" t="str">
        <x:v>Current year</x:v>
      </x:c>
      <x:c r="N265" s="99" t="str">
        <x:v>Printed amount independently located</x:v>
      </x:c>
      <x:c r="O265" s="99" t="str">
        <x:v>Exact source amount found; audited year/current-comparative column recorded. Accounting subtotal tests performed separately.</x:v>
      </x:c>
      <x:c r="P265" s="99" t="str">
        <x:v>05,591,165)  (1,255,242,063)
Operating profit    12,816,014,936  10,001,249,432 
Other income 29   5,280,719,197   4,452,416,513 
Finance cost 30   (349,910,716)  (677,380,845)
Profit before income tax and final tax   17,746,823,417  13,776,285,100 
Final tax 31   (58,631,368) (844,151,365)
Profit before taxation   17,688,192,049   12,932,</x:v>
      </x:c>
    </x:row>
    <x:row r="266" ht="82" customHeight="1">
      <x:c r="A266" s="168" t="str">
        <x:v>KOHC|levy|2021</x:v>
      </x:c>
      <x:c r="B266" s="168" t="str">
        <x:v>KOHC</x:v>
      </x:c>
      <x:c r="C266" s="168" t="str">
        <x:v>FY2021</x:v>
      </x:c>
      <x:c r="D266" s="168" t="str">
        <x:v>Levies (final / minimum taxes presented separately)</x:v>
      </x:c>
      <x:c r="E266" s="169" t="n">
        <x:v>0</x:v>
      </x:c>
      <x:c r="F266" s="169" t="n">
        <x:v>0</x:v>
      </x:c>
      <x:c r="G266" s="169" t="str">
        <x:v>Rupees</x:v>
      </x:c>
      <x:c r="H266" s="169" t="n">
        <x:f>F266/1000000</x:f>
        <x:v>0</x:v>
      </x:c>
      <x:c r="I266" s="169" t="n">
        <x:f>KOHC!D97</x:f>
        <x:v>0</x:v>
      </x:c>
      <x:c r="J266" s="169" t="n">
        <x:f>H266-I266</x:f>
        <x:v>0</x:v>
      </x:c>
      <x:c r="K266" s="168" t="str">
        <x:v>Kohat_Cement_AR_2022.pdf</x:v>
      </x:c>
      <x:c r="L266" s="168" t="n">
        <x:v>54</x:v>
      </x:c>
      <x:c r="M266" s="168" t="str">
        <x:v>Comparative</x:v>
      </x:c>
      <x:c r="N266" s="171" t="str">
        <x:v>Zero / no separate line in audited presentation</x:v>
      </x:c>
      <x:c r="O266" s="171" t="str">
        <x:v>Zero classification checked within the audited statement/note and reconstructed statement totals; absence of a separate line does not imply a missing replacement estimate.</x:v>
      </x:c>
      <x:c r="P266" s="171" t="str">
        <x:v>
  2022 2021
 Note Rupees Rupees
Sales-net 26   32,876,949,179   24,057,375,992 
Cost of sales 27   (23,065,180,670)  (18,092,026,933)
Gross Profit    | Levies (final / minimum taxes presented separately)</x:v>
      </x:c>
    </x:row>
    <x:row r="267" ht="82" customHeight="1">
      <x:c r="A267" s="76" t="str">
        <x:v>KOHC|levy|2022</x:v>
      </x:c>
      <x:c r="B267" s="76" t="str">
        <x:v>KOHC</x:v>
      </x:c>
      <x:c r="C267" s="76" t="str">
        <x:v>FY2022</x:v>
      </x:c>
      <x:c r="D267" s="76" t="str">
        <x:v>Levies (final / minimum taxes presented separately)</x:v>
      </x:c>
      <x:c r="E267" s="170" t="n">
        <x:v>0</x:v>
      </x:c>
      <x:c r="F267" s="170" t="n">
        <x:v>0</x:v>
      </x:c>
      <x:c r="G267" s="170" t="str">
        <x:v>Rupees</x:v>
      </x:c>
      <x:c r="H267" s="170" t="n">
        <x:f>F267/1000000</x:f>
        <x:v>0</x:v>
      </x:c>
      <x:c r="I267" s="170" t="n">
        <x:f>KOHC!E97</x:f>
        <x:v>0</x:v>
      </x:c>
      <x:c r="J267" s="170" t="n">
        <x:f>H267-I267</x:f>
        <x:v>0</x:v>
      </x:c>
      <x:c r="K267" s="76" t="str">
        <x:v>Financial_Statements-30-06-2023.pdf</x:v>
      </x:c>
      <x:c r="L267" s="76" t="n">
        <x:v>54</x:v>
      </x:c>
      <x:c r="M267" s="76" t="str">
        <x:v>Comparative</x:v>
      </x:c>
      <x:c r="N267" s="99" t="str">
        <x:v>Zero / no separate line in audited presentation</x:v>
      </x:c>
      <x:c r="O267" s="99" t="str">
        <x:v>Zero classification checked within the audited statement/note and reconstructed statement totals; absence of a separate line does not imply a missing replacement estimate.</x:v>
      </x:c>
      <x:c r="P267" s="99" t="str">
        <x:v>
52
  2023 2022
 Note Rupees Rupees
Sales-net 26   38,921,635,350   32,876,949,179 
Cost of sales 27   (28,488,941,331)  (23,065,180,670)
Gross Profit | Levies (final / minimum taxes presented separately)</x:v>
      </x:c>
    </x:row>
    <x:row r="268" ht="82" customHeight="1">
      <x:c r="A268" s="168" t="str">
        <x:v>KOHC|levy|2023</x:v>
      </x:c>
      <x:c r="B268" s="168" t="str">
        <x:v>KOHC</x:v>
      </x:c>
      <x:c r="C268" s="168" t="str">
        <x:v>FY2023</x:v>
      </x:c>
      <x:c r="D268" s="168" t="str">
        <x:v>Levies (final / minimum taxes presented separately)</x:v>
      </x:c>
      <x:c r="E268" s="169" t="n">
        <x:v>-343981005</x:v>
      </x:c>
      <x:c r="F268" s="169" t="n">
        <x:v>-343981005</x:v>
      </x:c>
      <x:c r="G268" s="169" t="str">
        <x:v>Rupees</x:v>
      </x:c>
      <x:c r="H268" s="169" t="n">
        <x:f>F268/1000000</x:f>
        <x:v>-343.981005</x:v>
      </x:c>
      <x:c r="I268" s="169" t="n">
        <x:f>KOHC!F97</x:f>
        <x:v>-343.981005</x:v>
      </x:c>
      <x:c r="J268" s="169" t="n">
        <x:f>H268-I268</x:f>
        <x:v>0</x:v>
      </x:c>
      <x:c r="K268" s="168" t="str">
        <x:v>Kohat_Cement_Annual_Report-2024.pdf</x:v>
      </x:c>
      <x:c r="L268" s="168" t="n">
        <x:v>60</x:v>
      </x:c>
      <x:c r="M268" s="168" t="str">
        <x:v>Comparative</x:v>
      </x:c>
      <x:c r="N268" s="171" t="str">
        <x:v>Printed amount independently located</x:v>
      </x:c>
      <x:c r="O268" s="171" t="str">
        <x:v>Exact source amount found; audited year/current-comparative column recorded. Accounting subtotal tests performed separately.</x:v>
      </x:c>
      <x:c r="P268" s="171" t="str">
        <x:v>Finance cost 31   (677,380,845)  (740,307,772)
Profit before income tax and final tax  13,776,285,100    10,469,327,828 
Final tax 32   (844,151,365) (343,981,005)
Profit before taxation  12,932,133,735     10,125,346,823 
Taxation 33   (4,038,678,947)     (4,304,595,678)
Profit after taxation   8,893,454,788    5,820,751,145 
Earnings per</x:v>
      </x:c>
    </x:row>
    <x:row r="269" ht="82" customHeight="1">
      <x:c r="A269" s="76" t="str">
        <x:v>KOHC|levy|2024</x:v>
      </x:c>
      <x:c r="B269" s="76" t="str">
        <x:v>KOHC</x:v>
      </x:c>
      <x:c r="C269" s="76" t="str">
        <x:v>FY2024</x:v>
      </x:c>
      <x:c r="D269" s="76" t="str">
        <x:v>Levies (final / minimum taxes presented separately)</x:v>
      </x:c>
      <x:c r="E269" s="170" t="n">
        <x:v>-844151365</x:v>
      </x:c>
      <x:c r="F269" s="170" t="n">
        <x:v>-844151365</x:v>
      </x:c>
      <x:c r="G269" s="170" t="str">
        <x:v>Rupees</x:v>
      </x:c>
      <x:c r="H269" s="170" t="n">
        <x:f>F269/1000000</x:f>
        <x:v>-844.151365</x:v>
      </x:c>
      <x:c r="I269" s="170" t="n">
        <x:f>KOHC!G97</x:f>
        <x:v>-844.151365</x:v>
      </x:c>
      <x:c r="J269" s="170" t="n">
        <x:f>H269-I269</x:f>
        <x:v>0</x:v>
      </x:c>
      <x:c r="K269" s="76" t="str">
        <x:v>Kohat_Cement_Annual_Report_2025.pdf</x:v>
      </x:c>
      <x:c r="L269" s="76" t="n">
        <x:v>70</x:v>
      </x:c>
      <x:c r="M269" s="76" t="str">
        <x:v>Comparative</x:v>
      </x:c>
      <x:c r="N269" s="99" t="str">
        <x:v>Printed amount independently located</x:v>
      </x:c>
      <x:c r="O269" s="99" t="str">
        <x:v>Exact source amount found; audited year/current-comparative column recorded. Accounting subtotal tests performed separately.</x:v>
      </x:c>
      <x:c r="P269" s="99" t="str">
        <x:v>Finance cost 30   (349,910,716)  (677,380,845)
Profit before income tax and final tax   17,746,823,417  13,776,285,100 
Final tax 31   (58,631,368) (844,151,365)
Profit before taxation   17,688,192,049   12,932,133,735 
Taxation 32   (6,113,037,978)  (4,038,678,948)
Profit after taxation   11,575,154,071  8,893,454,787 
   Restated
Ear</x:v>
      </x:c>
    </x:row>
    <x:row r="270" ht="82" customHeight="1">
      <x:c r="A270" s="168" t="str">
        <x:v>KOHC|levy|2025</x:v>
      </x:c>
      <x:c r="B270" s="168" t="str">
        <x:v>KOHC</x:v>
      </x:c>
      <x:c r="C270" s="168" t="str">
        <x:v>FY2025</x:v>
      </x:c>
      <x:c r="D270" s="168" t="str">
        <x:v>Levies (final / minimum taxes presented separately)</x:v>
      </x:c>
      <x:c r="E270" s="169" t="n">
        <x:v>-58631368</x:v>
      </x:c>
      <x:c r="F270" s="169" t="n">
        <x:v>-58631368</x:v>
      </x:c>
      <x:c r="G270" s="169" t="str">
        <x:v>Rupees</x:v>
      </x:c>
      <x:c r="H270" s="169" t="n">
        <x:f>F270/1000000</x:f>
        <x:v>-58.631368</x:v>
      </x:c>
      <x:c r="I270" s="169" t="n">
        <x:f>KOHC!H97</x:f>
        <x:v>-58.631368</x:v>
      </x:c>
      <x:c r="J270" s="169" t="n">
        <x:f>H270-I270</x:f>
        <x:v>0</x:v>
      </x:c>
      <x:c r="K270" s="168" t="str">
        <x:v>Kohat_Cement_Annual_Report_2025.pdf</x:v>
      </x:c>
      <x:c r="L270" s="168" t="n">
        <x:v>70</x:v>
      </x:c>
      <x:c r="M270" s="168" t="str">
        <x:v>Current year</x:v>
      </x:c>
      <x:c r="N270" s="171" t="str">
        <x:v>Printed amount independently located</x:v>
      </x:c>
      <x:c r="O270" s="171" t="str">
        <x:v>Exact source amount found; audited year/current-comparative column recorded. Accounting subtotal tests performed separately.</x:v>
      </x:c>
      <x:c r="P270" s="171" t="str">
        <x:v>4,452,416,513 
Finance cost 30   (349,910,716)  (677,380,845)
Profit before income tax and final tax   17,746,823,417  13,776,285,100 
Final tax 31   (58,631,368) (844,151,365)
Profit before taxation   17,688,192,049   12,932,133,735 
Taxation 32   (6,113,037,978)  (4,038,678,948)
Profit after taxation   11,575,154,071  8,893,454,787</x:v>
      </x:c>
    </x:row>
    <x:row r="271" ht="82" customHeight="1">
      <x:c r="A271" s="76" t="str">
        <x:v>KOHC|tax|2021</x:v>
      </x:c>
      <x:c r="B271" s="76" t="str">
        <x:v>KOHC</x:v>
      </x:c>
      <x:c r="C271" s="76" t="str">
        <x:v>FY2021</x:v>
      </x:c>
      <x:c r="D271" s="76" t="str">
        <x:v>Income tax</x:v>
      </x:c>
      <x:c r="E271" s="170" t="n">
        <x:v>-1388447360</x:v>
      </x:c>
      <x:c r="F271" s="170" t="n">
        <x:v>-1388447360</x:v>
      </x:c>
      <x:c r="G271" s="170" t="str">
        <x:v>Rupees</x:v>
      </x:c>
      <x:c r="H271" s="170" t="n">
        <x:f>F271/1000000</x:f>
        <x:v>-1388.44736</x:v>
      </x:c>
      <x:c r="I271" s="170" t="n">
        <x:f>KOHC!D98</x:f>
        <x:v>-1388.44736</x:v>
      </x:c>
      <x:c r="J271" s="170" t="n">
        <x:f>H271-I271</x:f>
        <x:v>0</x:v>
      </x:c>
      <x:c r="K271" s="76" t="str">
        <x:v>Kohat_Cement_AR_2022.pdf</x:v>
      </x:c>
      <x:c r="L271" s="76" t="n">
        <x:v>54</x:v>
      </x:c>
      <x:c r="M271" s="76" t="str">
        <x:v>Comparative</x:v>
      </x:c>
      <x:c r="N271" s="99" t="str">
        <x:v>Printed amount independently located</x:v>
      </x:c>
      <x:c r="O271" s="99" t="str">
        <x:v>Exact source amount found; audited year/current-comparative column recorded. Accounting subtotal tests performed separately.</x:v>
      </x:c>
      <x:c r="P271" s="99" t="str">
        <x:v>5,403,010,020 
Finance cost 32   (537,710,815)  (517,055,413)
Profit before taxation   8,925,489,126  4,885,954,607 
T axation 33   (3,901,208,866)  (1,388,447,360)
Profit after taxation   5,024,280,260  3,497,507,247 
Earnings per share - basic and diluted 34   25.01  17.41 
The annexed notes from 1 to 49 form an integral part of thes</x:v>
      </x:c>
    </x:row>
    <x:row r="272" ht="82" customHeight="1">
      <x:c r="A272" s="168" t="str">
        <x:v>KOHC|tax|2022</x:v>
      </x:c>
      <x:c r="B272" s="168" t="str">
        <x:v>KOHC</x:v>
      </x:c>
      <x:c r="C272" s="168" t="str">
        <x:v>FY2022</x:v>
      </x:c>
      <x:c r="D272" s="168" t="str">
        <x:v>Income tax</x:v>
      </x:c>
      <x:c r="E272" s="169" t="n">
        <x:v>-3901208866</x:v>
      </x:c>
      <x:c r="F272" s="169" t="n">
        <x:v>-3901208866</x:v>
      </x:c>
      <x:c r="G272" s="169" t="str">
        <x:v>Rupees</x:v>
      </x:c>
      <x:c r="H272" s="169" t="n">
        <x:f>F272/1000000</x:f>
        <x:v>-3901.208866</x:v>
      </x:c>
      <x:c r="I272" s="169" t="n">
        <x:f>KOHC!E98</x:f>
        <x:v>-3901.208866</x:v>
      </x:c>
      <x:c r="J272" s="169" t="n">
        <x:f>H272-I272</x:f>
        <x:v>0</x:v>
      </x:c>
      <x:c r="K272" s="168" t="str">
        <x:v>Financial_Statements-30-06-2023.pdf</x:v>
      </x:c>
      <x:c r="L272" s="168" t="n">
        <x:v>54</x:v>
      </x:c>
      <x:c r="M272" s="168" t="str">
        <x:v>Comparative</x:v>
      </x:c>
      <x:c r="N272" s="171" t="str">
        <x:v>Printed amount independently located</x:v>
      </x:c>
      <x:c r="O272" s="171" t="str">
        <x:v>Exact source amount found; audited year/current-comparative column recorded. Accounting subtotal tests performed separately.</x:v>
      </x:c>
      <x:c r="P272" s="171" t="str">
        <x:v>9,463,199,941 
Finance cost 32   (740,307,772)  (537,710,815)
Profit before taxation   10,469,327,828  8,925,489,126 
Taxation 33   (4,648,576,683)  (3,901,208,866)
Profit after taxation   5,820,751,145  5,024,280,260 
Earnings per share - basic and diluted 34   28.98  25.01 
The annexed notes from 1 to 48 form an integral part of thes</x:v>
      </x:c>
    </x:row>
    <x:row r="273" ht="82" customHeight="1">
      <x:c r="A273" s="76" t="str">
        <x:v>KOHC|tax|2023</x:v>
      </x:c>
      <x:c r="B273" s="76" t="str">
        <x:v>KOHC</x:v>
      </x:c>
      <x:c r="C273" s="76" t="str">
        <x:v>FY2023</x:v>
      </x:c>
      <x:c r="D273" s="76" t="str">
        <x:v>Income tax</x:v>
      </x:c>
      <x:c r="E273" s="170" t="n">
        <x:v>-4304595678</x:v>
      </x:c>
      <x:c r="F273" s="170" t="n">
        <x:v>-4304595678</x:v>
      </x:c>
      <x:c r="G273" s="170" t="str">
        <x:v>Rupees</x:v>
      </x:c>
      <x:c r="H273" s="170" t="n">
        <x:f>F273/1000000</x:f>
        <x:v>-4304.595678</x:v>
      </x:c>
      <x:c r="I273" s="170" t="n">
        <x:f>KOHC!F98</x:f>
        <x:v>-4304.595678</x:v>
      </x:c>
      <x:c r="J273" s="170" t="n">
        <x:f>H273-I273</x:f>
        <x:v>0</x:v>
      </x:c>
      <x:c r="K273" s="76" t="str">
        <x:v>Kohat_Cement_Annual_Report-2024.pdf</x:v>
      </x:c>
      <x:c r="L273" s="76" t="n">
        <x:v>60</x:v>
      </x:c>
      <x:c r="M273" s="76" t="str">
        <x:v>Comparative</x:v>
      </x:c>
      <x:c r="N273" s="99" t="str">
        <x:v>Printed amount independently located</x:v>
      </x:c>
      <x:c r="O273" s="99" t="str">
        <x:v>Exact source amount found; audited year/current-comparative column recorded. Accounting subtotal tests performed separately.</x:v>
      </x:c>
      <x:c r="P273" s="99" t="str">
        <x:v>,469,327,828 
Final tax 32   (844,151,365) (343,981,005)
Profit before taxation  12,932,133,735     10,125,346,823 
Taxation 33   (4,038,678,947)     (4,304,595,678)
Profit after taxation   8,893,454,788    5,820,751,145 
Earnings per share - basic and diluted 34  45.27    28.98 
The annexed notes from 1 to 47 form an integral part of</x:v>
      </x:c>
    </x:row>
    <x:row r="274" ht="82" customHeight="1">
      <x:c r="A274" s="168" t="str">
        <x:v>KOHC|tax|2024</x:v>
      </x:c>
      <x:c r="B274" s="168" t="str">
        <x:v>KOHC</x:v>
      </x:c>
      <x:c r="C274" s="168" t="str">
        <x:v>FY2024</x:v>
      </x:c>
      <x:c r="D274" s="168" t="str">
        <x:v>Income tax</x:v>
      </x:c>
      <x:c r="E274" s="169" t="n">
        <x:v>-4038678948</x:v>
      </x:c>
      <x:c r="F274" s="169" t="n">
        <x:v>-4038678948</x:v>
      </x:c>
      <x:c r="G274" s="169" t="str">
        <x:v>Rupees</x:v>
      </x:c>
      <x:c r="H274" s="169" t="n">
        <x:f>F274/1000000</x:f>
        <x:v>-4038.678948</x:v>
      </x:c>
      <x:c r="I274" s="169" t="n">
        <x:f>KOHC!G98</x:f>
        <x:v>-4038.678948</x:v>
      </x:c>
      <x:c r="J274" s="169" t="n">
        <x:f>H274-I274</x:f>
        <x:v>0</x:v>
      </x:c>
      <x:c r="K274" s="168" t="str">
        <x:v>Kohat_Cement_Annual_Report_2025.pdf</x:v>
      </x:c>
      <x:c r="L274" s="168" t="n">
        <x:v>70</x:v>
      </x:c>
      <x:c r="M274" s="168" t="str">
        <x:v>Comparative</x:v>
      </x:c>
      <x:c r="N274" s="171" t="str">
        <x:v>Printed amount independently located</x:v>
      </x:c>
      <x:c r="O274" s="171" t="str">
        <x:v>Exact source amount found; audited year/current-comparative column recorded. Accounting subtotal tests performed separately.</x:v>
      </x:c>
      <x:c r="P274" s="171" t="str">
        <x:v>7  13,776,285,100 
Final tax 31   (58,631,368) (844,151,365)
Profit before taxation   17,688,192,049   12,932,133,735 
Taxation 32   (6,113,037,978)  (4,038,678,948)
Profit after taxation   11,575,154,071  8,893,454,787 
   Restated
Earnings per share - basic and diluted 33   11.97  9.06 
The annexed notes from 1 to 47 form an integr</x:v>
      </x:c>
    </x:row>
    <x:row r="275" ht="82" customHeight="1">
      <x:c r="A275" s="76" t="str">
        <x:v>KOHC|tax|2025</x:v>
      </x:c>
      <x:c r="B275" s="76" t="str">
        <x:v>KOHC</x:v>
      </x:c>
      <x:c r="C275" s="76" t="str">
        <x:v>FY2025</x:v>
      </x:c>
      <x:c r="D275" s="76" t="str">
        <x:v>Income tax</x:v>
      </x:c>
      <x:c r="E275" s="170" t="n">
        <x:v>-6113037978</x:v>
      </x:c>
      <x:c r="F275" s="170" t="n">
        <x:v>-6113037978</x:v>
      </x:c>
      <x:c r="G275" s="170" t="str">
        <x:v>Rupees</x:v>
      </x:c>
      <x:c r="H275" s="170" t="n">
        <x:f>F275/1000000</x:f>
        <x:v>-6113.037978</x:v>
      </x:c>
      <x:c r="I275" s="170" t="n">
        <x:f>KOHC!H98</x:f>
        <x:v>-6113.037978</x:v>
      </x:c>
      <x:c r="J275" s="170" t="n">
        <x:f>H275-I275</x:f>
        <x:v>0</x:v>
      </x:c>
      <x:c r="K275" s="76" t="str">
        <x:v>Kohat_Cement_Annual_Report_2025.pdf</x:v>
      </x:c>
      <x:c r="L275" s="76" t="n">
        <x:v>70</x:v>
      </x:c>
      <x:c r="M275" s="76" t="str">
        <x:v>Current year</x:v>
      </x:c>
      <x:c r="N275" s="99" t="str">
        <x:v>Printed amount independently located</x:v>
      </x:c>
      <x:c r="O275" s="99" t="str">
        <x:v>Exact source amount found; audited year/current-comparative column recorded. Accounting subtotal tests performed separately.</x:v>
      </x:c>
      <x:c r="P275" s="99" t="str">
        <x:v>x   17,746,823,417  13,776,285,100 
Final tax 31   (58,631,368) (844,151,365)
Profit before taxation   17,688,192,049   12,932,133,735 
Taxation 32   (6,113,037,978)  (4,038,678,948)
Profit after taxation   11,575,154,071  8,893,454,787 
   Restated
Earnings per share - basic and diluted 33   11.97  9.06 
The annexed notes from 1 to</x:v>
      </x:c>
    </x:row>
    <x:row r="276" ht="82" customHeight="1">
      <x:c r="A276" s="168" t="str">
        <x:v>KOHC|pr_gp|2021</x:v>
      </x:c>
      <x:c r="B276" s="168" t="str">
        <x:v>KOHC</x:v>
      </x:c>
      <x:c r="C276" s="168" t="str">
        <x:v>FY2021</x:v>
      </x:c>
      <x:c r="D276" s="168" t="str">
        <x:v>Printed gross profit</x:v>
      </x:c>
      <x:c r="E276" s="169" t="n">
        <x:v>5965349059</x:v>
      </x:c>
      <x:c r="F276" s="169" t="n">
        <x:v>5965349059</x:v>
      </x:c>
      <x:c r="G276" s="169" t="str">
        <x:v>Rupees</x:v>
      </x:c>
      <x:c r="H276" s="169" t="n">
        <x:f>F276/1000000</x:f>
        <x:v>5965.349059</x:v>
      </x:c>
      <x:c r="I276" s="169" t="n">
        <x:f>KOHC!D100</x:f>
        <x:v>5965.349059</x:v>
      </x:c>
      <x:c r="J276" s="169" t="n">
        <x:f>H276-I276</x:f>
        <x:v>0</x:v>
      </x:c>
      <x:c r="K276" s="168" t="str">
        <x:v>Kohat_Cement_AR_2022.pdf</x:v>
      </x:c>
      <x:c r="L276" s="168" t="n">
        <x:v>54</x:v>
      </x:c>
      <x:c r="M276" s="168" t="str">
        <x:v>Comparative</x:v>
      </x:c>
      <x:c r="N276" s="171" t="str">
        <x:v>Printed amount independently located</x:v>
      </x:c>
      <x:c r="O276" s="171" t="str">
        <x:v>Exact source amount found; audited year/current-comparative column recorded. Accounting subtotal tests performed separately.</x:v>
      </x:c>
      <x:c r="P276" s="171" t="str">
        <x:v>te Rupees Rupees
Sales-net 26   32,876,949,179   24,057,375,992 
Cost of sales 27   (23,065,180,670)  (18,092,026,933)
Gross Profit    9,811,768,509  5,965,349,059
Selling and distribution expenses 28   (122,136,736)  (94,165,965)
Administrative and general expenses 29   (353,522,846)  (313,524,670)
Other income 30   690,143,396   170,67</x:v>
      </x:c>
    </x:row>
    <x:row r="277" ht="82" customHeight="1">
      <x:c r="A277" s="76" t="str">
        <x:v>KOHC|pr_gp|2022</x:v>
      </x:c>
      <x:c r="B277" s="76" t="str">
        <x:v>KOHC</x:v>
      </x:c>
      <x:c r="C277" s="76" t="str">
        <x:v>FY2022</x:v>
      </x:c>
      <x:c r="D277" s="76" t="str">
        <x:v>Printed gross profit</x:v>
      </x:c>
      <x:c r="E277" s="170" t="n">
        <x:v>9811768509</x:v>
      </x:c>
      <x:c r="F277" s="170" t="n">
        <x:v>9811768509</x:v>
      </x:c>
      <x:c r="G277" s="170" t="str">
        <x:v>Rupees</x:v>
      </x:c>
      <x:c r="H277" s="170" t="n">
        <x:f>F277/1000000</x:f>
        <x:v>9811.768509</x:v>
      </x:c>
      <x:c r="I277" s="170" t="n">
        <x:f>KOHC!E100</x:f>
        <x:v>9811.768509</x:v>
      </x:c>
      <x:c r="J277" s="170" t="n">
        <x:f>H277-I277</x:f>
        <x:v>0</x:v>
      </x:c>
      <x:c r="K277" s="76" t="str">
        <x:v>Financial_Statements-30-06-2023.pdf</x:v>
      </x:c>
      <x:c r="L277" s="76" t="n">
        <x:v>54</x:v>
      </x:c>
      <x:c r="M277" s="76" t="str">
        <x:v>Comparative</x:v>
      </x:c>
      <x:c r="N277" s="99" t="str">
        <x:v>Printed amount independently located</x:v>
      </x:c>
      <x:c r="O277" s="99" t="str">
        <x:v>Exact source amount found; audited year/current-comparative column recorded. Accounting subtotal tests performed separately.</x:v>
      </x:c>
      <x:c r="P277" s="99" t="str">
        <x:v>e Rupees Rupees
Sales-net 26   38,921,635,350   32,876,949,179 
Cost of sales 27   (28,488,941,331)  (23,065,180,670)
Gross Profit    10,432,694,019  9,811,768,509
Selling and distribution expenses 28   (176,123,458)  (122,136,736)
Administrative and general expenses 29   (396,230,055)  (353,522,846)
Other income 30   2,085,808,053   690</x:v>
      </x:c>
    </x:row>
    <x:row r="278" ht="82" customHeight="1">
      <x:c r="A278" s="168" t="str">
        <x:v>KOHC|pr_gp|2023</x:v>
      </x:c>
      <x:c r="B278" s="168" t="str">
        <x:v>KOHC</x:v>
      </x:c>
      <x:c r="C278" s="168" t="str">
        <x:v>FY2023</x:v>
      </x:c>
      <x:c r="D278" s="168" t="str">
        <x:v>Printed gross profit</x:v>
      </x:c>
      <x:c r="E278" s="169" t="n">
        <x:v>10432694019</x:v>
      </x:c>
      <x:c r="F278" s="169" t="n">
        <x:v>10432694019</x:v>
      </x:c>
      <x:c r="G278" s="169" t="str">
        <x:v>Rupees</x:v>
      </x:c>
      <x:c r="H278" s="169" t="n">
        <x:f>F278/1000000</x:f>
        <x:v>10432.694019</x:v>
      </x:c>
      <x:c r="I278" s="169" t="n">
        <x:f>KOHC!F100</x:f>
        <x:v>10432.694019</x:v>
      </x:c>
      <x:c r="J278" s="169" t="n">
        <x:f>H278-I278</x:f>
        <x:v>0</x:v>
      </x:c>
      <x:c r="K278" s="168" t="str">
        <x:v>Kohat_Cement_Annual_Report-2024.pdf</x:v>
      </x:c>
      <x:c r="L278" s="168" t="n">
        <x:v>60</x:v>
      </x:c>
      <x:c r="M278" s="168" t="str">
        <x:v>Comparative</x:v>
      </x:c>
      <x:c r="N278" s="171" t="str">
        <x:v>Printed amount independently located</x:v>
      </x:c>
      <x:c r="O278" s="171" t="str">
        <x:v>Exact source amount found; audited year/current-comparative column recorded. Accounting subtotal tests performed separately.</x:v>
      </x:c>
      <x:c r="P278" s="171" t="str">
        <x:v>Restated
Sales–net 25   38,647,767,972     38,921,635,350 
Cost of sales 26    (27,391,276,477)     (28,488,941,331)
Gross Profit   11,256,491,495    10,432,694,019 
Selling and distribution expenses 27   (197,259,359)  (176,123,458)
Administrative and general expenses 28   (488,042,831)  (396,230,055)
Other expenses 29   (571,950,389)  (73</x:v>
      </x:c>
    </x:row>
    <x:row r="279" ht="82" customHeight="1">
      <x:c r="A279" s="76" t="str">
        <x:v>KOHC|pr_gp|2024</x:v>
      </x:c>
      <x:c r="B279" s="76" t="str">
        <x:v>KOHC</x:v>
      </x:c>
      <x:c r="C279" s="76" t="str">
        <x:v>FY2024</x:v>
      </x:c>
      <x:c r="D279" s="76" t="str">
        <x:v>Printed gross profit</x:v>
      </x:c>
      <x:c r="E279" s="170" t="n">
        <x:v>11256491495</x:v>
      </x:c>
      <x:c r="F279" s="170" t="n">
        <x:v>11256491495</x:v>
      </x:c>
      <x:c r="G279" s="170" t="str">
        <x:v>Rupees</x:v>
      </x:c>
      <x:c r="H279" s="170" t="n">
        <x:f>F279/1000000</x:f>
        <x:v>11256.491495</x:v>
      </x:c>
      <x:c r="I279" s="170" t="n">
        <x:f>KOHC!G100</x:f>
        <x:v>11256.491495</x:v>
      </x:c>
      <x:c r="J279" s="170" t="n">
        <x:f>H279-I279</x:f>
        <x:v>0</x:v>
      </x:c>
      <x:c r="K279" s="76" t="str">
        <x:v>Kohat_Cement_Annual_Report_2025.pdf</x:v>
      </x:c>
      <x:c r="L279" s="76" t="n">
        <x:v>70</x:v>
      </x:c>
      <x:c r="M279" s="76" t="str">
        <x:v>Comparative</x:v>
      </x:c>
      <x:c r="N279" s="99" t="str">
        <x:v>Printed amount independently located</x:v>
      </x:c>
      <x:c r="O279" s="99" t="str">
        <x:v>Exact source amount found; audited year/current-comparative column recorded. Accounting subtotal tests performed separately.</x:v>
      </x:c>
      <x:c r="P279" s="99" t="str">
        <x:v>e Rupees Rupees
Sales-net 24   37,535,700,372   38,647,767,972 
Cost of sales 25   (22,814,094,271)  (27,391,276,477)
Gross Profit    14,721,606,101  11,256,491,495 
Selling and distribution expenses 26   (225,600,417)  (197,259,359)
Administrative and general expenses 27   (695,553,118)  (488,042,831)
(Allowance) / reversal of expected credi</x:v>
      </x:c>
    </x:row>
    <x:row r="280" ht="82" customHeight="1">
      <x:c r="A280" s="168" t="str">
        <x:v>KOHC|pr_gp|2025</x:v>
      </x:c>
      <x:c r="B280" s="168" t="str">
        <x:v>KOHC</x:v>
      </x:c>
      <x:c r="C280" s="168" t="str">
        <x:v>FY2025</x:v>
      </x:c>
      <x:c r="D280" s="168" t="str">
        <x:v>Printed gross profit</x:v>
      </x:c>
      <x:c r="E280" s="169" t="n">
        <x:v>14721606101</x:v>
      </x:c>
      <x:c r="F280" s="169" t="n">
        <x:v>14721606101</x:v>
      </x:c>
      <x:c r="G280" s="169" t="str">
        <x:v>Rupees</x:v>
      </x:c>
      <x:c r="H280" s="169" t="n">
        <x:f>F280/1000000</x:f>
        <x:v>14721.606101</x:v>
      </x:c>
      <x:c r="I280" s="169" t="n">
        <x:f>KOHC!H100</x:f>
        <x:v>14721.606101</x:v>
      </x:c>
      <x:c r="J280" s="169" t="n">
        <x:f>H280-I280</x:f>
        <x:v>0</x:v>
      </x:c>
      <x:c r="K280" s="168" t="str">
        <x:v>Kohat_Cement_Annual_Report_2025.pdf</x:v>
      </x:c>
      <x:c r="L280" s="168" t="n">
        <x:v>70</x:v>
      </x:c>
      <x:c r="M280" s="168" t="str">
        <x:v>Current year</x:v>
      </x:c>
      <x:c r="N280" s="171" t="str">
        <x:v>Printed amount independently located</x:v>
      </x:c>
      <x:c r="O280" s="171" t="str">
        <x:v>Exact source amount found; audited year/current-comparative column recorded. Accounting subtotal tests performed separately.</x:v>
      </x:c>
      <x:c r="P280" s="171" t="str">
        <x:v>2025 2024
 Note Rupees Rupees
Sales-net 24   37,535,700,372   38,647,767,972 
Cost of sales 25   (22,814,094,271)  (27,391,276,477)
Gross Profit    14,721,606,101  11,256,491,495 
Selling and distribution expenses 26   (225,600,417)  (197,259,359)
Administrative and general expenses 27   (695,553,118)  (488,042,831)
(Allowance) / reversal o</x:v>
      </x:c>
    </x:row>
    <x:row r="281" ht="82" customHeight="1">
      <x:c r="A281" s="76" t="str">
        <x:v>KOHC|pr_pbt|2021</x:v>
      </x:c>
      <x:c r="B281" s="76" t="str">
        <x:v>KOHC</x:v>
      </x:c>
      <x:c r="C281" s="76" t="str">
        <x:v>FY2021</x:v>
      </x:c>
      <x:c r="D281" s="76" t="str">
        <x:v>Printed profit before levies and income tax</x:v>
      </x:c>
      <x:c r="E281" s="170" t="n">
        <x:v>4885954607</x:v>
      </x:c>
      <x:c r="F281" s="170" t="n">
        <x:v>4885954607</x:v>
      </x:c>
      <x:c r="G281" s="170" t="str">
        <x:v>Rupees</x:v>
      </x:c>
      <x:c r="H281" s="170" t="n">
        <x:f>F281/1000000</x:f>
        <x:v>4885.954607</x:v>
      </x:c>
      <x:c r="I281" s="170" t="n">
        <x:f>KOHC!D101</x:f>
        <x:v>4885.954607</x:v>
      </x:c>
      <x:c r="J281" s="170" t="n">
        <x:f>H281-I281</x:f>
        <x:v>0</x:v>
      </x:c>
      <x:c r="K281" s="76" t="str">
        <x:v>Kohat_Cement_AR_2022.pdf</x:v>
      </x:c>
      <x:c r="L281" s="76" t="n">
        <x:v>54</x:v>
      </x:c>
      <x:c r="M281" s="76" t="str">
        <x:v>Comparative</x:v>
      </x:c>
      <x:c r="N281" s="99" t="str">
        <x:v>Printed amount independently located</x:v>
      </x:c>
      <x:c r="O281" s="99" t="str">
        <x:v>Exact source amount found; audited year/current-comparative column recorded. Accounting subtotal tests performed separately.</x:v>
      </x:c>
      <x:c r="P281" s="99" t="str">
        <x:v>562,339,039)
Operating profit    9,463,199,941  5,403,010,020 
Finance cost 32   (537,710,815)  (517,055,413)
Profit before taxation   8,925,489,126  4,885,954,607 
T axation 33   (3,901,208,866)  (1,388,447,360)
Profit after taxation   5,024,280,260  3,497,507,247 
Earnings per share - basic and diluted 34   25.01  17.41 
The annexed</x:v>
      </x:c>
    </x:row>
    <x:row r="282" ht="82" customHeight="1">
      <x:c r="A282" s="168" t="str">
        <x:v>KOHC|pr_pbt|2022</x:v>
      </x:c>
      <x:c r="B282" s="168" t="str">
        <x:v>KOHC</x:v>
      </x:c>
      <x:c r="C282" s="168" t="str">
        <x:v>FY2022</x:v>
      </x:c>
      <x:c r="D282" s="168" t="str">
        <x:v>Printed profit before levies and income tax</x:v>
      </x:c>
      <x:c r="E282" s="169" t="n">
        <x:v>8925489126</x:v>
      </x:c>
      <x:c r="F282" s="169" t="n">
        <x:v>8925489126</x:v>
      </x:c>
      <x:c r="G282" s="169" t="str">
        <x:v>Rupees</x:v>
      </x:c>
      <x:c r="H282" s="169" t="n">
        <x:f>F282/1000000</x:f>
        <x:v>8925.489126</x:v>
      </x:c>
      <x:c r="I282" s="169" t="n">
        <x:f>KOHC!E101</x:f>
        <x:v>8925.489126</x:v>
      </x:c>
      <x:c r="J282" s="169" t="n">
        <x:f>H282-I282</x:f>
        <x:v>0</x:v>
      </x:c>
      <x:c r="K282" s="168" t="str">
        <x:v>Financial_Statements-30-06-2023.pdf</x:v>
      </x:c>
      <x:c r="L282" s="168" t="n">
        <x:v>54</x:v>
      </x:c>
      <x:c r="M282" s="168" t="str">
        <x:v>Comparative</x:v>
      </x:c>
      <x:c r="N282" s="171" t="str">
        <x:v>Printed amount independently located</x:v>
      </x:c>
      <x:c r="O282" s="171" t="str">
        <x:v>Exact source amount found; audited year/current-comparative column recorded. Accounting subtotal tests performed separately.</x:v>
      </x:c>
      <x:c r="P282" s="171" t="str">
        <x:v>8,568,568)
Operating profit    11,209,635,600  9,463,199,941 
Finance cost 32   (740,307,772)  (537,710,815)
Profit before taxation   10,469,327,828  8,925,489,126 
Taxation 33   (4,648,576,683)  (3,901,208,866)
Profit after taxation   5,820,751,145  5,024,280,260 
Earnings per share - basic and diluted 34   28.98  25.01 
The annexed</x:v>
      </x:c>
    </x:row>
    <x:row r="283" ht="82" customHeight="1">
      <x:c r="A283" s="76" t="str">
        <x:v>KOHC|pr_pbt|2023</x:v>
      </x:c>
      <x:c r="B283" s="76" t="str">
        <x:v>KOHC</x:v>
      </x:c>
      <x:c r="C283" s="76" t="str">
        <x:v>FY2023</x:v>
      </x:c>
      <x:c r="D283" s="76" t="str">
        <x:v>Printed profit before levies and income tax</x:v>
      </x:c>
      <x:c r="E283" s="170" t="n">
        <x:v>10469327828</x:v>
      </x:c>
      <x:c r="F283" s="170" t="n">
        <x:v>10469327828</x:v>
      </x:c>
      <x:c r="G283" s="170" t="str">
        <x:v>Rupees</x:v>
      </x:c>
      <x:c r="H283" s="170" t="n">
        <x:f>F283/1000000</x:f>
        <x:v>10469.327828</x:v>
      </x:c>
      <x:c r="I283" s="170" t="n">
        <x:f>KOHC!F101</x:f>
        <x:v>10469.327828</x:v>
      </x:c>
      <x:c r="J283" s="170" t="n">
        <x:f>H283-I283</x:f>
        <x:v>0</x:v>
      </x:c>
      <x:c r="K283" s="76" t="str">
        <x:v>Kohat_Cement_Annual_Report-2024.pdf</x:v>
      </x:c>
      <x:c r="L283" s="76" t="n">
        <x:v>60</x:v>
      </x:c>
      <x:c r="M283" s="76" t="str">
        <x:v>Comparative</x:v>
      </x:c>
      <x:c r="N283" s="99" t="str">
        <x:v>Printed amount independently located</x:v>
      </x:c>
      <x:c r="O283" s="99" t="str">
        <x:v>Exact source amount found; audited year/current-comparative column recorded. Accounting subtotal tests performed separately.</x:v>
      </x:c>
      <x:c r="P283" s="99" t="str">
        <x:v>income 30  4,454,427,029     2,085,808,053 
Finance cost 31   (677,380,845)  (740,307,772)
Profit before income tax and final tax  13,776,285,100    10,469,327,828 
Final tax 32   (844,151,365) (343,981,005)
Profit before taxation  12,932,133,735     10,125,346,823 
Taxation 33   (4,038,678,947)     (4,304,595,678)
Profit after taxation   8,</x:v>
      </x:c>
    </x:row>
    <x:row r="284" ht="82" customHeight="1">
      <x:c r="A284" s="168" t="str">
        <x:v>KOHC|pr_pbt|2024</x:v>
      </x:c>
      <x:c r="B284" s="168" t="str">
        <x:v>KOHC</x:v>
      </x:c>
      <x:c r="C284" s="168" t="str">
        <x:v>FY2024</x:v>
      </x:c>
      <x:c r="D284" s="168" t="str">
        <x:v>Printed profit before levies and income tax</x:v>
      </x:c>
      <x:c r="E284" s="169" t="n">
        <x:v>13776285100</x:v>
      </x:c>
      <x:c r="F284" s="169" t="n">
        <x:v>13776285100</x:v>
      </x:c>
      <x:c r="G284" s="169" t="str">
        <x:v>Rupees</x:v>
      </x:c>
      <x:c r="H284" s="169" t="n">
        <x:f>F284/1000000</x:f>
        <x:v>13776.2851</x:v>
      </x:c>
      <x:c r="I284" s="169" t="n">
        <x:f>KOHC!G101</x:f>
        <x:v>13776.2851</x:v>
      </x:c>
      <x:c r="J284" s="169" t="n">
        <x:f>H284-I284</x:f>
        <x:v>0</x:v>
      </x:c>
      <x:c r="K284" s="168" t="str">
        <x:v>Kohat_Cement_Annual_Report_2025.pdf</x:v>
      </x:c>
      <x:c r="L284" s="168" t="n">
        <x:v>70</x:v>
      </x:c>
      <x:c r="M284" s="168" t="str">
        <x:v>Comparative</x:v>
      </x:c>
      <x:c r="N284" s="171" t="str">
        <x:v>Printed amount independently located</x:v>
      </x:c>
      <x:c r="O284" s="171" t="str">
        <x:v>Exact source amount found; audited year/current-comparative column recorded. Accounting subtotal tests performed separately.</x:v>
      </x:c>
      <x:c r="P284" s="171" t="str">
        <x:v>er income 29   5,280,719,197   4,452,416,513 
Finance cost 30   (349,910,716)  (677,380,845)
Profit before income tax and final tax   17,746,823,417  13,776,285,100 
Final tax 31   (58,631,368) (844,151,365)
Profit before taxation   17,688,192,049   12,932,133,735 
Taxation 32   (6,113,037,978)  (4,038,678,948)
Profit after taxation   11,575,</x:v>
      </x:c>
    </x:row>
    <x:row r="285" ht="82" customHeight="1">
      <x:c r="A285" s="76" t="str">
        <x:v>KOHC|pr_pbt|2025</x:v>
      </x:c>
      <x:c r="B285" s="76" t="str">
        <x:v>KOHC</x:v>
      </x:c>
      <x:c r="C285" s="76" t="str">
        <x:v>FY2025</x:v>
      </x:c>
      <x:c r="D285" s="76" t="str">
        <x:v>Printed profit before levies and income tax</x:v>
      </x:c>
      <x:c r="E285" s="170" t="n">
        <x:v>17746823417</x:v>
      </x:c>
      <x:c r="F285" s="170" t="n">
        <x:v>17746823417</x:v>
      </x:c>
      <x:c r="G285" s="170" t="str">
        <x:v>Rupees</x:v>
      </x:c>
      <x:c r="H285" s="170" t="n">
        <x:f>F285/1000000</x:f>
        <x:v>17746.823417</x:v>
      </x:c>
      <x:c r="I285" s="170" t="n">
        <x:f>KOHC!H101</x:f>
        <x:v>17746.823417</x:v>
      </x:c>
      <x:c r="J285" s="170" t="n">
        <x:f>H285-I285</x:f>
        <x:v>0</x:v>
      </x:c>
      <x:c r="K285" s="76" t="str">
        <x:v>Kohat_Cement_Annual_Report_2025.pdf</x:v>
      </x:c>
      <x:c r="L285" s="76" t="n">
        <x:v>70</x:v>
      </x:c>
      <x:c r="M285" s="76" t="str">
        <x:v>Current year</x:v>
      </x:c>
      <x:c r="N285" s="99" t="str">
        <x:v>Printed amount independently located</x:v>
      </x:c>
      <x:c r="O285" s="99" t="str">
        <x:v>Exact source amount found; audited year/current-comparative column recorded. Accounting subtotal tests performed separately.</x:v>
      </x:c>
      <x:c r="P285" s="99" t="str">
        <x:v>1,249,432 
Other income 29   5,280,719,197   4,452,416,513 
Finance cost 30   (349,910,716)  (677,380,845)
Profit before income tax and final tax   17,746,823,417  13,776,285,100 
Final tax 31   (58,631,368) (844,151,365)
Profit before taxation   17,688,192,049   12,932,133,735 
Taxation 32   (6,113,037,978)  (4,038,678,948)
Profit after ta</x:v>
      </x:c>
    </x:row>
    <x:row r="286" ht="82" customHeight="1">
      <x:c r="A286" s="168" t="str">
        <x:v>KOHC|pr_pat|2021</x:v>
      </x:c>
      <x:c r="B286" s="168" t="str">
        <x:v>KOHC</x:v>
      </x:c>
      <x:c r="C286" s="168" t="str">
        <x:v>FY2021</x:v>
      </x:c>
      <x:c r="D286" s="168" t="str">
        <x:v>Printed profit after tax</x:v>
      </x:c>
      <x:c r="E286" s="169" t="n">
        <x:v>3497507247</x:v>
      </x:c>
      <x:c r="F286" s="169" t="n">
        <x:v>3497507247</x:v>
      </x:c>
      <x:c r="G286" s="169" t="str">
        <x:v>Rupees</x:v>
      </x:c>
      <x:c r="H286" s="169" t="n">
        <x:f>F286/1000000</x:f>
        <x:v>3497.507247</x:v>
      </x:c>
      <x:c r="I286" s="169" t="n">
        <x:f>KOHC!D102</x:f>
        <x:v>3497.507247</x:v>
      </x:c>
      <x:c r="J286" s="169" t="n">
        <x:f>H286-I286</x:f>
        <x:v>0</x:v>
      </x:c>
      <x:c r="K286" s="168" t="str">
        <x:v>Kohat_Cement_AR_2022.pdf</x:v>
      </x:c>
      <x:c r="L286" s="168" t="n">
        <x:v>54</x:v>
      </x:c>
      <x:c r="M286" s="168" t="str">
        <x:v>Comparative</x:v>
      </x:c>
      <x:c r="N286" s="171" t="str">
        <x:v>Printed amount independently located</x:v>
      </x:c>
      <x:c r="O286" s="171" t="str">
        <x:v>Exact source amount found; audited year/current-comparative column recorded. Accounting subtotal tests performed separately.</x:v>
      </x:c>
      <x:c r="P286" s="171" t="str">
        <x:v>55,413)
Profit before taxation   8,925,489,126  4,885,954,607 
T axation 33   (3,901,208,866)  (1,388,447,360)
Profit after taxation   5,024,280,260  3,497,507,247 
Earnings per share - basic and diluted 34   25.01  17.41 
The annexed notes from 1 to 49 form an integral part of these financial statements.
Chief Executive Officer Chief</x:v>
      </x:c>
    </x:row>
    <x:row r="287" ht="82" customHeight="1">
      <x:c r="A287" s="76" t="str">
        <x:v>KOHC|pr_pat|2022</x:v>
      </x:c>
      <x:c r="B287" s="76" t="str">
        <x:v>KOHC</x:v>
      </x:c>
      <x:c r="C287" s="76" t="str">
        <x:v>FY2022</x:v>
      </x:c>
      <x:c r="D287" s="76" t="str">
        <x:v>Printed profit after tax</x:v>
      </x:c>
      <x:c r="E287" s="170" t="n">
        <x:v>5024280260</x:v>
      </x:c>
      <x:c r="F287" s="170" t="n">
        <x:v>5024280260</x:v>
      </x:c>
      <x:c r="G287" s="170" t="str">
        <x:v>Rupees</x:v>
      </x:c>
      <x:c r="H287" s="170" t="n">
        <x:f>F287/1000000</x:f>
        <x:v>5024.28026</x:v>
      </x:c>
      <x:c r="I287" s="170" t="n">
        <x:f>KOHC!E102</x:f>
        <x:v>5024.28026</x:v>
      </x:c>
      <x:c r="J287" s="170" t="n">
        <x:f>H287-I287</x:f>
        <x:v>0</x:v>
      </x:c>
      <x:c r="K287" s="76" t="str">
        <x:v>Financial_Statements-30-06-2023.pdf</x:v>
      </x:c>
      <x:c r="L287" s="76" t="n">
        <x:v>54</x:v>
      </x:c>
      <x:c r="M287" s="76" t="str">
        <x:v>Comparative</x:v>
      </x:c>
      <x:c r="N287" s="99" t="str">
        <x:v>Printed amount independently located</x:v>
      </x:c>
      <x:c r="O287" s="99" t="str">
        <x:v>Exact source amount found; audited year/current-comparative column recorded. Accounting subtotal tests performed separately.</x:v>
      </x:c>
      <x:c r="P287" s="99" t="str">
        <x:v>10,815)
Profit before taxation   10,469,327,828  8,925,489,126 
Taxation 33   (4,648,576,683)  (3,901,208,866)
Profit after taxation   5,820,751,145  5,024,280,260 
Earnings per share - basic and diluted 34   28.98  25.01 
The annexed notes from 1 to 48 form an integral part of these financial statements.   
Chief Financial Officer</x:v>
      </x:c>
    </x:row>
    <x:row r="288" ht="82" customHeight="1">
      <x:c r="A288" s="168" t="str">
        <x:v>KOHC|pr_pat|2023</x:v>
      </x:c>
      <x:c r="B288" s="168" t="str">
        <x:v>KOHC</x:v>
      </x:c>
      <x:c r="C288" s="168" t="str">
        <x:v>FY2023</x:v>
      </x:c>
      <x:c r="D288" s="168" t="str">
        <x:v>Printed profit after tax</x:v>
      </x:c>
      <x:c r="E288" s="169" t="n">
        <x:v>5820751145</x:v>
      </x:c>
      <x:c r="F288" s="169" t="n">
        <x:v>5820751145</x:v>
      </x:c>
      <x:c r="G288" s="169" t="str">
        <x:v>Rupees</x:v>
      </x:c>
      <x:c r="H288" s="169" t="n">
        <x:f>F288/1000000</x:f>
        <x:v>5820.751145</x:v>
      </x:c>
      <x:c r="I288" s="169" t="n">
        <x:f>KOHC!F102</x:f>
        <x:v>5820.751145</x:v>
      </x:c>
      <x:c r="J288" s="169" t="n">
        <x:f>H288-I288</x:f>
        <x:v>0</x:v>
      </x:c>
      <x:c r="K288" s="168" t="str">
        <x:v>Kohat_Cement_Annual_Report-2024.pdf</x:v>
      </x:c>
      <x:c r="L288" s="168" t="n">
        <x:v>60</x:v>
      </x:c>
      <x:c r="M288" s="168" t="str">
        <x:v>Comparative</x:v>
      </x:c>
      <x:c r="N288" s="171" t="str">
        <x:v>Printed amount independently located</x:v>
      </x:c>
      <x:c r="O288" s="171" t="str">
        <x:v>Exact source amount found; audited year/current-comparative column recorded. Accounting subtotal tests performed separately.</x:v>
      </x:c>
      <x:c r="P288" s="171" t="str">
        <x:v>Profit before taxation  12,932,133,735     10,125,346,823 
Taxation 33   (4,038,678,947)     (4,304,595,678)
Profit after taxation   8,893,454,788    5,820,751,145 
Earnings per share - basic and diluted 34  45.27    28.98 
The annexed notes from 1 to 47 form an integral part of these financial statements.
Chief Financial Officer Chi</x:v>
      </x:c>
    </x:row>
    <x:row r="289" ht="82" customHeight="1">
      <x:c r="A289" s="76" t="str">
        <x:v>KOHC|pr_pat|2024</x:v>
      </x:c>
      <x:c r="B289" s="76" t="str">
        <x:v>KOHC</x:v>
      </x:c>
      <x:c r="C289" s="76" t="str">
        <x:v>FY2024</x:v>
      </x:c>
      <x:c r="D289" s="76" t="str">
        <x:v>Printed profit after tax</x:v>
      </x:c>
      <x:c r="E289" s="170" t="n">
        <x:v>8893454787</x:v>
      </x:c>
      <x:c r="F289" s="170" t="n">
        <x:v>8893454787</x:v>
      </x:c>
      <x:c r="G289" s="170" t="str">
        <x:v>Rupees</x:v>
      </x:c>
      <x:c r="H289" s="170" t="n">
        <x:f>F289/1000000</x:f>
        <x:v>8893.454787</x:v>
      </x:c>
      <x:c r="I289" s="170" t="n">
        <x:f>KOHC!G102</x:f>
        <x:v>8893.454787</x:v>
      </x:c>
      <x:c r="J289" s="170" t="n">
        <x:f>H289-I289</x:f>
        <x:v>0</x:v>
      </x:c>
      <x:c r="K289" s="76" t="str">
        <x:v>Kohat_Cement_Annual_Report_2025.pdf</x:v>
      </x:c>
      <x:c r="L289" s="76" t="n">
        <x:v>70</x:v>
      </x:c>
      <x:c r="M289" s="76" t="str">
        <x:v>Comparative</x:v>
      </x:c>
      <x:c r="N289" s="99" t="str">
        <x:v>Printed amount independently located</x:v>
      </x:c>
      <x:c r="O289" s="99" t="str">
        <x:v>Exact source amount found; audited year/current-comparative column recorded. Accounting subtotal tests performed separately.</x:v>
      </x:c>
      <x:c r="P289" s="99" t="str">
        <x:v>365)
Profit before taxation   17,688,192,049   12,932,133,735 
Taxation 32   (6,113,037,978)  (4,038,678,948)
Profit after taxation   11,575,154,071  8,893,454,787 
   Restated
Earnings per share - basic and diluted 33   11.97  9.06 
The annexed notes from 1 to 47 form an integral part of these financial statements.</x:v>
      </x:c>
    </x:row>
    <x:row r="290" ht="82" customHeight="1">
      <x:c r="A290" s="168" t="str">
        <x:v>KOHC|pr_pat|2025</x:v>
      </x:c>
      <x:c r="B290" s="168" t="str">
        <x:v>KOHC</x:v>
      </x:c>
      <x:c r="C290" s="168" t="str">
        <x:v>FY2025</x:v>
      </x:c>
      <x:c r="D290" s="168" t="str">
        <x:v>Printed profit after tax</x:v>
      </x:c>
      <x:c r="E290" s="169" t="n">
        <x:v>11575154071</x:v>
      </x:c>
      <x:c r="F290" s="169" t="n">
        <x:v>11575154071</x:v>
      </x:c>
      <x:c r="G290" s="169" t="str">
        <x:v>Rupees</x:v>
      </x:c>
      <x:c r="H290" s="169" t="n">
        <x:f>F290/1000000</x:f>
        <x:v>11575.154071</x:v>
      </x:c>
      <x:c r="I290" s="169" t="n">
        <x:f>KOHC!H102</x:f>
        <x:v>11575.154071</x:v>
      </x:c>
      <x:c r="J290" s="169" t="n">
        <x:f>H290-I290</x:f>
        <x:v>0</x:v>
      </x:c>
      <x:c r="K290" s="168" t="str">
        <x:v>Kohat_Cement_Annual_Report_2025.pdf</x:v>
      </x:c>
      <x:c r="L290" s="168" t="n">
        <x:v>70</x:v>
      </x:c>
      <x:c r="M290" s="168" t="str">
        <x:v>Current year</x:v>
      </x:c>
      <x:c r="N290" s="171" t="str">
        <x:v>Printed amount independently located</x:v>
      </x:c>
      <x:c r="O290" s="171" t="str">
        <x:v>Exact source amount found; audited year/current-comparative column recorded. Accounting subtotal tests performed separately.</x:v>
      </x:c>
      <x:c r="P290" s="171" t="str">
        <x:v>1,368) (844,151,365)
Profit before taxation   17,688,192,049   12,932,133,735 
Taxation 32   (6,113,037,978)  (4,038,678,948)
Profit after taxation   11,575,154,071  8,893,454,787 
   Restated
Earnings per share - basic and diluted 33   11.97  9.06 
The annexed notes from 1 to 47 form an integral part of these financial statements.</x:v>
      </x:c>
    </x:row>
    <x:row r="291" ht="82" customHeight="1">
      <x:c r="A291" s="76" t="str">
        <x:v>KOHC|fc_nonint|2021</x:v>
      </x:c>
      <x:c r="B291" s="76" t="str">
        <x:v>KOHC</x:v>
      </x:c>
      <x:c r="C291" s="76" t="str">
        <x:v>FY2021</x:v>
      </x:c>
      <x:c r="D291" s="76" t="str">
        <x:v>Non-interest finance costs (bank charges, commission, exchange loss) (note)</x:v>
      </x:c>
      <x:c r="E291" s="170" t="n">
        <x:v>26751082</x:v>
      </x:c>
      <x:c r="F291" s="170" t="n">
        <x:v>26751082</x:v>
      </x:c>
      <x:c r="G291" s="170" t="str">
        <x:v>Rupees</x:v>
      </x:c>
      <x:c r="H291" s="170" t="n">
        <x:f>F291/1000000</x:f>
        <x:v>26.751082</x:v>
      </x:c>
      <x:c r="I291" s="170" t="n">
        <x:f>KOHC!D105</x:f>
        <x:v>26.751082</x:v>
      </x:c>
      <x:c r="J291" s="170" t="n">
        <x:f>H291-I291</x:f>
        <x:v>0</x:v>
      </x:c>
      <x:c r="K291" s="76" t="str">
        <x:v>Kohat_Cement_AR_2022.pdf</x:v>
      </x:c>
      <x:c r="L291" s="76" t="n">
        <x:v>94</x:v>
      </x:c>
      <x:c r="M291" s="76" t="str">
        <x:v>Comparative</x:v>
      </x:c>
      <x:c r="N291" s="99" t="str">
        <x:v>Printed amount independently located</x:v>
      </x:c>
      <x:c r="O291" s="99" t="str">
        <x:v>Exact source amount found; audited year/current-comparative column recorded. Accounting subtotal tests performed separately.</x:v>
      </x:c>
      <x:c r="P291" s="99" t="str">
        <x:v>,267 
 Long term finances-secured   496,418,919   461,831,064 
        515,336,349   490,304,331 
 Bank charges, commission and others   22,374,466   26,751,082 
        537,710,815   517,055,413 
33 Taxation
 Current 
  - for the year   2,351,484,595   818,740,126 
 Deferred 
  - for the year   1,549,724,271   569,707,234 
        3,</x:v>
      </x:c>
    </x:row>
    <x:row r="292" ht="82" customHeight="1">
      <x:c r="A292" s="168" t="str">
        <x:v>KOHC|fc_nonint|2022</x:v>
      </x:c>
      <x:c r="B292" s="168" t="str">
        <x:v>KOHC</x:v>
      </x:c>
      <x:c r="C292" s="168" t="str">
        <x:v>FY2022</x:v>
      </x:c>
      <x:c r="D292" s="168" t="str">
        <x:v>Non-interest finance costs (bank charges, commission, exchange loss) (note)</x:v>
      </x:c>
      <x:c r="E292" s="169" t="n">
        <x:v>22374466</x:v>
      </x:c>
      <x:c r="F292" s="169" t="n">
        <x:v>22374466</x:v>
      </x:c>
      <x:c r="G292" s="169" t="str">
        <x:v>Rupees</x:v>
      </x:c>
      <x:c r="H292" s="169" t="n">
        <x:f>F292/1000000</x:f>
        <x:v>22.374466</x:v>
      </x:c>
      <x:c r="I292" s="169" t="n">
        <x:f>KOHC!E105</x:f>
        <x:v>22.374466</x:v>
      </x:c>
      <x:c r="J292" s="169" t="n">
        <x:f>H292-I292</x:f>
        <x:v>0</x:v>
      </x:c>
      <x:c r="K292" s="168" t="str">
        <x:v>Financial_Statements-30-06-2023.pdf</x:v>
      </x:c>
      <x:c r="L292" s="168" t="n">
        <x:v>92</x:v>
      </x:c>
      <x:c r="M292" s="168" t="str">
        <x:v>Comparative</x:v>
      </x:c>
      <x:c r="N292" s="171" t="str">
        <x:v>Printed amount independently located</x:v>
      </x:c>
      <x:c r="O292" s="171" t="str">
        <x:v>Exact source amount found; audited year/current-comparative column recorded. Accounting subtotal tests performed separately.</x:v>
      </x:c>
      <x:c r="P292" s="171" t="str">
        <x:v>17,430 
 Long term finances-secured   683,425,751   496,418,919 
      683,563,329   515,336,349 
 Bank charges, commission and others   56,744,443   22,374,466 
      740,307,772   537,710,815 
33 Taxation
 Current 
 - for the year   3,187,732,853   2,351,484,595 
 - for prior year   45,059,002  –  
      3,232,791,855   2,351,484,595</x:v>
      </x:c>
    </x:row>
    <x:row r="293" ht="82" customHeight="1">
      <x:c r="A293" s="76" t="str">
        <x:v>KOHC|fc_nonint|2023</x:v>
      </x:c>
      <x:c r="B293" s="76" t="str">
        <x:v>KOHC</x:v>
      </x:c>
      <x:c r="C293" s="76" t="str">
        <x:v>FY2023</x:v>
      </x:c>
      <x:c r="D293" s="76" t="str">
        <x:v>Non-interest finance costs (bank charges, commission, exchange loss) (note)</x:v>
      </x:c>
      <x:c r="E293" s="170" t="n">
        <x:v>56744443</x:v>
      </x:c>
      <x:c r="F293" s="170" t="n">
        <x:v>56744443</x:v>
      </x:c>
      <x:c r="G293" s="170" t="str">
        <x:v>Rupees</x:v>
      </x:c>
      <x:c r="H293" s="170" t="n">
        <x:f>F293/1000000</x:f>
        <x:v>56.744443</x:v>
      </x:c>
      <x:c r="I293" s="170" t="n">
        <x:f>KOHC!F105</x:f>
        <x:v>56.744443</x:v>
      </x:c>
      <x:c r="J293" s="170" t="n">
        <x:f>H293-I293</x:f>
        <x:v>0</x:v>
      </x:c>
      <x:c r="K293" s="76" t="str">
        <x:v>Kohat_Cement_Annual_Report-2024.pdf</x:v>
      </x:c>
      <x:c r="L293" s="76" t="n">
        <x:v>100</x:v>
      </x:c>
      <x:c r="M293" s="76" t="str">
        <x:v>Comparative</x:v>
      </x:c>
      <x:c r="N293" s="99" t="str">
        <x:v>Printed amount independently located</x:v>
      </x:c>
      <x:c r="O293" s="99" t="str">
        <x:v>Exact source amount found; audited year/current-comparative column recorded. Accounting subtotal tests performed separately.</x:v>
      </x:c>
      <x:c r="P293" s="99" t="str">
        <x:v>37,578 
 Long term finances-secured   631,836,653   683,425,751 
      646,184,135   683,563,329 
 Bank charges, commission and others   31,196,710   56,744,443 
      677,380,845   740,307,772 
  2024 2023
  Rupees Rupees
   Restated
32 Final tax
 Final tax on dividends and exports    844,151,365   343,981,005 
 This represents final</x:v>
      </x:c>
    </x:row>
    <x:row r="294" ht="82" customHeight="1">
      <x:c r="A294" s="168" t="str">
        <x:v>KOHC|fc_nonint|2024</x:v>
      </x:c>
      <x:c r="B294" s="168" t="str">
        <x:v>KOHC</x:v>
      </x:c>
      <x:c r="C294" s="168" t="str">
        <x:v>FY2024</x:v>
      </x:c>
      <x:c r="D294" s="168" t="str">
        <x:v>Non-interest finance costs (bank charges, commission, exchange loss) (note)</x:v>
      </x:c>
      <x:c r="E294" s="169" t="n">
        <x:v>31196710</x:v>
      </x:c>
      <x:c r="F294" s="169" t="n">
        <x:v>31196710</x:v>
      </x:c>
      <x:c r="G294" s="169" t="str">
        <x:v>Rupees</x:v>
      </x:c>
      <x:c r="H294" s="169" t="n">
        <x:f>F294/1000000</x:f>
        <x:v>31.19671</x:v>
      </x:c>
      <x:c r="I294" s="169" t="n">
        <x:f>KOHC!G105</x:f>
        <x:v>31.19671</x:v>
      </x:c>
      <x:c r="J294" s="169" t="n">
        <x:f>H294-I294</x:f>
        <x:v>0</x:v>
      </x:c>
      <x:c r="K294" s="168" t="str">
        <x:v>Kohat_Cement_Annual_Report_2025.pdf</x:v>
      </x:c>
      <x:c r="L294" s="168" t="n">
        <x:v>108</x:v>
      </x:c>
      <x:c r="M294" s="168" t="str">
        <x:v>Comparative</x:v>
      </x:c>
      <x:c r="N294" s="171" t="str">
        <x:v>Printed amount independently located</x:v>
      </x:c>
      <x:c r="O294" s="171" t="str">
        <x:v>Exact source amount found; audited year/current-comparative column recorded. Accounting subtotal tests performed separately.</x:v>
      </x:c>
      <x:c r="P294" s="171" t="str">
        <x:v>47,482 
 Long term finances-secured   285,870,933   631,836,653 
      306,210,739   646,184,135 
 Bank charges, commission and others   43,699,977   31,196,710 
      349,910,716   677,380,845 
31 Final tax 
 Final tax   58,631,368   844,151,365 
 This represents levy in accordance with the requirements of IFRIC 21 and IAS 37. This i</x:v>
      </x:c>
    </x:row>
    <x:row r="295" ht="82" customHeight="1">
      <x:c r="A295" s="76" t="str">
        <x:v>KOHC|fc_nonint|2025</x:v>
      </x:c>
      <x:c r="B295" s="76" t="str">
        <x:v>KOHC</x:v>
      </x:c>
      <x:c r="C295" s="76" t="str">
        <x:v>FY2025</x:v>
      </x:c>
      <x:c r="D295" s="76" t="str">
        <x:v>Non-interest finance costs (bank charges, commission, exchange loss) (note)</x:v>
      </x:c>
      <x:c r="E295" s="170" t="n">
        <x:v>43699977</x:v>
      </x:c>
      <x:c r="F295" s="170" t="n">
        <x:v>43699977</x:v>
      </x:c>
      <x:c r="G295" s="170" t="str">
        <x:v>Rupees</x:v>
      </x:c>
      <x:c r="H295" s="170" t="n">
        <x:f>F295/1000000</x:f>
        <x:v>43.699977</x:v>
      </x:c>
      <x:c r="I295" s="170" t="n">
        <x:f>KOHC!H105</x:f>
        <x:v>43.699977</x:v>
      </x:c>
      <x:c r="J295" s="170" t="n">
        <x:f>H295-I295</x:f>
        <x:v>0</x:v>
      </x:c>
      <x:c r="K295" s="76" t="str">
        <x:v>Kohat_Cement_Annual_Report_2025.pdf</x:v>
      </x:c>
      <x:c r="L295" s="76" t="n">
        <x:v>108</x:v>
      </x:c>
      <x:c r="M295" s="76" t="str">
        <x:v>Current year</x:v>
      </x:c>
      <x:c r="N295" s="99" t="str">
        <x:v>Printed amount independently located</x:v>
      </x:c>
      <x:c r="O295" s="99" t="str">
        <x:v>Exact source amount found; audited year/current-comparative column recorded. Accounting subtotal tests performed separately.</x:v>
      </x:c>
      <x:c r="P295" s="99" t="str">
        <x:v>39,806   14,347,482 
 Long term finances-secured   285,870,933   631,836,653 
      306,210,739   646,184,135 
 Bank charges, commission and others   43,699,977   31,196,710 
      349,910,716   677,380,845 
31 Final tax 
 Final tax   58,631,368   844,151,365 
 This represents levy in accordance with the requirements of IFRIC 21 and I</x:v>
      </x:c>
    </x:row>
    <x:row r="296" ht="82" customHeight="1">
      <x:c r="A296" s="168" t="str">
        <x:v>KOHC|da|2021</x:v>
      </x:c>
      <x:c r="B296" s="168" t="str">
        <x:v>KOHC</x:v>
      </x:c>
      <x:c r="C296" s="168" t="str">
        <x:v>FY2021</x:v>
      </x:c>
      <x:c r="D296" s="168" t="str">
        <x:v>Depreciation and amortisation (cash flow reconciliation)</x:v>
      </x:c>
      <x:c r="E296" s="169" t="n">
        <x:v>1230692701</x:v>
      </x:c>
      <x:c r="F296" s="169" t="n">
        <x:v>1230692701</x:v>
      </x:c>
      <x:c r="G296" s="169" t="str">
        <x:v>Rupees</x:v>
      </x:c>
      <x:c r="H296" s="169" t="n">
        <x:f>F296/1000000</x:f>
        <x:v>1230.692701</x:v>
      </x:c>
      <x:c r="I296" s="169" t="n">
        <x:f>KOHC!D107</x:f>
        <x:v>1230.692701</x:v>
      </x:c>
      <x:c r="J296" s="169" t="n">
        <x:f>H296-I296</x:f>
        <x:v>0</x:v>
      </x:c>
      <x:c r="K296" s="168" t="str">
        <x:v>Kohat_Cement_AR_2022.pdf</x:v>
      </x:c>
      <x:c r="L296" s="168" t="n">
        <x:v>95</x:v>
      </x:c>
      <x:c r="M296" s="168" t="str">
        <x:v>Comparative</x:v>
      </x:c>
      <x:c r="N296" s="171" t="str">
        <x:v>Aggregated audited components</x:v>
      </x:c>
      <x:c r="O296" s="171" t="str">
        <x:v>Source-labelled component sum; statement controls and signed-unit conversion independently recomputed.</x:v>
      </x:c>
      <x:c r="P296" s="171" t="str">
        <x:v>
34.2 Diluted earnings per share
 There is no dilutive effect on the basic earnings per share as the Company does not have any convertible 
instruments in issue as at 30 June 2022  | Components: Depreciation on property, plant and; Amortization on intangibles</x:v>
      </x:c>
    </x:row>
    <x:row r="297" ht="82" customHeight="1">
      <x:c r="A297" s="76" t="str">
        <x:v>KOHC|da|2022</x:v>
      </x:c>
      <x:c r="B297" s="76" t="str">
        <x:v>KOHC</x:v>
      </x:c>
      <x:c r="C297" s="76" t="str">
        <x:v>FY2022</x:v>
      </x:c>
      <x:c r="D297" s="76" t="str">
        <x:v>Depreciation and amortisation (cash flow reconciliation)</x:v>
      </x:c>
      <x:c r="E297" s="170" t="n">
        <x:v>1118109816</x:v>
      </x:c>
      <x:c r="F297" s="170" t="n">
        <x:v>1118109816</x:v>
      </x:c>
      <x:c r="G297" s="170" t="str">
        <x:v>Rupees</x:v>
      </x:c>
      <x:c r="H297" s="170" t="n">
        <x:f>F297/1000000</x:f>
        <x:v>1118.109816</x:v>
      </x:c>
      <x:c r="I297" s="170" t="n">
        <x:f>KOHC!E107</x:f>
        <x:v>1118.109816</x:v>
      </x:c>
      <x:c r="J297" s="170" t="n">
        <x:f>H297-I297</x:f>
        <x:v>0</x:v>
      </x:c>
      <x:c r="K297" s="76" t="str">
        <x:v>Financial_Statements-30-06-2023.pdf</x:v>
      </x:c>
      <x:c r="L297" s="76" t="n">
        <x:v>93</x:v>
      </x:c>
      <x:c r="M297" s="76" t="str">
        <x:v>Comparative</x:v>
      </x:c>
      <x:c r="N297" s="99" t="str">
        <x:v>Aggregated audited components</x:v>
      </x:c>
      <x:c r="O297" s="99" t="str">
        <x:v>Source-labelled component sum; statement controls and signed-unit conversion independently recomputed.</x:v>
      </x:c>
      <x:c r="P297" s="99" t="str">
        <x:v>
NOTES TO THE 
FINANCIAL STATEMENTS
For the year ended 30 June 2023
34.2 Diluted earnings per share 
 There is no dilutive effect on the basic earnings per share as the Company doe | Components: Depreciation on property, plant and; Amortization on intangibles</x:v>
      </x:c>
    </x:row>
    <x:row r="298" ht="82" customHeight="1">
      <x:c r="A298" s="168" t="str">
        <x:v>KOHC|da|2023</x:v>
      </x:c>
      <x:c r="B298" s="168" t="str">
        <x:v>KOHC</x:v>
      </x:c>
      <x:c r="C298" s="168" t="str">
        <x:v>FY2023</x:v>
      </x:c>
      <x:c r="D298" s="168" t="str">
        <x:v>Depreciation and amortisation (cash flow reconciliation)</x:v>
      </x:c>
      <x:c r="E298" s="169" t="n">
        <x:v>1116013390</x:v>
      </x:c>
      <x:c r="F298" s="169" t="n">
        <x:v>1116013390</x:v>
      </x:c>
      <x:c r="G298" s="169" t="str">
        <x:v>Rupees</x:v>
      </x:c>
      <x:c r="H298" s="169" t="n">
        <x:f>F298/1000000</x:f>
        <x:v>1116.01339</x:v>
      </x:c>
      <x:c r="I298" s="169" t="n">
        <x:f>KOHC!F107</x:f>
        <x:v>1116.01339</x:v>
      </x:c>
      <x:c r="J298" s="169" t="n">
        <x:f>H298-I298</x:f>
        <x:v>0</x:v>
      </x:c>
      <x:c r="K298" s="168" t="str">
        <x:v>Kohat_Cement_Annual_Report-2024.pdf</x:v>
      </x:c>
      <x:c r="L298" s="168" t="n">
        <x:v>102</x:v>
      </x:c>
      <x:c r="M298" s="168" t="str">
        <x:v>Comparative</x:v>
      </x:c>
      <x:c r="N298" s="171" t="str">
        <x:v>Aggregated audited components</x:v>
      </x:c>
      <x:c r="O298" s="171" t="str">
        <x:v>Source-labelled component sum; statement controls and signed-unit conversion independently recomputed.</x:v>
      </x:c>
      <x:c r="P298" s="171" t="str">
        <x:v>
NOTES TO THE 
FINANCIAL STATEMENTS
For the year ended 30 June 2024
  2024 2023
  Rupees Rupees
 Note  Restated
35 Cash generated from operations
 Profit before taxation  12,932,13 | Components: Depreciation on property, plant and; Amortization on intangibles</x:v>
      </x:c>
    </x:row>
    <x:row r="299" ht="82" customHeight="1">
      <x:c r="A299" s="76" t="str">
        <x:v>KOHC|da|2024</x:v>
      </x:c>
      <x:c r="B299" s="76" t="str">
        <x:v>KOHC</x:v>
      </x:c>
      <x:c r="C299" s="76" t="str">
        <x:v>FY2024</x:v>
      </x:c>
      <x:c r="D299" s="76" t="str">
        <x:v>Depreciation and amortisation (cash flow reconciliation)</x:v>
      </x:c>
      <x:c r="E299" s="170" t="n">
        <x:v>1182787174</x:v>
      </x:c>
      <x:c r="F299" s="170" t="n">
        <x:v>1182787174</x:v>
      </x:c>
      <x:c r="G299" s="170" t="str">
        <x:v>Rupees</x:v>
      </x:c>
      <x:c r="H299" s="170" t="n">
        <x:f>F299/1000000</x:f>
        <x:v>1182.787174</x:v>
      </x:c>
      <x:c r="I299" s="170" t="n">
        <x:f>KOHC!G107</x:f>
        <x:v>1182.787174</x:v>
      </x:c>
      <x:c r="J299" s="170" t="n">
        <x:f>H299-I299</x:f>
        <x:v>0</x:v>
      </x:c>
      <x:c r="K299" s="76" t="str">
        <x:v>Kohat_Cement_Annual_Report_2025.pdf</x:v>
      </x:c>
      <x:c r="L299" s="76" t="n">
        <x:v>110</x:v>
      </x:c>
      <x:c r="M299" s="76" t="str">
        <x:v>Comparative</x:v>
      </x:c>
      <x:c r="N299" s="99" t="str">
        <x:v>Aggregated audited components</x:v>
      </x:c>
      <x:c r="O299" s="99" t="str">
        <x:v>Source-labelled component sum; statement controls and signed-unit conversion independently recomputed.</x:v>
      </x:c>
      <x:c r="P299" s="99" t="str">
        <x:v>
NOTES TO THE 
FINANCIAL STATEMENTS
For the year ended June 30, 2025
  2025 2024
 Note Rupees Rupees
34 Cash generated from operations
 Profit before taxation   17,688,192,049   12 | Components: Depreciation on property, plant and; Amortization on intangibles</x:v>
      </x:c>
    </x:row>
    <x:row r="300" ht="82" customHeight="1">
      <x:c r="A300" s="168" t="str">
        <x:v>KOHC|da|2025</x:v>
      </x:c>
      <x:c r="B300" s="168" t="str">
        <x:v>KOHC</x:v>
      </x:c>
      <x:c r="C300" s="168" t="str">
        <x:v>FY2025</x:v>
      </x:c>
      <x:c r="D300" s="168" t="str">
        <x:v>Depreciation and amortisation (cash flow reconciliation)</x:v>
      </x:c>
      <x:c r="E300" s="169" t="n">
        <x:v>1264994747</x:v>
      </x:c>
      <x:c r="F300" s="169" t="n">
        <x:v>1264994747</x:v>
      </x:c>
      <x:c r="G300" s="169" t="str">
        <x:v>Rupees</x:v>
      </x:c>
      <x:c r="H300" s="169" t="n">
        <x:f>F300/1000000</x:f>
        <x:v>1264.994747</x:v>
      </x:c>
      <x:c r="I300" s="169" t="n">
        <x:f>KOHC!H107</x:f>
        <x:v>1264.994747</x:v>
      </x:c>
      <x:c r="J300" s="169" t="n">
        <x:f>H300-I300</x:f>
        <x:v>0</x:v>
      </x:c>
      <x:c r="K300" s="168" t="str">
        <x:v>Kohat_Cement_Annual_Report_2025.pdf</x:v>
      </x:c>
      <x:c r="L300" s="168" t="n">
        <x:v>110</x:v>
      </x:c>
      <x:c r="M300" s="168" t="str">
        <x:v>Current year</x:v>
      </x:c>
      <x:c r="N300" s="171" t="str">
        <x:v>Aggregated audited components</x:v>
      </x:c>
      <x:c r="O300" s="171" t="str">
        <x:v>Source-labelled component sum; statement controls and signed-unit conversion independently recomputed.</x:v>
      </x:c>
      <x:c r="P300" s="171" t="str">
        <x:v>
NOTES TO THE 
FINANCIAL STATEMENTS
For the year ended June 30, 2025
  2025 2024
 Note Rupees Rupees
34 Cash generated from operations
 Profit before taxation   17,688,192,049   12 | Components: Depreciation on property, plant and; Amortization on intangibles</x:v>
      </x:c>
    </x:row>
    <x:row r="301" ht="82" customHeight="1">
      <x:c r="A301" s="76" t="str">
        <x:v>KOHC|cgo|2021</x:v>
      </x:c>
      <x:c r="B301" s="76" t="str">
        <x:v>KOHC</x:v>
      </x:c>
      <x:c r="C301" s="76" t="str">
        <x:v>FY2021</x:v>
      </x:c>
      <x:c r="D301" s="76" t="str">
        <x:v>Cash generated from operations (before interest, tax and other items)</x:v>
      </x:c>
      <x:c r="E301" s="170" t="n">
        <x:v>6012030743</x:v>
      </x:c>
      <x:c r="F301" s="170" t="n">
        <x:v>6012030743</x:v>
      </x:c>
      <x:c r="G301" s="170" t="str">
        <x:v>Rupees</x:v>
      </x:c>
      <x:c r="H301" s="170" t="n">
        <x:f>F301/1000000</x:f>
        <x:v>6012.030743</x:v>
      </x:c>
      <x:c r="I301" s="170" t="n">
        <x:f>KOHC!D116</x:f>
        <x:v>6012.030743</x:v>
      </x:c>
      <x:c r="J301" s="170" t="n">
        <x:f>H301-I301</x:f>
        <x:v>0</x:v>
      </x:c>
      <x:c r="K301" s="76" t="str">
        <x:v>Kohat_Cement_AR_2022.pdf</x:v>
      </x:c>
      <x:c r="L301" s="76" t="n">
        <x:v>57</x:v>
      </x:c>
      <x:c r="M301" s="76" t="str">
        <x:v>Comparative</x:v>
      </x:c>
      <x:c r="N301" s="99" t="str">
        <x:v>Printed amount independently located</x:v>
      </x:c>
      <x:c r="O301" s="99" t="str">
        <x:v>Exact source amount found; audited year/current-comparative column recorded. Accounting subtotal tests performed separately.</x:v>
      </x:c>
      <x:c r="P301" s="99" t="str">
        <x:v>2022 2021
 Note Rupees Rupees
Cash flows from operating activities
Cash generated from operations 35  9,429,252,992   6,012,030,743 
Finance cost paid   (514,171,817)  (599,227,218)
Compensated absences paid 8.2  (3,915,386)  (3,808,417)
Income tax paid   (549,366,473)  (235,679,244)
Payment made to Workers’ W</x:v>
      </x:c>
    </x:row>
    <x:row r="302" ht="82" customHeight="1">
      <x:c r="A302" s="168" t="str">
        <x:v>KOHC|cgo|2022</x:v>
      </x:c>
      <x:c r="B302" s="168" t="str">
        <x:v>KOHC</x:v>
      </x:c>
      <x:c r="C302" s="168" t="str">
        <x:v>FY2022</x:v>
      </x:c>
      <x:c r="D302" s="168" t="str">
        <x:v>Cash generated from operations (before interest, tax and other items)</x:v>
      </x:c>
      <x:c r="E302" s="169" t="n">
        <x:v>9429252992</x:v>
      </x:c>
      <x:c r="F302" s="169" t="n">
        <x:v>9429252992</x:v>
      </x:c>
      <x:c r="G302" s="169" t="str">
        <x:v>Rupees</x:v>
      </x:c>
      <x:c r="H302" s="169" t="n">
        <x:f>F302/1000000</x:f>
        <x:v>9429.252992</x:v>
      </x:c>
      <x:c r="I302" s="169" t="n">
        <x:f>KOHC!E116</x:f>
        <x:v>9429.252992</x:v>
      </x:c>
      <x:c r="J302" s="169" t="n">
        <x:f>H302-I302</x:f>
        <x:v>0</x:v>
      </x:c>
      <x:c r="K302" s="168" t="str">
        <x:v>Financial_Statements-30-06-2023.pdf</x:v>
      </x:c>
      <x:c r="L302" s="168" t="n">
        <x:v>57</x:v>
      </x:c>
      <x:c r="M302" s="168" t="str">
        <x:v>Comparative</x:v>
      </x:c>
      <x:c r="N302" s="171" t="str">
        <x:v>Printed amount independently located</x:v>
      </x:c>
      <x:c r="O302" s="171" t="str">
        <x:v>Exact source amount found; audited year/current-comparative column recorded. Accounting subtotal tests performed separately.</x:v>
      </x:c>
      <x:c r="P302" s="171" t="str">
        <x:v>rt 2023
Shaping the
Future
55
  2023 2022
 Note Rupees Rupees
Cash flows from operating activities
Cash generated from operations 35  9,061,899,692   9,429,252,992 
Finance cost paid   (685,823,997)  (514,171,817)
Compensated absences paid 8.2  (7,885,019)  (3,915,386)
Income tax paid   (2,455,159,642)  (549,366,473)
Payment made to Workers’</x:v>
      </x:c>
    </x:row>
    <x:row r="303" ht="82" customHeight="1">
      <x:c r="A303" s="76" t="str">
        <x:v>KOHC|cgo|2023</x:v>
      </x:c>
      <x:c r="B303" s="76" t="str">
        <x:v>KOHC</x:v>
      </x:c>
      <x:c r="C303" s="76" t="str">
        <x:v>FY2023</x:v>
      </x:c>
      <x:c r="D303" s="76" t="str">
        <x:v>Cash generated from operations (before interest, tax and other items)</x:v>
      </x:c>
      <x:c r="E303" s="170" t="n">
        <x:v>7862593209</x:v>
      </x:c>
      <x:c r="F303" s="170" t="n">
        <x:v>7862593209</x:v>
      </x:c>
      <x:c r="G303" s="170" t="str">
        <x:v>Rupees</x:v>
      </x:c>
      <x:c r="H303" s="170" t="n">
        <x:f>F303/1000000</x:f>
        <x:v>7862.593209</x:v>
      </x:c>
      <x:c r="I303" s="170" t="n">
        <x:f>KOHC!F116</x:f>
        <x:v>7862.593209</x:v>
      </x:c>
      <x:c r="J303" s="170" t="n">
        <x:f>H303-I303</x:f>
        <x:v>0</x:v>
      </x:c>
      <x:c r="K303" s="76" t="str">
        <x:v>Kohat_Cement_Annual_Report-2024.pdf</x:v>
      </x:c>
      <x:c r="L303" s="76" t="n">
        <x:v>63</x:v>
      </x:c>
      <x:c r="M303" s="76" t="str">
        <x:v>Comparative</x:v>
      </x:c>
      <x:c r="N303" s="99" t="str">
        <x:v>Printed amount independently located</x:v>
      </x:c>
      <x:c r="O303" s="99" t="str">
        <x:v>Exact source amount found; audited year/current-comparative column recorded. Accounting subtotal tests performed separately.</x:v>
      </x:c>
      <x:c r="P303" s="99" t="str">
        <x:v>ual Report 2024
  2024 2023
 Note Rupees Rupees
   Restated
Cash flows from operating activities
Cash generated from operations 35 11,414,783,911     7,862,593,209 
Finance cost paid   (731,073,634)  (685,823,997)
Compensated absences paid 8.2  (4,833,553)  (7,885,019)
Income tax paid   (3,227,391,582)     (2,247,109,285)
Final tax paid    (</x:v>
      </x:c>
    </x:row>
    <x:row r="304" ht="82" customHeight="1">
      <x:c r="A304" s="168" t="str">
        <x:v>KOHC|cgo|2024</x:v>
      </x:c>
      <x:c r="B304" s="168" t="str">
        <x:v>KOHC</x:v>
      </x:c>
      <x:c r="C304" s="168" t="str">
        <x:v>FY2024</x:v>
      </x:c>
      <x:c r="D304" s="168" t="str">
        <x:v>Cash generated from operations (before interest, tax and other items)</x:v>
      </x:c>
      <x:c r="E304" s="169" t="n">
        <x:v>11482975487</x:v>
      </x:c>
      <x:c r="F304" s="169" t="n">
        <x:v>11482975487</x:v>
      </x:c>
      <x:c r="G304" s="169" t="str">
        <x:v>Rupees</x:v>
      </x:c>
      <x:c r="H304" s="169" t="n">
        <x:f>F304/1000000</x:f>
        <x:v>11482.975487</x:v>
      </x:c>
      <x:c r="I304" s="169" t="n">
        <x:f>KOHC!G116</x:f>
        <x:v>11482.975487</x:v>
      </x:c>
      <x:c r="J304" s="169" t="n">
        <x:f>H304-I304</x:f>
        <x:v>0</x:v>
      </x:c>
      <x:c r="K304" s="168" t="str">
        <x:v>Kohat_Cement_Annual_Report_2025.pdf</x:v>
      </x:c>
      <x:c r="L304" s="168" t="n">
        <x:v>73</x:v>
      </x:c>
      <x:c r="M304" s="168" t="str">
        <x:v>Comparative</x:v>
      </x:c>
      <x:c r="N304" s="171" t="str">
        <x:v>Printed amount independently located</x:v>
      </x:c>
      <x:c r="O304" s="171" t="str">
        <x:v>Exact source amount found; audited year/current-comparative column recorded. Accounting subtotal tests performed separately.</x:v>
      </x:c>
      <x:c r="P304" s="171" t="str">
        <x:v>f Executive Officer Director
  2025 2024
 Note Rupees Rupees
Cash flows from operating activities
Cash generated from operations 34  16,574,725,509   11,482,975,487 
Finance cost paid 44  (391,061,821)  (731,073,634)
Compensated absences paid 8.2  (5,770,071)  (4,833,553)
Income tax paid   (6,349,518,404)  (3,227,391,582)
Final tax paid    (3</x:v>
      </x:c>
    </x:row>
    <x:row r="305" ht="82" customHeight="1">
      <x:c r="A305" s="76" t="str">
        <x:v>KOHC|cgo|2025</x:v>
      </x:c>
      <x:c r="B305" s="76" t="str">
        <x:v>KOHC</x:v>
      </x:c>
      <x:c r="C305" s="76" t="str">
        <x:v>FY2025</x:v>
      </x:c>
      <x:c r="D305" s="76" t="str">
        <x:v>Cash generated from operations (before interest, tax and other items)</x:v>
      </x:c>
      <x:c r="E305" s="170" t="n">
        <x:v>16574725509</x:v>
      </x:c>
      <x:c r="F305" s="170" t="n">
        <x:v>16574725509</x:v>
      </x:c>
      <x:c r="G305" s="170" t="str">
        <x:v>Rupees</x:v>
      </x:c>
      <x:c r="H305" s="170" t="n">
        <x:f>F305/1000000</x:f>
        <x:v>16574.725509</x:v>
      </x:c>
      <x:c r="I305" s="170" t="n">
        <x:f>KOHC!H116</x:f>
        <x:v>16574.725509</x:v>
      </x:c>
      <x:c r="J305" s="170" t="n">
        <x:f>H305-I305</x:f>
        <x:v>0</x:v>
      </x:c>
      <x:c r="K305" s="76" t="str">
        <x:v>Kohat_Cement_Annual_Report_2025.pdf</x:v>
      </x:c>
      <x:c r="L305" s="76" t="n">
        <x:v>73</x:v>
      </x:c>
      <x:c r="M305" s="76" t="str">
        <x:v>Current year</x:v>
      </x:c>
      <x:c r="N305" s="99" t="str">
        <x:v>Printed amount independently located</x:v>
      </x:c>
      <x:c r="O305" s="99" t="str">
        <x:v>Exact source amount found; audited year/current-comparative column recorded. Accounting subtotal tests performed separately.</x:v>
      </x:c>
      <x:c r="P305" s="99" t="str">
        <x:v>cial Officer Chief Executive Officer Director
  2025 2024
 Note Rupees Rupees
Cash flows from operating activities
Cash generated from operations 34  16,574,725,509   11,482,975,487 
Finance cost paid 44  (391,061,821)  (731,073,634)
Compensated absences paid 8.2  (5,770,071)  (4,833,553)
Income tax paid   (6,349,518,404)  (3,227,391,582)
Fin</x:v>
      </x:c>
    </x:row>
    <x:row r="306" ht="82" customHeight="1">
      <x:c r="A306" s="168" t="str">
        <x:v>KOHC|cfo|2021</x:v>
      </x:c>
      <x:c r="B306" s="168" t="str">
        <x:v>KOHC</x:v>
      </x:c>
      <x:c r="C306" s="168" t="str">
        <x:v>FY2021</x:v>
      </x:c>
      <x:c r="D306" s="168" t="str">
        <x:v>Net cash from operating activities (as reported)</x:v>
      </x:c>
      <x:c r="E306" s="169" t="n">
        <x:v>5089315864</x:v>
      </x:c>
      <x:c r="F306" s="169" t="n">
        <x:v>5089315864</x:v>
      </x:c>
      <x:c r="G306" s="169" t="str">
        <x:v>Rupees</x:v>
      </x:c>
      <x:c r="H306" s="169" t="n">
        <x:f>F306/1000000</x:f>
        <x:v>5089.315864</x:v>
      </x:c>
      <x:c r="I306" s="169" t="n">
        <x:f>KOHC!D117</x:f>
        <x:v>5089.315864</x:v>
      </x:c>
      <x:c r="J306" s="169" t="n">
        <x:f>H306-I306</x:f>
        <x:v>0</x:v>
      </x:c>
      <x:c r="K306" s="168" t="str">
        <x:v>Kohat_Cement_AR_2022.pdf</x:v>
      </x:c>
      <x:c r="L306" s="168" t="n">
        <x:v>57</x:v>
      </x:c>
      <x:c r="M306" s="168" t="str">
        <x:v>Comparative</x:v>
      </x:c>
      <x:c r="N306" s="171" t="str">
        <x:v>Printed amount independently located</x:v>
      </x:c>
      <x:c r="O306" s="171" t="str">
        <x:v>Exact source amount found; audited year/current-comparative column recorded. Accounting subtotal tests performed separately.</x:v>
      </x:c>
      <x:c r="P306" s="171" t="str">
        <x:v>articipation Fund 9.2  (136,000,000)  (84,000,000)
     (1,247,895,102)  (922,714,879)
Net cash generated from operating activities   8,181,357,890   5,089,315,864
Cash flows from investing activities  
Acquisition of property, plant and equipment   (461,847,370)  (610,597,045)
Proceeds from disposal of property, plant and equipment   18,0</x:v>
      </x:c>
    </x:row>
    <x:row r="307" ht="82" customHeight="1">
      <x:c r="A307" s="76" t="str">
        <x:v>KOHC|cfo|2022</x:v>
      </x:c>
      <x:c r="B307" s="76" t="str">
        <x:v>KOHC</x:v>
      </x:c>
      <x:c r="C307" s="76" t="str">
        <x:v>FY2022</x:v>
      </x:c>
      <x:c r="D307" s="76" t="str">
        <x:v>Net cash from operating activities (as reported)</x:v>
      </x:c>
      <x:c r="E307" s="170" t="n">
        <x:v>8181357890</x:v>
      </x:c>
      <x:c r="F307" s="170" t="n">
        <x:v>8181357890</x:v>
      </x:c>
      <x:c r="G307" s="170" t="str">
        <x:v>Rupees</x:v>
      </x:c>
      <x:c r="H307" s="170" t="n">
        <x:f>F307/1000000</x:f>
        <x:v>8181.35789</x:v>
      </x:c>
      <x:c r="I307" s="170" t="n">
        <x:f>KOHC!E117</x:f>
        <x:v>8181.35789</x:v>
      </x:c>
      <x:c r="J307" s="170" t="n">
        <x:f>H307-I307</x:f>
        <x:v>0</x:v>
      </x:c>
      <x:c r="K307" s="76" t="str">
        <x:v>Financial_Statements-30-06-2023.pdf</x:v>
      </x:c>
      <x:c r="L307" s="76" t="n">
        <x:v>57</x:v>
      </x:c>
      <x:c r="M307" s="76" t="str">
        <x:v>Comparative</x:v>
      </x:c>
      <x:c r="N307" s="99" t="str">
        <x:v>Printed amount independently located</x:v>
      </x:c>
      <x:c r="O307" s="99" t="str">
        <x:v>Exact source amount found; audited year/current-comparative column recorded. Accounting subtotal tests performed separately.</x:v>
      </x:c>
      <x:c r="P307" s="99" t="str">
        <x:v>icipation Fund 9.2  (180,433,500)  (136,000,000)
     (3,410,511,448)  (1,247,895,102)
Net cash generated from operating activities   5,651,388,244   8,181,357,890 
Cash flows from investing activities  
Acquisition of property, plant and equipment   (2,015,897,038)  (461,847,370)
Proceeds from disposal of property, plant and equipment   7,5</x:v>
      </x:c>
    </x:row>
    <x:row r="308" ht="82" customHeight="1">
      <x:c r="A308" s="168" t="str">
        <x:v>KOHC|cfo|2023</x:v>
      </x:c>
      <x:c r="B308" s="168" t="str">
        <x:v>KOHC</x:v>
      </x:c>
      <x:c r="C308" s="168" t="str">
        <x:v>FY2023</x:v>
      </x:c>
      <x:c r="D308" s="168" t="str">
        <x:v>Net cash from operating activities (as reported)</x:v>
      </x:c>
      <x:c r="E308" s="169" t="n">
        <x:v>4452081761</x:v>
      </x:c>
      <x:c r="F308" s="169" t="n">
        <x:v>4452081761</x:v>
      </x:c>
      <x:c r="G308" s="169" t="str">
        <x:v>Rupees</x:v>
      </x:c>
      <x:c r="H308" s="169" t="n">
        <x:f>F308/1000000</x:f>
        <x:v>4452.081761</x:v>
      </x:c>
      <x:c r="I308" s="169" t="n">
        <x:f>KOHC!F117</x:f>
        <x:v>4452.081761</x:v>
      </x:c>
      <x:c r="J308" s="169" t="n">
        <x:f>H308-I308</x:f>
        <x:v>0</x:v>
      </x:c>
      <x:c r="K308" s="168" t="str">
        <x:v>Kohat_Cement_Annual_Report-2024.pdf</x:v>
      </x:c>
      <x:c r="L308" s="168" t="n">
        <x:v>63</x:v>
      </x:c>
      <x:c r="M308" s="168" t="str">
        <x:v>Comparative</x:v>
      </x:c>
      <x:c r="N308" s="171" t="str">
        <x:v>Printed amount independently located</x:v>
      </x:c>
      <x:c r="O308" s="171" t="str">
        <x:v>Exact source amount found; audited year/current-comparative column recorded. Accounting subtotal tests performed separately.</x:v>
      </x:c>
      <x:c r="P308" s="171" t="str">
        <x:v>tion Fund 9.2  (196,332,000)  (180,433,500)
      (4,835,802,078)     (3,410,511,448)
Net cash generated from operating activities  6,578,981,833     4,452,081,761 
Cash flows from investing activities  
Acquisition of property, plant and equipment   (1,110,543,880)  (2,015,897,038)
Proceeds from disposal of property, plant and equipment   2</x:v>
      </x:c>
    </x:row>
    <x:row r="309" ht="82" customHeight="1">
      <x:c r="A309" s="76" t="str">
        <x:v>KOHC|cfo|2024</x:v>
      </x:c>
      <x:c r="B309" s="76" t="str">
        <x:v>KOHC</x:v>
      </x:c>
      <x:c r="C309" s="76" t="str">
        <x:v>FY2024</x:v>
      </x:c>
      <x:c r="D309" s="76" t="str">
        <x:v>Net cash from operating activities (as reported)</x:v>
      </x:c>
      <x:c r="E309" s="170" t="n">
        <x:v>6647173409</x:v>
      </x:c>
      <x:c r="F309" s="170" t="n">
        <x:v>6647173409</x:v>
      </x:c>
      <x:c r="G309" s="170" t="str">
        <x:v>Rupees</x:v>
      </x:c>
      <x:c r="H309" s="170" t="n">
        <x:f>F309/1000000</x:f>
        <x:v>6647.173409</x:v>
      </x:c>
      <x:c r="I309" s="170" t="n">
        <x:f>KOHC!G117</x:f>
        <x:v>6647.173409</x:v>
      </x:c>
      <x:c r="J309" s="170" t="n">
        <x:f>H309-I309</x:f>
        <x:v>0</x:v>
      </x:c>
      <x:c r="K309" s="76" t="str">
        <x:v>Kohat_Cement_Annual_Report_2025.pdf</x:v>
      </x:c>
      <x:c r="L309" s="76" t="n">
        <x:v>73</x:v>
      </x:c>
      <x:c r="M309" s="76" t="str">
        <x:v>Comparative</x:v>
      </x:c>
      <x:c r="N309" s="99" t="str">
        <x:v>Printed amount independently located</x:v>
      </x:c>
      <x:c r="O309" s="99" t="str">
        <x:v>Exact source amount found; audited year/current-comparative column recorded. Accounting subtotal tests performed separately.</x:v>
      </x:c>
      <x:c r="P309" s="99" t="str">
        <x:v>icipation Fund 9.2  (241,864,000)  (196,332,000)
     (7,196,436,971)  (4,835,802,078)
Net cash generated from operating activities   9,378,288,538   6,647,173,409 
Cash flows from investing activities  
Acquisition of property, plant and equipment   (2,398,919,336)  (1,107,284,933)
Proceeds from disposal of property, plant and equipment   1</x:v>
      </x:c>
    </x:row>
    <x:row r="310" ht="82" customHeight="1">
      <x:c r="A310" s="168" t="str">
        <x:v>KOHC|cfo|2025</x:v>
      </x:c>
      <x:c r="B310" s="168" t="str">
        <x:v>KOHC</x:v>
      </x:c>
      <x:c r="C310" s="168" t="str">
        <x:v>FY2025</x:v>
      </x:c>
      <x:c r="D310" s="168" t="str">
        <x:v>Net cash from operating activities (as reported)</x:v>
      </x:c>
      <x:c r="E310" s="169" t="n">
        <x:v>9378288538</x:v>
      </x:c>
      <x:c r="F310" s="169" t="n">
        <x:v>9378288538</x:v>
      </x:c>
      <x:c r="G310" s="169" t="str">
        <x:v>Rupees</x:v>
      </x:c>
      <x:c r="H310" s="169" t="n">
        <x:f>F310/1000000</x:f>
        <x:v>9378.288538</x:v>
      </x:c>
      <x:c r="I310" s="169" t="n">
        <x:f>KOHC!H117</x:f>
        <x:v>9378.288538</x:v>
      </x:c>
      <x:c r="J310" s="169" t="n">
        <x:f>H310-I310</x:f>
        <x:v>0</x:v>
      </x:c>
      <x:c r="K310" s="168" t="str">
        <x:v>Kohat_Cement_Annual_Report_2025.pdf</x:v>
      </x:c>
      <x:c r="L310" s="168" t="n">
        <x:v>73</x:v>
      </x:c>
      <x:c r="M310" s="168" t="str">
        <x:v>Current year</x:v>
      </x:c>
      <x:c r="N310" s="171" t="str">
        <x:v>Printed amount independently located</x:v>
      </x:c>
      <x:c r="O310" s="171" t="str">
        <x:v>Exact source amount found; audited year/current-comparative column recorded. Accounting subtotal tests performed separately.</x:v>
      </x:c>
      <x:c r="P310" s="171" t="str">
        <x:v>ers’ Profit Participation Fund 9.2  (241,864,000)  (196,332,000)
     (7,196,436,971)  (4,835,802,078)
Net cash generated from operating activities   9,378,288,538   6,647,173,409 
Cash flows from investing activities  
Acquisition of property, plant and equipment   (2,398,919,336)  (1,107,284,933)
Proceeds from disposal of property, plant a</x:v>
      </x:c>
    </x:row>
    <x:row r="311" ht="82" customHeight="1">
      <x:c r="A311" s="76" t="str">
        <x:v>KOHC|fin_paid|2021</x:v>
      </x:c>
      <x:c r="B311" s="76" t="str">
        <x:v>KOHC</x:v>
      </x:c>
      <x:c r="C311" s="76" t="str">
        <x:v>FY2021</x:v>
      </x:c>
      <x:c r="D311" s="76" t="str">
        <x:v>Finance cost / mark-up paid</x:v>
      </x:c>
      <x:c r="E311" s="170" t="n">
        <x:v>-599227218</x:v>
      </x:c>
      <x:c r="F311" s="170" t="n">
        <x:v>-599227218</x:v>
      </x:c>
      <x:c r="G311" s="170" t="str">
        <x:v>Rupees</x:v>
      </x:c>
      <x:c r="H311" s="170" t="n">
        <x:f>F311/1000000</x:f>
        <x:v>-599.227218</x:v>
      </x:c>
      <x:c r="I311" s="170" t="n">
        <x:f>KOHC!D118</x:f>
        <x:v>-599.227218</x:v>
      </x:c>
      <x:c r="J311" s="170" t="n">
        <x:f>H311-I311</x:f>
        <x:v>0</x:v>
      </x:c>
      <x:c r="K311" s="76" t="str">
        <x:v>Kohat_Cement_AR_2022.pdf</x:v>
      </x:c>
      <x:c r="L311" s="76" t="n">
        <x:v>57</x:v>
      </x:c>
      <x:c r="M311" s="76" t="str">
        <x:v>Comparative</x:v>
      </x:c>
      <x:c r="N311" s="99" t="str">
        <x:v>Printed amount independently located</x:v>
      </x:c>
      <x:c r="O311" s="99" t="str">
        <x:v>Exact source amount found; audited year/current-comparative column recorded. Accounting subtotal tests performed separately.</x:v>
      </x:c>
      <x:c r="P311" s="99" t="str">
        <x:v>pees Rupees
Cash flows from operating activities
Cash generated from operations 35  9,429,252,992   6,012,030,743 
Finance cost paid   (514,171,817)  (599,227,218)
Compensated absences paid 8.2  (3,915,386)  (3,808,417)
Income tax paid   (549,366,473)  (235,679,244)
Payment made to Workers’ Welfare Fund 9.3  (44,441,426) –  
Payment made to</x:v>
      </x:c>
    </x:row>
    <x:row r="312" ht="82" customHeight="1">
      <x:c r="A312" s="168" t="str">
        <x:v>KOHC|fin_paid|2022</x:v>
      </x:c>
      <x:c r="B312" s="168" t="str">
        <x:v>KOHC</x:v>
      </x:c>
      <x:c r="C312" s="168" t="str">
        <x:v>FY2022</x:v>
      </x:c>
      <x:c r="D312" s="168" t="str">
        <x:v>Finance cost / mark-up paid</x:v>
      </x:c>
      <x:c r="E312" s="169" t="n">
        <x:v>-514171817</x:v>
      </x:c>
      <x:c r="F312" s="169" t="n">
        <x:v>-514171817</x:v>
      </x:c>
      <x:c r="G312" s="169" t="str">
        <x:v>Rupees</x:v>
      </x:c>
      <x:c r="H312" s="169" t="n">
        <x:f>F312/1000000</x:f>
        <x:v>-514.171817</x:v>
      </x:c>
      <x:c r="I312" s="169" t="n">
        <x:f>KOHC!E118</x:f>
        <x:v>-514.171817</x:v>
      </x:c>
      <x:c r="J312" s="169" t="n">
        <x:f>H312-I312</x:f>
        <x:v>0</x:v>
      </x:c>
      <x:c r="K312" s="168" t="str">
        <x:v>Financial_Statements-30-06-2023.pdf</x:v>
      </x:c>
      <x:c r="L312" s="168" t="n">
        <x:v>57</x:v>
      </x:c>
      <x:c r="M312" s="168" t="str">
        <x:v>Comparative</x:v>
      </x:c>
      <x:c r="N312" s="171" t="str">
        <x:v>Printed amount independently located</x:v>
      </x:c>
      <x:c r="O312" s="171" t="str">
        <x:v>Exact source amount found; audited year/current-comparative column recorded. Accounting subtotal tests performed separately.</x:v>
      </x:c>
      <x:c r="P312" s="171" t="str">
        <x:v>pees Rupees
Cash flows from operating activities
Cash generated from operations 35  9,061,899,692   9,429,252,992 
Finance cost paid   (685,823,997)  (514,171,817)
Compensated absences paid 8.2  (7,885,019)  (3,915,386)
Income tax paid   (2,455,159,642)  (549,366,473)
Payment made to Workers’ Welfare Fund 9.3  (81,209,290)  (44,441,426)
Paym</x:v>
      </x:c>
    </x:row>
    <x:row r="313" ht="82" customHeight="1">
      <x:c r="A313" s="76" t="str">
        <x:v>KOHC|fin_paid|2023</x:v>
      </x:c>
      <x:c r="B313" s="76" t="str">
        <x:v>KOHC</x:v>
      </x:c>
      <x:c r="C313" s="76" t="str">
        <x:v>FY2023</x:v>
      </x:c>
      <x:c r="D313" s="76" t="str">
        <x:v>Finance cost / mark-up paid</x:v>
      </x:c>
      <x:c r="E313" s="170" t="n">
        <x:v>-685823997</x:v>
      </x:c>
      <x:c r="F313" s="170" t="n">
        <x:v>-685823997</x:v>
      </x:c>
      <x:c r="G313" s="170" t="str">
        <x:v>Rupees</x:v>
      </x:c>
      <x:c r="H313" s="170" t="n">
        <x:f>F313/1000000</x:f>
        <x:v>-685.823997</x:v>
      </x:c>
      <x:c r="I313" s="170" t="n">
        <x:f>KOHC!F118</x:f>
        <x:v>-685.823997</x:v>
      </x:c>
      <x:c r="J313" s="170" t="n">
        <x:f>H313-I313</x:f>
        <x:v>0</x:v>
      </x:c>
      <x:c r="K313" s="76" t="str">
        <x:v>Kohat_Cement_Annual_Report-2024.pdf</x:v>
      </x:c>
      <x:c r="L313" s="76" t="n">
        <x:v>63</x:v>
      </x:c>
      <x:c r="M313" s="76" t="str">
        <x:v>Comparative</x:v>
      </x:c>
      <x:c r="N313" s="99" t="str">
        <x:v>Printed amount independently located</x:v>
      </x:c>
      <x:c r="O313" s="99" t="str">
        <x:v>Exact source amount found; audited year/current-comparative column recorded. Accounting subtotal tests performed separately.</x:v>
      </x:c>
      <x:c r="P313" s="99" t="str">
        <x:v>Restated
Cash flows from operating activities
Cash generated from operations 35 11,414,783,911     7,862,593,209 
Finance cost paid   (731,073,634)  (685,823,997)
Compensated absences paid 8.2  (4,833,553)  (7,885,019)
Income tax paid   (3,227,391,582)     (2,247,109,285)
Final tax paid    (508,158,935)  (208,050,357)
Payment made to Worker</x:v>
      </x:c>
    </x:row>
    <x:row r="314" ht="82" customHeight="1">
      <x:c r="A314" s="168" t="str">
        <x:v>KOHC|fin_paid|2024</x:v>
      </x:c>
      <x:c r="B314" s="168" t="str">
        <x:v>KOHC</x:v>
      </x:c>
      <x:c r="C314" s="168" t="str">
        <x:v>FY2024</x:v>
      </x:c>
      <x:c r="D314" s="168" t="str">
        <x:v>Finance cost / mark-up paid</x:v>
      </x:c>
      <x:c r="E314" s="169" t="n">
        <x:v>-731073634</x:v>
      </x:c>
      <x:c r="F314" s="169" t="n">
        <x:v>-731073634</x:v>
      </x:c>
      <x:c r="G314" s="169" t="str">
        <x:v>Rupees</x:v>
      </x:c>
      <x:c r="H314" s="169" t="n">
        <x:f>F314/1000000</x:f>
        <x:v>-731.073634</x:v>
      </x:c>
      <x:c r="I314" s="169" t="n">
        <x:f>KOHC!G118</x:f>
        <x:v>-731.073634</x:v>
      </x:c>
      <x:c r="J314" s="169" t="n">
        <x:f>H314-I314</x:f>
        <x:v>0</x:v>
      </x:c>
      <x:c r="K314" s="168" t="str">
        <x:v>Kohat_Cement_Annual_Report_2025.pdf</x:v>
      </x:c>
      <x:c r="L314" s="168" t="n">
        <x:v>73</x:v>
      </x:c>
      <x:c r="M314" s="168" t="str">
        <x:v>Comparative</x:v>
      </x:c>
      <x:c r="N314" s="171" t="str">
        <x:v>Printed amount independently located</x:v>
      </x:c>
      <x:c r="O314" s="171" t="str">
        <x:v>Exact source amount found; audited year/current-comparative column recorded. Accounting subtotal tests performed separately.</x:v>
      </x:c>
      <x:c r="P314" s="171" t="str">
        <x:v>Rupees
Cash flows from operating activities
Cash generated from operations 34  16,574,725,509   11,482,975,487 
Finance cost paid 44  (391,061,821)  (731,073,634)
Compensated absences paid 8.2  (5,770,071)  (4,833,553)
Income tax paid   (6,349,518,404)  (3,227,391,582)
Final tax paid    (35,529,913)  (508,158,935)
Payment made to Workers’ W</x:v>
      </x:c>
    </x:row>
    <x:row r="315" ht="82" customHeight="1">
      <x:c r="A315" s="76" t="str">
        <x:v>KOHC|fin_paid|2025</x:v>
      </x:c>
      <x:c r="B315" s="76" t="str">
        <x:v>KOHC</x:v>
      </x:c>
      <x:c r="C315" s="76" t="str">
        <x:v>FY2025</x:v>
      </x:c>
      <x:c r="D315" s="76" t="str">
        <x:v>Finance cost / mark-up paid</x:v>
      </x:c>
      <x:c r="E315" s="170" t="n">
        <x:v>-391061821</x:v>
      </x:c>
      <x:c r="F315" s="170" t="n">
        <x:v>-391061821</x:v>
      </x:c>
      <x:c r="G315" s="170" t="str">
        <x:v>Rupees</x:v>
      </x:c>
      <x:c r="H315" s="170" t="n">
        <x:f>F315/1000000</x:f>
        <x:v>-391.061821</x:v>
      </x:c>
      <x:c r="I315" s="170" t="n">
        <x:f>KOHC!H118</x:f>
        <x:v>-391.061821</x:v>
      </x:c>
      <x:c r="J315" s="170" t="n">
        <x:f>H315-I315</x:f>
        <x:v>0</x:v>
      </x:c>
      <x:c r="K315" s="76" t="str">
        <x:v>Kohat_Cement_Annual_Report_2025.pdf</x:v>
      </x:c>
      <x:c r="L315" s="76" t="n">
        <x:v>73</x:v>
      </x:c>
      <x:c r="M315" s="76" t="str">
        <x:v>Current year</x:v>
      </x:c>
      <x:c r="N315" s="99" t="str">
        <x:v>Printed amount independently located</x:v>
      </x:c>
      <x:c r="O315" s="99" t="str">
        <x:v>Exact source amount found; audited year/current-comparative column recorded. Accounting subtotal tests performed separately.</x:v>
      </x:c>
      <x:c r="P315" s="99" t="str">
        <x:v>24
 Note Rupees Rupees
Cash flows from operating activities
Cash generated from operations 34  16,574,725,509   11,482,975,487 
Finance cost paid 44  (391,061,821)  (731,073,634)
Compensated absences paid 8.2  (5,770,071)  (4,833,553)
Income tax paid   (6,349,518,404)  (3,227,391,582)
Final tax paid    (35,529,913)  (508,158,935)
Payment mad</x:v>
      </x:c>
    </x:row>
    <x:row r="316" ht="82" customHeight="1">
      <x:c r="A316" s="168" t="str">
        <x:v>KOHC|fin_paid_cls|2021</x:v>
      </x:c>
      <x:c r="B316" s="168" t="str">
        <x:v>KOHC</x:v>
      </x:c>
      <x:c r="C316" s="168" t="str">
        <x:v>FY2021</x:v>
      </x:c>
      <x:c r="D316" s="168" t="str">
        <x:v>Classification of finance cost paid</x:v>
      </x:c>
      <x:c r="E316" s="169" t="str">
        <x:v>Operating</x:v>
      </x:c>
      <x:c r="F316" s="169" t="str">
        <x:v>Operating</x:v>
      </x:c>
      <x:c r="G316" s="169" t="str">
        <x:v>text</x:v>
      </x:c>
      <x:c r="H316" s="169" t="str">
        <x:v>Operating</x:v>
      </x:c>
      <x:c r="I316" s="169" t="str">
        <x:f>KOHC!D119</x:f>
        <x:v>Operating</x:v>
      </x:c>
      <x:c r="J316" s="169" t="str">
        <x:v>n/a</x:v>
      </x:c>
      <x:c r="K316" s="168" t="str">
        <x:v>Kohat_Cement_AR_2022.pdf</x:v>
      </x:c>
      <x:c r="L316" s="168" t="n">
        <x:v>57</x:v>
      </x:c>
      <x:c r="M316" s="168" t="str">
        <x:v>Comparative</x:v>
      </x:c>
      <x:c r="N316" s="171" t="str">
        <x:v>Cash-flow classification inspected</x:v>
      </x:c>
      <x:c r="O316" s="171" t="str">
        <x:v>Supporting cash-flow classification only; excluded from 33-measure scope.</x:v>
      </x:c>
      <x:c r="P316" s="171" t="str">
        <x:v>
  2022 2021
 Note Rupees Rupees
Cash flows from operating activities
Cash generated from operations 35  9,429,252,992   6,012,030,743 
Finance cost paid   (514,171,817)  (599,227,218)
Compensated absences paid 8.2  (3,9</x:v>
      </x:c>
    </x:row>
    <x:row r="317" ht="82" customHeight="1">
      <x:c r="A317" s="76" t="str">
        <x:v>KOHC|fin_paid_cls|2022</x:v>
      </x:c>
      <x:c r="B317" s="76" t="str">
        <x:v>KOHC</x:v>
      </x:c>
      <x:c r="C317" s="76" t="str">
        <x:v>FY2022</x:v>
      </x:c>
      <x:c r="D317" s="76" t="str">
        <x:v>Classification of finance cost paid</x:v>
      </x:c>
      <x:c r="E317" s="170" t="str">
        <x:v>Operating</x:v>
      </x:c>
      <x:c r="F317" s="170" t="str">
        <x:v>Operating</x:v>
      </x:c>
      <x:c r="G317" s="170" t="str">
        <x:v>text</x:v>
      </x:c>
      <x:c r="H317" s="170" t="str">
        <x:v>Operating</x:v>
      </x:c>
      <x:c r="I317" s="170" t="str">
        <x:f>KOHC!E119</x:f>
        <x:v>Operating</x:v>
      </x:c>
      <x:c r="J317" s="170" t="str">
        <x:v>n/a</x:v>
      </x:c>
      <x:c r="K317" s="76" t="str">
        <x:v>Financial_Statements-30-06-2023.pdf</x:v>
      </x:c>
      <x:c r="L317" s="76" t="n">
        <x:v>57</x:v>
      </x:c>
      <x:c r="M317" s="76" t="str">
        <x:v>Comparative</x:v>
      </x:c>
      <x:c r="N317" s="99" t="str">
        <x:v>Cash-flow classification inspected</x:v>
      </x:c>
      <x:c r="O317" s="99" t="str">
        <x:v>Supporting cash-flow classification only; excluded from 33-measure scope.</x:v>
      </x:c>
      <x:c r="P317" s="99" t="str">
        <x:v>
Annual Report 2023
Shaping the
Future
55
  2023 2022
 Note Rupees Rupees
Cash flows from operating activities
Cash generated from operations 35  9,061,899,692   9,429,252,992 
Finance cost paid   (685,823,997)  (514,171</x:v>
      </x:c>
    </x:row>
    <x:row r="318" ht="82" customHeight="1">
      <x:c r="A318" s="168" t="str">
        <x:v>KOHC|fin_paid_cls|2023</x:v>
      </x:c>
      <x:c r="B318" s="168" t="str">
        <x:v>KOHC</x:v>
      </x:c>
      <x:c r="C318" s="168" t="str">
        <x:v>FY2023</x:v>
      </x:c>
      <x:c r="D318" s="168" t="str">
        <x:v>Classification of finance cost paid</x:v>
      </x:c>
      <x:c r="E318" s="169" t="str">
        <x:v>Operating</x:v>
      </x:c>
      <x:c r="F318" s="169" t="str">
        <x:v>Operating</x:v>
      </x:c>
      <x:c r="G318" s="169" t="str">
        <x:v>text</x:v>
      </x:c>
      <x:c r="H318" s="169" t="str">
        <x:v>Operating</x:v>
      </x:c>
      <x:c r="I318" s="169" t="str">
        <x:f>KOHC!F119</x:f>
        <x:v>Operating</x:v>
      </x:c>
      <x:c r="J318" s="169" t="str">
        <x:v>n/a</x:v>
      </x:c>
      <x:c r="K318" s="168" t="str">
        <x:v>Kohat_Cement_Annual_Report-2024.pdf</x:v>
      </x:c>
      <x:c r="L318" s="168" t="n">
        <x:v>63</x:v>
      </x:c>
      <x:c r="M318" s="168" t="str">
        <x:v>Comparative</x:v>
      </x:c>
      <x:c r="N318" s="171" t="str">
        <x:v>Cash-flow classification inspected</x:v>
      </x:c>
      <x:c r="O318" s="171" t="str">
        <x:v>Supporting cash-flow classification only; excluded from 33-measure scope.</x:v>
      </x:c>
      <x:c r="P318" s="171" t="str">
        <x:v>
61
Reaching New 
HEIGHTS Annual Report 2024
  2024 2023
 Note Rupees Rupees
   Restated
Cash flows from operating activities
Cash generated from operations 35 11,414,783,911     7,862,593,209 
Finance cost paid   (731,0</x:v>
      </x:c>
    </x:row>
    <x:row r="319" ht="82" customHeight="1">
      <x:c r="A319" s="76" t="str">
        <x:v>KOHC|fin_paid_cls|2024</x:v>
      </x:c>
      <x:c r="B319" s="76" t="str">
        <x:v>KOHC</x:v>
      </x:c>
      <x:c r="C319" s="76" t="str">
        <x:v>FY2024</x:v>
      </x:c>
      <x:c r="D319" s="76" t="str">
        <x:v>Classification of finance cost paid</x:v>
      </x:c>
      <x:c r="E319" s="170" t="str">
        <x:v>Operating</x:v>
      </x:c>
      <x:c r="F319" s="170" t="str">
        <x:v>Operating</x:v>
      </x:c>
      <x:c r="G319" s="170" t="str">
        <x:v>text</x:v>
      </x:c>
      <x:c r="H319" s="170" t="str">
        <x:v>Operating</x:v>
      </x:c>
      <x:c r="I319" s="170" t="str">
        <x:f>KOHC!G119</x:f>
        <x:v>Operating</x:v>
      </x:c>
      <x:c r="J319" s="170" t="str">
        <x:v>n/a</x:v>
      </x:c>
      <x:c r="K319" s="76" t="str">
        <x:v>Kohat_Cement_Annual_Report_2025.pdf</x:v>
      </x:c>
      <x:c r="L319" s="76" t="n">
        <x:v>73</x:v>
      </x:c>
      <x:c r="M319" s="76" t="str">
        <x:v>Comparative</x:v>
      </x:c>
      <x:c r="N319" s="99" t="str">
        <x:v>Cash-flow classification inspected</x:v>
      </x:c>
      <x:c r="O319" s="99" t="str">
        <x:v>Supporting cash-flow classification only; excluded from 33-measure scope.</x:v>
      </x:c>
      <x:c r="P319" s="99" t="str">
        <x:v>
71
STATEMENT OF 
CASH FLOWS 
For the year ended June 30, 2025
Chief Financial Officer Chief Executive Officer Director
  2025 2024
 Note Rupees Rupees
Cash flows from operating activities
Cash generated from operations </x:v>
      </x:c>
    </x:row>
    <x:row r="320" ht="82" customHeight="1">
      <x:c r="A320" s="168" t="str">
        <x:v>KOHC|fin_paid_cls|2025</x:v>
      </x:c>
      <x:c r="B320" s="168" t="str">
        <x:v>KOHC</x:v>
      </x:c>
      <x:c r="C320" s="168" t="str">
        <x:v>FY2025</x:v>
      </x:c>
      <x:c r="D320" s="168" t="str">
        <x:v>Classification of finance cost paid</x:v>
      </x:c>
      <x:c r="E320" s="169" t="str">
        <x:v>Operating</x:v>
      </x:c>
      <x:c r="F320" s="169" t="str">
        <x:v>Operating</x:v>
      </x:c>
      <x:c r="G320" s="169" t="str">
        <x:v>text</x:v>
      </x:c>
      <x:c r="H320" s="169" t="str">
        <x:v>Operating</x:v>
      </x:c>
      <x:c r="I320" s="169" t="str">
        <x:f>KOHC!H119</x:f>
        <x:v>Operating</x:v>
      </x:c>
      <x:c r="J320" s="169" t="str">
        <x:v>n/a</x:v>
      </x:c>
      <x:c r="K320" s="168" t="str">
        <x:v>Kohat_Cement_Annual_Report_2025.pdf</x:v>
      </x:c>
      <x:c r="L320" s="168" t="n">
        <x:v>73</x:v>
      </x:c>
      <x:c r="M320" s="168" t="str">
        <x:v>Current year</x:v>
      </x:c>
      <x:c r="N320" s="171" t="str">
        <x:v>Cash-flow classification inspected</x:v>
      </x:c>
      <x:c r="O320" s="171" t="str">
        <x:v>Supporting cash-flow classification only; excluded from 33-measure scope.</x:v>
      </x:c>
      <x:c r="P320" s="171" t="str">
        <x:v>
71
STATEMENT OF 
CASH FLOWS 
For the year ended June 30, 2025
Chief Financial Officer Chief Executive Officer Director
  2025 2024
 Note Rupees Rupees
Cash flows from operating activities
Cash generated from operations </x:v>
      </x:c>
    </x:row>
    <x:row r="321" ht="82" customHeight="1">
      <x:c r="A321" s="76" t="str">
        <x:v>KOHC|capex|2021</x:v>
      </x:c>
      <x:c r="B321" s="76" t="str">
        <x:v>KOHC</x:v>
      </x:c>
      <x:c r="C321" s="76" t="str">
        <x:v>FY2021</x:v>
      </x:c>
      <x:c r="D321" s="76" t="str">
        <x:v>Purchase of property, plant and equipment</x:v>
      </x:c>
      <x:c r="E321" s="170" t="n">
        <x:v>-610597045</x:v>
      </x:c>
      <x:c r="F321" s="170" t="n">
        <x:v>-610597045</x:v>
      </x:c>
      <x:c r="G321" s="170" t="str">
        <x:v>Rupees</x:v>
      </x:c>
      <x:c r="H321" s="170" t="n">
        <x:f>F321/1000000</x:f>
        <x:v>-610.597045</x:v>
      </x:c>
      <x:c r="I321" s="170" t="n">
        <x:f>KOHC!D121</x:f>
        <x:v>-610.597045</x:v>
      </x:c>
      <x:c r="J321" s="170" t="n">
        <x:f>H321-I321</x:f>
        <x:v>0</x:v>
      </x:c>
      <x:c r="K321" s="76" t="str">
        <x:v>Kohat_Cement_AR_2022.pdf</x:v>
      </x:c>
      <x:c r="L321" s="76" t="n">
        <x:v>57</x:v>
      </x:c>
      <x:c r="M321" s="76" t="str">
        <x:v>Comparative</x:v>
      </x:c>
      <x:c r="N321" s="99" t="str">
        <x:v>Printed amount independently located</x:v>
      </x:c>
      <x:c r="O321" s="99" t="str">
        <x:v>Exact source amount found; audited year/current-comparative column recorded. Accounting subtotal tests performed separately.</x:v>
      </x:c>
      <x:c r="P321" s="99" t="str">
        <x:v>ing activities   8,181,357,890   5,089,315,864
Cash flows from investing activities  
Acquisition of property, plant and equipment   (461,847,370)  (610,597,045)
Proceeds from disposal of property, plant and equipment   18,096,560   17,333,403 
Acquisition of  intangibles   (1,019,920)  (400,000)
Purchase of investment property   (169,050)</x:v>
      </x:c>
    </x:row>
    <x:row r="322" ht="82" customHeight="1">
      <x:c r="A322" s="168" t="str">
        <x:v>KOHC|capex|2022</x:v>
      </x:c>
      <x:c r="B322" s="168" t="str">
        <x:v>KOHC</x:v>
      </x:c>
      <x:c r="C322" s="168" t="str">
        <x:v>FY2022</x:v>
      </x:c>
      <x:c r="D322" s="168" t="str">
        <x:v>Purchase of property, plant and equipment</x:v>
      </x:c>
      <x:c r="E322" s="169" t="n">
        <x:v>-461847370</x:v>
      </x:c>
      <x:c r="F322" s="169" t="n">
        <x:v>-461847370</x:v>
      </x:c>
      <x:c r="G322" s="169" t="str">
        <x:v>Rupees</x:v>
      </x:c>
      <x:c r="H322" s="169" t="n">
        <x:f>F322/1000000</x:f>
        <x:v>-461.84737</x:v>
      </x:c>
      <x:c r="I322" s="169" t="n">
        <x:f>KOHC!E121</x:f>
        <x:v>-461.84737</x:v>
      </x:c>
      <x:c r="J322" s="169" t="n">
        <x:f>H322-I322</x:f>
        <x:v>0</x:v>
      </x:c>
      <x:c r="K322" s="168" t="str">
        <x:v>Financial_Statements-30-06-2023.pdf</x:v>
      </x:c>
      <x:c r="L322" s="168" t="n">
        <x:v>57</x:v>
      </x:c>
      <x:c r="M322" s="168" t="str">
        <x:v>Comparative</x:v>
      </x:c>
      <x:c r="N322" s="171" t="str">
        <x:v>Printed amount independently located</x:v>
      </x:c>
      <x:c r="O322" s="171" t="str">
        <x:v>Exact source amount found; audited year/current-comparative column recorded. Accounting subtotal tests performed separately.</x:v>
      </x:c>
      <x:c r="P322" s="171" t="str">
        <x:v>ng activities   5,651,388,244   8,181,357,890 
Cash flows from investing activities  
Acquisition of property, plant and equipment   (2,015,897,038)  (461,847,370)
Proceeds from disposal of property, plant and equipment   7,589,770   18,096,560 
Acquisition of  intangibles  –     (1,019,920)
Purchase of investment property   (190,655,534)  (</x:v>
      </x:c>
    </x:row>
    <x:row r="323" ht="82" customHeight="1">
      <x:c r="A323" s="76" t="str">
        <x:v>KOHC|capex|2023</x:v>
      </x:c>
      <x:c r="B323" s="76" t="str">
        <x:v>KOHC</x:v>
      </x:c>
      <x:c r="C323" s="76" t="str">
        <x:v>FY2023</x:v>
      </x:c>
      <x:c r="D323" s="76" t="str">
        <x:v>Purchase of property, plant and equipment</x:v>
      </x:c>
      <x:c r="E323" s="170" t="n">
        <x:v>-2015897038</x:v>
      </x:c>
      <x:c r="F323" s="170" t="n">
        <x:v>-2015897038</x:v>
      </x:c>
      <x:c r="G323" s="170" t="str">
        <x:v>Rupees</x:v>
      </x:c>
      <x:c r="H323" s="170" t="n">
        <x:f>F323/1000000</x:f>
        <x:v>-2015.897038</x:v>
      </x:c>
      <x:c r="I323" s="170" t="n">
        <x:f>KOHC!F121</x:f>
        <x:v>-2015.897038</x:v>
      </x:c>
      <x:c r="J323" s="170" t="n">
        <x:f>H323-I323</x:f>
        <x:v>0</x:v>
      </x:c>
      <x:c r="K323" s="76" t="str">
        <x:v>Kohat_Cement_Annual_Report-2024.pdf</x:v>
      </x:c>
      <x:c r="L323" s="76" t="n">
        <x:v>63</x:v>
      </x:c>
      <x:c r="M323" s="76" t="str">
        <x:v>Comparative</x:v>
      </x:c>
      <x:c r="N323" s="99" t="str">
        <x:v>Printed amount independently located</x:v>
      </x:c>
      <x:c r="O323" s="99" t="str">
        <x:v>Exact source amount found; audited year/current-comparative column recorded. Accounting subtotal tests performed separately.</x:v>
      </x:c>
      <x:c r="P323" s="99" t="str">
        <x:v>g activities  6,578,981,833     4,452,081,761 
Cash flows from investing activities  
Acquisition of property, plant and equipment   (1,110,543,880)  (2,015,897,038)
Proceeds from disposal of property, plant and equipment   2,890,000   7,589,770 
Purchase of investment property   (1,450,816)  (190,655,534)
Short term investments – net   (7,105</x:v>
      </x:c>
    </x:row>
    <x:row r="324" ht="82" customHeight="1">
      <x:c r="A324" s="168" t="str">
        <x:v>KOHC|capex|2024</x:v>
      </x:c>
      <x:c r="B324" s="168" t="str">
        <x:v>KOHC</x:v>
      </x:c>
      <x:c r="C324" s="168" t="str">
        <x:v>FY2024</x:v>
      </x:c>
      <x:c r="D324" s="168" t="str">
        <x:v>Purchase of property, plant and equipment</x:v>
      </x:c>
      <x:c r="E324" s="169" t="n">
        <x:v>-1107284933</x:v>
      </x:c>
      <x:c r="F324" s="169" t="n">
        <x:v>-1107284933</x:v>
      </x:c>
      <x:c r="G324" s="169" t="str">
        <x:v>Rupees</x:v>
      </x:c>
      <x:c r="H324" s="169" t="n">
        <x:f>F324/1000000</x:f>
        <x:v>-1107.284933</x:v>
      </x:c>
      <x:c r="I324" s="169" t="n">
        <x:f>KOHC!G121</x:f>
        <x:v>-1107.284933</x:v>
      </x:c>
      <x:c r="J324" s="169" t="n">
        <x:f>H324-I324</x:f>
        <x:v>0</x:v>
      </x:c>
      <x:c r="K324" s="168" t="str">
        <x:v>Kohat_Cement_Annual_Report_2025.pdf</x:v>
      </x:c>
      <x:c r="L324" s="168" t="n">
        <x:v>73</x:v>
      </x:c>
      <x:c r="M324" s="168" t="str">
        <x:v>Comparative</x:v>
      </x:c>
      <x:c r="N324" s="171" t="str">
        <x:v>Printed amount independently located</x:v>
      </x:c>
      <x:c r="O324" s="171" t="str">
        <x:v>Exact source amount found; audited year/current-comparative column recorded. Accounting subtotal tests performed separately.</x:v>
      </x:c>
      <x:c r="P324" s="171" t="str">
        <x:v>ng activities   9,378,288,538   6,647,173,409 
Cash flows from investing activities  
Acquisition of property, plant and equipment   (2,398,919,336)  (1,107,284,933)
Proceeds from disposal of property, plant and equipment   15,321,000   2,890,000 
Purchase of investment property   –     (1,450,816)
Short term investments – net   (2,011,541,251</x:v>
      </x:c>
    </x:row>
    <x:row r="325" ht="82" customHeight="1">
      <x:c r="A325" s="76" t="str">
        <x:v>KOHC|capex|2025</x:v>
      </x:c>
      <x:c r="B325" s="76" t="str">
        <x:v>KOHC</x:v>
      </x:c>
      <x:c r="C325" s="76" t="str">
        <x:v>FY2025</x:v>
      </x:c>
      <x:c r="D325" s="76" t="str">
        <x:v>Purchase of property, plant and equipment</x:v>
      </x:c>
      <x:c r="E325" s="170" t="n">
        <x:v>-2398919336</x:v>
      </x:c>
      <x:c r="F325" s="170" t="n">
        <x:v>-2398919336</x:v>
      </x:c>
      <x:c r="G325" s="170" t="str">
        <x:v>Rupees</x:v>
      </x:c>
      <x:c r="H325" s="170" t="n">
        <x:f>F325/1000000</x:f>
        <x:v>-2398.919336</x:v>
      </x:c>
      <x:c r="I325" s="170" t="n">
        <x:f>KOHC!H121</x:f>
        <x:v>-2398.919336</x:v>
      </x:c>
      <x:c r="J325" s="170" t="n">
        <x:f>H325-I325</x:f>
        <x:v>0</x:v>
      </x:c>
      <x:c r="K325" s="76" t="str">
        <x:v>Kohat_Cement_Annual_Report_2025.pdf</x:v>
      </x:c>
      <x:c r="L325" s="76" t="n">
        <x:v>73</x:v>
      </x:c>
      <x:c r="M325" s="76" t="str">
        <x:v>Current year</x:v>
      </x:c>
      <x:c r="N325" s="99" t="str">
        <x:v>Printed amount independently located</x:v>
      </x:c>
      <x:c r="O325" s="99" t="str">
        <x:v>Exact source amount found; audited year/current-comparative column recorded. Accounting subtotal tests performed separately.</x:v>
      </x:c>
      <x:c r="P325" s="99" t="str">
        <x:v>ated from operating activities   9,378,288,538   6,647,173,409 
Cash flows from investing activities  
Acquisition of property, plant and equipment   (2,398,919,336)  (1,107,284,933)
Proceeds from disposal of property, plant and equipment   15,321,000   2,890,000 
Purchase of investment property   –     (1,450,816)
Short term investments – net</x:v>
      </x:c>
    </x:row>
    <x:row r="326" ht="82" customHeight="1">
      <x:c r="A326" s="168" t="str">
        <x:v>KOHC|cfi|2021</x:v>
      </x:c>
      <x:c r="B326" s="168" t="str">
        <x:v>KOHC</x:v>
      </x:c>
      <x:c r="C326" s="168" t="str">
        <x:v>FY2021</x:v>
      </x:c>
      <x:c r="D326" s="168" t="str">
        <x:v>Net cash from investing activities</x:v>
      </x:c>
      <x:c r="E326" s="169" t="n">
        <x:v>-3950178348</x:v>
      </x:c>
      <x:c r="F326" s="169" t="n">
        <x:v>-3950178348</x:v>
      </x:c>
      <x:c r="G326" s="169" t="str">
        <x:v>Rupees</x:v>
      </x:c>
      <x:c r="H326" s="169" t="n">
        <x:f>F326/1000000</x:f>
        <x:v>-3950.178348</x:v>
      </x:c>
      <x:c r="I326" s="169" t="n">
        <x:f>KOHC!D122</x:f>
        <x:v>-3950.178348</x:v>
      </x:c>
      <x:c r="J326" s="169" t="n">
        <x:f>H326-I326</x:f>
        <x:v>0</x:v>
      </x:c>
      <x:c r="K326" s="168" t="str">
        <x:v>Kohat_Cement_AR_2022.pdf</x:v>
      </x:c>
      <x:c r="L326" s="168" t="n">
        <x:v>57</x:v>
      </x:c>
      <x:c r="M326" s="168" t="str">
        <x:v>Comparative</x:v>
      </x:c>
      <x:c r="N326" s="171" t="str">
        <x:v>Printed amount independently located</x:v>
      </x:c>
      <x:c r="O326" s="171" t="str">
        <x:v>Exact source amount found; audited year/current-comparative column recorded. Accounting subtotal tests performed separately.</x:v>
      </x:c>
      <x:c r="P326" s="171" t="str">
        <x:v>sits   (30,000)  (5,000,000)
Long term loans and advances - net   (36,787,729)  (26,439,100)
Net cash used in investing activities   (7,092,988,516)  (3,950,178,348)
Cash flows from financing activities  
Short term borrowing - net   (498,000,000)  (803,609,100)
Repayment of long term finances   (1,306,783,590)  (338,275,011)
Disbursement of</x:v>
      </x:c>
    </x:row>
    <x:row r="327" ht="82" customHeight="1">
      <x:c r="A327" s="76" t="str">
        <x:v>KOHC|cfi|2022</x:v>
      </x:c>
      <x:c r="B327" s="76" t="str">
        <x:v>KOHC</x:v>
      </x:c>
      <x:c r="C327" s="76" t="str">
        <x:v>FY2022</x:v>
      </x:c>
      <x:c r="D327" s="76" t="str">
        <x:v>Net cash from investing activities</x:v>
      </x:c>
      <x:c r="E327" s="170" t="n">
        <x:v>-7092988516</x:v>
      </x:c>
      <x:c r="F327" s="170" t="n">
        <x:v>-7092988516</x:v>
      </x:c>
      <x:c r="G327" s="170" t="str">
        <x:v>Rupees</x:v>
      </x:c>
      <x:c r="H327" s="170" t="n">
        <x:f>F327/1000000</x:f>
        <x:v>-7092.988516</x:v>
      </x:c>
      <x:c r="I327" s="170" t="n">
        <x:f>KOHC!E122</x:f>
        <x:v>-7092.988516</x:v>
      </x:c>
      <x:c r="J327" s="170" t="n">
        <x:f>H327-I327</x:f>
        <x:v>0</x:v>
      </x:c>
      <x:c r="K327" s="76" t="str">
        <x:v>Financial_Statements-30-06-2023.pdf</x:v>
      </x:c>
      <x:c r="L327" s="76" t="n">
        <x:v>57</x:v>
      </x:c>
      <x:c r="M327" s="76" t="str">
        <x:v>Comparative</x:v>
      </x:c>
      <x:c r="N327" s="99" t="str">
        <x:v>Printed amount independently located</x:v>
      </x:c>
      <x:c r="O327" s="99" t="str">
        <x:v>Exact source amount found; audited year/current-comparative column recorded. Accounting subtotal tests performed separately.</x:v>
      </x:c>
      <x:c r="P327" s="99" t="str">
        <x:v>term deposits  –    (30,000)
Long term loans and advances - net   45,797,488   (36,787,729)
Net cash used in investing activities   (3,669,822,246)  (7,092,988,516)
Cash flows from financing activities  
Short term borrowing - net  –     (498,000,000)
Repayment of long term finances   (1,071,920,204)  (1,306,783,590)
Own shares purchased for</x:v>
      </x:c>
    </x:row>
    <x:row r="328" ht="82" customHeight="1">
      <x:c r="A328" s="168" t="str">
        <x:v>KOHC|cfi|2023</x:v>
      </x:c>
      <x:c r="B328" s="168" t="str">
        <x:v>KOHC</x:v>
      </x:c>
      <x:c r="C328" s="168" t="str">
        <x:v>FY2023</x:v>
      </x:c>
      <x:c r="D328" s="168" t="str">
        <x:v>Net cash from investing activities</x:v>
      </x:c>
      <x:c r="E328" s="169" t="n">
        <x:v>-2470515763</x:v>
      </x:c>
      <x:c r="F328" s="169" t="n">
        <x:v>-2470515763</x:v>
      </x:c>
      <x:c r="G328" s="169" t="str">
        <x:v>Rupees</x:v>
      </x:c>
      <x:c r="H328" s="169" t="n">
        <x:f>F328/1000000</x:f>
        <x:v>-2470.515763</x:v>
      </x:c>
      <x:c r="I328" s="169" t="n">
        <x:f>KOHC!F122</x:f>
        <x:v>-2470.515763</x:v>
      </x:c>
      <x:c r="J328" s="169" t="n">
        <x:f>H328-I328</x:f>
        <x:v>0</x:v>
      </x:c>
      <x:c r="K328" s="168" t="str">
        <x:v>Kohat_Cement_Annual_Report-2024.pdf</x:v>
      </x:c>
      <x:c r="L328" s="168" t="n">
        <x:v>63</x:v>
      </x:c>
      <x:c r="M328" s="168" t="str">
        <x:v>Comparative</x:v>
      </x:c>
      <x:c r="N328" s="171" t="str">
        <x:v>Printed amount independently located</x:v>
      </x:c>
      <x:c r="O328" s="171" t="str">
        <x:v>Exact source amount found; audited year/current-comparative column recorded. Accounting subtotal tests performed separately.</x:v>
      </x:c>
      <x:c r="P328" s="171" t="str">
        <x:v>ury bills   –     494,778,500 
Long term loans and advances – net   (3,741,053)  45,797,488 
Net cash used in investing activities   (4,962,132,518)  (2,470,515,763)
Cash flows from financing activities  
Repayment of long term finances   (1,034,355,875)  (1,071,920,204)
Short term borrowings – net   –     –   
Own shares purchased for cancell</x:v>
      </x:c>
    </x:row>
    <x:row r="329" ht="82" customHeight="1">
      <x:c r="A329" s="76" t="str">
        <x:v>KOHC|cfi|2024</x:v>
      </x:c>
      <x:c r="B329" s="76" t="str">
        <x:v>KOHC</x:v>
      </x:c>
      <x:c r="C329" s="76" t="str">
        <x:v>FY2024</x:v>
      </x:c>
      <x:c r="D329" s="76" t="str">
        <x:v>Net cash from investing activities</x:v>
      </x:c>
      <x:c r="E329" s="170" t="n">
        <x:v>-5030324094</x:v>
      </x:c>
      <x:c r="F329" s="170" t="n">
        <x:v>-5030324094</x:v>
      </x:c>
      <x:c r="G329" s="170" t="str">
        <x:v>Rupees</x:v>
      </x:c>
      <x:c r="H329" s="170" t="n">
        <x:f>F329/1000000</x:f>
        <x:v>-5030.324094</x:v>
      </x:c>
      <x:c r="I329" s="170" t="n">
        <x:f>KOHC!G122</x:f>
        <x:v>-5030.324094</x:v>
      </x:c>
      <x:c r="J329" s="170" t="n">
        <x:f>H329-I329</x:f>
        <x:v>0</x:v>
      </x:c>
      <x:c r="K329" s="76" t="str">
        <x:v>Kohat_Cement_Annual_Report_2025.pdf</x:v>
      </x:c>
      <x:c r="L329" s="76" t="n">
        <x:v>73</x:v>
      </x:c>
      <x:c r="M329" s="76" t="str">
        <x:v>Comparative</x:v>
      </x:c>
      <x:c r="N329" s="99" t="str">
        <x:v>Printed amount independently located</x:v>
      </x:c>
      <x:c r="O329" s="99" t="str">
        <x:v>Exact source amount found; audited year/current-comparative column recorded. Accounting subtotal tests performed separately.</x:v>
      </x:c>
      <x:c r="P329" s="99" t="str">
        <x:v>g term deposits   (200,000)  –   
Long term loans and advances   (413,520,934)  (75,191,576)
Net cash used in investing activities   (4,398,595,770)  (5,030,324,094)
Cash flows from financing activities  
Proceeds from long term finances 44  1,115,239,380   –   
Repayment of long term finances 44  (1,034,355,698)  (1,034,355,875)
Proceeds from</x:v>
      </x:c>
    </x:row>
    <x:row r="330" ht="82" customHeight="1">
      <x:c r="A330" s="168" t="str">
        <x:v>KOHC|cfi|2025</x:v>
      </x:c>
      <x:c r="B330" s="168" t="str">
        <x:v>KOHC</x:v>
      </x:c>
      <x:c r="C330" s="168" t="str">
        <x:v>FY2025</x:v>
      </x:c>
      <x:c r="D330" s="168" t="str">
        <x:v>Net cash from investing activities</x:v>
      </x:c>
      <x:c r="E330" s="169" t="n">
        <x:v>-4398595770</x:v>
      </x:c>
      <x:c r="F330" s="169" t="n">
        <x:v>-4398595770</x:v>
      </x:c>
      <x:c r="G330" s="169" t="str">
        <x:v>Rupees</x:v>
      </x:c>
      <x:c r="H330" s="169" t="n">
        <x:f>F330/1000000</x:f>
        <x:v>-4398.59577</x:v>
      </x:c>
      <x:c r="I330" s="169" t="n">
        <x:f>KOHC!H122</x:f>
        <x:v>-4398.59577</x:v>
      </x:c>
      <x:c r="J330" s="169" t="n">
        <x:f>H330-I330</x:f>
        <x:v>0</x:v>
      </x:c>
      <x:c r="K330" s="168" t="str">
        <x:v>Kohat_Cement_Annual_Report_2025.pdf</x:v>
      </x:c>
      <x:c r="L330" s="168" t="n">
        <x:v>73</x:v>
      </x:c>
      <x:c r="M330" s="168" t="str">
        <x:v>Current year</x:v>
      </x:c>
      <x:c r="N330" s="171" t="str">
        <x:v>Printed amount independently located</x:v>
      </x:c>
      <x:c r="O330" s="171" t="str">
        <x:v>Exact source amount found; audited year/current-comparative column recorded. Accounting subtotal tests performed separately.</x:v>
      </x:c>
      <x:c r="P330" s="171" t="str">
        <x:v>238,329,752 
Long term deposits   (200,000)  –   
Long term loans and advances   (413,520,934)  (75,191,576)
Net cash used in investing activities   (4,398,595,770)  (5,030,324,094)
Cash flows from financing activities  
Proceeds from long term finances 44  1,115,239,380   –   
Repayment of long term finances 44  (1,034,355,698)  (1,034,355,8</x:v>
      </x:c>
    </x:row>
    <x:row r="331" ht="82" customHeight="1">
      <x:c r="A331" s="76" t="str">
        <x:v>KOHC|cff|2021</x:v>
      </x:c>
      <x:c r="B331" s="76" t="str">
        <x:v>KOHC</x:v>
      </x:c>
      <x:c r="C331" s="76" t="str">
        <x:v>FY2021</x:v>
      </x:c>
      <x:c r="D331" s="76" t="str">
        <x:v>Net cash from financing activities</x:v>
      </x:c>
      <x:c r="E331" s="170" t="n">
        <x:v>-943014252</x:v>
      </x:c>
      <x:c r="F331" s="170" t="n">
        <x:v>-943014252</x:v>
      </x:c>
      <x:c r="G331" s="170" t="str">
        <x:v>Rupees</x:v>
      </x:c>
      <x:c r="H331" s="170" t="n">
        <x:f>F331/1000000</x:f>
        <x:v>-943.014252</x:v>
      </x:c>
      <x:c r="I331" s="170" t="n">
        <x:f>KOHC!D123</x:f>
        <x:v>-943.014252</x:v>
      </x:c>
      <x:c r="J331" s="170" t="n">
        <x:f>H331-I331</x:f>
        <x:v>0</x:v>
      </x:c>
      <x:c r="K331" s="76" t="str">
        <x:v>Kohat_Cement_AR_2022.pdf</x:v>
      </x:c>
      <x:c r="L331" s="76" t="n">
        <x:v>57</x:v>
      </x:c>
      <x:c r="M331" s="76" t="str">
        <x:v>Comparative</x:v>
      </x:c>
      <x:c r="N331" s="99" t="str">
        <x:v>Printed amount independently located</x:v>
      </x:c>
      <x:c r="O331" s="99" t="str">
        <x:v>Exact source amount found; audited year/current-comparative column recorded. Accounting subtotal tests performed separately.</x:v>
      </x:c>
      <x:c r="P331" s="99" t="str">
        <x:v>finances - net off transaction cost  –   200,686,655 
Dividend paid   (549,503)  (1,816,796)
Net cash used in financing activities   (1,805,333,093)  (943,014,252)
Net (decrease) / increase in cash and cash equivalents    (716,963,719)  196,123,264 
Cash and cash equivalents at beginning of the year   1,197,729,351   1,001,606,087 
Cash and</x:v>
      </x:c>
    </x:row>
    <x:row r="332" ht="82" customHeight="1">
      <x:c r="A332" s="168" t="str">
        <x:v>KOHC|cff|2022</x:v>
      </x:c>
      <x:c r="B332" s="168" t="str">
        <x:v>KOHC</x:v>
      </x:c>
      <x:c r="C332" s="168" t="str">
        <x:v>FY2022</x:v>
      </x:c>
      <x:c r="D332" s="168" t="str">
        <x:v>Net cash from financing activities</x:v>
      </x:c>
      <x:c r="E332" s="169" t="n">
        <x:v>-1805333093</x:v>
      </x:c>
      <x:c r="F332" s="169" t="n">
        <x:v>-1805333093</x:v>
      </x:c>
      <x:c r="G332" s="169" t="str">
        <x:v>Rupees</x:v>
      </x:c>
      <x:c r="H332" s="169" t="n">
        <x:f>F332/1000000</x:f>
        <x:v>-1805.333093</x:v>
      </x:c>
      <x:c r="I332" s="169" t="n">
        <x:f>KOHC!E123</x:f>
        <x:v>-1805.333093</x:v>
      </x:c>
      <x:c r="J332" s="169" t="n">
        <x:f>H332-I332</x:f>
        <x:v>0</x:v>
      </x:c>
      <x:c r="K332" s="168" t="str">
        <x:v>Financial_Statements-30-06-2023.pdf</x:v>
      </x:c>
      <x:c r="L332" s="168" t="n">
        <x:v>57</x:v>
      </x:c>
      <x:c r="M332" s="168" t="str">
        <x:v>Comparative</x:v>
      </x:c>
      <x:c r="N332" s="171" t="str">
        <x:v>Printed amount independently located</x:v>
      </x:c>
      <x:c r="O332" s="171" t="str">
        <x:v>Exact source amount found; audited year/current-comparative column recorded. Accounting subtotal tests performed separately.</x:v>
      </x:c>
      <x:c r="P332" s="171" t="str">
        <x:v>shares purchased for cancellation 4.3  (456,701,404) – 
Dividend paid   (172,829)  (549,503)
Net cash used in financing activities   (1,528,794,437)  (1,805,333,093)
Net increase / (decrease) in cash and cash equivalents    452,771,561   (716,963,719)
Cash and cash equivalents at beginning of the year   480,765,632   1,197,729,351 
Cash and ca</x:v>
      </x:c>
    </x:row>
    <x:row r="333" ht="82" customHeight="1">
      <x:c r="A333" s="76" t="str">
        <x:v>KOHC|cff|2023</x:v>
      </x:c>
      <x:c r="B333" s="76" t="str">
        <x:v>KOHC</x:v>
      </x:c>
      <x:c r="C333" s="76" t="str">
        <x:v>FY2023</x:v>
      </x:c>
      <x:c r="D333" s="76" t="str">
        <x:v>Net cash from financing activities</x:v>
      </x:c>
      <x:c r="E333" s="170" t="n">
        <x:v>-1528794437</x:v>
      </x:c>
      <x:c r="F333" s="170" t="n">
        <x:v>-1528794437</x:v>
      </x:c>
      <x:c r="G333" s="170" t="str">
        <x:v>Rupees</x:v>
      </x:c>
      <x:c r="H333" s="170" t="n">
        <x:f>F333/1000000</x:f>
        <x:v>-1528.794437</x:v>
      </x:c>
      <x:c r="I333" s="170" t="n">
        <x:f>KOHC!F123</x:f>
        <x:v>-1528.794437</x:v>
      </x:c>
      <x:c r="J333" s="170" t="n">
        <x:f>H333-I333</x:f>
        <x:v>0</x:v>
      </x:c>
      <x:c r="K333" s="76" t="str">
        <x:v>Kohat_Cement_Annual_Report-2024.pdf</x:v>
      </x:c>
      <x:c r="L333" s="76" t="n">
        <x:v>63</x:v>
      </x:c>
      <x:c r="M333" s="76" t="str">
        <x:v>Comparative</x:v>
      </x:c>
      <x:c r="N333" s="99" t="str">
        <x:v>Printed amount independently located</x:v>
      </x:c>
      <x:c r="O333" s="99" t="str">
        <x:v>Exact source amount found; audited year/current-comparative column recorded. Accounting subtotal tests performed separately.</x:v>
      </x:c>
      <x:c r="P333" s="99" t="str">
        <x:v>ased for cancellation 4.3  (413,245,172)  (456,701,404)
Dividend paid   (136,289)  (172,829)
Net cash used in financing activities   (1,447,737,336)  (1,528,794,437)
Net increase in cash and cash equivalents    169,111,979     452,771,561 
Cash and cash equivalents at beginning of the year   933,537,193   480,765,632 
Cash and cash equivalents</x:v>
      </x:c>
    </x:row>
    <x:row r="334" ht="82" customHeight="1">
      <x:c r="A334" s="168" t="str">
        <x:v>KOHC|cff|2024</x:v>
      </x:c>
      <x:c r="B334" s="168" t="str">
        <x:v>KOHC</x:v>
      </x:c>
      <x:c r="C334" s="168" t="str">
        <x:v>FY2024</x:v>
      </x:c>
      <x:c r="D334" s="168" t="str">
        <x:v>Net cash from financing activities</x:v>
      </x:c>
      <x:c r="E334" s="169" t="n">
        <x:v>-1447737336</x:v>
      </x:c>
      <x:c r="F334" s="169" t="n">
        <x:v>-1447737336</x:v>
      </x:c>
      <x:c r="G334" s="169" t="str">
        <x:v>Rupees</x:v>
      </x:c>
      <x:c r="H334" s="169" t="n">
        <x:f>F334/1000000</x:f>
        <x:v>-1447.737336</x:v>
      </x:c>
      <x:c r="I334" s="169" t="n">
        <x:f>KOHC!G123</x:f>
        <x:v>-1447.737336</x:v>
      </x:c>
      <x:c r="J334" s="169" t="n">
        <x:f>H334-I334</x:f>
        <x:v>0</x:v>
      </x:c>
      <x:c r="K334" s="168" t="str">
        <x:v>Kohat_Cement_Annual_Report_2025.pdf</x:v>
      </x:c>
      <x:c r="L334" s="168" t="n">
        <x:v>73</x:v>
      </x:c>
      <x:c r="M334" s="168" t="str">
        <x:v>Comparative</x:v>
      </x:c>
      <x:c r="N334" s="171" t="str">
        <x:v>Printed amount independently located</x:v>
      </x:c>
      <x:c r="O334" s="171" t="str">
        <x:v>Exact source amount found; audited year/current-comparative column recorded. Accounting subtotal tests performed separately.</x:v>
      </x:c>
      <x:c r="P334" s="171" t="str">
        <x:v>ncellation 4.3 &amp; 44  (4,709,365,225)  (413,245,172)
Dividend paid 44  (3,157,674)  (136,289)
Net cash used in financing activities   (4,631,639,217)  (1,447,737,336)
Net increase in cash and cash equivalents    348,053,551   169,111,979 
Cash and cash equivalents at beginning of the year   1,102,649,172   933,537,193 
Cash and cash equivalents</x:v>
      </x:c>
    </x:row>
    <x:row r="335" ht="82" customHeight="1">
      <x:c r="A335" s="76" t="str">
        <x:v>KOHC|cff|2025</x:v>
      </x:c>
      <x:c r="B335" s="76" t="str">
        <x:v>KOHC</x:v>
      </x:c>
      <x:c r="C335" s="76" t="str">
        <x:v>FY2025</x:v>
      </x:c>
      <x:c r="D335" s="76" t="str">
        <x:v>Net cash from financing activities</x:v>
      </x:c>
      <x:c r="E335" s="170" t="n">
        <x:v>-4631639217</x:v>
      </x:c>
      <x:c r="F335" s="170" t="n">
        <x:v>-4631639217</x:v>
      </x:c>
      <x:c r="G335" s="170" t="str">
        <x:v>Rupees</x:v>
      </x:c>
      <x:c r="H335" s="170" t="n">
        <x:f>F335/1000000</x:f>
        <x:v>-4631.639217</x:v>
      </x:c>
      <x:c r="I335" s="170" t="n">
        <x:f>KOHC!H123</x:f>
        <x:v>-4631.639217</x:v>
      </x:c>
      <x:c r="J335" s="170" t="n">
        <x:f>H335-I335</x:f>
        <x:v>0</x:v>
      </x:c>
      <x:c r="K335" s="76" t="str">
        <x:v>Kohat_Cement_Annual_Report_2025.pdf</x:v>
      </x:c>
      <x:c r="L335" s="76" t="n">
        <x:v>73</x:v>
      </x:c>
      <x:c r="M335" s="76" t="str">
        <x:v>Current year</x:v>
      </x:c>
      <x:c r="N335" s="99" t="str">
        <x:v>Printed amount independently located</x:v>
      </x:c>
      <x:c r="O335" s="99" t="str">
        <x:v>Exact source amount found; audited year/current-comparative column recorded. Accounting subtotal tests performed separately.</x:v>
      </x:c>
      <x:c r="P335" s="99" t="str">
        <x:v>purchased for cancellation 4.3 &amp; 44  (4,709,365,225)  (413,245,172)
Dividend paid 44  (3,157,674)  (136,289)
Net cash used in financing activities   (4,631,639,217)  (1,447,737,336)
Net increase in cash and cash equivalents    348,053,551   169,111,979 
Cash and cash equivalents at beginning of the year   1,102,649,172   933,537,193 
Cash and</x:v>
      </x:c>
    </x:row>
    <x:row r="336" ht="82" customHeight="1">
      <x:c r="A336" s="168" t="str">
        <x:v>KOHC|div_paid|2021</x:v>
      </x:c>
      <x:c r="B336" s="168" t="str">
        <x:v>KOHC</x:v>
      </x:c>
      <x:c r="C336" s="168" t="str">
        <x:v>FY2021</x:v>
      </x:c>
      <x:c r="D336" s="168" t="str">
        <x:v>Dividends paid</x:v>
      </x:c>
      <x:c r="E336" s="169" t="n">
        <x:v>-1816796</x:v>
      </x:c>
      <x:c r="F336" s="169" t="n">
        <x:v>-1816796</x:v>
      </x:c>
      <x:c r="G336" s="169" t="str">
        <x:v>Rupees</x:v>
      </x:c>
      <x:c r="H336" s="169" t="n">
        <x:f>F336/1000000</x:f>
        <x:v>-1.816796</x:v>
      </x:c>
      <x:c r="I336" s="169" t="n">
        <x:f>KOHC!D124</x:f>
        <x:v>-1.816796</x:v>
      </x:c>
      <x:c r="J336" s="169" t="n">
        <x:f>H336-I336</x:f>
        <x:v>0</x:v>
      </x:c>
      <x:c r="K336" s="168" t="str">
        <x:v>Kohat_Cement_AR_2022.pdf</x:v>
      </x:c>
      <x:c r="L336" s="168" t="n">
        <x:v>57</x:v>
      </x:c>
      <x:c r="M336" s="168" t="str">
        <x:v>Comparative</x:v>
      </x:c>
      <x:c r="N336" s="171" t="str">
        <x:v>Printed amount independently located</x:v>
      </x:c>
      <x:c r="O336" s="171" t="str">
        <x:v>Exact source amount found; audited year/current-comparative column recorded. Accounting subtotal tests performed separately.</x:v>
      </x:c>
      <x:c r="P336" s="171" t="str">
        <x:v>finances   (1,306,783,590)  (338,275,011)
Disbursement of long term finances - net off transaction cost  –   200,686,655 
Dividend paid   (549,503)  (1,816,796)
Net cash used in financing activities   (1,805,333,093)  (943,014,252)
Net (decrease) / increase in cash and cash equivalents    (716,963,719)  196,123,264 
Cash and cash equivale</x:v>
      </x:c>
    </x:row>
    <x:row r="337" ht="82" customHeight="1">
      <x:c r="A337" s="76" t="str">
        <x:v>KOHC|div_paid|2022</x:v>
      </x:c>
      <x:c r="B337" s="76" t="str">
        <x:v>KOHC</x:v>
      </x:c>
      <x:c r="C337" s="76" t="str">
        <x:v>FY2022</x:v>
      </x:c>
      <x:c r="D337" s="76" t="str">
        <x:v>Dividends paid</x:v>
      </x:c>
      <x:c r="E337" s="170" t="n">
        <x:v>-549503</x:v>
      </x:c>
      <x:c r="F337" s="170" t="n">
        <x:v>-549503</x:v>
      </x:c>
      <x:c r="G337" s="170" t="str">
        <x:v>Rupees</x:v>
      </x:c>
      <x:c r="H337" s="170" t="n">
        <x:f>F337/1000000</x:f>
        <x:v>-0.549503</x:v>
      </x:c>
      <x:c r="I337" s="170" t="n">
        <x:f>KOHC!E124</x:f>
        <x:v>-0.549503</x:v>
      </x:c>
      <x:c r="J337" s="170" t="n">
        <x:f>H337-I337</x:f>
        <x:v>0</x:v>
      </x:c>
      <x:c r="K337" s="76" t="str">
        <x:v>Financial_Statements-30-06-2023.pdf</x:v>
      </x:c>
      <x:c r="L337" s="76" t="n">
        <x:v>57</x:v>
      </x:c>
      <x:c r="M337" s="76" t="str">
        <x:v>Comparative</x:v>
      </x:c>
      <x:c r="N337" s="99" t="str">
        <x:v>Printed amount independently located</x:v>
      </x:c>
      <x:c r="O337" s="99" t="str">
        <x:v>Exact source amount found; audited year/current-comparative column recorded. Accounting subtotal tests performed separately.</x:v>
      </x:c>
      <x:c r="P337" s="99" t="str">
        <x:v>yment of long term finances   (1,071,920,204)  (1,306,783,590)
Own shares purchased for cancellation 4.3  (456,701,404) – 
Dividend paid   (172,829)  (549,503)
Net cash used in financing activities   (1,528,794,437)  (1,805,333,093)
Net increase / (decrease) in cash and cash equivalents    452,771,561   (716,963,719)
Cash and cash equiva</x:v>
      </x:c>
    </x:row>
    <x:row r="338" ht="82" customHeight="1">
      <x:c r="A338" s="168" t="str">
        <x:v>KOHC|div_paid|2023</x:v>
      </x:c>
      <x:c r="B338" s="168" t="str">
        <x:v>KOHC</x:v>
      </x:c>
      <x:c r="C338" s="168" t="str">
        <x:v>FY2023</x:v>
      </x:c>
      <x:c r="D338" s="168" t="str">
        <x:v>Dividends paid</x:v>
      </x:c>
      <x:c r="E338" s="169" t="n">
        <x:v>-172829</x:v>
      </x:c>
      <x:c r="F338" s="169" t="n">
        <x:v>-172829</x:v>
      </x:c>
      <x:c r="G338" s="169" t="str">
        <x:v>Rupees</x:v>
      </x:c>
      <x:c r="H338" s="169" t="n">
        <x:f>F338/1000000</x:f>
        <x:v>-0.172829</x:v>
      </x:c>
      <x:c r="I338" s="169" t="n">
        <x:f>KOHC!F124</x:f>
        <x:v>-0.172829</x:v>
      </x:c>
      <x:c r="J338" s="169" t="n">
        <x:f>H338-I338</x:f>
        <x:v>0</x:v>
      </x:c>
      <x:c r="K338" s="168" t="str">
        <x:v>Kohat_Cement_Annual_Report-2024.pdf</x:v>
      </x:c>
      <x:c r="L338" s="168" t="n">
        <x:v>63</x:v>
      </x:c>
      <x:c r="M338" s="168" t="str">
        <x:v>Comparative</x:v>
      </x:c>
      <x:c r="N338" s="171" t="str">
        <x:v>Printed amount independently located</x:v>
      </x:c>
      <x:c r="O338" s="171" t="str">
        <x:v>Exact source amount found; audited year/current-comparative column recorded. Accounting subtotal tests performed separately.</x:v>
      </x:c>
      <x:c r="P338" s="171" t="str">
        <x:v>,920,204)
Short term borrowings – net   –     –   
Own shares purchased for cancellation 4.3  (413,245,172)  (456,701,404)
Dividend paid   (136,289)  (172,829)
Net cash used in financing activities   (1,447,737,336)  (1,528,794,437)
Net increase in cash and cash equivalents    169,111,979     452,771,561 
Cash and cash equivalents at beg</x:v>
      </x:c>
    </x:row>
    <x:row r="339" ht="82" customHeight="1">
      <x:c r="A339" s="76" t="str">
        <x:v>KOHC|div_paid|2024</x:v>
      </x:c>
      <x:c r="B339" s="76" t="str">
        <x:v>KOHC</x:v>
      </x:c>
      <x:c r="C339" s="76" t="str">
        <x:v>FY2024</x:v>
      </x:c>
      <x:c r="D339" s="76" t="str">
        <x:v>Dividends paid</x:v>
      </x:c>
      <x:c r="E339" s="170" t="n">
        <x:v>-136289</x:v>
      </x:c>
      <x:c r="F339" s="170" t="n">
        <x:v>-136289</x:v>
      </x:c>
      <x:c r="G339" s="170" t="str">
        <x:v>Rupees</x:v>
      </x:c>
      <x:c r="H339" s="170" t="n">
        <x:f>F339/1000000</x:f>
        <x:v>-0.136289</x:v>
      </x:c>
      <x:c r="I339" s="170" t="n">
        <x:f>KOHC!G124</x:f>
        <x:v>-0.136289</x:v>
      </x:c>
      <x:c r="J339" s="170" t="n">
        <x:f>H339-I339</x:f>
        <x:v>0</x:v>
      </x:c>
      <x:c r="K339" s="76" t="str">
        <x:v>Kohat_Cement_Annual_Report_2025.pdf</x:v>
      </x:c>
      <x:c r="L339" s="76" t="n">
        <x:v>73</x:v>
      </x:c>
      <x:c r="M339" s="76" t="str">
        <x:v>Comparative</x:v>
      </x:c>
      <x:c r="N339" s="99" t="str">
        <x:v>Printed amount independently located</x:v>
      </x:c>
      <x:c r="O339" s="99" t="str">
        <x:v>Exact source amount found; audited year/current-comparative column recorded. Accounting subtotal tests performed separately.</x:v>
      </x:c>
      <x:c r="P339" s="99" t="str">
        <x:v>owings 44  (100,102,104)  (828,789,900)
Own shares purchased for cancellation 4.3 &amp; 44  (4,709,365,225)  (413,245,172)
Dividend paid 44  (3,157,674)  (136,289)
Net cash used in financing activities   (4,631,639,217)  (1,447,737,336)
Net increase in cash and cash equivalents    348,053,551   169,111,979 
Cash and cash equivalents at begin</x:v>
      </x:c>
    </x:row>
    <x:row r="340" ht="82" customHeight="1">
      <x:c r="A340" s="168" t="str">
        <x:v>KOHC|div_paid|2025</x:v>
      </x:c>
      <x:c r="B340" s="168" t="str">
        <x:v>KOHC</x:v>
      </x:c>
      <x:c r="C340" s="168" t="str">
        <x:v>FY2025</x:v>
      </x:c>
      <x:c r="D340" s="168" t="str">
        <x:v>Dividends paid</x:v>
      </x:c>
      <x:c r="E340" s="169" t="n">
        <x:v>-3157674</x:v>
      </x:c>
      <x:c r="F340" s="169" t="n">
        <x:v>-3157674</x:v>
      </x:c>
      <x:c r="G340" s="169" t="str">
        <x:v>Rupees</x:v>
      </x:c>
      <x:c r="H340" s="169" t="n">
        <x:f>F340/1000000</x:f>
        <x:v>-3.157674</x:v>
      </x:c>
      <x:c r="I340" s="169" t="n">
        <x:f>KOHC!H124</x:f>
        <x:v>-3.157674</x:v>
      </x:c>
      <x:c r="J340" s="169" t="n">
        <x:f>H340-I340</x:f>
        <x:v>0</x:v>
      </x:c>
      <x:c r="K340" s="168" t="str">
        <x:v>Kohat_Cement_Annual_Report_2025.pdf</x:v>
      </x:c>
      <x:c r="L340" s="168" t="n">
        <x:v>73</x:v>
      </x:c>
      <x:c r="M340" s="168" t="str">
        <x:v>Current year</x:v>
      </x:c>
      <x:c r="N340" s="171" t="str">
        <x:v>Printed amount independently located</x:v>
      </x:c>
      <x:c r="O340" s="171" t="str">
        <x:v>Exact source amount found; audited year/current-comparative column recorded. Accounting subtotal tests performed separately.</x:v>
      </x:c>
      <x:c r="P340" s="171" t="str">
        <x:v>ort term borrowings 44  (100,102,104)  (828,789,900)
Own shares purchased for cancellation 4.3 &amp; 44  (4,709,365,225)  (413,245,172)
Dividend paid 44  (3,157,674)  (136,289)
Net cash used in financing activities   (4,631,639,217)  (1,447,737,336)
Net increase in cash and cash equivalents    348,053,551   169,111,979 
Cash and cash equivalen</x:v>
      </x:c>
    </x:row>
    <x:row r="341" ht="82" customHeight="1">
      <x:c r="A341" s="76" t="str">
        <x:v>LUCK|ppe|2020</x:v>
      </x:c>
      <x:c r="B341" s="76" t="str">
        <x:v>LUCK</x:v>
      </x:c>
      <x:c r="C341" s="76" t="str">
        <x:v>FY2020</x:v>
      </x:c>
      <x:c r="D341" s="76" t="str">
        <x:v>Property, plant and equipment (as presented)</x:v>
      </x:c>
      <x:c r="E341" s="170" t="n">
        <x:v>60247570</x:v>
      </x:c>
      <x:c r="F341" s="170" t="n">
        <x:v>60247570</x:v>
      </x:c>
      <x:c r="G341" s="170" t="str">
        <x:v>PKR '000</x:v>
      </x:c>
      <x:c r="H341" s="170" t="n">
        <x:f>F341/1000</x:f>
        <x:v>60247.57</x:v>
      </x:c>
      <x:c r="I341" s="170" t="n">
        <x:f>LUCK!C20</x:f>
        <x:v>60247.57</x:v>
      </x:c>
      <x:c r="J341" s="170" t="n">
        <x:f>H341-I341</x:f>
        <x:v>0</x:v>
      </x:c>
      <x:c r="K341" s="76" t="str">
        <x:v>2021.pdf</x:v>
      </x:c>
      <x:c r="L341" s="76" t="n">
        <x:v>191</x:v>
      </x:c>
      <x:c r="M341" s="76" t="str">
        <x:v>Comparative</x:v>
      </x:c>
      <x:c r="N341" s="99" t="str">
        <x:v>Printed amount independently located</x:v>
      </x:c>
      <x:c r="O341" s="99" t="str">
        <x:v>Exact source amount found; audited year/current-comparative column recorded. Accounting subtotal tests performed separately.</x:v>
      </x:c>
      <x:c r="P341" s="99" t="str">
        <x:v>ancial Officer
  Note  2021  2020
  (PKR in ‘000’)
ASSETS  
NON-CURRENT ASSETS  
 Fixed assets
 Property
, plant and equipment
 5
  62,389,947 
 60,247,570 
 Intangible assets
 6
  670 
 11,323 
    62,390,617 
 60,258,893 
 Long-term investments
 7
  53,194,485 
  47,144,485 
 Long-term loans and advances
 8
  98,655 
  87,008 
 L</x:v>
      </x:c>
    </x:row>
    <x:row r="342" ht="82" customHeight="1">
      <x:c r="A342" s="168" t="str">
        <x:v>LUCK|ppe|2021</x:v>
      </x:c>
      <x:c r="B342" s="168" t="str">
        <x:v>LUCK</x:v>
      </x:c>
      <x:c r="C342" s="168" t="str">
        <x:v>FY2021</x:v>
      </x:c>
      <x:c r="D342" s="168" t="str">
        <x:v>Property, plant and equipment (as presented)</x:v>
      </x:c>
      <x:c r="E342" s="169" t="n">
        <x:v>62389947</x:v>
      </x:c>
      <x:c r="F342" s="169" t="n">
        <x:v>62389947</x:v>
      </x:c>
      <x:c r="G342" s="169" t="str">
        <x:v>PKR '000</x:v>
      </x:c>
      <x:c r="H342" s="169" t="n">
        <x:f>F342/1000</x:f>
        <x:v>62389.947</x:v>
      </x:c>
      <x:c r="I342" s="169" t="n">
        <x:f>LUCK!D20</x:f>
        <x:v>62389.947</x:v>
      </x:c>
      <x:c r="J342" s="169" t="n">
        <x:f>H342-I342</x:f>
        <x:v>0</x:v>
      </x:c>
      <x:c r="K342" s="168" t="str">
        <x:v>2022.pdf</x:v>
      </x:c>
      <x:c r="L342" s="168" t="n">
        <x:v>226</x:v>
      </x:c>
      <x:c r="M342" s="168" t="str">
        <x:v>Comparative</x:v>
      </x:c>
      <x:c r="N342" s="171" t="str">
        <x:v>Printed amount independently located</x:v>
      </x:c>
      <x:c r="O342" s="171" t="str">
        <x:v>Exact source amount found; audited year/current-comparative column recorded. Accounting subtotal tests performed separately.</x:v>
      </x:c>
      <x:c r="P342" s="171" t="str">
        <x:v>Financial Position
as at June 30, 2022
  Note 2022 2021
   (PKR in ‘000’)
ASSETS 
NON-CURRENT ASSETS 
  Property, plant and equipment 5  82,301,050  62,389,947 
 Intangible assets 6  51,352  670 
     82,352,402  62,390,617 
 Long-term investments 7  57,594,485   53,194,485 
 Long-term loans and advances 8  191,684   98,655 
 Long-term d</x:v>
      </x:c>
    </x:row>
    <x:row r="343" ht="82" customHeight="1">
      <x:c r="A343" s="76" t="str">
        <x:v>LUCK|ppe|2022</x:v>
      </x:c>
      <x:c r="B343" s="76" t="str">
        <x:v>LUCK</x:v>
      </x:c>
      <x:c r="C343" s="76" t="str">
        <x:v>FY2022</x:v>
      </x:c>
      <x:c r="D343" s="76" t="str">
        <x:v>Property, plant and equipment (as presented)</x:v>
      </x:c>
      <x:c r="E343" s="170" t="n">
        <x:v>82301050</x:v>
      </x:c>
      <x:c r="F343" s="170" t="n">
        <x:v>82301050</x:v>
      </x:c>
      <x:c r="G343" s="170" t="str">
        <x:v>PKR '000</x:v>
      </x:c>
      <x:c r="H343" s="170" t="n">
        <x:f>F343/1000</x:f>
        <x:v>82301.05</x:v>
      </x:c>
      <x:c r="I343" s="170" t="n">
        <x:f>LUCK!E20</x:f>
        <x:v>82301.05</x:v>
      </x:c>
      <x:c r="J343" s="170" t="n">
        <x:f>H343-I343</x:f>
        <x:v>0</x:v>
      </x:c>
      <x:c r="K343" s="76" t="str">
        <x:v>2023.pdf</x:v>
      </x:c>
      <x:c r="L343" s="76" t="n">
        <x:v>234</x:v>
      </x:c>
      <x:c r="M343" s="76" t="str">
        <x:v>Comparative</x:v>
      </x:c>
      <x:c r="N343" s="99" t="str">
        <x:v>Printed amount independently located</x:v>
      </x:c>
      <x:c r="O343" s="99" t="str">
        <x:v>Exact source amount found; audited year/current-comparative column recorded. Accounting subtotal tests performed separately.</x:v>
      </x:c>
      <x:c r="P343" s="99" t="str">
        <x:v>ition
as at June 30, 2023
  Note 2023 2022
   (PKR in ‘000’)
ASSETS 
NON-CURRENT ASSETS 
 Fixed assets 
 Property, plant and equipment 5  95,620,306  82,301,050 
 Intangible assets 6  85,588  51,352 
     95,705,894  82,352,402 
 Long-term investments 7  57,594,485   57,594,485 
 Long-term loans and advances 8  194,204   191,684 
 Long-te</x:v>
      </x:c>
    </x:row>
    <x:row r="344" ht="82" customHeight="1">
      <x:c r="A344" s="168" t="str">
        <x:v>LUCK|ppe|2023</x:v>
      </x:c>
      <x:c r="B344" s="168" t="str">
        <x:v>LUCK</x:v>
      </x:c>
      <x:c r="C344" s="168" t="str">
        <x:v>FY2023</x:v>
      </x:c>
      <x:c r="D344" s="168" t="str">
        <x:v>Property, plant and equipment (as presented)</x:v>
      </x:c>
      <x:c r="E344" s="169" t="n">
        <x:v>95620306</x:v>
      </x:c>
      <x:c r="F344" s="169" t="n">
        <x:v>95620306</x:v>
      </x:c>
      <x:c r="G344" s="169" t="str">
        <x:v>PKR '000</x:v>
      </x:c>
      <x:c r="H344" s="169" t="n">
        <x:f>F344/1000</x:f>
        <x:v>95620.306</x:v>
      </x:c>
      <x:c r="I344" s="169" t="n">
        <x:f>LUCK!F20</x:f>
        <x:v>95620.306</x:v>
      </x:c>
      <x:c r="J344" s="169" t="n">
        <x:f>H344-I344</x:f>
        <x:v>0</x:v>
      </x:c>
      <x:c r="K344" s="168" t="str">
        <x:v>2024.pdf</x:v>
      </x:c>
      <x:c r="L344" s="168" t="n">
        <x:v>238</x:v>
      </x:c>
      <x:c r="M344" s="168" t="str">
        <x:v>Comparative</x:v>
      </x:c>
      <x:c r="N344" s="171" t="str">
        <x:v>Printed amount independently located</x:v>
      </x:c>
      <x:c r="O344" s="171" t="str">
        <x:v>Exact source amount found; audited year/current-comparative column recorded. Accounting subtotal tests performed separately.</x:v>
      </x:c>
      <x:c r="P344" s="171" t="str">
        <x:v>t June 30, 2024
  Note  2024  2023
  (PKR in ‘000’)
ASSETS
NON-CURRENT ASSETS
 Fixed assets
 Property, plant and equipment
 5
  107,258,973 
 95,620,306 
 Intangible assets
 6
  69,394 
 85,588 
    107,328,367 
 95,705,894 
 Long-term investments
 7
  58,072,373 
  57,594,485 
 Long-term loans and advances
 8
  157,424 
  194,2</x:v>
      </x:c>
    </x:row>
    <x:row r="345" ht="82" customHeight="1">
      <x:c r="A345" s="76" t="str">
        <x:v>LUCK|ppe|2024</x:v>
      </x:c>
      <x:c r="B345" s="76" t="str">
        <x:v>LUCK</x:v>
      </x:c>
      <x:c r="C345" s="76" t="str">
        <x:v>FY2024</x:v>
      </x:c>
      <x:c r="D345" s="76" t="str">
        <x:v>Property, plant and equipment (as presented)</x:v>
      </x:c>
      <x:c r="E345" s="170" t="n">
        <x:v>107258973</x:v>
      </x:c>
      <x:c r="F345" s="170" t="n">
        <x:v>107258973</x:v>
      </x:c>
      <x:c r="G345" s="170" t="str">
        <x:v>PKR '000</x:v>
      </x:c>
      <x:c r="H345" s="170" t="n">
        <x:f>F345/1000</x:f>
        <x:v>107258.973</x:v>
      </x:c>
      <x:c r="I345" s="170" t="n">
        <x:f>LUCK!G20</x:f>
        <x:v>107258.973</x:v>
      </x:c>
      <x:c r="J345" s="170" t="n">
        <x:f>H345-I345</x:f>
        <x:v>0</x:v>
      </x:c>
      <x:c r="K345" s="76" t="str">
        <x:v>2025.pdf</x:v>
      </x:c>
      <x:c r="L345" s="76" t="n">
        <x:v>240</x:v>
      </x:c>
      <x:c r="M345" s="76" t="str">
        <x:v>Comparative</x:v>
      </x:c>
      <x:c r="N345" s="99" t="str">
        <x:v>Printed amount independently located</x:v>
      </x:c>
      <x:c r="O345" s="99" t="str">
        <x:v>Exact source amount found; audited year/current-comparative column recorded. Accounting subtotal tests performed separately.</x:v>
      </x:c>
      <x:c r="P345" s="99" t="str">
        <x:v>Financial Position
as at June 30, 2025
  Note 2025 2024
   (PKR in ‘000’)
ASSETS 
NON-CURRENT ASSETS 
 Property, plant and equipment 5  107,409,588  107,258,973 
 Intangible assets 6  46,229  69,394 
     107,455,817   107,328,367 
 Long-term investments 7  58,555,707   58,072,373 
 Long-term loans, advances and deposits 8  189,147   165,</x:v>
      </x:c>
    </x:row>
    <x:row r="346" ht="82" customHeight="1">
      <x:c r="A346" s="168" t="str">
        <x:v>LUCK|ppe|2025</x:v>
      </x:c>
      <x:c r="B346" s="168" t="str">
        <x:v>LUCK</x:v>
      </x:c>
      <x:c r="C346" s="168" t="str">
        <x:v>FY2025</x:v>
      </x:c>
      <x:c r="D346" s="168" t="str">
        <x:v>Property, plant and equipment (as presented)</x:v>
      </x:c>
      <x:c r="E346" s="169" t="n">
        <x:v>107409588</x:v>
      </x:c>
      <x:c r="F346" s="169" t="n">
        <x:v>107409588</x:v>
      </x:c>
      <x:c r="G346" s="169" t="str">
        <x:v>PKR '000</x:v>
      </x:c>
      <x:c r="H346" s="169" t="n">
        <x:f>F346/1000</x:f>
        <x:v>107409.588</x:v>
      </x:c>
      <x:c r="I346" s="169" t="n">
        <x:f>LUCK!H20</x:f>
        <x:v>107409.588</x:v>
      </x:c>
      <x:c r="J346" s="169" t="n">
        <x:f>H346-I346</x:f>
        <x:v>0</x:v>
      </x:c>
      <x:c r="K346" s="168" t="str">
        <x:v>2025.pdf</x:v>
      </x:c>
      <x:c r="L346" s="168" t="n">
        <x:v>240</x:v>
      </x:c>
      <x:c r="M346" s="168" t="str">
        <x:v>Current year</x:v>
      </x:c>
      <x:c r="N346" s="171" t="str">
        <x:v>Printed amount independently located</x:v>
      </x:c>
      <x:c r="O346" s="171" t="str">
        <x:v>Exact source amount found; audited year/current-comparative column recorded. Accounting subtotal tests performed separately.</x:v>
      </x:c>
      <x:c r="P346" s="171" t="str">
        <x:v>Statement of 
Financial Position
as at June 30, 2025
  Note 2025 2024
   (PKR in ‘000’)
ASSETS 
NON-CURRENT ASSETS 
 Property, plant and equipment 5  107,409,588  107,258,973 
 Intangible assets 6  46,229  69,394 
     107,455,817   107,328,367 
 Long-term investments 7  58,555,707   58,072,373 
 Long-term loans, advances and deposits 8  1</x:v>
      </x:c>
    </x:row>
    <x:row r="347" ht="82" customHeight="1">
      <x:c r="A347" s="76" t="str">
        <x:v>LUCK|cwip|2020</x:v>
      </x:c>
      <x:c r="B347" s="76" t="str">
        <x:v>LUCK</x:v>
      </x:c>
      <x:c r="C347" s="76" t="str">
        <x:v>FY2020</x:v>
      </x:c>
      <x:c r="D347" s="76" t="str">
        <x:v>of which: capital work-in-progress (note)</x:v>
      </x:c>
      <x:c r="E347" s="170" t="n">
        <x:v>334191</x:v>
      </x:c>
      <x:c r="F347" s="170" t="n">
        <x:v>334191</x:v>
      </x:c>
      <x:c r="G347" s="170" t="str">
        <x:v>PKR '000</x:v>
      </x:c>
      <x:c r="H347" s="170" t="n">
        <x:f>F347/1000</x:f>
        <x:v>334.191</x:v>
      </x:c>
      <x:c r="I347" s="170" t="n">
        <x:f>LUCK!C21</x:f>
        <x:v>334.191</x:v>
      </x:c>
      <x:c r="J347" s="170" t="n">
        <x:f>H347-I347</x:f>
        <x:v>0</x:v>
      </x:c>
      <x:c r="K347" s="76" t="str">
        <x:v>2021.pdf</x:v>
      </x:c>
      <x:c r="L347" s="76" t="n">
        <x:v>202</x:v>
      </x:c>
      <x:c r="M347" s="76" t="str">
        <x:v>Comparative</x:v>
      </x:c>
      <x:c r="N347" s="99" t="str">
        <x:v>Printed amount independently located</x:v>
      </x:c>
      <x:c r="O347" s="99" t="str">
        <x:v>Exact source amount found; audited year/current-comparative column recorded. Accounting subtotal tests performed separately.</x:v>
      </x:c>
      <x:c r="P347" s="99" t="str">
        <x:v>5.
 PROPERTY
, PLANT AND EQUIPMENT
 Operating fixed assets - tangible
 5.1
  58,033,791 
  59,650,770 
 Capital work
-in-progress
 5.5
  4,015,044 
  334,191 
 Capital spares
   341,112 
  262,609 
   62,389,947 
  60,247,570 
217
ANNUAL
REPORT2021
25 YEARS OF EXCELLENCE
COMMITTED TO NATIONAL DEVELOPMENT</x:v>
      </x:c>
    </x:row>
    <x:row r="348" ht="82" customHeight="1">
      <x:c r="A348" s="168" t="str">
        <x:v>LUCK|cwip|2021</x:v>
      </x:c>
      <x:c r="B348" s="168" t="str">
        <x:v>LUCK</x:v>
      </x:c>
      <x:c r="C348" s="168" t="str">
        <x:v>FY2021</x:v>
      </x:c>
      <x:c r="D348" s="168" t="str">
        <x:v>of which: capital work-in-progress (note)</x:v>
      </x:c>
      <x:c r="E348" s="169" t="n">
        <x:v>4015044</x:v>
      </x:c>
      <x:c r="F348" s="169" t="n">
        <x:v>4015044</x:v>
      </x:c>
      <x:c r="G348" s="169" t="str">
        <x:v>PKR '000</x:v>
      </x:c>
      <x:c r="H348" s="169" t="n">
        <x:f>F348/1000</x:f>
        <x:v>4015.044</x:v>
      </x:c>
      <x:c r="I348" s="169" t="n">
        <x:f>LUCK!D21</x:f>
        <x:v>4015.044</x:v>
      </x:c>
      <x:c r="J348" s="169" t="n">
        <x:f>H348-I348</x:f>
        <x:v>0</x:v>
      </x:c>
      <x:c r="K348" s="168" t="str">
        <x:v>2022.pdf</x:v>
      </x:c>
      <x:c r="L348" s="168" t="n">
        <x:v>237</x:v>
      </x:c>
      <x:c r="M348" s="168" t="str">
        <x:v>Comparative</x:v>
      </x:c>
      <x:c r="N348" s="171" t="str">
        <x:v>Printed amount independently located</x:v>
      </x:c>
      <x:c r="O348" s="171" t="str">
        <x:v>Exact source amount found; audited year/current-comparative column recorded. Accounting subtotal tests performed separately.</x:v>
      </x:c>
      <x:c r="P348" s="171" t="str">
        <x:v>5. PROPERTY , PLANT AND EQUIPMENT
 Operating fixed assets - tangible 5.1  59,972,785   58,033,791 
 Capital work-in-progress 5.5  21,911,214   4,015,044 
 Capital spares   417,051   341,112 
    82,301,050   62,389,947 
235</x:v>
      </x:c>
    </x:row>
    <x:row r="349" ht="82" customHeight="1">
      <x:c r="A349" s="76" t="str">
        <x:v>LUCK|cwip|2022</x:v>
      </x:c>
      <x:c r="B349" s="76" t="str">
        <x:v>LUCK</x:v>
      </x:c>
      <x:c r="C349" s="76" t="str">
        <x:v>FY2022</x:v>
      </x:c>
      <x:c r="D349" s="76" t="str">
        <x:v>of which: capital work-in-progress (note)</x:v>
      </x:c>
      <x:c r="E349" s="170" t="n">
        <x:v>21911214</x:v>
      </x:c>
      <x:c r="F349" s="170" t="n">
        <x:v>21911214</x:v>
      </x:c>
      <x:c r="G349" s="170" t="str">
        <x:v>PKR '000</x:v>
      </x:c>
      <x:c r="H349" s="170" t="n">
        <x:f>F349/1000</x:f>
        <x:v>21911.214</x:v>
      </x:c>
      <x:c r="I349" s="170" t="n">
        <x:f>LUCK!E21</x:f>
        <x:v>21911.214</x:v>
      </x:c>
      <x:c r="J349" s="170" t="n">
        <x:f>H349-I349</x:f>
        <x:v>0</x:v>
      </x:c>
      <x:c r="K349" s="76" t="str">
        <x:v>2023.pdf</x:v>
      </x:c>
      <x:c r="L349" s="76" t="n">
        <x:v>245</x:v>
      </x:c>
      <x:c r="M349" s="76" t="str">
        <x:v>Comparative</x:v>
      </x:c>
      <x:c r="N349" s="99" t="str">
        <x:v>Printed amount independently located</x:v>
      </x:c>
      <x:c r="O349" s="99" t="str">
        <x:v>Exact source amount found; audited year/current-comparative column recorded. Accounting subtotal tests performed separately.</x:v>
      </x:c>
      <x:c r="P349" s="99" t="str">
        <x:v>’)
5. PROPERTY, PLANT AND EQUIPMENT
 Operating fixed assets - tangible 5.1  89,745,225   59,972,785 
 Capital work-in-progress 5.5  5,562,145   21,911,214 
 Capital spares   312,936   417,051 
    95,620,306   82,301,050
243</x:v>
      </x:c>
    </x:row>
    <x:row r="350" ht="82" customHeight="1">
      <x:c r="A350" s="168" t="str">
        <x:v>LUCK|cwip|2023</x:v>
      </x:c>
      <x:c r="B350" s="168" t="str">
        <x:v>LUCK</x:v>
      </x:c>
      <x:c r="C350" s="168" t="str">
        <x:v>FY2023</x:v>
      </x:c>
      <x:c r="D350" s="168" t="str">
        <x:v>of which: capital work-in-progress (note)</x:v>
      </x:c>
      <x:c r="E350" s="169" t="n">
        <x:v>5562145</x:v>
      </x:c>
      <x:c r="F350" s="169" t="n">
        <x:v>5562145</x:v>
      </x:c>
      <x:c r="G350" s="169" t="str">
        <x:v>PKR '000</x:v>
      </x:c>
      <x:c r="H350" s="169" t="n">
        <x:f>F350/1000</x:f>
        <x:v>5562.145</x:v>
      </x:c>
      <x:c r="I350" s="169" t="n">
        <x:f>LUCK!F21</x:f>
        <x:v>5562.145</x:v>
      </x:c>
      <x:c r="J350" s="169" t="n">
        <x:f>H350-I350</x:f>
        <x:v>0</x:v>
      </x:c>
      <x:c r="K350" s="168" t="str">
        <x:v>2024.pdf</x:v>
      </x:c>
      <x:c r="L350" s="168" t="n">
        <x:v>250</x:v>
      </x:c>
      <x:c r="M350" s="168" t="str">
        <x:v>Comparative</x:v>
      </x:c>
      <x:c r="N350" s="171" t="str">
        <x:v>Printed amount independently located</x:v>
      </x:c>
      <x:c r="O350" s="171" t="str">
        <x:v>Exact source amount found; audited year/current-comparative column recorded. Accounting subtotal tests performed separately.</x:v>
      </x:c>
      <x:c r="P350" s="171" t="str">
        <x:v>PROPERTY, PLANT AND EQUIPMENT
 Operating fixed assets - tangible
 5.1
  95,010,370 
  89,745,225 
 Capital work-in-progress
 5.5
  11,633,303 
  5,562,145 
 Capital spares
   615,300 
  312,936 
   107,258,973 
  95,620,306 
248</x:v>
      </x:c>
    </x:row>
    <x:row r="351" ht="82" customHeight="1">
      <x:c r="A351" s="76" t="str">
        <x:v>LUCK|cwip|2024</x:v>
      </x:c>
      <x:c r="B351" s="76" t="str">
        <x:v>LUCK</x:v>
      </x:c>
      <x:c r="C351" s="76" t="str">
        <x:v>FY2024</x:v>
      </x:c>
      <x:c r="D351" s="76" t="str">
        <x:v>of which: capital work-in-progress (note)</x:v>
      </x:c>
      <x:c r="E351" s="170" t="n">
        <x:v>11633303</x:v>
      </x:c>
      <x:c r="F351" s="170" t="n">
        <x:v>11633303</x:v>
      </x:c>
      <x:c r="G351" s="170" t="str">
        <x:v>PKR '000</x:v>
      </x:c>
      <x:c r="H351" s="170" t="n">
        <x:f>F351/1000</x:f>
        <x:v>11633.303</x:v>
      </x:c>
      <x:c r="I351" s="170" t="n">
        <x:f>LUCK!G21</x:f>
        <x:v>11633.303</x:v>
      </x:c>
      <x:c r="J351" s="170" t="n">
        <x:f>H351-I351</x:f>
        <x:v>0</x:v>
      </x:c>
      <x:c r="K351" s="76" t="str">
        <x:v>2025.pdf</x:v>
      </x:c>
      <x:c r="L351" s="76" t="n">
        <x:v>252</x:v>
      </x:c>
      <x:c r="M351" s="76" t="str">
        <x:v>Comparative</x:v>
      </x:c>
      <x:c r="N351" s="99" t="str">
        <x:v>Printed amount independently located</x:v>
      </x:c>
      <x:c r="O351" s="99" t="str">
        <x:v>Exact source amount found; audited year/current-comparative column recorded. Accounting subtotal tests performed separately.</x:v>
      </x:c>
      <x:c r="P351" s="99" t="str">
        <x:v>(PKR in ‘000’)
5. PROPERTY, PLANT AND EQUIPMENT
 Operating fixed assets 5.1  100,883,552   95,010,370 
 Capital work-in-progress 5.5  5,420,742   11,633,303 
 Capital spares   1,105,294   615,300 
      107,409,588   107,258,973      
250
ANNUAL
REPORT 2025</x:v>
      </x:c>
    </x:row>
    <x:row r="352" ht="82" customHeight="1">
      <x:c r="A352" s="168" t="str">
        <x:v>LUCK|cwip|2025</x:v>
      </x:c>
      <x:c r="B352" s="168" t="str">
        <x:v>LUCK</x:v>
      </x:c>
      <x:c r="C352" s="168" t="str">
        <x:v>FY2025</x:v>
      </x:c>
      <x:c r="D352" s="168" t="str">
        <x:v>of which: capital work-in-progress (note)</x:v>
      </x:c>
      <x:c r="E352" s="169" t="n">
        <x:v>5420742</x:v>
      </x:c>
      <x:c r="F352" s="169" t="n">
        <x:v>5420742</x:v>
      </x:c>
      <x:c r="G352" s="169" t="str">
        <x:v>PKR '000</x:v>
      </x:c>
      <x:c r="H352" s="169" t="n">
        <x:f>F352/1000</x:f>
        <x:v>5420.742</x:v>
      </x:c>
      <x:c r="I352" s="169" t="n">
        <x:f>LUCK!H21</x:f>
        <x:v>5420.742</x:v>
      </x:c>
      <x:c r="J352" s="169" t="n">
        <x:f>H352-I352</x:f>
        <x:v>0</x:v>
      </x:c>
      <x:c r="K352" s="168" t="str">
        <x:v>2025.pdf</x:v>
      </x:c>
      <x:c r="L352" s="168" t="n">
        <x:v>252</x:v>
      </x:c>
      <x:c r="M352" s="168" t="str">
        <x:v>Current year</x:v>
      </x:c>
      <x:c r="N352" s="171" t="str">
        <x:v>Printed amount independently located</x:v>
      </x:c>
      <x:c r="O352" s="171" t="str">
        <x:v>Exact source amount found; audited year/current-comparative column recorded. Accounting subtotal tests performed separately.</x:v>
      </x:c>
      <x:c r="P352" s="171" t="str">
        <x:v>te 2025 2024
   (PKR in ‘000’)
5. PROPERTY, PLANT AND EQUIPMENT
 Operating fixed assets 5.1  100,883,552   95,010,370 
 Capital work-in-progress 5.5  5,420,742   11,633,303 
 Capital spares   1,105,294   615,300 
      107,409,588   107,258,973      
250
ANNUAL
REPORT 2025</x:v>
      </x:c>
    </x:row>
    <x:row r="353" ht="82" customHeight="1">
      <x:c r="A353" s="76" t="str">
        <x:v>LUCK|rou|2020</x:v>
      </x:c>
      <x:c r="B353" s="76" t="str">
        <x:v>LUCK</x:v>
      </x:c>
      <x:c r="C353" s="76" t="str">
        <x:v>FY2020</x:v>
      </x:c>
      <x:c r="D353" s="76" t="str">
        <x:v>Right-of-use assets (presented separately)</x:v>
      </x:c>
      <x:c r="E353" s="170" t="n">
        <x:v>0</x:v>
      </x:c>
      <x:c r="F353" s="170" t="n">
        <x:v>0</x:v>
      </x:c>
      <x:c r="G353" s="170" t="str">
        <x:v>PKR '000</x:v>
      </x:c>
      <x:c r="H353" s="170" t="n">
        <x:f>F353/1000</x:f>
        <x:v>0</x:v>
      </x:c>
      <x:c r="I353" s="170" t="n">
        <x:f>LUCK!C23</x:f>
        <x:v>0</x:v>
      </x:c>
      <x:c r="J353" s="170" t="n">
        <x:f>H353-I353</x:f>
        <x:v>0</x:v>
      </x:c>
      <x:c r="K353" s="76" t="str">
        <x:v>2021.pdf</x:v>
      </x:c>
      <x:c r="L353" s="76" t="n">
        <x:v>191</x:v>
      </x:c>
      <x:c r="M353" s="76" t="str">
        <x:v>Comparative</x:v>
      </x:c>
      <x:c r="N353" s="99" t="str">
        <x:v>Zero / no separate line in audited presentation</x:v>
      </x:c>
      <x:c r="O353" s="99" t="str">
        <x:v>Zero classification checked within the audited statement/note and reconstructed statement totals; absence of a separate line does not imply a missing replacement estimate.</x:v>
      </x:c>
      <x:c r="P353" s="99" t="str">
        <x:v>
206
STRENGTHENING
PAKISTAN
UNCONSOLIDATED STATEMENT 
OF FINANCIAL POSITION
as at June 30, 2021
Muhammad Ali Tabba
Chief Executive
Muhammad Yunus Tabb | Right-of-use assets (presented separately)</x:v>
      </x:c>
    </x:row>
    <x:row r="354" ht="82" customHeight="1">
      <x:c r="A354" s="168" t="str">
        <x:v>LUCK|rou|2021</x:v>
      </x:c>
      <x:c r="B354" s="168" t="str">
        <x:v>LUCK</x:v>
      </x:c>
      <x:c r="C354" s="168" t="str">
        <x:v>FY2021</x:v>
      </x:c>
      <x:c r="D354" s="168" t="str">
        <x:v>Right-of-use assets (presented separately)</x:v>
      </x:c>
      <x:c r="E354" s="169" t="n">
        <x:v>0</x:v>
      </x:c>
      <x:c r="F354" s="169" t="n">
        <x:v>0</x:v>
      </x:c>
      <x:c r="G354" s="169" t="str">
        <x:v>PKR '000</x:v>
      </x:c>
      <x:c r="H354" s="169" t="n">
        <x:f>F354/1000</x:f>
        <x:v>0</x:v>
      </x:c>
      <x:c r="I354" s="169" t="n">
        <x:f>LUCK!D23</x:f>
        <x:v>0</x:v>
      </x:c>
      <x:c r="J354" s="169" t="n">
        <x:f>H354-I354</x:f>
        <x:v>0</x:v>
      </x:c>
      <x:c r="K354" s="168" t="str">
        <x:v>2022.pdf</x:v>
      </x:c>
      <x:c r="L354" s="168" t="n">
        <x:v>226</x:v>
      </x:c>
      <x:c r="M354" s="168" t="str">
        <x:v>Comparative</x:v>
      </x:c>
      <x:c r="N354" s="171" t="str">
        <x:v>Zero / no separate line in audited presentation</x:v>
      </x:c>
      <x:c r="O354" s="171" t="str">
        <x:v>Zero classification checked within the audited statement/note and reconstructed statement totals; absence of a separate line does not imply a missing replacement estimate.</x:v>
      </x:c>
      <x:c r="P354" s="171" t="str">
        <x:v>
Unconsolidated Statement of 
Financial Position
as at June 30, 2022
  Note 2022 2021
   (PKR in ‘000’)
ASSETS 
NON-CURRENT ASSETS 
  Property, plant  | Right-of-use assets (presented separately)</x:v>
      </x:c>
    </x:row>
    <x:row r="355" ht="82" customHeight="1">
      <x:c r="A355" s="76" t="str">
        <x:v>LUCK|rou|2022</x:v>
      </x:c>
      <x:c r="B355" s="76" t="str">
        <x:v>LUCK</x:v>
      </x:c>
      <x:c r="C355" s="76" t="str">
        <x:v>FY2022</x:v>
      </x:c>
      <x:c r="D355" s="76" t="str">
        <x:v>Right-of-use assets (presented separately)</x:v>
      </x:c>
      <x:c r="E355" s="170" t="n">
        <x:v>0</x:v>
      </x:c>
      <x:c r="F355" s="170" t="n">
        <x:v>0</x:v>
      </x:c>
      <x:c r="G355" s="170" t="str">
        <x:v>PKR '000</x:v>
      </x:c>
      <x:c r="H355" s="170" t="n">
        <x:f>F355/1000</x:f>
        <x:v>0</x:v>
      </x:c>
      <x:c r="I355" s="170" t="n">
        <x:f>LUCK!E23</x:f>
        <x:v>0</x:v>
      </x:c>
      <x:c r="J355" s="170" t="n">
        <x:f>H355-I355</x:f>
        <x:v>0</x:v>
      </x:c>
      <x:c r="K355" s="76" t="str">
        <x:v>2023.pdf</x:v>
      </x:c>
      <x:c r="L355" s="76" t="n">
        <x:v>234</x:v>
      </x:c>
      <x:c r="M355" s="76" t="str">
        <x:v>Comparative</x:v>
      </x:c>
      <x:c r="N355" s="99" t="str">
        <x:v>Zero / no separate line in audited presentation</x:v>
      </x:c>
      <x:c r="O355" s="99" t="str">
        <x:v>Zero classification checked within the audited statement/note and reconstructed statement totals; absence of a separate line does not imply a missing replacement estimate.</x:v>
      </x:c>
      <x:c r="P355" s="99" t="str">
        <x:v>
Unconsolidated Statement of 
Financial Position
as at June 30, 2023
  Note 2023 2022
   (PKR in ‘000’)
ASSETS 
NON-CURRENT ASSETS 
 Fixed assets 
 Pr | Right-of-use assets (presented separately)</x:v>
      </x:c>
    </x:row>
    <x:row r="356" ht="82" customHeight="1">
      <x:c r="A356" s="168" t="str">
        <x:v>LUCK|rou|2023</x:v>
      </x:c>
      <x:c r="B356" s="168" t="str">
        <x:v>LUCK</x:v>
      </x:c>
      <x:c r="C356" s="168" t="str">
        <x:v>FY2023</x:v>
      </x:c>
      <x:c r="D356" s="168" t="str">
        <x:v>Right-of-use assets (presented separately)</x:v>
      </x:c>
      <x:c r="E356" s="169" t="n">
        <x:v>0</x:v>
      </x:c>
      <x:c r="F356" s="169" t="n">
        <x:v>0</x:v>
      </x:c>
      <x:c r="G356" s="169" t="str">
        <x:v>PKR '000</x:v>
      </x:c>
      <x:c r="H356" s="169" t="n">
        <x:f>F356/1000</x:f>
        <x:v>0</x:v>
      </x:c>
      <x:c r="I356" s="169" t="n">
        <x:f>LUCK!F23</x:f>
        <x:v>0</x:v>
      </x:c>
      <x:c r="J356" s="169" t="n">
        <x:f>H356-I356</x:f>
        <x:v>0</x:v>
      </x:c>
      <x:c r="K356" s="168" t="str">
        <x:v>2024.pdf</x:v>
      </x:c>
      <x:c r="L356" s="168" t="n">
        <x:v>238</x:v>
      </x:c>
      <x:c r="M356" s="168" t="str">
        <x:v>Comparative</x:v>
      </x:c>
      <x:c r="N356" s="171" t="str">
        <x:v>Zero / no separate line in audited presentation</x:v>
      </x:c>
      <x:c r="O356" s="171" t="str">
        <x:v>Zero classification checked within the audited statement/note and reconstructed statement totals; absence of a separate line does not imply a missing replacement estimate.</x:v>
      </x:c>
      <x:c r="P356" s="171" t="str">
        <x:v>
Unconsolidated Statement of 
Financial Position
as at June 30, 2024
  Note  2024  2023
  (PKR in ‘000’)
ASSETS
NON-CURRENT ASSETS
 Fixed assets | Right-of-use assets (presented separately)</x:v>
      </x:c>
    </x:row>
    <x:row r="357" ht="82" customHeight="1">
      <x:c r="A357" s="76" t="str">
        <x:v>LUCK|rou|2024</x:v>
      </x:c>
      <x:c r="B357" s="76" t="str">
        <x:v>LUCK</x:v>
      </x:c>
      <x:c r="C357" s="76" t="str">
        <x:v>FY2024</x:v>
      </x:c>
      <x:c r="D357" s="76" t="str">
        <x:v>Right-of-use assets (presented separately)</x:v>
      </x:c>
      <x:c r="E357" s="170" t="n">
        <x:v>0</x:v>
      </x:c>
      <x:c r="F357" s="170" t="n">
        <x:v>0</x:v>
      </x:c>
      <x:c r="G357" s="170" t="str">
        <x:v>PKR '000</x:v>
      </x:c>
      <x:c r="H357" s="170" t="n">
        <x:f>F357/1000</x:f>
        <x:v>0</x:v>
      </x:c>
      <x:c r="I357" s="170" t="n">
        <x:f>LUCK!G23</x:f>
        <x:v>0</x:v>
      </x:c>
      <x:c r="J357" s="170" t="n">
        <x:f>H357-I357</x:f>
        <x:v>0</x:v>
      </x:c>
      <x:c r="K357" s="76" t="str">
        <x:v>2025.pdf</x:v>
      </x:c>
      <x:c r="L357" s="76" t="n">
        <x:v>240</x:v>
      </x:c>
      <x:c r="M357" s="76" t="str">
        <x:v>Comparative</x:v>
      </x:c>
      <x:c r="N357" s="99" t="str">
        <x:v>Zero / no separate line in audited presentation</x:v>
      </x:c>
      <x:c r="O357" s="99" t="str">
        <x:v>Zero classification checked within the audited statement/note and reconstructed statement totals; absence of a separate line does not imply a missing replacement estimate.</x:v>
      </x:c>
      <x:c r="P357" s="99" t="str">
        <x:v>
Unconsolidated Statement of 
Financial Position
as at June 30, 2025
  Note 2025 2024
   (PKR in ‘000’)
ASSETS 
NON-CURRENT ASSETS 
 Property, plant a | Right-of-use assets (presented separately)</x:v>
      </x:c>
    </x:row>
    <x:row r="358" ht="82" customHeight="1">
      <x:c r="A358" s="168" t="str">
        <x:v>LUCK|rou|2025</x:v>
      </x:c>
      <x:c r="B358" s="168" t="str">
        <x:v>LUCK</x:v>
      </x:c>
      <x:c r="C358" s="168" t="str">
        <x:v>FY2025</x:v>
      </x:c>
      <x:c r="D358" s="168" t="str">
        <x:v>Right-of-use assets (presented separately)</x:v>
      </x:c>
      <x:c r="E358" s="169" t="n">
        <x:v>0</x:v>
      </x:c>
      <x:c r="F358" s="169" t="n">
        <x:v>0</x:v>
      </x:c>
      <x:c r="G358" s="169" t="str">
        <x:v>PKR '000</x:v>
      </x:c>
      <x:c r="H358" s="169" t="n">
        <x:f>F358/1000</x:f>
        <x:v>0</x:v>
      </x:c>
      <x:c r="I358" s="169" t="n">
        <x:f>LUCK!H23</x:f>
        <x:v>0</x:v>
      </x:c>
      <x:c r="J358" s="169" t="n">
        <x:f>H358-I358</x:f>
        <x:v>0</x:v>
      </x:c>
      <x:c r="K358" s="168" t="str">
        <x:v>2025.pdf</x:v>
      </x:c>
      <x:c r="L358" s="168" t="n">
        <x:v>240</x:v>
      </x:c>
      <x:c r="M358" s="168" t="str">
        <x:v>Current year</x:v>
      </x:c>
      <x:c r="N358" s="171" t="str">
        <x:v>Zero / no separate line in audited presentation</x:v>
      </x:c>
      <x:c r="O358" s="171" t="str">
        <x:v>Zero classification checked within the audited statement/note and reconstructed statement totals; absence of a separate line does not imply a missing replacement estimate.</x:v>
      </x:c>
      <x:c r="P358" s="171" t="str">
        <x:v>
Unconsolidated Statement of 
Financial Position
as at June 30, 2025
  Note 2025 2024
   (PKR in ‘000’)
ASSETS 
NON-CURRENT ASSETS 
 Property, plant a | Right-of-use assets (presented separately)</x:v>
      </x:c>
    </x:row>
    <x:row r="359" ht="82" customHeight="1">
      <x:c r="A359" s="76" t="str">
        <x:v>LUCK|intang|2020</x:v>
      </x:c>
      <x:c r="B359" s="76" t="str">
        <x:v>LUCK</x:v>
      </x:c>
      <x:c r="C359" s="76" t="str">
        <x:v>FY2020</x:v>
      </x:c>
      <x:c r="D359" s="76" t="str">
        <x:v>Intangible assets</x:v>
      </x:c>
      <x:c r="E359" s="170" t="n">
        <x:v>11323</x:v>
      </x:c>
      <x:c r="F359" s="170" t="n">
        <x:v>11323</x:v>
      </x:c>
      <x:c r="G359" s="170" t="str">
        <x:v>PKR '000</x:v>
      </x:c>
      <x:c r="H359" s="170" t="n">
        <x:f>F359/1000</x:f>
        <x:v>11.323</x:v>
      </x:c>
      <x:c r="I359" s="170" t="n">
        <x:f>LUCK!C24</x:f>
        <x:v>11.323</x:v>
      </x:c>
      <x:c r="J359" s="170" t="n">
        <x:f>H359-I359</x:f>
        <x:v>0</x:v>
      </x:c>
      <x:c r="K359" s="76" t="str">
        <x:v>2021.pdf</x:v>
      </x:c>
      <x:c r="L359" s="76" t="n">
        <x:v>191</x:v>
      </x:c>
      <x:c r="M359" s="76" t="str">
        <x:v>Comparative</x:v>
      </x:c>
      <x:c r="N359" s="99" t="str">
        <x:v>Printed amount independently located</x:v>
      </x:c>
      <x:c r="O359" s="99" t="str">
        <x:v>Exact source amount found; audited year/current-comparative column recorded. Accounting subtotal tests performed separately.</x:v>
      </x:c>
      <x:c r="P359" s="99" t="str">
        <x:v>in ‘000’)
ASSETS  
NON-CURRENT ASSETS  
 Fixed assets
 Property
, plant and equipment
 5
  62,389,947 
 60,247,570 
 Intangible assets
 6
  670 
 11,323 
    62,390,617 
 60,258,893 
 Long-term investments
 7
  53,194,485 
  47,144,485 
 Long-term loans and advances
 8
  98,655 
  87,008 
 Long-term deposits
 9
  7,937 
 3,175</x:v>
      </x:c>
    </x:row>
    <x:row r="360" ht="82" customHeight="1">
      <x:c r="A360" s="168" t="str">
        <x:v>LUCK|intang|2021</x:v>
      </x:c>
      <x:c r="B360" s="168" t="str">
        <x:v>LUCK</x:v>
      </x:c>
      <x:c r="C360" s="168" t="str">
        <x:v>FY2021</x:v>
      </x:c>
      <x:c r="D360" s="168" t="str">
        <x:v>Intangible assets</x:v>
      </x:c>
      <x:c r="E360" s="169" t="n">
        <x:v>670</x:v>
      </x:c>
      <x:c r="F360" s="169" t="n">
        <x:v>670</x:v>
      </x:c>
      <x:c r="G360" s="169" t="str">
        <x:v>PKR '000</x:v>
      </x:c>
      <x:c r="H360" s="169" t="n">
        <x:f>F360/1000</x:f>
        <x:v>0.67</x:v>
      </x:c>
      <x:c r="I360" s="169" t="n">
        <x:f>LUCK!D24</x:f>
        <x:v>0.67</x:v>
      </x:c>
      <x:c r="J360" s="169" t="n">
        <x:f>H360-I360</x:f>
        <x:v>0</x:v>
      </x:c>
      <x:c r="K360" s="168" t="str">
        <x:v>2022.pdf</x:v>
      </x:c>
      <x:c r="L360" s="168" t="n">
        <x:v>226</x:v>
      </x:c>
      <x:c r="M360" s="168" t="str">
        <x:v>Comparative</x:v>
      </x:c>
      <x:c r="N360" s="171" t="str">
        <x:v>Printed amount independently located</x:v>
      </x:c>
      <x:c r="O360" s="171" t="str">
        <x:v>Exact source amount found; audited year/current-comparative column recorded. Accounting subtotal tests performed separately.</x:v>
      </x:c>
      <x:c r="P360" s="171" t="str">
        <x:v>Note 2022 2021
   (PKR in ‘000’)
ASSETS 
NON-CURRENT ASSETS 
  Property, plant and equipment 5  82,301,050  62,389,947 
 Intangible assets 6  51,352  670 
     82,352,402  62,390,617 
 Long-term investments 7  57,594,485   53,194,485 
 Long-term loans and advances 8  191,684   98,655 
 Long-term deposits 9  8,106  7,937 
     140,1</x:v>
      </x:c>
    </x:row>
    <x:row r="361" ht="82" customHeight="1">
      <x:c r="A361" s="76" t="str">
        <x:v>LUCK|intang|2022</x:v>
      </x:c>
      <x:c r="B361" s="76" t="str">
        <x:v>LUCK</x:v>
      </x:c>
      <x:c r="C361" s="76" t="str">
        <x:v>FY2022</x:v>
      </x:c>
      <x:c r="D361" s="76" t="str">
        <x:v>Intangible assets</x:v>
      </x:c>
      <x:c r="E361" s="170" t="n">
        <x:v>51352</x:v>
      </x:c>
      <x:c r="F361" s="170" t="n">
        <x:v>51352</x:v>
      </x:c>
      <x:c r="G361" s="170" t="str">
        <x:v>PKR '000</x:v>
      </x:c>
      <x:c r="H361" s="170" t="n">
        <x:f>F361/1000</x:f>
        <x:v>51.352</x:v>
      </x:c>
      <x:c r="I361" s="170" t="n">
        <x:f>LUCK!E24</x:f>
        <x:v>51.352</x:v>
      </x:c>
      <x:c r="J361" s="170" t="n">
        <x:f>H361-I361</x:f>
        <x:v>0</x:v>
      </x:c>
      <x:c r="K361" s="76" t="str">
        <x:v>2023.pdf</x:v>
      </x:c>
      <x:c r="L361" s="76" t="n">
        <x:v>234</x:v>
      </x:c>
      <x:c r="M361" s="76" t="str">
        <x:v>Comparative</x:v>
      </x:c>
      <x:c r="N361" s="99" t="str">
        <x:v>Printed amount independently located</x:v>
      </x:c>
      <x:c r="O361" s="99" t="str">
        <x:v>Exact source amount found; audited year/current-comparative column recorded. Accounting subtotal tests performed separately.</x:v>
      </x:c>
      <x:c r="P361" s="99" t="str">
        <x:v>(PKR in ‘000’)
ASSETS 
NON-CURRENT ASSETS 
 Fixed assets 
 Property, plant and equipment 5  95,620,306  82,301,050 
 Intangible assets 6  85,588  51,352 
     95,705,894  82,352,402 
 Long-term investments 7  57,594,485   57,594,485 
 Long-term loans and advances 8  194,204   191,684 
 Long-term deposits 9  7,842  8,106 
     153,</x:v>
      </x:c>
    </x:row>
    <x:row r="362" ht="82" customHeight="1">
      <x:c r="A362" s="168" t="str">
        <x:v>LUCK|intang|2023</x:v>
      </x:c>
      <x:c r="B362" s="168" t="str">
        <x:v>LUCK</x:v>
      </x:c>
      <x:c r="C362" s="168" t="str">
        <x:v>FY2023</x:v>
      </x:c>
      <x:c r="D362" s="168" t="str">
        <x:v>Intangible assets</x:v>
      </x:c>
      <x:c r="E362" s="169" t="n">
        <x:v>85588</x:v>
      </x:c>
      <x:c r="F362" s="169" t="n">
        <x:v>85588</x:v>
      </x:c>
      <x:c r="G362" s="169" t="str">
        <x:v>PKR '000</x:v>
      </x:c>
      <x:c r="H362" s="169" t="n">
        <x:f>F362/1000</x:f>
        <x:v>85.588</x:v>
      </x:c>
      <x:c r="I362" s="169" t="n">
        <x:f>LUCK!F24</x:f>
        <x:v>85.588</x:v>
      </x:c>
      <x:c r="J362" s="169" t="n">
        <x:f>H362-I362</x:f>
        <x:v>0</x:v>
      </x:c>
      <x:c r="K362" s="168" t="str">
        <x:v>2024.pdf</x:v>
      </x:c>
      <x:c r="L362" s="168" t="n">
        <x:v>238</x:v>
      </x:c>
      <x:c r="M362" s="168" t="str">
        <x:v>Comparative</x:v>
      </x:c>
      <x:c r="N362" s="171" t="str">
        <x:v>Printed amount independently located</x:v>
      </x:c>
      <x:c r="O362" s="171" t="str">
        <x:v>Exact source amount found; audited year/current-comparative column recorded. Accounting subtotal tests performed separately.</x:v>
      </x:c>
      <x:c r="P362" s="171" t="str">
        <x:v>n ‘000’)
ASSETS
NON-CURRENT ASSETS
 Fixed assets
 Property, plant and equipment
 5
  107,258,973 
 95,620,306 
 Intangible assets
 6
  69,394 
 85,588 
    107,328,367 
 95,705,894 
 Long-term investments
 7
  58,072,373 
  57,594,485 
 Long-term loans and advances
 8
  157,424 
  194,204 
 Long-term deposits
 9
  7,842 
 7,84</x:v>
      </x:c>
    </x:row>
    <x:row r="363" ht="82" customHeight="1">
      <x:c r="A363" s="76" t="str">
        <x:v>LUCK|intang|2024</x:v>
      </x:c>
      <x:c r="B363" s="76" t="str">
        <x:v>LUCK</x:v>
      </x:c>
      <x:c r="C363" s="76" t="str">
        <x:v>FY2024</x:v>
      </x:c>
      <x:c r="D363" s="76" t="str">
        <x:v>Intangible assets</x:v>
      </x:c>
      <x:c r="E363" s="170" t="n">
        <x:v>69394</x:v>
      </x:c>
      <x:c r="F363" s="170" t="n">
        <x:v>69394</x:v>
      </x:c>
      <x:c r="G363" s="170" t="str">
        <x:v>PKR '000</x:v>
      </x:c>
      <x:c r="H363" s="170" t="n">
        <x:f>F363/1000</x:f>
        <x:v>69.394</x:v>
      </x:c>
      <x:c r="I363" s="170" t="n">
        <x:f>LUCK!G24</x:f>
        <x:v>69.394</x:v>
      </x:c>
      <x:c r="J363" s="170" t="n">
        <x:f>H363-I363</x:f>
        <x:v>0</x:v>
      </x:c>
      <x:c r="K363" s="76" t="str">
        <x:v>2025.pdf</x:v>
      </x:c>
      <x:c r="L363" s="76" t="n">
        <x:v>240</x:v>
      </x:c>
      <x:c r="M363" s="76" t="str">
        <x:v>Comparative</x:v>
      </x:c>
      <x:c r="N363" s="99" t="str">
        <x:v>Printed amount independently located</x:v>
      </x:c>
      <x:c r="O363" s="99" t="str">
        <x:v>Exact source amount found; audited year/current-comparative column recorded. Accounting subtotal tests performed separately.</x:v>
      </x:c>
      <x:c r="P363" s="99" t="str">
        <x:v>ote 2025 2024
   (PKR in ‘000’)
ASSETS 
NON-CURRENT ASSETS 
 Property, plant and equipment 5  107,409,588  107,258,973 
 Intangible assets 6  46,229  69,394 
     107,455,817   107,328,367 
 Long-term investments 7  58,555,707   58,072,373 
 Long-term loans, advances and deposits 8  189,147   165,266 
     166,200,671   165,566,006 
C</x:v>
      </x:c>
    </x:row>
    <x:row r="364" ht="82" customHeight="1">
      <x:c r="A364" s="168" t="str">
        <x:v>LUCK|intang|2025</x:v>
      </x:c>
      <x:c r="B364" s="168" t="str">
        <x:v>LUCK</x:v>
      </x:c>
      <x:c r="C364" s="168" t="str">
        <x:v>FY2025</x:v>
      </x:c>
      <x:c r="D364" s="168" t="str">
        <x:v>Intangible assets</x:v>
      </x:c>
      <x:c r="E364" s="169" t="n">
        <x:v>46229</x:v>
      </x:c>
      <x:c r="F364" s="169" t="n">
        <x:v>46229</x:v>
      </x:c>
      <x:c r="G364" s="169" t="str">
        <x:v>PKR '000</x:v>
      </x:c>
      <x:c r="H364" s="169" t="n">
        <x:f>F364/1000</x:f>
        <x:v>46.229</x:v>
      </x:c>
      <x:c r="I364" s="169" t="n">
        <x:f>LUCK!H24</x:f>
        <x:v>46.229</x:v>
      </x:c>
      <x:c r="J364" s="169" t="n">
        <x:f>H364-I364</x:f>
        <x:v>0</x:v>
      </x:c>
      <x:c r="K364" s="168" t="str">
        <x:v>2025.pdf</x:v>
      </x:c>
      <x:c r="L364" s="168" t="n">
        <x:v>240</x:v>
      </x:c>
      <x:c r="M364" s="168" t="str">
        <x:v>Current year</x:v>
      </x:c>
      <x:c r="N364" s="171" t="str">
        <x:v>Printed amount independently located</x:v>
      </x:c>
      <x:c r="O364" s="171" t="str">
        <x:v>Exact source amount found; audited year/current-comparative column recorded. Accounting subtotal tests performed separately.</x:v>
      </x:c>
      <x:c r="P364" s="171" t="str">
        <x:v>2025
  Note 2025 2024
   (PKR in ‘000’)
ASSETS 
NON-CURRENT ASSETS 
 Property, plant and equipment 5  107,409,588  107,258,973 
 Intangible assets 6  46,229  69,394 
     107,455,817   107,328,367 
 Long-term investments 7  58,555,707   58,072,373 
 Long-term loans, advances and deposits 8  189,147   165,266 
     166,200,671   165,56</x:v>
      </x:c>
    </x:row>
    <x:row r="365" ht="82" customHeight="1">
      <x:c r="A365" s="76" t="str">
        <x:v>LUCK|inv_prop|2020</x:v>
      </x:c>
      <x:c r="B365" s="76" t="str">
        <x:v>LUCK</x:v>
      </x:c>
      <x:c r="C365" s="76" t="str">
        <x:v>FY2020</x:v>
      </x:c>
      <x:c r="D365" s="76" t="str">
        <x:v>Investment property</x:v>
      </x:c>
      <x:c r="E365" s="170" t="n">
        <x:v>0</x:v>
      </x:c>
      <x:c r="F365" s="170" t="n">
        <x:v>0</x:v>
      </x:c>
      <x:c r="G365" s="170" t="str">
        <x:v>PKR '000</x:v>
      </x:c>
      <x:c r="H365" s="170" t="n">
        <x:f>F365/1000</x:f>
        <x:v>0</x:v>
      </x:c>
      <x:c r="I365" s="170" t="n">
        <x:f>LUCK!C25</x:f>
        <x:v>0</x:v>
      </x:c>
      <x:c r="J365" s="170" t="n">
        <x:f>H365-I365</x:f>
        <x:v>0</x:v>
      </x:c>
      <x:c r="K365" s="76" t="str">
        <x:v>2021.pdf</x:v>
      </x:c>
      <x:c r="L365" s="76" t="n">
        <x:v>191</x:v>
      </x:c>
      <x:c r="M365" s="76" t="str">
        <x:v>Comparative</x:v>
      </x:c>
      <x:c r="N365" s="99" t="str">
        <x:v>Zero / no separate line in audited presentation</x:v>
      </x:c>
      <x:c r="O365" s="99" t="str">
        <x:v>Zero classification checked within the audited statement/note and reconstructed statement totals; absence of a separate line does not imply a missing replacement estimate.</x:v>
      </x:c>
      <x:c r="P365" s="99" t="str">
        <x:v>
206
STRENGTHENING
PAKISTAN
UNCONSOLIDATED STATEMENT 
OF FINANCIAL POSITION
as at June 30, 2021
Muhammad Ali Tabba
Chief Executive
Muhammad Yunus Tabb | Investment property</x:v>
      </x:c>
    </x:row>
    <x:row r="366" ht="82" customHeight="1">
      <x:c r="A366" s="168" t="str">
        <x:v>LUCK|inv_prop|2021</x:v>
      </x:c>
      <x:c r="B366" s="168" t="str">
        <x:v>LUCK</x:v>
      </x:c>
      <x:c r="C366" s="168" t="str">
        <x:v>FY2021</x:v>
      </x:c>
      <x:c r="D366" s="168" t="str">
        <x:v>Investment property</x:v>
      </x:c>
      <x:c r="E366" s="169" t="n">
        <x:v>0</x:v>
      </x:c>
      <x:c r="F366" s="169" t="n">
        <x:v>0</x:v>
      </x:c>
      <x:c r="G366" s="169" t="str">
        <x:v>PKR '000</x:v>
      </x:c>
      <x:c r="H366" s="169" t="n">
        <x:f>F366/1000</x:f>
        <x:v>0</x:v>
      </x:c>
      <x:c r="I366" s="169" t="n">
        <x:f>LUCK!D25</x:f>
        <x:v>0</x:v>
      </x:c>
      <x:c r="J366" s="169" t="n">
        <x:f>H366-I366</x:f>
        <x:v>0</x:v>
      </x:c>
      <x:c r="K366" s="168" t="str">
        <x:v>2022.pdf</x:v>
      </x:c>
      <x:c r="L366" s="168" t="n">
        <x:v>226</x:v>
      </x:c>
      <x:c r="M366" s="168" t="str">
        <x:v>Comparative</x:v>
      </x:c>
      <x:c r="N366" s="171" t="str">
        <x:v>Zero / no separate line in audited presentation</x:v>
      </x:c>
      <x:c r="O366" s="171" t="str">
        <x:v>Zero classification checked within the audited statement/note and reconstructed statement totals; absence of a separate line does not imply a missing replacement estimate.</x:v>
      </x:c>
      <x:c r="P366" s="171" t="str">
        <x:v>
Unconsolidated Statement of 
Financial Position
as at June 30, 2022
  Note 2022 2021
   (PKR in ‘000’)
ASSETS 
NON-CURRENT ASSETS 
  Property, plant  | Investment property</x:v>
      </x:c>
    </x:row>
    <x:row r="367" ht="82" customHeight="1">
      <x:c r="A367" s="76" t="str">
        <x:v>LUCK|inv_prop|2022</x:v>
      </x:c>
      <x:c r="B367" s="76" t="str">
        <x:v>LUCK</x:v>
      </x:c>
      <x:c r="C367" s="76" t="str">
        <x:v>FY2022</x:v>
      </x:c>
      <x:c r="D367" s="76" t="str">
        <x:v>Investment property</x:v>
      </x:c>
      <x:c r="E367" s="170" t="n">
        <x:v>0</x:v>
      </x:c>
      <x:c r="F367" s="170" t="n">
        <x:v>0</x:v>
      </x:c>
      <x:c r="G367" s="170" t="str">
        <x:v>PKR '000</x:v>
      </x:c>
      <x:c r="H367" s="170" t="n">
        <x:f>F367/1000</x:f>
        <x:v>0</x:v>
      </x:c>
      <x:c r="I367" s="170" t="n">
        <x:f>LUCK!E25</x:f>
        <x:v>0</x:v>
      </x:c>
      <x:c r="J367" s="170" t="n">
        <x:f>H367-I367</x:f>
        <x:v>0</x:v>
      </x:c>
      <x:c r="K367" s="76" t="str">
        <x:v>2023.pdf</x:v>
      </x:c>
      <x:c r="L367" s="76" t="n">
        <x:v>234</x:v>
      </x:c>
      <x:c r="M367" s="76" t="str">
        <x:v>Comparative</x:v>
      </x:c>
      <x:c r="N367" s="99" t="str">
        <x:v>Zero / no separate line in audited presentation</x:v>
      </x:c>
      <x:c r="O367" s="99" t="str">
        <x:v>Zero classification checked within the audited statement/note and reconstructed statement totals; absence of a separate line does not imply a missing replacement estimate.</x:v>
      </x:c>
      <x:c r="P367" s="99" t="str">
        <x:v>
Unconsolidated Statement of 
Financial Position
as at June 30, 2023
  Note 2023 2022
   (PKR in ‘000’)
ASSETS 
NON-CURRENT ASSETS 
 Fixed assets 
 Pr | Investment property</x:v>
      </x:c>
    </x:row>
    <x:row r="368" ht="82" customHeight="1">
      <x:c r="A368" s="168" t="str">
        <x:v>LUCK|inv_prop|2023</x:v>
      </x:c>
      <x:c r="B368" s="168" t="str">
        <x:v>LUCK</x:v>
      </x:c>
      <x:c r="C368" s="168" t="str">
        <x:v>FY2023</x:v>
      </x:c>
      <x:c r="D368" s="168" t="str">
        <x:v>Investment property</x:v>
      </x:c>
      <x:c r="E368" s="169" t="n">
        <x:v>0</x:v>
      </x:c>
      <x:c r="F368" s="169" t="n">
        <x:v>0</x:v>
      </x:c>
      <x:c r="G368" s="169" t="str">
        <x:v>PKR '000</x:v>
      </x:c>
      <x:c r="H368" s="169" t="n">
        <x:f>F368/1000</x:f>
        <x:v>0</x:v>
      </x:c>
      <x:c r="I368" s="169" t="n">
        <x:f>LUCK!F25</x:f>
        <x:v>0</x:v>
      </x:c>
      <x:c r="J368" s="169" t="n">
        <x:f>H368-I368</x:f>
        <x:v>0</x:v>
      </x:c>
      <x:c r="K368" s="168" t="str">
        <x:v>2024.pdf</x:v>
      </x:c>
      <x:c r="L368" s="168" t="n">
        <x:v>238</x:v>
      </x:c>
      <x:c r="M368" s="168" t="str">
        <x:v>Comparative</x:v>
      </x:c>
      <x:c r="N368" s="171" t="str">
        <x:v>Zero / no separate line in audited presentation</x:v>
      </x:c>
      <x:c r="O368" s="171" t="str">
        <x:v>Zero classification checked within the audited statement/note and reconstructed statement totals; absence of a separate line does not imply a missing replacement estimate.</x:v>
      </x:c>
      <x:c r="P368" s="171" t="str">
        <x:v>
Unconsolidated Statement of 
Financial Position
as at June 30, 2024
  Note  2024  2023
  (PKR in ‘000’)
ASSETS
NON-CURRENT ASSETS
 Fixed assets | Investment property</x:v>
      </x:c>
    </x:row>
    <x:row r="369" ht="82" customHeight="1">
      <x:c r="A369" s="76" t="str">
        <x:v>LUCK|inv_prop|2024</x:v>
      </x:c>
      <x:c r="B369" s="76" t="str">
        <x:v>LUCK</x:v>
      </x:c>
      <x:c r="C369" s="76" t="str">
        <x:v>FY2024</x:v>
      </x:c>
      <x:c r="D369" s="76" t="str">
        <x:v>Investment property</x:v>
      </x:c>
      <x:c r="E369" s="170" t="n">
        <x:v>0</x:v>
      </x:c>
      <x:c r="F369" s="170" t="n">
        <x:v>0</x:v>
      </x:c>
      <x:c r="G369" s="170" t="str">
        <x:v>PKR '000</x:v>
      </x:c>
      <x:c r="H369" s="170" t="n">
        <x:f>F369/1000</x:f>
        <x:v>0</x:v>
      </x:c>
      <x:c r="I369" s="170" t="n">
        <x:f>LUCK!G25</x:f>
        <x:v>0</x:v>
      </x:c>
      <x:c r="J369" s="170" t="n">
        <x:f>H369-I369</x:f>
        <x:v>0</x:v>
      </x:c>
      <x:c r="K369" s="76" t="str">
        <x:v>2025.pdf</x:v>
      </x:c>
      <x:c r="L369" s="76" t="n">
        <x:v>240</x:v>
      </x:c>
      <x:c r="M369" s="76" t="str">
        <x:v>Comparative</x:v>
      </x:c>
      <x:c r="N369" s="99" t="str">
        <x:v>Zero / no separate line in audited presentation</x:v>
      </x:c>
      <x:c r="O369" s="99" t="str">
        <x:v>Zero classification checked within the audited statement/note and reconstructed statement totals; absence of a separate line does not imply a missing replacement estimate.</x:v>
      </x:c>
      <x:c r="P369" s="99" t="str">
        <x:v>
Unconsolidated Statement of 
Financial Position
as at June 30, 2025
  Note 2025 2024
   (PKR in ‘000’)
ASSETS 
NON-CURRENT ASSETS 
 Property, plant a | Investment property</x:v>
      </x:c>
    </x:row>
    <x:row r="370" ht="82" customHeight="1">
      <x:c r="A370" s="168" t="str">
        <x:v>LUCK|inv_prop|2025</x:v>
      </x:c>
      <x:c r="B370" s="168" t="str">
        <x:v>LUCK</x:v>
      </x:c>
      <x:c r="C370" s="168" t="str">
        <x:v>FY2025</x:v>
      </x:c>
      <x:c r="D370" s="168" t="str">
        <x:v>Investment property</x:v>
      </x:c>
      <x:c r="E370" s="169" t="n">
        <x:v>0</x:v>
      </x:c>
      <x:c r="F370" s="169" t="n">
        <x:v>0</x:v>
      </x:c>
      <x:c r="G370" s="169" t="str">
        <x:v>PKR '000</x:v>
      </x:c>
      <x:c r="H370" s="169" t="n">
        <x:f>F370/1000</x:f>
        <x:v>0</x:v>
      </x:c>
      <x:c r="I370" s="169" t="n">
        <x:f>LUCK!H25</x:f>
        <x:v>0</x:v>
      </x:c>
      <x:c r="J370" s="169" t="n">
        <x:f>H370-I370</x:f>
        <x:v>0</x:v>
      </x:c>
      <x:c r="K370" s="168" t="str">
        <x:v>2025.pdf</x:v>
      </x:c>
      <x:c r="L370" s="168" t="n">
        <x:v>240</x:v>
      </x:c>
      <x:c r="M370" s="168" t="str">
        <x:v>Current year</x:v>
      </x:c>
      <x:c r="N370" s="171" t="str">
        <x:v>Zero / no separate line in audited presentation</x:v>
      </x:c>
      <x:c r="O370" s="171" t="str">
        <x:v>Zero classification checked within the audited statement/note and reconstructed statement totals; absence of a separate line does not imply a missing replacement estimate.</x:v>
      </x:c>
      <x:c r="P370" s="171" t="str">
        <x:v>
Unconsolidated Statement of 
Financial Position
as at June 30, 2025
  Note 2025 2024
   (PKR in ‘000’)
ASSETS 
NON-CURRENT ASSETS 
 Property, plant a | Investment property</x:v>
      </x:c>
    </x:row>
    <x:row r="371" ht="82" customHeight="1">
      <x:c r="A371" s="76" t="str">
        <x:v>LUCK|lt_inv|2020</x:v>
      </x:c>
      <x:c r="B371" s="76" t="str">
        <x:v>LUCK</x:v>
      </x:c>
      <x:c r="C371" s="76" t="str">
        <x:v>FY2020</x:v>
      </x:c>
      <x:c r="D371" s="76" t="str">
        <x:v>Long-term investments</x:v>
      </x:c>
      <x:c r="E371" s="170" t="n">
        <x:v>47144485</x:v>
      </x:c>
      <x:c r="F371" s="170" t="n">
        <x:v>47144485</x:v>
      </x:c>
      <x:c r="G371" s="170" t="str">
        <x:v>PKR '000</x:v>
      </x:c>
      <x:c r="H371" s="170" t="n">
        <x:f>F371/1000</x:f>
        <x:v>47144.485</x:v>
      </x:c>
      <x:c r="I371" s="170" t="n">
        <x:f>LUCK!C26</x:f>
        <x:v>47144.485</x:v>
      </x:c>
      <x:c r="J371" s="170" t="n">
        <x:f>H371-I371</x:f>
        <x:v>0</x:v>
      </x:c>
      <x:c r="K371" s="76" t="str">
        <x:v>2021.pdf</x:v>
      </x:c>
      <x:c r="L371" s="76" t="n">
        <x:v>191</x:v>
      </x:c>
      <x:c r="M371" s="76" t="str">
        <x:v>Comparative</x:v>
      </x:c>
      <x:c r="N371" s="99" t="str">
        <x:v>Printed amount independently located</x:v>
      </x:c>
      <x:c r="O371" s="99" t="str">
        <x:v>Exact source amount found; audited year/current-comparative column recorded. Accounting subtotal tests performed separately.</x:v>
      </x:c>
      <x:c r="P371" s="99" t="str">
        <x:v>quipment
 5
  62,389,947 
 60,247,570 
 Intangible assets
 6
  670 
 11,323 
    62,390,617 
 60,258,893 
 Long-term investments
 7
  53,194,485 
  47,144,485 
 Long-term loans and advances
 8
  98,655 
  87,008 
 Long-term deposits
 9
  7,937 
 3,175 
    115,691,694 
 107,493,561 
CURRENT AS
SETS  
 Stores and spares  10   10,526,57</x:v>
      </x:c>
    </x:row>
    <x:row r="372" ht="82" customHeight="1">
      <x:c r="A372" s="168" t="str">
        <x:v>LUCK|lt_inv|2021</x:v>
      </x:c>
      <x:c r="B372" s="168" t="str">
        <x:v>LUCK</x:v>
      </x:c>
      <x:c r="C372" s="168" t="str">
        <x:v>FY2021</x:v>
      </x:c>
      <x:c r="D372" s="168" t="str">
        <x:v>Long-term investments</x:v>
      </x:c>
      <x:c r="E372" s="169" t="n">
        <x:v>53194485</x:v>
      </x:c>
      <x:c r="F372" s="169" t="n">
        <x:v>53194485</x:v>
      </x:c>
      <x:c r="G372" s="169" t="str">
        <x:v>PKR '000</x:v>
      </x:c>
      <x:c r="H372" s="169" t="n">
        <x:f>F372/1000</x:f>
        <x:v>53194.485</x:v>
      </x:c>
      <x:c r="I372" s="169" t="n">
        <x:f>LUCK!D26</x:f>
        <x:v>53194.485</x:v>
      </x:c>
      <x:c r="J372" s="169" t="n">
        <x:f>H372-I372</x:f>
        <x:v>0</x:v>
      </x:c>
      <x:c r="K372" s="168" t="str">
        <x:v>2022.pdf</x:v>
      </x:c>
      <x:c r="L372" s="168" t="n">
        <x:v>226</x:v>
      </x:c>
      <x:c r="M372" s="168" t="str">
        <x:v>Comparative</x:v>
      </x:c>
      <x:c r="N372" s="171" t="str">
        <x:v>Printed amount independently located</x:v>
      </x:c>
      <x:c r="O372" s="171" t="str">
        <x:v>Exact source amount found; audited year/current-comparative column recorded. Accounting subtotal tests performed separately.</x:v>
      </x:c>
      <x:c r="P372" s="171" t="str">
        <x:v>plant and equipment 5  82,301,050  62,389,947 
 Intangible assets 6  51,352  670 
     82,352,402  62,390,617 
 Long-term investments 7  57,594,485   53,194,485 
 Long-term loans and advances 8  191,684   98,655 
 Long-term deposits 9  8,106  7,937 
     140,146,677  115,691,694 
CURRENT ASSETS 
 Stores and spares 10  11,206,843   10,526,</x:v>
      </x:c>
    </x:row>
    <x:row r="373" ht="82" customHeight="1">
      <x:c r="A373" s="76" t="str">
        <x:v>LUCK|lt_inv|2022</x:v>
      </x:c>
      <x:c r="B373" s="76" t="str">
        <x:v>LUCK</x:v>
      </x:c>
      <x:c r="C373" s="76" t="str">
        <x:v>FY2022</x:v>
      </x:c>
      <x:c r="D373" s="76" t="str">
        <x:v>Long-term investments</x:v>
      </x:c>
      <x:c r="E373" s="170" t="n">
        <x:v>57594485</x:v>
      </x:c>
      <x:c r="F373" s="170" t="n">
        <x:v>57594485</x:v>
      </x:c>
      <x:c r="G373" s="170" t="str">
        <x:v>PKR '000</x:v>
      </x:c>
      <x:c r="H373" s="170" t="n">
        <x:f>F373/1000</x:f>
        <x:v>57594.485</x:v>
      </x:c>
      <x:c r="I373" s="170" t="n">
        <x:f>LUCK!E26</x:f>
        <x:v>57594.485</x:v>
      </x:c>
      <x:c r="J373" s="170" t="n">
        <x:f>H373-I373</x:f>
        <x:v>0</x:v>
      </x:c>
      <x:c r="K373" s="76" t="str">
        <x:v>2023.pdf</x:v>
      </x:c>
      <x:c r="L373" s="76" t="n">
        <x:v>234</x:v>
      </x:c>
      <x:c r="M373" s="76" t="str">
        <x:v>Comparative</x:v>
      </x:c>
      <x:c r="N373" s="99" t="str">
        <x:v>Printed amount independently located</x:v>
      </x:c>
      <x:c r="O373" s="99" t="str">
        <x:v>Exact source amount found; audited year/current-comparative column recorded. Accounting subtotal tests performed separately.</x:v>
      </x:c>
      <x:c r="P373" s="99" t="str">
        <x:v>Property, plant and equipment 5  95,620,306  82,301,050 
 Intangible assets 6  85,588  51,352 
     95,705,894  82,352,402 
 Long-term investments 7  57,594,485   57,594,485 
 Long-term loans and advances 8  194,204   191,684 
 Long-term deposits 9  7,842  8,106 
     153,502,425  140,146,677 
CURRENT ASSETS 
 Stores and spares 10  14,084</x:v>
      </x:c>
    </x:row>
    <x:row r="374" ht="82" customHeight="1">
      <x:c r="A374" s="168" t="str">
        <x:v>LUCK|lt_inv|2023</x:v>
      </x:c>
      <x:c r="B374" s="168" t="str">
        <x:v>LUCK</x:v>
      </x:c>
      <x:c r="C374" s="168" t="str">
        <x:v>FY2023</x:v>
      </x:c>
      <x:c r="D374" s="168" t="str">
        <x:v>Long-term investments</x:v>
      </x:c>
      <x:c r="E374" s="169" t="n">
        <x:v>57594485</x:v>
      </x:c>
      <x:c r="F374" s="169" t="n">
        <x:v>57594485</x:v>
      </x:c>
      <x:c r="G374" s="169" t="str">
        <x:v>PKR '000</x:v>
      </x:c>
      <x:c r="H374" s="169" t="n">
        <x:f>F374/1000</x:f>
        <x:v>57594.485</x:v>
      </x:c>
      <x:c r="I374" s="169" t="n">
        <x:f>LUCK!F26</x:f>
        <x:v>57594.485</x:v>
      </x:c>
      <x:c r="J374" s="169" t="n">
        <x:f>H374-I374</x:f>
        <x:v>0</x:v>
      </x:c>
      <x:c r="K374" s="168" t="str">
        <x:v>2024.pdf</x:v>
      </x:c>
      <x:c r="L374" s="168" t="n">
        <x:v>238</x:v>
      </x:c>
      <x:c r="M374" s="168" t="str">
        <x:v>Comparative</x:v>
      </x:c>
      <x:c r="N374" s="171" t="str">
        <x:v>Printed amount independently located</x:v>
      </x:c>
      <x:c r="O374" s="171" t="str">
        <x:v>Exact source amount found; audited year/current-comparative column recorded. Accounting subtotal tests performed separately.</x:v>
      </x:c>
      <x:c r="P374" s="171" t="str">
        <x:v>ent
 5
  107,258,973 
 95,620,306 
 Intangible assets
 6
  69,394 
 85,588 
    107,328,367 
 95,705,894 
 Long-term investments
 7
  58,072,373 
  57,594,485 
 Long-term loans and advances
 8
  157,424 
  194,204 
 Long-term deposits
 9
  7,842 
 7,842 
    165,566,006 
 153,502,425 
CURRENT ASSETS
 Stores and spares
 10
  14,591,8</x:v>
      </x:c>
    </x:row>
    <x:row r="375" ht="82" customHeight="1">
      <x:c r="A375" s="76" t="str">
        <x:v>LUCK|lt_inv|2024</x:v>
      </x:c>
      <x:c r="B375" s="76" t="str">
        <x:v>LUCK</x:v>
      </x:c>
      <x:c r="C375" s="76" t="str">
        <x:v>FY2024</x:v>
      </x:c>
      <x:c r="D375" s="76" t="str">
        <x:v>Long-term investments</x:v>
      </x:c>
      <x:c r="E375" s="170" t="n">
        <x:v>58072373</x:v>
      </x:c>
      <x:c r="F375" s="170" t="n">
        <x:v>58072373</x:v>
      </x:c>
      <x:c r="G375" s="170" t="str">
        <x:v>PKR '000</x:v>
      </x:c>
      <x:c r="H375" s="170" t="n">
        <x:f>F375/1000</x:f>
        <x:v>58072.373</x:v>
      </x:c>
      <x:c r="I375" s="170" t="n">
        <x:f>LUCK!G26</x:f>
        <x:v>58072.373</x:v>
      </x:c>
      <x:c r="J375" s="170" t="n">
        <x:f>H375-I375</x:f>
        <x:v>0</x:v>
      </x:c>
      <x:c r="K375" s="76" t="str">
        <x:v>2025.pdf</x:v>
      </x:c>
      <x:c r="L375" s="76" t="n">
        <x:v>240</x:v>
      </x:c>
      <x:c r="M375" s="76" t="str">
        <x:v>Comparative</x:v>
      </x:c>
      <x:c r="N375" s="99" t="str">
        <x:v>Printed amount independently located</x:v>
      </x:c>
      <x:c r="O375" s="99" t="str">
        <x:v>Exact source amount found; audited year/current-comparative column recorded. Accounting subtotal tests performed separately.</x:v>
      </x:c>
      <x:c r="P375" s="99" t="str">
        <x:v>d equipment 5  107,409,588  107,258,973 
 Intangible assets 6  46,229  69,394 
     107,455,817   107,328,367 
 Long-term investments 7  58,555,707   58,072,373 
 Long-term loans, advances and deposits 8  189,147   165,266 
     166,200,671   165,566,006 
CURRENT ASSETS 
 Stores and spares 9  19,895,130   14,591,821 
 Stock-in-trade 10  4</x:v>
      </x:c>
    </x:row>
    <x:row r="376" ht="82" customHeight="1">
      <x:c r="A376" s="168" t="str">
        <x:v>LUCK|lt_inv|2025</x:v>
      </x:c>
      <x:c r="B376" s="168" t="str">
        <x:v>LUCK</x:v>
      </x:c>
      <x:c r="C376" s="168" t="str">
        <x:v>FY2025</x:v>
      </x:c>
      <x:c r="D376" s="168" t="str">
        <x:v>Long-term investments</x:v>
      </x:c>
      <x:c r="E376" s="169" t="n">
        <x:v>58555707</x:v>
      </x:c>
      <x:c r="F376" s="169" t="n">
        <x:v>58555707</x:v>
      </x:c>
      <x:c r="G376" s="169" t="str">
        <x:v>PKR '000</x:v>
      </x:c>
      <x:c r="H376" s="169" t="n">
        <x:f>F376/1000</x:f>
        <x:v>58555.707</x:v>
      </x:c>
      <x:c r="I376" s="169" t="n">
        <x:f>LUCK!H26</x:f>
        <x:v>58555.707</x:v>
      </x:c>
      <x:c r="J376" s="169" t="n">
        <x:f>H376-I376</x:f>
        <x:v>0</x:v>
      </x:c>
      <x:c r="K376" s="168" t="str">
        <x:v>2025.pdf</x:v>
      </x:c>
      <x:c r="L376" s="168" t="n">
        <x:v>240</x:v>
      </x:c>
      <x:c r="M376" s="168" t="str">
        <x:v>Current year</x:v>
      </x:c>
      <x:c r="N376" s="171" t="str">
        <x:v>Printed amount independently located</x:v>
      </x:c>
      <x:c r="O376" s="171" t="str">
        <x:v>Exact source amount found; audited year/current-comparative column recorded. Accounting subtotal tests performed separately.</x:v>
      </x:c>
      <x:c r="P376" s="171" t="str">
        <x:v>rty, plant and equipment 5  107,409,588  107,258,973 
 Intangible assets 6  46,229  69,394 
     107,455,817   107,328,367 
 Long-term investments 7  58,555,707   58,072,373 
 Long-term loans, advances and deposits 8  189,147   165,266 
     166,200,671   165,566,006 
CURRENT ASSETS 
 Stores and spares 9  19,895,130   14,591,821 
 Stock-i</x:v>
      </x:c>
    </x:row>
    <x:row r="377" ht="82" customHeight="1">
      <x:c r="A377" s="76" t="str">
        <x:v>LUCK|nca_other|2020</x:v>
      </x:c>
      <x:c r="B377" s="76" t="str">
        <x:v>LUCK</x:v>
      </x:c>
      <x:c r="C377" s="76" t="str">
        <x:v>FY2020</x:v>
      </x:c>
      <x:c r="D377" s="76" t="str">
        <x:v>Other non-current assets</x:v>
      </x:c>
      <x:c r="E377" s="170" t="n">
        <x:v>90183</x:v>
      </x:c>
      <x:c r="F377" s="170" t="n">
        <x:v>90183</x:v>
      </x:c>
      <x:c r="G377" s="170" t="str">
        <x:v>PKR '000</x:v>
      </x:c>
      <x:c r="H377" s="170" t="n">
        <x:f>F377/1000</x:f>
        <x:v>90.183</x:v>
      </x:c>
      <x:c r="I377" s="170" t="n">
        <x:f>LUCK!C27</x:f>
        <x:v>90.183</x:v>
      </x:c>
      <x:c r="J377" s="170" t="n">
        <x:f>H377-I377</x:f>
        <x:v>0</x:v>
      </x:c>
      <x:c r="K377" s="76" t="str">
        <x:v>2021.pdf</x:v>
      </x:c>
      <x:c r="L377" s="76" t="n">
        <x:v>191</x:v>
      </x:c>
      <x:c r="M377" s="76" t="str">
        <x:v>Comparative</x:v>
      </x:c>
      <x:c r="N377" s="99" t="str">
        <x:v>Aggregated audited components</x:v>
      </x:c>
      <x:c r="O377" s="99" t="str">
        <x:v>Source-labelled component sum; statement controls and signed-unit conversion independently recomputed.</x:v>
      </x:c>
      <x:c r="P377" s="99" t="str">
        <x:v>
206
STRENGTHENING
PAKISTAN
UNCONSOLIDATED STATEMENT 
OF FINANCIAL POSITION
as at June 30, 2021
Muhammad Ali Tabba
Chief Executive
Muhammad Yunus Tabba
Chairman / Director
Atif Kal | Components: Long-term deposits; Long-term loans and advances</x:v>
      </x:c>
    </x:row>
    <x:row r="378" ht="82" customHeight="1">
      <x:c r="A378" s="168" t="str">
        <x:v>LUCK|nca_other|2021</x:v>
      </x:c>
      <x:c r="B378" s="168" t="str">
        <x:v>LUCK</x:v>
      </x:c>
      <x:c r="C378" s="168" t="str">
        <x:v>FY2021</x:v>
      </x:c>
      <x:c r="D378" s="168" t="str">
        <x:v>Other non-current assets</x:v>
      </x:c>
      <x:c r="E378" s="169" t="n">
        <x:v>106592</x:v>
      </x:c>
      <x:c r="F378" s="169" t="n">
        <x:v>106592</x:v>
      </x:c>
      <x:c r="G378" s="169" t="str">
        <x:v>PKR '000</x:v>
      </x:c>
      <x:c r="H378" s="169" t="n">
        <x:f>F378/1000</x:f>
        <x:v>106.592</x:v>
      </x:c>
      <x:c r="I378" s="169" t="n">
        <x:f>LUCK!D27</x:f>
        <x:v>106.592</x:v>
      </x:c>
      <x:c r="J378" s="169" t="n">
        <x:f>H378-I378</x:f>
        <x:v>0</x:v>
      </x:c>
      <x:c r="K378" s="168" t="str">
        <x:v>2022.pdf</x:v>
      </x:c>
      <x:c r="L378" s="168" t="n">
        <x:v>226</x:v>
      </x:c>
      <x:c r="M378" s="168" t="str">
        <x:v>Comparative</x:v>
      </x:c>
      <x:c r="N378" s="171" t="str">
        <x:v>Aggregated audited components</x:v>
      </x:c>
      <x:c r="O378" s="171" t="str">
        <x:v>Source-labelled component sum; statement controls and signed-unit conversion independently recomputed.</x:v>
      </x:c>
      <x:c r="P378" s="171" t="str">
        <x:v>
Unconsolidated Statement of 
Financial Position
as at June 30, 2022
  Note 2022 2021
   (PKR in ‘000’)
ASSETS 
NON-CURRENT ASSETS 
  Property, plant and equipment 5  82,301,050  6 | Components: Long-term deposits; Long-term loans and advances</x:v>
      </x:c>
    </x:row>
    <x:row r="379" ht="82" customHeight="1">
      <x:c r="A379" s="76" t="str">
        <x:v>LUCK|nca_other|2022</x:v>
      </x:c>
      <x:c r="B379" s="76" t="str">
        <x:v>LUCK</x:v>
      </x:c>
      <x:c r="C379" s="76" t="str">
        <x:v>FY2022</x:v>
      </x:c>
      <x:c r="D379" s="76" t="str">
        <x:v>Other non-current assets</x:v>
      </x:c>
      <x:c r="E379" s="170" t="n">
        <x:v>199790</x:v>
      </x:c>
      <x:c r="F379" s="170" t="n">
        <x:v>199790</x:v>
      </x:c>
      <x:c r="G379" s="170" t="str">
        <x:v>PKR '000</x:v>
      </x:c>
      <x:c r="H379" s="170" t="n">
        <x:f>F379/1000</x:f>
        <x:v>199.79</x:v>
      </x:c>
      <x:c r="I379" s="170" t="n">
        <x:f>LUCK!E27</x:f>
        <x:v>199.79</x:v>
      </x:c>
      <x:c r="J379" s="170" t="n">
        <x:f>H379-I379</x:f>
        <x:v>0</x:v>
      </x:c>
      <x:c r="K379" s="76" t="str">
        <x:v>2023.pdf</x:v>
      </x:c>
      <x:c r="L379" s="76" t="n">
        <x:v>234</x:v>
      </x:c>
      <x:c r="M379" s="76" t="str">
        <x:v>Comparative</x:v>
      </x:c>
      <x:c r="N379" s="99" t="str">
        <x:v>Aggregated audited components</x:v>
      </x:c>
      <x:c r="O379" s="99" t="str">
        <x:v>Source-labelled component sum; statement controls and signed-unit conversion independently recomputed.</x:v>
      </x:c>
      <x:c r="P379" s="99" t="str">
        <x:v>
Unconsolidated Statement of 
Financial Position
as at June 30, 2023
  Note 2023 2022
   (PKR in ‘000’)
ASSETS 
NON-CURRENT ASSETS 
 Fixed assets 
 Property, plant and equipment 5  | Components: Long-term deposits; Long-term loans and advances</x:v>
      </x:c>
    </x:row>
    <x:row r="380" ht="82" customHeight="1">
      <x:c r="A380" s="168" t="str">
        <x:v>LUCK|nca_other|2023</x:v>
      </x:c>
      <x:c r="B380" s="168" t="str">
        <x:v>LUCK</x:v>
      </x:c>
      <x:c r="C380" s="168" t="str">
        <x:v>FY2023</x:v>
      </x:c>
      <x:c r="D380" s="168" t="str">
        <x:v>Other non-current assets</x:v>
      </x:c>
      <x:c r="E380" s="169" t="n">
        <x:v>202046</x:v>
      </x:c>
      <x:c r="F380" s="169" t="n">
        <x:v>202046</x:v>
      </x:c>
      <x:c r="G380" s="169" t="str">
        <x:v>PKR '000</x:v>
      </x:c>
      <x:c r="H380" s="169" t="n">
        <x:f>F380/1000</x:f>
        <x:v>202.046</x:v>
      </x:c>
      <x:c r="I380" s="169" t="n">
        <x:f>LUCK!F27</x:f>
        <x:v>202.046</x:v>
      </x:c>
      <x:c r="J380" s="169" t="n">
        <x:f>H380-I380</x:f>
        <x:v>0</x:v>
      </x:c>
      <x:c r="K380" s="168" t="str">
        <x:v>2024.pdf</x:v>
      </x:c>
      <x:c r="L380" s="168" t="n">
        <x:v>238</x:v>
      </x:c>
      <x:c r="M380" s="168" t="str">
        <x:v>Comparative</x:v>
      </x:c>
      <x:c r="N380" s="171" t="str">
        <x:v>Aggregated audited components</x:v>
      </x:c>
      <x:c r="O380" s="171" t="str">
        <x:v>Source-labelled component sum; statement controls and signed-unit conversion independently recomputed.</x:v>
      </x:c>
      <x:c r="P380" s="171" t="str">
        <x:v>
Unconsolidated Statement of 
Financial Position
as at June 30, 2024
  Note  2024  2023
  (PKR in ‘000’)
ASSETS
NON-CURRENT ASSETS
 Fixed assets
 Property, plant and equipm | Components: Long-term deposits; Long-term loans and advances</x:v>
      </x:c>
    </x:row>
    <x:row r="381" ht="82" customHeight="1">
      <x:c r="A381" s="76" t="str">
        <x:v>LUCK|nca_other|2024</x:v>
      </x:c>
      <x:c r="B381" s="76" t="str">
        <x:v>LUCK</x:v>
      </x:c>
      <x:c r="C381" s="76" t="str">
        <x:v>FY2024</x:v>
      </x:c>
      <x:c r="D381" s="76" t="str">
        <x:v>Other non-current assets</x:v>
      </x:c>
      <x:c r="E381" s="170" t="n">
        <x:v>165266</x:v>
      </x:c>
      <x:c r="F381" s="170" t="n">
        <x:v>165266</x:v>
      </x:c>
      <x:c r="G381" s="170" t="str">
        <x:v>PKR '000</x:v>
      </x:c>
      <x:c r="H381" s="170" t="n">
        <x:f>F381/1000</x:f>
        <x:v>165.266</x:v>
      </x:c>
      <x:c r="I381" s="170" t="n">
        <x:f>LUCK!G27</x:f>
        <x:v>165.266</x:v>
      </x:c>
      <x:c r="J381" s="170" t="n">
        <x:f>H381-I381</x:f>
        <x:v>0</x:v>
      </x:c>
      <x:c r="K381" s="76" t="str">
        <x:v>2025.pdf</x:v>
      </x:c>
      <x:c r="L381" s="76" t="n">
        <x:v>240</x:v>
      </x:c>
      <x:c r="M381" s="76" t="str">
        <x:v>Comparative</x:v>
      </x:c>
      <x:c r="N381" s="99" t="str">
        <x:v>Printed amount independently located</x:v>
      </x:c>
      <x:c r="O381" s="99" t="str">
        <x:v>Exact source amount found; audited year/current-comparative column recorded. Accounting subtotal tests performed separately.</x:v>
      </x:c>
      <x:c r="P381" s="99" t="str">
        <x:v>,229  69,394 
     107,455,817   107,328,367 
 Long-term investments 7  58,555,707   58,072,373 
 Long-term loans, advances and deposits 8  189,147   165,266 
     166,200,671   165,566,006 
CURRENT ASSETS 
 Stores and spares 9  19,895,130   14,591,821 
 Stock-in-trade 10  4,774,577   8,505,426 
 Trade debts 11  6,353,194   6,932,479</x:v>
      </x:c>
    </x:row>
    <x:row r="382" ht="82" customHeight="1">
      <x:c r="A382" s="168" t="str">
        <x:v>LUCK|nca_other|2025</x:v>
      </x:c>
      <x:c r="B382" s="168" t="str">
        <x:v>LUCK</x:v>
      </x:c>
      <x:c r="C382" s="168" t="str">
        <x:v>FY2025</x:v>
      </x:c>
      <x:c r="D382" s="168" t="str">
        <x:v>Other non-current assets</x:v>
      </x:c>
      <x:c r="E382" s="169" t="n">
        <x:v>189147</x:v>
      </x:c>
      <x:c r="F382" s="169" t="n">
        <x:v>189147</x:v>
      </x:c>
      <x:c r="G382" s="169" t="str">
        <x:v>PKR '000</x:v>
      </x:c>
      <x:c r="H382" s="169" t="n">
        <x:f>F382/1000</x:f>
        <x:v>189.147</x:v>
      </x:c>
      <x:c r="I382" s="169" t="n">
        <x:f>LUCK!H27</x:f>
        <x:v>189.147</x:v>
      </x:c>
      <x:c r="J382" s="169" t="n">
        <x:f>H382-I382</x:f>
        <x:v>0</x:v>
      </x:c>
      <x:c r="K382" s="168" t="str">
        <x:v>2025.pdf</x:v>
      </x:c>
      <x:c r="L382" s="168" t="n">
        <x:v>240</x:v>
      </x:c>
      <x:c r="M382" s="168" t="str">
        <x:v>Current year</x:v>
      </x:c>
      <x:c r="N382" s="171" t="str">
        <x:v>Printed amount independently located</x:v>
      </x:c>
      <x:c r="O382" s="171" t="str">
        <x:v>Exact source amount found; audited year/current-comparative column recorded. Accounting subtotal tests performed separately.</x:v>
      </x:c>
      <x:c r="P382" s="171" t="str">
        <x:v>sets 6  46,229  69,394 
     107,455,817   107,328,367 
 Long-term investments 7  58,555,707   58,072,373 
 Long-term loans, advances and deposits 8  189,147   165,266 
     166,200,671   165,566,006 
CURRENT ASSETS 
 Stores and spares 9  19,895,130   14,591,821 
 Stock-in-trade 10  4,774,577   8,505,426 
 Trade debts 11  6,353,194   6</x:v>
      </x:c>
    </x:row>
    <x:row r="383" ht="82" customHeight="1">
      <x:c r="A383" s="76" t="str">
        <x:v>LUCK|stores|2020</x:v>
      </x:c>
      <x:c r="B383" s="76" t="str">
        <x:v>LUCK</x:v>
      </x:c>
      <x:c r="C383" s="76" t="str">
        <x:v>FY2020</x:v>
      </x:c>
      <x:c r="D383" s="76" t="str">
        <x:v>Stores, spares and loose tools</x:v>
      </x:c>
      <x:c r="E383" s="170" t="n">
        <x:v>6520170</x:v>
      </x:c>
      <x:c r="F383" s="170" t="n">
        <x:v>6520170</x:v>
      </x:c>
      <x:c r="G383" s="170" t="str">
        <x:v>PKR '000</x:v>
      </x:c>
      <x:c r="H383" s="170" t="n">
        <x:f>F383/1000</x:f>
        <x:v>6520.17</x:v>
      </x:c>
      <x:c r="I383" s="170" t="n">
        <x:f>LUCK!C30</x:f>
        <x:v>6520.17</x:v>
      </x:c>
      <x:c r="J383" s="170" t="n">
        <x:f>H383-I383</x:f>
        <x:v>0</x:v>
      </x:c>
      <x:c r="K383" s="76" t="str">
        <x:v>2021.pdf</x:v>
      </x:c>
      <x:c r="L383" s="76" t="n">
        <x:v>191</x:v>
      </x:c>
      <x:c r="M383" s="76" t="str">
        <x:v>Comparative</x:v>
      </x:c>
      <x:c r="N383" s="99" t="str">
        <x:v>Printed amount independently located</x:v>
      </x:c>
      <x:c r="O383" s="99" t="str">
        <x:v>Exact source amount found; audited year/current-comparative column recorded. Accounting subtotal tests performed separately.</x:v>
      </x:c>
      <x:c r="P383" s="99" t="str">
        <x:v>98,655 
  87,008 
 Long-term deposits
 9
  7,937 
 3,175 
    115,691,694 
 107,493,561 
CURRENT AS
SETS  
 Stores and spares  10   10,526,573   6,520,170 
 Stock
-in-trade
 11
  3,105,037 
  2,915,552 
 T
rade debts
 12
  2,710,081 
  3,422,767 
 Loans and advances
 13
  944,987 
  390,966 
 T
rade deposits and short-term prepaymen</x:v>
      </x:c>
    </x:row>
    <x:row r="384" ht="82" customHeight="1">
      <x:c r="A384" s="168" t="str">
        <x:v>LUCK|stores|2021</x:v>
      </x:c>
      <x:c r="B384" s="168" t="str">
        <x:v>LUCK</x:v>
      </x:c>
      <x:c r="C384" s="168" t="str">
        <x:v>FY2021</x:v>
      </x:c>
      <x:c r="D384" s="168" t="str">
        <x:v>Stores, spares and loose tools</x:v>
      </x:c>
      <x:c r="E384" s="169" t="n">
        <x:v>10526573</x:v>
      </x:c>
      <x:c r="F384" s="169" t="n">
        <x:v>10526573</x:v>
      </x:c>
      <x:c r="G384" s="169" t="str">
        <x:v>PKR '000</x:v>
      </x:c>
      <x:c r="H384" s="169" t="n">
        <x:f>F384/1000</x:f>
        <x:v>10526.573</x:v>
      </x:c>
      <x:c r="I384" s="169" t="n">
        <x:f>LUCK!D30</x:f>
        <x:v>10526.573</x:v>
      </x:c>
      <x:c r="J384" s="169" t="n">
        <x:f>H384-I384</x:f>
        <x:v>0</x:v>
      </x:c>
      <x:c r="K384" s="168" t="str">
        <x:v>2022.pdf</x:v>
      </x:c>
      <x:c r="L384" s="168" t="n">
        <x:v>226</x:v>
      </x:c>
      <x:c r="M384" s="168" t="str">
        <x:v>Comparative</x:v>
      </x:c>
      <x:c r="N384" s="171" t="str">
        <x:v>Printed amount independently located</x:v>
      </x:c>
      <x:c r="O384" s="171" t="str">
        <x:v>Exact source amount found; audited year/current-comparative column recorded. Accounting subtotal tests performed separately.</x:v>
      </x:c>
      <x:c r="P384" s="171" t="str">
        <x:v>advances 8  191,684   98,655 
 Long-term deposits 9  8,106  7,937 
     140,146,677  115,691,694 
CURRENT ASSETS 
 Stores and spares 10  11,206,843   10,526,573 
 Stock-in-trade 11  7,171,364   3,105,037 
 Trade debts 12  3,522,931   2,710,081 
 Loans and advances 13  735,337   944,987 
 Trade deposits and short-term prepayments 14  140,5</x:v>
      </x:c>
    </x:row>
    <x:row r="385" ht="82" customHeight="1">
      <x:c r="A385" s="76" t="str">
        <x:v>LUCK|stores|2022</x:v>
      </x:c>
      <x:c r="B385" s="76" t="str">
        <x:v>LUCK</x:v>
      </x:c>
      <x:c r="C385" s="76" t="str">
        <x:v>FY2022</x:v>
      </x:c>
      <x:c r="D385" s="76" t="str">
        <x:v>Stores, spares and loose tools</x:v>
      </x:c>
      <x:c r="E385" s="170" t="n">
        <x:v>11206843</x:v>
      </x:c>
      <x:c r="F385" s="170" t="n">
        <x:v>11206843</x:v>
      </x:c>
      <x:c r="G385" s="170" t="str">
        <x:v>PKR '000</x:v>
      </x:c>
      <x:c r="H385" s="170" t="n">
        <x:f>F385/1000</x:f>
        <x:v>11206.843</x:v>
      </x:c>
      <x:c r="I385" s="170" t="n">
        <x:f>LUCK!E30</x:f>
        <x:v>11206.843</x:v>
      </x:c>
      <x:c r="J385" s="170" t="n">
        <x:f>H385-I385</x:f>
        <x:v>0</x:v>
      </x:c>
      <x:c r="K385" s="76" t="str">
        <x:v>2023.pdf</x:v>
      </x:c>
      <x:c r="L385" s="76" t="n">
        <x:v>234</x:v>
      </x:c>
      <x:c r="M385" s="76" t="str">
        <x:v>Comparative</x:v>
      </x:c>
      <x:c r="N385" s="99" t="str">
        <x:v>Printed amount independently located</x:v>
      </x:c>
      <x:c r="O385" s="99" t="str">
        <x:v>Exact source amount found; audited year/current-comparative column recorded. Accounting subtotal tests performed separately.</x:v>
      </x:c>
      <x:c r="P385" s="99" t="str">
        <x:v>dvances 8  194,204   191,684 
 Long-term deposits 9  7,842  8,106 
     153,502,425  140,146,677 
CURRENT ASSETS 
 Stores and spares 10  14,084,018   11,206,843 
 Stock-in-trade 11  6,048,507   7,171,364 
 Trade debts 12  5,089,667   3,522,931 
 Loans and advances 13  749,292   735,337 
 Trade deposits and short-term prepayments 14  2,153</x:v>
      </x:c>
    </x:row>
    <x:row r="386" ht="82" customHeight="1">
      <x:c r="A386" s="168" t="str">
        <x:v>LUCK|stores|2023</x:v>
      </x:c>
      <x:c r="B386" s="168" t="str">
        <x:v>LUCK</x:v>
      </x:c>
      <x:c r="C386" s="168" t="str">
        <x:v>FY2023</x:v>
      </x:c>
      <x:c r="D386" s="168" t="str">
        <x:v>Stores, spares and loose tools</x:v>
      </x:c>
      <x:c r="E386" s="169" t="n">
        <x:v>14084018</x:v>
      </x:c>
      <x:c r="F386" s="169" t="n">
        <x:v>14084018</x:v>
      </x:c>
      <x:c r="G386" s="169" t="str">
        <x:v>PKR '000</x:v>
      </x:c>
      <x:c r="H386" s="169" t="n">
        <x:f>F386/1000</x:f>
        <x:v>14084.018</x:v>
      </x:c>
      <x:c r="I386" s="169" t="n">
        <x:f>LUCK!F30</x:f>
        <x:v>14084.018</x:v>
      </x:c>
      <x:c r="J386" s="169" t="n">
        <x:f>H386-I386</x:f>
        <x:v>0</x:v>
      </x:c>
      <x:c r="K386" s="168" t="str">
        <x:v>2024.pdf</x:v>
      </x:c>
      <x:c r="L386" s="168" t="n">
        <x:v>238</x:v>
      </x:c>
      <x:c r="M386" s="168" t="str">
        <x:v>Comparative</x:v>
      </x:c>
      <x:c r="N386" s="171" t="str">
        <x:v>Printed amount independently located</x:v>
      </x:c>
      <x:c r="O386" s="171" t="str">
        <x:v>Exact source amount found; audited year/current-comparative column recorded. Accounting subtotal tests performed separately.</x:v>
      </x:c>
      <x:c r="P386" s="171" t="str">
        <x:v>157,424 
  194,204 
 Long-term deposits
 9
  7,842 
 7,842 
    165,566,006 
 153,502,425 
CURRENT ASSETS
 Stores and spares
 10
  14,591,821 
  14,084,018 
 Stock-in-trade
 11
  8,505,426 
  6,048,507 
 Trade debts
 12
  6,932,479 
  5,089,667 
 Loans and advances
 13
  964,732 
  749,292 
 Trade deposits and short-term prepayments</x:v>
      </x:c>
    </x:row>
    <x:row r="387" ht="82" customHeight="1">
      <x:c r="A387" s="76" t="str">
        <x:v>LUCK|stores|2024</x:v>
      </x:c>
      <x:c r="B387" s="76" t="str">
        <x:v>LUCK</x:v>
      </x:c>
      <x:c r="C387" s="76" t="str">
        <x:v>FY2024</x:v>
      </x:c>
      <x:c r="D387" s="76" t="str">
        <x:v>Stores, spares and loose tools</x:v>
      </x:c>
      <x:c r="E387" s="170" t="n">
        <x:v>14591821</x:v>
      </x:c>
      <x:c r="F387" s="170" t="n">
        <x:v>14591821</x:v>
      </x:c>
      <x:c r="G387" s="170" t="str">
        <x:v>PKR '000</x:v>
      </x:c>
      <x:c r="H387" s="170" t="n">
        <x:f>F387/1000</x:f>
        <x:v>14591.821</x:v>
      </x:c>
      <x:c r="I387" s="170" t="n">
        <x:f>LUCK!G30</x:f>
        <x:v>14591.821</x:v>
      </x:c>
      <x:c r="J387" s="170" t="n">
        <x:f>H387-I387</x:f>
        <x:v>0</x:v>
      </x:c>
      <x:c r="K387" s="76" t="str">
        <x:v>2025.pdf</x:v>
      </x:c>
      <x:c r="L387" s="76" t="n">
        <x:v>240</x:v>
      </x:c>
      <x:c r="M387" s="76" t="str">
        <x:v>Comparative</x:v>
      </x:c>
      <x:c r="N387" s="99" t="str">
        <x:v>Printed amount independently located</x:v>
      </x:c>
      <x:c r="O387" s="99" t="str">
        <x:v>Exact source amount found; audited year/current-comparative column recorded. Accounting subtotal tests performed separately.</x:v>
      </x:c>
      <x:c r="P387" s="99" t="str">
        <x:v>373 
 Long-term loans, advances and deposits 8  189,147   165,266 
     166,200,671   165,566,006 
CURRENT ASSETS 
 Stores and spares 9  19,895,130   14,591,821 
 Stock-in-trade 10  4,774,577   8,505,426 
 Trade debts 11  6,353,194   6,932,479 
 Loans and advances 12  1,518,578   964,732 
 Deposits and prepayments 13  356,771   158,422</x:v>
      </x:c>
    </x:row>
    <x:row r="388" ht="82" customHeight="1">
      <x:c r="A388" s="168" t="str">
        <x:v>LUCK|stores|2025</x:v>
      </x:c>
      <x:c r="B388" s="168" t="str">
        <x:v>LUCK</x:v>
      </x:c>
      <x:c r="C388" s="168" t="str">
        <x:v>FY2025</x:v>
      </x:c>
      <x:c r="D388" s="168" t="str">
        <x:v>Stores, spares and loose tools</x:v>
      </x:c>
      <x:c r="E388" s="169" t="n">
        <x:v>19895130</x:v>
      </x:c>
      <x:c r="F388" s="169" t="n">
        <x:v>19895130</x:v>
      </x:c>
      <x:c r="G388" s="169" t="str">
        <x:v>PKR '000</x:v>
      </x:c>
      <x:c r="H388" s="169" t="n">
        <x:f>F388/1000</x:f>
        <x:v>19895.13</x:v>
      </x:c>
      <x:c r="I388" s="169" t="n">
        <x:f>LUCK!H30</x:f>
        <x:v>19895.13</x:v>
      </x:c>
      <x:c r="J388" s="169" t="n">
        <x:f>H388-I388</x:f>
        <x:v>0</x:v>
      </x:c>
      <x:c r="K388" s="168" t="str">
        <x:v>2025.pdf</x:v>
      </x:c>
      <x:c r="L388" s="168" t="n">
        <x:v>240</x:v>
      </x:c>
      <x:c r="M388" s="168" t="str">
        <x:v>Current year</x:v>
      </x:c>
      <x:c r="N388" s="171" t="str">
        <x:v>Printed amount independently located</x:v>
      </x:c>
      <x:c r="O388" s="171" t="str">
        <x:v>Exact source amount found; audited year/current-comparative column recorded. Accounting subtotal tests performed separately.</x:v>
      </x:c>
      <x:c r="P388" s="171" t="str">
        <x:v>707   58,072,373 
 Long-term loans, advances and deposits 8  189,147   165,266 
     166,200,671   165,566,006 
CURRENT ASSETS 
 Stores and spares 9  19,895,130   14,591,821 
 Stock-in-trade 10  4,774,577   8,505,426 
 Trade debts 11  6,353,194   6,932,479 
 Loans and advances 12  1,518,578   964,732 
 Deposits and prepayments 13  356,771</x:v>
      </x:c>
    </x:row>
    <x:row r="389" ht="82" customHeight="1">
      <x:c r="A389" s="76" t="str">
        <x:v>LUCK|sit|2020</x:v>
      </x:c>
      <x:c r="B389" s="76" t="str">
        <x:v>LUCK</x:v>
      </x:c>
      <x:c r="C389" s="76" t="str">
        <x:v>FY2020</x:v>
      </x:c>
      <x:c r="D389" s="76" t="str">
        <x:v>Stock-in-trade</x:v>
      </x:c>
      <x:c r="E389" s="170" t="n">
        <x:v>2915552</x:v>
      </x:c>
      <x:c r="F389" s="170" t="n">
        <x:v>2915552</x:v>
      </x:c>
      <x:c r="G389" s="170" t="str">
        <x:v>PKR '000</x:v>
      </x:c>
      <x:c r="H389" s="170" t="n">
        <x:f>F389/1000</x:f>
        <x:v>2915.552</x:v>
      </x:c>
      <x:c r="I389" s="170" t="n">
        <x:f>LUCK!C31</x:f>
        <x:v>2915.552</x:v>
      </x:c>
      <x:c r="J389" s="170" t="n">
        <x:f>H389-I389</x:f>
        <x:v>0</x:v>
      </x:c>
      <x:c r="K389" s="76" t="str">
        <x:v>2021.pdf</x:v>
      </x:c>
      <x:c r="L389" s="76" t="n">
        <x:v>191</x:v>
      </x:c>
      <x:c r="M389" s="76" t="str">
        <x:v>Comparative</x:v>
      </x:c>
      <x:c r="N389" s="99" t="str">
        <x:v>Printed amount independently located</x:v>
      </x:c>
      <x:c r="O389" s="99" t="str">
        <x:v>Exact source amount found; audited year/current-comparative column recorded. Accounting subtotal tests performed separately.</x:v>
      </x:c>
      <x:c r="P389" s="99" t="str">
        <x:v>,937 
 3,175 
    115,691,694 
 107,493,561 
CURRENT AS
SETS  
 Stores and spares  10   10,526,573   6,520,170 
 Stock
-in-trade
 11
  3,105,037 
  2,915,552 
 T
rade debts
 12
  2,710,081 
  3,422,767 
 Loans and advances
 13
  944,987 
  390,966 
 T
rade deposits and short-term prepayments
 14
  85,403 
  81,169 
 Accrued return
   2</x:v>
      </x:c>
    </x:row>
    <x:row r="390" ht="82" customHeight="1">
      <x:c r="A390" s="168" t="str">
        <x:v>LUCK|sit|2021</x:v>
      </x:c>
      <x:c r="B390" s="168" t="str">
        <x:v>LUCK</x:v>
      </x:c>
      <x:c r="C390" s="168" t="str">
        <x:v>FY2021</x:v>
      </x:c>
      <x:c r="D390" s="168" t="str">
        <x:v>Stock-in-trade</x:v>
      </x:c>
      <x:c r="E390" s="169" t="n">
        <x:v>3105037</x:v>
      </x:c>
      <x:c r="F390" s="169" t="n">
        <x:v>3105037</x:v>
      </x:c>
      <x:c r="G390" s="169" t="str">
        <x:v>PKR '000</x:v>
      </x:c>
      <x:c r="H390" s="169" t="n">
        <x:f>F390/1000</x:f>
        <x:v>3105.037</x:v>
      </x:c>
      <x:c r="I390" s="169" t="n">
        <x:f>LUCK!D31</x:f>
        <x:v>3105.037</x:v>
      </x:c>
      <x:c r="J390" s="169" t="n">
        <x:f>H390-I390</x:f>
        <x:v>0</x:v>
      </x:c>
      <x:c r="K390" s="168" t="str">
        <x:v>2022.pdf</x:v>
      </x:c>
      <x:c r="L390" s="168" t="n">
        <x:v>226</x:v>
      </x:c>
      <x:c r="M390" s="168" t="str">
        <x:v>Comparative</x:v>
      </x:c>
      <x:c r="N390" s="171" t="str">
        <x:v>Printed amount independently located</x:v>
      </x:c>
      <x:c r="O390" s="171" t="str">
        <x:v>Exact source amount found; audited year/current-comparative column recorded. Accounting subtotal tests performed separately.</x:v>
      </x:c>
      <x:c r="P390" s="171" t="str">
        <x:v>osits 9  8,106  7,937 
     140,146,677  115,691,694 
CURRENT ASSETS 
 Stores and spares 10  11,206,843   10,526,573 
 Stock-in-trade 11  7,171,364   3,105,037 
 Trade debts 12  3,522,931   2,710,081 
 Loans and advances 13  735,337   944,987 
 Trade deposits and short-term prepayments 14  140,532   85,403 
 Accrued return   39,316   22,</x:v>
      </x:c>
    </x:row>
    <x:row r="391" ht="82" customHeight="1">
      <x:c r="A391" s="76" t="str">
        <x:v>LUCK|sit|2022</x:v>
      </x:c>
      <x:c r="B391" s="76" t="str">
        <x:v>LUCK</x:v>
      </x:c>
      <x:c r="C391" s="76" t="str">
        <x:v>FY2022</x:v>
      </x:c>
      <x:c r="D391" s="76" t="str">
        <x:v>Stock-in-trade</x:v>
      </x:c>
      <x:c r="E391" s="170" t="n">
        <x:v>7171364</x:v>
      </x:c>
      <x:c r="F391" s="170" t="n">
        <x:v>7171364</x:v>
      </x:c>
      <x:c r="G391" s="170" t="str">
        <x:v>PKR '000</x:v>
      </x:c>
      <x:c r="H391" s="170" t="n">
        <x:f>F391/1000</x:f>
        <x:v>7171.364</x:v>
      </x:c>
      <x:c r="I391" s="170" t="n">
        <x:f>LUCK!E31</x:f>
        <x:v>7171.364</x:v>
      </x:c>
      <x:c r="J391" s="170" t="n">
        <x:f>H391-I391</x:f>
        <x:v>0</x:v>
      </x:c>
      <x:c r="K391" s="76" t="str">
        <x:v>2023.pdf</x:v>
      </x:c>
      <x:c r="L391" s="76" t="n">
        <x:v>234</x:v>
      </x:c>
      <x:c r="M391" s="76" t="str">
        <x:v>Comparative</x:v>
      </x:c>
      <x:c r="N391" s="99" t="str">
        <x:v>Printed amount independently located</x:v>
      </x:c>
      <x:c r="O391" s="99" t="str">
        <x:v>Exact source amount found; audited year/current-comparative column recorded. Accounting subtotal tests performed separately.</x:v>
      </x:c>
      <x:c r="P391" s="99" t="str">
        <x:v>osits 9  7,842  8,106 
     153,502,425  140,146,677 
CURRENT ASSETS 
 Stores and spares 10  14,084,018   11,206,843 
 Stock-in-trade 11  6,048,507   7,171,364 
 Trade debts 12  5,089,667   3,522,931 
 Loans and advances 13  749,292   735,337 
 Trade deposits and short-term prepayments 14  2,153,705   140,532 
 Accrued return   100,079</x:v>
      </x:c>
    </x:row>
    <x:row r="392" ht="82" customHeight="1">
      <x:c r="A392" s="168" t="str">
        <x:v>LUCK|sit|2023</x:v>
      </x:c>
      <x:c r="B392" s="168" t="str">
        <x:v>LUCK</x:v>
      </x:c>
      <x:c r="C392" s="168" t="str">
        <x:v>FY2023</x:v>
      </x:c>
      <x:c r="D392" s="168" t="str">
        <x:v>Stock-in-trade</x:v>
      </x:c>
      <x:c r="E392" s="169" t="n">
        <x:v>6048507</x:v>
      </x:c>
      <x:c r="F392" s="169" t="n">
        <x:v>6048507</x:v>
      </x:c>
      <x:c r="G392" s="169" t="str">
        <x:v>PKR '000</x:v>
      </x:c>
      <x:c r="H392" s="169" t="n">
        <x:f>F392/1000</x:f>
        <x:v>6048.507</x:v>
      </x:c>
      <x:c r="I392" s="169" t="n">
        <x:f>LUCK!F31</x:f>
        <x:v>6048.507</x:v>
      </x:c>
      <x:c r="J392" s="169" t="n">
        <x:f>H392-I392</x:f>
        <x:v>0</x:v>
      </x:c>
      <x:c r="K392" s="168" t="str">
        <x:v>2024.pdf</x:v>
      </x:c>
      <x:c r="L392" s="168" t="n">
        <x:v>238</x:v>
      </x:c>
      <x:c r="M392" s="168" t="str">
        <x:v>Comparative</x:v>
      </x:c>
      <x:c r="N392" s="171" t="str">
        <x:v>Printed amount independently located</x:v>
      </x:c>
      <x:c r="O392" s="171" t="str">
        <x:v>Exact source amount found; audited year/current-comparative column recorded. Accounting subtotal tests performed separately.</x:v>
      </x:c>
      <x:c r="P392" s="171" t="str">
        <x:v>,842 
 7,842 
    165,566,006 
 153,502,425 
CURRENT ASSETS
 Stores and spares
 10
  14,591,821 
  14,084,018 
 Stock-in-trade
 11
  8,505,426 
  6,048,507 
 Trade debts
 12
  6,932,479 
  5,089,667 
 Loans and advances
 13
  964,732 
  749,292 
 Trade deposits and short-term prepayments
 14
  158,422 
  2,153,705 
 Accrued return</x:v>
      </x:c>
    </x:row>
    <x:row r="393" ht="82" customHeight="1">
      <x:c r="A393" s="76" t="str">
        <x:v>LUCK|sit|2024</x:v>
      </x:c>
      <x:c r="B393" s="76" t="str">
        <x:v>LUCK</x:v>
      </x:c>
      <x:c r="C393" s="76" t="str">
        <x:v>FY2024</x:v>
      </x:c>
      <x:c r="D393" s="76" t="str">
        <x:v>Stock-in-trade</x:v>
      </x:c>
      <x:c r="E393" s="170" t="n">
        <x:v>8505426</x:v>
      </x:c>
      <x:c r="F393" s="170" t="n">
        <x:v>8505426</x:v>
      </x:c>
      <x:c r="G393" s="170" t="str">
        <x:v>PKR '000</x:v>
      </x:c>
      <x:c r="H393" s="170" t="n">
        <x:f>F393/1000</x:f>
        <x:v>8505.426</x:v>
      </x:c>
      <x:c r="I393" s="170" t="n">
        <x:f>LUCK!G31</x:f>
        <x:v>8505.426</x:v>
      </x:c>
      <x:c r="J393" s="170" t="n">
        <x:f>H393-I393</x:f>
        <x:v>0</x:v>
      </x:c>
      <x:c r="K393" s="76" t="str">
        <x:v>2025.pdf</x:v>
      </x:c>
      <x:c r="L393" s="76" t="n">
        <x:v>240</x:v>
      </x:c>
      <x:c r="M393" s="76" t="str">
        <x:v>Comparative</x:v>
      </x:c>
      <x:c r="N393" s="99" t="str">
        <x:v>Printed amount independently located</x:v>
      </x:c>
      <x:c r="O393" s="99" t="str">
        <x:v>Exact source amount found; audited year/current-comparative column recorded. Accounting subtotal tests performed separately.</x:v>
      </x:c>
      <x:c r="P393" s="99" t="str">
        <x:v>8  189,147   165,266 
     166,200,671   165,566,006 
CURRENT ASSETS 
 Stores and spares 9  19,895,130   14,591,821 
 Stock-in-trade 10  4,774,577   8,505,426 
 Trade debts 11  6,353,194   6,932,479 
 Loans and advances 12  1,518,578   964,732 
 Deposits and prepayments 13  356,771   158,422 
 Other receivables 14  3,021,922   4,355,588</x:v>
      </x:c>
    </x:row>
    <x:row r="394" ht="82" customHeight="1">
      <x:c r="A394" s="168" t="str">
        <x:v>LUCK|sit|2025</x:v>
      </x:c>
      <x:c r="B394" s="168" t="str">
        <x:v>LUCK</x:v>
      </x:c>
      <x:c r="C394" s="168" t="str">
        <x:v>FY2025</x:v>
      </x:c>
      <x:c r="D394" s="168" t="str">
        <x:v>Stock-in-trade</x:v>
      </x:c>
      <x:c r="E394" s="169" t="n">
        <x:v>4774577</x:v>
      </x:c>
      <x:c r="F394" s="169" t="n">
        <x:v>4774577</x:v>
      </x:c>
      <x:c r="G394" s="169" t="str">
        <x:v>PKR '000</x:v>
      </x:c>
      <x:c r="H394" s="169" t="n">
        <x:f>F394/1000</x:f>
        <x:v>4774.577</x:v>
      </x:c>
      <x:c r="I394" s="169" t="n">
        <x:f>LUCK!H31</x:f>
        <x:v>4774.577</x:v>
      </x:c>
      <x:c r="J394" s="169" t="n">
        <x:f>H394-I394</x:f>
        <x:v>0</x:v>
      </x:c>
      <x:c r="K394" s="168" t="str">
        <x:v>2025.pdf</x:v>
      </x:c>
      <x:c r="L394" s="168" t="n">
        <x:v>240</x:v>
      </x:c>
      <x:c r="M394" s="168" t="str">
        <x:v>Current year</x:v>
      </x:c>
      <x:c r="N394" s="171" t="str">
        <x:v>Printed amount independently located</x:v>
      </x:c>
      <x:c r="O394" s="171" t="str">
        <x:v>Exact source amount found; audited year/current-comparative column recorded. Accounting subtotal tests performed separately.</x:v>
      </x:c>
      <x:c r="P394" s="171" t="str">
        <x:v>and deposits 8  189,147   165,266 
     166,200,671   165,566,006 
CURRENT ASSETS 
 Stores and spares 9  19,895,130   14,591,821 
 Stock-in-trade 10  4,774,577   8,505,426 
 Trade debts 11  6,353,194   6,932,479 
 Loans and advances 12  1,518,578   964,732 
 Deposits and prepayments 13  356,771   158,422 
 Other receivables 14  3,021,922</x:v>
      </x:c>
    </x:row>
    <x:row r="395" ht="82" customHeight="1">
      <x:c r="A395" s="76" t="str">
        <x:v>LUCK|debts|2020</x:v>
      </x:c>
      <x:c r="B395" s="76" t="str">
        <x:v>LUCK</x:v>
      </x:c>
      <x:c r="C395" s="76" t="str">
        <x:v>FY2020</x:v>
      </x:c>
      <x:c r="D395" s="76" t="str">
        <x:v>Trade debts</x:v>
      </x:c>
      <x:c r="E395" s="170" t="n">
        <x:v>3422767</x:v>
      </x:c>
      <x:c r="F395" s="170" t="n">
        <x:v>3422767</x:v>
      </x:c>
      <x:c r="G395" s="170" t="str">
        <x:v>PKR '000</x:v>
      </x:c>
      <x:c r="H395" s="170" t="n">
        <x:f>F395/1000</x:f>
        <x:v>3422.767</x:v>
      </x:c>
      <x:c r="I395" s="170" t="n">
        <x:f>LUCK!C32</x:f>
        <x:v>3422.767</x:v>
      </x:c>
      <x:c r="J395" s="170" t="n">
        <x:f>H395-I395</x:f>
        <x:v>0</x:v>
      </x:c>
      <x:c r="K395" s="76" t="str">
        <x:v>2021.pdf</x:v>
      </x:c>
      <x:c r="L395" s="76" t="n">
        <x:v>191</x:v>
      </x:c>
      <x:c r="M395" s="76" t="str">
        <x:v>Comparative</x:v>
      </x:c>
      <x:c r="N395" s="99" t="str">
        <x:v>Printed amount independently located</x:v>
      </x:c>
      <x:c r="O395" s="99" t="str">
        <x:v>Exact source amount found; audited year/current-comparative column recorded. Accounting subtotal tests performed separately.</x:v>
      </x:c>
      <x:c r="P395" s="99" t="str">
        <x:v>1 
CURRENT AS
SETS  
 Stores and spares  10   10,526,573   6,520,170 
 Stock
-in-trade
 11
  3,105,037 
  2,915,552 
 T
rade debts
 12
  2,710,081 
  3,422,767 
 Loans and advances
 13
  944,987 
  390,966 
 T
rade deposits and short-term prepayments
 14
  85,403 
  81,169 
 Accrued return
   22,309 
  47,572 
 Other receivables
 15
  3,</x:v>
      </x:c>
    </x:row>
    <x:row r="396" ht="82" customHeight="1">
      <x:c r="A396" s="168" t="str">
        <x:v>LUCK|debts|2021</x:v>
      </x:c>
      <x:c r="B396" s="168" t="str">
        <x:v>LUCK</x:v>
      </x:c>
      <x:c r="C396" s="168" t="str">
        <x:v>FY2021</x:v>
      </x:c>
      <x:c r="D396" s="168" t="str">
        <x:v>Trade debts</x:v>
      </x:c>
      <x:c r="E396" s="169" t="n">
        <x:v>2710081</x:v>
      </x:c>
      <x:c r="F396" s="169" t="n">
        <x:v>2710081</x:v>
      </x:c>
      <x:c r="G396" s="169" t="str">
        <x:v>PKR '000</x:v>
      </x:c>
      <x:c r="H396" s="169" t="n">
        <x:f>F396/1000</x:f>
        <x:v>2710.081</x:v>
      </x:c>
      <x:c r="I396" s="169" t="n">
        <x:f>LUCK!D32</x:f>
        <x:v>2710.081</x:v>
      </x:c>
      <x:c r="J396" s="169" t="n">
        <x:f>H396-I396</x:f>
        <x:v>0</x:v>
      </x:c>
      <x:c r="K396" s="168" t="str">
        <x:v>2022.pdf</x:v>
      </x:c>
      <x:c r="L396" s="168" t="n">
        <x:v>226</x:v>
      </x:c>
      <x:c r="M396" s="168" t="str">
        <x:v>Comparative</x:v>
      </x:c>
      <x:c r="N396" s="171" t="str">
        <x:v>Printed amount independently located</x:v>
      </x:c>
      <x:c r="O396" s="171" t="str">
        <x:v>Exact source amount found; audited year/current-comparative column recorded. Accounting subtotal tests performed separately.</x:v>
      </x:c>
      <x:c r="P396" s="171" t="str">
        <x:v>115,691,694 
CURRENT ASSETS 
 Stores and spares 10  11,206,843   10,526,573 
 Stock-in-trade 11  7,171,364   3,105,037 
 Trade debts 12  3,522,931   2,710,081 
 Loans and advances 13  735,337   944,987 
 Trade deposits and short-term prepayments 14  140,532   85,403 
 Accrued return   39,316   22,309 
 Other receivables 15  4,838,323</x:v>
      </x:c>
    </x:row>
    <x:row r="397" ht="82" customHeight="1">
      <x:c r="A397" s="76" t="str">
        <x:v>LUCK|debts|2022</x:v>
      </x:c>
      <x:c r="B397" s="76" t="str">
        <x:v>LUCK</x:v>
      </x:c>
      <x:c r="C397" s="76" t="str">
        <x:v>FY2022</x:v>
      </x:c>
      <x:c r="D397" s="76" t="str">
        <x:v>Trade debts</x:v>
      </x:c>
      <x:c r="E397" s="170" t="n">
        <x:v>3522931</x:v>
      </x:c>
      <x:c r="F397" s="170" t="n">
        <x:v>3522931</x:v>
      </x:c>
      <x:c r="G397" s="170" t="str">
        <x:v>PKR '000</x:v>
      </x:c>
      <x:c r="H397" s="170" t="n">
        <x:f>F397/1000</x:f>
        <x:v>3522.931</x:v>
      </x:c>
      <x:c r="I397" s="170" t="n">
        <x:f>LUCK!E32</x:f>
        <x:v>3522.931</x:v>
      </x:c>
      <x:c r="J397" s="170" t="n">
        <x:f>H397-I397</x:f>
        <x:v>0</x:v>
      </x:c>
      <x:c r="K397" s="76" t="str">
        <x:v>2023.pdf</x:v>
      </x:c>
      <x:c r="L397" s="76" t="n">
        <x:v>234</x:v>
      </x:c>
      <x:c r="M397" s="76" t="str">
        <x:v>Comparative</x:v>
      </x:c>
      <x:c r="N397" s="99" t="str">
        <x:v>Printed amount independently located</x:v>
      </x:c>
      <x:c r="O397" s="99" t="str">
        <x:v>Exact source amount found; audited year/current-comparative column recorded. Accounting subtotal tests performed separately.</x:v>
      </x:c>
      <x:c r="P397" s="99" t="str">
        <x:v>140,146,677 
CURRENT ASSETS 
 Stores and spares 10  14,084,018   11,206,843 
 Stock-in-trade 11  6,048,507   7,171,364 
 Trade debts 12  5,089,667   3,522,931 
 Loans and advances 13  749,292   735,337 
 Trade deposits and short-term prepayments 14  2,153,705   140,532 
 Accrued return   100,079   39,316 
 Other receivables 15  4,797,88</x:v>
      </x:c>
    </x:row>
    <x:row r="398" ht="82" customHeight="1">
      <x:c r="A398" s="168" t="str">
        <x:v>LUCK|debts|2023</x:v>
      </x:c>
      <x:c r="B398" s="168" t="str">
        <x:v>LUCK</x:v>
      </x:c>
      <x:c r="C398" s="168" t="str">
        <x:v>FY2023</x:v>
      </x:c>
      <x:c r="D398" s="168" t="str">
        <x:v>Trade debts</x:v>
      </x:c>
      <x:c r="E398" s="169" t="n">
        <x:v>5089667</x:v>
      </x:c>
      <x:c r="F398" s="169" t="n">
        <x:v>5089667</x:v>
      </x:c>
      <x:c r="G398" s="169" t="str">
        <x:v>PKR '000</x:v>
      </x:c>
      <x:c r="H398" s="169" t="n">
        <x:f>F398/1000</x:f>
        <x:v>5089.667</x:v>
      </x:c>
      <x:c r="I398" s="169" t="n">
        <x:f>LUCK!F32</x:f>
        <x:v>5089.667</x:v>
      </x:c>
      <x:c r="J398" s="169" t="n">
        <x:f>H398-I398</x:f>
        <x:v>0</x:v>
      </x:c>
      <x:c r="K398" s="168" t="str">
        <x:v>2024.pdf</x:v>
      </x:c>
      <x:c r="L398" s="168" t="n">
        <x:v>238</x:v>
      </x:c>
      <x:c r="M398" s="168" t="str">
        <x:v>Comparative</x:v>
      </x:c>
      <x:c r="N398" s="171" t="str">
        <x:v>Printed amount independently located</x:v>
      </x:c>
      <x:c r="O398" s="171" t="str">
        <x:v>Exact source amount found; audited year/current-comparative column recorded. Accounting subtotal tests performed separately.</x:v>
      </x:c>
      <x:c r="P398" s="171" t="str">
        <x:v>25 
CURRENT ASSETS
 Stores and spares
 10
  14,591,821 
  14,084,018 
 Stock-in-trade
 11
  8,505,426 
  6,048,507 
 Trade debts
 12
  6,932,479 
  5,089,667 
 Loans and advances
 13
  964,732 
  749,292 
 Trade deposits and short-term prepayments
 14
  158,422 
  2,153,705 
 Accrued return
   35,076 
  100,079 
 Other receivables
 15</x:v>
      </x:c>
    </x:row>
    <x:row r="399" ht="82" customHeight="1">
      <x:c r="A399" s="76" t="str">
        <x:v>LUCK|debts|2024</x:v>
      </x:c>
      <x:c r="B399" s="76" t="str">
        <x:v>LUCK</x:v>
      </x:c>
      <x:c r="C399" s="76" t="str">
        <x:v>FY2024</x:v>
      </x:c>
      <x:c r="D399" s="76" t="str">
        <x:v>Trade debts</x:v>
      </x:c>
      <x:c r="E399" s="170" t="n">
        <x:v>6932479</x:v>
      </x:c>
      <x:c r="F399" s="170" t="n">
        <x:v>6932479</x:v>
      </x:c>
      <x:c r="G399" s="170" t="str">
        <x:v>PKR '000</x:v>
      </x:c>
      <x:c r="H399" s="170" t="n">
        <x:f>F399/1000</x:f>
        <x:v>6932.479</x:v>
      </x:c>
      <x:c r="I399" s="170" t="n">
        <x:f>LUCK!G32</x:f>
        <x:v>6932.479</x:v>
      </x:c>
      <x:c r="J399" s="170" t="n">
        <x:f>H399-I399</x:f>
        <x:v>0</x:v>
      </x:c>
      <x:c r="K399" s="76" t="str">
        <x:v>2025.pdf</x:v>
      </x:c>
      <x:c r="L399" s="76" t="n">
        <x:v>240</x:v>
      </x:c>
      <x:c r="M399" s="76" t="str">
        <x:v>Comparative</x:v>
      </x:c>
      <x:c r="N399" s="99" t="str">
        <x:v>Printed amount independently located</x:v>
      </x:c>
      <x:c r="O399" s="99" t="str">
        <x:v>Exact source amount found; audited year/current-comparative column recorded. Accounting subtotal tests performed separately.</x:v>
      </x:c>
      <x:c r="P399" s="99" t="str">
        <x:v>165,566,006 
CURRENT ASSETS 
 Stores and spares 9  19,895,130   14,591,821 
 Stock-in-trade 10  4,774,577   8,505,426 
 Trade debts 11  6,353,194   6,932,479 
 Loans and advances 12  1,518,578   964,732 
 Deposits and prepayments 13  356,771   158,422 
 Other receivables 14  3,021,922   4,355,588 
 Tax refunds due from the Government 1</x:v>
      </x:c>
    </x:row>
    <x:row r="400" ht="82" customHeight="1">
      <x:c r="A400" s="168" t="str">
        <x:v>LUCK|debts|2025</x:v>
      </x:c>
      <x:c r="B400" s="168" t="str">
        <x:v>LUCK</x:v>
      </x:c>
      <x:c r="C400" s="168" t="str">
        <x:v>FY2025</x:v>
      </x:c>
      <x:c r="D400" s="168" t="str">
        <x:v>Trade debts</x:v>
      </x:c>
      <x:c r="E400" s="169" t="n">
        <x:v>6353194</x:v>
      </x:c>
      <x:c r="F400" s="169" t="n">
        <x:v>6353194</x:v>
      </x:c>
      <x:c r="G400" s="169" t="str">
        <x:v>PKR '000</x:v>
      </x:c>
      <x:c r="H400" s="169" t="n">
        <x:f>F400/1000</x:f>
        <x:v>6353.194</x:v>
      </x:c>
      <x:c r="I400" s="169" t="n">
        <x:f>LUCK!H32</x:f>
        <x:v>6353.194</x:v>
      </x:c>
      <x:c r="J400" s="169" t="n">
        <x:f>H400-I400</x:f>
        <x:v>0</x:v>
      </x:c>
      <x:c r="K400" s="168" t="str">
        <x:v>2025.pdf</x:v>
      </x:c>
      <x:c r="L400" s="168" t="n">
        <x:v>240</x:v>
      </x:c>
      <x:c r="M400" s="168" t="str">
        <x:v>Current year</x:v>
      </x:c>
      <x:c r="N400" s="171" t="str">
        <x:v>Printed amount independently located</x:v>
      </x:c>
      <x:c r="O400" s="171" t="str">
        <x:v>Exact source amount found; audited year/current-comparative column recorded. Accounting subtotal tests performed separately.</x:v>
      </x:c>
      <x:c r="P400" s="171" t="str">
        <x:v>166,200,671   165,566,006 
CURRENT ASSETS 
 Stores and spares 9  19,895,130   14,591,821 
 Stock-in-trade 10  4,774,577   8,505,426 
 Trade debts 11  6,353,194   6,932,479 
 Loans and advances 12  1,518,578   964,732 
 Deposits and prepayments 13  356,771   158,422 
 Other receivables 14  3,021,922   4,355,588 
 Tax refunds due from the</x:v>
      </x:c>
    </x:row>
    <x:row r="401" ht="82" customHeight="1">
      <x:c r="A401" s="76" t="str">
        <x:v>LUCK|st_inv|2020</x:v>
      </x:c>
      <x:c r="B401" s="76" t="str">
        <x:v>LUCK</x:v>
      </x:c>
      <x:c r="C401" s="76" t="str">
        <x:v>FY2020</x:v>
      </x:c>
      <x:c r="D401" s="76" t="str">
        <x:v>Short-term investments</x:v>
      </x:c>
      <x:c r="E401" s="170" t="n">
        <x:v>2970999</x:v>
      </x:c>
      <x:c r="F401" s="170" t="n">
        <x:v>2970999</x:v>
      </x:c>
      <x:c r="G401" s="170" t="str">
        <x:v>PKR '000</x:v>
      </x:c>
      <x:c r="H401" s="170" t="n">
        <x:f>F401/1000</x:f>
        <x:v>2970.999</x:v>
      </x:c>
      <x:c r="I401" s="170" t="n">
        <x:f>LUCK!C33</x:f>
        <x:v>2970.999</x:v>
      </x:c>
      <x:c r="J401" s="170" t="n">
        <x:f>H401-I401</x:f>
        <x:v>0</x:v>
      </x:c>
      <x:c r="K401" s="76" t="str">
        <x:v>2021.pdf</x:v>
      </x:c>
      <x:c r="L401" s="76" t="n">
        <x:v>191</x:v>
      </x:c>
      <x:c r="M401" s="76" t="str">
        <x:v>Comparative</x:v>
      </x:c>
      <x:c r="N401" s="99" t="str">
        <x:v>Printed amount independently located</x:v>
      </x:c>
      <x:c r="O401" s="99" t="str">
        <x:v>Exact source amount found; audited year/current-comparative column recorded. Accounting subtotal tests performed separately.</x:v>
      </x:c>
      <x:c r="P401" s="99" t="str">
        <x:v>receivables
 15
  3,690,639 
  3,670,300 
 T
ax refunds due from the Government
 16
  538,812 
  538,812 
 Short term investments
 17
  16,227,103 
  2,970,999 
 Cash and bank balances
 18
  2,825,424 
  7,816,606 
    40,676,368 
  28,374,913 
TOT
AL ASSETS
   156,368,062 
  135,868,474 
EQUITY AND LIABILITIES
SHARE CAPIT
AL AND</x:v>
      </x:c>
    </x:row>
    <x:row r="402" ht="82" customHeight="1">
      <x:c r="A402" s="168" t="str">
        <x:v>LUCK|st_inv|2021</x:v>
      </x:c>
      <x:c r="B402" s="168" t="str">
        <x:v>LUCK</x:v>
      </x:c>
      <x:c r="C402" s="168" t="str">
        <x:v>FY2021</x:v>
      </x:c>
      <x:c r="D402" s="168" t="str">
        <x:v>Short-term investments</x:v>
      </x:c>
      <x:c r="E402" s="169" t="n">
        <x:v>16227103</x:v>
      </x:c>
      <x:c r="F402" s="169" t="n">
        <x:v>16227103</x:v>
      </x:c>
      <x:c r="G402" s="169" t="str">
        <x:v>PKR '000</x:v>
      </x:c>
      <x:c r="H402" s="169" t="n">
        <x:f>F402/1000</x:f>
        <x:v>16227.103</x:v>
      </x:c>
      <x:c r="I402" s="169" t="n">
        <x:f>LUCK!D33</x:f>
        <x:v>16227.103</x:v>
      </x:c>
      <x:c r="J402" s="169" t="n">
        <x:f>H402-I402</x:f>
        <x:v>0</x:v>
      </x:c>
      <x:c r="K402" s="168" t="str">
        <x:v>2022.pdf</x:v>
      </x:c>
      <x:c r="L402" s="168" t="n">
        <x:v>226</x:v>
      </x:c>
      <x:c r="M402" s="168" t="str">
        <x:v>Comparative</x:v>
      </x:c>
      <x:c r="N402" s="171" t="str">
        <x:v>Printed amount independently located</x:v>
      </x:c>
      <x:c r="O402" s="171" t="str">
        <x:v>Exact source amount found; audited year/current-comparative column recorded. Accounting subtotal tests performed separately.</x:v>
      </x:c>
      <x:c r="P402" s="171" t="str">
        <x:v>Other receivables 15  4,838,323   3,690,639 
 T ax refunds due from the Government 16  538,812   538,812 
 Short-term investments 17  12,751,155   16,227,103 
 Cash and bank balances 18  3,871,078   2,825,424 
     44,815,691   40,676,368 
TOTAL ASSETS   184,962,368   156,368,062 
EQUITY AND LIABILITIES 
SHARE CAPITAL AND RESERVES</x:v>
      </x:c>
    </x:row>
    <x:row r="403" ht="82" customHeight="1">
      <x:c r="A403" s="76" t="str">
        <x:v>LUCK|st_inv|2022</x:v>
      </x:c>
      <x:c r="B403" s="76" t="str">
        <x:v>LUCK</x:v>
      </x:c>
      <x:c r="C403" s="76" t="str">
        <x:v>FY2022</x:v>
      </x:c>
      <x:c r="D403" s="76" t="str">
        <x:v>Short-term investments</x:v>
      </x:c>
      <x:c r="E403" s="170" t="n">
        <x:v>12751155</x:v>
      </x:c>
      <x:c r="F403" s="170" t="n">
        <x:v>12751155</x:v>
      </x:c>
      <x:c r="G403" s="170" t="str">
        <x:v>PKR '000</x:v>
      </x:c>
      <x:c r="H403" s="170" t="n">
        <x:f>F403/1000</x:f>
        <x:v>12751.155</x:v>
      </x:c>
      <x:c r="I403" s="170" t="n">
        <x:f>LUCK!E33</x:f>
        <x:v>12751.155</x:v>
      </x:c>
      <x:c r="J403" s="170" t="n">
        <x:f>H403-I403</x:f>
        <x:v>0</x:v>
      </x:c>
      <x:c r="K403" s="76" t="str">
        <x:v>2023.pdf</x:v>
      </x:c>
      <x:c r="L403" s="76" t="n">
        <x:v>234</x:v>
      </x:c>
      <x:c r="M403" s="76" t="str">
        <x:v>Comparative</x:v>
      </x:c>
      <x:c r="N403" s="99" t="str">
        <x:v>Printed amount independently located</x:v>
      </x:c>
      <x:c r="O403" s="99" t="str">
        <x:v>Exact source amount found; audited year/current-comparative column recorded. Accounting subtotal tests performed separately.</x:v>
      </x:c>
      <x:c r="P403" s="99" t="str">
        <x:v>6 
 Other receivables 15  4,797,885   4,838,323 
 Tax refunds due from the Government 16  538,812   538,812 
 Short-term investments 17  21,898,496   12,751,155 
 Cash and bank balances 18  4,116,181   3,871,078 
     59,576,642   44,815,691 
TOTAL ASSETS   213,079,067   184,962,368 
EQUITY AND LIABILITIES 
SHARE CAPITAL AND RESERVES</x:v>
      </x:c>
    </x:row>
    <x:row r="404" ht="82" customHeight="1">
      <x:c r="A404" s="168" t="str">
        <x:v>LUCK|st_inv|2023</x:v>
      </x:c>
      <x:c r="B404" s="168" t="str">
        <x:v>LUCK</x:v>
      </x:c>
      <x:c r="C404" s="168" t="str">
        <x:v>FY2023</x:v>
      </x:c>
      <x:c r="D404" s="168" t="str">
        <x:v>Short-term investments</x:v>
      </x:c>
      <x:c r="E404" s="169" t="n">
        <x:v>21898496</x:v>
      </x:c>
      <x:c r="F404" s="169" t="n">
        <x:v>21898496</x:v>
      </x:c>
      <x:c r="G404" s="169" t="str">
        <x:v>PKR '000</x:v>
      </x:c>
      <x:c r="H404" s="169" t="n">
        <x:f>F404/1000</x:f>
        <x:v>21898.496</x:v>
      </x:c>
      <x:c r="I404" s="169" t="n">
        <x:f>LUCK!F33</x:f>
        <x:v>21898.496</x:v>
      </x:c>
      <x:c r="J404" s="169" t="n">
        <x:f>H404-I404</x:f>
        <x:v>0</x:v>
      </x:c>
      <x:c r="K404" s="168" t="str">
        <x:v>2024.pdf</x:v>
      </x:c>
      <x:c r="L404" s="168" t="n">
        <x:v>238</x:v>
      </x:c>
      <x:c r="M404" s="168" t="str">
        <x:v>Comparative</x:v>
      </x:c>
      <x:c r="N404" s="171" t="str">
        <x:v>Printed amount independently located</x:v>
      </x:c>
      <x:c r="O404" s="171" t="str">
        <x:v>Exact source amount found; audited year/current-comparative column recorded. Accounting subtotal tests performed separately.</x:v>
      </x:c>
      <x:c r="P404" s="171" t="str">
        <x:v>receivables
 15
  4,320,512 
  4,797,885 
 Tax refunds due from the Government
 16
  538,812 
  538,812 
 Short-term investments
 17
  29,837,628 
  21,898,496 
 Cash and bank balances
 18
  2,567,176 
  4,116,181 
    68,452,084 
  59,576,642 
TOTAL ASSETS
   234,018,090 
  213,079,067 
EQUITY AND LIABILITIES
SHARE CAPITAL AND R</x:v>
      </x:c>
    </x:row>
    <x:row r="405" ht="82" customHeight="1">
      <x:c r="A405" s="76" t="str">
        <x:v>LUCK|st_inv|2024</x:v>
      </x:c>
      <x:c r="B405" s="76" t="str">
        <x:v>LUCK</x:v>
      </x:c>
      <x:c r="C405" s="76" t="str">
        <x:v>FY2024</x:v>
      </x:c>
      <x:c r="D405" s="76" t="str">
        <x:v>Short-term investments</x:v>
      </x:c>
      <x:c r="E405" s="170" t="n">
        <x:v>29837628</x:v>
      </x:c>
      <x:c r="F405" s="170" t="n">
        <x:v>29837628</x:v>
      </x:c>
      <x:c r="G405" s="170" t="str">
        <x:v>PKR '000</x:v>
      </x:c>
      <x:c r="H405" s="170" t="n">
        <x:f>F405/1000</x:f>
        <x:v>29837.628</x:v>
      </x:c>
      <x:c r="I405" s="170" t="n">
        <x:f>LUCK!G33</x:f>
        <x:v>29837.628</x:v>
      </x:c>
      <x:c r="J405" s="170" t="n">
        <x:f>H405-I405</x:f>
        <x:v>0</x:v>
      </x:c>
      <x:c r="K405" s="76" t="str">
        <x:v>2025.pdf</x:v>
      </x:c>
      <x:c r="L405" s="76" t="n">
        <x:v>240</x:v>
      </x:c>
      <x:c r="M405" s="76" t="str">
        <x:v>Comparative</x:v>
      </x:c>
      <x:c r="N405" s="99" t="str">
        <x:v>Printed amount independently located</x:v>
      </x:c>
      <x:c r="O405" s="99" t="str">
        <x:v>Exact source amount found; audited year/current-comparative column recorded. Accounting subtotal tests performed separately.</x:v>
      </x:c>
      <x:c r="P405" s="99" t="str">
        <x:v>2 
 Other receivables 14  3,021,922   4,355,588 
 Tax refunds due from the Government 15  538,812   538,812 
 Short-term investments 16  61,298,052   29,837,628 
 Cash and bank balances 17  2,790,323   2,567,176 
     100,547,359   68,452,084 
TOTAL ASSETS   266,748,030   234,018,090 
EQUITY AND LIABILITIES 
SHARE CAPITAL AND RESERVES</x:v>
      </x:c>
    </x:row>
    <x:row r="406" ht="82" customHeight="1">
      <x:c r="A406" s="168" t="str">
        <x:v>LUCK|st_inv|2025</x:v>
      </x:c>
      <x:c r="B406" s="168" t="str">
        <x:v>LUCK</x:v>
      </x:c>
      <x:c r="C406" s="168" t="str">
        <x:v>FY2025</x:v>
      </x:c>
      <x:c r="D406" s="168" t="str">
        <x:v>Short-term investments</x:v>
      </x:c>
      <x:c r="E406" s="169" t="n">
        <x:v>61298052</x:v>
      </x:c>
      <x:c r="F406" s="169" t="n">
        <x:v>61298052</x:v>
      </x:c>
      <x:c r="G406" s="169" t="str">
        <x:v>PKR '000</x:v>
      </x:c>
      <x:c r="H406" s="169" t="n">
        <x:f>F406/1000</x:f>
        <x:v>61298.052</x:v>
      </x:c>
      <x:c r="I406" s="169" t="n">
        <x:f>LUCK!H33</x:f>
        <x:v>61298.052</x:v>
      </x:c>
      <x:c r="J406" s="169" t="n">
        <x:f>H406-I406</x:f>
        <x:v>0</x:v>
      </x:c>
      <x:c r="K406" s="168" t="str">
        <x:v>2025.pdf</x:v>
      </x:c>
      <x:c r="L406" s="168" t="n">
        <x:v>240</x:v>
      </x:c>
      <x:c r="M406" s="168" t="str">
        <x:v>Current year</x:v>
      </x:c>
      <x:c r="N406" s="171" t="str">
        <x:v>Printed amount independently located</x:v>
      </x:c>
      <x:c r="O406" s="171" t="str">
        <x:v>Exact source amount found; audited year/current-comparative column recorded. Accounting subtotal tests performed separately.</x:v>
      </x:c>
      <x:c r="P406" s="171" t="str">
        <x:v>,771   158,422 
 Other receivables 14  3,021,922   4,355,588 
 Tax refunds due from the Government 15  538,812   538,812 
 Short-term investments 16  61,298,052   29,837,628 
 Cash and bank balances 17  2,790,323   2,567,176 
     100,547,359   68,452,084 
TOTAL ASSETS   266,748,030   234,018,090 
EQUITY AND LIABILITIES 
SHARE CAPITAL</x:v>
      </x:c>
    </x:row>
    <x:row r="407" ht="82" customHeight="1">
      <x:c r="A407" s="76" t="str">
        <x:v>LUCK|cash|2020</x:v>
      </x:c>
      <x:c r="B407" s="76" t="str">
        <x:v>LUCK</x:v>
      </x:c>
      <x:c r="C407" s="76" t="str">
        <x:v>FY2020</x:v>
      </x:c>
      <x:c r="D407" s="76" t="str">
        <x:v>Cash and bank balances</x:v>
      </x:c>
      <x:c r="E407" s="170" t="n">
        <x:v>7816606</x:v>
      </x:c>
      <x:c r="F407" s="170" t="n">
        <x:v>7816606</x:v>
      </x:c>
      <x:c r="G407" s="170" t="str">
        <x:v>PKR '000</x:v>
      </x:c>
      <x:c r="H407" s="170" t="n">
        <x:f>F407/1000</x:f>
        <x:v>7816.606</x:v>
      </x:c>
      <x:c r="I407" s="170" t="n">
        <x:f>LUCK!C34</x:f>
        <x:v>7816.606</x:v>
      </x:c>
      <x:c r="J407" s="170" t="n">
        <x:f>H407-I407</x:f>
        <x:v>0</x:v>
      </x:c>
      <x:c r="K407" s="76" t="str">
        <x:v>2021.pdf</x:v>
      </x:c>
      <x:c r="L407" s="76" t="n">
        <x:v>191</x:v>
      </x:c>
      <x:c r="M407" s="76" t="str">
        <x:v>Comparative</x:v>
      </x:c>
      <x:c r="N407" s="99" t="str">
        <x:v>Printed amount independently located</x:v>
      </x:c>
      <x:c r="O407" s="99" t="str">
        <x:v>Exact source amount found; audited year/current-comparative column recorded. Accounting subtotal tests performed separately.</x:v>
      </x:c>
      <x:c r="P407" s="99" t="str">
        <x:v>s due from the Government
 16
  538,812 
  538,812 
 Short term investments
 17
  16,227,103 
  2,970,999 
 Cash and bank balances
 18
  2,825,424 
  7,816,606 
    40,676,368 
  28,374,913 
TOT
AL ASSETS
   156,368,062 
  135,868,474 
EQUITY AND LIABILITIES
SHARE CAPIT
AL AND RESERVES
 Issued, subscribed and paid-up share capi</x:v>
      </x:c>
    </x:row>
    <x:row r="408" ht="82" customHeight="1">
      <x:c r="A408" s="168" t="str">
        <x:v>LUCK|cash|2021</x:v>
      </x:c>
      <x:c r="B408" s="168" t="str">
        <x:v>LUCK</x:v>
      </x:c>
      <x:c r="C408" s="168" t="str">
        <x:v>FY2021</x:v>
      </x:c>
      <x:c r="D408" s="168" t="str">
        <x:v>Cash and bank balances</x:v>
      </x:c>
      <x:c r="E408" s="169" t="n">
        <x:v>2825424</x:v>
      </x:c>
      <x:c r="F408" s="169" t="n">
        <x:v>2825424</x:v>
      </x:c>
      <x:c r="G408" s="169" t="str">
        <x:v>PKR '000</x:v>
      </x:c>
      <x:c r="H408" s="169" t="n">
        <x:f>F408/1000</x:f>
        <x:v>2825.424</x:v>
      </x:c>
      <x:c r="I408" s="169" t="n">
        <x:f>LUCK!D34</x:f>
        <x:v>2825.424</x:v>
      </x:c>
      <x:c r="J408" s="169" t="n">
        <x:f>H408-I408</x:f>
        <x:v>0</x:v>
      </x:c>
      <x:c r="K408" s="168" t="str">
        <x:v>2022.pdf</x:v>
      </x:c>
      <x:c r="L408" s="168" t="n">
        <x:v>226</x:v>
      </x:c>
      <x:c r="M408" s="168" t="str">
        <x:v>Comparative</x:v>
      </x:c>
      <x:c r="N408" s="171" t="str">
        <x:v>Printed amount independently located</x:v>
      </x:c>
      <x:c r="O408" s="171" t="str">
        <x:v>Exact source amount found; audited year/current-comparative column recorded. Accounting subtotal tests performed separately.</x:v>
      </x:c>
      <x:c r="P408" s="171" t="str">
        <x:v>x refunds due from the Government 16  538,812   538,812 
 Short-term investments 17  12,751,155   16,227,103 
 Cash and bank balances 18  3,871,078   2,825,424 
     44,815,691   40,676,368 
TOTAL ASSETS   184,962,368   156,368,062 
EQUITY AND LIABILITIES 
SHARE CAPITAL AND RESERVES 
 Issued, subscribed and paid-up share capital 19</x:v>
      </x:c>
    </x:row>
    <x:row r="409" ht="82" customHeight="1">
      <x:c r="A409" s="76" t="str">
        <x:v>LUCK|cash|2022</x:v>
      </x:c>
      <x:c r="B409" s="76" t="str">
        <x:v>LUCK</x:v>
      </x:c>
      <x:c r="C409" s="76" t="str">
        <x:v>FY2022</x:v>
      </x:c>
      <x:c r="D409" s="76" t="str">
        <x:v>Cash and bank balances</x:v>
      </x:c>
      <x:c r="E409" s="170" t="n">
        <x:v>3871078</x:v>
      </x:c>
      <x:c r="F409" s="170" t="n">
        <x:v>3871078</x:v>
      </x:c>
      <x:c r="G409" s="170" t="str">
        <x:v>PKR '000</x:v>
      </x:c>
      <x:c r="H409" s="170" t="n">
        <x:f>F409/1000</x:f>
        <x:v>3871.078</x:v>
      </x:c>
      <x:c r="I409" s="170" t="n">
        <x:f>LUCK!E34</x:f>
        <x:v>3871.078</x:v>
      </x:c>
      <x:c r="J409" s="170" t="n">
        <x:f>H409-I409</x:f>
        <x:v>0</x:v>
      </x:c>
      <x:c r="K409" s="76" t="str">
        <x:v>2023.pdf</x:v>
      </x:c>
      <x:c r="L409" s="76" t="n">
        <x:v>234</x:v>
      </x:c>
      <x:c r="M409" s="76" t="str">
        <x:v>Comparative</x:v>
      </x:c>
      <x:c r="N409" s="99" t="str">
        <x:v>Printed amount independently located</x:v>
      </x:c>
      <x:c r="O409" s="99" t="str">
        <x:v>Exact source amount found; audited year/current-comparative column recorded. Accounting subtotal tests performed separately.</x:v>
      </x:c>
      <x:c r="P409" s="99" t="str">
        <x:v>x refunds due from the Government 16  538,812   538,812 
 Short-term investments 17  21,898,496   12,751,155 
 Cash and bank balances 18  4,116,181   3,871,078 
     59,576,642   44,815,691 
TOTAL ASSETS   213,079,067   184,962,368 
EQUITY AND LIABILITIES 
SHARE CAPITAL AND RESERVES 
 Issued, subscribed and paid-up share capital 19  3,</x:v>
      </x:c>
    </x:row>
    <x:row r="410" ht="82" customHeight="1">
      <x:c r="A410" s="168" t="str">
        <x:v>LUCK|cash|2023</x:v>
      </x:c>
      <x:c r="B410" s="168" t="str">
        <x:v>LUCK</x:v>
      </x:c>
      <x:c r="C410" s="168" t="str">
        <x:v>FY2023</x:v>
      </x:c>
      <x:c r="D410" s="168" t="str">
        <x:v>Cash and bank balances</x:v>
      </x:c>
      <x:c r="E410" s="169" t="n">
        <x:v>4116181</x:v>
      </x:c>
      <x:c r="F410" s="169" t="n">
        <x:v>4116181</x:v>
      </x:c>
      <x:c r="G410" s="169" t="str">
        <x:v>PKR '000</x:v>
      </x:c>
      <x:c r="H410" s="169" t="n">
        <x:f>F410/1000</x:f>
        <x:v>4116.181</x:v>
      </x:c>
      <x:c r="I410" s="169" t="n">
        <x:f>LUCK!F34</x:f>
        <x:v>4116.181</x:v>
      </x:c>
      <x:c r="J410" s="169" t="n">
        <x:f>H410-I410</x:f>
        <x:v>0</x:v>
      </x:c>
      <x:c r="K410" s="168" t="str">
        <x:v>2024.pdf</x:v>
      </x:c>
      <x:c r="L410" s="168" t="n">
        <x:v>238</x:v>
      </x:c>
      <x:c r="M410" s="168" t="str">
        <x:v>Comparative</x:v>
      </x:c>
      <x:c r="N410" s="171" t="str">
        <x:v>Printed amount independently located</x:v>
      </x:c>
      <x:c r="O410" s="171" t="str">
        <x:v>Exact source amount found; audited year/current-comparative column recorded. Accounting subtotal tests performed separately.</x:v>
      </x:c>
      <x:c r="P410" s="171" t="str">
        <x:v>due from the Government
 16
  538,812 
  538,812 
 Short-term investments
 17
  29,837,628 
  21,898,496 
 Cash and bank balances
 18
  2,567,176 
  4,116,181 
    68,452,084 
  59,576,642 
TOTAL ASSETS
   234,018,090 
  213,079,067 
EQUITY AND LIABILITIES
SHARE CAPITAL AND RESERVES
 Share capital
 19
  2,930,000 
  3,118,386</x:v>
      </x:c>
    </x:row>
    <x:row r="411" ht="82" customHeight="1">
      <x:c r="A411" s="76" t="str">
        <x:v>LUCK|cash|2024</x:v>
      </x:c>
      <x:c r="B411" s="76" t="str">
        <x:v>LUCK</x:v>
      </x:c>
      <x:c r="C411" s="76" t="str">
        <x:v>FY2024</x:v>
      </x:c>
      <x:c r="D411" s="76" t="str">
        <x:v>Cash and bank balances</x:v>
      </x:c>
      <x:c r="E411" s="170" t="n">
        <x:v>2567176</x:v>
      </x:c>
      <x:c r="F411" s="170" t="n">
        <x:v>2567176</x:v>
      </x:c>
      <x:c r="G411" s="170" t="str">
        <x:v>PKR '000</x:v>
      </x:c>
      <x:c r="H411" s="170" t="n">
        <x:f>F411/1000</x:f>
        <x:v>2567.176</x:v>
      </x:c>
      <x:c r="I411" s="170" t="n">
        <x:f>LUCK!G34</x:f>
        <x:v>2567.176</x:v>
      </x:c>
      <x:c r="J411" s="170" t="n">
        <x:f>H411-I411</x:f>
        <x:v>0</x:v>
      </x:c>
      <x:c r="K411" s="76" t="str">
        <x:v>2025.pdf</x:v>
      </x:c>
      <x:c r="L411" s="76" t="n">
        <x:v>240</x:v>
      </x:c>
      <x:c r="M411" s="76" t="str">
        <x:v>Comparative</x:v>
      </x:c>
      <x:c r="N411" s="99" t="str">
        <x:v>Printed amount independently located</x:v>
      </x:c>
      <x:c r="O411" s="99" t="str">
        <x:v>Exact source amount found; audited year/current-comparative column recorded. Accounting subtotal tests performed separately.</x:v>
      </x:c>
      <x:c r="P411" s="99" t="str">
        <x:v>x refunds due from the Government 15  538,812   538,812 
 Short-term investments 16  61,298,052   29,837,628 
 Cash and bank balances 17  2,790,323   2,567,176 
     100,547,359   68,452,084 
TOTAL ASSETS   266,748,030   234,018,090 
EQUITY AND LIABILITIES 
SHARE CAPITAL AND RESERVES 
 Share capital 18  2,930,000   2,930,000 
 Reserv</x:v>
      </x:c>
    </x:row>
    <x:row r="412" ht="82" customHeight="1">
      <x:c r="A412" s="168" t="str">
        <x:v>LUCK|cash|2025</x:v>
      </x:c>
      <x:c r="B412" s="168" t="str">
        <x:v>LUCK</x:v>
      </x:c>
      <x:c r="C412" s="168" t="str">
        <x:v>FY2025</x:v>
      </x:c>
      <x:c r="D412" s="168" t="str">
        <x:v>Cash and bank balances</x:v>
      </x:c>
      <x:c r="E412" s="169" t="n">
        <x:v>2790323</x:v>
      </x:c>
      <x:c r="F412" s="169" t="n">
        <x:v>2790323</x:v>
      </x:c>
      <x:c r="G412" s="169" t="str">
        <x:v>PKR '000</x:v>
      </x:c>
      <x:c r="H412" s="169" t="n">
        <x:f>F412/1000</x:f>
        <x:v>2790.323</x:v>
      </x:c>
      <x:c r="I412" s="169" t="n">
        <x:f>LUCK!H34</x:f>
        <x:v>2790.323</x:v>
      </x:c>
      <x:c r="J412" s="169" t="n">
        <x:f>H412-I412</x:f>
        <x:v>0</x:v>
      </x:c>
      <x:c r="K412" s="168" t="str">
        <x:v>2025.pdf</x:v>
      </x:c>
      <x:c r="L412" s="168" t="n">
        <x:v>240</x:v>
      </x:c>
      <x:c r="M412" s="168" t="str">
        <x:v>Current year</x:v>
      </x:c>
      <x:c r="N412" s="171" t="str">
        <x:v>Printed amount independently located</x:v>
      </x:c>
      <x:c r="O412" s="171" t="str">
        <x:v>Exact source amount found; audited year/current-comparative column recorded. Accounting subtotal tests performed separately.</x:v>
      </x:c>
      <x:c r="P412" s="171" t="str">
        <x:v>355,588 
 Tax refunds due from the Government 15  538,812   538,812 
 Short-term investments 16  61,298,052   29,837,628 
 Cash and bank balances 17  2,790,323   2,567,176 
     100,547,359   68,452,084 
TOTAL ASSETS   266,748,030   234,018,090 
EQUITY AND LIABILITIES 
SHARE CAPITAL AND RESERVES 
 Share capital 18  2,930,000   2,930,</x:v>
      </x:c>
    </x:row>
    <x:row r="413" ht="82" customHeight="1">
      <x:c r="A413" s="76" t="str">
        <x:v>LUCK|ca_other|2020</x:v>
      </x:c>
      <x:c r="B413" s="76" t="str">
        <x:v>LUCK</x:v>
      </x:c>
      <x:c r="C413" s="76" t="str">
        <x:v>FY2020</x:v>
      </x:c>
      <x:c r="D413" s="76" t="str">
        <x:v>Other current assets</x:v>
      </x:c>
      <x:c r="E413" s="170" t="n">
        <x:v>4728819</x:v>
      </x:c>
      <x:c r="F413" s="170" t="n">
        <x:v>4728819</x:v>
      </x:c>
      <x:c r="G413" s="170" t="str">
        <x:v>PKR '000</x:v>
      </x:c>
      <x:c r="H413" s="170" t="n">
        <x:f>F413/1000</x:f>
        <x:v>4728.819</x:v>
      </x:c>
      <x:c r="I413" s="170" t="n">
        <x:f>LUCK!C35</x:f>
        <x:v>4728.819</x:v>
      </x:c>
      <x:c r="J413" s="170" t="n">
        <x:f>H413-I413</x:f>
        <x:v>0</x:v>
      </x:c>
      <x:c r="K413" s="76" t="str">
        <x:v>2021.pdf</x:v>
      </x:c>
      <x:c r="L413" s="76" t="n">
        <x:v>191</x:v>
      </x:c>
      <x:c r="M413" s="76" t="str">
        <x:v>Comparative</x:v>
      </x:c>
      <x:c r="N413" s="99" t="str">
        <x:v>Aggregated audited components</x:v>
      </x:c>
      <x:c r="O413" s="99" t="str">
        <x:v>Source-labelled component sum; statement controls and signed-unit conversion independently recomputed.</x:v>
      </x:c>
      <x:c r="P413" s="99" t="str">
        <x:v>
206
STRENGTHENING
PAKISTAN
UNCONSOLIDATED STATEMENT 
OF FINANCIAL POSITION
as at June 30, 2021
Muhammad Ali Tabba
Chief Executive
Muhammad Yunus Tabba
Chairman / Director
Atif Kal | Components: Accrued return; Loans and advances; Other receivables; Tax refunds due from the Government; Trade deposits and short-ter</x:v>
      </x:c>
    </x:row>
    <x:row r="414" ht="82" customHeight="1">
      <x:c r="A414" s="168" t="str">
        <x:v>LUCK|ca_other|2021</x:v>
      </x:c>
      <x:c r="B414" s="168" t="str">
        <x:v>LUCK</x:v>
      </x:c>
      <x:c r="C414" s="168" t="str">
        <x:v>FY2021</x:v>
      </x:c>
      <x:c r="D414" s="168" t="str">
        <x:v>Other current assets</x:v>
      </x:c>
      <x:c r="E414" s="169" t="n">
        <x:v>5282150</x:v>
      </x:c>
      <x:c r="F414" s="169" t="n">
        <x:v>5282150</x:v>
      </x:c>
      <x:c r="G414" s="169" t="str">
        <x:v>PKR '000</x:v>
      </x:c>
      <x:c r="H414" s="169" t="n">
        <x:f>F414/1000</x:f>
        <x:v>5282.15</x:v>
      </x:c>
      <x:c r="I414" s="169" t="n">
        <x:f>LUCK!D35</x:f>
        <x:v>5282.15</x:v>
      </x:c>
      <x:c r="J414" s="169" t="n">
        <x:f>H414-I414</x:f>
        <x:v>0</x:v>
      </x:c>
      <x:c r="K414" s="168" t="str">
        <x:v>2022.pdf</x:v>
      </x:c>
      <x:c r="L414" s="168" t="n">
        <x:v>226</x:v>
      </x:c>
      <x:c r="M414" s="168" t="str">
        <x:v>Comparative</x:v>
      </x:c>
      <x:c r="N414" s="171" t="str">
        <x:v>Aggregated audited components</x:v>
      </x:c>
      <x:c r="O414" s="171" t="str">
        <x:v>Source-labelled component sum; statement controls and signed-unit conversion independently recomputed.</x:v>
      </x:c>
      <x:c r="P414" s="171" t="str">
        <x:v>
Unconsolidated Statement of 
Financial Position
as at June 30, 2022
  Note 2022 2021
   (PKR in ‘000’)
ASSETS 
NON-CURRENT ASSETS 
  Property, plant and equipment 5  82,301,050  6 | Components: Accrued return; Loans and advances; Other receivables; Tax refunds due from the Government; Trade deposits and short-ter</x:v>
      </x:c>
    </x:row>
    <x:row r="415" ht="82" customHeight="1">
      <x:c r="A415" s="76" t="str">
        <x:v>LUCK|ca_other|2022</x:v>
      </x:c>
      <x:c r="B415" s="76" t="str">
        <x:v>LUCK</x:v>
      </x:c>
      <x:c r="C415" s="76" t="str">
        <x:v>FY2022</x:v>
      </x:c>
      <x:c r="D415" s="76" t="str">
        <x:v>Other current assets</x:v>
      </x:c>
      <x:c r="E415" s="170" t="n">
        <x:v>6292320</x:v>
      </x:c>
      <x:c r="F415" s="170" t="n">
        <x:v>6292320</x:v>
      </x:c>
      <x:c r="G415" s="170" t="str">
        <x:v>PKR '000</x:v>
      </x:c>
      <x:c r="H415" s="170" t="n">
        <x:f>F415/1000</x:f>
        <x:v>6292.32</x:v>
      </x:c>
      <x:c r="I415" s="170" t="n">
        <x:f>LUCK!E35</x:f>
        <x:v>6292.32</x:v>
      </x:c>
      <x:c r="J415" s="170" t="n">
        <x:f>H415-I415</x:f>
        <x:v>0</x:v>
      </x:c>
      <x:c r="K415" s="76" t="str">
        <x:v>2023.pdf</x:v>
      </x:c>
      <x:c r="L415" s="76" t="n">
        <x:v>234</x:v>
      </x:c>
      <x:c r="M415" s="76" t="str">
        <x:v>Comparative</x:v>
      </x:c>
      <x:c r="N415" s="99" t="str">
        <x:v>Aggregated audited components</x:v>
      </x:c>
      <x:c r="O415" s="99" t="str">
        <x:v>Source-labelled component sum; statement controls and signed-unit conversion independently recomputed.</x:v>
      </x:c>
      <x:c r="P415" s="99" t="str">
        <x:v>
Unconsolidated Statement of 
Financial Position
as at June 30, 2023
  Note 2023 2022
   (PKR in ‘000’)
ASSETS 
NON-CURRENT ASSETS 
 Fixed assets 
 Property, plant and equipment 5  | Components: Accrued return; Loans and advances; Other receivables; Tax refunds due from the Government; Trade deposits and short-ter</x:v>
      </x:c>
    </x:row>
    <x:row r="416" ht="82" customHeight="1">
      <x:c r="A416" s="168" t="str">
        <x:v>LUCK|ca_other|2023</x:v>
      </x:c>
      <x:c r="B416" s="168" t="str">
        <x:v>LUCK</x:v>
      </x:c>
      <x:c r="C416" s="168" t="str">
        <x:v>FY2023</x:v>
      </x:c>
      <x:c r="D416" s="168" t="str">
        <x:v>Other current assets</x:v>
      </x:c>
      <x:c r="E416" s="169" t="n">
        <x:v>8339773</x:v>
      </x:c>
      <x:c r="F416" s="169" t="n">
        <x:v>8339773</x:v>
      </x:c>
      <x:c r="G416" s="169" t="str">
        <x:v>PKR '000</x:v>
      </x:c>
      <x:c r="H416" s="169" t="n">
        <x:f>F416/1000</x:f>
        <x:v>8339.773</x:v>
      </x:c>
      <x:c r="I416" s="169" t="n">
        <x:f>LUCK!F35</x:f>
        <x:v>8339.773</x:v>
      </x:c>
      <x:c r="J416" s="169" t="n">
        <x:f>H416-I416</x:f>
        <x:v>0</x:v>
      </x:c>
      <x:c r="K416" s="168" t="str">
        <x:v>2024.pdf</x:v>
      </x:c>
      <x:c r="L416" s="168" t="n">
        <x:v>238</x:v>
      </x:c>
      <x:c r="M416" s="168" t="str">
        <x:v>Comparative</x:v>
      </x:c>
      <x:c r="N416" s="171" t="str">
        <x:v>Aggregated audited components</x:v>
      </x:c>
      <x:c r="O416" s="171" t="str">
        <x:v>Source-labelled component sum; statement controls and signed-unit conversion independently recomputed.</x:v>
      </x:c>
      <x:c r="P416" s="171" t="str">
        <x:v>
Unconsolidated Statement of 
Financial Position
as at June 30, 2024
  Note  2024  2023
  (PKR in ‘000’)
ASSETS
NON-CURRENT ASSETS
 Fixed assets
 Property, plant and equipm | Components: Accrued return; Loans and advances; Other receivables; Tax refunds due from the Government; Trade deposits and short-ter</x:v>
      </x:c>
    </x:row>
    <x:row r="417" ht="82" customHeight="1">
      <x:c r="A417" s="76" t="str">
        <x:v>LUCK|ca_other|2024</x:v>
      </x:c>
      <x:c r="B417" s="76" t="str">
        <x:v>LUCK</x:v>
      </x:c>
      <x:c r="C417" s="76" t="str">
        <x:v>FY2024</x:v>
      </x:c>
      <x:c r="D417" s="76" t="str">
        <x:v>Other current assets</x:v>
      </x:c>
      <x:c r="E417" s="170" t="n">
        <x:v>6017554</x:v>
      </x:c>
      <x:c r="F417" s="170" t="n">
        <x:v>6017554</x:v>
      </x:c>
      <x:c r="G417" s="170" t="str">
        <x:v>PKR '000</x:v>
      </x:c>
      <x:c r="H417" s="170" t="n">
        <x:f>F417/1000</x:f>
        <x:v>6017.554</x:v>
      </x:c>
      <x:c r="I417" s="170" t="n">
        <x:f>LUCK!G35</x:f>
        <x:v>6017.554</x:v>
      </x:c>
      <x:c r="J417" s="170" t="n">
        <x:f>H417-I417</x:f>
        <x:v>0</x:v>
      </x:c>
      <x:c r="K417" s="76" t="str">
        <x:v>2025.pdf</x:v>
      </x:c>
      <x:c r="L417" s="76" t="n">
        <x:v>240</x:v>
      </x:c>
      <x:c r="M417" s="76" t="str">
        <x:v>Comparative</x:v>
      </x:c>
      <x:c r="N417" s="99" t="str">
        <x:v>Aggregated audited components</x:v>
      </x:c>
      <x:c r="O417" s="99" t="str">
        <x:v>Source-labelled component sum; statement controls and signed-unit conversion independently recomputed.</x:v>
      </x:c>
      <x:c r="P417" s="99" t="str">
        <x:v>
Unconsolidated Statement of 
Financial Position
as at June 30, 2025
  Note 2025 2024
   (PKR in ‘000’)
ASSETS 
NON-CURRENT ASSETS 
 Property, plant and equipment 5  107,409,588  1 | Components: Deposits and prepayments; Loans and advances; Other receivables; Tax refunds due from the Government</x:v>
      </x:c>
    </x:row>
    <x:row r="418" ht="82" customHeight="1">
      <x:c r="A418" s="168" t="str">
        <x:v>LUCK|ca_other|2025</x:v>
      </x:c>
      <x:c r="B418" s="168" t="str">
        <x:v>LUCK</x:v>
      </x:c>
      <x:c r="C418" s="168" t="str">
        <x:v>FY2025</x:v>
      </x:c>
      <x:c r="D418" s="168" t="str">
        <x:v>Other current assets</x:v>
      </x:c>
      <x:c r="E418" s="169" t="n">
        <x:v>5436083</x:v>
      </x:c>
      <x:c r="F418" s="169" t="n">
        <x:v>5436083</x:v>
      </x:c>
      <x:c r="G418" s="169" t="str">
        <x:v>PKR '000</x:v>
      </x:c>
      <x:c r="H418" s="169" t="n">
        <x:f>F418/1000</x:f>
        <x:v>5436.083</x:v>
      </x:c>
      <x:c r="I418" s="169" t="n">
        <x:f>LUCK!H35</x:f>
        <x:v>5436.083</x:v>
      </x:c>
      <x:c r="J418" s="169" t="n">
        <x:f>H418-I418</x:f>
        <x:v>0</x:v>
      </x:c>
      <x:c r="K418" s="168" t="str">
        <x:v>2025.pdf</x:v>
      </x:c>
      <x:c r="L418" s="168" t="n">
        <x:v>240</x:v>
      </x:c>
      <x:c r="M418" s="168" t="str">
        <x:v>Current year</x:v>
      </x:c>
      <x:c r="N418" s="171" t="str">
        <x:v>Aggregated audited components</x:v>
      </x:c>
      <x:c r="O418" s="171" t="str">
        <x:v>Source-labelled component sum; statement controls and signed-unit conversion independently recomputed.</x:v>
      </x:c>
      <x:c r="P418" s="171" t="str">
        <x:v>
Unconsolidated Statement of 
Financial Position
as at June 30, 2025
  Note 2025 2024
   (PKR in ‘000’)
ASSETS 
NON-CURRENT ASSETS 
 Property, plant and equipment 5  107,409,588  1 | Components: Deposits and prepayments; Loans and advances; Other receivables; Tax refunds due from the Government</x:v>
      </x:c>
    </x:row>
    <x:row r="419" ht="82" customHeight="1">
      <x:c r="A419" s="76" t="str">
        <x:v>LUCK|share_cap|2020</x:v>
      </x:c>
      <x:c r="B419" s="76" t="str">
        <x:v>LUCK</x:v>
      </x:c>
      <x:c r="C419" s="76" t="str">
        <x:v>FY2020</x:v>
      </x:c>
      <x:c r="D419" s="76" t="str">
        <x:v>Issued, subscribed and paid-up share capital</x:v>
      </x:c>
      <x:c r="E419" s="170" t="n">
        <x:v>3233750</x:v>
      </x:c>
      <x:c r="F419" s="170" t="n">
        <x:v>3233750</x:v>
      </x:c>
      <x:c r="G419" s="170" t="str">
        <x:v>PKR '000</x:v>
      </x:c>
      <x:c r="H419" s="170" t="n">
        <x:f>F419/1000</x:f>
        <x:v>3233.75</x:v>
      </x:c>
      <x:c r="I419" s="170" t="n">
        <x:f>LUCK!C39</x:f>
        <x:v>3233.75</x:v>
      </x:c>
      <x:c r="J419" s="170" t="n">
        <x:f>H419-I419</x:f>
        <x:v>0</x:v>
      </x:c>
      <x:c r="K419" s="76" t="str">
        <x:v>2021.pdf</x:v>
      </x:c>
      <x:c r="L419" s="76" t="n">
        <x:v>191</x:v>
      </x:c>
      <x:c r="M419" s="76" t="str">
        <x:v>Comparative</x:v>
      </x:c>
      <x:c r="N419" s="99" t="str">
        <x:v>Printed amount independently located</x:v>
      </x:c>
      <x:c r="O419" s="99" t="str">
        <x:v>Exact source amount found; audited year/current-comparative column recorded. Accounting subtotal tests performed separately.</x:v>
      </x:c>
      <x:c r="P419" s="99" t="str">
        <x:v>ASSETS
   156,368,062 
  135,868,474 
EQUITY AND LIABILITIES
SHARE CAPIT
AL AND RESERVES
 Issued, subscribed and paid-up share capital
 19
  3,233,750 
  3,233,750 
 Reserves
 20
  109,966,508 
  95,950,111 
    113,200,258 
  99,183,861 
NON-CURRENT LIABILITIES
 Long-term deposits
 21
  243,633 
  233,062 
 Long-term loans</x:v>
      </x:c>
    </x:row>
    <x:row r="420" ht="82" customHeight="1">
      <x:c r="A420" s="168" t="str">
        <x:v>LUCK|share_cap|2021</x:v>
      </x:c>
      <x:c r="B420" s="168" t="str">
        <x:v>LUCK</x:v>
      </x:c>
      <x:c r="C420" s="168" t="str">
        <x:v>FY2021</x:v>
      </x:c>
      <x:c r="D420" s="168" t="str">
        <x:v>Issued, subscribed and paid-up share capital</x:v>
      </x:c>
      <x:c r="E420" s="169" t="n">
        <x:v>3233750</x:v>
      </x:c>
      <x:c r="F420" s="169" t="n">
        <x:v>3233750</x:v>
      </x:c>
      <x:c r="G420" s="169" t="str">
        <x:v>PKR '000</x:v>
      </x:c>
      <x:c r="H420" s="169" t="n">
        <x:f>F420/1000</x:f>
        <x:v>3233.75</x:v>
      </x:c>
      <x:c r="I420" s="169" t="n">
        <x:f>LUCK!D39</x:f>
        <x:v>3233.75</x:v>
      </x:c>
      <x:c r="J420" s="169" t="n">
        <x:f>H420-I420</x:f>
        <x:v>0</x:v>
      </x:c>
      <x:c r="K420" s="168" t="str">
        <x:v>2022.pdf</x:v>
      </x:c>
      <x:c r="L420" s="168" t="n">
        <x:v>226</x:v>
      </x:c>
      <x:c r="M420" s="168" t="str">
        <x:v>Comparative</x:v>
      </x:c>
      <x:c r="N420" s="171" t="str">
        <x:v>Printed amount independently located</x:v>
      </x:c>
      <x:c r="O420" s="171" t="str">
        <x:v>Exact source amount found; audited year/current-comparative column recorded. Accounting subtotal tests performed separately.</x:v>
      </x:c>
      <x:c r="P420" s="171" t="str">
        <x:v>TOTAL ASSETS   184,962,368   156,368,062 
EQUITY AND LIABILITIES 
SHARE CAPITAL AND RESERVES 
 Issued, subscribed and paid-up share capital 19  3,233,750   3,233,750 
 Reserves 20  125,306,574   109,966,508 
     128,540,324   113,200,258 
NON-CURRENT LIABILITIES 
 Long-term deposits 21  250,332   243,633 
 Long-term loans 22  14,1</x:v>
      </x:c>
    </x:row>
    <x:row r="421" ht="82" customHeight="1">
      <x:c r="A421" s="76" t="str">
        <x:v>LUCK|share_cap|2022</x:v>
      </x:c>
      <x:c r="B421" s="76" t="str">
        <x:v>LUCK</x:v>
      </x:c>
      <x:c r="C421" s="76" t="str">
        <x:v>FY2022</x:v>
      </x:c>
      <x:c r="D421" s="76" t="str">
        <x:v>Issued, subscribed and paid-up share capital</x:v>
      </x:c>
      <x:c r="E421" s="170" t="n">
        <x:v>3233750</x:v>
      </x:c>
      <x:c r="F421" s="170" t="n">
        <x:v>3233750</x:v>
      </x:c>
      <x:c r="G421" s="170" t="str">
        <x:v>PKR '000</x:v>
      </x:c>
      <x:c r="H421" s="170" t="n">
        <x:f>F421/1000</x:f>
        <x:v>3233.75</x:v>
      </x:c>
      <x:c r="I421" s="170" t="n">
        <x:f>LUCK!E39</x:f>
        <x:v>3233.75</x:v>
      </x:c>
      <x:c r="J421" s="170" t="n">
        <x:f>H421-I421</x:f>
        <x:v>0</x:v>
      </x:c>
      <x:c r="K421" s="76" t="str">
        <x:v>2023.pdf</x:v>
      </x:c>
      <x:c r="L421" s="76" t="n">
        <x:v>234</x:v>
      </x:c>
      <x:c r="M421" s="76" t="str">
        <x:v>Comparative</x:v>
      </x:c>
      <x:c r="N421" s="99" t="str">
        <x:v>Printed amount independently located</x:v>
      </x:c>
      <x:c r="O421" s="99" t="str">
        <x:v>Exact source amount found; audited year/current-comparative column recorded. Accounting subtotal tests performed separately.</x:v>
      </x:c>
      <x:c r="P421" s="99" t="str">
        <x:v>SETS   213,079,067   184,962,368 
EQUITY AND LIABILITIES 
SHARE CAPITAL AND RESERVES 
 Issued, subscribed and paid-up share capital 19  3,118,386   3,233,750 
 Reserves 20  134,247,940   125,306,574 
     137,366,326   128,540,324 
NON-CURRENT LIABILITIES 
 Long-term deposits 21  252,837   250,332 
 Long-term loans 22  14,557,294   14,</x:v>
      </x:c>
    </x:row>
    <x:row r="422" ht="82" customHeight="1">
      <x:c r="A422" s="168" t="str">
        <x:v>LUCK|share_cap|2023</x:v>
      </x:c>
      <x:c r="B422" s="168" t="str">
        <x:v>LUCK</x:v>
      </x:c>
      <x:c r="C422" s="168" t="str">
        <x:v>FY2023</x:v>
      </x:c>
      <x:c r="D422" s="168" t="str">
        <x:v>Issued, subscribed and paid-up share capital</x:v>
      </x:c>
      <x:c r="E422" s="169" t="n">
        <x:v>3118386</x:v>
      </x:c>
      <x:c r="F422" s="169" t="n">
        <x:v>3118386</x:v>
      </x:c>
      <x:c r="G422" s="169" t="str">
        <x:v>PKR '000</x:v>
      </x:c>
      <x:c r="H422" s="169" t="n">
        <x:f>F422/1000</x:f>
        <x:v>3118.386</x:v>
      </x:c>
      <x:c r="I422" s="169" t="n">
        <x:f>LUCK!F39</x:f>
        <x:v>3118.386</x:v>
      </x:c>
      <x:c r="J422" s="169" t="n">
        <x:f>H422-I422</x:f>
        <x:v>0</x:v>
      </x:c>
      <x:c r="K422" s="168" t="str">
        <x:v>2024.pdf</x:v>
      </x:c>
      <x:c r="L422" s="168" t="n">
        <x:v>238</x:v>
      </x:c>
      <x:c r="M422" s="168" t="str">
        <x:v>Comparative</x:v>
      </x:c>
      <x:c r="N422" s="171" t="str">
        <x:v>Printed amount independently located</x:v>
      </x:c>
      <x:c r="O422" s="171" t="str">
        <x:v>Exact source amount found; audited year/current-comparative column recorded. Accounting subtotal tests performed separately.</x:v>
      </x:c>
      <x:c r="P422" s="171" t="str">
        <x:v>59,576,642 
TOTAL ASSETS
   234,018,090 
  213,079,067 
EQUITY AND LIABILITIES
SHARE CAPITAL AND RESERVES
 Share capital
 19
  2,930,000 
  3,118,386 
 Reserves
 20
  144,831,277 
  134,247,940 
    147,761,277 
  137,366,326 
NON-CURRENT LIABILITIES
 Long-term deposits
 21
  255,087 
  252,837 
 Long-term loans
 22
  12,76</x:v>
      </x:c>
    </x:row>
    <x:row r="423" ht="82" customHeight="1">
      <x:c r="A423" s="76" t="str">
        <x:v>LUCK|share_cap|2024</x:v>
      </x:c>
      <x:c r="B423" s="76" t="str">
        <x:v>LUCK</x:v>
      </x:c>
      <x:c r="C423" s="76" t="str">
        <x:v>FY2024</x:v>
      </x:c>
      <x:c r="D423" s="76" t="str">
        <x:v>Issued, subscribed and paid-up share capital</x:v>
      </x:c>
      <x:c r="E423" s="170" t="n">
        <x:v>2930000</x:v>
      </x:c>
      <x:c r="F423" s="170" t="n">
        <x:v>2930000</x:v>
      </x:c>
      <x:c r="G423" s="170" t="str">
        <x:v>PKR '000</x:v>
      </x:c>
      <x:c r="H423" s="170" t="n">
        <x:f>F423/1000</x:f>
        <x:v>2930</x:v>
      </x:c>
      <x:c r="I423" s="170" t="n">
        <x:f>LUCK!G39</x:f>
        <x:v>2930</x:v>
      </x:c>
      <x:c r="J423" s="170" t="n">
        <x:f>H423-I423</x:f>
        <x:v>0</x:v>
      </x:c>
      <x:c r="K423" s="76" t="str">
        <x:v>2025.pdf</x:v>
      </x:c>
      <x:c r="L423" s="76" t="n">
        <x:v>240</x:v>
      </x:c>
      <x:c r="M423" s="76" t="str">
        <x:v>Comparative</x:v>
      </x:c>
      <x:c r="N423" s="99" t="str">
        <x:v>Printed amount independently located</x:v>
      </x:c>
      <x:c r="O423" s="99" t="str">
        <x:v>Exact source amount found; audited year/current-comparative column recorded. Accounting subtotal tests performed separately.</x:v>
      </x:c>
      <x:c r="P423" s="99" t="str">
        <x:v>100,547,359   68,452,084 
TOTAL ASSETS   266,748,030   234,018,090 
EQUITY AND LIABILITIES 
SHARE CAPITAL AND RESERVES 
 Share capital 18  2,930,000   2,930,000 
 Reserves 19  172,980,400   144,831,277 
     175,910,400   147,761,277 
NON-CURRENT LIABILITIES 
 Long-term deposits 20  114,200   255,087 
 Long-term financing 21</x:v>
      </x:c>
    </x:row>
    <x:row r="424" ht="82" customHeight="1">
      <x:c r="A424" s="168" t="str">
        <x:v>LUCK|share_cap|2025</x:v>
      </x:c>
      <x:c r="B424" s="168" t="str">
        <x:v>LUCK</x:v>
      </x:c>
      <x:c r="C424" s="168" t="str">
        <x:v>FY2025</x:v>
      </x:c>
      <x:c r="D424" s="168" t="str">
        <x:v>Issued, subscribed and paid-up share capital</x:v>
      </x:c>
      <x:c r="E424" s="169" t="n">
        <x:v>2930000</x:v>
      </x:c>
      <x:c r="F424" s="169" t="n">
        <x:v>2930000</x:v>
      </x:c>
      <x:c r="G424" s="169" t="str">
        <x:v>PKR '000</x:v>
      </x:c>
      <x:c r="H424" s="169" t="n">
        <x:f>F424/1000</x:f>
        <x:v>2930</x:v>
      </x:c>
      <x:c r="I424" s="169" t="n">
        <x:f>LUCK!H39</x:f>
        <x:v>2930</x:v>
      </x:c>
      <x:c r="J424" s="169" t="n">
        <x:f>H424-I424</x:f>
        <x:v>0</x:v>
      </x:c>
      <x:c r="K424" s="168" t="str">
        <x:v>2025.pdf</x:v>
      </x:c>
      <x:c r="L424" s="168" t="n">
        <x:v>240</x:v>
      </x:c>
      <x:c r="M424" s="168" t="str">
        <x:v>Current year</x:v>
      </x:c>
      <x:c r="N424" s="171" t="str">
        <x:v>Printed amount independently located</x:v>
      </x:c>
      <x:c r="O424" s="171" t="str">
        <x:v>Exact source amount found; audited year/current-comparative column recorded. Accounting subtotal tests performed separately.</x:v>
      </x:c>
      <x:c r="P424" s="171" t="str">
        <x:v>100,547,359   68,452,084 
TOTAL ASSETS   266,748,030   234,018,090 
EQUITY AND LIABILITIES 
SHARE CAPITAL AND RESERVES 
 Share capital 18  2,930,000   2,930,000 
 Reserves 19  172,980,400   144,831,277 
     175,910,400   147,761,277 
NON-CURRENT LIABILITIES 
 Long-term deposits 20  114,200   255,087 
 Long-term financing 21</x:v>
      </x:c>
    </x:row>
    <x:row r="425" ht="82" customHeight="1">
      <x:c r="A425" s="76" t="str">
        <x:v>LUCK|eq_other|2020</x:v>
      </x:c>
      <x:c r="B425" s="76" t="str">
        <x:v>LUCK</x:v>
      </x:c>
      <x:c r="C425" s="76" t="str">
        <x:v>FY2020</x:v>
      </x:c>
      <x:c r="D425" s="76" t="str">
        <x:v>Reserves, retained earnings and revaluation surplus</x:v>
      </x:c>
      <x:c r="E425" s="170" t="n">
        <x:v>95950111</x:v>
      </x:c>
      <x:c r="F425" s="170" t="n">
        <x:v>95950111</x:v>
      </x:c>
      <x:c r="G425" s="170" t="str">
        <x:v>PKR '000</x:v>
      </x:c>
      <x:c r="H425" s="170" t="n">
        <x:f>F425/1000</x:f>
        <x:v>95950.111</x:v>
      </x:c>
      <x:c r="I425" s="170" t="n">
        <x:f>LUCK!C40</x:f>
        <x:v>95950.111</x:v>
      </x:c>
      <x:c r="J425" s="170" t="n">
        <x:f>H425-I425</x:f>
        <x:v>0</x:v>
      </x:c>
      <x:c r="K425" s="76" t="str">
        <x:v>2021.pdf</x:v>
      </x:c>
      <x:c r="L425" s="76" t="n">
        <x:v>191</x:v>
      </x:c>
      <x:c r="M425" s="76" t="str">
        <x:v>Comparative</x:v>
      </x:c>
      <x:c r="N425" s="99" t="str">
        <x:v>Printed amount independently located</x:v>
      </x:c>
      <x:c r="O425" s="99" t="str">
        <x:v>Exact source amount found; audited year/current-comparative column recorded. Accounting subtotal tests performed separately.</x:v>
      </x:c>
      <x:c r="P425" s="99" t="str">
        <x:v>BILITIES
SHARE CAPIT
AL AND RESERVES
 Issued, subscribed and paid-up share capital
 19
  3,233,750 
  3,233,750 
 Reserves
 20
  109,966,508 
  95,950,111 
    113,200,258 
  99,183,861 
NON-CURRENT LIABILITIES
 Long-term deposits
 21
  243,633 
  233,062 
 Long-term loans
 22
  2,934,044 
  320,461 
 Deferred Government grant</x:v>
      </x:c>
    </x:row>
    <x:row r="426" ht="82" customHeight="1">
      <x:c r="A426" s="168" t="str">
        <x:v>LUCK|eq_other|2021</x:v>
      </x:c>
      <x:c r="B426" s="168" t="str">
        <x:v>LUCK</x:v>
      </x:c>
      <x:c r="C426" s="168" t="str">
        <x:v>FY2021</x:v>
      </x:c>
      <x:c r="D426" s="168" t="str">
        <x:v>Reserves, retained earnings and revaluation surplus</x:v>
      </x:c>
      <x:c r="E426" s="169" t="n">
        <x:v>109966508</x:v>
      </x:c>
      <x:c r="F426" s="169" t="n">
        <x:v>109966508</x:v>
      </x:c>
      <x:c r="G426" s="169" t="str">
        <x:v>PKR '000</x:v>
      </x:c>
      <x:c r="H426" s="169" t="n">
        <x:f>F426/1000</x:f>
        <x:v>109966.508</x:v>
      </x:c>
      <x:c r="I426" s="169" t="n">
        <x:f>LUCK!D40</x:f>
        <x:v>109966.508</x:v>
      </x:c>
      <x:c r="J426" s="169" t="n">
        <x:f>H426-I426</x:f>
        <x:v>0</x:v>
      </x:c>
      <x:c r="K426" s="168" t="str">
        <x:v>2022.pdf</x:v>
      </x:c>
      <x:c r="L426" s="168" t="n">
        <x:v>226</x:v>
      </x:c>
      <x:c r="M426" s="168" t="str">
        <x:v>Comparative</x:v>
      </x:c>
      <x:c r="N426" s="171" t="str">
        <x:v>Printed amount independently located</x:v>
      </x:c>
      <x:c r="O426" s="171" t="str">
        <x:v>Exact source amount found; audited year/current-comparative column recorded. Accounting subtotal tests performed separately.</x:v>
      </x:c>
      <x:c r="P426" s="171" t="str">
        <x:v>Y AND LIABILITIES 
SHARE CAPITAL AND RESERVES 
 Issued, subscribed and paid-up share capital 19  3,233,750   3,233,750 
 Reserves 20  125,306,574   109,966,508 
     128,540,324   113,200,258 
NON-CURRENT LIABILITIES 
 Long-term deposits 21  250,332   243,633 
 Long-term loans 22  14,108,446   2,934,044 
 Deferred Government grant 23  2,</x:v>
      </x:c>
    </x:row>
    <x:row r="427" ht="82" customHeight="1">
      <x:c r="A427" s="76" t="str">
        <x:v>LUCK|eq_other|2022</x:v>
      </x:c>
      <x:c r="B427" s="76" t="str">
        <x:v>LUCK</x:v>
      </x:c>
      <x:c r="C427" s="76" t="str">
        <x:v>FY2022</x:v>
      </x:c>
      <x:c r="D427" s="76" t="str">
        <x:v>Reserves, retained earnings and revaluation surplus</x:v>
      </x:c>
      <x:c r="E427" s="170" t="n">
        <x:v>125306574</x:v>
      </x:c>
      <x:c r="F427" s="170" t="n">
        <x:v>125306574</x:v>
      </x:c>
      <x:c r="G427" s="170" t="str">
        <x:v>PKR '000</x:v>
      </x:c>
      <x:c r="H427" s="170" t="n">
        <x:f>F427/1000</x:f>
        <x:v>125306.574</x:v>
      </x:c>
      <x:c r="I427" s="170" t="n">
        <x:f>LUCK!E40</x:f>
        <x:v>125306.574</x:v>
      </x:c>
      <x:c r="J427" s="170" t="n">
        <x:f>H427-I427</x:f>
        <x:v>0</x:v>
      </x:c>
      <x:c r="K427" s="76" t="str">
        <x:v>2023.pdf</x:v>
      </x:c>
      <x:c r="L427" s="76" t="n">
        <x:v>234</x:v>
      </x:c>
      <x:c r="M427" s="76" t="str">
        <x:v>Comparative</x:v>
      </x:c>
      <x:c r="N427" s="99" t="str">
        <x:v>Printed amount independently located</x:v>
      </x:c>
      <x:c r="O427" s="99" t="str">
        <x:v>Exact source amount found; audited year/current-comparative column recorded. Accounting subtotal tests performed separately.</x:v>
      </x:c>
      <x:c r="P427" s="99" t="str">
        <x:v>Y AND LIABILITIES 
SHARE CAPITAL AND RESERVES 
 Issued, subscribed and paid-up share capital 19  3,118,386   3,233,750 
 Reserves 20  134,247,940   125,306,574 
     137,366,326   128,540,324 
NON-CURRENT LIABILITIES 
 Long-term deposits 21  252,837   250,332 
 Long-term loans 22  14,557,294   14,108,446 
 Deferred Government grant 23  2</x:v>
      </x:c>
    </x:row>
    <x:row r="428" ht="82" customHeight="1">
      <x:c r="A428" s="168" t="str">
        <x:v>LUCK|eq_other|2023</x:v>
      </x:c>
      <x:c r="B428" s="168" t="str">
        <x:v>LUCK</x:v>
      </x:c>
      <x:c r="C428" s="168" t="str">
        <x:v>FY2023</x:v>
      </x:c>
      <x:c r="D428" s="168" t="str">
        <x:v>Reserves, retained earnings and revaluation surplus</x:v>
      </x:c>
      <x:c r="E428" s="169" t="n">
        <x:v>134247940</x:v>
      </x:c>
      <x:c r="F428" s="169" t="n">
        <x:v>134247940</x:v>
      </x:c>
      <x:c r="G428" s="169" t="str">
        <x:v>PKR '000</x:v>
      </x:c>
      <x:c r="H428" s="169" t="n">
        <x:f>F428/1000</x:f>
        <x:v>134247.94</x:v>
      </x:c>
      <x:c r="I428" s="169" t="n">
        <x:f>LUCK!F40</x:f>
        <x:v>134247.94</x:v>
      </x:c>
      <x:c r="J428" s="169" t="n">
        <x:f>H428-I428</x:f>
        <x:v>0</x:v>
      </x:c>
      <x:c r="K428" s="168" t="str">
        <x:v>2024.pdf</x:v>
      </x:c>
      <x:c r="L428" s="168" t="n">
        <x:v>238</x:v>
      </x:c>
      <x:c r="M428" s="168" t="str">
        <x:v>Comparative</x:v>
      </x:c>
      <x:c r="N428" s="171" t="str">
        <x:v>Printed amount independently located</x:v>
      </x:c>
      <x:c r="O428" s="171" t="str">
        <x:v>Exact source amount found; audited year/current-comparative column recorded. Accounting subtotal tests performed separately.</x:v>
      </x:c>
      <x:c r="P428" s="171" t="str">
        <x:v>213,079,067 
EQUITY AND LIABILITIES
SHARE CAPITAL AND RESERVES
 Share capital
 19
  2,930,000 
  3,118,386 
 Reserves
 20
  144,831,277 
  134,247,940 
    147,761,277 
  137,366,326 
NON-CURRENT LIABILITIES
 Long-term deposits
 21
  255,087 
  252,837 
 Long-term loans
 22
  12,760,637 
  14,557,294 
 Deferred Government gr</x:v>
      </x:c>
    </x:row>
    <x:row r="429" ht="82" customHeight="1">
      <x:c r="A429" s="76" t="str">
        <x:v>LUCK|eq_other|2024</x:v>
      </x:c>
      <x:c r="B429" s="76" t="str">
        <x:v>LUCK</x:v>
      </x:c>
      <x:c r="C429" s="76" t="str">
        <x:v>FY2024</x:v>
      </x:c>
      <x:c r="D429" s="76" t="str">
        <x:v>Reserves, retained earnings and revaluation surplus</x:v>
      </x:c>
      <x:c r="E429" s="170" t="n">
        <x:v>144831277</x:v>
      </x:c>
      <x:c r="F429" s="170" t="n">
        <x:v>144831277</x:v>
      </x:c>
      <x:c r="G429" s="170" t="str">
        <x:v>PKR '000</x:v>
      </x:c>
      <x:c r="H429" s="170" t="n">
        <x:f>F429/1000</x:f>
        <x:v>144831.277</x:v>
      </x:c>
      <x:c r="I429" s="170" t="n">
        <x:f>LUCK!G40</x:f>
        <x:v>144831.277</x:v>
      </x:c>
      <x:c r="J429" s="170" t="n">
        <x:f>H429-I429</x:f>
        <x:v>0</x:v>
      </x:c>
      <x:c r="K429" s="76" t="str">
        <x:v>2025.pdf</x:v>
      </x:c>
      <x:c r="L429" s="76" t="n">
        <x:v>240</x:v>
      </x:c>
      <x:c r="M429" s="76" t="str">
        <x:v>Comparative</x:v>
      </x:c>
      <x:c r="N429" s="99" t="str">
        <x:v>Printed amount independently located</x:v>
      </x:c>
      <x:c r="O429" s="99" t="str">
        <x:v>Exact source amount found; audited year/current-comparative column recorded. Accounting subtotal tests performed separately.</x:v>
      </x:c>
      <x:c r="P429" s="99" t="str">
        <x:v>,748,030   234,018,090 
EQUITY AND LIABILITIES 
SHARE CAPITAL AND RESERVES 
 Share capital 18  2,930,000   2,930,000 
 Reserves 19  172,980,400   144,831,277 
     175,910,400   147,761,277 
NON-CURRENT LIABILITIES 
 Long-term deposits 20  114,200   255,087 
 Long-term financing 21  9,184,522   12,760,637 
 Deferred Government grant 22</x:v>
      </x:c>
    </x:row>
    <x:row r="430" ht="82" customHeight="1">
      <x:c r="A430" s="168" t="str">
        <x:v>LUCK|eq_other|2025</x:v>
      </x:c>
      <x:c r="B430" s="168" t="str">
        <x:v>LUCK</x:v>
      </x:c>
      <x:c r="C430" s="168" t="str">
        <x:v>FY2025</x:v>
      </x:c>
      <x:c r="D430" s="168" t="str">
        <x:v>Reserves, retained earnings and revaluation surplus</x:v>
      </x:c>
      <x:c r="E430" s="169" t="n">
        <x:v>172980400</x:v>
      </x:c>
      <x:c r="F430" s="169" t="n">
        <x:v>172980400</x:v>
      </x:c>
      <x:c r="G430" s="169" t="str">
        <x:v>PKR '000</x:v>
      </x:c>
      <x:c r="H430" s="169" t="n">
        <x:f>F430/1000</x:f>
        <x:v>172980.4</x:v>
      </x:c>
      <x:c r="I430" s="169" t="n">
        <x:f>LUCK!H40</x:f>
        <x:v>172980.4</x:v>
      </x:c>
      <x:c r="J430" s="169" t="n">
        <x:f>H430-I430</x:f>
        <x:v>0</x:v>
      </x:c>
      <x:c r="K430" s="168" t="str">
        <x:v>2025.pdf</x:v>
      </x:c>
      <x:c r="L430" s="168" t="n">
        <x:v>240</x:v>
      </x:c>
      <x:c r="M430" s="168" t="str">
        <x:v>Current year</x:v>
      </x:c>
      <x:c r="N430" s="171" t="str">
        <x:v>Printed amount independently located</x:v>
      </x:c>
      <x:c r="O430" s="171" t="str">
        <x:v>Exact source amount found; audited year/current-comparative column recorded. Accounting subtotal tests performed separately.</x:v>
      </x:c>
      <x:c r="P430" s="171" t="str">
        <x:v>L ASSETS   266,748,030   234,018,090 
EQUITY AND LIABILITIES 
SHARE CAPITAL AND RESERVES 
 Share capital 18  2,930,000   2,930,000 
 Reserves 19  172,980,400   144,831,277 
     175,910,400   147,761,277 
NON-CURRENT LIABILITIES 
 Long-term deposits 20  114,200   255,087 
 Long-term financing 21  9,184,522   12,760,637 
 Deferred Gover</x:v>
      </x:c>
    </x:row>
    <x:row r="431" ht="82" customHeight="1">
      <x:c r="A431" s="76" t="str">
        <x:v>LUCK|ltf_nc|2020</x:v>
      </x:c>
      <x:c r="B431" s="76" t="str">
        <x:v>LUCK</x:v>
      </x:c>
      <x:c r="C431" s="76" t="str">
        <x:v>FY2020</x:v>
      </x:c>
      <x:c r="D431" s="76" t="str">
        <x:v>Long-term financing (non-current, interest-bearing)</x:v>
      </x:c>
      <x:c r="E431" s="170" t="n">
        <x:v>320461</x:v>
      </x:c>
      <x:c r="F431" s="170" t="n">
        <x:v>320461</x:v>
      </x:c>
      <x:c r="G431" s="170" t="str">
        <x:v>PKR '000</x:v>
      </x:c>
      <x:c r="H431" s="170" t="n">
        <x:f>F431/1000</x:f>
        <x:v>320.461</x:v>
      </x:c>
      <x:c r="I431" s="170" t="n">
        <x:f>LUCK!C43</x:f>
        <x:v>320.461</x:v>
      </x:c>
      <x:c r="J431" s="170" t="n">
        <x:f>H431-I431</x:f>
        <x:v>0</x:v>
      </x:c>
      <x:c r="K431" s="76" t="str">
        <x:v>2021.pdf</x:v>
      </x:c>
      <x:c r="L431" s="76" t="n">
        <x:v>191</x:v>
      </x:c>
      <x:c r="M431" s="76" t="str">
        <x:v>Comparative</x:v>
      </x:c>
      <x:c r="N431" s="99" t="str">
        <x:v>Printed amount independently located</x:v>
      </x:c>
      <x:c r="O431" s="99" t="str">
        <x:v>Exact source amount found; audited year/current-comparative column recorded. Accounting subtotal tests performed separately.</x:v>
      </x:c>
      <x:c r="P431" s="99" t="str">
        <x:v>50,111 
    113,200,258 
  99,183,861 
NON-CURRENT LIABILITIES
 Long-term deposits
 21
  243,633 
  233,062 
 Long-term loans
 22
  2,934,044 
  320,461 
 Deferred Government grant
 23
  1,107,940 
  59,720 
 Deferred liabilities
 - Staff gratuity - unfunded
  2,337,897
 1,948,457
 - Deferred tax liability
  6,157,224
 5,167,161</x:v>
      </x:c>
    </x:row>
    <x:row r="432" ht="82" customHeight="1">
      <x:c r="A432" s="168" t="str">
        <x:v>LUCK|ltf_nc|2021</x:v>
      </x:c>
      <x:c r="B432" s="168" t="str">
        <x:v>LUCK</x:v>
      </x:c>
      <x:c r="C432" s="168" t="str">
        <x:v>FY2021</x:v>
      </x:c>
      <x:c r="D432" s="168" t="str">
        <x:v>Long-term financing (non-current, interest-bearing)</x:v>
      </x:c>
      <x:c r="E432" s="169" t="n">
        <x:v>2934044</x:v>
      </x:c>
      <x:c r="F432" s="169" t="n">
        <x:v>2934044</x:v>
      </x:c>
      <x:c r="G432" s="169" t="str">
        <x:v>PKR '000</x:v>
      </x:c>
      <x:c r="H432" s="169" t="n">
        <x:f>F432/1000</x:f>
        <x:v>2934.044</x:v>
      </x:c>
      <x:c r="I432" s="169" t="n">
        <x:f>LUCK!D43</x:f>
        <x:v>2934.044</x:v>
      </x:c>
      <x:c r="J432" s="169" t="n">
        <x:f>H432-I432</x:f>
        <x:v>0</x:v>
      </x:c>
      <x:c r="K432" s="168" t="str">
        <x:v>2022.pdf</x:v>
      </x:c>
      <x:c r="L432" s="168" t="n">
        <x:v>226</x:v>
      </x:c>
      <x:c r="M432" s="168" t="str">
        <x:v>Comparative</x:v>
      </x:c>
      <x:c r="N432" s="171" t="str">
        <x:v>Printed amount independently located</x:v>
      </x:c>
      <x:c r="O432" s="171" t="str">
        <x:v>Exact source amount found; audited year/current-comparative column recorded. Accounting subtotal tests performed separately.</x:v>
      </x:c>
      <x:c r="P432" s="171" t="str">
        <x:v>109,966,508 
     128,540,324   113,200,258 
NON-CURRENT LIABILITIES 
 Long-term deposits 21  250,332   243,633 
 Long-term loans 22  14,108,446   2,934,044 
 Deferred Government grant 23  2,164,455   1,107,940 
 Deferred liabilities 
 - Staff gratuity - unfunded   2,596,281   2,337,897 
 - Deferred tax liability   6,941,172   6,157,2</x:v>
      </x:c>
    </x:row>
    <x:row r="433" ht="82" customHeight="1">
      <x:c r="A433" s="76" t="str">
        <x:v>LUCK|ltf_nc|2022</x:v>
      </x:c>
      <x:c r="B433" s="76" t="str">
        <x:v>LUCK</x:v>
      </x:c>
      <x:c r="C433" s="76" t="str">
        <x:v>FY2022</x:v>
      </x:c>
      <x:c r="D433" s="76" t="str">
        <x:v>Long-term financing (non-current, interest-bearing)</x:v>
      </x:c>
      <x:c r="E433" s="170" t="n">
        <x:v>14108446</x:v>
      </x:c>
      <x:c r="F433" s="170" t="n">
        <x:v>14108446</x:v>
      </x:c>
      <x:c r="G433" s="170" t="str">
        <x:v>PKR '000</x:v>
      </x:c>
      <x:c r="H433" s="170" t="n">
        <x:f>F433/1000</x:f>
        <x:v>14108.446</x:v>
      </x:c>
      <x:c r="I433" s="170" t="n">
        <x:f>LUCK!E43</x:f>
        <x:v>14108.446</x:v>
      </x:c>
      <x:c r="J433" s="170" t="n">
        <x:f>H433-I433</x:f>
        <x:v>0</x:v>
      </x:c>
      <x:c r="K433" s="76" t="str">
        <x:v>2023.pdf</x:v>
      </x:c>
      <x:c r="L433" s="76" t="n">
        <x:v>234</x:v>
      </x:c>
      <x:c r="M433" s="76" t="str">
        <x:v>Comparative</x:v>
      </x:c>
      <x:c r="N433" s="99" t="str">
        <x:v>Printed amount independently located</x:v>
      </x:c>
      <x:c r="O433" s="99" t="str">
        <x:v>Exact source amount found; audited year/current-comparative column recorded. Accounting subtotal tests performed separately.</x:v>
      </x:c>
      <x:c r="P433" s="99" t="str">
        <x:v>125,306,574 
     137,366,326   128,540,324 
NON-CURRENT LIABILITIES 
 Long-term deposits 21  252,837   250,332 
 Long-term loans 22  14,557,294   14,108,446 
 Deferred Government grant 23  2,121,307   2,164,455 
 Deferred liabilities 
 - Staff gratuity - unfunded   2,574,925   2,596,281 
 - Deferred tax liability   10,025,499   6,941,</x:v>
      </x:c>
    </x:row>
    <x:row r="434" ht="82" customHeight="1">
      <x:c r="A434" s="168" t="str">
        <x:v>LUCK|ltf_nc|2023</x:v>
      </x:c>
      <x:c r="B434" s="168" t="str">
        <x:v>LUCK</x:v>
      </x:c>
      <x:c r="C434" s="168" t="str">
        <x:v>FY2023</x:v>
      </x:c>
      <x:c r="D434" s="168" t="str">
        <x:v>Long-term financing (non-current, interest-bearing)</x:v>
      </x:c>
      <x:c r="E434" s="169" t="n">
        <x:v>14557294</x:v>
      </x:c>
      <x:c r="F434" s="169" t="n">
        <x:v>14557294</x:v>
      </x:c>
      <x:c r="G434" s="169" t="str">
        <x:v>PKR '000</x:v>
      </x:c>
      <x:c r="H434" s="169" t="n">
        <x:f>F434/1000</x:f>
        <x:v>14557.294</x:v>
      </x:c>
      <x:c r="I434" s="169" t="n">
        <x:f>LUCK!F43</x:f>
        <x:v>14557.294</x:v>
      </x:c>
      <x:c r="J434" s="169" t="n">
        <x:f>H434-I434</x:f>
        <x:v>0</x:v>
      </x:c>
      <x:c r="K434" s="168" t="str">
        <x:v>2024.pdf</x:v>
      </x:c>
      <x:c r="L434" s="168" t="n">
        <x:v>238</x:v>
      </x:c>
      <x:c r="M434" s="168" t="str">
        <x:v>Comparative</x:v>
      </x:c>
      <x:c r="N434" s="171" t="str">
        <x:v>Printed amount independently located</x:v>
      </x:c>
      <x:c r="O434" s="171" t="str">
        <x:v>Exact source amount found; audited year/current-comparative column recorded. Accounting subtotal tests performed separately.</x:v>
      </x:c>
      <x:c r="P434" s="171" t="str">
        <x:v>7,940 
    147,761,277 
  137,366,326 
NON-CURRENT LIABILITIES
 Long-term deposits
 21
  255,087 
  252,837 
 Long-term loans
 22
  12,760,637 
  14,557,294 
 Deferred Government grant
 23
  1,766,055 
  2,121,307 
 Deferred liabilities
 - Staff gratuity
   3,271,241 
  2,574,925 
 - Deferred tax liability
   14,015,320 
  10,025,49</x:v>
      </x:c>
    </x:row>
    <x:row r="435" ht="82" customHeight="1">
      <x:c r="A435" s="76" t="str">
        <x:v>LUCK|ltf_nc|2024</x:v>
      </x:c>
      <x:c r="B435" s="76" t="str">
        <x:v>LUCK</x:v>
      </x:c>
      <x:c r="C435" s="76" t="str">
        <x:v>FY2024</x:v>
      </x:c>
      <x:c r="D435" s="76" t="str">
        <x:v>Long-term financing (non-current, interest-bearing)</x:v>
      </x:c>
      <x:c r="E435" s="170" t="n">
        <x:v>12760637</x:v>
      </x:c>
      <x:c r="F435" s="170" t="n">
        <x:v>12760637</x:v>
      </x:c>
      <x:c r="G435" s="170" t="str">
        <x:v>PKR '000</x:v>
      </x:c>
      <x:c r="H435" s="170" t="n">
        <x:f>F435/1000</x:f>
        <x:v>12760.637</x:v>
      </x:c>
      <x:c r="I435" s="170" t="n">
        <x:f>LUCK!G43</x:f>
        <x:v>12760.637</x:v>
      </x:c>
      <x:c r="J435" s="170" t="n">
        <x:f>H435-I435</x:f>
        <x:v>0</x:v>
      </x:c>
      <x:c r="K435" s="76" t="str">
        <x:v>2025.pdf</x:v>
      </x:c>
      <x:c r="L435" s="76" t="n">
        <x:v>240</x:v>
      </x:c>
      <x:c r="M435" s="76" t="str">
        <x:v>Comparative</x:v>
      </x:c>
      <x:c r="N435" s="99" t="str">
        <x:v>Printed amount independently located</x:v>
      </x:c>
      <x:c r="O435" s="99" t="str">
        <x:v>Exact source amount found; audited year/current-comparative column recorded. Accounting subtotal tests performed separately.</x:v>
      </x:c>
      <x:c r="P435" s="99" t="str">
        <x:v>144,831,277 
     175,910,400   147,761,277 
NON-CURRENT LIABILITIES 
 Long-term deposits 20  114,200   255,087 
 Long-term financing 21  9,184,522   12,760,637 
 Deferred Government grant 22  1,382,651   1,766,055 
 Deferred liabilities 23  21,514,874   17,286,561 
     32,196,247   32,068,340 
CURRENT LIABILITIES 
 Trade and other payab</x:v>
      </x:c>
    </x:row>
    <x:row r="436" ht="82" customHeight="1">
      <x:c r="A436" s="168" t="str">
        <x:v>LUCK|ltf_nc|2025</x:v>
      </x:c>
      <x:c r="B436" s="168" t="str">
        <x:v>LUCK</x:v>
      </x:c>
      <x:c r="C436" s="168" t="str">
        <x:v>FY2025</x:v>
      </x:c>
      <x:c r="D436" s="168" t="str">
        <x:v>Long-term financing (non-current, interest-bearing)</x:v>
      </x:c>
      <x:c r="E436" s="169" t="n">
        <x:v>9184522</x:v>
      </x:c>
      <x:c r="F436" s="169" t="n">
        <x:v>9184522</x:v>
      </x:c>
      <x:c r="G436" s="169" t="str">
        <x:v>PKR '000</x:v>
      </x:c>
      <x:c r="H436" s="169" t="n">
        <x:f>F436/1000</x:f>
        <x:v>9184.522</x:v>
      </x:c>
      <x:c r="I436" s="169" t="n">
        <x:f>LUCK!H43</x:f>
        <x:v>9184.522</x:v>
      </x:c>
      <x:c r="J436" s="169" t="n">
        <x:f>H436-I436</x:f>
        <x:v>0</x:v>
      </x:c>
      <x:c r="K436" s="168" t="str">
        <x:v>2025.pdf</x:v>
      </x:c>
      <x:c r="L436" s="168" t="n">
        <x:v>240</x:v>
      </x:c>
      <x:c r="M436" s="168" t="str">
        <x:v>Current year</x:v>
      </x:c>
      <x:c r="N436" s="171" t="str">
        <x:v>Printed amount independently located</x:v>
      </x:c>
      <x:c r="O436" s="171" t="str">
        <x:v>Exact source amount found; audited year/current-comparative column recorded. Accounting subtotal tests performed separately.</x:v>
      </x:c>
      <x:c r="P436" s="171" t="str">
        <x:v>2,980,400   144,831,277 
     175,910,400   147,761,277 
NON-CURRENT LIABILITIES 
 Long-term deposits 20  114,200   255,087 
 Long-term financing 21  9,184,522   12,760,637 
 Deferred Government grant 22  1,382,651   1,766,055 
 Deferred liabilities 23  21,514,874   17,286,561 
     32,196,247   32,068,340 
CURRENT LIABILITIES 
 Trade an</x:v>
      </x:c>
    </x:row>
    <x:row r="437" ht="82" customHeight="1">
      <x:c r="A437" s="76" t="str">
        <x:v>LUCK|lease_nc|2020</x:v>
      </x:c>
      <x:c r="B437" s="76" t="str">
        <x:v>LUCK</x:v>
      </x:c>
      <x:c r="C437" s="76" t="str">
        <x:v>FY2020</x:v>
      </x:c>
      <x:c r="D437" s="76" t="str">
        <x:v>Lease liabilities (non-current)</x:v>
      </x:c>
      <x:c r="E437" s="170" t="n">
        <x:v>0</x:v>
      </x:c>
      <x:c r="F437" s="170" t="n">
        <x:v>0</x:v>
      </x:c>
      <x:c r="G437" s="170" t="str">
        <x:v>PKR '000</x:v>
      </x:c>
      <x:c r="H437" s="170" t="n">
        <x:f>F437/1000</x:f>
        <x:v>0</x:v>
      </x:c>
      <x:c r="I437" s="170" t="n">
        <x:f>LUCK!C44</x:f>
        <x:v>0</x:v>
      </x:c>
      <x:c r="J437" s="170" t="n">
        <x:f>H437-I437</x:f>
        <x:v>0</x:v>
      </x:c>
      <x:c r="K437" s="76" t="str">
        <x:v>2021.pdf</x:v>
      </x:c>
      <x:c r="L437" s="76" t="n">
        <x:v>191</x:v>
      </x:c>
      <x:c r="M437" s="76" t="str">
        <x:v>Comparative</x:v>
      </x:c>
      <x:c r="N437" s="99" t="str">
        <x:v>Zero / no separate line in audited presentation</x:v>
      </x:c>
      <x:c r="O437" s="99" t="str">
        <x:v>Zero classification checked within the audited statement/note and reconstructed statement totals; absence of a separate line does not imply a missing replacement estimate.</x:v>
      </x:c>
      <x:c r="P437" s="99" t="str">
        <x:v>
206
STRENGTHENING
PAKISTAN
UNCONSOLIDATED STATEMENT 
OF FINANCIAL POSITION
as at June 30, 2021
Muhammad Ali Tabba
Chief Executive
Muhammad Yunus Tabb | Lease liabilities (non-current)</x:v>
      </x:c>
    </x:row>
    <x:row r="438" ht="82" customHeight="1">
      <x:c r="A438" s="168" t="str">
        <x:v>LUCK|lease_nc|2021</x:v>
      </x:c>
      <x:c r="B438" s="168" t="str">
        <x:v>LUCK</x:v>
      </x:c>
      <x:c r="C438" s="168" t="str">
        <x:v>FY2021</x:v>
      </x:c>
      <x:c r="D438" s="168" t="str">
        <x:v>Lease liabilities (non-current)</x:v>
      </x:c>
      <x:c r="E438" s="169" t="n">
        <x:v>0</x:v>
      </x:c>
      <x:c r="F438" s="169" t="n">
        <x:v>0</x:v>
      </x:c>
      <x:c r="G438" s="169" t="str">
        <x:v>PKR '000</x:v>
      </x:c>
      <x:c r="H438" s="169" t="n">
        <x:f>F438/1000</x:f>
        <x:v>0</x:v>
      </x:c>
      <x:c r="I438" s="169" t="n">
        <x:f>LUCK!D44</x:f>
        <x:v>0</x:v>
      </x:c>
      <x:c r="J438" s="169" t="n">
        <x:f>H438-I438</x:f>
        <x:v>0</x:v>
      </x:c>
      <x:c r="K438" s="168" t="str">
        <x:v>2022.pdf</x:v>
      </x:c>
      <x:c r="L438" s="168" t="n">
        <x:v>226</x:v>
      </x:c>
      <x:c r="M438" s="168" t="str">
        <x:v>Comparative</x:v>
      </x:c>
      <x:c r="N438" s="171" t="str">
        <x:v>Zero / no separate line in audited presentation</x:v>
      </x:c>
      <x:c r="O438" s="171" t="str">
        <x:v>Zero classification checked within the audited statement/note and reconstructed statement totals; absence of a separate line does not imply a missing replacement estimate.</x:v>
      </x:c>
      <x:c r="P438" s="171" t="str">
        <x:v>
Unconsolidated Statement of 
Financial Position
as at June 30, 2022
  Note 2022 2021
   (PKR in ‘000’)
ASSETS 
NON-CURRENT ASSETS 
  Property, plant  | Lease liabilities (non-current)</x:v>
      </x:c>
    </x:row>
    <x:row r="439" ht="82" customHeight="1">
      <x:c r="A439" s="76" t="str">
        <x:v>LUCK|lease_nc|2022</x:v>
      </x:c>
      <x:c r="B439" s="76" t="str">
        <x:v>LUCK</x:v>
      </x:c>
      <x:c r="C439" s="76" t="str">
        <x:v>FY2022</x:v>
      </x:c>
      <x:c r="D439" s="76" t="str">
        <x:v>Lease liabilities (non-current)</x:v>
      </x:c>
      <x:c r="E439" s="170" t="n">
        <x:v>0</x:v>
      </x:c>
      <x:c r="F439" s="170" t="n">
        <x:v>0</x:v>
      </x:c>
      <x:c r="G439" s="170" t="str">
        <x:v>PKR '000</x:v>
      </x:c>
      <x:c r="H439" s="170" t="n">
        <x:f>F439/1000</x:f>
        <x:v>0</x:v>
      </x:c>
      <x:c r="I439" s="170" t="n">
        <x:f>LUCK!E44</x:f>
        <x:v>0</x:v>
      </x:c>
      <x:c r="J439" s="170" t="n">
        <x:f>H439-I439</x:f>
        <x:v>0</x:v>
      </x:c>
      <x:c r="K439" s="76" t="str">
        <x:v>2023.pdf</x:v>
      </x:c>
      <x:c r="L439" s="76" t="n">
        <x:v>234</x:v>
      </x:c>
      <x:c r="M439" s="76" t="str">
        <x:v>Comparative</x:v>
      </x:c>
      <x:c r="N439" s="99" t="str">
        <x:v>Zero / no separate line in audited presentation</x:v>
      </x:c>
      <x:c r="O439" s="99" t="str">
        <x:v>Zero classification checked within the audited statement/note and reconstructed statement totals; absence of a separate line does not imply a missing replacement estimate.</x:v>
      </x:c>
      <x:c r="P439" s="99" t="str">
        <x:v>
Unconsolidated Statement of 
Financial Position
as at June 30, 2023
  Note 2023 2022
   (PKR in ‘000’)
ASSETS 
NON-CURRENT ASSETS 
 Fixed assets 
 Pr | Lease liabilities (non-current)</x:v>
      </x:c>
    </x:row>
    <x:row r="440" ht="82" customHeight="1">
      <x:c r="A440" s="168" t="str">
        <x:v>LUCK|lease_nc|2023</x:v>
      </x:c>
      <x:c r="B440" s="168" t="str">
        <x:v>LUCK</x:v>
      </x:c>
      <x:c r="C440" s="168" t="str">
        <x:v>FY2023</x:v>
      </x:c>
      <x:c r="D440" s="168" t="str">
        <x:v>Lease liabilities (non-current)</x:v>
      </x:c>
      <x:c r="E440" s="169" t="n">
        <x:v>0</x:v>
      </x:c>
      <x:c r="F440" s="169" t="n">
        <x:v>0</x:v>
      </x:c>
      <x:c r="G440" s="169" t="str">
        <x:v>PKR '000</x:v>
      </x:c>
      <x:c r="H440" s="169" t="n">
        <x:f>F440/1000</x:f>
        <x:v>0</x:v>
      </x:c>
      <x:c r="I440" s="169" t="n">
        <x:f>LUCK!F44</x:f>
        <x:v>0</x:v>
      </x:c>
      <x:c r="J440" s="169" t="n">
        <x:f>H440-I440</x:f>
        <x:v>0</x:v>
      </x:c>
      <x:c r="K440" s="168" t="str">
        <x:v>2024.pdf</x:v>
      </x:c>
      <x:c r="L440" s="168" t="n">
        <x:v>238</x:v>
      </x:c>
      <x:c r="M440" s="168" t="str">
        <x:v>Comparative</x:v>
      </x:c>
      <x:c r="N440" s="171" t="str">
        <x:v>Zero / no separate line in audited presentation</x:v>
      </x:c>
      <x:c r="O440" s="171" t="str">
        <x:v>Zero classification checked within the audited statement/note and reconstructed statement totals; absence of a separate line does not imply a missing replacement estimate.</x:v>
      </x:c>
      <x:c r="P440" s="171" t="str">
        <x:v>
Unconsolidated Statement of 
Financial Position
as at June 30, 2024
  Note  2024  2023
  (PKR in ‘000’)
ASSETS
NON-CURRENT ASSETS
 Fixed assets | Lease liabilities (non-current)</x:v>
      </x:c>
    </x:row>
    <x:row r="441" ht="82" customHeight="1">
      <x:c r="A441" s="76" t="str">
        <x:v>LUCK|lease_nc|2024</x:v>
      </x:c>
      <x:c r="B441" s="76" t="str">
        <x:v>LUCK</x:v>
      </x:c>
      <x:c r="C441" s="76" t="str">
        <x:v>FY2024</x:v>
      </x:c>
      <x:c r="D441" s="76" t="str">
        <x:v>Lease liabilities (non-current)</x:v>
      </x:c>
      <x:c r="E441" s="170" t="n">
        <x:v>0</x:v>
      </x:c>
      <x:c r="F441" s="170" t="n">
        <x:v>0</x:v>
      </x:c>
      <x:c r="G441" s="170" t="str">
        <x:v>PKR '000</x:v>
      </x:c>
      <x:c r="H441" s="170" t="n">
        <x:f>F441/1000</x:f>
        <x:v>0</x:v>
      </x:c>
      <x:c r="I441" s="170" t="n">
        <x:f>LUCK!G44</x:f>
        <x:v>0</x:v>
      </x:c>
      <x:c r="J441" s="170" t="n">
        <x:f>H441-I441</x:f>
        <x:v>0</x:v>
      </x:c>
      <x:c r="K441" s="76" t="str">
        <x:v>2025.pdf</x:v>
      </x:c>
      <x:c r="L441" s="76" t="n">
        <x:v>240</x:v>
      </x:c>
      <x:c r="M441" s="76" t="str">
        <x:v>Comparative</x:v>
      </x:c>
      <x:c r="N441" s="99" t="str">
        <x:v>Zero / no separate line in audited presentation</x:v>
      </x:c>
      <x:c r="O441" s="99" t="str">
        <x:v>Zero classification checked within the audited statement/note and reconstructed statement totals; absence of a separate line does not imply a missing replacement estimate.</x:v>
      </x:c>
      <x:c r="P441" s="99" t="str">
        <x:v>
Unconsolidated Statement of 
Financial Position
as at June 30, 2025
  Note 2025 2024
   (PKR in ‘000’)
ASSETS 
NON-CURRENT ASSETS 
 Property, plant a | Lease liabilities (non-current)</x:v>
      </x:c>
    </x:row>
    <x:row r="442" ht="82" customHeight="1">
      <x:c r="A442" s="168" t="str">
        <x:v>LUCK|lease_nc|2025</x:v>
      </x:c>
      <x:c r="B442" s="168" t="str">
        <x:v>LUCK</x:v>
      </x:c>
      <x:c r="C442" s="168" t="str">
        <x:v>FY2025</x:v>
      </x:c>
      <x:c r="D442" s="168" t="str">
        <x:v>Lease liabilities (non-current)</x:v>
      </x:c>
      <x:c r="E442" s="169" t="n">
        <x:v>0</x:v>
      </x:c>
      <x:c r="F442" s="169" t="n">
        <x:v>0</x:v>
      </x:c>
      <x:c r="G442" s="169" t="str">
        <x:v>PKR '000</x:v>
      </x:c>
      <x:c r="H442" s="169" t="n">
        <x:f>F442/1000</x:f>
        <x:v>0</x:v>
      </x:c>
      <x:c r="I442" s="169" t="n">
        <x:f>LUCK!H44</x:f>
        <x:v>0</x:v>
      </x:c>
      <x:c r="J442" s="169" t="n">
        <x:f>H442-I442</x:f>
        <x:v>0</x:v>
      </x:c>
      <x:c r="K442" s="168" t="str">
        <x:v>2025.pdf</x:v>
      </x:c>
      <x:c r="L442" s="168" t="n">
        <x:v>240</x:v>
      </x:c>
      <x:c r="M442" s="168" t="str">
        <x:v>Current year</x:v>
      </x:c>
      <x:c r="N442" s="171" t="str">
        <x:v>Zero / no separate line in audited presentation</x:v>
      </x:c>
      <x:c r="O442" s="171" t="str">
        <x:v>Zero classification checked within the audited statement/note and reconstructed statement totals; absence of a separate line does not imply a missing replacement estimate.</x:v>
      </x:c>
      <x:c r="P442" s="171" t="str">
        <x:v>
Unconsolidated Statement of 
Financial Position
as at June 30, 2025
  Note 2025 2024
   (PKR in ‘000’)
ASSETS 
NON-CURRENT ASSETS 
 Property, plant a | Lease liabilities (non-current)</x:v>
      </x:c>
    </x:row>
    <x:row r="443" ht="82" customHeight="1">
      <x:c r="A443" s="76" t="str">
        <x:v>LUCK|grant_nc|2020</x:v>
      </x:c>
      <x:c r="B443" s="76" t="str">
        <x:v>LUCK</x:v>
      </x:c>
      <x:c r="C443" s="76" t="str">
        <x:v>FY2020</x:v>
      </x:c>
      <x:c r="D443" s="76" t="str">
        <x:v>Deferred government grant (non-current)</x:v>
      </x:c>
      <x:c r="E443" s="170" t="n">
        <x:v>59720</x:v>
      </x:c>
      <x:c r="F443" s="170" t="n">
        <x:v>59720</x:v>
      </x:c>
      <x:c r="G443" s="170" t="str">
        <x:v>PKR '000</x:v>
      </x:c>
      <x:c r="H443" s="170" t="n">
        <x:f>F443/1000</x:f>
        <x:v>59.72</x:v>
      </x:c>
      <x:c r="I443" s="170" t="n">
        <x:f>LUCK!C45</x:f>
        <x:v>59.72</x:v>
      </x:c>
      <x:c r="J443" s="170" t="n">
        <x:f>H443-I443</x:f>
        <x:v>0</x:v>
      </x:c>
      <x:c r="K443" s="76" t="str">
        <x:v>2021.pdf</x:v>
      </x:c>
      <x:c r="L443" s="76" t="n">
        <x:v>191</x:v>
      </x:c>
      <x:c r="M443" s="76" t="str">
        <x:v>Comparative</x:v>
      </x:c>
      <x:c r="N443" s="99" t="str">
        <x:v>Printed amount independently located</x:v>
      </x:c>
      <x:c r="O443" s="99" t="str">
        <x:v>Exact source amount found; audited year/current-comparative column recorded. Accounting subtotal tests performed separately.</x:v>
      </x:c>
      <x:c r="P443" s="99" t="str">
        <x:v>ABILITIES
 Long-term deposits
 21
  243,633 
  233,062 
 Long-term loans
 22
  2,934,044 
  320,461 
 Deferred Government grant
 23
  1,107,940 
  59,720 
 Deferred liabilities
 - Staff gratuity - unfunded
  2,337,897
 1,948,457
 - Deferred tax liability
  6,157,224
 5,167,161
  24
  8,495,121 
  7,116,018 
    12,780,738 
  7,</x:v>
      </x:c>
    </x:row>
    <x:row r="444" ht="82" customHeight="1">
      <x:c r="A444" s="168" t="str">
        <x:v>LUCK|grant_nc|2021</x:v>
      </x:c>
      <x:c r="B444" s="168" t="str">
        <x:v>LUCK</x:v>
      </x:c>
      <x:c r="C444" s="168" t="str">
        <x:v>FY2021</x:v>
      </x:c>
      <x:c r="D444" s="168" t="str">
        <x:v>Deferred government grant (non-current)</x:v>
      </x:c>
      <x:c r="E444" s="169" t="n">
        <x:v>1107940</x:v>
      </x:c>
      <x:c r="F444" s="169" t="n">
        <x:v>1107940</x:v>
      </x:c>
      <x:c r="G444" s="169" t="str">
        <x:v>PKR '000</x:v>
      </x:c>
      <x:c r="H444" s="169" t="n">
        <x:f>F444/1000</x:f>
        <x:v>1107.94</x:v>
      </x:c>
      <x:c r="I444" s="169" t="n">
        <x:f>LUCK!D45</x:f>
        <x:v>1107.94</x:v>
      </x:c>
      <x:c r="J444" s="169" t="n">
        <x:f>H444-I444</x:f>
        <x:v>0</x:v>
      </x:c>
      <x:c r="K444" s="168" t="str">
        <x:v>2022.pdf</x:v>
      </x:c>
      <x:c r="L444" s="168" t="n">
        <x:v>226</x:v>
      </x:c>
      <x:c r="M444" s="168" t="str">
        <x:v>Comparative</x:v>
      </x:c>
      <x:c r="N444" s="171" t="str">
        <x:v>Printed amount independently located</x:v>
      </x:c>
      <x:c r="O444" s="171" t="str">
        <x:v>Exact source amount found; audited year/current-comparative column recorded. Accounting subtotal tests performed separately.</x:v>
      </x:c>
      <x:c r="P444" s="171" t="str">
        <x:v>RRENT LIABILITIES 
 Long-term deposits 21  250,332   243,633 
 Long-term loans 22  14,108,446   2,934,044 
 Deferred Government grant 23  2,164,455   1,107,940 
 Deferred liabilities 
 - Staff gratuity - unfunded   2,596,281   2,337,897 
 - Deferred tax liability   6,941,172   6,157,224 
   24  9,537,453   8,495,121 
     26,060,686   12</x:v>
      </x:c>
    </x:row>
    <x:row r="445" ht="82" customHeight="1">
      <x:c r="A445" s="76" t="str">
        <x:v>LUCK|grant_nc|2022</x:v>
      </x:c>
      <x:c r="B445" s="76" t="str">
        <x:v>LUCK</x:v>
      </x:c>
      <x:c r="C445" s="76" t="str">
        <x:v>FY2022</x:v>
      </x:c>
      <x:c r="D445" s="76" t="str">
        <x:v>Deferred government grant (non-current)</x:v>
      </x:c>
      <x:c r="E445" s="170" t="n">
        <x:v>2164455</x:v>
      </x:c>
      <x:c r="F445" s="170" t="n">
        <x:v>2164455</x:v>
      </x:c>
      <x:c r="G445" s="170" t="str">
        <x:v>PKR '000</x:v>
      </x:c>
      <x:c r="H445" s="170" t="n">
        <x:f>F445/1000</x:f>
        <x:v>2164.455</x:v>
      </x:c>
      <x:c r="I445" s="170" t="n">
        <x:f>LUCK!E45</x:f>
        <x:v>2164.455</x:v>
      </x:c>
      <x:c r="J445" s="170" t="n">
        <x:f>H445-I445</x:f>
        <x:v>0</x:v>
      </x:c>
      <x:c r="K445" s="76" t="str">
        <x:v>2023.pdf</x:v>
      </x:c>
      <x:c r="L445" s="76" t="n">
        <x:v>234</x:v>
      </x:c>
      <x:c r="M445" s="76" t="str">
        <x:v>Comparative</x:v>
      </x:c>
      <x:c r="N445" s="99" t="str">
        <x:v>Printed amount independently located</x:v>
      </x:c>
      <x:c r="O445" s="99" t="str">
        <x:v>Exact source amount found; audited year/current-comparative column recorded. Accounting subtotal tests performed separately.</x:v>
      </x:c>
      <x:c r="P445" s="99" t="str">
        <x:v>RENT LIABILITIES 
 Long-term deposits 21  252,837   250,332 
 Long-term loans 22  14,557,294   14,108,446 
 Deferred Government grant 23  2,121,307   2,164,455 
 Deferred liabilities 
 - Staff gratuity - unfunded   2,574,925   2,596,281 
 - Deferred tax liability   10,025,499   6,941,172 
   24  12,600,424   9,537,453 
     29,531,862</x:v>
      </x:c>
    </x:row>
    <x:row r="446" ht="82" customHeight="1">
      <x:c r="A446" s="168" t="str">
        <x:v>LUCK|grant_nc|2023</x:v>
      </x:c>
      <x:c r="B446" s="168" t="str">
        <x:v>LUCK</x:v>
      </x:c>
      <x:c r="C446" s="168" t="str">
        <x:v>FY2023</x:v>
      </x:c>
      <x:c r="D446" s="168" t="str">
        <x:v>Deferred government grant (non-current)</x:v>
      </x:c>
      <x:c r="E446" s="169" t="n">
        <x:v>2121307</x:v>
      </x:c>
      <x:c r="F446" s="169" t="n">
        <x:v>2121307</x:v>
      </x:c>
      <x:c r="G446" s="169" t="str">
        <x:v>PKR '000</x:v>
      </x:c>
      <x:c r="H446" s="169" t="n">
        <x:f>F446/1000</x:f>
        <x:v>2121.307</x:v>
      </x:c>
      <x:c r="I446" s="169" t="n">
        <x:f>LUCK!F45</x:f>
        <x:v>2121.307</x:v>
      </x:c>
      <x:c r="J446" s="169" t="n">
        <x:f>H446-I446</x:f>
        <x:v>0</x:v>
      </x:c>
      <x:c r="K446" s="168" t="str">
        <x:v>2024.pdf</x:v>
      </x:c>
      <x:c r="L446" s="168" t="n">
        <x:v>238</x:v>
      </x:c>
      <x:c r="M446" s="168" t="str">
        <x:v>Comparative</x:v>
      </x:c>
      <x:c r="N446" s="171" t="str">
        <x:v>Printed amount independently located</x:v>
      </x:c>
      <x:c r="O446" s="171" t="str">
        <x:v>Exact source amount found; audited year/current-comparative column recorded. Accounting subtotal tests performed separately.</x:v>
      </x:c>
      <x:c r="P446" s="171" t="str">
        <x:v>LITIES
 Long-term deposits
 21
  255,087 
  252,837 
 Long-term loans
 22
  12,760,637 
  14,557,294 
 Deferred Government grant
 23
  1,766,055 
  2,121,307 
 Deferred liabilities
 - Staff gratuity
   3,271,241 
  2,574,925 
 - Deferred tax liability
   14,015,320 
  10,025,499 
  24
  17,286,561 
  12,600,424 
    32,068,340</x:v>
      </x:c>
    </x:row>
    <x:row r="447" ht="82" customHeight="1">
      <x:c r="A447" s="76" t="str">
        <x:v>LUCK|grant_nc|2024</x:v>
      </x:c>
      <x:c r="B447" s="76" t="str">
        <x:v>LUCK</x:v>
      </x:c>
      <x:c r="C447" s="76" t="str">
        <x:v>FY2024</x:v>
      </x:c>
      <x:c r="D447" s="76" t="str">
        <x:v>Deferred government grant (non-current)</x:v>
      </x:c>
      <x:c r="E447" s="170" t="n">
        <x:v>1766055</x:v>
      </x:c>
      <x:c r="F447" s="170" t="n">
        <x:v>1766055</x:v>
      </x:c>
      <x:c r="G447" s="170" t="str">
        <x:v>PKR '000</x:v>
      </x:c>
      <x:c r="H447" s="170" t="n">
        <x:f>F447/1000</x:f>
        <x:v>1766.055</x:v>
      </x:c>
      <x:c r="I447" s="170" t="n">
        <x:f>LUCK!G45</x:f>
        <x:v>1766.055</x:v>
      </x:c>
      <x:c r="J447" s="170" t="n">
        <x:f>H447-I447</x:f>
        <x:v>0</x:v>
      </x:c>
      <x:c r="K447" s="76" t="str">
        <x:v>2025.pdf</x:v>
      </x:c>
      <x:c r="L447" s="76" t="n">
        <x:v>240</x:v>
      </x:c>
      <x:c r="M447" s="76" t="str">
        <x:v>Comparative</x:v>
      </x:c>
      <x:c r="N447" s="99" t="str">
        <x:v>Printed amount independently located</x:v>
      </x:c>
      <x:c r="O447" s="99" t="str">
        <x:v>Exact source amount found; audited year/current-comparative column recorded. Accounting subtotal tests performed separately.</x:v>
      </x:c>
      <x:c r="P447" s="99" t="str">
        <x:v>T LIABILITIES 
 Long-term deposits 20  114,200   255,087 
 Long-term financing 21  9,184,522   12,760,637 
 Deferred Government grant 22  1,382,651   1,766,055 
 Deferred liabilities 23  21,514,874   17,286,561 
     32,196,247   32,068,340 
CURRENT LIABILITIES 
 Trade and other payables 24  27,300,919   30,006,625 
 Current maturity of</x:v>
      </x:c>
    </x:row>
    <x:row r="448" ht="82" customHeight="1">
      <x:c r="A448" s="168" t="str">
        <x:v>LUCK|grant_nc|2025</x:v>
      </x:c>
      <x:c r="B448" s="168" t="str">
        <x:v>LUCK</x:v>
      </x:c>
      <x:c r="C448" s="168" t="str">
        <x:v>FY2025</x:v>
      </x:c>
      <x:c r="D448" s="168" t="str">
        <x:v>Deferred government grant (non-current)</x:v>
      </x:c>
      <x:c r="E448" s="169" t="n">
        <x:v>1382651</x:v>
      </x:c>
      <x:c r="F448" s="169" t="n">
        <x:v>1382651</x:v>
      </x:c>
      <x:c r="G448" s="169" t="str">
        <x:v>PKR '000</x:v>
      </x:c>
      <x:c r="H448" s="169" t="n">
        <x:f>F448/1000</x:f>
        <x:v>1382.651</x:v>
      </x:c>
      <x:c r="I448" s="169" t="n">
        <x:f>LUCK!H45</x:f>
        <x:v>1382.651</x:v>
      </x:c>
      <x:c r="J448" s="169" t="n">
        <x:f>H448-I448</x:f>
        <x:v>0</x:v>
      </x:c>
      <x:c r="K448" s="168" t="str">
        <x:v>2025.pdf</x:v>
      </x:c>
      <x:c r="L448" s="168" t="n">
        <x:v>240</x:v>
      </x:c>
      <x:c r="M448" s="168" t="str">
        <x:v>Current year</x:v>
      </x:c>
      <x:c r="N448" s="171" t="str">
        <x:v>Printed amount independently located</x:v>
      </x:c>
      <x:c r="O448" s="171" t="str">
        <x:v>Exact source amount found; audited year/current-comparative column recorded. Accounting subtotal tests performed separately.</x:v>
      </x:c>
      <x:c r="P448" s="171" t="str">
        <x:v>NON-CURRENT LIABILITIES 
 Long-term deposits 20  114,200   255,087 
 Long-term financing 21  9,184,522   12,760,637 
 Deferred Government grant 22  1,382,651   1,766,055 
 Deferred liabilities 23  21,514,874   17,286,561 
     32,196,247   32,068,340 
CURRENT LIABILITIES 
 Trade and other payables 24  27,300,919   30,006,625 
 Current</x:v>
      </x:c>
    </x:row>
    <x:row r="449" ht="82" customHeight="1">
      <x:c r="A449" s="76" t="str">
        <x:v>LUCK|def_tax|2020</x:v>
      </x:c>
      <x:c r="B449" s="76" t="str">
        <x:v>LUCK</x:v>
      </x:c>
      <x:c r="C449" s="76" t="str">
        <x:v>FY2020</x:v>
      </x:c>
      <x:c r="D449" s="76" t="str">
        <x:v>Deferred tax liability</x:v>
      </x:c>
      <x:c r="E449" s="170" t="n">
        <x:v>5167161</x:v>
      </x:c>
      <x:c r="F449" s="170" t="n">
        <x:v>5167161</x:v>
      </x:c>
      <x:c r="G449" s="170" t="str">
        <x:v>PKR '000</x:v>
      </x:c>
      <x:c r="H449" s="170" t="n">
        <x:f>F449/1000</x:f>
        <x:v>5167.161</x:v>
      </x:c>
      <x:c r="I449" s="170" t="n">
        <x:f>LUCK!C46</x:f>
        <x:v>5167.161</x:v>
      </x:c>
      <x:c r="J449" s="170" t="n">
        <x:f>H449-I449</x:f>
        <x:v>0</x:v>
      </x:c>
      <x:c r="K449" s="76" t="str">
        <x:v>2021.pdf</x:v>
      </x:c>
      <x:c r="L449" s="76" t="n">
        <x:v>191</x:v>
      </x:c>
      <x:c r="M449" s="76" t="str">
        <x:v>Comparative</x:v>
      </x:c>
      <x:c r="N449" s="99" t="str">
        <x:v>Printed amount independently located</x:v>
      </x:c>
      <x:c r="O449" s="99" t="str">
        <x:v>Exact source amount found; audited year/current-comparative column recorded. Accounting subtotal tests performed separately.</x:v>
      </x:c>
      <x:c r="P449" s="99" t="str">
        <x:v>ent grant
 23
  1,107,940 
  59,720 
 Deferred liabilities
 - Staff gratuity - unfunded
  2,337,897
 1,948,457
 - Deferred tax liability
  6,157,224
 5,167,161
  24
  8,495,121 
  7,116,018 
    12,780,738 
  7,729,261 
CURRENT LIABILITIES
 T
rade and other payables
 25
  20,789,760 
  19,354,794 
 Current maturity of long-term lo</x:v>
      </x:c>
    </x:row>
    <x:row r="450" ht="82" customHeight="1">
      <x:c r="A450" s="168" t="str">
        <x:v>LUCK|def_tax|2021</x:v>
      </x:c>
      <x:c r="B450" s="168" t="str">
        <x:v>LUCK</x:v>
      </x:c>
      <x:c r="C450" s="168" t="str">
        <x:v>FY2021</x:v>
      </x:c>
      <x:c r="D450" s="168" t="str">
        <x:v>Deferred tax liability</x:v>
      </x:c>
      <x:c r="E450" s="169" t="n">
        <x:v>6157224</x:v>
      </x:c>
      <x:c r="F450" s="169" t="n">
        <x:v>6157224</x:v>
      </x:c>
      <x:c r="G450" s="169" t="str">
        <x:v>PKR '000</x:v>
      </x:c>
      <x:c r="H450" s="169" t="n">
        <x:f>F450/1000</x:f>
        <x:v>6157.224</x:v>
      </x:c>
      <x:c r="I450" s="169" t="n">
        <x:f>LUCK!D46</x:f>
        <x:v>6157.224</x:v>
      </x:c>
      <x:c r="J450" s="169" t="n">
        <x:f>H450-I450</x:f>
        <x:v>0</x:v>
      </x:c>
      <x:c r="K450" s="168" t="str">
        <x:v>2022.pdf</x:v>
      </x:c>
      <x:c r="L450" s="168" t="n">
        <x:v>226</x:v>
      </x:c>
      <x:c r="M450" s="168" t="str">
        <x:v>Comparative</x:v>
      </x:c>
      <x:c r="N450" s="171" t="str">
        <x:v>Printed amount independently located</x:v>
      </x:c>
      <x:c r="O450" s="171" t="str">
        <x:v>Exact source amount found; audited year/current-comparative column recorded. Accounting subtotal tests performed separately.</x:v>
      </x:c>
      <x:c r="P450" s="171" t="str">
        <x:v>grant 23  2,164,455   1,107,940 
 Deferred liabilities 
 - Staff gratuity - unfunded   2,596,281   2,337,897 
 - Deferred tax liability   6,941,172   6,157,224 
   24  9,537,453   8,495,121 
     26,060,686   12,780,738 
CURRENT LIABILITIES 
 Trade and other payables 25  23,191,483   20,789,760 
 Current maturity of long-term loans 22  4</x:v>
      </x:c>
    </x:row>
    <x:row r="451" ht="82" customHeight="1">
      <x:c r="A451" s="76" t="str">
        <x:v>LUCK|def_tax|2022</x:v>
      </x:c>
      <x:c r="B451" s="76" t="str">
        <x:v>LUCK</x:v>
      </x:c>
      <x:c r="C451" s="76" t="str">
        <x:v>FY2022</x:v>
      </x:c>
      <x:c r="D451" s="76" t="str">
        <x:v>Deferred tax liability</x:v>
      </x:c>
      <x:c r="E451" s="170" t="n">
        <x:v>6941172</x:v>
      </x:c>
      <x:c r="F451" s="170" t="n">
        <x:v>6941172</x:v>
      </x:c>
      <x:c r="G451" s="170" t="str">
        <x:v>PKR '000</x:v>
      </x:c>
      <x:c r="H451" s="170" t="n">
        <x:f>F451/1000</x:f>
        <x:v>6941.172</x:v>
      </x:c>
      <x:c r="I451" s="170" t="n">
        <x:f>LUCK!E46</x:f>
        <x:v>6941.172</x:v>
      </x:c>
      <x:c r="J451" s="170" t="n">
        <x:f>H451-I451</x:f>
        <x:v>0</x:v>
      </x:c>
      <x:c r="K451" s="76" t="str">
        <x:v>2023.pdf</x:v>
      </x:c>
      <x:c r="L451" s="76" t="n">
        <x:v>234</x:v>
      </x:c>
      <x:c r="M451" s="76" t="str">
        <x:v>Comparative</x:v>
      </x:c>
      <x:c r="N451" s="99" t="str">
        <x:v>Printed amount independently located</x:v>
      </x:c>
      <x:c r="O451" s="99" t="str">
        <x:v>Exact source amount found; audited year/current-comparative column recorded. Accounting subtotal tests performed separately.</x:v>
      </x:c>
      <x:c r="P451" s="99" t="str">
        <x:v>rant 23  2,121,307   2,164,455 
 Deferred liabilities 
 - Staff gratuity - unfunded   2,574,925   2,596,281 
 - Deferred tax liability   10,025,499   6,941,172 
   24  12,600,424   9,537,453 
     29,531,862   26,060,686 
CURRENT LIABILITIES 
 Trade and other payables 25  29,918,702   23,191,483 
 Current maturity of long-term loans 22</x:v>
      </x:c>
    </x:row>
    <x:row r="452" ht="82" customHeight="1">
      <x:c r="A452" s="168" t="str">
        <x:v>LUCK|def_tax|2023</x:v>
      </x:c>
      <x:c r="B452" s="168" t="str">
        <x:v>LUCK</x:v>
      </x:c>
      <x:c r="C452" s="168" t="str">
        <x:v>FY2023</x:v>
      </x:c>
      <x:c r="D452" s="168" t="str">
        <x:v>Deferred tax liability</x:v>
      </x:c>
      <x:c r="E452" s="169" t="n">
        <x:v>10025499</x:v>
      </x:c>
      <x:c r="F452" s="169" t="n">
        <x:v>10025499</x:v>
      </x:c>
      <x:c r="G452" s="169" t="str">
        <x:v>PKR '000</x:v>
      </x:c>
      <x:c r="H452" s="169" t="n">
        <x:f>F452/1000</x:f>
        <x:v>10025.499</x:v>
      </x:c>
      <x:c r="I452" s="169" t="n">
        <x:f>LUCK!F46</x:f>
        <x:v>10025.499</x:v>
      </x:c>
      <x:c r="J452" s="169" t="n">
        <x:f>H452-I452</x:f>
        <x:v>0</x:v>
      </x:c>
      <x:c r="K452" s="168" t="str">
        <x:v>2024.pdf</x:v>
      </x:c>
      <x:c r="L452" s="168" t="n">
        <x:v>238</x:v>
      </x:c>
      <x:c r="M452" s="168" t="str">
        <x:v>Comparative</x:v>
      </x:c>
      <x:c r="N452" s="171" t="str">
        <x:v>Printed amount independently located</x:v>
      </x:c>
      <x:c r="O452" s="171" t="str">
        <x:v>Exact source amount found; audited year/current-comparative column recorded. Accounting subtotal tests performed separately.</x:v>
      </x:c>
      <x:c r="P452" s="171" t="str">
        <x:v>t grant
 23
  1,766,055 
  2,121,307 
 Deferred liabilities
 - Staff gratuity
   3,271,241 
  2,574,925 
 - Deferred tax liability
   14,015,320 
  10,025,499 
  24
  17,286,561 
  12,600,424 
    32,068,340 
  29,531,862 
CURRENT LIABILITIES
 Trade and other payables
 25
  30,006,625 
  29,918,702 
 Current maturity of long-term</x:v>
      </x:c>
    </x:row>
    <x:row r="453" ht="82" customHeight="1">
      <x:c r="A453" s="76" t="str">
        <x:v>LUCK|def_tax|2024</x:v>
      </x:c>
      <x:c r="B453" s="76" t="str">
        <x:v>LUCK</x:v>
      </x:c>
      <x:c r="C453" s="76" t="str">
        <x:v>FY2024</x:v>
      </x:c>
      <x:c r="D453" s="76" t="str">
        <x:v>Deferred tax liability</x:v>
      </x:c>
      <x:c r="E453" s="170" t="n">
        <x:v>0</x:v>
      </x:c>
      <x:c r="F453" s="170" t="n">
        <x:v>0</x:v>
      </x:c>
      <x:c r="G453" s="170" t="str">
        <x:v>PKR '000</x:v>
      </x:c>
      <x:c r="H453" s="170" t="n">
        <x:f>F453/1000</x:f>
        <x:v>0</x:v>
      </x:c>
      <x:c r="I453" s="170" t="n">
        <x:f>LUCK!G46</x:f>
        <x:v>0</x:v>
      </x:c>
      <x:c r="J453" s="170" t="n">
        <x:f>H453-I453</x:f>
        <x:v>0</x:v>
      </x:c>
      <x:c r="K453" s="76" t="str">
        <x:v>2025.pdf</x:v>
      </x:c>
      <x:c r="L453" s="76" t="n">
        <x:v>240</x:v>
      </x:c>
      <x:c r="M453" s="76" t="str">
        <x:v>Comparative</x:v>
      </x:c>
      <x:c r="N453" s="99" t="str">
        <x:v>Zero / no separate line in audited presentation</x:v>
      </x:c>
      <x:c r="O453" s="99" t="str">
        <x:v>Zero classification checked within the audited statement/note and reconstructed statement totals; absence of a separate line does not imply a missing replacement estimate.</x:v>
      </x:c>
      <x:c r="P453" s="99" t="str">
        <x:v>
Unconsolidated Statement of 
Financial Position
as at June 30, 2025
  Note 2025 2024
   (PKR in ‘000’)
ASSETS 
NON-CURRENT ASSETS 
 Property, plant a | Deferred tax liability</x:v>
      </x:c>
    </x:row>
    <x:row r="454" ht="82" customHeight="1">
      <x:c r="A454" s="168" t="str">
        <x:v>LUCK|def_tax|2025</x:v>
      </x:c>
      <x:c r="B454" s="168" t="str">
        <x:v>LUCK</x:v>
      </x:c>
      <x:c r="C454" s="168" t="str">
        <x:v>FY2025</x:v>
      </x:c>
      <x:c r="D454" s="168" t="str">
        <x:v>Deferred tax liability</x:v>
      </x:c>
      <x:c r="E454" s="169" t="n">
        <x:v>0</x:v>
      </x:c>
      <x:c r="F454" s="169" t="n">
        <x:v>0</x:v>
      </x:c>
      <x:c r="G454" s="169" t="str">
        <x:v>PKR '000</x:v>
      </x:c>
      <x:c r="H454" s="169" t="n">
        <x:f>F454/1000</x:f>
        <x:v>0</x:v>
      </x:c>
      <x:c r="I454" s="169" t="n">
        <x:f>LUCK!H46</x:f>
        <x:v>0</x:v>
      </x:c>
      <x:c r="J454" s="169" t="n">
        <x:f>H454-I454</x:f>
        <x:v>0</x:v>
      </x:c>
      <x:c r="K454" s="168" t="str">
        <x:v>2025.pdf</x:v>
      </x:c>
      <x:c r="L454" s="168" t="n">
        <x:v>240</x:v>
      </x:c>
      <x:c r="M454" s="168" t="str">
        <x:v>Current year</x:v>
      </x:c>
      <x:c r="N454" s="171" t="str">
        <x:v>Zero / no separate line in audited presentation</x:v>
      </x:c>
      <x:c r="O454" s="171" t="str">
        <x:v>Zero classification checked within the audited statement/note and reconstructed statement totals; absence of a separate line does not imply a missing replacement estimate.</x:v>
      </x:c>
      <x:c r="P454" s="171" t="str">
        <x:v>
Unconsolidated Statement of 
Financial Position
as at June 30, 2025
  Note 2025 2024
   (PKR in ‘000’)
ASSETS 
NON-CURRENT ASSETS 
 Property, plant a | Deferred tax liability</x:v>
      </x:c>
    </x:row>
    <x:row r="455" ht="82" customHeight="1">
      <x:c r="A455" s="76" t="str">
        <x:v>LUCK|ncl_other|2020</x:v>
      </x:c>
      <x:c r="B455" s="76" t="str">
        <x:v>LUCK</x:v>
      </x:c>
      <x:c r="C455" s="76" t="str">
        <x:v>FY2020</x:v>
      </x:c>
      <x:c r="D455" s="76" t="str">
        <x:v>Other non-current liabilities</x:v>
      </x:c>
      <x:c r="E455" s="170" t="n">
        <x:v>2181919</x:v>
      </x:c>
      <x:c r="F455" s="170" t="n">
        <x:v>2181519</x:v>
      </x:c>
      <x:c r="G455" s="170" t="str">
        <x:v>PKR '000</x:v>
      </x:c>
      <x:c r="H455" s="170" t="n">
        <x:f>F455/1000</x:f>
        <x:v>2181.519</x:v>
      </x:c>
      <x:c r="I455" s="170" t="n">
        <x:f>LUCK!C47</x:f>
        <x:v>2181.519</x:v>
      </x:c>
      <x:c r="J455" s="170" t="n">
        <x:f>H455-I455</x:f>
        <x:v>0</x:v>
      </x:c>
      <x:c r="K455" s="76" t="str">
        <x:v>2021.pdf</x:v>
      </x:c>
      <x:c r="L455" s="76" t="n">
        <x:v>191</x:v>
      </x:c>
      <x:c r="M455" s="76" t="str">
        <x:v>Comparative</x:v>
      </x:c>
      <x:c r="N455" s="99" t="str">
        <x:v>Official subtotal inconsistency disclosed</x:v>
      </x:c>
      <x:c r="O455" s="99" t="str">
        <x:v>No balancing plug retained; 400-thousand source footing discrepancy.</x:v>
      </x:c>
      <x:c r="P455" s="99" t="str">
        <x:v>Staff gratuity 1,948,457 + long-term deposits 233,062 = 2,181,519 thousand. Printed NCL 7,729,261; component sum 7,728,861.</x:v>
      </x:c>
    </x:row>
    <x:row r="456" ht="82" customHeight="1">
      <x:c r="A456" s="168" t="str">
        <x:v>LUCK|ncl_other|2021</x:v>
      </x:c>
      <x:c r="B456" s="168" t="str">
        <x:v>LUCK</x:v>
      </x:c>
      <x:c r="C456" s="168" t="str">
        <x:v>FY2021</x:v>
      </x:c>
      <x:c r="D456" s="168" t="str">
        <x:v>Other non-current liabilities</x:v>
      </x:c>
      <x:c r="E456" s="169" t="n">
        <x:v>2581530</x:v>
      </x:c>
      <x:c r="F456" s="169" t="n">
        <x:v>2581530</x:v>
      </x:c>
      <x:c r="G456" s="169" t="str">
        <x:v>PKR '000</x:v>
      </x:c>
      <x:c r="H456" s="169" t="n">
        <x:f>F456/1000</x:f>
        <x:v>2581.53</x:v>
      </x:c>
      <x:c r="I456" s="169" t="n">
        <x:f>LUCK!D47</x:f>
        <x:v>2581.53</x:v>
      </x:c>
      <x:c r="J456" s="169" t="n">
        <x:f>H456-I456</x:f>
        <x:v>0</x:v>
      </x:c>
      <x:c r="K456" s="168" t="str">
        <x:v>2022.pdf</x:v>
      </x:c>
      <x:c r="L456" s="168" t="n">
        <x:v>226</x:v>
      </x:c>
      <x:c r="M456" s="168" t="str">
        <x:v>Comparative</x:v>
      </x:c>
      <x:c r="N456" s="171" t="str">
        <x:v>Aggregated audited components</x:v>
      </x:c>
      <x:c r="O456" s="171" t="str">
        <x:v>Source-labelled component sum; statement controls and signed-unit conversion independently recomputed.</x:v>
      </x:c>
      <x:c r="P456" s="171" t="str">
        <x:v>
Unconsolidated Statement of 
Financial Position
as at June 30, 2022
  Note 2022 2021
   (PKR in ‘000’)
ASSETS 
NON-CURRENT ASSETS 
  Property, plant and equipment 5  82,301,050  6 | Components: Deferred liabilities - Staff gratuity - ; Long-term deposits</x:v>
      </x:c>
    </x:row>
    <x:row r="457" ht="82" customHeight="1">
      <x:c r="A457" s="76" t="str">
        <x:v>LUCK|ncl_other|2022</x:v>
      </x:c>
      <x:c r="B457" s="76" t="str">
        <x:v>LUCK</x:v>
      </x:c>
      <x:c r="C457" s="76" t="str">
        <x:v>FY2022</x:v>
      </x:c>
      <x:c r="D457" s="76" t="str">
        <x:v>Other non-current liabilities</x:v>
      </x:c>
      <x:c r="E457" s="170" t="n">
        <x:v>2846613</x:v>
      </x:c>
      <x:c r="F457" s="170" t="n">
        <x:v>2846613</x:v>
      </x:c>
      <x:c r="G457" s="170" t="str">
        <x:v>PKR '000</x:v>
      </x:c>
      <x:c r="H457" s="170" t="n">
        <x:f>F457/1000</x:f>
        <x:v>2846.613</x:v>
      </x:c>
      <x:c r="I457" s="170" t="n">
        <x:f>LUCK!E47</x:f>
        <x:v>2846.613</x:v>
      </x:c>
      <x:c r="J457" s="170" t="n">
        <x:f>H457-I457</x:f>
        <x:v>0</x:v>
      </x:c>
      <x:c r="K457" s="76" t="str">
        <x:v>2023.pdf</x:v>
      </x:c>
      <x:c r="L457" s="76" t="n">
        <x:v>234</x:v>
      </x:c>
      <x:c r="M457" s="76" t="str">
        <x:v>Comparative</x:v>
      </x:c>
      <x:c r="N457" s="99" t="str">
        <x:v>Aggregated audited components</x:v>
      </x:c>
      <x:c r="O457" s="99" t="str">
        <x:v>Source-labelled component sum; statement controls and signed-unit conversion independently recomputed.</x:v>
      </x:c>
      <x:c r="P457" s="99" t="str">
        <x:v>
Unconsolidated Statement of 
Financial Position
as at June 30, 2023
  Note 2023 2022
   (PKR in ‘000’)
ASSETS 
NON-CURRENT ASSETS 
 Fixed assets 
 Property, plant and equipment 5  | Components: Deferred liabilities - Staff gratuity - ; Long-term deposits</x:v>
      </x:c>
    </x:row>
    <x:row r="458" ht="82" customHeight="1">
      <x:c r="A458" s="168" t="str">
        <x:v>LUCK|ncl_other|2023</x:v>
      </x:c>
      <x:c r="B458" s="168" t="str">
        <x:v>LUCK</x:v>
      </x:c>
      <x:c r="C458" s="168" t="str">
        <x:v>FY2023</x:v>
      </x:c>
      <x:c r="D458" s="168" t="str">
        <x:v>Other non-current liabilities</x:v>
      </x:c>
      <x:c r="E458" s="169" t="n">
        <x:v>2827762</x:v>
      </x:c>
      <x:c r="F458" s="169" t="n">
        <x:v>2827762</x:v>
      </x:c>
      <x:c r="G458" s="169" t="str">
        <x:v>PKR '000</x:v>
      </x:c>
      <x:c r="H458" s="169" t="n">
        <x:f>F458/1000</x:f>
        <x:v>2827.762</x:v>
      </x:c>
      <x:c r="I458" s="169" t="n">
        <x:f>LUCK!F47</x:f>
        <x:v>2827.762</x:v>
      </x:c>
      <x:c r="J458" s="169" t="n">
        <x:f>H458-I458</x:f>
        <x:v>0</x:v>
      </x:c>
      <x:c r="K458" s="168" t="str">
        <x:v>2024.pdf</x:v>
      </x:c>
      <x:c r="L458" s="168" t="n">
        <x:v>238</x:v>
      </x:c>
      <x:c r="M458" s="168" t="str">
        <x:v>Comparative</x:v>
      </x:c>
      <x:c r="N458" s="171" t="str">
        <x:v>Aggregated audited components</x:v>
      </x:c>
      <x:c r="O458" s="171" t="str">
        <x:v>Source-labelled component sum; statement controls and signed-unit conversion independently recomputed.</x:v>
      </x:c>
      <x:c r="P458" s="171" t="str">
        <x:v>
Unconsolidated Statement of 
Financial Position
as at June 30, 2024
  Note  2024  2023
  (PKR in ‘000’)
ASSETS
NON-CURRENT ASSETS
 Fixed assets
 Property, plant and equipm | Components: Deferred liabilities - Staff gratuity; Long-term deposits</x:v>
      </x:c>
    </x:row>
    <x:row r="459" ht="82" customHeight="1">
      <x:c r="A459" s="76" t="str">
        <x:v>LUCK|ncl_other|2024</x:v>
      </x:c>
      <x:c r="B459" s="76" t="str">
        <x:v>LUCK</x:v>
      </x:c>
      <x:c r="C459" s="76" t="str">
        <x:v>FY2024</x:v>
      </x:c>
      <x:c r="D459" s="76" t="str">
        <x:v>Other non-current liabilities</x:v>
      </x:c>
      <x:c r="E459" s="170" t="n">
        <x:v>17541648</x:v>
      </x:c>
      <x:c r="F459" s="170" t="n">
        <x:v>17541648</x:v>
      </x:c>
      <x:c r="G459" s="170" t="str">
        <x:v>PKR '000</x:v>
      </x:c>
      <x:c r="H459" s="170" t="n">
        <x:f>F459/1000</x:f>
        <x:v>17541.648</x:v>
      </x:c>
      <x:c r="I459" s="170" t="n">
        <x:f>LUCK!G47</x:f>
        <x:v>17541.648</x:v>
      </x:c>
      <x:c r="J459" s="170" t="n">
        <x:f>H459-I459</x:f>
        <x:v>0</x:v>
      </x:c>
      <x:c r="K459" s="76" t="str">
        <x:v>2025.pdf</x:v>
      </x:c>
      <x:c r="L459" s="76" t="n">
        <x:v>240</x:v>
      </x:c>
      <x:c r="M459" s="76" t="str">
        <x:v>Comparative</x:v>
      </x:c>
      <x:c r="N459" s="99" t="str">
        <x:v>Aggregated audited components</x:v>
      </x:c>
      <x:c r="O459" s="99" t="str">
        <x:v>Source-labelled component sum; statement controls and signed-unit conversion independently recomputed.</x:v>
      </x:c>
      <x:c r="P459" s="99" t="str">
        <x:v>
Unconsolidated Statement of 
Financial Position
as at June 30, 2025
  Note 2025 2024
   (PKR in ‘000’)
ASSETS 
NON-CURRENT ASSETS 
 Property, plant and equipment 5  107,409,588  1 | Components: Deferred liabilities; Long-term deposits</x:v>
      </x:c>
    </x:row>
    <x:row r="460" ht="82" customHeight="1">
      <x:c r="A460" s="168" t="str">
        <x:v>LUCK|ncl_other|2025</x:v>
      </x:c>
      <x:c r="B460" s="168" t="str">
        <x:v>LUCK</x:v>
      </x:c>
      <x:c r="C460" s="168" t="str">
        <x:v>FY2025</x:v>
      </x:c>
      <x:c r="D460" s="168" t="str">
        <x:v>Other non-current liabilities</x:v>
      </x:c>
      <x:c r="E460" s="169" t="n">
        <x:v>21629074</x:v>
      </x:c>
      <x:c r="F460" s="169" t="n">
        <x:v>21629074</x:v>
      </x:c>
      <x:c r="G460" s="169" t="str">
        <x:v>PKR '000</x:v>
      </x:c>
      <x:c r="H460" s="169" t="n">
        <x:f>F460/1000</x:f>
        <x:v>21629.074</x:v>
      </x:c>
      <x:c r="I460" s="169" t="n">
        <x:f>LUCK!H47</x:f>
        <x:v>21629.074</x:v>
      </x:c>
      <x:c r="J460" s="169" t="n">
        <x:f>H460-I460</x:f>
        <x:v>0</x:v>
      </x:c>
      <x:c r="K460" s="168" t="str">
        <x:v>2025.pdf</x:v>
      </x:c>
      <x:c r="L460" s="168" t="n">
        <x:v>240</x:v>
      </x:c>
      <x:c r="M460" s="168" t="str">
        <x:v>Current year</x:v>
      </x:c>
      <x:c r="N460" s="171" t="str">
        <x:v>Aggregated audited components</x:v>
      </x:c>
      <x:c r="O460" s="171" t="str">
        <x:v>Source-labelled component sum; statement controls and signed-unit conversion independently recomputed.</x:v>
      </x:c>
      <x:c r="P460" s="171" t="str">
        <x:v>
Unconsolidated Statement of 
Financial Position
as at June 30, 2025
  Note 2025 2024
   (PKR in ‘000’)
ASSETS 
NON-CURRENT ASSETS 
 Property, plant and equipment 5  107,409,588  1 | Components: Deferred liabilities; Long-term deposits</x:v>
      </x:c>
    </x:row>
    <x:row r="461" ht="82" customHeight="1">
      <x:c r="A461" s="76" t="str">
        <x:v>LUCK|tap|2020</x:v>
      </x:c>
      <x:c r="B461" s="76" t="str">
        <x:v>LUCK</x:v>
      </x:c>
      <x:c r="C461" s="76" t="str">
        <x:v>FY2020</x:v>
      </x:c>
      <x:c r="D461" s="76" t="str">
        <x:v>Trade and other payables</x:v>
      </x:c>
      <x:c r="E461" s="170" t="n">
        <x:v>19354794</x:v>
      </x:c>
      <x:c r="F461" s="170" t="n">
        <x:v>19354794</x:v>
      </x:c>
      <x:c r="G461" s="170" t="str">
        <x:v>PKR '000</x:v>
      </x:c>
      <x:c r="H461" s="170" t="n">
        <x:f>F461/1000</x:f>
        <x:v>19354.794</x:v>
      </x:c>
      <x:c r="I461" s="170" t="n">
        <x:f>LUCK!C50</x:f>
        <x:v>19354.794</x:v>
      </x:c>
      <x:c r="J461" s="170" t="n">
        <x:f>H461-I461</x:f>
        <x:v>0</x:v>
      </x:c>
      <x:c r="K461" s="76" t="str">
        <x:v>2021.pdf</x:v>
      </x:c>
      <x:c r="L461" s="76" t="n">
        <x:v>191</x:v>
      </x:c>
      <x:c r="M461" s="76" t="str">
        <x:v>Comparative</x:v>
      </x:c>
      <x:c r="N461" s="99" t="str">
        <x:v>Printed amount independently located</x:v>
      </x:c>
      <x:c r="O461" s="99" t="str">
        <x:v>Exact source amount found; audited year/current-comparative column recorded. Accounting subtotal tests performed separately.</x:v>
      </x:c>
      <x:c r="P461" s="99" t="str">
        <x:v>,224
 5,167,161
  24
  8,495,121 
  7,116,018 
    12,780,738 
  7,729,261 
CURRENT LIABILITIES
 T
rade and other payables
 25
  20,789,760 
  19,354,794 
 Current maturity of long-term loans
 22
  506,908 
  126,727 
 Short term borrowings
 26
  7,050,000 
  7,931,444 
 Unclaimed dividend
   53,458 
  55,767 
 Unpaid dividend
 27</x:v>
      </x:c>
    </x:row>
    <x:row r="462" ht="82" customHeight="1">
      <x:c r="A462" s="168" t="str">
        <x:v>LUCK|tap|2021</x:v>
      </x:c>
      <x:c r="B462" s="168" t="str">
        <x:v>LUCK</x:v>
      </x:c>
      <x:c r="C462" s="168" t="str">
        <x:v>FY2021</x:v>
      </x:c>
      <x:c r="D462" s="168" t="str">
        <x:v>Trade and other payables</x:v>
      </x:c>
      <x:c r="E462" s="169" t="n">
        <x:v>20789760</x:v>
      </x:c>
      <x:c r="F462" s="169" t="n">
        <x:v>20789760</x:v>
      </x:c>
      <x:c r="G462" s="169" t="str">
        <x:v>PKR '000</x:v>
      </x:c>
      <x:c r="H462" s="169" t="n">
        <x:f>F462/1000</x:f>
        <x:v>20789.76</x:v>
      </x:c>
      <x:c r="I462" s="169" t="n">
        <x:f>LUCK!D50</x:f>
        <x:v>20789.76</x:v>
      </x:c>
      <x:c r="J462" s="169" t="n">
        <x:f>H462-I462</x:f>
        <x:v>0</x:v>
      </x:c>
      <x:c r="K462" s="168" t="str">
        <x:v>2022.pdf</x:v>
      </x:c>
      <x:c r="L462" s="168" t="n">
        <x:v>226</x:v>
      </x:c>
      <x:c r="M462" s="168" t="str">
        <x:v>Comparative</x:v>
      </x:c>
      <x:c r="N462" s="171" t="str">
        <x:v>Printed amount independently located</x:v>
      </x:c>
      <x:c r="O462" s="171" t="str">
        <x:v>Exact source amount found; audited year/current-comparative column recorded. Accounting subtotal tests performed separately.</x:v>
      </x:c>
      <x:c r="P462" s="171" t="str">
        <x:v>6,941,172   6,157,224 
   24  9,537,453   8,495,121 
     26,060,686   12,780,738 
CURRENT LIABILITIES 
 Trade and other payables 25  23,191,483   20,789,760 
 Current maturity of long-term loans 22  487,202   506,908 
 Short-term borrowings 26  1,000,000   7,050,000 
 Unclaimed dividend   51,030   53,458 
 Accrued markup   135,452   7</x:v>
      </x:c>
    </x:row>
    <x:row r="463" ht="82" customHeight="1">
      <x:c r="A463" s="76" t="str">
        <x:v>LUCK|tap|2022</x:v>
      </x:c>
      <x:c r="B463" s="76" t="str">
        <x:v>LUCK</x:v>
      </x:c>
      <x:c r="C463" s="76" t="str">
        <x:v>FY2022</x:v>
      </x:c>
      <x:c r="D463" s="76" t="str">
        <x:v>Trade and other payables</x:v>
      </x:c>
      <x:c r="E463" s="170" t="n">
        <x:v>23191483</x:v>
      </x:c>
      <x:c r="F463" s="170" t="n">
        <x:v>23191483</x:v>
      </x:c>
      <x:c r="G463" s="170" t="str">
        <x:v>PKR '000</x:v>
      </x:c>
      <x:c r="H463" s="170" t="n">
        <x:f>F463/1000</x:f>
        <x:v>23191.483</x:v>
      </x:c>
      <x:c r="I463" s="170" t="n">
        <x:f>LUCK!E50</x:f>
        <x:v>23191.483</x:v>
      </x:c>
      <x:c r="J463" s="170" t="n">
        <x:f>H463-I463</x:f>
        <x:v>0</x:v>
      </x:c>
      <x:c r="K463" s="76" t="str">
        <x:v>2023.pdf</x:v>
      </x:c>
      <x:c r="L463" s="76" t="n">
        <x:v>234</x:v>
      </x:c>
      <x:c r="M463" s="76" t="str">
        <x:v>Comparative</x:v>
      </x:c>
      <x:c r="N463" s="99" t="str">
        <x:v>Printed amount independently located</x:v>
      </x:c>
      <x:c r="O463" s="99" t="str">
        <x:v>Exact source amount found; audited year/current-comparative column recorded. Accounting subtotal tests performed separately.</x:v>
      </x:c>
      <x:c r="P463" s="99" t="str">
        <x:v>10,025,499   6,941,172 
   24  12,600,424   9,537,453 
     29,531,862   26,060,686 
CURRENT LIABILITIES 
 Trade and other payables 25  29,918,702   23,191,483 
 Current maturity of long-term loans 22  599,653   487,202 
 Short-term borrowings 26  5,885,000   1,000,000 
 Unclaimed dividend   50,115   51,030 
 Accrued markup   497,745   1</x:v>
      </x:c>
    </x:row>
    <x:row r="464" ht="82" customHeight="1">
      <x:c r="A464" s="168" t="str">
        <x:v>LUCK|tap|2023</x:v>
      </x:c>
      <x:c r="B464" s="168" t="str">
        <x:v>LUCK</x:v>
      </x:c>
      <x:c r="C464" s="168" t="str">
        <x:v>FY2023</x:v>
      </x:c>
      <x:c r="D464" s="168" t="str">
        <x:v>Trade and other payables</x:v>
      </x:c>
      <x:c r="E464" s="169" t="n">
        <x:v>29918702</x:v>
      </x:c>
      <x:c r="F464" s="169" t="n">
        <x:v>29918702</x:v>
      </x:c>
      <x:c r="G464" s="169" t="str">
        <x:v>PKR '000</x:v>
      </x:c>
      <x:c r="H464" s="169" t="n">
        <x:f>F464/1000</x:f>
        <x:v>29918.702</x:v>
      </x:c>
      <x:c r="I464" s="169" t="n">
        <x:f>LUCK!F50</x:f>
        <x:v>29918.702</x:v>
      </x:c>
      <x:c r="J464" s="169" t="n">
        <x:f>H464-I464</x:f>
        <x:v>0</x:v>
      </x:c>
      <x:c r="K464" s="168" t="str">
        <x:v>2024.pdf</x:v>
      </x:c>
      <x:c r="L464" s="168" t="n">
        <x:v>238</x:v>
      </x:c>
      <x:c r="M464" s="168" t="str">
        <x:v>Comparative</x:v>
      </x:c>
      <x:c r="N464" s="171" t="str">
        <x:v>Printed amount independently located</x:v>
      </x:c>
      <x:c r="O464" s="171" t="str">
        <x:v>Exact source amount found; audited year/current-comparative column recorded. Accounting subtotal tests performed separately.</x:v>
      </x:c>
      <x:c r="P464" s="171" t="str">
        <x:v>10,025,499 
  24
  17,286,561 
  12,600,424 
    32,068,340 
  29,531,862 
CURRENT LIABILITIES
 Trade and other payables
 25
  30,006,625 
  29,918,702 
 Current maturity of long-term loans
 22
  2,099,147 
  599,653 
 Short-term borrowings
 26
  5,485,000 
  5,885,000 
 Unclaimed dividend
   59,148 
  50,115 
 Accrued markup</x:v>
      </x:c>
    </x:row>
    <x:row r="465" ht="82" customHeight="1">
      <x:c r="A465" s="76" t="str">
        <x:v>LUCK|tap|2024</x:v>
      </x:c>
      <x:c r="B465" s="76" t="str">
        <x:v>LUCK</x:v>
      </x:c>
      <x:c r="C465" s="76" t="str">
        <x:v>FY2024</x:v>
      </x:c>
      <x:c r="D465" s="76" t="str">
        <x:v>Trade and other payables</x:v>
      </x:c>
      <x:c r="E465" s="170" t="n">
        <x:v>30006625</x:v>
      </x:c>
      <x:c r="F465" s="170" t="n">
        <x:v>30006625</x:v>
      </x:c>
      <x:c r="G465" s="170" t="str">
        <x:v>PKR '000</x:v>
      </x:c>
      <x:c r="H465" s="170" t="n">
        <x:f>F465/1000</x:f>
        <x:v>30006.625</x:v>
      </x:c>
      <x:c r="I465" s="170" t="n">
        <x:f>LUCK!G50</x:f>
        <x:v>30006.625</x:v>
      </x:c>
      <x:c r="J465" s="170" t="n">
        <x:f>H465-I465</x:f>
        <x:v>0</x:v>
      </x:c>
      <x:c r="K465" s="76" t="str">
        <x:v>2025.pdf</x:v>
      </x:c>
      <x:c r="L465" s="76" t="n">
        <x:v>240</x:v>
      </x:c>
      <x:c r="M465" s="76" t="str">
        <x:v>Comparative</x:v>
      </x:c>
      <x:c r="N465" s="99" t="str">
        <x:v>Printed amount independently located</x:v>
      </x:c>
      <x:c r="O465" s="99" t="str">
        <x:v>Exact source amount found; audited year/current-comparative column recorded. Accounting subtotal tests performed separately.</x:v>
      </x:c>
      <x:c r="P465" s="99" t="str">
        <x:v>055 
 Deferred liabilities 23  21,514,874   17,286,561 
     32,196,247   32,068,340 
CURRENT LIABILITIES 
 Trade and other payables 24  27,300,919   30,006,625 
 Current maturity of long-term financing 21  1,866,085   2,099,147 
 Short term borrowings 25  6,485,000   5,485,000 
 Unclaimed dividend   65,745   59,148 
 Accrued markup   185</x:v>
      </x:c>
    </x:row>
    <x:row r="466" ht="82" customHeight="1">
      <x:c r="A466" s="168" t="str">
        <x:v>LUCK|tap|2025</x:v>
      </x:c>
      <x:c r="B466" s="168" t="str">
        <x:v>LUCK</x:v>
      </x:c>
      <x:c r="C466" s="168" t="str">
        <x:v>FY2025</x:v>
      </x:c>
      <x:c r="D466" s="168" t="str">
        <x:v>Trade and other payables</x:v>
      </x:c>
      <x:c r="E466" s="169" t="n">
        <x:v>27300919</x:v>
      </x:c>
      <x:c r="F466" s="169" t="n">
        <x:v>27300919</x:v>
      </x:c>
      <x:c r="G466" s="169" t="str">
        <x:v>PKR '000</x:v>
      </x:c>
      <x:c r="H466" s="169" t="n">
        <x:f>F466/1000</x:f>
        <x:v>27300.919</x:v>
      </x:c>
      <x:c r="I466" s="169" t="n">
        <x:f>LUCK!H50</x:f>
        <x:v>27300.919</x:v>
      </x:c>
      <x:c r="J466" s="169" t="n">
        <x:f>H466-I466</x:f>
        <x:v>0</x:v>
      </x:c>
      <x:c r="K466" s="168" t="str">
        <x:v>2025.pdf</x:v>
      </x:c>
      <x:c r="L466" s="168" t="n">
        <x:v>240</x:v>
      </x:c>
      <x:c r="M466" s="168" t="str">
        <x:v>Current year</x:v>
      </x:c>
      <x:c r="N466" s="171" t="str">
        <x:v>Printed amount independently located</x:v>
      </x:c>
      <x:c r="O466" s="171" t="str">
        <x:v>Exact source amount found; audited year/current-comparative column recorded. Accounting subtotal tests performed separately.</x:v>
      </x:c>
      <x:c r="P466" s="171" t="str">
        <x:v>,651   1,766,055 
 Deferred liabilities 23  21,514,874   17,286,561 
     32,196,247   32,068,340 
CURRENT LIABILITIES 
 Trade and other payables 24  27,300,919   30,006,625 
 Current maturity of long-term financing 21  1,866,085   2,099,147 
 Short term borrowings 25  6,485,000   5,485,000 
 Unclaimed dividend   65,745   59,148 
 Accrued</x:v>
      </x:c>
    </x:row>
    <x:row r="467" ht="82" customHeight="1">
      <x:c r="A467" s="76" t="str">
        <x:v>LUCK|trade_cred|2020</x:v>
      </x:c>
      <x:c r="B467" s="76" t="str">
        <x:v>LUCK</x:v>
      </x:c>
      <x:c r="C467" s="76" t="str">
        <x:v>FY2020</x:v>
      </x:c>
      <x:c r="D467" s="76" t="str">
        <x:v>memo: trade creditors / bills payable (note)</x:v>
      </x:c>
      <x:c r="E467" s="170" t="n">
        <x:v>2599290</x:v>
      </x:c>
      <x:c r="F467" s="170" t="n">
        <x:v>2599290</x:v>
      </x:c>
      <x:c r="G467" s="170" t="str">
        <x:v>PKR '000</x:v>
      </x:c>
      <x:c r="H467" s="170" t="n">
        <x:f>F467/1000</x:f>
        <x:v>2599.29</x:v>
      </x:c>
      <x:c r="I467" s="170" t="n">
        <x:f>LUCK!C51</x:f>
        <x:v>2599.29</x:v>
      </x:c>
      <x:c r="J467" s="170" t="n">
        <x:f>H467-I467</x:f>
        <x:v>0</x:v>
      </x:c>
      <x:c r="K467" s="76" t="str">
        <x:v>2021.pdf</x:v>
      </x:c>
      <x:c r="L467" s="76" t="n">
        <x:v>216</x:v>
      </x:c>
      <x:c r="M467" s="76" t="str">
        <x:v>Comparative</x:v>
      </x:c>
      <x:c r="N467" s="99" t="str">
        <x:v>Printed amount independently located</x:v>
      </x:c>
      <x:c r="O467" s="99" t="str">
        <x:v>Exact source amount found; audited year/current-comparative column recorded. Accounting subtotal tests performed separately.</x:v>
      </x:c>
      <x:c r="P467" s="99" t="str">
        <x:v>espect of provisions and minimum tax
   (933,647)
  (437,888)
   6,157,224 
  5,167,561
25.
 TRADE AND OTHER P
AYABLES
 Creditors
   2,882,434 
  2,599,290 
 Accrued liabilities
   4,235,009 
  3,383,846 
 P
ayable to a subsidiary company against claim 
    of tax losses
 25.1
  613,992 
  33,582 
 Advances from customers / contract</x:v>
      </x:c>
    </x:row>
    <x:row r="468" ht="82" customHeight="1">
      <x:c r="A468" s="168" t="str">
        <x:v>LUCK|trade_cred|2021</x:v>
      </x:c>
      <x:c r="B468" s="168" t="str">
        <x:v>LUCK</x:v>
      </x:c>
      <x:c r="C468" s="168" t="str">
        <x:v>FY2021</x:v>
      </x:c>
      <x:c r="D468" s="168" t="str">
        <x:v>memo: trade creditors / bills payable (note)</x:v>
      </x:c>
      <x:c r="E468" s="169" t="n">
        <x:v>2882434</x:v>
      </x:c>
      <x:c r="F468" s="169" t="n">
        <x:v>2882434</x:v>
      </x:c>
      <x:c r="G468" s="169" t="str">
        <x:v>PKR '000</x:v>
      </x:c>
      <x:c r="H468" s="169" t="n">
        <x:f>F468/1000</x:f>
        <x:v>2882.434</x:v>
      </x:c>
      <x:c r="I468" s="169" t="n">
        <x:f>LUCK!D51</x:f>
        <x:v>2882.434</x:v>
      </x:c>
      <x:c r="J468" s="169" t="n">
        <x:f>H468-I468</x:f>
        <x:v>0</x:v>
      </x:c>
      <x:c r="K468" s="168" t="str">
        <x:v>2022.pdf</x:v>
      </x:c>
      <x:c r="L468" s="168" t="n">
        <x:v>252</x:v>
      </x:c>
      <x:c r="M468" s="168" t="str">
        <x:v>Comparative</x:v>
      </x:c>
      <x:c r="N468" s="171" t="str">
        <x:v>Printed amount independently located</x:v>
      </x:c>
      <x:c r="O468" s="171" t="str">
        <x:v>Exact source amount found; audited year/current-comparative column recorded. Accounting subtotal tests performed separately.</x:v>
      </x:c>
      <x:c r="P468" s="171" t="str">
        <x:v>ed 
Financial Statements
For the year ended June 30, 2022
  Note 2022 2021
   (PKR in ‘000’)
25. TRADE AND OTHER PAYABLES 
 Creditors   3,352,998   2,882,434 
 Accrued liabilities   5,333,024   4,235,009 
 Payable to a subsidiary company against claim 
    of tax losses 25.1 –    613,992 
 Advances from customers / contract liabilities</x:v>
      </x:c>
    </x:row>
    <x:row r="469" ht="82" customHeight="1">
      <x:c r="A469" s="76" t="str">
        <x:v>LUCK|trade_cred|2022</x:v>
      </x:c>
      <x:c r="B469" s="76" t="str">
        <x:v>LUCK</x:v>
      </x:c>
      <x:c r="C469" s="76" t="str">
        <x:v>FY2022</x:v>
      </x:c>
      <x:c r="D469" s="76" t="str">
        <x:v>memo: trade creditors / bills payable (note)</x:v>
      </x:c>
      <x:c r="E469" s="170" t="n">
        <x:v>3352998</x:v>
      </x:c>
      <x:c r="F469" s="170" t="n">
        <x:v>3352998</x:v>
      </x:c>
      <x:c r="G469" s="170" t="str">
        <x:v>PKR '000</x:v>
      </x:c>
      <x:c r="H469" s="170" t="n">
        <x:f>F469/1000</x:f>
        <x:v>3352.998</x:v>
      </x:c>
      <x:c r="I469" s="170" t="n">
        <x:f>LUCK!E51</x:f>
        <x:v>3352.998</x:v>
      </x:c>
      <x:c r="J469" s="170" t="n">
        <x:f>H469-I469</x:f>
        <x:v>0</x:v>
      </x:c>
      <x:c r="K469" s="76" t="str">
        <x:v>2023.pdf</x:v>
      </x:c>
      <x:c r="L469" s="76" t="n">
        <x:v>260</x:v>
      </x:c>
      <x:c r="M469" s="76" t="str">
        <x:v>Comparative</x:v>
      </x:c>
      <x:c r="N469" s="99" t="str">
        <x:v>Printed amount independently located</x:v>
      </x:c>
      <x:c r="O469" s="99" t="str">
        <x:v>Exact source amount found; audited year/current-comparative column recorded. Accounting subtotal tests performed separately.</x:v>
      </x:c>
      <x:c r="P469" s="99" t="str">
        <x:v>dated 
Financial Statements
For the year ended June 30, 2023
  Note 2023 2022
   (PKR in ‘000’)
25. TRADE AND OTHER PAYABLES
 Creditors   5,030,546   3,352,998 
 Accrued liabilities   6,110,295   5,333,024 
 Advances from customers / contract liabilities 25.4  4,335,126   2,114,280 
 Retention money   2,132,353   1,141,232 
 Sales tax, e</x:v>
      </x:c>
    </x:row>
    <x:row r="470" ht="82" customHeight="1">
      <x:c r="A470" s="168" t="str">
        <x:v>LUCK|trade_cred|2023</x:v>
      </x:c>
      <x:c r="B470" s="168" t="str">
        <x:v>LUCK</x:v>
      </x:c>
      <x:c r="C470" s="168" t="str">
        <x:v>FY2023</x:v>
      </x:c>
      <x:c r="D470" s="168" t="str">
        <x:v>memo: trade creditors / bills payable (note)</x:v>
      </x:c>
      <x:c r="E470" s="169" t="n">
        <x:v>5030546</x:v>
      </x:c>
      <x:c r="F470" s="169" t="n">
        <x:v>5030546</x:v>
      </x:c>
      <x:c r="G470" s="169" t="str">
        <x:v>PKR '000</x:v>
      </x:c>
      <x:c r="H470" s="169" t="n">
        <x:f>F470/1000</x:f>
        <x:v>5030.546</x:v>
      </x:c>
      <x:c r="I470" s="169" t="n">
        <x:f>LUCK!F51</x:f>
        <x:v>5030.546</x:v>
      </x:c>
      <x:c r="J470" s="169" t="n">
        <x:f>H470-I470</x:f>
        <x:v>0</x:v>
      </x:c>
      <x:c r="K470" s="168" t="str">
        <x:v>2024.pdf</x:v>
      </x:c>
      <x:c r="L470" s="168" t="n">
        <x:v>265</x:v>
      </x:c>
      <x:c r="M470" s="168" t="str">
        <x:v>Comparative</x:v>
      </x:c>
      <x:c r="N470" s="171" t="str">
        <x:v>Printed amount independently located</x:v>
      </x:c>
      <x:c r="O470" s="171" t="str">
        <x:v>Exact source amount found; audited year/current-comparative column recorded. Accounting subtotal tests performed separately.</x:v>
      </x:c>
      <x:c r="P470" s="171" t="str">
        <x:v>ng
   in respect of provisions
   (604,101)
  (1,153,859)
   14,015,320 
  10,025,499 
25. TRADE AND OTHER PAYABLES  
 Creditors    7,172,144   5,030,546 
 Accrued liabilities
 25.5
  6,737,990 
  6,110,295 
 Advances from customers / contract liabilities
 25.4
  2,903,543 
  4,335,126 
 Retention money
   1,860,838 
  2,132,353</x:v>
      </x:c>
    </x:row>
    <x:row r="471" ht="82" customHeight="1">
      <x:c r="A471" s="76" t="str">
        <x:v>LUCK|trade_cred|2024</x:v>
      </x:c>
      <x:c r="B471" s="76" t="str">
        <x:v>LUCK</x:v>
      </x:c>
      <x:c r="C471" s="76" t="str">
        <x:v>FY2024</x:v>
      </x:c>
      <x:c r="D471" s="76" t="str">
        <x:v>memo: trade creditors / bills payable (note)</x:v>
      </x:c>
      <x:c r="E471" s="170" t="n">
        <x:v>7172144</x:v>
      </x:c>
      <x:c r="F471" s="170" t="n">
        <x:v>7172144</x:v>
      </x:c>
      <x:c r="G471" s="170" t="str">
        <x:v>PKR '000</x:v>
      </x:c>
      <x:c r="H471" s="170" t="n">
        <x:f>F471/1000</x:f>
        <x:v>7172.144</x:v>
      </x:c>
      <x:c r="I471" s="170" t="n">
        <x:f>LUCK!G51</x:f>
        <x:v>7172.144</x:v>
      </x:c>
      <x:c r="J471" s="170" t="n">
        <x:f>H471-I471</x:f>
        <x:v>0</x:v>
      </x:c>
      <x:c r="K471" s="76" t="str">
        <x:v>2025.pdf</x:v>
      </x:c>
      <x:c r="L471" s="76" t="n">
        <x:v>267</x:v>
      </x:c>
      <x:c r="M471" s="76" t="str">
        <x:v>Comparative</x:v>
      </x:c>
      <x:c r="N471" s="99" t="str">
        <x:v>Printed amount independently located</x:v>
      </x:c>
      <x:c r="O471" s="99" t="str">
        <x:v>Exact source amount found; audited year/current-comparative column recorded. Accounting subtotal tests performed separately.</x:v>
      </x:c>
      <x:c r="P471" s="99" t="str">
        <x:v>arising 
  in respect of provisions   (1,055,355)  (604,101)
      16,820,986   14,015,320 
24. TRADE AND OTHER PAYABLES 
 Creditors   6,426,975   7,172,144 
 Accrued liabilities 24.5  5,474,101   6,737,990 
 Advances from customers / contract liabilities 24.4  4,840,791   2,903,543 
 Retention money   1,855,975   1,860,838 
 Sales ta</x:v>
      </x:c>
    </x:row>
    <x:row r="472" ht="82" customHeight="1">
      <x:c r="A472" s="168" t="str">
        <x:v>LUCK|trade_cred|2025</x:v>
      </x:c>
      <x:c r="B472" s="168" t="str">
        <x:v>LUCK</x:v>
      </x:c>
      <x:c r="C472" s="168" t="str">
        <x:v>FY2025</x:v>
      </x:c>
      <x:c r="D472" s="168" t="str">
        <x:v>memo: trade creditors / bills payable (note)</x:v>
      </x:c>
      <x:c r="E472" s="169" t="n">
        <x:v>6426975</x:v>
      </x:c>
      <x:c r="F472" s="169" t="n">
        <x:v>6426975</x:v>
      </x:c>
      <x:c r="G472" s="169" t="str">
        <x:v>PKR '000</x:v>
      </x:c>
      <x:c r="H472" s="169" t="n">
        <x:f>F472/1000</x:f>
        <x:v>6426.975</x:v>
      </x:c>
      <x:c r="I472" s="169" t="n">
        <x:f>LUCK!H51</x:f>
        <x:v>6426.975</x:v>
      </x:c>
      <x:c r="J472" s="169" t="n">
        <x:f>H472-I472</x:f>
        <x:v>0</x:v>
      </x:c>
      <x:c r="K472" s="168" t="str">
        <x:v>2025.pdf</x:v>
      </x:c>
      <x:c r="L472" s="168" t="n">
        <x:v>267</x:v>
      </x:c>
      <x:c r="M472" s="168" t="str">
        <x:v>Current year</x:v>
      </x:c>
      <x:c r="N472" s="171" t="str">
        <x:v>Printed amount independently located</x:v>
      </x:c>
      <x:c r="O472" s="171" t="str">
        <x:v>Exact source amount found; audited year/current-comparative column recorded. Accounting subtotal tests performed separately.</x:v>
      </x:c>
      <x:c r="P472" s="171" t="str">
        <x:v>differences arising 
  in respect of provisions   (1,055,355)  (604,101)
      16,820,986   14,015,320 
24. TRADE AND OTHER PAYABLES 
 Creditors   6,426,975   7,172,144 
 Accrued liabilities 24.5  5,474,101   6,737,990 
 Advances from customers / contract liabilities 24.4  4,840,791   2,903,543 
 Retention money   1,855,975   1,860,83</x:v>
      </x:c>
    </x:row>
    <x:row r="473" ht="82" customHeight="1">
      <x:c r="A473" s="76" t="str">
        <x:v>LUCK|contract|2020</x:v>
      </x:c>
      <x:c r="B473" s="76" t="str">
        <x:v>LUCK</x:v>
      </x:c>
      <x:c r="C473" s="76" t="str">
        <x:v>FY2020</x:v>
      </x:c>
      <x:c r="D473" s="76" t="str">
        <x:v>Contract liabilities / advances from customers</x:v>
      </x:c>
      <x:c r="E473" s="170" t="n">
        <x:v>0</x:v>
      </x:c>
      <x:c r="F473" s="170" t="n">
        <x:v>0</x:v>
      </x:c>
      <x:c r="G473" s="170" t="str">
        <x:v>PKR '000</x:v>
      </x:c>
      <x:c r="H473" s="170" t="n">
        <x:f>F473/1000</x:f>
        <x:v>0</x:v>
      </x:c>
      <x:c r="I473" s="170" t="n">
        <x:f>LUCK!C52</x:f>
        <x:v>0</x:v>
      </x:c>
      <x:c r="J473" s="170" t="n">
        <x:f>H473-I473</x:f>
        <x:v>0</x:v>
      </x:c>
      <x:c r="K473" s="76" t="str">
        <x:v>2021.pdf</x:v>
      </x:c>
      <x:c r="L473" s="76" t="n">
        <x:v>191</x:v>
      </x:c>
      <x:c r="M473" s="76" t="str">
        <x:v>Comparative</x:v>
      </x:c>
      <x:c r="N473" s="99" t="str">
        <x:v>Zero / no separate line in audited presentation</x:v>
      </x:c>
      <x:c r="O473" s="99" t="str">
        <x:v>Zero classification checked within the audited statement/note and reconstructed statement totals; absence of a separate line does not imply a missing replacement estimate.</x:v>
      </x:c>
      <x:c r="P473" s="99" t="str">
        <x:v>
206
STRENGTHENING
PAKISTAN
UNCONSOLIDATED STATEMENT 
OF FINANCIAL POSITION
as at June 30, 2021
Muhammad Ali Tabba
Chief Executive
Muhammad Yunus Tabb | Contract liabilities / advances from customers</x:v>
      </x:c>
    </x:row>
    <x:row r="474" ht="82" customHeight="1">
      <x:c r="A474" s="168" t="str">
        <x:v>LUCK|contract|2021</x:v>
      </x:c>
      <x:c r="B474" s="168" t="str">
        <x:v>LUCK</x:v>
      </x:c>
      <x:c r="C474" s="168" t="str">
        <x:v>FY2021</x:v>
      </x:c>
      <x:c r="D474" s="168" t="str">
        <x:v>Contract liabilities / advances from customers</x:v>
      </x:c>
      <x:c r="E474" s="169" t="n">
        <x:v>0</x:v>
      </x:c>
      <x:c r="F474" s="169" t="n">
        <x:v>0</x:v>
      </x:c>
      <x:c r="G474" s="169" t="str">
        <x:v>PKR '000</x:v>
      </x:c>
      <x:c r="H474" s="169" t="n">
        <x:f>F474/1000</x:f>
        <x:v>0</x:v>
      </x:c>
      <x:c r="I474" s="169" t="n">
        <x:f>LUCK!D52</x:f>
        <x:v>0</x:v>
      </x:c>
      <x:c r="J474" s="169" t="n">
        <x:f>H474-I474</x:f>
        <x:v>0</x:v>
      </x:c>
      <x:c r="K474" s="168" t="str">
        <x:v>2022.pdf</x:v>
      </x:c>
      <x:c r="L474" s="168" t="n">
        <x:v>226</x:v>
      </x:c>
      <x:c r="M474" s="168" t="str">
        <x:v>Comparative</x:v>
      </x:c>
      <x:c r="N474" s="171" t="str">
        <x:v>Zero / no separate line in audited presentation</x:v>
      </x:c>
      <x:c r="O474" s="171" t="str">
        <x:v>Zero classification checked within the audited statement/note and reconstructed statement totals; absence of a separate line does not imply a missing replacement estimate.</x:v>
      </x:c>
      <x:c r="P474" s="171" t="str">
        <x:v>
Unconsolidated Statement of 
Financial Position
as at June 30, 2022
  Note 2022 2021
   (PKR in ‘000’)
ASSETS 
NON-CURRENT ASSETS 
  Property, plant  | Contract liabilities / advances from customers</x:v>
      </x:c>
    </x:row>
    <x:row r="475" ht="82" customHeight="1">
      <x:c r="A475" s="76" t="str">
        <x:v>LUCK|contract|2022</x:v>
      </x:c>
      <x:c r="B475" s="76" t="str">
        <x:v>LUCK</x:v>
      </x:c>
      <x:c r="C475" s="76" t="str">
        <x:v>FY2022</x:v>
      </x:c>
      <x:c r="D475" s="76" t="str">
        <x:v>Contract liabilities / advances from customers</x:v>
      </x:c>
      <x:c r="E475" s="170" t="n">
        <x:v>0</x:v>
      </x:c>
      <x:c r="F475" s="170" t="n">
        <x:v>0</x:v>
      </x:c>
      <x:c r="G475" s="170" t="str">
        <x:v>PKR '000</x:v>
      </x:c>
      <x:c r="H475" s="170" t="n">
        <x:f>F475/1000</x:f>
        <x:v>0</x:v>
      </x:c>
      <x:c r="I475" s="170" t="n">
        <x:f>LUCK!E52</x:f>
        <x:v>0</x:v>
      </x:c>
      <x:c r="J475" s="170" t="n">
        <x:f>H475-I475</x:f>
        <x:v>0</x:v>
      </x:c>
      <x:c r="K475" s="76" t="str">
        <x:v>2023.pdf</x:v>
      </x:c>
      <x:c r="L475" s="76" t="n">
        <x:v>234</x:v>
      </x:c>
      <x:c r="M475" s="76" t="str">
        <x:v>Comparative</x:v>
      </x:c>
      <x:c r="N475" s="99" t="str">
        <x:v>Zero / no separate line in audited presentation</x:v>
      </x:c>
      <x:c r="O475" s="99" t="str">
        <x:v>Zero classification checked within the audited statement/note and reconstructed statement totals; absence of a separate line does not imply a missing replacement estimate.</x:v>
      </x:c>
      <x:c r="P475" s="99" t="str">
        <x:v>
Unconsolidated Statement of 
Financial Position
as at June 30, 2023
  Note 2023 2022
   (PKR in ‘000’)
ASSETS 
NON-CURRENT ASSETS 
 Fixed assets 
 Pr | Contract liabilities / advances from customers</x:v>
      </x:c>
    </x:row>
    <x:row r="476" ht="82" customHeight="1">
      <x:c r="A476" s="168" t="str">
        <x:v>LUCK|contract|2023</x:v>
      </x:c>
      <x:c r="B476" s="168" t="str">
        <x:v>LUCK</x:v>
      </x:c>
      <x:c r="C476" s="168" t="str">
        <x:v>FY2023</x:v>
      </x:c>
      <x:c r="D476" s="168" t="str">
        <x:v>Contract liabilities / advances from customers</x:v>
      </x:c>
      <x:c r="E476" s="169" t="n">
        <x:v>0</x:v>
      </x:c>
      <x:c r="F476" s="169" t="n">
        <x:v>0</x:v>
      </x:c>
      <x:c r="G476" s="169" t="str">
        <x:v>PKR '000</x:v>
      </x:c>
      <x:c r="H476" s="169" t="n">
        <x:f>F476/1000</x:f>
        <x:v>0</x:v>
      </x:c>
      <x:c r="I476" s="169" t="n">
        <x:f>LUCK!F52</x:f>
        <x:v>0</x:v>
      </x:c>
      <x:c r="J476" s="169" t="n">
        <x:f>H476-I476</x:f>
        <x:v>0</x:v>
      </x:c>
      <x:c r="K476" s="168" t="str">
        <x:v>2024.pdf</x:v>
      </x:c>
      <x:c r="L476" s="168" t="n">
        <x:v>238</x:v>
      </x:c>
      <x:c r="M476" s="168" t="str">
        <x:v>Comparative</x:v>
      </x:c>
      <x:c r="N476" s="171" t="str">
        <x:v>Zero / no separate line in audited presentation</x:v>
      </x:c>
      <x:c r="O476" s="171" t="str">
        <x:v>Zero classification checked within the audited statement/note and reconstructed statement totals; absence of a separate line does not imply a missing replacement estimate.</x:v>
      </x:c>
      <x:c r="P476" s="171" t="str">
        <x:v>
Unconsolidated Statement of 
Financial Position
as at June 30, 2024
  Note  2024  2023
  (PKR in ‘000’)
ASSETS
NON-CURRENT ASSETS
 Fixed assets | Contract liabilities / advances from customers</x:v>
      </x:c>
    </x:row>
    <x:row r="477" ht="82" customHeight="1">
      <x:c r="A477" s="76" t="str">
        <x:v>LUCK|contract|2024</x:v>
      </x:c>
      <x:c r="B477" s="76" t="str">
        <x:v>LUCK</x:v>
      </x:c>
      <x:c r="C477" s="76" t="str">
        <x:v>FY2024</x:v>
      </x:c>
      <x:c r="D477" s="76" t="str">
        <x:v>Contract liabilities / advances from customers</x:v>
      </x:c>
      <x:c r="E477" s="170" t="n">
        <x:v>0</x:v>
      </x:c>
      <x:c r="F477" s="170" t="n">
        <x:v>0</x:v>
      </x:c>
      <x:c r="G477" s="170" t="str">
        <x:v>PKR '000</x:v>
      </x:c>
      <x:c r="H477" s="170" t="n">
        <x:f>F477/1000</x:f>
        <x:v>0</x:v>
      </x:c>
      <x:c r="I477" s="170" t="n">
        <x:f>LUCK!G52</x:f>
        <x:v>0</x:v>
      </x:c>
      <x:c r="J477" s="170" t="n">
        <x:f>H477-I477</x:f>
        <x:v>0</x:v>
      </x:c>
      <x:c r="K477" s="76" t="str">
        <x:v>2025.pdf</x:v>
      </x:c>
      <x:c r="L477" s="76" t="n">
        <x:v>240</x:v>
      </x:c>
      <x:c r="M477" s="76" t="str">
        <x:v>Comparative</x:v>
      </x:c>
      <x:c r="N477" s="99" t="str">
        <x:v>Zero / no separate line in audited presentation</x:v>
      </x:c>
      <x:c r="O477" s="99" t="str">
        <x:v>Zero classification checked within the audited statement/note and reconstructed statement totals; absence of a separate line does not imply a missing replacement estimate.</x:v>
      </x:c>
      <x:c r="P477" s="99" t="str">
        <x:v>
Unconsolidated Statement of 
Financial Position
as at June 30, 2025
  Note 2025 2024
   (PKR in ‘000’)
ASSETS 
NON-CURRENT ASSETS 
 Property, plant a | Contract liabilities / advances from customers</x:v>
      </x:c>
    </x:row>
    <x:row r="478" ht="82" customHeight="1">
      <x:c r="A478" s="168" t="str">
        <x:v>LUCK|contract|2025</x:v>
      </x:c>
      <x:c r="B478" s="168" t="str">
        <x:v>LUCK</x:v>
      </x:c>
      <x:c r="C478" s="168" t="str">
        <x:v>FY2025</x:v>
      </x:c>
      <x:c r="D478" s="168" t="str">
        <x:v>Contract liabilities / advances from customers</x:v>
      </x:c>
      <x:c r="E478" s="169" t="n">
        <x:v>0</x:v>
      </x:c>
      <x:c r="F478" s="169" t="n">
        <x:v>0</x:v>
      </x:c>
      <x:c r="G478" s="169" t="str">
        <x:v>PKR '000</x:v>
      </x:c>
      <x:c r="H478" s="169" t="n">
        <x:f>F478/1000</x:f>
        <x:v>0</x:v>
      </x:c>
      <x:c r="I478" s="169" t="n">
        <x:f>LUCK!H52</x:f>
        <x:v>0</x:v>
      </x:c>
      <x:c r="J478" s="169" t="n">
        <x:f>H478-I478</x:f>
        <x:v>0</x:v>
      </x:c>
      <x:c r="K478" s="168" t="str">
        <x:v>2025.pdf</x:v>
      </x:c>
      <x:c r="L478" s="168" t="n">
        <x:v>240</x:v>
      </x:c>
      <x:c r="M478" s="168" t="str">
        <x:v>Current year</x:v>
      </x:c>
      <x:c r="N478" s="171" t="str">
        <x:v>Zero / no separate line in audited presentation</x:v>
      </x:c>
      <x:c r="O478" s="171" t="str">
        <x:v>Zero classification checked within the audited statement/note and reconstructed statement totals; absence of a separate line does not imply a missing replacement estimate.</x:v>
      </x:c>
      <x:c r="P478" s="171" t="str">
        <x:v>
Unconsolidated Statement of 
Financial Position
as at June 30, 2025
  Note 2025 2024
   (PKR in ‘000’)
ASSETS 
NON-CURRENT ASSETS 
 Property, plant a | Contract liabilities / advances from customers</x:v>
      </x:c>
    </x:row>
    <x:row r="479" ht="82" customHeight="1">
      <x:c r="A479" s="76" t="str">
        <x:v>LUCK|acc_markup|2020</x:v>
      </x:c>
      <x:c r="B479" s="76" t="str">
        <x:v>LUCK</x:v>
      </x:c>
      <x:c r="C479" s="76" t="str">
        <x:v>FY2020</x:v>
      </x:c>
      <x:c r="D479" s="76" t="str">
        <x:v>Accrued mark-up / interest</x:v>
      </x:c>
      <x:c r="E479" s="170" t="n">
        <x:v>46173</x:v>
      </x:c>
      <x:c r="F479" s="170" t="n">
        <x:v>46173</x:v>
      </x:c>
      <x:c r="G479" s="170" t="str">
        <x:v>PKR '000</x:v>
      </x:c>
      <x:c r="H479" s="170" t="n">
        <x:f>F479/1000</x:f>
        <x:v>46.173</x:v>
      </x:c>
      <x:c r="I479" s="170" t="n">
        <x:f>LUCK!C53</x:f>
        <x:v>46.173</x:v>
      </x:c>
      <x:c r="J479" s="170" t="n">
        <x:f>H479-I479</x:f>
        <x:v>0</x:v>
      </x:c>
      <x:c r="K479" s="76" t="str">
        <x:v>2021.pdf</x:v>
      </x:c>
      <x:c r="L479" s="76" t="n">
        <x:v>191</x:v>
      </x:c>
      <x:c r="M479" s="76" t="str">
        <x:v>Comparative</x:v>
      </x:c>
      <x:c r="N479" s="99" t="str">
        <x:v>Printed amount independently located</x:v>
      </x:c>
      <x:c r="O479" s="99" t="str">
        <x:v>Exact source amount found; audited year/current-comparative column recorded. Accounting subtotal tests performed separately.</x:v>
      </x:c>
      <x:c r="P479" s="99" t="str">
        <x:v>m borrowings
 26
  7,050,000 
  7,931,444 
 Unclaimed dividend
   53,458 
  55,767 
 Unpaid dividend
 27
 –   
  17,580 
 Accrued markup
   70,868 
  46,173 
 T
axation - net
   1,916,072 
  1,422,867 
    30,387,066 
  28,955,352 
    43,167,804 
  36,684,613 
CONTINGENCIES AND COMMITMENTS
 28
TOT
AL EQUITY AND LIABILITIES
   156</x:v>
      </x:c>
    </x:row>
    <x:row r="480" ht="82" customHeight="1">
      <x:c r="A480" s="168" t="str">
        <x:v>LUCK|acc_markup|2021</x:v>
      </x:c>
      <x:c r="B480" s="168" t="str">
        <x:v>LUCK</x:v>
      </x:c>
      <x:c r="C480" s="168" t="str">
        <x:v>FY2021</x:v>
      </x:c>
      <x:c r="D480" s="168" t="str">
        <x:v>Accrued mark-up / interest</x:v>
      </x:c>
      <x:c r="E480" s="169" t="n">
        <x:v>70868</x:v>
      </x:c>
      <x:c r="F480" s="169" t="n">
        <x:v>70868</x:v>
      </x:c>
      <x:c r="G480" s="169" t="str">
        <x:v>PKR '000</x:v>
      </x:c>
      <x:c r="H480" s="169" t="n">
        <x:f>F480/1000</x:f>
        <x:v>70.868</x:v>
      </x:c>
      <x:c r="I480" s="169" t="n">
        <x:f>LUCK!D53</x:f>
        <x:v>70.868</x:v>
      </x:c>
      <x:c r="J480" s="169" t="n">
        <x:f>H480-I480</x:f>
        <x:v>0</x:v>
      </x:c>
      <x:c r="K480" s="168" t="str">
        <x:v>2022.pdf</x:v>
      </x:c>
      <x:c r="L480" s="168" t="n">
        <x:v>226</x:v>
      </x:c>
      <x:c r="M480" s="168" t="str">
        <x:v>Comparative</x:v>
      </x:c>
      <x:c r="N480" s="171" t="str">
        <x:v>Printed amount independently located</x:v>
      </x:c>
      <x:c r="O480" s="171" t="str">
        <x:v>Exact source amount found; audited year/current-comparative column recorded. Accounting subtotal tests performed separately.</x:v>
      </x:c>
      <x:c r="P480" s="171" t="str">
        <x:v>erm loans 22  487,202   506,908 
 Short-term borrowings 26  1,000,000   7,050,000 
 Unclaimed dividend   51,030   53,458 
 Accrued markup   135,452   70,868 
 T axation - net   5,496,191   1,916,072 
     30,361,358   30,387,066 
     56,422,044   43,167,804 
TOTAL EQUITY AND LIABILITIES   184,962,368   156,368,062
CONTINGENCIES AND C</x:v>
      </x:c>
    </x:row>
    <x:row r="481" ht="82" customHeight="1">
      <x:c r="A481" s="76" t="str">
        <x:v>LUCK|acc_markup|2022</x:v>
      </x:c>
      <x:c r="B481" s="76" t="str">
        <x:v>LUCK</x:v>
      </x:c>
      <x:c r="C481" s="76" t="str">
        <x:v>FY2022</x:v>
      </x:c>
      <x:c r="D481" s="76" t="str">
        <x:v>Accrued mark-up / interest</x:v>
      </x:c>
      <x:c r="E481" s="170" t="n">
        <x:v>135452</x:v>
      </x:c>
      <x:c r="F481" s="170" t="n">
        <x:v>135452</x:v>
      </x:c>
      <x:c r="G481" s="170" t="str">
        <x:v>PKR '000</x:v>
      </x:c>
      <x:c r="H481" s="170" t="n">
        <x:f>F481/1000</x:f>
        <x:v>135.452</x:v>
      </x:c>
      <x:c r="I481" s="170" t="n">
        <x:f>LUCK!E53</x:f>
        <x:v>135.452</x:v>
      </x:c>
      <x:c r="J481" s="170" t="n">
        <x:f>H481-I481</x:f>
        <x:v>0</x:v>
      </x:c>
      <x:c r="K481" s="76" t="str">
        <x:v>2023.pdf</x:v>
      </x:c>
      <x:c r="L481" s="76" t="n">
        <x:v>234</x:v>
      </x:c>
      <x:c r="M481" s="76" t="str">
        <x:v>Comparative</x:v>
      </x:c>
      <x:c r="N481" s="99" t="str">
        <x:v>Printed amount independently located</x:v>
      </x:c>
      <x:c r="O481" s="99" t="str">
        <x:v>Exact source amount found; audited year/current-comparative column recorded. Accounting subtotal tests performed separately.</x:v>
      </x:c>
      <x:c r="P481" s="99" t="str">
        <x:v>erm loans 22  599,653   487,202 
 Short-term borrowings 26  5,885,000   1,000,000 
 Unclaimed dividend   50,115   51,030 
 Accrued markup   497,745   135,452 
 Taxation - net   9,229,664   5,496,191 
     46,180,879   30,361,358 
     75,712,741   56,422,044 
TOTAL EQUITY AND LIABILITIES   213,079,067   184,962,368
CONTINGENCIES AND CO</x:v>
      </x:c>
    </x:row>
    <x:row r="482" ht="82" customHeight="1">
      <x:c r="A482" s="168" t="str">
        <x:v>LUCK|acc_markup|2023</x:v>
      </x:c>
      <x:c r="B482" s="168" t="str">
        <x:v>LUCK</x:v>
      </x:c>
      <x:c r="C482" s="168" t="str">
        <x:v>FY2023</x:v>
      </x:c>
      <x:c r="D482" s="168" t="str">
        <x:v>Accrued mark-up / interest</x:v>
      </x:c>
      <x:c r="E482" s="169" t="n">
        <x:v>497745</x:v>
      </x:c>
      <x:c r="F482" s="169" t="n">
        <x:v>497745</x:v>
      </x:c>
      <x:c r="G482" s="169" t="str">
        <x:v>PKR '000</x:v>
      </x:c>
      <x:c r="H482" s="169" t="n">
        <x:f>F482/1000</x:f>
        <x:v>497.745</x:v>
      </x:c>
      <x:c r="I482" s="169" t="n">
        <x:f>LUCK!F53</x:f>
        <x:v>497.745</x:v>
      </x:c>
      <x:c r="J482" s="169" t="n">
        <x:f>H482-I482</x:f>
        <x:v>0</x:v>
      </x:c>
      <x:c r="K482" s="168" t="str">
        <x:v>2024.pdf</x:v>
      </x:c>
      <x:c r="L482" s="168" t="n">
        <x:v>238</x:v>
      </x:c>
      <x:c r="M482" s="168" t="str">
        <x:v>Comparative</x:v>
      </x:c>
      <x:c r="N482" s="171" t="str">
        <x:v>Printed amount independently located</x:v>
      </x:c>
      <x:c r="O482" s="171" t="str">
        <x:v>Exact source amount found; audited year/current-comparative column recorded. Accounting subtotal tests performed separately.</x:v>
      </x:c>
      <x:c r="P482" s="171" t="str">
        <x:v>2
  2,099,147 
  599,653 
 Short-term borrowings
 26
  5,485,000 
  5,885,000 
 Unclaimed dividend
   59,148 
  50,115 
 Accrued markup
   342,935 
  497,745 
 Taxation - net
   16,195,618 
  9,229,664 
    54,188,473 
  46,180,879 
    86,256,813 
  75,712,741 
TOTAL EQUITY AND LIABILITIES
   234,018,090 
  213,079,067
CONTINGENCI</x:v>
      </x:c>
    </x:row>
    <x:row r="483" ht="82" customHeight="1">
      <x:c r="A483" s="76" t="str">
        <x:v>LUCK|acc_markup|2024</x:v>
      </x:c>
      <x:c r="B483" s="76" t="str">
        <x:v>LUCK</x:v>
      </x:c>
      <x:c r="C483" s="76" t="str">
        <x:v>FY2024</x:v>
      </x:c>
      <x:c r="D483" s="76" t="str">
        <x:v>Accrued mark-up / interest</x:v>
      </x:c>
      <x:c r="E483" s="170" t="n">
        <x:v>342935</x:v>
      </x:c>
      <x:c r="F483" s="170" t="n">
        <x:v>342935</x:v>
      </x:c>
      <x:c r="G483" s="170" t="str">
        <x:v>PKR '000</x:v>
      </x:c>
      <x:c r="H483" s="170" t="n">
        <x:f>F483/1000</x:f>
        <x:v>342.935</x:v>
      </x:c>
      <x:c r="I483" s="170" t="n">
        <x:f>LUCK!G53</x:f>
        <x:v>342.935</x:v>
      </x:c>
      <x:c r="J483" s="170" t="n">
        <x:f>H483-I483</x:f>
        <x:v>0</x:v>
      </x:c>
      <x:c r="K483" s="76" t="str">
        <x:v>2025.pdf</x:v>
      </x:c>
      <x:c r="L483" s="76" t="n">
        <x:v>240</x:v>
      </x:c>
      <x:c r="M483" s="76" t="str">
        <x:v>Comparative</x:v>
      </x:c>
      <x:c r="N483" s="99" t="str">
        <x:v>Printed amount independently located</x:v>
      </x:c>
      <x:c r="O483" s="99" t="str">
        <x:v>Exact source amount found; audited year/current-comparative column recorded. Accounting subtotal tests performed separately.</x:v>
      </x:c>
      <x:c r="P483" s="99" t="str">
        <x:v>ncing 21  1,866,085   2,099,147 
 Short term borrowings 25  6,485,000   5,485,000 
 Unclaimed dividend   65,745   59,148 
 Accrued markup   185,616   342,935 
 Taxation - net   22,738,018   16,195,618 
     58,641,383   54,188,473 
     90,837,630   86,256,813
TOTAL EQUITY AND LIABILITIES   266,748,030   234,018,090 
CONTINGENCIES AND</x:v>
      </x:c>
    </x:row>
    <x:row r="484" ht="82" customHeight="1">
      <x:c r="A484" s="168" t="str">
        <x:v>LUCK|acc_markup|2025</x:v>
      </x:c>
      <x:c r="B484" s="168" t="str">
        <x:v>LUCK</x:v>
      </x:c>
      <x:c r="C484" s="168" t="str">
        <x:v>FY2025</x:v>
      </x:c>
      <x:c r="D484" s="168" t="str">
        <x:v>Accrued mark-up / interest</x:v>
      </x:c>
      <x:c r="E484" s="169" t="n">
        <x:v>185616</x:v>
      </x:c>
      <x:c r="F484" s="169" t="n">
        <x:v>185616</x:v>
      </x:c>
      <x:c r="G484" s="169" t="str">
        <x:v>PKR '000</x:v>
      </x:c>
      <x:c r="H484" s="169" t="n">
        <x:f>F484/1000</x:f>
        <x:v>185.616</x:v>
      </x:c>
      <x:c r="I484" s="169" t="n">
        <x:f>LUCK!H53</x:f>
        <x:v>185.616</x:v>
      </x:c>
      <x:c r="J484" s="169" t="n">
        <x:f>H484-I484</x:f>
        <x:v>0</x:v>
      </x:c>
      <x:c r="K484" s="168" t="str">
        <x:v>2025.pdf</x:v>
      </x:c>
      <x:c r="L484" s="168" t="n">
        <x:v>240</x:v>
      </x:c>
      <x:c r="M484" s="168" t="str">
        <x:v>Current year</x:v>
      </x:c>
      <x:c r="N484" s="171" t="str">
        <x:v>Printed amount independently located</x:v>
      </x:c>
      <x:c r="O484" s="171" t="str">
        <x:v>Exact source amount found; audited year/current-comparative column recorded. Accounting subtotal tests performed separately.</x:v>
      </x:c>
      <x:c r="P484" s="171" t="str">
        <x:v>-term financing 21  1,866,085   2,099,147 
 Short term borrowings 25  6,485,000   5,485,000 
 Unclaimed dividend   65,745   59,148 
 Accrued markup   185,616   342,935 
 Taxation - net   22,738,018   16,195,618 
     58,641,383   54,188,473 
     90,837,630   86,256,813
TOTAL EQUITY AND LIABILITIES   266,748,030   234,018,090 
CONTINGE</x:v>
      </x:c>
    </x:row>
    <x:row r="485" ht="82" customHeight="1">
      <x:c r="A485" s="76" t="str">
        <x:v>LUCK|stb|2020</x:v>
      </x:c>
      <x:c r="B485" s="76" t="str">
        <x:v>LUCK</x:v>
      </x:c>
      <x:c r="C485" s="76" t="str">
        <x:v>FY2020</x:v>
      </x:c>
      <x:c r="D485" s="76" t="str">
        <x:v>Short-term borrowings (incl. running finance; FCCL parent loan)</x:v>
      </x:c>
      <x:c r="E485" s="170" t="n">
        <x:v>7931444</x:v>
      </x:c>
      <x:c r="F485" s="170" t="n">
        <x:v>7931444</x:v>
      </x:c>
      <x:c r="G485" s="170" t="str">
        <x:v>PKR '000</x:v>
      </x:c>
      <x:c r="H485" s="170" t="n">
        <x:f>F485/1000</x:f>
        <x:v>7931.444</x:v>
      </x:c>
      <x:c r="I485" s="170" t="n">
        <x:f>LUCK!C54</x:f>
        <x:v>7931.444</x:v>
      </x:c>
      <x:c r="J485" s="170" t="n">
        <x:f>H485-I485</x:f>
        <x:v>0</x:v>
      </x:c>
      <x:c r="K485" s="76" t="str">
        <x:v>2021.pdf</x:v>
      </x:c>
      <x:c r="L485" s="76" t="n">
        <x:v>191</x:v>
      </x:c>
      <x:c r="M485" s="76" t="str">
        <x:v>Comparative</x:v>
      </x:c>
      <x:c r="N485" s="99" t="str">
        <x:v>Printed amount independently located</x:v>
      </x:c>
      <x:c r="O485" s="99" t="str">
        <x:v>Exact source amount found; audited year/current-comparative column recorded. Accounting subtotal tests performed separately.</x:v>
      </x:c>
      <x:c r="P485" s="99" t="str">
        <x:v>her payables
 25
  20,789,760 
  19,354,794 
 Current maturity of long-term loans
 22
  506,908 
  126,727 
 Short term borrowings
 26
  7,050,000 
  7,931,444 
 Unclaimed dividend
   53,458 
  55,767 
 Unpaid dividend
 27
 –   
  17,580 
 Accrued markup
   70,868 
  46,173 
 T
axation - net
   1,916,072 
  1,422,867 
    30,387,066</x:v>
      </x:c>
    </x:row>
    <x:row r="486" ht="82" customHeight="1">
      <x:c r="A486" s="168" t="str">
        <x:v>LUCK|stb|2021</x:v>
      </x:c>
      <x:c r="B486" s="168" t="str">
        <x:v>LUCK</x:v>
      </x:c>
      <x:c r="C486" s="168" t="str">
        <x:v>FY2021</x:v>
      </x:c>
      <x:c r="D486" s="168" t="str">
        <x:v>Short-term borrowings (incl. running finance; FCCL parent loan)</x:v>
      </x:c>
      <x:c r="E486" s="169" t="n">
        <x:v>7050000</x:v>
      </x:c>
      <x:c r="F486" s="169" t="n">
        <x:v>7050000</x:v>
      </x:c>
      <x:c r="G486" s="169" t="str">
        <x:v>PKR '000</x:v>
      </x:c>
      <x:c r="H486" s="169" t="n">
        <x:f>F486/1000</x:f>
        <x:v>7050</x:v>
      </x:c>
      <x:c r="I486" s="169" t="n">
        <x:f>LUCK!D54</x:f>
        <x:v>7050</x:v>
      </x:c>
      <x:c r="J486" s="169" t="n">
        <x:f>H486-I486</x:f>
        <x:v>0</x:v>
      </x:c>
      <x:c r="K486" s="168" t="str">
        <x:v>2022.pdf</x:v>
      </x:c>
      <x:c r="L486" s="168" t="n">
        <x:v>226</x:v>
      </x:c>
      <x:c r="M486" s="168" t="str">
        <x:v>Comparative</x:v>
      </x:c>
      <x:c r="N486" s="171" t="str">
        <x:v>Printed amount independently located</x:v>
      </x:c>
      <x:c r="O486" s="171" t="str">
        <x:v>Exact source amount found; audited year/current-comparative column recorded. Accounting subtotal tests performed separately.</x:v>
      </x:c>
      <x:c r="P486" s="171" t="str">
        <x:v>de and other payables 25  23,191,483   20,789,760 
 Current maturity of long-term loans 22  487,202   506,908 
 Short-term borrowings 26  1,000,000   7,050,000 
 Unclaimed dividend   51,030   53,458 
 Accrued markup   135,452   70,868 
 T axation - net   5,496,191   1,916,072 
     30,361,358   30,387,066 
     56,422,044   43,167,804 
T</x:v>
      </x:c>
    </x:row>
    <x:row r="487" ht="82" customHeight="1">
      <x:c r="A487" s="76" t="str">
        <x:v>LUCK|stb|2022</x:v>
      </x:c>
      <x:c r="B487" s="76" t="str">
        <x:v>LUCK</x:v>
      </x:c>
      <x:c r="C487" s="76" t="str">
        <x:v>FY2022</x:v>
      </x:c>
      <x:c r="D487" s="76" t="str">
        <x:v>Short-term borrowings (incl. running finance; FCCL parent loan)</x:v>
      </x:c>
      <x:c r="E487" s="170" t="n">
        <x:v>1000000</x:v>
      </x:c>
      <x:c r="F487" s="170" t="n">
        <x:v>1000000</x:v>
      </x:c>
      <x:c r="G487" s="170" t="str">
        <x:v>PKR '000</x:v>
      </x:c>
      <x:c r="H487" s="170" t="n">
        <x:f>F487/1000</x:f>
        <x:v>1000</x:v>
      </x:c>
      <x:c r="I487" s="170" t="n">
        <x:f>LUCK!E54</x:f>
        <x:v>1000</x:v>
      </x:c>
      <x:c r="J487" s="170" t="n">
        <x:f>H487-I487</x:f>
        <x:v>0</x:v>
      </x:c>
      <x:c r="K487" s="76" t="str">
        <x:v>2023.pdf</x:v>
      </x:c>
      <x:c r="L487" s="76" t="n">
        <x:v>234</x:v>
      </x:c>
      <x:c r="M487" s="76" t="str">
        <x:v>Comparative</x:v>
      </x:c>
      <x:c r="N487" s="99" t="str">
        <x:v>Printed amount independently located</x:v>
      </x:c>
      <x:c r="O487" s="99" t="str">
        <x:v>Exact source amount found; audited year/current-comparative column recorded. Accounting subtotal tests performed separately.</x:v>
      </x:c>
      <x:c r="P487" s="99" t="str">
        <x:v>de and other payables 25  29,918,702   23,191,483 
 Current maturity of long-term loans 22  599,653   487,202 
 Short-term borrowings 26  5,885,000   1,000,000 
 Unclaimed dividend   50,115   51,030 
 Accrued markup   497,745   135,452 
 Taxation - net   9,229,664   5,496,191 
     46,180,879   30,361,358 
     75,712,741   56,422,044 
T</x:v>
      </x:c>
    </x:row>
    <x:row r="488" ht="82" customHeight="1">
      <x:c r="A488" s="168" t="str">
        <x:v>LUCK|stb|2023</x:v>
      </x:c>
      <x:c r="B488" s="168" t="str">
        <x:v>LUCK</x:v>
      </x:c>
      <x:c r="C488" s="168" t="str">
        <x:v>FY2023</x:v>
      </x:c>
      <x:c r="D488" s="168" t="str">
        <x:v>Short-term borrowings (incl. running finance; FCCL parent loan)</x:v>
      </x:c>
      <x:c r="E488" s="169" t="n">
        <x:v>5885000</x:v>
      </x:c>
      <x:c r="F488" s="169" t="n">
        <x:v>5885000</x:v>
      </x:c>
      <x:c r="G488" s="169" t="str">
        <x:v>PKR '000</x:v>
      </x:c>
      <x:c r="H488" s="169" t="n">
        <x:f>F488/1000</x:f>
        <x:v>5885</x:v>
      </x:c>
      <x:c r="I488" s="169" t="n">
        <x:f>LUCK!F54</x:f>
        <x:v>5885</x:v>
      </x:c>
      <x:c r="J488" s="169" t="n">
        <x:f>H488-I488</x:f>
        <x:v>0</x:v>
      </x:c>
      <x:c r="K488" s="168" t="str">
        <x:v>2024.pdf</x:v>
      </x:c>
      <x:c r="L488" s="168" t="n">
        <x:v>238</x:v>
      </x:c>
      <x:c r="M488" s="168" t="str">
        <x:v>Comparative</x:v>
      </x:c>
      <x:c r="N488" s="171" t="str">
        <x:v>Printed amount independently located</x:v>
      </x:c>
      <x:c r="O488" s="171" t="str">
        <x:v>Exact source amount found; audited year/current-comparative column recorded. Accounting subtotal tests performed separately.</x:v>
      </x:c>
      <x:c r="P488" s="171" t="str">
        <x:v>r payables
 25
  30,006,625 
  29,918,702 
 Current maturity of long-term loans
 22
  2,099,147 
  599,653 
 Short-term borrowings
 26
  5,485,000 
  5,885,000 
 Unclaimed dividend
   59,148 
  50,115 
 Accrued markup
   342,935 
  497,745 
 Taxation - net
   16,195,618 
  9,229,664 
    54,188,473 
  46,180,879 
    86,256,813 
  75</x:v>
      </x:c>
    </x:row>
    <x:row r="489" ht="82" customHeight="1">
      <x:c r="A489" s="76" t="str">
        <x:v>LUCK|stb|2024</x:v>
      </x:c>
      <x:c r="B489" s="76" t="str">
        <x:v>LUCK</x:v>
      </x:c>
      <x:c r="C489" s="76" t="str">
        <x:v>FY2024</x:v>
      </x:c>
      <x:c r="D489" s="76" t="str">
        <x:v>Short-term borrowings (incl. running finance; FCCL parent loan)</x:v>
      </x:c>
      <x:c r="E489" s="170" t="n">
        <x:v>5485000</x:v>
      </x:c>
      <x:c r="F489" s="170" t="n">
        <x:v>5485000</x:v>
      </x:c>
      <x:c r="G489" s="170" t="str">
        <x:v>PKR '000</x:v>
      </x:c>
      <x:c r="H489" s="170" t="n">
        <x:f>F489/1000</x:f>
        <x:v>5485</x:v>
      </x:c>
      <x:c r="I489" s="170" t="n">
        <x:f>LUCK!G54</x:f>
        <x:v>5485</x:v>
      </x:c>
      <x:c r="J489" s="170" t="n">
        <x:f>H489-I489</x:f>
        <x:v>0</x:v>
      </x:c>
      <x:c r="K489" s="76" t="str">
        <x:v>2025.pdf</x:v>
      </x:c>
      <x:c r="L489" s="76" t="n">
        <x:v>240</x:v>
      </x:c>
      <x:c r="M489" s="76" t="str">
        <x:v>Comparative</x:v>
      </x:c>
      <x:c r="N489" s="99" t="str">
        <x:v>Printed amount independently located</x:v>
      </x:c>
      <x:c r="O489" s="99" t="str">
        <x:v>Exact source amount found; audited year/current-comparative column recorded. Accounting subtotal tests performed separately.</x:v>
      </x:c>
      <x:c r="P489" s="99" t="str">
        <x:v>ther payables 24  27,300,919   30,006,625 
 Current maturity of long-term financing 21  1,866,085   2,099,147 
 Short term borrowings 25  6,485,000   5,485,000 
 Unclaimed dividend   65,745   59,148 
 Accrued markup   185,616   342,935 
 Taxation - net   22,738,018   16,195,618 
     58,641,383   54,188,473 
     90,837,630   86,256,813</x:v>
      </x:c>
    </x:row>
    <x:row r="490" ht="82" customHeight="1">
      <x:c r="A490" s="168" t="str">
        <x:v>LUCK|stb|2025</x:v>
      </x:c>
      <x:c r="B490" s="168" t="str">
        <x:v>LUCK</x:v>
      </x:c>
      <x:c r="C490" s="168" t="str">
        <x:v>FY2025</x:v>
      </x:c>
      <x:c r="D490" s="168" t="str">
        <x:v>Short-term borrowings (incl. running finance; FCCL parent loan)</x:v>
      </x:c>
      <x:c r="E490" s="169" t="n">
        <x:v>6485000</x:v>
      </x:c>
      <x:c r="F490" s="169" t="n">
        <x:v>6485000</x:v>
      </x:c>
      <x:c r="G490" s="169" t="str">
        <x:v>PKR '000</x:v>
      </x:c>
      <x:c r="H490" s="169" t="n">
        <x:f>F490/1000</x:f>
        <x:v>6485</x:v>
      </x:c>
      <x:c r="I490" s="169" t="n">
        <x:f>LUCK!H54</x:f>
        <x:v>6485</x:v>
      </x:c>
      <x:c r="J490" s="169" t="n">
        <x:f>H490-I490</x:f>
        <x:v>0</x:v>
      </x:c>
      <x:c r="K490" s="168" t="str">
        <x:v>2025.pdf</x:v>
      </x:c>
      <x:c r="L490" s="168" t="n">
        <x:v>240</x:v>
      </x:c>
      <x:c r="M490" s="168" t="str">
        <x:v>Current year</x:v>
      </x:c>
      <x:c r="N490" s="171" t="str">
        <x:v>Printed amount independently located</x:v>
      </x:c>
      <x:c r="O490" s="171" t="str">
        <x:v>Exact source amount found; audited year/current-comparative column recorded. Accounting subtotal tests performed separately.</x:v>
      </x:c>
      <x:c r="P490" s="171" t="str">
        <x:v>Trade and other payables 24  27,300,919   30,006,625 
 Current maturity of long-term financing 21  1,866,085   2,099,147 
 Short term borrowings 25  6,485,000   5,485,000 
 Unclaimed dividend   65,745   59,148 
 Accrued markup   185,616   342,935 
 Taxation - net   22,738,018   16,195,618 
     58,641,383   54,188,473 
     90,837,630</x:v>
      </x:c>
    </x:row>
    <x:row r="491" ht="82" customHeight="1">
      <x:c r="A491" s="76" t="str">
        <x:v>LUCK|cp_ltf|2020</x:v>
      </x:c>
      <x:c r="B491" s="76" t="str">
        <x:v>LUCK</x:v>
      </x:c>
      <x:c r="C491" s="76" t="str">
        <x:v>FY2020</x:v>
      </x:c>
      <x:c r="D491" s="76" t="str">
        <x:v>Current portion of long-term financing</x:v>
      </x:c>
      <x:c r="E491" s="170" t="n">
        <x:v>126727</x:v>
      </x:c>
      <x:c r="F491" s="170" t="n">
        <x:v>126727</x:v>
      </x:c>
      <x:c r="G491" s="170" t="str">
        <x:v>PKR '000</x:v>
      </x:c>
      <x:c r="H491" s="170" t="n">
        <x:f>F491/1000</x:f>
        <x:v>126.727</x:v>
      </x:c>
      <x:c r="I491" s="170" t="n">
        <x:f>LUCK!C55</x:f>
        <x:v>126.727</x:v>
      </x:c>
      <x:c r="J491" s="170" t="n">
        <x:f>H491-I491</x:f>
        <x:v>0</x:v>
      </x:c>
      <x:c r="K491" s="76" t="str">
        <x:v>2021.pdf</x:v>
      </x:c>
      <x:c r="L491" s="76" t="n">
        <x:v>191</x:v>
      </x:c>
      <x:c r="M491" s="76" t="str">
        <x:v>Comparative</x:v>
      </x:c>
      <x:c r="N491" s="99" t="str">
        <x:v>Printed amount independently located</x:v>
      </x:c>
      <x:c r="O491" s="99" t="str">
        <x:v>Exact source amount found; audited year/current-comparative column recorded. Accounting subtotal tests performed separately.</x:v>
      </x:c>
      <x:c r="P491" s="99" t="str">
        <x:v>7,729,261 
CURRENT LIABILITIES
 T
rade and other payables
 25
  20,789,760 
  19,354,794 
 Current maturity of long-term loans
 22
  506,908 
  126,727 
 Short term borrowings
 26
  7,050,000 
  7,931,444 
 Unclaimed dividend
   53,458 
  55,767 
 Unpaid dividend
 27
 –   
  17,580 
 Accrued markup
   70,868 
  46,173 
 T
axation</x:v>
      </x:c>
    </x:row>
    <x:row r="492" ht="82" customHeight="1">
      <x:c r="A492" s="168" t="str">
        <x:v>LUCK|cp_ltf|2021</x:v>
      </x:c>
      <x:c r="B492" s="168" t="str">
        <x:v>LUCK</x:v>
      </x:c>
      <x:c r="C492" s="168" t="str">
        <x:v>FY2021</x:v>
      </x:c>
      <x:c r="D492" s="168" t="str">
        <x:v>Current portion of long-term financing</x:v>
      </x:c>
      <x:c r="E492" s="169" t="n">
        <x:v>506908</x:v>
      </x:c>
      <x:c r="F492" s="169" t="n">
        <x:v>506908</x:v>
      </x:c>
      <x:c r="G492" s="169" t="str">
        <x:v>PKR '000</x:v>
      </x:c>
      <x:c r="H492" s="169" t="n">
        <x:f>F492/1000</x:f>
        <x:v>506.908</x:v>
      </x:c>
      <x:c r="I492" s="169" t="n">
        <x:f>LUCK!D55</x:f>
        <x:v>506.908</x:v>
      </x:c>
      <x:c r="J492" s="169" t="n">
        <x:f>H492-I492</x:f>
        <x:v>0</x:v>
      </x:c>
      <x:c r="K492" s="168" t="str">
        <x:v>2022.pdf</x:v>
      </x:c>
      <x:c r="L492" s="168" t="n">
        <x:v>226</x:v>
      </x:c>
      <x:c r="M492" s="168" t="str">
        <x:v>Comparative</x:v>
      </x:c>
      <x:c r="N492" s="171" t="str">
        <x:v>Printed amount independently located</x:v>
      </x:c>
      <x:c r="O492" s="171" t="str">
        <x:v>Exact source amount found; audited year/current-comparative column recorded. Accounting subtotal tests performed separately.</x:v>
      </x:c>
      <x:c r="P492" s="171" t="str">
        <x:v>,060,686   12,780,738 
CURRENT LIABILITIES 
 Trade and other payables 25  23,191,483   20,789,760 
 Current maturity of long-term loans 22  487,202   506,908 
 Short-term borrowings 26  1,000,000   7,050,000 
 Unclaimed dividend   51,030   53,458 
 Accrued markup   135,452   70,868 
 T axation - net   5,496,191   1,916,072 
     30,361</x:v>
      </x:c>
    </x:row>
    <x:row r="493" ht="82" customHeight="1">
      <x:c r="A493" s="76" t="str">
        <x:v>LUCK|cp_ltf|2022</x:v>
      </x:c>
      <x:c r="B493" s="76" t="str">
        <x:v>LUCK</x:v>
      </x:c>
      <x:c r="C493" s="76" t="str">
        <x:v>FY2022</x:v>
      </x:c>
      <x:c r="D493" s="76" t="str">
        <x:v>Current portion of long-term financing</x:v>
      </x:c>
      <x:c r="E493" s="170" t="n">
        <x:v>487202</x:v>
      </x:c>
      <x:c r="F493" s="170" t="n">
        <x:v>487202</x:v>
      </x:c>
      <x:c r="G493" s="170" t="str">
        <x:v>PKR '000</x:v>
      </x:c>
      <x:c r="H493" s="170" t="n">
        <x:f>F493/1000</x:f>
        <x:v>487.202</x:v>
      </x:c>
      <x:c r="I493" s="170" t="n">
        <x:f>LUCK!E55</x:f>
        <x:v>487.202</x:v>
      </x:c>
      <x:c r="J493" s="170" t="n">
        <x:f>H493-I493</x:f>
        <x:v>0</x:v>
      </x:c>
      <x:c r="K493" s="76" t="str">
        <x:v>2023.pdf</x:v>
      </x:c>
      <x:c r="L493" s="76" t="n">
        <x:v>234</x:v>
      </x:c>
      <x:c r="M493" s="76" t="str">
        <x:v>Comparative</x:v>
      </x:c>
      <x:c r="N493" s="99" t="str">
        <x:v>Printed amount independently located</x:v>
      </x:c>
      <x:c r="O493" s="99" t="str">
        <x:v>Exact source amount found; audited year/current-comparative column recorded. Accounting subtotal tests performed separately.</x:v>
      </x:c>
      <x:c r="P493" s="99" t="str">
        <x:v>,531,862   26,060,686 
CURRENT LIABILITIES 
 Trade and other payables 25  29,918,702   23,191,483 
 Current maturity of long-term loans 22  599,653   487,202 
 Short-term borrowings 26  5,885,000   1,000,000 
 Unclaimed dividend   50,115   51,030 
 Accrued markup   497,745   135,452 
 Taxation - net   9,229,664   5,496,191 
     46,180</x:v>
      </x:c>
    </x:row>
    <x:row r="494" ht="82" customHeight="1">
      <x:c r="A494" s="168" t="str">
        <x:v>LUCK|cp_ltf|2023</x:v>
      </x:c>
      <x:c r="B494" s="168" t="str">
        <x:v>LUCK</x:v>
      </x:c>
      <x:c r="C494" s="168" t="str">
        <x:v>FY2023</x:v>
      </x:c>
      <x:c r="D494" s="168" t="str">
        <x:v>Current portion of long-term financing</x:v>
      </x:c>
      <x:c r="E494" s="169" t="n">
        <x:v>599653</x:v>
      </x:c>
      <x:c r="F494" s="169" t="n">
        <x:v>599653</x:v>
      </x:c>
      <x:c r="G494" s="169" t="str">
        <x:v>PKR '000</x:v>
      </x:c>
      <x:c r="H494" s="169" t="n">
        <x:f>F494/1000</x:f>
        <x:v>599.653</x:v>
      </x:c>
      <x:c r="I494" s="169" t="n">
        <x:f>LUCK!F55</x:f>
        <x:v>599.653</x:v>
      </x:c>
      <x:c r="J494" s="169" t="n">
        <x:f>H494-I494</x:f>
        <x:v>0</x:v>
      </x:c>
      <x:c r="K494" s="168" t="str">
        <x:v>2024.pdf</x:v>
      </x:c>
      <x:c r="L494" s="168" t="n">
        <x:v>238</x:v>
      </x:c>
      <x:c r="M494" s="168" t="str">
        <x:v>Comparative</x:v>
      </x:c>
      <x:c r="N494" s="171" t="str">
        <x:v>Printed amount independently located</x:v>
      </x:c>
      <x:c r="O494" s="171" t="str">
        <x:v>Exact source amount found; audited year/current-comparative column recorded. Accounting subtotal tests performed separately.</x:v>
      </x:c>
      <x:c r="P494" s="171" t="str">
        <x:v>29,531,862 
CURRENT LIABILITIES
 Trade and other payables
 25
  30,006,625 
  29,918,702 
 Current maturity of long-term loans
 22
  2,099,147 
  599,653 
 Short-term borrowings
 26
  5,485,000 
  5,885,000 
 Unclaimed dividend
   59,148 
  50,115 
 Accrued markup
   342,935 
  497,745 
 Taxation - net
   16,195,618 
  9,229,664</x:v>
      </x:c>
    </x:row>
    <x:row r="495" ht="82" customHeight="1">
      <x:c r="A495" s="76" t="str">
        <x:v>LUCK|cp_ltf|2024</x:v>
      </x:c>
      <x:c r="B495" s="76" t="str">
        <x:v>LUCK</x:v>
      </x:c>
      <x:c r="C495" s="76" t="str">
        <x:v>FY2024</x:v>
      </x:c>
      <x:c r="D495" s="76" t="str">
        <x:v>Current portion of long-term financing</x:v>
      </x:c>
      <x:c r="E495" s="170" t="n">
        <x:v>2099147</x:v>
      </x:c>
      <x:c r="F495" s="170" t="n">
        <x:v>2099147</x:v>
      </x:c>
      <x:c r="G495" s="170" t="str">
        <x:v>PKR '000</x:v>
      </x:c>
      <x:c r="H495" s="170" t="n">
        <x:f>F495/1000</x:f>
        <x:v>2099.147</x:v>
      </x:c>
      <x:c r="I495" s="170" t="n">
        <x:f>LUCK!G55</x:f>
        <x:v>2099.147</x:v>
      </x:c>
      <x:c r="J495" s="170" t="n">
        <x:f>H495-I495</x:f>
        <x:v>0</x:v>
      </x:c>
      <x:c r="K495" s="76" t="str">
        <x:v>2025.pdf</x:v>
      </x:c>
      <x:c r="L495" s="76" t="n">
        <x:v>240</x:v>
      </x:c>
      <x:c r="M495" s="76" t="str">
        <x:v>Comparative</x:v>
      </x:c>
      <x:c r="N495" s="99" t="str">
        <x:v>Printed amount independently located</x:v>
      </x:c>
      <x:c r="O495" s="99" t="str">
        <x:v>Exact source amount found; audited year/current-comparative column recorded. Accounting subtotal tests performed separately.</x:v>
      </x:c>
      <x:c r="P495" s="99" t="str">
        <x:v>47   32,068,340 
CURRENT LIABILITIES 
 Trade and other payables 24  27,300,919   30,006,625 
 Current maturity of long-term financing 21  1,866,085   2,099,147 
 Short term borrowings 25  6,485,000   5,485,000 
 Unclaimed dividend   65,745   59,148 
 Accrued markup   185,616   342,935 
 Taxation - net   22,738,018   16,195,618 
     58,6</x:v>
      </x:c>
    </x:row>
    <x:row r="496" ht="82" customHeight="1">
      <x:c r="A496" s="168" t="str">
        <x:v>LUCK|cp_ltf|2025</x:v>
      </x:c>
      <x:c r="B496" s="168" t="str">
        <x:v>LUCK</x:v>
      </x:c>
      <x:c r="C496" s="168" t="str">
        <x:v>FY2025</x:v>
      </x:c>
      <x:c r="D496" s="168" t="str">
        <x:v>Current portion of long-term financing</x:v>
      </x:c>
      <x:c r="E496" s="169" t="n">
        <x:v>1866085</x:v>
      </x:c>
      <x:c r="F496" s="169" t="n">
        <x:v>1866085</x:v>
      </x:c>
      <x:c r="G496" s="169" t="str">
        <x:v>PKR '000</x:v>
      </x:c>
      <x:c r="H496" s="169" t="n">
        <x:f>F496/1000</x:f>
        <x:v>1866.085</x:v>
      </x:c>
      <x:c r="I496" s="169" t="n">
        <x:f>LUCK!H55</x:f>
        <x:v>1866.085</x:v>
      </x:c>
      <x:c r="J496" s="169" t="n">
        <x:f>H496-I496</x:f>
        <x:v>0</x:v>
      </x:c>
      <x:c r="K496" s="168" t="str">
        <x:v>2025.pdf</x:v>
      </x:c>
      <x:c r="L496" s="168" t="n">
        <x:v>240</x:v>
      </x:c>
      <x:c r="M496" s="168" t="str">
        <x:v>Current year</x:v>
      </x:c>
      <x:c r="N496" s="171" t="str">
        <x:v>Printed amount independently located</x:v>
      </x:c>
      <x:c r="O496" s="171" t="str">
        <x:v>Exact source amount found; audited year/current-comparative column recorded. Accounting subtotal tests performed separately.</x:v>
      </x:c>
      <x:c r="P496" s="171" t="str">
        <x:v>32,196,247   32,068,340 
CURRENT LIABILITIES 
 Trade and other payables 24  27,300,919   30,006,625 
 Current maturity of long-term financing 21  1,866,085   2,099,147 
 Short term borrowings 25  6,485,000   5,485,000 
 Unclaimed dividend   65,745   59,148 
 Accrued markup   185,616   342,935 
 Taxation - net   22,738,018   16,195,61</x:v>
      </x:c>
    </x:row>
    <x:row r="497" ht="82" customHeight="1">
      <x:c r="A497" s="76" t="str">
        <x:v>LUCK|cp_lease|2020</x:v>
      </x:c>
      <x:c r="B497" s="76" t="str">
        <x:v>LUCK</x:v>
      </x:c>
      <x:c r="C497" s="76" t="str">
        <x:v>FY2020</x:v>
      </x:c>
      <x:c r="D497" s="76" t="str">
        <x:v>Current portion of lease liabilities</x:v>
      </x:c>
      <x:c r="E497" s="170" t="n">
        <x:v>0</x:v>
      </x:c>
      <x:c r="F497" s="170" t="n">
        <x:v>0</x:v>
      </x:c>
      <x:c r="G497" s="170" t="str">
        <x:v>PKR '000</x:v>
      </x:c>
      <x:c r="H497" s="170" t="n">
        <x:f>F497/1000</x:f>
        <x:v>0</x:v>
      </x:c>
      <x:c r="I497" s="170" t="n">
        <x:f>LUCK!C56</x:f>
        <x:v>0</x:v>
      </x:c>
      <x:c r="J497" s="170" t="n">
        <x:f>H497-I497</x:f>
        <x:v>0</x:v>
      </x:c>
      <x:c r="K497" s="76" t="str">
        <x:v>2021.pdf</x:v>
      </x:c>
      <x:c r="L497" s="76" t="n">
        <x:v>191</x:v>
      </x:c>
      <x:c r="M497" s="76" t="str">
        <x:v>Comparative</x:v>
      </x:c>
      <x:c r="N497" s="99" t="str">
        <x:v>Zero / no separate line in audited presentation</x:v>
      </x:c>
      <x:c r="O497" s="99" t="str">
        <x:v>Zero classification checked within the audited statement/note and reconstructed statement totals; absence of a separate line does not imply a missing replacement estimate.</x:v>
      </x:c>
      <x:c r="P497" s="99" t="str">
        <x:v>
206
STRENGTHENING
PAKISTAN
UNCONSOLIDATED STATEMENT 
OF FINANCIAL POSITION
as at June 30, 2021
Muhammad Ali Tabba
Chief Executive
Muhammad Yunus Tabb | Current portion of lease liabilities</x:v>
      </x:c>
    </x:row>
    <x:row r="498" ht="82" customHeight="1">
      <x:c r="A498" s="168" t="str">
        <x:v>LUCK|cp_lease|2021</x:v>
      </x:c>
      <x:c r="B498" s="168" t="str">
        <x:v>LUCK</x:v>
      </x:c>
      <x:c r="C498" s="168" t="str">
        <x:v>FY2021</x:v>
      </x:c>
      <x:c r="D498" s="168" t="str">
        <x:v>Current portion of lease liabilities</x:v>
      </x:c>
      <x:c r="E498" s="169" t="n">
        <x:v>0</x:v>
      </x:c>
      <x:c r="F498" s="169" t="n">
        <x:v>0</x:v>
      </x:c>
      <x:c r="G498" s="169" t="str">
        <x:v>PKR '000</x:v>
      </x:c>
      <x:c r="H498" s="169" t="n">
        <x:f>F498/1000</x:f>
        <x:v>0</x:v>
      </x:c>
      <x:c r="I498" s="169" t="n">
        <x:f>LUCK!D56</x:f>
        <x:v>0</x:v>
      </x:c>
      <x:c r="J498" s="169" t="n">
        <x:f>H498-I498</x:f>
        <x:v>0</x:v>
      </x:c>
      <x:c r="K498" s="168" t="str">
        <x:v>2022.pdf</x:v>
      </x:c>
      <x:c r="L498" s="168" t="n">
        <x:v>226</x:v>
      </x:c>
      <x:c r="M498" s="168" t="str">
        <x:v>Comparative</x:v>
      </x:c>
      <x:c r="N498" s="171" t="str">
        <x:v>Zero / no separate line in audited presentation</x:v>
      </x:c>
      <x:c r="O498" s="171" t="str">
        <x:v>Zero classification checked within the audited statement/note and reconstructed statement totals; absence of a separate line does not imply a missing replacement estimate.</x:v>
      </x:c>
      <x:c r="P498" s="171" t="str">
        <x:v>
Unconsolidated Statement of 
Financial Position
as at June 30, 2022
  Note 2022 2021
   (PKR in ‘000’)
ASSETS 
NON-CURRENT ASSETS 
  Property, plant  | Current portion of lease liabilities</x:v>
      </x:c>
    </x:row>
    <x:row r="499" ht="82" customHeight="1">
      <x:c r="A499" s="76" t="str">
        <x:v>LUCK|cp_lease|2022</x:v>
      </x:c>
      <x:c r="B499" s="76" t="str">
        <x:v>LUCK</x:v>
      </x:c>
      <x:c r="C499" s="76" t="str">
        <x:v>FY2022</x:v>
      </x:c>
      <x:c r="D499" s="76" t="str">
        <x:v>Current portion of lease liabilities</x:v>
      </x:c>
      <x:c r="E499" s="170" t="n">
        <x:v>0</x:v>
      </x:c>
      <x:c r="F499" s="170" t="n">
        <x:v>0</x:v>
      </x:c>
      <x:c r="G499" s="170" t="str">
        <x:v>PKR '000</x:v>
      </x:c>
      <x:c r="H499" s="170" t="n">
        <x:f>F499/1000</x:f>
        <x:v>0</x:v>
      </x:c>
      <x:c r="I499" s="170" t="n">
        <x:f>LUCK!E56</x:f>
        <x:v>0</x:v>
      </x:c>
      <x:c r="J499" s="170" t="n">
        <x:f>H499-I499</x:f>
        <x:v>0</x:v>
      </x:c>
      <x:c r="K499" s="76" t="str">
        <x:v>2023.pdf</x:v>
      </x:c>
      <x:c r="L499" s="76" t="n">
        <x:v>234</x:v>
      </x:c>
      <x:c r="M499" s="76" t="str">
        <x:v>Comparative</x:v>
      </x:c>
      <x:c r="N499" s="99" t="str">
        <x:v>Zero / no separate line in audited presentation</x:v>
      </x:c>
      <x:c r="O499" s="99" t="str">
        <x:v>Zero classification checked within the audited statement/note and reconstructed statement totals; absence of a separate line does not imply a missing replacement estimate.</x:v>
      </x:c>
      <x:c r="P499" s="99" t="str">
        <x:v>
Unconsolidated Statement of 
Financial Position
as at June 30, 2023
  Note 2023 2022
   (PKR in ‘000’)
ASSETS 
NON-CURRENT ASSETS 
 Fixed assets 
 Pr | Current portion of lease liabilities</x:v>
      </x:c>
    </x:row>
    <x:row r="500" ht="82" customHeight="1">
      <x:c r="A500" s="168" t="str">
        <x:v>LUCK|cp_lease|2023</x:v>
      </x:c>
      <x:c r="B500" s="168" t="str">
        <x:v>LUCK</x:v>
      </x:c>
      <x:c r="C500" s="168" t="str">
        <x:v>FY2023</x:v>
      </x:c>
      <x:c r="D500" s="168" t="str">
        <x:v>Current portion of lease liabilities</x:v>
      </x:c>
      <x:c r="E500" s="169" t="n">
        <x:v>0</x:v>
      </x:c>
      <x:c r="F500" s="169" t="n">
        <x:v>0</x:v>
      </x:c>
      <x:c r="G500" s="169" t="str">
        <x:v>PKR '000</x:v>
      </x:c>
      <x:c r="H500" s="169" t="n">
        <x:f>F500/1000</x:f>
        <x:v>0</x:v>
      </x:c>
      <x:c r="I500" s="169" t="n">
        <x:f>LUCK!F56</x:f>
        <x:v>0</x:v>
      </x:c>
      <x:c r="J500" s="169" t="n">
        <x:f>H500-I500</x:f>
        <x:v>0</x:v>
      </x:c>
      <x:c r="K500" s="168" t="str">
        <x:v>2024.pdf</x:v>
      </x:c>
      <x:c r="L500" s="168" t="n">
        <x:v>238</x:v>
      </x:c>
      <x:c r="M500" s="168" t="str">
        <x:v>Comparative</x:v>
      </x:c>
      <x:c r="N500" s="171" t="str">
        <x:v>Zero / no separate line in audited presentation</x:v>
      </x:c>
      <x:c r="O500" s="171" t="str">
        <x:v>Zero classification checked within the audited statement/note and reconstructed statement totals; absence of a separate line does not imply a missing replacement estimate.</x:v>
      </x:c>
      <x:c r="P500" s="171" t="str">
        <x:v>
Unconsolidated Statement of 
Financial Position
as at June 30, 2024
  Note  2024  2023
  (PKR in ‘000’)
ASSETS
NON-CURRENT ASSETS
 Fixed assets | Current portion of lease liabilities</x:v>
      </x:c>
    </x:row>
    <x:row r="501" ht="82" customHeight="1">
      <x:c r="A501" s="76" t="str">
        <x:v>LUCK|cp_lease|2024</x:v>
      </x:c>
      <x:c r="B501" s="76" t="str">
        <x:v>LUCK</x:v>
      </x:c>
      <x:c r="C501" s="76" t="str">
        <x:v>FY2024</x:v>
      </x:c>
      <x:c r="D501" s="76" t="str">
        <x:v>Current portion of lease liabilities</x:v>
      </x:c>
      <x:c r="E501" s="170" t="n">
        <x:v>0</x:v>
      </x:c>
      <x:c r="F501" s="170" t="n">
        <x:v>0</x:v>
      </x:c>
      <x:c r="G501" s="170" t="str">
        <x:v>PKR '000</x:v>
      </x:c>
      <x:c r="H501" s="170" t="n">
        <x:f>F501/1000</x:f>
        <x:v>0</x:v>
      </x:c>
      <x:c r="I501" s="170" t="n">
        <x:f>LUCK!G56</x:f>
        <x:v>0</x:v>
      </x:c>
      <x:c r="J501" s="170" t="n">
        <x:f>H501-I501</x:f>
        <x:v>0</x:v>
      </x:c>
      <x:c r="K501" s="76" t="str">
        <x:v>2025.pdf</x:v>
      </x:c>
      <x:c r="L501" s="76" t="n">
        <x:v>240</x:v>
      </x:c>
      <x:c r="M501" s="76" t="str">
        <x:v>Comparative</x:v>
      </x:c>
      <x:c r="N501" s="99" t="str">
        <x:v>Zero / no separate line in audited presentation</x:v>
      </x:c>
      <x:c r="O501" s="99" t="str">
        <x:v>Zero classification checked within the audited statement/note and reconstructed statement totals; absence of a separate line does not imply a missing replacement estimate.</x:v>
      </x:c>
      <x:c r="P501" s="99" t="str">
        <x:v>
Unconsolidated Statement of 
Financial Position
as at June 30, 2025
  Note 2025 2024
   (PKR in ‘000’)
ASSETS 
NON-CURRENT ASSETS 
 Property, plant a | Current portion of lease liabilities</x:v>
      </x:c>
    </x:row>
    <x:row r="502" ht="82" customHeight="1">
      <x:c r="A502" s="168" t="str">
        <x:v>LUCK|cp_lease|2025</x:v>
      </x:c>
      <x:c r="B502" s="168" t="str">
        <x:v>LUCK</x:v>
      </x:c>
      <x:c r="C502" s="168" t="str">
        <x:v>FY2025</x:v>
      </x:c>
      <x:c r="D502" s="168" t="str">
        <x:v>Current portion of lease liabilities</x:v>
      </x:c>
      <x:c r="E502" s="169" t="n">
        <x:v>0</x:v>
      </x:c>
      <x:c r="F502" s="169" t="n">
        <x:v>0</x:v>
      </x:c>
      <x:c r="G502" s="169" t="str">
        <x:v>PKR '000</x:v>
      </x:c>
      <x:c r="H502" s="169" t="n">
        <x:f>F502/1000</x:f>
        <x:v>0</x:v>
      </x:c>
      <x:c r="I502" s="169" t="n">
        <x:f>LUCK!H56</x:f>
        <x:v>0</x:v>
      </x:c>
      <x:c r="J502" s="169" t="n">
        <x:f>H502-I502</x:f>
        <x:v>0</x:v>
      </x:c>
      <x:c r="K502" s="168" t="str">
        <x:v>2025.pdf</x:v>
      </x:c>
      <x:c r="L502" s="168" t="n">
        <x:v>240</x:v>
      </x:c>
      <x:c r="M502" s="168" t="str">
        <x:v>Current year</x:v>
      </x:c>
      <x:c r="N502" s="171" t="str">
        <x:v>Zero / no separate line in audited presentation</x:v>
      </x:c>
      <x:c r="O502" s="171" t="str">
        <x:v>Zero classification checked within the audited statement/note and reconstructed statement totals; absence of a separate line does not imply a missing replacement estimate.</x:v>
      </x:c>
      <x:c r="P502" s="171" t="str">
        <x:v>
Unconsolidated Statement of 
Financial Position
as at June 30, 2025
  Note 2025 2024
   (PKR in ‘000’)
ASSETS 
NON-CURRENT ASSETS 
 Property, plant a | Current portion of lease liabilities</x:v>
      </x:c>
    </x:row>
    <x:row r="503" ht="82" customHeight="1">
      <x:c r="A503" s="76" t="str">
        <x:v>LUCK|cp_grant|2020</x:v>
      </x:c>
      <x:c r="B503" s="76" t="str">
        <x:v>LUCK</x:v>
      </x:c>
      <x:c r="C503" s="76" t="str">
        <x:v>FY2020</x:v>
      </x:c>
      <x:c r="D503" s="76" t="str">
        <x:v>Current portion of deferred government grant</x:v>
      </x:c>
      <x:c r="E503" s="170" t="n">
        <x:v>0</x:v>
      </x:c>
      <x:c r="F503" s="170" t="n">
        <x:v>0</x:v>
      </x:c>
      <x:c r="G503" s="170" t="str">
        <x:v>PKR '000</x:v>
      </x:c>
      <x:c r="H503" s="170" t="n">
        <x:f>F503/1000</x:f>
        <x:v>0</x:v>
      </x:c>
      <x:c r="I503" s="170" t="n">
        <x:f>LUCK!C57</x:f>
        <x:v>0</x:v>
      </x:c>
      <x:c r="J503" s="170" t="n">
        <x:f>H503-I503</x:f>
        <x:v>0</x:v>
      </x:c>
      <x:c r="K503" s="76" t="str">
        <x:v>2021.pdf</x:v>
      </x:c>
      <x:c r="L503" s="76" t="n">
        <x:v>191</x:v>
      </x:c>
      <x:c r="M503" s="76" t="str">
        <x:v>Comparative</x:v>
      </x:c>
      <x:c r="N503" s="99" t="str">
        <x:v>Zero / no separate line in audited presentation</x:v>
      </x:c>
      <x:c r="O503" s="99" t="str">
        <x:v>Zero classification checked within the audited statement/note and reconstructed statement totals; absence of a separate line does not imply a missing replacement estimate.</x:v>
      </x:c>
      <x:c r="P503" s="99" t="str">
        <x:v>
206
STRENGTHENING
PAKISTAN
UNCONSOLIDATED STATEMENT 
OF FINANCIAL POSITION
as at June 30, 2021
Muhammad Ali Tabba
Chief Executive
Muhammad Yunus Tabb | Current portion of deferred government grant</x:v>
      </x:c>
    </x:row>
    <x:row r="504" ht="82" customHeight="1">
      <x:c r="A504" s="168" t="str">
        <x:v>LUCK|cp_grant|2021</x:v>
      </x:c>
      <x:c r="B504" s="168" t="str">
        <x:v>LUCK</x:v>
      </x:c>
      <x:c r="C504" s="168" t="str">
        <x:v>FY2021</x:v>
      </x:c>
      <x:c r="D504" s="168" t="str">
        <x:v>Current portion of deferred government grant</x:v>
      </x:c>
      <x:c r="E504" s="169" t="n">
        <x:v>0</x:v>
      </x:c>
      <x:c r="F504" s="169" t="n">
        <x:v>0</x:v>
      </x:c>
      <x:c r="G504" s="169" t="str">
        <x:v>PKR '000</x:v>
      </x:c>
      <x:c r="H504" s="169" t="n">
        <x:f>F504/1000</x:f>
        <x:v>0</x:v>
      </x:c>
      <x:c r="I504" s="169" t="n">
        <x:f>LUCK!D57</x:f>
        <x:v>0</x:v>
      </x:c>
      <x:c r="J504" s="169" t="n">
        <x:f>H504-I504</x:f>
        <x:v>0</x:v>
      </x:c>
      <x:c r="K504" s="168" t="str">
        <x:v>2022.pdf</x:v>
      </x:c>
      <x:c r="L504" s="168" t="n">
        <x:v>226</x:v>
      </x:c>
      <x:c r="M504" s="168" t="str">
        <x:v>Comparative</x:v>
      </x:c>
      <x:c r="N504" s="171" t="str">
        <x:v>Zero / no separate line in audited presentation</x:v>
      </x:c>
      <x:c r="O504" s="171" t="str">
        <x:v>Zero classification checked within the audited statement/note and reconstructed statement totals; absence of a separate line does not imply a missing replacement estimate.</x:v>
      </x:c>
      <x:c r="P504" s="171" t="str">
        <x:v>
Unconsolidated Statement of 
Financial Position
as at June 30, 2022
  Note 2022 2021
   (PKR in ‘000’)
ASSETS 
NON-CURRENT ASSETS 
  Property, plant  | Current portion of deferred government grant</x:v>
      </x:c>
    </x:row>
    <x:row r="505" ht="82" customHeight="1">
      <x:c r="A505" s="76" t="str">
        <x:v>LUCK|cp_grant|2022</x:v>
      </x:c>
      <x:c r="B505" s="76" t="str">
        <x:v>LUCK</x:v>
      </x:c>
      <x:c r="C505" s="76" t="str">
        <x:v>FY2022</x:v>
      </x:c>
      <x:c r="D505" s="76" t="str">
        <x:v>Current portion of deferred government grant</x:v>
      </x:c>
      <x:c r="E505" s="170" t="n">
        <x:v>0</x:v>
      </x:c>
      <x:c r="F505" s="170" t="n">
        <x:v>0</x:v>
      </x:c>
      <x:c r="G505" s="170" t="str">
        <x:v>PKR '000</x:v>
      </x:c>
      <x:c r="H505" s="170" t="n">
        <x:f>F505/1000</x:f>
        <x:v>0</x:v>
      </x:c>
      <x:c r="I505" s="170" t="n">
        <x:f>LUCK!E57</x:f>
        <x:v>0</x:v>
      </x:c>
      <x:c r="J505" s="170" t="n">
        <x:f>H505-I505</x:f>
        <x:v>0</x:v>
      </x:c>
      <x:c r="K505" s="76" t="str">
        <x:v>2023.pdf</x:v>
      </x:c>
      <x:c r="L505" s="76" t="n">
        <x:v>234</x:v>
      </x:c>
      <x:c r="M505" s="76" t="str">
        <x:v>Comparative</x:v>
      </x:c>
      <x:c r="N505" s="99" t="str">
        <x:v>Zero / no separate line in audited presentation</x:v>
      </x:c>
      <x:c r="O505" s="99" t="str">
        <x:v>Zero classification checked within the audited statement/note and reconstructed statement totals; absence of a separate line does not imply a missing replacement estimate.</x:v>
      </x:c>
      <x:c r="P505" s="99" t="str">
        <x:v>
Unconsolidated Statement of 
Financial Position
as at June 30, 2023
  Note 2023 2022
   (PKR in ‘000’)
ASSETS 
NON-CURRENT ASSETS 
 Fixed assets 
 Pr | Current portion of deferred government grant</x:v>
      </x:c>
    </x:row>
    <x:row r="506" ht="82" customHeight="1">
      <x:c r="A506" s="168" t="str">
        <x:v>LUCK|cp_grant|2023</x:v>
      </x:c>
      <x:c r="B506" s="168" t="str">
        <x:v>LUCK</x:v>
      </x:c>
      <x:c r="C506" s="168" t="str">
        <x:v>FY2023</x:v>
      </x:c>
      <x:c r="D506" s="168" t="str">
        <x:v>Current portion of deferred government grant</x:v>
      </x:c>
      <x:c r="E506" s="169" t="n">
        <x:v>0</x:v>
      </x:c>
      <x:c r="F506" s="169" t="n">
        <x:v>0</x:v>
      </x:c>
      <x:c r="G506" s="169" t="str">
        <x:v>PKR '000</x:v>
      </x:c>
      <x:c r="H506" s="169" t="n">
        <x:f>F506/1000</x:f>
        <x:v>0</x:v>
      </x:c>
      <x:c r="I506" s="169" t="n">
        <x:f>LUCK!F57</x:f>
        <x:v>0</x:v>
      </x:c>
      <x:c r="J506" s="169" t="n">
        <x:f>H506-I506</x:f>
        <x:v>0</x:v>
      </x:c>
      <x:c r="K506" s="168" t="str">
        <x:v>2024.pdf</x:v>
      </x:c>
      <x:c r="L506" s="168" t="n">
        <x:v>238</x:v>
      </x:c>
      <x:c r="M506" s="168" t="str">
        <x:v>Comparative</x:v>
      </x:c>
      <x:c r="N506" s="171" t="str">
        <x:v>Zero / no separate line in audited presentation</x:v>
      </x:c>
      <x:c r="O506" s="171" t="str">
        <x:v>Zero classification checked within the audited statement/note and reconstructed statement totals; absence of a separate line does not imply a missing replacement estimate.</x:v>
      </x:c>
      <x:c r="P506" s="171" t="str">
        <x:v>
Unconsolidated Statement of 
Financial Position
as at June 30, 2024
  Note  2024  2023
  (PKR in ‘000’)
ASSETS
NON-CURRENT ASSETS
 Fixed assets | Current portion of deferred government grant</x:v>
      </x:c>
    </x:row>
    <x:row r="507" ht="82" customHeight="1">
      <x:c r="A507" s="76" t="str">
        <x:v>LUCK|cp_grant|2024</x:v>
      </x:c>
      <x:c r="B507" s="76" t="str">
        <x:v>LUCK</x:v>
      </x:c>
      <x:c r="C507" s="76" t="str">
        <x:v>FY2024</x:v>
      </x:c>
      <x:c r="D507" s="76" t="str">
        <x:v>Current portion of deferred government grant</x:v>
      </x:c>
      <x:c r="E507" s="170" t="n">
        <x:v>0</x:v>
      </x:c>
      <x:c r="F507" s="170" t="n">
        <x:v>0</x:v>
      </x:c>
      <x:c r="G507" s="170" t="str">
        <x:v>PKR '000</x:v>
      </x:c>
      <x:c r="H507" s="170" t="n">
        <x:f>F507/1000</x:f>
        <x:v>0</x:v>
      </x:c>
      <x:c r="I507" s="170" t="n">
        <x:f>LUCK!G57</x:f>
        <x:v>0</x:v>
      </x:c>
      <x:c r="J507" s="170" t="n">
        <x:f>H507-I507</x:f>
        <x:v>0</x:v>
      </x:c>
      <x:c r="K507" s="76" t="str">
        <x:v>2025.pdf</x:v>
      </x:c>
      <x:c r="L507" s="76" t="n">
        <x:v>240</x:v>
      </x:c>
      <x:c r="M507" s="76" t="str">
        <x:v>Comparative</x:v>
      </x:c>
      <x:c r="N507" s="99" t="str">
        <x:v>Zero / no separate line in audited presentation</x:v>
      </x:c>
      <x:c r="O507" s="99" t="str">
        <x:v>Zero classification checked within the audited statement/note and reconstructed statement totals; absence of a separate line does not imply a missing replacement estimate.</x:v>
      </x:c>
      <x:c r="P507" s="99" t="str">
        <x:v>
Unconsolidated Statement of 
Financial Position
as at June 30, 2025
  Note 2025 2024
   (PKR in ‘000’)
ASSETS 
NON-CURRENT ASSETS 
 Property, plant a | Current portion of deferred government grant</x:v>
      </x:c>
    </x:row>
    <x:row r="508" ht="82" customHeight="1">
      <x:c r="A508" s="168" t="str">
        <x:v>LUCK|cp_grant|2025</x:v>
      </x:c>
      <x:c r="B508" s="168" t="str">
        <x:v>LUCK</x:v>
      </x:c>
      <x:c r="C508" s="168" t="str">
        <x:v>FY2025</x:v>
      </x:c>
      <x:c r="D508" s="168" t="str">
        <x:v>Current portion of deferred government grant</x:v>
      </x:c>
      <x:c r="E508" s="169" t="n">
        <x:v>0</x:v>
      </x:c>
      <x:c r="F508" s="169" t="n">
        <x:v>0</x:v>
      </x:c>
      <x:c r="G508" s="169" t="str">
        <x:v>PKR '000</x:v>
      </x:c>
      <x:c r="H508" s="169" t="n">
        <x:f>F508/1000</x:f>
        <x:v>0</x:v>
      </x:c>
      <x:c r="I508" s="169" t="n">
        <x:f>LUCK!H57</x:f>
        <x:v>0</x:v>
      </x:c>
      <x:c r="J508" s="169" t="n">
        <x:f>H508-I508</x:f>
        <x:v>0</x:v>
      </x:c>
      <x:c r="K508" s="168" t="str">
        <x:v>2025.pdf</x:v>
      </x:c>
      <x:c r="L508" s="168" t="n">
        <x:v>240</x:v>
      </x:c>
      <x:c r="M508" s="168" t="str">
        <x:v>Current year</x:v>
      </x:c>
      <x:c r="N508" s="171" t="str">
        <x:v>Zero / no separate line in audited presentation</x:v>
      </x:c>
      <x:c r="O508" s="171" t="str">
        <x:v>Zero classification checked within the audited statement/note and reconstructed statement totals; absence of a separate line does not imply a missing replacement estimate.</x:v>
      </x:c>
      <x:c r="P508" s="171" t="str">
        <x:v>
Unconsolidated Statement of 
Financial Position
as at June 30, 2025
  Note 2025 2024
   (PKR in ‘000’)
ASSETS 
NON-CURRENT ASSETS 
 Property, plant a | Current portion of deferred government grant</x:v>
      </x:c>
    </x:row>
    <x:row r="509" ht="82" customHeight="1">
      <x:c r="A509" s="76" t="str">
        <x:v>LUCK|div_liab|2020</x:v>
      </x:c>
      <x:c r="B509" s="76" t="str">
        <x:v>LUCK</x:v>
      </x:c>
      <x:c r="C509" s="76" t="str">
        <x:v>FY2020</x:v>
      </x:c>
      <x:c r="D509" s="76" t="str">
        <x:v>Unclaimed / unpaid dividends</x:v>
      </x:c>
      <x:c r="E509" s="170" t="n">
        <x:v>73347</x:v>
      </x:c>
      <x:c r="F509" s="170" t="n">
        <x:v>73347</x:v>
      </x:c>
      <x:c r="G509" s="170" t="str">
        <x:v>PKR '000</x:v>
      </x:c>
      <x:c r="H509" s="170" t="n">
        <x:f>F509/1000</x:f>
        <x:v>73.347</x:v>
      </x:c>
      <x:c r="I509" s="170" t="n">
        <x:f>LUCK!C58</x:f>
        <x:v>73.347</x:v>
      </x:c>
      <x:c r="J509" s="170" t="n">
        <x:f>H509-I509</x:f>
        <x:v>0</x:v>
      </x:c>
      <x:c r="K509" s="76" t="str">
        <x:v>2021.pdf</x:v>
      </x:c>
      <x:c r="L509" s="76" t="n">
        <x:v>191</x:v>
      </x:c>
      <x:c r="M509" s="76" t="str">
        <x:v>Comparative</x:v>
      </x:c>
      <x:c r="N509" s="99" t="str">
        <x:v>Aggregated audited components</x:v>
      </x:c>
      <x:c r="O509" s="99" t="str">
        <x:v>Source-labelled component sum; statement controls and signed-unit conversion independently recomputed.</x:v>
      </x:c>
      <x:c r="P509" s="99" t="str">
        <x:v>
206
STRENGTHENING
PAKISTAN
UNCONSOLIDATED STATEMENT 
OF FINANCIAL POSITION
as at June 30, 2021
Muhammad Ali Tabba
Chief Executive
Muhammad Yunus Tabba
Chairman / Director
Atif Kal | Components: Unclaimed dividend; Unpaid dividend</x:v>
      </x:c>
    </x:row>
    <x:row r="510" ht="82" customHeight="1">
      <x:c r="A510" s="168" t="str">
        <x:v>LUCK|div_liab|2021</x:v>
      </x:c>
      <x:c r="B510" s="168" t="str">
        <x:v>LUCK</x:v>
      </x:c>
      <x:c r="C510" s="168" t="str">
        <x:v>FY2021</x:v>
      </x:c>
      <x:c r="D510" s="168" t="str">
        <x:v>Unclaimed / unpaid dividends</x:v>
      </x:c>
      <x:c r="E510" s="169" t="n">
        <x:v>53458</x:v>
      </x:c>
      <x:c r="F510" s="169" t="n">
        <x:v>53458</x:v>
      </x:c>
      <x:c r="G510" s="169" t="str">
        <x:v>PKR '000</x:v>
      </x:c>
      <x:c r="H510" s="169" t="n">
        <x:f>F510/1000</x:f>
        <x:v>53.458</x:v>
      </x:c>
      <x:c r="I510" s="169" t="n">
        <x:f>LUCK!D58</x:f>
        <x:v>53.458</x:v>
      </x:c>
      <x:c r="J510" s="169" t="n">
        <x:f>H510-I510</x:f>
        <x:v>0</x:v>
      </x:c>
      <x:c r="K510" s="168" t="str">
        <x:v>2022.pdf</x:v>
      </x:c>
      <x:c r="L510" s="168" t="n">
        <x:v>226</x:v>
      </x:c>
      <x:c r="M510" s="168" t="str">
        <x:v>Comparative</x:v>
      </x:c>
      <x:c r="N510" s="171" t="str">
        <x:v>Printed amount independently located</x:v>
      </x:c>
      <x:c r="O510" s="171" t="str">
        <x:v>Exact source amount found; audited year/current-comparative column recorded. Accounting subtotal tests performed separately.</x:v>
      </x:c>
      <x:c r="P510" s="171" t="str">
        <x:v>789,760 
 Current maturity of long-term loans 22  487,202   506,908 
 Short-term borrowings 26  1,000,000   7,050,000 
 Unclaimed dividend   51,030   53,458 
 Accrued markup   135,452   70,868 
 T axation - net   5,496,191   1,916,072 
     30,361,358   30,387,066 
     56,422,044   43,167,804 
TOTAL EQUITY AND LIABILITIES   184,962,3</x:v>
      </x:c>
    </x:row>
    <x:row r="511" ht="82" customHeight="1">
      <x:c r="A511" s="76" t="str">
        <x:v>LUCK|div_liab|2022</x:v>
      </x:c>
      <x:c r="B511" s="76" t="str">
        <x:v>LUCK</x:v>
      </x:c>
      <x:c r="C511" s="76" t="str">
        <x:v>FY2022</x:v>
      </x:c>
      <x:c r="D511" s="76" t="str">
        <x:v>Unclaimed / unpaid dividends</x:v>
      </x:c>
      <x:c r="E511" s="170" t="n">
        <x:v>51030</x:v>
      </x:c>
      <x:c r="F511" s="170" t="n">
        <x:v>51030</x:v>
      </x:c>
      <x:c r="G511" s="170" t="str">
        <x:v>PKR '000</x:v>
      </x:c>
      <x:c r="H511" s="170" t="n">
        <x:f>F511/1000</x:f>
        <x:v>51.03</x:v>
      </x:c>
      <x:c r="I511" s="170" t="n">
        <x:f>LUCK!E58</x:f>
        <x:v>51.03</x:v>
      </x:c>
      <x:c r="J511" s="170" t="n">
        <x:f>H511-I511</x:f>
        <x:v>0</x:v>
      </x:c>
      <x:c r="K511" s="76" t="str">
        <x:v>2023.pdf</x:v>
      </x:c>
      <x:c r="L511" s="76" t="n">
        <x:v>234</x:v>
      </x:c>
      <x:c r="M511" s="76" t="str">
        <x:v>Comparative</x:v>
      </x:c>
      <x:c r="N511" s="99" t="str">
        <x:v>Printed amount independently located</x:v>
      </x:c>
      <x:c r="O511" s="99" t="str">
        <x:v>Exact source amount found; audited year/current-comparative column recorded. Accounting subtotal tests performed separately.</x:v>
      </x:c>
      <x:c r="P511" s="99" t="str">
        <x:v>191,483 
 Current maturity of long-term loans 22  599,653   487,202 
 Short-term borrowings 26  5,885,000   1,000,000 
 Unclaimed dividend   50,115   51,030 
 Accrued markup   497,745   135,452 
 Taxation - net   9,229,664   5,496,191 
     46,180,879   30,361,358 
     75,712,741   56,422,044 
TOTAL EQUITY AND LIABILITIES   213,079,0</x:v>
      </x:c>
    </x:row>
    <x:row r="512" ht="82" customHeight="1">
      <x:c r="A512" s="168" t="str">
        <x:v>LUCK|div_liab|2023</x:v>
      </x:c>
      <x:c r="B512" s="168" t="str">
        <x:v>LUCK</x:v>
      </x:c>
      <x:c r="C512" s="168" t="str">
        <x:v>FY2023</x:v>
      </x:c>
      <x:c r="D512" s="168" t="str">
        <x:v>Unclaimed / unpaid dividends</x:v>
      </x:c>
      <x:c r="E512" s="169" t="n">
        <x:v>50115</x:v>
      </x:c>
      <x:c r="F512" s="169" t="n">
        <x:v>50115</x:v>
      </x:c>
      <x:c r="G512" s="169" t="str">
        <x:v>PKR '000</x:v>
      </x:c>
      <x:c r="H512" s="169" t="n">
        <x:f>F512/1000</x:f>
        <x:v>50.115</x:v>
      </x:c>
      <x:c r="I512" s="169" t="n">
        <x:f>LUCK!F58</x:f>
        <x:v>50.115</x:v>
      </x:c>
      <x:c r="J512" s="169" t="n">
        <x:f>H512-I512</x:f>
        <x:v>0</x:v>
      </x:c>
      <x:c r="K512" s="168" t="str">
        <x:v>2024.pdf</x:v>
      </x:c>
      <x:c r="L512" s="168" t="n">
        <x:v>238</x:v>
      </x:c>
      <x:c r="M512" s="168" t="str">
        <x:v>Comparative</x:v>
      </x:c>
      <x:c r="N512" s="171" t="str">
        <x:v>Printed amount independently located</x:v>
      </x:c>
      <x:c r="O512" s="171" t="str">
        <x:v>Exact source amount found; audited year/current-comparative column recorded. Accounting subtotal tests performed separately.</x:v>
      </x:c>
      <x:c r="P512" s="171" t="str">
        <x:v>Current maturity of long-term loans
 22
  2,099,147 
  599,653 
 Short-term borrowings
 26
  5,485,000 
  5,885,000 
 Unclaimed dividend
   59,148 
  50,115 
 Accrued markup
   342,935 
  497,745 
 Taxation - net
   16,195,618 
  9,229,664 
    54,188,473 
  46,180,879 
    86,256,813 
  75,712,741 
TOTAL EQUITY AND LIABILITIES</x:v>
      </x:c>
    </x:row>
    <x:row r="513" ht="82" customHeight="1">
      <x:c r="A513" s="76" t="str">
        <x:v>LUCK|div_liab|2024</x:v>
      </x:c>
      <x:c r="B513" s="76" t="str">
        <x:v>LUCK</x:v>
      </x:c>
      <x:c r="C513" s="76" t="str">
        <x:v>FY2024</x:v>
      </x:c>
      <x:c r="D513" s="76" t="str">
        <x:v>Unclaimed / unpaid dividends</x:v>
      </x:c>
      <x:c r="E513" s="170" t="n">
        <x:v>59148</x:v>
      </x:c>
      <x:c r="F513" s="170" t="n">
        <x:v>59148</x:v>
      </x:c>
      <x:c r="G513" s="170" t="str">
        <x:v>PKR '000</x:v>
      </x:c>
      <x:c r="H513" s="170" t="n">
        <x:f>F513/1000</x:f>
        <x:v>59.148</x:v>
      </x:c>
      <x:c r="I513" s="170" t="n">
        <x:f>LUCK!G58</x:f>
        <x:v>59.148</x:v>
      </x:c>
      <x:c r="J513" s="170" t="n">
        <x:f>H513-I513</x:f>
        <x:v>0</x:v>
      </x:c>
      <x:c r="K513" s="76" t="str">
        <x:v>2025.pdf</x:v>
      </x:c>
      <x:c r="L513" s="76" t="n">
        <x:v>240</x:v>
      </x:c>
      <x:c r="M513" s="76" t="str">
        <x:v>Comparative</x:v>
      </x:c>
      <x:c r="N513" s="99" t="str">
        <x:v>Printed amount independently located</x:v>
      </x:c>
      <x:c r="O513" s="99" t="str">
        <x:v>Exact source amount found; audited year/current-comparative column recorded. Accounting subtotal tests performed separately.</x:v>
      </x:c>
      <x:c r="P513" s="99" t="str">
        <x:v>Current maturity of long-term financing 21  1,866,085   2,099,147 
 Short term borrowings 25  6,485,000   5,485,000 
 Unclaimed dividend   65,745   59,148 
 Accrued markup   185,616   342,935 
 Taxation - net   22,738,018   16,195,618 
     58,641,383   54,188,473 
     90,837,630   86,256,813
TOTAL EQUITY AND LIABILITIES   266,748,</x:v>
      </x:c>
    </x:row>
    <x:row r="514" ht="82" customHeight="1">
      <x:c r="A514" s="168" t="str">
        <x:v>LUCK|div_liab|2025</x:v>
      </x:c>
      <x:c r="B514" s="168" t="str">
        <x:v>LUCK</x:v>
      </x:c>
      <x:c r="C514" s="168" t="str">
        <x:v>FY2025</x:v>
      </x:c>
      <x:c r="D514" s="168" t="str">
        <x:v>Unclaimed / unpaid dividends</x:v>
      </x:c>
      <x:c r="E514" s="169" t="n">
        <x:v>65745</x:v>
      </x:c>
      <x:c r="F514" s="169" t="n">
        <x:v>65745</x:v>
      </x:c>
      <x:c r="G514" s="169" t="str">
        <x:v>PKR '000</x:v>
      </x:c>
      <x:c r="H514" s="169" t="n">
        <x:f>F514/1000</x:f>
        <x:v>65.745</x:v>
      </x:c>
      <x:c r="I514" s="169" t="n">
        <x:f>LUCK!H58</x:f>
        <x:v>65.745</x:v>
      </x:c>
      <x:c r="J514" s="169" t="n">
        <x:f>H514-I514</x:f>
        <x:v>0</x:v>
      </x:c>
      <x:c r="K514" s="168" t="str">
        <x:v>2025.pdf</x:v>
      </x:c>
      <x:c r="L514" s="168" t="n">
        <x:v>240</x:v>
      </x:c>
      <x:c r="M514" s="168" t="str">
        <x:v>Current year</x:v>
      </x:c>
      <x:c r="N514" s="171" t="str">
        <x:v>Printed amount independently located</x:v>
      </x:c>
      <x:c r="O514" s="171" t="str">
        <x:v>Exact source amount found; audited year/current-comparative column recorded. Accounting subtotal tests performed separately.</x:v>
      </x:c>
      <x:c r="P514" s="171" t="str">
        <x:v>,006,625 
 Current maturity of long-term financing 21  1,866,085   2,099,147 
 Short term borrowings 25  6,485,000   5,485,000 
 Unclaimed dividend   65,745   59,148 
 Accrued markup   185,616   342,935 
 Taxation - net   22,738,018   16,195,618 
     58,641,383   54,188,473 
     90,837,630   86,256,813
TOTAL EQUITY AND LIABILITIES</x:v>
      </x:c>
    </x:row>
    <x:row r="515" ht="82" customHeight="1">
      <x:c r="A515" s="76" t="str">
        <x:v>LUCK|tax_liab|2020</x:v>
      </x:c>
      <x:c r="B515" s="76" t="str">
        <x:v>LUCK</x:v>
      </x:c>
      <x:c r="C515" s="76" t="str">
        <x:v>FY2020</x:v>
      </x:c>
      <x:c r="D515" s="76" t="str">
        <x:v>Taxation payable (net)</x:v>
      </x:c>
      <x:c r="E515" s="170" t="n">
        <x:v>1422867</x:v>
      </x:c>
      <x:c r="F515" s="170" t="n">
        <x:v>1422867</x:v>
      </x:c>
      <x:c r="G515" s="170" t="str">
        <x:v>PKR '000</x:v>
      </x:c>
      <x:c r="H515" s="170" t="n">
        <x:f>F515/1000</x:f>
        <x:v>1422.867</x:v>
      </x:c>
      <x:c r="I515" s="170" t="n">
        <x:f>LUCK!C59</x:f>
        <x:v>1422.867</x:v>
      </x:c>
      <x:c r="J515" s="170" t="n">
        <x:f>H515-I515</x:f>
        <x:v>0</x:v>
      </x:c>
      <x:c r="K515" s="76" t="str">
        <x:v>2021.pdf</x:v>
      </x:c>
      <x:c r="L515" s="76" t="n">
        <x:v>191</x:v>
      </x:c>
      <x:c r="M515" s="76" t="str">
        <x:v>Comparative</x:v>
      </x:c>
      <x:c r="N515" s="99" t="str">
        <x:v>Printed amount independently located</x:v>
      </x:c>
      <x:c r="O515" s="99" t="str">
        <x:v>Exact source amount found; audited year/current-comparative column recorded. Accounting subtotal tests performed separately.</x:v>
      </x:c>
      <x:c r="P515" s="99" t="str">
        <x:v>Unclaimed dividend
   53,458 
  55,767 
 Unpaid dividend
 27
 –   
  17,580 
 Accrued markup
   70,868 
  46,173 
 T
axation - net
   1,916,072 
  1,422,867 
    30,387,066 
  28,955,352 
    43,167,804 
  36,684,613 
CONTINGENCIES AND COMMITMENTS
 28
TOT
AL EQUITY AND LIABILITIES
   156,368,062 
  135,868,474 
The annexed notes f</x:v>
      </x:c>
    </x:row>
    <x:row r="516" ht="82" customHeight="1">
      <x:c r="A516" s="168" t="str">
        <x:v>LUCK|tax_liab|2021</x:v>
      </x:c>
      <x:c r="B516" s="168" t="str">
        <x:v>LUCK</x:v>
      </x:c>
      <x:c r="C516" s="168" t="str">
        <x:v>FY2021</x:v>
      </x:c>
      <x:c r="D516" s="168" t="str">
        <x:v>Taxation payable (net)</x:v>
      </x:c>
      <x:c r="E516" s="169" t="n">
        <x:v>1916072</x:v>
      </x:c>
      <x:c r="F516" s="169" t="n">
        <x:v>1916072</x:v>
      </x:c>
      <x:c r="G516" s="169" t="str">
        <x:v>PKR '000</x:v>
      </x:c>
      <x:c r="H516" s="169" t="n">
        <x:f>F516/1000</x:f>
        <x:v>1916.072</x:v>
      </x:c>
      <x:c r="I516" s="169" t="n">
        <x:f>LUCK!D59</x:f>
        <x:v>1916.072</x:v>
      </x:c>
      <x:c r="J516" s="169" t="n">
        <x:f>H516-I516</x:f>
        <x:v>0</x:v>
      </x:c>
      <x:c r="K516" s="168" t="str">
        <x:v>2022.pdf</x:v>
      </x:c>
      <x:c r="L516" s="168" t="n">
        <x:v>226</x:v>
      </x:c>
      <x:c r="M516" s="168" t="str">
        <x:v>Comparative</x:v>
      </x:c>
      <x:c r="N516" s="171" t="str">
        <x:v>Printed amount independently located</x:v>
      </x:c>
      <x:c r="O516" s="171" t="str">
        <x:v>Exact source amount found; audited year/current-comparative column recorded. Accounting subtotal tests performed separately.</x:v>
      </x:c>
      <x:c r="P516" s="171" t="str">
        <x:v>-term borrowings 26  1,000,000   7,050,000 
 Unclaimed dividend   51,030   53,458 
 Accrued markup   135,452   70,868 
 T axation - net   5,496,191   1,916,072 
     30,361,358   30,387,066 
     56,422,044   43,167,804 
TOTAL EQUITY AND LIABILITIES   184,962,368   156,368,062
CONTINGENCIES AND COMMITMENTS 27
The annexed notes from 1 t</x:v>
      </x:c>
    </x:row>
    <x:row r="517" ht="82" customHeight="1">
      <x:c r="A517" s="76" t="str">
        <x:v>LUCK|tax_liab|2022</x:v>
      </x:c>
      <x:c r="B517" s="76" t="str">
        <x:v>LUCK</x:v>
      </x:c>
      <x:c r="C517" s="76" t="str">
        <x:v>FY2022</x:v>
      </x:c>
      <x:c r="D517" s="76" t="str">
        <x:v>Taxation payable (net)</x:v>
      </x:c>
      <x:c r="E517" s="170" t="n">
        <x:v>5496191</x:v>
      </x:c>
      <x:c r="F517" s="170" t="n">
        <x:v>5496191</x:v>
      </x:c>
      <x:c r="G517" s="170" t="str">
        <x:v>PKR '000</x:v>
      </x:c>
      <x:c r="H517" s="170" t="n">
        <x:f>F517/1000</x:f>
        <x:v>5496.191</x:v>
      </x:c>
      <x:c r="I517" s="170" t="n">
        <x:f>LUCK!E59</x:f>
        <x:v>5496.191</x:v>
      </x:c>
      <x:c r="J517" s="170" t="n">
        <x:f>H517-I517</x:f>
        <x:v>0</x:v>
      </x:c>
      <x:c r="K517" s="76" t="str">
        <x:v>2023.pdf</x:v>
      </x:c>
      <x:c r="L517" s="76" t="n">
        <x:v>234</x:v>
      </x:c>
      <x:c r="M517" s="76" t="str">
        <x:v>Comparative</x:v>
      </x:c>
      <x:c r="N517" s="99" t="str">
        <x:v>Printed amount independently located</x:v>
      </x:c>
      <x:c r="O517" s="99" t="str">
        <x:v>Exact source amount found; audited year/current-comparative column recorded. Accounting subtotal tests performed separately.</x:v>
      </x:c>
      <x:c r="P517" s="99" t="str">
        <x:v>-term borrowings 26  5,885,000   1,000,000 
 Unclaimed dividend   50,115   51,030 
 Accrued markup   497,745   135,452 
 Taxation - net   9,229,664   5,496,191 
     46,180,879   30,361,358 
     75,712,741   56,422,044 
TOTAL EQUITY AND LIABILITIES   213,079,067   184,962,368
CONTINGENCIES AND COMMITMENTS 27
The annexed notes from 1 to</x:v>
      </x:c>
    </x:row>
    <x:row r="518" ht="82" customHeight="1">
      <x:c r="A518" s="168" t="str">
        <x:v>LUCK|tax_liab|2023</x:v>
      </x:c>
      <x:c r="B518" s="168" t="str">
        <x:v>LUCK</x:v>
      </x:c>
      <x:c r="C518" s="168" t="str">
        <x:v>FY2023</x:v>
      </x:c>
      <x:c r="D518" s="168" t="str">
        <x:v>Taxation payable (net)</x:v>
      </x:c>
      <x:c r="E518" s="169" t="n">
        <x:v>9229664</x:v>
      </x:c>
      <x:c r="F518" s="169" t="n">
        <x:v>9229664</x:v>
      </x:c>
      <x:c r="G518" s="169" t="str">
        <x:v>PKR '000</x:v>
      </x:c>
      <x:c r="H518" s="169" t="n">
        <x:f>F518/1000</x:f>
        <x:v>9229.664</x:v>
      </x:c>
      <x:c r="I518" s="169" t="n">
        <x:f>LUCK!F59</x:f>
        <x:v>9229.664</x:v>
      </x:c>
      <x:c r="J518" s="169" t="n">
        <x:f>H518-I518</x:f>
        <x:v>0</x:v>
      </x:c>
      <x:c r="K518" s="168" t="str">
        <x:v>2024.pdf</x:v>
      </x:c>
      <x:c r="L518" s="168" t="n">
        <x:v>238</x:v>
      </x:c>
      <x:c r="M518" s="168" t="str">
        <x:v>Comparative</x:v>
      </x:c>
      <x:c r="N518" s="171" t="str">
        <x:v>Printed amount independently located</x:v>
      </x:c>
      <x:c r="O518" s="171" t="str">
        <x:v>Exact source amount found; audited year/current-comparative column recorded. Accounting subtotal tests performed separately.</x:v>
      </x:c>
      <x:c r="P518" s="171" t="str">
        <x:v>owings
 26
  5,485,000 
  5,885,000 
 Unclaimed dividend
   59,148 
  50,115 
 Accrued markup
   342,935 
  497,745 
 Taxation - net
   16,195,618 
  9,229,664 
    54,188,473 
  46,180,879 
    86,256,813 
  75,712,741 
TOTAL EQUITY AND LIABILITIES
   234,018,090 
  213,079,067
CONTINGENCIES AND COMMITMENTS
27
The annexed notes fr</x:v>
      </x:c>
    </x:row>
    <x:row r="519" ht="82" customHeight="1">
      <x:c r="A519" s="76" t="str">
        <x:v>LUCK|tax_liab|2024</x:v>
      </x:c>
      <x:c r="B519" s="76" t="str">
        <x:v>LUCK</x:v>
      </x:c>
      <x:c r="C519" s="76" t="str">
        <x:v>FY2024</x:v>
      </x:c>
      <x:c r="D519" s="76" t="str">
        <x:v>Taxation payable (net)</x:v>
      </x:c>
      <x:c r="E519" s="170" t="n">
        <x:v>16195618</x:v>
      </x:c>
      <x:c r="F519" s="170" t="n">
        <x:v>16195618</x:v>
      </x:c>
      <x:c r="G519" s="170" t="str">
        <x:v>PKR '000</x:v>
      </x:c>
      <x:c r="H519" s="170" t="n">
        <x:f>F519/1000</x:f>
        <x:v>16195.618</x:v>
      </x:c>
      <x:c r="I519" s="170" t="n">
        <x:f>LUCK!G59</x:f>
        <x:v>16195.618</x:v>
      </x:c>
      <x:c r="J519" s="170" t="n">
        <x:f>H519-I519</x:f>
        <x:v>0</x:v>
      </x:c>
      <x:c r="K519" s="76" t="str">
        <x:v>2025.pdf</x:v>
      </x:c>
      <x:c r="L519" s="76" t="n">
        <x:v>240</x:v>
      </x:c>
      <x:c r="M519" s="76" t="str">
        <x:v>Comparative</x:v>
      </x:c>
      <x:c r="N519" s="99" t="str">
        <x:v>Printed amount independently located</x:v>
      </x:c>
      <x:c r="O519" s="99" t="str">
        <x:v>Exact source amount found; audited year/current-comparative column recorded. Accounting subtotal tests performed separately.</x:v>
      </x:c>
      <x:c r="P519" s="99" t="str">
        <x:v>term borrowings 25  6,485,000   5,485,000 
 Unclaimed dividend   65,745   59,148 
 Accrued markup   185,616   342,935 
 Taxation - net   22,738,018   16,195,618 
     58,641,383   54,188,473 
     90,837,630   86,256,813
TOTAL EQUITY AND LIABILITIES   266,748,030   234,018,090 
CONTINGENCIES AND COMMITMENTS 26
The annexed notes from 1 to</x:v>
      </x:c>
    </x:row>
    <x:row r="520" ht="82" customHeight="1">
      <x:c r="A520" s="168" t="str">
        <x:v>LUCK|tax_liab|2025</x:v>
      </x:c>
      <x:c r="B520" s="168" t="str">
        <x:v>LUCK</x:v>
      </x:c>
      <x:c r="C520" s="168" t="str">
        <x:v>FY2025</x:v>
      </x:c>
      <x:c r="D520" s="168" t="str">
        <x:v>Taxation payable (net)</x:v>
      </x:c>
      <x:c r="E520" s="169" t="n">
        <x:v>22738018</x:v>
      </x:c>
      <x:c r="F520" s="169" t="n">
        <x:v>22738018</x:v>
      </x:c>
      <x:c r="G520" s="169" t="str">
        <x:v>PKR '000</x:v>
      </x:c>
      <x:c r="H520" s="169" t="n">
        <x:f>F520/1000</x:f>
        <x:v>22738.018</x:v>
      </x:c>
      <x:c r="I520" s="169" t="n">
        <x:f>LUCK!H59</x:f>
        <x:v>22738.018</x:v>
      </x:c>
      <x:c r="J520" s="169" t="n">
        <x:f>H520-I520</x:f>
        <x:v>0</x:v>
      </x:c>
      <x:c r="K520" s="168" t="str">
        <x:v>2025.pdf</x:v>
      </x:c>
      <x:c r="L520" s="168" t="n">
        <x:v>240</x:v>
      </x:c>
      <x:c r="M520" s="168" t="str">
        <x:v>Current year</x:v>
      </x:c>
      <x:c r="N520" s="171" t="str">
        <x:v>Printed amount independently located</x:v>
      </x:c>
      <x:c r="O520" s="171" t="str">
        <x:v>Exact source amount found; audited year/current-comparative column recorded. Accounting subtotal tests performed separately.</x:v>
      </x:c>
      <x:c r="P520" s="171" t="str">
        <x:v>,147 
 Short term borrowings 25  6,485,000   5,485,000 
 Unclaimed dividend   65,745   59,148 
 Accrued markup   185,616   342,935 
 Taxation - net   22,738,018   16,195,618 
     58,641,383   54,188,473 
     90,837,630   86,256,813
TOTAL EQUITY AND LIABILITIES   266,748,030   234,018,090 
CONTINGENCIES AND COMMITMENTS 26
The annexed not</x:v>
      </x:c>
    </x:row>
    <x:row r="521" ht="82" customHeight="1">
      <x:c r="A521" s="76" t="str">
        <x:v>LUCK|cl_other|2020</x:v>
      </x:c>
      <x:c r="B521" s="76" t="str">
        <x:v>LUCK</x:v>
      </x:c>
      <x:c r="C521" s="76" t="str">
        <x:v>FY2020</x:v>
      </x:c>
      <x:c r="D521" s="76" t="str">
        <x:v>Other current liabilities</x:v>
      </x:c>
      <x:c r="E521" s="170" t="n">
        <x:v>0</x:v>
      </x:c>
      <x:c r="F521" s="170" t="n">
        <x:v>0</x:v>
      </x:c>
      <x:c r="G521" s="170" t="str">
        <x:v>PKR '000</x:v>
      </x:c>
      <x:c r="H521" s="170" t="n">
        <x:f>F521/1000</x:f>
        <x:v>0</x:v>
      </x:c>
      <x:c r="I521" s="170" t="n">
        <x:f>LUCK!C60</x:f>
        <x:v>0</x:v>
      </x:c>
      <x:c r="J521" s="170" t="n">
        <x:f>H521-I521</x:f>
        <x:v>0</x:v>
      </x:c>
      <x:c r="K521" s="76" t="str">
        <x:v>2021.pdf</x:v>
      </x:c>
      <x:c r="L521" s="76" t="n">
        <x:v>191</x:v>
      </x:c>
      <x:c r="M521" s="76" t="str">
        <x:v>Comparative</x:v>
      </x:c>
      <x:c r="N521" s="99" t="str">
        <x:v>Zero / no separate line in audited presentation</x:v>
      </x:c>
      <x:c r="O521" s="99" t="str">
        <x:v>Zero classification checked within the audited statement/note and reconstructed statement totals; absence of a separate line does not imply a missing replacement estimate.</x:v>
      </x:c>
      <x:c r="P521" s="99" t="str">
        <x:v>
206
STRENGTHENING
PAKISTAN
UNCONSOLIDATED STATEMENT 
OF FINANCIAL POSITION
as at June 30, 2021
Muhammad Ali Tabba
Chief Executive
Muhammad Yunus Tabb | Other current liabilities</x:v>
      </x:c>
    </x:row>
    <x:row r="522" ht="82" customHeight="1">
      <x:c r="A522" s="168" t="str">
        <x:v>LUCK|cl_other|2021</x:v>
      </x:c>
      <x:c r="B522" s="168" t="str">
        <x:v>LUCK</x:v>
      </x:c>
      <x:c r="C522" s="168" t="str">
        <x:v>FY2021</x:v>
      </x:c>
      <x:c r="D522" s="168" t="str">
        <x:v>Other current liabilities</x:v>
      </x:c>
      <x:c r="E522" s="169" t="n">
        <x:v>0</x:v>
      </x:c>
      <x:c r="F522" s="169" t="n">
        <x:v>0</x:v>
      </x:c>
      <x:c r="G522" s="169" t="str">
        <x:v>PKR '000</x:v>
      </x:c>
      <x:c r="H522" s="169" t="n">
        <x:f>F522/1000</x:f>
        <x:v>0</x:v>
      </x:c>
      <x:c r="I522" s="169" t="n">
        <x:f>LUCK!D60</x:f>
        <x:v>0</x:v>
      </x:c>
      <x:c r="J522" s="169" t="n">
        <x:f>H522-I522</x:f>
        <x:v>0</x:v>
      </x:c>
      <x:c r="K522" s="168" t="str">
        <x:v>2022.pdf</x:v>
      </x:c>
      <x:c r="L522" s="168" t="n">
        <x:v>226</x:v>
      </x:c>
      <x:c r="M522" s="168" t="str">
        <x:v>Comparative</x:v>
      </x:c>
      <x:c r="N522" s="171" t="str">
        <x:v>Zero / no separate line in audited presentation</x:v>
      </x:c>
      <x:c r="O522" s="171" t="str">
        <x:v>Zero classification checked within the audited statement/note and reconstructed statement totals; absence of a separate line does not imply a missing replacement estimate.</x:v>
      </x:c>
      <x:c r="P522" s="171" t="str">
        <x:v>
Unconsolidated Statement of 
Financial Position
as at June 30, 2022
  Note 2022 2021
   (PKR in ‘000’)
ASSETS 
NON-CURRENT ASSETS 
  Property, plant  | Other current liabilities</x:v>
      </x:c>
    </x:row>
    <x:row r="523" ht="82" customHeight="1">
      <x:c r="A523" s="76" t="str">
        <x:v>LUCK|cl_other|2022</x:v>
      </x:c>
      <x:c r="B523" s="76" t="str">
        <x:v>LUCK</x:v>
      </x:c>
      <x:c r="C523" s="76" t="str">
        <x:v>FY2022</x:v>
      </x:c>
      <x:c r="D523" s="76" t="str">
        <x:v>Other current liabilities</x:v>
      </x:c>
      <x:c r="E523" s="170" t="n">
        <x:v>0</x:v>
      </x:c>
      <x:c r="F523" s="170" t="n">
        <x:v>0</x:v>
      </x:c>
      <x:c r="G523" s="170" t="str">
        <x:v>PKR '000</x:v>
      </x:c>
      <x:c r="H523" s="170" t="n">
        <x:f>F523/1000</x:f>
        <x:v>0</x:v>
      </x:c>
      <x:c r="I523" s="170" t="n">
        <x:f>LUCK!E60</x:f>
        <x:v>0</x:v>
      </x:c>
      <x:c r="J523" s="170" t="n">
        <x:f>H523-I523</x:f>
        <x:v>0</x:v>
      </x:c>
      <x:c r="K523" s="76" t="str">
        <x:v>2023.pdf</x:v>
      </x:c>
      <x:c r="L523" s="76" t="n">
        <x:v>234</x:v>
      </x:c>
      <x:c r="M523" s="76" t="str">
        <x:v>Comparative</x:v>
      </x:c>
      <x:c r="N523" s="99" t="str">
        <x:v>Zero / no separate line in audited presentation</x:v>
      </x:c>
      <x:c r="O523" s="99" t="str">
        <x:v>Zero classification checked within the audited statement/note and reconstructed statement totals; absence of a separate line does not imply a missing replacement estimate.</x:v>
      </x:c>
      <x:c r="P523" s="99" t="str">
        <x:v>
Unconsolidated Statement of 
Financial Position
as at June 30, 2023
  Note 2023 2022
   (PKR in ‘000’)
ASSETS 
NON-CURRENT ASSETS 
 Fixed assets 
 Pr | Other current liabilities</x:v>
      </x:c>
    </x:row>
    <x:row r="524" ht="82" customHeight="1">
      <x:c r="A524" s="168" t="str">
        <x:v>LUCK|cl_other|2023</x:v>
      </x:c>
      <x:c r="B524" s="168" t="str">
        <x:v>LUCK</x:v>
      </x:c>
      <x:c r="C524" s="168" t="str">
        <x:v>FY2023</x:v>
      </x:c>
      <x:c r="D524" s="168" t="str">
        <x:v>Other current liabilities</x:v>
      </x:c>
      <x:c r="E524" s="169" t="n">
        <x:v>0</x:v>
      </x:c>
      <x:c r="F524" s="169" t="n">
        <x:v>0</x:v>
      </x:c>
      <x:c r="G524" s="169" t="str">
        <x:v>PKR '000</x:v>
      </x:c>
      <x:c r="H524" s="169" t="n">
        <x:f>F524/1000</x:f>
        <x:v>0</x:v>
      </x:c>
      <x:c r="I524" s="169" t="n">
        <x:f>LUCK!F60</x:f>
        <x:v>0</x:v>
      </x:c>
      <x:c r="J524" s="169" t="n">
        <x:f>H524-I524</x:f>
        <x:v>0</x:v>
      </x:c>
      <x:c r="K524" s="168" t="str">
        <x:v>2024.pdf</x:v>
      </x:c>
      <x:c r="L524" s="168" t="n">
        <x:v>238</x:v>
      </x:c>
      <x:c r="M524" s="168" t="str">
        <x:v>Comparative</x:v>
      </x:c>
      <x:c r="N524" s="171" t="str">
        <x:v>Zero / no separate line in audited presentation</x:v>
      </x:c>
      <x:c r="O524" s="171" t="str">
        <x:v>Zero classification checked within the audited statement/note and reconstructed statement totals; absence of a separate line does not imply a missing replacement estimate.</x:v>
      </x:c>
      <x:c r="P524" s="171" t="str">
        <x:v>
Unconsolidated Statement of 
Financial Position
as at June 30, 2024
  Note  2024  2023
  (PKR in ‘000’)
ASSETS
NON-CURRENT ASSETS
 Fixed assets | Other current liabilities</x:v>
      </x:c>
    </x:row>
    <x:row r="525" ht="82" customHeight="1">
      <x:c r="A525" s="76" t="str">
        <x:v>LUCK|cl_other|2024</x:v>
      </x:c>
      <x:c r="B525" s="76" t="str">
        <x:v>LUCK</x:v>
      </x:c>
      <x:c r="C525" s="76" t="str">
        <x:v>FY2024</x:v>
      </x:c>
      <x:c r="D525" s="76" t="str">
        <x:v>Other current liabilities</x:v>
      </x:c>
      <x:c r="E525" s="170" t="n">
        <x:v>0</x:v>
      </x:c>
      <x:c r="F525" s="170" t="n">
        <x:v>0</x:v>
      </x:c>
      <x:c r="G525" s="170" t="str">
        <x:v>PKR '000</x:v>
      </x:c>
      <x:c r="H525" s="170" t="n">
        <x:f>F525/1000</x:f>
        <x:v>0</x:v>
      </x:c>
      <x:c r="I525" s="170" t="n">
        <x:f>LUCK!G60</x:f>
        <x:v>0</x:v>
      </x:c>
      <x:c r="J525" s="170" t="n">
        <x:f>H525-I525</x:f>
        <x:v>0</x:v>
      </x:c>
      <x:c r="K525" s="76" t="str">
        <x:v>2025.pdf</x:v>
      </x:c>
      <x:c r="L525" s="76" t="n">
        <x:v>240</x:v>
      </x:c>
      <x:c r="M525" s="76" t="str">
        <x:v>Comparative</x:v>
      </x:c>
      <x:c r="N525" s="99" t="str">
        <x:v>Zero / no separate line in audited presentation</x:v>
      </x:c>
      <x:c r="O525" s="99" t="str">
        <x:v>Zero classification checked within the audited statement/note and reconstructed statement totals; absence of a separate line does not imply a missing replacement estimate.</x:v>
      </x:c>
      <x:c r="P525" s="99" t="str">
        <x:v>
Unconsolidated Statement of 
Financial Position
as at June 30, 2025
  Note 2025 2024
   (PKR in ‘000’)
ASSETS 
NON-CURRENT ASSETS 
 Property, plant a | Other current liabilities</x:v>
      </x:c>
    </x:row>
    <x:row r="526" ht="82" customHeight="1">
      <x:c r="A526" s="168" t="str">
        <x:v>LUCK|cl_other|2025</x:v>
      </x:c>
      <x:c r="B526" s="168" t="str">
        <x:v>LUCK</x:v>
      </x:c>
      <x:c r="C526" s="168" t="str">
        <x:v>FY2025</x:v>
      </x:c>
      <x:c r="D526" s="168" t="str">
        <x:v>Other current liabilities</x:v>
      </x:c>
      <x:c r="E526" s="169" t="n">
        <x:v>0</x:v>
      </x:c>
      <x:c r="F526" s="169" t="n">
        <x:v>0</x:v>
      </x:c>
      <x:c r="G526" s="169" t="str">
        <x:v>PKR '000</x:v>
      </x:c>
      <x:c r="H526" s="169" t="n">
        <x:f>F526/1000</x:f>
        <x:v>0</x:v>
      </x:c>
      <x:c r="I526" s="169" t="n">
        <x:f>LUCK!H60</x:f>
        <x:v>0</x:v>
      </x:c>
      <x:c r="J526" s="169" t="n">
        <x:f>H526-I526</x:f>
        <x:v>0</x:v>
      </x:c>
      <x:c r="K526" s="168" t="str">
        <x:v>2025.pdf</x:v>
      </x:c>
      <x:c r="L526" s="168" t="n">
        <x:v>240</x:v>
      </x:c>
      <x:c r="M526" s="168" t="str">
        <x:v>Current year</x:v>
      </x:c>
      <x:c r="N526" s="171" t="str">
        <x:v>Zero / no separate line in audited presentation</x:v>
      </x:c>
      <x:c r="O526" s="171" t="str">
        <x:v>Zero classification checked within the audited statement/note and reconstructed statement totals; absence of a separate line does not imply a missing replacement estimate.</x:v>
      </x:c>
      <x:c r="P526" s="171" t="str">
        <x:v>
Unconsolidated Statement of 
Financial Position
as at June 30, 2025
  Note 2025 2024
   (PKR in ‘000’)
ASSETS 
NON-CURRENT ASSETS 
 Property, plant a | Other current liabilities</x:v>
      </x:c>
    </x:row>
    <x:row r="527" ht="82" customHeight="1">
      <x:c r="A527" s="76" t="str">
        <x:v>LUCK|pr_TA|2020</x:v>
      </x:c>
      <x:c r="B527" s="76" t="str">
        <x:v>LUCK</x:v>
      </x:c>
      <x:c r="C527" s="76" t="str">
        <x:v>FY2020</x:v>
      </x:c>
      <x:c r="D527" s="76" t="str">
        <x:v>Printed total assets</x:v>
      </x:c>
      <x:c r="E527" s="170" t="n">
        <x:v>135868474</x:v>
      </x:c>
      <x:c r="F527" s="170" t="n">
        <x:v>135868474</x:v>
      </x:c>
      <x:c r="G527" s="170" t="str">
        <x:v>PKR '000</x:v>
      </x:c>
      <x:c r="H527" s="170" t="n">
        <x:f>F527/1000</x:f>
        <x:v>135868.474</x:v>
      </x:c>
      <x:c r="I527" s="170" t="n">
        <x:f>LUCK!C75</x:f>
        <x:v>135868.474</x:v>
      </x:c>
      <x:c r="J527" s="170" t="n">
        <x:f>H527-I527</x:f>
        <x:v>0</x:v>
      </x:c>
      <x:c r="K527" s="76" t="str">
        <x:v>2021.pdf</x:v>
      </x:c>
      <x:c r="L527" s="76" t="n">
        <x:v>191</x:v>
      </x:c>
      <x:c r="M527" s="76" t="str">
        <x:v>Comparative</x:v>
      </x:c>
      <x:c r="N527" s="99" t="str">
        <x:v>Printed amount independently located</x:v>
      </x:c>
      <x:c r="O527" s="99" t="str">
        <x:v>Exact source amount found; audited year/current-comparative column recorded. Accounting subtotal tests performed separately.</x:v>
      </x:c>
      <x:c r="P527" s="99" t="str">
        <x:v>17
  16,227,103 
  2,970,999 
 Cash and bank balances
 18
  2,825,424 
  7,816,606 
    40,676,368 
  28,374,913 
TOT
AL ASSETS
   156,368,062 
  135,868,474 
EQUITY AND LIABILITIES
SHARE CAPIT
AL AND RESERVES
 Issued, subscribed and paid-up share capital
 19
  3,233,750 
  3,233,750 
 Reserves
 20
  109,966,508 
  95,950,111</x:v>
      </x:c>
    </x:row>
    <x:row r="528" ht="82" customHeight="1">
      <x:c r="A528" s="168" t="str">
        <x:v>LUCK|pr_TA|2021</x:v>
      </x:c>
      <x:c r="B528" s="168" t="str">
        <x:v>LUCK</x:v>
      </x:c>
      <x:c r="C528" s="168" t="str">
        <x:v>FY2021</x:v>
      </x:c>
      <x:c r="D528" s="168" t="str">
        <x:v>Printed total assets</x:v>
      </x:c>
      <x:c r="E528" s="169" t="n">
        <x:v>156368062</x:v>
      </x:c>
      <x:c r="F528" s="169" t="n">
        <x:v>156368062</x:v>
      </x:c>
      <x:c r="G528" s="169" t="str">
        <x:v>PKR '000</x:v>
      </x:c>
      <x:c r="H528" s="169" t="n">
        <x:f>F528/1000</x:f>
        <x:v>156368.062</x:v>
      </x:c>
      <x:c r="I528" s="169" t="n">
        <x:f>LUCK!D75</x:f>
        <x:v>156368.062</x:v>
      </x:c>
      <x:c r="J528" s="169" t="n">
        <x:f>H528-I528</x:f>
        <x:v>0</x:v>
      </x:c>
      <x:c r="K528" s="168" t="str">
        <x:v>2022.pdf</x:v>
      </x:c>
      <x:c r="L528" s="168" t="n">
        <x:v>226</x:v>
      </x:c>
      <x:c r="M528" s="168" t="str">
        <x:v>Comparative</x:v>
      </x:c>
      <x:c r="N528" s="171" t="str">
        <x:v>Printed amount independently located</x:v>
      </x:c>
      <x:c r="O528" s="171" t="str">
        <x:v>Exact source amount found; audited year/current-comparative column recorded. Accounting subtotal tests performed separately.</x:v>
      </x:c>
      <x:c r="P528" s="171" t="str">
        <x:v>nvestments 17  12,751,155   16,227,103 
 Cash and bank balances 18  3,871,078   2,825,424 
     44,815,691   40,676,368 
TOTAL ASSETS   184,962,368   156,368,062 
EQUITY AND LIABILITIES 
SHARE CAPITAL AND RESERVES 
 Issued, subscribed and paid-up share capital 19  3,233,750   3,233,750 
 Reserves 20  125,306,574   109,966,508 
     128</x:v>
      </x:c>
    </x:row>
    <x:row r="529" ht="82" customHeight="1">
      <x:c r="A529" s="76" t="str">
        <x:v>LUCK|pr_TA|2022</x:v>
      </x:c>
      <x:c r="B529" s="76" t="str">
        <x:v>LUCK</x:v>
      </x:c>
      <x:c r="C529" s="76" t="str">
        <x:v>FY2022</x:v>
      </x:c>
      <x:c r="D529" s="76" t="str">
        <x:v>Printed total assets</x:v>
      </x:c>
      <x:c r="E529" s="170" t="n">
        <x:v>184962368</x:v>
      </x:c>
      <x:c r="F529" s="170" t="n">
        <x:v>184962368</x:v>
      </x:c>
      <x:c r="G529" s="170" t="str">
        <x:v>PKR '000</x:v>
      </x:c>
      <x:c r="H529" s="170" t="n">
        <x:f>F529/1000</x:f>
        <x:v>184962.368</x:v>
      </x:c>
      <x:c r="I529" s="170" t="n">
        <x:f>LUCK!E75</x:f>
        <x:v>184962.368</x:v>
      </x:c>
      <x:c r="J529" s="170" t="n">
        <x:f>H529-I529</x:f>
        <x:v>0</x:v>
      </x:c>
      <x:c r="K529" s="76" t="str">
        <x:v>2023.pdf</x:v>
      </x:c>
      <x:c r="L529" s="76" t="n">
        <x:v>234</x:v>
      </x:c>
      <x:c r="M529" s="76" t="str">
        <x:v>Comparative</x:v>
      </x:c>
      <x:c r="N529" s="99" t="str">
        <x:v>Printed amount independently located</x:v>
      </x:c>
      <x:c r="O529" s="99" t="str">
        <x:v>Exact source amount found; audited year/current-comparative column recorded. Accounting subtotal tests performed separately.</x:v>
      </x:c>
      <x:c r="P529" s="99" t="str">
        <x:v>nvestments 17  21,898,496   12,751,155 
 Cash and bank balances 18  4,116,181   3,871,078 
     59,576,642   44,815,691 
TOTAL ASSETS   213,079,067   184,962,368 
EQUITY AND LIABILITIES 
SHARE CAPITAL AND RESERVES 
 Issued, subscribed and paid-up share capital 19  3,118,386   3,233,750 
 Reserves 20  134,247,940   125,306,574 
     137,3</x:v>
      </x:c>
    </x:row>
    <x:row r="530" ht="82" customHeight="1">
      <x:c r="A530" s="168" t="str">
        <x:v>LUCK|pr_TA|2023</x:v>
      </x:c>
      <x:c r="B530" s="168" t="str">
        <x:v>LUCK</x:v>
      </x:c>
      <x:c r="C530" s="168" t="str">
        <x:v>FY2023</x:v>
      </x:c>
      <x:c r="D530" s="168" t="str">
        <x:v>Printed total assets</x:v>
      </x:c>
      <x:c r="E530" s="169" t="n">
        <x:v>213079067</x:v>
      </x:c>
      <x:c r="F530" s="169" t="n">
        <x:v>213079067</x:v>
      </x:c>
      <x:c r="G530" s="169" t="str">
        <x:v>PKR '000</x:v>
      </x:c>
      <x:c r="H530" s="169" t="n">
        <x:f>F530/1000</x:f>
        <x:v>213079.067</x:v>
      </x:c>
      <x:c r="I530" s="169" t="n">
        <x:f>LUCK!F75</x:f>
        <x:v>213079.067</x:v>
      </x:c>
      <x:c r="J530" s="169" t="n">
        <x:f>H530-I530</x:f>
        <x:v>0</x:v>
      </x:c>
      <x:c r="K530" s="168" t="str">
        <x:v>2024.pdf</x:v>
      </x:c>
      <x:c r="L530" s="168" t="n">
        <x:v>238</x:v>
      </x:c>
      <x:c r="M530" s="168" t="str">
        <x:v>Comparative</x:v>
      </x:c>
      <x:c r="N530" s="171" t="str">
        <x:v>Printed amount independently located</x:v>
      </x:c>
      <x:c r="O530" s="171" t="str">
        <x:v>Exact source amount found; audited year/current-comparative column recorded. Accounting subtotal tests performed separately.</x:v>
      </x:c>
      <x:c r="P530" s="171" t="str">
        <x:v>17
  29,837,628 
  21,898,496 
 Cash and bank balances
 18
  2,567,176 
  4,116,181 
    68,452,084 
  59,576,642 
TOTAL ASSETS
   234,018,090 
  213,079,067 
EQUITY AND LIABILITIES
SHARE CAPITAL AND RESERVES
 Share capital
 19
  2,930,000 
  3,118,386 
 Reserves
 20
  144,831,277 
  134,247,940 
    147,761,277 
  137,366,32</x:v>
      </x:c>
    </x:row>
    <x:row r="531" ht="82" customHeight="1">
      <x:c r="A531" s="76" t="str">
        <x:v>LUCK|pr_TA|2024</x:v>
      </x:c>
      <x:c r="B531" s="76" t="str">
        <x:v>LUCK</x:v>
      </x:c>
      <x:c r="C531" s="76" t="str">
        <x:v>FY2024</x:v>
      </x:c>
      <x:c r="D531" s="76" t="str">
        <x:v>Printed total assets</x:v>
      </x:c>
      <x:c r="E531" s="170" t="n">
        <x:v>234018090</x:v>
      </x:c>
      <x:c r="F531" s="170" t="n">
        <x:v>234018090</x:v>
      </x:c>
      <x:c r="G531" s="170" t="str">
        <x:v>PKR '000</x:v>
      </x:c>
      <x:c r="H531" s="170" t="n">
        <x:f>F531/1000</x:f>
        <x:v>234018.09</x:v>
      </x:c>
      <x:c r="I531" s="170" t="n">
        <x:f>LUCK!G75</x:f>
        <x:v>234018.09</x:v>
      </x:c>
      <x:c r="J531" s="170" t="n">
        <x:f>H531-I531</x:f>
        <x:v>0</x:v>
      </x:c>
      <x:c r="K531" s="76" t="str">
        <x:v>2025.pdf</x:v>
      </x:c>
      <x:c r="L531" s="76" t="n">
        <x:v>240</x:v>
      </x:c>
      <x:c r="M531" s="76" t="str">
        <x:v>Comparative</x:v>
      </x:c>
      <x:c r="N531" s="99" t="str">
        <x:v>Printed amount independently located</x:v>
      </x:c>
      <x:c r="O531" s="99" t="str">
        <x:v>Exact source amount found; audited year/current-comparative column recorded. Accounting subtotal tests performed separately.</x:v>
      </x:c>
      <x:c r="P531" s="99" t="str">
        <x:v>vestments 16  61,298,052   29,837,628 
 Cash and bank balances 17  2,790,323   2,567,176 
     100,547,359   68,452,084 
TOTAL ASSETS   266,748,030   234,018,090 
EQUITY AND LIABILITIES 
SHARE CAPITAL AND RESERVES 
 Share capital 18  2,930,000   2,930,000 
 Reserves 19  172,980,400   144,831,277 
     175,910,400   147,761,277 
NON-CUR</x:v>
      </x:c>
    </x:row>
    <x:row r="532" ht="82" customHeight="1">
      <x:c r="A532" s="168" t="str">
        <x:v>LUCK|pr_TA|2025</x:v>
      </x:c>
      <x:c r="B532" s="168" t="str">
        <x:v>LUCK</x:v>
      </x:c>
      <x:c r="C532" s="168" t="str">
        <x:v>FY2025</x:v>
      </x:c>
      <x:c r="D532" s="168" t="str">
        <x:v>Printed total assets</x:v>
      </x:c>
      <x:c r="E532" s="169" t="n">
        <x:v>266748030</x:v>
      </x:c>
      <x:c r="F532" s="169" t="n">
        <x:v>266748030</x:v>
      </x:c>
      <x:c r="G532" s="169" t="str">
        <x:v>PKR '000</x:v>
      </x:c>
      <x:c r="H532" s="169" t="n">
        <x:f>F532/1000</x:f>
        <x:v>266748.03</x:v>
      </x:c>
      <x:c r="I532" s="169" t="n">
        <x:f>LUCK!H75</x:f>
        <x:v>266748.03</x:v>
      </x:c>
      <x:c r="J532" s="169" t="n">
        <x:f>H532-I532</x:f>
        <x:v>0</x:v>
      </x:c>
      <x:c r="K532" s="168" t="str">
        <x:v>2025.pdf</x:v>
      </x:c>
      <x:c r="L532" s="168" t="n">
        <x:v>240</x:v>
      </x:c>
      <x:c r="M532" s="168" t="str">
        <x:v>Current year</x:v>
      </x:c>
      <x:c r="N532" s="171" t="str">
        <x:v>Printed amount independently located</x:v>
      </x:c>
      <x:c r="O532" s="171" t="str">
        <x:v>Exact source amount found; audited year/current-comparative column recorded. Accounting subtotal tests performed separately.</x:v>
      </x:c>
      <x:c r="P532" s="171" t="str">
        <x:v>Short-term investments 16  61,298,052   29,837,628 
 Cash and bank balances 17  2,790,323   2,567,176 
     100,547,359   68,452,084 
TOTAL ASSETS   266,748,030   234,018,090 
EQUITY AND LIABILITIES 
SHARE CAPITAL AND RESERVES 
 Share capital 18  2,930,000   2,930,000 
 Reserves 19  172,980,400   144,831,277 
     175,910,400   147,76</x:v>
      </x:c>
    </x:row>
    <x:row r="533" ht="82" customHeight="1">
      <x:c r="A533" s="76" t="str">
        <x:v>LUCK|pr_EQ|2020</x:v>
      </x:c>
      <x:c r="B533" s="76" t="str">
        <x:v>LUCK</x:v>
      </x:c>
      <x:c r="C533" s="76" t="str">
        <x:v>FY2020</x:v>
      </x:c>
      <x:c r="D533" s="76" t="str">
        <x:v>Printed total equity</x:v>
      </x:c>
      <x:c r="E533" s="170" t="n">
        <x:v>99183861</x:v>
      </x:c>
      <x:c r="F533" s="170" t="n">
        <x:v>99183861</x:v>
      </x:c>
      <x:c r="G533" s="170" t="str">
        <x:v>PKR '000</x:v>
      </x:c>
      <x:c r="H533" s="170" t="n">
        <x:f>F533/1000</x:f>
        <x:v>99183.861</x:v>
      </x:c>
      <x:c r="I533" s="170" t="n">
        <x:f>LUCK!C76</x:f>
        <x:v>99183.861</x:v>
      </x:c>
      <x:c r="J533" s="170" t="n">
        <x:f>H533-I533</x:f>
        <x:v>0</x:v>
      </x:c>
      <x:c r="K533" s="76" t="str">
        <x:v>2021.pdf</x:v>
      </x:c>
      <x:c r="L533" s="76" t="n">
        <x:v>191</x:v>
      </x:c>
      <x:c r="M533" s="76" t="str">
        <x:v>Comparative</x:v>
      </x:c>
      <x:c r="N533" s="99" t="str">
        <x:v>Printed amount independently located</x:v>
      </x:c>
      <x:c r="O533" s="99" t="str">
        <x:v>Exact source amount found; audited year/current-comparative column recorded. Accounting subtotal tests performed separately.</x:v>
      </x:c>
      <x:c r="P533" s="99" t="str">
        <x:v>SERVES
 Issued, subscribed and paid-up share capital
 19
  3,233,750 
  3,233,750 
 Reserves
 20
  109,966,508 
  95,950,111 
    113,200,258 
  99,183,861 
NON-CURRENT LIABILITIES
 Long-term deposits
 21
  243,633 
  233,062 
 Long-term loans
 22
  2,934,044 
  320,461 
 Deferred Government grant
 23
  1,107,940 
  59,720 
 Defer</x:v>
      </x:c>
    </x:row>
    <x:row r="534" ht="82" customHeight="1">
      <x:c r="A534" s="168" t="str">
        <x:v>LUCK|pr_EQ|2021</x:v>
      </x:c>
      <x:c r="B534" s="168" t="str">
        <x:v>LUCK</x:v>
      </x:c>
      <x:c r="C534" s="168" t="str">
        <x:v>FY2021</x:v>
      </x:c>
      <x:c r="D534" s="168" t="str">
        <x:v>Printed total equity</x:v>
      </x:c>
      <x:c r="E534" s="169" t="n">
        <x:v>113200258</x:v>
      </x:c>
      <x:c r="F534" s="169" t="n">
        <x:v>113200258</x:v>
      </x:c>
      <x:c r="G534" s="169" t="str">
        <x:v>PKR '000</x:v>
      </x:c>
      <x:c r="H534" s="169" t="n">
        <x:f>F534/1000</x:f>
        <x:v>113200.258</x:v>
      </x:c>
      <x:c r="I534" s="169" t="n">
        <x:f>LUCK!D76</x:f>
        <x:v>113200.258</x:v>
      </x:c>
      <x:c r="J534" s="169" t="n">
        <x:f>H534-I534</x:f>
        <x:v>0</x:v>
      </x:c>
      <x:c r="K534" s="168" t="str">
        <x:v>2022.pdf</x:v>
      </x:c>
      <x:c r="L534" s="168" t="n">
        <x:v>226</x:v>
      </x:c>
      <x:c r="M534" s="168" t="str">
        <x:v>Comparative</x:v>
      </x:c>
      <x:c r="N534" s="171" t="str">
        <x:v>Printed amount independently located</x:v>
      </x:c>
      <x:c r="O534" s="171" t="str">
        <x:v>Exact source amount found; audited year/current-comparative column recorded. Accounting subtotal tests performed separately.</x:v>
      </x:c>
      <x:c r="P534" s="171" t="str">
        <x:v>AL AND RESERVES 
 Issued, subscribed and paid-up share capital 19  3,233,750   3,233,750 
 Reserves 20  125,306,574   109,966,508 
     128,540,324   113,200,258 
NON-CURRENT LIABILITIES 
 Long-term deposits 21  250,332   243,633 
 Long-term loans 22  14,108,446   2,934,044 
 Deferred Government grant 23  2,164,455   1,107,940 
 Deferred l</x:v>
      </x:c>
    </x:row>
    <x:row r="535" ht="82" customHeight="1">
      <x:c r="A535" s="76" t="str">
        <x:v>LUCK|pr_EQ|2022</x:v>
      </x:c>
      <x:c r="B535" s="76" t="str">
        <x:v>LUCK</x:v>
      </x:c>
      <x:c r="C535" s="76" t="str">
        <x:v>FY2022</x:v>
      </x:c>
      <x:c r="D535" s="76" t="str">
        <x:v>Printed total equity</x:v>
      </x:c>
      <x:c r="E535" s="170" t="n">
        <x:v>128540324</x:v>
      </x:c>
      <x:c r="F535" s="170" t="n">
        <x:v>128540324</x:v>
      </x:c>
      <x:c r="G535" s="170" t="str">
        <x:v>PKR '000</x:v>
      </x:c>
      <x:c r="H535" s="170" t="n">
        <x:f>F535/1000</x:f>
        <x:v>128540.324</x:v>
      </x:c>
      <x:c r="I535" s="170" t="n">
        <x:f>LUCK!E76</x:f>
        <x:v>128540.324</x:v>
      </x:c>
      <x:c r="J535" s="170" t="n">
        <x:f>H535-I535</x:f>
        <x:v>0</x:v>
      </x:c>
      <x:c r="K535" s="76" t="str">
        <x:v>2023.pdf</x:v>
      </x:c>
      <x:c r="L535" s="76" t="n">
        <x:v>234</x:v>
      </x:c>
      <x:c r="M535" s="76" t="str">
        <x:v>Comparative</x:v>
      </x:c>
      <x:c r="N535" s="99" t="str">
        <x:v>Printed amount independently located</x:v>
      </x:c>
      <x:c r="O535" s="99" t="str">
        <x:v>Exact source amount found; audited year/current-comparative column recorded. Accounting subtotal tests performed separately.</x:v>
      </x:c>
      <x:c r="P535" s="99" t="str">
        <x:v>AL AND RESERVES 
 Issued, subscribed and paid-up share capital 19  3,118,386   3,233,750 
 Reserves 20  134,247,940   125,306,574 
     137,366,326   128,540,324 
NON-CURRENT LIABILITIES 
 Long-term deposits 21  252,837   250,332 
 Long-term loans 22  14,557,294   14,108,446 
 Deferred Government grant 23  2,121,307   2,164,455 
 Deferred</x:v>
      </x:c>
    </x:row>
    <x:row r="536" ht="82" customHeight="1">
      <x:c r="A536" s="168" t="str">
        <x:v>LUCK|pr_EQ|2023</x:v>
      </x:c>
      <x:c r="B536" s="168" t="str">
        <x:v>LUCK</x:v>
      </x:c>
      <x:c r="C536" s="168" t="str">
        <x:v>FY2023</x:v>
      </x:c>
      <x:c r="D536" s="168" t="str">
        <x:v>Printed total equity</x:v>
      </x:c>
      <x:c r="E536" s="169" t="n">
        <x:v>137366326</x:v>
      </x:c>
      <x:c r="F536" s="169" t="n">
        <x:v>137366326</x:v>
      </x:c>
      <x:c r="G536" s="169" t="str">
        <x:v>PKR '000</x:v>
      </x:c>
      <x:c r="H536" s="169" t="n">
        <x:f>F536/1000</x:f>
        <x:v>137366.326</x:v>
      </x:c>
      <x:c r="I536" s="169" t="n">
        <x:f>LUCK!F76</x:f>
        <x:v>137366.326</x:v>
      </x:c>
      <x:c r="J536" s="169" t="n">
        <x:f>H536-I536</x:f>
        <x:v>0</x:v>
      </x:c>
      <x:c r="K536" s="168" t="str">
        <x:v>2024.pdf</x:v>
      </x:c>
      <x:c r="L536" s="168" t="n">
        <x:v>238</x:v>
      </x:c>
      <x:c r="M536" s="168" t="str">
        <x:v>Comparative</x:v>
      </x:c>
      <x:c r="N536" s="171" t="str">
        <x:v>Printed amount independently located</x:v>
      </x:c>
      <x:c r="O536" s="171" t="str">
        <x:v>Exact source amount found; audited year/current-comparative column recorded. Accounting subtotal tests performed separately.</x:v>
      </x:c>
      <x:c r="P536" s="171" t="str">
        <x:v>LITIES
SHARE CAPITAL AND RESERVES
 Share capital
 19
  2,930,000 
  3,118,386 
 Reserves
 20
  144,831,277 
  134,247,940 
    147,761,277 
  137,366,326 
NON-CURRENT LIABILITIES
 Long-term deposits
 21
  255,087 
  252,837 
 Long-term loans
 22
  12,760,637 
  14,557,294 
 Deferred Government grant
 23
  1,766,055 
  2,121,307</x:v>
      </x:c>
    </x:row>
    <x:row r="537" ht="82" customHeight="1">
      <x:c r="A537" s="76" t="str">
        <x:v>LUCK|pr_EQ|2024</x:v>
      </x:c>
      <x:c r="B537" s="76" t="str">
        <x:v>LUCK</x:v>
      </x:c>
      <x:c r="C537" s="76" t="str">
        <x:v>FY2024</x:v>
      </x:c>
      <x:c r="D537" s="76" t="str">
        <x:v>Printed total equity</x:v>
      </x:c>
      <x:c r="E537" s="170" t="n">
        <x:v>147761277</x:v>
      </x:c>
      <x:c r="F537" s="170" t="n">
        <x:v>147761277</x:v>
      </x:c>
      <x:c r="G537" s="170" t="str">
        <x:v>PKR '000</x:v>
      </x:c>
      <x:c r="H537" s="170" t="n">
        <x:f>F537/1000</x:f>
        <x:v>147761.277</x:v>
      </x:c>
      <x:c r="I537" s="170" t="n">
        <x:f>LUCK!G76</x:f>
        <x:v>147761.277</x:v>
      </x:c>
      <x:c r="J537" s="170" t="n">
        <x:f>H537-I537</x:f>
        <x:v>0</x:v>
      </x:c>
      <x:c r="K537" s="76" t="str">
        <x:v>2025.pdf</x:v>
      </x:c>
      <x:c r="L537" s="76" t="n">
        <x:v>240</x:v>
      </x:c>
      <x:c r="M537" s="76" t="str">
        <x:v>Comparative</x:v>
      </x:c>
      <x:c r="N537" s="99" t="str">
        <x:v>Printed amount independently located</x:v>
      </x:c>
      <x:c r="O537" s="99" t="str">
        <x:v>Exact source amount found; audited year/current-comparative column recorded. Accounting subtotal tests performed separately.</x:v>
      </x:c>
      <x:c r="P537" s="99" t="str">
        <x:v>AND LIABILITIES 
SHARE CAPITAL AND RESERVES 
 Share capital 18  2,930,000   2,930,000 
 Reserves 19  172,980,400   144,831,277 
     175,910,400   147,761,277 
NON-CURRENT LIABILITIES 
 Long-term deposits 20  114,200   255,087 
 Long-term financing 21  9,184,522   12,760,637 
 Deferred Government grant 22  1,382,651   1,766,055 
 Deferr</x:v>
      </x:c>
    </x:row>
    <x:row r="538" ht="82" customHeight="1">
      <x:c r="A538" s="168" t="str">
        <x:v>LUCK|pr_EQ|2025</x:v>
      </x:c>
      <x:c r="B538" s="168" t="str">
        <x:v>LUCK</x:v>
      </x:c>
      <x:c r="C538" s="168" t="str">
        <x:v>FY2025</x:v>
      </x:c>
      <x:c r="D538" s="168" t="str">
        <x:v>Printed total equity</x:v>
      </x:c>
      <x:c r="E538" s="169" t="n">
        <x:v>175910400</x:v>
      </x:c>
      <x:c r="F538" s="169" t="n">
        <x:v>175910400</x:v>
      </x:c>
      <x:c r="G538" s="169" t="str">
        <x:v>PKR '000</x:v>
      </x:c>
      <x:c r="H538" s="169" t="n">
        <x:f>F538/1000</x:f>
        <x:v>175910.4</x:v>
      </x:c>
      <x:c r="I538" s="169" t="n">
        <x:f>LUCK!H76</x:f>
        <x:v>175910.4</x:v>
      </x:c>
      <x:c r="J538" s="169" t="n">
        <x:f>H538-I538</x:f>
        <x:v>0</x:v>
      </x:c>
      <x:c r="K538" s="168" t="str">
        <x:v>2025.pdf</x:v>
      </x:c>
      <x:c r="L538" s="168" t="n">
        <x:v>240</x:v>
      </x:c>
      <x:c r="M538" s="168" t="str">
        <x:v>Current year</x:v>
      </x:c>
      <x:c r="N538" s="171" t="str">
        <x:v>Printed amount independently located</x:v>
      </x:c>
      <x:c r="O538" s="171" t="str">
        <x:v>Exact source amount found; audited year/current-comparative column recorded. Accounting subtotal tests performed separately.</x:v>
      </x:c>
      <x:c r="P538" s="171" t="str">
        <x:v>,090 
EQUITY AND LIABILITIES 
SHARE CAPITAL AND RESERVES 
 Share capital 18  2,930,000   2,930,000 
 Reserves 19  172,980,400   144,831,277 
     175,910,400   147,761,277 
NON-CURRENT LIABILITIES 
 Long-term deposits 20  114,200   255,087 
 Long-term financing 21  9,184,522   12,760,637 
 Deferred Government grant 22  1,382,651   1,76</x:v>
      </x:c>
    </x:row>
    <x:row r="539" ht="82" customHeight="1">
      <x:c r="A539" s="76" t="str">
        <x:v>LUCK|pr_CA|2020</x:v>
      </x:c>
      <x:c r="B539" s="76" t="str">
        <x:v>LUCK</x:v>
      </x:c>
      <x:c r="C539" s="76" t="str">
        <x:v>FY2020</x:v>
      </x:c>
      <x:c r="D539" s="76" t="str">
        <x:v>Printed total current assets</x:v>
      </x:c>
      <x:c r="E539" s="170" t="n">
        <x:v>28374913</x:v>
      </x:c>
      <x:c r="F539" s="170" t="n">
        <x:v>28374913</x:v>
      </x:c>
      <x:c r="G539" s="170" t="str">
        <x:v>PKR '000</x:v>
      </x:c>
      <x:c r="H539" s="170" t="n">
        <x:f>F539/1000</x:f>
        <x:v>28374.913</x:v>
      </x:c>
      <x:c r="I539" s="170" t="n">
        <x:f>LUCK!C77</x:f>
        <x:v>28374.913</x:v>
      </x:c>
      <x:c r="J539" s="170" t="n">
        <x:f>H539-I539</x:f>
        <x:v>0</x:v>
      </x:c>
      <x:c r="K539" s="76" t="str">
        <x:v>2021.pdf</x:v>
      </x:c>
      <x:c r="L539" s="76" t="n">
        <x:v>191</x:v>
      </x:c>
      <x:c r="M539" s="76" t="str">
        <x:v>Comparative</x:v>
      </x:c>
      <x:c r="N539" s="99" t="str">
        <x:v>Printed amount independently located</x:v>
      </x:c>
      <x:c r="O539" s="99" t="str">
        <x:v>Exact source amount found; audited year/current-comparative column recorded. Accounting subtotal tests performed separately.</x:v>
      </x:c>
      <x:c r="P539" s="99" t="str">
        <x:v>538,812 
  538,812 
 Short term investments
 17
  16,227,103 
  2,970,999 
 Cash and bank balances
 18
  2,825,424 
  7,816,606 
    40,676,368 
  28,374,913 
TOT
AL ASSETS
   156,368,062 
  135,868,474 
EQUITY AND LIABILITIES
SHARE CAPIT
AL AND RESERVES
 Issued, subscribed and paid-up share capital
 19
  3,233,750 
  3,233,750</x:v>
      </x:c>
    </x:row>
    <x:row r="540" ht="82" customHeight="1">
      <x:c r="A540" s="168" t="str">
        <x:v>LUCK|pr_CA|2021</x:v>
      </x:c>
      <x:c r="B540" s="168" t="str">
        <x:v>LUCK</x:v>
      </x:c>
      <x:c r="C540" s="168" t="str">
        <x:v>FY2021</x:v>
      </x:c>
      <x:c r="D540" s="168" t="str">
        <x:v>Printed total current assets</x:v>
      </x:c>
      <x:c r="E540" s="169" t="n">
        <x:v>40676368</x:v>
      </x:c>
      <x:c r="F540" s="169" t="n">
        <x:v>40676368</x:v>
      </x:c>
      <x:c r="G540" s="169" t="str">
        <x:v>PKR '000</x:v>
      </x:c>
      <x:c r="H540" s="169" t="n">
        <x:f>F540/1000</x:f>
        <x:v>40676.368</x:v>
      </x:c>
      <x:c r="I540" s="169" t="n">
        <x:f>LUCK!D77</x:f>
        <x:v>40676.368</x:v>
      </x:c>
      <x:c r="J540" s="169" t="n">
        <x:f>H540-I540</x:f>
        <x:v>0</x:v>
      </x:c>
      <x:c r="K540" s="168" t="str">
        <x:v>2022.pdf</x:v>
      </x:c>
      <x:c r="L540" s="168" t="n">
        <x:v>226</x:v>
      </x:c>
      <x:c r="M540" s="168" t="str">
        <x:v>Comparative</x:v>
      </x:c>
      <x:c r="N540" s="171" t="str">
        <x:v>Printed amount independently located</x:v>
      </x:c>
      <x:c r="O540" s="171" t="str">
        <x:v>Exact source amount found; audited year/current-comparative column recorded. Accounting subtotal tests performed separately.</x:v>
      </x:c>
      <x:c r="P540" s="171" t="str">
        <x:v>ment 16  538,812   538,812 
 Short-term investments 17  12,751,155   16,227,103 
 Cash and bank balances 18  3,871,078   2,825,424 
     44,815,691   40,676,368 
TOTAL ASSETS   184,962,368   156,368,062 
EQUITY AND LIABILITIES 
SHARE CAPITAL AND RESERVES 
 Issued, subscribed and paid-up share capital 19  3,233,750   3,233,750 
 Reserv</x:v>
      </x:c>
    </x:row>
    <x:row r="541" ht="82" customHeight="1">
      <x:c r="A541" s="76" t="str">
        <x:v>LUCK|pr_CA|2022</x:v>
      </x:c>
      <x:c r="B541" s="76" t="str">
        <x:v>LUCK</x:v>
      </x:c>
      <x:c r="C541" s="76" t="str">
        <x:v>FY2022</x:v>
      </x:c>
      <x:c r="D541" s="76" t="str">
        <x:v>Printed total current assets</x:v>
      </x:c>
      <x:c r="E541" s="170" t="n">
        <x:v>44815691</x:v>
      </x:c>
      <x:c r="F541" s="170" t="n">
        <x:v>44815691</x:v>
      </x:c>
      <x:c r="G541" s="170" t="str">
        <x:v>PKR '000</x:v>
      </x:c>
      <x:c r="H541" s="170" t="n">
        <x:f>F541/1000</x:f>
        <x:v>44815.691</x:v>
      </x:c>
      <x:c r="I541" s="170" t="n">
        <x:f>LUCK!E77</x:f>
        <x:v>44815.691</x:v>
      </x:c>
      <x:c r="J541" s="170" t="n">
        <x:f>H541-I541</x:f>
        <x:v>0</x:v>
      </x:c>
      <x:c r="K541" s="76" t="str">
        <x:v>2023.pdf</x:v>
      </x:c>
      <x:c r="L541" s="76" t="n">
        <x:v>234</x:v>
      </x:c>
      <x:c r="M541" s="76" t="str">
        <x:v>Comparative</x:v>
      </x:c>
      <x:c r="N541" s="99" t="str">
        <x:v>Printed amount independently located</x:v>
      </x:c>
      <x:c r="O541" s="99" t="str">
        <x:v>Exact source amount found; audited year/current-comparative column recorded. Accounting subtotal tests performed separately.</x:v>
      </x:c>
      <x:c r="P541" s="99" t="str">
        <x:v>ment 16  538,812   538,812 
 Short-term investments 17  21,898,496   12,751,155 
 Cash and bank balances 18  4,116,181   3,871,078 
     59,576,642   44,815,691 
TOTAL ASSETS   213,079,067   184,962,368 
EQUITY AND LIABILITIES 
SHARE CAPITAL AND RESERVES 
 Issued, subscribed and paid-up share capital 19  3,118,386   3,233,750 
 Reserves</x:v>
      </x:c>
    </x:row>
    <x:row r="542" ht="82" customHeight="1">
      <x:c r="A542" s="168" t="str">
        <x:v>LUCK|pr_CA|2023</x:v>
      </x:c>
      <x:c r="B542" s="168" t="str">
        <x:v>LUCK</x:v>
      </x:c>
      <x:c r="C542" s="168" t="str">
        <x:v>FY2023</x:v>
      </x:c>
      <x:c r="D542" s="168" t="str">
        <x:v>Printed total current assets</x:v>
      </x:c>
      <x:c r="E542" s="169" t="n">
        <x:v>59576642</x:v>
      </x:c>
      <x:c r="F542" s="169" t="n">
        <x:v>59576642</x:v>
      </x:c>
      <x:c r="G542" s="169" t="str">
        <x:v>PKR '000</x:v>
      </x:c>
      <x:c r="H542" s="169" t="n">
        <x:f>F542/1000</x:f>
        <x:v>59576.642</x:v>
      </x:c>
      <x:c r="I542" s="169" t="n">
        <x:f>LUCK!F77</x:f>
        <x:v>59576.642</x:v>
      </x:c>
      <x:c r="J542" s="169" t="n">
        <x:f>H542-I542</x:f>
        <x:v>0</x:v>
      </x:c>
      <x:c r="K542" s="168" t="str">
        <x:v>2024.pdf</x:v>
      </x:c>
      <x:c r="L542" s="168" t="n">
        <x:v>238</x:v>
      </x:c>
      <x:c r="M542" s="168" t="str">
        <x:v>Comparative</x:v>
      </x:c>
      <x:c r="N542" s="171" t="str">
        <x:v>Printed amount independently located</x:v>
      </x:c>
      <x:c r="O542" s="171" t="str">
        <x:v>Exact source amount found; audited year/current-comparative column recorded. Accounting subtotal tests performed separately.</x:v>
      </x:c>
      <x:c r="P542" s="171" t="str">
        <x:v>538,812 
  538,812 
 Short-term investments
 17
  29,837,628 
  21,898,496 
 Cash and bank balances
 18
  2,567,176 
  4,116,181 
    68,452,084 
  59,576,642 
TOTAL ASSETS
   234,018,090 
  213,079,067 
EQUITY AND LIABILITIES
SHARE CAPITAL AND RESERVES
 Share capital
 19
  2,930,000 
  3,118,386 
 Reserves
 20
  144,831,277</x:v>
      </x:c>
    </x:row>
    <x:row r="543" ht="82" customHeight="1">
      <x:c r="A543" s="76" t="str">
        <x:v>LUCK|pr_CA|2024</x:v>
      </x:c>
      <x:c r="B543" s="76" t="str">
        <x:v>LUCK</x:v>
      </x:c>
      <x:c r="C543" s="76" t="str">
        <x:v>FY2024</x:v>
      </x:c>
      <x:c r="D543" s="76" t="str">
        <x:v>Printed total current assets</x:v>
      </x:c>
      <x:c r="E543" s="170" t="n">
        <x:v>68452084</x:v>
      </x:c>
      <x:c r="F543" s="170" t="n">
        <x:v>68452084</x:v>
      </x:c>
      <x:c r="G543" s="170" t="str">
        <x:v>PKR '000</x:v>
      </x:c>
      <x:c r="H543" s="170" t="n">
        <x:f>F543/1000</x:f>
        <x:v>68452.084</x:v>
      </x:c>
      <x:c r="I543" s="170" t="n">
        <x:f>LUCK!G77</x:f>
        <x:v>68452.084</x:v>
      </x:c>
      <x:c r="J543" s="170" t="n">
        <x:f>H543-I543</x:f>
        <x:v>0</x:v>
      </x:c>
      <x:c r="K543" s="76" t="str">
        <x:v>2025.pdf</x:v>
      </x:c>
      <x:c r="L543" s="76" t="n">
        <x:v>240</x:v>
      </x:c>
      <x:c r="M543" s="76" t="str">
        <x:v>Comparative</x:v>
      </x:c>
      <x:c r="N543" s="99" t="str">
        <x:v>Printed amount independently located</x:v>
      </x:c>
      <x:c r="O543" s="99" t="str">
        <x:v>Exact source amount found; audited year/current-comparative column recorded. Accounting subtotal tests performed separately.</x:v>
      </x:c>
      <x:c r="P543" s="99" t="str">
        <x:v>ent 15  538,812   538,812 
 Short-term investments 16  61,298,052   29,837,628 
 Cash and bank balances 17  2,790,323   2,567,176 
     100,547,359   68,452,084 
TOTAL ASSETS   266,748,030   234,018,090 
EQUITY AND LIABILITIES 
SHARE CAPITAL AND RESERVES 
 Share capital 18  2,930,000   2,930,000 
 Reserves 19  172,980,400   144,831,27</x:v>
      </x:c>
    </x:row>
    <x:row r="544" ht="82" customHeight="1">
      <x:c r="A544" s="168" t="str">
        <x:v>LUCK|pr_CA|2025</x:v>
      </x:c>
      <x:c r="B544" s="168" t="str">
        <x:v>LUCK</x:v>
      </x:c>
      <x:c r="C544" s="168" t="str">
        <x:v>FY2025</x:v>
      </x:c>
      <x:c r="D544" s="168" t="str">
        <x:v>Printed total current assets</x:v>
      </x:c>
      <x:c r="E544" s="169" t="n">
        <x:v>100547359</x:v>
      </x:c>
      <x:c r="F544" s="169" t="n">
        <x:v>100547359</x:v>
      </x:c>
      <x:c r="G544" s="169" t="str">
        <x:v>PKR '000</x:v>
      </x:c>
      <x:c r="H544" s="169" t="n">
        <x:f>F544/1000</x:f>
        <x:v>100547.359</x:v>
      </x:c>
      <x:c r="I544" s="169" t="n">
        <x:f>LUCK!H77</x:f>
        <x:v>100547.359</x:v>
      </x:c>
      <x:c r="J544" s="169" t="n">
        <x:f>H544-I544</x:f>
        <x:v>0</x:v>
      </x:c>
      <x:c r="K544" s="168" t="str">
        <x:v>2025.pdf</x:v>
      </x:c>
      <x:c r="L544" s="168" t="n">
        <x:v>240</x:v>
      </x:c>
      <x:c r="M544" s="168" t="str">
        <x:v>Current year</x:v>
      </x:c>
      <x:c r="N544" s="171" t="str">
        <x:v>Printed amount independently located</x:v>
      </x:c>
      <x:c r="O544" s="171" t="str">
        <x:v>Exact source amount found; audited year/current-comparative column recorded. Accounting subtotal tests performed separately.</x:v>
      </x:c>
      <x:c r="P544" s="171" t="str">
        <x:v>om the Government 15  538,812   538,812 
 Short-term investments 16  61,298,052   29,837,628 
 Cash and bank balances 17  2,790,323   2,567,176 
     100,547,359   68,452,084 
TOTAL ASSETS   266,748,030   234,018,090 
EQUITY AND LIABILITIES 
SHARE CAPITAL AND RESERVES 
 Share capital 18  2,930,000   2,930,000 
 Reserves 19  172,980,400</x:v>
      </x:c>
    </x:row>
    <x:row r="545" ht="82" customHeight="1">
      <x:c r="A545" s="76" t="str">
        <x:v>LUCK|pr_CL|2020</x:v>
      </x:c>
      <x:c r="B545" s="76" t="str">
        <x:v>LUCK</x:v>
      </x:c>
      <x:c r="C545" s="76" t="str">
        <x:v>FY2020</x:v>
      </x:c>
      <x:c r="D545" s="76" t="str">
        <x:v>Printed total current liabilities</x:v>
      </x:c>
      <x:c r="E545" s="170" t="n">
        <x:v>28955352</x:v>
      </x:c>
      <x:c r="F545" s="170" t="n">
        <x:v>28955352</x:v>
      </x:c>
      <x:c r="G545" s="170" t="str">
        <x:v>PKR '000</x:v>
      </x:c>
      <x:c r="H545" s="170" t="n">
        <x:f>F545/1000</x:f>
        <x:v>28955.352</x:v>
      </x:c>
      <x:c r="I545" s="170" t="n">
        <x:f>LUCK!C78</x:f>
        <x:v>28955.352</x:v>
      </x:c>
      <x:c r="J545" s="170" t="n">
        <x:f>H545-I545</x:f>
        <x:v>0</x:v>
      </x:c>
      <x:c r="K545" s="76" t="str">
        <x:v>2021.pdf</x:v>
      </x:c>
      <x:c r="L545" s="76" t="n">
        <x:v>191</x:v>
      </x:c>
      <x:c r="M545" s="76" t="str">
        <x:v>Comparative</x:v>
      </x:c>
      <x:c r="N545" s="99" t="str">
        <x:v>Printed amount independently located</x:v>
      </x:c>
      <x:c r="O545" s="99" t="str">
        <x:v>Exact source amount found; audited year/current-comparative column recorded. Accounting subtotal tests performed separately.</x:v>
      </x:c>
      <x:c r="P545" s="99" t="str">
        <x:v>55,767 
 Unpaid dividend
 27
 –   
  17,580 
 Accrued markup
   70,868 
  46,173 
 T
axation - net
   1,916,072 
  1,422,867 
    30,387,066 
  28,955,352 
    43,167,804 
  36,684,613 
CONTINGENCIES AND COMMITMENTS
 28
TOT
AL EQUITY AND LIABILITIES
   156,368,062 
  135,868,474 
The annexed notes from 1 to 47 form an integral par</x:v>
      </x:c>
    </x:row>
    <x:row r="546" ht="82" customHeight="1">
      <x:c r="A546" s="168" t="str">
        <x:v>LUCK|pr_CL|2021</x:v>
      </x:c>
      <x:c r="B546" s="168" t="str">
        <x:v>LUCK</x:v>
      </x:c>
      <x:c r="C546" s="168" t="str">
        <x:v>FY2021</x:v>
      </x:c>
      <x:c r="D546" s="168" t="str">
        <x:v>Printed total current liabilities</x:v>
      </x:c>
      <x:c r="E546" s="169" t="n">
        <x:v>30387066</x:v>
      </x:c>
      <x:c r="F546" s="169" t="n">
        <x:v>30387066</x:v>
      </x:c>
      <x:c r="G546" s="169" t="str">
        <x:v>PKR '000</x:v>
      </x:c>
      <x:c r="H546" s="169" t="n">
        <x:f>F546/1000</x:f>
        <x:v>30387.066</x:v>
      </x:c>
      <x:c r="I546" s="169" t="n">
        <x:f>LUCK!D78</x:f>
        <x:v>30387.066</x:v>
      </x:c>
      <x:c r="J546" s="169" t="n">
        <x:f>H546-I546</x:f>
        <x:v>0</x:v>
      </x:c>
      <x:c r="K546" s="168" t="str">
        <x:v>2022.pdf</x:v>
      </x:c>
      <x:c r="L546" s="168" t="n">
        <x:v>226</x:v>
      </x:c>
      <x:c r="M546" s="168" t="str">
        <x:v>Comparative</x:v>
      </x:c>
      <x:c r="N546" s="171" t="str">
        <x:v>Printed amount independently located</x:v>
      </x:c>
      <x:c r="O546" s="171" t="str">
        <x:v>Exact source amount found; audited year/current-comparative column recorded. Accounting subtotal tests performed separately.</x:v>
      </x:c>
      <x:c r="P546" s="171" t="str">
        <x:v>0   7,050,000 
 Unclaimed dividend   51,030   53,458 
 Accrued markup   135,452   70,868 
 T axation - net   5,496,191   1,916,072 
     30,361,358   30,387,066 
     56,422,044   43,167,804 
TOTAL EQUITY AND LIABILITIES   184,962,368   156,368,062
CONTINGENCIES AND COMMITMENTS 27
The annexed notes from 1 to 46 form an integral part of</x:v>
      </x:c>
    </x:row>
    <x:row r="547" ht="82" customHeight="1">
      <x:c r="A547" s="76" t="str">
        <x:v>LUCK|pr_CL|2022</x:v>
      </x:c>
      <x:c r="B547" s="76" t="str">
        <x:v>LUCK</x:v>
      </x:c>
      <x:c r="C547" s="76" t="str">
        <x:v>FY2022</x:v>
      </x:c>
      <x:c r="D547" s="76" t="str">
        <x:v>Printed total current liabilities</x:v>
      </x:c>
      <x:c r="E547" s="170" t="n">
        <x:v>30361358</x:v>
      </x:c>
      <x:c r="F547" s="170" t="n">
        <x:v>30361358</x:v>
      </x:c>
      <x:c r="G547" s="170" t="str">
        <x:v>PKR '000</x:v>
      </x:c>
      <x:c r="H547" s="170" t="n">
        <x:f>F547/1000</x:f>
        <x:v>30361.358</x:v>
      </x:c>
      <x:c r="I547" s="170" t="n">
        <x:f>LUCK!E78</x:f>
        <x:v>30361.358</x:v>
      </x:c>
      <x:c r="J547" s="170" t="n">
        <x:f>H547-I547</x:f>
        <x:v>0</x:v>
      </x:c>
      <x:c r="K547" s="76" t="str">
        <x:v>2023.pdf</x:v>
      </x:c>
      <x:c r="L547" s="76" t="n">
        <x:v>234</x:v>
      </x:c>
      <x:c r="M547" s="76" t="str">
        <x:v>Comparative</x:v>
      </x:c>
      <x:c r="N547" s="99" t="str">
        <x:v>Printed amount independently located</x:v>
      </x:c>
      <x:c r="O547" s="99" t="str">
        <x:v>Exact source amount found; audited year/current-comparative column recorded. Accounting subtotal tests performed separately.</x:v>
      </x:c>
      <x:c r="P547" s="99" t="str">
        <x:v>0   1,000,000 
 Unclaimed dividend   50,115   51,030 
 Accrued markup   497,745   135,452 
 Taxation - net   9,229,664   5,496,191 
     46,180,879   30,361,358 
     75,712,741   56,422,044 
TOTAL EQUITY AND LIABILITIES   213,079,067   184,962,368
CONTINGENCIES AND COMMITMENTS 27
The annexed notes from 1 to 46 form an integral part of th</x:v>
      </x:c>
    </x:row>
    <x:row r="548" ht="82" customHeight="1">
      <x:c r="A548" s="168" t="str">
        <x:v>LUCK|pr_CL|2023</x:v>
      </x:c>
      <x:c r="B548" s="168" t="str">
        <x:v>LUCK</x:v>
      </x:c>
      <x:c r="C548" s="168" t="str">
        <x:v>FY2023</x:v>
      </x:c>
      <x:c r="D548" s="168" t="str">
        <x:v>Printed total current liabilities</x:v>
      </x:c>
      <x:c r="E548" s="169" t="n">
        <x:v>46180879</x:v>
      </x:c>
      <x:c r="F548" s="169" t="n">
        <x:v>46180879</x:v>
      </x:c>
      <x:c r="G548" s="169" t="str">
        <x:v>PKR '000</x:v>
      </x:c>
      <x:c r="H548" s="169" t="n">
        <x:f>F548/1000</x:f>
        <x:v>46180.879</x:v>
      </x:c>
      <x:c r="I548" s="169" t="n">
        <x:f>LUCK!F78</x:f>
        <x:v>46180.879</x:v>
      </x:c>
      <x:c r="J548" s="169" t="n">
        <x:f>H548-I548</x:f>
        <x:v>0</x:v>
      </x:c>
      <x:c r="K548" s="168" t="str">
        <x:v>2024.pdf</x:v>
      </x:c>
      <x:c r="L548" s="168" t="n">
        <x:v>238</x:v>
      </x:c>
      <x:c r="M548" s="168" t="str">
        <x:v>Comparative</x:v>
      </x:c>
      <x:c r="N548" s="171" t="str">
        <x:v>Printed amount independently located</x:v>
      </x:c>
      <x:c r="O548" s="171" t="str">
        <x:v>Exact source amount found; audited year/current-comparative column recorded. Accounting subtotal tests performed separately.</x:v>
      </x:c>
      <x:c r="P548" s="171" t="str">
        <x:v>,000 
 Unclaimed dividend
   59,148 
  50,115 
 Accrued markup
   342,935 
  497,745 
 Taxation - net
   16,195,618 
  9,229,664 
    54,188,473 
  46,180,879 
    86,256,813 
  75,712,741 
TOTAL EQUITY AND LIABILITIES
   234,018,090 
  213,079,067
CONTINGENCIES AND COMMITMENTS
27
The annexed notes from 1 to 46 form an integral part</x:v>
      </x:c>
    </x:row>
    <x:row r="549" ht="82" customHeight="1">
      <x:c r="A549" s="76" t="str">
        <x:v>LUCK|pr_CL|2024</x:v>
      </x:c>
      <x:c r="B549" s="76" t="str">
        <x:v>LUCK</x:v>
      </x:c>
      <x:c r="C549" s="76" t="str">
        <x:v>FY2024</x:v>
      </x:c>
      <x:c r="D549" s="76" t="str">
        <x:v>Printed total current liabilities</x:v>
      </x:c>
      <x:c r="E549" s="170" t="n">
        <x:v>54188473</x:v>
      </x:c>
      <x:c r="F549" s="170" t="n">
        <x:v>54188473</x:v>
      </x:c>
      <x:c r="G549" s="170" t="str">
        <x:v>PKR '000</x:v>
      </x:c>
      <x:c r="H549" s="170" t="n">
        <x:f>F549/1000</x:f>
        <x:v>54188.473</x:v>
      </x:c>
      <x:c r="I549" s="170" t="n">
        <x:f>LUCK!G78</x:f>
        <x:v>54188.473</x:v>
      </x:c>
      <x:c r="J549" s="170" t="n">
        <x:f>H549-I549</x:f>
        <x:v>0</x:v>
      </x:c>
      <x:c r="K549" s="76" t="str">
        <x:v>2025.pdf</x:v>
      </x:c>
      <x:c r="L549" s="76" t="n">
        <x:v>240</x:v>
      </x:c>
      <x:c r="M549" s="76" t="str">
        <x:v>Comparative</x:v>
      </x:c>
      <x:c r="N549" s="99" t="str">
        <x:v>Printed amount independently located</x:v>
      </x:c>
      <x:c r="O549" s="99" t="str">
        <x:v>Exact source amount found; audited year/current-comparative column recorded. Accounting subtotal tests performed separately.</x:v>
      </x:c>
      <x:c r="P549" s="99" t="str">
        <x:v>5,485,000 
 Unclaimed dividend   65,745   59,148 
 Accrued markup   185,616   342,935 
 Taxation - net   22,738,018   16,195,618 
     58,641,383   54,188,473 
     90,837,630   86,256,813
TOTAL EQUITY AND LIABILITIES   266,748,030   234,018,090 
CONTINGENCIES AND COMMITMENTS 26
The annexed notes from 1 to 46 form an integral part of th</x:v>
      </x:c>
    </x:row>
    <x:row r="550" ht="82" customHeight="1">
      <x:c r="A550" s="168" t="str">
        <x:v>LUCK|pr_CL|2025</x:v>
      </x:c>
      <x:c r="B550" s="168" t="str">
        <x:v>LUCK</x:v>
      </x:c>
      <x:c r="C550" s="168" t="str">
        <x:v>FY2025</x:v>
      </x:c>
      <x:c r="D550" s="168" t="str">
        <x:v>Printed total current liabilities</x:v>
      </x:c>
      <x:c r="E550" s="169" t="n">
        <x:v>58641383</x:v>
      </x:c>
      <x:c r="F550" s="169" t="n">
        <x:v>58641383</x:v>
      </x:c>
      <x:c r="G550" s="169" t="str">
        <x:v>PKR '000</x:v>
      </x:c>
      <x:c r="H550" s="169" t="n">
        <x:f>F550/1000</x:f>
        <x:v>58641.383</x:v>
      </x:c>
      <x:c r="I550" s="169" t="n">
        <x:f>LUCK!H78</x:f>
        <x:v>58641.383</x:v>
      </x:c>
      <x:c r="J550" s="169" t="n">
        <x:f>H550-I550</x:f>
        <x:v>0</x:v>
      </x:c>
      <x:c r="K550" s="168" t="str">
        <x:v>2025.pdf</x:v>
      </x:c>
      <x:c r="L550" s="168" t="n">
        <x:v>240</x:v>
      </x:c>
      <x:c r="M550" s="168" t="str">
        <x:v>Current year</x:v>
      </x:c>
      <x:c r="N550" s="171" t="str">
        <x:v>Printed amount independently located</x:v>
      </x:c>
      <x:c r="O550" s="171" t="str">
        <x:v>Exact source amount found; audited year/current-comparative column recorded. Accounting subtotal tests performed separately.</x:v>
      </x:c>
      <x:c r="P550" s="171" t="str">
        <x:v>5  6,485,000   5,485,000 
 Unclaimed dividend   65,745   59,148 
 Accrued markup   185,616   342,935 
 Taxation - net   22,738,018   16,195,618 
     58,641,383   54,188,473 
     90,837,630   86,256,813
TOTAL EQUITY AND LIABILITIES   266,748,030   234,018,090 
CONTINGENCIES AND COMMITMENTS 26
The annexed notes from 1 to 46 form an integr</x:v>
      </x:c>
    </x:row>
    <x:row r="551" ht="82" customHeight="1">
      <x:c r="A551" s="76" t="str">
        <x:v>LUCK|rev|2021</x:v>
      </x:c>
      <x:c r="B551" s="76" t="str">
        <x:v>LUCK</x:v>
      </x:c>
      <x:c r="C551" s="76" t="str">
        <x:v>FY2021</x:v>
      </x:c>
      <x:c r="D551" s="76" t="str">
        <x:v>Revenue / net sales</x:v>
      </x:c>
      <x:c r="E551" s="170" t="n">
        <x:v>62940805</x:v>
      </x:c>
      <x:c r="F551" s="170" t="n">
        <x:v>62940805</x:v>
      </x:c>
      <x:c r="G551" s="170" t="str">
        <x:v>PKR '000</x:v>
      </x:c>
      <x:c r="H551" s="170" t="n">
        <x:f>F551/1000</x:f>
        <x:v>62940.805</x:v>
      </x:c>
      <x:c r="I551" s="170" t="n">
        <x:f>LUCK!D84</x:f>
        <x:v>62940.805</x:v>
      </x:c>
      <x:c r="J551" s="170" t="n">
        <x:f>H551-I551</x:f>
        <x:v>0</x:v>
      </x:c>
      <x:c r="K551" s="76" t="str">
        <x:v>2022.pdf</x:v>
      </x:c>
      <x:c r="L551" s="76" t="n">
        <x:v>227</x:v>
      </x:c>
      <x:c r="M551" s="76" t="str">
        <x:v>Comparative</x:v>
      </x:c>
      <x:c r="N551" s="99" t="str">
        <x:v>Printed amount independently located</x:v>
      </x:c>
      <x:c r="O551" s="99" t="str">
        <x:v>Exact source amount found; audited year/current-comparative column recorded. Accounting subtotal tests performed separately.</x:v>
      </x:c>
      <x:c r="P551" s="99" t="str">
        <x:v>ty   26,133,535   23,861,689 
     Rebates, incentives and commission   1,373,885   1,555,201 
     27,507,420   25,416,890 
Net sales   81,093,525   62,940,805 
Cost of sales 29  (58,541,684)  (43,984,873)
Gross profit   22,551,841   18,955,932 
Distribution cost 30  (4,764,574)  (4,859,096)
Administrative expenses 31  (1,512,279)  (1,</x:v>
      </x:c>
    </x:row>
    <x:row r="552" ht="82" customHeight="1">
      <x:c r="A552" s="168" t="str">
        <x:v>LUCK|rev|2022</x:v>
      </x:c>
      <x:c r="B552" s="168" t="str">
        <x:v>LUCK</x:v>
      </x:c>
      <x:c r="C552" s="168" t="str">
        <x:v>FY2022</x:v>
      </x:c>
      <x:c r="D552" s="168" t="str">
        <x:v>Revenue / net sales</x:v>
      </x:c>
      <x:c r="E552" s="169" t="n">
        <x:v>81093525</x:v>
      </x:c>
      <x:c r="F552" s="169" t="n">
        <x:v>81093525</x:v>
      </x:c>
      <x:c r="G552" s="169" t="str">
        <x:v>PKR '000</x:v>
      </x:c>
      <x:c r="H552" s="169" t="n">
        <x:f>F552/1000</x:f>
        <x:v>81093.525</x:v>
      </x:c>
      <x:c r="I552" s="169" t="n">
        <x:f>LUCK!E84</x:f>
        <x:v>81093.525</x:v>
      </x:c>
      <x:c r="J552" s="169" t="n">
        <x:f>H552-I552</x:f>
        <x:v>0</x:v>
      </x:c>
      <x:c r="K552" s="168" t="str">
        <x:v>2023.pdf</x:v>
      </x:c>
      <x:c r="L552" s="168" t="n">
        <x:v>235</x:v>
      </x:c>
      <x:c r="M552" s="168" t="str">
        <x:v>Comparative</x:v>
      </x:c>
      <x:c r="N552" s="171" t="str">
        <x:v>Printed amount independently located</x:v>
      </x:c>
      <x:c r="O552" s="171" t="str">
        <x:v>Exact source amount found; audited year/current-comparative column recorded. Accounting subtotal tests performed separately.</x:v>
      </x:c>
      <x:c r="P552" s="171" t="str">
        <x:v>ty   28,481,690   26,133,535 
     Rebates, incentives and commission   1,505,535   1,373,885 
     29,987,225   27,507,420 
Net sales   95,832,147   81,093,525 
Cost of sales 29  (69,771,469)  (58,541,684)
Gross profit   26,060,678   22,551,841 
Distribution cost 30  (5,326,894)  (4,764,574)
Administrative expenses 31  (1,825,578)  (1,</x:v>
      </x:c>
    </x:row>
    <x:row r="553" ht="82" customHeight="1">
      <x:c r="A553" s="76" t="str">
        <x:v>LUCK|rev|2023</x:v>
      </x:c>
      <x:c r="B553" s="76" t="str">
        <x:v>LUCK</x:v>
      </x:c>
      <x:c r="C553" s="76" t="str">
        <x:v>FY2023</x:v>
      </x:c>
      <x:c r="D553" s="76" t="str">
        <x:v>Revenue / net sales</x:v>
      </x:c>
      <x:c r="E553" s="170" t="n">
        <x:v>95832147</x:v>
      </x:c>
      <x:c r="F553" s="170" t="n">
        <x:v>95832147</x:v>
      </x:c>
      <x:c r="G553" s="170" t="str">
        <x:v>PKR '000</x:v>
      </x:c>
      <x:c r="H553" s="170" t="n">
        <x:f>F553/1000</x:f>
        <x:v>95832.147</x:v>
      </x:c>
      <x:c r="I553" s="170" t="n">
        <x:f>LUCK!F84</x:f>
        <x:v>95832.147</x:v>
      </x:c>
      <x:c r="J553" s="170" t="n">
        <x:f>H553-I553</x:f>
        <x:v>0</x:v>
      </x:c>
      <x:c r="K553" s="76" t="str">
        <x:v>2024.pdf</x:v>
      </x:c>
      <x:c r="L553" s="76" t="n">
        <x:v>239</x:v>
      </x:c>
      <x:c r="M553" s="76" t="str">
        <x:v>Comparative</x:v>
      </x:c>
      <x:c r="N553" s="99" t="str">
        <x:v>Printed amount independently located</x:v>
      </x:c>
      <x:c r="O553" s="99" t="str">
        <x:v>Exact source amount found; audited year/current-comparative column recorded. Accounting subtotal tests performed separately.</x:v>
      </x:c>
      <x:c r="P553" s="99" t="str">
        <x:v>7,688 
  28,481,690 
    Rebates, incentives and commission
   2,205,541 
  1,505,535 
   36,483,229 
  29,987,225 
Net sales
 115,324,942 
  95,832,147 
Cost of sales
 29
  (76,520,370)
  (69,771,469)
Gross profit
   38,804,572 
  26,060,678 
Distribution cost
 30
  (7,773,885)
  (5,326,894)
Administrative expenses
 31
  (2,1</x:v>
      </x:c>
    </x:row>
    <x:row r="554" ht="82" customHeight="1">
      <x:c r="A554" s="168" t="str">
        <x:v>LUCK|rev|2024</x:v>
      </x:c>
      <x:c r="B554" s="168" t="str">
        <x:v>LUCK</x:v>
      </x:c>
      <x:c r="C554" s="168" t="str">
        <x:v>FY2024</x:v>
      </x:c>
      <x:c r="D554" s="168" t="str">
        <x:v>Revenue / net sales</x:v>
      </x:c>
      <x:c r="E554" s="169" t="n">
        <x:v>115324942</x:v>
      </x:c>
      <x:c r="F554" s="169" t="n">
        <x:v>115324942</x:v>
      </x:c>
      <x:c r="G554" s="169" t="str">
        <x:v>PKR '000</x:v>
      </x:c>
      <x:c r="H554" s="169" t="n">
        <x:f>F554/1000</x:f>
        <x:v>115324.942</x:v>
      </x:c>
      <x:c r="I554" s="169" t="n">
        <x:f>LUCK!G84</x:f>
        <x:v>115324.942</x:v>
      </x:c>
      <x:c r="J554" s="169" t="n">
        <x:f>H554-I554</x:f>
        <x:v>0</x:v>
      </x:c>
      <x:c r="K554" s="168" t="str">
        <x:v>2025.pdf</x:v>
      </x:c>
      <x:c r="L554" s="168" t="n">
        <x:v>241</x:v>
      </x:c>
      <x:c r="M554" s="168" t="str">
        <x:v>Comparative</x:v>
      </x:c>
      <x:c r="N554" s="171" t="str">
        <x:v>Printed amount independently located</x:v>
      </x:c>
      <x:c r="O554" s="171" t="str">
        <x:v>Exact source amount found; audited year/current-comparative column recorded. Accounting subtotal tests performed separately.</x:v>
      </x:c>
      <x:c r="P554" s="171" t="str">
        <x:v>47,513,376   34,277,688 
     Rebates, incentives and commission   2,276,944   2,205,541 
     49,790,320   36,483,229 
Net Revenue   124,511,744   115,324,942 
Cost of sales 28  (81,827,060)  (76,520,370)
Gross profit   42,684,684   38,804,572 
Distribution costs 29  (8,972,815)  (7,773,885)
Administrative expenses 30  (2,427,249)  (2,1</x:v>
      </x:c>
    </x:row>
    <x:row r="555" ht="82" customHeight="1">
      <x:c r="A555" s="76" t="str">
        <x:v>LUCK|rev|2025</x:v>
      </x:c>
      <x:c r="B555" s="76" t="str">
        <x:v>LUCK</x:v>
      </x:c>
      <x:c r="C555" s="76" t="str">
        <x:v>FY2025</x:v>
      </x:c>
      <x:c r="D555" s="76" t="str">
        <x:v>Revenue / net sales</x:v>
      </x:c>
      <x:c r="E555" s="170" t="n">
        <x:v>124511744</x:v>
      </x:c>
      <x:c r="F555" s="170" t="n">
        <x:v>124511744</x:v>
      </x:c>
      <x:c r="G555" s="170" t="str">
        <x:v>PKR '000</x:v>
      </x:c>
      <x:c r="H555" s="170" t="n">
        <x:f>F555/1000</x:f>
        <x:v>124511.744</x:v>
      </x:c>
      <x:c r="I555" s="170" t="n">
        <x:f>LUCK!H84</x:f>
        <x:v>124511.744</x:v>
      </x:c>
      <x:c r="J555" s="170" t="n">
        <x:f>H555-I555</x:f>
        <x:v>0</x:v>
      </x:c>
      <x:c r="K555" s="76" t="str">
        <x:v>2025.pdf</x:v>
      </x:c>
      <x:c r="L555" s="76" t="n">
        <x:v>241</x:v>
      </x:c>
      <x:c r="M555" s="76" t="str">
        <x:v>Current year</x:v>
      </x:c>
      <x:c r="N555" s="99" t="str">
        <x:v>Printed amount independently located</x:v>
      </x:c>
      <x:c r="O555" s="99" t="str">
        <x:v>Exact source amount found; audited year/current-comparative column recorded. Accounting subtotal tests performed separately.</x:v>
      </x:c>
      <x:c r="P555" s="99" t="str">
        <x:v>l excise duty   47,513,376   34,277,688 
     Rebates, incentives and commission   2,276,944   2,205,541 
     49,790,320   36,483,229 
Net Revenue   124,511,744   115,324,942 
Cost of sales 28  (81,827,060)  (76,520,370)
Gross profit   42,684,684   38,804,572 
Distribution costs 29  (8,972,815)  (7,773,885)
Administrative expenses 30  (2,</x:v>
      </x:c>
    </x:row>
    <x:row r="556" ht="82" customHeight="1">
      <x:c r="A556" s="168" t="str">
        <x:v>LUCK|cogs|2021</x:v>
      </x:c>
      <x:c r="B556" s="168" t="str">
        <x:v>LUCK</x:v>
      </x:c>
      <x:c r="C556" s="168" t="str">
        <x:v>FY2021</x:v>
      </x:c>
      <x:c r="D556" s="168" t="str">
        <x:v>Cost of sales</x:v>
      </x:c>
      <x:c r="E556" s="169" t="n">
        <x:v>-43984873</x:v>
      </x:c>
      <x:c r="F556" s="169" t="n">
        <x:v>-43984873</x:v>
      </x:c>
      <x:c r="G556" s="169" t="str">
        <x:v>PKR '000</x:v>
      </x:c>
      <x:c r="H556" s="169" t="n">
        <x:f>F556/1000</x:f>
        <x:v>-43984.873</x:v>
      </x:c>
      <x:c r="I556" s="169" t="n">
        <x:f>LUCK!D85</x:f>
        <x:v>-43984.873</x:v>
      </x:c>
      <x:c r="J556" s="169" t="n">
        <x:f>H556-I556</x:f>
        <x:v>0</x:v>
      </x:c>
      <x:c r="K556" s="168" t="str">
        <x:v>2022.pdf</x:v>
      </x:c>
      <x:c r="L556" s="168" t="n">
        <x:v>227</x:v>
      </x:c>
      <x:c r="M556" s="168" t="str">
        <x:v>Comparative</x:v>
      </x:c>
      <x:c r="N556" s="171" t="str">
        <x:v>Printed amount independently located</x:v>
      </x:c>
      <x:c r="O556" s="171" t="str">
        <x:v>Exact source amount found; audited year/current-comparative column recorded. Accounting subtotal tests performed separately.</x:v>
      </x:c>
      <x:c r="P556" s="171" t="str">
        <x:v>incentives and commission   1,373,885   1,555,201 
     27,507,420   25,416,890 
Net sales   81,093,525   62,940,805 
Cost of sales 29  (58,541,684)  (43,984,873)
Gross profit   22,551,841   18,955,932 
Distribution cost 30  (4,764,574)  (4,859,096)
Administrative expenses 31  (1,512,279)  (1,257,074)
Finance costs 32  (394,517)  (332,905</x:v>
      </x:c>
    </x:row>
    <x:row r="557" ht="82" customHeight="1">
      <x:c r="A557" s="76" t="str">
        <x:v>LUCK|cogs|2022</x:v>
      </x:c>
      <x:c r="B557" s="76" t="str">
        <x:v>LUCK</x:v>
      </x:c>
      <x:c r="C557" s="76" t="str">
        <x:v>FY2022</x:v>
      </x:c>
      <x:c r="D557" s="76" t="str">
        <x:v>Cost of sales</x:v>
      </x:c>
      <x:c r="E557" s="170" t="n">
        <x:v>-58541684</x:v>
      </x:c>
      <x:c r="F557" s="170" t="n">
        <x:v>-58541684</x:v>
      </x:c>
      <x:c r="G557" s="170" t="str">
        <x:v>PKR '000</x:v>
      </x:c>
      <x:c r="H557" s="170" t="n">
        <x:f>F557/1000</x:f>
        <x:v>-58541.684</x:v>
      </x:c>
      <x:c r="I557" s="170" t="n">
        <x:f>LUCK!E85</x:f>
        <x:v>-58541.684</x:v>
      </x:c>
      <x:c r="J557" s="170" t="n">
        <x:f>H557-I557</x:f>
        <x:v>0</x:v>
      </x:c>
      <x:c r="K557" s="76" t="str">
        <x:v>2023.pdf</x:v>
      </x:c>
      <x:c r="L557" s="76" t="n">
        <x:v>235</x:v>
      </x:c>
      <x:c r="M557" s="76" t="str">
        <x:v>Comparative</x:v>
      </x:c>
      <x:c r="N557" s="99" t="str">
        <x:v>Printed amount independently located</x:v>
      </x:c>
      <x:c r="O557" s="99" t="str">
        <x:v>Exact source amount found; audited year/current-comparative column recorded. Accounting subtotal tests performed separately.</x:v>
      </x:c>
      <x:c r="P557" s="99" t="str">
        <x:v>incentives and commission   1,505,535   1,373,885 
     29,987,225   27,507,420 
Net sales   95,832,147   81,093,525 
Cost of sales 29  (69,771,469)  (58,541,684)
Gross profit   26,060,678   22,551,841 
Distribution cost 30  (5,326,894)  (4,764,574)
Administrative expenses 31  (1,825,578)  (1,512,279)
Finance costs 32  (1,169,770)  (394,5</x:v>
      </x:c>
    </x:row>
    <x:row r="558" ht="82" customHeight="1">
      <x:c r="A558" s="168" t="str">
        <x:v>LUCK|cogs|2023</x:v>
      </x:c>
      <x:c r="B558" s="168" t="str">
        <x:v>LUCK</x:v>
      </x:c>
      <x:c r="C558" s="168" t="str">
        <x:v>FY2023</x:v>
      </x:c>
      <x:c r="D558" s="168" t="str">
        <x:v>Cost of sales</x:v>
      </x:c>
      <x:c r="E558" s="169" t="n">
        <x:v>-69771469</x:v>
      </x:c>
      <x:c r="F558" s="169" t="n">
        <x:v>-69771469</x:v>
      </x:c>
      <x:c r="G558" s="169" t="str">
        <x:v>PKR '000</x:v>
      </x:c>
      <x:c r="H558" s="169" t="n">
        <x:f>F558/1000</x:f>
        <x:v>-69771.469</x:v>
      </x:c>
      <x:c r="I558" s="169" t="n">
        <x:f>LUCK!F85</x:f>
        <x:v>-69771.469</x:v>
      </x:c>
      <x:c r="J558" s="169" t="n">
        <x:f>H558-I558</x:f>
        <x:v>0</x:v>
      </x:c>
      <x:c r="K558" s="168" t="str">
        <x:v>2024.pdf</x:v>
      </x:c>
      <x:c r="L558" s="168" t="n">
        <x:v>239</x:v>
      </x:c>
      <x:c r="M558" s="168" t="str">
        <x:v>Comparative</x:v>
      </x:c>
      <x:c r="N558" s="171" t="str">
        <x:v>Printed amount independently located</x:v>
      </x:c>
      <x:c r="O558" s="171" t="str">
        <x:v>Exact source amount found; audited year/current-comparative column recorded. Accounting subtotal tests performed separately.</x:v>
      </x:c>
      <x:c r="P558" s="171" t="str">
        <x:v>and commission
   2,205,541 
  1,505,535 
   36,483,229 
  29,987,225 
Net sales
 115,324,942 
  95,832,147 
Cost of sales
 29
  (76,520,370)
  (69,771,469)
Gross profit
   38,804,572 
  26,060,678 
Distribution cost
 30
  (7,773,885)
  (5,326,894)
Administrative expenses
 31
  (2,160,682)
  (1,825,578)
Finance cost
 32
  (1,581,1</x:v>
      </x:c>
    </x:row>
    <x:row r="559" ht="82" customHeight="1">
      <x:c r="A559" s="76" t="str">
        <x:v>LUCK|cogs|2024</x:v>
      </x:c>
      <x:c r="B559" s="76" t="str">
        <x:v>LUCK</x:v>
      </x:c>
      <x:c r="C559" s="76" t="str">
        <x:v>FY2024</x:v>
      </x:c>
      <x:c r="D559" s="76" t="str">
        <x:v>Cost of sales</x:v>
      </x:c>
      <x:c r="E559" s="170" t="n">
        <x:v>-76520370</x:v>
      </x:c>
      <x:c r="F559" s="170" t="n">
        <x:v>-76520370</x:v>
      </x:c>
      <x:c r="G559" s="170" t="str">
        <x:v>PKR '000</x:v>
      </x:c>
      <x:c r="H559" s="170" t="n">
        <x:f>F559/1000</x:f>
        <x:v>-76520.37</x:v>
      </x:c>
      <x:c r="I559" s="170" t="n">
        <x:f>LUCK!G85</x:f>
        <x:v>-76520.37</x:v>
      </x:c>
      <x:c r="J559" s="170" t="n">
        <x:f>H559-I559</x:f>
        <x:v>0</x:v>
      </x:c>
      <x:c r="K559" s="76" t="str">
        <x:v>2025.pdf</x:v>
      </x:c>
      <x:c r="L559" s="76" t="n">
        <x:v>241</x:v>
      </x:c>
      <x:c r="M559" s="76" t="str">
        <x:v>Comparative</x:v>
      </x:c>
      <x:c r="N559" s="99" t="str">
        <x:v>Printed amount independently located</x:v>
      </x:c>
      <x:c r="O559" s="99" t="str">
        <x:v>Exact source amount found; audited year/current-comparative column recorded. Accounting subtotal tests performed separately.</x:v>
      </x:c>
      <x:c r="P559" s="99" t="str">
        <x:v>ntives and commission   2,276,944   2,205,541 
     49,790,320   36,483,229 
Net Revenue   124,511,744   115,324,942 
Cost of sales 28  (81,827,060)  (76,520,370)
Gross profit   42,684,684   38,804,572 
Distribution costs 29  (8,972,815)  (7,773,885)
Administrative expenses 30  (2,427,249)  (2,160,682)
Finance costs 31  (1,370,569)  (1,581,</x:v>
      </x:c>
    </x:row>
    <x:row r="560" ht="82" customHeight="1">
      <x:c r="A560" s="168" t="str">
        <x:v>LUCK|cogs|2025</x:v>
      </x:c>
      <x:c r="B560" s="168" t="str">
        <x:v>LUCK</x:v>
      </x:c>
      <x:c r="C560" s="168" t="str">
        <x:v>FY2025</x:v>
      </x:c>
      <x:c r="D560" s="168" t="str">
        <x:v>Cost of sales</x:v>
      </x:c>
      <x:c r="E560" s="169" t="n">
        <x:v>-81827060</x:v>
      </x:c>
      <x:c r="F560" s="169" t="n">
        <x:v>-81827060</x:v>
      </x:c>
      <x:c r="G560" s="169" t="str">
        <x:v>PKR '000</x:v>
      </x:c>
      <x:c r="H560" s="169" t="n">
        <x:f>F560/1000</x:f>
        <x:v>-81827.06</x:v>
      </x:c>
      <x:c r="I560" s="169" t="n">
        <x:f>LUCK!H85</x:f>
        <x:v>-81827.06</x:v>
      </x:c>
      <x:c r="J560" s="169" t="n">
        <x:f>H560-I560</x:f>
        <x:v>0</x:v>
      </x:c>
      <x:c r="K560" s="168" t="str">
        <x:v>2025.pdf</x:v>
      </x:c>
      <x:c r="L560" s="168" t="n">
        <x:v>241</x:v>
      </x:c>
      <x:c r="M560" s="168" t="str">
        <x:v>Current year</x:v>
      </x:c>
      <x:c r="N560" s="171" t="str">
        <x:v>Printed amount independently located</x:v>
      </x:c>
      <x:c r="O560" s="171" t="str">
        <x:v>Exact source amount found; audited year/current-comparative column recorded. Accounting subtotal tests performed separately.</x:v>
      </x:c>
      <x:c r="P560" s="171" t="str">
        <x:v>Rebates, incentives and commission   2,276,944   2,205,541 
     49,790,320   36,483,229 
Net Revenue   124,511,744   115,324,942 
Cost of sales 28  (81,827,060)  (76,520,370)
Gross profit   42,684,684   38,804,572 
Distribution costs 29  (8,972,815)  (7,773,885)
Administrative expenses 30  (2,427,249)  (2,160,682)
Finance costs 31  (1,370</x:v>
      </x:c>
    </x:row>
    <x:row r="561" ht="82" customHeight="1">
      <x:c r="A561" s="76" t="str">
        <x:v>LUCK|selling|2021</x:v>
      </x:c>
      <x:c r="B561" s="76" t="str">
        <x:v>LUCK</x:v>
      </x:c>
      <x:c r="C561" s="76" t="str">
        <x:v>FY2021</x:v>
      </x:c>
      <x:c r="D561" s="76" t="str">
        <x:v>Selling and distribution expenses</x:v>
      </x:c>
      <x:c r="E561" s="170" t="n">
        <x:v>-4859096</x:v>
      </x:c>
      <x:c r="F561" s="170" t="n">
        <x:v>-4859096</x:v>
      </x:c>
      <x:c r="G561" s="170" t="str">
        <x:v>PKR '000</x:v>
      </x:c>
      <x:c r="H561" s="170" t="n">
        <x:f>F561/1000</x:f>
        <x:v>-4859.096</x:v>
      </x:c>
      <x:c r="I561" s="170" t="n">
        <x:f>LUCK!D87</x:f>
        <x:v>-4859.096</x:v>
      </x:c>
      <x:c r="J561" s="170" t="n">
        <x:f>H561-I561</x:f>
        <x:v>0</x:v>
      </x:c>
      <x:c r="K561" s="76" t="str">
        <x:v>2022.pdf</x:v>
      </x:c>
      <x:c r="L561" s="76" t="n">
        <x:v>227</x:v>
      </x:c>
      <x:c r="M561" s="76" t="str">
        <x:v>Comparative</x:v>
      </x:c>
      <x:c r="N561" s="99" t="str">
        <x:v>Printed amount independently located</x:v>
      </x:c>
      <x:c r="O561" s="99" t="str">
        <x:v>Exact source amount found; audited year/current-comparative column recorded. Accounting subtotal tests performed separately.</x:v>
      </x:c>
      <x:c r="P561" s="99" t="str">
        <x:v>81,093,525   62,940,805 
Cost of sales 29  (58,541,684)  (43,984,873)
Gross profit   22,551,841   18,955,932 
Distribution cost 30  (4,764,574)  (4,859,096)
Administrative expenses 31  (1,512,279)  (1,257,074)
Finance costs 32  (394,517)  (332,905)
Other expenses 33  (1,847,039)  (1,507,673)
Other income 34  7,387,800   5,993,029 
Pro</x:v>
      </x:c>
    </x:row>
    <x:row r="562" ht="82" customHeight="1">
      <x:c r="A562" s="168" t="str">
        <x:v>LUCK|selling|2022</x:v>
      </x:c>
      <x:c r="B562" s="168" t="str">
        <x:v>LUCK</x:v>
      </x:c>
      <x:c r="C562" s="168" t="str">
        <x:v>FY2022</x:v>
      </x:c>
      <x:c r="D562" s="168" t="str">
        <x:v>Selling and distribution expenses</x:v>
      </x:c>
      <x:c r="E562" s="169" t="n">
        <x:v>-4764574</x:v>
      </x:c>
      <x:c r="F562" s="169" t="n">
        <x:v>-4764574</x:v>
      </x:c>
      <x:c r="G562" s="169" t="str">
        <x:v>PKR '000</x:v>
      </x:c>
      <x:c r="H562" s="169" t="n">
        <x:f>F562/1000</x:f>
        <x:v>-4764.574</x:v>
      </x:c>
      <x:c r="I562" s="169" t="n">
        <x:f>LUCK!E87</x:f>
        <x:v>-4764.574</x:v>
      </x:c>
      <x:c r="J562" s="169" t="n">
        <x:f>H562-I562</x:f>
        <x:v>0</x:v>
      </x:c>
      <x:c r="K562" s="168" t="str">
        <x:v>2023.pdf</x:v>
      </x:c>
      <x:c r="L562" s="168" t="n">
        <x:v>235</x:v>
      </x:c>
      <x:c r="M562" s="168" t="str">
        <x:v>Comparative</x:v>
      </x:c>
      <x:c r="N562" s="171" t="str">
        <x:v>Printed amount independently located</x:v>
      </x:c>
      <x:c r="O562" s="171" t="str">
        <x:v>Exact source amount found; audited year/current-comparative column recorded. Accounting subtotal tests performed separately.</x:v>
      </x:c>
      <x:c r="P562" s="171" t="str">
        <x:v>95,832,147   81,093,525 
Cost of sales 29  (69,771,469)  (58,541,684)
Gross profit   26,060,678   22,551,841 
Distribution cost 30  (5,326,894)  (4,764,574)
Administrative expenses 31  (1,825,578)  (1,512,279)
Finance costs 32  (1,169,770)  (394,517)
Other expenses 33  (2,442,585)  (1,847,039)
Other income 34  6,047,423   7,387,800 
P</x:v>
      </x:c>
    </x:row>
    <x:row r="563" ht="82" customHeight="1">
      <x:c r="A563" s="76" t="str">
        <x:v>LUCK|selling|2023</x:v>
      </x:c>
      <x:c r="B563" s="76" t="str">
        <x:v>LUCK</x:v>
      </x:c>
      <x:c r="C563" s="76" t="str">
        <x:v>FY2023</x:v>
      </x:c>
      <x:c r="D563" s="76" t="str">
        <x:v>Selling and distribution expenses</x:v>
      </x:c>
      <x:c r="E563" s="170" t="n">
        <x:v>-5326894</x:v>
      </x:c>
      <x:c r="F563" s="170" t="n">
        <x:v>-5326894</x:v>
      </x:c>
      <x:c r="G563" s="170" t="str">
        <x:v>PKR '000</x:v>
      </x:c>
      <x:c r="H563" s="170" t="n">
        <x:f>F563/1000</x:f>
        <x:v>-5326.894</x:v>
      </x:c>
      <x:c r="I563" s="170" t="n">
        <x:f>LUCK!F87</x:f>
        <x:v>-5326.894</x:v>
      </x:c>
      <x:c r="J563" s="170" t="n">
        <x:f>H563-I563</x:f>
        <x:v>0</x:v>
      </x:c>
      <x:c r="K563" s="76" t="str">
        <x:v>2024.pdf</x:v>
      </x:c>
      <x:c r="L563" s="76" t="n">
        <x:v>239</x:v>
      </x:c>
      <x:c r="M563" s="76" t="str">
        <x:v>Comparative</x:v>
      </x:c>
      <x:c r="N563" s="99" t="str">
        <x:v>Printed amount independently located</x:v>
      </x:c>
      <x:c r="O563" s="99" t="str">
        <x:v>Exact source amount found; audited year/current-comparative column recorded. Accounting subtotal tests performed separately.</x:v>
      </x:c>
      <x:c r="P563" s="99" t="str">
        <x:v>42 
  95,832,147 
Cost of sales
 29
  (76,520,370)
  (69,771,469)
Gross profit
   38,804,572 
  26,060,678 
Distribution cost
 30
  (7,773,885)
  (5,326,894)
Administrative expenses
 31
  (2,160,682)
  (1,825,578)
Finance cost
 32
  (1,581,168)
  (1,169,770)
Other expenses
 33
  (2,476,636)
  (2,442,585)
Other income
 34
  16,575,363</x:v>
      </x:c>
    </x:row>
    <x:row r="564" ht="82" customHeight="1">
      <x:c r="A564" s="168" t="str">
        <x:v>LUCK|selling|2024</x:v>
      </x:c>
      <x:c r="B564" s="168" t="str">
        <x:v>LUCK</x:v>
      </x:c>
      <x:c r="C564" s="168" t="str">
        <x:v>FY2024</x:v>
      </x:c>
      <x:c r="D564" s="168" t="str">
        <x:v>Selling and distribution expenses</x:v>
      </x:c>
      <x:c r="E564" s="169" t="n">
        <x:v>-7773885</x:v>
      </x:c>
      <x:c r="F564" s="169" t="n">
        <x:v>-7773885</x:v>
      </x:c>
      <x:c r="G564" s="169" t="str">
        <x:v>PKR '000</x:v>
      </x:c>
      <x:c r="H564" s="169" t="n">
        <x:f>F564/1000</x:f>
        <x:v>-7773.885</x:v>
      </x:c>
      <x:c r="I564" s="169" t="n">
        <x:f>LUCK!G87</x:f>
        <x:v>-7773.885</x:v>
      </x:c>
      <x:c r="J564" s="169" t="n">
        <x:f>H564-I564</x:f>
        <x:v>0</x:v>
      </x:c>
      <x:c r="K564" s="168" t="str">
        <x:v>2025.pdf</x:v>
      </x:c>
      <x:c r="L564" s="168" t="n">
        <x:v>241</x:v>
      </x:c>
      <x:c r="M564" s="168" t="str">
        <x:v>Comparative</x:v>
      </x:c>
      <x:c r="N564" s="171" t="str">
        <x:v>Printed amount independently located</x:v>
      </x:c>
      <x:c r="O564" s="171" t="str">
        <x:v>Exact source amount found; audited year/current-comparative column recorded. Accounting subtotal tests performed separately.</x:v>
      </x:c>
      <x:c r="P564" s="171" t="str">
        <x:v>124,511,744   115,324,942 
Cost of sales 28  (81,827,060)  (76,520,370)
Gross profit   42,684,684   38,804,572 
Distribution costs 29  (8,972,815)  (7,773,885)
Administrative expenses 30  (2,427,249)  (2,160,682)
Finance costs 31  (1,370,569)  (1,581,168)
Other expenses 32  (3,056,913)  (2,476,636)
Other income 33  20,465,921   16,575,36</x:v>
      </x:c>
    </x:row>
    <x:row r="565" ht="82" customHeight="1">
      <x:c r="A565" s="76" t="str">
        <x:v>LUCK|selling|2025</x:v>
      </x:c>
      <x:c r="B565" s="76" t="str">
        <x:v>LUCK</x:v>
      </x:c>
      <x:c r="C565" s="76" t="str">
        <x:v>FY2025</x:v>
      </x:c>
      <x:c r="D565" s="76" t="str">
        <x:v>Selling and distribution expenses</x:v>
      </x:c>
      <x:c r="E565" s="170" t="n">
        <x:v>-8972815</x:v>
      </x:c>
      <x:c r="F565" s="170" t="n">
        <x:v>-8972815</x:v>
      </x:c>
      <x:c r="G565" s="170" t="str">
        <x:v>PKR '000</x:v>
      </x:c>
      <x:c r="H565" s="170" t="n">
        <x:f>F565/1000</x:f>
        <x:v>-8972.815</x:v>
      </x:c>
      <x:c r="I565" s="170" t="n">
        <x:f>LUCK!H87</x:f>
        <x:v>-8972.815</x:v>
      </x:c>
      <x:c r="J565" s="170" t="n">
        <x:f>H565-I565</x:f>
        <x:v>0</x:v>
      </x:c>
      <x:c r="K565" s="76" t="str">
        <x:v>2025.pdf</x:v>
      </x:c>
      <x:c r="L565" s="76" t="n">
        <x:v>241</x:v>
      </x:c>
      <x:c r="M565" s="76" t="str">
        <x:v>Current year</x:v>
      </x:c>
      <x:c r="N565" s="99" t="str">
        <x:v>Printed amount independently located</x:v>
      </x:c>
      <x:c r="O565" s="99" t="str">
        <x:v>Exact source amount found; audited year/current-comparative column recorded. Accounting subtotal tests performed separately.</x:v>
      </x:c>
      <x:c r="P565" s="99" t="str">
        <x:v>Net Revenue   124,511,744   115,324,942 
Cost of sales 28  (81,827,060)  (76,520,370)
Gross profit   42,684,684   38,804,572 
Distribution costs 29  (8,972,815)  (7,773,885)
Administrative expenses 30  (2,427,249)  (2,160,682)
Finance costs 31  (1,370,569)  (1,581,168)
Other expenses 32  (3,056,913)  (2,476,636)
Other income 33  20,465,92</x:v>
      </x:c>
    </x:row>
    <x:row r="566" ht="82" customHeight="1">
      <x:c r="A566" s="168" t="str">
        <x:v>LUCK|admin|2021</x:v>
      </x:c>
      <x:c r="B566" s="168" t="str">
        <x:v>LUCK</x:v>
      </x:c>
      <x:c r="C566" s="168" t="str">
        <x:v>FY2021</x:v>
      </x:c>
      <x:c r="D566" s="168" t="str">
        <x:v>Administrative expenses</x:v>
      </x:c>
      <x:c r="E566" s="169" t="n">
        <x:v>-1257074</x:v>
      </x:c>
      <x:c r="F566" s="169" t="n">
        <x:v>-1257074</x:v>
      </x:c>
      <x:c r="G566" s="169" t="str">
        <x:v>PKR '000</x:v>
      </x:c>
      <x:c r="H566" s="169" t="n">
        <x:f>F566/1000</x:f>
        <x:v>-1257.074</x:v>
      </x:c>
      <x:c r="I566" s="169" t="n">
        <x:f>LUCK!D88</x:f>
        <x:v>-1257.074</x:v>
      </x:c>
      <x:c r="J566" s="169" t="n">
        <x:f>H566-I566</x:f>
        <x:v>0</x:v>
      </x:c>
      <x:c r="K566" s="168" t="str">
        <x:v>2022.pdf</x:v>
      </x:c>
      <x:c r="L566" s="168" t="n">
        <x:v>227</x:v>
      </x:c>
      <x:c r="M566" s="168" t="str">
        <x:v>Comparative</x:v>
      </x:c>
      <x:c r="N566" s="171" t="str">
        <x:v>Printed amount independently located</x:v>
      </x:c>
      <x:c r="O566" s="171" t="str">
        <x:v>Exact source amount found; audited year/current-comparative column recorded. Accounting subtotal tests performed separately.</x:v>
      </x:c>
      <x:c r="P566" s="171" t="str">
        <x:v>,684)  (43,984,873)
Gross profit   22,551,841   18,955,932 
Distribution cost 30  (4,764,574)  (4,859,096)
Administrative expenses 31  (1,512,279)  (1,257,074)
Finance costs 32  (394,517)  (332,905)
Other expenses 33  (1,847,039)  (1,507,673)
Other income 34  7,387,800   5,993,029 
Profit before taxation   21,421,232   16,992,213 
T ax</x:v>
      </x:c>
    </x:row>
    <x:row r="567" ht="82" customHeight="1">
      <x:c r="A567" s="76" t="str">
        <x:v>LUCK|admin|2022</x:v>
      </x:c>
      <x:c r="B567" s="76" t="str">
        <x:v>LUCK</x:v>
      </x:c>
      <x:c r="C567" s="76" t="str">
        <x:v>FY2022</x:v>
      </x:c>
      <x:c r="D567" s="76" t="str">
        <x:v>Administrative expenses</x:v>
      </x:c>
      <x:c r="E567" s="170" t="n">
        <x:v>-1512279</x:v>
      </x:c>
      <x:c r="F567" s="170" t="n">
        <x:v>-1512279</x:v>
      </x:c>
      <x:c r="G567" s="170" t="str">
        <x:v>PKR '000</x:v>
      </x:c>
      <x:c r="H567" s="170" t="n">
        <x:f>F567/1000</x:f>
        <x:v>-1512.279</x:v>
      </x:c>
      <x:c r="I567" s="170" t="n">
        <x:f>LUCK!E88</x:f>
        <x:v>-1512.279</x:v>
      </x:c>
      <x:c r="J567" s="170" t="n">
        <x:f>H567-I567</x:f>
        <x:v>0</x:v>
      </x:c>
      <x:c r="K567" s="76" t="str">
        <x:v>2023.pdf</x:v>
      </x:c>
      <x:c r="L567" s="76" t="n">
        <x:v>235</x:v>
      </x:c>
      <x:c r="M567" s="76" t="str">
        <x:v>Comparative</x:v>
      </x:c>
      <x:c r="N567" s="99" t="str">
        <x:v>Printed amount independently located</x:v>
      </x:c>
      <x:c r="O567" s="99" t="str">
        <x:v>Exact source amount found; audited year/current-comparative column recorded. Accounting subtotal tests performed separately.</x:v>
      </x:c>
      <x:c r="P567" s="99" t="str">
        <x:v>,469)  (58,541,684)
Gross profit   26,060,678   22,551,841 
Distribution cost 30  (5,326,894)  (4,764,574)
Administrative expenses 31  (1,825,578)  (1,512,279)
Finance costs 32  (1,169,770)  (394,517)
Other expenses 33  (2,442,585)  (1,847,039)
Other income 34  6,047,423   7,387,800 
Profit before taxation   21,343,274   21,421,232 
Ta</x:v>
      </x:c>
    </x:row>
    <x:row r="568" ht="82" customHeight="1">
      <x:c r="A568" s="168" t="str">
        <x:v>LUCK|admin|2023</x:v>
      </x:c>
      <x:c r="B568" s="168" t="str">
        <x:v>LUCK</x:v>
      </x:c>
      <x:c r="C568" s="168" t="str">
        <x:v>FY2023</x:v>
      </x:c>
      <x:c r="D568" s="168" t="str">
        <x:v>Administrative expenses</x:v>
      </x:c>
      <x:c r="E568" s="169" t="n">
        <x:v>-1825578</x:v>
      </x:c>
      <x:c r="F568" s="169" t="n">
        <x:v>-1825578</x:v>
      </x:c>
      <x:c r="G568" s="169" t="str">
        <x:v>PKR '000</x:v>
      </x:c>
      <x:c r="H568" s="169" t="n">
        <x:f>F568/1000</x:f>
        <x:v>-1825.578</x:v>
      </x:c>
      <x:c r="I568" s="169" t="n">
        <x:f>LUCK!F88</x:f>
        <x:v>-1825.578</x:v>
      </x:c>
      <x:c r="J568" s="169" t="n">
        <x:f>H568-I568</x:f>
        <x:v>0</x:v>
      </x:c>
      <x:c r="K568" s="168" t="str">
        <x:v>2024.pdf</x:v>
      </x:c>
      <x:c r="L568" s="168" t="n">
        <x:v>239</x:v>
      </x:c>
      <x:c r="M568" s="168" t="str">
        <x:v>Comparative</x:v>
      </x:c>
      <x:c r="N568" s="171" t="str">
        <x:v>Printed amount independently located</x:v>
      </x:c>
      <x:c r="O568" s="171" t="str">
        <x:v>Exact source amount found; audited year/current-comparative column recorded. Accounting subtotal tests performed separately.</x:v>
      </x:c>
      <x:c r="P568" s="171" t="str">
        <x:v>,771,469)
Gross profit
   38,804,572 
  26,060,678 
Distribution cost
 30
  (7,773,885)
  (5,326,894)
Administrative expenses
 31
  (2,160,682)
  (1,825,578)
Finance cost
 32
  (1,581,168)
  (1,169,770)
Other expenses
 33
  (2,476,636)
  (2,442,585)
Other income
 34
  16,575,363 
  6,047,423 
Profit before Taxation and Levy
   41,387,5</x:v>
      </x:c>
    </x:row>
    <x:row r="569" ht="82" customHeight="1">
      <x:c r="A569" s="76" t="str">
        <x:v>LUCK|admin|2024</x:v>
      </x:c>
      <x:c r="B569" s="76" t="str">
        <x:v>LUCK</x:v>
      </x:c>
      <x:c r="C569" s="76" t="str">
        <x:v>FY2024</x:v>
      </x:c>
      <x:c r="D569" s="76" t="str">
        <x:v>Administrative expenses</x:v>
      </x:c>
      <x:c r="E569" s="170" t="n">
        <x:v>-2160682</x:v>
      </x:c>
      <x:c r="F569" s="170" t="n">
        <x:v>-2160682</x:v>
      </x:c>
      <x:c r="G569" s="170" t="str">
        <x:v>PKR '000</x:v>
      </x:c>
      <x:c r="H569" s="170" t="n">
        <x:f>F569/1000</x:f>
        <x:v>-2160.682</x:v>
      </x:c>
      <x:c r="I569" s="170" t="n">
        <x:f>LUCK!G88</x:f>
        <x:v>-2160.682</x:v>
      </x:c>
      <x:c r="J569" s="170" t="n">
        <x:f>H569-I569</x:f>
        <x:v>0</x:v>
      </x:c>
      <x:c r="K569" s="76" t="str">
        <x:v>2025.pdf</x:v>
      </x:c>
      <x:c r="L569" s="76" t="n">
        <x:v>241</x:v>
      </x:c>
      <x:c r="M569" s="76" t="str">
        <x:v>Comparative</x:v>
      </x:c>
      <x:c r="N569" s="99" t="str">
        <x:v>Printed amount independently located</x:v>
      </x:c>
      <x:c r="O569" s="99" t="str">
        <x:v>Exact source amount found; audited year/current-comparative column recorded. Accounting subtotal tests performed separately.</x:v>
      </x:c>
      <x:c r="P569" s="99" t="str">
        <x:v>7,060)  (76,520,370)
Gross profit   42,684,684   38,804,572 
Distribution costs 29  (8,972,815)  (7,773,885)
Administrative expenses 30  (2,427,249)  (2,160,682)
Finance costs 31  (1,370,569)  (1,581,168)
Other expenses 32  (3,056,913)  (2,476,636)
Other income 33  20,465,921   16,575,363 
Profit before taxation and levy   47,323,059   41,</x:v>
      </x:c>
    </x:row>
    <x:row r="570" ht="82" customHeight="1">
      <x:c r="A570" s="168" t="str">
        <x:v>LUCK|admin|2025</x:v>
      </x:c>
      <x:c r="B570" s="168" t="str">
        <x:v>LUCK</x:v>
      </x:c>
      <x:c r="C570" s="168" t="str">
        <x:v>FY2025</x:v>
      </x:c>
      <x:c r="D570" s="168" t="str">
        <x:v>Administrative expenses</x:v>
      </x:c>
      <x:c r="E570" s="169" t="n">
        <x:v>-2427249</x:v>
      </x:c>
      <x:c r="F570" s="169" t="n">
        <x:v>-2427249</x:v>
      </x:c>
      <x:c r="G570" s="169" t="str">
        <x:v>PKR '000</x:v>
      </x:c>
      <x:c r="H570" s="169" t="n">
        <x:f>F570/1000</x:f>
        <x:v>-2427.249</x:v>
      </x:c>
      <x:c r="I570" s="169" t="n">
        <x:f>LUCK!H88</x:f>
        <x:v>-2427.249</x:v>
      </x:c>
      <x:c r="J570" s="169" t="n">
        <x:f>H570-I570</x:f>
        <x:v>0</x:v>
      </x:c>
      <x:c r="K570" s="168" t="str">
        <x:v>2025.pdf</x:v>
      </x:c>
      <x:c r="L570" s="168" t="n">
        <x:v>241</x:v>
      </x:c>
      <x:c r="M570" s="168" t="str">
        <x:v>Current year</x:v>
      </x:c>
      <x:c r="N570" s="171" t="str">
        <x:v>Printed amount independently located</x:v>
      </x:c>
      <x:c r="O570" s="171" t="str">
        <x:v>Exact source amount found; audited year/current-comparative column recorded. Accounting subtotal tests performed separately.</x:v>
      </x:c>
      <x:c r="P570" s="171" t="str">
        <x:v>es 28  (81,827,060)  (76,520,370)
Gross profit   42,684,684   38,804,572 
Distribution costs 29  (8,972,815)  (7,773,885)
Administrative expenses 30  (2,427,249)  (2,160,682)
Finance costs 31  (1,370,569)  (1,581,168)
Other expenses 32  (3,056,913)  (2,476,636)
Other income 33  20,465,921   16,575,363 
Profit before taxation and levy   47,</x:v>
      </x:c>
    </x:row>
    <x:row r="571" ht="82" customHeight="1">
      <x:c r="A571" s="76" t="str">
        <x:v>LUCK|impair|2021</x:v>
      </x:c>
      <x:c r="B571" s="76" t="str">
        <x:v>LUCK</x:v>
      </x:c>
      <x:c r="C571" s="76" t="str">
        <x:v>FY2021</x:v>
      </x:c>
      <x:c r="D571" s="76" t="str">
        <x:v>Impairment / expected credit loss on financial assets</x:v>
      </x:c>
      <x:c r="E571" s="170" t="n">
        <x:v>0</x:v>
      </x:c>
      <x:c r="F571" s="170" t="n">
        <x:v>0</x:v>
      </x:c>
      <x:c r="G571" s="170" t="str">
        <x:v>PKR '000</x:v>
      </x:c>
      <x:c r="H571" s="170" t="n">
        <x:f>F571/1000</x:f>
        <x:v>0</x:v>
      </x:c>
      <x:c r="I571" s="170" t="n">
        <x:f>LUCK!D89</x:f>
        <x:v>0</x:v>
      </x:c>
      <x:c r="J571" s="170" t="n">
        <x:f>H571-I571</x:f>
        <x:v>0</x:v>
      </x:c>
      <x:c r="K571" s="76" t="str">
        <x:v>2022.pdf</x:v>
      </x:c>
      <x:c r="L571" s="76" t="n">
        <x:v>227</x:v>
      </x:c>
      <x:c r="M571" s="76" t="str">
        <x:v>Comparative</x:v>
      </x:c>
      <x:c r="N571" s="99" t="str">
        <x:v>Zero / no separate line in audited presentation</x:v>
      </x:c>
      <x:c r="O571" s="99" t="str">
        <x:v>Zero classification checked within the audited statement/note and reconstructed statement totals; absence of a separate line does not imply a missing replacement estimate.</x:v>
      </x:c>
      <x:c r="P571" s="99" t="str">
        <x:v>
  Note 2022 2021
   (PKR in ‘000’)
Gross sales 28  108,600,945   88,357,695 
Less:  Sales tax and federal excise duty   26,133,535   23,861,689 
   | Impairment / expected credit loss on financial assets</x:v>
      </x:c>
    </x:row>
    <x:row r="572" ht="82" customHeight="1">
      <x:c r="A572" s="168" t="str">
        <x:v>LUCK|impair|2022</x:v>
      </x:c>
      <x:c r="B572" s="168" t="str">
        <x:v>LUCK</x:v>
      </x:c>
      <x:c r="C572" s="168" t="str">
        <x:v>FY2022</x:v>
      </x:c>
      <x:c r="D572" s="168" t="str">
        <x:v>Impairment / expected credit loss on financial assets</x:v>
      </x:c>
      <x:c r="E572" s="169" t="n">
        <x:v>0</x:v>
      </x:c>
      <x:c r="F572" s="169" t="n">
        <x:v>0</x:v>
      </x:c>
      <x:c r="G572" s="169" t="str">
        <x:v>PKR '000</x:v>
      </x:c>
      <x:c r="H572" s="169" t="n">
        <x:f>F572/1000</x:f>
        <x:v>0</x:v>
      </x:c>
      <x:c r="I572" s="169" t="n">
        <x:f>LUCK!E89</x:f>
        <x:v>0</x:v>
      </x:c>
      <x:c r="J572" s="169" t="n">
        <x:f>H572-I572</x:f>
        <x:v>0</x:v>
      </x:c>
      <x:c r="K572" s="168" t="str">
        <x:v>2023.pdf</x:v>
      </x:c>
      <x:c r="L572" s="168" t="n">
        <x:v>235</x:v>
      </x:c>
      <x:c r="M572" s="168" t="str">
        <x:v>Comparative</x:v>
      </x:c>
      <x:c r="N572" s="171" t="str">
        <x:v>Zero / no separate line in audited presentation</x:v>
      </x:c>
      <x:c r="O572" s="171" t="str">
        <x:v>Zero classification checked within the audited statement/note and reconstructed statement totals; absence of a separate line does not imply a missing replacement estimate.</x:v>
      </x:c>
      <x:c r="P572" s="171" t="str">
        <x:v>
  Note 2023 2022
   (PKR in ‘000’)
Gross sales 28  125,819,372   108,600,945 
Less:  Sales tax and federal excise duty   28,481,690   26,133,535 
  | Impairment / expected credit loss on financial assets</x:v>
      </x:c>
    </x:row>
    <x:row r="573" ht="82" customHeight="1">
      <x:c r="A573" s="76" t="str">
        <x:v>LUCK|impair|2023</x:v>
      </x:c>
      <x:c r="B573" s="76" t="str">
        <x:v>LUCK</x:v>
      </x:c>
      <x:c r="C573" s="76" t="str">
        <x:v>FY2023</x:v>
      </x:c>
      <x:c r="D573" s="76" t="str">
        <x:v>Impairment / expected credit loss on financial assets</x:v>
      </x:c>
      <x:c r="E573" s="170" t="n">
        <x:v>0</x:v>
      </x:c>
      <x:c r="F573" s="170" t="n">
        <x:v>0</x:v>
      </x:c>
      <x:c r="G573" s="170" t="str">
        <x:v>PKR '000</x:v>
      </x:c>
      <x:c r="H573" s="170" t="n">
        <x:f>F573/1000</x:f>
        <x:v>0</x:v>
      </x:c>
      <x:c r="I573" s="170" t="n">
        <x:f>LUCK!F89</x:f>
        <x:v>0</x:v>
      </x:c>
      <x:c r="J573" s="170" t="n">
        <x:f>H573-I573</x:f>
        <x:v>0</x:v>
      </x:c>
      <x:c r="K573" s="76" t="str">
        <x:v>2024.pdf</x:v>
      </x:c>
      <x:c r="L573" s="76" t="n">
        <x:v>239</x:v>
      </x:c>
      <x:c r="M573" s="76" t="str">
        <x:v>Comparative</x:v>
      </x:c>
      <x:c r="N573" s="99" t="str">
        <x:v>Zero / no separate line in audited presentation</x:v>
      </x:c>
      <x:c r="O573" s="99" t="str">
        <x:v>Zero classification checked within the audited statement/note and reconstructed statement totals; absence of a separate line does not imply a missing replacement estimate.</x:v>
      </x:c>
      <x:c r="P573" s="99" t="str">
        <x:v>
Unconsolidated Statement of
Profit or Loss
For the year ended June 30, 2024
Muhammad Ali Tabba
Chief Executive
Muhammad Sohail Tabba
Chairman / Direc | Impairment / expected credit loss on financial assets</x:v>
      </x:c>
    </x:row>
    <x:row r="574" ht="82" customHeight="1">
      <x:c r="A574" s="168" t="str">
        <x:v>LUCK|impair|2024</x:v>
      </x:c>
      <x:c r="B574" s="168" t="str">
        <x:v>LUCK</x:v>
      </x:c>
      <x:c r="C574" s="168" t="str">
        <x:v>FY2024</x:v>
      </x:c>
      <x:c r="D574" s="168" t="str">
        <x:v>Impairment / expected credit loss on financial assets</x:v>
      </x:c>
      <x:c r="E574" s="169" t="n">
        <x:v>0</x:v>
      </x:c>
      <x:c r="F574" s="169" t="n">
        <x:v>0</x:v>
      </x:c>
      <x:c r="G574" s="169" t="str">
        <x:v>PKR '000</x:v>
      </x:c>
      <x:c r="H574" s="169" t="n">
        <x:f>F574/1000</x:f>
        <x:v>0</x:v>
      </x:c>
      <x:c r="I574" s="169" t="n">
        <x:f>LUCK!G89</x:f>
        <x:v>0</x:v>
      </x:c>
      <x:c r="J574" s="169" t="n">
        <x:f>H574-I574</x:f>
        <x:v>0</x:v>
      </x:c>
      <x:c r="K574" s="168" t="str">
        <x:v>2025.pdf</x:v>
      </x:c>
      <x:c r="L574" s="168" t="n">
        <x:v>241</x:v>
      </x:c>
      <x:c r="M574" s="168" t="str">
        <x:v>Comparative</x:v>
      </x:c>
      <x:c r="N574" s="171" t="str">
        <x:v>Zero / no separate line in audited presentation</x:v>
      </x:c>
      <x:c r="O574" s="171" t="str">
        <x:v>Zero classification checked within the audited statement/note and reconstructed statement totals; absence of a separate line does not imply a missing replacement estimate.</x:v>
      </x:c>
      <x:c r="P574" s="171" t="str">
        <x:v>
Unconsolidated Statement of
Profit or Loss
For the year ended June 30, 2025
  Note 2025 2024
   (PKR in ‘000’)
Gross Revenue 27  174,302,064   151,80 | Impairment / expected credit loss on financial assets</x:v>
      </x:c>
    </x:row>
    <x:row r="575" ht="82" customHeight="1">
      <x:c r="A575" s="76" t="str">
        <x:v>LUCK|impair|2025</x:v>
      </x:c>
      <x:c r="B575" s="76" t="str">
        <x:v>LUCK</x:v>
      </x:c>
      <x:c r="C575" s="76" t="str">
        <x:v>FY2025</x:v>
      </x:c>
      <x:c r="D575" s="76" t="str">
        <x:v>Impairment / expected credit loss on financial assets</x:v>
      </x:c>
      <x:c r="E575" s="170" t="n">
        <x:v>0</x:v>
      </x:c>
      <x:c r="F575" s="170" t="n">
        <x:v>0</x:v>
      </x:c>
      <x:c r="G575" s="170" t="str">
        <x:v>PKR '000</x:v>
      </x:c>
      <x:c r="H575" s="170" t="n">
        <x:f>F575/1000</x:f>
        <x:v>0</x:v>
      </x:c>
      <x:c r="I575" s="170" t="n">
        <x:f>LUCK!H89</x:f>
        <x:v>0</x:v>
      </x:c>
      <x:c r="J575" s="170" t="n">
        <x:f>H575-I575</x:f>
        <x:v>0</x:v>
      </x:c>
      <x:c r="K575" s="76" t="str">
        <x:v>2025.pdf</x:v>
      </x:c>
      <x:c r="L575" s="76" t="n">
        <x:v>241</x:v>
      </x:c>
      <x:c r="M575" s="76" t="str">
        <x:v>Current year</x:v>
      </x:c>
      <x:c r="N575" s="99" t="str">
        <x:v>Zero / no separate line in audited presentation</x:v>
      </x:c>
      <x:c r="O575" s="99" t="str">
        <x:v>Zero classification checked within the audited statement/note and reconstructed statement totals; absence of a separate line does not imply a missing replacement estimate.</x:v>
      </x:c>
      <x:c r="P575" s="99" t="str">
        <x:v>
Unconsolidated Statement of
Profit or Loss
For the year ended June 30, 2025
  Note 2025 2024
   (PKR in ‘000’)
Gross Revenue 27  174,302,064   151,80 | Impairment / expected credit loss on financial assets</x:v>
      </x:c>
    </x:row>
    <x:row r="576" ht="82" customHeight="1">
      <x:c r="A576" s="168" t="str">
        <x:v>LUCK|oth_exp|2021</x:v>
      </x:c>
      <x:c r="B576" s="168" t="str">
        <x:v>LUCK</x:v>
      </x:c>
      <x:c r="C576" s="168" t="str">
        <x:v>FY2021</x:v>
      </x:c>
      <x:c r="D576" s="168" t="str">
        <x:v>Other operating expenses (incl. WPPF/WWF)</x:v>
      </x:c>
      <x:c r="E576" s="169" t="n">
        <x:v>-1507673</x:v>
      </x:c>
      <x:c r="F576" s="169" t="n">
        <x:v>-1507673</x:v>
      </x:c>
      <x:c r="G576" s="169" t="str">
        <x:v>PKR '000</x:v>
      </x:c>
      <x:c r="H576" s="169" t="n">
        <x:f>F576/1000</x:f>
        <x:v>-1507.673</x:v>
      </x:c>
      <x:c r="I576" s="169" t="n">
        <x:f>LUCK!D90</x:f>
        <x:v>-1507.673</x:v>
      </x:c>
      <x:c r="J576" s="169" t="n">
        <x:f>H576-I576</x:f>
        <x:v>0</x:v>
      </x:c>
      <x:c r="K576" s="168" t="str">
        <x:v>2022.pdf</x:v>
      </x:c>
      <x:c r="L576" s="168" t="n">
        <x:v>227</x:v>
      </x:c>
      <x:c r="M576" s="168" t="str">
        <x:v>Comparative</x:v>
      </x:c>
      <x:c r="N576" s="171" t="str">
        <x:v>Printed amount independently located</x:v>
      </x:c>
      <x:c r="O576" s="171" t="str">
        <x:v>Exact source amount found; audited year/current-comparative column recorded. Accounting subtotal tests performed separately.</x:v>
      </x:c>
      <x:c r="P576" s="171" t="str">
        <x:v>(4,764,574)  (4,859,096)
Administrative expenses 31  (1,512,279)  (1,257,074)
Finance costs 32  (394,517)  (332,905)
Other expenses 33  (1,847,039)  (1,507,673)
Other income 34  7,387,800   5,993,029 
Profit before taxation   21,421,232   16,992,213 
T axation 35  (6,122,614)  (2,922,024)
Profit after taxation   15,298,618   14,070,189</x:v>
      </x:c>
    </x:row>
    <x:row r="577" ht="82" customHeight="1">
      <x:c r="A577" s="76" t="str">
        <x:v>LUCK|oth_exp|2022</x:v>
      </x:c>
      <x:c r="B577" s="76" t="str">
        <x:v>LUCK</x:v>
      </x:c>
      <x:c r="C577" s="76" t="str">
        <x:v>FY2022</x:v>
      </x:c>
      <x:c r="D577" s="76" t="str">
        <x:v>Other operating expenses (incl. WPPF/WWF)</x:v>
      </x:c>
      <x:c r="E577" s="170" t="n">
        <x:v>-1847039</x:v>
      </x:c>
      <x:c r="F577" s="170" t="n">
        <x:v>-1847039</x:v>
      </x:c>
      <x:c r="G577" s="170" t="str">
        <x:v>PKR '000</x:v>
      </x:c>
      <x:c r="H577" s="170" t="n">
        <x:f>F577/1000</x:f>
        <x:v>-1847.039</x:v>
      </x:c>
      <x:c r="I577" s="170" t="n">
        <x:f>LUCK!E90</x:f>
        <x:v>-1847.039</x:v>
      </x:c>
      <x:c r="J577" s="170" t="n">
        <x:f>H577-I577</x:f>
        <x:v>0</x:v>
      </x:c>
      <x:c r="K577" s="76" t="str">
        <x:v>2023.pdf</x:v>
      </x:c>
      <x:c r="L577" s="76" t="n">
        <x:v>235</x:v>
      </x:c>
      <x:c r="M577" s="76" t="str">
        <x:v>Comparative</x:v>
      </x:c>
      <x:c r="N577" s="99" t="str">
        <x:v>Printed amount independently located</x:v>
      </x:c>
      <x:c r="O577" s="99" t="str">
        <x:v>Exact source amount found; audited year/current-comparative column recorded. Accounting subtotal tests performed separately.</x:v>
      </x:c>
      <x:c r="P577" s="99" t="str">
        <x:v>5,326,894)  (4,764,574)
Administrative expenses 31  (1,825,578)  (1,512,279)
Finance costs 32  (1,169,770)  (394,517)
Other expenses 33  (2,442,585)  (1,847,039)
Other income 34  6,047,423   7,387,800 
Profit before taxation   21,343,274   21,421,232 
Taxation 35  (7,617,460)  (6,122,614)
Profit after taxation   13,725,814   15,298,618</x:v>
      </x:c>
    </x:row>
    <x:row r="578" ht="82" customHeight="1">
      <x:c r="A578" s="168" t="str">
        <x:v>LUCK|oth_exp|2023</x:v>
      </x:c>
      <x:c r="B578" s="168" t="str">
        <x:v>LUCK</x:v>
      </x:c>
      <x:c r="C578" s="168" t="str">
        <x:v>FY2023</x:v>
      </x:c>
      <x:c r="D578" s="168" t="str">
        <x:v>Other operating expenses (incl. WPPF/WWF)</x:v>
      </x:c>
      <x:c r="E578" s="169" t="n">
        <x:v>-2442585</x:v>
      </x:c>
      <x:c r="F578" s="169" t="n">
        <x:v>-2442585</x:v>
      </x:c>
      <x:c r="G578" s="169" t="str">
        <x:v>PKR '000</x:v>
      </x:c>
      <x:c r="H578" s="169" t="n">
        <x:f>F578/1000</x:f>
        <x:v>-2442.585</x:v>
      </x:c>
      <x:c r="I578" s="169" t="n">
        <x:f>LUCK!F90</x:f>
        <x:v>-2442.585</x:v>
      </x:c>
      <x:c r="J578" s="169" t="n">
        <x:f>H578-I578</x:f>
        <x:v>0</x:v>
      </x:c>
      <x:c r="K578" s="168" t="str">
        <x:v>2024.pdf</x:v>
      </x:c>
      <x:c r="L578" s="168" t="n">
        <x:v>239</x:v>
      </x:c>
      <x:c r="M578" s="168" t="str">
        <x:v>Comparative</x:v>
      </x:c>
      <x:c r="N578" s="171" t="str">
        <x:v>Printed amount independently located</x:v>
      </x:c>
      <x:c r="O578" s="171" t="str">
        <x:v>Exact source amount found; audited year/current-comparative column recorded. Accounting subtotal tests performed separately.</x:v>
      </x:c>
      <x:c r="P578" s="171" t="str">
        <x:v>(5,326,894)
Administrative expenses
 31
  (2,160,682)
  (1,825,578)
Finance cost
 32
  (1,581,168)
  (1,169,770)
Other expenses
 33
  (2,476,636)
  (2,442,585)
Other income
 34
  16,575,363 
  6,047,423 
Profit before Taxation and Levy
   41,387,564 
  21,343,274 
Levy
 2.2.1 &amp; 35
  (953,051)
  (437,833)
Profit before Taxation
   40,434,</x:v>
      </x:c>
    </x:row>
    <x:row r="579" ht="82" customHeight="1">
      <x:c r="A579" s="76" t="str">
        <x:v>LUCK|oth_exp|2024</x:v>
      </x:c>
      <x:c r="B579" s="76" t="str">
        <x:v>LUCK</x:v>
      </x:c>
      <x:c r="C579" s="76" t="str">
        <x:v>FY2024</x:v>
      </x:c>
      <x:c r="D579" s="76" t="str">
        <x:v>Other operating expenses (incl. WPPF/WWF)</x:v>
      </x:c>
      <x:c r="E579" s="170" t="n">
        <x:v>-2476636</x:v>
      </x:c>
      <x:c r="F579" s="170" t="n">
        <x:v>-2476636</x:v>
      </x:c>
      <x:c r="G579" s="170" t="str">
        <x:v>PKR '000</x:v>
      </x:c>
      <x:c r="H579" s="170" t="n">
        <x:f>F579/1000</x:f>
        <x:v>-2476.636</x:v>
      </x:c>
      <x:c r="I579" s="170" t="n">
        <x:f>LUCK!G90</x:f>
        <x:v>-2476.636</x:v>
      </x:c>
      <x:c r="J579" s="170" t="n">
        <x:f>H579-I579</x:f>
        <x:v>0</x:v>
      </x:c>
      <x:c r="K579" s="76" t="str">
        <x:v>2025.pdf</x:v>
      </x:c>
      <x:c r="L579" s="76" t="n">
        <x:v>241</x:v>
      </x:c>
      <x:c r="M579" s="76" t="str">
        <x:v>Comparative</x:v>
      </x:c>
      <x:c r="N579" s="99" t="str">
        <x:v>Printed amount independently located</x:v>
      </x:c>
      <x:c r="O579" s="99" t="str">
        <x:v>Exact source amount found; audited year/current-comparative column recorded. Accounting subtotal tests performed separately.</x:v>
      </x:c>
      <x:c r="P579" s="99" t="str">
        <x:v>972,815)  (7,773,885)
Administrative expenses 30  (2,427,249)  (2,160,682)
Finance costs 31  (1,370,569)  (1,581,168)
Other expenses 32  (3,056,913)  (2,476,636)
Other income 33  20,465,921   16,575,363 
Profit before taxation and levy   47,323,059   41,387,564 
Levy 34  (329,600)  (953,051)
Profit before taxation   46,993,459   40,434,513</x:v>
      </x:c>
    </x:row>
    <x:row r="580" ht="82" customHeight="1">
      <x:c r="A580" s="168" t="str">
        <x:v>LUCK|oth_exp|2025</x:v>
      </x:c>
      <x:c r="B580" s="168" t="str">
        <x:v>LUCK</x:v>
      </x:c>
      <x:c r="C580" s="168" t="str">
        <x:v>FY2025</x:v>
      </x:c>
      <x:c r="D580" s="168" t="str">
        <x:v>Other operating expenses (incl. WPPF/WWF)</x:v>
      </x:c>
      <x:c r="E580" s="169" t="n">
        <x:v>-3056913</x:v>
      </x:c>
      <x:c r="F580" s="169" t="n">
        <x:v>-3056913</x:v>
      </x:c>
      <x:c r="G580" s="169" t="str">
        <x:v>PKR '000</x:v>
      </x:c>
      <x:c r="H580" s="169" t="n">
        <x:f>F580/1000</x:f>
        <x:v>-3056.913</x:v>
      </x:c>
      <x:c r="I580" s="169" t="n">
        <x:f>LUCK!H90</x:f>
        <x:v>-3056.913</x:v>
      </x:c>
      <x:c r="J580" s="169" t="n">
        <x:f>H580-I580</x:f>
        <x:v>0</x:v>
      </x:c>
      <x:c r="K580" s="168" t="str">
        <x:v>2025.pdf</x:v>
      </x:c>
      <x:c r="L580" s="168" t="n">
        <x:v>241</x:v>
      </x:c>
      <x:c r="M580" s="168" t="str">
        <x:v>Current year</x:v>
      </x:c>
      <x:c r="N580" s="171" t="str">
        <x:v>Printed amount independently located</x:v>
      </x:c>
      <x:c r="O580" s="171" t="str">
        <x:v>Exact source amount found; audited year/current-comparative column recorded. Accounting subtotal tests performed separately.</x:v>
      </x:c>
      <x:c r="P580" s="171" t="str">
        <x:v>costs 29  (8,972,815)  (7,773,885)
Administrative expenses 30  (2,427,249)  (2,160,682)
Finance costs 31  (1,370,569)  (1,581,168)
Other expenses 32  (3,056,913)  (2,476,636)
Other income 33  20,465,921   16,575,363 
Profit before taxation and levy   47,323,059   41,387,564 
Levy 34  (329,600)  (953,051)
Profit before taxation   46,993,459</x:v>
      </x:c>
    </x:row>
    <x:row r="581" ht="82" customHeight="1">
      <x:c r="A581" s="76" t="str">
        <x:v>LUCK|oth_inc|2021</x:v>
      </x:c>
      <x:c r="B581" s="76" t="str">
        <x:v>LUCK</x:v>
      </x:c>
      <x:c r="C581" s="76" t="str">
        <x:v>FY2021</x:v>
      </x:c>
      <x:c r="D581" s="76" t="str">
        <x:v>Other income</x:v>
      </x:c>
      <x:c r="E581" s="170" t="n">
        <x:v>5993029</x:v>
      </x:c>
      <x:c r="F581" s="170" t="n">
        <x:v>5993029</x:v>
      </x:c>
      <x:c r="G581" s="170" t="str">
        <x:v>PKR '000</x:v>
      </x:c>
      <x:c r="H581" s="170" t="n">
        <x:f>F581/1000</x:f>
        <x:v>5993.029</x:v>
      </x:c>
      <x:c r="I581" s="170" t="n">
        <x:f>LUCK!D92</x:f>
        <x:v>5993.029</x:v>
      </x:c>
      <x:c r="J581" s="170" t="n">
        <x:f>H581-I581</x:f>
        <x:v>0</x:v>
      </x:c>
      <x:c r="K581" s="76" t="str">
        <x:v>2022.pdf</x:v>
      </x:c>
      <x:c r="L581" s="76" t="n">
        <x:v>227</x:v>
      </x:c>
      <x:c r="M581" s="76" t="str">
        <x:v>Comparative</x:v>
      </x:c>
      <x:c r="N581" s="99" t="str">
        <x:v>Printed amount independently located</x:v>
      </x:c>
      <x:c r="O581" s="99" t="str">
        <x:v>Exact source amount found; audited year/current-comparative column recorded. Accounting subtotal tests performed separately.</x:v>
      </x:c>
      <x:c r="P581" s="99" t="str">
        <x:v>expenses 31  (1,512,279)  (1,257,074)
Finance costs 32  (394,517)  (332,905)
Other expenses 33  (1,847,039)  (1,507,673)
Other income 34  7,387,800   5,993,029 
Profit before taxation   21,421,232   16,992,213 
T axation 35  (6,122,614)  (2,922,024)
Profit after taxation   15,298,618   14,070,189 
   (PKR)
Earnings per share - basic</x:v>
      </x:c>
    </x:row>
    <x:row r="582" ht="82" customHeight="1">
      <x:c r="A582" s="168" t="str">
        <x:v>LUCK|oth_inc|2022</x:v>
      </x:c>
      <x:c r="B582" s="168" t="str">
        <x:v>LUCK</x:v>
      </x:c>
      <x:c r="C582" s="168" t="str">
        <x:v>FY2022</x:v>
      </x:c>
      <x:c r="D582" s="168" t="str">
        <x:v>Other income</x:v>
      </x:c>
      <x:c r="E582" s="169" t="n">
        <x:v>7387800</x:v>
      </x:c>
      <x:c r="F582" s="169" t="n">
        <x:v>7387800</x:v>
      </x:c>
      <x:c r="G582" s="169" t="str">
        <x:v>PKR '000</x:v>
      </x:c>
      <x:c r="H582" s="169" t="n">
        <x:f>F582/1000</x:f>
        <x:v>7387.8</x:v>
      </x:c>
      <x:c r="I582" s="169" t="n">
        <x:f>LUCK!E92</x:f>
        <x:v>7387.8</x:v>
      </x:c>
      <x:c r="J582" s="169" t="n">
        <x:f>H582-I582</x:f>
        <x:v>0</x:v>
      </x:c>
      <x:c r="K582" s="168" t="str">
        <x:v>2023.pdf</x:v>
      </x:c>
      <x:c r="L582" s="168" t="n">
        <x:v>235</x:v>
      </x:c>
      <x:c r="M582" s="168" t="str">
        <x:v>Comparative</x:v>
      </x:c>
      <x:c r="N582" s="171" t="str">
        <x:v>Printed amount independently located</x:v>
      </x:c>
      <x:c r="O582" s="171" t="str">
        <x:v>Exact source amount found; audited year/current-comparative column recorded. Accounting subtotal tests performed separately.</x:v>
      </x:c>
      <x:c r="P582" s="171" t="str">
        <x:v>penses 31  (1,825,578)  (1,512,279)
Finance costs 32  (1,169,770)  (394,517)
Other expenses 33  (2,442,585)  (1,847,039)
Other income 34  6,047,423   7,387,800 
Profit before taxation   21,343,274   21,421,232 
Taxation 35  (7,617,460)  (6,122,614)
Profit after taxation   13,725,814   15,298,618 
   (PKR)
Earnings per share - basic a</x:v>
      </x:c>
    </x:row>
    <x:row r="583" ht="82" customHeight="1">
      <x:c r="A583" s="76" t="str">
        <x:v>LUCK|oth_inc|2023</x:v>
      </x:c>
      <x:c r="B583" s="76" t="str">
        <x:v>LUCK</x:v>
      </x:c>
      <x:c r="C583" s="76" t="str">
        <x:v>FY2023</x:v>
      </x:c>
      <x:c r="D583" s="76" t="str">
        <x:v>Other income</x:v>
      </x:c>
      <x:c r="E583" s="170" t="n">
        <x:v>6047423</x:v>
      </x:c>
      <x:c r="F583" s="170" t="n">
        <x:v>6047423</x:v>
      </x:c>
      <x:c r="G583" s="170" t="str">
        <x:v>PKR '000</x:v>
      </x:c>
      <x:c r="H583" s="170" t="n">
        <x:f>F583/1000</x:f>
        <x:v>6047.423</x:v>
      </x:c>
      <x:c r="I583" s="170" t="n">
        <x:f>LUCK!F92</x:f>
        <x:v>6047.423</x:v>
      </x:c>
      <x:c r="J583" s="170" t="n">
        <x:f>H583-I583</x:f>
        <x:v>0</x:v>
      </x:c>
      <x:c r="K583" s="76" t="str">
        <x:v>2024.pdf</x:v>
      </x:c>
      <x:c r="L583" s="76" t="n">
        <x:v>239</x:v>
      </x:c>
      <x:c r="M583" s="76" t="str">
        <x:v>Comparative</x:v>
      </x:c>
      <x:c r="N583" s="99" t="str">
        <x:v>Printed amount independently located</x:v>
      </x:c>
      <x:c r="O583" s="99" t="str">
        <x:v>Exact source amount found; audited year/current-comparative column recorded. Accounting subtotal tests performed separately.</x:v>
      </x:c>
      <x:c r="P583" s="99" t="str">
        <x:v>2,160,682)
  (1,825,578)
Finance cost
 32
  (1,581,168)
  (1,169,770)
Other expenses
 33
  (2,476,636)
  (2,442,585)
Other income
 34
  16,575,363 
  6,047,423 
Profit before Taxation and Levy
   41,387,564 
  21,343,274 
Levy
 2.2.1 &amp; 35
  (953,051)
  (437,833)
Profit before Taxation
   40,434,513 
  20,905,441 
Taxation
 35
  (12,327,9</x:v>
      </x:c>
    </x:row>
    <x:row r="584" ht="82" customHeight="1">
      <x:c r="A584" s="168" t="str">
        <x:v>LUCK|oth_inc|2024</x:v>
      </x:c>
      <x:c r="B584" s="168" t="str">
        <x:v>LUCK</x:v>
      </x:c>
      <x:c r="C584" s="168" t="str">
        <x:v>FY2024</x:v>
      </x:c>
      <x:c r="D584" s="168" t="str">
        <x:v>Other income</x:v>
      </x:c>
      <x:c r="E584" s="169" t="n">
        <x:v>16575363</x:v>
      </x:c>
      <x:c r="F584" s="169" t="n">
        <x:v>16575363</x:v>
      </x:c>
      <x:c r="G584" s="169" t="str">
        <x:v>PKR '000</x:v>
      </x:c>
      <x:c r="H584" s="169" t="n">
        <x:f>F584/1000</x:f>
        <x:v>16575.363</x:v>
      </x:c>
      <x:c r="I584" s="169" t="n">
        <x:f>LUCK!G92</x:f>
        <x:v>16575.363</x:v>
      </x:c>
      <x:c r="J584" s="169" t="n">
        <x:f>H584-I584</x:f>
        <x:v>0</x:v>
      </x:c>
      <x:c r="K584" s="168" t="str">
        <x:v>2025.pdf</x:v>
      </x:c>
      <x:c r="L584" s="168" t="n">
        <x:v>241</x:v>
      </x:c>
      <x:c r="M584" s="168" t="str">
        <x:v>Comparative</x:v>
      </x:c>
      <x:c r="N584" s="171" t="str">
        <x:v>Printed amount independently located</x:v>
      </x:c>
      <x:c r="O584" s="171" t="str">
        <x:v>Exact source amount found; audited year/current-comparative column recorded. Accounting subtotal tests performed separately.</x:v>
      </x:c>
      <x:c r="P584" s="171" t="str">
        <x:v>ses 30  (2,427,249)  (2,160,682)
Finance costs 31  (1,370,569)  (1,581,168)
Other expenses 32  (3,056,913)  (2,476,636)
Other income 33  20,465,921   16,575,363 
Profit before taxation and levy   47,323,059   41,387,564 
Levy 34  (329,600)  (953,051)
Profit before taxation   46,993,459   40,434,513 
Taxation 34  (13,901,297)  (12,327,974)</x:v>
      </x:c>
    </x:row>
    <x:row r="585" ht="82" customHeight="1">
      <x:c r="A585" s="76" t="str">
        <x:v>LUCK|oth_inc|2025</x:v>
      </x:c>
      <x:c r="B585" s="76" t="str">
        <x:v>LUCK</x:v>
      </x:c>
      <x:c r="C585" s="76" t="str">
        <x:v>FY2025</x:v>
      </x:c>
      <x:c r="D585" s="76" t="str">
        <x:v>Other income</x:v>
      </x:c>
      <x:c r="E585" s="170" t="n">
        <x:v>20465921</x:v>
      </x:c>
      <x:c r="F585" s="170" t="n">
        <x:v>20465921</x:v>
      </x:c>
      <x:c r="G585" s="170" t="str">
        <x:v>PKR '000</x:v>
      </x:c>
      <x:c r="H585" s="170" t="n">
        <x:f>F585/1000</x:f>
        <x:v>20465.921</x:v>
      </x:c>
      <x:c r="I585" s="170" t="n">
        <x:f>LUCK!H92</x:f>
        <x:v>20465.921</x:v>
      </x:c>
      <x:c r="J585" s="170" t="n">
        <x:f>H585-I585</x:f>
        <x:v>0</x:v>
      </x:c>
      <x:c r="K585" s="76" t="str">
        <x:v>2025.pdf</x:v>
      </x:c>
      <x:c r="L585" s="76" t="n">
        <x:v>241</x:v>
      </x:c>
      <x:c r="M585" s="76" t="str">
        <x:v>Current year</x:v>
      </x:c>
      <x:c r="N585" s="99" t="str">
        <x:v>Printed amount independently located</x:v>
      </x:c>
      <x:c r="O585" s="99" t="str">
        <x:v>Exact source amount found; audited year/current-comparative column recorded. Accounting subtotal tests performed separately.</x:v>
      </x:c>
      <x:c r="P585" s="99" t="str">
        <x:v>trative expenses 30  (2,427,249)  (2,160,682)
Finance costs 31  (1,370,569)  (1,581,168)
Other expenses 32  (3,056,913)  (2,476,636)
Other income 33  20,465,921   16,575,363 
Profit before taxation and levy   47,323,059   41,387,564 
Levy 34  (329,600)  (953,051)
Profit before taxation   46,993,459   40,434,513 
Taxation 34  (13,901,297)</x:v>
      </x:c>
    </x:row>
    <x:row r="586" ht="82" customHeight="1">
      <x:c r="A586" s="168" t="str">
        <x:v>LUCK|fin_inc|2021</x:v>
      </x:c>
      <x:c r="B586" s="168" t="str">
        <x:v>LUCK</x:v>
      </x:c>
      <x:c r="C586" s="168" t="str">
        <x:v>FY2021</x:v>
      </x:c>
      <x:c r="D586" s="168" t="str">
        <x:v>Finance income (where presented separately)</x:v>
      </x:c>
      <x:c r="E586" s="169" t="n">
        <x:v>0</x:v>
      </x:c>
      <x:c r="F586" s="169" t="n">
        <x:v>0</x:v>
      </x:c>
      <x:c r="G586" s="169" t="str">
        <x:v>PKR '000</x:v>
      </x:c>
      <x:c r="H586" s="169" t="n">
        <x:f>F586/1000</x:f>
        <x:v>0</x:v>
      </x:c>
      <x:c r="I586" s="169" t="n">
        <x:f>LUCK!D93</x:f>
        <x:v>0</x:v>
      </x:c>
      <x:c r="J586" s="169" t="n">
        <x:f>H586-I586</x:f>
        <x:v>0</x:v>
      </x:c>
      <x:c r="K586" s="168" t="str">
        <x:v>2022.pdf</x:v>
      </x:c>
      <x:c r="L586" s="168" t="n">
        <x:v>227</x:v>
      </x:c>
      <x:c r="M586" s="168" t="str">
        <x:v>Comparative</x:v>
      </x:c>
      <x:c r="N586" s="171" t="str">
        <x:v>Zero / no separate line in audited presentation</x:v>
      </x:c>
      <x:c r="O586" s="171" t="str">
        <x:v>Zero classification checked within the audited statement/note and reconstructed statement totals; absence of a separate line does not imply a missing replacement estimate.</x:v>
      </x:c>
      <x:c r="P586" s="171" t="str">
        <x:v>
  Note 2022 2021
   (PKR in ‘000’)
Gross sales 28  108,600,945   88,357,695 
Less:  Sales tax and federal excise duty   26,133,535   23,861,689 
   | Finance income (where presented separately)</x:v>
      </x:c>
    </x:row>
    <x:row r="587" ht="82" customHeight="1">
      <x:c r="A587" s="76" t="str">
        <x:v>LUCK|fin_inc|2022</x:v>
      </x:c>
      <x:c r="B587" s="76" t="str">
        <x:v>LUCK</x:v>
      </x:c>
      <x:c r="C587" s="76" t="str">
        <x:v>FY2022</x:v>
      </x:c>
      <x:c r="D587" s="76" t="str">
        <x:v>Finance income (where presented separately)</x:v>
      </x:c>
      <x:c r="E587" s="170" t="n">
        <x:v>0</x:v>
      </x:c>
      <x:c r="F587" s="170" t="n">
        <x:v>0</x:v>
      </x:c>
      <x:c r="G587" s="170" t="str">
        <x:v>PKR '000</x:v>
      </x:c>
      <x:c r="H587" s="170" t="n">
        <x:f>F587/1000</x:f>
        <x:v>0</x:v>
      </x:c>
      <x:c r="I587" s="170" t="n">
        <x:f>LUCK!E93</x:f>
        <x:v>0</x:v>
      </x:c>
      <x:c r="J587" s="170" t="n">
        <x:f>H587-I587</x:f>
        <x:v>0</x:v>
      </x:c>
      <x:c r="K587" s="76" t="str">
        <x:v>2023.pdf</x:v>
      </x:c>
      <x:c r="L587" s="76" t="n">
        <x:v>235</x:v>
      </x:c>
      <x:c r="M587" s="76" t="str">
        <x:v>Comparative</x:v>
      </x:c>
      <x:c r="N587" s="99" t="str">
        <x:v>Zero / no separate line in audited presentation</x:v>
      </x:c>
      <x:c r="O587" s="99" t="str">
        <x:v>Zero classification checked within the audited statement/note and reconstructed statement totals; absence of a separate line does not imply a missing replacement estimate.</x:v>
      </x:c>
      <x:c r="P587" s="99" t="str">
        <x:v>
  Note 2023 2022
   (PKR in ‘000’)
Gross sales 28  125,819,372   108,600,945 
Less:  Sales tax and federal excise duty   28,481,690   26,133,535 
  | Finance income (where presented separately)</x:v>
      </x:c>
    </x:row>
    <x:row r="588" ht="82" customHeight="1">
      <x:c r="A588" s="168" t="str">
        <x:v>LUCK|fin_inc|2023</x:v>
      </x:c>
      <x:c r="B588" s="168" t="str">
        <x:v>LUCK</x:v>
      </x:c>
      <x:c r="C588" s="168" t="str">
        <x:v>FY2023</x:v>
      </x:c>
      <x:c r="D588" s="168" t="str">
        <x:v>Finance income (where presented separately)</x:v>
      </x:c>
      <x:c r="E588" s="169" t="n">
        <x:v>0</x:v>
      </x:c>
      <x:c r="F588" s="169" t="n">
        <x:v>0</x:v>
      </x:c>
      <x:c r="G588" s="169" t="str">
        <x:v>PKR '000</x:v>
      </x:c>
      <x:c r="H588" s="169" t="n">
        <x:f>F588/1000</x:f>
        <x:v>0</x:v>
      </x:c>
      <x:c r="I588" s="169" t="n">
        <x:f>LUCK!F93</x:f>
        <x:v>0</x:v>
      </x:c>
      <x:c r="J588" s="169" t="n">
        <x:f>H588-I588</x:f>
        <x:v>0</x:v>
      </x:c>
      <x:c r="K588" s="168" t="str">
        <x:v>2024.pdf</x:v>
      </x:c>
      <x:c r="L588" s="168" t="n">
        <x:v>239</x:v>
      </x:c>
      <x:c r="M588" s="168" t="str">
        <x:v>Comparative</x:v>
      </x:c>
      <x:c r="N588" s="171" t="str">
        <x:v>Zero / no separate line in audited presentation</x:v>
      </x:c>
      <x:c r="O588" s="171" t="str">
        <x:v>Zero classification checked within the audited statement/note and reconstructed statement totals; absence of a separate line does not imply a missing replacement estimate.</x:v>
      </x:c>
      <x:c r="P588" s="171" t="str">
        <x:v>
Unconsolidated Statement of
Profit or Loss
For the year ended June 30, 2024
Muhammad Ali Tabba
Chief Executive
Muhammad Sohail Tabba
Chairman / Direc | Finance income (where presented separately)</x:v>
      </x:c>
    </x:row>
    <x:row r="589" ht="82" customHeight="1">
      <x:c r="A589" s="76" t="str">
        <x:v>LUCK|fin_inc|2024</x:v>
      </x:c>
      <x:c r="B589" s="76" t="str">
        <x:v>LUCK</x:v>
      </x:c>
      <x:c r="C589" s="76" t="str">
        <x:v>FY2024</x:v>
      </x:c>
      <x:c r="D589" s="76" t="str">
        <x:v>Finance income (where presented separately)</x:v>
      </x:c>
      <x:c r="E589" s="170" t="n">
        <x:v>0</x:v>
      </x:c>
      <x:c r="F589" s="170" t="n">
        <x:v>0</x:v>
      </x:c>
      <x:c r="G589" s="170" t="str">
        <x:v>PKR '000</x:v>
      </x:c>
      <x:c r="H589" s="170" t="n">
        <x:f>F589/1000</x:f>
        <x:v>0</x:v>
      </x:c>
      <x:c r="I589" s="170" t="n">
        <x:f>LUCK!G93</x:f>
        <x:v>0</x:v>
      </x:c>
      <x:c r="J589" s="170" t="n">
        <x:f>H589-I589</x:f>
        <x:v>0</x:v>
      </x:c>
      <x:c r="K589" s="76" t="str">
        <x:v>2025.pdf</x:v>
      </x:c>
      <x:c r="L589" s="76" t="n">
        <x:v>241</x:v>
      </x:c>
      <x:c r="M589" s="76" t="str">
        <x:v>Comparative</x:v>
      </x:c>
      <x:c r="N589" s="99" t="str">
        <x:v>Zero / no separate line in audited presentation</x:v>
      </x:c>
      <x:c r="O589" s="99" t="str">
        <x:v>Zero classification checked within the audited statement/note and reconstructed statement totals; absence of a separate line does not imply a missing replacement estimate.</x:v>
      </x:c>
      <x:c r="P589" s="99" t="str">
        <x:v>
Unconsolidated Statement of
Profit or Loss
For the year ended June 30, 2025
  Note 2025 2024
   (PKR in ‘000’)
Gross Revenue 27  174,302,064   151,80 | Finance income (where presented separately)</x:v>
      </x:c>
    </x:row>
    <x:row r="590" ht="82" customHeight="1">
      <x:c r="A590" s="168" t="str">
        <x:v>LUCK|fin_inc|2025</x:v>
      </x:c>
      <x:c r="B590" s="168" t="str">
        <x:v>LUCK</x:v>
      </x:c>
      <x:c r="C590" s="168" t="str">
        <x:v>FY2025</x:v>
      </x:c>
      <x:c r="D590" s="168" t="str">
        <x:v>Finance income (where presented separately)</x:v>
      </x:c>
      <x:c r="E590" s="169" t="n">
        <x:v>0</x:v>
      </x:c>
      <x:c r="F590" s="169" t="n">
        <x:v>0</x:v>
      </x:c>
      <x:c r="G590" s="169" t="str">
        <x:v>PKR '000</x:v>
      </x:c>
      <x:c r="H590" s="169" t="n">
        <x:f>F590/1000</x:f>
        <x:v>0</x:v>
      </x:c>
      <x:c r="I590" s="169" t="n">
        <x:f>LUCK!H93</x:f>
        <x:v>0</x:v>
      </x:c>
      <x:c r="J590" s="169" t="n">
        <x:f>H590-I590</x:f>
        <x:v>0</x:v>
      </x:c>
      <x:c r="K590" s="168" t="str">
        <x:v>2025.pdf</x:v>
      </x:c>
      <x:c r="L590" s="168" t="n">
        <x:v>241</x:v>
      </x:c>
      <x:c r="M590" s="168" t="str">
        <x:v>Current year</x:v>
      </x:c>
      <x:c r="N590" s="171" t="str">
        <x:v>Zero / no separate line in audited presentation</x:v>
      </x:c>
      <x:c r="O590" s="171" t="str">
        <x:v>Zero classification checked within the audited statement/note and reconstructed statement totals; absence of a separate line does not imply a missing replacement estimate.</x:v>
      </x:c>
      <x:c r="P590" s="171" t="str">
        <x:v>
Unconsolidated Statement of
Profit or Loss
For the year ended June 30, 2025
  Note 2025 2024
   (PKR in ‘000’)
Gross Revenue 27  174,302,064   151,80 | Finance income (where presented separately)</x:v>
      </x:c>
    </x:row>
    <x:row r="591" ht="82" customHeight="1">
      <x:c r="A591" s="76" t="str">
        <x:v>LUCK|assoc|2021</x:v>
      </x:c>
      <x:c r="B591" s="76" t="str">
        <x:v>LUCK</x:v>
      </x:c>
      <x:c r="C591" s="76" t="str">
        <x:v>FY2021</x:v>
      </x:c>
      <x:c r="D591" s="76" t="str">
        <x:v>Share of profit of associate</x:v>
      </x:c>
      <x:c r="E591" s="170" t="n">
        <x:v>0</x:v>
      </x:c>
      <x:c r="F591" s="170" t="n">
        <x:v>0</x:v>
      </x:c>
      <x:c r="G591" s="170" t="str">
        <x:v>PKR '000</x:v>
      </x:c>
      <x:c r="H591" s="170" t="n">
        <x:f>F591/1000</x:f>
        <x:v>0</x:v>
      </x:c>
      <x:c r="I591" s="170" t="n">
        <x:f>LUCK!D94</x:f>
        <x:v>0</x:v>
      </x:c>
      <x:c r="J591" s="170" t="n">
        <x:f>H591-I591</x:f>
        <x:v>0</x:v>
      </x:c>
      <x:c r="K591" s="76" t="str">
        <x:v>2022.pdf</x:v>
      </x:c>
      <x:c r="L591" s="76" t="n">
        <x:v>227</x:v>
      </x:c>
      <x:c r="M591" s="76" t="str">
        <x:v>Comparative</x:v>
      </x:c>
      <x:c r="N591" s="99" t="str">
        <x:v>Zero / no separate line in audited presentation</x:v>
      </x:c>
      <x:c r="O591" s="99" t="str">
        <x:v>Zero classification checked within the audited statement/note and reconstructed statement totals; absence of a separate line does not imply a missing replacement estimate.</x:v>
      </x:c>
      <x:c r="P591" s="99" t="str">
        <x:v>
  Note 2022 2021
   (PKR in ‘000’)
Gross sales 28  108,600,945   88,357,695 
Less:  Sales tax and federal excise duty   26,133,535   23,861,689 
   | Share of profit of associate</x:v>
      </x:c>
    </x:row>
    <x:row r="592" ht="82" customHeight="1">
      <x:c r="A592" s="168" t="str">
        <x:v>LUCK|assoc|2022</x:v>
      </x:c>
      <x:c r="B592" s="168" t="str">
        <x:v>LUCK</x:v>
      </x:c>
      <x:c r="C592" s="168" t="str">
        <x:v>FY2022</x:v>
      </x:c>
      <x:c r="D592" s="168" t="str">
        <x:v>Share of profit of associate</x:v>
      </x:c>
      <x:c r="E592" s="169" t="n">
        <x:v>0</x:v>
      </x:c>
      <x:c r="F592" s="169" t="n">
        <x:v>0</x:v>
      </x:c>
      <x:c r="G592" s="169" t="str">
        <x:v>PKR '000</x:v>
      </x:c>
      <x:c r="H592" s="169" t="n">
        <x:f>F592/1000</x:f>
        <x:v>0</x:v>
      </x:c>
      <x:c r="I592" s="169" t="n">
        <x:f>LUCK!E94</x:f>
        <x:v>0</x:v>
      </x:c>
      <x:c r="J592" s="169" t="n">
        <x:f>H592-I592</x:f>
        <x:v>0</x:v>
      </x:c>
      <x:c r="K592" s="168" t="str">
        <x:v>2023.pdf</x:v>
      </x:c>
      <x:c r="L592" s="168" t="n">
        <x:v>235</x:v>
      </x:c>
      <x:c r="M592" s="168" t="str">
        <x:v>Comparative</x:v>
      </x:c>
      <x:c r="N592" s="171" t="str">
        <x:v>Zero / no separate line in audited presentation</x:v>
      </x:c>
      <x:c r="O592" s="171" t="str">
        <x:v>Zero classification checked within the audited statement/note and reconstructed statement totals; absence of a separate line does not imply a missing replacement estimate.</x:v>
      </x:c>
      <x:c r="P592" s="171" t="str">
        <x:v>
  Note 2023 2022
   (PKR in ‘000’)
Gross sales 28  125,819,372   108,600,945 
Less:  Sales tax and federal excise duty   28,481,690   26,133,535 
  | Share of profit of associate</x:v>
      </x:c>
    </x:row>
    <x:row r="593" ht="82" customHeight="1">
      <x:c r="A593" s="76" t="str">
        <x:v>LUCK|assoc|2023</x:v>
      </x:c>
      <x:c r="B593" s="76" t="str">
        <x:v>LUCK</x:v>
      </x:c>
      <x:c r="C593" s="76" t="str">
        <x:v>FY2023</x:v>
      </x:c>
      <x:c r="D593" s="76" t="str">
        <x:v>Share of profit of associate</x:v>
      </x:c>
      <x:c r="E593" s="170" t="n">
        <x:v>0</x:v>
      </x:c>
      <x:c r="F593" s="170" t="n">
        <x:v>0</x:v>
      </x:c>
      <x:c r="G593" s="170" t="str">
        <x:v>PKR '000</x:v>
      </x:c>
      <x:c r="H593" s="170" t="n">
        <x:f>F593/1000</x:f>
        <x:v>0</x:v>
      </x:c>
      <x:c r="I593" s="170" t="n">
        <x:f>LUCK!F94</x:f>
        <x:v>0</x:v>
      </x:c>
      <x:c r="J593" s="170" t="n">
        <x:f>H593-I593</x:f>
        <x:v>0</x:v>
      </x:c>
      <x:c r="K593" s="76" t="str">
        <x:v>2024.pdf</x:v>
      </x:c>
      <x:c r="L593" s="76" t="n">
        <x:v>239</x:v>
      </x:c>
      <x:c r="M593" s="76" t="str">
        <x:v>Comparative</x:v>
      </x:c>
      <x:c r="N593" s="99" t="str">
        <x:v>Zero / no separate line in audited presentation</x:v>
      </x:c>
      <x:c r="O593" s="99" t="str">
        <x:v>Zero classification checked within the audited statement/note and reconstructed statement totals; absence of a separate line does not imply a missing replacement estimate.</x:v>
      </x:c>
      <x:c r="P593" s="99" t="str">
        <x:v>
Unconsolidated Statement of
Profit or Loss
For the year ended June 30, 2024
Muhammad Ali Tabba
Chief Executive
Muhammad Sohail Tabba
Chairman / Direc | Share of profit of associate</x:v>
      </x:c>
    </x:row>
    <x:row r="594" ht="82" customHeight="1">
      <x:c r="A594" s="168" t="str">
        <x:v>LUCK|assoc|2024</x:v>
      </x:c>
      <x:c r="B594" s="168" t="str">
        <x:v>LUCK</x:v>
      </x:c>
      <x:c r="C594" s="168" t="str">
        <x:v>FY2024</x:v>
      </x:c>
      <x:c r="D594" s="168" t="str">
        <x:v>Share of profit of associate</x:v>
      </x:c>
      <x:c r="E594" s="169" t="n">
        <x:v>0</x:v>
      </x:c>
      <x:c r="F594" s="169" t="n">
        <x:v>0</x:v>
      </x:c>
      <x:c r="G594" s="169" t="str">
        <x:v>PKR '000</x:v>
      </x:c>
      <x:c r="H594" s="169" t="n">
        <x:f>F594/1000</x:f>
        <x:v>0</x:v>
      </x:c>
      <x:c r="I594" s="169" t="n">
        <x:f>LUCK!G94</x:f>
        <x:v>0</x:v>
      </x:c>
      <x:c r="J594" s="169" t="n">
        <x:f>H594-I594</x:f>
        <x:v>0</x:v>
      </x:c>
      <x:c r="K594" s="168" t="str">
        <x:v>2025.pdf</x:v>
      </x:c>
      <x:c r="L594" s="168" t="n">
        <x:v>241</x:v>
      </x:c>
      <x:c r="M594" s="168" t="str">
        <x:v>Comparative</x:v>
      </x:c>
      <x:c r="N594" s="171" t="str">
        <x:v>Zero / no separate line in audited presentation</x:v>
      </x:c>
      <x:c r="O594" s="171" t="str">
        <x:v>Zero classification checked within the audited statement/note and reconstructed statement totals; absence of a separate line does not imply a missing replacement estimate.</x:v>
      </x:c>
      <x:c r="P594" s="171" t="str">
        <x:v>
Unconsolidated Statement of
Profit or Loss
For the year ended June 30, 2025
  Note 2025 2024
   (PKR in ‘000’)
Gross Revenue 27  174,302,064   151,80 | Share of profit of associate</x:v>
      </x:c>
    </x:row>
    <x:row r="595" ht="82" customHeight="1">
      <x:c r="A595" s="76" t="str">
        <x:v>LUCK|assoc|2025</x:v>
      </x:c>
      <x:c r="B595" s="76" t="str">
        <x:v>LUCK</x:v>
      </x:c>
      <x:c r="C595" s="76" t="str">
        <x:v>FY2025</x:v>
      </x:c>
      <x:c r="D595" s="76" t="str">
        <x:v>Share of profit of associate</x:v>
      </x:c>
      <x:c r="E595" s="170" t="n">
        <x:v>0</x:v>
      </x:c>
      <x:c r="F595" s="170" t="n">
        <x:v>0</x:v>
      </x:c>
      <x:c r="G595" s="170" t="str">
        <x:v>PKR '000</x:v>
      </x:c>
      <x:c r="H595" s="170" t="n">
        <x:f>F595/1000</x:f>
        <x:v>0</x:v>
      </x:c>
      <x:c r="I595" s="170" t="n">
        <x:f>LUCK!H94</x:f>
        <x:v>0</x:v>
      </x:c>
      <x:c r="J595" s="170" t="n">
        <x:f>H595-I595</x:f>
        <x:v>0</x:v>
      </x:c>
      <x:c r="K595" s="76" t="str">
        <x:v>2025.pdf</x:v>
      </x:c>
      <x:c r="L595" s="76" t="n">
        <x:v>241</x:v>
      </x:c>
      <x:c r="M595" s="76" t="str">
        <x:v>Current year</x:v>
      </x:c>
      <x:c r="N595" s="99" t="str">
        <x:v>Zero / no separate line in audited presentation</x:v>
      </x:c>
      <x:c r="O595" s="99" t="str">
        <x:v>Zero classification checked within the audited statement/note and reconstructed statement totals; absence of a separate line does not imply a missing replacement estimate.</x:v>
      </x:c>
      <x:c r="P595" s="99" t="str">
        <x:v>
Unconsolidated Statement of
Profit or Loss
For the year ended June 30, 2025
  Note 2025 2024
   (PKR in ‘000’)
Gross Revenue 27  174,302,064   151,80 | Share of profit of associate</x:v>
      </x:c>
    </x:row>
    <x:row r="596" ht="82" customHeight="1">
      <x:c r="A596" s="168" t="str">
        <x:v>LUCK|fin_cost|2021</x:v>
      </x:c>
      <x:c r="B596" s="168" t="str">
        <x:v>LUCK</x:v>
      </x:c>
      <x:c r="C596" s="168" t="str">
        <x:v>FY2021</x:v>
      </x:c>
      <x:c r="D596" s="168" t="str">
        <x:v>Finance cost</x:v>
      </x:c>
      <x:c r="E596" s="169" t="n">
        <x:v>-332905</x:v>
      </x:c>
      <x:c r="F596" s="169" t="n">
        <x:v>-332905</x:v>
      </x:c>
      <x:c r="G596" s="169" t="str">
        <x:v>PKR '000</x:v>
      </x:c>
      <x:c r="H596" s="169" t="n">
        <x:f>F596/1000</x:f>
        <x:v>-332.905</x:v>
      </x:c>
      <x:c r="I596" s="169" t="n">
        <x:f>LUCK!D95</x:f>
        <x:v>-332.905</x:v>
      </x:c>
      <x:c r="J596" s="169" t="n">
        <x:f>H596-I596</x:f>
        <x:v>0</x:v>
      </x:c>
      <x:c r="K596" s="168" t="str">
        <x:v>2022.pdf</x:v>
      </x:c>
      <x:c r="L596" s="168" t="n">
        <x:v>227</x:v>
      </x:c>
      <x:c r="M596" s="168" t="str">
        <x:v>Comparative</x:v>
      </x:c>
      <x:c r="N596" s="171" t="str">
        <x:v>Printed amount independently located</x:v>
      </x:c>
      <x:c r="O596" s="171" t="str">
        <x:v>Exact source amount found; audited year/current-comparative column recorded. Accounting subtotal tests performed separately.</x:v>
      </x:c>
      <x:c r="P596" s="171" t="str">
        <x:v>,841   18,955,932 
Distribution cost 30  (4,764,574)  (4,859,096)
Administrative expenses 31  (1,512,279)  (1,257,074)
Finance costs 32  (394,517)  (332,905)
Other expenses 33  (1,847,039)  (1,507,673)
Other income 34  7,387,800   5,993,029 
Profit before taxation   21,421,232   16,992,213 
T axation 35  (6,122,614)  (2,922,024)
Prof</x:v>
      </x:c>
    </x:row>
    <x:row r="597" ht="82" customHeight="1">
      <x:c r="A597" s="76" t="str">
        <x:v>LUCK|fin_cost|2022</x:v>
      </x:c>
      <x:c r="B597" s="76" t="str">
        <x:v>LUCK</x:v>
      </x:c>
      <x:c r="C597" s="76" t="str">
        <x:v>FY2022</x:v>
      </x:c>
      <x:c r="D597" s="76" t="str">
        <x:v>Finance cost</x:v>
      </x:c>
      <x:c r="E597" s="170" t="n">
        <x:v>-394517</x:v>
      </x:c>
      <x:c r="F597" s="170" t="n">
        <x:v>-394517</x:v>
      </x:c>
      <x:c r="G597" s="170" t="str">
        <x:v>PKR '000</x:v>
      </x:c>
      <x:c r="H597" s="170" t="n">
        <x:f>F597/1000</x:f>
        <x:v>-394.517</x:v>
      </x:c>
      <x:c r="I597" s="170" t="n">
        <x:f>LUCK!E95</x:f>
        <x:v>-394.517</x:v>
      </x:c>
      <x:c r="J597" s="170" t="n">
        <x:f>H597-I597</x:f>
        <x:v>0</x:v>
      </x:c>
      <x:c r="K597" s="76" t="str">
        <x:v>2023.pdf</x:v>
      </x:c>
      <x:c r="L597" s="76" t="n">
        <x:v>235</x:v>
      </x:c>
      <x:c r="M597" s="76" t="str">
        <x:v>Comparative</x:v>
      </x:c>
      <x:c r="N597" s="99" t="str">
        <x:v>Printed amount independently located</x:v>
      </x:c>
      <x:c r="O597" s="99" t="str">
        <x:v>Exact source amount found; audited year/current-comparative column recorded. Accounting subtotal tests performed separately.</x:v>
      </x:c>
      <x:c r="P597" s="99" t="str">
        <x:v>78   22,551,841 
Distribution cost 30  (5,326,894)  (4,764,574)
Administrative expenses 31  (1,825,578)  (1,512,279)
Finance costs 32  (1,169,770)  (394,517)
Other expenses 33  (2,442,585)  (1,847,039)
Other income 34  6,047,423   7,387,800 
Profit before taxation   21,343,274   21,421,232 
Taxation 35  (7,617,460)  (6,122,614)
Profi</x:v>
      </x:c>
    </x:row>
    <x:row r="598" ht="82" customHeight="1">
      <x:c r="A598" s="168" t="str">
        <x:v>LUCK|fin_cost|2023</x:v>
      </x:c>
      <x:c r="B598" s="168" t="str">
        <x:v>LUCK</x:v>
      </x:c>
      <x:c r="C598" s="168" t="str">
        <x:v>FY2023</x:v>
      </x:c>
      <x:c r="D598" s="168" t="str">
        <x:v>Finance cost</x:v>
      </x:c>
      <x:c r="E598" s="169" t="n">
        <x:v>-1169770</x:v>
      </x:c>
      <x:c r="F598" s="169" t="n">
        <x:v>-1169770</x:v>
      </x:c>
      <x:c r="G598" s="169" t="str">
        <x:v>PKR '000</x:v>
      </x:c>
      <x:c r="H598" s="169" t="n">
        <x:f>F598/1000</x:f>
        <x:v>-1169.77</x:v>
      </x:c>
      <x:c r="I598" s="169" t="n">
        <x:f>LUCK!F95</x:f>
        <x:v>-1169.77</x:v>
      </x:c>
      <x:c r="J598" s="169" t="n">
        <x:f>H598-I598</x:f>
        <x:v>0</x:v>
      </x:c>
      <x:c r="K598" s="168" t="str">
        <x:v>2024.pdf</x:v>
      </x:c>
      <x:c r="L598" s="168" t="n">
        <x:v>239</x:v>
      </x:c>
      <x:c r="M598" s="168" t="str">
        <x:v>Comparative</x:v>
      </x:c>
      <x:c r="N598" s="171" t="str">
        <x:v>Printed amount independently located</x:v>
      </x:c>
      <x:c r="O598" s="171" t="str">
        <x:v>Exact source amount found; audited year/current-comparative column recorded. Accounting subtotal tests performed separately.</x:v>
      </x:c>
      <x:c r="P598" s="171" t="str">
        <x:v>0,678 
Distribution cost
 30
  (7,773,885)
  (5,326,894)
Administrative expenses
 31
  (2,160,682)
  (1,825,578)
Finance cost
 32
  (1,581,168)
  (1,169,770)
Other expenses
 33
  (2,476,636)
  (2,442,585)
Other income
 34
  16,575,363 
  6,047,423 
Profit before Taxation and Levy
   41,387,564 
  21,343,274 
Levy
 2.2.1 &amp; 35
  (953,051</x:v>
      </x:c>
    </x:row>
    <x:row r="599" ht="82" customHeight="1">
      <x:c r="A599" s="76" t="str">
        <x:v>LUCK|fin_cost|2024</x:v>
      </x:c>
      <x:c r="B599" s="76" t="str">
        <x:v>LUCK</x:v>
      </x:c>
      <x:c r="C599" s="76" t="str">
        <x:v>FY2024</x:v>
      </x:c>
      <x:c r="D599" s="76" t="str">
        <x:v>Finance cost</x:v>
      </x:c>
      <x:c r="E599" s="170" t="n">
        <x:v>-1581168</x:v>
      </x:c>
      <x:c r="F599" s="170" t="n">
        <x:v>-1581168</x:v>
      </x:c>
      <x:c r="G599" s="170" t="str">
        <x:v>PKR '000</x:v>
      </x:c>
      <x:c r="H599" s="170" t="n">
        <x:f>F599/1000</x:f>
        <x:v>-1581.168</x:v>
      </x:c>
      <x:c r="I599" s="170" t="n">
        <x:f>LUCK!G95</x:f>
        <x:v>-1581.168</x:v>
      </x:c>
      <x:c r="J599" s="170" t="n">
        <x:f>H599-I599</x:f>
        <x:v>0</x:v>
      </x:c>
      <x:c r="K599" s="76" t="str">
        <x:v>2025.pdf</x:v>
      </x:c>
      <x:c r="L599" s="76" t="n">
        <x:v>241</x:v>
      </x:c>
      <x:c r="M599" s="76" t="str">
        <x:v>Comparative</x:v>
      </x:c>
      <x:c r="N599" s="99" t="str">
        <x:v>Printed amount independently located</x:v>
      </x:c>
      <x:c r="O599" s="99" t="str">
        <x:v>Exact source amount found; audited year/current-comparative column recorded. Accounting subtotal tests performed separately.</x:v>
      </x:c>
      <x:c r="P599" s="99" t="str">
        <x:v>684   38,804,572 
Distribution costs 29  (8,972,815)  (7,773,885)
Administrative expenses 30  (2,427,249)  (2,160,682)
Finance costs 31  (1,370,569)  (1,581,168)
Other expenses 32  (3,056,913)  (2,476,636)
Other income 33  20,465,921   16,575,363 
Profit before taxation and levy   47,323,059   41,387,564 
Levy 34  (329,600)  (953,051)
Prof</x:v>
      </x:c>
    </x:row>
    <x:row r="600" ht="82" customHeight="1">
      <x:c r="A600" s="168" t="str">
        <x:v>LUCK|fin_cost|2025</x:v>
      </x:c>
      <x:c r="B600" s="168" t="str">
        <x:v>LUCK</x:v>
      </x:c>
      <x:c r="C600" s="168" t="str">
        <x:v>FY2025</x:v>
      </x:c>
      <x:c r="D600" s="168" t="str">
        <x:v>Finance cost</x:v>
      </x:c>
      <x:c r="E600" s="169" t="n">
        <x:v>-1370569</x:v>
      </x:c>
      <x:c r="F600" s="169" t="n">
        <x:v>-1370569</x:v>
      </x:c>
      <x:c r="G600" s="169" t="str">
        <x:v>PKR '000</x:v>
      </x:c>
      <x:c r="H600" s="169" t="n">
        <x:f>F600/1000</x:f>
        <x:v>-1370.569</x:v>
      </x:c>
      <x:c r="I600" s="169" t="n">
        <x:f>LUCK!H95</x:f>
        <x:v>-1370.569</x:v>
      </x:c>
      <x:c r="J600" s="169" t="n">
        <x:f>H600-I600</x:f>
        <x:v>0</x:v>
      </x:c>
      <x:c r="K600" s="168" t="str">
        <x:v>2025.pdf</x:v>
      </x:c>
      <x:c r="L600" s="168" t="n">
        <x:v>241</x:v>
      </x:c>
      <x:c r="M600" s="168" t="str">
        <x:v>Current year</x:v>
      </x:c>
      <x:c r="N600" s="171" t="str">
        <x:v>Printed amount independently located</x:v>
      </x:c>
      <x:c r="O600" s="171" t="str">
        <x:v>Exact source amount found; audited year/current-comparative column recorded. Accounting subtotal tests performed separately.</x:v>
      </x:c>
      <x:c r="P600" s="171" t="str">
        <x:v>fit   42,684,684   38,804,572 
Distribution costs 29  (8,972,815)  (7,773,885)
Administrative expenses 30  (2,427,249)  (2,160,682)
Finance costs 31  (1,370,569)  (1,581,168)
Other expenses 32  (3,056,913)  (2,476,636)
Other income 33  20,465,921   16,575,363 
Profit before taxation and levy   47,323,059   41,387,564 
Levy 34  (329,600)  (</x:v>
      </x:c>
    </x:row>
    <x:row r="601" ht="82" customHeight="1">
      <x:c r="A601" s="76" t="str">
        <x:v>LUCK|levy|2021</x:v>
      </x:c>
      <x:c r="B601" s="76" t="str">
        <x:v>LUCK</x:v>
      </x:c>
      <x:c r="C601" s="76" t="str">
        <x:v>FY2021</x:v>
      </x:c>
      <x:c r="D601" s="76" t="str">
        <x:v>Levies (final / minimum taxes presented separately)</x:v>
      </x:c>
      <x:c r="E601" s="170" t="n">
        <x:v>0</x:v>
      </x:c>
      <x:c r="F601" s="170" t="n">
        <x:v>0</x:v>
      </x:c>
      <x:c r="G601" s="170" t="str">
        <x:v>PKR '000</x:v>
      </x:c>
      <x:c r="H601" s="170" t="n">
        <x:f>F601/1000</x:f>
        <x:v>0</x:v>
      </x:c>
      <x:c r="I601" s="170" t="n">
        <x:f>LUCK!D97</x:f>
        <x:v>0</x:v>
      </x:c>
      <x:c r="J601" s="170" t="n">
        <x:f>H601-I601</x:f>
        <x:v>0</x:v>
      </x:c>
      <x:c r="K601" s="76" t="str">
        <x:v>2022.pdf</x:v>
      </x:c>
      <x:c r="L601" s="76" t="n">
        <x:v>227</x:v>
      </x:c>
      <x:c r="M601" s="76" t="str">
        <x:v>Comparative</x:v>
      </x:c>
      <x:c r="N601" s="99" t="str">
        <x:v>Zero / no separate line in audited presentation</x:v>
      </x:c>
      <x:c r="O601" s="99" t="str">
        <x:v>Zero classification checked within the audited statement/note and reconstructed statement totals; absence of a separate line does not imply a missing replacement estimate.</x:v>
      </x:c>
      <x:c r="P601" s="99" t="str">
        <x:v>
  Note 2022 2021
   (PKR in ‘000’)
Gross sales 28  108,600,945   88,357,695 
Less:  Sales tax and federal excise duty   26,133,535   23,861,689 
   | Levies (final / minimum taxes presented separately)</x:v>
      </x:c>
    </x:row>
    <x:row r="602" ht="82" customHeight="1">
      <x:c r="A602" s="168" t="str">
        <x:v>LUCK|levy|2022</x:v>
      </x:c>
      <x:c r="B602" s="168" t="str">
        <x:v>LUCK</x:v>
      </x:c>
      <x:c r="C602" s="168" t="str">
        <x:v>FY2022</x:v>
      </x:c>
      <x:c r="D602" s="168" t="str">
        <x:v>Levies (final / minimum taxes presented separately)</x:v>
      </x:c>
      <x:c r="E602" s="169" t="n">
        <x:v>0</x:v>
      </x:c>
      <x:c r="F602" s="169" t="n">
        <x:v>0</x:v>
      </x:c>
      <x:c r="G602" s="169" t="str">
        <x:v>PKR '000</x:v>
      </x:c>
      <x:c r="H602" s="169" t="n">
        <x:f>F602/1000</x:f>
        <x:v>0</x:v>
      </x:c>
      <x:c r="I602" s="169" t="n">
        <x:f>LUCK!E97</x:f>
        <x:v>0</x:v>
      </x:c>
      <x:c r="J602" s="169" t="n">
        <x:f>H602-I602</x:f>
        <x:v>0</x:v>
      </x:c>
      <x:c r="K602" s="168" t="str">
        <x:v>2023.pdf</x:v>
      </x:c>
      <x:c r="L602" s="168" t="n">
        <x:v>235</x:v>
      </x:c>
      <x:c r="M602" s="168" t="str">
        <x:v>Comparative</x:v>
      </x:c>
      <x:c r="N602" s="171" t="str">
        <x:v>Zero / no separate line in audited presentation</x:v>
      </x:c>
      <x:c r="O602" s="171" t="str">
        <x:v>Zero classification checked within the audited statement/note and reconstructed statement totals; absence of a separate line does not imply a missing replacement estimate.</x:v>
      </x:c>
      <x:c r="P602" s="171" t="str">
        <x:v>
  Note 2023 2022
   (PKR in ‘000’)
Gross sales 28  125,819,372   108,600,945 
Less:  Sales tax and federal excise duty   28,481,690   26,133,535 
  | Levies (final / minimum taxes presented separately)</x:v>
      </x:c>
    </x:row>
    <x:row r="603" ht="82" customHeight="1">
      <x:c r="A603" s="76" t="str">
        <x:v>LUCK|levy|2023</x:v>
      </x:c>
      <x:c r="B603" s="76" t="str">
        <x:v>LUCK</x:v>
      </x:c>
      <x:c r="C603" s="76" t="str">
        <x:v>FY2023</x:v>
      </x:c>
      <x:c r="D603" s="76" t="str">
        <x:v>Levies (final / minimum taxes presented separately)</x:v>
      </x:c>
      <x:c r="E603" s="170" t="n">
        <x:v>-437833</x:v>
      </x:c>
      <x:c r="F603" s="170" t="n">
        <x:v>-437833</x:v>
      </x:c>
      <x:c r="G603" s="170" t="str">
        <x:v>PKR '000</x:v>
      </x:c>
      <x:c r="H603" s="170" t="n">
        <x:f>F603/1000</x:f>
        <x:v>-437.833</x:v>
      </x:c>
      <x:c r="I603" s="170" t="n">
        <x:f>LUCK!F97</x:f>
        <x:v>-437.833</x:v>
      </x:c>
      <x:c r="J603" s="170" t="n">
        <x:f>H603-I603</x:f>
        <x:v>0</x:v>
      </x:c>
      <x:c r="K603" s="76" t="str">
        <x:v>2024.pdf</x:v>
      </x:c>
      <x:c r="L603" s="76" t="n">
        <x:v>239</x:v>
      </x:c>
      <x:c r="M603" s="76" t="str">
        <x:v>Comparative</x:v>
      </x:c>
      <x:c r="N603" s="99" t="str">
        <x:v>Printed amount independently located</x:v>
      </x:c>
      <x:c r="O603" s="99" t="str">
        <x:v>Exact source amount found; audited year/current-comparative column recorded. Accounting subtotal tests performed separately.</x:v>
      </x:c>
      <x:c r="P603" s="99" t="str">
        <x:v>(2,442,585)
Other income
 34
  16,575,363 
  6,047,423 
Profit before Taxation and Levy
   41,387,564 
  21,343,274 
Levy
 2.2.1 &amp; 35
  (953,051)
  (437,833)
Profit before Taxation
   40,434,513 
  20,905,441 
Taxation
 35
  (12,327,974)
  (7,179,627)
Profit after Taxation
   28,106,539 
  13,725,814 
  (PKR)
Earnings per share - b</x:v>
      </x:c>
    </x:row>
    <x:row r="604" ht="82" customHeight="1">
      <x:c r="A604" s="168" t="str">
        <x:v>LUCK|levy|2024</x:v>
      </x:c>
      <x:c r="B604" s="168" t="str">
        <x:v>LUCK</x:v>
      </x:c>
      <x:c r="C604" s="168" t="str">
        <x:v>FY2024</x:v>
      </x:c>
      <x:c r="D604" s="168" t="str">
        <x:v>Levies (final / minimum taxes presented separately)</x:v>
      </x:c>
      <x:c r="E604" s="169" t="n">
        <x:v>-953051</x:v>
      </x:c>
      <x:c r="F604" s="169" t="n">
        <x:v>-953051</x:v>
      </x:c>
      <x:c r="G604" s="169" t="str">
        <x:v>PKR '000</x:v>
      </x:c>
      <x:c r="H604" s="169" t="n">
        <x:f>F604/1000</x:f>
        <x:v>-953.051</x:v>
      </x:c>
      <x:c r="I604" s="169" t="n">
        <x:f>LUCK!G97</x:f>
        <x:v>-953.051</x:v>
      </x:c>
      <x:c r="J604" s="169" t="n">
        <x:f>H604-I604</x:f>
        <x:v>0</x:v>
      </x:c>
      <x:c r="K604" s="168" t="str">
        <x:v>2025.pdf</x:v>
      </x:c>
      <x:c r="L604" s="168" t="n">
        <x:v>241</x:v>
      </x:c>
      <x:c r="M604" s="168" t="str">
        <x:v>Comparative</x:v>
      </x:c>
      <x:c r="N604" s="171" t="str">
        <x:v>Printed amount independently located</x:v>
      </x:c>
      <x:c r="O604" s="171" t="str">
        <x:v>Exact source amount found; audited year/current-comparative column recorded. Accounting subtotal tests performed separately.</x:v>
      </x:c>
      <x:c r="P604" s="171" t="str">
        <x:v>32  (3,056,913)  (2,476,636)
Other income 33  20,465,921   16,575,363 
Profit before taxation and levy   47,323,059   41,387,564 
Levy 34  (329,600)  (953,051)
Profit before taxation   46,993,459   40,434,513 
Taxation 34  (13,901,297)  (12,327,974)
Profit after taxation   33,092,162   28,106,539
    (PKR)
     Restated
Earnings per shar</x:v>
      </x:c>
    </x:row>
    <x:row r="605" ht="82" customHeight="1">
      <x:c r="A605" s="76" t="str">
        <x:v>LUCK|levy|2025</x:v>
      </x:c>
      <x:c r="B605" s="76" t="str">
        <x:v>LUCK</x:v>
      </x:c>
      <x:c r="C605" s="76" t="str">
        <x:v>FY2025</x:v>
      </x:c>
      <x:c r="D605" s="76" t="str">
        <x:v>Levies (final / minimum taxes presented separately)</x:v>
      </x:c>
      <x:c r="E605" s="170" t="n">
        <x:v>-329600</x:v>
      </x:c>
      <x:c r="F605" s="170" t="n">
        <x:v>-329600</x:v>
      </x:c>
      <x:c r="G605" s="170" t="str">
        <x:v>PKR '000</x:v>
      </x:c>
      <x:c r="H605" s="170" t="n">
        <x:f>F605/1000</x:f>
        <x:v>-329.6</x:v>
      </x:c>
      <x:c r="I605" s="170" t="n">
        <x:f>LUCK!H97</x:f>
        <x:v>-329.6</x:v>
      </x:c>
      <x:c r="J605" s="170" t="n">
        <x:f>H605-I605</x:f>
        <x:v>0</x:v>
      </x:c>
      <x:c r="K605" s="76" t="str">
        <x:v>2025.pdf</x:v>
      </x:c>
      <x:c r="L605" s="76" t="n">
        <x:v>241</x:v>
      </x:c>
      <x:c r="M605" s="76" t="str">
        <x:v>Current year</x:v>
      </x:c>
      <x:c r="N605" s="99" t="str">
        <x:v>Printed amount independently located</x:v>
      </x:c>
      <x:c r="O605" s="99" t="str">
        <x:v>Exact source amount found; audited year/current-comparative column recorded. Accounting subtotal tests performed separately.</x:v>
      </x:c>
      <x:c r="P605" s="99" t="str">
        <x:v>r expenses 32  (3,056,913)  (2,476,636)
Other income 33  20,465,921   16,575,363 
Profit before taxation and levy   47,323,059   41,387,564 
Levy 34  (329,600)  (953,051)
Profit before taxation   46,993,459   40,434,513 
Taxation 34  (13,901,297)  (12,327,974)
Profit after taxation   33,092,162   28,106,539
    (PKR)
     Restated
Earnin</x:v>
      </x:c>
    </x:row>
    <x:row r="606" ht="82" customHeight="1">
      <x:c r="A606" s="168" t="str">
        <x:v>LUCK|tax|2021</x:v>
      </x:c>
      <x:c r="B606" s="168" t="str">
        <x:v>LUCK</x:v>
      </x:c>
      <x:c r="C606" s="168" t="str">
        <x:v>FY2021</x:v>
      </x:c>
      <x:c r="D606" s="168" t="str">
        <x:v>Income tax</x:v>
      </x:c>
      <x:c r="E606" s="169" t="n">
        <x:v>-2922024</x:v>
      </x:c>
      <x:c r="F606" s="169" t="n">
        <x:v>-2922024</x:v>
      </x:c>
      <x:c r="G606" s="169" t="str">
        <x:v>PKR '000</x:v>
      </x:c>
      <x:c r="H606" s="169" t="n">
        <x:f>F606/1000</x:f>
        <x:v>-2922.024</x:v>
      </x:c>
      <x:c r="I606" s="169" t="n">
        <x:f>LUCK!D98</x:f>
        <x:v>-2922.024</x:v>
      </x:c>
      <x:c r="J606" s="169" t="n">
        <x:f>H606-I606</x:f>
        <x:v>0</x:v>
      </x:c>
      <x:c r="K606" s="168" t="str">
        <x:v>2022.pdf</x:v>
      </x:c>
      <x:c r="L606" s="168" t="n">
        <x:v>227</x:v>
      </x:c>
      <x:c r="M606" s="168" t="str">
        <x:v>Comparative</x:v>
      </x:c>
      <x:c r="N606" s="171" t="str">
        <x:v>Printed amount independently located</x:v>
      </x:c>
      <x:c r="O606" s="171" t="str">
        <x:v>Exact source amount found; audited year/current-comparative column recorded. Accounting subtotal tests performed separately.</x:v>
      </x:c>
      <x:c r="P606" s="171" t="str">
        <x:v>s 33  (1,847,039)  (1,507,673)
Other income 34  7,387,800   5,993,029 
Profit before taxation   21,421,232   16,992,213 
T axation 35  (6,122,614)  (2,922,024)
Profit after taxation   15,298,618   14,070,189 
   (PKR)
Earnings per share - basic and diluted  36  47.31   43.51 
The annexed notes from 1 to 46 form an integral part of thes</x:v>
      </x:c>
    </x:row>
    <x:row r="607" ht="82" customHeight="1">
      <x:c r="A607" s="76" t="str">
        <x:v>LUCK|tax|2022</x:v>
      </x:c>
      <x:c r="B607" s="76" t="str">
        <x:v>LUCK</x:v>
      </x:c>
      <x:c r="C607" s="76" t="str">
        <x:v>FY2022</x:v>
      </x:c>
      <x:c r="D607" s="76" t="str">
        <x:v>Income tax</x:v>
      </x:c>
      <x:c r="E607" s="170" t="n">
        <x:v>-6122614</x:v>
      </x:c>
      <x:c r="F607" s="170" t="n">
        <x:v>-6122614</x:v>
      </x:c>
      <x:c r="G607" s="170" t="str">
        <x:v>PKR '000</x:v>
      </x:c>
      <x:c r="H607" s="170" t="n">
        <x:f>F607/1000</x:f>
        <x:v>-6122.614</x:v>
      </x:c>
      <x:c r="I607" s="170" t="n">
        <x:f>LUCK!E98</x:f>
        <x:v>-6122.614</x:v>
      </x:c>
      <x:c r="J607" s="170" t="n">
        <x:f>H607-I607</x:f>
        <x:v>0</x:v>
      </x:c>
      <x:c r="K607" s="76" t="str">
        <x:v>2023.pdf</x:v>
      </x:c>
      <x:c r="L607" s="76" t="n">
        <x:v>235</x:v>
      </x:c>
      <x:c r="M607" s="76" t="str">
        <x:v>Comparative</x:v>
      </x:c>
      <x:c r="N607" s="99" t="str">
        <x:v>Printed amount independently located</x:v>
      </x:c>
      <x:c r="O607" s="99" t="str">
        <x:v>Exact source amount found; audited year/current-comparative column recorded. Accounting subtotal tests performed separately.</x:v>
      </x:c>
      <x:c r="P607" s="99" t="str">
        <x:v>es 33  (2,442,585)  (1,847,039)
Other income 34  6,047,423   7,387,800 
Profit before taxation   21,343,274   21,421,232 
Taxation 35  (7,617,460)  (6,122,614)
Profit after taxation   13,725,814   15,298,618 
   (PKR)
Earnings per share - basic and diluted  36  43.06   47.31 
The annexed notes from 1 to 46 form an integral part o</x:v>
      </x:c>
    </x:row>
    <x:row r="608" ht="82" customHeight="1">
      <x:c r="A608" s="168" t="str">
        <x:v>LUCK|tax|2023</x:v>
      </x:c>
      <x:c r="B608" s="168" t="str">
        <x:v>LUCK</x:v>
      </x:c>
      <x:c r="C608" s="168" t="str">
        <x:v>FY2023</x:v>
      </x:c>
      <x:c r="D608" s="168" t="str">
        <x:v>Income tax</x:v>
      </x:c>
      <x:c r="E608" s="169" t="n">
        <x:v>-7179627</x:v>
      </x:c>
      <x:c r="F608" s="169" t="n">
        <x:v>-7179627</x:v>
      </x:c>
      <x:c r="G608" s="169" t="str">
        <x:v>PKR '000</x:v>
      </x:c>
      <x:c r="H608" s="169" t="n">
        <x:f>F608/1000</x:f>
        <x:v>-7179.627</x:v>
      </x:c>
      <x:c r="I608" s="169" t="n">
        <x:f>LUCK!F98</x:f>
        <x:v>-7179.627</x:v>
      </x:c>
      <x:c r="J608" s="169" t="n">
        <x:f>H608-I608</x:f>
        <x:v>0</x:v>
      </x:c>
      <x:c r="K608" s="168" t="str">
        <x:v>2024.pdf</x:v>
      </x:c>
      <x:c r="L608" s="168" t="n">
        <x:v>239</x:v>
      </x:c>
      <x:c r="M608" s="168" t="str">
        <x:v>Comparative</x:v>
      </x:c>
      <x:c r="N608" s="171" t="str">
        <x:v>Printed amount independently located</x:v>
      </x:c>
      <x:c r="O608" s="171" t="str">
        <x:v>Exact source amount found; audited year/current-comparative column recorded. Accounting subtotal tests performed separately.</x:v>
      </x:c>
      <x:c r="P608" s="171" t="str">
        <x:v>41,387,564 
  21,343,274 
Levy
 2.2.1 &amp; 35
  (953,051)
  (437,833)
Profit before Taxation
   40,434,513 
  20,905,441 
Taxation
 35
  (12,327,974)
  (7,179,627)
Profit after Taxation
   28,106,539 
  13,725,814 
  (PKR)
Earnings per share - basic and diluted 
 36
  94.54 
  43.06 
The annexed notes from 1 to 46 form an integral part o</x:v>
      </x:c>
    </x:row>
    <x:row r="609" ht="82" customHeight="1">
      <x:c r="A609" s="76" t="str">
        <x:v>LUCK|tax|2024</x:v>
      </x:c>
      <x:c r="B609" s="76" t="str">
        <x:v>LUCK</x:v>
      </x:c>
      <x:c r="C609" s="76" t="str">
        <x:v>FY2024</x:v>
      </x:c>
      <x:c r="D609" s="76" t="str">
        <x:v>Income tax</x:v>
      </x:c>
      <x:c r="E609" s="170" t="n">
        <x:v>-12327974</x:v>
      </x:c>
      <x:c r="F609" s="170" t="n">
        <x:v>-12327974</x:v>
      </x:c>
      <x:c r="G609" s="170" t="str">
        <x:v>PKR '000</x:v>
      </x:c>
      <x:c r="H609" s="170" t="n">
        <x:f>F609/1000</x:f>
        <x:v>-12327.974</x:v>
      </x:c>
      <x:c r="I609" s="170" t="n">
        <x:f>LUCK!G98</x:f>
        <x:v>-12327.974</x:v>
      </x:c>
      <x:c r="J609" s="170" t="n">
        <x:f>H609-I609</x:f>
        <x:v>0</x:v>
      </x:c>
      <x:c r="K609" s="76" t="str">
        <x:v>2025.pdf</x:v>
      </x:c>
      <x:c r="L609" s="76" t="n">
        <x:v>241</x:v>
      </x:c>
      <x:c r="M609" s="76" t="str">
        <x:v>Comparative</x:v>
      </x:c>
      <x:c r="N609" s="99" t="str">
        <x:v>Printed amount independently located</x:v>
      </x:c>
      <x:c r="O609" s="99" t="str">
        <x:v>Exact source amount found; audited year/current-comparative column recorded. Accounting subtotal tests performed separately.</x:v>
      </x:c>
      <x:c r="P609" s="99" t="str">
        <x:v>xation and levy   47,323,059   41,387,564 
Levy 34  (329,600)  (953,051)
Profit before taxation   46,993,459   40,434,513 
Taxation 34  (13,901,297)  (12,327,974)
Profit after taxation   33,092,162   28,106,539
    (PKR)
     Restated
Earnings per share - basic and diluted  35  22.59   18.91
The annexed notes from 1 to 46 form an inte</x:v>
      </x:c>
    </x:row>
    <x:row r="610" ht="82" customHeight="1">
      <x:c r="A610" s="168" t="str">
        <x:v>LUCK|tax|2025</x:v>
      </x:c>
      <x:c r="B610" s="168" t="str">
        <x:v>LUCK</x:v>
      </x:c>
      <x:c r="C610" s="168" t="str">
        <x:v>FY2025</x:v>
      </x:c>
      <x:c r="D610" s="168" t="str">
        <x:v>Income tax</x:v>
      </x:c>
      <x:c r="E610" s="169" t="n">
        <x:v>-13901297</x:v>
      </x:c>
      <x:c r="F610" s="169" t="n">
        <x:v>-13901297</x:v>
      </x:c>
      <x:c r="G610" s="169" t="str">
        <x:v>PKR '000</x:v>
      </x:c>
      <x:c r="H610" s="169" t="n">
        <x:f>F610/1000</x:f>
        <x:v>-13901.297</x:v>
      </x:c>
      <x:c r="I610" s="169" t="n">
        <x:f>LUCK!H98</x:f>
        <x:v>-13901.297</x:v>
      </x:c>
      <x:c r="J610" s="169" t="n">
        <x:f>H610-I610</x:f>
        <x:v>0</x:v>
      </x:c>
      <x:c r="K610" s="168" t="str">
        <x:v>2025.pdf</x:v>
      </x:c>
      <x:c r="L610" s="168" t="n">
        <x:v>241</x:v>
      </x:c>
      <x:c r="M610" s="168" t="str">
        <x:v>Current year</x:v>
      </x:c>
      <x:c r="N610" s="171" t="str">
        <x:v>Printed amount independently located</x:v>
      </x:c>
      <x:c r="O610" s="171" t="str">
        <x:v>Exact source amount found; audited year/current-comparative column recorded. Accounting subtotal tests performed separately.</x:v>
      </x:c>
      <x:c r="P610" s="171" t="str">
        <x:v>ofit before taxation and levy   47,323,059   41,387,564 
Levy 34  (329,600)  (953,051)
Profit before taxation   46,993,459   40,434,513 
Taxation 34  (13,901,297)  (12,327,974)
Profit after taxation   33,092,162   28,106,539
    (PKR)
     Restated
Earnings per share - basic and diluted  35  22.59   18.91
The annexed notes from 1 to 4</x:v>
      </x:c>
    </x:row>
    <x:row r="611" ht="82" customHeight="1">
      <x:c r="A611" s="76" t="str">
        <x:v>LUCK|pr_gp|2021</x:v>
      </x:c>
      <x:c r="B611" s="76" t="str">
        <x:v>LUCK</x:v>
      </x:c>
      <x:c r="C611" s="76" t="str">
        <x:v>FY2021</x:v>
      </x:c>
      <x:c r="D611" s="76" t="str">
        <x:v>Printed gross profit</x:v>
      </x:c>
      <x:c r="E611" s="170" t="n">
        <x:v>18955932</x:v>
      </x:c>
      <x:c r="F611" s="170" t="n">
        <x:v>18955932</x:v>
      </x:c>
      <x:c r="G611" s="170" t="str">
        <x:v>PKR '000</x:v>
      </x:c>
      <x:c r="H611" s="170" t="n">
        <x:f>F611/1000</x:f>
        <x:v>18955.932</x:v>
      </x:c>
      <x:c r="I611" s="170" t="n">
        <x:f>LUCK!D100</x:f>
        <x:v>18955.932</x:v>
      </x:c>
      <x:c r="J611" s="170" t="n">
        <x:f>H611-I611</x:f>
        <x:v>0</x:v>
      </x:c>
      <x:c r="K611" s="76" t="str">
        <x:v>2022.pdf</x:v>
      </x:c>
      <x:c r="L611" s="76" t="n">
        <x:v>227</x:v>
      </x:c>
      <x:c r="M611" s="76" t="str">
        <x:v>Comparative</x:v>
      </x:c>
      <x:c r="N611" s="99" t="str">
        <x:v>Printed amount independently located</x:v>
      </x:c>
      <x:c r="O611" s="99" t="str">
        <x:v>Exact source amount found; audited year/current-comparative column recorded. Accounting subtotal tests performed separately.</x:v>
      </x:c>
      <x:c r="P611" s="99" t="str">
        <x:v>,555,201 
     27,507,420   25,416,890 
Net sales   81,093,525   62,940,805 
Cost of sales 29  (58,541,684)  (43,984,873)
Gross profit   22,551,841   18,955,932 
Distribution cost 30  (4,764,574)  (4,859,096)
Administrative expenses 31  (1,512,279)  (1,257,074)
Finance costs 32  (394,517)  (332,905)
Other expenses 33  (1,847,039)  (1,50</x:v>
      </x:c>
    </x:row>
    <x:row r="612" ht="82" customHeight="1">
      <x:c r="A612" s="168" t="str">
        <x:v>LUCK|pr_gp|2022</x:v>
      </x:c>
      <x:c r="B612" s="168" t="str">
        <x:v>LUCK</x:v>
      </x:c>
      <x:c r="C612" s="168" t="str">
        <x:v>FY2022</x:v>
      </x:c>
      <x:c r="D612" s="168" t="str">
        <x:v>Printed gross profit</x:v>
      </x:c>
      <x:c r="E612" s="169" t="n">
        <x:v>22551841</x:v>
      </x:c>
      <x:c r="F612" s="169" t="n">
        <x:v>22551841</x:v>
      </x:c>
      <x:c r="G612" s="169" t="str">
        <x:v>PKR '000</x:v>
      </x:c>
      <x:c r="H612" s="169" t="n">
        <x:f>F612/1000</x:f>
        <x:v>22551.841</x:v>
      </x:c>
      <x:c r="I612" s="169" t="n">
        <x:f>LUCK!E100</x:f>
        <x:v>22551.841</x:v>
      </x:c>
      <x:c r="J612" s="169" t="n">
        <x:f>H612-I612</x:f>
        <x:v>0</x:v>
      </x:c>
      <x:c r="K612" s="168" t="str">
        <x:v>2023.pdf</x:v>
      </x:c>
      <x:c r="L612" s="168" t="n">
        <x:v>235</x:v>
      </x:c>
      <x:c r="M612" s="168" t="str">
        <x:v>Comparative</x:v>
      </x:c>
      <x:c r="N612" s="171" t="str">
        <x:v>Printed amount independently located</x:v>
      </x:c>
      <x:c r="O612" s="171" t="str">
        <x:v>Exact source amount found; audited year/current-comparative column recorded. Accounting subtotal tests performed separately.</x:v>
      </x:c>
      <x:c r="P612" s="171" t="str">
        <x:v>,373,885 
     29,987,225   27,507,420 
Net sales   95,832,147   81,093,525 
Cost of sales 29  (69,771,469)  (58,541,684)
Gross profit   26,060,678   22,551,841 
Distribution cost 30  (5,326,894)  (4,764,574)
Administrative expenses 31  (1,825,578)  (1,512,279)
Finance costs 32  (1,169,770)  (394,517)
Other expenses 33  (2,442,585)  (1,</x:v>
      </x:c>
    </x:row>
    <x:row r="613" ht="82" customHeight="1">
      <x:c r="A613" s="76" t="str">
        <x:v>LUCK|pr_gp|2023</x:v>
      </x:c>
      <x:c r="B613" s="76" t="str">
        <x:v>LUCK</x:v>
      </x:c>
      <x:c r="C613" s="76" t="str">
        <x:v>FY2023</x:v>
      </x:c>
      <x:c r="D613" s="76" t="str">
        <x:v>Printed gross profit</x:v>
      </x:c>
      <x:c r="E613" s="170" t="n">
        <x:v>26060678</x:v>
      </x:c>
      <x:c r="F613" s="170" t="n">
        <x:v>26060678</x:v>
      </x:c>
      <x:c r="G613" s="170" t="str">
        <x:v>PKR '000</x:v>
      </x:c>
      <x:c r="H613" s="170" t="n">
        <x:f>F613/1000</x:f>
        <x:v>26060.678</x:v>
      </x:c>
      <x:c r="I613" s="170" t="n">
        <x:f>LUCK!F100</x:f>
        <x:v>26060.678</x:v>
      </x:c>
      <x:c r="J613" s="170" t="n">
        <x:f>H613-I613</x:f>
        <x:v>0</x:v>
      </x:c>
      <x:c r="K613" s="76" t="str">
        <x:v>2024.pdf</x:v>
      </x:c>
      <x:c r="L613" s="76" t="n">
        <x:v>239</x:v>
      </x:c>
      <x:c r="M613" s="76" t="str">
        <x:v>Comparative</x:v>
      </x:c>
      <x:c r="N613" s="99" t="str">
        <x:v>Printed amount independently located</x:v>
      </x:c>
      <x:c r="O613" s="99" t="str">
        <x:v>Exact source amount found; audited year/current-comparative column recorded. Accounting subtotal tests performed separately.</x:v>
      </x:c>
      <x:c r="P613" s="99" t="str">
        <x:v>36,483,229 
  29,987,225 
Net sales
 115,324,942 
  95,832,147 
Cost of sales
 29
  (76,520,370)
  (69,771,469)
Gross profit
   38,804,572 
  26,060,678 
Distribution cost
 30
  (7,773,885)
  (5,326,894)
Administrative expenses
 31
  (2,160,682)
  (1,825,578)
Finance cost
 32
  (1,581,168)
  (1,169,770)
Other expenses
 33
  (2</x:v>
      </x:c>
    </x:row>
    <x:row r="614" ht="82" customHeight="1">
      <x:c r="A614" s="168" t="str">
        <x:v>LUCK|pr_gp|2024</x:v>
      </x:c>
      <x:c r="B614" s="168" t="str">
        <x:v>LUCK</x:v>
      </x:c>
      <x:c r="C614" s="168" t="str">
        <x:v>FY2024</x:v>
      </x:c>
      <x:c r="D614" s="168" t="str">
        <x:v>Printed gross profit</x:v>
      </x:c>
      <x:c r="E614" s="169" t="n">
        <x:v>38804572</x:v>
      </x:c>
      <x:c r="F614" s="169" t="n">
        <x:v>38804572</x:v>
      </x:c>
      <x:c r="G614" s="169" t="str">
        <x:v>PKR '000</x:v>
      </x:c>
      <x:c r="H614" s="169" t="n">
        <x:f>F614/1000</x:f>
        <x:v>38804.572</x:v>
      </x:c>
      <x:c r="I614" s="169" t="n">
        <x:f>LUCK!G100</x:f>
        <x:v>38804.572</x:v>
      </x:c>
      <x:c r="J614" s="169" t="n">
        <x:f>H614-I614</x:f>
        <x:v>0</x:v>
      </x:c>
      <x:c r="K614" s="168" t="str">
        <x:v>2025.pdf</x:v>
      </x:c>
      <x:c r="L614" s="168" t="n">
        <x:v>241</x:v>
      </x:c>
      <x:c r="M614" s="168" t="str">
        <x:v>Comparative</x:v>
      </x:c>
      <x:c r="N614" s="171" t="str">
        <x:v>Printed amount independently located</x:v>
      </x:c>
      <x:c r="O614" s="171" t="str">
        <x:v>Exact source amount found; audited year/current-comparative column recorded. Accounting subtotal tests performed separately.</x:v>
      </x:c>
      <x:c r="P614" s="171" t="str">
        <x:v>,541 
     49,790,320   36,483,229 
Net Revenue   124,511,744   115,324,942 
Cost of sales 28  (81,827,060)  (76,520,370)
Gross profit   42,684,684   38,804,572 
Distribution costs 29  (8,972,815)  (7,773,885)
Administrative expenses 30  (2,427,249)  (2,160,682)
Finance costs 31  (1,370,569)  (1,581,168)
Other expenses 32  (3,056,913)  (2</x:v>
      </x:c>
    </x:row>
    <x:row r="615" ht="82" customHeight="1">
      <x:c r="A615" s="76" t="str">
        <x:v>LUCK|pr_gp|2025</x:v>
      </x:c>
      <x:c r="B615" s="76" t="str">
        <x:v>LUCK</x:v>
      </x:c>
      <x:c r="C615" s="76" t="str">
        <x:v>FY2025</x:v>
      </x:c>
      <x:c r="D615" s="76" t="str">
        <x:v>Printed gross profit</x:v>
      </x:c>
      <x:c r="E615" s="170" t="n">
        <x:v>42684684</x:v>
      </x:c>
      <x:c r="F615" s="170" t="n">
        <x:v>42684684</x:v>
      </x:c>
      <x:c r="G615" s="170" t="str">
        <x:v>PKR '000</x:v>
      </x:c>
      <x:c r="H615" s="170" t="n">
        <x:f>F615/1000</x:f>
        <x:v>42684.684</x:v>
      </x:c>
      <x:c r="I615" s="170" t="n">
        <x:f>LUCK!H100</x:f>
        <x:v>42684.684</x:v>
      </x:c>
      <x:c r="J615" s="170" t="n">
        <x:f>H615-I615</x:f>
        <x:v>0</x:v>
      </x:c>
      <x:c r="K615" s="76" t="str">
        <x:v>2025.pdf</x:v>
      </x:c>
      <x:c r="L615" s="76" t="n">
        <x:v>241</x:v>
      </x:c>
      <x:c r="M615" s="76" t="str">
        <x:v>Current year</x:v>
      </x:c>
      <x:c r="N615" s="99" t="str">
        <x:v>Printed amount independently located</x:v>
      </x:c>
      <x:c r="O615" s="99" t="str">
        <x:v>Exact source amount found; audited year/current-comparative column recorded. Accounting subtotal tests performed separately.</x:v>
      </x:c>
      <x:c r="P615" s="99" t="str">
        <x:v>6,944   2,205,541 
     49,790,320   36,483,229 
Net Revenue   124,511,744   115,324,942 
Cost of sales 28  (81,827,060)  (76,520,370)
Gross profit   42,684,684   38,804,572 
Distribution costs 29  (8,972,815)  (7,773,885)
Administrative expenses 30  (2,427,249)  (2,160,682)
Finance costs 31  (1,370,569)  (1,581,168)
Other expenses 32  (3</x:v>
      </x:c>
    </x:row>
    <x:row r="616" ht="82" customHeight="1">
      <x:c r="A616" s="168" t="str">
        <x:v>LUCK|pr_pbt|2021</x:v>
      </x:c>
      <x:c r="B616" s="168" t="str">
        <x:v>LUCK</x:v>
      </x:c>
      <x:c r="C616" s="168" t="str">
        <x:v>FY2021</x:v>
      </x:c>
      <x:c r="D616" s="168" t="str">
        <x:v>Printed profit before levies and income tax</x:v>
      </x:c>
      <x:c r="E616" s="169" t="n">
        <x:v>16992213</x:v>
      </x:c>
      <x:c r="F616" s="169" t="n">
        <x:v>16992213</x:v>
      </x:c>
      <x:c r="G616" s="169" t="str">
        <x:v>PKR '000</x:v>
      </x:c>
      <x:c r="H616" s="169" t="n">
        <x:f>F616/1000</x:f>
        <x:v>16992.213</x:v>
      </x:c>
      <x:c r="I616" s="169" t="n">
        <x:f>LUCK!D101</x:f>
        <x:v>16992.213</x:v>
      </x:c>
      <x:c r="J616" s="169" t="n">
        <x:f>H616-I616</x:f>
        <x:v>0</x:v>
      </x:c>
      <x:c r="K616" s="168" t="str">
        <x:v>2022.pdf</x:v>
      </x:c>
      <x:c r="L616" s="168" t="n">
        <x:v>227</x:v>
      </x:c>
      <x:c r="M616" s="168" t="str">
        <x:v>Comparative</x:v>
      </x:c>
      <x:c r="N616" s="171" t="str">
        <x:v>Printed amount independently located</x:v>
      </x:c>
      <x:c r="O616" s="171" t="str">
        <x:v>Exact source amount found; audited year/current-comparative column recorded. Accounting subtotal tests performed separately.</x:v>
      </x:c>
      <x:c r="P616" s="171" t="str">
        <x:v>ts 32  (394,517)  (332,905)
Other expenses 33  (1,847,039)  (1,507,673)
Other income 34  7,387,800   5,993,029 
Profit before taxation   21,421,232   16,992,213 
T axation 35  (6,122,614)  (2,922,024)
Profit after taxation   15,298,618   14,070,189 
   (PKR)
Earnings per share - basic and diluted  36  47.31   43.51 
The annexed notes</x:v>
      </x:c>
    </x:row>
    <x:row r="617" ht="82" customHeight="1">
      <x:c r="A617" s="76" t="str">
        <x:v>LUCK|pr_pbt|2022</x:v>
      </x:c>
      <x:c r="B617" s="76" t="str">
        <x:v>LUCK</x:v>
      </x:c>
      <x:c r="C617" s="76" t="str">
        <x:v>FY2022</x:v>
      </x:c>
      <x:c r="D617" s="76" t="str">
        <x:v>Printed profit before levies and income tax</x:v>
      </x:c>
      <x:c r="E617" s="170" t="n">
        <x:v>21421232</x:v>
      </x:c>
      <x:c r="F617" s="170" t="n">
        <x:v>21421232</x:v>
      </x:c>
      <x:c r="G617" s="170" t="str">
        <x:v>PKR '000</x:v>
      </x:c>
      <x:c r="H617" s="170" t="n">
        <x:f>F617/1000</x:f>
        <x:v>21421.232</x:v>
      </x:c>
      <x:c r="I617" s="170" t="n">
        <x:f>LUCK!E101</x:f>
        <x:v>21421.232</x:v>
      </x:c>
      <x:c r="J617" s="170" t="n">
        <x:f>H617-I617</x:f>
        <x:v>0</x:v>
      </x:c>
      <x:c r="K617" s="76" t="str">
        <x:v>2023.pdf</x:v>
      </x:c>
      <x:c r="L617" s="76" t="n">
        <x:v>235</x:v>
      </x:c>
      <x:c r="M617" s="76" t="str">
        <x:v>Comparative</x:v>
      </x:c>
      <x:c r="N617" s="99" t="str">
        <x:v>Printed amount independently located</x:v>
      </x:c>
      <x:c r="O617" s="99" t="str">
        <x:v>Exact source amount found; audited year/current-comparative column recorded. Accounting subtotal tests performed separately.</x:v>
      </x:c>
      <x:c r="P617" s="99" t="str">
        <x:v>32  (1,169,770)  (394,517)
Other expenses 33  (2,442,585)  (1,847,039)
Other income 34  6,047,423   7,387,800 
Profit before taxation   21,343,274   21,421,232 
Taxation 35  (7,617,460)  (6,122,614)
Profit after taxation   13,725,814   15,298,618 
   (PKR)
Earnings per share - basic and diluted  36  43.06   47.31 
The annexed n</x:v>
      </x:c>
    </x:row>
    <x:row r="618" ht="82" customHeight="1">
      <x:c r="A618" s="168" t="str">
        <x:v>LUCK|pr_pbt|2023</x:v>
      </x:c>
      <x:c r="B618" s="168" t="str">
        <x:v>LUCK</x:v>
      </x:c>
      <x:c r="C618" s="168" t="str">
        <x:v>FY2023</x:v>
      </x:c>
      <x:c r="D618" s="168" t="str">
        <x:v>Printed profit before levies and income tax</x:v>
      </x:c>
      <x:c r="E618" s="169" t="n">
        <x:v>21343274</x:v>
      </x:c>
      <x:c r="F618" s="169" t="n">
        <x:v>21343274</x:v>
      </x:c>
      <x:c r="G618" s="169" t="str">
        <x:v>PKR '000</x:v>
      </x:c>
      <x:c r="H618" s="169" t="n">
        <x:f>F618/1000</x:f>
        <x:v>21343.274</x:v>
      </x:c>
      <x:c r="I618" s="169" t="n">
        <x:f>LUCK!F101</x:f>
        <x:v>21343.274</x:v>
      </x:c>
      <x:c r="J618" s="169" t="n">
        <x:f>H618-I618</x:f>
        <x:v>0</x:v>
      </x:c>
      <x:c r="K618" s="168" t="str">
        <x:v>2024.pdf</x:v>
      </x:c>
      <x:c r="L618" s="168" t="n">
        <x:v>239</x:v>
      </x:c>
      <x:c r="M618" s="168" t="str">
        <x:v>Comparative</x:v>
      </x:c>
      <x:c r="N618" s="171" t="str">
        <x:v>Printed amount independently located</x:v>
      </x:c>
      <x:c r="O618" s="171" t="str">
        <x:v>Exact source amount found; audited year/current-comparative column recorded. Accounting subtotal tests performed separately.</x:v>
      </x:c>
      <x:c r="P618" s="171" t="str">
        <x:v>,169,770)
Other expenses
 33
  (2,476,636)
  (2,442,585)
Other income
 34
  16,575,363 
  6,047,423 
Profit before Taxation and Levy
   41,387,564 
  21,343,274 
Levy
 2.2.1 &amp; 35
  (953,051)
  (437,833)
Profit before Taxation
   40,434,513 
  20,905,441 
Taxation
 35
  (12,327,974)
  (7,179,627)
Profit after Taxation
   28,106,539 
  13,7</x:v>
      </x:c>
    </x:row>
    <x:row r="619" ht="82" customHeight="1">
      <x:c r="A619" s="76" t="str">
        <x:v>LUCK|pr_pbt|2024</x:v>
      </x:c>
      <x:c r="B619" s="76" t="str">
        <x:v>LUCK</x:v>
      </x:c>
      <x:c r="C619" s="76" t="str">
        <x:v>FY2024</x:v>
      </x:c>
      <x:c r="D619" s="76" t="str">
        <x:v>Printed profit before levies and income tax</x:v>
      </x:c>
      <x:c r="E619" s="170" t="n">
        <x:v>41387564</x:v>
      </x:c>
      <x:c r="F619" s="170" t="n">
        <x:v>41387564</x:v>
      </x:c>
      <x:c r="G619" s="170" t="str">
        <x:v>PKR '000</x:v>
      </x:c>
      <x:c r="H619" s="170" t="n">
        <x:f>F619/1000</x:f>
        <x:v>41387.564</x:v>
      </x:c>
      <x:c r="I619" s="170" t="n">
        <x:f>LUCK!G101</x:f>
        <x:v>41387.564</x:v>
      </x:c>
      <x:c r="J619" s="170" t="n">
        <x:f>H619-I619</x:f>
        <x:v>0</x:v>
      </x:c>
      <x:c r="K619" s="76" t="str">
        <x:v>2025.pdf</x:v>
      </x:c>
      <x:c r="L619" s="76" t="n">
        <x:v>241</x:v>
      </x:c>
      <x:c r="M619" s="76" t="str">
        <x:v>Comparative</x:v>
      </x:c>
      <x:c r="N619" s="99" t="str">
        <x:v>Printed amount independently located</x:v>
      </x:c>
      <x:c r="O619" s="99" t="str">
        <x:v>Exact source amount found; audited year/current-comparative column recorded. Accounting subtotal tests performed separately.</x:v>
      </x:c>
      <x:c r="P619" s="99" t="str">
        <x:v>69)  (1,581,168)
Other expenses 32  (3,056,913)  (2,476,636)
Other income 33  20,465,921   16,575,363 
Profit before taxation and levy   47,323,059   41,387,564 
Levy 34  (329,600)  (953,051)
Profit before taxation   46,993,459   40,434,513 
Taxation 34  (13,901,297)  (12,327,974)
Profit after taxation   33,092,162   28,106,539
    (PKR)</x:v>
      </x:c>
    </x:row>
    <x:row r="620" ht="82" customHeight="1">
      <x:c r="A620" s="168" t="str">
        <x:v>LUCK|pr_pbt|2025</x:v>
      </x:c>
      <x:c r="B620" s="168" t="str">
        <x:v>LUCK</x:v>
      </x:c>
      <x:c r="C620" s="168" t="str">
        <x:v>FY2025</x:v>
      </x:c>
      <x:c r="D620" s="168" t="str">
        <x:v>Printed profit before levies and income tax</x:v>
      </x:c>
      <x:c r="E620" s="169" t="n">
        <x:v>47323059</x:v>
      </x:c>
      <x:c r="F620" s="169" t="n">
        <x:v>47323059</x:v>
      </x:c>
      <x:c r="G620" s="169" t="str">
        <x:v>PKR '000</x:v>
      </x:c>
      <x:c r="H620" s="169" t="n">
        <x:f>F620/1000</x:f>
        <x:v>47323.059</x:v>
      </x:c>
      <x:c r="I620" s="169" t="n">
        <x:f>LUCK!H101</x:f>
        <x:v>47323.059</x:v>
      </x:c>
      <x:c r="J620" s="169" t="n">
        <x:f>H620-I620</x:f>
        <x:v>0</x:v>
      </x:c>
      <x:c r="K620" s="168" t="str">
        <x:v>2025.pdf</x:v>
      </x:c>
      <x:c r="L620" s="168" t="n">
        <x:v>241</x:v>
      </x:c>
      <x:c r="M620" s="168" t="str">
        <x:v>Current year</x:v>
      </x:c>
      <x:c r="N620" s="171" t="str">
        <x:v>Printed amount independently located</x:v>
      </x:c>
      <x:c r="O620" s="171" t="str">
        <x:v>Exact source amount found; audited year/current-comparative column recorded. Accounting subtotal tests performed separately.</x:v>
      </x:c>
      <x:c r="P620" s="171" t="str">
        <x:v>31  (1,370,569)  (1,581,168)
Other expenses 32  (3,056,913)  (2,476,636)
Other income 33  20,465,921   16,575,363 
Profit before taxation and levy   47,323,059   41,387,564 
Levy 34  (329,600)  (953,051)
Profit before taxation   46,993,459   40,434,513 
Taxation 34  (13,901,297)  (12,327,974)
Profit after taxation   33,092,162   28,106,5</x:v>
      </x:c>
    </x:row>
    <x:row r="621" ht="82" customHeight="1">
      <x:c r="A621" s="76" t="str">
        <x:v>LUCK|pr_pat|2021</x:v>
      </x:c>
      <x:c r="B621" s="76" t="str">
        <x:v>LUCK</x:v>
      </x:c>
      <x:c r="C621" s="76" t="str">
        <x:v>FY2021</x:v>
      </x:c>
      <x:c r="D621" s="76" t="str">
        <x:v>Printed profit after tax</x:v>
      </x:c>
      <x:c r="E621" s="170" t="n">
        <x:v>14070189</x:v>
      </x:c>
      <x:c r="F621" s="170" t="n">
        <x:v>14070189</x:v>
      </x:c>
      <x:c r="G621" s="170" t="str">
        <x:v>PKR '000</x:v>
      </x:c>
      <x:c r="H621" s="170" t="n">
        <x:f>F621/1000</x:f>
        <x:v>14070.189</x:v>
      </x:c>
      <x:c r="I621" s="170" t="n">
        <x:f>LUCK!D102</x:f>
        <x:v>14070.189</x:v>
      </x:c>
      <x:c r="J621" s="170" t="n">
        <x:f>H621-I621</x:f>
        <x:v>0</x:v>
      </x:c>
      <x:c r="K621" s="76" t="str">
        <x:v>2022.pdf</x:v>
      </x:c>
      <x:c r="L621" s="76" t="n">
        <x:v>227</x:v>
      </x:c>
      <x:c r="M621" s="76" t="str">
        <x:v>Comparative</x:v>
      </x:c>
      <x:c r="N621" s="99" t="str">
        <x:v>Printed amount independently located</x:v>
      </x:c>
      <x:c r="O621" s="99" t="str">
        <x:v>Exact source amount found; audited year/current-comparative column recorded. Accounting subtotal tests performed separately.</x:v>
      </x:c>
      <x:c r="P621" s="99" t="str">
        <x:v>,387,800   5,993,029 
Profit before taxation   21,421,232   16,992,213 
T axation 35  (6,122,614)  (2,922,024)
Profit after taxation   15,298,618   14,070,189 
   (PKR)
Earnings per share - basic and diluted  36  47.31   43.51 
The annexed notes from 1 to 46 form an integral part of these unconsolidated financial statements.
Unconsoli</x:v>
      </x:c>
    </x:row>
    <x:row r="622" ht="82" customHeight="1">
      <x:c r="A622" s="168" t="str">
        <x:v>LUCK|pr_pat|2022</x:v>
      </x:c>
      <x:c r="B622" s="168" t="str">
        <x:v>LUCK</x:v>
      </x:c>
      <x:c r="C622" s="168" t="str">
        <x:v>FY2022</x:v>
      </x:c>
      <x:c r="D622" s="168" t="str">
        <x:v>Printed profit after tax</x:v>
      </x:c>
      <x:c r="E622" s="169" t="n">
        <x:v>15298618</x:v>
      </x:c>
      <x:c r="F622" s="169" t="n">
        <x:v>15298618</x:v>
      </x:c>
      <x:c r="G622" s="169" t="str">
        <x:v>PKR '000</x:v>
      </x:c>
      <x:c r="H622" s="169" t="n">
        <x:f>F622/1000</x:f>
        <x:v>15298.618</x:v>
      </x:c>
      <x:c r="I622" s="169" t="n">
        <x:f>LUCK!E102</x:f>
        <x:v>15298.618</x:v>
      </x:c>
      <x:c r="J622" s="169" t="n">
        <x:f>H622-I622</x:f>
        <x:v>0</x:v>
      </x:c>
      <x:c r="K622" s="168" t="str">
        <x:v>2023.pdf</x:v>
      </x:c>
      <x:c r="L622" s="168" t="n">
        <x:v>235</x:v>
      </x:c>
      <x:c r="M622" s="168" t="str">
        <x:v>Comparative</x:v>
      </x:c>
      <x:c r="N622" s="171" t="str">
        <x:v>Printed amount independently located</x:v>
      </x:c>
      <x:c r="O622" s="171" t="str">
        <x:v>Exact source amount found; audited year/current-comparative column recorded. Accounting subtotal tests performed separately.</x:v>
      </x:c>
      <x:c r="P622" s="171" t="str">
        <x:v>6,047,423   7,387,800 
Profit before taxation   21,343,274   21,421,232 
Taxation 35  (7,617,460)  (6,122,614)
Profit after taxation   13,725,814   15,298,618 
   (PKR)
Earnings per share - basic and diluted  36  43.06   47.31 
The annexed notes from 1 to 46 form an integral part of these unconsolidated financial statements.
Unc</x:v>
      </x:c>
    </x:row>
    <x:row r="623" ht="82" customHeight="1">
      <x:c r="A623" s="76" t="str">
        <x:v>LUCK|pr_pat|2023</x:v>
      </x:c>
      <x:c r="B623" s="76" t="str">
        <x:v>LUCK</x:v>
      </x:c>
      <x:c r="C623" s="76" t="str">
        <x:v>FY2023</x:v>
      </x:c>
      <x:c r="D623" s="76" t="str">
        <x:v>Printed profit after tax</x:v>
      </x:c>
      <x:c r="E623" s="170" t="n">
        <x:v>13725814</x:v>
      </x:c>
      <x:c r="F623" s="170" t="n">
        <x:v>13725814</x:v>
      </x:c>
      <x:c r="G623" s="170" t="str">
        <x:v>PKR '000</x:v>
      </x:c>
      <x:c r="H623" s="170" t="n">
        <x:f>F623/1000</x:f>
        <x:v>13725.814</x:v>
      </x:c>
      <x:c r="I623" s="170" t="n">
        <x:f>LUCK!F102</x:f>
        <x:v>13725.814</x:v>
      </x:c>
      <x:c r="J623" s="170" t="n">
        <x:f>H623-I623</x:f>
        <x:v>0</x:v>
      </x:c>
      <x:c r="K623" s="76" t="str">
        <x:v>2024.pdf</x:v>
      </x:c>
      <x:c r="L623" s="76" t="n">
        <x:v>239</x:v>
      </x:c>
      <x:c r="M623" s="76" t="str">
        <x:v>Comparative</x:v>
      </x:c>
      <x:c r="N623" s="99" t="str">
        <x:v>Printed amount independently located</x:v>
      </x:c>
      <x:c r="O623" s="99" t="str">
        <x:v>Exact source amount found; audited year/current-comparative column recorded. Accounting subtotal tests performed separately.</x:v>
      </x:c>
      <x:c r="P623" s="99" t="str">
        <x:v>051)
  (437,833)
Profit before Taxation
   40,434,513 
  20,905,441 
Taxation
 35
  (12,327,974)
  (7,179,627)
Profit after Taxation
   28,106,539 
  13,725,814 
  (PKR)
Earnings per share - basic and diluted 
 36
  94.54 
  43.06 
The annexed notes from 1 to 46 form an integral part of the
se unconsolidated financial statements.
237</x:v>
      </x:c>
    </x:row>
    <x:row r="624" ht="82" customHeight="1">
      <x:c r="A624" s="168" t="str">
        <x:v>LUCK|pr_pat|2024</x:v>
      </x:c>
      <x:c r="B624" s="168" t="str">
        <x:v>LUCK</x:v>
      </x:c>
      <x:c r="C624" s="168" t="str">
        <x:v>FY2024</x:v>
      </x:c>
      <x:c r="D624" s="168" t="str">
        <x:v>Printed profit after tax</x:v>
      </x:c>
      <x:c r="E624" s="169" t="n">
        <x:v>28106539</x:v>
      </x:c>
      <x:c r="F624" s="169" t="n">
        <x:v>28106539</x:v>
      </x:c>
      <x:c r="G624" s="169" t="str">
        <x:v>PKR '000</x:v>
      </x:c>
      <x:c r="H624" s="169" t="n">
        <x:f>F624/1000</x:f>
        <x:v>28106.539</x:v>
      </x:c>
      <x:c r="I624" s="169" t="n">
        <x:f>LUCK!G102</x:f>
        <x:v>28106.539</x:v>
      </x:c>
      <x:c r="J624" s="169" t="n">
        <x:f>H624-I624</x:f>
        <x:v>0</x:v>
      </x:c>
      <x:c r="K624" s="168" t="str">
        <x:v>2025.pdf</x:v>
      </x:c>
      <x:c r="L624" s="168" t="n">
        <x:v>241</x:v>
      </x:c>
      <x:c r="M624" s="168" t="str">
        <x:v>Comparative</x:v>
      </x:c>
      <x:c r="N624" s="171" t="str">
        <x:v>Printed amount independently located</x:v>
      </x:c>
      <x:c r="O624" s="171" t="str">
        <x:v>Exact source amount found; audited year/current-comparative column recorded. Accounting subtotal tests performed separately.</x:v>
      </x:c>
      <x:c r="P624" s="171" t="str">
        <x:v>(329,600)  (953,051)
Profit before taxation   46,993,459   40,434,513 
Taxation 34  (13,901,297)  (12,327,974)
Profit after taxation   33,092,162   28,106,539
    (PKR)
     Restated
Earnings per share - basic and diluted  35  22.59   18.91
The annexed notes from 1 to 46 form an integral part of these unconsolidated financial stat</x:v>
      </x:c>
    </x:row>
    <x:row r="625" ht="82" customHeight="1">
      <x:c r="A625" s="76" t="str">
        <x:v>LUCK|pr_pat|2025</x:v>
      </x:c>
      <x:c r="B625" s="76" t="str">
        <x:v>LUCK</x:v>
      </x:c>
      <x:c r="C625" s="76" t="str">
        <x:v>FY2025</x:v>
      </x:c>
      <x:c r="D625" s="76" t="str">
        <x:v>Printed profit after tax</x:v>
      </x:c>
      <x:c r="E625" s="170" t="n">
        <x:v>33092162</x:v>
      </x:c>
      <x:c r="F625" s="170" t="n">
        <x:v>33092162</x:v>
      </x:c>
      <x:c r="G625" s="170" t="str">
        <x:v>PKR '000</x:v>
      </x:c>
      <x:c r="H625" s="170" t="n">
        <x:f>F625/1000</x:f>
        <x:v>33092.162</x:v>
      </x:c>
      <x:c r="I625" s="170" t="n">
        <x:f>LUCK!H102</x:f>
        <x:v>33092.162</x:v>
      </x:c>
      <x:c r="J625" s="170" t="n">
        <x:f>H625-I625</x:f>
        <x:v>0</x:v>
      </x:c>
      <x:c r="K625" s="76" t="str">
        <x:v>2025.pdf</x:v>
      </x:c>
      <x:c r="L625" s="76" t="n">
        <x:v>241</x:v>
      </x:c>
      <x:c r="M625" s="76" t="str">
        <x:v>Current year</x:v>
      </x:c>
      <x:c r="N625" s="99" t="str">
        <x:v>Printed amount independently located</x:v>
      </x:c>
      <x:c r="O625" s="99" t="str">
        <x:v>Exact source amount found; audited year/current-comparative column recorded. Accounting subtotal tests performed separately.</x:v>
      </x:c>
      <x:c r="P625" s="99" t="str">
        <x:v>,564 
Levy 34  (329,600)  (953,051)
Profit before taxation   46,993,459   40,434,513 
Taxation 34  (13,901,297)  (12,327,974)
Profit after taxation   33,092,162   28,106,539
    (PKR)
     Restated
Earnings per share - basic and diluted  35  22.59   18.91
The annexed notes from 1 to 46 form an integral part of these unconsolidated f</x:v>
      </x:c>
    </x:row>
    <x:row r="626" ht="82" customHeight="1">
      <x:c r="A626" s="168" t="str">
        <x:v>LUCK|fc_nonint|2021</x:v>
      </x:c>
      <x:c r="B626" s="168" t="str">
        <x:v>LUCK</x:v>
      </x:c>
      <x:c r="C626" s="168" t="str">
        <x:v>FY2021</x:v>
      </x:c>
      <x:c r="D626" s="168" t="str">
        <x:v>Non-interest finance costs (bank charges, commission, exchange loss) (note)</x:v>
      </x:c>
      <x:c r="E626" s="169" t="n">
        <x:v>0</x:v>
      </x:c>
      <x:c r="F626" s="169" t="n">
        <x:v>0</x:v>
      </x:c>
      <x:c r="G626" s="169" t="str">
        <x:v>PKR '000</x:v>
      </x:c>
      <x:c r="H626" s="169" t="n">
        <x:f>F626/1000</x:f>
        <x:v>0</x:v>
      </x:c>
      <x:c r="I626" s="169" t="n">
        <x:f>LUCK!D105</x:f>
        <x:v>0</x:v>
      </x:c>
      <x:c r="J626" s="169" t="n">
        <x:f>H626-I626</x:f>
        <x:v>0</x:v>
      </x:c>
      <x:c r="K626" s="168" t="str">
        <x:v>2022.pdf</x:v>
      </x:c>
      <x:c r="L626" s="168" t="n">
        <x:v>256</x:v>
      </x:c>
      <x:c r="M626" s="168" t="str">
        <x:v>Comparative</x:v>
      </x:c>
      <x:c r="N626" s="171" t="str">
        <x:v>Zero / no separate line in audited presentation</x:v>
      </x:c>
      <x:c r="O626" s="171" t="str">
        <x:v>Zero classification checked within the audited statement/note and reconstructed statement totals; absence of a separate line does not imply a missing replacement estimate.</x:v>
      </x:c>
      <x:c r="P626" s="171" t="str">
        <x:v>
Notes to the Unconsolidated 
Financial Statements
For the year ended June 30, 2022
  Note 2022 2021
   (PKR in ‘000’)
31.1 Auditor’s remuneration 
 S | 'Others' in finance cost note</x:v>
      </x:c>
    </x:row>
    <x:row r="627" ht="82" customHeight="1">
      <x:c r="A627" s="76" t="str">
        <x:v>LUCK|fc_nonint|2022</x:v>
      </x:c>
      <x:c r="B627" s="76" t="str">
        <x:v>LUCK</x:v>
      </x:c>
      <x:c r="C627" s="76" t="str">
        <x:v>FY2022</x:v>
      </x:c>
      <x:c r="D627" s="76" t="str">
        <x:v>Non-interest finance costs (bank charges, commission, exchange loss) (note)</x:v>
      </x:c>
      <x:c r="E627" s="170" t="n">
        <x:v>0</x:v>
      </x:c>
      <x:c r="F627" s="170" t="n">
        <x:v>0</x:v>
      </x:c>
      <x:c r="G627" s="170" t="str">
        <x:v>PKR '000</x:v>
      </x:c>
      <x:c r="H627" s="170" t="n">
        <x:f>F627/1000</x:f>
        <x:v>0</x:v>
      </x:c>
      <x:c r="I627" s="170" t="n">
        <x:f>LUCK!E105</x:f>
        <x:v>0</x:v>
      </x:c>
      <x:c r="J627" s="170" t="n">
        <x:f>H627-I627</x:f>
        <x:v>0</x:v>
      </x:c>
      <x:c r="K627" s="76" t="str">
        <x:v>2023.pdf</x:v>
      </x:c>
      <x:c r="L627" s="76" t="n">
        <x:v>264</x:v>
      </x:c>
      <x:c r="M627" s="76" t="str">
        <x:v>Comparative</x:v>
      </x:c>
      <x:c r="N627" s="99" t="str">
        <x:v>Zero / no separate line in audited presentation</x:v>
      </x:c>
      <x:c r="O627" s="99" t="str">
        <x:v>Zero classification checked within the audited statement/note and reconstructed statement totals; absence of a separate line does not imply a missing replacement estimate.</x:v>
      </x:c>
      <x:c r="P627" s="99" t="str">
        <x:v>
Notes to the Unconsolidated 
Financial Statements
For the year ended June 30, 2023
   2023 2022
   (PKR in ‘000’)
31.1 Auditor’s remuneration 
 Sta | 'Others' in finance cost note</x:v>
      </x:c>
    </x:row>
    <x:row r="628" ht="82" customHeight="1">
      <x:c r="A628" s="168" t="str">
        <x:v>LUCK|fc_nonint|2023</x:v>
      </x:c>
      <x:c r="B628" s="168" t="str">
        <x:v>LUCK</x:v>
      </x:c>
      <x:c r="C628" s="168" t="str">
        <x:v>FY2023</x:v>
      </x:c>
      <x:c r="D628" s="168" t="str">
        <x:v>Non-interest finance costs (bank charges, commission, exchange loss) (note)</x:v>
      </x:c>
      <x:c r="E628" s="169" t="n">
        <x:v>10974</x:v>
      </x:c>
      <x:c r="F628" s="169" t="n">
        <x:v>10974</x:v>
      </x:c>
      <x:c r="G628" s="169" t="str">
        <x:v>PKR '000</x:v>
      </x:c>
      <x:c r="H628" s="169" t="n">
        <x:f>F628/1000</x:f>
        <x:v>10.974</x:v>
      </x:c>
      <x:c r="I628" s="169" t="n">
        <x:f>LUCK!F105</x:f>
        <x:v>10.974</x:v>
      </x:c>
      <x:c r="J628" s="169" t="n">
        <x:f>H628-I628</x:f>
        <x:v>0</x:v>
      </x:c>
      <x:c r="K628" s="168" t="str">
        <x:v>2024.pdf</x:v>
      </x:c>
      <x:c r="L628" s="168" t="n">
        <x:v>269</x:v>
      </x:c>
      <x:c r="M628" s="168" t="str">
        <x:v>Comparative</x:v>
      </x:c>
      <x:c r="N628" s="171" t="str">
        <x:v>Printed amount independently located</x:v>
      </x:c>
      <x:c r="O628" s="171" t="str">
        <x:v>Exact source amount found; audited year/current-comparative column recorded. Accounting subtotal tests performed separately.</x:v>
      </x:c>
      <x:c r="P628" s="171" t="str">
        <x:v>FINANCE COST
 Mark-up / interest on:
 Short-term finances
   1,052,832 
  613,581 
 Long-term finances
   507,703 
  545,215 
 Others
   20,633 
  10,974 
   1,581,168 
  1,169,770 
32.1
 Finance 
cost include PKR 1,289.157 million (2023: PKR 841.004 million) incurred under Islamic mode of 
financing.
 Note
 2024
 2023
  (P</x:v>
      </x:c>
    </x:row>
    <x:row r="629" ht="82" customHeight="1">
      <x:c r="A629" s="76" t="str">
        <x:v>LUCK|fc_nonint|2024</x:v>
      </x:c>
      <x:c r="B629" s="76" t="str">
        <x:v>LUCK</x:v>
      </x:c>
      <x:c r="C629" s="76" t="str">
        <x:v>FY2024</x:v>
      </x:c>
      <x:c r="D629" s="76" t="str">
        <x:v>Non-interest finance costs (bank charges, commission, exchange loss) (note)</x:v>
      </x:c>
      <x:c r="E629" s="170" t="n">
        <x:v>20633</x:v>
      </x:c>
      <x:c r="F629" s="170" t="n">
        <x:v>20633</x:v>
      </x:c>
      <x:c r="G629" s="170" t="str">
        <x:v>PKR '000</x:v>
      </x:c>
      <x:c r="H629" s="170" t="n">
        <x:f>F629/1000</x:f>
        <x:v>20.633</x:v>
      </x:c>
      <x:c r="I629" s="170" t="n">
        <x:f>LUCK!G105</x:f>
        <x:v>20.633</x:v>
      </x:c>
      <x:c r="J629" s="170" t="n">
        <x:f>H629-I629</x:f>
        <x:v>0</x:v>
      </x:c>
      <x:c r="K629" s="76" t="str">
        <x:v>2025.pdf</x:v>
      </x:c>
      <x:c r="L629" s="76" t="n">
        <x:v>272</x:v>
      </x:c>
      <x:c r="M629" s="76" t="str">
        <x:v>Comparative</x:v>
      </x:c>
      <x:c r="N629" s="99" t="str">
        <x:v>Printed amount independently located</x:v>
      </x:c>
      <x:c r="O629" s="99" t="str">
        <x:v>Exact source amount found; audited year/current-comparative column recorded. Accounting subtotal tests performed separately.</x:v>
      </x:c>
      <x:c r="P629" s="99" t="str">
        <x:v>31. FINANCE COST
 Mark–up / interest on: 
 Short–term finances   876,065   1,052,832 
 Long–term finances   449,982   507,703 
 Others   44,522   20,633 
      1,370,569   1,581,168 
31.1 Finance cost include PKR 1,087.41 million (2024: PKR 1,289.157 million) incurred under Islamic mode of 
financing.
  Note 2025 2024
   (PKR in</x:v>
      </x:c>
    </x:row>
    <x:row r="630" ht="82" customHeight="1">
      <x:c r="A630" s="168" t="str">
        <x:v>LUCK|fc_nonint|2025</x:v>
      </x:c>
      <x:c r="B630" s="168" t="str">
        <x:v>LUCK</x:v>
      </x:c>
      <x:c r="C630" s="168" t="str">
        <x:v>FY2025</x:v>
      </x:c>
      <x:c r="D630" s="168" t="str">
        <x:v>Non-interest finance costs (bank charges, commission, exchange loss) (note)</x:v>
      </x:c>
      <x:c r="E630" s="169" t="n">
        <x:v>44522</x:v>
      </x:c>
      <x:c r="F630" s="169" t="n">
        <x:v>44522</x:v>
      </x:c>
      <x:c r="G630" s="169" t="str">
        <x:v>PKR '000</x:v>
      </x:c>
      <x:c r="H630" s="169" t="n">
        <x:f>F630/1000</x:f>
        <x:v>44.522</x:v>
      </x:c>
      <x:c r="I630" s="169" t="n">
        <x:f>LUCK!H105</x:f>
        <x:v>44.522</x:v>
      </x:c>
      <x:c r="J630" s="169" t="n">
        <x:f>H630-I630</x:f>
        <x:v>0</x:v>
      </x:c>
      <x:c r="K630" s="168" t="str">
        <x:v>2025.pdf</x:v>
      </x:c>
      <x:c r="L630" s="168" t="n">
        <x:v>272</x:v>
      </x:c>
      <x:c r="M630" s="168" t="str">
        <x:v>Current year</x:v>
      </x:c>
      <x:c r="N630" s="171" t="str">
        <x:v>Printed amount independently located</x:v>
      </x:c>
      <x:c r="O630" s="171" t="str">
        <x:v>Exact source amount found; audited year/current-comparative column recorded. Accounting subtotal tests performed separately.</x:v>
      </x:c>
      <x:c r="P630" s="171" t="str">
        <x:v>n ‘000’)
31. FINANCE COST
 Mark–up / interest on: 
 Short–term finances   876,065   1,052,832 
 Long–term finances   449,982   507,703 
 Others   44,522   20,633 
      1,370,569   1,581,168 
31.1 Finance cost include PKR 1,087.41 million (2024: PKR 1,289.157 million) incurred under Islamic mode of 
financing.
  Note 2025 2024</x:v>
      </x:c>
    </x:row>
    <x:row r="631" ht="82" customHeight="1">
      <x:c r="A631" s="76" t="str">
        <x:v>LUCK|da|2021</x:v>
      </x:c>
      <x:c r="B631" s="76" t="str">
        <x:v>LUCK</x:v>
      </x:c>
      <x:c r="C631" s="76" t="str">
        <x:v>FY2021</x:v>
      </x:c>
      <x:c r="D631" s="76" t="str">
        <x:v>Depreciation and amortisation (cash flow reconciliation)</x:v>
      </x:c>
      <x:c r="E631" s="170" t="n">
        <x:v>4298760</x:v>
      </x:c>
      <x:c r="F631" s="170" t="n">
        <x:v>4298760</x:v>
      </x:c>
      <x:c r="G631" s="170" t="str">
        <x:v>PKR '000</x:v>
      </x:c>
      <x:c r="H631" s="170" t="n">
        <x:f>F631/1000</x:f>
        <x:v>4298.76</x:v>
      </x:c>
      <x:c r="I631" s="170" t="n">
        <x:f>LUCK!D107</x:f>
        <x:v>4298.76</x:v>
      </x:c>
      <x:c r="J631" s="170" t="n">
        <x:f>H631-I631</x:f>
        <x:v>0</x:v>
      </x:c>
      <x:c r="K631" s="76" t="str">
        <x:v>2022.pdf</x:v>
      </x:c>
      <x:c r="L631" s="76" t="n">
        <x:v>258</x:v>
      </x:c>
      <x:c r="M631" s="76" t="str">
        <x:v>Comparative</x:v>
      </x:c>
      <x:c r="N631" s="99" t="str">
        <x:v>Printed amount independently located</x:v>
      </x:c>
      <x:c r="O631" s="99" t="str">
        <x:v>Exact source amount found; audited year/current-comparative column recorded. Accounting subtotal tests performed separately.</x:v>
      </x:c>
      <x:c r="P631" s="99" t="str">
        <x:v>OM OPERATIONS 
 Profit before taxation   21,421,232   16,992,213 
 Adjustments for non-cash charges and other items 
 Depreciation 5.2  4,526,876   4,298,760 
 Amortisation of intangible assets 6.2  885   10,653 
 Provision for slow moving spares  –   248,343 
 Net (reversal) / creation of provision for doubtful debts 12.3  (12,048)  1</x:v>
      </x:c>
    </x:row>
    <x:row r="632" ht="82" customHeight="1">
      <x:c r="A632" s="168" t="str">
        <x:v>LUCK|da|2022</x:v>
      </x:c>
      <x:c r="B632" s="168" t="str">
        <x:v>LUCK</x:v>
      </x:c>
      <x:c r="C632" s="168" t="str">
        <x:v>FY2022</x:v>
      </x:c>
      <x:c r="D632" s="168" t="str">
        <x:v>Depreciation and amortisation (cash flow reconciliation)</x:v>
      </x:c>
      <x:c r="E632" s="169" t="n">
        <x:v>4527761</x:v>
      </x:c>
      <x:c r="F632" s="169" t="n">
        <x:v>4527761</x:v>
      </x:c>
      <x:c r="G632" s="169" t="str">
        <x:v>PKR '000</x:v>
      </x:c>
      <x:c r="H632" s="169" t="n">
        <x:f>F632/1000</x:f>
        <x:v>4527.761</x:v>
      </x:c>
      <x:c r="I632" s="169" t="n">
        <x:f>LUCK!E107</x:f>
        <x:v>4527.761</x:v>
      </x:c>
      <x:c r="J632" s="169" t="n">
        <x:f>H632-I632</x:f>
        <x:v>0</x:v>
      </x:c>
      <x:c r="K632" s="168" t="str">
        <x:v>2023.pdf</x:v>
      </x:c>
      <x:c r="L632" s="168" t="n">
        <x:v>266</x:v>
      </x:c>
      <x:c r="M632" s="168" t="str">
        <x:v>Comparative</x:v>
      </x:c>
      <x:c r="N632" s="171" t="str">
        <x:v>Aggregated audited components</x:v>
      </x:c>
      <x:c r="O632" s="171" t="str">
        <x:v>Source-labelled component sum; statement controls and signed-unit conversion independently recomputed.</x:v>
      </x:c>
      <x:c r="P632" s="171" t="str">
        <x:v>
Notes to the Unconsolidated 
Financial Statements
For the year ended June 30, 2023
  Note 2023 2022
36. BASIC AND DILUTED EARNINGS PER SHARE 
 Profit after taxation (PKR in thousa | Components: Depreciation; Amortisation of intangible assets</x:v>
      </x:c>
    </x:row>
    <x:row r="633" ht="82" customHeight="1">
      <x:c r="A633" s="76" t="str">
        <x:v>LUCK|da|2023</x:v>
      </x:c>
      <x:c r="B633" s="76" t="str">
        <x:v>LUCK</x:v>
      </x:c>
      <x:c r="C633" s="76" t="str">
        <x:v>FY2023</x:v>
      </x:c>
      <x:c r="D633" s="76" t="str">
        <x:v>Depreciation and amortisation (cash flow reconciliation)</x:v>
      </x:c>
      <x:c r="E633" s="170" t="n">
        <x:v>5314762</x:v>
      </x:c>
      <x:c r="F633" s="170" t="n">
        <x:v>5314762</x:v>
      </x:c>
      <x:c r="G633" s="170" t="str">
        <x:v>PKR '000</x:v>
      </x:c>
      <x:c r="H633" s="170" t="n">
        <x:f>F633/1000</x:f>
        <x:v>5314.762</x:v>
      </x:c>
      <x:c r="I633" s="170" t="n">
        <x:f>LUCK!F107</x:f>
        <x:v>5314.762</x:v>
      </x:c>
      <x:c r="J633" s="170" t="n">
        <x:f>H633-I633</x:f>
        <x:v>0</x:v>
      </x:c>
      <x:c r="K633" s="76" t="str">
        <x:v>2024.pdf</x:v>
      </x:c>
      <x:c r="L633" s="76" t="n">
        <x:v>272</x:v>
      </x:c>
      <x:c r="M633" s="76" t="str">
        <x:v>Comparative</x:v>
      </x:c>
      <x:c r="N633" s="99" t="str">
        <x:v>Aggregated audited components</x:v>
      </x:c>
      <x:c r="O633" s="99" t="str">
        <x:v>Source-labelled component sum; statement controls and signed-unit conversion independently recomputed.</x:v>
      </x:c>
      <x:c r="P633" s="99" t="str">
        <x:v>
Notes to the Unconsolidated 
Financial Statements
For the year ended June 30, 2024
    Restated
 Note
 2024
 2023
  (PKR in ‘000’)
37.
 CASH GENERATED FROM OPERATIONS
 Profi | Components: Depreciation; Amortisation of intangible assets</x:v>
      </x:c>
    </x:row>
    <x:row r="634" ht="82" customHeight="1">
      <x:c r="A634" s="168" t="str">
        <x:v>LUCK|da|2024</x:v>
      </x:c>
      <x:c r="B634" s="168" t="str">
        <x:v>LUCK</x:v>
      </x:c>
      <x:c r="C634" s="168" t="str">
        <x:v>FY2024</x:v>
      </x:c>
      <x:c r="D634" s="168" t="str">
        <x:v>Depreciation and amortisation (cash flow reconciliation)</x:v>
      </x:c>
      <x:c r="E634" s="169" t="n">
        <x:v>6097422</x:v>
      </x:c>
      <x:c r="F634" s="169" t="n">
        <x:v>6097422</x:v>
      </x:c>
      <x:c r="G634" s="169" t="str">
        <x:v>PKR '000</x:v>
      </x:c>
      <x:c r="H634" s="169" t="n">
        <x:f>F634/1000</x:f>
        <x:v>6097.422</x:v>
      </x:c>
      <x:c r="I634" s="169" t="n">
        <x:f>LUCK!G107</x:f>
        <x:v>6097.422</x:v>
      </x:c>
      <x:c r="J634" s="169" t="n">
        <x:f>H634-I634</x:f>
        <x:v>0</x:v>
      </x:c>
      <x:c r="K634" s="168" t="str">
        <x:v>2025.pdf</x:v>
      </x:c>
      <x:c r="L634" s="168" t="n">
        <x:v>275</x:v>
      </x:c>
      <x:c r="M634" s="168" t="str">
        <x:v>Comparative</x:v>
      </x:c>
      <x:c r="N634" s="171" t="str">
        <x:v>Aggregated audited components</x:v>
      </x:c>
      <x:c r="O634" s="171" t="str">
        <x:v>Source-labelled component sum; statement controls and signed-unit conversion independently recomputed.</x:v>
      </x:c>
      <x:c r="P634" s="171" t="str">
        <x:v>
  Note 2025 2024
   (PKR in ‘000’)
36. CASH GENERATED FROM OPERATIONS 
 Profit before taxation   46,993,459   40,434,513 
 Adjustments for: 
 Levy 34  329,600   953,051 
 Deprecia | Components: Depreciation; Amortisation of intangible assets</x:v>
      </x:c>
    </x:row>
    <x:row r="635" ht="82" customHeight="1">
      <x:c r="A635" s="76" t="str">
        <x:v>LUCK|da|2025</x:v>
      </x:c>
      <x:c r="B635" s="76" t="str">
        <x:v>LUCK</x:v>
      </x:c>
      <x:c r="C635" s="76" t="str">
        <x:v>FY2025</x:v>
      </x:c>
      <x:c r="D635" s="76" t="str">
        <x:v>Depreciation and amortisation (cash flow reconciliation)</x:v>
      </x:c>
      <x:c r="E635" s="170" t="n">
        <x:v>6937732</x:v>
      </x:c>
      <x:c r="F635" s="170" t="n">
        <x:v>6937732</x:v>
      </x:c>
      <x:c r="G635" s="170" t="str">
        <x:v>PKR '000</x:v>
      </x:c>
      <x:c r="H635" s="170" t="n">
        <x:f>F635/1000</x:f>
        <x:v>6937.732</x:v>
      </x:c>
      <x:c r="I635" s="170" t="n">
        <x:f>LUCK!H107</x:f>
        <x:v>6937.732</x:v>
      </x:c>
      <x:c r="J635" s="170" t="n">
        <x:f>H635-I635</x:f>
        <x:v>0</x:v>
      </x:c>
      <x:c r="K635" s="76" t="str">
        <x:v>2025.pdf</x:v>
      </x:c>
      <x:c r="L635" s="76" t="n">
        <x:v>275</x:v>
      </x:c>
      <x:c r="M635" s="76" t="str">
        <x:v>Current year</x:v>
      </x:c>
      <x:c r="N635" s="99" t="str">
        <x:v>Aggregated audited components</x:v>
      </x:c>
      <x:c r="O635" s="99" t="str">
        <x:v>Source-labelled component sum; statement controls and signed-unit conversion independently recomputed.</x:v>
      </x:c>
      <x:c r="P635" s="99" t="str">
        <x:v>
  Note 2025 2024
   (PKR in ‘000’)
36. CASH GENERATED FROM OPERATIONS 
 Profit before taxation   46,993,459   40,434,513 
 Adjustments for: 
 Levy 34  329,600   953,051 
 Deprecia | Components: Depreciation; Amortisation of intangible assets</x:v>
      </x:c>
    </x:row>
    <x:row r="636" ht="82" customHeight="1">
      <x:c r="A636" s="168" t="str">
        <x:v>LUCK|cgo|2021</x:v>
      </x:c>
      <x:c r="B636" s="168" t="str">
        <x:v>LUCK</x:v>
      </x:c>
      <x:c r="C636" s="168" t="str">
        <x:v>FY2021</x:v>
      </x:c>
      <x:c r="D636" s="168" t="str">
        <x:v>Cash generated from operations (before interest, tax and other items)</x:v>
      </x:c>
      <x:c r="E636" s="169" t="n">
        <x:v>13285674</x:v>
      </x:c>
      <x:c r="F636" s="169" t="n">
        <x:v>13285674</x:v>
      </x:c>
      <x:c r="G636" s="169" t="str">
        <x:v>PKR '000</x:v>
      </x:c>
      <x:c r="H636" s="169" t="n">
        <x:f>F636/1000</x:f>
        <x:v>13285.674</x:v>
      </x:c>
      <x:c r="I636" s="169" t="n">
        <x:f>LUCK!D116</x:f>
        <x:v>13285.674</x:v>
      </x:c>
      <x:c r="J636" s="169" t="n">
        <x:f>H636-I636</x:f>
        <x:v>0</x:v>
      </x:c>
      <x:c r="K636" s="168" t="str">
        <x:v>2022.pdf</x:v>
      </x:c>
      <x:c r="L636" s="168" t="n">
        <x:v>229</x:v>
      </x:c>
      <x:c r="M636" s="168" t="str">
        <x:v>Comparative</x:v>
      </x:c>
      <x:c r="N636" s="171" t="str">
        <x:v>Printed amount independently located</x:v>
      </x:c>
      <x:c r="O636" s="171" t="str">
        <x:v>Exact source amount found; audited year/current-comparative column recorded. Accounting subtotal tests performed separately.</x:v>
      </x:c>
      <x:c r="P636" s="171" t="str">
        <x:v>Note 2022 2021
   (PKR in ‘000’)
CASH FLOWS FROM OPERATING ACTIVITIES 
Cash generated from operations 37  18,126,508   13,285,674 
 Income tax paid   (2,394,437)  (832,798)
 Gratuity paid   (136,242)  (100,969)
 Finance costs paid   (329,933)  (308,210)
 Increase in long-term deposits (liabilities)    6,699</x:v>
      </x:c>
    </x:row>
    <x:row r="637" ht="82" customHeight="1">
      <x:c r="A637" s="76" t="str">
        <x:v>LUCK|cgo|2022</x:v>
      </x:c>
      <x:c r="B637" s="76" t="str">
        <x:v>LUCK</x:v>
      </x:c>
      <x:c r="C637" s="76" t="str">
        <x:v>FY2022</x:v>
      </x:c>
      <x:c r="D637" s="76" t="str">
        <x:v>Cash generated from operations (before interest, tax and other items)</x:v>
      </x:c>
      <x:c r="E637" s="170" t="n">
        <x:v>18126508</x:v>
      </x:c>
      <x:c r="F637" s="170" t="n">
        <x:v>18126508</x:v>
      </x:c>
      <x:c r="G637" s="170" t="str">
        <x:v>PKR '000</x:v>
      </x:c>
      <x:c r="H637" s="170" t="n">
        <x:f>F637/1000</x:f>
        <x:v>18126.508</x:v>
      </x:c>
      <x:c r="I637" s="170" t="n">
        <x:f>LUCK!E116</x:f>
        <x:v>18126.508</x:v>
      </x:c>
      <x:c r="J637" s="170" t="n">
        <x:f>H637-I637</x:f>
        <x:v>0</x:v>
      </x:c>
      <x:c r="K637" s="76" t="str">
        <x:v>2023.pdf</x:v>
      </x:c>
      <x:c r="L637" s="76" t="n">
        <x:v>237</x:v>
      </x:c>
      <x:c r="M637" s="76" t="str">
        <x:v>Comparative</x:v>
      </x:c>
      <x:c r="N637" s="99" t="str">
        <x:v>Printed amount independently located</x:v>
      </x:c>
      <x:c r="O637" s="99" t="str">
        <x:v>Exact source amount found; audited year/current-comparative column recorded. Accounting subtotal tests performed separately.</x:v>
      </x:c>
      <x:c r="P637" s="99" t="str">
        <x:v>Note 2023 2022
   (PKR in ‘000’)
CASH FLOWS FROM OPERATING ACTIVITIES 
Cash generated from operations 37  24,515,258   18,126,508 
 Income tax paid   (966,685)  (2,394,437)
 Gratuity paid 24.1.3  (194,812)  (136,242)
 Finance costs paid   (807,477)  (329,933)
 Increase in long-term deposits (liabilities)</x:v>
      </x:c>
    </x:row>
    <x:row r="638" ht="82" customHeight="1">
      <x:c r="A638" s="168" t="str">
        <x:v>LUCK|cgo|2023</x:v>
      </x:c>
      <x:c r="B638" s="168" t="str">
        <x:v>LUCK</x:v>
      </x:c>
      <x:c r="C638" s="168" t="str">
        <x:v>FY2023</x:v>
      </x:c>
      <x:c r="D638" s="168" t="str">
        <x:v>Cash generated from operations (before interest, tax and other items)</x:v>
      </x:c>
      <x:c r="E638" s="169" t="n">
        <x:v>24515258</x:v>
      </x:c>
      <x:c r="F638" s="169" t="n">
        <x:v>24515258</x:v>
      </x:c>
      <x:c r="G638" s="169" t="str">
        <x:v>PKR '000</x:v>
      </x:c>
      <x:c r="H638" s="169" t="n">
        <x:f>F638/1000</x:f>
        <x:v>24515.258</x:v>
      </x:c>
      <x:c r="I638" s="169" t="n">
        <x:f>LUCK!F116</x:f>
        <x:v>24515.258</x:v>
      </x:c>
      <x:c r="J638" s="169" t="n">
        <x:f>H638-I638</x:f>
        <x:v>0</x:v>
      </x:c>
      <x:c r="K638" s="168" t="str">
        <x:v>2024.pdf</x:v>
      </x:c>
      <x:c r="L638" s="168" t="n">
        <x:v>241</x:v>
      </x:c>
      <x:c r="M638" s="168" t="str">
        <x:v>Comparative</x:v>
      </x:c>
      <x:c r="N638" s="171" t="str">
        <x:v>Printed amount independently located</x:v>
      </x:c>
      <x:c r="O638" s="171" t="str">
        <x:v>Exact source amount found; audited year/current-comparative column recorded. Accounting subtotal tests performed separately.</x:v>
      </x:c>
      <x:c r="P638" s="171" t="str">
        <x:v>r ended June 30, 2024
  Note  2024  2023
  (PKR in ‘000’)
CASH FLOWS FROM OPERATING ACTIVITIES
Cash generated from operations
 37
  30,937,432 
  24,515,258 
 Taxes and levy paid
   (2,234,906)
  (966,685)
 Staff gratuity paid
 24.1.2
  (188,243)
  (194,812)
 Finance costs paid
   (1,735,978)
  (807,477)
 Increase in long-term deposit</x:v>
      </x:c>
    </x:row>
    <x:row r="639" ht="82" customHeight="1">
      <x:c r="A639" s="76" t="str">
        <x:v>LUCK|cgo|2024</x:v>
      </x:c>
      <x:c r="B639" s="76" t="str">
        <x:v>LUCK</x:v>
      </x:c>
      <x:c r="C639" s="76" t="str">
        <x:v>FY2024</x:v>
      </x:c>
      <x:c r="D639" s="76" t="str">
        <x:v>Cash generated from operations (before interest, tax and other items)</x:v>
      </x:c>
      <x:c r="E639" s="170" t="n">
        <x:v>30937432</x:v>
      </x:c>
      <x:c r="F639" s="170" t="n">
        <x:v>30937432</x:v>
      </x:c>
      <x:c r="G639" s="170" t="str">
        <x:v>PKR '000</x:v>
      </x:c>
      <x:c r="H639" s="170" t="n">
        <x:f>F639/1000</x:f>
        <x:v>30937.432</x:v>
      </x:c>
      <x:c r="I639" s="170" t="n">
        <x:f>LUCK!G116</x:f>
        <x:v>30937.432</x:v>
      </x:c>
      <x:c r="J639" s="170" t="n">
        <x:f>H639-I639</x:f>
        <x:v>0</x:v>
      </x:c>
      <x:c r="K639" s="76" t="str">
        <x:v>2025.pdf</x:v>
      </x:c>
      <x:c r="L639" s="76" t="n">
        <x:v>243</x:v>
      </x:c>
      <x:c r="M639" s="76" t="str">
        <x:v>Comparative</x:v>
      </x:c>
      <x:c r="N639" s="99" t="str">
        <x:v>Printed amount independently located</x:v>
      </x:c>
      <x:c r="O639" s="99" t="str">
        <x:v>Exact source amount found; audited year/current-comparative column recorded. Accounting subtotal tests performed separately.</x:v>
      </x:c>
      <x:c r="P639" s="99" t="str">
        <x:v>the year ended June 30, 2025
  Note 2025 2024
   (PKR in ‘000’)
CASH FLOWS FROM OPERATING ACTIVITIES 
Cash generated from operations 36  33,808,781   30,937,432 
 Taxes and levy paid   (4,520,421)  (2,234,906)
 Staff gratuity paid 23.1.2  (300,000)  (188,243)
 Finance costs paid   (1,527,888)  (1,735,978)
 (Decrease) / increase in long-te</x:v>
      </x:c>
    </x:row>
    <x:row r="640" ht="82" customHeight="1">
      <x:c r="A640" s="168" t="str">
        <x:v>LUCK|cgo|2025</x:v>
      </x:c>
      <x:c r="B640" s="168" t="str">
        <x:v>LUCK</x:v>
      </x:c>
      <x:c r="C640" s="168" t="str">
        <x:v>FY2025</x:v>
      </x:c>
      <x:c r="D640" s="168" t="str">
        <x:v>Cash generated from operations (before interest, tax and other items)</x:v>
      </x:c>
      <x:c r="E640" s="169" t="n">
        <x:v>33808781</x:v>
      </x:c>
      <x:c r="F640" s="169" t="n">
        <x:v>33808781</x:v>
      </x:c>
      <x:c r="G640" s="169" t="str">
        <x:v>PKR '000</x:v>
      </x:c>
      <x:c r="H640" s="169" t="n">
        <x:f>F640/1000</x:f>
        <x:v>33808.781</x:v>
      </x:c>
      <x:c r="I640" s="169" t="n">
        <x:f>LUCK!H116</x:f>
        <x:v>33808.781</x:v>
      </x:c>
      <x:c r="J640" s="169" t="n">
        <x:f>H640-I640</x:f>
        <x:v>0</x:v>
      </x:c>
      <x:c r="K640" s="168" t="str">
        <x:v>2025.pdf</x:v>
      </x:c>
      <x:c r="L640" s="168" t="n">
        <x:v>243</x:v>
      </x:c>
      <x:c r="M640" s="168" t="str">
        <x:v>Current year</x:v>
      </x:c>
      <x:c r="N640" s="171" t="str">
        <x:v>Printed amount independently located</x:v>
      </x:c>
      <x:c r="O640" s="171" t="str">
        <x:v>Exact source amount found; audited year/current-comparative column recorded. Accounting subtotal tests performed separately.</x:v>
      </x:c>
      <x:c r="P640" s="171" t="str">
        <x:v>sh Flows
For the year ended June 30, 2025
  Note 2025 2024
   (PKR in ‘000’)
CASH FLOWS FROM OPERATING ACTIVITIES 
Cash generated from operations 36  33,808,781   30,937,432 
 Taxes and levy paid   (4,520,421)  (2,234,906)
 Staff gratuity paid 23.1.2  (300,000)  (188,243)
 Finance costs paid   (1,527,888)  (1,735,978)
 (Decrease) / increa</x:v>
      </x:c>
    </x:row>
    <x:row r="641" ht="82" customHeight="1">
      <x:c r="A641" s="76" t="str">
        <x:v>LUCK|cfo|2021</x:v>
      </x:c>
      <x:c r="B641" s="76" t="str">
        <x:v>LUCK</x:v>
      </x:c>
      <x:c r="C641" s="76" t="str">
        <x:v>FY2021</x:v>
      </x:c>
      <x:c r="D641" s="76" t="str">
        <x:v>Net cash from operating activities (as reported)</x:v>
      </x:c>
      <x:c r="E641" s="170" t="n">
        <x:v>12492631</x:v>
      </x:c>
      <x:c r="F641" s="170" t="n">
        <x:v>12492631</x:v>
      </x:c>
      <x:c r="G641" s="170" t="str">
        <x:v>PKR '000</x:v>
      </x:c>
      <x:c r="H641" s="170" t="n">
        <x:f>F641/1000</x:f>
        <x:v>12492.631</x:v>
      </x:c>
      <x:c r="I641" s="170" t="n">
        <x:f>LUCK!D117</x:f>
        <x:v>12492.631</x:v>
      </x:c>
      <x:c r="J641" s="170" t="n">
        <x:f>H641-I641</x:f>
        <x:v>0</x:v>
      </x:c>
      <x:c r="K641" s="76" t="str">
        <x:v>2022.pdf</x:v>
      </x:c>
      <x:c r="L641" s="76" t="n">
        <x:v>229</x:v>
      </x:c>
      <x:c r="M641" s="76" t="str">
        <x:v>Comparative</x:v>
      </x:c>
      <x:c r="N641" s="99" t="str">
        <x:v>Printed amount independently located</x:v>
      </x:c>
      <x:c r="O641" s="99" t="str">
        <x:v>Exact source amount found; audited year/current-comparative column recorded. Accounting subtotal tests performed separately.</x:v>
      </x:c>
      <x:c r="P641" s="99" t="str">
        <x:v>(assets)   (169)  (4,762)
 Increase in long-term loans and advances   (93,029)  (11,647)
Net cash generated from operating activities   15,469,449   12,492,631 
CASH FLOWS FROM INVESTING ACTIVITIES 
 Fixed capital expenditure   (24,591,059)  (6,470,913)
 Long-term investments made   (4,400,000)  (6,050,000)
 Sale proceeds on disposal o</x:v>
      </x:c>
    </x:row>
    <x:row r="642" ht="82" customHeight="1">
      <x:c r="A642" s="168" t="str">
        <x:v>LUCK|cfo|2022</x:v>
      </x:c>
      <x:c r="B642" s="168" t="str">
        <x:v>LUCK</x:v>
      </x:c>
      <x:c r="C642" s="168" t="str">
        <x:v>FY2022</x:v>
      </x:c>
      <x:c r="D642" s="168" t="str">
        <x:v>Net cash from operating activities (as reported)</x:v>
      </x:c>
      <x:c r="E642" s="169" t="n">
        <x:v>15469449</x:v>
      </x:c>
      <x:c r="F642" s="169" t="n">
        <x:v>15469449</x:v>
      </x:c>
      <x:c r="G642" s="169" t="str">
        <x:v>PKR '000</x:v>
      </x:c>
      <x:c r="H642" s="169" t="n">
        <x:f>F642/1000</x:f>
        <x:v>15469.449</x:v>
      </x:c>
      <x:c r="I642" s="169" t="n">
        <x:f>LUCK!E117</x:f>
        <x:v>15469.449</x:v>
      </x:c>
      <x:c r="J642" s="169" t="n">
        <x:f>H642-I642</x:f>
        <x:v>0</x:v>
      </x:c>
      <x:c r="K642" s="168" t="str">
        <x:v>2023.pdf</x:v>
      </x:c>
      <x:c r="L642" s="168" t="n">
        <x:v>237</x:v>
      </x:c>
      <x:c r="M642" s="168" t="str">
        <x:v>Comparative</x:v>
      </x:c>
      <x:c r="N642" s="171" t="str">
        <x:v>Printed amount independently located</x:v>
      </x:c>
      <x:c r="O642" s="171" t="str">
        <x:v>Exact source amount found; audited year/current-comparative column recorded. Accounting subtotal tests performed separately.</x:v>
      </x:c>
      <x:c r="P642" s="171" t="str">
        <x:v>sits (assets)   264   (169)
 Increase in long-term loans and advances   (2,520)  (93,029)
Net cash generated from operating activities   23,242,896   15,469,449 
CASH FLOWS FROM INVESTING ACTIVITIES 
 Fixed capital expenditure including capital spares   (18,644,906)  (24,537,830)
 Addition to intangible assets   (66,116)  (53,229)
 Long</x:v>
      </x:c>
    </x:row>
    <x:row r="643" ht="82" customHeight="1">
      <x:c r="A643" s="76" t="str">
        <x:v>LUCK|cfo|2023</x:v>
      </x:c>
      <x:c r="B643" s="76" t="str">
        <x:v>LUCK</x:v>
      </x:c>
      <x:c r="C643" s="76" t="str">
        <x:v>FY2023</x:v>
      </x:c>
      <x:c r="D643" s="76" t="str">
        <x:v>Net cash from operating activities (as reported)</x:v>
      </x:c>
      <x:c r="E643" s="170" t="n">
        <x:v>23242896</x:v>
      </x:c>
      <x:c r="F643" s="170" t="n">
        <x:v>23242896</x:v>
      </x:c>
      <x:c r="G643" s="170" t="str">
        <x:v>PKR '000</x:v>
      </x:c>
      <x:c r="H643" s="170" t="n">
        <x:f>F643/1000</x:f>
        <x:v>23242.896</x:v>
      </x:c>
      <x:c r="I643" s="170" t="n">
        <x:f>LUCK!F117</x:f>
        <x:v>23242.896</x:v>
      </x:c>
      <x:c r="J643" s="170" t="n">
        <x:f>H643-I643</x:f>
        <x:v>0</x:v>
      </x:c>
      <x:c r="K643" s="76" t="str">
        <x:v>2024.pdf</x:v>
      </x:c>
      <x:c r="L643" s="76" t="n">
        <x:v>241</x:v>
      </x:c>
      <x:c r="M643" s="76" t="str">
        <x:v>Comparative</x:v>
      </x:c>
      <x:c r="N643" s="99" t="str">
        <x:v>Printed amount independently located</x:v>
      </x:c>
      <x:c r="O643" s="99" t="str">
        <x:v>Exact source amount found; audited year/current-comparative column recorded. Accounting subtotal tests performed separately.</x:v>
      </x:c>
      <x:c r="P643" s="99" t="str">
        <x:v>– 
  264 
 Decrease / (increase) in long-term loans and advances
   36,780 
  (2,520)
Net cash generated from operating activities
   27,580,741 
  23,242,896 
CASH FLOWS FROM INVESTING ACTIVITIES
 Purchase of property, plant and equipment including capital s
pares
   (17,709,902)
  (18,644,906)
 Addition to intangible assets
   (26</x:v>
      </x:c>
    </x:row>
    <x:row r="644" ht="82" customHeight="1">
      <x:c r="A644" s="168" t="str">
        <x:v>LUCK|cfo|2024</x:v>
      </x:c>
      <x:c r="B644" s="168" t="str">
        <x:v>LUCK</x:v>
      </x:c>
      <x:c r="C644" s="168" t="str">
        <x:v>FY2024</x:v>
      </x:c>
      <x:c r="D644" s="168" t="str">
        <x:v>Net cash from operating activities (as reported)</x:v>
      </x:c>
      <x:c r="E644" s="169" t="n">
        <x:v>27580741</x:v>
      </x:c>
      <x:c r="F644" s="169" t="n">
        <x:v>27580741</x:v>
      </x:c>
      <x:c r="G644" s="169" t="str">
        <x:v>PKR '000</x:v>
      </x:c>
      <x:c r="H644" s="169" t="n">
        <x:f>F644/1000</x:f>
        <x:v>27580.741</x:v>
      </x:c>
      <x:c r="I644" s="169" t="n">
        <x:f>LUCK!G117</x:f>
        <x:v>27580.741</x:v>
      </x:c>
      <x:c r="J644" s="169" t="n">
        <x:f>H644-I644</x:f>
        <x:v>0</x:v>
      </x:c>
      <x:c r="K644" s="168" t="str">
        <x:v>2025.pdf</x:v>
      </x:c>
      <x:c r="L644" s="168" t="n">
        <x:v>243</x:v>
      </x:c>
      <x:c r="M644" s="168" t="str">
        <x:v>Comparative</x:v>
      </x:c>
      <x:c r="N644" s="171" t="str">
        <x:v>Printed amount independently located</x:v>
      </x:c>
      <x:c r="O644" s="171" t="str">
        <x:v>Exact source amount found; audited year/current-comparative column recorded. Accounting subtotal tests performed separately.</x:v>
      </x:c>
      <x:c r="P644" s="171" t="str">
        <x:v>863   763,406 
 (Increase) / decrease in long-term loans and advances   (23,881)  36,780 
Net cash generated from operating activities   27,572,567   27,580,741 
CASH FLOWS FROM INVESTING ACTIVITIES 
 Addition to property, plant and equipment   (7,048,725)  (17,709,902)
 Addition to intangible assets   (37,744)  (26,925)
 Long term inve</x:v>
      </x:c>
    </x:row>
    <x:row r="645" ht="82" customHeight="1">
      <x:c r="A645" s="76" t="str">
        <x:v>LUCK|cfo|2025</x:v>
      </x:c>
      <x:c r="B645" s="76" t="str">
        <x:v>LUCK</x:v>
      </x:c>
      <x:c r="C645" s="76" t="str">
        <x:v>FY2025</x:v>
      </x:c>
      <x:c r="D645" s="76" t="str">
        <x:v>Net cash from operating activities (as reported)</x:v>
      </x:c>
      <x:c r="E645" s="170" t="n">
        <x:v>27572567</x:v>
      </x:c>
      <x:c r="F645" s="170" t="n">
        <x:v>27572567</x:v>
      </x:c>
      <x:c r="G645" s="170" t="str">
        <x:v>PKR '000</x:v>
      </x:c>
      <x:c r="H645" s="170" t="n">
        <x:f>F645/1000</x:f>
        <x:v>27572.567</x:v>
      </x:c>
      <x:c r="I645" s="170" t="n">
        <x:f>LUCK!H117</x:f>
        <x:v>27572.567</x:v>
      </x:c>
      <x:c r="J645" s="170" t="n">
        <x:f>H645-I645</x:f>
        <x:v>0</x:v>
      </x:c>
      <x:c r="K645" s="76" t="str">
        <x:v>2025.pdf</x:v>
      </x:c>
      <x:c r="L645" s="76" t="n">
        <x:v>243</x:v>
      </x:c>
      <x:c r="M645" s="76" t="str">
        <x:v>Current year</x:v>
      </x:c>
      <x:c r="N645" s="99" t="str">
        <x:v>Printed amount independently located</x:v>
      </x:c>
      <x:c r="O645" s="99" t="str">
        <x:v>Exact source amount found; audited year/current-comparative column recorded. Accounting subtotal tests performed separately.</x:v>
      </x:c>
      <x:c r="P645" s="99" t="str">
        <x:v>banks   276,863   763,406 
 (Increase) / decrease in long-term loans and advances   (23,881)  36,780 
Net cash generated from operating activities   27,572,567   27,580,741 
CASH FLOWS FROM INVESTING ACTIVITIES 
 Addition to property, plant and equipment   (7,048,725)  (17,709,902)
 Addition to intangible assets   (37,744)  (26,925)
 L</x:v>
      </x:c>
    </x:row>
    <x:row r="646" ht="82" customHeight="1">
      <x:c r="A646" s="168" t="str">
        <x:v>LUCK|fin_paid|2021</x:v>
      </x:c>
      <x:c r="B646" s="168" t="str">
        <x:v>LUCK</x:v>
      </x:c>
      <x:c r="C646" s="168" t="str">
        <x:v>FY2021</x:v>
      </x:c>
      <x:c r="D646" s="168" t="str">
        <x:v>Finance cost / mark-up paid</x:v>
      </x:c>
      <x:c r="E646" s="169" t="n">
        <x:v>-308210</x:v>
      </x:c>
      <x:c r="F646" s="169" t="n">
        <x:v>-308210</x:v>
      </x:c>
      <x:c r="G646" s="169" t="str">
        <x:v>PKR '000</x:v>
      </x:c>
      <x:c r="H646" s="169" t="n">
        <x:f>F646/1000</x:f>
        <x:v>-308.21</x:v>
      </x:c>
      <x:c r="I646" s="169" t="n">
        <x:f>LUCK!D118</x:f>
        <x:v>-308.21</x:v>
      </x:c>
      <x:c r="J646" s="169" t="n">
        <x:f>H646-I646</x:f>
        <x:v>0</x:v>
      </x:c>
      <x:c r="K646" s="168" t="str">
        <x:v>2022.pdf</x:v>
      </x:c>
      <x:c r="L646" s="168" t="n">
        <x:v>229</x:v>
      </x:c>
      <x:c r="M646" s="168" t="str">
        <x:v>Comparative</x:v>
      </x:c>
      <x:c r="N646" s="171" t="str">
        <x:v>Printed amount independently located</x:v>
      </x:c>
      <x:c r="O646" s="171" t="str">
        <x:v>Exact source amount found; audited year/current-comparative column recorded. Accounting subtotal tests performed separately.</x:v>
      </x:c>
      <x:c r="P646" s="171" t="str">
        <x:v>rations 37  18,126,508   13,285,674 
 Income tax paid   (2,394,437)  (832,798)
 Gratuity paid   (136,242)  (100,969)
 Finance costs paid   (329,933)  (308,210)
 Increase in long-term deposits (liabilities)    6,699   10,571 
 Income from deposits with Islamic banks   290,052   454,772 
 Increase in long-term deposits (assets)   (169)  (4</x:v>
      </x:c>
    </x:row>
    <x:row r="647" ht="82" customHeight="1">
      <x:c r="A647" s="76" t="str">
        <x:v>LUCK|fin_paid|2022</x:v>
      </x:c>
      <x:c r="B647" s="76" t="str">
        <x:v>LUCK</x:v>
      </x:c>
      <x:c r="C647" s="76" t="str">
        <x:v>FY2022</x:v>
      </x:c>
      <x:c r="D647" s="76" t="str">
        <x:v>Finance cost / mark-up paid</x:v>
      </x:c>
      <x:c r="E647" s="170" t="n">
        <x:v>-329933</x:v>
      </x:c>
      <x:c r="F647" s="170" t="n">
        <x:v>-329933</x:v>
      </x:c>
      <x:c r="G647" s="170" t="str">
        <x:v>PKR '000</x:v>
      </x:c>
      <x:c r="H647" s="170" t="n">
        <x:f>F647/1000</x:f>
        <x:v>-329.933</x:v>
      </x:c>
      <x:c r="I647" s="170" t="n">
        <x:f>LUCK!E118</x:f>
        <x:v>-329.933</x:v>
      </x:c>
      <x:c r="J647" s="170" t="n">
        <x:f>H647-I647</x:f>
        <x:v>0</x:v>
      </x:c>
      <x:c r="K647" s="76" t="str">
        <x:v>2023.pdf</x:v>
      </x:c>
      <x:c r="L647" s="76" t="n">
        <x:v>237</x:v>
      </x:c>
      <x:c r="M647" s="76" t="str">
        <x:v>Comparative</x:v>
      </x:c>
      <x:c r="N647" s="99" t="str">
        <x:v>Printed amount independently located</x:v>
      </x:c>
      <x:c r="O647" s="99" t="str">
        <x:v>Exact source amount found; audited year/current-comparative column recorded. Accounting subtotal tests performed separately.</x:v>
      </x:c>
      <x:c r="P647" s="99" t="str">
        <x:v>s 37  24,515,258   18,126,508 
 Income tax paid   (966,685)  (2,394,437)
 Gratuity paid 24.1.3  (194,812)  (136,242)
 Finance costs paid   (807,477)  (329,933)
 Increase in long-term deposits (liabilities)    2,505   6,699 
 Income from deposits with Islamic banks   696,363   290,052 
 Decrease / (increase) in long-term deposits (assets)</x:v>
      </x:c>
    </x:row>
    <x:row r="648" ht="82" customHeight="1">
      <x:c r="A648" s="168" t="str">
        <x:v>LUCK|fin_paid|2023</x:v>
      </x:c>
      <x:c r="B648" s="168" t="str">
        <x:v>LUCK</x:v>
      </x:c>
      <x:c r="C648" s="168" t="str">
        <x:v>FY2023</x:v>
      </x:c>
      <x:c r="D648" s="168" t="str">
        <x:v>Finance cost / mark-up paid</x:v>
      </x:c>
      <x:c r="E648" s="169" t="n">
        <x:v>-807477</x:v>
      </x:c>
      <x:c r="F648" s="169" t="n">
        <x:v>-807477</x:v>
      </x:c>
      <x:c r="G648" s="169" t="str">
        <x:v>PKR '000</x:v>
      </x:c>
      <x:c r="H648" s="169" t="n">
        <x:f>F648/1000</x:f>
        <x:v>-807.477</x:v>
      </x:c>
      <x:c r="I648" s="169" t="n">
        <x:f>LUCK!F118</x:f>
        <x:v>-807.477</x:v>
      </x:c>
      <x:c r="J648" s="169" t="n">
        <x:f>H648-I648</x:f>
        <x:v>0</x:v>
      </x:c>
      <x:c r="K648" s="168" t="str">
        <x:v>2024.pdf</x:v>
      </x:c>
      <x:c r="L648" s="168" t="n">
        <x:v>241</x:v>
      </x:c>
      <x:c r="M648" s="168" t="str">
        <x:v>Comparative</x:v>
      </x:c>
      <x:c r="N648" s="171" t="str">
        <x:v>Printed amount independently located</x:v>
      </x:c>
      <x:c r="O648" s="171" t="str">
        <x:v>Exact source amount found; audited year/current-comparative column recorded. Accounting subtotal tests performed separately.</x:v>
      </x:c>
      <x:c r="P648" s="171" t="str">
        <x:v>24,515,258 
 Taxes and levy paid
   (2,234,906)
  (966,685)
 Staff gratuity paid
 24.1.2
  (188,243)
  (194,812)
 Finance costs paid
   (1,735,978)
  (807,477)
 Increase in long-term deposits (liabilities) 
   2,250 
  2,505 
 Income from deposits with Islamic banks
   763,406 
  696,363 
 Decrease in long-term deposits (assets)
  – 
  2</x:v>
      </x:c>
    </x:row>
    <x:row r="649" ht="82" customHeight="1">
      <x:c r="A649" s="76" t="str">
        <x:v>LUCK|fin_paid|2024</x:v>
      </x:c>
      <x:c r="B649" s="76" t="str">
        <x:v>LUCK</x:v>
      </x:c>
      <x:c r="C649" s="76" t="str">
        <x:v>FY2024</x:v>
      </x:c>
      <x:c r="D649" s="76" t="str">
        <x:v>Finance cost / mark-up paid</x:v>
      </x:c>
      <x:c r="E649" s="170" t="n">
        <x:v>-1735978</x:v>
      </x:c>
      <x:c r="F649" s="170" t="n">
        <x:v>-1735978</x:v>
      </x:c>
      <x:c r="G649" s="170" t="str">
        <x:v>PKR '000</x:v>
      </x:c>
      <x:c r="H649" s="170" t="n">
        <x:f>F649/1000</x:f>
        <x:v>-1735.978</x:v>
      </x:c>
      <x:c r="I649" s="170" t="n">
        <x:f>LUCK!G118</x:f>
        <x:v>-1735.978</x:v>
      </x:c>
      <x:c r="J649" s="170" t="n">
        <x:f>H649-I649</x:f>
        <x:v>0</x:v>
      </x:c>
      <x:c r="K649" s="76" t="str">
        <x:v>2025.pdf</x:v>
      </x:c>
      <x:c r="L649" s="76" t="n">
        <x:v>243</x:v>
      </x:c>
      <x:c r="M649" s="76" t="str">
        <x:v>Comparative</x:v>
      </x:c>
      <x:c r="N649" s="99" t="str">
        <x:v>Printed amount independently located</x:v>
      </x:c>
      <x:c r="O649" s="99" t="str">
        <x:v>Exact source amount found; audited year/current-comparative column recorded. Accounting subtotal tests performed separately.</x:v>
      </x:c>
      <x:c r="P649" s="99" t="str">
        <x:v>81   30,937,432 
 Taxes and levy paid   (4,520,421)  (2,234,906)
 Staff gratuity paid 23.1.2  (300,000)  (188,243)
 Finance costs paid   (1,527,888)  (1,735,978)
 (Decrease) / increase in long-term deposits (liabilities)    (140,887)  2,250 
 Income from deposits with Islamic banks   276,863   763,406 
 (Increase) / decrease in long-term l</x:v>
      </x:c>
    </x:row>
    <x:row r="650" ht="82" customHeight="1">
      <x:c r="A650" s="168" t="str">
        <x:v>LUCK|fin_paid|2025</x:v>
      </x:c>
      <x:c r="B650" s="168" t="str">
        <x:v>LUCK</x:v>
      </x:c>
      <x:c r="C650" s="168" t="str">
        <x:v>FY2025</x:v>
      </x:c>
      <x:c r="D650" s="168" t="str">
        <x:v>Finance cost / mark-up paid</x:v>
      </x:c>
      <x:c r="E650" s="169" t="n">
        <x:v>-1527888</x:v>
      </x:c>
      <x:c r="F650" s="169" t="n">
        <x:v>-1527888</x:v>
      </x:c>
      <x:c r="G650" s="169" t="str">
        <x:v>PKR '000</x:v>
      </x:c>
      <x:c r="H650" s="169" t="n">
        <x:f>F650/1000</x:f>
        <x:v>-1527.888</x:v>
      </x:c>
      <x:c r="I650" s="169" t="n">
        <x:f>LUCK!H118</x:f>
        <x:v>-1527.888</x:v>
      </x:c>
      <x:c r="J650" s="169" t="n">
        <x:f>H650-I650</x:f>
        <x:v>0</x:v>
      </x:c>
      <x:c r="K650" s="168" t="str">
        <x:v>2025.pdf</x:v>
      </x:c>
      <x:c r="L650" s="168" t="n">
        <x:v>243</x:v>
      </x:c>
      <x:c r="M650" s="168" t="str">
        <x:v>Current year</x:v>
      </x:c>
      <x:c r="N650" s="171" t="str">
        <x:v>Printed amount independently located</x:v>
      </x:c>
      <x:c r="O650" s="171" t="str">
        <x:v>Exact source amount found; audited year/current-comparative column recorded. Accounting subtotal tests performed separately.</x:v>
      </x:c>
      <x:c r="P650" s="171" t="str">
        <x:v>36  33,808,781   30,937,432 
 Taxes and levy paid   (4,520,421)  (2,234,906)
 Staff gratuity paid 23.1.2  (300,000)  (188,243)
 Finance costs paid   (1,527,888)  (1,735,978)
 (Decrease) / increase in long-term deposits (liabilities)    (140,887)  2,250 
 Income from deposits with Islamic banks   276,863   763,406 
 (Increase) / decrease i</x:v>
      </x:c>
    </x:row>
    <x:row r="651" ht="82" customHeight="1">
      <x:c r="A651" s="76" t="str">
        <x:v>LUCK|fin_paid_cls|2021</x:v>
      </x:c>
      <x:c r="B651" s="76" t="str">
        <x:v>LUCK</x:v>
      </x:c>
      <x:c r="C651" s="76" t="str">
        <x:v>FY2021</x:v>
      </x:c>
      <x:c r="D651" s="76" t="str">
        <x:v>Classification of finance cost paid</x:v>
      </x:c>
      <x:c r="E651" s="170" t="str">
        <x:v>Operating</x:v>
      </x:c>
      <x:c r="F651" s="170" t="str">
        <x:v>Operating</x:v>
      </x:c>
      <x:c r="G651" s="170" t="str">
        <x:v>text</x:v>
      </x:c>
      <x:c r="H651" s="170" t="str">
        <x:v>Operating</x:v>
      </x:c>
      <x:c r="I651" s="170" t="str">
        <x:f>LUCK!D119</x:f>
        <x:v>Operating</x:v>
      </x:c>
      <x:c r="J651" s="170" t="str">
        <x:v>n/a</x:v>
      </x:c>
      <x:c r="K651" s="76" t="str">
        <x:v>2022.pdf</x:v>
      </x:c>
      <x:c r="L651" s="76" t="n">
        <x:v>229</x:v>
      </x:c>
      <x:c r="M651" s="76" t="str">
        <x:v>Comparative</x:v>
      </x:c>
      <x:c r="N651" s="99" t="str">
        <x:v>Cash-flow classification inspected</x:v>
      </x:c>
      <x:c r="O651" s="99" t="str">
        <x:v>Supporting cash-flow classification only; excluded from 33-measure scope.</x:v>
      </x:c>
      <x:c r="P651" s="99" t="str">
        <x:v>
  Note 2022 2021
   (PKR in ‘000’)
CASH FLOWS FROM OPERATING ACTIVITIES 
Cash generated from operations 37  18,126,508   13,285,674 
 Income tax paid   (2,394,437)  (832,798)
 Gratuity paid   (136,242)  (100,969)
 Finan</x:v>
      </x:c>
    </x:row>
    <x:row r="652" ht="82" customHeight="1">
      <x:c r="A652" s="168" t="str">
        <x:v>LUCK|fin_paid_cls|2022</x:v>
      </x:c>
      <x:c r="B652" s="168" t="str">
        <x:v>LUCK</x:v>
      </x:c>
      <x:c r="C652" s="168" t="str">
        <x:v>FY2022</x:v>
      </x:c>
      <x:c r="D652" s="168" t="str">
        <x:v>Classification of finance cost paid</x:v>
      </x:c>
      <x:c r="E652" s="169" t="str">
        <x:v>Operating</x:v>
      </x:c>
      <x:c r="F652" s="169" t="str">
        <x:v>Operating</x:v>
      </x:c>
      <x:c r="G652" s="169" t="str">
        <x:v>text</x:v>
      </x:c>
      <x:c r="H652" s="169" t="str">
        <x:v>Operating</x:v>
      </x:c>
      <x:c r="I652" s="169" t="str">
        <x:f>LUCK!E119</x:f>
        <x:v>Operating</x:v>
      </x:c>
      <x:c r="J652" s="169" t="str">
        <x:v>n/a</x:v>
      </x:c>
      <x:c r="K652" s="168" t="str">
        <x:v>2023.pdf</x:v>
      </x:c>
      <x:c r="L652" s="168" t="n">
        <x:v>237</x:v>
      </x:c>
      <x:c r="M652" s="168" t="str">
        <x:v>Comparative</x:v>
      </x:c>
      <x:c r="N652" s="171" t="str">
        <x:v>Cash-flow classification inspected</x:v>
      </x:c>
      <x:c r="O652" s="171" t="str">
        <x:v>Supporting cash-flow classification only; excluded from 33-measure scope.</x:v>
      </x:c>
      <x:c r="P652" s="171" t="str">
        <x:v>
  Note 2023 2022
   (PKR in ‘000’)
CASH FLOWS FROM OPERATING ACTIVITIES 
Cash generated from operations 37  24,515,258   18,126,508 
 Income tax paid   (966,685)  (2,394,437)
 Gratuity paid 24.1.3  (194,812)  (136,242)
</x:v>
      </x:c>
    </x:row>
    <x:row r="653" ht="82" customHeight="1">
      <x:c r="A653" s="76" t="str">
        <x:v>LUCK|fin_paid_cls|2023</x:v>
      </x:c>
      <x:c r="B653" s="76" t="str">
        <x:v>LUCK</x:v>
      </x:c>
      <x:c r="C653" s="76" t="str">
        <x:v>FY2023</x:v>
      </x:c>
      <x:c r="D653" s="76" t="str">
        <x:v>Classification of finance cost paid</x:v>
      </x:c>
      <x:c r="E653" s="170" t="str">
        <x:v>Operating</x:v>
      </x:c>
      <x:c r="F653" s="170" t="str">
        <x:v>Operating</x:v>
      </x:c>
      <x:c r="G653" s="170" t="str">
        <x:v>text</x:v>
      </x:c>
      <x:c r="H653" s="170" t="str">
        <x:v>Operating</x:v>
      </x:c>
      <x:c r="I653" s="170" t="str">
        <x:f>LUCK!F119</x:f>
        <x:v>Operating</x:v>
      </x:c>
      <x:c r="J653" s="170" t="str">
        <x:v>n/a</x:v>
      </x:c>
      <x:c r="K653" s="76" t="str">
        <x:v>2024.pdf</x:v>
      </x:c>
      <x:c r="L653" s="76" t="n">
        <x:v>241</x:v>
      </x:c>
      <x:c r="M653" s="76" t="str">
        <x:v>Comparative</x:v>
      </x:c>
      <x:c r="N653" s="99" t="str">
        <x:v>Cash-flow classification inspected</x:v>
      </x:c>
      <x:c r="O653" s="99" t="str">
        <x:v>Supporting cash-flow classification only; excluded from 33-measure scope.</x:v>
      </x:c>
      <x:c r="P653" s="99" t="str">
        <x:v>
Unconsolidated Statement of 
Cash Flows
For the year ended June 30, 2024
  Note  2024  2023
  (PKR in ‘000’)
CASH FLOWS FROM OPERATING ACTIVITIES
Cash generated from operations
 37
  30,937,432 
  24,515,258 
 Taxes</x:v>
      </x:c>
    </x:row>
    <x:row r="654" ht="82" customHeight="1">
      <x:c r="A654" s="168" t="str">
        <x:v>LUCK|fin_paid_cls|2024</x:v>
      </x:c>
      <x:c r="B654" s="168" t="str">
        <x:v>LUCK</x:v>
      </x:c>
      <x:c r="C654" s="168" t="str">
        <x:v>FY2024</x:v>
      </x:c>
      <x:c r="D654" s="168" t="str">
        <x:v>Classification of finance cost paid</x:v>
      </x:c>
      <x:c r="E654" s="169" t="str">
        <x:v>Operating</x:v>
      </x:c>
      <x:c r="F654" s="169" t="str">
        <x:v>Operating</x:v>
      </x:c>
      <x:c r="G654" s="169" t="str">
        <x:v>text</x:v>
      </x:c>
      <x:c r="H654" s="169" t="str">
        <x:v>Operating</x:v>
      </x:c>
      <x:c r="I654" s="169" t="str">
        <x:f>LUCK!G119</x:f>
        <x:v>Operating</x:v>
      </x:c>
      <x:c r="J654" s="169" t="str">
        <x:v>n/a</x:v>
      </x:c>
      <x:c r="K654" s="168" t="str">
        <x:v>2025.pdf</x:v>
      </x:c>
      <x:c r="L654" s="168" t="n">
        <x:v>243</x:v>
      </x:c>
      <x:c r="M654" s="168" t="str">
        <x:v>Comparative</x:v>
      </x:c>
      <x:c r="N654" s="171" t="str">
        <x:v>Cash-flow classification inspected</x:v>
      </x:c>
      <x:c r="O654" s="171" t="str">
        <x:v>Supporting cash-flow classification only; excluded from 33-measure scope.</x:v>
      </x:c>
      <x:c r="P654" s="171" t="str">
        <x:v>
Muhammad Ali Tabba
Chief Executive
Muhammad Sohail Tabba
Chairman / Director
Atif Kaludi
Chief Financial Officer
Unconsolidated Statement of 
Cash Flows
For the year ended June 30, 2025
  Note 2025 2024
   (PKR in ‘000’</x:v>
      </x:c>
    </x:row>
    <x:row r="655" ht="82" customHeight="1">
      <x:c r="A655" s="76" t="str">
        <x:v>LUCK|fin_paid_cls|2025</x:v>
      </x:c>
      <x:c r="B655" s="76" t="str">
        <x:v>LUCK</x:v>
      </x:c>
      <x:c r="C655" s="76" t="str">
        <x:v>FY2025</x:v>
      </x:c>
      <x:c r="D655" s="76" t="str">
        <x:v>Classification of finance cost paid</x:v>
      </x:c>
      <x:c r="E655" s="170" t="str">
        <x:v>Operating</x:v>
      </x:c>
      <x:c r="F655" s="170" t="str">
        <x:v>Operating</x:v>
      </x:c>
      <x:c r="G655" s="170" t="str">
        <x:v>text</x:v>
      </x:c>
      <x:c r="H655" s="170" t="str">
        <x:v>Operating</x:v>
      </x:c>
      <x:c r="I655" s="170" t="str">
        <x:f>LUCK!H119</x:f>
        <x:v>Operating</x:v>
      </x:c>
      <x:c r="J655" s="170" t="str">
        <x:v>n/a</x:v>
      </x:c>
      <x:c r="K655" s="76" t="str">
        <x:v>2025.pdf</x:v>
      </x:c>
      <x:c r="L655" s="76" t="n">
        <x:v>243</x:v>
      </x:c>
      <x:c r="M655" s="76" t="str">
        <x:v>Current year</x:v>
      </x:c>
      <x:c r="N655" s="99" t="str">
        <x:v>Cash-flow classification inspected</x:v>
      </x:c>
      <x:c r="O655" s="99" t="str">
        <x:v>Supporting cash-flow classification only; excluded from 33-measure scope.</x:v>
      </x:c>
      <x:c r="P655" s="99" t="str">
        <x:v>
Muhammad Ali Tabba
Chief Executive
Muhammad Sohail Tabba
Chairman / Director
Atif Kaludi
Chief Financial Officer
Unconsolidated Statement of 
Cash Flows
For the year ended June 30, 2025
  Note 2025 2024
   (PKR in ‘000’</x:v>
      </x:c>
    </x:row>
    <x:row r="656" ht="82" customHeight="1">
      <x:c r="A656" s="168" t="str">
        <x:v>LUCK|capex|2021</x:v>
      </x:c>
      <x:c r="B656" s="168" t="str">
        <x:v>LUCK</x:v>
      </x:c>
      <x:c r="C656" s="168" t="str">
        <x:v>FY2021</x:v>
      </x:c>
      <x:c r="D656" s="168" t="str">
        <x:v>Purchase of property, plant and equipment</x:v>
      </x:c>
      <x:c r="E656" s="169" t="n">
        <x:v>-6470913</x:v>
      </x:c>
      <x:c r="F656" s="169" t="n">
        <x:v>-6470913</x:v>
      </x:c>
      <x:c r="G656" s="169" t="str">
        <x:v>PKR '000</x:v>
      </x:c>
      <x:c r="H656" s="169" t="n">
        <x:f>F656/1000</x:f>
        <x:v>-6470.913</x:v>
      </x:c>
      <x:c r="I656" s="169" t="n">
        <x:f>LUCK!D121</x:f>
        <x:v>-6470.913</x:v>
      </x:c>
      <x:c r="J656" s="169" t="n">
        <x:f>H656-I656</x:f>
        <x:v>0</x:v>
      </x:c>
      <x:c r="K656" s="168" t="str">
        <x:v>2022.pdf</x:v>
      </x:c>
      <x:c r="L656" s="168" t="n">
        <x:v>229</x:v>
      </x:c>
      <x:c r="M656" s="168" t="str">
        <x:v>Comparative</x:v>
      </x:c>
      <x:c r="N656" s="171" t="str">
        <x:v>Printed amount independently located</x:v>
      </x:c>
      <x:c r="O656" s="171" t="str">
        <x:v>Exact source amount found; audited year/current-comparative column recorded. Accounting subtotal tests performed separately.</x:v>
      </x:c>
      <x:c r="P656" s="171" t="str">
        <x:v>ash generated from operating activities   15,469,449   12,492,631 
CASH FLOWS FROM INVESTING ACTIVITIES 
 Fixed capital expenditure   (24,591,059)  (6,470,913)
 Long-term investments made   (4,400,000)  (6,050,000)
 Sale proceeds on disposal of property, plant and equipment   233,881   109,962 
 Dividend received from subsidiary companie</x:v>
      </x:c>
    </x:row>
    <x:row r="657" ht="82" customHeight="1">
      <x:c r="A657" s="76" t="str">
        <x:v>LUCK|capex|2022</x:v>
      </x:c>
      <x:c r="B657" s="76" t="str">
        <x:v>LUCK</x:v>
      </x:c>
      <x:c r="C657" s="76" t="str">
        <x:v>FY2022</x:v>
      </x:c>
      <x:c r="D657" s="76" t="str">
        <x:v>Purchase of property, plant and equipment</x:v>
      </x:c>
      <x:c r="E657" s="170" t="n">
        <x:v>-24537830</x:v>
      </x:c>
      <x:c r="F657" s="170" t="n">
        <x:v>-24537830</x:v>
      </x:c>
      <x:c r="G657" s="170" t="str">
        <x:v>PKR '000</x:v>
      </x:c>
      <x:c r="H657" s="170" t="n">
        <x:f>F657/1000</x:f>
        <x:v>-24537.83</x:v>
      </x:c>
      <x:c r="I657" s="170" t="n">
        <x:f>LUCK!E121</x:f>
        <x:v>-24537.83</x:v>
      </x:c>
      <x:c r="J657" s="170" t="n">
        <x:f>H657-I657</x:f>
        <x:v>0</x:v>
      </x:c>
      <x:c r="K657" s="76" t="str">
        <x:v>2023.pdf</x:v>
      </x:c>
      <x:c r="L657" s="76" t="n">
        <x:v>237</x:v>
      </x:c>
      <x:c r="M657" s="76" t="str">
        <x:v>Comparative</x:v>
      </x:c>
      <x:c r="N657" s="99" t="str">
        <x:v>Printed amount independently located</x:v>
      </x:c>
      <x:c r="O657" s="99" t="str">
        <x:v>Exact source amount found; audited year/current-comparative column recorded. Accounting subtotal tests performed separately.</x:v>
      </x:c>
      <x:c r="P657" s="99" t="str">
        <x:v>ing activities   23,242,896   15,469,449 
CASH FLOWS FROM INVESTING ACTIVITIES 
 Fixed capital expenditure including capital spares   (18,644,906)  (24,537,830)
 Addition to intangible assets   (66,116)  (53,229)
 Long term investments made  –   (4,400,000)
 Sale proceeds on disposal of property, plant and equipment 5.3  258,041   233,881</x:v>
      </x:c>
    </x:row>
    <x:row r="658" ht="82" customHeight="1">
      <x:c r="A658" s="168" t="str">
        <x:v>LUCK|capex|2023</x:v>
      </x:c>
      <x:c r="B658" s="168" t="str">
        <x:v>LUCK</x:v>
      </x:c>
      <x:c r="C658" s="168" t="str">
        <x:v>FY2023</x:v>
      </x:c>
      <x:c r="D658" s="168" t="str">
        <x:v>Purchase of property, plant and equipment</x:v>
      </x:c>
      <x:c r="E658" s="169" t="n">
        <x:v>-18644906</x:v>
      </x:c>
      <x:c r="F658" s="169" t="n">
        <x:v>-18644906</x:v>
      </x:c>
      <x:c r="G658" s="169" t="str">
        <x:v>PKR '000</x:v>
      </x:c>
      <x:c r="H658" s="169" t="n">
        <x:f>F658/1000</x:f>
        <x:v>-18644.906</x:v>
      </x:c>
      <x:c r="I658" s="169" t="n">
        <x:f>LUCK!F121</x:f>
        <x:v>-18644.906</x:v>
      </x:c>
      <x:c r="J658" s="169" t="n">
        <x:f>H658-I658</x:f>
        <x:v>0</x:v>
      </x:c>
      <x:c r="K658" s="168" t="str">
        <x:v>2024.pdf</x:v>
      </x:c>
      <x:c r="L658" s="168" t="n">
        <x:v>241</x:v>
      </x:c>
      <x:c r="M658" s="168" t="str">
        <x:v>Comparative</x:v>
      </x:c>
      <x:c r="N658" s="171" t="str">
        <x:v>Printed amount independently located</x:v>
      </x:c>
      <x:c r="O658" s="171" t="str">
        <x:v>Exact source amount found; audited year/current-comparative column recorded. Accounting subtotal tests performed separately.</x:v>
      </x:c>
      <x:c r="P658" s="171" t="str">
        <x:v>80,741 
  23,242,896 
CASH FLOWS FROM INVESTING ACTIVITIES
 Purchase of property, plant and equipment including capital s
pares
   (17,709,902)
  (18,644,906)
 Addition to intangible assets
   (26,925)
  (66,116)
 Long term investment made
   (477,888)
 – 
 Proceeds on disposal of property, plant and equipment
 5.3
  155,199 
  258,0</x:v>
      </x:c>
    </x:row>
    <x:row r="659" ht="82" customHeight="1">
      <x:c r="A659" s="76" t="str">
        <x:v>LUCK|capex|2024</x:v>
      </x:c>
      <x:c r="B659" s="76" t="str">
        <x:v>LUCK</x:v>
      </x:c>
      <x:c r="C659" s="76" t="str">
        <x:v>FY2024</x:v>
      </x:c>
      <x:c r="D659" s="76" t="str">
        <x:v>Purchase of property, plant and equipment</x:v>
      </x:c>
      <x:c r="E659" s="170" t="n">
        <x:v>-17709902</x:v>
      </x:c>
      <x:c r="F659" s="170" t="n">
        <x:v>-17709902</x:v>
      </x:c>
      <x:c r="G659" s="170" t="str">
        <x:v>PKR '000</x:v>
      </x:c>
      <x:c r="H659" s="170" t="n">
        <x:f>F659/1000</x:f>
        <x:v>-17709.902</x:v>
      </x:c>
      <x:c r="I659" s="170" t="n">
        <x:f>LUCK!G121</x:f>
        <x:v>-17709.902</x:v>
      </x:c>
      <x:c r="J659" s="170" t="n">
        <x:f>H659-I659</x:f>
        <x:v>0</x:v>
      </x:c>
      <x:c r="K659" s="76" t="str">
        <x:v>2025.pdf</x:v>
      </x:c>
      <x:c r="L659" s="76" t="n">
        <x:v>243</x:v>
      </x:c>
      <x:c r="M659" s="76" t="str">
        <x:v>Comparative</x:v>
      </x:c>
      <x:c r="N659" s="99" t="str">
        <x:v>Printed amount independently located</x:v>
      </x:c>
      <x:c r="O659" s="99" t="str">
        <x:v>Exact source amount found; audited year/current-comparative column recorded. Accounting subtotal tests performed separately.</x:v>
      </x:c>
      <x:c r="P659" s="99" t="str">
        <x:v>rom operating activities   27,572,567   27,580,741 
CASH FLOWS FROM INVESTING ACTIVITIES 
 Addition to property, plant and equipment   (7,048,725)  (17,709,902)
 Addition to intangible assets   (37,744)  (26,925)
 Long term investment made   (483,334)  (477,888)
 Proceeds on disposal of property, plant and equipment 5.3  127,174   155,199</x:v>
      </x:c>
    </x:row>
    <x:row r="660" ht="82" customHeight="1">
      <x:c r="A660" s="168" t="str">
        <x:v>LUCK|capex|2025</x:v>
      </x:c>
      <x:c r="B660" s="168" t="str">
        <x:v>LUCK</x:v>
      </x:c>
      <x:c r="C660" s="168" t="str">
        <x:v>FY2025</x:v>
      </x:c>
      <x:c r="D660" s="168" t="str">
        <x:v>Purchase of property, plant and equipment</x:v>
      </x:c>
      <x:c r="E660" s="169" t="n">
        <x:v>-7048725</x:v>
      </x:c>
      <x:c r="F660" s="169" t="n">
        <x:v>-7048725</x:v>
      </x:c>
      <x:c r="G660" s="169" t="str">
        <x:v>PKR '000</x:v>
      </x:c>
      <x:c r="H660" s="169" t="n">
        <x:f>F660/1000</x:f>
        <x:v>-7048.725</x:v>
      </x:c>
      <x:c r="I660" s="169" t="n">
        <x:f>LUCK!H121</x:f>
        <x:v>-7048.725</x:v>
      </x:c>
      <x:c r="J660" s="169" t="n">
        <x:f>H660-I660</x:f>
        <x:v>0</x:v>
      </x:c>
      <x:c r="K660" s="168" t="str">
        <x:v>2025.pdf</x:v>
      </x:c>
      <x:c r="L660" s="168" t="n">
        <x:v>243</x:v>
      </x:c>
      <x:c r="M660" s="168" t="str">
        <x:v>Current year</x:v>
      </x:c>
      <x:c r="N660" s="171" t="str">
        <x:v>Printed amount independently located</x:v>
      </x:c>
      <x:c r="O660" s="171" t="str">
        <x:v>Exact source amount found; audited year/current-comparative column recorded. Accounting subtotal tests performed separately.</x:v>
      </x:c>
      <x:c r="P660" s="171" t="str">
        <x:v>h generated from operating activities   27,572,567   27,580,741 
CASH FLOWS FROM INVESTING ACTIVITIES 
 Addition to property, plant and equipment   (7,048,725)  (17,709,902)
 Addition to intangible assets   (37,744)  (26,925)
 Long term investment made   (483,334)  (477,888)
 Proceeds on disposal of property, plant and equipment 5.3  127</x:v>
      </x:c>
    </x:row>
    <x:row r="661" ht="82" customHeight="1">
      <x:c r="A661" s="76" t="str">
        <x:v>LUCK|cfi|2021</x:v>
      </x:c>
      <x:c r="B661" s="76" t="str">
        <x:v>LUCK</x:v>
      </x:c>
      <x:c r="C661" s="76" t="str">
        <x:v>FY2021</x:v>
      </x:c>
      <x:c r="D661" s="76" t="str">
        <x:v>Net cash from investing activities</x:v>
      </x:c>
      <x:c r="E661" s="170" t="n">
        <x:v>-5762325</x:v>
      </x:c>
      <x:c r="F661" s="170" t="n">
        <x:v>-5762325</x:v>
      </x:c>
      <x:c r="G661" s="170" t="str">
        <x:v>PKR '000</x:v>
      </x:c>
      <x:c r="H661" s="170" t="n">
        <x:f>F661/1000</x:f>
        <x:v>-5762.325</x:v>
      </x:c>
      <x:c r="I661" s="170" t="n">
        <x:f>LUCK!D122</x:f>
        <x:v>-5762.325</x:v>
      </x:c>
      <x:c r="J661" s="170" t="n">
        <x:f>H661-I661</x:f>
        <x:v>0</x:v>
      </x:c>
      <x:c r="K661" s="76" t="str">
        <x:v>2022.pdf</x:v>
      </x:c>
      <x:c r="L661" s="76" t="n">
        <x:v>229</x:v>
      </x:c>
      <x:c r="M661" s="76" t="str">
        <x:v>Comparative</x:v>
      </x:c>
      <x:c r="N661" s="99" t="str">
        <x:v>Printed amount independently located</x:v>
      </x:c>
      <x:c r="O661" s="99" t="str">
        <x:v>Exact source amount found; audited year/current-comparative column recorded. Accounting subtotal tests performed separately.</x:v>
      </x:c>
      <x:c r="P661" s="99" t="str">
        <x:v>,167,048   613,816 
 (Placement) / release of balances held as lien 37.2  (789,111)  1,628,000 
Net cash used in investing activities   (24,826,255)  (5,762,325)
CASH FLOWS FROM FINANCING ACTIVITIES 
 Long-term loans obtained   12,718,119   4,041,984 
 Long-term loans repaid   (506,908) –  
 Dividends paid   (2,428)  (19,889)
Net cash ge</x:v>
      </x:c>
    </x:row>
    <x:row r="662" ht="82" customHeight="1">
      <x:c r="A662" s="168" t="str">
        <x:v>LUCK|cfi|2022</x:v>
      </x:c>
      <x:c r="B662" s="168" t="str">
        <x:v>LUCK</x:v>
      </x:c>
      <x:c r="C662" s="168" t="str">
        <x:v>FY2022</x:v>
      </x:c>
      <x:c r="D662" s="168" t="str">
        <x:v>Net cash from investing activities</x:v>
      </x:c>
      <x:c r="E662" s="169" t="n">
        <x:v>-24826255</x:v>
      </x:c>
      <x:c r="F662" s="169" t="n">
        <x:v>-24826255</x:v>
      </x:c>
      <x:c r="G662" s="169" t="str">
        <x:v>PKR '000</x:v>
      </x:c>
      <x:c r="H662" s="169" t="n">
        <x:f>F662/1000</x:f>
        <x:v>-24826.255</x:v>
      </x:c>
      <x:c r="I662" s="169" t="n">
        <x:f>LUCK!E122</x:f>
        <x:v>-24826.255</x:v>
      </x:c>
      <x:c r="J662" s="169" t="n">
        <x:f>H662-I662</x:f>
        <x:v>0</x:v>
      </x:c>
      <x:c r="K662" s="168" t="str">
        <x:v>2023.pdf</x:v>
      </x:c>
      <x:c r="L662" s="168" t="n">
        <x:v>237</x:v>
      </x:c>
      <x:c r="M662" s="168" t="str">
        <x:v>Comparative</x:v>
      </x:c>
      <x:c r="N662" s="171" t="str">
        <x:v>Printed amount independently located</x:v>
      </x:c>
      <x:c r="O662" s="171" t="str">
        <x:v>Exact source amount found; audited year/current-comparative column recorded. Accounting subtotal tests performed separately.</x:v>
      </x:c>
      <x:c r="P662" s="171" t="str">
        <x:v>1,983,916   1,167,048 
 Release / (placement) of balances held as lien   1,111,111   (789,111)
Net cash used in investing activities   (12,978,915)  (24,826,255)
CASH FLOWS FROM FINANCING ACTIVITIES 
 Long term loans obtained 22.5  5,286,636   12,718,119 
 Long term loans repaid 22.5  (4,768,485)  (506,908)
 Short term borrowings obtaine</x:v>
      </x:c>
    </x:row>
    <x:row r="663" ht="82" customHeight="1">
      <x:c r="A663" s="76" t="str">
        <x:v>LUCK|cfi|2023</x:v>
      </x:c>
      <x:c r="B663" s="76" t="str">
        <x:v>LUCK</x:v>
      </x:c>
      <x:c r="C663" s="76" t="str">
        <x:v>FY2023</x:v>
      </x:c>
      <x:c r="D663" s="76" t="str">
        <x:v>Net cash from investing activities</x:v>
      </x:c>
      <x:c r="E663" s="170" t="n">
        <x:v>-12978915</x:v>
      </x:c>
      <x:c r="F663" s="170" t="n">
        <x:v>-12978915</x:v>
      </x:c>
      <x:c r="G663" s="170" t="str">
        <x:v>PKR '000</x:v>
      </x:c>
      <x:c r="H663" s="170" t="n">
        <x:f>F663/1000</x:f>
        <x:v>-12978.915</x:v>
      </x:c>
      <x:c r="I663" s="170" t="n">
        <x:f>LUCK!F122</x:f>
        <x:v>-12978.915</x:v>
      </x:c>
      <x:c r="J663" s="170" t="n">
        <x:f>H663-I663</x:f>
        <x:v>0</x:v>
      </x:c>
      <x:c r="K663" s="76" t="str">
        <x:v>2024.pdf</x:v>
      </x:c>
      <x:c r="L663" s="76" t="n">
        <x:v>241</x:v>
      </x:c>
      <x:c r="M663" s="76" t="str">
        <x:v>Comparative</x:v>
      </x:c>
      <x:c r="N663" s="99" t="str">
        <x:v>Printed amount independently located</x:v>
      </x:c>
      <x:c r="O663" s="99" t="str">
        <x:v>Exact source amount found; audited year/current-comparative column recorded. Accounting subtotal tests performed separately.</x:v>
      </x:c>
      <x:c r="P663" s="99" t="str">
        <x:v>m investments
   4,845,426 
  1,983,916 
 Release of balances held as lien
  –  
  1
,111,111 
Net cash used in investing activities
   (2,580,021)
  (12,978,915)
CASH FLOWS FROM FINANCING ACTIVITIES
 Long term loans obtained
 22.4
 –  
  5,286,636 
 Long term loans repaid
 22.4
  (652,415)
  (4,768,485)
 Short term borrowings (repaid)</x:v>
      </x:c>
    </x:row>
    <x:row r="664" ht="82" customHeight="1">
      <x:c r="A664" s="168" t="str">
        <x:v>LUCK|cfi|2024</x:v>
      </x:c>
      <x:c r="B664" s="168" t="str">
        <x:v>LUCK</x:v>
      </x:c>
      <x:c r="C664" s="168" t="str">
        <x:v>FY2024</x:v>
      </x:c>
      <x:c r="D664" s="168" t="str">
        <x:v>Net cash from investing activities</x:v>
      </x:c>
      <x:c r="E664" s="169" t="n">
        <x:v>-2580021</x:v>
      </x:c>
      <x:c r="F664" s="169" t="n">
        <x:v>-2580021</x:v>
      </x:c>
      <x:c r="G664" s="169" t="str">
        <x:v>PKR '000</x:v>
      </x:c>
      <x:c r="H664" s="169" t="n">
        <x:f>F664/1000</x:f>
        <x:v>-2580.021</x:v>
      </x:c>
      <x:c r="I664" s="169" t="n">
        <x:f>LUCK!G122</x:f>
        <x:v>-2580.021</x:v>
      </x:c>
      <x:c r="J664" s="169" t="n">
        <x:f>H664-I664</x:f>
        <x:v>0</x:v>
      </x:c>
      <x:c r="K664" s="168" t="str">
        <x:v>2025.pdf</x:v>
      </x:c>
      <x:c r="L664" s="168" t="n">
        <x:v>243</x:v>
      </x:c>
      <x:c r="M664" s="168" t="str">
        <x:v>Comparative</x:v>
      </x:c>
      <x:c r="N664" s="171" t="str">
        <x:v>Printed amount independently located</x:v>
      </x:c>
      <x:c r="O664" s="171" t="str">
        <x:v>Exact source amount found; audited year/current-comparative column recorded. Accounting subtotal tests performed separately.</x:v>
      </x:c>
      <x:c r="P664" s="171" t="str">
        <x:v>83,510 
 Income received from short-term investments   6,407,057   4,845,426 
Net cash generated from / (used in) investing activities   11,714,661   (2,580,021)
CASH FLOWS FROM FINANCING ACTIVITIES 
 Long term financing repaid 21.4  (4,192,581)  (652,415)
 Short term borrowings obtained / (repaid) - net   1,000,000   (400,000)
 Own shar</x:v>
      </x:c>
    </x:row>
    <x:row r="665" ht="82" customHeight="1">
      <x:c r="A665" s="76" t="str">
        <x:v>LUCK|cfi|2025</x:v>
      </x:c>
      <x:c r="B665" s="76" t="str">
        <x:v>LUCK</x:v>
      </x:c>
      <x:c r="C665" s="76" t="str">
        <x:v>FY2025</x:v>
      </x:c>
      <x:c r="D665" s="76" t="str">
        <x:v>Net cash from investing activities</x:v>
      </x:c>
      <x:c r="E665" s="170" t="n">
        <x:v>11714661</x:v>
      </x:c>
      <x:c r="F665" s="170" t="n">
        <x:v>11714661</x:v>
      </x:c>
      <x:c r="G665" s="170" t="str">
        <x:v>PKR '000</x:v>
      </x:c>
      <x:c r="H665" s="170" t="n">
        <x:f>F665/1000</x:f>
        <x:v>11714.661</x:v>
      </x:c>
      <x:c r="I665" s="170" t="n">
        <x:f>LUCK!H122</x:f>
        <x:v>11714.661</x:v>
      </x:c>
      <x:c r="J665" s="170" t="n">
        <x:f>H665-I665</x:f>
        <x:v>0</x:v>
      </x:c>
      <x:c r="K665" s="76" t="str">
        <x:v>2025.pdf</x:v>
      </x:c>
      <x:c r="L665" s="76" t="n">
        <x:v>243</x:v>
      </x:c>
      <x:c r="M665" s="76" t="str">
        <x:v>Current year</x:v>
      </x:c>
      <x:c r="N665" s="99" t="str">
        <x:v>Printed amount independently located</x:v>
      </x:c>
      <x:c r="O665" s="99" t="str">
        <x:v>Exact source amount found; audited year/current-comparative column recorded. Accounting subtotal tests performed separately.</x:v>
      </x:c>
      <x:c r="P665" s="99" t="str">
        <x:v>611,365   183,510 
 Income received from short-term investments   6,407,057   4,845,426 
Net cash generated from / (used in) investing activities   11,714,661   (2,580,021)
CASH FLOWS FROM FINANCING ACTIVITIES 
 Long term financing repaid 21.4  (4,192,581)  (652,415)
 Short term borrowings obtained / (repaid) - net   1,000,000   (400,</x:v>
      </x:c>
    </x:row>
    <x:row r="666" ht="82" customHeight="1">
      <x:c r="A666" s="168" t="str">
        <x:v>LUCK|cff|2021</x:v>
      </x:c>
      <x:c r="B666" s="168" t="str">
        <x:v>LUCK</x:v>
      </x:c>
      <x:c r="C666" s="168" t="str">
        <x:v>FY2021</x:v>
      </x:c>
      <x:c r="D666" s="168" t="str">
        <x:v>Net cash from financing activities</x:v>
      </x:c>
      <x:c r="E666" s="169" t="n">
        <x:v>4022095</x:v>
      </x:c>
      <x:c r="F666" s="169" t="n">
        <x:v>4022095</x:v>
      </x:c>
      <x:c r="G666" s="169" t="str">
        <x:v>PKR '000</x:v>
      </x:c>
      <x:c r="H666" s="169" t="n">
        <x:f>F666/1000</x:f>
        <x:v>4022.095</x:v>
      </x:c>
      <x:c r="I666" s="169" t="n">
        <x:f>LUCK!D123</x:f>
        <x:v>4022.095</x:v>
      </x:c>
      <x:c r="J666" s="169" t="n">
        <x:f>H666-I666</x:f>
        <x:v>0</x:v>
      </x:c>
      <x:c r="K666" s="168" t="str">
        <x:v>2022.pdf</x:v>
      </x:c>
      <x:c r="L666" s="168" t="n">
        <x:v>229</x:v>
      </x:c>
      <x:c r="M666" s="168" t="str">
        <x:v>Comparative</x:v>
      </x:c>
      <x:c r="N666" s="171" t="str">
        <x:v>Printed amount independently located</x:v>
      </x:c>
      <x:c r="O666" s="171" t="str">
        <x:v>Exact source amount found; audited year/current-comparative column recorded. Accounting subtotal tests performed separately.</x:v>
      </x:c>
      <x:c r="P666" s="171" t="str">
        <x:v>4,041,984 
 Long-term loans repaid   (506,908) –  
 Dividends paid   (2,428)  (19,889)
Net cash generated from financing activities   12,208,783   4,022,095 
Net increase in cash and cash equivalents    2,851,977   10,752,401 
Cash and cash equivalents at the beginning of the year   11,641,039   888,638 
Cash and cash equivalents at t</x:v>
      </x:c>
    </x:row>
    <x:row r="667" ht="82" customHeight="1">
      <x:c r="A667" s="76" t="str">
        <x:v>LUCK|cff|2022</x:v>
      </x:c>
      <x:c r="B667" s="76" t="str">
        <x:v>LUCK</x:v>
      </x:c>
      <x:c r="C667" s="76" t="str">
        <x:v>FY2022</x:v>
      </x:c>
      <x:c r="D667" s="76" t="str">
        <x:v>Net cash from financing activities</x:v>
      </x:c>
      <x:c r="E667" s="170" t="n">
        <x:v>6158783</x:v>
      </x:c>
      <x:c r="F667" s="170" t="n">
        <x:v>6158783</x:v>
      </x:c>
      <x:c r="G667" s="170" t="str">
        <x:v>PKR '000</x:v>
      </x:c>
      <x:c r="H667" s="170" t="n">
        <x:f>F667/1000</x:f>
        <x:v>6158.783</x:v>
      </x:c>
      <x:c r="I667" s="170" t="n">
        <x:f>LUCK!E123</x:f>
        <x:v>6158.783</x:v>
      </x:c>
      <x:c r="J667" s="170" t="n">
        <x:f>H667-I667</x:f>
        <x:v>0</x:v>
      </x:c>
      <x:c r="K667" s="76" t="str">
        <x:v>2023.pdf</x:v>
      </x:c>
      <x:c r="L667" s="76" t="n">
        <x:v>237</x:v>
      </x:c>
      <x:c r="M667" s="76" t="str">
        <x:v>Comparative</x:v>
      </x:c>
      <x:c r="N667" s="99" t="str">
        <x:v>Printed amount independently located</x:v>
      </x:c>
      <x:c r="O667" s="99" t="str">
        <x:v>Exact source amount found; audited year/current-comparative column recorded. Accounting subtotal tests performed separately.</x:v>
      </x:c>
      <x:c r="P667" s="99" t="str">
        <x:v>0)
 Own shares purchased for cancellation   (5,157,654) –  
 Dividends paid   (915)  (2,428)
Net cash generated from financing activities   244,582   6,158,783 
Net increase / (decrease) in cash and cash equivalents    10,508,563   (3,198,023)
Cash and cash equivalents at the beginning of the year   15,493,016   18,691,039 
Cash and cash</x:v>
      </x:c>
    </x:row>
    <x:row r="668" ht="82" customHeight="1">
      <x:c r="A668" s="168" t="str">
        <x:v>LUCK|cff|2023</x:v>
      </x:c>
      <x:c r="B668" s="168" t="str">
        <x:v>LUCK</x:v>
      </x:c>
      <x:c r="C668" s="168" t="str">
        <x:v>FY2023</x:v>
      </x:c>
      <x:c r="D668" s="168" t="str">
        <x:v>Net cash from financing activities</x:v>
      </x:c>
      <x:c r="E668" s="169" t="n">
        <x:v>244582</x:v>
      </x:c>
      <x:c r="F668" s="169" t="n">
        <x:v>244582</x:v>
      </x:c>
      <x:c r="G668" s="169" t="str">
        <x:v>PKR '000</x:v>
      </x:c>
      <x:c r="H668" s="169" t="n">
        <x:f>F668/1000</x:f>
        <x:v>244.582</x:v>
      </x:c>
      <x:c r="I668" s="169" t="n">
        <x:f>LUCK!F123</x:f>
        <x:v>244.582</x:v>
      </x:c>
      <x:c r="J668" s="169" t="n">
        <x:f>H668-I668</x:f>
        <x:v>0</x:v>
      </x:c>
      <x:c r="K668" s="168" t="str">
        <x:v>2024.pdf</x:v>
      </x:c>
      <x:c r="L668" s="168" t="n">
        <x:v>241</x:v>
      </x:c>
      <x:c r="M668" s="168" t="str">
        <x:v>Comparative</x:v>
      </x:c>
      <x:c r="N668" s="171" t="str">
        <x:v>Printed amount independently located</x:v>
      </x:c>
      <x:c r="O668" s="171" t="str">
        <x:v>Exact source amount found; audited year/current-comparative column recorded. Accounting subtotal tests performed separately.</x:v>
      </x:c>
      <x:c r="P668" s="171" t="str">
        <x:v>ation
   (12,124,669)
  (5,157,654)
 Dividends paid
   (5,443,084)
  (915)
Net cash (used in) / generated from financing activities
   (18,620,168)
  244,582 
Net increase in cash and cash equivalents 
   6,380,552 
  10,508,563 
Cash and cash equivalents at the beginning of the year
   26,001,579 
  15,493,016 
Cash and cash equivalen</x:v>
      </x:c>
    </x:row>
    <x:row r="669" ht="82" customHeight="1">
      <x:c r="A669" s="76" t="str">
        <x:v>LUCK|cff|2024</x:v>
      </x:c>
      <x:c r="B669" s="76" t="str">
        <x:v>LUCK</x:v>
      </x:c>
      <x:c r="C669" s="76" t="str">
        <x:v>FY2024</x:v>
      </x:c>
      <x:c r="D669" s="76" t="str">
        <x:v>Net cash from financing activities</x:v>
      </x:c>
      <x:c r="E669" s="170" t="n">
        <x:v>-18620168</x:v>
      </x:c>
      <x:c r="F669" s="170" t="n">
        <x:v>-18620168</x:v>
      </x:c>
      <x:c r="G669" s="170" t="str">
        <x:v>PKR '000</x:v>
      </x:c>
      <x:c r="H669" s="170" t="n">
        <x:f>F669/1000</x:f>
        <x:v>-18620.168</x:v>
      </x:c>
      <x:c r="I669" s="170" t="n">
        <x:f>LUCK!G123</x:f>
        <x:v>-18620.168</x:v>
      </x:c>
      <x:c r="J669" s="170" t="n">
        <x:f>H669-I669</x:f>
        <x:v>0</x:v>
      </x:c>
      <x:c r="K669" s="76" t="str">
        <x:v>2025.pdf</x:v>
      </x:c>
      <x:c r="L669" s="76" t="n">
        <x:v>243</x:v>
      </x:c>
      <x:c r="M669" s="76" t="str">
        <x:v>Comparative</x:v>
      </x:c>
      <x:c r="N669" s="99" t="str">
        <x:v>Printed amount independently located</x:v>
      </x:c>
      <x:c r="O669" s="99" t="str">
        <x:v>Exact source amount found; audited year/current-comparative column recorded. Accounting subtotal tests performed separately.</x:v>
      </x:c>
      <x:c r="P669" s="99" t="str">
        <x:v>hares purchased for cancellation   -     (12,124,669)
 Dividends paid   (4,388,403)  (5,443,084)
Net cash used in financing activities   (7,580,984)  (18,620,168)
Net increase in cash and cash equivalents    31,706,244   6,380,552 
Cash and cash equivalents at the beginning of the year   32,382,131   26,001,579 
Cash and cash equivalents at</x:v>
      </x:c>
    </x:row>
    <x:row r="670" ht="82" customHeight="1">
      <x:c r="A670" s="168" t="str">
        <x:v>LUCK|cff|2025</x:v>
      </x:c>
      <x:c r="B670" s="168" t="str">
        <x:v>LUCK</x:v>
      </x:c>
      <x:c r="C670" s="168" t="str">
        <x:v>FY2025</x:v>
      </x:c>
      <x:c r="D670" s="168" t="str">
        <x:v>Net cash from financing activities</x:v>
      </x:c>
      <x:c r="E670" s="169" t="n">
        <x:v>-7580984</x:v>
      </x:c>
      <x:c r="F670" s="169" t="n">
        <x:v>-7580984</x:v>
      </x:c>
      <x:c r="G670" s="169" t="str">
        <x:v>PKR '000</x:v>
      </x:c>
      <x:c r="H670" s="169" t="n">
        <x:f>F670/1000</x:f>
        <x:v>-7580.984</x:v>
      </x:c>
      <x:c r="I670" s="169" t="n">
        <x:f>LUCK!H123</x:f>
        <x:v>-7580.984</x:v>
      </x:c>
      <x:c r="J670" s="169" t="n">
        <x:f>H670-I670</x:f>
        <x:v>0</x:v>
      </x:c>
      <x:c r="K670" s="168" t="str">
        <x:v>2025.pdf</x:v>
      </x:c>
      <x:c r="L670" s="168" t="n">
        <x:v>243</x:v>
      </x:c>
      <x:c r="M670" s="168" t="str">
        <x:v>Current year</x:v>
      </x:c>
      <x:c r="N670" s="171" t="str">
        <x:v>Printed amount independently located</x:v>
      </x:c>
      <x:c r="O670" s="171" t="str">
        <x:v>Exact source amount found; audited year/current-comparative column recorded. Accounting subtotal tests performed separately.</x:v>
      </x:c>
      <x:c r="P670" s="171" t="str">
        <x:v>0,000)
 Own shares purchased for cancellation   -     (12,124,669)
 Dividends paid   (4,388,403)  (5,443,084)
Net cash used in financing activities   (7,580,984)  (18,620,168)
Net increase in cash and cash equivalents    31,706,244   6,380,552 
Cash and cash equivalents at the beginning of the year   32,382,131   26,001,579 
Cash and cash</x:v>
      </x:c>
    </x:row>
    <x:row r="671" ht="82" customHeight="1">
      <x:c r="A671" s="76" t="str">
        <x:v>LUCK|div_paid|2021</x:v>
      </x:c>
      <x:c r="B671" s="76" t="str">
        <x:v>LUCK</x:v>
      </x:c>
      <x:c r="C671" s="76" t="str">
        <x:v>FY2021</x:v>
      </x:c>
      <x:c r="D671" s="76" t="str">
        <x:v>Dividends paid</x:v>
      </x:c>
      <x:c r="E671" s="170" t="n">
        <x:v>-19889</x:v>
      </x:c>
      <x:c r="F671" s="170" t="n">
        <x:v>-19889</x:v>
      </x:c>
      <x:c r="G671" s="170" t="str">
        <x:v>PKR '000</x:v>
      </x:c>
      <x:c r="H671" s="170" t="n">
        <x:f>F671/1000</x:f>
        <x:v>-19.889</x:v>
      </x:c>
      <x:c r="I671" s="170" t="n">
        <x:f>LUCK!D124</x:f>
        <x:v>-19.889</x:v>
      </x:c>
      <x:c r="J671" s="170" t="n">
        <x:f>H671-I671</x:f>
        <x:v>0</x:v>
      </x:c>
      <x:c r="K671" s="76" t="str">
        <x:v>2022.pdf</x:v>
      </x:c>
      <x:c r="L671" s="76" t="n">
        <x:v>229</x:v>
      </x:c>
      <x:c r="M671" s="76" t="str">
        <x:v>Comparative</x:v>
      </x:c>
      <x:c r="N671" s="99" t="str">
        <x:v>Printed amount independently located</x:v>
      </x:c>
      <x:c r="O671" s="99" t="str">
        <x:v>Exact source amount found; audited year/current-comparative column recorded. Accounting subtotal tests performed separately.</x:v>
      </x:c>
      <x:c r="P671" s="99" t="str">
        <x:v>OWS FROM FINANCING ACTIVITIES 
 Long-term loans obtained   12,718,119   4,041,984 
 Long-term loans repaid   (506,908) –  
 Dividends paid   (2,428)  (19,889)
Net cash generated from financing activities   12,208,783   4,022,095 
Net increase in cash and cash equivalents    2,851,977   10,752,401 
Cash and cash equivalents at the beginn</x:v>
      </x:c>
    </x:row>
    <x:row r="672" ht="82" customHeight="1">
      <x:c r="A672" s="168" t="str">
        <x:v>LUCK|div_paid|2022</x:v>
      </x:c>
      <x:c r="B672" s="168" t="str">
        <x:v>LUCK</x:v>
      </x:c>
      <x:c r="C672" s="168" t="str">
        <x:v>FY2022</x:v>
      </x:c>
      <x:c r="D672" s="168" t="str">
        <x:v>Dividends paid</x:v>
      </x:c>
      <x:c r="E672" s="169" t="n">
        <x:v>-2428</x:v>
      </x:c>
      <x:c r="F672" s="169" t="n">
        <x:v>-2428</x:v>
      </x:c>
      <x:c r="G672" s="169" t="str">
        <x:v>PKR '000</x:v>
      </x:c>
      <x:c r="H672" s="169" t="n">
        <x:f>F672/1000</x:f>
        <x:v>-2.428</x:v>
      </x:c>
      <x:c r="I672" s="169" t="n">
        <x:f>LUCK!E124</x:f>
        <x:v>-2.428</x:v>
      </x:c>
      <x:c r="J672" s="169" t="n">
        <x:f>H672-I672</x:f>
        <x:v>0</x:v>
      </x:c>
      <x:c r="K672" s="168" t="str">
        <x:v>2023.pdf</x:v>
      </x:c>
      <x:c r="L672" s="168" t="n">
        <x:v>237</x:v>
      </x:c>
      <x:c r="M672" s="168" t="str">
        <x:v>Comparative</x:v>
      </x:c>
      <x:c r="N672" s="171" t="str">
        <x:v>Printed amount independently located</x:v>
      </x:c>
      <x:c r="O672" s="171" t="str">
        <x:v>Exact source amount found; audited year/current-comparative column recorded. Accounting subtotal tests performed separately.</x:v>
      </x:c>
      <x:c r="P672" s="171" t="str">
        <x:v>term borrowings obtained / (repaid) - net   4,885,000   (6,050,000)
 Own shares purchased for cancellation   (5,157,654) –  
 Dividends paid   (915)  (2,428)
Net cash generated from financing activities   244,582   6,158,783 
Net increase / (decrease) in cash and cash equivalents    10,508,563   (3,198,023)
Cash and cash equivalents at</x:v>
      </x:c>
    </x:row>
    <x:row r="673" ht="82" customHeight="1">
      <x:c r="A673" s="76" t="str">
        <x:v>LUCK|div_paid|2023</x:v>
      </x:c>
      <x:c r="B673" s="76" t="str">
        <x:v>LUCK</x:v>
      </x:c>
      <x:c r="C673" s="76" t="str">
        <x:v>FY2023</x:v>
      </x:c>
      <x:c r="D673" s="76" t="str">
        <x:v>Dividends paid</x:v>
      </x:c>
      <x:c r="E673" s="170" t="n">
        <x:v>-915</x:v>
      </x:c>
      <x:c r="F673" s="170" t="n">
        <x:v>-915</x:v>
      </x:c>
      <x:c r="G673" s="170" t="str">
        <x:v>PKR '000</x:v>
      </x:c>
      <x:c r="H673" s="170" t="n">
        <x:f>F673/1000</x:f>
        <x:v>-0.915</x:v>
      </x:c>
      <x:c r="I673" s="170" t="n">
        <x:f>LUCK!F124</x:f>
        <x:v>-0.915</x:v>
      </x:c>
      <x:c r="J673" s="170" t="n">
        <x:f>H673-I673</x:f>
        <x:v>0</x:v>
      </x:c>
      <x:c r="K673" s="76" t="str">
        <x:v>2024.pdf</x:v>
      </x:c>
      <x:c r="L673" s="76" t="n">
        <x:v>241</x:v>
      </x:c>
      <x:c r="M673" s="76" t="str">
        <x:v>Comparative</x:v>
      </x:c>
      <x:c r="N673" s="99" t="str">
        <x:v>Printed amount independently located</x:v>
      </x:c>
      <x:c r="O673" s="99" t="str">
        <x:v>Exact source amount found; audited year/current-comparative column recorded. Accounting subtotal tests performed separately.</x:v>
      </x:c>
      <x:c r="P673" s="99" t="str">
        <x:v>aid) / obtained - net
   (400,000)
  4,885,000 
 Own shares purchased for cancellation
   (12,124,669)
  (5,157,654)
 Dividends paid
   (5,443,084)
  (915)
Net cash (used in) / generated from financing activities
   (18,620,168)
  244,582 
Net increase in cash and cash equivalents 
   6,380,552 
  10,508,563 
Cash and cash equivalent</x:v>
      </x:c>
    </x:row>
    <x:row r="674" ht="82" customHeight="1">
      <x:c r="A674" s="168" t="str">
        <x:v>LUCK|div_paid|2024</x:v>
      </x:c>
      <x:c r="B674" s="168" t="str">
        <x:v>LUCK</x:v>
      </x:c>
      <x:c r="C674" s="168" t="str">
        <x:v>FY2024</x:v>
      </x:c>
      <x:c r="D674" s="168" t="str">
        <x:v>Dividends paid</x:v>
      </x:c>
      <x:c r="E674" s="169" t="n">
        <x:v>-5443084</x:v>
      </x:c>
      <x:c r="F674" s="169" t="n">
        <x:v>-5443084</x:v>
      </x:c>
      <x:c r="G674" s="169" t="str">
        <x:v>PKR '000</x:v>
      </x:c>
      <x:c r="H674" s="169" t="n">
        <x:f>F674/1000</x:f>
        <x:v>-5443.084</x:v>
      </x:c>
      <x:c r="I674" s="169" t="n">
        <x:f>LUCK!G124</x:f>
        <x:v>-5443.084</x:v>
      </x:c>
      <x:c r="J674" s="169" t="n">
        <x:f>H674-I674</x:f>
        <x:v>0</x:v>
      </x:c>
      <x:c r="K674" s="168" t="str">
        <x:v>2025.pdf</x:v>
      </x:c>
      <x:c r="L674" s="168" t="n">
        <x:v>243</x:v>
      </x:c>
      <x:c r="M674" s="168" t="str">
        <x:v>Comparative</x:v>
      </x:c>
      <x:c r="N674" s="171" t="str">
        <x:v>Printed amount independently located</x:v>
      </x:c>
      <x:c r="O674" s="171" t="str">
        <x:v>Exact source amount found; audited year/current-comparative column recorded. Accounting subtotal tests performed separately.</x:v>
      </x:c>
      <x:c r="P674" s="171" t="str">
        <x:v>rrowings obtained / (repaid) - net   1,000,000   (400,000)
 Own shares purchased for cancellation   -     (12,124,669)
 Dividends paid   (4,388,403)  (5,443,084)
Net cash used in financing activities   (7,580,984)  (18,620,168)
Net increase in cash and cash equivalents    31,706,244   6,380,552 
Cash and cash equivalents at the beginning o</x:v>
      </x:c>
    </x:row>
    <x:row r="675" ht="82" customHeight="1">
      <x:c r="A675" s="76" t="str">
        <x:v>LUCK|div_paid|2025</x:v>
      </x:c>
      <x:c r="B675" s="76" t="str">
        <x:v>LUCK</x:v>
      </x:c>
      <x:c r="C675" s="76" t="str">
        <x:v>FY2025</x:v>
      </x:c>
      <x:c r="D675" s="76" t="str">
        <x:v>Dividends paid</x:v>
      </x:c>
      <x:c r="E675" s="170" t="n">
        <x:v>-4388403</x:v>
      </x:c>
      <x:c r="F675" s="170" t="n">
        <x:v>-4388403</x:v>
      </x:c>
      <x:c r="G675" s="170" t="str">
        <x:v>PKR '000</x:v>
      </x:c>
      <x:c r="H675" s="170" t="n">
        <x:f>F675/1000</x:f>
        <x:v>-4388.403</x:v>
      </x:c>
      <x:c r="I675" s="170" t="n">
        <x:f>LUCK!H124</x:f>
        <x:v>-4388.403</x:v>
      </x:c>
      <x:c r="J675" s="170" t="n">
        <x:f>H675-I675</x:f>
        <x:v>0</x:v>
      </x:c>
      <x:c r="K675" s="76" t="str">
        <x:v>2025.pdf</x:v>
      </x:c>
      <x:c r="L675" s="76" t="n">
        <x:v>243</x:v>
      </x:c>
      <x:c r="M675" s="76" t="str">
        <x:v>Current year</x:v>
      </x:c>
      <x:c r="N675" s="99" t="str">
        <x:v>Printed amount independently located</x:v>
      </x:c>
      <x:c r="O675" s="99" t="str">
        <x:v>Exact source amount found; audited year/current-comparative column recorded. Accounting subtotal tests performed separately.</x:v>
      </x:c>
      <x:c r="P675" s="99" t="str">
        <x:v>Short term borrowings obtained / (repaid) - net   1,000,000   (400,000)
 Own shares purchased for cancellation   -     (12,124,669)
 Dividends paid   (4,388,403)  (5,443,084)
Net cash used in financing activities   (7,580,984)  (18,620,168)
Net increase in cash and cash equivalents    31,706,244   6,380,552 
Cash and cash equivalents at th</x:v>
      </x:c>
    </x:row>
    <x:row r="676" ht="82" customHeight="1">
      <x:c r="A676" s="168" t="str">
        <x:v>DGKC|ppe|2020</x:v>
      </x:c>
      <x:c r="B676" s="168" t="str">
        <x:v>DGKC</x:v>
      </x:c>
      <x:c r="C676" s="168" t="str">
        <x:v>FY2020</x:v>
      </x:c>
      <x:c r="D676" s="168" t="str">
        <x:v>Property, plant and equipment (as presented)</x:v>
      </x:c>
      <x:c r="E676" s="169" t="n">
        <x:v>83537295</x:v>
      </x:c>
      <x:c r="F676" s="169" t="n">
        <x:v>83537295</x:v>
      </x:c>
      <x:c r="G676" s="169" t="str">
        <x:v>Rs '000</x:v>
      </x:c>
      <x:c r="H676" s="169" t="n">
        <x:f>F676/1000</x:f>
        <x:v>83537.295</x:v>
      </x:c>
      <x:c r="I676" s="169" t="n">
        <x:f>DGKC!C20</x:f>
        <x:v>83537.295</x:v>
      </x:c>
      <x:c r="J676" s="169" t="n">
        <x:f>H676-I676</x:f>
        <x:v>0</x:v>
      </x:c>
      <x:c r="K676" s="168" t="str">
        <x:v>DG_Annual_Report_2021.pdf</x:v>
      </x:c>
      <x:c r="L676" s="168" t="n">
        <x:v>106</x:v>
      </x:c>
      <x:c r="M676" s="168" t="str">
        <x:v>Comparative</x:v>
      </x:c>
      <x:c r="N676" s="171" t="str">
        <x:v>Printed amount independently located</x:v>
      </x:c>
      <x:c r="O676" s="171" t="str">
        <x:v>Exact source amount found; audited year/current-comparative column recorded. Accounting subtotal tests performed separately.</x:v>
      </x:c>
      <x:c r="P676" s="171" t="str">
        <x:v>2021 2020
  Note (Rupees in thousand)
ASSETS     
NON-CURRENT ASSETS    
Property, plant and equipment 17 85,020,109 83,537,295
Investments 18 15,965,811 11,849,828
Long term loans to employees   - 76
Long term deposits 19 57,513 57,908
    101,043,433  95,445,107
CURRENT ASSETS
Stores, spare parts and loo</x:v>
      </x:c>
    </x:row>
    <x:row r="677" ht="82" customHeight="1">
      <x:c r="A677" s="76" t="str">
        <x:v>DGKC|ppe|2021</x:v>
      </x:c>
      <x:c r="B677" s="76" t="str">
        <x:v>DGKC</x:v>
      </x:c>
      <x:c r="C677" s="76" t="str">
        <x:v>FY2021</x:v>
      </x:c>
      <x:c r="D677" s="76" t="str">
        <x:v>Property, plant and equipment (as presented)</x:v>
      </x:c>
      <x:c r="E677" s="170" t="n">
        <x:v>85020109</x:v>
      </x:c>
      <x:c r="F677" s="170" t="n">
        <x:v>85020109</x:v>
      </x:c>
      <x:c r="G677" s="170" t="str">
        <x:v>Rs '000</x:v>
      </x:c>
      <x:c r="H677" s="170" t="n">
        <x:f>F677/1000</x:f>
        <x:v>85020.109</x:v>
      </x:c>
      <x:c r="I677" s="170" t="n">
        <x:f>DGKC!D20</x:f>
        <x:v>85020.109</x:v>
      </x:c>
      <x:c r="J677" s="170" t="n">
        <x:f>H677-I677</x:f>
        <x:v>0</x:v>
      </x:c>
      <x:c r="K677" s="76" t="str">
        <x:v>DG_Annual_Report_2022.pdf</x:v>
      </x:c>
      <x:c r="L677" s="76" t="n">
        <x:v>126</x:v>
      </x:c>
      <x:c r="M677" s="76" t="str">
        <x:v>Comparative</x:v>
      </x:c>
      <x:c r="N677" s="99" t="str">
        <x:v>Printed amount independently located</x:v>
      </x:c>
      <x:c r="O677" s="99" t="str">
        <x:v>Exact source amount found; audited year/current-comparative column recorded. Accounting subtotal tests performed separately.</x:v>
      </x:c>
      <x:c r="P677" s="99" t="str">
        <x:v>2022 2021
  Note (Rupees in thousand)
ASSETS     
NON-CURRENT ASSETS    
Property, plant and equipment 17 82,803,860 85,020,109
Intangible asset 18 17,319 -
Investments 19 12,866,145 15,965,811
Long term deposits 20 61,526 57,513
    95,748,850 101,043,433
CURRENT ASSETS
Stores, spare parts and loose tools</x:v>
      </x:c>
    </x:row>
    <x:row r="678" ht="82" customHeight="1">
      <x:c r="A678" s="168" t="str">
        <x:v>DGKC|ppe|2022</x:v>
      </x:c>
      <x:c r="B678" s="168" t="str">
        <x:v>DGKC</x:v>
      </x:c>
      <x:c r="C678" s="168" t="str">
        <x:v>FY2022</x:v>
      </x:c>
      <x:c r="D678" s="168" t="str">
        <x:v>Property, plant and equipment (as presented)</x:v>
      </x:c>
      <x:c r="E678" s="169" t="n">
        <x:v>82803860</x:v>
      </x:c>
      <x:c r="F678" s="169" t="n">
        <x:v>82803860</x:v>
      </x:c>
      <x:c r="G678" s="169" t="str">
        <x:v>Rs '000</x:v>
      </x:c>
      <x:c r="H678" s="169" t="n">
        <x:f>F678/1000</x:f>
        <x:v>82803.86</x:v>
      </x:c>
      <x:c r="I678" s="169" t="n">
        <x:f>DGKC!E20</x:f>
        <x:v>82803.86</x:v>
      </x:c>
      <x:c r="J678" s="169" t="n">
        <x:f>H678-I678</x:f>
        <x:v>0</x:v>
      </x:c>
      <x:c r="K678" s="168" t="str">
        <x:v>DGAnnual2023.pdf</x:v>
      </x:c>
      <x:c r="L678" s="168" t="n">
        <x:v>152</x:v>
      </x:c>
      <x:c r="M678" s="168" t="str">
        <x:v>Comparative</x:v>
      </x:c>
      <x:c r="N678" s="171" t="str">
        <x:v>Printed amount independently located</x:v>
      </x:c>
      <x:c r="O678" s="171" t="str">
        <x:v>Exact source amount found; audited year/current-comparative column recorded. Accounting subtotal tests performed separately.</x:v>
      </x:c>
      <x:c r="P678" s="171" t="str">
        <x:v>2023 2022
  Note (Rupees in thousand)
ASSETS     
NON-CURRENT ASSETS    
Property, plant and equipment 17 82,245,650 82,803,860
Intangible asset 18 10,152 17,319
Investments 19 13,366,360 12,866,145
Long term deposits 20 64,426 61,526
    95,686,588 95,748,850
CURRENT ASSETS
Stores, spare parts and loose t</x:v>
      </x:c>
    </x:row>
    <x:row r="679" ht="82" customHeight="1">
      <x:c r="A679" s="76" t="str">
        <x:v>DGKC|ppe|2023</x:v>
      </x:c>
      <x:c r="B679" s="76" t="str">
        <x:v>DGKC</x:v>
      </x:c>
      <x:c r="C679" s="76" t="str">
        <x:v>FY2023</x:v>
      </x:c>
      <x:c r="D679" s="76" t="str">
        <x:v>Property, plant and equipment (as presented)</x:v>
      </x:c>
      <x:c r="E679" s="170" t="n">
        <x:v>82245650</x:v>
      </x:c>
      <x:c r="F679" s="170" t="n">
        <x:v>82245650</x:v>
      </x:c>
      <x:c r="G679" s="170" t="str">
        <x:v>Rs '000</x:v>
      </x:c>
      <x:c r="H679" s="170" t="n">
        <x:f>F679/1000</x:f>
        <x:v>82245.65</x:v>
      </x:c>
      <x:c r="I679" s="170" t="n">
        <x:f>DGKC!F20</x:f>
        <x:v>82245.65</x:v>
      </x:c>
      <x:c r="J679" s="170" t="n">
        <x:f>H679-I679</x:f>
        <x:v>0</x:v>
      </x:c>
      <x:c r="K679" s="76" t="str">
        <x:v>DGAnnual2024.pdf</x:v>
      </x:c>
      <x:c r="L679" s="76" t="n">
        <x:v>152</x:v>
      </x:c>
      <x:c r="M679" s="76" t="str">
        <x:v>Comparative</x:v>
      </x:c>
      <x:c r="N679" s="99" t="str">
        <x:v>Printed amount independently located</x:v>
      </x:c>
      <x:c r="O679" s="99" t="str">
        <x:v>Exact source amount found; audited year/current-comparative column recorded. Accounting subtotal tests performed separately.</x:v>
      </x:c>
      <x:c r="P679" s="99" t="str">
        <x:v>Annual Report 2024
   2024 2023
  Note (Rupees in thousand)
ASSETS     
NON-CURRENT ASSETS    
Property, plant and equipment 17 79,877,839 82,245,650
Intangible assets 18 42,762 10,152
Investments 19 16,633,064 13,366,360
Long term deposits 20 61,568 64,426
    96,615,233 95,686,588
CURRENT ASSETS
Stores, spare parts and loose</x:v>
      </x:c>
    </x:row>
    <x:row r="680" ht="82" customHeight="1">
      <x:c r="A680" s="168" t="str">
        <x:v>DGKC|ppe|2024</x:v>
      </x:c>
      <x:c r="B680" s="168" t="str">
        <x:v>DGKC</x:v>
      </x:c>
      <x:c r="C680" s="168" t="str">
        <x:v>FY2024</x:v>
      </x:c>
      <x:c r="D680" s="168" t="str">
        <x:v>Property, plant and equipment (as presented)</x:v>
      </x:c>
      <x:c r="E680" s="169" t="n">
        <x:v>79877839</x:v>
      </x:c>
      <x:c r="F680" s="169" t="n">
        <x:v>79877839</x:v>
      </x:c>
      <x:c r="G680" s="169" t="str">
        <x:v>Rs '000</x:v>
      </x:c>
      <x:c r="H680" s="169" t="n">
        <x:f>F680/1000</x:f>
        <x:v>79877.839</x:v>
      </x:c>
      <x:c r="I680" s="169" t="n">
        <x:f>DGKC!G20</x:f>
        <x:v>79877.839</x:v>
      </x:c>
      <x:c r="J680" s="169" t="n">
        <x:f>H680-I680</x:f>
        <x:v>0</x:v>
      </x:c>
      <x:c r="K680" s="168" t="str">
        <x:v>DGAnnual2025.pdf</x:v>
      </x:c>
      <x:c r="L680" s="168" t="n">
        <x:v>154</x:v>
      </x:c>
      <x:c r="M680" s="168" t="str">
        <x:v>Comparative</x:v>
      </x:c>
      <x:c r="N680" s="171" t="str">
        <x:v>Printed amount independently located</x:v>
      </x:c>
      <x:c r="O680" s="171" t="str">
        <x:v>Exact source amount found; audited year/current-comparative column recorded. Accounting subtotal tests performed separately.</x:v>
      </x:c>
      <x:c r="P680" s="171" t="str">
        <x:v>2025 2024
  Note (Rupees in thousand)
ASSETS     
NON-CURRENT ASSETS    
Property, plant and equipment 17 77,252,559 79,877,839
Intangible assets 18 13,076 42,762
Long term investments 19 20,689,545 16,633,064
Long term deposits 20 61,013 61,568
    98,016,193 96,615,233
CURRENT ASSETS
Stores, spare parts</x:v>
      </x:c>
    </x:row>
    <x:row r="681" ht="82" customHeight="1">
      <x:c r="A681" s="76" t="str">
        <x:v>DGKC|ppe|2025</x:v>
      </x:c>
      <x:c r="B681" s="76" t="str">
        <x:v>DGKC</x:v>
      </x:c>
      <x:c r="C681" s="76" t="str">
        <x:v>FY2025</x:v>
      </x:c>
      <x:c r="D681" s="76" t="str">
        <x:v>Property, plant and equipment (as presented)</x:v>
      </x:c>
      <x:c r="E681" s="170" t="n">
        <x:v>77252559</x:v>
      </x:c>
      <x:c r="F681" s="170" t="n">
        <x:v>77252559</x:v>
      </x:c>
      <x:c r="G681" s="170" t="str">
        <x:v>Rs '000</x:v>
      </x:c>
      <x:c r="H681" s="170" t="n">
        <x:f>F681/1000</x:f>
        <x:v>77252.559</x:v>
      </x:c>
      <x:c r="I681" s="170" t="n">
        <x:f>DGKC!H20</x:f>
        <x:v>77252.559</x:v>
      </x:c>
      <x:c r="J681" s="170" t="n">
        <x:f>H681-I681</x:f>
        <x:v>0</x:v>
      </x:c>
      <x:c r="K681" s="76" t="str">
        <x:v>DGAnnual2025.pdf</x:v>
      </x:c>
      <x:c r="L681" s="76" t="n">
        <x:v>154</x:v>
      </x:c>
      <x:c r="M681" s="76" t="str">
        <x:v>Current year</x:v>
      </x:c>
      <x:c r="N681" s="99" t="str">
        <x:v>Printed amount independently located</x:v>
      </x:c>
      <x:c r="O681" s="99" t="str">
        <x:v>Exact source amount found; audited year/current-comparative column recorded. Accounting subtotal tests performed separately.</x:v>
      </x:c>
      <x:c r="P681" s="99" t="str">
        <x:v>2025 2024
  Note (Rupees in thousand)
ASSETS     
NON-CURRENT ASSETS    
Property, plant and equipment 17 77,252,559 79,877,839
Intangible assets 18 13,076 42,762
Long term investments 19 20,689,545 16,633,064
Long term deposits 20 61,013 61,568
    98,016,193 96,615,233
CURRENT ASSETS
Stores, s</x:v>
      </x:c>
    </x:row>
    <x:row r="682" ht="82" customHeight="1">
      <x:c r="A682" s="168" t="str">
        <x:v>DGKC|cwip|2020</x:v>
      </x:c>
      <x:c r="B682" s="168" t="str">
        <x:v>DGKC</x:v>
      </x:c>
      <x:c r="C682" s="168" t="str">
        <x:v>FY2020</x:v>
      </x:c>
      <x:c r="D682" s="168" t="str">
        <x:v>of which: capital work-in-progress (note)</x:v>
      </x:c>
      <x:c r="E682" s="169" t="n">
        <x:v>6358259</x:v>
      </x:c>
      <x:c r="F682" s="169" t="n">
        <x:v>6358259</x:v>
      </x:c>
      <x:c r="G682" s="169" t="str">
        <x:v>Rs '000</x:v>
      </x:c>
      <x:c r="H682" s="169" t="n">
        <x:f>F682/1000</x:f>
        <x:v>6358.259</x:v>
      </x:c>
      <x:c r="I682" s="169" t="n">
        <x:f>DGKC!C21</x:f>
        <x:v>6358.259</x:v>
      </x:c>
      <x:c r="J682" s="169" t="n">
        <x:f>H682-I682</x:f>
        <x:v>0</x:v>
      </x:c>
      <x:c r="K682" s="168" t="str">
        <x:v>DG_Annual_Report_2021.pdf</x:v>
      </x:c>
      <x:c r="L682" s="168" t="n">
        <x:v>139</x:v>
      </x:c>
      <x:c r="M682" s="168" t="str">
        <x:v>Comparative</x:v>
      </x:c>
      <x:c r="N682" s="171" t="str">
        <x:v>Printed amount independently located</x:v>
      </x:c>
      <x:c r="O682" s="171" t="str">
        <x:v>Exact source amount found; audited year/current-comparative column recorded. Accounting subtotal tests performed separately.</x:v>
      </x:c>
      <x:c r="P682" s="171" t="str">
        <x:v>423 6,836
17. Property, plant and equipment
 Operating fixed assets - note 17.1 77,140,261 76,986,536
 Capital work-in-progress - note 17.2 7,726,720 6,358,259
 Major spare parts and stand-by equipment - note 17.3 153,128 192,500
     85,020,109 83,537,295</x:v>
      </x:c>
    </x:row>
    <x:row r="683" ht="82" customHeight="1">
      <x:c r="A683" s="76" t="str">
        <x:v>DGKC|cwip|2021</x:v>
      </x:c>
      <x:c r="B683" s="76" t="str">
        <x:v>DGKC</x:v>
      </x:c>
      <x:c r="C683" s="76" t="str">
        <x:v>FY2021</x:v>
      </x:c>
      <x:c r="D683" s="76" t="str">
        <x:v>of which: capital work-in-progress (note)</x:v>
      </x:c>
      <x:c r="E683" s="170" t="n">
        <x:v>7726720</x:v>
      </x:c>
      <x:c r="F683" s="170" t="n">
        <x:v>7726720</x:v>
      </x:c>
      <x:c r="G683" s="170" t="str">
        <x:v>Rs '000</x:v>
      </x:c>
      <x:c r="H683" s="170" t="n">
        <x:f>F683/1000</x:f>
        <x:v>7726.72</x:v>
      </x:c>
      <x:c r="I683" s="170" t="n">
        <x:f>DGKC!D21</x:f>
        <x:v>7726.72</x:v>
      </x:c>
      <x:c r="J683" s="170" t="n">
        <x:f>H683-I683</x:f>
        <x:v>0</x:v>
      </x:c>
      <x:c r="K683" s="76" t="str">
        <x:v>DG_Annual_Report_2022.pdf</x:v>
      </x:c>
      <x:c r="L683" s="76" t="n">
        <x:v>160</x:v>
      </x:c>
      <x:c r="M683" s="76" t="str">
        <x:v>Comparative</x:v>
      </x:c>
      <x:c r="N683" s="99" t="str">
        <x:v>Printed amount independently located</x:v>
      </x:c>
      <x:c r="O683" s="99" t="str">
        <x:v>Exact source amount found; audited year/current-comparative column recorded. Accounting subtotal tests performed separately.</x:v>
      </x:c>
      <x:c r="P683" s="99" t="str">
        <x:v>6,011 6,423
17. Property, plant and equipment
 Operating fixed assets - note 17.1 81,934,028 77,140,261
 Capital work-in-progress - note 17.2 724,168 7,726,720
 Major spare parts and stand-by equipment - note 17.3 145,664 153,128
     82,803,860 85,020,109
 159
ANNUA L REPORT 2022  DGKC</x:v>
      </x:c>
    </x:row>
    <x:row r="684" ht="82" customHeight="1">
      <x:c r="A684" s="168" t="str">
        <x:v>DGKC|cwip|2022</x:v>
      </x:c>
      <x:c r="B684" s="168" t="str">
        <x:v>DGKC</x:v>
      </x:c>
      <x:c r="C684" s="168" t="str">
        <x:v>FY2022</x:v>
      </x:c>
      <x:c r="D684" s="168" t="str">
        <x:v>of which: capital work-in-progress (note)</x:v>
      </x:c>
      <x:c r="E684" s="169" t="n">
        <x:v>724168</x:v>
      </x:c>
      <x:c r="F684" s="169" t="n">
        <x:v>724168</x:v>
      </x:c>
      <x:c r="G684" s="169" t="str">
        <x:v>Rs '000</x:v>
      </x:c>
      <x:c r="H684" s="169" t="n">
        <x:f>F684/1000</x:f>
        <x:v>724.168</x:v>
      </x:c>
      <x:c r="I684" s="169" t="n">
        <x:f>DGKC!E21</x:f>
        <x:v>724.168</x:v>
      </x:c>
      <x:c r="J684" s="169" t="n">
        <x:f>H684-I684</x:f>
        <x:v>0</x:v>
      </x:c>
      <x:c r="K684" s="168" t="str">
        <x:v>DGAnnual2023.pdf</x:v>
      </x:c>
      <x:c r="L684" s="168" t="n">
        <x:v>185</x:v>
      </x:c>
      <x:c r="M684" s="168" t="str">
        <x:v>Comparative</x:v>
      </x:c>
      <x:c r="N684" s="171" t="str">
        <x:v>Printed amount independently located</x:v>
      </x:c>
      <x:c r="O684" s="171" t="str">
        <x:v>Exact source amount found; audited year/current-comparative column recorded. Accounting subtotal tests performed separately.</x:v>
      </x:c>
      <x:c r="P684" s="171" t="str">
        <x:v>598 6,011
17. Property, plant and equipment
 Operating fixed assets - note 17.1 80,039,245 81,934,028
 Capital work-in-progress - note 17.2 2,006,864 724,168
 Major spare parts and stand-by equipment - note 17.3 199,541 145,664 
    82,245,650 82,803,860</x:v>
      </x:c>
    </x:row>
    <x:row r="685" ht="82" customHeight="1">
      <x:c r="A685" s="76" t="str">
        <x:v>DGKC|cwip|2023</x:v>
      </x:c>
      <x:c r="B685" s="76" t="str">
        <x:v>DGKC</x:v>
      </x:c>
      <x:c r="C685" s="76" t="str">
        <x:v>FY2023</x:v>
      </x:c>
      <x:c r="D685" s="76" t="str">
        <x:v>of which: capital work-in-progress (note)</x:v>
      </x:c>
      <x:c r="E685" s="170" t="n">
        <x:v>2006864</x:v>
      </x:c>
      <x:c r="F685" s="170" t="n">
        <x:v>2006864</x:v>
      </x:c>
      <x:c r="G685" s="170" t="str">
        <x:v>Rs '000</x:v>
      </x:c>
      <x:c r="H685" s="170" t="n">
        <x:f>F685/1000</x:f>
        <x:v>2006.864</x:v>
      </x:c>
      <x:c r="I685" s="170" t="n">
        <x:f>DGKC!F21</x:f>
        <x:v>2006.864</x:v>
      </x:c>
      <x:c r="J685" s="170" t="n">
        <x:f>H685-I685</x:f>
        <x:v>0</x:v>
      </x:c>
      <x:c r="K685" s="76" t="str">
        <x:v>DGAnnual2024.pdf</x:v>
      </x:c>
      <x:c r="L685" s="76" t="n">
        <x:v>187</x:v>
      </x:c>
      <x:c r="M685" s="76" t="str">
        <x:v>Comparative</x:v>
      </x:c>
      <x:c r="N685" s="99" t="str">
        <x:v>Printed amount independently located</x:v>
      </x:c>
      <x:c r="O685" s="99" t="str">
        <x:v>Exact source amount found; audited year/current-comparative column recorded. Accounting subtotal tests performed separately.</x:v>
      </x:c>
      <x:c r="P685" s="99" t="str">
        <x:v>5,598
17. Property, plant and equipment
 Operating fixed assets - note  17.1 78,206,501 80,039,245
 Capital work-in-progress - note  17.2  1,341,029 2,006,864
 Major spare parts and stand-by equipment - note  17.3 330,309 199,541
     79,877,839 82,245,650</x:v>
      </x:c>
    </x:row>
    <x:row r="686" ht="82" customHeight="1">
      <x:c r="A686" s="168" t="str">
        <x:v>DGKC|cwip|2024</x:v>
      </x:c>
      <x:c r="B686" s="168" t="str">
        <x:v>DGKC</x:v>
      </x:c>
      <x:c r="C686" s="168" t="str">
        <x:v>FY2024</x:v>
      </x:c>
      <x:c r="D686" s="168" t="str">
        <x:v>of which: capital work-in-progress (note)</x:v>
      </x:c>
      <x:c r="E686" s="169" t="n">
        <x:v>1341029</x:v>
      </x:c>
      <x:c r="F686" s="169" t="n">
        <x:v>1341029</x:v>
      </x:c>
      <x:c r="G686" s="169" t="str">
        <x:v>Rs '000</x:v>
      </x:c>
      <x:c r="H686" s="169" t="n">
        <x:f>F686/1000</x:f>
        <x:v>1341.029</x:v>
      </x:c>
      <x:c r="I686" s="169" t="n">
        <x:f>DGKC!G21</x:f>
        <x:v>1341.029</x:v>
      </x:c>
      <x:c r="J686" s="169" t="n">
        <x:f>H686-I686</x:f>
        <x:v>0</x:v>
      </x:c>
      <x:c r="K686" s="168" t="str">
        <x:v>DGAnnual2025.pdf</x:v>
      </x:c>
      <x:c r="L686" s="168" t="n">
        <x:v>189</x:v>
      </x:c>
      <x:c r="M686" s="168" t="str">
        <x:v>Comparative</x:v>
      </x:c>
      <x:c r="N686" s="171" t="str">
        <x:v>Printed amount independently located</x:v>
      </x:c>
      <x:c r="O686" s="171" t="str">
        <x:v>Exact source amount found; audited year/current-comparative column recorded. Accounting subtotal tests performed separately.</x:v>
      </x:c>
      <x:c r="P686" s="171" t="str">
        <x:v>710 5,136
17. Property, plant and equipment
 Operating fixed assets - note  17.1 76,142,612 78,206,501
 Capital work-in-progress - note  17.2 798,312 1,341,029
 Major spare parts and stand-by equipment - note  17.3 311,635 330,309
     77,252,559 79,877,839
188
DGKC Annual Report2025</x:v>
      </x:c>
    </x:row>
    <x:row r="687" ht="82" customHeight="1">
      <x:c r="A687" s="76" t="str">
        <x:v>DGKC|cwip|2025</x:v>
      </x:c>
      <x:c r="B687" s="76" t="str">
        <x:v>DGKC</x:v>
      </x:c>
      <x:c r="C687" s="76" t="str">
        <x:v>FY2025</x:v>
      </x:c>
      <x:c r="D687" s="76" t="str">
        <x:v>of which: capital work-in-progress (note)</x:v>
      </x:c>
      <x:c r="E687" s="170" t="n">
        <x:v>798312</x:v>
      </x:c>
      <x:c r="F687" s="170" t="n">
        <x:v>798312</x:v>
      </x:c>
      <x:c r="G687" s="170" t="str">
        <x:v>Rs '000</x:v>
      </x:c>
      <x:c r="H687" s="170" t="n">
        <x:f>F687/1000</x:f>
        <x:v>798.312</x:v>
      </x:c>
      <x:c r="I687" s="170" t="n">
        <x:f>DGKC!H21</x:f>
        <x:v>798.312</x:v>
      </x:c>
      <x:c r="J687" s="170" t="n">
        <x:f>H687-I687</x:f>
        <x:v>0</x:v>
      </x:c>
      <x:c r="K687" s="76" t="str">
        <x:v>DGAnnual2025.pdf</x:v>
      </x:c>
      <x:c r="L687" s="76" t="n">
        <x:v>189</x:v>
      </x:c>
      <x:c r="M687" s="76" t="str">
        <x:v>Current year</x:v>
      </x:c>
      <x:c r="N687" s="99" t="str">
        <x:v>Printed amount independently located</x:v>
      </x:c>
      <x:c r="O687" s="99" t="str">
        <x:v>Exact source amount found; audited year/current-comparative column recorded. Accounting subtotal tests performed separately.</x:v>
      </x:c>
      <x:c r="P687" s="99" t="str">
        <x:v>4,710 5,136
17. Property, plant and equipment
 Operating fixed assets - note  17.1 76,142,612 78,206,501
 Capital work-in-progress - note  17.2 798,312 1,341,029
 Major spare parts and stand-by equipment - note  17.3 311,635 330,309
     77,252,559 79,877,839
188
DGKC Annual Report2025</x:v>
      </x:c>
    </x:row>
    <x:row r="688" ht="82" customHeight="1">
      <x:c r="A688" s="168" t="str">
        <x:v>DGKC|rou|2020</x:v>
      </x:c>
      <x:c r="B688" s="168" t="str">
        <x:v>DGKC</x:v>
      </x:c>
      <x:c r="C688" s="168" t="str">
        <x:v>FY2020</x:v>
      </x:c>
      <x:c r="D688" s="168" t="str">
        <x:v>Right-of-use assets (presented separately)</x:v>
      </x:c>
      <x:c r="E688" s="169" t="n">
        <x:v>0</x:v>
      </x:c>
      <x:c r="F688" s="169" t="n">
        <x:v>0</x:v>
      </x:c>
      <x:c r="G688" s="169" t="str">
        <x:v>Rs '000</x:v>
      </x:c>
      <x:c r="H688" s="169" t="n">
        <x:f>F688/1000</x:f>
        <x:v>0</x:v>
      </x:c>
      <x:c r="I688" s="169" t="n">
        <x:f>DGKC!C23</x:f>
        <x:v>0</x:v>
      </x:c>
      <x:c r="J688" s="169" t="n">
        <x:f>H688-I688</x:f>
        <x:v>0</x:v>
      </x:c>
      <x:c r="K688" s="168" t="str">
        <x:v>DG_Annual_Report_2021.pdf</x:v>
      </x:c>
      <x:c r="L688" s="168" t="n">
        <x:v>105</x:v>
      </x:c>
      <x:c r="M688" s="168" t="str">
        <x:v>Comparative</x:v>
      </x:c>
      <x:c r="N688" s="171" t="str">
        <x:v>Zero / no separate line in audited presentation</x:v>
      </x:c>
      <x:c r="O688" s="171" t="str">
        <x:v>Zero classification checked within the audited statement/note and reconstructed statement totals; absence of a separate line does not imply a missing replacement estimate.</x:v>
      </x:c>
      <x:c r="P688" s="171" t="str">
        <x:v>
   2021 2020
  Note (Rupees in thousand)
EQUITY AND LIABILITIES
CAPITAL AND RESERVES
 Authorised share capital
 - 950,000,000 (2020: 950,000,000) | Right-of-use assets (presented separately)</x:v>
      </x:c>
    </x:row>
    <x:row r="689" ht="82" customHeight="1">
      <x:c r="A689" s="76" t="str">
        <x:v>DGKC|rou|2021</x:v>
      </x:c>
      <x:c r="B689" s="76" t="str">
        <x:v>DGKC</x:v>
      </x:c>
      <x:c r="C689" s="76" t="str">
        <x:v>FY2021</x:v>
      </x:c>
      <x:c r="D689" s="76" t="str">
        <x:v>Right-of-use assets (presented separately)</x:v>
      </x:c>
      <x:c r="E689" s="170" t="n">
        <x:v>0</x:v>
      </x:c>
      <x:c r="F689" s="170" t="n">
        <x:v>0</x:v>
      </x:c>
      <x:c r="G689" s="170" t="str">
        <x:v>Rs '000</x:v>
      </x:c>
      <x:c r="H689" s="170" t="n">
        <x:f>F689/1000</x:f>
        <x:v>0</x:v>
      </x:c>
      <x:c r="I689" s="170" t="n">
        <x:f>DGKC!D23</x:f>
        <x:v>0</x:v>
      </x:c>
      <x:c r="J689" s="170" t="n">
        <x:f>H689-I689</x:f>
        <x:v>0</x:v>
      </x:c>
      <x:c r="K689" s="76" t="str">
        <x:v>DG_Annual_Report_2022.pdf</x:v>
      </x:c>
      <x:c r="L689" s="76" t="n">
        <x:v>125</x:v>
      </x:c>
      <x:c r="M689" s="76" t="str">
        <x:v>Comparative</x:v>
      </x:c>
      <x:c r="N689" s="99" t="str">
        <x:v>Zero / no separate line in audited presentation</x:v>
      </x:c>
      <x:c r="O689" s="99" t="str">
        <x:v>Zero classification checked within the audited statement/note and reconstructed statement totals; absence of a separate line does not imply a missing replacement estimate.</x:v>
      </x:c>
      <x:c r="P689" s="99" t="str">
        <x:v>
   2022 2021
  Note (Rupees in thousand)
EQUITY AND LIABILITIES
SHARE CAPITAL AND RESERVES
 Authorised share capital
 - 950,000,000 (2021: 950,00 | Right-of-use assets (presented separately)</x:v>
      </x:c>
    </x:row>
    <x:row r="690" ht="82" customHeight="1">
      <x:c r="A690" s="168" t="str">
        <x:v>DGKC|rou|2022</x:v>
      </x:c>
      <x:c r="B690" s="168" t="str">
        <x:v>DGKC</x:v>
      </x:c>
      <x:c r="C690" s="168" t="str">
        <x:v>FY2022</x:v>
      </x:c>
      <x:c r="D690" s="168" t="str">
        <x:v>Right-of-use assets (presented separately)</x:v>
      </x:c>
      <x:c r="E690" s="169" t="n">
        <x:v>0</x:v>
      </x:c>
      <x:c r="F690" s="169" t="n">
        <x:v>0</x:v>
      </x:c>
      <x:c r="G690" s="169" t="str">
        <x:v>Rs '000</x:v>
      </x:c>
      <x:c r="H690" s="169" t="n">
        <x:f>F690/1000</x:f>
        <x:v>0</x:v>
      </x:c>
      <x:c r="I690" s="169" t="n">
        <x:f>DGKC!E23</x:f>
        <x:v>0</x:v>
      </x:c>
      <x:c r="J690" s="169" t="n">
        <x:f>H690-I690</x:f>
        <x:v>0</x:v>
      </x:c>
      <x:c r="K690" s="168" t="str">
        <x:v>DGAnnual2023.pdf</x:v>
      </x:c>
      <x:c r="L690" s="168" t="n">
        <x:v>151</x:v>
      </x:c>
      <x:c r="M690" s="168" t="str">
        <x:v>Comparative</x:v>
      </x:c>
      <x:c r="N690" s="171" t="str">
        <x:v>Zero / no separate line in audited presentation</x:v>
      </x:c>
      <x:c r="O690" s="171" t="str">
        <x:v>Zero classification checked within the audited statement/note and reconstructed statement totals; absence of a separate line does not imply a missing replacement estimate.</x:v>
      </x:c>
      <x:c r="P690" s="171" t="str">
        <x:v>
   2023 2022
  Note (Rupees in thousand)
EQUITY AND LIABILITIES
SHARE CAPITAL AND RESERVES
 Authorised share capital
 - 950,000,000 (2022: 950,00 | Right-of-use assets (presented separately)</x:v>
      </x:c>
    </x:row>
    <x:row r="691" ht="82" customHeight="1">
      <x:c r="A691" s="76" t="str">
        <x:v>DGKC|rou|2023</x:v>
      </x:c>
      <x:c r="B691" s="76" t="str">
        <x:v>DGKC</x:v>
      </x:c>
      <x:c r="C691" s="76" t="str">
        <x:v>FY2023</x:v>
      </x:c>
      <x:c r="D691" s="76" t="str">
        <x:v>Right-of-use assets (presented separately)</x:v>
      </x:c>
      <x:c r="E691" s="170" t="n">
        <x:v>0</x:v>
      </x:c>
      <x:c r="F691" s="170" t="n">
        <x:v>0</x:v>
      </x:c>
      <x:c r="G691" s="170" t="str">
        <x:v>Rs '000</x:v>
      </x:c>
      <x:c r="H691" s="170" t="n">
        <x:f>F691/1000</x:f>
        <x:v>0</x:v>
      </x:c>
      <x:c r="I691" s="170" t="n">
        <x:f>DGKC!F23</x:f>
        <x:v>0</x:v>
      </x:c>
      <x:c r="J691" s="170" t="n">
        <x:f>H691-I691</x:f>
        <x:v>0</x:v>
      </x:c>
      <x:c r="K691" s="76" t="str">
        <x:v>DGAnnual2024.pdf</x:v>
      </x:c>
      <x:c r="L691" s="76" t="n">
        <x:v>151</x:v>
      </x:c>
      <x:c r="M691" s="76" t="str">
        <x:v>Comparative</x:v>
      </x:c>
      <x:c r="N691" s="99" t="str">
        <x:v>Zero / no separate line in audited presentation</x:v>
      </x:c>
      <x:c r="O691" s="99" t="str">
        <x:v>Zero classification checked within the audited statement/note and reconstructed statement totals; absence of a separate line does not imply a missing replacement estimate.</x:v>
      </x:c>
      <x:c r="P691" s="99" t="str">
        <x:v>
150
DGKC Annual Report 2024
   2024 2023
  Note (Rupees in thousand)
EQUITY AND LIABILITIES
SHARE CAPITAL AND RESERVES
 Authorised share capital
 | Right-of-use assets (presented separately)</x:v>
      </x:c>
    </x:row>
    <x:row r="692" ht="82" customHeight="1">
      <x:c r="A692" s="168" t="str">
        <x:v>DGKC|rou|2024</x:v>
      </x:c>
      <x:c r="B692" s="168" t="str">
        <x:v>DGKC</x:v>
      </x:c>
      <x:c r="C692" s="168" t="str">
        <x:v>FY2024</x:v>
      </x:c>
      <x:c r="D692" s="168" t="str">
        <x:v>Right-of-use assets (presented separately)</x:v>
      </x:c>
      <x:c r="E692" s="169" t="n">
        <x:v>0</x:v>
      </x:c>
      <x:c r="F692" s="169" t="n">
        <x:v>0</x:v>
      </x:c>
      <x:c r="G692" s="169" t="str">
        <x:v>Rs '000</x:v>
      </x:c>
      <x:c r="H692" s="169" t="n">
        <x:f>F692/1000</x:f>
        <x:v>0</x:v>
      </x:c>
      <x:c r="I692" s="169" t="n">
        <x:f>DGKC!G23</x:f>
        <x:v>0</x:v>
      </x:c>
      <x:c r="J692" s="169" t="n">
        <x:f>H692-I692</x:f>
        <x:v>0</x:v>
      </x:c>
      <x:c r="K692" s="168" t="str">
        <x:v>DGAnnual2025.pdf</x:v>
      </x:c>
      <x:c r="L692" s="168" t="n">
        <x:v>153</x:v>
      </x:c>
      <x:c r="M692" s="168" t="str">
        <x:v>Comparative</x:v>
      </x:c>
      <x:c r="N692" s="171" t="str">
        <x:v>Zero / no separate line in audited presentation</x:v>
      </x:c>
      <x:c r="O692" s="171" t="str">
        <x:v>Zero classification checked within the audited statement/note and reconstructed statement totals; absence of a separate line does not imply a missing replacement estimate.</x:v>
      </x:c>
      <x:c r="P692" s="171" t="str">
        <x:v>
   2025 2024
  Note (Rupees in thousand)
EQUITY AND LIABILITIES
SHARE CAPITAL AND RESERVES
 Authorised share capital
 - 950,000,000 (2024: 950,00 | Right-of-use assets (presented separately)</x:v>
      </x:c>
    </x:row>
    <x:row r="693" ht="82" customHeight="1">
      <x:c r="A693" s="76" t="str">
        <x:v>DGKC|rou|2025</x:v>
      </x:c>
      <x:c r="B693" s="76" t="str">
        <x:v>DGKC</x:v>
      </x:c>
      <x:c r="C693" s="76" t="str">
        <x:v>FY2025</x:v>
      </x:c>
      <x:c r="D693" s="76" t="str">
        <x:v>Right-of-use assets (presented separately)</x:v>
      </x:c>
      <x:c r="E693" s="170" t="n">
        <x:v>0</x:v>
      </x:c>
      <x:c r="F693" s="170" t="n">
        <x:v>0</x:v>
      </x:c>
      <x:c r="G693" s="170" t="str">
        <x:v>Rs '000</x:v>
      </x:c>
      <x:c r="H693" s="170" t="n">
        <x:f>F693/1000</x:f>
        <x:v>0</x:v>
      </x:c>
      <x:c r="I693" s="170" t="n">
        <x:f>DGKC!H23</x:f>
        <x:v>0</x:v>
      </x:c>
      <x:c r="J693" s="170" t="n">
        <x:f>H693-I693</x:f>
        <x:v>0</x:v>
      </x:c>
      <x:c r="K693" s="76" t="str">
        <x:v>DGAnnual2025.pdf</x:v>
      </x:c>
      <x:c r="L693" s="76" t="n">
        <x:v>153</x:v>
      </x:c>
      <x:c r="M693" s="76" t="str">
        <x:v>Current year</x:v>
      </x:c>
      <x:c r="N693" s="99" t="str">
        <x:v>Zero / no separate line in audited presentation</x:v>
      </x:c>
      <x:c r="O693" s="99" t="str">
        <x:v>Zero classification checked within the audited statement/note and reconstructed statement totals; absence of a separate line does not imply a missing replacement estimate.</x:v>
      </x:c>
      <x:c r="P693" s="99" t="str">
        <x:v>
   2025 2024
  Note (Rupees in thousand)
EQUITY AND LIABILITIES
SHARE CAPITAL AND RESERVES
 Authorised share capital
 - 950,000,000 (2024: 950,00 | Right-of-use assets (presented separately)</x:v>
      </x:c>
    </x:row>
    <x:row r="694" ht="82" customHeight="1">
      <x:c r="A694" s="168" t="str">
        <x:v>DGKC|intang|2020</x:v>
      </x:c>
      <x:c r="B694" s="168" t="str">
        <x:v>DGKC</x:v>
      </x:c>
      <x:c r="C694" s="168" t="str">
        <x:v>FY2020</x:v>
      </x:c>
      <x:c r="D694" s="168" t="str">
        <x:v>Intangible assets</x:v>
      </x:c>
      <x:c r="E694" s="169" t="n">
        <x:v>0</x:v>
      </x:c>
      <x:c r="F694" s="169" t="n">
        <x:v>0</x:v>
      </x:c>
      <x:c r="G694" s="169" t="str">
        <x:v>Rs '000</x:v>
      </x:c>
      <x:c r="H694" s="169" t="n">
        <x:f>F694/1000</x:f>
        <x:v>0</x:v>
      </x:c>
      <x:c r="I694" s="169" t="n">
        <x:f>DGKC!C24</x:f>
        <x:v>0</x:v>
      </x:c>
      <x:c r="J694" s="169" t="n">
        <x:f>H694-I694</x:f>
        <x:v>0</x:v>
      </x:c>
      <x:c r="K694" s="168" t="str">
        <x:v>DG_Annual_Report_2021.pdf</x:v>
      </x:c>
      <x:c r="L694" s="168" t="n">
        <x:v>105</x:v>
      </x:c>
      <x:c r="M694" s="168" t="str">
        <x:v>Comparative</x:v>
      </x:c>
      <x:c r="N694" s="171" t="str">
        <x:v>Zero / no separate line in audited presentation</x:v>
      </x:c>
      <x:c r="O694" s="171" t="str">
        <x:v>Zero classification checked within the audited statement/note and reconstructed statement totals; absence of a separate line does not imply a missing replacement estimate.</x:v>
      </x:c>
      <x:c r="P694" s="171" t="str">
        <x:v>
   2021 2020
  Note (Rupees in thousand)
EQUITY AND LIABILITIES
CAPITAL AND RESERVES
 Authorised share capital
 - 950,000,000 (2020: 950,000,000) | Intangible assets</x:v>
      </x:c>
    </x:row>
    <x:row r="695" ht="82" customHeight="1">
      <x:c r="A695" s="76" t="str">
        <x:v>DGKC|intang|2021</x:v>
      </x:c>
      <x:c r="B695" s="76" t="str">
        <x:v>DGKC</x:v>
      </x:c>
      <x:c r="C695" s="76" t="str">
        <x:v>FY2021</x:v>
      </x:c>
      <x:c r="D695" s="76" t="str">
        <x:v>Intangible assets</x:v>
      </x:c>
      <x:c r="E695" s="170" t="n">
        <x:v>0</x:v>
      </x:c>
      <x:c r="F695" s="170" t="n">
        <x:v>0</x:v>
      </x:c>
      <x:c r="G695" s="170" t="str">
        <x:v>Rs '000</x:v>
      </x:c>
      <x:c r="H695" s="170" t="n">
        <x:f>F695/1000</x:f>
        <x:v>0</x:v>
      </x:c>
      <x:c r="I695" s="170" t="n">
        <x:f>DGKC!D24</x:f>
        <x:v>0</x:v>
      </x:c>
      <x:c r="J695" s="170" t="n">
        <x:f>H695-I695</x:f>
        <x:v>0</x:v>
      </x:c>
      <x:c r="K695" s="76" t="str">
        <x:v>DG_Annual_Report_2022.pdf</x:v>
      </x:c>
      <x:c r="L695" s="76" t="n">
        <x:v>126</x:v>
      </x:c>
      <x:c r="M695" s="76" t="str">
        <x:v>Comparative</x:v>
      </x:c>
      <x:c r="N695" s="99" t="str">
        <x:v>Zero / no separate line in audited presentation</x:v>
      </x:c>
      <x:c r="O695" s="99" t="str">
        <x:v>Zero classification checked within the audited statement/note and reconstructed statement totals; absence of a separate line does not imply a missing replacement estimate.</x:v>
      </x:c>
      <x:c r="P695" s="99" t="str">
        <x:v>
   2022 2021
  Note (Rupees in thousand)
ASSETS     
NON-CURRENT ASSETS    
Property, plant and equipment 17 82,803,860 85,020,109
Intangi | Intangible asset</x:v>
      </x:c>
    </x:row>
    <x:row r="696" ht="82" customHeight="1">
      <x:c r="A696" s="168" t="str">
        <x:v>DGKC|intang|2022</x:v>
      </x:c>
      <x:c r="B696" s="168" t="str">
        <x:v>DGKC</x:v>
      </x:c>
      <x:c r="C696" s="168" t="str">
        <x:v>FY2022</x:v>
      </x:c>
      <x:c r="D696" s="168" t="str">
        <x:v>Intangible assets</x:v>
      </x:c>
      <x:c r="E696" s="169" t="n">
        <x:v>17319</x:v>
      </x:c>
      <x:c r="F696" s="169" t="n">
        <x:v>17319</x:v>
      </x:c>
      <x:c r="G696" s="169" t="str">
        <x:v>Rs '000</x:v>
      </x:c>
      <x:c r="H696" s="169" t="n">
        <x:f>F696/1000</x:f>
        <x:v>17.319</x:v>
      </x:c>
      <x:c r="I696" s="169" t="n">
        <x:f>DGKC!E24</x:f>
        <x:v>17.319</x:v>
      </x:c>
      <x:c r="J696" s="169" t="n">
        <x:f>H696-I696</x:f>
        <x:v>0</x:v>
      </x:c>
      <x:c r="K696" s="168" t="str">
        <x:v>DGAnnual2023.pdf</x:v>
      </x:c>
      <x:c r="L696" s="168" t="n">
        <x:v>152</x:v>
      </x:c>
      <x:c r="M696" s="168" t="str">
        <x:v>Comparative</x:v>
      </x:c>
      <x:c r="N696" s="171" t="str">
        <x:v>Printed amount independently located</x:v>
      </x:c>
      <x:c r="O696" s="171" t="str">
        <x:v>Exact source amount found; audited year/current-comparative column recorded. Accounting subtotal tests performed separately.</x:v>
      </x:c>
      <x:c r="P696" s="171" t="str">
        <x:v>(Rupees in thousand)
ASSETS     
NON-CURRENT ASSETS    
Property, plant and equipment 17 82,245,650 82,803,860
Intangible asset 18 10,152 17,319
Investments 19 13,366,360 12,866,145
Long term deposits 20 64,426 61,526
    95,686,588 95,748,850
CURRENT ASSETS
Stores, spare parts and loose tools 21 13,852,005 16,813,883
Stoc</x:v>
      </x:c>
    </x:row>
    <x:row r="697" ht="82" customHeight="1">
      <x:c r="A697" s="76" t="str">
        <x:v>DGKC|intang|2023</x:v>
      </x:c>
      <x:c r="B697" s="76" t="str">
        <x:v>DGKC</x:v>
      </x:c>
      <x:c r="C697" s="76" t="str">
        <x:v>FY2023</x:v>
      </x:c>
      <x:c r="D697" s="76" t="str">
        <x:v>Intangible assets</x:v>
      </x:c>
      <x:c r="E697" s="170" t="n">
        <x:v>10152</x:v>
      </x:c>
      <x:c r="F697" s="170" t="n">
        <x:v>10152</x:v>
      </x:c>
      <x:c r="G697" s="170" t="str">
        <x:v>Rs '000</x:v>
      </x:c>
      <x:c r="H697" s="170" t="n">
        <x:f>F697/1000</x:f>
        <x:v>10.152</x:v>
      </x:c>
      <x:c r="I697" s="170" t="n">
        <x:f>DGKC!F24</x:f>
        <x:v>10.152</x:v>
      </x:c>
      <x:c r="J697" s="170" t="n">
        <x:f>H697-I697</x:f>
        <x:v>0</x:v>
      </x:c>
      <x:c r="K697" s="76" t="str">
        <x:v>DGAnnual2024.pdf</x:v>
      </x:c>
      <x:c r="L697" s="76" t="n">
        <x:v>152</x:v>
      </x:c>
      <x:c r="M697" s="76" t="str">
        <x:v>Comparative</x:v>
      </x:c>
      <x:c r="N697" s="99" t="str">
        <x:v>Printed amount independently located</x:v>
      </x:c>
      <x:c r="O697" s="99" t="str">
        <x:v>Exact source amount found; audited year/current-comparative column recorded. Accounting subtotal tests performed separately.</x:v>
      </x:c>
      <x:c r="P697" s="99" t="str">
        <x:v>(Rupees in thousand)
ASSETS     
NON-CURRENT ASSETS    
Property, plant and equipment 17 79,877,839 82,245,650
Intangible assets 18 42,762 10,152
Investments 19 16,633,064 13,366,360
Long term deposits 20 61,568 64,426
    96,615,233 95,686,588
CURRENT ASSETS
Stores, spare parts and loose tools 21 12,559,774 13,852,005
Stoc</x:v>
      </x:c>
    </x:row>
    <x:row r="698" ht="82" customHeight="1">
      <x:c r="A698" s="168" t="str">
        <x:v>DGKC|intang|2024</x:v>
      </x:c>
      <x:c r="B698" s="168" t="str">
        <x:v>DGKC</x:v>
      </x:c>
      <x:c r="C698" s="168" t="str">
        <x:v>FY2024</x:v>
      </x:c>
      <x:c r="D698" s="168" t="str">
        <x:v>Intangible assets</x:v>
      </x:c>
      <x:c r="E698" s="169" t="n">
        <x:v>42762</x:v>
      </x:c>
      <x:c r="F698" s="169" t="n">
        <x:v>42762</x:v>
      </x:c>
      <x:c r="G698" s="169" t="str">
        <x:v>Rs '000</x:v>
      </x:c>
      <x:c r="H698" s="169" t="n">
        <x:f>F698/1000</x:f>
        <x:v>42.762</x:v>
      </x:c>
      <x:c r="I698" s="169" t="n">
        <x:f>DGKC!G24</x:f>
        <x:v>42.762</x:v>
      </x:c>
      <x:c r="J698" s="169" t="n">
        <x:f>H698-I698</x:f>
        <x:v>0</x:v>
      </x:c>
      <x:c r="K698" s="168" t="str">
        <x:v>DGAnnual2025.pdf</x:v>
      </x:c>
      <x:c r="L698" s="168" t="n">
        <x:v>154</x:v>
      </x:c>
      <x:c r="M698" s="168" t="str">
        <x:v>Comparative</x:v>
      </x:c>
      <x:c r="N698" s="171" t="str">
        <x:v>Printed amount independently located</x:v>
      </x:c>
      <x:c r="O698" s="171" t="str">
        <x:v>Exact source amount found; audited year/current-comparative column recorded. Accounting subtotal tests performed separately.</x:v>
      </x:c>
      <x:c r="P698" s="171" t="str">
        <x:v>(Rupees in thousand)
ASSETS     
NON-CURRENT ASSETS    
Property, plant and equipment 17 77,252,559 79,877,839
Intangible assets 18 13,076 42,762
Long term investments 19 20,689,545 16,633,064
Long term deposits 20 61,013 61,568
    98,016,193 96,615,233
CURRENT ASSETS
Stores, spare parts and loose tools 21 12,306,679 12,55</x:v>
      </x:c>
    </x:row>
    <x:row r="699" ht="82" customHeight="1">
      <x:c r="A699" s="76" t="str">
        <x:v>DGKC|intang|2025</x:v>
      </x:c>
      <x:c r="B699" s="76" t="str">
        <x:v>DGKC</x:v>
      </x:c>
      <x:c r="C699" s="76" t="str">
        <x:v>FY2025</x:v>
      </x:c>
      <x:c r="D699" s="76" t="str">
        <x:v>Intangible assets</x:v>
      </x:c>
      <x:c r="E699" s="170" t="n">
        <x:v>13076</x:v>
      </x:c>
      <x:c r="F699" s="170" t="n">
        <x:v>13076</x:v>
      </x:c>
      <x:c r="G699" s="170" t="str">
        <x:v>Rs '000</x:v>
      </x:c>
      <x:c r="H699" s="170" t="n">
        <x:f>F699/1000</x:f>
        <x:v>13.076</x:v>
      </x:c>
      <x:c r="I699" s="170" t="n">
        <x:f>DGKC!H24</x:f>
        <x:v>13.076</x:v>
      </x:c>
      <x:c r="J699" s="170" t="n">
        <x:f>H699-I699</x:f>
        <x:v>0</x:v>
      </x:c>
      <x:c r="K699" s="76" t="str">
        <x:v>DGAnnual2025.pdf</x:v>
      </x:c>
      <x:c r="L699" s="76" t="n">
        <x:v>154</x:v>
      </x:c>
      <x:c r="M699" s="76" t="str">
        <x:v>Current year</x:v>
      </x:c>
      <x:c r="N699" s="99" t="str">
        <x:v>Printed amount independently located</x:v>
      </x:c>
      <x:c r="O699" s="99" t="str">
        <x:v>Exact source amount found; audited year/current-comparative column recorded. Accounting subtotal tests performed separately.</x:v>
      </x:c>
      <x:c r="P699" s="99" t="str">
        <x:v>Note (Rupees in thousand)
ASSETS     
NON-CURRENT ASSETS    
Property, plant and equipment 17 77,252,559 79,877,839
Intangible assets 18 13,076 42,762
Long term investments 19 20,689,545 16,633,064
Long term deposits 20 61,013 61,568
    98,016,193 96,615,233
CURRENT ASSETS
Stores, spare parts and loose tools 21 12,306,67</x:v>
      </x:c>
    </x:row>
    <x:row r="700" ht="82" customHeight="1">
      <x:c r="A700" s="168" t="str">
        <x:v>DGKC|inv_prop|2020</x:v>
      </x:c>
      <x:c r="B700" s="168" t="str">
        <x:v>DGKC</x:v>
      </x:c>
      <x:c r="C700" s="168" t="str">
        <x:v>FY2020</x:v>
      </x:c>
      <x:c r="D700" s="168" t="str">
        <x:v>Investment property</x:v>
      </x:c>
      <x:c r="E700" s="169" t="n">
        <x:v>0</x:v>
      </x:c>
      <x:c r="F700" s="169" t="n">
        <x:v>0</x:v>
      </x:c>
      <x:c r="G700" s="169" t="str">
        <x:v>Rs '000</x:v>
      </x:c>
      <x:c r="H700" s="169" t="n">
        <x:f>F700/1000</x:f>
        <x:v>0</x:v>
      </x:c>
      <x:c r="I700" s="169" t="n">
        <x:f>DGKC!C25</x:f>
        <x:v>0</x:v>
      </x:c>
      <x:c r="J700" s="169" t="n">
        <x:f>H700-I700</x:f>
        <x:v>0</x:v>
      </x:c>
      <x:c r="K700" s="168" t="str">
        <x:v>DG_Annual_Report_2021.pdf</x:v>
      </x:c>
      <x:c r="L700" s="168" t="n">
        <x:v>105</x:v>
      </x:c>
      <x:c r="M700" s="168" t="str">
        <x:v>Comparative</x:v>
      </x:c>
      <x:c r="N700" s="171" t="str">
        <x:v>Zero / no separate line in audited presentation</x:v>
      </x:c>
      <x:c r="O700" s="171" t="str">
        <x:v>Zero classification checked within the audited statement/note and reconstructed statement totals; absence of a separate line does not imply a missing replacement estimate.</x:v>
      </x:c>
      <x:c r="P700" s="171" t="str">
        <x:v>
   2021 2020
  Note (Rupees in thousand)
EQUITY AND LIABILITIES
CAPITAL AND RESERVES
 Authorised share capital
 - 950,000,000 (2020: 950,000,000) | Investment property</x:v>
      </x:c>
    </x:row>
    <x:row r="701" ht="82" customHeight="1">
      <x:c r="A701" s="76" t="str">
        <x:v>DGKC|inv_prop|2021</x:v>
      </x:c>
      <x:c r="B701" s="76" t="str">
        <x:v>DGKC</x:v>
      </x:c>
      <x:c r="C701" s="76" t="str">
        <x:v>FY2021</x:v>
      </x:c>
      <x:c r="D701" s="76" t="str">
        <x:v>Investment property</x:v>
      </x:c>
      <x:c r="E701" s="170" t="n">
        <x:v>0</x:v>
      </x:c>
      <x:c r="F701" s="170" t="n">
        <x:v>0</x:v>
      </x:c>
      <x:c r="G701" s="170" t="str">
        <x:v>Rs '000</x:v>
      </x:c>
      <x:c r="H701" s="170" t="n">
        <x:f>F701/1000</x:f>
        <x:v>0</x:v>
      </x:c>
      <x:c r="I701" s="170" t="n">
        <x:f>DGKC!D25</x:f>
        <x:v>0</x:v>
      </x:c>
      <x:c r="J701" s="170" t="n">
        <x:f>H701-I701</x:f>
        <x:v>0</x:v>
      </x:c>
      <x:c r="K701" s="76" t="str">
        <x:v>DG_Annual_Report_2022.pdf</x:v>
      </x:c>
      <x:c r="L701" s="76" t="n">
        <x:v>125</x:v>
      </x:c>
      <x:c r="M701" s="76" t="str">
        <x:v>Comparative</x:v>
      </x:c>
      <x:c r="N701" s="99" t="str">
        <x:v>Zero / no separate line in audited presentation</x:v>
      </x:c>
      <x:c r="O701" s="99" t="str">
        <x:v>Zero classification checked within the audited statement/note and reconstructed statement totals; absence of a separate line does not imply a missing replacement estimate.</x:v>
      </x:c>
      <x:c r="P701" s="99" t="str">
        <x:v>
   2022 2021
  Note (Rupees in thousand)
EQUITY AND LIABILITIES
SHARE CAPITAL AND RESERVES
 Authorised share capital
 - 950,000,000 (2021: 950,00 | Investment property</x:v>
      </x:c>
    </x:row>
    <x:row r="702" ht="82" customHeight="1">
      <x:c r="A702" s="168" t="str">
        <x:v>DGKC|inv_prop|2022</x:v>
      </x:c>
      <x:c r="B702" s="168" t="str">
        <x:v>DGKC</x:v>
      </x:c>
      <x:c r="C702" s="168" t="str">
        <x:v>FY2022</x:v>
      </x:c>
      <x:c r="D702" s="168" t="str">
        <x:v>Investment property</x:v>
      </x:c>
      <x:c r="E702" s="169" t="n">
        <x:v>0</x:v>
      </x:c>
      <x:c r="F702" s="169" t="n">
        <x:v>0</x:v>
      </x:c>
      <x:c r="G702" s="169" t="str">
        <x:v>Rs '000</x:v>
      </x:c>
      <x:c r="H702" s="169" t="n">
        <x:f>F702/1000</x:f>
        <x:v>0</x:v>
      </x:c>
      <x:c r="I702" s="169" t="n">
        <x:f>DGKC!E25</x:f>
        <x:v>0</x:v>
      </x:c>
      <x:c r="J702" s="169" t="n">
        <x:f>H702-I702</x:f>
        <x:v>0</x:v>
      </x:c>
      <x:c r="K702" s="168" t="str">
        <x:v>DGAnnual2023.pdf</x:v>
      </x:c>
      <x:c r="L702" s="168" t="n">
        <x:v>151</x:v>
      </x:c>
      <x:c r="M702" s="168" t="str">
        <x:v>Comparative</x:v>
      </x:c>
      <x:c r="N702" s="171" t="str">
        <x:v>Zero / no separate line in audited presentation</x:v>
      </x:c>
      <x:c r="O702" s="171" t="str">
        <x:v>Zero classification checked within the audited statement/note and reconstructed statement totals; absence of a separate line does not imply a missing replacement estimate.</x:v>
      </x:c>
      <x:c r="P702" s="171" t="str">
        <x:v>
   2023 2022
  Note (Rupees in thousand)
EQUITY AND LIABILITIES
SHARE CAPITAL AND RESERVES
 Authorised share capital
 - 950,000,000 (2022: 950,00 | Investment property</x:v>
      </x:c>
    </x:row>
    <x:row r="703" ht="82" customHeight="1">
      <x:c r="A703" s="76" t="str">
        <x:v>DGKC|inv_prop|2023</x:v>
      </x:c>
      <x:c r="B703" s="76" t="str">
        <x:v>DGKC</x:v>
      </x:c>
      <x:c r="C703" s="76" t="str">
        <x:v>FY2023</x:v>
      </x:c>
      <x:c r="D703" s="76" t="str">
        <x:v>Investment property</x:v>
      </x:c>
      <x:c r="E703" s="170" t="n">
        <x:v>0</x:v>
      </x:c>
      <x:c r="F703" s="170" t="n">
        <x:v>0</x:v>
      </x:c>
      <x:c r="G703" s="170" t="str">
        <x:v>Rs '000</x:v>
      </x:c>
      <x:c r="H703" s="170" t="n">
        <x:f>F703/1000</x:f>
        <x:v>0</x:v>
      </x:c>
      <x:c r="I703" s="170" t="n">
        <x:f>DGKC!F25</x:f>
        <x:v>0</x:v>
      </x:c>
      <x:c r="J703" s="170" t="n">
        <x:f>H703-I703</x:f>
        <x:v>0</x:v>
      </x:c>
      <x:c r="K703" s="76" t="str">
        <x:v>DGAnnual2024.pdf</x:v>
      </x:c>
      <x:c r="L703" s="76" t="n">
        <x:v>151</x:v>
      </x:c>
      <x:c r="M703" s="76" t="str">
        <x:v>Comparative</x:v>
      </x:c>
      <x:c r="N703" s="99" t="str">
        <x:v>Zero / no separate line in audited presentation</x:v>
      </x:c>
      <x:c r="O703" s="99" t="str">
        <x:v>Zero classification checked within the audited statement/note and reconstructed statement totals; absence of a separate line does not imply a missing replacement estimate.</x:v>
      </x:c>
      <x:c r="P703" s="99" t="str">
        <x:v>
150
DGKC Annual Report 2024
   2024 2023
  Note (Rupees in thousand)
EQUITY AND LIABILITIES
SHARE CAPITAL AND RESERVES
 Authorised share capital
 | Investment property</x:v>
      </x:c>
    </x:row>
    <x:row r="704" ht="82" customHeight="1">
      <x:c r="A704" s="168" t="str">
        <x:v>DGKC|inv_prop|2024</x:v>
      </x:c>
      <x:c r="B704" s="168" t="str">
        <x:v>DGKC</x:v>
      </x:c>
      <x:c r="C704" s="168" t="str">
        <x:v>FY2024</x:v>
      </x:c>
      <x:c r="D704" s="168" t="str">
        <x:v>Investment property</x:v>
      </x:c>
      <x:c r="E704" s="169" t="n">
        <x:v>0</x:v>
      </x:c>
      <x:c r="F704" s="169" t="n">
        <x:v>0</x:v>
      </x:c>
      <x:c r="G704" s="169" t="str">
        <x:v>Rs '000</x:v>
      </x:c>
      <x:c r="H704" s="169" t="n">
        <x:f>F704/1000</x:f>
        <x:v>0</x:v>
      </x:c>
      <x:c r="I704" s="169" t="n">
        <x:f>DGKC!G25</x:f>
        <x:v>0</x:v>
      </x:c>
      <x:c r="J704" s="169" t="n">
        <x:f>H704-I704</x:f>
        <x:v>0</x:v>
      </x:c>
      <x:c r="K704" s="168" t="str">
        <x:v>DGAnnual2025.pdf</x:v>
      </x:c>
      <x:c r="L704" s="168" t="n">
        <x:v>153</x:v>
      </x:c>
      <x:c r="M704" s="168" t="str">
        <x:v>Comparative</x:v>
      </x:c>
      <x:c r="N704" s="171" t="str">
        <x:v>Zero / no separate line in audited presentation</x:v>
      </x:c>
      <x:c r="O704" s="171" t="str">
        <x:v>Zero classification checked within the audited statement/note and reconstructed statement totals; absence of a separate line does not imply a missing replacement estimate.</x:v>
      </x:c>
      <x:c r="P704" s="171" t="str">
        <x:v>
   2025 2024
  Note (Rupees in thousand)
EQUITY AND LIABILITIES
SHARE CAPITAL AND RESERVES
 Authorised share capital
 - 950,000,000 (2024: 950,00 | Investment property</x:v>
      </x:c>
    </x:row>
    <x:row r="705" ht="82" customHeight="1">
      <x:c r="A705" s="76" t="str">
        <x:v>DGKC|inv_prop|2025</x:v>
      </x:c>
      <x:c r="B705" s="76" t="str">
        <x:v>DGKC</x:v>
      </x:c>
      <x:c r="C705" s="76" t="str">
        <x:v>FY2025</x:v>
      </x:c>
      <x:c r="D705" s="76" t="str">
        <x:v>Investment property</x:v>
      </x:c>
      <x:c r="E705" s="170" t="n">
        <x:v>0</x:v>
      </x:c>
      <x:c r="F705" s="170" t="n">
        <x:v>0</x:v>
      </x:c>
      <x:c r="G705" s="170" t="str">
        <x:v>Rs '000</x:v>
      </x:c>
      <x:c r="H705" s="170" t="n">
        <x:f>F705/1000</x:f>
        <x:v>0</x:v>
      </x:c>
      <x:c r="I705" s="170" t="n">
        <x:f>DGKC!H25</x:f>
        <x:v>0</x:v>
      </x:c>
      <x:c r="J705" s="170" t="n">
        <x:f>H705-I705</x:f>
        <x:v>0</x:v>
      </x:c>
      <x:c r="K705" s="76" t="str">
        <x:v>DGAnnual2025.pdf</x:v>
      </x:c>
      <x:c r="L705" s="76" t="n">
        <x:v>153</x:v>
      </x:c>
      <x:c r="M705" s="76" t="str">
        <x:v>Current year</x:v>
      </x:c>
      <x:c r="N705" s="99" t="str">
        <x:v>Zero / no separate line in audited presentation</x:v>
      </x:c>
      <x:c r="O705" s="99" t="str">
        <x:v>Zero classification checked within the audited statement/note and reconstructed statement totals; absence of a separate line does not imply a missing replacement estimate.</x:v>
      </x:c>
      <x:c r="P705" s="99" t="str">
        <x:v>
   2025 2024
  Note (Rupees in thousand)
EQUITY AND LIABILITIES
SHARE CAPITAL AND RESERVES
 Authorised share capital
 - 950,000,000 (2024: 950,00 | Investment property</x:v>
      </x:c>
    </x:row>
    <x:row r="706" ht="82" customHeight="1">
      <x:c r="A706" s="168" t="str">
        <x:v>DGKC|lt_inv|2020</x:v>
      </x:c>
      <x:c r="B706" s="168" t="str">
        <x:v>DGKC</x:v>
      </x:c>
      <x:c r="C706" s="168" t="str">
        <x:v>FY2020</x:v>
      </x:c>
      <x:c r="D706" s="168" t="str">
        <x:v>Long-term investments</x:v>
      </x:c>
      <x:c r="E706" s="169" t="n">
        <x:v>11849828</x:v>
      </x:c>
      <x:c r="F706" s="169" t="n">
        <x:v>11849828</x:v>
      </x:c>
      <x:c r="G706" s="169" t="str">
        <x:v>Rs '000</x:v>
      </x:c>
      <x:c r="H706" s="169" t="n">
        <x:f>F706/1000</x:f>
        <x:v>11849.828</x:v>
      </x:c>
      <x:c r="I706" s="169" t="n">
        <x:f>DGKC!C26</x:f>
        <x:v>11849.828</x:v>
      </x:c>
      <x:c r="J706" s="169" t="n">
        <x:f>H706-I706</x:f>
        <x:v>0</x:v>
      </x:c>
      <x:c r="K706" s="168" t="str">
        <x:v>DG_Annual_Report_2021.pdf</x:v>
      </x:c>
      <x:c r="L706" s="168" t="n">
        <x:v>106</x:v>
      </x:c>
      <x:c r="M706" s="168" t="str">
        <x:v>Comparative</x:v>
      </x:c>
      <x:c r="N706" s="171" t="str">
        <x:v>Printed amount independently located</x:v>
      </x:c>
      <x:c r="O706" s="171" t="str">
        <x:v>Exact source amount found; audited year/current-comparative column recorded. Accounting subtotal tests performed separately.</x:v>
      </x:c>
      <x:c r="P706" s="171" t="str">
        <x:v>e (Rupees in thousand)
ASSETS     
NON-CURRENT ASSETS    
Property, plant and equipment 17 85,020,109 83,537,295
Investments 18 15,965,811 11,849,828
Long term loans to employees   - 76
Long term deposits 19 57,513 57,908
    101,043,433  95,445,107
CURRENT ASSETS
Stores, spare parts and loose tools 20 12,879,348 8,237,990
Stoc</x:v>
      </x:c>
    </x:row>
    <x:row r="707" ht="82" customHeight="1">
      <x:c r="A707" s="76" t="str">
        <x:v>DGKC|lt_inv|2021</x:v>
      </x:c>
      <x:c r="B707" s="76" t="str">
        <x:v>DGKC</x:v>
      </x:c>
      <x:c r="C707" s="76" t="str">
        <x:v>FY2021</x:v>
      </x:c>
      <x:c r="D707" s="76" t="str">
        <x:v>Long-term investments</x:v>
      </x:c>
      <x:c r="E707" s="170" t="n">
        <x:v>15965811</x:v>
      </x:c>
      <x:c r="F707" s="170" t="n">
        <x:v>15965811</x:v>
      </x:c>
      <x:c r="G707" s="170" t="str">
        <x:v>Rs '000</x:v>
      </x:c>
      <x:c r="H707" s="170" t="n">
        <x:f>F707/1000</x:f>
        <x:v>15965.811</x:v>
      </x:c>
      <x:c r="I707" s="170" t="n">
        <x:f>DGKC!D26</x:f>
        <x:v>15965.811</x:v>
      </x:c>
      <x:c r="J707" s="170" t="n">
        <x:f>H707-I707</x:f>
        <x:v>0</x:v>
      </x:c>
      <x:c r="K707" s="76" t="str">
        <x:v>DG_Annual_Report_2022.pdf</x:v>
      </x:c>
      <x:c r="L707" s="76" t="n">
        <x:v>126</x:v>
      </x:c>
      <x:c r="M707" s="76" t="str">
        <x:v>Comparative</x:v>
      </x:c>
      <x:c r="N707" s="99" t="str">
        <x:v>Printed amount independently located</x:v>
      </x:c>
      <x:c r="O707" s="99" t="str">
        <x:v>Exact source amount found; audited year/current-comparative column recorded. Accounting subtotal tests performed separately.</x:v>
      </x:c>
      <x:c r="P707" s="99" t="str">
        <x:v>SETS     
NON-CURRENT ASSETS    
Property, plant and equipment 17 82,803,860 85,020,109
Intangible asset 18 17,319 -
Investments 19 12,866,145 15,965,811
Long term deposits 20 61,526 57,513
    95,748,850 101,043,433
CURRENT ASSETS
Stores, spare parts and loose tools 21 16,813,883 12,879,348
Stock-in-trade 22 5,981,515 2,728,589
Tr</x:v>
      </x:c>
    </x:row>
    <x:row r="708" ht="82" customHeight="1">
      <x:c r="A708" s="168" t="str">
        <x:v>DGKC|lt_inv|2022</x:v>
      </x:c>
      <x:c r="B708" s="168" t="str">
        <x:v>DGKC</x:v>
      </x:c>
      <x:c r="C708" s="168" t="str">
        <x:v>FY2022</x:v>
      </x:c>
      <x:c r="D708" s="168" t="str">
        <x:v>Long-term investments</x:v>
      </x:c>
      <x:c r="E708" s="169" t="n">
        <x:v>12866145</x:v>
      </x:c>
      <x:c r="F708" s="169" t="n">
        <x:v>12866145</x:v>
      </x:c>
      <x:c r="G708" s="169" t="str">
        <x:v>Rs '000</x:v>
      </x:c>
      <x:c r="H708" s="169" t="n">
        <x:f>F708/1000</x:f>
        <x:v>12866.145</x:v>
      </x:c>
      <x:c r="I708" s="169" t="n">
        <x:f>DGKC!E26</x:f>
        <x:v>12866.145</x:v>
      </x:c>
      <x:c r="J708" s="169" t="n">
        <x:f>H708-I708</x:f>
        <x:v>0</x:v>
      </x:c>
      <x:c r="K708" s="168" t="str">
        <x:v>DGAnnual2023.pdf</x:v>
      </x:c>
      <x:c r="L708" s="168" t="n">
        <x:v>152</x:v>
      </x:c>
      <x:c r="M708" s="168" t="str">
        <x:v>Comparative</x:v>
      </x:c>
      <x:c r="N708" s="171" t="str">
        <x:v>Printed amount independently located</x:v>
      </x:c>
      <x:c r="O708" s="171" t="str">
        <x:v>Exact source amount found; audited year/current-comparative column recorded. Accounting subtotal tests performed separately.</x:v>
      </x:c>
      <x:c r="P708" s="171" t="str">
        <x:v>NON-CURRENT ASSETS    
Property, plant and equipment 17 82,245,650 82,803,860
Intangible asset 18 10,152 17,319
Investments 19 13,366,360 12,866,145
Long term deposits 20 64,426 61,526
    95,686,588 95,748,850
CURRENT ASSETS
Stores, spare parts and loose tools 21 13,852,005 16,813,883
Stock-in-trade 22 8,873,170 5,981,515
Tra</x:v>
      </x:c>
    </x:row>
    <x:row r="709" ht="82" customHeight="1">
      <x:c r="A709" s="76" t="str">
        <x:v>DGKC|lt_inv|2023</x:v>
      </x:c>
      <x:c r="B709" s="76" t="str">
        <x:v>DGKC</x:v>
      </x:c>
      <x:c r="C709" s="76" t="str">
        <x:v>FY2023</x:v>
      </x:c>
      <x:c r="D709" s="76" t="str">
        <x:v>Long-term investments</x:v>
      </x:c>
      <x:c r="E709" s="170" t="n">
        <x:v>13366360</x:v>
      </x:c>
      <x:c r="F709" s="170" t="n">
        <x:v>13366360</x:v>
      </x:c>
      <x:c r="G709" s="170" t="str">
        <x:v>Rs '000</x:v>
      </x:c>
      <x:c r="H709" s="170" t="n">
        <x:f>F709/1000</x:f>
        <x:v>13366.36</x:v>
      </x:c>
      <x:c r="I709" s="170" t="n">
        <x:f>DGKC!F26</x:f>
        <x:v>13366.36</x:v>
      </x:c>
      <x:c r="J709" s="170" t="n">
        <x:f>H709-I709</x:f>
        <x:v>0</x:v>
      </x:c>
      <x:c r="K709" s="76" t="str">
        <x:v>DGAnnual2024.pdf</x:v>
      </x:c>
      <x:c r="L709" s="76" t="n">
        <x:v>152</x:v>
      </x:c>
      <x:c r="M709" s="76" t="str">
        <x:v>Comparative</x:v>
      </x:c>
      <x:c r="N709" s="99" t="str">
        <x:v>Printed amount independently located</x:v>
      </x:c>
      <x:c r="O709" s="99" t="str">
        <x:v>Exact source amount found; audited year/current-comparative column recorded. Accounting subtotal tests performed separately.</x:v>
      </x:c>
      <x:c r="P709" s="99" t="str">
        <x:v>NON-CURRENT ASSETS    
Property, plant and equipment 17 79,877,839 82,245,650
Intangible assets 18 42,762 10,152
Investments 19 16,633,064 13,366,360
Long term deposits 20 61,568 64,426
    96,615,233 95,686,588
CURRENT ASSETS
Stores, spare parts and loose tools 21 12,559,774 13,852,005
Stock-in-trade 22 7,693,067 8,873,170
Tra</x:v>
      </x:c>
    </x:row>
    <x:row r="710" ht="82" customHeight="1">
      <x:c r="A710" s="168" t="str">
        <x:v>DGKC|lt_inv|2024</x:v>
      </x:c>
      <x:c r="B710" s="168" t="str">
        <x:v>DGKC</x:v>
      </x:c>
      <x:c r="C710" s="168" t="str">
        <x:v>FY2024</x:v>
      </x:c>
      <x:c r="D710" s="168" t="str">
        <x:v>Long-term investments</x:v>
      </x:c>
      <x:c r="E710" s="169" t="n">
        <x:v>16633064</x:v>
      </x:c>
      <x:c r="F710" s="169" t="n">
        <x:v>16633064</x:v>
      </x:c>
      <x:c r="G710" s="169" t="str">
        <x:v>Rs '000</x:v>
      </x:c>
      <x:c r="H710" s="169" t="n">
        <x:f>F710/1000</x:f>
        <x:v>16633.064</x:v>
      </x:c>
      <x:c r="I710" s="169" t="n">
        <x:f>DGKC!G26</x:f>
        <x:v>16633.064</x:v>
      </x:c>
      <x:c r="J710" s="169" t="n">
        <x:f>H710-I710</x:f>
        <x:v>0</x:v>
      </x:c>
      <x:c r="K710" s="168" t="str">
        <x:v>DGAnnual2025.pdf</x:v>
      </x:c>
      <x:c r="L710" s="168" t="n">
        <x:v>154</x:v>
      </x:c>
      <x:c r="M710" s="168" t="str">
        <x:v>Comparative</x:v>
      </x:c>
      <x:c r="N710" s="171" t="str">
        <x:v>Printed amount independently located</x:v>
      </x:c>
      <x:c r="O710" s="171" t="str">
        <x:v>Exact source amount found; audited year/current-comparative column recorded. Accounting subtotal tests performed separately.</x:v>
      </x:c>
      <x:c r="P710" s="171" t="str">
        <x:v>-CURRENT ASSETS    
Property, plant and equipment 17 77,252,559 79,877,839
Intangible assets 18 13,076 42,762
Long term investments 19 20,689,545 16,633,064
Long term deposits 20 61,013 61,568
    98,016,193 96,615,233
CURRENT ASSETS
Stores, spare parts and loose tools 21 12,306,679 12,559,774
Stock-in-trade 22 8,188,678 7,693,067
Tra</x:v>
      </x:c>
    </x:row>
    <x:row r="711" ht="82" customHeight="1">
      <x:c r="A711" s="76" t="str">
        <x:v>DGKC|lt_inv|2025</x:v>
      </x:c>
      <x:c r="B711" s="76" t="str">
        <x:v>DGKC</x:v>
      </x:c>
      <x:c r="C711" s="76" t="str">
        <x:v>FY2025</x:v>
      </x:c>
      <x:c r="D711" s="76" t="str">
        <x:v>Long-term investments</x:v>
      </x:c>
      <x:c r="E711" s="170" t="n">
        <x:v>20689545</x:v>
      </x:c>
      <x:c r="F711" s="170" t="n">
        <x:v>20689545</x:v>
      </x:c>
      <x:c r="G711" s="170" t="str">
        <x:v>Rs '000</x:v>
      </x:c>
      <x:c r="H711" s="170" t="n">
        <x:f>F711/1000</x:f>
        <x:v>20689.545</x:v>
      </x:c>
      <x:c r="I711" s="170" t="n">
        <x:f>DGKC!H26</x:f>
        <x:v>20689.545</x:v>
      </x:c>
      <x:c r="J711" s="170" t="n">
        <x:f>H711-I711</x:f>
        <x:v>0</x:v>
      </x:c>
      <x:c r="K711" s="76" t="str">
        <x:v>DGAnnual2025.pdf</x:v>
      </x:c>
      <x:c r="L711" s="76" t="n">
        <x:v>154</x:v>
      </x:c>
      <x:c r="M711" s="76" t="str">
        <x:v>Current year</x:v>
      </x:c>
      <x:c r="N711" s="99" t="str">
        <x:v>Printed amount independently located</x:v>
      </x:c>
      <x:c r="O711" s="99" t="str">
        <x:v>Exact source amount found; audited year/current-comparative column recorded. Accounting subtotal tests performed separately.</x:v>
      </x:c>
      <x:c r="P711" s="99" t="str">
        <x:v>NON-CURRENT ASSETS    
Property, plant and equipment 17 77,252,559 79,877,839
Intangible assets 18 13,076 42,762
Long term investments 19 20,689,545 16,633,064
Long term deposits 20 61,013 61,568
    98,016,193 96,615,233
CURRENT ASSETS
Stores, spare parts and loose tools 21 12,306,679 12,559,774
Stock-in-trade 22 8,188,678 7,</x:v>
      </x:c>
    </x:row>
    <x:row r="712" ht="82" customHeight="1">
      <x:c r="A712" s="168" t="str">
        <x:v>DGKC|nca_other|2020</x:v>
      </x:c>
      <x:c r="B712" s="168" t="str">
        <x:v>DGKC</x:v>
      </x:c>
      <x:c r="C712" s="168" t="str">
        <x:v>FY2020</x:v>
      </x:c>
      <x:c r="D712" s="168" t="str">
        <x:v>Other non-current assets</x:v>
      </x:c>
      <x:c r="E712" s="169" t="n">
        <x:v>57984</x:v>
      </x:c>
      <x:c r="F712" s="169" t="n">
        <x:v>57984</x:v>
      </x:c>
      <x:c r="G712" s="169" t="str">
        <x:v>Rs '000</x:v>
      </x:c>
      <x:c r="H712" s="169" t="n">
        <x:f>F712/1000</x:f>
        <x:v>57.984</x:v>
      </x:c>
      <x:c r="I712" s="169" t="n">
        <x:f>DGKC!C27</x:f>
        <x:v>57.984</x:v>
      </x:c>
      <x:c r="J712" s="169" t="n">
        <x:f>H712-I712</x:f>
        <x:v>0</x:v>
      </x:c>
      <x:c r="K712" s="168" t="str">
        <x:v>DG_Annual_Report_2021.pdf</x:v>
      </x:c>
      <x:c r="L712" s="168" t="n">
        <x:v>106</x:v>
      </x:c>
      <x:c r="M712" s="168" t="str">
        <x:v>Comparative</x:v>
      </x:c>
      <x:c r="N712" s="171" t="str">
        <x:v>Aggregated audited components</x:v>
      </x:c>
      <x:c r="O712" s="171" t="str">
        <x:v>Source-labelled component sum; statement controls and signed-unit conversion independently recomputed.</x:v>
      </x:c>
      <x:c r="P712" s="171" t="str">
        <x:v>
   2021 2020
  Note (Rupees in thousand)
ASSETS     
NON-CURRENT ASSETS    
Property, plant and equipment 17 85,020,109 83,537,295
Investments 18 15,965,811 11,849,828
 | Components: Long term deposits; Long term loans to employees</x:v>
      </x:c>
    </x:row>
    <x:row r="713" ht="82" customHeight="1">
      <x:c r="A713" s="76" t="str">
        <x:v>DGKC|nca_other|2021</x:v>
      </x:c>
      <x:c r="B713" s="76" t="str">
        <x:v>DGKC</x:v>
      </x:c>
      <x:c r="C713" s="76" t="str">
        <x:v>FY2021</x:v>
      </x:c>
      <x:c r="D713" s="76" t="str">
        <x:v>Other non-current assets</x:v>
      </x:c>
      <x:c r="E713" s="170" t="n">
        <x:v>57513</x:v>
      </x:c>
      <x:c r="F713" s="170" t="n">
        <x:v>57513</x:v>
      </x:c>
      <x:c r="G713" s="170" t="str">
        <x:v>Rs '000</x:v>
      </x:c>
      <x:c r="H713" s="170" t="n">
        <x:f>F713/1000</x:f>
        <x:v>57.513</x:v>
      </x:c>
      <x:c r="I713" s="170" t="n">
        <x:f>DGKC!D27</x:f>
        <x:v>57.513</x:v>
      </x:c>
      <x:c r="J713" s="170" t="n">
        <x:f>H713-I713</x:f>
        <x:v>0</x:v>
      </x:c>
      <x:c r="K713" s="76" t="str">
        <x:v>DG_Annual_Report_2022.pdf</x:v>
      </x:c>
      <x:c r="L713" s="76" t="n">
        <x:v>126</x:v>
      </x:c>
      <x:c r="M713" s="76" t="str">
        <x:v>Comparative</x:v>
      </x:c>
      <x:c r="N713" s="99" t="str">
        <x:v>Printed amount independently located</x:v>
      </x:c>
      <x:c r="O713" s="99" t="str">
        <x:v>Exact source amount found; audited year/current-comparative column recorded. Accounting subtotal tests performed separately.</x:v>
      </x:c>
      <x:c r="P713" s="99" t="str">
        <x:v>Property, plant and equipment 17 82,803,860 85,020,109
Intangible asset 18 17,319 -
Investments 19 12,866,145 15,965,811
Long term deposits 20 61,526 57,513
    95,748,850 101,043,433
CURRENT ASSETS
Stores, spare parts and loose tools 21 16,813,883 12,879,348
Stock-in-trade 22 5,981,515 2,728,589
Trade debts 23 1,467,862 1,676,245
Inv</x:v>
      </x:c>
    </x:row>
    <x:row r="714" ht="82" customHeight="1">
      <x:c r="A714" s="168" t="str">
        <x:v>DGKC|nca_other|2022</x:v>
      </x:c>
      <x:c r="B714" s="168" t="str">
        <x:v>DGKC</x:v>
      </x:c>
      <x:c r="C714" s="168" t="str">
        <x:v>FY2022</x:v>
      </x:c>
      <x:c r="D714" s="168" t="str">
        <x:v>Other non-current assets</x:v>
      </x:c>
      <x:c r="E714" s="169" t="n">
        <x:v>61526</x:v>
      </x:c>
      <x:c r="F714" s="169" t="n">
        <x:v>61526</x:v>
      </x:c>
      <x:c r="G714" s="169" t="str">
        <x:v>Rs '000</x:v>
      </x:c>
      <x:c r="H714" s="169" t="n">
        <x:f>F714/1000</x:f>
        <x:v>61.526</x:v>
      </x:c>
      <x:c r="I714" s="169" t="n">
        <x:f>DGKC!E27</x:f>
        <x:v>61.526</x:v>
      </x:c>
      <x:c r="J714" s="169" t="n">
        <x:f>H714-I714</x:f>
        <x:v>0</x:v>
      </x:c>
      <x:c r="K714" s="168" t="str">
        <x:v>DGAnnual2023.pdf</x:v>
      </x:c>
      <x:c r="L714" s="168" t="n">
        <x:v>152</x:v>
      </x:c>
      <x:c r="M714" s="168" t="str">
        <x:v>Comparative</x:v>
      </x:c>
      <x:c r="N714" s="171" t="str">
        <x:v>Printed amount independently located</x:v>
      </x:c>
      <x:c r="O714" s="171" t="str">
        <x:v>Exact source amount found; audited year/current-comparative column recorded. Accounting subtotal tests performed separately.</x:v>
      </x:c>
      <x:c r="P714" s="171" t="str">
        <x:v>rty, plant and equipment 17 82,245,650 82,803,860
Intangible asset 18 10,152 17,319
Investments 19 13,366,360 12,866,145
Long term deposits 20 64,426 61,526
    95,686,588 95,748,850
CURRENT ASSETS
Stores, spare parts and loose tools 21 13,852,005 16,813,883
Stock-in-trade 22 8,873,170 5,981,515
Trade debts 23 1,193,440 1,467,862
Inve</x:v>
      </x:c>
    </x:row>
    <x:row r="715" ht="82" customHeight="1">
      <x:c r="A715" s="76" t="str">
        <x:v>DGKC|nca_other|2023</x:v>
      </x:c>
      <x:c r="B715" s="76" t="str">
        <x:v>DGKC</x:v>
      </x:c>
      <x:c r="C715" s="76" t="str">
        <x:v>FY2023</x:v>
      </x:c>
      <x:c r="D715" s="76" t="str">
        <x:v>Other non-current assets</x:v>
      </x:c>
      <x:c r="E715" s="170" t="n">
        <x:v>64426</x:v>
      </x:c>
      <x:c r="F715" s="170" t="n">
        <x:v>64426</x:v>
      </x:c>
      <x:c r="G715" s="170" t="str">
        <x:v>Rs '000</x:v>
      </x:c>
      <x:c r="H715" s="170" t="n">
        <x:f>F715/1000</x:f>
        <x:v>64.426</x:v>
      </x:c>
      <x:c r="I715" s="170" t="n">
        <x:f>DGKC!F27</x:f>
        <x:v>64.426</x:v>
      </x:c>
      <x:c r="J715" s="170" t="n">
        <x:f>H715-I715</x:f>
        <x:v>0</x:v>
      </x:c>
      <x:c r="K715" s="76" t="str">
        <x:v>DGAnnual2024.pdf</x:v>
      </x:c>
      <x:c r="L715" s="76" t="n">
        <x:v>152</x:v>
      </x:c>
      <x:c r="M715" s="76" t="str">
        <x:v>Comparative</x:v>
      </x:c>
      <x:c r="N715" s="99" t="str">
        <x:v>Printed amount independently located</x:v>
      </x:c>
      <x:c r="O715" s="99" t="str">
        <x:v>Exact source amount found; audited year/current-comparative column recorded. Accounting subtotal tests performed separately.</x:v>
      </x:c>
      <x:c r="P715" s="99" t="str">
        <x:v>ty, plant and equipment 17 79,877,839 82,245,650
Intangible assets 18 42,762 10,152
Investments 19 16,633,064 13,366,360
Long term deposits 20 61,568 64,426
    96,615,233 95,686,588
CURRENT ASSETS
Stores, spare parts and loose tools 21 12,559,774 13,852,005
Stock-in-trade 22 7,693,067 8,873,170
Trade debts 23 855,742  1,193,440
Inves</x:v>
      </x:c>
    </x:row>
    <x:row r="716" ht="82" customHeight="1">
      <x:c r="A716" s="168" t="str">
        <x:v>DGKC|nca_other|2024</x:v>
      </x:c>
      <x:c r="B716" s="168" t="str">
        <x:v>DGKC</x:v>
      </x:c>
      <x:c r="C716" s="168" t="str">
        <x:v>FY2024</x:v>
      </x:c>
      <x:c r="D716" s="168" t="str">
        <x:v>Other non-current assets</x:v>
      </x:c>
      <x:c r="E716" s="169" t="n">
        <x:v>61568</x:v>
      </x:c>
      <x:c r="F716" s="169" t="n">
        <x:v>61568</x:v>
      </x:c>
      <x:c r="G716" s="169" t="str">
        <x:v>Rs '000</x:v>
      </x:c>
      <x:c r="H716" s="169" t="n">
        <x:f>F716/1000</x:f>
        <x:v>61.568</x:v>
      </x:c>
      <x:c r="I716" s="169" t="n">
        <x:f>DGKC!G27</x:f>
        <x:v>61.568</x:v>
      </x:c>
      <x:c r="J716" s="169" t="n">
        <x:f>H716-I716</x:f>
        <x:v>0</x:v>
      </x:c>
      <x:c r="K716" s="168" t="str">
        <x:v>DGAnnual2025.pdf</x:v>
      </x:c>
      <x:c r="L716" s="168" t="n">
        <x:v>154</x:v>
      </x:c>
      <x:c r="M716" s="168" t="str">
        <x:v>Comparative</x:v>
      </x:c>
      <x:c r="N716" s="171" t="str">
        <x:v>Printed amount independently located</x:v>
      </x:c>
      <x:c r="O716" s="171" t="str">
        <x:v>Exact source amount found; audited year/current-comparative column recorded. Accounting subtotal tests performed separately.</x:v>
      </x:c>
      <x:c r="P716" s="171" t="str">
        <x:v>and equipment 17 77,252,559 79,877,839
Intangible assets 18 13,076 42,762
Long term investments 19 20,689,545 16,633,064
Long term deposits 20 61,013 61,568
    98,016,193 96,615,233
CURRENT ASSETS
Stores, spare parts and loose tools 21 12,306,679 12,559,774
Stock-in-trade 22 8,188,678 7,693,067
Trade debts 23 1,493,080 855,742
Short</x:v>
      </x:c>
    </x:row>
    <x:row r="717" ht="82" customHeight="1">
      <x:c r="A717" s="76" t="str">
        <x:v>DGKC|nca_other|2025</x:v>
      </x:c>
      <x:c r="B717" s="76" t="str">
        <x:v>DGKC</x:v>
      </x:c>
      <x:c r="C717" s="76" t="str">
        <x:v>FY2025</x:v>
      </x:c>
      <x:c r="D717" s="76" t="str">
        <x:v>Other non-current assets</x:v>
      </x:c>
      <x:c r="E717" s="170" t="n">
        <x:v>61013</x:v>
      </x:c>
      <x:c r="F717" s="170" t="n">
        <x:v>61013</x:v>
      </x:c>
      <x:c r="G717" s="170" t="str">
        <x:v>Rs '000</x:v>
      </x:c>
      <x:c r="H717" s="170" t="n">
        <x:f>F717/1000</x:f>
        <x:v>61.013</x:v>
      </x:c>
      <x:c r="I717" s="170" t="n">
        <x:f>DGKC!H27</x:f>
        <x:v>61.013</x:v>
      </x:c>
      <x:c r="J717" s="170" t="n">
        <x:f>H717-I717</x:f>
        <x:v>0</x:v>
      </x:c>
      <x:c r="K717" s="76" t="str">
        <x:v>DGAnnual2025.pdf</x:v>
      </x:c>
      <x:c r="L717" s="76" t="n">
        <x:v>154</x:v>
      </x:c>
      <x:c r="M717" s="76" t="str">
        <x:v>Current year</x:v>
      </x:c>
      <x:c r="N717" s="99" t="str">
        <x:v>Printed amount independently located</x:v>
      </x:c>
      <x:c r="O717" s="99" t="str">
        <x:v>Exact source amount found; audited year/current-comparative column recorded. Accounting subtotal tests performed separately.</x:v>
      </x:c>
      <x:c r="P717" s="99" t="str">
        <x:v>plant and equipment 17 77,252,559 79,877,839
Intangible assets 18 13,076 42,762
Long term investments 19 20,689,545 16,633,064
Long term deposits 20 61,013 61,568
    98,016,193 96,615,233
CURRENT ASSETS
Stores, spare parts and loose tools 21 12,306,679 12,559,774
Stock-in-trade 22 8,188,678 7,693,067
Trade debts 23 1,493,080 855,742</x:v>
      </x:c>
    </x:row>
    <x:row r="718" ht="82" customHeight="1">
      <x:c r="A718" s="168" t="str">
        <x:v>DGKC|stores|2020</x:v>
      </x:c>
      <x:c r="B718" s="168" t="str">
        <x:v>DGKC</x:v>
      </x:c>
      <x:c r="C718" s="168" t="str">
        <x:v>FY2020</x:v>
      </x:c>
      <x:c r="D718" s="168" t="str">
        <x:v>Stores, spares and loose tools</x:v>
      </x:c>
      <x:c r="E718" s="169" t="n">
        <x:v>8237990</x:v>
      </x:c>
      <x:c r="F718" s="169" t="n">
        <x:v>8237990</x:v>
      </x:c>
      <x:c r="G718" s="169" t="str">
        <x:v>Rs '000</x:v>
      </x:c>
      <x:c r="H718" s="169" t="n">
        <x:f>F718/1000</x:f>
        <x:v>8237.99</x:v>
      </x:c>
      <x:c r="I718" s="169" t="n">
        <x:f>DGKC!C30</x:f>
        <x:v>8237.99</x:v>
      </x:c>
      <x:c r="J718" s="169" t="n">
        <x:f>H718-I718</x:f>
        <x:v>0</x:v>
      </x:c>
      <x:c r="K718" s="168" t="str">
        <x:v>DG_Annual_Report_2021.pdf</x:v>
      </x:c>
      <x:c r="L718" s="168" t="n">
        <x:v>106</x:v>
      </x:c>
      <x:c r="M718" s="168" t="str">
        <x:v>Comparative</x:v>
      </x:c>
      <x:c r="N718" s="171" t="str">
        <x:v>Printed amount independently located</x:v>
      </x:c>
      <x:c r="O718" s="171" t="str">
        <x:v>Exact source amount found; audited year/current-comparative column recorded. Accounting subtotal tests performed separately.</x:v>
      </x:c>
      <x:c r="P718" s="171" t="str">
        <x:v>to employees   - 76
Long term deposits 19 57,513 57,908
    101,043,433  95,445,107
CURRENT ASSETS
Stores, spare parts and loose tools 20 12,879,348 8,237,990
Stock-in-trade 21 2,728,589 4,352,995
Trade debts 22 1,676,245 2,286,084
Investments 23 12,946,786 13,126,388
Loans, advances, deposits, prepayments 
   and other receivables 24 4</x:v>
      </x:c>
    </x:row>
    <x:row r="719" ht="82" customHeight="1">
      <x:c r="A719" s="76" t="str">
        <x:v>DGKC|stores|2021</x:v>
      </x:c>
      <x:c r="B719" s="76" t="str">
        <x:v>DGKC</x:v>
      </x:c>
      <x:c r="C719" s="76" t="str">
        <x:v>FY2021</x:v>
      </x:c>
      <x:c r="D719" s="76" t="str">
        <x:v>Stores, spares and loose tools</x:v>
      </x:c>
      <x:c r="E719" s="170" t="n">
        <x:v>12879348</x:v>
      </x:c>
      <x:c r="F719" s="170" t="n">
        <x:v>12879348</x:v>
      </x:c>
      <x:c r="G719" s="170" t="str">
        <x:v>Rs '000</x:v>
      </x:c>
      <x:c r="H719" s="170" t="n">
        <x:f>F719/1000</x:f>
        <x:v>12879.348</x:v>
      </x:c>
      <x:c r="I719" s="170" t="n">
        <x:f>DGKC!D30</x:f>
        <x:v>12879.348</x:v>
      </x:c>
      <x:c r="J719" s="170" t="n">
        <x:f>H719-I719</x:f>
        <x:v>0</x:v>
      </x:c>
      <x:c r="K719" s="76" t="str">
        <x:v>DG_Annual_Report_2022.pdf</x:v>
      </x:c>
      <x:c r="L719" s="76" t="n">
        <x:v>126</x:v>
      </x:c>
      <x:c r="M719" s="76" t="str">
        <x:v>Comparative</x:v>
      </x:c>
      <x:c r="N719" s="99" t="str">
        <x:v>Printed amount independently located</x:v>
      </x:c>
      <x:c r="O719" s="99" t="str">
        <x:v>Exact source amount found; audited year/current-comparative column recorded. Accounting subtotal tests performed separately.</x:v>
      </x:c>
      <x:c r="P719" s="99" t="str">
        <x:v>12,866,145 15,965,811
Long term deposits 20 61,526 57,513
    95,748,850 101,043,433
CURRENT ASSETS
Stores, spare parts and loose tools 21 16,813,883 12,879,348
Stock-in-trade 22 5,981,515 2,728,589
Trade debts 23 1,467,862 1,676,245
Investments 24 9,962,421 12,946,786
Loans, advances, deposits, prepayments
   and other receivables 25 1,4</x:v>
      </x:c>
    </x:row>
    <x:row r="720" ht="82" customHeight="1">
      <x:c r="A720" s="168" t="str">
        <x:v>DGKC|stores|2022</x:v>
      </x:c>
      <x:c r="B720" s="168" t="str">
        <x:v>DGKC</x:v>
      </x:c>
      <x:c r="C720" s="168" t="str">
        <x:v>FY2022</x:v>
      </x:c>
      <x:c r="D720" s="168" t="str">
        <x:v>Stores, spares and loose tools</x:v>
      </x:c>
      <x:c r="E720" s="169" t="n">
        <x:v>16813883</x:v>
      </x:c>
      <x:c r="F720" s="169" t="n">
        <x:v>16813883</x:v>
      </x:c>
      <x:c r="G720" s="169" t="str">
        <x:v>Rs '000</x:v>
      </x:c>
      <x:c r="H720" s="169" t="n">
        <x:f>F720/1000</x:f>
        <x:v>16813.883</x:v>
      </x:c>
      <x:c r="I720" s="169" t="n">
        <x:f>DGKC!E30</x:f>
        <x:v>16813.883</x:v>
      </x:c>
      <x:c r="J720" s="169" t="n">
        <x:f>H720-I720</x:f>
        <x:v>0</x:v>
      </x:c>
      <x:c r="K720" s="168" t="str">
        <x:v>DGAnnual2023.pdf</x:v>
      </x:c>
      <x:c r="L720" s="168" t="n">
        <x:v>152</x:v>
      </x:c>
      <x:c r="M720" s="168" t="str">
        <x:v>Comparative</x:v>
      </x:c>
      <x:c r="N720" s="171" t="str">
        <x:v>Printed amount independently located</x:v>
      </x:c>
      <x:c r="O720" s="171" t="str">
        <x:v>Exact source amount found; audited year/current-comparative column recorded. Accounting subtotal tests performed separately.</x:v>
      </x:c>
      <x:c r="P720" s="171" t="str">
        <x:v>13,366,360 12,866,145
Long term deposits 20 64,426 61,526
    95,686,588 95,748,850
CURRENT ASSETS
Stores, spare parts and loose tools 21 13,852,005 16,813,883
Stock-in-trade 22 8,873,170 5,981,515
Trade debts 23 1,193,440 1,467,862
Investments 24 9,270,898 9,962,421
Loans, advances, deposits, prepayments 
   and other receivables 25 926</x:v>
      </x:c>
    </x:row>
    <x:row r="721" ht="82" customHeight="1">
      <x:c r="A721" s="76" t="str">
        <x:v>DGKC|stores|2023</x:v>
      </x:c>
      <x:c r="B721" s="76" t="str">
        <x:v>DGKC</x:v>
      </x:c>
      <x:c r="C721" s="76" t="str">
        <x:v>FY2023</x:v>
      </x:c>
      <x:c r="D721" s="76" t="str">
        <x:v>Stores, spares and loose tools</x:v>
      </x:c>
      <x:c r="E721" s="170" t="n">
        <x:v>13852005</x:v>
      </x:c>
      <x:c r="F721" s="170" t="n">
        <x:v>13852005</x:v>
      </x:c>
      <x:c r="G721" s="170" t="str">
        <x:v>Rs '000</x:v>
      </x:c>
      <x:c r="H721" s="170" t="n">
        <x:f>F721/1000</x:f>
        <x:v>13852.005</x:v>
      </x:c>
      <x:c r="I721" s="170" t="n">
        <x:f>DGKC!F30</x:f>
        <x:v>13852.005</x:v>
      </x:c>
      <x:c r="J721" s="170" t="n">
        <x:f>H721-I721</x:f>
        <x:v>0</x:v>
      </x:c>
      <x:c r="K721" s="76" t="str">
        <x:v>DGAnnual2024.pdf</x:v>
      </x:c>
      <x:c r="L721" s="76" t="n">
        <x:v>152</x:v>
      </x:c>
      <x:c r="M721" s="76" t="str">
        <x:v>Comparative</x:v>
      </x:c>
      <x:c r="N721" s="99" t="str">
        <x:v>Printed amount independently located</x:v>
      </x:c>
      <x:c r="O721" s="99" t="str">
        <x:v>Exact source amount found; audited year/current-comparative column recorded. Accounting subtotal tests performed separately.</x:v>
      </x:c>
      <x:c r="P721" s="99" t="str">
        <x:v>16,633,064 13,366,360
Long term deposits 20 61,568 64,426
    96,615,233 95,686,588
CURRENT ASSETS
Stores, spare parts and loose tools 21 12,559,774 13,852,005
Stock-in-trade 22 7,693,067 8,873,170
Trade debts 23 855,742  1,193,440
Investments 24 18,384,882 9,270,898
Loans, advances, deposits, prepayments     
    and other receivables 2</x:v>
      </x:c>
    </x:row>
    <x:row r="722" ht="82" customHeight="1">
      <x:c r="A722" s="168" t="str">
        <x:v>DGKC|stores|2024</x:v>
      </x:c>
      <x:c r="B722" s="168" t="str">
        <x:v>DGKC</x:v>
      </x:c>
      <x:c r="C722" s="168" t="str">
        <x:v>FY2024</x:v>
      </x:c>
      <x:c r="D722" s="168" t="str">
        <x:v>Stores, spares and loose tools</x:v>
      </x:c>
      <x:c r="E722" s="169" t="n">
        <x:v>12559774</x:v>
      </x:c>
      <x:c r="F722" s="169" t="n">
        <x:v>12559774</x:v>
      </x:c>
      <x:c r="G722" s="169" t="str">
        <x:v>Rs '000</x:v>
      </x:c>
      <x:c r="H722" s="169" t="n">
        <x:f>F722/1000</x:f>
        <x:v>12559.774</x:v>
      </x:c>
      <x:c r="I722" s="169" t="n">
        <x:f>DGKC!G30</x:f>
        <x:v>12559.774</x:v>
      </x:c>
      <x:c r="J722" s="169" t="n">
        <x:f>H722-I722</x:f>
        <x:v>0</x:v>
      </x:c>
      <x:c r="K722" s="168" t="str">
        <x:v>DGAnnual2025.pdf</x:v>
      </x:c>
      <x:c r="L722" s="168" t="n">
        <x:v>154</x:v>
      </x:c>
      <x:c r="M722" s="168" t="str">
        <x:v>Comparative</x:v>
      </x:c>
      <x:c r="N722" s="171" t="str">
        <x:v>Printed amount independently located</x:v>
      </x:c>
      <x:c r="O722" s="171" t="str">
        <x:v>Exact source amount found; audited year/current-comparative column recorded. Accounting subtotal tests performed separately.</x:v>
      </x:c>
      <x:c r="P722" s="171" t="str">
        <x:v>20,689,545 16,633,064
Long term deposits 20 61,013 61,568
    98,016,193 96,615,233
CURRENT ASSETS
Stores, spare parts and loose tools 21 12,306,679 12,559,774
Stock-in-trade 22 8,188,678 7,693,067
Trade debts 23 1,493,080 855,742
Short term investments 24 24,005,100 18,384,882
Loans, advances, deposits, prepayments
   and other receivab</x:v>
      </x:c>
    </x:row>
    <x:row r="723" ht="82" customHeight="1">
      <x:c r="A723" s="76" t="str">
        <x:v>DGKC|stores|2025</x:v>
      </x:c>
      <x:c r="B723" s="76" t="str">
        <x:v>DGKC</x:v>
      </x:c>
      <x:c r="C723" s="76" t="str">
        <x:v>FY2025</x:v>
      </x:c>
      <x:c r="D723" s="76" t="str">
        <x:v>Stores, spares and loose tools</x:v>
      </x:c>
      <x:c r="E723" s="170" t="n">
        <x:v>12306679</x:v>
      </x:c>
      <x:c r="F723" s="170" t="n">
        <x:v>12306679</x:v>
      </x:c>
      <x:c r="G723" s="170" t="str">
        <x:v>Rs '000</x:v>
      </x:c>
      <x:c r="H723" s="170" t="n">
        <x:f>F723/1000</x:f>
        <x:v>12306.679</x:v>
      </x:c>
      <x:c r="I723" s="170" t="n">
        <x:f>DGKC!H30</x:f>
        <x:v>12306.679</x:v>
      </x:c>
      <x:c r="J723" s="170" t="n">
        <x:f>H723-I723</x:f>
        <x:v>0</x:v>
      </x:c>
      <x:c r="K723" s="76" t="str">
        <x:v>DGAnnual2025.pdf</x:v>
      </x:c>
      <x:c r="L723" s="76" t="n">
        <x:v>154</x:v>
      </x:c>
      <x:c r="M723" s="76" t="str">
        <x:v>Current year</x:v>
      </x:c>
      <x:c r="N723" s="99" t="str">
        <x:v>Printed amount independently located</x:v>
      </x:c>
      <x:c r="O723" s="99" t="str">
        <x:v>Exact source amount found; audited year/current-comparative column recorded. Accounting subtotal tests performed separately.</x:v>
      </x:c>
      <x:c r="P723" s="99" t="str">
        <x:v>estments 19 20,689,545 16,633,064
Long term deposits 20 61,013 61,568
    98,016,193 96,615,233
CURRENT ASSETS
Stores, spare parts and loose tools 21 12,306,679 12,559,774
Stock-in-trade 22 8,188,678 7,693,067
Trade debts 23 1,493,080 855,742
Short term investments 24 24,005,100 18,384,882
Loans, advances, deposits, prepayments
   and oth</x:v>
      </x:c>
    </x:row>
    <x:row r="724" ht="82" customHeight="1">
      <x:c r="A724" s="168" t="str">
        <x:v>DGKC|sit|2020</x:v>
      </x:c>
      <x:c r="B724" s="168" t="str">
        <x:v>DGKC</x:v>
      </x:c>
      <x:c r="C724" s="168" t="str">
        <x:v>FY2020</x:v>
      </x:c>
      <x:c r="D724" s="168" t="str">
        <x:v>Stock-in-trade</x:v>
      </x:c>
      <x:c r="E724" s="169" t="n">
        <x:v>4352995</x:v>
      </x:c>
      <x:c r="F724" s="169" t="n">
        <x:v>4352995</x:v>
      </x:c>
      <x:c r="G724" s="169" t="str">
        <x:v>Rs '000</x:v>
      </x:c>
      <x:c r="H724" s="169" t="n">
        <x:f>F724/1000</x:f>
        <x:v>4352.995</x:v>
      </x:c>
      <x:c r="I724" s="169" t="n">
        <x:f>DGKC!C31</x:f>
        <x:v>4352.995</x:v>
      </x:c>
      <x:c r="J724" s="169" t="n">
        <x:f>H724-I724</x:f>
        <x:v>0</x:v>
      </x:c>
      <x:c r="K724" s="168" t="str">
        <x:v>DG_Annual_Report_2021.pdf</x:v>
      </x:c>
      <x:c r="L724" s="168" t="n">
        <x:v>106</x:v>
      </x:c>
      <x:c r="M724" s="168" t="str">
        <x:v>Comparative</x:v>
      </x:c>
      <x:c r="N724" s="171" t="str">
        <x:v>Printed amount independently located</x:v>
      </x:c>
      <x:c r="O724" s="171" t="str">
        <x:v>Exact source amount found; audited year/current-comparative column recorded. Accounting subtotal tests performed separately.</x:v>
      </x:c>
      <x:c r="P724" s="171" t="str">
        <x:v>s 19 57,513 57,908
    101,043,433  95,445,107
CURRENT ASSETS
Stores, spare parts and loose tools 20 12,879,348 8,237,990
Stock-in-trade 21 2,728,589 4,352,995
Trade debts 22 1,676,245 2,286,084
Investments 23 12,946,786 13,126,388
Loans, advances, deposits, prepayments 
   and other receivables 24 488,566 624,493
Loan to related party 2</x:v>
      </x:c>
    </x:row>
    <x:row r="725" ht="82" customHeight="1">
      <x:c r="A725" s="76" t="str">
        <x:v>DGKC|sit|2021</x:v>
      </x:c>
      <x:c r="B725" s="76" t="str">
        <x:v>DGKC</x:v>
      </x:c>
      <x:c r="C725" s="76" t="str">
        <x:v>FY2021</x:v>
      </x:c>
      <x:c r="D725" s="76" t="str">
        <x:v>Stock-in-trade</x:v>
      </x:c>
      <x:c r="E725" s="170" t="n">
        <x:v>2728589</x:v>
      </x:c>
      <x:c r="F725" s="170" t="n">
        <x:v>2728589</x:v>
      </x:c>
      <x:c r="G725" s="170" t="str">
        <x:v>Rs '000</x:v>
      </x:c>
      <x:c r="H725" s="170" t="n">
        <x:f>F725/1000</x:f>
        <x:v>2728.589</x:v>
      </x:c>
      <x:c r="I725" s="170" t="n">
        <x:f>DGKC!D31</x:f>
        <x:v>2728.589</x:v>
      </x:c>
      <x:c r="J725" s="170" t="n">
        <x:f>H725-I725</x:f>
        <x:v>0</x:v>
      </x:c>
      <x:c r="K725" s="76" t="str">
        <x:v>DG_Annual_Report_2022.pdf</x:v>
      </x:c>
      <x:c r="L725" s="76" t="n">
        <x:v>126</x:v>
      </x:c>
      <x:c r="M725" s="76" t="str">
        <x:v>Comparative</x:v>
      </x:c>
      <x:c r="N725" s="99" t="str">
        <x:v>Printed amount independently located</x:v>
      </x:c>
      <x:c r="O725" s="99" t="str">
        <x:v>Exact source amount found; audited year/current-comparative column recorded. Accounting subtotal tests performed separately.</x:v>
      </x:c>
      <x:c r="P725" s="99" t="str">
        <x:v>s 20 61,526 57,513
    95,748,850 101,043,433
CURRENT ASSETS
Stores, spare parts and loose tools 21 16,813,883 12,879,348
Stock-in-trade 22 5,981,515 2,728,589
Trade debts 23 1,467,862 1,676,245
Investments 24 9,962,421 12,946,786
Loans, advances, deposits, prepayments
   and other receivables 25 1,430,613 488,566
Loan to related party 2</x:v>
      </x:c>
    </x:row>
    <x:row r="726" ht="82" customHeight="1">
      <x:c r="A726" s="168" t="str">
        <x:v>DGKC|sit|2022</x:v>
      </x:c>
      <x:c r="B726" s="168" t="str">
        <x:v>DGKC</x:v>
      </x:c>
      <x:c r="C726" s="168" t="str">
        <x:v>FY2022</x:v>
      </x:c>
      <x:c r="D726" s="168" t="str">
        <x:v>Stock-in-trade</x:v>
      </x:c>
      <x:c r="E726" s="169" t="n">
        <x:v>5981515</x:v>
      </x:c>
      <x:c r="F726" s="169" t="n">
        <x:v>5981515</x:v>
      </x:c>
      <x:c r="G726" s="169" t="str">
        <x:v>Rs '000</x:v>
      </x:c>
      <x:c r="H726" s="169" t="n">
        <x:f>F726/1000</x:f>
        <x:v>5981.515</x:v>
      </x:c>
      <x:c r="I726" s="169" t="n">
        <x:f>DGKC!E31</x:f>
        <x:v>5981.515</x:v>
      </x:c>
      <x:c r="J726" s="169" t="n">
        <x:f>H726-I726</x:f>
        <x:v>0</x:v>
      </x:c>
      <x:c r="K726" s="168" t="str">
        <x:v>DGAnnual2023.pdf</x:v>
      </x:c>
      <x:c r="L726" s="168" t="n">
        <x:v>152</x:v>
      </x:c>
      <x:c r="M726" s="168" t="str">
        <x:v>Comparative</x:v>
      </x:c>
      <x:c r="N726" s="171" t="str">
        <x:v>Printed amount independently located</x:v>
      </x:c>
      <x:c r="O726" s="171" t="str">
        <x:v>Exact source amount found; audited year/current-comparative column recorded. Accounting subtotal tests performed separately.</x:v>
      </x:c>
      <x:c r="P726" s="171" t="str">
        <x:v>ts 20 64,426 61,526
    95,686,588 95,748,850
CURRENT ASSETS
Stores, spare parts and loose tools 21 13,852,005 16,813,883
Stock-in-trade 22 8,873,170 5,981,515
Trade debts 23 1,193,440 1,467,862
Investments 24 9,270,898 9,962,421
Loans, advances, deposits, prepayments 
   and other receivables 25 926,047 1,430,613
Income tax receivable</x:v>
      </x:c>
    </x:row>
    <x:row r="727" ht="82" customHeight="1">
      <x:c r="A727" s="76" t="str">
        <x:v>DGKC|sit|2023</x:v>
      </x:c>
      <x:c r="B727" s="76" t="str">
        <x:v>DGKC</x:v>
      </x:c>
      <x:c r="C727" s="76" t="str">
        <x:v>FY2023</x:v>
      </x:c>
      <x:c r="D727" s="76" t="str">
        <x:v>Stock-in-trade</x:v>
      </x:c>
      <x:c r="E727" s="170" t="n">
        <x:v>8873170</x:v>
      </x:c>
      <x:c r="F727" s="170" t="n">
        <x:v>8873170</x:v>
      </x:c>
      <x:c r="G727" s="170" t="str">
        <x:v>Rs '000</x:v>
      </x:c>
      <x:c r="H727" s="170" t="n">
        <x:f>F727/1000</x:f>
        <x:v>8873.17</x:v>
      </x:c>
      <x:c r="I727" s="170" t="n">
        <x:f>DGKC!F31</x:f>
        <x:v>8873.17</x:v>
      </x:c>
      <x:c r="J727" s="170" t="n">
        <x:f>H727-I727</x:f>
        <x:v>0</x:v>
      </x:c>
      <x:c r="K727" s="76" t="str">
        <x:v>DGAnnual2024.pdf</x:v>
      </x:c>
      <x:c r="L727" s="76" t="n">
        <x:v>152</x:v>
      </x:c>
      <x:c r="M727" s="76" t="str">
        <x:v>Comparative</x:v>
      </x:c>
      <x:c r="N727" s="99" t="str">
        <x:v>Printed amount independently located</x:v>
      </x:c>
      <x:c r="O727" s="99" t="str">
        <x:v>Exact source amount found; audited year/current-comparative column recorded. Accounting subtotal tests performed separately.</x:v>
      </x:c>
      <x:c r="P727" s="99" t="str">
        <x:v>ts 20 61,568 64,426
    96,615,233 95,686,588
CURRENT ASSETS
Stores, spare parts and loose tools 21 12,559,774 13,852,005
Stock-in-trade 22 7,693,067 8,873,170
Trade debts 23 855,742  1,193,440
Investments 24 18,384,882 9,270,898
Loans, advances, deposits, prepayments     
    and other receivables 25 160,289 926,047
Income tax receivabl</x:v>
      </x:c>
    </x:row>
    <x:row r="728" ht="82" customHeight="1">
      <x:c r="A728" s="168" t="str">
        <x:v>DGKC|sit|2024</x:v>
      </x:c>
      <x:c r="B728" s="168" t="str">
        <x:v>DGKC</x:v>
      </x:c>
      <x:c r="C728" s="168" t="str">
        <x:v>FY2024</x:v>
      </x:c>
      <x:c r="D728" s="168" t="str">
        <x:v>Stock-in-trade</x:v>
      </x:c>
      <x:c r="E728" s="169" t="n">
        <x:v>7693067</x:v>
      </x:c>
      <x:c r="F728" s="169" t="n">
        <x:v>7693067</x:v>
      </x:c>
      <x:c r="G728" s="169" t="str">
        <x:v>Rs '000</x:v>
      </x:c>
      <x:c r="H728" s="169" t="n">
        <x:f>F728/1000</x:f>
        <x:v>7693.067</x:v>
      </x:c>
      <x:c r="I728" s="169" t="n">
        <x:f>DGKC!G31</x:f>
        <x:v>7693.067</x:v>
      </x:c>
      <x:c r="J728" s="169" t="n">
        <x:f>H728-I728</x:f>
        <x:v>0</x:v>
      </x:c>
      <x:c r="K728" s="168" t="str">
        <x:v>DGAnnual2025.pdf</x:v>
      </x:c>
      <x:c r="L728" s="168" t="n">
        <x:v>154</x:v>
      </x:c>
      <x:c r="M728" s="168" t="str">
        <x:v>Comparative</x:v>
      </x:c>
      <x:c r="N728" s="171" t="str">
        <x:v>Printed amount independently located</x:v>
      </x:c>
      <x:c r="O728" s="171" t="str">
        <x:v>Exact source amount found; audited year/current-comparative column recorded. Accounting subtotal tests performed separately.</x:v>
      </x:c>
      <x:c r="P728" s="171" t="str">
        <x:v>ts 20 61,013 61,568
    98,016,193 96,615,233
CURRENT ASSETS
Stores, spare parts and loose tools 21 12,306,679 12,559,774
Stock-in-trade 22 8,188,678 7,693,067
Trade debts 23 1,493,080 855,742
Short term investments 24 24,005,100 18,384,882
Loans, advances, deposits, prepayments
   and other receivables 25 1,345,673 160,289
Income tax re</x:v>
      </x:c>
    </x:row>
    <x:row r="729" ht="82" customHeight="1">
      <x:c r="A729" s="76" t="str">
        <x:v>DGKC|sit|2025</x:v>
      </x:c>
      <x:c r="B729" s="76" t="str">
        <x:v>DGKC</x:v>
      </x:c>
      <x:c r="C729" s="76" t="str">
        <x:v>FY2025</x:v>
      </x:c>
      <x:c r="D729" s="76" t="str">
        <x:v>Stock-in-trade</x:v>
      </x:c>
      <x:c r="E729" s="170" t="n">
        <x:v>8188678</x:v>
      </x:c>
      <x:c r="F729" s="170" t="n">
        <x:v>8188678</x:v>
      </x:c>
      <x:c r="G729" s="170" t="str">
        <x:v>Rs '000</x:v>
      </x:c>
      <x:c r="H729" s="170" t="n">
        <x:f>F729/1000</x:f>
        <x:v>8188.678</x:v>
      </x:c>
      <x:c r="I729" s="170" t="n">
        <x:f>DGKC!H31</x:f>
        <x:v>8188.678</x:v>
      </x:c>
      <x:c r="J729" s="170" t="n">
        <x:f>H729-I729</x:f>
        <x:v>0</x:v>
      </x:c>
      <x:c r="K729" s="76" t="str">
        <x:v>DGAnnual2025.pdf</x:v>
      </x:c>
      <x:c r="L729" s="76" t="n">
        <x:v>154</x:v>
      </x:c>
      <x:c r="M729" s="76" t="str">
        <x:v>Current year</x:v>
      </x:c>
      <x:c r="N729" s="99" t="str">
        <x:v>Printed amount independently located</x:v>
      </x:c>
      <x:c r="O729" s="99" t="str">
        <x:v>Exact source amount found; audited year/current-comparative column recorded. Accounting subtotal tests performed separately.</x:v>
      </x:c>
      <x:c r="P729" s="99" t="str">
        <x:v>erm deposits 20 61,013 61,568
    98,016,193 96,615,233
CURRENT ASSETS
Stores, spare parts and loose tools 21 12,306,679 12,559,774
Stock-in-trade 22 8,188,678 7,693,067
Trade debts 23 1,493,080 855,742
Short term investments 24 24,005,100 18,384,882
Loans, advances, deposits, prepayments
   and other receivables 25 1,345,673 160,289
Inc</x:v>
      </x:c>
    </x:row>
    <x:row r="730" ht="82" customHeight="1">
      <x:c r="A730" s="168" t="str">
        <x:v>DGKC|debts|2020</x:v>
      </x:c>
      <x:c r="B730" s="168" t="str">
        <x:v>DGKC</x:v>
      </x:c>
      <x:c r="C730" s="168" t="str">
        <x:v>FY2020</x:v>
      </x:c>
      <x:c r="D730" s="168" t="str">
        <x:v>Trade debts</x:v>
      </x:c>
      <x:c r="E730" s="169" t="n">
        <x:v>2286084</x:v>
      </x:c>
      <x:c r="F730" s="169" t="n">
        <x:v>2286084</x:v>
      </x:c>
      <x:c r="G730" s="169" t="str">
        <x:v>Rs '000</x:v>
      </x:c>
      <x:c r="H730" s="169" t="n">
        <x:f>F730/1000</x:f>
        <x:v>2286.084</x:v>
      </x:c>
      <x:c r="I730" s="169" t="n">
        <x:f>DGKC!C32</x:f>
        <x:v>2286.084</x:v>
      </x:c>
      <x:c r="J730" s="169" t="n">
        <x:f>H730-I730</x:f>
        <x:v>0</x:v>
      </x:c>
      <x:c r="K730" s="168" t="str">
        <x:v>DG_Annual_Report_2021.pdf</x:v>
      </x:c>
      <x:c r="L730" s="168" t="n">
        <x:v>106</x:v>
      </x:c>
      <x:c r="M730" s="168" t="str">
        <x:v>Comparative</x:v>
      </x:c>
      <x:c r="N730" s="171" t="str">
        <x:v>Printed amount independently located</x:v>
      </x:c>
      <x:c r="O730" s="171" t="str">
        <x:v>Exact source amount found; audited year/current-comparative column recorded. Accounting subtotal tests performed separately.</x:v>
      </x:c>
      <x:c r="P730" s="171" t="str">
        <x:v>95,445,107
CURRENT ASSETS
Stores, spare parts and loose tools 20 12,879,348 8,237,990
Stock-in-trade 21 2,728,589 4,352,995
Trade debts 22 1,676,245 2,286,084
Investments 23 12,946,786 13,126,388
Loans, advances, deposits, prepayments 
   and other receivables 24 488,566 624,493
Loan to related party 25 765,000 765,000
Income tax receiv</x:v>
      </x:c>
    </x:row>
    <x:row r="731" ht="82" customHeight="1">
      <x:c r="A731" s="76" t="str">
        <x:v>DGKC|debts|2021</x:v>
      </x:c>
      <x:c r="B731" s="76" t="str">
        <x:v>DGKC</x:v>
      </x:c>
      <x:c r="C731" s="76" t="str">
        <x:v>FY2021</x:v>
      </x:c>
      <x:c r="D731" s="76" t="str">
        <x:v>Trade debts</x:v>
      </x:c>
      <x:c r="E731" s="170" t="n">
        <x:v>1676245</x:v>
      </x:c>
      <x:c r="F731" s="170" t="n">
        <x:v>1676245</x:v>
      </x:c>
      <x:c r="G731" s="170" t="str">
        <x:v>Rs '000</x:v>
      </x:c>
      <x:c r="H731" s="170" t="n">
        <x:f>F731/1000</x:f>
        <x:v>1676.245</x:v>
      </x:c>
      <x:c r="I731" s="170" t="n">
        <x:f>DGKC!D32</x:f>
        <x:v>1676.245</x:v>
      </x:c>
      <x:c r="J731" s="170" t="n">
        <x:f>H731-I731</x:f>
        <x:v>0</x:v>
      </x:c>
      <x:c r="K731" s="76" t="str">
        <x:v>DG_Annual_Report_2022.pdf</x:v>
      </x:c>
      <x:c r="L731" s="76" t="n">
        <x:v>126</x:v>
      </x:c>
      <x:c r="M731" s="76" t="str">
        <x:v>Comparative</x:v>
      </x:c>
      <x:c r="N731" s="99" t="str">
        <x:v>Printed amount independently located</x:v>
      </x:c>
      <x:c r="O731" s="99" t="str">
        <x:v>Exact source amount found; audited year/current-comparative column recorded. Accounting subtotal tests performed separately.</x:v>
      </x:c>
      <x:c r="P731" s="99" t="str">
        <x:v>01,043,433
CURRENT ASSETS
Stores, spare parts and loose tools 21 16,813,883 12,879,348
Stock-in-trade 22 5,981,515 2,728,589
Trade debts 23 1,467,862 1,676,245
Investments 24 9,962,421 12,946,786
Loans, advances, deposits, prepayments
   and other receivables 25 1,430,613 488,566
Loan to related party 26 - 765,000
Income tax receivable</x:v>
      </x:c>
    </x:row>
    <x:row r="732" ht="82" customHeight="1">
      <x:c r="A732" s="168" t="str">
        <x:v>DGKC|debts|2022</x:v>
      </x:c>
      <x:c r="B732" s="168" t="str">
        <x:v>DGKC</x:v>
      </x:c>
      <x:c r="C732" s="168" t="str">
        <x:v>FY2022</x:v>
      </x:c>
      <x:c r="D732" s="168" t="str">
        <x:v>Trade debts</x:v>
      </x:c>
      <x:c r="E732" s="169" t="n">
        <x:v>1467862</x:v>
      </x:c>
      <x:c r="F732" s="169" t="n">
        <x:v>1467862</x:v>
      </x:c>
      <x:c r="G732" s="169" t="str">
        <x:v>Rs '000</x:v>
      </x:c>
      <x:c r="H732" s="169" t="n">
        <x:f>F732/1000</x:f>
        <x:v>1467.862</x:v>
      </x:c>
      <x:c r="I732" s="169" t="n">
        <x:f>DGKC!E32</x:f>
        <x:v>1467.862</x:v>
      </x:c>
      <x:c r="J732" s="169" t="n">
        <x:f>H732-I732</x:f>
        <x:v>0</x:v>
      </x:c>
      <x:c r="K732" s="168" t="str">
        <x:v>DGAnnual2023.pdf</x:v>
      </x:c>
      <x:c r="L732" s="168" t="n">
        <x:v>152</x:v>
      </x:c>
      <x:c r="M732" s="168" t="str">
        <x:v>Comparative</x:v>
      </x:c>
      <x:c r="N732" s="171" t="str">
        <x:v>Printed amount independently located</x:v>
      </x:c>
      <x:c r="O732" s="171" t="str">
        <x:v>Exact source amount found; audited year/current-comparative column recorded. Accounting subtotal tests performed separately.</x:v>
      </x:c>
      <x:c r="P732" s="171" t="str">
        <x:v>95,748,850
CURRENT ASSETS
Stores, spare parts and loose tools 21 13,852,005 16,813,883
Stock-in-trade 22 8,873,170 5,981,515
Trade debts 23 1,193,440 1,467,862
Investments 24 9,270,898 9,962,421
Loans, advances, deposits, prepayments 
   and other receivables 25 926,047 1,430,613
Income tax receivable   4,236,134 4,746,066
Cash and bank</x:v>
      </x:c>
    </x:row>
    <x:row r="733" ht="82" customHeight="1">
      <x:c r="A733" s="76" t="str">
        <x:v>DGKC|debts|2023</x:v>
      </x:c>
      <x:c r="B733" s="76" t="str">
        <x:v>DGKC</x:v>
      </x:c>
      <x:c r="C733" s="76" t="str">
        <x:v>FY2023</x:v>
      </x:c>
      <x:c r="D733" s="76" t="str">
        <x:v>Trade debts</x:v>
      </x:c>
      <x:c r="E733" s="170" t="n">
        <x:v>1193440</x:v>
      </x:c>
      <x:c r="F733" s="170" t="n">
        <x:v>1193440</x:v>
      </x:c>
      <x:c r="G733" s="170" t="str">
        <x:v>Rs '000</x:v>
      </x:c>
      <x:c r="H733" s="170" t="n">
        <x:f>F733/1000</x:f>
        <x:v>1193.44</x:v>
      </x:c>
      <x:c r="I733" s="170" t="n">
        <x:f>DGKC!F32</x:f>
        <x:v>1193.44</x:v>
      </x:c>
      <x:c r="J733" s="170" t="n">
        <x:f>H733-I733</x:f>
        <x:v>0</x:v>
      </x:c>
      <x:c r="K733" s="76" t="str">
        <x:v>DGAnnual2024.pdf</x:v>
      </x:c>
      <x:c r="L733" s="76" t="n">
        <x:v>152</x:v>
      </x:c>
      <x:c r="M733" s="76" t="str">
        <x:v>Comparative</x:v>
      </x:c>
      <x:c r="N733" s="99" t="str">
        <x:v>Printed amount independently located</x:v>
      </x:c>
      <x:c r="O733" s="99" t="str">
        <x:v>Exact source amount found; audited year/current-comparative column recorded. Accounting subtotal tests performed separately.</x:v>
      </x:c>
      <x:c r="P733" s="99" t="str">
        <x:v>95,686,588
CURRENT ASSETS
Stores, spare parts and loose tools 21 12,559,774 13,852,005
Stock-in-trade 22 7,693,067 8,873,170
Trade debts 23 855,742  1,193,440
Investments 24 18,384,882 9,270,898
Loans, advances, deposits, prepayments     
    and other receivables 25 160,289 926,047
Income tax receivable  1,384,599 4,236,134
Cash and ba</x:v>
      </x:c>
    </x:row>
    <x:row r="734" ht="82" customHeight="1">
      <x:c r="A734" s="168" t="str">
        <x:v>DGKC|debts|2024</x:v>
      </x:c>
      <x:c r="B734" s="168" t="str">
        <x:v>DGKC</x:v>
      </x:c>
      <x:c r="C734" s="168" t="str">
        <x:v>FY2024</x:v>
      </x:c>
      <x:c r="D734" s="168" t="str">
        <x:v>Trade debts</x:v>
      </x:c>
      <x:c r="E734" s="169" t="n">
        <x:v>855742</x:v>
      </x:c>
      <x:c r="F734" s="169" t="n">
        <x:v>855742</x:v>
      </x:c>
      <x:c r="G734" s="169" t="str">
        <x:v>Rs '000</x:v>
      </x:c>
      <x:c r="H734" s="169" t="n">
        <x:f>F734/1000</x:f>
        <x:v>855.742</x:v>
      </x:c>
      <x:c r="I734" s="169" t="n">
        <x:f>DGKC!G32</x:f>
        <x:v>855.742</x:v>
      </x:c>
      <x:c r="J734" s="169" t="n">
        <x:f>H734-I734</x:f>
        <x:v>0</x:v>
      </x:c>
      <x:c r="K734" s="168" t="str">
        <x:v>DGAnnual2025.pdf</x:v>
      </x:c>
      <x:c r="L734" s="168" t="n">
        <x:v>154</x:v>
      </x:c>
      <x:c r="M734" s="168" t="str">
        <x:v>Comparative</x:v>
      </x:c>
      <x:c r="N734" s="171" t="str">
        <x:v>Printed amount independently located</x:v>
      </x:c>
      <x:c r="O734" s="171" t="str">
        <x:v>Exact source amount found; audited year/current-comparative column recorded. Accounting subtotal tests performed separately.</x:v>
      </x:c>
      <x:c r="P734" s="171" t="str">
        <x:v>96,615,233
CURRENT ASSETS
Stores, spare parts and loose tools 21 12,306,679 12,559,774
Stock-in-trade 22 8,188,678 7,693,067
Trade debts 23 1,493,080 855,742
Short term investments 24 24,005,100 18,384,882
Loans, advances, deposits, prepayments
   and other receivables 25 1,345,673 160,289
Income tax receivable  - 1,384,599
Cash and ba</x:v>
      </x:c>
    </x:row>
    <x:row r="735" ht="82" customHeight="1">
      <x:c r="A735" s="76" t="str">
        <x:v>DGKC|debts|2025</x:v>
      </x:c>
      <x:c r="B735" s="76" t="str">
        <x:v>DGKC</x:v>
      </x:c>
      <x:c r="C735" s="76" t="str">
        <x:v>FY2025</x:v>
      </x:c>
      <x:c r="D735" s="76" t="str">
        <x:v>Trade debts</x:v>
      </x:c>
      <x:c r="E735" s="170" t="n">
        <x:v>1493080</x:v>
      </x:c>
      <x:c r="F735" s="170" t="n">
        <x:v>1493080</x:v>
      </x:c>
      <x:c r="G735" s="170" t="str">
        <x:v>Rs '000</x:v>
      </x:c>
      <x:c r="H735" s="170" t="n">
        <x:f>F735/1000</x:f>
        <x:v>1493.08</x:v>
      </x:c>
      <x:c r="I735" s="170" t="n">
        <x:f>DGKC!H32</x:f>
        <x:v>1493.08</x:v>
      </x:c>
      <x:c r="J735" s="170" t="n">
        <x:f>H735-I735</x:f>
        <x:v>0</x:v>
      </x:c>
      <x:c r="K735" s="76" t="str">
        <x:v>DGAnnual2025.pdf</x:v>
      </x:c>
      <x:c r="L735" s="76" t="n">
        <x:v>154</x:v>
      </x:c>
      <x:c r="M735" s="76" t="str">
        <x:v>Current year</x:v>
      </x:c>
      <x:c r="N735" s="99" t="str">
        <x:v>Printed amount independently located</x:v>
      </x:c>
      <x:c r="O735" s="99" t="str">
        <x:v>Exact source amount found; audited year/current-comparative column recorded. Accounting subtotal tests performed separately.</x:v>
      </x:c>
      <x:c r="P735" s="99" t="str">
        <x:v>8,016,193 96,615,233
CURRENT ASSETS
Stores, spare parts and loose tools 21 12,306,679 12,559,774
Stock-in-trade 22 8,188,678 7,693,067
Trade debts 23 1,493,080 855,742
Short term investments 24 24,005,100 18,384,882
Loans, advances, deposits, prepayments
   and other receivables 25 1,345,673 160,289
Income tax receivable  - 1,384,599
Cas</x:v>
      </x:c>
    </x:row>
    <x:row r="736" ht="82" customHeight="1">
      <x:c r="A736" s="168" t="str">
        <x:v>DGKC|st_inv|2020</x:v>
      </x:c>
      <x:c r="B736" s="168" t="str">
        <x:v>DGKC</x:v>
      </x:c>
      <x:c r="C736" s="168" t="str">
        <x:v>FY2020</x:v>
      </x:c>
      <x:c r="D736" s="168" t="str">
        <x:v>Short-term investments</x:v>
      </x:c>
      <x:c r="E736" s="169" t="n">
        <x:v>13126388</x:v>
      </x:c>
      <x:c r="F736" s="169" t="n">
        <x:v>13126388</x:v>
      </x:c>
      <x:c r="G736" s="169" t="str">
        <x:v>Rs '000</x:v>
      </x:c>
      <x:c r="H736" s="169" t="n">
        <x:f>F736/1000</x:f>
        <x:v>13126.388</x:v>
      </x:c>
      <x:c r="I736" s="169" t="n">
        <x:f>DGKC!C33</x:f>
        <x:v>13126.388</x:v>
      </x:c>
      <x:c r="J736" s="169" t="n">
        <x:f>H736-I736</x:f>
        <x:v>0</x:v>
      </x:c>
      <x:c r="K736" s="168" t="str">
        <x:v>DG_Annual_Report_2021.pdf</x:v>
      </x:c>
      <x:c r="L736" s="168" t="n">
        <x:v>106</x:v>
      </x:c>
      <x:c r="M736" s="168" t="str">
        <x:v>Comparative</x:v>
      </x:c>
      <x:c r="N736" s="171" t="str">
        <x:v>Printed amount independently located</x:v>
      </x:c>
      <x:c r="O736" s="171" t="str">
        <x:v>Exact source amount found; audited year/current-comparative column recorded. Accounting subtotal tests performed separately.</x:v>
      </x:c>
      <x:c r="P736" s="171" t="str">
        <x:v>pare parts and loose tools 20 12,879,348 8,237,990
Stock-in-trade 21 2,728,589 4,352,995
Trade debts 22 1,676,245 2,286,084
Investments 23 12,946,786 13,126,388
Loans, advances, deposits, prepayments 
   and other receivables 24 488,566 624,493
Loan to related party 25 765,000 765,000
Income tax receivable  4,560,357 4,365,643
Cash and ba</x:v>
      </x:c>
    </x:row>
    <x:row r="737" ht="82" customHeight="1">
      <x:c r="A737" s="76" t="str">
        <x:v>DGKC|st_inv|2021</x:v>
      </x:c>
      <x:c r="B737" s="76" t="str">
        <x:v>DGKC</x:v>
      </x:c>
      <x:c r="C737" s="76" t="str">
        <x:v>FY2021</x:v>
      </x:c>
      <x:c r="D737" s="76" t="str">
        <x:v>Short-term investments</x:v>
      </x:c>
      <x:c r="E737" s="170" t="n">
        <x:v>12946786</x:v>
      </x:c>
      <x:c r="F737" s="170" t="n">
        <x:v>12946786</x:v>
      </x:c>
      <x:c r="G737" s="170" t="str">
        <x:v>Rs '000</x:v>
      </x:c>
      <x:c r="H737" s="170" t="n">
        <x:f>F737/1000</x:f>
        <x:v>12946.786</x:v>
      </x:c>
      <x:c r="I737" s="170" t="n">
        <x:f>DGKC!D33</x:f>
        <x:v>12946.786</x:v>
      </x:c>
      <x:c r="J737" s="170" t="n">
        <x:f>H737-I737</x:f>
        <x:v>0</x:v>
      </x:c>
      <x:c r="K737" s="76" t="str">
        <x:v>DG_Annual_Report_2022.pdf</x:v>
      </x:c>
      <x:c r="L737" s="76" t="n">
        <x:v>126</x:v>
      </x:c>
      <x:c r="M737" s="76" t="str">
        <x:v>Comparative</x:v>
      </x:c>
      <x:c r="N737" s="99" t="str">
        <x:v>Printed amount independently located</x:v>
      </x:c>
      <x:c r="O737" s="99" t="str">
        <x:v>Exact source amount found; audited year/current-comparative column recorded. Accounting subtotal tests performed separately.</x:v>
      </x:c>
      <x:c r="P737" s="99" t="str">
        <x:v>pare parts and loose tools 21 16,813,883 12,879,348
Stock-in-trade 22 5,981,515 2,728,589
Trade debts 23 1,467,862 1,676,245
Investments 24 9,962,421 12,946,786
Loans, advances, deposits, prepayments
   and other receivables 25 1,430,613 488,566
Loan to related party 26 - 765,000
Income tax receivable   4,746,066 4,560,357
Cash and bank b</x:v>
      </x:c>
    </x:row>
    <x:row r="738" ht="82" customHeight="1">
      <x:c r="A738" s="168" t="str">
        <x:v>DGKC|st_inv|2022</x:v>
      </x:c>
      <x:c r="B738" s="168" t="str">
        <x:v>DGKC</x:v>
      </x:c>
      <x:c r="C738" s="168" t="str">
        <x:v>FY2022</x:v>
      </x:c>
      <x:c r="D738" s="168" t="str">
        <x:v>Short-term investments</x:v>
      </x:c>
      <x:c r="E738" s="169" t="n">
        <x:v>9962421</x:v>
      </x:c>
      <x:c r="F738" s="169" t="n">
        <x:v>9962421</x:v>
      </x:c>
      <x:c r="G738" s="169" t="str">
        <x:v>Rs '000</x:v>
      </x:c>
      <x:c r="H738" s="169" t="n">
        <x:f>F738/1000</x:f>
        <x:v>9962.421</x:v>
      </x:c>
      <x:c r="I738" s="169" t="n">
        <x:f>DGKC!E33</x:f>
        <x:v>9962.421</x:v>
      </x:c>
      <x:c r="J738" s="169" t="n">
        <x:f>H738-I738</x:f>
        <x:v>0</x:v>
      </x:c>
      <x:c r="K738" s="168" t="str">
        <x:v>DGAnnual2023.pdf</x:v>
      </x:c>
      <x:c r="L738" s="168" t="n">
        <x:v>152</x:v>
      </x:c>
      <x:c r="M738" s="168" t="str">
        <x:v>Comparative</x:v>
      </x:c>
      <x:c r="N738" s="171" t="str">
        <x:v>Printed amount independently located</x:v>
      </x:c>
      <x:c r="O738" s="171" t="str">
        <x:v>Exact source amount found; audited year/current-comparative column recorded. Accounting subtotal tests performed separately.</x:v>
      </x:c>
      <x:c r="P738" s="171" t="str">
        <x:v>pare parts and loose tools 21 13,852,005 16,813,883
Stock-in-trade 22 8,873,170 5,981,515
Trade debts 23 1,193,440 1,467,862
Investments 24 9,270,898 9,962,421
Loans, advances, deposits, prepayments 
   and other receivables 25 926,047 1,430,613
Income tax receivable   4,236,134 4,746,066
Cash and bank balances 26 674,972 410,803
    39,</x:v>
      </x:c>
    </x:row>
    <x:row r="739" ht="82" customHeight="1">
      <x:c r="A739" s="76" t="str">
        <x:v>DGKC|st_inv|2023</x:v>
      </x:c>
      <x:c r="B739" s="76" t="str">
        <x:v>DGKC</x:v>
      </x:c>
      <x:c r="C739" s="76" t="str">
        <x:v>FY2023</x:v>
      </x:c>
      <x:c r="D739" s="76" t="str">
        <x:v>Short-term investments</x:v>
      </x:c>
      <x:c r="E739" s="170" t="n">
        <x:v>9270898</x:v>
      </x:c>
      <x:c r="F739" s="170" t="n">
        <x:v>9270898</x:v>
      </x:c>
      <x:c r="G739" s="170" t="str">
        <x:v>Rs '000</x:v>
      </x:c>
      <x:c r="H739" s="170" t="n">
        <x:f>F739/1000</x:f>
        <x:v>9270.898</x:v>
      </x:c>
      <x:c r="I739" s="170" t="n">
        <x:f>DGKC!F33</x:f>
        <x:v>9270.898</x:v>
      </x:c>
      <x:c r="J739" s="170" t="n">
        <x:f>H739-I739</x:f>
        <x:v>0</x:v>
      </x:c>
      <x:c r="K739" s="76" t="str">
        <x:v>DGAnnual2024.pdf</x:v>
      </x:c>
      <x:c r="L739" s="76" t="n">
        <x:v>152</x:v>
      </x:c>
      <x:c r="M739" s="76" t="str">
        <x:v>Comparative</x:v>
      </x:c>
      <x:c r="N739" s="99" t="str">
        <x:v>Printed amount independently located</x:v>
      </x:c>
      <x:c r="O739" s="99" t="str">
        <x:v>Exact source amount found; audited year/current-comparative column recorded. Accounting subtotal tests performed separately.</x:v>
      </x:c>
      <x:c r="P739" s="99" t="str">
        <x:v>pare parts and loose tools 21 12,559,774 13,852,005
Stock-in-trade 22 7,693,067 8,873,170
Trade debts 23 855,742  1,193,440
Investments 24 18,384,882 9,270,898
Loans, advances, deposits, prepayments     
    and other receivables 25 160,289 926,047
Income tax receivable  1,384,599 4,236,134
Cash and bank balances 26 732,168 674,972
    4</x:v>
      </x:c>
    </x:row>
    <x:row r="740" ht="82" customHeight="1">
      <x:c r="A740" s="168" t="str">
        <x:v>DGKC|st_inv|2024</x:v>
      </x:c>
      <x:c r="B740" s="168" t="str">
        <x:v>DGKC</x:v>
      </x:c>
      <x:c r="C740" s="168" t="str">
        <x:v>FY2024</x:v>
      </x:c>
      <x:c r="D740" s="168" t="str">
        <x:v>Short-term investments</x:v>
      </x:c>
      <x:c r="E740" s="169" t="n">
        <x:v>18384882</x:v>
      </x:c>
      <x:c r="F740" s="169" t="n">
        <x:v>18384882</x:v>
      </x:c>
      <x:c r="G740" s="169" t="str">
        <x:v>Rs '000</x:v>
      </x:c>
      <x:c r="H740" s="169" t="n">
        <x:f>F740/1000</x:f>
        <x:v>18384.882</x:v>
      </x:c>
      <x:c r="I740" s="169" t="n">
        <x:f>DGKC!G33</x:f>
        <x:v>18384.882</x:v>
      </x:c>
      <x:c r="J740" s="169" t="n">
        <x:f>H740-I740</x:f>
        <x:v>0</x:v>
      </x:c>
      <x:c r="K740" s="168" t="str">
        <x:v>DGAnnual2025.pdf</x:v>
      </x:c>
      <x:c r="L740" s="168" t="n">
        <x:v>154</x:v>
      </x:c>
      <x:c r="M740" s="168" t="str">
        <x:v>Comparative</x:v>
      </x:c>
      <x:c r="N740" s="171" t="str">
        <x:v>Printed amount independently located</x:v>
      </x:c>
      <x:c r="O740" s="171" t="str">
        <x:v>Exact source amount found; audited year/current-comparative column recorded. Accounting subtotal tests performed separately.</x:v>
      </x:c>
      <x:c r="P740" s="171" t="str">
        <x:v>and loose tools 21 12,306,679 12,559,774
Stock-in-trade 22 8,188,678 7,693,067
Trade debts 23 1,493,080 855,742
Short term investments 24 24,005,100 18,384,882
Loans, advances, deposits, prepayments
   and other receivables 25 1,345,673 160,289
Income tax receivable  - 1,384,599
Cash and bank balances 26 568,832 732,168
    47,908,042 41</x:v>
      </x:c>
    </x:row>
    <x:row r="741" ht="82" customHeight="1">
      <x:c r="A741" s="76" t="str">
        <x:v>DGKC|st_inv|2025</x:v>
      </x:c>
      <x:c r="B741" s="76" t="str">
        <x:v>DGKC</x:v>
      </x:c>
      <x:c r="C741" s="76" t="str">
        <x:v>FY2025</x:v>
      </x:c>
      <x:c r="D741" s="76" t="str">
        <x:v>Short-term investments</x:v>
      </x:c>
      <x:c r="E741" s="170" t="n">
        <x:v>24005100</x:v>
      </x:c>
      <x:c r="F741" s="170" t="n">
        <x:v>24005100</x:v>
      </x:c>
      <x:c r="G741" s="170" t="str">
        <x:v>Rs '000</x:v>
      </x:c>
      <x:c r="H741" s="170" t="n">
        <x:f>F741/1000</x:f>
        <x:v>24005.1</x:v>
      </x:c>
      <x:c r="I741" s="170" t="n">
        <x:f>DGKC!H33</x:f>
        <x:v>24005.1</x:v>
      </x:c>
      <x:c r="J741" s="170" t="n">
        <x:f>H741-I741</x:f>
        <x:v>0</x:v>
      </x:c>
      <x:c r="K741" s="76" t="str">
        <x:v>DGAnnual2025.pdf</x:v>
      </x:c>
      <x:c r="L741" s="76" t="n">
        <x:v>154</x:v>
      </x:c>
      <x:c r="M741" s="76" t="str">
        <x:v>Current year</x:v>
      </x:c>
      <x:c r="N741" s="99" t="str">
        <x:v>Printed amount independently located</x:v>
      </x:c>
      <x:c r="O741" s="99" t="str">
        <x:v>Exact source amount found; audited year/current-comparative column recorded. Accounting subtotal tests performed separately.</x:v>
      </x:c>
      <x:c r="P741" s="99" t="str">
        <x:v>spare parts and loose tools 21 12,306,679 12,559,774
Stock-in-trade 22 8,188,678 7,693,067
Trade debts 23 1,493,080 855,742
Short term investments 24 24,005,100 18,384,882
Loans, advances, deposits, prepayments
   and other receivables 25 1,345,673 160,289
Income tax receivable  - 1,384,599
Cash and bank balances 26 568,832 732,168
    47</x:v>
      </x:c>
    </x:row>
    <x:row r="742" ht="82" customHeight="1">
      <x:c r="A742" s="168" t="str">
        <x:v>DGKC|cash|2020</x:v>
      </x:c>
      <x:c r="B742" s="168" t="str">
        <x:v>DGKC</x:v>
      </x:c>
      <x:c r="C742" s="168" t="str">
        <x:v>FY2020</x:v>
      </x:c>
      <x:c r="D742" s="168" t="str">
        <x:v>Cash and bank balances</x:v>
      </x:c>
      <x:c r="E742" s="169" t="n">
        <x:v>347834</x:v>
      </x:c>
      <x:c r="F742" s="169" t="n">
        <x:v>347834</x:v>
      </x:c>
      <x:c r="G742" s="169" t="str">
        <x:v>Rs '000</x:v>
      </x:c>
      <x:c r="H742" s="169" t="n">
        <x:f>F742/1000</x:f>
        <x:v>347.834</x:v>
      </x:c>
      <x:c r="I742" s="169" t="n">
        <x:f>DGKC!C34</x:f>
        <x:v>347.834</x:v>
      </x:c>
      <x:c r="J742" s="169" t="n">
        <x:f>H742-I742</x:f>
        <x:v>0</x:v>
      </x:c>
      <x:c r="K742" s="168" t="str">
        <x:v>DG_Annual_Report_2021.pdf</x:v>
      </x:c>
      <x:c r="L742" s="168" t="n">
        <x:v>106</x:v>
      </x:c>
      <x:c r="M742" s="168" t="str">
        <x:v>Comparative</x:v>
      </x:c>
      <x:c r="N742" s="171" t="str">
        <x:v>Printed amount independently located</x:v>
      </x:c>
      <x:c r="O742" s="171" t="str">
        <x:v>Exact source amount found; audited year/current-comparative column recorded. Accounting subtotal tests performed separately.</x:v>
      </x:c>
      <x:c r="P742" s="171" t="str">
        <x:v>receivables 24 488,566 624,493
Loan to related party 25 765,000 765,000
Income tax receivable  4,560,357 4,365,643
Cash and bank balances 26 806,373 347,834
    36,851,264 34,106,427
    137,894,697 129,551,534
AS AT JUNE 30, 2021
DirectorChief Financial Officer  
 105ANNUA L REPORT 2021  DGKC</x:v>
      </x:c>
    </x:row>
    <x:row r="743" ht="82" customHeight="1">
      <x:c r="A743" s="76" t="str">
        <x:v>DGKC|cash|2021</x:v>
      </x:c>
      <x:c r="B743" s="76" t="str">
        <x:v>DGKC</x:v>
      </x:c>
      <x:c r="C743" s="76" t="str">
        <x:v>FY2021</x:v>
      </x:c>
      <x:c r="D743" s="76" t="str">
        <x:v>Cash and bank balances</x:v>
      </x:c>
      <x:c r="E743" s="170" t="n">
        <x:v>806373</x:v>
      </x:c>
      <x:c r="F743" s="170" t="n">
        <x:v>806373</x:v>
      </x:c>
      <x:c r="G743" s="170" t="str">
        <x:v>Rs '000</x:v>
      </x:c>
      <x:c r="H743" s="170" t="n">
        <x:f>F743/1000</x:f>
        <x:v>806.373</x:v>
      </x:c>
      <x:c r="I743" s="170" t="n">
        <x:f>DGKC!D34</x:f>
        <x:v>806.373</x:v>
      </x:c>
      <x:c r="J743" s="170" t="n">
        <x:f>H743-I743</x:f>
        <x:v>0</x:v>
      </x:c>
      <x:c r="K743" s="76" t="str">
        <x:v>DG_Annual_Report_2022.pdf</x:v>
      </x:c>
      <x:c r="L743" s="76" t="n">
        <x:v>126</x:v>
      </x:c>
      <x:c r="M743" s="76" t="str">
        <x:v>Comparative</x:v>
      </x:c>
      <x:c r="N743" s="99" t="str">
        <x:v>Printed amount independently located</x:v>
      </x:c>
      <x:c r="O743" s="99" t="str">
        <x:v>Exact source amount found; audited year/current-comparative column recorded. Accounting subtotal tests performed separately.</x:v>
      </x:c>
      <x:c r="P743" s="99" t="str">
        <x:v>her receivables 25 1,430,613 488,566
Loan to related party 26 - 765,000
Income tax receivable   4,746,066 4,560,357
Cash and bank balances 27 410,803 806,373
    40,813,163 36,851,264
     136,562,013 137,894,697
AS AT JUNE 30, 2022
DirectorChief Financial Officer  
 125
ANNUA L REPORT 2022  DGKC</x:v>
      </x:c>
    </x:row>
    <x:row r="744" ht="82" customHeight="1">
      <x:c r="A744" s="168" t="str">
        <x:v>DGKC|cash|2022</x:v>
      </x:c>
      <x:c r="B744" s="168" t="str">
        <x:v>DGKC</x:v>
      </x:c>
      <x:c r="C744" s="168" t="str">
        <x:v>FY2022</x:v>
      </x:c>
      <x:c r="D744" s="168" t="str">
        <x:v>Cash and bank balances</x:v>
      </x:c>
      <x:c r="E744" s="169" t="n">
        <x:v>410803</x:v>
      </x:c>
      <x:c r="F744" s="169" t="n">
        <x:v>410803</x:v>
      </x:c>
      <x:c r="G744" s="169" t="str">
        <x:v>Rs '000</x:v>
      </x:c>
      <x:c r="H744" s="169" t="n">
        <x:f>F744/1000</x:f>
        <x:v>410.803</x:v>
      </x:c>
      <x:c r="I744" s="169" t="n">
        <x:f>DGKC!E34</x:f>
        <x:v>410.803</x:v>
      </x:c>
      <x:c r="J744" s="169" t="n">
        <x:f>H744-I744</x:f>
        <x:v>0</x:v>
      </x:c>
      <x:c r="K744" s="168" t="str">
        <x:v>DGAnnual2023.pdf</x:v>
      </x:c>
      <x:c r="L744" s="168" t="n">
        <x:v>152</x:v>
      </x:c>
      <x:c r="M744" s="168" t="str">
        <x:v>Comparative</x:v>
      </x:c>
      <x:c r="N744" s="171" t="str">
        <x:v>Printed amount independently located</x:v>
      </x:c>
      <x:c r="O744" s="171" t="str">
        <x:v>Exact source amount found; audited year/current-comparative column recorded. Accounting subtotal tests performed separately.</x:v>
      </x:c>
      <x:c r="P744" s="171" t="str">
        <x:v>s, deposits, prepayments 
   and other receivables 25 926,047 1,430,613
Income tax receivable   4,236,134 4,746,066
Cash and bank balances 26 674,972 410,803
    39,026,666 40,813,163
      134,713,254 136,562,013
AS AT JUNE 30, 2023
DirectorChief Financial Officer  
2023
Annual Report
DGKC
151</x:v>
      </x:c>
    </x:row>
    <x:row r="745" ht="82" customHeight="1">
      <x:c r="A745" s="76" t="str">
        <x:v>DGKC|cash|2023</x:v>
      </x:c>
      <x:c r="B745" s="76" t="str">
        <x:v>DGKC</x:v>
      </x:c>
      <x:c r="C745" s="76" t="str">
        <x:v>FY2023</x:v>
      </x:c>
      <x:c r="D745" s="76" t="str">
        <x:v>Cash and bank balances</x:v>
      </x:c>
      <x:c r="E745" s="170" t="n">
        <x:v>674972</x:v>
      </x:c>
      <x:c r="F745" s="170" t="n">
        <x:v>674972</x:v>
      </x:c>
      <x:c r="G745" s="170" t="str">
        <x:v>Rs '000</x:v>
      </x:c>
      <x:c r="H745" s="170" t="n">
        <x:f>F745/1000</x:f>
        <x:v>674.972</x:v>
      </x:c>
      <x:c r="I745" s="170" t="n">
        <x:f>DGKC!F34</x:f>
        <x:v>674.972</x:v>
      </x:c>
      <x:c r="J745" s="170" t="n">
        <x:f>H745-I745</x:f>
        <x:v>0</x:v>
      </x:c>
      <x:c r="K745" s="76" t="str">
        <x:v>DGAnnual2024.pdf</x:v>
      </x:c>
      <x:c r="L745" s="76" t="n">
        <x:v>152</x:v>
      </x:c>
      <x:c r="M745" s="76" t="str">
        <x:v>Comparative</x:v>
      </x:c>
      <x:c r="N745" s="99" t="str">
        <x:v>Printed amount independently located</x:v>
      </x:c>
      <x:c r="O745" s="99" t="str">
        <x:v>Exact source amount found; audited year/current-comparative column recorded. Accounting subtotal tests performed separately.</x:v>
      </x:c>
      <x:c r="P745" s="99" t="str">
        <x:v>deposits, prepayments     
    and other receivables 25 160,289 926,047
Income tax receivable  1,384,599 4,236,134
Cash and bank balances 26 732,168 674,972
    41,770,521 39,026,666
    138,385,754 134,713,254
As At June 30, 2024
DirectorChief Financial Officer</x:v>
      </x:c>
    </x:row>
    <x:row r="746" ht="82" customHeight="1">
      <x:c r="A746" s="168" t="str">
        <x:v>DGKC|cash|2024</x:v>
      </x:c>
      <x:c r="B746" s="168" t="str">
        <x:v>DGKC</x:v>
      </x:c>
      <x:c r="C746" s="168" t="str">
        <x:v>FY2024</x:v>
      </x:c>
      <x:c r="D746" s="168" t="str">
        <x:v>Cash and bank balances</x:v>
      </x:c>
      <x:c r="E746" s="169" t="n">
        <x:v>732168</x:v>
      </x:c>
      <x:c r="F746" s="169" t="n">
        <x:v>732168</x:v>
      </x:c>
      <x:c r="G746" s="169" t="str">
        <x:v>Rs '000</x:v>
      </x:c>
      <x:c r="H746" s="169" t="n">
        <x:f>F746/1000</x:f>
        <x:v>732.168</x:v>
      </x:c>
      <x:c r="I746" s="169" t="n">
        <x:f>DGKC!G34</x:f>
        <x:v>732.168</x:v>
      </x:c>
      <x:c r="J746" s="169" t="n">
        <x:f>H746-I746</x:f>
        <x:v>0</x:v>
      </x:c>
      <x:c r="K746" s="168" t="str">
        <x:v>DGAnnual2025.pdf</x:v>
      </x:c>
      <x:c r="L746" s="168" t="n">
        <x:v>154</x:v>
      </x:c>
      <x:c r="M746" s="168" t="str">
        <x:v>Comparative</x:v>
      </x:c>
      <x:c r="N746" s="171" t="str">
        <x:v>Printed amount independently located</x:v>
      </x:c>
      <x:c r="O746" s="171" t="str">
        <x:v>Exact source amount found; audited year/current-comparative column recorded. Accounting subtotal tests performed separately.</x:v>
      </x:c>
      <x:c r="P746" s="171" t="str">
        <x:v>s, advances, deposits, prepayments
   and other receivables 25 1,345,673 160,289
Income tax receivable  - 1,384,599
Cash and bank balances 26 568,832 732,168
    47,908,042 41,770,521
     145,924,235 138,385,754
As At June 30, 2025
DirectorChief Financial Officer  
153
DGKC Annual Report 2025</x:v>
      </x:c>
    </x:row>
    <x:row r="747" ht="82" customHeight="1">
      <x:c r="A747" s="76" t="str">
        <x:v>DGKC|cash|2025</x:v>
      </x:c>
      <x:c r="B747" s="76" t="str">
        <x:v>DGKC</x:v>
      </x:c>
      <x:c r="C747" s="76" t="str">
        <x:v>FY2025</x:v>
      </x:c>
      <x:c r="D747" s="76" t="str">
        <x:v>Cash and bank balances</x:v>
      </x:c>
      <x:c r="E747" s="170" t="n">
        <x:v>568832</x:v>
      </x:c>
      <x:c r="F747" s="170" t="n">
        <x:v>568832</x:v>
      </x:c>
      <x:c r="G747" s="170" t="str">
        <x:v>Rs '000</x:v>
      </x:c>
      <x:c r="H747" s="170" t="n">
        <x:f>F747/1000</x:f>
        <x:v>568.832</x:v>
      </x:c>
      <x:c r="I747" s="170" t="n">
        <x:f>DGKC!H34</x:f>
        <x:v>568.832</x:v>
      </x:c>
      <x:c r="J747" s="170" t="n">
        <x:f>H747-I747</x:f>
        <x:v>0</x:v>
      </x:c>
      <x:c r="K747" s="76" t="str">
        <x:v>DGAnnual2025.pdf</x:v>
      </x:c>
      <x:c r="L747" s="76" t="n">
        <x:v>154</x:v>
      </x:c>
      <x:c r="M747" s="76" t="str">
        <x:v>Current year</x:v>
      </x:c>
      <x:c r="N747" s="99" t="str">
        <x:v>Printed amount independently located</x:v>
      </x:c>
      <x:c r="O747" s="99" t="str">
        <x:v>Exact source amount found; audited year/current-comparative column recorded. Accounting subtotal tests performed separately.</x:v>
      </x:c>
      <x:c r="P747" s="99" t="str">
        <x:v>882
Loans, advances, deposits, prepayments
   and other receivables 25 1,345,673 160,289
Income tax receivable  - 1,384,599
Cash and bank balances 26 568,832 732,168
    47,908,042 41,770,521
     145,924,235 138,385,754
As At June 30, 2025
DirectorChief Financial Officer  
153
DGKC Annual Report 2025</x:v>
      </x:c>
    </x:row>
    <x:row r="748" ht="82" customHeight="1">
      <x:c r="A748" s="168" t="str">
        <x:v>DGKC|ca_other|2020</x:v>
      </x:c>
      <x:c r="B748" s="168" t="str">
        <x:v>DGKC</x:v>
      </x:c>
      <x:c r="C748" s="168" t="str">
        <x:v>FY2020</x:v>
      </x:c>
      <x:c r="D748" s="168" t="str">
        <x:v>Other current assets</x:v>
      </x:c>
      <x:c r="E748" s="169" t="n">
        <x:v>5755136</x:v>
      </x:c>
      <x:c r="F748" s="169" t="n">
        <x:v>5755136</x:v>
      </x:c>
      <x:c r="G748" s="169" t="str">
        <x:v>Rs '000</x:v>
      </x:c>
      <x:c r="H748" s="169" t="n">
        <x:f>F748/1000</x:f>
        <x:v>5755.136</x:v>
      </x:c>
      <x:c r="I748" s="169" t="n">
        <x:f>DGKC!C35</x:f>
        <x:v>5755.136</x:v>
      </x:c>
      <x:c r="J748" s="169" t="n">
        <x:f>H748-I748</x:f>
        <x:v>0</x:v>
      </x:c>
      <x:c r="K748" s="168" t="str">
        <x:v>DG_Annual_Report_2021.pdf</x:v>
      </x:c>
      <x:c r="L748" s="168" t="n">
        <x:v>106</x:v>
      </x:c>
      <x:c r="M748" s="168" t="str">
        <x:v>Comparative</x:v>
      </x:c>
      <x:c r="N748" s="171" t="str">
        <x:v>Aggregated audited components</x:v>
      </x:c>
      <x:c r="O748" s="171" t="str">
        <x:v>Source-labelled component sum; statement controls and signed-unit conversion independently recomputed.</x:v>
      </x:c>
      <x:c r="P748" s="171" t="str">
        <x:v>
   2021 2020
  Note (Rupees in thousand)
ASSETS     
NON-CURRENT ASSETS    
Property, plant and equipment 17 85,020,109 83,537,295
Investments 18 15,965,811 11,849,828
 | Components: Income tax receivable; Loan to related party; Loans, advances, deposits, prepayments a</x:v>
      </x:c>
    </x:row>
    <x:row r="749" ht="82" customHeight="1">
      <x:c r="A749" s="76" t="str">
        <x:v>DGKC|ca_other|2021</x:v>
      </x:c>
      <x:c r="B749" s="76" t="str">
        <x:v>DGKC</x:v>
      </x:c>
      <x:c r="C749" s="76" t="str">
        <x:v>FY2021</x:v>
      </x:c>
      <x:c r="D749" s="76" t="str">
        <x:v>Other current assets</x:v>
      </x:c>
      <x:c r="E749" s="170" t="n">
        <x:v>5813923</x:v>
      </x:c>
      <x:c r="F749" s="170" t="n">
        <x:v>5813923</x:v>
      </x:c>
      <x:c r="G749" s="170" t="str">
        <x:v>Rs '000</x:v>
      </x:c>
      <x:c r="H749" s="170" t="n">
        <x:f>F749/1000</x:f>
        <x:v>5813.923</x:v>
      </x:c>
      <x:c r="I749" s="170" t="n">
        <x:f>DGKC!D35</x:f>
        <x:v>5813.923</x:v>
      </x:c>
      <x:c r="J749" s="170" t="n">
        <x:f>H749-I749</x:f>
        <x:v>0</x:v>
      </x:c>
      <x:c r="K749" s="76" t="str">
        <x:v>DG_Annual_Report_2022.pdf</x:v>
      </x:c>
      <x:c r="L749" s="76" t="n">
        <x:v>126</x:v>
      </x:c>
      <x:c r="M749" s="76" t="str">
        <x:v>Comparative</x:v>
      </x:c>
      <x:c r="N749" s="99" t="str">
        <x:v>Aggregated audited components</x:v>
      </x:c>
      <x:c r="O749" s="99" t="str">
        <x:v>Source-labelled component sum; statement controls and signed-unit conversion independently recomputed.</x:v>
      </x:c>
      <x:c r="P749" s="99" t="str">
        <x:v>
   2022 2021
  Note (Rupees in thousand)
ASSETS     
NON-CURRENT ASSETS    
Property, plant and equipment 17 82,803,860 85,020,109
Intangible asset 18 17,319 -
Investme | Components: Income tax receivable; Loan to related party; Loans, advances, deposits, prepayments a</x:v>
      </x:c>
    </x:row>
    <x:row r="750" ht="82" customHeight="1">
      <x:c r="A750" s="168" t="str">
        <x:v>DGKC|ca_other|2022</x:v>
      </x:c>
      <x:c r="B750" s="168" t="str">
        <x:v>DGKC</x:v>
      </x:c>
      <x:c r="C750" s="168" t="str">
        <x:v>FY2022</x:v>
      </x:c>
      <x:c r="D750" s="168" t="str">
        <x:v>Other current assets</x:v>
      </x:c>
      <x:c r="E750" s="169" t="n">
        <x:v>6176679</x:v>
      </x:c>
      <x:c r="F750" s="169" t="n">
        <x:v>6176679</x:v>
      </x:c>
      <x:c r="G750" s="169" t="str">
        <x:v>Rs '000</x:v>
      </x:c>
      <x:c r="H750" s="169" t="n">
        <x:f>F750/1000</x:f>
        <x:v>6176.679</x:v>
      </x:c>
      <x:c r="I750" s="169" t="n">
        <x:f>DGKC!E35</x:f>
        <x:v>6176.679</x:v>
      </x:c>
      <x:c r="J750" s="169" t="n">
        <x:f>H750-I750</x:f>
        <x:v>0</x:v>
      </x:c>
      <x:c r="K750" s="168" t="str">
        <x:v>DGAnnual2023.pdf</x:v>
      </x:c>
      <x:c r="L750" s="168" t="n">
        <x:v>152</x:v>
      </x:c>
      <x:c r="M750" s="168" t="str">
        <x:v>Comparative</x:v>
      </x:c>
      <x:c r="N750" s="171" t="str">
        <x:v>Aggregated audited components</x:v>
      </x:c>
      <x:c r="O750" s="171" t="str">
        <x:v>Source-labelled component sum; statement controls and signed-unit conversion independently recomputed.</x:v>
      </x:c>
      <x:c r="P750" s="171" t="str">
        <x:v>
   2023 2022
  Note (Rupees in thousand)
ASSETS     
NON-CURRENT ASSETS    
Property, plant and equipment 17 82,245,650 82,803,860
Intangible asset 18 10,152 17,319
Inv | Components: Income tax receivable; Loans, advances, deposits, prepayments a</x:v>
      </x:c>
    </x:row>
    <x:row r="751" ht="82" customHeight="1">
      <x:c r="A751" s="76" t="str">
        <x:v>DGKC|ca_other|2023</x:v>
      </x:c>
      <x:c r="B751" s="76" t="str">
        <x:v>DGKC</x:v>
      </x:c>
      <x:c r="C751" s="76" t="str">
        <x:v>FY2023</x:v>
      </x:c>
      <x:c r="D751" s="76" t="str">
        <x:v>Other current assets</x:v>
      </x:c>
      <x:c r="E751" s="170" t="n">
        <x:v>5162181</x:v>
      </x:c>
      <x:c r="F751" s="170" t="n">
        <x:v>5162181</x:v>
      </x:c>
      <x:c r="G751" s="170" t="str">
        <x:v>Rs '000</x:v>
      </x:c>
      <x:c r="H751" s="170" t="n">
        <x:f>F751/1000</x:f>
        <x:v>5162.181</x:v>
      </x:c>
      <x:c r="I751" s="170" t="n">
        <x:f>DGKC!F35</x:f>
        <x:v>5162.181</x:v>
      </x:c>
      <x:c r="J751" s="170" t="n">
        <x:f>H751-I751</x:f>
        <x:v>0</x:v>
      </x:c>
      <x:c r="K751" s="76" t="str">
        <x:v>DGAnnual2024.pdf</x:v>
      </x:c>
      <x:c r="L751" s="76" t="n">
        <x:v>152</x:v>
      </x:c>
      <x:c r="M751" s="76" t="str">
        <x:v>Comparative</x:v>
      </x:c>
      <x:c r="N751" s="99" t="str">
        <x:v>Aggregated audited components</x:v>
      </x:c>
      <x:c r="O751" s="99" t="str">
        <x:v>Source-labelled component sum; statement controls and signed-unit conversion independently recomputed.</x:v>
      </x:c>
      <x:c r="P751" s="99" t="str">
        <x:v>
151
DGKC Annual Report 2024
   2024 2023
  Note (Rupees in thousand)
ASSETS     
NON-CURRENT ASSETS    
Property, plant and equipment 17 79,877,839 82,245,650
Intangibl | Components: Income tax receivable; Loans, advances, deposits, prepayments a</x:v>
      </x:c>
    </x:row>
    <x:row r="752" ht="82" customHeight="1">
      <x:c r="A752" s="168" t="str">
        <x:v>DGKC|ca_other|2024</x:v>
      </x:c>
      <x:c r="B752" s="168" t="str">
        <x:v>DGKC</x:v>
      </x:c>
      <x:c r="C752" s="168" t="str">
        <x:v>FY2024</x:v>
      </x:c>
      <x:c r="D752" s="168" t="str">
        <x:v>Other current assets</x:v>
      </x:c>
      <x:c r="E752" s="169" t="n">
        <x:v>1544888</x:v>
      </x:c>
      <x:c r="F752" s="169" t="n">
        <x:v>1544888</x:v>
      </x:c>
      <x:c r="G752" s="169" t="str">
        <x:v>Rs '000</x:v>
      </x:c>
      <x:c r="H752" s="169" t="n">
        <x:f>F752/1000</x:f>
        <x:v>1544.888</x:v>
      </x:c>
      <x:c r="I752" s="169" t="n">
        <x:f>DGKC!G35</x:f>
        <x:v>1544.888</x:v>
      </x:c>
      <x:c r="J752" s="169" t="n">
        <x:f>H752-I752</x:f>
        <x:v>0</x:v>
      </x:c>
      <x:c r="K752" s="168" t="str">
        <x:v>DGAnnual2025.pdf</x:v>
      </x:c>
      <x:c r="L752" s="168" t="n">
        <x:v>154</x:v>
      </x:c>
      <x:c r="M752" s="168" t="str">
        <x:v>Comparative</x:v>
      </x:c>
      <x:c r="N752" s="171" t="str">
        <x:v>Aggregated audited components</x:v>
      </x:c>
      <x:c r="O752" s="171" t="str">
        <x:v>Source-labelled component sum; statement controls and signed-unit conversion independently recomputed.</x:v>
      </x:c>
      <x:c r="P752" s="171" t="str">
        <x:v>
   2025 2024
  Note (Rupees in thousand)
ASSETS     
NON-CURRENT ASSETS    
Property, plant and equipment 17 77,252,559 79,877,839
Intangible assets 18 13,076 42,762
Lo | Components: Income tax receivable; Loans, advances, deposits, prepayments a</x:v>
      </x:c>
    </x:row>
    <x:row r="753" ht="82" customHeight="1">
      <x:c r="A753" s="76" t="str">
        <x:v>DGKC|ca_other|2025</x:v>
      </x:c>
      <x:c r="B753" s="76" t="str">
        <x:v>DGKC</x:v>
      </x:c>
      <x:c r="C753" s="76" t="str">
        <x:v>FY2025</x:v>
      </x:c>
      <x:c r="D753" s="76" t="str">
        <x:v>Other current assets</x:v>
      </x:c>
      <x:c r="E753" s="170" t="n">
        <x:v>1345673</x:v>
      </x:c>
      <x:c r="F753" s="170" t="n">
        <x:v>1345673</x:v>
      </x:c>
      <x:c r="G753" s="170" t="str">
        <x:v>Rs '000</x:v>
      </x:c>
      <x:c r="H753" s="170" t="n">
        <x:f>F753/1000</x:f>
        <x:v>1345.673</x:v>
      </x:c>
      <x:c r="I753" s="170" t="n">
        <x:f>DGKC!H35</x:f>
        <x:v>1345.673</x:v>
      </x:c>
      <x:c r="J753" s="170" t="n">
        <x:f>H753-I753</x:f>
        <x:v>0</x:v>
      </x:c>
      <x:c r="K753" s="76" t="str">
        <x:v>DGAnnual2025.pdf</x:v>
      </x:c>
      <x:c r="L753" s="76" t="n">
        <x:v>154</x:v>
      </x:c>
      <x:c r="M753" s="76" t="str">
        <x:v>Current year</x:v>
      </x:c>
      <x:c r="N753" s="99" t="str">
        <x:v>Printed amount independently located</x:v>
      </x:c>
      <x:c r="O753" s="99" t="str">
        <x:v>Exact source amount found; audited year/current-comparative column recorded. Accounting subtotal tests performed separately.</x:v>
      </x:c>
      <x:c r="P753" s="99" t="str">
        <x:v>7
Trade debts 23 1,493,080 855,742
Short term investments 24 24,005,100 18,384,882
Loans, advances, deposits, prepayments
   and other receivables 25 1,345,673 160,289
Income tax receivable  - 1,384,599
Cash and bank balances 26 568,832 732,168
    47,908,042 41,770,521
     145,924,235 138,385,754
As At June 30, 2025
D</x:v>
      </x:c>
    </x:row>
    <x:row r="754" ht="82" customHeight="1">
      <x:c r="A754" s="168" t="str">
        <x:v>DGKC|share_cap|2020</x:v>
      </x:c>
      <x:c r="B754" s="168" t="str">
        <x:v>DGKC</x:v>
      </x:c>
      <x:c r="C754" s="168" t="str">
        <x:v>FY2020</x:v>
      </x:c>
      <x:c r="D754" s="168" t="str">
        <x:v>Issued, subscribed and paid-up share capital</x:v>
      </x:c>
      <x:c r="E754" s="169" t="n">
        <x:v>4381191</x:v>
      </x:c>
      <x:c r="F754" s="169" t="n">
        <x:v>4381191</x:v>
      </x:c>
      <x:c r="G754" s="169" t="str">
        <x:v>Rs '000</x:v>
      </x:c>
      <x:c r="H754" s="169" t="n">
        <x:f>F754/1000</x:f>
        <x:v>4381.191</x:v>
      </x:c>
      <x:c r="I754" s="169" t="n">
        <x:f>DGKC!C39</x:f>
        <x:v>4381.191</x:v>
      </x:c>
      <x:c r="J754" s="169" t="n">
        <x:f>H754-I754</x:f>
        <x:v>0</x:v>
      </x:c>
      <x:c r="K754" s="168" t="str">
        <x:v>DG_Annual_Report_2021.pdf</x:v>
      </x:c>
      <x:c r="L754" s="168" t="n">
        <x:v>105</x:v>
      </x:c>
      <x:c r="M754" s="168" t="str">
        <x:v>Comparative</x:v>
      </x:c>
      <x:c r="N754" s="171" t="str">
        <x:v>Printed amount independently located</x:v>
      </x:c>
      <x:c r="O754" s="171" t="str">
        <x:v>Exact source amount found; audited year/current-comparative column recorded. Accounting subtotal tests performed separately.</x:v>
      </x:c>
      <x:c r="P754" s="171" t="str">
        <x:v>0
    10,000,000 10,000,000
 Issued, subscribed and paid up share capital 
    438,119,118 (2020: 438,119,118)
       ordinary shares of Rs 10 each 5 4,381,191 4,381,191
 Other reserves 6 30,280,119 27,226,658
 Revenue reserve: Un-appropriated profits  38,816,563 35,036,308
    73,477,873 66,644,157
NON-CURRENT LIABILITIES
 Long term fin</x:v>
      </x:c>
    </x:row>
    <x:row r="755" ht="82" customHeight="1">
      <x:c r="A755" s="76" t="str">
        <x:v>DGKC|share_cap|2021</x:v>
      </x:c>
      <x:c r="B755" s="76" t="str">
        <x:v>DGKC</x:v>
      </x:c>
      <x:c r="C755" s="76" t="str">
        <x:v>FY2021</x:v>
      </x:c>
      <x:c r="D755" s="76" t="str">
        <x:v>Issued, subscribed and paid-up share capital</x:v>
      </x:c>
      <x:c r="E755" s="170" t="n">
        <x:v>4381191</x:v>
      </x:c>
      <x:c r="F755" s="170" t="n">
        <x:v>4381191</x:v>
      </x:c>
      <x:c r="G755" s="170" t="str">
        <x:v>Rs '000</x:v>
      </x:c>
      <x:c r="H755" s="170" t="n">
        <x:f>F755/1000</x:f>
        <x:v>4381.191</x:v>
      </x:c>
      <x:c r="I755" s="170" t="n">
        <x:f>DGKC!D39</x:f>
        <x:v>4381.191</x:v>
      </x:c>
      <x:c r="J755" s="170" t="n">
        <x:f>H755-I755</x:f>
        <x:v>0</x:v>
      </x:c>
      <x:c r="K755" s="76" t="str">
        <x:v>DG_Annual_Report_2022.pdf</x:v>
      </x:c>
      <x:c r="L755" s="76" t="n">
        <x:v>125</x:v>
      </x:c>
      <x:c r="M755" s="76" t="str">
        <x:v>Comparative</x:v>
      </x:c>
      <x:c r="N755" s="99" t="str">
        <x:v>Printed amount independently located</x:v>
      </x:c>
      <x:c r="O755" s="99" t="str">
        <x:v>Exact source amount found; audited year/current-comparative column recorded. Accounting subtotal tests performed separately.</x:v>
      </x:c>
      <x:c r="P755" s="99" t="str">
        <x:v>0
    10,000,000 10,000,000
 Issued, subscribed and paid up share capital 
    438,119,118 (2021: 438,119,118)
       ordinary shares of Rs 10 each 5 4,381,191 4,381,191
 Other reserves 6 24,238,624 30,280,119
 Revenue reserve: Un-appropriated profits  41,298,287 38,816,563
    69,918,102 73,477,873
NON-CURRENT LIABILITIES
 Long term fin</x:v>
      </x:c>
    </x:row>
    <x:row r="756" ht="82" customHeight="1">
      <x:c r="A756" s="168" t="str">
        <x:v>DGKC|share_cap|2022</x:v>
      </x:c>
      <x:c r="B756" s="168" t="str">
        <x:v>DGKC</x:v>
      </x:c>
      <x:c r="C756" s="168" t="str">
        <x:v>FY2022</x:v>
      </x:c>
      <x:c r="D756" s="168" t="str">
        <x:v>Issued, subscribed and paid-up share capital</x:v>
      </x:c>
      <x:c r="E756" s="169" t="n">
        <x:v>4381191</x:v>
      </x:c>
      <x:c r="F756" s="169" t="n">
        <x:v>4381191</x:v>
      </x:c>
      <x:c r="G756" s="169" t="str">
        <x:v>Rs '000</x:v>
      </x:c>
      <x:c r="H756" s="169" t="n">
        <x:f>F756/1000</x:f>
        <x:v>4381.191</x:v>
      </x:c>
      <x:c r="I756" s="169" t="n">
        <x:f>DGKC!E39</x:f>
        <x:v>4381.191</x:v>
      </x:c>
      <x:c r="J756" s="169" t="n">
        <x:f>H756-I756</x:f>
        <x:v>0</x:v>
      </x:c>
      <x:c r="K756" s="168" t="str">
        <x:v>DGAnnual2023.pdf</x:v>
      </x:c>
      <x:c r="L756" s="168" t="n">
        <x:v>151</x:v>
      </x:c>
      <x:c r="M756" s="168" t="str">
        <x:v>Comparative</x:v>
      </x:c>
      <x:c r="N756" s="171" t="str">
        <x:v>Printed amount independently located</x:v>
      </x:c>
      <x:c r="O756" s="171" t="str">
        <x:v>Exact source amount found; audited year/current-comparative column recorded. Accounting subtotal tests performed separately.</x:v>
      </x:c>
      <x:c r="P756" s="171" t="str">
        <x:v>10,000,000 10,000,000
 Issued, subscribed and paid up share capital 
    438,119,118 (2022: 438,119,118)
       ordinary shares of Rs 10 each 5  4,381,191 4,381,191
 Other reserves 6 22,592,167 24,238,624
 Revenue reserve: Un-appropriated profits  37,218,919 41,298,287
 Total equity  64,192,277 69,918,102
NON-CURRENT LIABILITIES
 Lo</x:v>
      </x:c>
    </x:row>
    <x:row r="757" ht="82" customHeight="1">
      <x:c r="A757" s="76" t="str">
        <x:v>DGKC|share_cap|2023</x:v>
      </x:c>
      <x:c r="B757" s="76" t="str">
        <x:v>DGKC</x:v>
      </x:c>
      <x:c r="C757" s="76" t="str">
        <x:v>FY2023</x:v>
      </x:c>
      <x:c r="D757" s="76" t="str">
        <x:v>Issued, subscribed and paid-up share capital</x:v>
      </x:c>
      <x:c r="E757" s="170" t="n">
        <x:v>4381191</x:v>
      </x:c>
      <x:c r="F757" s="170" t="n">
        <x:v>4381191</x:v>
      </x:c>
      <x:c r="G757" s="170" t="str">
        <x:v>Rs '000</x:v>
      </x:c>
      <x:c r="H757" s="170" t="n">
        <x:f>F757/1000</x:f>
        <x:v>4381.191</x:v>
      </x:c>
      <x:c r="I757" s="170" t="n">
        <x:f>DGKC!F39</x:f>
        <x:v>4381.191</x:v>
      </x:c>
      <x:c r="J757" s="170" t="n">
        <x:f>H757-I757</x:f>
        <x:v>0</x:v>
      </x:c>
      <x:c r="K757" s="76" t="str">
        <x:v>DGAnnual2024.pdf</x:v>
      </x:c>
      <x:c r="L757" s="76" t="n">
        <x:v>151</x:v>
      </x:c>
      <x:c r="M757" s="76" t="str">
        <x:v>Comparative</x:v>
      </x:c>
      <x:c r="N757" s="99" t="str">
        <x:v>Printed amount independently located</x:v>
      </x:c>
      <x:c r="O757" s="99" t="str">
        <x:v>Exact source amount found; audited year/current-comparative column recorded. Accounting subtotal tests performed separately.</x:v>
      </x:c>
      <x:c r="P757" s="99" t="str">
        <x:v>10,000,000 10,000,000
 Issued, subscribed and paid up share capital 
    438,119,118 (2023: 438,119,118)
       ordinary shares of Rs 10 each 5  4,381,191 4,381,191
 Other reserves 6 33,670,663 22,592,167
 Revenue reserve: Un-appropriated profits  37,795,684 37,218,919
 Total equity  75,847,538 64,192,277
NON-CURRENT LIABILITIES
 Lo</x:v>
      </x:c>
    </x:row>
    <x:row r="758" ht="82" customHeight="1">
      <x:c r="A758" s="168" t="str">
        <x:v>DGKC|share_cap|2024</x:v>
      </x:c>
      <x:c r="B758" s="168" t="str">
        <x:v>DGKC</x:v>
      </x:c>
      <x:c r="C758" s="168" t="str">
        <x:v>FY2024</x:v>
      </x:c>
      <x:c r="D758" s="168" t="str">
        <x:v>Issued, subscribed and paid-up share capital</x:v>
      </x:c>
      <x:c r="E758" s="169" t="n">
        <x:v>4381191</x:v>
      </x:c>
      <x:c r="F758" s="169" t="n">
        <x:v>4381191</x:v>
      </x:c>
      <x:c r="G758" s="169" t="str">
        <x:v>Rs '000</x:v>
      </x:c>
      <x:c r="H758" s="169" t="n">
        <x:f>F758/1000</x:f>
        <x:v>4381.191</x:v>
      </x:c>
      <x:c r="I758" s="169" t="n">
        <x:f>DGKC!G39</x:f>
        <x:v>4381.191</x:v>
      </x:c>
      <x:c r="J758" s="169" t="n">
        <x:f>H758-I758</x:f>
        <x:v>0</x:v>
      </x:c>
      <x:c r="K758" s="168" t="str">
        <x:v>DGAnnual2025.pdf</x:v>
      </x:c>
      <x:c r="L758" s="168" t="n">
        <x:v>153</x:v>
      </x:c>
      <x:c r="M758" s="168" t="str">
        <x:v>Comparative</x:v>
      </x:c>
      <x:c r="N758" s="171" t="str">
        <x:v>Printed amount independently located</x:v>
      </x:c>
      <x:c r="O758" s="171" t="str">
        <x:v>Exact source amount found; audited year/current-comparative column recorded. Accounting subtotal tests performed separately.</x:v>
      </x:c>
      <x:c r="P758" s="171" t="str">
        <x:v>10,000,000 10,000,000
 Issued, subscribed and paid up share capital 
    438,119,118 (2024: 438,119,118)
       ordinary shares of Rs 10 each 5  4,381,191 4,381,191
 Other reserves 6 43,790,127 33,670,663
 Revenue reserve: Un-appropriated profits  46,496,160 37,795,684
 Total equity  94,667,478 75,847,538
NON-CURRENT LIABILITIES
 Lo</x:v>
      </x:c>
    </x:row>
    <x:row r="759" ht="82" customHeight="1">
      <x:c r="A759" s="76" t="str">
        <x:v>DGKC|share_cap|2025</x:v>
      </x:c>
      <x:c r="B759" s="76" t="str">
        <x:v>DGKC</x:v>
      </x:c>
      <x:c r="C759" s="76" t="str">
        <x:v>FY2025</x:v>
      </x:c>
      <x:c r="D759" s="76" t="str">
        <x:v>Issued, subscribed and paid-up share capital</x:v>
      </x:c>
      <x:c r="E759" s="170" t="n">
        <x:v>4381191</x:v>
      </x:c>
      <x:c r="F759" s="170" t="n">
        <x:v>4381191</x:v>
      </x:c>
      <x:c r="G759" s="170" t="str">
        <x:v>Rs '000</x:v>
      </x:c>
      <x:c r="H759" s="170" t="n">
        <x:f>F759/1000</x:f>
        <x:v>4381.191</x:v>
      </x:c>
      <x:c r="I759" s="170" t="n">
        <x:f>DGKC!H39</x:f>
        <x:v>4381.191</x:v>
      </x:c>
      <x:c r="J759" s="170" t="n">
        <x:f>H759-I759</x:f>
        <x:v>0</x:v>
      </x:c>
      <x:c r="K759" s="76" t="str">
        <x:v>DGAnnual2025.pdf</x:v>
      </x:c>
      <x:c r="L759" s="76" t="n">
        <x:v>153</x:v>
      </x:c>
      <x:c r="M759" s="76" t="str">
        <x:v>Current year</x:v>
      </x:c>
      <x:c r="N759" s="99" t="str">
        <x:v>Printed amount independently located</x:v>
      </x:c>
      <x:c r="O759" s="99" t="str">
        <x:v>Exact source amount found; audited year/current-comparative column recorded. Accounting subtotal tests performed separately.</x:v>
      </x:c>
      <x:c r="P759" s="99" t="str">
        <x:v>10,000,000 10,000,000
 Issued, subscribed and paid up share capital 
    438,119,118 (2024: 438,119,118)
       ordinary shares of Rs 10 each 5  4,381,191 4,381,191
 Other reserves 6 43,790,127 33,670,663
 Revenue reserve: Un-appropriated profits  46,496,160 37,795,684
 Total equity  94,667,478 75,847,538
NON-CURRENT LIABILITIES
 Lo</x:v>
      </x:c>
    </x:row>
    <x:row r="760" ht="82" customHeight="1">
      <x:c r="A760" s="168" t="str">
        <x:v>DGKC|eq_other|2020</x:v>
      </x:c>
      <x:c r="B760" s="168" t="str">
        <x:v>DGKC</x:v>
      </x:c>
      <x:c r="C760" s="168" t="str">
        <x:v>FY2020</x:v>
      </x:c>
      <x:c r="D760" s="168" t="str">
        <x:v>Reserves, retained earnings and revaluation surplus</x:v>
      </x:c>
      <x:c r="E760" s="169" t="n">
        <x:v>62262966</x:v>
      </x:c>
      <x:c r="F760" s="169" t="n">
        <x:v>62262966</x:v>
      </x:c>
      <x:c r="G760" s="169" t="str">
        <x:v>Rs '000</x:v>
      </x:c>
      <x:c r="H760" s="169" t="n">
        <x:f>F760/1000</x:f>
        <x:v>62262.966</x:v>
      </x:c>
      <x:c r="I760" s="169" t="n">
        <x:f>DGKC!C40</x:f>
        <x:v>62262.966</x:v>
      </x:c>
      <x:c r="J760" s="169" t="n">
        <x:f>H760-I760</x:f>
        <x:v>0</x:v>
      </x:c>
      <x:c r="K760" s="168" t="str">
        <x:v>DG_Annual_Report_2021.pdf</x:v>
      </x:c>
      <x:c r="L760" s="168" t="n">
        <x:v>105</x:v>
      </x:c>
      <x:c r="M760" s="168" t="str">
        <x:v>Comparative</x:v>
      </x:c>
      <x:c r="N760" s="171" t="str">
        <x:v>Aggregated audited components</x:v>
      </x:c>
      <x:c r="O760" s="171" t="str">
        <x:v>Source-labelled component sum; statement controls and signed-unit conversion independently recomputed.</x:v>
      </x:c>
      <x:c r="P760" s="171" t="str">
        <x:v>
   2021 2020
  Note (Rupees in thousand)
EQUITY AND LIABILITIES
CAPITAL AND RESERVES
 Authorised share capital
 - 950,000,000 (2020: 950,000,000) 
      ordinary shares of Rs  | Components: Other reserves; Revenue reserve: Un-appropriated profits</x:v>
      </x:c>
    </x:row>
    <x:row r="761" ht="82" customHeight="1">
      <x:c r="A761" s="76" t="str">
        <x:v>DGKC|eq_other|2021</x:v>
      </x:c>
      <x:c r="B761" s="76" t="str">
        <x:v>DGKC</x:v>
      </x:c>
      <x:c r="C761" s="76" t="str">
        <x:v>FY2021</x:v>
      </x:c>
      <x:c r="D761" s="76" t="str">
        <x:v>Reserves, retained earnings and revaluation surplus</x:v>
      </x:c>
      <x:c r="E761" s="170" t="n">
        <x:v>69096682</x:v>
      </x:c>
      <x:c r="F761" s="170" t="n">
        <x:v>69096682</x:v>
      </x:c>
      <x:c r="G761" s="170" t="str">
        <x:v>Rs '000</x:v>
      </x:c>
      <x:c r="H761" s="170" t="n">
        <x:f>F761/1000</x:f>
        <x:v>69096.682</x:v>
      </x:c>
      <x:c r="I761" s="170" t="n">
        <x:f>DGKC!D40</x:f>
        <x:v>69096.682</x:v>
      </x:c>
      <x:c r="J761" s="170" t="n">
        <x:f>H761-I761</x:f>
        <x:v>0</x:v>
      </x:c>
      <x:c r="K761" s="76" t="str">
        <x:v>DG_Annual_Report_2022.pdf</x:v>
      </x:c>
      <x:c r="L761" s="76" t="n">
        <x:v>125</x:v>
      </x:c>
      <x:c r="M761" s="76" t="str">
        <x:v>Comparative</x:v>
      </x:c>
      <x:c r="N761" s="99" t="str">
        <x:v>Aggregated audited components</x:v>
      </x:c>
      <x:c r="O761" s="99" t="str">
        <x:v>Source-labelled component sum; statement controls and signed-unit conversion independently recomputed.</x:v>
      </x:c>
      <x:c r="P761" s="99" t="str">
        <x:v>
   2022 2021
  Note (Rupees in thousand)
EQUITY AND LIABILITIES
SHARE CAPITAL AND RESERVES
 Authorised share capital
 - 950,000,000 (2021: 950,000,000) 
      ordinary shares  | Components: Other reserves; Revenue reserve: Un-appropriated profits</x:v>
      </x:c>
    </x:row>
    <x:row r="762" ht="82" customHeight="1">
      <x:c r="A762" s="168" t="str">
        <x:v>DGKC|eq_other|2022</x:v>
      </x:c>
      <x:c r="B762" s="168" t="str">
        <x:v>DGKC</x:v>
      </x:c>
      <x:c r="C762" s="168" t="str">
        <x:v>FY2022</x:v>
      </x:c>
      <x:c r="D762" s="168" t="str">
        <x:v>Reserves, retained earnings and revaluation surplus</x:v>
      </x:c>
      <x:c r="E762" s="169" t="n">
        <x:v>65536911</x:v>
      </x:c>
      <x:c r="F762" s="169" t="n">
        <x:v>65536911</x:v>
      </x:c>
      <x:c r="G762" s="169" t="str">
        <x:v>Rs '000</x:v>
      </x:c>
      <x:c r="H762" s="169" t="n">
        <x:f>F762/1000</x:f>
        <x:v>65536.911</x:v>
      </x:c>
      <x:c r="I762" s="169" t="n">
        <x:f>DGKC!E40</x:f>
        <x:v>65536.911</x:v>
      </x:c>
      <x:c r="J762" s="169" t="n">
        <x:f>H762-I762</x:f>
        <x:v>0</x:v>
      </x:c>
      <x:c r="K762" s="168" t="str">
        <x:v>DGAnnual2023.pdf</x:v>
      </x:c>
      <x:c r="L762" s="168" t="n">
        <x:v>151</x:v>
      </x:c>
      <x:c r="M762" s="168" t="str">
        <x:v>Comparative</x:v>
      </x:c>
      <x:c r="N762" s="171" t="str">
        <x:v>Aggregated audited components</x:v>
      </x:c>
      <x:c r="O762" s="171" t="str">
        <x:v>Source-labelled component sum; statement controls and signed-unit conversion independently recomputed.</x:v>
      </x:c>
      <x:c r="P762" s="171" t="str">
        <x:v>
   2023 2022
  Note (Rupees in thousand)
EQUITY AND LIABILITIES
SHARE CAPITAL AND RESERVES
 Authorised share capital
 - 950,000,000 (2022: 950,000,000) 
      ordinary shares  | Components: Other reserves; Revenue reserve: Un-appropriated profits</x:v>
      </x:c>
    </x:row>
    <x:row r="763" ht="82" customHeight="1">
      <x:c r="A763" s="76" t="str">
        <x:v>DGKC|eq_other|2023</x:v>
      </x:c>
      <x:c r="B763" s="76" t="str">
        <x:v>DGKC</x:v>
      </x:c>
      <x:c r="C763" s="76" t="str">
        <x:v>FY2023</x:v>
      </x:c>
      <x:c r="D763" s="76" t="str">
        <x:v>Reserves, retained earnings and revaluation surplus</x:v>
      </x:c>
      <x:c r="E763" s="170" t="n">
        <x:v>59811086</x:v>
      </x:c>
      <x:c r="F763" s="170" t="n">
        <x:v>59811086</x:v>
      </x:c>
      <x:c r="G763" s="170" t="str">
        <x:v>Rs '000</x:v>
      </x:c>
      <x:c r="H763" s="170" t="n">
        <x:f>F763/1000</x:f>
        <x:v>59811.086</x:v>
      </x:c>
      <x:c r="I763" s="170" t="n">
        <x:f>DGKC!F40</x:f>
        <x:v>59811.086</x:v>
      </x:c>
      <x:c r="J763" s="170" t="n">
        <x:f>H763-I763</x:f>
        <x:v>0</x:v>
      </x:c>
      <x:c r="K763" s="76" t="str">
        <x:v>DGAnnual2024.pdf</x:v>
      </x:c>
      <x:c r="L763" s="76" t="n">
        <x:v>151</x:v>
      </x:c>
      <x:c r="M763" s="76" t="str">
        <x:v>Comparative</x:v>
      </x:c>
      <x:c r="N763" s="99" t="str">
        <x:v>Aggregated audited components</x:v>
      </x:c>
      <x:c r="O763" s="99" t="str">
        <x:v>Source-labelled component sum; statement controls and signed-unit conversion independently recomputed.</x:v>
      </x:c>
      <x:c r="P763" s="99" t="str">
        <x:v>
150
DGKC Annual Report 2024
   2024 2023
  Note (Rupees in thousand)
EQUITY AND LIABILITIES
SHARE CAPITAL AND RESERVES
 Authorised share capital
 - 950,000,000 (2023: 950,000, | Components: Other reserves; Revenue reserve: Un-appropriated profits</x:v>
      </x:c>
    </x:row>
    <x:row r="764" ht="82" customHeight="1">
      <x:c r="A764" s="168" t="str">
        <x:v>DGKC|eq_other|2024</x:v>
      </x:c>
      <x:c r="B764" s="168" t="str">
        <x:v>DGKC</x:v>
      </x:c>
      <x:c r="C764" s="168" t="str">
        <x:v>FY2024</x:v>
      </x:c>
      <x:c r="D764" s="168" t="str">
        <x:v>Reserves, retained earnings and revaluation surplus</x:v>
      </x:c>
      <x:c r="E764" s="169" t="n">
        <x:v>71466347</x:v>
      </x:c>
      <x:c r="F764" s="169" t="n">
        <x:v>71466347</x:v>
      </x:c>
      <x:c r="G764" s="169" t="str">
        <x:v>Rs '000</x:v>
      </x:c>
      <x:c r="H764" s="169" t="n">
        <x:f>F764/1000</x:f>
        <x:v>71466.347</x:v>
      </x:c>
      <x:c r="I764" s="169" t="n">
        <x:f>DGKC!G40</x:f>
        <x:v>71466.347</x:v>
      </x:c>
      <x:c r="J764" s="169" t="n">
        <x:f>H764-I764</x:f>
        <x:v>0</x:v>
      </x:c>
      <x:c r="K764" s="168" t="str">
        <x:v>DGAnnual2025.pdf</x:v>
      </x:c>
      <x:c r="L764" s="168" t="n">
        <x:v>153</x:v>
      </x:c>
      <x:c r="M764" s="168" t="str">
        <x:v>Comparative</x:v>
      </x:c>
      <x:c r="N764" s="171" t="str">
        <x:v>Aggregated audited components</x:v>
      </x:c>
      <x:c r="O764" s="171" t="str">
        <x:v>Source-labelled component sum; statement controls and signed-unit conversion independently recomputed.</x:v>
      </x:c>
      <x:c r="P764" s="171" t="str">
        <x:v>
   2025 2024
  Note (Rupees in thousand)
EQUITY AND LIABILITIES
SHARE CAPITAL AND RESERVES
 Authorised share capital
 - 950,000,000 (2024: 950,000,000) 
      ordinary shares  | Components: Other reserves; Revenue reserve: Un-appropriated profits</x:v>
      </x:c>
    </x:row>
    <x:row r="765" ht="82" customHeight="1">
      <x:c r="A765" s="76" t="str">
        <x:v>DGKC|eq_other|2025</x:v>
      </x:c>
      <x:c r="B765" s="76" t="str">
        <x:v>DGKC</x:v>
      </x:c>
      <x:c r="C765" s="76" t="str">
        <x:v>FY2025</x:v>
      </x:c>
      <x:c r="D765" s="76" t="str">
        <x:v>Reserves, retained earnings and revaluation surplus</x:v>
      </x:c>
      <x:c r="E765" s="170" t="n">
        <x:v>90286287</x:v>
      </x:c>
      <x:c r="F765" s="170" t="n">
        <x:v>90286287</x:v>
      </x:c>
      <x:c r="G765" s="170" t="str">
        <x:v>Rs '000</x:v>
      </x:c>
      <x:c r="H765" s="170" t="n">
        <x:f>F765/1000</x:f>
        <x:v>90286.287</x:v>
      </x:c>
      <x:c r="I765" s="170" t="n">
        <x:f>DGKC!H40</x:f>
        <x:v>90286.287</x:v>
      </x:c>
      <x:c r="J765" s="170" t="n">
        <x:f>H765-I765</x:f>
        <x:v>0</x:v>
      </x:c>
      <x:c r="K765" s="76" t="str">
        <x:v>DGAnnual2025.pdf</x:v>
      </x:c>
      <x:c r="L765" s="76" t="n">
        <x:v>153</x:v>
      </x:c>
      <x:c r="M765" s="76" t="str">
        <x:v>Current year</x:v>
      </x:c>
      <x:c r="N765" s="99" t="str">
        <x:v>Aggregated audited components</x:v>
      </x:c>
      <x:c r="O765" s="99" t="str">
        <x:v>Source-labelled component sum; statement controls and signed-unit conversion independently recomputed.</x:v>
      </x:c>
      <x:c r="P765" s="99" t="str">
        <x:v>
   2025 2024
  Note (Rupees in thousand)
EQUITY AND LIABILITIES
SHARE CAPITAL AND RESERVES
 Authorised share capital
 - 950,000,000 (2024: 950,000,000) 
      ordinary shares  | Components: Other reserves; Revenue reserve: Un-appropriated profits</x:v>
      </x:c>
    </x:row>
    <x:row r="766" ht="82" customHeight="1">
      <x:c r="A766" s="168" t="str">
        <x:v>DGKC|ltf_nc|2020</x:v>
      </x:c>
      <x:c r="B766" s="168" t="str">
        <x:v>DGKC</x:v>
      </x:c>
      <x:c r="C766" s="168" t="str">
        <x:v>FY2020</x:v>
      </x:c>
      <x:c r="D766" s="168" t="str">
        <x:v>Long-term financing (non-current, interest-bearing)</x:v>
      </x:c>
      <x:c r="E766" s="169" t="n">
        <x:v>21972000</x:v>
      </x:c>
      <x:c r="F766" s="169" t="n">
        <x:v>21972000</x:v>
      </x:c>
      <x:c r="G766" s="169" t="str">
        <x:v>Rs '000</x:v>
      </x:c>
      <x:c r="H766" s="169" t="n">
        <x:f>F766/1000</x:f>
        <x:v>21972</x:v>
      </x:c>
      <x:c r="I766" s="169" t="n">
        <x:f>DGKC!C43</x:f>
        <x:v>21972</x:v>
      </x:c>
      <x:c r="J766" s="169" t="n">
        <x:f>H766-I766</x:f>
        <x:v>0</x:v>
      </x:c>
      <x:c r="K766" s="168" t="str">
        <x:v>DG_Annual_Report_2021.pdf</x:v>
      </x:c>
      <x:c r="L766" s="168" t="n">
        <x:v>105</x:v>
      </x:c>
      <x:c r="M766" s="168" t="str">
        <x:v>Comparative</x:v>
      </x:c>
      <x:c r="N766" s="171" t="str">
        <x:v>Printed amount independently located</x:v>
      </x:c>
      <x:c r="O766" s="171" t="str">
        <x:v>Exact source amount found; audited year/current-comparative column recorded. Accounting subtotal tests performed separately.</x:v>
      </x:c>
      <x:c r="P766" s="171" t="str">
        <x:v>reserve: Un-appropriated profits  38,816,563 35,036,308
    73,477,873 66,644,157
NON-CURRENT LIABILITIES
 Long term finances - secured 7 19,300,064 21,972,000
 Deferred government grant 8 664,504 -
 Long term deposits 9 246,992 253,937
 Deferred liabilities 10 530,803 521,834
 Deferred taxation 11 3,378,941 2,535,349
    24,121,304 25,2</x:v>
      </x:c>
    </x:row>
    <x:row r="767" ht="82" customHeight="1">
      <x:c r="A767" s="76" t="str">
        <x:v>DGKC|ltf_nc|2021</x:v>
      </x:c>
      <x:c r="B767" s="76" t="str">
        <x:v>DGKC</x:v>
      </x:c>
      <x:c r="C767" s="76" t="str">
        <x:v>FY2021</x:v>
      </x:c>
      <x:c r="D767" s="76" t="str">
        <x:v>Long-term financing (non-current, interest-bearing)</x:v>
      </x:c>
      <x:c r="E767" s="170" t="n">
        <x:v>19300064</x:v>
      </x:c>
      <x:c r="F767" s="170" t="n">
        <x:v>19300064</x:v>
      </x:c>
      <x:c r="G767" s="170" t="str">
        <x:v>Rs '000</x:v>
      </x:c>
      <x:c r="H767" s="170" t="n">
        <x:f>F767/1000</x:f>
        <x:v>19300.064</x:v>
      </x:c>
      <x:c r="I767" s="170" t="n">
        <x:f>DGKC!D43</x:f>
        <x:v>19300.064</x:v>
      </x:c>
      <x:c r="J767" s="170" t="n">
        <x:f>H767-I767</x:f>
        <x:v>0</x:v>
      </x:c>
      <x:c r="K767" s="76" t="str">
        <x:v>DG_Annual_Report_2022.pdf</x:v>
      </x:c>
      <x:c r="L767" s="76" t="n">
        <x:v>125</x:v>
      </x:c>
      <x:c r="M767" s="76" t="str">
        <x:v>Comparative</x:v>
      </x:c>
      <x:c r="N767" s="99" t="str">
        <x:v>Printed amount independently located</x:v>
      </x:c>
      <x:c r="O767" s="99" t="str">
        <x:v>Exact source amount found; audited year/current-comparative column recorded. Accounting subtotal tests performed separately.</x:v>
      </x:c>
      <x:c r="P767" s="99" t="str">
        <x:v>ofits  41,298,287 38,816,563
    69,918,102 73,477,873
NON-CURRENT LIABILITIES
 Long term finances from financial institutions - secured 7 14,168,229 19,300,064
 Deferred government grant 8 450,684 664,504
 Long term deposits 9 281,177 246,992
 Employee benefits obligations 10 712,640 530,803
 Deferred taxation 11 4,942,150 3,378,941</x:v>
      </x:c>
    </x:row>
    <x:row r="768" ht="82" customHeight="1">
      <x:c r="A768" s="168" t="str">
        <x:v>DGKC|ltf_nc|2022</x:v>
      </x:c>
      <x:c r="B768" s="168" t="str">
        <x:v>DGKC</x:v>
      </x:c>
      <x:c r="C768" s="168" t="str">
        <x:v>FY2022</x:v>
      </x:c>
      <x:c r="D768" s="168" t="str">
        <x:v>Long-term financing (non-current, interest-bearing)</x:v>
      </x:c>
      <x:c r="E768" s="169" t="n">
        <x:v>14168229</x:v>
      </x:c>
      <x:c r="F768" s="169" t="n">
        <x:v>14168229</x:v>
      </x:c>
      <x:c r="G768" s="169" t="str">
        <x:v>Rs '000</x:v>
      </x:c>
      <x:c r="H768" s="169" t="n">
        <x:f>F768/1000</x:f>
        <x:v>14168.229</x:v>
      </x:c>
      <x:c r="I768" s="169" t="n">
        <x:f>DGKC!E43</x:f>
        <x:v>14168.229</x:v>
      </x:c>
      <x:c r="J768" s="169" t="n">
        <x:f>H768-I768</x:f>
        <x:v>0</x:v>
      </x:c>
      <x:c r="K768" s="168" t="str">
        <x:v>DGAnnual2023.pdf</x:v>
      </x:c>
      <x:c r="L768" s="168" t="n">
        <x:v>151</x:v>
      </x:c>
      <x:c r="M768" s="168" t="str">
        <x:v>Comparative</x:v>
      </x:c>
      <x:c r="N768" s="171" t="str">
        <x:v>Printed amount independently located</x:v>
      </x:c>
      <x:c r="O768" s="171" t="str">
        <x:v>Exact source amount found; audited year/current-comparative column recorded. Accounting subtotal tests performed separately.</x:v>
      </x:c>
      <x:c r="P768" s="171" t="str">
        <x:v>218,919 41,298,287
 Total equity  64,192,277 69,918,102
NON-CURRENT LIABILITIES
 Long term finances from financial institutions - secured 7 9,663,619 14,168,229
 Deferred government grant 8 278,753 450,684
 Long term deposits 9 439,697 281,177
 Employee benefits obligations 10  849,515 712,640
 Deferred taxation 11 10,613,603 4,942,150</x:v>
      </x:c>
    </x:row>
    <x:row r="769" ht="82" customHeight="1">
      <x:c r="A769" s="76" t="str">
        <x:v>DGKC|ltf_nc|2023</x:v>
      </x:c>
      <x:c r="B769" s="76" t="str">
        <x:v>DGKC</x:v>
      </x:c>
      <x:c r="C769" s="76" t="str">
        <x:v>FY2023</x:v>
      </x:c>
      <x:c r="D769" s="76" t="str">
        <x:v>Long-term financing (non-current, interest-bearing)</x:v>
      </x:c>
      <x:c r="E769" s="170" t="n">
        <x:v>9663619</x:v>
      </x:c>
      <x:c r="F769" s="170" t="n">
        <x:v>9663619</x:v>
      </x:c>
      <x:c r="G769" s="170" t="str">
        <x:v>Rs '000</x:v>
      </x:c>
      <x:c r="H769" s="170" t="n">
        <x:f>F769/1000</x:f>
        <x:v>9663.619</x:v>
      </x:c>
      <x:c r="I769" s="170" t="n">
        <x:f>DGKC!F43</x:f>
        <x:v>9663.619</x:v>
      </x:c>
      <x:c r="J769" s="170" t="n">
        <x:f>H769-I769</x:f>
        <x:v>0</x:v>
      </x:c>
      <x:c r="K769" s="76" t="str">
        <x:v>DGAnnual2024.pdf</x:v>
      </x:c>
      <x:c r="L769" s="76" t="n">
        <x:v>151</x:v>
      </x:c>
      <x:c r="M769" s="76" t="str">
        <x:v>Comparative</x:v>
      </x:c>
      <x:c r="N769" s="99" t="str">
        <x:v>Printed amount independently located</x:v>
      </x:c>
      <x:c r="O769" s="99" t="str">
        <x:v>Exact source amount found; audited year/current-comparative column recorded. Accounting subtotal tests performed separately.</x:v>
      </x:c>
      <x:c r="P769" s="99" t="str">
        <x:v>95,684 37,218,919
 Total equity  75,847,538 64,192,277
NON-CURRENT LIABILITIES
 Long term finances from financial institutions - secured 7 15,965,116 9,663,619
 Deferred government grant 8 154,614 278,753
 Long term deposits 9 572,748 439,697
 Employee benefits obligations 10 944,549 849,515
 Deferred taxation 11 12,675,472 10,613,603</x:v>
      </x:c>
    </x:row>
    <x:row r="770" ht="82" customHeight="1">
      <x:c r="A770" s="168" t="str">
        <x:v>DGKC|ltf_nc|2024</x:v>
      </x:c>
      <x:c r="B770" s="168" t="str">
        <x:v>DGKC</x:v>
      </x:c>
      <x:c r="C770" s="168" t="str">
        <x:v>FY2024</x:v>
      </x:c>
      <x:c r="D770" s="168" t="str">
        <x:v>Long-term financing (non-current, interest-bearing)</x:v>
      </x:c>
      <x:c r="E770" s="169" t="n">
        <x:v>15965116</x:v>
      </x:c>
      <x:c r="F770" s="169" t="n">
        <x:v>15965116</x:v>
      </x:c>
      <x:c r="G770" s="169" t="str">
        <x:v>Rs '000</x:v>
      </x:c>
      <x:c r="H770" s="169" t="n">
        <x:f>F770/1000</x:f>
        <x:v>15965.116</x:v>
      </x:c>
      <x:c r="I770" s="169" t="n">
        <x:f>DGKC!G43</x:f>
        <x:v>15965.116</x:v>
      </x:c>
      <x:c r="J770" s="169" t="n">
        <x:f>H770-I770</x:f>
        <x:v>0</x:v>
      </x:c>
      <x:c r="K770" s="168" t="str">
        <x:v>DGAnnual2025.pdf</x:v>
      </x:c>
      <x:c r="L770" s="168" t="n">
        <x:v>153</x:v>
      </x:c>
      <x:c r="M770" s="168" t="str">
        <x:v>Comparative</x:v>
      </x:c>
      <x:c r="N770" s="171" t="str">
        <x:v>Printed amount independently located</x:v>
      </x:c>
      <x:c r="O770" s="171" t="str">
        <x:v>Exact source amount found; audited year/current-comparative column recorded. Accounting subtotal tests performed separately.</x:v>
      </x:c>
      <x:c r="P770" s="171" t="str">
        <x:v>96,160 37,795,684
 Total equity  94,667,478 75,847,538
NON-CURRENT LIABILITIES
 Long term finances from financial institutions - secured 7 10,093,829 15,965,116
 Deferred government grant 8 70,135 154,614
 Long term deposits 9 940,292 572,748
 Employee benefits obligations 10 954,639 944,549
 Deferred taxation 11 13,286,942 12,675,472</x:v>
      </x:c>
    </x:row>
    <x:row r="771" ht="82" customHeight="1">
      <x:c r="A771" s="76" t="str">
        <x:v>DGKC|ltf_nc|2025</x:v>
      </x:c>
      <x:c r="B771" s="76" t="str">
        <x:v>DGKC</x:v>
      </x:c>
      <x:c r="C771" s="76" t="str">
        <x:v>FY2025</x:v>
      </x:c>
      <x:c r="D771" s="76" t="str">
        <x:v>Long-term financing (non-current, interest-bearing)</x:v>
      </x:c>
      <x:c r="E771" s="170" t="n">
        <x:v>10093829</x:v>
      </x:c>
      <x:c r="F771" s="170" t="n">
        <x:v>10093829</x:v>
      </x:c>
      <x:c r="G771" s="170" t="str">
        <x:v>Rs '000</x:v>
      </x:c>
      <x:c r="H771" s="170" t="n">
        <x:f>F771/1000</x:f>
        <x:v>10093.829</x:v>
      </x:c>
      <x:c r="I771" s="170" t="n">
        <x:f>DGKC!H43</x:f>
        <x:v>10093.829</x:v>
      </x:c>
      <x:c r="J771" s="170" t="n">
        <x:f>H771-I771</x:f>
        <x:v>0</x:v>
      </x:c>
      <x:c r="K771" s="76" t="str">
        <x:v>DGAnnual2025.pdf</x:v>
      </x:c>
      <x:c r="L771" s="76" t="n">
        <x:v>153</x:v>
      </x:c>
      <x:c r="M771" s="76" t="str">
        <x:v>Current year</x:v>
      </x:c>
      <x:c r="N771" s="99" t="str">
        <x:v>Printed amount independently located</x:v>
      </x:c>
      <x:c r="O771" s="99" t="str">
        <x:v>Exact source amount found; audited year/current-comparative column recorded. Accounting subtotal tests performed separately.</x:v>
      </x:c>
      <x:c r="P771" s="99" t="str">
        <x:v>ofits  46,496,160 37,795,684
 Total equity  94,667,478 75,847,538
NON-CURRENT LIABILITIES
 Long term finances from financial institutions - secured 7 10,093,829 15,965,116
 Deferred government grant 8 70,135 154,614
 Long term deposits 9 940,292 572,748
 Employee benefits obligations 10 954,639 944,549
 Deferred taxation 11 13,286,942 12,</x:v>
      </x:c>
    </x:row>
    <x:row r="772" ht="82" customHeight="1">
      <x:c r="A772" s="168" t="str">
        <x:v>DGKC|lease_nc|2020</x:v>
      </x:c>
      <x:c r="B772" s="168" t="str">
        <x:v>DGKC</x:v>
      </x:c>
      <x:c r="C772" s="168" t="str">
        <x:v>FY2020</x:v>
      </x:c>
      <x:c r="D772" s="168" t="str">
        <x:v>Lease liabilities (non-current)</x:v>
      </x:c>
      <x:c r="E772" s="169" t="n">
        <x:v>0</x:v>
      </x:c>
      <x:c r="F772" s="169" t="n">
        <x:v>0</x:v>
      </x:c>
      <x:c r="G772" s="169" t="str">
        <x:v>Rs '000</x:v>
      </x:c>
      <x:c r="H772" s="169" t="n">
        <x:f>F772/1000</x:f>
        <x:v>0</x:v>
      </x:c>
      <x:c r="I772" s="169" t="n">
        <x:f>DGKC!C44</x:f>
        <x:v>0</x:v>
      </x:c>
      <x:c r="J772" s="169" t="n">
        <x:f>H772-I772</x:f>
        <x:v>0</x:v>
      </x:c>
      <x:c r="K772" s="168" t="str">
        <x:v>DG_Annual_Report_2021.pdf</x:v>
      </x:c>
      <x:c r="L772" s="168" t="n">
        <x:v>105</x:v>
      </x:c>
      <x:c r="M772" s="168" t="str">
        <x:v>Comparative</x:v>
      </x:c>
      <x:c r="N772" s="171" t="str">
        <x:v>Zero / no separate line in audited presentation</x:v>
      </x:c>
      <x:c r="O772" s="171" t="str">
        <x:v>Zero classification checked within the audited statement/note and reconstructed statement totals; absence of a separate line does not imply a missing replacement estimate.</x:v>
      </x:c>
      <x:c r="P772" s="171" t="str">
        <x:v>
   2021 2020
  Note (Rupees in thousand)
EQUITY AND LIABILITIES
CAPITAL AND RESERVES
 Authorised share capital
 - 950,000,000 (2020: 950,000,000) | Lease liabilities (non-current)</x:v>
      </x:c>
    </x:row>
    <x:row r="773" ht="82" customHeight="1">
      <x:c r="A773" s="76" t="str">
        <x:v>DGKC|lease_nc|2021</x:v>
      </x:c>
      <x:c r="B773" s="76" t="str">
        <x:v>DGKC</x:v>
      </x:c>
      <x:c r="C773" s="76" t="str">
        <x:v>FY2021</x:v>
      </x:c>
      <x:c r="D773" s="76" t="str">
        <x:v>Lease liabilities (non-current)</x:v>
      </x:c>
      <x:c r="E773" s="170" t="n">
        <x:v>0</x:v>
      </x:c>
      <x:c r="F773" s="170" t="n">
        <x:v>0</x:v>
      </x:c>
      <x:c r="G773" s="170" t="str">
        <x:v>Rs '000</x:v>
      </x:c>
      <x:c r="H773" s="170" t="n">
        <x:f>F773/1000</x:f>
        <x:v>0</x:v>
      </x:c>
      <x:c r="I773" s="170" t="n">
        <x:f>DGKC!D44</x:f>
        <x:v>0</x:v>
      </x:c>
      <x:c r="J773" s="170" t="n">
        <x:f>H773-I773</x:f>
        <x:v>0</x:v>
      </x:c>
      <x:c r="K773" s="76" t="str">
        <x:v>DG_Annual_Report_2022.pdf</x:v>
      </x:c>
      <x:c r="L773" s="76" t="n">
        <x:v>125</x:v>
      </x:c>
      <x:c r="M773" s="76" t="str">
        <x:v>Comparative</x:v>
      </x:c>
      <x:c r="N773" s="99" t="str">
        <x:v>Zero / no separate line in audited presentation</x:v>
      </x:c>
      <x:c r="O773" s="99" t="str">
        <x:v>Zero classification checked within the audited statement/note and reconstructed statement totals; absence of a separate line does not imply a missing replacement estimate.</x:v>
      </x:c>
      <x:c r="P773" s="99" t="str">
        <x:v>
   2022 2021
  Note (Rupees in thousand)
EQUITY AND LIABILITIES
SHARE CAPITAL AND RESERVES
 Authorised share capital
 - 950,000,000 (2021: 950,00 | Lease liabilities (non-current)</x:v>
      </x:c>
    </x:row>
    <x:row r="774" ht="82" customHeight="1">
      <x:c r="A774" s="168" t="str">
        <x:v>DGKC|lease_nc|2022</x:v>
      </x:c>
      <x:c r="B774" s="168" t="str">
        <x:v>DGKC</x:v>
      </x:c>
      <x:c r="C774" s="168" t="str">
        <x:v>FY2022</x:v>
      </x:c>
      <x:c r="D774" s="168" t="str">
        <x:v>Lease liabilities (non-current)</x:v>
      </x:c>
      <x:c r="E774" s="169" t="n">
        <x:v>0</x:v>
      </x:c>
      <x:c r="F774" s="169" t="n">
        <x:v>0</x:v>
      </x:c>
      <x:c r="G774" s="169" t="str">
        <x:v>Rs '000</x:v>
      </x:c>
      <x:c r="H774" s="169" t="n">
        <x:f>F774/1000</x:f>
        <x:v>0</x:v>
      </x:c>
      <x:c r="I774" s="169" t="n">
        <x:f>DGKC!E44</x:f>
        <x:v>0</x:v>
      </x:c>
      <x:c r="J774" s="169" t="n">
        <x:f>H774-I774</x:f>
        <x:v>0</x:v>
      </x:c>
      <x:c r="K774" s="168" t="str">
        <x:v>DGAnnual2023.pdf</x:v>
      </x:c>
      <x:c r="L774" s="168" t="n">
        <x:v>151</x:v>
      </x:c>
      <x:c r="M774" s="168" t="str">
        <x:v>Comparative</x:v>
      </x:c>
      <x:c r="N774" s="171" t="str">
        <x:v>Zero / no separate line in audited presentation</x:v>
      </x:c>
      <x:c r="O774" s="171" t="str">
        <x:v>Zero classification checked within the audited statement/note and reconstructed statement totals; absence of a separate line does not imply a missing replacement estimate.</x:v>
      </x:c>
      <x:c r="P774" s="171" t="str">
        <x:v>
   2023 2022
  Note (Rupees in thousand)
EQUITY AND LIABILITIES
SHARE CAPITAL AND RESERVES
 Authorised share capital
 - 950,000,000 (2022: 950,00 | Lease liabilities (non-current)</x:v>
      </x:c>
    </x:row>
    <x:row r="775" ht="82" customHeight="1">
      <x:c r="A775" s="76" t="str">
        <x:v>DGKC|lease_nc|2023</x:v>
      </x:c>
      <x:c r="B775" s="76" t="str">
        <x:v>DGKC</x:v>
      </x:c>
      <x:c r="C775" s="76" t="str">
        <x:v>FY2023</x:v>
      </x:c>
      <x:c r="D775" s="76" t="str">
        <x:v>Lease liabilities (non-current)</x:v>
      </x:c>
      <x:c r="E775" s="170" t="n">
        <x:v>0</x:v>
      </x:c>
      <x:c r="F775" s="170" t="n">
        <x:v>0</x:v>
      </x:c>
      <x:c r="G775" s="170" t="str">
        <x:v>Rs '000</x:v>
      </x:c>
      <x:c r="H775" s="170" t="n">
        <x:f>F775/1000</x:f>
        <x:v>0</x:v>
      </x:c>
      <x:c r="I775" s="170" t="n">
        <x:f>DGKC!F44</x:f>
        <x:v>0</x:v>
      </x:c>
      <x:c r="J775" s="170" t="n">
        <x:f>H775-I775</x:f>
        <x:v>0</x:v>
      </x:c>
      <x:c r="K775" s="76" t="str">
        <x:v>DGAnnual2024.pdf</x:v>
      </x:c>
      <x:c r="L775" s="76" t="n">
        <x:v>151</x:v>
      </x:c>
      <x:c r="M775" s="76" t="str">
        <x:v>Comparative</x:v>
      </x:c>
      <x:c r="N775" s="99" t="str">
        <x:v>Zero / no separate line in audited presentation</x:v>
      </x:c>
      <x:c r="O775" s="99" t="str">
        <x:v>Zero classification checked within the audited statement/note and reconstructed statement totals; absence of a separate line does not imply a missing replacement estimate.</x:v>
      </x:c>
      <x:c r="P775" s="99" t="str">
        <x:v>
150
DGKC Annual Report 2024
   2024 2023
  Note (Rupees in thousand)
EQUITY AND LIABILITIES
SHARE CAPITAL AND RESERVES
 Authorised share capital
 | Lease liabilities (non-current)</x:v>
      </x:c>
    </x:row>
    <x:row r="776" ht="82" customHeight="1">
      <x:c r="A776" s="168" t="str">
        <x:v>DGKC|lease_nc|2024</x:v>
      </x:c>
      <x:c r="B776" s="168" t="str">
        <x:v>DGKC</x:v>
      </x:c>
      <x:c r="C776" s="168" t="str">
        <x:v>FY2024</x:v>
      </x:c>
      <x:c r="D776" s="168" t="str">
        <x:v>Lease liabilities (non-current)</x:v>
      </x:c>
      <x:c r="E776" s="169" t="n">
        <x:v>0</x:v>
      </x:c>
      <x:c r="F776" s="169" t="n">
        <x:v>0</x:v>
      </x:c>
      <x:c r="G776" s="169" t="str">
        <x:v>Rs '000</x:v>
      </x:c>
      <x:c r="H776" s="169" t="n">
        <x:f>F776/1000</x:f>
        <x:v>0</x:v>
      </x:c>
      <x:c r="I776" s="169" t="n">
        <x:f>DGKC!G44</x:f>
        <x:v>0</x:v>
      </x:c>
      <x:c r="J776" s="169" t="n">
        <x:f>H776-I776</x:f>
        <x:v>0</x:v>
      </x:c>
      <x:c r="K776" s="168" t="str">
        <x:v>DGAnnual2025.pdf</x:v>
      </x:c>
      <x:c r="L776" s="168" t="n">
        <x:v>153</x:v>
      </x:c>
      <x:c r="M776" s="168" t="str">
        <x:v>Comparative</x:v>
      </x:c>
      <x:c r="N776" s="171" t="str">
        <x:v>Zero / no separate line in audited presentation</x:v>
      </x:c>
      <x:c r="O776" s="171" t="str">
        <x:v>Zero classification checked within the audited statement/note and reconstructed statement totals; absence of a separate line does not imply a missing replacement estimate.</x:v>
      </x:c>
      <x:c r="P776" s="171" t="str">
        <x:v>
   2025 2024
  Note (Rupees in thousand)
EQUITY AND LIABILITIES
SHARE CAPITAL AND RESERVES
 Authorised share capital
 - 950,000,000 (2024: 950,00 | Lease liabilities (non-current)</x:v>
      </x:c>
    </x:row>
    <x:row r="777" ht="82" customHeight="1">
      <x:c r="A777" s="76" t="str">
        <x:v>DGKC|lease_nc|2025</x:v>
      </x:c>
      <x:c r="B777" s="76" t="str">
        <x:v>DGKC</x:v>
      </x:c>
      <x:c r="C777" s="76" t="str">
        <x:v>FY2025</x:v>
      </x:c>
      <x:c r="D777" s="76" t="str">
        <x:v>Lease liabilities (non-current)</x:v>
      </x:c>
      <x:c r="E777" s="170" t="n">
        <x:v>0</x:v>
      </x:c>
      <x:c r="F777" s="170" t="n">
        <x:v>0</x:v>
      </x:c>
      <x:c r="G777" s="170" t="str">
        <x:v>Rs '000</x:v>
      </x:c>
      <x:c r="H777" s="170" t="n">
        <x:f>F777/1000</x:f>
        <x:v>0</x:v>
      </x:c>
      <x:c r="I777" s="170" t="n">
        <x:f>DGKC!H44</x:f>
        <x:v>0</x:v>
      </x:c>
      <x:c r="J777" s="170" t="n">
        <x:f>H777-I777</x:f>
        <x:v>0</x:v>
      </x:c>
      <x:c r="K777" s="76" t="str">
        <x:v>DGAnnual2025.pdf</x:v>
      </x:c>
      <x:c r="L777" s="76" t="n">
        <x:v>153</x:v>
      </x:c>
      <x:c r="M777" s="76" t="str">
        <x:v>Current year</x:v>
      </x:c>
      <x:c r="N777" s="99" t="str">
        <x:v>Zero / no separate line in audited presentation</x:v>
      </x:c>
      <x:c r="O777" s="99" t="str">
        <x:v>Zero classification checked within the audited statement/note and reconstructed statement totals; absence of a separate line does not imply a missing replacement estimate.</x:v>
      </x:c>
      <x:c r="P777" s="99" t="str">
        <x:v>
   2025 2024
  Note (Rupees in thousand)
EQUITY AND LIABILITIES
SHARE CAPITAL AND RESERVES
 Authorised share capital
 - 950,000,000 (2024: 950,00 | Lease liabilities (non-current)</x:v>
      </x:c>
    </x:row>
    <x:row r="778" ht="82" customHeight="1">
      <x:c r="A778" s="168" t="str">
        <x:v>DGKC|grant_nc|2020</x:v>
      </x:c>
      <x:c r="B778" s="168" t="str">
        <x:v>DGKC</x:v>
      </x:c>
      <x:c r="C778" s="168" t="str">
        <x:v>FY2020</x:v>
      </x:c>
      <x:c r="D778" s="168" t="str">
        <x:v>Deferred government grant (non-current)</x:v>
      </x:c>
      <x:c r="E778" s="169" t="n">
        <x:v>0</x:v>
      </x:c>
      <x:c r="F778" s="169" t="n">
        <x:v>0</x:v>
      </x:c>
      <x:c r="G778" s="169" t="str">
        <x:v>Rs '000</x:v>
      </x:c>
      <x:c r="H778" s="169" t="n">
        <x:f>F778/1000</x:f>
        <x:v>0</x:v>
      </x:c>
      <x:c r="I778" s="169" t="n">
        <x:f>DGKC!C45</x:f>
        <x:v>0</x:v>
      </x:c>
      <x:c r="J778" s="169" t="n">
        <x:f>H778-I778</x:f>
        <x:v>0</x:v>
      </x:c>
      <x:c r="K778" s="168" t="str">
        <x:v>DG_Annual_Report_2021.pdf</x:v>
      </x:c>
      <x:c r="L778" s="168" t="n">
        <x:v>105</x:v>
      </x:c>
      <x:c r="M778" s="168" t="str">
        <x:v>Comparative</x:v>
      </x:c>
      <x:c r="N778" s="171" t="str">
        <x:v>Zero / no separate line in audited presentation</x:v>
      </x:c>
      <x:c r="O778" s="171" t="str">
        <x:v>Zero classification checked within the audited statement/note and reconstructed statement totals; absence of a separate line does not imply a missing replacement estimate.</x:v>
      </x:c>
      <x:c r="P778" s="171" t="str">
        <x:v>
   2021 2020
  Note (Rupees in thousand)
EQUITY AND LIABILITIES
CAPITAL AND RESERVES
 Authorised share capital
 - 950,000,000 (2020: 950,000,000) | Deferred government grant</x:v>
      </x:c>
    </x:row>
    <x:row r="779" ht="82" customHeight="1">
      <x:c r="A779" s="76" t="str">
        <x:v>DGKC|grant_nc|2021</x:v>
      </x:c>
      <x:c r="B779" s="76" t="str">
        <x:v>DGKC</x:v>
      </x:c>
      <x:c r="C779" s="76" t="str">
        <x:v>FY2021</x:v>
      </x:c>
      <x:c r="D779" s="76" t="str">
        <x:v>Deferred government grant (non-current)</x:v>
      </x:c>
      <x:c r="E779" s="170" t="n">
        <x:v>664504</x:v>
      </x:c>
      <x:c r="F779" s="170" t="n">
        <x:v>664504</x:v>
      </x:c>
      <x:c r="G779" s="170" t="str">
        <x:v>Rs '000</x:v>
      </x:c>
      <x:c r="H779" s="170" t="n">
        <x:f>F779/1000</x:f>
        <x:v>664.504</x:v>
      </x:c>
      <x:c r="I779" s="170" t="n">
        <x:f>DGKC!D45</x:f>
        <x:v>664.504</x:v>
      </x:c>
      <x:c r="J779" s="170" t="n">
        <x:f>H779-I779</x:f>
        <x:v>0</x:v>
      </x:c>
      <x:c r="K779" s="76" t="str">
        <x:v>DG_Annual_Report_2022.pdf</x:v>
      </x:c>
      <x:c r="L779" s="76" t="n">
        <x:v>125</x:v>
      </x:c>
      <x:c r="M779" s="76" t="str">
        <x:v>Comparative</x:v>
      </x:c>
      <x:c r="N779" s="99" t="str">
        <x:v>Printed amount independently located</x:v>
      </x:c>
      <x:c r="O779" s="99" t="str">
        <x:v>Exact source amount found; audited year/current-comparative column recorded. Accounting subtotal tests performed separately.</x:v>
      </x:c>
      <x:c r="P779" s="99" t="str">
        <x:v>77,873
NON-CURRENT LIABILITIES
 Long term finances from financial institutions - secured 7 14,168,229 19,300,064
 Deferred government grant 8 450,684 664,504
 Long term deposits 9 281,177 246,992
 Employee benefits obligations 10 712,640 530,803
 Deferred taxation 11 4,942,150 3,378,941
    20,554,880 24,121,304
CURRENT LIABILITIES
 Tr</x:v>
      </x:c>
    </x:row>
    <x:row r="780" ht="82" customHeight="1">
      <x:c r="A780" s="168" t="str">
        <x:v>DGKC|grant_nc|2022</x:v>
      </x:c>
      <x:c r="B780" s="168" t="str">
        <x:v>DGKC</x:v>
      </x:c>
      <x:c r="C780" s="168" t="str">
        <x:v>FY2022</x:v>
      </x:c>
      <x:c r="D780" s="168" t="str">
        <x:v>Deferred government grant (non-current)</x:v>
      </x:c>
      <x:c r="E780" s="169" t="n">
        <x:v>450684</x:v>
      </x:c>
      <x:c r="F780" s="169" t="n">
        <x:v>450684</x:v>
      </x:c>
      <x:c r="G780" s="169" t="str">
        <x:v>Rs '000</x:v>
      </x:c>
      <x:c r="H780" s="169" t="n">
        <x:f>F780/1000</x:f>
        <x:v>450.684</x:v>
      </x:c>
      <x:c r="I780" s="169" t="n">
        <x:f>DGKC!E45</x:f>
        <x:v>450.684</x:v>
      </x:c>
      <x:c r="J780" s="169" t="n">
        <x:f>H780-I780</x:f>
        <x:v>0</x:v>
      </x:c>
      <x:c r="K780" s="168" t="str">
        <x:v>DGAnnual2023.pdf</x:v>
      </x:c>
      <x:c r="L780" s="168" t="n">
        <x:v>151</x:v>
      </x:c>
      <x:c r="M780" s="168" t="str">
        <x:v>Comparative</x:v>
      </x:c>
      <x:c r="N780" s="171" t="str">
        <x:v>Printed amount independently located</x:v>
      </x:c>
      <x:c r="O780" s="171" t="str">
        <x:v>Exact source amount found; audited year/current-comparative column recorded. Accounting subtotal tests performed separately.</x:v>
      </x:c>
      <x:c r="P780" s="171" t="str">
        <x:v>918,102
NON-CURRENT LIABILITIES
 Long term finances from financial institutions - secured 7 9,663,619 14,168,229
 Deferred government grant 8 278,753 450,684
 Long term deposits 9 439,697 281,177
 Employee benefits obligations 10  849,515 712,640
 Deferred taxation 11 10,613,603 4,942,150
    21,845,187 20,554,880
CURRENT LIABILITIES</x:v>
      </x:c>
    </x:row>
    <x:row r="781" ht="82" customHeight="1">
      <x:c r="A781" s="76" t="str">
        <x:v>DGKC|grant_nc|2023</x:v>
      </x:c>
      <x:c r="B781" s="76" t="str">
        <x:v>DGKC</x:v>
      </x:c>
      <x:c r="C781" s="76" t="str">
        <x:v>FY2023</x:v>
      </x:c>
      <x:c r="D781" s="76" t="str">
        <x:v>Deferred government grant (non-current)</x:v>
      </x:c>
      <x:c r="E781" s="170" t="n">
        <x:v>278753</x:v>
      </x:c>
      <x:c r="F781" s="170" t="n">
        <x:v>278753</x:v>
      </x:c>
      <x:c r="G781" s="170" t="str">
        <x:v>Rs '000</x:v>
      </x:c>
      <x:c r="H781" s="170" t="n">
        <x:f>F781/1000</x:f>
        <x:v>278.753</x:v>
      </x:c>
      <x:c r="I781" s="170" t="n">
        <x:f>DGKC!F45</x:f>
        <x:v>278.753</x:v>
      </x:c>
      <x:c r="J781" s="170" t="n">
        <x:f>H781-I781</x:f>
        <x:v>0</x:v>
      </x:c>
      <x:c r="K781" s="76" t="str">
        <x:v>DGAnnual2024.pdf</x:v>
      </x:c>
      <x:c r="L781" s="76" t="n">
        <x:v>151</x:v>
      </x:c>
      <x:c r="M781" s="76" t="str">
        <x:v>Comparative</x:v>
      </x:c>
      <x:c r="N781" s="99" t="str">
        <x:v>Printed amount independently located</x:v>
      </x:c>
      <x:c r="O781" s="99" t="str">
        <x:v>Exact source amount found; audited year/current-comparative column recorded. Accounting subtotal tests performed separately.</x:v>
      </x:c>
      <x:c r="P781" s="99" t="str">
        <x:v>192,277
NON-CURRENT LIABILITIES
 Long term finances from financial institutions - secured 7 15,965,116 9,663,619
 Deferred government grant 8 154,614 278,753
 Long term deposits 9 572,748 439,697
 Employee benefits obligations 10 944,549 849,515
 Deferred taxation 11 12,675,472 10,613,603
    30,312,499 21,845,187
CURRENT LIABILITIES</x:v>
      </x:c>
    </x:row>
    <x:row r="782" ht="82" customHeight="1">
      <x:c r="A782" s="168" t="str">
        <x:v>DGKC|grant_nc|2024</x:v>
      </x:c>
      <x:c r="B782" s="168" t="str">
        <x:v>DGKC</x:v>
      </x:c>
      <x:c r="C782" s="168" t="str">
        <x:v>FY2024</x:v>
      </x:c>
      <x:c r="D782" s="168" t="str">
        <x:v>Deferred government grant (non-current)</x:v>
      </x:c>
      <x:c r="E782" s="169" t="n">
        <x:v>154614</x:v>
      </x:c>
      <x:c r="F782" s="169" t="n">
        <x:v>154614</x:v>
      </x:c>
      <x:c r="G782" s="169" t="str">
        <x:v>Rs '000</x:v>
      </x:c>
      <x:c r="H782" s="169" t="n">
        <x:f>F782/1000</x:f>
        <x:v>154.614</x:v>
      </x:c>
      <x:c r="I782" s="169" t="n">
        <x:f>DGKC!G45</x:f>
        <x:v>154.614</x:v>
      </x:c>
      <x:c r="J782" s="169" t="n">
        <x:f>H782-I782</x:f>
        <x:v>0</x:v>
      </x:c>
      <x:c r="K782" s="168" t="str">
        <x:v>DGAnnual2025.pdf</x:v>
      </x:c>
      <x:c r="L782" s="168" t="n">
        <x:v>153</x:v>
      </x:c>
      <x:c r="M782" s="168" t="str">
        <x:v>Comparative</x:v>
      </x:c>
      <x:c r="N782" s="171" t="str">
        <x:v>Printed amount independently located</x:v>
      </x:c>
      <x:c r="O782" s="171" t="str">
        <x:v>Exact source amount found; audited year/current-comparative column recorded. Accounting subtotal tests performed separately.</x:v>
      </x:c>
      <x:c r="P782" s="171" t="str">
        <x:v>847,538
NON-CURRENT LIABILITIES
 Long term finances from financial institutions - secured 7 10,093,829 15,965,116
 Deferred government grant 8 70,135 154,614
 Long term deposits 9 940,292 572,748
 Employee benefits obligations 10 954,639 944,549
 Deferred taxation 11 13,286,942 12,675,472
    25,345,837 30,312,499
CURRENT LIABILITIES</x:v>
      </x:c>
    </x:row>
    <x:row r="783" ht="82" customHeight="1">
      <x:c r="A783" s="76" t="str">
        <x:v>DGKC|grant_nc|2025</x:v>
      </x:c>
      <x:c r="B783" s="76" t="str">
        <x:v>DGKC</x:v>
      </x:c>
      <x:c r="C783" s="76" t="str">
        <x:v>FY2025</x:v>
      </x:c>
      <x:c r="D783" s="76" t="str">
        <x:v>Deferred government grant (non-current)</x:v>
      </x:c>
      <x:c r="E783" s="170" t="n">
        <x:v>70135</x:v>
      </x:c>
      <x:c r="F783" s="170" t="n">
        <x:v>70135</x:v>
      </x:c>
      <x:c r="G783" s="170" t="str">
        <x:v>Rs '000</x:v>
      </x:c>
      <x:c r="H783" s="170" t="n">
        <x:f>F783/1000</x:f>
        <x:v>70.135</x:v>
      </x:c>
      <x:c r="I783" s="170" t="n">
        <x:f>DGKC!H45</x:f>
        <x:v>70.135</x:v>
      </x:c>
      <x:c r="J783" s="170" t="n">
        <x:f>H783-I783</x:f>
        <x:v>0</x:v>
      </x:c>
      <x:c r="K783" s="76" t="str">
        <x:v>DGAnnual2025.pdf</x:v>
      </x:c>
      <x:c r="L783" s="76" t="n">
        <x:v>153</x:v>
      </x:c>
      <x:c r="M783" s="76" t="str">
        <x:v>Current year</x:v>
      </x:c>
      <x:c r="N783" s="99" t="str">
        <x:v>Printed amount independently located</x:v>
      </x:c>
      <x:c r="O783" s="99" t="str">
        <x:v>Exact source amount found; audited year/current-comparative column recorded. Accounting subtotal tests performed separately.</x:v>
      </x:c>
      <x:c r="P783" s="99" t="str">
        <x:v>478 75,847,538
NON-CURRENT LIABILITIES
 Long term finances from financial institutions - secured 7 10,093,829 15,965,116
 Deferred government grant 8 70,135 154,614
 Long term deposits 9 940,292 572,748
 Employee benefits obligations 10 954,639 944,549
 Deferred taxation 11 13,286,942 12,675,472
    25,345,837 30,312,499
CURRENT LIABI</x:v>
      </x:c>
    </x:row>
    <x:row r="784" ht="82" customHeight="1">
      <x:c r="A784" s="168" t="str">
        <x:v>DGKC|def_tax|2020</x:v>
      </x:c>
      <x:c r="B784" s="168" t="str">
        <x:v>DGKC</x:v>
      </x:c>
      <x:c r="C784" s="168" t="str">
        <x:v>FY2020</x:v>
      </x:c>
      <x:c r="D784" s="168" t="str">
        <x:v>Deferred tax liability</x:v>
      </x:c>
      <x:c r="E784" s="169" t="n">
        <x:v>2535349</x:v>
      </x:c>
      <x:c r="F784" s="169" t="n">
        <x:v>2535349</x:v>
      </x:c>
      <x:c r="G784" s="169" t="str">
        <x:v>Rs '000</x:v>
      </x:c>
      <x:c r="H784" s="169" t="n">
        <x:f>F784/1000</x:f>
        <x:v>2535.349</x:v>
      </x:c>
      <x:c r="I784" s="169" t="n">
        <x:f>DGKC!C46</x:f>
        <x:v>2535.349</x:v>
      </x:c>
      <x:c r="J784" s="169" t="n">
        <x:f>H784-I784</x:f>
        <x:v>0</x:v>
      </x:c>
      <x:c r="K784" s="168" t="str">
        <x:v>DG_Annual_Report_2021.pdf</x:v>
      </x:c>
      <x:c r="L784" s="168" t="n">
        <x:v>105</x:v>
      </x:c>
      <x:c r="M784" s="168" t="str">
        <x:v>Comparative</x:v>
      </x:c>
      <x:c r="N784" s="171" t="str">
        <x:v>Printed amount independently located</x:v>
      </x:c>
      <x:c r="O784" s="171" t="str">
        <x:v>Exact source amount found; audited year/current-comparative column recorded. Accounting subtotal tests performed separately.</x:v>
      </x:c>
      <x:c r="P784" s="171" t="str">
        <x:v>Deferred government grant 8 664,504 -
 Long term deposits 9 246,992 253,937
 Deferred liabilities 10 530,803 521,834
 Deferred taxation 11 3,378,941 2,535,349
    24,121,304 25,283,120
CURRENT LIABILITIES
 Trade and other payables 12 14,923,151 11,298,187
 Accrued markup 13 507,769 712,275
 Short term borrowings - secured 14 18,362,050</x:v>
      </x:c>
    </x:row>
    <x:row r="785" ht="82" customHeight="1">
      <x:c r="A785" s="76" t="str">
        <x:v>DGKC|def_tax|2021</x:v>
      </x:c>
      <x:c r="B785" s="76" t="str">
        <x:v>DGKC</x:v>
      </x:c>
      <x:c r="C785" s="76" t="str">
        <x:v>FY2021</x:v>
      </x:c>
      <x:c r="D785" s="76" t="str">
        <x:v>Deferred tax liability</x:v>
      </x:c>
      <x:c r="E785" s="170" t="n">
        <x:v>3378941</x:v>
      </x:c>
      <x:c r="F785" s="170" t="n">
        <x:v>3378941</x:v>
      </x:c>
      <x:c r="G785" s="170" t="str">
        <x:v>Rs '000</x:v>
      </x:c>
      <x:c r="H785" s="170" t="n">
        <x:f>F785/1000</x:f>
        <x:v>3378.941</x:v>
      </x:c>
      <x:c r="I785" s="170" t="n">
        <x:f>DGKC!D46</x:f>
        <x:v>3378.941</x:v>
      </x:c>
      <x:c r="J785" s="170" t="n">
        <x:f>H785-I785</x:f>
        <x:v>0</x:v>
      </x:c>
      <x:c r="K785" s="76" t="str">
        <x:v>DG_Annual_Report_2022.pdf</x:v>
      </x:c>
      <x:c r="L785" s="76" t="n">
        <x:v>125</x:v>
      </x:c>
      <x:c r="M785" s="76" t="str">
        <x:v>Comparative</x:v>
      </x:c>
      <x:c r="N785" s="99" t="str">
        <x:v>Printed amount independently located</x:v>
      </x:c>
      <x:c r="O785" s="99" t="str">
        <x:v>Exact source amount found; audited year/current-comparative column recorded. Accounting subtotal tests performed separately.</x:v>
      </x:c>
      <x:c r="P785" s="99" t="str">
        <x:v>nment grant 8 450,684 664,504
 Long term deposits 9 281,177 246,992
 Employee benefits obligations 10 712,640 530,803
 Deferred taxation 11 4,942,150 3,378,941
    20,554,880 24,121,304
CURRENT LIABILITIES
 Trade and other payables 12 12,591,709 14,923,151
 Short term borrowings from financial institutions - secured 13 25,210,506 18,362,</x:v>
      </x:c>
    </x:row>
    <x:row r="786" ht="82" customHeight="1">
      <x:c r="A786" s="168" t="str">
        <x:v>DGKC|def_tax|2022</x:v>
      </x:c>
      <x:c r="B786" s="168" t="str">
        <x:v>DGKC</x:v>
      </x:c>
      <x:c r="C786" s="168" t="str">
        <x:v>FY2022</x:v>
      </x:c>
      <x:c r="D786" s="168" t="str">
        <x:v>Deferred tax liability</x:v>
      </x:c>
      <x:c r="E786" s="169" t="n">
        <x:v>4942150</x:v>
      </x:c>
      <x:c r="F786" s="169" t="n">
        <x:v>4942150</x:v>
      </x:c>
      <x:c r="G786" s="169" t="str">
        <x:v>Rs '000</x:v>
      </x:c>
      <x:c r="H786" s="169" t="n">
        <x:f>F786/1000</x:f>
        <x:v>4942.15</x:v>
      </x:c>
      <x:c r="I786" s="169" t="n">
        <x:f>DGKC!E46</x:f>
        <x:v>4942.15</x:v>
      </x:c>
      <x:c r="J786" s="169" t="n">
        <x:f>H786-I786</x:f>
        <x:v>0</x:v>
      </x:c>
      <x:c r="K786" s="168" t="str">
        <x:v>DGAnnual2023.pdf</x:v>
      </x:c>
      <x:c r="L786" s="168" t="n">
        <x:v>151</x:v>
      </x:c>
      <x:c r="M786" s="168" t="str">
        <x:v>Comparative</x:v>
      </x:c>
      <x:c r="N786" s="171" t="str">
        <x:v>Printed amount independently located</x:v>
      </x:c>
      <x:c r="O786" s="171" t="str">
        <x:v>Exact source amount found; audited year/current-comparative column recorded. Accounting subtotal tests performed separately.</x:v>
      </x:c>
      <x:c r="P786" s="171" t="str">
        <x:v>ent grant 8 278,753 450,684
 Long term deposits 9 439,697 281,177
 Employee benefits obligations 10  849,515 712,640
 Deferred taxation 11 10,613,603 4,942,150
    21,845,187 20,554,880
CURRENT LIABILITIES
 Trade and other payables 12 13,783,299 12,591,709
 Short term borrowings from financial institutions - secured 13 25,494,293 25,210,</x:v>
      </x:c>
    </x:row>
    <x:row r="787" ht="82" customHeight="1">
      <x:c r="A787" s="76" t="str">
        <x:v>DGKC|def_tax|2023</x:v>
      </x:c>
      <x:c r="B787" s="76" t="str">
        <x:v>DGKC</x:v>
      </x:c>
      <x:c r="C787" s="76" t="str">
        <x:v>FY2023</x:v>
      </x:c>
      <x:c r="D787" s="76" t="str">
        <x:v>Deferred tax liability</x:v>
      </x:c>
      <x:c r="E787" s="170" t="n">
        <x:v>10613603</x:v>
      </x:c>
      <x:c r="F787" s="170" t="n">
        <x:v>10613603</x:v>
      </x:c>
      <x:c r="G787" s="170" t="str">
        <x:v>Rs '000</x:v>
      </x:c>
      <x:c r="H787" s="170" t="n">
        <x:f>F787/1000</x:f>
        <x:v>10613.603</x:v>
      </x:c>
      <x:c r="I787" s="170" t="n">
        <x:f>DGKC!F46</x:f>
        <x:v>10613.603</x:v>
      </x:c>
      <x:c r="J787" s="170" t="n">
        <x:f>H787-I787</x:f>
        <x:v>0</x:v>
      </x:c>
      <x:c r="K787" s="76" t="str">
        <x:v>DGAnnual2024.pdf</x:v>
      </x:c>
      <x:c r="L787" s="76" t="n">
        <x:v>151</x:v>
      </x:c>
      <x:c r="M787" s="76" t="str">
        <x:v>Comparative</x:v>
      </x:c>
      <x:c r="N787" s="99" t="str">
        <x:v>Printed amount independently located</x:v>
      </x:c>
      <x:c r="O787" s="99" t="str">
        <x:v>Exact source amount found; audited year/current-comparative column recorded. Accounting subtotal tests performed separately.</x:v>
      </x:c>
      <x:c r="P787" s="99" t="str">
        <x:v>ment grant 8 154,614 278,753
 Long term deposits 9 572,748 439,697
 Employee benefits obligations 10 944,549 849,515
 Deferred taxation 11 12,675,472 10,613,603
    30,312,499 21,845,187
CURRENT LIABILITIES
 Trade and other payables 12 12,394,455 13,783,299
 Short term borrowings from financial institutions - secured 13 13,064,718 25,494,</x:v>
      </x:c>
    </x:row>
    <x:row r="788" ht="82" customHeight="1">
      <x:c r="A788" s="168" t="str">
        <x:v>DGKC|def_tax|2024</x:v>
      </x:c>
      <x:c r="B788" s="168" t="str">
        <x:v>DGKC</x:v>
      </x:c>
      <x:c r="C788" s="168" t="str">
        <x:v>FY2024</x:v>
      </x:c>
      <x:c r="D788" s="168" t="str">
        <x:v>Deferred tax liability</x:v>
      </x:c>
      <x:c r="E788" s="169" t="n">
        <x:v>12675472</x:v>
      </x:c>
      <x:c r="F788" s="169" t="n">
        <x:v>12675472</x:v>
      </x:c>
      <x:c r="G788" s="169" t="str">
        <x:v>Rs '000</x:v>
      </x:c>
      <x:c r="H788" s="169" t="n">
        <x:f>F788/1000</x:f>
        <x:v>12675.472</x:v>
      </x:c>
      <x:c r="I788" s="169" t="n">
        <x:f>DGKC!G46</x:f>
        <x:v>12675.472</x:v>
      </x:c>
      <x:c r="J788" s="169" t="n">
        <x:f>H788-I788</x:f>
        <x:v>0</x:v>
      </x:c>
      <x:c r="K788" s="168" t="str">
        <x:v>DGAnnual2025.pdf</x:v>
      </x:c>
      <x:c r="L788" s="168" t="n">
        <x:v>153</x:v>
      </x:c>
      <x:c r="M788" s="168" t="str">
        <x:v>Comparative</x:v>
      </x:c>
      <x:c r="N788" s="171" t="str">
        <x:v>Printed amount independently located</x:v>
      </x:c>
      <x:c r="O788" s="171" t="str">
        <x:v>Exact source amount found; audited year/current-comparative column recorded. Accounting subtotal tests performed separately.</x:v>
      </x:c>
      <x:c r="P788" s="171" t="str">
        <x:v>nment grant 8 70,135 154,614
 Long term deposits 9 940,292 572,748
 Employee benefits obligations 10 954,639 944,549
 Deferred taxation 11 13,286,942 12,675,472
    25,345,837 30,312,499
CURRENT LIABILITIES
 Trade and other payables 12 13,333,448 12,394,455
 Short term borrowings from financial institutions - secured 13 9,878,499 13,064,7</x:v>
      </x:c>
    </x:row>
    <x:row r="789" ht="82" customHeight="1">
      <x:c r="A789" s="76" t="str">
        <x:v>DGKC|def_tax|2025</x:v>
      </x:c>
      <x:c r="B789" s="76" t="str">
        <x:v>DGKC</x:v>
      </x:c>
      <x:c r="C789" s="76" t="str">
        <x:v>FY2025</x:v>
      </x:c>
      <x:c r="D789" s="76" t="str">
        <x:v>Deferred tax liability</x:v>
      </x:c>
      <x:c r="E789" s="170" t="n">
        <x:v>13286942</x:v>
      </x:c>
      <x:c r="F789" s="170" t="n">
        <x:v>13286942</x:v>
      </x:c>
      <x:c r="G789" s="170" t="str">
        <x:v>Rs '000</x:v>
      </x:c>
      <x:c r="H789" s="170" t="n">
        <x:f>F789/1000</x:f>
        <x:v>13286.942</x:v>
      </x:c>
      <x:c r="I789" s="170" t="n">
        <x:f>DGKC!H46</x:f>
        <x:v>13286.942</x:v>
      </x:c>
      <x:c r="J789" s="170" t="n">
        <x:f>H789-I789</x:f>
        <x:v>0</x:v>
      </x:c>
      <x:c r="K789" s="76" t="str">
        <x:v>DGAnnual2025.pdf</x:v>
      </x:c>
      <x:c r="L789" s="76" t="n">
        <x:v>153</x:v>
      </x:c>
      <x:c r="M789" s="76" t="str">
        <x:v>Current year</x:v>
      </x:c>
      <x:c r="N789" s="99" t="str">
        <x:v>Printed amount independently located</x:v>
      </x:c>
      <x:c r="O789" s="99" t="str">
        <x:v>Exact source amount found; audited year/current-comparative column recorded. Accounting subtotal tests performed separately.</x:v>
      </x:c>
      <x:c r="P789" s="99" t="str">
        <x:v>erred government grant 8 70,135 154,614
 Long term deposits 9 940,292 572,748
 Employee benefits obligations 10 954,639 944,549
 Deferred taxation 11 13,286,942 12,675,472
    25,345,837 30,312,499
CURRENT LIABILITIES
 Trade and other payables 12 13,333,448 12,394,455
 Short term borrowings from financial institutions - secured 13 9,878,4</x:v>
      </x:c>
    </x:row>
    <x:row r="790" ht="82" customHeight="1">
      <x:c r="A790" s="168" t="str">
        <x:v>DGKC|ncl_other|2020</x:v>
      </x:c>
      <x:c r="B790" s="168" t="str">
        <x:v>DGKC</x:v>
      </x:c>
      <x:c r="C790" s="168" t="str">
        <x:v>FY2020</x:v>
      </x:c>
      <x:c r="D790" s="168" t="str">
        <x:v>Other non-current liabilities</x:v>
      </x:c>
      <x:c r="E790" s="169" t="n">
        <x:v>775771</x:v>
      </x:c>
      <x:c r="F790" s="169" t="n">
        <x:v>775771</x:v>
      </x:c>
      <x:c r="G790" s="169" t="str">
        <x:v>Rs '000</x:v>
      </x:c>
      <x:c r="H790" s="169" t="n">
        <x:f>F790/1000</x:f>
        <x:v>775.771</x:v>
      </x:c>
      <x:c r="I790" s="169" t="n">
        <x:f>DGKC!C47</x:f>
        <x:v>775.771</x:v>
      </x:c>
      <x:c r="J790" s="169" t="n">
        <x:f>H790-I790</x:f>
        <x:v>0</x:v>
      </x:c>
      <x:c r="K790" s="168" t="str">
        <x:v>DG_Annual_Report_2021.pdf</x:v>
      </x:c>
      <x:c r="L790" s="168" t="n">
        <x:v>105</x:v>
      </x:c>
      <x:c r="M790" s="168" t="str">
        <x:v>Comparative</x:v>
      </x:c>
      <x:c r="N790" s="171" t="str">
        <x:v>Aggregated audited components</x:v>
      </x:c>
      <x:c r="O790" s="171" t="str">
        <x:v>Source-labelled component sum; statement controls and signed-unit conversion independently recomputed.</x:v>
      </x:c>
      <x:c r="P790" s="171" t="str">
        <x:v>
   2021 2020
  Note (Rupees in thousand)
EQUITY AND LIABILITIES
CAPITAL AND RESERVES
 Authorised share capital
 - 950,000,000 (2020: 950,000,000) 
      ordinary shares of Rs  | Components: Deferred liabilities; Long term deposits</x:v>
      </x:c>
    </x:row>
    <x:row r="791" ht="82" customHeight="1">
      <x:c r="A791" s="76" t="str">
        <x:v>DGKC|ncl_other|2021</x:v>
      </x:c>
      <x:c r="B791" s="76" t="str">
        <x:v>DGKC</x:v>
      </x:c>
      <x:c r="C791" s="76" t="str">
        <x:v>FY2021</x:v>
      </x:c>
      <x:c r="D791" s="76" t="str">
        <x:v>Other non-current liabilities</x:v>
      </x:c>
      <x:c r="E791" s="170" t="n">
        <x:v>777795</x:v>
      </x:c>
      <x:c r="F791" s="170" t="n">
        <x:v>777795</x:v>
      </x:c>
      <x:c r="G791" s="170" t="str">
        <x:v>Rs '000</x:v>
      </x:c>
      <x:c r="H791" s="170" t="n">
        <x:f>F791/1000</x:f>
        <x:v>777.795</x:v>
      </x:c>
      <x:c r="I791" s="170" t="n">
        <x:f>DGKC!D47</x:f>
        <x:v>777.795</x:v>
      </x:c>
      <x:c r="J791" s="170" t="n">
        <x:f>H791-I791</x:f>
        <x:v>0</x:v>
      </x:c>
      <x:c r="K791" s="76" t="str">
        <x:v>DG_Annual_Report_2022.pdf</x:v>
      </x:c>
      <x:c r="L791" s="76" t="n">
        <x:v>125</x:v>
      </x:c>
      <x:c r="M791" s="76" t="str">
        <x:v>Comparative</x:v>
      </x:c>
      <x:c r="N791" s="99" t="str">
        <x:v>Aggregated audited components</x:v>
      </x:c>
      <x:c r="O791" s="99" t="str">
        <x:v>Source-labelled component sum; statement controls and signed-unit conversion independently recomputed.</x:v>
      </x:c>
      <x:c r="P791" s="99" t="str">
        <x:v>
   2022 2021
  Note (Rupees in thousand)
EQUITY AND LIABILITIES
SHARE CAPITAL AND RESERVES
 Authorised share capital
 - 950,000,000 (2021: 950,000,000) 
      ordinary shares  | Components: Employee benefits obligations; Long term deposits</x:v>
      </x:c>
    </x:row>
    <x:row r="792" ht="82" customHeight="1">
      <x:c r="A792" s="168" t="str">
        <x:v>DGKC|ncl_other|2022</x:v>
      </x:c>
      <x:c r="B792" s="168" t="str">
        <x:v>DGKC</x:v>
      </x:c>
      <x:c r="C792" s="168" t="str">
        <x:v>FY2022</x:v>
      </x:c>
      <x:c r="D792" s="168" t="str">
        <x:v>Other non-current liabilities</x:v>
      </x:c>
      <x:c r="E792" s="169" t="n">
        <x:v>993817</x:v>
      </x:c>
      <x:c r="F792" s="169" t="n">
        <x:v>993817</x:v>
      </x:c>
      <x:c r="G792" s="169" t="str">
        <x:v>Rs '000</x:v>
      </x:c>
      <x:c r="H792" s="169" t="n">
        <x:f>F792/1000</x:f>
        <x:v>993.817</x:v>
      </x:c>
      <x:c r="I792" s="169" t="n">
        <x:f>DGKC!E47</x:f>
        <x:v>993.817</x:v>
      </x:c>
      <x:c r="J792" s="169" t="n">
        <x:f>H792-I792</x:f>
        <x:v>0</x:v>
      </x:c>
      <x:c r="K792" s="168" t="str">
        <x:v>DGAnnual2023.pdf</x:v>
      </x:c>
      <x:c r="L792" s="168" t="n">
        <x:v>151</x:v>
      </x:c>
      <x:c r="M792" s="168" t="str">
        <x:v>Comparative</x:v>
      </x:c>
      <x:c r="N792" s="171" t="str">
        <x:v>Aggregated audited components</x:v>
      </x:c>
      <x:c r="O792" s="171" t="str">
        <x:v>Source-labelled component sum; statement controls and signed-unit conversion independently recomputed.</x:v>
      </x:c>
      <x:c r="P792" s="171" t="str">
        <x:v>
   2023 2022
  Note (Rupees in thousand)
EQUITY AND LIABILITIES
SHARE CAPITAL AND RESERVES
 Authorised share capital
 - 950,000,000 (2022: 950,000,000) 
      ordinary shares  | Components: Employee benefits obligations; Long term deposits</x:v>
      </x:c>
    </x:row>
    <x:row r="793" ht="82" customHeight="1">
      <x:c r="A793" s="76" t="str">
        <x:v>DGKC|ncl_other|2023</x:v>
      </x:c>
      <x:c r="B793" s="76" t="str">
        <x:v>DGKC</x:v>
      </x:c>
      <x:c r="C793" s="76" t="str">
        <x:v>FY2023</x:v>
      </x:c>
      <x:c r="D793" s="76" t="str">
        <x:v>Other non-current liabilities</x:v>
      </x:c>
      <x:c r="E793" s="170" t="n">
        <x:v>1289212</x:v>
      </x:c>
      <x:c r="F793" s="170" t="n">
        <x:v>1289212</x:v>
      </x:c>
      <x:c r="G793" s="170" t="str">
        <x:v>Rs '000</x:v>
      </x:c>
      <x:c r="H793" s="170" t="n">
        <x:f>F793/1000</x:f>
        <x:v>1289.212</x:v>
      </x:c>
      <x:c r="I793" s="170" t="n">
        <x:f>DGKC!F47</x:f>
        <x:v>1289.212</x:v>
      </x:c>
      <x:c r="J793" s="170" t="n">
        <x:f>H793-I793</x:f>
        <x:v>0</x:v>
      </x:c>
      <x:c r="K793" s="76" t="str">
        <x:v>DGAnnual2024.pdf</x:v>
      </x:c>
      <x:c r="L793" s="76" t="n">
        <x:v>151</x:v>
      </x:c>
      <x:c r="M793" s="76" t="str">
        <x:v>Comparative</x:v>
      </x:c>
      <x:c r="N793" s="99" t="str">
        <x:v>Aggregated audited components</x:v>
      </x:c>
      <x:c r="O793" s="99" t="str">
        <x:v>Source-labelled component sum; statement controls and signed-unit conversion independently recomputed.</x:v>
      </x:c>
      <x:c r="P793" s="99" t="str">
        <x:v>
150
DGKC Annual Report 2024
   2024 2023
  Note (Rupees in thousand)
EQUITY AND LIABILITIES
SHARE CAPITAL AND RESERVES
 Authorised share capital
 - 950,000,000 (2023: 950,000, | Components: Employee benefits obligations; Long term deposits</x:v>
      </x:c>
    </x:row>
    <x:row r="794" ht="82" customHeight="1">
      <x:c r="A794" s="168" t="str">
        <x:v>DGKC|ncl_other|2024</x:v>
      </x:c>
      <x:c r="B794" s="168" t="str">
        <x:v>DGKC</x:v>
      </x:c>
      <x:c r="C794" s="168" t="str">
        <x:v>FY2024</x:v>
      </x:c>
      <x:c r="D794" s="168" t="str">
        <x:v>Other non-current liabilities</x:v>
      </x:c>
      <x:c r="E794" s="169" t="n">
        <x:v>1517297</x:v>
      </x:c>
      <x:c r="F794" s="169" t="n">
        <x:v>1517297</x:v>
      </x:c>
      <x:c r="G794" s="169" t="str">
        <x:v>Rs '000</x:v>
      </x:c>
      <x:c r="H794" s="169" t="n">
        <x:f>F794/1000</x:f>
        <x:v>1517.297</x:v>
      </x:c>
      <x:c r="I794" s="169" t="n">
        <x:f>DGKC!G47</x:f>
        <x:v>1517.297</x:v>
      </x:c>
      <x:c r="J794" s="169" t="n">
        <x:f>H794-I794</x:f>
        <x:v>0</x:v>
      </x:c>
      <x:c r="K794" s="168" t="str">
        <x:v>DGAnnual2025.pdf</x:v>
      </x:c>
      <x:c r="L794" s="168" t="n">
        <x:v>153</x:v>
      </x:c>
      <x:c r="M794" s="168" t="str">
        <x:v>Comparative</x:v>
      </x:c>
      <x:c r="N794" s="171" t="str">
        <x:v>Aggregated audited components</x:v>
      </x:c>
      <x:c r="O794" s="171" t="str">
        <x:v>Source-labelled component sum; statement controls and signed-unit conversion independently recomputed.</x:v>
      </x:c>
      <x:c r="P794" s="171" t="str">
        <x:v>
   2025 2024
  Note (Rupees in thousand)
EQUITY AND LIABILITIES
SHARE CAPITAL AND RESERVES
 Authorised share capital
 - 950,000,000 (2024: 950,000,000) 
      ordinary shares  | Components: Employee benefits obligations; Long term deposits</x:v>
      </x:c>
    </x:row>
    <x:row r="795" ht="82" customHeight="1">
      <x:c r="A795" s="76" t="str">
        <x:v>DGKC|ncl_other|2025</x:v>
      </x:c>
      <x:c r="B795" s="76" t="str">
        <x:v>DGKC</x:v>
      </x:c>
      <x:c r="C795" s="76" t="str">
        <x:v>FY2025</x:v>
      </x:c>
      <x:c r="D795" s="76" t="str">
        <x:v>Other non-current liabilities</x:v>
      </x:c>
      <x:c r="E795" s="170" t="n">
        <x:v>1894931</x:v>
      </x:c>
      <x:c r="F795" s="170" t="n">
        <x:v>1894931</x:v>
      </x:c>
      <x:c r="G795" s="170" t="str">
        <x:v>Rs '000</x:v>
      </x:c>
      <x:c r="H795" s="170" t="n">
        <x:f>F795/1000</x:f>
        <x:v>1894.931</x:v>
      </x:c>
      <x:c r="I795" s="170" t="n">
        <x:f>DGKC!H47</x:f>
        <x:v>1894.931</x:v>
      </x:c>
      <x:c r="J795" s="170" t="n">
        <x:f>H795-I795</x:f>
        <x:v>0</x:v>
      </x:c>
      <x:c r="K795" s="76" t="str">
        <x:v>DGAnnual2025.pdf</x:v>
      </x:c>
      <x:c r="L795" s="76" t="n">
        <x:v>153</x:v>
      </x:c>
      <x:c r="M795" s="76" t="str">
        <x:v>Current year</x:v>
      </x:c>
      <x:c r="N795" s="99" t="str">
        <x:v>Aggregated audited components</x:v>
      </x:c>
      <x:c r="O795" s="99" t="str">
        <x:v>Source-labelled component sum; statement controls and signed-unit conversion independently recomputed.</x:v>
      </x:c>
      <x:c r="P795" s="99" t="str">
        <x:v>
   2025 2024
  Note (Rupees in thousand)
EQUITY AND LIABILITIES
SHARE CAPITAL AND RESERVES
 Authorised share capital
 - 950,000,000 (2024: 950,000,000) 
      ordinary shares  | Components: Employee benefits obligations; Long term deposits</x:v>
      </x:c>
    </x:row>
    <x:row r="796" ht="82" customHeight="1">
      <x:c r="A796" s="168" t="str">
        <x:v>DGKC|tap|2020</x:v>
      </x:c>
      <x:c r="B796" s="168" t="str">
        <x:v>DGKC</x:v>
      </x:c>
      <x:c r="C796" s="168" t="str">
        <x:v>FY2020</x:v>
      </x:c>
      <x:c r="D796" s="168" t="str">
        <x:v>Trade and other payables</x:v>
      </x:c>
      <x:c r="E796" s="169" t="n">
        <x:v>11298187</x:v>
      </x:c>
      <x:c r="F796" s="169" t="n">
        <x:v>11298187</x:v>
      </x:c>
      <x:c r="G796" s="169" t="str">
        <x:v>Rs '000</x:v>
      </x:c>
      <x:c r="H796" s="169" t="n">
        <x:f>F796/1000</x:f>
        <x:v>11298.187</x:v>
      </x:c>
      <x:c r="I796" s="169" t="n">
        <x:f>DGKC!C50</x:f>
        <x:v>11298.187</x:v>
      </x:c>
      <x:c r="J796" s="169" t="n">
        <x:f>H796-I796</x:f>
        <x:v>0</x:v>
      </x:c>
      <x:c r="K796" s="168" t="str">
        <x:v>DG_Annual_Report_2021.pdf</x:v>
      </x:c>
      <x:c r="L796" s="168" t="n">
        <x:v>105</x:v>
      </x:c>
      <x:c r="M796" s="168" t="str">
        <x:v>Comparative</x:v>
      </x:c>
      <x:c r="N796" s="171" t="str">
        <x:v>Printed amount independently located</x:v>
      </x:c>
      <x:c r="O796" s="171" t="str">
        <x:v>Exact source amount found; audited year/current-comparative column recorded. Accounting subtotal tests performed separately.</x:v>
      </x:c>
      <x:c r="P796" s="171" t="str">
        <x:v>es 10 530,803 521,834
 Deferred taxation 11 3,378,941 2,535,349
    24,121,304 25,283,120
CURRENT LIABILITIES
 Trade and other payables 12 14,923,151 11,298,187
 Accrued markup 13 507,769 712,275
 Short term borrowings - secured 14 18,362,050 23,495,967
 Current portion of non-current liabilities 15 6,433,943 2,048,901
 Unclaimed dividend</x:v>
      </x:c>
    </x:row>
    <x:row r="797" ht="82" customHeight="1">
      <x:c r="A797" s="76" t="str">
        <x:v>DGKC|tap|2021</x:v>
      </x:c>
      <x:c r="B797" s="76" t="str">
        <x:v>DGKC</x:v>
      </x:c>
      <x:c r="C797" s="76" t="str">
        <x:v>FY2021</x:v>
      </x:c>
      <x:c r="D797" s="76" t="str">
        <x:v>Trade and other payables</x:v>
      </x:c>
      <x:c r="E797" s="170" t="n">
        <x:v>14923151</x:v>
      </x:c>
      <x:c r="F797" s="170" t="n">
        <x:v>14923151</x:v>
      </x:c>
      <x:c r="G797" s="170" t="str">
        <x:v>Rs '000</x:v>
      </x:c>
      <x:c r="H797" s="170" t="n">
        <x:f>F797/1000</x:f>
        <x:v>14923.151</x:v>
      </x:c>
      <x:c r="I797" s="170" t="n">
        <x:f>DGKC!D50</x:f>
        <x:v>14923.151</x:v>
      </x:c>
      <x:c r="J797" s="170" t="n">
        <x:f>H797-I797</x:f>
        <x:v>0</x:v>
      </x:c>
      <x:c r="K797" s="76" t="str">
        <x:v>DG_Annual_Report_2022.pdf</x:v>
      </x:c>
      <x:c r="L797" s="76" t="n">
        <x:v>125</x:v>
      </x:c>
      <x:c r="M797" s="76" t="str">
        <x:v>Comparative</x:v>
      </x:c>
      <x:c r="N797" s="99" t="str">
        <x:v>Printed amount independently located</x:v>
      </x:c>
      <x:c r="O797" s="99" t="str">
        <x:v>Exact source amount found; audited year/current-comparative column recorded. Accounting subtotal tests performed separately.</x:v>
      </x:c>
      <x:c r="P797" s="99" t="str">
        <x:v>ns 10 712,640 530,803
 Deferred taxation 11 4,942,150 3,378,941
    20,554,880 24,121,304
CURRENT LIABILITIES
 Trade and other payables 12 12,591,709 14,923,151
 Short term borrowings from financial institutions - secured 13 25,210,506 18,362,050
 Accrued markup 14 883,229 507,769
 Current portion of non-current liabilities 15 7,333,985 6</x:v>
      </x:c>
    </x:row>
    <x:row r="798" ht="82" customHeight="1">
      <x:c r="A798" s="168" t="str">
        <x:v>DGKC|tap|2022</x:v>
      </x:c>
      <x:c r="B798" s="168" t="str">
        <x:v>DGKC</x:v>
      </x:c>
      <x:c r="C798" s="168" t="str">
        <x:v>FY2022</x:v>
      </x:c>
      <x:c r="D798" s="168" t="str">
        <x:v>Trade and other payables</x:v>
      </x:c>
      <x:c r="E798" s="169" t="n">
        <x:v>12591709</x:v>
      </x:c>
      <x:c r="F798" s="169" t="n">
        <x:v>12591709</x:v>
      </x:c>
      <x:c r="G798" s="169" t="str">
        <x:v>Rs '000</x:v>
      </x:c>
      <x:c r="H798" s="169" t="n">
        <x:f>F798/1000</x:f>
        <x:v>12591.709</x:v>
      </x:c>
      <x:c r="I798" s="169" t="n">
        <x:f>DGKC!E50</x:f>
        <x:v>12591.709</x:v>
      </x:c>
      <x:c r="J798" s="169" t="n">
        <x:f>H798-I798</x:f>
        <x:v>0</x:v>
      </x:c>
      <x:c r="K798" s="168" t="str">
        <x:v>DGAnnual2023.pdf</x:v>
      </x:c>
      <x:c r="L798" s="168" t="n">
        <x:v>151</x:v>
      </x:c>
      <x:c r="M798" s="168" t="str">
        <x:v>Comparative</x:v>
      </x:c>
      <x:c r="N798" s="171" t="str">
        <x:v>Printed amount independently located</x:v>
      </x:c>
      <x:c r="O798" s="171" t="str">
        <x:v>Exact source amount found; audited year/current-comparative column recorded. Accounting subtotal tests performed separately.</x:v>
      </x:c>
      <x:c r="P798" s="171" t="str">
        <x:v>10  849,515 712,640
 Deferred taxation 11 10,613,603 4,942,150
    21,845,187 20,554,880
CURRENT LIABILITIES
 Trade and other payables 12 13,783,299 12,591,709
 Short term borrowings from financial institutions - secured 13 25,494,293 25,210,506
 Accrued markup 14 1,739,547 883,229
 Current portion of non-current liabilities 15 7,588,857</x:v>
      </x:c>
    </x:row>
    <x:row r="799" ht="82" customHeight="1">
      <x:c r="A799" s="76" t="str">
        <x:v>DGKC|tap|2023</x:v>
      </x:c>
      <x:c r="B799" s="76" t="str">
        <x:v>DGKC</x:v>
      </x:c>
      <x:c r="C799" s="76" t="str">
        <x:v>FY2023</x:v>
      </x:c>
      <x:c r="D799" s="76" t="str">
        <x:v>Trade and other payables</x:v>
      </x:c>
      <x:c r="E799" s="170" t="n">
        <x:v>13783299</x:v>
      </x:c>
      <x:c r="F799" s="170" t="n">
        <x:v>13783299</x:v>
      </x:c>
      <x:c r="G799" s="170" t="str">
        <x:v>Rs '000</x:v>
      </x:c>
      <x:c r="H799" s="170" t="n">
        <x:f>F799/1000</x:f>
        <x:v>13783.299</x:v>
      </x:c>
      <x:c r="I799" s="170" t="n">
        <x:f>DGKC!F50</x:f>
        <x:v>13783.299</x:v>
      </x:c>
      <x:c r="J799" s="170" t="n">
        <x:f>H799-I799</x:f>
        <x:v>0</x:v>
      </x:c>
      <x:c r="K799" s="76" t="str">
        <x:v>DGAnnual2024.pdf</x:v>
      </x:c>
      <x:c r="L799" s="76" t="n">
        <x:v>151</x:v>
      </x:c>
      <x:c r="M799" s="76" t="str">
        <x:v>Comparative</x:v>
      </x:c>
      <x:c r="N799" s="99" t="str">
        <x:v>Printed amount independently located</x:v>
      </x:c>
      <x:c r="O799" s="99" t="str">
        <x:v>Exact source amount found; audited year/current-comparative column recorded. Accounting subtotal tests performed separately.</x:v>
      </x:c>
      <x:c r="P799" s="99" t="str">
        <x:v>10 944,549 849,515
 Deferred taxation 11 12,675,472 10,613,603
    30,312,499 21,845,187
CURRENT LIABILITIES
 Trade and other payables 12 12,394,455 13,783,299
 Short term borrowings from financial institutions - secured 13 13,064,718 25,494,293
 Accrued mark-up 14 1,280,446 1,739,547
 Current portion of non-current liabilities 15 5,416,</x:v>
      </x:c>
    </x:row>
    <x:row r="800" ht="82" customHeight="1">
      <x:c r="A800" s="168" t="str">
        <x:v>DGKC|tap|2024</x:v>
      </x:c>
      <x:c r="B800" s="168" t="str">
        <x:v>DGKC</x:v>
      </x:c>
      <x:c r="C800" s="168" t="str">
        <x:v>FY2024</x:v>
      </x:c>
      <x:c r="D800" s="168" t="str">
        <x:v>Trade and other payables</x:v>
      </x:c>
      <x:c r="E800" s="169" t="n">
        <x:v>12394455</x:v>
      </x:c>
      <x:c r="F800" s="169" t="n">
        <x:v>12394455</x:v>
      </x:c>
      <x:c r="G800" s="169" t="str">
        <x:v>Rs '000</x:v>
      </x:c>
      <x:c r="H800" s="169" t="n">
        <x:f>F800/1000</x:f>
        <x:v>12394.455</x:v>
      </x:c>
      <x:c r="I800" s="169" t="n">
        <x:f>DGKC!G50</x:f>
        <x:v>12394.455</x:v>
      </x:c>
      <x:c r="J800" s="169" t="n">
        <x:f>H800-I800</x:f>
        <x:v>0</x:v>
      </x:c>
      <x:c r="K800" s="168" t="str">
        <x:v>DGAnnual2025.pdf</x:v>
      </x:c>
      <x:c r="L800" s="168" t="n">
        <x:v>153</x:v>
      </x:c>
      <x:c r="M800" s="168" t="str">
        <x:v>Comparative</x:v>
      </x:c>
      <x:c r="N800" s="171" t="str">
        <x:v>Printed amount independently located</x:v>
      </x:c>
      <x:c r="O800" s="171" t="str">
        <x:v>Exact source amount found; audited year/current-comparative column recorded. Accounting subtotal tests performed separately.</x:v>
      </x:c>
      <x:c r="P800" s="171" t="str">
        <x:v>10 954,639 944,549
 Deferred taxation 11 13,286,942 12,675,472
    25,345,837 30,312,499
CURRENT LIABILITIES
 Trade and other payables 12 13,333,448 12,394,455
 Short term borrowings from financial institutions - secured 13 9,878,499 13,064,718
 Accrued mark-up 14 229,652 1,280,446
 Current portion of non-current liabilities 15 2,069,243</x:v>
      </x:c>
    </x:row>
    <x:row r="801" ht="82" customHeight="1">
      <x:c r="A801" s="76" t="str">
        <x:v>DGKC|tap|2025</x:v>
      </x:c>
      <x:c r="B801" s="76" t="str">
        <x:v>DGKC</x:v>
      </x:c>
      <x:c r="C801" s="76" t="str">
        <x:v>FY2025</x:v>
      </x:c>
      <x:c r="D801" s="76" t="str">
        <x:v>Trade and other payables</x:v>
      </x:c>
      <x:c r="E801" s="170" t="n">
        <x:v>13333448</x:v>
      </x:c>
      <x:c r="F801" s="170" t="n">
        <x:v>13333448</x:v>
      </x:c>
      <x:c r="G801" s="170" t="str">
        <x:v>Rs '000</x:v>
      </x:c>
      <x:c r="H801" s="170" t="n">
        <x:f>F801/1000</x:f>
        <x:v>13333.448</x:v>
      </x:c>
      <x:c r="I801" s="170" t="n">
        <x:f>DGKC!H50</x:f>
        <x:v>13333.448</x:v>
      </x:c>
      <x:c r="J801" s="170" t="n">
        <x:f>H801-I801</x:f>
        <x:v>0</x:v>
      </x:c>
      <x:c r="K801" s="76" t="str">
        <x:v>DGAnnual2025.pdf</x:v>
      </x:c>
      <x:c r="L801" s="76" t="n">
        <x:v>153</x:v>
      </x:c>
      <x:c r="M801" s="76" t="str">
        <x:v>Current year</x:v>
      </x:c>
      <x:c r="N801" s="99" t="str">
        <x:v>Printed amount independently located</x:v>
      </x:c>
      <x:c r="O801" s="99" t="str">
        <x:v>Exact source amount found; audited year/current-comparative column recorded. Accounting subtotal tests performed separately.</x:v>
      </x:c>
      <x:c r="P801" s="99" t="str">
        <x:v>obligations 10 954,639 944,549
 Deferred taxation 11 13,286,942 12,675,472
    25,345,837 30,312,499
CURRENT LIABILITIES
 Trade and other payables 12 13,333,448 12,394,455
 Short term borrowings from financial institutions - secured 13 9,878,499 13,064,718
 Accrued mark-up 14 229,652 1,280,446
 Current portion of non-current liabilities 1</x:v>
      </x:c>
    </x:row>
    <x:row r="802" ht="82" customHeight="1">
      <x:c r="A802" s="168" t="str">
        <x:v>DGKC|trade_cred|2020</x:v>
      </x:c>
      <x:c r="B802" s="168" t="str">
        <x:v>DGKC</x:v>
      </x:c>
      <x:c r="C802" s="168" t="str">
        <x:v>FY2020</x:v>
      </x:c>
      <x:c r="D802" s="168" t="str">
        <x:v>memo: trade creditors / bills payable (note)</x:v>
      </x:c>
      <x:c r="E802" s="169" t="n">
        <x:v>4325320</x:v>
      </x:c>
      <x:c r="F802" s="169" t="n">
        <x:v>4325320</x:v>
      </x:c>
      <x:c r="G802" s="169" t="str">
        <x:v>Rs '000</x:v>
      </x:c>
      <x:c r="H802" s="169" t="n">
        <x:f>F802/1000</x:f>
        <x:v>4325.32</x:v>
      </x:c>
      <x:c r="I802" s="169" t="n">
        <x:f>DGKC!C51</x:f>
        <x:v>4325.32</x:v>
      </x:c>
      <x:c r="J802" s="169" t="n">
        <x:f>H802-I802</x:f>
        <x:v>0</x:v>
      </x:c>
      <x:c r="K802" s="168" t="str">
        <x:v>DG_Annual_Report_2021.pdf</x:v>
      </x:c>
      <x:c r="L802" s="168" t="n">
        <x:v>135</x:v>
      </x:c>
      <x:c r="M802" s="168" t="str">
        <x:v>Comparative</x:v>
      </x:c>
      <x:c r="N802" s="171" t="str">
        <x:v>Printed amount independently located</x:v>
      </x:c>
      <x:c r="O802" s="171" t="str">
        <x:v>Exact source amount found; audited year/current-comparative column recorded. Accounting subtotal tests performed separately.</x:v>
      </x:c>
      <x:c r="P802" s="171" t="str">
        <x:v>r utilization of deferred tax assets.   
  2021 2020
  (Rupees in thousand)
12. Trade and other payables
 Trade creditors - note 12.1 7,375,630 4,325,320
 Infrastructure cess  178,329 89,164
 Contract liability - note 12.2 1,469,797 1,546,864
 Accrued liabilities - note 12.3 4,451,035 4,078,887
 Workers' profit participation fund -</x:v>
      </x:c>
    </x:row>
    <x:row r="803" ht="82" customHeight="1">
      <x:c r="A803" s="76" t="str">
        <x:v>DGKC|trade_cred|2021</x:v>
      </x:c>
      <x:c r="B803" s="76" t="str">
        <x:v>DGKC</x:v>
      </x:c>
      <x:c r="C803" s="76" t="str">
        <x:v>FY2021</x:v>
      </x:c>
      <x:c r="D803" s="76" t="str">
        <x:v>memo: trade creditors / bills payable (note)</x:v>
      </x:c>
      <x:c r="E803" s="170" t="n">
        <x:v>7375630</x:v>
      </x:c>
      <x:c r="F803" s="170" t="n">
        <x:v>7375630</x:v>
      </x:c>
      <x:c r="G803" s="170" t="str">
        <x:v>Rs '000</x:v>
      </x:c>
      <x:c r="H803" s="170" t="n">
        <x:f>F803/1000</x:f>
        <x:v>7375.63</x:v>
      </x:c>
      <x:c r="I803" s="170" t="n">
        <x:f>DGKC!D51</x:f>
        <x:v>7375.63</x:v>
      </x:c>
      <x:c r="J803" s="170" t="n">
        <x:f>H803-I803</x:f>
        <x:v>0</x:v>
      </x:c>
      <x:c r="K803" s="76" t="str">
        <x:v>DG_Annual_Report_2022.pdf</x:v>
      </x:c>
      <x:c r="L803" s="76" t="n">
        <x:v>155</x:v>
      </x:c>
      <x:c r="M803" s="76" t="str">
        <x:v>Comparative</x:v>
      </x:c>
      <x:c r="N803" s="99" t="str">
        <x:v>Printed amount independently located</x:v>
      </x:c>
      <x:c r="O803" s="99" t="str">
        <x:v>Exact source amount found; audited year/current-comparative column recorded. Accounting subtotal tests performed separately.</x:v>
      </x:c>
      <x:c r="P803" s="99" t="str">
        <x:v>4,824 2023
  2019 253,321 2024
    608,145
  2022 2021
  (Rupees in thousand)
12. Trade and other payables
 Trade creditors - note 12.1 3,871,207 7,375,630
 Infrastructure cess   178,328 178,329
 Contract liability - note 12.2 1,468,611 1,469,797
 Accrued liabilities - note 12.3 5,740,256 4,451,035
 Workers' profit participation fund</x:v>
      </x:c>
    </x:row>
    <x:row r="804" ht="82" customHeight="1">
      <x:c r="A804" s="168" t="str">
        <x:v>DGKC|trade_cred|2022</x:v>
      </x:c>
      <x:c r="B804" s="168" t="str">
        <x:v>DGKC</x:v>
      </x:c>
      <x:c r="C804" s="168" t="str">
        <x:v>FY2022</x:v>
      </x:c>
      <x:c r="D804" s="168" t="str">
        <x:v>memo: trade creditors / bills payable (note)</x:v>
      </x:c>
      <x:c r="E804" s="169" t="n">
        <x:v>3871207</x:v>
      </x:c>
      <x:c r="F804" s="169" t="n">
        <x:v>3871207</x:v>
      </x:c>
      <x:c r="G804" s="169" t="str">
        <x:v>Rs '000</x:v>
      </x:c>
      <x:c r="H804" s="169" t="n">
        <x:f>F804/1000</x:f>
        <x:v>3871.207</x:v>
      </x:c>
      <x:c r="I804" s="169" t="n">
        <x:f>DGKC!E51</x:f>
        <x:v>3871.207</x:v>
      </x:c>
      <x:c r="J804" s="169" t="n">
        <x:f>H804-I804</x:f>
        <x:v>0</x:v>
      </x:c>
      <x:c r="K804" s="168" t="str">
        <x:v>DGAnnual2023.pdf</x:v>
      </x:c>
      <x:c r="L804" s="168" t="n">
        <x:v>180</x:v>
      </x:c>
      <x:c r="M804" s="168" t="str">
        <x:v>Comparative</x:v>
      </x:c>
      <x:c r="N804" s="171" t="str">
        <x:v>Printed amount independently located</x:v>
      </x:c>
      <x:c r="O804" s="171" t="str">
        <x:v>Exact source amount found; audited year/current-comparative column recorded. Accounting subtotal tests performed separately.</x:v>
      </x:c>
      <x:c r="P804" s="171" t="str">
        <x:v>576,740 2025
  2022 532,468 2025
   1,371,103
  2023 2022
  (Rupees in thousand)
12. Trade and other payables
 Trade creditors - note 12.1 6,530,049 3,871,207
 Infrastructure cess  178,328 178,328
 Contract liability - note 12.2 2,393,152 1,468,611
 Accrued liabilities - note 12.3  4,192,363 5,740,256
 Workers' profit participation fund</x:v>
      </x:c>
    </x:row>
    <x:row r="805" ht="82" customHeight="1">
      <x:c r="A805" s="76" t="str">
        <x:v>DGKC|trade_cred|2023</x:v>
      </x:c>
      <x:c r="B805" s="76" t="str">
        <x:v>DGKC</x:v>
      </x:c>
      <x:c r="C805" s="76" t="str">
        <x:v>FY2023</x:v>
      </x:c>
      <x:c r="D805" s="76" t="str">
        <x:v>memo: trade creditors / bills payable (note)</x:v>
      </x:c>
      <x:c r="E805" s="170" t="n">
        <x:v>6530049</x:v>
      </x:c>
      <x:c r="F805" s="170" t="n">
        <x:v>6530049</x:v>
      </x:c>
      <x:c r="G805" s="170" t="str">
        <x:v>Rs '000</x:v>
      </x:c>
      <x:c r="H805" s="170" t="n">
        <x:f>F805/1000</x:f>
        <x:v>6530.049</x:v>
      </x:c>
      <x:c r="I805" s="170" t="n">
        <x:f>DGKC!F51</x:f>
        <x:v>6530.049</x:v>
      </x:c>
      <x:c r="J805" s="170" t="n">
        <x:f>H805-I805</x:f>
        <x:v>0</x:v>
      </x:c>
      <x:c r="K805" s="76" t="str">
        <x:v>DGAnnual2024.pdf</x:v>
      </x:c>
      <x:c r="L805" s="76" t="n">
        <x:v>182</x:v>
      </x:c>
      <x:c r="M805" s="76" t="str">
        <x:v>Comparative</x:v>
      </x:c>
      <x:c r="N805" s="99" t="str">
        <x:v>Printed amount independently located</x:v>
      </x:c>
      <x:c r="O805" s="99" t="str">
        <x:v>Exact source amount found; audited year/current-comparative column recorded. Accounting subtotal tests performed separately.</x:v>
      </x:c>
      <x:c r="P805" s="99" t="str">
        <x:v>824,630 2026
  2024  88,741 2027
    1,074,452
  2024 2023
  (Rupees in thousand)
12. Trade and other payables
 Trade creditors - note 12.1 6,233,992 6,530,049
 Infrastructure cess   178,328 178,328
 Contract liability - note 12.2  1,722,828  2,393,152
 Accrued liabilities - note 12.3  3,659,335 4,192,363
 Workers' Profit Participation F</x:v>
      </x:c>
    </x:row>
    <x:row r="806" ht="82" customHeight="1">
      <x:c r="A806" s="168" t="str">
        <x:v>DGKC|trade_cred|2024</x:v>
      </x:c>
      <x:c r="B806" s="168" t="str">
        <x:v>DGKC</x:v>
      </x:c>
      <x:c r="C806" s="168" t="str">
        <x:v>FY2024</x:v>
      </x:c>
      <x:c r="D806" s="168" t="str">
        <x:v>memo: trade creditors / bills payable (note)</x:v>
      </x:c>
      <x:c r="E806" s="169" t="n">
        <x:v>5046744</x:v>
      </x:c>
      <x:c r="F806" s="169" t="n">
        <x:v>5046744</x:v>
      </x:c>
      <x:c r="G806" s="169" t="str">
        <x:v>Rs '000</x:v>
      </x:c>
      <x:c r="H806" s="169" t="n">
        <x:f>F806/1000</x:f>
        <x:v>5046.744</x:v>
      </x:c>
      <x:c r="I806" s="169" t="n">
        <x:f>DGKC!G51</x:f>
        <x:v>5046.744</x:v>
      </x:c>
      <x:c r="J806" s="169" t="n">
        <x:f>H806-I806</x:f>
        <x:v>0</x:v>
      </x:c>
      <x:c r="K806" s="168" t="str">
        <x:v>DGAnnual2025.pdf</x:v>
      </x:c>
      <x:c r="L806" s="168" t="n">
        <x:v>183</x:v>
      </x:c>
      <x:c r="M806" s="168" t="str">
        <x:v>Comparative</x:v>
      </x:c>
      <x:c r="N806" s="171" t="str">
        <x:v>Printed amount independently located</x:v>
      </x:c>
      <x:c r="O806" s="171" t="str">
        <x:v>Exact source amount found; audited year/current-comparative column recorded. Accounting subtotal tests performed separately.</x:v>
      </x:c>
      <x:c r="P806" s="171" t="str">
        <x:v>ilable for 
utilisation of deferred tax asset.
  2025 2024
  (Rupees in thousand)
12. Trade and other payables
 Trade creditors - note 12.1 3,900,142 5,046,744
 Contract liabilities - note 12.2 3,186,488 1,722,828
 Accrued liabilities - note 12.3 3,377,704 3,659,335
 Workers' Profit Participation Fund - note  12.4 689,431 166,991
 Worker</x:v>
      </x:c>
    </x:row>
    <x:row r="807" ht="82" customHeight="1">
      <x:c r="A807" s="76" t="str">
        <x:v>DGKC|trade_cred|2025</x:v>
      </x:c>
      <x:c r="B807" s="76" t="str">
        <x:v>DGKC</x:v>
      </x:c>
      <x:c r="C807" s="76" t="str">
        <x:v>FY2025</x:v>
      </x:c>
      <x:c r="D807" s="76" t="str">
        <x:v>memo: trade creditors / bills payable (note)</x:v>
      </x:c>
      <x:c r="E807" s="170" t="n">
        <x:v>3900142</x:v>
      </x:c>
      <x:c r="F807" s="170" t="n">
        <x:v>3900142</x:v>
      </x:c>
      <x:c r="G807" s="170" t="str">
        <x:v>Rs '000</x:v>
      </x:c>
      <x:c r="H807" s="170" t="n">
        <x:f>F807/1000</x:f>
        <x:v>3900.142</x:v>
      </x:c>
      <x:c r="I807" s="170" t="n">
        <x:f>DGKC!H51</x:f>
        <x:v>3900.142</x:v>
      </x:c>
      <x:c r="J807" s="170" t="n">
        <x:f>H807-I807</x:f>
        <x:v>0</x:v>
      </x:c>
      <x:c r="K807" s="76" t="str">
        <x:v>DGAnnual2025.pdf</x:v>
      </x:c>
      <x:c r="L807" s="76" t="n">
        <x:v>183</x:v>
      </x:c>
      <x:c r="M807" s="76" t="str">
        <x:v>Current year</x:v>
      </x:c>
      <x:c r="N807" s="99" t="str">
        <x:v>Printed amount independently located</x:v>
      </x:c>
      <x:c r="O807" s="99" t="str">
        <x:v>Exact source amount found; audited year/current-comparative column recorded. Accounting subtotal tests performed separately.</x:v>
      </x:c>
      <x:c r="P807" s="99" t="str">
        <x:v>ill be available for 
utilisation of deferred tax asset.
  2025 2024
  (Rupees in thousand)
12. Trade and other payables
 Trade creditors - note 12.1 3,900,142 5,046,744
 Contract liabilities - note 12.2 3,186,488 1,722,828
 Accrued liabilities - note 12.3 3,377,704 3,659,335
 Workers' Profit Participation Fund - note  12.4 689,431 166,9</x:v>
      </x:c>
    </x:row>
    <x:row r="808" ht="82" customHeight="1">
      <x:c r="A808" s="168" t="str">
        <x:v>DGKC|contract|2020</x:v>
      </x:c>
      <x:c r="B808" s="168" t="str">
        <x:v>DGKC</x:v>
      </x:c>
      <x:c r="C808" s="168" t="str">
        <x:v>FY2020</x:v>
      </x:c>
      <x:c r="D808" s="168" t="str">
        <x:v>Contract liabilities / advances from customers</x:v>
      </x:c>
      <x:c r="E808" s="169" t="n">
        <x:v>0</x:v>
      </x:c>
      <x:c r="F808" s="169" t="n">
        <x:v>0</x:v>
      </x:c>
      <x:c r="G808" s="169" t="str">
        <x:v>Rs '000</x:v>
      </x:c>
      <x:c r="H808" s="169" t="n">
        <x:f>F808/1000</x:f>
        <x:v>0</x:v>
      </x:c>
      <x:c r="I808" s="169" t="n">
        <x:f>DGKC!C52</x:f>
        <x:v>0</x:v>
      </x:c>
      <x:c r="J808" s="169" t="n">
        <x:f>H808-I808</x:f>
        <x:v>0</x:v>
      </x:c>
      <x:c r="K808" s="168" t="str">
        <x:v>DG_Annual_Report_2021.pdf</x:v>
      </x:c>
      <x:c r="L808" s="168" t="n">
        <x:v>105</x:v>
      </x:c>
      <x:c r="M808" s="168" t="str">
        <x:v>Comparative</x:v>
      </x:c>
      <x:c r="N808" s="171" t="str">
        <x:v>Zero / no separate line in audited presentation</x:v>
      </x:c>
      <x:c r="O808" s="171" t="str">
        <x:v>Zero classification checked within the audited statement/note and reconstructed statement totals; absence of a separate line does not imply a missing replacement estimate.</x:v>
      </x:c>
      <x:c r="P808" s="171" t="str">
        <x:v>
   2021 2020
  Note (Rupees in thousand)
EQUITY AND LIABILITIES
CAPITAL AND RESERVES
 Authorised share capital
 - 950,000,000 (2020: 950,000,000) | Contract liabilities / advances from customers</x:v>
      </x:c>
    </x:row>
    <x:row r="809" ht="82" customHeight="1">
      <x:c r="A809" s="76" t="str">
        <x:v>DGKC|contract|2021</x:v>
      </x:c>
      <x:c r="B809" s="76" t="str">
        <x:v>DGKC</x:v>
      </x:c>
      <x:c r="C809" s="76" t="str">
        <x:v>FY2021</x:v>
      </x:c>
      <x:c r="D809" s="76" t="str">
        <x:v>Contract liabilities / advances from customers</x:v>
      </x:c>
      <x:c r="E809" s="170" t="n">
        <x:v>0</x:v>
      </x:c>
      <x:c r="F809" s="170" t="n">
        <x:v>0</x:v>
      </x:c>
      <x:c r="G809" s="170" t="str">
        <x:v>Rs '000</x:v>
      </x:c>
      <x:c r="H809" s="170" t="n">
        <x:f>F809/1000</x:f>
        <x:v>0</x:v>
      </x:c>
      <x:c r="I809" s="170" t="n">
        <x:f>DGKC!D52</x:f>
        <x:v>0</x:v>
      </x:c>
      <x:c r="J809" s="170" t="n">
        <x:f>H809-I809</x:f>
        <x:v>0</x:v>
      </x:c>
      <x:c r="K809" s="76" t="str">
        <x:v>DG_Annual_Report_2022.pdf</x:v>
      </x:c>
      <x:c r="L809" s="76" t="n">
        <x:v>125</x:v>
      </x:c>
      <x:c r="M809" s="76" t="str">
        <x:v>Comparative</x:v>
      </x:c>
      <x:c r="N809" s="99" t="str">
        <x:v>Zero / no separate line in audited presentation</x:v>
      </x:c>
      <x:c r="O809" s="99" t="str">
        <x:v>Zero classification checked within the audited statement/note and reconstructed statement totals; absence of a separate line does not imply a missing replacement estimate.</x:v>
      </x:c>
      <x:c r="P809" s="99" t="str">
        <x:v>
   2022 2021
  Note (Rupees in thousand)
EQUITY AND LIABILITIES
SHARE CAPITAL AND RESERVES
 Authorised share capital
 - 950,000,000 (2021: 950,00 | Contract liabilities / advances from customers</x:v>
      </x:c>
    </x:row>
    <x:row r="810" ht="82" customHeight="1">
      <x:c r="A810" s="168" t="str">
        <x:v>DGKC|contract|2022</x:v>
      </x:c>
      <x:c r="B810" s="168" t="str">
        <x:v>DGKC</x:v>
      </x:c>
      <x:c r="C810" s="168" t="str">
        <x:v>FY2022</x:v>
      </x:c>
      <x:c r="D810" s="168" t="str">
        <x:v>Contract liabilities / advances from customers</x:v>
      </x:c>
      <x:c r="E810" s="169" t="n">
        <x:v>0</x:v>
      </x:c>
      <x:c r="F810" s="169" t="n">
        <x:v>0</x:v>
      </x:c>
      <x:c r="G810" s="169" t="str">
        <x:v>Rs '000</x:v>
      </x:c>
      <x:c r="H810" s="169" t="n">
        <x:f>F810/1000</x:f>
        <x:v>0</x:v>
      </x:c>
      <x:c r="I810" s="169" t="n">
        <x:f>DGKC!E52</x:f>
        <x:v>0</x:v>
      </x:c>
      <x:c r="J810" s="169" t="n">
        <x:f>H810-I810</x:f>
        <x:v>0</x:v>
      </x:c>
      <x:c r="K810" s="168" t="str">
        <x:v>DGAnnual2023.pdf</x:v>
      </x:c>
      <x:c r="L810" s="168" t="n">
        <x:v>151</x:v>
      </x:c>
      <x:c r="M810" s="168" t="str">
        <x:v>Comparative</x:v>
      </x:c>
      <x:c r="N810" s="171" t="str">
        <x:v>Zero / no separate line in audited presentation</x:v>
      </x:c>
      <x:c r="O810" s="171" t="str">
        <x:v>Zero classification checked within the audited statement/note and reconstructed statement totals; absence of a separate line does not imply a missing replacement estimate.</x:v>
      </x:c>
      <x:c r="P810" s="171" t="str">
        <x:v>
   2023 2022
  Note (Rupees in thousand)
EQUITY AND LIABILITIES
SHARE CAPITAL AND RESERVES
 Authorised share capital
 - 950,000,000 (2022: 950,00 | Contract liabilities / advances from customers</x:v>
      </x:c>
    </x:row>
    <x:row r="811" ht="82" customHeight="1">
      <x:c r="A811" s="76" t="str">
        <x:v>DGKC|contract|2023</x:v>
      </x:c>
      <x:c r="B811" s="76" t="str">
        <x:v>DGKC</x:v>
      </x:c>
      <x:c r="C811" s="76" t="str">
        <x:v>FY2023</x:v>
      </x:c>
      <x:c r="D811" s="76" t="str">
        <x:v>Contract liabilities / advances from customers</x:v>
      </x:c>
      <x:c r="E811" s="170" t="n">
        <x:v>0</x:v>
      </x:c>
      <x:c r="F811" s="170" t="n">
        <x:v>0</x:v>
      </x:c>
      <x:c r="G811" s="170" t="str">
        <x:v>Rs '000</x:v>
      </x:c>
      <x:c r="H811" s="170" t="n">
        <x:f>F811/1000</x:f>
        <x:v>0</x:v>
      </x:c>
      <x:c r="I811" s="170" t="n">
        <x:f>DGKC!F52</x:f>
        <x:v>0</x:v>
      </x:c>
      <x:c r="J811" s="170" t="n">
        <x:f>H811-I811</x:f>
        <x:v>0</x:v>
      </x:c>
      <x:c r="K811" s="76" t="str">
        <x:v>DGAnnual2024.pdf</x:v>
      </x:c>
      <x:c r="L811" s="76" t="n">
        <x:v>151</x:v>
      </x:c>
      <x:c r="M811" s="76" t="str">
        <x:v>Comparative</x:v>
      </x:c>
      <x:c r="N811" s="99" t="str">
        <x:v>Zero / no separate line in audited presentation</x:v>
      </x:c>
      <x:c r="O811" s="99" t="str">
        <x:v>Zero classification checked within the audited statement/note and reconstructed statement totals; absence of a separate line does not imply a missing replacement estimate.</x:v>
      </x:c>
      <x:c r="P811" s="99" t="str">
        <x:v>
150
DGKC Annual Report 2024
   2024 2023
  Note (Rupees in thousand)
EQUITY AND LIABILITIES
SHARE CAPITAL AND RESERVES
 Authorised share capital
 | Contract liabilities / advances from customers</x:v>
      </x:c>
    </x:row>
    <x:row r="812" ht="82" customHeight="1">
      <x:c r="A812" s="168" t="str">
        <x:v>DGKC|contract|2024</x:v>
      </x:c>
      <x:c r="B812" s="168" t="str">
        <x:v>DGKC</x:v>
      </x:c>
      <x:c r="C812" s="168" t="str">
        <x:v>FY2024</x:v>
      </x:c>
      <x:c r="D812" s="168" t="str">
        <x:v>Contract liabilities / advances from customers</x:v>
      </x:c>
      <x:c r="E812" s="169" t="n">
        <x:v>0</x:v>
      </x:c>
      <x:c r="F812" s="169" t="n">
        <x:v>0</x:v>
      </x:c>
      <x:c r="G812" s="169" t="str">
        <x:v>Rs '000</x:v>
      </x:c>
      <x:c r="H812" s="169" t="n">
        <x:f>F812/1000</x:f>
        <x:v>0</x:v>
      </x:c>
      <x:c r="I812" s="169" t="n">
        <x:f>DGKC!G52</x:f>
        <x:v>0</x:v>
      </x:c>
      <x:c r="J812" s="169" t="n">
        <x:f>H812-I812</x:f>
        <x:v>0</x:v>
      </x:c>
      <x:c r="K812" s="168" t="str">
        <x:v>DGAnnual2025.pdf</x:v>
      </x:c>
      <x:c r="L812" s="168" t="n">
        <x:v>153</x:v>
      </x:c>
      <x:c r="M812" s="168" t="str">
        <x:v>Comparative</x:v>
      </x:c>
      <x:c r="N812" s="171" t="str">
        <x:v>Zero / no separate line in audited presentation</x:v>
      </x:c>
      <x:c r="O812" s="171" t="str">
        <x:v>Zero classification checked within the audited statement/note and reconstructed statement totals; absence of a separate line does not imply a missing replacement estimate.</x:v>
      </x:c>
      <x:c r="P812" s="171" t="str">
        <x:v>
   2025 2024
  Note (Rupees in thousand)
EQUITY AND LIABILITIES
SHARE CAPITAL AND RESERVES
 Authorised share capital
 - 950,000,000 (2024: 950,00 | Contract liabilities / advances from customers</x:v>
      </x:c>
    </x:row>
    <x:row r="813" ht="82" customHeight="1">
      <x:c r="A813" s="76" t="str">
        <x:v>DGKC|contract|2025</x:v>
      </x:c>
      <x:c r="B813" s="76" t="str">
        <x:v>DGKC</x:v>
      </x:c>
      <x:c r="C813" s="76" t="str">
        <x:v>FY2025</x:v>
      </x:c>
      <x:c r="D813" s="76" t="str">
        <x:v>Contract liabilities / advances from customers</x:v>
      </x:c>
      <x:c r="E813" s="170" t="n">
        <x:v>0</x:v>
      </x:c>
      <x:c r="F813" s="170" t="n">
        <x:v>0</x:v>
      </x:c>
      <x:c r="G813" s="170" t="str">
        <x:v>Rs '000</x:v>
      </x:c>
      <x:c r="H813" s="170" t="n">
        <x:f>F813/1000</x:f>
        <x:v>0</x:v>
      </x:c>
      <x:c r="I813" s="170" t="n">
        <x:f>DGKC!H52</x:f>
        <x:v>0</x:v>
      </x:c>
      <x:c r="J813" s="170" t="n">
        <x:f>H813-I813</x:f>
        <x:v>0</x:v>
      </x:c>
      <x:c r="K813" s="76" t="str">
        <x:v>DGAnnual2025.pdf</x:v>
      </x:c>
      <x:c r="L813" s="76" t="n">
        <x:v>153</x:v>
      </x:c>
      <x:c r="M813" s="76" t="str">
        <x:v>Current year</x:v>
      </x:c>
      <x:c r="N813" s="99" t="str">
        <x:v>Zero / no separate line in audited presentation</x:v>
      </x:c>
      <x:c r="O813" s="99" t="str">
        <x:v>Zero classification checked within the audited statement/note and reconstructed statement totals; absence of a separate line does not imply a missing replacement estimate.</x:v>
      </x:c>
      <x:c r="P813" s="99" t="str">
        <x:v>
   2025 2024
  Note (Rupees in thousand)
EQUITY AND LIABILITIES
SHARE CAPITAL AND RESERVES
 Authorised share capital
 - 950,000,000 (2024: 950,00 | Contract liabilities / advances from customers</x:v>
      </x:c>
    </x:row>
    <x:row r="814" ht="82" customHeight="1">
      <x:c r="A814" s="168" t="str">
        <x:v>DGKC|acc_markup|2020</x:v>
      </x:c>
      <x:c r="B814" s="168" t="str">
        <x:v>DGKC</x:v>
      </x:c>
      <x:c r="C814" s="168" t="str">
        <x:v>FY2020</x:v>
      </x:c>
      <x:c r="D814" s="168" t="str">
        <x:v>Accrued mark-up / interest</x:v>
      </x:c>
      <x:c r="E814" s="169" t="n">
        <x:v>712275</x:v>
      </x:c>
      <x:c r="F814" s="169" t="n">
        <x:v>712275</x:v>
      </x:c>
      <x:c r="G814" s="169" t="str">
        <x:v>Rs '000</x:v>
      </x:c>
      <x:c r="H814" s="169" t="n">
        <x:f>F814/1000</x:f>
        <x:v>712.275</x:v>
      </x:c>
      <x:c r="I814" s="169" t="n">
        <x:f>DGKC!C53</x:f>
        <x:v>712.275</x:v>
      </x:c>
      <x:c r="J814" s="169" t="n">
        <x:f>H814-I814</x:f>
        <x:v>0</x:v>
      </x:c>
      <x:c r="K814" s="168" t="str">
        <x:v>DG_Annual_Report_2021.pdf</x:v>
      </x:c>
      <x:c r="L814" s="168" t="n">
        <x:v>105</x:v>
      </x:c>
      <x:c r="M814" s="168" t="str">
        <x:v>Comparative</x:v>
      </x:c>
      <x:c r="N814" s="171" t="str">
        <x:v>Printed amount independently located</x:v>
      </x:c>
      <x:c r="O814" s="171" t="str">
        <x:v>Exact source amount found; audited year/current-comparative column recorded. Accounting subtotal tests performed separately.</x:v>
      </x:c>
      <x:c r="P814" s="171" t="str">
        <x:v>on 11 3,378,941 2,535,349
    24,121,304 25,283,120
CURRENT LIABILITIES
 Trade and other payables 12 14,923,151 11,298,187
 Accrued markup 13 507,769 712,275
 Short term borrowings - secured 14 18,362,050 23,495,967
 Current portion of non-current liabilities 15 6,433,943 2,048,901
 Unclaimed dividend  33,517 33,837
 Provision for taxa</x:v>
      </x:c>
    </x:row>
    <x:row r="815" ht="82" customHeight="1">
      <x:c r="A815" s="76" t="str">
        <x:v>DGKC|acc_markup|2021</x:v>
      </x:c>
      <x:c r="B815" s="76" t="str">
        <x:v>DGKC</x:v>
      </x:c>
      <x:c r="C815" s="76" t="str">
        <x:v>FY2021</x:v>
      </x:c>
      <x:c r="D815" s="76" t="str">
        <x:v>Accrued mark-up / interest</x:v>
      </x:c>
      <x:c r="E815" s="170" t="n">
        <x:v>507769</x:v>
      </x:c>
      <x:c r="F815" s="170" t="n">
        <x:v>507769</x:v>
      </x:c>
      <x:c r="G815" s="170" t="str">
        <x:v>Rs '000</x:v>
      </x:c>
      <x:c r="H815" s="170" t="n">
        <x:f>F815/1000</x:f>
        <x:v>507.769</x:v>
      </x:c>
      <x:c r="I815" s="170" t="n">
        <x:f>DGKC!D53</x:f>
        <x:v>507.769</x:v>
      </x:c>
      <x:c r="J815" s="170" t="n">
        <x:f>H815-I815</x:f>
        <x:v>0</x:v>
      </x:c>
      <x:c r="K815" s="76" t="str">
        <x:v>DG_Annual_Report_2022.pdf</x:v>
      </x:c>
      <x:c r="L815" s="76" t="n">
        <x:v>125</x:v>
      </x:c>
      <x:c r="M815" s="76" t="str">
        <x:v>Comparative</x:v>
      </x:c>
      <x:c r="N815" s="99" t="str">
        <x:v>Printed amount independently located</x:v>
      </x:c>
      <x:c r="O815" s="99" t="str">
        <x:v>Exact source amount found; audited year/current-comparative column recorded. Accounting subtotal tests performed separately.</x:v>
      </x:c>
      <x:c r="P815" s="99" t="str">
        <x:v>er payables 12 12,591,709 14,923,151
 Short term borrowings from financial institutions - secured 13 25,210,506 18,362,050
 Accrued markup 14 883,229 507,769
 Current portion of non-current liabilities 15 7,333,985 6,433,943
 Unclaimed dividend  34,512 33,517
 Provision for taxation  35,090 35,090
    46,089,031 40,295,520
CONTINGENCIE</x:v>
      </x:c>
    </x:row>
    <x:row r="816" ht="82" customHeight="1">
      <x:c r="A816" s="168" t="str">
        <x:v>DGKC|acc_markup|2022</x:v>
      </x:c>
      <x:c r="B816" s="168" t="str">
        <x:v>DGKC</x:v>
      </x:c>
      <x:c r="C816" s="168" t="str">
        <x:v>FY2022</x:v>
      </x:c>
      <x:c r="D816" s="168" t="str">
        <x:v>Accrued mark-up / interest</x:v>
      </x:c>
      <x:c r="E816" s="169" t="n">
        <x:v>883229</x:v>
      </x:c>
      <x:c r="F816" s="169" t="n">
        <x:v>883229</x:v>
      </x:c>
      <x:c r="G816" s="169" t="str">
        <x:v>Rs '000</x:v>
      </x:c>
      <x:c r="H816" s="169" t="n">
        <x:f>F816/1000</x:f>
        <x:v>883.229</x:v>
      </x:c>
      <x:c r="I816" s="169" t="n">
        <x:f>DGKC!E53</x:f>
        <x:v>883.229</x:v>
      </x:c>
      <x:c r="J816" s="169" t="n">
        <x:f>H816-I816</x:f>
        <x:v>0</x:v>
      </x:c>
      <x:c r="K816" s="168" t="str">
        <x:v>DGAnnual2023.pdf</x:v>
      </x:c>
      <x:c r="L816" s="168" t="n">
        <x:v>151</x:v>
      </x:c>
      <x:c r="M816" s="168" t="str">
        <x:v>Comparative</x:v>
      </x:c>
      <x:c r="N816" s="171" t="str">
        <x:v>Printed amount independently located</x:v>
      </x:c>
      <x:c r="O816" s="171" t="str">
        <x:v>Exact source amount found; audited year/current-comparative column recorded. Accounting subtotal tests performed separately.</x:v>
      </x:c>
      <x:c r="P816" s="171" t="str">
        <x:v>payables 12 13,783,299 12,591,709
 Short term borrowings from financial institutions - secured 13 25,494,293 25,210,506
 Accrued markup 14 1,739,547 883,229
 Current portion of non-current liabilities 15 7,588,857 7,333,985
 Unclaimed dividend  34,704 34,512
 Provision for taxation  35,090 35,090
    48,675,790 46,089,031
CONTINGENCIE</x:v>
      </x:c>
    </x:row>
    <x:row r="817" ht="82" customHeight="1">
      <x:c r="A817" s="76" t="str">
        <x:v>DGKC|acc_markup|2023</x:v>
      </x:c>
      <x:c r="B817" s="76" t="str">
        <x:v>DGKC</x:v>
      </x:c>
      <x:c r="C817" s="76" t="str">
        <x:v>FY2023</x:v>
      </x:c>
      <x:c r="D817" s="76" t="str">
        <x:v>Accrued mark-up / interest</x:v>
      </x:c>
      <x:c r="E817" s="170" t="n">
        <x:v>1739547</x:v>
      </x:c>
      <x:c r="F817" s="170" t="n">
        <x:v>1739547</x:v>
      </x:c>
      <x:c r="G817" s="170" t="str">
        <x:v>Rs '000</x:v>
      </x:c>
      <x:c r="H817" s="170" t="n">
        <x:f>F817/1000</x:f>
        <x:v>1739.547</x:v>
      </x:c>
      <x:c r="I817" s="170" t="n">
        <x:f>DGKC!F53</x:f>
        <x:v>1739.547</x:v>
      </x:c>
      <x:c r="J817" s="170" t="n">
        <x:f>H817-I817</x:f>
        <x:v>0</x:v>
      </x:c>
      <x:c r="K817" s="76" t="str">
        <x:v>DGAnnual2024.pdf</x:v>
      </x:c>
      <x:c r="L817" s="76" t="n">
        <x:v>151</x:v>
      </x:c>
      <x:c r="M817" s="76" t="str">
        <x:v>Comparative</x:v>
      </x:c>
      <x:c r="N817" s="99" t="str">
        <x:v>Printed amount independently located</x:v>
      </x:c>
      <x:c r="O817" s="99" t="str">
        <x:v>Exact source amount found; audited year/current-comparative column recorded. Accounting subtotal tests performed separately.</x:v>
      </x:c>
      <x:c r="P817" s="99" t="str">
        <x:v>payables 12 12,394,455 13,783,299
 Short term borrowings from financial institutions - secured 13 13,064,718 25,494,293
 Accrued mark-up 14 1,280,446 1,739,547
 Current portion of non-current liabilities 15 5,416,807 7,588,857
 Unclaimed dividend  34,201 34,704
 Provision for taxation  35,090 35,090
    32,225,717 48,675,790
CONTINGENCIE</x:v>
      </x:c>
    </x:row>
    <x:row r="818" ht="82" customHeight="1">
      <x:c r="A818" s="168" t="str">
        <x:v>DGKC|acc_markup|2024</x:v>
      </x:c>
      <x:c r="B818" s="168" t="str">
        <x:v>DGKC</x:v>
      </x:c>
      <x:c r="C818" s="168" t="str">
        <x:v>FY2024</x:v>
      </x:c>
      <x:c r="D818" s="168" t="str">
        <x:v>Accrued mark-up / interest</x:v>
      </x:c>
      <x:c r="E818" s="169" t="n">
        <x:v>1280446</x:v>
      </x:c>
      <x:c r="F818" s="169" t="n">
        <x:v>1280446</x:v>
      </x:c>
      <x:c r="G818" s="169" t="str">
        <x:v>Rs '000</x:v>
      </x:c>
      <x:c r="H818" s="169" t="n">
        <x:f>F818/1000</x:f>
        <x:v>1280.446</x:v>
      </x:c>
      <x:c r="I818" s="169" t="n">
        <x:f>DGKC!G53</x:f>
        <x:v>1280.446</x:v>
      </x:c>
      <x:c r="J818" s="169" t="n">
        <x:f>H818-I818</x:f>
        <x:v>0</x:v>
      </x:c>
      <x:c r="K818" s="168" t="str">
        <x:v>DGAnnual2025.pdf</x:v>
      </x:c>
      <x:c r="L818" s="168" t="n">
        <x:v>153</x:v>
      </x:c>
      <x:c r="M818" s="168" t="str">
        <x:v>Comparative</x:v>
      </x:c>
      <x:c r="N818" s="171" t="str">
        <x:v>Printed amount independently located</x:v>
      </x:c>
      <x:c r="O818" s="171" t="str">
        <x:v>Exact source amount found; audited year/current-comparative column recorded. Accounting subtotal tests performed separately.</x:v>
      </x:c>
      <x:c r="P818" s="171" t="str">
        <x:v>er payables 12 13,333,448 12,394,455
 Short term borrowings from financial institutions - secured 13 9,878,499 13,064,718
 Accrued mark-up 14 229,652 1,280,446
 Current portion of non-current liabilities 15 2,069,243 5,416,807
 Unclaimed dividend  34,154 34,201
 Income tax payable  330,834 -
 Provision for taxation  35,090 35,090
    25,</x:v>
      </x:c>
    </x:row>
    <x:row r="819" ht="82" customHeight="1">
      <x:c r="A819" s="76" t="str">
        <x:v>DGKC|acc_markup|2025</x:v>
      </x:c>
      <x:c r="B819" s="76" t="str">
        <x:v>DGKC</x:v>
      </x:c>
      <x:c r="C819" s="76" t="str">
        <x:v>FY2025</x:v>
      </x:c>
      <x:c r="D819" s="76" t="str">
        <x:v>Accrued mark-up / interest</x:v>
      </x:c>
      <x:c r="E819" s="170" t="n">
        <x:v>229652</x:v>
      </x:c>
      <x:c r="F819" s="170" t="n">
        <x:v>229652</x:v>
      </x:c>
      <x:c r="G819" s="170" t="str">
        <x:v>Rs '000</x:v>
      </x:c>
      <x:c r="H819" s="170" t="n">
        <x:f>F819/1000</x:f>
        <x:v>229.652</x:v>
      </x:c>
      <x:c r="I819" s="170" t="n">
        <x:f>DGKC!H53</x:f>
        <x:v>229.652</x:v>
      </x:c>
      <x:c r="J819" s="170" t="n">
        <x:f>H819-I819</x:f>
        <x:v>0</x:v>
      </x:c>
      <x:c r="K819" s="76" t="str">
        <x:v>DGAnnual2025.pdf</x:v>
      </x:c>
      <x:c r="L819" s="76" t="n">
        <x:v>153</x:v>
      </x:c>
      <x:c r="M819" s="76" t="str">
        <x:v>Current year</x:v>
      </x:c>
      <x:c r="N819" s="99" t="str">
        <x:v>Printed amount independently located</x:v>
      </x:c>
      <x:c r="O819" s="99" t="str">
        <x:v>Exact source amount found; audited year/current-comparative column recorded. Accounting subtotal tests performed separately.</x:v>
      </x:c>
      <x:c r="P819" s="99" t="str">
        <x:v>and other payables 12 13,333,448 12,394,455
 Short term borrowings from financial institutions - secured 13 9,878,499 13,064,718
 Accrued mark-up 14 229,652 1,280,446
 Current portion of non-current liabilities 15 2,069,243 5,416,807
 Unclaimed dividend  34,154 34,201
 Income tax payable  330,834 -
 Provision for taxation  35,090 35,0</x:v>
      </x:c>
    </x:row>
    <x:row r="820" ht="82" customHeight="1">
      <x:c r="A820" s="168" t="str">
        <x:v>DGKC|stb|2020</x:v>
      </x:c>
      <x:c r="B820" s="168" t="str">
        <x:v>DGKC</x:v>
      </x:c>
      <x:c r="C820" s="168" t="str">
        <x:v>FY2020</x:v>
      </x:c>
      <x:c r="D820" s="168" t="str">
        <x:v>Short-term borrowings (incl. running finance; FCCL parent loan)</x:v>
      </x:c>
      <x:c r="E820" s="169" t="n">
        <x:v>23495967</x:v>
      </x:c>
      <x:c r="F820" s="169" t="n">
        <x:v>23495967</x:v>
      </x:c>
      <x:c r="G820" s="169" t="str">
        <x:v>Rs '000</x:v>
      </x:c>
      <x:c r="H820" s="169" t="n">
        <x:f>F820/1000</x:f>
        <x:v>23495.967</x:v>
      </x:c>
      <x:c r="I820" s="169" t="n">
        <x:f>DGKC!C54</x:f>
        <x:v>23495.967</x:v>
      </x:c>
      <x:c r="J820" s="169" t="n">
        <x:f>H820-I820</x:f>
        <x:v>0</x:v>
      </x:c>
      <x:c r="K820" s="168" t="str">
        <x:v>DG_Annual_Report_2021.pdf</x:v>
      </x:c>
      <x:c r="L820" s="168" t="n">
        <x:v>105</x:v>
      </x:c>
      <x:c r="M820" s="168" t="str">
        <x:v>Comparative</x:v>
      </x:c>
      <x:c r="N820" s="171" t="str">
        <x:v>Printed amount independently located</x:v>
      </x:c>
      <x:c r="O820" s="171" t="str">
        <x:v>Exact source amount found; audited year/current-comparative column recorded. Accounting subtotal tests performed separately.</x:v>
      </x:c>
      <x:c r="P820" s="171" t="str">
        <x:v>RENT LIABILITIES
 Trade and other payables 12 14,923,151 11,298,187
 Accrued markup 13 507,769 712,275
 Short term borrowings - secured 14 18,362,050 23,495,967
 Current portion of non-current liabilities 15 6,433,943 2,048,901
 Unclaimed dividend  33,517 33,837
 Provision for taxation  35,090 35,090
    40,295,520 37,624,257
CONTINGENCIE</x:v>
      </x:c>
    </x:row>
    <x:row r="821" ht="82" customHeight="1">
      <x:c r="A821" s="76" t="str">
        <x:v>DGKC|stb|2021</x:v>
      </x:c>
      <x:c r="B821" s="76" t="str">
        <x:v>DGKC</x:v>
      </x:c>
      <x:c r="C821" s="76" t="str">
        <x:v>FY2021</x:v>
      </x:c>
      <x:c r="D821" s="76" t="str">
        <x:v>Short-term borrowings (incl. running finance; FCCL parent loan)</x:v>
      </x:c>
      <x:c r="E821" s="170" t="n">
        <x:v>18362050</x:v>
      </x:c>
      <x:c r="F821" s="170" t="n">
        <x:v>18362050</x:v>
      </x:c>
      <x:c r="G821" s="170" t="str">
        <x:v>Rs '000</x:v>
      </x:c>
      <x:c r="H821" s="170" t="n">
        <x:f>F821/1000</x:f>
        <x:v>18362.05</x:v>
      </x:c>
      <x:c r="I821" s="170" t="n">
        <x:f>DGKC!D54</x:f>
        <x:v>18362.05</x:v>
      </x:c>
      <x:c r="J821" s="170" t="n">
        <x:f>H821-I821</x:f>
        <x:v>0</x:v>
      </x:c>
      <x:c r="K821" s="76" t="str">
        <x:v>DG_Annual_Report_2022.pdf</x:v>
      </x:c>
      <x:c r="L821" s="76" t="n">
        <x:v>125</x:v>
      </x:c>
      <x:c r="M821" s="76" t="str">
        <x:v>Comparative</x:v>
      </x:c>
      <x:c r="N821" s="99" t="str">
        <x:v>Printed amount independently located</x:v>
      </x:c>
      <x:c r="O821" s="99" t="str">
        <x:v>Exact source amount found; audited year/current-comparative column recorded. Accounting subtotal tests performed separately.</x:v>
      </x:c>
      <x:c r="P821" s="99" t="str">
        <x:v>304
CURRENT LIABILITIES
 Trade and other payables 12 12,591,709 14,923,151
 Short term borrowings from financial institutions - secured 13 25,210,506 18,362,050
 Accrued markup 14 883,229 507,769
 Current portion of non-current liabilities 15 7,333,985 6,433,943
 Unclaimed dividend  34,512 33,517
 Provision for taxation  35,090 35,090</x:v>
      </x:c>
    </x:row>
    <x:row r="822" ht="82" customHeight="1">
      <x:c r="A822" s="168" t="str">
        <x:v>DGKC|stb|2022</x:v>
      </x:c>
      <x:c r="B822" s="168" t="str">
        <x:v>DGKC</x:v>
      </x:c>
      <x:c r="C822" s="168" t="str">
        <x:v>FY2022</x:v>
      </x:c>
      <x:c r="D822" s="168" t="str">
        <x:v>Short-term borrowings (incl. running finance; FCCL parent loan)</x:v>
      </x:c>
      <x:c r="E822" s="169" t="n">
        <x:v>25210506</x:v>
      </x:c>
      <x:c r="F822" s="169" t="n">
        <x:v>25210506</x:v>
      </x:c>
      <x:c r="G822" s="169" t="str">
        <x:v>Rs '000</x:v>
      </x:c>
      <x:c r="H822" s="169" t="n">
        <x:f>F822/1000</x:f>
        <x:v>25210.506</x:v>
      </x:c>
      <x:c r="I822" s="169" t="n">
        <x:f>DGKC!E54</x:f>
        <x:v>25210.506</x:v>
      </x:c>
      <x:c r="J822" s="169" t="n">
        <x:f>H822-I822</x:f>
        <x:v>0</x:v>
      </x:c>
      <x:c r="K822" s="168" t="str">
        <x:v>DGAnnual2023.pdf</x:v>
      </x:c>
      <x:c r="L822" s="168" t="n">
        <x:v>151</x:v>
      </x:c>
      <x:c r="M822" s="168" t="str">
        <x:v>Comparative</x:v>
      </x:c>
      <x:c r="N822" s="171" t="str">
        <x:v>Printed amount independently located</x:v>
      </x:c>
      <x:c r="O822" s="171" t="str">
        <x:v>Exact source amount found; audited year/current-comparative column recorded. Accounting subtotal tests performed separately.</x:v>
      </x:c>
      <x:c r="P822" s="171" t="str">
        <x:v>880
CURRENT LIABILITIES
 Trade and other payables 12 13,783,299 12,591,709
 Short term borrowings from financial institutions - secured 13 25,494,293 25,210,506
 Accrued markup 14 1,739,547 883,229
 Current portion of non-current liabilities 15 7,588,857 7,333,985
 Unclaimed dividend  34,704 34,512
 Provision for taxation  35,090 35,090</x:v>
      </x:c>
    </x:row>
    <x:row r="823" ht="82" customHeight="1">
      <x:c r="A823" s="76" t="str">
        <x:v>DGKC|stb|2023</x:v>
      </x:c>
      <x:c r="B823" s="76" t="str">
        <x:v>DGKC</x:v>
      </x:c>
      <x:c r="C823" s="76" t="str">
        <x:v>FY2023</x:v>
      </x:c>
      <x:c r="D823" s="76" t="str">
        <x:v>Short-term borrowings (incl. running finance; FCCL parent loan)</x:v>
      </x:c>
      <x:c r="E823" s="170" t="n">
        <x:v>25494293</x:v>
      </x:c>
      <x:c r="F823" s="170" t="n">
        <x:v>25494293</x:v>
      </x:c>
      <x:c r="G823" s="170" t="str">
        <x:v>Rs '000</x:v>
      </x:c>
      <x:c r="H823" s="170" t="n">
        <x:f>F823/1000</x:f>
        <x:v>25494.293</x:v>
      </x:c>
      <x:c r="I823" s="170" t="n">
        <x:f>DGKC!F54</x:f>
        <x:v>25494.293</x:v>
      </x:c>
      <x:c r="J823" s="170" t="n">
        <x:f>H823-I823</x:f>
        <x:v>0</x:v>
      </x:c>
      <x:c r="K823" s="76" t="str">
        <x:v>DGAnnual2024.pdf</x:v>
      </x:c>
      <x:c r="L823" s="76" t="n">
        <x:v>151</x:v>
      </x:c>
      <x:c r="M823" s="76" t="str">
        <x:v>Comparative</x:v>
      </x:c>
      <x:c r="N823" s="99" t="str">
        <x:v>Printed amount independently located</x:v>
      </x:c>
      <x:c r="O823" s="99" t="str">
        <x:v>Exact source amount found; audited year/current-comparative column recorded. Accounting subtotal tests performed separately.</x:v>
      </x:c>
      <x:c r="P823" s="99" t="str">
        <x:v>187
CURRENT LIABILITIES
 Trade and other payables 12 12,394,455 13,783,299
 Short term borrowings from financial institutions - secured 13 13,064,718 25,494,293
 Accrued mark-up 14 1,280,446 1,739,547
 Current portion of non-current liabilities 15 5,416,807 7,588,857
 Unclaimed dividend  34,201 34,704
 Provision for taxation  35,090 35,09</x:v>
      </x:c>
    </x:row>
    <x:row r="824" ht="82" customHeight="1">
      <x:c r="A824" s="168" t="str">
        <x:v>DGKC|stb|2024</x:v>
      </x:c>
      <x:c r="B824" s="168" t="str">
        <x:v>DGKC</x:v>
      </x:c>
      <x:c r="C824" s="168" t="str">
        <x:v>FY2024</x:v>
      </x:c>
      <x:c r="D824" s="168" t="str">
        <x:v>Short-term borrowings (incl. running finance; FCCL parent loan)</x:v>
      </x:c>
      <x:c r="E824" s="169" t="n">
        <x:v>13064718</x:v>
      </x:c>
      <x:c r="F824" s="169" t="n">
        <x:v>13064718</x:v>
      </x:c>
      <x:c r="G824" s="169" t="str">
        <x:v>Rs '000</x:v>
      </x:c>
      <x:c r="H824" s="169" t="n">
        <x:f>F824/1000</x:f>
        <x:v>13064.718</x:v>
      </x:c>
      <x:c r="I824" s="169" t="n">
        <x:f>DGKC!G54</x:f>
        <x:v>13064.718</x:v>
      </x:c>
      <x:c r="J824" s="169" t="n">
        <x:f>H824-I824</x:f>
        <x:v>0</x:v>
      </x:c>
      <x:c r="K824" s="168" t="str">
        <x:v>DGAnnual2025.pdf</x:v>
      </x:c>
      <x:c r="L824" s="168" t="n">
        <x:v>153</x:v>
      </x:c>
      <x:c r="M824" s="168" t="str">
        <x:v>Comparative</x:v>
      </x:c>
      <x:c r="N824" s="171" t="str">
        <x:v>Printed amount independently located</x:v>
      </x:c>
      <x:c r="O824" s="171" t="str">
        <x:v>Exact source amount found; audited year/current-comparative column recorded. Accounting subtotal tests performed separately.</x:v>
      </x:c>
      <x:c r="P824" s="171" t="str">
        <x:v>,499
CURRENT LIABILITIES
 Trade and other payables 12 13,333,448 12,394,455
 Short term borrowings from financial institutions - secured 13 9,878,499 13,064,718
 Accrued mark-up 14 229,652 1,280,446
 Current portion of non-current liabilities 15 2,069,243 5,416,807
 Unclaimed dividend  34,154 34,201
 Income tax payable  330,834 -
 Provisi</x:v>
      </x:c>
    </x:row>
    <x:row r="825" ht="82" customHeight="1">
      <x:c r="A825" s="76" t="str">
        <x:v>DGKC|stb|2025</x:v>
      </x:c>
      <x:c r="B825" s="76" t="str">
        <x:v>DGKC</x:v>
      </x:c>
      <x:c r="C825" s="76" t="str">
        <x:v>FY2025</x:v>
      </x:c>
      <x:c r="D825" s="76" t="str">
        <x:v>Short-term borrowings (incl. running finance; FCCL parent loan)</x:v>
      </x:c>
      <x:c r="E825" s="170" t="n">
        <x:v>9878499</x:v>
      </x:c>
      <x:c r="F825" s="170" t="n">
        <x:v>9878499</x:v>
      </x:c>
      <x:c r="G825" s="170" t="str">
        <x:v>Rs '000</x:v>
      </x:c>
      <x:c r="H825" s="170" t="n">
        <x:f>F825/1000</x:f>
        <x:v>9878.499</x:v>
      </x:c>
      <x:c r="I825" s="170" t="n">
        <x:f>DGKC!H54</x:f>
        <x:v>9878.499</x:v>
      </x:c>
      <x:c r="J825" s="170" t="n">
        <x:f>H825-I825</x:f>
        <x:v>0</x:v>
      </x:c>
      <x:c r="K825" s="76" t="str">
        <x:v>DGAnnual2025.pdf</x:v>
      </x:c>
      <x:c r="L825" s="76" t="n">
        <x:v>153</x:v>
      </x:c>
      <x:c r="M825" s="76" t="str">
        <x:v>Current year</x:v>
      </x:c>
      <x:c r="N825" s="99" t="str">
        <x:v>Printed amount independently located</x:v>
      </x:c>
      <x:c r="O825" s="99" t="str">
        <x:v>Exact source amount found; audited year/current-comparative column recorded. Accounting subtotal tests performed separately.</x:v>
      </x:c>
      <x:c r="P825" s="99" t="str">
        <x:v>837 30,312,499
CURRENT LIABILITIES
 Trade and other payables 12 13,333,448 12,394,455
 Short term borrowings from financial institutions - secured 13 9,878,499 13,064,718
 Accrued mark-up 14 229,652 1,280,446
 Current portion of non-current liabilities 15 2,069,243 5,416,807
 Unclaimed dividend  34,154 34,201
 Income tax payable  330,834</x:v>
      </x:c>
    </x:row>
    <x:row r="826" ht="82" customHeight="1">
      <x:c r="A826" s="168" t="str">
        <x:v>DGKC|cp_ltf|2020</x:v>
      </x:c>
      <x:c r="B826" s="168" t="str">
        <x:v>DGKC</x:v>
      </x:c>
      <x:c r="C826" s="168" t="str">
        <x:v>FY2020</x:v>
      </x:c>
      <x:c r="D826" s="168" t="str">
        <x:v>Current portion of long-term financing</x:v>
      </x:c>
      <x:c r="E826" s="169" t="n">
        <x:v>2010621</x:v>
      </x:c>
      <x:c r="F826" s="169" t="n">
        <x:v>2010621</x:v>
      </x:c>
      <x:c r="G826" s="169" t="str">
        <x:v>Rs '000</x:v>
      </x:c>
      <x:c r="H826" s="169" t="n">
        <x:f>F826/1000</x:f>
        <x:v>2010.621</x:v>
      </x:c>
      <x:c r="I826" s="169" t="n">
        <x:f>DGKC!C55</x:f>
        <x:v>2010.621</x:v>
      </x:c>
      <x:c r="J826" s="169" t="n">
        <x:f>H826-I826</x:f>
        <x:v>0</x:v>
      </x:c>
      <x:c r="K826" s="168" t="str">
        <x:v>DG_Annual_Report_2021.pdf</x:v>
      </x:c>
      <x:c r="L826" s="168" t="n">
        <x:v>125</x:v>
      </x:c>
      <x:c r="M826" s="168" t="str">
        <x:v>Comparative</x:v>
      </x:c>
      <x:c r="N826" s="171" t="str">
        <x:v>Printed amount independently located</x:v>
      </x:c>
      <x:c r="O826" s="171" t="str">
        <x:v>Exact source amount found; audited year/current-comparative column recorded. Accounting subtotal tests performed separately.</x:v>
      </x:c>
      <x:c r="P826" s="171" t="str">
        <x:v>8
 Long term loans - note 7.2 20,679,530 23,412,283
     25,430,767 23,982,621
 Current portion shown under current liabilities - note 15 (6,130,703) (2,010,621)
     19,300,064 21,972,000
 124 ANNUA L REPORT 2021  DGKC</x:v>
      </x:c>
    </x:row>
    <x:row r="827" ht="82" customHeight="1">
      <x:c r="A827" s="76" t="str">
        <x:v>DGKC|cp_ltf|2021</x:v>
      </x:c>
      <x:c r="B827" s="76" t="str">
        <x:v>DGKC</x:v>
      </x:c>
      <x:c r="C827" s="76" t="str">
        <x:v>FY2021</x:v>
      </x:c>
      <x:c r="D827" s="76" t="str">
        <x:v>Current portion of long-term financing</x:v>
      </x:c>
      <x:c r="E827" s="170" t="n">
        <x:v>6130703</x:v>
      </x:c>
      <x:c r="F827" s="170" t="n">
        <x:v>6130703</x:v>
      </x:c>
      <x:c r="G827" s="170" t="str">
        <x:v>Rs '000</x:v>
      </x:c>
      <x:c r="H827" s="170" t="n">
        <x:f>F827/1000</x:f>
        <x:v>6130.703</x:v>
      </x:c>
      <x:c r="I827" s="170" t="n">
        <x:f>DGKC!D55</x:f>
        <x:v>6130.703</x:v>
      </x:c>
      <x:c r="J827" s="170" t="n">
        <x:f>H827-I827</x:f>
        <x:v>0</x:v>
      </x:c>
      <x:c r="K827" s="76" t="str">
        <x:v>DG_Annual_Report_2022.pdf</x:v>
      </x:c>
      <x:c r="L827" s="76" t="n">
        <x:v>144</x:v>
      </x:c>
      <x:c r="M827" s="76" t="str">
        <x:v>Comparative</x:v>
      </x:c>
      <x:c r="N827" s="99" t="str">
        <x:v>Printed amount independently located</x:v>
      </x:c>
      <x:c r="O827" s="99" t="str">
        <x:v>Exact source amount found; audited year/current-comparative column recorded. Accounting subtotal tests performed separately.</x:v>
      </x:c>
      <x:c r="P827" s="99" t="str">
        <x:v>7
 Long term loans - note 7.2 17,036,958 20,679,530
     21,265,395 25,430,767
 Current portion shown under current liabilities - note 15 (7,097,166) (6,130,703)
     14,168,229 19,300,064
 143
ANNUA L REPORT 2022  DGKC</x:v>
      </x:c>
    </x:row>
    <x:row r="828" ht="82" customHeight="1">
      <x:c r="A828" s="168" t="str">
        <x:v>DGKC|cp_ltf|2022</x:v>
      </x:c>
      <x:c r="B828" s="168" t="str">
        <x:v>DGKC</x:v>
      </x:c>
      <x:c r="C828" s="168" t="str">
        <x:v>FY2022</x:v>
      </x:c>
      <x:c r="D828" s="168" t="str">
        <x:v>Current portion of long-term financing</x:v>
      </x:c>
      <x:c r="E828" s="169" t="n">
        <x:v>7097166</x:v>
      </x:c>
      <x:c r="F828" s="169" t="n">
        <x:v>7097166</x:v>
      </x:c>
      <x:c r="G828" s="169" t="str">
        <x:v>Rs '000</x:v>
      </x:c>
      <x:c r="H828" s="169" t="n">
        <x:f>F828/1000</x:f>
        <x:v>7097.166</x:v>
      </x:c>
      <x:c r="I828" s="169" t="n">
        <x:f>DGKC!E55</x:f>
        <x:v>7097.166</x:v>
      </x:c>
      <x:c r="J828" s="169" t="n">
        <x:f>H828-I828</x:f>
        <x:v>0</x:v>
      </x:c>
      <x:c r="K828" s="168" t="str">
        <x:v>DGAnnual2023.pdf</x:v>
      </x:c>
      <x:c r="L828" s="168" t="n">
        <x:v>170</x:v>
      </x:c>
      <x:c r="M828" s="168" t="str">
        <x:v>Comparative</x:v>
      </x:c>
      <x:c r="N828" s="171" t="str">
        <x:v>Printed amount independently located</x:v>
      </x:c>
      <x:c r="O828" s="171" t="str">
        <x:v>Exact source amount found; audited year/current-comparative column recorded. Accounting subtotal tests performed separately.</x:v>
      </x:c>
      <x:c r="P828" s="171" t="str">
        <x:v>7
 Long term loans - note 7.2 13,742,264 17,036,958
     17,033,983 21,265,395
 Current portion shown under current liabilities - note 15 (7,370,364) (7,097,166)
     9,663,619 14,168,229
2023
Annual Report
DGKC
169</x:v>
      </x:c>
    </x:row>
    <x:row r="829" ht="82" customHeight="1">
      <x:c r="A829" s="76" t="str">
        <x:v>DGKC|cp_ltf|2023</x:v>
      </x:c>
      <x:c r="B829" s="76" t="str">
        <x:v>DGKC</x:v>
      </x:c>
      <x:c r="C829" s="76" t="str">
        <x:v>FY2023</x:v>
      </x:c>
      <x:c r="D829" s="76" t="str">
        <x:v>Current portion of long-term financing</x:v>
      </x:c>
      <x:c r="E829" s="170" t="n">
        <x:v>7370364</x:v>
      </x:c>
      <x:c r="F829" s="170" t="n">
        <x:v>7370364</x:v>
      </x:c>
      <x:c r="G829" s="170" t="str">
        <x:v>Rs '000</x:v>
      </x:c>
      <x:c r="H829" s="170" t="n">
        <x:f>F829/1000</x:f>
        <x:v>7370.364</x:v>
      </x:c>
      <x:c r="I829" s="170" t="n">
        <x:f>DGKC!F55</x:f>
        <x:v>7370.364</x:v>
      </x:c>
      <x:c r="J829" s="170" t="n">
        <x:f>H829-I829</x:f>
        <x:v>0</x:v>
      </x:c>
      <x:c r="K829" s="76" t="str">
        <x:v>DGAnnual2024.pdf</x:v>
      </x:c>
      <x:c r="L829" s="76" t="n">
        <x:v>172</x:v>
      </x:c>
      <x:c r="M829" s="76" t="str">
        <x:v>Comparative</x:v>
      </x:c>
      <x:c r="N829" s="99" t="str">
        <x:v>Printed amount independently located</x:v>
      </x:c>
      <x:c r="O829" s="99" t="str">
        <x:v>Exact source amount found; audited year/current-comparative column recorded. Accounting subtotal tests performed separately.</x:v>
      </x:c>
      <x:c r="P829" s="99" t="str">
        <x:v>Long term loans - note  7.2 18,506,586 13,742,264
     21,257,088 17,033,983
 Current portion shown under current liabilities - note  15 (5,291,972) (7,370,364)
     15,965,116 9,663,619</x:v>
      </x:c>
    </x:row>
    <x:row r="830" ht="82" customHeight="1">
      <x:c r="A830" s="168" t="str">
        <x:v>DGKC|cp_ltf|2024</x:v>
      </x:c>
      <x:c r="B830" s="168" t="str">
        <x:v>DGKC</x:v>
      </x:c>
      <x:c r="C830" s="168" t="str">
        <x:v>FY2024</x:v>
      </x:c>
      <x:c r="D830" s="168" t="str">
        <x:v>Current portion of long-term financing</x:v>
      </x:c>
      <x:c r="E830" s="169" t="n">
        <x:v>5291972</x:v>
      </x:c>
      <x:c r="F830" s="169" t="n">
        <x:v>5291972</x:v>
      </x:c>
      <x:c r="G830" s="169" t="str">
        <x:v>Rs '000</x:v>
      </x:c>
      <x:c r="H830" s="169" t="n">
        <x:f>F830/1000</x:f>
        <x:v>5291.972</x:v>
      </x:c>
      <x:c r="I830" s="169" t="n">
        <x:f>DGKC!G55</x:f>
        <x:v>5291.972</x:v>
      </x:c>
      <x:c r="J830" s="169" t="n">
        <x:f>H830-I830</x:f>
        <x:v>0</x:v>
      </x:c>
      <x:c r="K830" s="168" t="str">
        <x:v>DGAnnual2025.pdf</x:v>
      </x:c>
      <x:c r="L830" s="168" t="n">
        <x:v>173</x:v>
      </x:c>
      <x:c r="M830" s="168" t="str">
        <x:v>Comparative</x:v>
      </x:c>
      <x:c r="N830" s="171" t="str">
        <x:v>Printed amount independently located</x:v>
      </x:c>
      <x:c r="O830" s="171" t="str">
        <x:v>Exact source amount found; audited year/current-comparative column recorded. Accounting subtotal tests performed separately.</x:v>
      </x:c>
      <x:c r="P830" s="171" t="str">
        <x:v>Long term loans - note  7.2 10,286,947 18,506,586
     12,028,601 21,257,088
 Current portion shown under current liabilities - note  15 (1,934,772) (5,291,972)
     10,093,829 15,965,116
172
DGKC Annual Report2025</x:v>
      </x:c>
    </x:row>
    <x:row r="831" ht="82" customHeight="1">
      <x:c r="A831" s="76" t="str">
        <x:v>DGKC|cp_ltf|2025</x:v>
      </x:c>
      <x:c r="B831" s="76" t="str">
        <x:v>DGKC</x:v>
      </x:c>
      <x:c r="C831" s="76" t="str">
        <x:v>FY2025</x:v>
      </x:c>
      <x:c r="D831" s="76" t="str">
        <x:v>Current portion of long-term financing</x:v>
      </x:c>
      <x:c r="E831" s="170" t="n">
        <x:v>1934772</x:v>
      </x:c>
      <x:c r="F831" s="170" t="n">
        <x:v>1934772</x:v>
      </x:c>
      <x:c r="G831" s="170" t="str">
        <x:v>Rs '000</x:v>
      </x:c>
      <x:c r="H831" s="170" t="n">
        <x:f>F831/1000</x:f>
        <x:v>1934.772</x:v>
      </x:c>
      <x:c r="I831" s="170" t="n">
        <x:f>DGKC!H55</x:f>
        <x:v>1934.772</x:v>
      </x:c>
      <x:c r="J831" s="170" t="n">
        <x:f>H831-I831</x:f>
        <x:v>0</x:v>
      </x:c>
      <x:c r="K831" s="76" t="str">
        <x:v>DGAnnual2025.pdf</x:v>
      </x:c>
      <x:c r="L831" s="76" t="n">
        <x:v>173</x:v>
      </x:c>
      <x:c r="M831" s="76" t="str">
        <x:v>Current year</x:v>
      </x:c>
      <x:c r="N831" s="99" t="str">
        <x:v>Printed amount independently located</x:v>
      </x:c>
      <x:c r="O831" s="99" t="str">
        <x:v>Exact source amount found; audited year/current-comparative column recorded. Accounting subtotal tests performed separately.</x:v>
      </x:c>
      <x:c r="P831" s="99" t="str">
        <x:v>4 2,750,502
 Long term loans - note  7.2 10,286,947 18,506,586
     12,028,601 21,257,088
 Current portion shown under current liabilities - note  15 (1,934,772) (5,291,972)
     10,093,829 15,965,116
172
DGKC Annual Report2025</x:v>
      </x:c>
    </x:row>
    <x:row r="832" ht="82" customHeight="1">
      <x:c r="A832" s="168" t="str">
        <x:v>DGKC|cp_lease|2020</x:v>
      </x:c>
      <x:c r="B832" s="168" t="str">
        <x:v>DGKC</x:v>
      </x:c>
      <x:c r="C832" s="168" t="str">
        <x:v>FY2020</x:v>
      </x:c>
      <x:c r="D832" s="168" t="str">
        <x:v>Current portion of lease liabilities</x:v>
      </x:c>
      <x:c r="E832" s="169" t="n">
        <x:v>0</x:v>
      </x:c>
      <x:c r="F832" s="169" t="n">
        <x:v>0</x:v>
      </x:c>
      <x:c r="G832" s="169" t="str">
        <x:v>Rs '000</x:v>
      </x:c>
      <x:c r="H832" s="169" t="n">
        <x:f>F832/1000</x:f>
        <x:v>0</x:v>
      </x:c>
      <x:c r="I832" s="169" t="n">
        <x:f>DGKC!C56</x:f>
        <x:v>0</x:v>
      </x:c>
      <x:c r="J832" s="169" t="n">
        <x:f>H832-I832</x:f>
        <x:v>0</x:v>
      </x:c>
      <x:c r="K832" s="168" t="str">
        <x:v>DG_Annual_Report_2021.pdf</x:v>
      </x:c>
      <x:c r="L832" s="168" t="n">
        <x:v>105</x:v>
      </x:c>
      <x:c r="M832" s="168" t="str">
        <x:v>Comparative</x:v>
      </x:c>
      <x:c r="N832" s="171" t="str">
        <x:v>Zero / no separate line in audited presentation</x:v>
      </x:c>
      <x:c r="O832" s="171" t="str">
        <x:v>Zero classification checked within the audited statement/note and reconstructed statement totals; absence of a separate line does not imply a missing replacement estimate.</x:v>
      </x:c>
      <x:c r="P832" s="171" t="str">
        <x:v>
   2021 2020
  Note (Rupees in thousand)
EQUITY AND LIABILITIES
CAPITAL AND RESERVES
 Authorised share capital
 - 950,000,000 (2020: 950,000,000) | Current portion of lease liabilities</x:v>
      </x:c>
    </x:row>
    <x:row r="833" ht="82" customHeight="1">
      <x:c r="A833" s="76" t="str">
        <x:v>DGKC|cp_lease|2021</x:v>
      </x:c>
      <x:c r="B833" s="76" t="str">
        <x:v>DGKC</x:v>
      </x:c>
      <x:c r="C833" s="76" t="str">
        <x:v>FY2021</x:v>
      </x:c>
      <x:c r="D833" s="76" t="str">
        <x:v>Current portion of lease liabilities</x:v>
      </x:c>
      <x:c r="E833" s="170" t="n">
        <x:v>0</x:v>
      </x:c>
      <x:c r="F833" s="170" t="n">
        <x:v>0</x:v>
      </x:c>
      <x:c r="G833" s="170" t="str">
        <x:v>Rs '000</x:v>
      </x:c>
      <x:c r="H833" s="170" t="n">
        <x:f>F833/1000</x:f>
        <x:v>0</x:v>
      </x:c>
      <x:c r="I833" s="170" t="n">
        <x:f>DGKC!D56</x:f>
        <x:v>0</x:v>
      </x:c>
      <x:c r="J833" s="170" t="n">
        <x:f>H833-I833</x:f>
        <x:v>0</x:v>
      </x:c>
      <x:c r="K833" s="76" t="str">
        <x:v>DG_Annual_Report_2022.pdf</x:v>
      </x:c>
      <x:c r="L833" s="76" t="n">
        <x:v>125</x:v>
      </x:c>
      <x:c r="M833" s="76" t="str">
        <x:v>Comparative</x:v>
      </x:c>
      <x:c r="N833" s="99" t="str">
        <x:v>Zero / no separate line in audited presentation</x:v>
      </x:c>
      <x:c r="O833" s="99" t="str">
        <x:v>Zero classification checked within the audited statement/note and reconstructed statement totals; absence of a separate line does not imply a missing replacement estimate.</x:v>
      </x:c>
      <x:c r="P833" s="99" t="str">
        <x:v>
   2022 2021
  Note (Rupees in thousand)
EQUITY AND LIABILITIES
SHARE CAPITAL AND RESERVES
 Authorised share capital
 - 950,000,000 (2021: 950,00 | Current portion of lease liabilities</x:v>
      </x:c>
    </x:row>
    <x:row r="834" ht="82" customHeight="1">
      <x:c r="A834" s="168" t="str">
        <x:v>DGKC|cp_lease|2022</x:v>
      </x:c>
      <x:c r="B834" s="168" t="str">
        <x:v>DGKC</x:v>
      </x:c>
      <x:c r="C834" s="168" t="str">
        <x:v>FY2022</x:v>
      </x:c>
      <x:c r="D834" s="168" t="str">
        <x:v>Current portion of lease liabilities</x:v>
      </x:c>
      <x:c r="E834" s="169" t="n">
        <x:v>0</x:v>
      </x:c>
      <x:c r="F834" s="169" t="n">
        <x:v>0</x:v>
      </x:c>
      <x:c r="G834" s="169" t="str">
        <x:v>Rs '000</x:v>
      </x:c>
      <x:c r="H834" s="169" t="n">
        <x:f>F834/1000</x:f>
        <x:v>0</x:v>
      </x:c>
      <x:c r="I834" s="169" t="n">
        <x:f>DGKC!E56</x:f>
        <x:v>0</x:v>
      </x:c>
      <x:c r="J834" s="169" t="n">
        <x:f>H834-I834</x:f>
        <x:v>0</x:v>
      </x:c>
      <x:c r="K834" s="168" t="str">
        <x:v>DGAnnual2023.pdf</x:v>
      </x:c>
      <x:c r="L834" s="168" t="n">
        <x:v>151</x:v>
      </x:c>
      <x:c r="M834" s="168" t="str">
        <x:v>Comparative</x:v>
      </x:c>
      <x:c r="N834" s="171" t="str">
        <x:v>Zero / no separate line in audited presentation</x:v>
      </x:c>
      <x:c r="O834" s="171" t="str">
        <x:v>Zero classification checked within the audited statement/note and reconstructed statement totals; absence of a separate line does not imply a missing replacement estimate.</x:v>
      </x:c>
      <x:c r="P834" s="171" t="str">
        <x:v>
   2023 2022
  Note (Rupees in thousand)
EQUITY AND LIABILITIES
SHARE CAPITAL AND RESERVES
 Authorised share capital
 - 950,000,000 (2022: 950,00 | Current portion of lease liabilities</x:v>
      </x:c>
    </x:row>
    <x:row r="835" ht="82" customHeight="1">
      <x:c r="A835" s="76" t="str">
        <x:v>DGKC|cp_lease|2023</x:v>
      </x:c>
      <x:c r="B835" s="76" t="str">
        <x:v>DGKC</x:v>
      </x:c>
      <x:c r="C835" s="76" t="str">
        <x:v>FY2023</x:v>
      </x:c>
      <x:c r="D835" s="76" t="str">
        <x:v>Current portion of lease liabilities</x:v>
      </x:c>
      <x:c r="E835" s="170" t="n">
        <x:v>0</x:v>
      </x:c>
      <x:c r="F835" s="170" t="n">
        <x:v>0</x:v>
      </x:c>
      <x:c r="G835" s="170" t="str">
        <x:v>Rs '000</x:v>
      </x:c>
      <x:c r="H835" s="170" t="n">
        <x:f>F835/1000</x:f>
        <x:v>0</x:v>
      </x:c>
      <x:c r="I835" s="170" t="n">
        <x:f>DGKC!F56</x:f>
        <x:v>0</x:v>
      </x:c>
      <x:c r="J835" s="170" t="n">
        <x:f>H835-I835</x:f>
        <x:v>0</x:v>
      </x:c>
      <x:c r="K835" s="76" t="str">
        <x:v>DGAnnual2024.pdf</x:v>
      </x:c>
      <x:c r="L835" s="76" t="n">
        <x:v>151</x:v>
      </x:c>
      <x:c r="M835" s="76" t="str">
        <x:v>Comparative</x:v>
      </x:c>
      <x:c r="N835" s="99" t="str">
        <x:v>Zero / no separate line in audited presentation</x:v>
      </x:c>
      <x:c r="O835" s="99" t="str">
        <x:v>Zero classification checked within the audited statement/note and reconstructed statement totals; absence of a separate line does not imply a missing replacement estimate.</x:v>
      </x:c>
      <x:c r="P835" s="99" t="str">
        <x:v>
150
DGKC Annual Report 2024
   2024 2023
  Note (Rupees in thousand)
EQUITY AND LIABILITIES
SHARE CAPITAL AND RESERVES
 Authorised share capital
 | Current portion of lease liabilities</x:v>
      </x:c>
    </x:row>
    <x:row r="836" ht="82" customHeight="1">
      <x:c r="A836" s="168" t="str">
        <x:v>DGKC|cp_lease|2024</x:v>
      </x:c>
      <x:c r="B836" s="168" t="str">
        <x:v>DGKC</x:v>
      </x:c>
      <x:c r="C836" s="168" t="str">
        <x:v>FY2024</x:v>
      </x:c>
      <x:c r="D836" s="168" t="str">
        <x:v>Current portion of lease liabilities</x:v>
      </x:c>
      <x:c r="E836" s="169" t="n">
        <x:v>0</x:v>
      </x:c>
      <x:c r="F836" s="169" t="n">
        <x:v>0</x:v>
      </x:c>
      <x:c r="G836" s="169" t="str">
        <x:v>Rs '000</x:v>
      </x:c>
      <x:c r="H836" s="169" t="n">
        <x:f>F836/1000</x:f>
        <x:v>0</x:v>
      </x:c>
      <x:c r="I836" s="169" t="n">
        <x:f>DGKC!G56</x:f>
        <x:v>0</x:v>
      </x:c>
      <x:c r="J836" s="169" t="n">
        <x:f>H836-I836</x:f>
        <x:v>0</x:v>
      </x:c>
      <x:c r="K836" s="168" t="str">
        <x:v>DGAnnual2025.pdf</x:v>
      </x:c>
      <x:c r="L836" s="168" t="n">
        <x:v>153</x:v>
      </x:c>
      <x:c r="M836" s="168" t="str">
        <x:v>Comparative</x:v>
      </x:c>
      <x:c r="N836" s="171" t="str">
        <x:v>Zero / no separate line in audited presentation</x:v>
      </x:c>
      <x:c r="O836" s="171" t="str">
        <x:v>Zero classification checked within the audited statement/note and reconstructed statement totals; absence of a separate line does not imply a missing replacement estimate.</x:v>
      </x:c>
      <x:c r="P836" s="171" t="str">
        <x:v>
   2025 2024
  Note (Rupees in thousand)
EQUITY AND LIABILITIES
SHARE CAPITAL AND RESERVES
 Authorised share capital
 - 950,000,000 (2024: 950,00 | Current portion of lease liabilities</x:v>
      </x:c>
    </x:row>
    <x:row r="837" ht="82" customHeight="1">
      <x:c r="A837" s="76" t="str">
        <x:v>DGKC|cp_lease|2025</x:v>
      </x:c>
      <x:c r="B837" s="76" t="str">
        <x:v>DGKC</x:v>
      </x:c>
      <x:c r="C837" s="76" t="str">
        <x:v>FY2025</x:v>
      </x:c>
      <x:c r="D837" s="76" t="str">
        <x:v>Current portion of lease liabilities</x:v>
      </x:c>
      <x:c r="E837" s="170" t="n">
        <x:v>0</x:v>
      </x:c>
      <x:c r="F837" s="170" t="n">
        <x:v>0</x:v>
      </x:c>
      <x:c r="G837" s="170" t="str">
        <x:v>Rs '000</x:v>
      </x:c>
      <x:c r="H837" s="170" t="n">
        <x:f>F837/1000</x:f>
        <x:v>0</x:v>
      </x:c>
      <x:c r="I837" s="170" t="n">
        <x:f>DGKC!H56</x:f>
        <x:v>0</x:v>
      </x:c>
      <x:c r="J837" s="170" t="n">
        <x:f>H837-I837</x:f>
        <x:v>0</x:v>
      </x:c>
      <x:c r="K837" s="76" t="str">
        <x:v>DGAnnual2025.pdf</x:v>
      </x:c>
      <x:c r="L837" s="76" t="n">
        <x:v>153</x:v>
      </x:c>
      <x:c r="M837" s="76" t="str">
        <x:v>Current year</x:v>
      </x:c>
      <x:c r="N837" s="99" t="str">
        <x:v>Zero / no separate line in audited presentation</x:v>
      </x:c>
      <x:c r="O837" s="99" t="str">
        <x:v>Zero classification checked within the audited statement/note and reconstructed statement totals; absence of a separate line does not imply a missing replacement estimate.</x:v>
      </x:c>
      <x:c r="P837" s="99" t="str">
        <x:v>
   2025 2024
  Note (Rupees in thousand)
EQUITY AND LIABILITIES
SHARE CAPITAL AND RESERVES
 Authorised share capital
 - 950,000,000 (2024: 950,00 | Current portion of lease liabilities</x:v>
      </x:c>
    </x:row>
    <x:row r="838" ht="82" customHeight="1">
      <x:c r="A838" s="168" t="str">
        <x:v>DGKC|cp_grant|2020</x:v>
      </x:c>
      <x:c r="B838" s="168" t="str">
        <x:v>DGKC</x:v>
      </x:c>
      <x:c r="C838" s="168" t="str">
        <x:v>FY2020</x:v>
      </x:c>
      <x:c r="D838" s="168" t="str">
        <x:v>Current portion of deferred government grant</x:v>
      </x:c>
      <x:c r="E838" s="169" t="n">
        <x:v>0</x:v>
      </x:c>
      <x:c r="F838" s="169" t="n">
        <x:v>0</x:v>
      </x:c>
      <x:c r="G838" s="169" t="str">
        <x:v>Rs '000</x:v>
      </x:c>
      <x:c r="H838" s="169" t="n">
        <x:f>F838/1000</x:f>
        <x:v>0</x:v>
      </x:c>
      <x:c r="I838" s="169" t="n">
        <x:f>DGKC!C57</x:f>
        <x:v>0</x:v>
      </x:c>
      <x:c r="J838" s="169" t="n">
        <x:f>H838-I838</x:f>
        <x:v>0</x:v>
      </x:c>
      <x:c r="K838" s="168" t="str">
        <x:v>DG_Annual_Report_2021.pdf</x:v>
      </x:c>
      <x:c r="L838" s="168" t="n">
        <x:v>105</x:v>
      </x:c>
      <x:c r="M838" s="168" t="str">
        <x:v>Comparative</x:v>
      </x:c>
      <x:c r="N838" s="171" t="str">
        <x:v>Zero / no separate line in audited presentation</x:v>
      </x:c>
      <x:c r="O838" s="171" t="str">
        <x:v>Zero classification checked within the audited statement/note and reconstructed statement totals; absence of a separate line does not imply a missing replacement estimate.</x:v>
      </x:c>
      <x:c r="P838" s="171" t="str">
        <x:v>
   2021 2020
  Note (Rupees in thousand)
EQUITY AND LIABILITIES
CAPITAL AND RESERVES
 Authorised share capital
 - 950,000,000 (2020: 950,000,000) | Current portion of deferred government grant</x:v>
      </x:c>
    </x:row>
    <x:row r="839" ht="82" customHeight="1">
      <x:c r="A839" s="76" t="str">
        <x:v>DGKC|cp_grant|2021</x:v>
      </x:c>
      <x:c r="B839" s="76" t="str">
        <x:v>DGKC</x:v>
      </x:c>
      <x:c r="C839" s="76" t="str">
        <x:v>FY2021</x:v>
      </x:c>
      <x:c r="D839" s="76" t="str">
        <x:v>Current portion of deferred government grant</x:v>
      </x:c>
      <x:c r="E839" s="170" t="n">
        <x:v>262523</x:v>
      </x:c>
      <x:c r="F839" s="170" t="n">
        <x:v>262523</x:v>
      </x:c>
      <x:c r="G839" s="170" t="str">
        <x:v>Rs '000</x:v>
      </x:c>
      <x:c r="H839" s="170" t="n">
        <x:f>F839/1000</x:f>
        <x:v>262.523</x:v>
      </x:c>
      <x:c r="I839" s="170" t="n">
        <x:f>DGKC!D57</x:f>
        <x:v>262.523</x:v>
      </x:c>
      <x:c r="J839" s="170" t="n">
        <x:f>H839-I839</x:f>
        <x:v>0</x:v>
      </x:c>
      <x:c r="K839" s="76" t="str">
        <x:v>DG_Annual_Report_2022.pdf</x:v>
      </x:c>
      <x:c r="L839" s="76" t="n">
        <x:v>150</x:v>
      </x:c>
      <x:c r="M839" s="76" t="str">
        <x:v>Comparative</x:v>
      </x:c>
      <x:c r="N839" s="99" t="str">
        <x:v>Printed amount independently located</x:v>
      </x:c>
      <x:c r="O839" s="99" t="str">
        <x:v>Exact source amount found; audited year/current-comparative column recorded. Accounting subtotal tests performed separately.</x:v>
      </x:c>
      <x:c r="P839" s="99" t="str">
        <x:v>dited to profit or loss - note 34.1 (262,460)  (138,739) 
    664,567  927,027
 Current portion shown under current liabilities - note 15  (213,883)  (262,523)
 Closing balance  450,684 664,504
 There are no unfulfilled conditions or other contingencies attached to these grants.
  2022 2021
  (Rupees in thousand)
9. Long term deposits</x:v>
      </x:c>
    </x:row>
    <x:row r="840" ht="82" customHeight="1">
      <x:c r="A840" s="168" t="str">
        <x:v>DGKC|cp_grant|2022</x:v>
      </x:c>
      <x:c r="B840" s="168" t="str">
        <x:v>DGKC</x:v>
      </x:c>
      <x:c r="C840" s="168" t="str">
        <x:v>FY2022</x:v>
      </x:c>
      <x:c r="D840" s="168" t="str">
        <x:v>Current portion of deferred government grant</x:v>
      </x:c>
      <x:c r="E840" s="169" t="n">
        <x:v>213883</x:v>
      </x:c>
      <x:c r="F840" s="169" t="n">
        <x:v>213883</x:v>
      </x:c>
      <x:c r="G840" s="169" t="str">
        <x:v>Rs '000</x:v>
      </x:c>
      <x:c r="H840" s="169" t="n">
        <x:f>F840/1000</x:f>
        <x:v>213.883</x:v>
      </x:c>
      <x:c r="I840" s="169" t="n">
        <x:f>DGKC!E57</x:f>
        <x:v>213.883</x:v>
      </x:c>
      <x:c r="J840" s="169" t="n">
        <x:f>H840-I840</x:f>
        <x:v>0</x:v>
      </x:c>
      <x:c r="K840" s="168" t="str">
        <x:v>DGAnnual2023.pdf</x:v>
      </x:c>
      <x:c r="L840" s="168" t="n">
        <x:v>175</x:v>
      </x:c>
      <x:c r="M840" s="168" t="str">
        <x:v>Comparative</x:v>
      </x:c>
      <x:c r="N840" s="171" t="str">
        <x:v>Printed amount independently located</x:v>
      </x:c>
      <x:c r="O840" s="171" t="str">
        <x:v>Exact source amount found; audited year/current-comparative column recorded. Accounting subtotal tests performed separately.</x:v>
      </x:c>
      <x:c r="P840" s="171" t="str">
        <x:v>rofit or loss - note 33  (214,233)  (262,460)
 Closing balance  450,334 664,567
 Current portion shown under current liabilities - note 15 (171,581)  (213,883)
     278,753 450,684
 There are no unfulfilled conditions or other contingencies attached to these grants.
  2023 2022
  (Rupees in thousand)
9. Long term deposits
 Customers</x:v>
      </x:c>
    </x:row>
    <x:row r="841" ht="82" customHeight="1">
      <x:c r="A841" s="76" t="str">
        <x:v>DGKC|cp_grant|2023</x:v>
      </x:c>
      <x:c r="B841" s="76" t="str">
        <x:v>DGKC</x:v>
      </x:c>
      <x:c r="C841" s="76" t="str">
        <x:v>FY2023</x:v>
      </x:c>
      <x:c r="D841" s="76" t="str">
        <x:v>Current portion of deferred government grant</x:v>
      </x:c>
      <x:c r="E841" s="170" t="n">
        <x:v>171581</x:v>
      </x:c>
      <x:c r="F841" s="170" t="n">
        <x:v>171581</x:v>
      </x:c>
      <x:c r="G841" s="170" t="str">
        <x:v>Rs '000</x:v>
      </x:c>
      <x:c r="H841" s="170" t="n">
        <x:f>F841/1000</x:f>
        <x:v>171.581</x:v>
      </x:c>
      <x:c r="I841" s="170" t="n">
        <x:f>DGKC!F57</x:f>
        <x:v>171.581</x:v>
      </x:c>
      <x:c r="J841" s="170" t="n">
        <x:f>H841-I841</x:f>
        <x:v>0</x:v>
      </x:c>
      <x:c r="K841" s="76" t="str">
        <x:v>DGAnnual2024.pdf</x:v>
      </x:c>
      <x:c r="L841" s="76" t="n">
        <x:v>177</x:v>
      </x:c>
      <x:c r="M841" s="76" t="str">
        <x:v>Comparative</x:v>
      </x:c>
      <x:c r="N841" s="99" t="str">
        <x:v>Printed amount independently located</x:v>
      </x:c>
      <x:c r="O841" s="99" t="str">
        <x:v>Exact source amount found; audited year/current-comparative column recorded. Accounting subtotal tests performed separately.</x:v>
      </x:c>
      <x:c r="P841" s="99" t="str">
        <x:v>rofit or loss - note  34 (171,582) (214,233)
 Closing balance   278,752 450,334
 Current portion shown under current liabilities - note  15 (124,138) (171,581)
     154,614  278,753
 There are no unfulfilled conditions or other contingencies attached to these grants.
  2024 2023
  (Rupees in thousand)
9. Long term deposits
 Customers</x:v>
      </x:c>
    </x:row>
    <x:row r="842" ht="82" customHeight="1">
      <x:c r="A842" s="168" t="str">
        <x:v>DGKC|cp_grant|2024</x:v>
      </x:c>
      <x:c r="B842" s="168" t="str">
        <x:v>DGKC</x:v>
      </x:c>
      <x:c r="C842" s="168" t="str">
        <x:v>FY2024</x:v>
      </x:c>
      <x:c r="D842" s="168" t="str">
        <x:v>Current portion of deferred government grant</x:v>
      </x:c>
      <x:c r="E842" s="169" t="n">
        <x:v>124138</x:v>
      </x:c>
      <x:c r="F842" s="169" t="n">
        <x:v>124138</x:v>
      </x:c>
      <x:c r="G842" s="169" t="str">
        <x:v>Rs '000</x:v>
      </x:c>
      <x:c r="H842" s="169" t="n">
        <x:f>F842/1000</x:f>
        <x:v>124.138</x:v>
      </x:c>
      <x:c r="I842" s="169" t="n">
        <x:f>DGKC!G57</x:f>
        <x:v>124.138</x:v>
      </x:c>
      <x:c r="J842" s="169" t="n">
        <x:f>H842-I842</x:f>
        <x:v>0</x:v>
      </x:c>
      <x:c r="K842" s="168" t="str">
        <x:v>DGAnnual2025.pdf</x:v>
      </x:c>
      <x:c r="L842" s="168" t="n">
        <x:v>178</x:v>
      </x:c>
      <x:c r="M842" s="168" t="str">
        <x:v>Comparative</x:v>
      </x:c>
      <x:c r="N842" s="171" t="str">
        <x:v>Printed amount independently located</x:v>
      </x:c>
      <x:c r="O842" s="171" t="str">
        <x:v>Exact source amount found; audited year/current-comparative column recorded. Accounting subtotal tests performed separately.</x:v>
      </x:c>
      <x:c r="P842" s="171" t="str">
        <x:v>ing the year - note  34  (129,152)  (171,582)
 Closing balance  149,600 278,752
 Current portion shown under current liabilities - note  15  (79,465) (124,138)
     70,135 154,614
 There are no unfulfilled conditions or other contingencies attached to these grants.  
  2025 2024
  (Rupees in thousand)
9. Long term deposits
 Customers</x:v>
      </x:c>
    </x:row>
    <x:row r="843" ht="82" customHeight="1">
      <x:c r="A843" s="76" t="str">
        <x:v>DGKC|cp_grant|2025</x:v>
      </x:c>
      <x:c r="B843" s="76" t="str">
        <x:v>DGKC</x:v>
      </x:c>
      <x:c r="C843" s="76" t="str">
        <x:v>FY2025</x:v>
      </x:c>
      <x:c r="D843" s="76" t="str">
        <x:v>Current portion of deferred government grant</x:v>
      </x:c>
      <x:c r="E843" s="170" t="n">
        <x:v>79465</x:v>
      </x:c>
      <x:c r="F843" s="170" t="n">
        <x:v>79465</x:v>
      </x:c>
      <x:c r="G843" s="170" t="str">
        <x:v>Rs '000</x:v>
      </x:c>
      <x:c r="H843" s="170" t="n">
        <x:f>F843/1000</x:f>
        <x:v>79.465</x:v>
      </x:c>
      <x:c r="I843" s="170" t="n">
        <x:f>DGKC!H57</x:f>
        <x:v>79.465</x:v>
      </x:c>
      <x:c r="J843" s="170" t="n">
        <x:f>H843-I843</x:f>
        <x:v>0</x:v>
      </x:c>
      <x:c r="K843" s="76" t="str">
        <x:v>DGAnnual2025.pdf</x:v>
      </x:c>
      <x:c r="L843" s="76" t="n">
        <x:v>178</x:v>
      </x:c>
      <x:c r="M843" s="76" t="str">
        <x:v>Current year</x:v>
      </x:c>
      <x:c r="N843" s="99" t="str">
        <x:v>Printed amount independently located</x:v>
      </x:c>
      <x:c r="O843" s="99" t="str">
        <x:v>Exact source amount found; audited year/current-comparative column recorded. Accounting subtotal tests performed separately.</x:v>
      </x:c>
      <x:c r="P843" s="99" t="str">
        <x:v>tized during the year - note  34  (129,152)  (171,582)
 Closing balance  149,600 278,752
 Current portion shown under current liabilities - note  15  (79,465) (124,138)
     70,135 154,614
 There are no unfulfilled conditions or other contingencies attached to these grants.  
  2025 2024
  (Rupees in thousand)
9. Long term deposits</x:v>
      </x:c>
    </x:row>
    <x:row r="844" ht="82" customHeight="1">
      <x:c r="A844" s="168" t="str">
        <x:v>DGKC|div_liab|2020</x:v>
      </x:c>
      <x:c r="B844" s="168" t="str">
        <x:v>DGKC</x:v>
      </x:c>
      <x:c r="C844" s="168" t="str">
        <x:v>FY2020</x:v>
      </x:c>
      <x:c r="D844" s="168" t="str">
        <x:v>Unclaimed / unpaid dividends</x:v>
      </x:c>
      <x:c r="E844" s="169" t="n">
        <x:v>33837</x:v>
      </x:c>
      <x:c r="F844" s="169" t="n">
        <x:v>33837</x:v>
      </x:c>
      <x:c r="G844" s="169" t="str">
        <x:v>Rs '000</x:v>
      </x:c>
      <x:c r="H844" s="169" t="n">
        <x:f>F844/1000</x:f>
        <x:v>33.837</x:v>
      </x:c>
      <x:c r="I844" s="169" t="n">
        <x:f>DGKC!C58</x:f>
        <x:v>33.837</x:v>
      </x:c>
      <x:c r="J844" s="169" t="n">
        <x:f>H844-I844</x:f>
        <x:v>0</x:v>
      </x:c>
      <x:c r="K844" s="168" t="str">
        <x:v>DG_Annual_Report_2021.pdf</x:v>
      </x:c>
      <x:c r="L844" s="168" t="n">
        <x:v>105</x:v>
      </x:c>
      <x:c r="M844" s="168" t="str">
        <x:v>Comparative</x:v>
      </x:c>
      <x:c r="N844" s="171" t="str">
        <x:v>Printed amount independently located</x:v>
      </x:c>
      <x:c r="O844" s="171" t="str">
        <x:v>Exact source amount found; audited year/current-comparative column recorded. Accounting subtotal tests performed separately.</x:v>
      </x:c>
      <x:c r="P844" s="171" t="str">
        <x:v>ort term borrowings - secured 14 18,362,050 23,495,967
 Current portion of non-current liabilities 15 6,433,943 2,048,901
 Unclaimed dividend  33,517 33,837
 Provision for taxation  35,090 35,090
    40,295,520 37,624,257
CONTINGENCIES AND COMMITMENTS 16 
       137,894,697 129,551,534
The annexed notes 1 to 47 form an integral part o</x:v>
      </x:c>
    </x:row>
    <x:row r="845" ht="82" customHeight="1">
      <x:c r="A845" s="76" t="str">
        <x:v>DGKC|div_liab|2021</x:v>
      </x:c>
      <x:c r="B845" s="76" t="str">
        <x:v>DGKC</x:v>
      </x:c>
      <x:c r="C845" s="76" t="str">
        <x:v>FY2021</x:v>
      </x:c>
      <x:c r="D845" s="76" t="str">
        <x:v>Unclaimed / unpaid dividends</x:v>
      </x:c>
      <x:c r="E845" s="170" t="n">
        <x:v>33517</x:v>
      </x:c>
      <x:c r="F845" s="170" t="n">
        <x:v>33517</x:v>
      </x:c>
      <x:c r="G845" s="170" t="str">
        <x:v>Rs '000</x:v>
      </x:c>
      <x:c r="H845" s="170" t="n">
        <x:f>F845/1000</x:f>
        <x:v>33.517</x:v>
      </x:c>
      <x:c r="I845" s="170" t="n">
        <x:f>DGKC!D58</x:f>
        <x:v>33.517</x:v>
      </x:c>
      <x:c r="J845" s="170" t="n">
        <x:f>H845-I845</x:f>
        <x:v>0</x:v>
      </x:c>
      <x:c r="K845" s="76" t="str">
        <x:v>DG_Annual_Report_2022.pdf</x:v>
      </x:c>
      <x:c r="L845" s="76" t="n">
        <x:v>125</x:v>
      </x:c>
      <x:c r="M845" s="76" t="str">
        <x:v>Comparative</x:v>
      </x:c>
      <x:c r="N845" s="99" t="str">
        <x:v>Printed amount independently located</x:v>
      </x:c>
      <x:c r="O845" s="99" t="str">
        <x:v>Exact source amount found; audited year/current-comparative column recorded. Accounting subtotal tests performed separately.</x:v>
      </x:c>
      <x:c r="P845" s="99" t="str">
        <x:v>,210,506 18,362,050
 Accrued markup 14 883,229 507,769
 Current portion of non-current liabilities 15 7,333,985 6,433,943
 Unclaimed dividend  34,512 33,517
 Provision for taxation  35,090 35,090
    46,089,031 40,295,520
CONTINGENCIES AND COMMITMENTS 16 
        136,562,013 137,894,697
The annexed notes 1 to 48 form an integral part</x:v>
      </x:c>
    </x:row>
    <x:row r="846" ht="82" customHeight="1">
      <x:c r="A846" s="168" t="str">
        <x:v>DGKC|div_liab|2022</x:v>
      </x:c>
      <x:c r="B846" s="168" t="str">
        <x:v>DGKC</x:v>
      </x:c>
      <x:c r="C846" s="168" t="str">
        <x:v>FY2022</x:v>
      </x:c>
      <x:c r="D846" s="168" t="str">
        <x:v>Unclaimed / unpaid dividends</x:v>
      </x:c>
      <x:c r="E846" s="169" t="n">
        <x:v>34512</x:v>
      </x:c>
      <x:c r="F846" s="169" t="n">
        <x:v>34512</x:v>
      </x:c>
      <x:c r="G846" s="169" t="str">
        <x:v>Rs '000</x:v>
      </x:c>
      <x:c r="H846" s="169" t="n">
        <x:f>F846/1000</x:f>
        <x:v>34.512</x:v>
      </x:c>
      <x:c r="I846" s="169" t="n">
        <x:f>DGKC!E58</x:f>
        <x:v>34.512</x:v>
      </x:c>
      <x:c r="J846" s="169" t="n">
        <x:f>H846-I846</x:f>
        <x:v>0</x:v>
      </x:c>
      <x:c r="K846" s="168" t="str">
        <x:v>DGAnnual2023.pdf</x:v>
      </x:c>
      <x:c r="L846" s="168" t="n">
        <x:v>151</x:v>
      </x:c>
      <x:c r="M846" s="168" t="str">
        <x:v>Comparative</x:v>
      </x:c>
      <x:c r="N846" s="171" t="str">
        <x:v>Printed amount independently located</x:v>
      </x:c>
      <x:c r="O846" s="171" t="str">
        <x:v>Exact source amount found; audited year/current-comparative column recorded. Accounting subtotal tests performed separately.</x:v>
      </x:c>
      <x:c r="P846" s="171" t="str">
        <x:v>94,293 25,210,506
 Accrued markup 14 1,739,547 883,229
 Current portion of non-current liabilities 15 7,588,857 7,333,985
 Unclaimed dividend  34,704 34,512
 Provision for taxation  35,090 35,090
    48,675,790 46,089,031
CONTINGENCIES AND COMMITMENTS 16 
         134,713,254 136,562,013
The annexed notes 1 to 45 form an integral part</x:v>
      </x:c>
    </x:row>
    <x:row r="847" ht="82" customHeight="1">
      <x:c r="A847" s="76" t="str">
        <x:v>DGKC|div_liab|2023</x:v>
      </x:c>
      <x:c r="B847" s="76" t="str">
        <x:v>DGKC</x:v>
      </x:c>
      <x:c r="C847" s="76" t="str">
        <x:v>FY2023</x:v>
      </x:c>
      <x:c r="D847" s="76" t="str">
        <x:v>Unclaimed / unpaid dividends</x:v>
      </x:c>
      <x:c r="E847" s="170" t="n">
        <x:v>34704</x:v>
      </x:c>
      <x:c r="F847" s="170" t="n">
        <x:v>34704</x:v>
      </x:c>
      <x:c r="G847" s="170" t="str">
        <x:v>Rs '000</x:v>
      </x:c>
      <x:c r="H847" s="170" t="n">
        <x:f>F847/1000</x:f>
        <x:v>34.704</x:v>
      </x:c>
      <x:c r="I847" s="170" t="n">
        <x:f>DGKC!F58</x:f>
        <x:v>34.704</x:v>
      </x:c>
      <x:c r="J847" s="170" t="n">
        <x:f>H847-I847</x:f>
        <x:v>0</x:v>
      </x:c>
      <x:c r="K847" s="76" t="str">
        <x:v>DGAnnual2024.pdf</x:v>
      </x:c>
      <x:c r="L847" s="76" t="n">
        <x:v>151</x:v>
      </x:c>
      <x:c r="M847" s="76" t="str">
        <x:v>Comparative</x:v>
      </x:c>
      <x:c r="N847" s="99" t="str">
        <x:v>Printed amount independently located</x:v>
      </x:c>
      <x:c r="O847" s="99" t="str">
        <x:v>Exact source amount found; audited year/current-comparative column recorded. Accounting subtotal tests performed separately.</x:v>
      </x:c>
      <x:c r="P847" s="99" t="str">
        <x:v>718 25,494,293
 Accrued mark-up 14 1,280,446 1,739,547
 Current portion of non-current liabilities 15 5,416,807 7,588,857
 Unclaimed dividend  34,201 34,704
 Provision for taxation  35,090 35,090
    32,225,717 48,675,790
CONTINGENCIES AND COMMITMENTS 16 
         138,385,754 134,713,254
The annexed notes 1 to 48 form an integral part</x:v>
      </x:c>
    </x:row>
    <x:row r="848" ht="82" customHeight="1">
      <x:c r="A848" s="168" t="str">
        <x:v>DGKC|div_liab|2024</x:v>
      </x:c>
      <x:c r="B848" s="168" t="str">
        <x:v>DGKC</x:v>
      </x:c>
      <x:c r="C848" s="168" t="str">
        <x:v>FY2024</x:v>
      </x:c>
      <x:c r="D848" s="168" t="str">
        <x:v>Unclaimed / unpaid dividends</x:v>
      </x:c>
      <x:c r="E848" s="169" t="n">
        <x:v>34201</x:v>
      </x:c>
      <x:c r="F848" s="169" t="n">
        <x:v>34201</x:v>
      </x:c>
      <x:c r="G848" s="169" t="str">
        <x:v>Rs '000</x:v>
      </x:c>
      <x:c r="H848" s="169" t="n">
        <x:f>F848/1000</x:f>
        <x:v>34.201</x:v>
      </x:c>
      <x:c r="I848" s="169" t="n">
        <x:f>DGKC!G58</x:f>
        <x:v>34.201</x:v>
      </x:c>
      <x:c r="J848" s="169" t="n">
        <x:f>H848-I848</x:f>
        <x:v>0</x:v>
      </x:c>
      <x:c r="K848" s="168" t="str">
        <x:v>DGAnnual2025.pdf</x:v>
      </x:c>
      <x:c r="L848" s="168" t="n">
        <x:v>153</x:v>
      </x:c>
      <x:c r="M848" s="168" t="str">
        <x:v>Comparative</x:v>
      </x:c>
      <x:c r="N848" s="171" t="str">
        <x:v>Printed amount independently located</x:v>
      </x:c>
      <x:c r="O848" s="171" t="str">
        <x:v>Exact source amount found; audited year/current-comparative column recorded. Accounting subtotal tests performed separately.</x:v>
      </x:c>
      <x:c r="P848" s="171" t="str">
        <x:v>8,499 13,064,718
 Accrued mark-up 14 229,652 1,280,446
 Current portion of non-current liabilities 15 2,069,243 5,416,807
 Unclaimed dividend  34,154 34,201
 Income tax payable  330,834 -
 Provision for taxation  35,090 35,090
    25,910,920 32,225,717
CONTINGENCIES AND COMMITMENTS 16 
          145,924,235 138,385,754
The annexed not</x:v>
      </x:c>
    </x:row>
    <x:row r="849" ht="82" customHeight="1">
      <x:c r="A849" s="76" t="str">
        <x:v>DGKC|div_liab|2025</x:v>
      </x:c>
      <x:c r="B849" s="76" t="str">
        <x:v>DGKC</x:v>
      </x:c>
      <x:c r="C849" s="76" t="str">
        <x:v>FY2025</x:v>
      </x:c>
      <x:c r="D849" s="76" t="str">
        <x:v>Unclaimed / unpaid dividends</x:v>
      </x:c>
      <x:c r="E849" s="170" t="n">
        <x:v>34154</x:v>
      </x:c>
      <x:c r="F849" s="170" t="n">
        <x:v>34154</x:v>
      </x:c>
      <x:c r="G849" s="170" t="str">
        <x:v>Rs '000</x:v>
      </x:c>
      <x:c r="H849" s="170" t="n">
        <x:f>F849/1000</x:f>
        <x:v>34.154</x:v>
      </x:c>
      <x:c r="I849" s="170" t="n">
        <x:f>DGKC!H58</x:f>
        <x:v>34.154</x:v>
      </x:c>
      <x:c r="J849" s="170" t="n">
        <x:f>H849-I849</x:f>
        <x:v>0</x:v>
      </x:c>
      <x:c r="K849" s="76" t="str">
        <x:v>DGAnnual2025.pdf</x:v>
      </x:c>
      <x:c r="L849" s="76" t="n">
        <x:v>153</x:v>
      </x:c>
      <x:c r="M849" s="76" t="str">
        <x:v>Current year</x:v>
      </x:c>
      <x:c r="N849" s="99" t="str">
        <x:v>Printed amount independently located</x:v>
      </x:c>
      <x:c r="O849" s="99" t="str">
        <x:v>Exact source amount found; audited year/current-comparative column recorded. Accounting subtotal tests performed separately.</x:v>
      </x:c>
      <x:c r="P849" s="99" t="str">
        <x:v>13 9,878,499 13,064,718
 Accrued mark-up 14 229,652 1,280,446
 Current portion of non-current liabilities 15 2,069,243 5,416,807
 Unclaimed dividend  34,154 34,201
 Income tax payable  330,834 -
 Provision for taxation  35,090 35,090
    25,910,920 32,225,717
CONTINGENCIES AND COMMITMENTS 16 
          145,924,235 138,385,754
The anne</x:v>
      </x:c>
    </x:row>
    <x:row r="850" ht="82" customHeight="1">
      <x:c r="A850" s="168" t="str">
        <x:v>DGKC|tax_liab|2020</x:v>
      </x:c>
      <x:c r="B850" s="168" t="str">
        <x:v>DGKC</x:v>
      </x:c>
      <x:c r="C850" s="168" t="str">
        <x:v>FY2020</x:v>
      </x:c>
      <x:c r="D850" s="168" t="str">
        <x:v>Taxation payable (net)</x:v>
      </x:c>
      <x:c r="E850" s="169" t="n">
        <x:v>35090</x:v>
      </x:c>
      <x:c r="F850" s="169" t="n">
        <x:v>35090</x:v>
      </x:c>
      <x:c r="G850" s="169" t="str">
        <x:v>Rs '000</x:v>
      </x:c>
      <x:c r="H850" s="169" t="n">
        <x:f>F850/1000</x:f>
        <x:v>35.09</x:v>
      </x:c>
      <x:c r="I850" s="169" t="n">
        <x:f>DGKC!C59</x:f>
        <x:v>35.09</x:v>
      </x:c>
      <x:c r="J850" s="169" t="n">
        <x:f>H850-I850</x:f>
        <x:v>0</x:v>
      </x:c>
      <x:c r="K850" s="168" t="str">
        <x:v>DG_Annual_Report_2021.pdf</x:v>
      </x:c>
      <x:c r="L850" s="168" t="n">
        <x:v>105</x:v>
      </x:c>
      <x:c r="M850" s="168" t="str">
        <x:v>Comparative</x:v>
      </x:c>
      <x:c r="N850" s="171" t="str">
        <x:v>Printed amount independently located</x:v>
      </x:c>
      <x:c r="O850" s="171" t="str">
        <x:v>Exact source amount found; audited year/current-comparative column recorded. Accounting subtotal tests performed separately.</x:v>
      </x:c>
      <x:c r="P850" s="171" t="str">
        <x:v>18,362,050 23,495,967
 Current portion of non-current liabilities 15 6,433,943 2,048,901
 Unclaimed dividend  33,517 33,837
 Provision for taxation  35,090 35,090
    40,295,520 37,624,257
CONTINGENCIES AND COMMITMENTS 16 
       137,894,697 129,551,534
The annexed notes 1 to 47 form an integral part of these unconsolidated financial</x:v>
      </x:c>
    </x:row>
    <x:row r="851" ht="82" customHeight="1">
      <x:c r="A851" s="76" t="str">
        <x:v>DGKC|tax_liab|2021</x:v>
      </x:c>
      <x:c r="B851" s="76" t="str">
        <x:v>DGKC</x:v>
      </x:c>
      <x:c r="C851" s="76" t="str">
        <x:v>FY2021</x:v>
      </x:c>
      <x:c r="D851" s="76" t="str">
        <x:v>Taxation payable (net)</x:v>
      </x:c>
      <x:c r="E851" s="170" t="n">
        <x:v>35090</x:v>
      </x:c>
      <x:c r="F851" s="170" t="n">
        <x:v>35090</x:v>
      </x:c>
      <x:c r="G851" s="170" t="str">
        <x:v>Rs '000</x:v>
      </x:c>
      <x:c r="H851" s="170" t="n">
        <x:f>F851/1000</x:f>
        <x:v>35.09</x:v>
      </x:c>
      <x:c r="I851" s="170" t="n">
        <x:f>DGKC!D59</x:f>
        <x:v>35.09</x:v>
      </x:c>
      <x:c r="J851" s="170" t="n">
        <x:f>H851-I851</x:f>
        <x:v>0</x:v>
      </x:c>
      <x:c r="K851" s="76" t="str">
        <x:v>DG_Annual_Report_2022.pdf</x:v>
      </x:c>
      <x:c r="L851" s="76" t="n">
        <x:v>125</x:v>
      </x:c>
      <x:c r="M851" s="76" t="str">
        <x:v>Comparative</x:v>
      </x:c>
      <x:c r="N851" s="99" t="str">
        <x:v>Printed amount independently located</x:v>
      </x:c>
      <x:c r="O851" s="99" t="str">
        <x:v>Exact source amount found; audited year/current-comparative column recorded. Accounting subtotal tests performed separately.</x:v>
      </x:c>
      <x:c r="P851" s="99" t="str">
        <x:v>kup 14 883,229 507,769
 Current portion of non-current liabilities 15 7,333,985 6,433,943
 Unclaimed dividend  34,512 33,517
 Provision for taxation  35,090 35,090
    46,089,031 40,295,520
CONTINGENCIES AND COMMITMENTS 16 
        136,562,013 137,894,697
The annexed notes 1 to 48 form an integral part of these unconsolidated financia</x:v>
      </x:c>
    </x:row>
    <x:row r="852" ht="82" customHeight="1">
      <x:c r="A852" s="168" t="str">
        <x:v>DGKC|tax_liab|2022</x:v>
      </x:c>
      <x:c r="B852" s="168" t="str">
        <x:v>DGKC</x:v>
      </x:c>
      <x:c r="C852" s="168" t="str">
        <x:v>FY2022</x:v>
      </x:c>
      <x:c r="D852" s="168" t="str">
        <x:v>Taxation payable (net)</x:v>
      </x:c>
      <x:c r="E852" s="169" t="n">
        <x:v>35090</x:v>
      </x:c>
      <x:c r="F852" s="169" t="n">
        <x:v>35090</x:v>
      </x:c>
      <x:c r="G852" s="169" t="str">
        <x:v>Rs '000</x:v>
      </x:c>
      <x:c r="H852" s="169" t="n">
        <x:f>F852/1000</x:f>
        <x:v>35.09</x:v>
      </x:c>
      <x:c r="I852" s="169" t="n">
        <x:f>DGKC!E59</x:f>
        <x:v>35.09</x:v>
      </x:c>
      <x:c r="J852" s="169" t="n">
        <x:f>H852-I852</x:f>
        <x:v>0</x:v>
      </x:c>
      <x:c r="K852" s="168" t="str">
        <x:v>DGAnnual2023.pdf</x:v>
      </x:c>
      <x:c r="L852" s="168" t="n">
        <x:v>151</x:v>
      </x:c>
      <x:c r="M852" s="168" t="str">
        <x:v>Comparative</x:v>
      </x:c>
      <x:c r="N852" s="171" t="str">
        <x:v>Printed amount independently located</x:v>
      </x:c>
      <x:c r="O852" s="171" t="str">
        <x:v>Exact source amount found; audited year/current-comparative column recorded. Accounting subtotal tests performed separately.</x:v>
      </x:c>
      <x:c r="P852" s="171" t="str">
        <x:v>p 14 1,739,547 883,229
 Current portion of non-current liabilities 15 7,588,857 7,333,985
 Unclaimed dividend  34,704 34,512
 Provision for taxation  35,090 35,090
    48,675,790 46,089,031
CONTINGENCIES AND COMMITMENTS 16 
         134,713,254 136,562,013
The annexed notes 1 to 45 form an integral part of these unconsolidated financi</x:v>
      </x:c>
    </x:row>
    <x:row r="853" ht="82" customHeight="1">
      <x:c r="A853" s="76" t="str">
        <x:v>DGKC|tax_liab|2023</x:v>
      </x:c>
      <x:c r="B853" s="76" t="str">
        <x:v>DGKC</x:v>
      </x:c>
      <x:c r="C853" s="76" t="str">
        <x:v>FY2023</x:v>
      </x:c>
      <x:c r="D853" s="76" t="str">
        <x:v>Taxation payable (net)</x:v>
      </x:c>
      <x:c r="E853" s="170" t="n">
        <x:v>35090</x:v>
      </x:c>
      <x:c r="F853" s="170" t="n">
        <x:v>35090</x:v>
      </x:c>
      <x:c r="G853" s="170" t="str">
        <x:v>Rs '000</x:v>
      </x:c>
      <x:c r="H853" s="170" t="n">
        <x:f>F853/1000</x:f>
        <x:v>35.09</x:v>
      </x:c>
      <x:c r="I853" s="170" t="n">
        <x:f>DGKC!F59</x:f>
        <x:v>35.09</x:v>
      </x:c>
      <x:c r="J853" s="170" t="n">
        <x:f>H853-I853</x:f>
        <x:v>0</x:v>
      </x:c>
      <x:c r="K853" s="76" t="str">
        <x:v>DGAnnual2024.pdf</x:v>
      </x:c>
      <x:c r="L853" s="76" t="n">
        <x:v>151</x:v>
      </x:c>
      <x:c r="M853" s="76" t="str">
        <x:v>Comparative</x:v>
      </x:c>
      <x:c r="N853" s="99" t="str">
        <x:v>Printed amount independently located</x:v>
      </x:c>
      <x:c r="O853" s="99" t="str">
        <x:v>Exact source amount found; audited year/current-comparative column recorded. Accounting subtotal tests performed separately.</x:v>
      </x:c>
      <x:c r="P853" s="99" t="str">
        <x:v>14 1,280,446 1,739,547
 Current portion of non-current liabilities 15 5,416,807 7,588,857
 Unclaimed dividend  34,201 34,704
 Provision for taxation  35,090 35,090
    32,225,717 48,675,790
CONTINGENCIES AND COMMITMENTS 16 
         138,385,754 134,713,254
The annexed notes 1 to 48 form an integral part of these unconsolidated financi</x:v>
      </x:c>
    </x:row>
    <x:row r="854" ht="82" customHeight="1">
      <x:c r="A854" s="168" t="str">
        <x:v>DGKC|tax_liab|2024</x:v>
      </x:c>
      <x:c r="B854" s="168" t="str">
        <x:v>DGKC</x:v>
      </x:c>
      <x:c r="C854" s="168" t="str">
        <x:v>FY2024</x:v>
      </x:c>
      <x:c r="D854" s="168" t="str">
        <x:v>Taxation payable (net)</x:v>
      </x:c>
      <x:c r="E854" s="169" t="n">
        <x:v>35090</x:v>
      </x:c>
      <x:c r="F854" s="169" t="n">
        <x:v>35090</x:v>
      </x:c>
      <x:c r="G854" s="169" t="str">
        <x:v>Rs '000</x:v>
      </x:c>
      <x:c r="H854" s="169" t="n">
        <x:f>F854/1000</x:f>
        <x:v>35.09</x:v>
      </x:c>
      <x:c r="I854" s="169" t="n">
        <x:f>DGKC!G59</x:f>
        <x:v>35.09</x:v>
      </x:c>
      <x:c r="J854" s="169" t="n">
        <x:f>H854-I854</x:f>
        <x:v>0</x:v>
      </x:c>
      <x:c r="K854" s="168" t="str">
        <x:v>DGAnnual2025.pdf</x:v>
      </x:c>
      <x:c r="L854" s="168" t="n">
        <x:v>153</x:v>
      </x:c>
      <x:c r="M854" s="168" t="str">
        <x:v>Comparative</x:v>
      </x:c>
      <x:c r="N854" s="171" t="str">
        <x:v>Printed amount independently located</x:v>
      </x:c>
      <x:c r="O854" s="171" t="str">
        <x:v>Exact source amount found; audited year/current-comparative column recorded. Accounting subtotal tests performed separately.</x:v>
      </x:c>
      <x:c r="P854" s="171" t="str">
        <x:v>portion of non-current liabilities 15 2,069,243 5,416,807
 Unclaimed dividend  34,154 34,201
 Income tax payable  330,834 -
 Provision for taxation  35,090 35,090
    25,910,920 32,225,717
CONTINGENCIES AND COMMITMENTS 16 
          145,924,235 138,385,754
The annexed notes 1 to 51 form an integral part of these unconsolidated financ</x:v>
      </x:c>
    </x:row>
    <x:row r="855" ht="82" customHeight="1">
      <x:c r="A855" s="76" t="str">
        <x:v>DGKC|tax_liab|2025</x:v>
      </x:c>
      <x:c r="B855" s="76" t="str">
        <x:v>DGKC</x:v>
      </x:c>
      <x:c r="C855" s="76" t="str">
        <x:v>FY2025</x:v>
      </x:c>
      <x:c r="D855" s="76" t="str">
        <x:v>Taxation payable (net)</x:v>
      </x:c>
      <x:c r="E855" s="170" t="n">
        <x:v>365924</x:v>
      </x:c>
      <x:c r="F855" s="170" t="n">
        <x:v>365924</x:v>
      </x:c>
      <x:c r="G855" s="170" t="str">
        <x:v>Rs '000</x:v>
      </x:c>
      <x:c r="H855" s="170" t="n">
        <x:f>F855/1000</x:f>
        <x:v>365.924</x:v>
      </x:c>
      <x:c r="I855" s="170" t="n">
        <x:f>DGKC!H59</x:f>
        <x:v>365.924</x:v>
      </x:c>
      <x:c r="J855" s="170" t="n">
        <x:f>H855-I855</x:f>
        <x:v>0</x:v>
      </x:c>
      <x:c r="K855" s="76" t="str">
        <x:v>DGAnnual2025.pdf</x:v>
      </x:c>
      <x:c r="L855" s="76" t="n">
        <x:v>153</x:v>
      </x:c>
      <x:c r="M855" s="76" t="str">
        <x:v>Current year</x:v>
      </x:c>
      <x:c r="N855" s="99" t="str">
        <x:v>Aggregated audited components</x:v>
      </x:c>
      <x:c r="O855" s="99" t="str">
        <x:v>Source-labelled component sum; statement controls and signed-unit conversion independently recomputed.</x:v>
      </x:c>
      <x:c r="P855" s="99" t="str">
        <x:v>
   2025 2024
  Note (Rupees in thousand)
EQUITY AND LIABILITIES
SHARE CAPITAL AND RESERVES
 Authorised share capital
 - 950,000,000 (2024: 950,000,000) 
      ordinary shares  | Components: Income tax payable; Provision for taxation</x:v>
      </x:c>
    </x:row>
    <x:row r="856" ht="82" customHeight="1">
      <x:c r="A856" s="168" t="str">
        <x:v>DGKC|cl_other|2020</x:v>
      </x:c>
      <x:c r="B856" s="168" t="str">
        <x:v>DGKC</x:v>
      </x:c>
      <x:c r="C856" s="168" t="str">
        <x:v>FY2020</x:v>
      </x:c>
      <x:c r="D856" s="168" t="str">
        <x:v>Other current liabilities</x:v>
      </x:c>
      <x:c r="E856" s="169" t="n">
        <x:v>38280</x:v>
      </x:c>
      <x:c r="F856" s="169" t="n">
        <x:v>38280</x:v>
      </x:c>
      <x:c r="G856" s="169" t="str">
        <x:v>Rs '000</x:v>
      </x:c>
      <x:c r="H856" s="169" t="n">
        <x:f>F856/1000</x:f>
        <x:v>38.28</x:v>
      </x:c>
      <x:c r="I856" s="169" t="n">
        <x:f>DGKC!C60</x:f>
        <x:v>38.28</x:v>
      </x:c>
      <x:c r="J856" s="169" t="n">
        <x:f>H856-I856</x:f>
        <x:v>0</x:v>
      </x:c>
      <x:c r="K856" s="168" t="str">
        <x:v>DG_Annual_Report_2021.pdf</x:v>
      </x:c>
      <x:c r="L856" s="168" t="n">
        <x:v>133</x:v>
      </x:c>
      <x:c r="M856" s="168" t="str">
        <x:v>Comparative</x:v>
      </x:c>
      <x:c r="N856" s="171" t="str">
        <x:v>Printed amount independently located</x:v>
      </x:c>
      <x:c r="O856" s="171" t="str">
        <x:v>Exact source amount found; audited year/current-comparative column recorded. Accounting subtotal tests performed separately.</x:v>
      </x:c>
      <x:c r="P856" s="171" t="str">
        <x:v>93 59,661
  Payments made during the year  (9,606) (12,793)
     205,029 197,822
  Current portion shown under current liabilities - note 15 (40,717) (38,280)
  Liability as at year end  164,312 159,542
  10.2.1 Movement in liability for accumulating compensated absences
   Present value of accumulating compensated absences as
      at</x:v>
      </x:c>
    </x:row>
    <x:row r="857" ht="82" customHeight="1">
      <x:c r="A857" s="76" t="str">
        <x:v>DGKC|cl_other|2021</x:v>
      </x:c>
      <x:c r="B857" s="76" t="str">
        <x:v>DGKC</x:v>
      </x:c>
      <x:c r="C857" s="76" t="str">
        <x:v>FY2021</x:v>
      </x:c>
      <x:c r="D857" s="76" t="str">
        <x:v>Other current liabilities</x:v>
      </x:c>
      <x:c r="E857" s="170" t="n">
        <x:v>40717</x:v>
      </x:c>
      <x:c r="F857" s="170" t="n">
        <x:v>40717</x:v>
      </x:c>
      <x:c r="G857" s="170" t="str">
        <x:v>Rs '000</x:v>
      </x:c>
      <x:c r="H857" s="170" t="n">
        <x:f>F857/1000</x:f>
        <x:v>40.717</x:v>
      </x:c>
      <x:c r="I857" s="170" t="n">
        <x:f>DGKC!D60</x:f>
        <x:v>40.717</x:v>
      </x:c>
      <x:c r="J857" s="170" t="n">
        <x:f>H857-I857</x:f>
        <x:v>0</x:v>
      </x:c>
      <x:c r="K857" s="76" t="str">
        <x:v>DG_Annual_Report_2022.pdf</x:v>
      </x:c>
      <x:c r="L857" s="76" t="n">
        <x:v>153</x:v>
      </x:c>
      <x:c r="M857" s="76" t="str">
        <x:v>Comparative</x:v>
      </x:c>
      <x:c r="N857" s="99" t="str">
        <x:v>Printed amount independently located</x:v>
      </x:c>
      <x:c r="O857" s="99" t="str">
        <x:v>Exact source amount found; audited year/current-comparative column recorded. Accounting subtotal tests performed separately.</x:v>
      </x:c>
      <x:c r="P857" s="99" t="str">
        <x:v>5,093
  Payments made during the year  (34,484)  (9,606)
     204,667  205,030
  Current portion shown under current liabilities - note 15  (22,936)  (40,717)
  Liability as at year end  181,731 164,313
  10.2.1 Movement in liability for accumulating compensated absences 
   Present value of accumulating compensated absences as 
      a</x:v>
      </x:c>
    </x:row>
    <x:row r="858" ht="82" customHeight="1">
      <x:c r="A858" s="168" t="str">
        <x:v>DGKC|cl_other|2022</x:v>
      </x:c>
      <x:c r="B858" s="168" t="str">
        <x:v>DGKC</x:v>
      </x:c>
      <x:c r="C858" s="168" t="str">
        <x:v>FY2022</x:v>
      </x:c>
      <x:c r="D858" s="168" t="str">
        <x:v>Other current liabilities</x:v>
      </x:c>
      <x:c r="E858" s="169" t="n">
        <x:v>22936</x:v>
      </x:c>
      <x:c r="F858" s="169" t="n">
        <x:v>22936</x:v>
      </x:c>
      <x:c r="G858" s="169" t="str">
        <x:v>Rs '000</x:v>
      </x:c>
      <x:c r="H858" s="169" t="n">
        <x:f>F858/1000</x:f>
        <x:v>22.936</x:v>
      </x:c>
      <x:c r="I858" s="169" t="n">
        <x:f>DGKC!E60</x:f>
        <x:v>22.936</x:v>
      </x:c>
      <x:c r="J858" s="169" t="n">
        <x:f>H858-I858</x:f>
        <x:v>0</x:v>
      </x:c>
      <x:c r="K858" s="168" t="str">
        <x:v>DGAnnual2023.pdf</x:v>
      </x:c>
      <x:c r="L858" s="168" t="n">
        <x:v>178</x:v>
      </x:c>
      <x:c r="M858" s="168" t="str">
        <x:v>Comparative</x:v>
      </x:c>
      <x:c r="N858" s="171" t="str">
        <x:v>Printed amount independently located</x:v>
      </x:c>
      <x:c r="O858" s="171" t="str">
        <x:v>Exact source amount found; audited year/current-comparative column recorded. Accounting subtotal tests performed separately.</x:v>
      </x:c>
      <x:c r="P858" s="171" t="str">
        <x:v>during the year  (23,623)  (34,484)
  Liability as at year end  239,172 204,667
  Current portion shown under current liabilities - note 15 (46,912) (22,936) 
    192,260 181,731
  10.2.1 Movement in liability for accumulating compensated absences 
   Present value of accumulating compensated absences as
      at beginning of the year</x:v>
      </x:c>
    </x:row>
    <x:row r="859" ht="82" customHeight="1">
      <x:c r="A859" s="76" t="str">
        <x:v>DGKC|cl_other|2023</x:v>
      </x:c>
      <x:c r="B859" s="76" t="str">
        <x:v>DGKC</x:v>
      </x:c>
      <x:c r="C859" s="76" t="str">
        <x:v>FY2023</x:v>
      </x:c>
      <x:c r="D859" s="76" t="str">
        <x:v>Other current liabilities</x:v>
      </x:c>
      <x:c r="E859" s="170" t="n">
        <x:v>46912</x:v>
      </x:c>
      <x:c r="F859" s="170" t="n">
        <x:v>46912</x:v>
      </x:c>
      <x:c r="G859" s="170" t="str">
        <x:v>Rs '000</x:v>
      </x:c>
      <x:c r="H859" s="170" t="n">
        <x:f>F859/1000</x:f>
        <x:v>46.912</x:v>
      </x:c>
      <x:c r="I859" s="170" t="n">
        <x:f>DGKC!F60</x:f>
        <x:v>46.912</x:v>
      </x:c>
      <x:c r="J859" s="170" t="n">
        <x:f>H859-I859</x:f>
        <x:v>0</x:v>
      </x:c>
      <x:c r="K859" s="76" t="str">
        <x:v>DGAnnual2024.pdf</x:v>
      </x:c>
      <x:c r="L859" s="76" t="n">
        <x:v>180</x:v>
      </x:c>
      <x:c r="M859" s="76" t="str">
        <x:v>Comparative</x:v>
      </x:c>
      <x:c r="N859" s="99" t="str">
        <x:v>Printed amount independently located</x:v>
      </x:c>
      <x:c r="O859" s="99" t="str">
        <x:v>Exact source amount found; audited year/current-comparative column recorded. Accounting subtotal tests performed separately.</x:v>
      </x:c>
      <x:c r="P859" s="99" t="str">
        <x:v>de during the year   (74,804) (23,623)
  Liability as at year end  215,984 239,172
  Current portion shown under current liabilities - note  15 (697) (46,912)
     215,287 192,260
  10.2.1 Movement in liability for accumulating compensated absences 
   Present value of accumulating compensated absences as 
      at beginning of the year</x:v>
      </x:c>
    </x:row>
    <x:row r="860" ht="82" customHeight="1">
      <x:c r="A860" s="168" t="str">
        <x:v>DGKC|cl_other|2024</x:v>
      </x:c>
      <x:c r="B860" s="168" t="str">
        <x:v>DGKC</x:v>
      </x:c>
      <x:c r="C860" s="168" t="str">
        <x:v>FY2024</x:v>
      </x:c>
      <x:c r="D860" s="168" t="str">
        <x:v>Other current liabilities</x:v>
      </x:c>
      <x:c r="E860" s="169" t="n">
        <x:v>697</x:v>
      </x:c>
      <x:c r="F860" s="169" t="n">
        <x:v>697</x:v>
      </x:c>
      <x:c r="G860" s="169" t="str">
        <x:v>Rs '000</x:v>
      </x:c>
      <x:c r="H860" s="169" t="n">
        <x:f>F860/1000</x:f>
        <x:v>0.697</x:v>
      </x:c>
      <x:c r="I860" s="169" t="n">
        <x:f>DGKC!G60</x:f>
        <x:v>0.697</x:v>
      </x:c>
      <x:c r="J860" s="169" t="n">
        <x:f>H860-I860</x:f>
        <x:v>0</x:v>
      </x:c>
      <x:c r="K860" s="168" t="str">
        <x:v>DGAnnual2025.pdf</x:v>
      </x:c>
      <x:c r="L860" s="168" t="n">
        <x:v>181</x:v>
      </x:c>
      <x:c r="M860" s="168" t="str">
        <x:v>Comparative</x:v>
      </x:c>
      <x:c r="N860" s="171" t="str">
        <x:v>Printed amount independently located</x:v>
      </x:c>
      <x:c r="O860" s="171" t="str">
        <x:v>Exact source amount found; audited year/current-comparative column recorded. Accounting subtotal tests performed separately.</x:v>
      </x:c>
      <x:c r="P860" s="171" t="str">
        <x:v>uring the year   (31,251) (74,804)
  Liability as at year end  274,788 215,984
  Current portion shown under current liabilities - note  15  (55,006) (697)
     219,782 215,287
  10.2.1 Movement in liability for accumulating compensated absences 
   Present value of accumulating compensated absences as 
      at beginning of the year</x:v>
      </x:c>
    </x:row>
    <x:row r="861" ht="82" customHeight="1">
      <x:c r="A861" s="76" t="str">
        <x:v>DGKC|cl_other|2025</x:v>
      </x:c>
      <x:c r="B861" s="76" t="str">
        <x:v>DGKC</x:v>
      </x:c>
      <x:c r="C861" s="76" t="str">
        <x:v>FY2025</x:v>
      </x:c>
      <x:c r="D861" s="76" t="str">
        <x:v>Other current liabilities</x:v>
      </x:c>
      <x:c r="E861" s="170" t="n">
        <x:v>55006</x:v>
      </x:c>
      <x:c r="F861" s="170" t="n">
        <x:v>55006</x:v>
      </x:c>
      <x:c r="G861" s="170" t="str">
        <x:v>Rs '000</x:v>
      </x:c>
      <x:c r="H861" s="170" t="n">
        <x:f>F861/1000</x:f>
        <x:v>55.006</x:v>
      </x:c>
      <x:c r="I861" s="170" t="n">
        <x:f>DGKC!H60</x:f>
        <x:v>55.006</x:v>
      </x:c>
      <x:c r="J861" s="170" t="n">
        <x:f>H861-I861</x:f>
        <x:v>0</x:v>
      </x:c>
      <x:c r="K861" s="76" t="str">
        <x:v>DGAnnual2025.pdf</x:v>
      </x:c>
      <x:c r="L861" s="76" t="n">
        <x:v>181</x:v>
      </x:c>
      <x:c r="M861" s="76" t="str">
        <x:v>Current year</x:v>
      </x:c>
      <x:c r="N861" s="99" t="str">
        <x:v>Printed amount independently located</x:v>
      </x:c>
      <x:c r="O861" s="99" t="str">
        <x:v>Exact source amount found; audited year/current-comparative column recorded. Accounting subtotal tests performed separately.</x:v>
      </x:c>
      <x:c r="P861" s="99" t="str">
        <x:v>ts made during the year   (31,251) (74,804)
  Liability as at year end  274,788 215,984
  Current portion shown under current liabilities - note  15  (55,006) (697)
     219,782 215,287
  10.2.1 Movement in liability for accumulating compensated absences 
   Present value of accumulating compensated absences as 
      at beginning of th</x:v>
      </x:c>
    </x:row>
    <x:row r="862" ht="82" customHeight="1">
      <x:c r="A862" s="168" t="str">
        <x:v>DGKC|pr_TA|2020</x:v>
      </x:c>
      <x:c r="B862" s="168" t="str">
        <x:v>DGKC</x:v>
      </x:c>
      <x:c r="C862" s="168" t="str">
        <x:v>FY2020</x:v>
      </x:c>
      <x:c r="D862" s="168" t="str">
        <x:v>Printed total assets</x:v>
      </x:c>
      <x:c r="E862" s="169" t="n">
        <x:v>129551534</x:v>
      </x:c>
      <x:c r="F862" s="169" t="n">
        <x:v>129551534</x:v>
      </x:c>
      <x:c r="G862" s="169" t="str">
        <x:v>Rs '000</x:v>
      </x:c>
      <x:c r="H862" s="169" t="n">
        <x:f>F862/1000</x:f>
        <x:v>129551.534</x:v>
      </x:c>
      <x:c r="I862" s="169" t="n">
        <x:f>DGKC!C75</x:f>
        <x:v>129551.534</x:v>
      </x:c>
      <x:c r="J862" s="169" t="n">
        <x:f>H862-I862</x:f>
        <x:v>0</x:v>
      </x:c>
      <x:c r="K862" s="168" t="str">
        <x:v>DG_Annual_Report_2021.pdf</x:v>
      </x:c>
      <x:c r="L862" s="168" t="n">
        <x:v>106</x:v>
      </x:c>
      <x:c r="M862" s="168" t="str">
        <x:v>Comparative</x:v>
      </x:c>
      <x:c r="N862" s="171" t="str">
        <x:v>Printed amount independently located</x:v>
      </x:c>
      <x:c r="O862" s="171" t="str">
        <x:v>Exact source amount found; audited year/current-comparative column recorded. Accounting subtotal tests performed separately.</x:v>
      </x:c>
      <x:c r="P862" s="171" t="str">
        <x:v>rty 25 765,000 765,000
Income tax receivable  4,560,357 4,365,643
Cash and bank balances 26 806,373 347,834
    36,851,264 34,106,427
    137,894,697 129,551,534
AS AT JUNE 30, 2021
DirectorChief Financial Officer  
 105ANNUA L REPORT 2021  DGKC</x:v>
      </x:c>
    </x:row>
    <x:row r="863" ht="82" customHeight="1">
      <x:c r="A863" s="76" t="str">
        <x:v>DGKC|pr_TA|2021</x:v>
      </x:c>
      <x:c r="B863" s="76" t="str">
        <x:v>DGKC</x:v>
      </x:c>
      <x:c r="C863" s="76" t="str">
        <x:v>FY2021</x:v>
      </x:c>
      <x:c r="D863" s="76" t="str">
        <x:v>Printed total assets</x:v>
      </x:c>
      <x:c r="E863" s="170" t="n">
        <x:v>137894697</x:v>
      </x:c>
      <x:c r="F863" s="170" t="n">
        <x:v>137894697</x:v>
      </x:c>
      <x:c r="G863" s="170" t="str">
        <x:v>Rs '000</x:v>
      </x:c>
      <x:c r="H863" s="170" t="n">
        <x:f>F863/1000</x:f>
        <x:v>137894.697</x:v>
      </x:c>
      <x:c r="I863" s="170" t="n">
        <x:f>DGKC!D75</x:f>
        <x:v>137894.697</x:v>
      </x:c>
      <x:c r="J863" s="170" t="n">
        <x:f>H863-I863</x:f>
        <x:v>0</x:v>
      </x:c>
      <x:c r="K863" s="76" t="str">
        <x:v>DG_Annual_Report_2022.pdf</x:v>
      </x:c>
      <x:c r="L863" s="76" t="n">
        <x:v>126</x:v>
      </x:c>
      <x:c r="M863" s="76" t="str">
        <x:v>Comparative</x:v>
      </x:c>
      <x:c r="N863" s="99" t="str">
        <x:v>Printed amount independently located</x:v>
      </x:c>
      <x:c r="O863" s="99" t="str">
        <x:v>Exact source amount found; audited year/current-comparative column recorded. Accounting subtotal tests performed separately.</x:v>
      </x:c>
      <x:c r="P863" s="99" t="str">
        <x:v>d party 26 - 765,000
Income tax receivable   4,746,066 4,560,357
Cash and bank balances 27 410,803 806,373
    40,813,163 36,851,264
     136,562,013 137,894,697
AS AT JUNE 30, 2022
DirectorChief Financial Officer  
 125
ANNUA L REPORT 2022  DGKC</x:v>
      </x:c>
    </x:row>
    <x:row r="864" ht="82" customHeight="1">
      <x:c r="A864" s="168" t="str">
        <x:v>DGKC|pr_TA|2022</x:v>
      </x:c>
      <x:c r="B864" s="168" t="str">
        <x:v>DGKC</x:v>
      </x:c>
      <x:c r="C864" s="168" t="str">
        <x:v>FY2022</x:v>
      </x:c>
      <x:c r="D864" s="168" t="str">
        <x:v>Printed total assets</x:v>
      </x:c>
      <x:c r="E864" s="169" t="n">
        <x:v>136562013</x:v>
      </x:c>
      <x:c r="F864" s="169" t="n">
        <x:v>136562013</x:v>
      </x:c>
      <x:c r="G864" s="169" t="str">
        <x:v>Rs '000</x:v>
      </x:c>
      <x:c r="H864" s="169" t="n">
        <x:f>F864/1000</x:f>
        <x:v>136562.013</x:v>
      </x:c>
      <x:c r="I864" s="169" t="n">
        <x:f>DGKC!E75</x:f>
        <x:v>136562.013</x:v>
      </x:c>
      <x:c r="J864" s="169" t="n">
        <x:f>H864-I864</x:f>
        <x:v>0</x:v>
      </x:c>
      <x:c r="K864" s="168" t="str">
        <x:v>DGAnnual2023.pdf</x:v>
      </x:c>
      <x:c r="L864" s="168" t="n">
        <x:v>152</x:v>
      </x:c>
      <x:c r="M864" s="168" t="str">
        <x:v>Comparative</x:v>
      </x:c>
      <x:c r="N864" s="171" t="str">
        <x:v>Printed amount independently located</x:v>
      </x:c>
      <x:c r="O864" s="171" t="str">
        <x:v>Exact source amount found; audited year/current-comparative column recorded. Accounting subtotal tests performed separately.</x:v>
      </x:c>
      <x:c r="P864" s="171" t="str">
        <x:v>5 926,047 1,430,613
Income tax receivable   4,236,134 4,746,066
Cash and bank balances 26 674,972 410,803
    39,026,666 40,813,163
      134,713,254 136,562,013
AS AT JUNE 30, 2023
DirectorChief Financial Officer  
2023
Annual Report
DGKC
151</x:v>
      </x:c>
    </x:row>
    <x:row r="865" ht="82" customHeight="1">
      <x:c r="A865" s="76" t="str">
        <x:v>DGKC|pr_TA|2023</x:v>
      </x:c>
      <x:c r="B865" s="76" t="str">
        <x:v>DGKC</x:v>
      </x:c>
      <x:c r="C865" s="76" t="str">
        <x:v>FY2023</x:v>
      </x:c>
      <x:c r="D865" s="76" t="str">
        <x:v>Printed total assets</x:v>
      </x:c>
      <x:c r="E865" s="170" t="n">
        <x:v>134713254</x:v>
      </x:c>
      <x:c r="F865" s="170" t="n">
        <x:v>134713254</x:v>
      </x:c>
      <x:c r="G865" s="170" t="str">
        <x:v>Rs '000</x:v>
      </x:c>
      <x:c r="H865" s="170" t="n">
        <x:f>F865/1000</x:f>
        <x:v>134713.254</x:v>
      </x:c>
      <x:c r="I865" s="170" t="n">
        <x:f>DGKC!F75</x:f>
        <x:v>134713.254</x:v>
      </x:c>
      <x:c r="J865" s="170" t="n">
        <x:f>H865-I865</x:f>
        <x:v>0</x:v>
      </x:c>
      <x:c r="K865" s="76" t="str">
        <x:v>DGAnnual2024.pdf</x:v>
      </x:c>
      <x:c r="L865" s="76" t="n">
        <x:v>152</x:v>
      </x:c>
      <x:c r="M865" s="76" t="str">
        <x:v>Comparative</x:v>
      </x:c>
      <x:c r="N865" s="99" t="str">
        <x:v>Printed amount independently located</x:v>
      </x:c>
      <x:c r="O865" s="99" t="str">
        <x:v>Exact source amount found; audited year/current-comparative column recorded. Accounting subtotal tests performed separately.</x:v>
      </x:c>
      <x:c r="P865" s="99" t="str">
        <x:v>,047
Income tax receivable  1,384,599 4,236,134
Cash and bank balances 26 732,168 674,972
    41,770,521 39,026,666
    138,385,754 134,713,254
As At June 30, 2024
DirectorChief Financial Officer</x:v>
      </x:c>
    </x:row>
    <x:row r="866" ht="82" customHeight="1">
      <x:c r="A866" s="168" t="str">
        <x:v>DGKC|pr_TA|2024</x:v>
      </x:c>
      <x:c r="B866" s="168" t="str">
        <x:v>DGKC</x:v>
      </x:c>
      <x:c r="C866" s="168" t="str">
        <x:v>FY2024</x:v>
      </x:c>
      <x:c r="D866" s="168" t="str">
        <x:v>Printed total assets</x:v>
      </x:c>
      <x:c r="E866" s="169" t="n">
        <x:v>138385754</x:v>
      </x:c>
      <x:c r="F866" s="169" t="n">
        <x:v>138385754</x:v>
      </x:c>
      <x:c r="G866" s="169" t="str">
        <x:v>Rs '000</x:v>
      </x:c>
      <x:c r="H866" s="169" t="n">
        <x:f>F866/1000</x:f>
        <x:v>138385.754</x:v>
      </x:c>
      <x:c r="I866" s="169" t="n">
        <x:f>DGKC!G75</x:f>
        <x:v>138385.754</x:v>
      </x:c>
      <x:c r="J866" s="169" t="n">
        <x:f>H866-I866</x:f>
        <x:v>0</x:v>
      </x:c>
      <x:c r="K866" s="168" t="str">
        <x:v>DGAnnual2025.pdf</x:v>
      </x:c>
      <x:c r="L866" s="168" t="n">
        <x:v>154</x:v>
      </x:c>
      <x:c r="M866" s="168" t="str">
        <x:v>Comparative</x:v>
      </x:c>
      <x:c r="N866" s="171" t="str">
        <x:v>Printed amount independently located</x:v>
      </x:c>
      <x:c r="O866" s="171" t="str">
        <x:v>Exact source amount found; audited year/current-comparative column recorded. Accounting subtotal tests performed separately.</x:v>
      </x:c>
      <x:c r="P866" s="171" t="str">
        <x:v>673 160,289
Income tax receivable  - 1,384,599
Cash and bank balances 26 568,832 732,168
    47,908,042 41,770,521
     145,924,235 138,385,754
As At June 30, 2025
DirectorChief Financial Officer  
153
DGKC Annual Report 2025</x:v>
      </x:c>
    </x:row>
    <x:row r="867" ht="82" customHeight="1">
      <x:c r="A867" s="76" t="str">
        <x:v>DGKC|pr_TA|2025</x:v>
      </x:c>
      <x:c r="B867" s="76" t="str">
        <x:v>DGKC</x:v>
      </x:c>
      <x:c r="C867" s="76" t="str">
        <x:v>FY2025</x:v>
      </x:c>
      <x:c r="D867" s="76" t="str">
        <x:v>Printed total assets</x:v>
      </x:c>
      <x:c r="E867" s="170" t="n">
        <x:v>145924235</x:v>
      </x:c>
      <x:c r="F867" s="170" t="n">
        <x:v>145924235</x:v>
      </x:c>
      <x:c r="G867" s="170" t="str">
        <x:v>Rs '000</x:v>
      </x:c>
      <x:c r="H867" s="170" t="n">
        <x:f>F867/1000</x:f>
        <x:v>145924.235</x:v>
      </x:c>
      <x:c r="I867" s="170" t="n">
        <x:f>DGKC!H75</x:f>
        <x:v>145924.235</x:v>
      </x:c>
      <x:c r="J867" s="170" t="n">
        <x:f>H867-I867</x:f>
        <x:v>0</x:v>
      </x:c>
      <x:c r="K867" s="76" t="str">
        <x:v>DGAnnual2025.pdf</x:v>
      </x:c>
      <x:c r="L867" s="76" t="n">
        <x:v>154</x:v>
      </x:c>
      <x:c r="M867" s="76" t="str">
        <x:v>Current year</x:v>
      </x:c>
      <x:c r="N867" s="99" t="str">
        <x:v>Printed amount independently located</x:v>
      </x:c>
      <x:c r="O867" s="99" t="str">
        <x:v>Exact source amount found; audited year/current-comparative column recorded. Accounting subtotal tests performed separately.</x:v>
      </x:c>
      <x:c r="P867" s="99" t="str">
        <x:v>es 25 1,345,673 160,289
Income tax receivable  - 1,384,599
Cash and bank balances 26 568,832 732,168
    47,908,042 41,770,521
     145,924,235 138,385,754
As At June 30, 2025
DirectorChief Financial Officer  
153
DGKC Annual Report 2025</x:v>
      </x:c>
    </x:row>
    <x:row r="868" ht="82" customHeight="1">
      <x:c r="A868" s="168" t="str">
        <x:v>DGKC|pr_EQ|2020</x:v>
      </x:c>
      <x:c r="B868" s="168" t="str">
        <x:v>DGKC</x:v>
      </x:c>
      <x:c r="C868" s="168" t="str">
        <x:v>FY2020</x:v>
      </x:c>
      <x:c r="D868" s="168" t="str">
        <x:v>Printed total equity</x:v>
      </x:c>
      <x:c r="E868" s="169" t="n">
        <x:v>66644157</x:v>
      </x:c>
      <x:c r="F868" s="169" t="n">
        <x:v>66644157</x:v>
      </x:c>
      <x:c r="G868" s="169" t="str">
        <x:v>Rs '000</x:v>
      </x:c>
      <x:c r="H868" s="169" t="n">
        <x:f>F868/1000</x:f>
        <x:v>66644.157</x:v>
      </x:c>
      <x:c r="I868" s="169" t="n">
        <x:f>DGKC!C76</x:f>
        <x:v>66644.157</x:v>
      </x:c>
      <x:c r="J868" s="169" t="n">
        <x:f>H868-I868</x:f>
        <x:v>0</x:v>
      </x:c>
      <x:c r="K868" s="168" t="str">
        <x:v>DG_Annual_Report_2021.pdf</x:v>
      </x:c>
      <x:c r="L868" s="168" t="n">
        <x:v>105</x:v>
      </x:c>
      <x:c r="M868" s="168" t="str">
        <x:v>Comparative</x:v>
      </x:c>
      <x:c r="N868" s="171" t="str">
        <x:v>Printed amount independently located</x:v>
      </x:c>
      <x:c r="O868" s="171" t="str">
        <x:v>Exact source amount found; audited year/current-comparative column recorded. Accounting subtotal tests performed separately.</x:v>
      </x:c>
      <x:c r="P868" s="171" t="str">
        <x:v>10 each 5 4,381,191 4,381,191
 Other reserves 6 30,280,119 27,226,658
 Revenue reserve: Un-appropriated profits  38,816,563 35,036,308
    73,477,873 66,644,157
NON-CURRENT LIABILITIES
 Long term finances - secured 7 19,300,064 21,972,000
 Deferred government grant 8 664,504 -
 Long term deposits 9 246,992 253,937
 Deferred liabilities 10</x:v>
      </x:c>
    </x:row>
    <x:row r="869" ht="82" customHeight="1">
      <x:c r="A869" s="76" t="str">
        <x:v>DGKC|pr_EQ|2021</x:v>
      </x:c>
      <x:c r="B869" s="76" t="str">
        <x:v>DGKC</x:v>
      </x:c>
      <x:c r="C869" s="76" t="str">
        <x:v>FY2021</x:v>
      </x:c>
      <x:c r="D869" s="76" t="str">
        <x:v>Printed total equity</x:v>
      </x:c>
      <x:c r="E869" s="170" t="n">
        <x:v>73477873</x:v>
      </x:c>
      <x:c r="F869" s="170" t="n">
        <x:v>73477873</x:v>
      </x:c>
      <x:c r="G869" s="170" t="str">
        <x:v>Rs '000</x:v>
      </x:c>
      <x:c r="H869" s="170" t="n">
        <x:f>F869/1000</x:f>
        <x:v>73477.873</x:v>
      </x:c>
      <x:c r="I869" s="170" t="n">
        <x:f>DGKC!D76</x:f>
        <x:v>73477.873</x:v>
      </x:c>
      <x:c r="J869" s="170" t="n">
        <x:f>H869-I869</x:f>
        <x:v>0</x:v>
      </x:c>
      <x:c r="K869" s="76" t="str">
        <x:v>DG_Annual_Report_2022.pdf</x:v>
      </x:c>
      <x:c r="L869" s="76" t="n">
        <x:v>125</x:v>
      </x:c>
      <x:c r="M869" s="76" t="str">
        <x:v>Comparative</x:v>
      </x:c>
      <x:c r="N869" s="99" t="str">
        <x:v>Printed amount independently located</x:v>
      </x:c>
      <x:c r="O869" s="99" t="str">
        <x:v>Exact source amount found; audited year/current-comparative column recorded. Accounting subtotal tests performed separately.</x:v>
      </x:c>
      <x:c r="P869" s="99" t="str">
        <x:v>10 each 5 4,381,191 4,381,191
 Other reserves 6 24,238,624 30,280,119
 Revenue reserve: Un-appropriated profits  41,298,287 38,816,563
    69,918,102 73,477,873
NON-CURRENT LIABILITIES
 Long term finances from financial institutions - secured 7 14,168,229 19,300,064
 Deferred government grant 8 450,684 664,504
 Long term deposits 9 281,17</x:v>
      </x:c>
    </x:row>
    <x:row r="870" ht="82" customHeight="1">
      <x:c r="A870" s="168" t="str">
        <x:v>DGKC|pr_EQ|2022</x:v>
      </x:c>
      <x:c r="B870" s="168" t="str">
        <x:v>DGKC</x:v>
      </x:c>
      <x:c r="C870" s="168" t="str">
        <x:v>FY2022</x:v>
      </x:c>
      <x:c r="D870" s="168" t="str">
        <x:v>Printed total equity</x:v>
      </x:c>
      <x:c r="E870" s="169" t="n">
        <x:v>69918102</x:v>
      </x:c>
      <x:c r="F870" s="169" t="n">
        <x:v>69918102</x:v>
      </x:c>
      <x:c r="G870" s="169" t="str">
        <x:v>Rs '000</x:v>
      </x:c>
      <x:c r="H870" s="169" t="n">
        <x:f>F870/1000</x:f>
        <x:v>69918.102</x:v>
      </x:c>
      <x:c r="I870" s="169" t="n">
        <x:f>DGKC!E76</x:f>
        <x:v>69918.102</x:v>
      </x:c>
      <x:c r="J870" s="169" t="n">
        <x:f>H870-I870</x:f>
        <x:v>0</x:v>
      </x:c>
      <x:c r="K870" s="168" t="str">
        <x:v>DGAnnual2023.pdf</x:v>
      </x:c>
      <x:c r="L870" s="168" t="n">
        <x:v>151</x:v>
      </x:c>
      <x:c r="M870" s="168" t="str">
        <x:v>Comparative</x:v>
      </x:c>
      <x:c r="N870" s="171" t="str">
        <x:v>Printed amount independently located</x:v>
      </x:c>
      <x:c r="O870" s="171" t="str">
        <x:v>Exact source amount found; audited year/current-comparative column recorded. Accounting subtotal tests performed separately.</x:v>
      </x:c>
      <x:c r="P870" s="171" t="str">
        <x:v>,381,191 4,381,191
 Other reserves 6 22,592,167 24,238,624
 Revenue reserve: Un-appropriated profits  37,218,919 41,298,287
 Total equity  64,192,277 69,918,102
NON-CURRENT LIABILITIES
 Long term finances from financial institutions - secured 7 9,663,619 14,168,229
 Deferred government grant 8 278,753 450,684
 Long term deposits 9 439,697</x:v>
      </x:c>
    </x:row>
    <x:row r="871" ht="82" customHeight="1">
      <x:c r="A871" s="76" t="str">
        <x:v>DGKC|pr_EQ|2023</x:v>
      </x:c>
      <x:c r="B871" s="76" t="str">
        <x:v>DGKC</x:v>
      </x:c>
      <x:c r="C871" s="76" t="str">
        <x:v>FY2023</x:v>
      </x:c>
      <x:c r="D871" s="76" t="str">
        <x:v>Printed total equity</x:v>
      </x:c>
      <x:c r="E871" s="170" t="n">
        <x:v>64192277</x:v>
      </x:c>
      <x:c r="F871" s="170" t="n">
        <x:v>64192277</x:v>
      </x:c>
      <x:c r="G871" s="170" t="str">
        <x:v>Rs '000</x:v>
      </x:c>
      <x:c r="H871" s="170" t="n">
        <x:f>F871/1000</x:f>
        <x:v>64192.277</x:v>
      </x:c>
      <x:c r="I871" s="170" t="n">
        <x:f>DGKC!F76</x:f>
        <x:v>64192.277</x:v>
      </x:c>
      <x:c r="J871" s="170" t="n">
        <x:f>H871-I871</x:f>
        <x:v>0</x:v>
      </x:c>
      <x:c r="K871" s="76" t="str">
        <x:v>DGAnnual2024.pdf</x:v>
      </x:c>
      <x:c r="L871" s="76" t="n">
        <x:v>151</x:v>
      </x:c>
      <x:c r="M871" s="76" t="str">
        <x:v>Comparative</x:v>
      </x:c>
      <x:c r="N871" s="99" t="str">
        <x:v>Printed amount independently located</x:v>
      </x:c>
      <x:c r="O871" s="99" t="str">
        <x:v>Exact source amount found; audited year/current-comparative column recorded. Accounting subtotal tests performed separately.</x:v>
      </x:c>
      <x:c r="P871" s="99" t="str">
        <x:v>,381,191 4,381,191
 Other reserves 6 33,670,663 22,592,167
 Revenue reserve: Un-appropriated profits  37,795,684 37,218,919
 Total equity  75,847,538 64,192,277
NON-CURRENT LIABILITIES
 Long term finances from financial institutions - secured 7 15,965,116 9,663,619
 Deferred government grant 8 154,614 278,753
 Long term deposits 9 572,748</x:v>
      </x:c>
    </x:row>
    <x:row r="872" ht="82" customHeight="1">
      <x:c r="A872" s="168" t="str">
        <x:v>DGKC|pr_EQ|2024</x:v>
      </x:c>
      <x:c r="B872" s="168" t="str">
        <x:v>DGKC</x:v>
      </x:c>
      <x:c r="C872" s="168" t="str">
        <x:v>FY2024</x:v>
      </x:c>
      <x:c r="D872" s="168" t="str">
        <x:v>Printed total equity</x:v>
      </x:c>
      <x:c r="E872" s="169" t="n">
        <x:v>75847538</x:v>
      </x:c>
      <x:c r="F872" s="169" t="n">
        <x:v>75847538</x:v>
      </x:c>
      <x:c r="G872" s="169" t="str">
        <x:v>Rs '000</x:v>
      </x:c>
      <x:c r="H872" s="169" t="n">
        <x:f>F872/1000</x:f>
        <x:v>75847.538</x:v>
      </x:c>
      <x:c r="I872" s="169" t="n">
        <x:f>DGKC!G76</x:f>
        <x:v>75847.538</x:v>
      </x:c>
      <x:c r="J872" s="169" t="n">
        <x:f>H872-I872</x:f>
        <x:v>0</x:v>
      </x:c>
      <x:c r="K872" s="168" t="str">
        <x:v>DGAnnual2025.pdf</x:v>
      </x:c>
      <x:c r="L872" s="168" t="n">
        <x:v>153</x:v>
      </x:c>
      <x:c r="M872" s="168" t="str">
        <x:v>Comparative</x:v>
      </x:c>
      <x:c r="N872" s="171" t="str">
        <x:v>Printed amount independently located</x:v>
      </x:c>
      <x:c r="O872" s="171" t="str">
        <x:v>Exact source amount found; audited year/current-comparative column recorded. Accounting subtotal tests performed separately.</x:v>
      </x:c>
      <x:c r="P872" s="171" t="str">
        <x:v>,381,191 4,381,191
 Other reserves 6 43,790,127 33,670,663
 Revenue reserve: Un-appropriated profits  46,496,160 37,795,684
 Total equity  94,667,478 75,847,538
NON-CURRENT LIABILITIES
 Long term finances from financial institutions - secured 7 10,093,829 15,965,116
 Deferred government grant 8 70,135 154,614
 Long term deposits 9 940,292</x:v>
      </x:c>
    </x:row>
    <x:row r="873" ht="82" customHeight="1">
      <x:c r="A873" s="76" t="str">
        <x:v>DGKC|pr_EQ|2025</x:v>
      </x:c>
      <x:c r="B873" s="76" t="str">
        <x:v>DGKC</x:v>
      </x:c>
      <x:c r="C873" s="76" t="str">
        <x:v>FY2025</x:v>
      </x:c>
      <x:c r="D873" s="76" t="str">
        <x:v>Printed total equity</x:v>
      </x:c>
      <x:c r="E873" s="170" t="n">
        <x:v>94667478</x:v>
      </x:c>
      <x:c r="F873" s="170" t="n">
        <x:v>94667478</x:v>
      </x:c>
      <x:c r="G873" s="170" t="str">
        <x:v>Rs '000</x:v>
      </x:c>
      <x:c r="H873" s="170" t="n">
        <x:f>F873/1000</x:f>
        <x:v>94667.478</x:v>
      </x:c>
      <x:c r="I873" s="170" t="n">
        <x:f>DGKC!H76</x:f>
        <x:v>94667.478</x:v>
      </x:c>
      <x:c r="J873" s="170" t="n">
        <x:f>H873-I873</x:f>
        <x:v>0</x:v>
      </x:c>
      <x:c r="K873" s="76" t="str">
        <x:v>DGAnnual2025.pdf</x:v>
      </x:c>
      <x:c r="L873" s="76" t="n">
        <x:v>153</x:v>
      </x:c>
      <x:c r="M873" s="76" t="str">
        <x:v>Current year</x:v>
      </x:c>
      <x:c r="N873" s="99" t="str">
        <x:v>Printed amount independently located</x:v>
      </x:c>
      <x:c r="O873" s="99" t="str">
        <x:v>Exact source amount found; audited year/current-comparative column recorded. Accounting subtotal tests performed separately.</x:v>
      </x:c>
      <x:c r="P873" s="99" t="str">
        <x:v>0 each 5  4,381,191 4,381,191
 Other reserves 6 43,790,127 33,670,663
 Revenue reserve: Un-appropriated profits  46,496,160 37,795,684
 Total equity  94,667,478 75,847,538
NON-CURRENT LIABILITIES
 Long term finances from financial institutions - secured 7 10,093,829 15,965,116
 Deferred government grant 8 70,135 154,614
 Long term deposit</x:v>
      </x:c>
    </x:row>
    <x:row r="874" ht="82" customHeight="1">
      <x:c r="A874" s="168" t="str">
        <x:v>DGKC|pr_CA|2020</x:v>
      </x:c>
      <x:c r="B874" s="168" t="str">
        <x:v>DGKC</x:v>
      </x:c>
      <x:c r="C874" s="168" t="str">
        <x:v>FY2020</x:v>
      </x:c>
      <x:c r="D874" s="168" t="str">
        <x:v>Printed total current assets</x:v>
      </x:c>
      <x:c r="E874" s="169" t="n">
        <x:v>34106427</x:v>
      </x:c>
      <x:c r="F874" s="169" t="n">
        <x:v>34106427</x:v>
      </x:c>
      <x:c r="G874" s="169" t="str">
        <x:v>Rs '000</x:v>
      </x:c>
      <x:c r="H874" s="169" t="n">
        <x:f>F874/1000</x:f>
        <x:v>34106.427</x:v>
      </x:c>
      <x:c r="I874" s="169" t="n">
        <x:f>DGKC!C77</x:f>
        <x:v>34106.427</x:v>
      </x:c>
      <x:c r="J874" s="169" t="n">
        <x:f>H874-I874</x:f>
        <x:v>0</x:v>
      </x:c>
      <x:c r="K874" s="168" t="str">
        <x:v>DG_Annual_Report_2021.pdf</x:v>
      </x:c>
      <x:c r="L874" s="168" t="n">
        <x:v>106</x:v>
      </x:c>
      <x:c r="M874" s="168" t="str">
        <x:v>Comparative</x:v>
      </x:c>
      <x:c r="N874" s="171" t="str">
        <x:v>Printed amount independently located</x:v>
      </x:c>
      <x:c r="O874" s="171" t="str">
        <x:v>Exact source amount found; audited year/current-comparative column recorded. Accounting subtotal tests performed separately.</x:v>
      </x:c>
      <x:c r="P874" s="171" t="str">
        <x:v>624,493
Loan to related party 25 765,000 765,000
Income tax receivable  4,560,357 4,365,643
Cash and bank balances 26 806,373 347,834
    36,851,264 34,106,427
    137,894,697 129,551,534
AS AT JUNE 30, 2021
DirectorChief Financial Officer  
 105ANNUA L REPORT 2021  DGKC</x:v>
      </x:c>
    </x:row>
    <x:row r="875" ht="82" customHeight="1">
      <x:c r="A875" s="76" t="str">
        <x:v>DGKC|pr_CA|2021</x:v>
      </x:c>
      <x:c r="B875" s="76" t="str">
        <x:v>DGKC</x:v>
      </x:c>
      <x:c r="C875" s="76" t="str">
        <x:v>FY2021</x:v>
      </x:c>
      <x:c r="D875" s="76" t="str">
        <x:v>Printed total current assets</x:v>
      </x:c>
      <x:c r="E875" s="170" t="n">
        <x:v>36851264</x:v>
      </x:c>
      <x:c r="F875" s="170" t="n">
        <x:v>36851264</x:v>
      </x:c>
      <x:c r="G875" s="170" t="str">
        <x:v>Rs '000</x:v>
      </x:c>
      <x:c r="H875" s="170" t="n">
        <x:f>F875/1000</x:f>
        <x:v>36851.264</x:v>
      </x:c>
      <x:c r="I875" s="170" t="n">
        <x:f>DGKC!D77</x:f>
        <x:v>36851.264</x:v>
      </x:c>
      <x:c r="J875" s="170" t="n">
        <x:f>H875-I875</x:f>
        <x:v>0</x:v>
      </x:c>
      <x:c r="K875" s="76" t="str">
        <x:v>DG_Annual_Report_2022.pdf</x:v>
      </x:c>
      <x:c r="L875" s="76" t="n">
        <x:v>126</x:v>
      </x:c>
      <x:c r="M875" s="76" t="str">
        <x:v>Comparative</x:v>
      </x:c>
      <x:c r="N875" s="99" t="str">
        <x:v>Printed amount independently located</x:v>
      </x:c>
      <x:c r="O875" s="99" t="str">
        <x:v>Exact source amount found; audited year/current-comparative column recorded. Accounting subtotal tests performed separately.</x:v>
      </x:c>
      <x:c r="P875" s="99" t="str">
        <x:v>0,613 488,566
Loan to related party 26 - 765,000
Income tax receivable   4,746,066 4,560,357
Cash and bank balances 27 410,803 806,373
    40,813,163 36,851,264
     136,562,013 137,894,697
AS AT JUNE 30, 2022
DirectorChief Financial Officer  
 125
ANNUA L REPORT 2022  DGKC</x:v>
      </x:c>
    </x:row>
    <x:row r="876" ht="82" customHeight="1">
      <x:c r="A876" s="168" t="str">
        <x:v>DGKC|pr_CA|2022</x:v>
      </x:c>
      <x:c r="B876" s="168" t="str">
        <x:v>DGKC</x:v>
      </x:c>
      <x:c r="C876" s="168" t="str">
        <x:v>FY2022</x:v>
      </x:c>
      <x:c r="D876" s="168" t="str">
        <x:v>Printed total current assets</x:v>
      </x:c>
      <x:c r="E876" s="169" t="n">
        <x:v>40813163</x:v>
      </x:c>
      <x:c r="F876" s="169" t="n">
        <x:v>40813163</x:v>
      </x:c>
      <x:c r="G876" s="169" t="str">
        <x:v>Rs '000</x:v>
      </x:c>
      <x:c r="H876" s="169" t="n">
        <x:f>F876/1000</x:f>
        <x:v>40813.163</x:v>
      </x:c>
      <x:c r="I876" s="169" t="n">
        <x:f>DGKC!E77</x:f>
        <x:v>40813.163</x:v>
      </x:c>
      <x:c r="J876" s="169" t="n">
        <x:f>H876-I876</x:f>
        <x:v>0</x:v>
      </x:c>
      <x:c r="K876" s="168" t="str">
        <x:v>DGAnnual2023.pdf</x:v>
      </x:c>
      <x:c r="L876" s="168" t="n">
        <x:v>152</x:v>
      </x:c>
      <x:c r="M876" s="168" t="str">
        <x:v>Comparative</x:v>
      </x:c>
      <x:c r="N876" s="171" t="str">
        <x:v>Printed amount independently located</x:v>
      </x:c>
      <x:c r="O876" s="171" t="str">
        <x:v>Exact source amount found; audited year/current-comparative column recorded. Accounting subtotal tests performed separately.</x:v>
      </x:c>
      <x:c r="P876" s="171" t="str">
        <x:v>s 
   and other receivables 25 926,047 1,430,613
Income tax receivable   4,236,134 4,746,066
Cash and bank balances 26 674,972 410,803
    39,026,666 40,813,163
      134,713,254 136,562,013
AS AT JUNE 30, 2023
DirectorChief Financial Officer  
2023
Annual Report
DGKC
151</x:v>
      </x:c>
    </x:row>
    <x:row r="877" ht="82" customHeight="1">
      <x:c r="A877" s="76" t="str">
        <x:v>DGKC|pr_CA|2023</x:v>
      </x:c>
      <x:c r="B877" s="76" t="str">
        <x:v>DGKC</x:v>
      </x:c>
      <x:c r="C877" s="76" t="str">
        <x:v>FY2023</x:v>
      </x:c>
      <x:c r="D877" s="76" t="str">
        <x:v>Printed total current assets</x:v>
      </x:c>
      <x:c r="E877" s="170" t="n">
        <x:v>39026666</x:v>
      </x:c>
      <x:c r="F877" s="170" t="n">
        <x:v>39026666</x:v>
      </x:c>
      <x:c r="G877" s="170" t="str">
        <x:v>Rs '000</x:v>
      </x:c>
      <x:c r="H877" s="170" t="n">
        <x:f>F877/1000</x:f>
        <x:v>39026.666</x:v>
      </x:c>
      <x:c r="I877" s="170" t="n">
        <x:f>DGKC!F77</x:f>
        <x:v>39026.666</x:v>
      </x:c>
      <x:c r="J877" s="170" t="n">
        <x:f>H877-I877</x:f>
        <x:v>0</x:v>
      </x:c>
      <x:c r="K877" s="76" t="str">
        <x:v>DGAnnual2024.pdf</x:v>
      </x:c>
      <x:c r="L877" s="76" t="n">
        <x:v>152</x:v>
      </x:c>
      <x:c r="M877" s="76" t="str">
        <x:v>Comparative</x:v>
      </x:c>
      <x:c r="N877" s="99" t="str">
        <x:v>Printed amount independently located</x:v>
      </x:c>
      <x:c r="O877" s="99" t="str">
        <x:v>Exact source amount found; audited year/current-comparative column recorded. Accounting subtotal tests performed separately.</x:v>
      </x:c>
      <x:c r="P877" s="99" t="str">
        <x:v>and other receivables 25 160,289 926,047
Income tax receivable  1,384,599 4,236,134
Cash and bank balances 26 732,168 674,972
    41,770,521 39,026,666
    138,385,754 134,713,254
As At June 30, 2024
DirectorChief Financial Officer</x:v>
      </x:c>
    </x:row>
    <x:row r="878" ht="82" customHeight="1">
      <x:c r="A878" s="168" t="str">
        <x:v>DGKC|pr_CA|2024</x:v>
      </x:c>
      <x:c r="B878" s="168" t="str">
        <x:v>DGKC</x:v>
      </x:c>
      <x:c r="C878" s="168" t="str">
        <x:v>FY2024</x:v>
      </x:c>
      <x:c r="D878" s="168" t="str">
        <x:v>Printed total current assets</x:v>
      </x:c>
      <x:c r="E878" s="169" t="n">
        <x:v>41770521</x:v>
      </x:c>
      <x:c r="F878" s="169" t="n">
        <x:v>41770521</x:v>
      </x:c>
      <x:c r="G878" s="169" t="str">
        <x:v>Rs '000</x:v>
      </x:c>
      <x:c r="H878" s="169" t="n">
        <x:f>F878/1000</x:f>
        <x:v>41770.521</x:v>
      </x:c>
      <x:c r="I878" s="169" t="n">
        <x:f>DGKC!G77</x:f>
        <x:v>41770.521</x:v>
      </x:c>
      <x:c r="J878" s="169" t="n">
        <x:f>H878-I878</x:f>
        <x:v>0</x:v>
      </x:c>
      <x:c r="K878" s="168" t="str">
        <x:v>DGAnnual2025.pdf</x:v>
      </x:c>
      <x:c r="L878" s="168" t="n">
        <x:v>154</x:v>
      </x:c>
      <x:c r="M878" s="168" t="str">
        <x:v>Comparative</x:v>
      </x:c>
      <x:c r="N878" s="171" t="str">
        <x:v>Printed amount independently located</x:v>
      </x:c>
      <x:c r="O878" s="171" t="str">
        <x:v>Exact source amount found; audited year/current-comparative column recorded. Accounting subtotal tests performed separately.</x:v>
      </x:c>
      <x:c r="P878" s="171" t="str">
        <x:v>prepayments
   and other receivables 25 1,345,673 160,289
Income tax receivable  - 1,384,599
Cash and bank balances 26 568,832 732,168
    47,908,042 41,770,521
     145,924,235 138,385,754
As At June 30, 2025
DirectorChief Financial Officer  
153
DGKC Annual Report 2025</x:v>
      </x:c>
    </x:row>
    <x:row r="879" ht="82" customHeight="1">
      <x:c r="A879" s="76" t="str">
        <x:v>DGKC|pr_CA|2025</x:v>
      </x:c>
      <x:c r="B879" s="76" t="str">
        <x:v>DGKC</x:v>
      </x:c>
      <x:c r="C879" s="76" t="str">
        <x:v>FY2025</x:v>
      </x:c>
      <x:c r="D879" s="76" t="str">
        <x:v>Printed total current assets</x:v>
      </x:c>
      <x:c r="E879" s="170" t="n">
        <x:v>47908042</x:v>
      </x:c>
      <x:c r="F879" s="170" t="n">
        <x:v>47908042</x:v>
      </x:c>
      <x:c r="G879" s="170" t="str">
        <x:v>Rs '000</x:v>
      </x:c>
      <x:c r="H879" s="170" t="n">
        <x:f>F879/1000</x:f>
        <x:v>47908.042</x:v>
      </x:c>
      <x:c r="I879" s="170" t="n">
        <x:f>DGKC!H77</x:f>
        <x:v>47908.042</x:v>
      </x:c>
      <x:c r="J879" s="170" t="n">
        <x:f>H879-I879</x:f>
        <x:v>0</x:v>
      </x:c>
      <x:c r="K879" s="76" t="str">
        <x:v>DGAnnual2025.pdf</x:v>
      </x:c>
      <x:c r="L879" s="76" t="n">
        <x:v>154</x:v>
      </x:c>
      <x:c r="M879" s="76" t="str">
        <x:v>Current year</x:v>
      </x:c>
      <x:c r="N879" s="99" t="str">
        <x:v>Printed amount independently located</x:v>
      </x:c>
      <x:c r="O879" s="99" t="str">
        <x:v>Exact source amount found; audited year/current-comparative column recorded. Accounting subtotal tests performed separately.</x:v>
      </x:c>
      <x:c r="P879" s="99" t="str">
        <x:v>deposits, prepayments
   and other receivables 25 1,345,673 160,289
Income tax receivable  - 1,384,599
Cash and bank balances 26 568,832 732,168
    47,908,042 41,770,521
     145,924,235 138,385,754
As At June 30, 2025
DirectorChief Financial Officer  
153
DGKC Annual Report 2025</x:v>
      </x:c>
    </x:row>
    <x:row r="880" ht="82" customHeight="1">
      <x:c r="A880" s="168" t="str">
        <x:v>DGKC|pr_CL|2020</x:v>
      </x:c>
      <x:c r="B880" s="168" t="str">
        <x:v>DGKC</x:v>
      </x:c>
      <x:c r="C880" s="168" t="str">
        <x:v>FY2020</x:v>
      </x:c>
      <x:c r="D880" s="168" t="str">
        <x:v>Printed total current liabilities</x:v>
      </x:c>
      <x:c r="E880" s="169" t="n">
        <x:v>37624257</x:v>
      </x:c>
      <x:c r="F880" s="169" t="n">
        <x:v>37624257</x:v>
      </x:c>
      <x:c r="G880" s="169" t="str">
        <x:v>Rs '000</x:v>
      </x:c>
      <x:c r="H880" s="169" t="n">
        <x:f>F880/1000</x:f>
        <x:v>37624.257</x:v>
      </x:c>
      <x:c r="I880" s="169" t="n">
        <x:f>DGKC!C78</x:f>
        <x:v>37624.257</x:v>
      </x:c>
      <x:c r="J880" s="169" t="n">
        <x:f>H880-I880</x:f>
        <x:v>0</x:v>
      </x:c>
      <x:c r="K880" s="168" t="str">
        <x:v>DG_Annual_Report_2021.pdf</x:v>
      </x:c>
      <x:c r="L880" s="168" t="n">
        <x:v>105</x:v>
      </x:c>
      <x:c r="M880" s="168" t="str">
        <x:v>Comparative</x:v>
      </x:c>
      <x:c r="N880" s="171" t="str">
        <x:v>Printed amount independently located</x:v>
      </x:c>
      <x:c r="O880" s="171" t="str">
        <x:v>Exact source amount found; audited year/current-comparative column recorded. Accounting subtotal tests performed separately.</x:v>
      </x:c>
      <x:c r="P880" s="171" t="str">
        <x:v>nt portion of non-current liabilities 15 6,433,943 2,048,901
 Unclaimed dividend  33,517 33,837
 Provision for taxation  35,090 35,090
    40,295,520 37,624,257
CONTINGENCIES AND COMMITMENTS 16 
       137,894,697 129,551,534
The annexed notes 1 to 47 form an integral part of these unconsolidated financial statements.
UNCONSOLIDATED STATE</x:v>
      </x:c>
    </x:row>
    <x:row r="881" ht="82" customHeight="1">
      <x:c r="A881" s="76" t="str">
        <x:v>DGKC|pr_CL|2021</x:v>
      </x:c>
      <x:c r="B881" s="76" t="str">
        <x:v>DGKC</x:v>
      </x:c>
      <x:c r="C881" s="76" t="str">
        <x:v>FY2021</x:v>
      </x:c>
      <x:c r="D881" s="76" t="str">
        <x:v>Printed total current liabilities</x:v>
      </x:c>
      <x:c r="E881" s="170" t="n">
        <x:v>40295520</x:v>
      </x:c>
      <x:c r="F881" s="170" t="n">
        <x:v>40295520</x:v>
      </x:c>
      <x:c r="G881" s="170" t="str">
        <x:v>Rs '000</x:v>
      </x:c>
      <x:c r="H881" s="170" t="n">
        <x:f>F881/1000</x:f>
        <x:v>40295.52</x:v>
      </x:c>
      <x:c r="I881" s="170" t="n">
        <x:f>DGKC!D78</x:f>
        <x:v>40295.52</x:v>
      </x:c>
      <x:c r="J881" s="170" t="n">
        <x:f>H881-I881</x:f>
        <x:v>0</x:v>
      </x:c>
      <x:c r="K881" s="76" t="str">
        <x:v>DG_Annual_Report_2022.pdf</x:v>
      </x:c>
      <x:c r="L881" s="76" t="n">
        <x:v>125</x:v>
      </x:c>
      <x:c r="M881" s="76" t="str">
        <x:v>Comparative</x:v>
      </x:c>
      <x:c r="N881" s="99" t="str">
        <x:v>Printed amount independently located</x:v>
      </x:c>
      <x:c r="O881" s="99" t="str">
        <x:v>Exact source amount found; audited year/current-comparative column recorded. Accounting subtotal tests performed separately.</x:v>
      </x:c>
      <x:c r="P881" s="99" t="str">
        <x:v>nt portion of non-current liabilities 15 7,333,985 6,433,943
 Unclaimed dividend  34,512 33,517
 Provision for taxation  35,090 35,090
    46,089,031 40,295,520
CONTINGENCIES AND COMMITMENTS 16 
        136,562,013 137,894,697
The annexed notes 1 to 48 form an integral part of these unconsolidated financial statements.
UNCONSOLIDATED STAT</x:v>
      </x:c>
    </x:row>
    <x:row r="882" ht="82" customHeight="1">
      <x:c r="A882" s="168" t="str">
        <x:v>DGKC|pr_CL|2022</x:v>
      </x:c>
      <x:c r="B882" s="168" t="str">
        <x:v>DGKC</x:v>
      </x:c>
      <x:c r="C882" s="168" t="str">
        <x:v>FY2022</x:v>
      </x:c>
      <x:c r="D882" s="168" t="str">
        <x:v>Printed total current liabilities</x:v>
      </x:c>
      <x:c r="E882" s="169" t="n">
        <x:v>46089031</x:v>
      </x:c>
      <x:c r="F882" s="169" t="n">
        <x:v>46089031</x:v>
      </x:c>
      <x:c r="G882" s="169" t="str">
        <x:v>Rs '000</x:v>
      </x:c>
      <x:c r="H882" s="169" t="n">
        <x:f>F882/1000</x:f>
        <x:v>46089.031</x:v>
      </x:c>
      <x:c r="I882" s="169" t="n">
        <x:f>DGKC!E78</x:f>
        <x:v>46089.031</x:v>
      </x:c>
      <x:c r="J882" s="169" t="n">
        <x:f>H882-I882</x:f>
        <x:v>0</x:v>
      </x:c>
      <x:c r="K882" s="168" t="str">
        <x:v>DGAnnual2023.pdf</x:v>
      </x:c>
      <x:c r="L882" s="168" t="n">
        <x:v>151</x:v>
      </x:c>
      <x:c r="M882" s="168" t="str">
        <x:v>Comparative</x:v>
      </x:c>
      <x:c r="N882" s="171" t="str">
        <x:v>Printed amount independently located</x:v>
      </x:c>
      <x:c r="O882" s="171" t="str">
        <x:v>Exact source amount found; audited year/current-comparative column recorded. Accounting subtotal tests performed separately.</x:v>
      </x:c>
      <x:c r="P882" s="171" t="str">
        <x:v>nt portion of non-current liabilities 15 7,588,857 7,333,985
 Unclaimed dividend  34,704 34,512
 Provision for taxation  35,090 35,090
    48,675,790 46,089,031
CONTINGENCIES AND COMMITMENTS 16 
         134,713,254 136,562,013
The annexed notes 1 to 45 form an integral part of these unconsolidated financial statements.
UNCONSOLIDATED STA</x:v>
      </x:c>
    </x:row>
    <x:row r="883" ht="82" customHeight="1">
      <x:c r="A883" s="76" t="str">
        <x:v>DGKC|pr_CL|2023</x:v>
      </x:c>
      <x:c r="B883" s="76" t="str">
        <x:v>DGKC</x:v>
      </x:c>
      <x:c r="C883" s="76" t="str">
        <x:v>FY2023</x:v>
      </x:c>
      <x:c r="D883" s="76" t="str">
        <x:v>Printed total current liabilities</x:v>
      </x:c>
      <x:c r="E883" s="170" t="n">
        <x:v>48675790</x:v>
      </x:c>
      <x:c r="F883" s="170" t="n">
        <x:v>48675790</x:v>
      </x:c>
      <x:c r="G883" s="170" t="str">
        <x:v>Rs '000</x:v>
      </x:c>
      <x:c r="H883" s="170" t="n">
        <x:f>F883/1000</x:f>
        <x:v>48675.79</x:v>
      </x:c>
      <x:c r="I883" s="170" t="n">
        <x:f>DGKC!F78</x:f>
        <x:v>48675.79</x:v>
      </x:c>
      <x:c r="J883" s="170" t="n">
        <x:f>H883-I883</x:f>
        <x:v>0</x:v>
      </x:c>
      <x:c r="K883" s="76" t="str">
        <x:v>DGAnnual2024.pdf</x:v>
      </x:c>
      <x:c r="L883" s="76" t="n">
        <x:v>151</x:v>
      </x:c>
      <x:c r="M883" s="76" t="str">
        <x:v>Comparative</x:v>
      </x:c>
      <x:c r="N883" s="99" t="str">
        <x:v>Printed amount independently located</x:v>
      </x:c>
      <x:c r="O883" s="99" t="str">
        <x:v>Exact source amount found; audited year/current-comparative column recorded. Accounting subtotal tests performed separately.</x:v>
      </x:c>
      <x:c r="P883" s="99" t="str">
        <x:v>nt portion of non-current liabilities 15 5,416,807 7,588,857
 Unclaimed dividend  34,201 34,704
 Provision for taxation  35,090 35,090
    32,225,717 48,675,790
CONTINGENCIES AND COMMITMENTS 16 
         138,385,754 134,713,254
The annexed notes 1 to 48 form an integral part of these unconsolidated financial statements.  
Unconsolidated S</x:v>
      </x:c>
    </x:row>
    <x:row r="884" ht="82" customHeight="1">
      <x:c r="A884" s="168" t="str">
        <x:v>DGKC|pr_CL|2024</x:v>
      </x:c>
      <x:c r="B884" s="168" t="str">
        <x:v>DGKC</x:v>
      </x:c>
      <x:c r="C884" s="168" t="str">
        <x:v>FY2024</x:v>
      </x:c>
      <x:c r="D884" s="168" t="str">
        <x:v>Printed total current liabilities</x:v>
      </x:c>
      <x:c r="E884" s="169" t="n">
        <x:v>32225717</x:v>
      </x:c>
      <x:c r="F884" s="169" t="n">
        <x:v>32225717</x:v>
      </x:c>
      <x:c r="G884" s="169" t="str">
        <x:v>Rs '000</x:v>
      </x:c>
      <x:c r="H884" s="169" t="n">
        <x:f>F884/1000</x:f>
        <x:v>32225.717</x:v>
      </x:c>
      <x:c r="I884" s="169" t="n">
        <x:f>DGKC!G78</x:f>
        <x:v>32225.717</x:v>
      </x:c>
      <x:c r="J884" s="169" t="n">
        <x:f>H884-I884</x:f>
        <x:v>0</x:v>
      </x:c>
      <x:c r="K884" s="168" t="str">
        <x:v>DGAnnual2025.pdf</x:v>
      </x:c>
      <x:c r="L884" s="168" t="n">
        <x:v>153</x:v>
      </x:c>
      <x:c r="M884" s="168" t="str">
        <x:v>Comparative</x:v>
      </x:c>
      <x:c r="N884" s="171" t="str">
        <x:v>Printed amount independently located</x:v>
      </x:c>
      <x:c r="O884" s="171" t="str">
        <x:v>Exact source amount found; audited year/current-comparative column recorded. Accounting subtotal tests performed separately.</x:v>
      </x:c>
      <x:c r="P884" s="171" t="str">
        <x:v>lities 15 2,069,243 5,416,807
 Unclaimed dividend  34,154 34,201
 Income tax payable  330,834 -
 Provision for taxation  35,090 35,090
    25,910,920 32,225,717
CONTINGENCIES AND COMMITMENTS 16 
          145,924,235 138,385,754
The annexed notes 1 to 51 form an integral part of these unconsolidated financial statements.  
Unconsolidated</x:v>
      </x:c>
    </x:row>
    <x:row r="885" ht="82" customHeight="1">
      <x:c r="A885" s="76" t="str">
        <x:v>DGKC|pr_CL|2025</x:v>
      </x:c>
      <x:c r="B885" s="76" t="str">
        <x:v>DGKC</x:v>
      </x:c>
      <x:c r="C885" s="76" t="str">
        <x:v>FY2025</x:v>
      </x:c>
      <x:c r="D885" s="76" t="str">
        <x:v>Printed total current liabilities</x:v>
      </x:c>
      <x:c r="E885" s="170" t="n">
        <x:v>25910920</x:v>
      </x:c>
      <x:c r="F885" s="170" t="n">
        <x:v>25910920</x:v>
      </x:c>
      <x:c r="G885" s="170" t="str">
        <x:v>Rs '000</x:v>
      </x:c>
      <x:c r="H885" s="170" t="n">
        <x:f>F885/1000</x:f>
        <x:v>25910.92</x:v>
      </x:c>
      <x:c r="I885" s="170" t="n">
        <x:f>DGKC!H78</x:f>
        <x:v>25910.92</x:v>
      </x:c>
      <x:c r="J885" s="170" t="n">
        <x:f>H885-I885</x:f>
        <x:v>0</x:v>
      </x:c>
      <x:c r="K885" s="76" t="str">
        <x:v>DGAnnual2025.pdf</x:v>
      </x:c>
      <x:c r="L885" s="76" t="n">
        <x:v>153</x:v>
      </x:c>
      <x:c r="M885" s="76" t="str">
        <x:v>Current year</x:v>
      </x:c>
      <x:c r="N885" s="99" t="str">
        <x:v>Printed amount independently located</x:v>
      </x:c>
      <x:c r="O885" s="99" t="str">
        <x:v>Exact source amount found; audited year/current-comparative column recorded. Accounting subtotal tests performed separately.</x:v>
      </x:c>
      <x:c r="P885" s="99" t="str">
        <x:v>rrent liabilities 15 2,069,243 5,416,807
 Unclaimed dividend  34,154 34,201
 Income tax payable  330,834 -
 Provision for taxation  35,090 35,090
    25,910,920 32,225,717
CONTINGENCIES AND COMMITMENTS 16 
          145,924,235 138,385,754
The annexed notes 1 to 51 form an integral part of these unconsolidated financial statements.  
Unco</x:v>
      </x:c>
    </x:row>
    <x:row r="886" ht="82" customHeight="1">
      <x:c r="A886" s="168" t="str">
        <x:v>DGKC|rev|2021</x:v>
      </x:c>
      <x:c r="B886" s="168" t="str">
        <x:v>DGKC</x:v>
      </x:c>
      <x:c r="C886" s="168" t="str">
        <x:v>FY2021</x:v>
      </x:c>
      <x:c r="D886" s="168" t="str">
        <x:v>Revenue / net sales</x:v>
      </x:c>
      <x:c r="E886" s="169" t="n">
        <x:v>45107690</x:v>
      </x:c>
      <x:c r="F886" s="169" t="n">
        <x:v>45107690</x:v>
      </x:c>
      <x:c r="G886" s="169" t="str">
        <x:v>Rs '000</x:v>
      </x:c>
      <x:c r="H886" s="169" t="n">
        <x:f>F886/1000</x:f>
        <x:v>45107.69</x:v>
      </x:c>
      <x:c r="I886" s="169" t="n">
        <x:f>DGKC!D84</x:f>
        <x:v>45107.69</x:v>
      </x:c>
      <x:c r="J886" s="169" t="n">
        <x:f>H886-I886</x:f>
        <x:v>0</x:v>
      </x:c>
      <x:c r="K886" s="168" t="str">
        <x:v>DG_Annual_Report_2022.pdf</x:v>
      </x:c>
      <x:c r="L886" s="168" t="n">
        <x:v>127</x:v>
      </x:c>
      <x:c r="M886" s="168" t="str">
        <x:v>Comparative</x:v>
      </x:c>
      <x:c r="N886" s="171" t="str">
        <x:v>Printed amount independently located</x:v>
      </x:c>
      <x:c r="O886" s="171" t="str">
        <x:v>Exact source amount found; audited year/current-comparative column recorded. Accounting subtotal tests performed separately.</x:v>
      </x:c>
      <x:c r="P886" s="171" t="str">
        <x:v>2022 2021
  Note (Rupees in thousand)
Revenue  28 58,043,863 45,107,690
Cost of sales 29 (47,615,551)  (37,035,798)
Gross profit  10,428,312 8,071,892
Administrative expenses 30 (751,052) (646,762)
Selling and distribution expenses 31 (1,748,859) (1,9</x:v>
      </x:c>
    </x:row>
    <x:row r="887" ht="82" customHeight="1">
      <x:c r="A887" s="76" t="str">
        <x:v>DGKC|rev|2022</x:v>
      </x:c>
      <x:c r="B887" s="76" t="str">
        <x:v>DGKC</x:v>
      </x:c>
      <x:c r="C887" s="76" t="str">
        <x:v>FY2022</x:v>
      </x:c>
      <x:c r="D887" s="76" t="str">
        <x:v>Revenue / net sales</x:v>
      </x:c>
      <x:c r="E887" s="170" t="n">
        <x:v>58043863</x:v>
      </x:c>
      <x:c r="F887" s="170" t="n">
        <x:v>58043863</x:v>
      </x:c>
      <x:c r="G887" s="170" t="str">
        <x:v>Rs '000</x:v>
      </x:c>
      <x:c r="H887" s="170" t="n">
        <x:f>F887/1000</x:f>
        <x:v>58043.863</x:v>
      </x:c>
      <x:c r="I887" s="170" t="n">
        <x:f>DGKC!E84</x:f>
        <x:v>58043.863</x:v>
      </x:c>
      <x:c r="J887" s="170" t="n">
        <x:f>H887-I887</x:f>
        <x:v>0</x:v>
      </x:c>
      <x:c r="K887" s="76" t="str">
        <x:v>DGAnnual2023.pdf</x:v>
      </x:c>
      <x:c r="L887" s="76" t="n">
        <x:v>153</x:v>
      </x:c>
      <x:c r="M887" s="76" t="str">
        <x:v>Comparative</x:v>
      </x:c>
      <x:c r="N887" s="99" t="str">
        <x:v>Printed amount independently located</x:v>
      </x:c>
      <x:c r="O887" s="99" t="str">
        <x:v>Exact source amount found; audited year/current-comparative column recorded. Accounting subtotal tests performed separately.</x:v>
      </x:c>
      <x:c r="P887" s="99" t="str">
        <x:v>2023 2022
  Note (Rupees in thousand)
Revenue  27 64,983,821 58,043,863
Cost of sales 28 (55,428,046) (47,615,551)
Gross profit   9,555,775 10,428,312
Administrative expenses 29  (879,356) (751,052)
Selling and distribution expenses 30  (1,818,028)</x:v>
      </x:c>
    </x:row>
    <x:row r="888" ht="82" customHeight="1">
      <x:c r="A888" s="168" t="str">
        <x:v>DGKC|rev|2023</x:v>
      </x:c>
      <x:c r="B888" s="168" t="str">
        <x:v>DGKC</x:v>
      </x:c>
      <x:c r="C888" s="168" t="str">
        <x:v>FY2023</x:v>
      </x:c>
      <x:c r="D888" s="168" t="str">
        <x:v>Revenue / net sales</x:v>
      </x:c>
      <x:c r="E888" s="169" t="n">
        <x:v>64983821</x:v>
      </x:c>
      <x:c r="F888" s="169" t="n">
        <x:v>64983821</x:v>
      </x:c>
      <x:c r="G888" s="169" t="str">
        <x:v>Rs '000</x:v>
      </x:c>
      <x:c r="H888" s="169" t="n">
        <x:f>F888/1000</x:f>
        <x:v>64983.821</x:v>
      </x:c>
      <x:c r="I888" s="169" t="n">
        <x:f>DGKC!F84</x:f>
        <x:v>64983.821</x:v>
      </x:c>
      <x:c r="J888" s="169" t="n">
        <x:f>H888-I888</x:f>
        <x:v>0</x:v>
      </x:c>
      <x:c r="K888" s="168" t="str">
        <x:v>DGAnnual2024.pdf</x:v>
      </x:c>
      <x:c r="L888" s="168" t="n">
        <x:v>153</x:v>
      </x:c>
      <x:c r="M888" s="168" t="str">
        <x:v>Comparative</x:v>
      </x:c>
      <x:c r="N888" s="171" t="str">
        <x:v>Printed amount independently located</x:v>
      </x:c>
      <x:c r="O888" s="171" t="str">
        <x:v>Exact source amount found; audited year/current-comparative column recorded. Accounting subtotal tests performed separately.</x:v>
      </x:c>
      <x:c r="P888" s="171" t="str">
        <x:v>152
DGKC Annual Report 2024
   2024 2023
  Note (Rupees in thousand)
      (Re-stated)
Revenue  27 66,038,689 64,983,821
Cost of sales 28 (55,510,429) (55,428,046)
Gross profit    10,528,260 9,555,775
Administrative expenses 29 (1,206,105) (879,356)
Selling and distribution expenses 30 (2,608,537) (</x:v>
      </x:c>
    </x:row>
    <x:row r="889" ht="82" customHeight="1">
      <x:c r="A889" s="76" t="str">
        <x:v>DGKC|rev|2024</x:v>
      </x:c>
      <x:c r="B889" s="76" t="str">
        <x:v>DGKC</x:v>
      </x:c>
      <x:c r="C889" s="76" t="str">
        <x:v>FY2024</x:v>
      </x:c>
      <x:c r="D889" s="76" t="str">
        <x:v>Revenue / net sales</x:v>
      </x:c>
      <x:c r="E889" s="170" t="n">
        <x:v>66038689</x:v>
      </x:c>
      <x:c r="F889" s="170" t="n">
        <x:v>66038689</x:v>
      </x:c>
      <x:c r="G889" s="170" t="str">
        <x:v>Rs '000</x:v>
      </x:c>
      <x:c r="H889" s="170" t="n">
        <x:f>F889/1000</x:f>
        <x:v>66038.689</x:v>
      </x:c>
      <x:c r="I889" s="170" t="n">
        <x:f>DGKC!G84</x:f>
        <x:v>66038.689</x:v>
      </x:c>
      <x:c r="J889" s="170" t="n">
        <x:f>H889-I889</x:f>
        <x:v>0</x:v>
      </x:c>
      <x:c r="K889" s="76" t="str">
        <x:v>DGAnnual2025.pdf</x:v>
      </x:c>
      <x:c r="L889" s="76" t="n">
        <x:v>155</x:v>
      </x:c>
      <x:c r="M889" s="76" t="str">
        <x:v>Comparative</x:v>
      </x:c>
      <x:c r="N889" s="99" t="str">
        <x:v>Printed amount independently located</x:v>
      </x:c>
      <x:c r="O889" s="99" t="str">
        <x:v>Exact source amount found; audited year/current-comparative column recorded. Accounting subtotal tests performed separately.</x:v>
      </x:c>
      <x:c r="P889" s="99" t="str">
        <x:v>2025 2024
  Note (Rupees in thousand)
Revenue from contracts with customers - net 27 71,892,837 66,038,689
Cost of sales 28 (53,387,166) (55,510,429)
Gross profit  18,505,671 10,528,260
Administrative expenses 29  (1,294,974)  (1,206,105)
Selling and distribution expenses 30 (3,874,688</x:v>
      </x:c>
    </x:row>
    <x:row r="890" ht="82" customHeight="1">
      <x:c r="A890" s="168" t="str">
        <x:v>DGKC|rev|2025</x:v>
      </x:c>
      <x:c r="B890" s="168" t="str">
        <x:v>DGKC</x:v>
      </x:c>
      <x:c r="C890" s="168" t="str">
        <x:v>FY2025</x:v>
      </x:c>
      <x:c r="D890" s="168" t="str">
        <x:v>Revenue / net sales</x:v>
      </x:c>
      <x:c r="E890" s="169" t="n">
        <x:v>71892837</x:v>
      </x:c>
      <x:c r="F890" s="169" t="n">
        <x:v>71892837</x:v>
      </x:c>
      <x:c r="G890" s="169" t="str">
        <x:v>Rs '000</x:v>
      </x:c>
      <x:c r="H890" s="169" t="n">
        <x:f>F890/1000</x:f>
        <x:v>71892.837</x:v>
      </x:c>
      <x:c r="I890" s="169" t="n">
        <x:f>DGKC!H84</x:f>
        <x:v>71892.837</x:v>
      </x:c>
      <x:c r="J890" s="169" t="n">
        <x:f>H890-I890</x:f>
        <x:v>0</x:v>
      </x:c>
      <x:c r="K890" s="168" t="str">
        <x:v>DGAnnual2025.pdf</x:v>
      </x:c>
      <x:c r="L890" s="168" t="n">
        <x:v>155</x:v>
      </x:c>
      <x:c r="M890" s="168" t="str">
        <x:v>Current year</x:v>
      </x:c>
      <x:c r="N890" s="171" t="str">
        <x:v>Printed amount independently located</x:v>
      </x:c>
      <x:c r="O890" s="171" t="str">
        <x:v>Exact source amount found; audited year/current-comparative column recorded. Accounting subtotal tests performed separately.</x:v>
      </x:c>
      <x:c r="P890" s="171" t="str">
        <x:v>2025 2024
  Note (Rupees in thousand)
Revenue from contracts with customers - net 27 71,892,837 66,038,689
Cost of sales 28 (53,387,166) (55,510,429)
Gross profit  18,505,671 10,528,260
Administrative expenses 29  (1,294,974)  (1,206,105)
Selling and distribution expenses 30</x:v>
      </x:c>
    </x:row>
    <x:row r="891" ht="82" customHeight="1">
      <x:c r="A891" s="76" t="str">
        <x:v>DGKC|cogs|2021</x:v>
      </x:c>
      <x:c r="B891" s="76" t="str">
        <x:v>DGKC</x:v>
      </x:c>
      <x:c r="C891" s="76" t="str">
        <x:v>FY2021</x:v>
      </x:c>
      <x:c r="D891" s="76" t="str">
        <x:v>Cost of sales</x:v>
      </x:c>
      <x:c r="E891" s="170" t="n">
        <x:v>-37035798</x:v>
      </x:c>
      <x:c r="F891" s="170" t="n">
        <x:v>-37035798</x:v>
      </x:c>
      <x:c r="G891" s="170" t="str">
        <x:v>Rs '000</x:v>
      </x:c>
      <x:c r="H891" s="170" t="n">
        <x:f>F891/1000</x:f>
        <x:v>-37035.798</x:v>
      </x:c>
      <x:c r="I891" s="170" t="n">
        <x:f>DGKC!D85</x:f>
        <x:v>-37035.798</x:v>
      </x:c>
      <x:c r="J891" s="170" t="n">
        <x:f>H891-I891</x:f>
        <x:v>0</x:v>
      </x:c>
      <x:c r="K891" s="76" t="str">
        <x:v>DG_Annual_Report_2022.pdf</x:v>
      </x:c>
      <x:c r="L891" s="76" t="n">
        <x:v>127</x:v>
      </x:c>
      <x:c r="M891" s="76" t="str">
        <x:v>Comparative</x:v>
      </x:c>
      <x:c r="N891" s="99" t="str">
        <x:v>Printed amount independently located</x:v>
      </x:c>
      <x:c r="O891" s="99" t="str">
        <x:v>Exact source amount found; audited year/current-comparative column recorded. Accounting subtotal tests performed separately.</x:v>
      </x:c>
      <x:c r="P891" s="99" t="str">
        <x:v>2022 2021
  Note (Rupees in thousand)
Revenue  28 58,043,863 45,107,690
Cost of sales 29 (47,615,551)  (37,035,798)
Gross profit  10,428,312 8,071,892
Administrative expenses 30 (751,052) (646,762)
Selling and distribution expenses 31 (1,748,859) (1,950,056)
Net impairment (loss)/gain on financ</x:v>
      </x:c>
    </x:row>
    <x:row r="892" ht="82" customHeight="1">
      <x:c r="A892" s="168" t="str">
        <x:v>DGKC|cogs|2022</x:v>
      </x:c>
      <x:c r="B892" s="168" t="str">
        <x:v>DGKC</x:v>
      </x:c>
      <x:c r="C892" s="168" t="str">
        <x:v>FY2022</x:v>
      </x:c>
      <x:c r="D892" s="168" t="str">
        <x:v>Cost of sales</x:v>
      </x:c>
      <x:c r="E892" s="169" t="n">
        <x:v>-47615551</x:v>
      </x:c>
      <x:c r="F892" s="169" t="n">
        <x:v>-47615551</x:v>
      </x:c>
      <x:c r="G892" s="169" t="str">
        <x:v>Rs '000</x:v>
      </x:c>
      <x:c r="H892" s="169" t="n">
        <x:f>F892/1000</x:f>
        <x:v>-47615.551</x:v>
      </x:c>
      <x:c r="I892" s="169" t="n">
        <x:f>DGKC!E85</x:f>
        <x:v>-47615.551</x:v>
      </x:c>
      <x:c r="J892" s="169" t="n">
        <x:f>H892-I892</x:f>
        <x:v>0</x:v>
      </x:c>
      <x:c r="K892" s="168" t="str">
        <x:v>DGAnnual2023.pdf</x:v>
      </x:c>
      <x:c r="L892" s="168" t="n">
        <x:v>153</x:v>
      </x:c>
      <x:c r="M892" s="168" t="str">
        <x:v>Comparative</x:v>
      </x:c>
      <x:c r="N892" s="171" t="str">
        <x:v>Printed amount independently located</x:v>
      </x:c>
      <x:c r="O892" s="171" t="str">
        <x:v>Exact source amount found; audited year/current-comparative column recorded. Accounting subtotal tests performed separately.</x:v>
      </x:c>
      <x:c r="P892" s="171" t="str">
        <x:v>2023 2022
  Note (Rupees in thousand)
Revenue  27 64,983,821 58,043,863
Cost of sales 28 (55,428,046) (47,615,551)
Gross profit   9,555,775 10,428,312
Administrative expenses 29  (879,356) (751,052)
Selling and distribution expenses 30  (1,818,028)  (1,748,859)
Net impairment loss on financial</x:v>
      </x:c>
    </x:row>
    <x:row r="893" ht="82" customHeight="1">
      <x:c r="A893" s="76" t="str">
        <x:v>DGKC|cogs|2023</x:v>
      </x:c>
      <x:c r="B893" s="76" t="str">
        <x:v>DGKC</x:v>
      </x:c>
      <x:c r="C893" s="76" t="str">
        <x:v>FY2023</x:v>
      </x:c>
      <x:c r="D893" s="76" t="str">
        <x:v>Cost of sales</x:v>
      </x:c>
      <x:c r="E893" s="170" t="n">
        <x:v>-55428046</x:v>
      </x:c>
      <x:c r="F893" s="170" t="n">
        <x:v>-55428046</x:v>
      </x:c>
      <x:c r="G893" s="170" t="str">
        <x:v>Rs '000</x:v>
      </x:c>
      <x:c r="H893" s="170" t="n">
        <x:f>F893/1000</x:f>
        <x:v>-55428.046</x:v>
      </x:c>
      <x:c r="I893" s="170" t="n">
        <x:f>DGKC!F85</x:f>
        <x:v>-55428.046</x:v>
      </x:c>
      <x:c r="J893" s="170" t="n">
        <x:f>H893-I893</x:f>
        <x:v>0</x:v>
      </x:c>
      <x:c r="K893" s="76" t="str">
        <x:v>DGAnnual2024.pdf</x:v>
      </x:c>
      <x:c r="L893" s="76" t="n">
        <x:v>153</x:v>
      </x:c>
      <x:c r="M893" s="76" t="str">
        <x:v>Comparative</x:v>
      </x:c>
      <x:c r="N893" s="99" t="str">
        <x:v>Printed amount independently located</x:v>
      </x:c>
      <x:c r="O893" s="99" t="str">
        <x:v>Exact source amount found; audited year/current-comparative column recorded. Accounting subtotal tests performed separately.</x:v>
      </x:c>
      <x:c r="P893" s="99" t="str">
        <x:v>52
DGKC Annual Report 2024
   2024 2023
  Note (Rupees in thousand)
      (Re-stated)
Revenue  27 66,038,689 64,983,821
Cost of sales 28 (55,510,429) (55,428,046)
Gross profit    10,528,260 9,555,775
Administrative expenses 29 (1,206,105) (879,356)
Selling and distribution expenses 30 (2,608,537) (1,818,028)
Net impairment loss on financial</x:v>
      </x:c>
    </x:row>
    <x:row r="894" ht="82" customHeight="1">
      <x:c r="A894" s="168" t="str">
        <x:v>DGKC|cogs|2024</x:v>
      </x:c>
      <x:c r="B894" s="168" t="str">
        <x:v>DGKC</x:v>
      </x:c>
      <x:c r="C894" s="168" t="str">
        <x:v>FY2024</x:v>
      </x:c>
      <x:c r="D894" s="168" t="str">
        <x:v>Cost of sales</x:v>
      </x:c>
      <x:c r="E894" s="169" t="n">
        <x:v>-55510429</x:v>
      </x:c>
      <x:c r="F894" s="169" t="n">
        <x:v>-55510429</x:v>
      </x:c>
      <x:c r="G894" s="169" t="str">
        <x:v>Rs '000</x:v>
      </x:c>
      <x:c r="H894" s="169" t="n">
        <x:f>F894/1000</x:f>
        <x:v>-55510.429</x:v>
      </x:c>
      <x:c r="I894" s="169" t="n">
        <x:f>DGKC!G85</x:f>
        <x:v>-55510.429</x:v>
      </x:c>
      <x:c r="J894" s="169" t="n">
        <x:f>H894-I894</x:f>
        <x:v>0</x:v>
      </x:c>
      <x:c r="K894" s="168" t="str">
        <x:v>DGAnnual2025.pdf</x:v>
      </x:c>
      <x:c r="L894" s="168" t="n">
        <x:v>155</x:v>
      </x:c>
      <x:c r="M894" s="168" t="str">
        <x:v>Comparative</x:v>
      </x:c>
      <x:c r="N894" s="171" t="str">
        <x:v>Printed amount independently located</x:v>
      </x:c>
      <x:c r="O894" s="171" t="str">
        <x:v>Exact source amount found; audited year/current-comparative column recorded. Accounting subtotal tests performed separately.</x:v>
      </x:c>
      <x:c r="P894" s="171" t="str">
        <x:v>2025 2024
  Note (Rupees in thousand)
Revenue from contracts with customers - net 27 71,892,837 66,038,689
Cost of sales 28 (53,387,166) (55,510,429)
Gross profit  18,505,671 10,528,260
Administrative expenses 29  (1,294,974)  (1,206,105)
Selling and distribution expenses 30 (3,874,688)  (2,608,537)
Net impairment loss on finan</x:v>
      </x:c>
    </x:row>
    <x:row r="895" ht="82" customHeight="1">
      <x:c r="A895" s="76" t="str">
        <x:v>DGKC|cogs|2025</x:v>
      </x:c>
      <x:c r="B895" s="76" t="str">
        <x:v>DGKC</x:v>
      </x:c>
      <x:c r="C895" s="76" t="str">
        <x:v>FY2025</x:v>
      </x:c>
      <x:c r="D895" s="76" t="str">
        <x:v>Cost of sales</x:v>
      </x:c>
      <x:c r="E895" s="170" t="n">
        <x:v>-53387166</x:v>
      </x:c>
      <x:c r="F895" s="170" t="n">
        <x:v>-53387166</x:v>
      </x:c>
      <x:c r="G895" s="170" t="str">
        <x:v>Rs '000</x:v>
      </x:c>
      <x:c r="H895" s="170" t="n">
        <x:f>F895/1000</x:f>
        <x:v>-53387.166</x:v>
      </x:c>
      <x:c r="I895" s="170" t="n">
        <x:f>DGKC!H85</x:f>
        <x:v>-53387.166</x:v>
      </x:c>
      <x:c r="J895" s="170" t="n">
        <x:f>H895-I895</x:f>
        <x:v>0</x:v>
      </x:c>
      <x:c r="K895" s="76" t="str">
        <x:v>DGAnnual2025.pdf</x:v>
      </x:c>
      <x:c r="L895" s="76" t="n">
        <x:v>155</x:v>
      </x:c>
      <x:c r="M895" s="76" t="str">
        <x:v>Current year</x:v>
      </x:c>
      <x:c r="N895" s="99" t="str">
        <x:v>Printed amount independently located</x:v>
      </x:c>
      <x:c r="O895" s="99" t="str">
        <x:v>Exact source amount found; audited year/current-comparative column recorded. Accounting subtotal tests performed separately.</x:v>
      </x:c>
      <x:c r="P895" s="99" t="str">
        <x:v>2025 2024
  Note (Rupees in thousand)
Revenue from contracts with customers - net 27 71,892,837 66,038,689
Cost of sales 28 (53,387,166) (55,510,429)
Gross profit  18,505,671 10,528,260
Administrative expenses 29  (1,294,974)  (1,206,105)
Selling and distribution expenses 30 (3,874,688)  (2,608,537)
Net impairment</x:v>
      </x:c>
    </x:row>
    <x:row r="896" ht="82" customHeight="1">
      <x:c r="A896" s="168" t="str">
        <x:v>DGKC|selling|2021</x:v>
      </x:c>
      <x:c r="B896" s="168" t="str">
        <x:v>DGKC</x:v>
      </x:c>
      <x:c r="C896" s="168" t="str">
        <x:v>FY2021</x:v>
      </x:c>
      <x:c r="D896" s="168" t="str">
        <x:v>Selling and distribution expenses</x:v>
      </x:c>
      <x:c r="E896" s="169" t="n">
        <x:v>-1950056</x:v>
      </x:c>
      <x:c r="F896" s="169" t="n">
        <x:v>-1950056</x:v>
      </x:c>
      <x:c r="G896" s="169" t="str">
        <x:v>Rs '000</x:v>
      </x:c>
      <x:c r="H896" s="169" t="n">
        <x:f>F896/1000</x:f>
        <x:v>-1950.056</x:v>
      </x:c>
      <x:c r="I896" s="169" t="n">
        <x:f>DGKC!D87</x:f>
        <x:v>-1950.056</x:v>
      </x:c>
      <x:c r="J896" s="169" t="n">
        <x:f>H896-I896</x:f>
        <x:v>0</x:v>
      </x:c>
      <x:c r="K896" s="168" t="str">
        <x:v>DG_Annual_Report_2022.pdf</x:v>
      </x:c>
      <x:c r="L896" s="168" t="n">
        <x:v>127</x:v>
      </x:c>
      <x:c r="M896" s="168" t="str">
        <x:v>Comparative</x:v>
      </x:c>
      <x:c r="N896" s="171" t="str">
        <x:v>Printed amount independently located</x:v>
      </x:c>
      <x:c r="O896" s="171" t="str">
        <x:v>Exact source amount found; audited year/current-comparative column recorded. Accounting subtotal tests performed separately.</x:v>
      </x:c>
      <x:c r="P896" s="171" t="str">
        <x:v>551)  (37,035,798)
Gross profit  10,428,312 8,071,892
Administrative expenses 30 (751,052) (646,762)
Selling and distribution expenses 31 (1,748,859) (1,950,056)
Net impairment (loss)/gain on financial assets 23.2 (8,990) 104,703
Other expenses 32  (1,042,803) (414,315)
Other income 33 2,714,340 2,526,818
Finance cost 34 (3,571,187) (2,920</x:v>
      </x:c>
    </x:row>
    <x:row r="897" ht="82" customHeight="1">
      <x:c r="A897" s="76" t="str">
        <x:v>DGKC|selling|2022</x:v>
      </x:c>
      <x:c r="B897" s="76" t="str">
        <x:v>DGKC</x:v>
      </x:c>
      <x:c r="C897" s="76" t="str">
        <x:v>FY2022</x:v>
      </x:c>
      <x:c r="D897" s="76" t="str">
        <x:v>Selling and distribution expenses</x:v>
      </x:c>
      <x:c r="E897" s="170" t="n">
        <x:v>-1748859</x:v>
      </x:c>
      <x:c r="F897" s="170" t="n">
        <x:v>-1748859</x:v>
      </x:c>
      <x:c r="G897" s="170" t="str">
        <x:v>Rs '000</x:v>
      </x:c>
      <x:c r="H897" s="170" t="n">
        <x:f>F897/1000</x:f>
        <x:v>-1748.859</x:v>
      </x:c>
      <x:c r="I897" s="170" t="n">
        <x:f>DGKC!E87</x:f>
        <x:v>-1748.859</x:v>
      </x:c>
      <x:c r="J897" s="170" t="n">
        <x:f>H897-I897</x:f>
        <x:v>0</x:v>
      </x:c>
      <x:c r="K897" s="76" t="str">
        <x:v>DGAnnual2023.pdf</x:v>
      </x:c>
      <x:c r="L897" s="76" t="n">
        <x:v>153</x:v>
      </x:c>
      <x:c r="M897" s="76" t="str">
        <x:v>Comparative</x:v>
      </x:c>
      <x:c r="N897" s="99" t="str">
        <x:v>Printed amount independently located</x:v>
      </x:c>
      <x:c r="O897" s="99" t="str">
        <x:v>Exact source amount found; audited year/current-comparative column recorded. Accounting subtotal tests performed separately.</x:v>
      </x:c>
      <x:c r="P897" s="99" t="str">
        <x:v>) (47,615,551)
Gross profit   9,555,775 10,428,312
Administrative expenses 29  (879,356) (751,052)
Selling and distribution expenses 30  (1,818,028)  (1,748,859)
Net impairment loss on financial assets 23.2 (104,094) (8,990)
Other expenses 31 (96,461) (1,042,803)
Other income 32 3,246,999 2,714,340
Finance cost 33 (6,742,292) (3,571,187)
P</x:v>
      </x:c>
    </x:row>
    <x:row r="898" ht="82" customHeight="1">
      <x:c r="A898" s="168" t="str">
        <x:v>DGKC|selling|2023</x:v>
      </x:c>
      <x:c r="B898" s="168" t="str">
        <x:v>DGKC</x:v>
      </x:c>
      <x:c r="C898" s="168" t="str">
        <x:v>FY2023</x:v>
      </x:c>
      <x:c r="D898" s="168" t="str">
        <x:v>Selling and distribution expenses</x:v>
      </x:c>
      <x:c r="E898" s="169" t="n">
        <x:v>-1818028</x:v>
      </x:c>
      <x:c r="F898" s="169" t="n">
        <x:v>-1818028</x:v>
      </x:c>
      <x:c r="G898" s="169" t="str">
        <x:v>Rs '000</x:v>
      </x:c>
      <x:c r="H898" s="169" t="n">
        <x:f>F898/1000</x:f>
        <x:v>-1818.028</x:v>
      </x:c>
      <x:c r="I898" s="169" t="n">
        <x:f>DGKC!F87</x:f>
        <x:v>-1818.028</x:v>
      </x:c>
      <x:c r="J898" s="169" t="n">
        <x:f>H898-I898</x:f>
        <x:v>0</x:v>
      </x:c>
      <x:c r="K898" s="168" t="str">
        <x:v>DGAnnual2024.pdf</x:v>
      </x:c>
      <x:c r="L898" s="168" t="n">
        <x:v>153</x:v>
      </x:c>
      <x:c r="M898" s="168" t="str">
        <x:v>Comparative</x:v>
      </x:c>
      <x:c r="N898" s="171" t="str">
        <x:v>Printed amount independently located</x:v>
      </x:c>
      <x:c r="O898" s="171" t="str">
        <x:v>Exact source amount found; audited year/current-comparative column recorded. Accounting subtotal tests performed separately.</x:v>
      </x:c>
      <x:c r="P898" s="171" t="str">
        <x:v>) (55,428,046)
Gross profit    10,528,260 9,555,775
Administrative expenses 29 (1,206,105) (879,356)
Selling and distribution expenses 30 (2,608,537) (1,818,028)
Net impairment loss on financial assets 31  (103,367) (104,094)
Other expenses 32  (5,033)  (96,461)
Other income 33 4,234,797 3,246,999
Finance cost 34  (8,001,105) (6,742,292)
P</x:v>
      </x:c>
    </x:row>
    <x:row r="899" ht="82" customHeight="1">
      <x:c r="A899" s="76" t="str">
        <x:v>DGKC|selling|2024</x:v>
      </x:c>
      <x:c r="B899" s="76" t="str">
        <x:v>DGKC</x:v>
      </x:c>
      <x:c r="C899" s="76" t="str">
        <x:v>FY2024</x:v>
      </x:c>
      <x:c r="D899" s="76" t="str">
        <x:v>Selling and distribution expenses</x:v>
      </x:c>
      <x:c r="E899" s="170" t="n">
        <x:v>-2608537</x:v>
      </x:c>
      <x:c r="F899" s="170" t="n">
        <x:v>-2608537</x:v>
      </x:c>
      <x:c r="G899" s="170" t="str">
        <x:v>Rs '000</x:v>
      </x:c>
      <x:c r="H899" s="170" t="n">
        <x:f>F899/1000</x:f>
        <x:v>-2608.537</x:v>
      </x:c>
      <x:c r="I899" s="170" t="n">
        <x:f>DGKC!G87</x:f>
        <x:v>-2608.537</x:v>
      </x:c>
      <x:c r="J899" s="170" t="n">
        <x:f>H899-I899</x:f>
        <x:v>0</x:v>
      </x:c>
      <x:c r="K899" s="76" t="str">
        <x:v>DGAnnual2025.pdf</x:v>
      </x:c>
      <x:c r="L899" s="76" t="n">
        <x:v>155</x:v>
      </x:c>
      <x:c r="M899" s="76" t="str">
        <x:v>Comparative</x:v>
      </x:c>
      <x:c r="N899" s="99" t="str">
        <x:v>Printed amount independently located</x:v>
      </x:c>
      <x:c r="O899" s="99" t="str">
        <x:v>Exact source amount found; audited year/current-comparative column recorded. Accounting subtotal tests performed separately.</x:v>
      </x:c>
      <x:c r="P899" s="99" t="str">
        <x:v>5,510,429)
Gross profit  18,505,671 10,528,260
Administrative expenses 29  (1,294,974)  (1,206,105)
Selling and distribution expenses 30 (3,874,688)  (2,608,537)
Net impairment loss on financial assets 31  (6,899)  (103,367)
Other expenses 32 (725,663) (5,033)
Other income 33 4,271,570 4,234,797
Finance cost 34  (3,870,405) (8,001,105)
Pro</x:v>
      </x:c>
    </x:row>
    <x:row r="900" ht="82" customHeight="1">
      <x:c r="A900" s="168" t="str">
        <x:v>DGKC|selling|2025</x:v>
      </x:c>
      <x:c r="B900" s="168" t="str">
        <x:v>DGKC</x:v>
      </x:c>
      <x:c r="C900" s="168" t="str">
        <x:v>FY2025</x:v>
      </x:c>
      <x:c r="D900" s="168" t="str">
        <x:v>Selling and distribution expenses</x:v>
      </x:c>
      <x:c r="E900" s="169" t="n">
        <x:v>-3874688</x:v>
      </x:c>
      <x:c r="F900" s="169" t="n">
        <x:v>-3874688</x:v>
      </x:c>
      <x:c r="G900" s="169" t="str">
        <x:v>Rs '000</x:v>
      </x:c>
      <x:c r="H900" s="169" t="n">
        <x:f>F900/1000</x:f>
        <x:v>-3874.688</x:v>
      </x:c>
      <x:c r="I900" s="169" t="n">
        <x:f>DGKC!H87</x:f>
        <x:v>-3874.688</x:v>
      </x:c>
      <x:c r="J900" s="169" t="n">
        <x:f>H900-I900</x:f>
        <x:v>0</x:v>
      </x:c>
      <x:c r="K900" s="168" t="str">
        <x:v>DGAnnual2025.pdf</x:v>
      </x:c>
      <x:c r="L900" s="168" t="n">
        <x:v>155</x:v>
      </x:c>
      <x:c r="M900" s="168" t="str">
        <x:v>Current year</x:v>
      </x:c>
      <x:c r="N900" s="171" t="str">
        <x:v>Printed amount independently located</x:v>
      </x:c>
      <x:c r="O900" s="171" t="str">
        <x:v>Exact source amount found; audited year/current-comparative column recorded. Accounting subtotal tests performed separately.</x:v>
      </x:c>
      <x:c r="P900" s="171" t="str">
        <x:v>3,387,166) (55,510,429)
Gross profit  18,505,671 10,528,260
Administrative expenses 29  (1,294,974)  (1,206,105)
Selling and distribution expenses 30 (3,874,688)  (2,608,537)
Net impairment loss on financial assets 31  (6,899)  (103,367)
Other expenses 32 (725,663) (5,033)
Other income 33 4,271,570 4,234,797
Finance cost 34  (3,870,405) (8</x:v>
      </x:c>
    </x:row>
    <x:row r="901" ht="82" customHeight="1">
      <x:c r="A901" s="76" t="str">
        <x:v>DGKC|admin|2021</x:v>
      </x:c>
      <x:c r="B901" s="76" t="str">
        <x:v>DGKC</x:v>
      </x:c>
      <x:c r="C901" s="76" t="str">
        <x:v>FY2021</x:v>
      </x:c>
      <x:c r="D901" s="76" t="str">
        <x:v>Administrative expenses</x:v>
      </x:c>
      <x:c r="E901" s="170" t="n">
        <x:v>-646762</x:v>
      </x:c>
      <x:c r="F901" s="170" t="n">
        <x:v>-646762</x:v>
      </x:c>
      <x:c r="G901" s="170" t="str">
        <x:v>Rs '000</x:v>
      </x:c>
      <x:c r="H901" s="170" t="n">
        <x:f>F901/1000</x:f>
        <x:v>-646.762</x:v>
      </x:c>
      <x:c r="I901" s="170" t="n">
        <x:f>DGKC!D88</x:f>
        <x:v>-646.762</x:v>
      </x:c>
      <x:c r="J901" s="170" t="n">
        <x:f>H901-I901</x:f>
        <x:v>0</x:v>
      </x:c>
      <x:c r="K901" s="76" t="str">
        <x:v>DG_Annual_Report_2022.pdf</x:v>
      </x:c>
      <x:c r="L901" s="76" t="n">
        <x:v>127</x:v>
      </x:c>
      <x:c r="M901" s="76" t="str">
        <x:v>Comparative</x:v>
      </x:c>
      <x:c r="N901" s="99" t="str">
        <x:v>Printed amount independently located</x:v>
      </x:c>
      <x:c r="O901" s="99" t="str">
        <x:v>Exact source amount found; audited year/current-comparative column recorded. Accounting subtotal tests performed separately.</x:v>
      </x:c>
      <x:c r="P901" s="99" t="str">
        <x:v>Revenue  28 58,043,863 45,107,690
Cost of sales 29 (47,615,551)  (37,035,798)
Gross profit  10,428,312 8,071,892
Administrative expenses 30 (751,052) (646,762)
Selling and distribution expenses 31 (1,748,859) (1,950,056)
Net impairment (loss)/gain on financial assets 23.2 (8,990) 104,703
Other expenses 32  (1,042,803) (414,315)
Other inc</x:v>
      </x:c>
    </x:row>
    <x:row r="902" ht="82" customHeight="1">
      <x:c r="A902" s="168" t="str">
        <x:v>DGKC|admin|2022</x:v>
      </x:c>
      <x:c r="B902" s="168" t="str">
        <x:v>DGKC</x:v>
      </x:c>
      <x:c r="C902" s="168" t="str">
        <x:v>FY2022</x:v>
      </x:c>
      <x:c r="D902" s="168" t="str">
        <x:v>Administrative expenses</x:v>
      </x:c>
      <x:c r="E902" s="169" t="n">
        <x:v>-751052</x:v>
      </x:c>
      <x:c r="F902" s="169" t="n">
        <x:v>-751052</x:v>
      </x:c>
      <x:c r="G902" s="169" t="str">
        <x:v>Rs '000</x:v>
      </x:c>
      <x:c r="H902" s="169" t="n">
        <x:f>F902/1000</x:f>
        <x:v>-751.052</x:v>
      </x:c>
      <x:c r="I902" s="169" t="n">
        <x:f>DGKC!E88</x:f>
        <x:v>-751.052</x:v>
      </x:c>
      <x:c r="J902" s="169" t="n">
        <x:f>H902-I902</x:f>
        <x:v>0</x:v>
      </x:c>
      <x:c r="K902" s="168" t="str">
        <x:v>DGAnnual2023.pdf</x:v>
      </x:c>
      <x:c r="L902" s="168" t="n">
        <x:v>153</x:v>
      </x:c>
      <x:c r="M902" s="168" t="str">
        <x:v>Comparative</x:v>
      </x:c>
      <x:c r="N902" s="171" t="str">
        <x:v>Printed amount independently located</x:v>
      </x:c>
      <x:c r="O902" s="171" t="str">
        <x:v>Exact source amount found; audited year/current-comparative column recorded. Accounting subtotal tests performed separately.</x:v>
      </x:c>
      <x:c r="P902" s="171" t="str">
        <x:v>enue  27 64,983,821 58,043,863
Cost of sales 28 (55,428,046) (47,615,551)
Gross profit   9,555,775 10,428,312
Administrative expenses 29  (879,356) (751,052)
Selling and distribution expenses 30  (1,818,028)  (1,748,859)
Net impairment loss on financial assets 23.2 (104,094) (8,990)
Other expenses 31 (96,461) (1,042,803)
Other income 3</x:v>
      </x:c>
    </x:row>
    <x:row r="903" ht="82" customHeight="1">
      <x:c r="A903" s="76" t="str">
        <x:v>DGKC|admin|2023</x:v>
      </x:c>
      <x:c r="B903" s="76" t="str">
        <x:v>DGKC</x:v>
      </x:c>
      <x:c r="C903" s="76" t="str">
        <x:v>FY2023</x:v>
      </x:c>
      <x:c r="D903" s="76" t="str">
        <x:v>Administrative expenses</x:v>
      </x:c>
      <x:c r="E903" s="170" t="n">
        <x:v>-879356</x:v>
      </x:c>
      <x:c r="F903" s="170" t="n">
        <x:v>-879356</x:v>
      </x:c>
      <x:c r="G903" s="170" t="str">
        <x:v>Rs '000</x:v>
      </x:c>
      <x:c r="H903" s="170" t="n">
        <x:f>F903/1000</x:f>
        <x:v>-879.356</x:v>
      </x:c>
      <x:c r="I903" s="170" t="n">
        <x:f>DGKC!F88</x:f>
        <x:v>-879.356</x:v>
      </x:c>
      <x:c r="J903" s="170" t="n">
        <x:f>H903-I903</x:f>
        <x:v>0</x:v>
      </x:c>
      <x:c r="K903" s="76" t="str">
        <x:v>DGAnnual2024.pdf</x:v>
      </x:c>
      <x:c r="L903" s="76" t="n">
        <x:v>153</x:v>
      </x:c>
      <x:c r="M903" s="76" t="str">
        <x:v>Comparative</x:v>
      </x:c>
      <x:c r="N903" s="99" t="str">
        <x:v>Printed amount independently located</x:v>
      </x:c>
      <x:c r="O903" s="99" t="str">
        <x:v>Exact source amount found; audited year/current-comparative column recorded. Accounting subtotal tests performed separately.</x:v>
      </x:c>
      <x:c r="P903" s="99" t="str">
        <x:v>enue  27 66,038,689 64,983,821
Cost of sales 28 (55,510,429) (55,428,046)
Gross profit    10,528,260 9,555,775
Administrative expenses 29 (1,206,105) (879,356)
Selling and distribution expenses 30 (2,608,537) (1,818,028)
Net impairment loss on financial assets 31  (103,367) (104,094)
Other expenses 32  (5,033)  (96,461)
Other income 33 4</x:v>
      </x:c>
    </x:row>
    <x:row r="904" ht="82" customHeight="1">
      <x:c r="A904" s="168" t="str">
        <x:v>DGKC|admin|2024</x:v>
      </x:c>
      <x:c r="B904" s="168" t="str">
        <x:v>DGKC</x:v>
      </x:c>
      <x:c r="C904" s="168" t="str">
        <x:v>FY2024</x:v>
      </x:c>
      <x:c r="D904" s="168" t="str">
        <x:v>Administrative expenses</x:v>
      </x:c>
      <x:c r="E904" s="169" t="n">
        <x:v>-1206105</x:v>
      </x:c>
      <x:c r="F904" s="169" t="n">
        <x:v>-1206105</x:v>
      </x:c>
      <x:c r="G904" s="169" t="str">
        <x:v>Rs '000</x:v>
      </x:c>
      <x:c r="H904" s="169" t="n">
        <x:f>F904/1000</x:f>
        <x:v>-1206.105</x:v>
      </x:c>
      <x:c r="I904" s="169" t="n">
        <x:f>DGKC!G88</x:f>
        <x:v>-1206.105</x:v>
      </x:c>
      <x:c r="J904" s="169" t="n">
        <x:f>H904-I904</x:f>
        <x:v>0</x:v>
      </x:c>
      <x:c r="K904" s="168" t="str">
        <x:v>DGAnnual2025.pdf</x:v>
      </x:c>
      <x:c r="L904" s="168" t="n">
        <x:v>155</x:v>
      </x:c>
      <x:c r="M904" s="168" t="str">
        <x:v>Comparative</x:v>
      </x:c>
      <x:c r="N904" s="171" t="str">
        <x:v>Printed amount independently located</x:v>
      </x:c>
      <x:c r="O904" s="171" t="str">
        <x:v>Exact source amount found; audited year/current-comparative column recorded. Accounting subtotal tests performed separately.</x:v>
      </x:c>
      <x:c r="P904" s="171" t="str">
        <x:v>net 27 71,892,837 66,038,689
Cost of sales 28 (53,387,166) (55,510,429)
Gross profit  18,505,671 10,528,260
Administrative expenses 29  (1,294,974)  (1,206,105)
Selling and distribution expenses 30 (3,874,688)  (2,608,537)
Net impairment loss on financial assets 31  (6,899)  (103,367)
Other expenses 32 (725,663) (5,033)
Other income 33 4,</x:v>
      </x:c>
    </x:row>
    <x:row r="905" ht="82" customHeight="1">
      <x:c r="A905" s="76" t="str">
        <x:v>DGKC|admin|2025</x:v>
      </x:c>
      <x:c r="B905" s="76" t="str">
        <x:v>DGKC</x:v>
      </x:c>
      <x:c r="C905" s="76" t="str">
        <x:v>FY2025</x:v>
      </x:c>
      <x:c r="D905" s="76" t="str">
        <x:v>Administrative expenses</x:v>
      </x:c>
      <x:c r="E905" s="170" t="n">
        <x:v>-1294974</x:v>
      </x:c>
      <x:c r="F905" s="170" t="n">
        <x:v>-1294974</x:v>
      </x:c>
      <x:c r="G905" s="170" t="str">
        <x:v>Rs '000</x:v>
      </x:c>
      <x:c r="H905" s="170" t="n">
        <x:f>F905/1000</x:f>
        <x:v>-1294.974</x:v>
      </x:c>
      <x:c r="I905" s="170" t="n">
        <x:f>DGKC!H88</x:f>
        <x:v>-1294.974</x:v>
      </x:c>
      <x:c r="J905" s="170" t="n">
        <x:f>H905-I905</x:f>
        <x:v>0</x:v>
      </x:c>
      <x:c r="K905" s="76" t="str">
        <x:v>DGAnnual2025.pdf</x:v>
      </x:c>
      <x:c r="L905" s="76" t="n">
        <x:v>155</x:v>
      </x:c>
      <x:c r="M905" s="76" t="str">
        <x:v>Current year</x:v>
      </x:c>
      <x:c r="N905" s="99" t="str">
        <x:v>Printed amount independently located</x:v>
      </x:c>
      <x:c r="O905" s="99" t="str">
        <x:v>Exact source amount found; audited year/current-comparative column recorded. Accounting subtotal tests performed separately.</x:v>
      </x:c>
      <x:c r="P905" s="99" t="str">
        <x:v>h customers - net 27 71,892,837 66,038,689
Cost of sales 28 (53,387,166) (55,510,429)
Gross profit  18,505,671 10,528,260
Administrative expenses 29  (1,294,974)  (1,206,105)
Selling and distribution expenses 30 (3,874,688)  (2,608,537)
Net impairment loss on financial assets 31  (6,899)  (103,367)
Other expenses 32 (725,663) (5,033)
Other</x:v>
      </x:c>
    </x:row>
    <x:row r="906" ht="82" customHeight="1">
      <x:c r="A906" s="168" t="str">
        <x:v>DGKC|impair|2021</x:v>
      </x:c>
      <x:c r="B906" s="168" t="str">
        <x:v>DGKC</x:v>
      </x:c>
      <x:c r="C906" s="168" t="str">
        <x:v>FY2021</x:v>
      </x:c>
      <x:c r="D906" s="168" t="str">
        <x:v>Impairment / expected credit loss on financial assets</x:v>
      </x:c>
      <x:c r="E906" s="169" t="n">
        <x:v>104703</x:v>
      </x:c>
      <x:c r="F906" s="169" t="n">
        <x:v>104703</x:v>
      </x:c>
      <x:c r="G906" s="169" t="str">
        <x:v>Rs '000</x:v>
      </x:c>
      <x:c r="H906" s="169" t="n">
        <x:f>F906/1000</x:f>
        <x:v>104.703</x:v>
      </x:c>
      <x:c r="I906" s="169" t="n">
        <x:f>DGKC!D89</x:f>
        <x:v>104.703</x:v>
      </x:c>
      <x:c r="J906" s="169" t="n">
        <x:f>H906-I906</x:f>
        <x:v>0</x:v>
      </x:c>
      <x:c r="K906" s="168" t="str">
        <x:v>DG_Annual_Report_2022.pdf</x:v>
      </x:c>
      <x:c r="L906" s="168" t="n">
        <x:v>127</x:v>
      </x:c>
      <x:c r="M906" s="168" t="str">
        <x:v>Comparative</x:v>
      </x:c>
      <x:c r="N906" s="171" t="str">
        <x:v>Printed amount independently located</x:v>
      </x:c>
      <x:c r="O906" s="171" t="str">
        <x:v>Exact source amount found; audited year/current-comparative column recorded. Accounting subtotal tests performed separately.</x:v>
      </x:c>
      <x:c r="P906" s="171" t="str">
        <x:v>enses 30 (751,052) (646,762)
Selling and distribution expenses 31 (1,748,859) (1,950,056)
Net impairment (loss)/gain on financial assets 23.2 (8,990) 104,703
Other expenses 32  (1,042,803) (414,315)
Other income 33 2,714,340 2,526,818
Finance cost 34 (3,571,187) (2,920,875)
Profit before taxation  6,019,761 4,771,405
Taxation  3</x:v>
      </x:c>
    </x:row>
    <x:row r="907" ht="82" customHeight="1">
      <x:c r="A907" s="76" t="str">
        <x:v>DGKC|impair|2022</x:v>
      </x:c>
      <x:c r="B907" s="76" t="str">
        <x:v>DGKC</x:v>
      </x:c>
      <x:c r="C907" s="76" t="str">
        <x:v>FY2022</x:v>
      </x:c>
      <x:c r="D907" s="76" t="str">
        <x:v>Impairment / expected credit loss on financial assets</x:v>
      </x:c>
      <x:c r="E907" s="170" t="n">
        <x:v>-8990</x:v>
      </x:c>
      <x:c r="F907" s="170" t="n">
        <x:v>-8990</x:v>
      </x:c>
      <x:c r="G907" s="170" t="str">
        <x:v>Rs '000</x:v>
      </x:c>
      <x:c r="H907" s="170" t="n">
        <x:f>F907/1000</x:f>
        <x:v>-8.99</x:v>
      </x:c>
      <x:c r="I907" s="170" t="n">
        <x:f>DGKC!E89</x:f>
        <x:v>-8.99</x:v>
      </x:c>
      <x:c r="J907" s="170" t="n">
        <x:f>H907-I907</x:f>
        <x:v>0</x:v>
      </x:c>
      <x:c r="K907" s="76" t="str">
        <x:v>DGAnnual2023.pdf</x:v>
      </x:c>
      <x:c r="L907" s="76" t="n">
        <x:v>153</x:v>
      </x:c>
      <x:c r="M907" s="76" t="str">
        <x:v>Comparative</x:v>
      </x:c>
      <x:c r="N907" s="99" t="str">
        <x:v>Printed amount independently located</x:v>
      </x:c>
      <x:c r="O907" s="99" t="str">
        <x:v>Exact source amount found; audited year/current-comparative column recorded. Accounting subtotal tests performed separately.</x:v>
      </x:c>
      <x:c r="P907" s="99" t="str">
        <x:v>xpenses 29  (879,356) (751,052)
Selling and distribution expenses 30  (1,818,028)  (1,748,859)
Net impairment loss on financial assets 23.2 (104,094) (8,990)
Other expenses 31 (96,461) (1,042,803)
Other income 32 3,246,999 2,714,340
Finance cost 33 (6,742,292) (3,571,187)
Profit before taxation   3,162,543 6,019,761
Taxation  34</x:v>
      </x:c>
    </x:row>
    <x:row r="908" ht="82" customHeight="1">
      <x:c r="A908" s="168" t="str">
        <x:v>DGKC|impair|2023</x:v>
      </x:c>
      <x:c r="B908" s="168" t="str">
        <x:v>DGKC</x:v>
      </x:c>
      <x:c r="C908" s="168" t="str">
        <x:v>FY2023</x:v>
      </x:c>
      <x:c r="D908" s="168" t="str">
        <x:v>Impairment / expected credit loss on financial assets</x:v>
      </x:c>
      <x:c r="E908" s="169" t="n">
        <x:v>-104094</x:v>
      </x:c>
      <x:c r="F908" s="169" t="n">
        <x:v>-104094</x:v>
      </x:c>
      <x:c r="G908" s="169" t="str">
        <x:v>Rs '000</x:v>
      </x:c>
      <x:c r="H908" s="169" t="n">
        <x:f>F908/1000</x:f>
        <x:v>-104.094</x:v>
      </x:c>
      <x:c r="I908" s="169" t="n">
        <x:f>DGKC!F89</x:f>
        <x:v>-104.094</x:v>
      </x:c>
      <x:c r="J908" s="169" t="n">
        <x:f>H908-I908</x:f>
        <x:v>0</x:v>
      </x:c>
      <x:c r="K908" s="168" t="str">
        <x:v>DGAnnual2024.pdf</x:v>
      </x:c>
      <x:c r="L908" s="168" t="n">
        <x:v>153</x:v>
      </x:c>
      <x:c r="M908" s="168" t="str">
        <x:v>Comparative</x:v>
      </x:c>
      <x:c r="N908" s="171" t="str">
        <x:v>Printed amount independently located</x:v>
      </x:c>
      <x:c r="O908" s="171" t="str">
        <x:v>Exact source amount found; audited year/current-comparative column recorded. Accounting subtotal tests performed separately.</x:v>
      </x:c>
      <x:c r="P908" s="171" t="str">
        <x:v>expenses 29 (1,206,105) (879,356)
Selling and distribution expenses 30 (2,608,537) (1,818,028)
Net impairment loss on financial assets 31  (103,367) (104,094)
Other expenses 32  (5,033)  (96,461)
Other income 33 4,234,797 3,246,999
Finance cost 34  (8,001,105) (6,742,292)
Profit before tax and levy  2,838,910 3,162,543
Levy   35  (520,8</x:v>
      </x:c>
    </x:row>
    <x:row r="909" ht="82" customHeight="1">
      <x:c r="A909" s="76" t="str">
        <x:v>DGKC|impair|2024</x:v>
      </x:c>
      <x:c r="B909" s="76" t="str">
        <x:v>DGKC</x:v>
      </x:c>
      <x:c r="C909" s="76" t="str">
        <x:v>FY2024</x:v>
      </x:c>
      <x:c r="D909" s="76" t="str">
        <x:v>Impairment / expected credit loss on financial assets</x:v>
      </x:c>
      <x:c r="E909" s="170" t="n">
        <x:v>-103367</x:v>
      </x:c>
      <x:c r="F909" s="170" t="n">
        <x:v>-103367</x:v>
      </x:c>
      <x:c r="G909" s="170" t="str">
        <x:v>Rs '000</x:v>
      </x:c>
      <x:c r="H909" s="170" t="n">
        <x:f>F909/1000</x:f>
        <x:v>-103.367</x:v>
      </x:c>
      <x:c r="I909" s="170" t="n">
        <x:f>DGKC!G89</x:f>
        <x:v>-103.367</x:v>
      </x:c>
      <x:c r="J909" s="170" t="n">
        <x:f>H909-I909</x:f>
        <x:v>0</x:v>
      </x:c>
      <x:c r="K909" s="76" t="str">
        <x:v>DGAnnual2025.pdf</x:v>
      </x:c>
      <x:c r="L909" s="76" t="n">
        <x:v>155</x:v>
      </x:c>
      <x:c r="M909" s="76" t="str">
        <x:v>Comparative</x:v>
      </x:c>
      <x:c r="N909" s="99" t="str">
        <x:v>Printed amount independently located</x:v>
      </x:c>
      <x:c r="O909" s="99" t="str">
        <x:v>Exact source amount found; audited year/current-comparative column recorded. Accounting subtotal tests performed separately.</x:v>
      </x:c>
      <x:c r="P909" s="99" t="str">
        <x:v>enses 29  (1,294,974)  (1,206,105)
Selling and distribution expenses 30 (3,874,688)  (2,608,537)
Net impairment loss on financial assets 31  (6,899)  (103,367)
Other expenses 32 (725,663) (5,033)
Other income 33 4,271,570 4,234,797
Finance cost 34  (3,870,405) (8,001,105)
Profit before levy and income tax  13,004,612 2,838,910
Levy   35</x:v>
      </x:c>
    </x:row>
    <x:row r="910" ht="82" customHeight="1">
      <x:c r="A910" s="168" t="str">
        <x:v>DGKC|impair|2025</x:v>
      </x:c>
      <x:c r="B910" s="168" t="str">
        <x:v>DGKC</x:v>
      </x:c>
      <x:c r="C910" s="168" t="str">
        <x:v>FY2025</x:v>
      </x:c>
      <x:c r="D910" s="168" t="str">
        <x:v>Impairment / expected credit loss on financial assets</x:v>
      </x:c>
      <x:c r="E910" s="169" t="n">
        <x:v>-6899</x:v>
      </x:c>
      <x:c r="F910" s="169" t="n">
        <x:v>-6899</x:v>
      </x:c>
      <x:c r="G910" s="169" t="str">
        <x:v>Rs '000</x:v>
      </x:c>
      <x:c r="H910" s="169" t="n">
        <x:f>F910/1000</x:f>
        <x:v>-6.899</x:v>
      </x:c>
      <x:c r="I910" s="169" t="n">
        <x:f>DGKC!H89</x:f>
        <x:v>-6.899</x:v>
      </x:c>
      <x:c r="J910" s="169" t="n">
        <x:f>H910-I910</x:f>
        <x:v>0</x:v>
      </x:c>
      <x:c r="K910" s="168" t="str">
        <x:v>DGAnnual2025.pdf</x:v>
      </x:c>
      <x:c r="L910" s="168" t="n">
        <x:v>155</x:v>
      </x:c>
      <x:c r="M910" s="168" t="str">
        <x:v>Current year</x:v>
      </x:c>
      <x:c r="N910" s="171" t="str">
        <x:v>Printed amount independently located</x:v>
      </x:c>
      <x:c r="O910" s="171" t="str">
        <x:v>Exact source amount found; audited year/current-comparative column recorded. Accounting subtotal tests performed separately.</x:v>
      </x:c>
      <x:c r="P910" s="171" t="str">
        <x:v>ative expenses 29  (1,294,974)  (1,206,105)
Selling and distribution expenses 30 (3,874,688)  (2,608,537)
Net impairment loss on financial assets 31  (6,899)  (103,367)
Other expenses 32 (725,663) (5,033)
Other income 33 4,271,570 4,234,797
Finance cost 34  (3,870,405) (8,001,105)
Profit before levy and income tax  13,004,612 2,838,910</x:v>
      </x:c>
    </x:row>
    <x:row r="911" ht="82" customHeight="1">
      <x:c r="A911" s="76" t="str">
        <x:v>DGKC|oth_exp|2021</x:v>
      </x:c>
      <x:c r="B911" s="76" t="str">
        <x:v>DGKC</x:v>
      </x:c>
      <x:c r="C911" s="76" t="str">
        <x:v>FY2021</x:v>
      </x:c>
      <x:c r="D911" s="76" t="str">
        <x:v>Other operating expenses (incl. WPPF/WWF)</x:v>
      </x:c>
      <x:c r="E911" s="170" t="n">
        <x:v>-414315</x:v>
      </x:c>
      <x:c r="F911" s="170" t="n">
        <x:v>-414315</x:v>
      </x:c>
      <x:c r="G911" s="170" t="str">
        <x:v>Rs '000</x:v>
      </x:c>
      <x:c r="H911" s="170" t="n">
        <x:f>F911/1000</x:f>
        <x:v>-414.315</x:v>
      </x:c>
      <x:c r="I911" s="170" t="n">
        <x:f>DGKC!D90</x:f>
        <x:v>-414.315</x:v>
      </x:c>
      <x:c r="J911" s="170" t="n">
        <x:f>H911-I911</x:f>
        <x:v>0</x:v>
      </x:c>
      <x:c r="K911" s="76" t="str">
        <x:v>DG_Annual_Report_2022.pdf</x:v>
      </x:c>
      <x:c r="L911" s="76" t="n">
        <x:v>127</x:v>
      </x:c>
      <x:c r="M911" s="76" t="str">
        <x:v>Comparative</x:v>
      </x:c>
      <x:c r="N911" s="99" t="str">
        <x:v>Printed amount independently located</x:v>
      </x:c>
      <x:c r="O911" s="99" t="str">
        <x:v>Exact source amount found; audited year/current-comparative column recorded. Accounting subtotal tests performed separately.</x:v>
      </x:c>
      <x:c r="P911" s="99" t="str">
        <x:v>d distribution expenses 31 (1,748,859) (1,950,056)
Net impairment (loss)/gain on financial assets 23.2 (8,990) 104,703
Other expenses 32  (1,042,803) (414,315)
Other income 33 2,714,340 2,526,818
Finance cost 34 (3,571,187) (2,920,875)
Profit before taxation  6,019,761 4,771,405
Taxation  35  (3,047,629) (1,050,132)
Profit for the</x:v>
      </x:c>
    </x:row>
    <x:row r="912" ht="82" customHeight="1">
      <x:c r="A912" s="168" t="str">
        <x:v>DGKC|oth_exp|2022</x:v>
      </x:c>
      <x:c r="B912" s="168" t="str">
        <x:v>DGKC</x:v>
      </x:c>
      <x:c r="C912" s="168" t="str">
        <x:v>FY2022</x:v>
      </x:c>
      <x:c r="D912" s="168" t="str">
        <x:v>Other operating expenses (incl. WPPF/WWF)</x:v>
      </x:c>
      <x:c r="E912" s="169" t="n">
        <x:v>-1042803</x:v>
      </x:c>
      <x:c r="F912" s="169" t="n">
        <x:v>-1042803</x:v>
      </x:c>
      <x:c r="G912" s="169" t="str">
        <x:v>Rs '000</x:v>
      </x:c>
      <x:c r="H912" s="169" t="n">
        <x:f>F912/1000</x:f>
        <x:v>-1042.803</x:v>
      </x:c>
      <x:c r="I912" s="169" t="n">
        <x:f>DGKC!E90</x:f>
        <x:v>-1042.803</x:v>
      </x:c>
      <x:c r="J912" s="169" t="n">
        <x:f>H912-I912</x:f>
        <x:v>0</x:v>
      </x:c>
      <x:c r="K912" s="168" t="str">
        <x:v>DGAnnual2023.pdf</x:v>
      </x:c>
      <x:c r="L912" s="168" t="n">
        <x:v>153</x:v>
      </x:c>
      <x:c r="M912" s="168" t="str">
        <x:v>Comparative</x:v>
      </x:c>
      <x:c r="N912" s="171" t="str">
        <x:v>Printed amount independently located</x:v>
      </x:c>
      <x:c r="O912" s="171" t="str">
        <x:v>Exact source amount found; audited year/current-comparative column recorded. Accounting subtotal tests performed separately.</x:v>
      </x:c>
      <x:c r="P912" s="171" t="str">
        <x:v>ling and distribution expenses 30  (1,818,028)  (1,748,859)
Net impairment loss on financial assets 23.2 (104,094) (8,990)
Other expenses 31 (96,461) (1,042,803)
Other income 32 3,246,999 2,714,340
Finance cost 33 (6,742,292) (3,571,187)
Profit before taxation   3,162,543 6,019,761
Taxation  34 (6,798,519) (3,047,629)
(Loss)/profit</x:v>
      </x:c>
    </x:row>
    <x:row r="913" ht="82" customHeight="1">
      <x:c r="A913" s="76" t="str">
        <x:v>DGKC|oth_exp|2023</x:v>
      </x:c>
      <x:c r="B913" s="76" t="str">
        <x:v>DGKC</x:v>
      </x:c>
      <x:c r="C913" s="76" t="str">
        <x:v>FY2023</x:v>
      </x:c>
      <x:c r="D913" s="76" t="str">
        <x:v>Other operating expenses (incl. WPPF/WWF)</x:v>
      </x:c>
      <x:c r="E913" s="170" t="n">
        <x:v>-96461</x:v>
      </x:c>
      <x:c r="F913" s="170" t="n">
        <x:v>-96461</x:v>
      </x:c>
      <x:c r="G913" s="170" t="str">
        <x:v>Rs '000</x:v>
      </x:c>
      <x:c r="H913" s="170" t="n">
        <x:f>F913/1000</x:f>
        <x:v>-96.461</x:v>
      </x:c>
      <x:c r="I913" s="170" t="n">
        <x:f>DGKC!F90</x:f>
        <x:v>-96.461</x:v>
      </x:c>
      <x:c r="J913" s="170" t="n">
        <x:f>H913-I913</x:f>
        <x:v>0</x:v>
      </x:c>
      <x:c r="K913" s="76" t="str">
        <x:v>DGAnnual2024.pdf</x:v>
      </x:c>
      <x:c r="L913" s="76" t="n">
        <x:v>153</x:v>
      </x:c>
      <x:c r="M913" s="76" t="str">
        <x:v>Comparative</x:v>
      </x:c>
      <x:c r="N913" s="99" t="str">
        <x:v>Printed amount independently located</x:v>
      </x:c>
      <x:c r="O913" s="99" t="str">
        <x:v>Exact source amount found; audited year/current-comparative column recorded. Accounting subtotal tests performed separately.</x:v>
      </x:c>
      <x:c r="P913" s="99" t="str">
        <x:v>ling and distribution expenses 30 (2,608,537) (1,818,028)
Net impairment loss on financial assets 31  (103,367) (104,094)
Other expenses 32  (5,033)  (96,461)
Other income 33 4,234,797 3,246,999
Finance cost 34  (8,001,105) (6,742,292)
Profit before tax and levy  2,838,910 3,162,543
Levy   35  (520,848) (364,054)
Profit before income ta</x:v>
      </x:c>
    </x:row>
    <x:row r="914" ht="82" customHeight="1">
      <x:c r="A914" s="168" t="str">
        <x:v>DGKC|oth_exp|2024</x:v>
      </x:c>
      <x:c r="B914" s="168" t="str">
        <x:v>DGKC</x:v>
      </x:c>
      <x:c r="C914" s="168" t="str">
        <x:v>FY2024</x:v>
      </x:c>
      <x:c r="D914" s="168" t="str">
        <x:v>Other operating expenses (incl. WPPF/WWF)</x:v>
      </x:c>
      <x:c r="E914" s="169" t="n">
        <x:v>-5033</x:v>
      </x:c>
      <x:c r="F914" s="169" t="n">
        <x:v>-5033</x:v>
      </x:c>
      <x:c r="G914" s="169" t="str">
        <x:v>Rs '000</x:v>
      </x:c>
      <x:c r="H914" s="169" t="n">
        <x:f>F914/1000</x:f>
        <x:v>-5.033</x:v>
      </x:c>
      <x:c r="I914" s="169" t="n">
        <x:f>DGKC!G90</x:f>
        <x:v>-5.033</x:v>
      </x:c>
      <x:c r="J914" s="169" t="n">
        <x:f>H914-I914</x:f>
        <x:v>0</x:v>
      </x:c>
      <x:c r="K914" s="168" t="str">
        <x:v>DGAnnual2025.pdf</x:v>
      </x:c>
      <x:c r="L914" s="168" t="n">
        <x:v>155</x:v>
      </x:c>
      <x:c r="M914" s="168" t="str">
        <x:v>Comparative</x:v>
      </x:c>
      <x:c r="N914" s="171" t="str">
        <x:v>Printed amount independently located</x:v>
      </x:c>
      <x:c r="O914" s="171" t="str">
        <x:v>Exact source amount found; audited year/current-comparative column recorded. Accounting subtotal tests performed separately.</x:v>
      </x:c>
      <x:c r="P914" s="171" t="str">
        <x:v>ling and distribution expenses 30 (3,874,688)  (2,608,537)
Net impairment loss on financial assets 31  (6,899)  (103,367)
Other expenses 32 (725,663) (5,033)
Other income 33 4,271,570 4,234,797
Finance cost 34  (3,870,405) (8,001,105)
Profit before levy and income tax  13,004,612 2,838,910
Levy   35 (577,125) (520,848)
Profit before in</x:v>
      </x:c>
    </x:row>
    <x:row r="915" ht="82" customHeight="1">
      <x:c r="A915" s="76" t="str">
        <x:v>DGKC|oth_exp|2025</x:v>
      </x:c>
      <x:c r="B915" s="76" t="str">
        <x:v>DGKC</x:v>
      </x:c>
      <x:c r="C915" s="76" t="str">
        <x:v>FY2025</x:v>
      </x:c>
      <x:c r="D915" s="76" t="str">
        <x:v>Other operating expenses (incl. WPPF/WWF)</x:v>
      </x:c>
      <x:c r="E915" s="170" t="n">
        <x:v>-725663</x:v>
      </x:c>
      <x:c r="F915" s="170" t="n">
        <x:v>-725663</x:v>
      </x:c>
      <x:c r="G915" s="170" t="str">
        <x:v>Rs '000</x:v>
      </x:c>
      <x:c r="H915" s="170" t="n">
        <x:f>F915/1000</x:f>
        <x:v>-725.663</x:v>
      </x:c>
      <x:c r="I915" s="170" t="n">
        <x:f>DGKC!H90</x:f>
        <x:v>-725.663</x:v>
      </x:c>
      <x:c r="J915" s="170" t="n">
        <x:f>H915-I915</x:f>
        <x:v>0</x:v>
      </x:c>
      <x:c r="K915" s="76" t="str">
        <x:v>DGAnnual2025.pdf</x:v>
      </x:c>
      <x:c r="L915" s="76" t="n">
        <x:v>155</x:v>
      </x:c>
      <x:c r="M915" s="76" t="str">
        <x:v>Current year</x:v>
      </x:c>
      <x:c r="N915" s="99" t="str">
        <x:v>Printed amount independently located</x:v>
      </x:c>
      <x:c r="O915" s="99" t="str">
        <x:v>Exact source amount found; audited year/current-comparative column recorded. Accounting subtotal tests performed separately.</x:v>
      </x:c>
      <x:c r="P915" s="99" t="str">
        <x:v>6,105)
Selling and distribution expenses 30 (3,874,688)  (2,608,537)
Net impairment loss on financial assets 31  (6,899)  (103,367)
Other expenses 32 (725,663) (5,033)
Other income 33 4,271,570 4,234,797
Finance cost 34  (3,870,405) (8,001,105)
Profit before levy and income tax  13,004,612 2,838,910
Levy   35 (577,125) (520,848)
Profit b</x:v>
      </x:c>
    </x:row>
    <x:row r="916" ht="82" customHeight="1">
      <x:c r="A916" s="168" t="str">
        <x:v>DGKC|oth_inc|2021</x:v>
      </x:c>
      <x:c r="B916" s="168" t="str">
        <x:v>DGKC</x:v>
      </x:c>
      <x:c r="C916" s="168" t="str">
        <x:v>FY2021</x:v>
      </x:c>
      <x:c r="D916" s="168" t="str">
        <x:v>Other income</x:v>
      </x:c>
      <x:c r="E916" s="169" t="n">
        <x:v>2526818</x:v>
      </x:c>
      <x:c r="F916" s="169" t="n">
        <x:v>2526818</x:v>
      </x:c>
      <x:c r="G916" s="169" t="str">
        <x:v>Rs '000</x:v>
      </x:c>
      <x:c r="H916" s="169" t="n">
        <x:f>F916/1000</x:f>
        <x:v>2526.818</x:v>
      </x:c>
      <x:c r="I916" s="169" t="n">
        <x:f>DGKC!D92</x:f>
        <x:v>2526.818</x:v>
      </x:c>
      <x:c r="J916" s="169" t="n">
        <x:f>H916-I916</x:f>
        <x:v>0</x:v>
      </x:c>
      <x:c r="K916" s="168" t="str">
        <x:v>DG_Annual_Report_2022.pdf</x:v>
      </x:c>
      <x:c r="L916" s="168" t="n">
        <x:v>127</x:v>
      </x:c>
      <x:c r="M916" s="168" t="str">
        <x:v>Comparative</x:v>
      </x:c>
      <x:c r="N916" s="171" t="str">
        <x:v>Printed amount independently located</x:v>
      </x:c>
      <x:c r="O916" s="171" t="str">
        <x:v>Exact source amount found; audited year/current-comparative column recorded. Accounting subtotal tests performed separately.</x:v>
      </x:c>
      <x:c r="P916" s="171" t="str">
        <x:v>9) (1,950,056)
Net impairment (loss)/gain on financial assets 23.2 (8,990) 104,703
Other expenses 32  (1,042,803) (414,315)
Other income 33 2,714,340 2,526,818
Finance cost 34 (3,571,187) (2,920,875)
Profit before taxation  6,019,761 4,771,405
Taxation  35  (3,047,629) (1,050,132)
Profit for the year   2,972,132 3,721,273
Earnings</x:v>
      </x:c>
    </x:row>
    <x:row r="917" ht="82" customHeight="1">
      <x:c r="A917" s="76" t="str">
        <x:v>DGKC|oth_inc|2022</x:v>
      </x:c>
      <x:c r="B917" s="76" t="str">
        <x:v>DGKC</x:v>
      </x:c>
      <x:c r="C917" s="76" t="str">
        <x:v>FY2022</x:v>
      </x:c>
      <x:c r="D917" s="76" t="str">
        <x:v>Other income</x:v>
      </x:c>
      <x:c r="E917" s="170" t="n">
        <x:v>2714340</x:v>
      </x:c>
      <x:c r="F917" s="170" t="n">
        <x:v>2714340</x:v>
      </x:c>
      <x:c r="G917" s="170" t="str">
        <x:v>Rs '000</x:v>
      </x:c>
      <x:c r="H917" s="170" t="n">
        <x:f>F917/1000</x:f>
        <x:v>2714.34</x:v>
      </x:c>
      <x:c r="I917" s="170" t="n">
        <x:f>DGKC!E92</x:f>
        <x:v>2714.34</x:v>
      </x:c>
      <x:c r="J917" s="170" t="n">
        <x:f>H917-I917</x:f>
        <x:v>0</x:v>
      </x:c>
      <x:c r="K917" s="76" t="str">
        <x:v>DGAnnual2023.pdf</x:v>
      </x:c>
      <x:c r="L917" s="76" t="n">
        <x:v>153</x:v>
      </x:c>
      <x:c r="M917" s="76" t="str">
        <x:v>Comparative</x:v>
      </x:c>
      <x:c r="N917" s="99" t="str">
        <x:v>Printed amount independently located</x:v>
      </x:c>
      <x:c r="O917" s="99" t="str">
        <x:v>Exact source amount found; audited year/current-comparative column recorded. Accounting subtotal tests performed separately.</x:v>
      </x:c>
      <x:c r="P917" s="99" t="str">
        <x:v>818,028)  (1,748,859)
Net impairment loss on financial assets 23.2 (104,094) (8,990)
Other expenses 31 (96,461) (1,042,803)
Other income 32 3,246,999 2,714,340
Finance cost 33 (6,742,292) (3,571,187)
Profit before taxation   3,162,543 6,019,761
Taxation  34 (6,798,519) (3,047,629)
(Loss)/profit for the year    (3,635,976) 2,972,13</x:v>
      </x:c>
    </x:row>
    <x:row r="918" ht="82" customHeight="1">
      <x:c r="A918" s="168" t="str">
        <x:v>DGKC|oth_inc|2023</x:v>
      </x:c>
      <x:c r="B918" s="168" t="str">
        <x:v>DGKC</x:v>
      </x:c>
      <x:c r="C918" s="168" t="str">
        <x:v>FY2023</x:v>
      </x:c>
      <x:c r="D918" s="168" t="str">
        <x:v>Other income</x:v>
      </x:c>
      <x:c r="E918" s="169" t="n">
        <x:v>3246999</x:v>
      </x:c>
      <x:c r="F918" s="169" t="n">
        <x:v>3246999</x:v>
      </x:c>
      <x:c r="G918" s="169" t="str">
        <x:v>Rs '000</x:v>
      </x:c>
      <x:c r="H918" s="169" t="n">
        <x:f>F918/1000</x:f>
        <x:v>3246.999</x:v>
      </x:c>
      <x:c r="I918" s="169" t="n">
        <x:f>DGKC!F92</x:f>
        <x:v>3246.999</x:v>
      </x:c>
      <x:c r="J918" s="169" t="n">
        <x:f>H918-I918</x:f>
        <x:v>0</x:v>
      </x:c>
      <x:c r="K918" s="168" t="str">
        <x:v>DGAnnual2024.pdf</x:v>
      </x:c>
      <x:c r="L918" s="168" t="n">
        <x:v>153</x:v>
      </x:c>
      <x:c r="M918" s="168" t="str">
        <x:v>Comparative</x:v>
      </x:c>
      <x:c r="N918" s="171" t="str">
        <x:v>Printed amount independently located</x:v>
      </x:c>
      <x:c r="O918" s="171" t="str">
        <x:v>Exact source amount found; audited year/current-comparative column recorded. Accounting subtotal tests performed separately.</x:v>
      </x:c>
      <x:c r="P918" s="171" t="str">
        <x:v>2,608,537) (1,818,028)
Net impairment loss on financial assets 31  (103,367) (104,094)
Other expenses 32  (5,033)  (96,461)
Other income 33 4,234,797 3,246,999
Finance cost 34  (8,001,105) (6,742,292)
Profit before tax and levy  2,838,910 3,162,543
Levy   35  (520,848) (364,054)
Profit before income tax  2,318,062 2,798,489
Taxation  36</x:v>
      </x:c>
    </x:row>
    <x:row r="919" ht="82" customHeight="1">
      <x:c r="A919" s="76" t="str">
        <x:v>DGKC|oth_inc|2024</x:v>
      </x:c>
      <x:c r="B919" s="76" t="str">
        <x:v>DGKC</x:v>
      </x:c>
      <x:c r="C919" s="76" t="str">
        <x:v>FY2024</x:v>
      </x:c>
      <x:c r="D919" s="76" t="str">
        <x:v>Other income</x:v>
      </x:c>
      <x:c r="E919" s="170" t="n">
        <x:v>4234797</x:v>
      </x:c>
      <x:c r="F919" s="170" t="n">
        <x:v>4234797</x:v>
      </x:c>
      <x:c r="G919" s="170" t="str">
        <x:v>Rs '000</x:v>
      </x:c>
      <x:c r="H919" s="170" t="n">
        <x:f>F919/1000</x:f>
        <x:v>4234.797</x:v>
      </x:c>
      <x:c r="I919" s="170" t="n">
        <x:f>DGKC!G92</x:f>
        <x:v>4234.797</x:v>
      </x:c>
      <x:c r="J919" s="170" t="n">
        <x:f>H919-I919</x:f>
        <x:v>0</x:v>
      </x:c>
      <x:c r="K919" s="76" t="str">
        <x:v>DGAnnual2025.pdf</x:v>
      </x:c>
      <x:c r="L919" s="76" t="n">
        <x:v>155</x:v>
      </x:c>
      <x:c r="M919" s="76" t="str">
        <x:v>Comparative</x:v>
      </x:c>
      <x:c r="N919" s="99" t="str">
        <x:v>Printed amount independently located</x:v>
      </x:c>
      <x:c r="O919" s="99" t="str">
        <x:v>Exact source amount found; audited year/current-comparative column recorded. Accounting subtotal tests performed separately.</x:v>
      </x:c>
      <x:c r="P919" s="99" t="str">
        <x:v>(3,874,688)  (2,608,537)
Net impairment loss on financial assets 31  (6,899)  (103,367)
Other expenses 32 (725,663) (5,033)
Other income 33 4,271,570 4,234,797
Finance cost 34  (3,870,405) (8,001,105)
Profit before levy and income tax  13,004,612 2,838,910
Levy   35 (577,125) (520,848)
Profit before income tax  12,427,487 2,318,062
Incom</x:v>
      </x:c>
    </x:row>
    <x:row r="920" ht="82" customHeight="1">
      <x:c r="A920" s="168" t="str">
        <x:v>DGKC|oth_inc|2025</x:v>
      </x:c>
      <x:c r="B920" s="168" t="str">
        <x:v>DGKC</x:v>
      </x:c>
      <x:c r="C920" s="168" t="str">
        <x:v>FY2025</x:v>
      </x:c>
      <x:c r="D920" s="168" t="str">
        <x:v>Other income</x:v>
      </x:c>
      <x:c r="E920" s="169" t="n">
        <x:v>4271570</x:v>
      </x:c>
      <x:c r="F920" s="169" t="n">
        <x:v>4271570</x:v>
      </x:c>
      <x:c r="G920" s="169" t="str">
        <x:v>Rs '000</x:v>
      </x:c>
      <x:c r="H920" s="169" t="n">
        <x:f>F920/1000</x:f>
        <x:v>4271.57</x:v>
      </x:c>
      <x:c r="I920" s="169" t="n">
        <x:f>DGKC!H92</x:f>
        <x:v>4271.57</x:v>
      </x:c>
      <x:c r="J920" s="169" t="n">
        <x:f>H920-I920</x:f>
        <x:v>0</x:v>
      </x:c>
      <x:c r="K920" s="168" t="str">
        <x:v>DGAnnual2025.pdf</x:v>
      </x:c>
      <x:c r="L920" s="168" t="n">
        <x:v>155</x:v>
      </x:c>
      <x:c r="M920" s="168" t="str">
        <x:v>Current year</x:v>
      </x:c>
      <x:c r="N920" s="171" t="str">
        <x:v>Printed amount independently located</x:v>
      </x:c>
      <x:c r="O920" s="171" t="str">
        <x:v>Exact source amount found; audited year/current-comparative column recorded. Accounting subtotal tests performed separately.</x:v>
      </x:c>
      <x:c r="P920" s="171" t="str">
        <x:v>penses 30 (3,874,688)  (2,608,537)
Net impairment loss on financial assets 31  (6,899)  (103,367)
Other expenses 32 (725,663) (5,033)
Other income 33 4,271,570 4,234,797
Finance cost 34  (3,870,405) (8,001,105)
Profit before levy and income tax  13,004,612 2,838,910
Levy   35 (577,125) (520,848)
Profit before income tax  12,427,487 2,318</x:v>
      </x:c>
    </x:row>
    <x:row r="921" ht="82" customHeight="1">
      <x:c r="A921" s="76" t="str">
        <x:v>DGKC|fin_inc|2021</x:v>
      </x:c>
      <x:c r="B921" s="76" t="str">
        <x:v>DGKC</x:v>
      </x:c>
      <x:c r="C921" s="76" t="str">
        <x:v>FY2021</x:v>
      </x:c>
      <x:c r="D921" s="76" t="str">
        <x:v>Finance income (where presented separately)</x:v>
      </x:c>
      <x:c r="E921" s="170" t="n">
        <x:v>0</x:v>
      </x:c>
      <x:c r="F921" s="170" t="n">
        <x:v>0</x:v>
      </x:c>
      <x:c r="G921" s="170" t="str">
        <x:v>Rs '000</x:v>
      </x:c>
      <x:c r="H921" s="170" t="n">
        <x:f>F921/1000</x:f>
        <x:v>0</x:v>
      </x:c>
      <x:c r="I921" s="170" t="n">
        <x:f>DGKC!D93</x:f>
        <x:v>0</x:v>
      </x:c>
      <x:c r="J921" s="170" t="n">
        <x:f>H921-I921</x:f>
        <x:v>0</x:v>
      </x:c>
      <x:c r="K921" s="76" t="str">
        <x:v>DG_Annual_Report_2022.pdf</x:v>
      </x:c>
      <x:c r="L921" s="76" t="n">
        <x:v>127</x:v>
      </x:c>
      <x:c r="M921" s="76" t="str">
        <x:v>Comparative</x:v>
      </x:c>
      <x:c r="N921" s="99" t="str">
        <x:v>Zero / no separate line in audited presentation</x:v>
      </x:c>
      <x:c r="O921" s="99" t="str">
        <x:v>Zero classification checked within the audited statement/note and reconstructed statement totals; absence of a separate line does not imply a missing replacement estimate.</x:v>
      </x:c>
      <x:c r="P921" s="99" t="str">
        <x:v>
   2022 2021
  Note (Rupees in thousand)
Revenue  28 58,043,863 45,107,690
Cost of sales 29 (47,615,551)  (37,035,798)
Gross profit  10,428,312 8,071 | Finance income (where presented separately)</x:v>
      </x:c>
    </x:row>
    <x:row r="922" ht="82" customHeight="1">
      <x:c r="A922" s="168" t="str">
        <x:v>DGKC|fin_inc|2022</x:v>
      </x:c>
      <x:c r="B922" s="168" t="str">
        <x:v>DGKC</x:v>
      </x:c>
      <x:c r="C922" s="168" t="str">
        <x:v>FY2022</x:v>
      </x:c>
      <x:c r="D922" s="168" t="str">
        <x:v>Finance income (where presented separately)</x:v>
      </x:c>
      <x:c r="E922" s="169" t="n">
        <x:v>0</x:v>
      </x:c>
      <x:c r="F922" s="169" t="n">
        <x:v>0</x:v>
      </x:c>
      <x:c r="G922" s="169" t="str">
        <x:v>Rs '000</x:v>
      </x:c>
      <x:c r="H922" s="169" t="n">
        <x:f>F922/1000</x:f>
        <x:v>0</x:v>
      </x:c>
      <x:c r="I922" s="169" t="n">
        <x:f>DGKC!E93</x:f>
        <x:v>0</x:v>
      </x:c>
      <x:c r="J922" s="169" t="n">
        <x:f>H922-I922</x:f>
        <x:v>0</x:v>
      </x:c>
      <x:c r="K922" s="168" t="str">
        <x:v>DGAnnual2023.pdf</x:v>
      </x:c>
      <x:c r="L922" s="168" t="n">
        <x:v>153</x:v>
      </x:c>
      <x:c r="M922" s="168" t="str">
        <x:v>Comparative</x:v>
      </x:c>
      <x:c r="N922" s="171" t="str">
        <x:v>Zero / no separate line in audited presentation</x:v>
      </x:c>
      <x:c r="O922" s="171" t="str">
        <x:v>Zero classification checked within the audited statement/note and reconstructed statement totals; absence of a separate line does not imply a missing replacement estimate.</x:v>
      </x:c>
      <x:c r="P922" s="171" t="str">
        <x:v>
   2023 2022
  Note (Rupees in thousand)
Revenue  27 64,983,821 58,043,863
Cost of sales 28 (55,428,046) (47,615,551)
Gross profit   9,555,775 10,4 | Finance income (where presented separately)</x:v>
      </x:c>
    </x:row>
    <x:row r="923" ht="82" customHeight="1">
      <x:c r="A923" s="76" t="str">
        <x:v>DGKC|fin_inc|2023</x:v>
      </x:c>
      <x:c r="B923" s="76" t="str">
        <x:v>DGKC</x:v>
      </x:c>
      <x:c r="C923" s="76" t="str">
        <x:v>FY2023</x:v>
      </x:c>
      <x:c r="D923" s="76" t="str">
        <x:v>Finance income (where presented separately)</x:v>
      </x:c>
      <x:c r="E923" s="170" t="n">
        <x:v>0</x:v>
      </x:c>
      <x:c r="F923" s="170" t="n">
        <x:v>0</x:v>
      </x:c>
      <x:c r="G923" s="170" t="str">
        <x:v>Rs '000</x:v>
      </x:c>
      <x:c r="H923" s="170" t="n">
        <x:f>F923/1000</x:f>
        <x:v>0</x:v>
      </x:c>
      <x:c r="I923" s="170" t="n">
        <x:f>DGKC!F93</x:f>
        <x:v>0</x:v>
      </x:c>
      <x:c r="J923" s="170" t="n">
        <x:f>H923-I923</x:f>
        <x:v>0</x:v>
      </x:c>
      <x:c r="K923" s="76" t="str">
        <x:v>DGAnnual2024.pdf</x:v>
      </x:c>
      <x:c r="L923" s="76" t="n">
        <x:v>153</x:v>
      </x:c>
      <x:c r="M923" s="76" t="str">
        <x:v>Comparative</x:v>
      </x:c>
      <x:c r="N923" s="99" t="str">
        <x:v>Zero / no separate line in audited presentation</x:v>
      </x:c>
      <x:c r="O923" s="99" t="str">
        <x:v>Zero classification checked within the audited statement/note and reconstructed statement totals; absence of a separate line does not imply a missing replacement estimate.</x:v>
      </x:c>
      <x:c r="P923" s="99" t="str">
        <x:v>
152
DGKC Annual Report 2024
   2024 2023
  Note (Rupees in thousand)
      (Re-stated)
Revenue  27 66,038,689 64,983,821
Cost of sales 28 (55,510,429 | Finance income (where presented separately)</x:v>
      </x:c>
    </x:row>
    <x:row r="924" ht="82" customHeight="1">
      <x:c r="A924" s="168" t="str">
        <x:v>DGKC|fin_inc|2024</x:v>
      </x:c>
      <x:c r="B924" s="168" t="str">
        <x:v>DGKC</x:v>
      </x:c>
      <x:c r="C924" s="168" t="str">
        <x:v>FY2024</x:v>
      </x:c>
      <x:c r="D924" s="168" t="str">
        <x:v>Finance income (where presented separately)</x:v>
      </x:c>
      <x:c r="E924" s="169" t="n">
        <x:v>0</x:v>
      </x:c>
      <x:c r="F924" s="169" t="n">
        <x:v>0</x:v>
      </x:c>
      <x:c r="G924" s="169" t="str">
        <x:v>Rs '000</x:v>
      </x:c>
      <x:c r="H924" s="169" t="n">
        <x:f>F924/1000</x:f>
        <x:v>0</x:v>
      </x:c>
      <x:c r="I924" s="169" t="n">
        <x:f>DGKC!G93</x:f>
        <x:v>0</x:v>
      </x:c>
      <x:c r="J924" s="169" t="n">
        <x:f>H924-I924</x:f>
        <x:v>0</x:v>
      </x:c>
      <x:c r="K924" s="168" t="str">
        <x:v>DGAnnual2025.pdf</x:v>
      </x:c>
      <x:c r="L924" s="168" t="n">
        <x:v>155</x:v>
      </x:c>
      <x:c r="M924" s="168" t="str">
        <x:v>Comparative</x:v>
      </x:c>
      <x:c r="N924" s="171" t="str">
        <x:v>Zero / no separate line in audited presentation</x:v>
      </x:c>
      <x:c r="O924" s="171" t="str">
        <x:v>Zero classification checked within the audited statement/note and reconstructed statement totals; absence of a separate line does not imply a missing replacement estimate.</x:v>
      </x:c>
      <x:c r="P924" s="171" t="str">
        <x:v>
   2025 2024
  Note (Rupees in thousand)
Revenue from contracts with customers - net 27 71,892,837 66,038,689
Cost of sales 28 (53,387,166) (55,510,4 | Finance income (where presented separately)</x:v>
      </x:c>
    </x:row>
    <x:row r="925" ht="82" customHeight="1">
      <x:c r="A925" s="76" t="str">
        <x:v>DGKC|fin_inc|2025</x:v>
      </x:c>
      <x:c r="B925" s="76" t="str">
        <x:v>DGKC</x:v>
      </x:c>
      <x:c r="C925" s="76" t="str">
        <x:v>FY2025</x:v>
      </x:c>
      <x:c r="D925" s="76" t="str">
        <x:v>Finance income (where presented separately)</x:v>
      </x:c>
      <x:c r="E925" s="170" t="n">
        <x:v>0</x:v>
      </x:c>
      <x:c r="F925" s="170" t="n">
        <x:v>0</x:v>
      </x:c>
      <x:c r="G925" s="170" t="str">
        <x:v>Rs '000</x:v>
      </x:c>
      <x:c r="H925" s="170" t="n">
        <x:f>F925/1000</x:f>
        <x:v>0</x:v>
      </x:c>
      <x:c r="I925" s="170" t="n">
        <x:f>DGKC!H93</x:f>
        <x:v>0</x:v>
      </x:c>
      <x:c r="J925" s="170" t="n">
        <x:f>H925-I925</x:f>
        <x:v>0</x:v>
      </x:c>
      <x:c r="K925" s="76" t="str">
        <x:v>DGAnnual2025.pdf</x:v>
      </x:c>
      <x:c r="L925" s="76" t="n">
        <x:v>155</x:v>
      </x:c>
      <x:c r="M925" s="76" t="str">
        <x:v>Current year</x:v>
      </x:c>
      <x:c r="N925" s="99" t="str">
        <x:v>Zero / no separate line in audited presentation</x:v>
      </x:c>
      <x:c r="O925" s="99" t="str">
        <x:v>Zero classification checked within the audited statement/note and reconstructed statement totals; absence of a separate line does not imply a missing replacement estimate.</x:v>
      </x:c>
      <x:c r="P925" s="99" t="str">
        <x:v>
   2025 2024
  Note (Rupees in thousand)
Revenue from contracts with customers - net 27 71,892,837 66,038,689
Cost of sales 28 (53,387,166) (55,510,4 | Finance income (where presented separately)</x:v>
      </x:c>
    </x:row>
    <x:row r="926" ht="82" customHeight="1">
      <x:c r="A926" s="168" t="str">
        <x:v>DGKC|assoc|2021</x:v>
      </x:c>
      <x:c r="B926" s="168" t="str">
        <x:v>DGKC</x:v>
      </x:c>
      <x:c r="C926" s="168" t="str">
        <x:v>FY2021</x:v>
      </x:c>
      <x:c r="D926" s="168" t="str">
        <x:v>Share of profit of associate</x:v>
      </x:c>
      <x:c r="E926" s="169" t="n">
        <x:v>0</x:v>
      </x:c>
      <x:c r="F926" s="169" t="n">
        <x:v>0</x:v>
      </x:c>
      <x:c r="G926" s="169" t="str">
        <x:v>Rs '000</x:v>
      </x:c>
      <x:c r="H926" s="169" t="n">
        <x:f>F926/1000</x:f>
        <x:v>0</x:v>
      </x:c>
      <x:c r="I926" s="169" t="n">
        <x:f>DGKC!D94</x:f>
        <x:v>0</x:v>
      </x:c>
      <x:c r="J926" s="169" t="n">
        <x:f>H926-I926</x:f>
        <x:v>0</x:v>
      </x:c>
      <x:c r="K926" s="168" t="str">
        <x:v>DG_Annual_Report_2022.pdf</x:v>
      </x:c>
      <x:c r="L926" s="168" t="n">
        <x:v>127</x:v>
      </x:c>
      <x:c r="M926" s="168" t="str">
        <x:v>Comparative</x:v>
      </x:c>
      <x:c r="N926" s="171" t="str">
        <x:v>Zero / no separate line in audited presentation</x:v>
      </x:c>
      <x:c r="O926" s="171" t="str">
        <x:v>Zero classification checked within the audited statement/note and reconstructed statement totals; absence of a separate line does not imply a missing replacement estimate.</x:v>
      </x:c>
      <x:c r="P926" s="171" t="str">
        <x:v>
   2022 2021
  Note (Rupees in thousand)
Revenue  28 58,043,863 45,107,690
Cost of sales 29 (47,615,551)  (37,035,798)
Gross profit  10,428,312 8,071 | Share of profit of associate</x:v>
      </x:c>
    </x:row>
    <x:row r="927" ht="82" customHeight="1">
      <x:c r="A927" s="76" t="str">
        <x:v>DGKC|assoc|2022</x:v>
      </x:c>
      <x:c r="B927" s="76" t="str">
        <x:v>DGKC</x:v>
      </x:c>
      <x:c r="C927" s="76" t="str">
        <x:v>FY2022</x:v>
      </x:c>
      <x:c r="D927" s="76" t="str">
        <x:v>Share of profit of associate</x:v>
      </x:c>
      <x:c r="E927" s="170" t="n">
        <x:v>0</x:v>
      </x:c>
      <x:c r="F927" s="170" t="n">
        <x:v>0</x:v>
      </x:c>
      <x:c r="G927" s="170" t="str">
        <x:v>Rs '000</x:v>
      </x:c>
      <x:c r="H927" s="170" t="n">
        <x:f>F927/1000</x:f>
        <x:v>0</x:v>
      </x:c>
      <x:c r="I927" s="170" t="n">
        <x:f>DGKC!E94</x:f>
        <x:v>0</x:v>
      </x:c>
      <x:c r="J927" s="170" t="n">
        <x:f>H927-I927</x:f>
        <x:v>0</x:v>
      </x:c>
      <x:c r="K927" s="76" t="str">
        <x:v>DGAnnual2023.pdf</x:v>
      </x:c>
      <x:c r="L927" s="76" t="n">
        <x:v>153</x:v>
      </x:c>
      <x:c r="M927" s="76" t="str">
        <x:v>Comparative</x:v>
      </x:c>
      <x:c r="N927" s="99" t="str">
        <x:v>Zero / no separate line in audited presentation</x:v>
      </x:c>
      <x:c r="O927" s="99" t="str">
        <x:v>Zero classification checked within the audited statement/note and reconstructed statement totals; absence of a separate line does not imply a missing replacement estimate.</x:v>
      </x:c>
      <x:c r="P927" s="99" t="str">
        <x:v>
   2023 2022
  Note (Rupees in thousand)
Revenue  27 64,983,821 58,043,863
Cost of sales 28 (55,428,046) (47,615,551)
Gross profit   9,555,775 10,4 | Share of profit of associate</x:v>
      </x:c>
    </x:row>
    <x:row r="928" ht="82" customHeight="1">
      <x:c r="A928" s="168" t="str">
        <x:v>DGKC|assoc|2023</x:v>
      </x:c>
      <x:c r="B928" s="168" t="str">
        <x:v>DGKC</x:v>
      </x:c>
      <x:c r="C928" s="168" t="str">
        <x:v>FY2023</x:v>
      </x:c>
      <x:c r="D928" s="168" t="str">
        <x:v>Share of profit of associate</x:v>
      </x:c>
      <x:c r="E928" s="169" t="n">
        <x:v>0</x:v>
      </x:c>
      <x:c r="F928" s="169" t="n">
        <x:v>0</x:v>
      </x:c>
      <x:c r="G928" s="169" t="str">
        <x:v>Rs '000</x:v>
      </x:c>
      <x:c r="H928" s="169" t="n">
        <x:f>F928/1000</x:f>
        <x:v>0</x:v>
      </x:c>
      <x:c r="I928" s="169" t="n">
        <x:f>DGKC!F94</x:f>
        <x:v>0</x:v>
      </x:c>
      <x:c r="J928" s="169" t="n">
        <x:f>H928-I928</x:f>
        <x:v>0</x:v>
      </x:c>
      <x:c r="K928" s="168" t="str">
        <x:v>DGAnnual2024.pdf</x:v>
      </x:c>
      <x:c r="L928" s="168" t="n">
        <x:v>153</x:v>
      </x:c>
      <x:c r="M928" s="168" t="str">
        <x:v>Comparative</x:v>
      </x:c>
      <x:c r="N928" s="171" t="str">
        <x:v>Zero / no separate line in audited presentation</x:v>
      </x:c>
      <x:c r="O928" s="171" t="str">
        <x:v>Zero classification checked within the audited statement/note and reconstructed statement totals; absence of a separate line does not imply a missing replacement estimate.</x:v>
      </x:c>
      <x:c r="P928" s="171" t="str">
        <x:v>
152
DGKC Annual Report 2024
   2024 2023
  Note (Rupees in thousand)
      (Re-stated)
Revenue  27 66,038,689 64,983,821
Cost of sales 28 (55,510,429 | Share of profit of associate</x:v>
      </x:c>
    </x:row>
    <x:row r="929" ht="82" customHeight="1">
      <x:c r="A929" s="76" t="str">
        <x:v>DGKC|assoc|2024</x:v>
      </x:c>
      <x:c r="B929" s="76" t="str">
        <x:v>DGKC</x:v>
      </x:c>
      <x:c r="C929" s="76" t="str">
        <x:v>FY2024</x:v>
      </x:c>
      <x:c r="D929" s="76" t="str">
        <x:v>Share of profit of associate</x:v>
      </x:c>
      <x:c r="E929" s="170" t="n">
        <x:v>0</x:v>
      </x:c>
      <x:c r="F929" s="170" t="n">
        <x:v>0</x:v>
      </x:c>
      <x:c r="G929" s="170" t="str">
        <x:v>Rs '000</x:v>
      </x:c>
      <x:c r="H929" s="170" t="n">
        <x:f>F929/1000</x:f>
        <x:v>0</x:v>
      </x:c>
      <x:c r="I929" s="170" t="n">
        <x:f>DGKC!G94</x:f>
        <x:v>0</x:v>
      </x:c>
      <x:c r="J929" s="170" t="n">
        <x:f>H929-I929</x:f>
        <x:v>0</x:v>
      </x:c>
      <x:c r="K929" s="76" t="str">
        <x:v>DGAnnual2025.pdf</x:v>
      </x:c>
      <x:c r="L929" s="76" t="n">
        <x:v>155</x:v>
      </x:c>
      <x:c r="M929" s="76" t="str">
        <x:v>Comparative</x:v>
      </x:c>
      <x:c r="N929" s="99" t="str">
        <x:v>Zero / no separate line in audited presentation</x:v>
      </x:c>
      <x:c r="O929" s="99" t="str">
        <x:v>Zero classification checked within the audited statement/note and reconstructed statement totals; absence of a separate line does not imply a missing replacement estimate.</x:v>
      </x:c>
      <x:c r="P929" s="99" t="str">
        <x:v>
   2025 2024
  Note (Rupees in thousand)
Revenue from contracts with customers - net 27 71,892,837 66,038,689
Cost of sales 28 (53,387,166) (55,510,4 | Share of profit of associate</x:v>
      </x:c>
    </x:row>
    <x:row r="930" ht="82" customHeight="1">
      <x:c r="A930" s="168" t="str">
        <x:v>DGKC|assoc|2025</x:v>
      </x:c>
      <x:c r="B930" s="168" t="str">
        <x:v>DGKC</x:v>
      </x:c>
      <x:c r="C930" s="168" t="str">
        <x:v>FY2025</x:v>
      </x:c>
      <x:c r="D930" s="168" t="str">
        <x:v>Share of profit of associate</x:v>
      </x:c>
      <x:c r="E930" s="169" t="n">
        <x:v>0</x:v>
      </x:c>
      <x:c r="F930" s="169" t="n">
        <x:v>0</x:v>
      </x:c>
      <x:c r="G930" s="169" t="str">
        <x:v>Rs '000</x:v>
      </x:c>
      <x:c r="H930" s="169" t="n">
        <x:f>F930/1000</x:f>
        <x:v>0</x:v>
      </x:c>
      <x:c r="I930" s="169" t="n">
        <x:f>DGKC!H94</x:f>
        <x:v>0</x:v>
      </x:c>
      <x:c r="J930" s="169" t="n">
        <x:f>H930-I930</x:f>
        <x:v>0</x:v>
      </x:c>
      <x:c r="K930" s="168" t="str">
        <x:v>DGAnnual2025.pdf</x:v>
      </x:c>
      <x:c r="L930" s="168" t="n">
        <x:v>155</x:v>
      </x:c>
      <x:c r="M930" s="168" t="str">
        <x:v>Current year</x:v>
      </x:c>
      <x:c r="N930" s="171" t="str">
        <x:v>Zero / no separate line in audited presentation</x:v>
      </x:c>
      <x:c r="O930" s="171" t="str">
        <x:v>Zero classification checked within the audited statement/note and reconstructed statement totals; absence of a separate line does not imply a missing replacement estimate.</x:v>
      </x:c>
      <x:c r="P930" s="171" t="str">
        <x:v>
   2025 2024
  Note (Rupees in thousand)
Revenue from contracts with customers - net 27 71,892,837 66,038,689
Cost of sales 28 (53,387,166) (55,510,4 | Share of profit of associate</x:v>
      </x:c>
    </x:row>
    <x:row r="931" ht="82" customHeight="1">
      <x:c r="A931" s="76" t="str">
        <x:v>DGKC|fin_cost|2021</x:v>
      </x:c>
      <x:c r="B931" s="76" t="str">
        <x:v>DGKC</x:v>
      </x:c>
      <x:c r="C931" s="76" t="str">
        <x:v>FY2021</x:v>
      </x:c>
      <x:c r="D931" s="76" t="str">
        <x:v>Finance cost</x:v>
      </x:c>
      <x:c r="E931" s="170" t="n">
        <x:v>-2920875</x:v>
      </x:c>
      <x:c r="F931" s="170" t="n">
        <x:v>-2920875</x:v>
      </x:c>
      <x:c r="G931" s="170" t="str">
        <x:v>Rs '000</x:v>
      </x:c>
      <x:c r="H931" s="170" t="n">
        <x:f>F931/1000</x:f>
        <x:v>-2920.875</x:v>
      </x:c>
      <x:c r="I931" s="170" t="n">
        <x:f>DGKC!D95</x:f>
        <x:v>-2920.875</x:v>
      </x:c>
      <x:c r="J931" s="170" t="n">
        <x:f>H931-I931</x:f>
        <x:v>0</x:v>
      </x:c>
      <x:c r="K931" s="76" t="str">
        <x:v>DG_Annual_Report_2022.pdf</x:v>
      </x:c>
      <x:c r="L931" s="76" t="n">
        <x:v>127</x:v>
      </x:c>
      <x:c r="M931" s="76" t="str">
        <x:v>Comparative</x:v>
      </x:c>
      <x:c r="N931" s="99" t="str">
        <x:v>Printed amount independently located</x:v>
      </x:c>
      <x:c r="O931" s="99" t="str">
        <x:v>Exact source amount found; audited year/current-comparative column recorded. Accounting subtotal tests performed separately.</x:v>
      </x:c>
      <x:c r="P931" s="99" t="str">
        <x:v>ain on financial assets 23.2 (8,990) 104,703
Other expenses 32  (1,042,803) (414,315)
Other income 33 2,714,340 2,526,818
Finance cost 34 (3,571,187) (2,920,875)
Profit before taxation  6,019,761 4,771,405
Taxation  35  (3,047,629) (1,050,132)
Profit for the year   2,972,132 3,721,273
Earnings/(loss) per share - basic and diluted</x:v>
      </x:c>
    </x:row>
    <x:row r="932" ht="82" customHeight="1">
      <x:c r="A932" s="168" t="str">
        <x:v>DGKC|fin_cost|2022</x:v>
      </x:c>
      <x:c r="B932" s="168" t="str">
        <x:v>DGKC</x:v>
      </x:c>
      <x:c r="C932" s="168" t="str">
        <x:v>FY2022</x:v>
      </x:c>
      <x:c r="D932" s="168" t="str">
        <x:v>Finance cost</x:v>
      </x:c>
      <x:c r="E932" s="169" t="n">
        <x:v>-3571187</x:v>
      </x:c>
      <x:c r="F932" s="169" t="n">
        <x:v>-3571187</x:v>
      </x:c>
      <x:c r="G932" s="169" t="str">
        <x:v>Rs '000</x:v>
      </x:c>
      <x:c r="H932" s="169" t="n">
        <x:f>F932/1000</x:f>
        <x:v>-3571.187</x:v>
      </x:c>
      <x:c r="I932" s="169" t="n">
        <x:f>DGKC!E95</x:f>
        <x:v>-3571.187</x:v>
      </x:c>
      <x:c r="J932" s="169" t="n">
        <x:f>H932-I932</x:f>
        <x:v>0</x:v>
      </x:c>
      <x:c r="K932" s="168" t="str">
        <x:v>DGAnnual2023.pdf</x:v>
      </x:c>
      <x:c r="L932" s="168" t="n">
        <x:v>153</x:v>
      </x:c>
      <x:c r="M932" s="168" t="str">
        <x:v>Comparative</x:v>
      </x:c>
      <x:c r="N932" s="171" t="str">
        <x:v>Printed amount independently located</x:v>
      </x:c>
      <x:c r="O932" s="171" t="str">
        <x:v>Exact source amount found; audited year/current-comparative column recorded. Accounting subtotal tests performed separately.</x:v>
      </x:c>
      <x:c r="P932" s="171" t="str">
        <x:v>oss on financial assets 23.2 (104,094) (8,990)
Other expenses 31 (96,461) (1,042,803)
Other income 32 3,246,999 2,714,340
Finance cost 33 (6,742,292) (3,571,187)
Profit before taxation   3,162,543 6,019,761
Taxation  34 (6,798,519) (3,047,629)
(Loss)/profit for the year    (3,635,976) 2,972,132
(Loss)/earnings per share - basic and</x:v>
      </x:c>
    </x:row>
    <x:row r="933" ht="82" customHeight="1">
      <x:c r="A933" s="76" t="str">
        <x:v>DGKC|fin_cost|2023</x:v>
      </x:c>
      <x:c r="B933" s="76" t="str">
        <x:v>DGKC</x:v>
      </x:c>
      <x:c r="C933" s="76" t="str">
        <x:v>FY2023</x:v>
      </x:c>
      <x:c r="D933" s="76" t="str">
        <x:v>Finance cost</x:v>
      </x:c>
      <x:c r="E933" s="170" t="n">
        <x:v>-6742292</x:v>
      </x:c>
      <x:c r="F933" s="170" t="n">
        <x:v>-6742292</x:v>
      </x:c>
      <x:c r="G933" s="170" t="str">
        <x:v>Rs '000</x:v>
      </x:c>
      <x:c r="H933" s="170" t="n">
        <x:f>F933/1000</x:f>
        <x:v>-6742.292</x:v>
      </x:c>
      <x:c r="I933" s="170" t="n">
        <x:f>DGKC!F95</x:f>
        <x:v>-6742.292</x:v>
      </x:c>
      <x:c r="J933" s="170" t="n">
        <x:f>H933-I933</x:f>
        <x:v>0</x:v>
      </x:c>
      <x:c r="K933" s="76" t="str">
        <x:v>DGAnnual2024.pdf</x:v>
      </x:c>
      <x:c r="L933" s="76" t="n">
        <x:v>153</x:v>
      </x:c>
      <x:c r="M933" s="76" t="str">
        <x:v>Comparative</x:v>
      </x:c>
      <x:c r="N933" s="99" t="str">
        <x:v>Printed amount independently located</x:v>
      </x:c>
      <x:c r="O933" s="99" t="str">
        <x:v>Exact source amount found; audited year/current-comparative column recorded. Accounting subtotal tests performed separately.</x:v>
      </x:c>
      <x:c r="P933" s="99" t="str">
        <x:v>oss on financial assets 31  (103,367) (104,094)
Other expenses 32  (5,033)  (96,461)
Other income 33 4,234,797 3,246,999
Finance cost 34  (8,001,105) (6,742,292)
Profit before tax and levy  2,838,910 3,162,543
Levy   35  (520,848) (364,054)
Profit before income tax  2,318,062 2,798,489
Taxation  36 (1,775,666) (6,434,465)
Profit / (loss) f</x:v>
      </x:c>
    </x:row>
    <x:row r="934" ht="82" customHeight="1">
      <x:c r="A934" s="168" t="str">
        <x:v>DGKC|fin_cost|2024</x:v>
      </x:c>
      <x:c r="B934" s="168" t="str">
        <x:v>DGKC</x:v>
      </x:c>
      <x:c r="C934" s="168" t="str">
        <x:v>FY2024</x:v>
      </x:c>
      <x:c r="D934" s="168" t="str">
        <x:v>Finance cost</x:v>
      </x:c>
      <x:c r="E934" s="169" t="n">
        <x:v>-8001105</x:v>
      </x:c>
      <x:c r="F934" s="169" t="n">
        <x:v>-8001105</x:v>
      </x:c>
      <x:c r="G934" s="169" t="str">
        <x:v>Rs '000</x:v>
      </x:c>
      <x:c r="H934" s="169" t="n">
        <x:f>F934/1000</x:f>
        <x:v>-8001.105</x:v>
      </x:c>
      <x:c r="I934" s="169" t="n">
        <x:f>DGKC!G95</x:f>
        <x:v>-8001.105</x:v>
      </x:c>
      <x:c r="J934" s="169" t="n">
        <x:f>H934-I934</x:f>
        <x:v>0</x:v>
      </x:c>
      <x:c r="K934" s="168" t="str">
        <x:v>DGAnnual2025.pdf</x:v>
      </x:c>
      <x:c r="L934" s="168" t="n">
        <x:v>155</x:v>
      </x:c>
      <x:c r="M934" s="168" t="str">
        <x:v>Comparative</x:v>
      </x:c>
      <x:c r="N934" s="171" t="str">
        <x:v>Printed amount independently located</x:v>
      </x:c>
      <x:c r="O934" s="171" t="str">
        <x:v>Exact source amount found; audited year/current-comparative column recorded. Accounting subtotal tests performed separately.</x:v>
      </x:c>
      <x:c r="P934" s="171" t="str">
        <x:v>loss on financial assets 31  (6,899)  (103,367)
Other expenses 32 (725,663) (5,033)
Other income 33 4,271,570 4,234,797
Finance cost 34  (3,870,405) (8,001,105)
Profit before levy and income tax  13,004,612 2,838,910
Levy   35 (577,125) (520,848)
Profit before income tax  12,427,487 2,318,062
Income tax 36  (3,752,428) (1,775,666)
Profit</x:v>
      </x:c>
    </x:row>
    <x:row r="935" ht="82" customHeight="1">
      <x:c r="A935" s="76" t="str">
        <x:v>DGKC|fin_cost|2025</x:v>
      </x:c>
      <x:c r="B935" s="76" t="str">
        <x:v>DGKC</x:v>
      </x:c>
      <x:c r="C935" s="76" t="str">
        <x:v>FY2025</x:v>
      </x:c>
      <x:c r="D935" s="76" t="str">
        <x:v>Finance cost</x:v>
      </x:c>
      <x:c r="E935" s="170" t="n">
        <x:v>-3870405</x:v>
      </x:c>
      <x:c r="F935" s="170" t="n">
        <x:v>-3870405</x:v>
      </x:c>
      <x:c r="G935" s="170" t="str">
        <x:v>Rs '000</x:v>
      </x:c>
      <x:c r="H935" s="170" t="n">
        <x:f>F935/1000</x:f>
        <x:v>-3870.405</x:v>
      </x:c>
      <x:c r="I935" s="170" t="n">
        <x:f>DGKC!H95</x:f>
        <x:v>-3870.405</x:v>
      </x:c>
      <x:c r="J935" s="170" t="n">
        <x:f>H935-I935</x:f>
        <x:v>0</x:v>
      </x:c>
      <x:c r="K935" s="76" t="str">
        <x:v>DGAnnual2025.pdf</x:v>
      </x:c>
      <x:c r="L935" s="76" t="n">
        <x:v>155</x:v>
      </x:c>
      <x:c r="M935" s="76" t="str">
        <x:v>Current year</x:v>
      </x:c>
      <x:c r="N935" s="99" t="str">
        <x:v>Printed amount independently located</x:v>
      </x:c>
      <x:c r="O935" s="99" t="str">
        <x:v>Exact source amount found; audited year/current-comparative column recorded. Accounting subtotal tests performed separately.</x:v>
      </x:c>
      <x:c r="P935" s="99" t="str">
        <x:v>t impairment loss on financial assets 31  (6,899)  (103,367)
Other expenses 32 (725,663) (5,033)
Other income 33 4,271,570 4,234,797
Finance cost 34  (3,870,405) (8,001,105)
Profit before levy and income tax  13,004,612 2,838,910
Levy   35 (577,125) (520,848)
Profit before income tax  12,427,487 2,318,062
Income tax 36  (3,752,428) (1,775,</x:v>
      </x:c>
    </x:row>
    <x:row r="936" ht="82" customHeight="1">
      <x:c r="A936" s="168" t="str">
        <x:v>DGKC|levy|2021</x:v>
      </x:c>
      <x:c r="B936" s="168" t="str">
        <x:v>DGKC</x:v>
      </x:c>
      <x:c r="C936" s="168" t="str">
        <x:v>FY2021</x:v>
      </x:c>
      <x:c r="D936" s="168" t="str">
        <x:v>Levies (final / minimum taxes presented separately)</x:v>
      </x:c>
      <x:c r="E936" s="169" t="n">
        <x:v>0</x:v>
      </x:c>
      <x:c r="F936" s="169" t="n">
        <x:v>0</x:v>
      </x:c>
      <x:c r="G936" s="169" t="str">
        <x:v>Rs '000</x:v>
      </x:c>
      <x:c r="H936" s="169" t="n">
        <x:f>F936/1000</x:f>
        <x:v>0</x:v>
      </x:c>
      <x:c r="I936" s="169" t="n">
        <x:f>DGKC!D97</x:f>
        <x:v>0</x:v>
      </x:c>
      <x:c r="J936" s="169" t="n">
        <x:f>H936-I936</x:f>
        <x:v>0</x:v>
      </x:c>
      <x:c r="K936" s="168" t="str">
        <x:v>DG_Annual_Report_2022.pdf</x:v>
      </x:c>
      <x:c r="L936" s="168" t="n">
        <x:v>127</x:v>
      </x:c>
      <x:c r="M936" s="168" t="str">
        <x:v>Comparative</x:v>
      </x:c>
      <x:c r="N936" s="171" t="str">
        <x:v>Zero / no separate line in audited presentation</x:v>
      </x:c>
      <x:c r="O936" s="171" t="str">
        <x:v>Zero classification checked within the audited statement/note and reconstructed statement totals; absence of a separate line does not imply a missing replacement estimate.</x:v>
      </x:c>
      <x:c r="P936" s="171" t="str">
        <x:v>
   2022 2021
  Note (Rupees in thousand)
Revenue  28 58,043,863 45,107,690
Cost of sales 29 (47,615,551)  (37,035,798)
Gross profit  10,428,312 8,071 | Levies (final / minimum taxes presented separately)</x:v>
      </x:c>
    </x:row>
    <x:row r="937" ht="82" customHeight="1">
      <x:c r="A937" s="76" t="str">
        <x:v>DGKC|levy|2022</x:v>
      </x:c>
      <x:c r="B937" s="76" t="str">
        <x:v>DGKC</x:v>
      </x:c>
      <x:c r="C937" s="76" t="str">
        <x:v>FY2022</x:v>
      </x:c>
      <x:c r="D937" s="76" t="str">
        <x:v>Levies (final / minimum taxes presented separately)</x:v>
      </x:c>
      <x:c r="E937" s="170" t="n">
        <x:v>0</x:v>
      </x:c>
      <x:c r="F937" s="170" t="n">
        <x:v>0</x:v>
      </x:c>
      <x:c r="G937" s="170" t="str">
        <x:v>Rs '000</x:v>
      </x:c>
      <x:c r="H937" s="170" t="n">
        <x:f>F937/1000</x:f>
        <x:v>0</x:v>
      </x:c>
      <x:c r="I937" s="170" t="n">
        <x:f>DGKC!E97</x:f>
        <x:v>0</x:v>
      </x:c>
      <x:c r="J937" s="170" t="n">
        <x:f>H937-I937</x:f>
        <x:v>0</x:v>
      </x:c>
      <x:c r="K937" s="76" t="str">
        <x:v>DGAnnual2023.pdf</x:v>
      </x:c>
      <x:c r="L937" s="76" t="n">
        <x:v>153</x:v>
      </x:c>
      <x:c r="M937" s="76" t="str">
        <x:v>Comparative</x:v>
      </x:c>
      <x:c r="N937" s="99" t="str">
        <x:v>Zero / no separate line in audited presentation</x:v>
      </x:c>
      <x:c r="O937" s="99" t="str">
        <x:v>Zero classification checked within the audited statement/note and reconstructed statement totals; absence of a separate line does not imply a missing replacement estimate.</x:v>
      </x:c>
      <x:c r="P937" s="99" t="str">
        <x:v>
   2023 2022
  Note (Rupees in thousand)
Revenue  27 64,983,821 58,043,863
Cost of sales 28 (55,428,046) (47,615,551)
Gross profit   9,555,775 10,4 | Levies (final / minimum taxes presented separately)</x:v>
      </x:c>
    </x:row>
    <x:row r="938" ht="82" customHeight="1">
      <x:c r="A938" s="168" t="str">
        <x:v>DGKC|levy|2023</x:v>
      </x:c>
      <x:c r="B938" s="168" t="str">
        <x:v>DGKC</x:v>
      </x:c>
      <x:c r="C938" s="168" t="str">
        <x:v>FY2023</x:v>
      </x:c>
      <x:c r="D938" s="168" t="str">
        <x:v>Levies (final / minimum taxes presented separately)</x:v>
      </x:c>
      <x:c r="E938" s="169" t="n">
        <x:v>-364054</x:v>
      </x:c>
      <x:c r="F938" s="169" t="n">
        <x:v>-364054</x:v>
      </x:c>
      <x:c r="G938" s="169" t="str">
        <x:v>Rs '000</x:v>
      </x:c>
      <x:c r="H938" s="169" t="n">
        <x:f>F938/1000</x:f>
        <x:v>-364.054</x:v>
      </x:c>
      <x:c r="I938" s="169" t="n">
        <x:f>DGKC!F97</x:f>
        <x:v>-364.054</x:v>
      </x:c>
      <x:c r="J938" s="169" t="n">
        <x:f>H938-I938</x:f>
        <x:v>0</x:v>
      </x:c>
      <x:c r="K938" s="168" t="str">
        <x:v>DGAnnual2024.pdf</x:v>
      </x:c>
      <x:c r="L938" s="168" t="n">
        <x:v>153</x:v>
      </x:c>
      <x:c r="M938" s="168" t="str">
        <x:v>Comparative</x:v>
      </x:c>
      <x:c r="N938" s="171" t="str">
        <x:v>Printed amount independently located</x:v>
      </x:c>
      <x:c r="O938" s="171" t="str">
        <x:v>Exact source amount found; audited year/current-comparative column recorded. Accounting subtotal tests performed separately.</x:v>
      </x:c>
      <x:c r="P938" s="171" t="str">
        <x:v>61)
Other income 33 4,234,797 3,246,999
Finance cost 34  (8,001,105) (6,742,292)
Profit before tax and levy  2,838,910 3,162,543
Levy   35  (520,848) (364,054)
Profit before income tax  2,318,062 2,798,489
Taxation  36 (1,775,666) (6,434,465)
Profit / (loss) for the year  542,396 (3,635,976)
     Rupees  Rupees 
Earnings / (loss) per sha</x:v>
      </x:c>
    </x:row>
    <x:row r="939" ht="82" customHeight="1">
      <x:c r="A939" s="76" t="str">
        <x:v>DGKC|levy|2024</x:v>
      </x:c>
      <x:c r="B939" s="76" t="str">
        <x:v>DGKC</x:v>
      </x:c>
      <x:c r="C939" s="76" t="str">
        <x:v>FY2024</x:v>
      </x:c>
      <x:c r="D939" s="76" t="str">
        <x:v>Levies (final / minimum taxes presented separately)</x:v>
      </x:c>
      <x:c r="E939" s="170" t="n">
        <x:v>-520848</x:v>
      </x:c>
      <x:c r="F939" s="170" t="n">
        <x:v>-520848</x:v>
      </x:c>
      <x:c r="G939" s="170" t="str">
        <x:v>Rs '000</x:v>
      </x:c>
      <x:c r="H939" s="170" t="n">
        <x:f>F939/1000</x:f>
        <x:v>-520.848</x:v>
      </x:c>
      <x:c r="I939" s="170" t="n">
        <x:f>DGKC!G97</x:f>
        <x:v>-520.848</x:v>
      </x:c>
      <x:c r="J939" s="170" t="n">
        <x:f>H939-I939</x:f>
        <x:v>0</x:v>
      </x:c>
      <x:c r="K939" s="76" t="str">
        <x:v>DGAnnual2025.pdf</x:v>
      </x:c>
      <x:c r="L939" s="76" t="n">
        <x:v>155</x:v>
      </x:c>
      <x:c r="M939" s="76" t="str">
        <x:v>Comparative</x:v>
      </x:c>
      <x:c r="N939" s="99" t="str">
        <x:v>Printed amount independently located</x:v>
      </x:c>
      <x:c r="O939" s="99" t="str">
        <x:v>Exact source amount found; audited year/current-comparative column recorded. Accounting subtotal tests performed separately.</x:v>
      </x:c>
      <x:c r="P939" s="99" t="str">
        <x:v>er income 33 4,271,570 4,234,797
Finance cost 34  (3,870,405) (8,001,105)
Profit before levy and income tax  13,004,612 2,838,910
Levy   35 (577,125) (520,848)
Profit before income tax  12,427,487 2,318,062
Income tax 36  (3,752,428) (1,775,666)
Profit for the year   8,675,059 542,396
     Rupees  Rupees 
Earnings per share - basic and d</x:v>
      </x:c>
    </x:row>
    <x:row r="940" ht="82" customHeight="1">
      <x:c r="A940" s="168" t="str">
        <x:v>DGKC|levy|2025</x:v>
      </x:c>
      <x:c r="B940" s="168" t="str">
        <x:v>DGKC</x:v>
      </x:c>
      <x:c r="C940" s="168" t="str">
        <x:v>FY2025</x:v>
      </x:c>
      <x:c r="D940" s="168" t="str">
        <x:v>Levies (final / minimum taxes presented separately)</x:v>
      </x:c>
      <x:c r="E940" s="169" t="n">
        <x:v>-577125</x:v>
      </x:c>
      <x:c r="F940" s="169" t="n">
        <x:v>-577125</x:v>
      </x:c>
      <x:c r="G940" s="169" t="str">
        <x:v>Rs '000</x:v>
      </x:c>
      <x:c r="H940" s="169" t="n">
        <x:f>F940/1000</x:f>
        <x:v>-577.125</x:v>
      </x:c>
      <x:c r="I940" s="169" t="n">
        <x:f>DGKC!H97</x:f>
        <x:v>-577.125</x:v>
      </x:c>
      <x:c r="J940" s="169" t="n">
        <x:f>H940-I940</x:f>
        <x:v>0</x:v>
      </x:c>
      <x:c r="K940" s="168" t="str">
        <x:v>DGAnnual2025.pdf</x:v>
      </x:c>
      <x:c r="L940" s="168" t="n">
        <x:v>155</x:v>
      </x:c>
      <x:c r="M940" s="168" t="str">
        <x:v>Current year</x:v>
      </x:c>
      <x:c r="N940" s="171" t="str">
        <x:v>Printed amount independently located</x:v>
      </x:c>
      <x:c r="O940" s="171" t="str">
        <x:v>Exact source amount found; audited year/current-comparative column recorded. Accounting subtotal tests performed separately.</x:v>
      </x:c>
      <x:c r="P940" s="171" t="str">
        <x:v>5,033)
Other income 33 4,271,570 4,234,797
Finance cost 34  (3,870,405) (8,001,105)
Profit before levy and income tax  13,004,612 2,838,910
Levy   35 (577,125) (520,848)
Profit before income tax  12,427,487 2,318,062
Income tax 36  (3,752,428) (1,775,666)
Profit for the year   8,675,059 542,396
     Rupees  Rupees 
Earnings per share - b</x:v>
      </x:c>
    </x:row>
    <x:row r="941" ht="82" customHeight="1">
      <x:c r="A941" s="76" t="str">
        <x:v>DGKC|tax|2021</x:v>
      </x:c>
      <x:c r="B941" s="76" t="str">
        <x:v>DGKC</x:v>
      </x:c>
      <x:c r="C941" s="76" t="str">
        <x:v>FY2021</x:v>
      </x:c>
      <x:c r="D941" s="76" t="str">
        <x:v>Income tax</x:v>
      </x:c>
      <x:c r="E941" s="170" t="n">
        <x:v>-1050132</x:v>
      </x:c>
      <x:c r="F941" s="170" t="n">
        <x:v>-1050132</x:v>
      </x:c>
      <x:c r="G941" s="170" t="str">
        <x:v>Rs '000</x:v>
      </x:c>
      <x:c r="H941" s="170" t="n">
        <x:f>F941/1000</x:f>
        <x:v>-1050.132</x:v>
      </x:c>
      <x:c r="I941" s="170" t="n">
        <x:f>DGKC!D98</x:f>
        <x:v>-1050.132</x:v>
      </x:c>
      <x:c r="J941" s="170" t="n">
        <x:f>H941-I941</x:f>
        <x:v>0</x:v>
      </x:c>
      <x:c r="K941" s="76" t="str">
        <x:v>DG_Annual_Report_2022.pdf</x:v>
      </x:c>
      <x:c r="L941" s="76" t="n">
        <x:v>127</x:v>
      </x:c>
      <x:c r="M941" s="76" t="str">
        <x:v>Comparative</x:v>
      </x:c>
      <x:c r="N941" s="99" t="str">
        <x:v>Printed amount independently located</x:v>
      </x:c>
      <x:c r="O941" s="99" t="str">
        <x:v>Exact source amount found; audited year/current-comparative column recorded. Accounting subtotal tests performed separately.</x:v>
      </x:c>
      <x:c r="P941" s="99" t="str">
        <x:v>er income 33 2,714,340 2,526,818
Finance cost 34 (3,571,187) (2,920,875)
Profit before taxation  6,019,761 4,771,405
Taxation  35  (3,047,629) (1,050,132)
Profit for the year   2,972,132 3,721,273
Earnings/(loss) per share - basic and diluted      (in Rupees) 36 6.78 8.49
The annexed notes 1 to 48 form an integral part of these unco</x:v>
      </x:c>
    </x:row>
    <x:row r="942" ht="82" customHeight="1">
      <x:c r="A942" s="168" t="str">
        <x:v>DGKC|tax|2022</x:v>
      </x:c>
      <x:c r="B942" s="168" t="str">
        <x:v>DGKC</x:v>
      </x:c>
      <x:c r="C942" s="168" t="str">
        <x:v>FY2022</x:v>
      </x:c>
      <x:c r="D942" s="168" t="str">
        <x:v>Income tax</x:v>
      </x:c>
      <x:c r="E942" s="169" t="n">
        <x:v>-3047629</x:v>
      </x:c>
      <x:c r="F942" s="169" t="n">
        <x:v>-3047629</x:v>
      </x:c>
      <x:c r="G942" s="169" t="str">
        <x:v>Rs '000</x:v>
      </x:c>
      <x:c r="H942" s="169" t="n">
        <x:f>F942/1000</x:f>
        <x:v>-3047.629</x:v>
      </x:c>
      <x:c r="I942" s="169" t="n">
        <x:f>DGKC!E98</x:f>
        <x:v>-3047.629</x:v>
      </x:c>
      <x:c r="J942" s="169" t="n">
        <x:f>H942-I942</x:f>
        <x:v>0</x:v>
      </x:c>
      <x:c r="K942" s="168" t="str">
        <x:v>DGAnnual2023.pdf</x:v>
      </x:c>
      <x:c r="L942" s="168" t="n">
        <x:v>153</x:v>
      </x:c>
      <x:c r="M942" s="168" t="str">
        <x:v>Comparative</x:v>
      </x:c>
      <x:c r="N942" s="171" t="str">
        <x:v>Printed amount independently located</x:v>
      </x:c>
      <x:c r="O942" s="171" t="str">
        <x:v>Exact source amount found; audited year/current-comparative column recorded. Accounting subtotal tests performed separately.</x:v>
      </x:c>
      <x:c r="P942" s="171" t="str">
        <x:v>er income 32 3,246,999 2,714,340
Finance cost 33 (6,742,292) (3,571,187)
Profit before taxation   3,162,543 6,019,761
Taxation  34 (6,798,519) (3,047,629)
(Loss)/profit for the year    (3,635,976) 2,972,132
(Loss)/earnings per share - basic and diluted      (in Rupees) 35  (8.30) 6.78
The annexed notes 1 to 45 form an integral part</x:v>
      </x:c>
    </x:row>
    <x:row r="943" ht="82" customHeight="1">
      <x:c r="A943" s="76" t="str">
        <x:v>DGKC|tax|2023</x:v>
      </x:c>
      <x:c r="B943" s="76" t="str">
        <x:v>DGKC</x:v>
      </x:c>
      <x:c r="C943" s="76" t="str">
        <x:v>FY2023</x:v>
      </x:c>
      <x:c r="D943" s="76" t="str">
        <x:v>Income tax</x:v>
      </x:c>
      <x:c r="E943" s="170" t="n">
        <x:v>-6434465</x:v>
      </x:c>
      <x:c r="F943" s="170" t="n">
        <x:v>-6434465</x:v>
      </x:c>
      <x:c r="G943" s="170" t="str">
        <x:v>Rs '000</x:v>
      </x:c>
      <x:c r="H943" s="170" t="n">
        <x:f>F943/1000</x:f>
        <x:v>-6434.465</x:v>
      </x:c>
      <x:c r="I943" s="170" t="n">
        <x:f>DGKC!F98</x:f>
        <x:v>-6434.465</x:v>
      </x:c>
      <x:c r="J943" s="170" t="n">
        <x:f>H943-I943</x:f>
        <x:v>0</x:v>
      </x:c>
      <x:c r="K943" s="76" t="str">
        <x:v>DGAnnual2024.pdf</x:v>
      </x:c>
      <x:c r="L943" s="76" t="n">
        <x:v>153</x:v>
      </x:c>
      <x:c r="M943" s="76" t="str">
        <x:v>Comparative</x:v>
      </x:c>
      <x:c r="N943" s="99" t="str">
        <x:v>Printed amount independently located</x:v>
      </x:c>
      <x:c r="O943" s="99" t="str">
        <x:v>Exact source amount found; audited year/current-comparative column recorded. Accounting subtotal tests performed separately.</x:v>
      </x:c>
      <x:c r="P943" s="99" t="str">
        <x:v>Profit before tax and levy  2,838,910 3,162,543
Levy   35  (520,848) (364,054)
Profit before income tax  2,318,062 2,798,489
Taxation  36 (1,775,666) (6,434,465)
Profit / (loss) for the year  542,396 (3,635,976)
     Rupees  Rupees 
Earnings / (loss) per share - basic and diluted 37 1.24 (8.30)
The annexed notes 1 to 48 form an integral pa</x:v>
      </x:c>
    </x:row>
    <x:row r="944" ht="82" customHeight="1">
      <x:c r="A944" s="168" t="str">
        <x:v>DGKC|tax|2024</x:v>
      </x:c>
      <x:c r="B944" s="168" t="str">
        <x:v>DGKC</x:v>
      </x:c>
      <x:c r="C944" s="168" t="str">
        <x:v>FY2024</x:v>
      </x:c>
      <x:c r="D944" s="168" t="str">
        <x:v>Income tax</x:v>
      </x:c>
      <x:c r="E944" s="169" t="n">
        <x:v>-1775666</x:v>
      </x:c>
      <x:c r="F944" s="169" t="n">
        <x:v>-1775666</x:v>
      </x:c>
      <x:c r="G944" s="169" t="str">
        <x:v>Rs '000</x:v>
      </x:c>
      <x:c r="H944" s="169" t="n">
        <x:f>F944/1000</x:f>
        <x:v>-1775.666</x:v>
      </x:c>
      <x:c r="I944" s="169" t="n">
        <x:f>DGKC!G98</x:f>
        <x:v>-1775.666</x:v>
      </x:c>
      <x:c r="J944" s="169" t="n">
        <x:f>H944-I944</x:f>
        <x:v>0</x:v>
      </x:c>
      <x:c r="K944" s="168" t="str">
        <x:v>DGAnnual2025.pdf</x:v>
      </x:c>
      <x:c r="L944" s="168" t="n">
        <x:v>155</x:v>
      </x:c>
      <x:c r="M944" s="168" t="str">
        <x:v>Comparative</x:v>
      </x:c>
      <x:c r="N944" s="171" t="str">
        <x:v>Printed amount independently located</x:v>
      </x:c>
      <x:c r="O944" s="171" t="str">
        <x:v>Exact source amount found; audited year/current-comparative column recorded. Accounting subtotal tests performed separately.</x:v>
      </x:c>
      <x:c r="P944" s="171" t="str">
        <x:v>ore levy and income tax  13,004,612 2,838,910
Levy   35 (577,125) (520,848)
Profit before income tax  12,427,487 2,318,062
Income tax 36  (3,752,428) (1,775,666)
Profit for the year   8,675,059 542,396
     Rupees  Rupees 
Earnings per share - basic and diluted 37  19.80 1.24
The annexed notes 1 to 51 form an integral part of these unconso</x:v>
      </x:c>
    </x:row>
    <x:row r="945" ht="82" customHeight="1">
      <x:c r="A945" s="76" t="str">
        <x:v>DGKC|tax|2025</x:v>
      </x:c>
      <x:c r="B945" s="76" t="str">
        <x:v>DGKC</x:v>
      </x:c>
      <x:c r="C945" s="76" t="str">
        <x:v>FY2025</x:v>
      </x:c>
      <x:c r="D945" s="76" t="str">
        <x:v>Income tax</x:v>
      </x:c>
      <x:c r="E945" s="170" t="n">
        <x:v>-3752428</x:v>
      </x:c>
      <x:c r="F945" s="170" t="n">
        <x:v>-3752428</x:v>
      </x:c>
      <x:c r="G945" s="170" t="str">
        <x:v>Rs '000</x:v>
      </x:c>
      <x:c r="H945" s="170" t="n">
        <x:f>F945/1000</x:f>
        <x:v>-3752.428</x:v>
      </x:c>
      <x:c r="I945" s="170" t="n">
        <x:f>DGKC!H98</x:f>
        <x:v>-3752.428</x:v>
      </x:c>
      <x:c r="J945" s="170" t="n">
        <x:f>H945-I945</x:f>
        <x:v>0</x:v>
      </x:c>
      <x:c r="K945" s="76" t="str">
        <x:v>DGAnnual2025.pdf</x:v>
      </x:c>
      <x:c r="L945" s="76" t="n">
        <x:v>155</x:v>
      </x:c>
      <x:c r="M945" s="76" t="str">
        <x:v>Current year</x:v>
      </x:c>
      <x:c r="N945" s="99" t="str">
        <x:v>Printed amount independently located</x:v>
      </x:c>
      <x:c r="O945" s="99" t="str">
        <x:v>Exact source amount found; audited year/current-comparative column recorded. Accounting subtotal tests performed separately.</x:v>
      </x:c>
      <x:c r="P945" s="99" t="str">
        <x:v>)
Profit before levy and income tax  13,004,612 2,838,910
Levy   35 (577,125) (520,848)
Profit before income tax  12,427,487 2,318,062
Income tax 36  (3,752,428) (1,775,666)
Profit for the year   8,675,059 542,396
     Rupees  Rupees 
Earnings per share - basic and diluted 37  19.80 1.24
The annexed notes 1 to 51 form an integral part of t</x:v>
      </x:c>
    </x:row>
    <x:row r="946" ht="82" customHeight="1">
      <x:c r="A946" s="168" t="str">
        <x:v>DGKC|pr_gp|2021</x:v>
      </x:c>
      <x:c r="B946" s="168" t="str">
        <x:v>DGKC</x:v>
      </x:c>
      <x:c r="C946" s="168" t="str">
        <x:v>FY2021</x:v>
      </x:c>
      <x:c r="D946" s="168" t="str">
        <x:v>Printed gross profit</x:v>
      </x:c>
      <x:c r="E946" s="169" t="n">
        <x:v>8071892</x:v>
      </x:c>
      <x:c r="F946" s="169" t="n">
        <x:v>8071892</x:v>
      </x:c>
      <x:c r="G946" s="169" t="str">
        <x:v>Rs '000</x:v>
      </x:c>
      <x:c r="H946" s="169" t="n">
        <x:f>F946/1000</x:f>
        <x:v>8071.892</x:v>
      </x:c>
      <x:c r="I946" s="169" t="n">
        <x:f>DGKC!D100</x:f>
        <x:v>8071.892</x:v>
      </x:c>
      <x:c r="J946" s="169" t="n">
        <x:f>H946-I946</x:f>
        <x:v>0</x:v>
      </x:c>
      <x:c r="K946" s="168" t="str">
        <x:v>DG_Annual_Report_2022.pdf</x:v>
      </x:c>
      <x:c r="L946" s="168" t="n">
        <x:v>127</x:v>
      </x:c>
      <x:c r="M946" s="168" t="str">
        <x:v>Comparative</x:v>
      </x:c>
      <x:c r="N946" s="171" t="str">
        <x:v>Printed amount independently located</x:v>
      </x:c>
      <x:c r="O946" s="171" t="str">
        <x:v>Exact source amount found; audited year/current-comparative column recorded. Accounting subtotal tests performed separately.</x:v>
      </x:c>
      <x:c r="P946" s="171" t="str">
        <x:v>2022 2021
  Note (Rupees in thousand)
Revenue  28 58,043,863 45,107,690
Cost of sales 29 (47,615,551)  (37,035,798)
Gross profit  10,428,312 8,071,892
Administrative expenses 30 (751,052) (646,762)
Selling and distribution expenses 31 (1,748,859) (1,950,056)
Net impairment (loss)/gain on financial assets 23.2 (8,990) 104,703
Oth</x:v>
      </x:c>
    </x:row>
    <x:row r="947" ht="82" customHeight="1">
      <x:c r="A947" s="76" t="str">
        <x:v>DGKC|pr_gp|2022</x:v>
      </x:c>
      <x:c r="B947" s="76" t="str">
        <x:v>DGKC</x:v>
      </x:c>
      <x:c r="C947" s="76" t="str">
        <x:v>FY2022</x:v>
      </x:c>
      <x:c r="D947" s="76" t="str">
        <x:v>Printed gross profit</x:v>
      </x:c>
      <x:c r="E947" s="170" t="n">
        <x:v>10428312</x:v>
      </x:c>
      <x:c r="F947" s="170" t="n">
        <x:v>10428312</x:v>
      </x:c>
      <x:c r="G947" s="170" t="str">
        <x:v>Rs '000</x:v>
      </x:c>
      <x:c r="H947" s="170" t="n">
        <x:f>F947/1000</x:f>
        <x:v>10428.312</x:v>
      </x:c>
      <x:c r="I947" s="170" t="n">
        <x:f>DGKC!E100</x:f>
        <x:v>10428.312</x:v>
      </x:c>
      <x:c r="J947" s="170" t="n">
        <x:f>H947-I947</x:f>
        <x:v>0</x:v>
      </x:c>
      <x:c r="K947" s="76" t="str">
        <x:v>DGAnnual2023.pdf</x:v>
      </x:c>
      <x:c r="L947" s="76" t="n">
        <x:v>153</x:v>
      </x:c>
      <x:c r="M947" s="76" t="str">
        <x:v>Comparative</x:v>
      </x:c>
      <x:c r="N947" s="99" t="str">
        <x:v>Printed amount independently located</x:v>
      </x:c>
      <x:c r="O947" s="99" t="str">
        <x:v>Exact source amount found; audited year/current-comparative column recorded. Accounting subtotal tests performed separately.</x:v>
      </x:c>
      <x:c r="P947" s="99" t="str">
        <x:v>2023 2022
  Note (Rupees in thousand)
Revenue  27 64,983,821 58,043,863
Cost of sales 28 (55,428,046) (47,615,551)
Gross profit   9,555,775 10,428,312
Administrative expenses 29  (879,356) (751,052)
Selling and distribution expenses 30  (1,818,028)  (1,748,859)
Net impairment loss on financial assets 23.2 (104,094) (8,990)
Other</x:v>
      </x:c>
    </x:row>
    <x:row r="948" ht="82" customHeight="1">
      <x:c r="A948" s="168" t="str">
        <x:v>DGKC|pr_gp|2023</x:v>
      </x:c>
      <x:c r="B948" s="168" t="str">
        <x:v>DGKC</x:v>
      </x:c>
      <x:c r="C948" s="168" t="str">
        <x:v>FY2023</x:v>
      </x:c>
      <x:c r="D948" s="168" t="str">
        <x:v>Printed gross profit</x:v>
      </x:c>
      <x:c r="E948" s="169" t="n">
        <x:v>9555775</x:v>
      </x:c>
      <x:c r="F948" s="169" t="n">
        <x:v>9555775</x:v>
      </x:c>
      <x:c r="G948" s="169" t="str">
        <x:v>Rs '000</x:v>
      </x:c>
      <x:c r="H948" s="169" t="n">
        <x:f>F948/1000</x:f>
        <x:v>9555.775</x:v>
      </x:c>
      <x:c r="I948" s="169" t="n">
        <x:f>DGKC!F100</x:f>
        <x:v>9555.775</x:v>
      </x:c>
      <x:c r="J948" s="169" t="n">
        <x:f>H948-I948</x:f>
        <x:v>0</x:v>
      </x:c>
      <x:c r="K948" s="168" t="str">
        <x:v>DGAnnual2024.pdf</x:v>
      </x:c>
      <x:c r="L948" s="168" t="n">
        <x:v>153</x:v>
      </x:c>
      <x:c r="M948" s="168" t="str">
        <x:v>Comparative</x:v>
      </x:c>
      <x:c r="N948" s="171" t="str">
        <x:v>Printed amount independently located</x:v>
      </x:c>
      <x:c r="O948" s="171" t="str">
        <x:v>Exact source amount found; audited year/current-comparative column recorded. Accounting subtotal tests performed separately.</x:v>
      </x:c>
      <x:c r="P948" s="171" t="str">
        <x:v>Note (Rupees in thousand)
      (Re-stated)
Revenue  27 66,038,689 64,983,821
Cost of sales 28 (55,510,429) (55,428,046)
Gross profit    10,528,260 9,555,775
Administrative expenses 29 (1,206,105) (879,356)
Selling and distribution expenses 30 (2,608,537) (1,818,028)
Net impairment loss on financial assets 31  (103,367) (104,094)
Other</x:v>
      </x:c>
    </x:row>
    <x:row r="949" ht="82" customHeight="1">
      <x:c r="A949" s="76" t="str">
        <x:v>DGKC|pr_gp|2024</x:v>
      </x:c>
      <x:c r="B949" s="76" t="str">
        <x:v>DGKC</x:v>
      </x:c>
      <x:c r="C949" s="76" t="str">
        <x:v>FY2024</x:v>
      </x:c>
      <x:c r="D949" s="76" t="str">
        <x:v>Printed gross profit</x:v>
      </x:c>
      <x:c r="E949" s="170" t="n">
        <x:v>10528260</x:v>
      </x:c>
      <x:c r="F949" s="170" t="n">
        <x:v>10528260</x:v>
      </x:c>
      <x:c r="G949" s="170" t="str">
        <x:v>Rs '000</x:v>
      </x:c>
      <x:c r="H949" s="170" t="n">
        <x:f>F949/1000</x:f>
        <x:v>10528.26</x:v>
      </x:c>
      <x:c r="I949" s="170" t="n">
        <x:f>DGKC!G100</x:f>
        <x:v>10528.26</x:v>
      </x:c>
      <x:c r="J949" s="170" t="n">
        <x:f>H949-I949</x:f>
        <x:v>0</x:v>
      </x:c>
      <x:c r="K949" s="76" t="str">
        <x:v>DGAnnual2025.pdf</x:v>
      </x:c>
      <x:c r="L949" s="76" t="n">
        <x:v>155</x:v>
      </x:c>
      <x:c r="M949" s="76" t="str">
        <x:v>Comparative</x:v>
      </x:c>
      <x:c r="N949" s="99" t="str">
        <x:v>Printed amount independently located</x:v>
      </x:c>
      <x:c r="O949" s="99" t="str">
        <x:v>Exact source amount found; audited year/current-comparative column recorded. Accounting subtotal tests performed separately.</x:v>
      </x:c>
      <x:c r="P949" s="99" t="str">
        <x:v>in thousand)
Revenue from contracts with customers - net 27 71,892,837 66,038,689
Cost of sales 28 (53,387,166) (55,510,429)
Gross profit  18,505,671 10,528,260
Administrative expenses 29  (1,294,974)  (1,206,105)
Selling and distribution expenses 30 (3,874,688)  (2,608,537)
Net impairment loss on financial assets 31  (6,899)  (103,367)
O</x:v>
      </x:c>
    </x:row>
    <x:row r="950" ht="82" customHeight="1">
      <x:c r="A950" s="168" t="str">
        <x:v>DGKC|pr_gp|2025</x:v>
      </x:c>
      <x:c r="B950" s="168" t="str">
        <x:v>DGKC</x:v>
      </x:c>
      <x:c r="C950" s="168" t="str">
        <x:v>FY2025</x:v>
      </x:c>
      <x:c r="D950" s="168" t="str">
        <x:v>Printed gross profit</x:v>
      </x:c>
      <x:c r="E950" s="169" t="n">
        <x:v>18505671</x:v>
      </x:c>
      <x:c r="F950" s="169" t="n">
        <x:v>18505671</x:v>
      </x:c>
      <x:c r="G950" s="169" t="str">
        <x:v>Rs '000</x:v>
      </x:c>
      <x:c r="H950" s="169" t="n">
        <x:f>F950/1000</x:f>
        <x:v>18505.671</x:v>
      </x:c>
      <x:c r="I950" s="169" t="n">
        <x:f>DGKC!H100</x:f>
        <x:v>18505.671</x:v>
      </x:c>
      <x:c r="J950" s="169" t="n">
        <x:f>H950-I950</x:f>
        <x:v>0</x:v>
      </x:c>
      <x:c r="K950" s="168" t="str">
        <x:v>DGAnnual2025.pdf</x:v>
      </x:c>
      <x:c r="L950" s="168" t="n">
        <x:v>155</x:v>
      </x:c>
      <x:c r="M950" s="168" t="str">
        <x:v>Current year</x:v>
      </x:c>
      <x:c r="N950" s="171" t="str">
        <x:v>Printed amount independently located</x:v>
      </x:c>
      <x:c r="O950" s="171" t="str">
        <x:v>Exact source amount found; audited year/current-comparative column recorded. Accounting subtotal tests performed separately.</x:v>
      </x:c>
      <x:c r="P950" s="171" t="str">
        <x:v>te (Rupees in thousand)
Revenue from contracts with customers - net 27 71,892,837 66,038,689
Cost of sales 28 (53,387,166) (55,510,429)
Gross profit  18,505,671 10,528,260
Administrative expenses 29  (1,294,974)  (1,206,105)
Selling and distribution expenses 30 (3,874,688)  (2,608,537)
Net impairment loss on financial assets 31  (6,899)</x:v>
      </x:c>
    </x:row>
    <x:row r="951" ht="82" customHeight="1">
      <x:c r="A951" s="76" t="str">
        <x:v>DGKC|pr_pbt|2021</x:v>
      </x:c>
      <x:c r="B951" s="76" t="str">
        <x:v>DGKC</x:v>
      </x:c>
      <x:c r="C951" s="76" t="str">
        <x:v>FY2021</x:v>
      </x:c>
      <x:c r="D951" s="76" t="str">
        <x:v>Printed profit before levies and income tax</x:v>
      </x:c>
      <x:c r="E951" s="170" t="n">
        <x:v>4771405</x:v>
      </x:c>
      <x:c r="F951" s="170" t="n">
        <x:v>4771405</x:v>
      </x:c>
      <x:c r="G951" s="170" t="str">
        <x:v>Rs '000</x:v>
      </x:c>
      <x:c r="H951" s="170" t="n">
        <x:f>F951/1000</x:f>
        <x:v>4771.405</x:v>
      </x:c>
      <x:c r="I951" s="170" t="n">
        <x:f>DGKC!D101</x:f>
        <x:v>4771.405</x:v>
      </x:c>
      <x:c r="J951" s="170" t="n">
        <x:f>H951-I951</x:f>
        <x:v>0</x:v>
      </x:c>
      <x:c r="K951" s="76" t="str">
        <x:v>DG_Annual_Report_2022.pdf</x:v>
      </x:c>
      <x:c r="L951" s="76" t="n">
        <x:v>127</x:v>
      </x:c>
      <x:c r="M951" s="76" t="str">
        <x:v>Comparative</x:v>
      </x:c>
      <x:c r="N951" s="99" t="str">
        <x:v>Printed amount independently located</x:v>
      </x:c>
      <x:c r="O951" s="99" t="str">
        <x:v>Exact source amount found; audited year/current-comparative column recorded. Accounting subtotal tests performed separately.</x:v>
      </x:c>
      <x:c r="P951" s="99" t="str">
        <x:v>ther expenses 32  (1,042,803) (414,315)
Other income 33 2,714,340 2,526,818
Finance cost 34 (3,571,187) (2,920,875)
Profit before taxation  6,019,761 4,771,405
Taxation  35  (3,047,629) (1,050,132)
Profit for the year   2,972,132 3,721,273
Earnings/(loss) per share - basic and diluted      (in Rupees) 36 6.78 8.49
The annexed note</x:v>
      </x:c>
    </x:row>
    <x:row r="952" ht="82" customHeight="1">
      <x:c r="A952" s="168" t="str">
        <x:v>DGKC|pr_pbt|2022</x:v>
      </x:c>
      <x:c r="B952" s="168" t="str">
        <x:v>DGKC</x:v>
      </x:c>
      <x:c r="C952" s="168" t="str">
        <x:v>FY2022</x:v>
      </x:c>
      <x:c r="D952" s="168" t="str">
        <x:v>Printed profit before levies and income tax</x:v>
      </x:c>
      <x:c r="E952" s="169" t="n">
        <x:v>6019761</x:v>
      </x:c>
      <x:c r="F952" s="169" t="n">
        <x:v>6019761</x:v>
      </x:c>
      <x:c r="G952" s="169" t="str">
        <x:v>Rs '000</x:v>
      </x:c>
      <x:c r="H952" s="169" t="n">
        <x:f>F952/1000</x:f>
        <x:v>6019.761</x:v>
      </x:c>
      <x:c r="I952" s="169" t="n">
        <x:f>DGKC!E101</x:f>
        <x:v>6019.761</x:v>
      </x:c>
      <x:c r="J952" s="169" t="n">
        <x:f>H952-I952</x:f>
        <x:v>0</x:v>
      </x:c>
      <x:c r="K952" s="168" t="str">
        <x:v>DGAnnual2023.pdf</x:v>
      </x:c>
      <x:c r="L952" s="168" t="n">
        <x:v>153</x:v>
      </x:c>
      <x:c r="M952" s="168" t="str">
        <x:v>Comparative</x:v>
      </x:c>
      <x:c r="N952" s="171" t="str">
        <x:v>Printed amount independently located</x:v>
      </x:c>
      <x:c r="O952" s="171" t="str">
        <x:v>Exact source amount found; audited year/current-comparative column recorded. Accounting subtotal tests performed separately.</x:v>
      </x:c>
      <x:c r="P952" s="171" t="str">
        <x:v>Other expenses 31 (96,461) (1,042,803)
Other income 32 3,246,999 2,714,340
Finance cost 33 (6,742,292) (3,571,187)
Profit before taxation   3,162,543 6,019,761
Taxation  34 (6,798,519) (3,047,629)
(Loss)/profit for the year    (3,635,976) 2,972,132
(Loss)/earnings per share - basic and diluted      (in Rupees) 35  (8.30) 6.78
The</x:v>
      </x:c>
    </x:row>
    <x:row r="953" ht="82" customHeight="1">
      <x:c r="A953" s="76" t="str">
        <x:v>DGKC|pr_pbt|2023</x:v>
      </x:c>
      <x:c r="B953" s="76" t="str">
        <x:v>DGKC</x:v>
      </x:c>
      <x:c r="C953" s="76" t="str">
        <x:v>FY2023</x:v>
      </x:c>
      <x:c r="D953" s="76" t="str">
        <x:v>Printed profit before levies and income tax</x:v>
      </x:c>
      <x:c r="E953" s="170" t="n">
        <x:v>3162543</x:v>
      </x:c>
      <x:c r="F953" s="170" t="n">
        <x:v>3162543</x:v>
      </x:c>
      <x:c r="G953" s="170" t="str">
        <x:v>Rs '000</x:v>
      </x:c>
      <x:c r="H953" s="170" t="n">
        <x:f>F953/1000</x:f>
        <x:v>3162.543</x:v>
      </x:c>
      <x:c r="I953" s="170" t="n">
        <x:f>DGKC!F101</x:f>
        <x:v>3162.543</x:v>
      </x:c>
      <x:c r="J953" s="170" t="n">
        <x:f>H953-I953</x:f>
        <x:v>0</x:v>
      </x:c>
      <x:c r="K953" s="76" t="str">
        <x:v>DGAnnual2024.pdf</x:v>
      </x:c>
      <x:c r="L953" s="76" t="n">
        <x:v>153</x:v>
      </x:c>
      <x:c r="M953" s="76" t="str">
        <x:v>Comparative</x:v>
      </x:c>
      <x:c r="N953" s="99" t="str">
        <x:v>Printed amount independently located</x:v>
      </x:c>
      <x:c r="O953" s="99" t="str">
        <x:v>Exact source amount found; audited year/current-comparative column recorded. Accounting subtotal tests performed separately.</x:v>
      </x:c>
      <x:c r="P953" s="99" t="str">
        <x:v>her expenses 32  (5,033)  (96,461)
Other income 33 4,234,797 3,246,999
Finance cost 34  (8,001,105) (6,742,292)
Profit before tax and levy  2,838,910 3,162,543
Levy   35  (520,848) (364,054)
Profit before income tax  2,318,062 2,798,489
Taxation  36 (1,775,666) (6,434,465)
Profit / (loss) for the year  542,396 (3,635,976)
     Rupees  Ru</x:v>
      </x:c>
    </x:row>
    <x:row r="954" ht="82" customHeight="1">
      <x:c r="A954" s="168" t="str">
        <x:v>DGKC|pr_pbt|2024</x:v>
      </x:c>
      <x:c r="B954" s="168" t="str">
        <x:v>DGKC</x:v>
      </x:c>
      <x:c r="C954" s="168" t="str">
        <x:v>FY2024</x:v>
      </x:c>
      <x:c r="D954" s="168" t="str">
        <x:v>Printed profit before levies and income tax</x:v>
      </x:c>
      <x:c r="E954" s="169" t="n">
        <x:v>2838910</x:v>
      </x:c>
      <x:c r="F954" s="169" t="n">
        <x:v>2838910</x:v>
      </x:c>
      <x:c r="G954" s="169" t="str">
        <x:v>Rs '000</x:v>
      </x:c>
      <x:c r="H954" s="169" t="n">
        <x:f>F954/1000</x:f>
        <x:v>2838.91</x:v>
      </x:c>
      <x:c r="I954" s="169" t="n">
        <x:f>DGKC!G101</x:f>
        <x:v>2838.91</x:v>
      </x:c>
      <x:c r="J954" s="169" t="n">
        <x:f>H954-I954</x:f>
        <x:v>0</x:v>
      </x:c>
      <x:c r="K954" s="168" t="str">
        <x:v>DGAnnual2025.pdf</x:v>
      </x:c>
      <x:c r="L954" s="168" t="n">
        <x:v>155</x:v>
      </x:c>
      <x:c r="M954" s="168" t="str">
        <x:v>Comparative</x:v>
      </x:c>
      <x:c r="N954" s="171" t="str">
        <x:v>Printed amount independently located</x:v>
      </x:c>
      <x:c r="O954" s="171" t="str">
        <x:v>Exact source amount found; audited year/current-comparative column recorded. Accounting subtotal tests performed separately.</x:v>
      </x:c>
      <x:c r="P954" s="171" t="str">
        <x:v>enses 32 (725,663) (5,033)
Other income 33 4,271,570 4,234,797
Finance cost 34  (3,870,405) (8,001,105)
Profit before levy and income tax  13,004,612 2,838,910
Levy   35 (577,125) (520,848)
Profit before income tax  12,427,487 2,318,062
Income tax 36  (3,752,428) (1,775,666)
Profit for the year   8,675,059 542,396
     Rupees  Rupees 
Ea</x:v>
      </x:c>
    </x:row>
    <x:row r="955" ht="82" customHeight="1">
      <x:c r="A955" s="76" t="str">
        <x:v>DGKC|pr_pbt|2025</x:v>
      </x:c>
      <x:c r="B955" s="76" t="str">
        <x:v>DGKC</x:v>
      </x:c>
      <x:c r="C955" s="76" t="str">
        <x:v>FY2025</x:v>
      </x:c>
      <x:c r="D955" s="76" t="str">
        <x:v>Printed profit before levies and income tax</x:v>
      </x:c>
      <x:c r="E955" s="170" t="n">
        <x:v>13004612</x:v>
      </x:c>
      <x:c r="F955" s="170" t="n">
        <x:v>13004612</x:v>
      </x:c>
      <x:c r="G955" s="170" t="str">
        <x:v>Rs '000</x:v>
      </x:c>
      <x:c r="H955" s="170" t="n">
        <x:f>F955/1000</x:f>
        <x:v>13004.612</x:v>
      </x:c>
      <x:c r="I955" s="170" t="n">
        <x:f>DGKC!H101</x:f>
        <x:v>13004.612</x:v>
      </x:c>
      <x:c r="J955" s="170" t="n">
        <x:f>H955-I955</x:f>
        <x:v>0</x:v>
      </x:c>
      <x:c r="K955" s="76" t="str">
        <x:v>DGAnnual2025.pdf</x:v>
      </x:c>
      <x:c r="L955" s="76" t="n">
        <x:v>155</x:v>
      </x:c>
      <x:c r="M955" s="76" t="str">
        <x:v>Current year</x:v>
      </x:c>
      <x:c r="N955" s="99" t="str">
        <x:v>Printed amount independently located</x:v>
      </x:c>
      <x:c r="O955" s="99" t="str">
        <x:v>Exact source amount found; audited year/current-comparative column recorded. Accounting subtotal tests performed separately.</x:v>
      </x:c>
      <x:c r="P955" s="99" t="str">
        <x:v>)
Other expenses 32 (725,663) (5,033)
Other income 33 4,271,570 4,234,797
Finance cost 34  (3,870,405) (8,001,105)
Profit before levy and income tax  13,004,612 2,838,910
Levy   35 (577,125) (520,848)
Profit before income tax  12,427,487 2,318,062
Income tax 36  (3,752,428) (1,775,666)
Profit for the year   8,675,059 542,396
     Rupees</x:v>
      </x:c>
    </x:row>
    <x:row r="956" ht="82" customHeight="1">
      <x:c r="A956" s="168" t="str">
        <x:v>DGKC|pr_pat|2021</x:v>
      </x:c>
      <x:c r="B956" s="168" t="str">
        <x:v>DGKC</x:v>
      </x:c>
      <x:c r="C956" s="168" t="str">
        <x:v>FY2021</x:v>
      </x:c>
      <x:c r="D956" s="168" t="str">
        <x:v>Printed profit after tax</x:v>
      </x:c>
      <x:c r="E956" s="169" t="n">
        <x:v>3721273</x:v>
      </x:c>
      <x:c r="F956" s="169" t="n">
        <x:v>3721273</x:v>
      </x:c>
      <x:c r="G956" s="169" t="str">
        <x:v>Rs '000</x:v>
      </x:c>
      <x:c r="H956" s="169" t="n">
        <x:f>F956/1000</x:f>
        <x:v>3721.273</x:v>
      </x:c>
      <x:c r="I956" s="169" t="n">
        <x:f>DGKC!D102</x:f>
        <x:v>3721.273</x:v>
      </x:c>
      <x:c r="J956" s="169" t="n">
        <x:f>H956-I956</x:f>
        <x:v>0</x:v>
      </x:c>
      <x:c r="K956" s="168" t="str">
        <x:v>DG_Annual_Report_2022.pdf</x:v>
      </x:c>
      <x:c r="L956" s="168" t="n">
        <x:v>127</x:v>
      </x:c>
      <x:c r="M956" s="168" t="str">
        <x:v>Comparative</x:v>
      </x:c>
      <x:c r="N956" s="171" t="str">
        <x:v>Printed amount independently located</x:v>
      </x:c>
      <x:c r="O956" s="171" t="str">
        <x:v>Exact source amount found; audited year/current-comparative column recorded. Accounting subtotal tests performed separately.</x:v>
      </x:c>
      <x:c r="P956" s="171" t="str">
        <x:v>t 34 (3,571,187) (2,920,875)
Profit before taxation  6,019,761 4,771,405
Taxation  35  (3,047,629) (1,050,132)
Profit for the year   2,972,132 3,721,273
Earnings/(loss) per share - basic and diluted      (in Rupees) 36 6.78 8.49
The annexed notes 1 to 48 form an integral part of these unconsolidated financial statements.
UNCONSOLI</x:v>
      </x:c>
    </x:row>
    <x:row r="957" ht="82" customHeight="1">
      <x:c r="A957" s="76" t="str">
        <x:v>DGKC|pr_pat|2022</x:v>
      </x:c>
      <x:c r="B957" s="76" t="str">
        <x:v>DGKC</x:v>
      </x:c>
      <x:c r="C957" s="76" t="str">
        <x:v>FY2022</x:v>
      </x:c>
      <x:c r="D957" s="76" t="str">
        <x:v>Printed profit after tax</x:v>
      </x:c>
      <x:c r="E957" s="170" t="n">
        <x:v>2972132</x:v>
      </x:c>
      <x:c r="F957" s="170" t="n">
        <x:v>2972132</x:v>
      </x:c>
      <x:c r="G957" s="170" t="str">
        <x:v>Rs '000</x:v>
      </x:c>
      <x:c r="H957" s="170" t="n">
        <x:f>F957/1000</x:f>
        <x:v>2972.132</x:v>
      </x:c>
      <x:c r="I957" s="170" t="n">
        <x:f>DGKC!E102</x:f>
        <x:v>2972.132</x:v>
      </x:c>
      <x:c r="J957" s="170" t="n">
        <x:f>H957-I957</x:f>
        <x:v>0</x:v>
      </x:c>
      <x:c r="K957" s="76" t="str">
        <x:v>DGAnnual2023.pdf</x:v>
      </x:c>
      <x:c r="L957" s="76" t="n">
        <x:v>153</x:v>
      </x:c>
      <x:c r="M957" s="76" t="str">
        <x:v>Comparative</x:v>
      </x:c>
      <x:c r="N957" s="99" t="str">
        <x:v>Printed amount independently located</x:v>
      </x:c>
      <x:c r="O957" s="99" t="str">
        <x:v>Exact source amount found; audited year/current-comparative column recorded. Accounting subtotal tests performed separately.</x:v>
      </x:c>
      <x:c r="P957" s="99" t="str">
        <x:v>2,292) (3,571,187)
Profit before taxation   3,162,543 6,019,761
Taxation  34 (6,798,519) (3,047,629)
(Loss)/profit for the year    (3,635,976) 2,972,132
(Loss)/earnings per share - basic and diluted      (in Rupees) 35  (8.30) 6.78
The annexed notes 1 to 45 form an integral part of these unconsolidated financial statements.</x:v>
      </x:c>
    </x:row>
    <x:row r="958" ht="82" customHeight="1">
      <x:c r="A958" s="168" t="str">
        <x:v>DGKC|pr_pat|2023</x:v>
      </x:c>
      <x:c r="B958" s="168" t="str">
        <x:v>DGKC</x:v>
      </x:c>
      <x:c r="C958" s="168" t="str">
        <x:v>FY2023</x:v>
      </x:c>
      <x:c r="D958" s="168" t="str">
        <x:v>Printed profit after tax</x:v>
      </x:c>
      <x:c r="E958" s="169" t="n">
        <x:v>-3635976</x:v>
      </x:c>
      <x:c r="F958" s="169" t="n">
        <x:v>-3635976</x:v>
      </x:c>
      <x:c r="G958" s="169" t="str">
        <x:v>Rs '000</x:v>
      </x:c>
      <x:c r="H958" s="169" t="n">
        <x:f>F958/1000</x:f>
        <x:v>-3635.976</x:v>
      </x:c>
      <x:c r="I958" s="169" t="n">
        <x:f>DGKC!F102</x:f>
        <x:v>-3635.976</x:v>
      </x:c>
      <x:c r="J958" s="169" t="n">
        <x:f>H958-I958</x:f>
        <x:v>0</x:v>
      </x:c>
      <x:c r="K958" s="168" t="str">
        <x:v>DGAnnual2024.pdf</x:v>
      </x:c>
      <x:c r="L958" s="168" t="n">
        <x:v>153</x:v>
      </x:c>
      <x:c r="M958" s="168" t="str">
        <x:v>Comparative</x:v>
      </x:c>
      <x:c r="N958" s="171" t="str">
        <x:v>Printed amount independently located</x:v>
      </x:c>
      <x:c r="O958" s="171" t="str">
        <x:v>Exact source amount found; audited year/current-comparative column recorded. Accounting subtotal tests performed separately.</x:v>
      </x:c>
      <x:c r="P958" s="171" t="str">
        <x:v>vy   35  (520,848) (364,054)
Profit before income tax  2,318,062 2,798,489
Taxation  36 (1,775,666) (6,434,465)
Profit / (loss) for the year  542,396 (3,635,976)
     Rupees  Rupees 
Earnings / (loss) per share - basic and diluted 37 1.24 (8.30)
The annexed notes 1 to 48 form an integral part of these unconsolidated financial statements.</x:v>
      </x:c>
    </x:row>
    <x:row r="959" ht="82" customHeight="1">
      <x:c r="A959" s="76" t="str">
        <x:v>DGKC|pr_pat|2024</x:v>
      </x:c>
      <x:c r="B959" s="76" t="str">
        <x:v>DGKC</x:v>
      </x:c>
      <x:c r="C959" s="76" t="str">
        <x:v>FY2024</x:v>
      </x:c>
      <x:c r="D959" s="76" t="str">
        <x:v>Printed profit after tax</x:v>
      </x:c>
      <x:c r="E959" s="170" t="n">
        <x:v>542396</x:v>
      </x:c>
      <x:c r="F959" s="170" t="n">
        <x:v>542396</x:v>
      </x:c>
      <x:c r="G959" s="170" t="str">
        <x:v>Rs '000</x:v>
      </x:c>
      <x:c r="H959" s="170" t="n">
        <x:f>F959/1000</x:f>
        <x:v>542.396</x:v>
      </x:c>
      <x:c r="I959" s="170" t="n">
        <x:f>DGKC!G102</x:f>
        <x:v>542.396</x:v>
      </x:c>
      <x:c r="J959" s="170" t="n">
        <x:f>H959-I959</x:f>
        <x:v>0</x:v>
      </x:c>
      <x:c r="K959" s="76" t="str">
        <x:v>DGAnnual2025.pdf</x:v>
      </x:c>
      <x:c r="L959" s="76" t="n">
        <x:v>155</x:v>
      </x:c>
      <x:c r="M959" s="76" t="str">
        <x:v>Comparative</x:v>
      </x:c>
      <x:c r="N959" s="99" t="str">
        <x:v>Printed amount independently located</x:v>
      </x:c>
      <x:c r="O959" s="99" t="str">
        <x:v>Exact source amount found; audited year/current-comparative column recorded. Accounting subtotal tests performed separately.</x:v>
      </x:c>
      <x:c r="P959" s="99" t="str">
        <x:v>0
Levy   35 (577,125) (520,848)
Profit before income tax  12,427,487 2,318,062
Income tax 36  (3,752,428) (1,775,666)
Profit for the year   8,675,059 542,396
     Rupees  Rupees 
Earnings per share - basic and diluted 37  19.80 1.24
The annexed notes 1 to 51 form an integral part of these unconsolidated financial statements.</x:v>
      </x:c>
    </x:row>
    <x:row r="960" ht="82" customHeight="1">
      <x:c r="A960" s="168" t="str">
        <x:v>DGKC|pr_pat|2025</x:v>
      </x:c>
      <x:c r="B960" s="168" t="str">
        <x:v>DGKC</x:v>
      </x:c>
      <x:c r="C960" s="168" t="str">
        <x:v>FY2025</x:v>
      </x:c>
      <x:c r="D960" s="168" t="str">
        <x:v>Printed profit after tax</x:v>
      </x:c>
      <x:c r="E960" s="169" t="n">
        <x:v>8675059</x:v>
      </x:c>
      <x:c r="F960" s="169" t="n">
        <x:v>8675059</x:v>
      </x:c>
      <x:c r="G960" s="169" t="str">
        <x:v>Rs '000</x:v>
      </x:c>
      <x:c r="H960" s="169" t="n">
        <x:f>F960/1000</x:f>
        <x:v>8675.059</x:v>
      </x:c>
      <x:c r="I960" s="169" t="n">
        <x:f>DGKC!H102</x:f>
        <x:v>8675.059</x:v>
      </x:c>
      <x:c r="J960" s="169" t="n">
        <x:f>H960-I960</x:f>
        <x:v>0</x:v>
      </x:c>
      <x:c r="K960" s="168" t="str">
        <x:v>DGAnnual2025.pdf</x:v>
      </x:c>
      <x:c r="L960" s="168" t="n">
        <x:v>155</x:v>
      </x:c>
      <x:c r="M960" s="168" t="str">
        <x:v>Current year</x:v>
      </x:c>
      <x:c r="N960" s="171" t="str">
        <x:v>Printed amount independently located</x:v>
      </x:c>
      <x:c r="O960" s="171" t="str">
        <x:v>Exact source amount found; audited year/current-comparative column recorded. Accounting subtotal tests performed separately.</x:v>
      </x:c>
      <x:c r="P960" s="171" t="str">
        <x:v>2 2,838,910
Levy   35 (577,125) (520,848)
Profit before income tax  12,427,487 2,318,062
Income tax 36  (3,752,428) (1,775,666)
Profit for the year   8,675,059 542,396
     Rupees  Rupees 
Earnings per share - basic and diluted 37  19.80 1.24
The annexed notes 1 to 51 form an integral part of these unconsolidated financial statements.</x:v>
      </x:c>
    </x:row>
    <x:row r="961" ht="82" customHeight="1">
      <x:c r="A961" s="76" t="str">
        <x:v>DGKC|fc_nonint|2021</x:v>
      </x:c>
      <x:c r="B961" s="76" t="str">
        <x:v>DGKC</x:v>
      </x:c>
      <x:c r="C961" s="76" t="str">
        <x:v>FY2021</x:v>
      </x:c>
      <x:c r="D961" s="76" t="str">
        <x:v>Non-interest finance costs (bank charges, commission, exchange loss) (note)</x:v>
      </x:c>
      <x:c r="E961" s="170" t="n">
        <x:v>34766</x:v>
      </x:c>
      <x:c r="F961" s="170" t="n">
        <x:v>34766</x:v>
      </x:c>
      <x:c r="G961" s="170" t="str">
        <x:v>Rs '000</x:v>
      </x:c>
      <x:c r="H961" s="170" t="n">
        <x:f>F961/1000</x:f>
        <x:v>34.766</x:v>
      </x:c>
      <x:c r="I961" s="170" t="n">
        <x:f>DGKC!D105</x:f>
        <x:v>34.766</x:v>
      </x:c>
      <x:c r="J961" s="170" t="n">
        <x:f>H961-I961</x:f>
        <x:v>0</x:v>
      </x:c>
      <x:c r="K961" s="76" t="str">
        <x:v>DG_Annual_Report_2022.pdf</x:v>
      </x:c>
      <x:c r="L961" s="76" t="n">
        <x:v>177</x:v>
      </x:c>
      <x:c r="M961" s="76" t="str">
        <x:v>Comparative</x:v>
      </x:c>
      <x:c r="N961" s="99" t="str">
        <x:v>Aggregated audited components</x:v>
      </x:c>
      <x:c r="O961" s="99" t="str">
        <x:v>Signed non-interest finance charges separated from expensed interest; exchange gains retain negative sign in this aggregation.</x:v>
      </x:c>
      <x:c r="P961" s="99" t="str">
        <x:v>Guarantee commission  - 6,995 | Bank charges  26,530 27,771</x:v>
      </x:c>
    </x:row>
    <x:row r="962" ht="82" customHeight="1">
      <x:c r="A962" s="168" t="str">
        <x:v>DGKC|fc_nonint|2022</x:v>
      </x:c>
      <x:c r="B962" s="168" t="str">
        <x:v>DGKC</x:v>
      </x:c>
      <x:c r="C962" s="168" t="str">
        <x:v>FY2022</x:v>
      </x:c>
      <x:c r="D962" s="168" t="str">
        <x:v>Non-interest finance costs (bank charges, commission, exchange loss) (note)</x:v>
      </x:c>
      <x:c r="E962" s="169" t="n">
        <x:v>26530</x:v>
      </x:c>
      <x:c r="F962" s="169" t="n">
        <x:v>26530</x:v>
      </x:c>
      <x:c r="G962" s="169" t="str">
        <x:v>Rs '000</x:v>
      </x:c>
      <x:c r="H962" s="169" t="n">
        <x:f>F962/1000</x:f>
        <x:v>26.53</x:v>
      </x:c>
      <x:c r="I962" s="169" t="n">
        <x:f>DGKC!E105</x:f>
        <x:v>26.53</x:v>
      </x:c>
      <x:c r="J962" s="169" t="n">
        <x:f>H962-I962</x:f>
        <x:v>0</x:v>
      </x:c>
      <x:c r="K962" s="168" t="str">
        <x:v>DGAnnual2023.pdf</x:v>
      </x:c>
      <x:c r="L962" s="168" t="n">
        <x:v>201</x:v>
      </x:c>
      <x:c r="M962" s="168" t="str">
        <x:v>Comparative</x:v>
      </x:c>
      <x:c r="N962" s="171" t="str">
        <x:v>Printed amount independently located</x:v>
      </x:c>
      <x:c r="O962" s="171" t="str">
        <x:v>Signed non-interest finance charges separated from expensed interest; exchange gains retain negative sign in this aggregation.</x:v>
      </x:c>
      <x:c r="P962" s="171" t="str">
        <x:v>Exchange loss   - 839,234 | Exchange gain  84,075 - | Bank charges  38,493 26,530</x:v>
      </x:c>
    </x:row>
    <x:row r="963" ht="82" customHeight="1">
      <x:c r="A963" s="76" t="str">
        <x:v>DGKC|fc_nonint|2023</x:v>
      </x:c>
      <x:c r="B963" s="76" t="str">
        <x:v>DGKC</x:v>
      </x:c>
      <x:c r="C963" s="76" t="str">
        <x:v>FY2023</x:v>
      </x:c>
      <x:c r="D963" s="76" t="str">
        <x:v>Non-interest finance costs (bank charges, commission, exchange loss) (note)</x:v>
      </x:c>
      <x:c r="E963" s="170" t="n">
        <x:v>38493</x:v>
      </x:c>
      <x:c r="F963" s="170" t="n">
        <x:v>38493</x:v>
      </x:c>
      <x:c r="G963" s="170" t="str">
        <x:v>Rs '000</x:v>
      </x:c>
      <x:c r="H963" s="170" t="n">
        <x:f>F963/1000</x:f>
        <x:v>38.493</x:v>
      </x:c>
      <x:c r="I963" s="170" t="n">
        <x:f>DGKC!F105</x:f>
        <x:v>38.493</x:v>
      </x:c>
      <x:c r="J963" s="170" t="n">
        <x:f>H963-I963</x:f>
        <x:v>0</x:v>
      </x:c>
      <x:c r="K963" s="76" t="str">
        <x:v>DGAnnual2024.pdf</x:v>
      </x:c>
      <x:c r="L963" s="76" t="n">
        <x:v>204</x:v>
      </x:c>
      <x:c r="M963" s="76" t="str">
        <x:v>Comparative</x:v>
      </x:c>
      <x:c r="N963" s="99" t="str">
        <x:v>Printed amount independently located</x:v>
      </x:c>
      <x:c r="O963" s="99" t="str">
        <x:v>Signed non-interest finance charges separated from expensed interest; exchange gains retain negative sign in this aggregation.</x:v>
      </x:c>
      <x:c r="P963" s="99" t="str">
        <x:v>Bank charges   76,127 38,493</x:v>
      </x:c>
    </x:row>
    <x:row r="964" ht="82" customHeight="1">
      <x:c r="A964" s="168" t="str">
        <x:v>DGKC|fc_nonint|2024</x:v>
      </x:c>
      <x:c r="B964" s="168" t="str">
        <x:v>DGKC</x:v>
      </x:c>
      <x:c r="C964" s="168" t="str">
        <x:v>FY2024</x:v>
      </x:c>
      <x:c r="D964" s="168" t="str">
        <x:v>Non-interest finance costs (bank charges, commission, exchange loss) (note)</x:v>
      </x:c>
      <x:c r="E964" s="169" t="n">
        <x:v>76127</x:v>
      </x:c>
      <x:c r="F964" s="169" t="n">
        <x:v>76127</x:v>
      </x:c>
      <x:c r="G964" s="169" t="str">
        <x:v>Rs '000</x:v>
      </x:c>
      <x:c r="H964" s="169" t="n">
        <x:f>F964/1000</x:f>
        <x:v>76.127</x:v>
      </x:c>
      <x:c r="I964" s="169" t="n">
        <x:f>DGKC!G105</x:f>
        <x:v>76.127</x:v>
      </x:c>
      <x:c r="J964" s="169" t="n">
        <x:f>H964-I964</x:f>
        <x:v>0</x:v>
      </x:c>
      <x:c r="K964" s="168" t="str">
        <x:v>DGAnnual2025.pdf</x:v>
      </x:c>
      <x:c r="L964" s="168" t="n">
        <x:v>209</x:v>
      </x:c>
      <x:c r="M964" s="168" t="str">
        <x:v>Comparative</x:v>
      </x:c>
      <x:c r="N964" s="171" t="str">
        <x:v>Printed amount independently located</x:v>
      </x:c>
      <x:c r="O964" s="171" t="str">
        <x:v>Signed non-interest finance charges separated from expensed interest; exchange gains retain negative sign in this aggregation.</x:v>
      </x:c>
      <x:c r="P964" s="171" t="str">
        <x:v>-  Bank charges  53,669 76,127</x:v>
      </x:c>
    </x:row>
    <x:row r="965" ht="82" customHeight="1">
      <x:c r="A965" s="76" t="str">
        <x:v>DGKC|fc_nonint|2025</x:v>
      </x:c>
      <x:c r="B965" s="76" t="str">
        <x:v>DGKC</x:v>
      </x:c>
      <x:c r="C965" s="76" t="str">
        <x:v>FY2025</x:v>
      </x:c>
      <x:c r="D965" s="76" t="str">
        <x:v>Non-interest finance costs (bank charges, commission, exchange loss) (note)</x:v>
      </x:c>
      <x:c r="E965" s="170" t="n">
        <x:v>53669</x:v>
      </x:c>
      <x:c r="F965" s="170" t="n">
        <x:v>53669</x:v>
      </x:c>
      <x:c r="G965" s="170" t="str">
        <x:v>Rs '000</x:v>
      </x:c>
      <x:c r="H965" s="170" t="n">
        <x:f>F965/1000</x:f>
        <x:v>53.669</x:v>
      </x:c>
      <x:c r="I965" s="170" t="n">
        <x:f>DGKC!H105</x:f>
        <x:v>53.669</x:v>
      </x:c>
      <x:c r="J965" s="170" t="n">
        <x:f>H965-I965</x:f>
        <x:v>0</x:v>
      </x:c>
      <x:c r="K965" s="76" t="str">
        <x:v>DGAnnual2025.pdf</x:v>
      </x:c>
      <x:c r="L965" s="76" t="n">
        <x:v>209</x:v>
      </x:c>
      <x:c r="M965" s="76" t="str">
        <x:v>Current year</x:v>
      </x:c>
      <x:c r="N965" s="99" t="str">
        <x:v>Printed amount independently located</x:v>
      </x:c>
      <x:c r="O965" s="99" t="str">
        <x:v>Signed non-interest finance charges separated from expensed interest; exchange gains retain negative sign in this aggregation.</x:v>
      </x:c>
      <x:c r="P965" s="99" t="str">
        <x:v>-  Bank charges  53,669 76,127</x:v>
      </x:c>
    </x:row>
    <x:row r="966" ht="82" customHeight="1">
      <x:c r="A966" s="168" t="str">
        <x:v>DGKC|da|2021</x:v>
      </x:c>
      <x:c r="B966" s="168" t="str">
        <x:v>DGKC</x:v>
      </x:c>
      <x:c r="C966" s="168" t="str">
        <x:v>FY2021</x:v>
      </x:c>
      <x:c r="D966" s="168" t="str">
        <x:v>Depreciation and amortisation (cash flow reconciliation)</x:v>
      </x:c>
      <x:c r="E966" s="169" t="n">
        <x:v>3580807</x:v>
      </x:c>
      <x:c r="F966" s="169" t="n">
        <x:v>3580807</x:v>
      </x:c>
      <x:c r="G966" s="169" t="str">
        <x:v>Rs '000</x:v>
      </x:c>
      <x:c r="H966" s="169" t="n">
        <x:f>F966/1000</x:f>
        <x:v>3580.807</x:v>
      </x:c>
      <x:c r="I966" s="169" t="n">
        <x:f>DGKC!D107</x:f>
        <x:v>3580.807</x:v>
      </x:c>
      <x:c r="J966" s="169" t="n">
        <x:f>H966-I966</x:f>
        <x:v>0</x:v>
      </x:c>
      <x:c r="K966" s="168" t="str">
        <x:v>DG_Annual_Report_2022.pdf</x:v>
      </x:c>
      <x:c r="L966" s="168" t="n">
        <x:v>179</x:v>
      </x:c>
      <x:c r="M966" s="168" t="str">
        <x:v>Comparative</x:v>
      </x:c>
      <x:c r="N966" s="171" t="str">
        <x:v>Printed amount independently located</x:v>
      </x:c>
      <x:c r="O966" s="171" t="str">
        <x:v>Exact source amount found; audited year/current-comparative column recorded. Accounting subtotal tests performed separately.</x:v>
      </x:c>
      <x:c r="P966" s="171" t="str">
        <x:v>erated from operations
 Profit before tax   6,019,761 4,771,405
 Adjustments for: 
 -  Depreciation on operating fixed assets - note 17.1.3 3,909,107 3,580,807
 -  Amortization of intangible assets - note 30 4,181 -
 -  Gain on disposal of operating fixed assets - note 33 (74,399) (39,735)
 -  Dividend income - note 33 (2,302,735) (2,197</x:v>
      </x:c>
    </x:row>
    <x:row r="967" ht="82" customHeight="1">
      <x:c r="A967" s="76" t="str">
        <x:v>DGKC|da|2022</x:v>
      </x:c>
      <x:c r="B967" s="76" t="str">
        <x:v>DGKC</x:v>
      </x:c>
      <x:c r="C967" s="76" t="str">
        <x:v>FY2022</x:v>
      </x:c>
      <x:c r="D967" s="76" t="str">
        <x:v>Depreciation and amortisation (cash flow reconciliation)</x:v>
      </x:c>
      <x:c r="E967" s="170" t="n">
        <x:v>3913288</x:v>
      </x:c>
      <x:c r="F967" s="170" t="n">
        <x:v>3913288</x:v>
      </x:c>
      <x:c r="G967" s="170" t="str">
        <x:v>Rs '000</x:v>
      </x:c>
      <x:c r="H967" s="170" t="n">
        <x:f>F967/1000</x:f>
        <x:v>3913.288</x:v>
      </x:c>
      <x:c r="I967" s="170" t="n">
        <x:f>DGKC!E107</x:f>
        <x:v>3913.288</x:v>
      </x:c>
      <x:c r="J967" s="170" t="n">
        <x:f>H967-I967</x:f>
        <x:v>0</x:v>
      </x:c>
      <x:c r="K967" s="76" t="str">
        <x:v>DGAnnual2023.pdf</x:v>
      </x:c>
      <x:c r="L967" s="76" t="n">
        <x:v>204</x:v>
      </x:c>
      <x:c r="M967" s="76" t="str">
        <x:v>Comparative</x:v>
      </x:c>
      <x:c r="N967" s="99" t="str">
        <x:v>Aggregated audited components</x:v>
      </x:c>
      <x:c r="O967" s="99" t="str">
        <x:v>Source-labelled component sum; statement controls and signed-unit conversion independently recomputed.</x:v>
      </x:c>
      <x:c r="P967" s="99" t="str">
        <x:v>
2023
Annual Report
DGKC
203
  2023 2022
  (Rupees in thousand)
37. Cash generated from operations
 Profit before tax   3,162,543 6,019,761
 Adjustments for: 
 -  Depreciation on o | Components: - Depreciation on operating fixed a; - Amortization of intangible assets</x:v>
      </x:c>
    </x:row>
    <x:row r="968" ht="82" customHeight="1">
      <x:c r="A968" s="168" t="str">
        <x:v>DGKC|da|2023</x:v>
      </x:c>
      <x:c r="B968" s="168" t="str">
        <x:v>DGKC</x:v>
      </x:c>
      <x:c r="C968" s="168" t="str">
        <x:v>FY2023</x:v>
      </x:c>
      <x:c r="D968" s="168" t="str">
        <x:v>Depreciation and amortisation (cash flow reconciliation)</x:v>
      </x:c>
      <x:c r="E968" s="169" t="n">
        <x:v>3944128</x:v>
      </x:c>
      <x:c r="F968" s="169" t="n">
        <x:v>3944128</x:v>
      </x:c>
      <x:c r="G968" s="169" t="str">
        <x:v>Rs '000</x:v>
      </x:c>
      <x:c r="H968" s="169" t="n">
        <x:f>F968/1000</x:f>
        <x:v>3944.128</x:v>
      </x:c>
      <x:c r="I968" s="169" t="n">
        <x:f>DGKC!F107</x:f>
        <x:v>3944.128</x:v>
      </x:c>
      <x:c r="J968" s="169" t="n">
        <x:f>H968-I968</x:f>
        <x:v>0</x:v>
      </x:c>
      <x:c r="K968" s="168" t="str">
        <x:v>DGAnnual2024.pdf</x:v>
      </x:c>
      <x:c r="L968" s="168" t="n">
        <x:v>207</x:v>
      </x:c>
      <x:c r="M968" s="168" t="str">
        <x:v>Comparative</x:v>
      </x:c>
      <x:c r="N968" s="171" t="str">
        <x:v>Aggregated audited components</x:v>
      </x:c>
      <x:c r="O968" s="171" t="str">
        <x:v>Source-labelled component sum; statement controls and signed-unit conversion independently recomputed.</x:v>
      </x:c>
      <x:c r="P968" s="171" t="str">
        <x:v>
206
DGKC Annual Report 2024
  2024 2023
  (Rupees in thousand)
   (Re-stated)
39. Cash generated from operations
 Profit before income tax   2,318,062 2,798,489
 Adjustments for:
 | Components: - Depreciation on operating fixed a; - Amortization of intangible assets</x:v>
      </x:c>
    </x:row>
    <x:row r="969" ht="82" customHeight="1">
      <x:c r="A969" s="76" t="str">
        <x:v>DGKC|da|2024</x:v>
      </x:c>
      <x:c r="B969" s="76" t="str">
        <x:v>DGKC</x:v>
      </x:c>
      <x:c r="C969" s="76" t="str">
        <x:v>FY2024</x:v>
      </x:c>
      <x:c r="D969" s="76" t="str">
        <x:v>Depreciation and amortisation (cash flow reconciliation)</x:v>
      </x:c>
      <x:c r="E969" s="170" t="n">
        <x:v>3853452</x:v>
      </x:c>
      <x:c r="F969" s="170" t="n">
        <x:v>3853452</x:v>
      </x:c>
      <x:c r="G969" s="170" t="str">
        <x:v>Rs '000</x:v>
      </x:c>
      <x:c r="H969" s="170" t="n">
        <x:f>F969/1000</x:f>
        <x:v>3853.452</x:v>
      </x:c>
      <x:c r="I969" s="170" t="n">
        <x:f>DGKC!G107</x:f>
        <x:v>3853.452</x:v>
      </x:c>
      <x:c r="J969" s="170" t="n">
        <x:f>H969-I969</x:f>
        <x:v>0</x:v>
      </x:c>
      <x:c r="K969" s="76" t="str">
        <x:v>DGAnnual2025.pdf</x:v>
      </x:c>
      <x:c r="L969" s="76" t="n">
        <x:v>212</x:v>
      </x:c>
      <x:c r="M969" s="76" t="str">
        <x:v>Comparative</x:v>
      </x:c>
      <x:c r="N969" s="99" t="str">
        <x:v>Aggregated audited components</x:v>
      </x:c>
      <x:c r="O969" s="99" t="str">
        <x:v>Source-labelled component sum; statement controls and signed-unit conversion independently recomputed.</x:v>
      </x:c>
      <x:c r="P969" s="99" t="str">
        <x:v>
  2025 2024
  (Rupees in thousand)
   (Re-stated)
39. Cash generated from operations
 Profit before income tax  12,427,487 2,318,062
 Adjustments for: 
 -  Depreciation on operati | Components: - Depreciation on operating fixed a; - Amortization of intangible assets</x:v>
      </x:c>
    </x:row>
    <x:row r="970" ht="82" customHeight="1">
      <x:c r="A970" s="168" t="str">
        <x:v>DGKC|da|2025</x:v>
      </x:c>
      <x:c r="B970" s="168" t="str">
        <x:v>DGKC</x:v>
      </x:c>
      <x:c r="C970" s="168" t="str">
        <x:v>FY2025</x:v>
      </x:c>
      <x:c r="D970" s="168" t="str">
        <x:v>Depreciation and amortisation (cash flow reconciliation)</x:v>
      </x:c>
      <x:c r="E970" s="169" t="n">
        <x:v>3832602</x:v>
      </x:c>
      <x:c r="F970" s="169" t="n">
        <x:v>3832602</x:v>
      </x:c>
      <x:c r="G970" s="169" t="str">
        <x:v>Rs '000</x:v>
      </x:c>
      <x:c r="H970" s="169" t="n">
        <x:f>F970/1000</x:f>
        <x:v>3832.602</x:v>
      </x:c>
      <x:c r="I970" s="169" t="n">
        <x:f>DGKC!H107</x:f>
        <x:v>3832.602</x:v>
      </x:c>
      <x:c r="J970" s="169" t="n">
        <x:f>H970-I970</x:f>
        <x:v>0</x:v>
      </x:c>
      <x:c r="K970" s="168" t="str">
        <x:v>DGAnnual2025.pdf</x:v>
      </x:c>
      <x:c r="L970" s="168" t="n">
        <x:v>212</x:v>
      </x:c>
      <x:c r="M970" s="168" t="str">
        <x:v>Current year</x:v>
      </x:c>
      <x:c r="N970" s="171" t="str">
        <x:v>Aggregated audited components</x:v>
      </x:c>
      <x:c r="O970" s="171" t="str">
        <x:v>Source-labelled component sum; statement controls and signed-unit conversion independently recomputed.</x:v>
      </x:c>
      <x:c r="P970" s="171" t="str">
        <x:v>
  2025 2024
  (Rupees in thousand)
   (Re-stated)
39. Cash generated from operations
 Profit before income tax  12,427,487 2,318,062
 Adjustments for: 
 -  Depreciation on operati | Components: - Depreciation on operating fixed a; - Amortization of intangible assets</x:v>
      </x:c>
    </x:row>
    <x:row r="971" ht="82" customHeight="1">
      <x:c r="A971" s="76" t="str">
        <x:v>DGKC|cgo|2021</x:v>
      </x:c>
      <x:c r="B971" s="76" t="str">
        <x:v>DGKC</x:v>
      </x:c>
      <x:c r="C971" s="76" t="str">
        <x:v>FY2021</x:v>
      </x:c>
      <x:c r="D971" s="76" t="str">
        <x:v>Cash generated from operations (before interest, tax and other items)</x:v>
      </x:c>
      <x:c r="E971" s="170" t="n">
        <x:v>10472429</x:v>
      </x:c>
      <x:c r="F971" s="170" t="n">
        <x:v>10472429</x:v>
      </x:c>
      <x:c r="G971" s="170" t="str">
        <x:v>Rs '000</x:v>
      </x:c>
      <x:c r="H971" s="170" t="n">
        <x:f>F971/1000</x:f>
        <x:v>10472.429</x:v>
      </x:c>
      <x:c r="I971" s="170" t="n">
        <x:f>DGKC!D116</x:f>
        <x:v>10472.429</x:v>
      </x:c>
      <x:c r="J971" s="170" t="n">
        <x:f>H971-I971</x:f>
        <x:v>0</x:v>
      </x:c>
      <x:c r="K971" s="76" t="str">
        <x:v>DG_Annual_Report_2022.pdf</x:v>
      </x:c>
      <x:c r="L971" s="76" t="n">
        <x:v>129</x:v>
      </x:c>
      <x:c r="M971" s="76" t="str">
        <x:v>Comparative</x:v>
      </x:c>
      <x:c r="N971" s="99" t="str">
        <x:v>Printed amount independently located</x:v>
      </x:c>
      <x:c r="O971" s="99" t="str">
        <x:v>Exact source amount found; audited year/current-comparative column recorded. Accounting subtotal tests performed separately.</x:v>
      </x:c>
      <x:c r="P971" s="99" t="str">
        <x:v>128
ANNUA L REPORT 2022  DGKC
   2022 2021
  Note (Rupees in thousand)
Cash flows from operating activities
Cash generated from operations 38 941,866 10,472,429
Finance cost paid   (3,195,727) (3,125,381)
Retirement and other benefits paid   (108,762) (74,770)
Income tax paid    (1,604,041)  (1,104,143)
Long term deposits - net  34,185 (6</x:v>
      </x:c>
    </x:row>
    <x:row r="972" ht="82" customHeight="1">
      <x:c r="A972" s="168" t="str">
        <x:v>DGKC|cgo|2022</x:v>
      </x:c>
      <x:c r="B972" s="168" t="str">
        <x:v>DGKC</x:v>
      </x:c>
      <x:c r="C972" s="168" t="str">
        <x:v>FY2022</x:v>
      </x:c>
      <x:c r="D972" s="168" t="str">
        <x:v>Cash generated from operations (before interest, tax and other items)</x:v>
      </x:c>
      <x:c r="E972" s="169" t="n">
        <x:v>941866</x:v>
      </x:c>
      <x:c r="F972" s="169" t="n">
        <x:v>941866</x:v>
      </x:c>
      <x:c r="G972" s="169" t="str">
        <x:v>Rs '000</x:v>
      </x:c>
      <x:c r="H972" s="169" t="n">
        <x:f>F972/1000</x:f>
        <x:v>941.866</x:v>
      </x:c>
      <x:c r="I972" s="169" t="n">
        <x:f>DGKC!E116</x:f>
        <x:v>941.866</x:v>
      </x:c>
      <x:c r="J972" s="169" t="n">
        <x:f>H972-I972</x:f>
        <x:v>0</x:v>
      </x:c>
      <x:c r="K972" s="168" t="str">
        <x:v>DGAnnual2023.pdf</x:v>
      </x:c>
      <x:c r="L972" s="168" t="n">
        <x:v>155</x:v>
      </x:c>
      <x:c r="M972" s="168" t="str">
        <x:v>Comparative</x:v>
      </x:c>
      <x:c r="N972" s="171" t="str">
        <x:v>Printed amount independently located</x:v>
      </x:c>
      <x:c r="O972" s="171" t="str">
        <x:v>Exact source amount found; audited year/current-comparative column recorded. Accounting subtotal tests performed separately.</x:v>
      </x:c>
      <x:c r="P972" s="171" t="str">
        <x:v>2023 2022
  Note (Rupees in thousand)
Cash flows from operating activities
Cash generated from operations 37 13,397,298 941,866
Finance cost paid  (5,998,599)  (3,195,727)
Retirement and other benefits paid   (127,441) (108,762)
Income tax paid    (925,544) (1,604,041)
Long term deposits - net  158,520 34,</x:v>
      </x:c>
    </x:row>
    <x:row r="973" ht="82" customHeight="1">
      <x:c r="A973" s="76" t="str">
        <x:v>DGKC|cgo|2023</x:v>
      </x:c>
      <x:c r="B973" s="76" t="str">
        <x:v>DGKC</x:v>
      </x:c>
      <x:c r="C973" s="76" t="str">
        <x:v>FY2023</x:v>
      </x:c>
      <x:c r="D973" s="76" t="str">
        <x:v>Cash generated from operations (before interest, tax and other items)</x:v>
      </x:c>
      <x:c r="E973" s="170" t="n">
        <x:v>13397298</x:v>
      </x:c>
      <x:c r="F973" s="170" t="n">
        <x:v>13397298</x:v>
      </x:c>
      <x:c r="G973" s="170" t="str">
        <x:v>Rs '000</x:v>
      </x:c>
      <x:c r="H973" s="170" t="n">
        <x:f>F973/1000</x:f>
        <x:v>13397.298</x:v>
      </x:c>
      <x:c r="I973" s="170" t="n">
        <x:f>DGKC!F116</x:f>
        <x:v>13397.298</x:v>
      </x:c>
      <x:c r="J973" s="170" t="n">
        <x:f>H973-I973</x:f>
        <x:v>0</x:v>
      </x:c>
      <x:c r="K973" s="76" t="str">
        <x:v>DGAnnual2024.pdf</x:v>
      </x:c>
      <x:c r="L973" s="76" t="n">
        <x:v>155</x:v>
      </x:c>
      <x:c r="M973" s="76" t="str">
        <x:v>Comparative</x:v>
      </x:c>
      <x:c r="N973" s="99" t="str">
        <x:v>Printed amount independently located</x:v>
      </x:c>
      <x:c r="O973" s="99" t="str">
        <x:v>Exact source amount found; audited year/current-comparative column recorded. Accounting subtotal tests performed separately.</x:v>
      </x:c>
      <x:c r="P973" s="99" t="str">
        <x:v>t 2024
   2024 2023
  Note (Rupees in thousand)
     (Re-stated)
Cash flows from operating activities   
Cash generated from operations 39 13,222,675 13,397,298
Finance cost paid  (8,460,206) (5,998,599)
Retirement and other benefits paid   (204,892  (127,441)
Income tax refunded / (paid)  1,859,765 (561,490)
Levy - final taxes paid  (520</x:v>
      </x:c>
    </x:row>
    <x:row r="974" ht="82" customHeight="1">
      <x:c r="A974" s="168" t="str">
        <x:v>DGKC|cgo|2024</x:v>
      </x:c>
      <x:c r="B974" s="168" t="str">
        <x:v>DGKC</x:v>
      </x:c>
      <x:c r="C974" s="168" t="str">
        <x:v>FY2024</x:v>
      </x:c>
      <x:c r="D974" s="168" t="str">
        <x:v>Cash generated from operations (before interest, tax and other items)</x:v>
      </x:c>
      <x:c r="E974" s="169" t="n">
        <x:v>13222675</x:v>
      </x:c>
      <x:c r="F974" s="169" t="n">
        <x:v>13222675</x:v>
      </x:c>
      <x:c r="G974" s="169" t="str">
        <x:v>Rs '000</x:v>
      </x:c>
      <x:c r="H974" s="169" t="n">
        <x:f>F974/1000</x:f>
        <x:v>13222.675</x:v>
      </x:c>
      <x:c r="I974" s="169" t="n">
        <x:f>DGKC!G116</x:f>
        <x:v>13222.675</x:v>
      </x:c>
      <x:c r="J974" s="169" t="n">
        <x:f>H974-I974</x:f>
        <x:v>0</x:v>
      </x:c>
      <x:c r="K974" s="168" t="str">
        <x:v>DGAnnual2025.pdf</x:v>
      </x:c>
      <x:c r="L974" s="168" t="n">
        <x:v>157</x:v>
      </x:c>
      <x:c r="M974" s="168" t="str">
        <x:v>Comparative</x:v>
      </x:c>
      <x:c r="N974" s="171" t="str">
        <x:v>Printed amount independently located</x:v>
      </x:c>
      <x:c r="O974" s="171" t="str">
        <x:v>Exact source amount found; audited year/current-comparative column recorded. Accounting subtotal tests performed separately.</x:v>
      </x:c>
      <x:c r="P974" s="171" t="str">
        <x:v>2025 2024
  Note (Rupees in thousand)
Cash flows from operating activities   
Cash generated from operations 39 15,811,428 13,222,675
Finance cost paid  (4,921,199) (8,460,206)
Retirement and other benefits paid  (198,725) (204,892)
Income tax (paid) / refunded   (447,791) 1,859,765
Levy - final taxes paid  (577</x:v>
      </x:c>
    </x:row>
    <x:row r="975" ht="82" customHeight="1">
      <x:c r="A975" s="76" t="str">
        <x:v>DGKC|cgo|2025</x:v>
      </x:c>
      <x:c r="B975" s="76" t="str">
        <x:v>DGKC</x:v>
      </x:c>
      <x:c r="C975" s="76" t="str">
        <x:v>FY2025</x:v>
      </x:c>
      <x:c r="D975" s="76" t="str">
        <x:v>Cash generated from operations (before interest, tax and other items)</x:v>
      </x:c>
      <x:c r="E975" s="170" t="n">
        <x:v>15811428</x:v>
      </x:c>
      <x:c r="F975" s="170" t="n">
        <x:v>15811428</x:v>
      </x:c>
      <x:c r="G975" s="170" t="str">
        <x:v>Rs '000</x:v>
      </x:c>
      <x:c r="H975" s="170" t="n">
        <x:f>F975/1000</x:f>
        <x:v>15811.428</x:v>
      </x:c>
      <x:c r="I975" s="170" t="n">
        <x:f>DGKC!H116</x:f>
        <x:v>15811.428</x:v>
      </x:c>
      <x:c r="J975" s="170" t="n">
        <x:f>H975-I975</x:f>
        <x:v>0</x:v>
      </x:c>
      <x:c r="K975" s="76" t="str">
        <x:v>DGAnnual2025.pdf</x:v>
      </x:c>
      <x:c r="L975" s="76" t="n">
        <x:v>157</x:v>
      </x:c>
      <x:c r="M975" s="76" t="str">
        <x:v>Current year</x:v>
      </x:c>
      <x:c r="N975" s="99" t="str">
        <x:v>Printed amount independently located</x:v>
      </x:c>
      <x:c r="O975" s="99" t="str">
        <x:v>Exact source amount found; audited year/current-comparative column recorded. Accounting subtotal tests performed separately.</x:v>
      </x:c>
      <x:c r="P975" s="99" t="str">
        <x:v>2025 2024
  Note (Rupees in thousand)
Cash flows from operating activities   
Cash generated from operations 39 15,811,428 13,222,675
Finance cost paid  (4,921,199) (8,460,206)
Retirement and other benefits paid  (198,725) (204,892)
Income tax (paid) / refunded   (447,791) 1,859,765
Levy - final taxes</x:v>
      </x:c>
    </x:row>
    <x:row r="976" ht="82" customHeight="1">
      <x:c r="A976" s="168" t="str">
        <x:v>DGKC|cfo|2021</x:v>
      </x:c>
      <x:c r="B976" s="168" t="str">
        <x:v>DGKC</x:v>
      </x:c>
      <x:c r="C976" s="168" t="str">
        <x:v>FY2021</x:v>
      </x:c>
      <x:c r="D976" s="168" t="str">
        <x:v>Net cash from operating activities (as reported)</x:v>
      </x:c>
      <x:c r="E976" s="169" t="n">
        <x:v>6161190</x:v>
      </x:c>
      <x:c r="F976" s="169" t="n">
        <x:v>6161190</x:v>
      </x:c>
      <x:c r="G976" s="169" t="str">
        <x:v>Rs '000</x:v>
      </x:c>
      <x:c r="H976" s="169" t="n">
        <x:f>F976/1000</x:f>
        <x:v>6161.19</x:v>
      </x:c>
      <x:c r="I976" s="169" t="n">
        <x:f>DGKC!D117</x:f>
        <x:v>6161.19</x:v>
      </x:c>
      <x:c r="J976" s="169" t="n">
        <x:f>H976-I976</x:f>
        <x:v>0</x:v>
      </x:c>
      <x:c r="K976" s="168" t="str">
        <x:v>DG_Annual_Report_2022.pdf</x:v>
      </x:c>
      <x:c r="L976" s="168" t="n">
        <x:v>129</x:v>
      </x:c>
      <x:c r="M976" s="168" t="str">
        <x:v>Comparative</x:v>
      </x:c>
      <x:c r="N976" s="171" t="str">
        <x:v>Printed amount independently located</x:v>
      </x:c>
      <x:c r="O976" s="171" t="str">
        <x:v>Exact source amount found; audited year/current-comparative column recorded. Accounting subtotal tests performed separately.</x:v>
      </x:c>
      <x:c r="P976" s="171" t="str">
        <x:v>tax paid    (1,604,041)  (1,104,143)
Long term deposits - net  34,185 (6,945)
Net cash (outflow)/inflow from operating activities  (3,932,479) 6,161,190
Cash flows from investing activities
Payments for property, plant and equipment and intangible asset  (1,739,551) (5,087,104)
Proceeds from disposal of property, plant and equipme</x:v>
      </x:c>
    </x:row>
    <x:row r="977" ht="82" customHeight="1">
      <x:c r="A977" s="76" t="str">
        <x:v>DGKC|cfo|2022</x:v>
      </x:c>
      <x:c r="B977" s="76" t="str">
        <x:v>DGKC</x:v>
      </x:c>
      <x:c r="C977" s="76" t="str">
        <x:v>FY2022</x:v>
      </x:c>
      <x:c r="D977" s="76" t="str">
        <x:v>Net cash from operating activities (as reported)</x:v>
      </x:c>
      <x:c r="E977" s="170" t="n">
        <x:v>-3932479</x:v>
      </x:c>
      <x:c r="F977" s="170" t="n">
        <x:v>-3932479</x:v>
      </x:c>
      <x:c r="G977" s="170" t="str">
        <x:v>Rs '000</x:v>
      </x:c>
      <x:c r="H977" s="170" t="n">
        <x:f>F977/1000</x:f>
        <x:v>-3932.479</x:v>
      </x:c>
      <x:c r="I977" s="170" t="n">
        <x:f>DGKC!E117</x:f>
        <x:v>-3932.479</x:v>
      </x:c>
      <x:c r="J977" s="170" t="n">
        <x:f>H977-I977</x:f>
        <x:v>0</x:v>
      </x:c>
      <x:c r="K977" s="76" t="str">
        <x:v>DGAnnual2023.pdf</x:v>
      </x:c>
      <x:c r="L977" s="76" t="n">
        <x:v>155</x:v>
      </x:c>
      <x:c r="M977" s="76" t="str">
        <x:v>Comparative</x:v>
      </x:c>
      <x:c r="N977" s="99" t="str">
        <x:v>Printed amount independently located</x:v>
      </x:c>
      <x:c r="O977" s="99" t="str">
        <x:v>Exact source amount found; audited year/current-comparative column recorded. Accounting subtotal tests performed separately.</x:v>
      </x:c>
      <x:c r="P977" s="99" t="str">
        <x:v>62)
Income tax paid    (925,544) (1,604,041)
Long term deposits - net  158,520 34,185
Net cash inflow/(outflow) from operating activities  6,504,234  (3,932,479)
Cash flows from investing activities
Payments for property, plant and equipment and intangible asset  (3,418,069) (1,739,551)
Proceeds from disposal of property, plant and equipme</x:v>
      </x:c>
    </x:row>
    <x:row r="978" ht="82" customHeight="1">
      <x:c r="A978" s="168" t="str">
        <x:v>DGKC|cfo|2023</x:v>
      </x:c>
      <x:c r="B978" s="168" t="str">
        <x:v>DGKC</x:v>
      </x:c>
      <x:c r="C978" s="168" t="str">
        <x:v>FY2023</x:v>
      </x:c>
      <x:c r="D978" s="168" t="str">
        <x:v>Net cash from operating activities (as reported)</x:v>
      </x:c>
      <x:c r="E978" s="169" t="n">
        <x:v>6504234</x:v>
      </x:c>
      <x:c r="F978" s="169" t="n">
        <x:v>6504234</x:v>
      </x:c>
      <x:c r="G978" s="169" t="str">
        <x:v>Rs '000</x:v>
      </x:c>
      <x:c r="H978" s="169" t="n">
        <x:f>F978/1000</x:f>
        <x:v>6504.234</x:v>
      </x:c>
      <x:c r="I978" s="169" t="n">
        <x:f>DGKC!F117</x:f>
        <x:v>6504.234</x:v>
      </x:c>
      <x:c r="J978" s="169" t="n">
        <x:f>H978-I978</x:f>
        <x:v>0</x:v>
      </x:c>
      <x:c r="K978" s="168" t="str">
        <x:v>DGAnnual2024.pdf</x:v>
      </x:c>
      <x:c r="L978" s="168" t="n">
        <x:v>155</x:v>
      </x:c>
      <x:c r="M978" s="168" t="str">
        <x:v>Comparative</x:v>
      </x:c>
      <x:c r="N978" s="171" t="str">
        <x:v>Printed amount independently located</x:v>
      </x:c>
      <x:c r="O978" s="171" t="str">
        <x:v>Exact source amount found; audited year/current-comparative column recorded. Accounting subtotal tests performed separately.</x:v>
      </x:c>
      <x:c r="P978" s="171" t="str">
        <x:v>(561,490)
Levy - final taxes paid  (520,848) (364,054)
Long term deposits - net  133,051 158,520
Net cash inflow from operating activities  6,029,545 6,504,234
Cash flows from investing activities
Payments for property, plant and equipment  (1,620,798) (3,418,069)
Payments for intangible asset   (56,155) -
Proceeds from disposal of prope</x:v>
      </x:c>
    </x:row>
    <x:row r="979" ht="82" customHeight="1">
      <x:c r="A979" s="76" t="str">
        <x:v>DGKC|cfo|2024</x:v>
      </x:c>
      <x:c r="B979" s="76" t="str">
        <x:v>DGKC</x:v>
      </x:c>
      <x:c r="C979" s="76" t="str">
        <x:v>FY2024</x:v>
      </x:c>
      <x:c r="D979" s="76" t="str">
        <x:v>Net cash from operating activities (as reported)</x:v>
      </x:c>
      <x:c r="E979" s="170" t="n">
        <x:v>6029545</x:v>
      </x:c>
      <x:c r="F979" s="170" t="n">
        <x:v>6029545</x:v>
      </x:c>
      <x:c r="G979" s="170" t="str">
        <x:v>Rs '000</x:v>
      </x:c>
      <x:c r="H979" s="170" t="n">
        <x:f>F979/1000</x:f>
        <x:v>6029.545</x:v>
      </x:c>
      <x:c r="I979" s="170" t="n">
        <x:f>DGKC!G117</x:f>
        <x:v>6029.545</x:v>
      </x:c>
      <x:c r="J979" s="170" t="n">
        <x:f>H979-I979</x:f>
        <x:v>0</x:v>
      </x:c>
      <x:c r="K979" s="76" t="str">
        <x:v>DGAnnual2025.pdf</x:v>
      </x:c>
      <x:c r="L979" s="76" t="n">
        <x:v>157</x:v>
      </x:c>
      <x:c r="M979" s="76" t="str">
        <x:v>Comparative</x:v>
      </x:c>
      <x:c r="N979" s="99" t="str">
        <x:v>Printed amount independently located</x:v>
      </x:c>
      <x:c r="O979" s="99" t="str">
        <x:v>Exact source amount found; audited year/current-comparative column recorded. Accounting subtotal tests performed separately.</x:v>
      </x:c>
      <x:c r="P979" s="99" t="str">
        <x:v>59,765
Levy - final taxes paid  (577,125)  (520,848)
Long term deposits - net  367,544 133,051
Net cash inflow from operating activities  10,034,132  6,029,545
Cash flows from investing activities
Payments for property, plant and equipment  (1,211,491)  (1,620,798)
Payments for intangible asset  - (56,155)
Proceeds from disposal of prope</x:v>
      </x:c>
    </x:row>
    <x:row r="980" ht="82" customHeight="1">
      <x:c r="A980" s="168" t="str">
        <x:v>DGKC|cfo|2025</x:v>
      </x:c>
      <x:c r="B980" s="168" t="str">
        <x:v>DGKC</x:v>
      </x:c>
      <x:c r="C980" s="168" t="str">
        <x:v>FY2025</x:v>
      </x:c>
      <x:c r="D980" s="168" t="str">
        <x:v>Net cash from operating activities (as reported)</x:v>
      </x:c>
      <x:c r="E980" s="169" t="n">
        <x:v>10034132</x:v>
      </x:c>
      <x:c r="F980" s="169" t="n">
        <x:v>10034132</x:v>
      </x:c>
      <x:c r="G980" s="169" t="str">
        <x:v>Rs '000</x:v>
      </x:c>
      <x:c r="H980" s="169" t="n">
        <x:f>F980/1000</x:f>
        <x:v>10034.132</x:v>
      </x:c>
      <x:c r="I980" s="169" t="n">
        <x:f>DGKC!H117</x:f>
        <x:v>10034.132</x:v>
      </x:c>
      <x:c r="J980" s="169" t="n">
        <x:f>H980-I980</x:f>
        <x:v>0</x:v>
      </x:c>
      <x:c r="K980" s="168" t="str">
        <x:v>DGAnnual2025.pdf</x:v>
      </x:c>
      <x:c r="L980" s="168" t="n">
        <x:v>157</x:v>
      </x:c>
      <x:c r="M980" s="168" t="str">
        <x:v>Current year</x:v>
      </x:c>
      <x:c r="N980" s="171" t="str">
        <x:v>Printed amount independently located</x:v>
      </x:c>
      <x:c r="O980" s="171" t="str">
        <x:v>Exact source amount found; audited year/current-comparative column recorded. Accounting subtotal tests performed separately.</x:v>
      </x:c>
      <x:c r="P980" s="171" t="str">
        <x:v>447,791) 1,859,765
Levy - final taxes paid  (577,125)  (520,848)
Long term deposits - net  367,544 133,051
Net cash inflow from operating activities  10,034,132  6,029,545
Cash flows from investing activities
Payments for property, plant and equipment  (1,211,491)  (1,620,798)
Payments for intangible asset  - (56,155)
Proceeds from dispos</x:v>
      </x:c>
    </x:row>
    <x:row r="981" ht="82" customHeight="1">
      <x:c r="A981" s="76" t="str">
        <x:v>DGKC|fin_paid|2021</x:v>
      </x:c>
      <x:c r="B981" s="76" t="str">
        <x:v>DGKC</x:v>
      </x:c>
      <x:c r="C981" s="76" t="str">
        <x:v>FY2021</x:v>
      </x:c>
      <x:c r="D981" s="76" t="str">
        <x:v>Finance cost / mark-up paid</x:v>
      </x:c>
      <x:c r="E981" s="170" t="n">
        <x:v>-3125381</x:v>
      </x:c>
      <x:c r="F981" s="170" t="n">
        <x:v>-3125381</x:v>
      </x:c>
      <x:c r="G981" s="170" t="str">
        <x:v>Rs '000</x:v>
      </x:c>
      <x:c r="H981" s="170" t="n">
        <x:f>F981/1000</x:f>
        <x:v>-3125.381</x:v>
      </x:c>
      <x:c r="I981" s="170" t="n">
        <x:f>DGKC!D118</x:f>
        <x:v>-3125.381</x:v>
      </x:c>
      <x:c r="J981" s="170" t="n">
        <x:f>H981-I981</x:f>
        <x:v>0</x:v>
      </x:c>
      <x:c r="K981" s="76" t="str">
        <x:v>DG_Annual_Report_2022.pdf</x:v>
      </x:c>
      <x:c r="L981" s="76" t="n">
        <x:v>129</x:v>
      </x:c>
      <x:c r="M981" s="76" t="str">
        <x:v>Comparative</x:v>
      </x:c>
      <x:c r="N981" s="99" t="str">
        <x:v>Printed amount independently located</x:v>
      </x:c>
      <x:c r="O981" s="99" t="str">
        <x:v>Exact source amount found; audited year/current-comparative column recorded. Accounting subtotal tests performed separately.</x:v>
      </x:c>
      <x:c r="P981" s="99" t="str">
        <x:v>Note (Rupees in thousand)
Cash flows from operating activities
Cash generated from operations 38 941,866 10,472,429
Finance cost paid   (3,195,727) (3,125,381)
Retirement and other benefits paid   (108,762) (74,770)
Income tax paid    (1,604,041)  (1,104,143)
Long term deposits - net  34,185 (6,945)
Net cash (outflow)/inflow from</x:v>
      </x:c>
    </x:row>
    <x:row r="982" ht="82" customHeight="1">
      <x:c r="A982" s="168" t="str">
        <x:v>DGKC|fin_paid|2022</x:v>
      </x:c>
      <x:c r="B982" s="168" t="str">
        <x:v>DGKC</x:v>
      </x:c>
      <x:c r="C982" s="168" t="str">
        <x:v>FY2022</x:v>
      </x:c>
      <x:c r="D982" s="168" t="str">
        <x:v>Finance cost / mark-up paid</x:v>
      </x:c>
      <x:c r="E982" s="169" t="n">
        <x:v>-3195727</x:v>
      </x:c>
      <x:c r="F982" s="169" t="n">
        <x:v>-3195727</x:v>
      </x:c>
      <x:c r="G982" s="169" t="str">
        <x:v>Rs '000</x:v>
      </x:c>
      <x:c r="H982" s="169" t="n">
        <x:f>F982/1000</x:f>
        <x:v>-3195.727</x:v>
      </x:c>
      <x:c r="I982" s="169" t="n">
        <x:f>DGKC!E118</x:f>
        <x:v>-3195.727</x:v>
      </x:c>
      <x:c r="J982" s="169" t="n">
        <x:f>H982-I982</x:f>
        <x:v>0</x:v>
      </x:c>
      <x:c r="K982" s="168" t="str">
        <x:v>DGAnnual2023.pdf</x:v>
      </x:c>
      <x:c r="L982" s="168" t="n">
        <x:v>155</x:v>
      </x:c>
      <x:c r="M982" s="168" t="str">
        <x:v>Comparative</x:v>
      </x:c>
      <x:c r="N982" s="171" t="str">
        <x:v>Printed amount independently located</x:v>
      </x:c>
      <x:c r="O982" s="171" t="str">
        <x:v>Exact source amount found; audited year/current-comparative column recorded. Accounting subtotal tests performed separately.</x:v>
      </x:c>
      <x:c r="P982" s="171" t="str">
        <x:v>Note (Rupees in thousand)
Cash flows from operating activities
Cash generated from operations 37 13,397,298 941,866
Finance cost paid  (5,998,599)  (3,195,727)
Retirement and other benefits paid   (127,441) (108,762)
Income tax paid    (925,544) (1,604,041)
Long term deposits - net  158,520 34,185
Net cash inflow/(outflow) from operating</x:v>
      </x:c>
    </x:row>
    <x:row r="983" ht="82" customHeight="1">
      <x:c r="A983" s="76" t="str">
        <x:v>DGKC|fin_paid|2023</x:v>
      </x:c>
      <x:c r="B983" s="76" t="str">
        <x:v>DGKC</x:v>
      </x:c>
      <x:c r="C983" s="76" t="str">
        <x:v>FY2023</x:v>
      </x:c>
      <x:c r="D983" s="76" t="str">
        <x:v>Finance cost / mark-up paid</x:v>
      </x:c>
      <x:c r="E983" s="170" t="n">
        <x:v>-5998599</x:v>
      </x:c>
      <x:c r="F983" s="170" t="n">
        <x:v>-5998599</x:v>
      </x:c>
      <x:c r="G983" s="170" t="str">
        <x:v>Rs '000</x:v>
      </x:c>
      <x:c r="H983" s="170" t="n">
        <x:f>F983/1000</x:f>
        <x:v>-5998.599</x:v>
      </x:c>
      <x:c r="I983" s="170" t="n">
        <x:f>DGKC!F118</x:f>
        <x:v>-5998.599</x:v>
      </x:c>
      <x:c r="J983" s="170" t="n">
        <x:f>H983-I983</x:f>
        <x:v>0</x:v>
      </x:c>
      <x:c r="K983" s="76" t="str">
        <x:v>DGAnnual2024.pdf</x:v>
      </x:c>
      <x:c r="L983" s="76" t="n">
        <x:v>155</x:v>
      </x:c>
      <x:c r="M983" s="76" t="str">
        <x:v>Comparative</x:v>
      </x:c>
      <x:c r="N983" s="99" t="str">
        <x:v>Printed amount independently located</x:v>
      </x:c>
      <x:c r="O983" s="99" t="str">
        <x:v>Exact source amount found; audited year/current-comparative column recorded. Accounting subtotal tests performed separately.</x:v>
      </x:c>
      <x:c r="P983" s="99" t="str">
        <x:v>sand)
     (Re-stated)
Cash flows from operating activities   
Cash generated from operations 39 13,222,675 13,397,298
Finance cost paid  (8,460,206) (5,998,599)
Retirement and other benefits paid   (204,892  (127,441)
Income tax refunded / (paid)  1,859,765 (561,490)
Levy - final taxes paid  (520,848) (364,054)
Long term deposits - net  1</x:v>
      </x:c>
    </x:row>
    <x:row r="984" ht="82" customHeight="1">
      <x:c r="A984" s="168" t="str">
        <x:v>DGKC|fin_paid|2024</x:v>
      </x:c>
      <x:c r="B984" s="168" t="str">
        <x:v>DGKC</x:v>
      </x:c>
      <x:c r="C984" s="168" t="str">
        <x:v>FY2024</x:v>
      </x:c>
      <x:c r="D984" s="168" t="str">
        <x:v>Finance cost / mark-up paid</x:v>
      </x:c>
      <x:c r="E984" s="169" t="n">
        <x:v>-8460206</x:v>
      </x:c>
      <x:c r="F984" s="169" t="n">
        <x:v>-8460206</x:v>
      </x:c>
      <x:c r="G984" s="169" t="str">
        <x:v>Rs '000</x:v>
      </x:c>
      <x:c r="H984" s="169" t="n">
        <x:f>F984/1000</x:f>
        <x:v>-8460.206</x:v>
      </x:c>
      <x:c r="I984" s="169" t="n">
        <x:f>DGKC!G118</x:f>
        <x:v>-8460.206</x:v>
      </x:c>
      <x:c r="J984" s="169" t="n">
        <x:f>H984-I984</x:f>
        <x:v>0</x:v>
      </x:c>
      <x:c r="K984" s="168" t="str">
        <x:v>DGAnnual2025.pdf</x:v>
      </x:c>
      <x:c r="L984" s="168" t="n">
        <x:v>157</x:v>
      </x:c>
      <x:c r="M984" s="168" t="str">
        <x:v>Comparative</x:v>
      </x:c>
      <x:c r="N984" s="171" t="str">
        <x:v>Printed amount independently located</x:v>
      </x:c>
      <x:c r="O984" s="171" t="str">
        <x:v>Exact source amount found; audited year/current-comparative column recorded. Accounting subtotal tests performed separately.</x:v>
      </x:c>
      <x:c r="P984" s="171" t="str">
        <x:v>ees in thousand)
Cash flows from operating activities   
Cash generated from operations 39 15,811,428 13,222,675
Finance cost paid  (4,921,199) (8,460,206)
Retirement and other benefits paid  (198,725) (204,892)
Income tax (paid) / refunded   (447,791) 1,859,765
Levy - final taxes paid  (577,125)  (520,848)
Long term deposits - net</x:v>
      </x:c>
    </x:row>
    <x:row r="985" ht="82" customHeight="1">
      <x:c r="A985" s="76" t="str">
        <x:v>DGKC|fin_paid|2025</x:v>
      </x:c>
      <x:c r="B985" s="76" t="str">
        <x:v>DGKC</x:v>
      </x:c>
      <x:c r="C985" s="76" t="str">
        <x:v>FY2025</x:v>
      </x:c>
      <x:c r="D985" s="76" t="str">
        <x:v>Finance cost / mark-up paid</x:v>
      </x:c>
      <x:c r="E985" s="170" t="n">
        <x:v>-4921199</x:v>
      </x:c>
      <x:c r="F985" s="170" t="n">
        <x:v>-4921199</x:v>
      </x:c>
      <x:c r="G985" s="170" t="str">
        <x:v>Rs '000</x:v>
      </x:c>
      <x:c r="H985" s="170" t="n">
        <x:f>F985/1000</x:f>
        <x:v>-4921.199</x:v>
      </x:c>
      <x:c r="I985" s="170" t="n">
        <x:f>DGKC!H118</x:f>
        <x:v>-4921.199</x:v>
      </x:c>
      <x:c r="J985" s="170" t="n">
        <x:f>H985-I985</x:f>
        <x:v>0</x:v>
      </x:c>
      <x:c r="K985" s="76" t="str">
        <x:v>DGAnnual2025.pdf</x:v>
      </x:c>
      <x:c r="L985" s="76" t="n">
        <x:v>157</x:v>
      </x:c>
      <x:c r="M985" s="76" t="str">
        <x:v>Current year</x:v>
      </x:c>
      <x:c r="N985" s="99" t="str">
        <x:v>Printed amount independently located</x:v>
      </x:c>
      <x:c r="O985" s="99" t="str">
        <x:v>Exact source amount found; audited year/current-comparative column recorded. Accounting subtotal tests performed separately.</x:v>
      </x:c>
      <x:c r="P985" s="99" t="str">
        <x:v>Note (Rupees in thousand)
Cash flows from operating activities   
Cash generated from operations 39 15,811,428 13,222,675
Finance cost paid  (4,921,199) (8,460,206)
Retirement and other benefits paid  (198,725) (204,892)
Income tax (paid) / refunded   (447,791) 1,859,765
Levy - final taxes paid  (577,125)  (520,848)
Long term depo</x:v>
      </x:c>
    </x:row>
    <x:row r="986" ht="82" customHeight="1">
      <x:c r="A986" s="168" t="str">
        <x:v>DGKC|fin_paid_cls|2021</x:v>
      </x:c>
      <x:c r="B986" s="168" t="str">
        <x:v>DGKC</x:v>
      </x:c>
      <x:c r="C986" s="168" t="str">
        <x:v>FY2021</x:v>
      </x:c>
      <x:c r="D986" s="168" t="str">
        <x:v>Classification of finance cost paid</x:v>
      </x:c>
      <x:c r="E986" s="169" t="str">
        <x:v>Operating</x:v>
      </x:c>
      <x:c r="F986" s="169" t="str">
        <x:v>Operating</x:v>
      </x:c>
      <x:c r="G986" s="169" t="str">
        <x:v>text</x:v>
      </x:c>
      <x:c r="H986" s="169" t="str">
        <x:v>Operating</x:v>
      </x:c>
      <x:c r="I986" s="169" t="str">
        <x:f>DGKC!D119</x:f>
        <x:v>Operating</x:v>
      </x:c>
      <x:c r="J986" s="169" t="str">
        <x:v>n/a</x:v>
      </x:c>
      <x:c r="K986" s="168" t="str">
        <x:v>DG_Annual_Report_2022.pdf</x:v>
      </x:c>
      <x:c r="L986" s="168" t="n">
        <x:v>129</x:v>
      </x:c>
      <x:c r="M986" s="168" t="str">
        <x:v>Comparative</x:v>
      </x:c>
      <x:c r="N986" s="171" t="str">
        <x:v>Cash-flow classification inspected</x:v>
      </x:c>
      <x:c r="O986" s="171" t="str">
        <x:v>Supporting cash-flow classification only; excluded from 33-measure scope.</x:v>
      </x:c>
      <x:c r="P986" s="171" t="str">
        <x:v>
 128
ANNUA L REPORT 2022  DGKC
   2022 2021
  Note (Rupees in thousand)
Cash flows from operating activities
Cash generated from operations 38 941,866 10,472,429
Finance cost paid   (3,195,727) (3,125,381)
Retirement an</x:v>
      </x:c>
    </x:row>
    <x:row r="987" ht="82" customHeight="1">
      <x:c r="A987" s="76" t="str">
        <x:v>DGKC|fin_paid_cls|2022</x:v>
      </x:c>
      <x:c r="B987" s="76" t="str">
        <x:v>DGKC</x:v>
      </x:c>
      <x:c r="C987" s="76" t="str">
        <x:v>FY2022</x:v>
      </x:c>
      <x:c r="D987" s="76" t="str">
        <x:v>Classification of finance cost paid</x:v>
      </x:c>
      <x:c r="E987" s="170" t="str">
        <x:v>Operating</x:v>
      </x:c>
      <x:c r="F987" s="170" t="str">
        <x:v>Operating</x:v>
      </x:c>
      <x:c r="G987" s="170" t="str">
        <x:v>text</x:v>
      </x:c>
      <x:c r="H987" s="170" t="str">
        <x:v>Operating</x:v>
      </x:c>
      <x:c r="I987" s="170" t="str">
        <x:f>DGKC!E119</x:f>
        <x:v>Operating</x:v>
      </x:c>
      <x:c r="J987" s="170" t="str">
        <x:v>n/a</x:v>
      </x:c>
      <x:c r="K987" s="76" t="str">
        <x:v>DGAnnual2023.pdf</x:v>
      </x:c>
      <x:c r="L987" s="76" t="n">
        <x:v>155</x:v>
      </x:c>
      <x:c r="M987" s="76" t="str">
        <x:v>Comparative</x:v>
      </x:c>
      <x:c r="N987" s="99" t="str">
        <x:v>Cash-flow classification inspected</x:v>
      </x:c>
      <x:c r="O987" s="99" t="str">
        <x:v>Supporting cash-flow classification only; excluded from 33-measure scope.</x:v>
      </x:c>
      <x:c r="P987" s="99" t="str">
        <x:v>
   2023 2022
  Note (Rupees in thousand)
Cash flows from operating activities
Cash generated from operations 37 13,397,298 941,866
Finance cost paid  (5,998,599)  (3,195,727)
Retirement and other benefits paid   (127,44</x:v>
      </x:c>
    </x:row>
    <x:row r="988" ht="82" customHeight="1">
      <x:c r="A988" s="168" t="str">
        <x:v>DGKC|fin_paid_cls|2023</x:v>
      </x:c>
      <x:c r="B988" s="168" t="str">
        <x:v>DGKC</x:v>
      </x:c>
      <x:c r="C988" s="168" t="str">
        <x:v>FY2023</x:v>
      </x:c>
      <x:c r="D988" s="168" t="str">
        <x:v>Classification of finance cost paid</x:v>
      </x:c>
      <x:c r="E988" s="169" t="str">
        <x:v>Operating</x:v>
      </x:c>
      <x:c r="F988" s="169" t="str">
        <x:v>Operating</x:v>
      </x:c>
      <x:c r="G988" s="169" t="str">
        <x:v>text</x:v>
      </x:c>
      <x:c r="H988" s="169" t="str">
        <x:v>Operating</x:v>
      </x:c>
      <x:c r="I988" s="169" t="str">
        <x:f>DGKC!F119</x:f>
        <x:v>Operating</x:v>
      </x:c>
      <x:c r="J988" s="169" t="str">
        <x:v>n/a</x:v>
      </x:c>
      <x:c r="K988" s="168" t="str">
        <x:v>DGAnnual2024.pdf</x:v>
      </x:c>
      <x:c r="L988" s="168" t="n">
        <x:v>155</x:v>
      </x:c>
      <x:c r="M988" s="168" t="str">
        <x:v>Comparative</x:v>
      </x:c>
      <x:c r="N988" s="171" t="str">
        <x:v>Cash-flow classification inspected</x:v>
      </x:c>
      <x:c r="O988" s="171" t="str">
        <x:v>Supporting cash-flow classification only; excluded from 33-measure scope.</x:v>
      </x:c>
      <x:c r="P988" s="171" t="str">
        <x:v>
154
DGKC Annual Report 2024
   2024 2023
  Note (Rupees in thousand)
     (Re-stated)
Cash flows from operating activities   
Cash generated from operations 39 13,222,675 13,397,298
Finance cost paid  (8,460,206) (5,998</x:v>
      </x:c>
    </x:row>
    <x:row r="989" ht="82" customHeight="1">
      <x:c r="A989" s="76" t="str">
        <x:v>DGKC|fin_paid_cls|2024</x:v>
      </x:c>
      <x:c r="B989" s="76" t="str">
        <x:v>DGKC</x:v>
      </x:c>
      <x:c r="C989" s="76" t="str">
        <x:v>FY2024</x:v>
      </x:c>
      <x:c r="D989" s="76" t="str">
        <x:v>Classification of finance cost paid</x:v>
      </x:c>
      <x:c r="E989" s="170" t="str">
        <x:v>Operating</x:v>
      </x:c>
      <x:c r="F989" s="170" t="str">
        <x:v>Operating</x:v>
      </x:c>
      <x:c r="G989" s="170" t="str">
        <x:v>text</x:v>
      </x:c>
      <x:c r="H989" s="170" t="str">
        <x:v>Operating</x:v>
      </x:c>
      <x:c r="I989" s="170" t="str">
        <x:f>DGKC!G119</x:f>
        <x:v>Operating</x:v>
      </x:c>
      <x:c r="J989" s="170" t="str">
        <x:v>n/a</x:v>
      </x:c>
      <x:c r="K989" s="76" t="str">
        <x:v>DGAnnual2025.pdf</x:v>
      </x:c>
      <x:c r="L989" s="76" t="n">
        <x:v>157</x:v>
      </x:c>
      <x:c r="M989" s="76" t="str">
        <x:v>Comparative</x:v>
      </x:c>
      <x:c r="N989" s="99" t="str">
        <x:v>Cash-flow classification inspected</x:v>
      </x:c>
      <x:c r="O989" s="99" t="str">
        <x:v>Supporting cash-flow classification only; excluded from 33-measure scope.</x:v>
      </x:c>
      <x:c r="P989" s="99" t="str">
        <x:v>
   2025 2024
  Note (Rupees in thousand)
Cash flows from operating activities   
Cash generated from operations 39 15,811,428 13,222,675
Finance cost paid  (4,921,199) (8,460,206)
Retirement and other benefits pai</x:v>
      </x:c>
    </x:row>
    <x:row r="990" ht="82" customHeight="1">
      <x:c r="A990" s="168" t="str">
        <x:v>DGKC|fin_paid_cls|2025</x:v>
      </x:c>
      <x:c r="B990" s="168" t="str">
        <x:v>DGKC</x:v>
      </x:c>
      <x:c r="C990" s="168" t="str">
        <x:v>FY2025</x:v>
      </x:c>
      <x:c r="D990" s="168" t="str">
        <x:v>Classification of finance cost paid</x:v>
      </x:c>
      <x:c r="E990" s="169" t="str">
        <x:v>Operating</x:v>
      </x:c>
      <x:c r="F990" s="169" t="str">
        <x:v>Operating</x:v>
      </x:c>
      <x:c r="G990" s="169" t="str">
        <x:v>text</x:v>
      </x:c>
      <x:c r="H990" s="169" t="str">
        <x:v>Operating</x:v>
      </x:c>
      <x:c r="I990" s="169" t="str">
        <x:f>DGKC!H119</x:f>
        <x:v>Operating</x:v>
      </x:c>
      <x:c r="J990" s="169" t="str">
        <x:v>n/a</x:v>
      </x:c>
      <x:c r="K990" s="168" t="str">
        <x:v>DGAnnual2025.pdf</x:v>
      </x:c>
      <x:c r="L990" s="168" t="n">
        <x:v>157</x:v>
      </x:c>
      <x:c r="M990" s="168" t="str">
        <x:v>Current year</x:v>
      </x:c>
      <x:c r="N990" s="171" t="str">
        <x:v>Cash-flow classification inspected</x:v>
      </x:c>
      <x:c r="O990" s="171" t="str">
        <x:v>Supporting cash-flow classification only; excluded from 33-measure scope.</x:v>
      </x:c>
      <x:c r="P990" s="171" t="str">
        <x:v>
   2025 2024
  Note (Rupees in thousand)
Cash flows from operating activities   
Cash generated from operations 39 15,811,428 13,222,675
Finance cost paid  (4,921,199) (8,460,206)
Retirement and other benefits pai</x:v>
      </x:c>
    </x:row>
    <x:row r="991" ht="82" customHeight="1">
      <x:c r="A991" s="76" t="str">
        <x:v>DGKC|capex|2021</x:v>
      </x:c>
      <x:c r="B991" s="76" t="str">
        <x:v>DGKC</x:v>
      </x:c>
      <x:c r="C991" s="76" t="str">
        <x:v>FY2021</x:v>
      </x:c>
      <x:c r="D991" s="76" t="str">
        <x:v>Purchase of property, plant and equipment</x:v>
      </x:c>
      <x:c r="E991" s="170" t="n">
        <x:v>-5087104</x:v>
      </x:c>
      <x:c r="F991" s="170" t="n">
        <x:v>-5087104</x:v>
      </x:c>
      <x:c r="G991" s="170" t="str">
        <x:v>Rs '000</x:v>
      </x:c>
      <x:c r="H991" s="170" t="n">
        <x:f>F991/1000</x:f>
        <x:v>-5087.104</x:v>
      </x:c>
      <x:c r="I991" s="170" t="n">
        <x:f>DGKC!D121</x:f>
        <x:v>-5087.104</x:v>
      </x:c>
      <x:c r="J991" s="170" t="n">
        <x:f>H991-I991</x:f>
        <x:v>0</x:v>
      </x:c>
      <x:c r="K991" s="76" t="str">
        <x:v>DG_Annual_Report_2022.pdf</x:v>
      </x:c>
      <x:c r="L991" s="76" t="n">
        <x:v>129</x:v>
      </x:c>
      <x:c r="M991" s="76" t="str">
        <x:v>Comparative</x:v>
      </x:c>
      <x:c r="N991" s="99" t="str">
        <x:v>Printed amount independently located</x:v>
      </x:c>
      <x:c r="O991" s="99" t="str">
        <x:v>Exact source amount found; audited year/current-comparative column recorded. Accounting subtotal tests performed separately.</x:v>
      </x:c>
      <x:c r="P991" s="99" t="str">
        <x:v>g activities  (3,932,479) 6,161,190
Cash flows from investing activities
Payments for property, plant and equipment and intangible asset  (1,739,551) (5,087,104)
Proceeds from disposal of property, plant and equipment  99,592 63,218
Long term loans, advances and deposits - net  (4,013) 471
Investment in equity instruments  - (201,230)
Repa</x:v>
      </x:c>
    </x:row>
    <x:row r="992" ht="82" customHeight="1">
      <x:c r="A992" s="168" t="str">
        <x:v>DGKC|capex|2022</x:v>
      </x:c>
      <x:c r="B992" s="168" t="str">
        <x:v>DGKC</x:v>
      </x:c>
      <x:c r="C992" s="168" t="str">
        <x:v>FY2022</x:v>
      </x:c>
      <x:c r="D992" s="168" t="str">
        <x:v>Purchase of property, plant and equipment</x:v>
      </x:c>
      <x:c r="E992" s="169" t="n">
        <x:v>-1739551</x:v>
      </x:c>
      <x:c r="F992" s="169" t="n">
        <x:v>-1739551</x:v>
      </x:c>
      <x:c r="G992" s="169" t="str">
        <x:v>Rs '000</x:v>
      </x:c>
      <x:c r="H992" s="169" t="n">
        <x:f>F992/1000</x:f>
        <x:v>-1739.551</x:v>
      </x:c>
      <x:c r="I992" s="169" t="n">
        <x:f>DGKC!E121</x:f>
        <x:v>-1739.551</x:v>
      </x:c>
      <x:c r="J992" s="169" t="n">
        <x:f>H992-I992</x:f>
        <x:v>0</x:v>
      </x:c>
      <x:c r="K992" s="168" t="str">
        <x:v>DGAnnual2023.pdf</x:v>
      </x:c>
      <x:c r="L992" s="168" t="n">
        <x:v>155</x:v>
      </x:c>
      <x:c r="M992" s="168" t="str">
        <x:v>Comparative</x:v>
      </x:c>
      <x:c r="N992" s="171" t="str">
        <x:v>Printed amount independently located</x:v>
      </x:c>
      <x:c r="O992" s="171" t="str">
        <x:v>Exact source amount found; audited year/current-comparative column recorded. Accounting subtotal tests performed separately.</x:v>
      </x:c>
      <x:c r="P992" s="171" t="str">
        <x:v>activities  6,504,234  (3,932,479)
Cash flows from investing activities
Payments for property, plant and equipment and intangible asset  (3,418,069) (1,739,551)
Proceeds from disposal of property, plant and equipment  206,392 99,592
Long term loans, advances and deposits - net  (2,900) (4,013)
Investment in equity instruments  (1,007,500)</x:v>
      </x:c>
    </x:row>
    <x:row r="993" ht="82" customHeight="1">
      <x:c r="A993" s="76" t="str">
        <x:v>DGKC|capex|2023</x:v>
      </x:c>
      <x:c r="B993" s="76" t="str">
        <x:v>DGKC</x:v>
      </x:c>
      <x:c r="C993" s="76" t="str">
        <x:v>FY2023</x:v>
      </x:c>
      <x:c r="D993" s="76" t="str">
        <x:v>Purchase of property, plant and equipment</x:v>
      </x:c>
      <x:c r="E993" s="170" t="n">
        <x:v>-3418069</x:v>
      </x:c>
      <x:c r="F993" s="170" t="n">
        <x:v>-3418069</x:v>
      </x:c>
      <x:c r="G993" s="170" t="str">
        <x:v>Rs '000</x:v>
      </x:c>
      <x:c r="H993" s="170" t="n">
        <x:f>F993/1000</x:f>
        <x:v>-3418.069</x:v>
      </x:c>
      <x:c r="I993" s="170" t="n">
        <x:f>DGKC!F121</x:f>
        <x:v>-3418.069</x:v>
      </x:c>
      <x:c r="J993" s="170" t="n">
        <x:f>H993-I993</x:f>
        <x:v>0</x:v>
      </x:c>
      <x:c r="K993" s="76" t="str">
        <x:v>DGAnnual2024.pdf</x:v>
      </x:c>
      <x:c r="L993" s="76" t="n">
        <x:v>155</x:v>
      </x:c>
      <x:c r="M993" s="76" t="str">
        <x:v>Comparative</x:v>
      </x:c>
      <x:c r="N993" s="99" t="str">
        <x:v>Printed amount independently located</x:v>
      </x:c>
      <x:c r="O993" s="99" t="str">
        <x:v>Exact source amount found; audited year/current-comparative column recorded. Accounting subtotal tests performed separately.</x:v>
      </x:c>
      <x:c r="P993" s="99" t="str">
        <x:v>sh inflow from operating activities  6,029,545 6,504,234
Cash flows from investing activities
Payments for property, plant and equipment  (1,620,798) (3,418,069)
Payments for intangible asset   (56,155) -
Proceeds from disposal of property, plant and equipment  180,069 206,392
Long term loans, advances and deposits - net  2,858 (2,900)
Inv</x:v>
      </x:c>
    </x:row>
    <x:row r="994" ht="82" customHeight="1">
      <x:c r="A994" s="168" t="str">
        <x:v>DGKC|capex|2024</x:v>
      </x:c>
      <x:c r="B994" s="168" t="str">
        <x:v>DGKC</x:v>
      </x:c>
      <x:c r="C994" s="168" t="str">
        <x:v>FY2024</x:v>
      </x:c>
      <x:c r="D994" s="168" t="str">
        <x:v>Purchase of property, plant and equipment</x:v>
      </x:c>
      <x:c r="E994" s="169" t="n">
        <x:v>-1620798</x:v>
      </x:c>
      <x:c r="F994" s="169" t="n">
        <x:v>-1620798</x:v>
      </x:c>
      <x:c r="G994" s="169" t="str">
        <x:v>Rs '000</x:v>
      </x:c>
      <x:c r="H994" s="169" t="n">
        <x:f>F994/1000</x:f>
        <x:v>-1620.798</x:v>
      </x:c>
      <x:c r="I994" s="169" t="n">
        <x:f>DGKC!G121</x:f>
        <x:v>-1620.798</x:v>
      </x:c>
      <x:c r="J994" s="169" t="n">
        <x:f>H994-I994</x:f>
        <x:v>0</x:v>
      </x:c>
      <x:c r="K994" s="168" t="str">
        <x:v>DGAnnual2025.pdf</x:v>
      </x:c>
      <x:c r="L994" s="168" t="n">
        <x:v>157</x:v>
      </x:c>
      <x:c r="M994" s="168" t="str">
        <x:v>Comparative</x:v>
      </x:c>
      <x:c r="N994" s="171" t="str">
        <x:v>Printed amount independently located</x:v>
      </x:c>
      <x:c r="O994" s="171" t="str">
        <x:v>Exact source amount found; audited year/current-comparative column recorded. Accounting subtotal tests performed separately.</x:v>
      </x:c>
      <x:c r="P994" s="171" t="str">
        <x:v>inflow from operating activities  10,034,132  6,029,545
Cash flows from investing activities
Payments for property, plant and equipment  (1,211,491)  (1,620,798)
Payments for intangible asset  - (56,155)
Proceeds from disposal of property, plant and equipment  70,240 180,069
Long term deposits - net  555 2,858
Investment in subsidiary  (8,</x:v>
      </x:c>
    </x:row>
    <x:row r="995" ht="82" customHeight="1">
      <x:c r="A995" s="76" t="str">
        <x:v>DGKC|capex|2025</x:v>
      </x:c>
      <x:c r="B995" s="76" t="str">
        <x:v>DGKC</x:v>
      </x:c>
      <x:c r="C995" s="76" t="str">
        <x:v>FY2025</x:v>
      </x:c>
      <x:c r="D995" s="76" t="str">
        <x:v>Purchase of property, plant and equipment</x:v>
      </x:c>
      <x:c r="E995" s="170" t="n">
        <x:v>-1211491</x:v>
      </x:c>
      <x:c r="F995" s="170" t="n">
        <x:v>-1211491</x:v>
      </x:c>
      <x:c r="G995" s="170" t="str">
        <x:v>Rs '000</x:v>
      </x:c>
      <x:c r="H995" s="170" t="n">
        <x:f>F995/1000</x:f>
        <x:v>-1211.491</x:v>
      </x:c>
      <x:c r="I995" s="170" t="n">
        <x:f>DGKC!H121</x:f>
        <x:v>-1211.491</x:v>
      </x:c>
      <x:c r="J995" s="170" t="n">
        <x:f>H995-I995</x:f>
        <x:v>0</x:v>
      </x:c>
      <x:c r="K995" s="76" t="str">
        <x:v>DGAnnual2025.pdf</x:v>
      </x:c>
      <x:c r="L995" s="76" t="n">
        <x:v>157</x:v>
      </x:c>
      <x:c r="M995" s="76" t="str">
        <x:v>Current year</x:v>
      </x:c>
      <x:c r="N995" s="99" t="str">
        <x:v>Printed amount independently located</x:v>
      </x:c>
      <x:c r="O995" s="99" t="str">
        <x:v>Exact source amount found; audited year/current-comparative column recorded. Accounting subtotal tests performed separately.</x:v>
      </x:c>
      <x:c r="P995" s="99" t="str">
        <x:v>051
Net cash inflow from operating activities  10,034,132  6,029,545
Cash flows from investing activities
Payments for property, plant and equipment  (1,211,491)  (1,620,798)
Payments for intangible asset  - (56,155)
Proceeds from disposal of property, plant and equipment  70,240 180,069
Long term deposits - net  555 2,858
Investment in su</x:v>
      </x:c>
    </x:row>
    <x:row r="996" ht="82" customHeight="1">
      <x:c r="A996" s="168" t="str">
        <x:v>DGKC|cfi|2021</x:v>
      </x:c>
      <x:c r="B996" s="168" t="str">
        <x:v>DGKC</x:v>
      </x:c>
      <x:c r="C996" s="168" t="str">
        <x:v>FY2021</x:v>
      </x:c>
      <x:c r="D996" s="168" t="str">
        <x:v>Net cash from investing activities</x:v>
      </x:c>
      <x:c r="E996" s="169" t="n">
        <x:v>-2962160</x:v>
      </x:c>
      <x:c r="F996" s="169" t="n">
        <x:v>-2962160</x:v>
      </x:c>
      <x:c r="G996" s="169" t="str">
        <x:v>Rs '000</x:v>
      </x:c>
      <x:c r="H996" s="169" t="n">
        <x:f>F996/1000</x:f>
        <x:v>-2962.16</x:v>
      </x:c>
      <x:c r="I996" s="169" t="n">
        <x:f>DGKC!D122</x:f>
        <x:v>-2962.16</x:v>
      </x:c>
      <x:c r="J996" s="169" t="n">
        <x:f>H996-I996</x:f>
        <x:v>0</x:v>
      </x:c>
      <x:c r="K996" s="168" t="str">
        <x:v>DG_Annual_Report_2022.pdf</x:v>
      </x:c>
      <x:c r="L996" s="168" t="n">
        <x:v>129</x:v>
      </x:c>
      <x:c r="M996" s="168" t="str">
        <x:v>Comparative</x:v>
      </x:c>
      <x:c r="N996" s="171" t="str">
        <x:v>Printed amount independently located</x:v>
      </x:c>
      <x:c r="O996" s="171" t="str">
        <x:v>Exact source amount found; audited year/current-comparative column recorded. Accounting subtotal tests performed separately.</x:v>
      </x:c>
      <x:c r="P996" s="171" t="str">
        <x:v>ty  765,000 -
Interest received  37,882 65,004
Dividends received  2,302,736 2,197,481
Net cash inflow/(outflow) from investing activities  1,461,646 (2,962,160)
Cash flows from financing activities
Proceeds from long term finances 7 1,630,445 8,826,457
Repayment of long term finances 7 (6,058,277) (6,451,284)
Dividend paid  (437,124) (320</x:v>
      </x:c>
    </x:row>
    <x:row r="997" ht="82" customHeight="1">
      <x:c r="A997" s="76" t="str">
        <x:v>DGKC|cfi|2022</x:v>
      </x:c>
      <x:c r="B997" s="76" t="str">
        <x:v>DGKC</x:v>
      </x:c>
      <x:c r="C997" s="76" t="str">
        <x:v>FY2022</x:v>
      </x:c>
      <x:c r="D997" s="76" t="str">
        <x:v>Net cash from investing activities</x:v>
      </x:c>
      <x:c r="E997" s="170" t="n">
        <x:v>1461646</x:v>
      </x:c>
      <x:c r="F997" s="170" t="n">
        <x:v>1461646</x:v>
      </x:c>
      <x:c r="G997" s="170" t="str">
        <x:v>Rs '000</x:v>
      </x:c>
      <x:c r="H997" s="170" t="n">
        <x:f>F997/1000</x:f>
        <x:v>1461.646</x:v>
      </x:c>
      <x:c r="I997" s="170" t="n">
        <x:f>DGKC!E122</x:f>
        <x:v>1461.646</x:v>
      </x:c>
      <x:c r="J997" s="170" t="n">
        <x:f>H997-I997</x:f>
        <x:v>0</x:v>
      </x:c>
      <x:c r="K997" s="76" t="str">
        <x:v>DGAnnual2023.pdf</x:v>
      </x:c>
      <x:c r="L997" s="76" t="n">
        <x:v>155</x:v>
      </x:c>
      <x:c r="M997" s="76" t="str">
        <x:v>Comparative</x:v>
      </x:c>
      <x:c r="N997" s="99" t="str">
        <x:v>Printed amount independently located</x:v>
      </x:c>
      <x:c r="O997" s="99" t="str">
        <x:v>Exact source amount found; audited year/current-comparative column recorded. Accounting subtotal tests performed separately.</x:v>
      </x:c>
      <x:c r="P997" s="99" t="str">
        <x:v>y  - 765,000
Interest received  3,551 37,882
Dividends received  2,471,374 2,302,736
Net cash (outflow)/inflow from investing activities  (1,747,152) 1,461,646
Cash flows from financing activities
Proceeds from long term finances 7 2,038,739 1,630,445
Repayment of long term finances 7 (6,484,381) (6,058,277)
Dividend paid  (437,927) (437</x:v>
      </x:c>
    </x:row>
    <x:row r="998" ht="82" customHeight="1">
      <x:c r="A998" s="168" t="str">
        <x:v>DGKC|cfi|2023</x:v>
      </x:c>
      <x:c r="B998" s="168" t="str">
        <x:v>DGKC</x:v>
      </x:c>
      <x:c r="C998" s="168" t="str">
        <x:v>FY2023</x:v>
      </x:c>
      <x:c r="D998" s="168" t="str">
        <x:v>Net cash from investing activities</x:v>
      </x:c>
      <x:c r="E998" s="169" t="n">
        <x:v>-1747152</x:v>
      </x:c>
      <x:c r="F998" s="169" t="n">
        <x:v>-1747152</x:v>
      </x:c>
      <x:c r="G998" s="169" t="str">
        <x:v>Rs '000</x:v>
      </x:c>
      <x:c r="H998" s="169" t="n">
        <x:f>F998/1000</x:f>
        <x:v>-1747.152</x:v>
      </x:c>
      <x:c r="I998" s="169" t="n">
        <x:f>DGKC!F122</x:f>
        <x:v>-1747.152</x:v>
      </x:c>
      <x:c r="J998" s="169" t="n">
        <x:f>H998-I998</x:f>
        <x:v>0</x:v>
      </x:c>
      <x:c r="K998" s="168" t="str">
        <x:v>DGAnnual2024.pdf</x:v>
      </x:c>
      <x:c r="L998" s="168" t="n">
        <x:v>155</x:v>
      </x:c>
      <x:c r="M998" s="168" t="str">
        <x:v>Comparative</x:v>
      </x:c>
      <x:c r="N998" s="171" t="str">
        <x:v>Printed amount independently located</x:v>
      </x:c>
      <x:c r="O998" s="171" t="str">
        <x:v>Exact source amount found; audited year/current-comparative column recorded. Accounting subtotal tests performed separately.</x:v>
      </x:c>
      <x:c r="P998" s="171" t="str">
        <x:v>135,000 -
Interest received  12,480 3,551
Dividends received   3,623,769 2,471,374
Net cash inflow / (outflow) from investing activities  2,277,223 (1,747,152)
Cash flows from financing activities
Proceeds from long term finances 7 11,200,706 2,038,739 
Repayment of long term finances 7 (7,149,183)  (6,484,381)
Dividend paid   (502) (437</x:v>
      </x:c>
    </x:row>
    <x:row r="999" ht="82" customHeight="1">
      <x:c r="A999" s="76" t="str">
        <x:v>DGKC|cfi|2024</x:v>
      </x:c>
      <x:c r="B999" s="76" t="str">
        <x:v>DGKC</x:v>
      </x:c>
      <x:c r="C999" s="76" t="str">
        <x:v>FY2024</x:v>
      </x:c>
      <x:c r="D999" s="76" t="str">
        <x:v>Net cash from investing activities</x:v>
      </x:c>
      <x:c r="E999" s="170" t="n">
        <x:v>2277223</x:v>
      </x:c>
      <x:c r="F999" s="170" t="n">
        <x:v>2277223</x:v>
      </x:c>
      <x:c r="G999" s="170" t="str">
        <x:v>Rs '000</x:v>
      </x:c>
      <x:c r="H999" s="170" t="n">
        <x:f>F999/1000</x:f>
        <x:v>2277.223</x:v>
      </x:c>
      <x:c r="I999" s="170" t="n">
        <x:f>DGKC!G122</x:f>
        <x:v>2277.223</x:v>
      </x:c>
      <x:c r="J999" s="170" t="n">
        <x:f>H999-I999</x:f>
        <x:v>0</x:v>
      </x:c>
      <x:c r="K999" s="76" t="str">
        <x:v>DGAnnual2025.pdf</x:v>
      </x:c>
      <x:c r="L999" s="76" t="n">
        <x:v>157</x:v>
      </x:c>
      <x:c r="M999" s="76" t="str">
        <x:v>Comparative</x:v>
      </x:c>
      <x:c r="N999" s="99" t="str">
        <x:v>Printed amount independently located</x:v>
      </x:c>
      <x:c r="O999" s="99" t="str">
        <x:v>Exact source amount found; audited year/current-comparative column recorded. Accounting subtotal tests performed separately.</x:v>
      </x:c>
      <x:c r="P999" s="99" t="str">
        <x:v>tments  128,250 135,000
Interest received  63,185 12,480
Dividends received  3,958,258 3,623,769
Net cash inflow from investing activities  3,000,535 2,277,223
Cash flows from financing activities
Proceeds from long term finances from financial institutions - secured 7 - 11,200,706 
Repayment of long term finances from financial institut</x:v>
      </x:c>
    </x:row>
    <x:row r="1000" ht="82" customHeight="1">
      <x:c r="A1000" s="168" t="str">
        <x:v>DGKC|cfi|2025</x:v>
      </x:c>
      <x:c r="B1000" s="168" t="str">
        <x:v>DGKC</x:v>
      </x:c>
      <x:c r="C1000" s="168" t="str">
        <x:v>FY2025</x:v>
      </x:c>
      <x:c r="D1000" s="168" t="str">
        <x:v>Net cash from investing activities</x:v>
      </x:c>
      <x:c r="E1000" s="169" t="n">
        <x:v>3000535</x:v>
      </x:c>
      <x:c r="F1000" s="169" t="n">
        <x:v>3000535</x:v>
      </x:c>
      <x:c r="G1000" s="169" t="str">
        <x:v>Rs '000</x:v>
      </x:c>
      <x:c r="H1000" s="169" t="n">
        <x:f>F1000/1000</x:f>
        <x:v>3000.535</x:v>
      </x:c>
      <x:c r="I1000" s="169" t="n">
        <x:f>DGKC!H122</x:f>
        <x:v>3000.535</x:v>
      </x:c>
      <x:c r="J1000" s="169" t="n">
        <x:f>H1000-I1000</x:f>
        <x:v>0</x:v>
      </x:c>
      <x:c r="K1000" s="168" t="str">
        <x:v>DGAnnual2025.pdf</x:v>
      </x:c>
      <x:c r="L1000" s="168" t="n">
        <x:v>157</x:v>
      </x:c>
      <x:c r="M1000" s="168" t="str">
        <x:v>Current year</x:v>
      </x:c>
      <x:c r="N1000" s="171" t="str">
        <x:v>Printed amount independently located</x:v>
      </x:c>
      <x:c r="O1000" s="171" t="str">
        <x:v>Exact source amount found; audited year/current-comparative column recorded. Accounting subtotal tests performed separately.</x:v>
      </x:c>
      <x:c r="P1000" s="171" t="str">
        <x:v>l of investments  128,250 135,000
Interest received  63,185 12,480
Dividends received  3,958,258 3,623,769
Net cash inflow from investing activities  3,000,535 2,277,223
Cash flows from financing activities
Proceeds from long term finances from financial institutions - secured 7 - 11,200,706 
Repayment of long term finances from financia</x:v>
      </x:c>
    </x:row>
    <x:row r="1001" ht="82" customHeight="1">
      <x:c r="A1001" s="76" t="str">
        <x:v>DGKC|cff|2021</x:v>
      </x:c>
      <x:c r="B1001" s="76" t="str">
        <x:v>DGKC</x:v>
      </x:c>
      <x:c r="C1001" s="76" t="str">
        <x:v>FY2021</x:v>
      </x:c>
      <x:c r="D1001" s="76" t="str">
        <x:v>Net cash from financing activities</x:v>
      </x:c>
      <x:c r="E1001" s="170" t="n">
        <x:v>2374853</x:v>
      </x:c>
      <x:c r="F1001" s="170" t="n">
        <x:v>2374853</x:v>
      </x:c>
      <x:c r="G1001" s="170" t="str">
        <x:v>Rs '000</x:v>
      </x:c>
      <x:c r="H1001" s="170" t="n">
        <x:f>F1001/1000</x:f>
        <x:v>2374.853</x:v>
      </x:c>
      <x:c r="I1001" s="170" t="n">
        <x:f>DGKC!D123</x:f>
        <x:v>2374.853</x:v>
      </x:c>
      <x:c r="J1001" s="170" t="n">
        <x:f>H1001-I1001</x:f>
        <x:v>0</x:v>
      </x:c>
      <x:c r="K1001" s="76" t="str">
        <x:v>DG_Annual_Report_2022.pdf</x:v>
      </x:c>
      <x:c r="L1001" s="76" t="n">
        <x:v>129</x:v>
      </x:c>
      <x:c r="M1001" s="76" t="str">
        <x:v>Comparative</x:v>
      </x:c>
      <x:c r="N1001" s="99" t="str">
        <x:v>Printed amount independently located</x:v>
      </x:c>
      <x:c r="O1001" s="99" t="str">
        <x:v>Exact source amount found; audited year/current-comparative column recorded. Accounting subtotal tests performed separately.</x:v>
      </x:c>
      <x:c r="P1001" s="99" t="str">
        <x:v>yment of long term finances 7 (6,058,277) (6,451,284)
Dividend paid  (437,124) (320)
Net cash (outflow)/inflow from financing activities  (4,864,956) 2,374,853
Net (decrease)/increase in cash and cash equivalents   (7,335,789) 5,573,883
Cash and cash equivalents at the beginning of the year   (17,555,677) (23,148,133)
Effect of exchange</x:v>
      </x:c>
    </x:row>
    <x:row r="1002" ht="82" customHeight="1">
      <x:c r="A1002" s="168" t="str">
        <x:v>DGKC|cff|2022</x:v>
      </x:c>
      <x:c r="B1002" s="168" t="str">
        <x:v>DGKC</x:v>
      </x:c>
      <x:c r="C1002" s="168" t="str">
        <x:v>FY2022</x:v>
      </x:c>
      <x:c r="D1002" s="168" t="str">
        <x:v>Net cash from financing activities</x:v>
      </x:c>
      <x:c r="E1002" s="169" t="n">
        <x:v>-4864956</x:v>
      </x:c>
      <x:c r="F1002" s="169" t="n">
        <x:v>-4864956</x:v>
      </x:c>
      <x:c r="G1002" s="169" t="str">
        <x:v>Rs '000</x:v>
      </x:c>
      <x:c r="H1002" s="169" t="n">
        <x:f>F1002/1000</x:f>
        <x:v>-4864.956</x:v>
      </x:c>
      <x:c r="I1002" s="169" t="n">
        <x:f>DGKC!E123</x:f>
        <x:v>-4864.956</x:v>
      </x:c>
      <x:c r="J1002" s="169" t="n">
        <x:f>H1002-I1002</x:f>
        <x:v>0</x:v>
      </x:c>
      <x:c r="K1002" s="168" t="str">
        <x:v>DGAnnual2023.pdf</x:v>
      </x:c>
      <x:c r="L1002" s="168" t="n">
        <x:v>155</x:v>
      </x:c>
      <x:c r="M1002" s="168" t="str">
        <x:v>Comparative</x:v>
      </x:c>
      <x:c r="N1002" s="171" t="str">
        <x:v>Printed amount independently located</x:v>
      </x:c>
      <x:c r="O1002" s="171" t="str">
        <x:v>Exact source amount found; audited year/current-comparative column recorded. Accounting subtotal tests performed separately.</x:v>
      </x:c>
      <x:c r="P1002" s="171" t="str">
        <x:v>Repayment of long term finances 7 (6,484,381) (6,058,277)
Dividend paid  (437,927) (437,124)
Net cash outflow from financing activities  (4,883,569) (4,864,956)
Net decrease in cash and cash equivalents   (126,487) (7,335,789)
Cash and cash equivalents at the beginning of the year   (24,799,703) (17,555,677)
Effect of exchange rate change</x:v>
      </x:c>
    </x:row>
    <x:row r="1003" ht="82" customHeight="1">
      <x:c r="A1003" s="76" t="str">
        <x:v>DGKC|cff|2023</x:v>
      </x:c>
      <x:c r="B1003" s="76" t="str">
        <x:v>DGKC</x:v>
      </x:c>
      <x:c r="C1003" s="76" t="str">
        <x:v>FY2023</x:v>
      </x:c>
      <x:c r="D1003" s="76" t="str">
        <x:v>Net cash from financing activities</x:v>
      </x:c>
      <x:c r="E1003" s="170" t="n">
        <x:v>-4883569</x:v>
      </x:c>
      <x:c r="F1003" s="170" t="n">
        <x:v>-4883569</x:v>
      </x:c>
      <x:c r="G1003" s="170" t="str">
        <x:v>Rs '000</x:v>
      </x:c>
      <x:c r="H1003" s="170" t="n">
        <x:f>F1003/1000</x:f>
        <x:v>-4883.569</x:v>
      </x:c>
      <x:c r="I1003" s="170" t="n">
        <x:f>DGKC!F123</x:f>
        <x:v>-4883.569</x:v>
      </x:c>
      <x:c r="J1003" s="170" t="n">
        <x:f>H1003-I1003</x:f>
        <x:v>0</x:v>
      </x:c>
      <x:c r="K1003" s="76" t="str">
        <x:v>DGAnnual2024.pdf</x:v>
      </x:c>
      <x:c r="L1003" s="76" t="n">
        <x:v>155</x:v>
      </x:c>
      <x:c r="M1003" s="76" t="str">
        <x:v>Comparative</x:v>
      </x:c>
      <x:c r="N1003" s="99" t="str">
        <x:v>Printed amount independently located</x:v>
      </x:c>
      <x:c r="O1003" s="99" t="str">
        <x:v>Exact source amount found; audited year/current-comparative column recorded. Accounting subtotal tests performed separately.</x:v>
      </x:c>
      <x:c r="P1003" s="99" t="str">
        <x:v>ent of long term finances 7 (7,149,183)  (6,484,381)
Dividend paid   (502) (437,927)
Net cash inflow / (outflow) from financing activities  4,051,021 (4,883,569)
Net increase / (decrease) in cash and cash equivalents   12,357,789 (126,487)
Cash and cash equivalents at the beginning of the year   (24,819,321) (24,799,703)
Effect of exchange</x:v>
      </x:c>
    </x:row>
    <x:row r="1004" ht="82" customHeight="1">
      <x:c r="A1004" s="168" t="str">
        <x:v>DGKC|cff|2024</x:v>
      </x:c>
      <x:c r="B1004" s="168" t="str">
        <x:v>DGKC</x:v>
      </x:c>
      <x:c r="C1004" s="168" t="str">
        <x:v>FY2024</x:v>
      </x:c>
      <x:c r="D1004" s="168" t="str">
        <x:v>Net cash from financing activities</x:v>
      </x:c>
      <x:c r="E1004" s="169" t="n">
        <x:v>4051021</x:v>
      </x:c>
      <x:c r="F1004" s="169" t="n">
        <x:v>4051021</x:v>
      </x:c>
      <x:c r="G1004" s="169" t="str">
        <x:v>Rs '000</x:v>
      </x:c>
      <x:c r="H1004" s="169" t="n">
        <x:f>F1004/1000</x:f>
        <x:v>4051.021</x:v>
      </x:c>
      <x:c r="I1004" s="169" t="n">
        <x:f>DGKC!G123</x:f>
        <x:v>4051.021</x:v>
      </x:c>
      <x:c r="J1004" s="169" t="n">
        <x:f>H1004-I1004</x:f>
        <x:v>0</x:v>
      </x:c>
      <x:c r="K1004" s="168" t="str">
        <x:v>DGAnnual2025.pdf</x:v>
      </x:c>
      <x:c r="L1004" s="168" t="n">
        <x:v>157</x:v>
      </x:c>
      <x:c r="M1004" s="168" t="str">
        <x:v>Comparative</x:v>
      </x:c>
      <x:c r="N1004" s="171" t="str">
        <x:v>Printed amount independently located</x:v>
      </x:c>
      <x:c r="O1004" s="171" t="str">
        <x:v>Exact source amount found; audited year/current-comparative column recorded. Accounting subtotal tests performed separately.</x:v>
      </x:c>
      <x:c r="P1004" s="171" t="str">
        <x:v>cial institutions - secured 7  (9,357,639) (7,149,183)
Dividend paid   (48)  (502)
Net cash (outflow) / inflow from financing activities  (9,357,687) 4,051,021 
Net increase in cash and cash equivalents    3,676,980 12,357,789
Cash and cash equivalents at the beginning of the year    (12,332,550)  (24,819,321)
Effect of exchange rate cha</x:v>
      </x:c>
    </x:row>
    <x:row r="1005" ht="82" customHeight="1">
      <x:c r="A1005" s="76" t="str">
        <x:v>DGKC|cff|2025</x:v>
      </x:c>
      <x:c r="B1005" s="76" t="str">
        <x:v>DGKC</x:v>
      </x:c>
      <x:c r="C1005" s="76" t="str">
        <x:v>FY2025</x:v>
      </x:c>
      <x:c r="D1005" s="76" t="str">
        <x:v>Net cash from financing activities</x:v>
      </x:c>
      <x:c r="E1005" s="170" t="n">
        <x:v>-9357687</x:v>
      </x:c>
      <x:c r="F1005" s="170" t="n">
        <x:v>-9357687</x:v>
      </x:c>
      <x:c r="G1005" s="170" t="str">
        <x:v>Rs '000</x:v>
      </x:c>
      <x:c r="H1005" s="170" t="n">
        <x:f>F1005/1000</x:f>
        <x:v>-9357.687</x:v>
      </x:c>
      <x:c r="I1005" s="170" t="n">
        <x:f>DGKC!H123</x:f>
        <x:v>-9357.687</x:v>
      </x:c>
      <x:c r="J1005" s="170" t="n">
        <x:f>H1005-I1005</x:f>
        <x:v>0</x:v>
      </x:c>
      <x:c r="K1005" s="76" t="str">
        <x:v>DGAnnual2025.pdf</x:v>
      </x:c>
      <x:c r="L1005" s="76" t="n">
        <x:v>157</x:v>
      </x:c>
      <x:c r="M1005" s="76" t="str">
        <x:v>Current year</x:v>
      </x:c>
      <x:c r="N1005" s="99" t="str">
        <x:v>Printed amount independently located</x:v>
      </x:c>
      <x:c r="O1005" s="99" t="str">
        <x:v>Exact source amount found; audited year/current-comparative column recorded. Accounting subtotal tests performed separately.</x:v>
      </x:c>
      <x:c r="P1005" s="99" t="str">
        <x:v>s from financial institutions - secured 7  (9,357,639) (7,149,183)
Dividend paid   (48)  (502)
Net cash (outflow) / inflow from financing activities  (9,357,687) 4,051,021 
Net increase in cash and cash equivalents    3,676,980 12,357,789
Cash and cash equivalents at the beginning of the year    (12,332,550)  (24,819,321)
Effect of exchang</x:v>
      </x:c>
    </x:row>
    <x:row r="1006" ht="82" customHeight="1">
      <x:c r="A1006" s="168" t="str">
        <x:v>DGKC|div_paid|2021</x:v>
      </x:c>
      <x:c r="B1006" s="168" t="str">
        <x:v>DGKC</x:v>
      </x:c>
      <x:c r="C1006" s="168" t="str">
        <x:v>FY2021</x:v>
      </x:c>
      <x:c r="D1006" s="168" t="str">
        <x:v>Dividends paid</x:v>
      </x:c>
      <x:c r="E1006" s="169" t="n">
        <x:v>-320</x:v>
      </x:c>
      <x:c r="F1006" s="169" t="n">
        <x:v>-320</x:v>
      </x:c>
      <x:c r="G1006" s="169" t="str">
        <x:v>Rs '000</x:v>
      </x:c>
      <x:c r="H1006" s="169" t="n">
        <x:f>F1006/1000</x:f>
        <x:v>-0.32</x:v>
      </x:c>
      <x:c r="I1006" s="169" t="n">
        <x:f>DGKC!D124</x:f>
        <x:v>-0.32</x:v>
      </x:c>
      <x:c r="J1006" s="169" t="n">
        <x:f>H1006-I1006</x:f>
        <x:v>0</x:v>
      </x:c>
      <x:c r="K1006" s="168" t="str">
        <x:v>DG_Annual_Report_2022.pdf</x:v>
      </x:c>
      <x:c r="L1006" s="168" t="n">
        <x:v>129</x:v>
      </x:c>
      <x:c r="M1006" s="168" t="str">
        <x:v>Comparative</x:v>
      </x:c>
      <x:c r="N1006" s="171" t="str">
        <x:v>Printed amount independently located</x:v>
      </x:c>
      <x:c r="O1006" s="171" t="str">
        <x:v>Exact source amount found; audited year/current-comparative column recorded. Accounting subtotal tests performed separately.</x:v>
      </x:c>
      <x:c r="P1006" s="171" t="str">
        <x:v>activities
Proceeds from long term finances 7 1,630,445 8,826,457
Repayment of long term finances 7 (6,058,277) (6,451,284)
Dividend paid  (437,124) (320)
Net cash (outflow)/inflow from financing activities  (4,864,956) 2,374,853
Net (decrease)/increase in cash and cash equivalents   (7,335,789) 5,573,883
Cash and cash equivalents a</x:v>
      </x:c>
    </x:row>
    <x:row r="1007" ht="82" customHeight="1">
      <x:c r="A1007" s="76" t="str">
        <x:v>DGKC|div_paid|2022</x:v>
      </x:c>
      <x:c r="B1007" s="76" t="str">
        <x:v>DGKC</x:v>
      </x:c>
      <x:c r="C1007" s="76" t="str">
        <x:v>FY2022</x:v>
      </x:c>
      <x:c r="D1007" s="76" t="str">
        <x:v>Dividends paid</x:v>
      </x:c>
      <x:c r="E1007" s="170" t="n">
        <x:v>-437124</x:v>
      </x:c>
      <x:c r="F1007" s="170" t="n">
        <x:v>-437124</x:v>
      </x:c>
      <x:c r="G1007" s="170" t="str">
        <x:v>Rs '000</x:v>
      </x:c>
      <x:c r="H1007" s="170" t="n">
        <x:f>F1007/1000</x:f>
        <x:v>-437.124</x:v>
      </x:c>
      <x:c r="I1007" s="170" t="n">
        <x:f>DGKC!E124</x:f>
        <x:v>-437.124</x:v>
      </x:c>
      <x:c r="J1007" s="170" t="n">
        <x:f>H1007-I1007</x:f>
        <x:v>0</x:v>
      </x:c>
      <x:c r="K1007" s="76" t="str">
        <x:v>DGAnnual2023.pdf</x:v>
      </x:c>
      <x:c r="L1007" s="76" t="n">
        <x:v>155</x:v>
      </x:c>
      <x:c r="M1007" s="76" t="str">
        <x:v>Comparative</x:v>
      </x:c>
      <x:c r="N1007" s="99" t="str">
        <x:v>Printed amount independently located</x:v>
      </x:c>
      <x:c r="O1007" s="99" t="str">
        <x:v>Exact source amount found; audited year/current-comparative column recorded. Accounting subtotal tests performed separately.</x:v>
      </x:c>
      <x:c r="P1007" s="99" t="str">
        <x:v>activities
Proceeds from long term finances 7 2,038,739 1,630,445
Repayment of long term finances 7 (6,484,381) (6,058,277)
Dividend paid  (437,927) (437,124)
Net cash outflow from financing activities  (4,883,569) (4,864,956)
Net decrease in cash and cash equivalents   (126,487) (7,335,789)
Cash and cash equivalents at the beginning of</x:v>
      </x:c>
    </x:row>
    <x:row r="1008" ht="82" customHeight="1">
      <x:c r="A1008" s="168" t="str">
        <x:v>DGKC|div_paid|2023</x:v>
      </x:c>
      <x:c r="B1008" s="168" t="str">
        <x:v>DGKC</x:v>
      </x:c>
      <x:c r="C1008" s="168" t="str">
        <x:v>FY2023</x:v>
      </x:c>
      <x:c r="D1008" s="168" t="str">
        <x:v>Dividends paid</x:v>
      </x:c>
      <x:c r="E1008" s="169" t="n">
        <x:v>-437927</x:v>
      </x:c>
      <x:c r="F1008" s="169" t="n">
        <x:v>-437927</x:v>
      </x:c>
      <x:c r="G1008" s="169" t="str">
        <x:v>Rs '000</x:v>
      </x:c>
      <x:c r="H1008" s="169" t="n">
        <x:f>F1008/1000</x:f>
        <x:v>-437.927</x:v>
      </x:c>
      <x:c r="I1008" s="169" t="n">
        <x:f>DGKC!F124</x:f>
        <x:v>-437.927</x:v>
      </x:c>
      <x:c r="J1008" s="169" t="n">
        <x:f>H1008-I1008</x:f>
        <x:v>0</x:v>
      </x:c>
      <x:c r="K1008" s="168" t="str">
        <x:v>DGAnnual2024.pdf</x:v>
      </x:c>
      <x:c r="L1008" s="168" t="n">
        <x:v>155</x:v>
      </x:c>
      <x:c r="M1008" s="168" t="str">
        <x:v>Comparative</x:v>
      </x:c>
      <x:c r="N1008" s="171" t="str">
        <x:v>Printed amount independently located</x:v>
      </x:c>
      <x:c r="O1008" s="171" t="str">
        <x:v>Exact source amount found; audited year/current-comparative column recorded. Accounting subtotal tests performed separately.</x:v>
      </x:c>
      <x:c r="P1008" s="171" t="str">
        <x:v>activities
Proceeds from long term finances 7 11,200,706 2,038,739 
Repayment of long term finances 7 (7,149,183)  (6,484,381)
Dividend paid   (502) (437,927)
Net cash inflow / (outflow) from financing activities  4,051,021 (4,883,569)
Net increase / (decrease) in cash and cash equivalents   12,357,789 (126,487)
Cash and cash equivalent</x:v>
      </x:c>
    </x:row>
    <x:row r="1009" ht="82" customHeight="1">
      <x:c r="A1009" s="76" t="str">
        <x:v>DGKC|div_paid|2024</x:v>
      </x:c>
      <x:c r="B1009" s="76" t="str">
        <x:v>DGKC</x:v>
      </x:c>
      <x:c r="C1009" s="76" t="str">
        <x:v>FY2024</x:v>
      </x:c>
      <x:c r="D1009" s="76" t="str">
        <x:v>Dividends paid</x:v>
      </x:c>
      <x:c r="E1009" s="170" t="n">
        <x:v>-502</x:v>
      </x:c>
      <x:c r="F1009" s="170" t="n">
        <x:v>-502</x:v>
      </x:c>
      <x:c r="G1009" s="170" t="str">
        <x:v>Rs '000</x:v>
      </x:c>
      <x:c r="H1009" s="170" t="n">
        <x:f>F1009/1000</x:f>
        <x:v>-0.502</x:v>
      </x:c>
      <x:c r="I1009" s="170" t="n">
        <x:f>DGKC!G124</x:f>
        <x:v>-0.502</x:v>
      </x:c>
      <x:c r="J1009" s="170" t="n">
        <x:f>H1009-I1009</x:f>
        <x:v>0</x:v>
      </x:c>
      <x:c r="K1009" s="76" t="str">
        <x:v>DGAnnual2025.pdf</x:v>
      </x:c>
      <x:c r="L1009" s="76" t="n">
        <x:v>157</x:v>
      </x:c>
      <x:c r="M1009" s="76" t="str">
        <x:v>Comparative</x:v>
      </x:c>
      <x:c r="N1009" s="99" t="str">
        <x:v>Printed amount independently located</x:v>
      </x:c>
      <x:c r="O1009" s="99" t="str">
        <x:v>Exact source amount found; audited year/current-comparative column recorded. Accounting subtotal tests performed separately.</x:v>
      </x:c>
      <x:c r="P1009" s="99" t="str">
        <x:v>ions - secured 7 - 11,200,706 
Repayment of long term finances from financial institutions - secured 7  (9,357,639) (7,149,183)
Dividend paid   (48)  (502)
Net cash (outflow) / inflow from financing activities  (9,357,687) 4,051,021 
Net increase in cash and cash equivalents    3,676,980 12,357,789
Cash and cash equivalents at the be</x:v>
      </x:c>
    </x:row>
    <x:row r="1010" ht="82" customHeight="1">
      <x:c r="A1010" s="168" t="str">
        <x:v>DGKC|div_paid|2025</x:v>
      </x:c>
      <x:c r="B1010" s="168" t="str">
        <x:v>DGKC</x:v>
      </x:c>
      <x:c r="C1010" s="168" t="str">
        <x:v>FY2025</x:v>
      </x:c>
      <x:c r="D1010" s="168" t="str">
        <x:v>Dividends paid</x:v>
      </x:c>
      <x:c r="E1010" s="169" t="n">
        <x:v>-48</x:v>
      </x:c>
      <x:c r="F1010" s="169" t="n">
        <x:v>-48</x:v>
      </x:c>
      <x:c r="G1010" s="169" t="str">
        <x:v>Rs '000</x:v>
      </x:c>
      <x:c r="H1010" s="169" t="n">
        <x:f>F1010/1000</x:f>
        <x:v>-0.048</x:v>
      </x:c>
      <x:c r="I1010" s="169" t="n">
        <x:f>DGKC!H124</x:f>
        <x:v>-0.048</x:v>
      </x:c>
      <x:c r="J1010" s="169" t="n">
        <x:f>H1010-I1010</x:f>
        <x:v>0</x:v>
      </x:c>
      <x:c r="K1010" s="168" t="str">
        <x:v>DGAnnual2025.pdf</x:v>
      </x:c>
      <x:c r="L1010" s="168" t="n">
        <x:v>157</x:v>
      </x:c>
      <x:c r="M1010" s="168" t="str">
        <x:v>Current year</x:v>
      </x:c>
      <x:c r="N1010" s="171" t="str">
        <x:v>Printed amount independently located</x:v>
      </x:c>
      <x:c r="O1010" s="171" t="str">
        <x:v>Exact source amount found; audited year/current-comparative column recorded. Accounting subtotal tests performed separately.</x:v>
      </x:c>
      <x:c r="P1010" s="171" t="str">
        <x:v>stitutions - secured 7 - 11,200,706 
Repayment of long term finances from financial institutions - secured 7  (9,357,639) (7,149,183)
Dividend paid   (48)  (502)
Net cash (outflow) / inflow from financing activities  (9,357,687) 4,051,021 
Net increase in cash and cash equivalents    3,676,980 12,357,789
Cash and cash equivalents at</x:v>
      </x:c>
    </x:row>
    <x:row r="1011" ht="82" customHeight="1">
      <x:c r="A1011" s="76" t="str">
        <x:v>MLCF|ppe|2020</x:v>
      </x:c>
      <x:c r="B1011" s="76" t="str">
        <x:v>MLCF</x:v>
      </x:c>
      <x:c r="C1011" s="76" t="str">
        <x:v>FY2020</x:v>
      </x:c>
      <x:c r="D1011" s="76" t="str">
        <x:v>Property, plant and equipment (as presented)</x:v>
      </x:c>
      <x:c r="E1011" s="170" t="n">
        <x:v>44297941</x:v>
      </x:c>
      <x:c r="F1011" s="170" t="n">
        <x:v>44297941</x:v>
      </x:c>
      <x:c r="G1011" s="170" t="str">
        <x:v>Rs '000</x:v>
      </x:c>
      <x:c r="H1011" s="170" t="n">
        <x:f>F1011/1000</x:f>
        <x:v>44297.941</x:v>
      </x:c>
      <x:c r="I1011" s="170" t="n">
        <x:f>MLCF!C20</x:f>
        <x:v>44297.941</x:v>
      </x:c>
      <x:c r="J1011" s="170" t="n">
        <x:f>H1011-I1011</x:f>
        <x:v>0</x:v>
      </x:c>
      <x:c r="K1011" s="76" t="str">
        <x:v>2021.pdf</x:v>
      </x:c>
      <x:c r="L1011" s="76" t="n">
        <x:v>163</x:v>
      </x:c>
      <x:c r="M1011" s="76" t="str">
        <x:v>Comparative</x:v>
      </x:c>
      <x:c r="N1011" s="99" t="str">
        <x:v>Printed amount independently located</x:v>
      </x:c>
      <x:c r="O1011" s="99" t="str">
        <x:v>Exact source amount found; audited year/current-comparative column recorded. Accounting subtotal tests performed separately.</x:v>
      </x:c>
      <x:c r="P1011" s="99" t="str">
        <x:v>161
   2021 2020
  Note (Rupees in thousand) 
ASSETS   
NON - CURRENT ASSETS   
Property, plant and equipment 20  44,215,539   44,297,941 
Intangible assets 21  6,017   9,023 
Long term investment 22  5,020,000   5,020,000 
Long term loans to employees - secured 23  17,004   19,196 
Long term deposits 24  57,302   5</x:v>
      </x:c>
    </x:row>
    <x:row r="1012" ht="82" customHeight="1">
      <x:c r="A1012" s="168" t="str">
        <x:v>MLCF|ppe|2021</x:v>
      </x:c>
      <x:c r="B1012" s="168" t="str">
        <x:v>MLCF</x:v>
      </x:c>
      <x:c r="C1012" s="168" t="str">
        <x:v>FY2021</x:v>
      </x:c>
      <x:c r="D1012" s="168" t="str">
        <x:v>Property, plant and equipment (as presented)</x:v>
      </x:c>
      <x:c r="E1012" s="169" t="n">
        <x:v>44215539</x:v>
      </x:c>
      <x:c r="F1012" s="169" t="n">
        <x:v>44215539</x:v>
      </x:c>
      <x:c r="G1012" s="169" t="str">
        <x:v>Rs '000</x:v>
      </x:c>
      <x:c r="H1012" s="169" t="n">
        <x:f>F1012/1000</x:f>
        <x:v>44215.539</x:v>
      </x:c>
      <x:c r="I1012" s="169" t="n">
        <x:f>MLCF!D20</x:f>
        <x:v>44215.539</x:v>
      </x:c>
      <x:c r="J1012" s="169" t="n">
        <x:f>H1012-I1012</x:f>
        <x:v>0</x:v>
      </x:c>
      <x:c r="K1012" s="168" t="str">
        <x:v>2022.pdf</x:v>
      </x:c>
      <x:c r="L1012" s="168" t="n">
        <x:v>184</x:v>
      </x:c>
      <x:c r="M1012" s="168" t="str">
        <x:v>Comparative</x:v>
      </x:c>
      <x:c r="N1012" s="171" t="str">
        <x:v>Printed amount independently located</x:v>
      </x:c>
      <x:c r="O1012" s="171" t="str">
        <x:v>Exact source amount found; audited year/current-comparative column recorded. Accounting subtotal tests performed separately.</x:v>
      </x:c>
      <x:c r="P1012" s="171" t="str">
        <x:v>183
   2022 2021
  Note (Rupees in thousand) 
ASSETS   
NON - CURRENT ASSETS   
Property, plant and equipment 20  56,784,840   44,215,539 
Intangible assets 21  10,415   6,017 
Long term investment 22  5,020,000   5,020,000 
Long term loans to employees - secured 23  19,366   17,004 
Long term deposits 24  57,600</x:v>
      </x:c>
    </x:row>
    <x:row r="1013" ht="82" customHeight="1">
      <x:c r="A1013" s="76" t="str">
        <x:v>MLCF|ppe|2022</x:v>
      </x:c>
      <x:c r="B1013" s="76" t="str">
        <x:v>MLCF</x:v>
      </x:c>
      <x:c r="C1013" s="76" t="str">
        <x:v>FY2022</x:v>
      </x:c>
      <x:c r="D1013" s="76" t="str">
        <x:v>Property, plant and equipment (as presented)</x:v>
      </x:c>
      <x:c r="E1013" s="170" t="n">
        <x:v>56784840</x:v>
      </x:c>
      <x:c r="F1013" s="170" t="n">
        <x:v>56784840</x:v>
      </x:c>
      <x:c r="G1013" s="170" t="str">
        <x:v>Rs '000</x:v>
      </x:c>
      <x:c r="H1013" s="170" t="n">
        <x:f>F1013/1000</x:f>
        <x:v>56784.84</x:v>
      </x:c>
      <x:c r="I1013" s="170" t="n">
        <x:f>MLCF!E20</x:f>
        <x:v>56784.84</x:v>
      </x:c>
      <x:c r="J1013" s="170" t="n">
        <x:f>H1013-I1013</x:f>
        <x:v>0</x:v>
      </x:c>
      <x:c r="K1013" s="76" t="str">
        <x:v>2023.pdf</x:v>
      </x:c>
      <x:c r="L1013" s="76" t="n">
        <x:v>98</x:v>
      </x:c>
      <x:c r="M1013" s="76" t="str">
        <x:v>Comparative</x:v>
      </x:c>
      <x:c r="N1013" s="99" t="str">
        <x:v>Printed amount independently located</x:v>
      </x:c>
      <x:c r="O1013" s="99" t="str">
        <x:v>Exact source amount found; audited year/current-comparative column recorded. Accounting subtotal tests performed separately.</x:v>
      </x:c>
      <x:c r="P1013" s="99" t="str">
        <x:v>FINANCIAL OFFICERDIRECTOR DIRECTOR
   2023 2022
  Note (Rupees in thousand) 
ASSETS
NON - CURRENT ASSETS
Property, plant and equipment 20 62,354,608 56,784,840
Intangible assets 21 6,946 10,415
Long term investment 22 5,030,000 5,020,000
Long term loans to employees - secured 23 18,089 19,366
Long term deposits 24 58,401 57,600
  67,468,</x:v>
      </x:c>
    </x:row>
    <x:row r="1014" ht="82" customHeight="1">
      <x:c r="A1014" s="168" t="str">
        <x:v>MLCF|ppe|2023</x:v>
      </x:c>
      <x:c r="B1014" s="168" t="str">
        <x:v>MLCF</x:v>
      </x:c>
      <x:c r="C1014" s="168" t="str">
        <x:v>FY2023</x:v>
      </x:c>
      <x:c r="D1014" s="168" t="str">
        <x:v>Property, plant and equipment (as presented)</x:v>
      </x:c>
      <x:c r="E1014" s="169" t="n">
        <x:v>62354608</x:v>
      </x:c>
      <x:c r="F1014" s="169" t="n">
        <x:v>62354608</x:v>
      </x:c>
      <x:c r="G1014" s="169" t="str">
        <x:v>Rs '000</x:v>
      </x:c>
      <x:c r="H1014" s="169" t="n">
        <x:f>F1014/1000</x:f>
        <x:v>62354.608</x:v>
      </x:c>
      <x:c r="I1014" s="169" t="n">
        <x:f>MLCF!F20</x:f>
        <x:v>62354.608</x:v>
      </x:c>
      <x:c r="J1014" s="169" t="n">
        <x:f>H1014-I1014</x:f>
        <x:v>0</x:v>
      </x:c>
      <x:c r="K1014" s="168" t="str">
        <x:v>2024.pdf</x:v>
      </x:c>
      <x:c r="L1014" s="168" t="n">
        <x:v>190</x:v>
      </x:c>
      <x:c r="M1014" s="168" t="str">
        <x:v>Comparative</x:v>
      </x:c>
      <x:c r="N1014" s="171" t="str">
        <x:v>Printed amount independently located</x:v>
      </x:c>
      <x:c r="O1014" s="171" t="str">
        <x:v>Exact source amount found; audited year/current-comparative column recorded. Accounting subtotal tests performed separately.</x:v>
      </x:c>
      <x:c r="P1014" s="171" t="str">
        <x:v>1892024
   2024 2023
  Note (Rupees in thousand) 
ASSETS
NON - CURRENT ASSETS
Property, plant and equipment 20 65,995,598 62,354,608
Intangible assets 21 84,810 6,946
Long term investments 22 6,322,000 5,030,000
Long term loans to employees - secured 23 31,228 18,089
Long term deposits 24 64,209 58,401
  72,497</x:v>
      </x:c>
    </x:row>
    <x:row r="1015" ht="82" customHeight="1">
      <x:c r="A1015" s="76" t="str">
        <x:v>MLCF|ppe|2024</x:v>
      </x:c>
      <x:c r="B1015" s="76" t="str">
        <x:v>MLCF</x:v>
      </x:c>
      <x:c r="C1015" s="76" t="str">
        <x:v>FY2024</x:v>
      </x:c>
      <x:c r="D1015" s="76" t="str">
        <x:v>Property, plant and equipment (as presented)</x:v>
      </x:c>
      <x:c r="E1015" s="170" t="n">
        <x:v>65995598</x:v>
      </x:c>
      <x:c r="F1015" s="170" t="n">
        <x:v>65995598</x:v>
      </x:c>
      <x:c r="G1015" s="170" t="str">
        <x:v>Rs '000</x:v>
      </x:c>
      <x:c r="H1015" s="170" t="n">
        <x:f>F1015/1000</x:f>
        <x:v>65995.598</x:v>
      </x:c>
      <x:c r="I1015" s="170" t="n">
        <x:f>MLCF!G20</x:f>
        <x:v>65995.598</x:v>
      </x:c>
      <x:c r="J1015" s="170" t="n">
        <x:f>H1015-I1015</x:f>
        <x:v>0</x:v>
      </x:c>
      <x:c r="K1015" s="76" t="str">
        <x:v>2025.pdf</x:v>
      </x:c>
      <x:c r="L1015" s="76" t="n">
        <x:v>202</x:v>
      </x:c>
      <x:c r="M1015" s="76" t="str">
        <x:v>Comparative</x:v>
      </x:c>
      <x:c r="N1015" s="99" t="str">
        <x:v>Printed amount independently located</x:v>
      </x:c>
      <x:c r="O1015" s="99" t="str">
        <x:v>Exact source amount found; audited year/current-comparative column recorded. Accounting subtotal tests performed separately.</x:v>
      </x:c>
      <x:c r="P1015" s="99" t="str">
        <x:v>2012025
   2025 2024
  Note (Rupees in thousand) 
ASSETS
NON - CURRENT ASSETS
Property, plant and equipment 19  62,836,212   65,995,598 
Intangible assets 20  62,426   84,810 
Long term investments 21  20,371,110   6,322,000 
Long term loans to employees - secured 22  16,610   31,228 
Long term deposits 23  67,309</x:v>
      </x:c>
    </x:row>
    <x:row r="1016" ht="82" customHeight="1">
      <x:c r="A1016" s="168" t="str">
        <x:v>MLCF|ppe|2025</x:v>
      </x:c>
      <x:c r="B1016" s="168" t="str">
        <x:v>MLCF</x:v>
      </x:c>
      <x:c r="C1016" s="168" t="str">
        <x:v>FY2025</x:v>
      </x:c>
      <x:c r="D1016" s="168" t="str">
        <x:v>Property, plant and equipment (as presented)</x:v>
      </x:c>
      <x:c r="E1016" s="169" t="n">
        <x:v>62836212</x:v>
      </x:c>
      <x:c r="F1016" s="169" t="n">
        <x:v>62836212</x:v>
      </x:c>
      <x:c r="G1016" s="169" t="str">
        <x:v>Rs '000</x:v>
      </x:c>
      <x:c r="H1016" s="169" t="n">
        <x:f>F1016/1000</x:f>
        <x:v>62836.212</x:v>
      </x:c>
      <x:c r="I1016" s="169" t="n">
        <x:f>MLCF!H20</x:f>
        <x:v>62836.212</x:v>
      </x:c>
      <x:c r="J1016" s="169" t="n">
        <x:f>H1016-I1016</x:f>
        <x:v>0</x:v>
      </x:c>
      <x:c r="K1016" s="168" t="str">
        <x:v>2025.pdf</x:v>
      </x:c>
      <x:c r="L1016" s="168" t="n">
        <x:v>202</x:v>
      </x:c>
      <x:c r="M1016" s="168" t="str">
        <x:v>Current year</x:v>
      </x:c>
      <x:c r="N1016" s="171" t="str">
        <x:v>Printed amount independently located</x:v>
      </x:c>
      <x:c r="O1016" s="171" t="str">
        <x:v>Exact source amount found; audited year/current-comparative column recorded. Accounting subtotal tests performed separately.</x:v>
      </x:c>
      <x:c r="P1016" s="171" t="str">
        <x:v>2012025
   2025 2024
  Note (Rupees in thousand) 
ASSETS
NON - CURRENT ASSETS
Property, plant and equipment 19  62,836,212   65,995,598 
Intangible assets 20  62,426   84,810 
Long term investments 21  20,371,110   6,322,000 
Long term loans to employees - secured 22  16,610   31,228 
Long term deposi</x:v>
      </x:c>
    </x:row>
    <x:row r="1017" ht="82" customHeight="1">
      <x:c r="A1017" s="76" t="str">
        <x:v>MLCF|cwip|2020</x:v>
      </x:c>
      <x:c r="B1017" s="76" t="str">
        <x:v>MLCF</x:v>
      </x:c>
      <x:c r="C1017" s="76" t="str">
        <x:v>FY2020</x:v>
      </x:c>
      <x:c r="D1017" s="76" t="str">
        <x:v>of which: capital work-in-progress (note)</x:v>
      </x:c>
      <x:c r="E1017" s="170" t="n">
        <x:v>871386</x:v>
      </x:c>
      <x:c r="F1017" s="170" t="n">
        <x:v>871386</x:v>
      </x:c>
      <x:c r="G1017" s="170" t="str">
        <x:v>Rs '000</x:v>
      </x:c>
      <x:c r="H1017" s="170" t="n">
        <x:f>F1017/1000</x:f>
        <x:v>871.386</x:v>
      </x:c>
      <x:c r="I1017" s="170" t="n">
        <x:f>MLCF!C21</x:f>
        <x:v>871.386</x:v>
      </x:c>
      <x:c r="J1017" s="170" t="n">
        <x:f>H1017-I1017</x:f>
        <x:v>0</x:v>
      </x:c>
      <x:c r="K1017" s="76" t="str">
        <x:v>2021.pdf</x:v>
      </x:c>
      <x:c r="L1017" s="76" t="n">
        <x:v>203</x:v>
      </x:c>
      <x:c r="M1017" s="76" t="str">
        <x:v>Comparative</x:v>
      </x:c>
      <x:c r="N1017" s="99" t="str">
        <x:v>Printed amount independently located</x:v>
      </x:c>
      <x:c r="O1017" s="99" t="str">
        <x:v>Exact source amount found; audited year/current-comparative column recorded. Accounting subtotal tests performed separately.</x:v>
      </x:c>
      <x:c r="P1017" s="99" t="str">
        <x:v>nd)
20. PROPERTY, PLANT AND EQUIPMENT   
 Operating fixed assets 20.1  41,253,304   43,372,508 
 Capital work in progress - at cost 20.2  2,854,293   871,386 
 Major spare parts and stand-by equipments 20.4  107,942   54,047 
    44,215,539   44,297,941</x:v>
      </x:c>
    </x:row>
    <x:row r="1018" ht="82" customHeight="1">
      <x:c r="A1018" s="168" t="str">
        <x:v>MLCF|cwip|2021</x:v>
      </x:c>
      <x:c r="B1018" s="168" t="str">
        <x:v>MLCF</x:v>
      </x:c>
      <x:c r="C1018" s="168" t="str">
        <x:v>FY2021</x:v>
      </x:c>
      <x:c r="D1018" s="168" t="str">
        <x:v>of which: capital work-in-progress (note)</x:v>
      </x:c>
      <x:c r="E1018" s="169" t="n">
        <x:v>2854293</x:v>
      </x:c>
      <x:c r="F1018" s="169" t="n">
        <x:v>2854293</x:v>
      </x:c>
      <x:c r="G1018" s="169" t="str">
        <x:v>Rs '000</x:v>
      </x:c>
      <x:c r="H1018" s="169" t="n">
        <x:f>F1018/1000</x:f>
        <x:v>2854.293</x:v>
      </x:c>
      <x:c r="I1018" s="169" t="n">
        <x:f>MLCF!D21</x:f>
        <x:v>2854.293</x:v>
      </x:c>
      <x:c r="J1018" s="169" t="n">
        <x:f>H1018-I1018</x:f>
        <x:v>0</x:v>
      </x:c>
      <x:c r="K1018" s="168" t="str">
        <x:v>2022.pdf</x:v>
      </x:c>
      <x:c r="L1018" s="168" t="n">
        <x:v>226</x:v>
      </x:c>
      <x:c r="M1018" s="168" t="str">
        <x:v>Comparative</x:v>
      </x:c>
      <x:c r="N1018" s="171" t="str">
        <x:v>Printed amount independently located</x:v>
      </x:c>
      <x:c r="O1018" s="171" t="str">
        <x:v>Exact source amount found; audited year/current-comparative column recorded. Accounting subtotal tests performed separately.</x:v>
      </x:c>
      <x:c r="P1018" s="171" t="str">
        <x:v>d)
20. PROPERTY, PLANT AND EQUIPMENT   
 Operating fixed assets 20.1  41,151,385   41,253,304 
 Capital work in progress - at cost 20.2  15,352,800   2,854,293 
 Major spare parts and stand-by equipments 20.3  280,655   107,942 
    56,784,840   44,215,539</x:v>
      </x:c>
    </x:row>
    <x:row r="1019" ht="82" customHeight="1">
      <x:c r="A1019" s="76" t="str">
        <x:v>MLCF|cwip|2022</x:v>
      </x:c>
      <x:c r="B1019" s="76" t="str">
        <x:v>MLCF</x:v>
      </x:c>
      <x:c r="C1019" s="76" t="str">
        <x:v>FY2022</x:v>
      </x:c>
      <x:c r="D1019" s="76" t="str">
        <x:v>of which: capital work-in-progress (note)</x:v>
      </x:c>
      <x:c r="E1019" s="170" t="n">
        <x:v>15352800</x:v>
      </x:c>
      <x:c r="F1019" s="170" t="n">
        <x:v>15352800</x:v>
      </x:c>
      <x:c r="G1019" s="170" t="str">
        <x:v>Rs '000</x:v>
      </x:c>
      <x:c r="H1019" s="170" t="n">
        <x:f>F1019/1000</x:f>
        <x:v>15352.8</x:v>
      </x:c>
      <x:c r="I1019" s="170" t="n">
        <x:f>MLCF!E21</x:f>
        <x:v>15352.8</x:v>
      </x:c>
      <x:c r="J1019" s="170" t="n">
        <x:f>H1019-I1019</x:f>
        <x:v>0</x:v>
      </x:c>
      <x:c r="K1019" s="76" t="str">
        <x:v>2022.pdf</x:v>
      </x:c>
      <x:c r="L1019" s="76" t="n">
        <x:v>226</x:v>
      </x:c>
      <x:c r="M1019" s="76" t="str">
        <x:v>Current year</x:v>
      </x:c>
      <x:c r="N1019" s="99" t="str">
        <x:v>Printed amount independently located</x:v>
      </x:c>
      <x:c r="O1019" s="99" t="str">
        <x:v>Exact source amount found; audited year/current-comparative column recorded. Accounting subtotal tests performed separately.</x:v>
      </x:c>
      <x:c r="P1019" s="99" t="str">
        <x:v>es in thousand)
20. PROPERTY, PLANT AND EQUIPMENT   
 Operating fixed assets 20.1  41,151,385   41,253,304 
 Capital work in progress - at cost 20.2  15,352,800   2,854,293 
 Major spare parts and stand-by equipments 20.3  280,655   107,942 
    56,784,840   44,215,539</x:v>
      </x:c>
    </x:row>
    <x:row r="1020" ht="82" customHeight="1">
      <x:c r="A1020" s="168" t="str">
        <x:v>MLCF|cwip|2023</x:v>
      </x:c>
      <x:c r="B1020" s="168" t="str">
        <x:v>MLCF</x:v>
      </x:c>
      <x:c r="C1020" s="168" t="str">
        <x:v>FY2023</x:v>
      </x:c>
      <x:c r="D1020" s="168" t="str">
        <x:v>of which: capital work-in-progress (note)</x:v>
      </x:c>
      <x:c r="E1020" s="169" t="n">
        <x:v>1676796</x:v>
      </x:c>
      <x:c r="F1020" s="169" t="n">
        <x:v>1676796</x:v>
      </x:c>
      <x:c r="G1020" s="169" t="str">
        <x:v>Rs '000</x:v>
      </x:c>
      <x:c r="H1020" s="169" t="n">
        <x:f>F1020/1000</x:f>
        <x:v>1676.796</x:v>
      </x:c>
      <x:c r="I1020" s="169" t="n">
        <x:f>MLCF!F21</x:f>
        <x:v>1676.796</x:v>
      </x:c>
      <x:c r="J1020" s="169" t="n">
        <x:f>H1020-I1020</x:f>
        <x:v>0</x:v>
      </x:c>
      <x:c r="K1020" s="168" t="str">
        <x:v>2024.pdf</x:v>
      </x:c>
      <x:c r="L1020" s="168" t="n">
        <x:v>232</x:v>
      </x:c>
      <x:c r="M1020" s="168" t="str">
        <x:v>Comparative</x:v>
      </x:c>
      <x:c r="N1020" s="171" t="str">
        <x:v>Printed amount independently located</x:v>
      </x:c>
      <x:c r="O1020" s="171" t="str">
        <x:v>Exact source amount found; audited year/current-comparative column recorded. Accounting subtotal tests performed separately.</x:v>
      </x:c>
      <x:c r="P1020" s="171" t="str">
        <x:v>s in thousand) 
20. PROPERTY, PLANT AND EQUIPMENT
 Operating fixed assets 20.1 65,428,006 60,396,461
 Capital work in progress - at cost 20.2 471,174 1,676,796
 Major spare parts and stand-by equipment 20.3 48,281 238,239
 Right of use of asset 20.4 48,137 43,112
    65,995,598 62,354,608</x:v>
      </x:c>
    </x:row>
    <x:row r="1021" ht="82" customHeight="1">
      <x:c r="A1021" s="76" t="str">
        <x:v>MLCF|cwip|2024</x:v>
      </x:c>
      <x:c r="B1021" s="76" t="str">
        <x:v>MLCF</x:v>
      </x:c>
      <x:c r="C1021" s="76" t="str">
        <x:v>FY2024</x:v>
      </x:c>
      <x:c r="D1021" s="76" t="str">
        <x:v>of which: capital work-in-progress (note)</x:v>
      </x:c>
      <x:c r="E1021" s="170" t="n">
        <x:v>471174</x:v>
      </x:c>
      <x:c r="F1021" s="170" t="n">
        <x:v>471174</x:v>
      </x:c>
      <x:c r="G1021" s="170" t="str">
        <x:v>Rs '000</x:v>
      </x:c>
      <x:c r="H1021" s="170" t="n">
        <x:f>F1021/1000</x:f>
        <x:v>471.174</x:v>
      </x:c>
      <x:c r="I1021" s="170" t="n">
        <x:f>MLCF!G21</x:f>
        <x:v>471.174</x:v>
      </x:c>
      <x:c r="J1021" s="170" t="n">
        <x:f>H1021-I1021</x:f>
        <x:v>0</x:v>
      </x:c>
      <x:c r="K1021" s="76" t="str">
        <x:v>2025.pdf</x:v>
      </x:c>
      <x:c r="L1021" s="76" t="n">
        <x:v>246</x:v>
      </x:c>
      <x:c r="M1021" s="76" t="str">
        <x:v>Comparative</x:v>
      </x:c>
      <x:c r="N1021" s="99" t="str">
        <x:v>Printed amount independently located</x:v>
      </x:c>
      <x:c r="O1021" s="99" t="str">
        <x:v>Exact source amount found; audited year/current-comparative column recorded. Accounting subtotal tests performed separately.</x:v>
      </x:c>
      <x:c r="P1021" s="99" t="str">
        <x:v>,516,311
19. PROPERTY, PLANT AND EQUIPMENT
 Operating fixed assets 19.1  62,641,493   65,428,006 
 Capital work in progress - at cost 19.2  125,704   471,174 
 Major spare parts and stand-by equipment 19.3  28,336   48,281 
 Right-of-use assets 19.4  40,682   48,137 
     62,836,212   65,995,598</x:v>
      </x:c>
    </x:row>
    <x:row r="1022" ht="82" customHeight="1">
      <x:c r="A1022" s="168" t="str">
        <x:v>MLCF|cwip|2025</x:v>
      </x:c>
      <x:c r="B1022" s="168" t="str">
        <x:v>MLCF</x:v>
      </x:c>
      <x:c r="C1022" s="168" t="str">
        <x:v>FY2025</x:v>
      </x:c>
      <x:c r="D1022" s="168" t="str">
        <x:v>of which: capital work-in-progress (note)</x:v>
      </x:c>
      <x:c r="E1022" s="169" t="n">
        <x:v>125704</x:v>
      </x:c>
      <x:c r="F1022" s="169" t="n">
        <x:v>125704</x:v>
      </x:c>
      <x:c r="G1022" s="169" t="str">
        <x:v>Rs '000</x:v>
      </x:c>
      <x:c r="H1022" s="169" t="n">
        <x:f>F1022/1000</x:f>
        <x:v>125.704</x:v>
      </x:c>
      <x:c r="I1022" s="169" t="n">
        <x:f>MLCF!H21</x:f>
        <x:v>125.704</x:v>
      </x:c>
      <x:c r="J1022" s="169" t="n">
        <x:f>H1022-I1022</x:f>
        <x:v>0</x:v>
      </x:c>
      <x:c r="K1022" s="168" t="str">
        <x:v>2025.pdf</x:v>
      </x:c>
      <x:c r="L1022" s="168" t="n">
        <x:v>246</x:v>
      </x:c>
      <x:c r="M1022" s="168" t="str">
        <x:v>Current year</x:v>
      </x:c>
      <x:c r="N1022" s="171" t="str">
        <x:v>Printed amount independently located</x:v>
      </x:c>
      <x:c r="O1022" s="171" t="str">
        <x:v>Exact source amount found; audited year/current-comparative column recorded. Accounting subtotal tests performed separately.</x:v>
      </x:c>
      <x:c r="P1022" s="171" t="str">
        <x:v>25,833   2,516,311
19. PROPERTY, PLANT AND EQUIPMENT
 Operating fixed assets 19.1  62,641,493   65,428,006 
 Capital work in progress - at cost 19.2  125,704   471,174 
 Major spare parts and stand-by equipment 19.3  28,336   48,281 
 Right-of-use assets 19.4  40,682   48,137 
     62,836,212   65,995,598</x:v>
      </x:c>
    </x:row>
    <x:row r="1023" ht="82" customHeight="1">
      <x:c r="A1023" s="76" t="str">
        <x:v>MLCF|rou|2020</x:v>
      </x:c>
      <x:c r="B1023" s="76" t="str">
        <x:v>MLCF</x:v>
      </x:c>
      <x:c r="C1023" s="76" t="str">
        <x:v>FY2020</x:v>
      </x:c>
      <x:c r="D1023" s="76" t="str">
        <x:v>Right-of-use assets (presented separately)</x:v>
      </x:c>
      <x:c r="E1023" s="170" t="n">
        <x:v>0</x:v>
      </x:c>
      <x:c r="F1023" s="170" t="n">
        <x:v>0</x:v>
      </x:c>
      <x:c r="G1023" s="170" t="str">
        <x:v>Rs '000</x:v>
      </x:c>
      <x:c r="H1023" s="170" t="n">
        <x:f>F1023/1000</x:f>
        <x:v>0</x:v>
      </x:c>
      <x:c r="I1023" s="170" t="n">
        <x:f>MLCF!C23</x:f>
        <x:v>0</x:v>
      </x:c>
      <x:c r="J1023" s="170" t="n">
        <x:f>H1023-I1023</x:f>
        <x:v>0</x:v>
      </x:c>
      <x:c r="K1023" s="76" t="str">
        <x:v>2021.pdf</x:v>
      </x:c>
      <x:c r="L1023" s="76" t="n">
        <x:v>162</x:v>
      </x:c>
      <x:c r="M1023" s="76" t="str">
        <x:v>Comparative</x:v>
      </x:c>
      <x:c r="N1023" s="99" t="str">
        <x:v>Zero / no separate line in audited presentation</x:v>
      </x:c>
      <x:c r="O1023" s="99" t="str">
        <x:v>Zero classification checked within the audited statement/note and reconstructed statement totals; absence of a separate line does not imply a missing replacement estimate.</x:v>
      </x:c>
      <x:c r="P1023" s="99" t="str">
        <x:v>
160
UNCONSOLIDA TED STA TEMENT OF 
FINANCIAL POSITION 
AS AT JUNE 30, 2021
   2021 2020
  Note (Rupees in thousand) 
EQUITY AND LIABILITIES   
   | Right-of-use assets (presented separately)</x:v>
      </x:c>
    </x:row>
    <x:row r="1024" ht="82" customHeight="1">
      <x:c r="A1024" s="168" t="str">
        <x:v>MLCF|rou|2021</x:v>
      </x:c>
      <x:c r="B1024" s="168" t="str">
        <x:v>MLCF</x:v>
      </x:c>
      <x:c r="C1024" s="168" t="str">
        <x:v>FY2021</x:v>
      </x:c>
      <x:c r="D1024" s="168" t="str">
        <x:v>Right-of-use assets (presented separately)</x:v>
      </x:c>
      <x:c r="E1024" s="169" t="n">
        <x:v>0</x:v>
      </x:c>
      <x:c r="F1024" s="169" t="n">
        <x:v>0</x:v>
      </x:c>
      <x:c r="G1024" s="169" t="str">
        <x:v>Rs '000</x:v>
      </x:c>
      <x:c r="H1024" s="169" t="n">
        <x:f>F1024/1000</x:f>
        <x:v>0</x:v>
      </x:c>
      <x:c r="I1024" s="169" t="n">
        <x:f>MLCF!D23</x:f>
        <x:v>0</x:v>
      </x:c>
      <x:c r="J1024" s="169" t="n">
        <x:f>H1024-I1024</x:f>
        <x:v>0</x:v>
      </x:c>
      <x:c r="K1024" s="168" t="str">
        <x:v>2022.pdf</x:v>
      </x:c>
      <x:c r="L1024" s="168" t="n">
        <x:v>183</x:v>
      </x:c>
      <x:c r="M1024" s="168" t="str">
        <x:v>Comparative</x:v>
      </x:c>
      <x:c r="N1024" s="171" t="str">
        <x:v>Zero / no separate line in audited presentation</x:v>
      </x:c>
      <x:c r="O1024" s="171" t="str">
        <x:v>Zero classification checked within the audited statement/note and reconstructed statement totals; absence of a separate line does not imply a missing replacement estimate.</x:v>
      </x:c>
      <x:c r="P1024" s="171" t="str">
        <x:v>
182
UNCONSOLIDA TED STA TEMENT OF 
FINANCIAL POSITION 
AS AT JUNE 30, 2022
   2022 2021
  Note (Rupees in thousand) 
EQUITY AND LIABILITIES   
   | Right-of-use assets (presented separately)</x:v>
      </x:c>
    </x:row>
    <x:row r="1025" ht="82" customHeight="1">
      <x:c r="A1025" s="76" t="str">
        <x:v>MLCF|rou|2022</x:v>
      </x:c>
      <x:c r="B1025" s="76" t="str">
        <x:v>MLCF</x:v>
      </x:c>
      <x:c r="C1025" s="76" t="str">
        <x:v>FY2022</x:v>
      </x:c>
      <x:c r="D1025" s="76" t="str">
        <x:v>Right-of-use assets (presented separately)</x:v>
      </x:c>
      <x:c r="E1025" s="170" t="n">
        <x:v>0</x:v>
      </x:c>
      <x:c r="F1025" s="170" t="n">
        <x:v>0</x:v>
      </x:c>
      <x:c r="G1025" s="170" t="str">
        <x:v>Rs '000</x:v>
      </x:c>
      <x:c r="H1025" s="170" t="n">
        <x:f>F1025/1000</x:f>
        <x:v>0</x:v>
      </x:c>
      <x:c r="I1025" s="170" t="n">
        <x:f>MLCF!E23</x:f>
        <x:v>0</x:v>
      </x:c>
      <x:c r="J1025" s="170" t="n">
        <x:f>H1025-I1025</x:f>
        <x:v>0</x:v>
      </x:c>
      <x:c r="K1025" s="76" t="str">
        <x:v>2023.pdf</x:v>
      </x:c>
      <x:c r="L1025" s="76" t="n">
        <x:v>98</x:v>
      </x:c>
      <x:c r="M1025" s="76" t="str">
        <x:v>Comparative</x:v>
      </x:c>
      <x:c r="N1025" s="99" t="str">
        <x:v>Zero / no separate line in audited presentation</x:v>
      </x:c>
      <x:c r="O1025" s="99" t="str">
        <x:v>Zero classification checked within the audited statement/note and reconstructed statement totals; absence of a separate line does not imply a missing replacement estimate.</x:v>
      </x:c>
      <x:c r="P1025" s="99" t="str">
        <x:v>
192 193
UNCONSOLIDA TED STA TEMENT OF 
FINANCIAL POSITION 
AS AT JUNE 30, 2023
   2023 2022
  Note (Rupees in thousand) 
EQUITY AND LIABILITIES
SHARE | Right-of-use assets (presented separately)</x:v>
      </x:c>
    </x:row>
    <x:row r="1026" ht="82" customHeight="1">
      <x:c r="A1026" s="168" t="str">
        <x:v>MLCF|rou|2023</x:v>
      </x:c>
      <x:c r="B1026" s="168" t="str">
        <x:v>MLCF</x:v>
      </x:c>
      <x:c r="C1026" s="168" t="str">
        <x:v>FY2023</x:v>
      </x:c>
      <x:c r="D1026" s="168" t="str">
        <x:v>Right-of-use assets (presented separately)</x:v>
      </x:c>
      <x:c r="E1026" s="169" t="n">
        <x:v>0</x:v>
      </x:c>
      <x:c r="F1026" s="169" t="n">
        <x:v>0</x:v>
      </x:c>
      <x:c r="G1026" s="169" t="str">
        <x:v>Rs '000</x:v>
      </x:c>
      <x:c r="H1026" s="169" t="n">
        <x:f>F1026/1000</x:f>
        <x:v>0</x:v>
      </x:c>
      <x:c r="I1026" s="169" t="n">
        <x:f>MLCF!F23</x:f>
        <x:v>0</x:v>
      </x:c>
      <x:c r="J1026" s="169" t="n">
        <x:f>H1026-I1026</x:f>
        <x:v>0</x:v>
      </x:c>
      <x:c r="K1026" s="168" t="str">
        <x:v>2024.pdf</x:v>
      </x:c>
      <x:c r="L1026" s="168" t="n">
        <x:v>189</x:v>
      </x:c>
      <x:c r="M1026" s="168" t="str">
        <x:v>Comparative</x:v>
      </x:c>
      <x:c r="N1026" s="171" t="str">
        <x:v>Zero / no separate line in audited presentation</x:v>
      </x:c>
      <x:c r="O1026" s="171" t="str">
        <x:v>Zero classification checked within the audited statement/note and reconstructed statement totals; absence of a separate line does not imply a missing replacement estimate.</x:v>
      </x:c>
      <x:c r="P1026" s="171" t="str">
        <x:v>
188
UNCONSOLIDA TED STA TEMENT OF 
FINANCIAL POSITION 
AS AT JUNE 30, 2024
   2024 2023
  Note (Rupees in thousand) 
EQUITY AND LIABILITIES
SHARE CAP | Right-of-use assets (presented separately)</x:v>
      </x:c>
    </x:row>
    <x:row r="1027" ht="82" customHeight="1">
      <x:c r="A1027" s="76" t="str">
        <x:v>MLCF|rou|2024</x:v>
      </x:c>
      <x:c r="B1027" s="76" t="str">
        <x:v>MLCF</x:v>
      </x:c>
      <x:c r="C1027" s="76" t="str">
        <x:v>FY2024</x:v>
      </x:c>
      <x:c r="D1027" s="76" t="str">
        <x:v>Right-of-use assets (presented separately)</x:v>
      </x:c>
      <x:c r="E1027" s="170" t="n">
        <x:v>0</x:v>
      </x:c>
      <x:c r="F1027" s="170" t="n">
        <x:v>0</x:v>
      </x:c>
      <x:c r="G1027" s="170" t="str">
        <x:v>Rs '000</x:v>
      </x:c>
      <x:c r="H1027" s="170" t="n">
        <x:f>F1027/1000</x:f>
        <x:v>0</x:v>
      </x:c>
      <x:c r="I1027" s="170" t="n">
        <x:f>MLCF!G23</x:f>
        <x:v>0</x:v>
      </x:c>
      <x:c r="J1027" s="170" t="n">
        <x:f>H1027-I1027</x:f>
        <x:v>0</x:v>
      </x:c>
      <x:c r="K1027" s="76" t="str">
        <x:v>2025.pdf</x:v>
      </x:c>
      <x:c r="L1027" s="76" t="n">
        <x:v>201</x:v>
      </x:c>
      <x:c r="M1027" s="76" t="str">
        <x:v>Comparative</x:v>
      </x:c>
      <x:c r="N1027" s="99" t="str">
        <x:v>Zero / no separate line in audited presentation</x:v>
      </x:c>
      <x:c r="O1027" s="99" t="str">
        <x:v>Zero classification checked within the audited statement/note and reconstructed statement totals; absence of a separate line does not imply a missing replacement estimate.</x:v>
      </x:c>
      <x:c r="P1027" s="99" t="str">
        <x:v>
200
UNCONSOLIDA TED STA TEMENT OF 
FINANCIAL POSITION 
AS AT JUNE 30, 2025
   2025 2024
  Note (Rupees in thousand) 
EQUITY AND LIABILITIES
SHARE CAP | Right-of-use assets (presented separately)</x:v>
      </x:c>
    </x:row>
    <x:row r="1028" ht="82" customHeight="1">
      <x:c r="A1028" s="168" t="str">
        <x:v>MLCF|rou|2025</x:v>
      </x:c>
      <x:c r="B1028" s="168" t="str">
        <x:v>MLCF</x:v>
      </x:c>
      <x:c r="C1028" s="168" t="str">
        <x:v>FY2025</x:v>
      </x:c>
      <x:c r="D1028" s="168" t="str">
        <x:v>Right-of-use assets (presented separately)</x:v>
      </x:c>
      <x:c r="E1028" s="169" t="n">
        <x:v>0</x:v>
      </x:c>
      <x:c r="F1028" s="169" t="n">
        <x:v>0</x:v>
      </x:c>
      <x:c r="G1028" s="169" t="str">
        <x:v>Rs '000</x:v>
      </x:c>
      <x:c r="H1028" s="169" t="n">
        <x:f>F1028/1000</x:f>
        <x:v>0</x:v>
      </x:c>
      <x:c r="I1028" s="169" t="n">
        <x:f>MLCF!H23</x:f>
        <x:v>0</x:v>
      </x:c>
      <x:c r="J1028" s="169" t="n">
        <x:f>H1028-I1028</x:f>
        <x:v>0</x:v>
      </x:c>
      <x:c r="K1028" s="168" t="str">
        <x:v>2025.pdf</x:v>
      </x:c>
      <x:c r="L1028" s="168" t="n">
        <x:v>201</x:v>
      </x:c>
      <x:c r="M1028" s="168" t="str">
        <x:v>Current year</x:v>
      </x:c>
      <x:c r="N1028" s="171" t="str">
        <x:v>Zero / no separate line in audited presentation</x:v>
      </x:c>
      <x:c r="O1028" s="171" t="str">
        <x:v>Zero classification checked within the audited statement/note and reconstructed statement totals; absence of a separate line does not imply a missing replacement estimate.</x:v>
      </x:c>
      <x:c r="P1028" s="171" t="str">
        <x:v>
200
UNCONSOLIDA TED STA TEMENT OF 
FINANCIAL POSITION 
AS AT JUNE 30, 2025
   2025 2024
  Note (Rupees in thousand) 
EQUITY AND LIABILITIES
SHARE CAP | Right-of-use assets (presented separately)</x:v>
      </x:c>
    </x:row>
    <x:row r="1029" ht="82" customHeight="1">
      <x:c r="A1029" s="76" t="str">
        <x:v>MLCF|intang|2020</x:v>
      </x:c>
      <x:c r="B1029" s="76" t="str">
        <x:v>MLCF</x:v>
      </x:c>
      <x:c r="C1029" s="76" t="str">
        <x:v>FY2020</x:v>
      </x:c>
      <x:c r="D1029" s="76" t="str">
        <x:v>Intangible assets</x:v>
      </x:c>
      <x:c r="E1029" s="170" t="n">
        <x:v>9023</x:v>
      </x:c>
      <x:c r="F1029" s="170" t="n">
        <x:v>9023</x:v>
      </x:c>
      <x:c r="G1029" s="170" t="str">
        <x:v>Rs '000</x:v>
      </x:c>
      <x:c r="H1029" s="170" t="n">
        <x:f>F1029/1000</x:f>
        <x:v>9.023</x:v>
      </x:c>
      <x:c r="I1029" s="170" t="n">
        <x:f>MLCF!C24</x:f>
        <x:v>9.023</x:v>
      </x:c>
      <x:c r="J1029" s="170" t="n">
        <x:f>H1029-I1029</x:f>
        <x:v>0</x:v>
      </x:c>
      <x:c r="K1029" s="76" t="str">
        <x:v>2021.pdf</x:v>
      </x:c>
      <x:c r="L1029" s="76" t="n">
        <x:v>163</x:v>
      </x:c>
      <x:c r="M1029" s="76" t="str">
        <x:v>Comparative</x:v>
      </x:c>
      <x:c r="N1029" s="99" t="str">
        <x:v>Printed amount independently located</x:v>
      </x:c>
      <x:c r="O1029" s="99" t="str">
        <x:v>Exact source amount found; audited year/current-comparative column recorded. Accounting subtotal tests performed separately.</x:v>
      </x:c>
      <x:c r="P1029" s="99" t="str">
        <x:v>in thousand) 
ASSETS   
NON - CURRENT ASSETS   
Property, plant and equipment 20  44,215,539   44,297,941 
Intangible assets 21  6,017   9,023 
Long term investment 22  5,020,000   5,020,000 
Long term loans to employees - secured 23  17,004   19,196 
Long term deposits 24  57,302   56,420 
    49,315,862   49,402,58</x:v>
      </x:c>
    </x:row>
    <x:row r="1030" ht="82" customHeight="1">
      <x:c r="A1030" s="168" t="str">
        <x:v>MLCF|intang|2021</x:v>
      </x:c>
      <x:c r="B1030" s="168" t="str">
        <x:v>MLCF</x:v>
      </x:c>
      <x:c r="C1030" s="168" t="str">
        <x:v>FY2021</x:v>
      </x:c>
      <x:c r="D1030" s="168" t="str">
        <x:v>Intangible assets</x:v>
      </x:c>
      <x:c r="E1030" s="169" t="n">
        <x:v>6017</x:v>
      </x:c>
      <x:c r="F1030" s="169" t="n">
        <x:v>6017</x:v>
      </x:c>
      <x:c r="G1030" s="169" t="str">
        <x:v>Rs '000</x:v>
      </x:c>
      <x:c r="H1030" s="169" t="n">
        <x:f>F1030/1000</x:f>
        <x:v>6.017</x:v>
      </x:c>
      <x:c r="I1030" s="169" t="n">
        <x:f>MLCF!D24</x:f>
        <x:v>6.017</x:v>
      </x:c>
      <x:c r="J1030" s="169" t="n">
        <x:f>H1030-I1030</x:f>
        <x:v>0</x:v>
      </x:c>
      <x:c r="K1030" s="168" t="str">
        <x:v>2022.pdf</x:v>
      </x:c>
      <x:c r="L1030" s="168" t="n">
        <x:v>184</x:v>
      </x:c>
      <x:c r="M1030" s="168" t="str">
        <x:v>Comparative</x:v>
      </x:c>
      <x:c r="N1030" s="171" t="str">
        <x:v>Printed amount independently located</x:v>
      </x:c>
      <x:c r="O1030" s="171" t="str">
        <x:v>Exact source amount found; audited year/current-comparative column recorded. Accounting subtotal tests performed separately.</x:v>
      </x:c>
      <x:c r="P1030" s="171" t="str">
        <x:v>in thousand) 
ASSETS   
NON - CURRENT ASSETS   
Property, plant and equipment 20  56,784,840   44,215,539 
Intangible assets 21  10,415   6,017 
Long term investment 22  5,020,000   5,020,000 
Long term loans to employees - secured 23  19,366   17,004 
Long term deposits 24  57,600   57,302 
   61,892,221   49,315,862</x:v>
      </x:c>
    </x:row>
    <x:row r="1031" ht="82" customHeight="1">
      <x:c r="A1031" s="76" t="str">
        <x:v>MLCF|intang|2022</x:v>
      </x:c>
      <x:c r="B1031" s="76" t="str">
        <x:v>MLCF</x:v>
      </x:c>
      <x:c r="C1031" s="76" t="str">
        <x:v>FY2022</x:v>
      </x:c>
      <x:c r="D1031" s="76" t="str">
        <x:v>Intangible assets</x:v>
      </x:c>
      <x:c r="E1031" s="170" t="n">
        <x:v>10415</x:v>
      </x:c>
      <x:c r="F1031" s="170" t="n">
        <x:v>10415</x:v>
      </x:c>
      <x:c r="G1031" s="170" t="str">
        <x:v>Rs '000</x:v>
      </x:c>
      <x:c r="H1031" s="170" t="n">
        <x:f>F1031/1000</x:f>
        <x:v>10.415</x:v>
      </x:c>
      <x:c r="I1031" s="170" t="n">
        <x:f>MLCF!E24</x:f>
        <x:v>10.415</x:v>
      </x:c>
      <x:c r="J1031" s="170" t="n">
        <x:f>H1031-I1031</x:f>
        <x:v>0</x:v>
      </x:c>
      <x:c r="K1031" s="76" t="str">
        <x:v>2023.pdf</x:v>
      </x:c>
      <x:c r="L1031" s="76" t="n">
        <x:v>98</x:v>
      </x:c>
      <x:c r="M1031" s="76" t="str">
        <x:v>Comparative</x:v>
      </x:c>
      <x:c r="N1031" s="99" t="str">
        <x:v>Printed amount independently located</x:v>
      </x:c>
      <x:c r="O1031" s="99" t="str">
        <x:v>Exact source amount found; audited year/current-comparative column recorded. Accounting subtotal tests performed separately.</x:v>
      </x:c>
      <x:c r="P1031" s="99" t="str">
        <x:v>2023 2022
  Note (Rupees in thousand) 
ASSETS
NON - CURRENT ASSETS
Property, plant and equipment 20 62,354,608 56,784,840
Intangible assets 21 6,946 10,415
Long term investment 22 5,030,000 5,020,000
Long term loans to employees - secured 23 18,089 19,366
Long term deposits 24 58,401 57,600
  67,468,044 61,892,221
CURRENT ASSETS
Stor</x:v>
      </x:c>
    </x:row>
    <x:row r="1032" ht="82" customHeight="1">
      <x:c r="A1032" s="168" t="str">
        <x:v>MLCF|intang|2023</x:v>
      </x:c>
      <x:c r="B1032" s="168" t="str">
        <x:v>MLCF</x:v>
      </x:c>
      <x:c r="C1032" s="168" t="str">
        <x:v>FY2023</x:v>
      </x:c>
      <x:c r="D1032" s="168" t="str">
        <x:v>Intangible assets</x:v>
      </x:c>
      <x:c r="E1032" s="169" t="n">
        <x:v>6946</x:v>
      </x:c>
      <x:c r="F1032" s="169" t="n">
        <x:v>6946</x:v>
      </x:c>
      <x:c r="G1032" s="169" t="str">
        <x:v>Rs '000</x:v>
      </x:c>
      <x:c r="H1032" s="169" t="n">
        <x:f>F1032/1000</x:f>
        <x:v>6.946</x:v>
      </x:c>
      <x:c r="I1032" s="169" t="n">
        <x:f>MLCF!F24</x:f>
        <x:v>6.946</x:v>
      </x:c>
      <x:c r="J1032" s="169" t="n">
        <x:f>H1032-I1032</x:f>
        <x:v>0</x:v>
      </x:c>
      <x:c r="K1032" s="168" t="str">
        <x:v>2024.pdf</x:v>
      </x:c>
      <x:c r="L1032" s="168" t="n">
        <x:v>190</x:v>
      </x:c>
      <x:c r="M1032" s="168" t="str">
        <x:v>Comparative</x:v>
      </x:c>
      <x:c r="N1032" s="171" t="str">
        <x:v>Printed amount independently located</x:v>
      </x:c>
      <x:c r="O1032" s="171" t="str">
        <x:v>Exact source amount found; audited year/current-comparative column recorded. Accounting subtotal tests performed separately.</x:v>
      </x:c>
      <x:c r="P1032" s="171" t="str">
        <x:v>2024 2023
  Note (Rupees in thousand) 
ASSETS
NON - CURRENT ASSETS
Property, plant and equipment 20 65,995,598 62,354,608
Intangible assets 21 84,810 6,946
Long term investments 22 6,322,000 5,030,000
Long term loans to employees - secured 23 31,228 18,089
Long term deposits 24 64,209 58,401
  72,497,845 67,468,044
CURRENT ASSETS
Sto</x:v>
      </x:c>
    </x:row>
    <x:row r="1033" ht="82" customHeight="1">
      <x:c r="A1033" s="76" t="str">
        <x:v>MLCF|intang|2024</x:v>
      </x:c>
      <x:c r="B1033" s="76" t="str">
        <x:v>MLCF</x:v>
      </x:c>
      <x:c r="C1033" s="76" t="str">
        <x:v>FY2024</x:v>
      </x:c>
      <x:c r="D1033" s="76" t="str">
        <x:v>Intangible assets</x:v>
      </x:c>
      <x:c r="E1033" s="170" t="n">
        <x:v>84810</x:v>
      </x:c>
      <x:c r="F1033" s="170" t="n">
        <x:v>84810</x:v>
      </x:c>
      <x:c r="G1033" s="170" t="str">
        <x:v>Rs '000</x:v>
      </x:c>
      <x:c r="H1033" s="170" t="n">
        <x:f>F1033/1000</x:f>
        <x:v>84.81</x:v>
      </x:c>
      <x:c r="I1033" s="170" t="n">
        <x:f>MLCF!G24</x:f>
        <x:v>84.81</x:v>
      </x:c>
      <x:c r="J1033" s="170" t="n">
        <x:f>H1033-I1033</x:f>
        <x:v>0</x:v>
      </x:c>
      <x:c r="K1033" s="76" t="str">
        <x:v>2025.pdf</x:v>
      </x:c>
      <x:c r="L1033" s="76" t="n">
        <x:v>202</x:v>
      </x:c>
      <x:c r="M1033" s="76" t="str">
        <x:v>Comparative</x:v>
      </x:c>
      <x:c r="N1033" s="99" t="str">
        <x:v>Printed amount independently located</x:v>
      </x:c>
      <x:c r="O1033" s="99" t="str">
        <x:v>Exact source amount found; audited year/current-comparative column recorded. Accounting subtotal tests performed separately.</x:v>
      </x:c>
      <x:c r="P1033" s="99" t="str">
        <x:v>24
  Note (Rupees in thousand) 
ASSETS
NON - CURRENT ASSETS
Property, plant and equipment 19  62,836,212   65,995,598 
Intangible assets 20  62,426   84,810 
Long term investments 21  20,371,110   6,322,000 
Long term loans to employees - secured 22  16,610   31,228 
Long term deposits 23  67,309   64,209 
   83,353,667   72,497,845</x:v>
      </x:c>
    </x:row>
    <x:row r="1034" ht="82" customHeight="1">
      <x:c r="A1034" s="168" t="str">
        <x:v>MLCF|intang|2025</x:v>
      </x:c>
      <x:c r="B1034" s="168" t="str">
        <x:v>MLCF</x:v>
      </x:c>
      <x:c r="C1034" s="168" t="str">
        <x:v>FY2025</x:v>
      </x:c>
      <x:c r="D1034" s="168" t="str">
        <x:v>Intangible assets</x:v>
      </x:c>
      <x:c r="E1034" s="169" t="n">
        <x:v>62426</x:v>
      </x:c>
      <x:c r="F1034" s="169" t="n">
        <x:v>62426</x:v>
      </x:c>
      <x:c r="G1034" s="169" t="str">
        <x:v>Rs '000</x:v>
      </x:c>
      <x:c r="H1034" s="169" t="n">
        <x:f>F1034/1000</x:f>
        <x:v>62.426</x:v>
      </x:c>
      <x:c r="I1034" s="169" t="n">
        <x:f>MLCF!H24</x:f>
        <x:v>62.426</x:v>
      </x:c>
      <x:c r="J1034" s="169" t="n">
        <x:f>H1034-I1034</x:f>
        <x:v>0</x:v>
      </x:c>
      <x:c r="K1034" s="168" t="str">
        <x:v>2025.pdf</x:v>
      </x:c>
      <x:c r="L1034" s="168" t="n">
        <x:v>202</x:v>
      </x:c>
      <x:c r="M1034" s="168" t="str">
        <x:v>Current year</x:v>
      </x:c>
      <x:c r="N1034" s="171" t="str">
        <x:v>Printed amount independently located</x:v>
      </x:c>
      <x:c r="O1034" s="171" t="str">
        <x:v>Exact source amount found; audited year/current-comparative column recorded. Accounting subtotal tests performed separately.</x:v>
      </x:c>
      <x:c r="P1034" s="171" t="str">
        <x:v>2025 2024
  Note (Rupees in thousand) 
ASSETS
NON - CURRENT ASSETS
Property, plant and equipment 19  62,836,212   65,995,598 
Intangible assets 20  62,426   84,810 
Long term investments 21  20,371,110   6,322,000 
Long term loans to employees - secured 22  16,610   31,228 
Long term deposits 23  67,309   64,209 
   83,353,667   72,</x:v>
      </x:c>
    </x:row>
    <x:row r="1035" ht="82" customHeight="1">
      <x:c r="A1035" s="76" t="str">
        <x:v>MLCF|inv_prop|2020</x:v>
      </x:c>
      <x:c r="B1035" s="76" t="str">
        <x:v>MLCF</x:v>
      </x:c>
      <x:c r="C1035" s="76" t="str">
        <x:v>FY2020</x:v>
      </x:c>
      <x:c r="D1035" s="76" t="str">
        <x:v>Investment property</x:v>
      </x:c>
      <x:c r="E1035" s="170" t="n">
        <x:v>0</x:v>
      </x:c>
      <x:c r="F1035" s="170" t="n">
        <x:v>0</x:v>
      </x:c>
      <x:c r="G1035" s="170" t="str">
        <x:v>Rs '000</x:v>
      </x:c>
      <x:c r="H1035" s="170" t="n">
        <x:f>F1035/1000</x:f>
        <x:v>0</x:v>
      </x:c>
      <x:c r="I1035" s="170" t="n">
        <x:f>MLCF!C25</x:f>
        <x:v>0</x:v>
      </x:c>
      <x:c r="J1035" s="170" t="n">
        <x:f>H1035-I1035</x:f>
        <x:v>0</x:v>
      </x:c>
      <x:c r="K1035" s="76" t="str">
        <x:v>2021.pdf</x:v>
      </x:c>
      <x:c r="L1035" s="76" t="n">
        <x:v>162</x:v>
      </x:c>
      <x:c r="M1035" s="76" t="str">
        <x:v>Comparative</x:v>
      </x:c>
      <x:c r="N1035" s="99" t="str">
        <x:v>Zero / no separate line in audited presentation</x:v>
      </x:c>
      <x:c r="O1035" s="99" t="str">
        <x:v>Zero classification checked within the audited statement/note and reconstructed statement totals; absence of a separate line does not imply a missing replacement estimate.</x:v>
      </x:c>
      <x:c r="P1035" s="99" t="str">
        <x:v>
160
UNCONSOLIDA TED STA TEMENT OF 
FINANCIAL POSITION 
AS AT JUNE 30, 2021
   2021 2020
  Note (Rupees in thousand) 
EQUITY AND LIABILITIES   
   | Investment property</x:v>
      </x:c>
    </x:row>
    <x:row r="1036" ht="82" customHeight="1">
      <x:c r="A1036" s="168" t="str">
        <x:v>MLCF|inv_prop|2021</x:v>
      </x:c>
      <x:c r="B1036" s="168" t="str">
        <x:v>MLCF</x:v>
      </x:c>
      <x:c r="C1036" s="168" t="str">
        <x:v>FY2021</x:v>
      </x:c>
      <x:c r="D1036" s="168" t="str">
        <x:v>Investment property</x:v>
      </x:c>
      <x:c r="E1036" s="169" t="n">
        <x:v>0</x:v>
      </x:c>
      <x:c r="F1036" s="169" t="n">
        <x:v>0</x:v>
      </x:c>
      <x:c r="G1036" s="169" t="str">
        <x:v>Rs '000</x:v>
      </x:c>
      <x:c r="H1036" s="169" t="n">
        <x:f>F1036/1000</x:f>
        <x:v>0</x:v>
      </x:c>
      <x:c r="I1036" s="169" t="n">
        <x:f>MLCF!D25</x:f>
        <x:v>0</x:v>
      </x:c>
      <x:c r="J1036" s="169" t="n">
        <x:f>H1036-I1036</x:f>
        <x:v>0</x:v>
      </x:c>
      <x:c r="K1036" s="168" t="str">
        <x:v>2022.pdf</x:v>
      </x:c>
      <x:c r="L1036" s="168" t="n">
        <x:v>183</x:v>
      </x:c>
      <x:c r="M1036" s="168" t="str">
        <x:v>Comparative</x:v>
      </x:c>
      <x:c r="N1036" s="171" t="str">
        <x:v>Zero / no separate line in audited presentation</x:v>
      </x:c>
      <x:c r="O1036" s="171" t="str">
        <x:v>Zero classification checked within the audited statement/note and reconstructed statement totals; absence of a separate line does not imply a missing replacement estimate.</x:v>
      </x:c>
      <x:c r="P1036" s="171" t="str">
        <x:v>
182
UNCONSOLIDA TED STA TEMENT OF 
FINANCIAL POSITION 
AS AT JUNE 30, 2022
   2022 2021
  Note (Rupees in thousand) 
EQUITY AND LIABILITIES   
   | Investment property</x:v>
      </x:c>
    </x:row>
    <x:row r="1037" ht="82" customHeight="1">
      <x:c r="A1037" s="76" t="str">
        <x:v>MLCF|inv_prop|2022</x:v>
      </x:c>
      <x:c r="B1037" s="76" t="str">
        <x:v>MLCF</x:v>
      </x:c>
      <x:c r="C1037" s="76" t="str">
        <x:v>FY2022</x:v>
      </x:c>
      <x:c r="D1037" s="76" t="str">
        <x:v>Investment property</x:v>
      </x:c>
      <x:c r="E1037" s="170" t="n">
        <x:v>0</x:v>
      </x:c>
      <x:c r="F1037" s="170" t="n">
        <x:v>0</x:v>
      </x:c>
      <x:c r="G1037" s="170" t="str">
        <x:v>Rs '000</x:v>
      </x:c>
      <x:c r="H1037" s="170" t="n">
        <x:f>F1037/1000</x:f>
        <x:v>0</x:v>
      </x:c>
      <x:c r="I1037" s="170" t="n">
        <x:f>MLCF!E25</x:f>
        <x:v>0</x:v>
      </x:c>
      <x:c r="J1037" s="170" t="n">
        <x:f>H1037-I1037</x:f>
        <x:v>0</x:v>
      </x:c>
      <x:c r="K1037" s="76" t="str">
        <x:v>2023.pdf</x:v>
      </x:c>
      <x:c r="L1037" s="76" t="n">
        <x:v>98</x:v>
      </x:c>
      <x:c r="M1037" s="76" t="str">
        <x:v>Comparative</x:v>
      </x:c>
      <x:c r="N1037" s="99" t="str">
        <x:v>Zero / no separate line in audited presentation</x:v>
      </x:c>
      <x:c r="O1037" s="99" t="str">
        <x:v>Zero classification checked within the audited statement/note and reconstructed statement totals; absence of a separate line does not imply a missing replacement estimate.</x:v>
      </x:c>
      <x:c r="P1037" s="99" t="str">
        <x:v>
192 193
UNCONSOLIDA TED STA TEMENT OF 
FINANCIAL POSITION 
AS AT JUNE 30, 2023
   2023 2022
  Note (Rupees in thousand) 
EQUITY AND LIABILITIES
SHARE | Investment property</x:v>
      </x:c>
    </x:row>
    <x:row r="1038" ht="82" customHeight="1">
      <x:c r="A1038" s="168" t="str">
        <x:v>MLCF|inv_prop|2023</x:v>
      </x:c>
      <x:c r="B1038" s="168" t="str">
        <x:v>MLCF</x:v>
      </x:c>
      <x:c r="C1038" s="168" t="str">
        <x:v>FY2023</x:v>
      </x:c>
      <x:c r="D1038" s="168" t="str">
        <x:v>Investment property</x:v>
      </x:c>
      <x:c r="E1038" s="169" t="n">
        <x:v>0</x:v>
      </x:c>
      <x:c r="F1038" s="169" t="n">
        <x:v>0</x:v>
      </x:c>
      <x:c r="G1038" s="169" t="str">
        <x:v>Rs '000</x:v>
      </x:c>
      <x:c r="H1038" s="169" t="n">
        <x:f>F1038/1000</x:f>
        <x:v>0</x:v>
      </x:c>
      <x:c r="I1038" s="169" t="n">
        <x:f>MLCF!F25</x:f>
        <x:v>0</x:v>
      </x:c>
      <x:c r="J1038" s="169" t="n">
        <x:f>H1038-I1038</x:f>
        <x:v>0</x:v>
      </x:c>
      <x:c r="K1038" s="168" t="str">
        <x:v>2024.pdf</x:v>
      </x:c>
      <x:c r="L1038" s="168" t="n">
        <x:v>189</x:v>
      </x:c>
      <x:c r="M1038" s="168" t="str">
        <x:v>Comparative</x:v>
      </x:c>
      <x:c r="N1038" s="171" t="str">
        <x:v>Zero / no separate line in audited presentation</x:v>
      </x:c>
      <x:c r="O1038" s="171" t="str">
        <x:v>Zero classification checked within the audited statement/note and reconstructed statement totals; absence of a separate line does not imply a missing replacement estimate.</x:v>
      </x:c>
      <x:c r="P1038" s="171" t="str">
        <x:v>
188
UNCONSOLIDA TED STA TEMENT OF 
FINANCIAL POSITION 
AS AT JUNE 30, 2024
   2024 2023
  Note (Rupees in thousand) 
EQUITY AND LIABILITIES
SHARE CAP | Investment property</x:v>
      </x:c>
    </x:row>
    <x:row r="1039" ht="82" customHeight="1">
      <x:c r="A1039" s="76" t="str">
        <x:v>MLCF|inv_prop|2024</x:v>
      </x:c>
      <x:c r="B1039" s="76" t="str">
        <x:v>MLCF</x:v>
      </x:c>
      <x:c r="C1039" s="76" t="str">
        <x:v>FY2024</x:v>
      </x:c>
      <x:c r="D1039" s="76" t="str">
        <x:v>Investment property</x:v>
      </x:c>
      <x:c r="E1039" s="170" t="n">
        <x:v>0</x:v>
      </x:c>
      <x:c r="F1039" s="170" t="n">
        <x:v>0</x:v>
      </x:c>
      <x:c r="G1039" s="170" t="str">
        <x:v>Rs '000</x:v>
      </x:c>
      <x:c r="H1039" s="170" t="n">
        <x:f>F1039/1000</x:f>
        <x:v>0</x:v>
      </x:c>
      <x:c r="I1039" s="170" t="n">
        <x:f>MLCF!G25</x:f>
        <x:v>0</x:v>
      </x:c>
      <x:c r="J1039" s="170" t="n">
        <x:f>H1039-I1039</x:f>
        <x:v>0</x:v>
      </x:c>
      <x:c r="K1039" s="76" t="str">
        <x:v>2025.pdf</x:v>
      </x:c>
      <x:c r="L1039" s="76" t="n">
        <x:v>201</x:v>
      </x:c>
      <x:c r="M1039" s="76" t="str">
        <x:v>Comparative</x:v>
      </x:c>
      <x:c r="N1039" s="99" t="str">
        <x:v>Zero / no separate line in audited presentation</x:v>
      </x:c>
      <x:c r="O1039" s="99" t="str">
        <x:v>Zero classification checked within the audited statement/note and reconstructed statement totals; absence of a separate line does not imply a missing replacement estimate.</x:v>
      </x:c>
      <x:c r="P1039" s="99" t="str">
        <x:v>
200
UNCONSOLIDA TED STA TEMENT OF 
FINANCIAL POSITION 
AS AT JUNE 30, 2025
   2025 2024
  Note (Rupees in thousand) 
EQUITY AND LIABILITIES
SHARE CAP | Investment property</x:v>
      </x:c>
    </x:row>
    <x:row r="1040" ht="82" customHeight="1">
      <x:c r="A1040" s="168" t="str">
        <x:v>MLCF|inv_prop|2025</x:v>
      </x:c>
      <x:c r="B1040" s="168" t="str">
        <x:v>MLCF</x:v>
      </x:c>
      <x:c r="C1040" s="168" t="str">
        <x:v>FY2025</x:v>
      </x:c>
      <x:c r="D1040" s="168" t="str">
        <x:v>Investment property</x:v>
      </x:c>
      <x:c r="E1040" s="169" t="n">
        <x:v>0</x:v>
      </x:c>
      <x:c r="F1040" s="169" t="n">
        <x:v>0</x:v>
      </x:c>
      <x:c r="G1040" s="169" t="str">
        <x:v>Rs '000</x:v>
      </x:c>
      <x:c r="H1040" s="169" t="n">
        <x:f>F1040/1000</x:f>
        <x:v>0</x:v>
      </x:c>
      <x:c r="I1040" s="169" t="n">
        <x:f>MLCF!H25</x:f>
        <x:v>0</x:v>
      </x:c>
      <x:c r="J1040" s="169" t="n">
        <x:f>H1040-I1040</x:f>
        <x:v>0</x:v>
      </x:c>
      <x:c r="K1040" s="168" t="str">
        <x:v>2025.pdf</x:v>
      </x:c>
      <x:c r="L1040" s="168" t="n">
        <x:v>201</x:v>
      </x:c>
      <x:c r="M1040" s="168" t="str">
        <x:v>Current year</x:v>
      </x:c>
      <x:c r="N1040" s="171" t="str">
        <x:v>Zero / no separate line in audited presentation</x:v>
      </x:c>
      <x:c r="O1040" s="171" t="str">
        <x:v>Zero classification checked within the audited statement/note and reconstructed statement totals; absence of a separate line does not imply a missing replacement estimate.</x:v>
      </x:c>
      <x:c r="P1040" s="171" t="str">
        <x:v>
200
UNCONSOLIDA TED STA TEMENT OF 
FINANCIAL POSITION 
AS AT JUNE 30, 2025
   2025 2024
  Note (Rupees in thousand) 
EQUITY AND LIABILITIES
SHARE CAP | Investment property</x:v>
      </x:c>
    </x:row>
    <x:row r="1041" ht="82" customHeight="1">
      <x:c r="A1041" s="76" t="str">
        <x:v>MLCF|lt_inv|2020</x:v>
      </x:c>
      <x:c r="B1041" s="76" t="str">
        <x:v>MLCF</x:v>
      </x:c>
      <x:c r="C1041" s="76" t="str">
        <x:v>FY2020</x:v>
      </x:c>
      <x:c r="D1041" s="76" t="str">
        <x:v>Long-term investments</x:v>
      </x:c>
      <x:c r="E1041" s="170" t="n">
        <x:v>5020000</x:v>
      </x:c>
      <x:c r="F1041" s="170" t="n">
        <x:v>5020000</x:v>
      </x:c>
      <x:c r="G1041" s="170" t="str">
        <x:v>Rs '000</x:v>
      </x:c>
      <x:c r="H1041" s="170" t="n">
        <x:f>F1041/1000</x:f>
        <x:v>5020</x:v>
      </x:c>
      <x:c r="I1041" s="170" t="n">
        <x:f>MLCF!C26</x:f>
        <x:v>5020</x:v>
      </x:c>
      <x:c r="J1041" s="170" t="n">
        <x:f>H1041-I1041</x:f>
        <x:v>0</x:v>
      </x:c>
      <x:c r="K1041" s="76" t="str">
        <x:v>2021.pdf</x:v>
      </x:c>
      <x:c r="L1041" s="76" t="n">
        <x:v>163</x:v>
      </x:c>
      <x:c r="M1041" s="76" t="str">
        <x:v>Comparative</x:v>
      </x:c>
      <x:c r="N1041" s="99" t="str">
        <x:v>Printed amount independently located</x:v>
      </x:c>
      <x:c r="O1041" s="99" t="str">
        <x:v>Exact source amount found; audited year/current-comparative column recorded. Accounting subtotal tests performed separately.</x:v>
      </x:c>
      <x:c r="P1041" s="99" t="str">
        <x:v>NON - CURRENT ASSETS   
Property, plant and equipment 20  44,215,539   44,297,941 
Intangible assets 21  6,017   9,023 
Long term investment 22  5,020,000   5,020,000 
Long term loans to employees - secured 23  17,004   19,196 
Long term deposits 24  57,302   56,420 
    49,315,862   49,402,580 
CURRENT ASSETS   
Stores</x:v>
      </x:c>
    </x:row>
    <x:row r="1042" ht="82" customHeight="1">
      <x:c r="A1042" s="168" t="str">
        <x:v>MLCF|lt_inv|2021</x:v>
      </x:c>
      <x:c r="B1042" s="168" t="str">
        <x:v>MLCF</x:v>
      </x:c>
      <x:c r="C1042" s="168" t="str">
        <x:v>FY2021</x:v>
      </x:c>
      <x:c r="D1042" s="168" t="str">
        <x:v>Long-term investments</x:v>
      </x:c>
      <x:c r="E1042" s="169" t="n">
        <x:v>5020000</x:v>
      </x:c>
      <x:c r="F1042" s="169" t="n">
        <x:v>5020000</x:v>
      </x:c>
      <x:c r="G1042" s="169" t="str">
        <x:v>Rs '000</x:v>
      </x:c>
      <x:c r="H1042" s="169" t="n">
        <x:f>F1042/1000</x:f>
        <x:v>5020</x:v>
      </x:c>
      <x:c r="I1042" s="169" t="n">
        <x:f>MLCF!D26</x:f>
        <x:v>5020</x:v>
      </x:c>
      <x:c r="J1042" s="169" t="n">
        <x:f>H1042-I1042</x:f>
        <x:v>0</x:v>
      </x:c>
      <x:c r="K1042" s="168" t="str">
        <x:v>2022.pdf</x:v>
      </x:c>
      <x:c r="L1042" s="168" t="n">
        <x:v>184</x:v>
      </x:c>
      <x:c r="M1042" s="168" t="str">
        <x:v>Comparative</x:v>
      </x:c>
      <x:c r="N1042" s="171" t="str">
        <x:v>Printed amount independently located</x:v>
      </x:c>
      <x:c r="O1042" s="171" t="str">
        <x:v>Exact source amount found; audited year/current-comparative column recorded. Accounting subtotal tests performed separately.</x:v>
      </x:c>
      <x:c r="P1042" s="171" t="str">
        <x:v>NON - CURRENT ASSETS   
Property, plant and equipment 20  56,784,840   44,215,539 
Intangible assets 21  10,415   6,017 
Long term investment 22  5,020,000   5,020,000 
Long term loans to employees - secured 23  19,366   17,004 
Long term deposits 24  57,600   57,302 
   61,892,221   49,315,862 
CURRENT ASSETS   
Stores, spar</x:v>
      </x:c>
    </x:row>
    <x:row r="1043" ht="82" customHeight="1">
      <x:c r="A1043" s="76" t="str">
        <x:v>MLCF|lt_inv|2022</x:v>
      </x:c>
      <x:c r="B1043" s="76" t="str">
        <x:v>MLCF</x:v>
      </x:c>
      <x:c r="C1043" s="76" t="str">
        <x:v>FY2022</x:v>
      </x:c>
      <x:c r="D1043" s="76" t="str">
        <x:v>Long-term investments</x:v>
      </x:c>
      <x:c r="E1043" s="170" t="n">
        <x:v>5020000</x:v>
      </x:c>
      <x:c r="F1043" s="170" t="n">
        <x:v>5020000</x:v>
      </x:c>
      <x:c r="G1043" s="170" t="str">
        <x:v>Rs '000</x:v>
      </x:c>
      <x:c r="H1043" s="170" t="n">
        <x:f>F1043/1000</x:f>
        <x:v>5020</x:v>
      </x:c>
      <x:c r="I1043" s="170" t="n">
        <x:f>MLCF!E26</x:f>
        <x:v>5020</x:v>
      </x:c>
      <x:c r="J1043" s="170" t="n">
        <x:f>H1043-I1043</x:f>
        <x:v>0</x:v>
      </x:c>
      <x:c r="K1043" s="76" t="str">
        <x:v>2023.pdf</x:v>
      </x:c>
      <x:c r="L1043" s="76" t="n">
        <x:v>98</x:v>
      </x:c>
      <x:c r="M1043" s="76" t="str">
        <x:v>Comparative</x:v>
      </x:c>
      <x:c r="N1043" s="99" t="str">
        <x:v>Printed amount independently located</x:v>
      </x:c>
      <x:c r="O1043" s="99" t="str">
        <x:v>Exact source amount found; audited year/current-comparative column recorded. Accounting subtotal tests performed separately.</x:v>
      </x:c>
      <x:c r="P1043" s="99" t="str">
        <x:v>SSETS
NON - CURRENT ASSETS
Property, plant and equipment 20 62,354,608 56,784,840
Intangible assets 21 6,946 10,415
Long term investment 22 5,030,000 5,020,000
Long term loans to employees - secured 23 18,089 19,366
Long term deposits 24 58,401 57,600
  67,468,044 61,892,221
CURRENT ASSETS
Stores, spare parts and loose tools 25 9,925,852</x:v>
      </x:c>
    </x:row>
    <x:row r="1044" ht="82" customHeight="1">
      <x:c r="A1044" s="168" t="str">
        <x:v>MLCF|lt_inv|2023</x:v>
      </x:c>
      <x:c r="B1044" s="168" t="str">
        <x:v>MLCF</x:v>
      </x:c>
      <x:c r="C1044" s="168" t="str">
        <x:v>FY2023</x:v>
      </x:c>
      <x:c r="D1044" s="168" t="str">
        <x:v>Long-term investments</x:v>
      </x:c>
      <x:c r="E1044" s="169" t="n">
        <x:v>5030000</x:v>
      </x:c>
      <x:c r="F1044" s="169" t="n">
        <x:v>5030000</x:v>
      </x:c>
      <x:c r="G1044" s="169" t="str">
        <x:v>Rs '000</x:v>
      </x:c>
      <x:c r="H1044" s="169" t="n">
        <x:f>F1044/1000</x:f>
        <x:v>5030</x:v>
      </x:c>
      <x:c r="I1044" s="169" t="n">
        <x:f>MLCF!F26</x:f>
        <x:v>5030</x:v>
      </x:c>
      <x:c r="J1044" s="169" t="n">
        <x:f>H1044-I1044</x:f>
        <x:v>0</x:v>
      </x:c>
      <x:c r="K1044" s="168" t="str">
        <x:v>2024.pdf</x:v>
      </x:c>
      <x:c r="L1044" s="168" t="n">
        <x:v>190</x:v>
      </x:c>
      <x:c r="M1044" s="168" t="str">
        <x:v>Comparative</x:v>
      </x:c>
      <x:c r="N1044" s="171" t="str">
        <x:v>Printed amount independently located</x:v>
      </x:c>
      <x:c r="O1044" s="171" t="str">
        <x:v>Exact source amount found; audited year/current-comparative column recorded. Accounting subtotal tests performed separately.</x:v>
      </x:c>
      <x:c r="P1044" s="171" t="str">
        <x:v>SETS
NON - CURRENT ASSETS
Property, plant and equipment 20 65,995,598 62,354,608
Intangible assets 21 84,810 6,946
Long term investments 22 6,322,000 5,030,000
Long term loans to employees - secured 23 31,228 18,089
Long term deposits 24 64,209 58,401
  72,497,845 67,468,044
CURRENT ASSETS
Stores, spare parts and loose tools 25 12,277,28</x:v>
      </x:c>
    </x:row>
    <x:row r="1045" ht="82" customHeight="1">
      <x:c r="A1045" s="76" t="str">
        <x:v>MLCF|lt_inv|2024</x:v>
      </x:c>
      <x:c r="B1045" s="76" t="str">
        <x:v>MLCF</x:v>
      </x:c>
      <x:c r="C1045" s="76" t="str">
        <x:v>FY2024</x:v>
      </x:c>
      <x:c r="D1045" s="76" t="str">
        <x:v>Long-term investments</x:v>
      </x:c>
      <x:c r="E1045" s="170" t="n">
        <x:v>6322000</x:v>
      </x:c>
      <x:c r="F1045" s="170" t="n">
        <x:v>6322000</x:v>
      </x:c>
      <x:c r="G1045" s="170" t="str">
        <x:v>Rs '000</x:v>
      </x:c>
      <x:c r="H1045" s="170" t="n">
        <x:f>F1045/1000</x:f>
        <x:v>6322</x:v>
      </x:c>
      <x:c r="I1045" s="170" t="n">
        <x:f>MLCF!G26</x:f>
        <x:v>6322</x:v>
      </x:c>
      <x:c r="J1045" s="170" t="n">
        <x:f>H1045-I1045</x:f>
        <x:v>0</x:v>
      </x:c>
      <x:c r="K1045" s="76" t="str">
        <x:v>2025.pdf</x:v>
      </x:c>
      <x:c r="L1045" s="76" t="n">
        <x:v>202</x:v>
      </x:c>
      <x:c r="M1045" s="76" t="str">
        <x:v>Comparative</x:v>
      </x:c>
      <x:c r="N1045" s="99" t="str">
        <x:v>Printed amount independently located</x:v>
      </x:c>
      <x:c r="O1045" s="99" t="str">
        <x:v>Exact source amount found; audited year/current-comparative column recorded. Accounting subtotal tests performed separately.</x:v>
      </x:c>
      <x:c r="P1045" s="99" t="str">
        <x:v>RRENT ASSETS
Property, plant and equipment 19  62,836,212   65,995,598 
Intangible assets 20  62,426   84,810 
Long term investments 21  20,371,110   6,322,000 
Long term loans to employees - secured 22  16,610   31,228 
Long term deposits 23  67,309   64,209 
   83,353,667   72,497,845 
CURRENT ASSETS
Stores, spare parts and loose tools</x:v>
      </x:c>
    </x:row>
    <x:row r="1046" ht="82" customHeight="1">
      <x:c r="A1046" s="168" t="str">
        <x:v>MLCF|lt_inv|2025</x:v>
      </x:c>
      <x:c r="B1046" s="168" t="str">
        <x:v>MLCF</x:v>
      </x:c>
      <x:c r="C1046" s="168" t="str">
        <x:v>FY2025</x:v>
      </x:c>
      <x:c r="D1046" s="168" t="str">
        <x:v>Long-term investments</x:v>
      </x:c>
      <x:c r="E1046" s="169" t="n">
        <x:v>20371110</x:v>
      </x:c>
      <x:c r="F1046" s="169" t="n">
        <x:v>20371110</x:v>
      </x:c>
      <x:c r="G1046" s="169" t="str">
        <x:v>Rs '000</x:v>
      </x:c>
      <x:c r="H1046" s="169" t="n">
        <x:f>F1046/1000</x:f>
        <x:v>20371.11</x:v>
      </x:c>
      <x:c r="I1046" s="169" t="n">
        <x:f>MLCF!H26</x:f>
        <x:v>20371.11</x:v>
      </x:c>
      <x:c r="J1046" s="169" t="n">
        <x:f>H1046-I1046</x:f>
        <x:v>0</x:v>
      </x:c>
      <x:c r="K1046" s="168" t="str">
        <x:v>2025.pdf</x:v>
      </x:c>
      <x:c r="L1046" s="168" t="n">
        <x:v>202</x:v>
      </x:c>
      <x:c r="M1046" s="168" t="str">
        <x:v>Current year</x:v>
      </x:c>
      <x:c r="N1046" s="171" t="str">
        <x:v>Printed amount independently located</x:v>
      </x:c>
      <x:c r="O1046" s="171" t="str">
        <x:v>Exact source amount found; audited year/current-comparative column recorded. Accounting subtotal tests performed separately.</x:v>
      </x:c>
      <x:c r="P1046" s="171" t="str">
        <x:v>SETS
NON - CURRENT ASSETS
Property, plant and equipment 19  62,836,212   65,995,598 
Intangible assets 20  62,426   84,810 
Long term investments 21  20,371,110   6,322,000 
Long term loans to employees - secured 22  16,610   31,228 
Long term deposits 23  67,309   64,209 
   83,353,667   72,497,845 
CURRENT ASSETS
Stores, spare parts and</x:v>
      </x:c>
    </x:row>
    <x:row r="1047" ht="82" customHeight="1">
      <x:c r="A1047" s="76" t="str">
        <x:v>MLCF|nca_other|2020</x:v>
      </x:c>
      <x:c r="B1047" s="76" t="str">
        <x:v>MLCF</x:v>
      </x:c>
      <x:c r="C1047" s="76" t="str">
        <x:v>FY2020</x:v>
      </x:c>
      <x:c r="D1047" s="76" t="str">
        <x:v>Other non-current assets</x:v>
      </x:c>
      <x:c r="E1047" s="170" t="n">
        <x:v>75616</x:v>
      </x:c>
      <x:c r="F1047" s="170" t="n">
        <x:v>75616</x:v>
      </x:c>
      <x:c r="G1047" s="170" t="str">
        <x:v>Rs '000</x:v>
      </x:c>
      <x:c r="H1047" s="170" t="n">
        <x:f>F1047/1000</x:f>
        <x:v>75.616</x:v>
      </x:c>
      <x:c r="I1047" s="170" t="n">
        <x:f>MLCF!C27</x:f>
        <x:v>75.616</x:v>
      </x:c>
      <x:c r="J1047" s="170" t="n">
        <x:f>H1047-I1047</x:f>
        <x:v>0</x:v>
      </x:c>
      <x:c r="K1047" s="76" t="str">
        <x:v>2021.pdf</x:v>
      </x:c>
      <x:c r="L1047" s="76" t="n">
        <x:v>163</x:v>
      </x:c>
      <x:c r="M1047" s="76" t="str">
        <x:v>Comparative</x:v>
      </x:c>
      <x:c r="N1047" s="99" t="str">
        <x:v>Aggregated audited components</x:v>
      </x:c>
      <x:c r="O1047" s="99" t="str">
        <x:v>Source-labelled component sum; statement controls and signed-unit conversion independently recomputed.</x:v>
      </x:c>
      <x:c r="P1047" s="99" t="str">
        <x:v>
161
   2021 2020
  Note (Rupees in thousand) 
ASSETS   
NON - CURRENT ASSETS   
Property, plant and equipment 20  44,215,539   44,297,941 
Intangible assets 21  6,017  | Components: Long term deposits; Long term loans to employees - secured</x:v>
      </x:c>
    </x:row>
    <x:row r="1048" ht="82" customHeight="1">
      <x:c r="A1048" s="168" t="str">
        <x:v>MLCF|nca_other|2021</x:v>
      </x:c>
      <x:c r="B1048" s="168" t="str">
        <x:v>MLCF</x:v>
      </x:c>
      <x:c r="C1048" s="168" t="str">
        <x:v>FY2021</x:v>
      </x:c>
      <x:c r="D1048" s="168" t="str">
        <x:v>Other non-current assets</x:v>
      </x:c>
      <x:c r="E1048" s="169" t="n">
        <x:v>74306</x:v>
      </x:c>
      <x:c r="F1048" s="169" t="n">
        <x:v>74306</x:v>
      </x:c>
      <x:c r="G1048" s="169" t="str">
        <x:v>Rs '000</x:v>
      </x:c>
      <x:c r="H1048" s="169" t="n">
        <x:f>F1048/1000</x:f>
        <x:v>74.306</x:v>
      </x:c>
      <x:c r="I1048" s="169" t="n">
        <x:f>MLCF!D27</x:f>
        <x:v>74.306</x:v>
      </x:c>
      <x:c r="J1048" s="169" t="n">
        <x:f>H1048-I1048</x:f>
        <x:v>0</x:v>
      </x:c>
      <x:c r="K1048" s="168" t="str">
        <x:v>2022.pdf</x:v>
      </x:c>
      <x:c r="L1048" s="168" t="n">
        <x:v>184</x:v>
      </x:c>
      <x:c r="M1048" s="168" t="str">
        <x:v>Comparative</x:v>
      </x:c>
      <x:c r="N1048" s="171" t="str">
        <x:v>Aggregated audited components</x:v>
      </x:c>
      <x:c r="O1048" s="171" t="str">
        <x:v>Source-labelled component sum; statement controls and signed-unit conversion independently recomputed.</x:v>
      </x:c>
      <x:c r="P1048" s="171" t="str">
        <x:v>
183
   2022 2021
  Note (Rupees in thousand) 
ASSETS   
NON - CURRENT ASSETS   
Property, plant and equipment 20  56,784,840   44,215,539 
Intangible assets 21  10,415 | Components: Long term deposits; Long term loans to employees - secured</x:v>
      </x:c>
    </x:row>
    <x:row r="1049" ht="82" customHeight="1">
      <x:c r="A1049" s="76" t="str">
        <x:v>MLCF|nca_other|2022</x:v>
      </x:c>
      <x:c r="B1049" s="76" t="str">
        <x:v>MLCF</x:v>
      </x:c>
      <x:c r="C1049" s="76" t="str">
        <x:v>FY2022</x:v>
      </x:c>
      <x:c r="D1049" s="76" t="str">
        <x:v>Other non-current assets</x:v>
      </x:c>
      <x:c r="E1049" s="170" t="n">
        <x:v>76966</x:v>
      </x:c>
      <x:c r="F1049" s="170" t="n">
        <x:v>76966</x:v>
      </x:c>
      <x:c r="G1049" s="170" t="str">
        <x:v>Rs '000</x:v>
      </x:c>
      <x:c r="H1049" s="170" t="n">
        <x:f>F1049/1000</x:f>
        <x:v>76.966</x:v>
      </x:c>
      <x:c r="I1049" s="170" t="n">
        <x:f>MLCF!E27</x:f>
        <x:v>76.966</x:v>
      </x:c>
      <x:c r="J1049" s="170" t="n">
        <x:f>H1049-I1049</x:f>
        <x:v>0</x:v>
      </x:c>
      <x:c r="K1049" s="76" t="str">
        <x:v>2023.pdf</x:v>
      </x:c>
      <x:c r="L1049" s="76" t="n">
        <x:v>98</x:v>
      </x:c>
      <x:c r="M1049" s="76" t="str">
        <x:v>Comparative</x:v>
      </x:c>
      <x:c r="N1049" s="99" t="str">
        <x:v>Aggregated audited components</x:v>
      </x:c>
      <x:c r="O1049" s="99" t="str">
        <x:v>Source-labelled component sum; statement controls and signed-unit conversion independently recomputed.</x:v>
      </x:c>
      <x:c r="P1049" s="99" t="str">
        <x:v>
192 193
UNCONSOLIDA TED STA TEMENT OF 
FINANCIAL POSITION 
AS AT JUNE 30, 2023
   2023 2022
  Note (Rupees in thousand) 
EQUITY AND LIABILITIES
SHARE CAPITAL AND RESERVES
Authoris | Components: Long term deposits; Long term loans to employees - secured</x:v>
      </x:c>
    </x:row>
    <x:row r="1050" ht="82" customHeight="1">
      <x:c r="A1050" s="168" t="str">
        <x:v>MLCF|nca_other|2023</x:v>
      </x:c>
      <x:c r="B1050" s="168" t="str">
        <x:v>MLCF</x:v>
      </x:c>
      <x:c r="C1050" s="168" t="str">
        <x:v>FY2023</x:v>
      </x:c>
      <x:c r="D1050" s="168" t="str">
        <x:v>Other non-current assets</x:v>
      </x:c>
      <x:c r="E1050" s="169" t="n">
        <x:v>76490</x:v>
      </x:c>
      <x:c r="F1050" s="169" t="n">
        <x:v>76490</x:v>
      </x:c>
      <x:c r="G1050" s="169" t="str">
        <x:v>Rs '000</x:v>
      </x:c>
      <x:c r="H1050" s="169" t="n">
        <x:f>F1050/1000</x:f>
        <x:v>76.49</x:v>
      </x:c>
      <x:c r="I1050" s="169" t="n">
        <x:f>MLCF!F27</x:f>
        <x:v>76.49</x:v>
      </x:c>
      <x:c r="J1050" s="169" t="n">
        <x:f>H1050-I1050</x:f>
        <x:v>0</x:v>
      </x:c>
      <x:c r="K1050" s="168" t="str">
        <x:v>2024.pdf</x:v>
      </x:c>
      <x:c r="L1050" s="168" t="n">
        <x:v>190</x:v>
      </x:c>
      <x:c r="M1050" s="168" t="str">
        <x:v>Comparative</x:v>
      </x:c>
      <x:c r="N1050" s="171" t="str">
        <x:v>Aggregated audited components</x:v>
      </x:c>
      <x:c r="O1050" s="171" t="str">
        <x:v>Source-labelled component sum; statement controls and signed-unit conversion independently recomputed.</x:v>
      </x:c>
      <x:c r="P1050" s="171" t="str">
        <x:v>
1892024
   2024 2023
  Note (Rupees in thousand) 
ASSETS
NON - CURRENT ASSETS
Property, plant and equipment 20 65,995,598 62,354,608
Intangible assets 21 84,810 6,946
Long term in | Components: Long term deposits; Long term loans to employees - secured</x:v>
      </x:c>
    </x:row>
    <x:row r="1051" ht="82" customHeight="1">
      <x:c r="A1051" s="76" t="str">
        <x:v>MLCF|nca_other|2024</x:v>
      </x:c>
      <x:c r="B1051" s="76" t="str">
        <x:v>MLCF</x:v>
      </x:c>
      <x:c r="C1051" s="76" t="str">
        <x:v>FY2024</x:v>
      </x:c>
      <x:c r="D1051" s="76" t="str">
        <x:v>Other non-current assets</x:v>
      </x:c>
      <x:c r="E1051" s="170" t="n">
        <x:v>95437</x:v>
      </x:c>
      <x:c r="F1051" s="170" t="n">
        <x:v>95437</x:v>
      </x:c>
      <x:c r="G1051" s="170" t="str">
        <x:v>Rs '000</x:v>
      </x:c>
      <x:c r="H1051" s="170" t="n">
        <x:f>F1051/1000</x:f>
        <x:v>95.437</x:v>
      </x:c>
      <x:c r="I1051" s="170" t="n">
        <x:f>MLCF!G27</x:f>
        <x:v>95.437</x:v>
      </x:c>
      <x:c r="J1051" s="170" t="n">
        <x:f>H1051-I1051</x:f>
        <x:v>0</x:v>
      </x:c>
      <x:c r="K1051" s="76" t="str">
        <x:v>2025.pdf</x:v>
      </x:c>
      <x:c r="L1051" s="76" t="n">
        <x:v>202</x:v>
      </x:c>
      <x:c r="M1051" s="76" t="str">
        <x:v>Comparative</x:v>
      </x:c>
      <x:c r="N1051" s="99" t="str">
        <x:v>Aggregated audited components</x:v>
      </x:c>
      <x:c r="O1051" s="99" t="str">
        <x:v>Source-labelled component sum; statement controls and signed-unit conversion independently recomputed.</x:v>
      </x:c>
      <x:c r="P1051" s="99" t="str">
        <x:v>
2012025
   2025 2024
  Note (Rupees in thousand) 
ASSETS
NON - CURRENT ASSETS
Property, plant and equipment 19  62,836,212   65,995,598 
Intangible assets 20  62,426   84,810 
Lon | Components: Long term deposits; Long term loans to employees - secured</x:v>
      </x:c>
    </x:row>
    <x:row r="1052" ht="82" customHeight="1">
      <x:c r="A1052" s="168" t="str">
        <x:v>MLCF|nca_other|2025</x:v>
      </x:c>
      <x:c r="B1052" s="168" t="str">
        <x:v>MLCF</x:v>
      </x:c>
      <x:c r="C1052" s="168" t="str">
        <x:v>FY2025</x:v>
      </x:c>
      <x:c r="D1052" s="168" t="str">
        <x:v>Other non-current assets</x:v>
      </x:c>
      <x:c r="E1052" s="169" t="n">
        <x:v>83919</x:v>
      </x:c>
      <x:c r="F1052" s="169" t="n">
        <x:v>83919</x:v>
      </x:c>
      <x:c r="G1052" s="169" t="str">
        <x:v>Rs '000</x:v>
      </x:c>
      <x:c r="H1052" s="169" t="n">
        <x:f>F1052/1000</x:f>
        <x:v>83.919</x:v>
      </x:c>
      <x:c r="I1052" s="169" t="n">
        <x:f>MLCF!H27</x:f>
        <x:v>83.919</x:v>
      </x:c>
      <x:c r="J1052" s="169" t="n">
        <x:f>H1052-I1052</x:f>
        <x:v>0</x:v>
      </x:c>
      <x:c r="K1052" s="168" t="str">
        <x:v>2025.pdf</x:v>
      </x:c>
      <x:c r="L1052" s="168" t="n">
        <x:v>202</x:v>
      </x:c>
      <x:c r="M1052" s="168" t="str">
        <x:v>Current year</x:v>
      </x:c>
      <x:c r="N1052" s="171" t="str">
        <x:v>Aggregated audited components</x:v>
      </x:c>
      <x:c r="O1052" s="171" t="str">
        <x:v>Source-labelled component sum; statement controls and signed-unit conversion independently recomputed.</x:v>
      </x:c>
      <x:c r="P1052" s="171" t="str">
        <x:v>
2012025
   2025 2024
  Note (Rupees in thousand) 
ASSETS
NON - CURRENT ASSETS
Property, plant and equipment 19  62,836,212   65,995,598 
Intangible assets 20  62,426   84,810 
Lon | Components: Long term deposits; Long term loans to employees - secured</x:v>
      </x:c>
    </x:row>
    <x:row r="1053" ht="82" customHeight="1">
      <x:c r="A1053" s="76" t="str">
        <x:v>MLCF|stores|2020</x:v>
      </x:c>
      <x:c r="B1053" s="76" t="str">
        <x:v>MLCF</x:v>
      </x:c>
      <x:c r="C1053" s="76" t="str">
        <x:v>FY2020</x:v>
      </x:c>
      <x:c r="D1053" s="76" t="str">
        <x:v>Stores, spares and loose tools</x:v>
      </x:c>
      <x:c r="E1053" s="170" t="n">
        <x:v>8395610</x:v>
      </x:c>
      <x:c r="F1053" s="170" t="n">
        <x:v>8395610</x:v>
      </x:c>
      <x:c r="G1053" s="170" t="str">
        <x:v>Rs '000</x:v>
      </x:c>
      <x:c r="H1053" s="170" t="n">
        <x:f>F1053/1000</x:f>
        <x:v>8395.61</x:v>
      </x:c>
      <x:c r="I1053" s="170" t="n">
        <x:f>MLCF!C30</x:f>
        <x:v>8395.61</x:v>
      </x:c>
      <x:c r="J1053" s="170" t="n">
        <x:f>H1053-I1053</x:f>
        <x:v>0</x:v>
      </x:c>
      <x:c r="K1053" s="76" t="str">
        <x:v>2021.pdf</x:v>
      </x:c>
      <x:c r="L1053" s="76" t="n">
        <x:v>163</x:v>
      </x:c>
      <x:c r="M1053" s="76" t="str">
        <x:v>Comparative</x:v>
      </x:c>
      <x:c r="N1053" s="99" t="str">
        <x:v>Printed amount independently located</x:v>
      </x:c>
      <x:c r="O1053" s="99" t="str">
        <x:v>Exact source amount found; audited year/current-comparative column recorded. Accounting subtotal tests performed separately.</x:v>
      </x:c>
      <x:c r="P1053" s="99" t="str">
        <x:v>ng term deposits 24  57,302   56,420 
    49,315,862   49,402,580 
CURRENT ASSETS   
Stores, spare parts and loose tools 25  9,738,717   8,395,610 
Stock-in-trade 26  2,150,183   1,779,404 
Trade debts  27  1,679,704   3,052,130 
Loans and advances 28  481,492   414,470 
Short term investment 29  149,148   75,245 
Short term</x:v>
      </x:c>
    </x:row>
    <x:row r="1054" ht="82" customHeight="1">
      <x:c r="A1054" s="168" t="str">
        <x:v>MLCF|stores|2021</x:v>
      </x:c>
      <x:c r="B1054" s="168" t="str">
        <x:v>MLCF</x:v>
      </x:c>
      <x:c r="C1054" s="168" t="str">
        <x:v>FY2021</x:v>
      </x:c>
      <x:c r="D1054" s="168" t="str">
        <x:v>Stores, spares and loose tools</x:v>
      </x:c>
      <x:c r="E1054" s="169" t="n">
        <x:v>9738717</x:v>
      </x:c>
      <x:c r="F1054" s="169" t="n">
        <x:v>9738717</x:v>
      </x:c>
      <x:c r="G1054" s="169" t="str">
        <x:v>Rs '000</x:v>
      </x:c>
      <x:c r="H1054" s="169" t="n">
        <x:f>F1054/1000</x:f>
        <x:v>9738.717</x:v>
      </x:c>
      <x:c r="I1054" s="169" t="n">
        <x:f>MLCF!D30</x:f>
        <x:v>9738.717</x:v>
      </x:c>
      <x:c r="J1054" s="169" t="n">
        <x:f>H1054-I1054</x:f>
        <x:v>0</x:v>
      </x:c>
      <x:c r="K1054" s="168" t="str">
        <x:v>2022.pdf</x:v>
      </x:c>
      <x:c r="L1054" s="168" t="n">
        <x:v>184</x:v>
      </x:c>
      <x:c r="M1054" s="168" t="str">
        <x:v>Comparative</x:v>
      </x:c>
      <x:c r="N1054" s="171" t="str">
        <x:v>Printed amount independently located</x:v>
      </x:c>
      <x:c r="O1054" s="171" t="str">
        <x:v>Exact source amount found; audited year/current-comparative column recorded. Accounting subtotal tests performed separately.</x:v>
      </x:c>
      <x:c r="P1054" s="171" t="str">
        <x:v>4 
Long term deposits 24  57,600   57,302 
   61,892,221   49,315,862 
CURRENT ASSETS   
Stores, spare parts and loose tools 25  12,853,605   9,738,717 
Stock-in-trade 26  2,695,621   2,150,183 
Trade debts  27  2,066,212   1,679,704 
Loans and advances 28  594,906   481,492 
Short term investment 29  198,346   149,148 
Short ter</x:v>
      </x:c>
    </x:row>
    <x:row r="1055" ht="82" customHeight="1">
      <x:c r="A1055" s="76" t="str">
        <x:v>MLCF|stores|2022</x:v>
      </x:c>
      <x:c r="B1055" s="76" t="str">
        <x:v>MLCF</x:v>
      </x:c>
      <x:c r="C1055" s="76" t="str">
        <x:v>FY2022</x:v>
      </x:c>
      <x:c r="D1055" s="76" t="str">
        <x:v>Stores, spares and loose tools</x:v>
      </x:c>
      <x:c r="E1055" s="170" t="n">
        <x:v>12853605</x:v>
      </x:c>
      <x:c r="F1055" s="170" t="n">
        <x:v>12853605</x:v>
      </x:c>
      <x:c r="G1055" s="170" t="str">
        <x:v>Rs '000</x:v>
      </x:c>
      <x:c r="H1055" s="170" t="n">
        <x:f>F1055/1000</x:f>
        <x:v>12853.605</x:v>
      </x:c>
      <x:c r="I1055" s="170" t="n">
        <x:f>MLCF!E30</x:f>
        <x:v>12853.605</x:v>
      </x:c>
      <x:c r="J1055" s="170" t="n">
        <x:f>H1055-I1055</x:f>
        <x:v>0</x:v>
      </x:c>
      <x:c r="K1055" s="76" t="str">
        <x:v>2023.pdf</x:v>
      </x:c>
      <x:c r="L1055" s="76" t="n">
        <x:v>98</x:v>
      </x:c>
      <x:c r="M1055" s="76" t="str">
        <x:v>Comparative</x:v>
      </x:c>
      <x:c r="N1055" s="99" t="str">
        <x:v>Printed amount independently located</x:v>
      </x:c>
      <x:c r="O1055" s="99" t="str">
        <x:v>Exact source amount found; audited year/current-comparative column recorded. Accounting subtotal tests performed separately.</x:v>
      </x:c>
      <x:c r="P1055" s="99" t="str">
        <x:v>secured 23 18,089 19,366
Long term deposits 24 58,401 57,600
  67,468,044 61,892,221
CURRENT ASSETS
Stores, spare parts and loose tools 25 9,925,852 12,853,605
Stock-in-trade 26 3,874,605 2,695,621
Trade debts 27 2,600,988 2,066,212
Loans and advances 28 868,404 594,906
Short term investment 29 3,689,556 198,346 
Short term deposits and</x:v>
      </x:c>
    </x:row>
    <x:row r="1056" ht="82" customHeight="1">
      <x:c r="A1056" s="168" t="str">
        <x:v>MLCF|stores|2023</x:v>
      </x:c>
      <x:c r="B1056" s="168" t="str">
        <x:v>MLCF</x:v>
      </x:c>
      <x:c r="C1056" s="168" t="str">
        <x:v>FY2023</x:v>
      </x:c>
      <x:c r="D1056" s="168" t="str">
        <x:v>Stores, spares and loose tools</x:v>
      </x:c>
      <x:c r="E1056" s="169" t="n">
        <x:v>9925855</x:v>
      </x:c>
      <x:c r="F1056" s="169" t="n">
        <x:v>9925855</x:v>
      </x:c>
      <x:c r="G1056" s="169" t="str">
        <x:v>Rs '000</x:v>
      </x:c>
      <x:c r="H1056" s="169" t="n">
        <x:f>F1056/1000</x:f>
        <x:v>9925.855</x:v>
      </x:c>
      <x:c r="I1056" s="169" t="n">
        <x:f>MLCF!F30</x:f>
        <x:v>9925.855</x:v>
      </x:c>
      <x:c r="J1056" s="169" t="n">
        <x:f>H1056-I1056</x:f>
        <x:v>0</x:v>
      </x:c>
      <x:c r="K1056" s="168" t="str">
        <x:v>2024.pdf</x:v>
      </x:c>
      <x:c r="L1056" s="168" t="n">
        <x:v>190</x:v>
      </x:c>
      <x:c r="M1056" s="168" t="str">
        <x:v>Comparative</x:v>
      </x:c>
      <x:c r="N1056" s="171" t="str">
        <x:v>Printed amount independently located</x:v>
      </x:c>
      <x:c r="O1056" s="171" t="str">
        <x:v>Exact source amount found; audited year/current-comparative column recorded. Accounting subtotal tests performed separately.</x:v>
      </x:c>
      <x:c r="P1056" s="171" t="str">
        <x:v>secured 23 31,228 18,089
Long term deposits 24 64,209 58,401
  72,497,845 67,468,044
CURRENT ASSETS
Stores, spare parts and loose tools 25 12,277,288 9,925,855
Stock-in-trade 26 3,256,553 3,874,605
Trade debts 27 4,188,745 2,600,985
Loans and advances 28 448,258 868,404
Short term investments 29 4,220,262 3,689,556
Short term deposits an</x:v>
      </x:c>
    </x:row>
    <x:row r="1057" ht="82" customHeight="1">
      <x:c r="A1057" s="76" t="str">
        <x:v>MLCF|stores|2024</x:v>
      </x:c>
      <x:c r="B1057" s="76" t="str">
        <x:v>MLCF</x:v>
      </x:c>
      <x:c r="C1057" s="76" t="str">
        <x:v>FY2024</x:v>
      </x:c>
      <x:c r="D1057" s="76" t="str">
        <x:v>Stores, spares and loose tools</x:v>
      </x:c>
      <x:c r="E1057" s="170" t="n">
        <x:v>12277288</x:v>
      </x:c>
      <x:c r="F1057" s="170" t="n">
        <x:v>12277288</x:v>
      </x:c>
      <x:c r="G1057" s="170" t="str">
        <x:v>Rs '000</x:v>
      </x:c>
      <x:c r="H1057" s="170" t="n">
        <x:f>F1057/1000</x:f>
        <x:v>12277.288</x:v>
      </x:c>
      <x:c r="I1057" s="170" t="n">
        <x:f>MLCF!G30</x:f>
        <x:v>12277.288</x:v>
      </x:c>
      <x:c r="J1057" s="170" t="n">
        <x:f>H1057-I1057</x:f>
        <x:v>0</x:v>
      </x:c>
      <x:c r="K1057" s="76" t="str">
        <x:v>2025.pdf</x:v>
      </x:c>
      <x:c r="L1057" s="76" t="n">
        <x:v>202</x:v>
      </x:c>
      <x:c r="M1057" s="76" t="str">
        <x:v>Comparative</x:v>
      </x:c>
      <x:c r="N1057" s="99" t="str">
        <x:v>Printed amount independently located</x:v>
      </x:c>
      <x:c r="O1057" s="99" t="str">
        <x:v>Exact source amount found; audited year/current-comparative column recorded. Accounting subtotal tests performed separately.</x:v>
      </x:c>
      <x:c r="P1057" s="99" t="str">
        <x:v>610   31,228 
Long term deposits 23  67,309   64,209 
   83,353,667   72,497,845 
CURRENT ASSETS
Stores, spare parts and loose tools 24  12,461,312   12,277,288 
Stock-in-trade 25  4,442,989   3,256,553 
Trade debts  26  4,610,182   4,188,745 
Loans and advances 27  718,498   448,258 
Short term investments 28  11,102,413   4,220,262 
Sho</x:v>
      </x:c>
    </x:row>
    <x:row r="1058" ht="82" customHeight="1">
      <x:c r="A1058" s="168" t="str">
        <x:v>MLCF|stores|2025</x:v>
      </x:c>
      <x:c r="B1058" s="168" t="str">
        <x:v>MLCF</x:v>
      </x:c>
      <x:c r="C1058" s="168" t="str">
        <x:v>FY2025</x:v>
      </x:c>
      <x:c r="D1058" s="168" t="str">
        <x:v>Stores, spares and loose tools</x:v>
      </x:c>
      <x:c r="E1058" s="169" t="n">
        <x:v>12461312</x:v>
      </x:c>
      <x:c r="F1058" s="169" t="n">
        <x:v>12461312</x:v>
      </x:c>
      <x:c r="G1058" s="169" t="str">
        <x:v>Rs '000</x:v>
      </x:c>
      <x:c r="H1058" s="169" t="n">
        <x:f>F1058/1000</x:f>
        <x:v>12461.312</x:v>
      </x:c>
      <x:c r="I1058" s="169" t="n">
        <x:f>MLCF!H30</x:f>
        <x:v>12461.312</x:v>
      </x:c>
      <x:c r="J1058" s="169" t="n">
        <x:f>H1058-I1058</x:f>
        <x:v>0</x:v>
      </x:c>
      <x:c r="K1058" s="168" t="str">
        <x:v>2025.pdf</x:v>
      </x:c>
      <x:c r="L1058" s="168" t="n">
        <x:v>202</x:v>
      </x:c>
      <x:c r="M1058" s="168" t="str">
        <x:v>Current year</x:v>
      </x:c>
      <x:c r="N1058" s="171" t="str">
        <x:v>Printed amount independently located</x:v>
      </x:c>
      <x:c r="O1058" s="171" t="str">
        <x:v>Exact source amount found; audited year/current-comparative column recorded. Accounting subtotal tests performed separately.</x:v>
      </x:c>
      <x:c r="P1058" s="171" t="str">
        <x:v>cured 22  16,610   31,228 
Long term deposits 23  67,309   64,209 
   83,353,667   72,497,845 
CURRENT ASSETS
Stores, spare parts and loose tools 24  12,461,312   12,277,288 
Stock-in-trade 25  4,442,989   3,256,553 
Trade debts  26  4,610,182   4,188,745 
Loans and advances 27  718,498   448,258 
Short term investments 28  11,102,413   4</x:v>
      </x:c>
    </x:row>
    <x:row r="1059" ht="82" customHeight="1">
      <x:c r="A1059" s="76" t="str">
        <x:v>MLCF|sit|2020</x:v>
      </x:c>
      <x:c r="B1059" s="76" t="str">
        <x:v>MLCF</x:v>
      </x:c>
      <x:c r="C1059" s="76" t="str">
        <x:v>FY2020</x:v>
      </x:c>
      <x:c r="D1059" s="76" t="str">
        <x:v>Stock-in-trade</x:v>
      </x:c>
      <x:c r="E1059" s="170" t="n">
        <x:v>1779404</x:v>
      </x:c>
      <x:c r="F1059" s="170" t="n">
        <x:v>1779404</x:v>
      </x:c>
      <x:c r="G1059" s="170" t="str">
        <x:v>Rs '000</x:v>
      </x:c>
      <x:c r="H1059" s="170" t="n">
        <x:f>F1059/1000</x:f>
        <x:v>1779.404</x:v>
      </x:c>
      <x:c r="I1059" s="170" t="n">
        <x:f>MLCF!C31</x:f>
        <x:v>1779.404</x:v>
      </x:c>
      <x:c r="J1059" s="170" t="n">
        <x:f>H1059-I1059</x:f>
        <x:v>0</x:v>
      </x:c>
      <x:c r="K1059" s="76" t="str">
        <x:v>2021.pdf</x:v>
      </x:c>
      <x:c r="L1059" s="76" t="n">
        <x:v>163</x:v>
      </x:c>
      <x:c r="M1059" s="76" t="str">
        <x:v>Comparative</x:v>
      </x:c>
      <x:c r="N1059" s="99" t="str">
        <x:v>Printed amount independently located</x:v>
      </x:c>
      <x:c r="O1059" s="99" t="str">
        <x:v>Exact source amount found; audited year/current-comparative column recorded. Accounting subtotal tests performed separately.</x:v>
      </x:c>
      <x:c r="P1059" s="99" t="str">
        <x:v>49,315,862   49,402,580 
CURRENT ASSETS   
Stores, spare parts and loose tools 25  9,738,717   8,395,610 
Stock-in-trade 26  2,150,183   1,779,404 
Trade debts  27  1,679,704   3,052,130 
Loans and advances 28  481,492   414,470 
Short term investment 29  149,148   75,245 
Short term deposits and prepayments 30  225,040   17</x:v>
      </x:c>
    </x:row>
    <x:row r="1060" ht="82" customHeight="1">
      <x:c r="A1060" s="168" t="str">
        <x:v>MLCF|sit|2021</x:v>
      </x:c>
      <x:c r="B1060" s="168" t="str">
        <x:v>MLCF</x:v>
      </x:c>
      <x:c r="C1060" s="168" t="str">
        <x:v>FY2021</x:v>
      </x:c>
      <x:c r="D1060" s="168" t="str">
        <x:v>Stock-in-trade</x:v>
      </x:c>
      <x:c r="E1060" s="169" t="n">
        <x:v>2150183</x:v>
      </x:c>
      <x:c r="F1060" s="169" t="n">
        <x:v>2150183</x:v>
      </x:c>
      <x:c r="G1060" s="169" t="str">
        <x:v>Rs '000</x:v>
      </x:c>
      <x:c r="H1060" s="169" t="n">
        <x:f>F1060/1000</x:f>
        <x:v>2150.183</x:v>
      </x:c>
      <x:c r="I1060" s="169" t="n">
        <x:f>MLCF!D31</x:f>
        <x:v>2150.183</x:v>
      </x:c>
      <x:c r="J1060" s="169" t="n">
        <x:f>H1060-I1060</x:f>
        <x:v>0</x:v>
      </x:c>
      <x:c r="K1060" s="168" t="str">
        <x:v>2022.pdf</x:v>
      </x:c>
      <x:c r="L1060" s="168" t="n">
        <x:v>184</x:v>
      </x:c>
      <x:c r="M1060" s="168" t="str">
        <x:v>Comparative</x:v>
      </x:c>
      <x:c r="N1060" s="171" t="str">
        <x:v>Printed amount independently located</x:v>
      </x:c>
      <x:c r="O1060" s="171" t="str">
        <x:v>Exact source amount found; audited year/current-comparative column recorded. Accounting subtotal tests performed separately.</x:v>
      </x:c>
      <x:c r="P1060" s="171" t="str">
        <x:v>61,892,221   49,315,862 
CURRENT ASSETS   
Stores, spare parts and loose tools 25  12,853,605   9,738,717 
Stock-in-trade 26  2,695,621   2,150,183 
Trade debts  27  2,066,212   1,679,704 
Loans and advances 28  594,906   481,492 
Short term investment 29  198,346   149,148 
Short term deposits and prepayments 30  542,588   2</x:v>
      </x:c>
    </x:row>
    <x:row r="1061" ht="82" customHeight="1">
      <x:c r="A1061" s="76" t="str">
        <x:v>MLCF|sit|2022</x:v>
      </x:c>
      <x:c r="B1061" s="76" t="str">
        <x:v>MLCF</x:v>
      </x:c>
      <x:c r="C1061" s="76" t="str">
        <x:v>FY2022</x:v>
      </x:c>
      <x:c r="D1061" s="76" t="str">
        <x:v>Stock-in-trade</x:v>
      </x:c>
      <x:c r="E1061" s="170" t="n">
        <x:v>2695621</x:v>
      </x:c>
      <x:c r="F1061" s="170" t="n">
        <x:v>2695621</x:v>
      </x:c>
      <x:c r="G1061" s="170" t="str">
        <x:v>Rs '000</x:v>
      </x:c>
      <x:c r="H1061" s="170" t="n">
        <x:f>F1061/1000</x:f>
        <x:v>2695.621</x:v>
      </x:c>
      <x:c r="I1061" s="170" t="n">
        <x:f>MLCF!E31</x:f>
        <x:v>2695.621</x:v>
      </x:c>
      <x:c r="J1061" s="170" t="n">
        <x:f>H1061-I1061</x:f>
        <x:v>0</x:v>
      </x:c>
      <x:c r="K1061" s="76" t="str">
        <x:v>2023.pdf</x:v>
      </x:c>
      <x:c r="L1061" s="76" t="n">
        <x:v>98</x:v>
      </x:c>
      <x:c r="M1061" s="76" t="str">
        <x:v>Comparative</x:v>
      </x:c>
      <x:c r="N1061" s="99" t="str">
        <x:v>Printed amount independently located</x:v>
      </x:c>
      <x:c r="O1061" s="99" t="str">
        <x:v>Exact source amount found; audited year/current-comparative column recorded. Accounting subtotal tests performed separately.</x:v>
      </x:c>
      <x:c r="P1061" s="99" t="str">
        <x:v>osits 24 58,401 57,600
  67,468,044 61,892,221
CURRENT ASSETS
Stores, spare parts and loose tools 25 9,925,852 12,853,605
Stock-in-trade 26 3,874,605 2,695,621
Trade debts 27 2,600,988 2,066,212
Loans and advances 28 868,404 594,906
Short term investment 29 3,689,556 198,346 
Short term deposits and prepayments 30 482,930 542,588
Accrued</x:v>
      </x:c>
    </x:row>
    <x:row r="1062" ht="82" customHeight="1">
      <x:c r="A1062" s="168" t="str">
        <x:v>MLCF|sit|2023</x:v>
      </x:c>
      <x:c r="B1062" s="168" t="str">
        <x:v>MLCF</x:v>
      </x:c>
      <x:c r="C1062" s="168" t="str">
        <x:v>FY2023</x:v>
      </x:c>
      <x:c r="D1062" s="168" t="str">
        <x:v>Stock-in-trade</x:v>
      </x:c>
      <x:c r="E1062" s="169" t="n">
        <x:v>3874605</x:v>
      </x:c>
      <x:c r="F1062" s="169" t="n">
        <x:v>3874605</x:v>
      </x:c>
      <x:c r="G1062" s="169" t="str">
        <x:v>Rs '000</x:v>
      </x:c>
      <x:c r="H1062" s="169" t="n">
        <x:f>F1062/1000</x:f>
        <x:v>3874.605</x:v>
      </x:c>
      <x:c r="I1062" s="169" t="n">
        <x:f>MLCF!F31</x:f>
        <x:v>3874.605</x:v>
      </x:c>
      <x:c r="J1062" s="169" t="n">
        <x:f>H1062-I1062</x:f>
        <x:v>0</x:v>
      </x:c>
      <x:c r="K1062" s="168" t="str">
        <x:v>2024.pdf</x:v>
      </x:c>
      <x:c r="L1062" s="168" t="n">
        <x:v>190</x:v>
      </x:c>
      <x:c r="M1062" s="168" t="str">
        <x:v>Comparative</x:v>
      </x:c>
      <x:c r="N1062" s="171" t="str">
        <x:v>Printed amount independently located</x:v>
      </x:c>
      <x:c r="O1062" s="171" t="str">
        <x:v>Exact source amount found; audited year/current-comparative column recorded. Accounting subtotal tests performed separately.</x:v>
      </x:c>
      <x:c r="P1062" s="171" t="str">
        <x:v>osits 24 64,209 58,401
  72,497,845 67,468,044
CURRENT ASSETS
Stores, spare parts and loose tools 25 12,277,288 9,925,855
Stock-in-trade 26 3,256,553 3,874,605
Trade debts 27 4,188,745 2,600,985
Loans and advances 28 448,258 868,404
Short term investments 29 4,220,262 3,689,556
Short term deposits and prepayments 30 963,478 482,930
Accru</x:v>
      </x:c>
    </x:row>
    <x:row r="1063" ht="82" customHeight="1">
      <x:c r="A1063" s="76" t="str">
        <x:v>MLCF|sit|2024</x:v>
      </x:c>
      <x:c r="B1063" s="76" t="str">
        <x:v>MLCF</x:v>
      </x:c>
      <x:c r="C1063" s="76" t="str">
        <x:v>FY2024</x:v>
      </x:c>
      <x:c r="D1063" s="76" t="str">
        <x:v>Stock-in-trade</x:v>
      </x:c>
      <x:c r="E1063" s="170" t="n">
        <x:v>3256553</x:v>
      </x:c>
      <x:c r="F1063" s="170" t="n">
        <x:v>3256553</x:v>
      </x:c>
      <x:c r="G1063" s="170" t="str">
        <x:v>Rs '000</x:v>
      </x:c>
      <x:c r="H1063" s="170" t="n">
        <x:f>F1063/1000</x:f>
        <x:v>3256.553</x:v>
      </x:c>
      <x:c r="I1063" s="170" t="n">
        <x:f>MLCF!G31</x:f>
        <x:v>3256.553</x:v>
      </x:c>
      <x:c r="J1063" s="170" t="n">
        <x:f>H1063-I1063</x:f>
        <x:v>0</x:v>
      </x:c>
      <x:c r="K1063" s="76" t="str">
        <x:v>2025.pdf</x:v>
      </x:c>
      <x:c r="L1063" s="76" t="n">
        <x:v>202</x:v>
      </x:c>
      <x:c r="M1063" s="76" t="str">
        <x:v>Comparative</x:v>
      </x:c>
      <x:c r="N1063" s="99" t="str">
        <x:v>Printed amount independently located</x:v>
      </x:c>
      <x:c r="O1063" s="99" t="str">
        <x:v>Exact source amount found; audited year/current-comparative column recorded. Accounting subtotal tests performed separately.</x:v>
      </x:c>
      <x:c r="P1063" s="99" t="str">
        <x:v>64,209 
   83,353,667   72,497,845 
CURRENT ASSETS
Stores, spare parts and loose tools 24  12,461,312   12,277,288 
Stock-in-trade 25  4,442,989   3,256,553 
Trade debts  26  4,610,182   4,188,745 
Loans and advances 27  718,498   448,258 
Short term investments 28  11,102,413   4,220,262 
Short term deposits and prepayments 29  688,6</x:v>
      </x:c>
    </x:row>
    <x:row r="1064" ht="82" customHeight="1">
      <x:c r="A1064" s="168" t="str">
        <x:v>MLCF|sit|2025</x:v>
      </x:c>
      <x:c r="B1064" s="168" t="str">
        <x:v>MLCF</x:v>
      </x:c>
      <x:c r="C1064" s="168" t="str">
        <x:v>FY2025</x:v>
      </x:c>
      <x:c r="D1064" s="168" t="str">
        <x:v>Stock-in-trade</x:v>
      </x:c>
      <x:c r="E1064" s="169" t="n">
        <x:v>4442989</x:v>
      </x:c>
      <x:c r="F1064" s="169" t="n">
        <x:v>4442989</x:v>
      </x:c>
      <x:c r="G1064" s="169" t="str">
        <x:v>Rs '000</x:v>
      </x:c>
      <x:c r="H1064" s="169" t="n">
        <x:f>F1064/1000</x:f>
        <x:v>4442.989</x:v>
      </x:c>
      <x:c r="I1064" s="169" t="n">
        <x:f>MLCF!H31</x:f>
        <x:v>4442.989</x:v>
      </x:c>
      <x:c r="J1064" s="169" t="n">
        <x:f>H1064-I1064</x:f>
        <x:v>0</x:v>
      </x:c>
      <x:c r="K1064" s="168" t="str">
        <x:v>2025.pdf</x:v>
      </x:c>
      <x:c r="L1064" s="168" t="n">
        <x:v>202</x:v>
      </x:c>
      <x:c r="M1064" s="168" t="str">
        <x:v>Current year</x:v>
      </x:c>
      <x:c r="N1064" s="171" t="str">
        <x:v>Printed amount independently located</x:v>
      </x:c>
      <x:c r="O1064" s="171" t="str">
        <x:v>Exact source amount found; audited year/current-comparative column recorded. Accounting subtotal tests performed separately.</x:v>
      </x:c>
      <x:c r="P1064" s="171" t="str">
        <x:v>s 23  67,309   64,209 
   83,353,667   72,497,845 
CURRENT ASSETS
Stores, spare parts and loose tools 24  12,461,312   12,277,288 
Stock-in-trade 25  4,442,989   3,256,553 
Trade debts  26  4,610,182   4,188,745 
Loans and advances 27  718,498   448,258 
Short term investments 28  11,102,413   4,220,262 
Short term deposits and prepaymen</x:v>
      </x:c>
    </x:row>
    <x:row r="1065" ht="82" customHeight="1">
      <x:c r="A1065" s="76" t="str">
        <x:v>MLCF|debts|2020</x:v>
      </x:c>
      <x:c r="B1065" s="76" t="str">
        <x:v>MLCF</x:v>
      </x:c>
      <x:c r="C1065" s="76" t="str">
        <x:v>FY2020</x:v>
      </x:c>
      <x:c r="D1065" s="76" t="str">
        <x:v>Trade debts</x:v>
      </x:c>
      <x:c r="E1065" s="170" t="n">
        <x:v>3052130</x:v>
      </x:c>
      <x:c r="F1065" s="170" t="n">
        <x:v>3052130</x:v>
      </x:c>
      <x:c r="G1065" s="170" t="str">
        <x:v>Rs '000</x:v>
      </x:c>
      <x:c r="H1065" s="170" t="n">
        <x:f>F1065/1000</x:f>
        <x:v>3052.13</x:v>
      </x:c>
      <x:c r="I1065" s="170" t="n">
        <x:f>MLCF!C32</x:f>
        <x:v>3052.13</x:v>
      </x:c>
      <x:c r="J1065" s="170" t="n">
        <x:f>H1065-I1065</x:f>
        <x:v>0</x:v>
      </x:c>
      <x:c r="K1065" s="76" t="str">
        <x:v>2021.pdf</x:v>
      </x:c>
      <x:c r="L1065" s="76" t="n">
        <x:v>163</x:v>
      </x:c>
      <x:c r="M1065" s="76" t="str">
        <x:v>Comparative</x:v>
      </x:c>
      <x:c r="N1065" s="99" t="str">
        <x:v>Printed amount independently located</x:v>
      </x:c>
      <x:c r="O1065" s="99" t="str">
        <x:v>Exact source amount found; audited year/current-comparative column recorded. Accounting subtotal tests performed separately.</x:v>
      </x:c>
      <x:c r="P1065" s="99" t="str">
        <x:v>T ASSETS   
Stores, spare parts and loose tools 25  9,738,717   8,395,610 
Stock-in-trade 26  2,150,183   1,779,404 
Trade debts  27  1,679,704   3,052,130 
Loans and advances 28  481,492   414,470 
Short term investment 29  149,148   75,245 
Short term deposits and prepayments 30  225,040   176,101 
Accrued profit 31  6,061   2,404</x:v>
      </x:c>
    </x:row>
    <x:row r="1066" ht="82" customHeight="1">
      <x:c r="A1066" s="168" t="str">
        <x:v>MLCF|debts|2021</x:v>
      </x:c>
      <x:c r="B1066" s="168" t="str">
        <x:v>MLCF</x:v>
      </x:c>
      <x:c r="C1066" s="168" t="str">
        <x:v>FY2021</x:v>
      </x:c>
      <x:c r="D1066" s="168" t="str">
        <x:v>Trade debts</x:v>
      </x:c>
      <x:c r="E1066" s="169" t="n">
        <x:v>1679704</x:v>
      </x:c>
      <x:c r="F1066" s="169" t="n">
        <x:v>1679704</x:v>
      </x:c>
      <x:c r="G1066" s="169" t="str">
        <x:v>Rs '000</x:v>
      </x:c>
      <x:c r="H1066" s="169" t="n">
        <x:f>F1066/1000</x:f>
        <x:v>1679.704</x:v>
      </x:c>
      <x:c r="I1066" s="169" t="n">
        <x:f>MLCF!D32</x:f>
        <x:v>1679.704</x:v>
      </x:c>
      <x:c r="J1066" s="169" t="n">
        <x:f>H1066-I1066</x:f>
        <x:v>0</x:v>
      </x:c>
      <x:c r="K1066" s="168" t="str">
        <x:v>2022.pdf</x:v>
      </x:c>
      <x:c r="L1066" s="168" t="n">
        <x:v>184</x:v>
      </x:c>
      <x:c r="M1066" s="168" t="str">
        <x:v>Comparative</x:v>
      </x:c>
      <x:c r="N1066" s="171" t="str">
        <x:v>Printed amount independently located</x:v>
      </x:c>
      <x:c r="O1066" s="171" t="str">
        <x:v>Exact source amount found; audited year/current-comparative column recorded. Accounting subtotal tests performed separately.</x:v>
      </x:c>
      <x:c r="P1066" s="171" t="str">
        <x:v>ASSETS   
Stores, spare parts and loose tools 25  12,853,605   9,738,717 
Stock-in-trade 26  2,695,621   2,150,183 
Trade debts  27  2,066,212   1,679,704 
Loans and advances 28  594,906   481,492 
Short term investment 29  198,346   149,148 
Short term deposits and prepayments 30  542,588   225,040 
Accrued profit 31  7,075   6,061</x:v>
      </x:c>
    </x:row>
    <x:row r="1067" ht="82" customHeight="1">
      <x:c r="A1067" s="76" t="str">
        <x:v>MLCF|debts|2022</x:v>
      </x:c>
      <x:c r="B1067" s="76" t="str">
        <x:v>MLCF</x:v>
      </x:c>
      <x:c r="C1067" s="76" t="str">
        <x:v>FY2022</x:v>
      </x:c>
      <x:c r="D1067" s="76" t="str">
        <x:v>Trade debts</x:v>
      </x:c>
      <x:c r="E1067" s="170" t="n">
        <x:v>2066212</x:v>
      </x:c>
      <x:c r="F1067" s="170" t="n">
        <x:v>2066212</x:v>
      </x:c>
      <x:c r="G1067" s="170" t="str">
        <x:v>Rs '000</x:v>
      </x:c>
      <x:c r="H1067" s="170" t="n">
        <x:f>F1067/1000</x:f>
        <x:v>2066.212</x:v>
      </x:c>
      <x:c r="I1067" s="170" t="n">
        <x:f>MLCF!E32</x:f>
        <x:v>2066.212</x:v>
      </x:c>
      <x:c r="J1067" s="170" t="n">
        <x:f>H1067-I1067</x:f>
        <x:v>0</x:v>
      </x:c>
      <x:c r="K1067" s="76" t="str">
        <x:v>2023.pdf</x:v>
      </x:c>
      <x:c r="L1067" s="76" t="n">
        <x:v>98</x:v>
      </x:c>
      <x:c r="M1067" s="76" t="str">
        <x:v>Comparative</x:v>
      </x:c>
      <x:c r="N1067" s="99" t="str">
        <x:v>Printed amount independently located</x:v>
      </x:c>
      <x:c r="O1067" s="99" t="str">
        <x:v>Exact source amount found; audited year/current-comparative column recorded. Accounting subtotal tests performed separately.</x:v>
      </x:c>
      <x:c r="P1067" s="99" t="str">
        <x:v>61,892,221
CURRENT ASSETS
Stores, spare parts and loose tools 25 9,925,852 12,853,605
Stock-in-trade 26 3,874,605 2,695,621
Trade debts 27 2,600,988 2,066,212
Loans and advances 28 868,404 594,906
Short term investment 29 3,689,556 198,346 
Short term deposits and prepayments 30 482,930 542,588
Accrued profit 31 8,792 7,075
Other receiv</x:v>
      </x:c>
    </x:row>
    <x:row r="1068" ht="82" customHeight="1">
      <x:c r="A1068" s="168" t="str">
        <x:v>MLCF|debts|2023</x:v>
      </x:c>
      <x:c r="B1068" s="168" t="str">
        <x:v>MLCF</x:v>
      </x:c>
      <x:c r="C1068" s="168" t="str">
        <x:v>FY2023</x:v>
      </x:c>
      <x:c r="D1068" s="168" t="str">
        <x:v>Trade debts</x:v>
      </x:c>
      <x:c r="E1068" s="169" t="n">
        <x:v>2600985</x:v>
      </x:c>
      <x:c r="F1068" s="169" t="n">
        <x:v>2600985</x:v>
      </x:c>
      <x:c r="G1068" s="169" t="str">
        <x:v>Rs '000</x:v>
      </x:c>
      <x:c r="H1068" s="169" t="n">
        <x:f>F1068/1000</x:f>
        <x:v>2600.985</x:v>
      </x:c>
      <x:c r="I1068" s="169" t="n">
        <x:f>MLCF!F32</x:f>
        <x:v>2600.985</x:v>
      </x:c>
      <x:c r="J1068" s="169" t="n">
        <x:f>H1068-I1068</x:f>
        <x:v>0</x:v>
      </x:c>
      <x:c r="K1068" s="168" t="str">
        <x:v>2024.pdf</x:v>
      </x:c>
      <x:c r="L1068" s="168" t="n">
        <x:v>190</x:v>
      </x:c>
      <x:c r="M1068" s="168" t="str">
        <x:v>Comparative</x:v>
      </x:c>
      <x:c r="N1068" s="171" t="str">
        <x:v>Printed amount independently located</x:v>
      </x:c>
      <x:c r="O1068" s="171" t="str">
        <x:v>Exact source amount found; audited year/current-comparative column recorded. Accounting subtotal tests performed separately.</x:v>
      </x:c>
      <x:c r="P1068" s="171" t="str">
        <x:v>67,468,044
CURRENT ASSETS
Stores, spare parts and loose tools 25 12,277,288 9,925,855
Stock-in-trade 26 3,256,553 3,874,605
Trade debts 27 4,188,745 2,600,985
Loans and advances 28 448,258 868,404
Short term investments 29 4,220,262 3,689,556
Short term deposits and prepayments 30 963,478 482,930
Accrued profit 31 20,333 8,792
Other rec</x:v>
      </x:c>
    </x:row>
    <x:row r="1069" ht="82" customHeight="1">
      <x:c r="A1069" s="76" t="str">
        <x:v>MLCF|debts|2024</x:v>
      </x:c>
      <x:c r="B1069" s="76" t="str">
        <x:v>MLCF</x:v>
      </x:c>
      <x:c r="C1069" s="76" t="str">
        <x:v>FY2024</x:v>
      </x:c>
      <x:c r="D1069" s="76" t="str">
        <x:v>Trade debts</x:v>
      </x:c>
      <x:c r="E1069" s="170" t="n">
        <x:v>4188745</x:v>
      </x:c>
      <x:c r="F1069" s="170" t="n">
        <x:v>4188745</x:v>
      </x:c>
      <x:c r="G1069" s="170" t="str">
        <x:v>Rs '000</x:v>
      </x:c>
      <x:c r="H1069" s="170" t="n">
        <x:f>F1069/1000</x:f>
        <x:v>4188.745</x:v>
      </x:c>
      <x:c r="I1069" s="170" t="n">
        <x:f>MLCF!G32</x:f>
        <x:v>4188.745</x:v>
      </x:c>
      <x:c r="J1069" s="170" t="n">
        <x:f>H1069-I1069</x:f>
        <x:v>0</x:v>
      </x:c>
      <x:c r="K1069" s="76" t="str">
        <x:v>2025.pdf</x:v>
      </x:c>
      <x:c r="L1069" s="76" t="n">
        <x:v>202</x:v>
      </x:c>
      <x:c r="M1069" s="76" t="str">
        <x:v>Comparative</x:v>
      </x:c>
      <x:c r="N1069" s="99" t="str">
        <x:v>Printed amount independently located</x:v>
      </x:c>
      <x:c r="O1069" s="99" t="str">
        <x:v>Exact source amount found; audited year/current-comparative column recorded. Accounting subtotal tests performed separately.</x:v>
      </x:c>
      <x:c r="P1069" s="99" t="str">
        <x:v>URRENT ASSETS
Stores, spare parts and loose tools 24  12,461,312   12,277,288 
Stock-in-trade 25  4,442,989   3,256,553 
Trade debts  26  4,610,182   4,188,745 
Loans and advances 27  718,498   448,258 
Short term investments 28  11,102,413   4,220,262 
Short term deposits and prepayments 29  688,697   963,478 
Accrued profit 30  42,880</x:v>
      </x:c>
    </x:row>
    <x:row r="1070" ht="82" customHeight="1">
      <x:c r="A1070" s="168" t="str">
        <x:v>MLCF|debts|2025</x:v>
      </x:c>
      <x:c r="B1070" s="168" t="str">
        <x:v>MLCF</x:v>
      </x:c>
      <x:c r="C1070" s="168" t="str">
        <x:v>FY2025</x:v>
      </x:c>
      <x:c r="D1070" s="168" t="str">
        <x:v>Trade debts</x:v>
      </x:c>
      <x:c r="E1070" s="169" t="n">
        <x:v>4610182</x:v>
      </x:c>
      <x:c r="F1070" s="169" t="n">
        <x:v>4610182</x:v>
      </x:c>
      <x:c r="G1070" s="169" t="str">
        <x:v>Rs '000</x:v>
      </x:c>
      <x:c r="H1070" s="169" t="n">
        <x:f>F1070/1000</x:f>
        <x:v>4610.182</x:v>
      </x:c>
      <x:c r="I1070" s="169" t="n">
        <x:f>MLCF!H32</x:f>
        <x:v>4610.182</x:v>
      </x:c>
      <x:c r="J1070" s="169" t="n">
        <x:f>H1070-I1070</x:f>
        <x:v>0</x:v>
      </x:c>
      <x:c r="K1070" s="168" t="str">
        <x:v>2025.pdf</x:v>
      </x:c>
      <x:c r="L1070" s="168" t="n">
        <x:v>202</x:v>
      </x:c>
      <x:c r="M1070" s="168" t="str">
        <x:v>Current year</x:v>
      </x:c>
      <x:c r="N1070" s="171" t="str">
        <x:v>Printed amount independently located</x:v>
      </x:c>
      <x:c r="O1070" s="171" t="str">
        <x:v>Exact source amount found; audited year/current-comparative column recorded. Accounting subtotal tests performed separately.</x:v>
      </x:c>
      <x:c r="P1070" s="171" t="str">
        <x:v>2,497,845 
CURRENT ASSETS
Stores, spare parts and loose tools 24  12,461,312   12,277,288 
Stock-in-trade 25  4,442,989   3,256,553 
Trade debts  26  4,610,182   4,188,745 
Loans and advances 27  718,498   448,258 
Short term investments 28  11,102,413   4,220,262 
Short term deposits and prepayments 29  688,697   963,478 
Accrued profit</x:v>
      </x:c>
    </x:row>
    <x:row r="1071" ht="82" customHeight="1">
      <x:c r="A1071" s="76" t="str">
        <x:v>MLCF|st_inv|2020</x:v>
      </x:c>
      <x:c r="B1071" s="76" t="str">
        <x:v>MLCF</x:v>
      </x:c>
      <x:c r="C1071" s="76" t="str">
        <x:v>FY2020</x:v>
      </x:c>
      <x:c r="D1071" s="76" t="str">
        <x:v>Short-term investments</x:v>
      </x:c>
      <x:c r="E1071" s="170" t="n">
        <x:v>75245</x:v>
      </x:c>
      <x:c r="F1071" s="170" t="n">
        <x:v>75245</x:v>
      </x:c>
      <x:c r="G1071" s="170" t="str">
        <x:v>Rs '000</x:v>
      </x:c>
      <x:c r="H1071" s="170" t="n">
        <x:f>F1071/1000</x:f>
        <x:v>75.245</x:v>
      </x:c>
      <x:c r="I1071" s="170" t="n">
        <x:f>MLCF!C33</x:f>
        <x:v>75.245</x:v>
      </x:c>
      <x:c r="J1071" s="170" t="n">
        <x:f>H1071-I1071</x:f>
        <x:v>0</x:v>
      </x:c>
      <x:c r="K1071" s="76" t="str">
        <x:v>2021.pdf</x:v>
      </x:c>
      <x:c r="L1071" s="76" t="n">
        <x:v>163</x:v>
      </x:c>
      <x:c r="M1071" s="76" t="str">
        <x:v>Comparative</x:v>
      </x:c>
      <x:c r="N1071" s="99" t="str">
        <x:v>Printed amount independently located</x:v>
      </x:c>
      <x:c r="O1071" s="99" t="str">
        <x:v>Exact source amount found; audited year/current-comparative column recorded. Accounting subtotal tests performed separately.</x:v>
      </x:c>
      <x:c r="P1071" s="99" t="str">
        <x:v>rade 26  2,150,183   1,779,404 
Trade debts  27  1,679,704   3,052,130 
Loans and advances 28  481,492   414,470 
Short term investment 29  149,148   75,245 
Short term deposits and prepayments 30  225,040   176,101 
Accrued profit 31  6,061   2,404 
Other receivables 32  165,835   35,256 
Advance income tax - net of provision 33  1,8</x:v>
      </x:c>
    </x:row>
    <x:row r="1072" ht="82" customHeight="1">
      <x:c r="A1072" s="168" t="str">
        <x:v>MLCF|st_inv|2021</x:v>
      </x:c>
      <x:c r="B1072" s="168" t="str">
        <x:v>MLCF</x:v>
      </x:c>
      <x:c r="C1072" s="168" t="str">
        <x:v>FY2021</x:v>
      </x:c>
      <x:c r="D1072" s="168" t="str">
        <x:v>Short-term investments</x:v>
      </x:c>
      <x:c r="E1072" s="169" t="n">
        <x:v>149148</x:v>
      </x:c>
      <x:c r="F1072" s="169" t="n">
        <x:v>149148</x:v>
      </x:c>
      <x:c r="G1072" s="169" t="str">
        <x:v>Rs '000</x:v>
      </x:c>
      <x:c r="H1072" s="169" t="n">
        <x:f>F1072/1000</x:f>
        <x:v>149.148</x:v>
      </x:c>
      <x:c r="I1072" s="169" t="n">
        <x:f>MLCF!D33</x:f>
        <x:v>149.148</x:v>
      </x:c>
      <x:c r="J1072" s="169" t="n">
        <x:f>H1072-I1072</x:f>
        <x:v>0</x:v>
      </x:c>
      <x:c r="K1072" s="168" t="str">
        <x:v>2022.pdf</x:v>
      </x:c>
      <x:c r="L1072" s="168" t="n">
        <x:v>184</x:v>
      </x:c>
      <x:c r="M1072" s="168" t="str">
        <x:v>Comparative</x:v>
      </x:c>
      <x:c r="N1072" s="171" t="str">
        <x:v>Printed amount independently located</x:v>
      </x:c>
      <x:c r="O1072" s="171" t="str">
        <x:v>Exact source amount found; audited year/current-comparative column recorded. Accounting subtotal tests performed separately.</x:v>
      </x:c>
      <x:c r="P1072" s="171" t="str">
        <x:v>rade 26  2,695,621   2,150,183 
Trade debts  27  2,066,212   1,679,704 
Loans and advances 28  594,906   481,492 
Short term investment 29  198,346   149,148 
Short term deposits and prepayments 30  542,588   225,040 
Accrued profit 31  7,075   6,061 
Other receivables 32  52,261   165,835 
Advance income tax - net of provision 33  517</x:v>
      </x:c>
    </x:row>
    <x:row r="1073" ht="82" customHeight="1">
      <x:c r="A1073" s="76" t="str">
        <x:v>MLCF|st_inv|2022</x:v>
      </x:c>
      <x:c r="B1073" s="76" t="str">
        <x:v>MLCF</x:v>
      </x:c>
      <x:c r="C1073" s="76" t="str">
        <x:v>FY2022</x:v>
      </x:c>
      <x:c r="D1073" s="76" t="str">
        <x:v>Short-term investments</x:v>
      </x:c>
      <x:c r="E1073" s="170" t="n">
        <x:v>198346</x:v>
      </x:c>
      <x:c r="F1073" s="170" t="n">
        <x:v>198346</x:v>
      </x:c>
      <x:c r="G1073" s="170" t="str">
        <x:v>Rs '000</x:v>
      </x:c>
      <x:c r="H1073" s="170" t="n">
        <x:f>F1073/1000</x:f>
        <x:v>198.346</x:v>
      </x:c>
      <x:c r="I1073" s="170" t="n">
        <x:f>MLCF!E33</x:f>
        <x:v>198.346</x:v>
      </x:c>
      <x:c r="J1073" s="170" t="n">
        <x:f>H1073-I1073</x:f>
        <x:v>0</x:v>
      </x:c>
      <x:c r="K1073" s="76" t="str">
        <x:v>2023.pdf</x:v>
      </x:c>
      <x:c r="L1073" s="76" t="n">
        <x:v>98</x:v>
      </x:c>
      <x:c r="M1073" s="76" t="str">
        <x:v>Comparative</x:v>
      </x:c>
      <x:c r="N1073" s="99" t="str">
        <x:v>Printed amount independently located</x:v>
      </x:c>
      <x:c r="O1073" s="99" t="str">
        <x:v>Exact source amount found; audited year/current-comparative column recorded. Accounting subtotal tests performed separately.</x:v>
      </x:c>
      <x:c r="P1073" s="99" t="str">
        <x:v>605
Stock-in-trade 26 3,874,605 2,695,621
Trade debts 27 2,600,988 2,066,212
Loans and advances 28 868,404 594,906
Short term investment 29 3,689,556 198,346 
Short term deposits and prepayments 30 482,930 542,588
Accrued profit 31 8,792 7,075
Other receivables 32 22,531 52,261
Advance income tax - net of provision 33 25,302 517,799
Ca</x:v>
      </x:c>
    </x:row>
    <x:row r="1074" ht="82" customHeight="1">
      <x:c r="A1074" s="168" t="str">
        <x:v>MLCF|st_inv|2023</x:v>
      </x:c>
      <x:c r="B1074" s="168" t="str">
        <x:v>MLCF</x:v>
      </x:c>
      <x:c r="C1074" s="168" t="str">
        <x:v>FY2023</x:v>
      </x:c>
      <x:c r="D1074" s="168" t="str">
        <x:v>Short-term investments</x:v>
      </x:c>
      <x:c r="E1074" s="169" t="n">
        <x:v>3689556</x:v>
      </x:c>
      <x:c r="F1074" s="169" t="n">
        <x:v>3689556</x:v>
      </x:c>
      <x:c r="G1074" s="169" t="str">
        <x:v>Rs '000</x:v>
      </x:c>
      <x:c r="H1074" s="169" t="n">
        <x:f>F1074/1000</x:f>
        <x:v>3689.556</x:v>
      </x:c>
      <x:c r="I1074" s="169" t="n">
        <x:f>MLCF!F33</x:f>
        <x:v>3689.556</x:v>
      </x:c>
      <x:c r="J1074" s="169" t="n">
        <x:f>H1074-I1074</x:f>
        <x:v>0</x:v>
      </x:c>
      <x:c r="K1074" s="168" t="str">
        <x:v>2024.pdf</x:v>
      </x:c>
      <x:c r="L1074" s="168" t="n">
        <x:v>190</x:v>
      </x:c>
      <x:c r="M1074" s="168" t="str">
        <x:v>Comparative</x:v>
      </x:c>
      <x:c r="N1074" s="171" t="str">
        <x:v>Printed amount independently located</x:v>
      </x:c>
      <x:c r="O1074" s="171" t="str">
        <x:v>Exact source amount found; audited year/current-comparative column recorded. Accounting subtotal tests performed separately.</x:v>
      </x:c>
      <x:c r="P1074" s="171" t="str">
        <x:v>55
Stock-in-trade 26 3,256,553 3,874,605
Trade debts 27 4,188,745 2,600,985
Loans and advances 28 448,258 868,404
Short term investments 29 4,220,262 3,689,556
Short term deposits and prepayments 30 963,478 482,930
Accrued profit 31 20,333 8,792
Other receivables 32 132,093 22,531
Advance income tax 33 227,415 25,302
Cash and bank balanc</x:v>
      </x:c>
    </x:row>
    <x:row r="1075" ht="82" customHeight="1">
      <x:c r="A1075" s="76" t="str">
        <x:v>MLCF|st_inv|2024</x:v>
      </x:c>
      <x:c r="B1075" s="76" t="str">
        <x:v>MLCF</x:v>
      </x:c>
      <x:c r="C1075" s="76" t="str">
        <x:v>FY2024</x:v>
      </x:c>
      <x:c r="D1075" s="76" t="str">
        <x:v>Short-term investments</x:v>
      </x:c>
      <x:c r="E1075" s="170" t="n">
        <x:v>4220262</x:v>
      </x:c>
      <x:c r="F1075" s="170" t="n">
        <x:v>4220262</x:v>
      </x:c>
      <x:c r="G1075" s="170" t="str">
        <x:v>Rs '000</x:v>
      </x:c>
      <x:c r="H1075" s="170" t="n">
        <x:f>F1075/1000</x:f>
        <x:v>4220.262</x:v>
      </x:c>
      <x:c r="I1075" s="170" t="n">
        <x:f>MLCF!G33</x:f>
        <x:v>4220.262</x:v>
      </x:c>
      <x:c r="J1075" s="170" t="n">
        <x:f>H1075-I1075</x:f>
        <x:v>0</x:v>
      </x:c>
      <x:c r="K1075" s="76" t="str">
        <x:v>2025.pdf</x:v>
      </x:c>
      <x:c r="L1075" s="76" t="n">
        <x:v>202</x:v>
      </x:c>
      <x:c r="M1075" s="76" t="str">
        <x:v>Comparative</x:v>
      </x:c>
      <x:c r="N1075" s="99" t="str">
        <x:v>Printed amount independently located</x:v>
      </x:c>
      <x:c r="O1075" s="99" t="str">
        <x:v>Exact source amount found; audited year/current-comparative column recorded. Accounting subtotal tests performed separately.</x:v>
      </x:c>
      <x:c r="P1075" s="99" t="str">
        <x:v>25  4,442,989   3,256,553 
Trade debts  26  4,610,182   4,188,745 
Loans and advances 27  718,498   448,258 
Short term investments 28  11,102,413   4,220,262 
Short term deposits and prepayments 29  688,697   963,478 
Accrued profit 30  42,880   20,333 
Other receivables 31  70,152   132,093 
Advance income tax 32  -     227,415 
Cash</x:v>
      </x:c>
    </x:row>
    <x:row r="1076" ht="82" customHeight="1">
      <x:c r="A1076" s="168" t="str">
        <x:v>MLCF|st_inv|2025</x:v>
      </x:c>
      <x:c r="B1076" s="168" t="str">
        <x:v>MLCF</x:v>
      </x:c>
      <x:c r="C1076" s="168" t="str">
        <x:v>FY2025</x:v>
      </x:c>
      <x:c r="D1076" s="168" t="str">
        <x:v>Short-term investments</x:v>
      </x:c>
      <x:c r="E1076" s="169" t="n">
        <x:v>11102413</x:v>
      </x:c>
      <x:c r="F1076" s="169" t="n">
        <x:v>11102413</x:v>
      </x:c>
      <x:c r="G1076" s="169" t="str">
        <x:v>Rs '000</x:v>
      </x:c>
      <x:c r="H1076" s="169" t="n">
        <x:f>F1076/1000</x:f>
        <x:v>11102.413</x:v>
      </x:c>
      <x:c r="I1076" s="169" t="n">
        <x:f>MLCF!H33</x:f>
        <x:v>11102.413</x:v>
      </x:c>
      <x:c r="J1076" s="169" t="n">
        <x:f>H1076-I1076</x:f>
        <x:v>0</x:v>
      </x:c>
      <x:c r="K1076" s="168" t="str">
        <x:v>2025.pdf</x:v>
      </x:c>
      <x:c r="L1076" s="168" t="n">
        <x:v>202</x:v>
      </x:c>
      <x:c r="M1076" s="168" t="str">
        <x:v>Current year</x:v>
      </x:c>
      <x:c r="N1076" s="171" t="str">
        <x:v>Printed amount independently located</x:v>
      </x:c>
      <x:c r="O1076" s="171" t="str">
        <x:v>Exact source amount found; audited year/current-comparative column recorded. Accounting subtotal tests performed separately.</x:v>
      </x:c>
      <x:c r="P1076" s="171" t="str">
        <x:v>tock-in-trade 25  4,442,989   3,256,553 
Trade debts  26  4,610,182   4,188,745 
Loans and advances 27  718,498   448,258 
Short term investments 28  11,102,413   4,220,262 
Short term deposits and prepayments 29  688,697   963,478 
Accrued profit 30  42,880   20,333 
Other receivables 31  70,152   132,093 
Advance income tax 32  -     22</x:v>
      </x:c>
    </x:row>
    <x:row r="1077" ht="82" customHeight="1">
      <x:c r="A1077" s="76" t="str">
        <x:v>MLCF|cash|2020</x:v>
      </x:c>
      <x:c r="B1077" s="76" t="str">
        <x:v>MLCF</x:v>
      </x:c>
      <x:c r="C1077" s="76" t="str">
        <x:v>FY2020</x:v>
      </x:c>
      <x:c r="D1077" s="76" t="str">
        <x:v>Cash and bank balances</x:v>
      </x:c>
      <x:c r="E1077" s="170" t="n">
        <x:v>1046267</x:v>
      </x:c>
      <x:c r="F1077" s="170" t="n">
        <x:v>1046267</x:v>
      </x:c>
      <x:c r="G1077" s="170" t="str">
        <x:v>Rs '000</x:v>
      </x:c>
      <x:c r="H1077" s="170" t="n">
        <x:f>F1077/1000</x:f>
        <x:v>1046.267</x:v>
      </x:c>
      <x:c r="I1077" s="170" t="n">
        <x:f>MLCF!C34</x:f>
        <x:v>1046.267</x:v>
      </x:c>
      <x:c r="J1077" s="170" t="n">
        <x:f>H1077-I1077</x:f>
        <x:v>0</x:v>
      </x:c>
      <x:c r="K1077" s="76" t="str">
        <x:v>2021.pdf</x:v>
      </x:c>
      <x:c r="L1077" s="76" t="n">
        <x:v>163</x:v>
      </x:c>
      <x:c r="M1077" s="76" t="str">
        <x:v>Comparative</x:v>
      </x:c>
      <x:c r="N1077" s="99" t="str">
        <x:v>Printed amount independently located</x:v>
      </x:c>
      <x:c r="O1077" s="99" t="str">
        <x:v>Exact source amount found; audited year/current-comparative column recorded. Accounting subtotal tests performed separately.</x:v>
      </x:c>
      <x:c r="P1077" s="99" t="str">
        <x:v>2,404 
Other receivables 32  165,835   35,256 
Advance income tax - net of provision 33  1,836,907   1,630,304 
Cash and bank balances 34  490,329   1,046,267 
    16,923,416   16,607,191 
    66,239,278   66,009,771   
CHIEF FINANCIAL OFFICER DIRECTOR
CHIEF EXECUTIVE OFFICER</x:v>
      </x:c>
    </x:row>
    <x:row r="1078" ht="82" customHeight="1">
      <x:c r="A1078" s="168" t="str">
        <x:v>MLCF|cash|2021</x:v>
      </x:c>
      <x:c r="B1078" s="168" t="str">
        <x:v>MLCF</x:v>
      </x:c>
      <x:c r="C1078" s="168" t="str">
        <x:v>FY2021</x:v>
      </x:c>
      <x:c r="D1078" s="168" t="str">
        <x:v>Cash and bank balances</x:v>
      </x:c>
      <x:c r="E1078" s="169" t="n">
        <x:v>490329</x:v>
      </x:c>
      <x:c r="F1078" s="169" t="n">
        <x:v>490329</x:v>
      </x:c>
      <x:c r="G1078" s="169" t="str">
        <x:v>Rs '000</x:v>
      </x:c>
      <x:c r="H1078" s="169" t="n">
        <x:f>F1078/1000</x:f>
        <x:v>490.329</x:v>
      </x:c>
      <x:c r="I1078" s="169" t="n">
        <x:f>MLCF!D34</x:f>
        <x:v>490.329</x:v>
      </x:c>
      <x:c r="J1078" s="169" t="n">
        <x:f>H1078-I1078</x:f>
        <x:v>0</x:v>
      </x:c>
      <x:c r="K1078" s="168" t="str">
        <x:v>2022.pdf</x:v>
      </x:c>
      <x:c r="L1078" s="168" t="n">
        <x:v>184</x:v>
      </x:c>
      <x:c r="M1078" s="168" t="str">
        <x:v>Comparative</x:v>
      </x:c>
      <x:c r="N1078" s="171" t="str">
        <x:v>Printed amount independently located</x:v>
      </x:c>
      <x:c r="O1078" s="171" t="str">
        <x:v>Exact source amount found; audited year/current-comparative column recorded. Accounting subtotal tests performed separately.</x:v>
      </x:c>
      <x:c r="P1078" s="171" t="str">
        <x:v>6,061 
Other receivables 32  52,261   165,835 
Advance income tax - net of provision 33  517,799   1,836,907 
Cash and bank balances 34  793,576   490,329 
   20,321,989   16,923,416 
   82,214,210   66,239,278 
CHIEF FINANCIAL OFFICER DIRECTOR
CHIEF EXECUTIVE OFFICER</x:v>
      </x:c>
    </x:row>
    <x:row r="1079" ht="82" customHeight="1">
      <x:c r="A1079" s="76" t="str">
        <x:v>MLCF|cash|2022</x:v>
      </x:c>
      <x:c r="B1079" s="76" t="str">
        <x:v>MLCF</x:v>
      </x:c>
      <x:c r="C1079" s="76" t="str">
        <x:v>FY2022</x:v>
      </x:c>
      <x:c r="D1079" s="76" t="str">
        <x:v>Cash and bank balances</x:v>
      </x:c>
      <x:c r="E1079" s="170" t="n">
        <x:v>793576</x:v>
      </x:c>
      <x:c r="F1079" s="170" t="n">
        <x:v>793576</x:v>
      </x:c>
      <x:c r="G1079" s="170" t="str">
        <x:v>Rs '000</x:v>
      </x:c>
      <x:c r="H1079" s="170" t="n">
        <x:f>F1079/1000</x:f>
        <x:v>793.576</x:v>
      </x:c>
      <x:c r="I1079" s="170" t="n">
        <x:f>MLCF!E34</x:f>
        <x:v>793.576</x:v>
      </x:c>
      <x:c r="J1079" s="170" t="n">
        <x:f>H1079-I1079</x:f>
        <x:v>0</x:v>
      </x:c>
      <x:c r="K1079" s="76" t="str">
        <x:v>2023.pdf</x:v>
      </x:c>
      <x:c r="L1079" s="76" t="n">
        <x:v>98</x:v>
      </x:c>
      <x:c r="M1079" s="76" t="str">
        <x:v>Comparative</x:v>
      </x:c>
      <x:c r="N1079" s="99" t="str">
        <x:v>Printed amount independently located</x:v>
      </x:c>
      <x:c r="O1079" s="99" t="str">
        <x:v>Exact source amount found; audited year/current-comparative column recorded. Accounting subtotal tests performed separately.</x:v>
      </x:c>
      <x:c r="P1079" s="99" t="str">
        <x:v>ed profit 31 8,792 7,075
Other receivables 32 22,531 52,261
Advance income tax - net of provision 33 25,302 517,799
Cash and bank balances 34 740,707 793,576
  22,239,667 20,321,989
  89,707,711 82,214,210
CHIEF FINANCIAL OFFICERDIRECTOR DIRECTOR</x:v>
      </x:c>
    </x:row>
    <x:row r="1080" ht="82" customHeight="1">
      <x:c r="A1080" s="168" t="str">
        <x:v>MLCF|cash|2023</x:v>
      </x:c>
      <x:c r="B1080" s="168" t="str">
        <x:v>MLCF</x:v>
      </x:c>
      <x:c r="C1080" s="168" t="str">
        <x:v>FY2023</x:v>
      </x:c>
      <x:c r="D1080" s="168" t="str">
        <x:v>Cash and bank balances</x:v>
      </x:c>
      <x:c r="E1080" s="169" t="n">
        <x:v>740707</x:v>
      </x:c>
      <x:c r="F1080" s="169" t="n">
        <x:v>740707</x:v>
      </x:c>
      <x:c r="G1080" s="169" t="str">
        <x:v>Rs '000</x:v>
      </x:c>
      <x:c r="H1080" s="169" t="n">
        <x:f>F1080/1000</x:f>
        <x:v>740.707</x:v>
      </x:c>
      <x:c r="I1080" s="169" t="n">
        <x:f>MLCF!F34</x:f>
        <x:v>740.707</x:v>
      </x:c>
      <x:c r="J1080" s="169" t="n">
        <x:f>H1080-I1080</x:f>
        <x:v>0</x:v>
      </x:c>
      <x:c r="K1080" s="168" t="str">
        <x:v>2024.pdf</x:v>
      </x:c>
      <x:c r="L1080" s="168" t="n">
        <x:v>190</x:v>
      </x:c>
      <x:c r="M1080" s="168" t="str">
        <x:v>Comparative</x:v>
      </x:c>
      <x:c r="N1080" s="171" t="str">
        <x:v>Printed amount independently located</x:v>
      </x:c>
      <x:c r="O1080" s="171" t="str">
        <x:v>Exact source amount found; audited year/current-comparative column recorded. Accounting subtotal tests performed separately.</x:v>
      </x:c>
      <x:c r="P1080" s="171" t="str">
        <x:v>8 482,930
Accrued profit 31 20,333 8,792
Other receivables 32 132,093 22,531
Advance income tax 33 227,415 25,302
Cash and bank balances 34 1,133,412 740,707
  26,867,837 22,239,667
  99,365,682 89,707,711
CHIEF FINANCIAL OFFICERDIRECTOR DIRECTOR</x:v>
      </x:c>
    </x:row>
    <x:row r="1081" ht="82" customHeight="1">
      <x:c r="A1081" s="76" t="str">
        <x:v>MLCF|cash|2024</x:v>
      </x:c>
      <x:c r="B1081" s="76" t="str">
        <x:v>MLCF</x:v>
      </x:c>
      <x:c r="C1081" s="76" t="str">
        <x:v>FY2024</x:v>
      </x:c>
      <x:c r="D1081" s="76" t="str">
        <x:v>Cash and bank balances</x:v>
      </x:c>
      <x:c r="E1081" s="170" t="n">
        <x:v>1133412</x:v>
      </x:c>
      <x:c r="F1081" s="170" t="n">
        <x:v>1133412</x:v>
      </x:c>
      <x:c r="G1081" s="170" t="str">
        <x:v>Rs '000</x:v>
      </x:c>
      <x:c r="H1081" s="170" t="n">
        <x:f>F1081/1000</x:f>
        <x:v>1133.412</x:v>
      </x:c>
      <x:c r="I1081" s="170" t="n">
        <x:f>MLCF!G34</x:f>
        <x:v>1133.412</x:v>
      </x:c>
      <x:c r="J1081" s="170" t="n">
        <x:f>H1081-I1081</x:f>
        <x:v>0</x:v>
      </x:c>
      <x:c r="K1081" s="76" t="str">
        <x:v>2025.pdf</x:v>
      </x:c>
      <x:c r="L1081" s="76" t="n">
        <x:v>202</x:v>
      </x:c>
      <x:c r="M1081" s="76" t="str">
        <x:v>Comparative</x:v>
      </x:c>
      <x:c r="N1081" s="99" t="str">
        <x:v>Printed amount independently located</x:v>
      </x:c>
      <x:c r="O1081" s="99" t="str">
        <x:v>Exact source amount found; audited year/current-comparative column recorded. Accounting subtotal tests performed separately.</x:v>
      </x:c>
      <x:c r="P1081" s="99" t="str">
        <x:v>rued profit 30  42,880   20,333 
Other receivables 31  70,152   132,093 
Advance income tax 32  -     227,415 
Cash and bank balances 33  1,615,481   1,133,412 
   35,752,604   26,867,837 
   119,106,271   99,365,682 
CHIEF FINANCIAL OFFICERDIRECTOR DIRECTOR</x:v>
      </x:c>
    </x:row>
    <x:row r="1082" ht="82" customHeight="1">
      <x:c r="A1082" s="168" t="str">
        <x:v>MLCF|cash|2025</x:v>
      </x:c>
      <x:c r="B1082" s="168" t="str">
        <x:v>MLCF</x:v>
      </x:c>
      <x:c r="C1082" s="168" t="str">
        <x:v>FY2025</x:v>
      </x:c>
      <x:c r="D1082" s="168" t="str">
        <x:v>Cash and bank balances</x:v>
      </x:c>
      <x:c r="E1082" s="169" t="n">
        <x:v>1615481</x:v>
      </x:c>
      <x:c r="F1082" s="169" t="n">
        <x:v>1615481</x:v>
      </x:c>
      <x:c r="G1082" s="169" t="str">
        <x:v>Rs '000</x:v>
      </x:c>
      <x:c r="H1082" s="169" t="n">
        <x:f>F1082/1000</x:f>
        <x:v>1615.481</x:v>
      </x:c>
      <x:c r="I1082" s="169" t="n">
        <x:f>MLCF!H34</x:f>
        <x:v>1615.481</x:v>
      </x:c>
      <x:c r="J1082" s="169" t="n">
        <x:f>H1082-I1082</x:f>
        <x:v>0</x:v>
      </x:c>
      <x:c r="K1082" s="168" t="str">
        <x:v>2025.pdf</x:v>
      </x:c>
      <x:c r="L1082" s="168" t="n">
        <x:v>202</x:v>
      </x:c>
      <x:c r="M1082" s="168" t="str">
        <x:v>Current year</x:v>
      </x:c>
      <x:c r="N1082" s="171" t="str">
        <x:v>Printed amount independently located</x:v>
      </x:c>
      <x:c r="O1082" s="171" t="str">
        <x:v>Exact source amount found; audited year/current-comparative column recorded. Accounting subtotal tests performed separately.</x:v>
      </x:c>
      <x:c r="P1082" s="171" t="str">
        <x:v>963,478 
Accrued profit 30  42,880   20,333 
Other receivables 31  70,152   132,093 
Advance income tax 32  -     227,415 
Cash and bank balances 33  1,615,481   1,133,412 
   35,752,604   26,867,837 
   119,106,271   99,365,682 
CHIEF FINANCIAL OFFICERDIRECTOR DIRECTOR</x:v>
      </x:c>
    </x:row>
    <x:row r="1083" ht="82" customHeight="1">
      <x:c r="A1083" s="76" t="str">
        <x:v>MLCF|ca_other|2020</x:v>
      </x:c>
      <x:c r="B1083" s="76" t="str">
        <x:v>MLCF</x:v>
      </x:c>
      <x:c r="C1083" s="76" t="str">
        <x:v>FY2020</x:v>
      </x:c>
      <x:c r="D1083" s="76" t="str">
        <x:v>Other current assets</x:v>
      </x:c>
      <x:c r="E1083" s="170" t="n">
        <x:v>2258535</x:v>
      </x:c>
      <x:c r="F1083" s="170" t="n">
        <x:v>2258535</x:v>
      </x:c>
      <x:c r="G1083" s="170" t="str">
        <x:v>Rs '000</x:v>
      </x:c>
      <x:c r="H1083" s="170" t="n">
        <x:f>F1083/1000</x:f>
        <x:v>2258.535</x:v>
      </x:c>
      <x:c r="I1083" s="170" t="n">
        <x:f>MLCF!C35</x:f>
        <x:v>2258.535</x:v>
      </x:c>
      <x:c r="J1083" s="170" t="n">
        <x:f>H1083-I1083</x:f>
        <x:v>0</x:v>
      </x:c>
      <x:c r="K1083" s="76" t="str">
        <x:v>2021.pdf</x:v>
      </x:c>
      <x:c r="L1083" s="76" t="n">
        <x:v>163</x:v>
      </x:c>
      <x:c r="M1083" s="76" t="str">
        <x:v>Comparative</x:v>
      </x:c>
      <x:c r="N1083" s="99" t="str">
        <x:v>Aggregated audited components</x:v>
      </x:c>
      <x:c r="O1083" s="99" t="str">
        <x:v>Source-labelled component sum; statement controls and signed-unit conversion independently recomputed.</x:v>
      </x:c>
      <x:c r="P1083" s="99" t="str">
        <x:v>
161
   2021 2020
  Note (Rupees in thousand) 
ASSETS   
NON - CURRENT ASSETS   
Property, plant and equipment 20  44,215,539   44,297,941 
Intangible assets 21  6,017  | Components: Accrued profit; Advance income tax - net of provision; Loans and advances; Other receivables; Short term deposits and pr</x:v>
      </x:c>
    </x:row>
    <x:row r="1084" ht="82" customHeight="1">
      <x:c r="A1084" s="168" t="str">
        <x:v>MLCF|ca_other|2021</x:v>
      </x:c>
      <x:c r="B1084" s="168" t="str">
        <x:v>MLCF</x:v>
      </x:c>
      <x:c r="C1084" s="168" t="str">
        <x:v>FY2021</x:v>
      </x:c>
      <x:c r="D1084" s="168" t="str">
        <x:v>Other current assets</x:v>
      </x:c>
      <x:c r="E1084" s="169" t="n">
        <x:v>2715335</x:v>
      </x:c>
      <x:c r="F1084" s="169" t="n">
        <x:v>2715335</x:v>
      </x:c>
      <x:c r="G1084" s="169" t="str">
        <x:v>Rs '000</x:v>
      </x:c>
      <x:c r="H1084" s="169" t="n">
        <x:f>F1084/1000</x:f>
        <x:v>2715.335</x:v>
      </x:c>
      <x:c r="I1084" s="169" t="n">
        <x:f>MLCF!D35</x:f>
        <x:v>2715.335</x:v>
      </x:c>
      <x:c r="J1084" s="169" t="n">
        <x:f>H1084-I1084</x:f>
        <x:v>0</x:v>
      </x:c>
      <x:c r="K1084" s="168" t="str">
        <x:v>2022.pdf</x:v>
      </x:c>
      <x:c r="L1084" s="168" t="n">
        <x:v>184</x:v>
      </x:c>
      <x:c r="M1084" s="168" t="str">
        <x:v>Comparative</x:v>
      </x:c>
      <x:c r="N1084" s="171" t="str">
        <x:v>Aggregated audited components</x:v>
      </x:c>
      <x:c r="O1084" s="171" t="str">
        <x:v>Source-labelled component sum; statement controls and signed-unit conversion independently recomputed.</x:v>
      </x:c>
      <x:c r="P1084" s="171" t="str">
        <x:v>
183
   2022 2021
  Note (Rupees in thousand) 
ASSETS   
NON - CURRENT ASSETS   
Property, plant and equipment 20  56,784,840   44,215,539 
Intangible assets 21  10,415 | Components: Accrued profit; Advance income tax - net of provision; Loans and advances; Other receivables; Short term deposits and pr</x:v>
      </x:c>
    </x:row>
    <x:row r="1085" ht="82" customHeight="1">
      <x:c r="A1085" s="76" t="str">
        <x:v>MLCF|ca_other|2022</x:v>
      </x:c>
      <x:c r="B1085" s="76" t="str">
        <x:v>MLCF</x:v>
      </x:c>
      <x:c r="C1085" s="76" t="str">
        <x:v>FY2022</x:v>
      </x:c>
      <x:c r="D1085" s="76" t="str">
        <x:v>Other current assets</x:v>
      </x:c>
      <x:c r="E1085" s="170" t="n">
        <x:v>1714629</x:v>
      </x:c>
      <x:c r="F1085" s="170" t="n">
        <x:v>1714629</x:v>
      </x:c>
      <x:c r="G1085" s="170" t="str">
        <x:v>Rs '000</x:v>
      </x:c>
      <x:c r="H1085" s="170" t="n">
        <x:f>F1085/1000</x:f>
        <x:v>1714.629</x:v>
      </x:c>
      <x:c r="I1085" s="170" t="n">
        <x:f>MLCF!E35</x:f>
        <x:v>1714.629</x:v>
      </x:c>
      <x:c r="J1085" s="170" t="n">
        <x:f>H1085-I1085</x:f>
        <x:v>0</x:v>
      </x:c>
      <x:c r="K1085" s="76" t="str">
        <x:v>2023.pdf</x:v>
      </x:c>
      <x:c r="L1085" s="76" t="n">
        <x:v>98</x:v>
      </x:c>
      <x:c r="M1085" s="76" t="str">
        <x:v>Comparative</x:v>
      </x:c>
      <x:c r="N1085" s="99" t="str">
        <x:v>Aggregated audited components</x:v>
      </x:c>
      <x:c r="O1085" s="99" t="str">
        <x:v>Source-labelled component sum; statement controls and signed-unit conversion independently recomputed.</x:v>
      </x:c>
      <x:c r="P1085" s="99" t="str">
        <x:v>
192 193
UNCONSOLIDA TED STA TEMENT OF 
FINANCIAL POSITION 
AS AT JUNE 30, 2023
   2023 2022
  Note (Rupees in thousand) 
EQUITY AND LIABILITIES
SHARE CAPITAL AND RESERVES
Authoris | Components: Accrued profit; Advance income tax - net of provision; Loans and advances; Other receivables; Short term deposits and pr</x:v>
      </x:c>
    </x:row>
    <x:row r="1086" ht="82" customHeight="1">
      <x:c r="A1086" s="168" t="str">
        <x:v>MLCF|ca_other|2023</x:v>
      </x:c>
      <x:c r="B1086" s="168" t="str">
        <x:v>MLCF</x:v>
      </x:c>
      <x:c r="C1086" s="168" t="str">
        <x:v>FY2023</x:v>
      </x:c>
      <x:c r="D1086" s="168" t="str">
        <x:v>Other current assets</x:v>
      </x:c>
      <x:c r="E1086" s="169" t="n">
        <x:v>1407959</x:v>
      </x:c>
      <x:c r="F1086" s="169" t="n">
        <x:v>1407959</x:v>
      </x:c>
      <x:c r="G1086" s="169" t="str">
        <x:v>Rs '000</x:v>
      </x:c>
      <x:c r="H1086" s="169" t="n">
        <x:f>F1086/1000</x:f>
        <x:v>1407.959</x:v>
      </x:c>
      <x:c r="I1086" s="169" t="n">
        <x:f>MLCF!F35</x:f>
        <x:v>1407.959</x:v>
      </x:c>
      <x:c r="J1086" s="169" t="n">
        <x:f>H1086-I1086</x:f>
        <x:v>0</x:v>
      </x:c>
      <x:c r="K1086" s="168" t="str">
        <x:v>2024.pdf</x:v>
      </x:c>
      <x:c r="L1086" s="168" t="n">
        <x:v>190</x:v>
      </x:c>
      <x:c r="M1086" s="168" t="str">
        <x:v>Comparative</x:v>
      </x:c>
      <x:c r="N1086" s="171" t="str">
        <x:v>Aggregated audited components</x:v>
      </x:c>
      <x:c r="O1086" s="171" t="str">
        <x:v>Source-labelled component sum; statement controls and signed-unit conversion independently recomputed.</x:v>
      </x:c>
      <x:c r="P1086" s="171" t="str">
        <x:v>
1892024
   2024 2023
  Note (Rupees in thousand) 
ASSETS
NON - CURRENT ASSETS
Property, plant and equipment 20 65,995,598 62,354,608
Intangible assets 21 84,810 6,946
Long term in | Components: Accrued profit; Advance income tax; Loans and advances; Other receivables; Short term deposits and prepayments</x:v>
      </x:c>
    </x:row>
    <x:row r="1087" ht="82" customHeight="1">
      <x:c r="A1087" s="76" t="str">
        <x:v>MLCF|ca_other|2024</x:v>
      </x:c>
      <x:c r="B1087" s="76" t="str">
        <x:v>MLCF</x:v>
      </x:c>
      <x:c r="C1087" s="76" t="str">
        <x:v>FY2024</x:v>
      </x:c>
      <x:c r="D1087" s="76" t="str">
        <x:v>Other current assets</x:v>
      </x:c>
      <x:c r="E1087" s="170" t="n">
        <x:v>1791577</x:v>
      </x:c>
      <x:c r="F1087" s="170" t="n">
        <x:v>1791577</x:v>
      </x:c>
      <x:c r="G1087" s="170" t="str">
        <x:v>Rs '000</x:v>
      </x:c>
      <x:c r="H1087" s="170" t="n">
        <x:f>F1087/1000</x:f>
        <x:v>1791.577</x:v>
      </x:c>
      <x:c r="I1087" s="170" t="n">
        <x:f>MLCF!G35</x:f>
        <x:v>1791.577</x:v>
      </x:c>
      <x:c r="J1087" s="170" t="n">
        <x:f>H1087-I1087</x:f>
        <x:v>0</x:v>
      </x:c>
      <x:c r="K1087" s="76" t="str">
        <x:v>2025.pdf</x:v>
      </x:c>
      <x:c r="L1087" s="76" t="n">
        <x:v>202</x:v>
      </x:c>
      <x:c r="M1087" s="76" t="str">
        <x:v>Comparative</x:v>
      </x:c>
      <x:c r="N1087" s="99" t="str">
        <x:v>Aggregated audited components</x:v>
      </x:c>
      <x:c r="O1087" s="99" t="str">
        <x:v>Source-labelled component sum; statement controls and signed-unit conversion independently recomputed.</x:v>
      </x:c>
      <x:c r="P1087" s="99" t="str">
        <x:v>
2012025
   2025 2024
  Note (Rupees in thousand) 
ASSETS
NON - CURRENT ASSETS
Property, plant and equipment 19  62,836,212   65,995,598 
Intangible assets 20  62,426   84,810 
Lon | Components: Accrued profit; Advance income tax; Loans and advances; Other receivables; Short term deposits and prepayments</x:v>
      </x:c>
    </x:row>
    <x:row r="1088" ht="82" customHeight="1">
      <x:c r="A1088" s="168" t="str">
        <x:v>MLCF|ca_other|2025</x:v>
      </x:c>
      <x:c r="B1088" s="168" t="str">
        <x:v>MLCF</x:v>
      </x:c>
      <x:c r="C1088" s="168" t="str">
        <x:v>FY2025</x:v>
      </x:c>
      <x:c r="D1088" s="168" t="str">
        <x:v>Other current assets</x:v>
      </x:c>
      <x:c r="E1088" s="169" t="n">
        <x:v>1520227</x:v>
      </x:c>
      <x:c r="F1088" s="169" t="n">
        <x:v>1520227</x:v>
      </x:c>
      <x:c r="G1088" s="169" t="str">
        <x:v>Rs '000</x:v>
      </x:c>
      <x:c r="H1088" s="169" t="n">
        <x:f>F1088/1000</x:f>
        <x:v>1520.227</x:v>
      </x:c>
      <x:c r="I1088" s="169" t="n">
        <x:f>MLCF!H35</x:f>
        <x:v>1520.227</x:v>
      </x:c>
      <x:c r="J1088" s="169" t="n">
        <x:f>H1088-I1088</x:f>
        <x:v>0</x:v>
      </x:c>
      <x:c r="K1088" s="168" t="str">
        <x:v>2025.pdf</x:v>
      </x:c>
      <x:c r="L1088" s="168" t="n">
        <x:v>202</x:v>
      </x:c>
      <x:c r="M1088" s="168" t="str">
        <x:v>Current year</x:v>
      </x:c>
      <x:c r="N1088" s="171" t="str">
        <x:v>Aggregated audited components</x:v>
      </x:c>
      <x:c r="O1088" s="171" t="str">
        <x:v>Source-labelled component sum; statement controls and signed-unit conversion independently recomputed.</x:v>
      </x:c>
      <x:c r="P1088" s="171" t="str">
        <x:v>
2012025
   2025 2024
  Note (Rupees in thousand) 
ASSETS
NON - CURRENT ASSETS
Property, plant and equipment 19  62,836,212   65,995,598 
Intangible assets 20  62,426   84,810 
Lon | Components: Accrued profit; Advance income tax; Loans and advances; Other receivables; Short term deposits and prepayments</x:v>
      </x:c>
    </x:row>
    <x:row r="1089" ht="82" customHeight="1">
      <x:c r="A1089" s="76" t="str">
        <x:v>MLCF|share_cap|2020</x:v>
      </x:c>
      <x:c r="B1089" s="76" t="str">
        <x:v>MLCF</x:v>
      </x:c>
      <x:c r="C1089" s="76" t="str">
        <x:v>FY2020</x:v>
      </x:c>
      <x:c r="D1089" s="76" t="str">
        <x:v>Issued, subscribed and paid-up share capital</x:v>
      </x:c>
      <x:c r="E1089" s="170" t="n">
        <x:v>10983462</x:v>
      </x:c>
      <x:c r="F1089" s="170" t="n">
        <x:v>10983462</x:v>
      </x:c>
      <x:c r="G1089" s="170" t="str">
        <x:v>Rs '000</x:v>
      </x:c>
      <x:c r="H1089" s="170" t="n">
        <x:f>F1089/1000</x:f>
        <x:v>10983.462</x:v>
      </x:c>
      <x:c r="I1089" s="170" t="n">
        <x:f>MLCF!C39</x:f>
        <x:v>10983.462</x:v>
      </x:c>
      <x:c r="J1089" s="170" t="n">
        <x:f>H1089-I1089</x:f>
        <x:v>0</x:v>
      </x:c>
      <x:c r="K1089" s="76" t="str">
        <x:v>2021.pdf</x:v>
      </x:c>
      <x:c r="L1089" s="76" t="n">
        <x:v>162</x:v>
      </x:c>
      <x:c r="M1089" s="76" t="str">
        <x:v>Comparative</x:v>
      </x:c>
      <x:c r="N1089" s="99" t="str">
        <x:v>Printed amount independently located</x:v>
      </x:c>
      <x:c r="O1089" s="99" t="str">
        <x:v>Exact source amount found; audited year/current-comparative column recorded. Accounting subtotal tests performed separately.</x:v>
      </x:c>
      <x:c r="P1089" s="99" t="str">
        <x:v>IES   
SHARE CAPITAL AND RESERVES   
Authorised share capital 5  15,000,000   15,000,000 
Issued, subscribed and paid-up share capital 5  10,983,462   10,983,462 
Capital reserves 6  6,588,813   6,588,813 
Accumulated profits   16,880,291   10,133,226 
Surplus on revaluation of fixed assets - net of tax 7  3,089,975   3,615,33</x:v>
      </x:c>
    </x:row>
    <x:row r="1090" ht="82" customHeight="1">
      <x:c r="A1090" s="168" t="str">
        <x:v>MLCF|share_cap|2021</x:v>
      </x:c>
      <x:c r="B1090" s="168" t="str">
        <x:v>MLCF</x:v>
      </x:c>
      <x:c r="C1090" s="168" t="str">
        <x:v>FY2021</x:v>
      </x:c>
      <x:c r="D1090" s="168" t="str">
        <x:v>Issued, subscribed and paid-up share capital</x:v>
      </x:c>
      <x:c r="E1090" s="169" t="n">
        <x:v>10983462</x:v>
      </x:c>
      <x:c r="F1090" s="169" t="n">
        <x:v>10983462</x:v>
      </x:c>
      <x:c r="G1090" s="169" t="str">
        <x:v>Rs '000</x:v>
      </x:c>
      <x:c r="H1090" s="169" t="n">
        <x:f>F1090/1000</x:f>
        <x:v>10983.462</x:v>
      </x:c>
      <x:c r="I1090" s="169" t="n">
        <x:f>MLCF!D39</x:f>
        <x:v>10983.462</x:v>
      </x:c>
      <x:c r="J1090" s="169" t="n">
        <x:f>H1090-I1090</x:f>
        <x:v>0</x:v>
      </x:c>
      <x:c r="K1090" s="168" t="str">
        <x:v>2022.pdf</x:v>
      </x:c>
      <x:c r="L1090" s="168" t="n">
        <x:v>183</x:v>
      </x:c>
      <x:c r="M1090" s="168" t="str">
        <x:v>Comparative</x:v>
      </x:c>
      <x:c r="N1090" s="171" t="str">
        <x:v>Printed amount independently located</x:v>
      </x:c>
      <x:c r="O1090" s="171" t="str">
        <x:v>Exact source amount found; audited year/current-comparative column recorded. Accounting subtotal tests performed separately.</x:v>
      </x:c>
      <x:c r="P1090" s="171" t="str">
        <x:v>IES   
SHARE CAPITAL AND RESERVES   
Authorized share capital 5  15,000,000   15,000,000 
Issued, subscribed and paid-up share capital 5  10,983,462   10,983,462 
Capital reserves 6  6,092,384   6,588,813 
Accumulated profits   21,023,202   16,880,291 
Surplus on revaluation of fixed assets - net of tax 7  2,459,967   3,089,97</x:v>
      </x:c>
    </x:row>
    <x:row r="1091" ht="82" customHeight="1">
      <x:c r="A1091" s="76" t="str">
        <x:v>MLCF|share_cap|2022</x:v>
      </x:c>
      <x:c r="B1091" s="76" t="str">
        <x:v>MLCF</x:v>
      </x:c>
      <x:c r="C1091" s="76" t="str">
        <x:v>FY2022</x:v>
      </x:c>
      <x:c r="D1091" s="76" t="str">
        <x:v>Issued, subscribed and paid-up share capital</x:v>
      </x:c>
      <x:c r="E1091" s="170" t="n">
        <x:v>10983462</x:v>
      </x:c>
      <x:c r="F1091" s="170" t="n">
        <x:v>10983462</x:v>
      </x:c>
      <x:c r="G1091" s="170" t="str">
        <x:v>Rs '000</x:v>
      </x:c>
      <x:c r="H1091" s="170" t="n">
        <x:f>F1091/1000</x:f>
        <x:v>10983.462</x:v>
      </x:c>
      <x:c r="I1091" s="170" t="n">
        <x:f>MLCF!E39</x:f>
        <x:v>10983.462</x:v>
      </x:c>
      <x:c r="J1091" s="170" t="n">
        <x:f>H1091-I1091</x:f>
        <x:v>0</x:v>
      </x:c>
      <x:c r="K1091" s="76" t="str">
        <x:v>2023.pdf</x:v>
      </x:c>
      <x:c r="L1091" s="76" t="n">
        <x:v>98</x:v>
      </x:c>
      <x:c r="M1091" s="76" t="str">
        <x:v>Comparative</x:v>
      </x:c>
      <x:c r="N1091" s="99" t="str">
        <x:v>Printed amount independently located</x:v>
      </x:c>
      <x:c r="O1091" s="99" t="str">
        <x:v>Exact source amount found; audited year/current-comparative column recorded. Accounting subtotal tests performed separately.</x:v>
      </x:c>
      <x:c r="P1091" s="99" t="str">
        <x:v>AND LIABILITIES
SHARE CAPITAL AND RESERVES
Authorised share capital 5 15,000,000 15,000,000
Issued, subscribed and paid-up share capital 5 10,733,462 10,983,462
Capital reserves 6 6,363,952 6,092,384 
Accumulated profits  25,946,716 21,023,202
Surplus on revaluation of fixed assets - net of tax 7 1,868,984 2,459,967
  44,913,114 40,559,01</x:v>
      </x:c>
    </x:row>
    <x:row r="1092" ht="82" customHeight="1">
      <x:c r="A1092" s="168" t="str">
        <x:v>MLCF|share_cap|2023</x:v>
      </x:c>
      <x:c r="B1092" s="168" t="str">
        <x:v>MLCF</x:v>
      </x:c>
      <x:c r="C1092" s="168" t="str">
        <x:v>FY2023</x:v>
      </x:c>
      <x:c r="D1092" s="168" t="str">
        <x:v>Issued, subscribed and paid-up share capital</x:v>
      </x:c>
      <x:c r="E1092" s="169" t="n">
        <x:v>10733462</x:v>
      </x:c>
      <x:c r="F1092" s="169" t="n">
        <x:v>10733462</x:v>
      </x:c>
      <x:c r="G1092" s="169" t="str">
        <x:v>Rs '000</x:v>
      </x:c>
      <x:c r="H1092" s="169" t="n">
        <x:f>F1092/1000</x:f>
        <x:v>10733.462</x:v>
      </x:c>
      <x:c r="I1092" s="169" t="n">
        <x:f>MLCF!F39</x:f>
        <x:v>10733.462</x:v>
      </x:c>
      <x:c r="J1092" s="169" t="n">
        <x:f>H1092-I1092</x:f>
        <x:v>0</x:v>
      </x:c>
      <x:c r="K1092" s="168" t="str">
        <x:v>2024.pdf</x:v>
      </x:c>
      <x:c r="L1092" s="168" t="n">
        <x:v>189</x:v>
      </x:c>
      <x:c r="M1092" s="168" t="str">
        <x:v>Comparative</x:v>
      </x:c>
      <x:c r="N1092" s="171" t="str">
        <x:v>Printed amount independently located</x:v>
      </x:c>
      <x:c r="O1092" s="171" t="str">
        <x:v>Exact source amount found; audited year/current-comparative column recorded. Accounting subtotal tests performed separately.</x:v>
      </x:c>
      <x:c r="P1092" s="171" t="str">
        <x:v>15,000,000 15,000,000
Issued, subscribed and paid-up share capital
1,047,562,608 (2023: 1,073,346,232)
ordinary shares of Rs. 10 each 5 10,475,626 10,733,462
Capital reserves 6 33,197,422 6,363,952
Revenue reserve: Un-appropriated profits  4,927,636 25,946,716
Surplus on revaluation of fixed assets 7 4,015,224 1,868,984
Total equity  5</x:v>
      </x:c>
    </x:row>
    <x:row r="1093" ht="82" customHeight="1">
      <x:c r="A1093" s="76" t="str">
        <x:v>MLCF|share_cap|2024</x:v>
      </x:c>
      <x:c r="B1093" s="76" t="str">
        <x:v>MLCF</x:v>
      </x:c>
      <x:c r="C1093" s="76" t="str">
        <x:v>FY2024</x:v>
      </x:c>
      <x:c r="D1093" s="76" t="str">
        <x:v>Issued, subscribed and paid-up share capital</x:v>
      </x:c>
      <x:c r="E1093" s="170" t="n">
        <x:v>10475626</x:v>
      </x:c>
      <x:c r="F1093" s="170" t="n">
        <x:v>10475626</x:v>
      </x:c>
      <x:c r="G1093" s="170" t="str">
        <x:v>Rs '000</x:v>
      </x:c>
      <x:c r="H1093" s="170" t="n">
        <x:f>F1093/1000</x:f>
        <x:v>10475.626</x:v>
      </x:c>
      <x:c r="I1093" s="170" t="n">
        <x:f>MLCF!G39</x:f>
        <x:v>10475.626</x:v>
      </x:c>
      <x:c r="J1093" s="170" t="n">
        <x:f>H1093-I1093</x:f>
        <x:v>0</x:v>
      </x:c>
      <x:c r="K1093" s="76" t="str">
        <x:v>2025.pdf</x:v>
      </x:c>
      <x:c r="L1093" s="76" t="n">
        <x:v>201</x:v>
      </x:c>
      <x:c r="M1093" s="76" t="str">
        <x:v>Comparative</x:v>
      </x:c>
      <x:c r="N1093" s="99" t="str">
        <x:v>Printed amount independently located</x:v>
      </x:c>
      <x:c r="O1093" s="99" t="str">
        <x:v>Exact source amount found; audited year/current-comparative column recorded. Accounting subtotal tests performed separately.</x:v>
      </x:c>
      <x:c r="P1093" s="99" t="str">
        <x:v>0 
   15,000,000   15,000,000 
Issued, subscribed and paid-up share capital
1,047,562,608 (2024: 1,047,562,608) 
    ordinary shares of Rs 10 each 5  10,475,626   10,475,626 
Capital reserves 6  34,998,282   33,197,422 
Revenue reserve: Un-appropriated profits   22,390,719   4,927,636 
Surplus on revaluation of fixed assets 7  3,596,965</x:v>
      </x:c>
    </x:row>
    <x:row r="1094" ht="82" customHeight="1">
      <x:c r="A1094" s="168" t="str">
        <x:v>MLCF|share_cap|2025</x:v>
      </x:c>
      <x:c r="B1094" s="168" t="str">
        <x:v>MLCF</x:v>
      </x:c>
      <x:c r="C1094" s="168" t="str">
        <x:v>FY2025</x:v>
      </x:c>
      <x:c r="D1094" s="168" t="str">
        <x:v>Issued, subscribed and paid-up share capital</x:v>
      </x:c>
      <x:c r="E1094" s="169" t="n">
        <x:v>10475626</x:v>
      </x:c>
      <x:c r="F1094" s="169" t="n">
        <x:v>10475626</x:v>
      </x:c>
      <x:c r="G1094" s="169" t="str">
        <x:v>Rs '000</x:v>
      </x:c>
      <x:c r="H1094" s="169" t="n">
        <x:f>F1094/1000</x:f>
        <x:v>10475.626</x:v>
      </x:c>
      <x:c r="I1094" s="169" t="n">
        <x:f>MLCF!H39</x:f>
        <x:v>10475.626</x:v>
      </x:c>
      <x:c r="J1094" s="169" t="n">
        <x:f>H1094-I1094</x:f>
        <x:v>0</x:v>
      </x:c>
      <x:c r="K1094" s="168" t="str">
        <x:v>2025.pdf</x:v>
      </x:c>
      <x:c r="L1094" s="168" t="n">
        <x:v>201</x:v>
      </x:c>
      <x:c r="M1094" s="168" t="str">
        <x:v>Current year</x:v>
      </x:c>
      <x:c r="N1094" s="171" t="str">
        <x:v>Printed amount independently located</x:v>
      </x:c>
      <x:c r="O1094" s="171" t="str">
        <x:v>Exact source amount found; audited year/current-comparative column recorded. Accounting subtotal tests performed separately.</x:v>
      </x:c>
      <x:c r="P1094" s="171" t="str">
        <x:v>0 
   15,000,000   15,000,000 
Issued, subscribed and paid-up share capital
1,047,562,608 (2024: 1,047,562,608) 
    ordinary shares of Rs 10 each 5  10,475,626   10,475,626 
Capital reserves 6  34,998,282   33,197,422 
Revenue reserve: Un-appropriated profits   22,390,719   4,927,636 
Surplus on revaluation of fixed assets 7  3,596,965</x:v>
      </x:c>
    </x:row>
    <x:row r="1095" ht="82" customHeight="1">
      <x:c r="A1095" s="76" t="str">
        <x:v>MLCF|eq_other|2020</x:v>
      </x:c>
      <x:c r="B1095" s="76" t="str">
        <x:v>MLCF</x:v>
      </x:c>
      <x:c r="C1095" s="76" t="str">
        <x:v>FY2020</x:v>
      </x:c>
      <x:c r="D1095" s="76" t="str">
        <x:v>Reserves, retained earnings and revaluation surplus</x:v>
      </x:c>
      <x:c r="E1095" s="170" t="n">
        <x:v>20337369</x:v>
      </x:c>
      <x:c r="F1095" s="170" t="n">
        <x:v>20337369</x:v>
      </x:c>
      <x:c r="G1095" s="170" t="str">
        <x:v>Rs '000</x:v>
      </x:c>
      <x:c r="H1095" s="170" t="n">
        <x:f>F1095/1000</x:f>
        <x:v>20337.369</x:v>
      </x:c>
      <x:c r="I1095" s="170" t="n">
        <x:f>MLCF!C40</x:f>
        <x:v>20337.369</x:v>
      </x:c>
      <x:c r="J1095" s="170" t="n">
        <x:f>H1095-I1095</x:f>
        <x:v>0</x:v>
      </x:c>
      <x:c r="K1095" s="76" t="str">
        <x:v>2021.pdf</x:v>
      </x:c>
      <x:c r="L1095" s="76" t="n">
        <x:v>162</x:v>
      </x:c>
      <x:c r="M1095" s="76" t="str">
        <x:v>Comparative</x:v>
      </x:c>
      <x:c r="N1095" s="99" t="str">
        <x:v>Aggregated audited components</x:v>
      </x:c>
      <x:c r="O1095" s="99" t="str">
        <x:v>Source-labelled component sum; statement controls and signed-unit conversion independently recomputed.</x:v>
      </x:c>
      <x:c r="P1095" s="99" t="str">
        <x:v>
160
UNCONSOLIDA TED STA TEMENT OF 
FINANCIAL POSITION 
AS AT JUNE 30, 2021
   2021 2020
  Note (Rupees in thousand) 
EQUITY AND LIABILITIES   
SHARE CAPITAL AND RESERVES   | Components: Accumulated profits; Capital reserves; Surplus on revaluation of fixed assets -</x:v>
      </x:c>
    </x:row>
    <x:row r="1096" ht="82" customHeight="1">
      <x:c r="A1096" s="168" t="str">
        <x:v>MLCF|eq_other|2021</x:v>
      </x:c>
      <x:c r="B1096" s="168" t="str">
        <x:v>MLCF</x:v>
      </x:c>
      <x:c r="C1096" s="168" t="str">
        <x:v>FY2021</x:v>
      </x:c>
      <x:c r="D1096" s="168" t="str">
        <x:v>Reserves, retained earnings and revaluation surplus</x:v>
      </x:c>
      <x:c r="E1096" s="169" t="n">
        <x:v>26559079</x:v>
      </x:c>
      <x:c r="F1096" s="169" t="n">
        <x:v>26559079</x:v>
      </x:c>
      <x:c r="G1096" s="169" t="str">
        <x:v>Rs '000</x:v>
      </x:c>
      <x:c r="H1096" s="169" t="n">
        <x:f>F1096/1000</x:f>
        <x:v>26559.079</x:v>
      </x:c>
      <x:c r="I1096" s="169" t="n">
        <x:f>MLCF!D40</x:f>
        <x:v>26559.079</x:v>
      </x:c>
      <x:c r="J1096" s="169" t="n">
        <x:f>H1096-I1096</x:f>
        <x:v>0</x:v>
      </x:c>
      <x:c r="K1096" s="168" t="str">
        <x:v>2022.pdf</x:v>
      </x:c>
      <x:c r="L1096" s="168" t="n">
        <x:v>183</x:v>
      </x:c>
      <x:c r="M1096" s="168" t="str">
        <x:v>Comparative</x:v>
      </x:c>
      <x:c r="N1096" s="171" t="str">
        <x:v>Aggregated audited components</x:v>
      </x:c>
      <x:c r="O1096" s="171" t="str">
        <x:v>Source-labelled component sum; statement controls and signed-unit conversion independently recomputed.</x:v>
      </x:c>
      <x:c r="P1096" s="171" t="str">
        <x:v>
182
UNCONSOLIDA TED STA TEMENT OF 
FINANCIAL POSITION 
AS AT JUNE 30, 2022
   2022 2021
  Note (Rupees in thousand) 
EQUITY AND LIABILITIES   
SHARE CAPITAL AND RESERVES   | Components: Accumulated profits; Capital reserves; Surplus on revaluation of fixed assets -</x:v>
      </x:c>
    </x:row>
    <x:row r="1097" ht="82" customHeight="1">
      <x:c r="A1097" s="76" t="str">
        <x:v>MLCF|eq_other|2022</x:v>
      </x:c>
      <x:c r="B1097" s="76" t="str">
        <x:v>MLCF</x:v>
      </x:c>
      <x:c r="C1097" s="76" t="str">
        <x:v>FY2022</x:v>
      </x:c>
      <x:c r="D1097" s="76" t="str">
        <x:v>Reserves, retained earnings and revaluation surplus</x:v>
      </x:c>
      <x:c r="E1097" s="170" t="n">
        <x:v>29575553</x:v>
      </x:c>
      <x:c r="F1097" s="170" t="n">
        <x:v>29575553</x:v>
      </x:c>
      <x:c r="G1097" s="170" t="str">
        <x:v>Rs '000</x:v>
      </x:c>
      <x:c r="H1097" s="170" t="n">
        <x:f>F1097/1000</x:f>
        <x:v>29575.553</x:v>
      </x:c>
      <x:c r="I1097" s="170" t="n">
        <x:f>MLCF!E40</x:f>
        <x:v>29575.553</x:v>
      </x:c>
      <x:c r="J1097" s="170" t="n">
        <x:f>H1097-I1097</x:f>
        <x:v>0</x:v>
      </x:c>
      <x:c r="K1097" s="76" t="str">
        <x:v>2023.pdf</x:v>
      </x:c>
      <x:c r="L1097" s="76" t="n">
        <x:v>98</x:v>
      </x:c>
      <x:c r="M1097" s="76" t="str">
        <x:v>Comparative</x:v>
      </x:c>
      <x:c r="N1097" s="99" t="str">
        <x:v>Aggregated audited components</x:v>
      </x:c>
      <x:c r="O1097" s="99" t="str">
        <x:v>Source-labelled component sum; statement controls and signed-unit conversion independently recomputed.</x:v>
      </x:c>
      <x:c r="P1097" s="99" t="str">
        <x:v>
192 193
UNCONSOLIDA TED STA TEMENT OF 
FINANCIAL POSITION 
AS AT JUNE 30, 2023
   2023 2022
  Note (Rupees in thousand) 
EQUITY AND LIABILITIES
SHARE CAPITAL AND RESERVES
Authoris | Components: Accumulated profits; Capital reserves; Surplus on revaluation of fixed assets -</x:v>
      </x:c>
    </x:row>
    <x:row r="1098" ht="82" customHeight="1">
      <x:c r="A1098" s="168" t="str">
        <x:v>MLCF|eq_other|2023</x:v>
      </x:c>
      <x:c r="B1098" s="168" t="str">
        <x:v>MLCF</x:v>
      </x:c>
      <x:c r="C1098" s="168" t="str">
        <x:v>FY2023</x:v>
      </x:c>
      <x:c r="D1098" s="168" t="str">
        <x:v>Reserves, retained earnings and revaluation surplus</x:v>
      </x:c>
      <x:c r="E1098" s="169" t="n">
        <x:v>34179652</x:v>
      </x:c>
      <x:c r="F1098" s="169" t="n">
        <x:v>34179652</x:v>
      </x:c>
      <x:c r="G1098" s="169" t="str">
        <x:v>Rs '000</x:v>
      </x:c>
      <x:c r="H1098" s="169" t="n">
        <x:f>F1098/1000</x:f>
        <x:v>34179.652</x:v>
      </x:c>
      <x:c r="I1098" s="169" t="n">
        <x:f>MLCF!F40</x:f>
        <x:v>34179.652</x:v>
      </x:c>
      <x:c r="J1098" s="169" t="n">
        <x:f>H1098-I1098</x:f>
        <x:v>0</x:v>
      </x:c>
      <x:c r="K1098" s="168" t="str">
        <x:v>2024.pdf</x:v>
      </x:c>
      <x:c r="L1098" s="168" t="n">
        <x:v>189</x:v>
      </x:c>
      <x:c r="M1098" s="168" t="str">
        <x:v>Comparative</x:v>
      </x:c>
      <x:c r="N1098" s="171" t="str">
        <x:v>Aggregated audited components</x:v>
      </x:c>
      <x:c r="O1098" s="171" t="str">
        <x:v>Source-labelled component sum; statement controls and signed-unit conversion independently recomputed.</x:v>
      </x:c>
      <x:c r="P1098" s="171" t="str">
        <x:v>
188
UNCONSOLIDA TED STA TEMENT OF 
FINANCIAL POSITION 
AS AT JUNE 30, 2024
   2024 2023
  Note (Rupees in thousand) 
EQUITY AND LIABILITIES
SHARE CAPITAL AND RESERVES
Authorised s | Components: Capital reserves; Revenue reserve: Un-appropriated profits; Surplus on revaluation of fixed assets</x:v>
      </x:c>
    </x:row>
    <x:row r="1099" ht="82" customHeight="1">
      <x:c r="A1099" s="76" t="str">
        <x:v>MLCF|eq_other|2024</x:v>
      </x:c>
      <x:c r="B1099" s="76" t="str">
        <x:v>MLCF</x:v>
      </x:c>
      <x:c r="C1099" s="76" t="str">
        <x:v>FY2024</x:v>
      </x:c>
      <x:c r="D1099" s="76" t="str">
        <x:v>Reserves, retained earnings and revaluation surplus</x:v>
      </x:c>
      <x:c r="E1099" s="170" t="n">
        <x:v>42140282</x:v>
      </x:c>
      <x:c r="F1099" s="170" t="n">
        <x:v>42140282</x:v>
      </x:c>
      <x:c r="G1099" s="170" t="str">
        <x:v>Rs '000</x:v>
      </x:c>
      <x:c r="H1099" s="170" t="n">
        <x:f>F1099/1000</x:f>
        <x:v>42140.282</x:v>
      </x:c>
      <x:c r="I1099" s="170" t="n">
        <x:f>MLCF!G40</x:f>
        <x:v>42140.282</x:v>
      </x:c>
      <x:c r="J1099" s="170" t="n">
        <x:f>H1099-I1099</x:f>
        <x:v>0</x:v>
      </x:c>
      <x:c r="K1099" s="76" t="str">
        <x:v>2025.pdf</x:v>
      </x:c>
      <x:c r="L1099" s="76" t="n">
        <x:v>201</x:v>
      </x:c>
      <x:c r="M1099" s="76" t="str">
        <x:v>Comparative</x:v>
      </x:c>
      <x:c r="N1099" s="99" t="str">
        <x:v>Aggregated audited components</x:v>
      </x:c>
      <x:c r="O1099" s="99" t="str">
        <x:v>Source-labelled component sum; statement controls and signed-unit conversion independently recomputed.</x:v>
      </x:c>
      <x:c r="P1099" s="99" t="str">
        <x:v>
200
UNCONSOLIDA TED STA TEMENT OF 
FINANCIAL POSITION 
AS AT JUNE 30, 2025
   2025 2024
  Note (Rupees in thousand) 
EQUITY AND LIABILITIES
SHARE CAPITAL AND RESERVES
Authorised s | Components: Capital reserves; Revenue reserve: Un-appropriated profits; Surplus on revaluation of fixed assets</x:v>
      </x:c>
    </x:row>
    <x:row r="1100" ht="82" customHeight="1">
      <x:c r="A1100" s="168" t="str">
        <x:v>MLCF|eq_other|2025</x:v>
      </x:c>
      <x:c r="B1100" s="168" t="str">
        <x:v>MLCF</x:v>
      </x:c>
      <x:c r="C1100" s="168" t="str">
        <x:v>FY2025</x:v>
      </x:c>
      <x:c r="D1100" s="168" t="str">
        <x:v>Reserves, retained earnings and revaluation surplus</x:v>
      </x:c>
      <x:c r="E1100" s="169" t="n">
        <x:v>60985966</x:v>
      </x:c>
      <x:c r="F1100" s="169" t="n">
        <x:v>60985966</x:v>
      </x:c>
      <x:c r="G1100" s="169" t="str">
        <x:v>Rs '000</x:v>
      </x:c>
      <x:c r="H1100" s="169" t="n">
        <x:f>F1100/1000</x:f>
        <x:v>60985.966</x:v>
      </x:c>
      <x:c r="I1100" s="169" t="n">
        <x:f>MLCF!H40</x:f>
        <x:v>60985.966</x:v>
      </x:c>
      <x:c r="J1100" s="169" t="n">
        <x:f>H1100-I1100</x:f>
        <x:v>0</x:v>
      </x:c>
      <x:c r="K1100" s="168" t="str">
        <x:v>2025.pdf</x:v>
      </x:c>
      <x:c r="L1100" s="168" t="n">
        <x:v>201</x:v>
      </x:c>
      <x:c r="M1100" s="168" t="str">
        <x:v>Current year</x:v>
      </x:c>
      <x:c r="N1100" s="171" t="str">
        <x:v>Aggregated audited components</x:v>
      </x:c>
      <x:c r="O1100" s="171" t="str">
        <x:v>Source-labelled component sum; statement controls and signed-unit conversion independently recomputed.</x:v>
      </x:c>
      <x:c r="P1100" s="171" t="str">
        <x:v>
200
UNCONSOLIDA TED STA TEMENT OF 
FINANCIAL POSITION 
AS AT JUNE 30, 2025
   2025 2024
  Note (Rupees in thousand) 
EQUITY AND LIABILITIES
SHARE CAPITAL AND RESERVES
Authorised s | Components: Capital reserves; Revenue reserve: Un-appropriated profits; Surplus on revaluation of fixed assets</x:v>
      </x:c>
    </x:row>
    <x:row r="1101" ht="82" customHeight="1">
      <x:c r="A1101" s="76" t="str">
        <x:v>MLCF|ltf_nc|2020</x:v>
      </x:c>
      <x:c r="B1101" s="76" t="str">
        <x:v>MLCF</x:v>
      </x:c>
      <x:c r="C1101" s="76" t="str">
        <x:v>FY2020</x:v>
      </x:c>
      <x:c r="D1101" s="76" t="str">
        <x:v>Long-term financing (non-current, interest-bearing)</x:v>
      </x:c>
      <x:c r="E1101" s="170" t="n">
        <x:v>15173102</x:v>
      </x:c>
      <x:c r="F1101" s="170" t="n">
        <x:v>15173102</x:v>
      </x:c>
      <x:c r="G1101" s="170" t="str">
        <x:v>Rs '000</x:v>
      </x:c>
      <x:c r="H1101" s="170" t="n">
        <x:f>F1101/1000</x:f>
        <x:v>15173.102</x:v>
      </x:c>
      <x:c r="I1101" s="170" t="n">
        <x:f>MLCF!C43</x:f>
        <x:v>15173.102</x:v>
      </x:c>
      <x:c r="J1101" s="170" t="n">
        <x:f>H1101-I1101</x:f>
        <x:v>0</x:v>
      </x:c>
      <x:c r="K1101" s="76" t="str">
        <x:v>2021.pdf</x:v>
      </x:c>
      <x:c r="L1101" s="76" t="n">
        <x:v>162</x:v>
      </x:c>
      <x:c r="M1101" s="76" t="str">
        <x:v>Comparative</x:v>
      </x:c>
      <x:c r="N1101" s="99" t="str">
        <x:v>Aggregated audited components</x:v>
      </x:c>
      <x:c r="O1101" s="99" t="str">
        <x:v>Source-labelled component sum; statement controls and signed-unit conversion independently recomputed.</x:v>
      </x:c>
      <x:c r="P1101" s="99" t="str">
        <x:v>
160
UNCONSOLIDA TED STA TEMENT OF 
FINANCIAL POSITION 
AS AT JUNE 30, 2021
   2021 2020
  Note (Rupees in thousand) 
EQUITY AND LIABILITIES   
SHARE CAPITAL AND RESERVES   | Components: Long term loan from Subsidiary Company; Long term loans from financial instituti</x:v>
      </x:c>
    </x:row>
    <x:row r="1102" ht="82" customHeight="1">
      <x:c r="A1102" s="168" t="str">
        <x:v>MLCF|ltf_nc|2021</x:v>
      </x:c>
      <x:c r="B1102" s="168" t="str">
        <x:v>MLCF</x:v>
      </x:c>
      <x:c r="C1102" s="168" t="str">
        <x:v>FY2021</x:v>
      </x:c>
      <x:c r="D1102" s="168" t="str">
        <x:v>Long-term financing (non-current, interest-bearing)</x:v>
      </x:c>
      <x:c r="E1102" s="169" t="n">
        <x:v>12636749</x:v>
      </x:c>
      <x:c r="F1102" s="169" t="n">
        <x:v>12636749</x:v>
      </x:c>
      <x:c r="G1102" s="169" t="str">
        <x:v>Rs '000</x:v>
      </x:c>
      <x:c r="H1102" s="169" t="n">
        <x:f>F1102/1000</x:f>
        <x:v>12636.749</x:v>
      </x:c>
      <x:c r="I1102" s="169" t="n">
        <x:f>MLCF!D43</x:f>
        <x:v>12636.749</x:v>
      </x:c>
      <x:c r="J1102" s="169" t="n">
        <x:f>H1102-I1102</x:f>
        <x:v>0</x:v>
      </x:c>
      <x:c r="K1102" s="168" t="str">
        <x:v>2022.pdf</x:v>
      </x:c>
      <x:c r="L1102" s="168" t="n">
        <x:v>183</x:v>
      </x:c>
      <x:c r="M1102" s="168" t="str">
        <x:v>Comparative</x:v>
      </x:c>
      <x:c r="N1102" s="171" t="str">
        <x:v>Aggregated audited components</x:v>
      </x:c>
      <x:c r="O1102" s="171" t="str">
        <x:v>Source-labelled component sum; statement controls and signed-unit conversion independently recomputed.</x:v>
      </x:c>
      <x:c r="P1102" s="171" t="str">
        <x:v>
182
UNCONSOLIDA TED STA TEMENT OF 
FINANCIAL POSITION 
AS AT JUNE 30, 2022
   2022 2021
  Note (Rupees in thousand) 
EQUITY AND LIABILITIES   
SHARE CAPITAL AND RESERVES   | Components: Long term loan from subsidiary company; Long term loans from financial instituti</x:v>
      </x:c>
    </x:row>
    <x:row r="1103" ht="82" customHeight="1">
      <x:c r="A1103" s="76" t="str">
        <x:v>MLCF|ltf_nc|2022</x:v>
      </x:c>
      <x:c r="B1103" s="76" t="str">
        <x:v>MLCF</x:v>
      </x:c>
      <x:c r="C1103" s="76" t="str">
        <x:v>FY2022</x:v>
      </x:c>
      <x:c r="D1103" s="76" t="str">
        <x:v>Long-term financing (non-current, interest-bearing)</x:v>
      </x:c>
      <x:c r="E1103" s="170" t="n">
        <x:v>18747868</x:v>
      </x:c>
      <x:c r="F1103" s="170" t="n">
        <x:v>18747868</x:v>
      </x:c>
      <x:c r="G1103" s="170" t="str">
        <x:v>Rs '000</x:v>
      </x:c>
      <x:c r="H1103" s="170" t="n">
        <x:f>F1103/1000</x:f>
        <x:v>18747.868</x:v>
      </x:c>
      <x:c r="I1103" s="170" t="n">
        <x:f>MLCF!E43</x:f>
        <x:v>18747.868</x:v>
      </x:c>
      <x:c r="J1103" s="170" t="n">
        <x:f>H1103-I1103</x:f>
        <x:v>0</x:v>
      </x:c>
      <x:c r="K1103" s="76" t="str">
        <x:v>2023.pdf</x:v>
      </x:c>
      <x:c r="L1103" s="76" t="n">
        <x:v>98</x:v>
      </x:c>
      <x:c r="M1103" s="76" t="str">
        <x:v>Comparative</x:v>
      </x:c>
      <x:c r="N1103" s="99" t="str">
        <x:v>Aggregated audited components</x:v>
      </x:c>
      <x:c r="O1103" s="99" t="str">
        <x:v>Source-labelled component sum; statement controls and signed-unit conversion independently recomputed.</x:v>
      </x:c>
      <x:c r="P1103" s="99" t="str">
        <x:v>
192 193
UNCONSOLIDA TED STA TEMENT OF 
FINANCIAL POSITION 
AS AT JUNE 30, 2023
   2023 2022
  Note (Rupees in thousand) 
EQUITY AND LIABILITIES
SHARE CAPITAL AND RESERVES
Authoris | Components: Long term loan from subsidiary company; Long term loans from financial instituti</x:v>
      </x:c>
    </x:row>
    <x:row r="1104" ht="82" customHeight="1">
      <x:c r="A1104" s="168" t="str">
        <x:v>MLCF|ltf_nc|2023</x:v>
      </x:c>
      <x:c r="B1104" s="168" t="str">
        <x:v>MLCF</x:v>
      </x:c>
      <x:c r="C1104" s="168" t="str">
        <x:v>FY2023</x:v>
      </x:c>
      <x:c r="D1104" s="168" t="str">
        <x:v>Long-term financing (non-current, interest-bearing)</x:v>
      </x:c>
      <x:c r="E1104" s="169" t="n">
        <x:v>17233337</x:v>
      </x:c>
      <x:c r="F1104" s="169" t="n">
        <x:v>17233337</x:v>
      </x:c>
      <x:c r="G1104" s="169" t="str">
        <x:v>Rs '000</x:v>
      </x:c>
      <x:c r="H1104" s="169" t="n">
        <x:f>F1104/1000</x:f>
        <x:v>17233.337</x:v>
      </x:c>
      <x:c r="I1104" s="169" t="n">
        <x:f>MLCF!F43</x:f>
        <x:v>17233.337</x:v>
      </x:c>
      <x:c r="J1104" s="169" t="n">
        <x:f>H1104-I1104</x:f>
        <x:v>0</x:v>
      </x:c>
      <x:c r="K1104" s="168" t="str">
        <x:v>2024.pdf</x:v>
      </x:c>
      <x:c r="L1104" s="168" t="n">
        <x:v>189</x:v>
      </x:c>
      <x:c r="M1104" s="168" t="str">
        <x:v>Comparative</x:v>
      </x:c>
      <x:c r="N1104" s="171" t="str">
        <x:v>Aggregated audited components</x:v>
      </x:c>
      <x:c r="O1104" s="171" t="str">
        <x:v>Source-labelled component sum; statement controls and signed-unit conversion independently recomputed.</x:v>
      </x:c>
      <x:c r="P1104" s="171" t="str">
        <x:v>
188
UNCONSOLIDA TED STA TEMENT OF 
FINANCIAL POSITION 
AS AT JUNE 30, 2024
   2024 2023
  Note (Rupees in thousand) 
EQUITY AND LIABILITIES
SHARE CAPITAL AND RESERVES
Authorised s | Components: Long term loan from subsidiary company -; Long term loans from financial instituti</x:v>
      </x:c>
    </x:row>
    <x:row r="1105" ht="82" customHeight="1">
      <x:c r="A1105" s="76" t="str">
        <x:v>MLCF|ltf_nc|2024</x:v>
      </x:c>
      <x:c r="B1105" s="76" t="str">
        <x:v>MLCF</x:v>
      </x:c>
      <x:c r="C1105" s="76" t="str">
        <x:v>FY2024</x:v>
      </x:c>
      <x:c r="D1105" s="76" t="str">
        <x:v>Long-term financing (non-current, interest-bearing)</x:v>
      </x:c>
      <x:c r="E1105" s="170" t="n">
        <x:v>14285786</x:v>
      </x:c>
      <x:c r="F1105" s="170" t="n">
        <x:v>14285786</x:v>
      </x:c>
      <x:c r="G1105" s="170" t="str">
        <x:v>Rs '000</x:v>
      </x:c>
      <x:c r="H1105" s="170" t="n">
        <x:f>F1105/1000</x:f>
        <x:v>14285.786</x:v>
      </x:c>
      <x:c r="I1105" s="170" t="n">
        <x:f>MLCF!G43</x:f>
        <x:v>14285.786</x:v>
      </x:c>
      <x:c r="J1105" s="170" t="n">
        <x:f>H1105-I1105</x:f>
        <x:v>0</x:v>
      </x:c>
      <x:c r="K1105" s="76" t="str">
        <x:v>2025.pdf</x:v>
      </x:c>
      <x:c r="L1105" s="76" t="n">
        <x:v>201</x:v>
      </x:c>
      <x:c r="M1105" s="76" t="str">
        <x:v>Comparative</x:v>
      </x:c>
      <x:c r="N1105" s="99" t="str">
        <x:v>Aggregated audited components</x:v>
      </x:c>
      <x:c r="O1105" s="99" t="str">
        <x:v>Source-labelled component sum; statement controls and signed-unit conversion independently recomputed.</x:v>
      </x:c>
      <x:c r="P1105" s="99" t="str">
        <x:v>
200
UNCONSOLIDA TED STA TEMENT OF 
FINANCIAL POSITION 
AS AT JUNE 30, 2025
   2025 2024
  Note (Rupees in thousand) 
EQUITY AND LIABILITIES
SHARE CAPITAL AND RESERVES
Authorised s | Components: Long term loan from subsidiary company -; Long term loans from financial instituti</x:v>
      </x:c>
    </x:row>
    <x:row r="1106" ht="82" customHeight="1">
      <x:c r="A1106" s="168" t="str">
        <x:v>MLCF|ltf_nc|2025</x:v>
      </x:c>
      <x:c r="B1106" s="168" t="str">
        <x:v>MLCF</x:v>
      </x:c>
      <x:c r="C1106" s="168" t="str">
        <x:v>FY2025</x:v>
      </x:c>
      <x:c r="D1106" s="168" t="str">
        <x:v>Long-term financing (non-current, interest-bearing)</x:v>
      </x:c>
      <x:c r="E1106" s="169" t="n">
        <x:v>9781639</x:v>
      </x:c>
      <x:c r="F1106" s="169" t="n">
        <x:v>9781639</x:v>
      </x:c>
      <x:c r="G1106" s="169" t="str">
        <x:v>Rs '000</x:v>
      </x:c>
      <x:c r="H1106" s="169" t="n">
        <x:f>F1106/1000</x:f>
        <x:v>9781.639</x:v>
      </x:c>
      <x:c r="I1106" s="169" t="n">
        <x:f>MLCF!H43</x:f>
        <x:v>9781.639</x:v>
      </x:c>
      <x:c r="J1106" s="169" t="n">
        <x:f>H1106-I1106</x:f>
        <x:v>0</x:v>
      </x:c>
      <x:c r="K1106" s="168" t="str">
        <x:v>2025.pdf</x:v>
      </x:c>
      <x:c r="L1106" s="168" t="n">
        <x:v>201</x:v>
      </x:c>
      <x:c r="M1106" s="168" t="str">
        <x:v>Current year</x:v>
      </x:c>
      <x:c r="N1106" s="171" t="str">
        <x:v>Printed amount independently located</x:v>
      </x:c>
      <x:c r="O1106" s="171" t="str">
        <x:v>Exact source amount found; audited year/current-comparative column recorded. Accounting subtotal tests performed separately.</x:v>
      </x:c>
      <x:c r="P1106" s="171" t="str">
        <x:v>7  3,596,965   4,015,224 
Total equity   71,461,592   52,615,908 
NON - CURRENT LIABILITIES
Long term loans from financial institutions - secured 8  9,781,639   9,785,786 
Deferred government grant 9  322,304   450,487 
Long term loan from subsidiary company - unsecured 10  -     4,500,000 
Lease liabilities 11  28,495   34,670 
Long te</x:v>
      </x:c>
    </x:row>
    <x:row r="1107" ht="82" customHeight="1">
      <x:c r="A1107" s="76" t="str">
        <x:v>MLCF|lease_nc|2020</x:v>
      </x:c>
      <x:c r="B1107" s="76" t="str">
        <x:v>MLCF</x:v>
      </x:c>
      <x:c r="C1107" s="76" t="str">
        <x:v>FY2020</x:v>
      </x:c>
      <x:c r="D1107" s="76" t="str">
        <x:v>Lease liabilities (non-current)</x:v>
      </x:c>
      <x:c r="E1107" s="170" t="n">
        <x:v>0</x:v>
      </x:c>
      <x:c r="F1107" s="170" t="n">
        <x:v>0</x:v>
      </x:c>
      <x:c r="G1107" s="170" t="str">
        <x:v>Rs '000</x:v>
      </x:c>
      <x:c r="H1107" s="170" t="n">
        <x:f>F1107/1000</x:f>
        <x:v>0</x:v>
      </x:c>
      <x:c r="I1107" s="170" t="n">
        <x:f>MLCF!C44</x:f>
        <x:v>0</x:v>
      </x:c>
      <x:c r="J1107" s="170" t="n">
        <x:f>H1107-I1107</x:f>
        <x:v>0</x:v>
      </x:c>
      <x:c r="K1107" s="76" t="str">
        <x:v>2021.pdf</x:v>
      </x:c>
      <x:c r="L1107" s="76" t="n">
        <x:v>162</x:v>
      </x:c>
      <x:c r="M1107" s="76" t="str">
        <x:v>Comparative</x:v>
      </x:c>
      <x:c r="N1107" s="99" t="str">
        <x:v>Zero / no separate line in audited presentation</x:v>
      </x:c>
      <x:c r="O1107" s="99" t="str">
        <x:v>Zero classification checked within the audited statement/note and reconstructed statement totals; absence of a separate line does not imply a missing replacement estimate.</x:v>
      </x:c>
      <x:c r="P1107" s="99" t="str">
        <x:v>
160
UNCONSOLIDA TED STA TEMENT OF 
FINANCIAL POSITION 
AS AT JUNE 30, 2021
   2021 2020
  Note (Rupees in thousand) 
EQUITY AND LIABILITIES   
   | Lease liabilities (non-current)</x:v>
      </x:c>
    </x:row>
    <x:row r="1108" ht="82" customHeight="1">
      <x:c r="A1108" s="168" t="str">
        <x:v>MLCF|lease_nc|2021</x:v>
      </x:c>
      <x:c r="B1108" s="168" t="str">
        <x:v>MLCF</x:v>
      </x:c>
      <x:c r="C1108" s="168" t="str">
        <x:v>FY2021</x:v>
      </x:c>
      <x:c r="D1108" s="168" t="str">
        <x:v>Lease liabilities (non-current)</x:v>
      </x:c>
      <x:c r="E1108" s="169" t="n">
        <x:v>0</x:v>
      </x:c>
      <x:c r="F1108" s="169" t="n">
        <x:v>0</x:v>
      </x:c>
      <x:c r="G1108" s="169" t="str">
        <x:v>Rs '000</x:v>
      </x:c>
      <x:c r="H1108" s="169" t="n">
        <x:f>F1108/1000</x:f>
        <x:v>0</x:v>
      </x:c>
      <x:c r="I1108" s="169" t="n">
        <x:f>MLCF!D44</x:f>
        <x:v>0</x:v>
      </x:c>
      <x:c r="J1108" s="169" t="n">
        <x:f>H1108-I1108</x:f>
        <x:v>0</x:v>
      </x:c>
      <x:c r="K1108" s="168" t="str">
        <x:v>2022.pdf</x:v>
      </x:c>
      <x:c r="L1108" s="168" t="n">
        <x:v>183</x:v>
      </x:c>
      <x:c r="M1108" s="168" t="str">
        <x:v>Comparative</x:v>
      </x:c>
      <x:c r="N1108" s="171" t="str">
        <x:v>Zero / no separate line in audited presentation</x:v>
      </x:c>
      <x:c r="O1108" s="171" t="str">
        <x:v>Zero classification checked within the audited statement/note and reconstructed statement totals; absence of a separate line does not imply a missing replacement estimate.</x:v>
      </x:c>
      <x:c r="P1108" s="171" t="str">
        <x:v>
182
UNCONSOLIDA TED STA TEMENT OF 
FINANCIAL POSITION 
AS AT JUNE 30, 2022
   2022 2021
  Note (Rupees in thousand) 
EQUITY AND LIABILITIES   
   | Long term liability against right of use</x:v>
      </x:c>
    </x:row>
    <x:row r="1109" ht="82" customHeight="1">
      <x:c r="A1109" s="76" t="str">
        <x:v>MLCF|lease_nc|2022</x:v>
      </x:c>
      <x:c r="B1109" s="76" t="str">
        <x:v>MLCF</x:v>
      </x:c>
      <x:c r="C1109" s="76" t="str">
        <x:v>FY2022</x:v>
      </x:c>
      <x:c r="D1109" s="76" t="str">
        <x:v>Lease liabilities (non-current)</x:v>
      </x:c>
      <x:c r="E1109" s="170" t="n">
        <x:v>27136</x:v>
      </x:c>
      <x:c r="F1109" s="170" t="n">
        <x:v>27136</x:v>
      </x:c>
      <x:c r="G1109" s="170" t="str">
        <x:v>Rs '000</x:v>
      </x:c>
      <x:c r="H1109" s="170" t="n">
        <x:f>F1109/1000</x:f>
        <x:v>27.136</x:v>
      </x:c>
      <x:c r="I1109" s="170" t="n">
        <x:f>MLCF!E44</x:f>
        <x:v>27.136</x:v>
      </x:c>
      <x:c r="J1109" s="170" t="n">
        <x:f>H1109-I1109</x:f>
        <x:v>0</x:v>
      </x:c>
      <x:c r="K1109" s="76" t="str">
        <x:v>2023.pdf</x:v>
      </x:c>
      <x:c r="L1109" s="76" t="n">
        <x:v>98</x:v>
      </x:c>
      <x:c r="M1109" s="76" t="str">
        <x:v>Comparative</x:v>
      </x:c>
      <x:c r="N1109" s="99" t="str">
        <x:v>Printed amount independently located</x:v>
      </x:c>
      <x:c r="O1109" s="99" t="str">
        <x:v>Exact source amount found; audited year/current-comparative column recorded. Accounting subtotal tests performed separately.</x:v>
      </x:c>
      <x:c r="P1109" s="99" t="str">
        <x:v>ferred grant 9 605,926 786,758
Long term loan from subsidiary company 10 2,000,000 2,000,000
Long term liability against right of use asset 11 31,408 27,136
Long term deposits 12 8,214 8,214
Deferred taxation 13 8,669,211 5,656,499
Retention money 14 1,752,988 -
Retirement benefits 15 278,492 235,329
  28,579,576 25,461,804
CURRENT LI</x:v>
      </x:c>
    </x:row>
    <x:row r="1110" ht="82" customHeight="1">
      <x:c r="A1110" s="168" t="str">
        <x:v>MLCF|lease_nc|2023</x:v>
      </x:c>
      <x:c r="B1110" s="168" t="str">
        <x:v>MLCF</x:v>
      </x:c>
      <x:c r="C1110" s="168" t="str">
        <x:v>FY2023</x:v>
      </x:c>
      <x:c r="D1110" s="168" t="str">
        <x:v>Lease liabilities (non-current)</x:v>
      </x:c>
      <x:c r="E1110" s="169" t="n">
        <x:v>31408</x:v>
      </x:c>
      <x:c r="F1110" s="169" t="n">
        <x:v>31408</x:v>
      </x:c>
      <x:c r="G1110" s="169" t="str">
        <x:v>Rs '000</x:v>
      </x:c>
      <x:c r="H1110" s="169" t="n">
        <x:f>F1110/1000</x:f>
        <x:v>31.408</x:v>
      </x:c>
      <x:c r="I1110" s="169" t="n">
        <x:f>MLCF!F44</x:f>
        <x:v>31.408</x:v>
      </x:c>
      <x:c r="J1110" s="169" t="n">
        <x:f>H1110-I1110</x:f>
        <x:v>0</x:v>
      </x:c>
      <x:c r="K1110" s="168" t="str">
        <x:v>2024.pdf</x:v>
      </x:c>
      <x:c r="L1110" s="168" t="n">
        <x:v>189</x:v>
      </x:c>
      <x:c r="M1110" s="168" t="str">
        <x:v>Comparative</x:v>
      </x:c>
      <x:c r="N1110" s="171" t="str">
        <x:v>Printed amount independently located</x:v>
      </x:c>
      <x:c r="O1110" s="171" t="str">
        <x:v>Exact source amount found; audited year/current-comparative column recorded. Accounting subtotal tests performed separately.</x:v>
      </x:c>
      <x:c r="P1110" s="171" t="str">
        <x:v>337
Deferred government grant 9 450,487 605,926
Long term loan from subsidiary company - unsecured 10 4,500,000 2,000,000
Lease liabilities 11 34,670 31,408
Long term deposits 12 8,214 8,214
Deferred taxation 13 13,044,290 8,669,211
Retention money 14 - 1,752,988
Employee benefits obligations 15 328,527 278,492
  28,151,974 28,579,576</x:v>
      </x:c>
    </x:row>
    <x:row r="1111" ht="82" customHeight="1">
      <x:c r="A1111" s="76" t="str">
        <x:v>MLCF|lease_nc|2024</x:v>
      </x:c>
      <x:c r="B1111" s="76" t="str">
        <x:v>MLCF</x:v>
      </x:c>
      <x:c r="C1111" s="76" t="str">
        <x:v>FY2024</x:v>
      </x:c>
      <x:c r="D1111" s="76" t="str">
        <x:v>Lease liabilities (non-current)</x:v>
      </x:c>
      <x:c r="E1111" s="170" t="n">
        <x:v>34670</x:v>
      </x:c>
      <x:c r="F1111" s="170" t="n">
        <x:v>34670</x:v>
      </x:c>
      <x:c r="G1111" s="170" t="str">
        <x:v>Rs '000</x:v>
      </x:c>
      <x:c r="H1111" s="170" t="n">
        <x:f>F1111/1000</x:f>
        <x:v>34.67</x:v>
      </x:c>
      <x:c r="I1111" s="170" t="n">
        <x:f>MLCF!G44</x:f>
        <x:v>34.67</x:v>
      </x:c>
      <x:c r="J1111" s="170" t="n">
        <x:f>H1111-I1111</x:f>
        <x:v>0</x:v>
      </x:c>
      <x:c r="K1111" s="76" t="str">
        <x:v>2025.pdf</x:v>
      </x:c>
      <x:c r="L1111" s="76" t="n">
        <x:v>201</x:v>
      </x:c>
      <x:c r="M1111" s="76" t="str">
        <x:v>Comparative</x:v>
      </x:c>
      <x:c r="N1111" s="99" t="str">
        <x:v>Printed amount independently located</x:v>
      </x:c>
      <x:c r="O1111" s="99" t="str">
        <x:v>Exact source amount found; audited year/current-comparative column recorded. Accounting subtotal tests performed separately.</x:v>
      </x:c>
      <x:c r="P1111" s="99" t="str">
        <x:v>eferred government grant 9  322,304   450,487 
Long term loan from subsidiary company - unsecured 10  -     4,500,000 
Lease liabilities 11  28,495   34,670 
Long term deposits 12  8,214   8,214 
Deferred income tax liability 13  13,822,898   13,044,290 
Employee benefits obligations 14  350,638   328,527 
   24,314,188   28,151,974</x:v>
      </x:c>
    </x:row>
    <x:row r="1112" ht="82" customHeight="1">
      <x:c r="A1112" s="168" t="str">
        <x:v>MLCF|lease_nc|2025</x:v>
      </x:c>
      <x:c r="B1112" s="168" t="str">
        <x:v>MLCF</x:v>
      </x:c>
      <x:c r="C1112" s="168" t="str">
        <x:v>FY2025</x:v>
      </x:c>
      <x:c r="D1112" s="168" t="str">
        <x:v>Lease liabilities (non-current)</x:v>
      </x:c>
      <x:c r="E1112" s="169" t="n">
        <x:v>28495</x:v>
      </x:c>
      <x:c r="F1112" s="169" t="n">
        <x:v>28495</x:v>
      </x:c>
      <x:c r="G1112" s="169" t="str">
        <x:v>Rs '000</x:v>
      </x:c>
      <x:c r="H1112" s="169" t="n">
        <x:f>F1112/1000</x:f>
        <x:v>28.495</x:v>
      </x:c>
      <x:c r="I1112" s="169" t="n">
        <x:f>MLCF!H44</x:f>
        <x:v>28.495</x:v>
      </x:c>
      <x:c r="J1112" s="169" t="n">
        <x:f>H1112-I1112</x:f>
        <x:v>0</x:v>
      </x:c>
      <x:c r="K1112" s="168" t="str">
        <x:v>2025.pdf</x:v>
      </x:c>
      <x:c r="L1112" s="168" t="n">
        <x:v>201</x:v>
      </x:c>
      <x:c r="M1112" s="168" t="str">
        <x:v>Current year</x:v>
      </x:c>
      <x:c r="N1112" s="171" t="str">
        <x:v>Printed amount independently located</x:v>
      </x:c>
      <x:c r="O1112" s="171" t="str">
        <x:v>Exact source amount found; audited year/current-comparative column recorded. Accounting subtotal tests performed separately.</x:v>
      </x:c>
      <x:c r="P1112" s="171" t="str">
        <x:v>85,786 
Deferred government grant 9  322,304   450,487 
Long term loan from subsidiary company - unsecured 10  -     4,500,000 
Lease liabilities 11  28,495   34,670 
Long term deposits 12  8,214   8,214 
Deferred income tax liability 13  13,822,898   13,044,290 
Employee benefits obligations 14  350,638   328,527 
   24,314,188   28,</x:v>
      </x:c>
    </x:row>
    <x:row r="1113" ht="82" customHeight="1">
      <x:c r="A1113" s="76" t="str">
        <x:v>MLCF|grant_nc|2020</x:v>
      </x:c>
      <x:c r="B1113" s="76" t="str">
        <x:v>MLCF</x:v>
      </x:c>
      <x:c r="C1113" s="76" t="str">
        <x:v>FY2020</x:v>
      </x:c>
      <x:c r="D1113" s="76" t="str">
        <x:v>Deferred government grant (non-current)</x:v>
      </x:c>
      <x:c r="E1113" s="170" t="n">
        <x:v>0</x:v>
      </x:c>
      <x:c r="F1113" s="170" t="n">
        <x:v>0</x:v>
      </x:c>
      <x:c r="G1113" s="170" t="str">
        <x:v>Rs '000</x:v>
      </x:c>
      <x:c r="H1113" s="170" t="n">
        <x:f>F1113/1000</x:f>
        <x:v>0</x:v>
      </x:c>
      <x:c r="I1113" s="170" t="n">
        <x:f>MLCF!C45</x:f>
        <x:v>0</x:v>
      </x:c>
      <x:c r="J1113" s="170" t="n">
        <x:f>H1113-I1113</x:f>
        <x:v>0</x:v>
      </x:c>
      <x:c r="K1113" s="76" t="str">
        <x:v>2021.pdf</x:v>
      </x:c>
      <x:c r="L1113" s="76" t="n">
        <x:v>162</x:v>
      </x:c>
      <x:c r="M1113" s="76" t="str">
        <x:v>Comparative</x:v>
      </x:c>
      <x:c r="N1113" s="99" t="str">
        <x:v>Zero / no separate line in audited presentation</x:v>
      </x:c>
      <x:c r="O1113" s="99" t="str">
        <x:v>Zero classification checked within the audited statement/note and reconstructed statement totals; absence of a separate line does not imply a missing replacement estimate.</x:v>
      </x:c>
      <x:c r="P1113" s="99" t="str">
        <x:v>
160
UNCONSOLIDA TED STA TEMENT OF 
FINANCIAL POSITION 
AS AT JUNE 30, 2021
   2021 2020
  Note (Rupees in thousand) 
EQUITY AND LIABILITIES   
   | Deferred grant</x:v>
      </x:c>
    </x:row>
    <x:row r="1114" ht="82" customHeight="1">
      <x:c r="A1114" s="168" t="str">
        <x:v>MLCF|grant_nc|2021</x:v>
      </x:c>
      <x:c r="B1114" s="168" t="str">
        <x:v>MLCF</x:v>
      </x:c>
      <x:c r="C1114" s="168" t="str">
        <x:v>FY2021</x:v>
      </x:c>
      <x:c r="D1114" s="168" t="str">
        <x:v>Deferred government grant (non-current)</x:v>
      </x:c>
      <x:c r="E1114" s="169" t="n">
        <x:v>49569</x:v>
      </x:c>
      <x:c r="F1114" s="169" t="n">
        <x:v>49569</x:v>
      </x:c>
      <x:c r="G1114" s="169" t="str">
        <x:v>Rs '000</x:v>
      </x:c>
      <x:c r="H1114" s="169" t="n">
        <x:f>F1114/1000</x:f>
        <x:v>49.569</x:v>
      </x:c>
      <x:c r="I1114" s="169" t="n">
        <x:f>MLCF!D45</x:f>
        <x:v>49.569</x:v>
      </x:c>
      <x:c r="J1114" s="169" t="n">
        <x:f>H1114-I1114</x:f>
        <x:v>0</x:v>
      </x:c>
      <x:c r="K1114" s="168" t="str">
        <x:v>2022.pdf</x:v>
      </x:c>
      <x:c r="L1114" s="168" t="n">
        <x:v>183</x:v>
      </x:c>
      <x:c r="M1114" s="168" t="str">
        <x:v>Comparative</x:v>
      </x:c>
      <x:c r="N1114" s="171" t="str">
        <x:v>Printed amount independently located</x:v>
      </x:c>
      <x:c r="O1114" s="171" t="str">
        <x:v>Exact source amount found; audited year/current-comparative column recorded. Accounting subtotal tests performed separately.</x:v>
      </x:c>
      <x:c r="P1114" s="171" t="str">
        <x:v>2,541 
NON - CURRENT LIABILITIES   
Long term loans from financial institutions - secured 8  16,747,868   11,636,749 
Deferred grant 9  786,758   49,569 
Long term loan from subsidiary company 10  2,000,000   1,000,000 
Long term liability against right of use asset 11  27,136   -   
Deferred taxation 12  5,656,499   3,889,907 
Re</x:v>
      </x:c>
    </x:row>
    <x:row r="1115" ht="82" customHeight="1">
      <x:c r="A1115" s="76" t="str">
        <x:v>MLCF|grant_nc|2022</x:v>
      </x:c>
      <x:c r="B1115" s="76" t="str">
        <x:v>MLCF</x:v>
      </x:c>
      <x:c r="C1115" s="76" t="str">
        <x:v>FY2022</x:v>
      </x:c>
      <x:c r="D1115" s="76" t="str">
        <x:v>Deferred government grant (non-current)</x:v>
      </x:c>
      <x:c r="E1115" s="170" t="n">
        <x:v>786758</x:v>
      </x:c>
      <x:c r="F1115" s="170" t="n">
        <x:v>786758</x:v>
      </x:c>
      <x:c r="G1115" s="170" t="str">
        <x:v>Rs '000</x:v>
      </x:c>
      <x:c r="H1115" s="170" t="n">
        <x:f>F1115/1000</x:f>
        <x:v>786.758</x:v>
      </x:c>
      <x:c r="I1115" s="170" t="n">
        <x:f>MLCF!E45</x:f>
        <x:v>786.758</x:v>
      </x:c>
      <x:c r="J1115" s="170" t="n">
        <x:f>H1115-I1115</x:f>
        <x:v>0</x:v>
      </x:c>
      <x:c r="K1115" s="76" t="str">
        <x:v>2023.pdf</x:v>
      </x:c>
      <x:c r="L1115" s="76" t="n">
        <x:v>98</x:v>
      </x:c>
      <x:c r="M1115" s="76" t="str">
        <x:v>Comparative</x:v>
      </x:c>
      <x:c r="N1115" s="99" t="str">
        <x:v>Printed amount independently located</x:v>
      </x:c>
      <x:c r="O1115" s="99" t="str">
        <x:v>Exact source amount found; audited year/current-comparative column recorded. Accounting subtotal tests performed separately.</x:v>
      </x:c>
      <x:c r="P1115" s="99" t="str">
        <x:v>4,913,114 40,559,015
NON - CURRENT LIABILITIES
Long term loans from financial institutions - secured 8 15,233,337 16,747,868
Deferred grant 9 605,926 786,758
Long term loan from subsidiary company 10 2,000,000 2,000,000
Long term liability against right of use asset 11 31,408 27,136
Long term deposits 12 8,214 8,214
Deferred taxation 1</x:v>
      </x:c>
    </x:row>
    <x:row r="1116" ht="82" customHeight="1">
      <x:c r="A1116" s="168" t="str">
        <x:v>MLCF|grant_nc|2023</x:v>
      </x:c>
      <x:c r="B1116" s="168" t="str">
        <x:v>MLCF</x:v>
      </x:c>
      <x:c r="C1116" s="168" t="str">
        <x:v>FY2023</x:v>
      </x:c>
      <x:c r="D1116" s="168" t="str">
        <x:v>Deferred government grant (non-current)</x:v>
      </x:c>
      <x:c r="E1116" s="169" t="n">
        <x:v>605926</x:v>
      </x:c>
      <x:c r="F1116" s="169" t="n">
        <x:v>605926</x:v>
      </x:c>
      <x:c r="G1116" s="169" t="str">
        <x:v>Rs '000</x:v>
      </x:c>
      <x:c r="H1116" s="169" t="n">
        <x:f>F1116/1000</x:f>
        <x:v>605.926</x:v>
      </x:c>
      <x:c r="I1116" s="169" t="n">
        <x:f>MLCF!F45</x:f>
        <x:v>605.926</x:v>
      </x:c>
      <x:c r="J1116" s="169" t="n">
        <x:f>H1116-I1116</x:f>
        <x:v>0</x:v>
      </x:c>
      <x:c r="K1116" s="168" t="str">
        <x:v>2024.pdf</x:v>
      </x:c>
      <x:c r="L1116" s="168" t="n">
        <x:v>189</x:v>
      </x:c>
      <x:c r="M1116" s="168" t="str">
        <x:v>Comparative</x:v>
      </x:c>
      <x:c r="N1116" s="171" t="str">
        <x:v>Printed amount independently located</x:v>
      </x:c>
      <x:c r="O1116" s="171" t="str">
        <x:v>Exact source amount found; audited year/current-comparative column recorded. Accounting subtotal tests performed separately.</x:v>
      </x:c>
      <x:c r="P1116" s="171" t="str">
        <x:v>8 44,913,114
NON-CURRENT LIABILITIES
Long term loans from financial institutions - secured 8 9,785,786 15,233,337
Deferred government grant 9 450,487 605,926
Long term loan from subsidiary company - unsecured 10 4,500,000 2,000,000
Lease liabilities 11 34,670 31,408
Long term deposits 12 8,214 8,214
Deferred taxation 13 13,044,290 8,66</x:v>
      </x:c>
    </x:row>
    <x:row r="1117" ht="82" customHeight="1">
      <x:c r="A1117" s="76" t="str">
        <x:v>MLCF|grant_nc|2024</x:v>
      </x:c>
      <x:c r="B1117" s="76" t="str">
        <x:v>MLCF</x:v>
      </x:c>
      <x:c r="C1117" s="76" t="str">
        <x:v>FY2024</x:v>
      </x:c>
      <x:c r="D1117" s="76" t="str">
        <x:v>Deferred government grant (non-current)</x:v>
      </x:c>
      <x:c r="E1117" s="170" t="n">
        <x:v>450487</x:v>
      </x:c>
      <x:c r="F1117" s="170" t="n">
        <x:v>450487</x:v>
      </x:c>
      <x:c r="G1117" s="170" t="str">
        <x:v>Rs '000</x:v>
      </x:c>
      <x:c r="H1117" s="170" t="n">
        <x:f>F1117/1000</x:f>
        <x:v>450.487</x:v>
      </x:c>
      <x:c r="I1117" s="170" t="n">
        <x:f>MLCF!G45</x:f>
        <x:v>450.487</x:v>
      </x:c>
      <x:c r="J1117" s="170" t="n">
        <x:f>H1117-I1117</x:f>
        <x:v>0</x:v>
      </x:c>
      <x:c r="K1117" s="76" t="str">
        <x:v>2025.pdf</x:v>
      </x:c>
      <x:c r="L1117" s="76" t="n">
        <x:v>201</x:v>
      </x:c>
      <x:c r="M1117" s="76" t="str">
        <x:v>Comparative</x:v>
      </x:c>
      <x:c r="N1117" s="99" t="str">
        <x:v>Printed amount independently located</x:v>
      </x:c>
      <x:c r="O1117" s="99" t="str">
        <x:v>Exact source amount found; audited year/current-comparative column recorded. Accounting subtotal tests performed separately.</x:v>
      </x:c>
      <x:c r="P1117" s="99" t="str">
        <x:v>908 
NON - CURRENT LIABILITIES
Long term loans from financial institutions - secured 8  9,781,639   9,785,786 
Deferred government grant 9  322,304   450,487 
Long term loan from subsidiary company - unsecured 10  -     4,500,000 
Lease liabilities 11  28,495   34,670 
Long term deposits 12  8,214   8,214 
Deferred income tax liability</x:v>
      </x:c>
    </x:row>
    <x:row r="1118" ht="82" customHeight="1">
      <x:c r="A1118" s="168" t="str">
        <x:v>MLCF|grant_nc|2025</x:v>
      </x:c>
      <x:c r="B1118" s="168" t="str">
        <x:v>MLCF</x:v>
      </x:c>
      <x:c r="C1118" s="168" t="str">
        <x:v>FY2025</x:v>
      </x:c>
      <x:c r="D1118" s="168" t="str">
        <x:v>Deferred government grant (non-current)</x:v>
      </x:c>
      <x:c r="E1118" s="169" t="n">
        <x:v>322304</x:v>
      </x:c>
      <x:c r="F1118" s="169" t="n">
        <x:v>322304</x:v>
      </x:c>
      <x:c r="G1118" s="169" t="str">
        <x:v>Rs '000</x:v>
      </x:c>
      <x:c r="H1118" s="169" t="n">
        <x:f>F1118/1000</x:f>
        <x:v>322.304</x:v>
      </x:c>
      <x:c r="I1118" s="169" t="n">
        <x:f>MLCF!H45</x:f>
        <x:v>322.304</x:v>
      </x:c>
      <x:c r="J1118" s="169" t="n">
        <x:f>H1118-I1118</x:f>
        <x:v>0</x:v>
      </x:c>
      <x:c r="K1118" s="168" t="str">
        <x:v>2025.pdf</x:v>
      </x:c>
      <x:c r="L1118" s="168" t="n">
        <x:v>201</x:v>
      </x:c>
      <x:c r="M1118" s="168" t="str">
        <x:v>Current year</x:v>
      </x:c>
      <x:c r="N1118" s="171" t="str">
        <x:v>Printed amount independently located</x:v>
      </x:c>
      <x:c r="O1118" s="171" t="str">
        <x:v>Exact source amount found; audited year/current-comparative column recorded. Accounting subtotal tests performed separately.</x:v>
      </x:c>
      <x:c r="P1118" s="171" t="str">
        <x:v>52,615,908 
NON - CURRENT LIABILITIES
Long term loans from financial institutions - secured 8  9,781,639   9,785,786 
Deferred government grant 9  322,304   450,487 
Long term loan from subsidiary company - unsecured 10  -     4,500,000 
Lease liabilities 11  28,495   34,670 
Long term deposits 12  8,214   8,214 
Deferred income tax</x:v>
      </x:c>
    </x:row>
    <x:row r="1119" ht="82" customHeight="1">
      <x:c r="A1119" s="76" t="str">
        <x:v>MLCF|def_tax|2020</x:v>
      </x:c>
      <x:c r="B1119" s="76" t="str">
        <x:v>MLCF</x:v>
      </x:c>
      <x:c r="C1119" s="76" t="str">
        <x:v>FY2020</x:v>
      </x:c>
      <x:c r="D1119" s="76" t="str">
        <x:v>Deferred tax liability</x:v>
      </x:c>
      <x:c r="E1119" s="170" t="n">
        <x:v>3379440</x:v>
      </x:c>
      <x:c r="F1119" s="170" t="n">
        <x:v>3379440</x:v>
      </x:c>
      <x:c r="G1119" s="170" t="str">
        <x:v>Rs '000</x:v>
      </x:c>
      <x:c r="H1119" s="170" t="n">
        <x:f>F1119/1000</x:f>
        <x:v>3379.44</x:v>
      </x:c>
      <x:c r="I1119" s="170" t="n">
        <x:f>MLCF!C46</x:f>
        <x:v>3379.44</x:v>
      </x:c>
      <x:c r="J1119" s="170" t="n">
        <x:f>H1119-I1119</x:f>
        <x:v>0</x:v>
      </x:c>
      <x:c r="K1119" s="76" t="str">
        <x:v>2021.pdf</x:v>
      </x:c>
      <x:c r="L1119" s="76" t="n">
        <x:v>162</x:v>
      </x:c>
      <x:c r="M1119" s="76" t="str">
        <x:v>Comparative</x:v>
      </x:c>
      <x:c r="N1119" s="99" t="str">
        <x:v>Printed amount independently located</x:v>
      </x:c>
      <x:c r="O1119" s="99" t="str">
        <x:v>Exact source amount found; audited year/current-comparative column recorded. Accounting subtotal tests performed separately.</x:v>
      </x:c>
      <x:c r="P1119" s="99" t="str">
        <x:v>569   -   
Long term loan from Subsidiary Company 10  1,000,000   3,000,000 
Long term deposits  11  8,214   8,664 
Deferred taxation 12  3,889,907   3,379,440 
Retention money payable 13  391,694   366,069 
Payable to government authority 14  42,890   232,938 
Retirement benefits 15  228,266   214,952 
    17,247,289   19,375,165 
C</x:v>
      </x:c>
    </x:row>
    <x:row r="1120" ht="82" customHeight="1">
      <x:c r="A1120" s="168" t="str">
        <x:v>MLCF|def_tax|2021</x:v>
      </x:c>
      <x:c r="B1120" s="168" t="str">
        <x:v>MLCF</x:v>
      </x:c>
      <x:c r="C1120" s="168" t="str">
        <x:v>FY2021</x:v>
      </x:c>
      <x:c r="D1120" s="168" t="str">
        <x:v>Deferred tax liability</x:v>
      </x:c>
      <x:c r="E1120" s="169" t="n">
        <x:v>3889907</x:v>
      </x:c>
      <x:c r="F1120" s="169" t="n">
        <x:v>3889907</x:v>
      </x:c>
      <x:c r="G1120" s="169" t="str">
        <x:v>Rs '000</x:v>
      </x:c>
      <x:c r="H1120" s="169" t="n">
        <x:f>F1120/1000</x:f>
        <x:v>3889.907</x:v>
      </x:c>
      <x:c r="I1120" s="169" t="n">
        <x:f>MLCF!D46</x:f>
        <x:v>3889.907</x:v>
      </x:c>
      <x:c r="J1120" s="169" t="n">
        <x:f>H1120-I1120</x:f>
        <x:v>0</x:v>
      </x:c>
      <x:c r="K1120" s="168" t="str">
        <x:v>2022.pdf</x:v>
      </x:c>
      <x:c r="L1120" s="168" t="n">
        <x:v>183</x:v>
      </x:c>
      <x:c r="M1120" s="168" t="str">
        <x:v>Comparative</x:v>
      </x:c>
      <x:c r="N1120" s="171" t="str">
        <x:v>Printed amount independently located</x:v>
      </x:c>
      <x:c r="O1120" s="171" t="str">
        <x:v>Exact source amount found; audited year/current-comparative column recorded. Accounting subtotal tests performed separately.</x:v>
      </x:c>
      <x:c r="P1120" s="171" t="str">
        <x:v>from subsidiary company 10  2,000,000   1,000,000 
Long term liability against right of use asset 11  27,136   -   
Deferred taxation 12  5,656,499   3,889,907 
Retention money payable 13  -     391,694 
Payable to government authority 14  -     42,890 
Retirement benefits 15  235,329   228,266 
Long term deposits   8,214   8,214</x:v>
      </x:c>
    </x:row>
    <x:row r="1121" ht="82" customHeight="1">
      <x:c r="A1121" s="76" t="str">
        <x:v>MLCF|def_tax|2022</x:v>
      </x:c>
      <x:c r="B1121" s="76" t="str">
        <x:v>MLCF</x:v>
      </x:c>
      <x:c r="C1121" s="76" t="str">
        <x:v>FY2022</x:v>
      </x:c>
      <x:c r="D1121" s="76" t="str">
        <x:v>Deferred tax liability</x:v>
      </x:c>
      <x:c r="E1121" s="170" t="n">
        <x:v>5656499</x:v>
      </x:c>
      <x:c r="F1121" s="170" t="n">
        <x:v>5656499</x:v>
      </x:c>
      <x:c r="G1121" s="170" t="str">
        <x:v>Rs '000</x:v>
      </x:c>
      <x:c r="H1121" s="170" t="n">
        <x:f>F1121/1000</x:f>
        <x:v>5656.499</x:v>
      </x:c>
      <x:c r="I1121" s="170" t="n">
        <x:f>MLCF!E46</x:f>
        <x:v>5656.499</x:v>
      </x:c>
      <x:c r="J1121" s="170" t="n">
        <x:f>H1121-I1121</x:f>
        <x:v>0</x:v>
      </x:c>
      <x:c r="K1121" s="76" t="str">
        <x:v>2023.pdf</x:v>
      </x:c>
      <x:c r="L1121" s="76" t="n">
        <x:v>98</x:v>
      </x:c>
      <x:c r="M1121" s="76" t="str">
        <x:v>Comparative</x:v>
      </x:c>
      <x:c r="N1121" s="99" t="str">
        <x:v>Printed amount independently located</x:v>
      </x:c>
      <x:c r="O1121" s="99" t="str">
        <x:v>Exact source amount found; audited year/current-comparative column recorded. Accounting subtotal tests performed separately.</x:v>
      </x:c>
      <x:c r="P1121" s="99" t="str">
        <x:v>2,000,000 2,000,000
Long term liability against right of use asset 11 31,408 27,136
Long term deposits 12 8,214 8,214
Deferred taxation 13 8,669,211 5,656,499
Retention money 14 1,752,988 -
Retirement benefits 15 278,492 235,329
  28,579,576 25,461,804
CURRENT LIABILITIES
Current portion of:
 - Long term loans from financial institution</x:v>
      </x:c>
    </x:row>
    <x:row r="1122" ht="82" customHeight="1">
      <x:c r="A1122" s="168" t="str">
        <x:v>MLCF|def_tax|2023</x:v>
      </x:c>
      <x:c r="B1122" s="168" t="str">
        <x:v>MLCF</x:v>
      </x:c>
      <x:c r="C1122" s="168" t="str">
        <x:v>FY2023</x:v>
      </x:c>
      <x:c r="D1122" s="168" t="str">
        <x:v>Deferred tax liability</x:v>
      </x:c>
      <x:c r="E1122" s="169" t="n">
        <x:v>8669211</x:v>
      </x:c>
      <x:c r="F1122" s="169" t="n">
        <x:v>8669211</x:v>
      </x:c>
      <x:c r="G1122" s="169" t="str">
        <x:v>Rs '000</x:v>
      </x:c>
      <x:c r="H1122" s="169" t="n">
        <x:f>F1122/1000</x:f>
        <x:v>8669.211</x:v>
      </x:c>
      <x:c r="I1122" s="169" t="n">
        <x:f>MLCF!F46</x:f>
        <x:v>8669.211</x:v>
      </x:c>
      <x:c r="J1122" s="169" t="n">
        <x:f>H1122-I1122</x:f>
        <x:v>0</x:v>
      </x:c>
      <x:c r="K1122" s="168" t="str">
        <x:v>2024.pdf</x:v>
      </x:c>
      <x:c r="L1122" s="168" t="n">
        <x:v>189</x:v>
      </x:c>
      <x:c r="M1122" s="168" t="str">
        <x:v>Comparative</x:v>
      </x:c>
      <x:c r="N1122" s="171" t="str">
        <x:v>Printed amount independently located</x:v>
      </x:c>
      <x:c r="O1122" s="171" t="str">
        <x:v>Exact source amount found; audited year/current-comparative column recorded. Accounting subtotal tests performed separately.</x:v>
      </x:c>
      <x:c r="P1122" s="171" t="str">
        <x:v>diary company - unsecured 10 4,500,000 2,000,000
Lease liabilities 11 34,670 31,408
Long term deposits 12 8,214 8,214
Deferred taxation 13 13,044,290 8,669,211
Retention money 14 - 1,752,988
Employee benefits obligations 15 328,527 278,492
  28,151,974 28,579,576
CURRENT LIABILITIES
Current portion of:
 - Long term loans from financial i</x:v>
      </x:c>
    </x:row>
    <x:row r="1123" ht="82" customHeight="1">
      <x:c r="A1123" s="76" t="str">
        <x:v>MLCF|def_tax|2024</x:v>
      </x:c>
      <x:c r="B1123" s="76" t="str">
        <x:v>MLCF</x:v>
      </x:c>
      <x:c r="C1123" s="76" t="str">
        <x:v>FY2024</x:v>
      </x:c>
      <x:c r="D1123" s="76" t="str">
        <x:v>Deferred tax liability</x:v>
      </x:c>
      <x:c r="E1123" s="170" t="n">
        <x:v>13044290</x:v>
      </x:c>
      <x:c r="F1123" s="170" t="n">
        <x:v>13044290</x:v>
      </x:c>
      <x:c r="G1123" s="170" t="str">
        <x:v>Rs '000</x:v>
      </x:c>
      <x:c r="H1123" s="170" t="n">
        <x:f>F1123/1000</x:f>
        <x:v>13044.29</x:v>
      </x:c>
      <x:c r="I1123" s="170" t="n">
        <x:f>MLCF!G46</x:f>
        <x:v>13044.29</x:v>
      </x:c>
      <x:c r="J1123" s="170" t="n">
        <x:f>H1123-I1123</x:f>
        <x:v>0</x:v>
      </x:c>
      <x:c r="K1123" s="76" t="str">
        <x:v>2025.pdf</x:v>
      </x:c>
      <x:c r="L1123" s="76" t="n">
        <x:v>201</x:v>
      </x:c>
      <x:c r="M1123" s="76" t="str">
        <x:v>Comparative</x:v>
      </x:c>
      <x:c r="N1123" s="99" t="str">
        <x:v>Printed amount independently located</x:v>
      </x:c>
      <x:c r="O1123" s="99" t="str">
        <x:v>Exact source amount found; audited year/current-comparative column recorded. Accounting subtotal tests performed separately.</x:v>
      </x:c>
      <x:c r="P1123" s="99" t="str">
        <x:v>ured 10  -     4,500,000 
Lease liabilities 11  28,495   34,670 
Long term deposits 12  8,214   8,214 
Deferred income tax liability 13  13,822,898   13,044,290 
Employee benefits obligations 14  350,638   328,527 
   24,314,188   28,151,974 
CURRENT LIABILITIES
Current portion of:
 - Long term loans from financial institutions - secured</x:v>
      </x:c>
    </x:row>
    <x:row r="1124" ht="82" customHeight="1">
      <x:c r="A1124" s="168" t="str">
        <x:v>MLCF|def_tax|2025</x:v>
      </x:c>
      <x:c r="B1124" s="168" t="str">
        <x:v>MLCF</x:v>
      </x:c>
      <x:c r="C1124" s="168" t="str">
        <x:v>FY2025</x:v>
      </x:c>
      <x:c r="D1124" s="168" t="str">
        <x:v>Deferred tax liability</x:v>
      </x:c>
      <x:c r="E1124" s="169" t="n">
        <x:v>13822898</x:v>
      </x:c>
      <x:c r="F1124" s="169" t="n">
        <x:v>13822898</x:v>
      </x:c>
      <x:c r="G1124" s="169" t="str">
        <x:v>Rs '000</x:v>
      </x:c>
      <x:c r="H1124" s="169" t="n">
        <x:f>F1124/1000</x:f>
        <x:v>13822.898</x:v>
      </x:c>
      <x:c r="I1124" s="169" t="n">
        <x:f>MLCF!H46</x:f>
        <x:v>13822.898</x:v>
      </x:c>
      <x:c r="J1124" s="169" t="n">
        <x:f>H1124-I1124</x:f>
        <x:v>0</x:v>
      </x:c>
      <x:c r="K1124" s="168" t="str">
        <x:v>2025.pdf</x:v>
      </x:c>
      <x:c r="L1124" s="168" t="n">
        <x:v>201</x:v>
      </x:c>
      <x:c r="M1124" s="168" t="str">
        <x:v>Current year</x:v>
      </x:c>
      <x:c r="N1124" s="171" t="str">
        <x:v>Printed amount independently located</x:v>
      </x:c>
      <x:c r="O1124" s="171" t="str">
        <x:v>Exact source amount found; audited year/current-comparative column recorded. Accounting subtotal tests performed separately.</x:v>
      </x:c>
      <x:c r="P1124" s="171" t="str">
        <x:v>mpany - unsecured 10  -     4,500,000 
Lease liabilities 11  28,495   34,670 
Long term deposits 12  8,214   8,214 
Deferred income tax liability 13  13,822,898   13,044,290 
Employee benefits obligations 14  350,638   328,527 
   24,314,188   28,151,974 
CURRENT LIABILITIES
Current portion of:
 - Long term loans from financial institutio</x:v>
      </x:c>
    </x:row>
    <x:row r="1125" ht="82" customHeight="1">
      <x:c r="A1125" s="76" t="str">
        <x:v>MLCF|ncl_other|2020</x:v>
      </x:c>
      <x:c r="B1125" s="76" t="str">
        <x:v>MLCF</x:v>
      </x:c>
      <x:c r="C1125" s="76" t="str">
        <x:v>FY2020</x:v>
      </x:c>
      <x:c r="D1125" s="76" t="str">
        <x:v>Other non-current liabilities</x:v>
      </x:c>
      <x:c r="E1125" s="170" t="n">
        <x:v>822623</x:v>
      </x:c>
      <x:c r="F1125" s="170" t="n">
        <x:v>822623</x:v>
      </x:c>
      <x:c r="G1125" s="170" t="str">
        <x:v>Rs '000</x:v>
      </x:c>
      <x:c r="H1125" s="170" t="n">
        <x:f>F1125/1000</x:f>
        <x:v>822.623</x:v>
      </x:c>
      <x:c r="I1125" s="170" t="n">
        <x:f>MLCF!C47</x:f>
        <x:v>822.623</x:v>
      </x:c>
      <x:c r="J1125" s="170" t="n">
        <x:f>H1125-I1125</x:f>
        <x:v>0</x:v>
      </x:c>
      <x:c r="K1125" s="76" t="str">
        <x:v>2021.pdf</x:v>
      </x:c>
      <x:c r="L1125" s="76" t="n">
        <x:v>162</x:v>
      </x:c>
      <x:c r="M1125" s="76" t="str">
        <x:v>Comparative</x:v>
      </x:c>
      <x:c r="N1125" s="99" t="str">
        <x:v>Aggregated audited components</x:v>
      </x:c>
      <x:c r="O1125" s="99" t="str">
        <x:v>Source-labelled component sum; statement controls and signed-unit conversion independently recomputed.</x:v>
      </x:c>
      <x:c r="P1125" s="99" t="str">
        <x:v>
160
UNCONSOLIDA TED STA TEMENT OF 
FINANCIAL POSITION 
AS AT JUNE 30, 2021
   2021 2020
  Note (Rupees in thousand) 
EQUITY AND LIABILITIES   
SHARE CAPITAL AND RESERVES   | Components: Long term deposits; Payable to government authority; Retention money payable; Retirement benefits</x:v>
      </x:c>
    </x:row>
    <x:row r="1126" ht="82" customHeight="1">
      <x:c r="A1126" s="168" t="str">
        <x:v>MLCF|ncl_other|2021</x:v>
      </x:c>
      <x:c r="B1126" s="168" t="str">
        <x:v>MLCF</x:v>
      </x:c>
      <x:c r="C1126" s="168" t="str">
        <x:v>FY2021</x:v>
      </x:c>
      <x:c r="D1126" s="168" t="str">
        <x:v>Other non-current liabilities</x:v>
      </x:c>
      <x:c r="E1126" s="169" t="n">
        <x:v>671064</x:v>
      </x:c>
      <x:c r="F1126" s="169" t="n">
        <x:v>671064</x:v>
      </x:c>
      <x:c r="G1126" s="169" t="str">
        <x:v>Rs '000</x:v>
      </x:c>
      <x:c r="H1126" s="169" t="n">
        <x:f>F1126/1000</x:f>
        <x:v>671.064</x:v>
      </x:c>
      <x:c r="I1126" s="169" t="n">
        <x:f>MLCF!D47</x:f>
        <x:v>671.064</x:v>
      </x:c>
      <x:c r="J1126" s="169" t="n">
        <x:f>H1126-I1126</x:f>
        <x:v>0</x:v>
      </x:c>
      <x:c r="K1126" s="168" t="str">
        <x:v>2022.pdf</x:v>
      </x:c>
      <x:c r="L1126" s="168" t="n">
        <x:v>183</x:v>
      </x:c>
      <x:c r="M1126" s="168" t="str">
        <x:v>Comparative</x:v>
      </x:c>
      <x:c r="N1126" s="171" t="str">
        <x:v>Aggregated audited components</x:v>
      </x:c>
      <x:c r="O1126" s="171" t="str">
        <x:v>Source-labelled component sum; statement controls and signed-unit conversion independently recomputed.</x:v>
      </x:c>
      <x:c r="P1126" s="171" t="str">
        <x:v>
182
UNCONSOLIDA TED STA TEMENT OF 
FINANCIAL POSITION 
AS AT JUNE 30, 2022
   2022 2021
  Note (Rupees in thousand) 
EQUITY AND LIABILITIES   
SHARE CAPITAL AND RESERVES   | Components: Long term deposits; Payable to government authority; Retention money payable; Retirement benefits</x:v>
      </x:c>
    </x:row>
    <x:row r="1127" ht="82" customHeight="1">
      <x:c r="A1127" s="76" t="str">
        <x:v>MLCF|ncl_other|2022</x:v>
      </x:c>
      <x:c r="B1127" s="76" t="str">
        <x:v>MLCF</x:v>
      </x:c>
      <x:c r="C1127" s="76" t="str">
        <x:v>FY2022</x:v>
      </x:c>
      <x:c r="D1127" s="76" t="str">
        <x:v>Other non-current liabilities</x:v>
      </x:c>
      <x:c r="E1127" s="170" t="n">
        <x:v>243543</x:v>
      </x:c>
      <x:c r="F1127" s="170" t="n">
        <x:v>243543</x:v>
      </x:c>
      <x:c r="G1127" s="170" t="str">
        <x:v>Rs '000</x:v>
      </x:c>
      <x:c r="H1127" s="170" t="n">
        <x:f>F1127/1000</x:f>
        <x:v>243.543</x:v>
      </x:c>
      <x:c r="I1127" s="170" t="n">
        <x:f>MLCF!E47</x:f>
        <x:v>243.543</x:v>
      </x:c>
      <x:c r="J1127" s="170" t="n">
        <x:f>H1127-I1127</x:f>
        <x:v>0</x:v>
      </x:c>
      <x:c r="K1127" s="76" t="str">
        <x:v>2023.pdf</x:v>
      </x:c>
      <x:c r="L1127" s="76" t="n">
        <x:v>98</x:v>
      </x:c>
      <x:c r="M1127" s="76" t="str">
        <x:v>Comparative</x:v>
      </x:c>
      <x:c r="N1127" s="99" t="str">
        <x:v>Aggregated audited components</x:v>
      </x:c>
      <x:c r="O1127" s="99" t="str">
        <x:v>Source-labelled component sum; statement controls and signed-unit conversion independently recomputed.</x:v>
      </x:c>
      <x:c r="P1127" s="99" t="str">
        <x:v>
192 193
UNCONSOLIDA TED STA TEMENT OF 
FINANCIAL POSITION 
AS AT JUNE 30, 2023
   2023 2022
  Note (Rupees in thousand) 
EQUITY AND LIABILITIES
SHARE CAPITAL AND RESERVES
Authoris | Components: Long term deposits; Retention money; Retirement benefits</x:v>
      </x:c>
    </x:row>
    <x:row r="1128" ht="82" customHeight="1">
      <x:c r="A1128" s="168" t="str">
        <x:v>MLCF|ncl_other|2023</x:v>
      </x:c>
      <x:c r="B1128" s="168" t="str">
        <x:v>MLCF</x:v>
      </x:c>
      <x:c r="C1128" s="168" t="str">
        <x:v>FY2023</x:v>
      </x:c>
      <x:c r="D1128" s="168" t="str">
        <x:v>Other non-current liabilities</x:v>
      </x:c>
      <x:c r="E1128" s="169" t="n">
        <x:v>2039694</x:v>
      </x:c>
      <x:c r="F1128" s="169" t="n">
        <x:v>2039694</x:v>
      </x:c>
      <x:c r="G1128" s="169" t="str">
        <x:v>Rs '000</x:v>
      </x:c>
      <x:c r="H1128" s="169" t="n">
        <x:f>F1128/1000</x:f>
        <x:v>2039.694</x:v>
      </x:c>
      <x:c r="I1128" s="169" t="n">
        <x:f>MLCF!F47</x:f>
        <x:v>2039.694</x:v>
      </x:c>
      <x:c r="J1128" s="169" t="n">
        <x:f>H1128-I1128</x:f>
        <x:v>0</x:v>
      </x:c>
      <x:c r="K1128" s="168" t="str">
        <x:v>2024.pdf</x:v>
      </x:c>
      <x:c r="L1128" s="168" t="n">
        <x:v>189</x:v>
      </x:c>
      <x:c r="M1128" s="168" t="str">
        <x:v>Comparative</x:v>
      </x:c>
      <x:c r="N1128" s="171" t="str">
        <x:v>Aggregated audited components</x:v>
      </x:c>
      <x:c r="O1128" s="171" t="str">
        <x:v>Source-labelled component sum; statement controls and signed-unit conversion independently recomputed.</x:v>
      </x:c>
      <x:c r="P1128" s="171" t="str">
        <x:v>
188
UNCONSOLIDA TED STA TEMENT OF 
FINANCIAL POSITION 
AS AT JUNE 30, 2024
   2024 2023
  Note (Rupees in thousand) 
EQUITY AND LIABILITIES
SHARE CAPITAL AND RESERVES
Authorised s | Components: Employee benefits obligations; Long term deposits; Retention money</x:v>
      </x:c>
    </x:row>
    <x:row r="1129" ht="82" customHeight="1">
      <x:c r="A1129" s="76" t="str">
        <x:v>MLCF|ncl_other|2024</x:v>
      </x:c>
      <x:c r="B1129" s="76" t="str">
        <x:v>MLCF</x:v>
      </x:c>
      <x:c r="C1129" s="76" t="str">
        <x:v>FY2024</x:v>
      </x:c>
      <x:c r="D1129" s="76" t="str">
        <x:v>Other non-current liabilities</x:v>
      </x:c>
      <x:c r="E1129" s="170" t="n">
        <x:v>336741</x:v>
      </x:c>
      <x:c r="F1129" s="170" t="n">
        <x:v>336741</x:v>
      </x:c>
      <x:c r="G1129" s="170" t="str">
        <x:v>Rs '000</x:v>
      </x:c>
      <x:c r="H1129" s="170" t="n">
        <x:f>F1129/1000</x:f>
        <x:v>336.741</x:v>
      </x:c>
      <x:c r="I1129" s="170" t="n">
        <x:f>MLCF!G47</x:f>
        <x:v>336.741</x:v>
      </x:c>
      <x:c r="J1129" s="170" t="n">
        <x:f>H1129-I1129</x:f>
        <x:v>0</x:v>
      </x:c>
      <x:c r="K1129" s="76" t="str">
        <x:v>2025.pdf</x:v>
      </x:c>
      <x:c r="L1129" s="76" t="n">
        <x:v>201</x:v>
      </x:c>
      <x:c r="M1129" s="76" t="str">
        <x:v>Comparative</x:v>
      </x:c>
      <x:c r="N1129" s="99" t="str">
        <x:v>Aggregated audited components</x:v>
      </x:c>
      <x:c r="O1129" s="99" t="str">
        <x:v>Source-labelled component sum; statement controls and signed-unit conversion independently recomputed.</x:v>
      </x:c>
      <x:c r="P1129" s="99" t="str">
        <x:v>
200
UNCONSOLIDA TED STA TEMENT OF 
FINANCIAL POSITION 
AS AT JUNE 30, 2025
   2025 2024
  Note (Rupees in thousand) 
EQUITY AND LIABILITIES
SHARE CAPITAL AND RESERVES
Authorised s | Components: Employee benefits obligations; Long term deposits</x:v>
      </x:c>
    </x:row>
    <x:row r="1130" ht="82" customHeight="1">
      <x:c r="A1130" s="168" t="str">
        <x:v>MLCF|ncl_other|2025</x:v>
      </x:c>
      <x:c r="B1130" s="168" t="str">
        <x:v>MLCF</x:v>
      </x:c>
      <x:c r="C1130" s="168" t="str">
        <x:v>FY2025</x:v>
      </x:c>
      <x:c r="D1130" s="168" t="str">
        <x:v>Other non-current liabilities</x:v>
      </x:c>
      <x:c r="E1130" s="169" t="n">
        <x:v>358852</x:v>
      </x:c>
      <x:c r="F1130" s="169" t="n">
        <x:v>358852</x:v>
      </x:c>
      <x:c r="G1130" s="169" t="str">
        <x:v>Rs '000</x:v>
      </x:c>
      <x:c r="H1130" s="169" t="n">
        <x:f>F1130/1000</x:f>
        <x:v>358.852</x:v>
      </x:c>
      <x:c r="I1130" s="169" t="n">
        <x:f>MLCF!H47</x:f>
        <x:v>358.852</x:v>
      </x:c>
      <x:c r="J1130" s="169" t="n">
        <x:f>H1130-I1130</x:f>
        <x:v>0</x:v>
      </x:c>
      <x:c r="K1130" s="168" t="str">
        <x:v>2025.pdf</x:v>
      </x:c>
      <x:c r="L1130" s="168" t="n">
        <x:v>201</x:v>
      </x:c>
      <x:c r="M1130" s="168" t="str">
        <x:v>Current year</x:v>
      </x:c>
      <x:c r="N1130" s="171" t="str">
        <x:v>Aggregated audited components</x:v>
      </x:c>
      <x:c r="O1130" s="171" t="str">
        <x:v>Source-labelled component sum; statement controls and signed-unit conversion independently recomputed.</x:v>
      </x:c>
      <x:c r="P1130" s="171" t="str">
        <x:v>
200
UNCONSOLIDA TED STA TEMENT OF 
FINANCIAL POSITION 
AS AT JUNE 30, 2025
   2025 2024
  Note (Rupees in thousand) 
EQUITY AND LIABILITIES
SHARE CAPITAL AND RESERVES
Authorised s | Components: Employee benefits obligations; Long term deposits</x:v>
      </x:c>
    </x:row>
    <x:row r="1131" ht="82" customHeight="1">
      <x:c r="A1131" s="76" t="str">
        <x:v>MLCF|tap|2020</x:v>
      </x:c>
      <x:c r="B1131" s="76" t="str">
        <x:v>MLCF</x:v>
      </x:c>
      <x:c r="C1131" s="76" t="str">
        <x:v>FY2020</x:v>
      </x:c>
      <x:c r="D1131" s="76" t="str">
        <x:v>Trade and other payables</x:v>
      </x:c>
      <x:c r="E1131" s="170" t="n">
        <x:v>7951221</x:v>
      </x:c>
      <x:c r="F1131" s="170" t="n">
        <x:v>7951221</x:v>
      </x:c>
      <x:c r="G1131" s="170" t="str">
        <x:v>Rs '000</x:v>
      </x:c>
      <x:c r="H1131" s="170" t="n">
        <x:f>F1131/1000</x:f>
        <x:v>7951.221</x:v>
      </x:c>
      <x:c r="I1131" s="170" t="n">
        <x:f>MLCF!C50</x:f>
        <x:v>7951.221</x:v>
      </x:c>
      <x:c r="J1131" s="170" t="n">
        <x:f>H1131-I1131</x:f>
        <x:v>0</x:v>
      </x:c>
      <x:c r="K1131" s="76" t="str">
        <x:v>2021.pdf</x:v>
      </x:c>
      <x:c r="L1131" s="76" t="n">
        <x:v>162</x:v>
      </x:c>
      <x:c r="M1131" s="76" t="str">
        <x:v>Comparative</x:v>
      </x:c>
      <x:c r="N1131" s="99" t="str">
        <x:v>Printed amount independently located</x:v>
      </x:c>
      <x:c r="O1131" s="99" t="str">
        <x:v>Exact source amount found; audited year/current-comparative column recorded. Accounting subtotal tests performed separately.</x:v>
      </x:c>
      <x:c r="P1131" s="99" t="str">
        <x:v>rm loans from financial institutions - secured 8  1,704,612   125,000 
    - Deferred grant 9  49,997   -   
Trade and other payables 16  7,511,637   7,951,221 
Unclaimed dividend   28,134   48,053 
Mark-up accrued on borrowings 17  260,953   547,189 
Short term borrowings 18  1,894,115   6,642,312 
    11,449,448   15,313,775 
C</x:v>
      </x:c>
    </x:row>
    <x:row r="1132" ht="82" customHeight="1">
      <x:c r="A1132" s="168" t="str">
        <x:v>MLCF|tap|2021</x:v>
      </x:c>
      <x:c r="B1132" s="168" t="str">
        <x:v>MLCF</x:v>
      </x:c>
      <x:c r="C1132" s="168" t="str">
        <x:v>FY2021</x:v>
      </x:c>
      <x:c r="D1132" s="168" t="str">
        <x:v>Trade and other payables</x:v>
      </x:c>
      <x:c r="E1132" s="169" t="n">
        <x:v>7511637</x:v>
      </x:c>
      <x:c r="F1132" s="169" t="n">
        <x:v>7511637</x:v>
      </x:c>
      <x:c r="G1132" s="169" t="str">
        <x:v>Rs '000</x:v>
      </x:c>
      <x:c r="H1132" s="169" t="n">
        <x:f>F1132/1000</x:f>
        <x:v>7511.637</x:v>
      </x:c>
      <x:c r="I1132" s="169" t="n">
        <x:f>MLCF!D50</x:f>
        <x:v>7511.637</x:v>
      </x:c>
      <x:c r="J1132" s="169" t="n">
        <x:f>H1132-I1132</x:f>
        <x:v>0</x:v>
      </x:c>
      <x:c r="K1132" s="168" t="str">
        <x:v>2022.pdf</x:v>
      </x:c>
      <x:c r="L1132" s="168" t="n">
        <x:v>183</x:v>
      </x:c>
      <x:c r="M1132" s="168" t="str">
        <x:v>Comparative</x:v>
      </x:c>
      <x:c r="N1132" s="171" t="str">
        <x:v>Printed amount independently located</x:v>
      </x:c>
      <x:c r="O1132" s="171" t="str">
        <x:v>Exact source amount found; audited year/current-comparative column recorded. Accounting subtotal tests performed separately.</x:v>
      </x:c>
      <x:c r="P1132" s="171" t="str">
        <x:v>04,612 
   - Deferred grant 9  184,576   49,997 
   - Liability against right of use assets 11  6,837   -   
Trade and other payables 16  9,117,414   7,511,637 
Unclaimed dividend   27,569   28,134 
Mark-up accrued on borrowings 17  665,122   260,953 
Short term borrowings 18  3,572,073   1,894,115 
       16,193,391   11,449,448</x:v>
      </x:c>
    </x:row>
    <x:row r="1133" ht="82" customHeight="1">
      <x:c r="A1133" s="76" t="str">
        <x:v>MLCF|tap|2022</x:v>
      </x:c>
      <x:c r="B1133" s="76" t="str">
        <x:v>MLCF</x:v>
      </x:c>
      <x:c r="C1133" s="76" t="str">
        <x:v>FY2022</x:v>
      </x:c>
      <x:c r="D1133" s="76" t="str">
        <x:v>Trade and other payables</x:v>
      </x:c>
      <x:c r="E1133" s="170" t="n">
        <x:v>9117414</x:v>
      </x:c>
      <x:c r="F1133" s="170" t="n">
        <x:v>9117414</x:v>
      </x:c>
      <x:c r="G1133" s="170" t="str">
        <x:v>Rs '000</x:v>
      </x:c>
      <x:c r="H1133" s="170" t="n">
        <x:f>F1133/1000</x:f>
        <x:v>9117.414</x:v>
      </x:c>
      <x:c r="I1133" s="170" t="n">
        <x:f>MLCF!E50</x:f>
        <x:v>9117.414</x:v>
      </x:c>
      <x:c r="J1133" s="170" t="n">
        <x:f>H1133-I1133</x:f>
        <x:v>0</x:v>
      </x:c>
      <x:c r="K1133" s="76" t="str">
        <x:v>2023.pdf</x:v>
      </x:c>
      <x:c r="L1133" s="76" t="n">
        <x:v>98</x:v>
      </x:c>
      <x:c r="M1133" s="76" t="str">
        <x:v>Comparative</x:v>
      </x:c>
      <x:c r="N1133" s="99" t="str">
        <x:v>Printed amount independently located</x:v>
      </x:c>
      <x:c r="O1133" s="99" t="str">
        <x:v>Exact source amount found; audited year/current-comparative column recorded. Accounting subtotal tests performed separately.</x:v>
      </x:c>
      <x:c r="P1133" s="99" t="str">
        <x:v>99,401 2,619,800
 - Deferred grant 9 179,766 184,576
 - Liability against right of use assets 11  10,257 6,837
Trade and other payables 16 12,518,180 9,117,414
Unclaimed dividend  27,378 27,569
Mark-up accrued on borrowings 17 880,039 665,122
Short term borrowings 18 - 3,572,073
  16,215,021 16,193,391
CONTINGENCIES AND COMMITMENTS 19</x:v>
      </x:c>
    </x:row>
    <x:row r="1134" ht="82" customHeight="1">
      <x:c r="A1134" s="168" t="str">
        <x:v>MLCF|tap|2023</x:v>
      </x:c>
      <x:c r="B1134" s="168" t="str">
        <x:v>MLCF</x:v>
      </x:c>
      <x:c r="C1134" s="168" t="str">
        <x:v>FY2023</x:v>
      </x:c>
      <x:c r="D1134" s="168" t="str">
        <x:v>Trade and other payables</x:v>
      </x:c>
      <x:c r="E1134" s="169" t="n">
        <x:v>12518180</x:v>
      </x:c>
      <x:c r="F1134" s="169" t="n">
        <x:v>12518180</x:v>
      </x:c>
      <x:c r="G1134" s="169" t="str">
        <x:v>Rs '000</x:v>
      </x:c>
      <x:c r="H1134" s="169" t="n">
        <x:f>F1134/1000</x:f>
        <x:v>12518.18</x:v>
      </x:c>
      <x:c r="I1134" s="169" t="n">
        <x:f>MLCF!F50</x:f>
        <x:v>12518.18</x:v>
      </x:c>
      <x:c r="J1134" s="169" t="n">
        <x:f>H1134-I1134</x:f>
        <x:v>0</x:v>
      </x:c>
      <x:c r="K1134" s="168" t="str">
        <x:v>2024.pdf</x:v>
      </x:c>
      <x:c r="L1134" s="168" t="n">
        <x:v>189</x:v>
      </x:c>
      <x:c r="M1134" s="168" t="str">
        <x:v>Comparative</x:v>
      </x:c>
      <x:c r="N1134" s="171" t="str">
        <x:v>Printed amount independently located</x:v>
      </x:c>
      <x:c r="O1134" s="171" t="str">
        <x:v>Exact source amount found; audited year/current-comparative column recorded. Accounting subtotal tests performed separately.</x:v>
      </x:c>
      <x:c r="P1134" s="171" t="str">
        <x:v>red 8 3,407,702 2,599,401
 - Deferred government grant 9 155,439 179,766
 - Lease liabilities 11 13,909 10,257
Trade and other payables 16 12,482,233 12,518,180
Unclaimed dividend  27,256 27,378
Mark-up accrued on borrowings 17 865,945 880,039
Short term borrowings from financial institutions - secured 18 1,645,316 -
  18,597,800 16,215,0</x:v>
      </x:c>
    </x:row>
    <x:row r="1135" ht="82" customHeight="1">
      <x:c r="A1135" s="76" t="str">
        <x:v>MLCF|tap|2024</x:v>
      </x:c>
      <x:c r="B1135" s="76" t="str">
        <x:v>MLCF</x:v>
      </x:c>
      <x:c r="C1135" s="76" t="str">
        <x:v>FY2024</x:v>
      </x:c>
      <x:c r="D1135" s="76" t="str">
        <x:v>Trade and other payables</x:v>
      </x:c>
      <x:c r="E1135" s="170" t="n">
        <x:v>12482233</x:v>
      </x:c>
      <x:c r="F1135" s="170" t="n">
        <x:v>12482233</x:v>
      </x:c>
      <x:c r="G1135" s="170" t="str">
        <x:v>Rs '000</x:v>
      </x:c>
      <x:c r="H1135" s="170" t="n">
        <x:f>F1135/1000</x:f>
        <x:v>12482.233</x:v>
      </x:c>
      <x:c r="I1135" s="170" t="n">
        <x:f>MLCF!G50</x:f>
        <x:v>12482.233</x:v>
      </x:c>
      <x:c r="J1135" s="170" t="n">
        <x:f>H1135-I1135</x:f>
        <x:v>0</x:v>
      </x:c>
      <x:c r="K1135" s="76" t="str">
        <x:v>2025.pdf</x:v>
      </x:c>
      <x:c r="L1135" s="76" t="n">
        <x:v>201</x:v>
      </x:c>
      <x:c r="M1135" s="76" t="str">
        <x:v>Comparative</x:v>
      </x:c>
      <x:c r="N1135" s="99" t="str">
        <x:v>Printed amount independently located</x:v>
      </x:c>
      <x:c r="O1135" s="99" t="str">
        <x:v>Exact source amount found; audited year/current-comparative column recorded. Accounting subtotal tests performed separately.</x:v>
      </x:c>
      <x:c r="P1135" s="99" t="str">
        <x:v>407,702 
    - Deferred government grant 9  128,183   155,439 
    - Lease liabilities 11  14,323   13,909 
Trade and other payables 15  17,926,267   12,482,233 
Unclaimed dividend   26,877   27,256 
Provision for income tax 32  158,794   -   
Mark-up accrued on borrowings 16  320,434   865,945 
Short term borrowings from financial instit</x:v>
      </x:c>
    </x:row>
    <x:row r="1136" ht="82" customHeight="1">
      <x:c r="A1136" s="168" t="str">
        <x:v>MLCF|tap|2025</x:v>
      </x:c>
      <x:c r="B1136" s="168" t="str">
        <x:v>MLCF</x:v>
      </x:c>
      <x:c r="C1136" s="168" t="str">
        <x:v>FY2025</x:v>
      </x:c>
      <x:c r="D1136" s="168" t="str">
        <x:v>Trade and other payables</x:v>
      </x:c>
      <x:c r="E1136" s="169" t="n">
        <x:v>17926267</x:v>
      </x:c>
      <x:c r="F1136" s="169" t="n">
        <x:v>17926267</x:v>
      </x:c>
      <x:c r="G1136" s="169" t="str">
        <x:v>Rs '000</x:v>
      </x:c>
      <x:c r="H1136" s="169" t="n">
        <x:f>F1136/1000</x:f>
        <x:v>17926.267</x:v>
      </x:c>
      <x:c r="I1136" s="169" t="n">
        <x:f>MLCF!H50</x:f>
        <x:v>17926.267</x:v>
      </x:c>
      <x:c r="J1136" s="169" t="n">
        <x:f>H1136-I1136</x:f>
        <x:v>0</x:v>
      </x:c>
      <x:c r="K1136" s="168" t="str">
        <x:v>2025.pdf</x:v>
      </x:c>
      <x:c r="L1136" s="168" t="n">
        <x:v>201</x:v>
      </x:c>
      <x:c r="M1136" s="168" t="str">
        <x:v>Current year</x:v>
      </x:c>
      <x:c r="N1136" s="171" t="str">
        <x:v>Printed amount independently located</x:v>
      </x:c>
      <x:c r="O1136" s="171" t="str">
        <x:v>Exact source amount found; audited year/current-comparative column recorded. Accounting subtotal tests performed separately.</x:v>
      </x:c>
      <x:c r="P1136" s="171" t="str">
        <x:v>,933,328   3,407,702 
    - Deferred government grant 9  128,183   155,439 
    - Lease liabilities 11  14,323   13,909 
Trade and other payables 15  17,926,267   12,482,233 
Unclaimed dividend   26,877   27,256 
Provision for income tax 32  158,794   -   
Mark-up accrued on borrowings 16  320,434   865,945 
Short term borrowings from fin</x:v>
      </x:c>
    </x:row>
    <x:row r="1137" ht="82" customHeight="1">
      <x:c r="A1137" s="76" t="str">
        <x:v>MLCF|trade_cred|2020</x:v>
      </x:c>
      <x:c r="B1137" s="76" t="str">
        <x:v>MLCF</x:v>
      </x:c>
      <x:c r="C1137" s="76" t="str">
        <x:v>FY2020</x:v>
      </x:c>
      <x:c r="D1137" s="76" t="str">
        <x:v>memo: trade creditors / bills payable (note)</x:v>
      </x:c>
      <x:c r="E1137" s="170" t="n">
        <x:v>3886684</x:v>
      </x:c>
      <x:c r="F1137" s="170" t="n">
        <x:v>4173943</x:v>
      </x:c>
      <x:c r="G1137" s="170" t="str">
        <x:v>Rs '000</x:v>
      </x:c>
      <x:c r="H1137" s="170" t="n">
        <x:f>F1137/1000</x:f>
        <x:v>4173.943</x:v>
      </x:c>
      <x:c r="I1137" s="170" t="n">
        <x:f>MLCF!C51</x:f>
        <x:v>4173.943</x:v>
      </x:c>
      <x:c r="J1137" s="170" t="n">
        <x:f>H1137-I1137</x:f>
        <x:v>0</x:v>
      </x:c>
      <x:c r="K1137" s="76" t="str">
        <x:v>2021.pdf</x:v>
      </x:c>
      <x:c r="L1137" s="76" t="n">
        <x:v>198</x:v>
      </x:c>
      <x:c r="M1137" s="76" t="str">
        <x:v>Comparative</x:v>
      </x:c>
      <x:c r="N1137" s="99" t="str">
        <x:v>Aggregated audited components</x:v>
      </x:c>
      <x:c r="O1137" s="99" t="str">
        <x:v>Trade creditors + import bills + separately presented payable to power subsidiary. Related finance loan and holding-company balances excluded.</x:v>
      </x:c>
      <x:c r="P1137" s="99" t="str">
        <x:v>Trade creditors   2,828,344   3,233,086 | Bills payable - secured   750,813   653,598 | Due to Subsidiary company   61,224   287,259 | Related operating supplier added: 287,259 thousand</x:v>
      </x:c>
    </x:row>
    <x:row r="1138" ht="82" customHeight="1">
      <x:c r="A1138" s="168" t="str">
        <x:v>MLCF|trade_cred|2021</x:v>
      </x:c>
      <x:c r="B1138" s="168" t="str">
        <x:v>MLCF</x:v>
      </x:c>
      <x:c r="C1138" s="168" t="str">
        <x:v>FY2021</x:v>
      </x:c>
      <x:c r="D1138" s="168" t="str">
        <x:v>memo: trade creditors / bills payable (note)</x:v>
      </x:c>
      <x:c r="E1138" s="169" t="n">
        <x:v>3515408</x:v>
      </x:c>
      <x:c r="F1138" s="169" t="n">
        <x:v>3576632</x:v>
      </x:c>
      <x:c r="G1138" s="169" t="str">
        <x:v>Rs '000</x:v>
      </x:c>
      <x:c r="H1138" s="169" t="n">
        <x:f>F1138/1000</x:f>
        <x:v>3576.632</x:v>
      </x:c>
      <x:c r="I1138" s="169" t="n">
        <x:f>MLCF!D51</x:f>
        <x:v>3576.632</x:v>
      </x:c>
      <x:c r="J1138" s="169" t="n">
        <x:f>H1138-I1138</x:f>
        <x:v>0</x:v>
      </x:c>
      <x:c r="K1138" s="168" t="str">
        <x:v>2022.pdf</x:v>
      </x:c>
      <x:c r="L1138" s="168" t="n">
        <x:v>220</x:v>
      </x:c>
      <x:c r="M1138" s="168" t="str">
        <x:v>Comparative</x:v>
      </x:c>
      <x:c r="N1138" s="171" t="str">
        <x:v>Aggregated audited components</x:v>
      </x:c>
      <x:c r="O1138" s="171" t="str">
        <x:v>Trade creditors + import bills + separately presented payable to power subsidiary. Related finance loan and holding-company balances excluded.</x:v>
      </x:c>
      <x:c r="P1138" s="171" t="str">
        <x:v>Trade creditors   3,651,546   2,764,595 | Bills payable - secured   324,166   750,813 | Due to Subsidiary company   132,595   61,224 | Related operating supplier added: 61,224 thousand</x:v>
      </x:c>
    </x:row>
    <x:row r="1139" ht="82" customHeight="1">
      <x:c r="A1139" s="76" t="str">
        <x:v>MLCF|trade_cred|2022</x:v>
      </x:c>
      <x:c r="B1139" s="76" t="str">
        <x:v>MLCF</x:v>
      </x:c>
      <x:c r="C1139" s="76" t="str">
        <x:v>FY2022</x:v>
      </x:c>
      <x:c r="D1139" s="76" t="str">
        <x:v>memo: trade creditors / bills payable (note)</x:v>
      </x:c>
      <x:c r="E1139" s="170" t="n">
        <x:v>3975712</x:v>
      </x:c>
      <x:c r="F1139" s="170" t="n">
        <x:v>4108307</x:v>
      </x:c>
      <x:c r="G1139" s="170" t="str">
        <x:v>Rs '000</x:v>
      </x:c>
      <x:c r="H1139" s="170" t="n">
        <x:f>F1139/1000</x:f>
        <x:v>4108.307</x:v>
      </x:c>
      <x:c r="I1139" s="170" t="n">
        <x:f>MLCF!E51</x:f>
        <x:v>4108.307</x:v>
      </x:c>
      <x:c r="J1139" s="170" t="n">
        <x:f>H1139-I1139</x:f>
        <x:v>0</x:v>
      </x:c>
      <x:c r="K1139" s="76" t="str">
        <x:v>2023.pdf</x:v>
      </x:c>
      <x:c r="L1139" s="76" t="n">
        <x:v>116</x:v>
      </x:c>
      <x:c r="M1139" s="76" t="str">
        <x:v>Comparative</x:v>
      </x:c>
      <x:c r="N1139" s="99" t="str">
        <x:v>Aggregated audited components</x:v>
      </x:c>
      <x:c r="O1139" s="99" t="str">
        <x:v>Trade creditors + import bills + separately presented payable to power subsidiary. Related finance loan and holding-company balances excluded.</x:v>
      </x:c>
      <x:c r="P1139" s="99" t="str">
        <x:v>Trade creditors  3,390,287 3,651,546 | Bills payable - secured  1,414,069 324,166 | Due to Subsidiary company  1,871,865 132,595 | Related operating supplier added: 132,595 thousand</x:v>
      </x:c>
    </x:row>
    <x:row r="1140" ht="82" customHeight="1">
      <x:c r="A1140" s="168" t="str">
        <x:v>MLCF|trade_cred|2023</x:v>
      </x:c>
      <x:c r="B1140" s="168" t="str">
        <x:v>MLCF</x:v>
      </x:c>
      <x:c r="C1140" s="168" t="str">
        <x:v>FY2023</x:v>
      </x:c>
      <x:c r="D1140" s="168" t="str">
        <x:v>memo: trade creditors / bills payable (note)</x:v>
      </x:c>
      <x:c r="E1140" s="169" t="n">
        <x:v>4804356</x:v>
      </x:c>
      <x:c r="F1140" s="169" t="n">
        <x:v>6676221</x:v>
      </x:c>
      <x:c r="G1140" s="169" t="str">
        <x:v>Rs '000</x:v>
      </x:c>
      <x:c r="H1140" s="169" t="n">
        <x:f>F1140/1000</x:f>
        <x:v>6676.221</x:v>
      </x:c>
      <x:c r="I1140" s="169" t="n">
        <x:f>MLCF!F51</x:f>
        <x:v>6676.221</x:v>
      </x:c>
      <x:c r="J1140" s="169" t="n">
        <x:f>H1140-I1140</x:f>
        <x:v>0</x:v>
      </x:c>
      <x:c r="K1140" s="168" t="str">
        <x:v>2024.pdf</x:v>
      </x:c>
      <x:c r="L1140" s="168" t="n">
        <x:v>226</x:v>
      </x:c>
      <x:c r="M1140" s="168" t="str">
        <x:v>Comparative</x:v>
      </x:c>
      <x:c r="N1140" s="171" t="str">
        <x:v>Aggregated audited components</x:v>
      </x:c>
      <x:c r="O1140" s="171" t="str">
        <x:v>Trade creditors + import bills + separately presented payable to power subsidiary. Related finance loan and holding-company balances excluded.</x:v>
      </x:c>
      <x:c r="P1140" s="171" t="str">
        <x:v>Trade creditors  4,116,388 3,390,287 | Bills payable - secured  458,792 1,414,069 | Related operating supplier added: 1,871,865 thousand</x:v>
      </x:c>
    </x:row>
    <x:row r="1141" ht="82" customHeight="1">
      <x:c r="A1141" s="76" t="str">
        <x:v>MLCF|trade_cred|2024</x:v>
      </x:c>
      <x:c r="B1141" s="76" t="str">
        <x:v>MLCF</x:v>
      </x:c>
      <x:c r="C1141" s="76" t="str">
        <x:v>FY2024</x:v>
      </x:c>
      <x:c r="D1141" s="76" t="str">
        <x:v>memo: trade creditors / bills payable (note)</x:v>
      </x:c>
      <x:c r="E1141" s="170" t="n">
        <x:v>4575180</x:v>
      </x:c>
      <x:c r="F1141" s="170" t="n">
        <x:v>5396605</x:v>
      </x:c>
      <x:c r="G1141" s="170" t="str">
        <x:v>Rs '000</x:v>
      </x:c>
      <x:c r="H1141" s="170" t="n">
        <x:f>F1141/1000</x:f>
        <x:v>5396.605</x:v>
      </x:c>
      <x:c r="I1141" s="170" t="n">
        <x:f>MLCF!G51</x:f>
        <x:v>5396.6050000000005</x:v>
      </x:c>
      <x:c r="J1141" s="170" t="n">
        <x:f>H1141-I1141</x:f>
        <x:v>-9.094947017729282e-13</x:v>
      </x:c>
      <x:c r="K1141" s="76" t="str">
        <x:v>2025.pdf</x:v>
      </x:c>
      <x:c r="L1141" s="76" t="n">
        <x:v>240</x:v>
      </x:c>
      <x:c r="M1141" s="76" t="str">
        <x:v>Comparative</x:v>
      </x:c>
      <x:c r="N1141" s="99" t="str">
        <x:v>Aggregated audited components</x:v>
      </x:c>
      <x:c r="O1141" s="99" t="str">
        <x:v>Trade creditors + import bills + separately presented payable to power subsidiary. Related finance loan and holding-company balances excluded.</x:v>
      </x:c>
      <x:c r="P1141" s="99" t="str">
        <x:v>Trade creditors   4,103,573   4,116,388 | Bills payable - secured   1,766,229   458,792 | Due to Maple Leaf Power Limited (‘MLPL’)   1,452,981   821,425 | Related operating supplier added: 821,425 thousand</x:v>
      </x:c>
    </x:row>
    <x:row r="1142" ht="82" customHeight="1">
      <x:c r="A1142" s="168" t="str">
        <x:v>MLCF|trade_cred|2025</x:v>
      </x:c>
      <x:c r="B1142" s="168" t="str">
        <x:v>MLCF</x:v>
      </x:c>
      <x:c r="C1142" s="168" t="str">
        <x:v>FY2025</x:v>
      </x:c>
      <x:c r="D1142" s="168" t="str">
        <x:v>memo: trade creditors / bills payable (note)</x:v>
      </x:c>
      <x:c r="E1142" s="169" t="n">
        <x:v>5869802</x:v>
      </x:c>
      <x:c r="F1142" s="169" t="n">
        <x:v>7322783</x:v>
      </x:c>
      <x:c r="G1142" s="169" t="str">
        <x:v>Rs '000</x:v>
      </x:c>
      <x:c r="H1142" s="169" t="n">
        <x:f>F1142/1000</x:f>
        <x:v>7322.783</x:v>
      </x:c>
      <x:c r="I1142" s="169" t="n">
        <x:f>MLCF!H51</x:f>
        <x:v>7322.782999999999</x:v>
      </x:c>
      <x:c r="J1142" s="169" t="n">
        <x:f>H1142-I1142</x:f>
        <x:v>9.094947017729282e-13</x:v>
      </x:c>
      <x:c r="K1142" s="168" t="str">
        <x:v>2025.pdf</x:v>
      </x:c>
      <x:c r="L1142" s="168" t="n">
        <x:v>240</x:v>
      </x:c>
      <x:c r="M1142" s="168" t="str">
        <x:v>Current year</x:v>
      </x:c>
      <x:c r="N1142" s="171" t="str">
        <x:v>Aggregated audited components</x:v>
      </x:c>
      <x:c r="O1142" s="171" t="str">
        <x:v>Trade creditors + import bills + separately presented payable to power subsidiary. Related finance loan and holding-company balances excluded.</x:v>
      </x:c>
      <x:c r="P1142" s="171" t="str">
        <x:v>Trade creditors   4,103,573   4,116,388 | Bills payable - secured   1,766,229   458,792 | Due to Maple Leaf Power Limited (‘MLPL’)   1,452,981   821,425 | Related operating supplier added: 1,452,981 thousand</x:v>
      </x:c>
    </x:row>
    <x:row r="1143" ht="82" customHeight="1">
      <x:c r="A1143" s="76" t="str">
        <x:v>MLCF|contract|2020</x:v>
      </x:c>
      <x:c r="B1143" s="76" t="str">
        <x:v>MLCF</x:v>
      </x:c>
      <x:c r="C1143" s="76" t="str">
        <x:v>FY2020</x:v>
      </x:c>
      <x:c r="D1143" s="76" t="str">
        <x:v>Contract liabilities / advances from customers</x:v>
      </x:c>
      <x:c r="E1143" s="170" t="n">
        <x:v>0</x:v>
      </x:c>
      <x:c r="F1143" s="170" t="n">
        <x:v>0</x:v>
      </x:c>
      <x:c r="G1143" s="170" t="str">
        <x:v>Rs '000</x:v>
      </x:c>
      <x:c r="H1143" s="170" t="n">
        <x:f>F1143/1000</x:f>
        <x:v>0</x:v>
      </x:c>
      <x:c r="I1143" s="170" t="n">
        <x:f>MLCF!C52</x:f>
        <x:v>0</x:v>
      </x:c>
      <x:c r="J1143" s="170" t="n">
        <x:f>H1143-I1143</x:f>
        <x:v>0</x:v>
      </x:c>
      <x:c r="K1143" s="76" t="str">
        <x:v>2021.pdf</x:v>
      </x:c>
      <x:c r="L1143" s="76" t="n">
        <x:v>162</x:v>
      </x:c>
      <x:c r="M1143" s="76" t="str">
        <x:v>Comparative</x:v>
      </x:c>
      <x:c r="N1143" s="99" t="str">
        <x:v>Zero / no separate line in audited presentation</x:v>
      </x:c>
      <x:c r="O1143" s="99" t="str">
        <x:v>Zero classification checked within the audited statement/note and reconstructed statement totals; absence of a separate line does not imply a missing replacement estimate.</x:v>
      </x:c>
      <x:c r="P1143" s="99" t="str">
        <x:v>
160
UNCONSOLIDA TED STA TEMENT OF 
FINANCIAL POSITION 
AS AT JUNE 30, 2021
   2021 2020
  Note (Rupees in thousand) 
EQUITY AND LIABILITIES   
   | Contract liabilities / advances from customers</x:v>
      </x:c>
    </x:row>
    <x:row r="1144" ht="82" customHeight="1">
      <x:c r="A1144" s="168" t="str">
        <x:v>MLCF|contract|2021</x:v>
      </x:c>
      <x:c r="B1144" s="168" t="str">
        <x:v>MLCF</x:v>
      </x:c>
      <x:c r="C1144" s="168" t="str">
        <x:v>FY2021</x:v>
      </x:c>
      <x:c r="D1144" s="168" t="str">
        <x:v>Contract liabilities / advances from customers</x:v>
      </x:c>
      <x:c r="E1144" s="169" t="n">
        <x:v>0</x:v>
      </x:c>
      <x:c r="F1144" s="169" t="n">
        <x:v>0</x:v>
      </x:c>
      <x:c r="G1144" s="169" t="str">
        <x:v>Rs '000</x:v>
      </x:c>
      <x:c r="H1144" s="169" t="n">
        <x:f>F1144/1000</x:f>
        <x:v>0</x:v>
      </x:c>
      <x:c r="I1144" s="169" t="n">
        <x:f>MLCF!D52</x:f>
        <x:v>0</x:v>
      </x:c>
      <x:c r="J1144" s="169" t="n">
        <x:f>H1144-I1144</x:f>
        <x:v>0</x:v>
      </x:c>
      <x:c r="K1144" s="168" t="str">
        <x:v>2022.pdf</x:v>
      </x:c>
      <x:c r="L1144" s="168" t="n">
        <x:v>183</x:v>
      </x:c>
      <x:c r="M1144" s="168" t="str">
        <x:v>Comparative</x:v>
      </x:c>
      <x:c r="N1144" s="171" t="str">
        <x:v>Zero / no separate line in audited presentation</x:v>
      </x:c>
      <x:c r="O1144" s="171" t="str">
        <x:v>Zero classification checked within the audited statement/note and reconstructed statement totals; absence of a separate line does not imply a missing replacement estimate.</x:v>
      </x:c>
      <x:c r="P1144" s="171" t="str">
        <x:v>
182
UNCONSOLIDA TED STA TEMENT OF 
FINANCIAL POSITION 
AS AT JUNE 30, 2022
   2022 2021
  Note (Rupees in thousand) 
EQUITY AND LIABILITIES   
   | Contract liabilities / advances from customers</x:v>
      </x:c>
    </x:row>
    <x:row r="1145" ht="82" customHeight="1">
      <x:c r="A1145" s="76" t="str">
        <x:v>MLCF|contract|2022</x:v>
      </x:c>
      <x:c r="B1145" s="76" t="str">
        <x:v>MLCF</x:v>
      </x:c>
      <x:c r="C1145" s="76" t="str">
        <x:v>FY2022</x:v>
      </x:c>
      <x:c r="D1145" s="76" t="str">
        <x:v>Contract liabilities / advances from customers</x:v>
      </x:c>
      <x:c r="E1145" s="170" t="n">
        <x:v>0</x:v>
      </x:c>
      <x:c r="F1145" s="170" t="n">
        <x:v>0</x:v>
      </x:c>
      <x:c r="G1145" s="170" t="str">
        <x:v>Rs '000</x:v>
      </x:c>
      <x:c r="H1145" s="170" t="n">
        <x:f>F1145/1000</x:f>
        <x:v>0</x:v>
      </x:c>
      <x:c r="I1145" s="170" t="n">
        <x:f>MLCF!E52</x:f>
        <x:v>0</x:v>
      </x:c>
      <x:c r="J1145" s="170" t="n">
        <x:f>H1145-I1145</x:f>
        <x:v>0</x:v>
      </x:c>
      <x:c r="K1145" s="76" t="str">
        <x:v>2023.pdf</x:v>
      </x:c>
      <x:c r="L1145" s="76" t="n">
        <x:v>98</x:v>
      </x:c>
      <x:c r="M1145" s="76" t="str">
        <x:v>Comparative</x:v>
      </x:c>
      <x:c r="N1145" s="99" t="str">
        <x:v>Zero / no separate line in audited presentation</x:v>
      </x:c>
      <x:c r="O1145" s="99" t="str">
        <x:v>Zero classification checked within the audited statement/note and reconstructed statement totals; absence of a separate line does not imply a missing replacement estimate.</x:v>
      </x:c>
      <x:c r="P1145" s="99" t="str">
        <x:v>
192 193
UNCONSOLIDA TED STA TEMENT OF 
FINANCIAL POSITION 
AS AT JUNE 30, 2023
   2023 2022
  Note (Rupees in thousand) 
EQUITY AND LIABILITIES
SHARE | Contract liabilities / advances from customers</x:v>
      </x:c>
    </x:row>
    <x:row r="1146" ht="82" customHeight="1">
      <x:c r="A1146" s="168" t="str">
        <x:v>MLCF|contract|2023</x:v>
      </x:c>
      <x:c r="B1146" s="168" t="str">
        <x:v>MLCF</x:v>
      </x:c>
      <x:c r="C1146" s="168" t="str">
        <x:v>FY2023</x:v>
      </x:c>
      <x:c r="D1146" s="168" t="str">
        <x:v>Contract liabilities / advances from customers</x:v>
      </x:c>
      <x:c r="E1146" s="169" t="n">
        <x:v>0</x:v>
      </x:c>
      <x:c r="F1146" s="169" t="n">
        <x:v>0</x:v>
      </x:c>
      <x:c r="G1146" s="169" t="str">
        <x:v>Rs '000</x:v>
      </x:c>
      <x:c r="H1146" s="169" t="n">
        <x:f>F1146/1000</x:f>
        <x:v>0</x:v>
      </x:c>
      <x:c r="I1146" s="169" t="n">
        <x:f>MLCF!F52</x:f>
        <x:v>0</x:v>
      </x:c>
      <x:c r="J1146" s="169" t="n">
        <x:f>H1146-I1146</x:f>
        <x:v>0</x:v>
      </x:c>
      <x:c r="K1146" s="168" t="str">
        <x:v>2024.pdf</x:v>
      </x:c>
      <x:c r="L1146" s="168" t="n">
        <x:v>189</x:v>
      </x:c>
      <x:c r="M1146" s="168" t="str">
        <x:v>Comparative</x:v>
      </x:c>
      <x:c r="N1146" s="171" t="str">
        <x:v>Zero / no separate line in audited presentation</x:v>
      </x:c>
      <x:c r="O1146" s="171" t="str">
        <x:v>Zero classification checked within the audited statement/note and reconstructed statement totals; absence of a separate line does not imply a missing replacement estimate.</x:v>
      </x:c>
      <x:c r="P1146" s="171" t="str">
        <x:v>
188
UNCONSOLIDA TED STA TEMENT OF 
FINANCIAL POSITION 
AS AT JUNE 30, 2024
   2024 2023
  Note (Rupees in thousand) 
EQUITY AND LIABILITIES
SHARE CAP | Contract liabilities / advances from customers</x:v>
      </x:c>
    </x:row>
    <x:row r="1147" ht="82" customHeight="1">
      <x:c r="A1147" s="76" t="str">
        <x:v>MLCF|contract|2024</x:v>
      </x:c>
      <x:c r="B1147" s="76" t="str">
        <x:v>MLCF</x:v>
      </x:c>
      <x:c r="C1147" s="76" t="str">
        <x:v>FY2024</x:v>
      </x:c>
      <x:c r="D1147" s="76" t="str">
        <x:v>Contract liabilities / advances from customers</x:v>
      </x:c>
      <x:c r="E1147" s="170" t="n">
        <x:v>0</x:v>
      </x:c>
      <x:c r="F1147" s="170" t="n">
        <x:v>0</x:v>
      </x:c>
      <x:c r="G1147" s="170" t="str">
        <x:v>Rs '000</x:v>
      </x:c>
      <x:c r="H1147" s="170" t="n">
        <x:f>F1147/1000</x:f>
        <x:v>0</x:v>
      </x:c>
      <x:c r="I1147" s="170" t="n">
        <x:f>MLCF!G52</x:f>
        <x:v>0</x:v>
      </x:c>
      <x:c r="J1147" s="170" t="n">
        <x:f>H1147-I1147</x:f>
        <x:v>0</x:v>
      </x:c>
      <x:c r="K1147" s="76" t="str">
        <x:v>2025.pdf</x:v>
      </x:c>
      <x:c r="L1147" s="76" t="n">
        <x:v>201</x:v>
      </x:c>
      <x:c r="M1147" s="76" t="str">
        <x:v>Comparative</x:v>
      </x:c>
      <x:c r="N1147" s="99" t="str">
        <x:v>Zero / no separate line in audited presentation</x:v>
      </x:c>
      <x:c r="O1147" s="99" t="str">
        <x:v>Zero classification checked within the audited statement/note and reconstructed statement totals; absence of a separate line does not imply a missing replacement estimate.</x:v>
      </x:c>
      <x:c r="P1147" s="99" t="str">
        <x:v>
200
UNCONSOLIDA TED STA TEMENT OF 
FINANCIAL POSITION 
AS AT JUNE 30, 2025
   2025 2024
  Note (Rupees in thousand) 
EQUITY AND LIABILITIES
SHARE CAP | Contract liabilities / advances from customers</x:v>
      </x:c>
    </x:row>
    <x:row r="1148" ht="82" customHeight="1">
      <x:c r="A1148" s="168" t="str">
        <x:v>MLCF|contract|2025</x:v>
      </x:c>
      <x:c r="B1148" s="168" t="str">
        <x:v>MLCF</x:v>
      </x:c>
      <x:c r="C1148" s="168" t="str">
        <x:v>FY2025</x:v>
      </x:c>
      <x:c r="D1148" s="168" t="str">
        <x:v>Contract liabilities / advances from customers</x:v>
      </x:c>
      <x:c r="E1148" s="169" t="n">
        <x:v>0</x:v>
      </x:c>
      <x:c r="F1148" s="169" t="n">
        <x:v>0</x:v>
      </x:c>
      <x:c r="G1148" s="169" t="str">
        <x:v>Rs '000</x:v>
      </x:c>
      <x:c r="H1148" s="169" t="n">
        <x:f>F1148/1000</x:f>
        <x:v>0</x:v>
      </x:c>
      <x:c r="I1148" s="169" t="n">
        <x:f>MLCF!H52</x:f>
        <x:v>0</x:v>
      </x:c>
      <x:c r="J1148" s="169" t="n">
        <x:f>H1148-I1148</x:f>
        <x:v>0</x:v>
      </x:c>
      <x:c r="K1148" s="168" t="str">
        <x:v>2025.pdf</x:v>
      </x:c>
      <x:c r="L1148" s="168" t="n">
        <x:v>201</x:v>
      </x:c>
      <x:c r="M1148" s="168" t="str">
        <x:v>Current year</x:v>
      </x:c>
      <x:c r="N1148" s="171" t="str">
        <x:v>Zero / no separate line in audited presentation</x:v>
      </x:c>
      <x:c r="O1148" s="171" t="str">
        <x:v>Zero classification checked within the audited statement/note and reconstructed statement totals; absence of a separate line does not imply a missing replacement estimate.</x:v>
      </x:c>
      <x:c r="P1148" s="171" t="str">
        <x:v>
200
UNCONSOLIDA TED STA TEMENT OF 
FINANCIAL POSITION 
AS AT JUNE 30, 2025
   2025 2024
  Note (Rupees in thousand) 
EQUITY AND LIABILITIES
SHARE CAP | Contract liabilities / advances from customers</x:v>
      </x:c>
    </x:row>
    <x:row r="1149" ht="82" customHeight="1">
      <x:c r="A1149" s="76" t="str">
        <x:v>MLCF|acc_markup|2020</x:v>
      </x:c>
      <x:c r="B1149" s="76" t="str">
        <x:v>MLCF</x:v>
      </x:c>
      <x:c r="C1149" s="76" t="str">
        <x:v>FY2020</x:v>
      </x:c>
      <x:c r="D1149" s="76" t="str">
        <x:v>Accrued mark-up / interest</x:v>
      </x:c>
      <x:c r="E1149" s="170" t="n">
        <x:v>547189</x:v>
      </x:c>
      <x:c r="F1149" s="170" t="n">
        <x:v>547189</x:v>
      </x:c>
      <x:c r="G1149" s="170" t="str">
        <x:v>Rs '000</x:v>
      </x:c>
      <x:c r="H1149" s="170" t="n">
        <x:f>F1149/1000</x:f>
        <x:v>547.189</x:v>
      </x:c>
      <x:c r="I1149" s="170" t="n">
        <x:f>MLCF!C53</x:f>
        <x:v>547.189</x:v>
      </x:c>
      <x:c r="J1149" s="170" t="n">
        <x:f>H1149-I1149</x:f>
        <x:v>0</x:v>
      </x:c>
      <x:c r="K1149" s="76" t="str">
        <x:v>2021.pdf</x:v>
      </x:c>
      <x:c r="L1149" s="76" t="n">
        <x:v>162</x:v>
      </x:c>
      <x:c r="M1149" s="76" t="str">
        <x:v>Comparative</x:v>
      </x:c>
      <x:c r="N1149" s="99" t="str">
        <x:v>Printed amount independently located</x:v>
      </x:c>
      <x:c r="O1149" s="99" t="str">
        <x:v>Exact source amount found; audited year/current-comparative column recorded. Accounting subtotal tests performed separately.</x:v>
      </x:c>
      <x:c r="P1149" s="99" t="str">
        <x:v>49,997   -   
Trade and other payables 16  7,511,637   7,951,221 
Unclaimed dividend   28,134   48,053 
Mark-up accrued on borrowings 17  260,953   547,189 
Short term borrowings 18  1,894,115   6,642,312 
    11,449,448   15,313,775 
CONTINGENCIES AND COMMITMENTS 19  
    66,239,278   66,009,771 
The annexed notes fr</x:v>
      </x:c>
    </x:row>
    <x:row r="1150" ht="82" customHeight="1">
      <x:c r="A1150" s="168" t="str">
        <x:v>MLCF|acc_markup|2021</x:v>
      </x:c>
      <x:c r="B1150" s="168" t="str">
        <x:v>MLCF</x:v>
      </x:c>
      <x:c r="C1150" s="168" t="str">
        <x:v>FY2021</x:v>
      </x:c>
      <x:c r="D1150" s="168" t="str">
        <x:v>Accrued mark-up / interest</x:v>
      </x:c>
      <x:c r="E1150" s="169" t="n">
        <x:v>260953</x:v>
      </x:c>
      <x:c r="F1150" s="169" t="n">
        <x:v>260953</x:v>
      </x:c>
      <x:c r="G1150" s="169" t="str">
        <x:v>Rs '000</x:v>
      </x:c>
      <x:c r="H1150" s="169" t="n">
        <x:f>F1150/1000</x:f>
        <x:v>260.953</x:v>
      </x:c>
      <x:c r="I1150" s="169" t="n">
        <x:f>MLCF!D53</x:f>
        <x:v>260.953</x:v>
      </x:c>
      <x:c r="J1150" s="169" t="n">
        <x:f>H1150-I1150</x:f>
        <x:v>0</x:v>
      </x:c>
      <x:c r="K1150" s="168" t="str">
        <x:v>2022.pdf</x:v>
      </x:c>
      <x:c r="L1150" s="168" t="n">
        <x:v>183</x:v>
      </x:c>
      <x:c r="M1150" s="168" t="str">
        <x:v>Comparative</x:v>
      </x:c>
      <x:c r="N1150" s="171" t="str">
        <x:v>Printed amount independently located</x:v>
      </x:c>
      <x:c r="O1150" s="171" t="str">
        <x:v>Exact source amount found; audited year/current-comparative column recorded. Accounting subtotal tests performed separately.</x:v>
      </x:c>
      <x:c r="P1150" s="171" t="str">
        <x:v>1  6,837   -   
Trade and other payables 16  9,117,414   7,511,637 
Unclaimed dividend   27,569   28,134 
Mark-up accrued on borrowings 17  665,122   260,953 
Short term borrowings 18  3,572,073   1,894,115 
       16,193,391   11,449,448    
CONTINGENCIES AND COMMITMENTS 19 
   82,214,210   66,239,278 
The annexed notes fr</x:v>
      </x:c>
    </x:row>
    <x:row r="1151" ht="82" customHeight="1">
      <x:c r="A1151" s="76" t="str">
        <x:v>MLCF|acc_markup|2022</x:v>
      </x:c>
      <x:c r="B1151" s="76" t="str">
        <x:v>MLCF</x:v>
      </x:c>
      <x:c r="C1151" s="76" t="str">
        <x:v>FY2022</x:v>
      </x:c>
      <x:c r="D1151" s="76" t="str">
        <x:v>Accrued mark-up / interest</x:v>
      </x:c>
      <x:c r="E1151" s="170" t="n">
        <x:v>665122</x:v>
      </x:c>
      <x:c r="F1151" s="170" t="n">
        <x:v>665122</x:v>
      </x:c>
      <x:c r="G1151" s="170" t="str">
        <x:v>Rs '000</x:v>
      </x:c>
      <x:c r="H1151" s="170" t="n">
        <x:f>F1151/1000</x:f>
        <x:v>665.122</x:v>
      </x:c>
      <x:c r="I1151" s="170" t="n">
        <x:f>MLCF!E53</x:f>
        <x:v>665.122</x:v>
      </x:c>
      <x:c r="J1151" s="170" t="n">
        <x:f>H1151-I1151</x:f>
        <x:v>0</x:v>
      </x:c>
      <x:c r="K1151" s="76" t="str">
        <x:v>2023.pdf</x:v>
      </x:c>
      <x:c r="L1151" s="76" t="n">
        <x:v>98</x:v>
      </x:c>
      <x:c r="M1151" s="76" t="str">
        <x:v>Comparative</x:v>
      </x:c>
      <x:c r="N1151" s="99" t="str">
        <x:v>Printed amount independently located</x:v>
      </x:c>
      <x:c r="O1151" s="99" t="str">
        <x:v>Exact source amount found; audited year/current-comparative column recorded. Accounting subtotal tests performed separately.</x:v>
      </x:c>
      <x:c r="P1151" s="99" t="str">
        <x:v>e assets 11  10,257 6,837
Trade and other payables 16 12,518,180 9,117,414
Unclaimed dividend  27,378 27,569
Mark-up accrued on borrowings 17 880,039 665,122
Short term borrowings 18 - 3,572,073
  16,215,021 16,193,391
CONTINGENCIES AND COMMITMENTS 19
  89,707,711 82,214,210
The annexed notes from 1 to 57 form an integral part of the</x:v>
      </x:c>
    </x:row>
    <x:row r="1152" ht="82" customHeight="1">
      <x:c r="A1152" s="168" t="str">
        <x:v>MLCF|acc_markup|2023</x:v>
      </x:c>
      <x:c r="B1152" s="168" t="str">
        <x:v>MLCF</x:v>
      </x:c>
      <x:c r="C1152" s="168" t="str">
        <x:v>FY2023</x:v>
      </x:c>
      <x:c r="D1152" s="168" t="str">
        <x:v>Accrued mark-up / interest</x:v>
      </x:c>
      <x:c r="E1152" s="169" t="n">
        <x:v>880039</x:v>
      </x:c>
      <x:c r="F1152" s="169" t="n">
        <x:v>880039</x:v>
      </x:c>
      <x:c r="G1152" s="169" t="str">
        <x:v>Rs '000</x:v>
      </x:c>
      <x:c r="H1152" s="169" t="n">
        <x:f>F1152/1000</x:f>
        <x:v>880.039</x:v>
      </x:c>
      <x:c r="I1152" s="169" t="n">
        <x:f>MLCF!F53</x:f>
        <x:v>880.039</x:v>
      </x:c>
      <x:c r="J1152" s="169" t="n">
        <x:f>H1152-I1152</x:f>
        <x:v>0</x:v>
      </x:c>
      <x:c r="K1152" s="168" t="str">
        <x:v>2024.pdf</x:v>
      </x:c>
      <x:c r="L1152" s="168" t="n">
        <x:v>189</x:v>
      </x:c>
      <x:c r="M1152" s="168" t="str">
        <x:v>Comparative</x:v>
      </x:c>
      <x:c r="N1152" s="171" t="str">
        <x:v>Printed amount independently located</x:v>
      </x:c>
      <x:c r="O1152" s="171" t="str">
        <x:v>Exact source amount found; audited year/current-comparative column recorded. Accounting subtotal tests performed separately.</x:v>
      </x:c>
      <x:c r="P1152" s="171" t="str">
        <x:v>ilities 11 13,909 10,257
Trade and other payables 16 12,482,233 12,518,180
Unclaimed dividend  27,256 27,378
Mark-up accrued on borrowings 17 865,945 880,039
Short term borrowings from financial institutions - secured 18 1,645,316 -
  18,597,800 16,215,021
CONTINGENCIES AND COMMITMENTS 19
  99,365,682 89,707,711
The annexed notes from</x:v>
      </x:c>
    </x:row>
    <x:row r="1153" ht="82" customHeight="1">
      <x:c r="A1153" s="76" t="str">
        <x:v>MLCF|acc_markup|2024</x:v>
      </x:c>
      <x:c r="B1153" s="76" t="str">
        <x:v>MLCF</x:v>
      </x:c>
      <x:c r="C1153" s="76" t="str">
        <x:v>FY2024</x:v>
      </x:c>
      <x:c r="D1153" s="76" t="str">
        <x:v>Accrued mark-up / interest</x:v>
      </x:c>
      <x:c r="E1153" s="170" t="n">
        <x:v>865945</x:v>
      </x:c>
      <x:c r="F1153" s="170" t="n">
        <x:v>865945</x:v>
      </x:c>
      <x:c r="G1153" s="170" t="str">
        <x:v>Rs '000</x:v>
      </x:c>
      <x:c r="H1153" s="170" t="n">
        <x:f>F1153/1000</x:f>
        <x:v>865.945</x:v>
      </x:c>
      <x:c r="I1153" s="170" t="n">
        <x:f>MLCF!G53</x:f>
        <x:v>865.945</x:v>
      </x:c>
      <x:c r="J1153" s="170" t="n">
        <x:f>H1153-I1153</x:f>
        <x:v>0</x:v>
      </x:c>
      <x:c r="K1153" s="76" t="str">
        <x:v>2025.pdf</x:v>
      </x:c>
      <x:c r="L1153" s="76" t="n">
        <x:v>201</x:v>
      </x:c>
      <x:c r="M1153" s="76" t="str">
        <x:v>Comparative</x:v>
      </x:c>
      <x:c r="N1153" s="99" t="str">
        <x:v>Printed amount independently located</x:v>
      </x:c>
      <x:c r="O1153" s="99" t="str">
        <x:v>Exact source amount found; audited year/current-comparative column recorded. Accounting subtotal tests performed separately.</x:v>
      </x:c>
      <x:c r="P1153" s="99" t="str">
        <x:v>7,926,267   12,482,233 
Unclaimed dividend   26,877   27,256 
Provision for income tax 32  158,794   -   
Mark-up accrued on borrowings 16  320,434   865,945 
Short term borrowings from financial institutions - secured  17  822,285   1,645,316 
   23,330,491   18,597,800 
CONTINGENCIES AND COMMITMENTS 18
   119,106,271   99,365,682 
Th</x:v>
      </x:c>
    </x:row>
    <x:row r="1154" ht="82" customHeight="1">
      <x:c r="A1154" s="168" t="str">
        <x:v>MLCF|acc_markup|2025</x:v>
      </x:c>
      <x:c r="B1154" s="168" t="str">
        <x:v>MLCF</x:v>
      </x:c>
      <x:c r="C1154" s="168" t="str">
        <x:v>FY2025</x:v>
      </x:c>
      <x:c r="D1154" s="168" t="str">
        <x:v>Accrued mark-up / interest</x:v>
      </x:c>
      <x:c r="E1154" s="169" t="n">
        <x:v>320434</x:v>
      </x:c>
      <x:c r="F1154" s="169" t="n">
        <x:v>320434</x:v>
      </x:c>
      <x:c r="G1154" s="169" t="str">
        <x:v>Rs '000</x:v>
      </x:c>
      <x:c r="H1154" s="169" t="n">
        <x:f>F1154/1000</x:f>
        <x:v>320.434</x:v>
      </x:c>
      <x:c r="I1154" s="169" t="n">
        <x:f>MLCF!H53</x:f>
        <x:v>320.434</x:v>
      </x:c>
      <x:c r="J1154" s="169" t="n">
        <x:f>H1154-I1154</x:f>
        <x:v>0</x:v>
      </x:c>
      <x:c r="K1154" s="168" t="str">
        <x:v>2025.pdf</x:v>
      </x:c>
      <x:c r="L1154" s="168" t="n">
        <x:v>201</x:v>
      </x:c>
      <x:c r="M1154" s="168" t="str">
        <x:v>Current year</x:v>
      </x:c>
      <x:c r="N1154" s="171" t="str">
        <x:v>Printed amount independently located</x:v>
      </x:c>
      <x:c r="O1154" s="171" t="str">
        <x:v>Exact source amount found; audited year/current-comparative column recorded. Accounting subtotal tests performed separately.</x:v>
      </x:c>
      <x:c r="P1154" s="171" t="str">
        <x:v>bles 15  17,926,267   12,482,233 
Unclaimed dividend   26,877   27,256 
Provision for income tax 32  158,794   -   
Mark-up accrued on borrowings 16  320,434   865,945 
Short term borrowings from financial institutions - secured  17  822,285   1,645,316 
   23,330,491   18,597,800 
CONTINGENCIES AND COMMITMENTS 18
   119,106,271   99,3</x:v>
      </x:c>
    </x:row>
    <x:row r="1155" ht="82" customHeight="1">
      <x:c r="A1155" s="76" t="str">
        <x:v>MLCF|stb|2020</x:v>
      </x:c>
      <x:c r="B1155" s="76" t="str">
        <x:v>MLCF</x:v>
      </x:c>
      <x:c r="C1155" s="76" t="str">
        <x:v>FY2020</x:v>
      </x:c>
      <x:c r="D1155" s="76" t="str">
        <x:v>Short-term borrowings (incl. running finance; FCCL parent loan)</x:v>
      </x:c>
      <x:c r="E1155" s="170" t="n">
        <x:v>6642312</x:v>
      </x:c>
      <x:c r="F1155" s="170" t="n">
        <x:v>6642312</x:v>
      </x:c>
      <x:c r="G1155" s="170" t="str">
        <x:v>Rs '000</x:v>
      </x:c>
      <x:c r="H1155" s="170" t="n">
        <x:f>F1155/1000</x:f>
        <x:v>6642.312</x:v>
      </x:c>
      <x:c r="I1155" s="170" t="n">
        <x:f>MLCF!C54</x:f>
        <x:v>6642.312</x:v>
      </x:c>
      <x:c r="J1155" s="170" t="n">
        <x:f>H1155-I1155</x:f>
        <x:v>0</x:v>
      </x:c>
      <x:c r="K1155" s="76" t="str">
        <x:v>2021.pdf</x:v>
      </x:c>
      <x:c r="L1155" s="76" t="n">
        <x:v>162</x:v>
      </x:c>
      <x:c r="M1155" s="76" t="str">
        <x:v>Comparative</x:v>
      </x:c>
      <x:c r="N1155" s="99" t="str">
        <x:v>Printed amount independently located</x:v>
      </x:c>
      <x:c r="O1155" s="99" t="str">
        <x:v>Exact source amount found; audited year/current-comparative column recorded. Accounting subtotal tests performed separately.</x:v>
      </x:c>
      <x:c r="P1155" s="99" t="str">
        <x:v>511,637   7,951,221 
Unclaimed dividend   28,134   48,053 
Mark-up accrued on borrowings 17  260,953   547,189 
Short term borrowings 18  1,894,115   6,642,312 
    11,449,448   15,313,775 
CONTINGENCIES AND COMMITMENTS 19  
    66,239,278   66,009,771 
The annexed notes from 1 to 56 form an integral part of these unconso</x:v>
      </x:c>
    </x:row>
    <x:row r="1156" ht="82" customHeight="1">
      <x:c r="A1156" s="168" t="str">
        <x:v>MLCF|stb|2021</x:v>
      </x:c>
      <x:c r="B1156" s="168" t="str">
        <x:v>MLCF</x:v>
      </x:c>
      <x:c r="C1156" s="168" t="str">
        <x:v>FY2021</x:v>
      </x:c>
      <x:c r="D1156" s="168" t="str">
        <x:v>Short-term borrowings (incl. running finance; FCCL parent loan)</x:v>
      </x:c>
      <x:c r="E1156" s="169" t="n">
        <x:v>1894115</x:v>
      </x:c>
      <x:c r="F1156" s="169" t="n">
        <x:v>1894115</x:v>
      </x:c>
      <x:c r="G1156" s="169" t="str">
        <x:v>Rs '000</x:v>
      </x:c>
      <x:c r="H1156" s="169" t="n">
        <x:f>F1156/1000</x:f>
        <x:v>1894.115</x:v>
      </x:c>
      <x:c r="I1156" s="169" t="n">
        <x:f>MLCF!D54</x:f>
        <x:v>1894.115</x:v>
      </x:c>
      <x:c r="J1156" s="169" t="n">
        <x:f>H1156-I1156</x:f>
        <x:v>0</x:v>
      </x:c>
      <x:c r="K1156" s="168" t="str">
        <x:v>2022.pdf</x:v>
      </x:c>
      <x:c r="L1156" s="168" t="n">
        <x:v>183</x:v>
      </x:c>
      <x:c r="M1156" s="168" t="str">
        <x:v>Comparative</x:v>
      </x:c>
      <x:c r="N1156" s="171" t="str">
        <x:v>Printed amount independently located</x:v>
      </x:c>
      <x:c r="O1156" s="171" t="str">
        <x:v>Exact source amount found; audited year/current-comparative column recorded. Accounting subtotal tests performed separately.</x:v>
      </x:c>
      <x:c r="P1156" s="171" t="str">
        <x:v>117,414   7,511,637 
Unclaimed dividend   27,569   28,134 
Mark-up accrued on borrowings 17  665,122   260,953 
Short term borrowings 18  3,572,073   1,894,115 
       16,193,391   11,449,448    
CONTINGENCIES AND COMMITMENTS 19 
   82,214,210   66,239,278 
The annexed notes from 1 to 56 form an integral part of these unconso</x:v>
      </x:c>
    </x:row>
    <x:row r="1157" ht="82" customHeight="1">
      <x:c r="A1157" s="76" t="str">
        <x:v>MLCF|stb|2022</x:v>
      </x:c>
      <x:c r="B1157" s="76" t="str">
        <x:v>MLCF</x:v>
      </x:c>
      <x:c r="C1157" s="76" t="str">
        <x:v>FY2022</x:v>
      </x:c>
      <x:c r="D1157" s="76" t="str">
        <x:v>Short-term borrowings (incl. running finance; FCCL parent loan)</x:v>
      </x:c>
      <x:c r="E1157" s="170" t="n">
        <x:v>3572073</x:v>
      </x:c>
      <x:c r="F1157" s="170" t="n">
        <x:v>3572073</x:v>
      </x:c>
      <x:c r="G1157" s="170" t="str">
        <x:v>Rs '000</x:v>
      </x:c>
      <x:c r="H1157" s="170" t="n">
        <x:f>F1157/1000</x:f>
        <x:v>3572.073</x:v>
      </x:c>
      <x:c r="I1157" s="170" t="n">
        <x:f>MLCF!E54</x:f>
        <x:v>3572.073</x:v>
      </x:c>
      <x:c r="J1157" s="170" t="n">
        <x:f>H1157-I1157</x:f>
        <x:v>0</x:v>
      </x:c>
      <x:c r="K1157" s="76" t="str">
        <x:v>2023.pdf</x:v>
      </x:c>
      <x:c r="L1157" s="76" t="n">
        <x:v>98</x:v>
      </x:c>
      <x:c r="M1157" s="76" t="str">
        <x:v>Comparative</x:v>
      </x:c>
      <x:c r="N1157" s="99" t="str">
        <x:v>Printed amount independently located</x:v>
      </x:c>
      <x:c r="O1157" s="99" t="str">
        <x:v>Exact source amount found; audited year/current-comparative column recorded. Accounting subtotal tests performed separately.</x:v>
      </x:c>
      <x:c r="P1157" s="99" t="str">
        <x:v>other payables 16 12,518,180 9,117,414
Unclaimed dividend  27,378 27,569
Mark-up accrued on borrowings 17 880,039 665,122
Short term borrowings 18 - 3,572,073
  16,215,021 16,193,391
CONTINGENCIES AND COMMITMENTS 19
  89,707,711 82,214,210
The annexed notes from 1 to 57 form an integral part of these unconsolidated financial statement</x:v>
      </x:c>
    </x:row>
    <x:row r="1158" ht="82" customHeight="1">
      <x:c r="A1158" s="168" t="str">
        <x:v>MLCF|stb|2023</x:v>
      </x:c>
      <x:c r="B1158" s="168" t="str">
        <x:v>MLCF</x:v>
      </x:c>
      <x:c r="C1158" s="168" t="str">
        <x:v>FY2023</x:v>
      </x:c>
      <x:c r="D1158" s="168" t="str">
        <x:v>Short-term borrowings (incl. running finance; FCCL parent loan)</x:v>
      </x:c>
      <x:c r="E1158" s="169" t="n">
        <x:v>0</x:v>
      </x:c>
      <x:c r="F1158" s="169" t="n">
        <x:v>0</x:v>
      </x:c>
      <x:c r="G1158" s="169" t="str">
        <x:v>Rs '000</x:v>
      </x:c>
      <x:c r="H1158" s="169" t="n">
        <x:f>F1158/1000</x:f>
        <x:v>0</x:v>
      </x:c>
      <x:c r="I1158" s="169" t="n">
        <x:f>MLCF!F54</x:f>
        <x:v>0</x:v>
      </x:c>
      <x:c r="J1158" s="169" t="n">
        <x:f>H1158-I1158</x:f>
        <x:v>0</x:v>
      </x:c>
      <x:c r="K1158" s="168" t="str">
        <x:v>2024.pdf</x:v>
      </x:c>
      <x:c r="L1158" s="168" t="n">
        <x:v>189</x:v>
      </x:c>
      <x:c r="M1158" s="168" t="str">
        <x:v>Comparative</x:v>
      </x:c>
      <x:c r="N1158" s="171" t="str">
        <x:v>Zero / no separate line in audited presentation</x:v>
      </x:c>
      <x:c r="O1158" s="171" t="str">
        <x:v>Zero classification checked within the audited statement/note and reconstructed statement totals; absence of a separate line does not imply a missing replacement estimate.</x:v>
      </x:c>
      <x:c r="P1158" s="171" t="str">
        <x:v>
188
UNCONSOLIDA TED STA TEMENT OF 
FINANCIAL POSITION 
AS AT JUNE 30, 2024
   2024 2023
  Note (Rupees in thousand) 
EQUITY AND LIABILITIES
SHARE CAP | Short term borrowings from financial ins</x:v>
      </x:c>
    </x:row>
    <x:row r="1159" ht="82" customHeight="1">
      <x:c r="A1159" s="76" t="str">
        <x:v>MLCF|stb|2024</x:v>
      </x:c>
      <x:c r="B1159" s="76" t="str">
        <x:v>MLCF</x:v>
      </x:c>
      <x:c r="C1159" s="76" t="str">
        <x:v>FY2024</x:v>
      </x:c>
      <x:c r="D1159" s="76" t="str">
        <x:v>Short-term borrowings (incl. running finance; FCCL parent loan)</x:v>
      </x:c>
      <x:c r="E1159" s="170" t="n">
        <x:v>1645316</x:v>
      </x:c>
      <x:c r="F1159" s="170" t="n">
        <x:v>1645316</x:v>
      </x:c>
      <x:c r="G1159" s="170" t="str">
        <x:v>Rs '000</x:v>
      </x:c>
      <x:c r="H1159" s="170" t="n">
        <x:f>F1159/1000</x:f>
        <x:v>1645.316</x:v>
      </x:c>
      <x:c r="I1159" s="170" t="n">
        <x:f>MLCF!G54</x:f>
        <x:v>1645.316</x:v>
      </x:c>
      <x:c r="J1159" s="170" t="n">
        <x:f>H1159-I1159</x:f>
        <x:v>0</x:v>
      </x:c>
      <x:c r="K1159" s="76" t="str">
        <x:v>2025.pdf</x:v>
      </x:c>
      <x:c r="L1159" s="76" t="n">
        <x:v>201</x:v>
      </x:c>
      <x:c r="M1159" s="76" t="str">
        <x:v>Comparative</x:v>
      </x:c>
      <x:c r="N1159" s="99" t="str">
        <x:v>Printed amount independently located</x:v>
      </x:c>
      <x:c r="O1159" s="99" t="str">
        <x:v>Exact source amount found; audited year/current-comparative column recorded. Accounting subtotal tests performed separately.</x:v>
      </x:c>
      <x:c r="P1159" s="99" t="str">
        <x:v>ax 32  158,794   -   
Mark-up accrued on borrowings 16  320,434   865,945 
Short term borrowings from financial institutions - secured  17  822,285   1,645,316 
   23,330,491   18,597,800 
CONTINGENCIES AND COMMITMENTS 18
   119,106,271   99,365,682 
The annexed notes from 1 to 59 form an integral part of these unconsolidated financial s</x:v>
      </x:c>
    </x:row>
    <x:row r="1160" ht="82" customHeight="1">
      <x:c r="A1160" s="168" t="str">
        <x:v>MLCF|stb|2025</x:v>
      </x:c>
      <x:c r="B1160" s="168" t="str">
        <x:v>MLCF</x:v>
      </x:c>
      <x:c r="C1160" s="168" t="str">
        <x:v>FY2025</x:v>
      </x:c>
      <x:c r="D1160" s="168" t="str">
        <x:v>Short-term borrowings (incl. running finance; FCCL parent loan)</x:v>
      </x:c>
      <x:c r="E1160" s="169" t="n">
        <x:v>822285</x:v>
      </x:c>
      <x:c r="F1160" s="169" t="n">
        <x:v>822285</x:v>
      </x:c>
      <x:c r="G1160" s="169" t="str">
        <x:v>Rs '000</x:v>
      </x:c>
      <x:c r="H1160" s="169" t="n">
        <x:f>F1160/1000</x:f>
        <x:v>822.285</x:v>
      </x:c>
      <x:c r="I1160" s="169" t="n">
        <x:f>MLCF!H54</x:f>
        <x:v>822.285</x:v>
      </x:c>
      <x:c r="J1160" s="169" t="n">
        <x:f>H1160-I1160</x:f>
        <x:v>0</x:v>
      </x:c>
      <x:c r="K1160" s="168" t="str">
        <x:v>2025.pdf</x:v>
      </x:c>
      <x:c r="L1160" s="168" t="n">
        <x:v>201</x:v>
      </x:c>
      <x:c r="M1160" s="168" t="str">
        <x:v>Current year</x:v>
      </x:c>
      <x:c r="N1160" s="171" t="str">
        <x:v>Printed amount independently located</x:v>
      </x:c>
      <x:c r="O1160" s="171" t="str">
        <x:v>Exact source amount found; audited year/current-comparative column recorded. Accounting subtotal tests performed separately.</x:v>
      </x:c>
      <x:c r="P1160" s="171" t="str">
        <x:v>r income tax 32  158,794   -   
Mark-up accrued on borrowings 16  320,434   865,945 
Short term borrowings from financial institutions - secured  17  822,285   1,645,316 
   23,330,491   18,597,800 
CONTINGENCIES AND COMMITMENTS 18
   119,106,271   99,365,682 
The annexed notes from 1 to 59 form an integral part of these unconsolidated</x:v>
      </x:c>
    </x:row>
    <x:row r="1161" ht="82" customHeight="1">
      <x:c r="A1161" s="76" t="str">
        <x:v>MLCF|cp_ltf|2020</x:v>
      </x:c>
      <x:c r="B1161" s="76" t="str">
        <x:v>MLCF</x:v>
      </x:c>
      <x:c r="C1161" s="76" t="str">
        <x:v>FY2020</x:v>
      </x:c>
      <x:c r="D1161" s="76" t="str">
        <x:v>Current portion of long-term financing</x:v>
      </x:c>
      <x:c r="E1161" s="170" t="n">
        <x:v>125000</x:v>
      </x:c>
      <x:c r="F1161" s="170" t="n">
        <x:v>125000</x:v>
      </x:c>
      <x:c r="G1161" s="170" t="str">
        <x:v>Rs '000</x:v>
      </x:c>
      <x:c r="H1161" s="170" t="n">
        <x:f>F1161/1000</x:f>
        <x:v>125</x:v>
      </x:c>
      <x:c r="I1161" s="170" t="n">
        <x:f>MLCF!C55</x:f>
        <x:v>125</x:v>
      </x:c>
      <x:c r="J1161" s="170" t="n">
        <x:f>H1161-I1161</x:f>
        <x:v>0</x:v>
      </x:c>
      <x:c r="K1161" s="76" t="str">
        <x:v>2021.pdf</x:v>
      </x:c>
      <x:c r="L1161" s="76" t="n">
        <x:v>162</x:v>
      </x:c>
      <x:c r="M1161" s="76" t="str">
        <x:v>Comparative</x:v>
      </x:c>
      <x:c r="N1161" s="99" t="str">
        <x:v>Printed amount independently located</x:v>
      </x:c>
      <x:c r="O1161" s="99" t="str">
        <x:v>Exact source amount found; audited year/current-comparative column recorded. Accounting subtotal tests performed separately.</x:v>
      </x:c>
      <x:c r="P1161" s="99" t="str">
        <x:v>7,247,289   19,375,165 
CURRENT LIABILITIES   
Current portion of:    
    - Long term loans from financial institutions - secured 8  1,704,612   125,000 
    - Deferred grant 9  49,997   -   
Trade and other payables 16  7,511,637   7,951,221 
Unclaimed dividend   28,134   48,053 
Mark-up accrued on borrowings 17  260,953   547,18</x:v>
      </x:c>
    </x:row>
    <x:row r="1162" ht="82" customHeight="1">
      <x:c r="A1162" s="168" t="str">
        <x:v>MLCF|cp_ltf|2021</x:v>
      </x:c>
      <x:c r="B1162" s="168" t="str">
        <x:v>MLCF</x:v>
      </x:c>
      <x:c r="C1162" s="168" t="str">
        <x:v>FY2021</x:v>
      </x:c>
      <x:c r="D1162" s="168" t="str">
        <x:v>Current portion of long-term financing</x:v>
      </x:c>
      <x:c r="E1162" s="169" t="n">
        <x:v>1704612</x:v>
      </x:c>
      <x:c r="F1162" s="169" t="n">
        <x:v>1704612</x:v>
      </x:c>
      <x:c r="G1162" s="169" t="str">
        <x:v>Rs '000</x:v>
      </x:c>
      <x:c r="H1162" s="169" t="n">
        <x:f>F1162/1000</x:f>
        <x:v>1704.612</x:v>
      </x:c>
      <x:c r="I1162" s="169" t="n">
        <x:f>MLCF!D55</x:f>
        <x:v>1704.612</x:v>
      </x:c>
      <x:c r="J1162" s="169" t="n">
        <x:f>H1162-I1162</x:f>
        <x:v>0</x:v>
      </x:c>
      <x:c r="K1162" s="168" t="str">
        <x:v>2022.pdf</x:v>
      </x:c>
      <x:c r="L1162" s="168" t="n">
        <x:v>183</x:v>
      </x:c>
      <x:c r="M1162" s="168" t="str">
        <x:v>Comparative</x:v>
      </x:c>
      <x:c r="N1162" s="171" t="str">
        <x:v>Printed amount independently located</x:v>
      </x:c>
      <x:c r="O1162" s="171" t="str">
        <x:v>Exact source amount found; audited year/current-comparative column recorded. Accounting subtotal tests performed separately.</x:v>
      </x:c>
      <x:c r="P1162" s="171" t="str">
        <x:v>25,461,804   17,247,289 
CURRENT LIABILITIES   
Current portion of:    
   - Long term loans from financial institutions - secured 8  2,619,800   1,704,612 
   - Deferred grant 9  184,576   49,997 
   - Liability against right of use assets 11  6,837   -   
Trade and other payables 16  9,117,414   7,511,637 
Unclaimed dividend   27,5</x:v>
      </x:c>
    </x:row>
    <x:row r="1163" ht="82" customHeight="1">
      <x:c r="A1163" s="76" t="str">
        <x:v>MLCF|cp_ltf|2022</x:v>
      </x:c>
      <x:c r="B1163" s="76" t="str">
        <x:v>MLCF</x:v>
      </x:c>
      <x:c r="C1163" s="76" t="str">
        <x:v>FY2022</x:v>
      </x:c>
      <x:c r="D1163" s="76" t="str">
        <x:v>Current portion of long-term financing</x:v>
      </x:c>
      <x:c r="E1163" s="170" t="n">
        <x:v>2619800</x:v>
      </x:c>
      <x:c r="F1163" s="170" t="n">
        <x:v>2619800</x:v>
      </x:c>
      <x:c r="G1163" s="170" t="str">
        <x:v>Rs '000</x:v>
      </x:c>
      <x:c r="H1163" s="170" t="n">
        <x:f>F1163/1000</x:f>
        <x:v>2619.8</x:v>
      </x:c>
      <x:c r="I1163" s="170" t="n">
        <x:f>MLCF!E55</x:f>
        <x:v>2619.8</x:v>
      </x:c>
      <x:c r="J1163" s="170" t="n">
        <x:f>H1163-I1163</x:f>
        <x:v>0</x:v>
      </x:c>
      <x:c r="K1163" s="76" t="str">
        <x:v>2023.pdf</x:v>
      </x:c>
      <x:c r="L1163" s="76" t="n">
        <x:v>98</x:v>
      </x:c>
      <x:c r="M1163" s="76" t="str">
        <x:v>Comparative</x:v>
      </x:c>
      <x:c r="N1163" s="99" t="str">
        <x:v>Printed amount independently located</x:v>
      </x:c>
      <x:c r="O1163" s="99" t="str">
        <x:v>Exact source amount found; audited year/current-comparative column recorded. Accounting subtotal tests performed separately.</x:v>
      </x:c>
      <x:c r="P1163" s="99" t="str">
        <x:v>278,492 235,329
  28,579,576 25,461,804
CURRENT LIABILITIES
Current portion of:
 - Long term loans from financial institutions - secured 8 2,599,401 2,619,800
 - Deferred grant 9 179,766 184,576
 - Liability against right of use assets 11  10,257 6,837
Trade and other payables 16 12,518,180 9,117,414
Unclaimed dividend  27,378 27,569
Ma</x:v>
      </x:c>
    </x:row>
    <x:row r="1164" ht="82" customHeight="1">
      <x:c r="A1164" s="168" t="str">
        <x:v>MLCF|cp_ltf|2023</x:v>
      </x:c>
      <x:c r="B1164" s="168" t="str">
        <x:v>MLCF</x:v>
      </x:c>
      <x:c r="C1164" s="168" t="str">
        <x:v>FY2023</x:v>
      </x:c>
      <x:c r="D1164" s="168" t="str">
        <x:v>Current portion of long-term financing</x:v>
      </x:c>
      <x:c r="E1164" s="169" t="n">
        <x:v>2599401</x:v>
      </x:c>
      <x:c r="F1164" s="169" t="n">
        <x:v>2599401</x:v>
      </x:c>
      <x:c r="G1164" s="169" t="str">
        <x:v>Rs '000</x:v>
      </x:c>
      <x:c r="H1164" s="169" t="n">
        <x:f>F1164/1000</x:f>
        <x:v>2599.401</x:v>
      </x:c>
      <x:c r="I1164" s="169" t="n">
        <x:f>MLCF!F55</x:f>
        <x:v>2599.401</x:v>
      </x:c>
      <x:c r="J1164" s="169" t="n">
        <x:f>H1164-I1164</x:f>
        <x:v>0</x:v>
      </x:c>
      <x:c r="K1164" s="168" t="str">
        <x:v>2024.pdf</x:v>
      </x:c>
      <x:c r="L1164" s="168" t="n">
        <x:v>189</x:v>
      </x:c>
      <x:c r="M1164" s="168" t="str">
        <x:v>Comparative</x:v>
      </x:c>
      <x:c r="N1164" s="171" t="str">
        <x:v>Printed amount independently located</x:v>
      </x:c>
      <x:c r="O1164" s="171" t="str">
        <x:v>Exact source amount found; audited year/current-comparative column recorded. Accounting subtotal tests performed separately.</x:v>
      </x:c>
      <x:c r="P1164" s="171" t="str">
        <x:v>328,527 278,492
  28,151,974 28,579,576
CURRENT LIABILITIES
Current portion of:
 - Long term loans from financial institutions - secured 8 3,407,702 2,599,401
 - Deferred government grant 9 155,439 179,766
 - Lease liabilities 11 13,909 10,257
Trade and other payables 16 12,482,233 12,518,180
Unclaimed dividend  27,256 27,378
Mark-up ac</x:v>
      </x:c>
    </x:row>
    <x:row r="1165" ht="82" customHeight="1">
      <x:c r="A1165" s="76" t="str">
        <x:v>MLCF|cp_ltf|2024</x:v>
      </x:c>
      <x:c r="B1165" s="76" t="str">
        <x:v>MLCF</x:v>
      </x:c>
      <x:c r="C1165" s="76" t="str">
        <x:v>FY2024</x:v>
      </x:c>
      <x:c r="D1165" s="76" t="str">
        <x:v>Current portion of long-term financing</x:v>
      </x:c>
      <x:c r="E1165" s="170" t="n">
        <x:v>3407702</x:v>
      </x:c>
      <x:c r="F1165" s="170" t="n">
        <x:v>3407702</x:v>
      </x:c>
      <x:c r="G1165" s="170" t="str">
        <x:v>Rs '000</x:v>
      </x:c>
      <x:c r="H1165" s="170" t="n">
        <x:f>F1165/1000</x:f>
        <x:v>3407.702</x:v>
      </x:c>
      <x:c r="I1165" s="170" t="n">
        <x:f>MLCF!G55</x:f>
        <x:v>3407.702</x:v>
      </x:c>
      <x:c r="J1165" s="170" t="n">
        <x:f>H1165-I1165</x:f>
        <x:v>0</x:v>
      </x:c>
      <x:c r="K1165" s="76" t="str">
        <x:v>2025.pdf</x:v>
      </x:c>
      <x:c r="L1165" s="76" t="n">
        <x:v>201</x:v>
      </x:c>
      <x:c r="M1165" s="76" t="str">
        <x:v>Comparative</x:v>
      </x:c>
      <x:c r="N1165" s="99" t="str">
        <x:v>Printed amount independently located</x:v>
      </x:c>
      <x:c r="O1165" s="99" t="str">
        <x:v>Exact source amount found; audited year/current-comparative column recorded. Accounting subtotal tests performed separately.</x:v>
      </x:c>
      <x:c r="P1165" s="99" t="str">
        <x:v>328,527 
   24,314,188   28,151,974 
CURRENT LIABILITIES
Current portion of:
 - Long term loans from financial institutions - secured 8  3,933,328   3,407,702 
    - Deferred government grant 9  128,183   155,439 
    - Lease liabilities 11  14,323   13,909 
Trade and other payables 15  17,926,267   12,482,233 
Unclaimed dividend   26,8</x:v>
      </x:c>
    </x:row>
    <x:row r="1166" ht="82" customHeight="1">
      <x:c r="A1166" s="168" t="str">
        <x:v>MLCF|cp_ltf|2025</x:v>
      </x:c>
      <x:c r="B1166" s="168" t="str">
        <x:v>MLCF</x:v>
      </x:c>
      <x:c r="C1166" s="168" t="str">
        <x:v>FY2025</x:v>
      </x:c>
      <x:c r="D1166" s="168" t="str">
        <x:v>Current portion of long-term financing</x:v>
      </x:c>
      <x:c r="E1166" s="169" t="n">
        <x:v>3933328</x:v>
      </x:c>
      <x:c r="F1166" s="169" t="n">
        <x:v>3933328</x:v>
      </x:c>
      <x:c r="G1166" s="169" t="str">
        <x:v>Rs '000</x:v>
      </x:c>
      <x:c r="H1166" s="169" t="n">
        <x:f>F1166/1000</x:f>
        <x:v>3933.328</x:v>
      </x:c>
      <x:c r="I1166" s="169" t="n">
        <x:f>MLCF!H55</x:f>
        <x:v>3933.328</x:v>
      </x:c>
      <x:c r="J1166" s="169" t="n">
        <x:f>H1166-I1166</x:f>
        <x:v>0</x:v>
      </x:c>
      <x:c r="K1166" s="168" t="str">
        <x:v>2025.pdf</x:v>
      </x:c>
      <x:c r="L1166" s="168" t="n">
        <x:v>201</x:v>
      </x:c>
      <x:c r="M1166" s="168" t="str">
        <x:v>Current year</x:v>
      </x:c>
      <x:c r="N1166" s="171" t="str">
        <x:v>Printed amount independently located</x:v>
      </x:c>
      <x:c r="O1166" s="171" t="str">
        <x:v>Exact source amount found; audited year/current-comparative column recorded. Accounting subtotal tests performed separately.</x:v>
      </x:c>
      <x:c r="P1166" s="171" t="str">
        <x:v>4  350,638   328,527 
   24,314,188   28,151,974 
CURRENT LIABILITIES
Current portion of:
 - Long term loans from financial institutions - secured 8  3,933,328   3,407,702 
    - Deferred government grant 9  128,183   155,439 
    - Lease liabilities 11  14,323   13,909 
Trade and other payables 15  17,926,267   12,482,233 
Unclaimed div</x:v>
      </x:c>
    </x:row>
    <x:row r="1167" ht="82" customHeight="1">
      <x:c r="A1167" s="76" t="str">
        <x:v>MLCF|cp_lease|2020</x:v>
      </x:c>
      <x:c r="B1167" s="76" t="str">
        <x:v>MLCF</x:v>
      </x:c>
      <x:c r="C1167" s="76" t="str">
        <x:v>FY2020</x:v>
      </x:c>
      <x:c r="D1167" s="76" t="str">
        <x:v>Current portion of lease liabilities</x:v>
      </x:c>
      <x:c r="E1167" s="170" t="n">
        <x:v>0</x:v>
      </x:c>
      <x:c r="F1167" s="170" t="n">
        <x:v>0</x:v>
      </x:c>
      <x:c r="G1167" s="170" t="str">
        <x:v>Rs '000</x:v>
      </x:c>
      <x:c r="H1167" s="170" t="n">
        <x:f>F1167/1000</x:f>
        <x:v>0</x:v>
      </x:c>
      <x:c r="I1167" s="170" t="n">
        <x:f>MLCF!C56</x:f>
        <x:v>0</x:v>
      </x:c>
      <x:c r="J1167" s="170" t="n">
        <x:f>H1167-I1167</x:f>
        <x:v>0</x:v>
      </x:c>
      <x:c r="K1167" s="76" t="str">
        <x:v>2021.pdf</x:v>
      </x:c>
      <x:c r="L1167" s="76" t="n">
        <x:v>162</x:v>
      </x:c>
      <x:c r="M1167" s="76" t="str">
        <x:v>Comparative</x:v>
      </x:c>
      <x:c r="N1167" s="99" t="str">
        <x:v>Zero / no separate line in audited presentation</x:v>
      </x:c>
      <x:c r="O1167" s="99" t="str">
        <x:v>Zero classification checked within the audited statement/note and reconstructed statement totals; absence of a separate line does not imply a missing replacement estimate.</x:v>
      </x:c>
      <x:c r="P1167" s="99" t="str">
        <x:v>
160
UNCONSOLIDA TED STA TEMENT OF 
FINANCIAL POSITION 
AS AT JUNE 30, 2021
   2021 2020
  Note (Rupees in thousand) 
EQUITY AND LIABILITIES   
   | Current portion of lease liabilities</x:v>
      </x:c>
    </x:row>
    <x:row r="1168" ht="82" customHeight="1">
      <x:c r="A1168" s="168" t="str">
        <x:v>MLCF|cp_lease|2021</x:v>
      </x:c>
      <x:c r="B1168" s="168" t="str">
        <x:v>MLCF</x:v>
      </x:c>
      <x:c r="C1168" s="168" t="str">
        <x:v>FY2021</x:v>
      </x:c>
      <x:c r="D1168" s="168" t="str">
        <x:v>Current portion of lease liabilities</x:v>
      </x:c>
      <x:c r="E1168" s="169" t="n">
        <x:v>0</x:v>
      </x:c>
      <x:c r="F1168" s="169" t="n">
        <x:v>0</x:v>
      </x:c>
      <x:c r="G1168" s="169" t="str">
        <x:v>Rs '000</x:v>
      </x:c>
      <x:c r="H1168" s="169" t="n">
        <x:f>F1168/1000</x:f>
        <x:v>0</x:v>
      </x:c>
      <x:c r="I1168" s="169" t="n">
        <x:f>MLCF!D56</x:f>
        <x:v>0</x:v>
      </x:c>
      <x:c r="J1168" s="169" t="n">
        <x:f>H1168-I1168</x:f>
        <x:v>0</x:v>
      </x:c>
      <x:c r="K1168" s="168" t="str">
        <x:v>2022.pdf</x:v>
      </x:c>
      <x:c r="L1168" s="168" t="n">
        <x:v>183</x:v>
      </x:c>
      <x:c r="M1168" s="168" t="str">
        <x:v>Comparative</x:v>
      </x:c>
      <x:c r="N1168" s="171" t="str">
        <x:v>Zero / no separate line in audited presentation</x:v>
      </x:c>
      <x:c r="O1168" s="171" t="str">
        <x:v>Zero classification checked within the audited statement/note and reconstructed statement totals; absence of a separate line does not imply a missing replacement estimate.</x:v>
      </x:c>
      <x:c r="P1168" s="171" t="str">
        <x:v>
182
UNCONSOLIDA TED STA TEMENT OF 
FINANCIAL POSITION 
AS AT JUNE 30, 2022
   2022 2021
  Note (Rupees in thousand) 
EQUITY AND LIABILITIES   
   | - Liability against right of use assets</x:v>
      </x:c>
    </x:row>
    <x:row r="1169" ht="82" customHeight="1">
      <x:c r="A1169" s="76" t="str">
        <x:v>MLCF|cp_lease|2022</x:v>
      </x:c>
      <x:c r="B1169" s="76" t="str">
        <x:v>MLCF</x:v>
      </x:c>
      <x:c r="C1169" s="76" t="str">
        <x:v>FY2022</x:v>
      </x:c>
      <x:c r="D1169" s="76" t="str">
        <x:v>Current portion of lease liabilities</x:v>
      </x:c>
      <x:c r="E1169" s="170" t="n">
        <x:v>6837</x:v>
      </x:c>
      <x:c r="F1169" s="170" t="n">
        <x:v>6837</x:v>
      </x:c>
      <x:c r="G1169" s="170" t="str">
        <x:v>Rs '000</x:v>
      </x:c>
      <x:c r="H1169" s="170" t="n">
        <x:f>F1169/1000</x:f>
        <x:v>6.837</x:v>
      </x:c>
      <x:c r="I1169" s="170" t="n">
        <x:f>MLCF!E56</x:f>
        <x:v>6.837</x:v>
      </x:c>
      <x:c r="J1169" s="170" t="n">
        <x:f>H1169-I1169</x:f>
        <x:v>0</x:v>
      </x:c>
      <x:c r="K1169" s="76" t="str">
        <x:v>2023.pdf</x:v>
      </x:c>
      <x:c r="L1169" s="76" t="n">
        <x:v>98</x:v>
      </x:c>
      <x:c r="M1169" s="76" t="str">
        <x:v>Comparative</x:v>
      </x:c>
      <x:c r="N1169" s="99" t="str">
        <x:v>Printed amount independently located</x:v>
      </x:c>
      <x:c r="O1169" s="99" t="str">
        <x:v>Exact source amount found; audited year/current-comparative column recorded. Accounting subtotal tests performed separately.</x:v>
      </x:c>
      <x:c r="P1169" s="99" t="str">
        <x:v>s from financial institutions - secured 8 2,599,401 2,619,800
 - Deferred grant 9 179,766 184,576
 - Liability against right of use assets 11  10,257 6,837
Trade and other payables 16 12,518,180 9,117,414
Unclaimed dividend  27,378 27,569
Mark-up accrued on borrowings 17 880,039 665,122
Short term borrowings 18 - 3,572,073
  16,215</x:v>
      </x:c>
    </x:row>
    <x:row r="1170" ht="82" customHeight="1">
      <x:c r="A1170" s="168" t="str">
        <x:v>MLCF|cp_lease|2023</x:v>
      </x:c>
      <x:c r="B1170" s="168" t="str">
        <x:v>MLCF</x:v>
      </x:c>
      <x:c r="C1170" s="168" t="str">
        <x:v>FY2023</x:v>
      </x:c>
      <x:c r="D1170" s="168" t="str">
        <x:v>Current portion of lease liabilities</x:v>
      </x:c>
      <x:c r="E1170" s="169" t="n">
        <x:v>10257</x:v>
      </x:c>
      <x:c r="F1170" s="169" t="n">
        <x:v>10257</x:v>
      </x:c>
      <x:c r="G1170" s="169" t="str">
        <x:v>Rs '000</x:v>
      </x:c>
      <x:c r="H1170" s="169" t="n">
        <x:f>F1170/1000</x:f>
        <x:v>10.257</x:v>
      </x:c>
      <x:c r="I1170" s="169" t="n">
        <x:f>MLCF!F56</x:f>
        <x:v>10.257</x:v>
      </x:c>
      <x:c r="J1170" s="169" t="n">
        <x:f>H1170-I1170</x:f>
        <x:v>0</x:v>
      </x:c>
      <x:c r="K1170" s="168" t="str">
        <x:v>2024.pdf</x:v>
      </x:c>
      <x:c r="L1170" s="168" t="n">
        <x:v>189</x:v>
      </x:c>
      <x:c r="M1170" s="168" t="str">
        <x:v>Comparative</x:v>
      </x:c>
      <x:c r="N1170" s="171" t="str">
        <x:v>Printed amount independently located</x:v>
      </x:c>
      <x:c r="O1170" s="171" t="str">
        <x:v>Exact source amount found; audited year/current-comparative column recorded. Accounting subtotal tests performed separately.</x:v>
      </x:c>
      <x:c r="P1170" s="171" t="str">
        <x:v>term loans from financial institutions - secured 8 3,407,702 2,599,401
 - Deferred government grant 9 155,439 179,766
 - Lease liabilities 11 13,909 10,257
Trade and other payables 16 12,482,233 12,518,180
Unclaimed dividend  27,256 27,378
Mark-up accrued on borrowings 17 865,945 880,039
Short term borrowings from financial instituti</x:v>
      </x:c>
    </x:row>
    <x:row r="1171" ht="82" customHeight="1">
      <x:c r="A1171" s="76" t="str">
        <x:v>MLCF|cp_lease|2024</x:v>
      </x:c>
      <x:c r="B1171" s="76" t="str">
        <x:v>MLCF</x:v>
      </x:c>
      <x:c r="C1171" s="76" t="str">
        <x:v>FY2024</x:v>
      </x:c>
      <x:c r="D1171" s="76" t="str">
        <x:v>Current portion of lease liabilities</x:v>
      </x:c>
      <x:c r="E1171" s="170" t="n">
        <x:v>13909</x:v>
      </x:c>
      <x:c r="F1171" s="170" t="n">
        <x:v>13909</x:v>
      </x:c>
      <x:c r="G1171" s="170" t="str">
        <x:v>Rs '000</x:v>
      </x:c>
      <x:c r="H1171" s="170" t="n">
        <x:f>F1171/1000</x:f>
        <x:v>13.909</x:v>
      </x:c>
      <x:c r="I1171" s="170" t="n">
        <x:f>MLCF!G56</x:f>
        <x:v>13.909</x:v>
      </x:c>
      <x:c r="J1171" s="170" t="n">
        <x:f>H1171-I1171</x:f>
        <x:v>0</x:v>
      </x:c>
      <x:c r="K1171" s="76" t="str">
        <x:v>2025.pdf</x:v>
      </x:c>
      <x:c r="L1171" s="76" t="n">
        <x:v>201</x:v>
      </x:c>
      <x:c r="M1171" s="76" t="str">
        <x:v>Comparative</x:v>
      </x:c>
      <x:c r="N1171" s="99" t="str">
        <x:v>Printed amount independently located</x:v>
      </x:c>
      <x:c r="O1171" s="99" t="str">
        <x:v>Exact source amount found; audited year/current-comparative column recorded. Accounting subtotal tests performed separately.</x:v>
      </x:c>
      <x:c r="P1171" s="99" t="str">
        <x:v>financial institutions - secured 8  3,933,328   3,407,702 
    - Deferred government grant 9  128,183   155,439 
    - Lease liabilities 11  14,323   13,909 
Trade and other payables 15  17,926,267   12,482,233 
Unclaimed dividend   26,877   27,256 
Provision for income tax 32  158,794   -   
Mark-up accrued on borrowings 16  320,434</x:v>
      </x:c>
    </x:row>
    <x:row r="1172" ht="82" customHeight="1">
      <x:c r="A1172" s="168" t="str">
        <x:v>MLCF|cp_lease|2025</x:v>
      </x:c>
      <x:c r="B1172" s="168" t="str">
        <x:v>MLCF</x:v>
      </x:c>
      <x:c r="C1172" s="168" t="str">
        <x:v>FY2025</x:v>
      </x:c>
      <x:c r="D1172" s="168" t="str">
        <x:v>Current portion of lease liabilities</x:v>
      </x:c>
      <x:c r="E1172" s="169" t="n">
        <x:v>14323</x:v>
      </x:c>
      <x:c r="F1172" s="169" t="n">
        <x:v>14323</x:v>
      </x:c>
      <x:c r="G1172" s="169" t="str">
        <x:v>Rs '000</x:v>
      </x:c>
      <x:c r="H1172" s="169" t="n">
        <x:f>F1172/1000</x:f>
        <x:v>14.323</x:v>
      </x:c>
      <x:c r="I1172" s="169" t="n">
        <x:f>MLCF!H56</x:f>
        <x:v>14.323</x:v>
      </x:c>
      <x:c r="J1172" s="169" t="n">
        <x:f>H1172-I1172</x:f>
        <x:v>0</x:v>
      </x:c>
      <x:c r="K1172" s="168" t="str">
        <x:v>2025.pdf</x:v>
      </x:c>
      <x:c r="L1172" s="168" t="n">
        <x:v>201</x:v>
      </x:c>
      <x:c r="M1172" s="168" t="str">
        <x:v>Current year</x:v>
      </x:c>
      <x:c r="N1172" s="171" t="str">
        <x:v>Printed amount independently located</x:v>
      </x:c>
      <x:c r="O1172" s="171" t="str">
        <x:v>Exact source amount found; audited year/current-comparative column recorded. Accounting subtotal tests performed separately.</x:v>
      </x:c>
      <x:c r="P1172" s="171" t="str">
        <x:v>ans from financial institutions - secured 8  3,933,328   3,407,702 
    - Deferred government grant 9  128,183   155,439 
    - Lease liabilities 11  14,323   13,909 
Trade and other payables 15  17,926,267   12,482,233 
Unclaimed dividend   26,877   27,256 
Provision for income tax 32  158,794   -   
Mark-up accrued on borrowings 16</x:v>
      </x:c>
    </x:row>
    <x:row r="1173" ht="82" customHeight="1">
      <x:c r="A1173" s="76" t="str">
        <x:v>MLCF|cp_grant|2020</x:v>
      </x:c>
      <x:c r="B1173" s="76" t="str">
        <x:v>MLCF</x:v>
      </x:c>
      <x:c r="C1173" s="76" t="str">
        <x:v>FY2020</x:v>
      </x:c>
      <x:c r="D1173" s="76" t="str">
        <x:v>Current portion of deferred government grant</x:v>
      </x:c>
      <x:c r="E1173" s="170" t="n">
        <x:v>0</x:v>
      </x:c>
      <x:c r="F1173" s="170" t="n">
        <x:v>0</x:v>
      </x:c>
      <x:c r="G1173" s="170" t="str">
        <x:v>Rs '000</x:v>
      </x:c>
      <x:c r="H1173" s="170" t="n">
        <x:f>F1173/1000</x:f>
        <x:v>0</x:v>
      </x:c>
      <x:c r="I1173" s="170" t="n">
        <x:f>MLCF!C57</x:f>
        <x:v>0</x:v>
      </x:c>
      <x:c r="J1173" s="170" t="n">
        <x:f>H1173-I1173</x:f>
        <x:v>0</x:v>
      </x:c>
      <x:c r="K1173" s="76" t="str">
        <x:v>2021.pdf</x:v>
      </x:c>
      <x:c r="L1173" s="76" t="n">
        <x:v>162</x:v>
      </x:c>
      <x:c r="M1173" s="76" t="str">
        <x:v>Comparative</x:v>
      </x:c>
      <x:c r="N1173" s="99" t="str">
        <x:v>Zero / no separate line in audited presentation</x:v>
      </x:c>
      <x:c r="O1173" s="99" t="str">
        <x:v>Zero classification checked within the audited statement/note and reconstructed statement totals; absence of a separate line does not imply a missing replacement estimate.</x:v>
      </x:c>
      <x:c r="P1173" s="99" t="str">
        <x:v>
160
UNCONSOLIDA TED STA TEMENT OF 
FINANCIAL POSITION 
AS AT JUNE 30, 2021
   2021 2020
  Note (Rupees in thousand) 
EQUITY AND LIABILITIES   
   | - Deferred grant</x:v>
      </x:c>
    </x:row>
    <x:row r="1174" ht="82" customHeight="1">
      <x:c r="A1174" s="168" t="str">
        <x:v>MLCF|cp_grant|2021</x:v>
      </x:c>
      <x:c r="B1174" s="168" t="str">
        <x:v>MLCF</x:v>
      </x:c>
      <x:c r="C1174" s="168" t="str">
        <x:v>FY2021</x:v>
      </x:c>
      <x:c r="D1174" s="168" t="str">
        <x:v>Current portion of deferred government grant</x:v>
      </x:c>
      <x:c r="E1174" s="169" t="n">
        <x:v>49997</x:v>
      </x:c>
      <x:c r="F1174" s="169" t="n">
        <x:v>49997</x:v>
      </x:c>
      <x:c r="G1174" s="169" t="str">
        <x:v>Rs '000</x:v>
      </x:c>
      <x:c r="H1174" s="169" t="n">
        <x:f>F1174/1000</x:f>
        <x:v>49.997</x:v>
      </x:c>
      <x:c r="I1174" s="169" t="n">
        <x:f>MLCF!D57</x:f>
        <x:v>49.997</x:v>
      </x:c>
      <x:c r="J1174" s="169" t="n">
        <x:f>H1174-I1174</x:f>
        <x:v>0</x:v>
      </x:c>
      <x:c r="K1174" s="168" t="str">
        <x:v>2022.pdf</x:v>
      </x:c>
      <x:c r="L1174" s="168" t="n">
        <x:v>183</x:v>
      </x:c>
      <x:c r="M1174" s="168" t="str">
        <x:v>Comparative</x:v>
      </x:c>
      <x:c r="N1174" s="171" t="str">
        <x:v>Printed amount independently located</x:v>
      </x:c>
      <x:c r="O1174" s="171" t="str">
        <x:v>Exact source amount found; audited year/current-comparative column recorded. Accounting subtotal tests performed separately.</x:v>
      </x:c>
      <x:c r="P1174" s="171" t="str">
        <x:v>Current portion of:    
   - Long term loans from financial institutions - secured 8  2,619,800   1,704,612 
   - Deferred grant 9  184,576   49,997 
   - Liability against right of use assets 11  6,837   -   
Trade and other payables 16  9,117,414   7,511,637 
Unclaimed dividend   27,569   28,134 
Mark-up accrued on borrowing</x:v>
      </x:c>
    </x:row>
    <x:row r="1175" ht="82" customHeight="1">
      <x:c r="A1175" s="76" t="str">
        <x:v>MLCF|cp_grant|2022</x:v>
      </x:c>
      <x:c r="B1175" s="76" t="str">
        <x:v>MLCF</x:v>
      </x:c>
      <x:c r="C1175" s="76" t="str">
        <x:v>FY2022</x:v>
      </x:c>
      <x:c r="D1175" s="76" t="str">
        <x:v>Current portion of deferred government grant</x:v>
      </x:c>
      <x:c r="E1175" s="170" t="n">
        <x:v>184576</x:v>
      </x:c>
      <x:c r="F1175" s="170" t="n">
        <x:v>184576</x:v>
      </x:c>
      <x:c r="G1175" s="170" t="str">
        <x:v>Rs '000</x:v>
      </x:c>
      <x:c r="H1175" s="170" t="n">
        <x:f>F1175/1000</x:f>
        <x:v>184.576</x:v>
      </x:c>
      <x:c r="I1175" s="170" t="n">
        <x:f>MLCF!E57</x:f>
        <x:v>184.576</x:v>
      </x:c>
      <x:c r="J1175" s="170" t="n">
        <x:f>H1175-I1175</x:f>
        <x:v>0</x:v>
      </x:c>
      <x:c r="K1175" s="76" t="str">
        <x:v>2023.pdf</x:v>
      </x:c>
      <x:c r="L1175" s="76" t="n">
        <x:v>98</x:v>
      </x:c>
      <x:c r="M1175" s="76" t="str">
        <x:v>Comparative</x:v>
      </x:c>
      <x:c r="N1175" s="99" t="str">
        <x:v>Printed amount independently located</x:v>
      </x:c>
      <x:c r="O1175" s="99" t="str">
        <x:v>Exact source amount found; audited year/current-comparative column recorded. Accounting subtotal tests performed separately.</x:v>
      </x:c>
      <x:c r="P1175" s="99" t="str">
        <x:v>04
CURRENT LIABILITIES
Current portion of:
 - Long term loans from financial institutions - secured 8 2,599,401 2,619,800
 - Deferred grant 9 179,766 184,576
 - Liability against right of use assets 11  10,257 6,837
Trade and other payables 16 12,518,180 9,117,414
Unclaimed dividend  27,378 27,569
Mark-up accrued on borrowings 17 880,0</x:v>
      </x:c>
    </x:row>
    <x:row r="1176" ht="82" customHeight="1">
      <x:c r="A1176" s="168" t="str">
        <x:v>MLCF|cp_grant|2023</x:v>
      </x:c>
      <x:c r="B1176" s="168" t="str">
        <x:v>MLCF</x:v>
      </x:c>
      <x:c r="C1176" s="168" t="str">
        <x:v>FY2023</x:v>
      </x:c>
      <x:c r="D1176" s="168" t="str">
        <x:v>Current portion of deferred government grant</x:v>
      </x:c>
      <x:c r="E1176" s="169" t="n">
        <x:v>179766</x:v>
      </x:c>
      <x:c r="F1176" s="169" t="n">
        <x:v>179766</x:v>
      </x:c>
      <x:c r="G1176" s="169" t="str">
        <x:v>Rs '000</x:v>
      </x:c>
      <x:c r="H1176" s="169" t="n">
        <x:f>F1176/1000</x:f>
        <x:v>179.766</x:v>
      </x:c>
      <x:c r="I1176" s="169" t="n">
        <x:f>MLCF!F57</x:f>
        <x:v>179.766</x:v>
      </x:c>
      <x:c r="J1176" s="169" t="n">
        <x:f>H1176-I1176</x:f>
        <x:v>0</x:v>
      </x:c>
      <x:c r="K1176" s="168" t="str">
        <x:v>2024.pdf</x:v>
      </x:c>
      <x:c r="L1176" s="168" t="n">
        <x:v>189</x:v>
      </x:c>
      <x:c r="M1176" s="168" t="str">
        <x:v>Comparative</x:v>
      </x:c>
      <x:c r="N1176" s="171" t="str">
        <x:v>Printed amount independently located</x:v>
      </x:c>
      <x:c r="O1176" s="171" t="str">
        <x:v>Exact source amount found; audited year/current-comparative column recorded. Accounting subtotal tests performed separately.</x:v>
      </x:c>
      <x:c r="P1176" s="171" t="str">
        <x:v>LIABILITIES
Current portion of:
 - Long term loans from financial institutions - secured 8 3,407,702 2,599,401
 - Deferred government grant 9 155,439 179,766
 - Lease liabilities 11 13,909 10,257
Trade and other payables 16 12,482,233 12,518,180
Unclaimed dividend  27,256 27,378
Mark-up accrued on borrowings 17 865,945 880,039
Short te</x:v>
      </x:c>
    </x:row>
    <x:row r="1177" ht="82" customHeight="1">
      <x:c r="A1177" s="76" t="str">
        <x:v>MLCF|cp_grant|2024</x:v>
      </x:c>
      <x:c r="B1177" s="76" t="str">
        <x:v>MLCF</x:v>
      </x:c>
      <x:c r="C1177" s="76" t="str">
        <x:v>FY2024</x:v>
      </x:c>
      <x:c r="D1177" s="76" t="str">
        <x:v>Current portion of deferred government grant</x:v>
      </x:c>
      <x:c r="E1177" s="170" t="n">
        <x:v>155439</x:v>
      </x:c>
      <x:c r="F1177" s="170" t="n">
        <x:v>155439</x:v>
      </x:c>
      <x:c r="G1177" s="170" t="str">
        <x:v>Rs '000</x:v>
      </x:c>
      <x:c r="H1177" s="170" t="n">
        <x:f>F1177/1000</x:f>
        <x:v>155.439</x:v>
      </x:c>
      <x:c r="I1177" s="170" t="n">
        <x:f>MLCF!G57</x:f>
        <x:v>155.439</x:v>
      </x:c>
      <x:c r="J1177" s="170" t="n">
        <x:f>H1177-I1177</x:f>
        <x:v>0</x:v>
      </x:c>
      <x:c r="K1177" s="76" t="str">
        <x:v>2025.pdf</x:v>
      </x:c>
      <x:c r="L1177" s="76" t="n">
        <x:v>201</x:v>
      </x:c>
      <x:c r="M1177" s="76" t="str">
        <x:v>Comparative</x:v>
      </x:c>
      <x:c r="N1177" s="99" t="str">
        <x:v>Printed amount independently located</x:v>
      </x:c>
      <x:c r="O1177" s="99" t="str">
        <x:v>Exact source amount found; audited year/current-comparative column recorded. Accounting subtotal tests performed separately.</x:v>
      </x:c>
      <x:c r="P1177" s="99" t="str">
        <x:v>S
Current portion of:
 - Long term loans from financial institutions - secured 8  3,933,328   3,407,702 
    - Deferred government grant 9  128,183   155,439 
    - Lease liabilities 11  14,323   13,909 
Trade and other payables 15  17,926,267   12,482,233 
Unclaimed dividend   26,877   27,256 
Provision for income tax 32  158,794   -</x:v>
      </x:c>
    </x:row>
    <x:row r="1178" ht="82" customHeight="1">
      <x:c r="A1178" s="168" t="str">
        <x:v>MLCF|cp_grant|2025</x:v>
      </x:c>
      <x:c r="B1178" s="168" t="str">
        <x:v>MLCF</x:v>
      </x:c>
      <x:c r="C1178" s="168" t="str">
        <x:v>FY2025</x:v>
      </x:c>
      <x:c r="D1178" s="168" t="str">
        <x:v>Current portion of deferred government grant</x:v>
      </x:c>
      <x:c r="E1178" s="169" t="n">
        <x:v>128183</x:v>
      </x:c>
      <x:c r="F1178" s="169" t="n">
        <x:v>128183</x:v>
      </x:c>
      <x:c r="G1178" s="169" t="str">
        <x:v>Rs '000</x:v>
      </x:c>
      <x:c r="H1178" s="169" t="n">
        <x:f>F1178/1000</x:f>
        <x:v>128.183</x:v>
      </x:c>
      <x:c r="I1178" s="169" t="n">
        <x:f>MLCF!H57</x:f>
        <x:v>128.183</x:v>
      </x:c>
      <x:c r="J1178" s="169" t="n">
        <x:f>H1178-I1178</x:f>
        <x:v>0</x:v>
      </x:c>
      <x:c r="K1178" s="168" t="str">
        <x:v>2025.pdf</x:v>
      </x:c>
      <x:c r="L1178" s="168" t="n">
        <x:v>201</x:v>
      </x:c>
      <x:c r="M1178" s="168" t="str">
        <x:v>Current year</x:v>
      </x:c>
      <x:c r="N1178" s="171" t="str">
        <x:v>Printed amount independently located</x:v>
      </x:c>
      <x:c r="O1178" s="171" t="str">
        <x:v>Exact source amount found; audited year/current-comparative column recorded. Accounting subtotal tests performed separately.</x:v>
      </x:c>
      <x:c r="P1178" s="171" t="str">
        <x:v>LIABILITIES
Current portion of:
 - Long term loans from financial institutions - secured 8  3,933,328   3,407,702 
    - Deferred government grant 9  128,183   155,439 
    - Lease liabilities 11  14,323   13,909 
Trade and other payables 15  17,926,267   12,482,233 
Unclaimed dividend   26,877   27,256 
Provision for income tax 32  15</x:v>
      </x:c>
    </x:row>
    <x:row r="1179" ht="82" customHeight="1">
      <x:c r="A1179" s="76" t="str">
        <x:v>MLCF|div_liab|2020</x:v>
      </x:c>
      <x:c r="B1179" s="76" t="str">
        <x:v>MLCF</x:v>
      </x:c>
      <x:c r="C1179" s="76" t="str">
        <x:v>FY2020</x:v>
      </x:c>
      <x:c r="D1179" s="76" t="str">
        <x:v>Unclaimed / unpaid dividends</x:v>
      </x:c>
      <x:c r="E1179" s="170" t="n">
        <x:v>48053</x:v>
      </x:c>
      <x:c r="F1179" s="170" t="n">
        <x:v>48053</x:v>
      </x:c>
      <x:c r="G1179" s="170" t="str">
        <x:v>Rs '000</x:v>
      </x:c>
      <x:c r="H1179" s="170" t="n">
        <x:f>F1179/1000</x:f>
        <x:v>48.053</x:v>
      </x:c>
      <x:c r="I1179" s="170" t="n">
        <x:f>MLCF!C58</x:f>
        <x:v>48.053</x:v>
      </x:c>
      <x:c r="J1179" s="170" t="n">
        <x:f>H1179-I1179</x:f>
        <x:v>0</x:v>
      </x:c>
      <x:c r="K1179" s="76" t="str">
        <x:v>2021.pdf</x:v>
      </x:c>
      <x:c r="L1179" s="76" t="n">
        <x:v>162</x:v>
      </x:c>
      <x:c r="M1179" s="76" t="str">
        <x:v>Comparative</x:v>
      </x:c>
      <x:c r="N1179" s="99" t="str">
        <x:v>Printed amount independently located</x:v>
      </x:c>
      <x:c r="O1179" s="99" t="str">
        <x:v>Exact source amount found; audited year/current-comparative column recorded. Accounting subtotal tests performed separately.</x:v>
      </x:c>
      <x:c r="P1179" s="99" t="str">
        <x:v>cured 8  1,704,612   125,000 
    - Deferred grant 9  49,997   -   
Trade and other payables 16  7,511,637   7,951,221 
Unclaimed dividend   28,134   48,053 
Mark-up accrued on borrowings 17  260,953   547,189 
Short term borrowings 18  1,894,115   6,642,312 
    11,449,448   15,313,775 
CONTINGENCIES AND COMMITMENTS 19</x:v>
      </x:c>
    </x:row>
    <x:row r="1180" ht="82" customHeight="1">
      <x:c r="A1180" s="168" t="str">
        <x:v>MLCF|div_liab|2021</x:v>
      </x:c>
      <x:c r="B1180" s="168" t="str">
        <x:v>MLCF</x:v>
      </x:c>
      <x:c r="C1180" s="168" t="str">
        <x:v>FY2021</x:v>
      </x:c>
      <x:c r="D1180" s="168" t="str">
        <x:v>Unclaimed / unpaid dividends</x:v>
      </x:c>
      <x:c r="E1180" s="169" t="n">
        <x:v>28134</x:v>
      </x:c>
      <x:c r="F1180" s="169" t="n">
        <x:v>28134</x:v>
      </x:c>
      <x:c r="G1180" s="169" t="str">
        <x:v>Rs '000</x:v>
      </x:c>
      <x:c r="H1180" s="169" t="n">
        <x:f>F1180/1000</x:f>
        <x:v>28.134</x:v>
      </x:c>
      <x:c r="I1180" s="169" t="n">
        <x:f>MLCF!D58</x:f>
        <x:v>28.134</x:v>
      </x:c>
      <x:c r="J1180" s="169" t="n">
        <x:f>H1180-I1180</x:f>
        <x:v>0</x:v>
      </x:c>
      <x:c r="K1180" s="168" t="str">
        <x:v>2022.pdf</x:v>
      </x:c>
      <x:c r="L1180" s="168" t="n">
        <x:v>183</x:v>
      </x:c>
      <x:c r="M1180" s="168" t="str">
        <x:v>Comparative</x:v>
      </x:c>
      <x:c r="N1180" s="171" t="str">
        <x:v>Printed amount independently located</x:v>
      </x:c>
      <x:c r="O1180" s="171" t="str">
        <x:v>Exact source amount found; audited year/current-comparative column recorded. Accounting subtotal tests performed separately.</x:v>
      </x:c>
      <x:c r="P1180" s="171" t="str">
        <x:v>49,997 
   - Liability against right of use assets 11  6,837   -   
Trade and other payables 16  9,117,414   7,511,637 
Unclaimed dividend   27,569   28,134 
Mark-up accrued on borrowings 17  665,122   260,953 
Short term borrowings 18  3,572,073   1,894,115 
       16,193,391   11,449,448    
CONTINGENCIES AND COMMITMENTS 19</x:v>
      </x:c>
    </x:row>
    <x:row r="1181" ht="82" customHeight="1">
      <x:c r="A1181" s="76" t="str">
        <x:v>MLCF|div_liab|2022</x:v>
      </x:c>
      <x:c r="B1181" s="76" t="str">
        <x:v>MLCF</x:v>
      </x:c>
      <x:c r="C1181" s="76" t="str">
        <x:v>FY2022</x:v>
      </x:c>
      <x:c r="D1181" s="76" t="str">
        <x:v>Unclaimed / unpaid dividends</x:v>
      </x:c>
      <x:c r="E1181" s="170" t="n">
        <x:v>27569</x:v>
      </x:c>
      <x:c r="F1181" s="170" t="n">
        <x:v>27569</x:v>
      </x:c>
      <x:c r="G1181" s="170" t="str">
        <x:v>Rs '000</x:v>
      </x:c>
      <x:c r="H1181" s="170" t="n">
        <x:f>F1181/1000</x:f>
        <x:v>27.569</x:v>
      </x:c>
      <x:c r="I1181" s="170" t="n">
        <x:f>MLCF!E58</x:f>
        <x:v>27.569</x:v>
      </x:c>
      <x:c r="J1181" s="170" t="n">
        <x:f>H1181-I1181</x:f>
        <x:v>0</x:v>
      </x:c>
      <x:c r="K1181" s="76" t="str">
        <x:v>2023.pdf</x:v>
      </x:c>
      <x:c r="L1181" s="76" t="n">
        <x:v>98</x:v>
      </x:c>
      <x:c r="M1181" s="76" t="str">
        <x:v>Comparative</x:v>
      </x:c>
      <x:c r="N1181" s="99" t="str">
        <x:v>Printed amount independently located</x:v>
      </x:c>
      <x:c r="O1181" s="99" t="str">
        <x:v>Exact source amount found; audited year/current-comparative column recorded. Accounting subtotal tests performed separately.</x:v>
      </x:c>
      <x:c r="P1181" s="99" t="str">
        <x:v>179,766 184,576
 - Liability against right of use assets 11  10,257 6,837
Trade and other payables 16 12,518,180 9,117,414
Unclaimed dividend  27,378 27,569
Mark-up accrued on borrowings 17 880,039 665,122
Short term borrowings 18 - 3,572,073
  16,215,021 16,193,391
CONTINGENCIES AND COMMITMENTS 19
  89,707,711 82,214,210
The annexe</x:v>
      </x:c>
    </x:row>
    <x:row r="1182" ht="82" customHeight="1">
      <x:c r="A1182" s="168" t="str">
        <x:v>MLCF|div_liab|2023</x:v>
      </x:c>
      <x:c r="B1182" s="168" t="str">
        <x:v>MLCF</x:v>
      </x:c>
      <x:c r="C1182" s="168" t="str">
        <x:v>FY2023</x:v>
      </x:c>
      <x:c r="D1182" s="168" t="str">
        <x:v>Unclaimed / unpaid dividends</x:v>
      </x:c>
      <x:c r="E1182" s="169" t="n">
        <x:v>27378</x:v>
      </x:c>
      <x:c r="F1182" s="169" t="n">
        <x:v>27378</x:v>
      </x:c>
      <x:c r="G1182" s="169" t="str">
        <x:v>Rs '000</x:v>
      </x:c>
      <x:c r="H1182" s="169" t="n">
        <x:f>F1182/1000</x:f>
        <x:v>27.378</x:v>
      </x:c>
      <x:c r="I1182" s="169" t="n">
        <x:f>MLCF!F58</x:f>
        <x:v>27.378</x:v>
      </x:c>
      <x:c r="J1182" s="169" t="n">
        <x:f>H1182-I1182</x:f>
        <x:v>0</x:v>
      </x:c>
      <x:c r="K1182" s="168" t="str">
        <x:v>2024.pdf</x:v>
      </x:c>
      <x:c r="L1182" s="168" t="n">
        <x:v>189</x:v>
      </x:c>
      <x:c r="M1182" s="168" t="str">
        <x:v>Comparative</x:v>
      </x:c>
      <x:c r="N1182" s="171" t="str">
        <x:v>Printed amount independently located</x:v>
      </x:c>
      <x:c r="O1182" s="171" t="str">
        <x:v>Exact source amount found; audited year/current-comparative column recorded. Accounting subtotal tests performed separately.</x:v>
      </x:c>
      <x:c r="P1182" s="171" t="str">
        <x:v>government grant 9 155,439 179,766
 - Lease liabilities 11 13,909 10,257
Trade and other payables 16 12,482,233 12,518,180
Unclaimed dividend  27,256 27,378
Mark-up accrued on borrowings 17 865,945 880,039
Short term borrowings from financial institutions - secured 18 1,645,316 -
  18,597,800 16,215,021
CONTINGENCIES AND COMMITMENTS 1</x:v>
      </x:c>
    </x:row>
    <x:row r="1183" ht="82" customHeight="1">
      <x:c r="A1183" s="76" t="str">
        <x:v>MLCF|div_liab|2024</x:v>
      </x:c>
      <x:c r="B1183" s="76" t="str">
        <x:v>MLCF</x:v>
      </x:c>
      <x:c r="C1183" s="76" t="str">
        <x:v>FY2024</x:v>
      </x:c>
      <x:c r="D1183" s="76" t="str">
        <x:v>Unclaimed / unpaid dividends</x:v>
      </x:c>
      <x:c r="E1183" s="170" t="n">
        <x:v>27256</x:v>
      </x:c>
      <x:c r="F1183" s="170" t="n">
        <x:v>27256</x:v>
      </x:c>
      <x:c r="G1183" s="170" t="str">
        <x:v>Rs '000</x:v>
      </x:c>
      <x:c r="H1183" s="170" t="n">
        <x:f>F1183/1000</x:f>
        <x:v>27.256</x:v>
      </x:c>
      <x:c r="I1183" s="170" t="n">
        <x:f>MLCF!G58</x:f>
        <x:v>27.256</x:v>
      </x:c>
      <x:c r="J1183" s="170" t="n">
        <x:f>H1183-I1183</x:f>
        <x:v>0</x:v>
      </x:c>
      <x:c r="K1183" s="76" t="str">
        <x:v>2025.pdf</x:v>
      </x:c>
      <x:c r="L1183" s="76" t="n">
        <x:v>201</x:v>
      </x:c>
      <x:c r="M1183" s="76" t="str">
        <x:v>Comparative</x:v>
      </x:c>
      <x:c r="N1183" s="99" t="str">
        <x:v>Printed amount independently located</x:v>
      </x:c>
      <x:c r="O1183" s="99" t="str">
        <x:v>Exact source amount found; audited year/current-comparative column recorded. Accounting subtotal tests performed separately.</x:v>
      </x:c>
      <x:c r="P1183" s="99" t="str">
        <x:v>128,183   155,439 
    - Lease liabilities 11  14,323   13,909 
Trade and other payables 15  17,926,267   12,482,233 
Unclaimed dividend   26,877   27,256 
Provision for income tax 32  158,794   -   
Mark-up accrued on borrowings 16  320,434   865,945 
Short term borrowings from financial institutions - secured  17  822,285   1,645,</x:v>
      </x:c>
    </x:row>
    <x:row r="1184" ht="82" customHeight="1">
      <x:c r="A1184" s="168" t="str">
        <x:v>MLCF|div_liab|2025</x:v>
      </x:c>
      <x:c r="B1184" s="168" t="str">
        <x:v>MLCF</x:v>
      </x:c>
      <x:c r="C1184" s="168" t="str">
        <x:v>FY2025</x:v>
      </x:c>
      <x:c r="D1184" s="168" t="str">
        <x:v>Unclaimed / unpaid dividends</x:v>
      </x:c>
      <x:c r="E1184" s="169" t="n">
        <x:v>26877</x:v>
      </x:c>
      <x:c r="F1184" s="169" t="n">
        <x:v>26877</x:v>
      </x:c>
      <x:c r="G1184" s="169" t="str">
        <x:v>Rs '000</x:v>
      </x:c>
      <x:c r="H1184" s="169" t="n">
        <x:f>F1184/1000</x:f>
        <x:v>26.877</x:v>
      </x:c>
      <x:c r="I1184" s="169" t="n">
        <x:f>MLCF!H58</x:f>
        <x:v>26.877</x:v>
      </x:c>
      <x:c r="J1184" s="169" t="n">
        <x:f>H1184-I1184</x:f>
        <x:v>0</x:v>
      </x:c>
      <x:c r="K1184" s="168" t="str">
        <x:v>2025.pdf</x:v>
      </x:c>
      <x:c r="L1184" s="168" t="n">
        <x:v>201</x:v>
      </x:c>
      <x:c r="M1184" s="168" t="str">
        <x:v>Current year</x:v>
      </x:c>
      <x:c r="N1184" s="171" t="str">
        <x:v>Printed amount independently located</x:v>
      </x:c>
      <x:c r="O1184" s="171" t="str">
        <x:v>Exact source amount found; audited year/current-comparative column recorded. Accounting subtotal tests performed separately.</x:v>
      </x:c>
      <x:c r="P1184" s="171" t="str">
        <x:v>t grant 9  128,183   155,439 
    - Lease liabilities 11  14,323   13,909 
Trade and other payables 15  17,926,267   12,482,233 
Unclaimed dividend   26,877   27,256 
Provision for income tax 32  158,794   -   
Mark-up accrued on borrowings 16  320,434   865,945 
Short term borrowings from financial institutions - secured  17  822,285</x:v>
      </x:c>
    </x:row>
    <x:row r="1185" ht="82" customHeight="1">
      <x:c r="A1185" s="76" t="str">
        <x:v>MLCF|tax_liab|2020</x:v>
      </x:c>
      <x:c r="B1185" s="76" t="str">
        <x:v>MLCF</x:v>
      </x:c>
      <x:c r="C1185" s="76" t="str">
        <x:v>FY2020</x:v>
      </x:c>
      <x:c r="D1185" s="76" t="str">
        <x:v>Taxation payable (net)</x:v>
      </x:c>
      <x:c r="E1185" s="170" t="n">
        <x:v>0</x:v>
      </x:c>
      <x:c r="F1185" s="170" t="n">
        <x:v>0</x:v>
      </x:c>
      <x:c r="G1185" s="170" t="str">
        <x:v>Rs '000</x:v>
      </x:c>
      <x:c r="H1185" s="170" t="n">
        <x:f>F1185/1000</x:f>
        <x:v>0</x:v>
      </x:c>
      <x:c r="I1185" s="170" t="n">
        <x:f>MLCF!C59</x:f>
        <x:v>0</x:v>
      </x:c>
      <x:c r="J1185" s="170" t="n">
        <x:f>H1185-I1185</x:f>
        <x:v>0</x:v>
      </x:c>
      <x:c r="K1185" s="76" t="str">
        <x:v>2021.pdf</x:v>
      </x:c>
      <x:c r="L1185" s="76" t="n">
        <x:v>162</x:v>
      </x:c>
      <x:c r="M1185" s="76" t="str">
        <x:v>Comparative</x:v>
      </x:c>
      <x:c r="N1185" s="99" t="str">
        <x:v>Zero / no separate line in audited presentation</x:v>
      </x:c>
      <x:c r="O1185" s="99" t="str">
        <x:v>Zero classification checked within the audited statement/note and reconstructed statement totals; absence of a separate line does not imply a missing replacement estimate.</x:v>
      </x:c>
      <x:c r="P1185" s="99" t="str">
        <x:v>
160
UNCONSOLIDA TED STA TEMENT OF 
FINANCIAL POSITION 
AS AT JUNE 30, 2021
   2021 2020
  Note (Rupees in thousand) 
EQUITY AND LIABILITIES   
   | Taxation payable (net)</x:v>
      </x:c>
    </x:row>
    <x:row r="1186" ht="82" customHeight="1">
      <x:c r="A1186" s="168" t="str">
        <x:v>MLCF|tax_liab|2021</x:v>
      </x:c>
      <x:c r="B1186" s="168" t="str">
        <x:v>MLCF</x:v>
      </x:c>
      <x:c r="C1186" s="168" t="str">
        <x:v>FY2021</x:v>
      </x:c>
      <x:c r="D1186" s="168" t="str">
        <x:v>Taxation payable (net)</x:v>
      </x:c>
      <x:c r="E1186" s="169" t="n">
        <x:v>0</x:v>
      </x:c>
      <x:c r="F1186" s="169" t="n">
        <x:v>0</x:v>
      </x:c>
      <x:c r="G1186" s="169" t="str">
        <x:v>Rs '000</x:v>
      </x:c>
      <x:c r="H1186" s="169" t="n">
        <x:f>F1186/1000</x:f>
        <x:v>0</x:v>
      </x:c>
      <x:c r="I1186" s="169" t="n">
        <x:f>MLCF!D59</x:f>
        <x:v>0</x:v>
      </x:c>
      <x:c r="J1186" s="169" t="n">
        <x:f>H1186-I1186</x:f>
        <x:v>0</x:v>
      </x:c>
      <x:c r="K1186" s="168" t="str">
        <x:v>2022.pdf</x:v>
      </x:c>
      <x:c r="L1186" s="168" t="n">
        <x:v>183</x:v>
      </x:c>
      <x:c r="M1186" s="168" t="str">
        <x:v>Comparative</x:v>
      </x:c>
      <x:c r="N1186" s="171" t="str">
        <x:v>Zero / no separate line in audited presentation</x:v>
      </x:c>
      <x:c r="O1186" s="171" t="str">
        <x:v>Zero classification checked within the audited statement/note and reconstructed statement totals; absence of a separate line does not imply a missing replacement estimate.</x:v>
      </x:c>
      <x:c r="P1186" s="171" t="str">
        <x:v>
182
UNCONSOLIDA TED STA TEMENT OF 
FINANCIAL POSITION 
AS AT JUNE 30, 2022
   2022 2021
  Note (Rupees in thousand) 
EQUITY AND LIABILITIES   
   | Taxation payable (net)</x:v>
      </x:c>
    </x:row>
    <x:row r="1187" ht="82" customHeight="1">
      <x:c r="A1187" s="76" t="str">
        <x:v>MLCF|tax_liab|2022</x:v>
      </x:c>
      <x:c r="B1187" s="76" t="str">
        <x:v>MLCF</x:v>
      </x:c>
      <x:c r="C1187" s="76" t="str">
        <x:v>FY2022</x:v>
      </x:c>
      <x:c r="D1187" s="76" t="str">
        <x:v>Taxation payable (net)</x:v>
      </x:c>
      <x:c r="E1187" s="170" t="n">
        <x:v>0</x:v>
      </x:c>
      <x:c r="F1187" s="170" t="n">
        <x:v>0</x:v>
      </x:c>
      <x:c r="G1187" s="170" t="str">
        <x:v>Rs '000</x:v>
      </x:c>
      <x:c r="H1187" s="170" t="n">
        <x:f>F1187/1000</x:f>
        <x:v>0</x:v>
      </x:c>
      <x:c r="I1187" s="170" t="n">
        <x:f>MLCF!E59</x:f>
        <x:v>0</x:v>
      </x:c>
      <x:c r="J1187" s="170" t="n">
        <x:f>H1187-I1187</x:f>
        <x:v>0</x:v>
      </x:c>
      <x:c r="K1187" s="76" t="str">
        <x:v>2023.pdf</x:v>
      </x:c>
      <x:c r="L1187" s="76" t="n">
        <x:v>98</x:v>
      </x:c>
      <x:c r="M1187" s="76" t="str">
        <x:v>Comparative</x:v>
      </x:c>
      <x:c r="N1187" s="99" t="str">
        <x:v>Zero / no separate line in audited presentation</x:v>
      </x:c>
      <x:c r="O1187" s="99" t="str">
        <x:v>Zero classification checked within the audited statement/note and reconstructed statement totals; absence of a separate line does not imply a missing replacement estimate.</x:v>
      </x:c>
      <x:c r="P1187" s="99" t="str">
        <x:v>
192 193
UNCONSOLIDA TED STA TEMENT OF 
FINANCIAL POSITION 
AS AT JUNE 30, 2023
   2023 2022
  Note (Rupees in thousand) 
EQUITY AND LIABILITIES
SHARE | Taxation payable (net)</x:v>
      </x:c>
    </x:row>
    <x:row r="1188" ht="82" customHeight="1">
      <x:c r="A1188" s="168" t="str">
        <x:v>MLCF|tax_liab|2023</x:v>
      </x:c>
      <x:c r="B1188" s="168" t="str">
        <x:v>MLCF</x:v>
      </x:c>
      <x:c r="C1188" s="168" t="str">
        <x:v>FY2023</x:v>
      </x:c>
      <x:c r="D1188" s="168" t="str">
        <x:v>Taxation payable (net)</x:v>
      </x:c>
      <x:c r="E1188" s="169" t="n">
        <x:v>0</x:v>
      </x:c>
      <x:c r="F1188" s="169" t="n">
        <x:v>0</x:v>
      </x:c>
      <x:c r="G1188" s="169" t="str">
        <x:v>Rs '000</x:v>
      </x:c>
      <x:c r="H1188" s="169" t="n">
        <x:f>F1188/1000</x:f>
        <x:v>0</x:v>
      </x:c>
      <x:c r="I1188" s="169" t="n">
        <x:f>MLCF!F59</x:f>
        <x:v>0</x:v>
      </x:c>
      <x:c r="J1188" s="169" t="n">
        <x:f>H1188-I1188</x:f>
        <x:v>0</x:v>
      </x:c>
      <x:c r="K1188" s="168" t="str">
        <x:v>2024.pdf</x:v>
      </x:c>
      <x:c r="L1188" s="168" t="n">
        <x:v>189</x:v>
      </x:c>
      <x:c r="M1188" s="168" t="str">
        <x:v>Comparative</x:v>
      </x:c>
      <x:c r="N1188" s="171" t="str">
        <x:v>Zero / no separate line in audited presentation</x:v>
      </x:c>
      <x:c r="O1188" s="171" t="str">
        <x:v>Zero classification checked within the audited statement/note and reconstructed statement totals; absence of a separate line does not imply a missing replacement estimate.</x:v>
      </x:c>
      <x:c r="P1188" s="171" t="str">
        <x:v>
188
UNCONSOLIDA TED STA TEMENT OF 
FINANCIAL POSITION 
AS AT JUNE 30, 2024
   2024 2023
  Note (Rupees in thousand) 
EQUITY AND LIABILITIES
SHARE CAP | Taxation payable (net)</x:v>
      </x:c>
    </x:row>
    <x:row r="1189" ht="82" customHeight="1">
      <x:c r="A1189" s="76" t="str">
        <x:v>MLCF|tax_liab|2024</x:v>
      </x:c>
      <x:c r="B1189" s="76" t="str">
        <x:v>MLCF</x:v>
      </x:c>
      <x:c r="C1189" s="76" t="str">
        <x:v>FY2024</x:v>
      </x:c>
      <x:c r="D1189" s="76" t="str">
        <x:v>Taxation payable (net)</x:v>
      </x:c>
      <x:c r="E1189" s="170" t="n">
        <x:v>0</x:v>
      </x:c>
      <x:c r="F1189" s="170" t="n">
        <x:v>0</x:v>
      </x:c>
      <x:c r="G1189" s="170" t="str">
        <x:v>Rs '000</x:v>
      </x:c>
      <x:c r="H1189" s="170" t="n">
        <x:f>F1189/1000</x:f>
        <x:v>0</x:v>
      </x:c>
      <x:c r="I1189" s="170" t="n">
        <x:f>MLCF!G59</x:f>
        <x:v>0</x:v>
      </x:c>
      <x:c r="J1189" s="170" t="n">
        <x:f>H1189-I1189</x:f>
        <x:v>0</x:v>
      </x:c>
      <x:c r="K1189" s="76" t="str">
        <x:v>2025.pdf</x:v>
      </x:c>
      <x:c r="L1189" s="76" t="n">
        <x:v>201</x:v>
      </x:c>
      <x:c r="M1189" s="76" t="str">
        <x:v>Comparative</x:v>
      </x:c>
      <x:c r="N1189" s="99" t="str">
        <x:v>Zero / no separate line in audited presentation</x:v>
      </x:c>
      <x:c r="O1189" s="99" t="str">
        <x:v>Zero classification checked within the audited statement/note and reconstructed statement totals; absence of a separate line does not imply a missing replacement estimate.</x:v>
      </x:c>
      <x:c r="P1189" s="99" t="str">
        <x:v>
200
UNCONSOLIDA TED STA TEMENT OF 
FINANCIAL POSITION 
AS AT JUNE 30, 2025
   2025 2024
  Note (Rupees in thousand) 
EQUITY AND LIABILITIES
SHARE CAP | Provision for income tax</x:v>
      </x:c>
    </x:row>
    <x:row r="1190" ht="82" customHeight="1">
      <x:c r="A1190" s="168" t="str">
        <x:v>MLCF|tax_liab|2025</x:v>
      </x:c>
      <x:c r="B1190" s="168" t="str">
        <x:v>MLCF</x:v>
      </x:c>
      <x:c r="C1190" s="168" t="str">
        <x:v>FY2025</x:v>
      </x:c>
      <x:c r="D1190" s="168" t="str">
        <x:v>Taxation payable (net)</x:v>
      </x:c>
      <x:c r="E1190" s="169" t="n">
        <x:v>158794</x:v>
      </x:c>
      <x:c r="F1190" s="169" t="n">
        <x:v>158794</x:v>
      </x:c>
      <x:c r="G1190" s="169" t="str">
        <x:v>Rs '000</x:v>
      </x:c>
      <x:c r="H1190" s="169" t="n">
        <x:f>F1190/1000</x:f>
        <x:v>158.794</x:v>
      </x:c>
      <x:c r="I1190" s="169" t="n">
        <x:f>MLCF!H59</x:f>
        <x:v>158.794</x:v>
      </x:c>
      <x:c r="J1190" s="169" t="n">
        <x:f>H1190-I1190</x:f>
        <x:v>0</x:v>
      </x:c>
      <x:c r="K1190" s="168" t="str">
        <x:v>2025.pdf</x:v>
      </x:c>
      <x:c r="L1190" s="168" t="n">
        <x:v>201</x:v>
      </x:c>
      <x:c r="M1190" s="168" t="str">
        <x:v>Current year</x:v>
      </x:c>
      <x:c r="N1190" s="171" t="str">
        <x:v>Printed amount independently located</x:v>
      </x:c>
      <x:c r="O1190" s="171" t="str">
        <x:v>Exact source amount found; audited year/current-comparative column recorded. Accounting subtotal tests performed separately.</x:v>
      </x:c>
      <x:c r="P1190" s="171" t="str">
        <x:v>ilities 11  14,323   13,909 
Trade and other payables 15  17,926,267   12,482,233 
Unclaimed dividend   26,877   27,256 
Provision for income tax 32  158,794   -   
Mark-up accrued on borrowings 16  320,434   865,945 
Short term borrowings from financial institutions - secured  17  822,285   1,645,316 
   23,330,491   18,597,800 
CONTI</x:v>
      </x:c>
    </x:row>
    <x:row r="1191" ht="82" customHeight="1">
      <x:c r="A1191" s="76" t="str">
        <x:v>MLCF|cl_other|2020</x:v>
      </x:c>
      <x:c r="B1191" s="76" t="str">
        <x:v>MLCF</x:v>
      </x:c>
      <x:c r="C1191" s="76" t="str">
        <x:v>FY2020</x:v>
      </x:c>
      <x:c r="D1191" s="76" t="str">
        <x:v>Other current liabilities</x:v>
      </x:c>
      <x:c r="E1191" s="170" t="n">
        <x:v>0</x:v>
      </x:c>
      <x:c r="F1191" s="170" t="n">
        <x:v>0</x:v>
      </x:c>
      <x:c r="G1191" s="170" t="str">
        <x:v>Rs '000</x:v>
      </x:c>
      <x:c r="H1191" s="170" t="n">
        <x:f>F1191/1000</x:f>
        <x:v>0</x:v>
      </x:c>
      <x:c r="I1191" s="170" t="n">
        <x:f>MLCF!C60</x:f>
        <x:v>0</x:v>
      </x:c>
      <x:c r="J1191" s="170" t="n">
        <x:f>H1191-I1191</x:f>
        <x:v>0</x:v>
      </x:c>
      <x:c r="K1191" s="76" t="str">
        <x:v>2021.pdf</x:v>
      </x:c>
      <x:c r="L1191" s="76" t="n">
        <x:v>162</x:v>
      </x:c>
      <x:c r="M1191" s="76" t="str">
        <x:v>Comparative</x:v>
      </x:c>
      <x:c r="N1191" s="99" t="str">
        <x:v>Zero / no separate line in audited presentation</x:v>
      </x:c>
      <x:c r="O1191" s="99" t="str">
        <x:v>Zero classification checked within the audited statement/note and reconstructed statement totals; absence of a separate line does not imply a missing replacement estimate.</x:v>
      </x:c>
      <x:c r="P1191" s="99" t="str">
        <x:v>
160
UNCONSOLIDA TED STA TEMENT OF 
FINANCIAL POSITION 
AS AT JUNE 30, 2021
   2021 2020
  Note (Rupees in thousand) 
EQUITY AND LIABILITIES   
   | Other current liabilities</x:v>
      </x:c>
    </x:row>
    <x:row r="1192" ht="82" customHeight="1">
      <x:c r="A1192" s="168" t="str">
        <x:v>MLCF|cl_other|2021</x:v>
      </x:c>
      <x:c r="B1192" s="168" t="str">
        <x:v>MLCF</x:v>
      </x:c>
      <x:c r="C1192" s="168" t="str">
        <x:v>FY2021</x:v>
      </x:c>
      <x:c r="D1192" s="168" t="str">
        <x:v>Other current liabilities</x:v>
      </x:c>
      <x:c r="E1192" s="169" t="n">
        <x:v>0</x:v>
      </x:c>
      <x:c r="F1192" s="169" t="n">
        <x:v>0</x:v>
      </x:c>
      <x:c r="G1192" s="169" t="str">
        <x:v>Rs '000</x:v>
      </x:c>
      <x:c r="H1192" s="169" t="n">
        <x:f>F1192/1000</x:f>
        <x:v>0</x:v>
      </x:c>
      <x:c r="I1192" s="169" t="n">
        <x:f>MLCF!D60</x:f>
        <x:v>0</x:v>
      </x:c>
      <x:c r="J1192" s="169" t="n">
        <x:f>H1192-I1192</x:f>
        <x:v>0</x:v>
      </x:c>
      <x:c r="K1192" s="168" t="str">
        <x:v>2022.pdf</x:v>
      </x:c>
      <x:c r="L1192" s="168" t="n">
        <x:v>183</x:v>
      </x:c>
      <x:c r="M1192" s="168" t="str">
        <x:v>Comparative</x:v>
      </x:c>
      <x:c r="N1192" s="171" t="str">
        <x:v>Zero / no separate line in audited presentation</x:v>
      </x:c>
      <x:c r="O1192" s="171" t="str">
        <x:v>Zero classification checked within the audited statement/note and reconstructed statement totals; absence of a separate line does not imply a missing replacement estimate.</x:v>
      </x:c>
      <x:c r="P1192" s="171" t="str">
        <x:v>
182
UNCONSOLIDA TED STA TEMENT OF 
FINANCIAL POSITION 
AS AT JUNE 30, 2022
   2022 2021
  Note (Rupees in thousand) 
EQUITY AND LIABILITIES   
   | Other current liabilities</x:v>
      </x:c>
    </x:row>
    <x:row r="1193" ht="82" customHeight="1">
      <x:c r="A1193" s="76" t="str">
        <x:v>MLCF|cl_other|2022</x:v>
      </x:c>
      <x:c r="B1193" s="76" t="str">
        <x:v>MLCF</x:v>
      </x:c>
      <x:c r="C1193" s="76" t="str">
        <x:v>FY2022</x:v>
      </x:c>
      <x:c r="D1193" s="76" t="str">
        <x:v>Other current liabilities</x:v>
      </x:c>
      <x:c r="E1193" s="170" t="n">
        <x:v>0</x:v>
      </x:c>
      <x:c r="F1193" s="170" t="n">
        <x:v>0</x:v>
      </x:c>
      <x:c r="G1193" s="170" t="str">
        <x:v>Rs '000</x:v>
      </x:c>
      <x:c r="H1193" s="170" t="n">
        <x:f>F1193/1000</x:f>
        <x:v>0</x:v>
      </x:c>
      <x:c r="I1193" s="170" t="n">
        <x:f>MLCF!E60</x:f>
        <x:v>0</x:v>
      </x:c>
      <x:c r="J1193" s="170" t="n">
        <x:f>H1193-I1193</x:f>
        <x:v>0</x:v>
      </x:c>
      <x:c r="K1193" s="76" t="str">
        <x:v>2023.pdf</x:v>
      </x:c>
      <x:c r="L1193" s="76" t="n">
        <x:v>98</x:v>
      </x:c>
      <x:c r="M1193" s="76" t="str">
        <x:v>Comparative</x:v>
      </x:c>
      <x:c r="N1193" s="99" t="str">
        <x:v>Zero / no separate line in audited presentation</x:v>
      </x:c>
      <x:c r="O1193" s="99" t="str">
        <x:v>Zero classification checked within the audited statement/note and reconstructed statement totals; absence of a separate line does not imply a missing replacement estimate.</x:v>
      </x:c>
      <x:c r="P1193" s="99" t="str">
        <x:v>
192 193
UNCONSOLIDA TED STA TEMENT OF 
FINANCIAL POSITION 
AS AT JUNE 30, 2023
   2023 2022
  Note (Rupees in thousand) 
EQUITY AND LIABILITIES
SHARE | Other current liabilities</x:v>
      </x:c>
    </x:row>
    <x:row r="1194" ht="82" customHeight="1">
      <x:c r="A1194" s="168" t="str">
        <x:v>MLCF|cl_other|2023</x:v>
      </x:c>
      <x:c r="B1194" s="168" t="str">
        <x:v>MLCF</x:v>
      </x:c>
      <x:c r="C1194" s="168" t="str">
        <x:v>FY2023</x:v>
      </x:c>
      <x:c r="D1194" s="168" t="str">
        <x:v>Other current liabilities</x:v>
      </x:c>
      <x:c r="E1194" s="169" t="n">
        <x:v>0</x:v>
      </x:c>
      <x:c r="F1194" s="169" t="n">
        <x:v>0</x:v>
      </x:c>
      <x:c r="G1194" s="169" t="str">
        <x:v>Rs '000</x:v>
      </x:c>
      <x:c r="H1194" s="169" t="n">
        <x:f>F1194/1000</x:f>
        <x:v>0</x:v>
      </x:c>
      <x:c r="I1194" s="169" t="n">
        <x:f>MLCF!F60</x:f>
        <x:v>0</x:v>
      </x:c>
      <x:c r="J1194" s="169" t="n">
        <x:f>H1194-I1194</x:f>
        <x:v>0</x:v>
      </x:c>
      <x:c r="K1194" s="168" t="str">
        <x:v>2024.pdf</x:v>
      </x:c>
      <x:c r="L1194" s="168" t="n">
        <x:v>189</x:v>
      </x:c>
      <x:c r="M1194" s="168" t="str">
        <x:v>Comparative</x:v>
      </x:c>
      <x:c r="N1194" s="171" t="str">
        <x:v>Zero / no separate line in audited presentation</x:v>
      </x:c>
      <x:c r="O1194" s="171" t="str">
        <x:v>Zero classification checked within the audited statement/note and reconstructed statement totals; absence of a separate line does not imply a missing replacement estimate.</x:v>
      </x:c>
      <x:c r="P1194" s="171" t="str">
        <x:v>
188
UNCONSOLIDA TED STA TEMENT OF 
FINANCIAL POSITION 
AS AT JUNE 30, 2024
   2024 2023
  Note (Rupees in thousand) 
EQUITY AND LIABILITIES
SHARE CAP | Other current liabilities</x:v>
      </x:c>
    </x:row>
    <x:row r="1195" ht="82" customHeight="1">
      <x:c r="A1195" s="76" t="str">
        <x:v>MLCF|cl_other|2024</x:v>
      </x:c>
      <x:c r="B1195" s="76" t="str">
        <x:v>MLCF</x:v>
      </x:c>
      <x:c r="C1195" s="76" t="str">
        <x:v>FY2024</x:v>
      </x:c>
      <x:c r="D1195" s="76" t="str">
        <x:v>Other current liabilities</x:v>
      </x:c>
      <x:c r="E1195" s="170" t="n">
        <x:v>0</x:v>
      </x:c>
      <x:c r="F1195" s="170" t="n">
        <x:v>0</x:v>
      </x:c>
      <x:c r="G1195" s="170" t="str">
        <x:v>Rs '000</x:v>
      </x:c>
      <x:c r="H1195" s="170" t="n">
        <x:f>F1195/1000</x:f>
        <x:v>0</x:v>
      </x:c>
      <x:c r="I1195" s="170" t="n">
        <x:f>MLCF!G60</x:f>
        <x:v>0</x:v>
      </x:c>
      <x:c r="J1195" s="170" t="n">
        <x:f>H1195-I1195</x:f>
        <x:v>0</x:v>
      </x:c>
      <x:c r="K1195" s="76" t="str">
        <x:v>2025.pdf</x:v>
      </x:c>
      <x:c r="L1195" s="76" t="n">
        <x:v>201</x:v>
      </x:c>
      <x:c r="M1195" s="76" t="str">
        <x:v>Comparative</x:v>
      </x:c>
      <x:c r="N1195" s="99" t="str">
        <x:v>Zero / no separate line in audited presentation</x:v>
      </x:c>
      <x:c r="O1195" s="99" t="str">
        <x:v>Zero classification checked within the audited statement/note and reconstructed statement totals; absence of a separate line does not imply a missing replacement estimate.</x:v>
      </x:c>
      <x:c r="P1195" s="99" t="str">
        <x:v>
200
UNCONSOLIDA TED STA TEMENT OF 
FINANCIAL POSITION 
AS AT JUNE 30, 2025
   2025 2024
  Note (Rupees in thousand) 
EQUITY AND LIABILITIES
SHARE CAP | Other current liabilities</x:v>
      </x:c>
    </x:row>
    <x:row r="1196" ht="82" customHeight="1">
      <x:c r="A1196" s="168" t="str">
        <x:v>MLCF|cl_other|2025</x:v>
      </x:c>
      <x:c r="B1196" s="168" t="str">
        <x:v>MLCF</x:v>
      </x:c>
      <x:c r="C1196" s="168" t="str">
        <x:v>FY2025</x:v>
      </x:c>
      <x:c r="D1196" s="168" t="str">
        <x:v>Other current liabilities</x:v>
      </x:c>
      <x:c r="E1196" s="169" t="n">
        <x:v>0</x:v>
      </x:c>
      <x:c r="F1196" s="169" t="n">
        <x:v>0</x:v>
      </x:c>
      <x:c r="G1196" s="169" t="str">
        <x:v>Rs '000</x:v>
      </x:c>
      <x:c r="H1196" s="169" t="n">
        <x:f>F1196/1000</x:f>
        <x:v>0</x:v>
      </x:c>
      <x:c r="I1196" s="169" t="n">
        <x:f>MLCF!H60</x:f>
        <x:v>0</x:v>
      </x:c>
      <x:c r="J1196" s="169" t="n">
        <x:f>H1196-I1196</x:f>
        <x:v>0</x:v>
      </x:c>
      <x:c r="K1196" s="168" t="str">
        <x:v>2025.pdf</x:v>
      </x:c>
      <x:c r="L1196" s="168" t="n">
        <x:v>201</x:v>
      </x:c>
      <x:c r="M1196" s="168" t="str">
        <x:v>Current year</x:v>
      </x:c>
      <x:c r="N1196" s="171" t="str">
        <x:v>Zero / no separate line in audited presentation</x:v>
      </x:c>
      <x:c r="O1196" s="171" t="str">
        <x:v>Zero classification checked within the audited statement/note and reconstructed statement totals; absence of a separate line does not imply a missing replacement estimate.</x:v>
      </x:c>
      <x:c r="P1196" s="171" t="str">
        <x:v>
200
UNCONSOLIDA TED STA TEMENT OF 
FINANCIAL POSITION 
AS AT JUNE 30, 2025
   2025 2024
  Note (Rupees in thousand) 
EQUITY AND LIABILITIES
SHARE CAP | Other current liabilities</x:v>
      </x:c>
    </x:row>
    <x:row r="1197" ht="82" customHeight="1">
      <x:c r="A1197" s="76" t="str">
        <x:v>MLCF|pr_TA|2020</x:v>
      </x:c>
      <x:c r="B1197" s="76" t="str">
        <x:v>MLCF</x:v>
      </x:c>
      <x:c r="C1197" s="76" t="str">
        <x:v>FY2020</x:v>
      </x:c>
      <x:c r="D1197" s="76" t="str">
        <x:v>Printed total assets</x:v>
      </x:c>
      <x:c r="E1197" s="170" t="n">
        <x:v>66009771</x:v>
      </x:c>
      <x:c r="F1197" s="170" t="n">
        <x:v>66009771</x:v>
      </x:c>
      <x:c r="G1197" s="170" t="str">
        <x:v>Rs '000</x:v>
      </x:c>
      <x:c r="H1197" s="170" t="n">
        <x:f>F1197/1000</x:f>
        <x:v>66009.771</x:v>
      </x:c>
      <x:c r="I1197" s="170" t="n">
        <x:f>MLCF!C75</x:f>
        <x:v>66009.771</x:v>
      </x:c>
      <x:c r="J1197" s="170" t="n">
        <x:f>H1197-I1197</x:f>
        <x:v>0</x:v>
      </x:c>
      <x:c r="K1197" s="76" t="str">
        <x:v>2021.pdf</x:v>
      </x:c>
      <x:c r="L1197" s="76" t="n">
        <x:v>163</x:v>
      </x:c>
      <x:c r="M1197" s="76" t="str">
        <x:v>Comparative</x:v>
      </x:c>
      <x:c r="N1197" s="99" t="str">
        <x:v>Printed amount independently located</x:v>
      </x:c>
      <x:c r="O1197" s="99" t="str">
        <x:v>Exact source amount found; audited year/current-comparative column recorded. Accounting subtotal tests performed separately.</x:v>
      </x:c>
      <x:c r="P1197" s="99" t="str">
        <x:v>33  1,836,907   1,630,304 
Cash and bank balances 34  490,329   1,046,267 
    16,923,416   16,607,191 
    66,239,278   66,009,771   
CHIEF FINANCIAL OFFICER DIRECTOR
CHIEF EXECUTIVE OFFICER</x:v>
      </x:c>
    </x:row>
    <x:row r="1198" ht="82" customHeight="1">
      <x:c r="A1198" s="168" t="str">
        <x:v>MLCF|pr_TA|2021</x:v>
      </x:c>
      <x:c r="B1198" s="168" t="str">
        <x:v>MLCF</x:v>
      </x:c>
      <x:c r="C1198" s="168" t="str">
        <x:v>FY2021</x:v>
      </x:c>
      <x:c r="D1198" s="168" t="str">
        <x:v>Printed total assets</x:v>
      </x:c>
      <x:c r="E1198" s="169" t="n">
        <x:v>66239278</x:v>
      </x:c>
      <x:c r="F1198" s="169" t="n">
        <x:v>66239278</x:v>
      </x:c>
      <x:c r="G1198" s="169" t="str">
        <x:v>Rs '000</x:v>
      </x:c>
      <x:c r="H1198" s="169" t="n">
        <x:f>F1198/1000</x:f>
        <x:v>66239.278</x:v>
      </x:c>
      <x:c r="I1198" s="169" t="n">
        <x:f>MLCF!D75</x:f>
        <x:v>66239.278</x:v>
      </x:c>
      <x:c r="J1198" s="169" t="n">
        <x:f>H1198-I1198</x:f>
        <x:v>0</x:v>
      </x:c>
      <x:c r="K1198" s="168" t="str">
        <x:v>2022.pdf</x:v>
      </x:c>
      <x:c r="L1198" s="168" t="n">
        <x:v>184</x:v>
      </x:c>
      <x:c r="M1198" s="168" t="str">
        <x:v>Comparative</x:v>
      </x:c>
      <x:c r="N1198" s="171" t="str">
        <x:v>Printed amount independently located</x:v>
      </x:c>
      <x:c r="O1198" s="171" t="str">
        <x:v>Exact source amount found; audited year/current-comparative column recorded. Accounting subtotal tests performed separately.</x:v>
      </x:c>
      <x:c r="P1198" s="171" t="str">
        <x:v>- net of provision 33  517,799   1,836,907 
Cash and bank balances 34  793,576   490,329 
   20,321,989   16,923,416 
   82,214,210   66,239,278 
CHIEF FINANCIAL OFFICER DIRECTOR
CHIEF EXECUTIVE OFFICER</x:v>
      </x:c>
    </x:row>
    <x:row r="1199" ht="82" customHeight="1">
      <x:c r="A1199" s="76" t="str">
        <x:v>MLCF|pr_TA|2022</x:v>
      </x:c>
      <x:c r="B1199" s="76" t="str">
        <x:v>MLCF</x:v>
      </x:c>
      <x:c r="C1199" s="76" t="str">
        <x:v>FY2022</x:v>
      </x:c>
      <x:c r="D1199" s="76" t="str">
        <x:v>Printed total assets</x:v>
      </x:c>
      <x:c r="E1199" s="170" t="n">
        <x:v>82214210</x:v>
      </x:c>
      <x:c r="F1199" s="170" t="n">
        <x:v>82214210</x:v>
      </x:c>
      <x:c r="G1199" s="170" t="str">
        <x:v>Rs '000</x:v>
      </x:c>
      <x:c r="H1199" s="170" t="n">
        <x:f>F1199/1000</x:f>
        <x:v>82214.21</x:v>
      </x:c>
      <x:c r="I1199" s="170" t="n">
        <x:f>MLCF!E75</x:f>
        <x:v>82214.21</x:v>
      </x:c>
      <x:c r="J1199" s="170" t="n">
        <x:f>H1199-I1199</x:f>
        <x:v>0</x:v>
      </x:c>
      <x:c r="K1199" s="76" t="str">
        <x:v>2023.pdf</x:v>
      </x:c>
      <x:c r="L1199" s="76" t="n">
        <x:v>98</x:v>
      </x:c>
      <x:c r="M1199" s="76" t="str">
        <x:v>Comparative</x:v>
      </x:c>
      <x:c r="N1199" s="99" t="str">
        <x:v>Printed amount independently located</x:v>
      </x:c>
      <x:c r="O1199" s="99" t="str">
        <x:v>Exact source amount found; audited year/current-comparative column recorded. Accounting subtotal tests performed separately.</x:v>
      </x:c>
      <x:c r="P1199" s="99" t="str">
        <x:v>accrued on borrowings 17 880,039 665,122
Short term borrowings 18 - 3,572,073
  16,215,021 16,193,391
CONTINGENCIES AND COMMITMENTS 19
  89,707,711 82,214,210
The annexed notes from 1 to 57 form an integral part of these unconsolidated financial statements.
The Chief Executive Officer is for the time being not available in Pakistan, the</x:v>
      </x:c>
    </x:row>
    <x:row r="1200" ht="82" customHeight="1">
      <x:c r="A1200" s="168" t="str">
        <x:v>MLCF|pr_TA|2023</x:v>
      </x:c>
      <x:c r="B1200" s="168" t="str">
        <x:v>MLCF</x:v>
      </x:c>
      <x:c r="C1200" s="168" t="str">
        <x:v>FY2023</x:v>
      </x:c>
      <x:c r="D1200" s="168" t="str">
        <x:v>Printed total assets</x:v>
      </x:c>
      <x:c r="E1200" s="169" t="n">
        <x:v>89707711</x:v>
      </x:c>
      <x:c r="F1200" s="169" t="n">
        <x:v>89707711</x:v>
      </x:c>
      <x:c r="G1200" s="169" t="str">
        <x:v>Rs '000</x:v>
      </x:c>
      <x:c r="H1200" s="169" t="n">
        <x:f>F1200/1000</x:f>
        <x:v>89707.711</x:v>
      </x:c>
      <x:c r="I1200" s="169" t="n">
        <x:f>MLCF!F75</x:f>
        <x:v>89707.711</x:v>
      </x:c>
      <x:c r="J1200" s="169" t="n">
        <x:f>H1200-I1200</x:f>
        <x:v>0</x:v>
      </x:c>
      <x:c r="K1200" s="168" t="str">
        <x:v>2024.pdf</x:v>
      </x:c>
      <x:c r="L1200" s="168" t="n">
        <x:v>190</x:v>
      </x:c>
      <x:c r="M1200" s="168" t="str">
        <x:v>Comparative</x:v>
      </x:c>
      <x:c r="N1200" s="171" t="str">
        <x:v>Printed amount independently located</x:v>
      </x:c>
      <x:c r="O1200" s="171" t="str">
        <x:v>Exact source amount found; audited year/current-comparative column recorded. Accounting subtotal tests performed separately.</x:v>
      </x:c>
      <x:c r="P1200" s="171" t="str">
        <x:v>r receivables 32 132,093 22,531
Advance income tax 33 227,415 25,302
Cash and bank balances 34 1,133,412 740,707
  26,867,837 22,239,667
  99,365,682 89,707,711
CHIEF FINANCIAL OFFICERDIRECTOR DIRECTOR</x:v>
      </x:c>
    </x:row>
    <x:row r="1201" ht="82" customHeight="1">
      <x:c r="A1201" s="76" t="str">
        <x:v>MLCF|pr_TA|2024</x:v>
      </x:c>
      <x:c r="B1201" s="76" t="str">
        <x:v>MLCF</x:v>
      </x:c>
      <x:c r="C1201" s="76" t="str">
        <x:v>FY2024</x:v>
      </x:c>
      <x:c r="D1201" s="76" t="str">
        <x:v>Printed total assets</x:v>
      </x:c>
      <x:c r="E1201" s="170" t="n">
        <x:v>99365682</x:v>
      </x:c>
      <x:c r="F1201" s="170" t="n">
        <x:v>99365682</x:v>
      </x:c>
      <x:c r="G1201" s="170" t="str">
        <x:v>Rs '000</x:v>
      </x:c>
      <x:c r="H1201" s="170" t="n">
        <x:f>F1201/1000</x:f>
        <x:v>99365.682</x:v>
      </x:c>
      <x:c r="I1201" s="170" t="n">
        <x:f>MLCF!G75</x:f>
        <x:v>99365.682</x:v>
      </x:c>
      <x:c r="J1201" s="170" t="n">
        <x:f>H1201-I1201</x:f>
        <x:v>0</x:v>
      </x:c>
      <x:c r="K1201" s="76" t="str">
        <x:v>2025.pdf</x:v>
      </x:c>
      <x:c r="L1201" s="76" t="n">
        <x:v>202</x:v>
      </x:c>
      <x:c r="M1201" s="76" t="str">
        <x:v>Comparative</x:v>
      </x:c>
      <x:c r="N1201" s="99" t="str">
        <x:v>Printed amount independently located</x:v>
      </x:c>
      <x:c r="O1201" s="99" t="str">
        <x:v>Exact source amount found; audited year/current-comparative column recorded. Accounting subtotal tests performed separately.</x:v>
      </x:c>
      <x:c r="P1201" s="99" t="str">
        <x:v>0,152   132,093 
Advance income tax 32  -     227,415 
Cash and bank balances 33  1,615,481   1,133,412 
   35,752,604   26,867,837 
   119,106,271   99,365,682 
CHIEF FINANCIAL OFFICERDIRECTOR DIRECTOR</x:v>
      </x:c>
    </x:row>
    <x:row r="1202" ht="82" customHeight="1">
      <x:c r="A1202" s="168" t="str">
        <x:v>MLCF|pr_TA|2025</x:v>
      </x:c>
      <x:c r="B1202" s="168" t="str">
        <x:v>MLCF</x:v>
      </x:c>
      <x:c r="C1202" s="168" t="str">
        <x:v>FY2025</x:v>
      </x:c>
      <x:c r="D1202" s="168" t="str">
        <x:v>Printed total assets</x:v>
      </x:c>
      <x:c r="E1202" s="169" t="n">
        <x:v>119106271</x:v>
      </x:c>
      <x:c r="F1202" s="169" t="n">
        <x:v>119106271</x:v>
      </x:c>
      <x:c r="G1202" s="169" t="str">
        <x:v>Rs '000</x:v>
      </x:c>
      <x:c r="H1202" s="169" t="n">
        <x:f>F1202/1000</x:f>
        <x:v>119106.271</x:v>
      </x:c>
      <x:c r="I1202" s="169" t="n">
        <x:f>MLCF!H75</x:f>
        <x:v>119106.271</x:v>
      </x:c>
      <x:c r="J1202" s="169" t="n">
        <x:f>H1202-I1202</x:f>
        <x:v>0</x:v>
      </x:c>
      <x:c r="K1202" s="168" t="str">
        <x:v>2025.pdf</x:v>
      </x:c>
      <x:c r="L1202" s="168" t="n">
        <x:v>202</x:v>
      </x:c>
      <x:c r="M1202" s="168" t="str">
        <x:v>Current year</x:v>
      </x:c>
      <x:c r="N1202" s="171" t="str">
        <x:v>Printed amount independently located</x:v>
      </x:c>
      <x:c r="O1202" s="171" t="str">
        <x:v>Exact source amount found; audited year/current-comparative column recorded. Accounting subtotal tests performed separately.</x:v>
      </x:c>
      <x:c r="P1202" s="171" t="str">
        <x:v>eivables 31  70,152   132,093 
Advance income tax 32  -     227,415 
Cash and bank balances 33  1,615,481   1,133,412 
   35,752,604   26,867,837 
   119,106,271   99,365,682 
CHIEF FINANCIAL OFFICERDIRECTOR DIRECTOR</x:v>
      </x:c>
    </x:row>
    <x:row r="1203" ht="82" customHeight="1">
      <x:c r="A1203" s="76" t="str">
        <x:v>MLCF|pr_EQ|2020</x:v>
      </x:c>
      <x:c r="B1203" s="76" t="str">
        <x:v>MLCF</x:v>
      </x:c>
      <x:c r="C1203" s="76" t="str">
        <x:v>FY2020</x:v>
      </x:c>
      <x:c r="D1203" s="76" t="str">
        <x:v>Printed total equity</x:v>
      </x:c>
      <x:c r="E1203" s="170" t="n">
        <x:v>31320831</x:v>
      </x:c>
      <x:c r="F1203" s="170" t="n">
        <x:v>31320831</x:v>
      </x:c>
      <x:c r="G1203" s="170" t="str">
        <x:v>Rs '000</x:v>
      </x:c>
      <x:c r="H1203" s="170" t="n">
        <x:f>F1203/1000</x:f>
        <x:v>31320.831</x:v>
      </x:c>
      <x:c r="I1203" s="170" t="n">
        <x:f>MLCF!C76</x:f>
        <x:v>31320.831</x:v>
      </x:c>
      <x:c r="J1203" s="170" t="n">
        <x:f>H1203-I1203</x:f>
        <x:v>0</x:v>
      </x:c>
      <x:c r="K1203" s="76" t="str">
        <x:v>2021.pdf</x:v>
      </x:c>
      <x:c r="L1203" s="76" t="n">
        <x:v>162</x:v>
      </x:c>
      <x:c r="M1203" s="76" t="str">
        <x:v>Comparative</x:v>
      </x:c>
      <x:c r="N1203" s="99" t="str">
        <x:v>Printed amount independently located</x:v>
      </x:c>
      <x:c r="O1203" s="99" t="str">
        <x:v>Exact source amount found; audited year/current-comparative column recorded. Accounting subtotal tests performed separately.</x:v>
      </x:c>
      <x:c r="P1203" s="99" t="str">
        <x:v>13 
Accumulated profits   16,880,291   10,133,226 
Surplus on revaluation of fixed assets - net of tax 7  3,089,975   3,615,330 
    37,542,541   31,320,831 
NON - CURRENT LIABILITIES   
Long term loans from financial institutions - secured 8  11,636,749   12,173,102 
Deferred grant 9  49,569   -   
Long term loan from Subsidiary</x:v>
      </x:c>
    </x:row>
    <x:row r="1204" ht="82" customHeight="1">
      <x:c r="A1204" s="168" t="str">
        <x:v>MLCF|pr_EQ|2021</x:v>
      </x:c>
      <x:c r="B1204" s="168" t="str">
        <x:v>MLCF</x:v>
      </x:c>
      <x:c r="C1204" s="168" t="str">
        <x:v>FY2021</x:v>
      </x:c>
      <x:c r="D1204" s="168" t="str">
        <x:v>Printed total equity</x:v>
      </x:c>
      <x:c r="E1204" s="169" t="n">
        <x:v>37542541</x:v>
      </x:c>
      <x:c r="F1204" s="169" t="n">
        <x:v>37542541</x:v>
      </x:c>
      <x:c r="G1204" s="169" t="str">
        <x:v>Rs '000</x:v>
      </x:c>
      <x:c r="H1204" s="169" t="n">
        <x:f>F1204/1000</x:f>
        <x:v>37542.541</x:v>
      </x:c>
      <x:c r="I1204" s="169" t="n">
        <x:f>MLCF!D76</x:f>
        <x:v>37542.541</x:v>
      </x:c>
      <x:c r="J1204" s="169" t="n">
        <x:f>H1204-I1204</x:f>
        <x:v>0</x:v>
      </x:c>
      <x:c r="K1204" s="168" t="str">
        <x:v>2022.pdf</x:v>
      </x:c>
      <x:c r="L1204" s="168" t="n">
        <x:v>183</x:v>
      </x:c>
      <x:c r="M1204" s="168" t="str">
        <x:v>Comparative</x:v>
      </x:c>
      <x:c r="N1204" s="171" t="str">
        <x:v>Printed amount independently located</x:v>
      </x:c>
      <x:c r="O1204" s="171" t="str">
        <x:v>Exact source amount found; audited year/current-comparative column recorded. Accounting subtotal tests performed separately.</x:v>
      </x:c>
      <x:c r="P1204" s="171" t="str">
        <x:v>813 
Accumulated profits   21,023,202   16,880,291 
Surplus on revaluation of fixed assets - net of tax 7  2,459,967   3,089,975 
   40,559,015   37,542,541 
NON - CURRENT LIABILITIES   
Long term loans from financial institutions - secured 8  16,747,868   11,636,749 
Deferred grant 9  786,758   49,569 
Long term loan from subsidi</x:v>
      </x:c>
    </x:row>
    <x:row r="1205" ht="82" customHeight="1">
      <x:c r="A1205" s="76" t="str">
        <x:v>MLCF|pr_EQ|2022</x:v>
      </x:c>
      <x:c r="B1205" s="76" t="str">
        <x:v>MLCF</x:v>
      </x:c>
      <x:c r="C1205" s="76" t="str">
        <x:v>FY2022</x:v>
      </x:c>
      <x:c r="D1205" s="76" t="str">
        <x:v>Printed total equity</x:v>
      </x:c>
      <x:c r="E1205" s="170" t="n">
        <x:v>40559015</x:v>
      </x:c>
      <x:c r="F1205" s="170" t="n">
        <x:v>40559015</x:v>
      </x:c>
      <x:c r="G1205" s="170" t="str">
        <x:v>Rs '000</x:v>
      </x:c>
      <x:c r="H1205" s="170" t="n">
        <x:f>F1205/1000</x:f>
        <x:v>40559.015</x:v>
      </x:c>
      <x:c r="I1205" s="170" t="n">
        <x:f>MLCF!E76</x:f>
        <x:v>40559.015</x:v>
      </x:c>
      <x:c r="J1205" s="170" t="n">
        <x:f>H1205-I1205</x:f>
        <x:v>0</x:v>
      </x:c>
      <x:c r="K1205" s="76" t="str">
        <x:v>2023.pdf</x:v>
      </x:c>
      <x:c r="L1205" s="76" t="n">
        <x:v>98</x:v>
      </x:c>
      <x:c r="M1205" s="76" t="str">
        <x:v>Comparative</x:v>
      </x:c>
      <x:c r="N1205" s="99" t="str">
        <x:v>Printed amount independently located</x:v>
      </x:c>
      <x:c r="O1205" s="99" t="str">
        <x:v>Exact source amount found; audited year/current-comparative column recorded. Accounting subtotal tests performed separately.</x:v>
      </x:c>
      <x:c r="P1205" s="99" t="str">
        <x:v>,363,952 6,092,384 
Accumulated profits  25,946,716 21,023,202
Surplus on revaluation of fixed assets - net of tax 7 1,868,984 2,459,967
  44,913,114 40,559,015
NON - CURRENT LIABILITIES
Long term loans from financial institutions - secured 8 15,233,337 16,747,868
Deferred grant 9 605,926 786,758
Long term loan from subsidiary company 10</x:v>
      </x:c>
    </x:row>
    <x:row r="1206" ht="82" customHeight="1">
      <x:c r="A1206" s="168" t="str">
        <x:v>MLCF|pr_EQ|2023</x:v>
      </x:c>
      <x:c r="B1206" s="168" t="str">
        <x:v>MLCF</x:v>
      </x:c>
      <x:c r="C1206" s="168" t="str">
        <x:v>FY2023</x:v>
      </x:c>
      <x:c r="D1206" s="168" t="str">
        <x:v>Printed total equity</x:v>
      </x:c>
      <x:c r="E1206" s="169" t="n">
        <x:v>44913114</x:v>
      </x:c>
      <x:c r="F1206" s="169" t="n">
        <x:v>44913114</x:v>
      </x:c>
      <x:c r="G1206" s="169" t="str">
        <x:v>Rs '000</x:v>
      </x:c>
      <x:c r="H1206" s="169" t="n">
        <x:f>F1206/1000</x:f>
        <x:v>44913.114</x:v>
      </x:c>
      <x:c r="I1206" s="169" t="n">
        <x:f>MLCF!F76</x:f>
        <x:v>44913.114</x:v>
      </x:c>
      <x:c r="J1206" s="169" t="n">
        <x:f>H1206-I1206</x:f>
        <x:v>0</x:v>
      </x:c>
      <x:c r="K1206" s="168" t="str">
        <x:v>2024.pdf</x:v>
      </x:c>
      <x:c r="L1206" s="168" t="n">
        <x:v>189</x:v>
      </x:c>
      <x:c r="M1206" s="168" t="str">
        <x:v>Comparative</x:v>
      </x:c>
      <x:c r="N1206" s="171" t="str">
        <x:v>Printed amount independently located</x:v>
      </x:c>
      <x:c r="O1206" s="171" t="str">
        <x:v>Exact source amount found; audited year/current-comparative column recorded. Accounting subtotal tests performed separately.</x:v>
      </x:c>
      <x:c r="P1206" s="171" t="str">
        <x:v>Revenue reserve: Un-appropriated profits  4,927,636 25,946,716
Surplus on revaluation of fixed assets 7 4,015,224 1,868,984
Total equity  52,615,908 44,913,114
NON-CURRENT LIABILITIES
Long term loans from financial institutions - secured 8 9,785,786 15,233,337
Deferred government grant 9 450,487 605,926
Long term loan from subsidiary com</x:v>
      </x:c>
    </x:row>
    <x:row r="1207" ht="82" customHeight="1">
      <x:c r="A1207" s="76" t="str">
        <x:v>MLCF|pr_EQ|2024</x:v>
      </x:c>
      <x:c r="B1207" s="76" t="str">
        <x:v>MLCF</x:v>
      </x:c>
      <x:c r="C1207" s="76" t="str">
        <x:v>FY2024</x:v>
      </x:c>
      <x:c r="D1207" s="76" t="str">
        <x:v>Printed total equity</x:v>
      </x:c>
      <x:c r="E1207" s="170" t="n">
        <x:v>52615908</x:v>
      </x:c>
      <x:c r="F1207" s="170" t="n">
        <x:v>52615908</x:v>
      </x:c>
      <x:c r="G1207" s="170" t="str">
        <x:v>Rs '000</x:v>
      </x:c>
      <x:c r="H1207" s="170" t="n">
        <x:f>F1207/1000</x:f>
        <x:v>52615.908</x:v>
      </x:c>
      <x:c r="I1207" s="170" t="n">
        <x:f>MLCF!G76</x:f>
        <x:v>52615.908</x:v>
      </x:c>
      <x:c r="J1207" s="170" t="n">
        <x:f>H1207-I1207</x:f>
        <x:v>0</x:v>
      </x:c>
      <x:c r="K1207" s="76" t="str">
        <x:v>2025.pdf</x:v>
      </x:c>
      <x:c r="L1207" s="76" t="n">
        <x:v>201</x:v>
      </x:c>
      <x:c r="M1207" s="76" t="str">
        <x:v>Comparative</x:v>
      </x:c>
      <x:c r="N1207" s="99" t="str">
        <x:v>Printed amount independently located</x:v>
      </x:c>
      <x:c r="O1207" s="99" t="str">
        <x:v>Exact source amount found; audited year/current-comparative column recorded. Accounting subtotal tests performed separately.</x:v>
      </x:c>
      <x:c r="P1207" s="99" t="str">
        <x:v>serve: Un-appropriated profits   22,390,719   4,927,636 
Surplus on revaluation of fixed assets 7  3,596,965   4,015,224 
Total equity   71,461,592   52,615,908 
NON - CURRENT LIABILITIES
Long term loans from financial institutions - secured 8  9,781,639   9,785,786 
Deferred government grant 9  322,304   450,487 
Long term loan from subs</x:v>
      </x:c>
    </x:row>
    <x:row r="1208" ht="82" customHeight="1">
      <x:c r="A1208" s="168" t="str">
        <x:v>MLCF|pr_EQ|2025</x:v>
      </x:c>
      <x:c r="B1208" s="168" t="str">
        <x:v>MLCF</x:v>
      </x:c>
      <x:c r="C1208" s="168" t="str">
        <x:v>FY2025</x:v>
      </x:c>
      <x:c r="D1208" s="168" t="str">
        <x:v>Printed total equity</x:v>
      </x:c>
      <x:c r="E1208" s="169" t="n">
        <x:v>71461592</x:v>
      </x:c>
      <x:c r="F1208" s="169" t="n">
        <x:v>71461592</x:v>
      </x:c>
      <x:c r="G1208" s="169" t="str">
        <x:v>Rs '000</x:v>
      </x:c>
      <x:c r="H1208" s="169" t="n">
        <x:f>F1208/1000</x:f>
        <x:v>71461.592</x:v>
      </x:c>
      <x:c r="I1208" s="169" t="n">
        <x:f>MLCF!H76</x:f>
        <x:v>71461.592</x:v>
      </x:c>
      <x:c r="J1208" s="169" t="n">
        <x:f>H1208-I1208</x:f>
        <x:v>0</x:v>
      </x:c>
      <x:c r="K1208" s="168" t="str">
        <x:v>2025.pdf</x:v>
      </x:c>
      <x:c r="L1208" s="168" t="n">
        <x:v>201</x:v>
      </x:c>
      <x:c r="M1208" s="168" t="str">
        <x:v>Current year</x:v>
      </x:c>
      <x:c r="N1208" s="171" t="str">
        <x:v>Printed amount independently located</x:v>
      </x:c>
      <x:c r="O1208" s="171" t="str">
        <x:v>Exact source amount found; audited year/current-comparative column recorded. Accounting subtotal tests performed separately.</x:v>
      </x:c>
      <x:c r="P1208" s="171" t="str">
        <x:v>2 
Revenue reserve: Un-appropriated profits   22,390,719   4,927,636 
Surplus on revaluation of fixed assets 7  3,596,965   4,015,224 
Total equity   71,461,592   52,615,908 
NON - CURRENT LIABILITIES
Long term loans from financial institutions - secured 8  9,781,639   9,785,786 
Deferred government grant 9  322,304   450,487 
Long term l</x:v>
      </x:c>
    </x:row>
    <x:row r="1209" ht="82" customHeight="1">
      <x:c r="A1209" s="76" t="str">
        <x:v>MLCF|pr_CA|2020</x:v>
      </x:c>
      <x:c r="B1209" s="76" t="str">
        <x:v>MLCF</x:v>
      </x:c>
      <x:c r="C1209" s="76" t="str">
        <x:v>FY2020</x:v>
      </x:c>
      <x:c r="D1209" s="76" t="str">
        <x:v>Printed total current assets</x:v>
      </x:c>
      <x:c r="E1209" s="170" t="n">
        <x:v>16607191</x:v>
      </x:c>
      <x:c r="F1209" s="170" t="n">
        <x:v>16607191</x:v>
      </x:c>
      <x:c r="G1209" s="170" t="str">
        <x:v>Rs '000</x:v>
      </x:c>
      <x:c r="H1209" s="170" t="n">
        <x:f>F1209/1000</x:f>
        <x:v>16607.191</x:v>
      </x:c>
      <x:c r="I1209" s="170" t="n">
        <x:f>MLCF!C77</x:f>
        <x:v>16607.191</x:v>
      </x:c>
      <x:c r="J1209" s="170" t="n">
        <x:f>H1209-I1209</x:f>
        <x:v>0</x:v>
      </x:c>
      <x:c r="K1209" s="76" t="str">
        <x:v>2021.pdf</x:v>
      </x:c>
      <x:c r="L1209" s="76" t="n">
        <x:v>163</x:v>
      </x:c>
      <x:c r="M1209" s="76" t="str">
        <x:v>Comparative</x:v>
      </x:c>
      <x:c r="N1209" s="99" t="str">
        <x:v>Printed amount independently located</x:v>
      </x:c>
      <x:c r="O1209" s="99" t="str">
        <x:v>Exact source amount found; audited year/current-comparative column recorded. Accounting subtotal tests performed separately.</x:v>
      </x:c>
      <x:c r="P1209" s="99" t="str">
        <x:v>5,835   35,256 
Advance income tax - net of provision 33  1,836,907   1,630,304 
Cash and bank balances 34  490,329   1,046,267 
    16,923,416   16,607,191 
    66,239,278   66,009,771   
CHIEF FINANCIAL OFFICER DIRECTOR
CHIEF EXECUTIVE OFFICER</x:v>
      </x:c>
    </x:row>
    <x:row r="1210" ht="82" customHeight="1">
      <x:c r="A1210" s="168" t="str">
        <x:v>MLCF|pr_CA|2021</x:v>
      </x:c>
      <x:c r="B1210" s="168" t="str">
        <x:v>MLCF</x:v>
      </x:c>
      <x:c r="C1210" s="168" t="str">
        <x:v>FY2021</x:v>
      </x:c>
      <x:c r="D1210" s="168" t="str">
        <x:v>Printed total current assets</x:v>
      </x:c>
      <x:c r="E1210" s="169" t="n">
        <x:v>16923416</x:v>
      </x:c>
      <x:c r="F1210" s="169" t="n">
        <x:v>16923416</x:v>
      </x:c>
      <x:c r="G1210" s="169" t="str">
        <x:v>Rs '000</x:v>
      </x:c>
      <x:c r="H1210" s="169" t="n">
        <x:f>F1210/1000</x:f>
        <x:v>16923.416</x:v>
      </x:c>
      <x:c r="I1210" s="169" t="n">
        <x:f>MLCF!D77</x:f>
        <x:v>16923.416</x:v>
      </x:c>
      <x:c r="J1210" s="169" t="n">
        <x:f>H1210-I1210</x:f>
        <x:v>0</x:v>
      </x:c>
      <x:c r="K1210" s="168" t="str">
        <x:v>2022.pdf</x:v>
      </x:c>
      <x:c r="L1210" s="168" t="n">
        <x:v>184</x:v>
      </x:c>
      <x:c r="M1210" s="168" t="str">
        <x:v>Comparative</x:v>
      </x:c>
      <x:c r="N1210" s="171" t="str">
        <x:v>Printed amount independently located</x:v>
      </x:c>
      <x:c r="O1210" s="171" t="str">
        <x:v>Exact source amount found; audited year/current-comparative column recorded. Accounting subtotal tests performed separately.</x:v>
      </x:c>
      <x:c r="P1210" s="171" t="str">
        <x:v>es 32  52,261   165,835 
Advance income tax - net of provision 33  517,799   1,836,907 
Cash and bank balances 34  793,576   490,329 
   20,321,989   16,923,416 
   82,214,210   66,239,278 
CHIEF FINANCIAL OFFICER DIRECTOR
CHIEF EXECUTIVE OFFICER</x:v>
      </x:c>
    </x:row>
    <x:row r="1211" ht="82" customHeight="1">
      <x:c r="A1211" s="76" t="str">
        <x:v>MLCF|pr_CA|2022</x:v>
      </x:c>
      <x:c r="B1211" s="76" t="str">
        <x:v>MLCF</x:v>
      </x:c>
      <x:c r="C1211" s="76" t="str">
        <x:v>FY2022</x:v>
      </x:c>
      <x:c r="D1211" s="76" t="str">
        <x:v>Printed total current assets</x:v>
      </x:c>
      <x:c r="E1211" s="170" t="n">
        <x:v>20321989</x:v>
      </x:c>
      <x:c r="F1211" s="170" t="n">
        <x:v>20321989</x:v>
      </x:c>
      <x:c r="G1211" s="170" t="str">
        <x:v>Rs '000</x:v>
      </x:c>
      <x:c r="H1211" s="170" t="n">
        <x:f>F1211/1000</x:f>
        <x:v>20321.989</x:v>
      </x:c>
      <x:c r="I1211" s="170" t="n">
        <x:f>MLCF!E77</x:f>
        <x:v>20321.989</x:v>
      </x:c>
      <x:c r="J1211" s="170" t="n">
        <x:f>H1211-I1211</x:f>
        <x:v>0</x:v>
      </x:c>
      <x:c r="K1211" s="76" t="str">
        <x:v>2023.pdf</x:v>
      </x:c>
      <x:c r="L1211" s="76" t="n">
        <x:v>98</x:v>
      </x:c>
      <x:c r="M1211" s="76" t="str">
        <x:v>Comparative</x:v>
      </x:c>
      <x:c r="N1211" s="99" t="str">
        <x:v>Printed amount independently located</x:v>
      </x:c>
      <x:c r="O1211" s="99" t="str">
        <x:v>Exact source amount found; audited year/current-comparative column recorded. Accounting subtotal tests performed separately.</x:v>
      </x:c>
      <x:c r="P1211" s="99" t="str">
        <x:v>075
Other receivables 32 22,531 52,261
Advance income tax - net of provision 33 25,302 517,799
Cash and bank balances 34 740,707 793,576
  22,239,667 20,321,989
  89,707,711 82,214,210
CHIEF FINANCIAL OFFICERDIRECTOR DIRECTOR</x:v>
      </x:c>
    </x:row>
    <x:row r="1212" ht="82" customHeight="1">
      <x:c r="A1212" s="168" t="str">
        <x:v>MLCF|pr_CA|2023</x:v>
      </x:c>
      <x:c r="B1212" s="168" t="str">
        <x:v>MLCF</x:v>
      </x:c>
      <x:c r="C1212" s="168" t="str">
        <x:v>FY2023</x:v>
      </x:c>
      <x:c r="D1212" s="168" t="str">
        <x:v>Printed total current assets</x:v>
      </x:c>
      <x:c r="E1212" s="169" t="n">
        <x:v>22239667</x:v>
      </x:c>
      <x:c r="F1212" s="169" t="n">
        <x:v>22239667</x:v>
      </x:c>
      <x:c r="G1212" s="169" t="str">
        <x:v>Rs '000</x:v>
      </x:c>
      <x:c r="H1212" s="169" t="n">
        <x:f>F1212/1000</x:f>
        <x:v>22239.667</x:v>
      </x:c>
      <x:c r="I1212" s="169" t="n">
        <x:f>MLCF!F77</x:f>
        <x:v>22239.667</x:v>
      </x:c>
      <x:c r="J1212" s="169" t="n">
        <x:f>H1212-I1212</x:f>
        <x:v>0</x:v>
      </x:c>
      <x:c r="K1212" s="168" t="str">
        <x:v>2024.pdf</x:v>
      </x:c>
      <x:c r="L1212" s="168" t="n">
        <x:v>190</x:v>
      </x:c>
      <x:c r="M1212" s="168" t="str">
        <x:v>Comparative</x:v>
      </x:c>
      <x:c r="N1212" s="171" t="str">
        <x:v>Printed amount independently located</x:v>
      </x:c>
      <x:c r="O1212" s="171" t="str">
        <x:v>Exact source amount found; audited year/current-comparative column recorded. Accounting subtotal tests performed separately.</x:v>
      </x:c>
      <x:c r="P1212" s="171" t="str">
        <x:v>fit 31 20,333 8,792
Other receivables 32 132,093 22,531
Advance income tax 33 227,415 25,302
Cash and bank balances 34 1,133,412 740,707
  26,867,837 22,239,667
  99,365,682 89,707,711
CHIEF FINANCIAL OFFICERDIRECTOR DIRECTOR</x:v>
      </x:c>
    </x:row>
    <x:row r="1213" ht="82" customHeight="1">
      <x:c r="A1213" s="76" t="str">
        <x:v>MLCF|pr_CA|2024</x:v>
      </x:c>
      <x:c r="B1213" s="76" t="str">
        <x:v>MLCF</x:v>
      </x:c>
      <x:c r="C1213" s="76" t="str">
        <x:v>FY2024</x:v>
      </x:c>
      <x:c r="D1213" s="76" t="str">
        <x:v>Printed total current assets</x:v>
      </x:c>
      <x:c r="E1213" s="170" t="n">
        <x:v>26867837</x:v>
      </x:c>
      <x:c r="F1213" s="170" t="n">
        <x:v>26867837</x:v>
      </x:c>
      <x:c r="G1213" s="170" t="str">
        <x:v>Rs '000</x:v>
      </x:c>
      <x:c r="H1213" s="170" t="n">
        <x:f>F1213/1000</x:f>
        <x:v>26867.837</x:v>
      </x:c>
      <x:c r="I1213" s="170" t="n">
        <x:f>MLCF!G77</x:f>
        <x:v>26867.837</x:v>
      </x:c>
      <x:c r="J1213" s="170" t="n">
        <x:f>H1213-I1213</x:f>
        <x:v>0</x:v>
      </x:c>
      <x:c r="K1213" s="76" t="str">
        <x:v>2025.pdf</x:v>
      </x:c>
      <x:c r="L1213" s="76" t="n">
        <x:v>202</x:v>
      </x:c>
      <x:c r="M1213" s="76" t="str">
        <x:v>Comparative</x:v>
      </x:c>
      <x:c r="N1213" s="99" t="str">
        <x:v>Printed amount independently located</x:v>
      </x:c>
      <x:c r="O1213" s="99" t="str">
        <x:v>Exact source amount found; audited year/current-comparative column recorded. Accounting subtotal tests performed separately.</x:v>
      </x:c>
      <x:c r="P1213" s="99" t="str">
        <x:v>,333 
Other receivables 31  70,152   132,093 
Advance income tax 32  -     227,415 
Cash and bank balances 33  1,615,481   1,133,412 
   35,752,604   26,867,837 
   119,106,271   99,365,682 
CHIEF FINANCIAL OFFICERDIRECTOR DIRECTOR</x:v>
      </x:c>
    </x:row>
    <x:row r="1214" ht="82" customHeight="1">
      <x:c r="A1214" s="168" t="str">
        <x:v>MLCF|pr_CA|2025</x:v>
      </x:c>
      <x:c r="B1214" s="168" t="str">
        <x:v>MLCF</x:v>
      </x:c>
      <x:c r="C1214" s="168" t="str">
        <x:v>FY2025</x:v>
      </x:c>
      <x:c r="D1214" s="168" t="str">
        <x:v>Printed total current assets</x:v>
      </x:c>
      <x:c r="E1214" s="169" t="n">
        <x:v>35752604</x:v>
      </x:c>
      <x:c r="F1214" s="169" t="n">
        <x:v>35752604</x:v>
      </x:c>
      <x:c r="G1214" s="169" t="str">
        <x:v>Rs '000</x:v>
      </x:c>
      <x:c r="H1214" s="169" t="n">
        <x:f>F1214/1000</x:f>
        <x:v>35752.604</x:v>
      </x:c>
      <x:c r="I1214" s="169" t="n">
        <x:f>MLCF!H77</x:f>
        <x:v>35752.604</x:v>
      </x:c>
      <x:c r="J1214" s="169" t="n">
        <x:f>H1214-I1214</x:f>
        <x:v>0</x:v>
      </x:c>
      <x:c r="K1214" s="168" t="str">
        <x:v>2025.pdf</x:v>
      </x:c>
      <x:c r="L1214" s="168" t="n">
        <x:v>202</x:v>
      </x:c>
      <x:c r="M1214" s="168" t="str">
        <x:v>Current year</x:v>
      </x:c>
      <x:c r="N1214" s="171" t="str">
        <x:v>Printed amount independently located</x:v>
      </x:c>
      <x:c r="O1214" s="171" t="str">
        <x:v>Exact source amount found; audited year/current-comparative column recorded. Accounting subtotal tests performed separately.</x:v>
      </x:c>
      <x:c r="P1214" s="171" t="str">
        <x:v>42,880   20,333 
Other receivables 31  70,152   132,093 
Advance income tax 32  -     227,415 
Cash and bank balances 33  1,615,481   1,133,412 
   35,752,604   26,867,837 
   119,106,271   99,365,682 
CHIEF FINANCIAL OFFICERDIRECTOR DIRECTOR</x:v>
      </x:c>
    </x:row>
    <x:row r="1215" ht="82" customHeight="1">
      <x:c r="A1215" s="76" t="str">
        <x:v>MLCF|pr_CL|2020</x:v>
      </x:c>
      <x:c r="B1215" s="76" t="str">
        <x:v>MLCF</x:v>
      </x:c>
      <x:c r="C1215" s="76" t="str">
        <x:v>FY2020</x:v>
      </x:c>
      <x:c r="D1215" s="76" t="str">
        <x:v>Printed total current liabilities</x:v>
      </x:c>
      <x:c r="E1215" s="170" t="n">
        <x:v>15313775</x:v>
      </x:c>
      <x:c r="F1215" s="170" t="n">
        <x:v>15313775</x:v>
      </x:c>
      <x:c r="G1215" s="170" t="str">
        <x:v>Rs '000</x:v>
      </x:c>
      <x:c r="H1215" s="170" t="n">
        <x:f>F1215/1000</x:f>
        <x:v>15313.775</x:v>
      </x:c>
      <x:c r="I1215" s="170" t="n">
        <x:f>MLCF!C78</x:f>
        <x:v>15313.775</x:v>
      </x:c>
      <x:c r="J1215" s="170" t="n">
        <x:f>H1215-I1215</x:f>
        <x:v>0</x:v>
      </x:c>
      <x:c r="K1215" s="76" t="str">
        <x:v>2021.pdf</x:v>
      </x:c>
      <x:c r="L1215" s="76" t="n">
        <x:v>162</x:v>
      </x:c>
      <x:c r="M1215" s="76" t="str">
        <x:v>Comparative</x:v>
      </x:c>
      <x:c r="N1215" s="99" t="str">
        <x:v>Printed amount independently located</x:v>
      </x:c>
      <x:c r="O1215" s="99" t="str">
        <x:v>Exact source amount found; audited year/current-comparative column recorded. Accounting subtotal tests performed separately.</x:v>
      </x:c>
      <x:c r="P1215" s="99" t="str">
        <x:v>ividend   28,134   48,053 
Mark-up accrued on borrowings 17  260,953   547,189 
Short term borrowings 18  1,894,115   6,642,312 
    11,449,448   15,313,775 
CONTINGENCIES AND COMMITMENTS 19  
    66,239,278   66,009,771 
The annexed notes from 1 to 56 form an integral part of these unconsolidated financial statements.
CHI</x:v>
      </x:c>
    </x:row>
    <x:row r="1216" ht="82" customHeight="1">
      <x:c r="A1216" s="168" t="str">
        <x:v>MLCF|pr_CL|2021</x:v>
      </x:c>
      <x:c r="B1216" s="168" t="str">
        <x:v>MLCF</x:v>
      </x:c>
      <x:c r="C1216" s="168" t="str">
        <x:v>FY2021</x:v>
      </x:c>
      <x:c r="D1216" s="168" t="str">
        <x:v>Printed total current liabilities</x:v>
      </x:c>
      <x:c r="E1216" s="169" t="n">
        <x:v>11449448</x:v>
      </x:c>
      <x:c r="F1216" s="169" t="n">
        <x:v>11449448</x:v>
      </x:c>
      <x:c r="G1216" s="169" t="str">
        <x:v>Rs '000</x:v>
      </x:c>
      <x:c r="H1216" s="169" t="n">
        <x:f>F1216/1000</x:f>
        <x:v>11449.448</x:v>
      </x:c>
      <x:c r="I1216" s="169" t="n">
        <x:f>MLCF!D78</x:f>
        <x:v>11449.448</x:v>
      </x:c>
      <x:c r="J1216" s="169" t="n">
        <x:f>H1216-I1216</x:f>
        <x:v>0</x:v>
      </x:c>
      <x:c r="K1216" s="168" t="str">
        <x:v>2022.pdf</x:v>
      </x:c>
      <x:c r="L1216" s="168" t="n">
        <x:v>183</x:v>
      </x:c>
      <x:c r="M1216" s="168" t="str">
        <x:v>Comparative</x:v>
      </x:c>
      <x:c r="N1216" s="171" t="str">
        <x:v>Printed amount independently located</x:v>
      </x:c>
      <x:c r="O1216" s="171" t="str">
        <x:v>Exact source amount found; audited year/current-comparative column recorded. Accounting subtotal tests performed separately.</x:v>
      </x:c>
      <x:c r="P1216" s="171" t="str">
        <x:v>dend   27,569   28,134 
Mark-up accrued on borrowings 17  665,122   260,953 
Short term borrowings 18  3,572,073   1,894,115 
       16,193,391   11,449,448    
CONTINGENCIES AND COMMITMENTS 19 
   82,214,210   66,239,278 
The annexed notes from 1 to 56 form an integral part of these unconsolidated financial statements.
CHIEF</x:v>
      </x:c>
    </x:row>
    <x:row r="1217" ht="82" customHeight="1">
      <x:c r="A1217" s="76" t="str">
        <x:v>MLCF|pr_CL|2022</x:v>
      </x:c>
      <x:c r="B1217" s="76" t="str">
        <x:v>MLCF</x:v>
      </x:c>
      <x:c r="C1217" s="76" t="str">
        <x:v>FY2022</x:v>
      </x:c>
      <x:c r="D1217" s="76" t="str">
        <x:v>Printed total current liabilities</x:v>
      </x:c>
      <x:c r="E1217" s="170" t="n">
        <x:v>16193391</x:v>
      </x:c>
      <x:c r="F1217" s="170" t="n">
        <x:v>16193391</x:v>
      </x:c>
      <x:c r="G1217" s="170" t="str">
        <x:v>Rs '000</x:v>
      </x:c>
      <x:c r="H1217" s="170" t="n">
        <x:f>F1217/1000</x:f>
        <x:v>16193.391</x:v>
      </x:c>
      <x:c r="I1217" s="170" t="n">
        <x:f>MLCF!E78</x:f>
        <x:v>16193.391</x:v>
      </x:c>
      <x:c r="J1217" s="170" t="n">
        <x:f>H1217-I1217</x:f>
        <x:v>0</x:v>
      </x:c>
      <x:c r="K1217" s="76" t="str">
        <x:v>2023.pdf</x:v>
      </x:c>
      <x:c r="L1217" s="76" t="n">
        <x:v>98</x:v>
      </x:c>
      <x:c r="M1217" s="76" t="str">
        <x:v>Comparative</x:v>
      </x:c>
      <x:c r="N1217" s="99" t="str">
        <x:v>Printed amount independently located</x:v>
      </x:c>
      <x:c r="O1217" s="99" t="str">
        <x:v>Exact source amount found; audited year/current-comparative column recorded. Accounting subtotal tests performed separately.</x:v>
      </x:c>
      <x:c r="P1217" s="99" t="str">
        <x:v>,180 9,117,414
Unclaimed dividend  27,378 27,569
Mark-up accrued on borrowings 17 880,039 665,122
Short term borrowings 18 - 3,572,073
  16,215,021 16,193,391
CONTINGENCIES AND COMMITMENTS 19
  89,707,711 82,214,210
The annexed notes from 1 to 57 form an integral part of these unconsolidated financial statements.
The Chief Executive Off</x:v>
      </x:c>
    </x:row>
    <x:row r="1218" ht="82" customHeight="1">
      <x:c r="A1218" s="168" t="str">
        <x:v>MLCF|pr_CL|2023</x:v>
      </x:c>
      <x:c r="B1218" s="168" t="str">
        <x:v>MLCF</x:v>
      </x:c>
      <x:c r="C1218" s="168" t="str">
        <x:v>FY2023</x:v>
      </x:c>
      <x:c r="D1218" s="168" t="str">
        <x:v>Printed total current liabilities</x:v>
      </x:c>
      <x:c r="E1218" s="169" t="n">
        <x:v>16215021</x:v>
      </x:c>
      <x:c r="F1218" s="169" t="n">
        <x:v>16215021</x:v>
      </x:c>
      <x:c r="G1218" s="169" t="str">
        <x:v>Rs '000</x:v>
      </x:c>
      <x:c r="H1218" s="169" t="n">
        <x:f>F1218/1000</x:f>
        <x:v>16215.021</x:v>
      </x:c>
      <x:c r="I1218" s="169" t="n">
        <x:f>MLCF!F78</x:f>
        <x:v>16215.021</x:v>
      </x:c>
      <x:c r="J1218" s="169" t="n">
        <x:f>H1218-I1218</x:f>
        <x:v>0</x:v>
      </x:c>
      <x:c r="K1218" s="168" t="str">
        <x:v>2024.pdf</x:v>
      </x:c>
      <x:c r="L1218" s="168" t="n">
        <x:v>189</x:v>
      </x:c>
      <x:c r="M1218" s="168" t="str">
        <x:v>Comparative</x:v>
      </x:c>
      <x:c r="N1218" s="171" t="str">
        <x:v>Printed amount independently located</x:v>
      </x:c>
      <x:c r="O1218" s="171" t="str">
        <x:v>Exact source amount found; audited year/current-comparative column recorded. Accounting subtotal tests performed separately.</x:v>
      </x:c>
      <x:c r="P1218" s="171" t="str">
        <x:v>7,256 27,378
Mark-up accrued on borrowings 17 865,945 880,039
Short term borrowings from financial institutions - secured 18 1,645,316 -
  18,597,800 16,215,021
CONTINGENCIES AND COMMITMENTS 19
  99,365,682 89,707,711
The annexed notes from 1 to 59 form an integral part of these unconsolidated financial statements.
CHIEF FINANCIAL OFFIC</x:v>
      </x:c>
    </x:row>
    <x:row r="1219" ht="82" customHeight="1">
      <x:c r="A1219" s="76" t="str">
        <x:v>MLCF|pr_CL|2024</x:v>
      </x:c>
      <x:c r="B1219" s="76" t="str">
        <x:v>MLCF</x:v>
      </x:c>
      <x:c r="C1219" s="76" t="str">
        <x:v>FY2024</x:v>
      </x:c>
      <x:c r="D1219" s="76" t="str">
        <x:v>Printed total current liabilities</x:v>
      </x:c>
      <x:c r="E1219" s="170" t="n">
        <x:v>18597800</x:v>
      </x:c>
      <x:c r="F1219" s="170" t="n">
        <x:v>18597800</x:v>
      </x:c>
      <x:c r="G1219" s="170" t="str">
        <x:v>Rs '000</x:v>
      </x:c>
      <x:c r="H1219" s="170" t="n">
        <x:f>F1219/1000</x:f>
        <x:v>18597.8</x:v>
      </x:c>
      <x:c r="I1219" s="170" t="n">
        <x:f>MLCF!G78</x:f>
        <x:v>18597.8</x:v>
      </x:c>
      <x:c r="J1219" s="170" t="n">
        <x:f>H1219-I1219</x:f>
        <x:v>0</x:v>
      </x:c>
      <x:c r="K1219" s="76" t="str">
        <x:v>2025.pdf</x:v>
      </x:c>
      <x:c r="L1219" s="76" t="n">
        <x:v>201</x:v>
      </x:c>
      <x:c r="M1219" s="76" t="str">
        <x:v>Comparative</x:v>
      </x:c>
      <x:c r="N1219" s="99" t="str">
        <x:v>Printed amount independently located</x:v>
      </x:c>
      <x:c r="O1219" s="99" t="str">
        <x:v>Exact source amount found; audited year/current-comparative column recorded. Accounting subtotal tests performed separately.</x:v>
      </x:c>
      <x:c r="P1219" s="99" t="str">
        <x:v>up accrued on borrowings 16  320,434   865,945 
Short term borrowings from financial institutions - secured  17  822,285   1,645,316 
   23,330,491   18,597,800 
CONTINGENCIES AND COMMITMENTS 18
   119,106,271   99,365,682 
The annexed notes from 1 to 59 form an integral part of these unconsolidated financial statements.
CHIEF FINANCIAL</x:v>
      </x:c>
    </x:row>
    <x:row r="1220" ht="82" customHeight="1">
      <x:c r="A1220" s="168" t="str">
        <x:v>MLCF|pr_CL|2025</x:v>
      </x:c>
      <x:c r="B1220" s="168" t="str">
        <x:v>MLCF</x:v>
      </x:c>
      <x:c r="C1220" s="168" t="str">
        <x:v>FY2025</x:v>
      </x:c>
      <x:c r="D1220" s="168" t="str">
        <x:v>Printed total current liabilities</x:v>
      </x:c>
      <x:c r="E1220" s="169" t="n">
        <x:v>23330491</x:v>
      </x:c>
      <x:c r="F1220" s="169" t="n">
        <x:v>23330491</x:v>
      </x:c>
      <x:c r="G1220" s="169" t="str">
        <x:v>Rs '000</x:v>
      </x:c>
      <x:c r="H1220" s="169" t="n">
        <x:f>F1220/1000</x:f>
        <x:v>23330.491</x:v>
      </x:c>
      <x:c r="I1220" s="169" t="n">
        <x:f>MLCF!H78</x:f>
        <x:v>23330.491</x:v>
      </x:c>
      <x:c r="J1220" s="169" t="n">
        <x:f>H1220-I1220</x:f>
        <x:v>0</x:v>
      </x:c>
      <x:c r="K1220" s="168" t="str">
        <x:v>2025.pdf</x:v>
      </x:c>
      <x:c r="L1220" s="168" t="n">
        <x:v>201</x:v>
      </x:c>
      <x:c r="M1220" s="168" t="str">
        <x:v>Current year</x:v>
      </x:c>
      <x:c r="N1220" s="171" t="str">
        <x:v>Printed amount independently located</x:v>
      </x:c>
      <x:c r="O1220" s="171" t="str">
        <x:v>Exact source amount found; audited year/current-comparative column recorded. Accounting subtotal tests performed separately.</x:v>
      </x:c>
      <x:c r="P1220" s="171" t="str">
        <x:v>-   
Mark-up accrued on borrowings 16  320,434   865,945 
Short term borrowings from financial institutions - secured  17  822,285   1,645,316 
   23,330,491   18,597,800 
CONTINGENCIES AND COMMITMENTS 18
   119,106,271   99,365,682 
The annexed notes from 1 to 59 form an integral part of these unconsolidated financial statements.
CH</x:v>
      </x:c>
    </x:row>
    <x:row r="1221" ht="82" customHeight="1">
      <x:c r="A1221" s="76" t="str">
        <x:v>MLCF|rev|2021</x:v>
      </x:c>
      <x:c r="B1221" s="76" t="str">
        <x:v>MLCF</x:v>
      </x:c>
      <x:c r="C1221" s="76" t="str">
        <x:v>FY2021</x:v>
      </x:c>
      <x:c r="D1221" s="76" t="str">
        <x:v>Revenue / net sales</x:v>
      </x:c>
      <x:c r="E1221" s="170" t="n">
        <x:v>35538301</x:v>
      </x:c>
      <x:c r="F1221" s="170" t="n">
        <x:v>35538301</x:v>
      </x:c>
      <x:c r="G1221" s="170" t="str">
        <x:v>Rs '000</x:v>
      </x:c>
      <x:c r="H1221" s="170" t="n">
        <x:f>F1221/1000</x:f>
        <x:v>35538.301</x:v>
      </x:c>
      <x:c r="I1221" s="170" t="n">
        <x:f>MLCF!D84</x:f>
        <x:v>35538.301</x:v>
      </x:c>
      <x:c r="J1221" s="170" t="n">
        <x:f>H1221-I1221</x:f>
        <x:v>0</x:v>
      </x:c>
      <x:c r="K1221" s="76" t="str">
        <x:v>2022.pdf</x:v>
      </x:c>
      <x:c r="L1221" s="76" t="n">
        <x:v>185</x:v>
      </x:c>
      <x:c r="M1221" s="76" t="str">
        <x:v>Comparative</x:v>
      </x:c>
      <x:c r="N1221" s="99" t="str">
        <x:v>Printed amount independently located</x:v>
      </x:c>
      <x:c r="O1221" s="99" t="str">
        <x:v>Exact source amount found; audited year/current-comparative column recorded. Accounting subtotal tests performed separately.</x:v>
      </x:c>
      <x:c r="P1221" s="99" t="str">
        <x:v>184
   2022 2021
  Note (Rupees in thousand) 
Sales - net 35  48,519,622   35,538,301 
Cost of sales 36  (36,244,156)  (28,135,419)
Gross profit   12,275,466   7,402,882 
Distribution cost  37  (1,483,876)  (1,013,852)
Administrative expenses 38  (971,453)</x:v>
      </x:c>
    </x:row>
    <x:row r="1222" ht="82" customHeight="1">
      <x:c r="A1222" s="168" t="str">
        <x:v>MLCF|rev|2022</x:v>
      </x:c>
      <x:c r="B1222" s="168" t="str">
        <x:v>MLCF</x:v>
      </x:c>
      <x:c r="C1222" s="168" t="str">
        <x:v>FY2022</x:v>
      </x:c>
      <x:c r="D1222" s="168" t="str">
        <x:v>Revenue / net sales</x:v>
      </x:c>
      <x:c r="E1222" s="169" t="n">
        <x:v>48519622</x:v>
      </x:c>
      <x:c r="F1222" s="169" t="n">
        <x:v>48519622</x:v>
      </x:c>
      <x:c r="G1222" s="169" t="str">
        <x:v>Rs '000</x:v>
      </x:c>
      <x:c r="H1222" s="169" t="n">
        <x:f>F1222/1000</x:f>
        <x:v>48519.622</x:v>
      </x:c>
      <x:c r="I1222" s="169" t="n">
        <x:f>MLCF!E84</x:f>
        <x:v>48519.622</x:v>
      </x:c>
      <x:c r="J1222" s="169" t="n">
        <x:f>H1222-I1222</x:f>
        <x:v>0</x:v>
      </x:c>
      <x:c r="K1222" s="168" t="str">
        <x:v>2023.pdf</x:v>
      </x:c>
      <x:c r="L1222" s="168" t="n">
        <x:v>99</x:v>
      </x:c>
      <x:c r="M1222" s="168" t="str">
        <x:v>Comparative</x:v>
      </x:c>
      <x:c r="N1222" s="171" t="str">
        <x:v>Printed amount independently located</x:v>
      </x:c>
      <x:c r="O1222" s="171" t="str">
        <x:v>Exact source amount found; audited year/current-comparative column recorded. Accounting subtotal tests performed separately.</x:v>
      </x:c>
      <x:c r="P1222" s="171" t="str">
        <x:v>UNCONSOLIDA TED STA TEMENT OF 
PROFIT OR LOSS  
FOR THE YEAR ENDED JUNE 30, 2023
   2023 2022
  Note (Rupees in thousand) 
Sales - net 35 62,075,259 48,519,622
Cost of sales 36 (45,651,503) (36,244,156)
Gross profit  16,423,756 12,275,466
Distribution cost 37 (2,001,499) (1,483,876)
Administrative expenses 38 (1,380,607) (971,453)
Net im</x:v>
      </x:c>
    </x:row>
    <x:row r="1223" ht="82" customHeight="1">
      <x:c r="A1223" s="76" t="str">
        <x:v>MLCF|rev|2023</x:v>
      </x:c>
      <x:c r="B1223" s="76" t="str">
        <x:v>MLCF</x:v>
      </x:c>
      <x:c r="C1223" s="76" t="str">
        <x:v>FY2023</x:v>
      </x:c>
      <x:c r="D1223" s="76" t="str">
        <x:v>Revenue / net sales</x:v>
      </x:c>
      <x:c r="E1223" s="170" t="n">
        <x:v>62075259</x:v>
      </x:c>
      <x:c r="F1223" s="170" t="n">
        <x:v>62075259</x:v>
      </x:c>
      <x:c r="G1223" s="170" t="str">
        <x:v>Rs '000</x:v>
      </x:c>
      <x:c r="H1223" s="170" t="n">
        <x:f>F1223/1000</x:f>
        <x:v>62075.259</x:v>
      </x:c>
      <x:c r="I1223" s="170" t="n">
        <x:f>MLCF!F84</x:f>
        <x:v>62075.259</x:v>
      </x:c>
      <x:c r="J1223" s="170" t="n">
        <x:f>H1223-I1223</x:f>
        <x:v>0</x:v>
      </x:c>
      <x:c r="K1223" s="76" t="str">
        <x:v>2024.pdf</x:v>
      </x:c>
      <x:c r="L1223" s="76" t="n">
        <x:v>191</x:v>
      </x:c>
      <x:c r="M1223" s="76" t="str">
        <x:v>Comparative</x:v>
      </x:c>
      <x:c r="N1223" s="99" t="str">
        <x:v>Printed amount independently located</x:v>
      </x:c>
      <x:c r="O1223" s="99" t="str">
        <x:v>Exact source amount found; audited year/current-comparative column recorded. Accounting subtotal tests performed separately.</x:v>
      </x:c>
      <x:c r="P1223" s="99" t="str">
        <x:v>190
UNCONSOLIDA TED STA TEMENT OF 
PROFIT OR LOSS  
FOR THE YEAR ENDED JUNE 30, 2024
   2024 2023
  Note (Rupees in thousand) 
Revenue 35 66,452,348 62,075,259
Cost of sales 36 (45,488,064) (43,901,906)
Gross profit  20,964,284 18,173,353
Selling and distribution expenses 37 (5,471,808) (3,751,096)
Administrative expenses 38 (1,852,148)</x:v>
      </x:c>
    </x:row>
    <x:row r="1224" ht="82" customHeight="1">
      <x:c r="A1224" s="168" t="str">
        <x:v>MLCF|rev|2024</x:v>
      </x:c>
      <x:c r="B1224" s="168" t="str">
        <x:v>MLCF</x:v>
      </x:c>
      <x:c r="C1224" s="168" t="str">
        <x:v>FY2024</x:v>
      </x:c>
      <x:c r="D1224" s="168" t="str">
        <x:v>Revenue / net sales</x:v>
      </x:c>
      <x:c r="E1224" s="169" t="n">
        <x:v>66452348</x:v>
      </x:c>
      <x:c r="F1224" s="169" t="n">
        <x:v>66452348</x:v>
      </x:c>
      <x:c r="G1224" s="169" t="str">
        <x:v>Rs '000</x:v>
      </x:c>
      <x:c r="H1224" s="169" t="n">
        <x:f>F1224/1000</x:f>
        <x:v>66452.348</x:v>
      </x:c>
      <x:c r="I1224" s="169" t="n">
        <x:f>MLCF!G84</x:f>
        <x:v>66452.348</x:v>
      </x:c>
      <x:c r="J1224" s="169" t="n">
        <x:f>H1224-I1224</x:f>
        <x:v>0</x:v>
      </x:c>
      <x:c r="K1224" s="168" t="str">
        <x:v>2025.pdf</x:v>
      </x:c>
      <x:c r="L1224" s="168" t="n">
        <x:v>203</x:v>
      </x:c>
      <x:c r="M1224" s="168" t="str">
        <x:v>Comparative</x:v>
      </x:c>
      <x:c r="N1224" s="171" t="str">
        <x:v>Printed amount independently located</x:v>
      </x:c>
      <x:c r="O1224" s="171" t="str">
        <x:v>Exact source amount found; audited year/current-comparative column recorded. Accounting subtotal tests performed separately.</x:v>
      </x:c>
      <x:c r="P1224" s="171" t="str">
        <x:v>FOR THE YEAR ENDED JUNE 30, 2025
   2025 2024
  Note (Rupees in thousand) 
    Restated
Revenue from contracts with customers - net 34  68,942,446   66,452,348 
Cost of sales 35  (45,195,630)  (45,488,064)
Gross profit   23,746,816   20,964,284 
Selling and distribution expenses 36  (4,123,754)  (5,471,808)
Administrative expenses 37  (2</x:v>
      </x:c>
    </x:row>
    <x:row r="1225" ht="82" customHeight="1">
      <x:c r="A1225" s="76" t="str">
        <x:v>MLCF|rev|2025</x:v>
      </x:c>
      <x:c r="B1225" s="76" t="str">
        <x:v>MLCF</x:v>
      </x:c>
      <x:c r="C1225" s="76" t="str">
        <x:v>FY2025</x:v>
      </x:c>
      <x:c r="D1225" s="76" t="str">
        <x:v>Revenue / net sales</x:v>
      </x:c>
      <x:c r="E1225" s="170" t="n">
        <x:v>68942446</x:v>
      </x:c>
      <x:c r="F1225" s="170" t="n">
        <x:v>68942446</x:v>
      </x:c>
      <x:c r="G1225" s="170" t="str">
        <x:v>Rs '000</x:v>
      </x:c>
      <x:c r="H1225" s="170" t="n">
        <x:f>F1225/1000</x:f>
        <x:v>68942.446</x:v>
      </x:c>
      <x:c r="I1225" s="170" t="n">
        <x:f>MLCF!H84</x:f>
        <x:v>68942.446</x:v>
      </x:c>
      <x:c r="J1225" s="170" t="n">
        <x:f>H1225-I1225</x:f>
        <x:v>0</x:v>
      </x:c>
      <x:c r="K1225" s="76" t="str">
        <x:v>2025.pdf</x:v>
      </x:c>
      <x:c r="L1225" s="76" t="n">
        <x:v>203</x:v>
      </x:c>
      <x:c r="M1225" s="76" t="str">
        <x:v>Current year</x:v>
      </x:c>
      <x:c r="N1225" s="99" t="str">
        <x:v>Printed amount independently located</x:v>
      </x:c>
      <x:c r="O1225" s="99" t="str">
        <x:v>Exact source amount found; audited year/current-comparative column recorded. Accounting subtotal tests performed separately.</x:v>
      </x:c>
      <x:c r="P1225" s="99" t="str">
        <x:v>FIT OR LOSS  
FOR THE YEAR ENDED JUNE 30, 2025
   2025 2024
  Note (Rupees in thousand) 
    Restated
Revenue from contracts with customers - net 34  68,942,446   66,452,348 
Cost of sales 35  (45,195,630)  (45,488,064)
Gross profit   23,746,816   20,964,284 
Selling and distribution expenses 36  (4,123,754)  (5,471,808)
Administrative ex</x:v>
      </x:c>
    </x:row>
    <x:row r="1226" ht="82" customHeight="1">
      <x:c r="A1226" s="168" t="str">
        <x:v>MLCF|cogs|2021</x:v>
      </x:c>
      <x:c r="B1226" s="168" t="str">
        <x:v>MLCF</x:v>
      </x:c>
      <x:c r="C1226" s="168" t="str">
        <x:v>FY2021</x:v>
      </x:c>
      <x:c r="D1226" s="168" t="str">
        <x:v>Cost of sales</x:v>
      </x:c>
      <x:c r="E1226" s="169" t="n">
        <x:v>-28135419</x:v>
      </x:c>
      <x:c r="F1226" s="169" t="n">
        <x:v>-28135419</x:v>
      </x:c>
      <x:c r="G1226" s="169" t="str">
        <x:v>Rs '000</x:v>
      </x:c>
      <x:c r="H1226" s="169" t="n">
        <x:f>F1226/1000</x:f>
        <x:v>-28135.419</x:v>
      </x:c>
      <x:c r="I1226" s="169" t="n">
        <x:f>MLCF!D85</x:f>
        <x:v>-28135.419</x:v>
      </x:c>
      <x:c r="J1226" s="169" t="n">
        <x:f>H1226-I1226</x:f>
        <x:v>0</x:v>
      </x:c>
      <x:c r="K1226" s="168" t="str">
        <x:v>2022.pdf</x:v>
      </x:c>
      <x:c r="L1226" s="168" t="n">
        <x:v>185</x:v>
      </x:c>
      <x:c r="M1226" s="168" t="str">
        <x:v>Comparative</x:v>
      </x:c>
      <x:c r="N1226" s="171" t="str">
        <x:v>Printed amount independently located</x:v>
      </x:c>
      <x:c r="O1226" s="171" t="str">
        <x:v>Exact source amount found; audited year/current-comparative column recorded. Accounting subtotal tests performed separately.</x:v>
      </x:c>
      <x:c r="P1226" s="171" t="str">
        <x:v>184
   2022 2021
  Note (Rupees in thousand) 
Sales - net 35  48,519,622   35,538,301 
Cost of sales 36  (36,244,156)  (28,135,419)
Gross profit   12,275,466   7,402,882 
Distribution cost  37  (1,483,876)  (1,013,852)
Administrative expenses 38  (971,453)  (813,489)
Other charges 39  (952,200)  (524,1</x:v>
      </x:c>
    </x:row>
    <x:row r="1227" ht="82" customHeight="1">
      <x:c r="A1227" s="76" t="str">
        <x:v>MLCF|cogs|2022</x:v>
      </x:c>
      <x:c r="B1227" s="76" t="str">
        <x:v>MLCF</x:v>
      </x:c>
      <x:c r="C1227" s="76" t="str">
        <x:v>FY2022</x:v>
      </x:c>
      <x:c r="D1227" s="76" t="str">
        <x:v>Cost of sales</x:v>
      </x:c>
      <x:c r="E1227" s="170" t="n">
        <x:v>-36244156</x:v>
      </x:c>
      <x:c r="F1227" s="170" t="n">
        <x:v>-36244156</x:v>
      </x:c>
      <x:c r="G1227" s="170" t="str">
        <x:v>Rs '000</x:v>
      </x:c>
      <x:c r="H1227" s="170" t="n">
        <x:f>F1227/1000</x:f>
        <x:v>-36244.156</x:v>
      </x:c>
      <x:c r="I1227" s="170" t="n">
        <x:f>MLCF!E85</x:f>
        <x:v>-36244.156</x:v>
      </x:c>
      <x:c r="J1227" s="170" t="n">
        <x:f>H1227-I1227</x:f>
        <x:v>0</x:v>
      </x:c>
      <x:c r="K1227" s="76" t="str">
        <x:v>2023.pdf</x:v>
      </x:c>
      <x:c r="L1227" s="76" t="n">
        <x:v>99</x:v>
      </x:c>
      <x:c r="M1227" s="76" t="str">
        <x:v>Comparative</x:v>
      </x:c>
      <x:c r="N1227" s="99" t="str">
        <x:v>Printed amount independently located</x:v>
      </x:c>
      <x:c r="O1227" s="99" t="str">
        <x:v>Exact source amount found; audited year/current-comparative column recorded. Accounting subtotal tests performed separately.</x:v>
      </x:c>
      <x:c r="P1227" s="99" t="str">
        <x:v>LOSS  
FOR THE YEAR ENDED JUNE 30, 2023
   2023 2022
  Note (Rupees in thousand) 
Sales - net 35 62,075,259 48,519,622
Cost of sales 36 (45,651,503) (36,244,156)
Gross profit  16,423,756 12,275,466
Distribution cost 37 (2,001,499) (1,483,876)
Administrative expenses 38 (1,380,607) (971,453)
Net impairment loss on financial assets 27.1 (191</x:v>
      </x:c>
    </x:row>
    <x:row r="1228" ht="82" customHeight="1">
      <x:c r="A1228" s="168" t="str">
        <x:v>MLCF|cogs|2023</x:v>
      </x:c>
      <x:c r="B1228" s="168" t="str">
        <x:v>MLCF</x:v>
      </x:c>
      <x:c r="C1228" s="168" t="str">
        <x:v>FY2023</x:v>
      </x:c>
      <x:c r="D1228" s="168" t="str">
        <x:v>Cost of sales</x:v>
      </x:c>
      <x:c r="E1228" s="169" t="n">
        <x:v>-43901906</x:v>
      </x:c>
      <x:c r="F1228" s="169" t="n">
        <x:v>-43901906</x:v>
      </x:c>
      <x:c r="G1228" s="169" t="str">
        <x:v>Rs '000</x:v>
      </x:c>
      <x:c r="H1228" s="169" t="n">
        <x:f>F1228/1000</x:f>
        <x:v>-43901.906</x:v>
      </x:c>
      <x:c r="I1228" s="169" t="n">
        <x:f>MLCF!F85</x:f>
        <x:v>-43901.906</x:v>
      </x:c>
      <x:c r="J1228" s="169" t="n">
        <x:f>H1228-I1228</x:f>
        <x:v>0</x:v>
      </x:c>
      <x:c r="K1228" s="168" t="str">
        <x:v>2024.pdf</x:v>
      </x:c>
      <x:c r="L1228" s="168" t="n">
        <x:v>191</x:v>
      </x:c>
      <x:c r="M1228" s="168" t="str">
        <x:v>Comparative</x:v>
      </x:c>
      <x:c r="N1228" s="171" t="str">
        <x:v>Printed amount independently located</x:v>
      </x:c>
      <x:c r="O1228" s="171" t="str">
        <x:v>Exact source amount found; audited year/current-comparative column recorded. Accounting subtotal tests performed separately.</x:v>
      </x:c>
      <x:c r="P1228" s="171" t="str">
        <x:v>T OR LOSS  
FOR THE YEAR ENDED JUNE 30, 2024
   2024 2023
  Note (Rupees in thousand) 
Revenue 35 66,452,348 62,075,259
Cost of sales 36 (45,488,064) (43,901,906)
Gross profit  20,964,284 18,173,353
Selling and distribution expenses 37 (5,471,808) (3,751,096)
Administrative expenses 38 (1,852,148) (1,380,607)
Net impairment loss on financia</x:v>
      </x:c>
    </x:row>
    <x:row r="1229" ht="82" customHeight="1">
      <x:c r="A1229" s="76" t="str">
        <x:v>MLCF|cogs|2024</x:v>
      </x:c>
      <x:c r="B1229" s="76" t="str">
        <x:v>MLCF</x:v>
      </x:c>
      <x:c r="C1229" s="76" t="str">
        <x:v>FY2024</x:v>
      </x:c>
      <x:c r="D1229" s="76" t="str">
        <x:v>Cost of sales</x:v>
      </x:c>
      <x:c r="E1229" s="170" t="n">
        <x:v>-45488064</x:v>
      </x:c>
      <x:c r="F1229" s="170" t="n">
        <x:v>-45488064</x:v>
      </x:c>
      <x:c r="G1229" s="170" t="str">
        <x:v>Rs '000</x:v>
      </x:c>
      <x:c r="H1229" s="170" t="n">
        <x:f>F1229/1000</x:f>
        <x:v>-45488.064</x:v>
      </x:c>
      <x:c r="I1229" s="170" t="n">
        <x:f>MLCF!G85</x:f>
        <x:v>-45488.064</x:v>
      </x:c>
      <x:c r="J1229" s="170" t="n">
        <x:f>H1229-I1229</x:f>
        <x:v>0</x:v>
      </x:c>
      <x:c r="K1229" s="76" t="str">
        <x:v>2025.pdf</x:v>
      </x:c>
      <x:c r="L1229" s="76" t="n">
        <x:v>203</x:v>
      </x:c>
      <x:c r="M1229" s="76" t="str">
        <x:v>Comparative</x:v>
      </x:c>
      <x:c r="N1229" s="99" t="str">
        <x:v>Printed amount independently located</x:v>
      </x:c>
      <x:c r="O1229" s="99" t="str">
        <x:v>Exact source amount found; audited year/current-comparative column recorded. Accounting subtotal tests performed separately.</x:v>
      </x:c>
      <x:c r="P1229" s="99" t="str">
        <x:v>24
  Note (Rupees in thousand) 
    Restated
Revenue from contracts with customers - net 34  68,942,446   66,452,348 
Cost of sales 35  (45,195,630)  (45,488,064)
Gross profit   23,746,816   20,964,284 
Selling and distribution expenses 36  (4,123,754)  (5,471,808)
Administrative expenses 37  (2,176,320)  (1,852,148)
Net impairment loss on</x:v>
      </x:c>
    </x:row>
    <x:row r="1230" ht="82" customHeight="1">
      <x:c r="A1230" s="168" t="str">
        <x:v>MLCF|cogs|2025</x:v>
      </x:c>
      <x:c r="B1230" s="168" t="str">
        <x:v>MLCF</x:v>
      </x:c>
      <x:c r="C1230" s="168" t="str">
        <x:v>FY2025</x:v>
      </x:c>
      <x:c r="D1230" s="168" t="str">
        <x:v>Cost of sales</x:v>
      </x:c>
      <x:c r="E1230" s="169" t="n">
        <x:v>-45195630</x:v>
      </x:c>
      <x:c r="F1230" s="169" t="n">
        <x:v>-45195630</x:v>
      </x:c>
      <x:c r="G1230" s="169" t="str">
        <x:v>Rs '000</x:v>
      </x:c>
      <x:c r="H1230" s="169" t="n">
        <x:f>F1230/1000</x:f>
        <x:v>-45195.63</x:v>
      </x:c>
      <x:c r="I1230" s="169" t="n">
        <x:f>MLCF!H85</x:f>
        <x:v>-45195.63</x:v>
      </x:c>
      <x:c r="J1230" s="169" t="n">
        <x:f>H1230-I1230</x:f>
        <x:v>0</x:v>
      </x:c>
      <x:c r="K1230" s="168" t="str">
        <x:v>2025.pdf</x:v>
      </x:c>
      <x:c r="L1230" s="168" t="n">
        <x:v>203</x:v>
      </x:c>
      <x:c r="M1230" s="168" t="str">
        <x:v>Current year</x:v>
      </x:c>
      <x:c r="N1230" s="171" t="str">
        <x:v>Printed amount independently located</x:v>
      </x:c>
      <x:c r="O1230" s="171" t="str">
        <x:v>Exact source amount found; audited year/current-comparative column recorded. Accounting subtotal tests performed separately.</x:v>
      </x:c>
      <x:c r="P1230" s="171" t="str">
        <x:v>025
   2025 2024
  Note (Rupees in thousand) 
    Restated
Revenue from contracts with customers - net 34  68,942,446   66,452,348 
Cost of sales 35  (45,195,630)  (45,488,064)
Gross profit   23,746,816   20,964,284 
Selling and distribution expenses 36  (4,123,754)  (5,471,808)
Administrative expenses 37  (2,176,320)  (1,852,148)
Net impai</x:v>
      </x:c>
    </x:row>
    <x:row r="1231" ht="82" customHeight="1">
      <x:c r="A1231" s="76" t="str">
        <x:v>MLCF|selling|2021</x:v>
      </x:c>
      <x:c r="B1231" s="76" t="str">
        <x:v>MLCF</x:v>
      </x:c>
      <x:c r="C1231" s="76" t="str">
        <x:v>FY2021</x:v>
      </x:c>
      <x:c r="D1231" s="76" t="str">
        <x:v>Selling and distribution expenses</x:v>
      </x:c>
      <x:c r="E1231" s="170" t="n">
        <x:v>-1013852</x:v>
      </x:c>
      <x:c r="F1231" s="170" t="n">
        <x:v>-1013852</x:v>
      </x:c>
      <x:c r="G1231" s="170" t="str">
        <x:v>Rs '000</x:v>
      </x:c>
      <x:c r="H1231" s="170" t="n">
        <x:f>F1231/1000</x:f>
        <x:v>-1013.852</x:v>
      </x:c>
      <x:c r="I1231" s="170" t="n">
        <x:f>MLCF!D87</x:f>
        <x:v>-1013.852</x:v>
      </x:c>
      <x:c r="J1231" s="170" t="n">
        <x:f>H1231-I1231</x:f>
        <x:v>0</x:v>
      </x:c>
      <x:c r="K1231" s="76" t="str">
        <x:v>2022.pdf</x:v>
      </x:c>
      <x:c r="L1231" s="76" t="n">
        <x:v>185</x:v>
      </x:c>
      <x:c r="M1231" s="76" t="str">
        <x:v>Comparative</x:v>
      </x:c>
      <x:c r="N1231" s="99" t="str">
        <x:v>Printed amount independently located</x:v>
      </x:c>
      <x:c r="O1231" s="99" t="str">
        <x:v>Exact source amount found; audited year/current-comparative column recorded. Accounting subtotal tests performed separately.</x:v>
      </x:c>
      <x:c r="P1231" s="99" t="str">
        <x:v>519,622   35,538,301 
Cost of sales 36  (36,244,156)  (28,135,419)
Gross profit   12,275,466   7,402,882 
Distribution cost  37  (1,483,876)  (1,013,852)
Administrative expenses 38  (971,453)  (813,489)
Other charges 39  (952,200)  (524,142)
   (3,407,529)  (2,351,483)
Other income  40  56,601   3,732,132 
Profit from opera</x:v>
      </x:c>
    </x:row>
    <x:row r="1232" ht="82" customHeight="1">
      <x:c r="A1232" s="168" t="str">
        <x:v>MLCF|selling|2022</x:v>
      </x:c>
      <x:c r="B1232" s="168" t="str">
        <x:v>MLCF</x:v>
      </x:c>
      <x:c r="C1232" s="168" t="str">
        <x:v>FY2022</x:v>
      </x:c>
      <x:c r="D1232" s="168" t="str">
        <x:v>Selling and distribution expenses</x:v>
      </x:c>
      <x:c r="E1232" s="169" t="n">
        <x:v>-1483876</x:v>
      </x:c>
      <x:c r="F1232" s="169" t="n">
        <x:v>-1483876</x:v>
      </x:c>
      <x:c r="G1232" s="169" t="str">
        <x:v>Rs '000</x:v>
      </x:c>
      <x:c r="H1232" s="169" t="n">
        <x:f>F1232/1000</x:f>
        <x:v>-1483.876</x:v>
      </x:c>
      <x:c r="I1232" s="169" t="n">
        <x:f>MLCF!E87</x:f>
        <x:v>-1483.876</x:v>
      </x:c>
      <x:c r="J1232" s="169" t="n">
        <x:f>H1232-I1232</x:f>
        <x:v>0</x:v>
      </x:c>
      <x:c r="K1232" s="168" t="str">
        <x:v>2023.pdf</x:v>
      </x:c>
      <x:c r="L1232" s="168" t="n">
        <x:v>99</x:v>
      </x:c>
      <x:c r="M1232" s="168" t="str">
        <x:v>Comparative</x:v>
      </x:c>
      <x:c r="N1232" s="171" t="str">
        <x:v>Printed amount independently located</x:v>
      </x:c>
      <x:c r="O1232" s="171" t="str">
        <x:v>Exact source amount found; audited year/current-comparative column recorded. Accounting subtotal tests performed separately.</x:v>
      </x:c>
      <x:c r="P1232" s="171" t="str">
        <x:v>Sales - net 35 62,075,259 48,519,622
Cost of sales 36 (45,651,503) (36,244,156)
Gross profit  16,423,756 12,275,466
Distribution cost 37 (2,001,499) (1,483,876)
Administrative expenses 38 (1,380,607) (971,453)
Net impairment loss on financial assets 27.1 (191,421) (209,920)
Other charges 39 (995,460) (742,280)
  (4,568,987) (3,407,529)
Ot</x:v>
      </x:c>
    </x:row>
    <x:row r="1233" ht="82" customHeight="1">
      <x:c r="A1233" s="76" t="str">
        <x:v>MLCF|selling|2023</x:v>
      </x:c>
      <x:c r="B1233" s="76" t="str">
        <x:v>MLCF</x:v>
      </x:c>
      <x:c r="C1233" s="76" t="str">
        <x:v>FY2023</x:v>
      </x:c>
      <x:c r="D1233" s="76" t="str">
        <x:v>Selling and distribution expenses</x:v>
      </x:c>
      <x:c r="E1233" s="170" t="n">
        <x:v>-3751096</x:v>
      </x:c>
      <x:c r="F1233" s="170" t="n">
        <x:v>-3751096</x:v>
      </x:c>
      <x:c r="G1233" s="170" t="str">
        <x:v>Rs '000</x:v>
      </x:c>
      <x:c r="H1233" s="170" t="n">
        <x:f>F1233/1000</x:f>
        <x:v>-3751.096</x:v>
      </x:c>
      <x:c r="I1233" s="170" t="n">
        <x:f>MLCF!F87</x:f>
        <x:v>-3751.096</x:v>
      </x:c>
      <x:c r="J1233" s="170" t="n">
        <x:f>H1233-I1233</x:f>
        <x:v>0</x:v>
      </x:c>
      <x:c r="K1233" s="76" t="str">
        <x:v>2024.pdf</x:v>
      </x:c>
      <x:c r="L1233" s="76" t="n">
        <x:v>191</x:v>
      </x:c>
      <x:c r="M1233" s="76" t="str">
        <x:v>Comparative</x:v>
      </x:c>
      <x:c r="N1233" s="99" t="str">
        <x:v>Printed amount independently located</x:v>
      </x:c>
      <x:c r="O1233" s="99" t="str">
        <x:v>Exact source amount found; audited year/current-comparative column recorded. Accounting subtotal tests performed separately.</x:v>
      </x:c>
      <x:c r="P1233" s="99" t="str">
        <x:v>66,452,348 62,075,259
Cost of sales 36 (45,488,064) (43,901,906)
Gross profit  20,964,284 18,173,353
Selling and distribution expenses 37 (5,471,808) (3,751,096)
Administrative expenses 38 (1,852,148) (1,380,607)
Net impairment loss on financial assets 27.1 (357,191) (191,421)
Other expenses 39 (569,545) (995,460)
Other income 40 356,142 1</x:v>
      </x:c>
    </x:row>
    <x:row r="1234" ht="82" customHeight="1">
      <x:c r="A1234" s="168" t="str">
        <x:v>MLCF|selling|2024</x:v>
      </x:c>
      <x:c r="B1234" s="168" t="str">
        <x:v>MLCF</x:v>
      </x:c>
      <x:c r="C1234" s="168" t="str">
        <x:v>FY2024</x:v>
      </x:c>
      <x:c r="D1234" s="168" t="str">
        <x:v>Selling and distribution expenses</x:v>
      </x:c>
      <x:c r="E1234" s="169" t="n">
        <x:v>-5471808</x:v>
      </x:c>
      <x:c r="F1234" s="169" t="n">
        <x:v>-5471808</x:v>
      </x:c>
      <x:c r="G1234" s="169" t="str">
        <x:v>Rs '000</x:v>
      </x:c>
      <x:c r="H1234" s="169" t="n">
        <x:f>F1234/1000</x:f>
        <x:v>-5471.808</x:v>
      </x:c>
      <x:c r="I1234" s="169" t="n">
        <x:f>MLCF!G87</x:f>
        <x:v>-5471.808</x:v>
      </x:c>
      <x:c r="J1234" s="169" t="n">
        <x:f>H1234-I1234</x:f>
        <x:v>0</x:v>
      </x:c>
      <x:c r="K1234" s="168" t="str">
        <x:v>2025.pdf</x:v>
      </x:c>
      <x:c r="L1234" s="168" t="n">
        <x:v>203</x:v>
      </x:c>
      <x:c r="M1234" s="168" t="str">
        <x:v>Comparative</x:v>
      </x:c>
      <x:c r="N1234" s="171" t="str">
        <x:v>Printed amount independently located</x:v>
      </x:c>
      <x:c r="O1234" s="171" t="str">
        <x:v>Exact source amount found; audited year/current-comparative column recorded. Accounting subtotal tests performed separately.</x:v>
      </x:c>
      <x:c r="P1234" s="171" t="str">
        <x:v>66,452,348 
Cost of sales 35  (45,195,630)  (45,488,064)
Gross profit   23,746,816   20,964,284 
Selling and distribution expenses 36  (4,123,754)  (5,471,808)
Administrative expenses 37  (2,176,320)  (1,852,148)
Net impairment loss on financial assets 26.1  (514,430)  (357,191)
Other expenses 38  (1,207,018)  (569,545)
Other income  39</x:v>
      </x:c>
    </x:row>
    <x:row r="1235" ht="82" customHeight="1">
      <x:c r="A1235" s="76" t="str">
        <x:v>MLCF|selling|2025</x:v>
      </x:c>
      <x:c r="B1235" s="76" t="str">
        <x:v>MLCF</x:v>
      </x:c>
      <x:c r="C1235" s="76" t="str">
        <x:v>FY2025</x:v>
      </x:c>
      <x:c r="D1235" s="76" t="str">
        <x:v>Selling and distribution expenses</x:v>
      </x:c>
      <x:c r="E1235" s="170" t="n">
        <x:v>-4123754</x:v>
      </x:c>
      <x:c r="F1235" s="170" t="n">
        <x:v>-4123754</x:v>
      </x:c>
      <x:c r="G1235" s="170" t="str">
        <x:v>Rs '000</x:v>
      </x:c>
      <x:c r="H1235" s="170" t="n">
        <x:f>F1235/1000</x:f>
        <x:v>-4123.754</x:v>
      </x:c>
      <x:c r="I1235" s="170" t="n">
        <x:f>MLCF!H87</x:f>
        <x:v>-4123.754</x:v>
      </x:c>
      <x:c r="J1235" s="170" t="n">
        <x:f>H1235-I1235</x:f>
        <x:v>0</x:v>
      </x:c>
      <x:c r="K1235" s="76" t="str">
        <x:v>2025.pdf</x:v>
      </x:c>
      <x:c r="L1235" s="76" t="n">
        <x:v>203</x:v>
      </x:c>
      <x:c r="M1235" s="76" t="str">
        <x:v>Current year</x:v>
      </x:c>
      <x:c r="N1235" s="99" t="str">
        <x:v>Printed amount independently located</x:v>
      </x:c>
      <x:c r="O1235" s="99" t="str">
        <x:v>Exact source amount found; audited year/current-comparative column recorded. Accounting subtotal tests performed separately.</x:v>
      </x:c>
      <x:c r="P1235" s="99" t="str">
        <x:v>68,942,446   66,452,348 
Cost of sales 35  (45,195,630)  (45,488,064)
Gross profit   23,746,816   20,964,284 
Selling and distribution expenses 36  (4,123,754)  (5,471,808)
Administrative expenses 37  (2,176,320)  (1,852,148)
Net impairment loss on financial assets 26.1  (514,430)  (357,191)
Other expenses 38  (1,207,018)  (569,545)
Othe</x:v>
      </x:c>
    </x:row>
    <x:row r="1236" ht="82" customHeight="1">
      <x:c r="A1236" s="168" t="str">
        <x:v>MLCF|admin|2021</x:v>
      </x:c>
      <x:c r="B1236" s="168" t="str">
        <x:v>MLCF</x:v>
      </x:c>
      <x:c r="C1236" s="168" t="str">
        <x:v>FY2021</x:v>
      </x:c>
      <x:c r="D1236" s="168" t="str">
        <x:v>Administrative expenses</x:v>
      </x:c>
      <x:c r="E1236" s="169" t="n">
        <x:v>-813489</x:v>
      </x:c>
      <x:c r="F1236" s="169" t="n">
        <x:v>-813489</x:v>
      </x:c>
      <x:c r="G1236" s="169" t="str">
        <x:v>Rs '000</x:v>
      </x:c>
      <x:c r="H1236" s="169" t="n">
        <x:f>F1236/1000</x:f>
        <x:v>-813.489</x:v>
      </x:c>
      <x:c r="I1236" s="169" t="n">
        <x:f>MLCF!D88</x:f>
        <x:v>-813.489</x:v>
      </x:c>
      <x:c r="J1236" s="169" t="n">
        <x:f>H1236-I1236</x:f>
        <x:v>0</x:v>
      </x:c>
      <x:c r="K1236" s="168" t="str">
        <x:v>2022.pdf</x:v>
      </x:c>
      <x:c r="L1236" s="168" t="n">
        <x:v>185</x:v>
      </x:c>
      <x:c r="M1236" s="168" t="str">
        <x:v>Comparative</x:v>
      </x:c>
      <x:c r="N1236" s="171" t="str">
        <x:v>Printed amount independently located</x:v>
      </x:c>
      <x:c r="O1236" s="171" t="str">
        <x:v>Exact source amount found; audited year/current-comparative column recorded. Accounting subtotal tests performed separately.</x:v>
      </x:c>
      <x:c r="P1236" s="171" t="str">
        <x:v>)  (28,135,419)
Gross profit   12,275,466   7,402,882 
Distribution cost  37  (1,483,876)  (1,013,852)
Administrative expenses 38  (971,453)  (813,489)
Other charges 39  (952,200)  (524,142)
   (3,407,529)  (2,351,483)
Other income  40  56,601   3,732,132 
Profit from operations   8,924,538   8,783,531 
Finance cost 4</x:v>
      </x:c>
    </x:row>
    <x:row r="1237" ht="82" customHeight="1">
      <x:c r="A1237" s="76" t="str">
        <x:v>MLCF|admin|2022</x:v>
      </x:c>
      <x:c r="B1237" s="76" t="str">
        <x:v>MLCF</x:v>
      </x:c>
      <x:c r="C1237" s="76" t="str">
        <x:v>FY2022</x:v>
      </x:c>
      <x:c r="D1237" s="76" t="str">
        <x:v>Administrative expenses</x:v>
      </x:c>
      <x:c r="E1237" s="170" t="n">
        <x:v>-971453</x:v>
      </x:c>
      <x:c r="F1237" s="170" t="n">
        <x:v>-971453</x:v>
      </x:c>
      <x:c r="G1237" s="170" t="str">
        <x:v>Rs '000</x:v>
      </x:c>
      <x:c r="H1237" s="170" t="n">
        <x:f>F1237/1000</x:f>
        <x:v>-971.453</x:v>
      </x:c>
      <x:c r="I1237" s="170" t="n">
        <x:f>MLCF!E88</x:f>
        <x:v>-971.453</x:v>
      </x:c>
      <x:c r="J1237" s="170" t="n">
        <x:f>H1237-I1237</x:f>
        <x:v>0</x:v>
      </x:c>
      <x:c r="K1237" s="76" t="str">
        <x:v>2023.pdf</x:v>
      </x:c>
      <x:c r="L1237" s="76" t="n">
        <x:v>99</x:v>
      </x:c>
      <x:c r="M1237" s="76" t="str">
        <x:v>Comparative</x:v>
      </x:c>
      <x:c r="N1237" s="99" t="str">
        <x:v>Printed amount independently located</x:v>
      </x:c>
      <x:c r="O1237" s="99" t="str">
        <x:v>Exact source amount found; audited year/current-comparative column recorded. Accounting subtotal tests performed separately.</x:v>
      </x:c>
      <x:c r="P1237" s="99" t="str">
        <x:v>36 (45,651,503) (36,244,156)
Gross profit  16,423,756 12,275,466
Distribution cost 37 (2,001,499) (1,483,876)
Administrative expenses 38 (1,380,607) (971,453)
Net impairment loss on financial assets 27.1 (191,421) (209,920)
Other charges 39 (995,460) (742,280)
  (4,568,987) (3,407,529)
Other income 40 146,646 56,601
Profit from operatio</x:v>
      </x:c>
    </x:row>
    <x:row r="1238" ht="82" customHeight="1">
      <x:c r="A1238" s="168" t="str">
        <x:v>MLCF|admin|2023</x:v>
      </x:c>
      <x:c r="B1238" s="168" t="str">
        <x:v>MLCF</x:v>
      </x:c>
      <x:c r="C1238" s="168" t="str">
        <x:v>FY2023</x:v>
      </x:c>
      <x:c r="D1238" s="168" t="str">
        <x:v>Administrative expenses</x:v>
      </x:c>
      <x:c r="E1238" s="169" t="n">
        <x:v>-1380607</x:v>
      </x:c>
      <x:c r="F1238" s="169" t="n">
        <x:v>-1380607</x:v>
      </x:c>
      <x:c r="G1238" s="169" t="str">
        <x:v>Rs '000</x:v>
      </x:c>
      <x:c r="H1238" s="169" t="n">
        <x:f>F1238/1000</x:f>
        <x:v>-1380.607</x:v>
      </x:c>
      <x:c r="I1238" s="169" t="n">
        <x:f>MLCF!F88</x:f>
        <x:v>-1380.607</x:v>
      </x:c>
      <x:c r="J1238" s="169" t="n">
        <x:f>H1238-I1238</x:f>
        <x:v>0</x:v>
      </x:c>
      <x:c r="K1238" s="168" t="str">
        <x:v>2024.pdf</x:v>
      </x:c>
      <x:c r="L1238" s="168" t="n">
        <x:v>191</x:v>
      </x:c>
      <x:c r="M1238" s="168" t="str">
        <x:v>Comparative</x:v>
      </x:c>
      <x:c r="N1238" s="171" t="str">
        <x:v>Printed amount independently located</x:v>
      </x:c>
      <x:c r="O1238" s="171" t="str">
        <x:v>Exact source amount found; audited year/current-comparative column recorded. Accounting subtotal tests performed separately.</x:v>
      </x:c>
      <x:c r="P1238" s="171" t="str">
        <x:v>(43,901,906)
Gross profit  20,964,284 18,173,353
Selling and distribution expenses 37 (5,471,808) (3,751,096)
Administrative expenses 38 (1,852,148) (1,380,607)
Net impairment loss on financial assets 27.1 (357,191) (191,421)
Other expenses 39 (569,545) (995,460)
Other income 40 356,142 146,646
Operating profit  13,069,734 12,001,415
Fina</x:v>
      </x:c>
    </x:row>
    <x:row r="1239" ht="82" customHeight="1">
      <x:c r="A1239" s="76" t="str">
        <x:v>MLCF|admin|2024</x:v>
      </x:c>
      <x:c r="B1239" s="76" t="str">
        <x:v>MLCF</x:v>
      </x:c>
      <x:c r="C1239" s="76" t="str">
        <x:v>FY2024</x:v>
      </x:c>
      <x:c r="D1239" s="76" t="str">
        <x:v>Administrative expenses</x:v>
      </x:c>
      <x:c r="E1239" s="170" t="n">
        <x:v>-1852148</x:v>
      </x:c>
      <x:c r="F1239" s="170" t="n">
        <x:v>-1852148</x:v>
      </x:c>
      <x:c r="G1239" s="170" t="str">
        <x:v>Rs '000</x:v>
      </x:c>
      <x:c r="H1239" s="170" t="n">
        <x:f>F1239/1000</x:f>
        <x:v>-1852.148</x:v>
      </x:c>
      <x:c r="I1239" s="170" t="n">
        <x:f>MLCF!G88</x:f>
        <x:v>-1852.148</x:v>
      </x:c>
      <x:c r="J1239" s="170" t="n">
        <x:f>H1239-I1239</x:f>
        <x:v>0</x:v>
      </x:c>
      <x:c r="K1239" s="76" t="str">
        <x:v>2025.pdf</x:v>
      </x:c>
      <x:c r="L1239" s="76" t="n">
        <x:v>203</x:v>
      </x:c>
      <x:c r="M1239" s="76" t="str">
        <x:v>Comparative</x:v>
      </x:c>
      <x:c r="N1239" s="99" t="str">
        <x:v>Printed amount independently located</x:v>
      </x:c>
      <x:c r="O1239" s="99" t="str">
        <x:v>Exact source amount found; audited year/current-comparative column recorded. Accounting subtotal tests performed separately.</x:v>
      </x:c>
      <x:c r="P1239" s="99" t="str">
        <x:v>,064)
Gross profit   23,746,816   20,964,284 
Selling and distribution expenses 36  (4,123,754)  (5,471,808)
Administrative expenses 37  (2,176,320)  (1,852,148)
Net impairment loss on financial assets 26.1  (514,430)  (357,191)
Other expenses 38  (1,207,018)  (569,545)
Other income  39  8,462,656   238,451 
Operating profit   24,187,950</x:v>
      </x:c>
    </x:row>
    <x:row r="1240" ht="82" customHeight="1">
      <x:c r="A1240" s="168" t="str">
        <x:v>MLCF|admin|2025</x:v>
      </x:c>
      <x:c r="B1240" s="168" t="str">
        <x:v>MLCF</x:v>
      </x:c>
      <x:c r="C1240" s="168" t="str">
        <x:v>FY2025</x:v>
      </x:c>
      <x:c r="D1240" s="168" t="str">
        <x:v>Administrative expenses</x:v>
      </x:c>
      <x:c r="E1240" s="169" t="n">
        <x:v>-2176320</x:v>
      </x:c>
      <x:c r="F1240" s="169" t="n">
        <x:v>-2176320</x:v>
      </x:c>
      <x:c r="G1240" s="169" t="str">
        <x:v>Rs '000</x:v>
      </x:c>
      <x:c r="H1240" s="169" t="n">
        <x:f>F1240/1000</x:f>
        <x:v>-2176.32</x:v>
      </x:c>
      <x:c r="I1240" s="169" t="n">
        <x:f>MLCF!H88</x:f>
        <x:v>-2176.32</x:v>
      </x:c>
      <x:c r="J1240" s="169" t="n">
        <x:f>H1240-I1240</x:f>
        <x:v>0</x:v>
      </x:c>
      <x:c r="K1240" s="168" t="str">
        <x:v>2025.pdf</x:v>
      </x:c>
      <x:c r="L1240" s="168" t="n">
        <x:v>203</x:v>
      </x:c>
      <x:c r="M1240" s="168" t="str">
        <x:v>Current year</x:v>
      </x:c>
      <x:c r="N1240" s="171" t="str">
        <x:v>Printed amount independently located</x:v>
      </x:c>
      <x:c r="O1240" s="171" t="str">
        <x:v>Exact source amount found; audited year/current-comparative column recorded. Accounting subtotal tests performed separately.</x:v>
      </x:c>
      <x:c r="P1240" s="171" t="str">
        <x:v>630)  (45,488,064)
Gross profit   23,746,816   20,964,284 
Selling and distribution expenses 36  (4,123,754)  (5,471,808)
Administrative expenses 37  (2,176,320)  (1,852,148)
Net impairment loss on financial assets 26.1  (514,430)  (357,191)
Other expenses 38  (1,207,018)  (569,545)
Other income  39  8,462,656   238,451 
Operating profit</x:v>
      </x:c>
    </x:row>
    <x:row r="1241" ht="82" customHeight="1">
      <x:c r="A1241" s="76" t="str">
        <x:v>MLCF|impair|2021</x:v>
      </x:c>
      <x:c r="B1241" s="76" t="str">
        <x:v>MLCF</x:v>
      </x:c>
      <x:c r="C1241" s="76" t="str">
        <x:v>FY2021</x:v>
      </x:c>
      <x:c r="D1241" s="76" t="str">
        <x:v>Impairment / expected credit loss on financial assets</x:v>
      </x:c>
      <x:c r="E1241" s="170" t="n">
        <x:v>0</x:v>
      </x:c>
      <x:c r="F1241" s="170" t="n">
        <x:v>0</x:v>
      </x:c>
      <x:c r="G1241" s="170" t="str">
        <x:v>Rs '000</x:v>
      </x:c>
      <x:c r="H1241" s="170" t="n">
        <x:f>F1241/1000</x:f>
        <x:v>0</x:v>
      </x:c>
      <x:c r="I1241" s="170" t="n">
        <x:f>MLCF!D89</x:f>
        <x:v>0</x:v>
      </x:c>
      <x:c r="J1241" s="170" t="n">
        <x:f>H1241-I1241</x:f>
        <x:v>0</x:v>
      </x:c>
      <x:c r="K1241" s="76" t="str">
        <x:v>2022.pdf</x:v>
      </x:c>
      <x:c r="L1241" s="76" t="n">
        <x:v>185</x:v>
      </x:c>
      <x:c r="M1241" s="76" t="str">
        <x:v>Comparative</x:v>
      </x:c>
      <x:c r="N1241" s="99" t="str">
        <x:v>Zero / no separate line in audited presentation</x:v>
      </x:c>
      <x:c r="O1241" s="99" t="str">
        <x:v>Zero classification checked within the audited statement/note and reconstructed statement totals; absence of a separate line does not imply a missing replacement estimate.</x:v>
      </x:c>
      <x:c r="P1241" s="99" t="str">
        <x:v>
184
   2022 2021
  Note (Rupees in thousand) 
Sales - net 35  48,519,622   35,538,301 
Cost of sales 36  (36,244,156)  (28,135,419)
Gross pro | Impairment / expected credit loss on financial assets</x:v>
      </x:c>
    </x:row>
    <x:row r="1242" ht="82" customHeight="1">
      <x:c r="A1242" s="168" t="str">
        <x:v>MLCF|impair|2022</x:v>
      </x:c>
      <x:c r="B1242" s="168" t="str">
        <x:v>MLCF</x:v>
      </x:c>
      <x:c r="C1242" s="168" t="str">
        <x:v>FY2022</x:v>
      </x:c>
      <x:c r="D1242" s="168" t="str">
        <x:v>Impairment / expected credit loss on financial assets</x:v>
      </x:c>
      <x:c r="E1242" s="169" t="n">
        <x:v>-209920</x:v>
      </x:c>
      <x:c r="F1242" s="169" t="n">
        <x:v>-209920</x:v>
      </x:c>
      <x:c r="G1242" s="169" t="str">
        <x:v>Rs '000</x:v>
      </x:c>
      <x:c r="H1242" s="169" t="n">
        <x:f>F1242/1000</x:f>
        <x:v>-209.92</x:v>
      </x:c>
      <x:c r="I1242" s="169" t="n">
        <x:f>MLCF!E89</x:f>
        <x:v>-209.92</x:v>
      </x:c>
      <x:c r="J1242" s="169" t="n">
        <x:f>H1242-I1242</x:f>
        <x:v>0</x:v>
      </x:c>
      <x:c r="K1242" s="168" t="str">
        <x:v>2023.pdf</x:v>
      </x:c>
      <x:c r="L1242" s="168" t="n">
        <x:v>99</x:v>
      </x:c>
      <x:c r="M1242" s="168" t="str">
        <x:v>Comparative</x:v>
      </x:c>
      <x:c r="N1242" s="171" t="str">
        <x:v>Printed amount independently located</x:v>
      </x:c>
      <x:c r="O1242" s="171" t="str">
        <x:v>Exact source amount found; audited year/current-comparative column recorded. Accounting subtotal tests performed separately.</x:v>
      </x:c>
      <x:c r="P1242" s="171" t="str">
        <x:v>Distribution cost 37 (2,001,499) (1,483,876)
Administrative expenses 38 (1,380,607) (971,453)
Net impairment loss on financial assets 27.1 (191,421) (209,920)
Other charges 39 (995,460) (742,280)
  (4,568,987) (3,407,529)
Other income 40 146,646 56,601
Profit from operations  12,001,415 8,924,538
Finance cost 41 (2,750,748) (1,741,026)</x:v>
      </x:c>
    </x:row>
    <x:row r="1243" ht="82" customHeight="1">
      <x:c r="A1243" s="76" t="str">
        <x:v>MLCF|impair|2023</x:v>
      </x:c>
      <x:c r="B1243" s="76" t="str">
        <x:v>MLCF</x:v>
      </x:c>
      <x:c r="C1243" s="76" t="str">
        <x:v>FY2023</x:v>
      </x:c>
      <x:c r="D1243" s="76" t="str">
        <x:v>Impairment / expected credit loss on financial assets</x:v>
      </x:c>
      <x:c r="E1243" s="170" t="n">
        <x:v>-191421</x:v>
      </x:c>
      <x:c r="F1243" s="170" t="n">
        <x:v>-191421</x:v>
      </x:c>
      <x:c r="G1243" s="170" t="str">
        <x:v>Rs '000</x:v>
      </x:c>
      <x:c r="H1243" s="170" t="n">
        <x:f>F1243/1000</x:f>
        <x:v>-191.421</x:v>
      </x:c>
      <x:c r="I1243" s="170" t="n">
        <x:f>MLCF!F89</x:f>
        <x:v>-191.421</x:v>
      </x:c>
      <x:c r="J1243" s="170" t="n">
        <x:f>H1243-I1243</x:f>
        <x:v>0</x:v>
      </x:c>
      <x:c r="K1243" s="76" t="str">
        <x:v>2024.pdf</x:v>
      </x:c>
      <x:c r="L1243" s="76" t="n">
        <x:v>191</x:v>
      </x:c>
      <x:c r="M1243" s="76" t="str">
        <x:v>Comparative</x:v>
      </x:c>
      <x:c r="N1243" s="99" t="str">
        <x:v>Printed amount independently located</x:v>
      </x:c>
      <x:c r="O1243" s="99" t="str">
        <x:v>Exact source amount found; audited year/current-comparative column recorded. Accounting subtotal tests performed separately.</x:v>
      </x:c>
      <x:c r="P1243" s="99" t="str">
        <x:v>ibution expenses 37 (5,471,808) (3,751,096)
Administrative expenses 38 (1,852,148) (1,380,607)
Net impairment loss on financial assets 27.1 (357,191) (191,421)
Other expenses 39 (569,545) (995,460)
Other income 40 356,142 146,646
Operating profit  13,069,734 12,001,415
Finance cost 41 (4,138,286) (2,750,748)
Profit before final taxes and</x:v>
      </x:c>
    </x:row>
    <x:row r="1244" ht="82" customHeight="1">
      <x:c r="A1244" s="168" t="str">
        <x:v>MLCF|impair|2024</x:v>
      </x:c>
      <x:c r="B1244" s="168" t="str">
        <x:v>MLCF</x:v>
      </x:c>
      <x:c r="C1244" s="168" t="str">
        <x:v>FY2024</x:v>
      </x:c>
      <x:c r="D1244" s="168" t="str">
        <x:v>Impairment / expected credit loss on financial assets</x:v>
      </x:c>
      <x:c r="E1244" s="169" t="n">
        <x:v>-357191</x:v>
      </x:c>
      <x:c r="F1244" s="169" t="n">
        <x:v>-357191</x:v>
      </x:c>
      <x:c r="G1244" s="169" t="str">
        <x:v>Rs '000</x:v>
      </x:c>
      <x:c r="H1244" s="169" t="n">
        <x:f>F1244/1000</x:f>
        <x:v>-357.191</x:v>
      </x:c>
      <x:c r="I1244" s="169" t="n">
        <x:f>MLCF!G89</x:f>
        <x:v>-357.191</x:v>
      </x:c>
      <x:c r="J1244" s="169" t="n">
        <x:f>H1244-I1244</x:f>
        <x:v>0</x:v>
      </x:c>
      <x:c r="K1244" s="168" t="str">
        <x:v>2025.pdf</x:v>
      </x:c>
      <x:c r="L1244" s="168" t="n">
        <x:v>203</x:v>
      </x:c>
      <x:c r="M1244" s="168" t="str">
        <x:v>Comparative</x:v>
      </x:c>
      <x:c r="N1244" s="171" t="str">
        <x:v>Printed amount independently located</x:v>
      </x:c>
      <x:c r="O1244" s="171" t="str">
        <x:v>Exact source amount found; audited year/current-comparative column recorded. Accounting subtotal tests performed separately.</x:v>
      </x:c>
      <x:c r="P1244" s="171" t="str">
        <x:v>n expenses 36  (4,123,754)  (5,471,808)
Administrative expenses 37  (2,176,320)  (1,852,148)
Net impairment loss on financial assets 26.1  (514,430)  (357,191)
Other expenses 38  (1,207,018)  (569,545)
Other income  39  8,462,656   238,451 
Operating profit   24,187,950   12,952,043 
Finance cost 40  (3,554,788)  (4,138,286)
Finance inco</x:v>
      </x:c>
    </x:row>
    <x:row r="1245" ht="82" customHeight="1">
      <x:c r="A1245" s="76" t="str">
        <x:v>MLCF|impair|2025</x:v>
      </x:c>
      <x:c r="B1245" s="76" t="str">
        <x:v>MLCF</x:v>
      </x:c>
      <x:c r="C1245" s="76" t="str">
        <x:v>FY2025</x:v>
      </x:c>
      <x:c r="D1245" s="76" t="str">
        <x:v>Impairment / expected credit loss on financial assets</x:v>
      </x:c>
      <x:c r="E1245" s="170" t="n">
        <x:v>-514430</x:v>
      </x:c>
      <x:c r="F1245" s="170" t="n">
        <x:v>-514430</x:v>
      </x:c>
      <x:c r="G1245" s="170" t="str">
        <x:v>Rs '000</x:v>
      </x:c>
      <x:c r="H1245" s="170" t="n">
        <x:f>F1245/1000</x:f>
        <x:v>-514.43</x:v>
      </x:c>
      <x:c r="I1245" s="170" t="n">
        <x:f>MLCF!H89</x:f>
        <x:v>-514.43</x:v>
      </x:c>
      <x:c r="J1245" s="170" t="n">
        <x:f>H1245-I1245</x:f>
        <x:v>0</x:v>
      </x:c>
      <x:c r="K1245" s="76" t="str">
        <x:v>2025.pdf</x:v>
      </x:c>
      <x:c r="L1245" s="76" t="n">
        <x:v>203</x:v>
      </x:c>
      <x:c r="M1245" s="76" t="str">
        <x:v>Current year</x:v>
      </x:c>
      <x:c r="N1245" s="99" t="str">
        <x:v>Printed amount independently located</x:v>
      </x:c>
      <x:c r="O1245" s="99" t="str">
        <x:v>Exact source amount found; audited year/current-comparative column recorded. Accounting subtotal tests performed separately.</x:v>
      </x:c>
      <x:c r="P1245" s="99" t="str">
        <x:v>distribution expenses 36  (4,123,754)  (5,471,808)
Administrative expenses 37  (2,176,320)  (1,852,148)
Net impairment loss on financial assets 26.1  (514,430)  (357,191)
Other expenses 38  (1,207,018)  (569,545)
Other income  39  8,462,656   238,451 
Operating profit   24,187,950   12,952,043 
Finance cost 40  (3,554,788)  (4,138,286)
F</x:v>
      </x:c>
    </x:row>
    <x:row r="1246" ht="82" customHeight="1">
      <x:c r="A1246" s="168" t="str">
        <x:v>MLCF|oth_exp|2021</x:v>
      </x:c>
      <x:c r="B1246" s="168" t="str">
        <x:v>MLCF</x:v>
      </x:c>
      <x:c r="C1246" s="168" t="str">
        <x:v>FY2021</x:v>
      </x:c>
      <x:c r="D1246" s="168" t="str">
        <x:v>Other operating expenses (incl. WPPF/WWF)</x:v>
      </x:c>
      <x:c r="E1246" s="169" t="n">
        <x:v>-524142</x:v>
      </x:c>
      <x:c r="F1246" s="169" t="n">
        <x:v>-524142</x:v>
      </x:c>
      <x:c r="G1246" s="169" t="str">
        <x:v>Rs '000</x:v>
      </x:c>
      <x:c r="H1246" s="169" t="n">
        <x:f>F1246/1000</x:f>
        <x:v>-524.142</x:v>
      </x:c>
      <x:c r="I1246" s="169" t="n">
        <x:f>MLCF!D90</x:f>
        <x:v>-524.142</x:v>
      </x:c>
      <x:c r="J1246" s="169" t="n">
        <x:f>H1246-I1246</x:f>
        <x:v>0</x:v>
      </x:c>
      <x:c r="K1246" s="168" t="str">
        <x:v>2022.pdf</x:v>
      </x:c>
      <x:c r="L1246" s="168" t="n">
        <x:v>185</x:v>
      </x:c>
      <x:c r="M1246" s="168" t="str">
        <x:v>Comparative</x:v>
      </x:c>
      <x:c r="N1246" s="171" t="str">
        <x:v>Printed amount independently located</x:v>
      </x:c>
      <x:c r="O1246" s="171" t="str">
        <x:v>Exact source amount found; audited year/current-comparative column recorded. Accounting subtotal tests performed separately.</x:v>
      </x:c>
      <x:c r="P1246" s="171" t="str">
        <x:v>75,466   7,402,882 
Distribution cost  37  (1,483,876)  (1,013,852)
Administrative expenses 38  (971,453)  (813,489)
Other charges 39  (952,200)  (524,142)
   (3,407,529)  (2,351,483)
Other income  40  56,601   3,732,132 
Profit from operations   8,924,538   8,783,531 
Finance cost 41  (1,741,026)  (1,493,930)
Profit</x:v>
      </x:c>
    </x:row>
    <x:row r="1247" ht="82" customHeight="1">
      <x:c r="A1247" s="76" t="str">
        <x:v>MLCF|oth_exp|2022</x:v>
      </x:c>
      <x:c r="B1247" s="76" t="str">
        <x:v>MLCF</x:v>
      </x:c>
      <x:c r="C1247" s="76" t="str">
        <x:v>FY2022</x:v>
      </x:c>
      <x:c r="D1247" s="76" t="str">
        <x:v>Other operating expenses (incl. WPPF/WWF)</x:v>
      </x:c>
      <x:c r="E1247" s="170" t="n">
        <x:v>-742280</x:v>
      </x:c>
      <x:c r="F1247" s="170" t="n">
        <x:v>-742280</x:v>
      </x:c>
      <x:c r="G1247" s="170" t="str">
        <x:v>Rs '000</x:v>
      </x:c>
      <x:c r="H1247" s="170" t="n">
        <x:f>F1247/1000</x:f>
        <x:v>-742.28</x:v>
      </x:c>
      <x:c r="I1247" s="170" t="n">
        <x:f>MLCF!E90</x:f>
        <x:v>-742.28</x:v>
      </x:c>
      <x:c r="J1247" s="170" t="n">
        <x:f>H1247-I1247</x:f>
        <x:v>0</x:v>
      </x:c>
      <x:c r="K1247" s="76" t="str">
        <x:v>2023.pdf</x:v>
      </x:c>
      <x:c r="L1247" s="76" t="n">
        <x:v>99</x:v>
      </x:c>
      <x:c r="M1247" s="76" t="str">
        <x:v>Comparative</x:v>
      </x:c>
      <x:c r="N1247" s="99" t="str">
        <x:v>Printed amount independently located</x:v>
      </x:c>
      <x:c r="O1247" s="99" t="str">
        <x:v>Exact source amount found; audited year/current-comparative column recorded. Accounting subtotal tests performed separately.</x:v>
      </x:c>
      <x:c r="P1247" s="99" t="str">
        <x:v>483,876)
Administrative expenses 38 (1,380,607) (971,453)
Net impairment loss on financial assets 27.1 (191,421) (209,920)
Other charges 39 (995,460) (742,280)
  (4,568,987) (3,407,529)
Other income 40 146,646 56,601
Profit from operations  12,001,415 8,924,538
Finance cost 41 (2,750,748) (1,741,026)
Profit before taxation  9,250,667 7,1</x:v>
      </x:c>
    </x:row>
    <x:row r="1248" ht="82" customHeight="1">
      <x:c r="A1248" s="168" t="str">
        <x:v>MLCF|oth_exp|2023</x:v>
      </x:c>
      <x:c r="B1248" s="168" t="str">
        <x:v>MLCF</x:v>
      </x:c>
      <x:c r="C1248" s="168" t="str">
        <x:v>FY2023</x:v>
      </x:c>
      <x:c r="D1248" s="168" t="str">
        <x:v>Other operating expenses (incl. WPPF/WWF)</x:v>
      </x:c>
      <x:c r="E1248" s="169" t="n">
        <x:v>-995460</x:v>
      </x:c>
      <x:c r="F1248" s="169" t="n">
        <x:v>-995460</x:v>
      </x:c>
      <x:c r="G1248" s="169" t="str">
        <x:v>Rs '000</x:v>
      </x:c>
      <x:c r="H1248" s="169" t="n">
        <x:f>F1248/1000</x:f>
        <x:v>-995.46</x:v>
      </x:c>
      <x:c r="I1248" s="169" t="n">
        <x:f>MLCF!F90</x:f>
        <x:v>-995.46</x:v>
      </x:c>
      <x:c r="J1248" s="169" t="n">
        <x:f>H1248-I1248</x:f>
        <x:v>0</x:v>
      </x:c>
      <x:c r="K1248" s="168" t="str">
        <x:v>2024.pdf</x:v>
      </x:c>
      <x:c r="L1248" s="168" t="n">
        <x:v>191</x:v>
      </x:c>
      <x:c r="M1248" s="168" t="str">
        <x:v>Comparative</x:v>
      </x:c>
      <x:c r="N1248" s="171" t="str">
        <x:v>Printed amount independently located</x:v>
      </x:c>
      <x:c r="O1248" s="171" t="str">
        <x:v>Exact source amount found; audited year/current-comparative column recorded. Accounting subtotal tests performed separately.</x:v>
      </x:c>
      <x:c r="P1248" s="171" t="str">
        <x:v>,096)
Administrative expenses 38 (1,852,148) (1,380,607)
Net impairment loss on financial assets 27.1 (357,191) (191,421)
Other expenses 39 (569,545) (995,460)
Other income 40 356,142 146,646
Operating profit  13,069,734 12,001,415
Finance cost 41 (4,138,286) (2,750,748)
Profit before final taxes and income tax  8,931,448 9,250,667
Final</x:v>
      </x:c>
    </x:row>
    <x:row r="1249" ht="82" customHeight="1">
      <x:c r="A1249" s="76" t="str">
        <x:v>MLCF|oth_exp|2024</x:v>
      </x:c>
      <x:c r="B1249" s="76" t="str">
        <x:v>MLCF</x:v>
      </x:c>
      <x:c r="C1249" s="76" t="str">
        <x:v>FY2024</x:v>
      </x:c>
      <x:c r="D1249" s="76" t="str">
        <x:v>Other operating expenses (incl. WPPF/WWF)</x:v>
      </x:c>
      <x:c r="E1249" s="170" t="n">
        <x:v>-569545</x:v>
      </x:c>
      <x:c r="F1249" s="170" t="n">
        <x:v>-569545</x:v>
      </x:c>
      <x:c r="G1249" s="170" t="str">
        <x:v>Rs '000</x:v>
      </x:c>
      <x:c r="H1249" s="170" t="n">
        <x:f>F1249/1000</x:f>
        <x:v>-569.545</x:v>
      </x:c>
      <x:c r="I1249" s="170" t="n">
        <x:f>MLCF!G90</x:f>
        <x:v>-569.545</x:v>
      </x:c>
      <x:c r="J1249" s="170" t="n">
        <x:f>H1249-I1249</x:f>
        <x:v>0</x:v>
      </x:c>
      <x:c r="K1249" s="76" t="str">
        <x:v>2025.pdf</x:v>
      </x:c>
      <x:c r="L1249" s="76" t="n">
        <x:v>203</x:v>
      </x:c>
      <x:c r="M1249" s="76" t="str">
        <x:v>Comparative</x:v>
      </x:c>
      <x:c r="N1249" s="99" t="str">
        <x:v>Printed amount independently located</x:v>
      </x:c>
      <x:c r="O1249" s="99" t="str">
        <x:v>Exact source amount found; audited year/current-comparative column recorded. Accounting subtotal tests performed separately.</x:v>
      </x:c>
      <x:c r="P1249" s="99" t="str">
        <x:v>ministrative expenses 37  (2,176,320)  (1,852,148)
Net impairment loss on financial assets 26.1  (514,430)  (357,191)
Other expenses 38  (1,207,018)  (569,545)
Other income  39  8,462,656   238,451 
Operating profit   24,187,950   12,952,043 
Finance cost 40  (3,554,788)  (4,138,286)
Finance income 41  1,031,075   117,691 
Finance cost -</x:v>
      </x:c>
    </x:row>
    <x:row r="1250" ht="82" customHeight="1">
      <x:c r="A1250" s="168" t="str">
        <x:v>MLCF|oth_exp|2025</x:v>
      </x:c>
      <x:c r="B1250" s="168" t="str">
        <x:v>MLCF</x:v>
      </x:c>
      <x:c r="C1250" s="168" t="str">
        <x:v>FY2025</x:v>
      </x:c>
      <x:c r="D1250" s="168" t="str">
        <x:v>Other operating expenses (incl. WPPF/WWF)</x:v>
      </x:c>
      <x:c r="E1250" s="169" t="n">
        <x:v>-1207018</x:v>
      </x:c>
      <x:c r="F1250" s="169" t="n">
        <x:v>-1207018</x:v>
      </x:c>
      <x:c r="G1250" s="169" t="str">
        <x:v>Rs '000</x:v>
      </x:c>
      <x:c r="H1250" s="169" t="n">
        <x:f>F1250/1000</x:f>
        <x:v>-1207.018</x:v>
      </x:c>
      <x:c r="I1250" s="169" t="n">
        <x:f>MLCF!H90</x:f>
        <x:v>-1207.018</x:v>
      </x:c>
      <x:c r="J1250" s="169" t="n">
        <x:f>H1250-I1250</x:f>
        <x:v>0</x:v>
      </x:c>
      <x:c r="K1250" s="168" t="str">
        <x:v>2025.pdf</x:v>
      </x:c>
      <x:c r="L1250" s="168" t="n">
        <x:v>203</x:v>
      </x:c>
      <x:c r="M1250" s="168" t="str">
        <x:v>Current year</x:v>
      </x:c>
      <x:c r="N1250" s="171" t="str">
        <x:v>Printed amount independently located</x:v>
      </x:c>
      <x:c r="O1250" s="171" t="str">
        <x:v>Exact source amount found; audited year/current-comparative column recorded. Accounting subtotal tests performed separately.</x:v>
      </x:c>
      <x:c r="P1250" s="171" t="str">
        <x:v>5,471,808)
Administrative expenses 37  (2,176,320)  (1,852,148)
Net impairment loss on financial assets 26.1  (514,430)  (357,191)
Other expenses 38  (1,207,018)  (569,545)
Other income  39  8,462,656   238,451 
Operating profit   24,187,950   12,952,043 
Finance cost 40  (3,554,788)  (4,138,286)
Finance income 41  1,031,075   117,691 
Fin</x:v>
      </x:c>
    </x:row>
    <x:row r="1251" ht="82" customHeight="1">
      <x:c r="A1251" s="76" t="str">
        <x:v>MLCF|oth_inc|2021</x:v>
      </x:c>
      <x:c r="B1251" s="76" t="str">
        <x:v>MLCF</x:v>
      </x:c>
      <x:c r="C1251" s="76" t="str">
        <x:v>FY2021</x:v>
      </x:c>
      <x:c r="D1251" s="76" t="str">
        <x:v>Other income</x:v>
      </x:c>
      <x:c r="E1251" s="170" t="n">
        <x:v>3732132</x:v>
      </x:c>
      <x:c r="F1251" s="170" t="n">
        <x:v>3732132</x:v>
      </x:c>
      <x:c r="G1251" s="170" t="str">
        <x:v>Rs '000</x:v>
      </x:c>
      <x:c r="H1251" s="170" t="n">
        <x:f>F1251/1000</x:f>
        <x:v>3732.132</x:v>
      </x:c>
      <x:c r="I1251" s="170" t="n">
        <x:f>MLCF!D92</x:f>
        <x:v>3732.132</x:v>
      </x:c>
      <x:c r="J1251" s="170" t="n">
        <x:f>H1251-I1251</x:f>
        <x:v>0</x:v>
      </x:c>
      <x:c r="K1251" s="76" t="str">
        <x:v>2022.pdf</x:v>
      </x:c>
      <x:c r="L1251" s="76" t="n">
        <x:v>185</x:v>
      </x:c>
      <x:c r="M1251" s="76" t="str">
        <x:v>Comparative</x:v>
      </x:c>
      <x:c r="N1251" s="99" t="str">
        <x:v>Printed amount independently located</x:v>
      </x:c>
      <x:c r="O1251" s="99" t="str">
        <x:v>Exact source amount found; audited year/current-comparative column recorded. Accounting subtotal tests performed separately.</x:v>
      </x:c>
      <x:c r="P1251" s="99" t="str">
        <x:v>2)
Administrative expenses 38  (971,453)  (813,489)
Other charges 39  (952,200)  (524,142)
   (3,407,529)  (2,351,483)
Other income  40  56,601   3,732,132 
Profit from operations   8,924,538   8,783,531 
Finance cost 41  (1,741,026)  (1,493,930)
Profit before taxation   7,183,512   7,289,601 
Taxation 42  (3,557,172)</x:v>
      </x:c>
    </x:row>
    <x:row r="1252" ht="82" customHeight="1">
      <x:c r="A1252" s="168" t="str">
        <x:v>MLCF|oth_inc|2022</x:v>
      </x:c>
      <x:c r="B1252" s="168" t="str">
        <x:v>MLCF</x:v>
      </x:c>
      <x:c r="C1252" s="168" t="str">
        <x:v>FY2022</x:v>
      </x:c>
      <x:c r="D1252" s="168" t="str">
        <x:v>Other income</x:v>
      </x:c>
      <x:c r="E1252" s="169" t="n">
        <x:v>56601</x:v>
      </x:c>
      <x:c r="F1252" s="169" t="n">
        <x:v>56601</x:v>
      </x:c>
      <x:c r="G1252" s="169" t="str">
        <x:v>Rs '000</x:v>
      </x:c>
      <x:c r="H1252" s="169" t="n">
        <x:f>F1252/1000</x:f>
        <x:v>56.601</x:v>
      </x:c>
      <x:c r="I1252" s="169" t="n">
        <x:f>MLCF!E92</x:f>
        <x:v>56.601</x:v>
      </x:c>
      <x:c r="J1252" s="169" t="n">
        <x:f>H1252-I1252</x:f>
        <x:v>0</x:v>
      </x:c>
      <x:c r="K1252" s="168" t="str">
        <x:v>2023.pdf</x:v>
      </x:c>
      <x:c r="L1252" s="168" t="n">
        <x:v>99</x:v>
      </x:c>
      <x:c r="M1252" s="168" t="str">
        <x:v>Comparative</x:v>
      </x:c>
      <x:c r="N1252" s="171" t="str">
        <x:v>Printed amount independently located</x:v>
      </x:c>
      <x:c r="O1252" s="171" t="str">
        <x:v>Exact source amount found; audited year/current-comparative column recorded. Accounting subtotal tests performed separately.</x:v>
      </x:c>
      <x:c r="P1252" s="171" t="str">
        <x:v>t impairment loss on financial assets 27.1 (191,421) (209,920)
Other charges 39 (995,460) (742,280)
  (4,568,987) (3,407,529)
Other income 40 146,646 56,601
Profit from operations  12,001,415 8,924,538
Finance cost 41 (2,750,748) (1,741,026)
Profit before taxation  9,250,667 7,183,512
Taxation 42 (4,758,998) (3,557,172)
Profit after t</x:v>
      </x:c>
    </x:row>
    <x:row r="1253" ht="82" customHeight="1">
      <x:c r="A1253" s="76" t="str">
        <x:v>MLCF|oth_inc|2023</x:v>
      </x:c>
      <x:c r="B1253" s="76" t="str">
        <x:v>MLCF</x:v>
      </x:c>
      <x:c r="C1253" s="76" t="str">
        <x:v>FY2023</x:v>
      </x:c>
      <x:c r="D1253" s="76" t="str">
        <x:v>Other income</x:v>
      </x:c>
      <x:c r="E1253" s="170" t="n">
        <x:v>146646</x:v>
      </x:c>
      <x:c r="F1253" s="170" t="n">
        <x:v>146646</x:v>
      </x:c>
      <x:c r="G1253" s="170" t="str">
        <x:v>Rs '000</x:v>
      </x:c>
      <x:c r="H1253" s="170" t="n">
        <x:f>F1253/1000</x:f>
        <x:v>146.646</x:v>
      </x:c>
      <x:c r="I1253" s="170" t="n">
        <x:f>MLCF!F92</x:f>
        <x:v>146.646</x:v>
      </x:c>
      <x:c r="J1253" s="170" t="n">
        <x:f>H1253-I1253</x:f>
        <x:v>0</x:v>
      </x:c>
      <x:c r="K1253" s="76" t="str">
        <x:v>2024.pdf</x:v>
      </x:c>
      <x:c r="L1253" s="76" t="n">
        <x:v>191</x:v>
      </x:c>
      <x:c r="M1253" s="76" t="str">
        <x:v>Comparative</x:v>
      </x:c>
      <x:c r="N1253" s="99" t="str">
        <x:v>Printed amount independently located</x:v>
      </x:c>
      <x:c r="O1253" s="99" t="str">
        <x:v>Exact source amount found; audited year/current-comparative column recorded. Accounting subtotal tests performed separately.</x:v>
      </x:c>
      <x:c r="P1253" s="99" t="str">
        <x:v>1,852,148) (1,380,607)
Net impairment loss on financial assets 27.1 (357,191) (191,421)
Other expenses 39 (569,545) (995,460)
Other income 40 356,142 146,646
Operating profit  13,069,734 12,001,415
Finance cost 41 (4,138,286) (2,750,748)
Profit before final taxes and income tax  8,931,448 9,250,667
Final taxes 42 (45,804) (12,192)
Prof</x:v>
      </x:c>
    </x:row>
    <x:row r="1254" ht="82" customHeight="1">
      <x:c r="A1254" s="168" t="str">
        <x:v>MLCF|oth_inc|2024</x:v>
      </x:c>
      <x:c r="B1254" s="168" t="str">
        <x:v>MLCF</x:v>
      </x:c>
      <x:c r="C1254" s="168" t="str">
        <x:v>FY2024</x:v>
      </x:c>
      <x:c r="D1254" s="168" t="str">
        <x:v>Other income</x:v>
      </x:c>
      <x:c r="E1254" s="169" t="n">
        <x:v>238451</x:v>
      </x:c>
      <x:c r="F1254" s="169" t="n">
        <x:v>238451</x:v>
      </x:c>
      <x:c r="G1254" s="169" t="str">
        <x:v>Rs '000</x:v>
      </x:c>
      <x:c r="H1254" s="169" t="n">
        <x:f>F1254/1000</x:f>
        <x:v>238.451</x:v>
      </x:c>
      <x:c r="I1254" s="169" t="n">
        <x:f>MLCF!G92</x:f>
        <x:v>238.451</x:v>
      </x:c>
      <x:c r="J1254" s="169" t="n">
        <x:f>H1254-I1254</x:f>
        <x:v>0</x:v>
      </x:c>
      <x:c r="K1254" s="168" t="str">
        <x:v>2025.pdf</x:v>
      </x:c>
      <x:c r="L1254" s="168" t="n">
        <x:v>203</x:v>
      </x:c>
      <x:c r="M1254" s="168" t="str">
        <x:v>Comparative</x:v>
      </x:c>
      <x:c r="N1254" s="171" t="str">
        <x:v>Printed amount independently located</x:v>
      </x:c>
      <x:c r="O1254" s="171" t="str">
        <x:v>Exact source amount found; audited year/current-comparative column recorded. Accounting subtotal tests performed separately.</x:v>
      </x:c>
      <x:c r="P1254" s="171" t="str">
        <x:v>1,852,148)
Net impairment loss on financial assets 26.1  (514,430)  (357,191)
Other expenses 38  (1,207,018)  (569,545)
Other income  39  8,462,656   238,451 
Operating profit   24,187,950   12,952,043 
Finance cost 40  (3,554,788)  (4,138,286)
Finance income 41  1,031,075   117,691 
Finance cost - net  (2,523,713)  (4,020,595)
Profit</x:v>
      </x:c>
    </x:row>
    <x:row r="1255" ht="82" customHeight="1">
      <x:c r="A1255" s="76" t="str">
        <x:v>MLCF|oth_inc|2025</x:v>
      </x:c>
      <x:c r="B1255" s="76" t="str">
        <x:v>MLCF</x:v>
      </x:c>
      <x:c r="C1255" s="76" t="str">
        <x:v>FY2025</x:v>
      </x:c>
      <x:c r="D1255" s="76" t="str">
        <x:v>Other income</x:v>
      </x:c>
      <x:c r="E1255" s="170" t="n">
        <x:v>8462656</x:v>
      </x:c>
      <x:c r="F1255" s="170" t="n">
        <x:v>8462656</x:v>
      </x:c>
      <x:c r="G1255" s="170" t="str">
        <x:v>Rs '000</x:v>
      </x:c>
      <x:c r="H1255" s="170" t="n">
        <x:f>F1255/1000</x:f>
        <x:v>8462.656</x:v>
      </x:c>
      <x:c r="I1255" s="170" t="n">
        <x:f>MLCF!H92</x:f>
        <x:v>8462.656</x:v>
      </x:c>
      <x:c r="J1255" s="170" t="n">
        <x:f>H1255-I1255</x:f>
        <x:v>0</x:v>
      </x:c>
      <x:c r="K1255" s="76" t="str">
        <x:v>2025.pdf</x:v>
      </x:c>
      <x:c r="L1255" s="76" t="n">
        <x:v>203</x:v>
      </x:c>
      <x:c r="M1255" s="76" t="str">
        <x:v>Current year</x:v>
      </x:c>
      <x:c r="N1255" s="99" t="str">
        <x:v>Printed amount independently located</x:v>
      </x:c>
      <x:c r="O1255" s="99" t="str">
        <x:v>Exact source amount found; audited year/current-comparative column recorded. Accounting subtotal tests performed separately.</x:v>
      </x:c>
      <x:c r="P1255" s="99" t="str">
        <x:v>,176,320)  (1,852,148)
Net impairment loss on financial assets 26.1  (514,430)  (357,191)
Other expenses 38  (1,207,018)  (569,545)
Other income  39  8,462,656   238,451 
Operating profit   24,187,950   12,952,043 
Finance cost 40  (3,554,788)  (4,138,286)
Finance income 41  1,031,075   117,691 
Finance cost - net  (2,523,713)  (4,020,59</x:v>
      </x:c>
    </x:row>
    <x:row r="1256" ht="82" customHeight="1">
      <x:c r="A1256" s="168" t="str">
        <x:v>MLCF|fin_inc|2021</x:v>
      </x:c>
      <x:c r="B1256" s="168" t="str">
        <x:v>MLCF</x:v>
      </x:c>
      <x:c r="C1256" s="168" t="str">
        <x:v>FY2021</x:v>
      </x:c>
      <x:c r="D1256" s="168" t="str">
        <x:v>Finance income (where presented separately)</x:v>
      </x:c>
      <x:c r="E1256" s="169" t="n">
        <x:v>0</x:v>
      </x:c>
      <x:c r="F1256" s="169" t="n">
        <x:v>0</x:v>
      </x:c>
      <x:c r="G1256" s="169" t="str">
        <x:v>Rs '000</x:v>
      </x:c>
      <x:c r="H1256" s="169" t="n">
        <x:f>F1256/1000</x:f>
        <x:v>0</x:v>
      </x:c>
      <x:c r="I1256" s="169" t="n">
        <x:f>MLCF!D93</x:f>
        <x:v>0</x:v>
      </x:c>
      <x:c r="J1256" s="169" t="n">
        <x:f>H1256-I1256</x:f>
        <x:v>0</x:v>
      </x:c>
      <x:c r="K1256" s="168" t="str">
        <x:v>2022.pdf</x:v>
      </x:c>
      <x:c r="L1256" s="168" t="n">
        <x:v>185</x:v>
      </x:c>
      <x:c r="M1256" s="168" t="str">
        <x:v>Comparative</x:v>
      </x:c>
      <x:c r="N1256" s="171" t="str">
        <x:v>Zero / no separate line in audited presentation</x:v>
      </x:c>
      <x:c r="O1256" s="171" t="str">
        <x:v>Zero classification checked within the audited statement/note and reconstructed statement totals; absence of a separate line does not imply a missing replacement estimate.</x:v>
      </x:c>
      <x:c r="P1256" s="171" t="str">
        <x:v>
184
   2022 2021
  Note (Rupees in thousand) 
Sales - net 35  48,519,622   35,538,301 
Cost of sales 36  (36,244,156)  (28,135,419)
Gross pro | Finance income (where presented separately)</x:v>
      </x:c>
    </x:row>
    <x:row r="1257" ht="82" customHeight="1">
      <x:c r="A1257" s="76" t="str">
        <x:v>MLCF|fin_inc|2022</x:v>
      </x:c>
      <x:c r="B1257" s="76" t="str">
        <x:v>MLCF</x:v>
      </x:c>
      <x:c r="C1257" s="76" t="str">
        <x:v>FY2022</x:v>
      </x:c>
      <x:c r="D1257" s="76" t="str">
        <x:v>Finance income (where presented separately)</x:v>
      </x:c>
      <x:c r="E1257" s="170" t="n">
        <x:v>0</x:v>
      </x:c>
      <x:c r="F1257" s="170" t="n">
        <x:v>0</x:v>
      </x:c>
      <x:c r="G1257" s="170" t="str">
        <x:v>Rs '000</x:v>
      </x:c>
      <x:c r="H1257" s="170" t="n">
        <x:f>F1257/1000</x:f>
        <x:v>0</x:v>
      </x:c>
      <x:c r="I1257" s="170" t="n">
        <x:f>MLCF!E93</x:f>
        <x:v>0</x:v>
      </x:c>
      <x:c r="J1257" s="170" t="n">
        <x:f>H1257-I1257</x:f>
        <x:v>0</x:v>
      </x:c>
      <x:c r="K1257" s="76" t="str">
        <x:v>2023.pdf</x:v>
      </x:c>
      <x:c r="L1257" s="76" t="n">
        <x:v>99</x:v>
      </x:c>
      <x:c r="M1257" s="76" t="str">
        <x:v>Comparative</x:v>
      </x:c>
      <x:c r="N1257" s="99" t="str">
        <x:v>Zero / no separate line in audited presentation</x:v>
      </x:c>
      <x:c r="O1257" s="99" t="str">
        <x:v>Zero classification checked within the audited statement/note and reconstructed statement totals; absence of a separate line does not imply a missing replacement estimate.</x:v>
      </x:c>
      <x:c r="P1257" s="99" t="str">
        <x:v>
194 195
UNCONSOLIDA TED STA TEMENT OF 
PROFIT OR LOSS  
FOR THE YEAR ENDED JUNE 30, 2023
   2023 2022
  Note (Rupees in thousand) 
Sales - net 35 62, | Finance income (where presented separately)</x:v>
      </x:c>
    </x:row>
    <x:row r="1258" ht="82" customHeight="1">
      <x:c r="A1258" s="168" t="str">
        <x:v>MLCF|fin_inc|2023</x:v>
      </x:c>
      <x:c r="B1258" s="168" t="str">
        <x:v>MLCF</x:v>
      </x:c>
      <x:c r="C1258" s="168" t="str">
        <x:v>FY2023</x:v>
      </x:c>
      <x:c r="D1258" s="168" t="str">
        <x:v>Finance income (where presented separately)</x:v>
      </x:c>
      <x:c r="E1258" s="169" t="n">
        <x:v>0</x:v>
      </x:c>
      <x:c r="F1258" s="169" t="n">
        <x:v>0</x:v>
      </x:c>
      <x:c r="G1258" s="169" t="str">
        <x:v>Rs '000</x:v>
      </x:c>
      <x:c r="H1258" s="169" t="n">
        <x:f>F1258/1000</x:f>
        <x:v>0</x:v>
      </x:c>
      <x:c r="I1258" s="169" t="n">
        <x:f>MLCF!F93</x:f>
        <x:v>0</x:v>
      </x:c>
      <x:c r="J1258" s="169" t="n">
        <x:f>H1258-I1258</x:f>
        <x:v>0</x:v>
      </x:c>
      <x:c r="K1258" s="168" t="str">
        <x:v>2024.pdf</x:v>
      </x:c>
      <x:c r="L1258" s="168" t="n">
        <x:v>191</x:v>
      </x:c>
      <x:c r="M1258" s="168" t="str">
        <x:v>Comparative</x:v>
      </x:c>
      <x:c r="N1258" s="171" t="str">
        <x:v>Zero / no separate line in audited presentation</x:v>
      </x:c>
      <x:c r="O1258" s="171" t="str">
        <x:v>Zero classification checked within the audited statement/note and reconstructed statement totals; absence of a separate line does not imply a missing replacement estimate.</x:v>
      </x:c>
      <x:c r="P1258" s="171" t="str">
        <x:v>
190
UNCONSOLIDA TED STA TEMENT OF 
PROFIT OR LOSS  
FOR THE YEAR ENDED JUNE 30, 2024
   2024 2023
  Note (Rupees in thousand) 
Revenue 35 66,452,348  | Finance income (where presented separately)</x:v>
      </x:c>
    </x:row>
    <x:row r="1259" ht="82" customHeight="1">
      <x:c r="A1259" s="76" t="str">
        <x:v>MLCF|fin_inc|2024</x:v>
      </x:c>
      <x:c r="B1259" s="76" t="str">
        <x:v>MLCF</x:v>
      </x:c>
      <x:c r="C1259" s="76" t="str">
        <x:v>FY2024</x:v>
      </x:c>
      <x:c r="D1259" s="76" t="str">
        <x:v>Finance income (where presented separately)</x:v>
      </x:c>
      <x:c r="E1259" s="170" t="n">
        <x:v>117691</x:v>
      </x:c>
      <x:c r="F1259" s="170" t="n">
        <x:v>117691</x:v>
      </x:c>
      <x:c r="G1259" s="170" t="str">
        <x:v>Rs '000</x:v>
      </x:c>
      <x:c r="H1259" s="170" t="n">
        <x:f>F1259/1000</x:f>
        <x:v>117.691</x:v>
      </x:c>
      <x:c r="I1259" s="170" t="n">
        <x:f>MLCF!G93</x:f>
        <x:v>117.691</x:v>
      </x:c>
      <x:c r="J1259" s="170" t="n">
        <x:f>H1259-I1259</x:f>
        <x:v>0</x:v>
      </x:c>
      <x:c r="K1259" s="76" t="str">
        <x:v>2025.pdf</x:v>
      </x:c>
      <x:c r="L1259" s="76" t="n">
        <x:v>203</x:v>
      </x:c>
      <x:c r="M1259" s="76" t="str">
        <x:v>Comparative</x:v>
      </x:c>
      <x:c r="N1259" s="99" t="str">
        <x:v>Printed amount independently located</x:v>
      </x:c>
      <x:c r="O1259" s="99" t="str">
        <x:v>Exact source amount found; audited year/current-comparative column recorded. Accounting subtotal tests performed separately.</x:v>
      </x:c>
      <x:c r="P1259" s="99" t="str">
        <x:v>income  39  8,462,656   238,451 
Operating profit   24,187,950   12,952,043 
Finance cost 40  (3,554,788)  (4,138,286)
Finance income 41  1,031,075   117,691 
Finance cost - net  (2,523,713)  (4,020,595)
Profit before final taxes and income tax   21,664,237   8,931,448 
Final taxes - levy 42  (38,972)  (45,804)
Profit before income tax</x:v>
      </x:c>
    </x:row>
    <x:row r="1260" ht="82" customHeight="1">
      <x:c r="A1260" s="168" t="str">
        <x:v>MLCF|fin_inc|2025</x:v>
      </x:c>
      <x:c r="B1260" s="168" t="str">
        <x:v>MLCF</x:v>
      </x:c>
      <x:c r="C1260" s="168" t="str">
        <x:v>FY2025</x:v>
      </x:c>
      <x:c r="D1260" s="168" t="str">
        <x:v>Finance income (where presented separately)</x:v>
      </x:c>
      <x:c r="E1260" s="169" t="n">
        <x:v>1031075</x:v>
      </x:c>
      <x:c r="F1260" s="169" t="n">
        <x:v>1031075</x:v>
      </x:c>
      <x:c r="G1260" s="169" t="str">
        <x:v>Rs '000</x:v>
      </x:c>
      <x:c r="H1260" s="169" t="n">
        <x:f>F1260/1000</x:f>
        <x:v>1031.075</x:v>
      </x:c>
      <x:c r="I1260" s="169" t="n">
        <x:f>MLCF!H93</x:f>
        <x:v>1031.075</x:v>
      </x:c>
      <x:c r="J1260" s="169" t="n">
        <x:f>H1260-I1260</x:f>
        <x:v>0</x:v>
      </x:c>
      <x:c r="K1260" s="168" t="str">
        <x:v>2025.pdf</x:v>
      </x:c>
      <x:c r="L1260" s="168" t="n">
        <x:v>203</x:v>
      </x:c>
      <x:c r="M1260" s="168" t="str">
        <x:v>Current year</x:v>
      </x:c>
      <x:c r="N1260" s="171" t="str">
        <x:v>Printed amount independently located</x:v>
      </x:c>
      <x:c r="O1260" s="171" t="str">
        <x:v>Exact source amount found; audited year/current-comparative column recorded. Accounting subtotal tests performed separately.</x:v>
      </x:c>
      <x:c r="P1260" s="171" t="str">
        <x:v>,545)
Other income  39  8,462,656   238,451 
Operating profit   24,187,950   12,952,043 
Finance cost 40  (3,554,788)  (4,138,286)
Finance income 41  1,031,075   117,691 
Finance cost - net  (2,523,713)  (4,020,595)
Profit before final taxes and income tax   21,664,237   8,931,448 
Final taxes - levy 42  (38,972)  (45,804)
Profit before</x:v>
      </x:c>
    </x:row>
    <x:row r="1261" ht="82" customHeight="1">
      <x:c r="A1261" s="76" t="str">
        <x:v>MLCF|assoc|2021</x:v>
      </x:c>
      <x:c r="B1261" s="76" t="str">
        <x:v>MLCF</x:v>
      </x:c>
      <x:c r="C1261" s="76" t="str">
        <x:v>FY2021</x:v>
      </x:c>
      <x:c r="D1261" s="76" t="str">
        <x:v>Share of profit of associate</x:v>
      </x:c>
      <x:c r="E1261" s="170" t="n">
        <x:v>0</x:v>
      </x:c>
      <x:c r="F1261" s="170" t="n">
        <x:v>0</x:v>
      </x:c>
      <x:c r="G1261" s="170" t="str">
        <x:v>Rs '000</x:v>
      </x:c>
      <x:c r="H1261" s="170" t="n">
        <x:f>F1261/1000</x:f>
        <x:v>0</x:v>
      </x:c>
      <x:c r="I1261" s="170" t="n">
        <x:f>MLCF!D94</x:f>
        <x:v>0</x:v>
      </x:c>
      <x:c r="J1261" s="170" t="n">
        <x:f>H1261-I1261</x:f>
        <x:v>0</x:v>
      </x:c>
      <x:c r="K1261" s="76" t="str">
        <x:v>2022.pdf</x:v>
      </x:c>
      <x:c r="L1261" s="76" t="n">
        <x:v>185</x:v>
      </x:c>
      <x:c r="M1261" s="76" t="str">
        <x:v>Comparative</x:v>
      </x:c>
      <x:c r="N1261" s="99" t="str">
        <x:v>Zero / no separate line in audited presentation</x:v>
      </x:c>
      <x:c r="O1261" s="99" t="str">
        <x:v>Zero classification checked within the audited statement/note and reconstructed statement totals; absence of a separate line does not imply a missing replacement estimate.</x:v>
      </x:c>
      <x:c r="P1261" s="99" t="str">
        <x:v>
184
   2022 2021
  Note (Rupees in thousand) 
Sales - net 35  48,519,622   35,538,301 
Cost of sales 36  (36,244,156)  (28,135,419)
Gross pro | Share of profit of associate</x:v>
      </x:c>
    </x:row>
    <x:row r="1262" ht="82" customHeight="1">
      <x:c r="A1262" s="168" t="str">
        <x:v>MLCF|assoc|2022</x:v>
      </x:c>
      <x:c r="B1262" s="168" t="str">
        <x:v>MLCF</x:v>
      </x:c>
      <x:c r="C1262" s="168" t="str">
        <x:v>FY2022</x:v>
      </x:c>
      <x:c r="D1262" s="168" t="str">
        <x:v>Share of profit of associate</x:v>
      </x:c>
      <x:c r="E1262" s="169" t="n">
        <x:v>0</x:v>
      </x:c>
      <x:c r="F1262" s="169" t="n">
        <x:v>0</x:v>
      </x:c>
      <x:c r="G1262" s="169" t="str">
        <x:v>Rs '000</x:v>
      </x:c>
      <x:c r="H1262" s="169" t="n">
        <x:f>F1262/1000</x:f>
        <x:v>0</x:v>
      </x:c>
      <x:c r="I1262" s="169" t="n">
        <x:f>MLCF!E94</x:f>
        <x:v>0</x:v>
      </x:c>
      <x:c r="J1262" s="169" t="n">
        <x:f>H1262-I1262</x:f>
        <x:v>0</x:v>
      </x:c>
      <x:c r="K1262" s="168" t="str">
        <x:v>2023.pdf</x:v>
      </x:c>
      <x:c r="L1262" s="168" t="n">
        <x:v>99</x:v>
      </x:c>
      <x:c r="M1262" s="168" t="str">
        <x:v>Comparative</x:v>
      </x:c>
      <x:c r="N1262" s="171" t="str">
        <x:v>Zero / no separate line in audited presentation</x:v>
      </x:c>
      <x:c r="O1262" s="171" t="str">
        <x:v>Zero classification checked within the audited statement/note and reconstructed statement totals; absence of a separate line does not imply a missing replacement estimate.</x:v>
      </x:c>
      <x:c r="P1262" s="171" t="str">
        <x:v>
194 195
UNCONSOLIDA TED STA TEMENT OF 
PROFIT OR LOSS  
FOR THE YEAR ENDED JUNE 30, 2023
   2023 2022
  Note (Rupees in thousand) 
Sales - net 35 62, | Share of profit of associate</x:v>
      </x:c>
    </x:row>
    <x:row r="1263" ht="82" customHeight="1">
      <x:c r="A1263" s="76" t="str">
        <x:v>MLCF|assoc|2023</x:v>
      </x:c>
      <x:c r="B1263" s="76" t="str">
        <x:v>MLCF</x:v>
      </x:c>
      <x:c r="C1263" s="76" t="str">
        <x:v>FY2023</x:v>
      </x:c>
      <x:c r="D1263" s="76" t="str">
        <x:v>Share of profit of associate</x:v>
      </x:c>
      <x:c r="E1263" s="170" t="n">
        <x:v>0</x:v>
      </x:c>
      <x:c r="F1263" s="170" t="n">
        <x:v>0</x:v>
      </x:c>
      <x:c r="G1263" s="170" t="str">
        <x:v>Rs '000</x:v>
      </x:c>
      <x:c r="H1263" s="170" t="n">
        <x:f>F1263/1000</x:f>
        <x:v>0</x:v>
      </x:c>
      <x:c r="I1263" s="170" t="n">
        <x:f>MLCF!F94</x:f>
        <x:v>0</x:v>
      </x:c>
      <x:c r="J1263" s="170" t="n">
        <x:f>H1263-I1263</x:f>
        <x:v>0</x:v>
      </x:c>
      <x:c r="K1263" s="76" t="str">
        <x:v>2024.pdf</x:v>
      </x:c>
      <x:c r="L1263" s="76" t="n">
        <x:v>191</x:v>
      </x:c>
      <x:c r="M1263" s="76" t="str">
        <x:v>Comparative</x:v>
      </x:c>
      <x:c r="N1263" s="99" t="str">
        <x:v>Zero / no separate line in audited presentation</x:v>
      </x:c>
      <x:c r="O1263" s="99" t="str">
        <x:v>Zero classification checked within the audited statement/note and reconstructed statement totals; absence of a separate line does not imply a missing replacement estimate.</x:v>
      </x:c>
      <x:c r="P1263" s="99" t="str">
        <x:v>
190
UNCONSOLIDA TED STA TEMENT OF 
PROFIT OR LOSS  
FOR THE YEAR ENDED JUNE 30, 2024
   2024 2023
  Note (Rupees in thousand) 
Revenue 35 66,452,348  | Share of profit of associate</x:v>
      </x:c>
    </x:row>
    <x:row r="1264" ht="82" customHeight="1">
      <x:c r="A1264" s="168" t="str">
        <x:v>MLCF|assoc|2024</x:v>
      </x:c>
      <x:c r="B1264" s="168" t="str">
        <x:v>MLCF</x:v>
      </x:c>
      <x:c r="C1264" s="168" t="str">
        <x:v>FY2024</x:v>
      </x:c>
      <x:c r="D1264" s="168" t="str">
        <x:v>Share of profit of associate</x:v>
      </x:c>
      <x:c r="E1264" s="169" t="n">
        <x:v>0</x:v>
      </x:c>
      <x:c r="F1264" s="169" t="n">
        <x:v>0</x:v>
      </x:c>
      <x:c r="G1264" s="169" t="str">
        <x:v>Rs '000</x:v>
      </x:c>
      <x:c r="H1264" s="169" t="n">
        <x:f>F1264/1000</x:f>
        <x:v>0</x:v>
      </x:c>
      <x:c r="I1264" s="169" t="n">
        <x:f>MLCF!G94</x:f>
        <x:v>0</x:v>
      </x:c>
      <x:c r="J1264" s="169" t="n">
        <x:f>H1264-I1264</x:f>
        <x:v>0</x:v>
      </x:c>
      <x:c r="K1264" s="168" t="str">
        <x:v>2025.pdf</x:v>
      </x:c>
      <x:c r="L1264" s="168" t="n">
        <x:v>203</x:v>
      </x:c>
      <x:c r="M1264" s="168" t="str">
        <x:v>Comparative</x:v>
      </x:c>
      <x:c r="N1264" s="171" t="str">
        <x:v>Zero / no separate line in audited presentation</x:v>
      </x:c>
      <x:c r="O1264" s="171" t="str">
        <x:v>Zero classification checked within the audited statement/note and reconstructed statement totals; absence of a separate line does not imply a missing replacement estimate.</x:v>
      </x:c>
      <x:c r="P1264" s="171" t="str">
        <x:v>
202
UNCONSOLIDA TED STA TEMENT OF 
PROFIT OR LOSS  
FOR THE YEAR ENDED JUNE 30, 2025
   2025 2024
  Note (Rupees in thousand) 
    Restated
Revenue f | Share of profit of associate</x:v>
      </x:c>
    </x:row>
    <x:row r="1265" ht="82" customHeight="1">
      <x:c r="A1265" s="76" t="str">
        <x:v>MLCF|assoc|2025</x:v>
      </x:c>
      <x:c r="B1265" s="76" t="str">
        <x:v>MLCF</x:v>
      </x:c>
      <x:c r="C1265" s="76" t="str">
        <x:v>FY2025</x:v>
      </x:c>
      <x:c r="D1265" s="76" t="str">
        <x:v>Share of profit of associate</x:v>
      </x:c>
      <x:c r="E1265" s="170" t="n">
        <x:v>0</x:v>
      </x:c>
      <x:c r="F1265" s="170" t="n">
        <x:v>0</x:v>
      </x:c>
      <x:c r="G1265" s="170" t="str">
        <x:v>Rs '000</x:v>
      </x:c>
      <x:c r="H1265" s="170" t="n">
        <x:f>F1265/1000</x:f>
        <x:v>0</x:v>
      </x:c>
      <x:c r="I1265" s="170" t="n">
        <x:f>MLCF!H94</x:f>
        <x:v>0</x:v>
      </x:c>
      <x:c r="J1265" s="170" t="n">
        <x:f>H1265-I1265</x:f>
        <x:v>0</x:v>
      </x:c>
      <x:c r="K1265" s="76" t="str">
        <x:v>2025.pdf</x:v>
      </x:c>
      <x:c r="L1265" s="76" t="n">
        <x:v>203</x:v>
      </x:c>
      <x:c r="M1265" s="76" t="str">
        <x:v>Current year</x:v>
      </x:c>
      <x:c r="N1265" s="99" t="str">
        <x:v>Zero / no separate line in audited presentation</x:v>
      </x:c>
      <x:c r="O1265" s="99" t="str">
        <x:v>Zero classification checked within the audited statement/note and reconstructed statement totals; absence of a separate line does not imply a missing replacement estimate.</x:v>
      </x:c>
      <x:c r="P1265" s="99" t="str">
        <x:v>
202
UNCONSOLIDA TED STA TEMENT OF 
PROFIT OR LOSS  
FOR THE YEAR ENDED JUNE 30, 2025
   2025 2024
  Note (Rupees in thousand) 
    Restated
Revenue f | Share of profit of associate</x:v>
      </x:c>
    </x:row>
    <x:row r="1266" ht="82" customHeight="1">
      <x:c r="A1266" s="168" t="str">
        <x:v>MLCF|fin_cost|2021</x:v>
      </x:c>
      <x:c r="B1266" s="168" t="str">
        <x:v>MLCF</x:v>
      </x:c>
      <x:c r="C1266" s="168" t="str">
        <x:v>FY2021</x:v>
      </x:c>
      <x:c r="D1266" s="168" t="str">
        <x:v>Finance cost</x:v>
      </x:c>
      <x:c r="E1266" s="169" t="n">
        <x:v>-1493930</x:v>
      </x:c>
      <x:c r="F1266" s="169" t="n">
        <x:v>-1493930</x:v>
      </x:c>
      <x:c r="G1266" s="169" t="str">
        <x:v>Rs '000</x:v>
      </x:c>
      <x:c r="H1266" s="169" t="n">
        <x:f>F1266/1000</x:f>
        <x:v>-1493.93</x:v>
      </x:c>
      <x:c r="I1266" s="169" t="n">
        <x:f>MLCF!D95</x:f>
        <x:v>-1493.93</x:v>
      </x:c>
      <x:c r="J1266" s="169" t="n">
        <x:f>H1266-I1266</x:f>
        <x:v>0</x:v>
      </x:c>
      <x:c r="K1266" s="168" t="str">
        <x:v>2022.pdf</x:v>
      </x:c>
      <x:c r="L1266" s="168" t="n">
        <x:v>185</x:v>
      </x:c>
      <x:c r="M1266" s="168" t="str">
        <x:v>Comparative</x:v>
      </x:c>
      <x:c r="N1266" s="171" t="str">
        <x:v>Printed amount independently located</x:v>
      </x:c>
      <x:c r="O1266" s="171" t="str">
        <x:v>Exact source amount found; audited year/current-comparative column recorded. Accounting subtotal tests performed separately.</x:v>
      </x:c>
      <x:c r="P1266" s="171" t="str">
        <x:v>407,529)  (2,351,483)
Other income  40  56,601   3,732,132 
Profit from operations   8,924,538   8,783,531 
Finance cost 41  (1,741,026)  (1,493,930)
Profit before taxation   7,183,512   7,289,601 
Taxation 42  (3,557,172)  (1,035,492)
Profit after taxation   3,626,340   6,254,109</x:v>
      </x:c>
    </x:row>
    <x:row r="1267" ht="82" customHeight="1">
      <x:c r="A1267" s="76" t="str">
        <x:v>MLCF|fin_cost|2022</x:v>
      </x:c>
      <x:c r="B1267" s="76" t="str">
        <x:v>MLCF</x:v>
      </x:c>
      <x:c r="C1267" s="76" t="str">
        <x:v>FY2022</x:v>
      </x:c>
      <x:c r="D1267" s="76" t="str">
        <x:v>Finance cost</x:v>
      </x:c>
      <x:c r="E1267" s="170" t="n">
        <x:v>-1741026</x:v>
      </x:c>
      <x:c r="F1267" s="170" t="n">
        <x:v>-1741026</x:v>
      </x:c>
      <x:c r="G1267" s="170" t="str">
        <x:v>Rs '000</x:v>
      </x:c>
      <x:c r="H1267" s="170" t="n">
        <x:f>F1267/1000</x:f>
        <x:v>-1741.026</x:v>
      </x:c>
      <x:c r="I1267" s="170" t="n">
        <x:f>MLCF!E95</x:f>
        <x:v>-1741.026</x:v>
      </x:c>
      <x:c r="J1267" s="170" t="n">
        <x:f>H1267-I1267</x:f>
        <x:v>0</x:v>
      </x:c>
      <x:c r="K1267" s="76" t="str">
        <x:v>2023.pdf</x:v>
      </x:c>
      <x:c r="L1267" s="76" t="n">
        <x:v>99</x:v>
      </x:c>
      <x:c r="M1267" s="76" t="str">
        <x:v>Comparative</x:v>
      </x:c>
      <x:c r="N1267" s="99" t="str">
        <x:v>Printed amount independently located</x:v>
      </x:c>
      <x:c r="O1267" s="99" t="str">
        <x:v>Exact source amount found; audited year/current-comparative column recorded. Accounting subtotal tests performed separately.</x:v>
      </x:c>
      <x:c r="P1267" s="99" t="str">
        <x:v>(995,460) (742,280)
  (4,568,987) (3,407,529)
Other income 40 146,646 56,601
Profit from operations  12,001,415 8,924,538
Finance cost 41 (2,750,748) (1,741,026)
Profit before taxation  9,250,667 7,183,512
Taxation 42 (4,758,998) (3,557,172)
Profit after taxation  4,491,669 3,626,340
 ------------- Rupees -------------
Earnings per share -</x:v>
      </x:c>
    </x:row>
    <x:row r="1268" ht="82" customHeight="1">
      <x:c r="A1268" s="168" t="str">
        <x:v>MLCF|fin_cost|2023</x:v>
      </x:c>
      <x:c r="B1268" s="168" t="str">
        <x:v>MLCF</x:v>
      </x:c>
      <x:c r="C1268" s="168" t="str">
        <x:v>FY2023</x:v>
      </x:c>
      <x:c r="D1268" s="168" t="str">
        <x:v>Finance cost</x:v>
      </x:c>
      <x:c r="E1268" s="169" t="n">
        <x:v>-2750748</x:v>
      </x:c>
      <x:c r="F1268" s="169" t="n">
        <x:v>-2750748</x:v>
      </x:c>
      <x:c r="G1268" s="169" t="str">
        <x:v>Rs '000</x:v>
      </x:c>
      <x:c r="H1268" s="169" t="n">
        <x:f>F1268/1000</x:f>
        <x:v>-2750.748</x:v>
      </x:c>
      <x:c r="I1268" s="169" t="n">
        <x:f>MLCF!F95</x:f>
        <x:v>-2750.748</x:v>
      </x:c>
      <x:c r="J1268" s="169" t="n">
        <x:f>H1268-I1268</x:f>
        <x:v>0</x:v>
      </x:c>
      <x:c r="K1268" s="168" t="str">
        <x:v>2024.pdf</x:v>
      </x:c>
      <x:c r="L1268" s="168" t="n">
        <x:v>191</x:v>
      </x:c>
      <x:c r="M1268" s="168" t="str">
        <x:v>Comparative</x:v>
      </x:c>
      <x:c r="N1268" s="171" t="str">
        <x:v>Printed amount independently located</x:v>
      </x:c>
      <x:c r="O1268" s="171" t="str">
        <x:v>Exact source amount found; audited year/current-comparative column recorded. Accounting subtotal tests performed separately.</x:v>
      </x:c>
      <x:c r="P1268" s="171" t="str">
        <x:v>) (191,421)
Other expenses 39 (569,545) (995,460)
Other income 40 356,142 146,646
Operating profit  13,069,734 12,001,415
Finance cost 41 (4,138,286) (2,750,748)
Profit before final taxes and income tax  8,931,448 9,250,667
Final taxes 42 (45,804) (12,192)
Profit before income tax  8,885,644 9,238,475
Income tax 42 (3,613,117) (4,746,806)</x:v>
      </x:c>
    </x:row>
    <x:row r="1269" ht="82" customHeight="1">
      <x:c r="A1269" s="76" t="str">
        <x:v>MLCF|fin_cost|2024</x:v>
      </x:c>
      <x:c r="B1269" s="76" t="str">
        <x:v>MLCF</x:v>
      </x:c>
      <x:c r="C1269" s="76" t="str">
        <x:v>FY2024</x:v>
      </x:c>
      <x:c r="D1269" s="76" t="str">
        <x:v>Finance cost</x:v>
      </x:c>
      <x:c r="E1269" s="170" t="n">
        <x:v>-4138286</x:v>
      </x:c>
      <x:c r="F1269" s="170" t="n">
        <x:v>-4138286</x:v>
      </x:c>
      <x:c r="G1269" s="170" t="str">
        <x:v>Rs '000</x:v>
      </x:c>
      <x:c r="H1269" s="170" t="n">
        <x:f>F1269/1000</x:f>
        <x:v>-4138.286</x:v>
      </x:c>
      <x:c r="I1269" s="170" t="n">
        <x:f>MLCF!G95</x:f>
        <x:v>-4138.286</x:v>
      </x:c>
      <x:c r="J1269" s="170" t="n">
        <x:f>H1269-I1269</x:f>
        <x:v>0</x:v>
      </x:c>
      <x:c r="K1269" s="76" t="str">
        <x:v>2025.pdf</x:v>
      </x:c>
      <x:c r="L1269" s="76" t="n">
        <x:v>203</x:v>
      </x:c>
      <x:c r="M1269" s="76" t="str">
        <x:v>Comparative</x:v>
      </x:c>
      <x:c r="N1269" s="99" t="str">
        <x:v>Printed amount independently located</x:v>
      </x:c>
      <x:c r="O1269" s="99" t="str">
        <x:v>Exact source amount found; audited year/current-comparative column recorded. Accounting subtotal tests performed separately.</x:v>
      </x:c>
      <x:c r="P1269" s="99" t="str">
        <x:v>expenses 38  (1,207,018)  (569,545)
Other income  39  8,462,656   238,451 
Operating profit   24,187,950   12,952,043 
Finance cost 40  (3,554,788)  (4,138,286)
Finance income 41  1,031,075   117,691 
Finance cost - net  (2,523,713)  (4,020,595)
Profit before final taxes and income tax   21,664,237   8,931,448 
Final taxes - levy 42  (38,</x:v>
      </x:c>
    </x:row>
    <x:row r="1270" ht="82" customHeight="1">
      <x:c r="A1270" s="168" t="str">
        <x:v>MLCF|fin_cost|2025</x:v>
      </x:c>
      <x:c r="B1270" s="168" t="str">
        <x:v>MLCF</x:v>
      </x:c>
      <x:c r="C1270" s="168" t="str">
        <x:v>FY2025</x:v>
      </x:c>
      <x:c r="D1270" s="168" t="str">
        <x:v>Finance cost</x:v>
      </x:c>
      <x:c r="E1270" s="169" t="n">
        <x:v>-3554788</x:v>
      </x:c>
      <x:c r="F1270" s="169" t="n">
        <x:v>-3554788</x:v>
      </x:c>
      <x:c r="G1270" s="169" t="str">
        <x:v>Rs '000</x:v>
      </x:c>
      <x:c r="H1270" s="169" t="n">
        <x:f>F1270/1000</x:f>
        <x:v>-3554.788</x:v>
      </x:c>
      <x:c r="I1270" s="169" t="n">
        <x:f>MLCF!H95</x:f>
        <x:v>-3554.788</x:v>
      </x:c>
      <x:c r="J1270" s="169" t="n">
        <x:f>H1270-I1270</x:f>
        <x:v>0</x:v>
      </x:c>
      <x:c r="K1270" s="168" t="str">
        <x:v>2025.pdf</x:v>
      </x:c>
      <x:c r="L1270" s="168" t="n">
        <x:v>203</x:v>
      </x:c>
      <x:c r="M1270" s="168" t="str">
        <x:v>Current year</x:v>
      </x:c>
      <x:c r="N1270" s="171" t="str">
        <x:v>Printed amount independently located</x:v>
      </x:c>
      <x:c r="O1270" s="171" t="str">
        <x:v>Exact source amount found; audited year/current-comparative column recorded. Accounting subtotal tests performed separately.</x:v>
      </x:c>
      <x:c r="P1270" s="171" t="str">
        <x:v>57,191)
Other expenses 38  (1,207,018)  (569,545)
Other income  39  8,462,656   238,451 
Operating profit   24,187,950   12,952,043 
Finance cost 40  (3,554,788)  (4,138,286)
Finance income 41  1,031,075   117,691 
Finance cost - net  (2,523,713)  (4,020,595)
Profit before final taxes and income tax   21,664,237   8,931,448 
Final taxes -</x:v>
      </x:c>
    </x:row>
    <x:row r="1271" ht="82" customHeight="1">
      <x:c r="A1271" s="76" t="str">
        <x:v>MLCF|levy|2021</x:v>
      </x:c>
      <x:c r="B1271" s="76" t="str">
        <x:v>MLCF</x:v>
      </x:c>
      <x:c r="C1271" s="76" t="str">
        <x:v>FY2021</x:v>
      </x:c>
      <x:c r="D1271" s="76" t="str">
        <x:v>Levies (final / minimum taxes presented separately)</x:v>
      </x:c>
      <x:c r="E1271" s="170" t="n">
        <x:v>0</x:v>
      </x:c>
      <x:c r="F1271" s="170" t="n">
        <x:v>0</x:v>
      </x:c>
      <x:c r="G1271" s="170" t="str">
        <x:v>Rs '000</x:v>
      </x:c>
      <x:c r="H1271" s="170" t="n">
        <x:f>F1271/1000</x:f>
        <x:v>0</x:v>
      </x:c>
      <x:c r="I1271" s="170" t="n">
        <x:f>MLCF!D97</x:f>
        <x:v>0</x:v>
      </x:c>
      <x:c r="J1271" s="170" t="n">
        <x:f>H1271-I1271</x:f>
        <x:v>0</x:v>
      </x:c>
      <x:c r="K1271" s="76" t="str">
        <x:v>2022.pdf</x:v>
      </x:c>
      <x:c r="L1271" s="76" t="n">
        <x:v>185</x:v>
      </x:c>
      <x:c r="M1271" s="76" t="str">
        <x:v>Comparative</x:v>
      </x:c>
      <x:c r="N1271" s="99" t="str">
        <x:v>Zero / no separate line in audited presentation</x:v>
      </x:c>
      <x:c r="O1271" s="99" t="str">
        <x:v>Zero classification checked within the audited statement/note and reconstructed statement totals; absence of a separate line does not imply a missing replacement estimate.</x:v>
      </x:c>
      <x:c r="P1271" s="99" t="str">
        <x:v>
184
   2022 2021
  Note (Rupees in thousand) 
Sales - net 35  48,519,622   35,538,301 
Cost of sales 36  (36,244,156)  (28,135,419)
Gross pro | Levies (final / minimum taxes presented separately)</x:v>
      </x:c>
    </x:row>
    <x:row r="1272" ht="82" customHeight="1">
      <x:c r="A1272" s="168" t="str">
        <x:v>MLCF|levy|2022</x:v>
      </x:c>
      <x:c r="B1272" s="168" t="str">
        <x:v>MLCF</x:v>
      </x:c>
      <x:c r="C1272" s="168" t="str">
        <x:v>FY2022</x:v>
      </x:c>
      <x:c r="D1272" s="168" t="str">
        <x:v>Levies (final / minimum taxes presented separately)</x:v>
      </x:c>
      <x:c r="E1272" s="169" t="n">
        <x:v>0</x:v>
      </x:c>
      <x:c r="F1272" s="169" t="n">
        <x:v>0</x:v>
      </x:c>
      <x:c r="G1272" s="169" t="str">
        <x:v>Rs '000</x:v>
      </x:c>
      <x:c r="H1272" s="169" t="n">
        <x:f>F1272/1000</x:f>
        <x:v>0</x:v>
      </x:c>
      <x:c r="I1272" s="169" t="n">
        <x:f>MLCF!E97</x:f>
        <x:v>0</x:v>
      </x:c>
      <x:c r="J1272" s="169" t="n">
        <x:f>H1272-I1272</x:f>
        <x:v>0</x:v>
      </x:c>
      <x:c r="K1272" s="168" t="str">
        <x:v>2023.pdf</x:v>
      </x:c>
      <x:c r="L1272" s="168" t="n">
        <x:v>99</x:v>
      </x:c>
      <x:c r="M1272" s="168" t="str">
        <x:v>Comparative</x:v>
      </x:c>
      <x:c r="N1272" s="171" t="str">
        <x:v>Zero / no separate line in audited presentation</x:v>
      </x:c>
      <x:c r="O1272" s="171" t="str">
        <x:v>Zero classification checked within the audited statement/note and reconstructed statement totals; absence of a separate line does not imply a missing replacement estimate.</x:v>
      </x:c>
      <x:c r="P1272" s="171" t="str">
        <x:v>
194 195
UNCONSOLIDA TED STA TEMENT OF 
PROFIT OR LOSS  
FOR THE YEAR ENDED JUNE 30, 2023
   2023 2022
  Note (Rupees in thousand) 
Sales - net 35 62, | Levies (final / minimum taxes presented separately)</x:v>
      </x:c>
    </x:row>
    <x:row r="1273" ht="82" customHeight="1">
      <x:c r="A1273" s="76" t="str">
        <x:v>MLCF|levy|2023</x:v>
      </x:c>
      <x:c r="B1273" s="76" t="str">
        <x:v>MLCF</x:v>
      </x:c>
      <x:c r="C1273" s="76" t="str">
        <x:v>FY2023</x:v>
      </x:c>
      <x:c r="D1273" s="76" t="str">
        <x:v>Levies (final / minimum taxes presented separately)</x:v>
      </x:c>
      <x:c r="E1273" s="170" t="n">
        <x:v>-12192</x:v>
      </x:c>
      <x:c r="F1273" s="170" t="n">
        <x:v>-12192</x:v>
      </x:c>
      <x:c r="G1273" s="170" t="str">
        <x:v>Rs '000</x:v>
      </x:c>
      <x:c r="H1273" s="170" t="n">
        <x:f>F1273/1000</x:f>
        <x:v>-12.192</x:v>
      </x:c>
      <x:c r="I1273" s="170" t="n">
        <x:f>MLCF!F97</x:f>
        <x:v>-12.192</x:v>
      </x:c>
      <x:c r="J1273" s="170" t="n">
        <x:f>H1273-I1273</x:f>
        <x:v>0</x:v>
      </x:c>
      <x:c r="K1273" s="76" t="str">
        <x:v>2024.pdf</x:v>
      </x:c>
      <x:c r="L1273" s="76" t="n">
        <x:v>191</x:v>
      </x:c>
      <x:c r="M1273" s="76" t="str">
        <x:v>Comparative</x:v>
      </x:c>
      <x:c r="N1273" s="99" t="str">
        <x:v>Printed amount independently located</x:v>
      </x:c>
      <x:c r="O1273" s="99" t="str">
        <x:v>Exact source amount found; audited year/current-comparative column recorded. Accounting subtotal tests performed separately.</x:v>
      </x:c>
      <x:c r="P1273" s="99" t="str">
        <x:v>13,069,734 12,001,415
Finance cost 41 (4,138,286) (2,750,748)
Profit before final taxes and income tax  8,931,448 9,250,667
Final taxes 42 (45,804) (12,192)
Profit before income tax  8,885,644 9,238,475
Income tax 42 (3,613,117) (4,746,806)
Profit for the year  5,272,527 4,491,669
 ------------- Rupees -------------
Earnings per share</x:v>
      </x:c>
    </x:row>
    <x:row r="1274" ht="82" customHeight="1">
      <x:c r="A1274" s="168" t="str">
        <x:v>MLCF|levy|2024</x:v>
      </x:c>
      <x:c r="B1274" s="168" t="str">
        <x:v>MLCF</x:v>
      </x:c>
      <x:c r="C1274" s="168" t="str">
        <x:v>FY2024</x:v>
      </x:c>
      <x:c r="D1274" s="168" t="str">
        <x:v>Levies (final / minimum taxes presented separately)</x:v>
      </x:c>
      <x:c r="E1274" s="169" t="n">
        <x:v>-45804</x:v>
      </x:c>
      <x:c r="F1274" s="169" t="n">
        <x:v>-45804</x:v>
      </x:c>
      <x:c r="G1274" s="169" t="str">
        <x:v>Rs '000</x:v>
      </x:c>
      <x:c r="H1274" s="169" t="n">
        <x:f>F1274/1000</x:f>
        <x:v>-45.804</x:v>
      </x:c>
      <x:c r="I1274" s="169" t="n">
        <x:f>MLCF!G97</x:f>
        <x:v>-45.804</x:v>
      </x:c>
      <x:c r="J1274" s="169" t="n">
        <x:f>H1274-I1274</x:f>
        <x:v>0</x:v>
      </x:c>
      <x:c r="K1274" s="168" t="str">
        <x:v>2025.pdf</x:v>
      </x:c>
      <x:c r="L1274" s="168" t="n">
        <x:v>203</x:v>
      </x:c>
      <x:c r="M1274" s="168" t="str">
        <x:v>Comparative</x:v>
      </x:c>
      <x:c r="N1274" s="171" t="str">
        <x:v>Printed amount independently located</x:v>
      </x:c>
      <x:c r="O1274" s="171" t="str">
        <x:v>Exact source amount found; audited year/current-comparative column recorded. Accounting subtotal tests performed separately.</x:v>
      </x:c>
      <x:c r="P1274" s="171" t="str">
        <x:v>691 
Finance cost - net  (2,523,713)  (4,020,595)
Profit before final taxes and income tax   21,664,237   8,931,448 
Final taxes - levy 42  (38,972)  (45,804)
Profit before income tax   21,625,265   8,885,644 
Income tax 42  (4,588,891)  (3,613,117)
Profit for the year   17,036,374   5,272,527 
 ------------- Rupees -------------
Earnin</x:v>
      </x:c>
    </x:row>
    <x:row r="1275" ht="82" customHeight="1">
      <x:c r="A1275" s="76" t="str">
        <x:v>MLCF|levy|2025</x:v>
      </x:c>
      <x:c r="B1275" s="76" t="str">
        <x:v>MLCF</x:v>
      </x:c>
      <x:c r="C1275" s="76" t="str">
        <x:v>FY2025</x:v>
      </x:c>
      <x:c r="D1275" s="76" t="str">
        <x:v>Levies (final / minimum taxes presented separately)</x:v>
      </x:c>
      <x:c r="E1275" s="170" t="n">
        <x:v>-38972</x:v>
      </x:c>
      <x:c r="F1275" s="170" t="n">
        <x:v>-38972</x:v>
      </x:c>
      <x:c r="G1275" s="170" t="str">
        <x:v>Rs '000</x:v>
      </x:c>
      <x:c r="H1275" s="170" t="n">
        <x:f>F1275/1000</x:f>
        <x:v>-38.972</x:v>
      </x:c>
      <x:c r="I1275" s="170" t="n">
        <x:f>MLCF!H97</x:f>
        <x:v>-38.972</x:v>
      </x:c>
      <x:c r="J1275" s="170" t="n">
        <x:f>H1275-I1275</x:f>
        <x:v>0</x:v>
      </x:c>
      <x:c r="K1275" s="76" t="str">
        <x:v>2025.pdf</x:v>
      </x:c>
      <x:c r="L1275" s="76" t="n">
        <x:v>203</x:v>
      </x:c>
      <x:c r="M1275" s="76" t="str">
        <x:v>Current year</x:v>
      </x:c>
      <x:c r="N1275" s="99" t="str">
        <x:v>Printed amount independently located</x:v>
      </x:c>
      <x:c r="O1275" s="99" t="str">
        <x:v>Exact source amount found; audited year/current-comparative column recorded. Accounting subtotal tests performed separately.</x:v>
      </x:c>
      <x:c r="P1275" s="99" t="str">
        <x:v>075   117,691 
Finance cost - net  (2,523,713)  (4,020,595)
Profit before final taxes and income tax   21,664,237   8,931,448 
Final taxes - levy 42  (38,972)  (45,804)
Profit before income tax   21,625,265   8,885,644 
Income tax 42  (4,588,891)  (3,613,117)
Profit for the year   17,036,374   5,272,527 
 ------------- Rupees ----------</x:v>
      </x:c>
    </x:row>
    <x:row r="1276" ht="82" customHeight="1">
      <x:c r="A1276" s="168" t="str">
        <x:v>MLCF|tax|2021</x:v>
      </x:c>
      <x:c r="B1276" s="168" t="str">
        <x:v>MLCF</x:v>
      </x:c>
      <x:c r="C1276" s="168" t="str">
        <x:v>FY2021</x:v>
      </x:c>
      <x:c r="D1276" s="168" t="str">
        <x:v>Income tax</x:v>
      </x:c>
      <x:c r="E1276" s="169" t="n">
        <x:v>-1035492</x:v>
      </x:c>
      <x:c r="F1276" s="169" t="n">
        <x:v>-1035492</x:v>
      </x:c>
      <x:c r="G1276" s="169" t="str">
        <x:v>Rs '000</x:v>
      </x:c>
      <x:c r="H1276" s="169" t="n">
        <x:f>F1276/1000</x:f>
        <x:v>-1035.492</x:v>
      </x:c>
      <x:c r="I1276" s="169" t="n">
        <x:f>MLCF!D98</x:f>
        <x:v>-1035.492</x:v>
      </x:c>
      <x:c r="J1276" s="169" t="n">
        <x:f>H1276-I1276</x:f>
        <x:v>0</x:v>
      </x:c>
      <x:c r="K1276" s="168" t="str">
        <x:v>2022.pdf</x:v>
      </x:c>
      <x:c r="L1276" s="168" t="n">
        <x:v>185</x:v>
      </x:c>
      <x:c r="M1276" s="168" t="str">
        <x:v>Comparative</x:v>
      </x:c>
      <x:c r="N1276" s="171" t="str">
        <x:v>Printed amount independently located</x:v>
      </x:c>
      <x:c r="O1276" s="171" t="str">
        <x:v>Exact source amount found; audited year/current-comparative column recorded. Accounting subtotal tests performed separately.</x:v>
      </x:c>
      <x:c r="P1276" s="171" t="str">
        <x:v>,924,538   8,783,531 
Finance cost 41  (1,741,026)  (1,493,930)
Profit before taxation   7,183,512   7,289,601 
Taxation 42  (3,557,172)  (1,035,492)
Profit after taxation   3,626,340   6,254,109 
                                                                         ---------------Rupees-----------------
Earn</x:v>
      </x:c>
    </x:row>
    <x:row r="1277" ht="82" customHeight="1">
      <x:c r="A1277" s="76" t="str">
        <x:v>MLCF|tax|2022</x:v>
      </x:c>
      <x:c r="B1277" s="76" t="str">
        <x:v>MLCF</x:v>
      </x:c>
      <x:c r="C1277" s="76" t="str">
        <x:v>FY2022</x:v>
      </x:c>
      <x:c r="D1277" s="76" t="str">
        <x:v>Income tax</x:v>
      </x:c>
      <x:c r="E1277" s="170" t="n">
        <x:v>-3557172</x:v>
      </x:c>
      <x:c r="F1277" s="170" t="n">
        <x:v>-3557172</x:v>
      </x:c>
      <x:c r="G1277" s="170" t="str">
        <x:v>Rs '000</x:v>
      </x:c>
      <x:c r="H1277" s="170" t="n">
        <x:f>F1277/1000</x:f>
        <x:v>-3557.172</x:v>
      </x:c>
      <x:c r="I1277" s="170" t="n">
        <x:f>MLCF!E98</x:f>
        <x:v>-3557.172</x:v>
      </x:c>
      <x:c r="J1277" s="170" t="n">
        <x:f>H1277-I1277</x:f>
        <x:v>0</x:v>
      </x:c>
      <x:c r="K1277" s="76" t="str">
        <x:v>2023.pdf</x:v>
      </x:c>
      <x:c r="L1277" s="76" t="n">
        <x:v>99</x:v>
      </x:c>
      <x:c r="M1277" s="76" t="str">
        <x:v>Comparative</x:v>
      </x:c>
      <x:c r="N1277" s="99" t="str">
        <x:v>Printed amount independently located</x:v>
      </x:c>
      <x:c r="O1277" s="99" t="str">
        <x:v>Exact source amount found; audited year/current-comparative column recorded. Accounting subtotal tests performed separately.</x:v>
      </x:c>
      <x:c r="P1277" s="99" t="str">
        <x:v>fit from operations  12,001,415 8,924,538
Finance cost 41 (2,750,748) (1,741,026)
Profit before taxation  9,250,667 7,183,512
Taxation 42 (4,758,998) (3,557,172)
Profit after taxation  4,491,669 3,626,340
 ------------- Rupees -------------
Earnings per share - basic and diluted 43 4.18 3.30
The annexed notes from 1 to 57 form an integral</x:v>
      </x:c>
    </x:row>
    <x:row r="1278" ht="82" customHeight="1">
      <x:c r="A1278" s="168" t="str">
        <x:v>MLCF|tax|2023</x:v>
      </x:c>
      <x:c r="B1278" s="168" t="str">
        <x:v>MLCF</x:v>
      </x:c>
      <x:c r="C1278" s="168" t="str">
        <x:v>FY2023</x:v>
      </x:c>
      <x:c r="D1278" s="168" t="str">
        <x:v>Income tax</x:v>
      </x:c>
      <x:c r="E1278" s="169" t="n">
        <x:v>-4746806</x:v>
      </x:c>
      <x:c r="F1278" s="169" t="n">
        <x:v>-4746806</x:v>
      </x:c>
      <x:c r="G1278" s="169" t="str">
        <x:v>Rs '000</x:v>
      </x:c>
      <x:c r="H1278" s="169" t="n">
        <x:f>F1278/1000</x:f>
        <x:v>-4746.806</x:v>
      </x:c>
      <x:c r="I1278" s="169" t="n">
        <x:f>MLCF!F98</x:f>
        <x:v>-4746.806</x:v>
      </x:c>
      <x:c r="J1278" s="169" t="n">
        <x:f>H1278-I1278</x:f>
        <x:v>0</x:v>
      </x:c>
      <x:c r="K1278" s="168" t="str">
        <x:v>2024.pdf</x:v>
      </x:c>
      <x:c r="L1278" s="168" t="n">
        <x:v>191</x:v>
      </x:c>
      <x:c r="M1278" s="168" t="str">
        <x:v>Comparative</x:v>
      </x:c>
      <x:c r="N1278" s="171" t="str">
        <x:v>Printed amount independently located</x:v>
      </x:c>
      <x:c r="O1278" s="171" t="str">
        <x:v>Exact source amount found; audited year/current-comparative column recorded. Accounting subtotal tests performed separately.</x:v>
      </x:c>
      <x:c r="P1278" s="171" t="str">
        <x:v>al taxes and income tax  8,931,448 9,250,667
Final taxes 42 (45,804) (12,192)
Profit before income tax  8,885,644 9,238,475
Income tax 42 (3,613,117) (4,746,806)
Profit for the year  5,272,527 4,491,669
 ------------- Rupees -------------
Earnings per share - basic and diluted 43 4.98 4.18
The annexed notes from 1 to 59 form an integral pa</x:v>
      </x:c>
    </x:row>
    <x:row r="1279" ht="82" customHeight="1">
      <x:c r="A1279" s="76" t="str">
        <x:v>MLCF|tax|2024</x:v>
      </x:c>
      <x:c r="B1279" s="76" t="str">
        <x:v>MLCF</x:v>
      </x:c>
      <x:c r="C1279" s="76" t="str">
        <x:v>FY2024</x:v>
      </x:c>
      <x:c r="D1279" s="76" t="str">
        <x:v>Income tax</x:v>
      </x:c>
      <x:c r="E1279" s="170" t="n">
        <x:v>-3613117</x:v>
      </x:c>
      <x:c r="F1279" s="170" t="n">
        <x:v>-3613117</x:v>
      </x:c>
      <x:c r="G1279" s="170" t="str">
        <x:v>Rs '000</x:v>
      </x:c>
      <x:c r="H1279" s="170" t="n">
        <x:f>F1279/1000</x:f>
        <x:v>-3613.117</x:v>
      </x:c>
      <x:c r="I1279" s="170" t="n">
        <x:f>MLCF!G98</x:f>
        <x:v>-3613.117</x:v>
      </x:c>
      <x:c r="J1279" s="170" t="n">
        <x:f>H1279-I1279</x:f>
        <x:v>0</x:v>
      </x:c>
      <x:c r="K1279" s="76" t="str">
        <x:v>2025.pdf</x:v>
      </x:c>
      <x:c r="L1279" s="76" t="n">
        <x:v>203</x:v>
      </x:c>
      <x:c r="M1279" s="76" t="str">
        <x:v>Comparative</x:v>
      </x:c>
      <x:c r="N1279" s="99" t="str">
        <x:v>Printed amount independently located</x:v>
      </x:c>
      <x:c r="O1279" s="99" t="str">
        <x:v>Exact source amount found; audited year/current-comparative column recorded. Accounting subtotal tests performed separately.</x:v>
      </x:c>
      <x:c r="P1279" s="99" t="str">
        <x:v>ax   21,664,237   8,931,448 
Final taxes - levy 42  (38,972)  (45,804)
Profit before income tax   21,625,265   8,885,644 
Income tax 42  (4,588,891)  (3,613,117)
Profit for the year   17,036,374   5,272,527 
 ------------- Rupees -------------
Earnings per share - basic and diluted 43  16.26   4.98 
The annexed notes from 1 to 59 form an i</x:v>
      </x:c>
    </x:row>
    <x:row r="1280" ht="82" customHeight="1">
      <x:c r="A1280" s="168" t="str">
        <x:v>MLCF|tax|2025</x:v>
      </x:c>
      <x:c r="B1280" s="168" t="str">
        <x:v>MLCF</x:v>
      </x:c>
      <x:c r="C1280" s="168" t="str">
        <x:v>FY2025</x:v>
      </x:c>
      <x:c r="D1280" s="168" t="str">
        <x:v>Income tax</x:v>
      </x:c>
      <x:c r="E1280" s="169" t="n">
        <x:v>-4588891</x:v>
      </x:c>
      <x:c r="F1280" s="169" t="n">
        <x:v>-4588891</x:v>
      </x:c>
      <x:c r="G1280" s="169" t="str">
        <x:v>Rs '000</x:v>
      </x:c>
      <x:c r="H1280" s="169" t="n">
        <x:f>F1280/1000</x:f>
        <x:v>-4588.891</x:v>
      </x:c>
      <x:c r="I1280" s="169" t="n">
        <x:f>MLCF!H98</x:f>
        <x:v>-4588.891</x:v>
      </x:c>
      <x:c r="J1280" s="169" t="n">
        <x:f>H1280-I1280</x:f>
        <x:v>0</x:v>
      </x:c>
      <x:c r="K1280" s="168" t="str">
        <x:v>2025.pdf</x:v>
      </x:c>
      <x:c r="L1280" s="168" t="n">
        <x:v>203</x:v>
      </x:c>
      <x:c r="M1280" s="168" t="str">
        <x:v>Current year</x:v>
      </x:c>
      <x:c r="N1280" s="171" t="str">
        <x:v>Printed amount independently located</x:v>
      </x:c>
      <x:c r="O1280" s="171" t="str">
        <x:v>Exact source amount found; audited year/current-comparative column recorded. Accounting subtotal tests performed separately.</x:v>
      </x:c>
      <x:c r="P1280" s="171" t="str">
        <x:v>and income tax   21,664,237   8,931,448 
Final taxes - levy 42  (38,972)  (45,804)
Profit before income tax   21,625,265   8,885,644 
Income tax 42  (4,588,891)  (3,613,117)
Profit for the year   17,036,374   5,272,527 
 ------------- Rupees -------------
Earnings per share - basic and diluted 43  16.26   4.98 
The annexed notes from 1 to</x:v>
      </x:c>
    </x:row>
    <x:row r="1281" ht="82" customHeight="1">
      <x:c r="A1281" s="76" t="str">
        <x:v>MLCF|pr_gp|2021</x:v>
      </x:c>
      <x:c r="B1281" s="76" t="str">
        <x:v>MLCF</x:v>
      </x:c>
      <x:c r="C1281" s="76" t="str">
        <x:v>FY2021</x:v>
      </x:c>
      <x:c r="D1281" s="76" t="str">
        <x:v>Printed gross profit</x:v>
      </x:c>
      <x:c r="E1281" s="170" t="n">
        <x:v>7402882</x:v>
      </x:c>
      <x:c r="F1281" s="170" t="n">
        <x:v>7402882</x:v>
      </x:c>
      <x:c r="G1281" s="170" t="str">
        <x:v>Rs '000</x:v>
      </x:c>
      <x:c r="H1281" s="170" t="n">
        <x:f>F1281/1000</x:f>
        <x:v>7402.882</x:v>
      </x:c>
      <x:c r="I1281" s="170" t="n">
        <x:f>MLCF!D100</x:f>
        <x:v>7402.882</x:v>
      </x:c>
      <x:c r="J1281" s="170" t="n">
        <x:f>H1281-I1281</x:f>
        <x:v>0</x:v>
      </x:c>
      <x:c r="K1281" s="76" t="str">
        <x:v>2022.pdf</x:v>
      </x:c>
      <x:c r="L1281" s="76" t="n">
        <x:v>185</x:v>
      </x:c>
      <x:c r="M1281" s="76" t="str">
        <x:v>Comparative</x:v>
      </x:c>
      <x:c r="N1281" s="99" t="str">
        <x:v>Printed amount independently located</x:v>
      </x:c>
      <x:c r="O1281" s="99" t="str">
        <x:v>Exact source amount found; audited year/current-comparative column recorded. Accounting subtotal tests performed separately.</x:v>
      </x:c>
      <x:c r="P1281" s="99" t="str">
        <x:v>Note (Rupees in thousand) 
Sales - net 35  48,519,622   35,538,301 
Cost of sales 36  (36,244,156)  (28,135,419)
Gross profit   12,275,466   7,402,882 
Distribution cost  37  (1,483,876)  (1,013,852)
Administrative expenses 38  (971,453)  (813,489)
Other charges 39  (952,200)  (524,142)
   (3,407,529)  (2,351,483)
Other</x:v>
      </x:c>
    </x:row>
    <x:row r="1282" ht="82" customHeight="1">
      <x:c r="A1282" s="168" t="str">
        <x:v>MLCF|pr_gp|2022</x:v>
      </x:c>
      <x:c r="B1282" s="168" t="str">
        <x:v>MLCF</x:v>
      </x:c>
      <x:c r="C1282" s="168" t="str">
        <x:v>FY2022</x:v>
      </x:c>
      <x:c r="D1282" s="168" t="str">
        <x:v>Printed gross profit</x:v>
      </x:c>
      <x:c r="E1282" s="169" t="n">
        <x:v>12275466</x:v>
      </x:c>
      <x:c r="F1282" s="169" t="n">
        <x:v>12275466</x:v>
      </x:c>
      <x:c r="G1282" s="169" t="str">
        <x:v>Rs '000</x:v>
      </x:c>
      <x:c r="H1282" s="169" t="n">
        <x:f>F1282/1000</x:f>
        <x:v>12275.466</x:v>
      </x:c>
      <x:c r="I1282" s="169" t="n">
        <x:f>MLCF!E100</x:f>
        <x:v>12275.466</x:v>
      </x:c>
      <x:c r="J1282" s="169" t="n">
        <x:f>H1282-I1282</x:f>
        <x:v>0</x:v>
      </x:c>
      <x:c r="K1282" s="168" t="str">
        <x:v>2023.pdf</x:v>
      </x:c>
      <x:c r="L1282" s="168" t="n">
        <x:v>99</x:v>
      </x:c>
      <x:c r="M1282" s="168" t="str">
        <x:v>Comparative</x:v>
      </x:c>
      <x:c r="N1282" s="171" t="str">
        <x:v>Printed amount independently located</x:v>
      </x:c>
      <x:c r="O1282" s="171" t="str">
        <x:v>Exact source amount found; audited year/current-comparative column recorded. Accounting subtotal tests performed separately.</x:v>
      </x:c>
      <x:c r="P1282" s="171" t="str">
        <x:v>23
   2023 2022
  Note (Rupees in thousand) 
Sales - net 35 62,075,259 48,519,622
Cost of sales 36 (45,651,503) (36,244,156)
Gross profit  16,423,756 12,275,466
Distribution cost 37 (2,001,499) (1,483,876)
Administrative expenses 38 (1,380,607) (971,453)
Net impairment loss on financial assets 27.1 (191,421) (209,920)
Other charges 39 (99</x:v>
      </x:c>
    </x:row>
    <x:row r="1283" ht="82" customHeight="1">
      <x:c r="A1283" s="76" t="str">
        <x:v>MLCF|pr_gp|2023</x:v>
      </x:c>
      <x:c r="B1283" s="76" t="str">
        <x:v>MLCF</x:v>
      </x:c>
      <x:c r="C1283" s="76" t="str">
        <x:v>FY2023</x:v>
      </x:c>
      <x:c r="D1283" s="76" t="str">
        <x:v>Printed gross profit</x:v>
      </x:c>
      <x:c r="E1283" s="170" t="n">
        <x:v>18173353</x:v>
      </x:c>
      <x:c r="F1283" s="170" t="n">
        <x:v>18173353</x:v>
      </x:c>
      <x:c r="G1283" s="170" t="str">
        <x:v>Rs '000</x:v>
      </x:c>
      <x:c r="H1283" s="170" t="n">
        <x:f>F1283/1000</x:f>
        <x:v>18173.353</x:v>
      </x:c>
      <x:c r="I1283" s="170" t="n">
        <x:f>MLCF!F100</x:f>
        <x:v>18173.353</x:v>
      </x:c>
      <x:c r="J1283" s="170" t="n">
        <x:f>H1283-I1283</x:f>
        <x:v>0</x:v>
      </x:c>
      <x:c r="K1283" s="76" t="str">
        <x:v>2024.pdf</x:v>
      </x:c>
      <x:c r="L1283" s="76" t="n">
        <x:v>191</x:v>
      </x:c>
      <x:c r="M1283" s="76" t="str">
        <x:v>Comparative</x:v>
      </x:c>
      <x:c r="N1283" s="99" t="str">
        <x:v>Printed amount independently located</x:v>
      </x:c>
      <x:c r="O1283" s="99" t="str">
        <x:v>Exact source amount found; audited year/current-comparative column recorded. Accounting subtotal tests performed separately.</x:v>
      </x:c>
      <x:c r="P1283" s="99" t="str">
        <x:v>, 2024
   2024 2023
  Note (Rupees in thousand) 
Revenue 35 66,452,348 62,075,259
Cost of sales 36 (45,488,064) (43,901,906)
Gross profit  20,964,284 18,173,353
Selling and distribution expenses 37 (5,471,808) (3,751,096)
Administrative expenses 38 (1,852,148) (1,380,607)
Net impairment loss on financial assets 27.1 (357,191) (191,421)
Ot</x:v>
      </x:c>
    </x:row>
    <x:row r="1284" ht="82" customHeight="1">
      <x:c r="A1284" s="168" t="str">
        <x:v>MLCF|pr_gp|2024</x:v>
      </x:c>
      <x:c r="B1284" s="168" t="str">
        <x:v>MLCF</x:v>
      </x:c>
      <x:c r="C1284" s="168" t="str">
        <x:v>FY2024</x:v>
      </x:c>
      <x:c r="D1284" s="168" t="str">
        <x:v>Printed gross profit</x:v>
      </x:c>
      <x:c r="E1284" s="169" t="n">
        <x:v>20964284</x:v>
      </x:c>
      <x:c r="F1284" s="169" t="n">
        <x:v>20964284</x:v>
      </x:c>
      <x:c r="G1284" s="169" t="str">
        <x:v>Rs '000</x:v>
      </x:c>
      <x:c r="H1284" s="169" t="n">
        <x:f>F1284/1000</x:f>
        <x:v>20964.284</x:v>
      </x:c>
      <x:c r="I1284" s="169" t="n">
        <x:f>MLCF!G100</x:f>
        <x:v>20964.284</x:v>
      </x:c>
      <x:c r="J1284" s="169" t="n">
        <x:f>H1284-I1284</x:f>
        <x:v>0</x:v>
      </x:c>
      <x:c r="K1284" s="168" t="str">
        <x:v>2025.pdf</x:v>
      </x:c>
      <x:c r="L1284" s="168" t="n">
        <x:v>203</x:v>
      </x:c>
      <x:c r="M1284" s="168" t="str">
        <x:v>Comparative</x:v>
      </x:c>
      <x:c r="N1284" s="171" t="str">
        <x:v>Printed amount independently located</x:v>
      </x:c>
      <x:c r="O1284" s="171" t="str">
        <x:v>Exact source amount found; audited year/current-comparative column recorded. Accounting subtotal tests performed separately.</x:v>
      </x:c>
      <x:c r="P1284" s="171" t="str">
        <x:v>ted
Revenue from contracts with customers - net 34  68,942,446   66,452,348 
Cost of sales 35  (45,195,630)  (45,488,064)
Gross profit   23,746,816   20,964,284 
Selling and distribution expenses 36  (4,123,754)  (5,471,808)
Administrative expenses 37  (2,176,320)  (1,852,148)
Net impairment loss on financial assets 26.1  (514,430)  (357,</x:v>
      </x:c>
    </x:row>
    <x:row r="1285" ht="82" customHeight="1">
      <x:c r="A1285" s="76" t="str">
        <x:v>MLCF|pr_gp|2025</x:v>
      </x:c>
      <x:c r="B1285" s="76" t="str">
        <x:v>MLCF</x:v>
      </x:c>
      <x:c r="C1285" s="76" t="str">
        <x:v>FY2025</x:v>
      </x:c>
      <x:c r="D1285" s="76" t="str">
        <x:v>Printed gross profit</x:v>
      </x:c>
      <x:c r="E1285" s="170" t="n">
        <x:v>23746816</x:v>
      </x:c>
      <x:c r="F1285" s="170" t="n">
        <x:v>23746816</x:v>
      </x:c>
      <x:c r="G1285" s="170" t="str">
        <x:v>Rs '000</x:v>
      </x:c>
      <x:c r="H1285" s="170" t="n">
        <x:f>F1285/1000</x:f>
        <x:v>23746.816</x:v>
      </x:c>
      <x:c r="I1285" s="170" t="n">
        <x:f>MLCF!H100</x:f>
        <x:v>23746.816</x:v>
      </x:c>
      <x:c r="J1285" s="170" t="n">
        <x:f>H1285-I1285</x:f>
        <x:v>0</x:v>
      </x:c>
      <x:c r="K1285" s="76" t="str">
        <x:v>2025.pdf</x:v>
      </x:c>
      <x:c r="L1285" s="76" t="n">
        <x:v>203</x:v>
      </x:c>
      <x:c r="M1285" s="76" t="str">
        <x:v>Current year</x:v>
      </x:c>
      <x:c r="N1285" s="99" t="str">
        <x:v>Printed amount independently located</x:v>
      </x:c>
      <x:c r="O1285" s="99" t="str">
        <x:v>Exact source amount found; audited year/current-comparative column recorded. Accounting subtotal tests performed separately.</x:v>
      </x:c>
      <x:c r="P1285" s="99" t="str">
        <x:v>d) 
    Restated
Revenue from contracts with customers - net 34  68,942,446   66,452,348 
Cost of sales 35  (45,195,630)  (45,488,064)
Gross profit   23,746,816   20,964,284 
Selling and distribution expenses 36  (4,123,754)  (5,471,808)
Administrative expenses 37  (2,176,320)  (1,852,148)
Net impairment loss on financial assets 26.1  (51</x:v>
      </x:c>
    </x:row>
    <x:row r="1286" ht="82" customHeight="1">
      <x:c r="A1286" s="168" t="str">
        <x:v>MLCF|pr_pbt|2021</x:v>
      </x:c>
      <x:c r="B1286" s="168" t="str">
        <x:v>MLCF</x:v>
      </x:c>
      <x:c r="C1286" s="168" t="str">
        <x:v>FY2021</x:v>
      </x:c>
      <x:c r="D1286" s="168" t="str">
        <x:v>Printed profit before levies and income tax</x:v>
      </x:c>
      <x:c r="E1286" s="169" t="n">
        <x:v>7289601</x:v>
      </x:c>
      <x:c r="F1286" s="169" t="n">
        <x:v>7289601</x:v>
      </x:c>
      <x:c r="G1286" s="169" t="str">
        <x:v>Rs '000</x:v>
      </x:c>
      <x:c r="H1286" s="169" t="n">
        <x:f>F1286/1000</x:f>
        <x:v>7289.601</x:v>
      </x:c>
      <x:c r="I1286" s="169" t="n">
        <x:f>MLCF!D101</x:f>
        <x:v>7289.601</x:v>
      </x:c>
      <x:c r="J1286" s="169" t="n">
        <x:f>H1286-I1286</x:f>
        <x:v>0</x:v>
      </x:c>
      <x:c r="K1286" s="168" t="str">
        <x:v>2022.pdf</x:v>
      </x:c>
      <x:c r="L1286" s="168" t="n">
        <x:v>185</x:v>
      </x:c>
      <x:c r="M1286" s="168" t="str">
        <x:v>Comparative</x:v>
      </x:c>
      <x:c r="N1286" s="171" t="str">
        <x:v>Printed amount independently located</x:v>
      </x:c>
      <x:c r="O1286" s="171" t="str">
        <x:v>Exact source amount found; audited year/current-comparative column recorded. Accounting subtotal tests performed separately.</x:v>
      </x:c>
      <x:c r="P1286" s="171" t="str">
        <x:v>3,732,132 
Profit from operations   8,924,538   8,783,531 
Finance cost 41  (1,741,026)  (1,493,930)
Profit before taxation   7,183,512   7,289,601 
Taxation 42  (3,557,172)  (1,035,492)
Profit after taxation   3,626,340   6,254,109 
                                                                         ----</x:v>
      </x:c>
    </x:row>
    <x:row r="1287" ht="82" customHeight="1">
      <x:c r="A1287" s="76" t="str">
        <x:v>MLCF|pr_pbt|2022</x:v>
      </x:c>
      <x:c r="B1287" s="76" t="str">
        <x:v>MLCF</x:v>
      </x:c>
      <x:c r="C1287" s="76" t="str">
        <x:v>FY2022</x:v>
      </x:c>
      <x:c r="D1287" s="76" t="str">
        <x:v>Printed profit before levies and income tax</x:v>
      </x:c>
      <x:c r="E1287" s="170" t="n">
        <x:v>7183512</x:v>
      </x:c>
      <x:c r="F1287" s="170" t="n">
        <x:v>7183512</x:v>
      </x:c>
      <x:c r="G1287" s="170" t="str">
        <x:v>Rs '000</x:v>
      </x:c>
      <x:c r="H1287" s="170" t="n">
        <x:f>F1287/1000</x:f>
        <x:v>7183.512</x:v>
      </x:c>
      <x:c r="I1287" s="170" t="n">
        <x:f>MLCF!E101</x:f>
        <x:v>7183.512</x:v>
      </x:c>
      <x:c r="J1287" s="170" t="n">
        <x:f>H1287-I1287</x:f>
        <x:v>0</x:v>
      </x:c>
      <x:c r="K1287" s="76" t="str">
        <x:v>2023.pdf</x:v>
      </x:c>
      <x:c r="L1287" s="76" t="n">
        <x:v>99</x:v>
      </x:c>
      <x:c r="M1287" s="76" t="str">
        <x:v>Comparative</x:v>
      </x:c>
      <x:c r="N1287" s="99" t="str">
        <x:v>Printed amount independently located</x:v>
      </x:c>
      <x:c r="O1287" s="99" t="str">
        <x:v>Exact source amount found; audited year/current-comparative column recorded. Accounting subtotal tests performed separately.</x:v>
      </x:c>
      <x:c r="P1287" s="99" t="str">
        <x:v>Other income 40 146,646 56,601
Profit from operations  12,001,415 8,924,538
Finance cost 41 (2,750,748) (1,741,026)
Profit before taxation  9,250,667 7,183,512
Taxation 42 (4,758,998) (3,557,172)
Profit after taxation  4,491,669 3,626,340
 ------------- Rupees -------------
Earnings per share - basic and diluted 43 4.18 3.30
The annexed</x:v>
      </x:c>
    </x:row>
    <x:row r="1288" ht="82" customHeight="1">
      <x:c r="A1288" s="168" t="str">
        <x:v>MLCF|pr_pbt|2023</x:v>
      </x:c>
      <x:c r="B1288" s="168" t="str">
        <x:v>MLCF</x:v>
      </x:c>
      <x:c r="C1288" s="168" t="str">
        <x:v>FY2023</x:v>
      </x:c>
      <x:c r="D1288" s="168" t="str">
        <x:v>Printed profit before levies and income tax</x:v>
      </x:c>
      <x:c r="E1288" s="169" t="n">
        <x:v>9250667</x:v>
      </x:c>
      <x:c r="F1288" s="169" t="n">
        <x:v>9250667</x:v>
      </x:c>
      <x:c r="G1288" s="169" t="str">
        <x:v>Rs '000</x:v>
      </x:c>
      <x:c r="H1288" s="169" t="n">
        <x:f>F1288/1000</x:f>
        <x:v>9250.667</x:v>
      </x:c>
      <x:c r="I1288" s="169" t="n">
        <x:f>MLCF!F101</x:f>
        <x:v>9250.667</x:v>
      </x:c>
      <x:c r="J1288" s="169" t="n">
        <x:f>H1288-I1288</x:f>
        <x:v>0</x:v>
      </x:c>
      <x:c r="K1288" s="168" t="str">
        <x:v>2024.pdf</x:v>
      </x:c>
      <x:c r="L1288" s="168" t="n">
        <x:v>191</x:v>
      </x:c>
      <x:c r="M1288" s="168" t="str">
        <x:v>Comparative</x:v>
      </x:c>
      <x:c r="N1288" s="171" t="str">
        <x:v>Printed amount independently located</x:v>
      </x:c>
      <x:c r="O1288" s="171" t="str">
        <x:v>Exact source amount found; audited year/current-comparative column recorded. Accounting subtotal tests performed separately.</x:v>
      </x:c>
      <x:c r="P1288" s="171" t="str">
        <x:v>0 356,142 146,646
Operating profit  13,069,734 12,001,415
Finance cost 41 (4,138,286) (2,750,748)
Profit before final taxes and income tax  8,931,448 9,250,667
Final taxes 42 (45,804) (12,192)
Profit before income tax  8,885,644 9,238,475
Income tax 42 (3,613,117) (4,746,806)
Profit for the year  5,272,527 4,491,669
 ------------- Rupees</x:v>
      </x:c>
    </x:row>
    <x:row r="1289" ht="82" customHeight="1">
      <x:c r="A1289" s="76" t="str">
        <x:v>MLCF|pr_pbt|2024</x:v>
      </x:c>
      <x:c r="B1289" s="76" t="str">
        <x:v>MLCF</x:v>
      </x:c>
      <x:c r="C1289" s="76" t="str">
        <x:v>FY2024</x:v>
      </x:c>
      <x:c r="D1289" s="76" t="str">
        <x:v>Printed profit before levies and income tax</x:v>
      </x:c>
      <x:c r="E1289" s="170" t="n">
        <x:v>8931448</x:v>
      </x:c>
      <x:c r="F1289" s="170" t="n">
        <x:v>8931448</x:v>
      </x:c>
      <x:c r="G1289" s="170" t="str">
        <x:v>Rs '000</x:v>
      </x:c>
      <x:c r="H1289" s="170" t="n">
        <x:f>F1289/1000</x:f>
        <x:v>8931.448</x:v>
      </x:c>
      <x:c r="I1289" s="170" t="n">
        <x:f>MLCF!G101</x:f>
        <x:v>8931.448</x:v>
      </x:c>
      <x:c r="J1289" s="170" t="n">
        <x:f>H1289-I1289</x:f>
        <x:v>0</x:v>
      </x:c>
      <x:c r="K1289" s="76" t="str">
        <x:v>2025.pdf</x:v>
      </x:c>
      <x:c r="L1289" s="76" t="n">
        <x:v>203</x:v>
      </x:c>
      <x:c r="M1289" s="76" t="str">
        <x:v>Comparative</x:v>
      </x:c>
      <x:c r="N1289" s="99" t="str">
        <x:v>Printed amount independently located</x:v>
      </x:c>
      <x:c r="O1289" s="99" t="str">
        <x:v>Exact source amount found; audited year/current-comparative column recorded. Accounting subtotal tests performed separately.</x:v>
      </x:c>
      <x:c r="P1289" s="99" t="str">
        <x:v>138,286)
Finance income 41  1,031,075   117,691 
Finance cost - net  (2,523,713)  (4,020,595)
Profit before final taxes and income tax   21,664,237   8,931,448 
Final taxes - levy 42  (38,972)  (45,804)
Profit before income tax   21,625,265   8,885,644 
Income tax 42  (4,588,891)  (3,613,117)
Profit for the year   17,036,374   5,272,527</x:v>
      </x:c>
    </x:row>
    <x:row r="1290" ht="82" customHeight="1">
      <x:c r="A1290" s="168" t="str">
        <x:v>MLCF|pr_pbt|2025</x:v>
      </x:c>
      <x:c r="B1290" s="168" t="str">
        <x:v>MLCF</x:v>
      </x:c>
      <x:c r="C1290" s="168" t="str">
        <x:v>FY2025</x:v>
      </x:c>
      <x:c r="D1290" s="168" t="str">
        <x:v>Printed profit before levies and income tax</x:v>
      </x:c>
      <x:c r="E1290" s="169" t="n">
        <x:v>21664237</x:v>
      </x:c>
      <x:c r="F1290" s="169" t="n">
        <x:v>21664237</x:v>
      </x:c>
      <x:c r="G1290" s="169" t="str">
        <x:v>Rs '000</x:v>
      </x:c>
      <x:c r="H1290" s="169" t="n">
        <x:f>F1290/1000</x:f>
        <x:v>21664.237</x:v>
      </x:c>
      <x:c r="I1290" s="169" t="n">
        <x:f>MLCF!H101</x:f>
        <x:v>21664.237</x:v>
      </x:c>
      <x:c r="J1290" s="169" t="n">
        <x:f>H1290-I1290</x:f>
        <x:v>0</x:v>
      </x:c>
      <x:c r="K1290" s="168" t="str">
        <x:v>2025.pdf</x:v>
      </x:c>
      <x:c r="L1290" s="168" t="n">
        <x:v>203</x:v>
      </x:c>
      <x:c r="M1290" s="168" t="str">
        <x:v>Current year</x:v>
      </x:c>
      <x:c r="N1290" s="171" t="str">
        <x:v>Printed amount independently located</x:v>
      </x:c>
      <x:c r="O1290" s="171" t="str">
        <x:v>Exact source amount found; audited year/current-comparative column recorded. Accounting subtotal tests performed separately.</x:v>
      </x:c>
      <x:c r="P1290" s="171" t="str">
        <x:v>554,788)  (4,138,286)
Finance income 41  1,031,075   117,691 
Finance cost - net  (2,523,713)  (4,020,595)
Profit before final taxes and income tax   21,664,237   8,931,448 
Final taxes - levy 42  (38,972)  (45,804)
Profit before income tax   21,625,265   8,885,644 
Income tax 42  (4,588,891)  (3,613,117)
Profit for the year   17,036,374</x:v>
      </x:c>
    </x:row>
    <x:row r="1291" ht="82" customHeight="1">
      <x:c r="A1291" s="76" t="str">
        <x:v>MLCF|pr_pat|2021</x:v>
      </x:c>
      <x:c r="B1291" s="76" t="str">
        <x:v>MLCF</x:v>
      </x:c>
      <x:c r="C1291" s="76" t="str">
        <x:v>FY2021</x:v>
      </x:c>
      <x:c r="D1291" s="76" t="str">
        <x:v>Printed profit after tax</x:v>
      </x:c>
      <x:c r="E1291" s="170" t="n">
        <x:v>6254109</x:v>
      </x:c>
      <x:c r="F1291" s="170" t="n">
        <x:v>6254109</x:v>
      </x:c>
      <x:c r="G1291" s="170" t="str">
        <x:v>Rs '000</x:v>
      </x:c>
      <x:c r="H1291" s="170" t="n">
        <x:f>F1291/1000</x:f>
        <x:v>6254.109</x:v>
      </x:c>
      <x:c r="I1291" s="170" t="n">
        <x:f>MLCF!D102</x:f>
        <x:v>6254.109</x:v>
      </x:c>
      <x:c r="J1291" s="170" t="n">
        <x:f>H1291-I1291</x:f>
        <x:v>0</x:v>
      </x:c>
      <x:c r="K1291" s="76" t="str">
        <x:v>2022.pdf</x:v>
      </x:c>
      <x:c r="L1291" s="76" t="n">
        <x:v>185</x:v>
      </x:c>
      <x:c r="M1291" s="76" t="str">
        <x:v>Comparative</x:v>
      </x:c>
      <x:c r="N1291" s="99" t="str">
        <x:v>Printed amount independently located</x:v>
      </x:c>
      <x:c r="O1291" s="99" t="str">
        <x:v>Exact source amount found; audited year/current-comparative column recorded. Accounting subtotal tests performed separately.</x:v>
      </x:c>
      <x:c r="P1291" s="99" t="str">
        <x:v>6)  (1,493,930)
Profit before taxation   7,183,512   7,289,601 
Taxation 42  (3,557,172)  (1,035,492)
Profit after taxation   3,626,340   6,254,109 
                                                                         ---------------Rupees-----------------
Earnings  per share - basic and diluted 43  3.30   5.6</x:v>
      </x:c>
    </x:row>
    <x:row r="1292" ht="82" customHeight="1">
      <x:c r="A1292" s="168" t="str">
        <x:v>MLCF|pr_pat|2022</x:v>
      </x:c>
      <x:c r="B1292" s="168" t="str">
        <x:v>MLCF</x:v>
      </x:c>
      <x:c r="C1292" s="168" t="str">
        <x:v>FY2022</x:v>
      </x:c>
      <x:c r="D1292" s="168" t="str">
        <x:v>Printed profit after tax</x:v>
      </x:c>
      <x:c r="E1292" s="169" t="n">
        <x:v>3626340</x:v>
      </x:c>
      <x:c r="F1292" s="169" t="n">
        <x:v>3626340</x:v>
      </x:c>
      <x:c r="G1292" s="169" t="str">
        <x:v>Rs '000</x:v>
      </x:c>
      <x:c r="H1292" s="169" t="n">
        <x:f>F1292/1000</x:f>
        <x:v>3626.34</x:v>
      </x:c>
      <x:c r="I1292" s="169" t="n">
        <x:f>MLCF!E102</x:f>
        <x:v>3626.34</x:v>
      </x:c>
      <x:c r="J1292" s="169" t="n">
        <x:f>H1292-I1292</x:f>
        <x:v>0</x:v>
      </x:c>
      <x:c r="K1292" s="168" t="str">
        <x:v>2023.pdf</x:v>
      </x:c>
      <x:c r="L1292" s="168" t="n">
        <x:v>99</x:v>
      </x:c>
      <x:c r="M1292" s="168" t="str">
        <x:v>Comparative</x:v>
      </x:c>
      <x:c r="N1292" s="171" t="str">
        <x:v>Printed amount independently located</x:v>
      </x:c>
      <x:c r="O1292" s="171" t="str">
        <x:v>Exact source amount found; audited year/current-comparative column recorded. Accounting subtotal tests performed separately.</x:v>
      </x:c>
      <x:c r="P1292" s="171" t="str">
        <x:v>ance cost 41 (2,750,748) (1,741,026)
Profit before taxation  9,250,667 7,183,512
Taxation 42 (4,758,998) (3,557,172)
Profit after taxation  4,491,669 3,626,340
 ------------- Rupees -------------
Earnings per share - basic and diluted 43 4.18 3.30
The annexed notes from 1 to 57 form an integral part of these unconsolidated financial stat</x:v>
      </x:c>
    </x:row>
    <x:row r="1293" ht="82" customHeight="1">
      <x:c r="A1293" s="76" t="str">
        <x:v>MLCF|pr_pat|2023</x:v>
      </x:c>
      <x:c r="B1293" s="76" t="str">
        <x:v>MLCF</x:v>
      </x:c>
      <x:c r="C1293" s="76" t="str">
        <x:v>FY2023</x:v>
      </x:c>
      <x:c r="D1293" s="76" t="str">
        <x:v>Printed profit after tax</x:v>
      </x:c>
      <x:c r="E1293" s="170" t="n">
        <x:v>4491669</x:v>
      </x:c>
      <x:c r="F1293" s="170" t="n">
        <x:v>4491669</x:v>
      </x:c>
      <x:c r="G1293" s="170" t="str">
        <x:v>Rs '000</x:v>
      </x:c>
      <x:c r="H1293" s="170" t="n">
        <x:f>F1293/1000</x:f>
        <x:v>4491.669</x:v>
      </x:c>
      <x:c r="I1293" s="170" t="n">
        <x:f>MLCF!F102</x:f>
        <x:v>4491.669</x:v>
      </x:c>
      <x:c r="J1293" s="170" t="n">
        <x:f>H1293-I1293</x:f>
        <x:v>0</x:v>
      </x:c>
      <x:c r="K1293" s="76" t="str">
        <x:v>2024.pdf</x:v>
      </x:c>
      <x:c r="L1293" s="76" t="n">
        <x:v>191</x:v>
      </x:c>
      <x:c r="M1293" s="76" t="str">
        <x:v>Comparative</x:v>
      </x:c>
      <x:c r="N1293" s="99" t="str">
        <x:v>Printed amount independently located</x:v>
      </x:c>
      <x:c r="O1293" s="99" t="str">
        <x:v>Exact source amount found; audited year/current-comparative column recorded. Accounting subtotal tests performed separately.</x:v>
      </x:c>
      <x:c r="P1293" s="99" t="str">
        <x:v>7
Final taxes 42 (45,804) (12,192)
Profit before income tax  8,885,644 9,238,475
Income tax 42 (3,613,117) (4,746,806)
Profit for the year  5,272,527 4,491,669
 ------------- Rupees -------------
Earnings per share - basic and diluted 43 4.98 4.18
The annexed notes from 1 to 59 form an integral part of these unconsolidated financial stat</x:v>
      </x:c>
    </x:row>
    <x:row r="1294" ht="82" customHeight="1">
      <x:c r="A1294" s="168" t="str">
        <x:v>MLCF|pr_pat|2024</x:v>
      </x:c>
      <x:c r="B1294" s="168" t="str">
        <x:v>MLCF</x:v>
      </x:c>
      <x:c r="C1294" s="168" t="str">
        <x:v>FY2024</x:v>
      </x:c>
      <x:c r="D1294" s="168" t="str">
        <x:v>Printed profit after tax</x:v>
      </x:c>
      <x:c r="E1294" s="169" t="n">
        <x:v>5272527</x:v>
      </x:c>
      <x:c r="F1294" s="169" t="n">
        <x:v>5272527</x:v>
      </x:c>
      <x:c r="G1294" s="169" t="str">
        <x:v>Rs '000</x:v>
      </x:c>
      <x:c r="H1294" s="169" t="n">
        <x:f>F1294/1000</x:f>
        <x:v>5272.527</x:v>
      </x:c>
      <x:c r="I1294" s="169" t="n">
        <x:f>MLCF!G102</x:f>
        <x:v>5272.527</x:v>
      </x:c>
      <x:c r="J1294" s="169" t="n">
        <x:f>H1294-I1294</x:f>
        <x:v>0</x:v>
      </x:c>
      <x:c r="K1294" s="168" t="str">
        <x:v>2025.pdf</x:v>
      </x:c>
      <x:c r="L1294" s="168" t="n">
        <x:v>203</x:v>
      </x:c>
      <x:c r="M1294" s="168" t="str">
        <x:v>Comparative</x:v>
      </x:c>
      <x:c r="N1294" s="171" t="str">
        <x:v>Printed amount independently located</x:v>
      </x:c>
      <x:c r="O1294" s="171" t="str">
        <x:v>Exact source amount found; audited year/current-comparative column recorded. Accounting subtotal tests performed separately.</x:v>
      </x:c>
      <x:c r="P1294" s="171" t="str">
        <x:v>42  (38,972)  (45,804)
Profit before income tax   21,625,265   8,885,644 
Income tax 42  (4,588,891)  (3,613,117)
Profit for the year   17,036,374   5,272,527 
 ------------- Rupees -------------
Earnings per share - basic and diluted 43  16.26   4.98 
The annexed notes from 1 to 59 form an integral part of these unconsolidated financia</x:v>
      </x:c>
    </x:row>
    <x:row r="1295" ht="82" customHeight="1">
      <x:c r="A1295" s="76" t="str">
        <x:v>MLCF|pr_pat|2025</x:v>
      </x:c>
      <x:c r="B1295" s="76" t="str">
        <x:v>MLCF</x:v>
      </x:c>
      <x:c r="C1295" s="76" t="str">
        <x:v>FY2025</x:v>
      </x:c>
      <x:c r="D1295" s="76" t="str">
        <x:v>Printed profit after tax</x:v>
      </x:c>
      <x:c r="E1295" s="170" t="n">
        <x:v>17036374</x:v>
      </x:c>
      <x:c r="F1295" s="170" t="n">
        <x:v>17036374</x:v>
      </x:c>
      <x:c r="G1295" s="170" t="str">
        <x:v>Rs '000</x:v>
      </x:c>
      <x:c r="H1295" s="170" t="n">
        <x:f>F1295/1000</x:f>
        <x:v>17036.374</x:v>
      </x:c>
      <x:c r="I1295" s="170" t="n">
        <x:f>MLCF!H102</x:f>
        <x:v>17036.374</x:v>
      </x:c>
      <x:c r="J1295" s="170" t="n">
        <x:f>H1295-I1295</x:f>
        <x:v>0</x:v>
      </x:c>
      <x:c r="K1295" s="76" t="str">
        <x:v>2025.pdf</x:v>
      </x:c>
      <x:c r="L1295" s="76" t="n">
        <x:v>203</x:v>
      </x:c>
      <x:c r="M1295" s="76" t="str">
        <x:v>Current year</x:v>
      </x:c>
      <x:c r="N1295" s="99" t="str">
        <x:v>Printed amount independently located</x:v>
      </x:c>
      <x:c r="O1295" s="99" t="str">
        <x:v>Exact source amount found; audited year/current-comparative column recorded. Accounting subtotal tests performed separately.</x:v>
      </x:c>
      <x:c r="P1295" s="99" t="str">
        <x:v>taxes - levy 42  (38,972)  (45,804)
Profit before income tax   21,625,265   8,885,644 
Income tax 42  (4,588,891)  (3,613,117)
Profit for the year   17,036,374   5,272,527 
 ------------- Rupees -------------
Earnings per share - basic and diluted 43  16.26   4.98 
The annexed notes from 1 to 59 form an integral part of these unconsolida</x:v>
      </x:c>
    </x:row>
    <x:row r="1296" ht="82" customHeight="1">
      <x:c r="A1296" s="168" t="str">
        <x:v>MLCF|fc_nonint|2021</x:v>
      </x:c>
      <x:c r="B1296" s="168" t="str">
        <x:v>MLCF</x:v>
      </x:c>
      <x:c r="C1296" s="168" t="str">
        <x:v>FY2021</x:v>
      </x:c>
      <x:c r="D1296" s="168" t="str">
        <x:v>Non-interest finance costs (bank charges, commission, exchange loss) (note)</x:v>
      </x:c>
      <x:c r="E1296" s="169" t="n">
        <x:v>46652</x:v>
      </x:c>
      <x:c r="F1296" s="169" t="n">
        <x:v>46652</x:v>
      </x:c>
      <x:c r="G1296" s="169" t="str">
        <x:v>Rs '000</x:v>
      </x:c>
      <x:c r="H1296" s="169" t="n">
        <x:f>F1296/1000</x:f>
        <x:v>46.652</x:v>
      </x:c>
      <x:c r="I1296" s="169" t="n">
        <x:f>MLCF!D105</x:f>
        <x:v>46.652</x:v>
      </x:c>
      <x:c r="J1296" s="169" t="n">
        <x:f>H1296-I1296</x:f>
        <x:v>0</x:v>
      </x:c>
      <x:c r="K1296" s="168" t="str">
        <x:v>2022.pdf</x:v>
      </x:c>
      <x:c r="L1296" s="168" t="n">
        <x:v>242</x:v>
      </x:c>
      <x:c r="M1296" s="168" t="str">
        <x:v>Comparative</x:v>
      </x:c>
      <x:c r="N1296" s="171" t="str">
        <x:v>Printed amount independently located</x:v>
      </x:c>
      <x:c r="O1296" s="171" t="str">
        <x:v>Exact source amount found; audited year/current-comparative column recorded. Accounting subtotal tests performed separately.</x:v>
      </x:c>
      <x:c r="P1296" s="171" t="str">
        <x:v>unwinding of payable to 
    government authority   9,871   20,920 
 Interest on lease liabilities   2,377   -   
 Bank and other charges   51,001   46,652 
    1,741,026   1,493,930</x:v>
      </x:c>
    </x:row>
    <x:row r="1297" ht="82" customHeight="1">
      <x:c r="A1297" s="76" t="str">
        <x:v>MLCF|fc_nonint|2022</x:v>
      </x:c>
      <x:c r="B1297" s="76" t="str">
        <x:v>MLCF</x:v>
      </x:c>
      <x:c r="C1297" s="76" t="str">
        <x:v>FY2022</x:v>
      </x:c>
      <x:c r="D1297" s="76" t="str">
        <x:v>Non-interest finance costs (bank charges, commission, exchange loss) (note)</x:v>
      </x:c>
      <x:c r="E1297" s="170" t="n">
        <x:v>51001</x:v>
      </x:c>
      <x:c r="F1297" s="170" t="n">
        <x:v>51001</x:v>
      </x:c>
      <x:c r="G1297" s="170" t="str">
        <x:v>Rs '000</x:v>
      </x:c>
      <x:c r="H1297" s="170" t="n">
        <x:f>F1297/1000</x:f>
        <x:v>51.001</x:v>
      </x:c>
      <x:c r="I1297" s="170" t="n">
        <x:f>MLCF!E105</x:f>
        <x:v>51.001</x:v>
      </x:c>
      <x:c r="J1297" s="170" t="n">
        <x:f>H1297-I1297</x:f>
        <x:v>0</x:v>
      </x:c>
      <x:c r="K1297" s="76" t="str">
        <x:v>2022.pdf</x:v>
      </x:c>
      <x:c r="L1297" s="76" t="n">
        <x:v>242</x:v>
      </x:c>
      <x:c r="M1297" s="76" t="str">
        <x:v>Current year</x:v>
      </x:c>
      <x:c r="N1297" s="99" t="str">
        <x:v>Printed amount independently located</x:v>
      </x:c>
      <x:c r="O1297" s="99" t="str">
        <x:v>Exact source amount found; audited year/current-comparative column recorded. Accounting subtotal tests performed separately.</x:v>
      </x:c>
      <x:c r="P1297" s="99" t="str">
        <x:v>terest on unwinding of payable to 
    government authority   9,871   20,920 
 Interest on lease liabilities   2,377   -   
 Bank and other charges   51,001   46,652 
    1,741,026   1,493,930</x:v>
      </x:c>
    </x:row>
    <x:row r="1298" ht="82" customHeight="1">
      <x:c r="A1298" s="168" t="str">
        <x:v>MLCF|fc_nonint|2023</x:v>
      </x:c>
      <x:c r="B1298" s="168" t="str">
        <x:v>MLCF</x:v>
      </x:c>
      <x:c r="C1298" s="168" t="str">
        <x:v>FY2023</x:v>
      </x:c>
      <x:c r="D1298" s="168" t="str">
        <x:v>Non-interest finance costs (bank charges, commission, exchange loss) (note)</x:v>
      </x:c>
      <x:c r="E1298" s="169" t="n">
        <x:v>67573</x:v>
      </x:c>
      <x:c r="F1298" s="169" t="n">
        <x:v>67573</x:v>
      </x:c>
      <x:c r="G1298" s="169" t="str">
        <x:v>Rs '000</x:v>
      </x:c>
      <x:c r="H1298" s="169" t="n">
        <x:f>F1298/1000</x:f>
        <x:v>67.573</x:v>
      </x:c>
      <x:c r="I1298" s="169" t="n">
        <x:f>MLCF!F105</x:f>
        <x:v>67.573</x:v>
      </x:c>
      <x:c r="J1298" s="169" t="n">
        <x:f>H1298-I1298</x:f>
        <x:v>0</x:v>
      </x:c>
      <x:c r="K1298" s="168" t="str">
        <x:v>2024.pdf</x:v>
      </x:c>
      <x:c r="L1298" s="168" t="n">
        <x:v>250</x:v>
      </x:c>
      <x:c r="M1298" s="168" t="str">
        <x:v>Comparative</x:v>
      </x:c>
      <x:c r="N1298" s="171" t="str">
        <x:v>Printed amount independently located</x:v>
      </x:c>
      <x:c r="O1298" s="171" t="str">
        <x:v>Exact source amount found; audited year/current-comparative column recorded. Accounting subtotal tests performed separately.</x:v>
      </x:c>
      <x:c r="P1298" s="171" t="str">
        <x:v>otional interest on unwinding of payable to
  government authority  - 216
 Interest on lease liabilities  6,842 5,038
 Bank and other charges  82,866 67,573
    4,138,286 2,750,748
42. TAXATION
 Final taxes 42.1 45,804 12,192
 Income tax
  Current - for the year  1,246,468 1,940,262
  Deferred  2,366,649 2,806,544
    3,613,117 4,746,</x:v>
      </x:c>
    </x:row>
    <x:row r="1299" ht="82" customHeight="1">
      <x:c r="A1299" s="76" t="str">
        <x:v>MLCF|fc_nonint|2024</x:v>
      </x:c>
      <x:c r="B1299" s="76" t="str">
        <x:v>MLCF</x:v>
      </x:c>
      <x:c r="C1299" s="76" t="str">
        <x:v>FY2024</x:v>
      </x:c>
      <x:c r="D1299" s="76" t="str">
        <x:v>Non-interest finance costs (bank charges, commission, exchange loss) (note)</x:v>
      </x:c>
      <x:c r="E1299" s="170" t="n">
        <x:v>82866</x:v>
      </x:c>
      <x:c r="F1299" s="170" t="n">
        <x:v>82866</x:v>
      </x:c>
      <x:c r="G1299" s="170" t="str">
        <x:v>Rs '000</x:v>
      </x:c>
      <x:c r="H1299" s="170" t="n">
        <x:f>F1299/1000</x:f>
        <x:v>82.866</x:v>
      </x:c>
      <x:c r="I1299" s="170" t="n">
        <x:f>MLCF!G105</x:f>
        <x:v>82.866</x:v>
      </x:c>
      <x:c r="J1299" s="170" t="n">
        <x:f>H1299-I1299</x:f>
        <x:v>0</x:v>
      </x:c>
      <x:c r="K1299" s="76" t="str">
        <x:v>2025.pdf</x:v>
      </x:c>
      <x:c r="L1299" s="76" t="n">
        <x:v>265</x:v>
      </x:c>
      <x:c r="M1299" s="76" t="str">
        <x:v>Comparative</x:v>
      </x:c>
      <x:c r="N1299" s="99" t="str">
        <x:v>Printed amount independently located</x:v>
      </x:c>
      <x:c r="O1299" s="99" t="str">
        <x:v>Exact source amount found; audited year/current-comparative column recorded. Accounting subtotal tests performed separately.</x:v>
      </x:c>
      <x:c r="P1299" s="99" t="str">
        <x:v>m borrowings   1,002,492   237,299 
     3,406,667   4,048,578 
 Interest on lease liabilities   7,287   6,842 
 Bank and other charges   140,834   82,866 
     3,554,788   4,138,286 
   2025 2024
  Note (Rupees in thousand) 
41. FINANCE INCOME   Restated
 Profit on bank deposits 41.1  226,009   117,691 
 Gain on disposal of inve</x:v>
      </x:c>
    </x:row>
    <x:row r="1300" ht="82" customHeight="1">
      <x:c r="A1300" s="168" t="str">
        <x:v>MLCF|fc_nonint|2025</x:v>
      </x:c>
      <x:c r="B1300" s="168" t="str">
        <x:v>MLCF</x:v>
      </x:c>
      <x:c r="C1300" s="168" t="str">
        <x:v>FY2025</x:v>
      </x:c>
      <x:c r="D1300" s="168" t="str">
        <x:v>Non-interest finance costs (bank charges, commission, exchange loss) (note)</x:v>
      </x:c>
      <x:c r="E1300" s="169" t="n">
        <x:v>140834</x:v>
      </x:c>
      <x:c r="F1300" s="169" t="n">
        <x:v>140834</x:v>
      </x:c>
      <x:c r="G1300" s="169" t="str">
        <x:v>Rs '000</x:v>
      </x:c>
      <x:c r="H1300" s="169" t="n">
        <x:f>F1300/1000</x:f>
        <x:v>140.834</x:v>
      </x:c>
      <x:c r="I1300" s="169" t="n">
        <x:f>MLCF!H105</x:f>
        <x:v>140.834</x:v>
      </x:c>
      <x:c r="J1300" s="169" t="n">
        <x:f>H1300-I1300</x:f>
        <x:v>0</x:v>
      </x:c>
      <x:c r="K1300" s="168" t="str">
        <x:v>2025.pdf</x:v>
      </x:c>
      <x:c r="L1300" s="168" t="n">
        <x:v>265</x:v>
      </x:c>
      <x:c r="M1300" s="168" t="str">
        <x:v>Current year</x:v>
      </x:c>
      <x:c r="N1300" s="171" t="str">
        <x:v>Printed amount independently located</x:v>
      </x:c>
      <x:c r="O1300" s="171" t="str">
        <x:v>Exact source amount found; audited year/current-comparative column recorded. Accounting subtotal tests performed separately.</x:v>
      </x:c>
      <x:c r="P1300" s="171" t="str">
        <x:v>Short term borrowings   1,002,492   237,299 
     3,406,667   4,048,578 
 Interest on lease liabilities   7,287   6,842 
 Bank and other charges   140,834   82,866 
     3,554,788   4,138,286 
   2025 2024
  Note (Rupees in thousand) 
41. FINANCE INCOME   Restated
 Profit on bank deposits 41.1  226,009   117,691 
 Gain on disposa</x:v>
      </x:c>
    </x:row>
    <x:row r="1301" ht="82" customHeight="1">
      <x:c r="A1301" s="76" t="str">
        <x:v>MLCF|da|2021</x:v>
      </x:c>
      <x:c r="B1301" s="76" t="str">
        <x:v>MLCF</x:v>
      </x:c>
      <x:c r="C1301" s="76" t="str">
        <x:v>FY2021</x:v>
      </x:c>
      <x:c r="D1301" s="76" t="str">
        <x:v>Depreciation and amortisation (cash flow reconciliation)</x:v>
      </x:c>
      <x:c r="E1301" s="170" t="n">
        <x:v>3287702</x:v>
      </x:c>
      <x:c r="F1301" s="170" t="n">
        <x:v>3287702</x:v>
      </x:c>
      <x:c r="G1301" s="170" t="str">
        <x:v>Rs '000</x:v>
      </x:c>
      <x:c r="H1301" s="170" t="n">
        <x:f>F1301/1000</x:f>
        <x:v>3287.702</x:v>
      </x:c>
      <x:c r="I1301" s="170" t="n">
        <x:f>MLCF!D107</x:f>
        <x:v>3287.702</x:v>
      </x:c>
      <x:c r="J1301" s="170" t="n">
        <x:f>H1301-I1301</x:f>
        <x:v>0</x:v>
      </x:c>
      <x:c r="K1301" s="76" t="str">
        <x:v>2022.pdf</x:v>
      </x:c>
      <x:c r="L1301" s="76" t="n">
        <x:v>187</x:v>
      </x:c>
      <x:c r="M1301" s="76" t="str">
        <x:v>Comparative</x:v>
      </x:c>
      <x:c r="N1301" s="99" t="str">
        <x:v>Aggregated audited components</x:v>
      </x:c>
      <x:c r="O1301" s="99" t="str">
        <x:v>Source-labelled component sum; statement controls and signed-unit conversion independently recomputed.</x:v>
      </x:c>
      <x:c r="P1301" s="99" t="str">
        <x:v>
186
   2022 2021
  Note (Rupees in thousand) 
CASH FLOWS FROM OPERATING ACTIVITIES   
Profit before taxation   7,183,512   7,289,601 
Adjustments for:   
   Depreciation 20.1.8  3 | Components: Depreciation; Amortization</x:v>
      </x:c>
    </x:row>
    <x:row r="1302" ht="82" customHeight="1">
      <x:c r="A1302" s="168" t="str">
        <x:v>MLCF|da|2022</x:v>
      </x:c>
      <x:c r="B1302" s="168" t="str">
        <x:v>MLCF</x:v>
      </x:c>
      <x:c r="C1302" s="168" t="str">
        <x:v>FY2022</x:v>
      </x:c>
      <x:c r="D1302" s="168" t="str">
        <x:v>Depreciation and amortisation (cash flow reconciliation)</x:v>
      </x:c>
      <x:c r="E1302" s="169" t="n">
        <x:v>3233977</x:v>
      </x:c>
      <x:c r="F1302" s="169" t="n">
        <x:v>3233977</x:v>
      </x:c>
      <x:c r="G1302" s="169" t="str">
        <x:v>Rs '000</x:v>
      </x:c>
      <x:c r="H1302" s="169" t="n">
        <x:f>F1302/1000</x:f>
        <x:v>3233.977</x:v>
      </x:c>
      <x:c r="I1302" s="169" t="n">
        <x:f>MLCF!E107</x:f>
        <x:v>3233.977</x:v>
      </x:c>
      <x:c r="J1302" s="169" t="n">
        <x:f>H1302-I1302</x:f>
        <x:v>0</x:v>
      </x:c>
      <x:c r="K1302" s="168" t="str">
        <x:v>2022.pdf</x:v>
      </x:c>
      <x:c r="L1302" s="168" t="n">
        <x:v>187</x:v>
      </x:c>
      <x:c r="M1302" s="168" t="str">
        <x:v>Current year</x:v>
      </x:c>
      <x:c r="N1302" s="171" t="str">
        <x:v>Aggregated audited components</x:v>
      </x:c>
      <x:c r="O1302" s="171" t="str">
        <x:v>Source-labelled component sum; statement controls and signed-unit conversion independently recomputed.</x:v>
      </x:c>
      <x:c r="P1302" s="171" t="str">
        <x:v>
186
   2022 2021
  Note (Rupees in thousand) 
CASH FLOWS FROM OPERATING ACTIVITIES   
Profit before taxation   7,183,512   7,289,601 
Adjustments for:   
   Depreciation 20.1.8  3 | Components: Depreciation; Amortization</x:v>
      </x:c>
    </x:row>
    <x:row r="1303" ht="82" customHeight="1">
      <x:c r="A1303" s="76" t="str">
        <x:v>MLCF|da|2023</x:v>
      </x:c>
      <x:c r="B1303" s="76" t="str">
        <x:v>MLCF</x:v>
      </x:c>
      <x:c r="C1303" s="76" t="str">
        <x:v>FY2023</x:v>
      </x:c>
      <x:c r="D1303" s="76" t="str">
        <x:v>Depreciation and amortisation (cash flow reconciliation)</x:v>
      </x:c>
      <x:c r="E1303" s="170" t="n">
        <x:v>3475349</x:v>
      </x:c>
      <x:c r="F1303" s="170" t="n">
        <x:v>3475349</x:v>
      </x:c>
      <x:c r="G1303" s="170" t="str">
        <x:v>Rs '000</x:v>
      </x:c>
      <x:c r="H1303" s="170" t="n">
        <x:f>F1303/1000</x:f>
        <x:v>3475.349</x:v>
      </x:c>
      <x:c r="I1303" s="170" t="n">
        <x:f>MLCF!F107</x:f>
        <x:v>3475.349</x:v>
      </x:c>
      <x:c r="J1303" s="170" t="n">
        <x:f>H1303-I1303</x:f>
        <x:v>0</x:v>
      </x:c>
      <x:c r="K1303" s="76" t="str">
        <x:v>2024.pdf</x:v>
      </x:c>
      <x:c r="L1303" s="76" t="n">
        <x:v>252</x:v>
      </x:c>
      <x:c r="M1303" s="76" t="str">
        <x:v>Comparative</x:v>
      </x:c>
      <x:c r="N1303" s="99" t="str">
        <x:v>Aggregated audited components</x:v>
      </x:c>
      <x:c r="O1303" s="99" t="str">
        <x:v>Source-labelled component sum; statement controls and signed-unit conversion independently recomputed.</x:v>
      </x:c>
      <x:c r="P1303" s="99" t="str">
        <x:v>
2512024
   2024 2023
  Note (Rupees in thousand) 
44. CASH FLOW INFORMATION
 44.1 Cash generated from operations
  Profit before final taxes and income tax  8,931,448 9,250,667
   | Components: - Depreciation on operating fixed a; - Amortization on intangible assets</x:v>
      </x:c>
    </x:row>
    <x:row r="1304" ht="82" customHeight="1">
      <x:c r="A1304" s="168" t="str">
        <x:v>MLCF|da|2024</x:v>
      </x:c>
      <x:c r="B1304" s="168" t="str">
        <x:v>MLCF</x:v>
      </x:c>
      <x:c r="C1304" s="168" t="str">
        <x:v>FY2024</x:v>
      </x:c>
      <x:c r="D1304" s="168" t="str">
        <x:v>Depreciation and amortisation (cash flow reconciliation)</x:v>
      </x:c>
      <x:c r="E1304" s="169" t="n">
        <x:v>4520347</x:v>
      </x:c>
      <x:c r="F1304" s="169" t="n">
        <x:v>4520347</x:v>
      </x:c>
      <x:c r="G1304" s="169" t="str">
        <x:v>Rs '000</x:v>
      </x:c>
      <x:c r="H1304" s="169" t="n">
        <x:f>F1304/1000</x:f>
        <x:v>4520.347</x:v>
      </x:c>
      <x:c r="I1304" s="169" t="n">
        <x:f>MLCF!G107</x:f>
        <x:v>4520.347</x:v>
      </x:c>
      <x:c r="J1304" s="169" t="n">
        <x:f>H1304-I1304</x:f>
        <x:v>0</x:v>
      </x:c>
      <x:c r="K1304" s="168" t="str">
        <x:v>2025.pdf</x:v>
      </x:c>
      <x:c r="L1304" s="168" t="n">
        <x:v>268</x:v>
      </x:c>
      <x:c r="M1304" s="168" t="str">
        <x:v>Comparative</x:v>
      </x:c>
      <x:c r="N1304" s="171" t="str">
        <x:v>Aggregated audited components</x:v>
      </x:c>
      <x:c r="O1304" s="171" t="str">
        <x:v>Source-labelled component sum; statement controls and signed-unit conversion independently recomputed.</x:v>
      </x:c>
      <x:c r="P1304" s="171" t="str">
        <x:v>
2672025
 43.3 A diluted earnings per share has not been presented as the Company does not have any 
convertible instruments in issue as at June 30, 2025, and June 30, 2024, which  | Components: - Depreciation on operating fixed a; - Depreciation on right-of-use asse; - Amortization on intangible assets</x:v>
      </x:c>
    </x:row>
    <x:row r="1305" ht="82" customHeight="1">
      <x:c r="A1305" s="76" t="str">
        <x:v>MLCF|da|2025</x:v>
      </x:c>
      <x:c r="B1305" s="76" t="str">
        <x:v>MLCF</x:v>
      </x:c>
      <x:c r="C1305" s="76" t="str">
        <x:v>FY2025</x:v>
      </x:c>
      <x:c r="D1305" s="76" t="str">
        <x:v>Depreciation and amortisation (cash flow reconciliation)</x:v>
      </x:c>
      <x:c r="E1305" s="170" t="n">
        <x:v>4413300</x:v>
      </x:c>
      <x:c r="F1305" s="170" t="n">
        <x:v>4413300</x:v>
      </x:c>
      <x:c r="G1305" s="170" t="str">
        <x:v>Rs '000</x:v>
      </x:c>
      <x:c r="H1305" s="170" t="n">
        <x:f>F1305/1000</x:f>
        <x:v>4413.3</x:v>
      </x:c>
      <x:c r="I1305" s="170" t="n">
        <x:f>MLCF!H107</x:f>
        <x:v>4413.3</x:v>
      </x:c>
      <x:c r="J1305" s="170" t="n">
        <x:f>H1305-I1305</x:f>
        <x:v>0</x:v>
      </x:c>
      <x:c r="K1305" s="76" t="str">
        <x:v>2025.pdf</x:v>
      </x:c>
      <x:c r="L1305" s="76" t="n">
        <x:v>268</x:v>
      </x:c>
      <x:c r="M1305" s="76" t="str">
        <x:v>Current year</x:v>
      </x:c>
      <x:c r="N1305" s="99" t="str">
        <x:v>Aggregated audited components</x:v>
      </x:c>
      <x:c r="O1305" s="99" t="str">
        <x:v>Source-labelled component sum; statement controls and signed-unit conversion independently recomputed.</x:v>
      </x:c>
      <x:c r="P1305" s="99" t="str">
        <x:v>
2672025
 43.3 A diluted earnings per share has not been presented as the Company does not have any 
convertible instruments in issue as at June 30, 2025, and June 30, 2024, which  | Components: - Depreciation on operating fixed a; - Depreciation on right-of-use asse; - Amortization on intangible assets</x:v>
      </x:c>
    </x:row>
    <x:row r="1306" ht="82" customHeight="1">
      <x:c r="A1306" s="168" t="str">
        <x:v>MLCF|cgo|2021</x:v>
      </x:c>
      <x:c r="B1306" s="168" t="str">
        <x:v>MLCF</x:v>
      </x:c>
      <x:c r="C1306" s="168" t="str">
        <x:v>FY2021</x:v>
      </x:c>
      <x:c r="D1306" s="168" t="str">
        <x:v>Cash generated from operations (before interest, tax and other items)</x:v>
      </x:c>
      <x:c r="E1306" s="169" t="n">
        <x:v>9013169</x:v>
      </x:c>
      <x:c r="F1306" s="169" t="n">
        <x:v>9013169</x:v>
      </x:c>
      <x:c r="G1306" s="169" t="str">
        <x:v>Rs '000</x:v>
      </x:c>
      <x:c r="H1306" s="169" t="n">
        <x:f>F1306/1000</x:f>
        <x:v>9013.169</x:v>
      </x:c>
      <x:c r="I1306" s="169" t="n">
        <x:f>MLCF!D116</x:f>
        <x:v>9013.169</x:v>
      </x:c>
      <x:c r="J1306" s="169" t="n">
        <x:f>H1306-I1306</x:f>
        <x:v>0</x:v>
      </x:c>
      <x:c r="K1306" s="168" t="str">
        <x:v>2022.pdf</x:v>
      </x:c>
      <x:c r="L1306" s="168" t="n">
        <x:v>187</x:v>
      </x:c>
      <x:c r="M1306" s="168" t="str">
        <x:v>Comparative</x:v>
      </x:c>
      <x:c r="N1306" s="171" t="str">
        <x:v>Printed amount independently located</x:v>
      </x:c>
      <x:c r="O1306" s="171" t="str">
        <x:v>Exact source amount found; audited year/current-comparative column recorded. Accounting subtotal tests performed separately.</x:v>
      </x:c>
      <x:c r="P1306" s="171" t="str">
        <x:v>sidiary 40  -     (3,514,000)
   Finance cost 41  1,703,327   1,447,385 
Cash generated from operations before working capital changes   12,909,174   9,013,169 
Effect on cash flows due to working capital changes   
(Increase) / decrease in current assets   
   Stores, spare parts and loose tools   (3,114,888)  (1,343,107)
   Stock-in-tr</x:v>
      </x:c>
    </x:row>
    <x:row r="1307" ht="82" customHeight="1">
      <x:c r="A1307" s="76" t="str">
        <x:v>MLCF|cgo|2022</x:v>
      </x:c>
      <x:c r="B1307" s="76" t="str">
        <x:v>MLCF</x:v>
      </x:c>
      <x:c r="C1307" s="76" t="str">
        <x:v>FY2022</x:v>
      </x:c>
      <x:c r="D1307" s="76" t="str">
        <x:v>Cash generated from operations (before interest, tax and other items)</x:v>
      </x:c>
      <x:c r="E1307" s="170" t="n">
        <x:v>12905198</x:v>
      </x:c>
      <x:c r="F1307" s="170" t="n">
        <x:v>12905198</x:v>
      </x:c>
      <x:c r="G1307" s="170" t="str">
        <x:v>Rs '000</x:v>
      </x:c>
      <x:c r="H1307" s="170" t="n">
        <x:f>F1307/1000</x:f>
        <x:v>12905.198</x:v>
      </x:c>
      <x:c r="I1307" s="170" t="n">
        <x:f>MLCF!E116</x:f>
        <x:v>12905.198</x:v>
      </x:c>
      <x:c r="J1307" s="170" t="n">
        <x:f>H1307-I1307</x:f>
        <x:v>0</x:v>
      </x:c>
      <x:c r="K1307" s="76" t="str">
        <x:v>2023.pdf</x:v>
      </x:c>
      <x:c r="L1307" s="76" t="n">
        <x:v>100</x:v>
      </x:c>
      <x:c r="M1307" s="76" t="str">
        <x:v>Comparative</x:v>
      </x:c>
      <x:c r="N1307" s="99" t="str">
        <x:v>Printed amount independently located</x:v>
      </x:c>
      <x:c r="O1307" s="99" t="str">
        <x:v>Exact source amount found; audited year/current-comparative column recorded. Accounting subtotal tests performed separately.</x:v>
      </x:c>
      <x:c r="P1307" s="99" t="str">
        <x:v>on bank deposits 40 (53,781) (23,391)
 Finance cost 41 2,747,741 1,703,327
Cash generated from operations before working capital changes  15,897,923 12,905,198
Effect on cash flows due to working capital changes
(Increase) / decrease in current assets
 Stores, spare parts and loose tools  2,927,753 (3,114,888)
 Stock-in-trade  (1,178,984</x:v>
      </x:c>
    </x:row>
    <x:row r="1308" ht="82" customHeight="1">
      <x:c r="A1308" s="168" t="str">
        <x:v>MLCF|cgo|2023</x:v>
      </x:c>
      <x:c r="B1308" s="168" t="str">
        <x:v>MLCF</x:v>
      </x:c>
      <x:c r="C1308" s="168" t="str">
        <x:v>FY2023</x:v>
      </x:c>
      <x:c r="D1308" s="168" t="str">
        <x:v>Cash generated from operations (before interest, tax and other items)</x:v>
      </x:c>
      <x:c r="E1308" s="169" t="n">
        <x:v>19906827</x:v>
      </x:c>
      <x:c r="F1308" s="169" t="n">
        <x:v>19906827</x:v>
      </x:c>
      <x:c r="G1308" s="169" t="str">
        <x:v>Rs '000</x:v>
      </x:c>
      <x:c r="H1308" s="169" t="n">
        <x:f>F1308/1000</x:f>
        <x:v>19906.827</x:v>
      </x:c>
      <x:c r="I1308" s="169" t="n">
        <x:f>MLCF!F116</x:f>
        <x:v>19906.827</x:v>
      </x:c>
      <x:c r="J1308" s="169" t="n">
        <x:f>H1308-I1308</x:f>
        <x:v>0</x:v>
      </x:c>
      <x:c r="K1308" s="168" t="str">
        <x:v>2024.pdf</x:v>
      </x:c>
      <x:c r="L1308" s="168" t="n">
        <x:v>193</x:v>
      </x:c>
      <x:c r="M1308" s="168" t="str">
        <x:v>Comparative</x:v>
      </x:c>
      <x:c r="N1308" s="171" t="str">
        <x:v>Printed amount independently located</x:v>
      </x:c>
      <x:c r="O1308" s="171" t="str">
        <x:v>Exact source amount found; audited year/current-comparative column recorded. Accounting subtotal tests performed separately.</x:v>
      </x:c>
      <x:c r="P1308" s="171" t="str">
        <x:v>YEAR ENDED JUNE 30, 2024
   2024 2023
  Note (Rupees in thousand) 
Cash flows from operating activities
Cash generated from operations 44 12,810,292 19,906,827
(Increase)/decrease in long term loans to employees  (13,139) 1,277
Decrease in long term deposits to suppliers  (5,808) (801)
(Decrease)/increase in retention money payable  (1,7</x:v>
      </x:c>
    </x:row>
    <x:row r="1309" ht="82" customHeight="1">
      <x:c r="A1309" s="76" t="str">
        <x:v>MLCF|cgo|2024</x:v>
      </x:c>
      <x:c r="B1309" s="76" t="str">
        <x:v>MLCF</x:v>
      </x:c>
      <x:c r="C1309" s="76" t="str">
        <x:v>FY2024</x:v>
      </x:c>
      <x:c r="D1309" s="76" t="str">
        <x:v>Cash generated from operations (before interest, tax and other items)</x:v>
      </x:c>
      <x:c r="E1309" s="170" t="n">
        <x:v>12810292</x:v>
      </x:c>
      <x:c r="F1309" s="170" t="n">
        <x:v>12810292</x:v>
      </x:c>
      <x:c r="G1309" s="170" t="str">
        <x:v>Rs '000</x:v>
      </x:c>
      <x:c r="H1309" s="170" t="n">
        <x:f>F1309/1000</x:f>
        <x:v>12810.292</x:v>
      </x:c>
      <x:c r="I1309" s="170" t="n">
        <x:f>MLCF!G116</x:f>
        <x:v>12810.292</x:v>
      </x:c>
      <x:c r="J1309" s="170" t="n">
        <x:f>H1309-I1309</x:f>
        <x:v>0</x:v>
      </x:c>
      <x:c r="K1309" s="76" t="str">
        <x:v>2025.pdf</x:v>
      </x:c>
      <x:c r="L1309" s="76" t="n">
        <x:v>205</x:v>
      </x:c>
      <x:c r="M1309" s="76" t="str">
        <x:v>Comparative</x:v>
      </x:c>
      <x:c r="N1309" s="99" t="str">
        <x:v>Printed amount independently located</x:v>
      </x:c>
      <x:c r="O1309" s="99" t="str">
        <x:v>Exact source amount found; audited year/current-comparative column recorded. Accounting subtotal tests performed separately.</x:v>
      </x:c>
      <x:c r="P1309" s="99" t="str">
        <x:v>AR ENDED JUNE 30, 2025
   2025 2024
  Note (Rupees in thousand) 
Cash flows from operating activities
Cash generated from operations 44  23,320,309   12,810,292 
Decrease / (increase) in long term loans to employees   14,618   (13,139)
Increase in long term deposits to suppliers   (3,100)  (5,808)
Decrease in retention money payable   -</x:v>
      </x:c>
    </x:row>
    <x:row r="1310" ht="82" customHeight="1">
      <x:c r="A1310" s="168" t="str">
        <x:v>MLCF|cgo|2025</x:v>
      </x:c>
      <x:c r="B1310" s="168" t="str">
        <x:v>MLCF</x:v>
      </x:c>
      <x:c r="C1310" s="168" t="str">
        <x:v>FY2025</x:v>
      </x:c>
      <x:c r="D1310" s="168" t="str">
        <x:v>Cash generated from operations (before interest, tax and other items)</x:v>
      </x:c>
      <x:c r="E1310" s="169" t="n">
        <x:v>23320309</x:v>
      </x:c>
      <x:c r="F1310" s="169" t="n">
        <x:v>23320309</x:v>
      </x:c>
      <x:c r="G1310" s="169" t="str">
        <x:v>Rs '000</x:v>
      </x:c>
      <x:c r="H1310" s="169" t="n">
        <x:f>F1310/1000</x:f>
        <x:v>23320.309</x:v>
      </x:c>
      <x:c r="I1310" s="169" t="n">
        <x:f>MLCF!H116</x:f>
        <x:v>23320.309</x:v>
      </x:c>
      <x:c r="J1310" s="169" t="n">
        <x:f>H1310-I1310</x:f>
        <x:v>0</x:v>
      </x:c>
      <x:c r="K1310" s="168" t="str">
        <x:v>2025.pdf</x:v>
      </x:c>
      <x:c r="L1310" s="168" t="n">
        <x:v>205</x:v>
      </x:c>
      <x:c r="M1310" s="168" t="str">
        <x:v>Current year</x:v>
      </x:c>
      <x:c r="N1310" s="171" t="str">
        <x:v>Printed amount independently located</x:v>
      </x:c>
      <x:c r="O1310" s="171" t="str">
        <x:v>Exact source amount found; audited year/current-comparative column recorded. Accounting subtotal tests performed separately.</x:v>
      </x:c>
      <x:c r="P1310" s="171" t="str">
        <x:v>FOR THE YEAR ENDED JUNE 30, 2025
   2025 2024
  Note (Rupees in thousand) 
Cash flows from operating activities
Cash generated from operations 44  23,320,309   12,810,292 
Decrease / (increase) in long term loans to employees   14,618   (13,139)
Increase in long term deposits to suppliers   (3,100)  (5,808)
Decrease in retention money</x:v>
      </x:c>
    </x:row>
    <x:row r="1311" ht="82" customHeight="1">
      <x:c r="A1311" s="76" t="str">
        <x:v>MLCF|cfo|2021</x:v>
      </x:c>
      <x:c r="B1311" s="76" t="str">
        <x:v>MLCF</x:v>
      </x:c>
      <x:c r="C1311" s="76" t="str">
        <x:v>FY2021</x:v>
      </x:c>
      <x:c r="D1311" s="76" t="str">
        <x:v>Net cash from operating activities (as reported)</x:v>
      </x:c>
      <x:c r="E1311" s="170" t="n">
        <x:v>6551967</x:v>
      </x:c>
      <x:c r="F1311" s="170" t="n">
        <x:v>6551967</x:v>
      </x:c>
      <x:c r="G1311" s="170" t="str">
        <x:v>Rs '000</x:v>
      </x:c>
      <x:c r="H1311" s="170" t="n">
        <x:f>F1311/1000</x:f>
        <x:v>6551.967</x:v>
      </x:c>
      <x:c r="I1311" s="170" t="n">
        <x:f>MLCF!D117</x:f>
        <x:v>6551.967</x:v>
      </x:c>
      <x:c r="J1311" s="170" t="n">
        <x:f>H1311-I1311</x:f>
        <x:v>0</x:v>
      </x:c>
      <x:c r="K1311" s="76" t="str">
        <x:v>2022.pdf</x:v>
      </x:c>
      <x:c r="L1311" s="76" t="n">
        <x:v>187</x:v>
      </x:c>
      <x:c r="M1311" s="76" t="str">
        <x:v>Comparative</x:v>
      </x:c>
      <x:c r="N1311" s="99" t="str">
        <x:v>Printed amount independently located</x:v>
      </x:c>
      <x:c r="O1311" s="99" t="str">
        <x:v>Exact source amount found; audited year/current-comparative column recorded. Accounting subtotal tests performed separately.</x:v>
      </x:c>
      <x:c r="P1311" s="99" t="str">
        <x:v>ers’ Welfare Fund paid   (23,185)  (161)
Taxes paid - net of refund   (586,635)  (736,571)
Net cash generated from operating activities   8,334,083   6,551,967 
CASH FLOWS FROM INVESTING ACTIVITIES   
Capital expenditure   (15,790,494)  (3,285,300)
Intangible assets acquired   (6,786)  -   
Dividend received from the subsidiary company</x:v>
      </x:c>
    </x:row>
    <x:row r="1312" ht="82" customHeight="1">
      <x:c r="A1312" s="168" t="str">
        <x:v>MLCF|cfo|2022</x:v>
      </x:c>
      <x:c r="B1312" s="168" t="str">
        <x:v>MLCF</x:v>
      </x:c>
      <x:c r="C1312" s="168" t="str">
        <x:v>FY2022</x:v>
      </x:c>
      <x:c r="D1312" s="168" t="str">
        <x:v>Net cash from operating activities (as reported)</x:v>
      </x:c>
      <x:c r="E1312" s="169" t="n">
        <x:v>8330107</x:v>
      </x:c>
      <x:c r="F1312" s="169" t="n">
        <x:v>8330107</x:v>
      </x:c>
      <x:c r="G1312" s="169" t="str">
        <x:v>Rs '000</x:v>
      </x:c>
      <x:c r="H1312" s="169" t="n">
        <x:f>F1312/1000</x:f>
        <x:v>8330.107</x:v>
      </x:c>
      <x:c r="I1312" s="169" t="n">
        <x:f>MLCF!E117</x:f>
        <x:v>8330.107</x:v>
      </x:c>
      <x:c r="J1312" s="169" t="n">
        <x:f>H1312-I1312</x:f>
        <x:v>0</x:v>
      </x:c>
      <x:c r="K1312" s="168" t="str">
        <x:v>2023.pdf</x:v>
      </x:c>
      <x:c r="L1312" s="168" t="n">
        <x:v>100</x:v>
      </x:c>
      <x:c r="M1312" s="168" t="str">
        <x:v>Comparative</x:v>
      </x:c>
      <x:c r="N1312" s="171" t="str">
        <x:v>Printed amount independently located</x:v>
      </x:c>
      <x:c r="O1312" s="171" t="str">
        <x:v>Exact source amount found; audited year/current-comparative column recorded. Accounting subtotal tests performed separately.</x:v>
      </x:c>
      <x:c r="P1312" s="171" t="str">
        <x:v>kers' Welfare Fund paid  (64,844) (23,185)
Taxes paid - net of refund  (1,459,957) (586,635)
Net cash generated from operating activities  20,143,665 8,330,107
CASH FLOWS FROM INVESTING ACTIVITIES
Capital expenditure  (9,071,126) (15,790,494)
Intangible assets acquired  - (6,786)
Proceeds from disposal of property, plant and equipment  8</x:v>
      </x:c>
    </x:row>
    <x:row r="1313" ht="82" customHeight="1">
      <x:c r="A1313" s="76" t="str">
        <x:v>MLCF|cfo|2023</x:v>
      </x:c>
      <x:c r="B1313" s="76" t="str">
        <x:v>MLCF</x:v>
      </x:c>
      <x:c r="C1313" s="76" t="str">
        <x:v>FY2023</x:v>
      </x:c>
      <x:c r="D1313" s="76" t="str">
        <x:v>Net cash from operating activities (as reported)</x:v>
      </x:c>
      <x:c r="E1313" s="170" t="n">
        <x:v>20143665</x:v>
      </x:c>
      <x:c r="F1313" s="170" t="n">
        <x:v>20143665</x:v>
      </x:c>
      <x:c r="G1313" s="170" t="str">
        <x:v>Rs '000</x:v>
      </x:c>
      <x:c r="H1313" s="170" t="n">
        <x:f>F1313/1000</x:f>
        <x:v>20143.665</x:v>
      </x:c>
      <x:c r="I1313" s="170" t="n">
        <x:f>MLCF!F117</x:f>
        <x:v>20143.665</x:v>
      </x:c>
      <x:c r="J1313" s="170" t="n">
        <x:f>H1313-I1313</x:f>
        <x:v>0</x:v>
      </x:c>
      <x:c r="K1313" s="76" t="str">
        <x:v>2024.pdf</x:v>
      </x:c>
      <x:c r="L1313" s="76" t="n">
        <x:v>193</x:v>
      </x:c>
      <x:c r="M1313" s="76" t="str">
        <x:v>Comparative</x:v>
      </x:c>
      <x:c r="N1313" s="99" t="str">
        <x:v>Printed amount independently located</x:v>
      </x:c>
      <x:c r="O1313" s="99" t="str">
        <x:v>Exact source amount found; audited year/current-comparative column recorded. Accounting subtotal tests performed separately.</x:v>
      </x:c>
      <x:c r="P1313" s="99" t="str">
        <x:v>fit obligations paid  (47,729) (53,879)
Income tax and final taxes paid  (1,494,385) (1,459,957)
Net cash inflow from operating activities  9,496,243 20,143,665
Cash flows from investing activities
Payments for property, plant and equipment  (3,099,319) (9,071,126)
Payments for acquisition of intangibles  (89,828) -
Dividends received  86</x:v>
      </x:c>
    </x:row>
    <x:row r="1314" ht="82" customHeight="1">
      <x:c r="A1314" s="168" t="str">
        <x:v>MLCF|cfo|2024</x:v>
      </x:c>
      <x:c r="B1314" s="168" t="str">
        <x:v>MLCF</x:v>
      </x:c>
      <x:c r="C1314" s="168" t="str">
        <x:v>FY2024</x:v>
      </x:c>
      <x:c r="D1314" s="168" t="str">
        <x:v>Net cash from operating activities (as reported)</x:v>
      </x:c>
      <x:c r="E1314" s="169" t="n">
        <x:v>9496243</x:v>
      </x:c>
      <x:c r="F1314" s="169" t="n">
        <x:v>9496243</x:v>
      </x:c>
      <x:c r="G1314" s="169" t="str">
        <x:v>Rs '000</x:v>
      </x:c>
      <x:c r="H1314" s="169" t="n">
        <x:f>F1314/1000</x:f>
        <x:v>9496.243</x:v>
      </x:c>
      <x:c r="I1314" s="169" t="n">
        <x:f>MLCF!G117</x:f>
        <x:v>9496.243</x:v>
      </x:c>
      <x:c r="J1314" s="169" t="n">
        <x:f>H1314-I1314</x:f>
        <x:v>0</x:v>
      </x:c>
      <x:c r="K1314" s="168" t="str">
        <x:v>2025.pdf</x:v>
      </x:c>
      <x:c r="L1314" s="168" t="n">
        <x:v>205</x:v>
      </x:c>
      <x:c r="M1314" s="168" t="str">
        <x:v>Comparative</x:v>
      </x:c>
      <x:c r="N1314" s="171" t="str">
        <x:v>Printed amount independently located</x:v>
      </x:c>
      <x:c r="O1314" s="171" t="str">
        <x:v>Exact source amount found; audited year/current-comparative column recorded. Accounting subtotal tests performed separately.</x:v>
      </x:c>
      <x:c r="P1314" s="171" t="str">
        <x:v>and final taxes paid   (4,139,001)  (1,494,385)
Income tax refunds received   178,579   -   
Net cash inflow from operating activities   19,316,637   9,496,243 
Cash flows from investing activities
Payments for property, plant and equipment   (423,781)  (3,099,319)
Payments for acquisition of intangibles   (7,816)  (89,828)
Dividends rec</x:v>
      </x:c>
    </x:row>
    <x:row r="1315" ht="82" customHeight="1">
      <x:c r="A1315" s="76" t="str">
        <x:v>MLCF|cfo|2025</x:v>
      </x:c>
      <x:c r="B1315" s="76" t="str">
        <x:v>MLCF</x:v>
      </x:c>
      <x:c r="C1315" s="76" t="str">
        <x:v>FY2025</x:v>
      </x:c>
      <x:c r="D1315" s="76" t="str">
        <x:v>Net cash from operating activities (as reported)</x:v>
      </x:c>
      <x:c r="E1315" s="170" t="n">
        <x:v>19316637</x:v>
      </x:c>
      <x:c r="F1315" s="170" t="n">
        <x:v>19316637</x:v>
      </x:c>
      <x:c r="G1315" s="170" t="str">
        <x:v>Rs '000</x:v>
      </x:c>
      <x:c r="H1315" s="170" t="n">
        <x:f>F1315/1000</x:f>
        <x:v>19316.637</x:v>
      </x:c>
      <x:c r="I1315" s="170" t="n">
        <x:f>MLCF!H117</x:f>
        <x:v>19316.637</x:v>
      </x:c>
      <x:c r="J1315" s="170" t="n">
        <x:f>H1315-I1315</x:f>
        <x:v>0</x:v>
      </x:c>
      <x:c r="K1315" s="76" t="str">
        <x:v>2025.pdf</x:v>
      </x:c>
      <x:c r="L1315" s="76" t="n">
        <x:v>205</x:v>
      </x:c>
      <x:c r="M1315" s="76" t="str">
        <x:v>Current year</x:v>
      </x:c>
      <x:c r="N1315" s="99" t="str">
        <x:v>Printed amount independently located</x:v>
      </x:c>
      <x:c r="O1315" s="99" t="str">
        <x:v>Exact source amount found; audited year/current-comparative column recorded. Accounting subtotal tests performed separately.</x:v>
      </x:c>
      <x:c r="P1315" s="99" t="str">
        <x:v>)
Income tax and final taxes paid   (4,139,001)  (1,494,385)
Income tax refunds received   178,579   -   
Net cash inflow from operating activities   19,316,637   9,496,243 
Cash flows from investing activities
Payments for property, plant and equipment   (423,781)  (3,099,319)
Payments for acquisition of intangibles   (7,816)  (89,828)
D</x:v>
      </x:c>
    </x:row>
    <x:row r="1316" ht="82" customHeight="1">
      <x:c r="A1316" s="168" t="str">
        <x:v>MLCF|fin_paid|2021</x:v>
      </x:c>
      <x:c r="B1316" s="168" t="str">
        <x:v>MLCF</x:v>
      </x:c>
      <x:c r="C1316" s="168" t="str">
        <x:v>FY2021</x:v>
      </x:c>
      <x:c r="D1316" s="168" t="str">
        <x:v>Finance cost / mark-up paid</x:v>
      </x:c>
      <x:c r="E1316" s="169" t="n">
        <x:v>-1733621</x:v>
      </x:c>
      <x:c r="F1316" s="169" t="n">
        <x:v>-1733621</x:v>
      </x:c>
      <x:c r="G1316" s="169" t="str">
        <x:v>Rs '000</x:v>
      </x:c>
      <x:c r="H1316" s="169" t="n">
        <x:f>F1316/1000</x:f>
        <x:v>-1733.621</x:v>
      </x:c>
      <x:c r="I1316" s="169" t="n">
        <x:f>MLCF!D118</x:f>
        <x:v>-1733.621</x:v>
      </x:c>
      <x:c r="J1316" s="169" t="n">
        <x:f>H1316-I1316</x:f>
        <x:v>0</x:v>
      </x:c>
      <x:c r="K1316" s="168" t="str">
        <x:v>2022.pdf</x:v>
      </x:c>
      <x:c r="L1316" s="168" t="n">
        <x:v>187</x:v>
      </x:c>
      <x:c r="M1316" s="168" t="str">
        <x:v>Comparative</x:v>
      </x:c>
      <x:c r="N1316" s="171" t="str">
        <x:v>Printed amount independently located</x:v>
      </x:c>
      <x:c r="O1316" s="171" t="str">
        <x:v>Exact source amount found; audited year/current-comparative column recorded. Accounting subtotal tests performed separately.</x:v>
      </x:c>
      <x:c r="P1316" s="171" t="str">
        <x:v>ng term loan from subsidiary company   1,000,000   (2,000,000)
Short term borrowings - net 18  490,990   (4,121,973)
Finance cost paid   (1,296,781)  (1,733,621)
Lease rentals paid during the year   (12,425)  -   
Own shares purchased for cancellation 6  (477,778)  -   
Dividend paid   (565)  (19,919)
Net cash generated from / (used in) fi</x:v>
      </x:c>
    </x:row>
    <x:row r="1317" ht="82" customHeight="1">
      <x:c r="A1317" s="76" t="str">
        <x:v>MLCF|fin_paid|2022</x:v>
      </x:c>
      <x:c r="B1317" s="76" t="str">
        <x:v>MLCF</x:v>
      </x:c>
      <x:c r="C1317" s="76" t="str">
        <x:v>FY2022</x:v>
      </x:c>
      <x:c r="D1317" s="76" t="str">
        <x:v>Finance cost / mark-up paid</x:v>
      </x:c>
      <x:c r="E1317" s="170" t="n">
        <x:v>-1296781</x:v>
      </x:c>
      <x:c r="F1317" s="170" t="n">
        <x:v>-1296781</x:v>
      </x:c>
      <x:c r="G1317" s="170" t="str">
        <x:v>Rs '000</x:v>
      </x:c>
      <x:c r="H1317" s="170" t="n">
        <x:f>F1317/1000</x:f>
        <x:v>-1296.781</x:v>
      </x:c>
      <x:c r="I1317" s="170" t="n">
        <x:f>MLCF!E118</x:f>
        <x:v>-1296.781</x:v>
      </x:c>
      <x:c r="J1317" s="170" t="n">
        <x:f>H1317-I1317</x:f>
        <x:v>0</x:v>
      </x:c>
      <x:c r="K1317" s="76" t="str">
        <x:v>2023.pdf</x:v>
      </x:c>
      <x:c r="L1317" s="76" t="n">
        <x:v>100</x:v>
      </x:c>
      <x:c r="M1317" s="76" t="str">
        <x:v>Comparative</x:v>
      </x:c>
      <x:c r="N1317" s="99" t="str">
        <x:v>Printed amount independently located</x:v>
      </x:c>
      <x:c r="O1317" s="99" t="str">
        <x:v>Exact source amount found; audited year/current-comparative column recorded. Accounting subtotal tests performed separately.</x:v>
      </x:c>
      <x:c r="P1317" s="99" t="str">
        <x:v>Proceeds from long term loans from subsidiary company  - 1,000,000
Short term borrowings - net 18 (2,174,578) 490,990
Finance cost paid  (2,527,786) (1,296,781)
Lease rentals paid  (14,611) (12,425)
Own share purchased for cancellation  (194,661) (477,778)
Redemption of preference shares  (5) -
Dividend paid  (191) (565)
Net cash (used in</x:v>
      </x:c>
    </x:row>
    <x:row r="1318" ht="82" customHeight="1">
      <x:c r="A1318" s="168" t="str">
        <x:v>MLCF|fin_paid|2023</x:v>
      </x:c>
      <x:c r="B1318" s="168" t="str">
        <x:v>MLCF</x:v>
      </x:c>
      <x:c r="C1318" s="168" t="str">
        <x:v>FY2023</x:v>
      </x:c>
      <x:c r="D1318" s="168" t="str">
        <x:v>Finance cost / mark-up paid</x:v>
      </x:c>
      <x:c r="E1318" s="169" t="n">
        <x:v>-2527786</x:v>
      </x:c>
      <x:c r="F1318" s="169" t="n">
        <x:v>-2527786</x:v>
      </x:c>
      <x:c r="G1318" s="169" t="str">
        <x:v>Rs '000</x:v>
      </x:c>
      <x:c r="H1318" s="169" t="n">
        <x:f>F1318/1000</x:f>
        <x:v>-2527.786</x:v>
      </x:c>
      <x:c r="I1318" s="169" t="n">
        <x:f>MLCF!F118</x:f>
        <x:v>-2527.786</x:v>
      </x:c>
      <x:c r="J1318" s="169" t="n">
        <x:f>H1318-I1318</x:f>
        <x:v>0</x:v>
      </x:c>
      <x:c r="K1318" s="168" t="str">
        <x:v>2024.pdf</x:v>
      </x:c>
      <x:c r="L1318" s="168" t="n">
        <x:v>193</x:v>
      </x:c>
      <x:c r="M1318" s="168" t="str">
        <x:v>Comparative</x:v>
      </x:c>
      <x:c r="N1318" s="171" t="str">
        <x:v>Printed amount independently located</x:v>
      </x:c>
      <x:c r="O1318" s="171" t="str">
        <x:v>Exact source amount found; audited year/current-comparative column recorded. Accounting subtotal tests performed separately.</x:v>
      </x:c>
      <x:c r="P1318" s="171" t="str">
        <x:v>20,571)
Proceeds from long term loan from a subsidiary company  2,500,000 -
Short term borrowings - net  - (2,174,578)
Finance cost paid  (4,145,538) (2,527,786)
Lease rentals paid  (18,529) (14,611)
Payments for shares bought back  (999,145) (194,661)
Redemption of preference shares  (12) (5)
Dividend paid  (122) (191)
Net cash outflow fr</x:v>
      </x:c>
    </x:row>
    <x:row r="1319" ht="82" customHeight="1">
      <x:c r="A1319" s="76" t="str">
        <x:v>MLCF|fin_paid|2024</x:v>
      </x:c>
      <x:c r="B1319" s="76" t="str">
        <x:v>MLCF</x:v>
      </x:c>
      <x:c r="C1319" s="76" t="str">
        <x:v>FY2024</x:v>
      </x:c>
      <x:c r="D1319" s="76" t="str">
        <x:v>Finance cost / mark-up paid</x:v>
      </x:c>
      <x:c r="E1319" s="170" t="n">
        <x:v>-4145538</x:v>
      </x:c>
      <x:c r="F1319" s="170" t="n">
        <x:v>-4145538</x:v>
      </x:c>
      <x:c r="G1319" s="170" t="str">
        <x:v>Rs '000</x:v>
      </x:c>
      <x:c r="H1319" s="170" t="n">
        <x:f>F1319/1000</x:f>
        <x:v>-4145.538</x:v>
      </x:c>
      <x:c r="I1319" s="170" t="n">
        <x:f>MLCF!G118</x:f>
        <x:v>-4145.538</x:v>
      </x:c>
      <x:c r="J1319" s="170" t="n">
        <x:f>H1319-I1319</x:f>
        <x:v>0</x:v>
      </x:c>
      <x:c r="K1319" s="76" t="str">
        <x:v>2025.pdf</x:v>
      </x:c>
      <x:c r="L1319" s="76" t="n">
        <x:v>205</x:v>
      </x:c>
      <x:c r="M1319" s="76" t="str">
        <x:v>Comparative</x:v>
      </x:c>
      <x:c r="N1319" s="99" t="str">
        <x:v>Printed amount independently located</x:v>
      </x:c>
      <x:c r="O1319" s="99" t="str">
        <x:v>Exact source amount found; audited year/current-comparative column recorded. Accounting subtotal tests performed separately.</x:v>
      </x:c>
      <x:c r="P1319" s="99" t="str">
        <x:v>payment of long term loan from a subsidiary company   (4,500,000)  -   
Short term borrowings - net   678,765   -   
Finance cost paid   (4,093,012)  (4,145,538)
Lease rentals paid   (20,572)  (18,529)
Payments for shares bought back   -     (999,145)
Redemption of preference shares   (3)  (12)
Dividend paid   (379)  (122)
Net cash outflow</x:v>
      </x:c>
    </x:row>
    <x:row r="1320" ht="82" customHeight="1">
      <x:c r="A1320" s="168" t="str">
        <x:v>MLCF|fin_paid|2025</x:v>
      </x:c>
      <x:c r="B1320" s="168" t="str">
        <x:v>MLCF</x:v>
      </x:c>
      <x:c r="C1320" s="168" t="str">
        <x:v>FY2025</x:v>
      </x:c>
      <x:c r="D1320" s="168" t="str">
        <x:v>Finance cost / mark-up paid</x:v>
      </x:c>
      <x:c r="E1320" s="169" t="n">
        <x:v>-4093012</x:v>
      </x:c>
      <x:c r="F1320" s="169" t="n">
        <x:v>-4093012</x:v>
      </x:c>
      <x:c r="G1320" s="169" t="str">
        <x:v>Rs '000</x:v>
      </x:c>
      <x:c r="H1320" s="169" t="n">
        <x:f>F1320/1000</x:f>
        <x:v>-4093.012</x:v>
      </x:c>
      <x:c r="I1320" s="169" t="n">
        <x:f>MLCF!H118</x:f>
        <x:v>-4093.012</x:v>
      </x:c>
      <x:c r="J1320" s="169" t="n">
        <x:f>H1320-I1320</x:f>
        <x:v>0</x:v>
      </x:c>
      <x:c r="K1320" s="168" t="str">
        <x:v>2025.pdf</x:v>
      </x:c>
      <x:c r="L1320" s="168" t="n">
        <x:v>205</x:v>
      </x:c>
      <x:c r="M1320" s="168" t="str">
        <x:v>Current year</x:v>
      </x:c>
      <x:c r="N1320" s="171" t="str">
        <x:v>Printed amount independently located</x:v>
      </x:c>
      <x:c r="O1320" s="171" t="str">
        <x:v>Exact source amount found; audited year/current-comparative column recorded. Accounting subtotal tests performed separately.</x:v>
      </x:c>
      <x:c r="P1320" s="171" t="str">
        <x:v>2,500,000 
Repayment of long term loan from a subsidiary company   (4,500,000)  -   
Short term borrowings - net   678,765   -   
Finance cost paid   (4,093,012)  (4,145,538)
Lease rentals paid   (20,572)  (18,529)
Payments for shares bought back   -     (999,145)
Redemption of preference shares   (3)  (12)
Dividend paid   (379)  (122)
Net</x:v>
      </x:c>
    </x:row>
    <x:row r="1321" ht="82" customHeight="1">
      <x:c r="A1321" s="76" t="str">
        <x:v>MLCF|fin_paid_cls|2021</x:v>
      </x:c>
      <x:c r="B1321" s="76" t="str">
        <x:v>MLCF</x:v>
      </x:c>
      <x:c r="C1321" s="76" t="str">
        <x:v>FY2021</x:v>
      </x:c>
      <x:c r="D1321" s="76" t="str">
        <x:v>Classification of finance cost paid</x:v>
      </x:c>
      <x:c r="E1321" s="170" t="str">
        <x:v>Financing</x:v>
      </x:c>
      <x:c r="F1321" s="170" t="str">
        <x:v>Financing</x:v>
      </x:c>
      <x:c r="G1321" s="170" t="str">
        <x:v>text</x:v>
      </x:c>
      <x:c r="H1321" s="170" t="str">
        <x:v>Financing</x:v>
      </x:c>
      <x:c r="I1321" s="170" t="str">
        <x:f>MLCF!D119</x:f>
        <x:v>Financing</x:v>
      </x:c>
      <x:c r="J1321" s="170" t="str">
        <x:v>n/a</x:v>
      </x:c>
      <x:c r="K1321" s="76" t="str">
        <x:v>2022.pdf</x:v>
      </x:c>
      <x:c r="L1321" s="76" t="n">
        <x:v>187</x:v>
      </x:c>
      <x:c r="M1321" s="76" t="str">
        <x:v>Comparative</x:v>
      </x:c>
      <x:c r="N1321" s="99" t="str">
        <x:v>Cash-flow classification inspected</x:v>
      </x:c>
      <x:c r="O1321" s="99" t="str">
        <x:v>Supporting cash-flow classification only; excluded from 33-measure scope.</x:v>
      </x:c>
      <x:c r="P1321" s="99" t="str">
        <x:v>
186
   2022 2021
  Note (Rupees in thousand) 
CASH FLOWS FROM OPERATING ACTIVITIES   
Profit before taxation   7,183,512   7,289,601 
Adjustments for:   
   Depreciation 20.1.8  3,231,589   3,284,696 
   Amortization 21</x:v>
      </x:c>
    </x:row>
    <x:row r="1322" ht="82" customHeight="1">
      <x:c r="A1322" s="168" t="str">
        <x:v>MLCF|fin_paid_cls|2022</x:v>
      </x:c>
      <x:c r="B1322" s="168" t="str">
        <x:v>MLCF</x:v>
      </x:c>
      <x:c r="C1322" s="168" t="str">
        <x:v>FY2022</x:v>
      </x:c>
      <x:c r="D1322" s="168" t="str">
        <x:v>Classification of finance cost paid</x:v>
      </x:c>
      <x:c r="E1322" s="169" t="str">
        <x:v>Financing</x:v>
      </x:c>
      <x:c r="F1322" s="169" t="str">
        <x:v>Financing</x:v>
      </x:c>
      <x:c r="G1322" s="169" t="str">
        <x:v>text</x:v>
      </x:c>
      <x:c r="H1322" s="169" t="str">
        <x:v>Financing</x:v>
      </x:c>
      <x:c r="I1322" s="169" t="str">
        <x:f>MLCF!E119</x:f>
        <x:v>Financing</x:v>
      </x:c>
      <x:c r="J1322" s="169" t="str">
        <x:v>n/a</x:v>
      </x:c>
      <x:c r="K1322" s="168" t="str">
        <x:v>2023.pdf</x:v>
      </x:c>
      <x:c r="L1322" s="168" t="n">
        <x:v>196</x:v>
      </x:c>
      <x:c r="M1322" s="168" t="str">
        <x:v>Comparative</x:v>
      </x:c>
      <x:c r="N1322" s="171" t="str">
        <x:v>Cash-flow classification inspected</x:v>
      </x:c>
      <x:c r="O1322" s="171" t="str">
        <x:v>Supporting cash-flow classification only; excluded from 33-measure scope.</x:v>
      </x:c>
      <x:c r="P1322" s="171" t="str"/>
    </x:row>
    <x:row r="1323" ht="82" customHeight="1">
      <x:c r="A1323" s="76" t="str">
        <x:v>MLCF|fin_paid_cls|2023</x:v>
      </x:c>
      <x:c r="B1323" s="76" t="str">
        <x:v>MLCF</x:v>
      </x:c>
      <x:c r="C1323" s="76" t="str">
        <x:v>FY2023</x:v>
      </x:c>
      <x:c r="D1323" s="76" t="str">
        <x:v>Classification of finance cost paid</x:v>
      </x:c>
      <x:c r="E1323" s="170" t="str">
        <x:v>Financing</x:v>
      </x:c>
      <x:c r="F1323" s="170" t="str">
        <x:v>Financing</x:v>
      </x:c>
      <x:c r="G1323" s="170" t="str">
        <x:v>text</x:v>
      </x:c>
      <x:c r="H1323" s="170" t="str">
        <x:v>Financing</x:v>
      </x:c>
      <x:c r="I1323" s="170" t="str">
        <x:f>MLCF!F119</x:f>
        <x:v>Financing</x:v>
      </x:c>
      <x:c r="J1323" s="170" t="str">
        <x:v>n/a</x:v>
      </x:c>
      <x:c r="K1323" s="76" t="str">
        <x:v>2024.pdf</x:v>
      </x:c>
      <x:c r="L1323" s="76" t="n">
        <x:v>193</x:v>
      </x:c>
      <x:c r="M1323" s="76" t="str">
        <x:v>Comparative</x:v>
      </x:c>
      <x:c r="N1323" s="99" t="str">
        <x:v>Cash-flow classification inspected</x:v>
      </x:c>
      <x:c r="O1323" s="99" t="str">
        <x:v>Supporting cash-flow classification only; excluded from 33-measure scope.</x:v>
      </x:c>
      <x:c r="P1323" s="99" t="str">
        <x:v>
192
UNCONSOLIDA TED STA TEMENT OF
CASH FLOWS  
FOR THE YEAR ENDED JUNE 30, 2024
   2024 2023
  Note (Rupees in thousand) 
Cash flows from operating activities
Cash generated from operations 44 12,810,292 19,906,827
(Inc</x:v>
      </x:c>
    </x:row>
    <x:row r="1324" ht="82" customHeight="1">
      <x:c r="A1324" s="168" t="str">
        <x:v>MLCF|fin_paid_cls|2024</x:v>
      </x:c>
      <x:c r="B1324" s="168" t="str">
        <x:v>MLCF</x:v>
      </x:c>
      <x:c r="C1324" s="168" t="str">
        <x:v>FY2024</x:v>
      </x:c>
      <x:c r="D1324" s="168" t="str">
        <x:v>Classification of finance cost paid</x:v>
      </x:c>
      <x:c r="E1324" s="169" t="str">
        <x:v>Financing</x:v>
      </x:c>
      <x:c r="F1324" s="169" t="str">
        <x:v>Financing</x:v>
      </x:c>
      <x:c r="G1324" s="169" t="str">
        <x:v>text</x:v>
      </x:c>
      <x:c r="H1324" s="169" t="str">
        <x:v>Financing</x:v>
      </x:c>
      <x:c r="I1324" s="169" t="str">
        <x:f>MLCF!G119</x:f>
        <x:v>Financing</x:v>
      </x:c>
      <x:c r="J1324" s="169" t="str">
        <x:v>n/a</x:v>
      </x:c>
      <x:c r="K1324" s="168" t="str">
        <x:v>2025.pdf</x:v>
      </x:c>
      <x:c r="L1324" s="168" t="n">
        <x:v>205</x:v>
      </x:c>
      <x:c r="M1324" s="168" t="str">
        <x:v>Comparative</x:v>
      </x:c>
      <x:c r="N1324" s="171" t="str">
        <x:v>Cash-flow classification inspected</x:v>
      </x:c>
      <x:c r="O1324" s="171" t="str">
        <x:v>Supporting cash-flow classification only; excluded from 33-measure scope.</x:v>
      </x:c>
      <x:c r="P1324" s="171" t="str">
        <x:v>
204
UNCONSOLIDA TED STA TEMENT OF
CASH FLOWS  
FOR THE YEAR ENDED JUNE 30, 2025
   2025 2024
  Note (Rupees in thousand) 
Cash flows from operating activities
Cash generated from operations 44  23,320,309   12,810,292 
</x:v>
      </x:c>
    </x:row>
    <x:row r="1325" ht="82" customHeight="1">
      <x:c r="A1325" s="76" t="str">
        <x:v>MLCF|fin_paid_cls|2025</x:v>
      </x:c>
      <x:c r="B1325" s="76" t="str">
        <x:v>MLCF</x:v>
      </x:c>
      <x:c r="C1325" s="76" t="str">
        <x:v>FY2025</x:v>
      </x:c>
      <x:c r="D1325" s="76" t="str">
        <x:v>Classification of finance cost paid</x:v>
      </x:c>
      <x:c r="E1325" s="170" t="str">
        <x:v>Financing</x:v>
      </x:c>
      <x:c r="F1325" s="170" t="str">
        <x:v>Financing</x:v>
      </x:c>
      <x:c r="G1325" s="170" t="str">
        <x:v>text</x:v>
      </x:c>
      <x:c r="H1325" s="170" t="str">
        <x:v>Financing</x:v>
      </x:c>
      <x:c r="I1325" s="170" t="str">
        <x:f>MLCF!H119</x:f>
        <x:v>Financing</x:v>
      </x:c>
      <x:c r="J1325" s="170" t="str">
        <x:v>n/a</x:v>
      </x:c>
      <x:c r="K1325" s="76" t="str">
        <x:v>2025.pdf</x:v>
      </x:c>
      <x:c r="L1325" s="76" t="n">
        <x:v>205</x:v>
      </x:c>
      <x:c r="M1325" s="76" t="str">
        <x:v>Current year</x:v>
      </x:c>
      <x:c r="N1325" s="99" t="str">
        <x:v>Cash-flow classification inspected</x:v>
      </x:c>
      <x:c r="O1325" s="99" t="str">
        <x:v>Supporting cash-flow classification only; excluded from 33-measure scope.</x:v>
      </x:c>
      <x:c r="P1325" s="99" t="str">
        <x:v>
204
UNCONSOLIDA TED STA TEMENT OF
CASH FLOWS  
FOR THE YEAR ENDED JUNE 30, 2025
   2025 2024
  Note (Rupees in thousand) 
Cash flows from operating activities
Cash generated from operations 44  23,320,309   12,810,292 
</x:v>
      </x:c>
    </x:row>
    <x:row r="1326" ht="82" customHeight="1">
      <x:c r="A1326" s="168" t="str">
        <x:v>MLCF|capex|2021</x:v>
      </x:c>
      <x:c r="B1326" s="168" t="str">
        <x:v>MLCF</x:v>
      </x:c>
      <x:c r="C1326" s="168" t="str">
        <x:v>FY2021</x:v>
      </x:c>
      <x:c r="D1326" s="168" t="str">
        <x:v>Purchase of property, plant and equipment</x:v>
      </x:c>
      <x:c r="E1326" s="169" t="n">
        <x:v>-3285300</x:v>
      </x:c>
      <x:c r="F1326" s="169" t="n">
        <x:v>-3285300</x:v>
      </x:c>
      <x:c r="G1326" s="169" t="str">
        <x:v>Rs '000</x:v>
      </x:c>
      <x:c r="H1326" s="169" t="n">
        <x:f>F1326/1000</x:f>
        <x:v>-3285.3</x:v>
      </x:c>
      <x:c r="I1326" s="169" t="n">
        <x:f>MLCF!D121</x:f>
        <x:v>-3285.3</x:v>
      </x:c>
      <x:c r="J1326" s="169" t="n">
        <x:f>H1326-I1326</x:f>
        <x:v>0</x:v>
      </x:c>
      <x:c r="K1326" s="168" t="str">
        <x:v>2022.pdf</x:v>
      </x:c>
      <x:c r="L1326" s="168" t="n">
        <x:v>187</x:v>
      </x:c>
      <x:c r="M1326" s="168" t="str">
        <x:v>Comparative</x:v>
      </x:c>
      <x:c r="N1326" s="171" t="str">
        <x:v>Printed amount independently located</x:v>
      </x:c>
      <x:c r="O1326" s="171" t="str">
        <x:v>Exact source amount found; audited year/current-comparative column recorded. Accounting subtotal tests performed separately.</x:v>
      </x:c>
      <x:c r="P1326" s="171" t="str">
        <x:v>71)
Net cash generated from operating activities   8,334,083   6,551,967 
CASH FLOWS FROM INVESTING ACTIVITIES   
Capital expenditure   (15,790,494)  (3,285,300)
Intangible assets acquired   (6,786)  -   
Dividend received from the subsidiary company   -     3,514,000 
Proceeds from disposal of property, plant and equipment   30,583   53,1</x:v>
      </x:c>
    </x:row>
    <x:row r="1327" ht="82" customHeight="1">
      <x:c r="A1327" s="76" t="str">
        <x:v>MLCF|capex|2022</x:v>
      </x:c>
      <x:c r="B1327" s="76" t="str">
        <x:v>MLCF</x:v>
      </x:c>
      <x:c r="C1327" s="76" t="str">
        <x:v>FY2022</x:v>
      </x:c>
      <x:c r="D1327" s="76" t="str">
        <x:v>Purchase of property, plant and equipment</x:v>
      </x:c>
      <x:c r="E1327" s="170" t="n">
        <x:v>-15790494</x:v>
      </x:c>
      <x:c r="F1327" s="170" t="n">
        <x:v>-15790494</x:v>
      </x:c>
      <x:c r="G1327" s="170" t="str">
        <x:v>Rs '000</x:v>
      </x:c>
      <x:c r="H1327" s="170" t="n">
        <x:f>F1327/1000</x:f>
        <x:v>-15790.494</x:v>
      </x:c>
      <x:c r="I1327" s="170" t="n">
        <x:f>MLCF!E121</x:f>
        <x:v>-15790.494</x:v>
      </x:c>
      <x:c r="J1327" s="170" t="n">
        <x:f>H1327-I1327</x:f>
        <x:v>0</x:v>
      </x:c>
      <x:c r="K1327" s="76" t="str">
        <x:v>2023.pdf</x:v>
      </x:c>
      <x:c r="L1327" s="76" t="n">
        <x:v>100</x:v>
      </x:c>
      <x:c r="M1327" s="76" t="str">
        <x:v>Comparative</x:v>
      </x:c>
      <x:c r="N1327" s="99" t="str">
        <x:v>Printed amount independently located</x:v>
      </x:c>
      <x:c r="O1327" s="99" t="str">
        <x:v>Exact source amount found; audited year/current-comparative column recorded. Accounting subtotal tests performed separately.</x:v>
      </x:c>
      <x:c r="P1327" s="99" t="str">
        <x:v>7) (586,635)
Net cash generated from operating activities  20,143,665 8,330,107
CASH FLOWS FROM INVESTING ACTIVITIES
Capital expenditure  (9,071,126) (15,790,494)
Intangible assets acquired  - (6,786)
Proceeds from disposal of property, plant and equipment  89,125 30,583
Long term investment - MLIL  (10,000) -
Short term investment 29 (3,23</x:v>
      </x:c>
    </x:row>
    <x:row r="1328" ht="82" customHeight="1">
      <x:c r="A1328" s="168" t="str">
        <x:v>MLCF|capex|2023</x:v>
      </x:c>
      <x:c r="B1328" s="168" t="str">
        <x:v>MLCF</x:v>
      </x:c>
      <x:c r="C1328" s="168" t="str">
        <x:v>FY2023</x:v>
      </x:c>
      <x:c r="D1328" s="168" t="str">
        <x:v>Purchase of property, plant and equipment</x:v>
      </x:c>
      <x:c r="E1328" s="169" t="n">
        <x:v>-9071126</x:v>
      </x:c>
      <x:c r="F1328" s="169" t="n">
        <x:v>-9071126</x:v>
      </x:c>
      <x:c r="G1328" s="169" t="str">
        <x:v>Rs '000</x:v>
      </x:c>
      <x:c r="H1328" s="169" t="n">
        <x:f>F1328/1000</x:f>
        <x:v>-9071.126</x:v>
      </x:c>
      <x:c r="I1328" s="169" t="n">
        <x:f>MLCF!F121</x:f>
        <x:v>-9071.126</x:v>
      </x:c>
      <x:c r="J1328" s="169" t="n">
        <x:f>H1328-I1328</x:f>
        <x:v>0</x:v>
      </x:c>
      <x:c r="K1328" s="168" t="str">
        <x:v>2024.pdf</x:v>
      </x:c>
      <x:c r="L1328" s="168" t="n">
        <x:v>193</x:v>
      </x:c>
      <x:c r="M1328" s="168" t="str">
        <x:v>Comparative</x:v>
      </x:c>
      <x:c r="N1328" s="171" t="str">
        <x:v>Printed amount independently located</x:v>
      </x:c>
      <x:c r="O1328" s="171" t="str">
        <x:v>Exact source amount found; audited year/current-comparative column recorded. Accounting subtotal tests performed separately.</x:v>
      </x:c>
      <x:c r="P1328" s="171" t="str">
        <x:v>h inflow from operating activities  9,496,243 20,143,665
Cash flows from investing activities
Payments for property, plant and equipment  (3,099,319) (9,071,126)
Payments for acquisition of intangibles  (89,828) -
Dividends received  86,605 -
Proceeds from disposal of property, plant and equipment  285,654 89,125
Long term equity investmen</x:v>
      </x:c>
    </x:row>
    <x:row r="1329" ht="82" customHeight="1">
      <x:c r="A1329" s="76" t="str">
        <x:v>MLCF|capex|2024</x:v>
      </x:c>
      <x:c r="B1329" s="76" t="str">
        <x:v>MLCF</x:v>
      </x:c>
      <x:c r="C1329" s="76" t="str">
        <x:v>FY2024</x:v>
      </x:c>
      <x:c r="D1329" s="76" t="str">
        <x:v>Purchase of property, plant and equipment</x:v>
      </x:c>
      <x:c r="E1329" s="170" t="n">
        <x:v>-3099319</x:v>
      </x:c>
      <x:c r="F1329" s="170" t="n">
        <x:v>-3099319</x:v>
      </x:c>
      <x:c r="G1329" s="170" t="str">
        <x:v>Rs '000</x:v>
      </x:c>
      <x:c r="H1329" s="170" t="n">
        <x:f>F1329/1000</x:f>
        <x:v>-3099.319</x:v>
      </x:c>
      <x:c r="I1329" s="170" t="n">
        <x:f>MLCF!G121</x:f>
        <x:v>-3099.319</x:v>
      </x:c>
      <x:c r="J1329" s="170" t="n">
        <x:f>H1329-I1329</x:f>
        <x:v>0</x:v>
      </x:c>
      <x:c r="K1329" s="76" t="str">
        <x:v>2025.pdf</x:v>
      </x:c>
      <x:c r="L1329" s="76" t="n">
        <x:v>205</x:v>
      </x:c>
      <x:c r="M1329" s="76" t="str">
        <x:v>Comparative</x:v>
      </x:c>
      <x:c r="N1329" s="99" t="str">
        <x:v>Printed amount independently located</x:v>
      </x:c>
      <x:c r="O1329" s="99" t="str">
        <x:v>Exact source amount found; audited year/current-comparative column recorded. Accounting subtotal tests performed separately.</x:v>
      </x:c>
      <x:c r="P1329" s="99" t="str">
        <x:v>flow from operating activities   19,316,637   9,496,243 
Cash flows from investing activities
Payments for property, plant and equipment   (423,781)  (3,099,319)
Payments for acquisition of intangibles   (7,816)  (89,828)
Dividends received   6,660,316   86,605 
Proceeds from disposal of property, plant and equipment   101,904   273,862 
P</x:v>
      </x:c>
    </x:row>
    <x:row r="1330" ht="82" customHeight="1">
      <x:c r="A1330" s="168" t="str">
        <x:v>MLCF|capex|2025</x:v>
      </x:c>
      <x:c r="B1330" s="168" t="str">
        <x:v>MLCF</x:v>
      </x:c>
      <x:c r="C1330" s="168" t="str">
        <x:v>FY2025</x:v>
      </x:c>
      <x:c r="D1330" s="168" t="str">
        <x:v>Purchase of property, plant and equipment</x:v>
      </x:c>
      <x:c r="E1330" s="169" t="n">
        <x:v>-423781</x:v>
      </x:c>
      <x:c r="F1330" s="169" t="n">
        <x:v>-423781</x:v>
      </x:c>
      <x:c r="G1330" s="169" t="str">
        <x:v>Rs '000</x:v>
      </x:c>
      <x:c r="H1330" s="169" t="n">
        <x:f>F1330/1000</x:f>
        <x:v>-423.781</x:v>
      </x:c>
      <x:c r="I1330" s="169" t="n">
        <x:f>MLCF!H121</x:f>
        <x:v>-423.781</x:v>
      </x:c>
      <x:c r="J1330" s="169" t="n">
        <x:f>H1330-I1330</x:f>
        <x:v>0</x:v>
      </x:c>
      <x:c r="K1330" s="168" t="str">
        <x:v>2025.pdf</x:v>
      </x:c>
      <x:c r="L1330" s="168" t="n">
        <x:v>205</x:v>
      </x:c>
      <x:c r="M1330" s="168" t="str">
        <x:v>Current year</x:v>
      </x:c>
      <x:c r="N1330" s="171" t="str">
        <x:v>Printed amount independently located</x:v>
      </x:c>
      <x:c r="O1330" s="171" t="str">
        <x:v>Exact source amount found; audited year/current-comparative column recorded. Accounting subtotal tests performed separately.</x:v>
      </x:c>
      <x:c r="P1330" s="171" t="str">
        <x:v>Net cash inflow from operating activities   19,316,637   9,496,243 
Cash flows from investing activities
Payments for property, plant and equipment   (423,781)  (3,099,319)
Payments for acquisition of intangibles   (7,816)  (89,828)
Dividends received   6,660,316   86,605 
Proceeds from disposal of property, plant and equipment   101,904</x:v>
      </x:c>
    </x:row>
    <x:row r="1331" ht="82" customHeight="1">
      <x:c r="A1331" s="76" t="str">
        <x:v>MLCF|cfi|2021</x:v>
      </x:c>
      <x:c r="B1331" s="76" t="str">
        <x:v>MLCF</x:v>
      </x:c>
      <x:c r="C1331" s="76" t="str">
        <x:v>FY2021</x:v>
      </x:c>
      <x:c r="D1331" s="76" t="str">
        <x:v>Net cash from investing activities</x:v>
      </x:c>
      <x:c r="E1331" s="170" t="n">
        <x:v>251007</x:v>
      </x:c>
      <x:c r="F1331" s="170" t="n">
        <x:v>251007</x:v>
      </x:c>
      <x:c r="G1331" s="170" t="str">
        <x:v>Rs '000</x:v>
      </x:c>
      <x:c r="H1331" s="170" t="n">
        <x:f>F1331/1000</x:f>
        <x:v>251.007</x:v>
      </x:c>
      <x:c r="I1331" s="170" t="n">
        <x:f>MLCF!D122</x:f>
        <x:v>251.007</x:v>
      </x:c>
      <x:c r="J1331" s="170" t="n">
        <x:f>H1331-I1331</x:f>
        <x:v>0</x:v>
      </x:c>
      <x:c r="K1331" s="76" t="str">
        <x:v>2022.pdf</x:v>
      </x:c>
      <x:c r="L1331" s="76" t="n">
        <x:v>187</x:v>
      </x:c>
      <x:c r="M1331" s="76" t="str">
        <x:v>Comparative</x:v>
      </x:c>
      <x:c r="N1331" s="99" t="str">
        <x:v>Printed amount independently located</x:v>
      </x:c>
      <x:c r="O1331" s="99" t="str">
        <x:v>Exact source amount found; audited year/current-comparative column recorded. Accounting subtotal tests performed separately.</x:v>
      </x:c>
      <x:c r="P1331" s="99" t="str">
        <x:v>t 29  (75,000)  (44,500)
Profit on bank deposits received   22,377   13,692 
Net cash (used in) / generated from investing activities   (15,819,320)  251,007 
CASH FLOWS FROM FINANCING ACTIVITIES   
Long term loans from financial institutions - secured - net   6,898,075   1,142,825 
Proceeds from / (repayments of) long term loan from s</x:v>
      </x:c>
    </x:row>
    <x:row r="1332" ht="82" customHeight="1">
      <x:c r="A1332" s="168" t="str">
        <x:v>MLCF|cfi|2022</x:v>
      </x:c>
      <x:c r="B1332" s="168" t="str">
        <x:v>MLCF</x:v>
      </x:c>
      <x:c r="C1332" s="168" t="str">
        <x:v>FY2022</x:v>
      </x:c>
      <x:c r="D1332" s="168" t="str">
        <x:v>Net cash from investing activities</x:v>
      </x:c>
      <x:c r="E1332" s="169" t="n">
        <x:v>-15819320</x:v>
      </x:c>
      <x:c r="F1332" s="169" t="n">
        <x:v>-15819320</x:v>
      </x:c>
      <x:c r="G1332" s="169" t="str">
        <x:v>Rs '000</x:v>
      </x:c>
      <x:c r="H1332" s="169" t="n">
        <x:f>F1332/1000</x:f>
        <x:v>-15819.32</x:v>
      </x:c>
      <x:c r="I1332" s="169" t="n">
        <x:f>MLCF!E122</x:f>
        <x:v>-15819.32</x:v>
      </x:c>
      <x:c r="J1332" s="169" t="n">
        <x:f>H1332-I1332</x:f>
        <x:v>0</x:v>
      </x:c>
      <x:c r="K1332" s="168" t="str">
        <x:v>2023.pdf</x:v>
      </x:c>
      <x:c r="L1332" s="168" t="n">
        <x:v>100</x:v>
      </x:c>
      <x:c r="M1332" s="168" t="str">
        <x:v>Comparative</x:v>
      </x:c>
      <x:c r="N1332" s="171" t="str">
        <x:v>Printed amount independently located</x:v>
      </x:c>
      <x:c r="O1332" s="171" t="str">
        <x:v>Exact source amount found; audited year/current-comparative column recorded. Accounting subtotal tests performed separately.</x:v>
      </x:c>
      <x:c r="P1332" s="171" t="str">
        <x:v>) -
Short term investment 29 (3,234,546) (75,000)
Profit on bank deposits received  52,064 22,377
Net cash used in investing activities  (12,174,483) (15,819,320)
CASH FLOWS FROM FINANCING ACTIVITIES
(Repayments) / Proceeds from long term loans from financial institutions
 - secured - net  (1,720,571) 6,898,075
Proceeds from long term loans</x:v>
      </x:c>
    </x:row>
    <x:row r="1333" ht="82" customHeight="1">
      <x:c r="A1333" s="76" t="str">
        <x:v>MLCF|cfi|2023</x:v>
      </x:c>
      <x:c r="B1333" s="76" t="str">
        <x:v>MLCF</x:v>
      </x:c>
      <x:c r="C1333" s="76" t="str">
        <x:v>FY2023</x:v>
      </x:c>
      <x:c r="D1333" s="76" t="str">
        <x:v>Net cash from investing activities</x:v>
      </x:c>
      <x:c r="E1333" s="170" t="n">
        <x:v>-12174483</x:v>
      </x:c>
      <x:c r="F1333" s="170" t="n">
        <x:v>-12174483</x:v>
      </x:c>
      <x:c r="G1333" s="170" t="str">
        <x:v>Rs '000</x:v>
      </x:c>
      <x:c r="H1333" s="170" t="n">
        <x:f>F1333/1000</x:f>
        <x:v>-12174.483</x:v>
      </x:c>
      <x:c r="I1333" s="170" t="n">
        <x:f>MLCF!F122</x:f>
        <x:v>-12174.483</x:v>
      </x:c>
      <x:c r="J1333" s="170" t="n">
        <x:f>H1333-I1333</x:f>
        <x:v>0</x:v>
      </x:c>
      <x:c r="K1333" s="76" t="str">
        <x:v>2024.pdf</x:v>
      </x:c>
      <x:c r="L1333" s="76" t="n">
        <x:v>193</x:v>
      </x:c>
      <x:c r="M1333" s="76" t="str">
        <x:v>Comparative</x:v>
      </x:c>
      <x:c r="N1333" s="99" t="str">
        <x:v>Printed amount independently located</x:v>
      </x:c>
      <x:c r="O1333" s="99" t="str">
        <x:v>Exact source amount found; audited year/current-comparative column recorded. Accounting subtotal tests performed separately.</x:v>
      </x:c>
      <x:c r="P1333" s="99" t="str">
        <x:v>loan to Maple Leaf Capital Limited  11,409 -
Profit received on bank deposits  94,741 52,064
Net cash outflow from investing activities  (3,030,885) (12,174,483)
Cash flows from financing activities
Repayment of long term loans from financial institutions - secured  (4,819,016) (1,720,571)
Proceeds from long term loan from a subsidiary com</x:v>
      </x:c>
    </x:row>
    <x:row r="1334" ht="82" customHeight="1">
      <x:c r="A1334" s="168" t="str">
        <x:v>MLCF|cfi|2024</x:v>
      </x:c>
      <x:c r="B1334" s="168" t="str">
        <x:v>MLCF</x:v>
      </x:c>
      <x:c r="C1334" s="168" t="str">
        <x:v>FY2024</x:v>
      </x:c>
      <x:c r="D1334" s="168" t="str">
        <x:v>Net cash from investing activities</x:v>
      </x:c>
      <x:c r="E1334" s="169" t="n">
        <x:v>-3030885</x:v>
      </x:c>
      <x:c r="F1334" s="169" t="n">
        <x:v>-3030885</x:v>
      </x:c>
      <x:c r="G1334" s="169" t="str">
        <x:v>Rs '000</x:v>
      </x:c>
      <x:c r="H1334" s="169" t="n">
        <x:f>F1334/1000</x:f>
        <x:v>-3030.885</x:v>
      </x:c>
      <x:c r="I1334" s="169" t="n">
        <x:f>MLCF!G122</x:f>
        <x:v>-3030.885</x:v>
      </x:c>
      <x:c r="J1334" s="169" t="n">
        <x:f>H1334-I1334</x:f>
        <x:v>0</x:v>
      </x:c>
      <x:c r="K1334" s="168" t="str">
        <x:v>2025.pdf</x:v>
      </x:c>
      <x:c r="L1334" s="168" t="n">
        <x:v>205</x:v>
      </x:c>
      <x:c r="M1334" s="168" t="str">
        <x:v>Comparative</x:v>
      </x:c>
      <x:c r="N1334" s="171" t="str">
        <x:v>Printed amount independently located</x:v>
      </x:c>
      <x:c r="O1334" s="171" t="str">
        <x:v>Exact source amount found; audited year/current-comparative column recorded. Accounting subtotal tests performed separately.</x:v>
      </x:c>
      <x:c r="P1334" s="171" t="str">
        <x:v>e Leaf Capital Limited   -     11,409 
Profit received on bank deposits   203,462   94,741 
Net cash outflow from investing activities   (9,999,040)  (3,030,885)
Cash flows from financing activities
Proceeds from long term loans from financial institutions - secured   4,200,000   -   
Repayment of long term loans from financial institution</x:v>
      </x:c>
    </x:row>
    <x:row r="1335" ht="82" customHeight="1">
      <x:c r="A1335" s="76" t="str">
        <x:v>MLCF|cfi|2025</x:v>
      </x:c>
      <x:c r="B1335" s="76" t="str">
        <x:v>MLCF</x:v>
      </x:c>
      <x:c r="C1335" s="76" t="str">
        <x:v>FY2025</x:v>
      </x:c>
      <x:c r="D1335" s="76" t="str">
        <x:v>Net cash from investing activities</x:v>
      </x:c>
      <x:c r="E1335" s="170" t="n">
        <x:v>-9999040</x:v>
      </x:c>
      <x:c r="F1335" s="170" t="n">
        <x:v>-9999040</x:v>
      </x:c>
      <x:c r="G1335" s="170" t="str">
        <x:v>Rs '000</x:v>
      </x:c>
      <x:c r="H1335" s="170" t="n">
        <x:f>F1335/1000</x:f>
        <x:v>-9999.04</x:v>
      </x:c>
      <x:c r="I1335" s="170" t="n">
        <x:f>MLCF!H122</x:f>
        <x:v>-9999.04</x:v>
      </x:c>
      <x:c r="J1335" s="170" t="n">
        <x:f>H1335-I1335</x:f>
        <x:v>0</x:v>
      </x:c>
      <x:c r="K1335" s="76" t="str">
        <x:v>2025.pdf</x:v>
      </x:c>
      <x:c r="L1335" s="76" t="n">
        <x:v>205</x:v>
      </x:c>
      <x:c r="M1335" s="76" t="str">
        <x:v>Current year</x:v>
      </x:c>
      <x:c r="N1335" s="99" t="str">
        <x:v>Printed amount independently located</x:v>
      </x:c>
      <x:c r="O1335" s="99" t="str">
        <x:v>Exact source amount found; audited year/current-comparative column recorded. Accounting subtotal tests performed separately.</x:v>
      </x:c>
      <x:c r="P1335" s="99" t="str">
        <x:v>loan to Maple Leaf Capital Limited   -     11,409 
Profit received on bank deposits   203,462   94,741 
Net cash outflow from investing activities   (9,999,040)  (3,030,885)
Cash flows from financing activities
Proceeds from long term loans from financial institutions - secured   4,200,000   -   
Repayment of long term loans from financia</x:v>
      </x:c>
    </x:row>
    <x:row r="1336" ht="82" customHeight="1">
      <x:c r="A1336" s="168" t="str">
        <x:v>MLCF|cff|2021</x:v>
      </x:c>
      <x:c r="B1336" s="168" t="str">
        <x:v>MLCF</x:v>
      </x:c>
      <x:c r="C1336" s="168" t="str">
        <x:v>FY2021</x:v>
      </x:c>
      <x:c r="D1336" s="168" t="str">
        <x:v>Net cash from financing activities</x:v>
      </x:c>
      <x:c r="E1336" s="169" t="n">
        <x:v>-6732688</x:v>
      </x:c>
      <x:c r="F1336" s="169" t="n">
        <x:v>-6732688</x:v>
      </x:c>
      <x:c r="G1336" s="169" t="str">
        <x:v>Rs '000</x:v>
      </x:c>
      <x:c r="H1336" s="169" t="n">
        <x:f>F1336/1000</x:f>
        <x:v>-6732.688</x:v>
      </x:c>
      <x:c r="I1336" s="169" t="n">
        <x:f>MLCF!D123</x:f>
        <x:v>-6732.688</x:v>
      </x:c>
      <x:c r="J1336" s="169" t="n">
        <x:f>H1336-I1336</x:f>
        <x:v>0</x:v>
      </x:c>
      <x:c r="K1336" s="168" t="str">
        <x:v>2022.pdf</x:v>
      </x:c>
      <x:c r="L1336" s="168" t="n">
        <x:v>187</x:v>
      </x:c>
      <x:c r="M1336" s="168" t="str">
        <x:v>Comparative</x:v>
      </x:c>
      <x:c r="N1336" s="171" t="str">
        <x:v>Printed amount independently located</x:v>
      </x:c>
      <x:c r="O1336" s="171" t="str">
        <x:v>Exact source amount found; audited year/current-comparative column recorded. Accounting subtotal tests performed separately.</x:v>
      </x:c>
      <x:c r="P1336" s="171" t="str">
        <x:v>urchased for cancellation 6  (477,778)  -   
Dividend paid   (565)  (19,919)
Net cash generated from / (used in) financing activities 51  6,601,516   (6,732,688)
Net (decrease) / increase in cash and cash equivalents   (883,721)  70,286 
Cash and cash equivalents at beginning of the year   279,802   209,516 
Cash and cash equivalents at en</x:v>
      </x:c>
    </x:row>
    <x:row r="1337" ht="82" customHeight="1">
      <x:c r="A1337" s="76" t="str">
        <x:v>MLCF|cff|2022</x:v>
      </x:c>
      <x:c r="B1337" s="76" t="str">
        <x:v>MLCF</x:v>
      </x:c>
      <x:c r="C1337" s="76" t="str">
        <x:v>FY2022</x:v>
      </x:c>
      <x:c r="D1337" s="76" t="str">
        <x:v>Net cash from financing activities</x:v>
      </x:c>
      <x:c r="E1337" s="170" t="n">
        <x:v>6601516</x:v>
      </x:c>
      <x:c r="F1337" s="170" t="n">
        <x:v>6601516</x:v>
      </x:c>
      <x:c r="G1337" s="170" t="str">
        <x:v>Rs '000</x:v>
      </x:c>
      <x:c r="H1337" s="170" t="n">
        <x:f>F1337/1000</x:f>
        <x:v>6601.516</x:v>
      </x:c>
      <x:c r="I1337" s="170" t="n">
        <x:f>MLCF!E123</x:f>
        <x:v>6601.516</x:v>
      </x:c>
      <x:c r="J1337" s="170" t="n">
        <x:f>H1337-I1337</x:f>
        <x:v>0</x:v>
      </x:c>
      <x:c r="K1337" s="76" t="str">
        <x:v>2023.pdf</x:v>
      </x:c>
      <x:c r="L1337" s="76" t="n">
        <x:v>100</x:v>
      </x:c>
      <x:c r="M1337" s="76" t="str">
        <x:v>Comparative</x:v>
      </x:c>
      <x:c r="N1337" s="99" t="str">
        <x:v>Printed amount independently located</x:v>
      </x:c>
      <x:c r="O1337" s="99" t="str">
        <x:v>Exact source amount found; audited year/current-comparative column recorded. Accounting subtotal tests performed separately.</x:v>
      </x:c>
      <x:c r="P1337" s="99" t="str">
        <x:v>61) (477,778)
Redemption of preference shares  (5) -
Dividend paid  (191) (565)
Net cash (used in) / generated from financing activities  (6,632,403) 6,601,516
Net increase / (decrease) in cash and cash equivalents  1,336,779 (887,697)
Cash and cash equivalents at beginning of the year  (603,919) 279,802
Exchange Gain on cash &amp; cash equi</x:v>
      </x:c>
    </x:row>
    <x:row r="1338" ht="82" customHeight="1">
      <x:c r="A1338" s="168" t="str">
        <x:v>MLCF|cff|2023</x:v>
      </x:c>
      <x:c r="B1338" s="168" t="str">
        <x:v>MLCF</x:v>
      </x:c>
      <x:c r="C1338" s="168" t="str">
        <x:v>FY2023</x:v>
      </x:c>
      <x:c r="D1338" s="168" t="str">
        <x:v>Net cash from financing activities</x:v>
      </x:c>
      <x:c r="E1338" s="169" t="n">
        <x:v>-6632403</x:v>
      </x:c>
      <x:c r="F1338" s="169" t="n">
        <x:v>-6632403</x:v>
      </x:c>
      <x:c r="G1338" s="169" t="str">
        <x:v>Rs '000</x:v>
      </x:c>
      <x:c r="H1338" s="169" t="n">
        <x:f>F1338/1000</x:f>
        <x:v>-6632.403</x:v>
      </x:c>
      <x:c r="I1338" s="169" t="n">
        <x:f>MLCF!F123</x:f>
        <x:v>-6632.403</x:v>
      </x:c>
      <x:c r="J1338" s="169" t="n">
        <x:f>H1338-I1338</x:f>
        <x:v>0</x:v>
      </x:c>
      <x:c r="K1338" s="168" t="str">
        <x:v>2024.pdf</x:v>
      </x:c>
      <x:c r="L1338" s="168" t="n">
        <x:v>193</x:v>
      </x:c>
      <x:c r="M1338" s="168" t="str">
        <x:v>Comparative</x:v>
      </x:c>
      <x:c r="N1338" s="171" t="str">
        <x:v>Printed amount independently located</x:v>
      </x:c>
      <x:c r="O1338" s="171" t="str">
        <x:v>Exact source amount found; audited year/current-comparative column recorded. Accounting subtotal tests performed separately.</x:v>
      </x:c>
      <x:c r="P1338" s="171" t="str">
        <x:v>ack  (999,145) (194,661)
Redemption of preference shares  (12) (5)
Dividend paid  (122) (191)
Net cash outflow from financing activities  (7,482,362) (6,632,403)
Net (decrease) / increase in cash and cash equivalents  (1,017,004) 1,336,779
Cash and cash equivalents at beginning of the year  740,707 (603,919)
Effects of exchange rate change</x:v>
      </x:c>
    </x:row>
    <x:row r="1339" ht="82" customHeight="1">
      <x:c r="A1339" s="76" t="str">
        <x:v>MLCF|cff|2024</x:v>
      </x:c>
      <x:c r="B1339" s="76" t="str">
        <x:v>MLCF</x:v>
      </x:c>
      <x:c r="C1339" s="76" t="str">
        <x:v>FY2024</x:v>
      </x:c>
      <x:c r="D1339" s="76" t="str">
        <x:v>Net cash from financing activities</x:v>
      </x:c>
      <x:c r="E1339" s="170" t="n">
        <x:v>-7482362</x:v>
      </x:c>
      <x:c r="F1339" s="170" t="n">
        <x:v>-7482362</x:v>
      </x:c>
      <x:c r="G1339" s="170" t="str">
        <x:v>Rs '000</x:v>
      </x:c>
      <x:c r="H1339" s="170" t="n">
        <x:f>F1339/1000</x:f>
        <x:v>-7482.362</x:v>
      </x:c>
      <x:c r="I1339" s="170" t="n">
        <x:f>MLCF!G123</x:f>
        <x:v>-7482.362</x:v>
      </x:c>
      <x:c r="J1339" s="170" t="n">
        <x:f>H1339-I1339</x:f>
        <x:v>0</x:v>
      </x:c>
      <x:c r="K1339" s="76" t="str">
        <x:v>2025.pdf</x:v>
      </x:c>
      <x:c r="L1339" s="76" t="n">
        <x:v>205</x:v>
      </x:c>
      <x:c r="M1339" s="76" t="str">
        <x:v>Comparative</x:v>
      </x:c>
      <x:c r="N1339" s="99" t="str">
        <x:v>Printed amount independently located</x:v>
      </x:c>
      <x:c r="O1339" s="99" t="str">
        <x:v>Exact source amount found; audited year/current-comparative column recorded. Accounting subtotal tests performed separately.</x:v>
      </x:c>
      <x:c r="P1339" s="99" t="str">
        <x:v>-     (999,145)
Redemption of preference shares   (3)  (12)
Dividend paid   (379)  (122)
Net cash outflow from financing activities   (7,569,161)  (7,482,362)
Net increase / (decrease) in cash and cash equivalents   1,748,436   (1,017,004)
Cash and cash equivalents at beginning of the year   (273,404)  740,707 
Effects of exchange rate</x:v>
      </x:c>
    </x:row>
    <x:row r="1340" ht="82" customHeight="1">
      <x:c r="A1340" s="168" t="str">
        <x:v>MLCF|cff|2025</x:v>
      </x:c>
      <x:c r="B1340" s="168" t="str">
        <x:v>MLCF</x:v>
      </x:c>
      <x:c r="C1340" s="168" t="str">
        <x:v>FY2025</x:v>
      </x:c>
      <x:c r="D1340" s="168" t="str">
        <x:v>Net cash from financing activities</x:v>
      </x:c>
      <x:c r="E1340" s="169" t="n">
        <x:v>-7569161</x:v>
      </x:c>
      <x:c r="F1340" s="169" t="n">
        <x:v>-7569161</x:v>
      </x:c>
      <x:c r="G1340" s="169" t="str">
        <x:v>Rs '000</x:v>
      </x:c>
      <x:c r="H1340" s="169" t="n">
        <x:f>F1340/1000</x:f>
        <x:v>-7569.161</x:v>
      </x:c>
      <x:c r="I1340" s="169" t="n">
        <x:f>MLCF!H123</x:f>
        <x:v>-7569.161</x:v>
      </x:c>
      <x:c r="J1340" s="169" t="n">
        <x:f>H1340-I1340</x:f>
        <x:v>0</x:v>
      </x:c>
      <x:c r="K1340" s="168" t="str">
        <x:v>2025.pdf</x:v>
      </x:c>
      <x:c r="L1340" s="168" t="n">
        <x:v>205</x:v>
      </x:c>
      <x:c r="M1340" s="168" t="str">
        <x:v>Current year</x:v>
      </x:c>
      <x:c r="N1340" s="171" t="str">
        <x:v>Printed amount independently located</x:v>
      </x:c>
      <x:c r="O1340" s="171" t="str">
        <x:v>Exact source amount found; audited year/current-comparative column recorded. Accounting subtotal tests performed separately.</x:v>
      </x:c>
      <x:c r="P1340" s="171" t="str">
        <x:v>s bought back   -     (999,145)
Redemption of preference shares   (3)  (12)
Dividend paid   (379)  (122)
Net cash outflow from financing activities   (7,569,161)  (7,482,362)
Net increase / (decrease) in cash and cash equivalents   1,748,436   (1,017,004)
Cash and cash equivalents at beginning of the year   (273,404)  740,707 
Effects of e</x:v>
      </x:c>
    </x:row>
    <x:row r="1341" ht="82" customHeight="1">
      <x:c r="A1341" s="76" t="str">
        <x:v>MLCF|div_paid|2021</x:v>
      </x:c>
      <x:c r="B1341" s="76" t="str">
        <x:v>MLCF</x:v>
      </x:c>
      <x:c r="C1341" s="76" t="str">
        <x:v>FY2021</x:v>
      </x:c>
      <x:c r="D1341" s="76" t="str">
        <x:v>Dividends paid</x:v>
      </x:c>
      <x:c r="E1341" s="170" t="n">
        <x:v>-19919</x:v>
      </x:c>
      <x:c r="F1341" s="170" t="n">
        <x:v>-19919</x:v>
      </x:c>
      <x:c r="G1341" s="170" t="str">
        <x:v>Rs '000</x:v>
      </x:c>
      <x:c r="H1341" s="170" t="n">
        <x:f>F1341/1000</x:f>
        <x:v>-19.919</x:v>
      </x:c>
      <x:c r="I1341" s="170" t="n">
        <x:f>MLCF!D124</x:f>
        <x:v>-19.919</x:v>
      </x:c>
      <x:c r="J1341" s="170" t="n">
        <x:f>H1341-I1341</x:f>
        <x:v>0</x:v>
      </x:c>
      <x:c r="K1341" s="76" t="str">
        <x:v>2022.pdf</x:v>
      </x:c>
      <x:c r="L1341" s="76" t="n">
        <x:v>187</x:v>
      </x:c>
      <x:c r="M1341" s="76" t="str">
        <x:v>Comparative</x:v>
      </x:c>
      <x:c r="N1341" s="99" t="str">
        <x:v>Printed amount independently located</x:v>
      </x:c>
      <x:c r="O1341" s="99" t="str">
        <x:v>Exact source amount found; audited year/current-comparative column recorded. Accounting subtotal tests performed separately.</x:v>
      </x:c>
      <x:c r="P1341" s="99" t="str">
        <x:v>781)  (1,733,621)
Lease rentals paid during the year   (12,425)  -   
Own shares purchased for cancellation 6  (477,778)  -   
Dividend paid   (565)  (19,919)
Net cash generated from / (used in) financing activities 51  6,601,516   (6,732,688)
Net (decrease) / increase in cash and cash equivalents   (883,721)  70,286 
Cash and cash equi</x:v>
      </x:c>
    </x:row>
    <x:row r="1342" ht="82" customHeight="1">
      <x:c r="A1342" s="168" t="str">
        <x:v>MLCF|div_paid|2022</x:v>
      </x:c>
      <x:c r="B1342" s="168" t="str">
        <x:v>MLCF</x:v>
      </x:c>
      <x:c r="C1342" s="168" t="str">
        <x:v>FY2022</x:v>
      </x:c>
      <x:c r="D1342" s="168" t="str">
        <x:v>Dividends paid</x:v>
      </x:c>
      <x:c r="E1342" s="169" t="n">
        <x:v>-565</x:v>
      </x:c>
      <x:c r="F1342" s="169" t="n">
        <x:v>-565</x:v>
      </x:c>
      <x:c r="G1342" s="169" t="str">
        <x:v>Rs '000</x:v>
      </x:c>
      <x:c r="H1342" s="169" t="n">
        <x:f>F1342/1000</x:f>
        <x:v>-0.565</x:v>
      </x:c>
      <x:c r="I1342" s="169" t="n">
        <x:f>MLCF!E124</x:f>
        <x:v>-0.565</x:v>
      </x:c>
      <x:c r="J1342" s="169" t="n">
        <x:f>H1342-I1342</x:f>
        <x:v>0</x:v>
      </x:c>
      <x:c r="K1342" s="168" t="str">
        <x:v>2023.pdf</x:v>
      </x:c>
      <x:c r="L1342" s="168" t="n">
        <x:v>100</x:v>
      </x:c>
      <x:c r="M1342" s="168" t="str">
        <x:v>Comparative</x:v>
      </x:c>
      <x:c r="N1342" s="171" t="str">
        <x:v>Printed amount independently located</x:v>
      </x:c>
      <x:c r="O1342" s="171" t="str">
        <x:v>Exact source amount found; audited year/current-comparative column recorded. Accounting subtotal tests performed separately.</x:v>
      </x:c>
      <x:c r="P1342" s="171" t="str">
        <x:v>rentals paid  (14,611) (12,425)
Own share purchased for cancellation  (194,661) (477,778)
Redemption of preference shares  (5) -
Dividend paid  (191) (565)
Net cash (used in) / generated from financing activities  (6,632,403) 6,601,516
Net increase / (decrease) in cash and cash equivalents  1,336,779 (887,697)
Cash and cash equivalen</x:v>
      </x:c>
    </x:row>
    <x:row r="1343" ht="82" customHeight="1">
      <x:c r="A1343" s="76" t="str">
        <x:v>MLCF|div_paid|2023</x:v>
      </x:c>
      <x:c r="B1343" s="76" t="str">
        <x:v>MLCF</x:v>
      </x:c>
      <x:c r="C1343" s="76" t="str">
        <x:v>FY2023</x:v>
      </x:c>
      <x:c r="D1343" s="76" t="str">
        <x:v>Dividends paid</x:v>
      </x:c>
      <x:c r="E1343" s="170" t="n">
        <x:v>-191</x:v>
      </x:c>
      <x:c r="F1343" s="170" t="n">
        <x:v>-191</x:v>
      </x:c>
      <x:c r="G1343" s="170" t="str">
        <x:v>Rs '000</x:v>
      </x:c>
      <x:c r="H1343" s="170" t="n">
        <x:f>F1343/1000</x:f>
        <x:v>-0.191</x:v>
      </x:c>
      <x:c r="I1343" s="170" t="n">
        <x:f>MLCF!F124</x:f>
        <x:v>-0.191</x:v>
      </x:c>
      <x:c r="J1343" s="170" t="n">
        <x:f>H1343-I1343</x:f>
        <x:v>0</x:v>
      </x:c>
      <x:c r="K1343" s="76" t="str">
        <x:v>2024.pdf</x:v>
      </x:c>
      <x:c r="L1343" s="76" t="n">
        <x:v>193</x:v>
      </x:c>
      <x:c r="M1343" s="76" t="str">
        <x:v>Comparative</x:v>
      </x:c>
      <x:c r="N1343" s="99" t="str">
        <x:v>Printed amount independently located</x:v>
      </x:c>
      <x:c r="O1343" s="99" t="str">
        <x:v>Exact source amount found; audited year/current-comparative column recorded. Accounting subtotal tests performed separately.</x:v>
      </x:c>
      <x:c r="P1343" s="99" t="str">
        <x:v>e rentals paid  (18,529) (14,611)
Payments for shares bought back  (999,145) (194,661)
Redemption of preference shares  (12) (5)
Dividend paid  (122) (191)
Net cash outflow from financing activities  (7,482,362) (6,632,403)
Net (decrease) / increase in cash and cash equivalents  (1,017,004) 1,336,779
Cash and cash equivalents at begi</x:v>
      </x:c>
    </x:row>
    <x:row r="1344" ht="82" customHeight="1">
      <x:c r="A1344" s="168" t="str">
        <x:v>MLCF|div_paid|2024</x:v>
      </x:c>
      <x:c r="B1344" s="168" t="str">
        <x:v>MLCF</x:v>
      </x:c>
      <x:c r="C1344" s="168" t="str">
        <x:v>FY2024</x:v>
      </x:c>
      <x:c r="D1344" s="168" t="str">
        <x:v>Dividends paid</x:v>
      </x:c>
      <x:c r="E1344" s="169" t="n">
        <x:v>-122</x:v>
      </x:c>
      <x:c r="F1344" s="169" t="n">
        <x:v>-122</x:v>
      </x:c>
      <x:c r="G1344" s="169" t="str">
        <x:v>Rs '000</x:v>
      </x:c>
      <x:c r="H1344" s="169" t="n">
        <x:f>F1344/1000</x:f>
        <x:v>-0.122</x:v>
      </x:c>
      <x:c r="I1344" s="169" t="n">
        <x:f>MLCF!G124</x:f>
        <x:v>-0.122</x:v>
      </x:c>
      <x:c r="J1344" s="169" t="n">
        <x:f>H1344-I1344</x:f>
        <x:v>0</x:v>
      </x:c>
      <x:c r="K1344" s="168" t="str">
        <x:v>2025.pdf</x:v>
      </x:c>
      <x:c r="L1344" s="168" t="n">
        <x:v>205</x:v>
      </x:c>
      <x:c r="M1344" s="168" t="str">
        <x:v>Comparative</x:v>
      </x:c>
      <x:c r="N1344" s="171" t="str">
        <x:v>Printed amount independently located</x:v>
      </x:c>
      <x:c r="O1344" s="171" t="str">
        <x:v>Exact source amount found; audited year/current-comparative column recorded. Accounting subtotal tests performed separately.</x:v>
      </x:c>
      <x:c r="P1344" s="171" t="str">
        <x:v>entals paid   (20,572)  (18,529)
Payments for shares bought back   -     (999,145)
Redemption of preference shares   (3)  (12)
Dividend paid   (379)  (122)
Net cash outflow from financing activities   (7,569,161)  (7,482,362)
Net increase / (decrease) in cash and cash equivalents   1,748,436   (1,017,004)
Cash and cash equivalents at</x:v>
      </x:c>
    </x:row>
    <x:row r="1345" ht="82" customHeight="1">
      <x:c r="A1345" s="76" t="str">
        <x:v>MLCF|div_paid|2025</x:v>
      </x:c>
      <x:c r="B1345" s="76" t="str">
        <x:v>MLCF</x:v>
      </x:c>
      <x:c r="C1345" s="76" t="str">
        <x:v>FY2025</x:v>
      </x:c>
      <x:c r="D1345" s="76" t="str">
        <x:v>Dividends paid</x:v>
      </x:c>
      <x:c r="E1345" s="170" t="n">
        <x:v>-379</x:v>
      </x:c>
      <x:c r="F1345" s="170" t="n">
        <x:v>-379</x:v>
      </x:c>
      <x:c r="G1345" s="170" t="str">
        <x:v>Rs '000</x:v>
      </x:c>
      <x:c r="H1345" s="170" t="n">
        <x:f>F1345/1000</x:f>
        <x:v>-0.379</x:v>
      </x:c>
      <x:c r="I1345" s="170" t="n">
        <x:f>MLCF!H124</x:f>
        <x:v>-0.379</x:v>
      </x:c>
      <x:c r="J1345" s="170" t="n">
        <x:f>H1345-I1345</x:f>
        <x:v>0</x:v>
      </x:c>
      <x:c r="K1345" s="76" t="str">
        <x:v>2025.pdf</x:v>
      </x:c>
      <x:c r="L1345" s="76" t="n">
        <x:v>205</x:v>
      </x:c>
      <x:c r="M1345" s="76" t="str">
        <x:v>Current year</x:v>
      </x:c>
      <x:c r="N1345" s="99" t="str">
        <x:v>Printed amount independently located</x:v>
      </x:c>
      <x:c r="O1345" s="99" t="str">
        <x:v>Exact source amount found; audited year/current-comparative column recorded. Accounting subtotal tests performed separately.</x:v>
      </x:c>
      <x:c r="P1345" s="99" t="str">
        <x:v>Lease rentals paid   (20,572)  (18,529)
Payments for shares bought back   -     (999,145)
Redemption of preference shares   (3)  (12)
Dividend paid   (379)  (122)
Net cash outflow from financing activities   (7,569,161)  (7,482,362)
Net increase / (decrease) in cash and cash equivalents   1,748,436   (1,017,004)
Cash and cash equival</x:v>
      </x:c>
    </x:row>
    <x:row r="1346" ht="82" customHeight="1">
      <x:c r="A1346" s="168" t="str">
        <x:v>FCCL|ppe|2020</x:v>
      </x:c>
      <x:c r="B1346" s="168" t="str">
        <x:v>FCCL</x:v>
      </x:c>
      <x:c r="C1346" s="168" t="str">
        <x:v>FY2020</x:v>
      </x:c>
      <x:c r="D1346" s="168" t="str">
        <x:v>Property, plant and equipment (as presented)</x:v>
      </x:c>
      <x:c r="E1346" s="169" t="n">
        <x:v>22065172</x:v>
      </x:c>
      <x:c r="F1346" s="169" t="n">
        <x:v>22065172</x:v>
      </x:c>
      <x:c r="G1346" s="169" t="str">
        <x:v>Rs '000</x:v>
      </x:c>
      <x:c r="H1346" s="169" t="n">
        <x:f>F1346/1000</x:f>
        <x:v>22065.172</x:v>
      </x:c>
      <x:c r="I1346" s="169" t="n">
        <x:f>FCCL!C20</x:f>
        <x:v>22065.172</x:v>
      </x:c>
      <x:c r="J1346" s="169" t="n">
        <x:f>H1346-I1346</x:f>
        <x:v>0</x:v>
      </x:c>
      <x:c r="K1346" s="168" t="str">
        <x:v>FCCL-Annual-Report-2021.pdf</x:v>
      </x:c>
      <x:c r="L1346" s="168" t="n">
        <x:v>165</x:v>
      </x:c>
      <x:c r="M1346" s="168" t="str">
        <x:v>Comparative</x:v>
      </x:c>
      <x:c r="N1346" s="171" t="str">
        <x:v>Printed amount independently located</x:v>
      </x:c>
      <x:c r="O1346" s="171" t="str">
        <x:v>Exact source amount found; audited year/current-comparative column recorded. Accounting subtotal tests performed separately.</x:v>
      </x:c>
      <x:c r="P1346" s="171" t="str">
        <x:v>Restated
2021 2020
Note Rupees'000 Rupees'000
ASSETS
Non-current assets
Property, plant and equipment 14  21,422,215 22,065,172 
Right of use asset 15  89,334  60,322 
Long term deposits 16  86,601 86,601 
Advance against issue of shares  -    12,500 
Long term investment 17  15,349  -   
 21,613,499  22,2</x:v>
      </x:c>
    </x:row>
    <x:row r="1347" ht="82" customHeight="1">
      <x:c r="A1347" s="76" t="str">
        <x:v>FCCL|ppe|2021</x:v>
      </x:c>
      <x:c r="B1347" s="76" t="str">
        <x:v>FCCL</x:v>
      </x:c>
      <x:c r="C1347" s="76" t="str">
        <x:v>FY2021</x:v>
      </x:c>
      <x:c r="D1347" s="76" t="str">
        <x:v>Property, plant and equipment (as presented)</x:v>
      </x:c>
      <x:c r="E1347" s="170" t="n">
        <x:v>21422215</x:v>
      </x:c>
      <x:c r="F1347" s="170" t="n">
        <x:v>21422215</x:v>
      </x:c>
      <x:c r="G1347" s="170" t="str">
        <x:v>Rs '000</x:v>
      </x:c>
      <x:c r="H1347" s="170" t="n">
        <x:f>F1347/1000</x:f>
        <x:v>21422.215</x:v>
      </x:c>
      <x:c r="I1347" s="170" t="n">
        <x:f>FCCL!D20</x:f>
        <x:v>21422.215</x:v>
      </x:c>
      <x:c r="J1347" s="170" t="n">
        <x:f>H1347-I1347</x:f>
        <x:v>0</x:v>
      </x:c>
      <x:c r="K1347" s="76" t="str">
        <x:v>FCCL-Annual-Report-2022.pdf</x:v>
      </x:c>
      <x:c r="L1347" s="76" t="n">
        <x:v>187</x:v>
      </x:c>
      <x:c r="M1347" s="76" t="str">
        <x:v>Comparative</x:v>
      </x:c>
      <x:c r="N1347" s="99" t="str">
        <x:v>Printed amount independently located</x:v>
      </x:c>
      <x:c r="O1347" s="99" t="str">
        <x:v>Exact source amount found; audited year/current-comparative column recorded. Accounting subtotal tests performed separately.</x:v>
      </x:c>
      <x:c r="P1347" s="99" t="str">
        <x:v>2022 2021
Note Rupees'000 Rupees'000
ASSETS
NON-CURRENT ASSETS
Property, plant and equipment 17 74,126,315 21,422,215 
Right of use asset 18 132,263 89,334 
Intangibles 19 11,029,756 - 
Long term deposits 20 126,274 86,601 
Long term investment in associate 21  66,657  15,349 
 85,481,265  21,613</x:v>
      </x:c>
    </x:row>
    <x:row r="1348" ht="82" customHeight="1">
      <x:c r="A1348" s="168" t="str">
        <x:v>FCCL|ppe|2022</x:v>
      </x:c>
      <x:c r="B1348" s="168" t="str">
        <x:v>FCCL</x:v>
      </x:c>
      <x:c r="C1348" s="168" t="str">
        <x:v>FY2022</x:v>
      </x:c>
      <x:c r="D1348" s="168" t="str">
        <x:v>Property, plant and equipment (as presented)</x:v>
      </x:c>
      <x:c r="E1348" s="169" t="n">
        <x:v>74126315</x:v>
      </x:c>
      <x:c r="F1348" s="169" t="n">
        <x:v>74126315</x:v>
      </x:c>
      <x:c r="G1348" s="169" t="str">
        <x:v>Rs '000</x:v>
      </x:c>
      <x:c r="H1348" s="169" t="n">
        <x:f>F1348/1000</x:f>
        <x:v>74126.315</x:v>
      </x:c>
      <x:c r="I1348" s="169" t="n">
        <x:f>FCCL!E20</x:f>
        <x:v>74126.315</x:v>
      </x:c>
      <x:c r="J1348" s="169" t="n">
        <x:f>H1348-I1348</x:f>
        <x:v>0</x:v>
      </x:c>
      <x:c r="K1348" s="168" t="str">
        <x:v>FCCL-Annual-Report-2023.pdf</x:v>
      </x:c>
      <x:c r="L1348" s="168" t="n">
        <x:v>209</x:v>
      </x:c>
      <x:c r="M1348" s="168" t="str">
        <x:v>Comparative</x:v>
      </x:c>
      <x:c r="N1348" s="171" t="str">
        <x:v>Printed amount independently located</x:v>
      </x:c>
      <x:c r="O1348" s="171" t="str">
        <x:v>Exact source amount found; audited year/current-comparative column recorded. Accounting subtotal tests performed separately.</x:v>
      </x:c>
      <x:c r="P1348" s="171" t="str">
        <x:v>TY &amp; LIABILITIES ASSETS
EQUITY AND RESERVES NON-CURRENT 
ASSETS
Share capital 4  24,528,476  21,803,090 Property, plant and equipment 16  104,425,181 74,126,315 
Premium on issue of shares  15,253,134  17,978,520 Right of use asset 17  181,380  132,263 
Revenue reserve  25,394,127  17,954,446 Intangible assets and goodwill 18  10,957,737</x:v>
      </x:c>
    </x:row>
    <x:row r="1349" ht="82" customHeight="1">
      <x:c r="A1349" s="76" t="str">
        <x:v>FCCL|ppe|2023</x:v>
      </x:c>
      <x:c r="B1349" s="76" t="str">
        <x:v>FCCL</x:v>
      </x:c>
      <x:c r="C1349" s="76" t="str">
        <x:v>FY2023</x:v>
      </x:c>
      <x:c r="D1349" s="76" t="str">
        <x:v>Property, plant and equipment (as presented)</x:v>
      </x:c>
      <x:c r="E1349" s="170" t="n">
        <x:v>104425181</x:v>
      </x:c>
      <x:c r="F1349" s="170" t="n">
        <x:v>104425181</x:v>
      </x:c>
      <x:c r="G1349" s="170" t="str">
        <x:v>Rs '000</x:v>
      </x:c>
      <x:c r="H1349" s="170" t="n">
        <x:f>F1349/1000</x:f>
        <x:v>104425.181</x:v>
      </x:c>
      <x:c r="I1349" s="170" t="n">
        <x:f>FCCL!F20</x:f>
        <x:v>104425.181</x:v>
      </x:c>
      <x:c r="J1349" s="170" t="n">
        <x:f>H1349-I1349</x:f>
        <x:v>0</x:v>
      </x:c>
      <x:c r="K1349" s="76" t="str">
        <x:v>FCCL-Annual-Report-2024.pdf</x:v>
      </x:c>
      <x:c r="L1349" s="76" t="n">
        <x:v>191</x:v>
      </x:c>
      <x:c r="M1349" s="76" t="str">
        <x:v>Comparative</x:v>
      </x:c>
      <x:c r="N1349" s="99" t="str">
        <x:v>Printed amount independently located</x:v>
      </x:c>
      <x:c r="O1349" s="99" t="str">
        <x:v>Exact source amount found; audited year/current-comparative column recorded. Accounting subtotal tests performed separately.</x:v>
      </x:c>
      <x:c r="P1349" s="99" t="str">
        <x:v>Note 2024 2023
  Rupees’000 Rupees’000
ASSETS  
NON-CURRENT ASSETS  
 Property, plant and equipment 16  110,845,663  104,425,181 
 Right of use asset 17  131,165   181,380 
 Intangible assets and goodwill 18  10,745,700   10,957,737 
 Long term deposits    129,700   129,700 
     121,852,228   115,693,998</x:v>
      </x:c>
    </x:row>
    <x:row r="1350" ht="82" customHeight="1">
      <x:c r="A1350" s="168" t="str">
        <x:v>FCCL|ppe|2024</x:v>
      </x:c>
      <x:c r="B1350" s="168" t="str">
        <x:v>FCCL</x:v>
      </x:c>
      <x:c r="C1350" s="168" t="str">
        <x:v>FY2024</x:v>
      </x:c>
      <x:c r="D1350" s="168" t="str">
        <x:v>Property, plant and equipment (as presented)</x:v>
      </x:c>
      <x:c r="E1350" s="169" t="n">
        <x:v>110845663</x:v>
      </x:c>
      <x:c r="F1350" s="169" t="n">
        <x:v>110845663</x:v>
      </x:c>
      <x:c r="G1350" s="169" t="str">
        <x:v>Rs '000</x:v>
      </x:c>
      <x:c r="H1350" s="169" t="n">
        <x:f>F1350/1000</x:f>
        <x:v>110845.663</x:v>
      </x:c>
      <x:c r="I1350" s="169" t="n">
        <x:f>FCCL!G20</x:f>
        <x:v>110845.663</x:v>
      </x:c>
      <x:c r="J1350" s="169" t="n">
        <x:f>H1350-I1350</x:f>
        <x:v>0</x:v>
      </x:c>
      <x:c r="K1350" s="168" t="str">
        <x:v>FCCL-Annual-Report-2025.pdf</x:v>
      </x:c>
      <x:c r="L1350" s="168" t="n">
        <x:v>245</x:v>
      </x:c>
      <x:c r="M1350" s="168" t="str">
        <x:v>Comparative</x:v>
      </x:c>
      <x:c r="N1350" s="171" t="str">
        <x:v>Printed amount independently located</x:v>
      </x:c>
      <x:c r="O1350" s="171" t="str">
        <x:v>Exact source amount found; audited year/current-comparative column recorded. Accounting subtotal tests performed separately.</x:v>
      </x:c>
      <x:c r="P1350" s="171" t="str">
        <x:v>Note 2025 2024
  Rupees’000 Rupees’000
ASSETS 
NON–CURRENT ASSETS 
 Property, plant and equipment 17  109,579,089  110,845,663 
 Right of use asset 18  126,445   131,165 
 Intangible assets and goodwill 19  10,533,667   10,745,700 
 Long term deposits    133,425   129,700 
     120,372,626   121,852,228</x:v>
      </x:c>
    </x:row>
    <x:row r="1351" ht="82" customHeight="1">
      <x:c r="A1351" s="76" t="str">
        <x:v>FCCL|ppe|2025</x:v>
      </x:c>
      <x:c r="B1351" s="76" t="str">
        <x:v>FCCL</x:v>
      </x:c>
      <x:c r="C1351" s="76" t="str">
        <x:v>FY2025</x:v>
      </x:c>
      <x:c r="D1351" s="76" t="str">
        <x:v>Property, plant and equipment (as presented)</x:v>
      </x:c>
      <x:c r="E1351" s="170" t="n">
        <x:v>109579089</x:v>
      </x:c>
      <x:c r="F1351" s="170" t="n">
        <x:v>109579089</x:v>
      </x:c>
      <x:c r="G1351" s="170" t="str">
        <x:v>Rs '000</x:v>
      </x:c>
      <x:c r="H1351" s="170" t="n">
        <x:f>F1351/1000</x:f>
        <x:v>109579.089</x:v>
      </x:c>
      <x:c r="I1351" s="170" t="n">
        <x:f>FCCL!H20</x:f>
        <x:v>109579.089</x:v>
      </x:c>
      <x:c r="J1351" s="170" t="n">
        <x:f>H1351-I1351</x:f>
        <x:v>0</x:v>
      </x:c>
      <x:c r="K1351" s="76" t="str">
        <x:v>FCCL-Annual-Report-2025.pdf</x:v>
      </x:c>
      <x:c r="L1351" s="76" t="n">
        <x:v>245</x:v>
      </x:c>
      <x:c r="M1351" s="76" t="str">
        <x:v>Current year</x:v>
      </x:c>
      <x:c r="N1351" s="99" t="str">
        <x:v>Printed amount independently located</x:v>
      </x:c>
      <x:c r="O1351" s="99" t="str">
        <x:v>Exact source amount found; audited year/current-comparative column recorded. Accounting subtotal tests performed separately.</x:v>
      </x:c>
      <x:c r="P1351" s="99" t="str">
        <x:v>Note 2025 2024
  Rupees’000 Rupees’000
ASSETS 
NON–CURRENT ASSETS 
 Property, plant and equipment 17  109,579,089  110,845,663 
 Right of use asset 18  126,445   131,165 
 Intangible assets and goodwill 19  10,533,667   10,745,700 
 Long term deposits    133,425   129,700 
     120,372,626</x:v>
      </x:c>
    </x:row>
    <x:row r="1352" ht="82" customHeight="1">
      <x:c r="A1352" s="168" t="str">
        <x:v>FCCL|cwip|2020</x:v>
      </x:c>
      <x:c r="B1352" s="168" t="str">
        <x:v>FCCL</x:v>
      </x:c>
      <x:c r="C1352" s="168" t="str">
        <x:v>FY2020</x:v>
      </x:c>
      <x:c r="D1352" s="168" t="str">
        <x:v>of which: capital work-in-progress (note)</x:v>
      </x:c>
      <x:c r="E1352" s="169" t="n">
        <x:v>2808</x:v>
      </x:c>
      <x:c r="F1352" s="169" t="n">
        <x:v>2808</x:v>
      </x:c>
      <x:c r="G1352" s="169" t="str">
        <x:v>Rs '000</x:v>
      </x:c>
      <x:c r="H1352" s="169" t="n">
        <x:f>F1352/1000</x:f>
        <x:v>2.808</x:v>
      </x:c>
      <x:c r="I1352" s="169" t="n">
        <x:f>FCCL!C21</x:f>
        <x:v>2.808</x:v>
      </x:c>
      <x:c r="J1352" s="169" t="n">
        <x:f>H1352-I1352</x:f>
        <x:v>0</x:v>
      </x:c>
      <x:c r="K1352" s="168" t="str">
        <x:v>FCCL-Annual-Report-2021.pdf</x:v>
      </x:c>
      <x:c r="L1352" s="168" t="n">
        <x:v>193</x:v>
      </x:c>
      <x:c r="M1352" s="168" t="str">
        <x:v>Comparative</x:v>
      </x:c>
      <x:c r="N1352" s="171" t="str">
        <x:v>Printed amount independently located</x:v>
      </x:c>
      <x:c r="O1352" s="171" t="str">
        <x:v>Exact source amount found; audited year/current-comparative column recorded. Accounting subtotal tests performed separately.</x:v>
      </x:c>
      <x:c r="P1352" s="171" t="str">
        <x:v>-    5,836  -    (572,639)  -   
Balance at 30 June 2020  360,282  6,768,444  29,897,084  33,688  19,944  91,443  121,147  46,929  237,675  27,855  2,808  37,607,299 
Balance as at 01 July 2020  360,282  6,768,444  29,897,084  33,688  19,944  91,443  121,147  46,929  237,675  27,855  2,808  37,607,299 
Additions  -    -    529,447</x:v>
      </x:c>
    </x:row>
    <x:row r="1353" ht="82" customHeight="1">
      <x:c r="A1353" s="76" t="str">
        <x:v>FCCL|cwip|2021</x:v>
      </x:c>
      <x:c r="B1353" s="76" t="str">
        <x:v>FCCL</x:v>
      </x:c>
      <x:c r="C1353" s="76" t="str">
        <x:v>FY2021</x:v>
      </x:c>
      <x:c r="D1353" s="76" t="str">
        <x:v>of which: capital work-in-progress (note)</x:v>
      </x:c>
      <x:c r="E1353" s="170" t="n">
        <x:v>202087</x:v>
      </x:c>
      <x:c r="F1353" s="170" t="n">
        <x:v>202087</x:v>
      </x:c>
      <x:c r="G1353" s="170" t="str">
        <x:v>Rs '000</x:v>
      </x:c>
      <x:c r="H1353" s="170" t="n">
        <x:f>F1353/1000</x:f>
        <x:v>202.087</x:v>
      </x:c>
      <x:c r="I1353" s="170" t="n">
        <x:f>FCCL!D21</x:f>
        <x:v>202.087</x:v>
      </x:c>
      <x:c r="J1353" s="170" t="n">
        <x:f>H1353-I1353</x:f>
        <x:v>0</x:v>
      </x:c>
      <x:c r="K1353" s="76" t="str">
        <x:v>FCCL-Annual-Report-2023.pdf</x:v>
      </x:c>
      <x:c r="L1353" s="76" t="n">
        <x:v>239</x:v>
      </x:c>
      <x:c r="M1353" s="76" t="str">
        <x:v>Comparative</x:v>
      </x:c>
      <x:c r="N1353" s="99" t="str">
        <x:v>Printed amount independently located</x:v>
      </x:c>
      <x:c r="O1353" s="99" t="str">
        <x:v>Exact source amount found; audited year/current-comparative column recorded. Accounting subtotal tests performed separately.</x:v>
      </x:c>
      <x:c r="P1353" s="99" t="str">
        <x:v>(Note 
16.5)
Total
Rupees’000
As at July 01, 2021
Cost  360,282  6,768,444  30,546,353  33,688  20,497  96,724  125,980  46,075  235,990  -  27,855  202,087  38,463,975 
 Accumulated depreciation  -  (3,138,260)  (13,439,896)  (27,780)  (17,991)  (88,421)  (103,329)  (38,887)  (159,341)  -  (27,855)  -  (17,041,760)
 Net book value  3</x:v>
      </x:c>
    </x:row>
    <x:row r="1354" ht="82" customHeight="1">
      <x:c r="A1354" s="168" t="str">
        <x:v>FCCL|cwip|2022</x:v>
      </x:c>
      <x:c r="B1354" s="168" t="str">
        <x:v>FCCL</x:v>
      </x:c>
      <x:c r="C1354" s="168" t="str">
        <x:v>FY2022</x:v>
      </x:c>
      <x:c r="D1354" s="168" t="str">
        <x:v>of which: capital work-in-progress (note)</x:v>
      </x:c>
      <x:c r="E1354" s="169" t="n">
        <x:v>29802170</x:v>
      </x:c>
      <x:c r="F1354" s="169" t="n">
        <x:v>29802170</x:v>
      </x:c>
      <x:c r="G1354" s="169" t="str">
        <x:v>Rs '000</x:v>
      </x:c>
      <x:c r="H1354" s="169" t="n">
        <x:f>F1354/1000</x:f>
        <x:v>29802.17</x:v>
      </x:c>
      <x:c r="I1354" s="169" t="n">
        <x:f>FCCL!E21</x:f>
        <x:v>29802.17</x:v>
      </x:c>
      <x:c r="J1354" s="169" t="n">
        <x:f>H1354-I1354</x:f>
        <x:v>0</x:v>
      </x:c>
      <x:c r="K1354" s="168" t="str">
        <x:v>FCCL-Annual-Report-2023.pdf</x:v>
      </x:c>
      <x:c r="L1354" s="168" t="n">
        <x:v>241</x:v>
      </x:c>
      <x:c r="M1354" s="168" t="str">
        <x:v>Comparative</x:v>
      </x:c>
      <x:c r="N1354" s="171" t="str">
        <x:v>Printed amount independently located</x:v>
      </x:c>
      <x:c r="O1354" s="171" t="str">
        <x:v>Exact source amount found; audited year/current-comparative column recorded. Accounting subtotal tests performed separately.</x:v>
      </x:c>
      <x:c r="P1354" s="171" t="str">
        <x:v>ts  34,308,692  28,859,605 
Solar power project  -  808,830 
Advance for capital expenditures  207,407  19,900 
Others  15,073  113,835 
 34,531,172  29,802,170 
16.6 Borrowing cost amounting to Rs. 1,644,653 thousand (2022: Rs. 567,225 thousand) is captalized 
during the year at captalization rate of 14.88% (2022: 8.98%). This includes t</x:v>
      </x:c>
    </x:row>
    <x:row r="1355" ht="82" customHeight="1">
      <x:c r="A1355" s="76" t="str">
        <x:v>FCCL|cwip|2023</x:v>
      </x:c>
      <x:c r="B1355" s="76" t="str">
        <x:v>FCCL</x:v>
      </x:c>
      <x:c r="C1355" s="76" t="str">
        <x:v>FY2023</x:v>
      </x:c>
      <x:c r="D1355" s="76" t="str">
        <x:v>of which: capital work-in-progress (note)</x:v>
      </x:c>
      <x:c r="E1355" s="170" t="n">
        <x:v>34531172</x:v>
      </x:c>
      <x:c r="F1355" s="170" t="n">
        <x:v>34531172</x:v>
      </x:c>
      <x:c r="G1355" s="170" t="str">
        <x:v>Rs '000</x:v>
      </x:c>
      <x:c r="H1355" s="170" t="n">
        <x:f>F1355/1000</x:f>
        <x:v>34531.172</x:v>
      </x:c>
      <x:c r="I1355" s="170" t="n">
        <x:f>FCCL!F21</x:f>
        <x:v>34531.172</x:v>
      </x:c>
      <x:c r="J1355" s="170" t="n">
        <x:f>H1355-I1355</x:f>
        <x:v>0</x:v>
      </x:c>
      <x:c r="K1355" s="76" t="str">
        <x:v>FCCL-Annual-Report-2024.pdf</x:v>
      </x:c>
      <x:c r="L1355" s="76" t="n">
        <x:v>219</x:v>
      </x:c>
      <x:c r="M1355" s="76" t="str">
        <x:v>Comparative</x:v>
      </x:c>
      <x:c r="N1355" s="99" t="str">
        <x:v>Printed amount independently located</x:v>
      </x:c>
      <x:c r="O1355" s="99" t="str">
        <x:v>Exact source amount found; audited year/current-comparative column recorded. Accounting subtotal tests performed separately.</x:v>
      </x:c>
      <x:c r="P1355" s="99" t="str">
        <x:v>,366,781)
 Closing net book value   7,647,463   11,287,976   50,016,244   267,009   29,896   62,928   122,895   85,438   233,074   14,055   127,031   34,531,172   104,425,181 
 As at June 30, 2023 
 Cost   7,647,463   15,625,791   68,013,719   267,009   60,562   192,851   279,640   162,212   478,552   17,568   176,818   34,531,172   127</x:v>
      </x:c>
    </x:row>
    <x:row r="1356" ht="82" customHeight="1">
      <x:c r="A1356" s="168" t="str">
        <x:v>FCCL|cwip|2024</x:v>
      </x:c>
      <x:c r="B1356" s="168" t="str">
        <x:v>FCCL</x:v>
      </x:c>
      <x:c r="C1356" s="168" t="str">
        <x:v>FY2024</x:v>
      </x:c>
      <x:c r="D1356" s="168" t="str">
        <x:v>of which: capital work-in-progress (note)</x:v>
      </x:c>
      <x:c r="E1356" s="169" t="n">
        <x:v>700153</x:v>
      </x:c>
      <x:c r="F1356" s="169" t="n">
        <x:v>700153</x:v>
      </x:c>
      <x:c r="G1356" s="169" t="str">
        <x:v>Rs '000</x:v>
      </x:c>
      <x:c r="H1356" s="169" t="n">
        <x:f>F1356/1000</x:f>
        <x:v>700.153</x:v>
      </x:c>
      <x:c r="I1356" s="169" t="n">
        <x:f>FCCL!G21</x:f>
        <x:v>700.153</x:v>
      </x:c>
      <x:c r="J1356" s="169" t="n">
        <x:f>H1356-I1356</x:f>
        <x:v>0</x:v>
      </x:c>
      <x:c r="K1356" s="168" t="str">
        <x:v>FCCL-Annual-Report-2025.pdf</x:v>
      </x:c>
      <x:c r="L1356" s="168" t="n">
        <x:v>273</x:v>
      </x:c>
      <x:c r="M1356" s="168" t="str">
        <x:v>Comparative</x:v>
      </x:c>
      <x:c r="N1356" s="171" t="str">
        <x:v>Printed amount independently located</x:v>
      </x:c>
      <x:c r="O1356" s="171" t="str">
        <x:v>Exact source amount found; audited year/current-comparative column recorded. Accounting subtotal tests performed separately.</x:v>
      </x:c>
      <x:c r="P1356" s="171" t="str">
        <x:v>losing net book value   7,741,642   –     19,743,268   –     81,260,206   396,629   39,213   66,673   129,856   95,454   274,473   12,298   385,798   700,153   110,845,663 
 As at June 30, 2024 
 Cost   7,741,642   –     24,777,153   –     102,118,103   396,629   76,922   232,543   317,335   192,884   564,626   17,568   455,267   700</x:v>
      </x:c>
    </x:row>
    <x:row r="1357" ht="82" customHeight="1">
      <x:c r="A1357" s="76" t="str">
        <x:v>FCCL|cwip|2025</x:v>
      </x:c>
      <x:c r="B1357" s="76" t="str">
        <x:v>FCCL</x:v>
      </x:c>
      <x:c r="C1357" s="76" t="str">
        <x:v>FY2025</x:v>
      </x:c>
      <x:c r="D1357" s="76" t="str">
        <x:v>of which: capital work-in-progress (note)</x:v>
      </x:c>
      <x:c r="E1357" s="170" t="n">
        <x:v>296574</x:v>
      </x:c>
      <x:c r="F1357" s="170" t="n">
        <x:v>296574</x:v>
      </x:c>
      <x:c r="G1357" s="170" t="str">
        <x:v>Rs '000</x:v>
      </x:c>
      <x:c r="H1357" s="170" t="n">
        <x:f>F1357/1000</x:f>
        <x:v>296.574</x:v>
      </x:c>
      <x:c r="I1357" s="170" t="n">
        <x:f>FCCL!H21</x:f>
        <x:v>296.574</x:v>
      </x:c>
      <x:c r="J1357" s="170" t="n">
        <x:f>H1357-I1357</x:f>
        <x:v>0</x:v>
      </x:c>
      <x:c r="K1357" s="76" t="str">
        <x:v>FCCL-Annual-Report-2025.pdf</x:v>
      </x:c>
      <x:c r="L1357" s="76" t="n">
        <x:v>274</x:v>
      </x:c>
      <x:c r="M1357" s="76" t="str">
        <x:v>Current year</x:v>
      </x:c>
      <x:c r="N1357" s="99" t="str">
        <x:v>Printed amount independently located</x:v>
      </x:c>
      <x:c r="O1357" s="99" t="str">
        <x:v>Exact source amount found; audited year/current-comparative column recorded. Accounting subtotal tests performed separately.</x:v>
      </x:c>
      <x:c r="P1357" s="99" t="str">
        <x:v>et book value   7,780,904   201,074   19,056,307   103,432   80,565,102   510,269   48,525   53,373   116,163   79,238   337,525   10,541   420,062   296,574   109,579,089 
 As at June 30, 2025 
 Cost   7,780,904   202,632   24,949,620   105,800   104,873,388   510,269   96,518   252,166   337,642   200,299   686,813   17,568   533,5</x:v>
      </x:c>
    </x:row>
    <x:row r="1358" ht="82" customHeight="1">
      <x:c r="A1358" s="168" t="str">
        <x:v>FCCL|rou|2020</x:v>
      </x:c>
      <x:c r="B1358" s="168" t="str">
        <x:v>FCCL</x:v>
      </x:c>
      <x:c r="C1358" s="168" t="str">
        <x:v>FY2020</x:v>
      </x:c>
      <x:c r="D1358" s="168" t="str">
        <x:v>Right-of-use assets (presented separately)</x:v>
      </x:c>
      <x:c r="E1358" s="169" t="n">
        <x:v>60322</x:v>
      </x:c>
      <x:c r="F1358" s="169" t="n">
        <x:v>60322</x:v>
      </x:c>
      <x:c r="G1358" s="169" t="str">
        <x:v>Rs '000</x:v>
      </x:c>
      <x:c r="H1358" s="169" t="n">
        <x:f>F1358/1000</x:f>
        <x:v>60.322</x:v>
      </x:c>
      <x:c r="I1358" s="169" t="n">
        <x:f>FCCL!C23</x:f>
        <x:v>60.322</x:v>
      </x:c>
      <x:c r="J1358" s="169" t="n">
        <x:f>H1358-I1358</x:f>
        <x:v>0</x:v>
      </x:c>
      <x:c r="K1358" s="168" t="str">
        <x:v>FCCL-Annual-Report-2021.pdf</x:v>
      </x:c>
      <x:c r="L1358" s="168" t="n">
        <x:v>165</x:v>
      </x:c>
      <x:c r="M1358" s="168" t="str">
        <x:v>Comparative</x:v>
      </x:c>
      <x:c r="N1358" s="171" t="str">
        <x:v>Printed amount independently located</x:v>
      </x:c>
      <x:c r="O1358" s="171" t="str">
        <x:v>Exact source amount found; audited year/current-comparative column recorded. Accounting subtotal tests performed separately.</x:v>
      </x:c>
      <x:c r="P1358" s="171" t="str">
        <x:v>021 2020
Note Rupees'000 Rupees'000
ASSETS
Non-current assets
Property, plant and equipment 14  21,422,215 22,065,172 
Right of use asset 15  89,334  60,322 
Long term deposits 16  86,601 86,601 
Advance against issue of shares  -    12,500 
Long term investment 17  15,349  -   
 21,613,499  22,224,595 
Current assets
Stores, spares a</x:v>
      </x:c>
    </x:row>
    <x:row r="1359" ht="82" customHeight="1">
      <x:c r="A1359" s="76" t="str">
        <x:v>FCCL|rou|2021</x:v>
      </x:c>
      <x:c r="B1359" s="76" t="str">
        <x:v>FCCL</x:v>
      </x:c>
      <x:c r="C1359" s="76" t="str">
        <x:v>FY2021</x:v>
      </x:c>
      <x:c r="D1359" s="76" t="str">
        <x:v>Right-of-use assets (presented separately)</x:v>
      </x:c>
      <x:c r="E1359" s="170" t="n">
        <x:v>89334</x:v>
      </x:c>
      <x:c r="F1359" s="170" t="n">
        <x:v>89334</x:v>
      </x:c>
      <x:c r="G1359" s="170" t="str">
        <x:v>Rs '000</x:v>
      </x:c>
      <x:c r="H1359" s="170" t="n">
        <x:f>F1359/1000</x:f>
        <x:v>89.334</x:v>
      </x:c>
      <x:c r="I1359" s="170" t="n">
        <x:f>FCCL!D23</x:f>
        <x:v>89.334</x:v>
      </x:c>
      <x:c r="J1359" s="170" t="n">
        <x:f>H1359-I1359</x:f>
        <x:v>0</x:v>
      </x:c>
      <x:c r="K1359" s="76" t="str">
        <x:v>FCCL-Annual-Report-2022.pdf</x:v>
      </x:c>
      <x:c r="L1359" s="76" t="n">
        <x:v>187</x:v>
      </x:c>
      <x:c r="M1359" s="76" t="str">
        <x:v>Comparative</x:v>
      </x:c>
      <x:c r="N1359" s="99" t="str">
        <x:v>Printed amount independently located</x:v>
      </x:c>
      <x:c r="O1359" s="99" t="str">
        <x:v>Exact source amount found; audited year/current-comparative column recorded. Accounting subtotal tests performed separately.</x:v>
      </x:c>
      <x:c r="P1359" s="99" t="str">
        <x:v>2022 2021
Note Rupees'000 Rupees'000
ASSETS
NON-CURRENT ASSETS
Property, plant and equipment 17 74,126,315 21,422,215 
Right of use asset 18 132,263 89,334 
Intangibles 19 11,029,756 - 
Long term deposits 20 126,274 86,601 
Long term investment in associate 21  66,657  15,349 
 85,481,265  21,613,499 
CURRENT ASSETS
Stores, spares an</x:v>
      </x:c>
    </x:row>
    <x:row r="1360" ht="82" customHeight="1">
      <x:c r="A1360" s="168" t="str">
        <x:v>FCCL|rou|2022</x:v>
      </x:c>
      <x:c r="B1360" s="168" t="str">
        <x:v>FCCL</x:v>
      </x:c>
      <x:c r="C1360" s="168" t="str">
        <x:v>FY2022</x:v>
      </x:c>
      <x:c r="D1360" s="168" t="str">
        <x:v>Right-of-use assets (presented separately)</x:v>
      </x:c>
      <x:c r="E1360" s="169" t="n">
        <x:v>132263</x:v>
      </x:c>
      <x:c r="F1360" s="169" t="n">
        <x:v>132263</x:v>
      </x:c>
      <x:c r="G1360" s="169" t="str">
        <x:v>Rs '000</x:v>
      </x:c>
      <x:c r="H1360" s="169" t="n">
        <x:f>F1360/1000</x:f>
        <x:v>132.263</x:v>
      </x:c>
      <x:c r="I1360" s="169" t="n">
        <x:f>FCCL!E23</x:f>
        <x:v>132.263</x:v>
      </x:c>
      <x:c r="J1360" s="169" t="n">
        <x:f>H1360-I1360</x:f>
        <x:v>0</x:v>
      </x:c>
      <x:c r="K1360" s="168" t="str">
        <x:v>FCCL-Annual-Report-2023.pdf</x:v>
      </x:c>
      <x:c r="L1360" s="168" t="n">
        <x:v>209</x:v>
      </x:c>
      <x:c r="M1360" s="168" t="str">
        <x:v>Comparative</x:v>
      </x:c>
      <x:c r="N1360" s="171" t="str">
        <x:v>Printed amount independently located</x:v>
      </x:c>
      <x:c r="O1360" s="171" t="str">
        <x:v>Exact source amount found; audited year/current-comparative column recorded. Accounting subtotal tests performed separately.</x:v>
      </x:c>
      <x:c r="P1360" s="171" t="str">
        <x:v>,803,090 Property, plant and equipment 16  104,425,181 74,126,315 
Premium on issue of shares  15,253,134  17,978,520 Right of use asset 17  181,380  132,263 
Revenue reserve  25,394,127  17,954,446 Intangible assets and goodwill 18  10,957,737  11,029,756 
 65,175,737  57,736,056 Long term deposits  129,700  126,274 
Long term investm</x:v>
      </x:c>
    </x:row>
    <x:row r="1361" ht="82" customHeight="1">
      <x:c r="A1361" s="76" t="str">
        <x:v>FCCL|rou|2023</x:v>
      </x:c>
      <x:c r="B1361" s="76" t="str">
        <x:v>FCCL</x:v>
      </x:c>
      <x:c r="C1361" s="76" t="str">
        <x:v>FY2023</x:v>
      </x:c>
      <x:c r="D1361" s="76" t="str">
        <x:v>Right-of-use assets (presented separately)</x:v>
      </x:c>
      <x:c r="E1361" s="170" t="n">
        <x:v>181380</x:v>
      </x:c>
      <x:c r="F1361" s="170" t="n">
        <x:v>181380</x:v>
      </x:c>
      <x:c r="G1361" s="170" t="str">
        <x:v>Rs '000</x:v>
      </x:c>
      <x:c r="H1361" s="170" t="n">
        <x:f>F1361/1000</x:f>
        <x:v>181.38</x:v>
      </x:c>
      <x:c r="I1361" s="170" t="n">
        <x:f>FCCL!F23</x:f>
        <x:v>181.38</x:v>
      </x:c>
      <x:c r="J1361" s="170" t="n">
        <x:f>H1361-I1361</x:f>
        <x:v>0</x:v>
      </x:c>
      <x:c r="K1361" s="76" t="str">
        <x:v>FCCL-Annual-Report-2024.pdf</x:v>
      </x:c>
      <x:c r="L1361" s="76" t="n">
        <x:v>191</x:v>
      </x:c>
      <x:c r="M1361" s="76" t="str">
        <x:v>Comparative</x:v>
      </x:c>
      <x:c r="N1361" s="99" t="str">
        <x:v>Printed amount independently located</x:v>
      </x:c>
      <x:c r="O1361" s="99" t="str">
        <x:v>Exact source amount found; audited year/current-comparative column recorded. Accounting subtotal tests performed separately.</x:v>
      </x:c>
      <x:c r="P1361" s="99" t="str">
        <x:v>pees’000 Rupees’000
ASSETS  
NON-CURRENT ASSETS  
 Property, plant and equipment 16  110,845,663  104,425,181 
 Right of use asset 17  131,165   181,380 
 Intangible assets and goodwill 18  10,745,700   10,957,737 
 Long term deposits    129,700   129,700 
     121,852,228   115,693,998 
CURRENT ASSETS  
 Stores, spares and lo</x:v>
      </x:c>
    </x:row>
    <x:row r="1362" ht="82" customHeight="1">
      <x:c r="A1362" s="168" t="str">
        <x:v>FCCL|rou|2024</x:v>
      </x:c>
      <x:c r="B1362" s="168" t="str">
        <x:v>FCCL</x:v>
      </x:c>
      <x:c r="C1362" s="168" t="str">
        <x:v>FY2024</x:v>
      </x:c>
      <x:c r="D1362" s="168" t="str">
        <x:v>Right-of-use assets (presented separately)</x:v>
      </x:c>
      <x:c r="E1362" s="169" t="n">
        <x:v>131165</x:v>
      </x:c>
      <x:c r="F1362" s="169" t="n">
        <x:v>131165</x:v>
      </x:c>
      <x:c r="G1362" s="169" t="str">
        <x:v>Rs '000</x:v>
      </x:c>
      <x:c r="H1362" s="169" t="n">
        <x:f>F1362/1000</x:f>
        <x:v>131.165</x:v>
      </x:c>
      <x:c r="I1362" s="169" t="n">
        <x:f>FCCL!G23</x:f>
        <x:v>131.165</x:v>
      </x:c>
      <x:c r="J1362" s="169" t="n">
        <x:f>H1362-I1362</x:f>
        <x:v>0</x:v>
      </x:c>
      <x:c r="K1362" s="168" t="str">
        <x:v>FCCL-Annual-Report-2025.pdf</x:v>
      </x:c>
      <x:c r="L1362" s="168" t="n">
        <x:v>245</x:v>
      </x:c>
      <x:c r="M1362" s="168" t="str">
        <x:v>Comparative</x:v>
      </x:c>
      <x:c r="N1362" s="171" t="str">
        <x:v>Printed amount independently located</x:v>
      </x:c>
      <x:c r="O1362" s="171" t="str">
        <x:v>Exact source amount found; audited year/current-comparative column recorded. Accounting subtotal tests performed separately.</x:v>
      </x:c>
      <x:c r="P1362" s="171" t="str">
        <x:v>Rupees’000 Rupees’000
ASSETS 
NON–CURRENT ASSETS 
 Property, plant and equipment 17  109,579,089  110,845,663 
 Right of use asset 18  126,445   131,165 
 Intangible assets and goodwill 19  10,533,667   10,745,700 
 Long term deposits    133,425   129,700 
     120,372,626   121,852,228 
CURRENT ASSETS 
 Stores, spares and loo</x:v>
      </x:c>
    </x:row>
    <x:row r="1363" ht="82" customHeight="1">
      <x:c r="A1363" s="76" t="str">
        <x:v>FCCL|rou|2025</x:v>
      </x:c>
      <x:c r="B1363" s="76" t="str">
        <x:v>FCCL</x:v>
      </x:c>
      <x:c r="C1363" s="76" t="str">
        <x:v>FY2025</x:v>
      </x:c>
      <x:c r="D1363" s="76" t="str">
        <x:v>Right-of-use assets (presented separately)</x:v>
      </x:c>
      <x:c r="E1363" s="170" t="n">
        <x:v>126445</x:v>
      </x:c>
      <x:c r="F1363" s="170" t="n">
        <x:v>126445</x:v>
      </x:c>
      <x:c r="G1363" s="170" t="str">
        <x:v>Rs '000</x:v>
      </x:c>
      <x:c r="H1363" s="170" t="n">
        <x:f>F1363/1000</x:f>
        <x:v>126.445</x:v>
      </x:c>
      <x:c r="I1363" s="170" t="n">
        <x:f>FCCL!H23</x:f>
        <x:v>126.445</x:v>
      </x:c>
      <x:c r="J1363" s="170" t="n">
        <x:f>H1363-I1363</x:f>
        <x:v>0</x:v>
      </x:c>
      <x:c r="K1363" s="76" t="str">
        <x:v>FCCL-Annual-Report-2025.pdf</x:v>
      </x:c>
      <x:c r="L1363" s="76" t="n">
        <x:v>245</x:v>
      </x:c>
      <x:c r="M1363" s="76" t="str">
        <x:v>Current year</x:v>
      </x:c>
      <x:c r="N1363" s="99" t="str">
        <x:v>Printed amount independently located</x:v>
      </x:c>
      <x:c r="O1363" s="99" t="str">
        <x:v>Exact source amount found; audited year/current-comparative column recorded. Accounting subtotal tests performed separately.</x:v>
      </x:c>
      <x:c r="P1363" s="99" t="str">
        <x:v>025 2024
  Rupees’000 Rupees’000
ASSETS 
NON–CURRENT ASSETS 
 Property, plant and equipment 17  109,579,089  110,845,663 
 Right of use asset 18  126,445   131,165 
 Intangible assets and goodwill 19  10,533,667   10,745,700 
 Long term deposits    133,425   129,700 
     120,372,626   121,852,228 
CURRENT ASSETS 
 Stores, spar</x:v>
      </x:c>
    </x:row>
    <x:row r="1364" ht="82" customHeight="1">
      <x:c r="A1364" s="168" t="str">
        <x:v>FCCL|intang|2020</x:v>
      </x:c>
      <x:c r="B1364" s="168" t="str">
        <x:v>FCCL</x:v>
      </x:c>
      <x:c r="C1364" s="168" t="str">
        <x:v>FY2020</x:v>
      </x:c>
      <x:c r="D1364" s="168" t="str">
        <x:v>Intangible assets</x:v>
      </x:c>
      <x:c r="E1364" s="169" t="n">
        <x:v>0</x:v>
      </x:c>
      <x:c r="F1364" s="169" t="n">
        <x:v>0</x:v>
      </x:c>
      <x:c r="G1364" s="169" t="str">
        <x:v>Rs '000</x:v>
      </x:c>
      <x:c r="H1364" s="169" t="n">
        <x:f>F1364/1000</x:f>
        <x:v>0</x:v>
      </x:c>
      <x:c r="I1364" s="169" t="n">
        <x:f>FCCL!C24</x:f>
        <x:v>0</x:v>
      </x:c>
      <x:c r="J1364" s="169" t="n">
        <x:f>H1364-I1364</x:f>
        <x:v>0</x:v>
      </x:c>
      <x:c r="K1364" s="168" t="str">
        <x:v>FCCL-Annual-Report-2021.pdf</x:v>
      </x:c>
      <x:c r="L1364" s="168" t="n">
        <x:v>164</x:v>
      </x:c>
      <x:c r="M1364" s="168" t="str">
        <x:v>Comparative</x:v>
      </x:c>
      <x:c r="N1364" s="171" t="str">
        <x:v>Zero / no separate line in audited presentation</x:v>
      </x:c>
      <x:c r="O1364" s="171" t="str">
        <x:v>Zero classification checked within the audited statement/note and reconstructed statement totals; absence of a separate line does not imply a missing replacement estimate.</x:v>
      </x:c>
      <x:c r="P1364" s="171" t="str">
        <x:v>
FAUJI CEMENT COMPANY LIMITED
FOR THE YEAR ENDED 30 JUNE 2021
162
STATEMENT OF FINANCIAL POSITION
Restated
2021 2020
Note Rupees'000 Rupees'000
EQUITY | Intangible assets</x:v>
      </x:c>
    </x:row>
    <x:row r="1365" ht="82" customHeight="1">
      <x:c r="A1365" s="76" t="str">
        <x:v>FCCL|intang|2021</x:v>
      </x:c>
      <x:c r="B1365" s="76" t="str">
        <x:v>FCCL</x:v>
      </x:c>
      <x:c r="C1365" s="76" t="str">
        <x:v>FY2021</x:v>
      </x:c>
      <x:c r="D1365" s="76" t="str">
        <x:v>Intangible assets</x:v>
      </x:c>
      <x:c r="E1365" s="170" t="n">
        <x:v>0</x:v>
      </x:c>
      <x:c r="F1365" s="170" t="n">
        <x:v>0</x:v>
      </x:c>
      <x:c r="G1365" s="170" t="str">
        <x:v>Rs '000</x:v>
      </x:c>
      <x:c r="H1365" s="170" t="n">
        <x:f>F1365/1000</x:f>
        <x:v>0</x:v>
      </x:c>
      <x:c r="I1365" s="170" t="n">
        <x:f>FCCL!D24</x:f>
        <x:v>0</x:v>
      </x:c>
      <x:c r="J1365" s="170" t="n">
        <x:f>H1365-I1365</x:f>
        <x:v>0</x:v>
      </x:c>
      <x:c r="K1365" s="76" t="str">
        <x:v>FCCL-Annual-Report-2022.pdf</x:v>
      </x:c>
      <x:c r="L1365" s="76" t="n">
        <x:v>187</x:v>
      </x:c>
      <x:c r="M1365" s="76" t="str">
        <x:v>Comparative</x:v>
      </x:c>
      <x:c r="N1365" s="99" t="str">
        <x:v>Zero / no separate line in audited presentation</x:v>
      </x:c>
      <x:c r="O1365" s="99" t="str">
        <x:v>Zero classification checked within the audited statement/note and reconstructed statement totals; absence of a separate line does not imply a missing replacement estimate.</x:v>
      </x:c>
      <x:c r="P1365" s="99" t="str">
        <x:v>
2022 2021
Note Rupees'000 Rupees'000
ASSETS
NON-CURRENT ASSETS
Property, plant and equipment 17 74,126,315 21,422,215 
Right of use asset 18 132,263  | Intangibles</x:v>
      </x:c>
    </x:row>
    <x:row r="1366" ht="82" customHeight="1">
      <x:c r="A1366" s="168" t="str">
        <x:v>FCCL|intang|2022</x:v>
      </x:c>
      <x:c r="B1366" s="168" t="str">
        <x:v>FCCL</x:v>
      </x:c>
      <x:c r="C1366" s="168" t="str">
        <x:v>FY2022</x:v>
      </x:c>
      <x:c r="D1366" s="168" t="str">
        <x:v>Intangible assets</x:v>
      </x:c>
      <x:c r="E1366" s="169" t="n">
        <x:v>11029756</x:v>
      </x:c>
      <x:c r="F1366" s="169" t="n">
        <x:v>11029756</x:v>
      </x:c>
      <x:c r="G1366" s="169" t="str">
        <x:v>Rs '000</x:v>
      </x:c>
      <x:c r="H1366" s="169" t="n">
        <x:f>F1366/1000</x:f>
        <x:v>11029.756</x:v>
      </x:c>
      <x:c r="I1366" s="169" t="n">
        <x:f>FCCL!E24</x:f>
        <x:v>11029.756</x:v>
      </x:c>
      <x:c r="J1366" s="169" t="n">
        <x:f>H1366-I1366</x:f>
        <x:v>0</x:v>
      </x:c>
      <x:c r="K1366" s="168" t="str">
        <x:v>FCCL-Annual-Report-2023.pdf</x:v>
      </x:c>
      <x:c r="L1366" s="168" t="n">
        <x:v>209</x:v>
      </x:c>
      <x:c r="M1366" s="168" t="str">
        <x:v>Comparative</x:v>
      </x:c>
      <x:c r="N1366" s="171" t="str">
        <x:v>Printed amount independently located</x:v>
      </x:c>
      <x:c r="O1366" s="171" t="str">
        <x:v>Exact source amount found; audited year/current-comparative column recorded. Accounting subtotal tests performed separately.</x:v>
      </x:c>
      <x:c r="P1366" s="171" t="str">
        <x:v>5,253,134  17,978,520 Right of use asset 17  181,380  132,263 
Revenue reserve  25,394,127  17,954,446 Intangible assets and goodwill 18  10,957,737  11,029,756 
 65,175,737  57,736,056 Long term deposits  129,700  126,274 
Long term investment in associate  -  66,657 
NON-CURRENT LIABILITIES  115,693,998  85,481,265 
Long term loans - se</x:v>
      </x:c>
    </x:row>
    <x:row r="1367" ht="82" customHeight="1">
      <x:c r="A1367" s="76" t="str">
        <x:v>FCCL|intang|2023</x:v>
      </x:c>
      <x:c r="B1367" s="76" t="str">
        <x:v>FCCL</x:v>
      </x:c>
      <x:c r="C1367" s="76" t="str">
        <x:v>FY2023</x:v>
      </x:c>
      <x:c r="D1367" s="76" t="str">
        <x:v>Intangible assets</x:v>
      </x:c>
      <x:c r="E1367" s="170" t="n">
        <x:v>10957737</x:v>
      </x:c>
      <x:c r="F1367" s="170" t="n">
        <x:v>10957737</x:v>
      </x:c>
      <x:c r="G1367" s="170" t="str">
        <x:v>Rs '000</x:v>
      </x:c>
      <x:c r="H1367" s="170" t="n">
        <x:f>F1367/1000</x:f>
        <x:v>10957.737</x:v>
      </x:c>
      <x:c r="I1367" s="170" t="n">
        <x:f>FCCL!F24</x:f>
        <x:v>10957.737</x:v>
      </x:c>
      <x:c r="J1367" s="170" t="n">
        <x:f>H1367-I1367</x:f>
        <x:v>0</x:v>
      </x:c>
      <x:c r="K1367" s="76" t="str">
        <x:v>FCCL-Annual-Report-2024.pdf</x:v>
      </x:c>
      <x:c r="L1367" s="76" t="n">
        <x:v>191</x:v>
      </x:c>
      <x:c r="M1367" s="76" t="str">
        <x:v>Comparative</x:v>
      </x:c>
      <x:c r="N1367" s="99" t="str">
        <x:v>Printed amount independently located</x:v>
      </x:c>
      <x:c r="O1367" s="99" t="str">
        <x:v>Exact source amount found; audited year/current-comparative column recorded. Accounting subtotal tests performed separately.</x:v>
      </x:c>
      <x:c r="P1367" s="99" t="str">
        <x:v>operty, plant and equipment 16  110,845,663  104,425,181 
 Right of use asset 17  131,165   181,380 
 Intangible assets and goodwill 18  10,745,700   10,957,737 
 Long term deposits    129,700   129,700 
     121,852,228   115,693,998 
CURRENT ASSETS  
 Stores, spares and loose tools 19  9,099,130   8,011,181 
 Stock in trade 20  7,49</x:v>
      </x:c>
    </x:row>
    <x:row r="1368" ht="82" customHeight="1">
      <x:c r="A1368" s="168" t="str">
        <x:v>FCCL|intang|2024</x:v>
      </x:c>
      <x:c r="B1368" s="168" t="str">
        <x:v>FCCL</x:v>
      </x:c>
      <x:c r="C1368" s="168" t="str">
        <x:v>FY2024</x:v>
      </x:c>
      <x:c r="D1368" s="168" t="str">
        <x:v>Intangible assets</x:v>
      </x:c>
      <x:c r="E1368" s="169" t="n">
        <x:v>10745700</x:v>
      </x:c>
      <x:c r="F1368" s="169" t="n">
        <x:v>10745700</x:v>
      </x:c>
      <x:c r="G1368" s="169" t="str">
        <x:v>Rs '000</x:v>
      </x:c>
      <x:c r="H1368" s="169" t="n">
        <x:f>F1368/1000</x:f>
        <x:v>10745.7</x:v>
      </x:c>
      <x:c r="I1368" s="169" t="n">
        <x:f>FCCL!G24</x:f>
        <x:v>10745.7</x:v>
      </x:c>
      <x:c r="J1368" s="169" t="n">
        <x:f>H1368-I1368</x:f>
        <x:v>0</x:v>
      </x:c>
      <x:c r="K1368" s="168" t="str">
        <x:v>FCCL-Annual-Report-2025.pdf</x:v>
      </x:c>
      <x:c r="L1368" s="168" t="n">
        <x:v>245</x:v>
      </x:c>
      <x:c r="M1368" s="168" t="str">
        <x:v>Comparative</x:v>
      </x:c>
      <x:c r="N1368" s="171" t="str">
        <x:v>Printed amount independently located</x:v>
      </x:c>
      <x:c r="O1368" s="171" t="str">
        <x:v>Exact source amount found; audited year/current-comparative column recorded. Accounting subtotal tests performed separately.</x:v>
      </x:c>
      <x:c r="P1368" s="171" t="str">
        <x:v>operty, plant and equipment 17  109,579,089  110,845,663 
 Right of use asset 18  126,445   131,165 
 Intangible assets and goodwill 19  10,533,667   10,745,700 
 Long term deposits    133,425   129,700 
     120,372,626   121,852,228 
CURRENT ASSETS 
 Stores, spares and loose tools 20  10,377,008   9,099,130 
 Stock in trade 21  9,33</x:v>
      </x:c>
    </x:row>
    <x:row r="1369" ht="82" customHeight="1">
      <x:c r="A1369" s="76" t="str">
        <x:v>FCCL|intang|2025</x:v>
      </x:c>
      <x:c r="B1369" s="76" t="str">
        <x:v>FCCL</x:v>
      </x:c>
      <x:c r="C1369" s="76" t="str">
        <x:v>FY2025</x:v>
      </x:c>
      <x:c r="D1369" s="76" t="str">
        <x:v>Intangible assets</x:v>
      </x:c>
      <x:c r="E1369" s="170" t="n">
        <x:v>10533667</x:v>
      </x:c>
      <x:c r="F1369" s="170" t="n">
        <x:v>10533667</x:v>
      </x:c>
      <x:c r="G1369" s="170" t="str">
        <x:v>Rs '000</x:v>
      </x:c>
      <x:c r="H1369" s="170" t="n">
        <x:f>F1369/1000</x:f>
        <x:v>10533.667</x:v>
      </x:c>
      <x:c r="I1369" s="170" t="n">
        <x:f>FCCL!H24</x:f>
        <x:v>10533.667</x:v>
      </x:c>
      <x:c r="J1369" s="170" t="n">
        <x:f>H1369-I1369</x:f>
        <x:v>0</x:v>
      </x:c>
      <x:c r="K1369" s="76" t="str">
        <x:v>FCCL-Annual-Report-2025.pdf</x:v>
      </x:c>
      <x:c r="L1369" s="76" t="n">
        <x:v>245</x:v>
      </x:c>
      <x:c r="M1369" s="76" t="str">
        <x:v>Current year</x:v>
      </x:c>
      <x:c r="N1369" s="99" t="str">
        <x:v>Printed amount independently located</x:v>
      </x:c>
      <x:c r="O1369" s="99" t="str">
        <x:v>Exact source amount found; audited year/current-comparative column recorded. Accounting subtotal tests performed separately.</x:v>
      </x:c>
      <x:c r="P1369" s="99" t="str">
        <x:v>T ASSETS 
 Property, plant and equipment 17  109,579,089  110,845,663 
 Right of use asset 18  126,445   131,165 
 Intangible assets and goodwill 19  10,533,667   10,745,700 
 Long term deposits    133,425   129,700 
     120,372,626   121,852,228 
CURRENT ASSETS 
 Stores, spares and loose tools 20  10,377,008   9,099,130 
 Stock in t</x:v>
      </x:c>
    </x:row>
    <x:row r="1370" ht="82" customHeight="1">
      <x:c r="A1370" s="168" t="str">
        <x:v>FCCL|inv_prop|2020</x:v>
      </x:c>
      <x:c r="B1370" s="168" t="str">
        <x:v>FCCL</x:v>
      </x:c>
      <x:c r="C1370" s="168" t="str">
        <x:v>FY2020</x:v>
      </x:c>
      <x:c r="D1370" s="168" t="str">
        <x:v>Investment property</x:v>
      </x:c>
      <x:c r="E1370" s="169" t="n">
        <x:v>0</x:v>
      </x:c>
      <x:c r="F1370" s="169" t="n">
        <x:v>0</x:v>
      </x:c>
      <x:c r="G1370" s="169" t="str">
        <x:v>Rs '000</x:v>
      </x:c>
      <x:c r="H1370" s="169" t="n">
        <x:f>F1370/1000</x:f>
        <x:v>0</x:v>
      </x:c>
      <x:c r="I1370" s="169" t="n">
        <x:f>FCCL!C25</x:f>
        <x:v>0</x:v>
      </x:c>
      <x:c r="J1370" s="169" t="n">
        <x:f>H1370-I1370</x:f>
        <x:v>0</x:v>
      </x:c>
      <x:c r="K1370" s="168" t="str">
        <x:v>FCCL-Annual-Report-2021.pdf</x:v>
      </x:c>
      <x:c r="L1370" s="168" t="n">
        <x:v>164</x:v>
      </x:c>
      <x:c r="M1370" s="168" t="str">
        <x:v>Comparative</x:v>
      </x:c>
      <x:c r="N1370" s="171" t="str">
        <x:v>Zero / no separate line in audited presentation</x:v>
      </x:c>
      <x:c r="O1370" s="171" t="str">
        <x:v>Zero classification checked within the audited statement/note and reconstructed statement totals; absence of a separate line does not imply a missing replacement estimate.</x:v>
      </x:c>
      <x:c r="P1370" s="171" t="str">
        <x:v>
FAUJI CEMENT COMPANY LIMITED
FOR THE YEAR ENDED 30 JUNE 2021
162
STATEMENT OF FINANCIAL POSITION
Restated
2021 2020
Note Rupees'000 Rupees'000
EQUITY | Investment property</x:v>
      </x:c>
    </x:row>
    <x:row r="1371" ht="82" customHeight="1">
      <x:c r="A1371" s="76" t="str">
        <x:v>FCCL|inv_prop|2021</x:v>
      </x:c>
      <x:c r="B1371" s="76" t="str">
        <x:v>FCCL</x:v>
      </x:c>
      <x:c r="C1371" s="76" t="str">
        <x:v>FY2021</x:v>
      </x:c>
      <x:c r="D1371" s="76" t="str">
        <x:v>Investment property</x:v>
      </x:c>
      <x:c r="E1371" s="170" t="n">
        <x:v>0</x:v>
      </x:c>
      <x:c r="F1371" s="170" t="n">
        <x:v>0</x:v>
      </x:c>
      <x:c r="G1371" s="170" t="str">
        <x:v>Rs '000</x:v>
      </x:c>
      <x:c r="H1371" s="170" t="n">
        <x:f>F1371/1000</x:f>
        <x:v>0</x:v>
      </x:c>
      <x:c r="I1371" s="170" t="n">
        <x:f>FCCL!D25</x:f>
        <x:v>0</x:v>
      </x:c>
      <x:c r="J1371" s="170" t="n">
        <x:f>H1371-I1371</x:f>
        <x:v>0</x:v>
      </x:c>
      <x:c r="K1371" s="76" t="str">
        <x:v>FCCL-Annual-Report-2022.pdf</x:v>
      </x:c>
      <x:c r="L1371" s="76" t="n">
        <x:v>186</x:v>
      </x:c>
      <x:c r="M1371" s="76" t="str">
        <x:v>Comparative</x:v>
      </x:c>
      <x:c r="N1371" s="99" t="str">
        <x:v>Zero / no separate line in audited presentation</x:v>
      </x:c>
      <x:c r="O1371" s="99" t="str">
        <x:v>Zero classification checked within the audited statement/note and reconstructed statement totals; absence of a separate line does not imply a missing replacement estimate.</x:v>
      </x:c>
      <x:c r="P1371" s="99" t="str">
        <x:v>
STATEMENT OF FINANCIAL POSITION
2022 2021
Note Rupees'000 Rupees'000
EQUITY &amp; LIABILITIES 
EQUITY AND RESERVES
Share capital 4 21,803,090 13,798,150  | Investment property</x:v>
      </x:c>
    </x:row>
    <x:row r="1372" ht="82" customHeight="1">
      <x:c r="A1372" s="168" t="str">
        <x:v>FCCL|inv_prop|2022</x:v>
      </x:c>
      <x:c r="B1372" s="168" t="str">
        <x:v>FCCL</x:v>
      </x:c>
      <x:c r="C1372" s="168" t="str">
        <x:v>FY2022</x:v>
      </x:c>
      <x:c r="D1372" s="168" t="str">
        <x:v>Investment property</x:v>
      </x:c>
      <x:c r="E1372" s="169" t="n">
        <x:v>0</x:v>
      </x:c>
      <x:c r="F1372" s="169" t="n">
        <x:v>0</x:v>
      </x:c>
      <x:c r="G1372" s="169" t="str">
        <x:v>Rs '000</x:v>
      </x:c>
      <x:c r="H1372" s="169" t="n">
        <x:f>F1372/1000</x:f>
        <x:v>0</x:v>
      </x:c>
      <x:c r="I1372" s="169" t="n">
        <x:f>FCCL!E25</x:f>
        <x:v>0</x:v>
      </x:c>
      <x:c r="J1372" s="169" t="n">
        <x:f>H1372-I1372</x:f>
        <x:v>0</x:v>
      </x:c>
      <x:c r="K1372" s="168" t="str">
        <x:v>FCCL-Annual-Report-2023.pdf</x:v>
      </x:c>
      <x:c r="L1372" s="168" t="n">
        <x:v>208</x:v>
      </x:c>
      <x:c r="M1372" s="168" t="str">
        <x:v>Comparative</x:v>
      </x:c>
      <x:c r="N1372" s="171" t="str">
        <x:v>Zero / no separate line in audited presentation</x:v>
      </x:c>
      <x:c r="O1372" s="171" t="str">
        <x:v>Zero classification checked within the audited statement/note and reconstructed statement totals; absence of a separate line does not imply a missing replacement estimate.</x:v>
      </x:c>
      <x:c r="P1372" s="171" t="str">
        <x:v>
FAUJI CEMENT COMPANY LIMITED
206
Fauji Cement Company Limited
Statement of Financial Position
As at June 30, 2023
2023 2022 2023 2022
Note Rupees’000 | Investment property</x:v>
      </x:c>
    </x:row>
    <x:row r="1373" ht="82" customHeight="1">
      <x:c r="A1373" s="76" t="str">
        <x:v>FCCL|inv_prop|2023</x:v>
      </x:c>
      <x:c r="B1373" s="76" t="str">
        <x:v>FCCL</x:v>
      </x:c>
      <x:c r="C1373" s="76" t="str">
        <x:v>FY2023</x:v>
      </x:c>
      <x:c r="D1373" s="76" t="str">
        <x:v>Investment property</x:v>
      </x:c>
      <x:c r="E1373" s="170" t="n">
        <x:v>0</x:v>
      </x:c>
      <x:c r="F1373" s="170" t="n">
        <x:v>0</x:v>
      </x:c>
      <x:c r="G1373" s="170" t="str">
        <x:v>Rs '000</x:v>
      </x:c>
      <x:c r="H1373" s="170" t="n">
        <x:f>F1373/1000</x:f>
        <x:v>0</x:v>
      </x:c>
      <x:c r="I1373" s="170" t="n">
        <x:f>FCCL!F25</x:f>
        <x:v>0</x:v>
      </x:c>
      <x:c r="J1373" s="170" t="n">
        <x:f>H1373-I1373</x:f>
        <x:v>0</x:v>
      </x:c>
      <x:c r="K1373" s="76" t="str">
        <x:v>FCCL-Annual-Report-2024.pdf</x:v>
      </x:c>
      <x:c r="L1373" s="76" t="n">
        <x:v>190</x:v>
      </x:c>
      <x:c r="M1373" s="76" t="str">
        <x:v>Comparative</x:v>
      </x:c>
      <x:c r="N1373" s="99" t="str">
        <x:v>Zero / no separate line in audited presentation</x:v>
      </x:c>
      <x:c r="O1373" s="99" t="str">
        <x:v>Zero classification checked within the audited statement/note and reconstructed statement totals; absence of a separate line does not imply a missing replacement estimate.</x:v>
      </x:c>
      <x:c r="P1373" s="99" t="str">
        <x:v>
 Note 2024 2023
  Rupees’000 Rupees’000
EQUITY &amp; LIABILITIES   
EQUITY AND RESERVES  
 Share capital 4  24,528,476   24,528,476 
 Capital reserv | Investment property</x:v>
      </x:c>
    </x:row>
    <x:row r="1374" ht="82" customHeight="1">
      <x:c r="A1374" s="168" t="str">
        <x:v>FCCL|inv_prop|2024</x:v>
      </x:c>
      <x:c r="B1374" s="168" t="str">
        <x:v>FCCL</x:v>
      </x:c>
      <x:c r="C1374" s="168" t="str">
        <x:v>FY2024</x:v>
      </x:c>
      <x:c r="D1374" s="168" t="str">
        <x:v>Investment property</x:v>
      </x:c>
      <x:c r="E1374" s="169" t="n">
        <x:v>0</x:v>
      </x:c>
      <x:c r="F1374" s="169" t="n">
        <x:v>0</x:v>
      </x:c>
      <x:c r="G1374" s="169" t="str">
        <x:v>Rs '000</x:v>
      </x:c>
      <x:c r="H1374" s="169" t="n">
        <x:f>F1374/1000</x:f>
        <x:v>0</x:v>
      </x:c>
      <x:c r="I1374" s="169" t="n">
        <x:f>FCCL!G25</x:f>
        <x:v>0</x:v>
      </x:c>
      <x:c r="J1374" s="169" t="n">
        <x:f>H1374-I1374</x:f>
        <x:v>0</x:v>
      </x:c>
      <x:c r="K1374" s="168" t="str">
        <x:v>FCCL-Annual-Report-2025.pdf</x:v>
      </x:c>
      <x:c r="L1374" s="168" t="n">
        <x:v>244</x:v>
      </x:c>
      <x:c r="M1374" s="168" t="str">
        <x:v>Comparative</x:v>
      </x:c>
      <x:c r="N1374" s="171" t="str">
        <x:v>Zero / no separate line in audited presentation</x:v>
      </x:c>
      <x:c r="O1374" s="171" t="str">
        <x:v>Zero classification checked within the audited statement/note and reconstructed statement totals; absence of a separate line does not imply a missing replacement estimate.</x:v>
      </x:c>
      <x:c r="P1374" s="171" t="str">
        <x:v>
 Note 2025 2024
  Rupees’000 Rupees’000
EQUITY &amp; LIABILITIES  
EQUITY AND RESERVES 
 Share capital 5  24,528,476   24,528,476 
 Capital reserve – | Investment property</x:v>
      </x:c>
    </x:row>
    <x:row r="1375" ht="82" customHeight="1">
      <x:c r="A1375" s="76" t="str">
        <x:v>FCCL|inv_prop|2025</x:v>
      </x:c>
      <x:c r="B1375" s="76" t="str">
        <x:v>FCCL</x:v>
      </x:c>
      <x:c r="C1375" s="76" t="str">
        <x:v>FY2025</x:v>
      </x:c>
      <x:c r="D1375" s="76" t="str">
        <x:v>Investment property</x:v>
      </x:c>
      <x:c r="E1375" s="170" t="n">
        <x:v>0</x:v>
      </x:c>
      <x:c r="F1375" s="170" t="n">
        <x:v>0</x:v>
      </x:c>
      <x:c r="G1375" s="170" t="str">
        <x:v>Rs '000</x:v>
      </x:c>
      <x:c r="H1375" s="170" t="n">
        <x:f>F1375/1000</x:f>
        <x:v>0</x:v>
      </x:c>
      <x:c r="I1375" s="170" t="n">
        <x:f>FCCL!H25</x:f>
        <x:v>0</x:v>
      </x:c>
      <x:c r="J1375" s="170" t="n">
        <x:f>H1375-I1375</x:f>
        <x:v>0</x:v>
      </x:c>
      <x:c r="K1375" s="76" t="str">
        <x:v>FCCL-Annual-Report-2025.pdf</x:v>
      </x:c>
      <x:c r="L1375" s="76" t="n">
        <x:v>244</x:v>
      </x:c>
      <x:c r="M1375" s="76" t="str">
        <x:v>Current year</x:v>
      </x:c>
      <x:c r="N1375" s="99" t="str">
        <x:v>Zero / no separate line in audited presentation</x:v>
      </x:c>
      <x:c r="O1375" s="99" t="str">
        <x:v>Zero classification checked within the audited statement/note and reconstructed statement totals; absence of a separate line does not imply a missing replacement estimate.</x:v>
      </x:c>
      <x:c r="P1375" s="99" t="str">
        <x:v>
 Note 2025 2024
  Rupees’000 Rupees’000
EQUITY &amp; LIABILITIES  
EQUITY AND RESERVES 
 Share capital 5  24,528,476   24,528,476 
 Capital reserve – | Investment property</x:v>
      </x:c>
    </x:row>
    <x:row r="1376" ht="82" customHeight="1">
      <x:c r="A1376" s="168" t="str">
        <x:v>FCCL|lt_inv|2020</x:v>
      </x:c>
      <x:c r="B1376" s="168" t="str">
        <x:v>FCCL</x:v>
      </x:c>
      <x:c r="C1376" s="168" t="str">
        <x:v>FY2020</x:v>
      </x:c>
      <x:c r="D1376" s="168" t="str">
        <x:v>Long-term investments</x:v>
      </x:c>
      <x:c r="E1376" s="169" t="n">
        <x:v>0</x:v>
      </x:c>
      <x:c r="F1376" s="169" t="n">
        <x:v>0</x:v>
      </x:c>
      <x:c r="G1376" s="169" t="str">
        <x:v>Rs '000</x:v>
      </x:c>
      <x:c r="H1376" s="169" t="n">
        <x:f>F1376/1000</x:f>
        <x:v>0</x:v>
      </x:c>
      <x:c r="I1376" s="169" t="n">
        <x:f>FCCL!C26</x:f>
        <x:v>0</x:v>
      </x:c>
      <x:c r="J1376" s="169" t="n">
        <x:f>H1376-I1376</x:f>
        <x:v>0</x:v>
      </x:c>
      <x:c r="K1376" s="168" t="str">
        <x:v>FCCL-Annual-Report-2021.pdf</x:v>
      </x:c>
      <x:c r="L1376" s="168" t="n">
        <x:v>165</x:v>
      </x:c>
      <x:c r="M1376" s="168" t="str">
        <x:v>Comparative</x:v>
      </x:c>
      <x:c r="N1376" s="171" t="str">
        <x:v>Zero / no separate line in audited presentation</x:v>
      </x:c>
      <x:c r="O1376" s="171" t="str">
        <x:v>Zero classification checked within the audited statement/note and reconstructed statement totals; absence of a separate line does not imply a missing replacement estimate.</x:v>
      </x:c>
      <x:c r="P1376" s="171" t="str">
        <x:v>
Restated
2021 2020
Note Rupees'000 Rupees'000
ASSETS
Non-current assets
Property, plant and equipment 14  21,422,215 22,065,172 
Right of use asset 1 | Long term investment</x:v>
      </x:c>
    </x:row>
    <x:row r="1377" ht="82" customHeight="1">
      <x:c r="A1377" s="76" t="str">
        <x:v>FCCL|lt_inv|2021</x:v>
      </x:c>
      <x:c r="B1377" s="76" t="str">
        <x:v>FCCL</x:v>
      </x:c>
      <x:c r="C1377" s="76" t="str">
        <x:v>FY2021</x:v>
      </x:c>
      <x:c r="D1377" s="76" t="str">
        <x:v>Long-term investments</x:v>
      </x:c>
      <x:c r="E1377" s="170" t="n">
        <x:v>15349</x:v>
      </x:c>
      <x:c r="F1377" s="170" t="n">
        <x:v>15349</x:v>
      </x:c>
      <x:c r="G1377" s="170" t="str">
        <x:v>Rs '000</x:v>
      </x:c>
      <x:c r="H1377" s="170" t="n">
        <x:f>F1377/1000</x:f>
        <x:v>15.349</x:v>
      </x:c>
      <x:c r="I1377" s="170" t="n">
        <x:f>FCCL!D26</x:f>
        <x:v>15.349</x:v>
      </x:c>
      <x:c r="J1377" s="170" t="n">
        <x:f>H1377-I1377</x:f>
        <x:v>0</x:v>
      </x:c>
      <x:c r="K1377" s="76" t="str">
        <x:v>FCCL-Annual-Report-2022.pdf</x:v>
      </x:c>
      <x:c r="L1377" s="76" t="n">
        <x:v>187</x:v>
      </x:c>
      <x:c r="M1377" s="76" t="str">
        <x:v>Comparative</x:v>
      </x:c>
      <x:c r="N1377" s="99" t="str">
        <x:v>Printed amount independently located</x:v>
      </x:c>
      <x:c r="O1377" s="99" t="str">
        <x:v>Exact source amount found; audited year/current-comparative column recorded. Accounting subtotal tests performed separately.</x:v>
      </x:c>
      <x:c r="P1377" s="99" t="str">
        <x:v>ight of use asset 18 132,263 89,334 
Intangibles 19 11,029,756 - 
Long term deposits 20 126,274 86,601 
Long term investment in associate 21  66,657  15,349 
 85,481,265  21,613,499 
CURRENT ASSETS
Stores, spares and loose tools - net 22 11,939,147 4,250,754 
Stock in trade 23 3,697,721 1,189,198 
Trade debts - net 24 2,412,758 1,449,</x:v>
      </x:c>
    </x:row>
    <x:row r="1378" ht="82" customHeight="1">
      <x:c r="A1378" s="168" t="str">
        <x:v>FCCL|lt_inv|2022</x:v>
      </x:c>
      <x:c r="B1378" s="168" t="str">
        <x:v>FCCL</x:v>
      </x:c>
      <x:c r="C1378" s="168" t="str">
        <x:v>FY2022</x:v>
      </x:c>
      <x:c r="D1378" s="168" t="str">
        <x:v>Long-term investments</x:v>
      </x:c>
      <x:c r="E1378" s="169" t="n">
        <x:v>66657</x:v>
      </x:c>
      <x:c r="F1378" s="169" t="n">
        <x:v>66657</x:v>
      </x:c>
      <x:c r="G1378" s="169" t="str">
        <x:v>Rs '000</x:v>
      </x:c>
      <x:c r="H1378" s="169" t="n">
        <x:f>F1378/1000</x:f>
        <x:v>66.657</x:v>
      </x:c>
      <x:c r="I1378" s="169" t="n">
        <x:f>FCCL!E26</x:f>
        <x:v>66.657</x:v>
      </x:c>
      <x:c r="J1378" s="169" t="n">
        <x:f>H1378-I1378</x:f>
        <x:v>0</x:v>
      </x:c>
      <x:c r="K1378" s="168" t="str">
        <x:v>FCCL-Annual-Report-2023.pdf</x:v>
      </x:c>
      <x:c r="L1378" s="168" t="n">
        <x:v>209</x:v>
      </x:c>
      <x:c r="M1378" s="168" t="str">
        <x:v>Comparative</x:v>
      </x:c>
      <x:c r="N1378" s="171" t="str">
        <x:v>Printed amount independently located</x:v>
      </x:c>
      <x:c r="O1378" s="171" t="str">
        <x:v>Exact source amount found; audited year/current-comparative column recorded. Accounting subtotal tests performed separately.</x:v>
      </x:c>
      <x:c r="P1378" s="171" t="str">
        <x:v>e assets and goodwill 18  10,957,737  11,029,756 
 65,175,737  57,736,056 Long term deposits  129,700  126,274 
Long term investment in associate  -  66,657 
NON-CURRENT LIABILITIES  115,693,998  85,481,265 
Long term loans - secured  5  31,777,087  19,555,997 
Employee benefits 6  211,595  179,291 
Lease liabilities 7  118,972  89,96</x:v>
      </x:c>
    </x:row>
    <x:row r="1379" ht="82" customHeight="1">
      <x:c r="A1379" s="76" t="str">
        <x:v>FCCL|lt_inv|2023</x:v>
      </x:c>
      <x:c r="B1379" s="76" t="str">
        <x:v>FCCL</x:v>
      </x:c>
      <x:c r="C1379" s="76" t="str">
        <x:v>FY2023</x:v>
      </x:c>
      <x:c r="D1379" s="76" t="str">
        <x:v>Long-term investments</x:v>
      </x:c>
      <x:c r="E1379" s="170" t="n">
        <x:v>0</x:v>
      </x:c>
      <x:c r="F1379" s="170" t="n">
        <x:v>0</x:v>
      </x:c>
      <x:c r="G1379" s="170" t="str">
        <x:v>Rs '000</x:v>
      </x:c>
      <x:c r="H1379" s="170" t="n">
        <x:f>F1379/1000</x:f>
        <x:v>0</x:v>
      </x:c>
      <x:c r="I1379" s="170" t="n">
        <x:f>FCCL!F26</x:f>
        <x:v>0</x:v>
      </x:c>
      <x:c r="J1379" s="170" t="n">
        <x:f>H1379-I1379</x:f>
        <x:v>0</x:v>
      </x:c>
      <x:c r="K1379" s="76" t="str">
        <x:v>FCCL-Annual-Report-2024.pdf</x:v>
      </x:c>
      <x:c r="L1379" s="76" t="n">
        <x:v>190</x:v>
      </x:c>
      <x:c r="M1379" s="76" t="str">
        <x:v>Comparative</x:v>
      </x:c>
      <x:c r="N1379" s="99" t="str">
        <x:v>Zero / no separate line in audited presentation</x:v>
      </x:c>
      <x:c r="O1379" s="99" t="str">
        <x:v>Zero classification checked within the audited statement/note and reconstructed statement totals; absence of a separate line does not imply a missing replacement estimate.</x:v>
      </x:c>
      <x:c r="P1379" s="99" t="str">
        <x:v>
 Note 2024 2023
  Rupees’000 Rupees’000
EQUITY &amp; LIABILITIES   
EQUITY AND RESERVES  
 Share capital 4  24,528,476   24,528,476 
 Capital reserv | Long-term investments</x:v>
      </x:c>
    </x:row>
    <x:row r="1380" ht="82" customHeight="1">
      <x:c r="A1380" s="168" t="str">
        <x:v>FCCL|lt_inv|2024</x:v>
      </x:c>
      <x:c r="B1380" s="168" t="str">
        <x:v>FCCL</x:v>
      </x:c>
      <x:c r="C1380" s="168" t="str">
        <x:v>FY2024</x:v>
      </x:c>
      <x:c r="D1380" s="168" t="str">
        <x:v>Long-term investments</x:v>
      </x:c>
      <x:c r="E1380" s="169" t="n">
        <x:v>0</x:v>
      </x:c>
      <x:c r="F1380" s="169" t="n">
        <x:v>0</x:v>
      </x:c>
      <x:c r="G1380" s="169" t="str">
        <x:v>Rs '000</x:v>
      </x:c>
      <x:c r="H1380" s="169" t="n">
        <x:f>F1380/1000</x:f>
        <x:v>0</x:v>
      </x:c>
      <x:c r="I1380" s="169" t="n">
        <x:f>FCCL!G26</x:f>
        <x:v>0</x:v>
      </x:c>
      <x:c r="J1380" s="169" t="n">
        <x:f>H1380-I1380</x:f>
        <x:v>0</x:v>
      </x:c>
      <x:c r="K1380" s="168" t="str">
        <x:v>FCCL-Annual-Report-2025.pdf</x:v>
      </x:c>
      <x:c r="L1380" s="168" t="n">
        <x:v>244</x:v>
      </x:c>
      <x:c r="M1380" s="168" t="str">
        <x:v>Comparative</x:v>
      </x:c>
      <x:c r="N1380" s="171" t="str">
        <x:v>Zero / no separate line in audited presentation</x:v>
      </x:c>
      <x:c r="O1380" s="171" t="str">
        <x:v>Zero classification checked within the audited statement/note and reconstructed statement totals; absence of a separate line does not imply a missing replacement estimate.</x:v>
      </x:c>
      <x:c r="P1380" s="171" t="str">
        <x:v>
 Note 2025 2024
  Rupees’000 Rupees’000
EQUITY &amp; LIABILITIES  
EQUITY AND RESERVES 
 Share capital 5  24,528,476   24,528,476 
 Capital reserve – | Long-term investments</x:v>
      </x:c>
    </x:row>
    <x:row r="1381" ht="82" customHeight="1">
      <x:c r="A1381" s="76" t="str">
        <x:v>FCCL|lt_inv|2025</x:v>
      </x:c>
      <x:c r="B1381" s="76" t="str">
        <x:v>FCCL</x:v>
      </x:c>
      <x:c r="C1381" s="76" t="str">
        <x:v>FY2025</x:v>
      </x:c>
      <x:c r="D1381" s="76" t="str">
        <x:v>Long-term investments</x:v>
      </x:c>
      <x:c r="E1381" s="170" t="n">
        <x:v>0</x:v>
      </x:c>
      <x:c r="F1381" s="170" t="n">
        <x:v>0</x:v>
      </x:c>
      <x:c r="G1381" s="170" t="str">
        <x:v>Rs '000</x:v>
      </x:c>
      <x:c r="H1381" s="170" t="n">
        <x:f>F1381/1000</x:f>
        <x:v>0</x:v>
      </x:c>
      <x:c r="I1381" s="170" t="n">
        <x:f>FCCL!H26</x:f>
        <x:v>0</x:v>
      </x:c>
      <x:c r="J1381" s="170" t="n">
        <x:f>H1381-I1381</x:f>
        <x:v>0</x:v>
      </x:c>
      <x:c r="K1381" s="76" t="str">
        <x:v>FCCL-Annual-Report-2025.pdf</x:v>
      </x:c>
      <x:c r="L1381" s="76" t="n">
        <x:v>244</x:v>
      </x:c>
      <x:c r="M1381" s="76" t="str">
        <x:v>Current year</x:v>
      </x:c>
      <x:c r="N1381" s="99" t="str">
        <x:v>Zero / no separate line in audited presentation</x:v>
      </x:c>
      <x:c r="O1381" s="99" t="str">
        <x:v>Zero classification checked within the audited statement/note and reconstructed statement totals; absence of a separate line does not imply a missing replacement estimate.</x:v>
      </x:c>
      <x:c r="P1381" s="99" t="str">
        <x:v>
 Note 2025 2024
  Rupees’000 Rupees’000
EQUITY &amp; LIABILITIES  
EQUITY AND RESERVES 
 Share capital 5  24,528,476   24,528,476 
 Capital reserve – | Long-term investments</x:v>
      </x:c>
    </x:row>
    <x:row r="1382" ht="82" customHeight="1">
      <x:c r="A1382" s="168" t="str">
        <x:v>FCCL|nca_other|2020</x:v>
      </x:c>
      <x:c r="B1382" s="168" t="str">
        <x:v>FCCL</x:v>
      </x:c>
      <x:c r="C1382" s="168" t="str">
        <x:v>FY2020</x:v>
      </x:c>
      <x:c r="D1382" s="168" t="str">
        <x:v>Other non-current assets</x:v>
      </x:c>
      <x:c r="E1382" s="169" t="n">
        <x:v>99101</x:v>
      </x:c>
      <x:c r="F1382" s="169" t="n">
        <x:v>99101</x:v>
      </x:c>
      <x:c r="G1382" s="169" t="str">
        <x:v>Rs '000</x:v>
      </x:c>
      <x:c r="H1382" s="169" t="n">
        <x:f>F1382/1000</x:f>
        <x:v>99.101</x:v>
      </x:c>
      <x:c r="I1382" s="169" t="n">
        <x:f>FCCL!C27</x:f>
        <x:v>99.101</x:v>
      </x:c>
      <x:c r="J1382" s="169" t="n">
        <x:f>H1382-I1382</x:f>
        <x:v>0</x:v>
      </x:c>
      <x:c r="K1382" s="168" t="str">
        <x:v>FCCL-Annual-Report-2021.pdf</x:v>
      </x:c>
      <x:c r="L1382" s="168" t="n">
        <x:v>165</x:v>
      </x:c>
      <x:c r="M1382" s="168" t="str">
        <x:v>Comparative</x:v>
      </x:c>
      <x:c r="N1382" s="171" t="str">
        <x:v>Aggregated audited components</x:v>
      </x:c>
      <x:c r="O1382" s="171" t="str">
        <x:v>Source-labelled component sum; statement controls and signed-unit conversion independently recomputed.</x:v>
      </x:c>
      <x:c r="P1382" s="171" t="str">
        <x:v>
Restated
2021 2020
Note Rupees'000 Rupees'000
ASSETS
Non-current assets
Property, plant and equipment 14  21,422,215 22,065,172 
Right of use asset 15  89,334  60,322 
Long term d | Components: Advance against issue of shares; Long term deposits</x:v>
      </x:c>
    </x:row>
    <x:row r="1383" ht="82" customHeight="1">
      <x:c r="A1383" s="76" t="str">
        <x:v>FCCL|nca_other|2021</x:v>
      </x:c>
      <x:c r="B1383" s="76" t="str">
        <x:v>FCCL</x:v>
      </x:c>
      <x:c r="C1383" s="76" t="str">
        <x:v>FY2021</x:v>
      </x:c>
      <x:c r="D1383" s="76" t="str">
        <x:v>Other non-current assets</x:v>
      </x:c>
      <x:c r="E1383" s="170" t="n">
        <x:v>86601</x:v>
      </x:c>
      <x:c r="F1383" s="170" t="n">
        <x:v>86601</x:v>
      </x:c>
      <x:c r="G1383" s="170" t="str">
        <x:v>Rs '000</x:v>
      </x:c>
      <x:c r="H1383" s="170" t="n">
        <x:f>F1383/1000</x:f>
        <x:v>86.601</x:v>
      </x:c>
      <x:c r="I1383" s="170" t="n">
        <x:f>FCCL!D27</x:f>
        <x:v>86.601</x:v>
      </x:c>
      <x:c r="J1383" s="170" t="n">
        <x:f>H1383-I1383</x:f>
        <x:v>0</x:v>
      </x:c>
      <x:c r="K1383" s="76" t="str">
        <x:v>FCCL-Annual-Report-2022.pdf</x:v>
      </x:c>
      <x:c r="L1383" s="76" t="n">
        <x:v>187</x:v>
      </x:c>
      <x:c r="M1383" s="76" t="str">
        <x:v>Comparative</x:v>
      </x:c>
      <x:c r="N1383" s="99" t="str">
        <x:v>Printed amount independently located</x:v>
      </x:c>
      <x:c r="O1383" s="99" t="str">
        <x:v>Exact source amount found; audited year/current-comparative column recorded. Accounting subtotal tests performed separately.</x:v>
      </x:c>
      <x:c r="P1383" s="99" t="str">
        <x:v>perty, plant and equipment 17 74,126,315 21,422,215 
Right of use asset 18 132,263 89,334 
Intangibles 19 11,029,756 - 
Long term deposits 20 126,274 86,601 
Long term investment in associate 21  66,657  15,349 
 85,481,265  21,613,499 
CURRENT ASSETS
Stores, spares and loose tools - net 22 11,939,147 4,250,754 
Stock in trade 23 3,69</x:v>
      </x:c>
    </x:row>
    <x:row r="1384" ht="82" customHeight="1">
      <x:c r="A1384" s="168" t="str">
        <x:v>FCCL|nca_other|2022</x:v>
      </x:c>
      <x:c r="B1384" s="168" t="str">
        <x:v>FCCL</x:v>
      </x:c>
      <x:c r="C1384" s="168" t="str">
        <x:v>FY2022</x:v>
      </x:c>
      <x:c r="D1384" s="168" t="str">
        <x:v>Other non-current assets</x:v>
      </x:c>
      <x:c r="E1384" s="169" t="n">
        <x:v>126274</x:v>
      </x:c>
      <x:c r="F1384" s="169" t="n">
        <x:v>126274</x:v>
      </x:c>
      <x:c r="G1384" s="169" t="str">
        <x:v>Rs '000</x:v>
      </x:c>
      <x:c r="H1384" s="169" t="n">
        <x:f>F1384/1000</x:f>
        <x:v>126.274</x:v>
      </x:c>
      <x:c r="I1384" s="169" t="n">
        <x:f>FCCL!E27</x:f>
        <x:v>126.274</x:v>
      </x:c>
      <x:c r="J1384" s="169" t="n">
        <x:f>H1384-I1384</x:f>
        <x:v>0</x:v>
      </x:c>
      <x:c r="K1384" s="168" t="str">
        <x:v>FCCL-Annual-Report-2023.pdf</x:v>
      </x:c>
      <x:c r="L1384" s="168" t="n">
        <x:v>209</x:v>
      </x:c>
      <x:c r="M1384" s="168" t="str">
        <x:v>Comparative</x:v>
      </x:c>
      <x:c r="N1384" s="171" t="str">
        <x:v>Printed amount independently located</x:v>
      </x:c>
      <x:c r="O1384" s="171" t="str">
        <x:v>Exact source amount found; audited year/current-comparative column recorded. Accounting subtotal tests performed separately.</x:v>
      </x:c>
      <x:c r="P1384" s="171" t="str">
        <x:v>venue reserve  25,394,127  17,954,446 Intangible assets and goodwill 18  10,957,737  11,029,756 
 65,175,737  57,736,056 Long term deposits  129,700  126,274 
Long term investment in associate  -  66,657 
NON-CURRENT LIABILITIES  115,693,998  85,481,265 
Long term loans - secured  5  31,777,087  19,555,997 
Employee benefits 6  211,595</x:v>
      </x:c>
    </x:row>
    <x:row r="1385" ht="82" customHeight="1">
      <x:c r="A1385" s="76" t="str">
        <x:v>FCCL|nca_other|2023</x:v>
      </x:c>
      <x:c r="B1385" s="76" t="str">
        <x:v>FCCL</x:v>
      </x:c>
      <x:c r="C1385" s="76" t="str">
        <x:v>FY2023</x:v>
      </x:c>
      <x:c r="D1385" s="76" t="str">
        <x:v>Other non-current assets</x:v>
      </x:c>
      <x:c r="E1385" s="170" t="n">
        <x:v>129700</x:v>
      </x:c>
      <x:c r="F1385" s="170" t="n">
        <x:v>129700</x:v>
      </x:c>
      <x:c r="G1385" s="170" t="str">
        <x:v>Rs '000</x:v>
      </x:c>
      <x:c r="H1385" s="170" t="n">
        <x:f>F1385/1000</x:f>
        <x:v>129.7</x:v>
      </x:c>
      <x:c r="I1385" s="170" t="n">
        <x:f>FCCL!F27</x:f>
        <x:v>129.7</x:v>
      </x:c>
      <x:c r="J1385" s="170" t="n">
        <x:f>H1385-I1385</x:f>
        <x:v>0</x:v>
      </x:c>
      <x:c r="K1385" s="76" t="str">
        <x:v>FCCL-Annual-Report-2024.pdf</x:v>
      </x:c>
      <x:c r="L1385" s="76" t="n">
        <x:v>191</x:v>
      </x:c>
      <x:c r="M1385" s="76" t="str">
        <x:v>Comparative</x:v>
      </x:c>
      <x:c r="N1385" s="99" t="str">
        <x:v>Printed amount independently located</x:v>
      </x:c>
      <x:c r="O1385" s="99" t="str">
        <x:v>Exact source amount found; audited year/current-comparative column recorded. Accounting subtotal tests performed separately.</x:v>
      </x:c>
      <x:c r="P1385" s="99" t="str">
        <x:v>,845,663  104,425,181 
 Right of use asset 17  131,165   181,380 
 Intangible assets and goodwill 18  10,745,700   10,957,737 
 Long term deposits    129,700   129,700 
     121,852,228   115,693,998 
CURRENT ASSETS  
 Stores, spares and loose tools 19  9,099,130   8,011,181 
 Stock in trade 20  7,495,705   7,112,327 
 Trade debts</x:v>
      </x:c>
    </x:row>
    <x:row r="1386" ht="82" customHeight="1">
      <x:c r="A1386" s="168" t="str">
        <x:v>FCCL|nca_other|2024</x:v>
      </x:c>
      <x:c r="B1386" s="168" t="str">
        <x:v>FCCL</x:v>
      </x:c>
      <x:c r="C1386" s="168" t="str">
        <x:v>FY2024</x:v>
      </x:c>
      <x:c r="D1386" s="168" t="str">
        <x:v>Other non-current assets</x:v>
      </x:c>
      <x:c r="E1386" s="169" t="n">
        <x:v>129700</x:v>
      </x:c>
      <x:c r="F1386" s="169" t="n">
        <x:v>129700</x:v>
      </x:c>
      <x:c r="G1386" s="169" t="str">
        <x:v>Rs '000</x:v>
      </x:c>
      <x:c r="H1386" s="169" t="n">
        <x:f>F1386/1000</x:f>
        <x:v>129.7</x:v>
      </x:c>
      <x:c r="I1386" s="169" t="n">
        <x:f>FCCL!G27</x:f>
        <x:v>129.7</x:v>
      </x:c>
      <x:c r="J1386" s="169" t="n">
        <x:f>H1386-I1386</x:f>
        <x:v>0</x:v>
      </x:c>
      <x:c r="K1386" s="168" t="str">
        <x:v>FCCL-Annual-Report-2025.pdf</x:v>
      </x:c>
      <x:c r="L1386" s="168" t="n">
        <x:v>245</x:v>
      </x:c>
      <x:c r="M1386" s="168" t="str">
        <x:v>Comparative</x:v>
      </x:c>
      <x:c r="N1386" s="171" t="str">
        <x:v>Printed amount independently located</x:v>
      </x:c>
      <x:c r="O1386" s="171" t="str">
        <x:v>Exact source amount found; audited year/current-comparative column recorded. Accounting subtotal tests performed separately.</x:v>
      </x:c>
      <x:c r="P1386" s="171" t="str">
        <x:v>110,845,663 
 Right of use asset 18  126,445   131,165 
 Intangible assets and goodwill 19  10,533,667   10,745,700 
 Long term deposits    133,425   129,700 
     120,372,626   121,852,228 
CURRENT ASSETS 
 Stores, spares and loose tools 20  10,377,008   9,099,130 
 Stock in trade 21  9,337,617   7,495,705 
 Trade debts 22  6,911,</x:v>
      </x:c>
    </x:row>
    <x:row r="1387" ht="82" customHeight="1">
      <x:c r="A1387" s="76" t="str">
        <x:v>FCCL|nca_other|2025</x:v>
      </x:c>
      <x:c r="B1387" s="76" t="str">
        <x:v>FCCL</x:v>
      </x:c>
      <x:c r="C1387" s="76" t="str">
        <x:v>FY2025</x:v>
      </x:c>
      <x:c r="D1387" s="76" t="str">
        <x:v>Other non-current assets</x:v>
      </x:c>
      <x:c r="E1387" s="170" t="n">
        <x:v>133425</x:v>
      </x:c>
      <x:c r="F1387" s="170" t="n">
        <x:v>133425</x:v>
      </x:c>
      <x:c r="G1387" s="170" t="str">
        <x:v>Rs '000</x:v>
      </x:c>
      <x:c r="H1387" s="170" t="n">
        <x:f>F1387/1000</x:f>
        <x:v>133.425</x:v>
      </x:c>
      <x:c r="I1387" s="170" t="n">
        <x:f>FCCL!H27</x:f>
        <x:v>133.425</x:v>
      </x:c>
      <x:c r="J1387" s="170" t="n">
        <x:f>H1387-I1387</x:f>
        <x:v>0</x:v>
      </x:c>
      <x:c r="K1387" s="76" t="str">
        <x:v>FCCL-Annual-Report-2025.pdf</x:v>
      </x:c>
      <x:c r="L1387" s="76" t="n">
        <x:v>245</x:v>
      </x:c>
      <x:c r="M1387" s="76" t="str">
        <x:v>Current year</x:v>
      </x:c>
      <x:c r="N1387" s="99" t="str">
        <x:v>Printed amount independently located</x:v>
      </x:c>
      <x:c r="O1387" s="99" t="str">
        <x:v>Exact source amount found; audited year/current-comparative column recorded. Accounting subtotal tests performed separately.</x:v>
      </x:c>
      <x:c r="P1387" s="99" t="str">
        <x:v>,579,089  110,845,663 
 Right of use asset 18  126,445   131,165 
 Intangible assets and goodwill 19  10,533,667   10,745,700 
 Long term deposits    133,425   129,700 
     120,372,626   121,852,228 
CURRENT ASSETS 
 Stores, spares and loose tools 20  10,377,008   9,099,130 
 Stock in trade 21  9,337,617   7,495,705 
 Trade debts</x:v>
      </x:c>
    </x:row>
    <x:row r="1388" ht="82" customHeight="1">
      <x:c r="A1388" s="168" t="str">
        <x:v>FCCL|stores|2020</x:v>
      </x:c>
      <x:c r="B1388" s="168" t="str">
        <x:v>FCCL</x:v>
      </x:c>
      <x:c r="C1388" s="168" t="str">
        <x:v>FY2020</x:v>
      </x:c>
      <x:c r="D1388" s="168" t="str">
        <x:v>Stores, spares and loose tools</x:v>
      </x:c>
      <x:c r="E1388" s="169" t="n">
        <x:v>3505809</x:v>
      </x:c>
      <x:c r="F1388" s="169" t="n">
        <x:v>3505809</x:v>
      </x:c>
      <x:c r="G1388" s="169" t="str">
        <x:v>Rs '000</x:v>
      </x:c>
      <x:c r="H1388" s="169" t="n">
        <x:f>F1388/1000</x:f>
        <x:v>3505.809</x:v>
      </x:c>
      <x:c r="I1388" s="169" t="n">
        <x:f>FCCL!C30</x:f>
        <x:v>3505.809</x:v>
      </x:c>
      <x:c r="J1388" s="169" t="n">
        <x:f>H1388-I1388</x:f>
        <x:v>0</x:v>
      </x:c>
      <x:c r="K1388" s="168" t="str">
        <x:v>FCCL-Annual-Report-2021.pdf</x:v>
      </x:c>
      <x:c r="L1388" s="168" t="n">
        <x:v>165</x:v>
      </x:c>
      <x:c r="M1388" s="168" t="str">
        <x:v>Comparative</x:v>
      </x:c>
      <x:c r="N1388" s="171" t="str">
        <x:v>Printed amount independently located</x:v>
      </x:c>
      <x:c r="O1388" s="171" t="str">
        <x:v>Exact source amount found; audited year/current-comparative column recorded. Accounting subtotal tests performed separately.</x:v>
      </x:c>
      <x:c r="P1388" s="171" t="str">
        <x:v>e of shares  -    12,500 
Long term investment 17  15,349  -   
 21,613,499  22,224,595 
Current assets
Stores, spares and loose tools 18  4,250,754  3,505,809 
Stock in trade 19  1,189,198  1,187,752 
Trade debts 20  1,449,600  1,050,640 
Advances 21  45,593  73,695 
Trade deposits and short term prepayments 22  26,147  19,843 
Advance</x:v>
      </x:c>
    </x:row>
    <x:row r="1389" ht="82" customHeight="1">
      <x:c r="A1389" s="76" t="str">
        <x:v>FCCL|stores|2021</x:v>
      </x:c>
      <x:c r="B1389" s="76" t="str">
        <x:v>FCCL</x:v>
      </x:c>
      <x:c r="C1389" s="76" t="str">
        <x:v>FY2021</x:v>
      </x:c>
      <x:c r="D1389" s="76" t="str">
        <x:v>Stores, spares and loose tools</x:v>
      </x:c>
      <x:c r="E1389" s="170" t="n">
        <x:v>4250754</x:v>
      </x:c>
      <x:c r="F1389" s="170" t="n">
        <x:v>4250754</x:v>
      </x:c>
      <x:c r="G1389" s="170" t="str">
        <x:v>Rs '000</x:v>
      </x:c>
      <x:c r="H1389" s="170" t="n">
        <x:f>F1389/1000</x:f>
        <x:v>4250.754</x:v>
      </x:c>
      <x:c r="I1389" s="170" t="n">
        <x:f>FCCL!D30</x:f>
        <x:v>4250.754</x:v>
      </x:c>
      <x:c r="J1389" s="170" t="n">
        <x:f>H1389-I1389</x:f>
        <x:v>0</x:v>
      </x:c>
      <x:c r="K1389" s="76" t="str">
        <x:v>FCCL-Annual-Report-2022.pdf</x:v>
      </x:c>
      <x:c r="L1389" s="76" t="n">
        <x:v>187</x:v>
      </x:c>
      <x:c r="M1389" s="76" t="str">
        <x:v>Comparative</x:v>
      </x:c>
      <x:c r="N1389" s="99" t="str">
        <x:v>Printed amount independently located</x:v>
      </x:c>
      <x:c r="O1389" s="99" t="str">
        <x:v>Exact source amount found; audited year/current-comparative column recorded. Accounting subtotal tests performed separately.</x:v>
      </x:c>
      <x:c r="P1389" s="99" t="str">
        <x:v>601 
Long term investment in associate 21  66,657  15,349 
 85,481,265  21,613,499 
CURRENT ASSETS
Stores, spares and loose tools - net 22 11,939,147 4,250,754 
Stock in trade 23 3,697,721 1,189,198 
Trade debts - net 24 2,412,758 1,449,600 
Advances 25 193,629 45,593 
Sales tax refundable-net 26 2,650,804 - 
Trade deposits and short ter</x:v>
      </x:c>
    </x:row>
    <x:row r="1390" ht="82" customHeight="1">
      <x:c r="A1390" s="168" t="str">
        <x:v>FCCL|stores|2022</x:v>
      </x:c>
      <x:c r="B1390" s="168" t="str">
        <x:v>FCCL</x:v>
      </x:c>
      <x:c r="C1390" s="168" t="str">
        <x:v>FY2022</x:v>
      </x:c>
      <x:c r="D1390" s="168" t="str">
        <x:v>Stores, spares and loose tools</x:v>
      </x:c>
      <x:c r="E1390" s="169" t="n">
        <x:v>11939147</x:v>
      </x:c>
      <x:c r="F1390" s="169" t="n">
        <x:v>11939147</x:v>
      </x:c>
      <x:c r="G1390" s="169" t="str">
        <x:v>Rs '000</x:v>
      </x:c>
      <x:c r="H1390" s="169" t="n">
        <x:f>F1390/1000</x:f>
        <x:v>11939.147</x:v>
      </x:c>
      <x:c r="I1390" s="169" t="n">
        <x:f>FCCL!E30</x:f>
        <x:v>11939.147</x:v>
      </x:c>
      <x:c r="J1390" s="169" t="n">
        <x:f>H1390-I1390</x:f>
        <x:v>0</x:v>
      </x:c>
      <x:c r="K1390" s="168" t="str">
        <x:v>FCCL-Annual-Report-2023.pdf</x:v>
      </x:c>
      <x:c r="L1390" s="168" t="n">
        <x:v>209</x:v>
      </x:c>
      <x:c r="M1390" s="168" t="str">
        <x:v>Comparative</x:v>
      </x:c>
      <x:c r="N1390" s="171" t="str">
        <x:v>Printed amount independently located</x:v>
      </x:c>
      <x:c r="O1390" s="171" t="str">
        <x:v>Exact source amount found; audited year/current-comparative column recorded. Accounting subtotal tests performed separately.</x:v>
      </x:c>
      <x:c r="P1390" s="171" t="str">
        <x:v>oan from Parent - unsecured 10  7,387,000  7,387,000 
Trade and other payables 11  6,516,462  6,917,149 Stores, spares and loose tools 19  8,011,181  11,939,147 
Accrued liabilities  4,022,396  4,321,163 Stock in trade 20  7,112,327  3,697,721 
Security deposits payable 12  455,052  461,712 Trade debts 21  3,572,445  2,412,758 
Contract l</x:v>
      </x:c>
    </x:row>
    <x:row r="1391" ht="82" customHeight="1">
      <x:c r="A1391" s="76" t="str">
        <x:v>FCCL|stores|2023</x:v>
      </x:c>
      <x:c r="B1391" s="76" t="str">
        <x:v>FCCL</x:v>
      </x:c>
      <x:c r="C1391" s="76" t="str">
        <x:v>FY2023</x:v>
      </x:c>
      <x:c r="D1391" s="76" t="str">
        <x:v>Stores, spares and loose tools</x:v>
      </x:c>
      <x:c r="E1391" s="170" t="n">
        <x:v>8011181</x:v>
      </x:c>
      <x:c r="F1391" s="170" t="n">
        <x:v>8011181</x:v>
      </x:c>
      <x:c r="G1391" s="170" t="str">
        <x:v>Rs '000</x:v>
      </x:c>
      <x:c r="H1391" s="170" t="n">
        <x:f>F1391/1000</x:f>
        <x:v>8011.181</x:v>
      </x:c>
      <x:c r="I1391" s="170" t="n">
        <x:f>FCCL!F30</x:f>
        <x:v>8011.181</x:v>
      </x:c>
      <x:c r="J1391" s="170" t="n">
        <x:f>H1391-I1391</x:f>
        <x:v>0</x:v>
      </x:c>
      <x:c r="K1391" s="76" t="str">
        <x:v>FCCL-Annual-Report-2024.pdf</x:v>
      </x:c>
      <x:c r="L1391" s="76" t="n">
        <x:v>191</x:v>
      </x:c>
      <x:c r="M1391" s="76" t="str">
        <x:v>Comparative</x:v>
      </x:c>
      <x:c r="N1391" s="99" t="str">
        <x:v>Printed amount independently located</x:v>
      </x:c>
      <x:c r="O1391" s="99" t="str">
        <x:v>Exact source amount found; audited year/current-comparative column recorded. Accounting subtotal tests performed separately.</x:v>
      </x:c>
      <x:c r="P1391" s="99" t="str">
        <x:v>7,737 
 Long term deposits    129,700   129,700 
     121,852,228   115,693,998 
CURRENT ASSETS  
 Stores, spares and loose tools 19  9,099,130   8,011,181 
 Stock in trade 20  7,495,705   7,112,327 
 Trade debts 21  5,545,241   3,572,445 
 Advances 22  145,244   366,231 
 Sales tax refundable-net  –   1,820,851 
 Trade deposits and</x:v>
      </x:c>
    </x:row>
    <x:row r="1392" ht="82" customHeight="1">
      <x:c r="A1392" s="168" t="str">
        <x:v>FCCL|stores|2024</x:v>
      </x:c>
      <x:c r="B1392" s="168" t="str">
        <x:v>FCCL</x:v>
      </x:c>
      <x:c r="C1392" s="168" t="str">
        <x:v>FY2024</x:v>
      </x:c>
      <x:c r="D1392" s="168" t="str">
        <x:v>Stores, spares and loose tools</x:v>
      </x:c>
      <x:c r="E1392" s="169" t="n">
        <x:v>9099130</x:v>
      </x:c>
      <x:c r="F1392" s="169" t="n">
        <x:v>9099130</x:v>
      </x:c>
      <x:c r="G1392" s="169" t="str">
        <x:v>Rs '000</x:v>
      </x:c>
      <x:c r="H1392" s="169" t="n">
        <x:f>F1392/1000</x:f>
        <x:v>9099.13</x:v>
      </x:c>
      <x:c r="I1392" s="169" t="n">
        <x:f>FCCL!G30</x:f>
        <x:v>9099.13</x:v>
      </x:c>
      <x:c r="J1392" s="169" t="n">
        <x:f>H1392-I1392</x:f>
        <x:v>0</x:v>
      </x:c>
      <x:c r="K1392" s="168" t="str">
        <x:v>FCCL-Annual-Report-2025.pdf</x:v>
      </x:c>
      <x:c r="L1392" s="168" t="n">
        <x:v>245</x:v>
      </x:c>
      <x:c r="M1392" s="168" t="str">
        <x:v>Comparative</x:v>
      </x:c>
      <x:c r="N1392" s="171" t="str">
        <x:v>Printed amount independently located</x:v>
      </x:c>
      <x:c r="O1392" s="171" t="str">
        <x:v>Exact source amount found; audited year/current-comparative column recorded. Accounting subtotal tests performed separately.</x:v>
      </x:c>
      <x:c r="P1392" s="171" t="str">
        <x:v>5,700 
 Long term deposits    133,425   129,700 
     120,372,626   121,852,228 
CURRENT ASSETS 
 Stores, spares and loose tools 20  10,377,008   9,099,130 
 Stock in trade 21  9,337,617   7,495,705 
 Trade debts 22  6,911,322   5,545,241 
 Advances 23  305,685   145,244 
 Sales tax refundable – net   526,868  –  
 Trade deposits and</x:v>
      </x:c>
    </x:row>
    <x:row r="1393" ht="82" customHeight="1">
      <x:c r="A1393" s="76" t="str">
        <x:v>FCCL|stores|2025</x:v>
      </x:c>
      <x:c r="B1393" s="76" t="str">
        <x:v>FCCL</x:v>
      </x:c>
      <x:c r="C1393" s="76" t="str">
        <x:v>FY2025</x:v>
      </x:c>
      <x:c r="D1393" s="76" t="str">
        <x:v>Stores, spares and loose tools</x:v>
      </x:c>
      <x:c r="E1393" s="170" t="n">
        <x:v>10377008</x:v>
      </x:c>
      <x:c r="F1393" s="170" t="n">
        <x:v>10377008</x:v>
      </x:c>
      <x:c r="G1393" s="170" t="str">
        <x:v>Rs '000</x:v>
      </x:c>
      <x:c r="H1393" s="170" t="n">
        <x:f>F1393/1000</x:f>
        <x:v>10377.008</x:v>
      </x:c>
      <x:c r="I1393" s="170" t="n">
        <x:f>FCCL!H30</x:f>
        <x:v>10377.008</x:v>
      </x:c>
      <x:c r="J1393" s="170" t="n">
        <x:f>H1393-I1393</x:f>
        <x:v>0</x:v>
      </x:c>
      <x:c r="K1393" s="76" t="str">
        <x:v>FCCL-Annual-Report-2025.pdf</x:v>
      </x:c>
      <x:c r="L1393" s="76" t="n">
        <x:v>245</x:v>
      </x:c>
      <x:c r="M1393" s="76" t="str">
        <x:v>Current year</x:v>
      </x:c>
      <x:c r="N1393" s="99" t="str">
        <x:v>Printed amount independently located</x:v>
      </x:c>
      <x:c r="O1393" s="99" t="str">
        <x:v>Exact source amount found; audited year/current-comparative column recorded. Accounting subtotal tests performed separately.</x:v>
      </x:c>
      <x:c r="P1393" s="99" t="str">
        <x:v>3,667   10,745,700 
 Long term deposits    133,425   129,700 
     120,372,626   121,852,228 
CURRENT ASSETS 
 Stores, spares and loose tools 20  10,377,008   9,099,130 
 Stock in trade 21  9,337,617   7,495,705 
 Trade debts 22  6,911,322   5,545,241 
 Advances 23  305,685   145,244 
 Sales tax refundable – net   526,868  –  
 Trade</x:v>
      </x:c>
    </x:row>
    <x:row r="1394" ht="82" customHeight="1">
      <x:c r="A1394" s="168" t="str">
        <x:v>FCCL|sit|2020</x:v>
      </x:c>
      <x:c r="B1394" s="168" t="str">
        <x:v>FCCL</x:v>
      </x:c>
      <x:c r="C1394" s="168" t="str">
        <x:v>FY2020</x:v>
      </x:c>
      <x:c r="D1394" s="168" t="str">
        <x:v>Stock-in-trade</x:v>
      </x:c>
      <x:c r="E1394" s="169" t="n">
        <x:v>1187752</x:v>
      </x:c>
      <x:c r="F1394" s="169" t="n">
        <x:v>1187752</x:v>
      </x:c>
      <x:c r="G1394" s="169" t="str">
        <x:v>Rs '000</x:v>
      </x:c>
      <x:c r="H1394" s="169" t="n">
        <x:f>F1394/1000</x:f>
        <x:v>1187.752</x:v>
      </x:c>
      <x:c r="I1394" s="169" t="n">
        <x:f>FCCL!C31</x:f>
        <x:v>1187.752</x:v>
      </x:c>
      <x:c r="J1394" s="169" t="n">
        <x:f>H1394-I1394</x:f>
        <x:v>0</x:v>
      </x:c>
      <x:c r="K1394" s="168" t="str">
        <x:v>FCCL-Annual-Report-2021.pdf</x:v>
      </x:c>
      <x:c r="L1394" s="168" t="n">
        <x:v>165</x:v>
      </x:c>
      <x:c r="M1394" s="168" t="str">
        <x:v>Comparative</x:v>
      </x:c>
      <x:c r="N1394" s="171" t="str">
        <x:v>Printed amount independently located</x:v>
      </x:c>
      <x:c r="O1394" s="171" t="str">
        <x:v>Exact source amount found; audited year/current-comparative column recorded. Accounting subtotal tests performed separately.</x:v>
      </x:c>
      <x:c r="P1394" s="171" t="str">
        <x:v>tment 17  15,349  -   
 21,613,499  22,224,595 
Current assets
Stores, spares and loose tools 18  4,250,754  3,505,809 
Stock in trade 19  1,189,198  1,187,752 
Trade debts 20  1,449,600  1,050,640 
Advances 21  45,593  73,695 
Trade deposits and short term prepayments 22  26,147  19,843 
Advance tax - net   90,073  562,239 
Other receiv</x:v>
      </x:c>
    </x:row>
    <x:row r="1395" ht="82" customHeight="1">
      <x:c r="A1395" s="76" t="str">
        <x:v>FCCL|sit|2021</x:v>
      </x:c>
      <x:c r="B1395" s="76" t="str">
        <x:v>FCCL</x:v>
      </x:c>
      <x:c r="C1395" s="76" t="str">
        <x:v>FY2021</x:v>
      </x:c>
      <x:c r="D1395" s="76" t="str">
        <x:v>Stock-in-trade</x:v>
      </x:c>
      <x:c r="E1395" s="170" t="n">
        <x:v>1189198</x:v>
      </x:c>
      <x:c r="F1395" s="170" t="n">
        <x:v>1189198</x:v>
      </x:c>
      <x:c r="G1395" s="170" t="str">
        <x:v>Rs '000</x:v>
      </x:c>
      <x:c r="H1395" s="170" t="n">
        <x:f>F1395/1000</x:f>
        <x:v>1189.198</x:v>
      </x:c>
      <x:c r="I1395" s="170" t="n">
        <x:f>FCCL!D31</x:f>
        <x:v>1189.198</x:v>
      </x:c>
      <x:c r="J1395" s="170" t="n">
        <x:f>H1395-I1395</x:f>
        <x:v>0</x:v>
      </x:c>
      <x:c r="K1395" s="76" t="str">
        <x:v>FCCL-Annual-Report-2022.pdf</x:v>
      </x:c>
      <x:c r="L1395" s="76" t="n">
        <x:v>187</x:v>
      </x:c>
      <x:c r="M1395" s="76" t="str">
        <x:v>Comparative</x:v>
      </x:c>
      <x:c r="N1395" s="99" t="str">
        <x:v>Printed amount independently located</x:v>
      </x:c>
      <x:c r="O1395" s="99" t="str">
        <x:v>Exact source amount found; audited year/current-comparative column recorded. Accounting subtotal tests performed separately.</x:v>
      </x:c>
      <x:c r="P1395" s="99" t="str">
        <x:v>21  66,657  15,349 
 85,481,265  21,613,499 
CURRENT ASSETS
Stores, spares and loose tools - net 22 11,939,147 4,250,754 
Stock in trade 23 3,697,721 1,189,198 
Trade debts - net 24 2,412,758 1,449,600 
Advances 25 193,629 45,593 
Sales tax refundable-net 26 2,650,804 - 
Trade deposits and short term prepayments 27 22,559 26,147 
Advance</x:v>
      </x:c>
    </x:row>
    <x:row r="1396" ht="82" customHeight="1">
      <x:c r="A1396" s="168" t="str">
        <x:v>FCCL|sit|2022</x:v>
      </x:c>
      <x:c r="B1396" s="168" t="str">
        <x:v>FCCL</x:v>
      </x:c>
      <x:c r="C1396" s="168" t="str">
        <x:v>FY2022</x:v>
      </x:c>
      <x:c r="D1396" s="168" t="str">
        <x:v>Stock-in-trade</x:v>
      </x:c>
      <x:c r="E1396" s="169" t="n">
        <x:v>3697721</x:v>
      </x:c>
      <x:c r="F1396" s="169" t="n">
        <x:v>3697721</x:v>
      </x:c>
      <x:c r="G1396" s="169" t="str">
        <x:v>Rs '000</x:v>
      </x:c>
      <x:c r="H1396" s="169" t="n">
        <x:f>F1396/1000</x:f>
        <x:v>3697.721</x:v>
      </x:c>
      <x:c r="I1396" s="169" t="n">
        <x:f>FCCL!E31</x:f>
        <x:v>3697.721</x:v>
      </x:c>
      <x:c r="J1396" s="169" t="n">
        <x:f>H1396-I1396</x:f>
        <x:v>0</x:v>
      </x:c>
      <x:c r="K1396" s="168" t="str">
        <x:v>FCCL-Annual-Report-2023.pdf</x:v>
      </x:c>
      <x:c r="L1396" s="168" t="n">
        <x:v>209</x:v>
      </x:c>
      <x:c r="M1396" s="168" t="str">
        <x:v>Comparative</x:v>
      </x:c>
      <x:c r="N1396" s="171" t="str">
        <x:v>Printed amount independently located</x:v>
      </x:c>
      <x:c r="O1396" s="171" t="str">
        <x:v>Exact source amount found; audited year/current-comparative column recorded. Accounting subtotal tests performed separately.</x:v>
      </x:c>
      <x:c r="P1396" s="171" t="str">
        <x:v>,516,462  6,917,149 Stores, spares and loose tools 19  8,011,181  11,939,147 
Accrued liabilities  4,022,396  4,321,163 Stock in trade 20  7,112,327  3,697,721 
Security deposits payable 12  455,052  461,712 Trade debts 21  3,572,445  2,412,758 
Contract liabilities 13  584,809  862,309 Advances 22  366,231  193,629 
Employee benefits -</x:v>
      </x:c>
    </x:row>
    <x:row r="1397" ht="82" customHeight="1">
      <x:c r="A1397" s="76" t="str">
        <x:v>FCCL|sit|2023</x:v>
      </x:c>
      <x:c r="B1397" s="76" t="str">
        <x:v>FCCL</x:v>
      </x:c>
      <x:c r="C1397" s="76" t="str">
        <x:v>FY2023</x:v>
      </x:c>
      <x:c r="D1397" s="76" t="str">
        <x:v>Stock-in-trade</x:v>
      </x:c>
      <x:c r="E1397" s="170" t="n">
        <x:v>7112327</x:v>
      </x:c>
      <x:c r="F1397" s="170" t="n">
        <x:v>7112327</x:v>
      </x:c>
      <x:c r="G1397" s="170" t="str">
        <x:v>Rs '000</x:v>
      </x:c>
      <x:c r="H1397" s="170" t="n">
        <x:f>F1397/1000</x:f>
        <x:v>7112.327</x:v>
      </x:c>
      <x:c r="I1397" s="170" t="n">
        <x:f>FCCL!F31</x:f>
        <x:v>7112.327</x:v>
      </x:c>
      <x:c r="J1397" s="170" t="n">
        <x:f>H1397-I1397</x:f>
        <x:v>0</x:v>
      </x:c>
      <x:c r="K1397" s="76" t="str">
        <x:v>FCCL-Annual-Report-2024.pdf</x:v>
      </x:c>
      <x:c r="L1397" s="76" t="n">
        <x:v>191</x:v>
      </x:c>
      <x:c r="M1397" s="76" t="str">
        <x:v>Comparative</x:v>
      </x:c>
      <x:c r="N1397" s="99" t="str">
        <x:v>Printed amount independently located</x:v>
      </x:c>
      <x:c r="O1397" s="99" t="str">
        <x:v>Exact source amount found; audited year/current-comparative column recorded. Accounting subtotal tests performed separately.</x:v>
      </x:c>
      <x:c r="P1397" s="99" t="str">
        <x:v>,700 
     121,852,228   115,693,998 
CURRENT ASSETS  
 Stores, spares and loose tools 19  9,099,130   8,011,181 
 Stock in trade 20  7,495,705   7,112,327 
 Trade debts 21  5,545,241   3,572,445 
 Advances 22  145,244   366,231 
 Sales tax refundable-net  –   1,820,851 
 Trade deposits and short term prepayments 23  35,696   24,840</x:v>
      </x:c>
    </x:row>
    <x:row r="1398" ht="82" customHeight="1">
      <x:c r="A1398" s="168" t="str">
        <x:v>FCCL|sit|2024</x:v>
      </x:c>
      <x:c r="B1398" s="168" t="str">
        <x:v>FCCL</x:v>
      </x:c>
      <x:c r="C1398" s="168" t="str">
        <x:v>FY2024</x:v>
      </x:c>
      <x:c r="D1398" s="168" t="str">
        <x:v>Stock-in-trade</x:v>
      </x:c>
      <x:c r="E1398" s="169" t="n">
        <x:v>7495705</x:v>
      </x:c>
      <x:c r="F1398" s="169" t="n">
        <x:v>7495705</x:v>
      </x:c>
      <x:c r="G1398" s="169" t="str">
        <x:v>Rs '000</x:v>
      </x:c>
      <x:c r="H1398" s="169" t="n">
        <x:f>F1398/1000</x:f>
        <x:v>7495.705</x:v>
      </x:c>
      <x:c r="I1398" s="169" t="n">
        <x:f>FCCL!G31</x:f>
        <x:v>7495.705</x:v>
      </x:c>
      <x:c r="J1398" s="169" t="n">
        <x:f>H1398-I1398</x:f>
        <x:v>0</x:v>
      </x:c>
      <x:c r="K1398" s="168" t="str">
        <x:v>FCCL-Annual-Report-2025.pdf</x:v>
      </x:c>
      <x:c r="L1398" s="168" t="n">
        <x:v>245</x:v>
      </x:c>
      <x:c r="M1398" s="168" t="str">
        <x:v>Comparative</x:v>
      </x:c>
      <x:c r="N1398" s="171" t="str">
        <x:v>Printed amount independently located</x:v>
      </x:c>
      <x:c r="O1398" s="171" t="str">
        <x:v>Exact source amount found; audited year/current-comparative column recorded. Accounting subtotal tests performed separately.</x:v>
      </x:c>
      <x:c r="P1398" s="171" t="str">
        <x:v>,700 
     120,372,626   121,852,228 
CURRENT ASSETS 
 Stores, spares and loose tools 20  10,377,008   9,099,130 
 Stock in trade 21  9,337,617   7,495,705 
 Trade debts 22  6,911,322   5,545,241 
 Advances 23  305,685   145,244 
 Sales tax refundable – net   526,868  –  
 Trade deposits and short term prepayments 24  57,182   35,696</x:v>
      </x:c>
    </x:row>
    <x:row r="1399" ht="82" customHeight="1">
      <x:c r="A1399" s="76" t="str">
        <x:v>FCCL|sit|2025</x:v>
      </x:c>
      <x:c r="B1399" s="76" t="str">
        <x:v>FCCL</x:v>
      </x:c>
      <x:c r="C1399" s="76" t="str">
        <x:v>FY2025</x:v>
      </x:c>
      <x:c r="D1399" s="76" t="str">
        <x:v>Stock-in-trade</x:v>
      </x:c>
      <x:c r="E1399" s="170" t="n">
        <x:v>9337617</x:v>
      </x:c>
      <x:c r="F1399" s="170" t="n">
        <x:v>9337617</x:v>
      </x:c>
      <x:c r="G1399" s="170" t="str">
        <x:v>Rs '000</x:v>
      </x:c>
      <x:c r="H1399" s="170" t="n">
        <x:f>F1399/1000</x:f>
        <x:v>9337.617</x:v>
      </x:c>
      <x:c r="I1399" s="170" t="n">
        <x:f>FCCL!H31</x:f>
        <x:v>9337.617</x:v>
      </x:c>
      <x:c r="J1399" s="170" t="n">
        <x:f>H1399-I1399</x:f>
        <x:v>0</x:v>
      </x:c>
      <x:c r="K1399" s="76" t="str">
        <x:v>FCCL-Annual-Report-2025.pdf</x:v>
      </x:c>
      <x:c r="L1399" s="76" t="n">
        <x:v>245</x:v>
      </x:c>
      <x:c r="M1399" s="76" t="str">
        <x:v>Current year</x:v>
      </x:c>
      <x:c r="N1399" s="99" t="str">
        <x:v>Printed amount independently located</x:v>
      </x:c>
      <x:c r="O1399" s="99" t="str">
        <x:v>Exact source amount found; audited year/current-comparative column recorded. Accounting subtotal tests performed separately.</x:v>
      </x:c>
      <x:c r="P1399" s="99" t="str">
        <x:v>33,425   129,700 
     120,372,626   121,852,228 
CURRENT ASSETS 
 Stores, spares and loose tools 20  10,377,008   9,099,130 
 Stock in trade 21  9,337,617   7,495,705 
 Trade debts 22  6,911,322   5,545,241 
 Advances 23  305,685   145,244 
 Sales tax refundable – net   526,868  –  
 Trade deposits and short term prepayments 24  57,</x:v>
      </x:c>
    </x:row>
    <x:row r="1400" ht="82" customHeight="1">
      <x:c r="A1400" s="168" t="str">
        <x:v>FCCL|debts|2020</x:v>
      </x:c>
      <x:c r="B1400" s="168" t="str">
        <x:v>FCCL</x:v>
      </x:c>
      <x:c r="C1400" s="168" t="str">
        <x:v>FY2020</x:v>
      </x:c>
      <x:c r="D1400" s="168" t="str">
        <x:v>Trade debts</x:v>
      </x:c>
      <x:c r="E1400" s="169" t="n">
        <x:v>1050640</x:v>
      </x:c>
      <x:c r="F1400" s="169" t="n">
        <x:v>1050640</x:v>
      </x:c>
      <x:c r="G1400" s="169" t="str">
        <x:v>Rs '000</x:v>
      </x:c>
      <x:c r="H1400" s="169" t="n">
        <x:f>F1400/1000</x:f>
        <x:v>1050.64</x:v>
      </x:c>
      <x:c r="I1400" s="169" t="n">
        <x:f>FCCL!C32</x:f>
        <x:v>1050.64</x:v>
      </x:c>
      <x:c r="J1400" s="169" t="n">
        <x:f>H1400-I1400</x:f>
        <x:v>0</x:v>
      </x:c>
      <x:c r="K1400" s="168" t="str">
        <x:v>FCCL-Annual-Report-2021.pdf</x:v>
      </x:c>
      <x:c r="L1400" s="168" t="n">
        <x:v>165</x:v>
      </x:c>
      <x:c r="M1400" s="168" t="str">
        <x:v>Comparative</x:v>
      </x:c>
      <x:c r="N1400" s="171" t="str">
        <x:v>Printed amount independently located</x:v>
      </x:c>
      <x:c r="O1400" s="171" t="str">
        <x:v>Exact source amount found; audited year/current-comparative column recorded. Accounting subtotal tests performed separately.</x:v>
      </x:c>
      <x:c r="P1400" s="171" t="str">
        <x:v>,224,595 
Current assets
Stores, spares and loose tools 18  4,250,754  3,505,809 
Stock in trade 19  1,189,198  1,187,752 
Trade debts 20  1,449,600  1,050,640 
Advances 21  45,593  73,695 
Trade deposits and short term prepayments 22  26,147  19,843 
Advance tax - net   90,073  562,239 
Other receivables 23  88,890  22,169 
Short term i</x:v>
      </x:c>
    </x:row>
    <x:row r="1401" ht="82" customHeight="1">
      <x:c r="A1401" s="76" t="str">
        <x:v>FCCL|debts|2021</x:v>
      </x:c>
      <x:c r="B1401" s="76" t="str">
        <x:v>FCCL</x:v>
      </x:c>
      <x:c r="C1401" s="76" t="str">
        <x:v>FY2021</x:v>
      </x:c>
      <x:c r="D1401" s="76" t="str">
        <x:v>Trade debts</x:v>
      </x:c>
      <x:c r="E1401" s="170" t="n">
        <x:v>1449600</x:v>
      </x:c>
      <x:c r="F1401" s="170" t="n">
        <x:v>1449600</x:v>
      </x:c>
      <x:c r="G1401" s="170" t="str">
        <x:v>Rs '000</x:v>
      </x:c>
      <x:c r="H1401" s="170" t="n">
        <x:f>F1401/1000</x:f>
        <x:v>1449.6</x:v>
      </x:c>
      <x:c r="I1401" s="170" t="n">
        <x:f>FCCL!D32</x:f>
        <x:v>1449.6</x:v>
      </x:c>
      <x:c r="J1401" s="170" t="n">
        <x:f>H1401-I1401</x:f>
        <x:v>0</x:v>
      </x:c>
      <x:c r="K1401" s="76" t="str">
        <x:v>FCCL-Annual-Report-2022.pdf</x:v>
      </x:c>
      <x:c r="L1401" s="76" t="n">
        <x:v>187</x:v>
      </x:c>
      <x:c r="M1401" s="76" t="str">
        <x:v>Comparative</x:v>
      </x:c>
      <x:c r="N1401" s="99" t="str">
        <x:v>Printed amount independently located</x:v>
      </x:c>
      <x:c r="O1401" s="99" t="str">
        <x:v>Exact source amount found; audited year/current-comparative column recorded. Accounting subtotal tests performed separately.</x:v>
      </x:c>
      <x:c r="P1401" s="99" t="str">
        <x:v>9 
CURRENT ASSETS
Stores, spares and loose tools - net 22 11,939,147 4,250,754 
Stock in trade 23 3,697,721 1,189,198 
Trade debts - net 24 2,412,758 1,449,600 
Advances 25 193,629 45,593 
Sales tax refundable-net 26 2,650,804 - 
Trade deposits and short term prepayments 27 22,559 26,147 
Advance tax - net 975,108 90,073 
Other receivabl</x:v>
      </x:c>
    </x:row>
    <x:row r="1402" ht="82" customHeight="1">
      <x:c r="A1402" s="168" t="str">
        <x:v>FCCL|debts|2022</x:v>
      </x:c>
      <x:c r="B1402" s="168" t="str">
        <x:v>FCCL</x:v>
      </x:c>
      <x:c r="C1402" s="168" t="str">
        <x:v>FY2022</x:v>
      </x:c>
      <x:c r="D1402" s="168" t="str">
        <x:v>Trade debts</x:v>
      </x:c>
      <x:c r="E1402" s="169" t="n">
        <x:v>2412758</x:v>
      </x:c>
      <x:c r="F1402" s="169" t="n">
        <x:v>2412758</x:v>
      </x:c>
      <x:c r="G1402" s="169" t="str">
        <x:v>Rs '000</x:v>
      </x:c>
      <x:c r="H1402" s="169" t="n">
        <x:f>F1402/1000</x:f>
        <x:v>2412.758</x:v>
      </x:c>
      <x:c r="I1402" s="169" t="n">
        <x:f>FCCL!E32</x:f>
        <x:v>2412.758</x:v>
      </x:c>
      <x:c r="J1402" s="169" t="n">
        <x:f>H1402-I1402</x:f>
        <x:v>0</x:v>
      </x:c>
      <x:c r="K1402" s="168" t="str">
        <x:v>FCCL-Annual-Report-2023.pdf</x:v>
      </x:c>
      <x:c r="L1402" s="168" t="n">
        <x:v>209</x:v>
      </x:c>
      <x:c r="M1402" s="168" t="str">
        <x:v>Comparative</x:v>
      </x:c>
      <x:c r="N1402" s="171" t="str">
        <x:v>Printed amount independently located</x:v>
      </x:c>
      <x:c r="O1402" s="171" t="str">
        <x:v>Exact source amount found; audited year/current-comparative column recorded. Accounting subtotal tests performed separately.</x:v>
      </x:c>
      <x:c r="P1402" s="171" t="str">
        <x:v>liabilities  4,022,396  4,321,163 Stock in trade 20  7,112,327  3,697,721 
Security deposits payable 12  455,052  461,712 Trade debts 21  3,572,445  2,412,758 
Contract liabilities 13  584,809  862,309 Advances 22  366,231  193,629 
Employee benefits - current portion 6  96,468  80,756 Sales tax refundable-net 23  1,820,851  2,650,804</x:v>
      </x:c>
    </x:row>
    <x:row r="1403" ht="82" customHeight="1">
      <x:c r="A1403" s="76" t="str">
        <x:v>FCCL|debts|2023</x:v>
      </x:c>
      <x:c r="B1403" s="76" t="str">
        <x:v>FCCL</x:v>
      </x:c>
      <x:c r="C1403" s="76" t="str">
        <x:v>FY2023</x:v>
      </x:c>
      <x:c r="D1403" s="76" t="str">
        <x:v>Trade debts</x:v>
      </x:c>
      <x:c r="E1403" s="170" t="n">
        <x:v>3572445</x:v>
      </x:c>
      <x:c r="F1403" s="170" t="n">
        <x:v>3572445</x:v>
      </x:c>
      <x:c r="G1403" s="170" t="str">
        <x:v>Rs '000</x:v>
      </x:c>
      <x:c r="H1403" s="170" t="n">
        <x:f>F1403/1000</x:f>
        <x:v>3572.445</x:v>
      </x:c>
      <x:c r="I1403" s="170" t="n">
        <x:f>FCCL!F32</x:f>
        <x:v>3572.445</x:v>
      </x:c>
      <x:c r="J1403" s="170" t="n">
        <x:f>H1403-I1403</x:f>
        <x:v>0</x:v>
      </x:c>
      <x:c r="K1403" s="76" t="str">
        <x:v>FCCL-Annual-Report-2024.pdf</x:v>
      </x:c>
      <x:c r="L1403" s="76" t="n">
        <x:v>191</x:v>
      </x:c>
      <x:c r="M1403" s="76" t="str">
        <x:v>Comparative</x:v>
      </x:c>
      <x:c r="N1403" s="99" t="str">
        <x:v>Printed amount independently located</x:v>
      </x:c>
      <x:c r="O1403" s="99" t="str">
        <x:v>Exact source amount found; audited year/current-comparative column recorded. Accounting subtotal tests performed separately.</x:v>
      </x:c>
      <x:c r="P1403" s="99" t="str">
        <x:v>CURRENT ASSETS  
 Stores, spares and loose tools 19  9,099,130   8,011,181 
 Stock in trade 20  7,495,705   7,112,327 
 Trade debts 21  5,545,241   3,572,445 
 Advances 22  145,244   366,231 
 Sales tax refundable-net  –   1,820,851 
 Trade deposits and short term prepayments 23  35,696   24,840 
 Advance tax - net    –    723,704 
 Ot</x:v>
      </x:c>
    </x:row>
    <x:row r="1404" ht="82" customHeight="1">
      <x:c r="A1404" s="168" t="str">
        <x:v>FCCL|debts|2024</x:v>
      </x:c>
      <x:c r="B1404" s="168" t="str">
        <x:v>FCCL</x:v>
      </x:c>
      <x:c r="C1404" s="168" t="str">
        <x:v>FY2024</x:v>
      </x:c>
      <x:c r="D1404" s="168" t="str">
        <x:v>Trade debts</x:v>
      </x:c>
      <x:c r="E1404" s="169" t="n">
        <x:v>5545241</x:v>
      </x:c>
      <x:c r="F1404" s="169" t="n">
        <x:v>5545241</x:v>
      </x:c>
      <x:c r="G1404" s="169" t="str">
        <x:v>Rs '000</x:v>
      </x:c>
      <x:c r="H1404" s="169" t="n">
        <x:f>F1404/1000</x:f>
        <x:v>5545.241</x:v>
      </x:c>
      <x:c r="I1404" s="169" t="n">
        <x:f>FCCL!G32</x:f>
        <x:v>5545.241</x:v>
      </x:c>
      <x:c r="J1404" s="169" t="n">
        <x:f>H1404-I1404</x:f>
        <x:v>0</x:v>
      </x:c>
      <x:c r="K1404" s="168" t="str">
        <x:v>FCCL-Annual-Report-2025.pdf</x:v>
      </x:c>
      <x:c r="L1404" s="168" t="n">
        <x:v>245</x:v>
      </x:c>
      <x:c r="M1404" s="168" t="str">
        <x:v>Comparative</x:v>
      </x:c>
      <x:c r="N1404" s="171" t="str">
        <x:v>Printed amount independently located</x:v>
      </x:c>
      <x:c r="O1404" s="171" t="str">
        <x:v>Exact source amount found; audited year/current-comparative column recorded. Accounting subtotal tests performed separately.</x:v>
      </x:c>
      <x:c r="P1404" s="171" t="str">
        <x:v>CURRENT ASSETS 
 Stores, spares and loose tools 20  10,377,008   9,099,130 
 Stock in trade 21  9,337,617   7,495,705 
 Trade debts 22  6,911,322   5,545,241 
 Advances 23  305,685   145,244 
 Sales tax refundable – net   526,868  –  
 Trade deposits and short term prepayments 24  57,182   35,696 
 Advance tax – net     1,032,953  –</x:v>
      </x:c>
    </x:row>
    <x:row r="1405" ht="82" customHeight="1">
      <x:c r="A1405" s="76" t="str">
        <x:v>FCCL|debts|2025</x:v>
      </x:c>
      <x:c r="B1405" s="76" t="str">
        <x:v>FCCL</x:v>
      </x:c>
      <x:c r="C1405" s="76" t="str">
        <x:v>FY2025</x:v>
      </x:c>
      <x:c r="D1405" s="76" t="str">
        <x:v>Trade debts</x:v>
      </x:c>
      <x:c r="E1405" s="170" t="n">
        <x:v>6911322</x:v>
      </x:c>
      <x:c r="F1405" s="170" t="n">
        <x:v>6911322</x:v>
      </x:c>
      <x:c r="G1405" s="170" t="str">
        <x:v>Rs '000</x:v>
      </x:c>
      <x:c r="H1405" s="170" t="n">
        <x:f>F1405/1000</x:f>
        <x:v>6911.322</x:v>
      </x:c>
      <x:c r="I1405" s="170" t="n">
        <x:f>FCCL!H32</x:f>
        <x:v>6911.322</x:v>
      </x:c>
      <x:c r="J1405" s="170" t="n">
        <x:f>H1405-I1405</x:f>
        <x:v>0</x:v>
      </x:c>
      <x:c r="K1405" s="76" t="str">
        <x:v>FCCL-Annual-Report-2025.pdf</x:v>
      </x:c>
      <x:c r="L1405" s="76" t="n">
        <x:v>245</x:v>
      </x:c>
      <x:c r="M1405" s="76" t="str">
        <x:v>Current year</x:v>
      </x:c>
      <x:c r="N1405" s="99" t="str">
        <x:v>Printed amount independently located</x:v>
      </x:c>
      <x:c r="O1405" s="99" t="str">
        <x:v>Exact source amount found; audited year/current-comparative column recorded. Accounting subtotal tests performed separately.</x:v>
      </x:c>
      <x:c r="P1405" s="99" t="str">
        <x:v>,852,228 
CURRENT ASSETS 
 Stores, spares and loose tools 20  10,377,008   9,099,130 
 Stock in trade 21  9,337,617   7,495,705 
 Trade debts 22  6,911,322   5,545,241 
 Advances 23  305,685   145,244 
 Sales tax refundable – net   526,868  –  
 Trade deposits and short term prepayments 24  57,182   35,696 
 Advance tax – net     1,0</x:v>
      </x:c>
    </x:row>
    <x:row r="1406" ht="82" customHeight="1">
      <x:c r="A1406" s="168" t="str">
        <x:v>FCCL|st_inv|2020</x:v>
      </x:c>
      <x:c r="B1406" s="168" t="str">
        <x:v>FCCL</x:v>
      </x:c>
      <x:c r="C1406" s="168" t="str">
        <x:v>FY2020</x:v>
      </x:c>
      <x:c r="D1406" s="168" t="str">
        <x:v>Short-term investments</x:v>
      </x:c>
      <x:c r="E1406" s="169" t="n">
        <x:v>0</x:v>
      </x:c>
      <x:c r="F1406" s="169" t="n">
        <x:v>0</x:v>
      </x:c>
      <x:c r="G1406" s="169" t="str">
        <x:v>Rs '000</x:v>
      </x:c>
      <x:c r="H1406" s="169" t="n">
        <x:f>F1406/1000</x:f>
        <x:v>0</x:v>
      </x:c>
      <x:c r="I1406" s="169" t="n">
        <x:f>FCCL!C33</x:f>
        <x:v>0</x:v>
      </x:c>
      <x:c r="J1406" s="169" t="n">
        <x:f>H1406-I1406</x:f>
        <x:v>0</x:v>
      </x:c>
      <x:c r="K1406" s="168" t="str">
        <x:v>FCCL-Annual-Report-2021.pdf</x:v>
      </x:c>
      <x:c r="L1406" s="168" t="n">
        <x:v>165</x:v>
      </x:c>
      <x:c r="M1406" s="168" t="str">
        <x:v>Comparative</x:v>
      </x:c>
      <x:c r="N1406" s="171" t="str">
        <x:v>Zero / no separate line in audited presentation</x:v>
      </x:c>
      <x:c r="O1406" s="171" t="str">
        <x:v>Zero classification checked within the audited statement/note and reconstructed statement totals; absence of a separate line does not imply a missing replacement estimate.</x:v>
      </x:c>
      <x:c r="P1406" s="171" t="str">
        <x:v>
Restated
2021 2020
Note Rupees'000 Rupees'000
ASSETS
Non-current assets
Property, plant and equipment 14  21,422,215 22,065,172 
Right of use asset 1 | Short term investments</x:v>
      </x:c>
    </x:row>
    <x:row r="1407" ht="82" customHeight="1">
      <x:c r="A1407" s="76" t="str">
        <x:v>FCCL|st_inv|2021</x:v>
      </x:c>
      <x:c r="B1407" s="76" t="str">
        <x:v>FCCL</x:v>
      </x:c>
      <x:c r="C1407" s="76" t="str">
        <x:v>FY2021</x:v>
      </x:c>
      <x:c r="D1407" s="76" t="str">
        <x:v>Short-term investments</x:v>
      </x:c>
      <x:c r="E1407" s="170" t="n">
        <x:v>4397699</x:v>
      </x:c>
      <x:c r="F1407" s="170" t="n">
        <x:v>4397699</x:v>
      </x:c>
      <x:c r="G1407" s="170" t="str">
        <x:v>Rs '000</x:v>
      </x:c>
      <x:c r="H1407" s="170" t="n">
        <x:f>F1407/1000</x:f>
        <x:v>4397.699</x:v>
      </x:c>
      <x:c r="I1407" s="170" t="n">
        <x:f>FCCL!D33</x:f>
        <x:v>4397.699</x:v>
      </x:c>
      <x:c r="J1407" s="170" t="n">
        <x:f>H1407-I1407</x:f>
        <x:v>0</x:v>
      </x:c>
      <x:c r="K1407" s="76" t="str">
        <x:v>FCCL-Annual-Report-2022.pdf</x:v>
      </x:c>
      <x:c r="L1407" s="76" t="n">
        <x:v>187</x:v>
      </x:c>
      <x:c r="M1407" s="76" t="str">
        <x:v>Comparative</x:v>
      </x:c>
      <x:c r="N1407" s="99" t="str">
        <x:v>Printed amount independently located</x:v>
      </x:c>
      <x:c r="O1407" s="99" t="str">
        <x:v>Exact source amount found; audited year/current-comparative column recorded. Accounting subtotal tests performed separately.</x:v>
      </x:c>
      <x:c r="P1407" s="99" t="str">
        <x:v>d short term prepayments 27 22,559 26,147 
Advance tax - net 975,108 90,073 
Other receivables 28 175,443 88,890 
Short term investments 29 3,843,010 4,397,699 
Cash and bank balances 30 2,306,633 900,778 
28,216,812 12,438,732 
TOTAL ASSETS 113,698,077 34,052,231 
CHIEF EXECUTIVE OFFICER CHIEF FINANCIAL OFFICERDIRECTOR
185
ANNUAL REPORT</x:v>
      </x:c>
    </x:row>
    <x:row r="1408" ht="82" customHeight="1">
      <x:c r="A1408" s="168" t="str">
        <x:v>FCCL|st_inv|2022</x:v>
      </x:c>
      <x:c r="B1408" s="168" t="str">
        <x:v>FCCL</x:v>
      </x:c>
      <x:c r="C1408" s="168" t="str">
        <x:v>FY2022</x:v>
      </x:c>
      <x:c r="D1408" s="168" t="str">
        <x:v>Short-term investments</x:v>
      </x:c>
      <x:c r="E1408" s="169" t="n">
        <x:v>3843010</x:v>
      </x:c>
      <x:c r="F1408" s="169" t="n">
        <x:v>3843010</x:v>
      </x:c>
      <x:c r="G1408" s="169" t="str">
        <x:v>Rs '000</x:v>
      </x:c>
      <x:c r="H1408" s="169" t="n">
        <x:f>F1408/1000</x:f>
        <x:v>3843.01</x:v>
      </x:c>
      <x:c r="I1408" s="169" t="n">
        <x:f>FCCL!E33</x:f>
        <x:v>3843.01</x:v>
      </x:c>
      <x:c r="J1408" s="169" t="n">
        <x:f>H1408-I1408</x:f>
        <x:v>0</x:v>
      </x:c>
      <x:c r="K1408" s="168" t="str">
        <x:v>FCCL-Annual-Report-2023.pdf</x:v>
      </x:c>
      <x:c r="L1408" s="168" t="n">
        <x:v>209</x:v>
      </x:c>
      <x:c r="M1408" s="168" t="str">
        <x:v>Comparative</x:v>
      </x:c>
      <x:c r="N1408" s="171" t="str">
        <x:v>Printed amount independently located</x:v>
      </x:c>
      <x:c r="O1408" s="171" t="str">
        <x:v>Exact source amount found; audited year/current-comparative column recorded. Accounting subtotal tests performed separately.</x:v>
      </x:c>
      <x:c r="P1408" s="171" t="str">
        <x:v>4,530,981  3,218,249 Other receivables 25  282,463  175,443 
Current portion of lease liability 7  50,463  68,332 Short term investments 26  250,000  3,843,010 
Current portion of long term loans 5  4,176,493  2,985,087 Cash and bank balances 27  970,457  2,306,633 
Current portion of deferred government grant 8  604,292  366,464  23,134</x:v>
      </x:c>
    </x:row>
    <x:row r="1409" ht="82" customHeight="1">
      <x:c r="A1409" s="76" t="str">
        <x:v>FCCL|st_inv|2023</x:v>
      </x:c>
      <x:c r="B1409" s="76" t="str">
        <x:v>FCCL</x:v>
      </x:c>
      <x:c r="C1409" s="76" t="str">
        <x:v>FY2023</x:v>
      </x:c>
      <x:c r="D1409" s="76" t="str">
        <x:v>Short-term investments</x:v>
      </x:c>
      <x:c r="E1409" s="170" t="n">
        <x:v>250000</x:v>
      </x:c>
      <x:c r="F1409" s="170" t="n">
        <x:v>250000</x:v>
      </x:c>
      <x:c r="G1409" s="170" t="str">
        <x:v>Rs '000</x:v>
      </x:c>
      <x:c r="H1409" s="170" t="n">
        <x:f>F1409/1000</x:f>
        <x:v>250</x:v>
      </x:c>
      <x:c r="I1409" s="170" t="n">
        <x:f>FCCL!F33</x:f>
        <x:v>250</x:v>
      </x:c>
      <x:c r="J1409" s="170" t="n">
        <x:f>H1409-I1409</x:f>
        <x:v>0</x:v>
      </x:c>
      <x:c r="K1409" s="76" t="str">
        <x:v>FCCL-Annual-Report-2024.pdf</x:v>
      </x:c>
      <x:c r="L1409" s="76" t="n">
        <x:v>191</x:v>
      </x:c>
      <x:c r="M1409" s="76" t="str">
        <x:v>Comparative</x:v>
      </x:c>
      <x:c r="N1409" s="99" t="str">
        <x:v>Printed amount independently located</x:v>
      </x:c>
      <x:c r="O1409" s="99" t="str">
        <x:v>Exact source amount found; audited year/current-comparative column recorded. Accounting subtotal tests performed separately.</x:v>
      </x:c>
      <x:c r="P1409" s="99" t="str">
        <x:v>hort term prepayments 23  35,696   24,840 
 Advance tax - net    –    723,704 
 Other receivables 24  280,071   282,463 
 Short term investments  25  250,000   250,000 
 Cash and bank balances 26  2,932,984   970,457 
     25,784,071   23,134,499 
TOTAL ASSETS   147,636,299   138,828,497 
Chief Executiv</x:v>
      </x:c>
    </x:row>
    <x:row r="1410" ht="82" customHeight="1">
      <x:c r="A1410" s="168" t="str">
        <x:v>FCCL|st_inv|2024</x:v>
      </x:c>
      <x:c r="B1410" s="168" t="str">
        <x:v>FCCL</x:v>
      </x:c>
      <x:c r="C1410" s="168" t="str">
        <x:v>FY2024</x:v>
      </x:c>
      <x:c r="D1410" s="168" t="str">
        <x:v>Short-term investments</x:v>
      </x:c>
      <x:c r="E1410" s="169" t="n">
        <x:v>250000</x:v>
      </x:c>
      <x:c r="F1410" s="169" t="n">
        <x:v>250000</x:v>
      </x:c>
      <x:c r="G1410" s="169" t="str">
        <x:v>Rs '000</x:v>
      </x:c>
      <x:c r="H1410" s="169" t="n">
        <x:f>F1410/1000</x:f>
        <x:v>250</x:v>
      </x:c>
      <x:c r="I1410" s="169" t="n">
        <x:f>FCCL!G33</x:f>
        <x:v>250</x:v>
      </x:c>
      <x:c r="J1410" s="169" t="n">
        <x:f>H1410-I1410</x:f>
        <x:v>0</x:v>
      </x:c>
      <x:c r="K1410" s="168" t="str">
        <x:v>FCCL-Annual-Report-2025.pdf</x:v>
      </x:c>
      <x:c r="L1410" s="168" t="n">
        <x:v>245</x:v>
      </x:c>
      <x:c r="M1410" s="168" t="str">
        <x:v>Comparative</x:v>
      </x:c>
      <x:c r="N1410" s="171" t="str">
        <x:v>Printed amount independently located</x:v>
      </x:c>
      <x:c r="O1410" s="171" t="str">
        <x:v>Exact source amount found; audited year/current-comparative column recorded. Accounting subtotal tests performed separately.</x:v>
      </x:c>
      <x:c r="P1410" s="171" t="str">
        <x:v>payments 24  57,182   35,696 
 Advance tax – net     1,032,953  –  
 Other receivables 25  48,492   280,071 
 Short term investments  26  9,210,100   250,000 
 Cash and bank balances 27  2,665,338   2,932,984 
     40,472,565   25,784,071 
TOTAL ASSETS   160,845,191   147,636,299 
Chief Executive Officer Direct</x:v>
      </x:c>
    </x:row>
    <x:row r="1411" ht="82" customHeight="1">
      <x:c r="A1411" s="76" t="str">
        <x:v>FCCL|st_inv|2025</x:v>
      </x:c>
      <x:c r="B1411" s="76" t="str">
        <x:v>FCCL</x:v>
      </x:c>
      <x:c r="C1411" s="76" t="str">
        <x:v>FY2025</x:v>
      </x:c>
      <x:c r="D1411" s="76" t="str">
        <x:v>Short-term investments</x:v>
      </x:c>
      <x:c r="E1411" s="170" t="n">
        <x:v>9210100</x:v>
      </x:c>
      <x:c r="F1411" s="170" t="n">
        <x:v>9210100</x:v>
      </x:c>
      <x:c r="G1411" s="170" t="str">
        <x:v>Rs '000</x:v>
      </x:c>
      <x:c r="H1411" s="170" t="n">
        <x:f>F1411/1000</x:f>
        <x:v>9210.1</x:v>
      </x:c>
      <x:c r="I1411" s="170" t="n">
        <x:f>FCCL!H33</x:f>
        <x:v>9210.1</x:v>
      </x:c>
      <x:c r="J1411" s="170" t="n">
        <x:f>H1411-I1411</x:f>
        <x:v>0</x:v>
      </x:c>
      <x:c r="K1411" s="76" t="str">
        <x:v>FCCL-Annual-Report-2025.pdf</x:v>
      </x:c>
      <x:c r="L1411" s="76" t="n">
        <x:v>245</x:v>
      </x:c>
      <x:c r="M1411" s="76" t="str">
        <x:v>Current year</x:v>
      </x:c>
      <x:c r="N1411" s="99" t="str">
        <x:v>Printed amount independently located</x:v>
      </x:c>
      <x:c r="O1411" s="99" t="str">
        <x:v>Exact source amount found; audited year/current-comparative column recorded. Accounting subtotal tests performed separately.</x:v>
      </x:c>
      <x:c r="P1411" s="99" t="str">
        <x:v>ort term prepayments 24  57,182   35,696 
 Advance tax – net     1,032,953  –  
 Other receivables 25  48,492   280,071 
 Short term investments  26  9,210,100   250,000 
 Cash and bank balances 27  2,665,338   2,932,984 
     40,472,565   25,784,071 
TOTAL ASSETS   160,845,191   147,636,299 
Chief Executive Offi</x:v>
      </x:c>
    </x:row>
    <x:row r="1412" ht="82" customHeight="1">
      <x:c r="A1412" s="168" t="str">
        <x:v>FCCL|cash|2020</x:v>
      </x:c>
      <x:c r="B1412" s="168" t="str">
        <x:v>FCCL</x:v>
      </x:c>
      <x:c r="C1412" s="168" t="str">
        <x:v>FY2020</x:v>
      </x:c>
      <x:c r="D1412" s="168" t="str">
        <x:v>Cash and bank balances</x:v>
      </x:c>
      <x:c r="E1412" s="169" t="n">
        <x:v>561174</x:v>
      </x:c>
      <x:c r="F1412" s="169" t="n">
        <x:v>561174</x:v>
      </x:c>
      <x:c r="G1412" s="169" t="str">
        <x:v>Rs '000</x:v>
      </x:c>
      <x:c r="H1412" s="169" t="n">
        <x:f>F1412/1000</x:f>
        <x:v>561.174</x:v>
      </x:c>
      <x:c r="I1412" s="169" t="n">
        <x:f>FCCL!C34</x:f>
        <x:v>561.174</x:v>
      </x:c>
      <x:c r="J1412" s="169" t="n">
        <x:f>H1412-I1412</x:f>
        <x:v>0</x:v>
      </x:c>
      <x:c r="K1412" s="168" t="str">
        <x:v>FCCL-Annual-Report-2021.pdf</x:v>
      </x:c>
      <x:c r="L1412" s="168" t="n">
        <x:v>165</x:v>
      </x:c>
      <x:c r="M1412" s="168" t="str">
        <x:v>Comparative</x:v>
      </x:c>
      <x:c r="N1412" s="171" t="str">
        <x:v>Printed amount independently located</x:v>
      </x:c>
      <x:c r="O1412" s="171" t="str">
        <x:v>Exact source amount found; audited year/current-comparative column recorded. Accounting subtotal tests performed separately.</x:v>
      </x:c>
      <x:c r="P1412" s="171" t="str">
        <x:v>nce tax - net   90,073  562,239 
Other receivables 23  88,890  22,169 
Short term investments 24  4,397,699  -   
Cash and bank balances 25  900,778  561,174 
 12,438,732  6,983,321 
TOTAL ASSETS  34,052,231  29,207,916 
CHIEF EXECUTIVE OFFICER CHIEF FINANCIAL OFFICERDIRECTOR</x:v>
      </x:c>
    </x:row>
    <x:row r="1413" ht="82" customHeight="1">
      <x:c r="A1413" s="76" t="str">
        <x:v>FCCL|cash|2021</x:v>
      </x:c>
      <x:c r="B1413" s="76" t="str">
        <x:v>FCCL</x:v>
      </x:c>
      <x:c r="C1413" s="76" t="str">
        <x:v>FY2021</x:v>
      </x:c>
      <x:c r="D1413" s="76" t="str">
        <x:v>Cash and bank balances</x:v>
      </x:c>
      <x:c r="E1413" s="170" t="n">
        <x:v>900778</x:v>
      </x:c>
      <x:c r="F1413" s="170" t="n">
        <x:v>900778</x:v>
      </x:c>
      <x:c r="G1413" s="170" t="str">
        <x:v>Rs '000</x:v>
      </x:c>
      <x:c r="H1413" s="170" t="n">
        <x:f>F1413/1000</x:f>
        <x:v>900.778</x:v>
      </x:c>
      <x:c r="I1413" s="170" t="n">
        <x:f>FCCL!D34</x:f>
        <x:v>900.778</x:v>
      </x:c>
      <x:c r="J1413" s="170" t="n">
        <x:f>H1413-I1413</x:f>
        <x:v>0</x:v>
      </x:c>
      <x:c r="K1413" s="76" t="str">
        <x:v>FCCL-Annual-Report-2022.pdf</x:v>
      </x:c>
      <x:c r="L1413" s="76" t="n">
        <x:v>187</x:v>
      </x:c>
      <x:c r="M1413" s="76" t="str">
        <x:v>Comparative</x:v>
      </x:c>
      <x:c r="N1413" s="99" t="str">
        <x:v>Printed amount independently located</x:v>
      </x:c>
      <x:c r="O1413" s="99" t="str">
        <x:v>Exact source amount found; audited year/current-comparative column recorded. Accounting subtotal tests performed separately.</x:v>
      </x:c>
      <x:c r="P1413" s="99" t="str">
        <x:v>nce tax - net 975,108 90,073 
Other receivables 28 175,443 88,890 
Short term investments 29 3,843,010 4,397,699 
Cash and bank balances 30 2,306,633 900,778 
28,216,812 12,438,732 
TOTAL ASSETS 113,698,077 34,052,231 
CHIEF EXECUTIVE OFFICER CHIEF FINANCIAL OFFICERDIRECTOR
185
ANNUAL REPORT 2022</x:v>
      </x:c>
    </x:row>
    <x:row r="1414" ht="82" customHeight="1">
      <x:c r="A1414" s="168" t="str">
        <x:v>FCCL|cash|2022</x:v>
      </x:c>
      <x:c r="B1414" s="168" t="str">
        <x:v>FCCL</x:v>
      </x:c>
      <x:c r="C1414" s="168" t="str">
        <x:v>FY2022</x:v>
      </x:c>
      <x:c r="D1414" s="168" t="str">
        <x:v>Cash and bank balances</x:v>
      </x:c>
      <x:c r="E1414" s="169" t="n">
        <x:v>2306633</x:v>
      </x:c>
      <x:c r="F1414" s="169" t="n">
        <x:v>2306633</x:v>
      </x:c>
      <x:c r="G1414" s="169" t="str">
        <x:v>Rs '000</x:v>
      </x:c>
      <x:c r="H1414" s="169" t="n">
        <x:f>F1414/1000</x:f>
        <x:v>2306.633</x:v>
      </x:c>
      <x:c r="I1414" s="169" t="n">
        <x:f>FCCL!E34</x:f>
        <x:v>2306.633</x:v>
      </x:c>
      <x:c r="J1414" s="169" t="n">
        <x:f>H1414-I1414</x:f>
        <x:v>0</x:v>
      </x:c>
      <x:c r="K1414" s="168" t="str">
        <x:v>FCCL-Annual-Report-2023.pdf</x:v>
      </x:c>
      <x:c r="L1414" s="168" t="n">
        <x:v>209</x:v>
      </x:c>
      <x:c r="M1414" s="168" t="str">
        <x:v>Comparative</x:v>
      </x:c>
      <x:c r="N1414" s="171" t="str">
        <x:v>Printed amount independently located</x:v>
      </x:c>
      <x:c r="O1414" s="171" t="str">
        <x:v>Exact source amount found; audited year/current-comparative column recorded. Accounting subtotal tests performed separately.</x:v>
      </x:c>
      <x:c r="P1414" s="171" t="str">
        <x:v>68,332 Short term investments 26  250,000  3,843,010 
Current portion of long term loans 5  4,176,493  2,985,087 Cash and bank balances 27  970,457  2,306,633 
Current portion of deferred government grant 8  604,292  366,464  23,134,499  28,216,812 
 28,486,855  26,721,253 
TOTAL EQUITY AND LIABILITIES  138,828,497  113,698,077 TOTAL AS</x:v>
      </x:c>
    </x:row>
    <x:row r="1415" ht="82" customHeight="1">
      <x:c r="A1415" s="76" t="str">
        <x:v>FCCL|cash|2023</x:v>
      </x:c>
      <x:c r="B1415" s="76" t="str">
        <x:v>FCCL</x:v>
      </x:c>
      <x:c r="C1415" s="76" t="str">
        <x:v>FY2023</x:v>
      </x:c>
      <x:c r="D1415" s="76" t="str">
        <x:v>Cash and bank balances</x:v>
      </x:c>
      <x:c r="E1415" s="170" t="n">
        <x:v>970457</x:v>
      </x:c>
      <x:c r="F1415" s="170" t="n">
        <x:v>970457</x:v>
      </x:c>
      <x:c r="G1415" s="170" t="str">
        <x:v>Rs '000</x:v>
      </x:c>
      <x:c r="H1415" s="170" t="n">
        <x:f>F1415/1000</x:f>
        <x:v>970.457</x:v>
      </x:c>
      <x:c r="I1415" s="170" t="n">
        <x:f>FCCL!F34</x:f>
        <x:v>970.457</x:v>
      </x:c>
      <x:c r="J1415" s="170" t="n">
        <x:f>H1415-I1415</x:f>
        <x:v>0</x:v>
      </x:c>
      <x:c r="K1415" s="76" t="str">
        <x:v>FCCL-Annual-Report-2024.pdf</x:v>
      </x:c>
      <x:c r="L1415" s="76" t="n">
        <x:v>191</x:v>
      </x:c>
      <x:c r="M1415" s="76" t="str">
        <x:v>Comparative</x:v>
      </x:c>
      <x:c r="N1415" s="99" t="str">
        <x:v>Printed amount independently located</x:v>
      </x:c>
      <x:c r="O1415" s="99" t="str">
        <x:v>Exact source amount found; audited year/current-comparative column recorded. Accounting subtotal tests performed separately.</x:v>
      </x:c>
      <x:c r="P1415" s="99" t="str">
        <x:v>et    –    723,704 
 Other receivables 24  280,071   282,463 
 Short term investments  25  250,000   250,000 
 Cash and bank balances 26  2,932,984   970,457 
     25,784,071   23,134,499 
TOTAL ASSETS   147,636,299   138,828,497 
Chief Executive Officer Director Chief Financial Officer
Fauji Cement Com</x:v>
      </x:c>
    </x:row>
    <x:row r="1416" ht="82" customHeight="1">
      <x:c r="A1416" s="168" t="str">
        <x:v>FCCL|cash|2024</x:v>
      </x:c>
      <x:c r="B1416" s="168" t="str">
        <x:v>FCCL</x:v>
      </x:c>
      <x:c r="C1416" s="168" t="str">
        <x:v>FY2024</x:v>
      </x:c>
      <x:c r="D1416" s="168" t="str">
        <x:v>Cash and bank balances</x:v>
      </x:c>
      <x:c r="E1416" s="169" t="n">
        <x:v>2932984</x:v>
      </x:c>
      <x:c r="F1416" s="169" t="n">
        <x:v>2932984</x:v>
      </x:c>
      <x:c r="G1416" s="169" t="str">
        <x:v>Rs '000</x:v>
      </x:c>
      <x:c r="H1416" s="169" t="n">
        <x:f>F1416/1000</x:f>
        <x:v>2932.984</x:v>
      </x:c>
      <x:c r="I1416" s="169" t="n">
        <x:f>FCCL!G34</x:f>
        <x:v>2932.984</x:v>
      </x:c>
      <x:c r="J1416" s="169" t="n">
        <x:f>H1416-I1416</x:f>
        <x:v>0</x:v>
      </x:c>
      <x:c r="K1416" s="168" t="str">
        <x:v>FCCL-Annual-Report-2025.pdf</x:v>
      </x:c>
      <x:c r="L1416" s="168" t="n">
        <x:v>245</x:v>
      </x:c>
      <x:c r="M1416" s="168" t="str">
        <x:v>Comparative</x:v>
      </x:c>
      <x:c r="N1416" s="171" t="str">
        <x:v>Printed amount independently located</x:v>
      </x:c>
      <x:c r="O1416" s="171" t="str">
        <x:v>Exact source amount found; audited year/current-comparative column recorded. Accounting subtotal tests performed separately.</x:v>
      </x:c>
      <x:c r="P1416" s="171" t="str">
        <x:v>1,032,953  –  
 Other receivables 25  48,492   280,071 
 Short term investments  26  9,210,100   250,000 
 Cash and bank balances 27  2,665,338   2,932,984 
     40,472,565   25,784,071 
TOTAL ASSETS   160,845,191   147,636,299 
Chief Executive Officer Director Chief Financial Officer
Financial InformationFau</x:v>
      </x:c>
    </x:row>
    <x:row r="1417" ht="82" customHeight="1">
      <x:c r="A1417" s="76" t="str">
        <x:v>FCCL|cash|2025</x:v>
      </x:c>
      <x:c r="B1417" s="76" t="str">
        <x:v>FCCL</x:v>
      </x:c>
      <x:c r="C1417" s="76" t="str">
        <x:v>FY2025</x:v>
      </x:c>
      <x:c r="D1417" s="76" t="str">
        <x:v>Cash and bank balances</x:v>
      </x:c>
      <x:c r="E1417" s="170" t="n">
        <x:v>2665338</x:v>
      </x:c>
      <x:c r="F1417" s="170" t="n">
        <x:v>2665338</x:v>
      </x:c>
      <x:c r="G1417" s="170" t="str">
        <x:v>Rs '000</x:v>
      </x:c>
      <x:c r="H1417" s="170" t="n">
        <x:f>F1417/1000</x:f>
        <x:v>2665.338</x:v>
      </x:c>
      <x:c r="I1417" s="170" t="n">
        <x:f>FCCL!H34</x:f>
        <x:v>2665.338</x:v>
      </x:c>
      <x:c r="J1417" s="170" t="n">
        <x:f>H1417-I1417</x:f>
        <x:v>0</x:v>
      </x:c>
      <x:c r="K1417" s="76" t="str">
        <x:v>FCCL-Annual-Report-2025.pdf</x:v>
      </x:c>
      <x:c r="L1417" s="76" t="n">
        <x:v>245</x:v>
      </x:c>
      <x:c r="M1417" s="76" t="str">
        <x:v>Current year</x:v>
      </x:c>
      <x:c r="N1417" s="99" t="str">
        <x:v>Printed amount independently located</x:v>
      </x:c>
      <x:c r="O1417" s="99" t="str">
        <x:v>Exact source amount found; audited year/current-comparative column recorded. Accounting subtotal tests performed separately.</x:v>
      </x:c>
      <x:c r="P1417" s="99" t="str">
        <x:v>e tax – net     1,032,953  –  
 Other receivables 25  48,492   280,071 
 Short term investments  26  9,210,100   250,000 
 Cash and bank balances 27  2,665,338   2,932,984 
     40,472,565   25,784,071 
TOTAL ASSETS   160,845,191   147,636,299 
Chief Executive Officer Director Chief Financial Officer
Financial In</x:v>
      </x:c>
    </x:row>
    <x:row r="1418" ht="82" customHeight="1">
      <x:c r="A1418" s="168" t="str">
        <x:v>FCCL|ca_other|2020</x:v>
      </x:c>
      <x:c r="B1418" s="168" t="str">
        <x:v>FCCL</x:v>
      </x:c>
      <x:c r="C1418" s="168" t="str">
        <x:v>FY2020</x:v>
      </x:c>
      <x:c r="D1418" s="168" t="str">
        <x:v>Other current assets</x:v>
      </x:c>
      <x:c r="E1418" s="169" t="n">
        <x:v>677946</x:v>
      </x:c>
      <x:c r="F1418" s="169" t="n">
        <x:v>677946</x:v>
      </x:c>
      <x:c r="G1418" s="169" t="str">
        <x:v>Rs '000</x:v>
      </x:c>
      <x:c r="H1418" s="169" t="n">
        <x:f>F1418/1000</x:f>
        <x:v>677.946</x:v>
      </x:c>
      <x:c r="I1418" s="169" t="n">
        <x:f>FCCL!C35</x:f>
        <x:v>677.946</x:v>
      </x:c>
      <x:c r="J1418" s="169" t="n">
        <x:f>H1418-I1418</x:f>
        <x:v>0</x:v>
      </x:c>
      <x:c r="K1418" s="168" t="str">
        <x:v>FCCL-Annual-Report-2021.pdf</x:v>
      </x:c>
      <x:c r="L1418" s="168" t="n">
        <x:v>165</x:v>
      </x:c>
      <x:c r="M1418" s="168" t="str">
        <x:v>Comparative</x:v>
      </x:c>
      <x:c r="N1418" s="171" t="str">
        <x:v>Aggregated audited components</x:v>
      </x:c>
      <x:c r="O1418" s="171" t="str">
        <x:v>Source-labelled component sum; statement controls and signed-unit conversion independently recomputed.</x:v>
      </x:c>
      <x:c r="P1418" s="171" t="str">
        <x:v>
Restated
2021 2020
Note Rupees'000 Rupees'000
ASSETS
Non-current assets
Property, plant and equipment 14  21,422,215 22,065,172 
Right of use asset 15  89,334  60,322 
Long term d | Components: Advance tax - net; Advances; Other receivables; Trade deposits and short term prepayment</x:v>
      </x:c>
    </x:row>
    <x:row r="1419" ht="82" customHeight="1">
      <x:c r="A1419" s="76" t="str">
        <x:v>FCCL|ca_other|2021</x:v>
      </x:c>
      <x:c r="B1419" s="76" t="str">
        <x:v>FCCL</x:v>
      </x:c>
      <x:c r="C1419" s="76" t="str">
        <x:v>FY2021</x:v>
      </x:c>
      <x:c r="D1419" s="76" t="str">
        <x:v>Other current assets</x:v>
      </x:c>
      <x:c r="E1419" s="170" t="n">
        <x:v>250703</x:v>
      </x:c>
      <x:c r="F1419" s="170" t="n">
        <x:v>250703</x:v>
      </x:c>
      <x:c r="G1419" s="170" t="str">
        <x:v>Rs '000</x:v>
      </x:c>
      <x:c r="H1419" s="170" t="n">
        <x:f>F1419/1000</x:f>
        <x:v>250.703</x:v>
      </x:c>
      <x:c r="I1419" s="170" t="n">
        <x:f>FCCL!D35</x:f>
        <x:v>250.703</x:v>
      </x:c>
      <x:c r="J1419" s="170" t="n">
        <x:f>H1419-I1419</x:f>
        <x:v>0</x:v>
      </x:c>
      <x:c r="K1419" s="76" t="str">
        <x:v>FCCL-Annual-Report-2022.pdf</x:v>
      </x:c>
      <x:c r="L1419" s="76" t="n">
        <x:v>187</x:v>
      </x:c>
      <x:c r="M1419" s="76" t="str">
        <x:v>Comparative</x:v>
      </x:c>
      <x:c r="N1419" s="99" t="str">
        <x:v>Aggregated audited components</x:v>
      </x:c>
      <x:c r="O1419" s="99" t="str">
        <x:v>Source-labelled component sum; statement controls and signed-unit conversion independently recomputed.</x:v>
      </x:c>
      <x:c r="P1419" s="99" t="str">
        <x:v>
2022 2021
Note Rupees'000 Rupees'000
ASSETS
NON-CURRENT ASSETS
Property, plant and equipment 17 74,126,315 21,422,215 
Right of use asset 18 132,263 89,334 
Intangibles 19 11,029, | Components: Advance tax - net; Advances; Other receivables; Sales tax refundable-net; Trade deposits and short term prepayment</x:v>
      </x:c>
    </x:row>
    <x:row r="1420" ht="82" customHeight="1">
      <x:c r="A1420" s="168" t="str">
        <x:v>FCCL|ca_other|2022</x:v>
      </x:c>
      <x:c r="B1420" s="168" t="str">
        <x:v>FCCL</x:v>
      </x:c>
      <x:c r="C1420" s="168" t="str">
        <x:v>FY2022</x:v>
      </x:c>
      <x:c r="D1420" s="168" t="str">
        <x:v>Other current assets</x:v>
      </x:c>
      <x:c r="E1420" s="169" t="n">
        <x:v>4017543</x:v>
      </x:c>
      <x:c r="F1420" s="169" t="n">
        <x:v>4017543</x:v>
      </x:c>
      <x:c r="G1420" s="169" t="str">
        <x:v>Rs '000</x:v>
      </x:c>
      <x:c r="H1420" s="169" t="n">
        <x:f>F1420/1000</x:f>
        <x:v>4017.543</x:v>
      </x:c>
      <x:c r="I1420" s="169" t="n">
        <x:f>FCCL!E35</x:f>
        <x:v>4017.543</x:v>
      </x:c>
      <x:c r="J1420" s="169" t="n">
        <x:f>H1420-I1420</x:f>
        <x:v>0</x:v>
      </x:c>
      <x:c r="K1420" s="168" t="str">
        <x:v>FCCL-Annual-Report-2023.pdf</x:v>
      </x:c>
      <x:c r="L1420" s="168" t="n">
        <x:v>209</x:v>
      </x:c>
      <x:c r="M1420" s="168" t="str">
        <x:v>Comparative</x:v>
      </x:c>
      <x:c r="N1420" s="171" t="str">
        <x:v>Aggregated audited components</x:v>
      </x:c>
      <x:c r="O1420" s="171" t="str">
        <x:v>Source-labelled component sum; statement controls and signed-unit conversion independently recomputed.</x:v>
      </x:c>
      <x:c r="P1420" s="171" t="str">
        <x:v>
ANNUAL  
REPORT2023
207
2023 2022 2023 2022
Note Rupees’000 Rupees’000 Note Rupees’000 Rupees’000
EQUITY &amp; LIABILITIES ASSETS
EQUITY AND RESERVES NON-CURRENT 
ASSETS
Share capital | Components: Advance tax - net; Advances; Other receivables; Sales tax refundable-net; Trade deposits and short term prepayment</x:v>
      </x:c>
    </x:row>
    <x:row r="1421" ht="82" customHeight="1">
      <x:c r="A1421" s="76" t="str">
        <x:v>FCCL|ca_other|2023</x:v>
      </x:c>
      <x:c r="B1421" s="76" t="str">
        <x:v>FCCL</x:v>
      </x:c>
      <x:c r="C1421" s="76" t="str">
        <x:v>FY2023</x:v>
      </x:c>
      <x:c r="D1421" s="76" t="str">
        <x:v>Other current assets</x:v>
      </x:c>
      <x:c r="E1421" s="170" t="n">
        <x:v>3218089</x:v>
      </x:c>
      <x:c r="F1421" s="170" t="n">
        <x:v>3218089</x:v>
      </x:c>
      <x:c r="G1421" s="170" t="str">
        <x:v>Rs '000</x:v>
      </x:c>
      <x:c r="H1421" s="170" t="n">
        <x:f>F1421/1000</x:f>
        <x:v>3218.089</x:v>
      </x:c>
      <x:c r="I1421" s="170" t="n">
        <x:f>FCCL!F35</x:f>
        <x:v>3218.089</x:v>
      </x:c>
      <x:c r="J1421" s="170" t="n">
        <x:f>H1421-I1421</x:f>
        <x:v>0</x:v>
      </x:c>
      <x:c r="K1421" s="76" t="str">
        <x:v>FCCL-Annual-Report-2024.pdf</x:v>
      </x:c>
      <x:c r="L1421" s="76" t="n">
        <x:v>191</x:v>
      </x:c>
      <x:c r="M1421" s="76" t="str">
        <x:v>Comparative</x:v>
      </x:c>
      <x:c r="N1421" s="99" t="str">
        <x:v>Aggregated audited components</x:v>
      </x:c>
      <x:c r="O1421" s="99" t="str">
        <x:v>Source-labelled component sum; statement controls and signed-unit conversion independently recomputed.</x:v>
      </x:c>
      <x:c r="P1421" s="99" t="str">
        <x:v>
 Note 2024 2023
  Rupees’000 Rupees’000
ASSETS  
NON-CURRENT ASSETS  
 Property, plant and equipment 16  110,845,663  104,425,181 
 Right of use asset 17  131,165   181,380 
 | Components: Advance tax - net; Advances; Other receivables; Sales tax refundable-net; Trade deposits and short term prepayment</x:v>
      </x:c>
    </x:row>
    <x:row r="1422" ht="82" customHeight="1">
      <x:c r="A1422" s="168" t="str">
        <x:v>FCCL|ca_other|2024</x:v>
      </x:c>
      <x:c r="B1422" s="168" t="str">
        <x:v>FCCL</x:v>
      </x:c>
      <x:c r="C1422" s="168" t="str">
        <x:v>FY2024</x:v>
      </x:c>
      <x:c r="D1422" s="168" t="str">
        <x:v>Other current assets</x:v>
      </x:c>
      <x:c r="E1422" s="169" t="n">
        <x:v>461011</x:v>
      </x:c>
      <x:c r="F1422" s="169" t="n">
        <x:v>461011</x:v>
      </x:c>
      <x:c r="G1422" s="169" t="str">
        <x:v>Rs '000</x:v>
      </x:c>
      <x:c r="H1422" s="169" t="n">
        <x:f>F1422/1000</x:f>
        <x:v>461.011</x:v>
      </x:c>
      <x:c r="I1422" s="169" t="n">
        <x:f>FCCL!G35</x:f>
        <x:v>461.011</x:v>
      </x:c>
      <x:c r="J1422" s="169" t="n">
        <x:f>H1422-I1422</x:f>
        <x:v>0</x:v>
      </x:c>
      <x:c r="K1422" s="168" t="str">
        <x:v>FCCL-Annual-Report-2025.pdf</x:v>
      </x:c>
      <x:c r="L1422" s="168" t="n">
        <x:v>245</x:v>
      </x:c>
      <x:c r="M1422" s="168" t="str">
        <x:v>Comparative</x:v>
      </x:c>
      <x:c r="N1422" s="171" t="str">
        <x:v>Aggregated audited components</x:v>
      </x:c>
      <x:c r="O1422" s="171" t="str">
        <x:v>Source-labelled component sum; statement controls and signed-unit conversion independently recomputed.</x:v>
      </x:c>
      <x:c r="P1422" s="171" t="str">
        <x:v>
 Note 2025 2024
  Rupees’000 Rupees’000
ASSETS 
NON–CURRENT ASSETS 
 Property, plant and equipment 17  109,579,089  110,845,663 
 Right of use asset 18  126,445   131,165 
 In | Components: Advance tax - net; Advances; Other receivables; Sales tax refundable - net; Trade deposits and short term prepayment</x:v>
      </x:c>
    </x:row>
    <x:row r="1423" ht="82" customHeight="1">
      <x:c r="A1423" s="76" t="str">
        <x:v>FCCL|ca_other|2025</x:v>
      </x:c>
      <x:c r="B1423" s="76" t="str">
        <x:v>FCCL</x:v>
      </x:c>
      <x:c r="C1423" s="76" t="str">
        <x:v>FY2025</x:v>
      </x:c>
      <x:c r="D1423" s="76" t="str">
        <x:v>Other current assets</x:v>
      </x:c>
      <x:c r="E1423" s="170" t="n">
        <x:v>1971180</x:v>
      </x:c>
      <x:c r="F1423" s="170" t="n">
        <x:v>1971180</x:v>
      </x:c>
      <x:c r="G1423" s="170" t="str">
        <x:v>Rs '000</x:v>
      </x:c>
      <x:c r="H1423" s="170" t="n">
        <x:f>F1423/1000</x:f>
        <x:v>1971.18</x:v>
      </x:c>
      <x:c r="I1423" s="170" t="n">
        <x:f>FCCL!H35</x:f>
        <x:v>1971.18</x:v>
      </x:c>
      <x:c r="J1423" s="170" t="n">
        <x:f>H1423-I1423</x:f>
        <x:v>0</x:v>
      </x:c>
      <x:c r="K1423" s="76" t="str">
        <x:v>FCCL-Annual-Report-2025.pdf</x:v>
      </x:c>
      <x:c r="L1423" s="76" t="n">
        <x:v>245</x:v>
      </x:c>
      <x:c r="M1423" s="76" t="str">
        <x:v>Current year</x:v>
      </x:c>
      <x:c r="N1423" s="99" t="str">
        <x:v>Aggregated audited components</x:v>
      </x:c>
      <x:c r="O1423" s="99" t="str">
        <x:v>Source-labelled component sum; statement controls and signed-unit conversion independently recomputed.</x:v>
      </x:c>
      <x:c r="P1423" s="99" t="str">
        <x:v>
 Note 2025 2024
  Rupees’000 Rupees’000
ASSETS 
NON–CURRENT ASSETS 
 Property, plant and equipment 17  109,579,089  110,845,663 
 Right of use asset 18  126,445   131,165 
 In | Components: Advance tax - net; Advances; Other receivables; Sales tax refundable - net; Trade deposits and short term prepayment</x:v>
      </x:c>
    </x:row>
    <x:row r="1424" ht="82" customHeight="1">
      <x:c r="A1424" s="168" t="str">
        <x:v>FCCL|share_cap|2020</x:v>
      </x:c>
      <x:c r="B1424" s="168" t="str">
        <x:v>FCCL</x:v>
      </x:c>
      <x:c r="C1424" s="168" t="str">
        <x:v>FY2020</x:v>
      </x:c>
      <x:c r="D1424" s="168" t="str">
        <x:v>Issued, subscribed and paid-up share capital</x:v>
      </x:c>
      <x:c r="E1424" s="169" t="n">
        <x:v>13798150</x:v>
      </x:c>
      <x:c r="F1424" s="169" t="n">
        <x:v>13798150</x:v>
      </x:c>
      <x:c r="G1424" s="169" t="str">
        <x:v>Rs '000</x:v>
      </x:c>
      <x:c r="H1424" s="169" t="n">
        <x:f>F1424/1000</x:f>
        <x:v>13798.15</x:v>
      </x:c>
      <x:c r="I1424" s="169" t="n">
        <x:f>FCCL!C39</x:f>
        <x:v>13798.15</x:v>
      </x:c>
      <x:c r="J1424" s="169" t="n">
        <x:f>H1424-I1424</x:f>
        <x:v>0</x:v>
      </x:c>
      <x:c r="K1424" s="168" t="str">
        <x:v>FCCL-Annual-Report-2021.pdf</x:v>
      </x:c>
      <x:c r="L1424" s="168" t="n">
        <x:v>164</x:v>
      </x:c>
      <x:c r="M1424" s="168" t="str">
        <x:v>Comparative</x:v>
      </x:c>
      <x:c r="N1424" s="171" t="str">
        <x:v>Printed amount independently located</x:v>
      </x:c>
      <x:c r="O1424" s="171" t="str">
        <x:v>Exact source amount found; audited year/current-comparative column recorded. Accounting subtotal tests performed separately.</x:v>
      </x:c>
      <x:c r="P1424" s="171" t="str">
        <x:v>DED 30 JUNE 2021
162
STATEMENT OF FINANCIAL POSITION
Restated
2021 2020
Note Rupees'000 Rupees'000
EQUITY
Share capital and reserves
Share capital 4  13,798,150  13,798,150 
Discount on issue of shares  (1,364,385)  (1,364,385)
Unappropriated profits  10,841,906  7,370,555 
Total equity  23,275,671  19,804,320 
LIABILITIES
Long term loans</x:v>
      </x:c>
    </x:row>
    <x:row r="1425" ht="82" customHeight="1">
      <x:c r="A1425" s="76" t="str">
        <x:v>FCCL|share_cap|2021</x:v>
      </x:c>
      <x:c r="B1425" s="76" t="str">
        <x:v>FCCL</x:v>
      </x:c>
      <x:c r="C1425" s="76" t="str">
        <x:v>FY2021</x:v>
      </x:c>
      <x:c r="D1425" s="76" t="str">
        <x:v>Issued, subscribed and paid-up share capital</x:v>
      </x:c>
      <x:c r="E1425" s="170" t="n">
        <x:v>13798150</x:v>
      </x:c>
      <x:c r="F1425" s="170" t="n">
        <x:v>13798150</x:v>
      </x:c>
      <x:c r="G1425" s="170" t="str">
        <x:v>Rs '000</x:v>
      </x:c>
      <x:c r="H1425" s="170" t="n">
        <x:f>F1425/1000</x:f>
        <x:v>13798.15</x:v>
      </x:c>
      <x:c r="I1425" s="170" t="n">
        <x:f>FCCL!D39</x:f>
        <x:v>13798.15</x:v>
      </x:c>
      <x:c r="J1425" s="170" t="n">
        <x:f>H1425-I1425</x:f>
        <x:v>0</x:v>
      </x:c>
      <x:c r="K1425" s="76" t="str">
        <x:v>FCCL-Annual-Report-2022.pdf</x:v>
      </x:c>
      <x:c r="L1425" s="76" t="n">
        <x:v>186</x:v>
      </x:c>
      <x:c r="M1425" s="76" t="str">
        <x:v>Comparative</x:v>
      </x:c>
      <x:c r="N1425" s="99" t="str">
        <x:v>Printed amount independently located</x:v>
      </x:c>
      <x:c r="O1425" s="99" t="str">
        <x:v>Exact source amount found; audited year/current-comparative column recorded. Accounting subtotal tests performed separately.</x:v>
      </x:c>
      <x:c r="P1425" s="99" t="str">
        <x:v>STATEMENT OF FINANCIAL POSITION
2022 2021
Note Rupees'000 Rupees'000
EQUITY &amp; LIABILITIES 
EQUITY AND RESERVES
Share capital 4 21,803,090 13,798,150 
Premium/(discount) on issue of shares 5 17,978,520 (1,364,385)
Unappropriated profit 17,954,446 10,841,906 
57,736,056 23,275,671 
NON-CURRENT LIABILITIES 
Long term loans - secu</x:v>
      </x:c>
    </x:row>
    <x:row r="1426" ht="82" customHeight="1">
      <x:c r="A1426" s="168" t="str">
        <x:v>FCCL|share_cap|2022</x:v>
      </x:c>
      <x:c r="B1426" s="168" t="str">
        <x:v>FCCL</x:v>
      </x:c>
      <x:c r="C1426" s="168" t="str">
        <x:v>FY2022</x:v>
      </x:c>
      <x:c r="D1426" s="168" t="str">
        <x:v>Issued, subscribed and paid-up share capital</x:v>
      </x:c>
      <x:c r="E1426" s="169" t="n">
        <x:v>21803090</x:v>
      </x:c>
      <x:c r="F1426" s="169" t="n">
        <x:v>21803090</x:v>
      </x:c>
      <x:c r="G1426" s="169" t="str">
        <x:v>Rs '000</x:v>
      </x:c>
      <x:c r="H1426" s="169" t="n">
        <x:f>F1426/1000</x:f>
        <x:v>21803.09</x:v>
      </x:c>
      <x:c r="I1426" s="169" t="n">
        <x:f>FCCL!E39</x:f>
        <x:v>21803.09</x:v>
      </x:c>
      <x:c r="J1426" s="169" t="n">
        <x:f>H1426-I1426</x:f>
        <x:v>0</x:v>
      </x:c>
      <x:c r="K1426" s="168" t="str">
        <x:v>FCCL-Annual-Report-2023.pdf</x:v>
      </x:c>
      <x:c r="L1426" s="168" t="n">
        <x:v>208</x:v>
      </x:c>
      <x:c r="M1426" s="168" t="str">
        <x:v>Comparative</x:v>
      </x:c>
      <x:c r="N1426" s="171" t="str">
        <x:v>Printed amount independently located</x:v>
      </x:c>
      <x:c r="O1426" s="171" t="str">
        <x:v>Exact source amount found; audited year/current-comparative column recorded. Accounting subtotal tests performed separately.</x:v>
      </x:c>
      <x:c r="P1426" s="171" t="str">
        <x:v>ote Rupees’000 Rupees’000 Note Rupees’000 Rupees’000
EQUITY &amp; LIABILITIES ASSETS
EQUITY AND RESERVES NON-CURRENT 
ASSETS
Share capital 4  24,528,476  21,803,090 Property, plant and equipment 16  104,425,181 74,126,315 
Premium on issue of shares  15,253,134  17,978,520 Right of use asset 17  181,380  132,263 
Revenue reserve  25,394,127</x:v>
      </x:c>
    </x:row>
    <x:row r="1427" ht="82" customHeight="1">
      <x:c r="A1427" s="76" t="str">
        <x:v>FCCL|share_cap|2023</x:v>
      </x:c>
      <x:c r="B1427" s="76" t="str">
        <x:v>FCCL</x:v>
      </x:c>
      <x:c r="C1427" s="76" t="str">
        <x:v>FY2023</x:v>
      </x:c>
      <x:c r="D1427" s="76" t="str">
        <x:v>Issued, subscribed and paid-up share capital</x:v>
      </x:c>
      <x:c r="E1427" s="170" t="n">
        <x:v>24528476</x:v>
      </x:c>
      <x:c r="F1427" s="170" t="n">
        <x:v>24528476</x:v>
      </x:c>
      <x:c r="G1427" s="170" t="str">
        <x:v>Rs '000</x:v>
      </x:c>
      <x:c r="H1427" s="170" t="n">
        <x:f>F1427/1000</x:f>
        <x:v>24528.476</x:v>
      </x:c>
      <x:c r="I1427" s="170" t="n">
        <x:f>FCCL!F39</x:f>
        <x:v>24528.476</x:v>
      </x:c>
      <x:c r="J1427" s="170" t="n">
        <x:f>H1427-I1427</x:f>
        <x:v>0</x:v>
      </x:c>
      <x:c r="K1427" s="76" t="str">
        <x:v>FCCL-Annual-Report-2024.pdf</x:v>
      </x:c>
      <x:c r="L1427" s="76" t="n">
        <x:v>190</x:v>
      </x:c>
      <x:c r="M1427" s="76" t="str">
        <x:v>Comparative</x:v>
      </x:c>
      <x:c r="N1427" s="99" t="str">
        <x:v>Printed amount independently located</x:v>
      </x:c>
      <x:c r="O1427" s="99" t="str">
        <x:v>Exact source amount found; audited year/current-comparative column recorded. Accounting subtotal tests performed separately.</x:v>
      </x:c>
      <x:c r="P1427" s="99" t="str">
        <x:v>Note 2024 2023
  Rupees’000 Rupees’000
EQUITY &amp; LIABILITIES   
EQUITY AND RESERVES  
 Share capital 4  24,528,476   24,528,476 
 Capital reserve - Premium on issue of shares   15,253,134   15,253,134 
 Revenue reserve - Accumulated profits   33,617,243   25,394,127 
     73,398,853   65,175,7</x:v>
      </x:c>
    </x:row>
    <x:row r="1428" ht="82" customHeight="1">
      <x:c r="A1428" s="168" t="str">
        <x:v>FCCL|share_cap|2024</x:v>
      </x:c>
      <x:c r="B1428" s="168" t="str">
        <x:v>FCCL</x:v>
      </x:c>
      <x:c r="C1428" s="168" t="str">
        <x:v>FY2024</x:v>
      </x:c>
      <x:c r="D1428" s="168" t="str">
        <x:v>Issued, subscribed and paid-up share capital</x:v>
      </x:c>
      <x:c r="E1428" s="169" t="n">
        <x:v>24528476</x:v>
      </x:c>
      <x:c r="F1428" s="169" t="n">
        <x:v>24528476</x:v>
      </x:c>
      <x:c r="G1428" s="169" t="str">
        <x:v>Rs '000</x:v>
      </x:c>
      <x:c r="H1428" s="169" t="n">
        <x:f>F1428/1000</x:f>
        <x:v>24528.476</x:v>
      </x:c>
      <x:c r="I1428" s="169" t="n">
        <x:f>FCCL!G39</x:f>
        <x:v>24528.476</x:v>
      </x:c>
      <x:c r="J1428" s="169" t="n">
        <x:f>H1428-I1428</x:f>
        <x:v>0</x:v>
      </x:c>
      <x:c r="K1428" s="168" t="str">
        <x:v>FCCL-Annual-Report-2025.pdf</x:v>
      </x:c>
      <x:c r="L1428" s="168" t="n">
        <x:v>244</x:v>
      </x:c>
      <x:c r="M1428" s="168" t="str">
        <x:v>Comparative</x:v>
      </x:c>
      <x:c r="N1428" s="171" t="str">
        <x:v>Printed amount independently located</x:v>
      </x:c>
      <x:c r="O1428" s="171" t="str">
        <x:v>Exact source amount found; audited year/current-comparative column recorded. Accounting subtotal tests performed separately.</x:v>
      </x:c>
      <x:c r="P1428" s="171" t="str">
        <x:v>Note 2025 2024
  Rupees’000 Rupees’000
EQUITY &amp; LIABILITIES  
EQUITY AND RESERVES 
 Share capital 5  24,528,476   24,528,476 
 Capital reserve – Premium on issue of shares   15,253,134   15,253,134 
 Revenue reserve – Accumulated profits   44,490,598   33,617,243 
     84,272,208   73,398,8</x:v>
      </x:c>
    </x:row>
    <x:row r="1429" ht="82" customHeight="1">
      <x:c r="A1429" s="76" t="str">
        <x:v>FCCL|share_cap|2025</x:v>
      </x:c>
      <x:c r="B1429" s="76" t="str">
        <x:v>FCCL</x:v>
      </x:c>
      <x:c r="C1429" s="76" t="str">
        <x:v>FY2025</x:v>
      </x:c>
      <x:c r="D1429" s="76" t="str">
        <x:v>Issued, subscribed and paid-up share capital</x:v>
      </x:c>
      <x:c r="E1429" s="170" t="n">
        <x:v>24528476</x:v>
      </x:c>
      <x:c r="F1429" s="170" t="n">
        <x:v>24528476</x:v>
      </x:c>
      <x:c r="G1429" s="170" t="str">
        <x:v>Rs '000</x:v>
      </x:c>
      <x:c r="H1429" s="170" t="n">
        <x:f>F1429/1000</x:f>
        <x:v>24528.476</x:v>
      </x:c>
      <x:c r="I1429" s="170" t="n">
        <x:f>FCCL!H39</x:f>
        <x:v>24528.476</x:v>
      </x:c>
      <x:c r="J1429" s="170" t="n">
        <x:f>H1429-I1429</x:f>
        <x:v>0</x:v>
      </x:c>
      <x:c r="K1429" s="76" t="str">
        <x:v>FCCL-Annual-Report-2025.pdf</x:v>
      </x:c>
      <x:c r="L1429" s="76" t="n">
        <x:v>244</x:v>
      </x:c>
      <x:c r="M1429" s="76" t="str">
        <x:v>Current year</x:v>
      </x:c>
      <x:c r="N1429" s="99" t="str">
        <x:v>Printed amount independently located</x:v>
      </x:c>
      <x:c r="O1429" s="99" t="str">
        <x:v>Exact source amount found; audited year/current-comparative column recorded. Accounting subtotal tests performed separately.</x:v>
      </x:c>
      <x:c r="P1429" s="99" t="str">
        <x:v>Note 2025 2024
  Rupees’000 Rupees’000
EQUITY &amp; LIABILITIES  
EQUITY AND RESERVES 
 Share capital 5  24,528,476   24,528,476 
 Capital reserve – Premium on issue of shares   15,253,134   15,253,134 
 Revenue reserve – Accumulated profits   44,490,598   33,617,243 
     84,272,208   73,398,8</x:v>
      </x:c>
    </x:row>
    <x:row r="1430" ht="82" customHeight="1">
      <x:c r="A1430" s="168" t="str">
        <x:v>FCCL|eq_other|2020</x:v>
      </x:c>
      <x:c r="B1430" s="168" t="str">
        <x:v>FCCL</x:v>
      </x:c>
      <x:c r="C1430" s="168" t="str">
        <x:v>FY2020</x:v>
      </x:c>
      <x:c r="D1430" s="168" t="str">
        <x:v>Reserves, retained earnings and revaluation surplus</x:v>
      </x:c>
      <x:c r="E1430" s="169" t="n">
        <x:v>6006170</x:v>
      </x:c>
      <x:c r="F1430" s="169" t="n">
        <x:v>6006170</x:v>
      </x:c>
      <x:c r="G1430" s="169" t="str">
        <x:v>Rs '000</x:v>
      </x:c>
      <x:c r="H1430" s="169" t="n">
        <x:f>F1430/1000</x:f>
        <x:v>6006.17</x:v>
      </x:c>
      <x:c r="I1430" s="169" t="n">
        <x:f>FCCL!C40</x:f>
        <x:v>6006.17</x:v>
      </x:c>
      <x:c r="J1430" s="169" t="n">
        <x:f>H1430-I1430</x:f>
        <x:v>0</x:v>
      </x:c>
      <x:c r="K1430" s="168" t="str">
        <x:v>FCCL-Annual-Report-2021.pdf</x:v>
      </x:c>
      <x:c r="L1430" s="168" t="n">
        <x:v>164</x:v>
      </x:c>
      <x:c r="M1430" s="168" t="str">
        <x:v>Comparative</x:v>
      </x:c>
      <x:c r="N1430" s="171" t="str">
        <x:v>Aggregated audited components</x:v>
      </x:c>
      <x:c r="O1430" s="171" t="str">
        <x:v>Source-labelled component sum; statement controls and signed-unit conversion independently recomputed.</x:v>
      </x:c>
      <x:c r="P1430" s="171" t="str">
        <x:v>
FAUJI CEMENT COMPANY LIMITED
FOR THE YEAR ENDED 30 JUNE 2021
162
STATEMENT OF FINANCIAL POSITION
Restated
2021 2020
Note Rupees'000 Rupees'000
EQUITY
Share capital and reserves
Sh | Components: Discount on issue of shares; Unappropriated profits</x:v>
      </x:c>
    </x:row>
    <x:row r="1431" ht="82" customHeight="1">
      <x:c r="A1431" s="76" t="str">
        <x:v>FCCL|eq_other|2021</x:v>
      </x:c>
      <x:c r="B1431" s="76" t="str">
        <x:v>FCCL</x:v>
      </x:c>
      <x:c r="C1431" s="76" t="str">
        <x:v>FY2021</x:v>
      </x:c>
      <x:c r="D1431" s="76" t="str">
        <x:v>Reserves, retained earnings and revaluation surplus</x:v>
      </x:c>
      <x:c r="E1431" s="170" t="n">
        <x:v>9477521</x:v>
      </x:c>
      <x:c r="F1431" s="170" t="n">
        <x:v>9477521</x:v>
      </x:c>
      <x:c r="G1431" s="170" t="str">
        <x:v>Rs '000</x:v>
      </x:c>
      <x:c r="H1431" s="170" t="n">
        <x:f>F1431/1000</x:f>
        <x:v>9477.521</x:v>
      </x:c>
      <x:c r="I1431" s="170" t="n">
        <x:f>FCCL!D40</x:f>
        <x:v>9477.521</x:v>
      </x:c>
      <x:c r="J1431" s="170" t="n">
        <x:f>H1431-I1431</x:f>
        <x:v>0</x:v>
      </x:c>
      <x:c r="K1431" s="76" t="str">
        <x:v>FCCL-Annual-Report-2022.pdf</x:v>
      </x:c>
      <x:c r="L1431" s="76" t="n">
        <x:v>186</x:v>
      </x:c>
      <x:c r="M1431" s="76" t="str">
        <x:v>Comparative</x:v>
      </x:c>
      <x:c r="N1431" s="99" t="str">
        <x:v>Aggregated audited components</x:v>
      </x:c>
      <x:c r="O1431" s="99" t="str">
        <x:v>Source-labelled component sum; statement controls and signed-unit conversion independently recomputed.</x:v>
      </x:c>
      <x:c r="P1431" s="99" t="str">
        <x:v>
STATEMENT OF FINANCIAL POSITION
2022 2021
Note Rupees'000 Rupees'000
EQUITY &amp; LIABILITIES 
EQUITY AND RESERVES
Share capital 4 21,803,090 13,798,150 
Premium/(discount) on issue o | Components: Premium/(discount) on issue of shares; Unappropriated profit</x:v>
      </x:c>
    </x:row>
    <x:row r="1432" ht="82" customHeight="1">
      <x:c r="A1432" s="168" t="str">
        <x:v>FCCL|eq_other|2022</x:v>
      </x:c>
      <x:c r="B1432" s="168" t="str">
        <x:v>FCCL</x:v>
      </x:c>
      <x:c r="C1432" s="168" t="str">
        <x:v>FY2022</x:v>
      </x:c>
      <x:c r="D1432" s="168" t="str">
        <x:v>Reserves, retained earnings and revaluation surplus</x:v>
      </x:c>
      <x:c r="E1432" s="169" t="n">
        <x:v>35932966</x:v>
      </x:c>
      <x:c r="F1432" s="169" t="n">
        <x:v>35932966</x:v>
      </x:c>
      <x:c r="G1432" s="169" t="str">
        <x:v>Rs '000</x:v>
      </x:c>
      <x:c r="H1432" s="169" t="n">
        <x:f>F1432/1000</x:f>
        <x:v>35932.966</x:v>
      </x:c>
      <x:c r="I1432" s="169" t="n">
        <x:f>FCCL!E40</x:f>
        <x:v>35932.966</x:v>
      </x:c>
      <x:c r="J1432" s="169" t="n">
        <x:f>H1432-I1432</x:f>
        <x:v>0</x:v>
      </x:c>
      <x:c r="K1432" s="168" t="str">
        <x:v>FCCL-Annual-Report-2023.pdf</x:v>
      </x:c>
      <x:c r="L1432" s="168" t="n">
        <x:v>208</x:v>
      </x:c>
      <x:c r="M1432" s="168" t="str">
        <x:v>Comparative</x:v>
      </x:c>
      <x:c r="N1432" s="171" t="str">
        <x:v>Aggregated audited components</x:v>
      </x:c>
      <x:c r="O1432" s="171" t="str">
        <x:v>Source-labelled component sum; statement controls and signed-unit conversion independently recomputed.</x:v>
      </x:c>
      <x:c r="P1432" s="171" t="str">
        <x:v>
FAUJI CEMENT COMPANY LIMITED
206
Fauji Cement Company Limited
Statement of Financial Position
As at June 30, 2023
2023 2022 2023 2022
Note Rupees’000 Rupees’000 Note Rupees’000 Ru | Components: Premium on issue of shares; Revenue reserve</x:v>
      </x:c>
    </x:row>
    <x:row r="1433" ht="82" customHeight="1">
      <x:c r="A1433" s="76" t="str">
        <x:v>FCCL|eq_other|2023</x:v>
      </x:c>
      <x:c r="B1433" s="76" t="str">
        <x:v>FCCL</x:v>
      </x:c>
      <x:c r="C1433" s="76" t="str">
        <x:v>FY2023</x:v>
      </x:c>
      <x:c r="D1433" s="76" t="str">
        <x:v>Reserves, retained earnings and revaluation surplus</x:v>
      </x:c>
      <x:c r="E1433" s="170" t="n">
        <x:v>40647261</x:v>
      </x:c>
      <x:c r="F1433" s="170" t="n">
        <x:v>40647261</x:v>
      </x:c>
      <x:c r="G1433" s="170" t="str">
        <x:v>Rs '000</x:v>
      </x:c>
      <x:c r="H1433" s="170" t="n">
        <x:f>F1433/1000</x:f>
        <x:v>40647.261</x:v>
      </x:c>
      <x:c r="I1433" s="170" t="n">
        <x:f>FCCL!F40</x:f>
        <x:v>40647.261</x:v>
      </x:c>
      <x:c r="J1433" s="170" t="n">
        <x:f>H1433-I1433</x:f>
        <x:v>0</x:v>
      </x:c>
      <x:c r="K1433" s="76" t="str">
        <x:v>FCCL-Annual-Report-2024.pdf</x:v>
      </x:c>
      <x:c r="L1433" s="76" t="n">
        <x:v>190</x:v>
      </x:c>
      <x:c r="M1433" s="76" t="str">
        <x:v>Comparative</x:v>
      </x:c>
      <x:c r="N1433" s="99" t="str">
        <x:v>Aggregated audited components</x:v>
      </x:c>
      <x:c r="O1433" s="99" t="str">
        <x:v>Source-labelled component sum; statement controls and signed-unit conversion independently recomputed.</x:v>
      </x:c>
      <x:c r="P1433" s="99" t="str">
        <x:v>
 Note 2024 2023
  Rupees’000 Rupees’000
EQUITY &amp; LIABILITIES   
EQUITY AND RESERVES  
 Share capital 4  24,528,476   24,528,476 
 Capital reserve - Premium on issue of shares | Components: Capital reserve - Premium on issue of sh; Revenue reserve - Accumulated profits</x:v>
      </x:c>
    </x:row>
    <x:row r="1434" ht="82" customHeight="1">
      <x:c r="A1434" s="168" t="str">
        <x:v>FCCL|eq_other|2024</x:v>
      </x:c>
      <x:c r="B1434" s="168" t="str">
        <x:v>FCCL</x:v>
      </x:c>
      <x:c r="C1434" s="168" t="str">
        <x:v>FY2024</x:v>
      </x:c>
      <x:c r="D1434" s="168" t="str">
        <x:v>Reserves, retained earnings and revaluation surplus</x:v>
      </x:c>
      <x:c r="E1434" s="169" t="n">
        <x:v>48870377</x:v>
      </x:c>
      <x:c r="F1434" s="169" t="n">
        <x:v>48870377</x:v>
      </x:c>
      <x:c r="G1434" s="169" t="str">
        <x:v>Rs '000</x:v>
      </x:c>
      <x:c r="H1434" s="169" t="n">
        <x:f>F1434/1000</x:f>
        <x:v>48870.377</x:v>
      </x:c>
      <x:c r="I1434" s="169" t="n">
        <x:f>FCCL!G40</x:f>
        <x:v>48870.377</x:v>
      </x:c>
      <x:c r="J1434" s="169" t="n">
        <x:f>H1434-I1434</x:f>
        <x:v>0</x:v>
      </x:c>
      <x:c r="K1434" s="168" t="str">
        <x:v>FCCL-Annual-Report-2025.pdf</x:v>
      </x:c>
      <x:c r="L1434" s="168" t="n">
        <x:v>244</x:v>
      </x:c>
      <x:c r="M1434" s="168" t="str">
        <x:v>Comparative</x:v>
      </x:c>
      <x:c r="N1434" s="171" t="str">
        <x:v>Aggregated audited components</x:v>
      </x:c>
      <x:c r="O1434" s="171" t="str">
        <x:v>Source-labelled component sum; statement controls and signed-unit conversion independently recomputed.</x:v>
      </x:c>
      <x:c r="P1434" s="171" t="str">
        <x:v>
 Note 2025 2024
  Rupees’000 Rupees’000
EQUITY &amp; LIABILITIES  
EQUITY AND RESERVES 
 Share capital 5  24,528,476   24,528,476 
 Capital reserve – Premium on issue of shares    | Components: Capital reserve - Premium on issue of sh; Revenue reserve - Accumulated profits</x:v>
      </x:c>
    </x:row>
    <x:row r="1435" ht="82" customHeight="1">
      <x:c r="A1435" s="76" t="str">
        <x:v>FCCL|eq_other|2025</x:v>
      </x:c>
      <x:c r="B1435" s="76" t="str">
        <x:v>FCCL</x:v>
      </x:c>
      <x:c r="C1435" s="76" t="str">
        <x:v>FY2025</x:v>
      </x:c>
      <x:c r="D1435" s="76" t="str">
        <x:v>Reserves, retained earnings and revaluation surplus</x:v>
      </x:c>
      <x:c r="E1435" s="170" t="n">
        <x:v>59743732</x:v>
      </x:c>
      <x:c r="F1435" s="170" t="n">
        <x:v>59743732</x:v>
      </x:c>
      <x:c r="G1435" s="170" t="str">
        <x:v>Rs '000</x:v>
      </x:c>
      <x:c r="H1435" s="170" t="n">
        <x:f>F1435/1000</x:f>
        <x:v>59743.732</x:v>
      </x:c>
      <x:c r="I1435" s="170" t="n">
        <x:f>FCCL!H40</x:f>
        <x:v>59743.732</x:v>
      </x:c>
      <x:c r="J1435" s="170" t="n">
        <x:f>H1435-I1435</x:f>
        <x:v>0</x:v>
      </x:c>
      <x:c r="K1435" s="76" t="str">
        <x:v>FCCL-Annual-Report-2025.pdf</x:v>
      </x:c>
      <x:c r="L1435" s="76" t="n">
        <x:v>244</x:v>
      </x:c>
      <x:c r="M1435" s="76" t="str">
        <x:v>Current year</x:v>
      </x:c>
      <x:c r="N1435" s="99" t="str">
        <x:v>Aggregated audited components</x:v>
      </x:c>
      <x:c r="O1435" s="99" t="str">
        <x:v>Source-labelled component sum; statement controls and signed-unit conversion independently recomputed.</x:v>
      </x:c>
      <x:c r="P1435" s="99" t="str">
        <x:v>
 Note 2025 2024
  Rupees’000 Rupees’000
EQUITY &amp; LIABILITIES  
EQUITY AND RESERVES 
 Share capital 5  24,528,476   24,528,476 
 Capital reserve – Premium on issue of shares    | Components: Capital reserve - Premium on issue of sh; Revenue reserve - Accumulated profits</x:v>
      </x:c>
    </x:row>
    <x:row r="1436" ht="82" customHeight="1">
      <x:c r="A1436" s="168" t="str">
        <x:v>FCCL|ltf_nc|2020</x:v>
      </x:c>
      <x:c r="B1436" s="168" t="str">
        <x:v>FCCL</x:v>
      </x:c>
      <x:c r="C1436" s="168" t="str">
        <x:v>FY2020</x:v>
      </x:c>
      <x:c r="D1436" s="168" t="str">
        <x:v>Long-term financing (non-current, interest-bearing)</x:v>
      </x:c>
      <x:c r="E1436" s="169" t="n">
        <x:v>447327</x:v>
      </x:c>
      <x:c r="F1436" s="169" t="n">
        <x:v>447327</x:v>
      </x:c>
      <x:c r="G1436" s="169" t="str">
        <x:v>Rs '000</x:v>
      </x:c>
      <x:c r="H1436" s="169" t="n">
        <x:f>F1436/1000</x:f>
        <x:v>447.327</x:v>
      </x:c>
      <x:c r="I1436" s="169" t="n">
        <x:f>FCCL!C43</x:f>
        <x:v>447.327</x:v>
      </x:c>
      <x:c r="J1436" s="169" t="n">
        <x:f>H1436-I1436</x:f>
        <x:v>0</x:v>
      </x:c>
      <x:c r="K1436" s="168" t="str">
        <x:v>FCCL-Annual-Report-2021.pdf</x:v>
      </x:c>
      <x:c r="L1436" s="168" t="n">
        <x:v>164</x:v>
      </x:c>
      <x:c r="M1436" s="168" t="str">
        <x:v>Comparative</x:v>
      </x:c>
      <x:c r="N1436" s="171" t="str">
        <x:v>Printed amount independently located</x:v>
      </x:c>
      <x:c r="O1436" s="171" t="str">
        <x:v>Exact source amount found; audited year/current-comparative column recorded. Accounting subtotal tests performed separately.</x:v>
      </x:c>
      <x:c r="P1436" s="171" t="str">
        <x:v>(1,364,385)
Unappropriated profits  10,841,906  7,370,555 
Total equity  23,275,671  19,804,320 
LIABILITIES
Long term loans - secured  5  491,502  447,327 
Employee benefits 6  82,380  72,547 
Lease liability 7  73,593  57,656 
Deferred government grant  22,261  -   
Deferred tax liabilities - net 8  3,960,489 3,643,608 
 4,630,225</x:v>
      </x:c>
    </x:row>
    <x:row r="1437" ht="82" customHeight="1">
      <x:c r="A1437" s="76" t="str">
        <x:v>FCCL|ltf_nc|2021</x:v>
      </x:c>
      <x:c r="B1437" s="76" t="str">
        <x:v>FCCL</x:v>
      </x:c>
      <x:c r="C1437" s="76" t="str">
        <x:v>FY2021</x:v>
      </x:c>
      <x:c r="D1437" s="76" t="str">
        <x:v>Long-term financing (non-current, interest-bearing)</x:v>
      </x:c>
      <x:c r="E1437" s="170" t="n">
        <x:v>491502</x:v>
      </x:c>
      <x:c r="F1437" s="170" t="n">
        <x:v>491502</x:v>
      </x:c>
      <x:c r="G1437" s="170" t="str">
        <x:v>Rs '000</x:v>
      </x:c>
      <x:c r="H1437" s="170" t="n">
        <x:f>F1437/1000</x:f>
        <x:v>491.502</x:v>
      </x:c>
      <x:c r="I1437" s="170" t="n">
        <x:f>FCCL!D43</x:f>
        <x:v>491.502</x:v>
      </x:c>
      <x:c r="J1437" s="170" t="n">
        <x:f>H1437-I1437</x:f>
        <x:v>0</x:v>
      </x:c>
      <x:c r="K1437" s="76" t="str">
        <x:v>FCCL-Annual-Report-2022.pdf</x:v>
      </x:c>
      <x:c r="L1437" s="76" t="n">
        <x:v>186</x:v>
      </x:c>
      <x:c r="M1437" s="76" t="str">
        <x:v>Comparative</x:v>
      </x:c>
      <x:c r="N1437" s="99" t="str">
        <x:v>Printed amount independently located</x:v>
      </x:c>
      <x:c r="O1437" s="99" t="str">
        <x:v>Exact source amount found; audited year/current-comparative column recorded. Accounting subtotal tests performed separately.</x:v>
      </x:c>
      <x:c r="P1437" s="99" t="str">
        <x:v>8,520 (1,364,385)
Unappropriated profit 17,954,446 10,841,906 
57,736,056 23,275,671 
NON-CURRENT LIABILITIES 
Long term loans - secured 6 19,555,997 491,502 
Employee benefits 7 179,291 82,380 
Lease liabilities 8 89,965 73,593 
Deferred government grant 9 1,982,301 6,607 
Deferred tax liabilities - net 10 7,433,214 3,960,489 
29,240,</x:v>
      </x:c>
    </x:row>
    <x:row r="1438" ht="82" customHeight="1">
      <x:c r="A1438" s="168" t="str">
        <x:v>FCCL|ltf_nc|2022</x:v>
      </x:c>
      <x:c r="B1438" s="168" t="str">
        <x:v>FCCL</x:v>
      </x:c>
      <x:c r="C1438" s="168" t="str">
        <x:v>FY2022</x:v>
      </x:c>
      <x:c r="D1438" s="168" t="str">
        <x:v>Long-term financing (non-current, interest-bearing)</x:v>
      </x:c>
      <x:c r="E1438" s="169" t="n">
        <x:v>19555997</x:v>
      </x:c>
      <x:c r="F1438" s="169" t="n">
        <x:v>19555997</x:v>
      </x:c>
      <x:c r="G1438" s="169" t="str">
        <x:v>Rs '000</x:v>
      </x:c>
      <x:c r="H1438" s="169" t="n">
        <x:f>F1438/1000</x:f>
        <x:v>19555.997</x:v>
      </x:c>
      <x:c r="I1438" s="169" t="n">
        <x:f>FCCL!E43</x:f>
        <x:v>19555.997</x:v>
      </x:c>
      <x:c r="J1438" s="169" t="n">
        <x:f>H1438-I1438</x:f>
        <x:v>0</x:v>
      </x:c>
      <x:c r="K1438" s="168" t="str">
        <x:v>FCCL-Annual-Report-2023.pdf</x:v>
      </x:c>
      <x:c r="L1438" s="168" t="n">
        <x:v>208</x:v>
      </x:c>
      <x:c r="M1438" s="168" t="str">
        <x:v>Comparative</x:v>
      </x:c>
      <x:c r="N1438" s="171" t="str">
        <x:v>Printed amount independently located</x:v>
      </x:c>
      <x:c r="O1438" s="171" t="str">
        <x:v>Exact source amount found; audited year/current-comparative column recorded. Accounting subtotal tests performed separately.</x:v>
      </x:c>
      <x:c r="P1438" s="171" t="str">
        <x:v>0  126,274 
Long term investment in associate  -  66,657 
NON-CURRENT LIABILITIES  115,693,998  85,481,265 
Long term loans - secured  5  31,777,087  19,555,997 
Employee benefits 6  211,595  179,291 
Lease liabilities 7  118,972  89,965 
Deferred government grant 8  2,745,849  1,982,301 
Deferred tax liabilities - net 9  10,312,402  7,43</x:v>
      </x:c>
    </x:row>
    <x:row r="1439" ht="82" customHeight="1">
      <x:c r="A1439" s="76" t="str">
        <x:v>FCCL|ltf_nc|2023</x:v>
      </x:c>
      <x:c r="B1439" s="76" t="str">
        <x:v>FCCL</x:v>
      </x:c>
      <x:c r="C1439" s="76" t="str">
        <x:v>FY2023</x:v>
      </x:c>
      <x:c r="D1439" s="76" t="str">
        <x:v>Long-term financing (non-current, interest-bearing)</x:v>
      </x:c>
      <x:c r="E1439" s="170" t="n">
        <x:v>31777087</x:v>
      </x:c>
      <x:c r="F1439" s="170" t="n">
        <x:v>31777087</x:v>
      </x:c>
      <x:c r="G1439" s="170" t="str">
        <x:v>Rs '000</x:v>
      </x:c>
      <x:c r="H1439" s="170" t="n">
        <x:f>F1439/1000</x:f>
        <x:v>31777.087</x:v>
      </x:c>
      <x:c r="I1439" s="170" t="n">
        <x:f>FCCL!F43</x:f>
        <x:v>31777.087</x:v>
      </x:c>
      <x:c r="J1439" s="170" t="n">
        <x:f>H1439-I1439</x:f>
        <x:v>0</x:v>
      </x:c>
      <x:c r="K1439" s="76" t="str">
        <x:v>FCCL-Annual-Report-2024.pdf</x:v>
      </x:c>
      <x:c r="L1439" s="76" t="n">
        <x:v>190</x:v>
      </x:c>
      <x:c r="M1439" s="76" t="str">
        <x:v>Comparative</x:v>
      </x:c>
      <x:c r="N1439" s="99" t="str">
        <x:v>Printed amount independently located</x:v>
      </x:c>
      <x:c r="O1439" s="99" t="str">
        <x:v>Exact source amount found; audited year/current-comparative column recorded. Accounting subtotal tests performed separately.</x:v>
      </x:c>
      <x:c r="P1439" s="99" t="str">
        <x:v>cumulated profits   33,617,243   25,394,127 
     73,398,853   65,175,737 
NON-CURRENT LIABILITIES   
 Long term loans - secured   5  29,908,287   31,777,087 
 Employee benefits 6  250,230   211,595 
 Lease liabilities 7  117,454   118,972 
 Deferred government grant 8  2,164,959   2,745,849 
 Deferred tax liabilities - net 9  14,931,0</x:v>
      </x:c>
    </x:row>
    <x:row r="1440" ht="82" customHeight="1">
      <x:c r="A1440" s="168" t="str">
        <x:v>FCCL|ltf_nc|2024</x:v>
      </x:c>
      <x:c r="B1440" s="168" t="str">
        <x:v>FCCL</x:v>
      </x:c>
      <x:c r="C1440" s="168" t="str">
        <x:v>FY2024</x:v>
      </x:c>
      <x:c r="D1440" s="168" t="str">
        <x:v>Long-term financing (non-current, interest-bearing)</x:v>
      </x:c>
      <x:c r="E1440" s="169" t="n">
        <x:v>29908287</x:v>
      </x:c>
      <x:c r="F1440" s="169" t="n">
        <x:v>29908287</x:v>
      </x:c>
      <x:c r="G1440" s="169" t="str">
        <x:v>Rs '000</x:v>
      </x:c>
      <x:c r="H1440" s="169" t="n">
        <x:f>F1440/1000</x:f>
        <x:v>29908.287</x:v>
      </x:c>
      <x:c r="I1440" s="169" t="n">
        <x:f>FCCL!G43</x:f>
        <x:v>29908.287</x:v>
      </x:c>
      <x:c r="J1440" s="169" t="n">
        <x:f>H1440-I1440</x:f>
        <x:v>0</x:v>
      </x:c>
      <x:c r="K1440" s="168" t="str">
        <x:v>FCCL-Annual-Report-2025.pdf</x:v>
      </x:c>
      <x:c r="L1440" s="168" t="n">
        <x:v>244</x:v>
      </x:c>
      <x:c r="M1440" s="168" t="str">
        <x:v>Comparative</x:v>
      </x:c>
      <x:c r="N1440" s="171" t="str">
        <x:v>Printed amount independently located</x:v>
      </x:c>
      <x:c r="O1440" s="171" t="str">
        <x:v>Exact source amount found; audited year/current-comparative column recorded. Accounting subtotal tests performed separately.</x:v>
      </x:c>
      <x:c r="P1440" s="171" t="str">
        <x:v>– Accumulated profits   44,490,598   33,617,243 
     84,272,208   73,398,853 
NON–CURRENT LIABILITIES  
 Long term loans – secured   6  24,208,633   29,908,287 
 Employee benefits 7  283,590   250,230 
 Lease liabilities 8  101,211   117,454 
 Deferred government grant 9  1,647,630   2,164,959 
 Deferred tax liabilities – net 10  19,694,</x:v>
      </x:c>
    </x:row>
    <x:row r="1441" ht="82" customHeight="1">
      <x:c r="A1441" s="76" t="str">
        <x:v>FCCL|ltf_nc|2025</x:v>
      </x:c>
      <x:c r="B1441" s="76" t="str">
        <x:v>FCCL</x:v>
      </x:c>
      <x:c r="C1441" s="76" t="str">
        <x:v>FY2025</x:v>
      </x:c>
      <x:c r="D1441" s="76" t="str">
        <x:v>Long-term financing (non-current, interest-bearing)</x:v>
      </x:c>
      <x:c r="E1441" s="170" t="n">
        <x:v>24208633</x:v>
      </x:c>
      <x:c r="F1441" s="170" t="n">
        <x:v>24208633</x:v>
      </x:c>
      <x:c r="G1441" s="170" t="str">
        <x:v>Rs '000</x:v>
      </x:c>
      <x:c r="H1441" s="170" t="n">
        <x:f>F1441/1000</x:f>
        <x:v>24208.633</x:v>
      </x:c>
      <x:c r="I1441" s="170" t="n">
        <x:f>FCCL!H43</x:f>
        <x:v>24208.633</x:v>
      </x:c>
      <x:c r="J1441" s="170" t="n">
        <x:f>H1441-I1441</x:f>
        <x:v>0</x:v>
      </x:c>
      <x:c r="K1441" s="76" t="str">
        <x:v>FCCL-Annual-Report-2025.pdf</x:v>
      </x:c>
      <x:c r="L1441" s="76" t="n">
        <x:v>244</x:v>
      </x:c>
      <x:c r="M1441" s="76" t="str">
        <x:v>Current year</x:v>
      </x:c>
      <x:c r="N1441" s="99" t="str">
        <x:v>Printed amount independently located</x:v>
      </x:c>
      <x:c r="O1441" s="99" t="str">
        <x:v>Exact source amount found; audited year/current-comparative column recorded. Accounting subtotal tests performed separately.</x:v>
      </x:c>
      <x:c r="P1441" s="99" t="str">
        <x:v>enue reserve – Accumulated profits   44,490,598   33,617,243 
     84,272,208   73,398,853 
NON–CURRENT LIABILITIES  
 Long term loans – secured   6  24,208,633   29,908,287 
 Employee benefits 7  283,590   250,230 
 Lease liabilities 8  101,211   117,454 
 Deferred government grant 9  1,647,630   2,164,959 
 Deferred tax liabilities – ne</x:v>
      </x:c>
    </x:row>
    <x:row r="1442" ht="82" customHeight="1">
      <x:c r="A1442" s="168" t="str">
        <x:v>FCCL|lease_nc|2020</x:v>
      </x:c>
      <x:c r="B1442" s="168" t="str">
        <x:v>FCCL</x:v>
      </x:c>
      <x:c r="C1442" s="168" t="str">
        <x:v>FY2020</x:v>
      </x:c>
      <x:c r="D1442" s="168" t="str">
        <x:v>Lease liabilities (non-current)</x:v>
      </x:c>
      <x:c r="E1442" s="169" t="n">
        <x:v>57656</x:v>
      </x:c>
      <x:c r="F1442" s="169" t="n">
        <x:v>57656</x:v>
      </x:c>
      <x:c r="G1442" s="169" t="str">
        <x:v>Rs '000</x:v>
      </x:c>
      <x:c r="H1442" s="169" t="n">
        <x:f>F1442/1000</x:f>
        <x:v>57.656</x:v>
      </x:c>
      <x:c r="I1442" s="169" t="n">
        <x:f>FCCL!C44</x:f>
        <x:v>57.656</x:v>
      </x:c>
      <x:c r="J1442" s="169" t="n">
        <x:f>H1442-I1442</x:f>
        <x:v>0</x:v>
      </x:c>
      <x:c r="K1442" s="168" t="str">
        <x:v>FCCL-Annual-Report-2021.pdf</x:v>
      </x:c>
      <x:c r="L1442" s="168" t="n">
        <x:v>164</x:v>
      </x:c>
      <x:c r="M1442" s="168" t="str">
        <x:v>Comparative</x:v>
      </x:c>
      <x:c r="N1442" s="171" t="str">
        <x:v>Printed amount independently located</x:v>
      </x:c>
      <x:c r="O1442" s="171" t="str">
        <x:v>Exact source amount found; audited year/current-comparative column recorded. Accounting subtotal tests performed separately.</x:v>
      </x:c>
      <x:c r="P1442" s="171" t="str">
        <x:v>23,275,671  19,804,320 
LIABILITIES
Long term loans - secured  5  491,502  447,327 
Employee benefits 6  82,380  72,547 
Lease liability 7  73,593  57,656 
Deferred government grant  22,261  -   
Deferred tax liabilities - net 8  3,960,489 3,643,608 
 4,630,225  4,221,138 
Current liabilities
Trade and other payables 9  1,822,642  1</x:v>
      </x:c>
    </x:row>
    <x:row r="1443" ht="82" customHeight="1">
      <x:c r="A1443" s="76" t="str">
        <x:v>FCCL|lease_nc|2021</x:v>
      </x:c>
      <x:c r="B1443" s="76" t="str">
        <x:v>FCCL</x:v>
      </x:c>
      <x:c r="C1443" s="76" t="str">
        <x:v>FY2021</x:v>
      </x:c>
      <x:c r="D1443" s="76" t="str">
        <x:v>Lease liabilities (non-current)</x:v>
      </x:c>
      <x:c r="E1443" s="170" t="n">
        <x:v>73593</x:v>
      </x:c>
      <x:c r="F1443" s="170" t="n">
        <x:v>73593</x:v>
      </x:c>
      <x:c r="G1443" s="170" t="str">
        <x:v>Rs '000</x:v>
      </x:c>
      <x:c r="H1443" s="170" t="n">
        <x:f>F1443/1000</x:f>
        <x:v>73.593</x:v>
      </x:c>
      <x:c r="I1443" s="170" t="n">
        <x:f>FCCL!D44</x:f>
        <x:v>73.593</x:v>
      </x:c>
      <x:c r="J1443" s="170" t="n">
        <x:f>H1443-I1443</x:f>
        <x:v>0</x:v>
      </x:c>
      <x:c r="K1443" s="76" t="str">
        <x:v>FCCL-Annual-Report-2022.pdf</x:v>
      </x:c>
      <x:c r="L1443" s="76" t="n">
        <x:v>186</x:v>
      </x:c>
      <x:c r="M1443" s="76" t="str">
        <x:v>Comparative</x:v>
      </x:c>
      <x:c r="N1443" s="99" t="str">
        <x:v>Printed amount independently located</x:v>
      </x:c>
      <x:c r="O1443" s="99" t="str">
        <x:v>Exact source amount found; audited year/current-comparative column recorded. Accounting subtotal tests performed separately.</x:v>
      </x:c>
      <x:c r="P1443" s="99" t="str">
        <x:v>6 23,275,671 
NON-CURRENT LIABILITIES 
Long term loans - secured 6 19,555,997 491,502 
Employee benefits 7 179,291 82,380 
Lease liabilities 8 89,965 73,593 
Deferred government grant 9 1,982,301 6,607 
Deferred tax liabilities - net 10 7,433,214 3,960,489 
29,240,768 4,614,571 
CURRENT LIABILITIES
Loan from Parent - unsecured 11 7,38</x:v>
      </x:c>
    </x:row>
    <x:row r="1444" ht="82" customHeight="1">
      <x:c r="A1444" s="168" t="str">
        <x:v>FCCL|lease_nc|2022</x:v>
      </x:c>
      <x:c r="B1444" s="168" t="str">
        <x:v>FCCL</x:v>
      </x:c>
      <x:c r="C1444" s="168" t="str">
        <x:v>FY2022</x:v>
      </x:c>
      <x:c r="D1444" s="168" t="str">
        <x:v>Lease liabilities (non-current)</x:v>
      </x:c>
      <x:c r="E1444" s="169" t="n">
        <x:v>89965</x:v>
      </x:c>
      <x:c r="F1444" s="169" t="n">
        <x:v>89965</x:v>
      </x:c>
      <x:c r="G1444" s="169" t="str">
        <x:v>Rs '000</x:v>
      </x:c>
      <x:c r="H1444" s="169" t="n">
        <x:f>F1444/1000</x:f>
        <x:v>89.965</x:v>
      </x:c>
      <x:c r="I1444" s="169" t="n">
        <x:f>FCCL!E44</x:f>
        <x:v>89.965</x:v>
      </x:c>
      <x:c r="J1444" s="169" t="n">
        <x:f>H1444-I1444</x:f>
        <x:v>0</x:v>
      </x:c>
      <x:c r="K1444" s="168" t="str">
        <x:v>FCCL-Annual-Report-2023.pdf</x:v>
      </x:c>
      <x:c r="L1444" s="168" t="n">
        <x:v>208</x:v>
      </x:c>
      <x:c r="M1444" s="168" t="str">
        <x:v>Comparative</x:v>
      </x:c>
      <x:c r="N1444" s="171" t="str">
        <x:v>Printed amount independently located</x:v>
      </x:c>
      <x:c r="O1444" s="171" t="str">
        <x:v>Exact source amount found; audited year/current-comparative column recorded. Accounting subtotal tests performed separately.</x:v>
      </x:c>
      <x:c r="P1444" s="171" t="str">
        <x:v>115,693,998  85,481,265 
Long term loans - secured  5  31,777,087  19,555,997 
Employee benefits 6  211,595  179,291 
Lease liabilities 7  118,972  89,965 
Deferred government grant 8  2,745,849  1,982,301 
Deferred tax liabilities - net 9  10,312,402  7,433,214 
 45,165,905  29,240,768 
CURRENT LIABILITIES CURRENT ASSETS
Loan from</x:v>
      </x:c>
    </x:row>
    <x:row r="1445" ht="82" customHeight="1">
      <x:c r="A1445" s="76" t="str">
        <x:v>FCCL|lease_nc|2023</x:v>
      </x:c>
      <x:c r="B1445" s="76" t="str">
        <x:v>FCCL</x:v>
      </x:c>
      <x:c r="C1445" s="76" t="str">
        <x:v>FY2023</x:v>
      </x:c>
      <x:c r="D1445" s="76" t="str">
        <x:v>Lease liabilities (non-current)</x:v>
      </x:c>
      <x:c r="E1445" s="170" t="n">
        <x:v>118972</x:v>
      </x:c>
      <x:c r="F1445" s="170" t="n">
        <x:v>118972</x:v>
      </x:c>
      <x:c r="G1445" s="170" t="str">
        <x:v>Rs '000</x:v>
      </x:c>
      <x:c r="H1445" s="170" t="n">
        <x:f>F1445/1000</x:f>
        <x:v>118.972</x:v>
      </x:c>
      <x:c r="I1445" s="170" t="n">
        <x:f>FCCL!F44</x:f>
        <x:v>118.972</x:v>
      </x:c>
      <x:c r="J1445" s="170" t="n">
        <x:f>H1445-I1445</x:f>
        <x:v>0</x:v>
      </x:c>
      <x:c r="K1445" s="76" t="str">
        <x:v>FCCL-Annual-Report-2024.pdf</x:v>
      </x:c>
      <x:c r="L1445" s="76" t="n">
        <x:v>190</x:v>
      </x:c>
      <x:c r="M1445" s="76" t="str">
        <x:v>Comparative</x:v>
      </x:c>
      <x:c r="N1445" s="99" t="str">
        <x:v>Printed amount independently located</x:v>
      </x:c>
      <x:c r="O1445" s="99" t="str">
        <x:v>Exact source amount found; audited year/current-comparative column recorded. Accounting subtotal tests performed separately.</x:v>
      </x:c>
      <x:c r="P1445" s="99" t="str">
        <x:v>RENT LIABILITIES   
 Long term loans - secured   5  29,908,287   31,777,087 
 Employee benefits 6  250,230   211,595 
 Lease liabilities 7  117,454   118,972 
 Deferred government grant 8  2,164,959   2,745,849 
 Deferred tax liabilities - net 9  14,931,049   10,312,402 
     47,371,979   45,165,905 
CURRENT LIABILITIES  
 Loan from Pa</x:v>
      </x:c>
    </x:row>
    <x:row r="1446" ht="82" customHeight="1">
      <x:c r="A1446" s="168" t="str">
        <x:v>FCCL|lease_nc|2024</x:v>
      </x:c>
      <x:c r="B1446" s="168" t="str">
        <x:v>FCCL</x:v>
      </x:c>
      <x:c r="C1446" s="168" t="str">
        <x:v>FY2024</x:v>
      </x:c>
      <x:c r="D1446" s="168" t="str">
        <x:v>Lease liabilities (non-current)</x:v>
      </x:c>
      <x:c r="E1446" s="169" t="n">
        <x:v>117454</x:v>
      </x:c>
      <x:c r="F1446" s="169" t="n">
        <x:v>117454</x:v>
      </x:c>
      <x:c r="G1446" s="169" t="str">
        <x:v>Rs '000</x:v>
      </x:c>
      <x:c r="H1446" s="169" t="n">
        <x:f>F1446/1000</x:f>
        <x:v>117.454</x:v>
      </x:c>
      <x:c r="I1446" s="169" t="n">
        <x:f>FCCL!G44</x:f>
        <x:v>117.454</x:v>
      </x:c>
      <x:c r="J1446" s="169" t="n">
        <x:f>H1446-I1446</x:f>
        <x:v>0</x:v>
      </x:c>
      <x:c r="K1446" s="168" t="str">
        <x:v>FCCL-Annual-Report-2025.pdf</x:v>
      </x:c>
      <x:c r="L1446" s="168" t="n">
        <x:v>244</x:v>
      </x:c>
      <x:c r="M1446" s="168" t="str">
        <x:v>Comparative</x:v>
      </x:c>
      <x:c r="N1446" s="171" t="str">
        <x:v>Printed amount independently located</x:v>
      </x:c>
      <x:c r="O1446" s="171" t="str">
        <x:v>Exact source amount found; audited year/current-comparative column recorded. Accounting subtotal tests performed separately.</x:v>
      </x:c>
      <x:c r="P1446" s="171" t="str">
        <x:v>RRENT LIABILITIES  
 Long term loans – secured   6  24,208,633   29,908,287 
 Employee benefits 7  283,590   250,230 
 Lease liabilities 8  101,211   117,454 
 Deferred government grant 9  1,647,630   2,164,959 
 Deferred tax liabilities – net 10  19,694,422   14,931,049 
     45,935,486   47,371,979 
CURRENT LIABILITIES 
 Loan from Pa</x:v>
      </x:c>
    </x:row>
    <x:row r="1447" ht="82" customHeight="1">
      <x:c r="A1447" s="76" t="str">
        <x:v>FCCL|lease_nc|2025</x:v>
      </x:c>
      <x:c r="B1447" s="76" t="str">
        <x:v>FCCL</x:v>
      </x:c>
      <x:c r="C1447" s="76" t="str">
        <x:v>FY2025</x:v>
      </x:c>
      <x:c r="D1447" s="76" t="str">
        <x:v>Lease liabilities (non-current)</x:v>
      </x:c>
      <x:c r="E1447" s="170" t="n">
        <x:v>101211</x:v>
      </x:c>
      <x:c r="F1447" s="170" t="n">
        <x:v>101211</x:v>
      </x:c>
      <x:c r="G1447" s="170" t="str">
        <x:v>Rs '000</x:v>
      </x:c>
      <x:c r="H1447" s="170" t="n">
        <x:f>F1447/1000</x:f>
        <x:v>101.211</x:v>
      </x:c>
      <x:c r="I1447" s="170" t="n">
        <x:f>FCCL!H44</x:f>
        <x:v>101.211</x:v>
      </x:c>
      <x:c r="J1447" s="170" t="n">
        <x:f>H1447-I1447</x:f>
        <x:v>0</x:v>
      </x:c>
      <x:c r="K1447" s="76" t="str">
        <x:v>FCCL-Annual-Report-2025.pdf</x:v>
      </x:c>
      <x:c r="L1447" s="76" t="n">
        <x:v>244</x:v>
      </x:c>
      <x:c r="M1447" s="76" t="str">
        <x:v>Current year</x:v>
      </x:c>
      <x:c r="N1447" s="99" t="str">
        <x:v>Printed amount independently located</x:v>
      </x:c>
      <x:c r="O1447" s="99" t="str">
        <x:v>Exact source amount found; audited year/current-comparative column recorded. Accounting subtotal tests performed separately.</x:v>
      </x:c>
      <x:c r="P1447" s="99" t="str">
        <x:v>53 
NON–CURRENT LIABILITIES  
 Long term loans – secured   6  24,208,633   29,908,287 
 Employee benefits 7  283,590   250,230 
 Lease liabilities 8  101,211   117,454 
 Deferred government grant 9  1,647,630   2,164,959 
 Deferred tax liabilities – net 10  19,694,422   14,931,049 
     45,935,486   47,371,979 
CURRENT LIABILITIES 
 Lo</x:v>
      </x:c>
    </x:row>
    <x:row r="1448" ht="82" customHeight="1">
      <x:c r="A1448" s="168" t="str">
        <x:v>FCCL|grant_nc|2020</x:v>
      </x:c>
      <x:c r="B1448" s="168" t="str">
        <x:v>FCCL</x:v>
      </x:c>
      <x:c r="C1448" s="168" t="str">
        <x:v>FY2020</x:v>
      </x:c>
      <x:c r="D1448" s="168" t="str">
        <x:v>Deferred government grant (non-current)</x:v>
      </x:c>
      <x:c r="E1448" s="169" t="n">
        <x:v>0</x:v>
      </x:c>
      <x:c r="F1448" s="169" t="n">
        <x:v>0</x:v>
      </x:c>
      <x:c r="G1448" s="169" t="str">
        <x:v>Rs '000</x:v>
      </x:c>
      <x:c r="H1448" s="169" t="n">
        <x:f>F1448/1000</x:f>
        <x:v>0</x:v>
      </x:c>
      <x:c r="I1448" s="169" t="n">
        <x:f>FCCL!C45</x:f>
        <x:v>0</x:v>
      </x:c>
      <x:c r="J1448" s="169" t="n">
        <x:f>H1448-I1448</x:f>
        <x:v>0</x:v>
      </x:c>
      <x:c r="K1448" s="168" t="str">
        <x:v>FCCL-Annual-Report-2021.pdf</x:v>
      </x:c>
      <x:c r="L1448" s="168" t="n">
        <x:v>164</x:v>
      </x:c>
      <x:c r="M1448" s="168" t="str">
        <x:v>Comparative</x:v>
      </x:c>
      <x:c r="N1448" s="171" t="str">
        <x:v>Zero / no separate line in audited presentation</x:v>
      </x:c>
      <x:c r="O1448" s="171" t="str">
        <x:v>Zero classification checked within the audited statement/note and reconstructed statement totals; absence of a separate line does not imply a missing replacement estimate.</x:v>
      </x:c>
      <x:c r="P1448" s="171" t="str">
        <x:v>
FAUJI CEMENT COMPANY LIMITED
FOR THE YEAR ENDED 30 JUNE 2021
162
STATEMENT OF FINANCIAL POSITION
Restated
2021 2020
Note Rupees'000 Rupees'000
EQUITY | Deferred government grant</x:v>
      </x:c>
    </x:row>
    <x:row r="1449" ht="82" customHeight="1">
      <x:c r="A1449" s="76" t="str">
        <x:v>FCCL|grant_nc|2021</x:v>
      </x:c>
      <x:c r="B1449" s="76" t="str">
        <x:v>FCCL</x:v>
      </x:c>
      <x:c r="C1449" s="76" t="str">
        <x:v>FY2021</x:v>
      </x:c>
      <x:c r="D1449" s="76" t="str">
        <x:v>Deferred government grant (non-current)</x:v>
      </x:c>
      <x:c r="E1449" s="170" t="n">
        <x:v>6607</x:v>
      </x:c>
      <x:c r="F1449" s="170" t="n">
        <x:v>6607</x:v>
      </x:c>
      <x:c r="G1449" s="170" t="str">
        <x:v>Rs '000</x:v>
      </x:c>
      <x:c r="H1449" s="170" t="n">
        <x:f>F1449/1000</x:f>
        <x:v>6.607</x:v>
      </x:c>
      <x:c r="I1449" s="170" t="n">
        <x:f>FCCL!D45</x:f>
        <x:v>6.607</x:v>
      </x:c>
      <x:c r="J1449" s="170" t="n">
        <x:f>H1449-I1449</x:f>
        <x:v>0</x:v>
      </x:c>
      <x:c r="K1449" s="76" t="str">
        <x:v>FCCL-Annual-Report-2022.pdf</x:v>
      </x:c>
      <x:c r="L1449" s="76" t="n">
        <x:v>186</x:v>
      </x:c>
      <x:c r="M1449" s="76" t="str">
        <x:v>Comparative</x:v>
      </x:c>
      <x:c r="N1449" s="99" t="str">
        <x:v>Printed amount independently located</x:v>
      </x:c>
      <x:c r="O1449" s="99" t="str">
        <x:v>Exact source amount found; audited year/current-comparative column recorded. Accounting subtotal tests performed separately.</x:v>
      </x:c>
      <x:c r="P1449" s="99" t="str">
        <x:v>rm loans - secured 6 19,555,997 491,502 
Employee benefits 7 179,291 82,380 
Lease liabilities 8 89,965 73,593 
Deferred government grant 9 1,982,301 6,607 
Deferred tax liabilities - net 10 7,433,214 3,960,489 
29,240,768 4,614,571 
CURRENT LIABILITIES
Loan from Parent - unsecured 11 7,387,000 - 
Trade and other payables 12 6,917,14</x:v>
      </x:c>
    </x:row>
    <x:row r="1450" ht="82" customHeight="1">
      <x:c r="A1450" s="168" t="str">
        <x:v>FCCL|grant_nc|2022</x:v>
      </x:c>
      <x:c r="B1450" s="168" t="str">
        <x:v>FCCL</x:v>
      </x:c>
      <x:c r="C1450" s="168" t="str">
        <x:v>FY2022</x:v>
      </x:c>
      <x:c r="D1450" s="168" t="str">
        <x:v>Deferred government grant (non-current)</x:v>
      </x:c>
      <x:c r="E1450" s="169" t="n">
        <x:v>1982301</x:v>
      </x:c>
      <x:c r="F1450" s="169" t="n">
        <x:v>1982301</x:v>
      </x:c>
      <x:c r="G1450" s="169" t="str">
        <x:v>Rs '000</x:v>
      </x:c>
      <x:c r="H1450" s="169" t="n">
        <x:f>F1450/1000</x:f>
        <x:v>1982.301</x:v>
      </x:c>
      <x:c r="I1450" s="169" t="n">
        <x:f>FCCL!E45</x:f>
        <x:v>1982.301</x:v>
      </x:c>
      <x:c r="J1450" s="169" t="n">
        <x:f>H1450-I1450</x:f>
        <x:v>0</x:v>
      </x:c>
      <x:c r="K1450" s="168" t="str">
        <x:v>FCCL-Annual-Report-2023.pdf</x:v>
      </x:c>
      <x:c r="L1450" s="168" t="n">
        <x:v>208</x:v>
      </x:c>
      <x:c r="M1450" s="168" t="str">
        <x:v>Comparative</x:v>
      </x:c>
      <x:c r="N1450" s="171" t="str">
        <x:v>Printed amount independently located</x:v>
      </x:c>
      <x:c r="O1450" s="171" t="str">
        <x:v>Exact source amount found; audited year/current-comparative column recorded. Accounting subtotal tests performed separately.</x:v>
      </x:c>
      <x:c r="P1450" s="171" t="str">
        <x:v>ured  5  31,777,087  19,555,997 
Employee benefits 6  211,595  179,291 
Lease liabilities 7  118,972  89,965 
Deferred government grant 8  2,745,849  1,982,301 
Deferred tax liabilities - net 9  10,312,402  7,433,214 
 45,165,905  29,240,768 
CURRENT LIABILITIES CURRENT ASSETS
Loan from Parent - unsecured 10  7,387,000  7,387,000 
Trade</x:v>
      </x:c>
    </x:row>
    <x:row r="1451" ht="82" customHeight="1">
      <x:c r="A1451" s="76" t="str">
        <x:v>FCCL|grant_nc|2023</x:v>
      </x:c>
      <x:c r="B1451" s="76" t="str">
        <x:v>FCCL</x:v>
      </x:c>
      <x:c r="C1451" s="76" t="str">
        <x:v>FY2023</x:v>
      </x:c>
      <x:c r="D1451" s="76" t="str">
        <x:v>Deferred government grant (non-current)</x:v>
      </x:c>
      <x:c r="E1451" s="170" t="n">
        <x:v>2745849</x:v>
      </x:c>
      <x:c r="F1451" s="170" t="n">
        <x:v>2745849</x:v>
      </x:c>
      <x:c r="G1451" s="170" t="str">
        <x:v>Rs '000</x:v>
      </x:c>
      <x:c r="H1451" s="170" t="n">
        <x:f>F1451/1000</x:f>
        <x:v>2745.849</x:v>
      </x:c>
      <x:c r="I1451" s="170" t="n">
        <x:f>FCCL!F45</x:f>
        <x:v>2745.849</x:v>
      </x:c>
      <x:c r="J1451" s="170" t="n">
        <x:f>H1451-I1451</x:f>
        <x:v>0</x:v>
      </x:c>
      <x:c r="K1451" s="76" t="str">
        <x:v>FCCL-Annual-Report-2024.pdf</x:v>
      </x:c>
      <x:c r="L1451" s="76" t="n">
        <x:v>190</x:v>
      </x:c>
      <x:c r="M1451" s="76" t="str">
        <x:v>Comparative</x:v>
      </x:c>
      <x:c r="N1451" s="99" t="str">
        <x:v>Printed amount independently located</x:v>
      </x:c>
      <x:c r="O1451" s="99" t="str">
        <x:v>Exact source amount found; audited year/current-comparative column recorded. Accounting subtotal tests performed separately.</x:v>
      </x:c>
      <x:c r="P1451" s="99" t="str">
        <x:v>29,908,287   31,777,087 
 Employee benefits 6  250,230   211,595 
 Lease liabilities 7  117,454   118,972 
 Deferred government grant 8  2,164,959   2,745,849 
 Deferred tax liabilities - net 9  14,931,049   10,312,402 
     47,371,979   45,165,905 
CURRENT LIABILITIES  
 Loan from Parent - unsecured 10  7,387,000   7,387,000 
 Trade an</x:v>
      </x:c>
    </x:row>
    <x:row r="1452" ht="82" customHeight="1">
      <x:c r="A1452" s="168" t="str">
        <x:v>FCCL|grant_nc|2024</x:v>
      </x:c>
      <x:c r="B1452" s="168" t="str">
        <x:v>FCCL</x:v>
      </x:c>
      <x:c r="C1452" s="168" t="str">
        <x:v>FY2024</x:v>
      </x:c>
      <x:c r="D1452" s="168" t="str">
        <x:v>Deferred government grant (non-current)</x:v>
      </x:c>
      <x:c r="E1452" s="169" t="n">
        <x:v>2164959</x:v>
      </x:c>
      <x:c r="F1452" s="169" t="n">
        <x:v>2164959</x:v>
      </x:c>
      <x:c r="G1452" s="169" t="str">
        <x:v>Rs '000</x:v>
      </x:c>
      <x:c r="H1452" s="169" t="n">
        <x:f>F1452/1000</x:f>
        <x:v>2164.959</x:v>
      </x:c>
      <x:c r="I1452" s="169" t="n">
        <x:f>FCCL!G45</x:f>
        <x:v>2164.959</x:v>
      </x:c>
      <x:c r="J1452" s="169" t="n">
        <x:f>H1452-I1452</x:f>
        <x:v>0</x:v>
      </x:c>
      <x:c r="K1452" s="168" t="str">
        <x:v>FCCL-Annual-Report-2025.pdf</x:v>
      </x:c>
      <x:c r="L1452" s="168" t="n">
        <x:v>244</x:v>
      </x:c>
      <x:c r="M1452" s="168" t="str">
        <x:v>Comparative</x:v>
      </x:c>
      <x:c r="N1452" s="171" t="str">
        <x:v>Printed amount independently located</x:v>
      </x:c>
      <x:c r="O1452" s="171" t="str">
        <x:v>Exact source amount found; audited year/current-comparative column recorded. Accounting subtotal tests performed separately.</x:v>
      </x:c>
      <x:c r="P1452" s="171" t="str">
        <x:v>24,208,633   29,908,287 
 Employee benefits 7  283,590   250,230 
 Lease liabilities 8  101,211   117,454 
 Deferred government grant 9  1,647,630   2,164,959 
 Deferred tax liabilities – net 10  19,694,422   14,931,049 
     45,935,486   47,371,979 
CURRENT LIABILITIES 
 Loan from Parent – unsecured 11  7,572,186   7,387,000 
 Trade an</x:v>
      </x:c>
    </x:row>
    <x:row r="1453" ht="82" customHeight="1">
      <x:c r="A1453" s="76" t="str">
        <x:v>FCCL|grant_nc|2025</x:v>
      </x:c>
      <x:c r="B1453" s="76" t="str">
        <x:v>FCCL</x:v>
      </x:c>
      <x:c r="C1453" s="76" t="str">
        <x:v>FY2025</x:v>
      </x:c>
      <x:c r="D1453" s="76" t="str">
        <x:v>Deferred government grant (non-current)</x:v>
      </x:c>
      <x:c r="E1453" s="170" t="n">
        <x:v>1647630</x:v>
      </x:c>
      <x:c r="F1453" s="170" t="n">
        <x:v>1647630</x:v>
      </x:c>
      <x:c r="G1453" s="170" t="str">
        <x:v>Rs '000</x:v>
      </x:c>
      <x:c r="H1453" s="170" t="n">
        <x:f>F1453/1000</x:f>
        <x:v>1647.63</x:v>
      </x:c>
      <x:c r="I1453" s="170" t="n">
        <x:f>FCCL!H45</x:f>
        <x:v>1647.63</x:v>
      </x:c>
      <x:c r="J1453" s="170" t="n">
        <x:f>H1453-I1453</x:f>
        <x:v>0</x:v>
      </x:c>
      <x:c r="K1453" s="76" t="str">
        <x:v>FCCL-Annual-Report-2025.pdf</x:v>
      </x:c>
      <x:c r="L1453" s="76" t="n">
        <x:v>244</x:v>
      </x:c>
      <x:c r="M1453" s="76" t="str">
        <x:v>Current year</x:v>
      </x:c>
      <x:c r="N1453" s="99" t="str">
        <x:v>Printed amount independently located</x:v>
      </x:c>
      <x:c r="O1453" s="99" t="str">
        <x:v>Exact source amount found; audited year/current-comparative column recorded. Accounting subtotal tests performed separately.</x:v>
      </x:c>
      <x:c r="P1453" s="99" t="str">
        <x:v>secured   6  24,208,633   29,908,287 
 Employee benefits 7  283,590   250,230 
 Lease liabilities 8  101,211   117,454 
 Deferred government grant 9  1,647,630   2,164,959 
 Deferred tax liabilities – net 10  19,694,422   14,931,049 
     45,935,486   47,371,979 
CURRENT LIABILITIES 
 Loan from Parent – unsecured 11  7,572,186   7,387,00</x:v>
      </x:c>
    </x:row>
    <x:row r="1454" ht="82" customHeight="1">
      <x:c r="A1454" s="168" t="str">
        <x:v>FCCL|def_tax|2020</x:v>
      </x:c>
      <x:c r="B1454" s="168" t="str">
        <x:v>FCCL</x:v>
      </x:c>
      <x:c r="C1454" s="168" t="str">
        <x:v>FY2020</x:v>
      </x:c>
      <x:c r="D1454" s="168" t="str">
        <x:v>Deferred tax liability</x:v>
      </x:c>
      <x:c r="E1454" s="169" t="n">
        <x:v>3643608</x:v>
      </x:c>
      <x:c r="F1454" s="169" t="n">
        <x:v>3643608</x:v>
      </x:c>
      <x:c r="G1454" s="169" t="str">
        <x:v>Rs '000</x:v>
      </x:c>
      <x:c r="H1454" s="169" t="n">
        <x:f>F1454/1000</x:f>
        <x:v>3643.608</x:v>
      </x:c>
      <x:c r="I1454" s="169" t="n">
        <x:f>FCCL!C46</x:f>
        <x:v>3643.608</x:v>
      </x:c>
      <x:c r="J1454" s="169" t="n">
        <x:f>H1454-I1454</x:f>
        <x:v>0</x:v>
      </x:c>
      <x:c r="K1454" s="168" t="str">
        <x:v>FCCL-Annual-Report-2021.pdf</x:v>
      </x:c>
      <x:c r="L1454" s="168" t="n">
        <x:v>164</x:v>
      </x:c>
      <x:c r="M1454" s="168" t="str">
        <x:v>Comparative</x:v>
      </x:c>
      <x:c r="N1454" s="171" t="str">
        <x:v>Printed amount independently located</x:v>
      </x:c>
      <x:c r="O1454" s="171" t="str">
        <x:v>Exact source amount found; audited year/current-comparative column recorded. Accounting subtotal tests performed separately.</x:v>
      </x:c>
      <x:c r="P1454" s="171" t="str">
        <x:v>ee benefits 6  82,380  72,547 
Lease liability 7  73,593  57,656 
Deferred government grant  22,261  -   
Deferred tax liabilities - net 8  3,960,489 3,643,608 
 4,630,225  4,221,138 
Current liabilities
Trade and other payables 9  1,822,642  1,163,246 
Accrued liabilities  1,554,895  1,122,217 
Security deposits payable 10  260,652  253</x:v>
      </x:c>
    </x:row>
    <x:row r="1455" ht="82" customHeight="1">
      <x:c r="A1455" s="76" t="str">
        <x:v>FCCL|def_tax|2021</x:v>
      </x:c>
      <x:c r="B1455" s="76" t="str">
        <x:v>FCCL</x:v>
      </x:c>
      <x:c r="C1455" s="76" t="str">
        <x:v>FY2021</x:v>
      </x:c>
      <x:c r="D1455" s="76" t="str">
        <x:v>Deferred tax liability</x:v>
      </x:c>
      <x:c r="E1455" s="170" t="n">
        <x:v>3960489</x:v>
      </x:c>
      <x:c r="F1455" s="170" t="n">
        <x:v>3960489</x:v>
      </x:c>
      <x:c r="G1455" s="170" t="str">
        <x:v>Rs '000</x:v>
      </x:c>
      <x:c r="H1455" s="170" t="n">
        <x:f>F1455/1000</x:f>
        <x:v>3960.489</x:v>
      </x:c>
      <x:c r="I1455" s="170" t="n">
        <x:f>FCCL!D46</x:f>
        <x:v>3960.489</x:v>
      </x:c>
      <x:c r="J1455" s="170" t="n">
        <x:f>H1455-I1455</x:f>
        <x:v>0</x:v>
      </x:c>
      <x:c r="K1455" s="76" t="str">
        <x:v>FCCL-Annual-Report-2022.pdf</x:v>
      </x:c>
      <x:c r="L1455" s="76" t="n">
        <x:v>186</x:v>
      </x:c>
      <x:c r="M1455" s="76" t="str">
        <x:v>Comparative</x:v>
      </x:c>
      <x:c r="N1455" s="99" t="str">
        <x:v>Printed amount independently located</x:v>
      </x:c>
      <x:c r="O1455" s="99" t="str">
        <x:v>Exact source amount found; audited year/current-comparative column recorded. Accounting subtotal tests performed separately.</x:v>
      </x:c>
      <x:c r="P1455" s="99" t="str">
        <x:v>enefits 7 179,291 82,380 
Lease liabilities 8 89,965 73,593 
Deferred government grant 9 1,982,301 6,607 
Deferred tax liabilities - net 10 7,433,214 3,960,489 
29,240,768 4,614,571 
CURRENT LIABILITIES
Loan from Parent - unsecured 11 7,387,000 - 
Trade and other payables 12 6,917,149 1,822,642 
Accrued liabilities 4,321,163 1,554,895 
S</x:v>
      </x:c>
    </x:row>
    <x:row r="1456" ht="82" customHeight="1">
      <x:c r="A1456" s="168" t="str">
        <x:v>FCCL|def_tax|2022</x:v>
      </x:c>
      <x:c r="B1456" s="168" t="str">
        <x:v>FCCL</x:v>
      </x:c>
      <x:c r="C1456" s="168" t="str">
        <x:v>FY2022</x:v>
      </x:c>
      <x:c r="D1456" s="168" t="str">
        <x:v>Deferred tax liability</x:v>
      </x:c>
      <x:c r="E1456" s="169" t="n">
        <x:v>7433214</x:v>
      </x:c>
      <x:c r="F1456" s="169" t="n">
        <x:v>7433214</x:v>
      </x:c>
      <x:c r="G1456" s="169" t="str">
        <x:v>Rs '000</x:v>
      </x:c>
      <x:c r="H1456" s="169" t="n">
        <x:f>F1456/1000</x:f>
        <x:v>7433.214</x:v>
      </x:c>
      <x:c r="I1456" s="169" t="n">
        <x:f>FCCL!E46</x:f>
        <x:v>7433.214</x:v>
      </x:c>
      <x:c r="J1456" s="169" t="n">
        <x:f>H1456-I1456</x:f>
        <x:v>0</x:v>
      </x:c>
      <x:c r="K1456" s="168" t="str">
        <x:v>FCCL-Annual-Report-2023.pdf</x:v>
      </x:c>
      <x:c r="L1456" s="168" t="n">
        <x:v>208</x:v>
      </x:c>
      <x:c r="M1456" s="168" t="str">
        <x:v>Comparative</x:v>
      </x:c>
      <x:c r="N1456" s="171" t="str">
        <x:v>Printed amount independently located</x:v>
      </x:c>
      <x:c r="O1456" s="171" t="str">
        <x:v>Exact source amount found; audited year/current-comparative column recorded. Accounting subtotal tests performed separately.</x:v>
      </x:c>
      <x:c r="P1456" s="171" t="str">
        <x:v>,595  179,291 
Lease liabilities 7  118,972  89,965 
Deferred government grant 8  2,745,849  1,982,301 
Deferred tax liabilities - net 9  10,312,402  7,433,214 
 45,165,905  29,240,768 
CURRENT LIABILITIES CURRENT ASSETS
Loan from Parent - unsecured 10  7,387,000  7,387,000 
Trade and other payables 11  6,516,462  6,917,149 Stores, spare</x:v>
      </x:c>
    </x:row>
    <x:row r="1457" ht="82" customHeight="1">
      <x:c r="A1457" s="76" t="str">
        <x:v>FCCL|def_tax|2023</x:v>
      </x:c>
      <x:c r="B1457" s="76" t="str">
        <x:v>FCCL</x:v>
      </x:c>
      <x:c r="C1457" s="76" t="str">
        <x:v>FY2023</x:v>
      </x:c>
      <x:c r="D1457" s="76" t="str">
        <x:v>Deferred tax liability</x:v>
      </x:c>
      <x:c r="E1457" s="170" t="n">
        <x:v>10312402</x:v>
      </x:c>
      <x:c r="F1457" s="170" t="n">
        <x:v>10312402</x:v>
      </x:c>
      <x:c r="G1457" s="170" t="str">
        <x:v>Rs '000</x:v>
      </x:c>
      <x:c r="H1457" s="170" t="n">
        <x:f>F1457/1000</x:f>
        <x:v>10312.402</x:v>
      </x:c>
      <x:c r="I1457" s="170" t="n">
        <x:f>FCCL!F46</x:f>
        <x:v>10312.402</x:v>
      </x:c>
      <x:c r="J1457" s="170" t="n">
        <x:f>H1457-I1457</x:f>
        <x:v>0</x:v>
      </x:c>
      <x:c r="K1457" s="76" t="str">
        <x:v>FCCL-Annual-Report-2024.pdf</x:v>
      </x:c>
      <x:c r="L1457" s="76" t="n">
        <x:v>190</x:v>
      </x:c>
      <x:c r="M1457" s="76" t="str">
        <x:v>Comparative</x:v>
      </x:c>
      <x:c r="N1457" s="99" t="str">
        <x:v>Printed amount independently located</x:v>
      </x:c>
      <x:c r="O1457" s="99" t="str">
        <x:v>Exact source amount found; audited year/current-comparative column recorded. Accounting subtotal tests performed separately.</x:v>
      </x:c>
      <x:c r="P1457" s="99" t="str">
        <x:v>11,595 
 Lease liabilities 7  117,454   118,972 
 Deferred government grant 8  2,164,959   2,745,849 
 Deferred tax liabilities - net 9  14,931,049   10,312,402 
     47,371,979   45,165,905 
CURRENT LIABILITIES  
 Loan from Parent - unsecured 10  7,387,000   7,387,000 
 Trade and other payables 11  5,966,191   6,516,462 
 Accrued liabili</x:v>
      </x:c>
    </x:row>
    <x:row r="1458" ht="82" customHeight="1">
      <x:c r="A1458" s="168" t="str">
        <x:v>FCCL|def_tax|2024</x:v>
      </x:c>
      <x:c r="B1458" s="168" t="str">
        <x:v>FCCL</x:v>
      </x:c>
      <x:c r="C1458" s="168" t="str">
        <x:v>FY2024</x:v>
      </x:c>
      <x:c r="D1458" s="168" t="str">
        <x:v>Deferred tax liability</x:v>
      </x:c>
      <x:c r="E1458" s="169" t="n">
        <x:v>14931049</x:v>
      </x:c>
      <x:c r="F1458" s="169" t="n">
        <x:v>14931049</x:v>
      </x:c>
      <x:c r="G1458" s="169" t="str">
        <x:v>Rs '000</x:v>
      </x:c>
      <x:c r="H1458" s="169" t="n">
        <x:f>F1458/1000</x:f>
        <x:v>14931.049</x:v>
      </x:c>
      <x:c r="I1458" s="169" t="n">
        <x:f>FCCL!G46</x:f>
        <x:v>14931.049</x:v>
      </x:c>
      <x:c r="J1458" s="169" t="n">
        <x:f>H1458-I1458</x:f>
        <x:v>0</x:v>
      </x:c>
      <x:c r="K1458" s="168" t="str">
        <x:v>FCCL-Annual-Report-2025.pdf</x:v>
      </x:c>
      <x:c r="L1458" s="168" t="n">
        <x:v>244</x:v>
      </x:c>
      <x:c r="M1458" s="168" t="str">
        <x:v>Comparative</x:v>
      </x:c>
      <x:c r="N1458" s="171" t="str">
        <x:v>Printed amount independently located</x:v>
      </x:c>
      <x:c r="O1458" s="171" t="str">
        <x:v>Exact source amount found; audited year/current-comparative column recorded. Accounting subtotal tests performed separately.</x:v>
      </x:c>
      <x:c r="P1458" s="171" t="str">
        <x:v>0,230 
 Lease liabilities 8  101,211   117,454 
 Deferred government grant 9  1,647,630   2,164,959 
 Deferred tax liabilities – net 10  19,694,422   14,931,049 
     45,935,486   47,371,979 
CURRENT LIABILITIES 
 Loan from Parent – unsecured 11  7,572,186   7,387,000 
 Trade and other payables 12  3,934,508   6,108,790 
 Accrued liabilit</x:v>
      </x:c>
    </x:row>
    <x:row r="1459" ht="82" customHeight="1">
      <x:c r="A1459" s="76" t="str">
        <x:v>FCCL|def_tax|2025</x:v>
      </x:c>
      <x:c r="B1459" s="76" t="str">
        <x:v>FCCL</x:v>
      </x:c>
      <x:c r="C1459" s="76" t="str">
        <x:v>FY2025</x:v>
      </x:c>
      <x:c r="D1459" s="76" t="str">
        <x:v>Deferred tax liability</x:v>
      </x:c>
      <x:c r="E1459" s="170" t="n">
        <x:v>19694422</x:v>
      </x:c>
      <x:c r="F1459" s="170" t="n">
        <x:v>19694422</x:v>
      </x:c>
      <x:c r="G1459" s="170" t="str">
        <x:v>Rs '000</x:v>
      </x:c>
      <x:c r="H1459" s="170" t="n">
        <x:f>F1459/1000</x:f>
        <x:v>19694.422</x:v>
      </x:c>
      <x:c r="I1459" s="170" t="n">
        <x:f>FCCL!H46</x:f>
        <x:v>19694.422</x:v>
      </x:c>
      <x:c r="J1459" s="170" t="n">
        <x:f>H1459-I1459</x:f>
        <x:v>0</x:v>
      </x:c>
      <x:c r="K1459" s="76" t="str">
        <x:v>FCCL-Annual-Report-2025.pdf</x:v>
      </x:c>
      <x:c r="L1459" s="76" t="n">
        <x:v>244</x:v>
      </x:c>
      <x:c r="M1459" s="76" t="str">
        <x:v>Current year</x:v>
      </x:c>
      <x:c r="N1459" s="99" t="str">
        <x:v>Printed amount independently located</x:v>
      </x:c>
      <x:c r="O1459" s="99" t="str">
        <x:v>Exact source amount found; audited year/current-comparative column recorded. Accounting subtotal tests performed separately.</x:v>
      </x:c>
      <x:c r="P1459" s="99" t="str">
        <x:v>283,590   250,230 
 Lease liabilities 8  101,211   117,454 
 Deferred government grant 9  1,647,630   2,164,959 
 Deferred tax liabilities – net 10  19,694,422   14,931,049 
     45,935,486   47,371,979 
CURRENT LIABILITIES 
 Loan from Parent – unsecured 11  7,572,186   7,387,000 
 Trade and other payables 12  3,934,508   6,108,790 
 Acc</x:v>
      </x:c>
    </x:row>
    <x:row r="1460" ht="82" customHeight="1">
      <x:c r="A1460" s="168" t="str">
        <x:v>FCCL|ncl_other|2020</x:v>
      </x:c>
      <x:c r="B1460" s="168" t="str">
        <x:v>FCCL</x:v>
      </x:c>
      <x:c r="C1460" s="168" t="str">
        <x:v>FY2020</x:v>
      </x:c>
      <x:c r="D1460" s="168" t="str">
        <x:v>Other non-current liabilities</x:v>
      </x:c>
      <x:c r="E1460" s="169" t="n">
        <x:v>72547</x:v>
      </x:c>
      <x:c r="F1460" s="169" t="n">
        <x:v>72547</x:v>
      </x:c>
      <x:c r="G1460" s="169" t="str">
        <x:v>Rs '000</x:v>
      </x:c>
      <x:c r="H1460" s="169" t="n">
        <x:f>F1460/1000</x:f>
        <x:v>72.547</x:v>
      </x:c>
      <x:c r="I1460" s="169" t="n">
        <x:f>FCCL!C47</x:f>
        <x:v>72.547</x:v>
      </x:c>
      <x:c r="J1460" s="169" t="n">
        <x:f>H1460-I1460</x:f>
        <x:v>0</x:v>
      </x:c>
      <x:c r="K1460" s="168" t="str">
        <x:v>FCCL-Annual-Report-2021.pdf</x:v>
      </x:c>
      <x:c r="L1460" s="168" t="n">
        <x:v>164</x:v>
      </x:c>
      <x:c r="M1460" s="168" t="str">
        <x:v>Comparative</x:v>
      </x:c>
      <x:c r="N1460" s="171" t="str">
        <x:v>Printed amount independently located</x:v>
      </x:c>
      <x:c r="O1460" s="171" t="str">
        <x:v>Exact source amount found; audited year/current-comparative column recorded. Accounting subtotal tests performed separately.</x:v>
      </x:c>
      <x:c r="P1460" s="171" t="str">
        <x:v>10,841,906  7,370,555 
Total equity  23,275,671  19,804,320 
LIABILITIES
Long term loans - secured  5  491,502  447,327 
Employee benefits 6  82,380  72,547 
Lease liability 7  73,593  57,656 
Deferred government grant  22,261  -   
Deferred tax liabilities - net 8  3,960,489 3,643,608 
 4,630,225  4,221,138 
Current liabilities
Trade</x:v>
      </x:c>
    </x:row>
    <x:row r="1461" ht="82" customHeight="1">
      <x:c r="A1461" s="76" t="str">
        <x:v>FCCL|ncl_other|2021</x:v>
      </x:c>
      <x:c r="B1461" s="76" t="str">
        <x:v>FCCL</x:v>
      </x:c>
      <x:c r="C1461" s="76" t="str">
        <x:v>FY2021</x:v>
      </x:c>
      <x:c r="D1461" s="76" t="str">
        <x:v>Other non-current liabilities</x:v>
      </x:c>
      <x:c r="E1461" s="170" t="n">
        <x:v>82380</x:v>
      </x:c>
      <x:c r="F1461" s="170" t="n">
        <x:v>82380</x:v>
      </x:c>
      <x:c r="G1461" s="170" t="str">
        <x:v>Rs '000</x:v>
      </x:c>
      <x:c r="H1461" s="170" t="n">
        <x:f>F1461/1000</x:f>
        <x:v>82.38</x:v>
      </x:c>
      <x:c r="I1461" s="170" t="n">
        <x:f>FCCL!D47</x:f>
        <x:v>82.38</x:v>
      </x:c>
      <x:c r="J1461" s="170" t="n">
        <x:f>H1461-I1461</x:f>
        <x:v>0</x:v>
      </x:c>
      <x:c r="K1461" s="76" t="str">
        <x:v>FCCL-Annual-Report-2022.pdf</x:v>
      </x:c>
      <x:c r="L1461" s="76" t="n">
        <x:v>186</x:v>
      </x:c>
      <x:c r="M1461" s="76" t="str">
        <x:v>Comparative</x:v>
      </x:c>
      <x:c r="N1461" s="99" t="str">
        <x:v>Printed amount independently located</x:v>
      </x:c>
      <x:c r="O1461" s="99" t="str">
        <x:v>Exact source amount found; audited year/current-comparative column recorded. Accounting subtotal tests performed separately.</x:v>
      </x:c>
      <x:c r="P1461" s="99" t="str">
        <x:v>it 17,954,446 10,841,906 
57,736,056 23,275,671 
NON-CURRENT LIABILITIES 
Long term loans - secured 6 19,555,997 491,502 
Employee benefits 7 179,291 82,380 
Lease liabilities 8 89,965 73,593 
Deferred government grant 9 1,982,301 6,607 
Deferred tax liabilities - net 10 7,433,214 3,960,489 
29,240,768 4,614,571 
CURRENT LIABILITIES
L</x:v>
      </x:c>
    </x:row>
    <x:row r="1462" ht="82" customHeight="1">
      <x:c r="A1462" s="168" t="str">
        <x:v>FCCL|ncl_other|2022</x:v>
      </x:c>
      <x:c r="B1462" s="168" t="str">
        <x:v>FCCL</x:v>
      </x:c>
      <x:c r="C1462" s="168" t="str">
        <x:v>FY2022</x:v>
      </x:c>
      <x:c r="D1462" s="168" t="str">
        <x:v>Other non-current liabilities</x:v>
      </x:c>
      <x:c r="E1462" s="169" t="n">
        <x:v>179291</x:v>
      </x:c>
      <x:c r="F1462" s="169" t="n">
        <x:v>179291</x:v>
      </x:c>
      <x:c r="G1462" s="169" t="str">
        <x:v>Rs '000</x:v>
      </x:c>
      <x:c r="H1462" s="169" t="n">
        <x:f>F1462/1000</x:f>
        <x:v>179.291</x:v>
      </x:c>
      <x:c r="I1462" s="169" t="n">
        <x:f>FCCL!E47</x:f>
        <x:v>179.291</x:v>
      </x:c>
      <x:c r="J1462" s="169" t="n">
        <x:f>H1462-I1462</x:f>
        <x:v>0</x:v>
      </x:c>
      <x:c r="K1462" s="168" t="str">
        <x:v>FCCL-Annual-Report-2023.pdf</x:v>
      </x:c>
      <x:c r="L1462" s="168" t="n">
        <x:v>208</x:v>
      </x:c>
      <x:c r="M1462" s="168" t="str">
        <x:v>Comparative</x:v>
      </x:c>
      <x:c r="N1462" s="171" t="str">
        <x:v>Printed amount independently located</x:v>
      </x:c>
      <x:c r="O1462" s="171" t="str">
        <x:v>Exact source amount found; audited year/current-comparative column recorded. Accounting subtotal tests performed separately.</x:v>
      </x:c>
      <x:c r="P1462" s="171" t="str">
        <x:v>ate  -  66,657 
NON-CURRENT LIABILITIES  115,693,998  85,481,265 
Long term loans - secured  5  31,777,087  19,555,997 
Employee benefits 6  211,595  179,291 
Lease liabilities 7  118,972  89,965 
Deferred government grant 8  2,745,849  1,982,301 
Deferred tax liabilities - net 9  10,312,402  7,433,214 
 45,165,905  29,240,768 
CURRENT</x:v>
      </x:c>
    </x:row>
    <x:row r="1463" ht="82" customHeight="1">
      <x:c r="A1463" s="76" t="str">
        <x:v>FCCL|ncl_other|2023</x:v>
      </x:c>
      <x:c r="B1463" s="76" t="str">
        <x:v>FCCL</x:v>
      </x:c>
      <x:c r="C1463" s="76" t="str">
        <x:v>FY2023</x:v>
      </x:c>
      <x:c r="D1463" s="76" t="str">
        <x:v>Other non-current liabilities</x:v>
      </x:c>
      <x:c r="E1463" s="170" t="n">
        <x:v>211595</x:v>
      </x:c>
      <x:c r="F1463" s="170" t="n">
        <x:v>211595</x:v>
      </x:c>
      <x:c r="G1463" s="170" t="str">
        <x:v>Rs '000</x:v>
      </x:c>
      <x:c r="H1463" s="170" t="n">
        <x:f>F1463/1000</x:f>
        <x:v>211.595</x:v>
      </x:c>
      <x:c r="I1463" s="170" t="n">
        <x:f>FCCL!F47</x:f>
        <x:v>211.595</x:v>
      </x:c>
      <x:c r="J1463" s="170" t="n">
        <x:f>H1463-I1463</x:f>
        <x:v>0</x:v>
      </x:c>
      <x:c r="K1463" s="76" t="str">
        <x:v>FCCL-Annual-Report-2024.pdf</x:v>
      </x:c>
      <x:c r="L1463" s="76" t="n">
        <x:v>190</x:v>
      </x:c>
      <x:c r="M1463" s="76" t="str">
        <x:v>Comparative</x:v>
      </x:c>
      <x:c r="N1463" s="99" t="str">
        <x:v>Printed amount independently located</x:v>
      </x:c>
      <x:c r="O1463" s="99" t="str">
        <x:v>Exact source amount found; audited year/current-comparative column recorded. Accounting subtotal tests performed separately.</x:v>
      </x:c>
      <x:c r="P1463" s="99" t="str">
        <x:v>73,398,853   65,175,737 
NON-CURRENT LIABILITIES   
 Long term loans - secured   5  29,908,287   31,777,087 
 Employee benefits 6  250,230   211,595 
 Lease liabilities 7  117,454   118,972 
 Deferred government grant 8  2,164,959   2,745,849 
 Deferred tax liabilities - net 9  14,931,049   10,312,402 
     47,371,979   45,165</x:v>
      </x:c>
    </x:row>
    <x:row r="1464" ht="82" customHeight="1">
      <x:c r="A1464" s="168" t="str">
        <x:v>FCCL|ncl_other|2024</x:v>
      </x:c>
      <x:c r="B1464" s="168" t="str">
        <x:v>FCCL</x:v>
      </x:c>
      <x:c r="C1464" s="168" t="str">
        <x:v>FY2024</x:v>
      </x:c>
      <x:c r="D1464" s="168" t="str">
        <x:v>Other non-current liabilities</x:v>
      </x:c>
      <x:c r="E1464" s="169" t="n">
        <x:v>250230</x:v>
      </x:c>
      <x:c r="F1464" s="169" t="n">
        <x:v>250230</x:v>
      </x:c>
      <x:c r="G1464" s="169" t="str">
        <x:v>Rs '000</x:v>
      </x:c>
      <x:c r="H1464" s="169" t="n">
        <x:f>F1464/1000</x:f>
        <x:v>250.23</x:v>
      </x:c>
      <x:c r="I1464" s="169" t="n">
        <x:f>FCCL!G47</x:f>
        <x:v>250.23</x:v>
      </x:c>
      <x:c r="J1464" s="169" t="n">
        <x:f>H1464-I1464</x:f>
        <x:v>0</x:v>
      </x:c>
      <x:c r="K1464" s="168" t="str">
        <x:v>FCCL-Annual-Report-2025.pdf</x:v>
      </x:c>
      <x:c r="L1464" s="168" t="n">
        <x:v>244</x:v>
      </x:c>
      <x:c r="M1464" s="168" t="str">
        <x:v>Comparative</x:v>
      </x:c>
      <x:c r="N1464" s="171" t="str">
        <x:v>Printed amount independently located</x:v>
      </x:c>
      <x:c r="O1464" s="171" t="str">
        <x:v>Exact source amount found; audited year/current-comparative column recorded. Accounting subtotal tests performed separately.</x:v>
      </x:c>
      <x:c r="P1464" s="171" t="str">
        <x:v>243 
     84,272,208   73,398,853 
NON–CURRENT LIABILITIES  
 Long term loans – secured   6  24,208,633   29,908,287 
 Employee benefits 7  283,590   250,230 
 Lease liabilities 8  101,211   117,454 
 Deferred government grant 9  1,647,630   2,164,959 
 Deferred tax liabilities – net 10  19,694,422   14,931,049 
     45,935,486   47,37</x:v>
      </x:c>
    </x:row>
    <x:row r="1465" ht="82" customHeight="1">
      <x:c r="A1465" s="76" t="str">
        <x:v>FCCL|ncl_other|2025</x:v>
      </x:c>
      <x:c r="B1465" s="76" t="str">
        <x:v>FCCL</x:v>
      </x:c>
      <x:c r="C1465" s="76" t="str">
        <x:v>FY2025</x:v>
      </x:c>
      <x:c r="D1465" s="76" t="str">
        <x:v>Other non-current liabilities</x:v>
      </x:c>
      <x:c r="E1465" s="170" t="n">
        <x:v>283590</x:v>
      </x:c>
      <x:c r="F1465" s="170" t="n">
        <x:v>283590</x:v>
      </x:c>
      <x:c r="G1465" s="170" t="str">
        <x:v>Rs '000</x:v>
      </x:c>
      <x:c r="H1465" s="170" t="n">
        <x:f>F1465/1000</x:f>
        <x:v>283.59</x:v>
      </x:c>
      <x:c r="I1465" s="170" t="n">
        <x:f>FCCL!H47</x:f>
        <x:v>283.59</x:v>
      </x:c>
      <x:c r="J1465" s="170" t="n">
        <x:f>H1465-I1465</x:f>
        <x:v>0</x:v>
      </x:c>
      <x:c r="K1465" s="76" t="str">
        <x:v>FCCL-Annual-Report-2025.pdf</x:v>
      </x:c>
      <x:c r="L1465" s="76" t="n">
        <x:v>244</x:v>
      </x:c>
      <x:c r="M1465" s="76" t="str">
        <x:v>Current year</x:v>
      </x:c>
      <x:c r="N1465" s="99" t="str">
        <x:v>Printed amount independently located</x:v>
      </x:c>
      <x:c r="O1465" s="99" t="str">
        <x:v>Exact source amount found; audited year/current-comparative column recorded. Accounting subtotal tests performed separately.</x:v>
      </x:c>
      <x:c r="P1465" s="99" t="str">
        <x:v>33,617,243 
     84,272,208   73,398,853 
NON–CURRENT LIABILITIES  
 Long term loans – secured   6  24,208,633   29,908,287 
 Employee benefits 7  283,590   250,230 
 Lease liabilities 8  101,211   117,454 
 Deferred government grant 9  1,647,630   2,164,959 
 Deferred tax liabilities – net 10  19,694,422   14,931,049 
     45,935,4</x:v>
      </x:c>
    </x:row>
    <x:row r="1466" ht="82" customHeight="1">
      <x:c r="A1466" s="168" t="str">
        <x:v>FCCL|tap|2020</x:v>
      </x:c>
      <x:c r="B1466" s="168" t="str">
        <x:v>FCCL</x:v>
      </x:c>
      <x:c r="C1466" s="168" t="str">
        <x:v>FY2020</x:v>
      </x:c>
      <x:c r="D1466" s="168" t="str">
        <x:v>Trade and other payables</x:v>
      </x:c>
      <x:c r="E1466" s="169" t="n">
        <x:v>1163246</x:v>
      </x:c>
      <x:c r="F1466" s="169" t="n">
        <x:v>1163246</x:v>
      </x:c>
      <x:c r="G1466" s="169" t="str">
        <x:v>Rs '000</x:v>
      </x:c>
      <x:c r="H1466" s="169" t="n">
        <x:f>F1466/1000</x:f>
        <x:v>1163.246</x:v>
      </x:c>
      <x:c r="I1466" s="169" t="n">
        <x:f>FCCL!C50</x:f>
        <x:v>1163.246</x:v>
      </x:c>
      <x:c r="J1466" s="169" t="n">
        <x:f>H1466-I1466</x:f>
        <x:v>0</x:v>
      </x:c>
      <x:c r="K1466" s="168" t="str">
        <x:v>FCCL-Annual-Report-2021.pdf</x:v>
      </x:c>
      <x:c r="L1466" s="168" t="n">
        <x:v>164</x:v>
      </x:c>
      <x:c r="M1466" s="168" t="str">
        <x:v>Comparative</x:v>
      </x:c>
      <x:c r="N1466" s="171" t="str">
        <x:v>Printed amount independently located</x:v>
      </x:c>
      <x:c r="O1466" s="171" t="str">
        <x:v>Exact source amount found; audited year/current-comparative column recorded. Accounting subtotal tests performed separately.</x:v>
      </x:c>
      <x:c r="P1466" s="171" t="str">
        <x:v>22,261  -   
Deferred tax liabilities - net 8  3,960,489 3,643,608 
 4,630,225  4,221,138 
Current liabilities
Trade and other payables 9  1,822,642  1,163,246 
Accrued liabilities  1,554,895  1,122,217 
Security deposits payable 10  260,652  253,940 
Contract liabilities 11  435,097  367,952 
Employee benefits - current portion 6  20,86</x:v>
      </x:c>
    </x:row>
    <x:row r="1467" ht="82" customHeight="1">
      <x:c r="A1467" s="76" t="str">
        <x:v>FCCL|tap|2021</x:v>
      </x:c>
      <x:c r="B1467" s="76" t="str">
        <x:v>FCCL</x:v>
      </x:c>
      <x:c r="C1467" s="76" t="str">
        <x:v>FY2021</x:v>
      </x:c>
      <x:c r="D1467" s="76" t="str">
        <x:v>Trade and other payables</x:v>
      </x:c>
      <x:c r="E1467" s="170" t="n">
        <x:v>1822642</x:v>
      </x:c>
      <x:c r="F1467" s="170" t="n">
        <x:v>1822642</x:v>
      </x:c>
      <x:c r="G1467" s="170" t="str">
        <x:v>Rs '000</x:v>
      </x:c>
      <x:c r="H1467" s="170" t="n">
        <x:f>F1467/1000</x:f>
        <x:v>1822.642</x:v>
      </x:c>
      <x:c r="I1467" s="170" t="n">
        <x:f>FCCL!D50</x:f>
        <x:v>1822.642</x:v>
      </x:c>
      <x:c r="J1467" s="170" t="n">
        <x:f>H1467-I1467</x:f>
        <x:v>0</x:v>
      </x:c>
      <x:c r="K1467" s="76" t="str">
        <x:v>FCCL-Annual-Report-2022.pdf</x:v>
      </x:c>
      <x:c r="L1467" s="76" t="n">
        <x:v>186</x:v>
      </x:c>
      <x:c r="M1467" s="76" t="str">
        <x:v>Comparative</x:v>
      </x:c>
      <x:c r="N1467" s="99" t="str">
        <x:v>Printed amount independently located</x:v>
      </x:c>
      <x:c r="O1467" s="99" t="str">
        <x:v>Exact source amount found; audited year/current-comparative column recorded. Accounting subtotal tests performed separately.</x:v>
      </x:c>
      <x:c r="P1467" s="99" t="str">
        <x:v>10 7,433,214 3,960,489 
29,240,768 4,614,571 
CURRENT LIABILITIES
Loan from Parent - unsecured 11 7,387,000 - 
Trade and other payables 12 6,917,149 1,822,642 
Accrued liabilities 4,321,163 1,554,895 
Security deposits payable 13 461,712 260,652 
Contract liabilities 14 862,309 435,097 
Employee benefits - current portion 7 80,756 20,86</x:v>
      </x:c>
    </x:row>
    <x:row r="1468" ht="82" customHeight="1">
      <x:c r="A1468" s="168" t="str">
        <x:v>FCCL|tap|2022</x:v>
      </x:c>
      <x:c r="B1468" s="168" t="str">
        <x:v>FCCL</x:v>
      </x:c>
      <x:c r="C1468" s="168" t="str">
        <x:v>FY2022</x:v>
      </x:c>
      <x:c r="D1468" s="168" t="str">
        <x:v>Trade and other payables</x:v>
      </x:c>
      <x:c r="E1468" s="169" t="n">
        <x:v>6917149</x:v>
      </x:c>
      <x:c r="F1468" s="169" t="n">
        <x:v>6917149</x:v>
      </x:c>
      <x:c r="G1468" s="169" t="str">
        <x:v>Rs '000</x:v>
      </x:c>
      <x:c r="H1468" s="169" t="n">
        <x:f>F1468/1000</x:f>
        <x:v>6917.149</x:v>
      </x:c>
      <x:c r="I1468" s="169" t="n">
        <x:f>FCCL!E50</x:f>
        <x:v>6917.149</x:v>
      </x:c>
      <x:c r="J1468" s="169" t="n">
        <x:f>H1468-I1468</x:f>
        <x:v>0</x:v>
      </x:c>
      <x:c r="K1468" s="168" t="str">
        <x:v>FCCL-Annual-Report-2023.pdf</x:v>
      </x:c>
      <x:c r="L1468" s="168" t="n">
        <x:v>208</x:v>
      </x:c>
      <x:c r="M1468" s="168" t="str">
        <x:v>Comparative</x:v>
      </x:c>
      <x:c r="N1468" s="171" t="str">
        <x:v>Printed amount independently located</x:v>
      </x:c>
      <x:c r="O1468" s="171" t="str">
        <x:v>Exact source amount found; audited year/current-comparative column recorded. Accounting subtotal tests performed separately.</x:v>
      </x:c>
      <x:c r="P1468" s="171" t="str">
        <x:v>65,905  29,240,768 
CURRENT LIABILITIES CURRENT ASSETS
Loan from Parent - unsecured 10  7,387,000  7,387,000 
Trade and other payables 11  6,516,462  6,917,149 Stores, spares and loose tools 19  8,011,181  11,939,147 
Accrued liabilities  4,022,396  4,321,163 Stock in trade 20  7,112,327  3,697,721 
Security deposits payable 12  455,052</x:v>
      </x:c>
    </x:row>
    <x:row r="1469" ht="82" customHeight="1">
      <x:c r="A1469" s="76" t="str">
        <x:v>FCCL|tap|2023</x:v>
      </x:c>
      <x:c r="B1469" s="76" t="str">
        <x:v>FCCL</x:v>
      </x:c>
      <x:c r="C1469" s="76" t="str">
        <x:v>FY2023</x:v>
      </x:c>
      <x:c r="D1469" s="76" t="str">
        <x:v>Trade and other payables</x:v>
      </x:c>
      <x:c r="E1469" s="170" t="n">
        <x:v>6516462</x:v>
      </x:c>
      <x:c r="F1469" s="170" t="n">
        <x:v>6516462</x:v>
      </x:c>
      <x:c r="G1469" s="170" t="str">
        <x:v>Rs '000</x:v>
      </x:c>
      <x:c r="H1469" s="170" t="n">
        <x:f>F1469/1000</x:f>
        <x:v>6516.462</x:v>
      </x:c>
      <x:c r="I1469" s="170" t="n">
        <x:f>FCCL!F50</x:f>
        <x:v>6516.462</x:v>
      </x:c>
      <x:c r="J1469" s="170" t="n">
        <x:f>H1469-I1469</x:f>
        <x:v>0</x:v>
      </x:c>
      <x:c r="K1469" s="76" t="str">
        <x:v>FCCL-Annual-Report-2024.pdf</x:v>
      </x:c>
      <x:c r="L1469" s="76" t="n">
        <x:v>190</x:v>
      </x:c>
      <x:c r="M1469" s="76" t="str">
        <x:v>Comparative</x:v>
      </x:c>
      <x:c r="N1469" s="99" t="str">
        <x:v>Printed amount independently located</x:v>
      </x:c>
      <x:c r="O1469" s="99" t="str">
        <x:v>Exact source amount found; audited year/current-comparative column recorded. Accounting subtotal tests performed separately.</x:v>
      </x:c>
      <x:c r="P1469" s="99" t="str">
        <x:v>47,371,979   45,165,905 
CURRENT LIABILITIES  
 Loan from Parent - unsecured 10  7,387,000   7,387,000 
 Trade and other payables 11  5,966,191   6,516,462 
 Accrued liabilities   5,154,131   4,022,396 
 Security deposits payable  12  545,487   455,052 
 Contract liabilities 13  432,704   584,809 
 Employee benefits - current portion</x:v>
      </x:c>
    </x:row>
    <x:row r="1470" ht="82" customHeight="1">
      <x:c r="A1470" s="168" t="str">
        <x:v>FCCL|tap|2024</x:v>
      </x:c>
      <x:c r="B1470" s="168" t="str">
        <x:v>FCCL</x:v>
      </x:c>
      <x:c r="C1470" s="168" t="str">
        <x:v>FY2024</x:v>
      </x:c>
      <x:c r="D1470" s="168" t="str">
        <x:v>Trade and other payables</x:v>
      </x:c>
      <x:c r="E1470" s="169" t="n">
        <x:v>6108790</x:v>
      </x:c>
      <x:c r="F1470" s="169" t="n">
        <x:v>6108790</x:v>
      </x:c>
      <x:c r="G1470" s="169" t="str">
        <x:v>Rs '000</x:v>
      </x:c>
      <x:c r="H1470" s="169" t="n">
        <x:f>F1470/1000</x:f>
        <x:v>6108.79</x:v>
      </x:c>
      <x:c r="I1470" s="169" t="n">
        <x:f>FCCL!G50</x:f>
        <x:v>6108.79</x:v>
      </x:c>
      <x:c r="J1470" s="169" t="n">
        <x:f>H1470-I1470</x:f>
        <x:v>0</x:v>
      </x:c>
      <x:c r="K1470" s="168" t="str">
        <x:v>FCCL-Annual-Report-2025.pdf</x:v>
      </x:c>
      <x:c r="L1470" s="168" t="n">
        <x:v>244</x:v>
      </x:c>
      <x:c r="M1470" s="168" t="str">
        <x:v>Comparative</x:v>
      </x:c>
      <x:c r="N1470" s="171" t="str">
        <x:v>Printed amount independently located</x:v>
      </x:c>
      <x:c r="O1470" s="171" t="str">
        <x:v>Exact source amount found; audited year/current-comparative column recorded. Accounting subtotal tests performed separately.</x:v>
      </x:c>
      <x:c r="P1470" s="171" t="str">
        <x:v>45,935,486   47,371,979 
CURRENT LIABILITIES 
 Loan from Parent – unsecured 11  7,572,186   7,387,000 
 Trade and other payables 12  3,934,508   6,108,790 
 Accrued liabilities 13  9,076,142   5,154,131 
 Security deposits payable  14  570,602   545,487 
 Contract liabilities   588,076   432,704 
 Unclaimed dividend   41,182   35,64</x:v>
      </x:c>
    </x:row>
    <x:row r="1471" ht="82" customHeight="1">
      <x:c r="A1471" s="76" t="str">
        <x:v>FCCL|tap|2025</x:v>
      </x:c>
      <x:c r="B1471" s="76" t="str">
        <x:v>FCCL</x:v>
      </x:c>
      <x:c r="C1471" s="76" t="str">
        <x:v>FY2025</x:v>
      </x:c>
      <x:c r="D1471" s="76" t="str">
        <x:v>Trade and other payables</x:v>
      </x:c>
      <x:c r="E1471" s="170" t="n">
        <x:v>3934508</x:v>
      </x:c>
      <x:c r="F1471" s="170" t="n">
        <x:v>3934508</x:v>
      </x:c>
      <x:c r="G1471" s="170" t="str">
        <x:v>Rs '000</x:v>
      </x:c>
      <x:c r="H1471" s="170" t="n">
        <x:f>F1471/1000</x:f>
        <x:v>3934.508</x:v>
      </x:c>
      <x:c r="I1471" s="170" t="n">
        <x:f>FCCL!H50</x:f>
        <x:v>3934.508</x:v>
      </x:c>
      <x:c r="J1471" s="170" t="n">
        <x:f>H1471-I1471</x:f>
        <x:v>0</x:v>
      </x:c>
      <x:c r="K1471" s="76" t="str">
        <x:v>FCCL-Annual-Report-2025.pdf</x:v>
      </x:c>
      <x:c r="L1471" s="76" t="n">
        <x:v>244</x:v>
      </x:c>
      <x:c r="M1471" s="76" t="str">
        <x:v>Current year</x:v>
      </x:c>
      <x:c r="N1471" s="99" t="str">
        <x:v>Printed amount independently located</x:v>
      </x:c>
      <x:c r="O1471" s="99" t="str">
        <x:v>Exact source amount found; audited year/current-comparative column recorded. Accounting subtotal tests performed separately.</x:v>
      </x:c>
      <x:c r="P1471" s="99" t="str">
        <x:v>14,931,049 
     45,935,486   47,371,979 
CURRENT LIABILITIES 
 Loan from Parent – unsecured 11  7,572,186   7,387,000 
 Trade and other payables 12  3,934,508   6,108,790 
 Accrued liabilities 13  9,076,142   5,154,131 
 Security deposits payable  14  570,602   545,487 
 Contract liabilities   588,076   432,704 
 Unclaimed dividend   41</x:v>
      </x:c>
    </x:row>
    <x:row r="1472" ht="82" customHeight="1">
      <x:c r="A1472" s="168" t="str">
        <x:v>FCCL|trade_cred|2020</x:v>
      </x:c>
      <x:c r="B1472" s="168" t="str">
        <x:v>FCCL</x:v>
      </x:c>
      <x:c r="C1472" s="168" t="str">
        <x:v>FY2020</x:v>
      </x:c>
      <x:c r="D1472" s="168" t="str">
        <x:v>memo: trade creditors / bills payable (note)</x:v>
      </x:c>
      <x:c r="E1472" s="169" t="n">
        <x:v>354586</x:v>
      </x:c>
      <x:c r="F1472" s="169" t="n">
        <x:v>354586</x:v>
      </x:c>
      <x:c r="G1472" s="169" t="str">
        <x:v>Rs '000</x:v>
      </x:c>
      <x:c r="H1472" s="169" t="n">
        <x:f>F1472/1000</x:f>
        <x:v>354.586</x:v>
      </x:c>
      <x:c r="I1472" s="169" t="n">
        <x:f>FCCL!C51</x:f>
        <x:v>354.586</x:v>
      </x:c>
      <x:c r="J1472" s="169" t="n">
        <x:f>H1472-I1472</x:f>
        <x:v>0</x:v>
      </x:c>
      <x:c r="K1472" s="168" t="str">
        <x:v>FCCL-Annual-Report-2021.pdf</x:v>
      </x:c>
      <x:c r="L1472" s="168" t="n">
        <x:v>189</x:v>
      </x:c>
      <x:c r="M1472" s="168" t="str">
        <x:v>Comparative</x:v>
      </x:c>
      <x:c r="N1472" s="171" t="str">
        <x:v>Printed amount independently located</x:v>
      </x:c>
      <x:c r="O1472" s="171" t="str">
        <x:v>Exact source amount found; audited year/current-comparative column recorded. Accounting subtotal tests performed separately.</x:v>
      </x:c>
      <x:c r="P1472" s="171" t="str">
        <x:v>of profit or loss.
8.2 For detail of restatement refer note 43.3.
2021 2020
Note Rupees'000 Rupees'000
9 TRADE AND OTHER PAYABLES
Creditors  863,038  354,586 
Retention money  32,691  38,883 
Workers' (Profit) Participation Fund (WPPF) 9.1  24,049  -   
Workers' Welfare Fund (WWF)  120,177  24,027 
Federal excise duty payable  307,090</x:v>
      </x:c>
    </x:row>
    <x:row r="1473" ht="82" customHeight="1">
      <x:c r="A1473" s="76" t="str">
        <x:v>FCCL|trade_cred|2021</x:v>
      </x:c>
      <x:c r="B1473" s="76" t="str">
        <x:v>FCCL</x:v>
      </x:c>
      <x:c r="C1473" s="76" t="str">
        <x:v>FY2021</x:v>
      </x:c>
      <x:c r="D1473" s="76" t="str">
        <x:v>memo: trade creditors / bills payable (note)</x:v>
      </x:c>
      <x:c r="E1473" s="170" t="n">
        <x:v>863038</x:v>
      </x:c>
      <x:c r="F1473" s="170" t="n">
        <x:v>863038</x:v>
      </x:c>
      <x:c r="G1473" s="170" t="str">
        <x:v>Rs '000</x:v>
      </x:c>
      <x:c r="H1473" s="170" t="n">
        <x:f>F1473/1000</x:f>
        <x:v>863.038</x:v>
      </x:c>
      <x:c r="I1473" s="170" t="n">
        <x:f>FCCL!D51</x:f>
        <x:v>863.038</x:v>
      </x:c>
      <x:c r="J1473" s="170" t="n">
        <x:f>H1473-I1473</x:f>
        <x:v>0</x:v>
      </x:c>
      <x:c r="K1473" s="76" t="str">
        <x:v>FCCL-Annual-Report-2022.pdf</x:v>
      </x:c>
      <x:c r="L1473" s="76" t="n">
        <x:v>215</x:v>
      </x:c>
      <x:c r="M1473" s="76" t="str">
        <x:v>Comparative</x:v>
      </x:c>
      <x:c r="N1473" s="99" t="str">
        <x:v>Printed amount independently located</x:v>
      </x:c>
      <x:c r="O1473" s="99" t="str">
        <x:v>Exact source amount found; audited year/current-comparative column recorded. Accounting subtotal tests performed separately.</x:v>
      </x:c>
      <x:c r="P1473" s="99" t="str">
        <x:v>e term of the agreement at mutally agreed terms and conditions. 
2022 2021
Note Rupees'000 Rupees'000
12 TRADE AND OTHER PAYABLES
Creditors 2,683,210 863,038 
Retention money 2,549,004 32,691 
Workers' (Profit) Participation Fund (WPPF) 12.1 91,113 24,049 
Workers' Welfare Fund (WWF) 206,326 120,177 
Federal excise duty payable 803,166</x:v>
      </x:c>
    </x:row>
    <x:row r="1474" ht="82" customHeight="1">
      <x:c r="A1474" s="168" t="str">
        <x:v>FCCL|trade_cred|2022</x:v>
      </x:c>
      <x:c r="B1474" s="168" t="str">
        <x:v>FCCL</x:v>
      </x:c>
      <x:c r="C1474" s="168" t="str">
        <x:v>FY2022</x:v>
      </x:c>
      <x:c r="D1474" s="168" t="str">
        <x:v>memo: trade creditors / bills payable (note)</x:v>
      </x:c>
      <x:c r="E1474" s="169" t="n">
        <x:v>2683210</x:v>
      </x:c>
      <x:c r="F1474" s="169" t="n">
        <x:v>2683210</x:v>
      </x:c>
      <x:c r="G1474" s="169" t="str">
        <x:v>Rs '000</x:v>
      </x:c>
      <x:c r="H1474" s="169" t="n">
        <x:f>F1474/1000</x:f>
        <x:v>2683.21</x:v>
      </x:c>
      <x:c r="I1474" s="169" t="n">
        <x:f>FCCL!E51</x:f>
        <x:v>2683.21</x:v>
      </x:c>
      <x:c r="J1474" s="169" t="n">
        <x:f>H1474-I1474</x:f>
        <x:v>0</x:v>
      </x:c>
      <x:c r="K1474" s="168" t="str">
        <x:v>FCCL-Annual-Report-2023.pdf</x:v>
      </x:c>
      <x:c r="L1474" s="168" t="n">
        <x:v>234</x:v>
      </x:c>
      <x:c r="M1474" s="168" t="str">
        <x:v>Comparative</x:v>
      </x:c>
      <x:c r="N1474" s="171" t="str">
        <x:v>Printed amount independently located</x:v>
      </x:c>
      <x:c r="O1474" s="171" t="str">
        <x:v>Exact source amount found; audited year/current-comparative column recorded. Accounting subtotal tests performed separately.</x:v>
      </x:c>
      <x:c r="P1474" s="171" t="str">
        <x:v>term of the agreement at mutally agreed terms and conditions. 
2023 2022
Note Rupees’000 Rupees’000
11 TRADE AND OTHER PAYABLES
Creditors  2,623,342  2,683,210 
Retention money  3,045,172  2,549,004 
Workers’ (Profit) Participation Fund (WPPF) 11.1  78,167  91,113 
Workers’ Welfare Fund (WWF)  83,774  206,326 
Federal excise duty payable</x:v>
      </x:c>
    </x:row>
    <x:row r="1475" ht="82" customHeight="1">
      <x:c r="A1475" s="76" t="str">
        <x:v>FCCL|trade_cred|2023</x:v>
      </x:c>
      <x:c r="B1475" s="76" t="str">
        <x:v>FCCL</x:v>
      </x:c>
      <x:c r="C1475" s="76" t="str">
        <x:v>FY2023</x:v>
      </x:c>
      <x:c r="D1475" s="76" t="str">
        <x:v>memo: trade creditors / bills payable (note)</x:v>
      </x:c>
      <x:c r="E1475" s="170" t="n">
        <x:v>2623342</x:v>
      </x:c>
      <x:c r="F1475" s="170" t="n">
        <x:v>2623342</x:v>
      </x:c>
      <x:c r="G1475" s="170" t="str">
        <x:v>Rs '000</x:v>
      </x:c>
      <x:c r="H1475" s="170" t="n">
        <x:f>F1475/1000</x:f>
        <x:v>2623.342</x:v>
      </x:c>
      <x:c r="I1475" s="170" t="n">
        <x:f>FCCL!F51</x:f>
        <x:v>2623.342</x:v>
      </x:c>
      <x:c r="J1475" s="170" t="n">
        <x:f>H1475-I1475</x:f>
        <x:v>0</x:v>
      </x:c>
      <x:c r="K1475" s="76" t="str">
        <x:v>FCCL-Annual-Report-2024.pdf</x:v>
      </x:c>
      <x:c r="L1475" s="76" t="n">
        <x:v>214</x:v>
      </x:c>
      <x:c r="M1475" s="76" t="str">
        <x:v>Comparative</x:v>
      </x:c>
      <x:c r="N1475" s="99" t="str">
        <x:v>Printed amount independently located</x:v>
      </x:c>
      <x:c r="O1475" s="99" t="str">
        <x:v>Exact source amount found; audited year/current-comparative column recorded. Accounting subtotal tests performed separately.</x:v>
      </x:c>
      <x:c r="P1475" s="99" t="str">
        <x:v>the agreement at mutually agreed terms and 
conditions.
 Note 2024 2023
  Rupees’000 Rupees’000
11 TRADE AND OTHER PAYABLES
 Creditors   2,726,664   2,623,342 
 Retention money   1,392,312   3,045,172 
 Workers’ Profit Participation Fund (WPPF) payable  11.1  148,859   78,167 
 Workers’ Welfare Fund (WWF) payable    8,897   83,774 
 Sal</x:v>
      </x:c>
    </x:row>
    <x:row r="1476" ht="82" customHeight="1">
      <x:c r="A1476" s="168" t="str">
        <x:v>FCCL|trade_cred|2024</x:v>
      </x:c>
      <x:c r="B1476" s="168" t="str">
        <x:v>FCCL</x:v>
      </x:c>
      <x:c r="C1476" s="168" t="str">
        <x:v>FY2024</x:v>
      </x:c>
      <x:c r="D1476" s="168" t="str">
        <x:v>memo: trade creditors / bills payable (note)</x:v>
      </x:c>
      <x:c r="E1476" s="169" t="n">
        <x:v>2726664</x:v>
      </x:c>
      <x:c r="F1476" s="169" t="n">
        <x:v>2726664</x:v>
      </x:c>
      <x:c r="G1476" s="169" t="str">
        <x:v>Rs '000</x:v>
      </x:c>
      <x:c r="H1476" s="169" t="n">
        <x:f>F1476/1000</x:f>
        <x:v>2726.664</x:v>
      </x:c>
      <x:c r="I1476" s="169" t="n">
        <x:f>FCCL!G51</x:f>
        <x:v>2726.664</x:v>
      </x:c>
      <x:c r="J1476" s="169" t="n">
        <x:f>H1476-I1476</x:f>
        <x:v>0</x:v>
      </x:c>
      <x:c r="K1476" s="168" t="str">
        <x:v>FCCL-Annual-Report-2025.pdf</x:v>
      </x:c>
      <x:c r="L1476" s="168" t="n">
        <x:v>268</x:v>
      </x:c>
      <x:c r="M1476" s="168" t="str">
        <x:v>Comparative</x:v>
      </x:c>
      <x:c r="N1476" s="171" t="str">
        <x:v>Printed amount independently located</x:v>
      </x:c>
      <x:c r="O1476" s="171" t="str">
        <x:v>Exact source amount found; audited year/current-comparative column recorded. Accounting subtotal tests performed separately.</x:v>
      </x:c>
      <x:c r="P1476" s="171" t="str">
        <x:v>t for charging mark–up at the rate of 10% per annum.  
 Note 2025 2024
  Rupees’000 Rupees’000
12 TRADE AND OTHER PAYABLES
 Creditors   2,034,141   2,726,664 
 Retention money   479,895   1,392,312 
 Sales tax payable  –    718,951 
 Federal excise duty payable   122,953   601,230 
 Workers’ Profit Participation Fund (WPPF) payable  12</x:v>
      </x:c>
    </x:row>
    <x:row r="1477" ht="82" customHeight="1">
      <x:c r="A1477" s="76" t="str">
        <x:v>FCCL|trade_cred|2025</x:v>
      </x:c>
      <x:c r="B1477" s="76" t="str">
        <x:v>FCCL</x:v>
      </x:c>
      <x:c r="C1477" s="76" t="str">
        <x:v>FY2025</x:v>
      </x:c>
      <x:c r="D1477" s="76" t="str">
        <x:v>memo: trade creditors / bills payable (note)</x:v>
      </x:c>
      <x:c r="E1477" s="170" t="n">
        <x:v>2034141</x:v>
      </x:c>
      <x:c r="F1477" s="170" t="n">
        <x:v>2034141</x:v>
      </x:c>
      <x:c r="G1477" s="170" t="str">
        <x:v>Rs '000</x:v>
      </x:c>
      <x:c r="H1477" s="170" t="n">
        <x:f>F1477/1000</x:f>
        <x:v>2034.141</x:v>
      </x:c>
      <x:c r="I1477" s="170" t="n">
        <x:f>FCCL!H51</x:f>
        <x:v>2034.141</x:v>
      </x:c>
      <x:c r="J1477" s="170" t="n">
        <x:f>H1477-I1477</x:f>
        <x:v>0</x:v>
      </x:c>
      <x:c r="K1477" s="76" t="str">
        <x:v>FCCL-Annual-Report-2025.pdf</x:v>
      </x:c>
      <x:c r="L1477" s="76" t="n">
        <x:v>268</x:v>
      </x:c>
      <x:c r="M1477" s="76" t="str">
        <x:v>Current year</x:v>
      </x:c>
      <x:c r="N1477" s="99" t="str">
        <x:v>Printed amount independently located</x:v>
      </x:c>
      <x:c r="O1477" s="99" t="str">
        <x:v>Exact source amount found; audited year/current-comparative column recorded. Accounting subtotal tests performed separately.</x:v>
      </x:c>
      <x:c r="P1477" s="99" t="str">
        <x:v>n arrangement for charging mark–up at the rate of 10% per annum.  
 Note 2025 2024
  Rupees’000 Rupees’000
12 TRADE AND OTHER PAYABLES
 Creditors   2,034,141   2,726,664 
 Retention money   479,895   1,392,312 
 Sales tax payable  –    718,951 
 Federal excise duty payable   122,953   601,230 
 Workers’ Profit Participation Fund (WPPF)</x:v>
      </x:c>
    </x:row>
    <x:row r="1478" ht="82" customHeight="1">
      <x:c r="A1478" s="168" t="str">
        <x:v>FCCL|contract|2020</x:v>
      </x:c>
      <x:c r="B1478" s="168" t="str">
        <x:v>FCCL</x:v>
      </x:c>
      <x:c r="C1478" s="168" t="str">
        <x:v>FY2020</x:v>
      </x:c>
      <x:c r="D1478" s="168" t="str">
        <x:v>Contract liabilities / advances from customers</x:v>
      </x:c>
      <x:c r="E1478" s="169" t="n">
        <x:v>367952</x:v>
      </x:c>
      <x:c r="F1478" s="169" t="n">
        <x:v>367952</x:v>
      </x:c>
      <x:c r="G1478" s="169" t="str">
        <x:v>Rs '000</x:v>
      </x:c>
      <x:c r="H1478" s="169" t="n">
        <x:f>F1478/1000</x:f>
        <x:v>367.952</x:v>
      </x:c>
      <x:c r="I1478" s="169" t="n">
        <x:f>FCCL!C52</x:f>
        <x:v>367.952</x:v>
      </x:c>
      <x:c r="J1478" s="169" t="n">
        <x:f>H1478-I1478</x:f>
        <x:v>0</x:v>
      </x:c>
      <x:c r="K1478" s="168" t="str">
        <x:v>FCCL-Annual-Report-2021.pdf</x:v>
      </x:c>
      <x:c r="L1478" s="168" t="n">
        <x:v>164</x:v>
      </x:c>
      <x:c r="M1478" s="168" t="str">
        <x:v>Comparative</x:v>
      </x:c>
      <x:c r="N1478" s="171" t="str">
        <x:v>Printed amount independently located</x:v>
      </x:c>
      <x:c r="O1478" s="171" t="str">
        <x:v>Exact source amount found; audited year/current-comparative column recorded. Accounting subtotal tests performed separately.</x:v>
      </x:c>
      <x:c r="P1478" s="171" t="str">
        <x:v>9  1,822,642  1,163,246 
Accrued liabilities  1,554,895  1,122,217 
Security deposits payable 10  260,652  253,940 
Contract liabilities 11  435,097  367,952 
Employee benefits - current portion 6  20,862  24,708 
Payable to employees' provident fund trust  10,714  13,528 
Unclaimed dividend  38,479  40,051 
Short term borrowings - sec</x:v>
      </x:c>
    </x:row>
    <x:row r="1479" ht="82" customHeight="1">
      <x:c r="A1479" s="76" t="str">
        <x:v>FCCL|contract|2021</x:v>
      </x:c>
      <x:c r="B1479" s="76" t="str">
        <x:v>FCCL</x:v>
      </x:c>
      <x:c r="C1479" s="76" t="str">
        <x:v>FY2021</x:v>
      </x:c>
      <x:c r="D1479" s="76" t="str">
        <x:v>Contract liabilities / advances from customers</x:v>
      </x:c>
      <x:c r="E1479" s="170" t="n">
        <x:v>435097</x:v>
      </x:c>
      <x:c r="F1479" s="170" t="n">
        <x:v>435097</x:v>
      </x:c>
      <x:c r="G1479" s="170" t="str">
        <x:v>Rs '000</x:v>
      </x:c>
      <x:c r="H1479" s="170" t="n">
        <x:f>F1479/1000</x:f>
        <x:v>435.097</x:v>
      </x:c>
      <x:c r="I1479" s="170" t="n">
        <x:f>FCCL!D52</x:f>
        <x:v>435.097</x:v>
      </x:c>
      <x:c r="J1479" s="170" t="n">
        <x:f>H1479-I1479</x:f>
        <x:v>0</x:v>
      </x:c>
      <x:c r="K1479" s="76" t="str">
        <x:v>FCCL-Annual-Report-2022.pdf</x:v>
      </x:c>
      <x:c r="L1479" s="76" t="n">
        <x:v>186</x:v>
      </x:c>
      <x:c r="M1479" s="76" t="str">
        <x:v>Comparative</x:v>
      </x:c>
      <x:c r="N1479" s="99" t="str">
        <x:v>Printed amount independently located</x:v>
      </x:c>
      <x:c r="O1479" s="99" t="str">
        <x:v>Exact source amount found; audited year/current-comparative column recorded. Accounting subtotal tests performed separately.</x:v>
      </x:c>
      <x:c r="P1479" s="99" t="str">
        <x:v>yables 12 6,917,149 1,822,642 
Accrued liabilities 4,321,163 1,554,895 
Security deposits payable 13 461,712 260,652 
Contract liabilities 14 862,309 435,097 
Employee benefits - current portion 7 80,756 20,862 
Payable to employees' provident fund trust 15,875 10,714 
Unclaimed dividend 37,157 38,479 
Short term borrowings - secured 1</x:v>
      </x:c>
    </x:row>
    <x:row r="1480" ht="82" customHeight="1">
      <x:c r="A1480" s="168" t="str">
        <x:v>FCCL|contract|2022</x:v>
      </x:c>
      <x:c r="B1480" s="168" t="str">
        <x:v>FCCL</x:v>
      </x:c>
      <x:c r="C1480" s="168" t="str">
        <x:v>FY2022</x:v>
      </x:c>
      <x:c r="D1480" s="168" t="str">
        <x:v>Contract liabilities / advances from customers</x:v>
      </x:c>
      <x:c r="E1480" s="169" t="n">
        <x:v>862309</x:v>
      </x:c>
      <x:c r="F1480" s="169" t="n">
        <x:v>862309</x:v>
      </x:c>
      <x:c r="G1480" s="169" t="str">
        <x:v>Rs '000</x:v>
      </x:c>
      <x:c r="H1480" s="169" t="n">
        <x:f>F1480/1000</x:f>
        <x:v>862.309</x:v>
      </x:c>
      <x:c r="I1480" s="169" t="n">
        <x:f>FCCL!E52</x:f>
        <x:v>862.309</x:v>
      </x:c>
      <x:c r="J1480" s="169" t="n">
        <x:f>H1480-I1480</x:f>
        <x:v>0</x:v>
      </x:c>
      <x:c r="K1480" s="168" t="str">
        <x:v>FCCL-Annual-Report-2023.pdf</x:v>
      </x:c>
      <x:c r="L1480" s="168" t="n">
        <x:v>208</x:v>
      </x:c>
      <x:c r="M1480" s="168" t="str">
        <x:v>Comparative</x:v>
      </x:c>
      <x:c r="N1480" s="171" t="str">
        <x:v>Printed amount independently located</x:v>
      </x:c>
      <x:c r="O1480" s="171" t="str">
        <x:v>Exact source amount found; audited year/current-comparative column recorded. Accounting subtotal tests performed separately.</x:v>
      </x:c>
      <x:c r="P1480" s="171" t="str">
        <x:v>rade 20  7,112,327  3,697,721 
Security deposits payable 12  455,052  461,712 Trade debts 21  3,572,445  2,412,758 
Contract liabilities 13  584,809  862,309 Advances 22  366,231  193,629 
Employee benefits - current portion 6  96,468  80,756 Sales tax refundable-net 23  1,820,851  2,650,804 
Payable to employees’ provident fund trust</x:v>
      </x:c>
    </x:row>
    <x:row r="1481" ht="82" customHeight="1">
      <x:c r="A1481" s="76" t="str">
        <x:v>FCCL|contract|2023</x:v>
      </x:c>
      <x:c r="B1481" s="76" t="str">
        <x:v>FCCL</x:v>
      </x:c>
      <x:c r="C1481" s="76" t="str">
        <x:v>FY2023</x:v>
      </x:c>
      <x:c r="D1481" s="76" t="str">
        <x:v>Contract liabilities / advances from customers</x:v>
      </x:c>
      <x:c r="E1481" s="170" t="n">
        <x:v>584809</x:v>
      </x:c>
      <x:c r="F1481" s="170" t="n">
        <x:v>584809</x:v>
      </x:c>
      <x:c r="G1481" s="170" t="str">
        <x:v>Rs '000</x:v>
      </x:c>
      <x:c r="H1481" s="170" t="n">
        <x:f>F1481/1000</x:f>
        <x:v>584.809</x:v>
      </x:c>
      <x:c r="I1481" s="170" t="n">
        <x:f>FCCL!F52</x:f>
        <x:v>584.809</x:v>
      </x:c>
      <x:c r="J1481" s="170" t="n">
        <x:f>H1481-I1481</x:f>
        <x:v>0</x:v>
      </x:c>
      <x:c r="K1481" s="76" t="str">
        <x:v>FCCL-Annual-Report-2024.pdf</x:v>
      </x:c>
      <x:c r="L1481" s="76" t="n">
        <x:v>190</x:v>
      </x:c>
      <x:c r="M1481" s="76" t="str">
        <x:v>Comparative</x:v>
      </x:c>
      <x:c r="N1481" s="99" t="str">
        <x:v>Printed amount independently located</x:v>
      </x:c>
      <x:c r="O1481" s="99" t="str">
        <x:v>Exact source amount found; audited year/current-comparative column recorded. Accounting subtotal tests performed separately.</x:v>
      </x:c>
      <x:c r="P1481" s="99" t="str">
        <x:v>191   6,516,462 
 Accrued liabilities   5,154,131   4,022,396 
 Security deposits payable  12  545,487   455,052 
 Contract liabilities 13  432,704   584,809 
 Employee benefits - current portion 6  112,697   96,468 
 Payable to employees’ provident fund trust   29,902   26,438 
 Unclaimed dividend   35,646   36,001 
 Short term runnin</x:v>
      </x:c>
    </x:row>
    <x:row r="1482" ht="82" customHeight="1">
      <x:c r="A1482" s="168" t="str">
        <x:v>FCCL|contract|2024</x:v>
      </x:c>
      <x:c r="B1482" s="168" t="str">
        <x:v>FCCL</x:v>
      </x:c>
      <x:c r="C1482" s="168" t="str">
        <x:v>FY2024</x:v>
      </x:c>
      <x:c r="D1482" s="168" t="str">
        <x:v>Contract liabilities / advances from customers</x:v>
      </x:c>
      <x:c r="E1482" s="169" t="n">
        <x:v>432704</x:v>
      </x:c>
      <x:c r="F1482" s="169" t="n">
        <x:v>432704</x:v>
      </x:c>
      <x:c r="G1482" s="169" t="str">
        <x:v>Rs '000</x:v>
      </x:c>
      <x:c r="H1482" s="169" t="n">
        <x:f>F1482/1000</x:f>
        <x:v>432.704</x:v>
      </x:c>
      <x:c r="I1482" s="169" t="n">
        <x:f>FCCL!G52</x:f>
        <x:v>432.704</x:v>
      </x:c>
      <x:c r="J1482" s="169" t="n">
        <x:f>H1482-I1482</x:f>
        <x:v>0</x:v>
      </x:c>
      <x:c r="K1482" s="168" t="str">
        <x:v>FCCL-Annual-Report-2025.pdf</x:v>
      </x:c>
      <x:c r="L1482" s="168" t="n">
        <x:v>244</x:v>
      </x:c>
      <x:c r="M1482" s="168" t="str">
        <x:v>Comparative</x:v>
      </x:c>
      <x:c r="N1482" s="171" t="str">
        <x:v>Printed amount independently located</x:v>
      </x:c>
      <x:c r="O1482" s="171" t="str">
        <x:v>Exact source amount found; audited year/current-comparative column recorded. Accounting subtotal tests performed separately.</x:v>
      </x:c>
      <x:c r="P1482" s="171" t="str">
        <x:v>508   6,108,790 
 Accrued liabilities 13  9,076,142   5,154,131 
 Security deposits payable  14  570,602   545,487 
 Contract liabilities   588,076   432,704 
 Unclaimed dividend   41,182   35,646 
 Short term running finance – secured  15  2,192,462   1,450,934 
 Provision for tax – net  –     56,810 
 Current portion of long term loa</x:v>
      </x:c>
    </x:row>
    <x:row r="1483" ht="82" customHeight="1">
      <x:c r="A1483" s="76" t="str">
        <x:v>FCCL|contract|2025</x:v>
      </x:c>
      <x:c r="B1483" s="76" t="str">
        <x:v>FCCL</x:v>
      </x:c>
      <x:c r="C1483" s="76" t="str">
        <x:v>FY2025</x:v>
      </x:c>
      <x:c r="D1483" s="76" t="str">
        <x:v>Contract liabilities / advances from customers</x:v>
      </x:c>
      <x:c r="E1483" s="170" t="n">
        <x:v>588076</x:v>
      </x:c>
      <x:c r="F1483" s="170" t="n">
        <x:v>588076</x:v>
      </x:c>
      <x:c r="G1483" s="170" t="str">
        <x:v>Rs '000</x:v>
      </x:c>
      <x:c r="H1483" s="170" t="n">
        <x:f>F1483/1000</x:f>
        <x:v>588.076</x:v>
      </x:c>
      <x:c r="I1483" s="170" t="n">
        <x:f>FCCL!H52</x:f>
        <x:v>588.076</x:v>
      </x:c>
      <x:c r="J1483" s="170" t="n">
        <x:f>H1483-I1483</x:f>
        <x:v>0</x:v>
      </x:c>
      <x:c r="K1483" s="76" t="str">
        <x:v>FCCL-Annual-Report-2025.pdf</x:v>
      </x:c>
      <x:c r="L1483" s="76" t="n">
        <x:v>244</x:v>
      </x:c>
      <x:c r="M1483" s="76" t="str">
        <x:v>Current year</x:v>
      </x:c>
      <x:c r="N1483" s="99" t="str">
        <x:v>Printed amount independently located</x:v>
      </x:c>
      <x:c r="O1483" s="99" t="str">
        <x:v>Exact source amount found; audited year/current-comparative column recorded. Accounting subtotal tests performed separately.</x:v>
      </x:c>
      <x:c r="P1483" s="99" t="str">
        <x:v>12  3,934,508   6,108,790 
 Accrued liabilities 13  9,076,142   5,154,131 
 Security deposits payable  14  570,602   545,487 
 Contract liabilities   588,076   432,704 
 Unclaimed dividend   41,182   35,646 
 Short term running finance – secured  15  2,192,462   1,450,934 
 Provision for tax – net  –     56,810 
 Current portion of lon</x:v>
      </x:c>
    </x:row>
    <x:row r="1484" ht="82" customHeight="1">
      <x:c r="A1484" s="168" t="str">
        <x:v>FCCL|acc_markup|2020</x:v>
      </x:c>
      <x:c r="B1484" s="168" t="str">
        <x:v>FCCL</x:v>
      </x:c>
      <x:c r="C1484" s="168" t="str">
        <x:v>FY2020</x:v>
      </x:c>
      <x:c r="D1484" s="168" t="str">
        <x:v>Accrued mark-up / interest</x:v>
      </x:c>
      <x:c r="E1484" s="169" t="n">
        <x:v>0</x:v>
      </x:c>
      <x:c r="F1484" s="169" t="n">
        <x:v>0</x:v>
      </x:c>
      <x:c r="G1484" s="169" t="str">
        <x:v>Rs '000</x:v>
      </x:c>
      <x:c r="H1484" s="169" t="n">
        <x:f>F1484/1000</x:f>
        <x:v>0</x:v>
      </x:c>
      <x:c r="I1484" s="169" t="n">
        <x:f>FCCL!C53</x:f>
        <x:v>0</x:v>
      </x:c>
      <x:c r="J1484" s="169" t="n">
        <x:f>H1484-I1484</x:f>
        <x:v>0</x:v>
      </x:c>
      <x:c r="K1484" s="168" t="str">
        <x:v>FCCL-Annual-Report-2021.pdf</x:v>
      </x:c>
      <x:c r="L1484" s="168" t="n">
        <x:v>164</x:v>
      </x:c>
      <x:c r="M1484" s="168" t="str">
        <x:v>Comparative</x:v>
      </x:c>
      <x:c r="N1484" s="171" t="str">
        <x:v>Zero / no separate line in audited presentation</x:v>
      </x:c>
      <x:c r="O1484" s="171" t="str">
        <x:v>Zero classification checked within the audited statement/note and reconstructed statement totals; absence of a separate line does not imply a missing replacement estimate.</x:v>
      </x:c>
      <x:c r="P1484" s="171" t="str">
        <x:v>
FAUJI CEMENT COMPANY LIMITED
FOR THE YEAR ENDED 30 JUNE 2021
162
STATEMENT OF FINANCIAL POSITION
Restated
2021 2020
Note Rupees'000 Rupees'000
EQUITY | Accrued mark-up / interest</x:v>
      </x:c>
    </x:row>
    <x:row r="1485" ht="82" customHeight="1">
      <x:c r="A1485" s="76" t="str">
        <x:v>FCCL|acc_markup|2021</x:v>
      </x:c>
      <x:c r="B1485" s="76" t="str">
        <x:v>FCCL</x:v>
      </x:c>
      <x:c r="C1485" s="76" t="str">
        <x:v>FY2021</x:v>
      </x:c>
      <x:c r="D1485" s="76" t="str">
        <x:v>Accrued mark-up / interest</x:v>
      </x:c>
      <x:c r="E1485" s="170" t="n">
        <x:v>0</x:v>
      </x:c>
      <x:c r="F1485" s="170" t="n">
        <x:v>0</x:v>
      </x:c>
      <x:c r="G1485" s="170" t="str">
        <x:v>Rs '000</x:v>
      </x:c>
      <x:c r="H1485" s="170" t="n">
        <x:f>F1485/1000</x:f>
        <x:v>0</x:v>
      </x:c>
      <x:c r="I1485" s="170" t="n">
        <x:f>FCCL!D53</x:f>
        <x:v>0</x:v>
      </x:c>
      <x:c r="J1485" s="170" t="n">
        <x:f>H1485-I1485</x:f>
        <x:v>0</x:v>
      </x:c>
      <x:c r="K1485" s="76" t="str">
        <x:v>FCCL-Annual-Report-2022.pdf</x:v>
      </x:c>
      <x:c r="L1485" s="76" t="n">
        <x:v>186</x:v>
      </x:c>
      <x:c r="M1485" s="76" t="str">
        <x:v>Comparative</x:v>
      </x:c>
      <x:c r="N1485" s="99" t="str">
        <x:v>Zero / no separate line in audited presentation</x:v>
      </x:c>
      <x:c r="O1485" s="99" t="str">
        <x:v>Zero classification checked within the audited statement/note and reconstructed statement totals; absence of a separate line does not imply a missing replacement estimate.</x:v>
      </x:c>
      <x:c r="P1485" s="99" t="str">
        <x:v>
STATEMENT OF FINANCIAL POSITION
2022 2021
Note Rupees'000 Rupees'000
EQUITY &amp; LIABILITIES 
EQUITY AND RESERVES
Share capital 4 21,803,090 13,798,150  | Accrued mark-up / interest</x:v>
      </x:c>
    </x:row>
    <x:row r="1486" ht="82" customHeight="1">
      <x:c r="A1486" s="168" t="str">
        <x:v>FCCL|acc_markup|2022</x:v>
      </x:c>
      <x:c r="B1486" s="168" t="str">
        <x:v>FCCL</x:v>
      </x:c>
      <x:c r="C1486" s="168" t="str">
        <x:v>FY2022</x:v>
      </x:c>
      <x:c r="D1486" s="168" t="str">
        <x:v>Accrued mark-up / interest</x:v>
      </x:c>
      <x:c r="E1486" s="169" t="n">
        <x:v>0</x:v>
      </x:c>
      <x:c r="F1486" s="169" t="n">
        <x:v>0</x:v>
      </x:c>
      <x:c r="G1486" s="169" t="str">
        <x:v>Rs '000</x:v>
      </x:c>
      <x:c r="H1486" s="169" t="n">
        <x:f>F1486/1000</x:f>
        <x:v>0</x:v>
      </x:c>
      <x:c r="I1486" s="169" t="n">
        <x:f>FCCL!E53</x:f>
        <x:v>0</x:v>
      </x:c>
      <x:c r="J1486" s="169" t="n">
        <x:f>H1486-I1486</x:f>
        <x:v>0</x:v>
      </x:c>
      <x:c r="K1486" s="168" t="str">
        <x:v>FCCL-Annual-Report-2023.pdf</x:v>
      </x:c>
      <x:c r="L1486" s="168" t="n">
        <x:v>208</x:v>
      </x:c>
      <x:c r="M1486" s="168" t="str">
        <x:v>Comparative</x:v>
      </x:c>
      <x:c r="N1486" s="171" t="str">
        <x:v>Zero / no separate line in audited presentation</x:v>
      </x:c>
      <x:c r="O1486" s="171" t="str">
        <x:v>Zero classification checked within the audited statement/note and reconstructed statement totals; absence of a separate line does not imply a missing replacement estimate.</x:v>
      </x:c>
      <x:c r="P1486" s="171" t="str">
        <x:v>
FAUJI CEMENT COMPANY LIMITED
206
Fauji Cement Company Limited
Statement of Financial Position
As at June 30, 2023
2023 2022 2023 2022
Note Rupees’000 | Accrued mark-up / interest</x:v>
      </x:c>
    </x:row>
    <x:row r="1487" ht="82" customHeight="1">
      <x:c r="A1487" s="76" t="str">
        <x:v>FCCL|acc_markup|2023</x:v>
      </x:c>
      <x:c r="B1487" s="76" t="str">
        <x:v>FCCL</x:v>
      </x:c>
      <x:c r="C1487" s="76" t="str">
        <x:v>FY2023</x:v>
      </x:c>
      <x:c r="D1487" s="76" t="str">
        <x:v>Accrued mark-up / interest</x:v>
      </x:c>
      <x:c r="E1487" s="170" t="n">
        <x:v>0</x:v>
      </x:c>
      <x:c r="F1487" s="170" t="n">
        <x:v>0</x:v>
      </x:c>
      <x:c r="G1487" s="170" t="str">
        <x:v>Rs '000</x:v>
      </x:c>
      <x:c r="H1487" s="170" t="n">
        <x:f>F1487/1000</x:f>
        <x:v>0</x:v>
      </x:c>
      <x:c r="I1487" s="170" t="n">
        <x:f>FCCL!F53</x:f>
        <x:v>0</x:v>
      </x:c>
      <x:c r="J1487" s="170" t="n">
        <x:f>H1487-I1487</x:f>
        <x:v>0</x:v>
      </x:c>
      <x:c r="K1487" s="76" t="str">
        <x:v>FCCL-Annual-Report-2024.pdf</x:v>
      </x:c>
      <x:c r="L1487" s="76" t="n">
        <x:v>190</x:v>
      </x:c>
      <x:c r="M1487" s="76" t="str">
        <x:v>Comparative</x:v>
      </x:c>
      <x:c r="N1487" s="99" t="str">
        <x:v>Zero / no separate line in audited presentation</x:v>
      </x:c>
      <x:c r="O1487" s="99" t="str">
        <x:v>Zero classification checked within the audited statement/note and reconstructed statement totals; absence of a separate line does not imply a missing replacement estimate.</x:v>
      </x:c>
      <x:c r="P1487" s="99" t="str">
        <x:v>
 Note 2024 2023
  Rupees’000 Rupees’000
EQUITY &amp; LIABILITIES   
EQUITY AND RESERVES  
 Share capital 4  24,528,476   24,528,476 
 Capital reserv | Accrued mark-up / interest</x:v>
      </x:c>
    </x:row>
    <x:row r="1488" ht="82" customHeight="1">
      <x:c r="A1488" s="168" t="str">
        <x:v>FCCL|acc_markup|2024</x:v>
      </x:c>
      <x:c r="B1488" s="168" t="str">
        <x:v>FCCL</x:v>
      </x:c>
      <x:c r="C1488" s="168" t="str">
        <x:v>FY2024</x:v>
      </x:c>
      <x:c r="D1488" s="168" t="str">
        <x:v>Accrued mark-up / interest</x:v>
      </x:c>
      <x:c r="E1488" s="169" t="n">
        <x:v>0</x:v>
      </x:c>
      <x:c r="F1488" s="169" t="n">
        <x:v>0</x:v>
      </x:c>
      <x:c r="G1488" s="169" t="str">
        <x:v>Rs '000</x:v>
      </x:c>
      <x:c r="H1488" s="169" t="n">
        <x:f>F1488/1000</x:f>
        <x:v>0</x:v>
      </x:c>
      <x:c r="I1488" s="169" t="n">
        <x:f>FCCL!G53</x:f>
        <x:v>0</x:v>
      </x:c>
      <x:c r="J1488" s="169" t="n">
        <x:f>H1488-I1488</x:f>
        <x:v>0</x:v>
      </x:c>
      <x:c r="K1488" s="168" t="str">
        <x:v>FCCL-Annual-Report-2025.pdf</x:v>
      </x:c>
      <x:c r="L1488" s="168" t="n">
        <x:v>244</x:v>
      </x:c>
      <x:c r="M1488" s="168" t="str">
        <x:v>Comparative</x:v>
      </x:c>
      <x:c r="N1488" s="171" t="str">
        <x:v>Zero / no separate line in audited presentation</x:v>
      </x:c>
      <x:c r="O1488" s="171" t="str">
        <x:v>Zero classification checked within the audited statement/note and reconstructed statement totals; absence of a separate line does not imply a missing replacement estimate.</x:v>
      </x:c>
      <x:c r="P1488" s="171" t="str">
        <x:v>
 Note 2025 2024
  Rupees’000 Rupees’000
EQUITY &amp; LIABILITIES  
EQUITY AND RESERVES 
 Share capital 5  24,528,476   24,528,476 
 Capital reserve – | Accrued mark-up / interest</x:v>
      </x:c>
    </x:row>
    <x:row r="1489" ht="82" customHeight="1">
      <x:c r="A1489" s="76" t="str">
        <x:v>FCCL|acc_markup|2025</x:v>
      </x:c>
      <x:c r="B1489" s="76" t="str">
        <x:v>FCCL</x:v>
      </x:c>
      <x:c r="C1489" s="76" t="str">
        <x:v>FY2025</x:v>
      </x:c>
      <x:c r="D1489" s="76" t="str">
        <x:v>Accrued mark-up / interest</x:v>
      </x:c>
      <x:c r="E1489" s="170" t="n">
        <x:v>0</x:v>
      </x:c>
      <x:c r="F1489" s="170" t="n">
        <x:v>0</x:v>
      </x:c>
      <x:c r="G1489" s="170" t="str">
        <x:v>Rs '000</x:v>
      </x:c>
      <x:c r="H1489" s="170" t="n">
        <x:f>F1489/1000</x:f>
        <x:v>0</x:v>
      </x:c>
      <x:c r="I1489" s="170" t="n">
        <x:f>FCCL!H53</x:f>
        <x:v>0</x:v>
      </x:c>
      <x:c r="J1489" s="170" t="n">
        <x:f>H1489-I1489</x:f>
        <x:v>0</x:v>
      </x:c>
      <x:c r="K1489" s="76" t="str">
        <x:v>FCCL-Annual-Report-2025.pdf</x:v>
      </x:c>
      <x:c r="L1489" s="76" t="n">
        <x:v>244</x:v>
      </x:c>
      <x:c r="M1489" s="76" t="str">
        <x:v>Current year</x:v>
      </x:c>
      <x:c r="N1489" s="99" t="str">
        <x:v>Zero / no separate line in audited presentation</x:v>
      </x:c>
      <x:c r="O1489" s="99" t="str">
        <x:v>Zero classification checked within the audited statement/note and reconstructed statement totals; absence of a separate line does not imply a missing replacement estimate.</x:v>
      </x:c>
      <x:c r="P1489" s="99" t="str">
        <x:v>
 Note 2025 2024
  Rupees’000 Rupees’000
EQUITY &amp; LIABILITIES  
EQUITY AND RESERVES 
 Share capital 5  24,528,476   24,528,476 
 Capital reserve – | Accrued mark-up / interest</x:v>
      </x:c>
    </x:row>
    <x:row r="1490" ht="82" customHeight="1">
      <x:c r="A1490" s="168" t="str">
        <x:v>FCCL|stb|2020</x:v>
      </x:c>
      <x:c r="B1490" s="168" t="str">
        <x:v>FCCL</x:v>
      </x:c>
      <x:c r="C1490" s="168" t="str">
        <x:v>FY2020</x:v>
      </x:c>
      <x:c r="D1490" s="168" t="str">
        <x:v>Short-term borrowings (incl. running finance; FCCL parent loan)</x:v>
      </x:c>
      <x:c r="E1490" s="169" t="n">
        <x:v>1869167</x:v>
      </x:c>
      <x:c r="F1490" s="169" t="n">
        <x:v>1869167</x:v>
      </x:c>
      <x:c r="G1490" s="169" t="str">
        <x:v>Rs '000</x:v>
      </x:c>
      <x:c r="H1490" s="169" t="n">
        <x:f>F1490/1000</x:f>
        <x:v>1869.167</x:v>
      </x:c>
      <x:c r="I1490" s="169" t="n">
        <x:f>FCCL!C54</x:f>
        <x:v>1869.167</x:v>
      </x:c>
      <x:c r="J1490" s="169" t="n">
        <x:f>H1490-I1490</x:f>
        <x:v>0</x:v>
      </x:c>
      <x:c r="K1490" s="168" t="str">
        <x:v>FCCL-Annual-Report-2021.pdf</x:v>
      </x:c>
      <x:c r="L1490" s="168" t="n">
        <x:v>164</x:v>
      </x:c>
      <x:c r="M1490" s="168" t="str">
        <x:v>Comparative</x:v>
      </x:c>
      <x:c r="N1490" s="171" t="str">
        <x:v>Printed amount independently located</x:v>
      </x:c>
      <x:c r="O1490" s="171" t="str">
        <x:v>Exact source amount found; audited year/current-comparative column recorded. Accounting subtotal tests performed separately.</x:v>
      </x:c>
      <x:c r="P1490" s="171" t="str">
        <x:v>4,708 
Payable to employees' provident fund trust  10,714  13,528 
Unclaimed dividend  38,479  40,051 
Short term borrowings - secured 12  1,616,787  1,869,167 
Current portion of lease liability 7  24,686  23,737 
Current portion of long term loans 5  361,521  303,912 
 6,146,335  5,182,458 
TOTAL EQUITY AND LIABILITIES  34,052,231  29,</x:v>
      </x:c>
    </x:row>
    <x:row r="1491" ht="82" customHeight="1">
      <x:c r="A1491" s="76" t="str">
        <x:v>FCCL|stb|2021</x:v>
      </x:c>
      <x:c r="B1491" s="76" t="str">
        <x:v>FCCL</x:v>
      </x:c>
      <x:c r="C1491" s="76" t="str">
        <x:v>FY2021</x:v>
      </x:c>
      <x:c r="D1491" s="76" t="str">
        <x:v>Short-term borrowings (incl. running finance; FCCL parent loan)</x:v>
      </x:c>
      <x:c r="E1491" s="170" t="n">
        <x:v>1616787</x:v>
      </x:c>
      <x:c r="F1491" s="170" t="n">
        <x:v>1616787</x:v>
      </x:c>
      <x:c r="G1491" s="170" t="str">
        <x:v>Rs '000</x:v>
      </x:c>
      <x:c r="H1491" s="170" t="n">
        <x:f>F1491/1000</x:f>
        <x:v>1616.787</x:v>
      </x:c>
      <x:c r="I1491" s="170" t="n">
        <x:f>FCCL!D54</x:f>
        <x:v>1616.787</x:v>
      </x:c>
      <x:c r="J1491" s="170" t="n">
        <x:f>H1491-I1491</x:f>
        <x:v>0</x:v>
      </x:c>
      <x:c r="K1491" s="76" t="str">
        <x:v>FCCL-Annual-Report-2022.pdf</x:v>
      </x:c>
      <x:c r="L1491" s="76" t="n">
        <x:v>186</x:v>
      </x:c>
      <x:c r="M1491" s="76" t="str">
        <x:v>Comparative</x:v>
      </x:c>
      <x:c r="N1491" s="99" t="str">
        <x:v>Printed amount independently located</x:v>
      </x:c>
      <x:c r="O1491" s="99" t="str">
        <x:v>Exact source amount found; audited year/current-comparative column recorded. Accounting subtotal tests performed separately.</x:v>
      </x:c>
      <x:c r="P1491" s="99" t="str">
        <x:v>,756 20,862 
Payable to employees' provident fund trust 15,875 10,714 
Unclaimed dividend 37,157 38,479 
Short term borrowings - secured 15 3,218,249 1,616,787 
Current portion of lease liability 8 68,332 24,686 
Current portion of long term loans 6 2,985,087 361,521 
Current portion of deferred government grant 9 366,464 15,654 
26,721,</x:v>
      </x:c>
    </x:row>
    <x:row r="1492" ht="82" customHeight="1">
      <x:c r="A1492" s="168" t="str">
        <x:v>FCCL|stb|2022</x:v>
      </x:c>
      <x:c r="B1492" s="168" t="str">
        <x:v>FCCL</x:v>
      </x:c>
      <x:c r="C1492" s="168" t="str">
        <x:v>FY2022</x:v>
      </x:c>
      <x:c r="D1492" s="168" t="str">
        <x:v>Short-term borrowings (incl. running finance; FCCL parent loan)</x:v>
      </x:c>
      <x:c r="E1492" s="169" t="n">
        <x:v>10605249</x:v>
      </x:c>
      <x:c r="F1492" s="169" t="n">
        <x:v>10605249</x:v>
      </x:c>
      <x:c r="G1492" s="169" t="str">
        <x:v>Rs '000</x:v>
      </x:c>
      <x:c r="H1492" s="169" t="n">
        <x:f>F1492/1000</x:f>
        <x:v>10605.249</x:v>
      </x:c>
      <x:c r="I1492" s="169" t="n">
        <x:f>FCCL!E54</x:f>
        <x:v>10605.249</x:v>
      </x:c>
      <x:c r="J1492" s="169" t="n">
        <x:f>H1492-I1492</x:f>
        <x:v>0</x:v>
      </x:c>
      <x:c r="K1492" s="168" t="str">
        <x:v>FCCL-Annual-Report-2023.pdf</x:v>
      </x:c>
      <x:c r="L1492" s="168" t="n">
        <x:v>208</x:v>
      </x:c>
      <x:c r="M1492" s="168" t="str">
        <x:v>Comparative</x:v>
      </x:c>
      <x:c r="N1492" s="171" t="str">
        <x:v>Aggregated audited components</x:v>
      </x:c>
      <x:c r="O1492" s="171" t="str">
        <x:v>Source-labelled component sum; statement controls and signed-unit conversion independently recomputed.</x:v>
      </x:c>
      <x:c r="P1492" s="171" t="str">
        <x:v>
FAUJI CEMENT COMPANY LIMITED
206
Fauji Cement Company Limited
Statement of Financial Position
As at June 30, 2023
2023 2022 2023 2022
Note Rupees’000 Rupees’000 Note Rupees’000 Ru | Components: Loan from Parent - unsecured; Short term running finance - secured</x:v>
      </x:c>
    </x:row>
    <x:row r="1493" ht="82" customHeight="1">
      <x:c r="A1493" s="76" t="str">
        <x:v>FCCL|stb|2023</x:v>
      </x:c>
      <x:c r="B1493" s="76" t="str">
        <x:v>FCCL</x:v>
      </x:c>
      <x:c r="C1493" s="76" t="str">
        <x:v>FY2023</x:v>
      </x:c>
      <x:c r="D1493" s="76" t="str">
        <x:v>Short-term borrowings (incl. running finance; FCCL parent loan)</x:v>
      </x:c>
      <x:c r="E1493" s="170" t="n">
        <x:v>11917981</x:v>
      </x:c>
      <x:c r="F1493" s="170" t="n">
        <x:v>11917981</x:v>
      </x:c>
      <x:c r="G1493" s="170" t="str">
        <x:v>Rs '000</x:v>
      </x:c>
      <x:c r="H1493" s="170" t="n">
        <x:f>F1493/1000</x:f>
        <x:v>11917.981</x:v>
      </x:c>
      <x:c r="I1493" s="170" t="n">
        <x:f>FCCL!F54</x:f>
        <x:v>11917.981</x:v>
      </x:c>
      <x:c r="J1493" s="170" t="n">
        <x:f>H1493-I1493</x:f>
        <x:v>0</x:v>
      </x:c>
      <x:c r="K1493" s="76" t="str">
        <x:v>FCCL-Annual-Report-2024.pdf</x:v>
      </x:c>
      <x:c r="L1493" s="76" t="n">
        <x:v>190</x:v>
      </x:c>
      <x:c r="M1493" s="76" t="str">
        <x:v>Comparative</x:v>
      </x:c>
      <x:c r="N1493" s="99" t="str">
        <x:v>Aggregated audited components</x:v>
      </x:c>
      <x:c r="O1493" s="99" t="str">
        <x:v>Source-labelled component sum; statement controls and signed-unit conversion independently recomputed.</x:v>
      </x:c>
      <x:c r="P1493" s="99" t="str">
        <x:v>
 Note 2024 2023
  Rupees’000 Rupees’000
EQUITY &amp; LIABILITIES   
EQUITY AND RESERVES  
 Share capital 4  24,528,476   24,528,476 
 Capital reserve - Premium on issue of shares | Components: Loan from Parent - unsecured; Short term running finance - secured</x:v>
      </x:c>
    </x:row>
    <x:row r="1494" ht="82" customHeight="1">
      <x:c r="A1494" s="168" t="str">
        <x:v>FCCL|stb|2024</x:v>
      </x:c>
      <x:c r="B1494" s="168" t="str">
        <x:v>FCCL</x:v>
      </x:c>
      <x:c r="C1494" s="168" t="str">
        <x:v>FY2024</x:v>
      </x:c>
      <x:c r="D1494" s="168" t="str">
        <x:v>Short-term borrowings (incl. running finance; FCCL parent loan)</x:v>
      </x:c>
      <x:c r="E1494" s="169" t="n">
        <x:v>8837934</x:v>
      </x:c>
      <x:c r="F1494" s="169" t="n">
        <x:v>8837934</x:v>
      </x:c>
      <x:c r="G1494" s="169" t="str">
        <x:v>Rs '000</x:v>
      </x:c>
      <x:c r="H1494" s="169" t="n">
        <x:f>F1494/1000</x:f>
        <x:v>8837.934</x:v>
      </x:c>
      <x:c r="I1494" s="169" t="n">
        <x:f>FCCL!G54</x:f>
        <x:v>8837.934</x:v>
      </x:c>
      <x:c r="J1494" s="169" t="n">
        <x:f>H1494-I1494</x:f>
        <x:v>0</x:v>
      </x:c>
      <x:c r="K1494" s="168" t="str">
        <x:v>FCCL-Annual-Report-2025.pdf</x:v>
      </x:c>
      <x:c r="L1494" s="168" t="n">
        <x:v>244</x:v>
      </x:c>
      <x:c r="M1494" s="168" t="str">
        <x:v>Comparative</x:v>
      </x:c>
      <x:c r="N1494" s="171" t="str">
        <x:v>Aggregated audited components</x:v>
      </x:c>
      <x:c r="O1494" s="171" t="str">
        <x:v>Source-labelled component sum; statement controls and signed-unit conversion independently recomputed.</x:v>
      </x:c>
      <x:c r="P1494" s="171" t="str">
        <x:v>
 Note 2025 2024
  Rupees’000 Rupees’000
EQUITY &amp; LIABILITIES  
EQUITY AND RESERVES 
 Share capital 5  24,528,476   24,528,476 
 Capital reserve – Premium on issue of shares    | Components: Loan from Parent - unsecured; Short term running finance - secured</x:v>
      </x:c>
    </x:row>
    <x:row r="1495" ht="82" customHeight="1">
      <x:c r="A1495" s="76" t="str">
        <x:v>FCCL|stb|2025</x:v>
      </x:c>
      <x:c r="B1495" s="76" t="str">
        <x:v>FCCL</x:v>
      </x:c>
      <x:c r="C1495" s="76" t="str">
        <x:v>FY2025</x:v>
      </x:c>
      <x:c r="D1495" s="76" t="str">
        <x:v>Short-term borrowings (incl. running finance; FCCL parent loan)</x:v>
      </x:c>
      <x:c r="E1495" s="170" t="n">
        <x:v>9764648</x:v>
      </x:c>
      <x:c r="F1495" s="170" t="n">
        <x:v>9764648</x:v>
      </x:c>
      <x:c r="G1495" s="170" t="str">
        <x:v>Rs '000</x:v>
      </x:c>
      <x:c r="H1495" s="170" t="n">
        <x:f>F1495/1000</x:f>
        <x:v>9764.648</x:v>
      </x:c>
      <x:c r="I1495" s="170" t="n">
        <x:f>FCCL!H54</x:f>
        <x:v>9764.648</x:v>
      </x:c>
      <x:c r="J1495" s="170" t="n">
        <x:f>H1495-I1495</x:f>
        <x:v>0</x:v>
      </x:c>
      <x:c r="K1495" s="76" t="str">
        <x:v>FCCL-Annual-Report-2025.pdf</x:v>
      </x:c>
      <x:c r="L1495" s="76" t="n">
        <x:v>244</x:v>
      </x:c>
      <x:c r="M1495" s="76" t="str">
        <x:v>Current year</x:v>
      </x:c>
      <x:c r="N1495" s="99" t="str">
        <x:v>Aggregated audited components</x:v>
      </x:c>
      <x:c r="O1495" s="99" t="str">
        <x:v>Source-labelled component sum; statement controls and signed-unit conversion independently recomputed.</x:v>
      </x:c>
      <x:c r="P1495" s="99" t="str">
        <x:v>
 Note 2025 2024
  Rupees’000 Rupees’000
EQUITY &amp; LIABILITIES  
EQUITY AND RESERVES 
 Share capital 5  24,528,476   24,528,476 
 Capital reserve – Premium on issue of shares    | Components: Loan from Parent - unsecured; Short term running finance - secured</x:v>
      </x:c>
    </x:row>
    <x:row r="1496" ht="82" customHeight="1">
      <x:c r="A1496" s="168" t="str">
        <x:v>FCCL|cp_ltf|2020</x:v>
      </x:c>
      <x:c r="B1496" s="168" t="str">
        <x:v>FCCL</x:v>
      </x:c>
      <x:c r="C1496" s="168" t="str">
        <x:v>FY2020</x:v>
      </x:c>
      <x:c r="D1496" s="168" t="str">
        <x:v>Current portion of long-term financing</x:v>
      </x:c>
      <x:c r="E1496" s="169" t="n">
        <x:v>303912</x:v>
      </x:c>
      <x:c r="F1496" s="169" t="n">
        <x:v>303912</x:v>
      </x:c>
      <x:c r="G1496" s="169" t="str">
        <x:v>Rs '000</x:v>
      </x:c>
      <x:c r="H1496" s="169" t="n">
        <x:f>F1496/1000</x:f>
        <x:v>303.912</x:v>
      </x:c>
      <x:c r="I1496" s="169" t="n">
        <x:f>FCCL!C55</x:f>
        <x:v>303.912</x:v>
      </x:c>
      <x:c r="J1496" s="169" t="n">
        <x:f>H1496-I1496</x:f>
        <x:v>0</x:v>
      </x:c>
      <x:c r="K1496" s="168" t="str">
        <x:v>FCCL-Annual-Report-2021.pdf</x:v>
      </x:c>
      <x:c r="L1496" s="168" t="n">
        <x:v>164</x:v>
      </x:c>
      <x:c r="M1496" s="168" t="str">
        <x:v>Comparative</x:v>
      </x:c>
      <x:c r="N1496" s="171" t="str">
        <x:v>Printed amount independently located</x:v>
      </x:c>
      <x:c r="O1496" s="171" t="str">
        <x:v>Exact source amount found; audited year/current-comparative column recorded. Accounting subtotal tests performed separately.</x:v>
      </x:c>
      <x:c r="P1496" s="171" t="str">
        <x:v>m borrowings - secured 12  1,616,787  1,869,167 
Current portion of lease liability 7  24,686  23,737 
Current portion of long term loans 5  361,521  303,912 
 6,146,335  5,182,458 
TOTAL EQUITY AND LIABILITIES  34,052,231  29,207,916 
CONTINGENCIES AND COMMITMENTS 13
The annexed notes 1 to 43 form an integral part of these financial s</x:v>
      </x:c>
    </x:row>
    <x:row r="1497" ht="82" customHeight="1">
      <x:c r="A1497" s="76" t="str">
        <x:v>FCCL|cp_ltf|2021</x:v>
      </x:c>
      <x:c r="B1497" s="76" t="str">
        <x:v>FCCL</x:v>
      </x:c>
      <x:c r="C1497" s="76" t="str">
        <x:v>FY2021</x:v>
      </x:c>
      <x:c r="D1497" s="76" t="str">
        <x:v>Current portion of long-term financing</x:v>
      </x:c>
      <x:c r="E1497" s="170" t="n">
        <x:v>361521</x:v>
      </x:c>
      <x:c r="F1497" s="170" t="n">
        <x:v>361521</x:v>
      </x:c>
      <x:c r="G1497" s="170" t="str">
        <x:v>Rs '000</x:v>
      </x:c>
      <x:c r="H1497" s="170" t="n">
        <x:f>F1497/1000</x:f>
        <x:v>361.521</x:v>
      </x:c>
      <x:c r="I1497" s="170" t="n">
        <x:f>FCCL!D55</x:f>
        <x:v>361.521</x:v>
      </x:c>
      <x:c r="J1497" s="170" t="n">
        <x:f>H1497-I1497</x:f>
        <x:v>0</x:v>
      </x:c>
      <x:c r="K1497" s="76" t="str">
        <x:v>FCCL-Annual-Report-2022.pdf</x:v>
      </x:c>
      <x:c r="L1497" s="76" t="n">
        <x:v>186</x:v>
      </x:c>
      <x:c r="M1497" s="76" t="str">
        <x:v>Comparative</x:v>
      </x:c>
      <x:c r="N1497" s="99" t="str">
        <x:v>Printed amount independently located</x:v>
      </x:c>
      <x:c r="O1497" s="99" t="str">
        <x:v>Exact source amount found; audited year/current-comparative column recorded. Accounting subtotal tests performed separately.</x:v>
      </x:c>
      <x:c r="P1497" s="99" t="str">
        <x:v>term borrowings - secured 15 3,218,249 1,616,787 
Current portion of lease liability 8 68,332 24,686 
Current portion of long term loans 6 2,985,087 361,521 
Current portion of deferred government grant 9 366,464 15,654 
26,721,253 6,161,989 
TOTAL EQUITY AND LIABILITIES 113,698,077 34,052,231 
CONTINGENCIES AND COMMITMENTS 16
The ann</x:v>
      </x:c>
    </x:row>
    <x:row r="1498" ht="82" customHeight="1">
      <x:c r="A1498" s="168" t="str">
        <x:v>FCCL|cp_ltf|2022</x:v>
      </x:c>
      <x:c r="B1498" s="168" t="str">
        <x:v>FCCL</x:v>
      </x:c>
      <x:c r="C1498" s="168" t="str">
        <x:v>FY2022</x:v>
      </x:c>
      <x:c r="D1498" s="168" t="str">
        <x:v>Current portion of long-term financing</x:v>
      </x:c>
      <x:c r="E1498" s="169" t="n">
        <x:v>2985087</x:v>
      </x:c>
      <x:c r="F1498" s="169" t="n">
        <x:v>2985087</x:v>
      </x:c>
      <x:c r="G1498" s="169" t="str">
        <x:v>Rs '000</x:v>
      </x:c>
      <x:c r="H1498" s="169" t="n">
        <x:f>F1498/1000</x:f>
        <x:v>2985.087</x:v>
      </x:c>
      <x:c r="I1498" s="169" t="n">
        <x:f>FCCL!E55</x:f>
        <x:v>2985.087</x:v>
      </x:c>
      <x:c r="J1498" s="169" t="n">
        <x:f>H1498-I1498</x:f>
        <x:v>0</x:v>
      </x:c>
      <x:c r="K1498" s="168" t="str">
        <x:v>FCCL-Annual-Report-2023.pdf</x:v>
      </x:c>
      <x:c r="L1498" s="168" t="n">
        <x:v>208</x:v>
      </x:c>
      <x:c r="M1498" s="168" t="str">
        <x:v>Comparative</x:v>
      </x:c>
      <x:c r="N1498" s="171" t="str">
        <x:v>Printed amount independently located</x:v>
      </x:c>
      <x:c r="O1498" s="171" t="str">
        <x:v>Exact source amount found; audited year/current-comparative column recorded. Accounting subtotal tests performed separately.</x:v>
      </x:c>
      <x:c r="P1498" s="171" t="str">
        <x:v>Current portion of lease liability 7  50,463  68,332 Short term investments 26  250,000  3,843,010 
Current portion of long term loans 5  4,176,493  2,985,087 Cash and bank balances 27  970,457  2,306,633 
Current portion of deferred government grant 8  604,292  366,464  23,134,499  28,216,812 
 28,486,855  26,721,253 
TOTAL EQUITY AND</x:v>
      </x:c>
    </x:row>
    <x:row r="1499" ht="82" customHeight="1">
      <x:c r="A1499" s="76" t="str">
        <x:v>FCCL|cp_ltf|2023</x:v>
      </x:c>
      <x:c r="B1499" s="76" t="str">
        <x:v>FCCL</x:v>
      </x:c>
      <x:c r="C1499" s="76" t="str">
        <x:v>FY2023</x:v>
      </x:c>
      <x:c r="D1499" s="76" t="str">
        <x:v>Current portion of long-term financing</x:v>
      </x:c>
      <x:c r="E1499" s="170" t="n">
        <x:v>4176493</x:v>
      </x:c>
      <x:c r="F1499" s="170" t="n">
        <x:v>4176493</x:v>
      </x:c>
      <x:c r="G1499" s="170" t="str">
        <x:v>Rs '000</x:v>
      </x:c>
      <x:c r="H1499" s="170" t="n">
        <x:f>F1499/1000</x:f>
        <x:v>4176.493</x:v>
      </x:c>
      <x:c r="I1499" s="170" t="n">
        <x:f>FCCL!F55</x:f>
        <x:v>4176.493</x:v>
      </x:c>
      <x:c r="J1499" s="170" t="n">
        <x:f>H1499-I1499</x:f>
        <x:v>0</x:v>
      </x:c>
      <x:c r="K1499" s="76" t="str">
        <x:v>FCCL-Annual-Report-2024.pdf</x:v>
      </x:c>
      <x:c r="L1499" s="76" t="n">
        <x:v>190</x:v>
      </x:c>
      <x:c r="M1499" s="76" t="str">
        <x:v>Comparative</x:v>
      </x:c>
      <x:c r="N1499" s="99" t="str">
        <x:v>Printed amount independently located</x:v>
      </x:c>
      <x:c r="O1499" s="99" t="str">
        <x:v>Exact source amount found; audited year/current-comparative column recorded. Accounting subtotal tests performed separately.</x:v>
      </x:c>
      <x:c r="P1499" s="99" t="str">
        <x:v>81 
 Provision for tax-net   56,810   –   
 Current portion of lease liability 7  46,206   50,463 
 Current portion of long term loans 5  5,066,868   4,176,493 
 Current portion of deferred government grant 8  580,891   604,292 
     26,865,467   28,486,855 
TOTAL EQUITY AND LIABILITIES    147,636,299   138,828,497 
CONTINGENCIES AND</x:v>
      </x:c>
    </x:row>
    <x:row r="1500" ht="82" customHeight="1">
      <x:c r="A1500" s="168" t="str">
        <x:v>FCCL|cp_ltf|2024</x:v>
      </x:c>
      <x:c r="B1500" s="168" t="str">
        <x:v>FCCL</x:v>
      </x:c>
      <x:c r="C1500" s="168" t="str">
        <x:v>FY2024</x:v>
      </x:c>
      <x:c r="D1500" s="168" t="str">
        <x:v>Current portion of long-term financing</x:v>
      </x:c>
      <x:c r="E1500" s="169" t="n">
        <x:v>5066868</x:v>
      </x:c>
      <x:c r="F1500" s="169" t="n">
        <x:v>5066868</x:v>
      </x:c>
      <x:c r="G1500" s="169" t="str">
        <x:v>Rs '000</x:v>
      </x:c>
      <x:c r="H1500" s="169" t="n">
        <x:f>F1500/1000</x:f>
        <x:v>5066.868</x:v>
      </x:c>
      <x:c r="I1500" s="169" t="n">
        <x:f>FCCL!G55</x:f>
        <x:v>5066.868</x:v>
      </x:c>
      <x:c r="J1500" s="169" t="n">
        <x:f>H1500-I1500</x:f>
        <x:v>0</x:v>
      </x:c>
      <x:c r="K1500" s="168" t="str">
        <x:v>FCCL-Annual-Report-2025.pdf</x:v>
      </x:c>
      <x:c r="L1500" s="168" t="n">
        <x:v>244</x:v>
      </x:c>
      <x:c r="M1500" s="168" t="str">
        <x:v>Comparative</x:v>
      </x:c>
      <x:c r="N1500" s="171" t="str">
        <x:v>Printed amount independently located</x:v>
      </x:c>
      <x:c r="O1500" s="171" t="str">
        <x:v>Exact source amount found; audited year/current-comparative column recorded. Accounting subtotal tests performed separately.</x:v>
      </x:c>
      <x:c r="P1500" s="171" t="str">
        <x:v>term running finance – secured  15  2,192,462   1,450,934 
 Provision for tax – net  –     56,810 
 Current portion of long term loans 6  6,104,065   5,066,868 
 Current portion of lease liability 8  43,099   46,206 
 Current portion of deferred government grant 9  515,175   580,891 
     30,637,497   26,865,467 
TOTAL EQUITY AND LIABI</x:v>
      </x:c>
    </x:row>
    <x:row r="1501" ht="82" customHeight="1">
      <x:c r="A1501" s="76" t="str">
        <x:v>FCCL|cp_ltf|2025</x:v>
      </x:c>
      <x:c r="B1501" s="76" t="str">
        <x:v>FCCL</x:v>
      </x:c>
      <x:c r="C1501" s="76" t="str">
        <x:v>FY2025</x:v>
      </x:c>
      <x:c r="D1501" s="76" t="str">
        <x:v>Current portion of long-term financing</x:v>
      </x:c>
      <x:c r="E1501" s="170" t="n">
        <x:v>6104065</x:v>
      </x:c>
      <x:c r="F1501" s="170" t="n">
        <x:v>6104065</x:v>
      </x:c>
      <x:c r="G1501" s="170" t="str">
        <x:v>Rs '000</x:v>
      </x:c>
      <x:c r="H1501" s="170" t="n">
        <x:f>F1501/1000</x:f>
        <x:v>6104.065</x:v>
      </x:c>
      <x:c r="I1501" s="170" t="n">
        <x:f>FCCL!H55</x:f>
        <x:v>6104.065</x:v>
      </x:c>
      <x:c r="J1501" s="170" t="n">
        <x:f>H1501-I1501</x:f>
        <x:v>0</x:v>
      </x:c>
      <x:c r="K1501" s="76" t="str">
        <x:v>FCCL-Annual-Report-2025.pdf</x:v>
      </x:c>
      <x:c r="L1501" s="76" t="n">
        <x:v>244</x:v>
      </x:c>
      <x:c r="M1501" s="76" t="str">
        <x:v>Current year</x:v>
      </x:c>
      <x:c r="N1501" s="99" t="str">
        <x:v>Printed amount independently located</x:v>
      </x:c>
      <x:c r="O1501" s="99" t="str">
        <x:v>Exact source amount found; audited year/current-comparative column recorded. Accounting subtotal tests performed separately.</x:v>
      </x:c>
      <x:c r="P1501" s="99" t="str">
        <x:v>646 
 Short term running finance – secured  15  2,192,462   1,450,934 
 Provision for tax – net  –     56,810 
 Current portion of long term loans 6  6,104,065   5,066,868 
 Current portion of lease liability 8  43,099   46,206 
 Current portion of deferred government grant 9  515,175   580,891 
     30,637,497   26,865,467 
TOTAL EQUI</x:v>
      </x:c>
    </x:row>
    <x:row r="1502" ht="82" customHeight="1">
      <x:c r="A1502" s="168" t="str">
        <x:v>FCCL|cp_lease|2020</x:v>
      </x:c>
      <x:c r="B1502" s="168" t="str">
        <x:v>FCCL</x:v>
      </x:c>
      <x:c r="C1502" s="168" t="str">
        <x:v>FY2020</x:v>
      </x:c>
      <x:c r="D1502" s="168" t="str">
        <x:v>Current portion of lease liabilities</x:v>
      </x:c>
      <x:c r="E1502" s="169" t="n">
        <x:v>23737</x:v>
      </x:c>
      <x:c r="F1502" s="169" t="n">
        <x:v>23737</x:v>
      </x:c>
      <x:c r="G1502" s="169" t="str">
        <x:v>Rs '000</x:v>
      </x:c>
      <x:c r="H1502" s="169" t="n">
        <x:f>F1502/1000</x:f>
        <x:v>23.737</x:v>
      </x:c>
      <x:c r="I1502" s="169" t="n">
        <x:f>FCCL!C56</x:f>
        <x:v>23.737</x:v>
      </x:c>
      <x:c r="J1502" s="169" t="n">
        <x:f>H1502-I1502</x:f>
        <x:v>0</x:v>
      </x:c>
      <x:c r="K1502" s="168" t="str">
        <x:v>FCCL-Annual-Report-2021.pdf</x:v>
      </x:c>
      <x:c r="L1502" s="168" t="n">
        <x:v>164</x:v>
      </x:c>
      <x:c r="M1502" s="168" t="str">
        <x:v>Comparative</x:v>
      </x:c>
      <x:c r="N1502" s="171" t="str">
        <x:v>Printed amount independently located</x:v>
      </x:c>
      <x:c r="O1502" s="171" t="str">
        <x:v>Exact source amount found; audited year/current-comparative column recorded. Accounting subtotal tests performed separately.</x:v>
      </x:c>
      <x:c r="P1502" s="171" t="str">
        <x:v>13,528 
Unclaimed dividend  38,479  40,051 
Short term borrowings - secured 12  1,616,787  1,869,167 
Current portion of lease liability 7  24,686  23,737 
Current portion of long term loans 5  361,521  303,912 
 6,146,335  5,182,458 
TOTAL EQUITY AND LIABILITIES  34,052,231  29,207,916 
CONTINGENCIES AND COMMITMENTS 13
The annexed</x:v>
      </x:c>
    </x:row>
    <x:row r="1503" ht="82" customHeight="1">
      <x:c r="A1503" s="76" t="str">
        <x:v>FCCL|cp_lease|2021</x:v>
      </x:c>
      <x:c r="B1503" s="76" t="str">
        <x:v>FCCL</x:v>
      </x:c>
      <x:c r="C1503" s="76" t="str">
        <x:v>FY2021</x:v>
      </x:c>
      <x:c r="D1503" s="76" t="str">
        <x:v>Current portion of lease liabilities</x:v>
      </x:c>
      <x:c r="E1503" s="170" t="n">
        <x:v>24686</x:v>
      </x:c>
      <x:c r="F1503" s="170" t="n">
        <x:v>24686</x:v>
      </x:c>
      <x:c r="G1503" s="170" t="str">
        <x:v>Rs '000</x:v>
      </x:c>
      <x:c r="H1503" s="170" t="n">
        <x:f>F1503/1000</x:f>
        <x:v>24.686</x:v>
      </x:c>
      <x:c r="I1503" s="170" t="n">
        <x:f>FCCL!D56</x:f>
        <x:v>24.686</x:v>
      </x:c>
      <x:c r="J1503" s="170" t="n">
        <x:f>H1503-I1503</x:f>
        <x:v>0</x:v>
      </x:c>
      <x:c r="K1503" s="76" t="str">
        <x:v>FCCL-Annual-Report-2022.pdf</x:v>
      </x:c>
      <x:c r="L1503" s="76" t="n">
        <x:v>186</x:v>
      </x:c>
      <x:c r="M1503" s="76" t="str">
        <x:v>Comparative</x:v>
      </x:c>
      <x:c r="N1503" s="99" t="str">
        <x:v>Printed amount independently located</x:v>
      </x:c>
      <x:c r="O1503" s="99" t="str">
        <x:v>Exact source amount found; audited year/current-comparative column recorded. Accounting subtotal tests performed separately.</x:v>
      </x:c>
      <x:c r="P1503" s="99" t="str">
        <x:v>15,875 10,714 
Unclaimed dividend 37,157 38,479 
Short term borrowings - secured 15 3,218,249 1,616,787 
Current portion of lease liability 8 68,332 24,686 
Current portion of long term loans 6 2,985,087 361,521 
Current portion of deferred government grant 9 366,464 15,654 
26,721,253 6,161,989 
TOTAL EQUITY AND LIABILITIES 113,698,</x:v>
      </x:c>
    </x:row>
    <x:row r="1504" ht="82" customHeight="1">
      <x:c r="A1504" s="168" t="str">
        <x:v>FCCL|cp_lease|2022</x:v>
      </x:c>
      <x:c r="B1504" s="168" t="str">
        <x:v>FCCL</x:v>
      </x:c>
      <x:c r="C1504" s="168" t="str">
        <x:v>FY2022</x:v>
      </x:c>
      <x:c r="D1504" s="168" t="str">
        <x:v>Current portion of lease liabilities</x:v>
      </x:c>
      <x:c r="E1504" s="169" t="n">
        <x:v>68332</x:v>
      </x:c>
      <x:c r="F1504" s="169" t="n">
        <x:v>68332</x:v>
      </x:c>
      <x:c r="G1504" s="169" t="str">
        <x:v>Rs '000</x:v>
      </x:c>
      <x:c r="H1504" s="169" t="n">
        <x:f>F1504/1000</x:f>
        <x:v>68.332</x:v>
      </x:c>
      <x:c r="I1504" s="169" t="n">
        <x:f>FCCL!E56</x:f>
        <x:v>68.332</x:v>
      </x:c>
      <x:c r="J1504" s="169" t="n">
        <x:f>H1504-I1504</x:f>
        <x:v>0</x:v>
      </x:c>
      <x:c r="K1504" s="168" t="str">
        <x:v>FCCL-Annual-Report-2023.pdf</x:v>
      </x:c>
      <x:c r="L1504" s="168" t="n">
        <x:v>208</x:v>
      </x:c>
      <x:c r="M1504" s="168" t="str">
        <x:v>Comparative</x:v>
      </x:c>
      <x:c r="N1504" s="171" t="str">
        <x:v>Printed amount independently located</x:v>
      </x:c>
      <x:c r="O1504" s="171" t="str">
        <x:v>Exact source amount found; audited year/current-comparative column recorded. Accounting subtotal tests performed separately.</x:v>
      </x:c>
      <x:c r="P1504" s="171" t="str">
        <x:v>Short term running finance - secured 14  4,530,981  3,218,249 Other receivables 25  282,463  175,443 
Current portion of lease liability 7  50,463  68,332 Short term investments 26  250,000  3,843,010 
Current portion of long term loans 5  4,176,493  2,985,087 Cash and bank balances 27  970,457  2,306,633 
Current portion of deferre</x:v>
      </x:c>
    </x:row>
    <x:row r="1505" ht="82" customHeight="1">
      <x:c r="A1505" s="76" t="str">
        <x:v>FCCL|cp_lease|2023</x:v>
      </x:c>
      <x:c r="B1505" s="76" t="str">
        <x:v>FCCL</x:v>
      </x:c>
      <x:c r="C1505" s="76" t="str">
        <x:v>FY2023</x:v>
      </x:c>
      <x:c r="D1505" s="76" t="str">
        <x:v>Current portion of lease liabilities</x:v>
      </x:c>
      <x:c r="E1505" s="170" t="n">
        <x:v>50463</x:v>
      </x:c>
      <x:c r="F1505" s="170" t="n">
        <x:v>50463</x:v>
      </x:c>
      <x:c r="G1505" s="170" t="str">
        <x:v>Rs '000</x:v>
      </x:c>
      <x:c r="H1505" s="170" t="n">
        <x:f>F1505/1000</x:f>
        <x:v>50.463</x:v>
      </x:c>
      <x:c r="I1505" s="170" t="n">
        <x:f>FCCL!F56</x:f>
        <x:v>50.463</x:v>
      </x:c>
      <x:c r="J1505" s="170" t="n">
        <x:f>H1505-I1505</x:f>
        <x:v>0</x:v>
      </x:c>
      <x:c r="K1505" s="76" t="str">
        <x:v>FCCL-Annual-Report-2024.pdf</x:v>
      </x:c>
      <x:c r="L1505" s="76" t="n">
        <x:v>190</x:v>
      </x:c>
      <x:c r="M1505" s="76" t="str">
        <x:v>Comparative</x:v>
      </x:c>
      <x:c r="N1505" s="99" t="str">
        <x:v>Printed amount independently located</x:v>
      </x:c>
      <x:c r="O1505" s="99" t="str">
        <x:v>Exact source amount found; audited year/current-comparative column recorded. Accounting subtotal tests performed separately.</x:v>
      </x:c>
      <x:c r="P1505" s="99" t="str">
        <x:v>ort term running finance - secured  14  1,450,934   4,530,981 
 Provision for tax-net   56,810   –   
 Current portion of lease liability 7  46,206   50,463 
 Current portion of long term loans 5  5,066,868   4,176,493 
 Current portion of deferred government grant 8  580,891   604,292 
     26,865,467   28,486,855 
TOTAL EQUITY AN</x:v>
      </x:c>
    </x:row>
    <x:row r="1506" ht="82" customHeight="1">
      <x:c r="A1506" s="168" t="str">
        <x:v>FCCL|cp_lease|2024</x:v>
      </x:c>
      <x:c r="B1506" s="168" t="str">
        <x:v>FCCL</x:v>
      </x:c>
      <x:c r="C1506" s="168" t="str">
        <x:v>FY2024</x:v>
      </x:c>
      <x:c r="D1506" s="168" t="str">
        <x:v>Current portion of lease liabilities</x:v>
      </x:c>
      <x:c r="E1506" s="169" t="n">
        <x:v>46206</x:v>
      </x:c>
      <x:c r="F1506" s="169" t="n">
        <x:v>46206</x:v>
      </x:c>
      <x:c r="G1506" s="169" t="str">
        <x:v>Rs '000</x:v>
      </x:c>
      <x:c r="H1506" s="169" t="n">
        <x:f>F1506/1000</x:f>
        <x:v>46.206</x:v>
      </x:c>
      <x:c r="I1506" s="169" t="n">
        <x:f>FCCL!G56</x:f>
        <x:v>46.206</x:v>
      </x:c>
      <x:c r="J1506" s="169" t="n">
        <x:f>H1506-I1506</x:f>
        <x:v>0</x:v>
      </x:c>
      <x:c r="K1506" s="168" t="str">
        <x:v>FCCL-Annual-Report-2025.pdf</x:v>
      </x:c>
      <x:c r="L1506" s="168" t="n">
        <x:v>244</x:v>
      </x:c>
      <x:c r="M1506" s="168" t="str">
        <x:v>Comparative</x:v>
      </x:c>
      <x:c r="N1506" s="171" t="str">
        <x:v>Printed amount independently located</x:v>
      </x:c>
      <x:c r="O1506" s="171" t="str">
        <x:v>Exact source amount found; audited year/current-comparative column recorded. Accounting subtotal tests performed separately.</x:v>
      </x:c>
      <x:c r="P1506" s="171" t="str">
        <x:v>Provision for tax – net  –     56,810 
 Current portion of long term loans 6  6,104,065   5,066,868 
 Current portion of lease liability 8  43,099   46,206 
 Current portion of deferred government grant 9  515,175   580,891 
     30,637,497   26,865,467 
TOTAL EQUITY AND LIABILITIES    160,845,191   147,636,299 
CONTINGENCIES AND C</x:v>
      </x:c>
    </x:row>
    <x:row r="1507" ht="82" customHeight="1">
      <x:c r="A1507" s="76" t="str">
        <x:v>FCCL|cp_lease|2025</x:v>
      </x:c>
      <x:c r="B1507" s="76" t="str">
        <x:v>FCCL</x:v>
      </x:c>
      <x:c r="C1507" s="76" t="str">
        <x:v>FY2025</x:v>
      </x:c>
      <x:c r="D1507" s="76" t="str">
        <x:v>Current portion of lease liabilities</x:v>
      </x:c>
      <x:c r="E1507" s="170" t="n">
        <x:v>43099</x:v>
      </x:c>
      <x:c r="F1507" s="170" t="n">
        <x:v>43099</x:v>
      </x:c>
      <x:c r="G1507" s="170" t="str">
        <x:v>Rs '000</x:v>
      </x:c>
      <x:c r="H1507" s="170" t="n">
        <x:f>F1507/1000</x:f>
        <x:v>43.099</x:v>
      </x:c>
      <x:c r="I1507" s="170" t="n">
        <x:f>FCCL!H56</x:f>
        <x:v>43.099</x:v>
      </x:c>
      <x:c r="J1507" s="170" t="n">
        <x:f>H1507-I1507</x:f>
        <x:v>0</x:v>
      </x:c>
      <x:c r="K1507" s="76" t="str">
        <x:v>FCCL-Annual-Report-2025.pdf</x:v>
      </x:c>
      <x:c r="L1507" s="76" t="n">
        <x:v>244</x:v>
      </x:c>
      <x:c r="M1507" s="76" t="str">
        <x:v>Current year</x:v>
      </x:c>
      <x:c r="N1507" s="99" t="str">
        <x:v>Printed amount independently located</x:v>
      </x:c>
      <x:c r="O1507" s="99" t="str">
        <x:v>Exact source amount found; audited year/current-comparative column recorded. Accounting subtotal tests performed separately.</x:v>
      </x:c>
      <x:c r="P1507" s="99" t="str">
        <x:v>450,934 
 Provision for tax – net  –     56,810 
 Current portion of long term loans 6  6,104,065   5,066,868 
 Current portion of lease liability 8  43,099   46,206 
 Current portion of deferred government grant 9  515,175   580,891 
     30,637,497   26,865,467 
TOTAL EQUITY AND LIABILITIES    160,845,191   147,636,299 
CONTINGENC</x:v>
      </x:c>
    </x:row>
    <x:row r="1508" ht="82" customHeight="1">
      <x:c r="A1508" s="168" t="str">
        <x:v>FCCL|cp_grant|2020</x:v>
      </x:c>
      <x:c r="B1508" s="168" t="str">
        <x:v>FCCL</x:v>
      </x:c>
      <x:c r="C1508" s="168" t="str">
        <x:v>FY2020</x:v>
      </x:c>
      <x:c r="D1508" s="168" t="str">
        <x:v>Current portion of deferred government grant</x:v>
      </x:c>
      <x:c r="E1508" s="169" t="n">
        <x:v>0</x:v>
      </x:c>
      <x:c r="F1508" s="169" t="n">
        <x:v>0</x:v>
      </x:c>
      <x:c r="G1508" s="169" t="str">
        <x:v>Rs '000</x:v>
      </x:c>
      <x:c r="H1508" s="169" t="n">
        <x:f>F1508/1000</x:f>
        <x:v>0</x:v>
      </x:c>
      <x:c r="I1508" s="169" t="n">
        <x:f>FCCL!C57</x:f>
        <x:v>0</x:v>
      </x:c>
      <x:c r="J1508" s="169" t="n">
        <x:f>H1508-I1508</x:f>
        <x:v>0</x:v>
      </x:c>
      <x:c r="K1508" s="168" t="str">
        <x:v>FCCL-Annual-Report-2021.pdf</x:v>
      </x:c>
      <x:c r="L1508" s="168" t="n">
        <x:v>164</x:v>
      </x:c>
      <x:c r="M1508" s="168" t="str">
        <x:v>Comparative</x:v>
      </x:c>
      <x:c r="N1508" s="171" t="str">
        <x:v>Zero / no separate line in audited presentation</x:v>
      </x:c>
      <x:c r="O1508" s="171" t="str">
        <x:v>Zero classification checked within the audited statement/note and reconstructed statement totals; absence of a separate line does not imply a missing replacement estimate.</x:v>
      </x:c>
      <x:c r="P1508" s="171" t="str">
        <x:v>
FAUJI CEMENT COMPANY LIMITED
FOR THE YEAR ENDED 30 JUNE 2021
162
STATEMENT OF FINANCIAL POSITION
Restated
2021 2020
Note Rupees'000 Rupees'000
EQUITY | Current portion of deferred government grant</x:v>
      </x:c>
    </x:row>
    <x:row r="1509" ht="82" customHeight="1">
      <x:c r="A1509" s="76" t="str">
        <x:v>FCCL|cp_grant|2021</x:v>
      </x:c>
      <x:c r="B1509" s="76" t="str">
        <x:v>FCCL</x:v>
      </x:c>
      <x:c r="C1509" s="76" t="str">
        <x:v>FY2021</x:v>
      </x:c>
      <x:c r="D1509" s="76" t="str">
        <x:v>Current portion of deferred government grant</x:v>
      </x:c>
      <x:c r="E1509" s="170" t="n">
        <x:v>15654</x:v>
      </x:c>
      <x:c r="F1509" s="170" t="n">
        <x:v>15654</x:v>
      </x:c>
      <x:c r="G1509" s="170" t="str">
        <x:v>Rs '000</x:v>
      </x:c>
      <x:c r="H1509" s="170" t="n">
        <x:f>F1509/1000</x:f>
        <x:v>15.654</x:v>
      </x:c>
      <x:c r="I1509" s="170" t="n">
        <x:f>FCCL!D57</x:f>
        <x:v>15.654</x:v>
      </x:c>
      <x:c r="J1509" s="170" t="n">
        <x:f>H1509-I1509</x:f>
        <x:v>0</x:v>
      </x:c>
      <x:c r="K1509" s="76" t="str">
        <x:v>FCCL-Annual-Report-2022.pdf</x:v>
      </x:c>
      <x:c r="L1509" s="76" t="n">
        <x:v>186</x:v>
      </x:c>
      <x:c r="M1509" s="76" t="str">
        <x:v>Comparative</x:v>
      </x:c>
      <x:c r="N1509" s="99" t="str">
        <x:v>Printed amount independently located</x:v>
      </x:c>
      <x:c r="O1509" s="99" t="str">
        <x:v>Exact source amount found; audited year/current-comparative column recorded. Accounting subtotal tests performed separately.</x:v>
      </x:c>
      <x:c r="P1509" s="99" t="str">
        <x:v>on of lease liability 8 68,332 24,686 
Current portion of long term loans 6 2,985,087 361,521 
Current portion of deferred government grant 9 366,464 15,654 
26,721,253 6,161,989 
TOTAL EQUITY AND LIABILITIES 113,698,077 34,052,231 
CONTINGENCIES AND COMMITMENTS 16
The annexed notes 1 to 49 form an integral part of these financial sta</x:v>
      </x:c>
    </x:row>
    <x:row r="1510" ht="82" customHeight="1">
      <x:c r="A1510" s="168" t="str">
        <x:v>FCCL|cp_grant|2022</x:v>
      </x:c>
      <x:c r="B1510" s="168" t="str">
        <x:v>FCCL</x:v>
      </x:c>
      <x:c r="C1510" s="168" t="str">
        <x:v>FY2022</x:v>
      </x:c>
      <x:c r="D1510" s="168" t="str">
        <x:v>Current portion of deferred government grant</x:v>
      </x:c>
      <x:c r="E1510" s="169" t="n">
        <x:v>366464</x:v>
      </x:c>
      <x:c r="F1510" s="169" t="n">
        <x:v>366464</x:v>
      </x:c>
      <x:c r="G1510" s="169" t="str">
        <x:v>Rs '000</x:v>
      </x:c>
      <x:c r="H1510" s="169" t="n">
        <x:f>F1510/1000</x:f>
        <x:v>366.464</x:v>
      </x:c>
      <x:c r="I1510" s="169" t="n">
        <x:f>FCCL!E57</x:f>
        <x:v>366.464</x:v>
      </x:c>
      <x:c r="J1510" s="169" t="n">
        <x:f>H1510-I1510</x:f>
        <x:v>0</x:v>
      </x:c>
      <x:c r="K1510" s="168" t="str">
        <x:v>FCCL-Annual-Report-2023.pdf</x:v>
      </x:c>
      <x:c r="L1510" s="168" t="n">
        <x:v>208</x:v>
      </x:c>
      <x:c r="M1510" s="168" t="str">
        <x:v>Comparative</x:v>
      </x:c>
      <x:c r="N1510" s="171" t="str">
        <x:v>Printed amount independently located</x:v>
      </x:c>
      <x:c r="O1510" s="171" t="str">
        <x:v>Exact source amount found; audited year/current-comparative column recorded. Accounting subtotal tests performed separately.</x:v>
      </x:c>
      <x:c r="P1510" s="171" t="str">
        <x:v>on of long term loans 5  4,176,493  2,985,087 Cash and bank balances 27  970,457  2,306,633 
Current portion of deferred government grant 8  604,292  366,464  23,134,499  28,216,812 
 28,486,855  26,721,253 
TOTAL EQUITY AND LIABILITIES  138,828,497  113,698,077 TOTAL ASSETS  138,828,497  113,698,077 
CONTINGENCIES AND COMMITMENTS 15
T</x:v>
      </x:c>
    </x:row>
    <x:row r="1511" ht="82" customHeight="1">
      <x:c r="A1511" s="76" t="str">
        <x:v>FCCL|cp_grant|2023</x:v>
      </x:c>
      <x:c r="B1511" s="76" t="str">
        <x:v>FCCL</x:v>
      </x:c>
      <x:c r="C1511" s="76" t="str">
        <x:v>FY2023</x:v>
      </x:c>
      <x:c r="D1511" s="76" t="str">
        <x:v>Current portion of deferred government grant</x:v>
      </x:c>
      <x:c r="E1511" s="170" t="n">
        <x:v>604292</x:v>
      </x:c>
      <x:c r="F1511" s="170" t="n">
        <x:v>604292</x:v>
      </x:c>
      <x:c r="G1511" s="170" t="str">
        <x:v>Rs '000</x:v>
      </x:c>
      <x:c r="H1511" s="170" t="n">
        <x:f>F1511/1000</x:f>
        <x:v>604.292</x:v>
      </x:c>
      <x:c r="I1511" s="170" t="n">
        <x:f>FCCL!F57</x:f>
        <x:v>604.292</x:v>
      </x:c>
      <x:c r="J1511" s="170" t="n">
        <x:f>H1511-I1511</x:f>
        <x:v>0</x:v>
      </x:c>
      <x:c r="K1511" s="76" t="str">
        <x:v>FCCL-Annual-Report-2024.pdf</x:v>
      </x:c>
      <x:c r="L1511" s="76" t="n">
        <x:v>190</x:v>
      </x:c>
      <x:c r="M1511" s="76" t="str">
        <x:v>Comparative</x:v>
      </x:c>
      <x:c r="N1511" s="99" t="str">
        <x:v>Printed amount independently located</x:v>
      </x:c>
      <x:c r="O1511" s="99" t="str">
        <x:v>Exact source amount found; audited year/current-comparative column recorded. Accounting subtotal tests performed separately.</x:v>
      </x:c>
      <x:c r="P1511" s="99" t="str">
        <x:v>iability 7  46,206   50,463 
 Current portion of long term loans 5  5,066,868   4,176,493 
 Current portion of deferred government grant 8  580,891   604,292 
     26,865,467   28,486,855 
TOTAL EQUITY AND LIABILITIES    147,636,299   138,828,497 
CONTINGENCIES AND COMMITMENTS 15  
The annexed notes 1 to 45 form an integral pa</x:v>
      </x:c>
    </x:row>
    <x:row r="1512" ht="82" customHeight="1">
      <x:c r="A1512" s="168" t="str">
        <x:v>FCCL|cp_grant|2024</x:v>
      </x:c>
      <x:c r="B1512" s="168" t="str">
        <x:v>FCCL</x:v>
      </x:c>
      <x:c r="C1512" s="168" t="str">
        <x:v>FY2024</x:v>
      </x:c>
      <x:c r="D1512" s="168" t="str">
        <x:v>Current portion of deferred government grant</x:v>
      </x:c>
      <x:c r="E1512" s="169" t="n">
        <x:v>580891</x:v>
      </x:c>
      <x:c r="F1512" s="169" t="n">
        <x:v>580891</x:v>
      </x:c>
      <x:c r="G1512" s="169" t="str">
        <x:v>Rs '000</x:v>
      </x:c>
      <x:c r="H1512" s="169" t="n">
        <x:f>F1512/1000</x:f>
        <x:v>580.891</x:v>
      </x:c>
      <x:c r="I1512" s="169" t="n">
        <x:f>FCCL!G57</x:f>
        <x:v>580.891</x:v>
      </x:c>
      <x:c r="J1512" s="169" t="n">
        <x:f>H1512-I1512</x:f>
        <x:v>0</x:v>
      </x:c>
      <x:c r="K1512" s="168" t="str">
        <x:v>FCCL-Annual-Report-2025.pdf</x:v>
      </x:c>
      <x:c r="L1512" s="168" t="n">
        <x:v>244</x:v>
      </x:c>
      <x:c r="M1512" s="168" t="str">
        <x:v>Comparative</x:v>
      </x:c>
      <x:c r="N1512" s="171" t="str">
        <x:v>Printed amount independently located</x:v>
      </x:c>
      <x:c r="O1512" s="171" t="str">
        <x:v>Exact source amount found; audited year/current-comparative column recorded. Accounting subtotal tests performed separately.</x:v>
      </x:c>
      <x:c r="P1512" s="171" t="str">
        <x:v>rm loans 6  6,104,065   5,066,868 
 Current portion of lease liability 8  43,099   46,206 
 Current portion of deferred government grant 9  515,175   580,891 
     30,637,497   26,865,467 
TOTAL EQUITY AND LIABILITIES    160,845,191   147,636,299 
CONTINGENCIES AND COMMITMENTS 16
The annexed notes 1 to 47 form an integral part of</x:v>
      </x:c>
    </x:row>
    <x:row r="1513" ht="82" customHeight="1">
      <x:c r="A1513" s="76" t="str">
        <x:v>FCCL|cp_grant|2025</x:v>
      </x:c>
      <x:c r="B1513" s="76" t="str">
        <x:v>FCCL</x:v>
      </x:c>
      <x:c r="C1513" s="76" t="str">
        <x:v>FY2025</x:v>
      </x:c>
      <x:c r="D1513" s="76" t="str">
        <x:v>Current portion of deferred government grant</x:v>
      </x:c>
      <x:c r="E1513" s="170" t="n">
        <x:v>515175</x:v>
      </x:c>
      <x:c r="F1513" s="170" t="n">
        <x:v>515175</x:v>
      </x:c>
      <x:c r="G1513" s="170" t="str">
        <x:v>Rs '000</x:v>
      </x:c>
      <x:c r="H1513" s="170" t="n">
        <x:f>F1513/1000</x:f>
        <x:v>515.175</x:v>
      </x:c>
      <x:c r="I1513" s="170" t="n">
        <x:f>FCCL!H57</x:f>
        <x:v>515.175</x:v>
      </x:c>
      <x:c r="J1513" s="170" t="n">
        <x:f>H1513-I1513</x:f>
        <x:v>0</x:v>
      </x:c>
      <x:c r="K1513" s="76" t="str">
        <x:v>FCCL-Annual-Report-2025.pdf</x:v>
      </x:c>
      <x:c r="L1513" s="76" t="n">
        <x:v>244</x:v>
      </x:c>
      <x:c r="M1513" s="76" t="str">
        <x:v>Current year</x:v>
      </x:c>
      <x:c r="N1513" s="99" t="str">
        <x:v>Printed amount independently located</x:v>
      </x:c>
      <x:c r="O1513" s="99" t="str">
        <x:v>Exact source amount found; audited year/current-comparative column recorded. Accounting subtotal tests performed separately.</x:v>
      </x:c>
      <x:c r="P1513" s="99" t="str">
        <x:v>of long term loans 6  6,104,065   5,066,868 
 Current portion of lease liability 8  43,099   46,206 
 Current portion of deferred government grant 9  515,175   580,891 
     30,637,497   26,865,467 
TOTAL EQUITY AND LIABILITIES    160,845,191   147,636,299 
CONTINGENCIES AND COMMITMENTS 16
The annexed notes 1 to 47 form an integra</x:v>
      </x:c>
    </x:row>
    <x:row r="1514" ht="82" customHeight="1">
      <x:c r="A1514" s="168" t="str">
        <x:v>FCCL|div_liab|2020</x:v>
      </x:c>
      <x:c r="B1514" s="168" t="str">
        <x:v>FCCL</x:v>
      </x:c>
      <x:c r="C1514" s="168" t="str">
        <x:v>FY2020</x:v>
      </x:c>
      <x:c r="D1514" s="168" t="str">
        <x:v>Unclaimed / unpaid dividends</x:v>
      </x:c>
      <x:c r="E1514" s="169" t="n">
        <x:v>40051</x:v>
      </x:c>
      <x:c r="F1514" s="169" t="n">
        <x:v>40051</x:v>
      </x:c>
      <x:c r="G1514" s="169" t="str">
        <x:v>Rs '000</x:v>
      </x:c>
      <x:c r="H1514" s="169" t="n">
        <x:f>F1514/1000</x:f>
        <x:v>40.051</x:v>
      </x:c>
      <x:c r="I1514" s="169" t="n">
        <x:f>FCCL!C58</x:f>
        <x:v>40.051</x:v>
      </x:c>
      <x:c r="J1514" s="169" t="n">
        <x:f>H1514-I1514</x:f>
        <x:v>0</x:v>
      </x:c>
      <x:c r="K1514" s="168" t="str">
        <x:v>FCCL-Annual-Report-2021.pdf</x:v>
      </x:c>
      <x:c r="L1514" s="168" t="n">
        <x:v>164</x:v>
      </x:c>
      <x:c r="M1514" s="168" t="str">
        <x:v>Comparative</x:v>
      </x:c>
      <x:c r="N1514" s="171" t="str">
        <x:v>Printed amount independently located</x:v>
      </x:c>
      <x:c r="O1514" s="171" t="str">
        <x:v>Exact source amount found; audited year/current-comparative column recorded. Accounting subtotal tests performed separately.</x:v>
      </x:c>
      <x:c r="P1514" s="171" t="str">
        <x:v>7,952 
Employee benefits - current portion 6  20,862  24,708 
Payable to employees' provident fund trust  10,714  13,528 
Unclaimed dividend  38,479  40,051 
Short term borrowings - secured 12  1,616,787  1,869,167 
Current portion of lease liability 7  24,686  23,737 
Current portion of long term loans 5  361,521  303,912 
 6,146,335</x:v>
      </x:c>
    </x:row>
    <x:row r="1515" ht="82" customHeight="1">
      <x:c r="A1515" s="76" t="str">
        <x:v>FCCL|div_liab|2021</x:v>
      </x:c>
      <x:c r="B1515" s="76" t="str">
        <x:v>FCCL</x:v>
      </x:c>
      <x:c r="C1515" s="76" t="str">
        <x:v>FY2021</x:v>
      </x:c>
      <x:c r="D1515" s="76" t="str">
        <x:v>Unclaimed / unpaid dividends</x:v>
      </x:c>
      <x:c r="E1515" s="170" t="n">
        <x:v>38479</x:v>
      </x:c>
      <x:c r="F1515" s="170" t="n">
        <x:v>38479</x:v>
      </x:c>
      <x:c r="G1515" s="170" t="str">
        <x:v>Rs '000</x:v>
      </x:c>
      <x:c r="H1515" s="170" t="n">
        <x:f>F1515/1000</x:f>
        <x:v>38.479</x:v>
      </x:c>
      <x:c r="I1515" s="170" t="n">
        <x:f>FCCL!D58</x:f>
        <x:v>38.479</x:v>
      </x:c>
      <x:c r="J1515" s="170" t="n">
        <x:f>H1515-I1515</x:f>
        <x:v>0</x:v>
      </x:c>
      <x:c r="K1515" s="76" t="str">
        <x:v>FCCL-Annual-Report-2022.pdf</x:v>
      </x:c>
      <x:c r="L1515" s="76" t="n">
        <x:v>186</x:v>
      </x:c>
      <x:c r="M1515" s="76" t="str">
        <x:v>Comparative</x:v>
      </x:c>
      <x:c r="N1515" s="99" t="str">
        <x:v>Printed amount independently located</x:v>
      </x:c>
      <x:c r="O1515" s="99" t="str">
        <x:v>Exact source amount found; audited year/current-comparative column recorded. Accounting subtotal tests performed separately.</x:v>
      </x:c>
      <x:c r="P1515" s="99" t="str">
        <x:v>309 435,097 
Employee benefits - current portion 7 80,756 20,862 
Payable to employees' provident fund trust 15,875 10,714 
Unclaimed dividend 37,157 38,479 
Short term borrowings - secured 15 3,218,249 1,616,787 
Current portion of lease liability 8 68,332 24,686 
Current portion of long term loans 6 2,985,087 361,521 
Current portio</x:v>
      </x:c>
    </x:row>
    <x:row r="1516" ht="82" customHeight="1">
      <x:c r="A1516" s="168" t="str">
        <x:v>FCCL|div_liab|2022</x:v>
      </x:c>
      <x:c r="B1516" s="168" t="str">
        <x:v>FCCL</x:v>
      </x:c>
      <x:c r="C1516" s="168" t="str">
        <x:v>FY2022</x:v>
      </x:c>
      <x:c r="D1516" s="168" t="str">
        <x:v>Unclaimed / unpaid dividends</x:v>
      </x:c>
      <x:c r="E1516" s="169" t="n">
        <x:v>37157</x:v>
      </x:c>
      <x:c r="F1516" s="169" t="n">
        <x:v>37157</x:v>
      </x:c>
      <x:c r="G1516" s="169" t="str">
        <x:v>Rs '000</x:v>
      </x:c>
      <x:c r="H1516" s="169" t="n">
        <x:f>F1516/1000</x:f>
        <x:v>37.157</x:v>
      </x:c>
      <x:c r="I1516" s="169" t="n">
        <x:f>FCCL!E58</x:f>
        <x:v>37.157</x:v>
      </x:c>
      <x:c r="J1516" s="169" t="n">
        <x:f>H1516-I1516</x:f>
        <x:v>0</x:v>
      </x:c>
      <x:c r="K1516" s="168" t="str">
        <x:v>FCCL-Annual-Report-2023.pdf</x:v>
      </x:c>
      <x:c r="L1516" s="168" t="n">
        <x:v>208</x:v>
      </x:c>
      <x:c r="M1516" s="168" t="str">
        <x:v>Comparative</x:v>
      </x:c>
      <x:c r="N1516" s="171" t="str">
        <x:v>Printed amount independently located</x:v>
      </x:c>
      <x:c r="O1516" s="171" t="str">
        <x:v>Exact source amount found; audited year/current-comparative column recorded. Accounting subtotal tests performed separately.</x:v>
      </x:c>
      <x:c r="P1516" s="171" t="str">
        <x:v>Payable to employees’ provident fund trust  26,438  15,875 Trade deposits and short term prepayments 24  24,840  22,559 
Unclaimed dividend  36,001  37,157 Advance tax - net   723,704  975,108 
Short term running finance - secured 14  4,530,981  3,218,249 Other receivables 25  282,463  175,443 
Current portion of lease liability 7  5</x:v>
      </x:c>
    </x:row>
    <x:row r="1517" ht="82" customHeight="1">
      <x:c r="A1517" s="76" t="str">
        <x:v>FCCL|div_liab|2023</x:v>
      </x:c>
      <x:c r="B1517" s="76" t="str">
        <x:v>FCCL</x:v>
      </x:c>
      <x:c r="C1517" s="76" t="str">
        <x:v>FY2023</x:v>
      </x:c>
      <x:c r="D1517" s="76" t="str">
        <x:v>Unclaimed / unpaid dividends</x:v>
      </x:c>
      <x:c r="E1517" s="170" t="n">
        <x:v>36001</x:v>
      </x:c>
      <x:c r="F1517" s="170" t="n">
        <x:v>36001</x:v>
      </x:c>
      <x:c r="G1517" s="170" t="str">
        <x:v>Rs '000</x:v>
      </x:c>
      <x:c r="H1517" s="170" t="n">
        <x:f>F1517/1000</x:f>
        <x:v>36.001</x:v>
      </x:c>
      <x:c r="I1517" s="170" t="n">
        <x:f>FCCL!F58</x:f>
        <x:v>36.001</x:v>
      </x:c>
      <x:c r="J1517" s="170" t="n">
        <x:f>H1517-I1517</x:f>
        <x:v>0</x:v>
      </x:c>
      <x:c r="K1517" s="76" t="str">
        <x:v>FCCL-Annual-Report-2024.pdf</x:v>
      </x:c>
      <x:c r="L1517" s="76" t="n">
        <x:v>190</x:v>
      </x:c>
      <x:c r="M1517" s="76" t="str">
        <x:v>Comparative</x:v>
      </x:c>
      <x:c r="N1517" s="99" t="str">
        <x:v>Printed amount independently located</x:v>
      </x:c>
      <x:c r="O1517" s="99" t="str">
        <x:v>Exact source amount found; audited year/current-comparative column recorded. Accounting subtotal tests performed separately.</x:v>
      </x:c>
      <x:c r="P1517" s="99" t="str">
        <x:v>mployee benefits - current portion 6  112,697   96,468 
 Payable to employees’ provident fund trust   29,902   26,438 
 Unclaimed dividend   35,646   36,001 
 Short term running finance - secured  14  1,450,934   4,530,981 
 Provision for tax-net   56,810   –   
 Current portion of lease liability 7  46,206   50,463 
 Current portion</x:v>
      </x:c>
    </x:row>
    <x:row r="1518" ht="82" customHeight="1">
      <x:c r="A1518" s="168" t="str">
        <x:v>FCCL|div_liab|2024</x:v>
      </x:c>
      <x:c r="B1518" s="168" t="str">
        <x:v>FCCL</x:v>
      </x:c>
      <x:c r="C1518" s="168" t="str">
        <x:v>FY2024</x:v>
      </x:c>
      <x:c r="D1518" s="168" t="str">
        <x:v>Unclaimed / unpaid dividends</x:v>
      </x:c>
      <x:c r="E1518" s="169" t="n">
        <x:v>35646</x:v>
      </x:c>
      <x:c r="F1518" s="169" t="n">
        <x:v>35646</x:v>
      </x:c>
      <x:c r="G1518" s="169" t="str">
        <x:v>Rs '000</x:v>
      </x:c>
      <x:c r="H1518" s="169" t="n">
        <x:f>F1518/1000</x:f>
        <x:v>35.646</x:v>
      </x:c>
      <x:c r="I1518" s="169" t="n">
        <x:f>FCCL!G58</x:f>
        <x:v>35.646</x:v>
      </x:c>
      <x:c r="J1518" s="169" t="n">
        <x:f>H1518-I1518</x:f>
        <x:v>0</x:v>
      </x:c>
      <x:c r="K1518" s="168" t="str">
        <x:v>FCCL-Annual-Report-2025.pdf</x:v>
      </x:c>
      <x:c r="L1518" s="168" t="n">
        <x:v>244</x:v>
      </x:c>
      <x:c r="M1518" s="168" t="str">
        <x:v>Comparative</x:v>
      </x:c>
      <x:c r="N1518" s="171" t="str">
        <x:v>Printed amount independently located</x:v>
      </x:c>
      <x:c r="O1518" s="171" t="str">
        <x:v>Exact source amount found; audited year/current-comparative column recorded. Accounting subtotal tests performed separately.</x:v>
      </x:c>
      <x:c r="P1518" s="171" t="str">
        <x:v>9,076,142   5,154,131 
 Security deposits payable  14  570,602   545,487 
 Contract liabilities   588,076   432,704 
 Unclaimed dividend   41,182   35,646 
 Short term running finance – secured  15  2,192,462   1,450,934 
 Provision for tax – net  –     56,810 
 Current portion of long term loans 6  6,104,065   5,066,868 
 Current p</x:v>
      </x:c>
    </x:row>
    <x:row r="1519" ht="82" customHeight="1">
      <x:c r="A1519" s="76" t="str">
        <x:v>FCCL|div_liab|2025</x:v>
      </x:c>
      <x:c r="B1519" s="76" t="str">
        <x:v>FCCL</x:v>
      </x:c>
      <x:c r="C1519" s="76" t="str">
        <x:v>FY2025</x:v>
      </x:c>
      <x:c r="D1519" s="76" t="str">
        <x:v>Unclaimed / unpaid dividends</x:v>
      </x:c>
      <x:c r="E1519" s="170" t="n">
        <x:v>41182</x:v>
      </x:c>
      <x:c r="F1519" s="170" t="n">
        <x:v>41182</x:v>
      </x:c>
      <x:c r="G1519" s="170" t="str">
        <x:v>Rs '000</x:v>
      </x:c>
      <x:c r="H1519" s="170" t="n">
        <x:f>F1519/1000</x:f>
        <x:v>41.182</x:v>
      </x:c>
      <x:c r="I1519" s="170" t="n">
        <x:f>FCCL!H58</x:f>
        <x:v>41.182</x:v>
      </x:c>
      <x:c r="J1519" s="170" t="n">
        <x:f>H1519-I1519</x:f>
        <x:v>0</x:v>
      </x:c>
      <x:c r="K1519" s="76" t="str">
        <x:v>FCCL-Annual-Report-2025.pdf</x:v>
      </x:c>
      <x:c r="L1519" s="76" t="n">
        <x:v>244</x:v>
      </x:c>
      <x:c r="M1519" s="76" t="str">
        <x:v>Current year</x:v>
      </x:c>
      <x:c r="N1519" s="99" t="str">
        <x:v>Printed amount independently located</x:v>
      </x:c>
      <x:c r="O1519" s="99" t="str">
        <x:v>Exact source amount found; audited year/current-comparative column recorded. Accounting subtotal tests performed separately.</x:v>
      </x:c>
      <x:c r="P1519" s="99" t="str">
        <x:v>lities 13  9,076,142   5,154,131 
 Security deposits payable  14  570,602   545,487 
 Contract liabilities   588,076   432,704 
 Unclaimed dividend   41,182   35,646 
 Short term running finance – secured  15  2,192,462   1,450,934 
 Provision for tax – net  –     56,810 
 Current portion of long term loans 6  6,104,065   5,066,868</x:v>
      </x:c>
    </x:row>
    <x:row r="1520" ht="82" customHeight="1">
      <x:c r="A1520" s="168" t="str">
        <x:v>FCCL|tax_liab|2020</x:v>
      </x:c>
      <x:c r="B1520" s="168" t="str">
        <x:v>FCCL</x:v>
      </x:c>
      <x:c r="C1520" s="168" t="str">
        <x:v>FY2020</x:v>
      </x:c>
      <x:c r="D1520" s="168" t="str">
        <x:v>Taxation payable (net)</x:v>
      </x:c>
      <x:c r="E1520" s="169" t="n">
        <x:v>0</x:v>
      </x:c>
      <x:c r="F1520" s="169" t="n">
        <x:v>0</x:v>
      </x:c>
      <x:c r="G1520" s="169" t="str">
        <x:v>Rs '000</x:v>
      </x:c>
      <x:c r="H1520" s="169" t="n">
        <x:f>F1520/1000</x:f>
        <x:v>0</x:v>
      </x:c>
      <x:c r="I1520" s="169" t="n">
        <x:f>FCCL!C59</x:f>
        <x:v>0</x:v>
      </x:c>
      <x:c r="J1520" s="169" t="n">
        <x:f>H1520-I1520</x:f>
        <x:v>0</x:v>
      </x:c>
      <x:c r="K1520" s="168" t="str">
        <x:v>FCCL-Annual-Report-2021.pdf</x:v>
      </x:c>
      <x:c r="L1520" s="168" t="n">
        <x:v>164</x:v>
      </x:c>
      <x:c r="M1520" s="168" t="str">
        <x:v>Comparative</x:v>
      </x:c>
      <x:c r="N1520" s="171" t="str">
        <x:v>Zero / no separate line in audited presentation</x:v>
      </x:c>
      <x:c r="O1520" s="171" t="str">
        <x:v>Zero classification checked within the audited statement/note and reconstructed statement totals; absence of a separate line does not imply a missing replacement estimate.</x:v>
      </x:c>
      <x:c r="P1520" s="171" t="str">
        <x:v>
FAUJI CEMENT COMPANY LIMITED
FOR THE YEAR ENDED 30 JUNE 2021
162
STATEMENT OF FINANCIAL POSITION
Restated
2021 2020
Note Rupees'000 Rupees'000
EQUITY | Taxation payable (net)</x:v>
      </x:c>
    </x:row>
    <x:row r="1521" ht="82" customHeight="1">
      <x:c r="A1521" s="76" t="str">
        <x:v>FCCL|tax_liab|2021</x:v>
      </x:c>
      <x:c r="B1521" s="76" t="str">
        <x:v>FCCL</x:v>
      </x:c>
      <x:c r="C1521" s="76" t="str">
        <x:v>FY2021</x:v>
      </x:c>
      <x:c r="D1521" s="76" t="str">
        <x:v>Taxation payable (net)</x:v>
      </x:c>
      <x:c r="E1521" s="170" t="n">
        <x:v>0</x:v>
      </x:c>
      <x:c r="F1521" s="170" t="n">
        <x:v>0</x:v>
      </x:c>
      <x:c r="G1521" s="170" t="str">
        <x:v>Rs '000</x:v>
      </x:c>
      <x:c r="H1521" s="170" t="n">
        <x:f>F1521/1000</x:f>
        <x:v>0</x:v>
      </x:c>
      <x:c r="I1521" s="170" t="n">
        <x:f>FCCL!D59</x:f>
        <x:v>0</x:v>
      </x:c>
      <x:c r="J1521" s="170" t="n">
        <x:f>H1521-I1521</x:f>
        <x:v>0</x:v>
      </x:c>
      <x:c r="K1521" s="76" t="str">
        <x:v>FCCL-Annual-Report-2022.pdf</x:v>
      </x:c>
      <x:c r="L1521" s="76" t="n">
        <x:v>186</x:v>
      </x:c>
      <x:c r="M1521" s="76" t="str">
        <x:v>Comparative</x:v>
      </x:c>
      <x:c r="N1521" s="99" t="str">
        <x:v>Zero / no separate line in audited presentation</x:v>
      </x:c>
      <x:c r="O1521" s="99" t="str">
        <x:v>Zero classification checked within the audited statement/note and reconstructed statement totals; absence of a separate line does not imply a missing replacement estimate.</x:v>
      </x:c>
      <x:c r="P1521" s="99" t="str">
        <x:v>
STATEMENT OF FINANCIAL POSITION
2022 2021
Note Rupees'000 Rupees'000
EQUITY &amp; LIABILITIES 
EQUITY AND RESERVES
Share capital 4 21,803,090 13,798,150  | Taxation payable (net)</x:v>
      </x:c>
    </x:row>
    <x:row r="1522" ht="82" customHeight="1">
      <x:c r="A1522" s="168" t="str">
        <x:v>FCCL|tax_liab|2022</x:v>
      </x:c>
      <x:c r="B1522" s="168" t="str">
        <x:v>FCCL</x:v>
      </x:c>
      <x:c r="C1522" s="168" t="str">
        <x:v>FY2022</x:v>
      </x:c>
      <x:c r="D1522" s="168" t="str">
        <x:v>Taxation payable (net)</x:v>
      </x:c>
      <x:c r="E1522" s="169" t="n">
        <x:v>0</x:v>
      </x:c>
      <x:c r="F1522" s="169" t="n">
        <x:v>0</x:v>
      </x:c>
      <x:c r="G1522" s="169" t="str">
        <x:v>Rs '000</x:v>
      </x:c>
      <x:c r="H1522" s="169" t="n">
        <x:f>F1522/1000</x:f>
        <x:v>0</x:v>
      </x:c>
      <x:c r="I1522" s="169" t="n">
        <x:f>FCCL!E59</x:f>
        <x:v>0</x:v>
      </x:c>
      <x:c r="J1522" s="169" t="n">
        <x:f>H1522-I1522</x:f>
        <x:v>0</x:v>
      </x:c>
      <x:c r="K1522" s="168" t="str">
        <x:v>FCCL-Annual-Report-2023.pdf</x:v>
      </x:c>
      <x:c r="L1522" s="168" t="n">
        <x:v>208</x:v>
      </x:c>
      <x:c r="M1522" s="168" t="str">
        <x:v>Comparative</x:v>
      </x:c>
      <x:c r="N1522" s="171" t="str">
        <x:v>Zero / no separate line in audited presentation</x:v>
      </x:c>
      <x:c r="O1522" s="171" t="str">
        <x:v>Zero classification checked within the audited statement/note and reconstructed statement totals; absence of a separate line does not imply a missing replacement estimate.</x:v>
      </x:c>
      <x:c r="P1522" s="171" t="str">
        <x:v>
FAUJI CEMENT COMPANY LIMITED
206
Fauji Cement Company Limited
Statement of Financial Position
As at June 30, 2023
2023 2022 2023 2022
Note Rupees’000 | Taxation payable (net)</x:v>
      </x:c>
    </x:row>
    <x:row r="1523" ht="82" customHeight="1">
      <x:c r="A1523" s="76" t="str">
        <x:v>FCCL|tax_liab|2023</x:v>
      </x:c>
      <x:c r="B1523" s="76" t="str">
        <x:v>FCCL</x:v>
      </x:c>
      <x:c r="C1523" s="76" t="str">
        <x:v>FY2023</x:v>
      </x:c>
      <x:c r="D1523" s="76" t="str">
        <x:v>Taxation payable (net)</x:v>
      </x:c>
      <x:c r="E1523" s="170" t="n">
        <x:v>0</x:v>
      </x:c>
      <x:c r="F1523" s="170" t="n">
        <x:v>0</x:v>
      </x:c>
      <x:c r="G1523" s="170" t="str">
        <x:v>Rs '000</x:v>
      </x:c>
      <x:c r="H1523" s="170" t="n">
        <x:f>F1523/1000</x:f>
        <x:v>0</x:v>
      </x:c>
      <x:c r="I1523" s="170" t="n">
        <x:f>FCCL!F59</x:f>
        <x:v>0</x:v>
      </x:c>
      <x:c r="J1523" s="170" t="n">
        <x:f>H1523-I1523</x:f>
        <x:v>0</x:v>
      </x:c>
      <x:c r="K1523" s="76" t="str">
        <x:v>FCCL-Annual-Report-2024.pdf</x:v>
      </x:c>
      <x:c r="L1523" s="76" t="n">
        <x:v>190</x:v>
      </x:c>
      <x:c r="M1523" s="76" t="str">
        <x:v>Comparative</x:v>
      </x:c>
      <x:c r="N1523" s="99" t="str">
        <x:v>Zero / no separate line in audited presentation</x:v>
      </x:c>
      <x:c r="O1523" s="99" t="str">
        <x:v>Zero classification checked within the audited statement/note and reconstructed statement totals; absence of a separate line does not imply a missing replacement estimate.</x:v>
      </x:c>
      <x:c r="P1523" s="99" t="str">
        <x:v>
 Note 2024 2023
  Rupees’000 Rupees’000
EQUITY &amp; LIABILITIES   
EQUITY AND RESERVES  
 Share capital 4  24,528,476   24,528,476 
 Capital reserv | Provision for tax-net</x:v>
      </x:c>
    </x:row>
    <x:row r="1524" ht="82" customHeight="1">
      <x:c r="A1524" s="168" t="str">
        <x:v>FCCL|tax_liab|2024</x:v>
      </x:c>
      <x:c r="B1524" s="168" t="str">
        <x:v>FCCL</x:v>
      </x:c>
      <x:c r="C1524" s="168" t="str">
        <x:v>FY2024</x:v>
      </x:c>
      <x:c r="D1524" s="168" t="str">
        <x:v>Taxation payable (net)</x:v>
      </x:c>
      <x:c r="E1524" s="169" t="n">
        <x:v>56810</x:v>
      </x:c>
      <x:c r="F1524" s="169" t="n">
        <x:v>56810</x:v>
      </x:c>
      <x:c r="G1524" s="169" t="str">
        <x:v>Rs '000</x:v>
      </x:c>
      <x:c r="H1524" s="169" t="n">
        <x:f>F1524/1000</x:f>
        <x:v>56.81</x:v>
      </x:c>
      <x:c r="I1524" s="169" t="n">
        <x:f>FCCL!G59</x:f>
        <x:v>56.81</x:v>
      </x:c>
      <x:c r="J1524" s="169" t="n">
        <x:f>H1524-I1524</x:f>
        <x:v>0</x:v>
      </x:c>
      <x:c r="K1524" s="168" t="str">
        <x:v>FCCL-Annual-Report-2025.pdf</x:v>
      </x:c>
      <x:c r="L1524" s="168" t="n">
        <x:v>244</x:v>
      </x:c>
      <x:c r="M1524" s="168" t="str">
        <x:v>Comparative</x:v>
      </x:c>
      <x:c r="N1524" s="171" t="str">
        <x:v>Printed amount independently located</x:v>
      </x:c>
      <x:c r="O1524" s="171" t="str">
        <x:v>Exact source amount found; audited year/current-comparative column recorded. Accounting subtotal tests performed separately.</x:v>
      </x:c>
      <x:c r="P1524" s="171" t="str">
        <x:v>6   432,704 
 Unclaimed dividend   41,182   35,646 
 Short term running finance – secured  15  2,192,462   1,450,934 
 Provision for tax – net  –     56,810 
 Current portion of long term loans 6  6,104,065   5,066,868 
 Current portion of lease liability 8  43,099   46,206 
 Current portion of deferred government grant 9  515,175   5</x:v>
      </x:c>
    </x:row>
    <x:row r="1525" ht="82" customHeight="1">
      <x:c r="A1525" s="76" t="str">
        <x:v>FCCL|tax_liab|2025</x:v>
      </x:c>
      <x:c r="B1525" s="76" t="str">
        <x:v>FCCL</x:v>
      </x:c>
      <x:c r="C1525" s="76" t="str">
        <x:v>FY2025</x:v>
      </x:c>
      <x:c r="D1525" s="76" t="str">
        <x:v>Taxation payable (net)</x:v>
      </x:c>
      <x:c r="E1525" s="170" t="n">
        <x:v>0</x:v>
      </x:c>
      <x:c r="F1525" s="170" t="n">
        <x:v>0</x:v>
      </x:c>
      <x:c r="G1525" s="170" t="str">
        <x:v>Rs '000</x:v>
      </x:c>
      <x:c r="H1525" s="170" t="n">
        <x:f>F1525/1000</x:f>
        <x:v>0</x:v>
      </x:c>
      <x:c r="I1525" s="170" t="n">
        <x:f>FCCL!H59</x:f>
        <x:v>0</x:v>
      </x:c>
      <x:c r="J1525" s="170" t="n">
        <x:f>H1525-I1525</x:f>
        <x:v>0</x:v>
      </x:c>
      <x:c r="K1525" s="76" t="str">
        <x:v>FCCL-Annual-Report-2025.pdf</x:v>
      </x:c>
      <x:c r="L1525" s="76" t="n">
        <x:v>244</x:v>
      </x:c>
      <x:c r="M1525" s="76" t="str">
        <x:v>Current year</x:v>
      </x:c>
      <x:c r="N1525" s="99" t="str">
        <x:v>Zero / no separate line in audited presentation</x:v>
      </x:c>
      <x:c r="O1525" s="99" t="str">
        <x:v>Zero classification checked within the audited statement/note and reconstructed statement totals; absence of a separate line does not imply a missing replacement estimate.</x:v>
      </x:c>
      <x:c r="P1525" s="99" t="str">
        <x:v>
 Note 2025 2024
  Rupees’000 Rupees’000
EQUITY &amp; LIABILITIES  
EQUITY AND RESERVES 
 Share capital 5  24,528,476   24,528,476 
 Capital reserve – | Provision for tax - net</x:v>
      </x:c>
    </x:row>
    <x:row r="1526" ht="82" customHeight="1">
      <x:c r="A1526" s="168" t="str">
        <x:v>FCCL|cl_other|2020</x:v>
      </x:c>
      <x:c r="B1526" s="168" t="str">
        <x:v>FCCL</x:v>
      </x:c>
      <x:c r="C1526" s="168" t="str">
        <x:v>FY2020</x:v>
      </x:c>
      <x:c r="D1526" s="168" t="str">
        <x:v>Other current liabilities</x:v>
      </x:c>
      <x:c r="E1526" s="169" t="n">
        <x:v>1414393</x:v>
      </x:c>
      <x:c r="F1526" s="169" t="n">
        <x:v>1414393</x:v>
      </x:c>
      <x:c r="G1526" s="169" t="str">
        <x:v>Rs '000</x:v>
      </x:c>
      <x:c r="H1526" s="169" t="n">
        <x:f>F1526/1000</x:f>
        <x:v>1414.393</x:v>
      </x:c>
      <x:c r="I1526" s="169" t="n">
        <x:f>FCCL!C60</x:f>
        <x:v>1414.393</x:v>
      </x:c>
      <x:c r="J1526" s="169" t="n">
        <x:f>H1526-I1526</x:f>
        <x:v>0</x:v>
      </x:c>
      <x:c r="K1526" s="168" t="str">
        <x:v>FCCL-Annual-Report-2021.pdf</x:v>
      </x:c>
      <x:c r="L1526" s="168" t="n">
        <x:v>164</x:v>
      </x:c>
      <x:c r="M1526" s="168" t="str">
        <x:v>Comparative</x:v>
      </x:c>
      <x:c r="N1526" s="171" t="str">
        <x:v>Aggregated audited components</x:v>
      </x:c>
      <x:c r="O1526" s="171" t="str">
        <x:v>Source-labelled component sum; statement controls and signed-unit conversion independently recomputed.</x:v>
      </x:c>
      <x:c r="P1526" s="171" t="str">
        <x:v>
FAUJI CEMENT COMPANY LIMITED
FOR THE YEAR ENDED 30 JUNE 2021
162
STATEMENT OF FINANCIAL POSITION
Restated
2021 2020
Note Rupees'000 Rupees'000
EQUITY
Share capital and reserves
Sh | Components: Accrued liabilities; Employee benefits - current portion; Payable to employees' provident fund tru; Security deposits pa</x:v>
      </x:c>
    </x:row>
    <x:row r="1527" ht="82" customHeight="1">
      <x:c r="A1527" s="76" t="str">
        <x:v>FCCL|cl_other|2021</x:v>
      </x:c>
      <x:c r="B1527" s="76" t="str">
        <x:v>FCCL</x:v>
      </x:c>
      <x:c r="C1527" s="76" t="str">
        <x:v>FY2021</x:v>
      </x:c>
      <x:c r="D1527" s="76" t="str">
        <x:v>Other current liabilities</x:v>
      </x:c>
      <x:c r="E1527" s="170" t="n">
        <x:v>1847123</x:v>
      </x:c>
      <x:c r="F1527" s="170" t="n">
        <x:v>1847123</x:v>
      </x:c>
      <x:c r="G1527" s="170" t="str">
        <x:v>Rs '000</x:v>
      </x:c>
      <x:c r="H1527" s="170" t="n">
        <x:f>F1527/1000</x:f>
        <x:v>1847.123</x:v>
      </x:c>
      <x:c r="I1527" s="170" t="n">
        <x:f>FCCL!D60</x:f>
        <x:v>1847.123</x:v>
      </x:c>
      <x:c r="J1527" s="170" t="n">
        <x:f>H1527-I1527</x:f>
        <x:v>0</x:v>
      </x:c>
      <x:c r="K1527" s="76" t="str">
        <x:v>FCCL-Annual-Report-2022.pdf</x:v>
      </x:c>
      <x:c r="L1527" s="76" t="n">
        <x:v>186</x:v>
      </x:c>
      <x:c r="M1527" s="76" t="str">
        <x:v>Comparative</x:v>
      </x:c>
      <x:c r="N1527" s="99" t="str">
        <x:v>Aggregated audited components</x:v>
      </x:c>
      <x:c r="O1527" s="99" t="str">
        <x:v>Source-labelled component sum; statement controls and signed-unit conversion independently recomputed.</x:v>
      </x:c>
      <x:c r="P1527" s="99" t="str">
        <x:v>
STATEMENT OF FINANCIAL POSITION
2022 2021
Note Rupees'000 Rupees'000
EQUITY &amp; LIABILITIES 
EQUITY AND RESERVES
Share capital 4 21,803,090 13,798,150 
Premium/(discount) on issue o | Components: Accrued liabilities; Employee benefits - current portion; Payable to employees' provident fund tru; Security deposits pa</x:v>
      </x:c>
    </x:row>
    <x:row r="1528" ht="82" customHeight="1">
      <x:c r="A1528" s="168" t="str">
        <x:v>FCCL|cl_other|2022</x:v>
      </x:c>
      <x:c r="B1528" s="168" t="str">
        <x:v>FCCL</x:v>
      </x:c>
      <x:c r="C1528" s="168" t="str">
        <x:v>FY2022</x:v>
      </x:c>
      <x:c r="D1528" s="168" t="str">
        <x:v>Other current liabilities</x:v>
      </x:c>
      <x:c r="E1528" s="169" t="n">
        <x:v>4879506</x:v>
      </x:c>
      <x:c r="F1528" s="169" t="n">
        <x:v>4879506</x:v>
      </x:c>
      <x:c r="G1528" s="169" t="str">
        <x:v>Rs '000</x:v>
      </x:c>
      <x:c r="H1528" s="169" t="n">
        <x:f>F1528/1000</x:f>
        <x:v>4879.506</x:v>
      </x:c>
      <x:c r="I1528" s="169" t="n">
        <x:f>FCCL!E60</x:f>
        <x:v>4879.506</x:v>
      </x:c>
      <x:c r="J1528" s="169" t="n">
        <x:f>H1528-I1528</x:f>
        <x:v>0</x:v>
      </x:c>
      <x:c r="K1528" s="168" t="str">
        <x:v>FCCL-Annual-Report-2023.pdf</x:v>
      </x:c>
      <x:c r="L1528" s="168" t="n">
        <x:v>208</x:v>
      </x:c>
      <x:c r="M1528" s="168" t="str">
        <x:v>Comparative</x:v>
      </x:c>
      <x:c r="N1528" s="171" t="str">
        <x:v>Aggregated audited components</x:v>
      </x:c>
      <x:c r="O1528" s="171" t="str">
        <x:v>Source-labelled component sum; statement controls and signed-unit conversion independently recomputed.</x:v>
      </x:c>
      <x:c r="P1528" s="171" t="str">
        <x:v>
FAUJI CEMENT COMPANY LIMITED
206
Fauji Cement Company Limited
Statement of Financial Position
As at June 30, 2023
2023 2022 2023 2022
Note Rupees’000 Rupees’000 Note Rupees’000 Ru | Components: Accrued liabilities; Employee benefits - current portion; Payable to employees' provident fund tru; Security deposits pa</x:v>
      </x:c>
    </x:row>
    <x:row r="1529" ht="82" customHeight="1">
      <x:c r="A1529" s="76" t="str">
        <x:v>FCCL|cl_other|2023</x:v>
      </x:c>
      <x:c r="B1529" s="76" t="str">
        <x:v>FCCL</x:v>
      </x:c>
      <x:c r="C1529" s="76" t="str">
        <x:v>FY2023</x:v>
      </x:c>
      <x:c r="D1529" s="76" t="str">
        <x:v>Other current liabilities</x:v>
      </x:c>
      <x:c r="E1529" s="170" t="n">
        <x:v>4600354</x:v>
      </x:c>
      <x:c r="F1529" s="170" t="n">
        <x:v>4600354</x:v>
      </x:c>
      <x:c r="G1529" s="170" t="str">
        <x:v>Rs '000</x:v>
      </x:c>
      <x:c r="H1529" s="170" t="n">
        <x:f>F1529/1000</x:f>
        <x:v>4600.354</x:v>
      </x:c>
      <x:c r="I1529" s="170" t="n">
        <x:f>FCCL!F60</x:f>
        <x:v>4600.354</x:v>
      </x:c>
      <x:c r="J1529" s="170" t="n">
        <x:f>H1529-I1529</x:f>
        <x:v>0</x:v>
      </x:c>
      <x:c r="K1529" s="76" t="str">
        <x:v>FCCL-Annual-Report-2024.pdf</x:v>
      </x:c>
      <x:c r="L1529" s="76" t="n">
        <x:v>190</x:v>
      </x:c>
      <x:c r="M1529" s="76" t="str">
        <x:v>Comparative</x:v>
      </x:c>
      <x:c r="N1529" s="99" t="str">
        <x:v>Aggregated audited components</x:v>
      </x:c>
      <x:c r="O1529" s="99" t="str">
        <x:v>Source-labelled component sum; statement controls and signed-unit conversion independently recomputed.</x:v>
      </x:c>
      <x:c r="P1529" s="99" t="str">
        <x:v>
 Note 2024 2023
  Rupees’000 Rupees’000
EQUITY &amp; LIABILITIES   
EQUITY AND RESERVES  
 Share capital 4  24,528,476   24,528,476 
 Capital reserve - Premium on issue of shares | Components: Accrued liabilities; Employee benefits - current portion; Payable to employees' provident fund tru; Security deposits pa</x:v>
      </x:c>
    </x:row>
    <x:row r="1530" ht="82" customHeight="1">
      <x:c r="A1530" s="168" t="str">
        <x:v>FCCL|cl_other|2024</x:v>
      </x:c>
      <x:c r="B1530" s="168" t="str">
        <x:v>FCCL</x:v>
      </x:c>
      <x:c r="C1530" s="168" t="str">
        <x:v>FY2024</x:v>
      </x:c>
      <x:c r="D1530" s="168" t="str">
        <x:v>Other current liabilities</x:v>
      </x:c>
      <x:c r="E1530" s="169" t="n">
        <x:v>5699618</x:v>
      </x:c>
      <x:c r="F1530" s="169" t="n">
        <x:v>5699618</x:v>
      </x:c>
      <x:c r="G1530" s="169" t="str">
        <x:v>Rs '000</x:v>
      </x:c>
      <x:c r="H1530" s="169" t="n">
        <x:f>F1530/1000</x:f>
        <x:v>5699.618</x:v>
      </x:c>
      <x:c r="I1530" s="169" t="n">
        <x:f>FCCL!G60</x:f>
        <x:v>5699.618</x:v>
      </x:c>
      <x:c r="J1530" s="169" t="n">
        <x:f>H1530-I1530</x:f>
        <x:v>0</x:v>
      </x:c>
      <x:c r="K1530" s="168" t="str">
        <x:v>FCCL-Annual-Report-2025.pdf</x:v>
      </x:c>
      <x:c r="L1530" s="168" t="n">
        <x:v>244</x:v>
      </x:c>
      <x:c r="M1530" s="168" t="str">
        <x:v>Comparative</x:v>
      </x:c>
      <x:c r="N1530" s="171" t="str">
        <x:v>Aggregated audited components</x:v>
      </x:c>
      <x:c r="O1530" s="171" t="str">
        <x:v>Source-labelled component sum; statement controls and signed-unit conversion independently recomputed.</x:v>
      </x:c>
      <x:c r="P1530" s="171" t="str">
        <x:v>
 Note 2025 2024
  Rupees’000 Rupees’000
EQUITY &amp; LIABILITIES  
EQUITY AND RESERVES 
 Share capital 5  24,528,476   24,528,476 
 Capital reserve – Premium on issue of shares    | Components: Accrued liabilities; Security deposits payable</x:v>
      </x:c>
    </x:row>
    <x:row r="1531" ht="82" customHeight="1">
      <x:c r="A1531" s="76" t="str">
        <x:v>FCCL|cl_other|2025</x:v>
      </x:c>
      <x:c r="B1531" s="76" t="str">
        <x:v>FCCL</x:v>
      </x:c>
      <x:c r="C1531" s="76" t="str">
        <x:v>FY2025</x:v>
      </x:c>
      <x:c r="D1531" s="76" t="str">
        <x:v>Other current liabilities</x:v>
      </x:c>
      <x:c r="E1531" s="170" t="n">
        <x:v>9646744</x:v>
      </x:c>
      <x:c r="F1531" s="170" t="n">
        <x:v>9646744</x:v>
      </x:c>
      <x:c r="G1531" s="170" t="str">
        <x:v>Rs '000</x:v>
      </x:c>
      <x:c r="H1531" s="170" t="n">
        <x:f>F1531/1000</x:f>
        <x:v>9646.744</x:v>
      </x:c>
      <x:c r="I1531" s="170" t="n">
        <x:f>FCCL!H60</x:f>
        <x:v>9646.744</x:v>
      </x:c>
      <x:c r="J1531" s="170" t="n">
        <x:f>H1531-I1531</x:f>
        <x:v>0</x:v>
      </x:c>
      <x:c r="K1531" s="76" t="str">
        <x:v>FCCL-Annual-Report-2025.pdf</x:v>
      </x:c>
      <x:c r="L1531" s="76" t="n">
        <x:v>244</x:v>
      </x:c>
      <x:c r="M1531" s="76" t="str">
        <x:v>Current year</x:v>
      </x:c>
      <x:c r="N1531" s="99" t="str">
        <x:v>Aggregated audited components</x:v>
      </x:c>
      <x:c r="O1531" s="99" t="str">
        <x:v>Source-labelled component sum; statement controls and signed-unit conversion independently recomputed.</x:v>
      </x:c>
      <x:c r="P1531" s="99" t="str">
        <x:v>
 Note 2025 2024
  Rupees’000 Rupees’000
EQUITY &amp; LIABILITIES  
EQUITY AND RESERVES 
 Share capital 5  24,528,476   24,528,476 
 Capital reserve – Premium on issue of shares    | Components: Accrued liabilities; Security deposits payable</x:v>
      </x:c>
    </x:row>
    <x:row r="1532" ht="82" customHeight="1">
      <x:c r="A1532" s="168" t="str">
        <x:v>FCCL|pr_TA|2020</x:v>
      </x:c>
      <x:c r="B1532" s="168" t="str">
        <x:v>FCCL</x:v>
      </x:c>
      <x:c r="C1532" s="168" t="str">
        <x:v>FY2020</x:v>
      </x:c>
      <x:c r="D1532" s="168" t="str">
        <x:v>Printed total assets</x:v>
      </x:c>
      <x:c r="E1532" s="169" t="n">
        <x:v>29207916</x:v>
      </x:c>
      <x:c r="F1532" s="169" t="n">
        <x:v>29207916</x:v>
      </x:c>
      <x:c r="G1532" s="169" t="str">
        <x:v>Rs '000</x:v>
      </x:c>
      <x:c r="H1532" s="169" t="n">
        <x:f>F1532/1000</x:f>
        <x:v>29207.916</x:v>
      </x:c>
      <x:c r="I1532" s="169" t="n">
        <x:f>FCCL!C75</x:f>
        <x:v>29207.916</x:v>
      </x:c>
      <x:c r="J1532" s="169" t="n">
        <x:f>H1532-I1532</x:f>
        <x:v>0</x:v>
      </x:c>
      <x:c r="K1532" s="168" t="str">
        <x:v>FCCL-Annual-Report-2021.pdf</x:v>
      </x:c>
      <x:c r="L1532" s="168" t="n">
        <x:v>165</x:v>
      </x:c>
      <x:c r="M1532" s="168" t="str">
        <x:v>Comparative</x:v>
      </x:c>
      <x:c r="N1532" s="171" t="str">
        <x:v>Printed amount independently located</x:v>
      </x:c>
      <x:c r="O1532" s="171" t="str">
        <x:v>Exact source amount found; audited year/current-comparative column recorded. Accounting subtotal tests performed separately.</x:v>
      </x:c>
      <x:c r="P1532" s="171" t="str">
        <x:v>90  22,169 
Short term investments 24  4,397,699  -   
Cash and bank balances 25  900,778  561,174 
 12,438,732  6,983,321 
TOTAL ASSETS  34,052,231  29,207,916 
CHIEF EXECUTIVE OFFICER CHIEF FINANCIAL OFFICERDIRECTOR</x:v>
      </x:c>
    </x:row>
    <x:row r="1533" ht="82" customHeight="1">
      <x:c r="A1533" s="76" t="str">
        <x:v>FCCL|pr_TA|2021</x:v>
      </x:c>
      <x:c r="B1533" s="76" t="str">
        <x:v>FCCL</x:v>
      </x:c>
      <x:c r="C1533" s="76" t="str">
        <x:v>FY2021</x:v>
      </x:c>
      <x:c r="D1533" s="76" t="str">
        <x:v>Printed total assets</x:v>
      </x:c>
      <x:c r="E1533" s="170" t="n">
        <x:v>34052231</x:v>
      </x:c>
      <x:c r="F1533" s="170" t="n">
        <x:v>34052231</x:v>
      </x:c>
      <x:c r="G1533" s="170" t="str">
        <x:v>Rs '000</x:v>
      </x:c>
      <x:c r="H1533" s="170" t="n">
        <x:f>F1533/1000</x:f>
        <x:v>34052.231</x:v>
      </x:c>
      <x:c r="I1533" s="170" t="n">
        <x:f>FCCL!D75</x:f>
        <x:v>34052.231</x:v>
      </x:c>
      <x:c r="J1533" s="170" t="n">
        <x:f>H1533-I1533</x:f>
        <x:v>0</x:v>
      </x:c>
      <x:c r="K1533" s="76" t="str">
        <x:v>FCCL-Annual-Report-2022.pdf</x:v>
      </x:c>
      <x:c r="L1533" s="76" t="n">
        <x:v>187</x:v>
      </x:c>
      <x:c r="M1533" s="76" t="str">
        <x:v>Comparative</x:v>
      </x:c>
      <x:c r="N1533" s="99" t="str">
        <x:v>Printed amount independently located</x:v>
      </x:c>
      <x:c r="O1533" s="99" t="str">
        <x:v>Exact source amount found; audited year/current-comparative column recorded. Accounting subtotal tests performed separately.</x:v>
      </x:c>
      <x:c r="P1533" s="99" t="str">
        <x:v>3 88,890 
Short term investments 29 3,843,010 4,397,699 
Cash and bank balances 30 2,306,633 900,778 
28,216,812 12,438,732 
TOTAL ASSETS 113,698,077 34,052,231 
CHIEF EXECUTIVE OFFICER CHIEF FINANCIAL OFFICERDIRECTOR
185
ANNUAL REPORT 2022</x:v>
      </x:c>
    </x:row>
    <x:row r="1534" ht="82" customHeight="1">
      <x:c r="A1534" s="168" t="str">
        <x:v>FCCL|pr_TA|2022</x:v>
      </x:c>
      <x:c r="B1534" s="168" t="str">
        <x:v>FCCL</x:v>
      </x:c>
      <x:c r="C1534" s="168" t="str">
        <x:v>FY2022</x:v>
      </x:c>
      <x:c r="D1534" s="168" t="str">
        <x:v>Printed total assets</x:v>
      </x:c>
      <x:c r="E1534" s="169" t="n">
        <x:v>113698077</x:v>
      </x:c>
      <x:c r="F1534" s="169" t="n">
        <x:v>113698077</x:v>
      </x:c>
      <x:c r="G1534" s="169" t="str">
        <x:v>Rs '000</x:v>
      </x:c>
      <x:c r="H1534" s="169" t="n">
        <x:f>F1534/1000</x:f>
        <x:v>113698.077</x:v>
      </x:c>
      <x:c r="I1534" s="169" t="n">
        <x:f>FCCL!E75</x:f>
        <x:v>113698.077</x:v>
      </x:c>
      <x:c r="J1534" s="169" t="n">
        <x:f>H1534-I1534</x:f>
        <x:v>0</x:v>
      </x:c>
      <x:c r="K1534" s="168" t="str">
        <x:v>FCCL-Annual-Report-2023.pdf</x:v>
      </x:c>
      <x:c r="L1534" s="168" t="n">
        <x:v>209</x:v>
      </x:c>
      <x:c r="M1534" s="168" t="str">
        <x:v>Comparative</x:v>
      </x:c>
      <x:c r="N1534" s="171" t="str">
        <x:v>Printed amount independently located</x:v>
      </x:c>
      <x:c r="O1534" s="171" t="str">
        <x:v>Exact source amount found; audited year/current-comparative column recorded. Accounting subtotal tests performed separately.</x:v>
      </x:c>
      <x:c r="P1534" s="171" t="str">
        <x:v>portion of deferred government grant 8  604,292  366,464  23,134,499  28,216,812 
 28,486,855  26,721,253 
TOTAL EQUITY AND LIABILITIES  138,828,497  113,698,077 TOTAL ASSETS  138,828,497  113,698,077 
CONTINGENCIES AND COMMITMENTS 15
The annexed notes 1 to 45 form an integral part of these financial statements.
CHIEF EXECUTIVE OFFICER DIR</x:v>
      </x:c>
    </x:row>
    <x:row r="1535" ht="82" customHeight="1">
      <x:c r="A1535" s="76" t="str">
        <x:v>FCCL|pr_TA|2023</x:v>
      </x:c>
      <x:c r="B1535" s="76" t="str">
        <x:v>FCCL</x:v>
      </x:c>
      <x:c r="C1535" s="76" t="str">
        <x:v>FY2023</x:v>
      </x:c>
      <x:c r="D1535" s="76" t="str">
        <x:v>Printed total assets</x:v>
      </x:c>
      <x:c r="E1535" s="170" t="n">
        <x:v>138828497</x:v>
      </x:c>
      <x:c r="F1535" s="170" t="n">
        <x:v>138828497</x:v>
      </x:c>
      <x:c r="G1535" s="170" t="str">
        <x:v>Rs '000</x:v>
      </x:c>
      <x:c r="H1535" s="170" t="n">
        <x:f>F1535/1000</x:f>
        <x:v>138828.497</x:v>
      </x:c>
      <x:c r="I1535" s="170" t="n">
        <x:f>FCCL!F75</x:f>
        <x:v>138828.497</x:v>
      </x:c>
      <x:c r="J1535" s="170" t="n">
        <x:f>H1535-I1535</x:f>
        <x:v>0</x:v>
      </x:c>
      <x:c r="K1535" s="76" t="str">
        <x:v>FCCL-Annual-Report-2024.pdf</x:v>
      </x:c>
      <x:c r="L1535" s="76" t="n">
        <x:v>191</x:v>
      </x:c>
      <x:c r="M1535" s="76" t="str">
        <x:v>Comparative</x:v>
      </x:c>
      <x:c r="N1535" s="99" t="str">
        <x:v>Printed amount independently located</x:v>
      </x:c>
      <x:c r="O1535" s="99" t="str">
        <x:v>Exact source amount found; audited year/current-comparative column recorded. Accounting subtotal tests performed separately.</x:v>
      </x:c>
      <x:c r="P1535" s="99" t="str">
        <x:v>250,000 
 Cash and bank balances 26  2,932,984   970,457 
     25,784,071   23,134,499 
TOTAL ASSETS   147,636,299   138,828,497 
Chief Executive Officer Director Chief Financial Officer
Fauji Cement Company Limited
Financial Information
189</x:v>
      </x:c>
    </x:row>
    <x:row r="1536" ht="82" customHeight="1">
      <x:c r="A1536" s="168" t="str">
        <x:v>FCCL|pr_TA|2024</x:v>
      </x:c>
      <x:c r="B1536" s="168" t="str">
        <x:v>FCCL</x:v>
      </x:c>
      <x:c r="C1536" s="168" t="str">
        <x:v>FY2024</x:v>
      </x:c>
      <x:c r="D1536" s="168" t="str">
        <x:v>Printed total assets</x:v>
      </x:c>
      <x:c r="E1536" s="169" t="n">
        <x:v>147636299</x:v>
      </x:c>
      <x:c r="F1536" s="169" t="n">
        <x:v>147636299</x:v>
      </x:c>
      <x:c r="G1536" s="169" t="str">
        <x:v>Rs '000</x:v>
      </x:c>
      <x:c r="H1536" s="169" t="n">
        <x:f>F1536/1000</x:f>
        <x:v>147636.299</x:v>
      </x:c>
      <x:c r="I1536" s="169" t="n">
        <x:f>FCCL!G75</x:f>
        <x:v>147636.299</x:v>
      </x:c>
      <x:c r="J1536" s="169" t="n">
        <x:f>H1536-I1536</x:f>
        <x:v>0</x:v>
      </x:c>
      <x:c r="K1536" s="168" t="str">
        <x:v>FCCL-Annual-Report-2025.pdf</x:v>
      </x:c>
      <x:c r="L1536" s="168" t="n">
        <x:v>245</x:v>
      </x:c>
      <x:c r="M1536" s="168" t="str">
        <x:v>Comparative</x:v>
      </x:c>
      <x:c r="N1536" s="171" t="str">
        <x:v>Printed amount independently located</x:v>
      </x:c>
      <x:c r="O1536" s="171" t="str">
        <x:v>Exact source amount found; audited year/current-comparative column recorded. Accounting subtotal tests performed separately.</x:v>
      </x:c>
      <x:c r="P1536" s="171" t="str">
        <x:v>100   250,000 
 Cash and bank balances 27  2,665,338   2,932,984 
     40,472,565   25,784,071 
TOTAL ASSETS   160,845,191   147,636,299 
Chief Executive Officer Director Chief Financial Officer
Financial InformationFauji Cement Company Limited
239</x:v>
      </x:c>
    </x:row>
    <x:row r="1537" ht="82" customHeight="1">
      <x:c r="A1537" s="76" t="str">
        <x:v>FCCL|pr_TA|2025</x:v>
      </x:c>
      <x:c r="B1537" s="76" t="str">
        <x:v>FCCL</x:v>
      </x:c>
      <x:c r="C1537" s="76" t="str">
        <x:v>FY2025</x:v>
      </x:c>
      <x:c r="D1537" s="76" t="str">
        <x:v>Printed total assets</x:v>
      </x:c>
      <x:c r="E1537" s="170" t="n">
        <x:v>160845191</x:v>
      </x:c>
      <x:c r="F1537" s="170" t="n">
        <x:v>160845191</x:v>
      </x:c>
      <x:c r="G1537" s="170" t="str">
        <x:v>Rs '000</x:v>
      </x:c>
      <x:c r="H1537" s="170" t="n">
        <x:f>F1537/1000</x:f>
        <x:v>160845.191</x:v>
      </x:c>
      <x:c r="I1537" s="170" t="n">
        <x:f>FCCL!H75</x:f>
        <x:v>160845.191</x:v>
      </x:c>
      <x:c r="J1537" s="170" t="n">
        <x:f>H1537-I1537</x:f>
        <x:v>0</x:v>
      </x:c>
      <x:c r="K1537" s="76" t="str">
        <x:v>FCCL-Annual-Report-2025.pdf</x:v>
      </x:c>
      <x:c r="L1537" s="76" t="n">
        <x:v>245</x:v>
      </x:c>
      <x:c r="M1537" s="76" t="str">
        <x:v>Current year</x:v>
      </x:c>
      <x:c r="N1537" s="99" t="str">
        <x:v>Printed amount independently located</x:v>
      </x:c>
      <x:c r="O1537" s="99" t="str">
        <x:v>Exact source amount found; audited year/current-comparative column recorded. Accounting subtotal tests performed separately.</x:v>
      </x:c>
      <x:c r="P1537" s="99" t="str">
        <x:v>ts  26  9,210,100   250,000 
 Cash and bank balances 27  2,665,338   2,932,984 
     40,472,565   25,784,071 
TOTAL ASSETS   160,845,191   147,636,299 
Chief Executive Officer Director Chief Financial Officer
Financial InformationFauji Cement Company Limited
239</x:v>
      </x:c>
    </x:row>
    <x:row r="1538" ht="82" customHeight="1">
      <x:c r="A1538" s="168" t="str">
        <x:v>FCCL|pr_EQ|2020</x:v>
      </x:c>
      <x:c r="B1538" s="168" t="str">
        <x:v>FCCL</x:v>
      </x:c>
      <x:c r="C1538" s="168" t="str">
        <x:v>FY2020</x:v>
      </x:c>
      <x:c r="D1538" s="168" t="str">
        <x:v>Printed total equity</x:v>
      </x:c>
      <x:c r="E1538" s="169" t="n">
        <x:v>19804320</x:v>
      </x:c>
      <x:c r="F1538" s="169" t="n">
        <x:v>19804320</x:v>
      </x:c>
      <x:c r="G1538" s="169" t="str">
        <x:v>Rs '000</x:v>
      </x:c>
      <x:c r="H1538" s="169" t="n">
        <x:f>F1538/1000</x:f>
        <x:v>19804.32</x:v>
      </x:c>
      <x:c r="I1538" s="169" t="n">
        <x:f>FCCL!C76</x:f>
        <x:v>19804.32</x:v>
      </x:c>
      <x:c r="J1538" s="169" t="n">
        <x:f>H1538-I1538</x:f>
        <x:v>0</x:v>
      </x:c>
      <x:c r="K1538" s="168" t="str">
        <x:v>FCCL-Annual-Report-2021.pdf</x:v>
      </x:c>
      <x:c r="L1538" s="168" t="n">
        <x:v>164</x:v>
      </x:c>
      <x:c r="M1538" s="168" t="str">
        <x:v>Comparative</x:v>
      </x:c>
      <x:c r="N1538" s="171" t="str">
        <x:v>Printed amount independently located</x:v>
      </x:c>
      <x:c r="O1538" s="171" t="str">
        <x:v>Exact source amount found; audited year/current-comparative column recorded. Accounting subtotal tests performed separately.</x:v>
      </x:c>
      <x:c r="P1538" s="171" t="str">
        <x:v>3,798,150  13,798,150 
Discount on issue of shares  (1,364,385)  (1,364,385)
Unappropriated profits  10,841,906  7,370,555 
Total equity  23,275,671  19,804,320 
LIABILITIES
Long term loans - secured  5  491,502  447,327 
Employee benefits 6  82,380  72,547 
Lease liability 7  73,593  57,656 
Deferred government grant  22,261  -   
Deferr</x:v>
      </x:c>
    </x:row>
    <x:row r="1539" ht="82" customHeight="1">
      <x:c r="A1539" s="76" t="str">
        <x:v>FCCL|pr_EQ|2021</x:v>
      </x:c>
      <x:c r="B1539" s="76" t="str">
        <x:v>FCCL</x:v>
      </x:c>
      <x:c r="C1539" s="76" t="str">
        <x:v>FY2021</x:v>
      </x:c>
      <x:c r="D1539" s="76" t="str">
        <x:v>Printed total equity</x:v>
      </x:c>
      <x:c r="E1539" s="170" t="n">
        <x:v>23275671</x:v>
      </x:c>
      <x:c r="F1539" s="170" t="n">
        <x:v>23275671</x:v>
      </x:c>
      <x:c r="G1539" s="170" t="str">
        <x:v>Rs '000</x:v>
      </x:c>
      <x:c r="H1539" s="170" t="n">
        <x:f>F1539/1000</x:f>
        <x:v>23275.671</x:v>
      </x:c>
      <x:c r="I1539" s="170" t="n">
        <x:f>FCCL!D76</x:f>
        <x:v>23275.671</x:v>
      </x:c>
      <x:c r="J1539" s="170" t="n">
        <x:f>H1539-I1539</x:f>
        <x:v>0</x:v>
      </x:c>
      <x:c r="K1539" s="76" t="str">
        <x:v>FCCL-Annual-Report-2022.pdf</x:v>
      </x:c>
      <x:c r="L1539" s="76" t="n">
        <x:v>186</x:v>
      </x:c>
      <x:c r="M1539" s="76" t="str">
        <x:v>Comparative</x:v>
      </x:c>
      <x:c r="N1539" s="99" t="str">
        <x:v>Printed amount independently located</x:v>
      </x:c>
      <x:c r="O1539" s="99" t="str">
        <x:v>Exact source amount found; audited year/current-comparative column recorded. Accounting subtotal tests performed separately.</x:v>
      </x:c>
      <x:c r="P1539" s="99" t="str">
        <x:v>pital 4 21,803,090 13,798,150 
Premium/(discount) on issue of shares 5 17,978,520 (1,364,385)
Unappropriated profit 17,954,446 10,841,906 
57,736,056 23,275,671 
NON-CURRENT LIABILITIES 
Long term loans - secured 6 19,555,997 491,502 
Employee benefits 7 179,291 82,380 
Lease liabilities 8 89,965 73,593 
Deferred government grant 9 1,982,</x:v>
      </x:c>
    </x:row>
    <x:row r="1540" ht="82" customHeight="1">
      <x:c r="A1540" s="168" t="str">
        <x:v>FCCL|pr_EQ|2022</x:v>
      </x:c>
      <x:c r="B1540" s="168" t="str">
        <x:v>FCCL</x:v>
      </x:c>
      <x:c r="C1540" s="168" t="str">
        <x:v>FY2022</x:v>
      </x:c>
      <x:c r="D1540" s="168" t="str">
        <x:v>Printed total equity</x:v>
      </x:c>
      <x:c r="E1540" s="169" t="n">
        <x:v>57736056</x:v>
      </x:c>
      <x:c r="F1540" s="169" t="n">
        <x:v>57736056</x:v>
      </x:c>
      <x:c r="G1540" s="169" t="str">
        <x:v>Rs '000</x:v>
      </x:c>
      <x:c r="H1540" s="169" t="n">
        <x:f>F1540/1000</x:f>
        <x:v>57736.056</x:v>
      </x:c>
      <x:c r="I1540" s="169" t="n">
        <x:f>FCCL!E76</x:f>
        <x:v>57736.056</x:v>
      </x:c>
      <x:c r="J1540" s="169" t="n">
        <x:f>H1540-I1540</x:f>
        <x:v>0</x:v>
      </x:c>
      <x:c r="K1540" s="168" t="str">
        <x:v>FCCL-Annual-Report-2023.pdf</x:v>
      </x:c>
      <x:c r="L1540" s="168" t="n">
        <x:v>208</x:v>
      </x:c>
      <x:c r="M1540" s="168" t="str">
        <x:v>Comparative</x:v>
      </x:c>
      <x:c r="N1540" s="171" t="str">
        <x:v>Printed amount independently located</x:v>
      </x:c>
      <x:c r="O1540" s="171" t="str">
        <x:v>Exact source amount found; audited year/current-comparative column recorded. Accounting subtotal tests performed separately.</x:v>
      </x:c>
      <x:c r="P1540" s="171" t="str">
        <x:v>ht of use asset 17  181,380  132,263 
Revenue reserve  25,394,127  17,954,446 Intangible assets and goodwill 18  10,957,737  11,029,756 
 65,175,737  57,736,056 Long term deposits  129,700  126,274 
Long term investment in associate  -  66,657 
NON-CURRENT LIABILITIES  115,693,998  85,481,265 
Long term loans - secured  5  31,777,087  19,</x:v>
      </x:c>
    </x:row>
    <x:row r="1541" ht="82" customHeight="1">
      <x:c r="A1541" s="76" t="str">
        <x:v>FCCL|pr_EQ|2023</x:v>
      </x:c>
      <x:c r="B1541" s="76" t="str">
        <x:v>FCCL</x:v>
      </x:c>
      <x:c r="C1541" s="76" t="str">
        <x:v>FY2023</x:v>
      </x:c>
      <x:c r="D1541" s="76" t="str">
        <x:v>Printed total equity</x:v>
      </x:c>
      <x:c r="E1541" s="170" t="n">
        <x:v>65175737</x:v>
      </x:c>
      <x:c r="F1541" s="170" t="n">
        <x:v>65175737</x:v>
      </x:c>
      <x:c r="G1541" s="170" t="str">
        <x:v>Rs '000</x:v>
      </x:c>
      <x:c r="H1541" s="170" t="n">
        <x:f>F1541/1000</x:f>
        <x:v>65175.737</x:v>
      </x:c>
      <x:c r="I1541" s="170" t="n">
        <x:f>FCCL!F76</x:f>
        <x:v>65175.737</x:v>
      </x:c>
      <x:c r="J1541" s="170" t="n">
        <x:f>H1541-I1541</x:f>
        <x:v>0</x:v>
      </x:c>
      <x:c r="K1541" s="76" t="str">
        <x:v>FCCL-Annual-Report-2024.pdf</x:v>
      </x:c>
      <x:c r="L1541" s="76" t="n">
        <x:v>190</x:v>
      </x:c>
      <x:c r="M1541" s="76" t="str">
        <x:v>Comparative</x:v>
      </x:c>
      <x:c r="N1541" s="99" t="str">
        <x:v>Printed amount independently located</x:v>
      </x:c>
      <x:c r="O1541" s="99" t="str">
        <x:v>Exact source amount found; audited year/current-comparative column recorded. Accounting subtotal tests performed separately.</x:v>
      </x:c>
      <x:c r="P1541" s="99" t="str">
        <x:v>l reserve - Premium on issue of shares   15,253,134   15,253,134 
 Revenue reserve - Accumulated profits   33,617,243   25,394,127 
     73,398,853   65,175,737 
NON-CURRENT LIABILITIES   
 Long term loans - secured   5  29,908,287   31,777,087 
 Employee benefits 6  250,230   211,595 
 Lease liabilities 7  117,454   118,972 
 Deferred</x:v>
      </x:c>
    </x:row>
    <x:row r="1542" ht="82" customHeight="1">
      <x:c r="A1542" s="168" t="str">
        <x:v>FCCL|pr_EQ|2024</x:v>
      </x:c>
      <x:c r="B1542" s="168" t="str">
        <x:v>FCCL</x:v>
      </x:c>
      <x:c r="C1542" s="168" t="str">
        <x:v>FY2024</x:v>
      </x:c>
      <x:c r="D1542" s="168" t="str">
        <x:v>Printed total equity</x:v>
      </x:c>
      <x:c r="E1542" s="169" t="n">
        <x:v>73398853</x:v>
      </x:c>
      <x:c r="F1542" s="169" t="n">
        <x:v>73398853</x:v>
      </x:c>
      <x:c r="G1542" s="169" t="str">
        <x:v>Rs '000</x:v>
      </x:c>
      <x:c r="H1542" s="169" t="n">
        <x:f>F1542/1000</x:f>
        <x:v>73398.853</x:v>
      </x:c>
      <x:c r="I1542" s="169" t="n">
        <x:f>FCCL!G76</x:f>
        <x:v>73398.853</x:v>
      </x:c>
      <x:c r="J1542" s="169" t="n">
        <x:f>H1542-I1542</x:f>
        <x:v>0</x:v>
      </x:c>
      <x:c r="K1542" s="168" t="str">
        <x:v>FCCL-Annual-Report-2025.pdf</x:v>
      </x:c>
      <x:c r="L1542" s="168" t="n">
        <x:v>244</x:v>
      </x:c>
      <x:c r="M1542" s="168" t="str">
        <x:v>Comparative</x:v>
      </x:c>
      <x:c r="N1542" s="171" t="str">
        <x:v>Printed amount independently located</x:v>
      </x:c>
      <x:c r="O1542" s="171" t="str">
        <x:v>Exact source amount found; audited year/current-comparative column recorded. Accounting subtotal tests performed separately.</x:v>
      </x:c>
      <x:c r="P1542" s="171" t="str">
        <x:v>l reserve – Premium on issue of shares   15,253,134   15,253,134 
 Revenue reserve – Accumulated profits   44,490,598   33,617,243 
     84,272,208   73,398,853 
NON–CURRENT LIABILITIES  
 Long term loans – secured   6  24,208,633   29,908,287 
 Employee benefits 7  283,590   250,230 
 Lease liabilities 8  101,211   117,454 
 Deferred gov</x:v>
      </x:c>
    </x:row>
    <x:row r="1543" ht="82" customHeight="1">
      <x:c r="A1543" s="76" t="str">
        <x:v>FCCL|pr_EQ|2025</x:v>
      </x:c>
      <x:c r="B1543" s="76" t="str">
        <x:v>FCCL</x:v>
      </x:c>
      <x:c r="C1543" s="76" t="str">
        <x:v>FY2025</x:v>
      </x:c>
      <x:c r="D1543" s="76" t="str">
        <x:v>Printed total equity</x:v>
      </x:c>
      <x:c r="E1543" s="170" t="n">
        <x:v>84272208</x:v>
      </x:c>
      <x:c r="F1543" s="170" t="n">
        <x:v>84272208</x:v>
      </x:c>
      <x:c r="G1543" s="170" t="str">
        <x:v>Rs '000</x:v>
      </x:c>
      <x:c r="H1543" s="170" t="n">
        <x:f>F1543/1000</x:f>
        <x:v>84272.208</x:v>
      </x:c>
      <x:c r="I1543" s="170" t="n">
        <x:f>FCCL!H76</x:f>
        <x:v>84272.208</x:v>
      </x:c>
      <x:c r="J1543" s="170" t="n">
        <x:f>H1543-I1543</x:f>
        <x:v>0</x:v>
      </x:c>
      <x:c r="K1543" s="76" t="str">
        <x:v>FCCL-Annual-Report-2025.pdf</x:v>
      </x:c>
      <x:c r="L1543" s="76" t="n">
        <x:v>244</x:v>
      </x:c>
      <x:c r="M1543" s="76" t="str">
        <x:v>Current year</x:v>
      </x:c>
      <x:c r="N1543" s="99" t="str">
        <x:v>Printed amount independently located</x:v>
      </x:c>
      <x:c r="O1543" s="99" t="str">
        <x:v>Exact source amount found; audited year/current-comparative column recorded. Accounting subtotal tests performed separately.</x:v>
      </x:c>
      <x:c r="P1543" s="99" t="str">
        <x:v>,476 
 Capital reserve – Premium on issue of shares   15,253,134   15,253,134 
 Revenue reserve – Accumulated profits   44,490,598   33,617,243 
     84,272,208   73,398,853 
NON–CURRENT LIABILITIES  
 Long term loans – secured   6  24,208,633   29,908,287 
 Employee benefits 7  283,590   250,230 
 Lease liabilities 8  101,211   117,454</x:v>
      </x:c>
    </x:row>
    <x:row r="1544" ht="82" customHeight="1">
      <x:c r="A1544" s="168" t="str">
        <x:v>FCCL|pr_CA|2020</x:v>
      </x:c>
      <x:c r="B1544" s="168" t="str">
        <x:v>FCCL</x:v>
      </x:c>
      <x:c r="C1544" s="168" t="str">
        <x:v>FY2020</x:v>
      </x:c>
      <x:c r="D1544" s="168" t="str">
        <x:v>Printed total current assets</x:v>
      </x:c>
      <x:c r="E1544" s="169" t="n">
        <x:v>6983321</x:v>
      </x:c>
      <x:c r="F1544" s="169" t="n">
        <x:v>6983321</x:v>
      </x:c>
      <x:c r="G1544" s="169" t="str">
        <x:v>Rs '000</x:v>
      </x:c>
      <x:c r="H1544" s="169" t="n">
        <x:f>F1544/1000</x:f>
        <x:v>6983.321</x:v>
      </x:c>
      <x:c r="I1544" s="169" t="n">
        <x:f>FCCL!C77</x:f>
        <x:v>6983.321</x:v>
      </x:c>
      <x:c r="J1544" s="169" t="n">
        <x:f>H1544-I1544</x:f>
        <x:v>0</x:v>
      </x:c>
      <x:c r="K1544" s="168" t="str">
        <x:v>FCCL-Annual-Report-2021.pdf</x:v>
      </x:c>
      <x:c r="L1544" s="168" t="n">
        <x:v>165</x:v>
      </x:c>
      <x:c r="M1544" s="168" t="str">
        <x:v>Comparative</x:v>
      </x:c>
      <x:c r="N1544" s="171" t="str">
        <x:v>Printed amount independently located</x:v>
      </x:c>
      <x:c r="O1544" s="171" t="str">
        <x:v>Exact source amount found; audited year/current-comparative column recorded. Accounting subtotal tests performed separately.</x:v>
      </x:c>
      <x:c r="P1544" s="171" t="str">
        <x:v>562,239 
Other receivables 23  88,890  22,169 
Short term investments 24  4,397,699  -   
Cash and bank balances 25  900,778  561,174 
 12,438,732  6,983,321 
TOTAL ASSETS  34,052,231  29,207,916 
CHIEF EXECUTIVE OFFICER CHIEF FINANCIAL OFFICERDIRECTOR</x:v>
      </x:c>
    </x:row>
    <x:row r="1545" ht="82" customHeight="1">
      <x:c r="A1545" s="76" t="str">
        <x:v>FCCL|pr_CA|2021</x:v>
      </x:c>
      <x:c r="B1545" s="76" t="str">
        <x:v>FCCL</x:v>
      </x:c>
      <x:c r="C1545" s="76" t="str">
        <x:v>FY2021</x:v>
      </x:c>
      <x:c r="D1545" s="76" t="str">
        <x:v>Printed total current assets</x:v>
      </x:c>
      <x:c r="E1545" s="170" t="n">
        <x:v>12438732</x:v>
      </x:c>
      <x:c r="F1545" s="170" t="n">
        <x:v>12438732</x:v>
      </x:c>
      <x:c r="G1545" s="170" t="str">
        <x:v>Rs '000</x:v>
      </x:c>
      <x:c r="H1545" s="170" t="n">
        <x:f>F1545/1000</x:f>
        <x:v>12438.732</x:v>
      </x:c>
      <x:c r="I1545" s="170" t="n">
        <x:f>FCCL!D77</x:f>
        <x:v>12438.732</x:v>
      </x:c>
      <x:c r="J1545" s="170" t="n">
        <x:f>H1545-I1545</x:f>
        <x:v>0</x:v>
      </x:c>
      <x:c r="K1545" s="76" t="str">
        <x:v>FCCL-Annual-Report-2022.pdf</x:v>
      </x:c>
      <x:c r="L1545" s="76" t="n">
        <x:v>187</x:v>
      </x:c>
      <x:c r="M1545" s="76" t="str">
        <x:v>Comparative</x:v>
      </x:c>
      <x:c r="N1545" s="99" t="str">
        <x:v>Printed amount independently located</x:v>
      </x:c>
      <x:c r="O1545" s="99" t="str">
        <x:v>Exact source amount found; audited year/current-comparative column recorded. Accounting subtotal tests performed separately.</x:v>
      </x:c>
      <x:c r="P1545" s="99" t="str">
        <x:v>8 90,073 
Other receivables 28 175,443 88,890 
Short term investments 29 3,843,010 4,397,699 
Cash and bank balances 30 2,306,633 900,778 
28,216,812 12,438,732 
TOTAL ASSETS 113,698,077 34,052,231 
CHIEF EXECUTIVE OFFICER CHIEF FINANCIAL OFFICERDIRECTOR
185
ANNUAL REPORT 2022</x:v>
      </x:c>
    </x:row>
    <x:row r="1546" ht="82" customHeight="1">
      <x:c r="A1546" s="168" t="str">
        <x:v>FCCL|pr_CA|2022</x:v>
      </x:c>
      <x:c r="B1546" s="168" t="str">
        <x:v>FCCL</x:v>
      </x:c>
      <x:c r="C1546" s="168" t="str">
        <x:v>FY2022</x:v>
      </x:c>
      <x:c r="D1546" s="168" t="str">
        <x:v>Printed total current assets</x:v>
      </x:c>
      <x:c r="E1546" s="169" t="n">
        <x:v>28216812</x:v>
      </x:c>
      <x:c r="F1546" s="169" t="n">
        <x:v>28216812</x:v>
      </x:c>
      <x:c r="G1546" s="169" t="str">
        <x:v>Rs '000</x:v>
      </x:c>
      <x:c r="H1546" s="169" t="n">
        <x:f>F1546/1000</x:f>
        <x:v>28216.812</x:v>
      </x:c>
      <x:c r="I1546" s="169" t="n">
        <x:f>FCCL!E77</x:f>
        <x:v>28216.812</x:v>
      </x:c>
      <x:c r="J1546" s="169" t="n">
        <x:f>H1546-I1546</x:f>
        <x:v>0</x:v>
      </x:c>
      <x:c r="K1546" s="168" t="str">
        <x:v>FCCL-Annual-Report-2023.pdf</x:v>
      </x:c>
      <x:c r="L1546" s="168" t="n">
        <x:v>208</x:v>
      </x:c>
      <x:c r="M1546" s="168" t="str">
        <x:v>Comparative</x:v>
      </x:c>
      <x:c r="N1546" s="171" t="str">
        <x:v>Printed amount independently located</x:v>
      </x:c>
      <x:c r="O1546" s="171" t="str">
        <x:v>Exact source amount found; audited year/current-comparative column recorded. Accounting subtotal tests performed separately.</x:v>
      </x:c>
      <x:c r="P1546" s="171" t="str">
        <x:v>5  4,176,493  2,985,087 Cash and bank balances 27  970,457  2,306,633 
Current portion of deferred government grant 8  604,292  366,464  23,134,499  28,216,812 
 28,486,855  26,721,253 
TOTAL EQUITY AND LIABILITIES  138,828,497  113,698,077 TOTAL ASSETS  138,828,497  113,698,077 
CONTINGENCIES AND COMMITMENTS 15
The annexed notes 1 to 45</x:v>
      </x:c>
    </x:row>
    <x:row r="1547" ht="82" customHeight="1">
      <x:c r="A1547" s="76" t="str">
        <x:v>FCCL|pr_CA|2023</x:v>
      </x:c>
      <x:c r="B1547" s="76" t="str">
        <x:v>FCCL</x:v>
      </x:c>
      <x:c r="C1547" s="76" t="str">
        <x:v>FY2023</x:v>
      </x:c>
      <x:c r="D1547" s="76" t="str">
        <x:v>Printed total current assets</x:v>
      </x:c>
      <x:c r="E1547" s="170" t="n">
        <x:v>23134499</x:v>
      </x:c>
      <x:c r="F1547" s="170" t="n">
        <x:v>23134499</x:v>
      </x:c>
      <x:c r="G1547" s="170" t="str">
        <x:v>Rs '000</x:v>
      </x:c>
      <x:c r="H1547" s="170" t="n">
        <x:f>F1547/1000</x:f>
        <x:v>23134.499</x:v>
      </x:c>
      <x:c r="I1547" s="170" t="n">
        <x:f>FCCL!F77</x:f>
        <x:v>23134.499</x:v>
      </x:c>
      <x:c r="J1547" s="170" t="n">
        <x:f>H1547-I1547</x:f>
        <x:v>0</x:v>
      </x:c>
      <x:c r="K1547" s="76" t="str">
        <x:v>FCCL-Annual-Report-2024.pdf</x:v>
      </x:c>
      <x:c r="L1547" s="76" t="n">
        <x:v>191</x:v>
      </x:c>
      <x:c r="M1547" s="76" t="str">
        <x:v>Comparative</x:v>
      </x:c>
      <x:c r="N1547" s="99" t="str">
        <x:v>Printed amount independently located</x:v>
      </x:c>
      <x:c r="O1547" s="99" t="str">
        <x:v>Exact source amount found; audited year/current-comparative column recorded. Accounting subtotal tests performed separately.</x:v>
      </x:c>
      <x:c r="P1547" s="99" t="str">
        <x:v>receivables 24  280,071   282,463 
 Short term investments  25  250,000   250,000 
 Cash and bank balances 26  2,932,984   970,457 
     25,784,071   23,134,499 
TOTAL ASSETS   147,636,299   138,828,497 
Chief Executive Officer Director Chief Financial Officer
Fauji Cement Company Limited
Financial Informa</x:v>
      </x:c>
    </x:row>
    <x:row r="1548" ht="82" customHeight="1">
      <x:c r="A1548" s="168" t="str">
        <x:v>FCCL|pr_CA|2024</x:v>
      </x:c>
      <x:c r="B1548" s="168" t="str">
        <x:v>FCCL</x:v>
      </x:c>
      <x:c r="C1548" s="168" t="str">
        <x:v>FY2024</x:v>
      </x:c>
      <x:c r="D1548" s="168" t="str">
        <x:v>Printed total current assets</x:v>
      </x:c>
      <x:c r="E1548" s="169" t="n">
        <x:v>25784071</x:v>
      </x:c>
      <x:c r="F1548" s="169" t="n">
        <x:v>25784071</x:v>
      </x:c>
      <x:c r="G1548" s="169" t="str">
        <x:v>Rs '000</x:v>
      </x:c>
      <x:c r="H1548" s="169" t="n">
        <x:f>F1548/1000</x:f>
        <x:v>25784.071</x:v>
      </x:c>
      <x:c r="I1548" s="169" t="n">
        <x:f>FCCL!G77</x:f>
        <x:v>25784.071</x:v>
      </x:c>
      <x:c r="J1548" s="169" t="n">
        <x:f>H1548-I1548</x:f>
        <x:v>0</x:v>
      </x:c>
      <x:c r="K1548" s="168" t="str">
        <x:v>FCCL-Annual-Report-2025.pdf</x:v>
      </x:c>
      <x:c r="L1548" s="168" t="n">
        <x:v>245</x:v>
      </x:c>
      <x:c r="M1548" s="168" t="str">
        <x:v>Comparative</x:v>
      </x:c>
      <x:c r="N1548" s="171" t="str">
        <x:v>Printed amount independently located</x:v>
      </x:c>
      <x:c r="O1548" s="171" t="str">
        <x:v>Exact source amount found; audited year/current-comparative column recorded. Accounting subtotal tests performed separately.</x:v>
      </x:c>
      <x:c r="P1548" s="171" t="str">
        <x:v>eivables 25  48,492   280,071 
 Short term investments  26  9,210,100   250,000 
 Cash and bank balances 27  2,665,338   2,932,984 
     40,472,565   25,784,071 
TOTAL ASSETS   160,845,191   147,636,299 
Chief Executive Officer Director Chief Financial Officer
Financial InformationFauji Cement Company Limited
239</x:v>
      </x:c>
    </x:row>
    <x:row r="1549" ht="82" customHeight="1">
      <x:c r="A1549" s="76" t="str">
        <x:v>FCCL|pr_CA|2025</x:v>
      </x:c>
      <x:c r="B1549" s="76" t="str">
        <x:v>FCCL</x:v>
      </x:c>
      <x:c r="C1549" s="76" t="str">
        <x:v>FY2025</x:v>
      </x:c>
      <x:c r="D1549" s="76" t="str">
        <x:v>Printed total current assets</x:v>
      </x:c>
      <x:c r="E1549" s="170" t="n">
        <x:v>40472565</x:v>
      </x:c>
      <x:c r="F1549" s="170" t="n">
        <x:v>40472565</x:v>
      </x:c>
      <x:c r="G1549" s="170" t="str">
        <x:v>Rs '000</x:v>
      </x:c>
      <x:c r="H1549" s="170" t="n">
        <x:f>F1549/1000</x:f>
        <x:v>40472.565</x:v>
      </x:c>
      <x:c r="I1549" s="170" t="n">
        <x:f>FCCL!H77</x:f>
        <x:v>40472.565</x:v>
      </x:c>
      <x:c r="J1549" s="170" t="n">
        <x:f>H1549-I1549</x:f>
        <x:v>0</x:v>
      </x:c>
      <x:c r="K1549" s="76" t="str">
        <x:v>FCCL-Annual-Report-2025.pdf</x:v>
      </x:c>
      <x:c r="L1549" s="76" t="n">
        <x:v>245</x:v>
      </x:c>
      <x:c r="M1549" s="76" t="str">
        <x:v>Current year</x:v>
      </x:c>
      <x:c r="N1549" s="99" t="str">
        <x:v>Printed amount independently located</x:v>
      </x:c>
      <x:c r="O1549" s="99" t="str">
        <x:v>Exact source amount found; audited year/current-comparative column recorded. Accounting subtotal tests performed separately.</x:v>
      </x:c>
      <x:c r="P1549" s="99" t="str">
        <x:v>Other receivables 25  48,492   280,071 
 Short term investments  26  9,210,100   250,000 
 Cash and bank balances 27  2,665,338   2,932,984 
     40,472,565   25,784,071 
TOTAL ASSETS   160,845,191   147,636,299 
Chief Executive Officer Director Chief Financial Officer
Financial InformationFauji Cement Company</x:v>
      </x:c>
    </x:row>
    <x:row r="1550" ht="82" customHeight="1">
      <x:c r="A1550" s="168" t="str">
        <x:v>FCCL|pr_CL|2020</x:v>
      </x:c>
      <x:c r="B1550" s="168" t="str">
        <x:v>FCCL</x:v>
      </x:c>
      <x:c r="C1550" s="168" t="str">
        <x:v>FY2020</x:v>
      </x:c>
      <x:c r="D1550" s="168" t="str">
        <x:v>Printed total current liabilities</x:v>
      </x:c>
      <x:c r="E1550" s="169" t="n">
        <x:v>5182458</x:v>
      </x:c>
      <x:c r="F1550" s="169" t="n">
        <x:v>5182458</x:v>
      </x:c>
      <x:c r="G1550" s="169" t="str">
        <x:v>Rs '000</x:v>
      </x:c>
      <x:c r="H1550" s="169" t="n">
        <x:f>F1550/1000</x:f>
        <x:v>5182.458</x:v>
      </x:c>
      <x:c r="I1550" s="169" t="n">
        <x:f>FCCL!C78</x:f>
        <x:v>5182.458</x:v>
      </x:c>
      <x:c r="J1550" s="169" t="n">
        <x:f>H1550-I1550</x:f>
        <x:v>0</x:v>
      </x:c>
      <x:c r="K1550" s="168" t="str">
        <x:v>FCCL-Annual-Report-2021.pdf</x:v>
      </x:c>
      <x:c r="L1550" s="168" t="n">
        <x:v>164</x:v>
      </x:c>
      <x:c r="M1550" s="168" t="str">
        <x:v>Comparative</x:v>
      </x:c>
      <x:c r="N1550" s="171" t="str">
        <x:v>Printed amount independently located</x:v>
      </x:c>
      <x:c r="O1550" s="171" t="str">
        <x:v>Exact source amount found; audited year/current-comparative column recorded. Accounting subtotal tests performed separately.</x:v>
      </x:c>
      <x:c r="P1550" s="171" t="str">
        <x:v>d 12  1,616,787  1,869,167 
Current portion of lease liability 7  24,686  23,737 
Current portion of long term loans 5  361,521  303,912 
 6,146,335  5,182,458 
TOTAL EQUITY AND LIABILITIES  34,052,231  29,207,916 
CONTINGENCIES AND COMMITMENTS 13
The annexed notes 1 to 43 form an integral part of these financial statements.</x:v>
      </x:c>
    </x:row>
    <x:row r="1551" ht="82" customHeight="1">
      <x:c r="A1551" s="76" t="str">
        <x:v>FCCL|pr_CL|2021</x:v>
      </x:c>
      <x:c r="B1551" s="76" t="str">
        <x:v>FCCL</x:v>
      </x:c>
      <x:c r="C1551" s="76" t="str">
        <x:v>FY2021</x:v>
      </x:c>
      <x:c r="D1551" s="76" t="str">
        <x:v>Printed total current liabilities</x:v>
      </x:c>
      <x:c r="E1551" s="170" t="n">
        <x:v>6161989</x:v>
      </x:c>
      <x:c r="F1551" s="170" t="n">
        <x:v>6161989</x:v>
      </x:c>
      <x:c r="G1551" s="170" t="str">
        <x:v>Rs '000</x:v>
      </x:c>
      <x:c r="H1551" s="170" t="n">
        <x:f>F1551/1000</x:f>
        <x:v>6161.989</x:v>
      </x:c>
      <x:c r="I1551" s="170" t="n">
        <x:f>FCCL!D78</x:f>
        <x:v>6161.989</x:v>
      </x:c>
      <x:c r="J1551" s="170" t="n">
        <x:f>H1551-I1551</x:f>
        <x:v>0</x:v>
      </x:c>
      <x:c r="K1551" s="76" t="str">
        <x:v>FCCL-Annual-Report-2022.pdf</x:v>
      </x:c>
      <x:c r="L1551" s="76" t="n">
        <x:v>186</x:v>
      </x:c>
      <x:c r="M1551" s="76" t="str">
        <x:v>Comparative</x:v>
      </x:c>
      <x:c r="N1551" s="99" t="str">
        <x:v>Printed amount independently located</x:v>
      </x:c>
      <x:c r="O1551" s="99" t="str">
        <x:v>Exact source amount found; audited year/current-comparative column recorded. Accounting subtotal tests performed separately.</x:v>
      </x:c>
      <x:c r="P1551" s="99" t="str">
        <x:v>ty 8 68,332 24,686 
Current portion of long term loans 6 2,985,087 361,521 
Current portion of deferred government grant 9 366,464 15,654 
26,721,253 6,161,989 
TOTAL EQUITY AND LIABILITIES 113,698,077 34,052,231 
CONTINGENCIES AND COMMITMENTS 16
The annexed notes 1 to 49 form an integral part of these financial statements.
184
Fauji Cem</x:v>
      </x:c>
    </x:row>
    <x:row r="1552" ht="82" customHeight="1">
      <x:c r="A1552" s="168" t="str">
        <x:v>FCCL|pr_CL|2022</x:v>
      </x:c>
      <x:c r="B1552" s="168" t="str">
        <x:v>FCCL</x:v>
      </x:c>
      <x:c r="C1552" s="168" t="str">
        <x:v>FY2022</x:v>
      </x:c>
      <x:c r="D1552" s="168" t="str">
        <x:v>Printed total current liabilities</x:v>
      </x:c>
      <x:c r="E1552" s="169" t="n">
        <x:v>26721253</x:v>
      </x:c>
      <x:c r="F1552" s="169" t="n">
        <x:v>26721253</x:v>
      </x:c>
      <x:c r="G1552" s="169" t="str">
        <x:v>Rs '000</x:v>
      </x:c>
      <x:c r="H1552" s="169" t="n">
        <x:f>F1552/1000</x:f>
        <x:v>26721.253</x:v>
      </x:c>
      <x:c r="I1552" s="169" t="n">
        <x:f>FCCL!E78</x:f>
        <x:v>26721.253</x:v>
      </x:c>
      <x:c r="J1552" s="169" t="n">
        <x:f>H1552-I1552</x:f>
        <x:v>0</x:v>
      </x:c>
      <x:c r="K1552" s="168" t="str">
        <x:v>FCCL-Annual-Report-2023.pdf</x:v>
      </x:c>
      <x:c r="L1552" s="168" t="n">
        <x:v>208</x:v>
      </x:c>
      <x:c r="M1552" s="168" t="str">
        <x:v>Comparative</x:v>
      </x:c>
      <x:c r="N1552" s="171" t="str">
        <x:v>Printed amount independently located</x:v>
      </x:c>
      <x:c r="O1552" s="171" t="str">
        <x:v>Exact source amount found; audited year/current-comparative column recorded. Accounting subtotal tests performed separately.</x:v>
      </x:c>
      <x:c r="P1552" s="171" t="str">
        <x:v>Cash and bank balances 27  970,457  2,306,633 
Current portion of deferred government grant 8  604,292  366,464  23,134,499  28,216,812 
 28,486,855  26,721,253 
TOTAL EQUITY AND LIABILITIES  138,828,497  113,698,077 TOTAL ASSETS  138,828,497  113,698,077 
CONTINGENCIES AND COMMITMENTS 15
The annexed notes 1 to 45 form an integral part of</x:v>
      </x:c>
    </x:row>
    <x:row r="1553" ht="82" customHeight="1">
      <x:c r="A1553" s="76" t="str">
        <x:v>FCCL|pr_CL|2023</x:v>
      </x:c>
      <x:c r="B1553" s="76" t="str">
        <x:v>FCCL</x:v>
      </x:c>
      <x:c r="C1553" s="76" t="str">
        <x:v>FY2023</x:v>
      </x:c>
      <x:c r="D1553" s="76" t="str">
        <x:v>Printed total current liabilities</x:v>
      </x:c>
      <x:c r="E1553" s="170" t="n">
        <x:v>28486855</x:v>
      </x:c>
      <x:c r="F1553" s="170" t="n">
        <x:v>28486855</x:v>
      </x:c>
      <x:c r="G1553" s="170" t="str">
        <x:v>Rs '000</x:v>
      </x:c>
      <x:c r="H1553" s="170" t="n">
        <x:f>F1553/1000</x:f>
        <x:v>28486.855</x:v>
      </x:c>
      <x:c r="I1553" s="170" t="n">
        <x:f>FCCL!F78</x:f>
        <x:v>28486.855</x:v>
      </x:c>
      <x:c r="J1553" s="170" t="n">
        <x:f>H1553-I1553</x:f>
        <x:v>0</x:v>
      </x:c>
      <x:c r="K1553" s="76" t="str">
        <x:v>FCCL-Annual-Report-2024.pdf</x:v>
      </x:c>
      <x:c r="L1553" s="76" t="n">
        <x:v>190</x:v>
      </x:c>
      <x:c r="M1553" s="76" t="str">
        <x:v>Comparative</x:v>
      </x:c>
      <x:c r="N1553" s="99" t="str">
        <x:v>Printed amount independently located</x:v>
      </x:c>
      <x:c r="O1553" s="99" t="str">
        <x:v>Exact source amount found; audited year/current-comparative column recorded. Accounting subtotal tests performed separately.</x:v>
      </x:c>
      <x:c r="P1553" s="99" t="str">
        <x:v>Current portion of long term loans 5  5,066,868   4,176,493 
 Current portion of deferred government grant 8  580,891   604,292 
     26,865,467   28,486,855 
TOTAL EQUITY AND LIABILITIES    147,636,299   138,828,497 
CONTINGENCIES AND COMMITMENTS 15  
The annexed notes 1 to 45 form an integral part of these financial statemen</x:v>
      </x:c>
    </x:row>
    <x:row r="1554" ht="82" customHeight="1">
      <x:c r="A1554" s="168" t="str">
        <x:v>FCCL|pr_CL|2024</x:v>
      </x:c>
      <x:c r="B1554" s="168" t="str">
        <x:v>FCCL</x:v>
      </x:c>
      <x:c r="C1554" s="168" t="str">
        <x:v>FY2024</x:v>
      </x:c>
      <x:c r="D1554" s="168" t="str">
        <x:v>Printed total current liabilities</x:v>
      </x:c>
      <x:c r="E1554" s="169" t="n">
        <x:v>26865467</x:v>
      </x:c>
      <x:c r="F1554" s="169" t="n">
        <x:v>26865467</x:v>
      </x:c>
      <x:c r="G1554" s="169" t="str">
        <x:v>Rs '000</x:v>
      </x:c>
      <x:c r="H1554" s="169" t="n">
        <x:f>F1554/1000</x:f>
        <x:v>26865.467</x:v>
      </x:c>
      <x:c r="I1554" s="169" t="n">
        <x:f>FCCL!G78</x:f>
        <x:v>26865.467</x:v>
      </x:c>
      <x:c r="J1554" s="169" t="n">
        <x:f>H1554-I1554</x:f>
        <x:v>0</x:v>
      </x:c>
      <x:c r="K1554" s="168" t="str">
        <x:v>FCCL-Annual-Report-2025.pdf</x:v>
      </x:c>
      <x:c r="L1554" s="168" t="n">
        <x:v>244</x:v>
      </x:c>
      <x:c r="M1554" s="168" t="str">
        <x:v>Comparative</x:v>
      </x:c>
      <x:c r="N1554" s="171" t="str">
        <x:v>Printed amount independently located</x:v>
      </x:c>
      <x:c r="O1554" s="171" t="str">
        <x:v>Exact source amount found; audited year/current-comparative column recorded. Accounting subtotal tests performed separately.</x:v>
      </x:c>
      <x:c r="P1554" s="171" t="str">
        <x:v>66,868 
 Current portion of lease liability 8  43,099   46,206 
 Current portion of deferred government grant 9  515,175   580,891 
     30,637,497   26,865,467 
TOTAL EQUITY AND LIABILITIES    160,845,191   147,636,299 
CONTINGENCIES AND COMMITMENTS 16
The annexed notes 1 to 47 form an integral part of these financial statements.</x:v>
      </x:c>
    </x:row>
    <x:row r="1555" ht="82" customHeight="1">
      <x:c r="A1555" s="76" t="str">
        <x:v>FCCL|pr_CL|2025</x:v>
      </x:c>
      <x:c r="B1555" s="76" t="str">
        <x:v>FCCL</x:v>
      </x:c>
      <x:c r="C1555" s="76" t="str">
        <x:v>FY2025</x:v>
      </x:c>
      <x:c r="D1555" s="76" t="str">
        <x:v>Printed total current liabilities</x:v>
      </x:c>
      <x:c r="E1555" s="170" t="n">
        <x:v>30637497</x:v>
      </x:c>
      <x:c r="F1555" s="170" t="n">
        <x:v>30637497</x:v>
      </x:c>
      <x:c r="G1555" s="170" t="str">
        <x:v>Rs '000</x:v>
      </x:c>
      <x:c r="H1555" s="170" t="n">
        <x:f>F1555/1000</x:f>
        <x:v>30637.497</x:v>
      </x:c>
      <x:c r="I1555" s="170" t="n">
        <x:f>FCCL!H78</x:f>
        <x:v>30637.497</x:v>
      </x:c>
      <x:c r="J1555" s="170" t="n">
        <x:f>H1555-I1555</x:f>
        <x:v>0</x:v>
      </x:c>
      <x:c r="K1555" s="76" t="str">
        <x:v>FCCL-Annual-Report-2025.pdf</x:v>
      </x:c>
      <x:c r="L1555" s="76" t="n">
        <x:v>244</x:v>
      </x:c>
      <x:c r="M1555" s="76" t="str">
        <x:v>Current year</x:v>
      </x:c>
      <x:c r="N1555" s="99" t="str">
        <x:v>Printed amount independently located</x:v>
      </x:c>
      <x:c r="O1555" s="99" t="str">
        <x:v>Exact source amount found; audited year/current-comparative column recorded. Accounting subtotal tests performed separately.</x:v>
      </x:c>
      <x:c r="P1555" s="99" t="str">
        <x:v>104,065   5,066,868 
 Current portion of lease liability 8  43,099   46,206 
 Current portion of deferred government grant 9  515,175   580,891 
     30,637,497   26,865,467 
TOTAL EQUITY AND LIABILITIES    160,845,191   147,636,299 
CONTINGENCIES AND COMMITMENTS 16
The annexed notes 1 to 47 form an integral part of these financial s</x:v>
      </x:c>
    </x:row>
    <x:row r="1556" ht="82" customHeight="1">
      <x:c r="A1556" s="168" t="str">
        <x:v>FCCL|rev|2021</x:v>
      </x:c>
      <x:c r="B1556" s="168" t="str">
        <x:v>FCCL</x:v>
      </x:c>
      <x:c r="C1556" s="168" t="str">
        <x:v>FY2021</x:v>
      </x:c>
      <x:c r="D1556" s="168" t="str">
        <x:v>Revenue / net sales</x:v>
      </x:c>
      <x:c r="E1556" s="169" t="n">
        <x:v>24271285</x:v>
      </x:c>
      <x:c r="F1556" s="169" t="n">
        <x:v>24271285</x:v>
      </x:c>
      <x:c r="G1556" s="169" t="str">
        <x:v>Rs '000</x:v>
      </x:c>
      <x:c r="H1556" s="169" t="n">
        <x:f>F1556/1000</x:f>
        <x:v>24271.285</x:v>
      </x:c>
      <x:c r="I1556" s="169" t="n">
        <x:f>FCCL!D84</x:f>
        <x:v>24271.285</x:v>
      </x:c>
      <x:c r="J1556" s="169" t="n">
        <x:f>H1556-I1556</x:f>
        <x:v>0</x:v>
      </x:c>
      <x:c r="K1556" s="168" t="str">
        <x:v>FCCL-Annual-Report-2022.pdf</x:v>
      </x:c>
      <x:c r="L1556" s="168" t="n">
        <x:v>188</x:v>
      </x:c>
      <x:c r="M1556" s="168" t="str">
        <x:v>Comparative</x:v>
      </x:c>
      <x:c r="N1556" s="171" t="str">
        <x:v>Printed amount independently located</x:v>
      </x:c>
      <x:c r="O1556" s="171" t="str">
        <x:v>Exact source amount found; audited year/current-comparative column recorded. Accounting subtotal tests performed separately.</x:v>
      </x:c>
      <x:c r="P1556" s="171" t="str">
        <x:v>STATEMENT OF PROFIT OR LOSS
2022 2021
Note Rupees'000 Rupees'000
Revenue - net 31 54,243,118 24,271,285 
Cost of sales 32 (39,843,851) (18,206,880)
Gross profit 14,399,267 6,064,405 
Other income 33 230,695 81,710 
Selling and distribution expenses 34 (539,014) (189,537)
Administrat</x:v>
      </x:c>
    </x:row>
    <x:row r="1557" ht="82" customHeight="1">
      <x:c r="A1557" s="76" t="str">
        <x:v>FCCL|rev|2022</x:v>
      </x:c>
      <x:c r="B1557" s="76" t="str">
        <x:v>FCCL</x:v>
      </x:c>
      <x:c r="C1557" s="76" t="str">
        <x:v>FY2022</x:v>
      </x:c>
      <x:c r="D1557" s="76" t="str">
        <x:v>Revenue / net sales</x:v>
      </x:c>
      <x:c r="E1557" s="170" t="n">
        <x:v>54243118</x:v>
      </x:c>
      <x:c r="F1557" s="170" t="n">
        <x:v>54243118</x:v>
      </x:c>
      <x:c r="G1557" s="170" t="str">
        <x:v>Rs '000</x:v>
      </x:c>
      <x:c r="H1557" s="170" t="n">
        <x:f>F1557/1000</x:f>
        <x:v>54243.118</x:v>
      </x:c>
      <x:c r="I1557" s="170" t="n">
        <x:f>FCCL!E84</x:f>
        <x:v>54243.118</x:v>
      </x:c>
      <x:c r="J1557" s="170" t="n">
        <x:f>H1557-I1557</x:f>
        <x:v>0</x:v>
      </x:c>
      <x:c r="K1557" s="76" t="str">
        <x:v>FCCL-Annual-Report-2023.pdf</x:v>
      </x:c>
      <x:c r="L1557" s="76" t="n">
        <x:v>210</x:v>
      </x:c>
      <x:c r="M1557" s="76" t="str">
        <x:v>Comparative</x:v>
      </x:c>
      <x:c r="N1557" s="99" t="str">
        <x:v>Printed amount independently located</x:v>
      </x:c>
      <x:c r="O1557" s="99" t="str">
        <x:v>Exact source amount found; audited year/current-comparative column recorded. Accounting subtotal tests performed separately.</x:v>
      </x:c>
      <x:c r="P1557" s="99" t="str">
        <x:v>Cement Company Limited
Statement of Profit or Loss
For the year ended June 30, 2023
2023 2022
Note Rupees’000 Rupees’000
Revenue - net 28 68,069,282 54,243,118 
Cost of sales 29 (47,650,809) (38,779,542)
Gross profit 20,418,473 15,463,576 
Other income 30 436,173 230,695 
Selling and distribution expenses 31 (2,705,263) (1,603,323)
Admin</x:v>
      </x:c>
    </x:row>
    <x:row r="1558" ht="82" customHeight="1">
      <x:c r="A1558" s="168" t="str">
        <x:v>FCCL|rev|2023</x:v>
      </x:c>
      <x:c r="B1558" s="168" t="str">
        <x:v>FCCL</x:v>
      </x:c>
      <x:c r="C1558" s="168" t="str">
        <x:v>FY2023</x:v>
      </x:c>
      <x:c r="D1558" s="168" t="str">
        <x:v>Revenue / net sales</x:v>
      </x:c>
      <x:c r="E1558" s="169" t="n">
        <x:v>68069282</x:v>
      </x:c>
      <x:c r="F1558" s="169" t="n">
        <x:v>68069282</x:v>
      </x:c>
      <x:c r="G1558" s="169" t="str">
        <x:v>Rs '000</x:v>
      </x:c>
      <x:c r="H1558" s="169" t="n">
        <x:f>F1558/1000</x:f>
        <x:v>68069.282</x:v>
      </x:c>
      <x:c r="I1558" s="169" t="n">
        <x:f>FCCL!F84</x:f>
        <x:v>68069.282</x:v>
      </x:c>
      <x:c r="J1558" s="169" t="n">
        <x:f>H1558-I1558</x:f>
        <x:v>0</x:v>
      </x:c>
      <x:c r="K1558" s="168" t="str">
        <x:v>FCCL-Annual-Report-2024.pdf</x:v>
      </x:c>
      <x:c r="L1558" s="168" t="n">
        <x:v>192</x:v>
      </x:c>
      <x:c r="M1558" s="168" t="str">
        <x:v>Comparative</x:v>
      </x:c>
      <x:c r="N1558" s="171" t="str">
        <x:v>Printed amount independently located</x:v>
      </x:c>
      <x:c r="O1558" s="171" t="str">
        <x:v>Exact source amount found; audited year/current-comparative column recorded. Accounting subtotal tests performed separately.</x:v>
      </x:c>
      <x:c r="P1558" s="171" t="str">
        <x:v>Note 2024 2023
  Rupees’000 Rupees’000
Revenue - net 27 80,026,226  68,069,282 
Cost of sales 28 (54,345,821) (47,650,809)
Gross profit  25,680,405  20,418,473 
Other income 29 540,373  436,173 
Selling and distribution expenses 30 (3,285,923) (2,705,263)</x:v>
      </x:c>
    </x:row>
    <x:row r="1559" ht="82" customHeight="1">
      <x:c r="A1559" s="76" t="str">
        <x:v>FCCL|rev|2024</x:v>
      </x:c>
      <x:c r="B1559" s="76" t="str">
        <x:v>FCCL</x:v>
      </x:c>
      <x:c r="C1559" s="76" t="str">
        <x:v>FY2024</x:v>
      </x:c>
      <x:c r="D1559" s="76" t="str">
        <x:v>Revenue / net sales</x:v>
      </x:c>
      <x:c r="E1559" s="170" t="n">
        <x:v>80026226</x:v>
      </x:c>
      <x:c r="F1559" s="170" t="n">
        <x:v>80026226</x:v>
      </x:c>
      <x:c r="G1559" s="170" t="str">
        <x:v>Rs '000</x:v>
      </x:c>
      <x:c r="H1559" s="170" t="n">
        <x:f>F1559/1000</x:f>
        <x:v>80026.226</x:v>
      </x:c>
      <x:c r="I1559" s="170" t="n">
        <x:f>FCCL!G84</x:f>
        <x:v>80026.226</x:v>
      </x:c>
      <x:c r="J1559" s="170" t="n">
        <x:f>H1559-I1559</x:f>
        <x:v>0</x:v>
      </x:c>
      <x:c r="K1559" s="76" t="str">
        <x:v>FCCL-Annual-Report-2025.pdf</x:v>
      </x:c>
      <x:c r="L1559" s="76" t="n">
        <x:v>246</x:v>
      </x:c>
      <x:c r="M1559" s="76" t="str">
        <x:v>Comparative</x:v>
      </x:c>
      <x:c r="N1559" s="99" t="str">
        <x:v>Printed amount independently located</x:v>
      </x:c>
      <x:c r="O1559" s="99" t="str">
        <x:v>Exact source amount found; audited year/current-comparative column recorded. Accounting subtotal tests performed separately.</x:v>
      </x:c>
      <x:c r="P1559" s="99" t="str">
        <x:v>Note 2025 2024
  Rupees’000 Rupees’000
Revenue – net 28 88,956,328  80,026,226 
Cost of sales 29 (57,384,978) (54,345,821)
Gross profit  31,571,350  25,680,405 
Other income 30 760,772  540,373 
Selling and distribution expenses 31 (2,935,139) (3,285,923)</x:v>
      </x:c>
    </x:row>
    <x:row r="1560" ht="82" customHeight="1">
      <x:c r="A1560" s="168" t="str">
        <x:v>FCCL|rev|2025</x:v>
      </x:c>
      <x:c r="B1560" s="168" t="str">
        <x:v>FCCL</x:v>
      </x:c>
      <x:c r="C1560" s="168" t="str">
        <x:v>FY2025</x:v>
      </x:c>
      <x:c r="D1560" s="168" t="str">
        <x:v>Revenue / net sales</x:v>
      </x:c>
      <x:c r="E1560" s="169" t="n">
        <x:v>88956328</x:v>
      </x:c>
      <x:c r="F1560" s="169" t="n">
        <x:v>88956328</x:v>
      </x:c>
      <x:c r="G1560" s="169" t="str">
        <x:v>Rs '000</x:v>
      </x:c>
      <x:c r="H1560" s="169" t="n">
        <x:f>F1560/1000</x:f>
        <x:v>88956.328</x:v>
      </x:c>
      <x:c r="I1560" s="169" t="n">
        <x:f>FCCL!H84</x:f>
        <x:v>88956.328</x:v>
      </x:c>
      <x:c r="J1560" s="169" t="n">
        <x:f>H1560-I1560</x:f>
        <x:v>0</x:v>
      </x:c>
      <x:c r="K1560" s="168" t="str">
        <x:v>FCCL-Annual-Report-2025.pdf</x:v>
      </x:c>
      <x:c r="L1560" s="168" t="n">
        <x:v>246</x:v>
      </x:c>
      <x:c r="M1560" s="168" t="str">
        <x:v>Current year</x:v>
      </x:c>
      <x:c r="N1560" s="171" t="str">
        <x:v>Printed amount independently located</x:v>
      </x:c>
      <x:c r="O1560" s="171" t="str">
        <x:v>Exact source amount found; audited year/current-comparative column recorded. Accounting subtotal tests performed separately.</x:v>
      </x:c>
      <x:c r="P1560" s="171" t="str">
        <x:v>Note 2025 2024
  Rupees’000 Rupees’000
Revenue – net 28 88,956,328  80,026,226 
Cost of sales 29 (57,384,978) (54,345,821)
Gross profit  31,571,350  25,680,405 
Other income 30 760,772  540,373 
Selling and distribution expenses 31 (2,935,139)</x:v>
      </x:c>
    </x:row>
    <x:row r="1561" ht="82" customHeight="1">
      <x:c r="A1561" s="76" t="str">
        <x:v>FCCL|cogs|2021</x:v>
      </x:c>
      <x:c r="B1561" s="76" t="str">
        <x:v>FCCL</x:v>
      </x:c>
      <x:c r="C1561" s="76" t="str">
        <x:v>FY2021</x:v>
      </x:c>
      <x:c r="D1561" s="76" t="str">
        <x:v>Cost of sales</x:v>
      </x:c>
      <x:c r="E1561" s="170" t="n">
        <x:v>-18206880</x:v>
      </x:c>
      <x:c r="F1561" s="170" t="n">
        <x:v>-18206880</x:v>
      </x:c>
      <x:c r="G1561" s="170" t="str">
        <x:v>Rs '000</x:v>
      </x:c>
      <x:c r="H1561" s="170" t="n">
        <x:f>F1561/1000</x:f>
        <x:v>-18206.88</x:v>
      </x:c>
      <x:c r="I1561" s="170" t="n">
        <x:f>FCCL!D85</x:f>
        <x:v>-18206.88</x:v>
      </x:c>
      <x:c r="J1561" s="170" t="n">
        <x:f>H1561-I1561</x:f>
        <x:v>0</x:v>
      </x:c>
      <x:c r="K1561" s="76" t="str">
        <x:v>FCCL-Annual-Report-2022.pdf</x:v>
      </x:c>
      <x:c r="L1561" s="76" t="n">
        <x:v>188</x:v>
      </x:c>
      <x:c r="M1561" s="76" t="str">
        <x:v>Comparative</x:v>
      </x:c>
      <x:c r="N1561" s="99" t="str">
        <x:v>Printed amount independently located</x:v>
      </x:c>
      <x:c r="O1561" s="99" t="str">
        <x:v>Exact source amount found; audited year/current-comparative column recorded. Accounting subtotal tests performed separately.</x:v>
      </x:c>
      <x:c r="P1561" s="99" t="str">
        <x:v>STATEMENT OF PROFIT OR LOSS
2022 2021
Note Rupees'000 Rupees'000
Revenue - net 31 54,243,118 24,271,285 
Cost of sales 32 (39,843,851) (18,206,880)
Gross profit 14,399,267 6,064,405 
Other income 33 230,695 81,710 
Selling and distribution expenses 34 (539,014) (189,537)
Administrative expenses 35 (1,299,439) (524,709)
Other</x:v>
      </x:c>
    </x:row>
    <x:row r="1562" ht="82" customHeight="1">
      <x:c r="A1562" s="168" t="str">
        <x:v>FCCL|cogs|2022</x:v>
      </x:c>
      <x:c r="B1562" s="168" t="str">
        <x:v>FCCL</x:v>
      </x:c>
      <x:c r="C1562" s="168" t="str">
        <x:v>FY2022</x:v>
      </x:c>
      <x:c r="D1562" s="168" t="str">
        <x:v>Cost of sales</x:v>
      </x:c>
      <x:c r="E1562" s="169" t="n">
        <x:v>-38779542</x:v>
      </x:c>
      <x:c r="F1562" s="169" t="n">
        <x:v>-38779542</x:v>
      </x:c>
      <x:c r="G1562" s="169" t="str">
        <x:v>Rs '000</x:v>
      </x:c>
      <x:c r="H1562" s="169" t="n">
        <x:f>F1562/1000</x:f>
        <x:v>-38779.542</x:v>
      </x:c>
      <x:c r="I1562" s="169" t="n">
        <x:f>FCCL!E85</x:f>
        <x:v>-38779.542</x:v>
      </x:c>
      <x:c r="J1562" s="169" t="n">
        <x:f>H1562-I1562</x:f>
        <x:v>0</x:v>
      </x:c>
      <x:c r="K1562" s="168" t="str">
        <x:v>FCCL-Annual-Report-2023.pdf</x:v>
      </x:c>
      <x:c r="L1562" s="168" t="n">
        <x:v>210</x:v>
      </x:c>
      <x:c r="M1562" s="168" t="str">
        <x:v>Comparative</x:v>
      </x:c>
      <x:c r="N1562" s="171" t="str">
        <x:v>Printed amount independently located</x:v>
      </x:c>
      <x:c r="O1562" s="171" t="str">
        <x:v>Exact source amount found; audited year/current-comparative column recorded. Accounting subtotal tests performed separately.</x:v>
      </x:c>
      <x:c r="P1562" s="171" t="str">
        <x:v>t or Loss
For the year ended June 30, 2023
2023 2022
Note Rupees’000 Rupees’000
Revenue - net 28 68,069,282 54,243,118 
Cost of sales 29 (47,650,809) (38,779,542)
Gross profit 20,418,473 15,463,576 
Other income 30 436,173 230,695 
Selling and distribution expenses 31 (2,705,263) (1,603,323)
Administrative expenses 32 (1,381,633) (1,299,439</x:v>
      </x:c>
    </x:row>
    <x:row r="1563" ht="82" customHeight="1">
      <x:c r="A1563" s="76" t="str">
        <x:v>FCCL|cogs|2023</x:v>
      </x:c>
      <x:c r="B1563" s="76" t="str">
        <x:v>FCCL</x:v>
      </x:c>
      <x:c r="C1563" s="76" t="str">
        <x:v>FY2023</x:v>
      </x:c>
      <x:c r="D1563" s="76" t="str">
        <x:v>Cost of sales</x:v>
      </x:c>
      <x:c r="E1563" s="170" t="n">
        <x:v>-47650809</x:v>
      </x:c>
      <x:c r="F1563" s="170" t="n">
        <x:v>-47650809</x:v>
      </x:c>
      <x:c r="G1563" s="170" t="str">
        <x:v>Rs '000</x:v>
      </x:c>
      <x:c r="H1563" s="170" t="n">
        <x:f>F1563/1000</x:f>
        <x:v>-47650.809</x:v>
      </x:c>
      <x:c r="I1563" s="170" t="n">
        <x:f>FCCL!F85</x:f>
        <x:v>-47650.809</x:v>
      </x:c>
      <x:c r="J1563" s="170" t="n">
        <x:f>H1563-I1563</x:f>
        <x:v>0</x:v>
      </x:c>
      <x:c r="K1563" s="76" t="str">
        <x:v>FCCL-Annual-Report-2024.pdf</x:v>
      </x:c>
      <x:c r="L1563" s="76" t="n">
        <x:v>192</x:v>
      </x:c>
      <x:c r="M1563" s="76" t="str">
        <x:v>Comparative</x:v>
      </x:c>
      <x:c r="N1563" s="99" t="str">
        <x:v>Printed amount independently located</x:v>
      </x:c>
      <x:c r="O1563" s="99" t="str">
        <x:v>Exact source amount found; audited year/current-comparative column recorded. Accounting subtotal tests performed separately.</x:v>
      </x:c>
      <x:c r="P1563" s="99" t="str">
        <x:v>Note 2024 2023
  Rupees’000 Rupees’000
Revenue - net 27 80,026,226  68,069,282 
Cost of sales 28 (54,345,821) (47,650,809)
Gross profit  25,680,405  20,418,473 
Other income 29 540,373  436,173 
Selling and distribution expenses 30 (3,285,923) (2,705,263)
Administrative expenses 31 (1,516,046) (1,38</x:v>
      </x:c>
    </x:row>
    <x:row r="1564" ht="82" customHeight="1">
      <x:c r="A1564" s="168" t="str">
        <x:v>FCCL|cogs|2024</x:v>
      </x:c>
      <x:c r="B1564" s="168" t="str">
        <x:v>FCCL</x:v>
      </x:c>
      <x:c r="C1564" s="168" t="str">
        <x:v>FY2024</x:v>
      </x:c>
      <x:c r="D1564" s="168" t="str">
        <x:v>Cost of sales</x:v>
      </x:c>
      <x:c r="E1564" s="169" t="n">
        <x:v>-54345821</x:v>
      </x:c>
      <x:c r="F1564" s="169" t="n">
        <x:v>-54345821</x:v>
      </x:c>
      <x:c r="G1564" s="169" t="str">
        <x:v>Rs '000</x:v>
      </x:c>
      <x:c r="H1564" s="169" t="n">
        <x:f>F1564/1000</x:f>
        <x:v>-54345.821</x:v>
      </x:c>
      <x:c r="I1564" s="169" t="n">
        <x:f>FCCL!G85</x:f>
        <x:v>-54345.821</x:v>
      </x:c>
      <x:c r="J1564" s="169" t="n">
        <x:f>H1564-I1564</x:f>
        <x:v>0</x:v>
      </x:c>
      <x:c r="K1564" s="168" t="str">
        <x:v>FCCL-Annual-Report-2025.pdf</x:v>
      </x:c>
      <x:c r="L1564" s="168" t="n">
        <x:v>246</x:v>
      </x:c>
      <x:c r="M1564" s="168" t="str">
        <x:v>Comparative</x:v>
      </x:c>
      <x:c r="N1564" s="171" t="str">
        <x:v>Printed amount independently located</x:v>
      </x:c>
      <x:c r="O1564" s="171" t="str">
        <x:v>Exact source amount found; audited year/current-comparative column recorded. Accounting subtotal tests performed separately.</x:v>
      </x:c>
      <x:c r="P1564" s="171" t="str">
        <x:v>Note 2025 2024
  Rupees’000 Rupees’000
Revenue – net 28 88,956,328  80,026,226 
Cost of sales 29 (57,384,978) (54,345,821)
Gross profit  31,571,350  25,680,405 
Other income 30 760,772  540,373 
Selling and distribution expenses 31 (2,935,139) (3,285,923)
Administrative expenses 32 (1,688,886) (1,51</x:v>
      </x:c>
    </x:row>
    <x:row r="1565" ht="82" customHeight="1">
      <x:c r="A1565" s="76" t="str">
        <x:v>FCCL|cogs|2025</x:v>
      </x:c>
      <x:c r="B1565" s="76" t="str">
        <x:v>FCCL</x:v>
      </x:c>
      <x:c r="C1565" s="76" t="str">
        <x:v>FY2025</x:v>
      </x:c>
      <x:c r="D1565" s="76" t="str">
        <x:v>Cost of sales</x:v>
      </x:c>
      <x:c r="E1565" s="170" t="n">
        <x:v>-57384978</x:v>
      </x:c>
      <x:c r="F1565" s="170" t="n">
        <x:v>-57384978</x:v>
      </x:c>
      <x:c r="G1565" s="170" t="str">
        <x:v>Rs '000</x:v>
      </x:c>
      <x:c r="H1565" s="170" t="n">
        <x:f>F1565/1000</x:f>
        <x:v>-57384.978</x:v>
      </x:c>
      <x:c r="I1565" s="170" t="n">
        <x:f>FCCL!H85</x:f>
        <x:v>-57384.978</x:v>
      </x:c>
      <x:c r="J1565" s="170" t="n">
        <x:f>H1565-I1565</x:f>
        <x:v>0</x:v>
      </x:c>
      <x:c r="K1565" s="76" t="str">
        <x:v>FCCL-Annual-Report-2025.pdf</x:v>
      </x:c>
      <x:c r="L1565" s="76" t="n">
        <x:v>246</x:v>
      </x:c>
      <x:c r="M1565" s="76" t="str">
        <x:v>Current year</x:v>
      </x:c>
      <x:c r="N1565" s="99" t="str">
        <x:v>Printed amount independently located</x:v>
      </x:c>
      <x:c r="O1565" s="99" t="str">
        <x:v>Exact source amount found; audited year/current-comparative column recorded. Accounting subtotal tests performed separately.</x:v>
      </x:c>
      <x:c r="P1565" s="99" t="str">
        <x:v>Note 2025 2024
  Rupees’000 Rupees’000
Revenue – net 28 88,956,328  80,026,226 
Cost of sales 29 (57,384,978) (54,345,821)
Gross profit  31,571,350  25,680,405 
Other income 30 760,772  540,373 
Selling and distribution expenses 31 (2,935,139) (3,285,923)
Administrative expenses 32 (1,6</x:v>
      </x:c>
    </x:row>
    <x:row r="1566" ht="82" customHeight="1">
      <x:c r="A1566" s="168" t="str">
        <x:v>FCCL|selling|2021</x:v>
      </x:c>
      <x:c r="B1566" s="168" t="str">
        <x:v>FCCL</x:v>
      </x:c>
      <x:c r="C1566" s="168" t="str">
        <x:v>FY2021</x:v>
      </x:c>
      <x:c r="D1566" s="168" t="str">
        <x:v>Selling and distribution expenses</x:v>
      </x:c>
      <x:c r="E1566" s="169" t="n">
        <x:v>-189537</x:v>
      </x:c>
      <x:c r="F1566" s="169" t="n">
        <x:v>-189537</x:v>
      </x:c>
      <x:c r="G1566" s="169" t="str">
        <x:v>Rs '000</x:v>
      </x:c>
      <x:c r="H1566" s="169" t="n">
        <x:f>F1566/1000</x:f>
        <x:v>-189.537</x:v>
      </x:c>
      <x:c r="I1566" s="169" t="n">
        <x:f>FCCL!D87</x:f>
        <x:v>-189.537</x:v>
      </x:c>
      <x:c r="J1566" s="169" t="n">
        <x:f>H1566-I1566</x:f>
        <x:v>0</x:v>
      </x:c>
      <x:c r="K1566" s="168" t="str">
        <x:v>FCCL-Annual-Report-2022.pdf</x:v>
      </x:c>
      <x:c r="L1566" s="168" t="n">
        <x:v>188</x:v>
      </x:c>
      <x:c r="M1566" s="168" t="str">
        <x:v>Comparative</x:v>
      </x:c>
      <x:c r="N1566" s="171" t="str">
        <x:v>Printed amount independently located</x:v>
      </x:c>
      <x:c r="O1566" s="171" t="str">
        <x:v>Exact source amount found; audited year/current-comparative column recorded. Accounting subtotal tests performed separately.</x:v>
      </x:c>
      <x:c r="P1566" s="171" t="str">
        <x:v>sales 32 (39,843,851) (18,206,880)
Gross profit 14,399,267 6,064,405 
Other income 33 230,695 81,710 
Selling and distribution expenses 34 (539,014) (189,537)
Administrative expenses 35 (1,299,439) (524,709)
Other expenses 36 (808,964) (377,946)
Operating profit 11,982,545 5,053,923 
Finance cost 37 (1,201,612) (109,623)
Finance income</x:v>
      </x:c>
    </x:row>
    <x:row r="1567" ht="82" customHeight="1">
      <x:c r="A1567" s="76" t="str">
        <x:v>FCCL|selling|2022</x:v>
      </x:c>
      <x:c r="B1567" s="76" t="str">
        <x:v>FCCL</x:v>
      </x:c>
      <x:c r="C1567" s="76" t="str">
        <x:v>FY2022</x:v>
      </x:c>
      <x:c r="D1567" s="76" t="str">
        <x:v>Selling and distribution expenses</x:v>
      </x:c>
      <x:c r="E1567" s="170" t="n">
        <x:v>-1603323</x:v>
      </x:c>
      <x:c r="F1567" s="170" t="n">
        <x:v>-1603323</x:v>
      </x:c>
      <x:c r="G1567" s="170" t="str">
        <x:v>Rs '000</x:v>
      </x:c>
      <x:c r="H1567" s="170" t="n">
        <x:f>F1567/1000</x:f>
        <x:v>-1603.323</x:v>
      </x:c>
      <x:c r="I1567" s="170" t="n">
        <x:f>FCCL!E87</x:f>
        <x:v>-1603.323</x:v>
      </x:c>
      <x:c r="J1567" s="170" t="n">
        <x:f>H1567-I1567</x:f>
        <x:v>0</x:v>
      </x:c>
      <x:c r="K1567" s="76" t="str">
        <x:v>FCCL-Annual-Report-2023.pdf</x:v>
      </x:c>
      <x:c r="L1567" s="76" t="n">
        <x:v>210</x:v>
      </x:c>
      <x:c r="M1567" s="76" t="str">
        <x:v>Comparative</x:v>
      </x:c>
      <x:c r="N1567" s="99" t="str">
        <x:v>Printed amount independently located</x:v>
      </x:c>
      <x:c r="O1567" s="99" t="str">
        <x:v>Exact source amount found; audited year/current-comparative column recorded. Accounting subtotal tests performed separately.</x:v>
      </x:c>
      <x:c r="P1567" s="99" t="str">
        <x:v>es 29 (47,650,809) (38,779,542)
Gross profit 20,418,473 15,463,576 
Other income 30 436,173 230,695 
Selling and distribution expenses 31 (2,705,263) (1,603,323)
Administrative expenses 32 (1,381,633) (1,299,439)
Other expenses 33 (750,078) (808,964)
Operating profit 16,017,672 11,982,545 
Finance cost 34 (3,645,265) (1,201,612)
Finance in</x:v>
      </x:c>
    </x:row>
    <x:row r="1568" ht="82" customHeight="1">
      <x:c r="A1568" s="168" t="str">
        <x:v>FCCL|selling|2023</x:v>
      </x:c>
      <x:c r="B1568" s="168" t="str">
        <x:v>FCCL</x:v>
      </x:c>
      <x:c r="C1568" s="168" t="str">
        <x:v>FY2023</x:v>
      </x:c>
      <x:c r="D1568" s="168" t="str">
        <x:v>Selling and distribution expenses</x:v>
      </x:c>
      <x:c r="E1568" s="169" t="n">
        <x:v>-2705263</x:v>
      </x:c>
      <x:c r="F1568" s="169" t="n">
        <x:v>-2705263</x:v>
      </x:c>
      <x:c r="G1568" s="169" t="str">
        <x:v>Rs '000</x:v>
      </x:c>
      <x:c r="H1568" s="169" t="n">
        <x:f>F1568/1000</x:f>
        <x:v>-2705.263</x:v>
      </x:c>
      <x:c r="I1568" s="169" t="n">
        <x:f>FCCL!F87</x:f>
        <x:v>-2705.263</x:v>
      </x:c>
      <x:c r="J1568" s="169" t="n">
        <x:f>H1568-I1568</x:f>
        <x:v>0</x:v>
      </x:c>
      <x:c r="K1568" s="168" t="str">
        <x:v>FCCL-Annual-Report-2024.pdf</x:v>
      </x:c>
      <x:c r="L1568" s="168" t="n">
        <x:v>192</x:v>
      </x:c>
      <x:c r="M1568" s="168" t="str">
        <x:v>Comparative</x:v>
      </x:c>
      <x:c r="N1568" s="171" t="str">
        <x:v>Printed amount independently located</x:v>
      </x:c>
      <x:c r="O1568" s="171" t="str">
        <x:v>Exact source amount found; audited year/current-comparative column recorded. Accounting subtotal tests performed separately.</x:v>
      </x:c>
      <x:c r="P1568" s="171" t="str">
        <x:v>(54,345,821) (47,650,809)
Gross profit  25,680,405  20,418,473 
Other income 29 540,373  436,173 
Selling and distribution expenses 30 (3,285,923) (2,705,263)
Administrative expenses 31 (1,516,046) (1,381,633)
Other expenses 32 (826,875) (750,078)
Operating profit  20,591,934  16,017,672 
Finance cost 33 (5,536,298) (3,645,265)
Financ</x:v>
      </x:c>
    </x:row>
    <x:row r="1569" ht="82" customHeight="1">
      <x:c r="A1569" s="76" t="str">
        <x:v>FCCL|selling|2024</x:v>
      </x:c>
      <x:c r="B1569" s="76" t="str">
        <x:v>FCCL</x:v>
      </x:c>
      <x:c r="C1569" s="76" t="str">
        <x:v>FY2024</x:v>
      </x:c>
      <x:c r="D1569" s="76" t="str">
        <x:v>Selling and distribution expenses</x:v>
      </x:c>
      <x:c r="E1569" s="170" t="n">
        <x:v>-3285923</x:v>
      </x:c>
      <x:c r="F1569" s="170" t="n">
        <x:v>-3285923</x:v>
      </x:c>
      <x:c r="G1569" s="170" t="str">
        <x:v>Rs '000</x:v>
      </x:c>
      <x:c r="H1569" s="170" t="n">
        <x:f>F1569/1000</x:f>
        <x:v>-3285.923</x:v>
      </x:c>
      <x:c r="I1569" s="170" t="n">
        <x:f>FCCL!G87</x:f>
        <x:v>-3285.923</x:v>
      </x:c>
      <x:c r="J1569" s="170" t="n">
        <x:f>H1569-I1569</x:f>
        <x:v>0</x:v>
      </x:c>
      <x:c r="K1569" s="76" t="str">
        <x:v>FCCL-Annual-Report-2025.pdf</x:v>
      </x:c>
      <x:c r="L1569" s="76" t="n">
        <x:v>246</x:v>
      </x:c>
      <x:c r="M1569" s="76" t="str">
        <x:v>Comparative</x:v>
      </x:c>
      <x:c r="N1569" s="99" t="str">
        <x:v>Printed amount independently located</x:v>
      </x:c>
      <x:c r="O1569" s="99" t="str">
        <x:v>Exact source amount found; audited year/current-comparative column recorded. Accounting subtotal tests performed separately.</x:v>
      </x:c>
      <x:c r="P1569" s="99" t="str">
        <x:v>(57,384,978) (54,345,821)
Gross profit  31,571,350  25,680,405 
Other income 30 760,772  540,373 
Selling and distribution expenses 31 (2,935,139) (3,285,923)
Administrative expenses 32 (1,688,886) (1,516,046)
Other expenses 33 (1,479,276) (826,875)
Operating profit  26,228,821  20,591,934 
Finance cost 34 (5,772,132) (5,536,298)
Fina</x:v>
      </x:c>
    </x:row>
    <x:row r="1570" ht="82" customHeight="1">
      <x:c r="A1570" s="168" t="str">
        <x:v>FCCL|selling|2025</x:v>
      </x:c>
      <x:c r="B1570" s="168" t="str">
        <x:v>FCCL</x:v>
      </x:c>
      <x:c r="C1570" s="168" t="str">
        <x:v>FY2025</x:v>
      </x:c>
      <x:c r="D1570" s="168" t="str">
        <x:v>Selling and distribution expenses</x:v>
      </x:c>
      <x:c r="E1570" s="169" t="n">
        <x:v>-2935139</x:v>
      </x:c>
      <x:c r="F1570" s="169" t="n">
        <x:v>-2935139</x:v>
      </x:c>
      <x:c r="G1570" s="169" t="str">
        <x:v>Rs '000</x:v>
      </x:c>
      <x:c r="H1570" s="169" t="n">
        <x:f>F1570/1000</x:f>
        <x:v>-2935.139</x:v>
      </x:c>
      <x:c r="I1570" s="169" t="n">
        <x:f>FCCL!H87</x:f>
        <x:v>-2935.139</x:v>
      </x:c>
      <x:c r="J1570" s="169" t="n">
        <x:f>H1570-I1570</x:f>
        <x:v>0</x:v>
      </x:c>
      <x:c r="K1570" s="168" t="str">
        <x:v>FCCL-Annual-Report-2025.pdf</x:v>
      </x:c>
      <x:c r="L1570" s="168" t="n">
        <x:v>246</x:v>
      </x:c>
      <x:c r="M1570" s="168" t="str">
        <x:v>Current year</x:v>
      </x:c>
      <x:c r="N1570" s="171" t="str">
        <x:v>Printed amount independently located</x:v>
      </x:c>
      <x:c r="O1570" s="171" t="str">
        <x:v>Exact source amount found; audited year/current-comparative column recorded. Accounting subtotal tests performed separately.</x:v>
      </x:c>
      <x:c r="P1570" s="171" t="str">
        <x:v>of sales 29 (57,384,978) (54,345,821)
Gross profit  31,571,350  25,680,405 
Other income 30 760,772  540,373 
Selling and distribution expenses 31 (2,935,139) (3,285,923)
Administrative expenses 32 (1,688,886) (1,516,046)
Other expenses 33 (1,479,276) (826,875)
Operating profit  26,228,821  20,591,934 
Finance cost 34 (5,772,132) (5,5</x:v>
      </x:c>
    </x:row>
    <x:row r="1571" ht="82" customHeight="1">
      <x:c r="A1571" s="76" t="str">
        <x:v>FCCL|admin|2021</x:v>
      </x:c>
      <x:c r="B1571" s="76" t="str">
        <x:v>FCCL</x:v>
      </x:c>
      <x:c r="C1571" s="76" t="str">
        <x:v>FY2021</x:v>
      </x:c>
      <x:c r="D1571" s="76" t="str">
        <x:v>Administrative expenses</x:v>
      </x:c>
      <x:c r="E1571" s="170" t="n">
        <x:v>-524709</x:v>
      </x:c>
      <x:c r="F1571" s="170" t="n">
        <x:v>-524709</x:v>
      </x:c>
      <x:c r="G1571" s="170" t="str">
        <x:v>Rs '000</x:v>
      </x:c>
      <x:c r="H1571" s="170" t="n">
        <x:f>F1571/1000</x:f>
        <x:v>-524.709</x:v>
      </x:c>
      <x:c r="I1571" s="170" t="n">
        <x:f>FCCL!D88</x:f>
        <x:v>-524.709</x:v>
      </x:c>
      <x:c r="J1571" s="170" t="n">
        <x:f>H1571-I1571</x:f>
        <x:v>0</x:v>
      </x:c>
      <x:c r="K1571" s="76" t="str">
        <x:v>FCCL-Annual-Report-2022.pdf</x:v>
      </x:c>
      <x:c r="L1571" s="76" t="n">
        <x:v>188</x:v>
      </x:c>
      <x:c r="M1571" s="76" t="str">
        <x:v>Comparative</x:v>
      </x:c>
      <x:c r="N1571" s="99" t="str">
        <x:v>Printed amount independently located</x:v>
      </x:c>
      <x:c r="O1571" s="99" t="str">
        <x:v>Exact source amount found; audited year/current-comparative column recorded. Accounting subtotal tests performed separately.</x:v>
      </x:c>
      <x:c r="P1571" s="99" t="str">
        <x:v>14,399,267 6,064,405 
Other income 33 230,695 81,710 
Selling and distribution expenses 34 (539,014) (189,537)
Administrative expenses 35 (1,299,439) (524,709)
Other expenses 36 (808,964) (377,946)
Operating profit 11,982,545 5,053,923 
Finance cost 37 (1,201,612) (109,623)
Finance income 38 745,852 160,543 
Net finance (cost)/ income (4</x:v>
      </x:c>
    </x:row>
    <x:row r="1572" ht="82" customHeight="1">
      <x:c r="A1572" s="168" t="str">
        <x:v>FCCL|admin|2022</x:v>
      </x:c>
      <x:c r="B1572" s="168" t="str">
        <x:v>FCCL</x:v>
      </x:c>
      <x:c r="C1572" s="168" t="str">
        <x:v>FY2022</x:v>
      </x:c>
      <x:c r="D1572" s="168" t="str">
        <x:v>Administrative expenses</x:v>
      </x:c>
      <x:c r="E1572" s="169" t="n">
        <x:v>-1299439</x:v>
      </x:c>
      <x:c r="F1572" s="169" t="n">
        <x:v>-1299439</x:v>
      </x:c>
      <x:c r="G1572" s="169" t="str">
        <x:v>Rs '000</x:v>
      </x:c>
      <x:c r="H1572" s="169" t="n">
        <x:f>F1572/1000</x:f>
        <x:v>-1299.439</x:v>
      </x:c>
      <x:c r="I1572" s="169" t="n">
        <x:f>FCCL!E88</x:f>
        <x:v>-1299.439</x:v>
      </x:c>
      <x:c r="J1572" s="169" t="n">
        <x:f>H1572-I1572</x:f>
        <x:v>0</x:v>
      </x:c>
      <x:c r="K1572" s="168" t="str">
        <x:v>FCCL-Annual-Report-2023.pdf</x:v>
      </x:c>
      <x:c r="L1572" s="168" t="n">
        <x:v>210</x:v>
      </x:c>
      <x:c r="M1572" s="168" t="str">
        <x:v>Comparative</x:v>
      </x:c>
      <x:c r="N1572" s="171" t="str">
        <x:v>Printed amount independently located</x:v>
      </x:c>
      <x:c r="O1572" s="171" t="str">
        <x:v>Exact source amount found; audited year/current-comparative column recorded. Accounting subtotal tests performed separately.</x:v>
      </x:c>
      <x:c r="P1572" s="171" t="str">
        <x:v>,473 15,463,576 
Other income 30 436,173 230,695 
Selling and distribution expenses 31 (2,705,263) (1,603,323)
Administrative expenses 32 (1,381,633) (1,299,439)
Other expenses 33 (750,078) (808,964)
Operating profit 16,017,672 11,982,545 
Finance cost 34 (3,645,265) (1,201,612)
Finance income 35 527,702 745,852 
Net finance cost (3,117,56</x:v>
      </x:c>
    </x:row>
    <x:row r="1573" ht="82" customHeight="1">
      <x:c r="A1573" s="76" t="str">
        <x:v>FCCL|admin|2023</x:v>
      </x:c>
      <x:c r="B1573" s="76" t="str">
        <x:v>FCCL</x:v>
      </x:c>
      <x:c r="C1573" s="76" t="str">
        <x:v>FY2023</x:v>
      </x:c>
      <x:c r="D1573" s="76" t="str">
        <x:v>Administrative expenses</x:v>
      </x:c>
      <x:c r="E1573" s="170" t="n">
        <x:v>-1381633</x:v>
      </x:c>
      <x:c r="F1573" s="170" t="n">
        <x:v>-1381633</x:v>
      </x:c>
      <x:c r="G1573" s="170" t="str">
        <x:v>Rs '000</x:v>
      </x:c>
      <x:c r="H1573" s="170" t="n">
        <x:f>F1573/1000</x:f>
        <x:v>-1381.633</x:v>
      </x:c>
      <x:c r="I1573" s="170" t="n">
        <x:f>FCCL!F88</x:f>
        <x:v>-1381.633</x:v>
      </x:c>
      <x:c r="J1573" s="170" t="n">
        <x:f>H1573-I1573</x:f>
        <x:v>0</x:v>
      </x:c>
      <x:c r="K1573" s="76" t="str">
        <x:v>FCCL-Annual-Report-2024.pdf</x:v>
      </x:c>
      <x:c r="L1573" s="76" t="n">
        <x:v>192</x:v>
      </x:c>
      <x:c r="M1573" s="76" t="str">
        <x:v>Comparative</x:v>
      </x:c>
      <x:c r="N1573" s="99" t="str">
        <x:v>Printed amount independently located</x:v>
      </x:c>
      <x:c r="O1573" s="99" t="str">
        <x:v>Exact source amount found; audited year/current-comparative column recorded. Accounting subtotal tests performed separately.</x:v>
      </x:c>
      <x:c r="P1573" s="99" t="str">
        <x:v>20,418,473 
Other income 29 540,373  436,173 
Selling and distribution expenses 30 (3,285,923) (2,705,263)
Administrative expenses 31 (1,516,046) (1,381,633)
Other expenses 32 (826,875) (750,078)
Operating profit  20,591,934  16,017,672 
Finance cost 33 (5,536,298) (3,645,265)
Finance income 34 299,318  527,702 
Net finance cost  (5,</x:v>
      </x:c>
    </x:row>
    <x:row r="1574" ht="82" customHeight="1">
      <x:c r="A1574" s="168" t="str">
        <x:v>FCCL|admin|2024</x:v>
      </x:c>
      <x:c r="B1574" s="168" t="str">
        <x:v>FCCL</x:v>
      </x:c>
      <x:c r="C1574" s="168" t="str">
        <x:v>FY2024</x:v>
      </x:c>
      <x:c r="D1574" s="168" t="str">
        <x:v>Administrative expenses</x:v>
      </x:c>
      <x:c r="E1574" s="169" t="n">
        <x:v>-1516046</x:v>
      </x:c>
      <x:c r="F1574" s="169" t="n">
        <x:v>-1516046</x:v>
      </x:c>
      <x:c r="G1574" s="169" t="str">
        <x:v>Rs '000</x:v>
      </x:c>
      <x:c r="H1574" s="169" t="n">
        <x:f>F1574/1000</x:f>
        <x:v>-1516.046</x:v>
      </x:c>
      <x:c r="I1574" s="169" t="n">
        <x:f>FCCL!G88</x:f>
        <x:v>-1516.046</x:v>
      </x:c>
      <x:c r="J1574" s="169" t="n">
        <x:f>H1574-I1574</x:f>
        <x:v>0</x:v>
      </x:c>
      <x:c r="K1574" s="168" t="str">
        <x:v>FCCL-Annual-Report-2025.pdf</x:v>
      </x:c>
      <x:c r="L1574" s="168" t="n">
        <x:v>246</x:v>
      </x:c>
      <x:c r="M1574" s="168" t="str">
        <x:v>Comparative</x:v>
      </x:c>
      <x:c r="N1574" s="171" t="str">
        <x:v>Printed amount independently located</x:v>
      </x:c>
      <x:c r="O1574" s="171" t="str">
        <x:v>Exact source amount found; audited year/current-comparative column recorded. Accounting subtotal tests performed separately.</x:v>
      </x:c>
      <x:c r="P1574" s="171" t="str">
        <x:v>25,680,405 
Other income 30 760,772  540,373 
Selling and distribution expenses 31 (2,935,139) (3,285,923)
Administrative expenses 32 (1,688,886) (1,516,046)
Other expenses 33 (1,479,276) (826,875)
Operating profit  26,228,821  20,591,934 
Finance cost 34 (5,772,132) (5,536,298)
Finance income 35 1,068,831  299,318 
Net finance cost</x:v>
      </x:c>
    </x:row>
    <x:row r="1575" ht="82" customHeight="1">
      <x:c r="A1575" s="76" t="str">
        <x:v>FCCL|admin|2025</x:v>
      </x:c>
      <x:c r="B1575" s="76" t="str">
        <x:v>FCCL</x:v>
      </x:c>
      <x:c r="C1575" s="76" t="str">
        <x:v>FY2025</x:v>
      </x:c>
      <x:c r="D1575" s="76" t="str">
        <x:v>Administrative expenses</x:v>
      </x:c>
      <x:c r="E1575" s="170" t="n">
        <x:v>-1688886</x:v>
      </x:c>
      <x:c r="F1575" s="170" t="n">
        <x:v>-1688886</x:v>
      </x:c>
      <x:c r="G1575" s="170" t="str">
        <x:v>Rs '000</x:v>
      </x:c>
      <x:c r="H1575" s="170" t="n">
        <x:f>F1575/1000</x:f>
        <x:v>-1688.886</x:v>
      </x:c>
      <x:c r="I1575" s="170" t="n">
        <x:f>FCCL!H88</x:f>
        <x:v>-1688.886</x:v>
      </x:c>
      <x:c r="J1575" s="170" t="n">
        <x:f>H1575-I1575</x:f>
        <x:v>0</x:v>
      </x:c>
      <x:c r="K1575" s="76" t="str">
        <x:v>FCCL-Annual-Report-2025.pdf</x:v>
      </x:c>
      <x:c r="L1575" s="76" t="n">
        <x:v>246</x:v>
      </x:c>
      <x:c r="M1575" s="76" t="str">
        <x:v>Current year</x:v>
      </x:c>
      <x:c r="N1575" s="99" t="str">
        <x:v>Printed amount independently located</x:v>
      </x:c>
      <x:c r="O1575" s="99" t="str">
        <x:v>Exact source amount found; audited year/current-comparative column recorded. Accounting subtotal tests performed separately.</x:v>
      </x:c>
      <x:c r="P1575" s="99" t="str">
        <x:v>31,571,350  25,680,405 
Other income 30 760,772  540,373 
Selling and distribution expenses 31 (2,935,139) (3,285,923)
Administrative expenses 32 (1,688,886) (1,516,046)
Other expenses 33 (1,479,276) (826,875)
Operating profit  26,228,821  20,591,934 
Finance cost 34 (5,772,132) (5,536,298)
Finance income 35 1,068,831  299,318 
Net f</x:v>
      </x:c>
    </x:row>
    <x:row r="1576" ht="82" customHeight="1">
      <x:c r="A1576" s="168" t="str">
        <x:v>FCCL|impair|2021</x:v>
      </x:c>
      <x:c r="B1576" s="168" t="str">
        <x:v>FCCL</x:v>
      </x:c>
      <x:c r="C1576" s="168" t="str">
        <x:v>FY2021</x:v>
      </x:c>
      <x:c r="D1576" s="168" t="str">
        <x:v>Impairment / expected credit loss on financial assets</x:v>
      </x:c>
      <x:c r="E1576" s="169" t="n">
        <x:v>0</x:v>
      </x:c>
      <x:c r="F1576" s="169" t="n">
        <x:v>0</x:v>
      </x:c>
      <x:c r="G1576" s="169" t="str">
        <x:v>Rs '000</x:v>
      </x:c>
      <x:c r="H1576" s="169" t="n">
        <x:f>F1576/1000</x:f>
        <x:v>0</x:v>
      </x:c>
      <x:c r="I1576" s="169" t="n">
        <x:f>FCCL!D89</x:f>
        <x:v>0</x:v>
      </x:c>
      <x:c r="J1576" s="169" t="n">
        <x:f>H1576-I1576</x:f>
        <x:v>0</x:v>
      </x:c>
      <x:c r="K1576" s="168" t="str">
        <x:v>FCCL-Annual-Report-2022.pdf</x:v>
      </x:c>
      <x:c r="L1576" s="168" t="n">
        <x:v>188</x:v>
      </x:c>
      <x:c r="M1576" s="168" t="str">
        <x:v>Comparative</x:v>
      </x:c>
      <x:c r="N1576" s="171" t="str">
        <x:v>Zero / no separate line in audited presentation</x:v>
      </x:c>
      <x:c r="O1576" s="171" t="str">
        <x:v>Zero classification checked within the audited statement/note and reconstructed statement totals; absence of a separate line does not imply a missing replacement estimate.</x:v>
      </x:c>
      <x:c r="P1576" s="171" t="str">
        <x:v>
STATEMENT OF PROFIT OR LOSS
2022 2021
Note Rupees'000 Rupees'000
Revenue - net 31 54,243,118 24,271,285 
Cost of sales 32 (39,843,851) (18,206,880)
G | Impairment / expected credit loss on financial assets</x:v>
      </x:c>
    </x:row>
    <x:row r="1577" ht="82" customHeight="1">
      <x:c r="A1577" s="76" t="str">
        <x:v>FCCL|impair|2022</x:v>
      </x:c>
      <x:c r="B1577" s="76" t="str">
        <x:v>FCCL</x:v>
      </x:c>
      <x:c r="C1577" s="76" t="str">
        <x:v>FY2022</x:v>
      </x:c>
      <x:c r="D1577" s="76" t="str">
        <x:v>Impairment / expected credit loss on financial assets</x:v>
      </x:c>
      <x:c r="E1577" s="170" t="n">
        <x:v>0</x:v>
      </x:c>
      <x:c r="F1577" s="170" t="n">
        <x:v>0</x:v>
      </x:c>
      <x:c r="G1577" s="170" t="str">
        <x:v>Rs '000</x:v>
      </x:c>
      <x:c r="H1577" s="170" t="n">
        <x:f>F1577/1000</x:f>
        <x:v>0</x:v>
      </x:c>
      <x:c r="I1577" s="170" t="n">
        <x:f>FCCL!E89</x:f>
        <x:v>0</x:v>
      </x:c>
      <x:c r="J1577" s="170" t="n">
        <x:f>H1577-I1577</x:f>
        <x:v>0</x:v>
      </x:c>
      <x:c r="K1577" s="76" t="str">
        <x:v>FCCL-Annual-Report-2023.pdf</x:v>
      </x:c>
      <x:c r="L1577" s="76" t="n">
        <x:v>210</x:v>
      </x:c>
      <x:c r="M1577" s="76" t="str">
        <x:v>Comparative</x:v>
      </x:c>
      <x:c r="N1577" s="99" t="str">
        <x:v>Zero / no separate line in audited presentation</x:v>
      </x:c>
      <x:c r="O1577" s="99" t="str">
        <x:v>Zero classification checked within the audited statement/note and reconstructed statement totals; absence of a separate line does not imply a missing replacement estimate.</x:v>
      </x:c>
      <x:c r="P1577" s="99" t="str">
        <x:v>
FAUJI CEMENT COMPANY LIMITED
208
Fauji Cement Company Limited
Statement of Profit or Loss
For the year ended June 30, 2023
2023 2022
Note Rupees’000  | Impairment / expected credit loss on financial assets</x:v>
      </x:c>
    </x:row>
    <x:row r="1578" ht="82" customHeight="1">
      <x:c r="A1578" s="168" t="str">
        <x:v>FCCL|impair|2023</x:v>
      </x:c>
      <x:c r="B1578" s="168" t="str">
        <x:v>FCCL</x:v>
      </x:c>
      <x:c r="C1578" s="168" t="str">
        <x:v>FY2023</x:v>
      </x:c>
      <x:c r="D1578" s="168" t="str">
        <x:v>Impairment / expected credit loss on financial assets</x:v>
      </x:c>
      <x:c r="E1578" s="169" t="n">
        <x:v>0</x:v>
      </x:c>
      <x:c r="F1578" s="169" t="n">
        <x:v>0</x:v>
      </x:c>
      <x:c r="G1578" s="169" t="str">
        <x:v>Rs '000</x:v>
      </x:c>
      <x:c r="H1578" s="169" t="n">
        <x:f>F1578/1000</x:f>
        <x:v>0</x:v>
      </x:c>
      <x:c r="I1578" s="169" t="n">
        <x:f>FCCL!F89</x:f>
        <x:v>0</x:v>
      </x:c>
      <x:c r="J1578" s="169" t="n">
        <x:f>H1578-I1578</x:f>
        <x:v>0</x:v>
      </x:c>
      <x:c r="K1578" s="168" t="str">
        <x:v>FCCL-Annual-Report-2024.pdf</x:v>
      </x:c>
      <x:c r="L1578" s="168" t="n">
        <x:v>192</x:v>
      </x:c>
      <x:c r="M1578" s="168" t="str">
        <x:v>Comparative</x:v>
      </x:c>
      <x:c r="N1578" s="171" t="str">
        <x:v>Zero / no separate line in audited presentation</x:v>
      </x:c>
      <x:c r="O1578" s="171" t="str">
        <x:v>Zero classification checked within the audited statement/note and reconstructed statement totals; absence of a separate line does not imply a missing replacement estimate.</x:v>
      </x:c>
      <x:c r="P1578" s="171" t="str">
        <x:v>
 Note 2024 2023
  Rupees’000 Rupees’000
Revenue - net 27 80,026,226  68,069,282 
Cost of sales 28 (54,345,821) (47,650,809)
Gross profit  25,680,40 | Impairment / expected credit loss on financial assets</x:v>
      </x:c>
    </x:row>
    <x:row r="1579" ht="82" customHeight="1">
      <x:c r="A1579" s="76" t="str">
        <x:v>FCCL|impair|2024</x:v>
      </x:c>
      <x:c r="B1579" s="76" t="str">
        <x:v>FCCL</x:v>
      </x:c>
      <x:c r="C1579" s="76" t="str">
        <x:v>FY2024</x:v>
      </x:c>
      <x:c r="D1579" s="76" t="str">
        <x:v>Impairment / expected credit loss on financial assets</x:v>
      </x:c>
      <x:c r="E1579" s="170" t="n">
        <x:v>0</x:v>
      </x:c>
      <x:c r="F1579" s="170" t="n">
        <x:v>0</x:v>
      </x:c>
      <x:c r="G1579" s="170" t="str">
        <x:v>Rs '000</x:v>
      </x:c>
      <x:c r="H1579" s="170" t="n">
        <x:f>F1579/1000</x:f>
        <x:v>0</x:v>
      </x:c>
      <x:c r="I1579" s="170" t="n">
        <x:f>FCCL!G89</x:f>
        <x:v>0</x:v>
      </x:c>
      <x:c r="J1579" s="170" t="n">
        <x:f>H1579-I1579</x:f>
        <x:v>0</x:v>
      </x:c>
      <x:c r="K1579" s="76" t="str">
        <x:v>FCCL-Annual-Report-2025.pdf</x:v>
      </x:c>
      <x:c r="L1579" s="76" t="n">
        <x:v>246</x:v>
      </x:c>
      <x:c r="M1579" s="76" t="str">
        <x:v>Comparative</x:v>
      </x:c>
      <x:c r="N1579" s="99" t="str">
        <x:v>Zero / no separate line in audited presentation</x:v>
      </x:c>
      <x:c r="O1579" s="99" t="str">
        <x:v>Zero classification checked within the audited statement/note and reconstructed statement totals; absence of a separate line does not imply a missing replacement estimate.</x:v>
      </x:c>
      <x:c r="P1579" s="99" t="str">
        <x:v>
 Note 2025 2024
  Rupees’000 Rupees’000
Revenue – net 28 88,956,328  80,026,226 
Cost of sales 29 (57,384,978) (54,345,821)
Gross profit  31,571,35 | Impairment / expected credit loss on financial assets</x:v>
      </x:c>
    </x:row>
    <x:row r="1580" ht="82" customHeight="1">
      <x:c r="A1580" s="168" t="str">
        <x:v>FCCL|impair|2025</x:v>
      </x:c>
      <x:c r="B1580" s="168" t="str">
        <x:v>FCCL</x:v>
      </x:c>
      <x:c r="C1580" s="168" t="str">
        <x:v>FY2025</x:v>
      </x:c>
      <x:c r="D1580" s="168" t="str">
        <x:v>Impairment / expected credit loss on financial assets</x:v>
      </x:c>
      <x:c r="E1580" s="169" t="n">
        <x:v>0</x:v>
      </x:c>
      <x:c r="F1580" s="169" t="n">
        <x:v>0</x:v>
      </x:c>
      <x:c r="G1580" s="169" t="str">
        <x:v>Rs '000</x:v>
      </x:c>
      <x:c r="H1580" s="169" t="n">
        <x:f>F1580/1000</x:f>
        <x:v>0</x:v>
      </x:c>
      <x:c r="I1580" s="169" t="n">
        <x:f>FCCL!H89</x:f>
        <x:v>0</x:v>
      </x:c>
      <x:c r="J1580" s="169" t="n">
        <x:f>H1580-I1580</x:f>
        <x:v>0</x:v>
      </x:c>
      <x:c r="K1580" s="168" t="str">
        <x:v>FCCL-Annual-Report-2025.pdf</x:v>
      </x:c>
      <x:c r="L1580" s="168" t="n">
        <x:v>246</x:v>
      </x:c>
      <x:c r="M1580" s="168" t="str">
        <x:v>Current year</x:v>
      </x:c>
      <x:c r="N1580" s="171" t="str">
        <x:v>Zero / no separate line in audited presentation</x:v>
      </x:c>
      <x:c r="O1580" s="171" t="str">
        <x:v>Zero classification checked within the audited statement/note and reconstructed statement totals; absence of a separate line does not imply a missing replacement estimate.</x:v>
      </x:c>
      <x:c r="P1580" s="171" t="str">
        <x:v>
 Note 2025 2024
  Rupees’000 Rupees’000
Revenue – net 28 88,956,328  80,026,226 
Cost of sales 29 (57,384,978) (54,345,821)
Gross profit  31,571,35 | Impairment / expected credit loss on financial assets</x:v>
      </x:c>
    </x:row>
    <x:row r="1581" ht="82" customHeight="1">
      <x:c r="A1581" s="76" t="str">
        <x:v>FCCL|oth_exp|2021</x:v>
      </x:c>
      <x:c r="B1581" s="76" t="str">
        <x:v>FCCL</x:v>
      </x:c>
      <x:c r="C1581" s="76" t="str">
        <x:v>FY2021</x:v>
      </x:c>
      <x:c r="D1581" s="76" t="str">
        <x:v>Other operating expenses (incl. WPPF/WWF)</x:v>
      </x:c>
      <x:c r="E1581" s="170" t="n">
        <x:v>-377946</x:v>
      </x:c>
      <x:c r="F1581" s="170" t="n">
        <x:v>-377946</x:v>
      </x:c>
      <x:c r="G1581" s="170" t="str">
        <x:v>Rs '000</x:v>
      </x:c>
      <x:c r="H1581" s="170" t="n">
        <x:f>F1581/1000</x:f>
        <x:v>-377.946</x:v>
      </x:c>
      <x:c r="I1581" s="170" t="n">
        <x:f>FCCL!D90</x:f>
        <x:v>-377.946</x:v>
      </x:c>
      <x:c r="J1581" s="170" t="n">
        <x:f>H1581-I1581</x:f>
        <x:v>0</x:v>
      </x:c>
      <x:c r="K1581" s="76" t="str">
        <x:v>FCCL-Annual-Report-2022.pdf</x:v>
      </x:c>
      <x:c r="L1581" s="76" t="n">
        <x:v>188</x:v>
      </x:c>
      <x:c r="M1581" s="76" t="str">
        <x:v>Comparative</x:v>
      </x:c>
      <x:c r="N1581" s="99" t="str">
        <x:v>Printed amount independently located</x:v>
      </x:c>
      <x:c r="O1581" s="99" t="str">
        <x:v>Exact source amount found; audited year/current-comparative column recorded. Accounting subtotal tests performed separately.</x:v>
      </x:c>
      <x:c r="P1581" s="99" t="str">
        <x:v>230,695 81,710 
Selling and distribution expenses 34 (539,014) (189,537)
Administrative expenses 35 (1,299,439) (524,709)
Other expenses 36 (808,964) (377,946)
Operating profit 11,982,545 5,053,923 
Finance cost 37 (1,201,612) (109,623)
Finance income 38 745,852 160,543 
Net finance (cost)/ income (455,760) 50,920 
Share of profit of ass</x:v>
      </x:c>
    </x:row>
    <x:row r="1582" ht="82" customHeight="1">
      <x:c r="A1582" s="168" t="str">
        <x:v>FCCL|oth_exp|2022</x:v>
      </x:c>
      <x:c r="B1582" s="168" t="str">
        <x:v>FCCL</x:v>
      </x:c>
      <x:c r="C1582" s="168" t="str">
        <x:v>FY2022</x:v>
      </x:c>
      <x:c r="D1582" s="168" t="str">
        <x:v>Other operating expenses (incl. WPPF/WWF)</x:v>
      </x:c>
      <x:c r="E1582" s="169" t="n">
        <x:v>-808964</x:v>
      </x:c>
      <x:c r="F1582" s="169" t="n">
        <x:v>-808964</x:v>
      </x:c>
      <x:c r="G1582" s="169" t="str">
        <x:v>Rs '000</x:v>
      </x:c>
      <x:c r="H1582" s="169" t="n">
        <x:f>F1582/1000</x:f>
        <x:v>-808.964</x:v>
      </x:c>
      <x:c r="I1582" s="169" t="n">
        <x:f>FCCL!E90</x:f>
        <x:v>-808.964</x:v>
      </x:c>
      <x:c r="J1582" s="169" t="n">
        <x:f>H1582-I1582</x:f>
        <x:v>0</x:v>
      </x:c>
      <x:c r="K1582" s="168" t="str">
        <x:v>FCCL-Annual-Report-2023.pdf</x:v>
      </x:c>
      <x:c r="L1582" s="168" t="n">
        <x:v>210</x:v>
      </x:c>
      <x:c r="M1582" s="168" t="str">
        <x:v>Comparative</x:v>
      </x:c>
      <x:c r="N1582" s="171" t="str">
        <x:v>Printed amount independently located</x:v>
      </x:c>
      <x:c r="O1582" s="171" t="str">
        <x:v>Exact source amount found; audited year/current-comparative column recorded. Accounting subtotal tests performed separately.</x:v>
      </x:c>
      <x:c r="P1582" s="171" t="str">
        <x:v>230,695 
Selling and distribution expenses 31 (2,705,263) (1,603,323)
Administrative expenses 32 (1,381,633) (1,299,439)
Other expenses 33 (750,078) (808,964)
Operating profit 16,017,672 11,982,545 
Finance cost 34 (3,645,265) (1,201,612)
Finance income 35 527,702 745,852 
Net finance cost (3,117,563) (455,760)
Share of profit of associ</x:v>
      </x:c>
    </x:row>
    <x:row r="1583" ht="82" customHeight="1">
      <x:c r="A1583" s="76" t="str">
        <x:v>FCCL|oth_exp|2023</x:v>
      </x:c>
      <x:c r="B1583" s="76" t="str">
        <x:v>FCCL</x:v>
      </x:c>
      <x:c r="C1583" s="76" t="str">
        <x:v>FY2023</x:v>
      </x:c>
      <x:c r="D1583" s="76" t="str">
        <x:v>Other operating expenses (incl. WPPF/WWF)</x:v>
      </x:c>
      <x:c r="E1583" s="170" t="n">
        <x:v>-750078</x:v>
      </x:c>
      <x:c r="F1583" s="170" t="n">
        <x:v>-750078</x:v>
      </x:c>
      <x:c r="G1583" s="170" t="str">
        <x:v>Rs '000</x:v>
      </x:c>
      <x:c r="H1583" s="170" t="n">
        <x:f>F1583/1000</x:f>
        <x:v>-750.078</x:v>
      </x:c>
      <x:c r="I1583" s="170" t="n">
        <x:f>FCCL!F90</x:f>
        <x:v>-750.078</x:v>
      </x:c>
      <x:c r="J1583" s="170" t="n">
        <x:f>H1583-I1583</x:f>
        <x:v>0</x:v>
      </x:c>
      <x:c r="K1583" s="76" t="str">
        <x:v>FCCL-Annual-Report-2024.pdf</x:v>
      </x:c>
      <x:c r="L1583" s="76" t="n">
        <x:v>192</x:v>
      </x:c>
      <x:c r="M1583" s="76" t="str">
        <x:v>Comparative</x:v>
      </x:c>
      <x:c r="N1583" s="99" t="str">
        <x:v>Printed amount independently located</x:v>
      </x:c>
      <x:c r="O1583" s="99" t="str">
        <x:v>Exact source amount found; audited year/current-comparative column recorded. Accounting subtotal tests performed separately.</x:v>
      </x:c>
      <x:c r="P1583" s="99" t="str">
        <x:v>436,173 
Selling and distribution expenses 30 (3,285,923) (2,705,263)
Administrative expenses 31 (1,516,046) (1,381,633)
Other expenses 32 (826,875) (750,078)
Operating profit  20,591,934  16,017,672 
Finance cost 33 (5,536,298) (3,645,265)
Finance income 34 299,318  527,702 
Net finance cost  (5,236,980) (3,117,563)
Profit before inc</x:v>
      </x:c>
    </x:row>
    <x:row r="1584" ht="82" customHeight="1">
      <x:c r="A1584" s="168" t="str">
        <x:v>FCCL|oth_exp|2024</x:v>
      </x:c>
      <x:c r="B1584" s="168" t="str">
        <x:v>FCCL</x:v>
      </x:c>
      <x:c r="C1584" s="168" t="str">
        <x:v>FY2024</x:v>
      </x:c>
      <x:c r="D1584" s="168" t="str">
        <x:v>Other operating expenses (incl. WPPF/WWF)</x:v>
      </x:c>
      <x:c r="E1584" s="169" t="n">
        <x:v>-826875</x:v>
      </x:c>
      <x:c r="F1584" s="169" t="n">
        <x:v>-826875</x:v>
      </x:c>
      <x:c r="G1584" s="169" t="str">
        <x:v>Rs '000</x:v>
      </x:c>
      <x:c r="H1584" s="169" t="n">
        <x:f>F1584/1000</x:f>
        <x:v>-826.875</x:v>
      </x:c>
      <x:c r="I1584" s="169" t="n">
        <x:f>FCCL!G90</x:f>
        <x:v>-826.875</x:v>
      </x:c>
      <x:c r="J1584" s="169" t="n">
        <x:f>H1584-I1584</x:f>
        <x:v>0</x:v>
      </x:c>
      <x:c r="K1584" s="168" t="str">
        <x:v>FCCL-Annual-Report-2025.pdf</x:v>
      </x:c>
      <x:c r="L1584" s="168" t="n">
        <x:v>246</x:v>
      </x:c>
      <x:c r="M1584" s="168" t="str">
        <x:v>Comparative</x:v>
      </x:c>
      <x:c r="N1584" s="171" t="str">
        <x:v>Printed amount independently located</x:v>
      </x:c>
      <x:c r="O1584" s="171" t="str">
        <x:v>Exact source amount found; audited year/current-comparative column recorded. Accounting subtotal tests performed separately.</x:v>
      </x:c>
      <x:c r="P1584" s="171" t="str">
        <x:v>40,373 
Selling and distribution expenses 31 (2,935,139) (3,285,923)
Administrative expenses 32 (1,688,886) (1,516,046)
Other expenses 33 (1,479,276) (826,875)
Operating profit  26,228,821  20,591,934 
Finance cost 34 (5,772,132) (5,536,298)
Finance income 35 1,068,831  299,318 
Net finance cost  (4,703,301) (5,236,980)
Profit before i</x:v>
      </x:c>
    </x:row>
    <x:row r="1585" ht="82" customHeight="1">
      <x:c r="A1585" s="76" t="str">
        <x:v>FCCL|oth_exp|2025</x:v>
      </x:c>
      <x:c r="B1585" s="76" t="str">
        <x:v>FCCL</x:v>
      </x:c>
      <x:c r="C1585" s="76" t="str">
        <x:v>FY2025</x:v>
      </x:c>
      <x:c r="D1585" s="76" t="str">
        <x:v>Other operating expenses (incl. WPPF/WWF)</x:v>
      </x:c>
      <x:c r="E1585" s="170" t="n">
        <x:v>-1479276</x:v>
      </x:c>
      <x:c r="F1585" s="170" t="n">
        <x:v>-1479276</x:v>
      </x:c>
      <x:c r="G1585" s="170" t="str">
        <x:v>Rs '000</x:v>
      </x:c>
      <x:c r="H1585" s="170" t="n">
        <x:f>F1585/1000</x:f>
        <x:v>-1479.276</x:v>
      </x:c>
      <x:c r="I1585" s="170" t="n">
        <x:f>FCCL!H90</x:f>
        <x:v>-1479.276</x:v>
      </x:c>
      <x:c r="J1585" s="170" t="n">
        <x:f>H1585-I1585</x:f>
        <x:v>0</x:v>
      </x:c>
      <x:c r="K1585" s="76" t="str">
        <x:v>FCCL-Annual-Report-2025.pdf</x:v>
      </x:c>
      <x:c r="L1585" s="76" t="n">
        <x:v>246</x:v>
      </x:c>
      <x:c r="M1585" s="76" t="str">
        <x:v>Current year</x:v>
      </x:c>
      <x:c r="N1585" s="99" t="str">
        <x:v>Printed amount independently located</x:v>
      </x:c>
      <x:c r="O1585" s="99" t="str">
        <x:v>Exact source amount found; audited year/current-comparative column recorded. Accounting subtotal tests performed separately.</x:v>
      </x:c>
      <x:c r="P1585" s="99" t="str">
        <x:v>0 760,772  540,373 
Selling and distribution expenses 31 (2,935,139) (3,285,923)
Administrative expenses 32 (1,688,886) (1,516,046)
Other expenses 33 (1,479,276) (826,875)
Operating profit  26,228,821  20,591,934 
Finance cost 34 (5,772,132) (5,536,298)
Finance income 35 1,068,831  299,318 
Net finance cost  (4,703,301) (5,236,980)
Profi</x:v>
      </x:c>
    </x:row>
    <x:row r="1586" ht="82" customHeight="1">
      <x:c r="A1586" s="168" t="str">
        <x:v>FCCL|oth_inc|2021</x:v>
      </x:c>
      <x:c r="B1586" s="168" t="str">
        <x:v>FCCL</x:v>
      </x:c>
      <x:c r="C1586" s="168" t="str">
        <x:v>FY2021</x:v>
      </x:c>
      <x:c r="D1586" s="168" t="str">
        <x:v>Other income</x:v>
      </x:c>
      <x:c r="E1586" s="169" t="n">
        <x:v>81710</x:v>
      </x:c>
      <x:c r="F1586" s="169" t="n">
        <x:v>81710</x:v>
      </x:c>
      <x:c r="G1586" s="169" t="str">
        <x:v>Rs '000</x:v>
      </x:c>
      <x:c r="H1586" s="169" t="n">
        <x:f>F1586/1000</x:f>
        <x:v>81.71</x:v>
      </x:c>
      <x:c r="I1586" s="169" t="n">
        <x:f>FCCL!D92</x:f>
        <x:v>81.71</x:v>
      </x:c>
      <x:c r="J1586" s="169" t="n">
        <x:f>H1586-I1586</x:f>
        <x:v>0</x:v>
      </x:c>
      <x:c r="K1586" s="168" t="str">
        <x:v>FCCL-Annual-Report-2022.pdf</x:v>
      </x:c>
      <x:c r="L1586" s="168" t="n">
        <x:v>188</x:v>
      </x:c>
      <x:c r="M1586" s="168" t="str">
        <x:v>Comparative</x:v>
      </x:c>
      <x:c r="N1586" s="171" t="str">
        <x:v>Printed amount independently located</x:v>
      </x:c>
      <x:c r="O1586" s="171" t="str">
        <x:v>Exact source amount found; audited year/current-comparative column recorded. Accounting subtotal tests performed separately.</x:v>
      </x:c>
      <x:c r="P1586" s="171" t="str">
        <x:v>ees'000
Revenue - net 31 54,243,118 24,271,285 
Cost of sales 32 (39,843,851) (18,206,880)
Gross profit 14,399,267 6,064,405 
Other income 33 230,695 81,710 
Selling and distribution expenses 34 (539,014) (189,537)
Administrative expenses 35 (1,299,439) (524,709)
Other expenses 36 (808,964) (377,946)
Operating profit 11,982,545 5,053,</x:v>
      </x:c>
    </x:row>
    <x:row r="1587" ht="82" customHeight="1">
      <x:c r="A1587" s="76" t="str">
        <x:v>FCCL|oth_inc|2022</x:v>
      </x:c>
      <x:c r="B1587" s="76" t="str">
        <x:v>FCCL</x:v>
      </x:c>
      <x:c r="C1587" s="76" t="str">
        <x:v>FY2022</x:v>
      </x:c>
      <x:c r="D1587" s="76" t="str">
        <x:v>Other income</x:v>
      </x:c>
      <x:c r="E1587" s="170" t="n">
        <x:v>230695</x:v>
      </x:c>
      <x:c r="F1587" s="170" t="n">
        <x:v>230695</x:v>
      </x:c>
      <x:c r="G1587" s="170" t="str">
        <x:v>Rs '000</x:v>
      </x:c>
      <x:c r="H1587" s="170" t="n">
        <x:f>F1587/1000</x:f>
        <x:v>230.695</x:v>
      </x:c>
      <x:c r="I1587" s="170" t="n">
        <x:f>FCCL!E92</x:f>
        <x:v>230.695</x:v>
      </x:c>
      <x:c r="J1587" s="170" t="n">
        <x:f>H1587-I1587</x:f>
        <x:v>0</x:v>
      </x:c>
      <x:c r="K1587" s="76" t="str">
        <x:v>FCCL-Annual-Report-2023.pdf</x:v>
      </x:c>
      <x:c r="L1587" s="76" t="n">
        <x:v>210</x:v>
      </x:c>
      <x:c r="M1587" s="76" t="str">
        <x:v>Comparative</x:v>
      </x:c>
      <x:c r="N1587" s="99" t="str">
        <x:v>Printed amount independently located</x:v>
      </x:c>
      <x:c r="O1587" s="99" t="str">
        <x:v>Exact source amount found; audited year/current-comparative column recorded. Accounting subtotal tests performed separately.</x:v>
      </x:c>
      <x:c r="P1587" s="99" t="str">
        <x:v>es’000
Revenue - net 28 68,069,282 54,243,118 
Cost of sales 29 (47,650,809) (38,779,542)
Gross profit 20,418,473 15,463,576 
Other income 30 436,173 230,695 
Selling and distribution expenses 31 (2,705,263) (1,603,323)
Administrative expenses 32 (1,381,633) (1,299,439)
Other expenses 33 (750,078) (808,964)
Operating profit 16,017,672</x:v>
      </x:c>
    </x:row>
    <x:row r="1588" ht="82" customHeight="1">
      <x:c r="A1588" s="168" t="str">
        <x:v>FCCL|oth_inc|2023</x:v>
      </x:c>
      <x:c r="B1588" s="168" t="str">
        <x:v>FCCL</x:v>
      </x:c>
      <x:c r="C1588" s="168" t="str">
        <x:v>FY2023</x:v>
      </x:c>
      <x:c r="D1588" s="168" t="str">
        <x:v>Other income</x:v>
      </x:c>
      <x:c r="E1588" s="169" t="n">
        <x:v>436173</x:v>
      </x:c>
      <x:c r="F1588" s="169" t="n">
        <x:v>436173</x:v>
      </x:c>
      <x:c r="G1588" s="169" t="str">
        <x:v>Rs '000</x:v>
      </x:c>
      <x:c r="H1588" s="169" t="n">
        <x:f>F1588/1000</x:f>
        <x:v>436.173</x:v>
      </x:c>
      <x:c r="I1588" s="169" t="n">
        <x:f>FCCL!F92</x:f>
        <x:v>436.173</x:v>
      </x:c>
      <x:c r="J1588" s="169" t="n">
        <x:f>H1588-I1588</x:f>
        <x:v>0</x:v>
      </x:c>
      <x:c r="K1588" s="168" t="str">
        <x:v>FCCL-Annual-Report-2024.pdf</x:v>
      </x:c>
      <x:c r="L1588" s="168" t="n">
        <x:v>192</x:v>
      </x:c>
      <x:c r="M1588" s="168" t="str">
        <x:v>Comparative</x:v>
      </x:c>
      <x:c r="N1588" s="171" t="str">
        <x:v>Printed amount independently located</x:v>
      </x:c>
      <x:c r="O1588" s="171" t="str">
        <x:v>Exact source amount found; audited year/current-comparative column recorded. Accounting subtotal tests performed separately.</x:v>
      </x:c>
      <x:c r="P1588" s="171" t="str">
        <x:v>Revenue - net 27 80,026,226  68,069,282 
Cost of sales 28 (54,345,821) (47,650,809)
Gross profit  25,680,405  20,418,473 
Other income 29 540,373  436,173 
Selling and distribution expenses 30 (3,285,923) (2,705,263)
Administrative expenses 31 (1,516,046) (1,381,633)
Other expenses 32 (826,875) (750,078)
Operating profit  20,591,934</x:v>
      </x:c>
    </x:row>
    <x:row r="1589" ht="82" customHeight="1">
      <x:c r="A1589" s="76" t="str">
        <x:v>FCCL|oth_inc|2024</x:v>
      </x:c>
      <x:c r="B1589" s="76" t="str">
        <x:v>FCCL</x:v>
      </x:c>
      <x:c r="C1589" s="76" t="str">
        <x:v>FY2024</x:v>
      </x:c>
      <x:c r="D1589" s="76" t="str">
        <x:v>Other income</x:v>
      </x:c>
      <x:c r="E1589" s="170" t="n">
        <x:v>540373</x:v>
      </x:c>
      <x:c r="F1589" s="170" t="n">
        <x:v>540373</x:v>
      </x:c>
      <x:c r="G1589" s="170" t="str">
        <x:v>Rs '000</x:v>
      </x:c>
      <x:c r="H1589" s="170" t="n">
        <x:f>F1589/1000</x:f>
        <x:v>540.373</x:v>
      </x:c>
      <x:c r="I1589" s="170" t="n">
        <x:f>FCCL!G92</x:f>
        <x:v>540.373</x:v>
      </x:c>
      <x:c r="J1589" s="170" t="n">
        <x:f>H1589-I1589</x:f>
        <x:v>0</x:v>
      </x:c>
      <x:c r="K1589" s="76" t="str">
        <x:v>FCCL-Annual-Report-2025.pdf</x:v>
      </x:c>
      <x:c r="L1589" s="76" t="n">
        <x:v>246</x:v>
      </x:c>
      <x:c r="M1589" s="76" t="str">
        <x:v>Comparative</x:v>
      </x:c>
      <x:c r="N1589" s="99" t="str">
        <x:v>Printed amount independently located</x:v>
      </x:c>
      <x:c r="O1589" s="99" t="str">
        <x:v>Exact source amount found; audited year/current-comparative column recorded. Accounting subtotal tests performed separately.</x:v>
      </x:c>
      <x:c r="P1589" s="99" t="str">
        <x:v>Revenue – net 28 88,956,328  80,026,226 
Cost of sales 29 (57,384,978) (54,345,821)
Gross profit  31,571,350  25,680,405 
Other income 30 760,772  540,373 
Selling and distribution expenses 31 (2,935,139) (3,285,923)
Administrative expenses 32 (1,688,886) (1,516,046)
Other expenses 33 (1,479,276) (826,875)
Operating profit  26,228,8</x:v>
      </x:c>
    </x:row>
    <x:row r="1590" ht="82" customHeight="1">
      <x:c r="A1590" s="168" t="str">
        <x:v>FCCL|oth_inc|2025</x:v>
      </x:c>
      <x:c r="B1590" s="168" t="str">
        <x:v>FCCL</x:v>
      </x:c>
      <x:c r="C1590" s="168" t="str">
        <x:v>FY2025</x:v>
      </x:c>
      <x:c r="D1590" s="168" t="str">
        <x:v>Other income</x:v>
      </x:c>
      <x:c r="E1590" s="169" t="n">
        <x:v>760772</x:v>
      </x:c>
      <x:c r="F1590" s="169" t="n">
        <x:v>760772</x:v>
      </x:c>
      <x:c r="G1590" s="169" t="str">
        <x:v>Rs '000</x:v>
      </x:c>
      <x:c r="H1590" s="169" t="n">
        <x:f>F1590/1000</x:f>
        <x:v>760.772</x:v>
      </x:c>
      <x:c r="I1590" s="169" t="n">
        <x:f>FCCL!H92</x:f>
        <x:v>760.772</x:v>
      </x:c>
      <x:c r="J1590" s="169" t="n">
        <x:f>H1590-I1590</x:f>
        <x:v>0</x:v>
      </x:c>
      <x:c r="K1590" s="168" t="str">
        <x:v>FCCL-Annual-Report-2025.pdf</x:v>
      </x:c>
      <x:c r="L1590" s="168" t="n">
        <x:v>246</x:v>
      </x:c>
      <x:c r="M1590" s="168" t="str">
        <x:v>Current year</x:v>
      </x:c>
      <x:c r="N1590" s="171" t="str">
        <x:v>Printed amount independently located</x:v>
      </x:c>
      <x:c r="O1590" s="171" t="str">
        <x:v>Exact source amount found; audited year/current-comparative column recorded. Accounting subtotal tests performed separately.</x:v>
      </x:c>
      <x:c r="P1590" s="171" t="str">
        <x:v>ees’000
Revenue – net 28 88,956,328  80,026,226 
Cost of sales 29 (57,384,978) (54,345,821)
Gross profit  31,571,350  25,680,405 
Other income 30 760,772  540,373 
Selling and distribution expenses 31 (2,935,139) (3,285,923)
Administrative expenses 32 (1,688,886) (1,516,046)
Other expenses 33 (1,479,276) (826,875)
Operating profit</x:v>
      </x:c>
    </x:row>
    <x:row r="1591" ht="82" customHeight="1">
      <x:c r="A1591" s="76" t="str">
        <x:v>FCCL|fin_inc|2021</x:v>
      </x:c>
      <x:c r="B1591" s="76" t="str">
        <x:v>FCCL</x:v>
      </x:c>
      <x:c r="C1591" s="76" t="str">
        <x:v>FY2021</x:v>
      </x:c>
      <x:c r="D1591" s="76" t="str">
        <x:v>Finance income (where presented separately)</x:v>
      </x:c>
      <x:c r="E1591" s="170" t="n">
        <x:v>160543</x:v>
      </x:c>
      <x:c r="F1591" s="170" t="n">
        <x:v>160543</x:v>
      </x:c>
      <x:c r="G1591" s="170" t="str">
        <x:v>Rs '000</x:v>
      </x:c>
      <x:c r="H1591" s="170" t="n">
        <x:f>F1591/1000</x:f>
        <x:v>160.543</x:v>
      </x:c>
      <x:c r="I1591" s="170" t="n">
        <x:f>FCCL!D93</x:f>
        <x:v>160.543</x:v>
      </x:c>
      <x:c r="J1591" s="170" t="n">
        <x:f>H1591-I1591</x:f>
        <x:v>0</x:v>
      </x:c>
      <x:c r="K1591" s="76" t="str">
        <x:v>FCCL-Annual-Report-2022.pdf</x:v>
      </x:c>
      <x:c r="L1591" s="76" t="n">
        <x:v>188</x:v>
      </x:c>
      <x:c r="M1591" s="76" t="str">
        <x:v>Comparative</x:v>
      </x:c>
      <x:c r="N1591" s="99" t="str">
        <x:v>Printed amount independently located</x:v>
      </x:c>
      <x:c r="O1591" s="99" t="str">
        <x:v>Exact source amount found; audited year/current-comparative column recorded. Accounting subtotal tests performed separately.</x:v>
      </x:c>
      <x:c r="P1591" s="99" t="str">
        <x:v>524,709)
Other expenses 36 (808,964) (377,946)
Operating profit 11,982,545 5,053,923 
Finance cost 37 (1,201,612) (109,623)
Finance income 38 745,852 160,543 
Net finance (cost)/ income (455,760) 50,920 
Share of profit of associate 21 1,308 2,849 
Profit before taxation 11,528,093 5,107,692 
Income tax expense 39 (4,415,553) (1,636,34</x:v>
      </x:c>
    </x:row>
    <x:row r="1592" ht="82" customHeight="1">
      <x:c r="A1592" s="168" t="str">
        <x:v>FCCL|fin_inc|2022</x:v>
      </x:c>
      <x:c r="B1592" s="168" t="str">
        <x:v>FCCL</x:v>
      </x:c>
      <x:c r="C1592" s="168" t="str">
        <x:v>FY2022</x:v>
      </x:c>
      <x:c r="D1592" s="168" t="str">
        <x:v>Finance income (where presented separately)</x:v>
      </x:c>
      <x:c r="E1592" s="169" t="n">
        <x:v>745852</x:v>
      </x:c>
      <x:c r="F1592" s="169" t="n">
        <x:v>745852</x:v>
      </x:c>
      <x:c r="G1592" s="169" t="str">
        <x:v>Rs '000</x:v>
      </x:c>
      <x:c r="H1592" s="169" t="n">
        <x:f>F1592/1000</x:f>
        <x:v>745.852</x:v>
      </x:c>
      <x:c r="I1592" s="169" t="n">
        <x:f>FCCL!E93</x:f>
        <x:v>745.852</x:v>
      </x:c>
      <x:c r="J1592" s="169" t="n">
        <x:f>H1592-I1592</x:f>
        <x:v>0</x:v>
      </x:c>
      <x:c r="K1592" s="168" t="str">
        <x:v>FCCL-Annual-Report-2023.pdf</x:v>
      </x:c>
      <x:c r="L1592" s="168" t="n">
        <x:v>210</x:v>
      </x:c>
      <x:c r="M1592" s="168" t="str">
        <x:v>Comparative</x:v>
      </x:c>
      <x:c r="N1592" s="171" t="str">
        <x:v>Printed amount independently located</x:v>
      </x:c>
      <x:c r="O1592" s="171" t="str">
        <x:v>Exact source amount found; audited year/current-comparative column recorded. Accounting subtotal tests performed separately.</x:v>
      </x:c>
      <x:c r="P1592" s="171" t="str">
        <x:v>,439)
Other expenses 33 (750,078) (808,964)
Operating profit 16,017,672 11,982,545 
Finance cost 34 (3,645,265) (1,201,612)
Finance income 35 527,702 745,852 
Net finance cost (3,117,563) (455,760)
Share of profit of associate  -  1,308 
Profit before taxation 12,900,109 11,528,093 
Income tax expense 36 (5,460,428) (4,415,553)
Profit</x:v>
      </x:c>
    </x:row>
    <x:row r="1593" ht="82" customHeight="1">
      <x:c r="A1593" s="76" t="str">
        <x:v>FCCL|fin_inc|2023</x:v>
      </x:c>
      <x:c r="B1593" s="76" t="str">
        <x:v>FCCL</x:v>
      </x:c>
      <x:c r="C1593" s="76" t="str">
        <x:v>FY2023</x:v>
      </x:c>
      <x:c r="D1593" s="76" t="str">
        <x:v>Finance income (where presented separately)</x:v>
      </x:c>
      <x:c r="E1593" s="170" t="n">
        <x:v>527702</x:v>
      </x:c>
      <x:c r="F1593" s="170" t="n">
        <x:v>527702</x:v>
      </x:c>
      <x:c r="G1593" s="170" t="str">
        <x:v>Rs '000</x:v>
      </x:c>
      <x:c r="H1593" s="170" t="n">
        <x:f>F1593/1000</x:f>
        <x:v>527.702</x:v>
      </x:c>
      <x:c r="I1593" s="170" t="n">
        <x:f>FCCL!F93</x:f>
        <x:v>527.702</x:v>
      </x:c>
      <x:c r="J1593" s="170" t="n">
        <x:f>H1593-I1593</x:f>
        <x:v>0</x:v>
      </x:c>
      <x:c r="K1593" s="76" t="str">
        <x:v>FCCL-Annual-Report-2024.pdf</x:v>
      </x:c>
      <x:c r="L1593" s="76" t="n">
        <x:v>192</x:v>
      </x:c>
      <x:c r="M1593" s="76" t="str">
        <x:v>Comparative</x:v>
      </x:c>
      <x:c r="N1593" s="99" t="str">
        <x:v>Printed amount independently located</x:v>
      </x:c>
      <x:c r="O1593" s="99" t="str">
        <x:v>Exact source amount found; audited year/current-comparative column recorded. Accounting subtotal tests performed separately.</x:v>
      </x:c>
      <x:c r="P1593" s="99" t="str">
        <x:v>Other expenses 32 (826,875) (750,078)
Operating profit  20,591,934  16,017,672 
Finance cost 33 (5,536,298) (3,645,265)
Finance income 34 299,318  527,702 
Net finance cost  (5,236,980) (3,117,563)
Profit before income tax and final tax  15,354,954  12,900,109 
Final tax - levy  35 (55,223)  (45,660)
Profit before income tax   15,29</x:v>
      </x:c>
    </x:row>
    <x:row r="1594" ht="82" customHeight="1">
      <x:c r="A1594" s="168" t="str">
        <x:v>FCCL|fin_inc|2024</x:v>
      </x:c>
      <x:c r="B1594" s="168" t="str">
        <x:v>FCCL</x:v>
      </x:c>
      <x:c r="C1594" s="168" t="str">
        <x:v>FY2024</x:v>
      </x:c>
      <x:c r="D1594" s="168" t="str">
        <x:v>Finance income (where presented separately)</x:v>
      </x:c>
      <x:c r="E1594" s="169" t="n">
        <x:v>299318</x:v>
      </x:c>
      <x:c r="F1594" s="169" t="n">
        <x:v>299318</x:v>
      </x:c>
      <x:c r="G1594" s="169" t="str">
        <x:v>Rs '000</x:v>
      </x:c>
      <x:c r="H1594" s="169" t="n">
        <x:f>F1594/1000</x:f>
        <x:v>299.318</x:v>
      </x:c>
      <x:c r="I1594" s="169" t="n">
        <x:f>FCCL!G93</x:f>
        <x:v>299.318</x:v>
      </x:c>
      <x:c r="J1594" s="169" t="n">
        <x:f>H1594-I1594</x:f>
        <x:v>0</x:v>
      </x:c>
      <x:c r="K1594" s="168" t="str">
        <x:v>FCCL-Annual-Report-2025.pdf</x:v>
      </x:c>
      <x:c r="L1594" s="168" t="n">
        <x:v>246</x:v>
      </x:c>
      <x:c r="M1594" s="168" t="str">
        <x:v>Comparative</x:v>
      </x:c>
      <x:c r="N1594" s="171" t="str">
        <x:v>Printed amount independently located</x:v>
      </x:c>
      <x:c r="O1594" s="171" t="str">
        <x:v>Exact source amount found; audited year/current-comparative column recorded. Accounting subtotal tests performed separately.</x:v>
      </x:c>
      <x:c r="P1594" s="171" t="str">
        <x:v>er expenses 33 (1,479,276) (826,875)
Operating profit  26,228,821  20,591,934 
Finance cost 34 (5,772,132) (5,536,298)
Finance income 35 1,068,831  299,318 
Net finance cost  (4,703,301) (5,236,980)
Profit before income tax and final tax  21,525,520  15,354,954 
Final tax – levy  36 –   (55,223)
Profit before income tax   21,525,520</x:v>
      </x:c>
    </x:row>
    <x:row r="1595" ht="82" customHeight="1">
      <x:c r="A1595" s="76" t="str">
        <x:v>FCCL|fin_inc|2025</x:v>
      </x:c>
      <x:c r="B1595" s="76" t="str">
        <x:v>FCCL</x:v>
      </x:c>
      <x:c r="C1595" s="76" t="str">
        <x:v>FY2025</x:v>
      </x:c>
      <x:c r="D1595" s="76" t="str">
        <x:v>Finance income (where presented separately)</x:v>
      </x:c>
      <x:c r="E1595" s="170" t="n">
        <x:v>1068831</x:v>
      </x:c>
      <x:c r="F1595" s="170" t="n">
        <x:v>1068831</x:v>
      </x:c>
      <x:c r="G1595" s="170" t="str">
        <x:v>Rs '000</x:v>
      </x:c>
      <x:c r="H1595" s="170" t="n">
        <x:f>F1595/1000</x:f>
        <x:v>1068.831</x:v>
      </x:c>
      <x:c r="I1595" s="170" t="n">
        <x:f>FCCL!H93</x:f>
        <x:v>1068.831</x:v>
      </x:c>
      <x:c r="J1595" s="170" t="n">
        <x:f>H1595-I1595</x:f>
        <x:v>0</x:v>
      </x:c>
      <x:c r="K1595" s="76" t="str">
        <x:v>FCCL-Annual-Report-2025.pdf</x:v>
      </x:c>
      <x:c r="L1595" s="76" t="n">
        <x:v>246</x:v>
      </x:c>
      <x:c r="M1595" s="76" t="str">
        <x:v>Current year</x:v>
      </x:c>
      <x:c r="N1595" s="99" t="str">
        <x:v>Printed amount independently located</x:v>
      </x:c>
      <x:c r="O1595" s="99" t="str">
        <x:v>Exact source amount found; audited year/current-comparative column recorded. Accounting subtotal tests performed separately.</x:v>
      </x:c>
      <x:c r="P1595" s="99" t="str">
        <x:v>16,046)
Other expenses 33 (1,479,276) (826,875)
Operating profit  26,228,821  20,591,934 
Finance cost 34 (5,772,132) (5,536,298)
Finance income 35 1,068,831  299,318 
Net finance cost  (4,703,301) (5,236,980)
Profit before income tax and final tax  21,525,520  15,354,954 
Final tax – levy  36 –   (55,223)
Profit before income tax   21</x:v>
      </x:c>
    </x:row>
    <x:row r="1596" ht="82" customHeight="1">
      <x:c r="A1596" s="168" t="str">
        <x:v>FCCL|assoc|2021</x:v>
      </x:c>
      <x:c r="B1596" s="168" t="str">
        <x:v>FCCL</x:v>
      </x:c>
      <x:c r="C1596" s="168" t="str">
        <x:v>FY2021</x:v>
      </x:c>
      <x:c r="D1596" s="168" t="str">
        <x:v>Share of profit of associate</x:v>
      </x:c>
      <x:c r="E1596" s="169" t="n">
        <x:v>2849</x:v>
      </x:c>
      <x:c r="F1596" s="169" t="n">
        <x:v>2849</x:v>
      </x:c>
      <x:c r="G1596" s="169" t="str">
        <x:v>Rs '000</x:v>
      </x:c>
      <x:c r="H1596" s="169" t="n">
        <x:f>F1596/1000</x:f>
        <x:v>2.849</x:v>
      </x:c>
      <x:c r="I1596" s="169" t="n">
        <x:f>FCCL!D94</x:f>
        <x:v>2.849</x:v>
      </x:c>
      <x:c r="J1596" s="169" t="n">
        <x:f>H1596-I1596</x:f>
        <x:v>0</x:v>
      </x:c>
      <x:c r="K1596" s="168" t="str">
        <x:v>FCCL-Annual-Report-2022.pdf</x:v>
      </x:c>
      <x:c r="L1596" s="168" t="n">
        <x:v>188</x:v>
      </x:c>
      <x:c r="M1596" s="168" t="str">
        <x:v>Comparative</x:v>
      </x:c>
      <x:c r="N1596" s="171" t="str">
        <x:v>Printed amount independently located</x:v>
      </x:c>
      <x:c r="O1596" s="171" t="str">
        <x:v>Exact source amount found; audited year/current-comparative column recorded. Accounting subtotal tests performed separately.</x:v>
      </x:c>
      <x:c r="P1596" s="171" t="str">
        <x:v>e cost 37 (1,201,612) (109,623)
Finance income 38 745,852 160,543 
Net finance (cost)/ income (455,760) 50,920 
Share of profit of associate 21 1,308 2,849 
Profit before taxation 11,528,093 5,107,692 
Income tax expense 39 (4,415,553) (1,636,341)
Profit for the year 7,112,540 3,471,351 
Earnings per share - basic and diluted (Rupees</x:v>
      </x:c>
    </x:row>
    <x:row r="1597" ht="82" customHeight="1">
      <x:c r="A1597" s="76" t="str">
        <x:v>FCCL|assoc|2022</x:v>
      </x:c>
      <x:c r="B1597" s="76" t="str">
        <x:v>FCCL</x:v>
      </x:c>
      <x:c r="C1597" s="76" t="str">
        <x:v>FY2022</x:v>
      </x:c>
      <x:c r="D1597" s="76" t="str">
        <x:v>Share of profit of associate</x:v>
      </x:c>
      <x:c r="E1597" s="170" t="n">
        <x:v>1308</x:v>
      </x:c>
      <x:c r="F1597" s="170" t="n">
        <x:v>1308</x:v>
      </x:c>
      <x:c r="G1597" s="170" t="str">
        <x:v>Rs '000</x:v>
      </x:c>
      <x:c r="H1597" s="170" t="n">
        <x:f>F1597/1000</x:f>
        <x:v>1.308</x:v>
      </x:c>
      <x:c r="I1597" s="170" t="n">
        <x:f>FCCL!E94</x:f>
        <x:v>1.308</x:v>
      </x:c>
      <x:c r="J1597" s="170" t="n">
        <x:f>H1597-I1597</x:f>
        <x:v>0</x:v>
      </x:c>
      <x:c r="K1597" s="76" t="str">
        <x:v>FCCL-Annual-Report-2023.pdf</x:v>
      </x:c>
      <x:c r="L1597" s="76" t="n">
        <x:v>210</x:v>
      </x:c>
      <x:c r="M1597" s="76" t="str">
        <x:v>Comparative</x:v>
      </x:c>
      <x:c r="N1597" s="99" t="str">
        <x:v>Printed amount independently located</x:v>
      </x:c>
      <x:c r="O1597" s="99" t="str">
        <x:v>Exact source amount found; audited year/current-comparative column recorded. Accounting subtotal tests performed separately.</x:v>
      </x:c>
      <x:c r="P1597" s="99" t="str">
        <x:v>5 
Finance cost 34 (3,645,265) (1,201,612)
Finance income 35 527,702 745,852 
Net finance cost (3,117,563) (455,760)
Share of profit of associate  -  1,308 
Profit before taxation 12,900,109 11,528,093 
Income tax expense 36 (5,460,428) (4,415,553)
Profit for the year 7,439,681 7,112,540 
Earnings per share - basic and diluted (Rupee</x:v>
      </x:c>
    </x:row>
    <x:row r="1598" ht="82" customHeight="1">
      <x:c r="A1598" s="168" t="str">
        <x:v>FCCL|assoc|2023</x:v>
      </x:c>
      <x:c r="B1598" s="168" t="str">
        <x:v>FCCL</x:v>
      </x:c>
      <x:c r="C1598" s="168" t="str">
        <x:v>FY2023</x:v>
      </x:c>
      <x:c r="D1598" s="168" t="str">
        <x:v>Share of profit of associate</x:v>
      </x:c>
      <x:c r="E1598" s="169" t="n">
        <x:v>0</x:v>
      </x:c>
      <x:c r="F1598" s="169" t="n">
        <x:v>0</x:v>
      </x:c>
      <x:c r="G1598" s="169" t="str">
        <x:v>Rs '000</x:v>
      </x:c>
      <x:c r="H1598" s="169" t="n">
        <x:f>F1598/1000</x:f>
        <x:v>0</x:v>
      </x:c>
      <x:c r="I1598" s="169" t="n">
        <x:f>FCCL!F94</x:f>
        <x:v>0</x:v>
      </x:c>
      <x:c r="J1598" s="169" t="n">
        <x:f>H1598-I1598</x:f>
        <x:v>0</x:v>
      </x:c>
      <x:c r="K1598" s="168" t="str">
        <x:v>FCCL-Annual-Report-2024.pdf</x:v>
      </x:c>
      <x:c r="L1598" s="168" t="n">
        <x:v>192</x:v>
      </x:c>
      <x:c r="M1598" s="168" t="str">
        <x:v>Comparative</x:v>
      </x:c>
      <x:c r="N1598" s="171" t="str">
        <x:v>Zero / no separate line in audited presentation</x:v>
      </x:c>
      <x:c r="O1598" s="171" t="str">
        <x:v>Zero classification checked within the audited statement/note and reconstructed statement totals; absence of a separate line does not imply a missing replacement estimate.</x:v>
      </x:c>
      <x:c r="P1598" s="171" t="str">
        <x:v>
 Note 2024 2023
  Rupees’000 Rupees’000
Revenue - net 27 80,026,226  68,069,282 
Cost of sales 28 (54,345,821) (47,650,809)
Gross profit  25,680,40 | Share of profit of associate</x:v>
      </x:c>
    </x:row>
    <x:row r="1599" ht="82" customHeight="1">
      <x:c r="A1599" s="76" t="str">
        <x:v>FCCL|assoc|2024</x:v>
      </x:c>
      <x:c r="B1599" s="76" t="str">
        <x:v>FCCL</x:v>
      </x:c>
      <x:c r="C1599" s="76" t="str">
        <x:v>FY2024</x:v>
      </x:c>
      <x:c r="D1599" s="76" t="str">
        <x:v>Share of profit of associate</x:v>
      </x:c>
      <x:c r="E1599" s="170" t="n">
        <x:v>0</x:v>
      </x:c>
      <x:c r="F1599" s="170" t="n">
        <x:v>0</x:v>
      </x:c>
      <x:c r="G1599" s="170" t="str">
        <x:v>Rs '000</x:v>
      </x:c>
      <x:c r="H1599" s="170" t="n">
        <x:f>F1599/1000</x:f>
        <x:v>0</x:v>
      </x:c>
      <x:c r="I1599" s="170" t="n">
        <x:f>FCCL!G94</x:f>
        <x:v>0</x:v>
      </x:c>
      <x:c r="J1599" s="170" t="n">
        <x:f>H1599-I1599</x:f>
        <x:v>0</x:v>
      </x:c>
      <x:c r="K1599" s="76" t="str">
        <x:v>FCCL-Annual-Report-2025.pdf</x:v>
      </x:c>
      <x:c r="L1599" s="76" t="n">
        <x:v>246</x:v>
      </x:c>
      <x:c r="M1599" s="76" t="str">
        <x:v>Comparative</x:v>
      </x:c>
      <x:c r="N1599" s="99" t="str">
        <x:v>Zero / no separate line in audited presentation</x:v>
      </x:c>
      <x:c r="O1599" s="99" t="str">
        <x:v>Zero classification checked within the audited statement/note and reconstructed statement totals; absence of a separate line does not imply a missing replacement estimate.</x:v>
      </x:c>
      <x:c r="P1599" s="99" t="str">
        <x:v>
 Note 2025 2024
  Rupees’000 Rupees’000
Revenue – net 28 88,956,328  80,026,226 
Cost of sales 29 (57,384,978) (54,345,821)
Gross profit  31,571,35 | Share of profit of associate</x:v>
      </x:c>
    </x:row>
    <x:row r="1600" ht="82" customHeight="1">
      <x:c r="A1600" s="168" t="str">
        <x:v>FCCL|assoc|2025</x:v>
      </x:c>
      <x:c r="B1600" s="168" t="str">
        <x:v>FCCL</x:v>
      </x:c>
      <x:c r="C1600" s="168" t="str">
        <x:v>FY2025</x:v>
      </x:c>
      <x:c r="D1600" s="168" t="str">
        <x:v>Share of profit of associate</x:v>
      </x:c>
      <x:c r="E1600" s="169" t="n">
        <x:v>0</x:v>
      </x:c>
      <x:c r="F1600" s="169" t="n">
        <x:v>0</x:v>
      </x:c>
      <x:c r="G1600" s="169" t="str">
        <x:v>Rs '000</x:v>
      </x:c>
      <x:c r="H1600" s="169" t="n">
        <x:f>F1600/1000</x:f>
        <x:v>0</x:v>
      </x:c>
      <x:c r="I1600" s="169" t="n">
        <x:f>FCCL!H94</x:f>
        <x:v>0</x:v>
      </x:c>
      <x:c r="J1600" s="169" t="n">
        <x:f>H1600-I1600</x:f>
        <x:v>0</x:v>
      </x:c>
      <x:c r="K1600" s="168" t="str">
        <x:v>FCCL-Annual-Report-2025.pdf</x:v>
      </x:c>
      <x:c r="L1600" s="168" t="n">
        <x:v>246</x:v>
      </x:c>
      <x:c r="M1600" s="168" t="str">
        <x:v>Current year</x:v>
      </x:c>
      <x:c r="N1600" s="171" t="str">
        <x:v>Zero / no separate line in audited presentation</x:v>
      </x:c>
      <x:c r="O1600" s="171" t="str">
        <x:v>Zero classification checked within the audited statement/note and reconstructed statement totals; absence of a separate line does not imply a missing replacement estimate.</x:v>
      </x:c>
      <x:c r="P1600" s="171" t="str">
        <x:v>
 Note 2025 2024
  Rupees’000 Rupees’000
Revenue – net 28 88,956,328  80,026,226 
Cost of sales 29 (57,384,978) (54,345,821)
Gross profit  31,571,35 | Share of profit of associate</x:v>
      </x:c>
    </x:row>
    <x:row r="1601" ht="82" customHeight="1">
      <x:c r="A1601" s="76" t="str">
        <x:v>FCCL|fin_cost|2021</x:v>
      </x:c>
      <x:c r="B1601" s="76" t="str">
        <x:v>FCCL</x:v>
      </x:c>
      <x:c r="C1601" s="76" t="str">
        <x:v>FY2021</x:v>
      </x:c>
      <x:c r="D1601" s="76" t="str">
        <x:v>Finance cost</x:v>
      </x:c>
      <x:c r="E1601" s="170" t="n">
        <x:v>-109623</x:v>
      </x:c>
      <x:c r="F1601" s="170" t="n">
        <x:v>-109623</x:v>
      </x:c>
      <x:c r="G1601" s="170" t="str">
        <x:v>Rs '000</x:v>
      </x:c>
      <x:c r="H1601" s="170" t="n">
        <x:f>F1601/1000</x:f>
        <x:v>-109.623</x:v>
      </x:c>
      <x:c r="I1601" s="170" t="n">
        <x:f>FCCL!D95</x:f>
        <x:v>-109.623</x:v>
      </x:c>
      <x:c r="J1601" s="170" t="n">
        <x:f>H1601-I1601</x:f>
        <x:v>0</x:v>
      </x:c>
      <x:c r="K1601" s="76" t="str">
        <x:v>FCCL-Annual-Report-2022.pdf</x:v>
      </x:c>
      <x:c r="L1601" s="76" t="n">
        <x:v>188</x:v>
      </x:c>
      <x:c r="M1601" s="76" t="str">
        <x:v>Comparative</x:v>
      </x:c>
      <x:c r="N1601" s="99" t="str">
        <x:v>Printed amount independently located</x:v>
      </x:c>
      <x:c r="O1601" s="99" t="str">
        <x:v>Exact source amount found; audited year/current-comparative column recorded. Accounting subtotal tests performed separately.</x:v>
      </x:c>
      <x:c r="P1601" s="99" t="str">
        <x:v>nistrative expenses 35 (1,299,439) (524,709)
Other expenses 36 (808,964) (377,946)
Operating profit 11,982,545 5,053,923 
Finance cost 37 (1,201,612) (109,623)
Finance income 38 745,852 160,543 
Net finance (cost)/ income (455,760) 50,920 
Share of profit of associate 21 1,308 2,849 
Profit before taxation 11,528,093 5,107,692 
Income ta</x:v>
      </x:c>
    </x:row>
    <x:row r="1602" ht="82" customHeight="1">
      <x:c r="A1602" s="168" t="str">
        <x:v>FCCL|fin_cost|2022</x:v>
      </x:c>
      <x:c r="B1602" s="168" t="str">
        <x:v>FCCL</x:v>
      </x:c>
      <x:c r="C1602" s="168" t="str">
        <x:v>FY2022</x:v>
      </x:c>
      <x:c r="D1602" s="168" t="str">
        <x:v>Finance cost</x:v>
      </x:c>
      <x:c r="E1602" s="169" t="n">
        <x:v>-1201612</x:v>
      </x:c>
      <x:c r="F1602" s="169" t="n">
        <x:v>-1201612</x:v>
      </x:c>
      <x:c r="G1602" s="169" t="str">
        <x:v>Rs '000</x:v>
      </x:c>
      <x:c r="H1602" s="169" t="n">
        <x:f>F1602/1000</x:f>
        <x:v>-1201.612</x:v>
      </x:c>
      <x:c r="I1602" s="169" t="n">
        <x:f>FCCL!E95</x:f>
        <x:v>-1201.612</x:v>
      </x:c>
      <x:c r="J1602" s="169" t="n">
        <x:f>H1602-I1602</x:f>
        <x:v>0</x:v>
      </x:c>
      <x:c r="K1602" s="168" t="str">
        <x:v>FCCL-Annual-Report-2023.pdf</x:v>
      </x:c>
      <x:c r="L1602" s="168" t="n">
        <x:v>210</x:v>
      </x:c>
      <x:c r="M1602" s="168" t="str">
        <x:v>Comparative</x:v>
      </x:c>
      <x:c r="N1602" s="171" t="str">
        <x:v>Printed amount independently located</x:v>
      </x:c>
      <x:c r="O1602" s="171" t="str">
        <x:v>Exact source amount found; audited year/current-comparative column recorded. Accounting subtotal tests performed separately.</x:v>
      </x:c>
      <x:c r="P1602" s="171" t="str">
        <x:v>trative expenses 32 (1,381,633) (1,299,439)
Other expenses 33 (750,078) (808,964)
Operating profit 16,017,672 11,982,545 
Finance cost 34 (3,645,265) (1,201,612)
Finance income 35 527,702 745,852 
Net finance cost (3,117,563) (455,760)
Share of profit of associate  -  1,308 
Profit before taxation 12,900,109 11,528,093 
Income tax expense</x:v>
      </x:c>
    </x:row>
    <x:row r="1603" ht="82" customHeight="1">
      <x:c r="A1603" s="76" t="str">
        <x:v>FCCL|fin_cost|2023</x:v>
      </x:c>
      <x:c r="B1603" s="76" t="str">
        <x:v>FCCL</x:v>
      </x:c>
      <x:c r="C1603" s="76" t="str">
        <x:v>FY2023</x:v>
      </x:c>
      <x:c r="D1603" s="76" t="str">
        <x:v>Finance cost</x:v>
      </x:c>
      <x:c r="E1603" s="170" t="n">
        <x:v>-3645265</x:v>
      </x:c>
      <x:c r="F1603" s="170" t="n">
        <x:v>-3645265</x:v>
      </x:c>
      <x:c r="G1603" s="170" t="str">
        <x:v>Rs '000</x:v>
      </x:c>
      <x:c r="H1603" s="170" t="n">
        <x:f>F1603/1000</x:f>
        <x:v>-3645.265</x:v>
      </x:c>
      <x:c r="I1603" s="170" t="n">
        <x:f>FCCL!F95</x:f>
        <x:v>-3645.265</x:v>
      </x:c>
      <x:c r="J1603" s="170" t="n">
        <x:f>H1603-I1603</x:f>
        <x:v>0</x:v>
      </x:c>
      <x:c r="K1603" s="76" t="str">
        <x:v>FCCL-Annual-Report-2024.pdf</x:v>
      </x:c>
      <x:c r="L1603" s="76" t="n">
        <x:v>192</x:v>
      </x:c>
      <x:c r="M1603" s="76" t="str">
        <x:v>Comparative</x:v>
      </x:c>
      <x:c r="N1603" s="99" t="str">
        <x:v>Printed amount independently located</x:v>
      </x:c>
      <x:c r="O1603" s="99" t="str">
        <x:v>Exact source amount found; audited year/current-comparative column recorded. Accounting subtotal tests performed separately.</x:v>
      </x:c>
      <x:c r="P1603" s="99" t="str">
        <x:v>ive expenses 31 (1,516,046) (1,381,633)
Other expenses 32 (826,875) (750,078)
Operating profit  20,591,934  16,017,672 
Finance cost 33 (5,536,298) (3,645,265)
Finance income 34 299,318  527,702 
Net finance cost  (5,236,980) (3,117,563)
Profit before income tax and final tax  15,354,954  12,900,109 
Final tax - levy  35 (55,223)  (45,66</x:v>
      </x:c>
    </x:row>
    <x:row r="1604" ht="82" customHeight="1">
      <x:c r="A1604" s="168" t="str">
        <x:v>FCCL|fin_cost|2024</x:v>
      </x:c>
      <x:c r="B1604" s="168" t="str">
        <x:v>FCCL</x:v>
      </x:c>
      <x:c r="C1604" s="168" t="str">
        <x:v>FY2024</x:v>
      </x:c>
      <x:c r="D1604" s="168" t="str">
        <x:v>Finance cost</x:v>
      </x:c>
      <x:c r="E1604" s="169" t="n">
        <x:v>-5536298</x:v>
      </x:c>
      <x:c r="F1604" s="169" t="n">
        <x:v>-5536298</x:v>
      </x:c>
      <x:c r="G1604" s="169" t="str">
        <x:v>Rs '000</x:v>
      </x:c>
      <x:c r="H1604" s="169" t="n">
        <x:f>F1604/1000</x:f>
        <x:v>-5536.298</x:v>
      </x:c>
      <x:c r="I1604" s="169" t="n">
        <x:f>FCCL!G95</x:f>
        <x:v>-5536.298</x:v>
      </x:c>
      <x:c r="J1604" s="169" t="n">
        <x:f>H1604-I1604</x:f>
        <x:v>0</x:v>
      </x:c>
      <x:c r="K1604" s="168" t="str">
        <x:v>FCCL-Annual-Report-2025.pdf</x:v>
      </x:c>
      <x:c r="L1604" s="168" t="n">
        <x:v>246</x:v>
      </x:c>
      <x:c r="M1604" s="168" t="str">
        <x:v>Comparative</x:v>
      </x:c>
      <x:c r="N1604" s="171" t="str">
        <x:v>Printed amount independently located</x:v>
      </x:c>
      <x:c r="O1604" s="171" t="str">
        <x:v>Exact source amount found; audited year/current-comparative column recorded. Accounting subtotal tests performed separately.</x:v>
      </x:c>
      <x:c r="P1604" s="171" t="str">
        <x:v>e expenses 32 (1,688,886) (1,516,046)
Other expenses 33 (1,479,276) (826,875)
Operating profit  26,228,821  20,591,934 
Finance cost 34 (5,772,132) (5,536,298)
Finance income 35 1,068,831  299,318 
Net finance cost  (4,703,301) (5,236,980)
Profit before income tax and final tax  21,525,520  15,354,954 
Final tax – levy  36 –   (55,223)
P</x:v>
      </x:c>
    </x:row>
    <x:row r="1605" ht="82" customHeight="1">
      <x:c r="A1605" s="76" t="str">
        <x:v>FCCL|fin_cost|2025</x:v>
      </x:c>
      <x:c r="B1605" s="76" t="str">
        <x:v>FCCL</x:v>
      </x:c>
      <x:c r="C1605" s="76" t="str">
        <x:v>FY2025</x:v>
      </x:c>
      <x:c r="D1605" s="76" t="str">
        <x:v>Finance cost</x:v>
      </x:c>
      <x:c r="E1605" s="170" t="n">
        <x:v>-5772132</x:v>
      </x:c>
      <x:c r="F1605" s="170" t="n">
        <x:v>-5772132</x:v>
      </x:c>
      <x:c r="G1605" s="170" t="str">
        <x:v>Rs '000</x:v>
      </x:c>
      <x:c r="H1605" s="170" t="n">
        <x:f>F1605/1000</x:f>
        <x:v>-5772.132</x:v>
      </x:c>
      <x:c r="I1605" s="170" t="n">
        <x:f>FCCL!H95</x:f>
        <x:v>-5772.132</x:v>
      </x:c>
      <x:c r="J1605" s="170" t="n">
        <x:f>H1605-I1605</x:f>
        <x:v>0</x:v>
      </x:c>
      <x:c r="K1605" s="76" t="str">
        <x:v>FCCL-Annual-Report-2025.pdf</x:v>
      </x:c>
      <x:c r="L1605" s="76" t="n">
        <x:v>246</x:v>
      </x:c>
      <x:c r="M1605" s="76" t="str">
        <x:v>Current year</x:v>
      </x:c>
      <x:c r="N1605" s="99" t="str">
        <x:v>Printed amount independently located</x:v>
      </x:c>
      <x:c r="O1605" s="99" t="str">
        <x:v>Exact source amount found; audited year/current-comparative column recorded. Accounting subtotal tests performed separately.</x:v>
      </x:c>
      <x:c r="P1605" s="99" t="str">
        <x:v>dministrative expenses 32 (1,688,886) (1,516,046)
Other expenses 33 (1,479,276) (826,875)
Operating profit  26,228,821  20,591,934 
Finance cost 34 (5,772,132) (5,536,298)
Finance income 35 1,068,831  299,318 
Net finance cost  (4,703,301) (5,236,980)
Profit before income tax and final tax  21,525,520  15,354,954 
Final tax – levy  36 –</x:v>
      </x:c>
    </x:row>
    <x:row r="1606" ht="82" customHeight="1">
      <x:c r="A1606" s="168" t="str">
        <x:v>FCCL|levy|2021</x:v>
      </x:c>
      <x:c r="B1606" s="168" t="str">
        <x:v>FCCL</x:v>
      </x:c>
      <x:c r="C1606" s="168" t="str">
        <x:v>FY2021</x:v>
      </x:c>
      <x:c r="D1606" s="168" t="str">
        <x:v>Levies (final / minimum taxes presented separately)</x:v>
      </x:c>
      <x:c r="E1606" s="169" t="n">
        <x:v>0</x:v>
      </x:c>
      <x:c r="F1606" s="169" t="n">
        <x:v>0</x:v>
      </x:c>
      <x:c r="G1606" s="169" t="str">
        <x:v>Rs '000</x:v>
      </x:c>
      <x:c r="H1606" s="169" t="n">
        <x:f>F1606/1000</x:f>
        <x:v>0</x:v>
      </x:c>
      <x:c r="I1606" s="169" t="n">
        <x:f>FCCL!D97</x:f>
        <x:v>0</x:v>
      </x:c>
      <x:c r="J1606" s="169" t="n">
        <x:f>H1606-I1606</x:f>
        <x:v>0</x:v>
      </x:c>
      <x:c r="K1606" s="168" t="str">
        <x:v>FCCL-Annual-Report-2022.pdf</x:v>
      </x:c>
      <x:c r="L1606" s="168" t="n">
        <x:v>188</x:v>
      </x:c>
      <x:c r="M1606" s="168" t="str">
        <x:v>Comparative</x:v>
      </x:c>
      <x:c r="N1606" s="171" t="str">
        <x:v>Zero / no separate line in audited presentation</x:v>
      </x:c>
      <x:c r="O1606" s="171" t="str">
        <x:v>Zero classification checked within the audited statement/note and reconstructed statement totals; absence of a separate line does not imply a missing replacement estimate.</x:v>
      </x:c>
      <x:c r="P1606" s="171" t="str">
        <x:v>
STATEMENT OF PROFIT OR LOSS
2022 2021
Note Rupees'000 Rupees'000
Revenue - net 31 54,243,118 24,271,285 
Cost of sales 32 (39,843,851) (18,206,880)
G | Levies (final / minimum taxes presented separately)</x:v>
      </x:c>
    </x:row>
    <x:row r="1607" ht="82" customHeight="1">
      <x:c r="A1607" s="76" t="str">
        <x:v>FCCL|levy|2022</x:v>
      </x:c>
      <x:c r="B1607" s="76" t="str">
        <x:v>FCCL</x:v>
      </x:c>
      <x:c r="C1607" s="76" t="str">
        <x:v>FY2022</x:v>
      </x:c>
      <x:c r="D1607" s="76" t="str">
        <x:v>Levies (final / minimum taxes presented separately)</x:v>
      </x:c>
      <x:c r="E1607" s="170" t="n">
        <x:v>0</x:v>
      </x:c>
      <x:c r="F1607" s="170" t="n">
        <x:v>0</x:v>
      </x:c>
      <x:c r="G1607" s="170" t="str">
        <x:v>Rs '000</x:v>
      </x:c>
      <x:c r="H1607" s="170" t="n">
        <x:f>F1607/1000</x:f>
        <x:v>0</x:v>
      </x:c>
      <x:c r="I1607" s="170" t="n">
        <x:f>FCCL!E97</x:f>
        <x:v>0</x:v>
      </x:c>
      <x:c r="J1607" s="170" t="n">
        <x:f>H1607-I1607</x:f>
        <x:v>0</x:v>
      </x:c>
      <x:c r="K1607" s="76" t="str">
        <x:v>FCCL-Annual-Report-2023.pdf</x:v>
      </x:c>
      <x:c r="L1607" s="76" t="n">
        <x:v>210</x:v>
      </x:c>
      <x:c r="M1607" s="76" t="str">
        <x:v>Comparative</x:v>
      </x:c>
      <x:c r="N1607" s="99" t="str">
        <x:v>Zero / no separate line in audited presentation</x:v>
      </x:c>
      <x:c r="O1607" s="99" t="str">
        <x:v>Zero classification checked within the audited statement/note and reconstructed statement totals; absence of a separate line does not imply a missing replacement estimate.</x:v>
      </x:c>
      <x:c r="P1607" s="99" t="str">
        <x:v>
FAUJI CEMENT COMPANY LIMITED
208
Fauji Cement Company Limited
Statement of Profit or Loss
For the year ended June 30, 2023
2023 2022
Note Rupees’000  | Levies (final / minimum taxes presented separately)</x:v>
      </x:c>
    </x:row>
    <x:row r="1608" ht="82" customHeight="1">
      <x:c r="A1608" s="168" t="str">
        <x:v>FCCL|levy|2023</x:v>
      </x:c>
      <x:c r="B1608" s="168" t="str">
        <x:v>FCCL</x:v>
      </x:c>
      <x:c r="C1608" s="168" t="str">
        <x:v>FY2023</x:v>
      </x:c>
      <x:c r="D1608" s="168" t="str">
        <x:v>Levies (final / minimum taxes presented separately)</x:v>
      </x:c>
      <x:c r="E1608" s="169" t="n">
        <x:v>-45660</x:v>
      </x:c>
      <x:c r="F1608" s="169" t="n">
        <x:v>-45660</x:v>
      </x:c>
      <x:c r="G1608" s="169" t="str">
        <x:v>Rs '000</x:v>
      </x:c>
      <x:c r="H1608" s="169" t="n">
        <x:f>F1608/1000</x:f>
        <x:v>-45.66</x:v>
      </x:c>
      <x:c r="I1608" s="169" t="n">
        <x:f>FCCL!F97</x:f>
        <x:v>-45.66</x:v>
      </x:c>
      <x:c r="J1608" s="169" t="n">
        <x:f>H1608-I1608</x:f>
        <x:v>0</x:v>
      </x:c>
      <x:c r="K1608" s="168" t="str">
        <x:v>FCCL-Annual-Report-2024.pdf</x:v>
      </x:c>
      <x:c r="L1608" s="168" t="n">
        <x:v>192</x:v>
      </x:c>
      <x:c r="M1608" s="168" t="str">
        <x:v>Comparative</x:v>
      </x:c>
      <x:c r="N1608" s="171" t="str">
        <x:v>Printed amount independently located</x:v>
      </x:c>
      <x:c r="O1608" s="171" t="str">
        <x:v>Exact source amount found; audited year/current-comparative column recorded. Accounting subtotal tests performed separately.</x:v>
      </x:c>
      <x:c r="P1608" s="171" t="str">
        <x:v>18  527,702 
Net finance cost  (5,236,980) (3,117,563)
Profit before income tax and final tax  15,354,954  12,900,109 
Final tax - levy  35 (55,223)  (45,660)
Profit before income tax   15,299,731  12,854,449 
Income tax expense  36 (7,076,615) (5,414,768)
Profit for the year   8,223,116  7,439,681 
  Rupees Rupees
Earnings per sh</x:v>
      </x:c>
    </x:row>
    <x:row r="1609" ht="82" customHeight="1">
      <x:c r="A1609" s="76" t="str">
        <x:v>FCCL|levy|2024</x:v>
      </x:c>
      <x:c r="B1609" s="76" t="str">
        <x:v>FCCL</x:v>
      </x:c>
      <x:c r="C1609" s="76" t="str">
        <x:v>FY2024</x:v>
      </x:c>
      <x:c r="D1609" s="76" t="str">
        <x:v>Levies (final / minimum taxes presented separately)</x:v>
      </x:c>
      <x:c r="E1609" s="170" t="n">
        <x:v>-55223</x:v>
      </x:c>
      <x:c r="F1609" s="170" t="n">
        <x:v>-55223</x:v>
      </x:c>
      <x:c r="G1609" s="170" t="str">
        <x:v>Rs '000</x:v>
      </x:c>
      <x:c r="H1609" s="170" t="n">
        <x:f>F1609/1000</x:f>
        <x:v>-55.223</x:v>
      </x:c>
      <x:c r="I1609" s="170" t="n">
        <x:f>FCCL!G97</x:f>
        <x:v>-55.223</x:v>
      </x:c>
      <x:c r="J1609" s="170" t="n">
        <x:f>H1609-I1609</x:f>
        <x:v>0</x:v>
      </x:c>
      <x:c r="K1609" s="76" t="str">
        <x:v>FCCL-Annual-Report-2025.pdf</x:v>
      </x:c>
      <x:c r="L1609" s="76" t="n">
        <x:v>246</x:v>
      </x:c>
      <x:c r="M1609" s="76" t="str">
        <x:v>Comparative</x:v>
      </x:c>
      <x:c r="N1609" s="99" t="str">
        <x:v>Printed amount independently located</x:v>
      </x:c>
      <x:c r="O1609" s="99" t="str">
        <x:v>Exact source amount found; audited year/current-comparative column recorded. Accounting subtotal tests performed separately.</x:v>
      </x:c>
      <x:c r="P1609" s="99" t="str">
        <x:v>,068,831  299,318 
Net finance cost  (4,703,301) (5,236,980)
Profit before income tax and final tax  21,525,520  15,354,954 
Final tax – levy  36 –   (55,223)
Profit before income tax   21,525,520  15,299,731 
Income tax expense  37 (8,199,318) (7,076,615)
Profit for the year   13,326,202  8,223,116 
  Rupees Rupees
Earnings per s</x:v>
      </x:c>
    </x:row>
    <x:row r="1610" ht="82" customHeight="1">
      <x:c r="A1610" s="168" t="str">
        <x:v>FCCL|levy|2025</x:v>
      </x:c>
      <x:c r="B1610" s="168" t="str">
        <x:v>FCCL</x:v>
      </x:c>
      <x:c r="C1610" s="168" t="str">
        <x:v>FY2025</x:v>
      </x:c>
      <x:c r="D1610" s="168" t="str">
        <x:v>Levies (final / minimum taxes presented separately)</x:v>
      </x:c>
      <x:c r="E1610" s="169" t="n">
        <x:v>0</x:v>
      </x:c>
      <x:c r="F1610" s="169" t="n">
        <x:v>0</x:v>
      </x:c>
      <x:c r="G1610" s="169" t="str">
        <x:v>Rs '000</x:v>
      </x:c>
      <x:c r="H1610" s="169" t="n">
        <x:f>F1610/1000</x:f>
        <x:v>0</x:v>
      </x:c>
      <x:c r="I1610" s="169" t="n">
        <x:f>FCCL!H97</x:f>
        <x:v>0</x:v>
      </x:c>
      <x:c r="J1610" s="169" t="n">
        <x:f>H1610-I1610</x:f>
        <x:v>0</x:v>
      </x:c>
      <x:c r="K1610" s="168" t="str">
        <x:v>FCCL-Annual-Report-2025.pdf</x:v>
      </x:c>
      <x:c r="L1610" s="168" t="n">
        <x:v>246</x:v>
      </x:c>
      <x:c r="M1610" s="168" t="str">
        <x:v>Current year</x:v>
      </x:c>
      <x:c r="N1610" s="171" t="str">
        <x:v>Zero / no separate line in audited presentation</x:v>
      </x:c>
      <x:c r="O1610" s="171" t="str">
        <x:v>Zero classification checked within the audited statement/note and reconstructed statement totals; absence of a separate line does not imply a missing replacement estimate.</x:v>
      </x:c>
      <x:c r="P1610" s="171" t="str">
        <x:v>
 Note 2025 2024
  Rupees’000 Rupees’000
Revenue – net 28 88,956,328  80,026,226 
Cost of sales 29 (57,384,978) (54,345,821)
Gross profit  31,571,35 | Final tax - levy</x:v>
      </x:c>
    </x:row>
    <x:row r="1611" ht="82" customHeight="1">
      <x:c r="A1611" s="76" t="str">
        <x:v>FCCL|tax|2021</x:v>
      </x:c>
      <x:c r="B1611" s="76" t="str">
        <x:v>FCCL</x:v>
      </x:c>
      <x:c r="C1611" s="76" t="str">
        <x:v>FY2021</x:v>
      </x:c>
      <x:c r="D1611" s="76" t="str">
        <x:v>Income tax</x:v>
      </x:c>
      <x:c r="E1611" s="170" t="n">
        <x:v>-1636341</x:v>
      </x:c>
      <x:c r="F1611" s="170" t="n">
        <x:v>-1636341</x:v>
      </x:c>
      <x:c r="G1611" s="170" t="str">
        <x:v>Rs '000</x:v>
      </x:c>
      <x:c r="H1611" s="170" t="n">
        <x:f>F1611/1000</x:f>
        <x:v>-1636.341</x:v>
      </x:c>
      <x:c r="I1611" s="170" t="n">
        <x:f>FCCL!D98</x:f>
        <x:v>-1636.341</x:v>
      </x:c>
      <x:c r="J1611" s="170" t="n">
        <x:f>H1611-I1611</x:f>
        <x:v>0</x:v>
      </x:c>
      <x:c r="K1611" s="76" t="str">
        <x:v>FCCL-Annual-Report-2022.pdf</x:v>
      </x:c>
      <x:c r="L1611" s="76" t="n">
        <x:v>188</x:v>
      </x:c>
      <x:c r="M1611" s="76" t="str">
        <x:v>Comparative</x:v>
      </x:c>
      <x:c r="N1611" s="99" t="str">
        <x:v>Printed amount independently located</x:v>
      </x:c>
      <x:c r="O1611" s="99" t="str">
        <x:v>Exact source amount found; audited year/current-comparative column recorded. Accounting subtotal tests performed separately.</x:v>
      </x:c>
      <x:c r="P1611" s="99" t="str">
        <x:v>income (455,760) 50,920 
Share of profit of associate 21 1,308 2,849 
Profit before taxation 11,528,093 5,107,692 
Income tax expense 39 (4,415,553) (1,636,341)
Profit for the year 7,112,540 3,471,351 
Earnings per share - basic and diluted (Rupees) 40 3.26 2.52 
The annexed notes 1 to 49 form an integral part of these financial statement</x:v>
      </x:c>
    </x:row>
    <x:row r="1612" ht="82" customHeight="1">
      <x:c r="A1612" s="168" t="str">
        <x:v>FCCL|tax|2022</x:v>
      </x:c>
      <x:c r="B1612" s="168" t="str">
        <x:v>FCCL</x:v>
      </x:c>
      <x:c r="C1612" s="168" t="str">
        <x:v>FY2022</x:v>
      </x:c>
      <x:c r="D1612" s="168" t="str">
        <x:v>Income tax</x:v>
      </x:c>
      <x:c r="E1612" s="169" t="n">
        <x:v>-4415553</x:v>
      </x:c>
      <x:c r="F1612" s="169" t="n">
        <x:v>-4415553</x:v>
      </x:c>
      <x:c r="G1612" s="169" t="str">
        <x:v>Rs '000</x:v>
      </x:c>
      <x:c r="H1612" s="169" t="n">
        <x:f>F1612/1000</x:f>
        <x:v>-4415.553</x:v>
      </x:c>
      <x:c r="I1612" s="169" t="n">
        <x:f>FCCL!E98</x:f>
        <x:v>-4415.553</x:v>
      </x:c>
      <x:c r="J1612" s="169" t="n">
        <x:f>H1612-I1612</x:f>
        <x:v>0</x:v>
      </x:c>
      <x:c r="K1612" s="168" t="str">
        <x:v>FCCL-Annual-Report-2023.pdf</x:v>
      </x:c>
      <x:c r="L1612" s="168" t="n">
        <x:v>210</x:v>
      </x:c>
      <x:c r="M1612" s="168" t="str">
        <x:v>Comparative</x:v>
      </x:c>
      <x:c r="N1612" s="171" t="str">
        <x:v>Printed amount independently located</x:v>
      </x:c>
      <x:c r="O1612" s="171" t="str">
        <x:v>Exact source amount found; audited year/current-comparative column recorded. Accounting subtotal tests performed separately.</x:v>
      </x:c>
      <x:c r="P1612" s="171" t="str">
        <x:v>ce cost (3,117,563) (455,760)
Share of profit of associate  -  1,308 
Profit before taxation 12,900,109 11,528,093 
Income tax expense 36 (5,460,428) (4,415,553)
Profit for the year 7,439,681 7,112,540 
Earnings per share - basic and diluted (Rupees) 37 3.16 3.02 
The annexed notes 1 to 45 form an integral part of these financial statement</x:v>
      </x:c>
    </x:row>
    <x:row r="1613" ht="82" customHeight="1">
      <x:c r="A1613" s="76" t="str">
        <x:v>FCCL|tax|2023</x:v>
      </x:c>
      <x:c r="B1613" s="76" t="str">
        <x:v>FCCL</x:v>
      </x:c>
      <x:c r="C1613" s="76" t="str">
        <x:v>FY2023</x:v>
      </x:c>
      <x:c r="D1613" s="76" t="str">
        <x:v>Income tax</x:v>
      </x:c>
      <x:c r="E1613" s="170" t="n">
        <x:v>-5414768</x:v>
      </x:c>
      <x:c r="F1613" s="170" t="n">
        <x:v>-5414768</x:v>
      </x:c>
      <x:c r="G1613" s="170" t="str">
        <x:v>Rs '000</x:v>
      </x:c>
      <x:c r="H1613" s="170" t="n">
        <x:f>F1613/1000</x:f>
        <x:v>-5414.768</x:v>
      </x:c>
      <x:c r="I1613" s="170" t="n">
        <x:f>FCCL!F98</x:f>
        <x:v>-5414.768</x:v>
      </x:c>
      <x:c r="J1613" s="170" t="n">
        <x:f>H1613-I1613</x:f>
        <x:v>0</x:v>
      </x:c>
      <x:c r="K1613" s="76" t="str">
        <x:v>FCCL-Annual-Report-2024.pdf</x:v>
      </x:c>
      <x:c r="L1613" s="76" t="n">
        <x:v>192</x:v>
      </x:c>
      <x:c r="M1613" s="76" t="str">
        <x:v>Comparative</x:v>
      </x:c>
      <x:c r="N1613" s="99" t="str">
        <x:v>Printed amount independently located</x:v>
      </x:c>
      <x:c r="O1613" s="99" t="str">
        <x:v>Exact source amount found; audited year/current-comparative column recorded. Accounting subtotal tests performed separately.</x:v>
      </x:c>
      <x:c r="P1613" s="99" t="str">
        <x:v>,354,954  12,900,109 
Final tax - levy  35 (55,223)  (45,660)
Profit before income tax   15,299,731  12,854,449 
Income tax expense  36 (7,076,615) (5,414,768)
Profit for the year   8,223,116  7,439,681 
  Rupees Rupees
Earnings per share - basic and diluted  37 3.35  3.16 
The annexed notes 1 to 45 form an integral part of thes</x:v>
      </x:c>
    </x:row>
    <x:row r="1614" ht="82" customHeight="1">
      <x:c r="A1614" s="168" t="str">
        <x:v>FCCL|tax|2024</x:v>
      </x:c>
      <x:c r="B1614" s="168" t="str">
        <x:v>FCCL</x:v>
      </x:c>
      <x:c r="C1614" s="168" t="str">
        <x:v>FY2024</x:v>
      </x:c>
      <x:c r="D1614" s="168" t="str">
        <x:v>Income tax</x:v>
      </x:c>
      <x:c r="E1614" s="169" t="n">
        <x:v>-7076615</x:v>
      </x:c>
      <x:c r="F1614" s="169" t="n">
        <x:v>-7076615</x:v>
      </x:c>
      <x:c r="G1614" s="169" t="str">
        <x:v>Rs '000</x:v>
      </x:c>
      <x:c r="H1614" s="169" t="n">
        <x:f>F1614/1000</x:f>
        <x:v>-7076.615</x:v>
      </x:c>
      <x:c r="I1614" s="169" t="n">
        <x:f>FCCL!G98</x:f>
        <x:v>-7076.615</x:v>
      </x:c>
      <x:c r="J1614" s="169" t="n">
        <x:f>H1614-I1614</x:f>
        <x:v>0</x:v>
      </x:c>
      <x:c r="K1614" s="168" t="str">
        <x:v>FCCL-Annual-Report-2025.pdf</x:v>
      </x:c>
      <x:c r="L1614" s="168" t="n">
        <x:v>246</x:v>
      </x:c>
      <x:c r="M1614" s="168" t="str">
        <x:v>Comparative</x:v>
      </x:c>
      <x:c r="N1614" s="171" t="str">
        <x:v>Printed amount independently located</x:v>
      </x:c>
      <x:c r="O1614" s="171" t="str">
        <x:v>Exact source amount found; audited year/current-comparative column recorded. Accounting subtotal tests performed separately.</x:v>
      </x:c>
      <x:c r="P1614" s="171" t="str">
        <x:v>ax  21,525,520  15,354,954 
Final tax – levy  36 –   (55,223)
Profit before income tax   21,525,520  15,299,731 
Income tax expense  37 (8,199,318) (7,076,615)
Profit for the year   13,326,202  8,223,116 
  Rupees Rupees
Earnings per share – basic and diluted  38 5.43  3.35 
The annexed notes 1 to 47 form an integral part of the</x:v>
      </x:c>
    </x:row>
    <x:row r="1615" ht="82" customHeight="1">
      <x:c r="A1615" s="76" t="str">
        <x:v>FCCL|tax|2025</x:v>
      </x:c>
      <x:c r="B1615" s="76" t="str">
        <x:v>FCCL</x:v>
      </x:c>
      <x:c r="C1615" s="76" t="str">
        <x:v>FY2025</x:v>
      </x:c>
      <x:c r="D1615" s="76" t="str">
        <x:v>Income tax</x:v>
      </x:c>
      <x:c r="E1615" s="170" t="n">
        <x:v>-8199318</x:v>
      </x:c>
      <x:c r="F1615" s="170" t="n">
        <x:v>-8199318</x:v>
      </x:c>
      <x:c r="G1615" s="170" t="str">
        <x:v>Rs '000</x:v>
      </x:c>
      <x:c r="H1615" s="170" t="n">
        <x:f>F1615/1000</x:f>
        <x:v>-8199.318</x:v>
      </x:c>
      <x:c r="I1615" s="170" t="n">
        <x:f>FCCL!H98</x:f>
        <x:v>-8199.318</x:v>
      </x:c>
      <x:c r="J1615" s="170" t="n">
        <x:f>H1615-I1615</x:f>
        <x:v>0</x:v>
      </x:c>
      <x:c r="K1615" s="76" t="str">
        <x:v>FCCL-Annual-Report-2025.pdf</x:v>
      </x:c>
      <x:c r="L1615" s="76" t="n">
        <x:v>246</x:v>
      </x:c>
      <x:c r="M1615" s="76" t="str">
        <x:v>Current year</x:v>
      </x:c>
      <x:c r="N1615" s="99" t="str">
        <x:v>Printed amount independently located</x:v>
      </x:c>
      <x:c r="O1615" s="99" t="str">
        <x:v>Exact source amount found; audited year/current-comparative column recorded. Accounting subtotal tests performed separately.</x:v>
      </x:c>
      <x:c r="P1615" s="99" t="str">
        <x:v>and final tax  21,525,520  15,354,954 
Final tax – levy  36 –   (55,223)
Profit before income tax   21,525,520  15,299,731 
Income tax expense  37 (8,199,318) (7,076,615)
Profit for the year   13,326,202  8,223,116 
  Rupees Rupees
Earnings per share – basic and diluted  38 5.43  3.35 
The annexed notes 1 to 47 form an integral</x:v>
      </x:c>
    </x:row>
    <x:row r="1616" ht="82" customHeight="1">
      <x:c r="A1616" s="168" t="str">
        <x:v>FCCL|pr_gp|2021</x:v>
      </x:c>
      <x:c r="B1616" s="168" t="str">
        <x:v>FCCL</x:v>
      </x:c>
      <x:c r="C1616" s="168" t="str">
        <x:v>FY2021</x:v>
      </x:c>
      <x:c r="D1616" s="168" t="str">
        <x:v>Printed gross profit</x:v>
      </x:c>
      <x:c r="E1616" s="169" t="n">
        <x:v>6064405</x:v>
      </x:c>
      <x:c r="F1616" s="169" t="n">
        <x:v>6064405</x:v>
      </x:c>
      <x:c r="G1616" s="169" t="str">
        <x:v>Rs '000</x:v>
      </x:c>
      <x:c r="H1616" s="169" t="n">
        <x:f>F1616/1000</x:f>
        <x:v>6064.405</x:v>
      </x:c>
      <x:c r="I1616" s="169" t="n">
        <x:f>FCCL!D100</x:f>
        <x:v>6064.405</x:v>
      </x:c>
      <x:c r="J1616" s="169" t="n">
        <x:f>H1616-I1616</x:f>
        <x:v>0</x:v>
      </x:c>
      <x:c r="K1616" s="168" t="str">
        <x:v>FCCL-Annual-Report-2022.pdf</x:v>
      </x:c>
      <x:c r="L1616" s="168" t="n">
        <x:v>188</x:v>
      </x:c>
      <x:c r="M1616" s="168" t="str">
        <x:v>Comparative</x:v>
      </x:c>
      <x:c r="N1616" s="171" t="str">
        <x:v>Printed amount independently located</x:v>
      </x:c>
      <x:c r="O1616" s="171" t="str">
        <x:v>Exact source amount found; audited year/current-comparative column recorded. Accounting subtotal tests performed separately.</x:v>
      </x:c>
      <x:c r="P1616" s="171" t="str">
        <x:v>LOSS
2022 2021
Note Rupees'000 Rupees'000
Revenue - net 31 54,243,118 24,271,285 
Cost of sales 32 (39,843,851) (18,206,880)
Gross profit 14,399,267 6,064,405 
Other income 33 230,695 81,710 
Selling and distribution expenses 34 (539,014) (189,537)
Administrative expenses 35 (1,299,439) (524,709)
Other expenses 36 (808,964) (377,946)
Op</x:v>
      </x:c>
    </x:row>
    <x:row r="1617" ht="82" customHeight="1">
      <x:c r="A1617" s="76" t="str">
        <x:v>FCCL|pr_gp|2022</x:v>
      </x:c>
      <x:c r="B1617" s="76" t="str">
        <x:v>FCCL</x:v>
      </x:c>
      <x:c r="C1617" s="76" t="str">
        <x:v>FY2022</x:v>
      </x:c>
      <x:c r="D1617" s="76" t="str">
        <x:v>Printed gross profit</x:v>
      </x:c>
      <x:c r="E1617" s="170" t="n">
        <x:v>15463576</x:v>
      </x:c>
      <x:c r="F1617" s="170" t="n">
        <x:v>15463576</x:v>
      </x:c>
      <x:c r="G1617" s="170" t="str">
        <x:v>Rs '000</x:v>
      </x:c>
      <x:c r="H1617" s="170" t="n">
        <x:f>F1617/1000</x:f>
        <x:v>15463.576</x:v>
      </x:c>
      <x:c r="I1617" s="170" t="n">
        <x:f>FCCL!E100</x:f>
        <x:v>15463.576</x:v>
      </x:c>
      <x:c r="J1617" s="170" t="n">
        <x:f>H1617-I1617</x:f>
        <x:v>0</x:v>
      </x:c>
      <x:c r="K1617" s="76" t="str">
        <x:v>FCCL-Annual-Report-2023.pdf</x:v>
      </x:c>
      <x:c r="L1617" s="76" t="n">
        <x:v>210</x:v>
      </x:c>
      <x:c r="M1617" s="76" t="str">
        <x:v>Comparative</x:v>
      </x:c>
      <x:c r="N1617" s="99" t="str">
        <x:v>Printed amount independently located</x:v>
      </x:c>
      <x:c r="O1617" s="99" t="str">
        <x:v>Exact source amount found; audited year/current-comparative column recorded. Accounting subtotal tests performed separately.</x:v>
      </x:c>
      <x:c r="P1617" s="99" t="str">
        <x:v>2023
2023 2022
Note Rupees’000 Rupees’000
Revenue - net 28 68,069,282 54,243,118 
Cost of sales 29 (47,650,809) (38,779,542)
Gross profit 20,418,473 15,463,576 
Other income 30 436,173 230,695 
Selling and distribution expenses 31 (2,705,263) (1,603,323)
Administrative expenses 32 (1,381,633) (1,299,439)
Other expenses 33 (750,078) (808,</x:v>
      </x:c>
    </x:row>
    <x:row r="1618" ht="82" customHeight="1">
      <x:c r="A1618" s="168" t="str">
        <x:v>FCCL|pr_gp|2023</x:v>
      </x:c>
      <x:c r="B1618" s="168" t="str">
        <x:v>FCCL</x:v>
      </x:c>
      <x:c r="C1618" s="168" t="str">
        <x:v>FY2023</x:v>
      </x:c>
      <x:c r="D1618" s="168" t="str">
        <x:v>Printed gross profit</x:v>
      </x:c>
      <x:c r="E1618" s="169" t="n">
        <x:v>20418473</x:v>
      </x:c>
      <x:c r="F1618" s="169" t="n">
        <x:v>20418473</x:v>
      </x:c>
      <x:c r="G1618" s="169" t="str">
        <x:v>Rs '000</x:v>
      </x:c>
      <x:c r="H1618" s="169" t="n">
        <x:f>F1618/1000</x:f>
        <x:v>20418.473</x:v>
      </x:c>
      <x:c r="I1618" s="169" t="n">
        <x:f>FCCL!F100</x:f>
        <x:v>20418.473</x:v>
      </x:c>
      <x:c r="J1618" s="169" t="n">
        <x:f>H1618-I1618</x:f>
        <x:v>0</x:v>
      </x:c>
      <x:c r="K1618" s="168" t="str">
        <x:v>FCCL-Annual-Report-2024.pdf</x:v>
      </x:c>
      <x:c r="L1618" s="168" t="n">
        <x:v>192</x:v>
      </x:c>
      <x:c r="M1618" s="168" t="str">
        <x:v>Comparative</x:v>
      </x:c>
      <x:c r="N1618" s="171" t="str">
        <x:v>Printed amount independently located</x:v>
      </x:c>
      <x:c r="O1618" s="171" t="str">
        <x:v>Exact source amount found; audited year/current-comparative column recorded. Accounting subtotal tests performed separately.</x:v>
      </x:c>
      <x:c r="P1618" s="171" t="str">
        <x:v>ote 2024 2023
  Rupees’000 Rupees’000
Revenue - net 27 80,026,226  68,069,282 
Cost of sales 28 (54,345,821) (47,650,809)
Gross profit  25,680,405  20,418,473 
Other income 29 540,373  436,173 
Selling and distribution expenses 30 (3,285,923) (2,705,263)
Administrative expenses 31 (1,516,046) (1,381,633)
Other expenses 32 (826,875) (7</x:v>
      </x:c>
    </x:row>
    <x:row r="1619" ht="82" customHeight="1">
      <x:c r="A1619" s="76" t="str">
        <x:v>FCCL|pr_gp|2024</x:v>
      </x:c>
      <x:c r="B1619" s="76" t="str">
        <x:v>FCCL</x:v>
      </x:c>
      <x:c r="C1619" s="76" t="str">
        <x:v>FY2024</x:v>
      </x:c>
      <x:c r="D1619" s="76" t="str">
        <x:v>Printed gross profit</x:v>
      </x:c>
      <x:c r="E1619" s="170" t="n">
        <x:v>25680405</x:v>
      </x:c>
      <x:c r="F1619" s="170" t="n">
        <x:v>25680405</x:v>
      </x:c>
      <x:c r="G1619" s="170" t="str">
        <x:v>Rs '000</x:v>
      </x:c>
      <x:c r="H1619" s="170" t="n">
        <x:f>F1619/1000</x:f>
        <x:v>25680.405</x:v>
      </x:c>
      <x:c r="I1619" s="170" t="n">
        <x:f>FCCL!G100</x:f>
        <x:v>25680.405</x:v>
      </x:c>
      <x:c r="J1619" s="170" t="n">
        <x:f>H1619-I1619</x:f>
        <x:v>0</x:v>
      </x:c>
      <x:c r="K1619" s="76" t="str">
        <x:v>FCCL-Annual-Report-2025.pdf</x:v>
      </x:c>
      <x:c r="L1619" s="76" t="n">
        <x:v>246</x:v>
      </x:c>
      <x:c r="M1619" s="76" t="str">
        <x:v>Comparative</x:v>
      </x:c>
      <x:c r="N1619" s="99" t="str">
        <x:v>Printed amount independently located</x:v>
      </x:c>
      <x:c r="O1619" s="99" t="str">
        <x:v>Exact source amount found; audited year/current-comparative column recorded. Accounting subtotal tests performed separately.</x:v>
      </x:c>
      <x:c r="P1619" s="99" t="str">
        <x:v>ote 2025 2024
  Rupees’000 Rupees’000
Revenue – net 28 88,956,328  80,026,226 
Cost of sales 29 (57,384,978) (54,345,821)
Gross profit  31,571,350  25,680,405 
Other income 30 760,772  540,373 
Selling and distribution expenses 31 (2,935,139) (3,285,923)
Administrative expenses 32 (1,688,886) (1,516,046)
Other expenses 33 (1,479,276)</x:v>
      </x:c>
    </x:row>
    <x:row r="1620" ht="82" customHeight="1">
      <x:c r="A1620" s="168" t="str">
        <x:v>FCCL|pr_gp|2025</x:v>
      </x:c>
      <x:c r="B1620" s="168" t="str">
        <x:v>FCCL</x:v>
      </x:c>
      <x:c r="C1620" s="168" t="str">
        <x:v>FY2025</x:v>
      </x:c>
      <x:c r="D1620" s="168" t="str">
        <x:v>Printed gross profit</x:v>
      </x:c>
      <x:c r="E1620" s="169" t="n">
        <x:v>31571350</x:v>
      </x:c>
      <x:c r="F1620" s="169" t="n">
        <x:v>31571350</x:v>
      </x:c>
      <x:c r="G1620" s="169" t="str">
        <x:v>Rs '000</x:v>
      </x:c>
      <x:c r="H1620" s="169" t="n">
        <x:f>F1620/1000</x:f>
        <x:v>31571.35</x:v>
      </x:c>
      <x:c r="I1620" s="169" t="n">
        <x:f>FCCL!H100</x:f>
        <x:v>31571.35</x:v>
      </x:c>
      <x:c r="J1620" s="169" t="n">
        <x:f>H1620-I1620</x:f>
        <x:v>0</x:v>
      </x:c>
      <x:c r="K1620" s="168" t="str">
        <x:v>FCCL-Annual-Report-2025.pdf</x:v>
      </x:c>
      <x:c r="L1620" s="168" t="n">
        <x:v>246</x:v>
      </x:c>
      <x:c r="M1620" s="168" t="str">
        <x:v>Current year</x:v>
      </x:c>
      <x:c r="N1620" s="171" t="str">
        <x:v>Printed amount independently located</x:v>
      </x:c>
      <x:c r="O1620" s="171" t="str">
        <x:v>Exact source amount found; audited year/current-comparative column recorded. Accounting subtotal tests performed separately.</x:v>
      </x:c>
      <x:c r="P1620" s="171" t="str">
        <x:v>Note 2025 2024
  Rupees’000 Rupees’000
Revenue – net 28 88,956,328  80,026,226 
Cost of sales 29 (57,384,978) (54,345,821)
Gross profit  31,571,350  25,680,405 
Other income 30 760,772  540,373 
Selling and distribution expenses 31 (2,935,139) (3,285,923)
Administrative expenses 32 (1,688,886) (1,516,046)
Other expenses 33</x:v>
      </x:c>
    </x:row>
    <x:row r="1621" ht="82" customHeight="1">
      <x:c r="A1621" s="76" t="str">
        <x:v>FCCL|pr_pbt|2021</x:v>
      </x:c>
      <x:c r="B1621" s="76" t="str">
        <x:v>FCCL</x:v>
      </x:c>
      <x:c r="C1621" s="76" t="str">
        <x:v>FY2021</x:v>
      </x:c>
      <x:c r="D1621" s="76" t="str">
        <x:v>Printed profit before levies and income tax</x:v>
      </x:c>
      <x:c r="E1621" s="170" t="n">
        <x:v>5107692</x:v>
      </x:c>
      <x:c r="F1621" s="170" t="n">
        <x:v>5107692</x:v>
      </x:c>
      <x:c r="G1621" s="170" t="str">
        <x:v>Rs '000</x:v>
      </x:c>
      <x:c r="H1621" s="170" t="n">
        <x:f>F1621/1000</x:f>
        <x:v>5107.692</x:v>
      </x:c>
      <x:c r="I1621" s="170" t="n">
        <x:f>FCCL!D101</x:f>
        <x:v>5107.692</x:v>
      </x:c>
      <x:c r="J1621" s="170" t="n">
        <x:f>H1621-I1621</x:f>
        <x:v>0</x:v>
      </x:c>
      <x:c r="K1621" s="76" t="str">
        <x:v>FCCL-Annual-Report-2022.pdf</x:v>
      </x:c>
      <x:c r="L1621" s="76" t="n">
        <x:v>188</x:v>
      </x:c>
      <x:c r="M1621" s="76" t="str">
        <x:v>Comparative</x:v>
      </x:c>
      <x:c r="N1621" s="99" t="str">
        <x:v>Printed amount independently located</x:v>
      </x:c>
      <x:c r="O1621" s="99" t="str">
        <x:v>Exact source amount found; audited year/current-comparative column recorded. Accounting subtotal tests performed separately.</x:v>
      </x:c>
      <x:c r="P1621" s="99" t="str">
        <x:v>ncome 38 745,852 160,543 
Net finance (cost)/ income (455,760) 50,920 
Share of profit of associate 21 1,308 2,849 
Profit before taxation 11,528,093 5,107,692 
Income tax expense 39 (4,415,553) (1,636,341)
Profit for the year 7,112,540 3,471,351 
Earnings per share - basic and diluted (Rupees) 40 3.26 2.52 
The annexed notes 1 to 49 for</x:v>
      </x:c>
    </x:row>
    <x:row r="1622" ht="82" customHeight="1">
      <x:c r="A1622" s="168" t="str">
        <x:v>FCCL|pr_pbt|2022</x:v>
      </x:c>
      <x:c r="B1622" s="168" t="str">
        <x:v>FCCL</x:v>
      </x:c>
      <x:c r="C1622" s="168" t="str">
        <x:v>FY2022</x:v>
      </x:c>
      <x:c r="D1622" s="168" t="str">
        <x:v>Printed profit before levies and income tax</x:v>
      </x:c>
      <x:c r="E1622" s="169" t="n">
        <x:v>11528093</x:v>
      </x:c>
      <x:c r="F1622" s="169" t="n">
        <x:v>11528093</x:v>
      </x:c>
      <x:c r="G1622" s="169" t="str">
        <x:v>Rs '000</x:v>
      </x:c>
      <x:c r="H1622" s="169" t="n">
        <x:f>F1622/1000</x:f>
        <x:v>11528.093</x:v>
      </x:c>
      <x:c r="I1622" s="169" t="n">
        <x:f>FCCL!E101</x:f>
        <x:v>11528.093</x:v>
      </x:c>
      <x:c r="J1622" s="169" t="n">
        <x:f>H1622-I1622</x:f>
        <x:v>0</x:v>
      </x:c>
      <x:c r="K1622" s="168" t="str">
        <x:v>FCCL-Annual-Report-2023.pdf</x:v>
      </x:c>
      <x:c r="L1622" s="168" t="n">
        <x:v>210</x:v>
      </x:c>
      <x:c r="M1622" s="168" t="str">
        <x:v>Comparative</x:v>
      </x:c>
      <x:c r="N1622" s="171" t="str">
        <x:v>Printed amount independently located</x:v>
      </x:c>
      <x:c r="O1622" s="171" t="str">
        <x:v>Exact source amount found; audited year/current-comparative column recorded. Accounting subtotal tests performed separately.</x:v>
      </x:c>
      <x:c r="P1622" s="171" t="str">
        <x:v>)
Finance income 35 527,702 745,852 
Net finance cost (3,117,563) (455,760)
Share of profit of associate  -  1,308 
Profit before taxation 12,900,109 11,528,093 
Income tax expense 36 (5,460,428) (4,415,553)
Profit for the year 7,439,681 7,112,540 
Earnings per share - basic and diluted (Rupees) 37 3.16 3.02 
The annexed notes 1 to 45 for</x:v>
      </x:c>
    </x:row>
    <x:row r="1623" ht="82" customHeight="1">
      <x:c r="A1623" s="76" t="str">
        <x:v>FCCL|pr_pbt|2023</x:v>
      </x:c>
      <x:c r="B1623" s="76" t="str">
        <x:v>FCCL</x:v>
      </x:c>
      <x:c r="C1623" s="76" t="str">
        <x:v>FY2023</x:v>
      </x:c>
      <x:c r="D1623" s="76" t="str">
        <x:v>Printed profit before levies and income tax</x:v>
      </x:c>
      <x:c r="E1623" s="170" t="n">
        <x:v>12900109</x:v>
      </x:c>
      <x:c r="F1623" s="170" t="n">
        <x:v>12900109</x:v>
      </x:c>
      <x:c r="G1623" s="170" t="str">
        <x:v>Rs '000</x:v>
      </x:c>
      <x:c r="H1623" s="170" t="n">
        <x:f>F1623/1000</x:f>
        <x:v>12900.109</x:v>
      </x:c>
      <x:c r="I1623" s="170" t="n">
        <x:f>FCCL!F101</x:f>
        <x:v>12900.109</x:v>
      </x:c>
      <x:c r="J1623" s="170" t="n">
        <x:f>H1623-I1623</x:f>
        <x:v>0</x:v>
      </x:c>
      <x:c r="K1623" s="76" t="str">
        <x:v>FCCL-Annual-Report-2024.pdf</x:v>
      </x:c>
      <x:c r="L1623" s="76" t="n">
        <x:v>192</x:v>
      </x:c>
      <x:c r="M1623" s="76" t="str">
        <x:v>Comparative</x:v>
      </x:c>
      <x:c r="N1623" s="99" t="str">
        <x:v>Printed amount independently located</x:v>
      </x:c>
      <x:c r="O1623" s="99" t="str">
        <x:v>Exact source amount found; audited year/current-comparative column recorded. Accounting subtotal tests performed separately.</x:v>
      </x:c>
      <x:c r="P1623" s="99" t="str">
        <x:v>36,298) (3,645,265)
Finance income 34 299,318  527,702 
Net finance cost  (5,236,980) (3,117,563)
Profit before income tax and final tax  15,354,954  12,900,109 
Final tax - levy  35 (55,223)  (45,660)
Profit before income tax   15,299,731  12,854,449 
Income tax expense  36 (7,076,615) (5,414,768)
Profit for the year   8,223,116  7,439</x:v>
      </x:c>
    </x:row>
    <x:row r="1624" ht="82" customHeight="1">
      <x:c r="A1624" s="168" t="str">
        <x:v>FCCL|pr_pbt|2024</x:v>
      </x:c>
      <x:c r="B1624" s="168" t="str">
        <x:v>FCCL</x:v>
      </x:c>
      <x:c r="C1624" s="168" t="str">
        <x:v>FY2024</x:v>
      </x:c>
      <x:c r="D1624" s="168" t="str">
        <x:v>Printed profit before levies and income tax</x:v>
      </x:c>
      <x:c r="E1624" s="169" t="n">
        <x:v>15354954</x:v>
      </x:c>
      <x:c r="F1624" s="169" t="n">
        <x:v>15354954</x:v>
      </x:c>
      <x:c r="G1624" s="169" t="str">
        <x:v>Rs '000</x:v>
      </x:c>
      <x:c r="H1624" s="169" t="n">
        <x:f>F1624/1000</x:f>
        <x:v>15354.954</x:v>
      </x:c>
      <x:c r="I1624" s="169" t="n">
        <x:f>FCCL!G101</x:f>
        <x:v>15354.954</x:v>
      </x:c>
      <x:c r="J1624" s="169" t="n">
        <x:f>H1624-I1624</x:f>
        <x:v>0</x:v>
      </x:c>
      <x:c r="K1624" s="168" t="str">
        <x:v>FCCL-Annual-Report-2025.pdf</x:v>
      </x:c>
      <x:c r="L1624" s="168" t="n">
        <x:v>246</x:v>
      </x:c>
      <x:c r="M1624" s="168" t="str">
        <x:v>Comparative</x:v>
      </x:c>
      <x:c r="N1624" s="171" t="str">
        <x:v>Printed amount independently located</x:v>
      </x:c>
      <x:c r="O1624" s="171" t="str">
        <x:v>Exact source amount found; audited year/current-comparative column recorded. Accounting subtotal tests performed separately.</x:v>
      </x:c>
      <x:c r="P1624" s="171" t="str">
        <x:v>,132) (5,536,298)
Finance income 35 1,068,831  299,318 
Net finance cost  (4,703,301) (5,236,980)
Profit before income tax and final tax  21,525,520  15,354,954 
Final tax – levy  36 –   (55,223)
Profit before income tax   21,525,520  15,299,731 
Income tax expense  37 (8,199,318) (7,076,615)
Profit for the year   13,326,202  8,223,116</x:v>
      </x:c>
    </x:row>
    <x:row r="1625" ht="82" customHeight="1">
      <x:c r="A1625" s="76" t="str">
        <x:v>FCCL|pr_pbt|2025</x:v>
      </x:c>
      <x:c r="B1625" s="76" t="str">
        <x:v>FCCL</x:v>
      </x:c>
      <x:c r="C1625" s="76" t="str">
        <x:v>FY2025</x:v>
      </x:c>
      <x:c r="D1625" s="76" t="str">
        <x:v>Printed profit before levies and income tax</x:v>
      </x:c>
      <x:c r="E1625" s="170" t="n">
        <x:v>21525520</x:v>
      </x:c>
      <x:c r="F1625" s="170" t="n">
        <x:v>21525520</x:v>
      </x:c>
      <x:c r="G1625" s="170" t="str">
        <x:v>Rs '000</x:v>
      </x:c>
      <x:c r="H1625" s="170" t="n">
        <x:f>F1625/1000</x:f>
        <x:v>21525.52</x:v>
      </x:c>
      <x:c r="I1625" s="170" t="n">
        <x:f>FCCL!H101</x:f>
        <x:v>21525.52</x:v>
      </x:c>
      <x:c r="J1625" s="170" t="n">
        <x:f>H1625-I1625</x:f>
        <x:v>0</x:v>
      </x:c>
      <x:c r="K1625" s="76" t="str">
        <x:v>FCCL-Annual-Report-2025.pdf</x:v>
      </x:c>
      <x:c r="L1625" s="76" t="n">
        <x:v>246</x:v>
      </x:c>
      <x:c r="M1625" s="76" t="str">
        <x:v>Current year</x:v>
      </x:c>
      <x:c r="N1625" s="99" t="str">
        <x:v>Printed amount independently located</x:v>
      </x:c>
      <x:c r="O1625" s="99" t="str">
        <x:v>Exact source amount found; audited year/current-comparative column recorded. Accounting subtotal tests performed separately.</x:v>
      </x:c>
      <x:c r="P1625" s="99" t="str">
        <x:v>st 34 (5,772,132) (5,536,298)
Finance income 35 1,068,831  299,318 
Net finance cost  (4,703,301) (5,236,980)
Profit before income tax and final tax  21,525,520  15,354,954 
Final tax – levy  36 –   (55,223)
Profit before income tax   21,525,520  15,299,731 
Income tax expense  37 (8,199,318) (7,076,615)
Profit for the year   13,326,202</x:v>
      </x:c>
    </x:row>
    <x:row r="1626" ht="82" customHeight="1">
      <x:c r="A1626" s="168" t="str">
        <x:v>FCCL|pr_pat|2021</x:v>
      </x:c>
      <x:c r="B1626" s="168" t="str">
        <x:v>FCCL</x:v>
      </x:c>
      <x:c r="C1626" s="168" t="str">
        <x:v>FY2021</x:v>
      </x:c>
      <x:c r="D1626" s="168" t="str">
        <x:v>Printed profit after tax</x:v>
      </x:c>
      <x:c r="E1626" s="169" t="n">
        <x:v>3471351</x:v>
      </x:c>
      <x:c r="F1626" s="169" t="n">
        <x:v>3471351</x:v>
      </x:c>
      <x:c r="G1626" s="169" t="str">
        <x:v>Rs '000</x:v>
      </x:c>
      <x:c r="H1626" s="169" t="n">
        <x:f>F1626/1000</x:f>
        <x:v>3471.351</x:v>
      </x:c>
      <x:c r="I1626" s="169" t="n">
        <x:f>FCCL!D102</x:f>
        <x:v>3471.351</x:v>
      </x:c>
      <x:c r="J1626" s="169" t="n">
        <x:f>H1626-I1626</x:f>
        <x:v>0</x:v>
      </x:c>
      <x:c r="K1626" s="168" t="str">
        <x:v>FCCL-Annual-Report-2022.pdf</x:v>
      </x:c>
      <x:c r="L1626" s="168" t="n">
        <x:v>188</x:v>
      </x:c>
      <x:c r="M1626" s="168" t="str">
        <x:v>Comparative</x:v>
      </x:c>
      <x:c r="N1626" s="171" t="str">
        <x:v>Printed amount independently located</x:v>
      </x:c>
      <x:c r="O1626" s="171" t="str">
        <x:v>Exact source amount found; audited year/current-comparative column recorded. Accounting subtotal tests performed separately.</x:v>
      </x:c>
      <x:c r="P1626" s="171" t="str">
        <x:v>of associate 21 1,308 2,849 
Profit before taxation 11,528,093 5,107,692 
Income tax expense 39 (4,415,553) (1,636,341)
Profit for the year 7,112,540 3,471,351 
Earnings per share - basic and diluted (Rupees) 40 3.26 2.52 
The annexed notes 1 to 49 form an integral part of these financial statements.
CHIEF EXECUTIVE OFFICER CHIEF FINANCI</x:v>
      </x:c>
    </x:row>
    <x:row r="1627" ht="82" customHeight="1">
      <x:c r="A1627" s="76" t="str">
        <x:v>FCCL|pr_pat|2022</x:v>
      </x:c>
      <x:c r="B1627" s="76" t="str">
        <x:v>FCCL</x:v>
      </x:c>
      <x:c r="C1627" s="76" t="str">
        <x:v>FY2022</x:v>
      </x:c>
      <x:c r="D1627" s="76" t="str">
        <x:v>Printed profit after tax</x:v>
      </x:c>
      <x:c r="E1627" s="170" t="n">
        <x:v>7112540</x:v>
      </x:c>
      <x:c r="F1627" s="170" t="n">
        <x:v>7112540</x:v>
      </x:c>
      <x:c r="G1627" s="170" t="str">
        <x:v>Rs '000</x:v>
      </x:c>
      <x:c r="H1627" s="170" t="n">
        <x:f>F1627/1000</x:f>
        <x:v>7112.54</x:v>
      </x:c>
      <x:c r="I1627" s="170" t="n">
        <x:f>FCCL!E102</x:f>
        <x:v>7112.54</x:v>
      </x:c>
      <x:c r="J1627" s="170" t="n">
        <x:f>H1627-I1627</x:f>
        <x:v>0</x:v>
      </x:c>
      <x:c r="K1627" s="76" t="str">
        <x:v>FCCL-Annual-Report-2023.pdf</x:v>
      </x:c>
      <x:c r="L1627" s="76" t="n">
        <x:v>210</x:v>
      </x:c>
      <x:c r="M1627" s="76" t="str">
        <x:v>Comparative</x:v>
      </x:c>
      <x:c r="N1627" s="99" t="str">
        <x:v>Printed amount independently located</x:v>
      </x:c>
      <x:c r="O1627" s="99" t="str">
        <x:v>Exact source amount found; audited year/current-comparative column recorded. Accounting subtotal tests performed separately.</x:v>
      </x:c>
      <x:c r="P1627" s="99" t="str">
        <x:v>fit of associate  -  1,308 
Profit before taxation 12,900,109 11,528,093 
Income tax expense 36 (5,460,428) (4,415,553)
Profit for the year 7,439,681 7,112,540 
Earnings per share - basic and diluted (Rupees) 37 3.16 3.02 
The annexed notes 1 to 45 form an integral part of these financial statements.
CHIEF EXECUTIVE OFFICER DIRECTOR CHIE</x:v>
      </x:c>
    </x:row>
    <x:row r="1628" ht="82" customHeight="1">
      <x:c r="A1628" s="168" t="str">
        <x:v>FCCL|pr_pat|2023</x:v>
      </x:c>
      <x:c r="B1628" s="168" t="str">
        <x:v>FCCL</x:v>
      </x:c>
      <x:c r="C1628" s="168" t="str">
        <x:v>FY2023</x:v>
      </x:c>
      <x:c r="D1628" s="168" t="str">
        <x:v>Printed profit after tax</x:v>
      </x:c>
      <x:c r="E1628" s="169" t="n">
        <x:v>7439681</x:v>
      </x:c>
      <x:c r="F1628" s="169" t="n">
        <x:v>7439681</x:v>
      </x:c>
      <x:c r="G1628" s="169" t="str">
        <x:v>Rs '000</x:v>
      </x:c>
      <x:c r="H1628" s="169" t="n">
        <x:f>F1628/1000</x:f>
        <x:v>7439.681</x:v>
      </x:c>
      <x:c r="I1628" s="169" t="n">
        <x:f>FCCL!F102</x:f>
        <x:v>7439.681</x:v>
      </x:c>
      <x:c r="J1628" s="169" t="n">
        <x:f>H1628-I1628</x:f>
        <x:v>0</x:v>
      </x:c>
      <x:c r="K1628" s="168" t="str">
        <x:v>FCCL-Annual-Report-2024.pdf</x:v>
      </x:c>
      <x:c r="L1628" s="168" t="n">
        <x:v>192</x:v>
      </x:c>
      <x:c r="M1628" s="168" t="str">
        <x:v>Comparative</x:v>
      </x:c>
      <x:c r="N1628" s="171" t="str">
        <x:v>Printed amount independently located</x:v>
      </x:c>
      <x:c r="O1628" s="171" t="str">
        <x:v>Exact source amount found; audited year/current-comparative column recorded. Accounting subtotal tests performed separately.</x:v>
      </x:c>
      <x:c r="P1628" s="171" t="str">
        <x:v>5,223)  (45,660)
Profit before income tax   15,299,731  12,854,449 
Income tax expense  36 (7,076,615) (5,414,768)
Profit for the year   8,223,116  7,439,681 
  Rupees Rupees
Earnings per share - basic and diluted  37 3.35  3.16 
The annexed notes 1 to 45 form an integral part of these financial statements.
STATEMENT OF PROFIT</x:v>
      </x:c>
    </x:row>
    <x:row r="1629" ht="82" customHeight="1">
      <x:c r="A1629" s="76" t="str">
        <x:v>FCCL|pr_pat|2024</x:v>
      </x:c>
      <x:c r="B1629" s="76" t="str">
        <x:v>FCCL</x:v>
      </x:c>
      <x:c r="C1629" s="76" t="str">
        <x:v>FY2024</x:v>
      </x:c>
      <x:c r="D1629" s="76" t="str">
        <x:v>Printed profit after tax</x:v>
      </x:c>
      <x:c r="E1629" s="170" t="n">
        <x:v>8223116</x:v>
      </x:c>
      <x:c r="F1629" s="170" t="n">
        <x:v>8223116</x:v>
      </x:c>
      <x:c r="G1629" s="170" t="str">
        <x:v>Rs '000</x:v>
      </x:c>
      <x:c r="H1629" s="170" t="n">
        <x:f>F1629/1000</x:f>
        <x:v>8223.116</x:v>
      </x:c>
      <x:c r="I1629" s="170" t="n">
        <x:f>FCCL!G102</x:f>
        <x:v>8223.116</x:v>
      </x:c>
      <x:c r="J1629" s="170" t="n">
        <x:f>H1629-I1629</x:f>
        <x:v>0</x:v>
      </x:c>
      <x:c r="K1629" s="76" t="str">
        <x:v>FCCL-Annual-Report-2025.pdf</x:v>
      </x:c>
      <x:c r="L1629" s="76" t="n">
        <x:v>246</x:v>
      </x:c>
      <x:c r="M1629" s="76" t="str">
        <x:v>Comparative</x:v>
      </x:c>
      <x:c r="N1629" s="99" t="str">
        <x:v>Printed amount independently located</x:v>
      </x:c>
      <x:c r="O1629" s="99" t="str">
        <x:v>Exact source amount found; audited year/current-comparative column recorded. Accounting subtotal tests performed separately.</x:v>
      </x:c>
      <x:c r="P1629" s="99" t="str">
        <x:v>36 –   (55,223)
Profit before income tax   21,525,520  15,299,731 
Income tax expense  37 (8,199,318) (7,076,615)
Profit for the year   13,326,202  8,223,116 
  Rupees Rupees
Earnings per share – basic and diluted  38 5.43  3.35 
The annexed notes 1 to 47 form an integral part of these financial statements.
STATEMENT OF PROFIT</x:v>
      </x:c>
    </x:row>
    <x:row r="1630" ht="82" customHeight="1">
      <x:c r="A1630" s="168" t="str">
        <x:v>FCCL|pr_pat|2025</x:v>
      </x:c>
      <x:c r="B1630" s="168" t="str">
        <x:v>FCCL</x:v>
      </x:c>
      <x:c r="C1630" s="168" t="str">
        <x:v>FY2025</x:v>
      </x:c>
      <x:c r="D1630" s="168" t="str">
        <x:v>Printed profit after tax</x:v>
      </x:c>
      <x:c r="E1630" s="169" t="n">
        <x:v>13326202</x:v>
      </x:c>
      <x:c r="F1630" s="169" t="n">
        <x:v>13326202</x:v>
      </x:c>
      <x:c r="G1630" s="169" t="str">
        <x:v>Rs '000</x:v>
      </x:c>
      <x:c r="H1630" s="169" t="n">
        <x:f>F1630/1000</x:f>
        <x:v>13326.202</x:v>
      </x:c>
      <x:c r="I1630" s="169" t="n">
        <x:f>FCCL!H102</x:f>
        <x:v>13326.202</x:v>
      </x:c>
      <x:c r="J1630" s="169" t="n">
        <x:f>H1630-I1630</x:f>
        <x:v>0</x:v>
      </x:c>
      <x:c r="K1630" s="168" t="str">
        <x:v>FCCL-Annual-Report-2025.pdf</x:v>
      </x:c>
      <x:c r="L1630" s="168" t="n">
        <x:v>246</x:v>
      </x:c>
      <x:c r="M1630" s="168" t="str">
        <x:v>Current year</x:v>
      </x:c>
      <x:c r="N1630" s="171" t="str">
        <x:v>Printed amount independently located</x:v>
      </x:c>
      <x:c r="O1630" s="171" t="str">
        <x:v>Exact source amount found; audited year/current-comparative column recorded. Accounting subtotal tests performed separately.</x:v>
      </x:c>
      <x:c r="P1630" s="171" t="str">
        <x:v>tax – levy  36 –   (55,223)
Profit before income tax   21,525,520  15,299,731 
Income tax expense  37 (8,199,318) (7,076,615)
Profit for the year   13,326,202  8,223,116 
  Rupees Rupees
Earnings per share – basic and diluted  38 5.43  3.35 
The annexed notes 1 to 47 form an integral part of these financial statements.
STATEMEN</x:v>
      </x:c>
    </x:row>
    <x:row r="1631" ht="82" customHeight="1">
      <x:c r="A1631" s="76" t="str">
        <x:v>FCCL|fc_nonint|2021</x:v>
      </x:c>
      <x:c r="B1631" s="76" t="str">
        <x:v>FCCL</x:v>
      </x:c>
      <x:c r="C1631" s="76" t="str">
        <x:v>FY2021</x:v>
      </x:c>
      <x:c r="D1631" s="76" t="str">
        <x:v>Non-interest finance costs (bank charges, commission, exchange loss) (note)</x:v>
      </x:c>
      <x:c r="E1631" s="170" t="n">
        <x:v>17511</x:v>
      </x:c>
      <x:c r="F1631" s="170" t="n">
        <x:v>17511</x:v>
      </x:c>
      <x:c r="G1631" s="170" t="str">
        <x:v>Rs '000</x:v>
      </x:c>
      <x:c r="H1631" s="170" t="n">
        <x:f>F1631/1000</x:f>
        <x:v>17.511</x:v>
      </x:c>
      <x:c r="I1631" s="170" t="n">
        <x:f>FCCL!D105</x:f>
        <x:v>17.511</x:v>
      </x:c>
      <x:c r="J1631" s="170" t="n">
        <x:f>H1631-I1631</x:f>
        <x:v>0</x:v>
      </x:c>
      <x:c r="K1631" s="76" t="str">
        <x:v>FCCL-Annual-Report-2022.pdf</x:v>
      </x:c>
      <x:c r="L1631" s="76" t="n">
        <x:v>229</x:v>
      </x:c>
      <x:c r="M1631" s="76" t="str">
        <x:v>Comparative</x:v>
      </x:c>
      <x:c r="N1631" s="99" t="str">
        <x:v>Printed amount independently located</x:v>
      </x:c>
      <x:c r="O1631" s="99" t="str">
        <x:v>Signed non-interest finance charges separated from expensed interest; exchange gains retain negative sign in this aggregation.</x:v>
      </x:c>
      <x:c r="P1631" s="99" t="str">
        <x:v>Exchange Loss - net 161,412 - | Bank charges and commission - Conventional banks 44,976 17,511</x:v>
      </x:c>
    </x:row>
    <x:row r="1632" ht="82" customHeight="1">
      <x:c r="A1632" s="168" t="str">
        <x:v>FCCL|fc_nonint|2022</x:v>
      </x:c>
      <x:c r="B1632" s="168" t="str">
        <x:v>FCCL</x:v>
      </x:c>
      <x:c r="C1632" s="168" t="str">
        <x:v>FY2022</x:v>
      </x:c>
      <x:c r="D1632" s="168" t="str">
        <x:v>Non-interest finance costs (bank charges, commission, exchange loss) (note)</x:v>
      </x:c>
      <x:c r="E1632" s="169" t="n">
        <x:v>206388</x:v>
      </x:c>
      <x:c r="F1632" s="169" t="n">
        <x:v>206388</x:v>
      </x:c>
      <x:c r="G1632" s="169" t="str">
        <x:v>Rs '000</x:v>
      </x:c>
      <x:c r="H1632" s="169" t="n">
        <x:f>F1632/1000</x:f>
        <x:v>206.388</x:v>
      </x:c>
      <x:c r="I1632" s="169" t="n">
        <x:f>FCCL!E105</x:f>
        <x:v>206.388</x:v>
      </x:c>
      <x:c r="J1632" s="169" t="n">
        <x:f>H1632-I1632</x:f>
        <x:v>0</x:v>
      </x:c>
      <x:c r="K1632" s="168" t="str">
        <x:v>FCCL-Annual-Report-2023.pdf</x:v>
      </x:c>
      <x:c r="L1632" s="168" t="n">
        <x:v>250</x:v>
      </x:c>
      <x:c r="M1632" s="168" t="str">
        <x:v>Comparative</x:v>
      </x:c>
      <x:c r="N1632" s="171" t="str">
        <x:v>Aggregated audited components</x:v>
      </x:c>
      <x:c r="O1632" s="171" t="str">
        <x:v>Signed non-interest finance charges separated from expensed interest; exchange gains retain negative sign in this aggregation.</x:v>
      </x:c>
      <x:c r="P1632" s="171" t="str">
        <x:v>Exchange Loss - net  959,501  161,412 | Bank charges and commission - Conventional banks  60,954  44,976</x:v>
      </x:c>
    </x:row>
    <x:row r="1633" ht="82" customHeight="1">
      <x:c r="A1633" s="76" t="str">
        <x:v>FCCL|fc_nonint|2023</x:v>
      </x:c>
      <x:c r="B1633" s="76" t="str">
        <x:v>FCCL</x:v>
      </x:c>
      <x:c r="C1633" s="76" t="str">
        <x:v>FY2023</x:v>
      </x:c>
      <x:c r="D1633" s="76" t="str">
        <x:v>Non-interest finance costs (bank charges, commission, exchange loss) (note)</x:v>
      </x:c>
      <x:c r="E1633" s="170" t="n">
        <x:v>1020455</x:v>
      </x:c>
      <x:c r="F1633" s="170" t="n">
        <x:v>1020455</x:v>
      </x:c>
      <x:c r="G1633" s="170" t="str">
        <x:v>Rs '000</x:v>
      </x:c>
      <x:c r="H1633" s="170" t="n">
        <x:f>F1633/1000</x:f>
        <x:v>1020.455</x:v>
      </x:c>
      <x:c r="I1633" s="170" t="n">
        <x:f>FCCL!F105</x:f>
        <x:v>1020.455</x:v>
      </x:c>
      <x:c r="J1633" s="170" t="n">
        <x:f>H1633-I1633</x:f>
        <x:v>0</x:v>
      </x:c>
      <x:c r="K1633" s="76" t="str">
        <x:v>FCCL-Annual-Report-2024.pdf</x:v>
      </x:c>
      <x:c r="L1633" s="76" t="n">
        <x:v>228</x:v>
      </x:c>
      <x:c r="M1633" s="76" t="str">
        <x:v>Comparative</x:v>
      </x:c>
      <x:c r="N1633" s="99" t="str">
        <x:v>Aggregated audited components</x:v>
      </x:c>
      <x:c r="O1633" s="99" t="str">
        <x:v>Signed non-interest finance charges separated from expensed interest; exchange gains retain negative sign in this aggregation.</x:v>
      </x:c>
      <x:c r="P1633" s="99" t="str">
        <x:v>Exchange (gain)/loss - net   (43,576)  959,501 | Bank charges and commission - Conventional banks   56,137   60,954</x:v>
      </x:c>
    </x:row>
    <x:row r="1634" ht="82" customHeight="1">
      <x:c r="A1634" s="168" t="str">
        <x:v>FCCL|fc_nonint|2024</x:v>
      </x:c>
      <x:c r="B1634" s="168" t="str">
        <x:v>FCCL</x:v>
      </x:c>
      <x:c r="C1634" s="168" t="str">
        <x:v>FY2024</x:v>
      </x:c>
      <x:c r="D1634" s="168" t="str">
        <x:v>Non-interest finance costs (bank charges, commission, exchange loss) (note)</x:v>
      </x:c>
      <x:c r="E1634" s="169" t="n">
        <x:v>12561</x:v>
      </x:c>
      <x:c r="F1634" s="169" t="n">
        <x:v>12561</x:v>
      </x:c>
      <x:c r="G1634" s="169" t="str">
        <x:v>Rs '000</x:v>
      </x:c>
      <x:c r="H1634" s="169" t="n">
        <x:f>F1634/1000</x:f>
        <x:v>12.561</x:v>
      </x:c>
      <x:c r="I1634" s="169" t="n">
        <x:f>FCCL!G105</x:f>
        <x:v>12.561</x:v>
      </x:c>
      <x:c r="J1634" s="169" t="n">
        <x:f>H1634-I1634</x:f>
        <x:v>0</x:v>
      </x:c>
      <x:c r="K1634" s="168" t="str">
        <x:v>FCCL-Annual-Report-2025.pdf</x:v>
      </x:c>
      <x:c r="L1634" s="168" t="n">
        <x:v>283</x:v>
      </x:c>
      <x:c r="M1634" s="168" t="str">
        <x:v>Comparative</x:v>
      </x:c>
      <x:c r="N1634" s="171" t="str">
        <x:v>Aggregated audited components</x:v>
      </x:c>
      <x:c r="O1634" s="171" t="str">
        <x:v>Signed non-interest finance charges separated from expensed interest; exchange gains retain negative sign in this aggregation.</x:v>
      </x:c>
      <x:c r="P1634" s="171" t="str">
        <x:v>Exchange loss / (gain) – net   4,902   (43,576) | Bank charges and commission – Conventional banks   92,952   56,137</x:v>
      </x:c>
    </x:row>
    <x:row r="1635" ht="82" customHeight="1">
      <x:c r="A1635" s="76" t="str">
        <x:v>FCCL|fc_nonint|2025</x:v>
      </x:c>
      <x:c r="B1635" s="76" t="str">
        <x:v>FCCL</x:v>
      </x:c>
      <x:c r="C1635" s="76" t="str">
        <x:v>FY2025</x:v>
      </x:c>
      <x:c r="D1635" s="76" t="str">
        <x:v>Non-interest finance costs (bank charges, commission, exchange loss) (note)</x:v>
      </x:c>
      <x:c r="E1635" s="170" t="n">
        <x:v>97854</x:v>
      </x:c>
      <x:c r="F1635" s="170" t="n">
        <x:v>97854</x:v>
      </x:c>
      <x:c r="G1635" s="170" t="str">
        <x:v>Rs '000</x:v>
      </x:c>
      <x:c r="H1635" s="170" t="n">
        <x:f>F1635/1000</x:f>
        <x:v>97.854</x:v>
      </x:c>
      <x:c r="I1635" s="170" t="n">
        <x:f>FCCL!H105</x:f>
        <x:v>97.854</x:v>
      </x:c>
      <x:c r="J1635" s="170" t="n">
        <x:f>H1635-I1635</x:f>
        <x:v>0</x:v>
      </x:c>
      <x:c r="K1635" s="76" t="str">
        <x:v>FCCL-Annual-Report-2025.pdf</x:v>
      </x:c>
      <x:c r="L1635" s="76" t="n">
        <x:v>283</x:v>
      </x:c>
      <x:c r="M1635" s="76" t="str">
        <x:v>Current year</x:v>
      </x:c>
      <x:c r="N1635" s="99" t="str">
        <x:v>Aggregated audited components</x:v>
      </x:c>
      <x:c r="O1635" s="99" t="str">
        <x:v>Signed non-interest finance charges separated from expensed interest; exchange gains retain negative sign in this aggregation.</x:v>
      </x:c>
      <x:c r="P1635" s="99" t="str">
        <x:v>Exchange loss / (gain) – net   4,902   (43,576) | Bank charges and commission – Conventional banks   92,952   56,137</x:v>
      </x:c>
    </x:row>
    <x:row r="1636" ht="82" customHeight="1">
      <x:c r="A1636" s="168" t="str">
        <x:v>FCCL|da|2021</x:v>
      </x:c>
      <x:c r="B1636" s="168" t="str">
        <x:v>FCCL</x:v>
      </x:c>
      <x:c r="C1636" s="168" t="str">
        <x:v>FY2021</x:v>
      </x:c>
      <x:c r="D1636" s="168" t="str">
        <x:v>Depreciation and amortisation (cash flow reconciliation)</x:v>
      </x:c>
      <x:c r="E1636" s="169" t="n">
        <x:v>1599551</x:v>
      </x:c>
      <x:c r="F1636" s="169" t="n">
        <x:v>1599551</x:v>
      </x:c>
      <x:c r="G1636" s="169" t="str">
        <x:v>Rs '000</x:v>
      </x:c>
      <x:c r="H1636" s="169" t="n">
        <x:f>F1636/1000</x:f>
        <x:v>1599.551</x:v>
      </x:c>
      <x:c r="I1636" s="169" t="n">
        <x:f>FCCL!D107</x:f>
        <x:v>1599.551</x:v>
      </x:c>
      <x:c r="J1636" s="169" t="n">
        <x:f>H1636-I1636</x:f>
        <x:v>0</x:v>
      </x:c>
      <x:c r="K1636" s="168" t="str">
        <x:v>FCCL-Annual-Report-2022.pdf</x:v>
      </x:c>
      <x:c r="L1636" s="168" t="n">
        <x:v>190</x:v>
      </x:c>
      <x:c r="M1636" s="168" t="str">
        <x:v>Comparative</x:v>
      </x:c>
      <x:c r="N1636" s="171" t="str">
        <x:v>Aggregated audited components</x:v>
      </x:c>
      <x:c r="O1636" s="171" t="str">
        <x:v>Source-labelled component sum; statement controls and signed-unit conversion independently recomputed.</x:v>
      </x:c>
      <x:c r="P1636" s="171" t="str">
        <x:v>
STATEMENT OF CASH FLOWS
2022 2021
Note Rupees'000 Rupees'000
Cash flows from operating activities
Profit before tax 11,528,093 5,107,692 
Adjustments for:
Depreciation on property | Components: Depreciation on property, plant and; Depreciation on right of use asset; Amortization on intangibles</x:v>
      </x:c>
    </x:row>
    <x:row r="1637" ht="82" customHeight="1">
      <x:c r="A1637" s="76" t="str">
        <x:v>FCCL|da|2022</x:v>
      </x:c>
      <x:c r="B1637" s="76" t="str">
        <x:v>FCCL</x:v>
      </x:c>
      <x:c r="C1637" s="76" t="str">
        <x:v>FY2022</x:v>
      </x:c>
      <x:c r="D1637" s="76" t="str">
        <x:v>Depreciation and amortisation (cash flow reconciliation)</x:v>
      </x:c>
      <x:c r="E1637" s="170" t="n">
        <x:v>2950143</x:v>
      </x:c>
      <x:c r="F1637" s="170" t="n">
        <x:v>2950143</x:v>
      </x:c>
      <x:c r="G1637" s="170" t="str">
        <x:v>Rs '000</x:v>
      </x:c>
      <x:c r="H1637" s="170" t="n">
        <x:f>F1637/1000</x:f>
        <x:v>2950.143</x:v>
      </x:c>
      <x:c r="I1637" s="170" t="n">
        <x:f>FCCL!E107</x:f>
        <x:v>2950.143</x:v>
      </x:c>
      <x:c r="J1637" s="170" t="n">
        <x:f>H1637-I1637</x:f>
        <x:v>0</x:v>
      </x:c>
      <x:c r="K1637" s="76" t="str">
        <x:v>FCCL-Annual-Report-2023.pdf</x:v>
      </x:c>
      <x:c r="L1637" s="76" t="n">
        <x:v>212</x:v>
      </x:c>
      <x:c r="M1637" s="76" t="str">
        <x:v>Comparative</x:v>
      </x:c>
      <x:c r="N1637" s="99" t="str">
        <x:v>Aggregated audited components</x:v>
      </x:c>
      <x:c r="O1637" s="99" t="str">
        <x:v>Source-labelled component sum; statement controls and signed-unit conversion independently recomputed.</x:v>
      </x:c>
      <x:c r="P1637" s="99" t="str">
        <x:v>
FAUJI CEMENT COMPANY LIMITED
210
Fauji Cement Company Limited
Statement of Cash Flows
For the year ended June 30, 2023
2023 2022
Note Rupees’000 Rupees’000
Cash flows from operati | Components: Depreciation; Depreciation on right of use asset; Amortization on intangibles</x:v>
      </x:c>
    </x:row>
    <x:row r="1638" ht="82" customHeight="1">
      <x:c r="A1638" s="168" t="str">
        <x:v>FCCL|da|2023</x:v>
      </x:c>
      <x:c r="B1638" s="168" t="str">
        <x:v>FCCL</x:v>
      </x:c>
      <x:c r="C1638" s="168" t="str">
        <x:v>FY2023</x:v>
      </x:c>
      <x:c r="D1638" s="168" t="str">
        <x:v>Depreciation and amortisation (cash flow reconciliation)</x:v>
      </x:c>
      <x:c r="E1638" s="169" t="n">
        <x:v>3649886</x:v>
      </x:c>
      <x:c r="F1638" s="169" t="n">
        <x:v>3649886</x:v>
      </x:c>
      <x:c r="G1638" s="169" t="str">
        <x:v>Rs '000</x:v>
      </x:c>
      <x:c r="H1638" s="169" t="n">
        <x:f>F1638/1000</x:f>
        <x:v>3649.886</x:v>
      </x:c>
      <x:c r="I1638" s="169" t="n">
        <x:f>FCCL!F107</x:f>
        <x:v>3649.886</x:v>
      </x:c>
      <x:c r="J1638" s="169" t="n">
        <x:f>H1638-I1638</x:f>
        <x:v>0</x:v>
      </x:c>
      <x:c r="K1638" s="168" t="str">
        <x:v>FCCL-Annual-Report-2024.pdf</x:v>
      </x:c>
      <x:c r="L1638" s="168" t="n">
        <x:v>194</x:v>
      </x:c>
      <x:c r="M1638" s="168" t="str">
        <x:v>Comparative</x:v>
      </x:c>
      <x:c r="N1638" s="171" t="str">
        <x:v>Aggregated audited components</x:v>
      </x:c>
      <x:c r="O1638" s="171" t="str">
        <x:v>Source-labelled component sum; statement controls and signed-unit conversion independently recomputed.</x:v>
      </x:c>
      <x:c r="P1638" s="171" t="str">
        <x:v>
 Note 2024 2023
  Rupees’000 Rupees’000
Cash flows from operating activities 
 Profit before income tax and levy    15,354,954  12,900,109 
Adjustments for: 
 Depreciation on  | Components: Depreciation on property, plant and; Depreciation on right of use asset; Amortization on intangibles</x:v>
      </x:c>
    </x:row>
    <x:row r="1639" ht="82" customHeight="1">
      <x:c r="A1639" s="76" t="str">
        <x:v>FCCL|da|2024</x:v>
      </x:c>
      <x:c r="B1639" s="76" t="str">
        <x:v>FCCL</x:v>
      </x:c>
      <x:c r="C1639" s="76" t="str">
        <x:v>FY2024</x:v>
      </x:c>
      <x:c r="D1639" s="76" t="str">
        <x:v>Depreciation and amortisation (cash flow reconciliation)</x:v>
      </x:c>
      <x:c r="E1639" s="170" t="n">
        <x:v>4058051</x:v>
      </x:c>
      <x:c r="F1639" s="170" t="n">
        <x:v>4058051</x:v>
      </x:c>
      <x:c r="G1639" s="170" t="str">
        <x:v>Rs '000</x:v>
      </x:c>
      <x:c r="H1639" s="170" t="n">
        <x:f>F1639/1000</x:f>
        <x:v>4058.051</x:v>
      </x:c>
      <x:c r="I1639" s="170" t="n">
        <x:f>FCCL!G107</x:f>
        <x:v>4058.051</x:v>
      </x:c>
      <x:c r="J1639" s="170" t="n">
        <x:f>H1639-I1639</x:f>
        <x:v>0</x:v>
      </x:c>
      <x:c r="K1639" s="76" t="str">
        <x:v>FCCL-Annual-Report-2025.pdf</x:v>
      </x:c>
      <x:c r="L1639" s="76" t="n">
        <x:v>248</x:v>
      </x:c>
      <x:c r="M1639" s="76" t="str">
        <x:v>Comparative</x:v>
      </x:c>
      <x:c r="N1639" s="99" t="str">
        <x:v>Aggregated audited components</x:v>
      </x:c>
      <x:c r="O1639" s="99" t="str">
        <x:v>Source-labelled component sum; statement controls and signed-unit conversion independently recomputed.</x:v>
      </x:c>
      <x:c r="P1639" s="99" t="str">
        <x:v>
 Note 2025 2024
  Rupees’000 Rupees’000
Cash flows from operating activities 
 Profit before income tax and levy    21,525,520  15,354,954 
Adjustments for: 
 Provision for em | Components: Depreciation on property, plant and; Depreciation on right of use asset; Amortization on intangibles</x:v>
      </x:c>
    </x:row>
    <x:row r="1640" ht="82" customHeight="1">
      <x:c r="A1640" s="168" t="str">
        <x:v>FCCL|da|2025</x:v>
      </x:c>
      <x:c r="B1640" s="168" t="str">
        <x:v>FCCL</x:v>
      </x:c>
      <x:c r="C1640" s="168" t="str">
        <x:v>FY2025</x:v>
      </x:c>
      <x:c r="D1640" s="168" t="str">
        <x:v>Depreciation and amortisation (cash flow reconciliation)</x:v>
      </x:c>
      <x:c r="E1640" s="169" t="n">
        <x:v>4969739</x:v>
      </x:c>
      <x:c r="F1640" s="169" t="n">
        <x:v>4969739</x:v>
      </x:c>
      <x:c r="G1640" s="169" t="str">
        <x:v>Rs '000</x:v>
      </x:c>
      <x:c r="H1640" s="169" t="n">
        <x:f>F1640/1000</x:f>
        <x:v>4969.739</x:v>
      </x:c>
      <x:c r="I1640" s="169" t="n">
        <x:f>FCCL!H107</x:f>
        <x:v>4969.739</x:v>
      </x:c>
      <x:c r="J1640" s="169" t="n">
        <x:f>H1640-I1640</x:f>
        <x:v>0</x:v>
      </x:c>
      <x:c r="K1640" s="168" t="str">
        <x:v>FCCL-Annual-Report-2025.pdf</x:v>
      </x:c>
      <x:c r="L1640" s="168" t="n">
        <x:v>248</x:v>
      </x:c>
      <x:c r="M1640" s="168" t="str">
        <x:v>Current year</x:v>
      </x:c>
      <x:c r="N1640" s="171" t="str">
        <x:v>Aggregated audited components</x:v>
      </x:c>
      <x:c r="O1640" s="171" t="str">
        <x:v>Source-labelled component sum; statement controls and signed-unit conversion independently recomputed.</x:v>
      </x:c>
      <x:c r="P1640" s="171" t="str">
        <x:v>
 Note 2025 2024
  Rupees’000 Rupees’000
Cash flows from operating activities 
 Profit before income tax and levy    21,525,520  15,354,954 
Adjustments for: 
 Provision for em | Components: Depreciation on property, plant and; Depreciation on right of use asset; Amortization on intangibles</x:v>
      </x:c>
    </x:row>
    <x:row r="1641" ht="82" customHeight="1">
      <x:c r="A1641" s="76" t="str">
        <x:v>FCCL|cgo|2021</x:v>
      </x:c>
      <x:c r="B1641" s="76" t="str">
        <x:v>FCCL</x:v>
      </x:c>
      <x:c r="C1641" s="76" t="str">
        <x:v>FY2021</x:v>
      </x:c>
      <x:c r="D1641" s="76" t="str">
        <x:v>Cash generated from operations (before interest, tax and other items)</x:v>
      </x:c>
      <x:c r="E1641" s="170" t="n">
        <x:v>0</x:v>
      </x:c>
      <x:c r="F1641" s="170" t="n">
        <x:v>0</x:v>
      </x:c>
      <x:c r="G1641" s="170" t="str">
        <x:v>Rs '000</x:v>
      </x:c>
      <x:c r="H1641" s="170" t="n">
        <x:f>F1641/1000</x:f>
        <x:v>0</x:v>
      </x:c>
      <x:c r="I1641" s="170" t="n">
        <x:f>FCCL!D116</x:f>
        <x:v>0</x:v>
      </x:c>
      <x:c r="J1641" s="170" t="n">
        <x:f>H1641-I1641</x:f>
        <x:v>0</x:v>
      </x:c>
      <x:c r="K1641" s="76" t="str">
        <x:v>FCCL-Annual-Report-2022.pdf</x:v>
      </x:c>
      <x:c r="L1641" s="76" t="n">
        <x:v>190</x:v>
      </x:c>
      <x:c r="M1641" s="76" t="str">
        <x:v>Comparative</x:v>
      </x:c>
      <x:c r="N1641" s="99" t="str">
        <x:v>Zero / no separate line in audited presentation</x:v>
      </x:c>
      <x:c r="O1641" s="99" t="str">
        <x:v>Zero classification checked within the audited statement/note and reconstructed statement totals; absence of a separate line does not imply a missing replacement estimate.</x:v>
      </x:c>
      <x:c r="P1641" s="99" t="str">
        <x:v>
STATEMENT OF CASH FLOWS
2022 2021
Note Rupees'000 Rupees'000
Cash flows from operating activities
Profit before tax 11,528,093 5,107,692 
Adjustments | Cash generated from operations (before interest, tax and other items)</x:v>
      </x:c>
    </x:row>
    <x:row r="1642" ht="82" customHeight="1">
      <x:c r="A1642" s="168" t="str">
        <x:v>FCCL|cgo|2022</x:v>
      </x:c>
      <x:c r="B1642" s="168" t="str">
        <x:v>FCCL</x:v>
      </x:c>
      <x:c r="C1642" s="168" t="str">
        <x:v>FY2022</x:v>
      </x:c>
      <x:c r="D1642" s="168" t="str">
        <x:v>Cash generated from operations (before interest, tax and other items)</x:v>
      </x:c>
      <x:c r="E1642" s="169" t="n">
        <x:v>0</x:v>
      </x:c>
      <x:c r="F1642" s="169" t="n">
        <x:v>0</x:v>
      </x:c>
      <x:c r="G1642" s="169" t="str">
        <x:v>Rs '000</x:v>
      </x:c>
      <x:c r="H1642" s="169" t="n">
        <x:f>F1642/1000</x:f>
        <x:v>0</x:v>
      </x:c>
      <x:c r="I1642" s="169" t="n">
        <x:f>FCCL!E116</x:f>
        <x:v>0</x:v>
      </x:c>
      <x:c r="J1642" s="169" t="n">
        <x:f>H1642-I1642</x:f>
        <x:v>0</x:v>
      </x:c>
      <x:c r="K1642" s="168" t="str">
        <x:v>FCCL-Annual-Report-2023.pdf</x:v>
      </x:c>
      <x:c r="L1642" s="168" t="n">
        <x:v>212</x:v>
      </x:c>
      <x:c r="M1642" s="168" t="str">
        <x:v>Comparative</x:v>
      </x:c>
      <x:c r="N1642" s="171" t="str">
        <x:v>Zero / no separate line in audited presentation</x:v>
      </x:c>
      <x:c r="O1642" s="171" t="str">
        <x:v>Zero classification checked within the audited statement/note and reconstructed statement totals; absence of a separate line does not imply a missing replacement estimate.</x:v>
      </x:c>
      <x:c r="P1642" s="171" t="str">
        <x:v>
FAUJI CEMENT COMPANY LIMITED
210
Fauji Cement Company Limited
Statement of Cash Flows
For the year ended June 30, 2023
2023 2022
Note Rupees’000 Rupe | Cash generated from operations (before interest, tax and other items)</x:v>
      </x:c>
    </x:row>
    <x:row r="1643" ht="82" customHeight="1">
      <x:c r="A1643" s="76" t="str">
        <x:v>FCCL|cgo|2023</x:v>
      </x:c>
      <x:c r="B1643" s="76" t="str">
        <x:v>FCCL</x:v>
      </x:c>
      <x:c r="C1643" s="76" t="str">
        <x:v>FY2023</x:v>
      </x:c>
      <x:c r="D1643" s="76" t="str">
        <x:v>Cash generated from operations (before interest, tax and other items)</x:v>
      </x:c>
      <x:c r="E1643" s="170" t="n">
        <x:v>0</x:v>
      </x:c>
      <x:c r="F1643" s="170" t="n">
        <x:v>0</x:v>
      </x:c>
      <x:c r="G1643" s="170" t="str">
        <x:v>Rs '000</x:v>
      </x:c>
      <x:c r="H1643" s="170" t="n">
        <x:f>F1643/1000</x:f>
        <x:v>0</x:v>
      </x:c>
      <x:c r="I1643" s="170" t="n">
        <x:f>FCCL!F116</x:f>
        <x:v>0</x:v>
      </x:c>
      <x:c r="J1643" s="170" t="n">
        <x:f>H1643-I1643</x:f>
        <x:v>0</x:v>
      </x:c>
      <x:c r="K1643" s="76" t="str">
        <x:v>FCCL-Annual-Report-2024.pdf</x:v>
      </x:c>
      <x:c r="L1643" s="76" t="n">
        <x:v>194</x:v>
      </x:c>
      <x:c r="M1643" s="76" t="str">
        <x:v>Comparative</x:v>
      </x:c>
      <x:c r="N1643" s="99" t="str">
        <x:v>Zero / no separate line in audited presentation</x:v>
      </x:c>
      <x:c r="O1643" s="99" t="str">
        <x:v>Zero classification checked within the audited statement/note and reconstructed statement totals; absence of a separate line does not imply a missing replacement estimate.</x:v>
      </x:c>
      <x:c r="P1643" s="99" t="str">
        <x:v>
 Note 2024 2023
  Rupees’000 Rupees’000
Cash flows from operating activities 
 Profit before income tax and levy    15,354,954  12,900,109 
Adjus | Cash generated from operations (before interest, tax and other items)</x:v>
      </x:c>
    </x:row>
    <x:row r="1644" ht="82" customHeight="1">
      <x:c r="A1644" s="168" t="str">
        <x:v>FCCL|cgo|2024</x:v>
      </x:c>
      <x:c r="B1644" s="168" t="str">
        <x:v>FCCL</x:v>
      </x:c>
      <x:c r="C1644" s="168" t="str">
        <x:v>FY2024</x:v>
      </x:c>
      <x:c r="D1644" s="168" t="str">
        <x:v>Cash generated from operations (before interest, tax and other items)</x:v>
      </x:c>
      <x:c r="E1644" s="169" t="n">
        <x:v>0</x:v>
      </x:c>
      <x:c r="F1644" s="169" t="n">
        <x:v>0</x:v>
      </x:c>
      <x:c r="G1644" s="169" t="str">
        <x:v>Rs '000</x:v>
      </x:c>
      <x:c r="H1644" s="169" t="n">
        <x:f>F1644/1000</x:f>
        <x:v>0</x:v>
      </x:c>
      <x:c r="I1644" s="169" t="n">
        <x:f>FCCL!G116</x:f>
        <x:v>0</x:v>
      </x:c>
      <x:c r="J1644" s="169" t="n">
        <x:f>H1644-I1644</x:f>
        <x:v>0</x:v>
      </x:c>
      <x:c r="K1644" s="168" t="str">
        <x:v>FCCL-Annual-Report-2025.pdf</x:v>
      </x:c>
      <x:c r="L1644" s="168" t="n">
        <x:v>248</x:v>
      </x:c>
      <x:c r="M1644" s="168" t="str">
        <x:v>Comparative</x:v>
      </x:c>
      <x:c r="N1644" s="171" t="str">
        <x:v>Zero / no separate line in audited presentation</x:v>
      </x:c>
      <x:c r="O1644" s="171" t="str">
        <x:v>Zero classification checked within the audited statement/note and reconstructed statement totals; absence of a separate line does not imply a missing replacement estimate.</x:v>
      </x:c>
      <x:c r="P1644" s="171" t="str">
        <x:v>
 Note 2025 2024
  Rupees’000 Rupees’000
Cash flows from operating activities 
 Profit before income tax and levy    21,525,520  15,354,954 
Adjus | Cash generated from operations (before interest, tax and other items)</x:v>
      </x:c>
    </x:row>
    <x:row r="1645" ht="82" customHeight="1">
      <x:c r="A1645" s="76" t="str">
        <x:v>FCCL|cgo|2025</x:v>
      </x:c>
      <x:c r="B1645" s="76" t="str">
        <x:v>FCCL</x:v>
      </x:c>
      <x:c r="C1645" s="76" t="str">
        <x:v>FY2025</x:v>
      </x:c>
      <x:c r="D1645" s="76" t="str">
        <x:v>Cash generated from operations (before interest, tax and other items)</x:v>
      </x:c>
      <x:c r="E1645" s="170" t="n">
        <x:v>0</x:v>
      </x:c>
      <x:c r="F1645" s="170" t="n">
        <x:v>0</x:v>
      </x:c>
      <x:c r="G1645" s="170" t="str">
        <x:v>Rs '000</x:v>
      </x:c>
      <x:c r="H1645" s="170" t="n">
        <x:f>F1645/1000</x:f>
        <x:v>0</x:v>
      </x:c>
      <x:c r="I1645" s="170" t="n">
        <x:f>FCCL!H116</x:f>
        <x:v>0</x:v>
      </x:c>
      <x:c r="J1645" s="170" t="n">
        <x:f>H1645-I1645</x:f>
        <x:v>0</x:v>
      </x:c>
      <x:c r="K1645" s="76" t="str">
        <x:v>FCCL-Annual-Report-2025.pdf</x:v>
      </x:c>
      <x:c r="L1645" s="76" t="n">
        <x:v>248</x:v>
      </x:c>
      <x:c r="M1645" s="76" t="str">
        <x:v>Current year</x:v>
      </x:c>
      <x:c r="N1645" s="99" t="str">
        <x:v>Zero / no separate line in audited presentation</x:v>
      </x:c>
      <x:c r="O1645" s="99" t="str">
        <x:v>Zero classification checked within the audited statement/note and reconstructed statement totals; absence of a separate line does not imply a missing replacement estimate.</x:v>
      </x:c>
      <x:c r="P1645" s="99" t="str">
        <x:v>
 Note 2025 2024
  Rupees’000 Rupees’000
Cash flows from operating activities 
 Profit before income tax and levy    21,525,520  15,354,954 
Adjus | Cash generated from operations (before interest, tax and other items)</x:v>
      </x:c>
    </x:row>
    <x:row r="1646" ht="82" customHeight="1">
      <x:c r="A1646" s="168" t="str">
        <x:v>FCCL|cfo|2021</x:v>
      </x:c>
      <x:c r="B1646" s="168" t="str">
        <x:v>FCCL</x:v>
      </x:c>
      <x:c r="C1646" s="168" t="str">
        <x:v>FY2021</x:v>
      </x:c>
      <x:c r="D1646" s="168" t="str">
        <x:v>Net cash from operating activities (as reported)</x:v>
      </x:c>
      <x:c r="E1646" s="169" t="n">
        <x:v>5739097</x:v>
      </x:c>
      <x:c r="F1646" s="169" t="n">
        <x:v>5739097</x:v>
      </x:c>
      <x:c r="G1646" s="169" t="str">
        <x:v>Rs '000</x:v>
      </x:c>
      <x:c r="H1646" s="169" t="n">
        <x:f>F1646/1000</x:f>
        <x:v>5739.097</x:v>
      </x:c>
      <x:c r="I1646" s="169" t="n">
        <x:f>FCCL!D117</x:f>
        <x:v>5739.097</x:v>
      </x:c>
      <x:c r="J1646" s="169" t="n">
        <x:f>H1646-I1646</x:f>
        <x:v>0</x:v>
      </x:c>
      <x:c r="K1646" s="168" t="str">
        <x:v>FCCL-Annual-Report-2022.pdf</x:v>
      </x:c>
      <x:c r="L1646" s="168" t="n">
        <x:v>190</x:v>
      </x:c>
      <x:c r="M1646" s="168" t="str">
        <x:v>Comparative</x:v>
      </x:c>
      <x:c r="N1646" s="171" t="str">
        <x:v>Printed amount independently located</x:v>
      </x:c>
      <x:c r="O1646" s="171" t="str">
        <x:v>Exact source amount found; audited year/current-comparative column recorded. Accounting subtotal tests performed separately.</x:v>
      </x:c>
      <x:c r="P1646" s="171" t="str">
        <x:v>Workers' (Profit) Participation Fund 12.1 (549,335) (250,000)
Taxes paid (2,896,704) (836,502)
Net cash generated from operating activities 7,567,564 5,739,097 
Cash flows from investing activities
Addition in property plant and equipment - other than markup paid on Islamic mode of financing (28,425,596) (1,007,205)
Investment in associa</x:v>
      </x:c>
    </x:row>
    <x:row r="1647" ht="82" customHeight="1">
      <x:c r="A1647" s="76" t="str">
        <x:v>FCCL|cfo|2022</x:v>
      </x:c>
      <x:c r="B1647" s="76" t="str">
        <x:v>FCCL</x:v>
      </x:c>
      <x:c r="C1647" s="76" t="str">
        <x:v>FY2022</x:v>
      </x:c>
      <x:c r="D1647" s="76" t="str">
        <x:v>Net cash from operating activities (as reported)</x:v>
      </x:c>
      <x:c r="E1647" s="170" t="n">
        <x:v>7567564</x:v>
      </x:c>
      <x:c r="F1647" s="170" t="n">
        <x:v>7567564</x:v>
      </x:c>
      <x:c r="G1647" s="170" t="str">
        <x:v>Rs '000</x:v>
      </x:c>
      <x:c r="H1647" s="170" t="n">
        <x:f>F1647/1000</x:f>
        <x:v>7567.564</x:v>
      </x:c>
      <x:c r="I1647" s="170" t="n">
        <x:f>FCCL!E117</x:f>
        <x:v>7567.564</x:v>
      </x:c>
      <x:c r="J1647" s="170" t="n">
        <x:f>H1647-I1647</x:f>
        <x:v>0</x:v>
      </x:c>
      <x:c r="K1647" s="76" t="str">
        <x:v>FCCL-Annual-Report-2023.pdf</x:v>
      </x:c>
      <x:c r="L1647" s="76" t="n">
        <x:v>212</x:v>
      </x:c>
      <x:c r="M1647" s="76" t="str">
        <x:v>Comparative</x:v>
      </x:c>
      <x:c r="N1647" s="99" t="str">
        <x:v>Printed amount independently located</x:v>
      </x:c>
      <x:c r="O1647" s="99" t="str">
        <x:v>Exact source amount found; audited year/current-comparative column recorded. Accounting subtotal tests performed separately.</x:v>
      </x:c>
      <x:c r="P1647" s="99" t="str">
        <x:v>(Profit) Participation Fund 11.1  (699,068)  (549,335)
Taxes paid  (2,329,836) (2,896,704)
Net cash generated from operating activities  16,200,329  7,567,564 
Cash flows from investing activities
Additions in property plant and equipment  (33,903,442) (28,425,596)
Additions in intangible  (133,329)  - 
Proceeds from disposal of / inves</x:v>
      </x:c>
    </x:row>
    <x:row r="1648" ht="82" customHeight="1">
      <x:c r="A1648" s="168" t="str">
        <x:v>FCCL|cfo|2023</x:v>
      </x:c>
      <x:c r="B1648" s="168" t="str">
        <x:v>FCCL</x:v>
      </x:c>
      <x:c r="C1648" s="168" t="str">
        <x:v>FY2023</x:v>
      </x:c>
      <x:c r="D1648" s="168" t="str">
        <x:v>Net cash from operating activities (as reported)</x:v>
      </x:c>
      <x:c r="E1648" s="169" t="n">
        <x:v>16030998</x:v>
      </x:c>
      <x:c r="F1648" s="169" t="n">
        <x:v>16030998</x:v>
      </x:c>
      <x:c r="G1648" s="169" t="str">
        <x:v>Rs '000</x:v>
      </x:c>
      <x:c r="H1648" s="169" t="n">
        <x:f>F1648/1000</x:f>
        <x:v>16030.998</x:v>
      </x:c>
      <x:c r="I1648" s="169" t="n">
        <x:f>FCCL!F117</x:f>
        <x:v>16030.998</x:v>
      </x:c>
      <x:c r="J1648" s="169" t="n">
        <x:f>H1648-I1648</x:f>
        <x:v>0</x:v>
      </x:c>
      <x:c r="K1648" s="168" t="str">
        <x:v>FCCL-Annual-Report-2024.pdf</x:v>
      </x:c>
      <x:c r="L1648" s="168" t="n">
        <x:v>194</x:v>
      </x:c>
      <x:c r="M1648" s="168" t="str">
        <x:v>Comparative</x:v>
      </x:c>
      <x:c r="N1648" s="171" t="str">
        <x:v>Printed amount independently located</x:v>
      </x:c>
      <x:c r="O1648" s="171" t="str">
        <x:v>Exact source amount found; audited year/current-comparative column recorded. Accounting subtotal tests performed separately.</x:v>
      </x:c>
      <x:c r="P1648" s="171" t="str">
        <x:v>9,068)
 Payment to WWF   (88,253)  (187,310)
 T axes /levy paid   (1,732,677) (2,142,526)
Net cash generated from operating activities   21,684,607   16,030,998
STATEMENT OF CASH FLOWS
FOR THE YEAR ENDED JUNE 30, 2024
Annual Report 2024
192</x:v>
      </x:c>
    </x:row>
    <x:row r="1649" ht="82" customHeight="1">
      <x:c r="A1649" s="76" t="str">
        <x:v>FCCL|cfo|2024</x:v>
      </x:c>
      <x:c r="B1649" s="76" t="str">
        <x:v>FCCL</x:v>
      </x:c>
      <x:c r="C1649" s="76" t="str">
        <x:v>FY2024</x:v>
      </x:c>
      <x:c r="D1649" s="76" t="str">
        <x:v>Net cash from operating activities (as reported)</x:v>
      </x:c>
      <x:c r="E1649" s="170" t="n">
        <x:v>22284607</x:v>
      </x:c>
      <x:c r="F1649" s="170" t="n">
        <x:v>22284607</x:v>
      </x:c>
      <x:c r="G1649" s="170" t="str">
        <x:v>Rs '000</x:v>
      </x:c>
      <x:c r="H1649" s="170" t="n">
        <x:f>F1649/1000</x:f>
        <x:v>22284.607</x:v>
      </x:c>
      <x:c r="I1649" s="170" t="n">
        <x:f>FCCL!G117</x:f>
        <x:v>22284.607</x:v>
      </x:c>
      <x:c r="J1649" s="170" t="n">
        <x:f>H1649-I1649</x:f>
        <x:v>0</x:v>
      </x:c>
      <x:c r="K1649" s="76" t="str">
        <x:v>FCCL-Annual-Report-2025.pdf</x:v>
      </x:c>
      <x:c r="L1649" s="76" t="n">
        <x:v>248</x:v>
      </x:c>
      <x:c r="M1649" s="76" t="str">
        <x:v>Comparative</x:v>
      </x:c>
      <x:c r="N1649" s="99" t="str">
        <x:v>Printed amount independently located</x:v>
      </x:c>
      <x:c r="O1649" s="99" t="str">
        <x:v>Exact source amount found; audited year/current-comparative column recorded. Accounting subtotal tests performed separately.</x:v>
      </x:c>
      <x:c r="P1649" s="99" t="str">
        <x:v>41,244)
 Payment to WWF   (11,670)  (88,253)
 Taxes / levy paid   (4,525,708) (1,732,677)
Net cash generated from operating activities   24,313,208   22,284,607
STATEMENT OF CASH FLOWS
FOR THE YEAR ENDED JUNE 30, 2025
242
Annual Report 2025
INNOVATING TOWARDS
A GREENER FUTURE</x:v>
      </x:c>
    </x:row>
    <x:row r="1650" ht="82" customHeight="1">
      <x:c r="A1650" s="168" t="str">
        <x:v>FCCL|cfo|2025</x:v>
      </x:c>
      <x:c r="B1650" s="168" t="str">
        <x:v>FCCL</x:v>
      </x:c>
      <x:c r="C1650" s="168" t="str">
        <x:v>FY2025</x:v>
      </x:c>
      <x:c r="D1650" s="168" t="str">
        <x:v>Net cash from operating activities (as reported)</x:v>
      </x:c>
      <x:c r="E1650" s="169" t="n">
        <x:v>24313208</x:v>
      </x:c>
      <x:c r="F1650" s="169" t="n">
        <x:v>24313208</x:v>
      </x:c>
      <x:c r="G1650" s="169" t="str">
        <x:v>Rs '000</x:v>
      </x:c>
      <x:c r="H1650" s="169" t="n">
        <x:f>F1650/1000</x:f>
        <x:v>24313.208</x:v>
      </x:c>
      <x:c r="I1650" s="169" t="n">
        <x:f>FCCL!H117</x:f>
        <x:v>24313.208</x:v>
      </x:c>
      <x:c r="J1650" s="169" t="n">
        <x:f>H1650-I1650</x:f>
        <x:v>0</x:v>
      </x:c>
      <x:c r="K1650" s="168" t="str">
        <x:v>FCCL-Annual-Report-2025.pdf</x:v>
      </x:c>
      <x:c r="L1650" s="168" t="n">
        <x:v>248</x:v>
      </x:c>
      <x:c r="M1650" s="168" t="str">
        <x:v>Current year</x:v>
      </x:c>
      <x:c r="N1650" s="171" t="str">
        <x:v>Printed amount independently located</x:v>
      </x:c>
      <x:c r="O1650" s="171" t="str">
        <x:v>Exact source amount found; audited year/current-comparative column recorded. Accounting subtotal tests performed separately.</x:v>
      </x:c>
      <x:c r="P1650" s="171" t="str">
        <x:v>,164,913)  (741,244)
 Payment to WWF   (11,670)  (88,253)
 Taxes / levy paid   (4,525,708) (1,732,677)
Net cash generated from operating activities   24,313,208   22,284,607
STATEMENT OF CASH FLOWS
FOR THE YEAR ENDED JUNE 30, 2025
242
Annual Report 2025
INNOVATING TOWARDS
A GREENER FUTURE</x:v>
      </x:c>
    </x:row>
    <x:row r="1651" ht="82" customHeight="1">
      <x:c r="A1651" s="76" t="str">
        <x:v>FCCL|fin_paid|2021</x:v>
      </x:c>
      <x:c r="B1651" s="76" t="str">
        <x:v>FCCL</x:v>
      </x:c>
      <x:c r="C1651" s="76" t="str">
        <x:v>FY2021</x:v>
      </x:c>
      <x:c r="D1651" s="76" t="str">
        <x:v>Finance cost / mark-up paid</x:v>
      </x:c>
      <x:c r="E1651" s="170" t="n">
        <x:v>-94843</x:v>
      </x:c>
      <x:c r="F1651" s="170" t="n">
        <x:v>-94843</x:v>
      </x:c>
      <x:c r="G1651" s="170" t="str">
        <x:v>Rs '000</x:v>
      </x:c>
      <x:c r="H1651" s="170" t="n">
        <x:f>F1651/1000</x:f>
        <x:v>-94.843</x:v>
      </x:c>
      <x:c r="I1651" s="170" t="n">
        <x:f>FCCL!D118</x:f>
        <x:v>-94.843</x:v>
      </x:c>
      <x:c r="J1651" s="170" t="n">
        <x:f>H1651-I1651</x:f>
        <x:v>0</x:v>
      </x:c>
      <x:c r="K1651" s="76" t="str">
        <x:v>FCCL-Annual-Report-2022.pdf</x:v>
      </x:c>
      <x:c r="L1651" s="76" t="n">
        <x:v>190</x:v>
      </x:c>
      <x:c r="M1651" s="76" t="str">
        <x:v>Comparative</x:v>
      </x:c>
      <x:c r="N1651" s="99" t="str">
        <x:v>Printed amount independently located</x:v>
      </x:c>
      <x:c r="O1651" s="99" t="str">
        <x:v>Exact source amount found; audited year/current-comparative column recorded. Accounting subtotal tests performed separately.</x:v>
      </x:c>
      <x:c r="P1651" s="99" t="str">
        <x:v>m loans 17,059,404 625,610 
Loan from parent 6,543,000 - 
Lease payments (171,588) (50,413)
Dividend paid (1,322) (1,572)
Finance cost paid (985,172) (94,843)
Net cash generated from / (used in) financing activities 19,345,923 (5,455)
Net increase in cash and cash equivalents 848,783 591,984 
Cash and cash equivalents at beginning of th</x:v>
      </x:c>
    </x:row>
    <x:row r="1652" ht="82" customHeight="1">
      <x:c r="A1652" s="168" t="str">
        <x:v>FCCL|fin_paid|2022</x:v>
      </x:c>
      <x:c r="B1652" s="168" t="str">
        <x:v>FCCL</x:v>
      </x:c>
      <x:c r="C1652" s="168" t="str">
        <x:v>FY2022</x:v>
      </x:c>
      <x:c r="D1652" s="168" t="str">
        <x:v>Finance cost / mark-up paid</x:v>
      </x:c>
      <x:c r="E1652" s="169" t="n">
        <x:v>-985172</x:v>
      </x:c>
      <x:c r="F1652" s="169" t="n">
        <x:v>-985172</x:v>
      </x:c>
      <x:c r="G1652" s="169" t="str">
        <x:v>Rs '000</x:v>
      </x:c>
      <x:c r="H1652" s="169" t="n">
        <x:f>F1652/1000</x:f>
        <x:v>-985.172</x:v>
      </x:c>
      <x:c r="I1652" s="169" t="n">
        <x:f>FCCL!E118</x:f>
        <x:v>-985.172</x:v>
      </x:c>
      <x:c r="J1652" s="169" t="n">
        <x:f>H1652-I1652</x:f>
        <x:v>0</x:v>
      </x:c>
      <x:c r="K1652" s="168" t="str">
        <x:v>FCCL-Annual-Report-2023.pdf</x:v>
      </x:c>
      <x:c r="L1652" s="168" t="n">
        <x:v>212</x:v>
      </x:c>
      <x:c r="M1652" s="168" t="str">
        <x:v>Comparative</x:v>
      </x:c>
      <x:c r="N1652" s="171" t="str">
        <x:v>Printed amount independently located</x:v>
      </x:c>
      <x:c r="O1652" s="171" t="str">
        <x:v>Exact source amount found; audited year/current-comparative column recorded. Accounting subtotal tests performed separately.</x:v>
      </x:c>
      <x:c r="P1652" s="171" t="str">
        <x:v>m parent  -  6,543,000 
Lease payments  (89,354)  (171,588)
Unclaimed dividend paid during the year  (1,156)  (1,322)
Finance cost paid  (2,562,932)  (985,172)
Net cash generated from financing activities  10,817,936  19,345,923 
Net increase in cash and cash equivalents  (2,648,908)  848,783 
Cash and cash equivalents at beginning of th</x:v>
      </x:c>
    </x:row>
    <x:row r="1653" ht="82" customHeight="1">
      <x:c r="A1653" s="76" t="str">
        <x:v>FCCL|fin_paid|2023</x:v>
      </x:c>
      <x:c r="B1653" s="76" t="str">
        <x:v>FCCL</x:v>
      </x:c>
      <x:c r="C1653" s="76" t="str">
        <x:v>FY2023</x:v>
      </x:c>
      <x:c r="D1653" s="76" t="str">
        <x:v>Finance cost / mark-up paid</x:v>
      </x:c>
      <x:c r="E1653" s="170" t="n">
        <x:v>-2483101</x:v>
      </x:c>
      <x:c r="F1653" s="170" t="n">
        <x:v>-2483101</x:v>
      </x:c>
      <x:c r="G1653" s="170" t="str">
        <x:v>Rs '000</x:v>
      </x:c>
      <x:c r="H1653" s="170" t="n">
        <x:f>F1653/1000</x:f>
        <x:v>-2483.101</x:v>
      </x:c>
      <x:c r="I1653" s="170" t="n">
        <x:f>FCCL!F118</x:f>
        <x:v>-2483.101</x:v>
      </x:c>
      <x:c r="J1653" s="170" t="n">
        <x:f>H1653-I1653</x:f>
        <x:v>0</x:v>
      </x:c>
      <x:c r="K1653" s="76" t="str">
        <x:v>FCCL-Annual-Report-2024.pdf</x:v>
      </x:c>
      <x:c r="L1653" s="76" t="n">
        <x:v>195</x:v>
      </x:c>
      <x:c r="M1653" s="76" t="str">
        <x:v>Comparative</x:v>
      </x:c>
      <x:c r="N1653" s="99" t="str">
        <x:v>Printed amount independently located</x:v>
      </x:c>
      <x:c r="O1653" s="99" t="str">
        <x:v>Exact source amount found; audited year/current-comparative column recorded. Accounting subtotal tests performed separately.</x:v>
      </x:c>
      <x:c r="P1653" s="99" t="str">
        <x:v>239   15,976,605 
 Lease payments   (77,816)  (89,354)
 Unclaimed dividend paid during the year   (355)  (1,156)
 Finance cost paid     (6,993,060)   (2,483,101)
Net cash (used in) / generated from financing activities    (8,479,996)   10,897,767  
Net increase in cash and cash equivalents   5,046,575   (2,738,408)
Cash and cash equivale</x:v>
      </x:c>
    </x:row>
    <x:row r="1654" ht="82" customHeight="1">
      <x:c r="A1654" s="168" t="str">
        <x:v>FCCL|fin_paid|2024</x:v>
      </x:c>
      <x:c r="B1654" s="168" t="str">
        <x:v>FCCL</x:v>
      </x:c>
      <x:c r="C1654" s="168" t="str">
        <x:v>FY2024</x:v>
      </x:c>
      <x:c r="D1654" s="168" t="str">
        <x:v>Finance cost / mark-up paid</x:v>
      </x:c>
      <x:c r="E1654" s="169" t="n">
        <x:v>-6993060</x:v>
      </x:c>
      <x:c r="F1654" s="169" t="n">
        <x:v>-6993060</x:v>
      </x:c>
      <x:c r="G1654" s="169" t="str">
        <x:v>Rs '000</x:v>
      </x:c>
      <x:c r="H1654" s="169" t="n">
        <x:f>F1654/1000</x:f>
        <x:v>-6993.06</x:v>
      </x:c>
      <x:c r="I1654" s="169" t="n">
        <x:f>FCCL!G118</x:f>
        <x:v>-6993.06</x:v>
      </x:c>
      <x:c r="J1654" s="169" t="n">
        <x:f>H1654-I1654</x:f>
        <x:v>0</x:v>
      </x:c>
      <x:c r="K1654" s="168" t="str">
        <x:v>FCCL-Annual-Report-2025.pdf</x:v>
      </x:c>
      <x:c r="L1654" s="168" t="n">
        <x:v>249</x:v>
      </x:c>
      <x:c r="M1654" s="168" t="str">
        <x:v>Comparative</x:v>
      </x:c>
      <x:c r="N1654" s="171" t="str">
        <x:v>Printed amount independently located</x:v>
      </x:c>
      <x:c r="O1654" s="171" t="str">
        <x:v>Exact source amount found; audited year/current-comparative column recorded. Accounting subtotal tests performed separately.</x:v>
      </x:c>
      <x:c r="P1654" s="171" t="str">
        <x:v>15)  (77,816)
 Dividend paid during the year   (2,447,311)  (355)
 Markup paid on loan from parent   (553,514) –  
 Finance cost paid    (5,005,937)  (6,993,060)
Net cash used in financing activities   (12,739,192)  (8,479,996)
Net increase in cash and cash equivalents   314,826   5,646,575 
Cash and cash equivalents at beginning of the</x:v>
      </x:c>
    </x:row>
    <x:row r="1655" ht="82" customHeight="1">
      <x:c r="A1655" s="76" t="str">
        <x:v>FCCL|fin_paid|2025</x:v>
      </x:c>
      <x:c r="B1655" s="76" t="str">
        <x:v>FCCL</x:v>
      </x:c>
      <x:c r="C1655" s="76" t="str">
        <x:v>FY2025</x:v>
      </x:c>
      <x:c r="D1655" s="76" t="str">
        <x:v>Finance cost / mark-up paid</x:v>
      </x:c>
      <x:c r="E1655" s="170" t="n">
        <x:v>-5559451</x:v>
      </x:c>
      <x:c r="F1655" s="170" t="n">
        <x:v>-5559451</x:v>
      </x:c>
      <x:c r="G1655" s="170" t="str">
        <x:v>Rs '000</x:v>
      </x:c>
      <x:c r="H1655" s="170" t="n">
        <x:f>F1655/1000</x:f>
        <x:v>-5559.451</x:v>
      </x:c>
      <x:c r="I1655" s="170" t="n">
        <x:f>FCCL!H118</x:f>
        <x:v>-5559.451</x:v>
      </x:c>
      <x:c r="J1655" s="170" t="n">
        <x:f>H1655-I1655</x:f>
        <x:v>0</x:v>
      </x:c>
      <x:c r="K1655" s="76" t="str">
        <x:v>FCCL-Annual-Report-2025.pdf</x:v>
      </x:c>
      <x:c r="L1655" s="76" t="n">
        <x:v>249</x:v>
      </x:c>
      <x:c r="M1655" s="76" t="str">
        <x:v>Current year</x:v>
      </x:c>
      <x:c r="N1655" s="99" t="str">
        <x:v>Aggregated audited components</x:v>
      </x:c>
      <x:c r="O1655" s="99" t="str">
        <x:v>Source-labelled component sum; statement controls and signed-unit conversion independently recomputed.</x:v>
      </x:c>
      <x:c r="P1655" s="99" t="str">
        <x:v>
Cash flows from investing activities 
 Additions to property, plant and equipment   (3,477,647) (8,478,876)
 Short term investments – net   (8,944,969) –   
 Proceeds from disposa | Components: Markup paid on loan from parent; Finance cost paid</x:v>
      </x:c>
    </x:row>
    <x:row r="1656" ht="82" customHeight="1">
      <x:c r="A1656" s="168" t="str">
        <x:v>FCCL|fin_paid_cls|2021</x:v>
      </x:c>
      <x:c r="B1656" s="168" t="str">
        <x:v>FCCL</x:v>
      </x:c>
      <x:c r="C1656" s="168" t="str">
        <x:v>FY2021</x:v>
      </x:c>
      <x:c r="D1656" s="168" t="str">
        <x:v>Classification of finance cost paid</x:v>
      </x:c>
      <x:c r="E1656" s="169" t="str">
        <x:v>Financing</x:v>
      </x:c>
      <x:c r="F1656" s="169" t="str">
        <x:v>Financing</x:v>
      </x:c>
      <x:c r="G1656" s="169" t="str">
        <x:v>text</x:v>
      </x:c>
      <x:c r="H1656" s="169" t="str">
        <x:v>Financing</x:v>
      </x:c>
      <x:c r="I1656" s="169" t="str">
        <x:f>FCCL!D119</x:f>
        <x:v>Financing</x:v>
      </x:c>
      <x:c r="J1656" s="169" t="str">
        <x:v>n/a</x:v>
      </x:c>
      <x:c r="K1656" s="168" t="str">
        <x:v>FCCL-Annual-Report-2022.pdf</x:v>
      </x:c>
      <x:c r="L1656" s="168" t="n">
        <x:v>190</x:v>
      </x:c>
      <x:c r="M1656" s="168" t="str">
        <x:v>Comparative</x:v>
      </x:c>
      <x:c r="N1656" s="171" t="str">
        <x:v>Cash-flow classification inspected</x:v>
      </x:c>
      <x:c r="O1656" s="171" t="str">
        <x:v>Supporting cash-flow classification only; excluded from 33-measure scope.</x:v>
      </x:c>
      <x:c r="P1656" s="171" t="str">
        <x:v>
STATEMENT OF CASH FLOWS
2022 2021
Note Rupees'000 Rupees'000
Cash flows from operating activities
Profit before tax 11,528,093 5,107,692 
Adjustments for:
Depreciation on property, plant and equipment 17.2 2,705,692 1,5</x:v>
      </x:c>
    </x:row>
    <x:row r="1657" ht="82" customHeight="1">
      <x:c r="A1657" s="76" t="str">
        <x:v>FCCL|fin_paid_cls|2022</x:v>
      </x:c>
      <x:c r="B1657" s="76" t="str">
        <x:v>FCCL</x:v>
      </x:c>
      <x:c r="C1657" s="76" t="str">
        <x:v>FY2022</x:v>
      </x:c>
      <x:c r="D1657" s="76" t="str">
        <x:v>Classification of finance cost paid</x:v>
      </x:c>
      <x:c r="E1657" s="170" t="str">
        <x:v>Financing</x:v>
      </x:c>
      <x:c r="F1657" s="170" t="str">
        <x:v>Financing</x:v>
      </x:c>
      <x:c r="G1657" s="170" t="str">
        <x:v>text</x:v>
      </x:c>
      <x:c r="H1657" s="170" t="str">
        <x:v>Financing</x:v>
      </x:c>
      <x:c r="I1657" s="170" t="str">
        <x:f>FCCL!E119</x:f>
        <x:v>Financing</x:v>
      </x:c>
      <x:c r="J1657" s="170" t="str">
        <x:v>n/a</x:v>
      </x:c>
      <x:c r="K1657" s="76" t="str">
        <x:v>FCCL-Annual-Report-2023.pdf</x:v>
      </x:c>
      <x:c r="L1657" s="76" t="n">
        <x:v>212</x:v>
      </x:c>
      <x:c r="M1657" s="76" t="str">
        <x:v>Comparative</x:v>
      </x:c>
      <x:c r="N1657" s="99" t="str">
        <x:v>Cash-flow classification inspected</x:v>
      </x:c>
      <x:c r="O1657" s="99" t="str">
        <x:v>Supporting cash-flow classification only; excluded from 33-measure scope.</x:v>
      </x:c>
      <x:c r="P1657" s="99" t="str">
        <x:v>
FAUJI CEMENT COMPANY LIMITED
210
Fauji Cement Company Limited
Statement of Cash Flows
For the year ended June 30, 2023
2023 2022
Note Rupees’000 Rupees’000
Cash flows from operating activities
Profit before tax  12,900,</x:v>
      </x:c>
    </x:row>
    <x:row r="1658" ht="82" customHeight="1">
      <x:c r="A1658" s="168" t="str">
        <x:v>FCCL|fin_paid_cls|2023</x:v>
      </x:c>
      <x:c r="B1658" s="168" t="str">
        <x:v>FCCL</x:v>
      </x:c>
      <x:c r="C1658" s="168" t="str">
        <x:v>FY2023</x:v>
      </x:c>
      <x:c r="D1658" s="168" t="str">
        <x:v>Classification of finance cost paid</x:v>
      </x:c>
      <x:c r="E1658" s="169" t="str">
        <x:v>Financing</x:v>
      </x:c>
      <x:c r="F1658" s="169" t="str">
        <x:v>Financing</x:v>
      </x:c>
      <x:c r="G1658" s="169" t="str">
        <x:v>text</x:v>
      </x:c>
      <x:c r="H1658" s="169" t="str">
        <x:v>Financing</x:v>
      </x:c>
      <x:c r="I1658" s="169" t="str">
        <x:f>FCCL!F119</x:f>
        <x:v>Financing</x:v>
      </x:c>
      <x:c r="J1658" s="169" t="str">
        <x:v>n/a</x:v>
      </x:c>
      <x:c r="K1658" s="168" t="str">
        <x:v>FCCL-Annual-Report-2024.pdf</x:v>
      </x:c>
      <x:c r="L1658" s="168" t="n">
        <x:v>195</x:v>
      </x:c>
      <x:c r="M1658" s="168" t="str">
        <x:v>Comparative</x:v>
      </x:c>
      <x:c r="N1658" s="171" t="str">
        <x:v>Cash-flow classification inspected</x:v>
      </x:c>
      <x:c r="O1658" s="171" t="str">
        <x:v>Supporting cash-flow classification only; excluded from 33-measure scope.</x:v>
      </x:c>
      <x:c r="P1658" s="171" t="str">
        <x:v>
Cash flows from investing activities 
 Additions to property, plant and equipment   (8,478,876) (33,903,442)
 Additions to intangible  –   (133,329)
 Proceeds from disposal of associated company  –   128,126 
 Short ter</x:v>
      </x:c>
    </x:row>
    <x:row r="1659" ht="82" customHeight="1">
      <x:c r="A1659" s="76" t="str">
        <x:v>FCCL|fin_paid_cls|2024</x:v>
      </x:c>
      <x:c r="B1659" s="76" t="str">
        <x:v>FCCL</x:v>
      </x:c>
      <x:c r="C1659" s="76" t="str">
        <x:v>FY2024</x:v>
      </x:c>
      <x:c r="D1659" s="76" t="str">
        <x:v>Classification of finance cost paid</x:v>
      </x:c>
      <x:c r="E1659" s="170" t="str">
        <x:v>Financing</x:v>
      </x:c>
      <x:c r="F1659" s="170" t="str">
        <x:v>Financing</x:v>
      </x:c>
      <x:c r="G1659" s="170" t="str">
        <x:v>text</x:v>
      </x:c>
      <x:c r="H1659" s="170" t="str">
        <x:v>Financing</x:v>
      </x:c>
      <x:c r="I1659" s="170" t="str">
        <x:f>FCCL!G119</x:f>
        <x:v>Financing</x:v>
      </x:c>
      <x:c r="J1659" s="170" t="str">
        <x:v>n/a</x:v>
      </x:c>
      <x:c r="K1659" s="76" t="str">
        <x:v>FCCL-Annual-Report-2025.pdf</x:v>
      </x:c>
      <x:c r="L1659" s="76" t="n">
        <x:v>249</x:v>
      </x:c>
      <x:c r="M1659" s="76" t="str">
        <x:v>Comparative</x:v>
      </x:c>
      <x:c r="N1659" s="99" t="str">
        <x:v>Cash-flow classification inspected</x:v>
      </x:c>
      <x:c r="O1659" s="99" t="str">
        <x:v>Supporting cash-flow classification only; excluded from 33-measure scope.</x:v>
      </x:c>
      <x:c r="P1659" s="99" t="str">
        <x:v>
Cash flows from investing activities 
 Additions to property, plant and equipment   (3,477,647) (8,478,876)
 Short term investments – net   (8,944,969) –   
 Proceeds from disposal of property, plant and equipment 17.1 </x:v>
      </x:c>
    </x:row>
    <x:row r="1660" ht="82" customHeight="1">
      <x:c r="A1660" s="168" t="str">
        <x:v>FCCL|fin_paid_cls|2025</x:v>
      </x:c>
      <x:c r="B1660" s="168" t="str">
        <x:v>FCCL</x:v>
      </x:c>
      <x:c r="C1660" s="168" t="str">
        <x:v>FY2025</x:v>
      </x:c>
      <x:c r="D1660" s="168" t="str">
        <x:v>Classification of finance cost paid</x:v>
      </x:c>
      <x:c r="E1660" s="169" t="str">
        <x:v>Financing</x:v>
      </x:c>
      <x:c r="F1660" s="169" t="str">
        <x:v>Financing</x:v>
      </x:c>
      <x:c r="G1660" s="169" t="str">
        <x:v>text</x:v>
      </x:c>
      <x:c r="H1660" s="169" t="str">
        <x:v>Financing</x:v>
      </x:c>
      <x:c r="I1660" s="169" t="str">
        <x:f>FCCL!H119</x:f>
        <x:v>Financing</x:v>
      </x:c>
      <x:c r="J1660" s="169" t="str">
        <x:v>n/a</x:v>
      </x:c>
      <x:c r="K1660" s="168" t="str">
        <x:v>FCCL-Annual-Report-2025.pdf</x:v>
      </x:c>
      <x:c r="L1660" s="168" t="n">
        <x:v>249</x:v>
      </x:c>
      <x:c r="M1660" s="168" t="str">
        <x:v>Current year</x:v>
      </x:c>
      <x:c r="N1660" s="171" t="str">
        <x:v>Cash-flow classification inspected</x:v>
      </x:c>
      <x:c r="O1660" s="171" t="str">
        <x:v>Supporting cash-flow classification only; excluded from 33-measure scope.</x:v>
      </x:c>
      <x:c r="P1660" s="171" t="str">
        <x:v>
Cash flows from investing activities 
 Additions to property, plant and equipment   (3,477,647) (8,478,876)
 Short term investments – net   (8,944,969) –   
 Proceeds from disposal of property, plant and equipment 17.1 </x:v>
      </x:c>
    </x:row>
    <x:row r="1661" ht="82" customHeight="1">
      <x:c r="A1661" s="76" t="str">
        <x:v>FCCL|capex|2021</x:v>
      </x:c>
      <x:c r="B1661" s="76" t="str">
        <x:v>FCCL</x:v>
      </x:c>
      <x:c r="C1661" s="76" t="str">
        <x:v>FY2021</x:v>
      </x:c>
      <x:c r="D1661" s="76" t="str">
        <x:v>Purchase of property, plant and equipment</x:v>
      </x:c>
      <x:c r="E1661" s="170" t="n">
        <x:v>-1007205</x:v>
      </x:c>
      <x:c r="F1661" s="170" t="n">
        <x:v>-1007205</x:v>
      </x:c>
      <x:c r="G1661" s="170" t="str">
        <x:v>Rs '000</x:v>
      </x:c>
      <x:c r="H1661" s="170" t="n">
        <x:f>F1661/1000</x:f>
        <x:v>-1007.205</x:v>
      </x:c>
      <x:c r="I1661" s="170" t="n">
        <x:f>FCCL!D121</x:f>
        <x:v>-1007.205</x:v>
      </x:c>
      <x:c r="J1661" s="170" t="n">
        <x:f>H1661-I1661</x:f>
        <x:v>0</x:v>
      </x:c>
      <x:c r="K1661" s="76" t="str">
        <x:v>FCCL-Annual-Report-2022.pdf</x:v>
      </x:c>
      <x:c r="L1661" s="76" t="n">
        <x:v>190</x:v>
      </x:c>
      <x:c r="M1661" s="76" t="str">
        <x:v>Comparative</x:v>
      </x:c>
      <x:c r="N1661" s="99" t="str">
        <x:v>Printed amount independently located</x:v>
      </x:c>
      <x:c r="O1661" s="99" t="str">
        <x:v>Exact source amount found; audited year/current-comparative column recorded. Accounting subtotal tests performed separately.</x:v>
      </x:c>
      <x:c r="P1661" s="99" t="str">
        <x:v>097 
Cash flows from investing activities
Addition in property plant and equipment - other than markup paid on Islamic mode of financing (28,425,596) (1,007,205)
Investment in associate (50,000) - 
Short term investments - net 1,758,221 (4,284,022)
Proceeds from disposal of property, plant and equipment 17.1 23,250 103,243 
Income received</x:v>
      </x:c>
    </x:row>
    <x:row r="1662" ht="82" customHeight="1">
      <x:c r="A1662" s="168" t="str">
        <x:v>FCCL|capex|2022</x:v>
      </x:c>
      <x:c r="B1662" s="168" t="str">
        <x:v>FCCL</x:v>
      </x:c>
      <x:c r="C1662" s="168" t="str">
        <x:v>FY2022</x:v>
      </x:c>
      <x:c r="D1662" s="168" t="str">
        <x:v>Purchase of property, plant and equipment</x:v>
      </x:c>
      <x:c r="E1662" s="169" t="n">
        <x:v>-28425596</x:v>
      </x:c>
      <x:c r="F1662" s="169" t="n">
        <x:v>-28425596</x:v>
      </x:c>
      <x:c r="G1662" s="169" t="str">
        <x:v>Rs '000</x:v>
      </x:c>
      <x:c r="H1662" s="169" t="n">
        <x:f>F1662/1000</x:f>
        <x:v>-28425.596</x:v>
      </x:c>
      <x:c r="I1662" s="169" t="n">
        <x:f>FCCL!E121</x:f>
        <x:v>-28425.596</x:v>
      </x:c>
      <x:c r="J1662" s="169" t="n">
        <x:f>H1662-I1662</x:f>
        <x:v>0</x:v>
      </x:c>
      <x:c r="K1662" s="168" t="str">
        <x:v>FCCL-Annual-Report-2023.pdf</x:v>
      </x:c>
      <x:c r="L1662" s="168" t="n">
        <x:v>212</x:v>
      </x:c>
      <x:c r="M1662" s="168" t="str">
        <x:v>Comparative</x:v>
      </x:c>
      <x:c r="N1662" s="171" t="str">
        <x:v>Printed amount independently located</x:v>
      </x:c>
      <x:c r="O1662" s="171" t="str">
        <x:v>Exact source amount found; audited year/current-comparative column recorded. Accounting subtotal tests performed separately.</x:v>
      </x:c>
      <x:c r="P1662" s="171" t="str">
        <x:v>erated from operating activities  16,200,329  7,567,564 
Cash flows from investing activities
Additions in property plant and equipment  (33,903,442) (28,425,596)
Additions in intangible  (133,329)  - 
Proceeds from disposal of / investment (made) in associate  128,126  (50,000)
Short term investments - net  3,593,010  1,758,221 
Proceeds f</x:v>
      </x:c>
    </x:row>
    <x:row r="1663" ht="82" customHeight="1">
      <x:c r="A1663" s="76" t="str">
        <x:v>FCCL|capex|2023</x:v>
      </x:c>
      <x:c r="B1663" s="76" t="str">
        <x:v>FCCL</x:v>
      </x:c>
      <x:c r="C1663" s="76" t="str">
        <x:v>FY2023</x:v>
      </x:c>
      <x:c r="D1663" s="76" t="str">
        <x:v>Purchase of property, plant and equipment</x:v>
      </x:c>
      <x:c r="E1663" s="170" t="n">
        <x:v>-33903442</x:v>
      </x:c>
      <x:c r="F1663" s="170" t="n">
        <x:v>-33903442</x:v>
      </x:c>
      <x:c r="G1663" s="170" t="str">
        <x:v>Rs '000</x:v>
      </x:c>
      <x:c r="H1663" s="170" t="n">
        <x:f>F1663/1000</x:f>
        <x:v>-33903.442</x:v>
      </x:c>
      <x:c r="I1663" s="170" t="n">
        <x:f>FCCL!F121</x:f>
        <x:v>-33903.442</x:v>
      </x:c>
      <x:c r="J1663" s="170" t="n">
        <x:f>H1663-I1663</x:f>
        <x:v>0</x:v>
      </x:c>
      <x:c r="K1663" s="76" t="str">
        <x:v>FCCL-Annual-Report-2024.pdf</x:v>
      </x:c>
      <x:c r="L1663" s="76" t="n">
        <x:v>195</x:v>
      </x:c>
      <x:c r="M1663" s="76" t="str">
        <x:v>Comparative</x:v>
      </x:c>
      <x:c r="N1663" s="99" t="str">
        <x:v>Printed amount independently located</x:v>
      </x:c>
      <x:c r="O1663" s="99" t="str">
        <x:v>Exact source amount found; audited year/current-comparative column recorded. Accounting subtotal tests performed separately.</x:v>
      </x:c>
      <x:c r="P1663" s="99" t="str">
        <x:v>Cash flows from investing activities 
 Additions to property, plant and equipment   (8,478,876) (33,903,442)
 Additions to intangible  –   (133,329)
 Proceeds from disposal of associated company  –   128,126 
 Short term investments - net  –   3,593,010 
 Proceeds from disposal of proper</x:v>
      </x:c>
    </x:row>
    <x:row r="1664" ht="82" customHeight="1">
      <x:c r="A1664" s="168" t="str">
        <x:v>FCCL|capex|2024</x:v>
      </x:c>
      <x:c r="B1664" s="168" t="str">
        <x:v>FCCL</x:v>
      </x:c>
      <x:c r="C1664" s="168" t="str">
        <x:v>FY2024</x:v>
      </x:c>
      <x:c r="D1664" s="168" t="str">
        <x:v>Purchase of property, plant and equipment</x:v>
      </x:c>
      <x:c r="E1664" s="169" t="n">
        <x:v>-8478876</x:v>
      </x:c>
      <x:c r="F1664" s="169" t="n">
        <x:v>-8478876</x:v>
      </x:c>
      <x:c r="G1664" s="169" t="str">
        <x:v>Rs '000</x:v>
      </x:c>
      <x:c r="H1664" s="169" t="n">
        <x:f>F1664/1000</x:f>
        <x:v>-8478.876</x:v>
      </x:c>
      <x:c r="I1664" s="169" t="n">
        <x:f>FCCL!G121</x:f>
        <x:v>-8478.876</x:v>
      </x:c>
      <x:c r="J1664" s="169" t="n">
        <x:f>H1664-I1664</x:f>
        <x:v>0</x:v>
      </x:c>
      <x:c r="K1664" s="168" t="str">
        <x:v>FCCL-Annual-Report-2025.pdf</x:v>
      </x:c>
      <x:c r="L1664" s="168" t="n">
        <x:v>249</x:v>
      </x:c>
      <x:c r="M1664" s="168" t="str">
        <x:v>Comparative</x:v>
      </x:c>
      <x:c r="N1664" s="171" t="str">
        <x:v>Printed amount independently located</x:v>
      </x:c>
      <x:c r="O1664" s="171" t="str">
        <x:v>Exact source amount found; audited year/current-comparative column recorded. Accounting subtotal tests performed separately.</x:v>
      </x:c>
      <x:c r="P1664" s="171" t="str">
        <x:v>Cash flows from investing activities 
 Additions to property, plant and equipment   (3,477,647) (8,478,876)
 Short term investments – net   (8,944,969) –   
 Proceeds from disposal of property, plant and equipment 17.1  109,726  21,522 
 Income received against deposits and investments</x:v>
      </x:c>
    </x:row>
    <x:row r="1665" ht="82" customHeight="1">
      <x:c r="A1665" s="76" t="str">
        <x:v>FCCL|capex|2025</x:v>
      </x:c>
      <x:c r="B1665" s="76" t="str">
        <x:v>FCCL</x:v>
      </x:c>
      <x:c r="C1665" s="76" t="str">
        <x:v>FY2025</x:v>
      </x:c>
      <x:c r="D1665" s="76" t="str">
        <x:v>Purchase of property, plant and equipment</x:v>
      </x:c>
      <x:c r="E1665" s="170" t="n">
        <x:v>-3477647</x:v>
      </x:c>
      <x:c r="F1665" s="170" t="n">
        <x:v>-3477647</x:v>
      </x:c>
      <x:c r="G1665" s="170" t="str">
        <x:v>Rs '000</x:v>
      </x:c>
      <x:c r="H1665" s="170" t="n">
        <x:f>F1665/1000</x:f>
        <x:v>-3477.647</x:v>
      </x:c>
      <x:c r="I1665" s="170" t="n">
        <x:f>FCCL!H121</x:f>
        <x:v>-3477.647</x:v>
      </x:c>
      <x:c r="J1665" s="170" t="n">
        <x:f>H1665-I1665</x:f>
        <x:v>0</x:v>
      </x:c>
      <x:c r="K1665" s="76" t="str">
        <x:v>FCCL-Annual-Report-2025.pdf</x:v>
      </x:c>
      <x:c r="L1665" s="76" t="n">
        <x:v>249</x:v>
      </x:c>
      <x:c r="M1665" s="76" t="str">
        <x:v>Current year</x:v>
      </x:c>
      <x:c r="N1665" s="99" t="str">
        <x:v>Printed amount independently located</x:v>
      </x:c>
      <x:c r="O1665" s="99" t="str">
        <x:v>Exact source amount found; audited year/current-comparative column recorded. Accounting subtotal tests performed separately.</x:v>
      </x:c>
      <x:c r="P1665" s="99" t="str">
        <x:v>Cash flows from investing activities 
 Additions to property, plant and equipment   (3,477,647) (8,478,876)
 Short term investments – net   (8,944,969) –   
 Proceeds from disposal of property, plant and equipment 17.1  109,726  21,522 
 Income received against deposits and</x:v>
      </x:c>
    </x:row>
    <x:row r="1666" ht="82" customHeight="1">
      <x:c r="A1666" s="168" t="str">
        <x:v>FCCL|cfi|2021</x:v>
      </x:c>
      <x:c r="B1666" s="168" t="str">
        <x:v>FCCL</x:v>
      </x:c>
      <x:c r="C1666" s="168" t="str">
        <x:v>FY2021</x:v>
      </x:c>
      <x:c r="D1666" s="168" t="str">
        <x:v>Net cash from investing activities</x:v>
      </x:c>
      <x:c r="E1666" s="169" t="n">
        <x:v>-5141658</x:v>
      </x:c>
      <x:c r="F1666" s="169" t="n">
        <x:v>-5141658</x:v>
      </x:c>
      <x:c r="G1666" s="169" t="str">
        <x:v>Rs '000</x:v>
      </x:c>
      <x:c r="H1666" s="169" t="n">
        <x:f>F1666/1000</x:f>
        <x:v>-5141.658</x:v>
      </x:c>
      <x:c r="I1666" s="169" t="n">
        <x:f>FCCL!D122</x:f>
        <x:v>-5141.658</x:v>
      </x:c>
      <x:c r="J1666" s="169" t="n">
        <x:f>H1666-I1666</x:f>
        <x:v>0</x:v>
      </x:c>
      <x:c r="K1666" s="168" t="str">
        <x:v>FCCL-Annual-Report-2022.pdf</x:v>
      </x:c>
      <x:c r="L1666" s="168" t="n">
        <x:v>190</x:v>
      </x:c>
      <x:c r="M1666" s="168" t="str">
        <x:v>Comparative</x:v>
      </x:c>
      <x:c r="N1666" s="171" t="str">
        <x:v>Printed amount independently located</x:v>
      </x:c>
      <x:c r="O1666" s="171" t="str">
        <x:v>Exact source amount found; audited year/current-comparative column recorded. Accounting subtotal tests performed separately.</x:v>
      </x:c>
      <x:c r="P1666" s="171" t="str">
        <x:v>50 103,243 
Income received against income deposits and investments - conventional 629,421 46,326 
Net cash used in investing activities (26,064,704) (5,141,658)
Cash flows from financing activities
Repayment of long term loans (3,098,399) (484,237)
Disbursements from new long term loans 17,059,404 625,610 
Loan from parent 6,543,000 - 
Le</x:v>
      </x:c>
    </x:row>
    <x:row r="1667" ht="82" customHeight="1">
      <x:c r="A1667" s="76" t="str">
        <x:v>FCCL|cfi|2022</x:v>
      </x:c>
      <x:c r="B1667" s="76" t="str">
        <x:v>FCCL</x:v>
      </x:c>
      <x:c r="C1667" s="76" t="str">
        <x:v>FY2022</x:v>
      </x:c>
      <x:c r="D1667" s="76" t="str">
        <x:v>Net cash from investing activities</x:v>
      </x:c>
      <x:c r="E1667" s="170" t="n">
        <x:v>-26064704</x:v>
      </x:c>
      <x:c r="F1667" s="170" t="n">
        <x:v>-26064704</x:v>
      </x:c>
      <x:c r="G1667" s="170" t="str">
        <x:v>Rs '000</x:v>
      </x:c>
      <x:c r="H1667" s="170" t="n">
        <x:f>F1667/1000</x:f>
        <x:v>-26064.704</x:v>
      </x:c>
      <x:c r="I1667" s="170" t="n">
        <x:f>FCCL!E122</x:f>
        <x:v>-26064.704</x:v>
      </x:c>
      <x:c r="J1667" s="170" t="n">
        <x:f>H1667-I1667</x:f>
        <x:v>0</x:v>
      </x:c>
      <x:c r="K1667" s="76" t="str">
        <x:v>FCCL-Annual-Report-2023.pdf</x:v>
      </x:c>
      <x:c r="L1667" s="76" t="n">
        <x:v>212</x:v>
      </x:c>
      <x:c r="M1667" s="76" t="str">
        <x:v>Comparative</x:v>
      </x:c>
      <x:c r="N1667" s="99" t="str">
        <x:v>Printed amount independently located</x:v>
      </x:c>
      <x:c r="O1667" s="99" t="str">
        <x:v>Exact source amount found; audited year/current-comparative column recorded. Accounting subtotal tests performed separately.</x:v>
      </x:c>
      <x:c r="P1667" s="99" t="str">
        <x:v>16.1  116,244 23,250 
Income received against income deposits and investments  532,218 629,421 
Net cash used in investing activities  (29,667,173)  (26,064,704)
Cash flows from financing activities
Repayment of long term loans  (2,505,227)  (3,098,399)
Long term loans received during the year  15,976,605  17,059,404 
Loan from parent  -</x:v>
      </x:c>
    </x:row>
    <x:row r="1668" ht="82" customHeight="1">
      <x:c r="A1668" s="168" t="str">
        <x:v>FCCL|cfi|2023</x:v>
      </x:c>
      <x:c r="B1668" s="168" t="str">
        <x:v>FCCL</x:v>
      </x:c>
      <x:c r="C1668" s="168" t="str">
        <x:v>FY2023</x:v>
      </x:c>
      <x:c r="D1668" s="168" t="str">
        <x:v>Net cash from investing activities</x:v>
      </x:c>
      <x:c r="E1668" s="169" t="n">
        <x:v>-29667173</x:v>
      </x:c>
      <x:c r="F1668" s="169" t="n">
        <x:v>-29667173</x:v>
      </x:c>
      <x:c r="G1668" s="169" t="str">
        <x:v>Rs '000</x:v>
      </x:c>
      <x:c r="H1668" s="169" t="n">
        <x:f>F1668/1000</x:f>
        <x:v>-29667.173</x:v>
      </x:c>
      <x:c r="I1668" s="169" t="n">
        <x:f>FCCL!F122</x:f>
        <x:v>-29667.173</x:v>
      </x:c>
      <x:c r="J1668" s="169" t="n">
        <x:f>H1668-I1668</x:f>
        <x:v>0</x:v>
      </x:c>
      <x:c r="K1668" s="168" t="str">
        <x:v>FCCL-Annual-Report-2024.pdf</x:v>
      </x:c>
      <x:c r="L1668" s="168" t="n">
        <x:v>195</x:v>
      </x:c>
      <x:c r="M1668" s="168" t="str">
        <x:v>Comparative</x:v>
      </x:c>
      <x:c r="N1668" s="171" t="str">
        <x:v>Printed amount independently located</x:v>
      </x:c>
      <x:c r="O1668" s="171" t="str">
        <x:v>Exact source amount found; audited year/current-comparative column recorded. Accounting subtotal tests performed separately.</x:v>
      </x:c>
      <x:c r="P1668" s="171" t="str">
        <x:v>ent 16.1  21,522  116,244 
 Income received against deposits and investments   299,318  532,218 
Net cash used in investing activities   (8,158,037)  (29,667,173)
Cash flows from financing activities 
 Repayment of long term loans   (2,053,004)  (2,505,227)
 Long term loans received during the year   644,239   15,976,605 
 Lease payments</x:v>
      </x:c>
    </x:row>
    <x:row r="1669" ht="82" customHeight="1">
      <x:c r="A1669" s="76" t="str">
        <x:v>FCCL|cfi|2024</x:v>
      </x:c>
      <x:c r="B1669" s="76" t="str">
        <x:v>FCCL</x:v>
      </x:c>
      <x:c r="C1669" s="76" t="str">
        <x:v>FY2024</x:v>
      </x:c>
      <x:c r="D1669" s="76" t="str">
        <x:v>Net cash from investing activities</x:v>
      </x:c>
      <x:c r="E1669" s="170" t="n">
        <x:v>-8158036</x:v>
      </x:c>
      <x:c r="F1669" s="170" t="n">
        <x:v>-8158036</x:v>
      </x:c>
      <x:c r="G1669" s="170" t="str">
        <x:v>Rs '000</x:v>
      </x:c>
      <x:c r="H1669" s="170" t="n">
        <x:f>F1669/1000</x:f>
        <x:v>-8158.036</x:v>
      </x:c>
      <x:c r="I1669" s="170" t="n">
        <x:f>FCCL!G122</x:f>
        <x:v>-8158.036</x:v>
      </x:c>
      <x:c r="J1669" s="170" t="n">
        <x:f>H1669-I1669</x:f>
        <x:v>0</x:v>
      </x:c>
      <x:c r="K1669" s="76" t="str">
        <x:v>FCCL-Annual-Report-2025.pdf</x:v>
      </x:c>
      <x:c r="L1669" s="76" t="n">
        <x:v>249</x:v>
      </x:c>
      <x:c r="M1669" s="76" t="str">
        <x:v>Comparative</x:v>
      </x:c>
      <x:c r="N1669" s="99" t="str">
        <x:v>Printed amount independently located</x:v>
      </x:c>
      <x:c r="O1669" s="99" t="str">
        <x:v>Exact source amount found; audited year/current-comparative column recorded. Accounting subtotal tests performed separately.</x:v>
      </x:c>
      <x:c r="P1669" s="99" t="str">
        <x:v>17.1  109,726  21,522 
 Income received against deposits and investments   1,053,700  299,318 
Net cash used in investing activities   (11,259,190)  (8,158,036)
Cash flows from financing activities 
 Repayment of long term loans   (4,657,115)  (2,053,004)
 Long term loans received during the year  –  644,239 
 Lease payments   (75,315)</x:v>
      </x:c>
    </x:row>
    <x:row r="1670" ht="82" customHeight="1">
      <x:c r="A1670" s="168" t="str">
        <x:v>FCCL|cfi|2025</x:v>
      </x:c>
      <x:c r="B1670" s="168" t="str">
        <x:v>FCCL</x:v>
      </x:c>
      <x:c r="C1670" s="168" t="str">
        <x:v>FY2025</x:v>
      </x:c>
      <x:c r="D1670" s="168" t="str">
        <x:v>Net cash from investing activities</x:v>
      </x:c>
      <x:c r="E1670" s="169" t="n">
        <x:v>-11259190</x:v>
      </x:c>
      <x:c r="F1670" s="169" t="n">
        <x:v>-11259190</x:v>
      </x:c>
      <x:c r="G1670" s="169" t="str">
        <x:v>Rs '000</x:v>
      </x:c>
      <x:c r="H1670" s="169" t="n">
        <x:f>F1670/1000</x:f>
        <x:v>-11259.19</x:v>
      </x:c>
      <x:c r="I1670" s="169" t="n">
        <x:f>FCCL!H122</x:f>
        <x:v>-11259.19</x:v>
      </x:c>
      <x:c r="J1670" s="169" t="n">
        <x:f>H1670-I1670</x:f>
        <x:v>0</x:v>
      </x:c>
      <x:c r="K1670" s="168" t="str">
        <x:v>FCCL-Annual-Report-2025.pdf</x:v>
      </x:c>
      <x:c r="L1670" s="168" t="n">
        <x:v>249</x:v>
      </x:c>
      <x:c r="M1670" s="168" t="str">
        <x:v>Current year</x:v>
      </x:c>
      <x:c r="N1670" s="171" t="str">
        <x:v>Printed amount independently located</x:v>
      </x:c>
      <x:c r="O1670" s="171" t="str">
        <x:v>Exact source amount found; audited year/current-comparative column recorded. Accounting subtotal tests performed separately.</x:v>
      </x:c>
      <x:c r="P1670" s="171" t="str">
        <x:v>and equipment 17.1  109,726  21,522 
 Income received against deposits and investments   1,053,700  299,318 
Net cash used in investing activities   (11,259,190)  (8,158,036)
Cash flows from financing activities 
 Repayment of long term loans   (4,657,115)  (2,053,004)
 Long term loans received during the year  –  644,239 
 Lease payment</x:v>
      </x:c>
    </x:row>
    <x:row r="1671" ht="82" customHeight="1">
      <x:c r="A1671" s="76" t="str">
        <x:v>FCCL|cff|2021</x:v>
      </x:c>
      <x:c r="B1671" s="76" t="str">
        <x:v>FCCL</x:v>
      </x:c>
      <x:c r="C1671" s="76" t="str">
        <x:v>FY2021</x:v>
      </x:c>
      <x:c r="D1671" s="76" t="str">
        <x:v>Net cash from financing activities</x:v>
      </x:c>
      <x:c r="E1671" s="170" t="n">
        <x:v>-5455</x:v>
      </x:c>
      <x:c r="F1671" s="170" t="n">
        <x:v>-5455</x:v>
      </x:c>
      <x:c r="G1671" s="170" t="str">
        <x:v>Rs '000</x:v>
      </x:c>
      <x:c r="H1671" s="170" t="n">
        <x:f>F1671/1000</x:f>
        <x:v>-5.455</x:v>
      </x:c>
      <x:c r="I1671" s="170" t="n">
        <x:f>FCCL!D123</x:f>
        <x:v>-5.455</x:v>
      </x:c>
      <x:c r="J1671" s="170" t="n">
        <x:f>H1671-I1671</x:f>
        <x:v>0</x:v>
      </x:c>
      <x:c r="K1671" s="76" t="str">
        <x:v>FCCL-Annual-Report-2022.pdf</x:v>
      </x:c>
      <x:c r="L1671" s="76" t="n">
        <x:v>190</x:v>
      </x:c>
      <x:c r="M1671" s="76" t="str">
        <x:v>Comparative</x:v>
      </x:c>
      <x:c r="N1671" s="99" t="str">
        <x:v>Printed amount independently located</x:v>
      </x:c>
      <x:c r="O1671" s="99" t="str">
        <x:v>Exact source amount found; audited year/current-comparative column recorded. Accounting subtotal tests performed separately.</x:v>
      </x:c>
      <x:c r="P1671" s="99" t="str">
        <x:v>,588) (50,413)
Dividend paid (1,322) (1,572)
Finance cost paid (985,172) (94,843)
Net cash generated from / (used in) financing activities 19,345,923 (5,455)
Net increase in cash and cash equivalents 848,783 591,984 
Cash and cash equivalents at beginning of the year (716,009) (1,307,993)
Cash and cash equivalents acquired through busi</x:v>
      </x:c>
    </x:row>
    <x:row r="1672" ht="82" customHeight="1">
      <x:c r="A1672" s="168" t="str">
        <x:v>FCCL|cff|2022</x:v>
      </x:c>
      <x:c r="B1672" s="168" t="str">
        <x:v>FCCL</x:v>
      </x:c>
      <x:c r="C1672" s="168" t="str">
        <x:v>FY2022</x:v>
      </x:c>
      <x:c r="D1672" s="168" t="str">
        <x:v>Net cash from financing activities</x:v>
      </x:c>
      <x:c r="E1672" s="169" t="n">
        <x:v>19345923</x:v>
      </x:c>
      <x:c r="F1672" s="169" t="n">
        <x:v>19345923</x:v>
      </x:c>
      <x:c r="G1672" s="169" t="str">
        <x:v>Rs '000</x:v>
      </x:c>
      <x:c r="H1672" s="169" t="n">
        <x:f>F1672/1000</x:f>
        <x:v>19345.923</x:v>
      </x:c>
      <x:c r="I1672" s="169" t="n">
        <x:f>FCCL!E123</x:f>
        <x:v>19345.923</x:v>
      </x:c>
      <x:c r="J1672" s="169" t="n">
        <x:f>H1672-I1672</x:f>
        <x:v>0</x:v>
      </x:c>
      <x:c r="K1672" s="168" t="str">
        <x:v>FCCL-Annual-Report-2023.pdf</x:v>
      </x:c>
      <x:c r="L1672" s="168" t="n">
        <x:v>212</x:v>
      </x:c>
      <x:c r="M1672" s="168" t="str">
        <x:v>Comparative</x:v>
      </x:c>
      <x:c r="N1672" s="171" t="str">
        <x:v>Printed amount independently located</x:v>
      </x:c>
      <x:c r="O1672" s="171" t="str">
        <x:v>Exact source amount found; audited year/current-comparative column recorded. Accounting subtotal tests performed separately.</x:v>
      </x:c>
      <x:c r="P1672" s="171" t="str">
        <x:v>d dividend paid during the year  (1,156)  (1,322)
Finance cost paid  (2,562,932)  (985,172)
Net cash generated from financing activities  10,817,936  19,345,923 
Net increase in cash and cash equivalents  (2,648,908)  848,783 
Cash and cash equivalents at beginning of the year  (911,616)  (716,009)
Cash and cash equivalents acquired throu</x:v>
      </x:c>
    </x:row>
    <x:row r="1673" ht="82" customHeight="1">
      <x:c r="A1673" s="76" t="str">
        <x:v>FCCL|cff|2023</x:v>
      </x:c>
      <x:c r="B1673" s="76" t="str">
        <x:v>FCCL</x:v>
      </x:c>
      <x:c r="C1673" s="76" t="str">
        <x:v>FY2023</x:v>
      </x:c>
      <x:c r="D1673" s="76" t="str">
        <x:v>Net cash from financing activities</x:v>
      </x:c>
      <x:c r="E1673" s="170" t="n">
        <x:v>10897767</x:v>
      </x:c>
      <x:c r="F1673" s="170" t="n">
        <x:v>10897767</x:v>
      </x:c>
      <x:c r="G1673" s="170" t="str">
        <x:v>Rs '000</x:v>
      </x:c>
      <x:c r="H1673" s="170" t="n">
        <x:f>F1673/1000</x:f>
        <x:v>10897.767</x:v>
      </x:c>
      <x:c r="I1673" s="170" t="n">
        <x:f>FCCL!F123</x:f>
        <x:v>10897.767</x:v>
      </x:c>
      <x:c r="J1673" s="170" t="n">
        <x:f>H1673-I1673</x:f>
        <x:v>0</x:v>
      </x:c>
      <x:c r="K1673" s="76" t="str">
        <x:v>FCCL-Annual-Report-2024.pdf</x:v>
      </x:c>
      <x:c r="L1673" s="76" t="n">
        <x:v>195</x:v>
      </x:c>
      <x:c r="M1673" s="76" t="str">
        <x:v>Comparative</x:v>
      </x:c>
      <x:c r="N1673" s="99" t="str">
        <x:v>Printed amount independently located</x:v>
      </x:c>
      <x:c r="O1673" s="99" t="str">
        <x:v>Exact source amount found; audited year/current-comparative column recorded. Accounting subtotal tests performed separately.</x:v>
      </x:c>
      <x:c r="P1673" s="99" t="str">
        <x:v>the year   (355)  (1,156)
 Finance cost paid     (6,993,060)   (2,483,101)
Net cash (used in) / generated from financing activities    (8,479,996)   10,897,767  
Net increase in cash and cash equivalents   5,046,575   (2,738,408)
Cash and cash equivalents at beginning of the year   (3,650,024)  (911,616)
Cash and cash equivalents at en</x:v>
      </x:c>
    </x:row>
    <x:row r="1674" ht="82" customHeight="1">
      <x:c r="A1674" s="168" t="str">
        <x:v>FCCL|cff|2024</x:v>
      </x:c>
      <x:c r="B1674" s="168" t="str">
        <x:v>FCCL</x:v>
      </x:c>
      <x:c r="C1674" s="168" t="str">
        <x:v>FY2024</x:v>
      </x:c>
      <x:c r="D1674" s="168" t="str">
        <x:v>Net cash from financing activities</x:v>
      </x:c>
      <x:c r="E1674" s="169" t="n">
        <x:v>-8479996</x:v>
      </x:c>
      <x:c r="F1674" s="169" t="n">
        <x:v>-8479996</x:v>
      </x:c>
      <x:c r="G1674" s="169" t="str">
        <x:v>Rs '000</x:v>
      </x:c>
      <x:c r="H1674" s="169" t="n">
        <x:f>F1674/1000</x:f>
        <x:v>-8479.996</x:v>
      </x:c>
      <x:c r="I1674" s="169" t="n">
        <x:f>FCCL!G123</x:f>
        <x:v>-8479.996</x:v>
      </x:c>
      <x:c r="J1674" s="169" t="n">
        <x:f>H1674-I1674</x:f>
        <x:v>0</x:v>
      </x:c>
      <x:c r="K1674" s="168" t="str">
        <x:v>FCCL-Annual-Report-2025.pdf</x:v>
      </x:c>
      <x:c r="L1674" s="168" t="n">
        <x:v>249</x:v>
      </x:c>
      <x:c r="M1674" s="168" t="str">
        <x:v>Comparative</x:v>
      </x:c>
      <x:c r="N1674" s="171" t="str">
        <x:v>Printed amount independently located</x:v>
      </x:c>
      <x:c r="O1674" s="171" t="str">
        <x:v>Exact source amount found; audited year/current-comparative column recorded. Accounting subtotal tests performed separately.</x:v>
      </x:c>
      <x:c r="P1674" s="171" t="str">
        <x:v>Markup paid on loan from parent   (553,514) –  
 Finance cost paid    (5,005,937)  (6,993,060)
Net cash used in financing activities   (12,739,192)  (8,479,996)
Net increase in cash and cash equivalents   314,826   5,646,575 
Cash and cash equivalents at beginning of the year   1,996,550   (3,650,025)
Cash and cash equivalents at end of</x:v>
      </x:c>
    </x:row>
    <x:row r="1675" ht="82" customHeight="1">
      <x:c r="A1675" s="76" t="str">
        <x:v>FCCL|cff|2025</x:v>
      </x:c>
      <x:c r="B1675" s="76" t="str">
        <x:v>FCCL</x:v>
      </x:c>
      <x:c r="C1675" s="76" t="str">
        <x:v>FY2025</x:v>
      </x:c>
      <x:c r="D1675" s="76" t="str">
        <x:v>Net cash from financing activities</x:v>
      </x:c>
      <x:c r="E1675" s="170" t="n">
        <x:v>-12739192</x:v>
      </x:c>
      <x:c r="F1675" s="170" t="n">
        <x:v>-12739192</x:v>
      </x:c>
      <x:c r="G1675" s="170" t="str">
        <x:v>Rs '000</x:v>
      </x:c>
      <x:c r="H1675" s="170" t="n">
        <x:f>F1675/1000</x:f>
        <x:v>-12739.192</x:v>
      </x:c>
      <x:c r="I1675" s="170" t="n">
        <x:f>FCCL!H123</x:f>
        <x:v>-12739.192</x:v>
      </x:c>
      <x:c r="J1675" s="170" t="n">
        <x:f>H1675-I1675</x:f>
        <x:v>0</x:v>
      </x:c>
      <x:c r="K1675" s="76" t="str">
        <x:v>FCCL-Annual-Report-2025.pdf</x:v>
      </x:c>
      <x:c r="L1675" s="76" t="n">
        <x:v>249</x:v>
      </x:c>
      <x:c r="M1675" s="76" t="str">
        <x:v>Current year</x:v>
      </x:c>
      <x:c r="N1675" s="99" t="str">
        <x:v>Printed amount independently located</x:v>
      </x:c>
      <x:c r="O1675" s="99" t="str">
        <x:v>Exact source amount found; audited year/current-comparative column recorded. Accounting subtotal tests performed separately.</x:v>
      </x:c>
      <x:c r="P1675" s="99" t="str">
        <x:v>7,311)  (355)
 Markup paid on loan from parent   (553,514) –  
 Finance cost paid    (5,005,937)  (6,993,060)
Net cash used in financing activities   (12,739,192)  (8,479,996)
Net increase in cash and cash equivalents   314,826   5,646,575 
Cash and cash equivalents at beginning of the year   1,996,550   (3,650,025)
Cash and cash equivale</x:v>
      </x:c>
    </x:row>
    <x:row r="1676" ht="82" customHeight="1">
      <x:c r="A1676" s="168" t="str">
        <x:v>FCCL|div_paid|2021</x:v>
      </x:c>
      <x:c r="B1676" s="168" t="str">
        <x:v>FCCL</x:v>
      </x:c>
      <x:c r="C1676" s="168" t="str">
        <x:v>FY2021</x:v>
      </x:c>
      <x:c r="D1676" s="168" t="str">
        <x:v>Dividends paid</x:v>
      </x:c>
      <x:c r="E1676" s="169" t="n">
        <x:v>-1572</x:v>
      </x:c>
      <x:c r="F1676" s="169" t="n">
        <x:v>-1572</x:v>
      </x:c>
      <x:c r="G1676" s="169" t="str">
        <x:v>Rs '000</x:v>
      </x:c>
      <x:c r="H1676" s="169" t="n">
        <x:f>F1676/1000</x:f>
        <x:v>-1.572</x:v>
      </x:c>
      <x:c r="I1676" s="169" t="n">
        <x:f>FCCL!D124</x:f>
        <x:v>-1.572</x:v>
      </x:c>
      <x:c r="J1676" s="169" t="n">
        <x:f>H1676-I1676</x:f>
        <x:v>0</x:v>
      </x:c>
      <x:c r="K1676" s="168" t="str">
        <x:v>FCCL-Annual-Report-2022.pdf</x:v>
      </x:c>
      <x:c r="L1676" s="168" t="n">
        <x:v>190</x:v>
      </x:c>
      <x:c r="M1676" s="168" t="str">
        <x:v>Comparative</x:v>
      </x:c>
      <x:c r="N1676" s="171" t="str">
        <x:v>Printed amount independently located</x:v>
      </x:c>
      <x:c r="O1676" s="171" t="str">
        <x:v>Exact source amount found; audited year/current-comparative column recorded. Accounting subtotal tests performed separately.</x:v>
      </x:c>
      <x:c r="P1676" s="171" t="str">
        <x:v>237)
Disbursements from new long term loans 17,059,404 625,610 
Loan from parent 6,543,000 - 
Lease payments (171,588) (50,413)
Dividend paid (1,322) (1,572)
Finance cost paid (985,172) (94,843)
Net cash generated from / (used in) financing activities 19,345,923 (5,455)
Net increase in cash and cash equivalents 848,783 591,984 
Cash an</x:v>
      </x:c>
    </x:row>
    <x:row r="1677" ht="82" customHeight="1">
      <x:c r="A1677" s="76" t="str">
        <x:v>FCCL|div_paid|2022</x:v>
      </x:c>
      <x:c r="B1677" s="76" t="str">
        <x:v>FCCL</x:v>
      </x:c>
      <x:c r="C1677" s="76" t="str">
        <x:v>FY2022</x:v>
      </x:c>
      <x:c r="D1677" s="76" t="str">
        <x:v>Dividends paid</x:v>
      </x:c>
      <x:c r="E1677" s="170" t="n">
        <x:v>-1322</x:v>
      </x:c>
      <x:c r="F1677" s="170" t="n">
        <x:v>-1322</x:v>
      </x:c>
      <x:c r="G1677" s="170" t="str">
        <x:v>Rs '000</x:v>
      </x:c>
      <x:c r="H1677" s="170" t="n">
        <x:f>F1677/1000</x:f>
        <x:v>-1.322</x:v>
      </x:c>
      <x:c r="I1677" s="170" t="n">
        <x:f>FCCL!E124</x:f>
        <x:v>-1.322</x:v>
      </x:c>
      <x:c r="J1677" s="170" t="n">
        <x:f>H1677-I1677</x:f>
        <x:v>0</x:v>
      </x:c>
      <x:c r="K1677" s="76" t="str">
        <x:v>FCCL-Annual-Report-2023.pdf</x:v>
      </x:c>
      <x:c r="L1677" s="76" t="n">
        <x:v>212</x:v>
      </x:c>
      <x:c r="M1677" s="76" t="str">
        <x:v>Comparative</x:v>
      </x:c>
      <x:c r="N1677" s="99" t="str">
        <x:v>Printed amount independently located</x:v>
      </x:c>
      <x:c r="O1677" s="99" t="str">
        <x:v>Exact source amount found; audited year/current-comparative column recorded. Accounting subtotal tests performed separately.</x:v>
      </x:c>
      <x:c r="P1677" s="99" t="str">
        <x:v>e year  15,976,605  17,059,404 
Loan from parent  -  6,543,000 
Lease payments  (89,354)  (171,588)
Unclaimed dividend paid during the year  (1,156)  (1,322)
Finance cost paid  (2,562,932)  (985,172)
Net cash generated from financing activities  10,817,936  19,345,923 
Net increase in cash and cash equivalents  (2,648,908)  848,783 
Ca</x:v>
      </x:c>
    </x:row>
    <x:row r="1678" ht="82" customHeight="1">
      <x:c r="A1678" s="168" t="str">
        <x:v>FCCL|div_paid|2023</x:v>
      </x:c>
      <x:c r="B1678" s="168" t="str">
        <x:v>FCCL</x:v>
      </x:c>
      <x:c r="C1678" s="168" t="str">
        <x:v>FY2023</x:v>
      </x:c>
      <x:c r="D1678" s="168" t="str">
        <x:v>Dividends paid</x:v>
      </x:c>
      <x:c r="E1678" s="169" t="n">
        <x:v>-1156</x:v>
      </x:c>
      <x:c r="F1678" s="169" t="n">
        <x:v>-1156</x:v>
      </x:c>
      <x:c r="G1678" s="169" t="str">
        <x:v>Rs '000</x:v>
      </x:c>
      <x:c r="H1678" s="169" t="n">
        <x:f>F1678/1000</x:f>
        <x:v>-1.156</x:v>
      </x:c>
      <x:c r="I1678" s="169" t="n">
        <x:f>FCCL!F124</x:f>
        <x:v>-1.156</x:v>
      </x:c>
      <x:c r="J1678" s="169" t="n">
        <x:f>H1678-I1678</x:f>
        <x:v>0</x:v>
      </x:c>
      <x:c r="K1678" s="168" t="str">
        <x:v>FCCL-Annual-Report-2024.pdf</x:v>
      </x:c>
      <x:c r="L1678" s="168" t="n">
        <x:v>195</x:v>
      </x:c>
      <x:c r="M1678" s="168" t="str">
        <x:v>Comparative</x:v>
      </x:c>
      <x:c r="N1678" s="171" t="str">
        <x:v>Printed amount independently located</x:v>
      </x:c>
      <x:c r="O1678" s="171" t="str">
        <x:v>Exact source amount found; audited year/current-comparative column recorded. Accounting subtotal tests performed separately.</x:v>
      </x:c>
      <x:c r="P1678" s="171" t="str">
        <x:v>ng term loans received during the year   644,239   15,976,605 
 Lease payments   (77,816)  (89,354)
 Unclaimed dividend paid during the year   (355)  (1,156)
 Finance cost paid     (6,993,060)   (2,483,101)
Net cash (used in) / generated from financing activities    (8,479,996)   10,897,767  
Net increase in cash and cash equivalents</x:v>
      </x:c>
    </x:row>
    <x:row r="1679" ht="82" customHeight="1">
      <x:c r="A1679" s="76" t="str">
        <x:v>FCCL|div_paid|2024</x:v>
      </x:c>
      <x:c r="B1679" s="76" t="str">
        <x:v>FCCL</x:v>
      </x:c>
      <x:c r="C1679" s="76" t="str">
        <x:v>FY2024</x:v>
      </x:c>
      <x:c r="D1679" s="76" t="str">
        <x:v>Dividends paid</x:v>
      </x:c>
      <x:c r="E1679" s="170" t="n">
        <x:v>-355</x:v>
      </x:c>
      <x:c r="F1679" s="170" t="n">
        <x:v>-355</x:v>
      </x:c>
      <x:c r="G1679" s="170" t="str">
        <x:v>Rs '000</x:v>
      </x:c>
      <x:c r="H1679" s="170" t="n">
        <x:f>F1679/1000</x:f>
        <x:v>-0.355</x:v>
      </x:c>
      <x:c r="I1679" s="170" t="n">
        <x:f>FCCL!G124</x:f>
        <x:v>-0.355</x:v>
      </x:c>
      <x:c r="J1679" s="170" t="n">
        <x:f>H1679-I1679</x:f>
        <x:v>0</x:v>
      </x:c>
      <x:c r="K1679" s="76" t="str">
        <x:v>FCCL-Annual-Report-2025.pdf</x:v>
      </x:c>
      <x:c r="L1679" s="76" t="n">
        <x:v>249</x:v>
      </x:c>
      <x:c r="M1679" s="76" t="str">
        <x:v>Comparative</x:v>
      </x:c>
      <x:c r="N1679" s="99" t="str">
        <x:v>Printed amount independently located</x:v>
      </x:c>
      <x:c r="O1679" s="99" t="str">
        <x:v>Exact source amount found; audited year/current-comparative column recorded. Accounting subtotal tests performed separately.</x:v>
      </x:c>
      <x:c r="P1679" s="99" t="str">
        <x:v>(2,053,004)
 Long term loans received during the year  –  644,239 
 Lease payments   (75,315)  (77,816)
 Dividend paid during the year   (2,447,311)  (355)
 Markup paid on loan from parent   (553,514) –  
 Finance cost paid    (5,005,937)  (6,993,060)
Net cash used in financing activities   (12,739,192)  (8,479,996)
Net increase in</x:v>
      </x:c>
    </x:row>
    <x:row r="1680" ht="82" customHeight="1">
      <x:c r="A1680" s="168" t="str">
        <x:v>FCCL|div_paid|2025</x:v>
      </x:c>
      <x:c r="B1680" s="168" t="str">
        <x:v>FCCL</x:v>
      </x:c>
      <x:c r="C1680" s="168" t="str">
        <x:v>FY2025</x:v>
      </x:c>
      <x:c r="D1680" s="168" t="str">
        <x:v>Dividends paid</x:v>
      </x:c>
      <x:c r="E1680" s="169" t="n">
        <x:v>-2447311</x:v>
      </x:c>
      <x:c r="F1680" s="169" t="n">
        <x:v>-2447311</x:v>
      </x:c>
      <x:c r="G1680" s="169" t="str">
        <x:v>Rs '000</x:v>
      </x:c>
      <x:c r="H1680" s="169" t="n">
        <x:f>F1680/1000</x:f>
        <x:v>-2447.311</x:v>
      </x:c>
      <x:c r="I1680" s="169" t="n">
        <x:f>FCCL!H124</x:f>
        <x:v>-2447.311</x:v>
      </x:c>
      <x:c r="J1680" s="169" t="n">
        <x:f>H1680-I1680</x:f>
        <x:v>0</x:v>
      </x:c>
      <x:c r="K1680" s="168" t="str">
        <x:v>FCCL-Annual-Report-2025.pdf</x:v>
      </x:c>
      <x:c r="L1680" s="168" t="n">
        <x:v>249</x:v>
      </x:c>
      <x:c r="M1680" s="168" t="str">
        <x:v>Current year</x:v>
      </x:c>
      <x:c r="N1680" s="171" t="str">
        <x:v>Printed amount independently located</x:v>
      </x:c>
      <x:c r="O1680" s="171" t="str">
        <x:v>Exact source amount found; audited year/current-comparative column recorded. Accounting subtotal tests performed separately.</x:v>
      </x:c>
      <x:c r="P1680" s="171" t="str">
        <x:v>(4,657,115)  (2,053,004)
 Long term loans received during the year  –  644,239 
 Lease payments   (75,315)  (77,816)
 Dividend paid during the year   (2,447,311)  (355)
 Markup paid on loan from parent   (553,514) –  
 Finance cost paid    (5,005,937)  (6,993,060)
Net cash used in financing activities   (12,739,192)  (8,479,996)
Net incr</x:v>
      </x:c>
    </x:row>
    <x:row r="1681">
      <x:c r="A1681" s="84" t="str">
        <x:v>LUCK|cash_equiv_published|2021</x:v>
      </x:c>
      <x:c r="B1681" s="84" t="str">
        <x:v>LUCK</x:v>
      </x:c>
      <x:c r="C1681" s="84" t="str">
        <x:v>FY2021</x:v>
      </x:c>
      <x:c r="D1681" s="84" t="str">
        <x:v>Cash equivalents for published cash ratio</x:v>
      </x:c>
      <x:c r="E1681" s="173"/>
      <x:c r="F1681" s="173" t="n">
        <x:v>11641039</x:v>
      </x:c>
      <x:c r="G1681" s="173" t="str">
        <x:v>PKR '000</x:v>
      </x:c>
      <x:c r="H1681" s="173" t="n">
        <x:f>F1681/1000</x:f>
        <x:v>11641.039</x:v>
      </x:c>
      <x:c r="I1681" s="173" t="n">
        <x:f>LUCK!D257</x:f>
        <x:v>11641.039</x:v>
      </x:c>
      <x:c r="J1681" s="173" t="n">
        <x:f>H1681-I1681</x:f>
        <x:v>0</x:v>
      </x:c>
      <x:c r="K1681" s="84" t="str">
        <x:v>2022.pdf</x:v>
      </x:c>
      <x:c r="L1681" s="84" t="n">
        <x:v>229</x:v>
      </x:c>
      <x:c r="M1681" s="84" t="str">
        <x:v>Note / current or comparative</x:v>
      </x:c>
      <x:c r="N1681" s="98" t="str">
        <x:v>Official note classification</x:v>
      </x:c>
      <x:c r="O1681" s="98" t="str">
        <x:v>Added explicit note component; no change to signed gross statement presentation.</x:v>
      </x:c>
      <x:c r="P1681" s="98" t="str">
        <x:v>Audited cash-flow closing cash and cash equivalents; FY2023-25 comparatives/current series 26,001,579;32,382,131;64,088,375 thousand. Used for company-published cash-ratio reconstruction only.</x:v>
      </x:c>
    </x:row>
    <x:row r="1682">
      <x:c r="A1682" s="84" t="str">
        <x:v>LUCK|cash_equiv_published|2022</x:v>
      </x:c>
      <x:c r="B1682" s="84" t="str">
        <x:v>LUCK</x:v>
      </x:c>
      <x:c r="C1682" s="84" t="str">
        <x:v>FY2022</x:v>
      </x:c>
      <x:c r="D1682" s="84" t="str">
        <x:v>Cash equivalents for published cash ratio</x:v>
      </x:c>
      <x:c r="E1682" s="173"/>
      <x:c r="F1682" s="173" t="n">
        <x:v>14493016</x:v>
      </x:c>
      <x:c r="G1682" s="173" t="str">
        <x:v>PKR '000</x:v>
      </x:c>
      <x:c r="H1682" s="173" t="n">
        <x:f>F1682/1000</x:f>
        <x:v>14493.016</x:v>
      </x:c>
      <x:c r="I1682" s="173" t="n">
        <x:f>LUCK!E257</x:f>
        <x:v>14493.016</x:v>
      </x:c>
      <x:c r="J1682" s="173" t="n">
        <x:f>H1682-I1682</x:f>
        <x:v>0</x:v>
      </x:c>
      <x:c r="K1682" s="84" t="str">
        <x:v>2022.pdf</x:v>
      </x:c>
      <x:c r="L1682" s="84" t="n">
        <x:v>229</x:v>
      </x:c>
      <x:c r="M1682" s="84" t="str">
        <x:v>Note / current or comparative</x:v>
      </x:c>
      <x:c r="N1682" s="98" t="str">
        <x:v>Official note classification</x:v>
      </x:c>
      <x:c r="O1682" s="98" t="str">
        <x:v>Added explicit note component; no change to signed gross statement presentation.</x:v>
      </x:c>
      <x:c r="P1682" s="98" t="str">
        <x:v>Audited cash-flow closing cash and cash equivalents; FY2023-25 comparatives/current series 26,001,579;32,382,131;64,088,375 thousand. Used for company-published cash-ratio reconstruction only.</x:v>
      </x:c>
    </x:row>
    <x:row r="1683">
      <x:c r="A1683" s="84" t="str">
        <x:v>LUCK|cash_equiv_published|2023</x:v>
      </x:c>
      <x:c r="B1683" s="84" t="str">
        <x:v>LUCK</x:v>
      </x:c>
      <x:c r="C1683" s="84" t="str">
        <x:v>FY2023</x:v>
      </x:c>
      <x:c r="D1683" s="84" t="str">
        <x:v>Cash equivalents for published cash ratio</x:v>
      </x:c>
      <x:c r="E1683" s="173"/>
      <x:c r="F1683" s="173" t="n">
        <x:v>26001579</x:v>
      </x:c>
      <x:c r="G1683" s="173" t="str">
        <x:v>PKR '000</x:v>
      </x:c>
      <x:c r="H1683" s="173" t="n">
        <x:f>F1683/1000</x:f>
        <x:v>26001.579</x:v>
      </x:c>
      <x:c r="I1683" s="173" t="n">
        <x:f>LUCK!F257</x:f>
        <x:v>26001.579</x:v>
      </x:c>
      <x:c r="J1683" s="173" t="n">
        <x:f>H1683-I1683</x:f>
        <x:v>0</x:v>
      </x:c>
      <x:c r="K1683" s="84" t="str">
        <x:v>2024.pdf</x:v>
      </x:c>
      <x:c r="L1683" s="84" t="n">
        <x:v>241</x:v>
      </x:c>
      <x:c r="M1683" s="84" t="str">
        <x:v>Note / current or comparative</x:v>
      </x:c>
      <x:c r="N1683" s="98" t="str">
        <x:v>Official note classification</x:v>
      </x:c>
      <x:c r="O1683" s="98" t="str">
        <x:v>Added explicit note component; no change to signed gross statement presentation.</x:v>
      </x:c>
      <x:c r="P1683" s="98" t="str">
        <x:v>Audited cash-flow closing cash and cash equivalents; FY2023-25 comparatives/current series 26,001,579;32,382,131;64,088,375 thousand. Used for company-published cash-ratio reconstruction only.</x:v>
      </x:c>
    </x:row>
    <x:row r="1684">
      <x:c r="A1684" s="84" t="str">
        <x:v>LUCK|cash_equiv_published|2024</x:v>
      </x:c>
      <x:c r="B1684" s="84" t="str">
        <x:v>LUCK</x:v>
      </x:c>
      <x:c r="C1684" s="84" t="str">
        <x:v>FY2024</x:v>
      </x:c>
      <x:c r="D1684" s="84" t="str">
        <x:v>Cash equivalents for published cash ratio</x:v>
      </x:c>
      <x:c r="E1684" s="173"/>
      <x:c r="F1684" s="173" t="n">
        <x:v>32382131</x:v>
      </x:c>
      <x:c r="G1684" s="173" t="str">
        <x:v>PKR '000</x:v>
      </x:c>
      <x:c r="H1684" s="173" t="n">
        <x:f>F1684/1000</x:f>
        <x:v>32382.131</x:v>
      </x:c>
      <x:c r="I1684" s="173" t="n">
        <x:f>LUCK!G257</x:f>
        <x:v>32382.131</x:v>
      </x:c>
      <x:c r="J1684" s="173" t="n">
        <x:f>H1684-I1684</x:f>
        <x:v>0</x:v>
      </x:c>
      <x:c r="K1684" s="84" t="str">
        <x:v>2025.pdf</x:v>
      </x:c>
      <x:c r="L1684" s="84" t="n">
        <x:v>243</x:v>
      </x:c>
      <x:c r="M1684" s="84" t="str">
        <x:v>Note / current or comparative</x:v>
      </x:c>
      <x:c r="N1684" s="98" t="str">
        <x:v>Official note classification</x:v>
      </x:c>
      <x:c r="O1684" s="98" t="str">
        <x:v>Added explicit note component; no change to signed gross statement presentation.</x:v>
      </x:c>
      <x:c r="P1684" s="98" t="str">
        <x:v>Audited cash-flow closing cash and cash equivalents; FY2023-25 comparatives/current series 26,001,579;32,382,131;64,088,375 thousand. Used for company-published cash-ratio reconstruction only.</x:v>
      </x:c>
    </x:row>
    <x:row r="1685">
      <x:c r="A1685" s="84" t="str">
        <x:v>LUCK|cash_equiv_published|2025</x:v>
      </x:c>
      <x:c r="B1685" s="84" t="str">
        <x:v>LUCK</x:v>
      </x:c>
      <x:c r="C1685" s="84" t="str">
        <x:v>FY2025</x:v>
      </x:c>
      <x:c r="D1685" s="84" t="str">
        <x:v>Cash equivalents for published cash ratio</x:v>
      </x:c>
      <x:c r="E1685" s="173"/>
      <x:c r="F1685" s="173" t="n">
        <x:v>64088375</x:v>
      </x:c>
      <x:c r="G1685" s="173" t="str">
        <x:v>PKR '000</x:v>
      </x:c>
      <x:c r="H1685" s="173" t="n">
        <x:f>F1685/1000</x:f>
        <x:v>64088.375</x:v>
      </x:c>
      <x:c r="I1685" s="173" t="n">
        <x:f>LUCK!H257</x:f>
        <x:v>64088.375</x:v>
      </x:c>
      <x:c r="J1685" s="173" t="n">
        <x:f>H1685-I1685</x:f>
        <x:v>0</x:v>
      </x:c>
      <x:c r="K1685" s="84" t="str">
        <x:v>2025.pdf</x:v>
      </x:c>
      <x:c r="L1685" s="84" t="n">
        <x:v>243</x:v>
      </x:c>
      <x:c r="M1685" s="84" t="str">
        <x:v>Note / current or comparative</x:v>
      </x:c>
      <x:c r="N1685" s="98" t="str">
        <x:v>Official note classification</x:v>
      </x:c>
      <x:c r="O1685" s="98" t="str">
        <x:v>Added explicit note component; no change to signed gross statement presentation.</x:v>
      </x:c>
      <x:c r="P1685" s="98" t="str">
        <x:v>Audited cash-flow closing cash and cash equivalents; FY2023-25 comparatives/current series 26,001,579;32,382,131;64,088,375 thousand. Used for company-published cash-ratio reconstruction only.</x:v>
      </x:c>
    </x:row>
    <x:row r="1686">
      <x:c r="A1686" s="84" t="str">
        <x:v>FCCL|bank_interest_published|2023</x:v>
      </x:c>
      <x:c r="B1686" s="84" t="str">
        <x:v>FCCL</x:v>
      </x:c>
      <x:c r="C1686" s="84" t="str">
        <x:v>FY2023</x:v>
      </x:c>
      <x:c r="D1686" s="84" t="str">
        <x:v>Bank interest for published coverage</x:v>
      </x:c>
      <x:c r="E1686" s="173"/>
      <x:c r="F1686" s="173" t="n">
        <x:v>2591899</x:v>
      </x:c>
      <x:c r="G1686" s="173" t="str">
        <x:v>PKR '000</x:v>
      </x:c>
      <x:c r="H1686" s="173" t="n">
        <x:f>F1686/1000</x:f>
        <x:v>2591.899</x:v>
      </x:c>
      <x:c r="I1686" s="173" t="n">
        <x:f>FCCL!F255</x:f>
        <x:v>2591.899</x:v>
      </x:c>
      <x:c r="J1686" s="173" t="n">
        <x:f>H1686-I1686</x:f>
        <x:v>0</x:v>
      </x:c>
      <x:c r="K1686" s="84" t="str">
        <x:v>FCCL-Annual-Report-2024.pdf</x:v>
      </x:c>
      <x:c r="L1686" s="84" t="n">
        <x:v>228</x:v>
      </x:c>
      <x:c r="M1686" s="84" t="str">
        <x:v>Note / current or comparative</x:v>
      </x:c>
      <x:c r="N1686" s="98" t="str">
        <x:v>Official note classification</x:v>
      </x:c>
      <x:c r="O1686" s="98" t="str">
        <x:v>Added explicit note component; no change to signed gross statement presentation.</x:v>
      </x:c>
      <x:c r="P1686" s="98" t="str">
        <x:v>Conventional plus Islamic bank interest; excludes separately disclosed WPPF and lease interest, FX and bank charges.</x:v>
      </x:c>
    </x:row>
    <x:row r="1687">
      <x:c r="A1687" s="84" t="str">
        <x:v>FCCL|bank_interest_published|2024</x:v>
      </x:c>
      <x:c r="B1687" s="84" t="str">
        <x:v>FCCL</x:v>
      </x:c>
      <x:c r="C1687" s="84" t="str">
        <x:v>FY2024</x:v>
      </x:c>
      <x:c r="D1687" s="84" t="str">
        <x:v>Bank interest for published coverage</x:v>
      </x:c>
      <x:c r="E1687" s="173"/>
      <x:c r="F1687" s="173" t="n">
        <x:v>5468892</x:v>
      </x:c>
      <x:c r="G1687" s="173" t="str">
        <x:v>PKR '000</x:v>
      </x:c>
      <x:c r="H1687" s="173" t="n">
        <x:f>F1687/1000</x:f>
        <x:v>5468.892</x:v>
      </x:c>
      <x:c r="I1687" s="173" t="n">
        <x:f>FCCL!G255</x:f>
        <x:v>5468.892</x:v>
      </x:c>
      <x:c r="J1687" s="173" t="n">
        <x:f>H1687-I1687</x:f>
        <x:v>0</x:v>
      </x:c>
      <x:c r="K1687" s="84" t="str">
        <x:v>FCCL-Annual-Report-2025.pdf</x:v>
      </x:c>
      <x:c r="L1687" s="84" t="n">
        <x:v>283</x:v>
      </x:c>
      <x:c r="M1687" s="84" t="str">
        <x:v>Note / current or comparative</x:v>
      </x:c>
      <x:c r="N1687" s="98" t="str">
        <x:v>Official note classification</x:v>
      </x:c>
      <x:c r="O1687" s="98" t="str">
        <x:v>Added explicit note component; no change to signed gross statement presentation.</x:v>
      </x:c>
      <x:c r="P1687" s="98" t="str">
        <x:v>Conventional plus Islamic bank interest; excludes separately disclosed WPPF and lease interest, FX and bank charges.</x:v>
      </x:c>
    </x:row>
    <x:row r="1688">
      <x:c r="A1688" s="84" t="str">
        <x:v>FCCL|bank_interest_published|2025</x:v>
      </x:c>
      <x:c r="B1688" s="84" t="str">
        <x:v>FCCL</x:v>
      </x:c>
      <x:c r="C1688" s="84" t="str">
        <x:v>FY2025</x:v>
      </x:c>
      <x:c r="D1688" s="84" t="str">
        <x:v>Bank interest for published coverage</x:v>
      </x:c>
      <x:c r="E1688" s="173"/>
      <x:c r="F1688" s="173" t="n">
        <x:v>5646343</x:v>
      </x:c>
      <x:c r="G1688" s="173" t="str">
        <x:v>PKR '000</x:v>
      </x:c>
      <x:c r="H1688" s="173" t="n">
        <x:f>F1688/1000</x:f>
        <x:v>5646.343</x:v>
      </x:c>
      <x:c r="I1688" s="173" t="n">
        <x:f>FCCL!H255</x:f>
        <x:v>5646.343</x:v>
      </x:c>
      <x:c r="J1688" s="173" t="n">
        <x:f>H1688-I1688</x:f>
        <x:v>0</x:v>
      </x:c>
      <x:c r="K1688" s="84" t="str">
        <x:v>FCCL-Annual-Report-2025.pdf</x:v>
      </x:c>
      <x:c r="L1688" s="84" t="n">
        <x:v>283</x:v>
      </x:c>
      <x:c r="M1688" s="84" t="str">
        <x:v>Note / current or comparative</x:v>
      </x:c>
      <x:c r="N1688" s="98" t="str">
        <x:v>Official note classification</x:v>
      </x:c>
      <x:c r="O1688" s="98" t="str">
        <x:v>Added explicit note component; no change to signed gross statement presentation.</x:v>
      </x:c>
      <x:c r="P1688" s="98" t="str">
        <x:v>Conventional plus Islamic bank interest; excludes separately disclosed WPPF and lease interest, FX and bank charges.</x:v>
      </x:c>
    </x:row>
    <x:row r="1689">
      <x:c r="A1689" s="84" t="str">
        <x:v>KOHC|contractors_published|2020</x:v>
      </x:c>
      <x:c r="B1689" s="84" t="str">
        <x:v>KOHC</x:v>
      </x:c>
      <x:c r="C1689" s="84" t="str">
        <x:v>FY2020</x:v>
      </x:c>
      <x:c r="D1689" s="84" t="str">
        <x:v>Contractors bills in company DPO</x:v>
      </x:c>
      <x:c r="E1689" s="173"/>
      <x:c r="F1689" s="173" t="n">
        <x:v>187147806</x:v>
      </x:c>
      <x:c r="G1689" s="173" t="str">
        <x:v>Rupees</x:v>
      </x:c>
      <x:c r="H1689" s="173" t="n">
        <x:f>F1689/1000000</x:f>
        <x:v>187.147806</x:v>
      </x:c>
      <x:c r="I1689" s="173" t="n">
        <x:f>KOHC!C254</x:f>
        <x:v>187.147806</x:v>
      </x:c>
      <x:c r="J1689" s="173" t="n">
        <x:f>H1689-I1689</x:f>
        <x:v>0</x:v>
      </x:c>
      <x:c r="K1689" s="84" t="str">
        <x:v>KOHC_AR_2021.pdf</x:v>
      </x:c>
      <x:c r="L1689" s="84" t="n">
        <x:v>67</x:v>
      </x:c>
      <x:c r="M1689" s="84" t="str">
        <x:v>Note / current or comparative</x:v>
      </x:c>
      <x:c r="N1689" s="98" t="str">
        <x:v>Official note classification</x:v>
      </x:c>
      <x:c r="O1689" s="98" t="str">
        <x:v>Added explicit note component; no change to signed gross statement presentation.</x:v>
      </x:c>
      <x:c r="P1689" s="98" t="str">
        <x:v>Contractors bills are a separate line in note9; used only to reconstruct company closing-payable convention. Excluded from unallocated operating supplier balance.</x:v>
      </x:c>
    </x:row>
    <x:row r="1690">
      <x:c r="A1690" s="84" t="str">
        <x:v>KOHC|contractors_published|2021</x:v>
      </x:c>
      <x:c r="B1690" s="84" t="str">
        <x:v>KOHC</x:v>
      </x:c>
      <x:c r="C1690" s="84" t="str">
        <x:v>FY2021</x:v>
      </x:c>
      <x:c r="D1690" s="84" t="str">
        <x:v>Contractors bills in company DPO</x:v>
      </x:c>
      <x:c r="E1690" s="173"/>
      <x:c r="F1690" s="173" t="n">
        <x:v>117088053</x:v>
      </x:c>
      <x:c r="G1690" s="173" t="str">
        <x:v>Rupees</x:v>
      </x:c>
      <x:c r="H1690" s="173" t="n">
        <x:f>F1690/1000000</x:f>
        <x:v>117.088053</x:v>
      </x:c>
      <x:c r="I1690" s="173" t="n">
        <x:f>KOHC!D254</x:f>
        <x:v>117.088053</x:v>
      </x:c>
      <x:c r="J1690" s="173" t="n">
        <x:f>H1690-I1690</x:f>
        <x:v>0</x:v>
      </x:c>
      <x:c r="K1690" s="84" t="str">
        <x:v>Kohat_Cement_AR_2022.pdf</x:v>
      </x:c>
      <x:c r="L1690" s="84" t="n">
        <x:v>75</x:v>
      </x:c>
      <x:c r="M1690" s="84" t="str">
        <x:v>Note / current or comparative</x:v>
      </x:c>
      <x:c r="N1690" s="98" t="str">
        <x:v>Official note classification</x:v>
      </x:c>
      <x:c r="O1690" s="98" t="str">
        <x:v>Added explicit note component; no change to signed gross statement presentation.</x:v>
      </x:c>
      <x:c r="P1690" s="98" t="str">
        <x:v>Contractors bills are a separate line in note9; used only to reconstruct company closing-payable convention. Excluded from unallocated operating supplier balance.</x:v>
      </x:c>
    </x:row>
    <x:row r="1691">
      <x:c r="A1691" s="84" t="str">
        <x:v>KOHC|contractors_published|2022</x:v>
      </x:c>
      <x:c r="B1691" s="84" t="str">
        <x:v>KOHC</x:v>
      </x:c>
      <x:c r="C1691" s="84" t="str">
        <x:v>FY2022</x:v>
      </x:c>
      <x:c r="D1691" s="84" t="str">
        <x:v>Contractors bills in company DPO</x:v>
      </x:c>
      <x:c r="E1691" s="173"/>
      <x:c r="F1691" s="173" t="n">
        <x:v>43471738</x:v>
      </x:c>
      <x:c r="G1691" s="173" t="str">
        <x:v>Rupees</x:v>
      </x:c>
      <x:c r="H1691" s="173" t="n">
        <x:f>F1691/1000000</x:f>
        <x:v>43.471738</x:v>
      </x:c>
      <x:c r="I1691" s="173" t="n">
        <x:f>KOHC!E254</x:f>
        <x:v>43.471738</x:v>
      </x:c>
      <x:c r="J1691" s="173" t="n">
        <x:f>H1691-I1691</x:f>
        <x:v>0</x:v>
      </x:c>
      <x:c r="K1691" s="84" t="str">
        <x:v>Financial_Statements-30-06-2023.pdf</x:v>
      </x:c>
      <x:c r="L1691" s="84" t="n">
        <x:v>75</x:v>
      </x:c>
      <x:c r="M1691" s="84" t="str">
        <x:v>Note / current or comparative</x:v>
      </x:c>
      <x:c r="N1691" s="98" t="str">
        <x:v>Official note classification</x:v>
      </x:c>
      <x:c r="O1691" s="98" t="str">
        <x:v>Added explicit note component; no change to signed gross statement presentation.</x:v>
      </x:c>
      <x:c r="P1691" s="98" t="str">
        <x:v>Contractors bills are a separate line in note9; used only to reconstruct company closing-payable convention. Excluded from unallocated operating supplier balance.</x:v>
      </x:c>
    </x:row>
    <x:row r="1692">
      <x:c r="A1692" s="84" t="str">
        <x:v>KOHC|contractors_published|2023</x:v>
      </x:c>
      <x:c r="B1692" s="84" t="str">
        <x:v>KOHC</x:v>
      </x:c>
      <x:c r="C1692" s="84" t="str">
        <x:v>FY2023</x:v>
      </x:c>
      <x:c r="D1692" s="84" t="str">
        <x:v>Contractors bills in company DPO</x:v>
      </x:c>
      <x:c r="E1692" s="173"/>
      <x:c r="F1692" s="173" t="n">
        <x:v>38593713</x:v>
      </x:c>
      <x:c r="G1692" s="173" t="str">
        <x:v>Rupees</x:v>
      </x:c>
      <x:c r="H1692" s="173" t="n">
        <x:f>F1692/1000000</x:f>
        <x:v>38.593713</x:v>
      </x:c>
      <x:c r="I1692" s="173" t="n">
        <x:f>KOHC!F254</x:f>
        <x:v>38.593713</x:v>
      </x:c>
      <x:c r="J1692" s="173" t="n">
        <x:f>H1692-I1692</x:f>
        <x:v>0</x:v>
      </x:c>
      <x:c r="K1692" s="84" t="str">
        <x:v>Kohat_Cement_Annual_Report-2024.pdf</x:v>
      </x:c>
      <x:c r="L1692" s="84" t="n">
        <x:v>83</x:v>
      </x:c>
      <x:c r="M1692" s="84" t="str">
        <x:v>Note / current or comparative</x:v>
      </x:c>
      <x:c r="N1692" s="98" t="str">
        <x:v>Official note classification</x:v>
      </x:c>
      <x:c r="O1692" s="98" t="str">
        <x:v>Added explicit note component; no change to signed gross statement presentation.</x:v>
      </x:c>
      <x:c r="P1692" s="98" t="str">
        <x:v>Contractors bills are a separate line in note9; used only to reconstruct company closing-payable convention. Excluded from unallocated operating supplier balance.</x:v>
      </x:c>
    </x:row>
    <x:row r="1693">
      <x:c r="A1693" s="84" t="str">
        <x:v>KOHC|contractors_published|2024</x:v>
      </x:c>
      <x:c r="B1693" s="84" t="str">
        <x:v>KOHC</x:v>
      </x:c>
      <x:c r="C1693" s="84" t="str">
        <x:v>FY2024</x:v>
      </x:c>
      <x:c r="D1693" s="84" t="str">
        <x:v>Contractors bills in company DPO</x:v>
      </x:c>
      <x:c r="E1693" s="173"/>
      <x:c r="F1693" s="173" t="n">
        <x:v>46432357</x:v>
      </x:c>
      <x:c r="G1693" s="173" t="str">
        <x:v>Rupees</x:v>
      </x:c>
      <x:c r="H1693" s="173" t="n">
        <x:f>F1693/1000000</x:f>
        <x:v>46.432357</x:v>
      </x:c>
      <x:c r="I1693" s="173" t="n">
        <x:f>KOHC!G254</x:f>
        <x:v>46.432357</x:v>
      </x:c>
      <x:c r="J1693" s="173" t="n">
        <x:f>H1693-I1693</x:f>
        <x:v>0</x:v>
      </x:c>
      <x:c r="K1693" s="84" t="str">
        <x:v>Kohat_Cement_Annual_Report_2025.pdf</x:v>
      </x:c>
      <x:c r="L1693" s="84" t="n">
        <x:v>91</x:v>
      </x:c>
      <x:c r="M1693" s="84" t="str">
        <x:v>Note / current or comparative</x:v>
      </x:c>
      <x:c r="N1693" s="98" t="str">
        <x:v>Official note classification</x:v>
      </x:c>
      <x:c r="O1693" s="98" t="str">
        <x:v>Added explicit note component; no change to signed gross statement presentation.</x:v>
      </x:c>
      <x:c r="P1693" s="98" t="str">
        <x:v>Contractors bills are a separate line in note9; used only to reconstruct company closing-payable convention. Excluded from unallocated operating supplier balance.</x:v>
      </x:c>
    </x:row>
    <x:row r="1694">
      <x:c r="A1694" s="84" t="str">
        <x:v>KOHC|contractors_published|2025</x:v>
      </x:c>
      <x:c r="B1694" s="84" t="str">
        <x:v>KOHC</x:v>
      </x:c>
      <x:c r="C1694" s="84" t="str">
        <x:v>FY2025</x:v>
      </x:c>
      <x:c r="D1694" s="84" t="str">
        <x:v>Contractors bills in company DPO</x:v>
      </x:c>
      <x:c r="E1694" s="173"/>
      <x:c r="F1694" s="173" t="n">
        <x:v>67320365</x:v>
      </x:c>
      <x:c r="G1694" s="173" t="str">
        <x:v>Rupees</x:v>
      </x:c>
      <x:c r="H1694" s="173" t="n">
        <x:f>F1694/1000000</x:f>
        <x:v>67.320365</x:v>
      </x:c>
      <x:c r="I1694" s="173" t="n">
        <x:f>KOHC!H254</x:f>
        <x:v>67.320365</x:v>
      </x:c>
      <x:c r="J1694" s="173" t="n">
        <x:f>H1694-I1694</x:f>
        <x:v>0</x:v>
      </x:c>
      <x:c r="K1694" s="84" t="str">
        <x:v>Kohat_Cement_Annual_Report_2025.pdf</x:v>
      </x:c>
      <x:c r="L1694" s="84" t="n">
        <x:v>91</x:v>
      </x:c>
      <x:c r="M1694" s="84" t="str">
        <x:v>Note / current or comparative</x:v>
      </x:c>
      <x:c r="N1694" s="98" t="str">
        <x:v>Official note classification</x:v>
      </x:c>
      <x:c r="O1694" s="98" t="str">
        <x:v>Added explicit note component; no change to signed gross statement presentation.</x:v>
      </x:c>
      <x:c r="P1694" s="98" t="str">
        <x:v>Contractors bills are a separate line in note9; used only to reconstruct company closing-payable convention. Excluded from unallocated operating supplier balance.</x:v>
      </x:c>
    </x:row>
    <x:row r="1695">
      <x:c r="A1695" s="84" t="str">
        <x:v>FCCL|noninterest_parent|2022</x:v>
      </x:c>
      <x:c r="B1695" s="84" t="str">
        <x:v>FCCL</x:v>
      </x:c>
      <x:c r="C1695" s="84" t="str">
        <x:v>FY2022</x:v>
      </x:c>
      <x:c r="D1695" s="84" t="str">
        <x:v>Interest-free parent financing</x:v>
      </x:c>
      <x:c r="E1695" s="173"/>
      <x:c r="F1695" s="173" t="n">
        <x:v>7387000</x:v>
      </x:c>
      <x:c r="G1695" s="173" t="str">
        <x:v>PKR '000</x:v>
      </x:c>
      <x:c r="H1695" s="173" t="n">
        <x:f>F1695/1000</x:f>
        <x:v>7387</x:v>
      </x:c>
      <x:c r="I1695" s="173" t="n">
        <x:f>FCCL!E251</x:f>
        <x:v>7387</x:v>
      </x:c>
      <x:c r="J1695" s="173" t="n">
        <x:f>H1695-I1695</x:f>
        <x:v>0</x:v>
      </x:c>
      <x:c r="K1695" s="84" t="str">
        <x:v>FCCL-Annual-Report-2023.pdf</x:v>
      </x:c>
      <x:c r="L1695" s="84" t="n">
        <x:v>234</x:v>
      </x:c>
      <x:c r="M1695" s="84" t="str">
        <x:v>Note / current or comparative</x:v>
      </x:c>
      <x:c r="N1695" s="98" t="str">
        <x:v>Official note classification</x:v>
      </x:c>
      <x:c r="O1695" s="98" t="str">
        <x:v>Added explicit note component; no change to signed gross statement presentation.</x:v>
      </x:c>
      <x:c r="P1695" s="98" t="str">
        <x:v>Note10: principal7,387,000 thousand; unsecured, interest-free and payable on demand subject to lender approval. FY2025 note11 confirms markup begins July1,2024.</x:v>
      </x:c>
    </x:row>
    <x:row r="1696">
      <x:c r="A1696" s="84" t="str">
        <x:v>FCCL|noninterest_parent|2023</x:v>
      </x:c>
      <x:c r="B1696" s="84" t="str">
        <x:v>FCCL</x:v>
      </x:c>
      <x:c r="C1696" s="84" t="str">
        <x:v>FY2023</x:v>
      </x:c>
      <x:c r="D1696" s="84" t="str">
        <x:v>Interest-free parent financing</x:v>
      </x:c>
      <x:c r="E1696" s="173"/>
      <x:c r="F1696" s="173" t="n">
        <x:v>7387000</x:v>
      </x:c>
      <x:c r="G1696" s="173" t="str">
        <x:v>PKR '000</x:v>
      </x:c>
      <x:c r="H1696" s="173" t="n">
        <x:f>F1696/1000</x:f>
        <x:v>7387</x:v>
      </x:c>
      <x:c r="I1696" s="173" t="n">
        <x:f>FCCL!F251</x:f>
        <x:v>7387</x:v>
      </x:c>
      <x:c r="J1696" s="173" t="n">
        <x:f>H1696-I1696</x:f>
        <x:v>0</x:v>
      </x:c>
      <x:c r="K1696" s="84" t="str">
        <x:v>FCCL-Annual-Report-2024.pdf</x:v>
      </x:c>
      <x:c r="L1696" s="84" t="n">
        <x:v>214</x:v>
      </x:c>
      <x:c r="M1696" s="84" t="str">
        <x:v>Note / current or comparative</x:v>
      </x:c>
      <x:c r="N1696" s="98" t="str">
        <x:v>Official note classification</x:v>
      </x:c>
      <x:c r="O1696" s="98" t="str">
        <x:v>Added explicit note component; no change to signed gross statement presentation.</x:v>
      </x:c>
      <x:c r="P1696" s="98" t="str">
        <x:v>Note10: principal7,387,000 thousand; unsecured, interest-free and payable on demand subject to lender approval. FY2025 note11 confirms markup begins July1,2024.</x:v>
      </x:c>
    </x:row>
    <x:row r="1697">
      <x:c r="A1697" s="84" t="str">
        <x:v>FCCL|noninterest_parent|2024</x:v>
      </x:c>
      <x:c r="B1697" s="84" t="str">
        <x:v>FCCL</x:v>
      </x:c>
      <x:c r="C1697" s="84" t="str">
        <x:v>FY2024</x:v>
      </x:c>
      <x:c r="D1697" s="84" t="str">
        <x:v>Interest-free parent financing</x:v>
      </x:c>
      <x:c r="E1697" s="173"/>
      <x:c r="F1697" s="173" t="n">
        <x:v>7387000</x:v>
      </x:c>
      <x:c r="G1697" s="173" t="str">
        <x:v>PKR '000</x:v>
      </x:c>
      <x:c r="H1697" s="173" t="n">
        <x:f>F1697/1000</x:f>
        <x:v>7387</x:v>
      </x:c>
      <x:c r="I1697" s="173" t="n">
        <x:f>FCCL!G251</x:f>
        <x:v>7387</x:v>
      </x:c>
      <x:c r="J1697" s="173" t="n">
        <x:f>H1697-I1697</x:f>
        <x:v>0</x:v>
      </x:c>
      <x:c r="K1697" s="84" t="str">
        <x:v>FCCL-Annual-Report-2024.pdf</x:v>
      </x:c>
      <x:c r="L1697" s="84" t="n">
        <x:v>214</x:v>
      </x:c>
      <x:c r="M1697" s="84" t="str">
        <x:v>Note / current or comparative</x:v>
      </x:c>
      <x:c r="N1697" s="98" t="str">
        <x:v>Official note classification</x:v>
      </x:c>
      <x:c r="O1697" s="98" t="str">
        <x:v>Added explicit note component; no change to signed gross statement presentation.</x:v>
      </x:c>
      <x:c r="P1697" s="98" t="str">
        <x:v>Note10: principal7,387,000 thousand; unsecured, interest-free and payable on demand subject to lender approval. FY2025 note11 confirms markup begins July1,2024.</x:v>
      </x:c>
    </x:row>
    <x:row r="1698">
      <x:c r="A1698" s="84" t="str">
        <x:v>KOHC|embedded_markup|2024</x:v>
      </x:c>
      <x:c r="B1698" s="84" t="str">
        <x:v>KOHC</x:v>
      </x:c>
      <x:c r="C1698" s="84" t="str">
        <x:v>FY2024</x:v>
      </x:c>
      <x:c r="D1698" s="84" t="str">
        <x:v>Accrued markup within current financing</x:v>
      </x:c>
      <x:c r="E1698" s="173"/>
      <x:c r="F1698" s="173" t="n">
        <x:v>134939770</x:v>
      </x:c>
      <x:c r="G1698" s="173" t="str">
        <x:v>Rupees</x:v>
      </x:c>
      <x:c r="H1698" s="173" t="n">
        <x:f>F1698/1000000</x:f>
        <x:v>134.93977</x:v>
      </x:c>
      <x:c r="I1698" s="173" t="n">
        <x:f>KOHC!G252</x:f>
        <x:v>134.93977</x:v>
      </x:c>
      <x:c r="J1698" s="173" t="n">
        <x:f>H1698-I1698</x:f>
        <x:v>0</x:v>
      </x:c>
      <x:c r="K1698" s="84" t="str">
        <x:v>Kohat_Cement_Annual_Report_2025.pdf</x:v>
      </x:c>
      <x:c r="L1698" s="84" t="n">
        <x:v>89</x:v>
      </x:c>
      <x:c r="M1698" s="84" t="str">
        <x:v>Note / current or comparative</x:v>
      </x:c>
      <x:c r="N1698" s="98" t="str">
        <x:v>Official note classification</x:v>
      </x:c>
      <x:c r="O1698" s="98" t="str">
        <x:v>Added explicit note component; no change to signed gross statement presentation.</x:v>
      </x:c>
      <x:c r="P1698" s="98" t="str">
        <x:v>Note6.1 current maturity splits principal and markup: FY2025 markup47,420,397;FY2024 markup134,939,770 rupees. Excluded from interest-bearing principal; gross statement balance retained.</x:v>
      </x:c>
    </x:row>
    <x:row r="1699">
      <x:c r="A1699" s="84" t="str">
        <x:v>KOHC|embedded_markup|2025</x:v>
      </x:c>
      <x:c r="B1699" s="84" t="str">
        <x:v>KOHC</x:v>
      </x:c>
      <x:c r="C1699" s="84" t="str">
        <x:v>FY2025</x:v>
      </x:c>
      <x:c r="D1699" s="84" t="str">
        <x:v>Accrued markup within current financing</x:v>
      </x:c>
      <x:c r="E1699" s="173"/>
      <x:c r="F1699" s="173" t="n">
        <x:v>47420397</x:v>
      </x:c>
      <x:c r="G1699" s="173" t="str">
        <x:v>Rupees</x:v>
      </x:c>
      <x:c r="H1699" s="173" t="n">
        <x:f>F1699/1000000</x:f>
        <x:v>47.420397</x:v>
      </x:c>
      <x:c r="I1699" s="173" t="n">
        <x:f>KOHC!H252</x:f>
        <x:v>47.420397</x:v>
      </x:c>
      <x:c r="J1699" s="173" t="n">
        <x:f>H1699-I1699</x:f>
        <x:v>0</x:v>
      </x:c>
      <x:c r="K1699" s="84" t="str">
        <x:v>Kohat_Cement_Annual_Report_2025.pdf</x:v>
      </x:c>
      <x:c r="L1699" s="84" t="n">
        <x:v>89</x:v>
      </x:c>
      <x:c r="M1699" s="84" t="str">
        <x:v>Note / current or comparative</x:v>
      </x:c>
      <x:c r="N1699" s="98" t="str">
        <x:v>Official note classification</x:v>
      </x:c>
      <x:c r="O1699" s="98" t="str">
        <x:v>Added explicit note component; no change to signed gross statement presentation.</x:v>
      </x:c>
      <x:c r="P1699" s="98" t="str">
        <x:v>Note6.1 current maturity splits principal and markup: FY2025 markup47,420,397;FY2024 markup134,939,770 rupees. Excluded from interest-bearing principal; gross statement balance retained.</x:v>
      </x:c>
    </x:row>
    <x:row r="1700">
      <x:c r="A1700" s="84" t="str">
        <x:v>FCCL|embedded_markup|2025</x:v>
      </x:c>
      <x:c r="B1700" s="84" t="str">
        <x:v>FCCL</x:v>
      </x:c>
      <x:c r="C1700" s="84" t="str">
        <x:v>FY2025</x:v>
      </x:c>
      <x:c r="D1700" s="84" t="str">
        <x:v>Accrued markup within parent financing</x:v>
      </x:c>
      <x:c r="E1700" s="173"/>
      <x:c r="F1700" s="173" t="n">
        <x:v>185186</x:v>
      </x:c>
      <x:c r="G1700" s="173" t="str">
        <x:v>PKR '000</x:v>
      </x:c>
      <x:c r="H1700" s="173" t="n">
        <x:f>F1700/1000</x:f>
        <x:v>185.186</x:v>
      </x:c>
      <x:c r="I1700" s="173" t="n">
        <x:f>FCCL!H252</x:f>
        <x:v>185.186</x:v>
      </x:c>
      <x:c r="J1700" s="173" t="n">
        <x:f>H1700-I1700</x:f>
        <x:v>0</x:v>
      </x:c>
      <x:c r="K1700" s="84" t="str">
        <x:v>FCCL-Annual-Report-2025.pdf</x:v>
      </x:c>
      <x:c r="L1700" s="84" t="n">
        <x:v>268</x:v>
      </x:c>
      <x:c r="M1700" s="84" t="str">
        <x:v>Note / current or comparative</x:v>
      </x:c>
      <x:c r="N1700" s="98" t="str">
        <x:v>Official note classification</x:v>
      </x:c>
      <x:c r="O1700" s="98" t="str">
        <x:v>Added explicit note component; no change to signed gross statement presentation.</x:v>
      </x:c>
      <x:c r="P1700" s="98" t="str">
        <x:v>Note11: principal7,387,000 + accrued markup185,186 = parent-loan balance7,572,186 thousand.</x:v>
      </x:c>
    </x:row>
    <x:row r="1701">
      <x:c r="A1701" s="84" t="str">
        <x:v>FCCL|gross_parent_published|2022</x:v>
      </x:c>
      <x:c r="B1701" s="84" t="str">
        <x:v>FCCL</x:v>
      </x:c>
      <x:c r="C1701" s="84" t="str">
        <x:v>FY2022</x:v>
      </x:c>
      <x:c r="D1701" s="84" t="str">
        <x:v>Gross parent loan for published liquidity</x:v>
      </x:c>
      <x:c r="E1701" s="173"/>
      <x:c r="F1701" s="173" t="n">
        <x:v>7387000</x:v>
      </x:c>
      <x:c r="G1701" s="173" t="str">
        <x:v>PKR '000</x:v>
      </x:c>
      <x:c r="H1701" s="173" t="n">
        <x:f>F1701/1000</x:f>
        <x:v>7387</x:v>
      </x:c>
      <x:c r="I1701" s="173" t="n">
        <x:f>FCCL!E256</x:f>
        <x:v>7387</x:v>
      </x:c>
      <x:c r="J1701" s="173" t="n">
        <x:f>H1701-I1701</x:f>
        <x:v>0</x:v>
      </x:c>
      <x:c r="K1701" s="84" t="str">
        <x:v>FCCL-Annual-Report-2023.pdf</x:v>
      </x:c>
      <x:c r="L1701" s="84" t="n">
        <x:v>234</x:v>
      </x:c>
      <x:c r="M1701" s="84" t="str">
        <x:v>Note / current or comparative</x:v>
      </x:c>
      <x:c r="N1701" s="98" t="str">
        <x:v>Official note classification</x:v>
      </x:c>
      <x:c r="O1701" s="98" t="str">
        <x:v>Added explicit note component; no change to signed gross statement presentation.</x:v>
      </x:c>
      <x:c r="P1701" s="98" t="str">
        <x:v>Published liquidity excludes this separately presented on-demand parent balance; uniform current liabilities include it.</x:v>
      </x:c>
    </x:row>
    <x:row r="1702">
      <x:c r="A1702" s="84" t="str">
        <x:v>FCCL|gross_parent_published|2023</x:v>
      </x:c>
      <x:c r="B1702" s="84" t="str">
        <x:v>FCCL</x:v>
      </x:c>
      <x:c r="C1702" s="84" t="str">
        <x:v>FY2023</x:v>
      </x:c>
      <x:c r="D1702" s="84" t="str">
        <x:v>Gross parent loan for published liquidity</x:v>
      </x:c>
      <x:c r="E1702" s="173"/>
      <x:c r="F1702" s="173" t="n">
        <x:v>7387000</x:v>
      </x:c>
      <x:c r="G1702" s="173" t="str">
        <x:v>PKR '000</x:v>
      </x:c>
      <x:c r="H1702" s="173" t="n">
        <x:f>F1702/1000</x:f>
        <x:v>7387</x:v>
      </x:c>
      <x:c r="I1702" s="173" t="n">
        <x:f>FCCL!F256</x:f>
        <x:v>7387</x:v>
      </x:c>
      <x:c r="J1702" s="173" t="n">
        <x:f>H1702-I1702</x:f>
        <x:v>0</x:v>
      </x:c>
      <x:c r="K1702" s="84" t="str">
        <x:v>FCCL-Annual-Report-2024.pdf</x:v>
      </x:c>
      <x:c r="L1702" s="84" t="n">
        <x:v>214</x:v>
      </x:c>
      <x:c r="M1702" s="84" t="str">
        <x:v>Note / current or comparative</x:v>
      </x:c>
      <x:c r="N1702" s="98" t="str">
        <x:v>Official note classification</x:v>
      </x:c>
      <x:c r="O1702" s="98" t="str">
        <x:v>Added explicit note component; no change to signed gross statement presentation.</x:v>
      </x:c>
      <x:c r="P1702" s="98" t="str">
        <x:v>Published liquidity excludes this separately presented on-demand parent balance; uniform current liabilities include it.</x:v>
      </x:c>
    </x:row>
    <x:row r="1703">
      <x:c r="A1703" s="84" t="str">
        <x:v>FCCL|gross_parent_published|2024</x:v>
      </x:c>
      <x:c r="B1703" s="84" t="str">
        <x:v>FCCL</x:v>
      </x:c>
      <x:c r="C1703" s="84" t="str">
        <x:v>FY2024</x:v>
      </x:c>
      <x:c r="D1703" s="84" t="str">
        <x:v>Gross parent loan for published liquidity</x:v>
      </x:c>
      <x:c r="E1703" s="173"/>
      <x:c r="F1703" s="173" t="n">
        <x:v>7387000</x:v>
      </x:c>
      <x:c r="G1703" s="173" t="str">
        <x:v>PKR '000</x:v>
      </x:c>
      <x:c r="H1703" s="173" t="n">
        <x:f>F1703/1000</x:f>
        <x:v>7387</x:v>
      </x:c>
      <x:c r="I1703" s="173" t="n">
        <x:f>FCCL!G256</x:f>
        <x:v>7387</x:v>
      </x:c>
      <x:c r="J1703" s="173" t="n">
        <x:f>H1703-I1703</x:f>
        <x:v>0</x:v>
      </x:c>
      <x:c r="K1703" s="84" t="str">
        <x:v>FCCL-Annual-Report-2024.pdf</x:v>
      </x:c>
      <x:c r="L1703" s="84" t="n">
        <x:v>214</x:v>
      </x:c>
      <x:c r="M1703" s="84" t="str">
        <x:v>Note / current or comparative</x:v>
      </x:c>
      <x:c r="N1703" s="98" t="str">
        <x:v>Official note classification</x:v>
      </x:c>
      <x:c r="O1703" s="98" t="str">
        <x:v>Added explicit note component; no change to signed gross statement presentation.</x:v>
      </x:c>
      <x:c r="P1703" s="98" t="str">
        <x:v>Published liquidity excludes this separately presented on-demand parent balance; uniform current liabilities include it.</x:v>
      </x:c>
    </x:row>
    <x:row r="1704">
      <x:c r="A1704" s="84" t="str">
        <x:v>FCCL|gross_parent_published|2025</x:v>
      </x:c>
      <x:c r="B1704" s="84" t="str">
        <x:v>FCCL</x:v>
      </x:c>
      <x:c r="C1704" s="84" t="str">
        <x:v>FY2025</x:v>
      </x:c>
      <x:c r="D1704" s="84" t="str">
        <x:v>Gross parent loan for published liquidity</x:v>
      </x:c>
      <x:c r="E1704" s="173"/>
      <x:c r="F1704" s="173" t="n">
        <x:v>7572186</x:v>
      </x:c>
      <x:c r="G1704" s="173" t="str">
        <x:v>PKR '000</x:v>
      </x:c>
      <x:c r="H1704" s="173" t="n">
        <x:f>F1704/1000</x:f>
        <x:v>7572.186</x:v>
      </x:c>
      <x:c r="I1704" s="173" t="n">
        <x:f>FCCL!H256</x:f>
        <x:v>7572.186</x:v>
      </x:c>
      <x:c r="J1704" s="173" t="n">
        <x:f>H1704-I1704</x:f>
        <x:v>0</x:v>
      </x:c>
      <x:c r="K1704" s="84" t="str">
        <x:v>FCCL-Annual-Report-2025.pdf</x:v>
      </x:c>
      <x:c r="L1704" s="84" t="n">
        <x:v>268</x:v>
      </x:c>
      <x:c r="M1704" s="84" t="str">
        <x:v>Note / current or comparative</x:v>
      </x:c>
      <x:c r="N1704" s="98" t="str">
        <x:v>Official note classification</x:v>
      </x:c>
      <x:c r="O1704" s="98" t="str">
        <x:v>Added explicit note component; no change to signed gross statement presentation.</x:v>
      </x:c>
      <x:c r="P1704" s="98" t="str">
        <x:v>Published liquidity excludes this separately presented on-demand parent balance; uniform current liabilities include it.</x:v>
      </x:c>
    </x:row>
    <x:row r="1705">
      <x:c r="A1705" s="84" t="str">
        <x:v>MLCF|related_operating_supplier|2020</x:v>
      </x:c>
      <x:c r="B1705" s="84" t="str">
        <x:v>MLCF</x:v>
      </x:c>
      <x:c r="C1705" s="84" t="str">
        <x:v>FY2020</x:v>
      </x:c>
      <x:c r="D1705" s="84" t="str">
        <x:v>Current payable to power subsidiary</x:v>
      </x:c>
      <x:c r="E1705" s="173"/>
      <x:c r="F1705" s="173" t="n">
        <x:v>287259</x:v>
      </x:c>
      <x:c r="G1705" s="173" t="str">
        <x:v>PKR '000</x:v>
      </x:c>
      <x:c r="H1705" s="173" t="n">
        <x:f>F1705/1000</x:f>
        <x:v>287.259</x:v>
      </x:c>
      <x:c r="I1705" s="173" t="n">
        <x:f>MLCF!C253</x:f>
        <x:v>287.259</x:v>
      </x:c>
      <x:c r="J1705" s="173" t="n">
        <x:f>H1705-I1705</x:f>
        <x:v>0</x:v>
      </x:c>
      <x:c r="K1705" s="84" t="str">
        <x:v>2021.pdf</x:v>
      </x:c>
      <x:c r="L1705" s="84" t="n">
        <x:v>198</x:v>
      </x:c>
      <x:c r="M1705" s="84" t="str">
        <x:v>Note / current or comparative</x:v>
      </x:c>
      <x:c r="N1705" s="98" t="str">
        <x:v>Official note classification</x:v>
      </x:c>
      <x:c r="O1705" s="98" t="str">
        <x:v>Added explicit note component; no change to signed gross statement presentation.</x:v>
      </x:c>
      <x:c r="P1705" s="98" t="str">
        <x:v>Due to Maple Leaf Power Ltd. (subsidiary); trade-payable note15/16 and related-party note46 disclose operating electricity purchases. Excludes separately reported interest-bearing financing loan and holding-company balances.</x:v>
      </x:c>
    </x:row>
    <x:row r="1706">
      <x:c r="A1706" s="84" t="str">
        <x:v>MLCF|related_operating_supplier|2021</x:v>
      </x:c>
      <x:c r="B1706" s="84" t="str">
        <x:v>MLCF</x:v>
      </x:c>
      <x:c r="C1706" s="84" t="str">
        <x:v>FY2021</x:v>
      </x:c>
      <x:c r="D1706" s="84" t="str">
        <x:v>Current payable to power subsidiary</x:v>
      </x:c>
      <x:c r="E1706" s="173"/>
      <x:c r="F1706" s="173" t="n">
        <x:v>61224</x:v>
      </x:c>
      <x:c r="G1706" s="173" t="str">
        <x:v>PKR '000</x:v>
      </x:c>
      <x:c r="H1706" s="173" t="n">
        <x:f>F1706/1000</x:f>
        <x:v>61.224</x:v>
      </x:c>
      <x:c r="I1706" s="173" t="n">
        <x:f>MLCF!D253</x:f>
        <x:v>61.224</x:v>
      </x:c>
      <x:c r="J1706" s="173" t="n">
        <x:f>H1706-I1706</x:f>
        <x:v>0</x:v>
      </x:c>
      <x:c r="K1706" s="84" t="str">
        <x:v>2022.pdf</x:v>
      </x:c>
      <x:c r="L1706" s="84" t="n">
        <x:v>220</x:v>
      </x:c>
      <x:c r="M1706" s="84" t="str">
        <x:v>Note / current or comparative</x:v>
      </x:c>
      <x:c r="N1706" s="98" t="str">
        <x:v>Official note classification</x:v>
      </x:c>
      <x:c r="O1706" s="98" t="str">
        <x:v>Added explicit note component; no change to signed gross statement presentation.</x:v>
      </x:c>
      <x:c r="P1706" s="98" t="str">
        <x:v>Due to Maple Leaf Power Ltd. (subsidiary); trade-payable note15/16 and related-party note46 disclose operating electricity purchases. Excludes separately reported interest-bearing financing loan and holding-company balances.</x:v>
      </x:c>
    </x:row>
    <x:row r="1707">
      <x:c r="A1707" s="84" t="str">
        <x:v>MLCF|related_operating_supplier|2022</x:v>
      </x:c>
      <x:c r="B1707" s="84" t="str">
        <x:v>MLCF</x:v>
      </x:c>
      <x:c r="C1707" s="84" t="str">
        <x:v>FY2022</x:v>
      </x:c>
      <x:c r="D1707" s="84" t="str">
        <x:v>Current payable to power subsidiary</x:v>
      </x:c>
      <x:c r="E1707" s="173"/>
      <x:c r="F1707" s="173" t="n">
        <x:v>132595</x:v>
      </x:c>
      <x:c r="G1707" s="173" t="str">
        <x:v>PKR '000</x:v>
      </x:c>
      <x:c r="H1707" s="173" t="n">
        <x:f>F1707/1000</x:f>
        <x:v>132.595</x:v>
      </x:c>
      <x:c r="I1707" s="173" t="n">
        <x:f>MLCF!E253</x:f>
        <x:v>132.595</x:v>
      </x:c>
      <x:c r="J1707" s="173" t="n">
        <x:f>H1707-I1707</x:f>
        <x:v>0</x:v>
      </x:c>
      <x:c r="K1707" s="84" t="str">
        <x:v>2023.pdf</x:v>
      </x:c>
      <x:c r="L1707" s="84" t="n">
        <x:v>116</x:v>
      </x:c>
      <x:c r="M1707" s="84" t="str">
        <x:v>Note / current or comparative</x:v>
      </x:c>
      <x:c r="N1707" s="98" t="str">
        <x:v>Official note classification</x:v>
      </x:c>
      <x:c r="O1707" s="98" t="str">
        <x:v>Added explicit note component; no change to signed gross statement presentation.</x:v>
      </x:c>
      <x:c r="P1707" s="98" t="str">
        <x:v>Due to Maple Leaf Power Ltd. (subsidiary); trade-payable note15/16 and related-party note46 disclose operating electricity purchases. Excludes separately reported interest-bearing financing loan and holding-company balances.</x:v>
      </x:c>
    </x:row>
    <x:row r="1708">
      <x:c r="A1708" s="84" t="str">
        <x:v>MLCF|related_operating_supplier|2023</x:v>
      </x:c>
      <x:c r="B1708" s="84" t="str">
        <x:v>MLCF</x:v>
      </x:c>
      <x:c r="C1708" s="84" t="str">
        <x:v>FY2023</x:v>
      </x:c>
      <x:c r="D1708" s="84" t="str">
        <x:v>Current payable to power subsidiary</x:v>
      </x:c>
      <x:c r="E1708" s="173"/>
      <x:c r="F1708" s="173" t="n">
        <x:v>1871865</x:v>
      </x:c>
      <x:c r="G1708" s="173" t="str">
        <x:v>PKR '000</x:v>
      </x:c>
      <x:c r="H1708" s="173" t="n">
        <x:f>F1708/1000</x:f>
        <x:v>1871.865</x:v>
      </x:c>
      <x:c r="I1708" s="173" t="n">
        <x:f>MLCF!F253</x:f>
        <x:v>1871.865</x:v>
      </x:c>
      <x:c r="J1708" s="173" t="n">
        <x:f>H1708-I1708</x:f>
        <x:v>0</x:v>
      </x:c>
      <x:c r="K1708" s="84" t="str">
        <x:v>2024.pdf</x:v>
      </x:c>
      <x:c r="L1708" s="84" t="n">
        <x:v>226</x:v>
      </x:c>
      <x:c r="M1708" s="84" t="str">
        <x:v>Note / current or comparative</x:v>
      </x:c>
      <x:c r="N1708" s="98" t="str">
        <x:v>Official note classification</x:v>
      </x:c>
      <x:c r="O1708" s="98" t="str">
        <x:v>Added explicit note component; no change to signed gross statement presentation.</x:v>
      </x:c>
      <x:c r="P1708" s="98" t="str">
        <x:v>Due to Maple Leaf Power Ltd. (subsidiary); trade-payable note15/16 and related-party note46 disclose operating electricity purchases. Excludes separately reported interest-bearing financing loan and holding-company balances.</x:v>
      </x:c>
    </x:row>
    <x:row r="1709">
      <x:c r="A1709" s="84" t="str">
        <x:v>MLCF|related_operating_supplier|2024</x:v>
      </x:c>
      <x:c r="B1709" s="84" t="str">
        <x:v>MLCF</x:v>
      </x:c>
      <x:c r="C1709" s="84" t="str">
        <x:v>FY2024</x:v>
      </x:c>
      <x:c r="D1709" s="84" t="str">
        <x:v>Current payable to power subsidiary</x:v>
      </x:c>
      <x:c r="E1709" s="173"/>
      <x:c r="F1709" s="173" t="n">
        <x:v>821425</x:v>
      </x:c>
      <x:c r="G1709" s="173" t="str">
        <x:v>PKR '000</x:v>
      </x:c>
      <x:c r="H1709" s="173" t="n">
        <x:f>F1709/1000</x:f>
        <x:v>821.425</x:v>
      </x:c>
      <x:c r="I1709" s="173" t="n">
        <x:f>MLCF!G253</x:f>
        <x:v>821.425</x:v>
      </x:c>
      <x:c r="J1709" s="173" t="n">
        <x:f>H1709-I1709</x:f>
        <x:v>0</x:v>
      </x:c>
      <x:c r="K1709" s="84" t="str">
        <x:v>2025.pdf</x:v>
      </x:c>
      <x:c r="L1709" s="84" t="n">
        <x:v>240</x:v>
      </x:c>
      <x:c r="M1709" s="84" t="str">
        <x:v>Note / current or comparative</x:v>
      </x:c>
      <x:c r="N1709" s="98" t="str">
        <x:v>Official note classification</x:v>
      </x:c>
      <x:c r="O1709" s="98" t="str">
        <x:v>Added explicit note component; no change to signed gross statement presentation.</x:v>
      </x:c>
      <x:c r="P1709" s="98" t="str">
        <x:v>Due to Maple Leaf Power Ltd. (subsidiary); trade-payable note15/16 and related-party note46 disclose operating electricity purchases. Excludes separately reported interest-bearing financing loan and holding-company balances.</x:v>
      </x:c>
    </x:row>
    <x:row r="1710">
      <x:c r="A1710" s="84" t="str">
        <x:v>MLCF|related_operating_supplier|2025</x:v>
      </x:c>
      <x:c r="B1710" s="84" t="str">
        <x:v>MLCF</x:v>
      </x:c>
      <x:c r="C1710" s="84" t="str">
        <x:v>FY2025</x:v>
      </x:c>
      <x:c r="D1710" s="84" t="str">
        <x:v>Current payable to power subsidiary</x:v>
      </x:c>
      <x:c r="E1710" s="173"/>
      <x:c r="F1710" s="173" t="n">
        <x:v>1452981</x:v>
      </x:c>
      <x:c r="G1710" s="173" t="str">
        <x:v>PKR '000</x:v>
      </x:c>
      <x:c r="H1710" s="173" t="n">
        <x:f>F1710/1000</x:f>
        <x:v>1452.981</x:v>
      </x:c>
      <x:c r="I1710" s="173" t="n">
        <x:f>MLCF!H253</x:f>
        <x:v>1452.981</x:v>
      </x:c>
      <x:c r="J1710" s="173" t="n">
        <x:f>H1710-I1710</x:f>
        <x:v>0</x:v>
      </x:c>
      <x:c r="K1710" s="84" t="str">
        <x:v>2025.pdf</x:v>
      </x:c>
      <x:c r="L1710" s="84" t="n">
        <x:v>240</x:v>
      </x:c>
      <x:c r="M1710" s="84" t="str">
        <x:v>Note / current or comparative</x:v>
      </x:c>
      <x:c r="N1710" s="98" t="str">
        <x:v>Official note classification</x:v>
      </x:c>
      <x:c r="O1710" s="98" t="str">
        <x:v>Added explicit note component; no change to signed gross statement presentation.</x:v>
      </x:c>
      <x:c r="P1710" s="98" t="str">
        <x:v>Due to Maple Leaf Power Ltd. (subsidiary); trade-payable note15/16 and related-party note46 disclose operating electricity purchases. Excludes separately reported interest-bearing financing loan and holding-company balances.</x:v>
      </x:c>
    </x:row>
    <x:row r="1711">
      <x:c r="A1711" s="84" t="str">
        <x:v>DGKC|published_quick_exclusion|2021</x:v>
      </x:c>
      <x:c r="B1711" s="84" t="str">
        <x:v>DGKC</x:v>
      </x:c>
      <x:c r="C1711" s="84" t="str">
        <x:v>FY2021</x:v>
      </x:c>
      <x:c r="D1711" s="84" t="str">
        <x:v>Loans, advances, deposits, prepayments and other receivables</x:v>
      </x:c>
      <x:c r="E1711" s="173"/>
      <x:c r="F1711" s="173" t="n">
        <x:v>488566</x:v>
      </x:c>
      <x:c r="G1711" s="173" t="str">
        <x:v>Rs '000</x:v>
      </x:c>
      <x:c r="H1711" s="173" t="n">
        <x:f>F1711/1000</x:f>
        <x:v>488.566</x:v>
      </x:c>
      <x:c r="I1711" s="173" t="n">
        <x:f>DGKC!D258</x:f>
        <x:v>488.566</x:v>
      </x:c>
      <x:c r="J1711" s="173" t="n">
        <x:f>H1711-I1711</x:f>
        <x:v>0</x:v>
      </x:c>
      <x:c r="K1711" s="84" t="str">
        <x:v>DG_Annual_Report_2022.pdf</x:v>
      </x:c>
      <x:c r="L1711" s="84" t="n">
        <x:v>126</x:v>
      </x:c>
      <x:c r="M1711" s="84" t="str">
        <x:v>Current / comparative</x:v>
      </x:c>
      <x:c r="N1711" s="98" t="str">
        <x:v>Official asset-statement component</x:v>
      </x:c>
      <x:c r="O1711" s="98" t="str">
        <x:v>Published quick ratio subtracts this whole separately disclosed group; main standardized quick formula remains CA less inventories over all CL.</x:v>
      </x:c>
      <x:c r="P1711" s="98" t="str">
        <x:v>Printed ADP / other receivables caption: FY2021 488,566 thousand.</x:v>
      </x:c>
    </x:row>
    <x:row r="1712">
      <x:c r="A1712" s="84" t="str">
        <x:v>DGKC|published_quick_exclusion|2022</x:v>
      </x:c>
      <x:c r="B1712" s="84" t="str">
        <x:v>DGKC</x:v>
      </x:c>
      <x:c r="C1712" s="84" t="str">
        <x:v>FY2022</x:v>
      </x:c>
      <x:c r="D1712" s="84" t="str">
        <x:v>Loans, advances, deposits, prepayments and other receivables</x:v>
      </x:c>
      <x:c r="E1712" s="173"/>
      <x:c r="F1712" s="173" t="n">
        <x:v>1430613</x:v>
      </x:c>
      <x:c r="G1712" s="173" t="str">
        <x:v>Rs '000</x:v>
      </x:c>
      <x:c r="H1712" s="173" t="n">
        <x:f>F1712/1000</x:f>
        <x:v>1430.613</x:v>
      </x:c>
      <x:c r="I1712" s="173" t="n">
        <x:f>DGKC!E258</x:f>
        <x:v>1430.613</x:v>
      </x:c>
      <x:c r="J1712" s="173" t="n">
        <x:f>H1712-I1712</x:f>
        <x:v>0</x:v>
      </x:c>
      <x:c r="K1712" s="84" t="str">
        <x:v>DGAnnual2023.pdf</x:v>
      </x:c>
      <x:c r="L1712" s="84" t="n">
        <x:v>152</x:v>
      </x:c>
      <x:c r="M1712" s="84" t="str">
        <x:v>Current / comparative</x:v>
      </x:c>
      <x:c r="N1712" s="98" t="str">
        <x:v>Official asset-statement component</x:v>
      </x:c>
      <x:c r="O1712" s="98" t="str">
        <x:v>Published quick ratio subtracts this whole separately disclosed group; main standardized quick formula remains CA less inventories over all CL.</x:v>
      </x:c>
      <x:c r="P1712" s="98" t="str">
        <x:v>Printed ADP / other receivables caption: FY2022 1,430,613 thousand.</x:v>
      </x:c>
    </x:row>
    <x:row r="1713">
      <x:c r="A1713" s="84" t="str">
        <x:v>DGKC|published_quick_exclusion|2023</x:v>
      </x:c>
      <x:c r="B1713" s="84" t="str">
        <x:v>DGKC</x:v>
      </x:c>
      <x:c r="C1713" s="84" t="str">
        <x:v>FY2023</x:v>
      </x:c>
      <x:c r="D1713" s="84" t="str">
        <x:v>Loans, advances, deposits, prepayments and other receivables</x:v>
      </x:c>
      <x:c r="E1713" s="173"/>
      <x:c r="F1713" s="173" t="n">
        <x:v>926047</x:v>
      </x:c>
      <x:c r="G1713" s="173" t="str">
        <x:v>Rs '000</x:v>
      </x:c>
      <x:c r="H1713" s="173" t="n">
        <x:f>F1713/1000</x:f>
        <x:v>926.047</x:v>
      </x:c>
      <x:c r="I1713" s="173" t="n">
        <x:f>DGKC!F258</x:f>
        <x:v>926.047</x:v>
      </x:c>
      <x:c r="J1713" s="173" t="n">
        <x:f>H1713-I1713</x:f>
        <x:v>0</x:v>
      </x:c>
      <x:c r="K1713" s="84" t="str">
        <x:v>DGAnnual2024.pdf</x:v>
      </x:c>
      <x:c r="L1713" s="84" t="n">
        <x:v>152</x:v>
      </x:c>
      <x:c r="M1713" s="84" t="str">
        <x:v>Current / comparative</x:v>
      </x:c>
      <x:c r="N1713" s="98" t="str">
        <x:v>Official asset-statement component</x:v>
      </x:c>
      <x:c r="O1713" s="98" t="str">
        <x:v>Published quick ratio subtracts this whole separately disclosed group; main standardized quick formula remains CA less inventories over all CL.</x:v>
      </x:c>
      <x:c r="P1713" s="98" t="str">
        <x:v>Printed ADP / other receivables caption: FY2023 926,047 thousand.</x:v>
      </x:c>
    </x:row>
    <x:row r="1714">
      <x:c r="A1714" s="84" t="str">
        <x:v>DGKC|published_quick_exclusion|2024</x:v>
      </x:c>
      <x:c r="B1714" s="84" t="str">
        <x:v>DGKC</x:v>
      </x:c>
      <x:c r="C1714" s="84" t="str">
        <x:v>FY2024</x:v>
      </x:c>
      <x:c r="D1714" s="84" t="str">
        <x:v>Loans, advances, deposits, prepayments and other receivables</x:v>
      </x:c>
      <x:c r="E1714" s="173"/>
      <x:c r="F1714" s="173" t="n">
        <x:v>160289</x:v>
      </x:c>
      <x:c r="G1714" s="173" t="str">
        <x:v>Rs '000</x:v>
      </x:c>
      <x:c r="H1714" s="173" t="n">
        <x:f>F1714/1000</x:f>
        <x:v>160.289</x:v>
      </x:c>
      <x:c r="I1714" s="173" t="n">
        <x:f>DGKC!G258</x:f>
        <x:v>160.289</x:v>
      </x:c>
      <x:c r="J1714" s="173" t="n">
        <x:f>H1714-I1714</x:f>
        <x:v>0</x:v>
      </x:c>
      <x:c r="K1714" s="84" t="str">
        <x:v>DGAnnual2025.pdf</x:v>
      </x:c>
      <x:c r="L1714" s="84" t="n">
        <x:v>154</x:v>
      </x:c>
      <x:c r="M1714" s="84" t="str">
        <x:v>Current / comparative</x:v>
      </x:c>
      <x:c r="N1714" s="98" t="str">
        <x:v>Official asset-statement component</x:v>
      </x:c>
      <x:c r="O1714" s="98" t="str">
        <x:v>Published quick ratio subtracts this whole separately disclosed group; main standardized quick formula remains CA less inventories over all CL.</x:v>
      </x:c>
      <x:c r="P1714" s="98" t="str">
        <x:v>Printed ADP / other receivables caption: FY2024 160,289 thousand.</x:v>
      </x:c>
    </x:row>
    <x:row r="1715">
      <x:c r="A1715" s="84" t="str">
        <x:v>DGKC|published_quick_exclusion|2025</x:v>
      </x:c>
      <x:c r="B1715" s="84" t="str">
        <x:v>DGKC</x:v>
      </x:c>
      <x:c r="C1715" s="84" t="str">
        <x:v>FY2025</x:v>
      </x:c>
      <x:c r="D1715" s="84" t="str">
        <x:v>Loans, advances, deposits, prepayments and other receivables</x:v>
      </x:c>
      <x:c r="E1715" s="173"/>
      <x:c r="F1715" s="173" t="n">
        <x:v>1345673</x:v>
      </x:c>
      <x:c r="G1715" s="173" t="str">
        <x:v>Rs '000</x:v>
      </x:c>
      <x:c r="H1715" s="173" t="n">
        <x:f>F1715/1000</x:f>
        <x:v>1345.673</x:v>
      </x:c>
      <x:c r="I1715" s="173" t="n">
        <x:f>DGKC!H258</x:f>
        <x:v>1345.673</x:v>
      </x:c>
      <x:c r="J1715" s="173" t="n">
        <x:f>H1715-I1715</x:f>
        <x:v>0</x:v>
      </x:c>
      <x:c r="K1715" s="84" t="str">
        <x:v>DGAnnual2025.pdf</x:v>
      </x:c>
      <x:c r="L1715" s="84" t="n">
        <x:v>154</x:v>
      </x:c>
      <x:c r="M1715" s="84" t="str">
        <x:v>Current / comparative</x:v>
      </x:c>
      <x:c r="N1715" s="98" t="str">
        <x:v>Official asset-statement component</x:v>
      </x:c>
      <x:c r="O1715" s="98" t="str">
        <x:v>Published quick ratio subtracts this whole separately disclosed group; main standardized quick formula remains CA less inventories over all CL.</x:v>
      </x:c>
      <x:c r="P1715" s="98" t="str">
        <x:v>Printed ADP / other receivables caption: FY2025 1,345,673 thousand.</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 hidden="0" customWidth="1"/>
    <x:col min="2" max="2" width="34" hidden="0" customWidth="1"/>
    <x:col min="3" max="3" width="24" hidden="0" customWidth="1"/>
    <x:col min="4" max="4" width="24" hidden="0" customWidth="1"/>
    <x:col min="5" max="5" width="24" hidden="0" customWidth="1"/>
    <x:col min="6" max="6" width="105" hidden="0" customWidth="1"/>
    <x:col min="7" max="7" width="55" hidden="0" customWidth="1"/>
  </x:cols>
  <x:sheetData>
    <x:row r="1" ht="26" customHeight="1">
      <x:c r="A1" s="76"/>
      <x:c r="B1" s="76"/>
      <x:c r="C1" s="76"/>
      <x:c r="D1" s="76"/>
      <x:c r="E1" s="76"/>
      <x:c r="F1" s="76"/>
      <x:c r="G1" s="76"/>
    </x:row>
    <x:row r="2" ht="26" customHeight="1">
      <x:c r="A2" s="77" t="str">
        <x:v>FY2020 opening balances and FY2021 average denominators</x:v>
      </x:c>
      <x:c r="B2" s="76"/>
      <x:c r="C2" s="76"/>
      <x:c r="D2" s="76"/>
      <x:c r="E2" s="76"/>
      <x:c r="F2" s="76"/>
      <x:c r="G2" s="76"/>
    </x:row>
    <x:row r="3" ht="26" customHeight="1">
      <x:c r="A3" s="164" t="str">
        <x:v>All opening balances are sourced from the FY2021 audited comparative statements and notes; source keys and excerpts are on Input Review.</x:v>
      </x:c>
      <x:c r="B3" s="76"/>
      <x:c r="C3" s="76"/>
      <x:c r="D3" s="76"/>
      <x:c r="E3" s="76"/>
      <x:c r="F3" s="76"/>
      <x:c r="G3" s="76"/>
    </x:row>
    <x:row r="4" ht="26" customHeight="1">
      <x:c r="A4" s="76"/>
      <x:c r="B4" s="76"/>
      <x:c r="C4" s="76"/>
      <x:c r="D4" s="76"/>
      <x:c r="E4" s="76"/>
      <x:c r="F4" s="76"/>
      <x:c r="G4" s="76"/>
    </x:row>
    <x:row r="5" ht="40" customHeight="1">
      <x:c r="A5" s="167" t="str">
        <x:v>Company</x:v>
      </x:c>
      <x:c r="B5" s="167" t="str">
        <x:v>Balance</x:v>
      </x:c>
      <x:c r="C5" s="167" t="str">
        <x:v>FY2020 closing</x:v>
      </x:c>
      <x:c r="D5" s="167" t="str">
        <x:v>FY2021 closing</x:v>
      </x:c>
      <x:c r="E5" s="167" t="str">
        <x:v>FY2021 average</x:v>
      </x:c>
      <x:c r="F5" s="167" t="str">
        <x:v>Source convention</x:v>
      </x:c>
      <x:c r="G5" s="167" t="str">
        <x:v>Scope</x:v>
      </x:c>
    </x:row>
    <x:row r="6" ht="26" customHeight="1">
      <x:c r="A6" s="168" t="str">
        <x:v>KOHC</x:v>
      </x:c>
      <x:c r="B6" s="168" t="str">
        <x:v>Inventory</x:v>
      </x:c>
      <x:c r="C6" s="168" t="n">
        <x:f>KOHC!C65</x:f>
        <x:v>3266.18066</x:v>
      </x:c>
      <x:c r="D6" s="168" t="n">
        <x:f>KOHC!D65</x:f>
        <x:v>4183.545367</x:v>
      </x:c>
      <x:c r="E6" s="168" t="n">
        <x:f>AVERAGE(C6:D6)</x:f>
        <x:v>3724.8630135</x:v>
      </x:c>
      <x:c r="F6" s="168" t="str">
        <x:v>FY2021 audited comparative; FY2021 closing uses subsequent audited comparative where available.</x:v>
      </x:c>
      <x:c r="G6" s="168" t="str">
        <x:v>FY2020 opening only; no sixth analysis year.</x:v>
      </x:c>
    </x:row>
    <x:row r="7" ht="26" customHeight="1">
      <x:c r="A7" s="76" t="str">
        <x:v>KOHC</x:v>
      </x:c>
      <x:c r="B7" s="76" t="str">
        <x:v>Trade receivables</x:v>
      </x:c>
      <x:c r="C7" s="76" t="n">
        <x:f>KOHC!C32</x:f>
        <x:v>494.315206</x:v>
      </x:c>
      <x:c r="D7" s="76" t="n">
        <x:f>KOHC!D32</x:f>
        <x:v>983.568223</x:v>
      </x:c>
      <x:c r="E7" s="76" t="n">
        <x:f>AVERAGE(C7:D7)</x:f>
        <x:v>738.9417145</x:v>
      </x:c>
      <x:c r="F7" s="76" t="str">
        <x:v>FY2021 audited comparative; FY2021 closing uses subsequent audited comparative where available.</x:v>
      </x:c>
      <x:c r="G7" s="76" t="str">
        <x:v>FY2020 opening only; no sixth analysis year.</x:v>
      </x:c>
    </x:row>
    <x:row r="8" ht="26" customHeight="1">
      <x:c r="A8" s="168" t="str">
        <x:v>KOHC</x:v>
      </x:c>
      <x:c r="B8" s="168" t="str">
        <x:v>Operating supplier payables</x:v>
      </x:c>
      <x:c r="C8" s="168" t="n">
        <x:f>KOHC!C51</x:f>
        <x:v>1091.300971</x:v>
      </x:c>
      <x:c r="D8" s="168" t="n">
        <x:f>KOHC!D51</x:f>
        <x:v>1555.157545</x:v>
      </x:c>
      <x:c r="E8" s="168" t="n">
        <x:f>AVERAGE(C8:D8)</x:f>
        <x:v>1323.2292579999998</x:v>
      </x:c>
      <x:c r="F8" s="168" t="str">
        <x:v>FY2021 audited comparative; FY2021 closing uses subsequent audited comparative where available.</x:v>
      </x:c>
      <x:c r="G8" s="168" t="str">
        <x:v>FY2020 opening only; no sixth analysis year.</x:v>
      </x:c>
    </x:row>
    <x:row r="9" ht="26" customHeight="1">
      <x:c r="A9" s="76" t="str">
        <x:v>KOHC</x:v>
      </x:c>
      <x:c r="B9" s="76" t="str">
        <x:v>Operating PPE</x:v>
      </x:c>
      <x:c r="C9" s="76" t="n">
        <x:f>KOHC!C22</x:f>
        <x:v>22613.088248999997</x:v>
      </x:c>
      <x:c r="D9" s="76" t="n">
        <x:f>KOHC!D22</x:f>
        <x:v>21753.605354000003</x:v>
      </x:c>
      <x:c r="E9" s="76" t="n">
        <x:f>AVERAGE(C9:D9)</x:f>
        <x:v>22183.3468015</x:v>
      </x:c>
      <x:c r="F9" s="76" t="str">
        <x:v>FY2021 audited comparative; FY2021 closing uses subsequent audited comparative where available.</x:v>
      </x:c>
      <x:c r="G9" s="76" t="str">
        <x:v>FY2020 opening only; no sixth analysis year.</x:v>
      </x:c>
    </x:row>
    <x:row r="10" ht="26" customHeight="1">
      <x:c r="A10" s="168" t="str">
        <x:v>KOHC</x:v>
      </x:c>
      <x:c r="B10" s="168" t="str">
        <x:v>Total assets</x:v>
      </x:c>
      <x:c r="C10" s="168" t="n">
        <x:f>KOHC!C37</x:f>
        <x:v>31756.667306999996</x:v>
      </x:c>
      <x:c r="D10" s="168" t="n">
        <x:f>KOHC!D37</x:f>
        <x:v>36086.921437000005</x:v>
      </x:c>
      <x:c r="E10" s="168" t="n">
        <x:f>AVERAGE(C10:D10)</x:f>
        <x:v>33921.794372000004</x:v>
      </x:c>
      <x:c r="F10" s="168" t="str">
        <x:v>FY2021 audited comparative; FY2021 closing uses subsequent audited comparative where available.</x:v>
      </x:c>
      <x:c r="G10" s="168" t="str">
        <x:v>FY2020 opening only; no sixth analysis year.</x:v>
      </x:c>
    </x:row>
    <x:row r="11" ht="26" customHeight="1">
      <x:c r="A11" s="76" t="str">
        <x:v>KOHC</x:v>
      </x:c>
      <x:c r="B11" s="76" t="str">
        <x:v>Equity</x:v>
      </x:c>
      <x:c r="C11" s="76" t="n">
        <x:f>KOHC!C41</x:f>
        <x:v>18726.673324</x:v>
      </x:c>
      <x:c r="D11" s="76" t="n">
        <x:f>KOHC!D41</x:f>
        <x:v>22223.539371</x:v>
      </x:c>
      <x:c r="E11" s="76" t="n">
        <x:f>AVERAGE(C11:D11)</x:f>
        <x:v>20475.106347499997</x:v>
      </x:c>
      <x:c r="F11" s="76" t="str">
        <x:v>FY2021 audited comparative; FY2021 closing uses subsequent audited comparative where available.</x:v>
      </x:c>
      <x:c r="G11" s="76" t="str">
        <x:v>FY2020 opening only; no sixth analysis year.</x:v>
      </x:c>
    </x:row>
    <x:row r="12" ht="26" customHeight="1">
      <x:c r="A12" s="168" t="str">
        <x:v>KOHC</x:v>
      </x:c>
      <x:c r="B12" s="168" t="str">
        <x:v>Interest-bearing debt</x:v>
      </x:c>
      <x:c r="C12" s="168" t="n">
        <x:f>KOHC!C66</x:f>
        <x:v>6989.331564</x:v>
      </x:c>
      <x:c r="D12" s="168" t="n">
        <x:f>KOHC!D66</x:f>
        <x:v>6050.7861490000005</x:v>
      </x:c>
      <x:c r="E12" s="168" t="n">
        <x:f>AVERAGE(C12:D12)</x:f>
        <x:v>6520.0588565</x:v>
      </x:c>
      <x:c r="F12" s="168" t="str">
        <x:v>FY2021 audited comparative; FY2021 closing uses subsequent audited comparative where available.</x:v>
      </x:c>
      <x:c r="G12" s="168" t="str">
        <x:v>FY2020 opening only; no sixth analysis year.</x:v>
      </x:c>
    </x:row>
    <x:row r="13" ht="26" customHeight="1">
      <x:c r="A13" s="76" t="str">
        <x:v>KOHC</x:v>
      </x:c>
      <x:c r="B13" s="76" t="str">
        <x:v>Invested capital</x:v>
      </x:c>
      <x:c r="C13" s="76" t="n">
        <x:f>KOHC!C70</x:f>
        <x:v>25716.004888</x:v>
      </x:c>
      <x:c r="D13" s="76" t="n">
        <x:f>KOHC!D70</x:f>
        <x:v>28274.32552</x:v>
      </x:c>
      <x:c r="E13" s="76" t="n">
        <x:f>AVERAGE(C13:D13)</x:f>
        <x:v>26995.165203999997</x:v>
      </x:c>
      <x:c r="F13" s="76" t="str">
        <x:v>FY2021 audited comparative; FY2021 closing uses subsequent audited comparative where available.</x:v>
      </x:c>
      <x:c r="G13" s="76" t="str">
        <x:v>FY2020 opening only; no sixth analysis year.</x:v>
      </x:c>
    </x:row>
    <x:row r="14" ht="26" customHeight="1">
      <x:c r="A14" s="168" t="str">
        <x:v>LUCK</x:v>
      </x:c>
      <x:c r="B14" s="168" t="str">
        <x:v>Inventory</x:v>
      </x:c>
      <x:c r="C14" s="168" t="n">
        <x:f>LUCK!C65</x:f>
        <x:v>9435.722</x:v>
      </x:c>
      <x:c r="D14" s="168" t="n">
        <x:f>LUCK!D65</x:f>
        <x:v>13631.61</x:v>
      </x:c>
      <x:c r="E14" s="168" t="n">
        <x:f>AVERAGE(C14:D14)</x:f>
        <x:v>11533.666000000001</x:v>
      </x:c>
      <x:c r="F14" s="168" t="str">
        <x:v>FY2021 audited comparative; FY2021 closing uses subsequent audited comparative where available.</x:v>
      </x:c>
      <x:c r="G14" s="168" t="str">
        <x:v>FY2020 opening only; no sixth analysis year.</x:v>
      </x:c>
    </x:row>
    <x:row r="15" ht="26" customHeight="1">
      <x:c r="A15" s="76" t="str">
        <x:v>LUCK</x:v>
      </x:c>
      <x:c r="B15" s="76" t="str">
        <x:v>Trade receivables</x:v>
      </x:c>
      <x:c r="C15" s="76" t="n">
        <x:f>LUCK!C32</x:f>
        <x:v>3422.767</x:v>
      </x:c>
      <x:c r="D15" s="76" t="n">
        <x:f>LUCK!D32</x:f>
        <x:v>2710.081</x:v>
      </x:c>
      <x:c r="E15" s="76" t="n">
        <x:f>AVERAGE(C15:D15)</x:f>
        <x:v>3066.424</x:v>
      </x:c>
      <x:c r="F15" s="76" t="str">
        <x:v>FY2021 audited comparative; FY2021 closing uses subsequent audited comparative where available.</x:v>
      </x:c>
      <x:c r="G15" s="76" t="str">
        <x:v>FY2020 opening only; no sixth analysis year.</x:v>
      </x:c>
    </x:row>
    <x:row r="16" ht="26" customHeight="1">
      <x:c r="A16" s="168" t="str">
        <x:v>LUCK</x:v>
      </x:c>
      <x:c r="B16" s="168" t="str">
        <x:v>Operating supplier payables</x:v>
      </x:c>
      <x:c r="C16" s="168" t="n">
        <x:f>LUCK!C51</x:f>
        <x:v>2599.29</x:v>
      </x:c>
      <x:c r="D16" s="168" t="n">
        <x:f>LUCK!D51</x:f>
        <x:v>2882.434</x:v>
      </x:c>
      <x:c r="E16" s="168" t="n">
        <x:f>AVERAGE(C16:D16)</x:f>
        <x:v>2740.862</x:v>
      </x:c>
      <x:c r="F16" s="168" t="str">
        <x:v>FY2021 audited comparative; FY2021 closing uses subsequent audited comparative where available.</x:v>
      </x:c>
      <x:c r="G16" s="168" t="str">
        <x:v>FY2020 opening only; no sixth analysis year.</x:v>
      </x:c>
    </x:row>
    <x:row r="17" ht="26" customHeight="1">
      <x:c r="A17" s="76" t="str">
        <x:v>LUCK</x:v>
      </x:c>
      <x:c r="B17" s="76" t="str">
        <x:v>Operating PPE</x:v>
      </x:c>
      <x:c r="C17" s="76" t="n">
        <x:f>LUCK!C22</x:f>
        <x:v>59913.379</x:v>
      </x:c>
      <x:c r="D17" s="76" t="n">
        <x:f>LUCK!D22</x:f>
        <x:v>58374.903</x:v>
      </x:c>
      <x:c r="E17" s="76" t="n">
        <x:f>AVERAGE(C17:D17)</x:f>
        <x:v>59144.141</x:v>
      </x:c>
      <x:c r="F17" s="76" t="str">
        <x:v>FY2021 audited comparative; FY2021 closing uses subsequent audited comparative where available.</x:v>
      </x:c>
      <x:c r="G17" s="76" t="str">
        <x:v>FY2020 opening only; no sixth analysis year.</x:v>
      </x:c>
    </x:row>
    <x:row r="18" ht="26" customHeight="1">
      <x:c r="A18" s="168" t="str">
        <x:v>LUCK</x:v>
      </x:c>
      <x:c r="B18" s="168" t="str">
        <x:v>Total assets</x:v>
      </x:c>
      <x:c r="C18" s="168" t="n">
        <x:f>LUCK!C37</x:f>
        <x:v>135868.474</x:v>
      </x:c>
      <x:c r="D18" s="168" t="n">
        <x:f>LUCK!D37</x:f>
        <x:v>156368.062</x:v>
      </x:c>
      <x:c r="E18" s="168" t="n">
        <x:f>AVERAGE(C18:D18)</x:f>
        <x:v>146118.26799999998</x:v>
      </x:c>
      <x:c r="F18" s="168" t="str">
        <x:v>FY2021 audited comparative; FY2021 closing uses subsequent audited comparative where available.</x:v>
      </x:c>
      <x:c r="G18" s="168" t="str">
        <x:v>FY2020 opening only; no sixth analysis year.</x:v>
      </x:c>
    </x:row>
    <x:row r="19" ht="26" customHeight="1">
      <x:c r="A19" s="76" t="str">
        <x:v>LUCK</x:v>
      </x:c>
      <x:c r="B19" s="76" t="str">
        <x:v>Equity</x:v>
      </x:c>
      <x:c r="C19" s="76" t="n">
        <x:f>LUCK!C41</x:f>
        <x:v>99183.861</x:v>
      </x:c>
      <x:c r="D19" s="76" t="n">
        <x:f>LUCK!D41</x:f>
        <x:v>113200.258</x:v>
      </x:c>
      <x:c r="E19" s="76" t="n">
        <x:f>AVERAGE(C19:D19)</x:f>
        <x:v>106192.0595</x:v>
      </x:c>
      <x:c r="F19" s="76" t="str">
        <x:v>FY2021 audited comparative; FY2021 closing uses subsequent audited comparative where available.</x:v>
      </x:c>
      <x:c r="G19" s="76" t="str">
        <x:v>FY2020 opening only; no sixth analysis year.</x:v>
      </x:c>
    </x:row>
    <x:row r="20" ht="26" customHeight="1">
      <x:c r="A20" s="168" t="str">
        <x:v>LUCK</x:v>
      </x:c>
      <x:c r="B20" s="168" t="str">
        <x:v>Interest-bearing debt</x:v>
      </x:c>
      <x:c r="C20" s="168" t="n">
        <x:f>LUCK!C66</x:f>
        <x:v>8378.632000000001</x:v>
      </x:c>
      <x:c r="D20" s="168" t="n">
        <x:f>LUCK!D66</x:f>
        <x:v>10490.952</x:v>
      </x:c>
      <x:c r="E20" s="168" t="n">
        <x:f>AVERAGE(C20:D20)</x:f>
        <x:v>9434.792000000001</x:v>
      </x:c>
      <x:c r="F20" s="168" t="str">
        <x:v>FY2021 audited comparative; FY2021 closing uses subsequent audited comparative where available.</x:v>
      </x:c>
      <x:c r="G20" s="168" t="str">
        <x:v>FY2020 opening only; no sixth analysis year.</x:v>
      </x:c>
    </x:row>
    <x:row r="21" ht="26" customHeight="1">
      <x:c r="A21" s="76" t="str">
        <x:v>LUCK</x:v>
      </x:c>
      <x:c r="B21" s="76" t="str">
        <x:v>Invested capital</x:v>
      </x:c>
      <x:c r="C21" s="76" t="n">
        <x:f>LUCK!C70</x:f>
        <x:v>107562.493</x:v>
      </x:c>
      <x:c r="D21" s="76" t="n">
        <x:f>LUCK!D70</x:f>
        <x:v>123691.21</x:v>
      </x:c>
      <x:c r="E21" s="76" t="n">
        <x:f>AVERAGE(C21:D21)</x:f>
        <x:v>115626.8515</x:v>
      </x:c>
      <x:c r="F21" s="76" t="str">
        <x:v>FY2021 audited comparative; FY2021 closing uses subsequent audited comparative where available.</x:v>
      </x:c>
      <x:c r="G21" s="76" t="str">
        <x:v>FY2020 opening only; no sixth analysis year.</x:v>
      </x:c>
    </x:row>
    <x:row r="22" ht="26" customHeight="1">
      <x:c r="A22" s="168" t="str">
        <x:v>DGKC</x:v>
      </x:c>
      <x:c r="B22" s="168" t="str">
        <x:v>Inventory</x:v>
      </x:c>
      <x:c r="C22" s="168" t="n">
        <x:f>DGKC!C65</x:f>
        <x:v>12590.985</x:v>
      </x:c>
      <x:c r="D22" s="168" t="n">
        <x:f>DGKC!D65</x:f>
        <x:v>15607.937</x:v>
      </x:c>
      <x:c r="E22" s="168" t="n">
        <x:f>AVERAGE(C22:D22)</x:f>
        <x:v>14099.461</x:v>
      </x:c>
      <x:c r="F22" s="168" t="str">
        <x:v>FY2021 audited comparative; FY2021 closing uses subsequent audited comparative where available.</x:v>
      </x:c>
      <x:c r="G22" s="168" t="str">
        <x:v>FY2020 opening only; no sixth analysis year.</x:v>
      </x:c>
    </x:row>
    <x:row r="23" ht="26" customHeight="1">
      <x:c r="A23" s="76" t="str">
        <x:v>DGKC</x:v>
      </x:c>
      <x:c r="B23" s="76" t="str">
        <x:v>Trade receivables</x:v>
      </x:c>
      <x:c r="C23" s="76" t="n">
        <x:f>DGKC!C32</x:f>
        <x:v>2286.084</x:v>
      </x:c>
      <x:c r="D23" s="76" t="n">
        <x:f>DGKC!D32</x:f>
        <x:v>1676.245</x:v>
      </x:c>
      <x:c r="E23" s="76" t="n">
        <x:f>AVERAGE(C23:D23)</x:f>
        <x:v>1981.1644999999999</x:v>
      </x:c>
      <x:c r="F23" s="76" t="str">
        <x:v>FY2021 audited comparative; FY2021 closing uses subsequent audited comparative where available.</x:v>
      </x:c>
      <x:c r="G23" s="76" t="str">
        <x:v>FY2020 opening only; no sixth analysis year.</x:v>
      </x:c>
    </x:row>
    <x:row r="24" ht="26" customHeight="1">
      <x:c r="A24" s="168" t="str">
        <x:v>DGKC</x:v>
      </x:c>
      <x:c r="B24" s="168" t="str">
        <x:v>Operating supplier payables</x:v>
      </x:c>
      <x:c r="C24" s="168" t="n">
        <x:f>DGKC!C51</x:f>
        <x:v>4325.32</x:v>
      </x:c>
      <x:c r="D24" s="168" t="n">
        <x:f>DGKC!D51</x:f>
        <x:v>7375.63</x:v>
      </x:c>
      <x:c r="E24" s="168" t="n">
        <x:f>AVERAGE(C24:D24)</x:f>
        <x:v>5850.475</x:v>
      </x:c>
      <x:c r="F24" s="168" t="str">
        <x:v>FY2021 audited comparative; FY2021 closing uses subsequent audited comparative where available.</x:v>
      </x:c>
      <x:c r="G24" s="168" t="str">
        <x:v>FY2020 opening only; no sixth analysis year.</x:v>
      </x:c>
    </x:row>
    <x:row r="25" ht="26" customHeight="1">
      <x:c r="A25" s="76" t="str">
        <x:v>DGKC</x:v>
      </x:c>
      <x:c r="B25" s="76" t="str">
        <x:v>Operating PPE</x:v>
      </x:c>
      <x:c r="C25" s="76" t="n">
        <x:f>DGKC!C22</x:f>
        <x:v>77179.036</x:v>
      </x:c>
      <x:c r="D25" s="76" t="n">
        <x:f>DGKC!D22</x:f>
        <x:v>77293.389</x:v>
      </x:c>
      <x:c r="E25" s="76" t="n">
        <x:f>AVERAGE(C25:D25)</x:f>
        <x:v>77236.2125</x:v>
      </x:c>
      <x:c r="F25" s="76" t="str">
        <x:v>FY2021 audited comparative; FY2021 closing uses subsequent audited comparative where available.</x:v>
      </x:c>
      <x:c r="G25" s="76" t="str">
        <x:v>FY2020 opening only; no sixth analysis year.</x:v>
      </x:c>
    </x:row>
    <x:row r="26" ht="26" customHeight="1">
      <x:c r="A26" s="168" t="str">
        <x:v>DGKC</x:v>
      </x:c>
      <x:c r="B26" s="168" t="str">
        <x:v>Total assets</x:v>
      </x:c>
      <x:c r="C26" s="168" t="n">
        <x:f>DGKC!C37</x:f>
        <x:v>129551.53399999999</x:v>
      </x:c>
      <x:c r="D26" s="168" t="n">
        <x:f>DGKC!D37</x:f>
        <x:v>137894.69700000001</x:v>
      </x:c>
      <x:c r="E26" s="168" t="n">
        <x:f>AVERAGE(C26:D26)</x:f>
        <x:v>133723.1155</x:v>
      </x:c>
      <x:c r="F26" s="168" t="str">
        <x:v>FY2021 audited comparative; FY2021 closing uses subsequent audited comparative where available.</x:v>
      </x:c>
      <x:c r="G26" s="168" t="str">
        <x:v>FY2020 opening only; no sixth analysis year.</x:v>
      </x:c>
    </x:row>
    <x:row r="27" ht="26" customHeight="1">
      <x:c r="A27" s="76" t="str">
        <x:v>DGKC</x:v>
      </x:c>
      <x:c r="B27" s="76" t="str">
        <x:v>Equity</x:v>
      </x:c>
      <x:c r="C27" s="76" t="n">
        <x:f>DGKC!C41</x:f>
        <x:v>66644.157</x:v>
      </x:c>
      <x:c r="D27" s="76" t="n">
        <x:f>DGKC!D41</x:f>
        <x:v>73477.873</x:v>
      </x:c>
      <x:c r="E27" s="76" t="n">
        <x:f>AVERAGE(C27:D27)</x:f>
        <x:v>70061.01500000001</x:v>
      </x:c>
      <x:c r="F27" s="76" t="str">
        <x:v>FY2021 audited comparative; FY2021 closing uses subsequent audited comparative where available.</x:v>
      </x:c>
      <x:c r="G27" s="76" t="str">
        <x:v>FY2020 opening only; no sixth analysis year.</x:v>
      </x:c>
    </x:row>
    <x:row r="28" ht="26" customHeight="1">
      <x:c r="A28" s="168" t="str">
        <x:v>DGKC</x:v>
      </x:c>
      <x:c r="B28" s="168" t="str">
        <x:v>Interest-bearing debt</x:v>
      </x:c>
      <x:c r="C28" s="168" t="n">
        <x:f>DGKC!C66</x:f>
        <x:v>47478.588</x:v>
      </x:c>
      <x:c r="D28" s="168" t="n">
        <x:f>DGKC!D66</x:f>
        <x:v>43792.817</x:v>
      </x:c>
      <x:c r="E28" s="168" t="n">
        <x:f>AVERAGE(C28:D28)</x:f>
        <x:v>45635.7025</x:v>
      </x:c>
      <x:c r="F28" s="168" t="str">
        <x:v>FY2021 audited comparative; FY2021 closing uses subsequent audited comparative where available.</x:v>
      </x:c>
      <x:c r="G28" s="168" t="str">
        <x:v>FY2020 opening only; no sixth analysis year.</x:v>
      </x:c>
    </x:row>
    <x:row r="29" ht="26" customHeight="1">
      <x:c r="A29" s="76" t="str">
        <x:v>DGKC</x:v>
      </x:c>
      <x:c r="B29" s="76" t="str">
        <x:v>Invested capital</x:v>
      </x:c>
      <x:c r="C29" s="76" t="n">
        <x:f>DGKC!C70</x:f>
        <x:v>114122.74500000001</x:v>
      </x:c>
      <x:c r="D29" s="76" t="n">
        <x:f>DGKC!D70</x:f>
        <x:v>117270.69</x:v>
      </x:c>
      <x:c r="E29" s="76" t="n">
        <x:f>AVERAGE(C29:D29)</x:f>
        <x:v>115696.7175</x:v>
      </x:c>
      <x:c r="F29" s="76" t="str">
        <x:v>FY2021 audited comparative; FY2021 closing uses subsequent audited comparative where available.</x:v>
      </x:c>
      <x:c r="G29" s="76" t="str">
        <x:v>FY2020 opening only; no sixth analysis year.</x:v>
      </x:c>
    </x:row>
    <x:row r="30" ht="26" customHeight="1">
      <x:c r="A30" s="168" t="str">
        <x:v>MLCF</x:v>
      </x:c>
      <x:c r="B30" s="168" t="str">
        <x:v>Inventory</x:v>
      </x:c>
      <x:c r="C30" s="168" t="n">
        <x:f>MLCF!C65</x:f>
        <x:v>10175.014000000001</x:v>
      </x:c>
      <x:c r="D30" s="168" t="n">
        <x:f>MLCF!D65</x:f>
        <x:v>11888.900000000001</x:v>
      </x:c>
      <x:c r="E30" s="168" t="n">
        <x:f>AVERAGE(C30:D30)</x:f>
        <x:v>11031.957000000002</x:v>
      </x:c>
      <x:c r="F30" s="168" t="str">
        <x:v>FY2021 audited comparative; FY2021 closing uses subsequent audited comparative where available.</x:v>
      </x:c>
      <x:c r="G30" s="168" t="str">
        <x:v>FY2020 opening only; no sixth analysis year.</x:v>
      </x:c>
    </x:row>
    <x:row r="31" ht="26" customHeight="1">
      <x:c r="A31" s="76" t="str">
        <x:v>MLCF</x:v>
      </x:c>
      <x:c r="B31" s="76" t="str">
        <x:v>Trade receivables</x:v>
      </x:c>
      <x:c r="C31" s="76" t="n">
        <x:f>MLCF!C32</x:f>
        <x:v>3052.13</x:v>
      </x:c>
      <x:c r="D31" s="76" t="n">
        <x:f>MLCF!D32</x:f>
        <x:v>1679.704</x:v>
      </x:c>
      <x:c r="E31" s="76" t="n">
        <x:f>AVERAGE(C31:D31)</x:f>
        <x:v>2365.917</x:v>
      </x:c>
      <x:c r="F31" s="76" t="str">
        <x:v>FY2021 audited comparative; FY2021 closing uses subsequent audited comparative where available.</x:v>
      </x:c>
      <x:c r="G31" s="76" t="str">
        <x:v>FY2020 opening only; no sixth analysis year.</x:v>
      </x:c>
    </x:row>
    <x:row r="32" ht="26" customHeight="1">
      <x:c r="A32" s="168" t="str">
        <x:v>MLCF</x:v>
      </x:c>
      <x:c r="B32" s="168" t="str">
        <x:v>Operating supplier payables</x:v>
      </x:c>
      <x:c r="C32" s="168" t="n">
        <x:f>MLCF!C51</x:f>
        <x:v>4173.943</x:v>
      </x:c>
      <x:c r="D32" s="168" t="n">
        <x:f>MLCF!D51</x:f>
        <x:v>3576.632</x:v>
      </x:c>
      <x:c r="E32" s="168" t="n">
        <x:f>AVERAGE(C32:D32)</x:f>
        <x:v>3875.2875000000004</x:v>
      </x:c>
      <x:c r="F32" s="168" t="str">
        <x:v>FY2021 audited comparative; FY2021 closing uses subsequent audited comparative where available.</x:v>
      </x:c>
      <x:c r="G32" s="168" t="str">
        <x:v>FY2020 opening only; no sixth analysis year.</x:v>
      </x:c>
    </x:row>
    <x:row r="33" ht="26" customHeight="1">
      <x:c r="A33" s="76" t="str">
        <x:v>MLCF</x:v>
      </x:c>
      <x:c r="B33" s="76" t="str">
        <x:v>Operating PPE</x:v>
      </x:c>
      <x:c r="C33" s="76" t="n">
        <x:f>MLCF!C22</x:f>
        <x:v>43426.555</x:v>
      </x:c>
      <x:c r="D33" s="76" t="n">
        <x:f>MLCF!D22</x:f>
        <x:v>41361.246</x:v>
      </x:c>
      <x:c r="E33" s="76" t="n">
        <x:f>AVERAGE(C33:D33)</x:f>
        <x:v>42393.9005</x:v>
      </x:c>
      <x:c r="F33" s="76" t="str">
        <x:v>FY2021 audited comparative; FY2021 closing uses subsequent audited comparative where available.</x:v>
      </x:c>
      <x:c r="G33" s="76" t="str">
        <x:v>FY2020 opening only; no sixth analysis year.</x:v>
      </x:c>
    </x:row>
    <x:row r="34" ht="26" customHeight="1">
      <x:c r="A34" s="168" t="str">
        <x:v>MLCF</x:v>
      </x:c>
      <x:c r="B34" s="168" t="str">
        <x:v>Total assets</x:v>
      </x:c>
      <x:c r="C34" s="168" t="n">
        <x:f>MLCF!C37</x:f>
        <x:v>66009.77100000001</x:v>
      </x:c>
      <x:c r="D34" s="168" t="n">
        <x:f>MLCF!D37</x:f>
        <x:v>66239.27799999999</x:v>
      </x:c>
      <x:c r="E34" s="168" t="n">
        <x:f>AVERAGE(C34:D34)</x:f>
        <x:v>66124.5245</x:v>
      </x:c>
      <x:c r="F34" s="168" t="str">
        <x:v>FY2021 audited comparative; FY2021 closing uses subsequent audited comparative where available.</x:v>
      </x:c>
      <x:c r="G34" s="168" t="str">
        <x:v>FY2020 opening only; no sixth analysis year.</x:v>
      </x:c>
    </x:row>
    <x:row r="35" ht="26" customHeight="1">
      <x:c r="A35" s="76" t="str">
        <x:v>MLCF</x:v>
      </x:c>
      <x:c r="B35" s="76" t="str">
        <x:v>Equity</x:v>
      </x:c>
      <x:c r="C35" s="76" t="n">
        <x:f>MLCF!C41</x:f>
        <x:v>31320.831</x:v>
      </x:c>
      <x:c r="D35" s="76" t="n">
        <x:f>MLCF!D41</x:f>
        <x:v>37542.541</x:v>
      </x:c>
      <x:c r="E35" s="76" t="n">
        <x:f>AVERAGE(C35:D35)</x:f>
        <x:v>34431.686</x:v>
      </x:c>
      <x:c r="F35" s="76" t="str">
        <x:v>FY2021 audited comparative; FY2021 closing uses subsequent audited comparative where available.</x:v>
      </x:c>
      <x:c r="G35" s="76" t="str">
        <x:v>FY2020 opening only; no sixth analysis year.</x:v>
      </x:c>
    </x:row>
    <x:row r="36" ht="26" customHeight="1">
      <x:c r="A36" s="168" t="str">
        <x:v>MLCF</x:v>
      </x:c>
      <x:c r="B36" s="168" t="str">
        <x:v>Interest-bearing debt</x:v>
      </x:c>
      <x:c r="C36" s="168" t="n">
        <x:f>MLCF!C66</x:f>
        <x:v>21940.414</x:v>
      </x:c>
      <x:c r="D36" s="168" t="n">
        <x:f>MLCF!D66</x:f>
        <x:v>16235.475999999999</x:v>
      </x:c>
      <x:c r="E36" s="168" t="n">
        <x:f>AVERAGE(C36:D36)</x:f>
        <x:v>19087.945</x:v>
      </x:c>
      <x:c r="F36" s="168" t="str">
        <x:v>FY2021 audited comparative; FY2021 closing uses subsequent audited comparative where available.</x:v>
      </x:c>
      <x:c r="G36" s="168" t="str">
        <x:v>FY2020 opening only; no sixth analysis year.</x:v>
      </x:c>
    </x:row>
    <x:row r="37" ht="26" customHeight="1">
      <x:c r="A37" s="76" t="str">
        <x:v>MLCF</x:v>
      </x:c>
      <x:c r="B37" s="76" t="str">
        <x:v>Invested capital</x:v>
      </x:c>
      <x:c r="C37" s="76" t="n">
        <x:f>MLCF!C70</x:f>
        <x:v>53261.244999999995</x:v>
      </x:c>
      <x:c r="D37" s="76" t="n">
        <x:f>MLCF!D70</x:f>
        <x:v>53778.01699999999</x:v>
      </x:c>
      <x:c r="E37" s="76" t="n">
        <x:f>AVERAGE(C37:D37)</x:f>
        <x:v>53519.630999999994</x:v>
      </x:c>
      <x:c r="F37" s="76" t="str">
        <x:v>FY2021 audited comparative; FY2021 closing uses subsequent audited comparative where available.</x:v>
      </x:c>
      <x:c r="G37" s="76" t="str">
        <x:v>FY2020 opening only; no sixth analysis year.</x:v>
      </x:c>
    </x:row>
    <x:row r="38" ht="26" customHeight="1">
      <x:c r="A38" s="168" t="str">
        <x:v>FCCL</x:v>
      </x:c>
      <x:c r="B38" s="168" t="str">
        <x:v>Inventory</x:v>
      </x:c>
      <x:c r="C38" s="168" t="n">
        <x:f>FCCL!C65</x:f>
        <x:v>4693.561</x:v>
      </x:c>
      <x:c r="D38" s="168" t="n">
        <x:f>FCCL!D65</x:f>
        <x:v>5439.952</x:v>
      </x:c>
      <x:c r="E38" s="168" t="n">
        <x:f>AVERAGE(C38:D38)</x:f>
        <x:v>5066.7564999999995</x:v>
      </x:c>
      <x:c r="F38" s="168" t="str">
        <x:v>FY2021 audited comparative; FY2021 closing uses subsequent audited comparative where available.</x:v>
      </x:c>
      <x:c r="G38" s="168" t="str">
        <x:v>FY2020 opening only; no sixth analysis year.</x:v>
      </x:c>
    </x:row>
    <x:row r="39" ht="26" customHeight="1">
      <x:c r="A39" s="76" t="str">
        <x:v>FCCL</x:v>
      </x:c>
      <x:c r="B39" s="76" t="str">
        <x:v>Trade receivables</x:v>
      </x:c>
      <x:c r="C39" s="76" t="n">
        <x:f>FCCL!C32</x:f>
        <x:v>1050.64</x:v>
      </x:c>
      <x:c r="D39" s="76" t="n">
        <x:f>FCCL!D32</x:f>
        <x:v>1449.6</x:v>
      </x:c>
      <x:c r="E39" s="76" t="n">
        <x:f>AVERAGE(C39:D39)</x:f>
        <x:v>1250.12</x:v>
      </x:c>
      <x:c r="F39" s="76" t="str">
        <x:v>FY2021 audited comparative; FY2021 closing uses subsequent audited comparative where available.</x:v>
      </x:c>
      <x:c r="G39" s="76" t="str">
        <x:v>FY2020 opening only; no sixth analysis year.</x:v>
      </x:c>
    </x:row>
    <x:row r="40" ht="26" customHeight="1">
      <x:c r="A40" s="168" t="str">
        <x:v>FCCL</x:v>
      </x:c>
      <x:c r="B40" s="168" t="str">
        <x:v>Operating supplier payables</x:v>
      </x:c>
      <x:c r="C40" s="168" t="n">
        <x:f>FCCL!C51</x:f>
        <x:v>354.586</x:v>
      </x:c>
      <x:c r="D40" s="168" t="n">
        <x:f>FCCL!D51</x:f>
        <x:v>863.038</x:v>
      </x:c>
      <x:c r="E40" s="168" t="n">
        <x:f>AVERAGE(C40:D40)</x:f>
        <x:v>608.812</x:v>
      </x:c>
      <x:c r="F40" s="168" t="str">
        <x:v>FY2021 audited comparative; FY2021 closing uses subsequent audited comparative where available.</x:v>
      </x:c>
      <x:c r="G40" s="168" t="str">
        <x:v>FY2020 opening only; no sixth analysis year.</x:v>
      </x:c>
    </x:row>
    <x:row r="41" ht="26" customHeight="1">
      <x:c r="A41" s="76" t="str">
        <x:v>FCCL</x:v>
      </x:c>
      <x:c r="B41" s="76" t="str">
        <x:v>Operating PPE</x:v>
      </x:c>
      <x:c r="C41" s="76" t="n">
        <x:f>FCCL!C22</x:f>
        <x:v>22062.363999999998</x:v>
      </x:c>
      <x:c r="D41" s="76" t="n">
        <x:f>FCCL!D22</x:f>
        <x:v>21220.128</x:v>
      </x:c>
      <x:c r="E41" s="76" t="n">
        <x:f>AVERAGE(C41:D41)</x:f>
        <x:v>21641.246</x:v>
      </x:c>
      <x:c r="F41" s="76" t="str">
        <x:v>FY2021 audited comparative; FY2021 closing uses subsequent audited comparative where available.</x:v>
      </x:c>
      <x:c r="G41" s="76" t="str">
        <x:v>FY2020 opening only; no sixth analysis year.</x:v>
      </x:c>
    </x:row>
    <x:row r="42" ht="26" customHeight="1">
      <x:c r="A42" s="168" t="str">
        <x:v>FCCL</x:v>
      </x:c>
      <x:c r="B42" s="168" t="str">
        <x:v>Total assets</x:v>
      </x:c>
      <x:c r="C42" s="168" t="n">
        <x:f>FCCL!C37</x:f>
        <x:v>29207.915999999997</x:v>
      </x:c>
      <x:c r="D42" s="168" t="n">
        <x:f>FCCL!D37</x:f>
        <x:v>34052.231</x:v>
      </x:c>
      <x:c r="E42" s="168" t="n">
        <x:f>AVERAGE(C42:D42)</x:f>
        <x:v>31630.0735</x:v>
      </x:c>
      <x:c r="F42" s="168" t="str">
        <x:v>FY2021 audited comparative; FY2021 closing uses subsequent audited comparative where available.</x:v>
      </x:c>
      <x:c r="G42" s="168" t="str">
        <x:v>FY2020 opening only; no sixth analysis year.</x:v>
      </x:c>
    </x:row>
    <x:row r="43" ht="26" customHeight="1">
      <x:c r="A43" s="76" t="str">
        <x:v>FCCL</x:v>
      </x:c>
      <x:c r="B43" s="76" t="str">
        <x:v>Equity</x:v>
      </x:c>
      <x:c r="C43" s="76" t="n">
        <x:f>FCCL!C41</x:f>
        <x:v>19804.32</x:v>
      </x:c>
      <x:c r="D43" s="76" t="n">
        <x:f>FCCL!D41</x:f>
        <x:v>23275.671000000002</x:v>
      </x:c>
      <x:c r="E43" s="76" t="n">
        <x:f>AVERAGE(C43:D43)</x:f>
        <x:v>21539.9955</x:v>
      </x:c>
      <x:c r="F43" s="76" t="str">
        <x:v>FY2021 audited comparative; FY2021 closing uses subsequent audited comparative where available.</x:v>
      </x:c>
      <x:c r="G43" s="76" t="str">
        <x:v>FY2020 opening only; no sixth analysis year.</x:v>
      </x:c>
    </x:row>
    <x:row r="44" ht="26" customHeight="1">
      <x:c r="A44" s="168" t="str">
        <x:v>FCCL</x:v>
      </x:c>
      <x:c r="B44" s="168" t="str">
        <x:v>Interest-bearing debt</x:v>
      </x:c>
      <x:c r="C44" s="168" t="n">
        <x:f>FCCL!C66</x:f>
        <x:v>2701.799</x:v>
      </x:c>
      <x:c r="D44" s="168" t="n">
        <x:f>FCCL!D66</x:f>
        <x:v>2568.0890000000004</x:v>
      </x:c>
      <x:c r="E44" s="168" t="n">
        <x:f>AVERAGE(C44:D44)</x:f>
        <x:v>2634.9440000000004</x:v>
      </x:c>
      <x:c r="F44" s="168" t="str">
        <x:v>FY2021 audited comparative; FY2021 closing uses subsequent audited comparative where available.</x:v>
      </x:c>
      <x:c r="G44" s="168" t="str">
        <x:v>FY2020 opening only; no sixth analysis year.</x:v>
      </x:c>
    </x:row>
    <x:row r="45" ht="26" customHeight="1">
      <x:c r="A45" s="76" t="str">
        <x:v>FCCL</x:v>
      </x:c>
      <x:c r="B45" s="76" t="str">
        <x:v>Invested capital</x:v>
      </x:c>
      <x:c r="C45" s="76" t="n">
        <x:f>FCCL!C70</x:f>
        <x:v>22506.119</x:v>
      </x:c>
      <x:c r="D45" s="76" t="n">
        <x:f>FCCL!D70</x:f>
        <x:v>25843.760000000002</x:v>
      </x:c>
      <x:c r="E45" s="76" t="n">
        <x:f>AVERAGE(C45:D45)</x:f>
        <x:v>24174.9395</x:v>
      </x:c>
      <x:c r="F45" s="76" t="str">
        <x:v>FY2021 audited comparative; FY2021 closing uses subsequent audited comparative where available.</x:v>
      </x:c>
      <x:c r="G45" s="76" t="str">
        <x:v>FY2020 opening only; no sixth analysis year.</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38" hidden="0" customWidth="1"/>
    <x:col min="3" max="3" width="44" hidden="0" customWidth="1"/>
    <x:col min="4" max="4" width="105" hidden="0" customWidth="1"/>
    <x:col min="5" max="5" width="100" hidden="0" customWidth="1"/>
    <x:col min="6" max="6" width="125" hidden="0" customWidth="1"/>
    <x:col min="7" max="7" width="110" hidden="0" customWidth="1"/>
  </x:cols>
  <x:sheetData>
    <x:row r="1" ht="26" customHeight="1">
      <x:c r="A1" s="76"/>
      <x:c r="B1" s="76"/>
      <x:c r="C1" s="76"/>
      <x:c r="D1" s="76"/>
      <x:c r="E1" s="76"/>
      <x:c r="F1" s="76"/>
      <x:c r="G1" s="76"/>
    </x:row>
    <x:row r="2" ht="26" customHeight="1">
      <x:c r="A2" s="77" t="str">
        <x:v>Material discrepancies — external leads and official conclusions</x:v>
      </x:c>
      <x:c r="B2" s="76"/>
      <x:c r="C2" s="76"/>
      <x:c r="D2" s="76"/>
      <x:c r="E2" s="76"/>
      <x:c r="F2" s="76"/>
      <x:c r="G2" s="76"/>
    </x:row>
    <x:row r="3" ht="26" customHeight="1">
      <x:c r="A3" s="164" t="str">
        <x:v>Secondary sources are investigative only. No secondary financial values or references appear in the submission workbook. Exact numeric reproduction is separated from an officially disclosed definition.</x:v>
      </x:c>
      <x:c r="B3" s="76"/>
      <x:c r="C3" s="76"/>
      <x:c r="D3" s="76"/>
      <x:c r="E3" s="76"/>
      <x:c r="F3" s="76"/>
      <x:c r="G3" s="76"/>
    </x:row>
    <x:row r="4" ht="26" customHeight="1">
      <x:c r="A4" s="76"/>
      <x:c r="B4" s="76"/>
      <x:c r="C4" s="76"/>
      <x:c r="D4" s="76"/>
      <x:c r="E4" s="76"/>
      <x:c r="F4" s="76"/>
      <x:c r="G4" s="76"/>
    </x:row>
    <x:row r="5" ht="40" customHeight="1">
      <x:c r="A5" s="167" t="str">
        <x:v>Company</x:v>
      </x:c>
      <x:c r="B5" s="167" t="str">
        <x:v>Issue</x:v>
      </x:c>
      <x:c r="C5" s="167" t="str">
        <x:v>Research source</x:v>
      </x:c>
      <x:c r="D5" s="167" t="str">
        <x:v>Link</x:v>
      </x:c>
      <x:c r="E5" s="167" t="str">
        <x:v>Investigative finding / hypothesis</x:v>
      </x:c>
      <x:c r="F5" s="167" t="str">
        <x:v>Official cross-check</x:v>
      </x:c>
      <x:c r="G5" s="167" t="str">
        <x:v>Conclusion</x:v>
      </x:c>
    </x:row>
    <x:row r="6" ht="126" customHeight="1">
      <x:c r="A6" s="171" t="str">
        <x:v>KOHC</x:v>
      </x:c>
      <x:c r="B6" s="171" t="str">
        <x:v>Inventory / supplier payables</x:v>
      </x:c>
      <x:c r="C6" s="171" t="str">
        <x:v>PACRA Jan2026 rating report</x:v>
      </x:c>
      <x:c r="D6" s="171" t="str">
        <x:v>https://www.pacra.com/api/rating-report/MTU0MTQ%3D</x:v>
      </x:c>
      <x:c r="E6" s="171" t="str">
        <x:v>Secondary analysis separates stock-in-trade inventory and supplier payables. Used to investigate component definitions only.</x:v>
      </x:c>
      <x:c r="F6" s="171" t="str">
        <x:v>Official note 9 confirms contractors bills separate from local/import creditors. Published DPO includes those bills and closing rather than average balance.</x:v>
      </x:c>
      <x:c r="G6" s="171" t="str">
        <x:v>Reconstructed published convention; standardized formula preserved.</x:v>
      </x:c>
    </x:row>
    <x:row r="7" ht="126" customHeight="1">
      <x:c r="A7" s="99" t="str">
        <x:v>LUCK</x:v>
      </x:c>
      <x:c r="B7" s="99" t="str">
        <x:v>Interest coverage / operating numerator</x:v>
      </x:c>
      <x:c r="C7" s="99" t="str">
        <x:v>Arif Habib Pakistan Strategy2025</x:v>
      </x:c>
      <x:c r="D7" s="99" t="str">
        <x:v>https://www.arifhabibltd.com/api/research/open?path=178%2F6737dbd54a3785058cc20a7c.pdf</x:v>
      </x:c>
      <x:c r="E7" s="99" t="str">
        <x:v>Research uses operating profit before other expenses/income and distinguishes consolidated metrics.</x:v>
      </x:c>
      <x:c r="F7" s="99" t="str">
        <x:v>Audited GP less distribution/admin reproduces published coverage with all finance cost. No analyst amounts used as inputs.</x:v>
      </x:c>
      <x:c r="G7" s="99" t="str">
        <x:v>Published-method difference reconstructed from official statements; exact formula not expressly disclosed.</x:v>
      </x:c>
    </x:row>
    <x:row r="8" ht="126" customHeight="1">
      <x:c r="A8" s="171" t="str">
        <x:v>FCCL</x:v>
      </x:c>
      <x:c r="B8" s="171" t="str">
        <x:v>Interest / parent financing</x:v>
      </x:c>
      <x:c r="C8" s="171" t="str">
        <x:v>HMFS FY2025 result review</x:v>
      </x:c>
      <x:c r="D8" s="171" t="str">
        <x:v>https://hmfs.com.pk/uploads/files/Result_Review_FCCL___MLCF_-_FY25.pdf</x:v>
      </x:c>
      <x:c r="E8" s="171" t="str">
        <x:v>Search result narrows interest discussion to conventional banking expense; full report retrieval was unavailable. Hypothesis only.</x:v>
      </x:c>
      <x:c r="F8" s="171" t="str">
        <x:v>Official note 34 separately discloses conventional/Islamic/WPPF/lease/FX/bank charges. Note 11 confirms parent interest starts July2024.</x:v>
      </x:c>
      <x:c r="G8" s="171" t="str">
        <x:v>Corrected interest-free parent and accrued markup classification; published FY2025 coverage rounding remains unresolved.</x:v>
      </x:c>
    </x:row>
    <x:row r="9" ht="126" customHeight="1">
      <x:c r="A9" s="99" t="str">
        <x:v>DGKC</x:v>
      </x:c>
      <x:c r="B9" s="99" t="str">
        <x:v>Large payable-days and quick-ratio gaps</x:v>
      </x:c>
      <x:c r="C9" s="99" t="str">
        <x:v>External targeted investigation</x:v>
      </x:c>
      <x:c r="D9" s="99" t="str">
        <x:v>https://www.dgcement.com/financial-reports/DGAnnual2025.pdf</x:v>
      </x:c>
      <x:c r="E9" s="99" t="str">
        <x:v>Targeted searches did not find a reputable explanation identifying the exact company formula. Purchases/COGS, total payables, averaging and asset exclusions were tested.</x:v>
      </x:c>
      <x:c r="F9" s="99" t="str">
        <x:v>Official asset statements disclose the excluded ADP/other-receivables group. Subtracting it from CA less inventories reproduces all five quick ratios. Note12 still provides no common DPO definition that reproduces FY2021/22/24/25.</x:v>
      </x:c>
      <x:c r="G9" s="99" t="str">
        <x:v>Quick: published-method difference reconstructed for all five years. DPO: four original discrepancies remain officially unresolved.</x:v>
      </x:c>
    </x:row>
    <x:row r="10" ht="126" customHeight="1">
      <x:c r="A10" s="171" t="str">
        <x:v>MLCF</x:v>
      </x:c>
      <x:c r="B10" s="171" t="str">
        <x:v>Historic DIO / DSO / DPO revisions</x:v>
      </x:c>
      <x:c r="C10" s="171" t="str">
        <x:v>External targeted investigation</x:v>
      </x:c>
      <x:c r="D10" s="171" t="str">
        <x:v>https://www.kmlg.com/mlcfl/financials/</x:v>
      </x:c>
      <x:c r="E10" s="171" t="str">
        <x:v>No reputable external source found an explanation for changed historical days. Reclassification, stock-only inventory, rounded turnover and related supplier hypotheses investigated.</x:v>
      </x:c>
      <x:c r="F10" s="171" t="str">
        <x:v>Own-year reports and FY2024/FY2025 summaries show conflicting historical figures. Notes 15/16 and46 support power-subsidiary trade payable inclusion.</x:v>
      </x:c>
      <x:c r="G10" s="171" t="str">
        <x:v>Confirmed supplier omission corrected; unexplained official summary revisions remain unresolved.</x:v>
      </x:c>
    </x:row>
    <x:row r="11" ht="126" customHeight="1">
      <x:c r="A11" s="99" t="str">
        <x:v>KOHC / FCCL</x:v>
      </x:c>
      <x:c r="B11" s="99" t="str">
        <x:v>10 original unresolved market comparisons</x:v>
      </x:c>
      <x:c r="C11" s="99" t="str">
        <x:v>Official-only price and corporate-action review</x:v>
      </x:c>
      <x:c r="D11" s="99" t="str">
        <x:v>https://dps.psx.com.pk/historical</x:v>
      </x:c>
      <x:c r="E11" s="99" t="str">
        <x:v>No secondary price used. An official PSX annual-average hypothesis was tested for FY2025 using all247 sessions.</x:v>
      </x:c>
      <x:c r="F11" s="99" t="str">
        <x:v>FY2025 arithmetic mean35.080121 divided by audited report-basis EPS gives6.456916, versus published6.69. Thus a simple annual-mean close does not explain the discrepancy; the actual FY-end close44.67 remains unchanged. See PSX Price Probe.</x:v>
      </x:c>
      <x:c r="G11" s="99" t="str">
        <x:v>All10 original P/E/P-B discrepancies remain officially unresolved. KOHC tangible-asset diagnostic and FCCL annual-mean hypothesis are recorded without changing standardized calculations.</x:v>
      </x:c>
    </x:row>
    <x:row r="12" ht="126" customHeight="1">
      <x:c r="A12" s="171" t="str">
        <x:v>DGKC</x:v>
      </x:c>
      <x:c r="B12" s="171" t="str">
        <x:v>ROIC taxation</x:v>
      </x:c>
      <x:c r="C12" s="171" t="str">
        <x:v>Official tax reconciliation</x:v>
      </x:c>
      <x:c r="D12" s="171" t="str">
        <x:v>https://www.dgcement.com/financial-reports/DGAnnual2024.pdf</x:v>
      </x:c>
      <x:c r="E12" s="171" t="str">
        <x:v>Secondary tax assumptions were not needed.</x:v>
      </x:c>
      <x:c r="F12" s="171" t="str">
        <x:v>Audited PDF p205 confirms FY2023/24 ETR214.97%/80.89%, including super tax, prior-year tax and deferred-asset writeoffs.</x:v>
      </x:c>
      <x:c r="G12" s="171" t="str">
        <x:v>Removed unsupported 60% cap/statutory fallback consistently for all companies.</x:v>
      </x:c>
    </x:row>
    <x:row r="13" ht="126" customHeight="1">
      <x:c r="A13" s="99" t="str">
        <x:v>FCCL</x:v>
      </x:c>
      <x:c r="B13" s="99" t="str">
        <x:v>Liquidity and asset-turnover series</x:v>
      </x:c>
      <x:c r="C13" s="99" t="str">
        <x:v>Official annual report cross-check</x:v>
      </x:c>
      <x:c r="D13" s="99" t="str">
        <x:v>https://fccl.com.pk/eng/wp-content/uploads/2025/05/FCCL-Annual-Report-2025.pdf</x:v>
      </x:c>
      <x:c r="E13" s="99" t="str">
        <x:v>Broader searches found no reputable explanation reconciling the turnover table. Parent-loan exclusion and monthly/annual scaling were investigated.</x:v>
      </x:c>
      <x:c r="F13" s="99" t="str">
        <x:v>Note11 confirms on-demand parent financing. Excluding it reproduces company liquidity; standardized CL includes it. DuPont PDF p212 prints sales/assets48%-55%, contradicting p214/p215 turnover0.07-0.08.</x:v>
      </x:c>
      <x:c r="G13" s="99" t="str">
        <x:v>Published liquidity definition reconstructed; turnover series is an official within-report inconsistency.</x:v>
      </x:c>
    </x:row>
    <x:row r="14" ht="126" customHeight="1">
      <x:c r="A14" s="171" t="str">
        <x:v>All</x:v>
      </x:c>
      <x:c r="B14" s="171" t="str">
        <x:v>Uniform formula basis</x:v>
      </x:c>
      <x:c r="C14" s="171" t="str">
        <x:v>Project Guidelines / supplied formula list</x:v>
      </x:c>
      <x:c r="D14" s="171" t="str">
        <x:v>Project Guidelines.pdf, PDF p6</x:v>
      </x:c>
      <x:c r="E14" s="171" t="str">
        <x:v>The TA instruction is supplied by the user. No separate lecture-note file or independent TA correspondence was present in the ZIP.</x:v>
      </x:c>
      <x:c r="F14" s="171" t="str">
        <x:v>All 33 definitions retained consistently. Project guidelines require negative/not-meaningful displays as n/m; signed raw figures preserved.</x:v>
      </x:c>
      <x:c r="G14" s="171" t="str">
        <x:v>Methodology limitation disclosed; no claim of separate TA approval.</x:v>
      </x:c>
    </x:row>
    <x:row r="15">
      <x:c r="A15" s="98" t="str">
        <x:v>FCCL</x:v>
      </x:c>
      <x:c r="B15" s="98" t="str">
        <x:v>Bonus denominator timing</x:v>
      </x:c>
      <x:c r="C15" s="98" t="str">
        <x:v>PSX credit notice and IAS33</x:v>
      </x:c>
      <x:c r="D15" s="98" t="str">
        <x:v>https://dps.psx.com.pk/download/document/197721.pdf</x:v>
      </x:c>
      <x:c r="E15" s="98" t="str">
        <x:v>The prior reported weighted-count gap now has a numerical explanation.</x:v>
      </x:c>
      <x:c r="F15" s="98" t="str">
        <x:v>Electronic credit10-Nov-2022 after hours;232days from11-Nov to30-Jun. Opening2,180.309m + bonus272.5386m x232/365 =2,353.539m. IAS33.26-28 instead requires retrospective bonus weighting.</x:v>
      </x:c>
      <x:c r="G15" s="98" t="str">
        <x:v>Calendar-weighted report count reconstructed; official policy rationale unresolved. Standardized full-bonus count unchanged.</x:v>
      </x:c>
    </x:row>
    <x:row r="16">
      <x:c r="A16" s="98" t="str">
        <x:v>LUCK / KOHC</x:v>
      </x:c>
      <x:c r="B16" s="98" t="str">
        <x:v>Fixed assets and BVPS scopes</x:v>
      </x:c>
      <x:c r="C16" s="98" t="str">
        <x:v>Official asset and share notes</x:v>
      </x:c>
      <x:c r="D16" s="98" t="str">
        <x:v>https://www.lucky-cement.com/investor-relations/downloads/financial-reports/</x:v>
      </x:c>
      <x:c r="E16" s="98" t="str">
        <x:v>Exact official subtotal and share-scope tests, without changing main definitions.</x:v>
      </x:c>
      <x:c r="F16" s="98" t="str">
        <x:v>LUCK fixed assets include intangibles; note19 identifies FY2023 treasury held for cancellation. KOHC published BVPS reconstructs using report weighted shares.</x:v>
      </x:c>
      <x:c r="G16" s="98" t="str">
        <x:v>Published numeric conventions reconstructed separately; standardized operating PPE and treasury-net closing shares retained.</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8" hidden="0" customWidth="1"/>
    <x:col min="2" max="2" width="42" hidden="0" customWidth="1"/>
    <x:col min="3" max="3" width="26" hidden="0" customWidth="1"/>
    <x:col min="4" max="4" width="17" hidden="0" customWidth="1"/>
    <x:col min="5" max="5" width="21" hidden="0" customWidth="1"/>
    <x:col min="6" max="6" width="18" hidden="0" customWidth="1"/>
    <x:col min="7" max="7" width="18" hidden="0" customWidth="1"/>
    <x:col min="8" max="8" width="85" hidden="0" customWidth="1"/>
    <x:col min="9" max="9" width="72" hidden="0" customWidth="1"/>
    <x:col min="10" max="10" width="105" hidden="0" customWidth="1"/>
  </x:cols>
  <x:sheetData>
    <x:row r="1" ht="26" customHeight="1">
      <x:c r="A1" s="76"/>
      <x:c r="B1" s="76"/>
      <x:c r="C1" s="76"/>
      <x:c r="D1" s="76"/>
      <x:c r="E1" s="76"/>
      <x:c r="F1" s="76"/>
      <x:c r="G1" s="76"/>
      <x:c r="H1" s="76"/>
      <x:c r="I1" s="76"/>
      <x:c r="J1" s="76"/>
    </x:row>
    <x:row r="2" ht="26" customHeight="1">
      <x:c r="A2" s="77" t="str">
        <x:v>Full financial audit — exactly 33 agreed measures</x:v>
      </x:c>
      <x:c r="B2" s="76"/>
      <x:c r="C2" s="76"/>
      <x:c r="D2" s="76"/>
      <x:c r="E2" s="76"/>
      <x:c r="F2" s="76"/>
      <x:c r="G2" s="76"/>
      <x:c r="H2" s="76"/>
      <x:c r="I2" s="76"/>
      <x:c r="J2" s="76"/>
    </x:row>
    <x:row r="3" ht="26" customHeight="1">
      <x:c r="A3" s="164" t="str">
        <x:v>19 mandatory + 14 additional measures; 825 formula results. Source disagreements are disclosed separately from implementation verification.</x:v>
      </x:c>
      <x:c r="B3" s="76"/>
      <x:c r="C3" s="76"/>
      <x:c r="D3" s="76"/>
      <x:c r="E3" s="76"/>
      <x:c r="F3" s="76"/>
      <x:c r="G3" s="76"/>
      <x:c r="H3" s="76"/>
      <x:c r="I3" s="76"/>
      <x:c r="J3" s="76"/>
    </x:row>
    <x:row r="4" ht="26" customHeight="1">
      <x:c r="A4" s="76"/>
      <x:c r="B4" s="76"/>
      <x:c r="C4" s="76"/>
      <x:c r="D4" s="76"/>
      <x:c r="E4" s="76"/>
      <x:c r="F4" s="76"/>
      <x:c r="G4" s="76"/>
      <x:c r="H4" s="76"/>
      <x:c r="I4" s="76"/>
      <x:c r="J4" s="76"/>
    </x:row>
    <x:row r="5" ht="40" customHeight="1">
      <x:c r="A5" s="167" t="str">
        <x:v>No.</x:v>
      </x:c>
      <x:c r="B5" s="167" t="str">
        <x:v>Measure</x:v>
      </x:c>
      <x:c r="C5" s="167" t="str">
        <x:v>Category</x:v>
      </x:c>
      <x:c r="D5" s="167" t="str">
        <x:v>Requirement</x:v>
      </x:c>
      <x:c r="E5" s="167" t="str">
        <x:v>Expected observations</x:v>
      </x:c>
      <x:c r="F5" s="167" t="str">
        <x:v>Checks passed</x:v>
      </x:c>
      <x:c r="G5" s="167" t="str">
        <x:v>Checks failed</x:v>
      </x:c>
      <x:c r="H5" s="167" t="str">
        <x:v>Uniform formula</x:v>
      </x:c>
      <x:c r="I5" s="167" t="str">
        <x:v>Evidence</x:v>
      </x:c>
      <x:c r="J5" s="167" t="str">
        <x:v>Audit finding</x:v>
      </x:c>
    </x:row>
    <x:row r="6" ht="62" customHeight="1">
      <x:c r="A6" s="168" t="n">
        <x:v>1</x:v>
      </x:c>
      <x:c r="B6" s="168" t="str">
        <x:v>Current ratio</x:v>
      </x:c>
      <x:c r="C6" s="168" t="str">
        <x:v>Liquidity</x:v>
      </x:c>
      <x:c r="D6" s="168" t="str">
        <x:v>Mandatory</x:v>
      </x:c>
      <x:c r="E6" s="168" t="n">
        <x:v>25</x:v>
      </x:c>
      <x:c r="F6" s="168" t="n">
        <x:f>COUNTIFS('Ratio Verification'!C6:C830,A6,'Ratio Verification'!N6:N830,"PASS")</x:f>
        <x:v>25</x:v>
      </x:c>
      <x:c r="G6" s="168" t="n">
        <x:f>COUNTIFS('Ratio Verification'!C6:C830,A6,'Ratio Verification'!N6:N830,"FAIL")</x:f>
        <x:v>0</x:v>
      </x:c>
      <x:c r="H6" s="171" t="str">
        <x:v>Current Assets / Current Liabilities</x:v>
      </x:c>
      <x:c r="I6" s="171" t="str">
        <x:v>Input Review; Opening Balances; source register</x:v>
      </x:c>
      <x:c r="J6" s="171" t="str">
        <x:v>Uniform method independently recomputed from official source inputs.</x:v>
      </x:c>
    </x:row>
    <x:row r="7" ht="62" customHeight="1">
      <x:c r="A7" s="76" t="n">
        <x:v>2</x:v>
      </x:c>
      <x:c r="B7" s="76" t="str">
        <x:v>Quick ratio</x:v>
      </x:c>
      <x:c r="C7" s="76" t="str">
        <x:v>Liquidity</x:v>
      </x:c>
      <x:c r="D7" s="76" t="str">
        <x:v>Mandatory</x:v>
      </x:c>
      <x:c r="E7" s="76" t="n">
        <x:v>25</x:v>
      </x:c>
      <x:c r="F7" s="76" t="n">
        <x:f>COUNTIFS('Ratio Verification'!C6:C830,A7,'Ratio Verification'!N6:N830,"PASS")</x:f>
        <x:v>25</x:v>
      </x:c>
      <x:c r="G7" s="76" t="n">
        <x:f>COUNTIFS('Ratio Verification'!C6:C830,A7,'Ratio Verification'!N6:N830,"FAIL")</x:f>
        <x:v>0</x:v>
      </x:c>
      <x:c r="H7" s="99" t="str">
        <x:v>(Current Assets - Inventories) / Current Liabilities</x:v>
      </x:c>
      <x:c r="I7" s="99" t="str">
        <x:v>Input Review; Opening Balances; source register</x:v>
      </x:c>
      <x:c r="J7" s="99" t="str">
        <x:v>Uniform method independently recomputed from official source inputs.</x:v>
      </x:c>
    </x:row>
    <x:row r="8" ht="62" customHeight="1">
      <x:c r="A8" s="168" t="n">
        <x:v>3</x:v>
      </x:c>
      <x:c r="B8" s="168" t="str">
        <x:v>Cash ratio</x:v>
      </x:c>
      <x:c r="C8" s="168" t="str">
        <x:v>Liquidity</x:v>
      </x:c>
      <x:c r="D8" s="168" t="str">
        <x:v>Mandatory</x:v>
      </x:c>
      <x:c r="E8" s="168" t="n">
        <x:v>25</x:v>
      </x:c>
      <x:c r="F8" s="168" t="n">
        <x:f>COUNTIFS('Ratio Verification'!C6:C830,A8,'Ratio Verification'!N6:N830,"PASS")</x:f>
        <x:v>25</x:v>
      </x:c>
      <x:c r="G8" s="168" t="n">
        <x:f>COUNTIFS('Ratio Verification'!C6:C830,A8,'Ratio Verification'!N6:N830,"FAIL")</x:f>
        <x:v>0</x:v>
      </x:c>
      <x:c r="H8" s="171" t="str">
        <x:v>Cash and Bank / Current Liabilities</x:v>
      </x:c>
      <x:c r="I8" s="171" t="str">
        <x:v>Input Review; Opening Balances; source register</x:v>
      </x:c>
      <x:c r="J8" s="171" t="str">
        <x:v>Uniform method independently recomputed from official source inputs.</x:v>
      </x:c>
    </x:row>
    <x:row r="9" ht="62" customHeight="1">
      <x:c r="A9" s="76" t="n">
        <x:v>4</x:v>
      </x:c>
      <x:c r="B9" s="76" t="str">
        <x:v>Net working capital (PKR m)</x:v>
      </x:c>
      <x:c r="C9" s="76" t="str">
        <x:v>Liquidity</x:v>
      </x:c>
      <x:c r="D9" s="76" t="str">
        <x:v>Additional</x:v>
      </x:c>
      <x:c r="E9" s="76" t="n">
        <x:v>25</x:v>
      </x:c>
      <x:c r="F9" s="76" t="n">
        <x:f>COUNTIFS('Ratio Verification'!C6:C830,A9,'Ratio Verification'!N6:N830,"PASS")</x:f>
        <x:v>25</x:v>
      </x:c>
      <x:c r="G9" s="76" t="n">
        <x:f>COUNTIFS('Ratio Verification'!C6:C830,A9,'Ratio Verification'!N6:N830,"FAIL")</x:f>
        <x:v>0</x:v>
      </x:c>
      <x:c r="H9" s="99" t="str">
        <x:v>Current Assets - Current Liabilities</x:v>
      </x:c>
      <x:c r="I9" s="99" t="str">
        <x:v>Input Review; Opening Balances; source register</x:v>
      </x:c>
      <x:c r="J9" s="99" t="str">
        <x:v>Uniform method independently recomputed from official source inputs.</x:v>
      </x:c>
    </x:row>
    <x:row r="10" ht="62" customHeight="1">
      <x:c r="A10" s="168" t="n">
        <x:v>5</x:v>
      </x:c>
      <x:c r="B10" s="168" t="str">
        <x:v>Net operating working capital (PKR m)</x:v>
      </x:c>
      <x:c r="C10" s="168" t="str">
        <x:v>Liquidity</x:v>
      </x:c>
      <x:c r="D10" s="168" t="str">
        <x:v>Additional</x:v>
      </x:c>
      <x:c r="E10" s="168" t="n">
        <x:v>25</x:v>
      </x:c>
      <x:c r="F10" s="168" t="n">
        <x:f>COUNTIFS('Ratio Verification'!C6:C830,A10,'Ratio Verification'!N6:N830,"PASS")</x:f>
        <x:v>25</x:v>
      </x:c>
      <x:c r="G10" s="168" t="n">
        <x:f>COUNTIFS('Ratio Verification'!C6:C830,A10,'Ratio Verification'!N6:N830,"FAIL")</x:f>
        <x:v>0</x:v>
      </x:c>
      <x:c r="H10" s="171" t="str">
        <x:v>Operating CA - Operating CL</x:v>
      </x:c>
      <x:c r="I10" s="171" t="str">
        <x:v>Input Review; Opening Balances; source register</x:v>
      </x:c>
      <x:c r="J10" s="171" t="str">
        <x:v>Uniform method independently recomputed from official source inputs.</x:v>
      </x:c>
    </x:row>
    <x:row r="11" ht="62" customHeight="1">
      <x:c r="A11" s="76" t="n">
        <x:v>6</x:v>
      </x:c>
      <x:c r="B11" s="76" t="str">
        <x:v>Inventory turnover</x:v>
      </x:c>
      <x:c r="C11" s="76" t="str">
        <x:v>Asset Management</x:v>
      </x:c>
      <x:c r="D11" s="76" t="str">
        <x:v>Mandatory</x:v>
      </x:c>
      <x:c r="E11" s="76" t="n">
        <x:v>25</x:v>
      </x:c>
      <x:c r="F11" s="76" t="n">
        <x:f>COUNTIFS('Ratio Verification'!C6:C830,A11,'Ratio Verification'!N6:N830,"PASS")</x:f>
        <x:v>25</x:v>
      </x:c>
      <x:c r="G11" s="76" t="n">
        <x:f>COUNTIFS('Ratio Verification'!C6:C830,A11,'Ratio Verification'!N6:N830,"FAIL")</x:f>
        <x:v>0</x:v>
      </x:c>
      <x:c r="H11" s="99" t="str">
        <x:v>COGS / Average Inventory</x:v>
      </x:c>
      <x:c r="I11" s="99" t="str">
        <x:v>Input Review; Opening Balances; source register</x:v>
      </x:c>
      <x:c r="J11" s="99" t="str">
        <x:v>Uniform method independently recomputed from official source inputs.</x:v>
      </x:c>
    </x:row>
    <x:row r="12" ht="62" customHeight="1">
      <x:c r="A12" s="168" t="n">
        <x:v>7</x:v>
      </x:c>
      <x:c r="B12" s="168" t="str">
        <x:v>Receivables turnover</x:v>
      </x:c>
      <x:c r="C12" s="168" t="str">
        <x:v>Asset Management</x:v>
      </x:c>
      <x:c r="D12" s="168" t="str">
        <x:v>Additional</x:v>
      </x:c>
      <x:c r="E12" s="168" t="n">
        <x:v>25</x:v>
      </x:c>
      <x:c r="F12" s="168" t="n">
        <x:f>COUNTIFS('Ratio Verification'!C6:C830,A12,'Ratio Verification'!N6:N830,"PASS")</x:f>
        <x:v>25</x:v>
      </x:c>
      <x:c r="G12" s="168" t="n">
        <x:f>COUNTIFS('Ratio Verification'!C6:C830,A12,'Ratio Verification'!N6:N830,"FAIL")</x:f>
        <x:v>0</x:v>
      </x:c>
      <x:c r="H12" s="171" t="str">
        <x:v>Net Sales / Average Trade Debts</x:v>
      </x:c>
      <x:c r="I12" s="171" t="str">
        <x:v>Input Review; Opening Balances; source register</x:v>
      </x:c>
      <x:c r="J12" s="171" t="str">
        <x:v>Uniform method independently recomputed from official source inputs.</x:v>
      </x:c>
    </x:row>
    <x:row r="13" ht="62" customHeight="1">
      <x:c r="A13" s="76" t="n">
        <x:v>8</x:v>
      </x:c>
      <x:c r="B13" s="76" t="str">
        <x:v>Payables turnover</x:v>
      </x:c>
      <x:c r="C13" s="76" t="str">
        <x:v>Asset Management</x:v>
      </x:c>
      <x:c r="D13" s="76" t="str">
        <x:v>Additional</x:v>
      </x:c>
      <x:c r="E13" s="76" t="n">
        <x:v>25</x:v>
      </x:c>
      <x:c r="F13" s="76" t="n">
        <x:f>COUNTIFS('Ratio Verification'!C6:C830,A13,'Ratio Verification'!N6:N830,"PASS")</x:f>
        <x:v>25</x:v>
      </x:c>
      <x:c r="G13" s="76" t="n">
        <x:f>COUNTIFS('Ratio Verification'!C6:C830,A13,'Ratio Verification'!N6:N830,"FAIL")</x:f>
        <x:v>0</x:v>
      </x:c>
      <x:c r="H13" s="99" t="str">
        <x:v>COGS / Average Trade Creditors</x:v>
      </x:c>
      <x:c r="I13" s="99" t="str">
        <x:v>Input Review; Opening Balances; source register</x:v>
      </x:c>
      <x:c r="J13" s="99" t="str">
        <x:v>Related operating suppliers included; taxes, broad accruals and contractor retentions excluded.</x:v>
      </x:c>
    </x:row>
    <x:row r="14" ht="62" customHeight="1">
      <x:c r="A14" s="168" t="n">
        <x:v>9</x:v>
      </x:c>
      <x:c r="B14" s="168" t="str">
        <x:v>Days inventory outstanding</x:v>
      </x:c>
      <x:c r="C14" s="168" t="str">
        <x:v>Asset Management</x:v>
      </x:c>
      <x:c r="D14" s="168" t="str">
        <x:v>Additional</x:v>
      </x:c>
      <x:c r="E14" s="168" t="n">
        <x:v>25</x:v>
      </x:c>
      <x:c r="F14" s="168" t="n">
        <x:f>COUNTIFS('Ratio Verification'!C6:C830,A14,'Ratio Verification'!N6:N830,"PASS")</x:f>
        <x:v>25</x:v>
      </x:c>
      <x:c r="G14" s="168" t="n">
        <x:f>COUNTIFS('Ratio Verification'!C6:C830,A14,'Ratio Verification'!N6:N830,"FAIL")</x:f>
        <x:v>0</x:v>
      </x:c>
      <x:c r="H14" s="171" t="str">
        <x:v>365 / Inventory Turnover</x:v>
      </x:c>
      <x:c r="I14" s="171" t="str">
        <x:v>Input Review; Opening Balances; source register</x:v>
      </x:c>
      <x:c r="J14" s="171" t="str">
        <x:v>Uniform method independently recomputed from official source inputs.</x:v>
      </x:c>
    </x:row>
    <x:row r="15" ht="62" customHeight="1">
      <x:c r="A15" s="76" t="n">
        <x:v>10</x:v>
      </x:c>
      <x:c r="B15" s="76" t="str">
        <x:v>Days sales outstanding</x:v>
      </x:c>
      <x:c r="C15" s="76" t="str">
        <x:v>Asset Management</x:v>
      </x:c>
      <x:c r="D15" s="76" t="str">
        <x:v>Mandatory</x:v>
      </x:c>
      <x:c r="E15" s="76" t="n">
        <x:v>25</x:v>
      </x:c>
      <x:c r="F15" s="76" t="n">
        <x:f>COUNTIFS('Ratio Verification'!C6:C830,A15,'Ratio Verification'!N6:N830,"PASS")</x:f>
        <x:v>25</x:v>
      </x:c>
      <x:c r="G15" s="76" t="n">
        <x:f>COUNTIFS('Ratio Verification'!C6:C830,A15,'Ratio Verification'!N6:N830,"FAIL")</x:f>
        <x:v>0</x:v>
      </x:c>
      <x:c r="H15" s="99" t="str">
        <x:v>365 / Receivables Turnover</x:v>
      </x:c>
      <x:c r="I15" s="99" t="str">
        <x:v>Input Review; Opening Balances; source register</x:v>
      </x:c>
      <x:c r="J15" s="99" t="str">
        <x:v>Uniform method independently recomputed from official source inputs.</x:v>
      </x:c>
    </x:row>
    <x:row r="16" ht="62" customHeight="1">
      <x:c r="A16" s="168" t="n">
        <x:v>11</x:v>
      </x:c>
      <x:c r="B16" s="168" t="str">
        <x:v>Days payables outstanding</x:v>
      </x:c>
      <x:c r="C16" s="168" t="str">
        <x:v>Asset Management</x:v>
      </x:c>
      <x:c r="D16" s="168" t="str">
        <x:v>Additional</x:v>
      </x:c>
      <x:c r="E16" s="168" t="n">
        <x:v>25</x:v>
      </x:c>
      <x:c r="F16" s="168" t="n">
        <x:f>COUNTIFS('Ratio Verification'!C6:C830,A16,'Ratio Verification'!N6:N830,"PASS")</x:f>
        <x:v>25</x:v>
      </x:c>
      <x:c r="G16" s="168" t="n">
        <x:f>COUNTIFS('Ratio Verification'!C6:C830,A16,'Ratio Verification'!N6:N830,"FAIL")</x:f>
        <x:v>0</x:v>
      </x:c>
      <x:c r="H16" s="171" t="str">
        <x:v>365 / Payables Turnover</x:v>
      </x:c>
      <x:c r="I16" s="171" t="str">
        <x:v>Input Review; Opening Balances; source register</x:v>
      </x:c>
      <x:c r="J16" s="171" t="str">
        <x:v>Related operating suppliers included; taxes, broad accruals and contractor retentions excluded.</x:v>
      </x:c>
    </x:row>
    <x:row r="17" ht="62" customHeight="1">
      <x:c r="A17" s="76" t="n">
        <x:v>12</x:v>
      </x:c>
      <x:c r="B17" s="76" t="str">
        <x:v>Operating cycle (days)</x:v>
      </x:c>
      <x:c r="C17" s="76" t="str">
        <x:v>Asset Management</x:v>
      </x:c>
      <x:c r="D17" s="76" t="str">
        <x:v>Additional</x:v>
      </x:c>
      <x:c r="E17" s="76" t="n">
        <x:v>25</x:v>
      </x:c>
      <x:c r="F17" s="76" t="n">
        <x:f>COUNTIFS('Ratio Verification'!C6:C830,A17,'Ratio Verification'!N6:N830,"PASS")</x:f>
        <x:v>25</x:v>
      </x:c>
      <x:c r="G17" s="76" t="n">
        <x:f>COUNTIFS('Ratio Verification'!C6:C830,A17,'Ratio Verification'!N6:N830,"FAIL")</x:f>
        <x:v>0</x:v>
      </x:c>
      <x:c r="H17" s="99" t="str">
        <x:v>DIO + DSO</x:v>
      </x:c>
      <x:c r="I17" s="99" t="str">
        <x:v>Input Review; Opening Balances; source register</x:v>
      </x:c>
      <x:c r="J17" s="99" t="str">
        <x:v>Uniform method independently recomputed from official source inputs.</x:v>
      </x:c>
    </x:row>
    <x:row r="18" ht="62" customHeight="1">
      <x:c r="A18" s="168" t="n">
        <x:v>13</x:v>
      </x:c>
      <x:c r="B18" s="168" t="str">
        <x:v>Cash conversion cycle (days)</x:v>
      </x:c>
      <x:c r="C18" s="168" t="str">
        <x:v>Asset Management</x:v>
      </x:c>
      <x:c r="D18" s="168" t="str">
        <x:v>Additional</x:v>
      </x:c>
      <x:c r="E18" s="168" t="n">
        <x:v>25</x:v>
      </x:c>
      <x:c r="F18" s="168" t="n">
        <x:f>COUNTIFS('Ratio Verification'!C6:C830,A18,'Ratio Verification'!N6:N830,"PASS")</x:f>
        <x:v>25</x:v>
      </x:c>
      <x:c r="G18" s="168" t="n">
        <x:f>COUNTIFS('Ratio Verification'!C6:C830,A18,'Ratio Verification'!N6:N830,"FAIL")</x:f>
        <x:v>0</x:v>
      </x:c>
      <x:c r="H18" s="171" t="str">
        <x:v>DIO + DSO - DPO</x:v>
      </x:c>
      <x:c r="I18" s="171" t="str">
        <x:v>Input Review; Opening Balances; source register</x:v>
      </x:c>
      <x:c r="J18" s="171" t="str">
        <x:v>Related operating suppliers included; taxes, broad accruals and contractor retentions excluded.</x:v>
      </x:c>
    </x:row>
    <x:row r="19" ht="62" customHeight="1">
      <x:c r="A19" s="76" t="n">
        <x:v>14</x:v>
      </x:c>
      <x:c r="B19" s="76" t="str">
        <x:v>Total asset turnover</x:v>
      </x:c>
      <x:c r="C19" s="76" t="str">
        <x:v>Asset Management</x:v>
      </x:c>
      <x:c r="D19" s="76" t="str">
        <x:v>Mandatory</x:v>
      </x:c>
      <x:c r="E19" s="76" t="n">
        <x:v>25</x:v>
      </x:c>
      <x:c r="F19" s="76" t="n">
        <x:f>COUNTIFS('Ratio Verification'!C6:C830,A19,'Ratio Verification'!N6:N830,"PASS")</x:f>
        <x:v>25</x:v>
      </x:c>
      <x:c r="G19" s="76" t="n">
        <x:f>COUNTIFS('Ratio Verification'!C6:C830,A19,'Ratio Verification'!N6:N830,"FAIL")</x:f>
        <x:v>0</x:v>
      </x:c>
      <x:c r="H19" s="99" t="str">
        <x:v>Net Sales / Average Total Assets</x:v>
      </x:c>
      <x:c r="I19" s="99" t="str">
        <x:v>Input Review; Opening Balances; source register</x:v>
      </x:c>
      <x:c r="J19" s="99" t="str">
        <x:v>Uniform method independently recomputed from official source inputs.</x:v>
      </x:c>
    </x:row>
    <x:row r="20" ht="62" customHeight="1">
      <x:c r="A20" s="168" t="n">
        <x:v>15</x:v>
      </x:c>
      <x:c r="B20" s="168" t="str">
        <x:v>Fixed asset turnover</x:v>
      </x:c>
      <x:c r="C20" s="168" t="str">
        <x:v>Asset Management</x:v>
      </x:c>
      <x:c r="D20" s="168" t="str">
        <x:v>Mandatory</x:v>
      </x:c>
      <x:c r="E20" s="168" t="n">
        <x:v>25</x:v>
      </x:c>
      <x:c r="F20" s="168" t="n">
        <x:f>COUNTIFS('Ratio Verification'!C6:C830,A20,'Ratio Verification'!N6:N830,"PASS")</x:f>
        <x:v>25</x:v>
      </x:c>
      <x:c r="G20" s="168" t="n">
        <x:f>COUNTIFS('Ratio Verification'!C6:C830,A20,'Ratio Verification'!N6:N830,"FAIL")</x:f>
        <x:v>0</x:v>
      </x:c>
      <x:c r="H20" s="171" t="str">
        <x:v>Net Sales / Average Operating Fixed Assets</x:v>
      </x:c>
      <x:c r="I20" s="171" t="str">
        <x:v>Input Review; Opening Balances; source register</x:v>
      </x:c>
      <x:c r="J20" s="171" t="str">
        <x:v>Uniform method independently recomputed from official source inputs.</x:v>
      </x:c>
    </x:row>
    <x:row r="21" ht="62" customHeight="1">
      <x:c r="A21" s="76" t="n">
        <x:v>16</x:v>
      </x:c>
      <x:c r="B21" s="76" t="str">
        <x:v>Debt ratio</x:v>
      </x:c>
      <x:c r="C21" s="76" t="str">
        <x:v>Debt Management</x:v>
      </x:c>
      <x:c r="D21" s="76" t="str">
        <x:v>Mandatory</x:v>
      </x:c>
      <x:c r="E21" s="76" t="n">
        <x:v>25</x:v>
      </x:c>
      <x:c r="F21" s="76" t="n">
        <x:f>COUNTIFS('Ratio Verification'!C6:C830,A21,'Ratio Verification'!N6:N830,"PASS")</x:f>
        <x:v>25</x:v>
      </x:c>
      <x:c r="G21" s="76" t="n">
        <x:f>COUNTIFS('Ratio Verification'!C6:C830,A21,'Ratio Verification'!N6:N830,"FAIL")</x:f>
        <x:v>0</x:v>
      </x:c>
      <x:c r="H21" s="99" t="str">
        <x:v>Total Liabilities / Total Assets</x:v>
      </x:c>
      <x:c r="I21" s="99" t="str">
        <x:v>Input Review; Opening Balances; source register</x:v>
      </x:c>
      <x:c r="J21" s="99" t="str">
        <x:v>Uniform method independently recomputed from official source inputs.</x:v>
      </x:c>
    </x:row>
    <x:row r="22" ht="62" customHeight="1">
      <x:c r="A22" s="168" t="n">
        <x:v>17</x:v>
      </x:c>
      <x:c r="B22" s="168" t="str">
        <x:v>Debt-to-equity</x:v>
      </x:c>
      <x:c r="C22" s="168" t="str">
        <x:v>Debt Management</x:v>
      </x:c>
      <x:c r="D22" s="168" t="str">
        <x:v>Mandatory</x:v>
      </x:c>
      <x:c r="E22" s="168" t="n">
        <x:v>25</x:v>
      </x:c>
      <x:c r="F22" s="168" t="n">
        <x:f>COUNTIFS('Ratio Verification'!C6:C830,A22,'Ratio Verification'!N6:N830,"PASS")</x:f>
        <x:v>25</x:v>
      </x:c>
      <x:c r="G22" s="168" t="n">
        <x:f>COUNTIFS('Ratio Verification'!C6:C830,A22,'Ratio Verification'!N6:N830,"FAIL")</x:f>
        <x:v>0</x:v>
      </x:c>
      <x:c r="H22" s="171" t="str">
        <x:v>Total Liabilities / Total Equity</x:v>
      </x:c>
      <x:c r="I22" s="171" t="str">
        <x:v>Input Review; Opening Balances; source register</x:v>
      </x:c>
      <x:c r="J22" s="171" t="str">
        <x:v>Uniform method independently recomputed from official source inputs.</x:v>
      </x:c>
    </x:row>
    <x:row r="23" ht="62" customHeight="1">
      <x:c r="A23" s="76" t="n">
        <x:v>18</x:v>
      </x:c>
      <x:c r="B23" s="76" t="str">
        <x:v>Total debt-to-capital</x:v>
      </x:c>
      <x:c r="C23" s="76" t="str">
        <x:v>Debt Management</x:v>
      </x:c>
      <x:c r="D23" s="76" t="str">
        <x:v>Additional</x:v>
      </x:c>
      <x:c r="E23" s="76" t="n">
        <x:v>25</x:v>
      </x:c>
      <x:c r="F23" s="76" t="n">
        <x:f>COUNTIFS('Ratio Verification'!C6:C830,A23,'Ratio Verification'!N6:N830,"PASS")</x:f>
        <x:v>25</x:v>
      </x:c>
      <x:c r="G23" s="76" t="n">
        <x:f>COUNTIFS('Ratio Verification'!C6:C830,A23,'Ratio Verification'!N6:N830,"FAIL")</x:f>
        <x:v>0</x:v>
      </x:c>
      <x:c r="H23" s="99" t="str">
        <x:v>Interest-bearing Debt / (IBD + Equity)</x:v>
      </x:c>
      <x:c r="I23" s="99" t="str">
        <x:v>Input Review; Opening Balances; source register</x:v>
      </x:c>
      <x:c r="J23" s="99" t="str">
        <x:v>Uniform method independently recomputed from official source inputs.</x:v>
      </x:c>
    </x:row>
    <x:row r="24" ht="62" customHeight="1">
      <x:c r="A24" s="168" t="n">
        <x:v>19</x:v>
      </x:c>
      <x:c r="B24" s="168" t="str">
        <x:v>Long-term debt ratio</x:v>
      </x:c>
      <x:c r="C24" s="168" t="str">
        <x:v>Debt Management</x:v>
      </x:c>
      <x:c r="D24" s="168" t="str">
        <x:v>Additional</x:v>
      </x:c>
      <x:c r="E24" s="168" t="n">
        <x:v>25</x:v>
      </x:c>
      <x:c r="F24" s="168" t="n">
        <x:f>COUNTIFS('Ratio Verification'!C6:C830,A24,'Ratio Verification'!N6:N830,"PASS")</x:f>
        <x:v>25</x:v>
      </x:c>
      <x:c r="G24" s="168" t="n">
        <x:f>COUNTIFS('Ratio Verification'!C6:C830,A24,'Ratio Verification'!N6:N830,"FAIL")</x:f>
        <x:v>0</x:v>
      </x:c>
      <x:c r="H24" s="171" t="str">
        <x:v>Long-term IBD / Total Assets</x:v>
      </x:c>
      <x:c r="I24" s="171" t="str">
        <x:v>Input Review; Opening Balances; source register</x:v>
      </x:c>
      <x:c r="J24" s="171" t="str">
        <x:v>Uniform method independently recomputed from official source inputs.</x:v>
      </x:c>
    </x:row>
    <x:row r="25" ht="62" customHeight="1">
      <x:c r="A25" s="76" t="n">
        <x:v>20</x:v>
      </x:c>
      <x:c r="B25" s="76" t="str">
        <x:v>Times interest earned</x:v>
      </x:c>
      <x:c r="C25" s="76" t="str">
        <x:v>Debt Management</x:v>
      </x:c>
      <x:c r="D25" s="76" t="str">
        <x:v>Mandatory</x:v>
      </x:c>
      <x:c r="E25" s="76" t="n">
        <x:v>25</x:v>
      </x:c>
      <x:c r="F25" s="76" t="n">
        <x:f>COUNTIFS('Ratio Verification'!C6:C830,A25,'Ratio Verification'!N6:N830,"PASS")</x:f>
        <x:v>25</x:v>
      </x:c>
      <x:c r="G25" s="76" t="n">
        <x:f>COUNTIFS('Ratio Verification'!C6:C830,A25,'Ratio Verification'!N6:N830,"FAIL")</x:f>
        <x:v>0</x:v>
      </x:c>
      <x:c r="H25" s="99" t="str">
        <x:v>EBIT / Interest Expense</x:v>
      </x:c>
      <x:c r="I25" s="99" t="str">
        <x:v>Input Review; Opening Balances; source register</x:v>
      </x:c>
      <x:c r="J25" s="99" t="str">
        <x:v>Uniform method independently recomputed from official source inputs.</x:v>
      </x:c>
    </x:row>
    <x:row r="26" ht="62" customHeight="1">
      <x:c r="A26" s="168" t="n">
        <x:v>21</x:v>
      </x:c>
      <x:c r="B26" s="168" t="str">
        <x:v>Gross profit margin</x:v>
      </x:c>
      <x:c r="C26" s="168" t="str">
        <x:v>Profitability</x:v>
      </x:c>
      <x:c r="D26" s="168" t="str">
        <x:v>Mandatory</x:v>
      </x:c>
      <x:c r="E26" s="168" t="n">
        <x:v>25</x:v>
      </x:c>
      <x:c r="F26" s="168" t="n">
        <x:f>COUNTIFS('Ratio Verification'!C6:C830,A26,'Ratio Verification'!N6:N830,"PASS")</x:f>
        <x:v>25</x:v>
      </x:c>
      <x:c r="G26" s="168" t="n">
        <x:f>COUNTIFS('Ratio Verification'!C6:C830,A26,'Ratio Verification'!N6:N830,"FAIL")</x:f>
        <x:v>0</x:v>
      </x:c>
      <x:c r="H26" s="171" t="str">
        <x:v>Gross Profit / Net Sales</x:v>
      </x:c>
      <x:c r="I26" s="171" t="str">
        <x:v>Input Review; Opening Balances; source register</x:v>
      </x:c>
      <x:c r="J26" s="171" t="str">
        <x:v>Uniform method independently recomputed from official source inputs.</x:v>
      </x:c>
    </x:row>
    <x:row r="27" ht="62" customHeight="1">
      <x:c r="A27" s="76" t="n">
        <x:v>22</x:v>
      </x:c>
      <x:c r="B27" s="76" t="str">
        <x:v>Operating margin</x:v>
      </x:c>
      <x:c r="C27" s="76" t="str">
        <x:v>Profitability</x:v>
      </x:c>
      <x:c r="D27" s="76" t="str">
        <x:v>Mandatory</x:v>
      </x:c>
      <x:c r="E27" s="76" t="n">
        <x:v>25</x:v>
      </x:c>
      <x:c r="F27" s="76" t="n">
        <x:f>COUNTIFS('Ratio Verification'!C6:C830,A27,'Ratio Verification'!N6:N830,"PASS")</x:f>
        <x:v>25</x:v>
      </x:c>
      <x:c r="G27" s="76" t="n">
        <x:f>COUNTIFS('Ratio Verification'!C6:C830,A27,'Ratio Verification'!N6:N830,"FAIL")</x:f>
        <x:v>0</x:v>
      </x:c>
      <x:c r="H27" s="99" t="str">
        <x:v>Operating Profit / Net Sales</x:v>
      </x:c>
      <x:c r="I27" s="99" t="str">
        <x:v>Input Review; Opening Balances; source register</x:v>
      </x:c>
      <x:c r="J27" s="99" t="str">
        <x:v>Uniform method independently recomputed from official source inputs.</x:v>
      </x:c>
    </x:row>
    <x:row r="28" ht="62" customHeight="1">
      <x:c r="A28" s="168" t="n">
        <x:v>23</x:v>
      </x:c>
      <x:c r="B28" s="168" t="str">
        <x:v>Net profit margin</x:v>
      </x:c>
      <x:c r="C28" s="168" t="str">
        <x:v>Profitability</x:v>
      </x:c>
      <x:c r="D28" s="168" t="str">
        <x:v>Mandatory</x:v>
      </x:c>
      <x:c r="E28" s="168" t="n">
        <x:v>25</x:v>
      </x:c>
      <x:c r="F28" s="168" t="n">
        <x:f>COUNTIFS('Ratio Verification'!C6:C830,A28,'Ratio Verification'!N6:N830,"PASS")</x:f>
        <x:v>25</x:v>
      </x:c>
      <x:c r="G28" s="168" t="n">
        <x:f>COUNTIFS('Ratio Verification'!C6:C830,A28,'Ratio Verification'!N6:N830,"FAIL")</x:f>
        <x:v>0</x:v>
      </x:c>
      <x:c r="H28" s="171" t="str">
        <x:v>Net Profit / Net Sales</x:v>
      </x:c>
      <x:c r="I28" s="171" t="str">
        <x:v>Input Review; Opening Balances; source register</x:v>
      </x:c>
      <x:c r="J28" s="171" t="str">
        <x:v>Uniform method independently recomputed from official source inputs.</x:v>
      </x:c>
    </x:row>
    <x:row r="29" ht="62" customHeight="1">
      <x:c r="A29" s="76" t="n">
        <x:v>24</x:v>
      </x:c>
      <x:c r="B29" s="76" t="str">
        <x:v>Return on assets</x:v>
      </x:c>
      <x:c r="C29" s="76" t="str">
        <x:v>Profitability</x:v>
      </x:c>
      <x:c r="D29" s="76" t="str">
        <x:v>Mandatory</x:v>
      </x:c>
      <x:c r="E29" s="76" t="n">
        <x:v>25</x:v>
      </x:c>
      <x:c r="F29" s="76" t="n">
        <x:f>COUNTIFS('Ratio Verification'!C6:C830,A29,'Ratio Verification'!N6:N830,"PASS")</x:f>
        <x:v>25</x:v>
      </x:c>
      <x:c r="G29" s="76" t="n">
        <x:f>COUNTIFS('Ratio Verification'!C6:C830,A29,'Ratio Verification'!N6:N830,"FAIL")</x:f>
        <x:v>0</x:v>
      </x:c>
      <x:c r="H29" s="99" t="str">
        <x:v>Net Profit / Average Total Assets</x:v>
      </x:c>
      <x:c r="I29" s="99" t="str">
        <x:v>Input Review; Opening Balances; source register</x:v>
      </x:c>
      <x:c r="J29" s="99" t="str">
        <x:v>Uniform method independently recomputed from official source inputs.</x:v>
      </x:c>
    </x:row>
    <x:row r="30" ht="62" customHeight="1">
      <x:c r="A30" s="168" t="n">
        <x:v>25</x:v>
      </x:c>
      <x:c r="B30" s="168" t="str">
        <x:v>Return on equity</x:v>
      </x:c>
      <x:c r="C30" s="168" t="str">
        <x:v>Profitability</x:v>
      </x:c>
      <x:c r="D30" s="168" t="str">
        <x:v>Mandatory</x:v>
      </x:c>
      <x:c r="E30" s="168" t="n">
        <x:v>25</x:v>
      </x:c>
      <x:c r="F30" s="168" t="n">
        <x:f>COUNTIFS('Ratio Verification'!C6:C830,A30,'Ratio Verification'!N6:N830,"PASS")</x:f>
        <x:v>25</x:v>
      </x:c>
      <x:c r="G30" s="168" t="n">
        <x:f>COUNTIFS('Ratio Verification'!C6:C830,A30,'Ratio Verification'!N6:N830,"FAIL")</x:f>
        <x:v>0</x:v>
      </x:c>
      <x:c r="H30" s="171" t="str">
        <x:v>Net Profit / Average Equity</x:v>
      </x:c>
      <x:c r="I30" s="171" t="str">
        <x:v>Input Review; Opening Balances; source register</x:v>
      </x:c>
      <x:c r="J30" s="171" t="str">
        <x:v>Uniform method independently recomputed from official source inputs.</x:v>
      </x:c>
    </x:row>
    <x:row r="31" ht="62" customHeight="1">
      <x:c r="A31" s="76" t="n">
        <x:v>26</x:v>
      </x:c>
      <x:c r="B31" s="76" t="str">
        <x:v>Return on invested capital</x:v>
      </x:c>
      <x:c r="C31" s="76" t="str">
        <x:v>Profitability</x:v>
      </x:c>
      <x:c r="D31" s="76" t="str">
        <x:v>Additional</x:v>
      </x:c>
      <x:c r="E31" s="76" t="n">
        <x:v>25</x:v>
      </x:c>
      <x:c r="F31" s="76" t="n">
        <x:f>COUNTIFS('Ratio Verification'!C6:C830,A31,'Ratio Verification'!N6:N830,"PASS")</x:f>
        <x:v>25</x:v>
      </x:c>
      <x:c r="G31" s="76" t="n">
        <x:f>COUNTIFS('Ratio Verification'!C6:C830,A31,'Ratio Verification'!N6:N830,"FAIL")</x:f>
        <x:v>0</x:v>
      </x:c>
      <x:c r="H31" s="99" t="str">
        <x:v>NOPAT / Average Invested Capital</x:v>
      </x:c>
      <x:c r="I31" s="99" t="str">
        <x:v>Input Review; Opening Balances; source register</x:v>
      </x:c>
      <x:c r="J31" s="99" t="str">
        <x:v>Actual uncapped ETR; signed negative DGKC FY2023 NOPAT retained.</x:v>
      </x:c>
    </x:row>
    <x:row r="32" ht="62" customHeight="1">
      <x:c r="A32" s="168" t="n">
        <x:v>27</x:v>
      </x:c>
      <x:c r="B32" s="168" t="str">
        <x:v>Basic earning power</x:v>
      </x:c>
      <x:c r="C32" s="168" t="str">
        <x:v>Profitability</x:v>
      </x:c>
      <x:c r="D32" s="168" t="str">
        <x:v>Additional</x:v>
      </x:c>
      <x:c r="E32" s="168" t="n">
        <x:v>25</x:v>
      </x:c>
      <x:c r="F32" s="168" t="n">
        <x:f>COUNTIFS('Ratio Verification'!C6:C830,A32,'Ratio Verification'!N6:N830,"PASS")</x:f>
        <x:v>25</x:v>
      </x:c>
      <x:c r="G32" s="168" t="n">
        <x:f>COUNTIFS('Ratio Verification'!C6:C830,A32,'Ratio Verification'!N6:N830,"FAIL")</x:f>
        <x:v>0</x:v>
      </x:c>
      <x:c r="H32" s="171" t="str">
        <x:v>EBIT / Average Total Assets</x:v>
      </x:c>
      <x:c r="I32" s="171" t="str">
        <x:v>Input Review; Opening Balances; source register</x:v>
      </x:c>
      <x:c r="J32" s="171" t="str">
        <x:v>Uniform method independently recomputed from official source inputs.</x:v>
      </x:c>
    </x:row>
    <x:row r="33" ht="62" customHeight="1">
      <x:c r="A33" s="76" t="n">
        <x:v>28</x:v>
      </x:c>
      <x:c r="B33" s="76" t="str">
        <x:v>Book value per share (Rs)</x:v>
      </x:c>
      <x:c r="C33" s="76" t="str">
        <x:v>Market Value</x:v>
      </x:c>
      <x:c r="D33" s="76" t="str">
        <x:v>Additional</x:v>
      </x:c>
      <x:c r="E33" s="76" t="n">
        <x:v>25</x:v>
      </x:c>
      <x:c r="F33" s="76" t="n">
        <x:f>COUNTIFS('Ratio Verification'!C6:C830,A33,'Ratio Verification'!N6:N830,"PASS")</x:f>
        <x:v>25</x:v>
      </x:c>
      <x:c r="G33" s="76" t="n">
        <x:f>COUNTIFS('Ratio Verification'!C6:C830,A33,'Ratio Verification'!N6:N830,"FAIL")</x:f>
        <x:v>0</x:v>
      </x:c>
      <x:c r="H33" s="99" t="str">
        <x:v>Total Equity / Shares Outstanding</x:v>
      </x:c>
      <x:c r="I33" s="99" t="str">
        <x:v>Input Review; Opening Balances; source register</x:v>
      </x:c>
      <x:c r="J33" s="99" t="str">
        <x:v>Official PSX prices and share bases preserved. Published-source conflicts remain documented.</x:v>
      </x:c>
    </x:row>
    <x:row r="34" ht="62" customHeight="1">
      <x:c r="A34" s="168" t="n">
        <x:v>29</x:v>
      </x:c>
      <x:c r="B34" s="168" t="str">
        <x:v>Market-to-book ratio</x:v>
      </x:c>
      <x:c r="C34" s="168" t="str">
        <x:v>Market Value</x:v>
      </x:c>
      <x:c r="D34" s="168" t="str">
        <x:v>Mandatory</x:v>
      </x:c>
      <x:c r="E34" s="168" t="n">
        <x:v>25</x:v>
      </x:c>
      <x:c r="F34" s="168" t="n">
        <x:f>COUNTIFS('Ratio Verification'!C6:C830,A34,'Ratio Verification'!N6:N830,"PASS")</x:f>
        <x:v>25</x:v>
      </x:c>
      <x:c r="G34" s="168" t="n">
        <x:f>COUNTIFS('Ratio Verification'!C6:C830,A34,'Ratio Verification'!N6:N830,"FAIL")</x:f>
        <x:v>0</x:v>
      </x:c>
      <x:c r="H34" s="171" t="str">
        <x:v>Share Price / BVPS</x:v>
      </x:c>
      <x:c r="I34" s="171" t="str">
        <x:v>Input Review; Opening Balances; source register</x:v>
      </x:c>
      <x:c r="J34" s="171" t="str">
        <x:v>Official PSX prices and share bases preserved. Published-source conflicts remain documented.</x:v>
      </x:c>
    </x:row>
    <x:row r="35" ht="62" customHeight="1">
      <x:c r="A35" s="76" t="n">
        <x:v>30</x:v>
      </x:c>
      <x:c r="B35" s="76" t="str">
        <x:v>Earnings per share (Rs)</x:v>
      </x:c>
      <x:c r="C35" s="76" t="str">
        <x:v>Market Value</x:v>
      </x:c>
      <x:c r="D35" s="76" t="str">
        <x:v>Mandatory</x:v>
      </x:c>
      <x:c r="E35" s="76" t="n">
        <x:v>25</x:v>
      </x:c>
      <x:c r="F35" s="76" t="n">
        <x:f>COUNTIFS('Ratio Verification'!C6:C830,A35,'Ratio Verification'!N6:N830,"PASS")</x:f>
        <x:v>25</x:v>
      </x:c>
      <x:c r="G35" s="76" t="n">
        <x:f>COUNTIFS('Ratio Verification'!C6:C830,A35,'Ratio Verification'!N6:N830,"FAIL")</x:f>
        <x:v>0</x:v>
      </x:c>
      <x:c r="H35" s="99" t="str">
        <x:v>Net Profit / Weighted Average Shares</x:v>
      </x:c>
      <x:c r="I35" s="99" t="str">
        <x:v>Input Review; Opening Balances; source register</x:v>
      </x:c>
      <x:c r="J35" s="99" t="str">
        <x:v>Official PSX prices and share bases preserved. Published-source conflicts remain documented.</x:v>
      </x:c>
    </x:row>
    <x:row r="36" ht="62" customHeight="1">
      <x:c r="A36" s="168" t="n">
        <x:v>31</x:v>
      </x:c>
      <x:c r="B36" s="168" t="str">
        <x:v>Price-to-earnings ratio</x:v>
      </x:c>
      <x:c r="C36" s="168" t="str">
        <x:v>Market Value</x:v>
      </x:c>
      <x:c r="D36" s="168" t="str">
        <x:v>Mandatory</x:v>
      </x:c>
      <x:c r="E36" s="168" t="n">
        <x:v>25</x:v>
      </x:c>
      <x:c r="F36" s="168" t="n">
        <x:f>COUNTIFS('Ratio Verification'!C6:C830,A36,'Ratio Verification'!N6:N830,"PASS")</x:f>
        <x:v>25</x:v>
      </x:c>
      <x:c r="G36" s="168" t="n">
        <x:f>COUNTIFS('Ratio Verification'!C6:C830,A36,'Ratio Verification'!N6:N830,"FAIL")</x:f>
        <x:v>0</x:v>
      </x:c>
      <x:c r="H36" s="171" t="str">
        <x:v>Share Price / EPS</x:v>
      </x:c>
      <x:c r="I36" s="171" t="str">
        <x:v>Input Review; Opening Balances; source register</x:v>
      </x:c>
      <x:c r="J36" s="171" t="str">
        <x:v>Official PSX prices and share bases preserved. Published-source conflicts remain documented.</x:v>
      </x:c>
    </x:row>
    <x:row r="37" ht="62" customHeight="1">
      <x:c r="A37" s="76" t="n">
        <x:v>32</x:v>
      </x:c>
      <x:c r="B37" s="76" t="str">
        <x:v>Dividend yield</x:v>
      </x:c>
      <x:c r="C37" s="76" t="str">
        <x:v>Market Value</x:v>
      </x:c>
      <x:c r="D37" s="76" t="str">
        <x:v>Mandatory</x:v>
      </x:c>
      <x:c r="E37" s="76" t="n">
        <x:v>25</x:v>
      </x:c>
      <x:c r="F37" s="76" t="n">
        <x:f>COUNTIFS('Ratio Verification'!C6:C830,A37,'Ratio Verification'!N6:N830,"PASS")</x:f>
        <x:v>25</x:v>
      </x:c>
      <x:c r="G37" s="76" t="n">
        <x:f>COUNTIFS('Ratio Verification'!C6:C830,A37,'Ratio Verification'!N6:N830,"FAIL")</x:f>
        <x:v>0</x:v>
      </x:c>
      <x:c r="H37" s="99" t="str">
        <x:v>DPS / Share Price</x:v>
      </x:c>
      <x:c r="I37" s="99" t="str">
        <x:v>Input Review; Opening Balances; source register</x:v>
      </x:c>
      <x:c r="J37" s="99" t="str">
        <x:v>Official PSX prices and share bases preserved. Published-source conflicts remain documented.</x:v>
      </x:c>
    </x:row>
    <x:row r="38" ht="62" customHeight="1">
      <x:c r="A38" s="168" t="n">
        <x:v>33</x:v>
      </x:c>
      <x:c r="B38" s="168" t="str">
        <x:v>Dividend payout ratio</x:v>
      </x:c>
      <x:c r="C38" s="168" t="str">
        <x:v>Market Value</x:v>
      </x:c>
      <x:c r="D38" s="168" t="str">
        <x:v>Additional</x:v>
      </x:c>
      <x:c r="E38" s="168" t="n">
        <x:v>25</x:v>
      </x:c>
      <x:c r="F38" s="168" t="n">
        <x:f>COUNTIFS('Ratio Verification'!C6:C830,A38,'Ratio Verification'!N6:N830,"PASS")</x:f>
        <x:v>25</x:v>
      </x:c>
      <x:c r="G38" s="168" t="n">
        <x:f>COUNTIFS('Ratio Verification'!C6:C830,A38,'Ratio Verification'!N6:N830,"FAIL")</x:f>
        <x:v>0</x:v>
      </x:c>
      <x:c r="H38" s="171" t="str">
        <x:v>DPS / EPS</x:v>
      </x:c>
      <x:c r="I38" s="171" t="str">
        <x:v>Input Review; Opening Balances; source register</x:v>
      </x:c>
      <x:c r="J38" s="171" t="str">
        <x:v>Official PSX prices and share bases preserved. Published-source conflicts remain documented.</x:v>
      </x:c>
    </x:row>
    <x:row r="41" ht="38" customHeight="1">
      <x:c r="B41" s="174" t="str">
        <x:v>Implementation scope</x:v>
      </x:c>
      <x:c r="C41" s="174"/>
      <x:c r="D41" s="174"/>
      <x:c r="E41" s="174"/>
      <x:c r="F41" s="174"/>
      <x:c r="G41" s="174"/>
      <x:c r="H41" s="174" t="str">
        <x:v>33 measures;19 mandatory;14 additional;5 companies;5 years.</x:v>
      </x:c>
      <x:c r="I41" s="174"/>
      <x:c r="J41" s="174"/>
    </x:row>
    <x:row r="42" ht="38" customHeight="1">
      <x:c r="B42" s="174" t="str">
        <x:v>Independent result checks</x:v>
      </x:c>
      <x:c r="C42" s="174"/>
      <x:c r="D42" s="174"/>
      <x:c r="E42" s="174"/>
      <x:c r="F42" s="174"/>
      <x:c r="G42" s="174"/>
      <x:c r="H42" s="174" t="n">
        <x:f>COUNTIF('Ratio Verification'!N6:N830,"PASS")</x:f>
        <x:v>825</x:v>
      </x:c>
      <x:c r="I42" s="174"/>
      <x:c r="J42" s="174"/>
    </x:row>
    <x:row r="43" ht="38" customHeight="1">
      <x:c r="B43" s="174" t="str">
        <x:v>Sample-average checks</x:v>
      </x:c>
      <x:c r="C43" s="174"/>
      <x:c r="D43" s="174"/>
      <x:c r="E43" s="174"/>
      <x:c r="F43" s="174"/>
      <x:c r="G43" s="174"/>
      <x:c r="H43" s="174" t="str">
        <x:v>165 independently recomputed sample means agree; n/m excluded.</x:v>
      </x:c>
      <x:c r="I43" s="174"/>
      <x:c r="J43" s="174"/>
    </x:row>
    <x:row r="44" ht="38" customHeight="1">
      <x:c r="B44" s="174" t="str">
        <x:v>Input records</x:v>
      </x:c>
      <x:c r="C44" s="174"/>
      <x:c r="D44" s="174"/>
      <x:c r="E44" s="174"/>
      <x:c r="F44" s="174"/>
      <x:c r="G44" s="174"/>
      <x:c r="H44" s="174" t="str">
        <x:v>1,675 original financial records reviewed +35 explicit note components.</x:v>
      </x:c>
      <x:c r="I44" s="174"/>
      <x:c r="J44" s="174"/>
    </x:row>
    <x:row r="45" ht="38" customHeight="1">
      <x:c r="B45" s="174" t="str">
        <x:v>Published comparisons</x:v>
      </x:c>
      <x:c r="C45" s="174"/>
      <x:c r="D45" s="174"/>
      <x:c r="E45" s="174"/>
      <x:c r="F45" s="174"/>
      <x:c r="G45" s="174"/>
      <x:c r="H45" s="174" t="str">
        <x:v>544 observations; exact numeric reproduction does not establish an expressly disclosed definition.</x:v>
      </x:c>
      <x:c r="I45" s="174"/>
      <x:c r="J45" s="174"/>
    </x:row>
    <x:row r="46" ht="38" customHeight="1">
      <x:c r="B46" s="174" t="str">
        <x:v>44 original financial failures</x:v>
      </x:c>
      <x:c r="C46" s="174"/>
      <x:c r="D46" s="174"/>
      <x:c r="E46" s="174"/>
      <x:c r="F46" s="174"/>
      <x:c r="G46" s="174"/>
      <x:c r="H46" s="174" t="str">
        <x:v>33 now reproduce to official precision;11 remain unresolved.</x:v>
      </x:c>
      <x:c r="I46" s="174"/>
      <x:c r="J46" s="174"/>
    </x:row>
    <x:row r="47" ht="38" customHeight="1">
      <x:c r="B47" s="174" t="str">
        <x:v>10 original market failures</x:v>
      </x:c>
      <x:c r="C47" s="174"/>
      <x:c r="D47" s="174"/>
      <x:c r="E47" s="174"/>
      <x:c r="F47" s="174"/>
      <x:c r="G47" s="174"/>
      <x:c r="H47" s="174" t="str">
        <x:v>All10 remain official-source discrepancies; verified PSX closes retained.</x:v>
      </x:c>
      <x:c r="I47" s="174"/>
      <x:c r="J47" s="174"/>
    </x:row>
    <x:row r="48" ht="38" customHeight="1">
      <x:c r="B48" s="174" t="str">
        <x:v>Official control exceptions</x:v>
      </x:c>
      <x:c r="C48" s="174"/>
      <x:c r="D48" s="174"/>
      <x:c r="E48" s="174"/>
      <x:c r="F48" s="174"/>
      <x:c r="G48" s="174"/>
      <x:c r="H48" s="174" t="str">
        <x:v>KOHC FY2020 one-rupee footing;LUCK FY2020 PKR0.400m printed-NCL/component conflict. No balancing plugs.</x:v>
      </x:c>
      <x:c r="I48" s="174"/>
      <x:c r="J48" s="174"/>
    </x:row>
    <x:row r="49" ht="38" customHeight="1">
      <x:c r="B49" s="174" t="str">
        <x:v>Material corrections</x:v>
      </x:c>
      <x:c r="C49" s="174"/>
      <x:c r="D49" s="174"/>
      <x:c r="E49" s="174"/>
      <x:c r="F49" s="174"/>
      <x:c r="G49" s="174"/>
      <x:c r="H49" s="174" t="str">
        <x:v>MLCF related supplier payables;FCCL interest-free parent loan;KOHC/FCCL embedded markup;DGKC uncapped audited ETR.</x:v>
      </x:c>
      <x:c r="I49" s="174"/>
      <x:c r="J49" s="174"/>
    </x:row>
    <x:row r="50" ht="38" customHeight="1">
      <x:c r="B50" s="174" t="str">
        <x:v>Formula-source limit</x:v>
      </x:c>
      <x:c r="C50" s="174"/>
      <x:c r="D50" s="174"/>
      <x:c r="E50" s="174"/>
      <x:c r="F50" s="174"/>
      <x:c r="G50" s="174"/>
      <x:c r="H50" s="174" t="str">
        <x:v>No separate lecture-note file or TA correspondence in ZIP; supplied agreed formulas and guidelines used with explicit uniform definitions.</x:v>
      </x:c>
      <x:c r="I50" s="174"/>
      <x:c r="J50" s="174"/>
    </x:row>
    <x:row r="51">
      <x:c r="B51" t="str">
        <x:v>Published reconstruction results</x:v>
      </x:c>
      <x:c r="H51" s="174" t="str">
        <x:f>COUNTIF('Published Ratio Reconciliation'!H5:H548,"Reproduced to precision")&amp;" reproduce; "&amp;COUNTIF('Published Ratio Reconciliation'!H5:H548,"Unresolved published value")&amp;" remain unreproduced"</x:f>
        <x:v>481 reproduce; 63 remain unreproduced</x:v>
      </x:c>
      <x:c r="I51" s="174"/>
      <x:c r="J51" s="174"/>
    </x:row>
    <x:row r="53" ht="28" customHeight="1">
      <x:c r="B53" t="str">
        <x:v>FCCL bonus denominator - source reconstruction</x:v>
      </x:c>
    </x:row>
    <x:row r="54" ht="28" customHeight="1">
      <x:c r="B54" t="str">
        <x:v>Opening FY2023 shares (million)</x:v>
      </x:c>
      <x:c r="H54" s="183" t="n">
        <x:f>FCCL!E128</x:f>
        <x:v>2180.309</x:v>
      </x:c>
    </x:row>
    <x:row r="55" ht="28" customHeight="1">
      <x:c r="B55" t="str">
        <x:v>Bonus shares (million)</x:v>
      </x:c>
      <x:c r="H55" s="183" t="n">
        <x:f>FCCL!F128-FCCL!E128</x:f>
        <x:v>272.53859999999986</x:v>
      </x:c>
    </x:row>
    <x:row r="56" ht="28" customHeight="1">
      <x:c r="B56" t="str">
        <x:v>First day after after-hours credit</x:v>
      </x:c>
      <x:c r="H56" s="184" t="n">
        <x:f>DATE(2022,11,11)</x:f>
        <x:v>44876</x:v>
      </x:c>
    </x:row>
    <x:row r="57" ht="28" customHeight="1">
      <x:c r="B57" t="str">
        <x:v>FY-end</x:v>
      </x:c>
      <x:c r="H57" s="184" t="n">
        <x:f>DATE(2023,6,30)</x:f>
        <x:v>45107</x:v>
      </x:c>
    </x:row>
    <x:row r="58" ht="28" customHeight="1">
      <x:c r="B58" t="str">
        <x:v>Calendar days (inclusive)</x:v>
      </x:c>
      <x:c r="H58" t="n">
        <x:f>H57-H56+1</x:f>
        <x:v>232</x:v>
      </x:c>
    </x:row>
    <x:row r="59" ht="28" customHeight="1">
      <x:c r="B59" t="str">
        <x:v>Financial-year days</x:v>
      </x:c>
      <x:c r="H59" t="n">
        <x:f>DATE(2023,7,1)-DATE(2022,7,1)</x:f>
        <x:v>365</x:v>
      </x:c>
    </x:row>
    <x:row r="60" ht="28" customHeight="1">
      <x:c r="B60" t="str">
        <x:v>Calendar-weighted bonus denominator</x:v>
      </x:c>
      <x:c r="H60" s="183" t="n">
        <x:f>H54+H55*H58/H59</x:f>
        <x:v>2353.5390142465753</x:v>
      </x:c>
    </x:row>
    <x:row r="61" ht="28" customHeight="1">
      <x:c r="B61" t="str">
        <x:v>Published weighted shares (million)</x:v>
      </x:c>
      <x:c r="H61" s="183" t="n">
        <x:f>'PSX Prices'!O28</x:f>
        <x:v>2353.539</x:v>
      </x:c>
    </x:row>
    <x:row r="62" ht="28" customHeight="1">
      <x:c r="B62" t="str">
        <x:v>Difference (individual shares)</x:v>
      </x:c>
      <x:c r="H62" s="183" t="n">
        <x:f>1000000*(H60-H61)</x:f>
        <x:v>14.246575119614135</x:v>
      </x:c>
    </x:row>
    <x:row r="63" ht="28" customHeight="1">
      <x:c r="B63" t="str">
        <x:v>Standardized full-bonus denominator</x:v>
      </x:c>
      <x:c r="H63" s="183" t="n">
        <x:f>FCCL!F129</x:f>
        <x:v>2452.8476</x:v>
      </x:c>
    </x:row>
    <x:row r="64">
      <x:c r="H64" s="174" t="str">
        <x:v>The PSX notice confirms electronic credit on10-Nov-2022 after business hours. Weighting the bonus from11-Nov produces2,353.539m at source precision. This is a numerical timing reconstruction; IAS33 requires retrospective bonus treatment, so the standardized2,452.8476m denominator remains.</x:v>
      </x:c>
      <x:c r="I64" s="174"/>
      <x:c r="J64" s="174"/>
    </x:row>
    <x:row r="65">
      <x:c r="H65" s="174"/>
      <x:c r="I65" s="174"/>
      <x:c r="J65" s="174"/>
    </x:row>
    <x:row r="66">
      <x:c r="H66" s="174"/>
      <x:c r="I66" s="174"/>
      <x:c r="J66" s="174"/>
    </x:row>
    <x:row r="67">
      <x:c r="H67" t="str">
        <x:v>https://dps.psx.com.pk/download/document/197721.pdf</x:v>
      </x:c>
    </x:row>
    <x:row r="68">
      <x:c r="H68" t="str">
        <x:v>https://www.ifrs.org/content/dam/ifrs/publications/pdf-standards/english/2021/issued/part-a/ias-33-earnings-per-share.pdf</x:v>
      </x:c>
    </x:row>
  </x:sheetData>
  <x:mergeCells>
    <x:mergeCell ref="H41:J41"/>
    <x:mergeCell ref="H42:J42"/>
    <x:mergeCell ref="H43:J43"/>
    <x:mergeCell ref="H44:J44"/>
    <x:mergeCell ref="H45:J45"/>
    <x:mergeCell ref="H46:J46"/>
    <x:mergeCell ref="H47:J47"/>
    <x:mergeCell ref="H48:J48"/>
    <x:mergeCell ref="H49:J49"/>
    <x:mergeCell ref="H50:J50"/>
    <x:mergeCell ref="H64:J66"/>
    <x:mergeCell ref="H51:J51"/>
  </x:mergeCells>
  <x:pageMargins left="0.7" right="0.7" top="0.75" bottom="0.75" header="0.3" footer="0.3"/>
</x:worksheet>
</file>

<file path=xl/worksheets/sheet19.xml><?xml version="1.0" encoding="utf-8"?>
<x:worksheet xmlns:x="http://schemas.openxmlformats.org/spreadsheetml/2006/main">
  <x:sheetViews>
    <x:sheetView showGridLines="0" workbookViewId="0">
      <x:pane ySplit="11" topLeftCell="A12" activePane="bottomLeft" state="frozen"/>
    </x:sheetView>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8" hidden="0" customWidth="1"/>
    <x:col min="7" max="7" width="46" hidden="0" customWidth="1"/>
    <x:col min="8" max="8" width="65" hidden="0" customWidth="1"/>
    <x:col min="9" max="9" width="76" hidden="0" customWidth="1"/>
    <x:col min="10" max="10" width="88" hidden="0" customWidth="1"/>
  </x:cols>
  <x:sheetData>
    <x:row r="1" ht="23" customHeight="1">
      <x:c r="A1" s="185" t="str">
        <x:v>FCCL FY2025 - test of the annual-average-price hypothesis</x:v>
      </x:c>
      <x:c r="B1" s="75"/>
      <x:c r="C1" s="75"/>
      <x:c r="D1" s="75"/>
      <x:c r="E1" s="75"/>
      <x:c r="F1" s="75"/>
      <x:c r="G1" s="75"/>
      <x:c r="H1" s="75"/>
      <x:c r="I1" s="75"/>
      <x:c r="J1" s="75"/>
    </x:row>
    <x:row r="2" ht="23" customHeight="1">
      <x:c r="A2" s="75" t="str">
        <x:v>Official session-close mean</x:v>
      </x:c>
      <x:c r="B2" s="186" t="n">
        <x:f>AVERAGE(B12:B258)</x:f>
        <x:v>35.08012145748986</x:v>
      </x:c>
      <x:c r="C2" s="75"/>
      <x:c r="D2" s="75"/>
      <x:c r="E2" s="75"/>
      <x:c r="F2" s="75"/>
      <x:c r="G2" s="75"/>
      <x:c r="H2" s="75"/>
      <x:c r="I2" s="75"/>
      <x:c r="J2" s="75"/>
    </x:row>
    <x:row r="3" ht="23" customHeight="1">
      <x:c r="A3" s="75" t="str">
        <x:v>Report-basis unrounded EPS</x:v>
      </x:c>
      <x:c r="B3" s="186" t="n">
        <x:f>FCCL!H99/'PSX Prices'!O30</x:f>
        <x:v>5.432952809531124</x:v>
      </x:c>
      <x:c r="C3" s="75"/>
      <x:c r="D3" s="75"/>
      <x:c r="E3" s="75"/>
      <x:c r="F3" s="75"/>
      <x:c r="G3" s="75"/>
      <x:c r="H3" s="75"/>
      <x:c r="I3" s="75"/>
      <x:c r="J3" s="75"/>
    </x:row>
    <x:row r="4" ht="23" customHeight="1">
      <x:c r="A4" s="75" t="str">
        <x:v>Mean-close / EPS</x:v>
      </x:c>
      <x:c r="B4" s="186" t="n">
        <x:f>B2/B3</x:f>
        <x:v>6.456916282421631</x:v>
      </x:c>
      <x:c r="C4" s="75"/>
      <x:c r="D4" s="75"/>
      <x:c r="E4" s="75"/>
      <x:c r="F4" s="75"/>
      <x:c r="G4" s="75"/>
      <x:c r="H4" s="75"/>
      <x:c r="I4" s="75"/>
      <x:c r="J4" s="75"/>
    </x:row>
    <x:row r="5" ht="23" customHeight="1">
      <x:c r="A5" s="75" t="str">
        <x:v>Company-published P/E</x:v>
      </x:c>
      <x:c r="B5" s="186" t="n">
        <x:v>6.69</x:v>
      </x:c>
      <x:c r="C5" s="75"/>
      <x:c r="D5" s="75"/>
      <x:c r="E5" s="75"/>
      <x:c r="F5" s="75"/>
      <x:c r="G5" s="75"/>
      <x:c r="H5" s="75"/>
      <x:c r="I5" s="75"/>
      <x:c r="J5" s="75"/>
    </x:row>
    <x:row r="6" ht="23" customHeight="1">
      <x:c r="A6" s="75" t="str">
        <x:v>Verified FY-end closing price</x:v>
      </x:c>
      <x:c r="B6" s="186" t="n">
        <x:f>'PSX Prices'!E30</x:f>
        <x:v>44.67</x:v>
      </x:c>
      <x:c r="C6" s="75"/>
      <x:c r="D6" s="75"/>
      <x:c r="E6" s="75"/>
      <x:c r="F6" s="75"/>
      <x:c r="G6" s="75"/>
      <x:c r="H6" s="75"/>
      <x:c r="I6" s="75"/>
      <x:c r="J6" s="75"/>
    </x:row>
    <x:row r="7" ht="23" customHeight="1">
      <x:c r="A7" s="75"/>
      <x:c r="B7" s="75"/>
      <x:c r="C7" s="75"/>
      <x:c r="D7" s="75"/>
      <x:c r="E7" s="75"/>
      <x:c r="F7" s="75"/>
      <x:c r="G7" s="75"/>
      <x:c r="H7" s="75"/>
      <x:c r="I7" s="75"/>
      <x:c r="J7" s="75"/>
    </x:row>
    <x:row r="8" ht="23" customHeight="1">
      <x:c r="A8" s="163" t="str">
        <x:v>All247 sessions retrieved from official PSX. Arithmetic annual mean does not reproduce6.69. This test does not establish another company price convention; no mean price is used in the submission.</x:v>
      </x:c>
      <x:c r="B8" s="163"/>
      <x:c r="C8" s="163"/>
      <x:c r="D8" s="163"/>
      <x:c r="E8" s="163"/>
      <x:c r="F8" s="163"/>
      <x:c r="G8" s="163"/>
      <x:c r="H8" s="163"/>
      <x:c r="I8" s="163"/>
      <x:c r="J8" s="163"/>
    </x:row>
    <x:row r="9" ht="23" customHeight="1">
      <x:c r="A9" s="163"/>
      <x:c r="B9" s="163"/>
      <x:c r="C9" s="163"/>
      <x:c r="D9" s="163"/>
      <x:c r="E9" s="163"/>
      <x:c r="F9" s="163"/>
      <x:c r="G9" s="163"/>
      <x:c r="H9" s="163"/>
      <x:c r="I9" s="163"/>
      <x:c r="J9" s="163"/>
    </x:row>
    <x:row r="10" ht="23" customHeight="1">
      <x:c r="A10" s="75"/>
      <x:c r="B10" s="75"/>
      <x:c r="C10" s="75"/>
      <x:c r="D10" s="75"/>
      <x:c r="E10" s="75"/>
      <x:c r="F10" s="75"/>
      <x:c r="G10" s="75"/>
      <x:c r="H10" s="75"/>
      <x:c r="I10" s="75"/>
      <x:c r="J10" s="75"/>
    </x:row>
    <x:row r="11" ht="42" customHeight="1">
      <x:c r="A11" s="189" t="str">
        <x:v>Trading date</x:v>
      </x:c>
      <x:c r="B11" s="189" t="str">
        <x:v>Actual CLOSE</x:v>
      </x:c>
      <x:c r="C11" s="189" t="str">
        <x:v>Volume</x:v>
      </x:c>
      <x:c r="D11" s="189" t="str">
        <x:v>FY</x:v>
      </x:c>
      <x:c r="E11" s="189" t="str">
        <x:v>Calendar year</x:v>
      </x:c>
      <x:c r="F11" s="189" t="str">
        <x:v>Month</x:v>
      </x:c>
      <x:c r="G11" s="189" t="str">
        <x:v>Official source</x:v>
      </x:c>
      <x:c r="H11" s="189" t="str">
        <x:v>POST request</x:v>
      </x:c>
      <x:c r="I11" s="189" t="str">
        <x:v>Response SHA256</x:v>
      </x:c>
      <x:c r="J11" s="189" t="str">
        <x:v>Raw PSX row</x:v>
      </x:c>
    </x:row>
    <x:row r="12" ht="23" customHeight="1">
      <x:c r="A12" s="190" t="d">
        <x:v>2024-07-01T00:00:00.000Z</x:v>
      </x:c>
      <x:c r="B12" s="159" t="n">
        <x:v>22.7</x:v>
      </x:c>
      <x:c r="C12" s="191" t="n">
        <x:v>4678019</x:v>
      </x:c>
      <x:c r="D12" s="75" t="n">
        <x:v>2025</x:v>
      </x:c>
      <x:c r="E12" s="75" t="n">
        <x:v>2024</x:v>
      </x:c>
      <x:c r="F12" s="75" t="n">
        <x:v>7</x:v>
      </x:c>
      <x:c r="G12" s="75" t="str">
        <x:v>https://dps.psx.com.pk/historical</x:v>
      </x:c>
      <x:c r="H12" s="75" t="str">
        <x:v>{"symbol":"FCCL","year":"2024","month":"7"}</x:v>
      </x:c>
      <x:c r="I12" s="75" t="str">
        <x:v>7ab633f8df8cf5684c0224c214e5ef3e3c3f5ce527f3a4b139fdb61f7aa39b1c</x:v>
      </x:c>
      <x:c r="J12" s="75" t="str">
        <x:v>Jul 1, 2024 | 22.75 | 23.30 | 22.53 | 22.70 | 4,678,019</x:v>
      </x:c>
    </x:row>
    <x:row r="13" ht="23" customHeight="1">
      <x:c r="A13" s="190" t="d">
        <x:v>2024-07-02T00:00:00.000Z</x:v>
      </x:c>
      <x:c r="B13" s="159" t="n">
        <x:v>22.7</x:v>
      </x:c>
      <x:c r="C13" s="191" t="n">
        <x:v>5383770</x:v>
      </x:c>
      <x:c r="D13" s="75" t="n">
        <x:v>2025</x:v>
      </x:c>
      <x:c r="E13" s="75" t="n">
        <x:v>2024</x:v>
      </x:c>
      <x:c r="F13" s="75" t="n">
        <x:v>7</x:v>
      </x:c>
      <x:c r="G13" s="75" t="str">
        <x:v>https://dps.psx.com.pk/historical</x:v>
      </x:c>
      <x:c r="H13" s="75" t="str">
        <x:v>{"symbol":"FCCL","year":"2024","month":"7"}</x:v>
      </x:c>
      <x:c r="I13" s="75" t="str">
        <x:v>7ab633f8df8cf5684c0224c214e5ef3e3c3f5ce527f3a4b139fdb61f7aa39b1c</x:v>
      </x:c>
      <x:c r="J13" s="75" t="str">
        <x:v>Jul 2, 2024 | 22.85 | 23.01 | 22.60 | 22.70 | 5,383,770</x:v>
      </x:c>
    </x:row>
    <x:row r="14" ht="23" customHeight="1">
      <x:c r="A14" s="190" t="d">
        <x:v>2024-07-03T00:00:00.000Z</x:v>
      </x:c>
      <x:c r="B14" s="159" t="n">
        <x:v>22.96</x:v>
      </x:c>
      <x:c r="C14" s="191" t="n">
        <x:v>10260542</x:v>
      </x:c>
      <x:c r="D14" s="75" t="n">
        <x:v>2025</x:v>
      </x:c>
      <x:c r="E14" s="75" t="n">
        <x:v>2024</x:v>
      </x:c>
      <x:c r="F14" s="75" t="n">
        <x:v>7</x:v>
      </x:c>
      <x:c r="G14" s="75" t="str">
        <x:v>https://dps.psx.com.pk/historical</x:v>
      </x:c>
      <x:c r="H14" s="75" t="str">
        <x:v>{"symbol":"FCCL","year":"2024","month":"7"}</x:v>
      </x:c>
      <x:c r="I14" s="75" t="str">
        <x:v>7ab633f8df8cf5684c0224c214e5ef3e3c3f5ce527f3a4b139fdb61f7aa39b1c</x:v>
      </x:c>
      <x:c r="J14" s="75" t="str">
        <x:v>Jul 3, 2024 | 22.77 | 23.15 | 22.73 | 22.96 | 10,260,542</x:v>
      </x:c>
    </x:row>
    <x:row r="15" ht="23" customHeight="1">
      <x:c r="A15" s="190" t="d">
        <x:v>2024-07-04T00:00:00.000Z</x:v>
      </x:c>
      <x:c r="B15" s="159" t="n">
        <x:v>22.88</x:v>
      </x:c>
      <x:c r="C15" s="191" t="n">
        <x:v>6437128</x:v>
      </x:c>
      <x:c r="D15" s="75" t="n">
        <x:v>2025</x:v>
      </x:c>
      <x:c r="E15" s="75" t="n">
        <x:v>2024</x:v>
      </x:c>
      <x:c r="F15" s="75" t="n">
        <x:v>7</x:v>
      </x:c>
      <x:c r="G15" s="75" t="str">
        <x:v>https://dps.psx.com.pk/historical</x:v>
      </x:c>
      <x:c r="H15" s="75" t="str">
        <x:v>{"symbol":"FCCL","year":"2024","month":"7"}</x:v>
      </x:c>
      <x:c r="I15" s="75" t="str">
        <x:v>7ab633f8df8cf5684c0224c214e5ef3e3c3f5ce527f3a4b139fdb61f7aa39b1c</x:v>
      </x:c>
      <x:c r="J15" s="75" t="str">
        <x:v>Jul 4, 2024 | 23.00 | 23.18 | 22.73 | 22.88 | 6,437,128</x:v>
      </x:c>
    </x:row>
    <x:row r="16" ht="23" customHeight="1">
      <x:c r="A16" s="190" t="d">
        <x:v>2024-07-05T00:00:00.000Z</x:v>
      </x:c>
      <x:c r="B16" s="159" t="n">
        <x:v>22.39</x:v>
      </x:c>
      <x:c r="C16" s="191" t="n">
        <x:v>5017052</x:v>
      </x:c>
      <x:c r="D16" s="75" t="n">
        <x:v>2025</x:v>
      </x:c>
      <x:c r="E16" s="75" t="n">
        <x:v>2024</x:v>
      </x:c>
      <x:c r="F16" s="75" t="n">
        <x:v>7</x:v>
      </x:c>
      <x:c r="G16" s="75" t="str">
        <x:v>https://dps.psx.com.pk/historical</x:v>
      </x:c>
      <x:c r="H16" s="75" t="str">
        <x:v>{"symbol":"FCCL","year":"2024","month":"7"}</x:v>
      </x:c>
      <x:c r="I16" s="75" t="str">
        <x:v>7ab633f8df8cf5684c0224c214e5ef3e3c3f5ce527f3a4b139fdb61f7aa39b1c</x:v>
      </x:c>
      <x:c r="J16" s="75" t="str">
        <x:v>Jul 5, 2024 | 22.90 | 22.96 | 22.34 | 22.39 | 5,017,052</x:v>
      </x:c>
    </x:row>
    <x:row r="17" ht="23" customHeight="1">
      <x:c r="A17" s="190" t="d">
        <x:v>2024-07-08T00:00:00.000Z</x:v>
      </x:c>
      <x:c r="B17" s="159" t="n">
        <x:v>22.99</x:v>
      </x:c>
      <x:c r="C17" s="191" t="n">
        <x:v>6651536</x:v>
      </x:c>
      <x:c r="D17" s="75" t="n">
        <x:v>2025</x:v>
      </x:c>
      <x:c r="E17" s="75" t="n">
        <x:v>2024</x:v>
      </x:c>
      <x:c r="F17" s="75" t="n">
        <x:v>7</x:v>
      </x:c>
      <x:c r="G17" s="75" t="str">
        <x:v>https://dps.psx.com.pk/historical</x:v>
      </x:c>
      <x:c r="H17" s="75" t="str">
        <x:v>{"symbol":"FCCL","year":"2024","month":"7"}</x:v>
      </x:c>
      <x:c r="I17" s="75" t="str">
        <x:v>7ab633f8df8cf5684c0224c214e5ef3e3c3f5ce527f3a4b139fdb61f7aa39b1c</x:v>
      </x:c>
      <x:c r="J17" s="75" t="str">
        <x:v>Jul 8, 2024 | 22.34 | 23.70 | 22.01 | 22.99 | 6,651,536</x:v>
      </x:c>
    </x:row>
    <x:row r="18" ht="23" customHeight="1">
      <x:c r="A18" s="190" t="d">
        <x:v>2024-07-09T00:00:00.000Z</x:v>
      </x:c>
      <x:c r="B18" s="159" t="n">
        <x:v>23.12</x:v>
      </x:c>
      <x:c r="C18" s="191" t="n">
        <x:v>8230699</x:v>
      </x:c>
      <x:c r="D18" s="75" t="n">
        <x:v>2025</x:v>
      </x:c>
      <x:c r="E18" s="75" t="n">
        <x:v>2024</x:v>
      </x:c>
      <x:c r="F18" s="75" t="n">
        <x:v>7</x:v>
      </x:c>
      <x:c r="G18" s="75" t="str">
        <x:v>https://dps.psx.com.pk/historical</x:v>
      </x:c>
      <x:c r="H18" s="75" t="str">
        <x:v>{"symbol":"FCCL","year":"2024","month":"7"}</x:v>
      </x:c>
      <x:c r="I18" s="75" t="str">
        <x:v>7ab633f8df8cf5684c0224c214e5ef3e3c3f5ce527f3a4b139fdb61f7aa39b1c</x:v>
      </x:c>
      <x:c r="J18" s="75" t="str">
        <x:v>Jul 9, 2024 | 23.02 | 23.54 | 22.66 | 23.12 | 8,230,699</x:v>
      </x:c>
    </x:row>
    <x:row r="19" ht="23" customHeight="1">
      <x:c r="A19" s="190" t="d">
        <x:v>2024-07-10T00:00:00.000Z</x:v>
      </x:c>
      <x:c r="B19" s="159" t="n">
        <x:v>22.89</x:v>
      </x:c>
      <x:c r="C19" s="191" t="n">
        <x:v>4698564</x:v>
      </x:c>
      <x:c r="D19" s="75" t="n">
        <x:v>2025</x:v>
      </x:c>
      <x:c r="E19" s="75" t="n">
        <x:v>2024</x:v>
      </x:c>
      <x:c r="F19" s="75" t="n">
        <x:v>7</x:v>
      </x:c>
      <x:c r="G19" s="75" t="str">
        <x:v>https://dps.psx.com.pk/historical</x:v>
      </x:c>
      <x:c r="H19" s="75" t="str">
        <x:v>{"symbol":"FCCL","year":"2024","month":"7"}</x:v>
      </x:c>
      <x:c r="I19" s="75" t="str">
        <x:v>7ab633f8df8cf5684c0224c214e5ef3e3c3f5ce527f3a4b139fdb61f7aa39b1c</x:v>
      </x:c>
      <x:c r="J19" s="75" t="str">
        <x:v>Jul 10, 2024 | 23.30 | 23.30 | 22.75 | 22.89 | 4,698,564</x:v>
      </x:c>
    </x:row>
    <x:row r="20" ht="23" customHeight="1">
      <x:c r="A20" s="190" t="d">
        <x:v>2024-07-11T00:00:00.000Z</x:v>
      </x:c>
      <x:c r="B20" s="159" t="n">
        <x:v>22.71</x:v>
      </x:c>
      <x:c r="C20" s="191" t="n">
        <x:v>4448771</x:v>
      </x:c>
      <x:c r="D20" s="75" t="n">
        <x:v>2025</x:v>
      </x:c>
      <x:c r="E20" s="75" t="n">
        <x:v>2024</x:v>
      </x:c>
      <x:c r="F20" s="75" t="n">
        <x:v>7</x:v>
      </x:c>
      <x:c r="G20" s="75" t="str">
        <x:v>https://dps.psx.com.pk/historical</x:v>
      </x:c>
      <x:c r="H20" s="75" t="str">
        <x:v>{"symbol":"FCCL","year":"2024","month":"7"}</x:v>
      </x:c>
      <x:c r="I20" s="75" t="str">
        <x:v>7ab633f8df8cf5684c0224c214e5ef3e3c3f5ce527f3a4b139fdb61f7aa39b1c</x:v>
      </x:c>
      <x:c r="J20" s="75" t="str">
        <x:v>Jul 11, 2024 | 22.71 | 23.00 | 22.50 | 22.71 | 4,448,771</x:v>
      </x:c>
    </x:row>
    <x:row r="21" ht="23" customHeight="1">
      <x:c r="A21" s="190" t="d">
        <x:v>2024-07-12T00:00:00.000Z</x:v>
      </x:c>
      <x:c r="B21" s="159" t="n">
        <x:v>22.73</x:v>
      </x:c>
      <x:c r="C21" s="191" t="n">
        <x:v>6163472</x:v>
      </x:c>
      <x:c r="D21" s="75" t="n">
        <x:v>2025</x:v>
      </x:c>
      <x:c r="E21" s="75" t="n">
        <x:v>2024</x:v>
      </x:c>
      <x:c r="F21" s="75" t="n">
        <x:v>7</x:v>
      </x:c>
      <x:c r="G21" s="75" t="str">
        <x:v>https://dps.psx.com.pk/historical</x:v>
      </x:c>
      <x:c r="H21" s="75" t="str">
        <x:v>{"symbol":"FCCL","year":"2024","month":"7"}</x:v>
      </x:c>
      <x:c r="I21" s="75" t="str">
        <x:v>7ab633f8df8cf5684c0224c214e5ef3e3c3f5ce527f3a4b139fdb61f7aa39b1c</x:v>
      </x:c>
      <x:c r="J21" s="75" t="str">
        <x:v>Jul 12, 2024 | 22.71 | 22.97 | 22.00 | 22.73 | 6,163,472</x:v>
      </x:c>
    </x:row>
    <x:row r="22" ht="23" customHeight="1">
      <x:c r="A22" s="190" t="d">
        <x:v>2024-07-15T00:00:00.000Z</x:v>
      </x:c>
      <x:c r="B22" s="159" t="n">
        <x:v>23.11</x:v>
      </x:c>
      <x:c r="C22" s="191" t="n">
        <x:v>8398923</x:v>
      </x:c>
      <x:c r="D22" s="75" t="n">
        <x:v>2025</x:v>
      </x:c>
      <x:c r="E22" s="75" t="n">
        <x:v>2024</x:v>
      </x:c>
      <x:c r="F22" s="75" t="n">
        <x:v>7</x:v>
      </x:c>
      <x:c r="G22" s="75" t="str">
        <x:v>https://dps.psx.com.pk/historical</x:v>
      </x:c>
      <x:c r="H22" s="75" t="str">
        <x:v>{"symbol":"FCCL","year":"2024","month":"7"}</x:v>
      </x:c>
      <x:c r="I22" s="75" t="str">
        <x:v>7ab633f8df8cf5684c0224c214e5ef3e3c3f5ce527f3a4b139fdb61f7aa39b1c</x:v>
      </x:c>
      <x:c r="J22" s="75" t="str">
        <x:v>Jul 15, 2024 | 23.00 | 23.50 | 22.91 | 23.11 | 8,398,923</x:v>
      </x:c>
    </x:row>
    <x:row r="23" ht="23" customHeight="1">
      <x:c r="A23" s="190" t="d">
        <x:v>2024-07-18T00:00:00.000Z</x:v>
      </x:c>
      <x:c r="B23" s="159" t="n">
        <x:v>22.99</x:v>
      </x:c>
      <x:c r="C23" s="191" t="n">
        <x:v>4937769</x:v>
      </x:c>
      <x:c r="D23" s="75" t="n">
        <x:v>2025</x:v>
      </x:c>
      <x:c r="E23" s="75" t="n">
        <x:v>2024</x:v>
      </x:c>
      <x:c r="F23" s="75" t="n">
        <x:v>7</x:v>
      </x:c>
      <x:c r="G23" s="75" t="str">
        <x:v>https://dps.psx.com.pk/historical</x:v>
      </x:c>
      <x:c r="H23" s="75" t="str">
        <x:v>{"symbol":"FCCL","year":"2024","month":"7"}</x:v>
      </x:c>
      <x:c r="I23" s="75" t="str">
        <x:v>7ab633f8df8cf5684c0224c214e5ef3e3c3f5ce527f3a4b139fdb61f7aa39b1c</x:v>
      </x:c>
      <x:c r="J23" s="75" t="str">
        <x:v>Jul 18, 2024 | 23.10 | 23.15 | 22.85 | 22.99 | 4,937,769</x:v>
      </x:c>
    </x:row>
    <x:row r="24" ht="23" customHeight="1">
      <x:c r="A24" s="190" t="d">
        <x:v>2024-07-19T00:00:00.000Z</x:v>
      </x:c>
      <x:c r="B24" s="159" t="n">
        <x:v>22.68</x:v>
      </x:c>
      <x:c r="C24" s="191" t="n">
        <x:v>4964181</x:v>
      </x:c>
      <x:c r="D24" s="75" t="n">
        <x:v>2025</x:v>
      </x:c>
      <x:c r="E24" s="75" t="n">
        <x:v>2024</x:v>
      </x:c>
      <x:c r="F24" s="75" t="n">
        <x:v>7</x:v>
      </x:c>
      <x:c r="G24" s="75" t="str">
        <x:v>https://dps.psx.com.pk/historical</x:v>
      </x:c>
      <x:c r="H24" s="75" t="str">
        <x:v>{"symbol":"FCCL","year":"2024","month":"7"}</x:v>
      </x:c>
      <x:c r="I24" s="75" t="str">
        <x:v>7ab633f8df8cf5684c0224c214e5ef3e3c3f5ce527f3a4b139fdb61f7aa39b1c</x:v>
      </x:c>
      <x:c r="J24" s="75" t="str">
        <x:v>Jul 19, 2024 | 23.01 | 23.05 | 22.55 | 22.68 | 4,964,181</x:v>
      </x:c>
    </x:row>
    <x:row r="25" ht="23" customHeight="1">
      <x:c r="A25" s="190" t="d">
        <x:v>2024-07-22T00:00:00.000Z</x:v>
      </x:c>
      <x:c r="B25" s="159" t="n">
        <x:v>22</x:v>
      </x:c>
      <x:c r="C25" s="191" t="n">
        <x:v>4887748</x:v>
      </x:c>
      <x:c r="D25" s="75" t="n">
        <x:v>2025</x:v>
      </x:c>
      <x:c r="E25" s="75" t="n">
        <x:v>2024</x:v>
      </x:c>
      <x:c r="F25" s="75" t="n">
        <x:v>7</x:v>
      </x:c>
      <x:c r="G25" s="75" t="str">
        <x:v>https://dps.psx.com.pk/historical</x:v>
      </x:c>
      <x:c r="H25" s="75" t="str">
        <x:v>{"symbol":"FCCL","year":"2024","month":"7"}</x:v>
      </x:c>
      <x:c r="I25" s="75" t="str">
        <x:v>7ab633f8df8cf5684c0224c214e5ef3e3c3f5ce527f3a4b139fdb61f7aa39b1c</x:v>
      </x:c>
      <x:c r="J25" s="75" t="str">
        <x:v>Jul 22, 2024 | 22.68 | 22.90 | 21.80 | 22.00 | 4,887,748</x:v>
      </x:c>
    </x:row>
    <x:row r="26" ht="23" customHeight="1">
      <x:c r="A26" s="190" t="d">
        <x:v>2024-07-23T00:00:00.000Z</x:v>
      </x:c>
      <x:c r="B26" s="159" t="n">
        <x:v>22.01</x:v>
      </x:c>
      <x:c r="C26" s="191" t="n">
        <x:v>3843991</x:v>
      </x:c>
      <x:c r="D26" s="75" t="n">
        <x:v>2025</x:v>
      </x:c>
      <x:c r="E26" s="75" t="n">
        <x:v>2024</x:v>
      </x:c>
      <x:c r="F26" s="75" t="n">
        <x:v>7</x:v>
      </x:c>
      <x:c r="G26" s="75" t="str">
        <x:v>https://dps.psx.com.pk/historical</x:v>
      </x:c>
      <x:c r="H26" s="75" t="str">
        <x:v>{"symbol":"FCCL","year":"2024","month":"7"}</x:v>
      </x:c>
      <x:c r="I26" s="75" t="str">
        <x:v>7ab633f8df8cf5684c0224c214e5ef3e3c3f5ce527f3a4b139fdb61f7aa39b1c</x:v>
      </x:c>
      <x:c r="J26" s="75" t="str">
        <x:v>Jul 23, 2024 | 22.20 | 22.70 | 21.90 | 22.01 | 3,843,991</x:v>
      </x:c>
    </x:row>
    <x:row r="27" ht="23" customHeight="1">
      <x:c r="A27" s="190" t="d">
        <x:v>2024-07-24T00:00:00.000Z</x:v>
      </x:c>
      <x:c r="B27" s="159" t="n">
        <x:v>22</x:v>
      </x:c>
      <x:c r="C27" s="191" t="n">
        <x:v>5279016</x:v>
      </x:c>
      <x:c r="D27" s="75" t="n">
        <x:v>2025</x:v>
      </x:c>
      <x:c r="E27" s="75" t="n">
        <x:v>2024</x:v>
      </x:c>
      <x:c r="F27" s="75" t="n">
        <x:v>7</x:v>
      </x:c>
      <x:c r="G27" s="75" t="str">
        <x:v>https://dps.psx.com.pk/historical</x:v>
      </x:c>
      <x:c r="H27" s="75" t="str">
        <x:v>{"symbol":"FCCL","year":"2024","month":"7"}</x:v>
      </x:c>
      <x:c r="I27" s="75" t="str">
        <x:v>7ab633f8df8cf5684c0224c214e5ef3e3c3f5ce527f3a4b139fdb61f7aa39b1c</x:v>
      </x:c>
      <x:c r="J27" s="75" t="str">
        <x:v>Jul 24, 2024 | 22.20 | 22.25 | 21.81 | 22.00 | 5,279,016</x:v>
      </x:c>
    </x:row>
    <x:row r="28" ht="23" customHeight="1">
      <x:c r="A28" s="190" t="d">
        <x:v>2024-07-25T00:00:00.000Z</x:v>
      </x:c>
      <x:c r="B28" s="159" t="n">
        <x:v>21.83</x:v>
      </x:c>
      <x:c r="C28" s="191" t="n">
        <x:v>4371610</x:v>
      </x:c>
      <x:c r="D28" s="75" t="n">
        <x:v>2025</x:v>
      </x:c>
      <x:c r="E28" s="75" t="n">
        <x:v>2024</x:v>
      </x:c>
      <x:c r="F28" s="75" t="n">
        <x:v>7</x:v>
      </x:c>
      <x:c r="G28" s="75" t="str">
        <x:v>https://dps.psx.com.pk/historical</x:v>
      </x:c>
      <x:c r="H28" s="75" t="str">
        <x:v>{"symbol":"FCCL","year":"2024","month":"7"}</x:v>
      </x:c>
      <x:c r="I28" s="75" t="str">
        <x:v>7ab633f8df8cf5684c0224c214e5ef3e3c3f5ce527f3a4b139fdb61f7aa39b1c</x:v>
      </x:c>
      <x:c r="J28" s="75" t="str">
        <x:v>Jul 25, 2024 | 22.00 | 22.42 | 21.70 | 21.83 | 4,371,610</x:v>
      </x:c>
    </x:row>
    <x:row r="29" ht="23" customHeight="1">
      <x:c r="A29" s="190" t="d">
        <x:v>2024-07-26T00:00:00.000Z</x:v>
      </x:c>
      <x:c r="B29" s="159" t="n">
        <x:v>21.74</x:v>
      </x:c>
      <x:c r="C29" s="191" t="n">
        <x:v>4790816</x:v>
      </x:c>
      <x:c r="D29" s="75" t="n">
        <x:v>2025</x:v>
      </x:c>
      <x:c r="E29" s="75" t="n">
        <x:v>2024</x:v>
      </x:c>
      <x:c r="F29" s="75" t="n">
        <x:v>7</x:v>
      </x:c>
      <x:c r="G29" s="75" t="str">
        <x:v>https://dps.psx.com.pk/historical</x:v>
      </x:c>
      <x:c r="H29" s="75" t="str">
        <x:v>{"symbol":"FCCL","year":"2024","month":"7"}</x:v>
      </x:c>
      <x:c r="I29" s="75" t="str">
        <x:v>7ab633f8df8cf5684c0224c214e5ef3e3c3f5ce527f3a4b139fdb61f7aa39b1c</x:v>
      </x:c>
      <x:c r="J29" s="75" t="str">
        <x:v>Jul 26, 2024 | 22.00 | 22.00 | 21.45 | 21.74 | 4,790,816</x:v>
      </x:c>
    </x:row>
    <x:row r="30" ht="23" customHeight="1">
      <x:c r="A30" s="190" t="d">
        <x:v>2024-07-29T00:00:00.000Z</x:v>
      </x:c>
      <x:c r="B30" s="159" t="n">
        <x:v>22.52</x:v>
      </x:c>
      <x:c r="C30" s="191" t="n">
        <x:v>12762187</x:v>
      </x:c>
      <x:c r="D30" s="75" t="n">
        <x:v>2025</x:v>
      </x:c>
      <x:c r="E30" s="75" t="n">
        <x:v>2024</x:v>
      </x:c>
      <x:c r="F30" s="75" t="n">
        <x:v>7</x:v>
      </x:c>
      <x:c r="G30" s="75" t="str">
        <x:v>https://dps.psx.com.pk/historical</x:v>
      </x:c>
      <x:c r="H30" s="75" t="str">
        <x:v>{"symbol":"FCCL","year":"2024","month":"7"}</x:v>
      </x:c>
      <x:c r="I30" s="75" t="str">
        <x:v>7ab633f8df8cf5684c0224c214e5ef3e3c3f5ce527f3a4b139fdb61f7aa39b1c</x:v>
      </x:c>
      <x:c r="J30" s="75" t="str">
        <x:v>Jul 29, 2024 | 21.95 | 22.66 | 21.55 | 22.52 | 12,762,187</x:v>
      </x:c>
    </x:row>
    <x:row r="31" ht="23" customHeight="1">
      <x:c r="A31" s="190" t="d">
        <x:v>2024-07-30T00:00:00.000Z</x:v>
      </x:c>
      <x:c r="B31" s="159" t="n">
        <x:v>21.63</x:v>
      </x:c>
      <x:c r="C31" s="191" t="n">
        <x:v>15819905</x:v>
      </x:c>
      <x:c r="D31" s="75" t="n">
        <x:v>2025</x:v>
      </x:c>
      <x:c r="E31" s="75" t="n">
        <x:v>2024</x:v>
      </x:c>
      <x:c r="F31" s="75" t="n">
        <x:v>7</x:v>
      </x:c>
      <x:c r="G31" s="75" t="str">
        <x:v>https://dps.psx.com.pk/historical</x:v>
      </x:c>
      <x:c r="H31" s="75" t="str">
        <x:v>{"symbol":"FCCL","year":"2024","month":"7"}</x:v>
      </x:c>
      <x:c r="I31" s="75" t="str">
        <x:v>7ab633f8df8cf5684c0224c214e5ef3e3c3f5ce527f3a4b139fdb61f7aa39b1c</x:v>
      </x:c>
      <x:c r="J31" s="75" t="str">
        <x:v>Jul 30, 2024 | 22.75 | 22.75 | 21.53 | 21.63 | 15,819,905</x:v>
      </x:c>
    </x:row>
    <x:row r="32" ht="23" customHeight="1">
      <x:c r="A32" s="190" t="d">
        <x:v>2024-07-31T00:00:00.000Z</x:v>
      </x:c>
      <x:c r="B32" s="159" t="n">
        <x:v>20.77</x:v>
      </x:c>
      <x:c r="C32" s="191" t="n">
        <x:v>4792998</x:v>
      </x:c>
      <x:c r="D32" s="75" t="n">
        <x:v>2025</x:v>
      </x:c>
      <x:c r="E32" s="75" t="n">
        <x:v>2024</x:v>
      </x:c>
      <x:c r="F32" s="75" t="n">
        <x:v>7</x:v>
      </x:c>
      <x:c r="G32" s="75" t="str">
        <x:v>https://dps.psx.com.pk/historical</x:v>
      </x:c>
      <x:c r="H32" s="75" t="str">
        <x:v>{"symbol":"FCCL","year":"2024","month":"7"}</x:v>
      </x:c>
      <x:c r="I32" s="75" t="str">
        <x:v>7ab633f8df8cf5684c0224c214e5ef3e3c3f5ce527f3a4b139fdb61f7aa39b1c</x:v>
      </x:c>
      <x:c r="J32" s="75" t="str">
        <x:v>Jul 31, 2024 | 21.65 | 21.71 | 20.50 | 20.77 | 4,792,998</x:v>
      </x:c>
    </x:row>
    <x:row r="33" ht="23" customHeight="1">
      <x:c r="A33" s="190" t="d">
        <x:v>2024-08-01T00:00:00.000Z</x:v>
      </x:c>
      <x:c r="B33" s="159" t="n">
        <x:v>20.83</x:v>
      </x:c>
      <x:c r="C33" s="191" t="n">
        <x:v>11547096</x:v>
      </x:c>
      <x:c r="D33" s="75" t="n">
        <x:v>2025</x:v>
      </x:c>
      <x:c r="E33" s="75" t="n">
        <x:v>2024</x:v>
      </x:c>
      <x:c r="F33" s="75" t="n">
        <x:v>8</x:v>
      </x:c>
      <x:c r="G33" s="75" t="str">
        <x:v>https://dps.psx.com.pk/historical</x:v>
      </x:c>
      <x:c r="H33" s="75" t="str">
        <x:v>{"symbol":"FCCL","year":"2024","month":"8"}</x:v>
      </x:c>
      <x:c r="I33" s="75" t="str">
        <x:v>4b26fbaed8bbc764d39ed3ac4e622ef5bbeba3f74f8b5b81da5dd5190af066aa</x:v>
      </x:c>
      <x:c r="J33" s="75" t="str">
        <x:v>Aug 1, 2024 | 20.95 | 21.30 | 20.25 | 20.83 | 11,547,096</x:v>
      </x:c>
    </x:row>
    <x:row r="34" ht="23" customHeight="1">
      <x:c r="A34" s="190" t="d">
        <x:v>2024-08-02T00:00:00.000Z</x:v>
      </x:c>
      <x:c r="B34" s="159" t="n">
        <x:v>20.97</x:v>
      </x:c>
      <x:c r="C34" s="191" t="n">
        <x:v>12922634</x:v>
      </x:c>
      <x:c r="D34" s="75" t="n">
        <x:v>2025</x:v>
      </x:c>
      <x:c r="E34" s="75" t="n">
        <x:v>2024</x:v>
      </x:c>
      <x:c r="F34" s="75" t="n">
        <x:v>8</x:v>
      </x:c>
      <x:c r="G34" s="75" t="str">
        <x:v>https://dps.psx.com.pk/historical</x:v>
      </x:c>
      <x:c r="H34" s="75" t="str">
        <x:v>{"symbol":"FCCL","year":"2024","month":"8"}</x:v>
      </x:c>
      <x:c r="I34" s="75" t="str">
        <x:v>4b26fbaed8bbc764d39ed3ac4e622ef5bbeba3f74f8b5b81da5dd5190af066aa</x:v>
      </x:c>
      <x:c r="J34" s="75" t="str">
        <x:v>Aug 2, 2024 | 21.08 | 21.48 | 20.31 | 20.97 | 12,922,634</x:v>
      </x:c>
    </x:row>
    <x:row r="35" ht="23" customHeight="1">
      <x:c r="A35" s="190" t="d">
        <x:v>2024-08-05T00:00:00.000Z</x:v>
      </x:c>
      <x:c r="B35" s="159" t="n">
        <x:v>20.16</x:v>
      </x:c>
      <x:c r="C35" s="191" t="n">
        <x:v>6752143</x:v>
      </x:c>
      <x:c r="D35" s="75" t="n">
        <x:v>2025</x:v>
      </x:c>
      <x:c r="E35" s="75" t="n">
        <x:v>2024</x:v>
      </x:c>
      <x:c r="F35" s="75" t="n">
        <x:v>8</x:v>
      </x:c>
      <x:c r="G35" s="75" t="str">
        <x:v>https://dps.psx.com.pk/historical</x:v>
      </x:c>
      <x:c r="H35" s="75" t="str">
        <x:v>{"symbol":"FCCL","year":"2024","month":"8"}</x:v>
      </x:c>
      <x:c r="I35" s="75" t="str">
        <x:v>4b26fbaed8bbc764d39ed3ac4e622ef5bbeba3f74f8b5b81da5dd5190af066aa</x:v>
      </x:c>
      <x:c r="J35" s="75" t="str">
        <x:v>Aug 5, 2024 | 20.70 | 20.75 | 19.82 | 20.16 | 6,752,143</x:v>
      </x:c>
    </x:row>
    <x:row r="36" ht="23" customHeight="1">
      <x:c r="A36" s="190" t="d">
        <x:v>2024-08-06T00:00:00.000Z</x:v>
      </x:c>
      <x:c r="B36" s="159" t="n">
        <x:v>20.01</x:v>
      </x:c>
      <x:c r="C36" s="191" t="n">
        <x:v>7426543</x:v>
      </x:c>
      <x:c r="D36" s="75" t="n">
        <x:v>2025</x:v>
      </x:c>
      <x:c r="E36" s="75" t="n">
        <x:v>2024</x:v>
      </x:c>
      <x:c r="F36" s="75" t="n">
        <x:v>8</x:v>
      </x:c>
      <x:c r="G36" s="75" t="str">
        <x:v>https://dps.psx.com.pk/historical</x:v>
      </x:c>
      <x:c r="H36" s="75" t="str">
        <x:v>{"symbol":"FCCL","year":"2024","month":"8"}</x:v>
      </x:c>
      <x:c r="I36" s="75" t="str">
        <x:v>4b26fbaed8bbc764d39ed3ac4e622ef5bbeba3f74f8b5b81da5dd5190af066aa</x:v>
      </x:c>
      <x:c r="J36" s="75" t="str">
        <x:v>Aug 6, 2024 | 20.25 | 20.55 | 19.55 | 20.01 | 7,426,543</x:v>
      </x:c>
    </x:row>
    <x:row r="37" ht="23" customHeight="1">
      <x:c r="A37" s="190" t="d">
        <x:v>2024-08-07T00:00:00.000Z</x:v>
      </x:c>
      <x:c r="B37" s="159" t="n">
        <x:v>20.02</x:v>
      </x:c>
      <x:c r="C37" s="191" t="n">
        <x:v>4182365</x:v>
      </x:c>
      <x:c r="D37" s="75" t="n">
        <x:v>2025</x:v>
      </x:c>
      <x:c r="E37" s="75" t="n">
        <x:v>2024</x:v>
      </x:c>
      <x:c r="F37" s="75" t="n">
        <x:v>8</x:v>
      </x:c>
      <x:c r="G37" s="75" t="str">
        <x:v>https://dps.psx.com.pk/historical</x:v>
      </x:c>
      <x:c r="H37" s="75" t="str">
        <x:v>{"symbol":"FCCL","year":"2024","month":"8"}</x:v>
      </x:c>
      <x:c r="I37" s="75" t="str">
        <x:v>4b26fbaed8bbc764d39ed3ac4e622ef5bbeba3f74f8b5b81da5dd5190af066aa</x:v>
      </x:c>
      <x:c r="J37" s="75" t="str">
        <x:v>Aug 7, 2024 | 20.01 | 20.58 | 19.95 | 20.02 | 4,182,365</x:v>
      </x:c>
    </x:row>
    <x:row r="38" ht="23" customHeight="1">
      <x:c r="A38" s="190" t="d">
        <x:v>2024-08-08T00:00:00.000Z</x:v>
      </x:c>
      <x:c r="B38" s="159" t="n">
        <x:v>20.76</x:v>
      </x:c>
      <x:c r="C38" s="191" t="n">
        <x:v>6366489</x:v>
      </x:c>
      <x:c r="D38" s="75" t="n">
        <x:v>2025</x:v>
      </x:c>
      <x:c r="E38" s="75" t="n">
        <x:v>2024</x:v>
      </x:c>
      <x:c r="F38" s="75" t="n">
        <x:v>8</x:v>
      </x:c>
      <x:c r="G38" s="75" t="str">
        <x:v>https://dps.psx.com.pk/historical</x:v>
      </x:c>
      <x:c r="H38" s="75" t="str">
        <x:v>{"symbol":"FCCL","year":"2024","month":"8"}</x:v>
      </x:c>
      <x:c r="I38" s="75" t="str">
        <x:v>4b26fbaed8bbc764d39ed3ac4e622ef5bbeba3f74f8b5b81da5dd5190af066aa</x:v>
      </x:c>
      <x:c r="J38" s="75" t="str">
        <x:v>Aug 8, 2024 | 20.25 | 20.94 | 20.13 | 20.76 | 6,366,489</x:v>
      </x:c>
    </x:row>
    <x:row r="39" ht="23" customHeight="1">
      <x:c r="A39" s="190" t="d">
        <x:v>2024-08-09T00:00:00.000Z</x:v>
      </x:c>
      <x:c r="B39" s="159" t="n">
        <x:v>20.93</x:v>
      </x:c>
      <x:c r="C39" s="191" t="n">
        <x:v>2668758</x:v>
      </x:c>
      <x:c r="D39" s="75" t="n">
        <x:v>2025</x:v>
      </x:c>
      <x:c r="E39" s="75" t="n">
        <x:v>2024</x:v>
      </x:c>
      <x:c r="F39" s="75" t="n">
        <x:v>8</x:v>
      </x:c>
      <x:c r="G39" s="75" t="str">
        <x:v>https://dps.psx.com.pk/historical</x:v>
      </x:c>
      <x:c r="H39" s="75" t="str">
        <x:v>{"symbol":"FCCL","year":"2024","month":"8"}</x:v>
      </x:c>
      <x:c r="I39" s="75" t="str">
        <x:v>4b26fbaed8bbc764d39ed3ac4e622ef5bbeba3f74f8b5b81da5dd5190af066aa</x:v>
      </x:c>
      <x:c r="J39" s="75" t="str">
        <x:v>Aug 9, 2024 | 20.91 | 21.00 | 20.62 | 20.93 | 2,668,758</x:v>
      </x:c>
    </x:row>
    <x:row r="40" ht="23" customHeight="1">
      <x:c r="A40" s="190" t="d">
        <x:v>2024-08-12T00:00:00.000Z</x:v>
      </x:c>
      <x:c r="B40" s="159" t="n">
        <x:v>20.3</x:v>
      </x:c>
      <x:c r="C40" s="191" t="n">
        <x:v>5324084</x:v>
      </x:c>
      <x:c r="D40" s="75" t="n">
        <x:v>2025</x:v>
      </x:c>
      <x:c r="E40" s="75" t="n">
        <x:v>2024</x:v>
      </x:c>
      <x:c r="F40" s="75" t="n">
        <x:v>8</x:v>
      </x:c>
      <x:c r="G40" s="75" t="str">
        <x:v>https://dps.psx.com.pk/historical</x:v>
      </x:c>
      <x:c r="H40" s="75" t="str">
        <x:v>{"symbol":"FCCL","year":"2024","month":"8"}</x:v>
      </x:c>
      <x:c r="I40" s="75" t="str">
        <x:v>4b26fbaed8bbc764d39ed3ac4e622ef5bbeba3f74f8b5b81da5dd5190af066aa</x:v>
      </x:c>
      <x:c r="J40" s="75" t="str">
        <x:v>Aug 12, 2024 | 21.00 | 21.15 | 19.75 | 20.30 | 5,324,084</x:v>
      </x:c>
    </x:row>
    <x:row r="41" ht="23" customHeight="1">
      <x:c r="A41" s="190" t="d">
        <x:v>2024-08-13T00:00:00.000Z</x:v>
      </x:c>
      <x:c r="B41" s="159" t="n">
        <x:v>20.09</x:v>
      </x:c>
      <x:c r="C41" s="191" t="n">
        <x:v>2975141</x:v>
      </x:c>
      <x:c r="D41" s="75" t="n">
        <x:v>2025</x:v>
      </x:c>
      <x:c r="E41" s="75" t="n">
        <x:v>2024</x:v>
      </x:c>
      <x:c r="F41" s="75" t="n">
        <x:v>8</x:v>
      </x:c>
      <x:c r="G41" s="75" t="str">
        <x:v>https://dps.psx.com.pk/historical</x:v>
      </x:c>
      <x:c r="H41" s="75" t="str">
        <x:v>{"symbol":"FCCL","year":"2024","month":"8"}</x:v>
      </x:c>
      <x:c r="I41" s="75" t="str">
        <x:v>4b26fbaed8bbc764d39ed3ac4e622ef5bbeba3f74f8b5b81da5dd5190af066aa</x:v>
      </x:c>
      <x:c r="J41" s="75" t="str">
        <x:v>Aug 13, 2024 | 20.15 | 20.35 | 20.00 | 20.09 | 2,975,141</x:v>
      </x:c>
    </x:row>
    <x:row r="42" ht="23" customHeight="1">
      <x:c r="A42" s="190" t="d">
        <x:v>2024-08-15T00:00:00.000Z</x:v>
      </x:c>
      <x:c r="B42" s="159" t="n">
        <x:v>20.11</x:v>
      </x:c>
      <x:c r="C42" s="191" t="n">
        <x:v>2827773</x:v>
      </x:c>
      <x:c r="D42" s="75" t="n">
        <x:v>2025</x:v>
      </x:c>
      <x:c r="E42" s="75" t="n">
        <x:v>2024</x:v>
      </x:c>
      <x:c r="F42" s="75" t="n">
        <x:v>8</x:v>
      </x:c>
      <x:c r="G42" s="75" t="str">
        <x:v>https://dps.psx.com.pk/historical</x:v>
      </x:c>
      <x:c r="H42" s="75" t="str">
        <x:v>{"symbol":"FCCL","year":"2024","month":"8"}</x:v>
      </x:c>
      <x:c r="I42" s="75" t="str">
        <x:v>4b26fbaed8bbc764d39ed3ac4e622ef5bbeba3f74f8b5b81da5dd5190af066aa</x:v>
      </x:c>
      <x:c r="J42" s="75" t="str">
        <x:v>Aug 15, 2024 | 20.05 | 20.35 | 19.95 | 20.11 | 2,827,773</x:v>
      </x:c>
    </x:row>
    <x:row r="43" ht="23" customHeight="1">
      <x:c r="A43" s="190" t="d">
        <x:v>2024-08-16T00:00:00.000Z</x:v>
      </x:c>
      <x:c r="B43" s="159" t="n">
        <x:v>20.74</x:v>
      </x:c>
      <x:c r="C43" s="191" t="n">
        <x:v>9760736</x:v>
      </x:c>
      <x:c r="D43" s="75" t="n">
        <x:v>2025</x:v>
      </x:c>
      <x:c r="E43" s="75" t="n">
        <x:v>2024</x:v>
      </x:c>
      <x:c r="F43" s="75" t="n">
        <x:v>8</x:v>
      </x:c>
      <x:c r="G43" s="75" t="str">
        <x:v>https://dps.psx.com.pk/historical</x:v>
      </x:c>
      <x:c r="H43" s="75" t="str">
        <x:v>{"symbol":"FCCL","year":"2024","month":"8"}</x:v>
      </x:c>
      <x:c r="I43" s="75" t="str">
        <x:v>4b26fbaed8bbc764d39ed3ac4e622ef5bbeba3f74f8b5b81da5dd5190af066aa</x:v>
      </x:c>
      <x:c r="J43" s="75" t="str">
        <x:v>Aug 16, 2024 | 20.15 | 21.70 | 20.11 | 20.74 | 9,760,736</x:v>
      </x:c>
    </x:row>
    <x:row r="44" ht="23" customHeight="1">
      <x:c r="A44" s="190" t="d">
        <x:v>2024-08-19T00:00:00.000Z</x:v>
      </x:c>
      <x:c r="B44" s="159" t="n">
        <x:v>20.69</x:v>
      </x:c>
      <x:c r="C44" s="191" t="n">
        <x:v>4684994</x:v>
      </x:c>
      <x:c r="D44" s="75" t="n">
        <x:v>2025</x:v>
      </x:c>
      <x:c r="E44" s="75" t="n">
        <x:v>2024</x:v>
      </x:c>
      <x:c r="F44" s="75" t="n">
        <x:v>8</x:v>
      </x:c>
      <x:c r="G44" s="75" t="str">
        <x:v>https://dps.psx.com.pk/historical</x:v>
      </x:c>
      <x:c r="H44" s="75" t="str">
        <x:v>{"symbol":"FCCL","year":"2024","month":"8"}</x:v>
      </x:c>
      <x:c r="I44" s="75" t="str">
        <x:v>4b26fbaed8bbc764d39ed3ac4e622ef5bbeba3f74f8b5b81da5dd5190af066aa</x:v>
      </x:c>
      <x:c r="J44" s="75" t="str">
        <x:v>Aug 19, 2024 | 20.84 | 21.17 | 20.54 | 20.69 | 4,684,994</x:v>
      </x:c>
    </x:row>
    <x:row r="45" ht="23" customHeight="1">
      <x:c r="A45" s="190" t="d">
        <x:v>2024-08-20T00:00:00.000Z</x:v>
      </x:c>
      <x:c r="B45" s="159" t="n">
        <x:v>20.61</x:v>
      </x:c>
      <x:c r="C45" s="191" t="n">
        <x:v>5469571</x:v>
      </x:c>
      <x:c r="D45" s="75" t="n">
        <x:v>2025</x:v>
      </x:c>
      <x:c r="E45" s="75" t="n">
        <x:v>2024</x:v>
      </x:c>
      <x:c r="F45" s="75" t="n">
        <x:v>8</x:v>
      </x:c>
      <x:c r="G45" s="75" t="str">
        <x:v>https://dps.psx.com.pk/historical</x:v>
      </x:c>
      <x:c r="H45" s="75" t="str">
        <x:v>{"symbol":"FCCL","year":"2024","month":"8"}</x:v>
      </x:c>
      <x:c r="I45" s="75" t="str">
        <x:v>4b26fbaed8bbc764d39ed3ac4e622ef5bbeba3f74f8b5b81da5dd5190af066aa</x:v>
      </x:c>
      <x:c r="J45" s="75" t="str">
        <x:v>Aug 20, 2024 | 20.70 | 20.80 | 20.45 | 20.61 | 5,469,571</x:v>
      </x:c>
    </x:row>
    <x:row r="46" ht="23" customHeight="1">
      <x:c r="A46" s="190" t="d">
        <x:v>2024-08-21T00:00:00.000Z</x:v>
      </x:c>
      <x:c r="B46" s="159" t="n">
        <x:v>21.41</x:v>
      </x:c>
      <x:c r="C46" s="191" t="n">
        <x:v>5608753</x:v>
      </x:c>
      <x:c r="D46" s="75" t="n">
        <x:v>2025</x:v>
      </x:c>
      <x:c r="E46" s="75" t="n">
        <x:v>2024</x:v>
      </x:c>
      <x:c r="F46" s="75" t="n">
        <x:v>8</x:v>
      </x:c>
      <x:c r="G46" s="75" t="str">
        <x:v>https://dps.psx.com.pk/historical</x:v>
      </x:c>
      <x:c r="H46" s="75" t="str">
        <x:v>{"symbol":"FCCL","year":"2024","month":"8"}</x:v>
      </x:c>
      <x:c r="I46" s="75" t="str">
        <x:v>4b26fbaed8bbc764d39ed3ac4e622ef5bbeba3f74f8b5b81da5dd5190af066aa</x:v>
      </x:c>
      <x:c r="J46" s="75" t="str">
        <x:v>Aug 21, 2024 | 20.61 | 21.66 | 20.60 | 21.41 | 5,608,753</x:v>
      </x:c>
    </x:row>
    <x:row r="47" ht="23" customHeight="1">
      <x:c r="A47" s="190" t="d">
        <x:v>2024-08-22T00:00:00.000Z</x:v>
      </x:c>
      <x:c r="B47" s="159" t="n">
        <x:v>22.38</x:v>
      </x:c>
      <x:c r="C47" s="191" t="n">
        <x:v>15855662</x:v>
      </x:c>
      <x:c r="D47" s="75" t="n">
        <x:v>2025</x:v>
      </x:c>
      <x:c r="E47" s="75" t="n">
        <x:v>2024</x:v>
      </x:c>
      <x:c r="F47" s="75" t="n">
        <x:v>8</x:v>
      </x:c>
      <x:c r="G47" s="75" t="str">
        <x:v>https://dps.psx.com.pk/historical</x:v>
      </x:c>
      <x:c r="H47" s="75" t="str">
        <x:v>{"symbol":"FCCL","year":"2024","month":"8"}</x:v>
      </x:c>
      <x:c r="I47" s="75" t="str">
        <x:v>4b26fbaed8bbc764d39ed3ac4e622ef5bbeba3f74f8b5b81da5dd5190af066aa</x:v>
      </x:c>
      <x:c r="J47" s="75" t="str">
        <x:v>Aug 22, 2024 | 21.59 | 23.05 | 21.59 | 22.38 | 15,855,662</x:v>
      </x:c>
    </x:row>
    <x:row r="48" ht="23" customHeight="1">
      <x:c r="A48" s="190" t="d">
        <x:v>2024-08-23T00:00:00.000Z</x:v>
      </x:c>
      <x:c r="B48" s="159" t="n">
        <x:v>22.08</x:v>
      </x:c>
      <x:c r="C48" s="191" t="n">
        <x:v>1840749</x:v>
      </x:c>
      <x:c r="D48" s="75" t="n">
        <x:v>2025</x:v>
      </x:c>
      <x:c r="E48" s="75" t="n">
        <x:v>2024</x:v>
      </x:c>
      <x:c r="F48" s="75" t="n">
        <x:v>8</x:v>
      </x:c>
      <x:c r="G48" s="75" t="str">
        <x:v>https://dps.psx.com.pk/historical</x:v>
      </x:c>
      <x:c r="H48" s="75" t="str">
        <x:v>{"symbol":"FCCL","year":"2024","month":"8"}</x:v>
      </x:c>
      <x:c r="I48" s="75" t="str">
        <x:v>4b26fbaed8bbc764d39ed3ac4e622ef5bbeba3f74f8b5b81da5dd5190af066aa</x:v>
      </x:c>
      <x:c r="J48" s="75" t="str">
        <x:v>Aug 23, 2024 | 22.48 | 22.49 | 22.02 | 22.08 | 1,840,749</x:v>
      </x:c>
    </x:row>
    <x:row r="49" ht="23" customHeight="1">
      <x:c r="A49" s="190" t="d">
        <x:v>2024-08-26T00:00:00.000Z</x:v>
      </x:c>
      <x:c r="B49" s="159" t="n">
        <x:v>21.72</x:v>
      </x:c>
      <x:c r="C49" s="191" t="n">
        <x:v>1266818</x:v>
      </x:c>
      <x:c r="D49" s="75" t="n">
        <x:v>2025</x:v>
      </x:c>
      <x:c r="E49" s="75" t="n">
        <x:v>2024</x:v>
      </x:c>
      <x:c r="F49" s="75" t="n">
        <x:v>8</x:v>
      </x:c>
      <x:c r="G49" s="75" t="str">
        <x:v>https://dps.psx.com.pk/historical</x:v>
      </x:c>
      <x:c r="H49" s="75" t="str">
        <x:v>{"symbol":"FCCL","year":"2024","month":"8"}</x:v>
      </x:c>
      <x:c r="I49" s="75" t="str">
        <x:v>4b26fbaed8bbc764d39ed3ac4e622ef5bbeba3f74f8b5b81da5dd5190af066aa</x:v>
      </x:c>
      <x:c r="J49" s="75" t="str">
        <x:v>Aug 26, 2024 | 22.11 | 22.39 | 21.61 | 21.72 | 1,266,818</x:v>
      </x:c>
    </x:row>
    <x:row r="50" ht="23" customHeight="1">
      <x:c r="A50" s="190" t="d">
        <x:v>2024-08-27T00:00:00.000Z</x:v>
      </x:c>
      <x:c r="B50" s="159" t="n">
        <x:v>22.31</x:v>
      </x:c>
      <x:c r="C50" s="191" t="n">
        <x:v>26082389</x:v>
      </x:c>
      <x:c r="D50" s="75" t="n">
        <x:v>2025</x:v>
      </x:c>
      <x:c r="E50" s="75" t="n">
        <x:v>2024</x:v>
      </x:c>
      <x:c r="F50" s="75" t="n">
        <x:v>8</x:v>
      </x:c>
      <x:c r="G50" s="75" t="str">
        <x:v>https://dps.psx.com.pk/historical</x:v>
      </x:c>
      <x:c r="H50" s="75" t="str">
        <x:v>{"symbol":"FCCL","year":"2024","month":"8"}</x:v>
      </x:c>
      <x:c r="I50" s="75" t="str">
        <x:v>4b26fbaed8bbc764d39ed3ac4e622ef5bbeba3f74f8b5b81da5dd5190af066aa</x:v>
      </x:c>
      <x:c r="J50" s="75" t="str">
        <x:v>Aug 27, 2024 | 21.95 | 23.48 | 21.25 | 22.31 | 26,082,389</x:v>
      </x:c>
    </x:row>
    <x:row r="51" ht="23" customHeight="1">
      <x:c r="A51" s="190" t="d">
        <x:v>2024-08-28T00:00:00.000Z</x:v>
      </x:c>
      <x:c r="B51" s="159" t="n">
        <x:v>22.17</x:v>
      </x:c>
      <x:c r="C51" s="191" t="n">
        <x:v>2615792</x:v>
      </x:c>
      <x:c r="D51" s="75" t="n">
        <x:v>2025</x:v>
      </x:c>
      <x:c r="E51" s="75" t="n">
        <x:v>2024</x:v>
      </x:c>
      <x:c r="F51" s="75" t="n">
        <x:v>8</x:v>
      </x:c>
      <x:c r="G51" s="75" t="str">
        <x:v>https://dps.psx.com.pk/historical</x:v>
      </x:c>
      <x:c r="H51" s="75" t="str">
        <x:v>{"symbol":"FCCL","year":"2024","month":"8"}</x:v>
      </x:c>
      <x:c r="I51" s="75" t="str">
        <x:v>4b26fbaed8bbc764d39ed3ac4e622ef5bbeba3f74f8b5b81da5dd5190af066aa</x:v>
      </x:c>
      <x:c r="J51" s="75" t="str">
        <x:v>Aug 28, 2024 | 22.40 | 22.45 | 21.90 | 22.17 | 2,615,792</x:v>
      </x:c>
    </x:row>
    <x:row r="52" ht="23" customHeight="1">
      <x:c r="A52" s="190" t="d">
        <x:v>2024-08-29T00:00:00.000Z</x:v>
      </x:c>
      <x:c r="B52" s="159" t="n">
        <x:v>22.15</x:v>
      </x:c>
      <x:c r="C52" s="191" t="n">
        <x:v>1104352</x:v>
      </x:c>
      <x:c r="D52" s="75" t="n">
        <x:v>2025</x:v>
      </x:c>
      <x:c r="E52" s="75" t="n">
        <x:v>2024</x:v>
      </x:c>
      <x:c r="F52" s="75" t="n">
        <x:v>8</x:v>
      </x:c>
      <x:c r="G52" s="75" t="str">
        <x:v>https://dps.psx.com.pk/historical</x:v>
      </x:c>
      <x:c r="H52" s="75" t="str">
        <x:v>{"symbol":"FCCL","year":"2024","month":"8"}</x:v>
      </x:c>
      <x:c r="I52" s="75" t="str">
        <x:v>4b26fbaed8bbc764d39ed3ac4e622ef5bbeba3f74f8b5b81da5dd5190af066aa</x:v>
      </x:c>
      <x:c r="J52" s="75" t="str">
        <x:v>Aug 29, 2024 | 22.20 | 22.29 | 22.00 | 22.15 | 1,104,352</x:v>
      </x:c>
    </x:row>
    <x:row r="53" ht="23" customHeight="1">
      <x:c r="A53" s="190" t="d">
        <x:v>2024-08-30T00:00:00.000Z</x:v>
      </x:c>
      <x:c r="B53" s="159" t="n">
        <x:v>21.88</x:v>
      </x:c>
      <x:c r="C53" s="191" t="n">
        <x:v>2248429</x:v>
      </x:c>
      <x:c r="D53" s="75" t="n">
        <x:v>2025</x:v>
      </x:c>
      <x:c r="E53" s="75" t="n">
        <x:v>2024</x:v>
      </x:c>
      <x:c r="F53" s="75" t="n">
        <x:v>8</x:v>
      </x:c>
      <x:c r="G53" s="75" t="str">
        <x:v>https://dps.psx.com.pk/historical</x:v>
      </x:c>
      <x:c r="H53" s="75" t="str">
        <x:v>{"symbol":"FCCL","year":"2024","month":"8"}</x:v>
      </x:c>
      <x:c r="I53" s="75" t="str">
        <x:v>4b26fbaed8bbc764d39ed3ac4e622ef5bbeba3f74f8b5b81da5dd5190af066aa</x:v>
      </x:c>
      <x:c r="J53" s="75" t="str">
        <x:v>Aug 30, 2024 | 22.35 | 22.35 | 21.80 | 21.88 | 2,248,429</x:v>
      </x:c>
    </x:row>
    <x:row r="54" ht="23" customHeight="1">
      <x:c r="A54" s="190" t="d">
        <x:v>2024-09-02T00:00:00.000Z</x:v>
      </x:c>
      <x:c r="B54" s="159" t="n">
        <x:v>21.81</x:v>
      </x:c>
      <x:c r="C54" s="191" t="n">
        <x:v>6942410</x:v>
      </x:c>
      <x:c r="D54" s="75" t="n">
        <x:v>2025</x:v>
      </x:c>
      <x:c r="E54" s="75" t="n">
        <x:v>2024</x:v>
      </x:c>
      <x:c r="F54" s="75" t="n">
        <x:v>9</x:v>
      </x:c>
      <x:c r="G54" s="75" t="str">
        <x:v>https://dps.psx.com.pk/historical</x:v>
      </x:c>
      <x:c r="H54" s="75" t="str">
        <x:v>{"symbol":"FCCL","year":"2024","month":"9"}</x:v>
      </x:c>
      <x:c r="I54" s="75" t="str">
        <x:v>83ce1b7ccea7acc3313c715a849facce0bb0881514dd9937e9a852c0647430af</x:v>
      </x:c>
      <x:c r="J54" s="75" t="str">
        <x:v>Sep 2, 2024 | 22.00 | 22.20 | 21.65 | 21.81 | 6,942,410</x:v>
      </x:c>
    </x:row>
    <x:row r="55" ht="23" customHeight="1">
      <x:c r="A55" s="190" t="d">
        <x:v>2024-09-03T00:00:00.000Z</x:v>
      </x:c>
      <x:c r="B55" s="159" t="n">
        <x:v>22.21</x:v>
      </x:c>
      <x:c r="C55" s="191" t="n">
        <x:v>2009980</x:v>
      </x:c>
      <x:c r="D55" s="75" t="n">
        <x:v>2025</x:v>
      </x:c>
      <x:c r="E55" s="75" t="n">
        <x:v>2024</x:v>
      </x:c>
      <x:c r="F55" s="75" t="n">
        <x:v>9</x:v>
      </x:c>
      <x:c r="G55" s="75" t="str">
        <x:v>https://dps.psx.com.pk/historical</x:v>
      </x:c>
      <x:c r="H55" s="75" t="str">
        <x:v>{"symbol":"FCCL","year":"2024","month":"9"}</x:v>
      </x:c>
      <x:c r="I55" s="75" t="str">
        <x:v>83ce1b7ccea7acc3313c715a849facce0bb0881514dd9937e9a852c0647430af</x:v>
      </x:c>
      <x:c r="J55" s="75" t="str">
        <x:v>Sep 3, 2024 | 22.15 | 22.28 | 21.90 | 22.21 | 2,009,980</x:v>
      </x:c>
    </x:row>
    <x:row r="56" ht="23" customHeight="1">
      <x:c r="A56" s="190" t="d">
        <x:v>2024-09-04T00:00:00.000Z</x:v>
      </x:c>
      <x:c r="B56" s="159" t="n">
        <x:v>23.15</x:v>
      </x:c>
      <x:c r="C56" s="191" t="n">
        <x:v>8472327</x:v>
      </x:c>
      <x:c r="D56" s="75" t="n">
        <x:v>2025</x:v>
      </x:c>
      <x:c r="E56" s="75" t="n">
        <x:v>2024</x:v>
      </x:c>
      <x:c r="F56" s="75" t="n">
        <x:v>9</x:v>
      </x:c>
      <x:c r="G56" s="75" t="str">
        <x:v>https://dps.psx.com.pk/historical</x:v>
      </x:c>
      <x:c r="H56" s="75" t="str">
        <x:v>{"symbol":"FCCL","year":"2024","month":"9"}</x:v>
      </x:c>
      <x:c r="I56" s="75" t="str">
        <x:v>83ce1b7ccea7acc3313c715a849facce0bb0881514dd9937e9a852c0647430af</x:v>
      </x:c>
      <x:c r="J56" s="75" t="str">
        <x:v>Sep 4, 2024 | 22.29 | 23.36 | 22.22 | 23.15 | 8,472,327</x:v>
      </x:c>
    </x:row>
    <x:row r="57" ht="23" customHeight="1">
      <x:c r="A57" s="190" t="d">
        <x:v>2024-09-05T00:00:00.000Z</x:v>
      </x:c>
      <x:c r="B57" s="159" t="n">
        <x:v>22.95</x:v>
      </x:c>
      <x:c r="C57" s="191" t="n">
        <x:v>4139302</x:v>
      </x:c>
      <x:c r="D57" s="75" t="n">
        <x:v>2025</x:v>
      </x:c>
      <x:c r="E57" s="75" t="n">
        <x:v>2024</x:v>
      </x:c>
      <x:c r="F57" s="75" t="n">
        <x:v>9</x:v>
      </x:c>
      <x:c r="G57" s="75" t="str">
        <x:v>https://dps.psx.com.pk/historical</x:v>
      </x:c>
      <x:c r="H57" s="75" t="str">
        <x:v>{"symbol":"FCCL","year":"2024","month":"9"}</x:v>
      </x:c>
      <x:c r="I57" s="75" t="str">
        <x:v>83ce1b7ccea7acc3313c715a849facce0bb0881514dd9937e9a852c0647430af</x:v>
      </x:c>
      <x:c r="J57" s="75" t="str">
        <x:v>Sep 5, 2024 | 23.21 | 23.49 | 22.76 | 22.95 | 4,139,302</x:v>
      </x:c>
    </x:row>
    <x:row r="58" ht="23" customHeight="1">
      <x:c r="A58" s="190" t="d">
        <x:v>2024-09-06T00:00:00.000Z</x:v>
      </x:c>
      <x:c r="B58" s="159" t="n">
        <x:v>22.76</x:v>
      </x:c>
      <x:c r="C58" s="191" t="n">
        <x:v>676236</x:v>
      </x:c>
      <x:c r="D58" s="75" t="n">
        <x:v>2025</x:v>
      </x:c>
      <x:c r="E58" s="75" t="n">
        <x:v>2024</x:v>
      </x:c>
      <x:c r="F58" s="75" t="n">
        <x:v>9</x:v>
      </x:c>
      <x:c r="G58" s="75" t="str">
        <x:v>https://dps.psx.com.pk/historical</x:v>
      </x:c>
      <x:c r="H58" s="75" t="str">
        <x:v>{"symbol":"FCCL","year":"2024","month":"9"}</x:v>
      </x:c>
      <x:c r="I58" s="75" t="str">
        <x:v>83ce1b7ccea7acc3313c715a849facce0bb0881514dd9937e9a852c0647430af</x:v>
      </x:c>
      <x:c r="J58" s="75" t="str">
        <x:v>Sep 6, 2024 | 23.13 | 23.20 | 22.70 | 22.76 | 676,236</x:v>
      </x:c>
    </x:row>
    <x:row r="59" ht="23" customHeight="1">
      <x:c r="A59" s="190" t="d">
        <x:v>2024-09-09T00:00:00.000Z</x:v>
      </x:c>
      <x:c r="B59" s="159" t="n">
        <x:v>22.81</x:v>
      </x:c>
      <x:c r="C59" s="191" t="n">
        <x:v>4789894</x:v>
      </x:c>
      <x:c r="D59" s="75" t="n">
        <x:v>2025</x:v>
      </x:c>
      <x:c r="E59" s="75" t="n">
        <x:v>2024</x:v>
      </x:c>
      <x:c r="F59" s="75" t="n">
        <x:v>9</x:v>
      </x:c>
      <x:c r="G59" s="75" t="str">
        <x:v>https://dps.psx.com.pk/historical</x:v>
      </x:c>
      <x:c r="H59" s="75" t="str">
        <x:v>{"symbol":"FCCL","year":"2024","month":"9"}</x:v>
      </x:c>
      <x:c r="I59" s="75" t="str">
        <x:v>83ce1b7ccea7acc3313c715a849facce0bb0881514dd9937e9a852c0647430af</x:v>
      </x:c>
      <x:c r="J59" s="75" t="str">
        <x:v>Sep 9, 2024 | 22.80 | 23.05 | 22.59 | 22.81 | 4,789,894</x:v>
      </x:c>
    </x:row>
    <x:row r="60" ht="23" customHeight="1">
      <x:c r="A60" s="190" t="d">
        <x:v>2024-09-10T00:00:00.000Z</x:v>
      </x:c>
      <x:c r="B60" s="159" t="n">
        <x:v>23.5</x:v>
      </x:c>
      <x:c r="C60" s="191" t="n">
        <x:v>11195443</x:v>
      </x:c>
      <x:c r="D60" s="75" t="n">
        <x:v>2025</x:v>
      </x:c>
      <x:c r="E60" s="75" t="n">
        <x:v>2024</x:v>
      </x:c>
      <x:c r="F60" s="75" t="n">
        <x:v>9</x:v>
      </x:c>
      <x:c r="G60" s="75" t="str">
        <x:v>https://dps.psx.com.pk/historical</x:v>
      </x:c>
      <x:c r="H60" s="75" t="str">
        <x:v>{"symbol":"FCCL","year":"2024","month":"9"}</x:v>
      </x:c>
      <x:c r="I60" s="75" t="str">
        <x:v>83ce1b7ccea7acc3313c715a849facce0bb0881514dd9937e9a852c0647430af</x:v>
      </x:c>
      <x:c r="J60" s="75" t="str">
        <x:v>Sep 10, 2024 | 22.73 | 23.74 | 22.60 | 23.50 | 11,195,443</x:v>
      </x:c>
    </x:row>
    <x:row r="61" ht="23" customHeight="1">
      <x:c r="A61" s="190" t="d">
        <x:v>2024-09-11T00:00:00.000Z</x:v>
      </x:c>
      <x:c r="B61" s="159" t="n">
        <x:v>23.42</x:v>
      </x:c>
      <x:c r="C61" s="191" t="n">
        <x:v>6433421</x:v>
      </x:c>
      <x:c r="D61" s="75" t="n">
        <x:v>2025</x:v>
      </x:c>
      <x:c r="E61" s="75" t="n">
        <x:v>2024</x:v>
      </x:c>
      <x:c r="F61" s="75" t="n">
        <x:v>9</x:v>
      </x:c>
      <x:c r="G61" s="75" t="str">
        <x:v>https://dps.psx.com.pk/historical</x:v>
      </x:c>
      <x:c r="H61" s="75" t="str">
        <x:v>{"symbol":"FCCL","year":"2024","month":"9"}</x:v>
      </x:c>
      <x:c r="I61" s="75" t="str">
        <x:v>83ce1b7ccea7acc3313c715a849facce0bb0881514dd9937e9a852c0647430af</x:v>
      </x:c>
      <x:c r="J61" s="75" t="str">
        <x:v>Sep 11, 2024 | 23.60 | 23.87 | 23.28 | 23.42 | 6,433,421</x:v>
      </x:c>
    </x:row>
    <x:row r="62" ht="23" customHeight="1">
      <x:c r="A62" s="190" t="d">
        <x:v>2024-09-12T00:00:00.000Z</x:v>
      </x:c>
      <x:c r="B62" s="159" t="n">
        <x:v>24.54</x:v>
      </x:c>
      <x:c r="C62" s="191" t="n">
        <x:v>15550470</x:v>
      </x:c>
      <x:c r="D62" s="75" t="n">
        <x:v>2025</x:v>
      </x:c>
      <x:c r="E62" s="75" t="n">
        <x:v>2024</x:v>
      </x:c>
      <x:c r="F62" s="75" t="n">
        <x:v>9</x:v>
      </x:c>
      <x:c r="G62" s="75" t="str">
        <x:v>https://dps.psx.com.pk/historical</x:v>
      </x:c>
      <x:c r="H62" s="75" t="str">
        <x:v>{"symbol":"FCCL","year":"2024","month":"9"}</x:v>
      </x:c>
      <x:c r="I62" s="75" t="str">
        <x:v>83ce1b7ccea7acc3313c715a849facce0bb0881514dd9937e9a852c0647430af</x:v>
      </x:c>
      <x:c r="J62" s="75" t="str">
        <x:v>Sep 12, 2024 | 23.60 | 24.90 | 23.05 | 24.54 | 15,550,470</x:v>
      </x:c>
    </x:row>
    <x:row r="63" ht="23" customHeight="1">
      <x:c r="A63" s="190" t="d">
        <x:v>2024-09-13T00:00:00.000Z</x:v>
      </x:c>
      <x:c r="B63" s="159" t="n">
        <x:v>24.37</x:v>
      </x:c>
      <x:c r="C63" s="191" t="n">
        <x:v>18725243</x:v>
      </x:c>
      <x:c r="D63" s="75" t="n">
        <x:v>2025</x:v>
      </x:c>
      <x:c r="E63" s="75" t="n">
        <x:v>2024</x:v>
      </x:c>
      <x:c r="F63" s="75" t="n">
        <x:v>9</x:v>
      </x:c>
      <x:c r="G63" s="75" t="str">
        <x:v>https://dps.psx.com.pk/historical</x:v>
      </x:c>
      <x:c r="H63" s="75" t="str">
        <x:v>{"symbol":"FCCL","year":"2024","month":"9"}</x:v>
      </x:c>
      <x:c r="I63" s="75" t="str">
        <x:v>83ce1b7ccea7acc3313c715a849facce0bb0881514dd9937e9a852c0647430af</x:v>
      </x:c>
      <x:c r="J63" s="75" t="str">
        <x:v>Sep 13, 2024 | 25.50 | 25.70 | 24.25 | 24.37 | 18,725,243</x:v>
      </x:c>
    </x:row>
    <x:row r="64" ht="23" customHeight="1">
      <x:c r="A64" s="190" t="d">
        <x:v>2024-09-16T00:00:00.000Z</x:v>
      </x:c>
      <x:c r="B64" s="159" t="n">
        <x:v>24.2</x:v>
      </x:c>
      <x:c r="C64" s="191" t="n">
        <x:v>5116039</x:v>
      </x:c>
      <x:c r="D64" s="75" t="n">
        <x:v>2025</x:v>
      </x:c>
      <x:c r="E64" s="75" t="n">
        <x:v>2024</x:v>
      </x:c>
      <x:c r="F64" s="75" t="n">
        <x:v>9</x:v>
      </x:c>
      <x:c r="G64" s="75" t="str">
        <x:v>https://dps.psx.com.pk/historical</x:v>
      </x:c>
      <x:c r="H64" s="75" t="str">
        <x:v>{"symbol":"FCCL","year":"2024","month":"9"}</x:v>
      </x:c>
      <x:c r="I64" s="75" t="str">
        <x:v>83ce1b7ccea7acc3313c715a849facce0bb0881514dd9937e9a852c0647430af</x:v>
      </x:c>
      <x:c r="J64" s="75" t="str">
        <x:v>Sep 16, 2024 | 24.45 | 24.48 | 23.60 | 24.20 | 5,116,039</x:v>
      </x:c>
    </x:row>
    <x:row r="65" ht="23" customHeight="1">
      <x:c r="A65" s="190" t="d">
        <x:v>2024-09-18T00:00:00.000Z</x:v>
      </x:c>
      <x:c r="B65" s="159" t="n">
        <x:v>24.29</x:v>
      </x:c>
      <x:c r="C65" s="191" t="n">
        <x:v>3719105</x:v>
      </x:c>
      <x:c r="D65" s="75" t="n">
        <x:v>2025</x:v>
      </x:c>
      <x:c r="E65" s="75" t="n">
        <x:v>2024</x:v>
      </x:c>
      <x:c r="F65" s="75" t="n">
        <x:v>9</x:v>
      </x:c>
      <x:c r="G65" s="75" t="str">
        <x:v>https://dps.psx.com.pk/historical</x:v>
      </x:c>
      <x:c r="H65" s="75" t="str">
        <x:v>{"symbol":"FCCL","year":"2024","month":"9"}</x:v>
      </x:c>
      <x:c r="I65" s="75" t="str">
        <x:v>83ce1b7ccea7acc3313c715a849facce0bb0881514dd9937e9a852c0647430af</x:v>
      </x:c>
      <x:c r="J65" s="75" t="str">
        <x:v>Sep 18, 2024 | 24.52 | 24.56 | 24.15 | 24.29 | 3,719,105</x:v>
      </x:c>
    </x:row>
    <x:row r="66" ht="23" customHeight="1">
      <x:c r="A66" s="190" t="d">
        <x:v>2024-09-19T00:00:00.000Z</x:v>
      </x:c>
      <x:c r="B66" s="159" t="n">
        <x:v>24.72</x:v>
      </x:c>
      <x:c r="C66" s="191" t="n">
        <x:v>7720188</x:v>
      </x:c>
      <x:c r="D66" s="75" t="n">
        <x:v>2025</x:v>
      </x:c>
      <x:c r="E66" s="75" t="n">
        <x:v>2024</x:v>
      </x:c>
      <x:c r="F66" s="75" t="n">
        <x:v>9</x:v>
      </x:c>
      <x:c r="G66" s="75" t="str">
        <x:v>https://dps.psx.com.pk/historical</x:v>
      </x:c>
      <x:c r="H66" s="75" t="str">
        <x:v>{"symbol":"FCCL","year":"2024","month":"9"}</x:v>
      </x:c>
      <x:c r="I66" s="75" t="str">
        <x:v>83ce1b7ccea7acc3313c715a849facce0bb0881514dd9937e9a852c0647430af</x:v>
      </x:c>
      <x:c r="J66" s="75" t="str">
        <x:v>Sep 19, 2024 | 24.30 | 24.89 | 24.18 | 24.72 | 7,720,188</x:v>
      </x:c>
    </x:row>
    <x:row r="67" ht="23" customHeight="1">
      <x:c r="A67" s="190" t="d">
        <x:v>2024-09-20T00:00:00.000Z</x:v>
      </x:c>
      <x:c r="B67" s="159" t="n">
        <x:v>25.07</x:v>
      </x:c>
      <x:c r="C67" s="191" t="n">
        <x:v>7206462</x:v>
      </x:c>
      <x:c r="D67" s="75" t="n">
        <x:v>2025</x:v>
      </x:c>
      <x:c r="E67" s="75" t="n">
        <x:v>2024</x:v>
      </x:c>
      <x:c r="F67" s="75" t="n">
        <x:v>9</x:v>
      </x:c>
      <x:c r="G67" s="75" t="str">
        <x:v>https://dps.psx.com.pk/historical</x:v>
      </x:c>
      <x:c r="H67" s="75" t="str">
        <x:v>{"symbol":"FCCL","year":"2024","month":"9"}</x:v>
      </x:c>
      <x:c r="I67" s="75" t="str">
        <x:v>83ce1b7ccea7acc3313c715a849facce0bb0881514dd9937e9a852c0647430af</x:v>
      </x:c>
      <x:c r="J67" s="75" t="str">
        <x:v>Sep 20, 2024 | 24.78 | 25.39 | 24.31 | 25.07 | 7,206,462</x:v>
      </x:c>
    </x:row>
    <x:row r="68" ht="23" customHeight="1">
      <x:c r="A68" s="190" t="d">
        <x:v>2024-09-23T00:00:00.000Z</x:v>
      </x:c>
      <x:c r="B68" s="159" t="n">
        <x:v>24.35</x:v>
      </x:c>
      <x:c r="C68" s="191" t="n">
        <x:v>2663090</x:v>
      </x:c>
      <x:c r="D68" s="75" t="n">
        <x:v>2025</x:v>
      </x:c>
      <x:c r="E68" s="75" t="n">
        <x:v>2024</x:v>
      </x:c>
      <x:c r="F68" s="75" t="n">
        <x:v>9</x:v>
      </x:c>
      <x:c r="G68" s="75" t="str">
        <x:v>https://dps.psx.com.pk/historical</x:v>
      </x:c>
      <x:c r="H68" s="75" t="str">
        <x:v>{"symbol":"FCCL","year":"2024","month":"9"}</x:v>
      </x:c>
      <x:c r="I68" s="75" t="str">
        <x:v>83ce1b7ccea7acc3313c715a849facce0bb0881514dd9937e9a852c0647430af</x:v>
      </x:c>
      <x:c r="J68" s="75" t="str">
        <x:v>Sep 23, 2024 | 25.05 | 25.10 | 24.21 | 24.35 | 2,663,090</x:v>
      </x:c>
    </x:row>
    <x:row r="69" ht="23" customHeight="1">
      <x:c r="A69" s="190" t="d">
        <x:v>2024-09-24T00:00:00.000Z</x:v>
      </x:c>
      <x:c r="B69" s="159" t="n">
        <x:v>24.04</x:v>
      </x:c>
      <x:c r="C69" s="191" t="n">
        <x:v>2351216</x:v>
      </x:c>
      <x:c r="D69" s="75" t="n">
        <x:v>2025</x:v>
      </x:c>
      <x:c r="E69" s="75" t="n">
        <x:v>2024</x:v>
      </x:c>
      <x:c r="F69" s="75" t="n">
        <x:v>9</x:v>
      </x:c>
      <x:c r="G69" s="75" t="str">
        <x:v>https://dps.psx.com.pk/historical</x:v>
      </x:c>
      <x:c r="H69" s="75" t="str">
        <x:v>{"symbol":"FCCL","year":"2024","month":"9"}</x:v>
      </x:c>
      <x:c r="I69" s="75" t="str">
        <x:v>83ce1b7ccea7acc3313c715a849facce0bb0881514dd9937e9a852c0647430af</x:v>
      </x:c>
      <x:c r="J69" s="75" t="str">
        <x:v>Sep 24, 2024 | 24.48 | 24.48 | 23.80 | 24.04 | 2,351,216</x:v>
      </x:c>
    </x:row>
    <x:row r="70" ht="23" customHeight="1">
      <x:c r="A70" s="190" t="d">
        <x:v>2024-09-25T00:00:00.000Z</x:v>
      </x:c>
      <x:c r="B70" s="159" t="n">
        <x:v>24.99</x:v>
      </x:c>
      <x:c r="C70" s="191" t="n">
        <x:v>7657647</x:v>
      </x:c>
      <x:c r="D70" s="75" t="n">
        <x:v>2025</x:v>
      </x:c>
      <x:c r="E70" s="75" t="n">
        <x:v>2024</x:v>
      </x:c>
      <x:c r="F70" s="75" t="n">
        <x:v>9</x:v>
      </x:c>
      <x:c r="G70" s="75" t="str">
        <x:v>https://dps.psx.com.pk/historical</x:v>
      </x:c>
      <x:c r="H70" s="75" t="str">
        <x:v>{"symbol":"FCCL","year":"2024","month":"9"}</x:v>
      </x:c>
      <x:c r="I70" s="75" t="str">
        <x:v>83ce1b7ccea7acc3313c715a849facce0bb0881514dd9937e9a852c0647430af</x:v>
      </x:c>
      <x:c r="J70" s="75" t="str">
        <x:v>Sep 25, 2024 | 24.16 | 25.15 | 23.84 | 24.99 | 7,657,647</x:v>
      </x:c>
    </x:row>
    <x:row r="71" ht="23" customHeight="1">
      <x:c r="A71" s="190" t="d">
        <x:v>2024-09-26T00:00:00.000Z</x:v>
      </x:c>
      <x:c r="B71" s="159" t="n">
        <x:v>25.35</x:v>
      </x:c>
      <x:c r="C71" s="191" t="n">
        <x:v>11949523</x:v>
      </x:c>
      <x:c r="D71" s="75" t="n">
        <x:v>2025</x:v>
      </x:c>
      <x:c r="E71" s="75" t="n">
        <x:v>2024</x:v>
      </x:c>
      <x:c r="F71" s="75" t="n">
        <x:v>9</x:v>
      </x:c>
      <x:c r="G71" s="75" t="str">
        <x:v>https://dps.psx.com.pk/historical</x:v>
      </x:c>
      <x:c r="H71" s="75" t="str">
        <x:v>{"symbol":"FCCL","year":"2024","month":"9"}</x:v>
      </x:c>
      <x:c r="I71" s="75" t="str">
        <x:v>83ce1b7ccea7acc3313c715a849facce0bb0881514dd9937e9a852c0647430af</x:v>
      </x:c>
      <x:c r="J71" s="75" t="str">
        <x:v>Sep 26, 2024 | 25.25 | 25.80 | 24.95 | 25.35 | 11,949,523</x:v>
      </x:c>
    </x:row>
    <x:row r="72" ht="23" customHeight="1">
      <x:c r="A72" s="190" t="d">
        <x:v>2024-09-27T00:00:00.000Z</x:v>
      </x:c>
      <x:c r="B72" s="159" t="n">
        <x:v>25.22</x:v>
      </x:c>
      <x:c r="C72" s="191" t="n">
        <x:v>2804892</x:v>
      </x:c>
      <x:c r="D72" s="75" t="n">
        <x:v>2025</x:v>
      </x:c>
      <x:c r="E72" s="75" t="n">
        <x:v>2024</x:v>
      </x:c>
      <x:c r="F72" s="75" t="n">
        <x:v>9</x:v>
      </x:c>
      <x:c r="G72" s="75" t="str">
        <x:v>https://dps.psx.com.pk/historical</x:v>
      </x:c>
      <x:c r="H72" s="75" t="str">
        <x:v>{"symbol":"FCCL","year":"2024","month":"9"}</x:v>
      </x:c>
      <x:c r="I72" s="75" t="str">
        <x:v>83ce1b7ccea7acc3313c715a849facce0bb0881514dd9937e9a852c0647430af</x:v>
      </x:c>
      <x:c r="J72" s="75" t="str">
        <x:v>Sep 27, 2024 | 25.48 | 25.48 | 25.00 | 25.22 | 2,804,892</x:v>
      </x:c>
    </x:row>
    <x:row r="73" ht="23" customHeight="1">
      <x:c r="A73" s="190" t="d">
        <x:v>2024-09-30T00:00:00.000Z</x:v>
      </x:c>
      <x:c r="B73" s="159" t="n">
        <x:v>25.28</x:v>
      </x:c>
      <x:c r="C73" s="191" t="n">
        <x:v>5176568</x:v>
      </x:c>
      <x:c r="D73" s="75" t="n">
        <x:v>2025</x:v>
      </x:c>
      <x:c r="E73" s="75" t="n">
        <x:v>2024</x:v>
      </x:c>
      <x:c r="F73" s="75" t="n">
        <x:v>9</x:v>
      </x:c>
      <x:c r="G73" s="75" t="str">
        <x:v>https://dps.psx.com.pk/historical</x:v>
      </x:c>
      <x:c r="H73" s="75" t="str">
        <x:v>{"symbol":"FCCL","year":"2024","month":"9"}</x:v>
      </x:c>
      <x:c r="I73" s="75" t="str">
        <x:v>83ce1b7ccea7acc3313c715a849facce0bb0881514dd9937e9a852c0647430af</x:v>
      </x:c>
      <x:c r="J73" s="75" t="str">
        <x:v>Sep 30, 2024 | 25.26 | 25.40 | 24.75 | 25.28 | 5,176,568</x:v>
      </x:c>
    </x:row>
    <x:row r="74" ht="23" customHeight="1">
      <x:c r="A74" s="190" t="d">
        <x:v>2024-10-01T00:00:00.000Z</x:v>
      </x:c>
      <x:c r="B74" s="159" t="n">
        <x:v>26.62</x:v>
      </x:c>
      <x:c r="C74" s="191" t="n">
        <x:v>29125856</x:v>
      </x:c>
      <x:c r="D74" s="75" t="n">
        <x:v>2025</x:v>
      </x:c>
      <x:c r="E74" s="75" t="n">
        <x:v>2024</x:v>
      </x:c>
      <x:c r="F74" s="75" t="n">
        <x:v>10</x:v>
      </x:c>
      <x:c r="G74" s="75" t="str">
        <x:v>https://dps.psx.com.pk/historical</x:v>
      </x:c>
      <x:c r="H74" s="75" t="str">
        <x:v>{"symbol":"FCCL","year":"2024","month":"10"}</x:v>
      </x:c>
      <x:c r="I74" s="75" t="str">
        <x:v>28d9cb44dae9325cd2bdb67f7f6dfdab31ecf7ee822b0d73af80a23bdd7f8bd7</x:v>
      </x:c>
      <x:c r="J74" s="75" t="str">
        <x:v>Oct 1, 2024 | 25.12 | 27.19 | 25.12 | 26.62 | 29,125,856</x:v>
      </x:c>
    </x:row>
    <x:row r="75" ht="23" customHeight="1">
      <x:c r="A75" s="190" t="d">
        <x:v>2024-10-02T00:00:00.000Z</x:v>
      </x:c>
      <x:c r="B75" s="159" t="n">
        <x:v>27.41</x:v>
      </x:c>
      <x:c r="C75" s="191" t="n">
        <x:v>20045582</x:v>
      </x:c>
      <x:c r="D75" s="75" t="n">
        <x:v>2025</x:v>
      </x:c>
      <x:c r="E75" s="75" t="n">
        <x:v>2024</x:v>
      </x:c>
      <x:c r="F75" s="75" t="n">
        <x:v>10</x:v>
      </x:c>
      <x:c r="G75" s="75" t="str">
        <x:v>https://dps.psx.com.pk/historical</x:v>
      </x:c>
      <x:c r="H75" s="75" t="str">
        <x:v>{"symbol":"FCCL","year":"2024","month":"10"}</x:v>
      </x:c>
      <x:c r="I75" s="75" t="str">
        <x:v>28d9cb44dae9325cd2bdb67f7f6dfdab31ecf7ee822b0d73af80a23bdd7f8bd7</x:v>
      </x:c>
      <x:c r="J75" s="75" t="str">
        <x:v>Oct 2, 2024 | 26.47 | 27.69 | 26.22 | 27.41 | 20,045,582</x:v>
      </x:c>
    </x:row>
    <x:row r="76" ht="23" customHeight="1">
      <x:c r="A76" s="190" t="d">
        <x:v>2024-10-03T00:00:00.000Z</x:v>
      </x:c>
      <x:c r="B76" s="159" t="n">
        <x:v>27.15</x:v>
      </x:c>
      <x:c r="C76" s="191" t="n">
        <x:v>21628458</x:v>
      </x:c>
      <x:c r="D76" s="75" t="n">
        <x:v>2025</x:v>
      </x:c>
      <x:c r="E76" s="75" t="n">
        <x:v>2024</x:v>
      </x:c>
      <x:c r="F76" s="75" t="n">
        <x:v>10</x:v>
      </x:c>
      <x:c r="G76" s="75" t="str">
        <x:v>https://dps.psx.com.pk/historical</x:v>
      </x:c>
      <x:c r="H76" s="75" t="str">
        <x:v>{"symbol":"FCCL","year":"2024","month":"10"}</x:v>
      </x:c>
      <x:c r="I76" s="75" t="str">
        <x:v>28d9cb44dae9325cd2bdb67f7f6dfdab31ecf7ee822b0d73af80a23bdd7f8bd7</x:v>
      </x:c>
      <x:c r="J76" s="75" t="str">
        <x:v>Oct 3, 2024 | 27.40 | 28.10 | 26.72 | 27.15 | 21,628,458</x:v>
      </x:c>
    </x:row>
    <x:row r="77" ht="23" customHeight="1">
      <x:c r="A77" s="190" t="d">
        <x:v>2024-10-04T00:00:00.000Z</x:v>
      </x:c>
      <x:c r="B77" s="159" t="n">
        <x:v>26.95</x:v>
      </x:c>
      <x:c r="C77" s="191" t="n">
        <x:v>12420908</x:v>
      </x:c>
      <x:c r="D77" s="75" t="n">
        <x:v>2025</x:v>
      </x:c>
      <x:c r="E77" s="75" t="n">
        <x:v>2024</x:v>
      </x:c>
      <x:c r="F77" s="75" t="n">
        <x:v>10</x:v>
      </x:c>
      <x:c r="G77" s="75" t="str">
        <x:v>https://dps.psx.com.pk/historical</x:v>
      </x:c>
      <x:c r="H77" s="75" t="str">
        <x:v>{"symbol":"FCCL","year":"2024","month":"10"}</x:v>
      </x:c>
      <x:c r="I77" s="75" t="str">
        <x:v>28d9cb44dae9325cd2bdb67f7f6dfdab31ecf7ee822b0d73af80a23bdd7f8bd7</x:v>
      </x:c>
      <x:c r="J77" s="75" t="str">
        <x:v>Oct 4, 2024 | 26.22 | 27.09 | 25.75 | 26.95 | 12,420,908</x:v>
      </x:c>
    </x:row>
    <x:row r="78" ht="23" customHeight="1">
      <x:c r="A78" s="190" t="d">
        <x:v>2024-10-07T00:00:00.000Z</x:v>
      </x:c>
      <x:c r="B78" s="159" t="n">
        <x:v>28</x:v>
      </x:c>
      <x:c r="C78" s="191" t="n">
        <x:v>23127553</x:v>
      </x:c>
      <x:c r="D78" s="75" t="n">
        <x:v>2025</x:v>
      </x:c>
      <x:c r="E78" s="75" t="n">
        <x:v>2024</x:v>
      </x:c>
      <x:c r="F78" s="75" t="n">
        <x:v>10</x:v>
      </x:c>
      <x:c r="G78" s="75" t="str">
        <x:v>https://dps.psx.com.pk/historical</x:v>
      </x:c>
      <x:c r="H78" s="75" t="str">
        <x:v>{"symbol":"FCCL","year":"2024","month":"10"}</x:v>
      </x:c>
      <x:c r="I78" s="75" t="str">
        <x:v>28d9cb44dae9325cd2bdb67f7f6dfdab31ecf7ee822b0d73af80a23bdd7f8bd7</x:v>
      </x:c>
      <x:c r="J78" s="75" t="str">
        <x:v>Oct 7, 2024 | 26.90 | 28.39 | 26.60 | 28.00 | 23,127,553</x:v>
      </x:c>
    </x:row>
    <x:row r="79" ht="23" customHeight="1">
      <x:c r="A79" s="190" t="d">
        <x:v>2024-10-08T00:00:00.000Z</x:v>
      </x:c>
      <x:c r="B79" s="159" t="n">
        <x:v>27.39</x:v>
      </x:c>
      <x:c r="C79" s="191" t="n">
        <x:v>13160387</x:v>
      </x:c>
      <x:c r="D79" s="75" t="n">
        <x:v>2025</x:v>
      </x:c>
      <x:c r="E79" s="75" t="n">
        <x:v>2024</x:v>
      </x:c>
      <x:c r="F79" s="75" t="n">
        <x:v>10</x:v>
      </x:c>
      <x:c r="G79" s="75" t="str">
        <x:v>https://dps.psx.com.pk/historical</x:v>
      </x:c>
      <x:c r="H79" s="75" t="str">
        <x:v>{"symbol":"FCCL","year":"2024","month":"10"}</x:v>
      </x:c>
      <x:c r="I79" s="75" t="str">
        <x:v>28d9cb44dae9325cd2bdb67f7f6dfdab31ecf7ee822b0d73af80a23bdd7f8bd7</x:v>
      </x:c>
      <x:c r="J79" s="75" t="str">
        <x:v>Oct 8, 2024 | 28.30 | 28.30 | 27.00 | 27.39 | 13,160,387</x:v>
      </x:c>
    </x:row>
    <x:row r="80" ht="23" customHeight="1">
      <x:c r="A80" s="190" t="d">
        <x:v>2024-10-09T00:00:00.000Z</x:v>
      </x:c>
      <x:c r="B80" s="159" t="n">
        <x:v>27.52</x:v>
      </x:c>
      <x:c r="C80" s="191" t="n">
        <x:v>13879905</x:v>
      </x:c>
      <x:c r="D80" s="75" t="n">
        <x:v>2025</x:v>
      </x:c>
      <x:c r="E80" s="75" t="n">
        <x:v>2024</x:v>
      </x:c>
      <x:c r="F80" s="75" t="n">
        <x:v>10</x:v>
      </x:c>
      <x:c r="G80" s="75" t="str">
        <x:v>https://dps.psx.com.pk/historical</x:v>
      </x:c>
      <x:c r="H80" s="75" t="str">
        <x:v>{"symbol":"FCCL","year":"2024","month":"10"}</x:v>
      </x:c>
      <x:c r="I80" s="75" t="str">
        <x:v>28d9cb44dae9325cd2bdb67f7f6dfdab31ecf7ee822b0d73af80a23bdd7f8bd7</x:v>
      </x:c>
      <x:c r="J80" s="75" t="str">
        <x:v>Oct 9, 2024 | 27.55 | 27.98 | 26.95 | 27.52 | 13,879,905</x:v>
      </x:c>
    </x:row>
    <x:row r="81" ht="23" customHeight="1">
      <x:c r="A81" s="190" t="d">
        <x:v>2024-10-10T00:00:00.000Z</x:v>
      </x:c>
      <x:c r="B81" s="159" t="n">
        <x:v>27.97</x:v>
      </x:c>
      <x:c r="C81" s="191" t="n">
        <x:v>10495306</x:v>
      </x:c>
      <x:c r="D81" s="75" t="n">
        <x:v>2025</x:v>
      </x:c>
      <x:c r="E81" s="75" t="n">
        <x:v>2024</x:v>
      </x:c>
      <x:c r="F81" s="75" t="n">
        <x:v>10</x:v>
      </x:c>
      <x:c r="G81" s="75" t="str">
        <x:v>https://dps.psx.com.pk/historical</x:v>
      </x:c>
      <x:c r="H81" s="75" t="str">
        <x:v>{"symbol":"FCCL","year":"2024","month":"10"}</x:v>
      </x:c>
      <x:c r="I81" s="75" t="str">
        <x:v>28d9cb44dae9325cd2bdb67f7f6dfdab31ecf7ee822b0d73af80a23bdd7f8bd7</x:v>
      </x:c>
      <x:c r="J81" s="75" t="str">
        <x:v>Oct 10, 2024 | 27.60 | 28.08 | 27.13 | 27.97 | 10,495,306</x:v>
      </x:c>
    </x:row>
    <x:row r="82" ht="23" customHeight="1">
      <x:c r="A82" s="190" t="d">
        <x:v>2024-10-11T00:00:00.000Z</x:v>
      </x:c>
      <x:c r="B82" s="159" t="n">
        <x:v>28.62</x:v>
      </x:c>
      <x:c r="C82" s="191" t="n">
        <x:v>12389794</x:v>
      </x:c>
      <x:c r="D82" s="75" t="n">
        <x:v>2025</x:v>
      </x:c>
      <x:c r="E82" s="75" t="n">
        <x:v>2024</x:v>
      </x:c>
      <x:c r="F82" s="75" t="n">
        <x:v>10</x:v>
      </x:c>
      <x:c r="G82" s="75" t="str">
        <x:v>https://dps.psx.com.pk/historical</x:v>
      </x:c>
      <x:c r="H82" s="75" t="str">
        <x:v>{"symbol":"FCCL","year":"2024","month":"10"}</x:v>
      </x:c>
      <x:c r="I82" s="75" t="str">
        <x:v>28d9cb44dae9325cd2bdb67f7f6dfdab31ecf7ee822b0d73af80a23bdd7f8bd7</x:v>
      </x:c>
      <x:c r="J82" s="75" t="str">
        <x:v>Oct 11, 2024 | 28.19 | 28.80 | 27.87 | 28.62 | 12,389,794</x:v>
      </x:c>
    </x:row>
    <x:row r="83" ht="23" customHeight="1">
      <x:c r="A83" s="190" t="d">
        <x:v>2024-10-14T00:00:00.000Z</x:v>
      </x:c>
      <x:c r="B83" s="159" t="n">
        <x:v>29.08</x:v>
      </x:c>
      <x:c r="C83" s="191" t="n">
        <x:v>15742751</x:v>
      </x:c>
      <x:c r="D83" s="75" t="n">
        <x:v>2025</x:v>
      </x:c>
      <x:c r="E83" s="75" t="n">
        <x:v>2024</x:v>
      </x:c>
      <x:c r="F83" s="75" t="n">
        <x:v>10</x:v>
      </x:c>
      <x:c r="G83" s="75" t="str">
        <x:v>https://dps.psx.com.pk/historical</x:v>
      </x:c>
      <x:c r="H83" s="75" t="str">
        <x:v>{"symbol":"FCCL","year":"2024","month":"10"}</x:v>
      </x:c>
      <x:c r="I83" s="75" t="str">
        <x:v>28d9cb44dae9325cd2bdb67f7f6dfdab31ecf7ee822b0d73af80a23bdd7f8bd7</x:v>
      </x:c>
      <x:c r="J83" s="75" t="str">
        <x:v>Oct 14, 2024 | 28.41 | 29.85 | 28.41 | 29.08 | 15,742,751</x:v>
      </x:c>
    </x:row>
    <x:row r="84" ht="23" customHeight="1">
      <x:c r="A84" s="190" t="d">
        <x:v>2024-10-15T00:00:00.000Z</x:v>
      </x:c>
      <x:c r="B84" s="159" t="n">
        <x:v>29.34</x:v>
      </x:c>
      <x:c r="C84" s="191" t="n">
        <x:v>5406017</x:v>
      </x:c>
      <x:c r="D84" s="75" t="n">
        <x:v>2025</x:v>
      </x:c>
      <x:c r="E84" s="75" t="n">
        <x:v>2024</x:v>
      </x:c>
      <x:c r="F84" s="75" t="n">
        <x:v>10</x:v>
      </x:c>
      <x:c r="G84" s="75" t="str">
        <x:v>https://dps.psx.com.pk/historical</x:v>
      </x:c>
      <x:c r="H84" s="75" t="str">
        <x:v>{"symbol":"FCCL","year":"2024","month":"10"}</x:v>
      </x:c>
      <x:c r="I84" s="75" t="str">
        <x:v>28d9cb44dae9325cd2bdb67f7f6dfdab31ecf7ee822b0d73af80a23bdd7f8bd7</x:v>
      </x:c>
      <x:c r="J84" s="75" t="str">
        <x:v>Oct 15, 2024 | 29.11 | 29.85 | 28.85 | 29.34 | 5,406,017</x:v>
      </x:c>
    </x:row>
    <x:row r="85" ht="23" customHeight="1">
      <x:c r="A85" s="190" t="d">
        <x:v>2024-10-16T00:00:00.000Z</x:v>
      </x:c>
      <x:c r="B85" s="159" t="n">
        <x:v>28.98</x:v>
      </x:c>
      <x:c r="C85" s="191" t="n">
        <x:v>10861086</x:v>
      </x:c>
      <x:c r="D85" s="75" t="n">
        <x:v>2025</x:v>
      </x:c>
      <x:c r="E85" s="75" t="n">
        <x:v>2024</x:v>
      </x:c>
      <x:c r="F85" s="75" t="n">
        <x:v>10</x:v>
      </x:c>
      <x:c r="G85" s="75" t="str">
        <x:v>https://dps.psx.com.pk/historical</x:v>
      </x:c>
      <x:c r="H85" s="75" t="str">
        <x:v>{"symbol":"FCCL","year":"2024","month":"10"}</x:v>
      </x:c>
      <x:c r="I85" s="75" t="str">
        <x:v>28d9cb44dae9325cd2bdb67f7f6dfdab31ecf7ee822b0d73af80a23bdd7f8bd7</x:v>
      </x:c>
      <x:c r="J85" s="75" t="str">
        <x:v>Oct 16, 2024 | 29.49 | 29.59 | 28.59 | 28.98 | 10,861,086</x:v>
      </x:c>
    </x:row>
    <x:row r="86" ht="23" customHeight="1">
      <x:c r="A86" s="190" t="d">
        <x:v>2024-10-17T00:00:00.000Z</x:v>
      </x:c>
      <x:c r="B86" s="159" t="n">
        <x:v>29.04</x:v>
      </x:c>
      <x:c r="C86" s="191" t="n">
        <x:v>5794011</x:v>
      </x:c>
      <x:c r="D86" s="75" t="n">
        <x:v>2025</x:v>
      </x:c>
      <x:c r="E86" s="75" t="n">
        <x:v>2024</x:v>
      </x:c>
      <x:c r="F86" s="75" t="n">
        <x:v>10</x:v>
      </x:c>
      <x:c r="G86" s="75" t="str">
        <x:v>https://dps.psx.com.pk/historical</x:v>
      </x:c>
      <x:c r="H86" s="75" t="str">
        <x:v>{"symbol":"FCCL","year":"2024","month":"10"}</x:v>
      </x:c>
      <x:c r="I86" s="75" t="str">
        <x:v>28d9cb44dae9325cd2bdb67f7f6dfdab31ecf7ee822b0d73af80a23bdd7f8bd7</x:v>
      </x:c>
      <x:c r="J86" s="75" t="str">
        <x:v>Oct 17, 2024 | 29.23 | 29.54 | 28.60 | 29.04 | 5,794,011</x:v>
      </x:c>
    </x:row>
    <x:row r="87" ht="23" customHeight="1">
      <x:c r="A87" s="190" t="d">
        <x:v>2024-10-18T00:00:00.000Z</x:v>
      </x:c>
      <x:c r="B87" s="159" t="n">
        <x:v>28.58</x:v>
      </x:c>
      <x:c r="C87" s="191" t="n">
        <x:v>4146394</x:v>
      </x:c>
      <x:c r="D87" s="75" t="n">
        <x:v>2025</x:v>
      </x:c>
      <x:c r="E87" s="75" t="n">
        <x:v>2024</x:v>
      </x:c>
      <x:c r="F87" s="75" t="n">
        <x:v>10</x:v>
      </x:c>
      <x:c r="G87" s="75" t="str">
        <x:v>https://dps.psx.com.pk/historical</x:v>
      </x:c>
      <x:c r="H87" s="75" t="str">
        <x:v>{"symbol":"FCCL","year":"2024","month":"10"}</x:v>
      </x:c>
      <x:c r="I87" s="75" t="str">
        <x:v>28d9cb44dae9325cd2bdb67f7f6dfdab31ecf7ee822b0d73af80a23bdd7f8bd7</x:v>
      </x:c>
      <x:c r="J87" s="75" t="str">
        <x:v>Oct 18, 2024 | 29.11 | 29.20 | 28.50 | 28.58 | 4,146,394</x:v>
      </x:c>
    </x:row>
    <x:row r="88" ht="23" customHeight="1">
      <x:c r="A88" s="190" t="d">
        <x:v>2024-10-21T00:00:00.000Z</x:v>
      </x:c>
      <x:c r="B88" s="159" t="n">
        <x:v>28.91</x:v>
      </x:c>
      <x:c r="C88" s="191" t="n">
        <x:v>4144445</x:v>
      </x:c>
      <x:c r="D88" s="75" t="n">
        <x:v>2025</x:v>
      </x:c>
      <x:c r="E88" s="75" t="n">
        <x:v>2024</x:v>
      </x:c>
      <x:c r="F88" s="75" t="n">
        <x:v>10</x:v>
      </x:c>
      <x:c r="G88" s="75" t="str">
        <x:v>https://dps.psx.com.pk/historical</x:v>
      </x:c>
      <x:c r="H88" s="75" t="str">
        <x:v>{"symbol":"FCCL","year":"2024","month":"10"}</x:v>
      </x:c>
      <x:c r="I88" s="75" t="str">
        <x:v>28d9cb44dae9325cd2bdb67f7f6dfdab31ecf7ee822b0d73af80a23bdd7f8bd7</x:v>
      </x:c>
      <x:c r="J88" s="75" t="str">
        <x:v>Oct 21, 2024 | 28.45 | 29.29 | 28.45 | 28.91 | 4,144,445</x:v>
      </x:c>
    </x:row>
    <x:row r="89" ht="23" customHeight="1">
      <x:c r="A89" s="190" t="d">
        <x:v>2024-10-22T00:00:00.000Z</x:v>
      </x:c>
      <x:c r="B89" s="159" t="n">
        <x:v>29.54</x:v>
      </x:c>
      <x:c r="C89" s="191" t="n">
        <x:v>8669206</x:v>
      </x:c>
      <x:c r="D89" s="75" t="n">
        <x:v>2025</x:v>
      </x:c>
      <x:c r="E89" s="75" t="n">
        <x:v>2024</x:v>
      </x:c>
      <x:c r="F89" s="75" t="n">
        <x:v>10</x:v>
      </x:c>
      <x:c r="G89" s="75" t="str">
        <x:v>https://dps.psx.com.pk/historical</x:v>
      </x:c>
      <x:c r="H89" s="75" t="str">
        <x:v>{"symbol":"FCCL","year":"2024","month":"10"}</x:v>
      </x:c>
      <x:c r="I89" s="75" t="str">
        <x:v>28d9cb44dae9325cd2bdb67f7f6dfdab31ecf7ee822b0d73af80a23bdd7f8bd7</x:v>
      </x:c>
      <x:c r="J89" s="75" t="str">
        <x:v>Oct 22, 2024 | 28.99 | 30.45 | 28.80 | 29.54 | 8,669,206</x:v>
      </x:c>
    </x:row>
    <x:row r="90" ht="23" customHeight="1">
      <x:c r="A90" s="190" t="d">
        <x:v>2024-10-23T00:00:00.000Z</x:v>
      </x:c>
      <x:c r="B90" s="159" t="n">
        <x:v>30.33</x:v>
      </x:c>
      <x:c r="C90" s="191" t="n">
        <x:v>10211012</x:v>
      </x:c>
      <x:c r="D90" s="75" t="n">
        <x:v>2025</x:v>
      </x:c>
      <x:c r="E90" s="75" t="n">
        <x:v>2024</x:v>
      </x:c>
      <x:c r="F90" s="75" t="n">
        <x:v>10</x:v>
      </x:c>
      <x:c r="G90" s="75" t="str">
        <x:v>https://dps.psx.com.pk/historical</x:v>
      </x:c>
      <x:c r="H90" s="75" t="str">
        <x:v>{"symbol":"FCCL","year":"2024","month":"10"}</x:v>
      </x:c>
      <x:c r="I90" s="75" t="str">
        <x:v>28d9cb44dae9325cd2bdb67f7f6dfdab31ecf7ee822b0d73af80a23bdd7f8bd7</x:v>
      </x:c>
      <x:c r="J90" s="75" t="str">
        <x:v>Oct 23, 2024 | 29.60 | 30.48 | 29.50 | 30.33 | 10,211,012</x:v>
      </x:c>
    </x:row>
    <x:row r="91" ht="23" customHeight="1">
      <x:c r="A91" s="190" t="d">
        <x:v>2024-10-24T00:00:00.000Z</x:v>
      </x:c>
      <x:c r="B91" s="159" t="n">
        <x:v>31.46</x:v>
      </x:c>
      <x:c r="C91" s="191" t="n">
        <x:v>23272920</x:v>
      </x:c>
      <x:c r="D91" s="75" t="n">
        <x:v>2025</x:v>
      </x:c>
      <x:c r="E91" s="75" t="n">
        <x:v>2024</x:v>
      </x:c>
      <x:c r="F91" s="75" t="n">
        <x:v>10</x:v>
      </x:c>
      <x:c r="G91" s="75" t="str">
        <x:v>https://dps.psx.com.pk/historical</x:v>
      </x:c>
      <x:c r="H91" s="75" t="str">
        <x:v>{"symbol":"FCCL","year":"2024","month":"10"}</x:v>
      </x:c>
      <x:c r="I91" s="75" t="str">
        <x:v>28d9cb44dae9325cd2bdb67f7f6dfdab31ecf7ee822b0d73af80a23bdd7f8bd7</x:v>
      </x:c>
      <x:c r="J91" s="75" t="str">
        <x:v>Oct 24, 2024 | 30.40 | 32.05 | 30.39 | 31.46 | 23,272,920</x:v>
      </x:c>
    </x:row>
    <x:row r="92" ht="23" customHeight="1">
      <x:c r="A92" s="190" t="d">
        <x:v>2024-10-25T00:00:00.000Z</x:v>
      </x:c>
      <x:c r="B92" s="159" t="n">
        <x:v>33.99</x:v>
      </x:c>
      <x:c r="C92" s="191" t="n">
        <x:v>31553452</x:v>
      </x:c>
      <x:c r="D92" s="75" t="n">
        <x:v>2025</x:v>
      </x:c>
      <x:c r="E92" s="75" t="n">
        <x:v>2024</x:v>
      </x:c>
      <x:c r="F92" s="75" t="n">
        <x:v>10</x:v>
      </x:c>
      <x:c r="G92" s="75" t="str">
        <x:v>https://dps.psx.com.pk/historical</x:v>
      </x:c>
      <x:c r="H92" s="75" t="str">
        <x:v>{"symbol":"FCCL","year":"2024","month":"10"}</x:v>
      </x:c>
      <x:c r="I92" s="75" t="str">
        <x:v>28d9cb44dae9325cd2bdb67f7f6dfdab31ecf7ee822b0d73af80a23bdd7f8bd7</x:v>
      </x:c>
      <x:c r="J92" s="75" t="str">
        <x:v>Oct 25, 2024 | 31.95 | 34.40 | 30.91 | 33.99 | 31,553,452</x:v>
      </x:c>
    </x:row>
    <x:row r="93" ht="23" customHeight="1">
      <x:c r="A93" s="190" t="d">
        <x:v>2024-10-28T00:00:00.000Z</x:v>
      </x:c>
      <x:c r="B93" s="159" t="n">
        <x:v>32.94</x:v>
      </x:c>
      <x:c r="C93" s="191" t="n">
        <x:v>13143264</x:v>
      </x:c>
      <x:c r="D93" s="75" t="n">
        <x:v>2025</x:v>
      </x:c>
      <x:c r="E93" s="75" t="n">
        <x:v>2024</x:v>
      </x:c>
      <x:c r="F93" s="75" t="n">
        <x:v>10</x:v>
      </x:c>
      <x:c r="G93" s="75" t="str">
        <x:v>https://dps.psx.com.pk/historical</x:v>
      </x:c>
      <x:c r="H93" s="75" t="str">
        <x:v>{"symbol":"FCCL","year":"2024","month":"10"}</x:v>
      </x:c>
      <x:c r="I93" s="75" t="str">
        <x:v>28d9cb44dae9325cd2bdb67f7f6dfdab31ecf7ee822b0d73af80a23bdd7f8bd7</x:v>
      </x:c>
      <x:c r="J93" s="75" t="str">
        <x:v>Oct 28, 2024 | 34.10 | 34.70 | 32.51 | 32.94 | 13,143,264</x:v>
      </x:c>
    </x:row>
    <x:row r="94" ht="23" customHeight="1">
      <x:c r="A94" s="190" t="d">
        <x:v>2024-10-29T00:00:00.000Z</x:v>
      </x:c>
      <x:c r="B94" s="159" t="n">
        <x:v>33.26</x:v>
      </x:c>
      <x:c r="C94" s="191" t="n">
        <x:v>10346413</x:v>
      </x:c>
      <x:c r="D94" s="75" t="n">
        <x:v>2025</x:v>
      </x:c>
      <x:c r="E94" s="75" t="n">
        <x:v>2024</x:v>
      </x:c>
      <x:c r="F94" s="75" t="n">
        <x:v>10</x:v>
      </x:c>
      <x:c r="G94" s="75" t="str">
        <x:v>https://dps.psx.com.pk/historical</x:v>
      </x:c>
      <x:c r="H94" s="75" t="str">
        <x:v>{"symbol":"FCCL","year":"2024","month":"10"}</x:v>
      </x:c>
      <x:c r="I94" s="75" t="str">
        <x:v>28d9cb44dae9325cd2bdb67f7f6dfdab31ecf7ee822b0d73af80a23bdd7f8bd7</x:v>
      </x:c>
      <x:c r="J94" s="75" t="str">
        <x:v>Oct 29, 2024 | 33.20 | 34.15 | 32.56 | 33.26 | 10,346,413</x:v>
      </x:c>
    </x:row>
    <x:row r="95" ht="23" customHeight="1">
      <x:c r="A95" s="190" t="d">
        <x:v>2024-10-30T00:00:00.000Z</x:v>
      </x:c>
      <x:c r="B95" s="159" t="n">
        <x:v>32.71</x:v>
      </x:c>
      <x:c r="C95" s="191" t="n">
        <x:v>10289422</x:v>
      </x:c>
      <x:c r="D95" s="75" t="n">
        <x:v>2025</x:v>
      </x:c>
      <x:c r="E95" s="75" t="n">
        <x:v>2024</x:v>
      </x:c>
      <x:c r="F95" s="75" t="n">
        <x:v>10</x:v>
      </x:c>
      <x:c r="G95" s="75" t="str">
        <x:v>https://dps.psx.com.pk/historical</x:v>
      </x:c>
      <x:c r="H95" s="75" t="str">
        <x:v>{"symbol":"FCCL","year":"2024","month":"10"}</x:v>
      </x:c>
      <x:c r="I95" s="75" t="str">
        <x:v>28d9cb44dae9325cd2bdb67f7f6dfdab31ecf7ee822b0d73af80a23bdd7f8bd7</x:v>
      </x:c>
      <x:c r="J95" s="75" t="str">
        <x:v>Oct 30, 2024 | 33.50 | 33.60 | 32.49 | 32.71 | 10,289,422</x:v>
      </x:c>
    </x:row>
    <x:row r="96" ht="23" customHeight="1">
      <x:c r="A96" s="190" t="d">
        <x:v>2024-10-31T00:00:00.000Z</x:v>
      </x:c>
      <x:c r="B96" s="159" t="n">
        <x:v>32.56</x:v>
      </x:c>
      <x:c r="C96" s="191" t="n">
        <x:v>9095443</x:v>
      </x:c>
      <x:c r="D96" s="75" t="n">
        <x:v>2025</x:v>
      </x:c>
      <x:c r="E96" s="75" t="n">
        <x:v>2024</x:v>
      </x:c>
      <x:c r="F96" s="75" t="n">
        <x:v>10</x:v>
      </x:c>
      <x:c r="G96" s="75" t="str">
        <x:v>https://dps.psx.com.pk/historical</x:v>
      </x:c>
      <x:c r="H96" s="75" t="str">
        <x:v>{"symbol":"FCCL","year":"2024","month":"10"}</x:v>
      </x:c>
      <x:c r="I96" s="75" t="str">
        <x:v>28d9cb44dae9325cd2bdb67f7f6dfdab31ecf7ee822b0d73af80a23bdd7f8bd7</x:v>
      </x:c>
      <x:c r="J96" s="75" t="str">
        <x:v>Oct 31, 2024 | 33.05 | 33.38 | 32.35 | 32.56 | 9,095,443</x:v>
      </x:c>
    </x:row>
    <x:row r="97" ht="23" customHeight="1">
      <x:c r="A97" s="190" t="d">
        <x:v>2024-11-01T00:00:00.000Z</x:v>
      </x:c>
      <x:c r="B97" s="159" t="n">
        <x:v>33.91</x:v>
      </x:c>
      <x:c r="C97" s="191" t="n">
        <x:v>10837347</x:v>
      </x:c>
      <x:c r="D97" s="75" t="n">
        <x:v>2025</x:v>
      </x:c>
      <x:c r="E97" s="75" t="n">
        <x:v>2024</x:v>
      </x:c>
      <x:c r="F97" s="75" t="n">
        <x:v>11</x:v>
      </x:c>
      <x:c r="G97" s="75" t="str">
        <x:v>https://dps.psx.com.pk/historical</x:v>
      </x:c>
      <x:c r="H97" s="75" t="str">
        <x:v>{"symbol":"FCCL","year":"2024","month":"11"}</x:v>
      </x:c>
      <x:c r="I97" s="75" t="str">
        <x:v>d4fa65b8b3b612bb920d35b39636629155fefa72080f312dc54330ab381ce3cb</x:v>
      </x:c>
      <x:c r="J97" s="75" t="str">
        <x:v>Nov 1, 2024 | 32.82 | 34.10 | 32.56 | 33.91 | 10,837,347</x:v>
      </x:c>
    </x:row>
    <x:row r="98" ht="23" customHeight="1">
      <x:c r="A98" s="190" t="d">
        <x:v>2024-11-04T00:00:00.000Z</x:v>
      </x:c>
      <x:c r="B98" s="159" t="n">
        <x:v>35.06</x:v>
      </x:c>
      <x:c r="C98" s="191" t="n">
        <x:v>20330341</x:v>
      </x:c>
      <x:c r="D98" s="75" t="n">
        <x:v>2025</x:v>
      </x:c>
      <x:c r="E98" s="75" t="n">
        <x:v>2024</x:v>
      </x:c>
      <x:c r="F98" s="75" t="n">
        <x:v>11</x:v>
      </x:c>
      <x:c r="G98" s="75" t="str">
        <x:v>https://dps.psx.com.pk/historical</x:v>
      </x:c>
      <x:c r="H98" s="75" t="str">
        <x:v>{"symbol":"FCCL","year":"2024","month":"11"}</x:v>
      </x:c>
      <x:c r="I98" s="75" t="str">
        <x:v>d4fa65b8b3b612bb920d35b39636629155fefa72080f312dc54330ab381ce3cb</x:v>
      </x:c>
      <x:c r="J98" s="75" t="str">
        <x:v>Nov 4, 2024 | 34.41 | 35.30 | 34.11 | 35.06 | 20,330,341</x:v>
      </x:c>
    </x:row>
    <x:row r="99" ht="23" customHeight="1">
      <x:c r="A99" s="190" t="d">
        <x:v>2024-11-05T00:00:00.000Z</x:v>
      </x:c>
      <x:c r="B99" s="159" t="n">
        <x:v>34.93</x:v>
      </x:c>
      <x:c r="C99" s="191" t="n">
        <x:v>21425572</x:v>
      </x:c>
      <x:c r="D99" s="75" t="n">
        <x:v>2025</x:v>
      </x:c>
      <x:c r="E99" s="75" t="n">
        <x:v>2024</x:v>
      </x:c>
      <x:c r="F99" s="75" t="n">
        <x:v>11</x:v>
      </x:c>
      <x:c r="G99" s="75" t="str">
        <x:v>https://dps.psx.com.pk/historical</x:v>
      </x:c>
      <x:c r="H99" s="75" t="str">
        <x:v>{"symbol":"FCCL","year":"2024","month":"11"}</x:v>
      </x:c>
      <x:c r="I99" s="75" t="str">
        <x:v>d4fa65b8b3b612bb920d35b39636629155fefa72080f312dc54330ab381ce3cb</x:v>
      </x:c>
      <x:c r="J99" s="75" t="str">
        <x:v>Nov 5, 2024 | 35.74 | 36.10 | 34.31 | 34.93 | 21,425,572</x:v>
      </x:c>
    </x:row>
    <x:row r="100" ht="23" customHeight="1">
      <x:c r="A100" s="190" t="d">
        <x:v>2024-11-06T00:00:00.000Z</x:v>
      </x:c>
      <x:c r="B100" s="159" t="n">
        <x:v>34.04</x:v>
      </x:c>
      <x:c r="C100" s="191" t="n">
        <x:v>9078138</x:v>
      </x:c>
      <x:c r="D100" s="75" t="n">
        <x:v>2025</x:v>
      </x:c>
      <x:c r="E100" s="75" t="n">
        <x:v>2024</x:v>
      </x:c>
      <x:c r="F100" s="75" t="n">
        <x:v>11</x:v>
      </x:c>
      <x:c r="G100" s="75" t="str">
        <x:v>https://dps.psx.com.pk/historical</x:v>
      </x:c>
      <x:c r="H100" s="75" t="str">
        <x:v>{"symbol":"FCCL","year":"2024","month":"11"}</x:v>
      </x:c>
      <x:c r="I100" s="75" t="str">
        <x:v>d4fa65b8b3b612bb920d35b39636629155fefa72080f312dc54330ab381ce3cb</x:v>
      </x:c>
      <x:c r="J100" s="75" t="str">
        <x:v>Nov 6, 2024 | 35.20 | 35.39 | 32.75 | 34.04 | 9,078,138</x:v>
      </x:c>
    </x:row>
    <x:row r="101" ht="23" customHeight="1">
      <x:c r="A101" s="190" t="d">
        <x:v>2024-11-07T00:00:00.000Z</x:v>
      </x:c>
      <x:c r="B101" s="159" t="n">
        <x:v>33.44</x:v>
      </x:c>
      <x:c r="C101" s="191" t="n">
        <x:v>5642812</x:v>
      </x:c>
      <x:c r="D101" s="75" t="n">
        <x:v>2025</x:v>
      </x:c>
      <x:c r="E101" s="75" t="n">
        <x:v>2024</x:v>
      </x:c>
      <x:c r="F101" s="75" t="n">
        <x:v>11</x:v>
      </x:c>
      <x:c r="G101" s="75" t="str">
        <x:v>https://dps.psx.com.pk/historical</x:v>
      </x:c>
      <x:c r="H101" s="75" t="str">
        <x:v>{"symbol":"FCCL","year":"2024","month":"11"}</x:v>
      </x:c>
      <x:c r="I101" s="75" t="str">
        <x:v>d4fa65b8b3b612bb920d35b39636629155fefa72080f312dc54330ab381ce3cb</x:v>
      </x:c>
      <x:c r="J101" s="75" t="str">
        <x:v>Nov 7, 2024 | 34.94 | 34.94 | 33.09 | 33.44 | 5,642,812</x:v>
      </x:c>
    </x:row>
    <x:row r="102" ht="23" customHeight="1">
      <x:c r="A102" s="190" t="d">
        <x:v>2024-11-08T00:00:00.000Z</x:v>
      </x:c>
      <x:c r="B102" s="159" t="n">
        <x:v>33.93</x:v>
      </x:c>
      <x:c r="C102" s="191" t="n">
        <x:v>5865737</x:v>
      </x:c>
      <x:c r="D102" s="75" t="n">
        <x:v>2025</x:v>
      </x:c>
      <x:c r="E102" s="75" t="n">
        <x:v>2024</x:v>
      </x:c>
      <x:c r="F102" s="75" t="n">
        <x:v>11</x:v>
      </x:c>
      <x:c r="G102" s="75" t="str">
        <x:v>https://dps.psx.com.pk/historical</x:v>
      </x:c>
      <x:c r="H102" s="75" t="str">
        <x:v>{"symbol":"FCCL","year":"2024","month":"11"}</x:v>
      </x:c>
      <x:c r="I102" s="75" t="str">
        <x:v>d4fa65b8b3b612bb920d35b39636629155fefa72080f312dc54330ab381ce3cb</x:v>
      </x:c>
      <x:c r="J102" s="75" t="str">
        <x:v>Nov 8, 2024 | 33.60 | 34.00 | 33.28 | 33.93 | 5,865,737</x:v>
      </x:c>
    </x:row>
    <x:row r="103" ht="23" customHeight="1">
      <x:c r="A103" s="190" t="d">
        <x:v>2024-11-11T00:00:00.000Z</x:v>
      </x:c>
      <x:c r="B103" s="159" t="n">
        <x:v>33.39</x:v>
      </x:c>
      <x:c r="C103" s="191" t="n">
        <x:v>5944855</x:v>
      </x:c>
      <x:c r="D103" s="75" t="n">
        <x:v>2025</x:v>
      </x:c>
      <x:c r="E103" s="75" t="n">
        <x:v>2024</x:v>
      </x:c>
      <x:c r="F103" s="75" t="n">
        <x:v>11</x:v>
      </x:c>
      <x:c r="G103" s="75" t="str">
        <x:v>https://dps.psx.com.pk/historical</x:v>
      </x:c>
      <x:c r="H103" s="75" t="str">
        <x:v>{"symbol":"FCCL","year":"2024","month":"11"}</x:v>
      </x:c>
      <x:c r="I103" s="75" t="str">
        <x:v>d4fa65b8b3b612bb920d35b39636629155fefa72080f312dc54330ab381ce3cb</x:v>
      </x:c>
      <x:c r="J103" s="75" t="str">
        <x:v>Nov 11, 2024 | 34.17 | 34.17 | 33.25 | 33.39 | 5,944,855</x:v>
      </x:c>
    </x:row>
    <x:row r="104" ht="23" customHeight="1">
      <x:c r="A104" s="190" t="d">
        <x:v>2024-11-12T00:00:00.000Z</x:v>
      </x:c>
      <x:c r="B104" s="159" t="n">
        <x:v>32.14</x:v>
      </x:c>
      <x:c r="C104" s="191" t="n">
        <x:v>10432174</x:v>
      </x:c>
      <x:c r="D104" s="75" t="n">
        <x:v>2025</x:v>
      </x:c>
      <x:c r="E104" s="75" t="n">
        <x:v>2024</x:v>
      </x:c>
      <x:c r="F104" s="75" t="n">
        <x:v>11</x:v>
      </x:c>
      <x:c r="G104" s="75" t="str">
        <x:v>https://dps.psx.com.pk/historical</x:v>
      </x:c>
      <x:c r="H104" s="75" t="str">
        <x:v>{"symbol":"FCCL","year":"2024","month":"11"}</x:v>
      </x:c>
      <x:c r="I104" s="75" t="str">
        <x:v>d4fa65b8b3b612bb920d35b39636629155fefa72080f312dc54330ab381ce3cb</x:v>
      </x:c>
      <x:c r="J104" s="75" t="str">
        <x:v>Nov 12, 2024 | 33.30 | 33.40 | 31.79 | 32.14 | 10,432,174</x:v>
      </x:c>
    </x:row>
    <x:row r="105" ht="23" customHeight="1">
      <x:c r="A105" s="190" t="d">
        <x:v>2024-11-13T00:00:00.000Z</x:v>
      </x:c>
      <x:c r="B105" s="159" t="n">
        <x:v>32.28</x:v>
      </x:c>
      <x:c r="C105" s="191" t="n">
        <x:v>7421599</x:v>
      </x:c>
      <x:c r="D105" s="75" t="n">
        <x:v>2025</x:v>
      </x:c>
      <x:c r="E105" s="75" t="n">
        <x:v>2024</x:v>
      </x:c>
      <x:c r="F105" s="75" t="n">
        <x:v>11</x:v>
      </x:c>
      <x:c r="G105" s="75" t="str">
        <x:v>https://dps.psx.com.pk/historical</x:v>
      </x:c>
      <x:c r="H105" s="75" t="str">
        <x:v>{"symbol":"FCCL","year":"2024","month":"11"}</x:v>
      </x:c>
      <x:c r="I105" s="75" t="str">
        <x:v>d4fa65b8b3b612bb920d35b39636629155fefa72080f312dc54330ab381ce3cb</x:v>
      </x:c>
      <x:c r="J105" s="75" t="str">
        <x:v>Nov 13, 2024 | 32.24 | 32.92 | 31.85 | 32.28 | 7,421,599</x:v>
      </x:c>
    </x:row>
    <x:row r="106" ht="23" customHeight="1">
      <x:c r="A106" s="190" t="d">
        <x:v>2024-11-14T00:00:00.000Z</x:v>
      </x:c>
      <x:c r="B106" s="159" t="n">
        <x:v>32.49</x:v>
      </x:c>
      <x:c r="C106" s="191" t="n">
        <x:v>8823324</x:v>
      </x:c>
      <x:c r="D106" s="75" t="n">
        <x:v>2025</x:v>
      </x:c>
      <x:c r="E106" s="75" t="n">
        <x:v>2024</x:v>
      </x:c>
      <x:c r="F106" s="75" t="n">
        <x:v>11</x:v>
      </x:c>
      <x:c r="G106" s="75" t="str">
        <x:v>https://dps.psx.com.pk/historical</x:v>
      </x:c>
      <x:c r="H106" s="75" t="str">
        <x:v>{"symbol":"FCCL","year":"2024","month":"11"}</x:v>
      </x:c>
      <x:c r="I106" s="75" t="str">
        <x:v>d4fa65b8b3b612bb920d35b39636629155fefa72080f312dc54330ab381ce3cb</x:v>
      </x:c>
      <x:c r="J106" s="75" t="str">
        <x:v>Nov 14, 2024 | 32.59 | 33.44 | 32.30 | 32.49 | 8,823,324</x:v>
      </x:c>
    </x:row>
    <x:row r="107" ht="23" customHeight="1">
      <x:c r="A107" s="190" t="d">
        <x:v>2024-11-15T00:00:00.000Z</x:v>
      </x:c>
      <x:c r="B107" s="159" t="n">
        <x:v>32.56</x:v>
      </x:c>
      <x:c r="C107" s="191" t="n">
        <x:v>5607498</x:v>
      </x:c>
      <x:c r="D107" s="75" t="n">
        <x:v>2025</x:v>
      </x:c>
      <x:c r="E107" s="75" t="n">
        <x:v>2024</x:v>
      </x:c>
      <x:c r="F107" s="75" t="n">
        <x:v>11</x:v>
      </x:c>
      <x:c r="G107" s="75" t="str">
        <x:v>https://dps.psx.com.pk/historical</x:v>
      </x:c>
      <x:c r="H107" s="75" t="str">
        <x:v>{"symbol":"FCCL","year":"2024","month":"11"}</x:v>
      </x:c>
      <x:c r="I107" s="75" t="str">
        <x:v>d4fa65b8b3b612bb920d35b39636629155fefa72080f312dc54330ab381ce3cb</x:v>
      </x:c>
      <x:c r="J107" s="75" t="str">
        <x:v>Nov 15, 2024 | 32.80 | 32.94 | 32.39 | 32.56 | 5,607,498</x:v>
      </x:c>
    </x:row>
    <x:row r="108" ht="23" customHeight="1">
      <x:c r="A108" s="190" t="d">
        <x:v>2024-11-18T00:00:00.000Z</x:v>
      </x:c>
      <x:c r="B108" s="159" t="n">
        <x:v>33.11</x:v>
      </x:c>
      <x:c r="C108" s="191" t="n">
        <x:v>9074361</x:v>
      </x:c>
      <x:c r="D108" s="75" t="n">
        <x:v>2025</x:v>
      </x:c>
      <x:c r="E108" s="75" t="n">
        <x:v>2024</x:v>
      </x:c>
      <x:c r="F108" s="75" t="n">
        <x:v>11</x:v>
      </x:c>
      <x:c r="G108" s="75" t="str">
        <x:v>https://dps.psx.com.pk/historical</x:v>
      </x:c>
      <x:c r="H108" s="75" t="str">
        <x:v>{"symbol":"FCCL","year":"2024","month":"11"}</x:v>
      </x:c>
      <x:c r="I108" s="75" t="str">
        <x:v>d4fa65b8b3b612bb920d35b39636629155fefa72080f312dc54330ab381ce3cb</x:v>
      </x:c>
      <x:c r="J108" s="75" t="str">
        <x:v>Nov 18, 2024 | 32.57 | 33.37 | 32.40 | 33.11 | 9,074,361</x:v>
      </x:c>
    </x:row>
    <x:row r="109" ht="23" customHeight="1">
      <x:c r="A109" s="190" t="d">
        <x:v>2024-11-19T00:00:00.000Z</x:v>
      </x:c>
      <x:c r="B109" s="159" t="n">
        <x:v>33</x:v>
      </x:c>
      <x:c r="C109" s="191" t="n">
        <x:v>5261737</x:v>
      </x:c>
      <x:c r="D109" s="75" t="n">
        <x:v>2025</x:v>
      </x:c>
      <x:c r="E109" s="75" t="n">
        <x:v>2024</x:v>
      </x:c>
      <x:c r="F109" s="75" t="n">
        <x:v>11</x:v>
      </x:c>
      <x:c r="G109" s="75" t="str">
        <x:v>https://dps.psx.com.pk/historical</x:v>
      </x:c>
      <x:c r="H109" s="75" t="str">
        <x:v>{"symbol":"FCCL","year":"2024","month":"11"}</x:v>
      </x:c>
      <x:c r="I109" s="75" t="str">
        <x:v>d4fa65b8b3b612bb920d35b39636629155fefa72080f312dc54330ab381ce3cb</x:v>
      </x:c>
      <x:c r="J109" s="75" t="str">
        <x:v>Nov 19, 2024 | 33.15 | 33.59 | 32.80 | 33.00 | 5,261,737</x:v>
      </x:c>
    </x:row>
    <x:row r="110" ht="23" customHeight="1">
      <x:c r="A110" s="190" t="d">
        <x:v>2024-11-20T00:00:00.000Z</x:v>
      </x:c>
      <x:c r="B110" s="159" t="n">
        <x:v>32.34</x:v>
      </x:c>
      <x:c r="C110" s="191" t="n">
        <x:v>6363684</x:v>
      </x:c>
      <x:c r="D110" s="75" t="n">
        <x:v>2025</x:v>
      </x:c>
      <x:c r="E110" s="75" t="n">
        <x:v>2024</x:v>
      </x:c>
      <x:c r="F110" s="75" t="n">
        <x:v>11</x:v>
      </x:c>
      <x:c r="G110" s="75" t="str">
        <x:v>https://dps.psx.com.pk/historical</x:v>
      </x:c>
      <x:c r="H110" s="75" t="str">
        <x:v>{"symbol":"FCCL","year":"2024","month":"11"}</x:v>
      </x:c>
      <x:c r="I110" s="75" t="str">
        <x:v>d4fa65b8b3b612bb920d35b39636629155fefa72080f312dc54330ab381ce3cb</x:v>
      </x:c>
      <x:c r="J110" s="75" t="str">
        <x:v>Nov 20, 2024 | 32.83 | 33.20 | 32.20 | 32.34 | 6,363,684</x:v>
      </x:c>
    </x:row>
    <x:row r="111" ht="23" customHeight="1">
      <x:c r="A111" s="190" t="d">
        <x:v>2024-11-21T00:00:00.000Z</x:v>
      </x:c>
      <x:c r="B111" s="159" t="n">
        <x:v>32.77</x:v>
      </x:c>
      <x:c r="C111" s="191" t="n">
        <x:v>3565126</x:v>
      </x:c>
      <x:c r="D111" s="75" t="n">
        <x:v>2025</x:v>
      </x:c>
      <x:c r="E111" s="75" t="n">
        <x:v>2024</x:v>
      </x:c>
      <x:c r="F111" s="75" t="n">
        <x:v>11</x:v>
      </x:c>
      <x:c r="G111" s="75" t="str">
        <x:v>https://dps.psx.com.pk/historical</x:v>
      </x:c>
      <x:c r="H111" s="75" t="str">
        <x:v>{"symbol":"FCCL","year":"2024","month":"11"}</x:v>
      </x:c>
      <x:c r="I111" s="75" t="str">
        <x:v>d4fa65b8b3b612bb920d35b39636629155fefa72080f312dc54330ab381ce3cb</x:v>
      </x:c>
      <x:c r="J111" s="75" t="str">
        <x:v>Nov 21, 2024 | 32.41 | 32.98 | 31.92 | 32.77 | 3,565,126</x:v>
      </x:c>
    </x:row>
    <x:row r="112" ht="23" customHeight="1">
      <x:c r="A112" s="190" t="d">
        <x:v>2024-11-22T00:00:00.000Z</x:v>
      </x:c>
      <x:c r="B112" s="159" t="n">
        <x:v>32.77</x:v>
      </x:c>
      <x:c r="C112" s="191" t="n">
        <x:v>9451848</x:v>
      </x:c>
      <x:c r="D112" s="75" t="n">
        <x:v>2025</x:v>
      </x:c>
      <x:c r="E112" s="75" t="n">
        <x:v>2024</x:v>
      </x:c>
      <x:c r="F112" s="75" t="n">
        <x:v>11</x:v>
      </x:c>
      <x:c r="G112" s="75" t="str">
        <x:v>https://dps.psx.com.pk/historical</x:v>
      </x:c>
      <x:c r="H112" s="75" t="str">
        <x:v>{"symbol":"FCCL","year":"2024","month":"11"}</x:v>
      </x:c>
      <x:c r="I112" s="75" t="str">
        <x:v>d4fa65b8b3b612bb920d35b39636629155fefa72080f312dc54330ab381ce3cb</x:v>
      </x:c>
      <x:c r="J112" s="75" t="str">
        <x:v>Nov 22, 2024 | 32.98 | 33.40 | 32.51 | 32.77 | 9,451,848</x:v>
      </x:c>
    </x:row>
    <x:row r="113" ht="23" customHeight="1">
      <x:c r="A113" s="190" t="d">
        <x:v>2024-11-25T00:00:00.000Z</x:v>
      </x:c>
      <x:c r="B113" s="159" t="n">
        <x:v>33.1</x:v>
      </x:c>
      <x:c r="C113" s="191" t="n">
        <x:v>5176449</x:v>
      </x:c>
      <x:c r="D113" s="75" t="n">
        <x:v>2025</x:v>
      </x:c>
      <x:c r="E113" s="75" t="n">
        <x:v>2024</x:v>
      </x:c>
      <x:c r="F113" s="75" t="n">
        <x:v>11</x:v>
      </x:c>
      <x:c r="G113" s="75" t="str">
        <x:v>https://dps.psx.com.pk/historical</x:v>
      </x:c>
      <x:c r="H113" s="75" t="str">
        <x:v>{"symbol":"FCCL","year":"2024","month":"11"}</x:v>
      </x:c>
      <x:c r="I113" s="75" t="str">
        <x:v>d4fa65b8b3b612bb920d35b39636629155fefa72080f312dc54330ab381ce3cb</x:v>
      </x:c>
      <x:c r="J113" s="75" t="str">
        <x:v>Nov 25, 2024 | 32.80 | 33.37 | 32.30 | 33.10 | 5,176,449</x:v>
      </x:c>
    </x:row>
    <x:row r="114" ht="23" customHeight="1">
      <x:c r="A114" s="190" t="d">
        <x:v>2024-11-26T00:00:00.000Z</x:v>
      </x:c>
      <x:c r="B114" s="159" t="n">
        <x:v>30.58</x:v>
      </x:c>
      <x:c r="C114" s="191" t="n">
        <x:v>9143779</x:v>
      </x:c>
      <x:c r="D114" s="75" t="n">
        <x:v>2025</x:v>
      </x:c>
      <x:c r="E114" s="75" t="n">
        <x:v>2024</x:v>
      </x:c>
      <x:c r="F114" s="75" t="n">
        <x:v>11</x:v>
      </x:c>
      <x:c r="G114" s="75" t="str">
        <x:v>https://dps.psx.com.pk/historical</x:v>
      </x:c>
      <x:c r="H114" s="75" t="str">
        <x:v>{"symbol":"FCCL","year":"2024","month":"11"}</x:v>
      </x:c>
      <x:c r="I114" s="75" t="str">
        <x:v>d4fa65b8b3b612bb920d35b39636629155fefa72080f312dc54330ab381ce3cb</x:v>
      </x:c>
      <x:c r="J114" s="75" t="str">
        <x:v>Nov 26, 2024 | 33.20 | 33.20 | 30.12 | 30.58 | 9,143,779</x:v>
      </x:c>
    </x:row>
    <x:row r="115" ht="23" customHeight="1">
      <x:c r="A115" s="190" t="d">
        <x:v>2024-11-27T00:00:00.000Z</x:v>
      </x:c>
      <x:c r="B115" s="159" t="n">
        <x:v>33.42</x:v>
      </x:c>
      <x:c r="C115" s="191" t="n">
        <x:v>11368314</x:v>
      </x:c>
      <x:c r="D115" s="75" t="n">
        <x:v>2025</x:v>
      </x:c>
      <x:c r="E115" s="75" t="n">
        <x:v>2024</x:v>
      </x:c>
      <x:c r="F115" s="75" t="n">
        <x:v>11</x:v>
      </x:c>
      <x:c r="G115" s="75" t="str">
        <x:v>https://dps.psx.com.pk/historical</x:v>
      </x:c>
      <x:c r="H115" s="75" t="str">
        <x:v>{"symbol":"FCCL","year":"2024","month":"11"}</x:v>
      </x:c>
      <x:c r="I115" s="75" t="str">
        <x:v>d4fa65b8b3b612bb920d35b39636629155fefa72080f312dc54330ab381ce3cb</x:v>
      </x:c>
      <x:c r="J115" s="75" t="str">
        <x:v>Nov 27, 2024 | 31.98 | 33.64 | 31.75 | 33.42 | 11,368,314</x:v>
      </x:c>
    </x:row>
    <x:row r="116" ht="23" customHeight="1">
      <x:c r="A116" s="190" t="d">
        <x:v>2024-11-28T00:00:00.000Z</x:v>
      </x:c>
      <x:c r="B116" s="159" t="n">
        <x:v>34.9</x:v>
      </x:c>
      <x:c r="C116" s="191" t="n">
        <x:v>26132552</x:v>
      </x:c>
      <x:c r="D116" s="75" t="n">
        <x:v>2025</x:v>
      </x:c>
      <x:c r="E116" s="75" t="n">
        <x:v>2024</x:v>
      </x:c>
      <x:c r="F116" s="75" t="n">
        <x:v>11</x:v>
      </x:c>
      <x:c r="G116" s="75" t="str">
        <x:v>https://dps.psx.com.pk/historical</x:v>
      </x:c>
      <x:c r="H116" s="75" t="str">
        <x:v>{"symbol":"FCCL","year":"2024","month":"11"}</x:v>
      </x:c>
      <x:c r="I116" s="75" t="str">
        <x:v>d4fa65b8b3b612bb920d35b39636629155fefa72080f312dc54330ab381ce3cb</x:v>
      </x:c>
      <x:c r="J116" s="75" t="str">
        <x:v>Nov 28, 2024 | 33.93 | 35.40 | 33.82 | 34.90 | 26,132,552</x:v>
      </x:c>
    </x:row>
    <x:row r="117" ht="23" customHeight="1">
      <x:c r="A117" s="190" t="d">
        <x:v>2024-11-29T00:00:00.000Z</x:v>
      </x:c>
      <x:c r="B117" s="159" t="n">
        <x:v>35.15</x:v>
      </x:c>
      <x:c r="C117" s="191" t="n">
        <x:v>7585077</x:v>
      </x:c>
      <x:c r="D117" s="75" t="n">
        <x:v>2025</x:v>
      </x:c>
      <x:c r="E117" s="75" t="n">
        <x:v>2024</x:v>
      </x:c>
      <x:c r="F117" s="75" t="n">
        <x:v>11</x:v>
      </x:c>
      <x:c r="G117" s="75" t="str">
        <x:v>https://dps.psx.com.pk/historical</x:v>
      </x:c>
      <x:c r="H117" s="75" t="str">
        <x:v>{"symbol":"FCCL","year":"2024","month":"11"}</x:v>
      </x:c>
      <x:c r="I117" s="75" t="str">
        <x:v>d4fa65b8b3b612bb920d35b39636629155fefa72080f312dc54330ab381ce3cb</x:v>
      </x:c>
      <x:c r="J117" s="75" t="str">
        <x:v>Nov 29, 2024 | 35.15 | 35.48 | 34.50 | 35.15 | 7,585,077</x:v>
      </x:c>
    </x:row>
    <x:row r="118" ht="23" customHeight="1">
      <x:c r="A118" s="190" t="d">
        <x:v>2024-12-02T00:00:00.000Z</x:v>
      </x:c>
      <x:c r="B118" s="159" t="n">
        <x:v>38.54</x:v>
      </x:c>
      <x:c r="C118" s="191" t="n">
        <x:v>31910059</x:v>
      </x:c>
      <x:c r="D118" s="75" t="n">
        <x:v>2025</x:v>
      </x:c>
      <x:c r="E118" s="75" t="n">
        <x:v>2024</x:v>
      </x:c>
      <x:c r="F118" s="75" t="n">
        <x:v>12</x:v>
      </x:c>
      <x:c r="G118" s="75" t="str">
        <x:v>https://dps.psx.com.pk/historical</x:v>
      </x:c>
      <x:c r="H118" s="75" t="str">
        <x:v>{"symbol":"FCCL","year":"2024","month":"12"}</x:v>
      </x:c>
      <x:c r="I118" s="75" t="str">
        <x:v>7a319d37ed0d346f2709b87cf959dc468ecec3d24b3240de990898ea21a0f079</x:v>
      </x:c>
      <x:c r="J118" s="75" t="str">
        <x:v>Dec 2, 2024 | 35.30 | 38.67 | 35.16 | 38.54 | 31,910,059</x:v>
      </x:c>
    </x:row>
    <x:row r="119" ht="23" customHeight="1">
      <x:c r="A119" s="190" t="d">
        <x:v>2024-12-03T00:00:00.000Z</x:v>
      </x:c>
      <x:c r="B119" s="159" t="n">
        <x:v>38.38</x:v>
      </x:c>
      <x:c r="C119" s="191" t="n">
        <x:v>22761941</x:v>
      </x:c>
      <x:c r="D119" s="75" t="n">
        <x:v>2025</x:v>
      </x:c>
      <x:c r="E119" s="75" t="n">
        <x:v>2024</x:v>
      </x:c>
      <x:c r="F119" s="75" t="n">
        <x:v>12</x:v>
      </x:c>
      <x:c r="G119" s="75" t="str">
        <x:v>https://dps.psx.com.pk/historical</x:v>
      </x:c>
      <x:c r="H119" s="75" t="str">
        <x:v>{"symbol":"FCCL","year":"2024","month":"12"}</x:v>
      </x:c>
      <x:c r="I119" s="75" t="str">
        <x:v>7a319d37ed0d346f2709b87cf959dc468ecec3d24b3240de990898ea21a0f079</x:v>
      </x:c>
      <x:c r="J119" s="75" t="str">
        <x:v>Dec 3, 2024 | 39.00 | 39.50 | 37.70 | 38.38 | 22,761,941</x:v>
      </x:c>
    </x:row>
    <x:row r="120" ht="23" customHeight="1">
      <x:c r="A120" s="190" t="d">
        <x:v>2024-12-04T00:00:00.000Z</x:v>
      </x:c>
      <x:c r="B120" s="159" t="n">
        <x:v>37.92</x:v>
      </x:c>
      <x:c r="C120" s="191" t="n">
        <x:v>9292648</x:v>
      </x:c>
      <x:c r="D120" s="75" t="n">
        <x:v>2025</x:v>
      </x:c>
      <x:c r="E120" s="75" t="n">
        <x:v>2024</x:v>
      </x:c>
      <x:c r="F120" s="75" t="n">
        <x:v>12</x:v>
      </x:c>
      <x:c r="G120" s="75" t="str">
        <x:v>https://dps.psx.com.pk/historical</x:v>
      </x:c>
      <x:c r="H120" s="75" t="str">
        <x:v>{"symbol":"FCCL","year":"2024","month":"12"}</x:v>
      </x:c>
      <x:c r="I120" s="75" t="str">
        <x:v>7a319d37ed0d346f2709b87cf959dc468ecec3d24b3240de990898ea21a0f079</x:v>
      </x:c>
      <x:c r="J120" s="75" t="str">
        <x:v>Dec 4, 2024 | 38.91 | 38.92 | 37.72 | 37.92 | 9,292,648</x:v>
      </x:c>
    </x:row>
    <x:row r="121" ht="23" customHeight="1">
      <x:c r="A121" s="190" t="d">
        <x:v>2024-12-05T00:00:00.000Z</x:v>
      </x:c>
      <x:c r="B121" s="159" t="n">
        <x:v>39.31</x:v>
      </x:c>
      <x:c r="C121" s="191" t="n">
        <x:v>17562657</x:v>
      </x:c>
      <x:c r="D121" s="75" t="n">
        <x:v>2025</x:v>
      </x:c>
      <x:c r="E121" s="75" t="n">
        <x:v>2024</x:v>
      </x:c>
      <x:c r="F121" s="75" t="n">
        <x:v>12</x:v>
      </x:c>
      <x:c r="G121" s="75" t="str">
        <x:v>https://dps.psx.com.pk/historical</x:v>
      </x:c>
      <x:c r="H121" s="75" t="str">
        <x:v>{"symbol":"FCCL","year":"2024","month":"12"}</x:v>
      </x:c>
      <x:c r="I121" s="75" t="str">
        <x:v>7a319d37ed0d346f2709b87cf959dc468ecec3d24b3240de990898ea21a0f079</x:v>
      </x:c>
      <x:c r="J121" s="75" t="str">
        <x:v>Dec 5, 2024 | 37.60 | 39.49 | 37.60 | 39.31 | 17,562,657</x:v>
      </x:c>
    </x:row>
    <x:row r="122" ht="23" customHeight="1">
      <x:c r="A122" s="190" t="d">
        <x:v>2024-12-06T00:00:00.000Z</x:v>
      </x:c>
      <x:c r="B122" s="159" t="n">
        <x:v>38.07</x:v>
      </x:c>
      <x:c r="C122" s="191" t="n">
        <x:v>9434859</x:v>
      </x:c>
      <x:c r="D122" s="75" t="n">
        <x:v>2025</x:v>
      </x:c>
      <x:c r="E122" s="75" t="n">
        <x:v>2024</x:v>
      </x:c>
      <x:c r="F122" s="75" t="n">
        <x:v>12</x:v>
      </x:c>
      <x:c r="G122" s="75" t="str">
        <x:v>https://dps.psx.com.pk/historical</x:v>
      </x:c>
      <x:c r="H122" s="75" t="str">
        <x:v>{"symbol":"FCCL","year":"2024","month":"12"}</x:v>
      </x:c>
      <x:c r="I122" s="75" t="str">
        <x:v>7a319d37ed0d346f2709b87cf959dc468ecec3d24b3240de990898ea21a0f079</x:v>
      </x:c>
      <x:c r="J122" s="75" t="str">
        <x:v>Dec 6, 2024 | 39.49 | 39.70 | 37.80 | 38.07 | 9,434,859</x:v>
      </x:c>
    </x:row>
    <x:row r="123" ht="23" customHeight="1">
      <x:c r="A123" s="190" t="d">
        <x:v>2024-12-09T00:00:00.000Z</x:v>
      </x:c>
      <x:c r="B123" s="159" t="n">
        <x:v>39.6</x:v>
      </x:c>
      <x:c r="C123" s="191" t="n">
        <x:v>17445156</x:v>
      </x:c>
      <x:c r="D123" s="75" t="n">
        <x:v>2025</x:v>
      </x:c>
      <x:c r="E123" s="75" t="n">
        <x:v>2024</x:v>
      </x:c>
      <x:c r="F123" s="75" t="n">
        <x:v>12</x:v>
      </x:c>
      <x:c r="G123" s="75" t="str">
        <x:v>https://dps.psx.com.pk/historical</x:v>
      </x:c>
      <x:c r="H123" s="75" t="str">
        <x:v>{"symbol":"FCCL","year":"2024","month":"12"}</x:v>
      </x:c>
      <x:c r="I123" s="75" t="str">
        <x:v>7a319d37ed0d346f2709b87cf959dc468ecec3d24b3240de990898ea21a0f079</x:v>
      </x:c>
      <x:c r="J123" s="75" t="str">
        <x:v>Dec 9, 2024 | 38.10 | 40.02 | 37.51 | 39.60 | 17,445,156</x:v>
      </x:c>
    </x:row>
    <x:row r="124" ht="23" customHeight="1">
      <x:c r="A124" s="190" t="d">
        <x:v>2024-12-10T00:00:00.000Z</x:v>
      </x:c>
      <x:c r="B124" s="159" t="n">
        <x:v>39.03</x:v>
      </x:c>
      <x:c r="C124" s="191" t="n">
        <x:v>20938494</x:v>
      </x:c>
      <x:c r="D124" s="75" t="n">
        <x:v>2025</x:v>
      </x:c>
      <x:c r="E124" s="75" t="n">
        <x:v>2024</x:v>
      </x:c>
      <x:c r="F124" s="75" t="n">
        <x:v>12</x:v>
      </x:c>
      <x:c r="G124" s="75" t="str">
        <x:v>https://dps.psx.com.pk/historical</x:v>
      </x:c>
      <x:c r="H124" s="75" t="str">
        <x:v>{"symbol":"FCCL","year":"2024","month":"12"}</x:v>
      </x:c>
      <x:c r="I124" s="75" t="str">
        <x:v>7a319d37ed0d346f2709b87cf959dc468ecec3d24b3240de990898ea21a0f079</x:v>
      </x:c>
      <x:c r="J124" s="75" t="str">
        <x:v>Dec 10, 2024 | 39.50 | 40.73 | 38.25 | 39.03 | 20,938,494</x:v>
      </x:c>
    </x:row>
    <x:row r="125" ht="23" customHeight="1">
      <x:c r="A125" s="190" t="d">
        <x:v>2024-12-11T00:00:00.000Z</x:v>
      </x:c>
      <x:c r="B125" s="159" t="n">
        <x:v>39</x:v>
      </x:c>
      <x:c r="C125" s="191" t="n">
        <x:v>7262545</x:v>
      </x:c>
      <x:c r="D125" s="75" t="n">
        <x:v>2025</x:v>
      </x:c>
      <x:c r="E125" s="75" t="n">
        <x:v>2024</x:v>
      </x:c>
      <x:c r="F125" s="75" t="n">
        <x:v>12</x:v>
      </x:c>
      <x:c r="G125" s="75" t="str">
        <x:v>https://dps.psx.com.pk/historical</x:v>
      </x:c>
      <x:c r="H125" s="75" t="str">
        <x:v>{"symbol":"FCCL","year":"2024","month":"12"}</x:v>
      </x:c>
      <x:c r="I125" s="75" t="str">
        <x:v>7a319d37ed0d346f2709b87cf959dc468ecec3d24b3240de990898ea21a0f079</x:v>
      </x:c>
      <x:c r="J125" s="75" t="str">
        <x:v>Dec 11, 2024 | 39.20 | 39.88 | 38.78 | 39.00 | 7,262,545</x:v>
      </x:c>
    </x:row>
    <x:row r="126" ht="23" customHeight="1">
      <x:c r="A126" s="190" t="d">
        <x:v>2024-12-12T00:00:00.000Z</x:v>
      </x:c>
      <x:c r="B126" s="159" t="n">
        <x:v>38.59</x:v>
      </x:c>
      <x:c r="C126" s="191" t="n">
        <x:v>23461133</x:v>
      </x:c>
      <x:c r="D126" s="75" t="n">
        <x:v>2025</x:v>
      </x:c>
      <x:c r="E126" s="75" t="n">
        <x:v>2024</x:v>
      </x:c>
      <x:c r="F126" s="75" t="n">
        <x:v>12</x:v>
      </x:c>
      <x:c r="G126" s="75" t="str">
        <x:v>https://dps.psx.com.pk/historical</x:v>
      </x:c>
      <x:c r="H126" s="75" t="str">
        <x:v>{"symbol":"FCCL","year":"2024","month":"12"}</x:v>
      </x:c>
      <x:c r="I126" s="75" t="str">
        <x:v>7a319d37ed0d346f2709b87cf959dc468ecec3d24b3240de990898ea21a0f079</x:v>
      </x:c>
      <x:c r="J126" s="75" t="str">
        <x:v>Dec 12, 2024 | 39.21 | 39.44 | 37.26 | 38.59 | 23,461,133</x:v>
      </x:c>
    </x:row>
    <x:row r="127" ht="23" customHeight="1">
      <x:c r="A127" s="190" t="d">
        <x:v>2024-12-13T00:00:00.000Z</x:v>
      </x:c>
      <x:c r="B127" s="159" t="n">
        <x:v>37.72</x:v>
      </x:c>
      <x:c r="C127" s="191" t="n">
        <x:v>10159846</x:v>
      </x:c>
      <x:c r="D127" s="75" t="n">
        <x:v>2025</x:v>
      </x:c>
      <x:c r="E127" s="75" t="n">
        <x:v>2024</x:v>
      </x:c>
      <x:c r="F127" s="75" t="n">
        <x:v>12</x:v>
      </x:c>
      <x:c r="G127" s="75" t="str">
        <x:v>https://dps.psx.com.pk/historical</x:v>
      </x:c>
      <x:c r="H127" s="75" t="str">
        <x:v>{"symbol":"FCCL","year":"2024","month":"12"}</x:v>
      </x:c>
      <x:c r="I127" s="75" t="str">
        <x:v>7a319d37ed0d346f2709b87cf959dc468ecec3d24b3240de990898ea21a0f079</x:v>
      </x:c>
      <x:c r="J127" s="75" t="str">
        <x:v>Dec 13, 2024 | 38.55 | 38.85 | 37.50 | 37.72 | 10,159,846</x:v>
      </x:c>
    </x:row>
    <x:row r="128" ht="23" customHeight="1">
      <x:c r="A128" s="190" t="d">
        <x:v>2024-12-16T00:00:00.000Z</x:v>
      </x:c>
      <x:c r="B128" s="159" t="n">
        <x:v>38.16</x:v>
      </x:c>
      <x:c r="C128" s="191" t="n">
        <x:v>20184050</x:v>
      </x:c>
      <x:c r="D128" s="75" t="n">
        <x:v>2025</x:v>
      </x:c>
      <x:c r="E128" s="75" t="n">
        <x:v>2024</x:v>
      </x:c>
      <x:c r="F128" s="75" t="n">
        <x:v>12</x:v>
      </x:c>
      <x:c r="G128" s="75" t="str">
        <x:v>https://dps.psx.com.pk/historical</x:v>
      </x:c>
      <x:c r="H128" s="75" t="str">
        <x:v>{"symbol":"FCCL","year":"2024","month":"12"}</x:v>
      </x:c>
      <x:c r="I128" s="75" t="str">
        <x:v>7a319d37ed0d346f2709b87cf959dc468ecec3d24b3240de990898ea21a0f079</x:v>
      </x:c>
      <x:c r="J128" s="75" t="str">
        <x:v>Dec 16, 2024 | 38.25 | 39.20 | 37.55 | 38.16 | 20,184,050</x:v>
      </x:c>
    </x:row>
    <x:row r="129" ht="23" customHeight="1">
      <x:c r="A129" s="190" t="d">
        <x:v>2024-12-17T00:00:00.000Z</x:v>
      </x:c>
      <x:c r="B129" s="159" t="n">
        <x:v>36.35</x:v>
      </x:c>
      <x:c r="C129" s="191" t="n">
        <x:v>11437746</x:v>
      </x:c>
      <x:c r="D129" s="75" t="n">
        <x:v>2025</x:v>
      </x:c>
      <x:c r="E129" s="75" t="n">
        <x:v>2024</x:v>
      </x:c>
      <x:c r="F129" s="75" t="n">
        <x:v>12</x:v>
      </x:c>
      <x:c r="G129" s="75" t="str">
        <x:v>https://dps.psx.com.pk/historical</x:v>
      </x:c>
      <x:c r="H129" s="75" t="str">
        <x:v>{"symbol":"FCCL","year":"2024","month":"12"}</x:v>
      </x:c>
      <x:c r="I129" s="75" t="str">
        <x:v>7a319d37ed0d346f2709b87cf959dc468ecec3d24b3240de990898ea21a0f079</x:v>
      </x:c>
      <x:c r="J129" s="75" t="str">
        <x:v>Dec 17, 2024 | 38.50 | 38.50 | 36.00 | 36.35 | 11,437,746</x:v>
      </x:c>
    </x:row>
    <x:row r="130" ht="23" customHeight="1">
      <x:c r="A130" s="190" t="d">
        <x:v>2024-12-18T00:00:00.000Z</x:v>
      </x:c>
      <x:c r="B130" s="159" t="n">
        <x:v>34.96</x:v>
      </x:c>
      <x:c r="C130" s="191" t="n">
        <x:v>12956402</x:v>
      </x:c>
      <x:c r="D130" s="75" t="n">
        <x:v>2025</x:v>
      </x:c>
      <x:c r="E130" s="75" t="n">
        <x:v>2024</x:v>
      </x:c>
      <x:c r="F130" s="75" t="n">
        <x:v>12</x:v>
      </x:c>
      <x:c r="G130" s="75" t="str">
        <x:v>https://dps.psx.com.pk/historical</x:v>
      </x:c>
      <x:c r="H130" s="75" t="str">
        <x:v>{"symbol":"FCCL","year":"2024","month":"12"}</x:v>
      </x:c>
      <x:c r="I130" s="75" t="str">
        <x:v>7a319d37ed0d346f2709b87cf959dc468ecec3d24b3240de990898ea21a0f079</x:v>
      </x:c>
      <x:c r="J130" s="75" t="str">
        <x:v>Dec 18, 2024 | 36.50 | 37.30 | 34.60 | 34.96 | 12,956,402</x:v>
      </x:c>
    </x:row>
    <x:row r="131" ht="23" customHeight="1">
      <x:c r="A131" s="190" t="d">
        <x:v>2024-12-19T00:00:00.000Z</x:v>
      </x:c>
      <x:c r="B131" s="159" t="n">
        <x:v>33.97</x:v>
      </x:c>
      <x:c r="C131" s="191" t="n">
        <x:v>14557490</x:v>
      </x:c>
      <x:c r="D131" s="75" t="n">
        <x:v>2025</x:v>
      </x:c>
      <x:c r="E131" s="75" t="n">
        <x:v>2024</x:v>
      </x:c>
      <x:c r="F131" s="75" t="n">
        <x:v>12</x:v>
      </x:c>
      <x:c r="G131" s="75" t="str">
        <x:v>https://dps.psx.com.pk/historical</x:v>
      </x:c>
      <x:c r="H131" s="75" t="str">
        <x:v>{"symbol":"FCCL","year":"2024","month":"12"}</x:v>
      </x:c>
      <x:c r="I131" s="75" t="str">
        <x:v>7a319d37ed0d346f2709b87cf959dc468ecec3d24b3240de990898ea21a0f079</x:v>
      </x:c>
      <x:c r="J131" s="75" t="str">
        <x:v>Dec 19, 2024 | 34.98 | 35.90 | 33.48 | 33.97 | 14,557,490</x:v>
      </x:c>
    </x:row>
    <x:row r="132" ht="23" customHeight="1">
      <x:c r="A132" s="190" t="d">
        <x:v>2024-12-20T00:00:00.000Z</x:v>
      </x:c>
      <x:c r="B132" s="159" t="n">
        <x:v>35.25</x:v>
      </x:c>
      <x:c r="C132" s="191" t="n">
        <x:v>14129184</x:v>
      </x:c>
      <x:c r="D132" s="75" t="n">
        <x:v>2025</x:v>
      </x:c>
      <x:c r="E132" s="75" t="n">
        <x:v>2024</x:v>
      </x:c>
      <x:c r="F132" s="75" t="n">
        <x:v>12</x:v>
      </x:c>
      <x:c r="G132" s="75" t="str">
        <x:v>https://dps.psx.com.pk/historical</x:v>
      </x:c>
      <x:c r="H132" s="75" t="str">
        <x:v>{"symbol":"FCCL","year":"2024","month":"12"}</x:v>
      </x:c>
      <x:c r="I132" s="75" t="str">
        <x:v>7a319d37ed0d346f2709b87cf959dc468ecec3d24b3240de990898ea21a0f079</x:v>
      </x:c>
      <x:c r="J132" s="75" t="str">
        <x:v>Dec 20, 2024 | 34.00 | 36.00 | 33.45 | 35.25 | 14,129,184</x:v>
      </x:c>
    </x:row>
    <x:row r="133" ht="23" customHeight="1">
      <x:c r="A133" s="190" t="d">
        <x:v>2024-12-23T00:00:00.000Z</x:v>
      </x:c>
      <x:c r="B133" s="159" t="n">
        <x:v>36.7</x:v>
      </x:c>
      <x:c r="C133" s="191" t="n">
        <x:v>24838416</x:v>
      </x:c>
      <x:c r="D133" s="75" t="n">
        <x:v>2025</x:v>
      </x:c>
      <x:c r="E133" s="75" t="n">
        <x:v>2024</x:v>
      </x:c>
      <x:c r="F133" s="75" t="n">
        <x:v>12</x:v>
      </x:c>
      <x:c r="G133" s="75" t="str">
        <x:v>https://dps.psx.com.pk/historical</x:v>
      </x:c>
      <x:c r="H133" s="75" t="str">
        <x:v>{"symbol":"FCCL","year":"2024","month":"12"}</x:v>
      </x:c>
      <x:c r="I133" s="75" t="str">
        <x:v>7a319d37ed0d346f2709b87cf959dc468ecec3d24b3240de990898ea21a0f079</x:v>
      </x:c>
      <x:c r="J133" s="75" t="str">
        <x:v>Dec 23, 2024 | 35.25 | 37.50 | 34.50 | 36.70 | 24,838,416</x:v>
      </x:c>
    </x:row>
    <x:row r="134" ht="23" customHeight="1">
      <x:c r="A134" s="190" t="d">
        <x:v>2024-12-24T00:00:00.000Z</x:v>
      </x:c>
      <x:c r="B134" s="159" t="n">
        <x:v>36.4</x:v>
      </x:c>
      <x:c r="C134" s="191" t="n">
        <x:v>16315345</x:v>
      </x:c>
      <x:c r="D134" s="75" t="n">
        <x:v>2025</x:v>
      </x:c>
      <x:c r="E134" s="75" t="n">
        <x:v>2024</x:v>
      </x:c>
      <x:c r="F134" s="75" t="n">
        <x:v>12</x:v>
      </x:c>
      <x:c r="G134" s="75" t="str">
        <x:v>https://dps.psx.com.pk/historical</x:v>
      </x:c>
      <x:c r="H134" s="75" t="str">
        <x:v>{"symbol":"FCCL","year":"2024","month":"12"}</x:v>
      </x:c>
      <x:c r="I134" s="75" t="str">
        <x:v>7a319d37ed0d346f2709b87cf959dc468ecec3d24b3240de990898ea21a0f079</x:v>
      </x:c>
      <x:c r="J134" s="75" t="str">
        <x:v>Dec 24, 2024 | 36.89 | 38.30 | 36.08 | 36.40 | 16,315,345</x:v>
      </x:c>
    </x:row>
    <x:row r="135" ht="23" customHeight="1">
      <x:c r="A135" s="190" t="d">
        <x:v>2024-12-26T00:00:00.000Z</x:v>
      </x:c>
      <x:c r="B135" s="159" t="n">
        <x:v>35.19</x:v>
      </x:c>
      <x:c r="C135" s="191" t="n">
        <x:v>16189868</x:v>
      </x:c>
      <x:c r="D135" s="75" t="n">
        <x:v>2025</x:v>
      </x:c>
      <x:c r="E135" s="75" t="n">
        <x:v>2024</x:v>
      </x:c>
      <x:c r="F135" s="75" t="n">
        <x:v>12</x:v>
      </x:c>
      <x:c r="G135" s="75" t="str">
        <x:v>https://dps.psx.com.pk/historical</x:v>
      </x:c>
      <x:c r="H135" s="75" t="str">
        <x:v>{"symbol":"FCCL","year":"2024","month":"12"}</x:v>
      </x:c>
      <x:c r="I135" s="75" t="str">
        <x:v>7a319d37ed0d346f2709b87cf959dc468ecec3d24b3240de990898ea21a0f079</x:v>
      </x:c>
      <x:c r="J135" s="75" t="str">
        <x:v>Dec 26, 2024 | 36.11 | 36.30 | 34.75 | 35.19 | 16,189,868</x:v>
      </x:c>
    </x:row>
    <x:row r="136" ht="23" customHeight="1">
      <x:c r="A136" s="190" t="d">
        <x:v>2024-12-27T00:00:00.000Z</x:v>
      </x:c>
      <x:c r="B136" s="159" t="n">
        <x:v>36.34</x:v>
      </x:c>
      <x:c r="C136" s="191" t="n">
        <x:v>11842530</x:v>
      </x:c>
      <x:c r="D136" s="75" t="n">
        <x:v>2025</x:v>
      </x:c>
      <x:c r="E136" s="75" t="n">
        <x:v>2024</x:v>
      </x:c>
      <x:c r="F136" s="75" t="n">
        <x:v>12</x:v>
      </x:c>
      <x:c r="G136" s="75" t="str">
        <x:v>https://dps.psx.com.pk/historical</x:v>
      </x:c>
      <x:c r="H136" s="75" t="str">
        <x:v>{"symbol":"FCCL","year":"2024","month":"12"}</x:v>
      </x:c>
      <x:c r="I136" s="75" t="str">
        <x:v>7a319d37ed0d346f2709b87cf959dc468ecec3d24b3240de990898ea21a0f079</x:v>
      </x:c>
      <x:c r="J136" s="75" t="str">
        <x:v>Dec 27, 2024 | 35.22 | 36.50 | 34.77 | 36.34 | 11,842,530</x:v>
      </x:c>
    </x:row>
    <x:row r="137" ht="23" customHeight="1">
      <x:c r="A137" s="190" t="d">
        <x:v>2024-12-30T00:00:00.000Z</x:v>
      </x:c>
      <x:c r="B137" s="159" t="n">
        <x:v>37.52</x:v>
      </x:c>
      <x:c r="C137" s="191" t="n">
        <x:v>15473765</x:v>
      </x:c>
      <x:c r="D137" s="75" t="n">
        <x:v>2025</x:v>
      </x:c>
      <x:c r="E137" s="75" t="n">
        <x:v>2024</x:v>
      </x:c>
      <x:c r="F137" s="75" t="n">
        <x:v>12</x:v>
      </x:c>
      <x:c r="G137" s="75" t="str">
        <x:v>https://dps.psx.com.pk/historical</x:v>
      </x:c>
      <x:c r="H137" s="75" t="str">
        <x:v>{"symbol":"FCCL","year":"2024","month":"12"}</x:v>
      </x:c>
      <x:c r="I137" s="75" t="str">
        <x:v>7a319d37ed0d346f2709b87cf959dc468ecec3d24b3240de990898ea21a0f079</x:v>
      </x:c>
      <x:c r="J137" s="75" t="str">
        <x:v>Dec 30, 2024 | 36.63 | 37.83 | 36.63 | 37.52 | 15,473,765</x:v>
      </x:c>
    </x:row>
    <x:row r="138" ht="23" customHeight="1">
      <x:c r="A138" s="190" t="d">
        <x:v>2024-12-31T00:00:00.000Z</x:v>
      </x:c>
      <x:c r="B138" s="159" t="n">
        <x:v>36.58</x:v>
      </x:c>
      <x:c r="C138" s="191" t="n">
        <x:v>8059089</x:v>
      </x:c>
      <x:c r="D138" s="75" t="n">
        <x:v>2025</x:v>
      </x:c>
      <x:c r="E138" s="75" t="n">
        <x:v>2024</x:v>
      </x:c>
      <x:c r="F138" s="75" t="n">
        <x:v>12</x:v>
      </x:c>
      <x:c r="G138" s="75" t="str">
        <x:v>https://dps.psx.com.pk/historical</x:v>
      </x:c>
      <x:c r="H138" s="75" t="str">
        <x:v>{"symbol":"FCCL","year":"2024","month":"12"}</x:v>
      </x:c>
      <x:c r="I138" s="75" t="str">
        <x:v>7a319d37ed0d346f2709b87cf959dc468ecec3d24b3240de990898ea21a0f079</x:v>
      </x:c>
      <x:c r="J138" s="75" t="str">
        <x:v>Dec 31, 2024 | 37.52 | 37.79 | 36.35 | 36.58 | 8,059,089</x:v>
      </x:c>
    </x:row>
    <x:row r="139" ht="23" customHeight="1">
      <x:c r="A139" s="190" t="d">
        <x:v>2025-01-01T00:00:00.000Z</x:v>
      </x:c>
      <x:c r="B139" s="159" t="n">
        <x:v>38.06</x:v>
      </x:c>
      <x:c r="C139" s="191" t="n">
        <x:v>22877376</x:v>
      </x:c>
      <x:c r="D139" s="75" t="n">
        <x:v>2025</x:v>
      </x:c>
      <x:c r="E139" s="75" t="n">
        <x:v>2025</x:v>
      </x:c>
      <x:c r="F139" s="75" t="n">
        <x:v>1</x:v>
      </x:c>
      <x:c r="G139" s="75" t="str">
        <x:v>https://dps.psx.com.pk/historical</x:v>
      </x:c>
      <x:c r="H139" s="75" t="str">
        <x:v>{"symbol":"FCCL","year":"2025","month":"1"}</x:v>
      </x:c>
      <x:c r="I139" s="75" t="str">
        <x:v>1cce227af2c55325c0601494dc355adefb6ffe8abc7a02c83ff3d7fed6c29e6f</x:v>
      </x:c>
      <x:c r="J139" s="75" t="str">
        <x:v>Jan 1, 2025 | 36.40 | 38.34 | 36.04 | 38.06 | 22,877,376</x:v>
      </x:c>
    </x:row>
    <x:row r="140" ht="23" customHeight="1">
      <x:c r="A140" s="190" t="d">
        <x:v>2025-01-02T00:00:00.000Z</x:v>
      </x:c>
      <x:c r="B140" s="159" t="n">
        <x:v>37.07</x:v>
      </x:c>
      <x:c r="C140" s="191" t="n">
        <x:v>10793762</x:v>
      </x:c>
      <x:c r="D140" s="75" t="n">
        <x:v>2025</x:v>
      </x:c>
      <x:c r="E140" s="75" t="n">
        <x:v>2025</x:v>
      </x:c>
      <x:c r="F140" s="75" t="n">
        <x:v>1</x:v>
      </x:c>
      <x:c r="G140" s="75" t="str">
        <x:v>https://dps.psx.com.pk/historical</x:v>
      </x:c>
      <x:c r="H140" s="75" t="str">
        <x:v>{"symbol":"FCCL","year":"2025","month":"1"}</x:v>
      </x:c>
      <x:c r="I140" s="75" t="str">
        <x:v>1cce227af2c55325c0601494dc355adefb6ffe8abc7a02c83ff3d7fed6c29e6f</x:v>
      </x:c>
      <x:c r="J140" s="75" t="str">
        <x:v>Jan 2, 2025 | 38.16 | 38.20 | 36.90 | 37.07 | 10,793,762</x:v>
      </x:c>
    </x:row>
    <x:row r="141" ht="23" customHeight="1">
      <x:c r="A141" s="190" t="d">
        <x:v>2025-01-03T00:00:00.000Z</x:v>
      </x:c>
      <x:c r="B141" s="159" t="n">
        <x:v>34.83</x:v>
      </x:c>
      <x:c r="C141" s="191" t="n">
        <x:v>54376196</x:v>
      </x:c>
      <x:c r="D141" s="75" t="n">
        <x:v>2025</x:v>
      </x:c>
      <x:c r="E141" s="75" t="n">
        <x:v>2025</x:v>
      </x:c>
      <x:c r="F141" s="75" t="n">
        <x:v>1</x:v>
      </x:c>
      <x:c r="G141" s="75" t="str">
        <x:v>https://dps.psx.com.pk/historical</x:v>
      </x:c>
      <x:c r="H141" s="75" t="str">
        <x:v>{"symbol":"FCCL","year":"2025","month":"1"}</x:v>
      </x:c>
      <x:c r="I141" s="75" t="str">
        <x:v>1cce227af2c55325c0601494dc355adefb6ffe8abc7a02c83ff3d7fed6c29e6f</x:v>
      </x:c>
      <x:c r="J141" s="75" t="str">
        <x:v>Jan 3, 2025 | 37.07 | 37.07 | 33.60 | 34.83 | 54,376,196</x:v>
      </x:c>
    </x:row>
    <x:row r="142" ht="23" customHeight="1">
      <x:c r="A142" s="190" t="d">
        <x:v>2025-01-06T00:00:00.000Z</x:v>
      </x:c>
      <x:c r="B142" s="159" t="n">
        <x:v>33.57</x:v>
      </x:c>
      <x:c r="C142" s="191" t="n">
        <x:v>18931152</x:v>
      </x:c>
      <x:c r="D142" s="75" t="n">
        <x:v>2025</x:v>
      </x:c>
      <x:c r="E142" s="75" t="n">
        <x:v>2025</x:v>
      </x:c>
      <x:c r="F142" s="75" t="n">
        <x:v>1</x:v>
      </x:c>
      <x:c r="G142" s="75" t="str">
        <x:v>https://dps.psx.com.pk/historical</x:v>
      </x:c>
      <x:c r="H142" s="75" t="str">
        <x:v>{"symbol":"FCCL","year":"2025","month":"1"}</x:v>
      </x:c>
      <x:c r="I142" s="75" t="str">
        <x:v>1cce227af2c55325c0601494dc355adefb6ffe8abc7a02c83ff3d7fed6c29e6f</x:v>
      </x:c>
      <x:c r="J142" s="75" t="str">
        <x:v>Jan 6, 2025 | 35.49 | 35.49 | 33.40 | 33.57 | 18,931,152</x:v>
      </x:c>
    </x:row>
    <x:row r="143" ht="23" customHeight="1">
      <x:c r="A143" s="190" t="d">
        <x:v>2025-01-07T00:00:00.000Z</x:v>
      </x:c>
      <x:c r="B143" s="159" t="n">
        <x:v>34.39</x:v>
      </x:c>
      <x:c r="C143" s="191" t="n">
        <x:v>16236008</x:v>
      </x:c>
      <x:c r="D143" s="75" t="n">
        <x:v>2025</x:v>
      </x:c>
      <x:c r="E143" s="75" t="n">
        <x:v>2025</x:v>
      </x:c>
      <x:c r="F143" s="75" t="n">
        <x:v>1</x:v>
      </x:c>
      <x:c r="G143" s="75" t="str">
        <x:v>https://dps.psx.com.pk/historical</x:v>
      </x:c>
      <x:c r="H143" s="75" t="str">
        <x:v>{"symbol":"FCCL","year":"2025","month":"1"}</x:v>
      </x:c>
      <x:c r="I143" s="75" t="str">
        <x:v>1cce227af2c55325c0601494dc355adefb6ffe8abc7a02c83ff3d7fed6c29e6f</x:v>
      </x:c>
      <x:c r="J143" s="75" t="str">
        <x:v>Jan 7, 2025 | 33.80 | 34.85 | 33.20 | 34.39 | 16,236,008</x:v>
      </x:c>
    </x:row>
    <x:row r="144" ht="23" customHeight="1">
      <x:c r="A144" s="190" t="d">
        <x:v>2025-01-08T00:00:00.000Z</x:v>
      </x:c>
      <x:c r="B144" s="159" t="n">
        <x:v>33.47</x:v>
      </x:c>
      <x:c r="C144" s="191" t="n">
        <x:v>8102971</x:v>
      </x:c>
      <x:c r="D144" s="75" t="n">
        <x:v>2025</x:v>
      </x:c>
      <x:c r="E144" s="75" t="n">
        <x:v>2025</x:v>
      </x:c>
      <x:c r="F144" s="75" t="n">
        <x:v>1</x:v>
      </x:c>
      <x:c r="G144" s="75" t="str">
        <x:v>https://dps.psx.com.pk/historical</x:v>
      </x:c>
      <x:c r="H144" s="75" t="str">
        <x:v>{"symbol":"FCCL","year":"2025","month":"1"}</x:v>
      </x:c>
      <x:c r="I144" s="75" t="str">
        <x:v>1cce227af2c55325c0601494dc355adefb6ffe8abc7a02c83ff3d7fed6c29e6f</x:v>
      </x:c>
      <x:c r="J144" s="75" t="str">
        <x:v>Jan 8, 2025 | 34.65 | 34.90 | 33.01 | 33.47 | 8,102,971</x:v>
      </x:c>
    </x:row>
    <x:row r="145" ht="23" customHeight="1">
      <x:c r="A145" s="190" t="d">
        <x:v>2025-01-09T00:00:00.000Z</x:v>
      </x:c>
      <x:c r="B145" s="159" t="n">
        <x:v>33.02</x:v>
      </x:c>
      <x:c r="C145" s="191" t="n">
        <x:v>5258627</x:v>
      </x:c>
      <x:c r="D145" s="75" t="n">
        <x:v>2025</x:v>
      </x:c>
      <x:c r="E145" s="75" t="n">
        <x:v>2025</x:v>
      </x:c>
      <x:c r="F145" s="75" t="n">
        <x:v>1</x:v>
      </x:c>
      <x:c r="G145" s="75" t="str">
        <x:v>https://dps.psx.com.pk/historical</x:v>
      </x:c>
      <x:c r="H145" s="75" t="str">
        <x:v>{"symbol":"FCCL","year":"2025","month":"1"}</x:v>
      </x:c>
      <x:c r="I145" s="75" t="str">
        <x:v>1cce227af2c55325c0601494dc355adefb6ffe8abc7a02c83ff3d7fed6c29e6f</x:v>
      </x:c>
      <x:c r="J145" s="75" t="str">
        <x:v>Jan 9, 2025 | 33.47 | 33.80 | 32.93 | 33.02 | 5,258,627</x:v>
      </x:c>
    </x:row>
    <x:row r="146" ht="23" customHeight="1">
      <x:c r="A146" s="190" t="d">
        <x:v>2025-01-10T00:00:00.000Z</x:v>
      </x:c>
      <x:c r="B146" s="159" t="n">
        <x:v>34.14</x:v>
      </x:c>
      <x:c r="C146" s="191" t="n">
        <x:v>10044375</x:v>
      </x:c>
      <x:c r="D146" s="75" t="n">
        <x:v>2025</x:v>
      </x:c>
      <x:c r="E146" s="75" t="n">
        <x:v>2025</x:v>
      </x:c>
      <x:c r="F146" s="75" t="n">
        <x:v>1</x:v>
      </x:c>
      <x:c r="G146" s="75" t="str">
        <x:v>https://dps.psx.com.pk/historical</x:v>
      </x:c>
      <x:c r="H146" s="75" t="str">
        <x:v>{"symbol":"FCCL","year":"2025","month":"1"}</x:v>
      </x:c>
      <x:c r="I146" s="75" t="str">
        <x:v>1cce227af2c55325c0601494dc355adefb6ffe8abc7a02c83ff3d7fed6c29e6f</x:v>
      </x:c>
      <x:c r="J146" s="75" t="str">
        <x:v>Jan 10, 2025 | 33.05 | 34.48 | 32.83 | 34.14 | 10,044,375</x:v>
      </x:c>
    </x:row>
    <x:row r="147" ht="23" customHeight="1">
      <x:c r="A147" s="190" t="d">
        <x:v>2025-01-13T00:00:00.000Z</x:v>
      </x:c>
      <x:c r="B147" s="159" t="n">
        <x:v>34.42</x:v>
      </x:c>
      <x:c r="C147" s="191" t="n">
        <x:v>7321157</x:v>
      </x:c>
      <x:c r="D147" s="75" t="n">
        <x:v>2025</x:v>
      </x:c>
      <x:c r="E147" s="75" t="n">
        <x:v>2025</x:v>
      </x:c>
      <x:c r="F147" s="75" t="n">
        <x:v>1</x:v>
      </x:c>
      <x:c r="G147" s="75" t="str">
        <x:v>https://dps.psx.com.pk/historical</x:v>
      </x:c>
      <x:c r="H147" s="75" t="str">
        <x:v>{"symbol":"FCCL","year":"2025","month":"1"}</x:v>
      </x:c>
      <x:c r="I147" s="75" t="str">
        <x:v>1cce227af2c55325c0601494dc355adefb6ffe8abc7a02c83ff3d7fed6c29e6f</x:v>
      </x:c>
      <x:c r="J147" s="75" t="str">
        <x:v>Jan 13, 2025 | 34.36 | 34.90 | 34.07 | 34.42 | 7,321,157</x:v>
      </x:c>
    </x:row>
    <x:row r="148" ht="23" customHeight="1">
      <x:c r="A148" s="190" t="d">
        <x:v>2025-01-14T00:00:00.000Z</x:v>
      </x:c>
      <x:c r="B148" s="159" t="n">
        <x:v>34.94</x:v>
      </x:c>
      <x:c r="C148" s="191" t="n">
        <x:v>10515007</x:v>
      </x:c>
      <x:c r="D148" s="75" t="n">
        <x:v>2025</x:v>
      </x:c>
      <x:c r="E148" s="75" t="n">
        <x:v>2025</x:v>
      </x:c>
      <x:c r="F148" s="75" t="n">
        <x:v>1</x:v>
      </x:c>
      <x:c r="G148" s="75" t="str">
        <x:v>https://dps.psx.com.pk/historical</x:v>
      </x:c>
      <x:c r="H148" s="75" t="str">
        <x:v>{"symbol":"FCCL","year":"2025","month":"1"}</x:v>
      </x:c>
      <x:c r="I148" s="75" t="str">
        <x:v>1cce227af2c55325c0601494dc355adefb6ffe8abc7a02c83ff3d7fed6c29e6f</x:v>
      </x:c>
      <x:c r="J148" s="75" t="str">
        <x:v>Jan 14, 2025 | 34.75 | 35.41 | 34.32 | 34.94 | 10,515,007</x:v>
      </x:c>
    </x:row>
    <x:row r="149" ht="23" customHeight="1">
      <x:c r="A149" s="190" t="d">
        <x:v>2025-01-15T00:00:00.000Z</x:v>
      </x:c>
      <x:c r="B149" s="159" t="n">
        <x:v>34.66</x:v>
      </x:c>
      <x:c r="C149" s="191" t="n">
        <x:v>7102217</x:v>
      </x:c>
      <x:c r="D149" s="75" t="n">
        <x:v>2025</x:v>
      </x:c>
      <x:c r="E149" s="75" t="n">
        <x:v>2025</x:v>
      </x:c>
      <x:c r="F149" s="75" t="n">
        <x:v>1</x:v>
      </x:c>
      <x:c r="G149" s="75" t="str">
        <x:v>https://dps.psx.com.pk/historical</x:v>
      </x:c>
      <x:c r="H149" s="75" t="str">
        <x:v>{"symbol":"FCCL","year":"2025","month":"1"}</x:v>
      </x:c>
      <x:c r="I149" s="75" t="str">
        <x:v>1cce227af2c55325c0601494dc355adefb6ffe8abc7a02c83ff3d7fed6c29e6f</x:v>
      </x:c>
      <x:c r="J149" s="75" t="str">
        <x:v>Jan 15, 2025 | 35.45 | 35.49 | 34.55 | 34.66 | 7,102,217</x:v>
      </x:c>
    </x:row>
    <x:row r="150" ht="23" customHeight="1">
      <x:c r="A150" s="190" t="d">
        <x:v>2025-01-16T00:00:00.000Z</x:v>
      </x:c>
      <x:c r="B150" s="159" t="n">
        <x:v>34.09</x:v>
      </x:c>
      <x:c r="C150" s="191" t="n">
        <x:v>3481558</x:v>
      </x:c>
      <x:c r="D150" s="75" t="n">
        <x:v>2025</x:v>
      </x:c>
      <x:c r="E150" s="75" t="n">
        <x:v>2025</x:v>
      </x:c>
      <x:c r="F150" s="75" t="n">
        <x:v>1</x:v>
      </x:c>
      <x:c r="G150" s="75" t="str">
        <x:v>https://dps.psx.com.pk/historical</x:v>
      </x:c>
      <x:c r="H150" s="75" t="str">
        <x:v>{"symbol":"FCCL","year":"2025","month":"1"}</x:v>
      </x:c>
      <x:c r="I150" s="75" t="str">
        <x:v>1cce227af2c55325c0601494dc355adefb6ffe8abc7a02c83ff3d7fed6c29e6f</x:v>
      </x:c>
      <x:c r="J150" s="75" t="str">
        <x:v>Jan 16, 2025 | 34.82 | 34.82 | 34.00 | 34.09 | 3,481,558</x:v>
      </x:c>
    </x:row>
    <x:row r="151" ht="23" customHeight="1">
      <x:c r="A151" s="190" t="d">
        <x:v>2025-01-17T00:00:00.000Z</x:v>
      </x:c>
      <x:c r="B151" s="159" t="n">
        <x:v>34.83</x:v>
      </x:c>
      <x:c r="C151" s="191" t="n">
        <x:v>8393064</x:v>
      </x:c>
      <x:c r="D151" s="75" t="n">
        <x:v>2025</x:v>
      </x:c>
      <x:c r="E151" s="75" t="n">
        <x:v>2025</x:v>
      </x:c>
      <x:c r="F151" s="75" t="n">
        <x:v>1</x:v>
      </x:c>
      <x:c r="G151" s="75" t="str">
        <x:v>https://dps.psx.com.pk/historical</x:v>
      </x:c>
      <x:c r="H151" s="75" t="str">
        <x:v>{"symbol":"FCCL","year":"2025","month":"1"}</x:v>
      </x:c>
      <x:c r="I151" s="75" t="str">
        <x:v>1cce227af2c55325c0601494dc355adefb6ffe8abc7a02c83ff3d7fed6c29e6f</x:v>
      </x:c>
      <x:c r="J151" s="75" t="str">
        <x:v>Jan 17, 2025 | 33.81 | 35.35 | 33.81 | 34.83 | 8,393,064</x:v>
      </x:c>
    </x:row>
    <x:row r="152" ht="23" customHeight="1">
      <x:c r="A152" s="190" t="d">
        <x:v>2025-01-20T00:00:00.000Z</x:v>
      </x:c>
      <x:c r="B152" s="159" t="n">
        <x:v>35.36</x:v>
      </x:c>
      <x:c r="C152" s="191" t="n">
        <x:v>8642985</x:v>
      </x:c>
      <x:c r="D152" s="75" t="n">
        <x:v>2025</x:v>
      </x:c>
      <x:c r="E152" s="75" t="n">
        <x:v>2025</x:v>
      </x:c>
      <x:c r="F152" s="75" t="n">
        <x:v>1</x:v>
      </x:c>
      <x:c r="G152" s="75" t="str">
        <x:v>https://dps.psx.com.pk/historical</x:v>
      </x:c>
      <x:c r="H152" s="75" t="str">
        <x:v>{"symbol":"FCCL","year":"2025","month":"1"}</x:v>
      </x:c>
      <x:c r="I152" s="75" t="str">
        <x:v>1cce227af2c55325c0601494dc355adefb6ffe8abc7a02c83ff3d7fed6c29e6f</x:v>
      </x:c>
      <x:c r="J152" s="75" t="str">
        <x:v>Jan 20, 2025 | 35.00 | 35.80 | 35.00 | 35.36 | 8,642,985</x:v>
      </x:c>
    </x:row>
    <x:row r="153" ht="23" customHeight="1">
      <x:c r="A153" s="190" t="d">
        <x:v>2025-01-21T00:00:00.000Z</x:v>
      </x:c>
      <x:c r="B153" s="159" t="n">
        <x:v>36</x:v>
      </x:c>
      <x:c r="C153" s="191" t="n">
        <x:v>53698225</x:v>
      </x:c>
      <x:c r="D153" s="75" t="n">
        <x:v>2025</x:v>
      </x:c>
      <x:c r="E153" s="75" t="n">
        <x:v>2025</x:v>
      </x:c>
      <x:c r="F153" s="75" t="n">
        <x:v>1</x:v>
      </x:c>
      <x:c r="G153" s="75" t="str">
        <x:v>https://dps.psx.com.pk/historical</x:v>
      </x:c>
      <x:c r="H153" s="75" t="str">
        <x:v>{"symbol":"FCCL","year":"2025","month":"1"}</x:v>
      </x:c>
      <x:c r="I153" s="75" t="str">
        <x:v>1cce227af2c55325c0601494dc355adefb6ffe8abc7a02c83ff3d7fed6c29e6f</x:v>
      </x:c>
      <x:c r="J153" s="75" t="str">
        <x:v>Jan 21, 2025 | 35.36 | 37.40 | 35.21 | 36.00 | 53,698,225</x:v>
      </x:c>
    </x:row>
    <x:row r="154" ht="23" customHeight="1">
      <x:c r="A154" s="190" t="d">
        <x:v>2025-01-22T00:00:00.000Z</x:v>
      </x:c>
      <x:c r="B154" s="159" t="n">
        <x:v>38.58</x:v>
      </x:c>
      <x:c r="C154" s="191" t="n">
        <x:v>83552040</x:v>
      </x:c>
      <x:c r="D154" s="75" t="n">
        <x:v>2025</x:v>
      </x:c>
      <x:c r="E154" s="75" t="n">
        <x:v>2025</x:v>
      </x:c>
      <x:c r="F154" s="75" t="n">
        <x:v>1</x:v>
      </x:c>
      <x:c r="G154" s="75" t="str">
        <x:v>https://dps.psx.com.pk/historical</x:v>
      </x:c>
      <x:c r="H154" s="75" t="str">
        <x:v>{"symbol":"FCCL","year":"2025","month":"1"}</x:v>
      </x:c>
      <x:c r="I154" s="75" t="str">
        <x:v>1cce227af2c55325c0601494dc355adefb6ffe8abc7a02c83ff3d7fed6c29e6f</x:v>
      </x:c>
      <x:c r="J154" s="75" t="str">
        <x:v>Jan 22, 2025 | 36.20 | 39.58 | 36.01 | 38.58 | 83,552,040</x:v>
      </x:c>
    </x:row>
    <x:row r="155" ht="23" customHeight="1">
      <x:c r="A155" s="190" t="d">
        <x:v>2025-01-23T00:00:00.000Z</x:v>
      </x:c>
      <x:c r="B155" s="159" t="n">
        <x:v>40.65</x:v>
      </x:c>
      <x:c r="C155" s="191" t="n">
        <x:v>47170217</x:v>
      </x:c>
      <x:c r="D155" s="75" t="n">
        <x:v>2025</x:v>
      </x:c>
      <x:c r="E155" s="75" t="n">
        <x:v>2025</x:v>
      </x:c>
      <x:c r="F155" s="75" t="n">
        <x:v>1</x:v>
      </x:c>
      <x:c r="G155" s="75" t="str">
        <x:v>https://dps.psx.com.pk/historical</x:v>
      </x:c>
      <x:c r="H155" s="75" t="str">
        <x:v>{"symbol":"FCCL","year":"2025","month":"1"}</x:v>
      </x:c>
      <x:c r="I155" s="75" t="str">
        <x:v>1cce227af2c55325c0601494dc355adefb6ffe8abc7a02c83ff3d7fed6c29e6f</x:v>
      </x:c>
      <x:c r="J155" s="75" t="str">
        <x:v>Jan 23, 2025 | 40.00 | 41.15 | 39.50 | 40.65 | 47,170,217</x:v>
      </x:c>
    </x:row>
    <x:row r="156" ht="23" customHeight="1">
      <x:c r="A156" s="190" t="d">
        <x:v>2025-01-24T00:00:00.000Z</x:v>
      </x:c>
      <x:c r="B156" s="159" t="n">
        <x:v>40.06</x:v>
      </x:c>
      <x:c r="C156" s="191" t="n">
        <x:v>20797108</x:v>
      </x:c>
      <x:c r="D156" s="75" t="n">
        <x:v>2025</x:v>
      </x:c>
      <x:c r="E156" s="75" t="n">
        <x:v>2025</x:v>
      </x:c>
      <x:c r="F156" s="75" t="n">
        <x:v>1</x:v>
      </x:c>
      <x:c r="G156" s="75" t="str">
        <x:v>https://dps.psx.com.pk/historical</x:v>
      </x:c>
      <x:c r="H156" s="75" t="str">
        <x:v>{"symbol":"FCCL","year":"2025","month":"1"}</x:v>
      </x:c>
      <x:c r="I156" s="75" t="str">
        <x:v>1cce227af2c55325c0601494dc355adefb6ffe8abc7a02c83ff3d7fed6c29e6f</x:v>
      </x:c>
      <x:c r="J156" s="75" t="str">
        <x:v>Jan 24, 2025 | 41.00 | 41.65 | 39.25 | 40.06 | 20,797,108</x:v>
      </x:c>
    </x:row>
    <x:row r="157" ht="23" customHeight="1">
      <x:c r="A157" s="190" t="d">
        <x:v>2025-01-27T00:00:00.000Z</x:v>
      </x:c>
      <x:c r="B157" s="159" t="n">
        <x:v>39.41</x:v>
      </x:c>
      <x:c r="C157" s="191" t="n">
        <x:v>14398992</x:v>
      </x:c>
      <x:c r="D157" s="75" t="n">
        <x:v>2025</x:v>
      </x:c>
      <x:c r="E157" s="75" t="n">
        <x:v>2025</x:v>
      </x:c>
      <x:c r="F157" s="75" t="n">
        <x:v>1</x:v>
      </x:c>
      <x:c r="G157" s="75" t="str">
        <x:v>https://dps.psx.com.pk/historical</x:v>
      </x:c>
      <x:c r="H157" s="75" t="str">
        <x:v>{"symbol":"FCCL","year":"2025","month":"1"}</x:v>
      </x:c>
      <x:c r="I157" s="75" t="str">
        <x:v>1cce227af2c55325c0601494dc355adefb6ffe8abc7a02c83ff3d7fed6c29e6f</x:v>
      </x:c>
      <x:c r="J157" s="75" t="str">
        <x:v>Jan 27, 2025 | 40.69 | 40.69 | 38.82 | 39.41 | 14,398,992</x:v>
      </x:c>
    </x:row>
    <x:row r="158" ht="23" customHeight="1">
      <x:c r="A158" s="190" t="d">
        <x:v>2025-01-28T00:00:00.000Z</x:v>
      </x:c>
      <x:c r="B158" s="159" t="n">
        <x:v>38.77</x:v>
      </x:c>
      <x:c r="C158" s="191" t="n">
        <x:v>18743736</x:v>
      </x:c>
      <x:c r="D158" s="75" t="n">
        <x:v>2025</x:v>
      </x:c>
      <x:c r="E158" s="75" t="n">
        <x:v>2025</x:v>
      </x:c>
      <x:c r="F158" s="75" t="n">
        <x:v>1</x:v>
      </x:c>
      <x:c r="G158" s="75" t="str">
        <x:v>https://dps.psx.com.pk/historical</x:v>
      </x:c>
      <x:c r="H158" s="75" t="str">
        <x:v>{"symbol":"FCCL","year":"2025","month":"1"}</x:v>
      </x:c>
      <x:c r="I158" s="75" t="str">
        <x:v>1cce227af2c55325c0601494dc355adefb6ffe8abc7a02c83ff3d7fed6c29e6f</x:v>
      </x:c>
      <x:c r="J158" s="75" t="str">
        <x:v>Jan 28, 2025 | 39.74 | 40.20 | 38.25 | 38.77 | 18,743,736</x:v>
      </x:c>
    </x:row>
    <x:row r="159" ht="23" customHeight="1">
      <x:c r="A159" s="190" t="d">
        <x:v>2025-01-29T00:00:00.000Z</x:v>
      </x:c>
      <x:c r="B159" s="159" t="n">
        <x:v>37.7</x:v>
      </x:c>
      <x:c r="C159" s="191" t="n">
        <x:v>13308955</x:v>
      </x:c>
      <x:c r="D159" s="75" t="n">
        <x:v>2025</x:v>
      </x:c>
      <x:c r="E159" s="75" t="n">
        <x:v>2025</x:v>
      </x:c>
      <x:c r="F159" s="75" t="n">
        <x:v>1</x:v>
      </x:c>
      <x:c r="G159" s="75" t="str">
        <x:v>https://dps.psx.com.pk/historical</x:v>
      </x:c>
      <x:c r="H159" s="75" t="str">
        <x:v>{"symbol":"FCCL","year":"2025","month":"1"}</x:v>
      </x:c>
      <x:c r="I159" s="75" t="str">
        <x:v>1cce227af2c55325c0601494dc355adefb6ffe8abc7a02c83ff3d7fed6c29e6f</x:v>
      </x:c>
      <x:c r="J159" s="75" t="str">
        <x:v>Jan 29, 2025 | 38.50 | 39.30 | 37.50 | 37.70 | 13,308,955</x:v>
      </x:c>
    </x:row>
    <x:row r="160" ht="23" customHeight="1">
      <x:c r="A160" s="190" t="d">
        <x:v>2025-01-30T00:00:00.000Z</x:v>
      </x:c>
      <x:c r="B160" s="159" t="n">
        <x:v>37.86</x:v>
      </x:c>
      <x:c r="C160" s="191" t="n">
        <x:v>8607638</x:v>
      </x:c>
      <x:c r="D160" s="75" t="n">
        <x:v>2025</x:v>
      </x:c>
      <x:c r="E160" s="75" t="n">
        <x:v>2025</x:v>
      </x:c>
      <x:c r="F160" s="75" t="n">
        <x:v>1</x:v>
      </x:c>
      <x:c r="G160" s="75" t="str">
        <x:v>https://dps.psx.com.pk/historical</x:v>
      </x:c>
      <x:c r="H160" s="75" t="str">
        <x:v>{"symbol":"FCCL","year":"2025","month":"1"}</x:v>
      </x:c>
      <x:c r="I160" s="75" t="str">
        <x:v>1cce227af2c55325c0601494dc355adefb6ffe8abc7a02c83ff3d7fed6c29e6f</x:v>
      </x:c>
      <x:c r="J160" s="75" t="str">
        <x:v>Jan 30, 2025 | 37.95 | 38.30 | 36.00 | 37.86 | 8,607,638</x:v>
      </x:c>
    </x:row>
    <x:row r="161" ht="23" customHeight="1">
      <x:c r="A161" s="190" t="d">
        <x:v>2025-01-31T00:00:00.000Z</x:v>
      </x:c>
      <x:c r="B161" s="159" t="n">
        <x:v>38.1</x:v>
      </x:c>
      <x:c r="C161" s="191" t="n">
        <x:v>7199999</x:v>
      </x:c>
      <x:c r="D161" s="75" t="n">
        <x:v>2025</x:v>
      </x:c>
      <x:c r="E161" s="75" t="n">
        <x:v>2025</x:v>
      </x:c>
      <x:c r="F161" s="75" t="n">
        <x:v>1</x:v>
      </x:c>
      <x:c r="G161" s="75" t="str">
        <x:v>https://dps.psx.com.pk/historical</x:v>
      </x:c>
      <x:c r="H161" s="75" t="str">
        <x:v>{"symbol":"FCCL","year":"2025","month":"1"}</x:v>
      </x:c>
      <x:c r="I161" s="75" t="str">
        <x:v>1cce227af2c55325c0601494dc355adefb6ffe8abc7a02c83ff3d7fed6c29e6f</x:v>
      </x:c>
      <x:c r="J161" s="75" t="str">
        <x:v>Jan 31, 2025 | 37.98 | 38.65 | 37.51 | 38.10 | 7,199,999</x:v>
      </x:c>
    </x:row>
    <x:row r="162" ht="23" customHeight="1">
      <x:c r="A162" s="190" t="d">
        <x:v>2025-02-03T00:00:00.000Z</x:v>
      </x:c>
      <x:c r="B162" s="159" t="n">
        <x:v>38.1</x:v>
      </x:c>
      <x:c r="C162" s="191" t="n">
        <x:v>16213883</x:v>
      </x:c>
      <x:c r="D162" s="75" t="n">
        <x:v>2025</x:v>
      </x:c>
      <x:c r="E162" s="75" t="n">
        <x:v>2025</x:v>
      </x:c>
      <x:c r="F162" s="75" t="n">
        <x:v>2</x:v>
      </x:c>
      <x:c r="G162" s="75" t="str">
        <x:v>https://dps.psx.com.pk/historical</x:v>
      </x:c>
      <x:c r="H162" s="75" t="str">
        <x:v>{"symbol":"FCCL","year":"2025","month":"2"}</x:v>
      </x:c>
      <x:c r="I162" s="75" t="str">
        <x:v>cd6d9f89a384199456b24e37a40f5ae3f0eb7c879d4bc413e228ae400c721d74</x:v>
      </x:c>
      <x:c r="J162" s="75" t="str">
        <x:v>Feb 3, 2025 | 38.51 | 39.20 | 37.80 | 38.10 | 16,213,883</x:v>
      </x:c>
    </x:row>
    <x:row r="163" ht="23" customHeight="1">
      <x:c r="A163" s="190" t="d">
        <x:v>2025-02-04T00:00:00.000Z</x:v>
      </x:c>
      <x:c r="B163" s="159" t="n">
        <x:v>37.64</x:v>
      </x:c>
      <x:c r="C163" s="191" t="n">
        <x:v>12847614</x:v>
      </x:c>
      <x:c r="D163" s="75" t="n">
        <x:v>2025</x:v>
      </x:c>
      <x:c r="E163" s="75" t="n">
        <x:v>2025</x:v>
      </x:c>
      <x:c r="F163" s="75" t="n">
        <x:v>2</x:v>
      </x:c>
      <x:c r="G163" s="75" t="str">
        <x:v>https://dps.psx.com.pk/historical</x:v>
      </x:c>
      <x:c r="H163" s="75" t="str">
        <x:v>{"symbol":"FCCL","year":"2025","month":"2"}</x:v>
      </x:c>
      <x:c r="I163" s="75" t="str">
        <x:v>cd6d9f89a384199456b24e37a40f5ae3f0eb7c879d4bc413e228ae400c721d74</x:v>
      </x:c>
      <x:c r="J163" s="75" t="str">
        <x:v>Feb 4, 2025 | 38.15 | 39.20 | 37.41 | 37.64 | 12,847,614</x:v>
      </x:c>
    </x:row>
    <x:row r="164" ht="23" customHeight="1">
      <x:c r="A164" s="190" t="d">
        <x:v>2025-02-06T00:00:00.000Z</x:v>
      </x:c>
      <x:c r="B164" s="159" t="n">
        <x:v>36.64</x:v>
      </x:c>
      <x:c r="C164" s="191" t="n">
        <x:v>6409796</x:v>
      </x:c>
      <x:c r="D164" s="75" t="n">
        <x:v>2025</x:v>
      </x:c>
      <x:c r="E164" s="75" t="n">
        <x:v>2025</x:v>
      </x:c>
      <x:c r="F164" s="75" t="n">
        <x:v>2</x:v>
      </x:c>
      <x:c r="G164" s="75" t="str">
        <x:v>https://dps.psx.com.pk/historical</x:v>
      </x:c>
      <x:c r="H164" s="75" t="str">
        <x:v>{"symbol":"FCCL","year":"2025","month":"2"}</x:v>
      </x:c>
      <x:c r="I164" s="75" t="str">
        <x:v>cd6d9f89a384199456b24e37a40f5ae3f0eb7c879d4bc413e228ae400c721d74</x:v>
      </x:c>
      <x:c r="J164" s="75" t="str">
        <x:v>Feb 6, 2025 | 37.90 | 38.00 | 36.50 | 36.64 | 6,409,796</x:v>
      </x:c>
    </x:row>
    <x:row r="165" ht="23" customHeight="1">
      <x:c r="A165" s="190" t="d">
        <x:v>2025-02-07T00:00:00.000Z</x:v>
      </x:c>
      <x:c r="B165" s="159" t="n">
        <x:v>36.43</x:v>
      </x:c>
      <x:c r="C165" s="191" t="n">
        <x:v>7154487</x:v>
      </x:c>
      <x:c r="D165" s="75" t="n">
        <x:v>2025</x:v>
      </x:c>
      <x:c r="E165" s="75" t="n">
        <x:v>2025</x:v>
      </x:c>
      <x:c r="F165" s="75" t="n">
        <x:v>2</x:v>
      </x:c>
      <x:c r="G165" s="75" t="str">
        <x:v>https://dps.psx.com.pk/historical</x:v>
      </x:c>
      <x:c r="H165" s="75" t="str">
        <x:v>{"symbol":"FCCL","year":"2025","month":"2"}</x:v>
      </x:c>
      <x:c r="I165" s="75" t="str">
        <x:v>cd6d9f89a384199456b24e37a40f5ae3f0eb7c879d4bc413e228ae400c721d74</x:v>
      </x:c>
      <x:c r="J165" s="75" t="str">
        <x:v>Feb 7, 2025 | 36.88 | 37.05 | 36.00 | 36.43 | 7,154,487</x:v>
      </x:c>
    </x:row>
    <x:row r="166" ht="23" customHeight="1">
      <x:c r="A166" s="190" t="d">
        <x:v>2025-02-10T00:00:00.000Z</x:v>
      </x:c>
      <x:c r="B166" s="159" t="n">
        <x:v>37.01</x:v>
      </x:c>
      <x:c r="C166" s="191" t="n">
        <x:v>6810172</x:v>
      </x:c>
      <x:c r="D166" s="75" t="n">
        <x:v>2025</x:v>
      </x:c>
      <x:c r="E166" s="75" t="n">
        <x:v>2025</x:v>
      </x:c>
      <x:c r="F166" s="75" t="n">
        <x:v>2</x:v>
      </x:c>
      <x:c r="G166" s="75" t="str">
        <x:v>https://dps.psx.com.pk/historical</x:v>
      </x:c>
      <x:c r="H166" s="75" t="str">
        <x:v>{"symbol":"FCCL","year":"2025","month":"2"}</x:v>
      </x:c>
      <x:c r="I166" s="75" t="str">
        <x:v>cd6d9f89a384199456b24e37a40f5ae3f0eb7c879d4bc413e228ae400c721d74</x:v>
      </x:c>
      <x:c r="J166" s="75" t="str">
        <x:v>Feb 10, 2025 | 36.43 | 37.20 | 36.01 | 37.01 | 6,810,172</x:v>
      </x:c>
    </x:row>
    <x:row r="167" ht="23" customHeight="1">
      <x:c r="A167" s="190" t="d">
        <x:v>2025-02-11T00:00:00.000Z</x:v>
      </x:c>
      <x:c r="B167" s="159" t="n">
        <x:v>38.7</x:v>
      </x:c>
      <x:c r="C167" s="191" t="n">
        <x:v>16404789</x:v>
      </x:c>
      <x:c r="D167" s="75" t="n">
        <x:v>2025</x:v>
      </x:c>
      <x:c r="E167" s="75" t="n">
        <x:v>2025</x:v>
      </x:c>
      <x:c r="F167" s="75" t="n">
        <x:v>2</x:v>
      </x:c>
      <x:c r="G167" s="75" t="str">
        <x:v>https://dps.psx.com.pk/historical</x:v>
      </x:c>
      <x:c r="H167" s="75" t="str">
        <x:v>{"symbol":"FCCL","year":"2025","month":"2"}</x:v>
      </x:c>
      <x:c r="I167" s="75" t="str">
        <x:v>cd6d9f89a384199456b24e37a40f5ae3f0eb7c879d4bc413e228ae400c721d74</x:v>
      </x:c>
      <x:c r="J167" s="75" t="str">
        <x:v>Feb 11, 2025 | 37.12 | 38.90 | 37.00 | 38.70 | 16,404,789</x:v>
      </x:c>
    </x:row>
    <x:row r="168" ht="23" customHeight="1">
      <x:c r="A168" s="190" t="d">
        <x:v>2025-02-12T00:00:00.000Z</x:v>
      </x:c>
      <x:c r="B168" s="159" t="n">
        <x:v>38.43</x:v>
      </x:c>
      <x:c r="C168" s="191" t="n">
        <x:v>10549752</x:v>
      </x:c>
      <x:c r="D168" s="75" t="n">
        <x:v>2025</x:v>
      </x:c>
      <x:c r="E168" s="75" t="n">
        <x:v>2025</x:v>
      </x:c>
      <x:c r="F168" s="75" t="n">
        <x:v>2</x:v>
      </x:c>
      <x:c r="G168" s="75" t="str">
        <x:v>https://dps.psx.com.pk/historical</x:v>
      </x:c>
      <x:c r="H168" s="75" t="str">
        <x:v>{"symbol":"FCCL","year":"2025","month":"2"}</x:v>
      </x:c>
      <x:c r="I168" s="75" t="str">
        <x:v>cd6d9f89a384199456b24e37a40f5ae3f0eb7c879d4bc413e228ae400c721d74</x:v>
      </x:c>
      <x:c r="J168" s="75" t="str">
        <x:v>Feb 12, 2025 | 38.79 | 39.15 | 38.00 | 38.43 | 10,549,752</x:v>
      </x:c>
    </x:row>
    <x:row r="169" ht="23" customHeight="1">
      <x:c r="A169" s="190" t="d">
        <x:v>2025-02-13T00:00:00.000Z</x:v>
      </x:c>
      <x:c r="B169" s="159" t="n">
        <x:v>37.79</x:v>
      </x:c>
      <x:c r="C169" s="191" t="n">
        <x:v>3081599</x:v>
      </x:c>
      <x:c r="D169" s="75" t="n">
        <x:v>2025</x:v>
      </x:c>
      <x:c r="E169" s="75" t="n">
        <x:v>2025</x:v>
      </x:c>
      <x:c r="F169" s="75" t="n">
        <x:v>2</x:v>
      </x:c>
      <x:c r="G169" s="75" t="str">
        <x:v>https://dps.psx.com.pk/historical</x:v>
      </x:c>
      <x:c r="H169" s="75" t="str">
        <x:v>{"symbol":"FCCL","year":"2025","month":"2"}</x:v>
      </x:c>
      <x:c r="I169" s="75" t="str">
        <x:v>cd6d9f89a384199456b24e37a40f5ae3f0eb7c879d4bc413e228ae400c721d74</x:v>
      </x:c>
      <x:c r="J169" s="75" t="str">
        <x:v>Feb 13, 2025 | 38.48 | 38.80 | 37.70 | 37.79 | 3,081,599</x:v>
      </x:c>
    </x:row>
    <x:row r="170" ht="23" customHeight="1">
      <x:c r="A170" s="190" t="d">
        <x:v>2025-02-14T00:00:00.000Z</x:v>
      </x:c>
      <x:c r="B170" s="159" t="n">
        <x:v>36.65</x:v>
      </x:c>
      <x:c r="C170" s="191" t="n">
        <x:v>17068146</x:v>
      </x:c>
      <x:c r="D170" s="75" t="n">
        <x:v>2025</x:v>
      </x:c>
      <x:c r="E170" s="75" t="n">
        <x:v>2025</x:v>
      </x:c>
      <x:c r="F170" s="75" t="n">
        <x:v>2</x:v>
      </x:c>
      <x:c r="G170" s="75" t="str">
        <x:v>https://dps.psx.com.pk/historical</x:v>
      </x:c>
      <x:c r="H170" s="75" t="str">
        <x:v>{"symbol":"FCCL","year":"2025","month":"2"}</x:v>
      </x:c>
      <x:c r="I170" s="75" t="str">
        <x:v>cd6d9f89a384199456b24e37a40f5ae3f0eb7c879d4bc413e228ae400c721d74</x:v>
      </x:c>
      <x:c r="J170" s="75" t="str">
        <x:v>Feb 14, 2025 | 37.99 | 38.85 | 36.43 | 36.65 | 17,068,146</x:v>
      </x:c>
    </x:row>
    <x:row r="171" ht="23" customHeight="1">
      <x:c r="A171" s="190" t="d">
        <x:v>2025-02-17T00:00:00.000Z</x:v>
      </x:c>
      <x:c r="B171" s="159" t="n">
        <x:v>37.08</x:v>
      </x:c>
      <x:c r="C171" s="191" t="n">
        <x:v>4960195</x:v>
      </x:c>
      <x:c r="D171" s="75" t="n">
        <x:v>2025</x:v>
      </x:c>
      <x:c r="E171" s="75" t="n">
        <x:v>2025</x:v>
      </x:c>
      <x:c r="F171" s="75" t="n">
        <x:v>2</x:v>
      </x:c>
      <x:c r="G171" s="75" t="str">
        <x:v>https://dps.psx.com.pk/historical</x:v>
      </x:c>
      <x:c r="H171" s="75" t="str">
        <x:v>{"symbol":"FCCL","year":"2025","month":"2"}</x:v>
      </x:c>
      <x:c r="I171" s="75" t="str">
        <x:v>cd6d9f89a384199456b24e37a40f5ae3f0eb7c879d4bc413e228ae400c721d74</x:v>
      </x:c>
      <x:c r="J171" s="75" t="str">
        <x:v>Feb 17, 2025 | 36.05 | 37.60 | 36.05 | 37.08 | 4,960,195</x:v>
      </x:c>
    </x:row>
    <x:row r="172" ht="23" customHeight="1">
      <x:c r="A172" s="190" t="d">
        <x:v>2025-02-18T00:00:00.000Z</x:v>
      </x:c>
      <x:c r="B172" s="159" t="n">
        <x:v>38.71</x:v>
      </x:c>
      <x:c r="C172" s="191" t="n">
        <x:v>9074209</x:v>
      </x:c>
      <x:c r="D172" s="75" t="n">
        <x:v>2025</x:v>
      </x:c>
      <x:c r="E172" s="75" t="n">
        <x:v>2025</x:v>
      </x:c>
      <x:c r="F172" s="75" t="n">
        <x:v>2</x:v>
      </x:c>
      <x:c r="G172" s="75" t="str">
        <x:v>https://dps.psx.com.pk/historical</x:v>
      </x:c>
      <x:c r="H172" s="75" t="str">
        <x:v>{"symbol":"FCCL","year":"2025","month":"2"}</x:v>
      </x:c>
      <x:c r="I172" s="75" t="str">
        <x:v>cd6d9f89a384199456b24e37a40f5ae3f0eb7c879d4bc413e228ae400c721d74</x:v>
      </x:c>
      <x:c r="J172" s="75" t="str">
        <x:v>Feb 18, 2025 | 37.25 | 38.85 | 36.90 | 38.71 | 9,074,209</x:v>
      </x:c>
    </x:row>
    <x:row r="173" ht="23" customHeight="1">
      <x:c r="A173" s="190" t="d">
        <x:v>2025-02-19T00:00:00.000Z</x:v>
      </x:c>
      <x:c r="B173" s="159" t="n">
        <x:v>40.55</x:v>
      </x:c>
      <x:c r="C173" s="191" t="n">
        <x:v>38112842</x:v>
      </x:c>
      <x:c r="D173" s="75" t="n">
        <x:v>2025</x:v>
      </x:c>
      <x:c r="E173" s="75" t="n">
        <x:v>2025</x:v>
      </x:c>
      <x:c r="F173" s="75" t="n">
        <x:v>2</x:v>
      </x:c>
      <x:c r="G173" s="75" t="str">
        <x:v>https://dps.psx.com.pk/historical</x:v>
      </x:c>
      <x:c r="H173" s="75" t="str">
        <x:v>{"symbol":"FCCL","year":"2025","month":"2"}</x:v>
      </x:c>
      <x:c r="I173" s="75" t="str">
        <x:v>cd6d9f89a384199456b24e37a40f5ae3f0eb7c879d4bc413e228ae400c721d74</x:v>
      </x:c>
      <x:c r="J173" s="75" t="str">
        <x:v>Feb 19, 2025 | 39.00 | 40.91 | 38.60 | 40.55 | 38,112,842</x:v>
      </x:c>
    </x:row>
    <x:row r="174" ht="23" customHeight="1">
      <x:c r="A174" s="190" t="d">
        <x:v>2025-02-20T00:00:00.000Z</x:v>
      </x:c>
      <x:c r="B174" s="159" t="n">
        <x:v>43.41</x:v>
      </x:c>
      <x:c r="C174" s="191" t="n">
        <x:v>73707472</x:v>
      </x:c>
      <x:c r="D174" s="75" t="n">
        <x:v>2025</x:v>
      </x:c>
      <x:c r="E174" s="75" t="n">
        <x:v>2025</x:v>
      </x:c>
      <x:c r="F174" s="75" t="n">
        <x:v>2</x:v>
      </x:c>
      <x:c r="G174" s="75" t="str">
        <x:v>https://dps.psx.com.pk/historical</x:v>
      </x:c>
      <x:c r="H174" s="75" t="str">
        <x:v>{"symbol":"FCCL","year":"2025","month":"2"}</x:v>
      </x:c>
      <x:c r="I174" s="75" t="str">
        <x:v>cd6d9f89a384199456b24e37a40f5ae3f0eb7c879d4bc413e228ae400c721d74</x:v>
      </x:c>
      <x:c r="J174" s="75" t="str">
        <x:v>Feb 20, 2025 | 41.15 | 44.41 | 40.75 | 43.41 | 73,707,472</x:v>
      </x:c>
    </x:row>
    <x:row r="175" ht="23" customHeight="1">
      <x:c r="A175" s="190" t="d">
        <x:v>2025-02-21T00:00:00.000Z</x:v>
      </x:c>
      <x:c r="B175" s="159" t="n">
        <x:v>42.12</x:v>
      </x:c>
      <x:c r="C175" s="191" t="n">
        <x:v>18578608</x:v>
      </x:c>
      <x:c r="D175" s="75" t="n">
        <x:v>2025</x:v>
      </x:c>
      <x:c r="E175" s="75" t="n">
        <x:v>2025</x:v>
      </x:c>
      <x:c r="F175" s="75" t="n">
        <x:v>2</x:v>
      </x:c>
      <x:c r="G175" s="75" t="str">
        <x:v>https://dps.psx.com.pk/historical</x:v>
      </x:c>
      <x:c r="H175" s="75" t="str">
        <x:v>{"symbol":"FCCL","year":"2025","month":"2"}</x:v>
      </x:c>
      <x:c r="I175" s="75" t="str">
        <x:v>cd6d9f89a384199456b24e37a40f5ae3f0eb7c879d4bc413e228ae400c721d74</x:v>
      </x:c>
      <x:c r="J175" s="75" t="str">
        <x:v>Feb 21, 2025 | 43.55 | 43.90 | 41.75 | 42.12 | 18,578,608</x:v>
      </x:c>
    </x:row>
    <x:row r="176" ht="23" customHeight="1">
      <x:c r="A176" s="190" t="d">
        <x:v>2025-02-24T00:00:00.000Z</x:v>
      </x:c>
      <x:c r="B176" s="159" t="n">
        <x:v>42.47</x:v>
      </x:c>
      <x:c r="C176" s="191" t="n">
        <x:v>25755312</x:v>
      </x:c>
      <x:c r="D176" s="75" t="n">
        <x:v>2025</x:v>
      </x:c>
      <x:c r="E176" s="75" t="n">
        <x:v>2025</x:v>
      </x:c>
      <x:c r="F176" s="75" t="n">
        <x:v>2</x:v>
      </x:c>
      <x:c r="G176" s="75" t="str">
        <x:v>https://dps.psx.com.pk/historical</x:v>
      </x:c>
      <x:c r="H176" s="75" t="str">
        <x:v>{"symbol":"FCCL","year":"2025","month":"2"}</x:v>
      </x:c>
      <x:c r="I176" s="75" t="str">
        <x:v>cd6d9f89a384199456b24e37a40f5ae3f0eb7c879d4bc413e228ae400c721d74</x:v>
      </x:c>
      <x:c r="J176" s="75" t="str">
        <x:v>Feb 24, 2025 | 42.34 | 43.00 | 41.01 | 42.47 | 25,755,312</x:v>
      </x:c>
    </x:row>
    <x:row r="177" ht="23" customHeight="1">
      <x:c r="A177" s="190" t="d">
        <x:v>2025-02-25T00:00:00.000Z</x:v>
      </x:c>
      <x:c r="B177" s="159" t="n">
        <x:v>41.46</x:v>
      </x:c>
      <x:c r="C177" s="191" t="n">
        <x:v>61091991</x:v>
      </x:c>
      <x:c r="D177" s="75" t="n">
        <x:v>2025</x:v>
      </x:c>
      <x:c r="E177" s="75" t="n">
        <x:v>2025</x:v>
      </x:c>
      <x:c r="F177" s="75" t="n">
        <x:v>2</x:v>
      </x:c>
      <x:c r="G177" s="75" t="str">
        <x:v>https://dps.psx.com.pk/historical</x:v>
      </x:c>
      <x:c r="H177" s="75" t="str">
        <x:v>{"symbol":"FCCL","year":"2025","month":"2"}</x:v>
      </x:c>
      <x:c r="I177" s="75" t="str">
        <x:v>cd6d9f89a384199456b24e37a40f5ae3f0eb7c879d4bc413e228ae400c721d74</x:v>
      </x:c>
      <x:c r="J177" s="75" t="str">
        <x:v>Feb 25, 2025 | 42.94 | 43.75 | 40.70 | 41.46 | 61,091,991</x:v>
      </x:c>
    </x:row>
    <x:row r="178" ht="23" customHeight="1">
      <x:c r="A178" s="190" t="d">
        <x:v>2025-02-26T00:00:00.000Z</x:v>
      </x:c>
      <x:c r="B178" s="159" t="n">
        <x:v>41.2</x:v>
      </x:c>
      <x:c r="C178" s="191" t="n">
        <x:v>14678381</x:v>
      </x:c>
      <x:c r="D178" s="75" t="n">
        <x:v>2025</x:v>
      </x:c>
      <x:c r="E178" s="75" t="n">
        <x:v>2025</x:v>
      </x:c>
      <x:c r="F178" s="75" t="n">
        <x:v>2</x:v>
      </x:c>
      <x:c r="G178" s="75" t="str">
        <x:v>https://dps.psx.com.pk/historical</x:v>
      </x:c>
      <x:c r="H178" s="75" t="str">
        <x:v>{"symbol":"FCCL","year":"2025","month":"2"}</x:v>
      </x:c>
      <x:c r="I178" s="75" t="str">
        <x:v>cd6d9f89a384199456b24e37a40f5ae3f0eb7c879d4bc413e228ae400c721d74</x:v>
      </x:c>
      <x:c r="J178" s="75" t="str">
        <x:v>Feb 26, 2025 | 41.40 | 42.15 | 40.90 | 41.20 | 14,678,381</x:v>
      </x:c>
    </x:row>
    <x:row r="179" ht="23" customHeight="1">
      <x:c r="A179" s="190" t="d">
        <x:v>2025-02-27T00:00:00.000Z</x:v>
      </x:c>
      <x:c r="B179" s="159" t="n">
        <x:v>40.84</x:v>
      </x:c>
      <x:c r="C179" s="191" t="n">
        <x:v>3388887</x:v>
      </x:c>
      <x:c r="D179" s="75" t="n">
        <x:v>2025</x:v>
      </x:c>
      <x:c r="E179" s="75" t="n">
        <x:v>2025</x:v>
      </x:c>
      <x:c r="F179" s="75" t="n">
        <x:v>2</x:v>
      </x:c>
      <x:c r="G179" s="75" t="str">
        <x:v>https://dps.psx.com.pk/historical</x:v>
      </x:c>
      <x:c r="H179" s="75" t="str">
        <x:v>{"symbol":"FCCL","year":"2025","month":"2"}</x:v>
      </x:c>
      <x:c r="I179" s="75" t="str">
        <x:v>cd6d9f89a384199456b24e37a40f5ae3f0eb7c879d4bc413e228ae400c721d74</x:v>
      </x:c>
      <x:c r="J179" s="75" t="str">
        <x:v>Feb 27, 2025 | 41.44 | 41.44 | 40.75 | 40.84 | 3,388,887</x:v>
      </x:c>
    </x:row>
    <x:row r="180" ht="23" customHeight="1">
      <x:c r="A180" s="190" t="d">
        <x:v>2025-02-28T00:00:00.000Z</x:v>
      </x:c>
      <x:c r="B180" s="159" t="n">
        <x:v>40.42</x:v>
      </x:c>
      <x:c r="C180" s="191" t="n">
        <x:v>5124646</x:v>
      </x:c>
      <x:c r="D180" s="75" t="n">
        <x:v>2025</x:v>
      </x:c>
      <x:c r="E180" s="75" t="n">
        <x:v>2025</x:v>
      </x:c>
      <x:c r="F180" s="75" t="n">
        <x:v>2</x:v>
      </x:c>
      <x:c r="G180" s="75" t="str">
        <x:v>https://dps.psx.com.pk/historical</x:v>
      </x:c>
      <x:c r="H180" s="75" t="str">
        <x:v>{"symbol":"FCCL","year":"2025","month":"2"}</x:v>
      </x:c>
      <x:c r="I180" s="75" t="str">
        <x:v>cd6d9f89a384199456b24e37a40f5ae3f0eb7c879d4bc413e228ae400c721d74</x:v>
      </x:c>
      <x:c r="J180" s="75" t="str">
        <x:v>Feb 28, 2025 | 40.99 | 41.00 | 40.00 | 40.42 | 5,124,646</x:v>
      </x:c>
    </x:row>
    <x:row r="181" ht="23" customHeight="1">
      <x:c r="A181" s="190" t="d">
        <x:v>2025-03-03T00:00:00.000Z</x:v>
      </x:c>
      <x:c r="B181" s="159" t="n">
        <x:v>39.77</x:v>
      </x:c>
      <x:c r="C181" s="191" t="n">
        <x:v>4361796</x:v>
      </x:c>
      <x:c r="D181" s="75" t="n">
        <x:v>2025</x:v>
      </x:c>
      <x:c r="E181" s="75" t="n">
        <x:v>2025</x:v>
      </x:c>
      <x:c r="F181" s="75" t="n">
        <x:v>3</x:v>
      </x:c>
      <x:c r="G181" s="75" t="str">
        <x:v>https://dps.psx.com.pk/historical</x:v>
      </x:c>
      <x:c r="H181" s="75" t="str">
        <x:v>{"symbol":"FCCL","year":"2025","month":"3"}</x:v>
      </x:c>
      <x:c r="I181" s="75" t="str">
        <x:v>6e5e1aa7dfe29f358ecca5fb7e6bc139b98a01b5b35e27970dc2d58016aa34c2</x:v>
      </x:c>
      <x:c r="J181" s="75" t="str">
        <x:v>Mar 3, 2025 | 40.25 | 40.48 | 39.35 | 39.77 | 4,361,796</x:v>
      </x:c>
    </x:row>
    <x:row r="182" ht="23" customHeight="1">
      <x:c r="A182" s="190" t="d">
        <x:v>2025-03-04T00:00:00.000Z</x:v>
      </x:c>
      <x:c r="B182" s="159" t="n">
        <x:v>39.99</x:v>
      </x:c>
      <x:c r="C182" s="191" t="n">
        <x:v>9732825</x:v>
      </x:c>
      <x:c r="D182" s="75" t="n">
        <x:v>2025</x:v>
      </x:c>
      <x:c r="E182" s="75" t="n">
        <x:v>2025</x:v>
      </x:c>
      <x:c r="F182" s="75" t="n">
        <x:v>3</x:v>
      </x:c>
      <x:c r="G182" s="75" t="str">
        <x:v>https://dps.psx.com.pk/historical</x:v>
      </x:c>
      <x:c r="H182" s="75" t="str">
        <x:v>{"symbol":"FCCL","year":"2025","month":"3"}</x:v>
      </x:c>
      <x:c r="I182" s="75" t="str">
        <x:v>6e5e1aa7dfe29f358ecca5fb7e6bc139b98a01b5b35e27970dc2d58016aa34c2</x:v>
      </x:c>
      <x:c r="J182" s="75" t="str">
        <x:v>Mar 4, 2025 | 39.70 | 40.08 | 39.01 | 39.99 | 9,732,825</x:v>
      </x:c>
    </x:row>
    <x:row r="183" ht="23" customHeight="1">
      <x:c r="A183" s="190" t="d">
        <x:v>2025-03-05T00:00:00.000Z</x:v>
      </x:c>
      <x:c r="B183" s="159" t="n">
        <x:v>39.93</x:v>
      </x:c>
      <x:c r="C183" s="191" t="n">
        <x:v>8501133</x:v>
      </x:c>
      <x:c r="D183" s="75" t="n">
        <x:v>2025</x:v>
      </x:c>
      <x:c r="E183" s="75" t="n">
        <x:v>2025</x:v>
      </x:c>
      <x:c r="F183" s="75" t="n">
        <x:v>3</x:v>
      </x:c>
      <x:c r="G183" s="75" t="str">
        <x:v>https://dps.psx.com.pk/historical</x:v>
      </x:c>
      <x:c r="H183" s="75" t="str">
        <x:v>{"symbol":"FCCL","year":"2025","month":"3"}</x:v>
      </x:c>
      <x:c r="I183" s="75" t="str">
        <x:v>6e5e1aa7dfe29f358ecca5fb7e6bc139b98a01b5b35e27970dc2d58016aa34c2</x:v>
      </x:c>
      <x:c r="J183" s="75" t="str">
        <x:v>Mar 5, 2025 | 40.18 | 40.85 | 39.80 | 39.93 | 8,501,133</x:v>
      </x:c>
    </x:row>
    <x:row r="184" ht="23" customHeight="1">
      <x:c r="A184" s="190" t="d">
        <x:v>2025-03-06T00:00:00.000Z</x:v>
      </x:c>
      <x:c r="B184" s="159" t="n">
        <x:v>42.02</x:v>
      </x:c>
      <x:c r="C184" s="191" t="n">
        <x:v>28192754</x:v>
      </x:c>
      <x:c r="D184" s="75" t="n">
        <x:v>2025</x:v>
      </x:c>
      <x:c r="E184" s="75" t="n">
        <x:v>2025</x:v>
      </x:c>
      <x:c r="F184" s="75" t="n">
        <x:v>3</x:v>
      </x:c>
      <x:c r="G184" s="75" t="str">
        <x:v>https://dps.psx.com.pk/historical</x:v>
      </x:c>
      <x:c r="H184" s="75" t="str">
        <x:v>{"symbol":"FCCL","year":"2025","month":"3"}</x:v>
      </x:c>
      <x:c r="I184" s="75" t="str">
        <x:v>6e5e1aa7dfe29f358ecca5fb7e6bc139b98a01b5b35e27970dc2d58016aa34c2</x:v>
      </x:c>
      <x:c r="J184" s="75" t="str">
        <x:v>Mar 6, 2025 | 39.82 | 42.82 | 39.82 | 42.02 | 28,192,754</x:v>
      </x:c>
    </x:row>
    <x:row r="185" ht="23" customHeight="1">
      <x:c r="A185" s="190" t="d">
        <x:v>2025-03-07T00:00:00.000Z</x:v>
      </x:c>
      <x:c r="B185" s="159" t="n">
        <x:v>45.99</x:v>
      </x:c>
      <x:c r="C185" s="191" t="n">
        <x:v>57215949</x:v>
      </x:c>
      <x:c r="D185" s="75" t="n">
        <x:v>2025</x:v>
      </x:c>
      <x:c r="E185" s="75" t="n">
        <x:v>2025</x:v>
      </x:c>
      <x:c r="F185" s="75" t="n">
        <x:v>3</x:v>
      </x:c>
      <x:c r="G185" s="75" t="str">
        <x:v>https://dps.psx.com.pk/historical</x:v>
      </x:c>
      <x:c r="H185" s="75" t="str">
        <x:v>{"symbol":"FCCL","year":"2025","month":"3"}</x:v>
      </x:c>
      <x:c r="I185" s="75" t="str">
        <x:v>6e5e1aa7dfe29f358ecca5fb7e6bc139b98a01b5b35e27970dc2d58016aa34c2</x:v>
      </x:c>
      <x:c r="J185" s="75" t="str">
        <x:v>Mar 7, 2025 | 42.50 | 46.22 | 42.11 | 45.99 | 57,215,949</x:v>
      </x:c>
    </x:row>
    <x:row r="186" ht="23" customHeight="1">
      <x:c r="A186" s="190" t="d">
        <x:v>2025-03-10T00:00:00.000Z</x:v>
      </x:c>
      <x:c r="B186" s="159" t="n">
        <x:v>43.91</x:v>
      </x:c>
      <x:c r="C186" s="191" t="n">
        <x:v>22194869</x:v>
      </x:c>
      <x:c r="D186" s="75" t="n">
        <x:v>2025</x:v>
      </x:c>
      <x:c r="E186" s="75" t="n">
        <x:v>2025</x:v>
      </x:c>
      <x:c r="F186" s="75" t="n">
        <x:v>3</x:v>
      </x:c>
      <x:c r="G186" s="75" t="str">
        <x:v>https://dps.psx.com.pk/historical</x:v>
      </x:c>
      <x:c r="H186" s="75" t="str">
        <x:v>{"symbol":"FCCL","year":"2025","month":"3"}</x:v>
      </x:c>
      <x:c r="I186" s="75" t="str">
        <x:v>6e5e1aa7dfe29f358ecca5fb7e6bc139b98a01b5b35e27970dc2d58016aa34c2</x:v>
      </x:c>
      <x:c r="J186" s="75" t="str">
        <x:v>Mar 10, 2025 | 45.44 | 46.24 | 42.90 | 43.91 | 22,194,869</x:v>
      </x:c>
    </x:row>
    <x:row r="187" ht="23" customHeight="1">
      <x:c r="A187" s="190" t="d">
        <x:v>2025-03-11T00:00:00.000Z</x:v>
      </x:c>
      <x:c r="B187" s="159" t="n">
        <x:v>43.53</x:v>
      </x:c>
      <x:c r="C187" s="191" t="n">
        <x:v>12170796</x:v>
      </x:c>
      <x:c r="D187" s="75" t="n">
        <x:v>2025</x:v>
      </x:c>
      <x:c r="E187" s="75" t="n">
        <x:v>2025</x:v>
      </x:c>
      <x:c r="F187" s="75" t="n">
        <x:v>3</x:v>
      </x:c>
      <x:c r="G187" s="75" t="str">
        <x:v>https://dps.psx.com.pk/historical</x:v>
      </x:c>
      <x:c r="H187" s="75" t="str">
        <x:v>{"symbol":"FCCL","year":"2025","month":"3"}</x:v>
      </x:c>
      <x:c r="I187" s="75" t="str">
        <x:v>6e5e1aa7dfe29f358ecca5fb7e6bc139b98a01b5b35e27970dc2d58016aa34c2</x:v>
      </x:c>
      <x:c r="J187" s="75" t="str">
        <x:v>Mar 11, 2025 | 43.00 | 43.85 | 42.45 | 43.53 | 12,170,796</x:v>
      </x:c>
    </x:row>
    <x:row r="188" ht="23" customHeight="1">
      <x:c r="A188" s="190" t="d">
        <x:v>2025-03-12T00:00:00.000Z</x:v>
      </x:c>
      <x:c r="B188" s="159" t="n">
        <x:v>43.87</x:v>
      </x:c>
      <x:c r="C188" s="191" t="n">
        <x:v>9505277</x:v>
      </x:c>
      <x:c r="D188" s="75" t="n">
        <x:v>2025</x:v>
      </x:c>
      <x:c r="E188" s="75" t="n">
        <x:v>2025</x:v>
      </x:c>
      <x:c r="F188" s="75" t="n">
        <x:v>3</x:v>
      </x:c>
      <x:c r="G188" s="75" t="str">
        <x:v>https://dps.psx.com.pk/historical</x:v>
      </x:c>
      <x:c r="H188" s="75" t="str">
        <x:v>{"symbol":"FCCL","year":"2025","month":"3"}</x:v>
      </x:c>
      <x:c r="I188" s="75" t="str">
        <x:v>6e5e1aa7dfe29f358ecca5fb7e6bc139b98a01b5b35e27970dc2d58016aa34c2</x:v>
      </x:c>
      <x:c r="J188" s="75" t="str">
        <x:v>Mar 12, 2025 | 43.80 | 44.60 | 43.36 | 43.87 | 9,505,277</x:v>
      </x:c>
    </x:row>
    <x:row r="189" ht="23" customHeight="1">
      <x:c r="A189" s="190" t="d">
        <x:v>2025-03-13T00:00:00.000Z</x:v>
      </x:c>
      <x:c r="B189" s="159" t="n">
        <x:v>45.29</x:v>
      </x:c>
      <x:c r="C189" s="191" t="n">
        <x:v>19660929</x:v>
      </x:c>
      <x:c r="D189" s="75" t="n">
        <x:v>2025</x:v>
      </x:c>
      <x:c r="E189" s="75" t="n">
        <x:v>2025</x:v>
      </x:c>
      <x:c r="F189" s="75" t="n">
        <x:v>3</x:v>
      </x:c>
      <x:c r="G189" s="75" t="str">
        <x:v>https://dps.psx.com.pk/historical</x:v>
      </x:c>
      <x:c r="H189" s="75" t="str">
        <x:v>{"symbol":"FCCL","year":"2025","month":"3"}</x:v>
      </x:c>
      <x:c r="I189" s="75" t="str">
        <x:v>6e5e1aa7dfe29f358ecca5fb7e6bc139b98a01b5b35e27970dc2d58016aa34c2</x:v>
      </x:c>
      <x:c r="J189" s="75" t="str">
        <x:v>Mar 13, 2025 | 44.00 | 45.60 | 43.50 | 45.29 | 19,660,929</x:v>
      </x:c>
    </x:row>
    <x:row r="190" ht="23" customHeight="1">
      <x:c r="A190" s="190" t="d">
        <x:v>2025-03-14T00:00:00.000Z</x:v>
      </x:c>
      <x:c r="B190" s="159" t="n">
        <x:v>45.18</x:v>
      </x:c>
      <x:c r="C190" s="191" t="n">
        <x:v>18756398</x:v>
      </x:c>
      <x:c r="D190" s="75" t="n">
        <x:v>2025</x:v>
      </x:c>
      <x:c r="E190" s="75" t="n">
        <x:v>2025</x:v>
      </x:c>
      <x:c r="F190" s="75" t="n">
        <x:v>3</x:v>
      </x:c>
      <x:c r="G190" s="75" t="str">
        <x:v>https://dps.psx.com.pk/historical</x:v>
      </x:c>
      <x:c r="H190" s="75" t="str">
        <x:v>{"symbol":"FCCL","year":"2025","month":"3"}</x:v>
      </x:c>
      <x:c r="I190" s="75" t="str">
        <x:v>6e5e1aa7dfe29f358ecca5fb7e6bc139b98a01b5b35e27970dc2d58016aa34c2</x:v>
      </x:c>
      <x:c r="J190" s="75" t="str">
        <x:v>Mar 14, 2025 | 45.50 | 46.46 | 44.65 | 45.18 | 18,756,398</x:v>
      </x:c>
    </x:row>
    <x:row r="191" ht="23" customHeight="1">
      <x:c r="A191" s="190" t="d">
        <x:v>2025-03-17T00:00:00.000Z</x:v>
      </x:c>
      <x:c r="B191" s="159" t="n">
        <x:v>46.07</x:v>
      </x:c>
      <x:c r="C191" s="191" t="n">
        <x:v>18478652</x:v>
      </x:c>
      <x:c r="D191" s="75" t="n">
        <x:v>2025</x:v>
      </x:c>
      <x:c r="E191" s="75" t="n">
        <x:v>2025</x:v>
      </x:c>
      <x:c r="F191" s="75" t="n">
        <x:v>3</x:v>
      </x:c>
      <x:c r="G191" s="75" t="str">
        <x:v>https://dps.psx.com.pk/historical</x:v>
      </x:c>
      <x:c r="H191" s="75" t="str">
        <x:v>{"symbol":"FCCL","year":"2025","month":"3"}</x:v>
      </x:c>
      <x:c r="I191" s="75" t="str">
        <x:v>6e5e1aa7dfe29f358ecca5fb7e6bc139b98a01b5b35e27970dc2d58016aa34c2</x:v>
      </x:c>
      <x:c r="J191" s="75" t="str">
        <x:v>Mar 17, 2025 | 45.20 | 46.35 | 44.91 | 46.07 | 18,478,652</x:v>
      </x:c>
    </x:row>
    <x:row r="192" ht="23" customHeight="1">
      <x:c r="A192" s="190" t="d">
        <x:v>2025-03-18T00:00:00.000Z</x:v>
      </x:c>
      <x:c r="B192" s="159" t="n">
        <x:v>46.38</x:v>
      </x:c>
      <x:c r="C192" s="191" t="n">
        <x:v>24985777</x:v>
      </x:c>
      <x:c r="D192" s="75" t="n">
        <x:v>2025</x:v>
      </x:c>
      <x:c r="E192" s="75" t="n">
        <x:v>2025</x:v>
      </x:c>
      <x:c r="F192" s="75" t="n">
        <x:v>3</x:v>
      </x:c>
      <x:c r="G192" s="75" t="str">
        <x:v>https://dps.psx.com.pk/historical</x:v>
      </x:c>
      <x:c r="H192" s="75" t="str">
        <x:v>{"symbol":"FCCL","year":"2025","month":"3"}</x:v>
      </x:c>
      <x:c r="I192" s="75" t="str">
        <x:v>6e5e1aa7dfe29f358ecca5fb7e6bc139b98a01b5b35e27970dc2d58016aa34c2</x:v>
      </x:c>
      <x:c r="J192" s="75" t="str">
        <x:v>Mar 18, 2025 | 46.00 | 47.80 | 45.30 | 46.38 | 24,985,777</x:v>
      </x:c>
    </x:row>
    <x:row r="193" ht="23" customHeight="1">
      <x:c r="A193" s="190" t="d">
        <x:v>2025-03-19T00:00:00.000Z</x:v>
      </x:c>
      <x:c r="B193" s="159" t="n">
        <x:v>47.52</x:v>
      </x:c>
      <x:c r="C193" s="191" t="n">
        <x:v>29042128</x:v>
      </x:c>
      <x:c r="D193" s="75" t="n">
        <x:v>2025</x:v>
      </x:c>
      <x:c r="E193" s="75" t="n">
        <x:v>2025</x:v>
      </x:c>
      <x:c r="F193" s="75" t="n">
        <x:v>3</x:v>
      </x:c>
      <x:c r="G193" s="75" t="str">
        <x:v>https://dps.psx.com.pk/historical</x:v>
      </x:c>
      <x:c r="H193" s="75" t="str">
        <x:v>{"symbol":"FCCL","year":"2025","month":"3"}</x:v>
      </x:c>
      <x:c r="I193" s="75" t="str">
        <x:v>6e5e1aa7dfe29f358ecca5fb7e6bc139b98a01b5b35e27970dc2d58016aa34c2</x:v>
      </x:c>
      <x:c r="J193" s="75" t="str">
        <x:v>Mar 19, 2025 | 46.51 | 48.85 | 46.38 | 47.52 | 29,042,128</x:v>
      </x:c>
    </x:row>
    <x:row r="194" ht="23" customHeight="1">
      <x:c r="A194" s="190" t="d">
        <x:v>2025-03-20T00:00:00.000Z</x:v>
      </x:c>
      <x:c r="B194" s="159" t="n">
        <x:v>47.17</x:v>
      </x:c>
      <x:c r="C194" s="191" t="n">
        <x:v>9735067</x:v>
      </x:c>
      <x:c r="D194" s="75" t="n">
        <x:v>2025</x:v>
      </x:c>
      <x:c r="E194" s="75" t="n">
        <x:v>2025</x:v>
      </x:c>
      <x:c r="F194" s="75" t="n">
        <x:v>3</x:v>
      </x:c>
      <x:c r="G194" s="75" t="str">
        <x:v>https://dps.psx.com.pk/historical</x:v>
      </x:c>
      <x:c r="H194" s="75" t="str">
        <x:v>{"symbol":"FCCL","year":"2025","month":"3"}</x:v>
      </x:c>
      <x:c r="I194" s="75" t="str">
        <x:v>6e5e1aa7dfe29f358ecca5fb7e6bc139b98a01b5b35e27970dc2d58016aa34c2</x:v>
      </x:c>
      <x:c r="J194" s="75" t="str">
        <x:v>Mar 20, 2025 | 47.60 | 48.50 | 46.90 | 47.17 | 9,735,067</x:v>
      </x:c>
    </x:row>
    <x:row r="195" ht="23" customHeight="1">
      <x:c r="A195" s="190" t="d">
        <x:v>2025-03-21T00:00:00.000Z</x:v>
      </x:c>
      <x:c r="B195" s="159" t="n">
        <x:v>46.62</x:v>
      </x:c>
      <x:c r="C195" s="191" t="n">
        <x:v>4271629</x:v>
      </x:c>
      <x:c r="D195" s="75" t="n">
        <x:v>2025</x:v>
      </x:c>
      <x:c r="E195" s="75" t="n">
        <x:v>2025</x:v>
      </x:c>
      <x:c r="F195" s="75" t="n">
        <x:v>3</x:v>
      </x:c>
      <x:c r="G195" s="75" t="str">
        <x:v>https://dps.psx.com.pk/historical</x:v>
      </x:c>
      <x:c r="H195" s="75" t="str">
        <x:v>{"symbol":"FCCL","year":"2025","month":"3"}</x:v>
      </x:c>
      <x:c r="I195" s="75" t="str">
        <x:v>6e5e1aa7dfe29f358ecca5fb7e6bc139b98a01b5b35e27970dc2d58016aa34c2</x:v>
      </x:c>
      <x:c r="J195" s="75" t="str">
        <x:v>Mar 21, 2025 | 47.01 | 47.55 | 46.30 | 46.62 | 4,271,629</x:v>
      </x:c>
    </x:row>
    <x:row r="196" ht="23" customHeight="1">
      <x:c r="A196" s="190" t="d">
        <x:v>2025-03-24T00:00:00.000Z</x:v>
      </x:c>
      <x:c r="B196" s="159" t="n">
        <x:v>45.41</x:v>
      </x:c>
      <x:c r="C196" s="191" t="n">
        <x:v>8148237</x:v>
      </x:c>
      <x:c r="D196" s="75" t="n">
        <x:v>2025</x:v>
      </x:c>
      <x:c r="E196" s="75" t="n">
        <x:v>2025</x:v>
      </x:c>
      <x:c r="F196" s="75" t="n">
        <x:v>3</x:v>
      </x:c>
      <x:c r="G196" s="75" t="str">
        <x:v>https://dps.psx.com.pk/historical</x:v>
      </x:c>
      <x:c r="H196" s="75" t="str">
        <x:v>{"symbol":"FCCL","year":"2025","month":"3"}</x:v>
      </x:c>
      <x:c r="I196" s="75" t="str">
        <x:v>6e5e1aa7dfe29f358ecca5fb7e6bc139b98a01b5b35e27970dc2d58016aa34c2</x:v>
      </x:c>
      <x:c r="J196" s="75" t="str">
        <x:v>Mar 24, 2025 | 46.65 | 47.00 | 44.90 | 45.41 | 8,148,237</x:v>
      </x:c>
    </x:row>
    <x:row r="197" ht="23" customHeight="1">
      <x:c r="A197" s="190" t="d">
        <x:v>2025-03-25T00:00:00.000Z</x:v>
      </x:c>
      <x:c r="B197" s="159" t="n">
        <x:v>44.94</x:v>
      </x:c>
      <x:c r="C197" s="191" t="n">
        <x:v>3806966</x:v>
      </x:c>
      <x:c r="D197" s="75" t="n">
        <x:v>2025</x:v>
      </x:c>
      <x:c r="E197" s="75" t="n">
        <x:v>2025</x:v>
      </x:c>
      <x:c r="F197" s="75" t="n">
        <x:v>3</x:v>
      </x:c>
      <x:c r="G197" s="75" t="str">
        <x:v>https://dps.psx.com.pk/historical</x:v>
      </x:c>
      <x:c r="H197" s="75" t="str">
        <x:v>{"symbol":"FCCL","year":"2025","month":"3"}</x:v>
      </x:c>
      <x:c r="I197" s="75" t="str">
        <x:v>6e5e1aa7dfe29f358ecca5fb7e6bc139b98a01b5b35e27970dc2d58016aa34c2</x:v>
      </x:c>
      <x:c r="J197" s="75" t="str">
        <x:v>Mar 25, 2025 | 45.00 | 45.48 | 44.61 | 44.94 | 3,806,966</x:v>
      </x:c>
    </x:row>
    <x:row r="198" ht="23" customHeight="1">
      <x:c r="A198" s="190" t="d">
        <x:v>2025-03-26T00:00:00.000Z</x:v>
      </x:c>
      <x:c r="B198" s="159" t="n">
        <x:v>46.12</x:v>
      </x:c>
      <x:c r="C198" s="191" t="n">
        <x:v>10182878</x:v>
      </x:c>
      <x:c r="D198" s="75" t="n">
        <x:v>2025</x:v>
      </x:c>
      <x:c r="E198" s="75" t="n">
        <x:v>2025</x:v>
      </x:c>
      <x:c r="F198" s="75" t="n">
        <x:v>3</x:v>
      </x:c>
      <x:c r="G198" s="75" t="str">
        <x:v>https://dps.psx.com.pk/historical</x:v>
      </x:c>
      <x:c r="H198" s="75" t="str">
        <x:v>{"symbol":"FCCL","year":"2025","month":"3"}</x:v>
      </x:c>
      <x:c r="I198" s="75" t="str">
        <x:v>6e5e1aa7dfe29f358ecca5fb7e6bc139b98a01b5b35e27970dc2d58016aa34c2</x:v>
      </x:c>
      <x:c r="J198" s="75" t="str">
        <x:v>Mar 26, 2025 | 45.45 | 46.45 | 45.00 | 46.12 | 10,182,878</x:v>
      </x:c>
    </x:row>
    <x:row r="199" ht="23" customHeight="1">
      <x:c r="A199" s="190" t="d">
        <x:v>2025-03-27T00:00:00.000Z</x:v>
      </x:c>
      <x:c r="B199" s="159" t="n">
        <x:v>46.41</x:v>
      </x:c>
      <x:c r="C199" s="191" t="n">
        <x:v>14246294</x:v>
      </x:c>
      <x:c r="D199" s="75" t="n">
        <x:v>2025</x:v>
      </x:c>
      <x:c r="E199" s="75" t="n">
        <x:v>2025</x:v>
      </x:c>
      <x:c r="F199" s="75" t="n">
        <x:v>3</x:v>
      </x:c>
      <x:c r="G199" s="75" t="str">
        <x:v>https://dps.psx.com.pk/historical</x:v>
      </x:c>
      <x:c r="H199" s="75" t="str">
        <x:v>{"symbol":"FCCL","year":"2025","month":"3"}</x:v>
      </x:c>
      <x:c r="I199" s="75" t="str">
        <x:v>6e5e1aa7dfe29f358ecca5fb7e6bc139b98a01b5b35e27970dc2d58016aa34c2</x:v>
      </x:c>
      <x:c r="J199" s="75" t="str">
        <x:v>Mar 27, 2025 | 46.47 | 47.15 | 46.09 | 46.41 | 14,246,294</x:v>
      </x:c>
    </x:row>
    <x:row r="200" ht="23" customHeight="1">
      <x:c r="A200" s="190" t="d">
        <x:v>2025-04-03T00:00:00.000Z</x:v>
      </x:c>
      <x:c r="B200" s="159" t="n">
        <x:v>47.32</x:v>
      </x:c>
      <x:c r="C200" s="191" t="n">
        <x:v>13679198</x:v>
      </x:c>
      <x:c r="D200" s="75" t="n">
        <x:v>2025</x:v>
      </x:c>
      <x:c r="E200" s="75" t="n">
        <x:v>2025</x:v>
      </x:c>
      <x:c r="F200" s="75" t="n">
        <x:v>4</x:v>
      </x:c>
      <x:c r="G200" s="75" t="str">
        <x:v>https://dps.psx.com.pk/historical</x:v>
      </x:c>
      <x:c r="H200" s="75" t="str">
        <x:v>{"symbol":"FCCL","year":"2025","month":"4"}</x:v>
      </x:c>
      <x:c r="I200" s="75" t="str">
        <x:v>5e75ef9fbe6cac70a374e6195871c34a929b8ad9cc56fa6291d10d2d910bae84</x:v>
      </x:c>
      <x:c r="J200" s="75" t="str">
        <x:v>Apr 3, 2025 | 46.39 | 47.60 | 46.10 | 47.32 | 13,679,198</x:v>
      </x:c>
    </x:row>
    <x:row r="201" ht="23" customHeight="1">
      <x:c r="A201" s="190" t="d">
        <x:v>2025-04-04T00:00:00.000Z</x:v>
      </x:c>
      <x:c r="B201" s="159" t="n">
        <x:v>47.23</x:v>
      </x:c>
      <x:c r="C201" s="191" t="n">
        <x:v>18559323</x:v>
      </x:c>
      <x:c r="D201" s="75" t="n">
        <x:v>2025</x:v>
      </x:c>
      <x:c r="E201" s="75" t="n">
        <x:v>2025</x:v>
      </x:c>
      <x:c r="F201" s="75" t="n">
        <x:v>4</x:v>
      </x:c>
      <x:c r="G201" s="75" t="str">
        <x:v>https://dps.psx.com.pk/historical</x:v>
      </x:c>
      <x:c r="H201" s="75" t="str">
        <x:v>{"symbol":"FCCL","year":"2025","month":"4"}</x:v>
      </x:c>
      <x:c r="I201" s="75" t="str">
        <x:v>5e75ef9fbe6cac70a374e6195871c34a929b8ad9cc56fa6291d10d2d910bae84</x:v>
      </x:c>
      <x:c r="J201" s="75" t="str">
        <x:v>Apr 4, 2025 | 47.80 | 48.94 | 47.00 | 47.23 | 18,559,323</x:v>
      </x:c>
    </x:row>
    <x:row r="202" ht="23" customHeight="1">
      <x:c r="A202" s="190" t="d">
        <x:v>2025-04-07T00:00:00.000Z</x:v>
      </x:c>
      <x:c r="B202" s="159" t="n">
        <x:v>45.65</x:v>
      </x:c>
      <x:c r="C202" s="191" t="n">
        <x:v>16903951</x:v>
      </x:c>
      <x:c r="D202" s="75" t="n">
        <x:v>2025</x:v>
      </x:c>
      <x:c r="E202" s="75" t="n">
        <x:v>2025</x:v>
      </x:c>
      <x:c r="F202" s="75" t="n">
        <x:v>4</x:v>
      </x:c>
      <x:c r="G202" s="75" t="str">
        <x:v>https://dps.psx.com.pk/historical</x:v>
      </x:c>
      <x:c r="H202" s="75" t="str">
        <x:v>{"symbol":"FCCL","year":"2025","month":"4"}</x:v>
      </x:c>
      <x:c r="I202" s="75" t="str">
        <x:v>5e75ef9fbe6cac70a374e6195871c34a929b8ad9cc56fa6291d10d2d910bae84</x:v>
      </x:c>
      <x:c r="J202" s="75" t="str">
        <x:v>Apr 7, 2025 | 46.00 | 46.20 | 42.52 | 45.65 | 16,903,951</x:v>
      </x:c>
    </x:row>
    <x:row r="203" ht="23" customHeight="1">
      <x:c r="A203" s="190" t="d">
        <x:v>2025-04-08T00:00:00.000Z</x:v>
      </x:c>
      <x:c r="B203" s="159" t="n">
        <x:v>46.94</x:v>
      </x:c>
      <x:c r="C203" s="191" t="n">
        <x:v>14674396</x:v>
      </x:c>
      <x:c r="D203" s="75" t="n">
        <x:v>2025</x:v>
      </x:c>
      <x:c r="E203" s="75" t="n">
        <x:v>2025</x:v>
      </x:c>
      <x:c r="F203" s="75" t="n">
        <x:v>4</x:v>
      </x:c>
      <x:c r="G203" s="75" t="str">
        <x:v>https://dps.psx.com.pk/historical</x:v>
      </x:c>
      <x:c r="H203" s="75" t="str">
        <x:v>{"symbol":"FCCL","year":"2025","month":"4"}</x:v>
      </x:c>
      <x:c r="I203" s="75" t="str">
        <x:v>5e75ef9fbe6cac70a374e6195871c34a929b8ad9cc56fa6291d10d2d910bae84</x:v>
      </x:c>
      <x:c r="J203" s="75" t="str">
        <x:v>Apr 8, 2025 | 46.40 | 47.41 | 46.00 | 46.94 | 14,674,396</x:v>
      </x:c>
    </x:row>
    <x:row r="204" ht="23" customHeight="1">
      <x:c r="A204" s="190" t="d">
        <x:v>2025-04-09T00:00:00.000Z</x:v>
      </x:c>
      <x:c r="B204" s="159" t="n">
        <x:v>46.73</x:v>
      </x:c>
      <x:c r="C204" s="191" t="n">
        <x:v>11129492</x:v>
      </x:c>
      <x:c r="D204" s="75" t="n">
        <x:v>2025</x:v>
      </x:c>
      <x:c r="E204" s="75" t="n">
        <x:v>2025</x:v>
      </x:c>
      <x:c r="F204" s="75" t="n">
        <x:v>4</x:v>
      </x:c>
      <x:c r="G204" s="75" t="str">
        <x:v>https://dps.psx.com.pk/historical</x:v>
      </x:c>
      <x:c r="H204" s="75" t="str">
        <x:v>{"symbol":"FCCL","year":"2025","month":"4"}</x:v>
      </x:c>
      <x:c r="I204" s="75" t="str">
        <x:v>5e75ef9fbe6cac70a374e6195871c34a929b8ad9cc56fa6291d10d2d910bae84</x:v>
      </x:c>
      <x:c r="J204" s="75" t="str">
        <x:v>Apr 9, 2025 | 46.45 | 47.49 | 46.06 | 46.73 | 11,129,492</x:v>
      </x:c>
    </x:row>
    <x:row r="205" ht="23" customHeight="1">
      <x:c r="A205" s="190" t="d">
        <x:v>2025-04-10T00:00:00.000Z</x:v>
      </x:c>
      <x:c r="B205" s="159" t="n">
        <x:v>47.25</x:v>
      </x:c>
      <x:c r="C205" s="191" t="n">
        <x:v>19242425</x:v>
      </x:c>
      <x:c r="D205" s="75" t="n">
        <x:v>2025</x:v>
      </x:c>
      <x:c r="E205" s="75" t="n">
        <x:v>2025</x:v>
      </x:c>
      <x:c r="F205" s="75" t="n">
        <x:v>4</x:v>
      </x:c>
      <x:c r="G205" s="75" t="str">
        <x:v>https://dps.psx.com.pk/historical</x:v>
      </x:c>
      <x:c r="H205" s="75" t="str">
        <x:v>{"symbol":"FCCL","year":"2025","month":"4"}</x:v>
      </x:c>
      <x:c r="I205" s="75" t="str">
        <x:v>5e75ef9fbe6cac70a374e6195871c34a929b8ad9cc56fa6291d10d2d910bae84</x:v>
      </x:c>
      <x:c r="J205" s="75" t="str">
        <x:v>Apr 10, 2025 | 48.65 | 49.00 | 46.80 | 47.25 | 19,242,425</x:v>
      </x:c>
    </x:row>
    <x:row r="206" ht="23" customHeight="1">
      <x:c r="A206" s="190" t="d">
        <x:v>2025-04-11T00:00:00.000Z</x:v>
      </x:c>
      <x:c r="B206" s="159" t="n">
        <x:v>46.6</x:v>
      </x:c>
      <x:c r="C206" s="191" t="n">
        <x:v>4969994</x:v>
      </x:c>
      <x:c r="D206" s="75" t="n">
        <x:v>2025</x:v>
      </x:c>
      <x:c r="E206" s="75" t="n">
        <x:v>2025</x:v>
      </x:c>
      <x:c r="F206" s="75" t="n">
        <x:v>4</x:v>
      </x:c>
      <x:c r="G206" s="75" t="str">
        <x:v>https://dps.psx.com.pk/historical</x:v>
      </x:c>
      <x:c r="H206" s="75" t="str">
        <x:v>{"symbol":"FCCL","year":"2025","month":"4"}</x:v>
      </x:c>
      <x:c r="I206" s="75" t="str">
        <x:v>5e75ef9fbe6cac70a374e6195871c34a929b8ad9cc56fa6291d10d2d910bae84</x:v>
      </x:c>
      <x:c r="J206" s="75" t="str">
        <x:v>Apr 11, 2025 | 46.89 | 46.89 | 46.20 | 46.60 | 4,969,994</x:v>
      </x:c>
    </x:row>
    <x:row r="207" ht="23" customHeight="1">
      <x:c r="A207" s="190" t="d">
        <x:v>2025-04-14T00:00:00.000Z</x:v>
      </x:c>
      <x:c r="B207" s="159" t="n">
        <x:v>46.94</x:v>
      </x:c>
      <x:c r="C207" s="191" t="n">
        <x:v>5573315</x:v>
      </x:c>
      <x:c r="D207" s="75" t="n">
        <x:v>2025</x:v>
      </x:c>
      <x:c r="E207" s="75" t="n">
        <x:v>2025</x:v>
      </x:c>
      <x:c r="F207" s="75" t="n">
        <x:v>4</x:v>
      </x:c>
      <x:c r="G207" s="75" t="str">
        <x:v>https://dps.psx.com.pk/historical</x:v>
      </x:c>
      <x:c r="H207" s="75" t="str">
        <x:v>{"symbol":"FCCL","year":"2025","month":"4"}</x:v>
      </x:c>
      <x:c r="I207" s="75" t="str">
        <x:v>5e75ef9fbe6cac70a374e6195871c34a929b8ad9cc56fa6291d10d2d910bae84</x:v>
      </x:c>
      <x:c r="J207" s="75" t="str">
        <x:v>Apr 14, 2025 | 46.61 | 47.29 | 46.25 | 46.94 | 5,573,315</x:v>
      </x:c>
    </x:row>
    <x:row r="208" ht="23" customHeight="1">
      <x:c r="A208" s="190" t="d">
        <x:v>2025-04-15T00:00:00.000Z</x:v>
      </x:c>
      <x:c r="B208" s="159" t="n">
        <x:v>45.96</x:v>
      </x:c>
      <x:c r="C208" s="191" t="n">
        <x:v>4496401</x:v>
      </x:c>
      <x:c r="D208" s="75" t="n">
        <x:v>2025</x:v>
      </x:c>
      <x:c r="E208" s="75" t="n">
        <x:v>2025</x:v>
      </x:c>
      <x:c r="F208" s="75" t="n">
        <x:v>4</x:v>
      </x:c>
      <x:c r="G208" s="75" t="str">
        <x:v>https://dps.psx.com.pk/historical</x:v>
      </x:c>
      <x:c r="H208" s="75" t="str">
        <x:v>{"symbol":"FCCL","year":"2025","month":"4"}</x:v>
      </x:c>
      <x:c r="I208" s="75" t="str">
        <x:v>5e75ef9fbe6cac70a374e6195871c34a929b8ad9cc56fa6291d10d2d910bae84</x:v>
      </x:c>
      <x:c r="J208" s="75" t="str">
        <x:v>Apr 15, 2025 | 47.00 | 47.23 | 45.60 | 45.96 | 4,496,401</x:v>
      </x:c>
    </x:row>
    <x:row r="209" ht="23" customHeight="1">
      <x:c r="A209" s="190" t="d">
        <x:v>2025-04-16T00:00:00.000Z</x:v>
      </x:c>
      <x:c r="B209" s="159" t="n">
        <x:v>44.98</x:v>
      </x:c>
      <x:c r="C209" s="191" t="n">
        <x:v>5223762</x:v>
      </x:c>
      <x:c r="D209" s="75" t="n">
        <x:v>2025</x:v>
      </x:c>
      <x:c r="E209" s="75" t="n">
        <x:v>2025</x:v>
      </x:c>
      <x:c r="F209" s="75" t="n">
        <x:v>4</x:v>
      </x:c>
      <x:c r="G209" s="75" t="str">
        <x:v>https://dps.psx.com.pk/historical</x:v>
      </x:c>
      <x:c r="H209" s="75" t="str">
        <x:v>{"symbol":"FCCL","year":"2025","month":"4"}</x:v>
      </x:c>
      <x:c r="I209" s="75" t="str">
        <x:v>5e75ef9fbe6cac70a374e6195871c34a929b8ad9cc56fa6291d10d2d910bae84</x:v>
      </x:c>
      <x:c r="J209" s="75" t="str">
        <x:v>Apr 16, 2025 | 45.96 | 46.38 | 44.80 | 44.98 | 5,223,762</x:v>
      </x:c>
    </x:row>
    <x:row r="210" ht="23" customHeight="1">
      <x:c r="A210" s="190" t="d">
        <x:v>2025-04-17T00:00:00.000Z</x:v>
      </x:c>
      <x:c r="B210" s="159" t="n">
        <x:v>46.17</x:v>
      </x:c>
      <x:c r="C210" s="191" t="n">
        <x:v>16949781</x:v>
      </x:c>
      <x:c r="D210" s="75" t="n">
        <x:v>2025</x:v>
      </x:c>
      <x:c r="E210" s="75" t="n">
        <x:v>2025</x:v>
      </x:c>
      <x:c r="F210" s="75" t="n">
        <x:v>4</x:v>
      </x:c>
      <x:c r="G210" s="75" t="str">
        <x:v>https://dps.psx.com.pk/historical</x:v>
      </x:c>
      <x:c r="H210" s="75" t="str">
        <x:v>{"symbol":"FCCL","year":"2025","month":"4"}</x:v>
      </x:c>
      <x:c r="I210" s="75" t="str">
        <x:v>5e75ef9fbe6cac70a374e6195871c34a929b8ad9cc56fa6291d10d2d910bae84</x:v>
      </x:c>
      <x:c r="J210" s="75" t="str">
        <x:v>Apr 17, 2025 | 45.03 | 46.80 | 45.03 | 46.17 | 16,949,781</x:v>
      </x:c>
    </x:row>
    <x:row r="211" ht="23" customHeight="1">
      <x:c r="A211" s="190" t="d">
        <x:v>2025-04-18T00:00:00.000Z</x:v>
      </x:c>
      <x:c r="B211" s="159" t="n">
        <x:v>46.18</x:v>
      </x:c>
      <x:c r="C211" s="191" t="n">
        <x:v>7881960</x:v>
      </x:c>
      <x:c r="D211" s="75" t="n">
        <x:v>2025</x:v>
      </x:c>
      <x:c r="E211" s="75" t="n">
        <x:v>2025</x:v>
      </x:c>
      <x:c r="F211" s="75" t="n">
        <x:v>4</x:v>
      </x:c>
      <x:c r="G211" s="75" t="str">
        <x:v>https://dps.psx.com.pk/historical</x:v>
      </x:c>
      <x:c r="H211" s="75" t="str">
        <x:v>{"symbol":"FCCL","year":"2025","month":"4"}</x:v>
      </x:c>
      <x:c r="I211" s="75" t="str">
        <x:v>5e75ef9fbe6cac70a374e6195871c34a929b8ad9cc56fa6291d10d2d910bae84</x:v>
      </x:c>
      <x:c r="J211" s="75" t="str">
        <x:v>Apr 18, 2025 | 46.48 | 46.62 | 45.94 | 46.18 | 7,881,960</x:v>
      </x:c>
    </x:row>
    <x:row r="212" ht="23" customHeight="1">
      <x:c r="A212" s="190" t="d">
        <x:v>2025-04-21T00:00:00.000Z</x:v>
      </x:c>
      <x:c r="B212" s="159" t="n">
        <x:v>46.52</x:v>
      </x:c>
      <x:c r="C212" s="191" t="n">
        <x:v>16149277</x:v>
      </x:c>
      <x:c r="D212" s="75" t="n">
        <x:v>2025</x:v>
      </x:c>
      <x:c r="E212" s="75" t="n">
        <x:v>2025</x:v>
      </x:c>
      <x:c r="F212" s="75" t="n">
        <x:v>4</x:v>
      </x:c>
      <x:c r="G212" s="75" t="str">
        <x:v>https://dps.psx.com.pk/historical</x:v>
      </x:c>
      <x:c r="H212" s="75" t="str">
        <x:v>{"symbol":"FCCL","year":"2025","month":"4"}</x:v>
      </x:c>
      <x:c r="I212" s="75" t="str">
        <x:v>5e75ef9fbe6cac70a374e6195871c34a929b8ad9cc56fa6291d10d2d910bae84</x:v>
      </x:c>
      <x:c r="J212" s="75" t="str">
        <x:v>Apr 21, 2025 | 46.57 | 47.75 | 45.50 | 46.52 | 16,149,277</x:v>
      </x:c>
    </x:row>
    <x:row r="213" ht="23" customHeight="1">
      <x:c r="A213" s="190" t="d">
        <x:v>2025-04-22T00:00:00.000Z</x:v>
      </x:c>
      <x:c r="B213" s="159" t="n">
        <x:v>46.28</x:v>
      </x:c>
      <x:c r="C213" s="191" t="n">
        <x:v>6397163</x:v>
      </x:c>
      <x:c r="D213" s="75" t="n">
        <x:v>2025</x:v>
      </x:c>
      <x:c r="E213" s="75" t="n">
        <x:v>2025</x:v>
      </x:c>
      <x:c r="F213" s="75" t="n">
        <x:v>4</x:v>
      </x:c>
      <x:c r="G213" s="75" t="str">
        <x:v>https://dps.psx.com.pk/historical</x:v>
      </x:c>
      <x:c r="H213" s="75" t="str">
        <x:v>{"symbol":"FCCL","year":"2025","month":"4"}</x:v>
      </x:c>
      <x:c r="I213" s="75" t="str">
        <x:v>5e75ef9fbe6cac70a374e6195871c34a929b8ad9cc56fa6291d10d2d910bae84</x:v>
      </x:c>
      <x:c r="J213" s="75" t="str">
        <x:v>Apr 22, 2025 | 46.50 | 47.10 | 46.20 | 46.28 | 6,397,163</x:v>
      </x:c>
    </x:row>
    <x:row r="214" ht="23" customHeight="1">
      <x:c r="A214" s="190" t="d">
        <x:v>2025-04-23T00:00:00.000Z</x:v>
      </x:c>
      <x:c r="B214" s="159" t="n">
        <x:v>45.77</x:v>
      </x:c>
      <x:c r="C214" s="191" t="n">
        <x:v>3763581</x:v>
      </x:c>
      <x:c r="D214" s="75" t="n">
        <x:v>2025</x:v>
      </x:c>
      <x:c r="E214" s="75" t="n">
        <x:v>2025</x:v>
      </x:c>
      <x:c r="F214" s="75" t="n">
        <x:v>4</x:v>
      </x:c>
      <x:c r="G214" s="75" t="str">
        <x:v>https://dps.psx.com.pk/historical</x:v>
      </x:c>
      <x:c r="H214" s="75" t="str">
        <x:v>{"symbol":"FCCL","year":"2025","month":"4"}</x:v>
      </x:c>
      <x:c r="I214" s="75" t="str">
        <x:v>5e75ef9fbe6cac70a374e6195871c34a929b8ad9cc56fa6291d10d2d910bae84</x:v>
      </x:c>
      <x:c r="J214" s="75" t="str">
        <x:v>Apr 23, 2025 | 46.90 | 47.20 | 45.51 | 45.77 | 3,763,581</x:v>
      </x:c>
    </x:row>
    <x:row r="215" ht="23" customHeight="1">
      <x:c r="A215" s="190" t="d">
        <x:v>2025-04-24T00:00:00.000Z</x:v>
      </x:c>
      <x:c r="B215" s="159" t="n">
        <x:v>43.93</x:v>
      </x:c>
      <x:c r="C215" s="191" t="n">
        <x:v>12426119</x:v>
      </x:c>
      <x:c r="D215" s="75" t="n">
        <x:v>2025</x:v>
      </x:c>
      <x:c r="E215" s="75" t="n">
        <x:v>2025</x:v>
      </x:c>
      <x:c r="F215" s="75" t="n">
        <x:v>4</x:v>
      </x:c>
      <x:c r="G215" s="75" t="str">
        <x:v>https://dps.psx.com.pk/historical</x:v>
      </x:c>
      <x:c r="H215" s="75" t="str">
        <x:v>{"symbol":"FCCL","year":"2025","month":"4"}</x:v>
      </x:c>
      <x:c r="I215" s="75" t="str">
        <x:v>5e75ef9fbe6cac70a374e6195871c34a929b8ad9cc56fa6291d10d2d910bae84</x:v>
      </x:c>
      <x:c r="J215" s="75" t="str">
        <x:v>Apr 24, 2025 | 44.00 | 45.60 | 43.25 | 43.93 | 12,426,119</x:v>
      </x:c>
    </x:row>
    <x:row r="216" ht="23" customHeight="1">
      <x:c r="A216" s="190" t="d">
        <x:v>2025-04-25T00:00:00.000Z</x:v>
      </x:c>
      <x:c r="B216" s="159" t="n">
        <x:v>44.58</x:v>
      </x:c>
      <x:c r="C216" s="191" t="n">
        <x:v>6749144</x:v>
      </x:c>
      <x:c r="D216" s="75" t="n">
        <x:v>2025</x:v>
      </x:c>
      <x:c r="E216" s="75" t="n">
        <x:v>2025</x:v>
      </x:c>
      <x:c r="F216" s="75" t="n">
        <x:v>4</x:v>
      </x:c>
      <x:c r="G216" s="75" t="str">
        <x:v>https://dps.psx.com.pk/historical</x:v>
      </x:c>
      <x:c r="H216" s="75" t="str">
        <x:v>{"symbol":"FCCL","year":"2025","month":"4"}</x:v>
      </x:c>
      <x:c r="I216" s="75" t="str">
        <x:v>5e75ef9fbe6cac70a374e6195871c34a929b8ad9cc56fa6291d10d2d910bae84</x:v>
      </x:c>
      <x:c r="J216" s="75" t="str">
        <x:v>Apr 25, 2025 | 43.55 | 45.00 | 43.00 | 44.58 | 6,749,144</x:v>
      </x:c>
    </x:row>
    <x:row r="217" ht="23" customHeight="1">
      <x:c r="A217" s="190" t="d">
        <x:v>2025-04-28T00:00:00.000Z</x:v>
      </x:c>
      <x:c r="B217" s="159" t="n">
        <x:v>42.97</x:v>
      </x:c>
      <x:c r="C217" s="191" t="n">
        <x:v>4730860</x:v>
      </x:c>
      <x:c r="D217" s="75" t="n">
        <x:v>2025</x:v>
      </x:c>
      <x:c r="E217" s="75" t="n">
        <x:v>2025</x:v>
      </x:c>
      <x:c r="F217" s="75" t="n">
        <x:v>4</x:v>
      </x:c>
      <x:c r="G217" s="75" t="str">
        <x:v>https://dps.psx.com.pk/historical</x:v>
      </x:c>
      <x:c r="H217" s="75" t="str">
        <x:v>{"symbol":"FCCL","year":"2025","month":"4"}</x:v>
      </x:c>
      <x:c r="I217" s="75" t="str">
        <x:v>5e75ef9fbe6cac70a374e6195871c34a929b8ad9cc56fa6291d10d2d910bae84</x:v>
      </x:c>
      <x:c r="J217" s="75" t="str">
        <x:v>Apr 28, 2025 | 44.26 | 45.50 | 42.24 | 42.97 | 4,730,860</x:v>
      </x:c>
    </x:row>
    <x:row r="218" ht="23" customHeight="1">
      <x:c r="A218" s="190" t="d">
        <x:v>2025-04-29T00:00:00.000Z</x:v>
      </x:c>
      <x:c r="B218" s="159" t="n">
        <x:v>43.73</x:v>
      </x:c>
      <x:c r="C218" s="191" t="n">
        <x:v>7326812</x:v>
      </x:c>
      <x:c r="D218" s="75" t="n">
        <x:v>2025</x:v>
      </x:c>
      <x:c r="E218" s="75" t="n">
        <x:v>2025</x:v>
      </x:c>
      <x:c r="F218" s="75" t="n">
        <x:v>4</x:v>
      </x:c>
      <x:c r="G218" s="75" t="str">
        <x:v>https://dps.psx.com.pk/historical</x:v>
      </x:c>
      <x:c r="H218" s="75" t="str">
        <x:v>{"symbol":"FCCL","year":"2025","month":"4"}</x:v>
      </x:c>
      <x:c r="I218" s="75" t="str">
        <x:v>5e75ef9fbe6cac70a374e6195871c34a929b8ad9cc56fa6291d10d2d910bae84</x:v>
      </x:c>
      <x:c r="J218" s="75" t="str">
        <x:v>Apr 29, 2025 | 43.31 | 44.50 | 42.40 | 43.73 | 7,326,812</x:v>
      </x:c>
    </x:row>
    <x:row r="219" ht="23" customHeight="1">
      <x:c r="A219" s="190" t="d">
        <x:v>2025-04-30T00:00:00.000Z</x:v>
      </x:c>
      <x:c r="B219" s="159" t="n">
        <x:v>42.81</x:v>
      </x:c>
      <x:c r="C219" s="191" t="n">
        <x:v>13723423</x:v>
      </x:c>
      <x:c r="D219" s="75" t="n">
        <x:v>2025</x:v>
      </x:c>
      <x:c r="E219" s="75" t="n">
        <x:v>2025</x:v>
      </x:c>
      <x:c r="F219" s="75" t="n">
        <x:v>4</x:v>
      </x:c>
      <x:c r="G219" s="75" t="str">
        <x:v>https://dps.psx.com.pk/historical</x:v>
      </x:c>
      <x:c r="H219" s="75" t="str">
        <x:v>{"symbol":"FCCL","year":"2025","month":"4"}</x:v>
      </x:c>
      <x:c r="I219" s="75" t="str">
        <x:v>5e75ef9fbe6cac70a374e6195871c34a929b8ad9cc56fa6291d10d2d910bae84</x:v>
      </x:c>
      <x:c r="J219" s="75" t="str">
        <x:v>Apr 30, 2025 | 43.10 | 43.48 | 41.75 | 42.81 | 13,723,423</x:v>
      </x:c>
    </x:row>
    <x:row r="220" ht="23" customHeight="1">
      <x:c r="A220" s="190" t="d">
        <x:v>2025-05-02T00:00:00.000Z</x:v>
      </x:c>
      <x:c r="B220" s="159" t="n">
        <x:v>43.44</x:v>
      </x:c>
      <x:c r="C220" s="191" t="n">
        <x:v>11208268</x:v>
      </x:c>
      <x:c r="D220" s="75" t="n">
        <x:v>2025</x:v>
      </x:c>
      <x:c r="E220" s="75" t="n">
        <x:v>2025</x:v>
      </x:c>
      <x:c r="F220" s="75" t="n">
        <x:v>5</x:v>
      </x:c>
      <x:c r="G220" s="75" t="str">
        <x:v>https://dps.psx.com.pk/historical</x:v>
      </x:c>
      <x:c r="H220" s="75" t="str">
        <x:v>{"symbol":"FCCL","year":"2025","month":"5"}</x:v>
      </x:c>
      <x:c r="I220" s="75" t="str">
        <x:v>ffd2b82d463214f2b475fe0efa93309b4a043147a4db69c61e35c3398dbab6a5</x:v>
      </x:c>
      <x:c r="J220" s="75" t="str">
        <x:v>May 2, 2025 | 43.45 | 44.30 | 43.20 | 43.44 | 11,208,268</x:v>
      </x:c>
    </x:row>
    <x:row r="221" ht="23" customHeight="1">
      <x:c r="A221" s="190" t="d">
        <x:v>2025-05-05T00:00:00.000Z</x:v>
      </x:c>
      <x:c r="B221" s="159" t="n">
        <x:v>44.65</x:v>
      </x:c>
      <x:c r="C221" s="191" t="n">
        <x:v>14618227</x:v>
      </x:c>
      <x:c r="D221" s="75" t="n">
        <x:v>2025</x:v>
      </x:c>
      <x:c r="E221" s="75" t="n">
        <x:v>2025</x:v>
      </x:c>
      <x:c r="F221" s="75" t="n">
        <x:v>5</x:v>
      </x:c>
      <x:c r="G221" s="75" t="str">
        <x:v>https://dps.psx.com.pk/historical</x:v>
      </x:c>
      <x:c r="H221" s="75" t="str">
        <x:v>{"symbol":"FCCL","year":"2025","month":"5"}</x:v>
      </x:c>
      <x:c r="I221" s="75" t="str">
        <x:v>ffd2b82d463214f2b475fe0efa93309b4a043147a4db69c61e35c3398dbab6a5</x:v>
      </x:c>
      <x:c r="J221" s="75" t="str">
        <x:v>May 5, 2025 | 43.50 | 45.40 | 42.25 | 44.65 | 14,618,227</x:v>
      </x:c>
    </x:row>
    <x:row r="222" ht="23" customHeight="1">
      <x:c r="A222" s="190" t="d">
        <x:v>2025-05-06T00:00:00.000Z</x:v>
      </x:c>
      <x:c r="B222" s="159" t="n">
        <x:v>44.04</x:v>
      </x:c>
      <x:c r="C222" s="191" t="n">
        <x:v>5827716</x:v>
      </x:c>
      <x:c r="D222" s="75" t="n">
        <x:v>2025</x:v>
      </x:c>
      <x:c r="E222" s="75" t="n">
        <x:v>2025</x:v>
      </x:c>
      <x:c r="F222" s="75" t="n">
        <x:v>5</x:v>
      </x:c>
      <x:c r="G222" s="75" t="str">
        <x:v>https://dps.psx.com.pk/historical</x:v>
      </x:c>
      <x:c r="H222" s="75" t="str">
        <x:v>{"symbol":"FCCL","year":"2025","month":"5"}</x:v>
      </x:c>
      <x:c r="I222" s="75" t="str">
        <x:v>ffd2b82d463214f2b475fe0efa93309b4a043147a4db69c61e35c3398dbab6a5</x:v>
      </x:c>
      <x:c r="J222" s="75" t="str">
        <x:v>May 6, 2025 | 45.51 | 45.51 | 43.87 | 44.04 | 5,827,716</x:v>
      </x:c>
    </x:row>
    <x:row r="223" ht="23" customHeight="1">
      <x:c r="A223" s="190" t="d">
        <x:v>2025-05-07T00:00:00.000Z</x:v>
      </x:c>
      <x:c r="B223" s="159" t="n">
        <x:v>42.85</x:v>
      </x:c>
      <x:c r="C223" s="191" t="n">
        <x:v>16433479</x:v>
      </x:c>
      <x:c r="D223" s="75" t="n">
        <x:v>2025</x:v>
      </x:c>
      <x:c r="E223" s="75" t="n">
        <x:v>2025</x:v>
      </x:c>
      <x:c r="F223" s="75" t="n">
        <x:v>5</x:v>
      </x:c>
      <x:c r="G223" s="75" t="str">
        <x:v>https://dps.psx.com.pk/historical</x:v>
      </x:c>
      <x:c r="H223" s="75" t="str">
        <x:v>{"symbol":"FCCL","year":"2025","month":"5"}</x:v>
      </x:c>
      <x:c r="I223" s="75" t="str">
        <x:v>ffd2b82d463214f2b475fe0efa93309b4a043147a4db69c61e35c3398dbab6a5</x:v>
      </x:c>
      <x:c r="J223" s="75" t="str">
        <x:v>May 7, 2025 | 40.01 | 43.95 | 40.01 | 42.85 | 16,433,479</x:v>
      </x:c>
    </x:row>
    <x:row r="224" ht="23" customHeight="1">
      <x:c r="A224" s="190" t="d">
        <x:v>2025-05-08T00:00:00.000Z</x:v>
      </x:c>
      <x:c r="B224" s="159" t="n">
        <x:v>39.86</x:v>
      </x:c>
      <x:c r="C224" s="191" t="n">
        <x:v>19664828</x:v>
      </x:c>
      <x:c r="D224" s="75" t="n">
        <x:v>2025</x:v>
      </x:c>
      <x:c r="E224" s="75" t="n">
        <x:v>2025</x:v>
      </x:c>
      <x:c r="F224" s="75" t="n">
        <x:v>5</x:v>
      </x:c>
      <x:c r="G224" s="75" t="str">
        <x:v>https://dps.psx.com.pk/historical</x:v>
      </x:c>
      <x:c r="H224" s="75" t="str">
        <x:v>{"symbol":"FCCL","year":"2025","month":"5"}</x:v>
      </x:c>
      <x:c r="I224" s="75" t="str">
        <x:v>ffd2b82d463214f2b475fe0efa93309b4a043147a4db69c61e35c3398dbab6a5</x:v>
      </x:c>
      <x:c r="J224" s="75" t="str">
        <x:v>May 8, 2025 | 43.29 | 43.65 | 38.57 | 39.86 | 19,664,828</x:v>
      </x:c>
    </x:row>
    <x:row r="225" ht="23" customHeight="1">
      <x:c r="A225" s="190" t="d">
        <x:v>2025-05-09T00:00:00.000Z</x:v>
      </x:c>
      <x:c r="B225" s="159" t="n">
        <x:v>41.55</x:v>
      </x:c>
      <x:c r="C225" s="191" t="n">
        <x:v>8256394</x:v>
      </x:c>
      <x:c r="D225" s="75" t="n">
        <x:v>2025</x:v>
      </x:c>
      <x:c r="E225" s="75" t="n">
        <x:v>2025</x:v>
      </x:c>
      <x:c r="F225" s="75" t="n">
        <x:v>5</x:v>
      </x:c>
      <x:c r="G225" s="75" t="str">
        <x:v>https://dps.psx.com.pk/historical</x:v>
      </x:c>
      <x:c r="H225" s="75" t="str">
        <x:v>{"symbol":"FCCL","year":"2025","month":"5"}</x:v>
      </x:c>
      <x:c r="I225" s="75" t="str">
        <x:v>ffd2b82d463214f2b475fe0efa93309b4a043147a4db69c61e35c3398dbab6a5</x:v>
      </x:c>
      <x:c r="J225" s="75" t="str">
        <x:v>May 9, 2025 | 39.50 | 42.80 | 38.85 | 41.55 | 8,256,394</x:v>
      </x:c>
    </x:row>
    <x:row r="226" ht="23" customHeight="1">
      <x:c r="A226" s="190" t="d">
        <x:v>2025-05-12T00:00:00.000Z</x:v>
      </x:c>
      <x:c r="B226" s="159" t="n">
        <x:v>45.71</x:v>
      </x:c>
      <x:c r="C226" s="191" t="n">
        <x:v>6714721</x:v>
      </x:c>
      <x:c r="D226" s="75" t="n">
        <x:v>2025</x:v>
      </x:c>
      <x:c r="E226" s="75" t="n">
        <x:v>2025</x:v>
      </x:c>
      <x:c r="F226" s="75" t="n">
        <x:v>5</x:v>
      </x:c>
      <x:c r="G226" s="75" t="str">
        <x:v>https://dps.psx.com.pk/historical</x:v>
      </x:c>
      <x:c r="H226" s="75" t="str">
        <x:v>{"symbol":"FCCL","year":"2025","month":"5"}</x:v>
      </x:c>
      <x:c r="I226" s="75" t="str">
        <x:v>ffd2b82d463214f2b475fe0efa93309b4a043147a4db69c61e35c3398dbab6a5</x:v>
      </x:c>
      <x:c r="J226" s="75" t="str">
        <x:v>May 12, 2025 | 45.71 | 45.71 | 45.00 | 45.71 | 6,714,721</x:v>
      </x:c>
    </x:row>
    <x:row r="227" ht="23" customHeight="1">
      <x:c r="A227" s="190" t="d">
        <x:v>2025-05-13T00:00:00.000Z</x:v>
      </x:c>
      <x:c r="B227" s="159" t="n">
        <x:v>47.53</x:v>
      </x:c>
      <x:c r="C227" s="191" t="n">
        <x:v>20681855</x:v>
      </x:c>
      <x:c r="D227" s="75" t="n">
        <x:v>2025</x:v>
      </x:c>
      <x:c r="E227" s="75" t="n">
        <x:v>2025</x:v>
      </x:c>
      <x:c r="F227" s="75" t="n">
        <x:v>5</x:v>
      </x:c>
      <x:c r="G227" s="75" t="str">
        <x:v>https://dps.psx.com.pk/historical</x:v>
      </x:c>
      <x:c r="H227" s="75" t="str">
        <x:v>{"symbol":"FCCL","year":"2025","month":"5"}</x:v>
      </x:c>
      <x:c r="I227" s="75" t="str">
        <x:v>ffd2b82d463214f2b475fe0efa93309b4a043147a4db69c61e35c3398dbab6a5</x:v>
      </x:c>
      <x:c r="J227" s="75" t="str">
        <x:v>May 13, 2025 | 47.50 | 47.87 | 44.51 | 47.53 | 20,681,855</x:v>
      </x:c>
    </x:row>
    <x:row r="228" ht="23" customHeight="1">
      <x:c r="A228" s="190" t="d">
        <x:v>2025-05-14T00:00:00.000Z</x:v>
      </x:c>
      <x:c r="B228" s="159" t="n">
        <x:v>47.86</x:v>
      </x:c>
      <x:c r="C228" s="191" t="n">
        <x:v>36170971</x:v>
      </x:c>
      <x:c r="D228" s="75" t="n">
        <x:v>2025</x:v>
      </x:c>
      <x:c r="E228" s="75" t="n">
        <x:v>2025</x:v>
      </x:c>
      <x:c r="F228" s="75" t="n">
        <x:v>5</x:v>
      </x:c>
      <x:c r="G228" s="75" t="str">
        <x:v>https://dps.psx.com.pk/historical</x:v>
      </x:c>
      <x:c r="H228" s="75" t="str">
        <x:v>{"symbol":"FCCL","year":"2025","month":"5"}</x:v>
      </x:c>
      <x:c r="I228" s="75" t="str">
        <x:v>ffd2b82d463214f2b475fe0efa93309b4a043147a4db69c61e35c3398dbab6a5</x:v>
      </x:c>
      <x:c r="J228" s="75" t="str">
        <x:v>May 14, 2025 | 47.53 | 49.85 | 47.20 | 47.86 | 36,170,971</x:v>
      </x:c>
    </x:row>
    <x:row r="229" ht="23" customHeight="1">
      <x:c r="A229" s="190" t="d">
        <x:v>2025-05-15T00:00:00.000Z</x:v>
      </x:c>
      <x:c r="B229" s="159" t="n">
        <x:v>48.54</x:v>
      </x:c>
      <x:c r="C229" s="191" t="n">
        <x:v>15159381</x:v>
      </x:c>
      <x:c r="D229" s="75" t="n">
        <x:v>2025</x:v>
      </x:c>
      <x:c r="E229" s="75" t="n">
        <x:v>2025</x:v>
      </x:c>
      <x:c r="F229" s="75" t="n">
        <x:v>5</x:v>
      </x:c>
      <x:c r="G229" s="75" t="str">
        <x:v>https://dps.psx.com.pk/historical</x:v>
      </x:c>
      <x:c r="H229" s="75" t="str">
        <x:v>{"symbol":"FCCL","year":"2025","month":"5"}</x:v>
      </x:c>
      <x:c r="I229" s="75" t="str">
        <x:v>ffd2b82d463214f2b475fe0efa93309b4a043147a4db69c61e35c3398dbab6a5</x:v>
      </x:c>
      <x:c r="J229" s="75" t="str">
        <x:v>May 15, 2025 | 47.10 | 49.10 | 47.10 | 48.54 | 15,159,381</x:v>
      </x:c>
    </x:row>
    <x:row r="230" ht="23" customHeight="1">
      <x:c r="A230" s="190" t="d">
        <x:v>2025-05-16T00:00:00.000Z</x:v>
      </x:c>
      <x:c r="B230" s="159" t="n">
        <x:v>47.94</x:v>
      </x:c>
      <x:c r="C230" s="191" t="n">
        <x:v>5932968</x:v>
      </x:c>
      <x:c r="D230" s="75" t="n">
        <x:v>2025</x:v>
      </x:c>
      <x:c r="E230" s="75" t="n">
        <x:v>2025</x:v>
      </x:c>
      <x:c r="F230" s="75" t="n">
        <x:v>5</x:v>
      </x:c>
      <x:c r="G230" s="75" t="str">
        <x:v>https://dps.psx.com.pk/historical</x:v>
      </x:c>
      <x:c r="H230" s="75" t="str">
        <x:v>{"symbol":"FCCL","year":"2025","month":"5"}</x:v>
      </x:c>
      <x:c r="I230" s="75" t="str">
        <x:v>ffd2b82d463214f2b475fe0efa93309b4a043147a4db69c61e35c3398dbab6a5</x:v>
      </x:c>
      <x:c r="J230" s="75" t="str">
        <x:v>May 16, 2025 | 48.85 | 49.09 | 47.80 | 47.94 | 5,932,968</x:v>
      </x:c>
    </x:row>
    <x:row r="231" ht="23" customHeight="1">
      <x:c r="A231" s="190" t="d">
        <x:v>2025-05-19T00:00:00.000Z</x:v>
      </x:c>
      <x:c r="B231" s="159" t="n">
        <x:v>47.11</x:v>
      </x:c>
      <x:c r="C231" s="191" t="n">
        <x:v>4058330</x:v>
      </x:c>
      <x:c r="D231" s="75" t="n">
        <x:v>2025</x:v>
      </x:c>
      <x:c r="E231" s="75" t="n">
        <x:v>2025</x:v>
      </x:c>
      <x:c r="F231" s="75" t="n">
        <x:v>5</x:v>
      </x:c>
      <x:c r="G231" s="75" t="str">
        <x:v>https://dps.psx.com.pk/historical</x:v>
      </x:c>
      <x:c r="H231" s="75" t="str">
        <x:v>{"symbol":"FCCL","year":"2025","month":"5"}</x:v>
      </x:c>
      <x:c r="I231" s="75" t="str">
        <x:v>ffd2b82d463214f2b475fe0efa93309b4a043147a4db69c61e35c3398dbab6a5</x:v>
      </x:c>
      <x:c r="J231" s="75" t="str">
        <x:v>May 19, 2025 | 48.00 | 48.33 | 46.70 | 47.11 | 4,058,330</x:v>
      </x:c>
    </x:row>
    <x:row r="232" ht="23" customHeight="1">
      <x:c r="A232" s="190" t="d">
        <x:v>2025-05-20T00:00:00.000Z</x:v>
      </x:c>
      <x:c r="B232" s="159" t="n">
        <x:v>46.99</x:v>
      </x:c>
      <x:c r="C232" s="191" t="n">
        <x:v>8954504</x:v>
      </x:c>
      <x:c r="D232" s="75" t="n">
        <x:v>2025</x:v>
      </x:c>
      <x:c r="E232" s="75" t="n">
        <x:v>2025</x:v>
      </x:c>
      <x:c r="F232" s="75" t="n">
        <x:v>5</x:v>
      </x:c>
      <x:c r="G232" s="75" t="str">
        <x:v>https://dps.psx.com.pk/historical</x:v>
      </x:c>
      <x:c r="H232" s="75" t="str">
        <x:v>{"symbol":"FCCL","year":"2025","month":"5"}</x:v>
      </x:c>
      <x:c r="I232" s="75" t="str">
        <x:v>ffd2b82d463214f2b475fe0efa93309b4a043147a4db69c61e35c3398dbab6a5</x:v>
      </x:c>
      <x:c r="J232" s="75" t="str">
        <x:v>May 20, 2025 | 47.10 | 47.99 | 46.50 | 46.99 | 8,954,504</x:v>
      </x:c>
    </x:row>
    <x:row r="233" ht="23" customHeight="1">
      <x:c r="A233" s="190" t="d">
        <x:v>2025-05-21T00:00:00.000Z</x:v>
      </x:c>
      <x:c r="B233" s="159" t="n">
        <x:v>46.96</x:v>
      </x:c>
      <x:c r="C233" s="191" t="n">
        <x:v>11788320</x:v>
      </x:c>
      <x:c r="D233" s="75" t="n">
        <x:v>2025</x:v>
      </x:c>
      <x:c r="E233" s="75" t="n">
        <x:v>2025</x:v>
      </x:c>
      <x:c r="F233" s="75" t="n">
        <x:v>5</x:v>
      </x:c>
      <x:c r="G233" s="75" t="str">
        <x:v>https://dps.psx.com.pk/historical</x:v>
      </x:c>
      <x:c r="H233" s="75" t="str">
        <x:v>{"symbol":"FCCL","year":"2025","month":"5"}</x:v>
      </x:c>
      <x:c r="I233" s="75" t="str">
        <x:v>ffd2b82d463214f2b475fe0efa93309b4a043147a4db69c61e35c3398dbab6a5</x:v>
      </x:c>
      <x:c r="J233" s="75" t="str">
        <x:v>May 21, 2025 | 47.00 | 47.51 | 46.45 | 46.96 | 11,788,320</x:v>
      </x:c>
    </x:row>
    <x:row r="234" ht="23" customHeight="1">
      <x:c r="A234" s="190" t="d">
        <x:v>2025-05-22T00:00:00.000Z</x:v>
      </x:c>
      <x:c r="B234" s="159" t="n">
        <x:v>46.49</x:v>
      </x:c>
      <x:c r="C234" s="191" t="n">
        <x:v>15031496</x:v>
      </x:c>
      <x:c r="D234" s="75" t="n">
        <x:v>2025</x:v>
      </x:c>
      <x:c r="E234" s="75" t="n">
        <x:v>2025</x:v>
      </x:c>
      <x:c r="F234" s="75" t="n">
        <x:v>5</x:v>
      </x:c>
      <x:c r="G234" s="75" t="str">
        <x:v>https://dps.psx.com.pk/historical</x:v>
      </x:c>
      <x:c r="H234" s="75" t="str">
        <x:v>{"symbol":"FCCL","year":"2025","month":"5"}</x:v>
      </x:c>
      <x:c r="I234" s="75" t="str">
        <x:v>ffd2b82d463214f2b475fe0efa93309b4a043147a4db69c61e35c3398dbab6a5</x:v>
      </x:c>
      <x:c r="J234" s="75" t="str">
        <x:v>May 22, 2025 | 47.00 | 47.40 | 46.25 | 46.49 | 15,031,496</x:v>
      </x:c>
    </x:row>
    <x:row r="235" ht="23" customHeight="1">
      <x:c r="A235" s="190" t="d">
        <x:v>2025-05-23T00:00:00.000Z</x:v>
      </x:c>
      <x:c r="B235" s="159" t="n">
        <x:v>46</x:v>
      </x:c>
      <x:c r="C235" s="191" t="n">
        <x:v>3059560</x:v>
      </x:c>
      <x:c r="D235" s="75" t="n">
        <x:v>2025</x:v>
      </x:c>
      <x:c r="E235" s="75" t="n">
        <x:v>2025</x:v>
      </x:c>
      <x:c r="F235" s="75" t="n">
        <x:v>5</x:v>
      </x:c>
      <x:c r="G235" s="75" t="str">
        <x:v>https://dps.psx.com.pk/historical</x:v>
      </x:c>
      <x:c r="H235" s="75" t="str">
        <x:v>{"symbol":"FCCL","year":"2025","month":"5"}</x:v>
      </x:c>
      <x:c r="I235" s="75" t="str">
        <x:v>ffd2b82d463214f2b475fe0efa93309b4a043147a4db69c61e35c3398dbab6a5</x:v>
      </x:c>
      <x:c r="J235" s="75" t="str">
        <x:v>May 23, 2025 | 46.49 | 46.60 | 45.52 | 46.00 | 3,059,560</x:v>
      </x:c>
    </x:row>
    <x:row r="236" ht="23" customHeight="1">
      <x:c r="A236" s="190" t="d">
        <x:v>2025-05-26T00:00:00.000Z</x:v>
      </x:c>
      <x:c r="B236" s="159" t="n">
        <x:v>45.63</x:v>
      </x:c>
      <x:c r="C236" s="191" t="n">
        <x:v>1862833</x:v>
      </x:c>
      <x:c r="D236" s="75" t="n">
        <x:v>2025</x:v>
      </x:c>
      <x:c r="E236" s="75" t="n">
        <x:v>2025</x:v>
      </x:c>
      <x:c r="F236" s="75" t="n">
        <x:v>5</x:v>
      </x:c>
      <x:c r="G236" s="75" t="str">
        <x:v>https://dps.psx.com.pk/historical</x:v>
      </x:c>
      <x:c r="H236" s="75" t="str">
        <x:v>{"symbol":"FCCL","year":"2025","month":"5"}</x:v>
      </x:c>
      <x:c r="I236" s="75" t="str">
        <x:v>ffd2b82d463214f2b475fe0efa93309b4a043147a4db69c61e35c3398dbab6a5</x:v>
      </x:c>
      <x:c r="J236" s="75" t="str">
        <x:v>May 26, 2025 | 46.00 | 46.19 | 45.50 | 45.63 | 1,862,833</x:v>
      </x:c>
    </x:row>
    <x:row r="237" ht="23" customHeight="1">
      <x:c r="A237" s="190" t="d">
        <x:v>2025-05-27T00:00:00.000Z</x:v>
      </x:c>
      <x:c r="B237" s="159" t="n">
        <x:v>45.93</x:v>
      </x:c>
      <x:c r="C237" s="191" t="n">
        <x:v>12876337</x:v>
      </x:c>
      <x:c r="D237" s="75" t="n">
        <x:v>2025</x:v>
      </x:c>
      <x:c r="E237" s="75" t="n">
        <x:v>2025</x:v>
      </x:c>
      <x:c r="F237" s="75" t="n">
        <x:v>5</x:v>
      </x:c>
      <x:c r="G237" s="75" t="str">
        <x:v>https://dps.psx.com.pk/historical</x:v>
      </x:c>
      <x:c r="H237" s="75" t="str">
        <x:v>{"symbol":"FCCL","year":"2025","month":"5"}</x:v>
      </x:c>
      <x:c r="I237" s="75" t="str">
        <x:v>ffd2b82d463214f2b475fe0efa93309b4a043147a4db69c61e35c3398dbab6a5</x:v>
      </x:c>
      <x:c r="J237" s="75" t="str">
        <x:v>May 27, 2025 | 45.63 | 46.45 | 45.60 | 45.93 | 12,876,337</x:v>
      </x:c>
    </x:row>
    <x:row r="238" ht="23" customHeight="1">
      <x:c r="A238" s="190" t="d">
        <x:v>2025-05-29T00:00:00.000Z</x:v>
      </x:c>
      <x:c r="B238" s="159" t="n">
        <x:v>46.36</x:v>
      </x:c>
      <x:c r="C238" s="191" t="n">
        <x:v>16496094</x:v>
      </x:c>
      <x:c r="D238" s="75" t="n">
        <x:v>2025</x:v>
      </x:c>
      <x:c r="E238" s="75" t="n">
        <x:v>2025</x:v>
      </x:c>
      <x:c r="F238" s="75" t="n">
        <x:v>5</x:v>
      </x:c>
      <x:c r="G238" s="75" t="str">
        <x:v>https://dps.psx.com.pk/historical</x:v>
      </x:c>
      <x:c r="H238" s="75" t="str">
        <x:v>{"symbol":"FCCL","year":"2025","month":"5"}</x:v>
      </x:c>
      <x:c r="I238" s="75" t="str">
        <x:v>ffd2b82d463214f2b475fe0efa93309b4a043147a4db69c61e35c3398dbab6a5</x:v>
      </x:c>
      <x:c r="J238" s="75" t="str">
        <x:v>May 29, 2025 | 46.29 | 47.24 | 46.00 | 46.36 | 16,496,094</x:v>
      </x:c>
    </x:row>
    <x:row r="239" ht="23" customHeight="1">
      <x:c r="A239" s="190" t="d">
        <x:v>2025-05-30T00:00:00.000Z</x:v>
      </x:c>
      <x:c r="B239" s="159" t="n">
        <x:v>46.11</x:v>
      </x:c>
      <x:c r="C239" s="191" t="n">
        <x:v>5679803</x:v>
      </x:c>
      <x:c r="D239" s="75" t="n">
        <x:v>2025</x:v>
      </x:c>
      <x:c r="E239" s="75" t="n">
        <x:v>2025</x:v>
      </x:c>
      <x:c r="F239" s="75" t="n">
        <x:v>5</x:v>
      </x:c>
      <x:c r="G239" s="75" t="str">
        <x:v>https://dps.psx.com.pk/historical</x:v>
      </x:c>
      <x:c r="H239" s="75" t="str">
        <x:v>{"symbol":"FCCL","year":"2025","month":"5"}</x:v>
      </x:c>
      <x:c r="I239" s="75" t="str">
        <x:v>ffd2b82d463214f2b475fe0efa93309b4a043147a4db69c61e35c3398dbab6a5</x:v>
      </x:c>
      <x:c r="J239" s="75" t="str">
        <x:v>May 30, 2025 | 46.60 | 46.65 | 46.00 | 46.11 | 5,679,803</x:v>
      </x:c>
    </x:row>
    <x:row r="240" ht="23" customHeight="1">
      <x:c r="A240" s="190" t="d">
        <x:v>2025-06-02T00:00:00.000Z</x:v>
      </x:c>
      <x:c r="B240" s="159" t="n">
        <x:v>45.29</x:v>
      </x:c>
      <x:c r="C240" s="191" t="n">
        <x:v>4159799</x:v>
      </x:c>
      <x:c r="D240" s="75" t="n">
        <x:v>2025</x:v>
      </x:c>
      <x:c r="E240" s="75" t="n">
        <x:v>2025</x:v>
      </x:c>
      <x:c r="F240" s="75" t="n">
        <x:v>6</x:v>
      </x:c>
      <x:c r="G240" s="75" t="str">
        <x:v>https://dps.psx.com.pk/historical</x:v>
      </x:c>
      <x:c r="H240" s="75" t="str">
        <x:v>{"symbol":"FCCL","year":"2025","month":"6"}</x:v>
      </x:c>
      <x:c r="I240" s="75" t="str">
        <x:v>3052d50d0b71a07af18a2b2f9257d4a22134b0573881456ffe90624ad62c55b0</x:v>
      </x:c>
      <x:c r="J240" s="75" t="str">
        <x:v>Jun 2, 2025 | 46.49 | 46.50 | 45.00 | 45.29 | 4,159,799</x:v>
      </x:c>
    </x:row>
    <x:row r="241" ht="23" customHeight="1">
      <x:c r="A241" s="190" t="d">
        <x:v>2025-06-03T00:00:00.000Z</x:v>
      </x:c>
      <x:c r="B241" s="159" t="n">
        <x:v>45.74</x:v>
      </x:c>
      <x:c r="C241" s="191" t="n">
        <x:v>4752616</x:v>
      </x:c>
      <x:c r="D241" s="75" t="n">
        <x:v>2025</x:v>
      </x:c>
      <x:c r="E241" s="75" t="n">
        <x:v>2025</x:v>
      </x:c>
      <x:c r="F241" s="75" t="n">
        <x:v>6</x:v>
      </x:c>
      <x:c r="G241" s="75" t="str">
        <x:v>https://dps.psx.com.pk/historical</x:v>
      </x:c>
      <x:c r="H241" s="75" t="str">
        <x:v>{"symbol":"FCCL","year":"2025","month":"6"}</x:v>
      </x:c>
      <x:c r="I241" s="75" t="str">
        <x:v>3052d50d0b71a07af18a2b2f9257d4a22134b0573881456ffe90624ad62c55b0</x:v>
      </x:c>
      <x:c r="J241" s="75" t="str">
        <x:v>Jun 3, 2025 | 45.31 | 46.50 | 45.04 | 45.74 | 4,752,616</x:v>
      </x:c>
    </x:row>
    <x:row r="242" ht="23" customHeight="1">
      <x:c r="A242" s="190" t="d">
        <x:v>2025-06-04T00:00:00.000Z</x:v>
      </x:c>
      <x:c r="B242" s="159" t="n">
        <x:v>45.37</x:v>
      </x:c>
      <x:c r="C242" s="191" t="n">
        <x:v>8043365</x:v>
      </x:c>
      <x:c r="D242" s="75" t="n">
        <x:v>2025</x:v>
      </x:c>
      <x:c r="E242" s="75" t="n">
        <x:v>2025</x:v>
      </x:c>
      <x:c r="F242" s="75" t="n">
        <x:v>6</x:v>
      </x:c>
      <x:c r="G242" s="75" t="str">
        <x:v>https://dps.psx.com.pk/historical</x:v>
      </x:c>
      <x:c r="H242" s="75" t="str">
        <x:v>{"symbol":"FCCL","year":"2025","month":"6"}</x:v>
      </x:c>
      <x:c r="I242" s="75" t="str">
        <x:v>3052d50d0b71a07af18a2b2f9257d4a22134b0573881456ffe90624ad62c55b0</x:v>
      </x:c>
      <x:c r="J242" s="75" t="str">
        <x:v>Jun 4, 2025 | 45.98 | 46.08 | 45.10 | 45.37 | 8,043,365</x:v>
      </x:c>
    </x:row>
    <x:row r="243" ht="23" customHeight="1">
      <x:c r="A243" s="190" t="d">
        <x:v>2025-06-05T00:00:00.000Z</x:v>
      </x:c>
      <x:c r="B243" s="159" t="n">
        <x:v>44.98</x:v>
      </x:c>
      <x:c r="C243" s="191" t="n">
        <x:v>5670833</x:v>
      </x:c>
      <x:c r="D243" s="75" t="n">
        <x:v>2025</x:v>
      </x:c>
      <x:c r="E243" s="75" t="n">
        <x:v>2025</x:v>
      </x:c>
      <x:c r="F243" s="75" t="n">
        <x:v>6</x:v>
      </x:c>
      <x:c r="G243" s="75" t="str">
        <x:v>https://dps.psx.com.pk/historical</x:v>
      </x:c>
      <x:c r="H243" s="75" t="str">
        <x:v>{"symbol":"FCCL","year":"2025","month":"6"}</x:v>
      </x:c>
      <x:c r="I243" s="75" t="str">
        <x:v>3052d50d0b71a07af18a2b2f9257d4a22134b0573881456ffe90624ad62c55b0</x:v>
      </x:c>
      <x:c r="J243" s="75" t="str">
        <x:v>Jun 5, 2025 | 45.64 | 45.85 | 44.85 | 44.98 | 5,670,833</x:v>
      </x:c>
    </x:row>
    <x:row r="244" ht="23" customHeight="1">
      <x:c r="A244" s="190" t="d">
        <x:v>2025-06-10T00:00:00.000Z</x:v>
      </x:c>
      <x:c r="B244" s="159" t="n">
        <x:v>45.16</x:v>
      </x:c>
      <x:c r="C244" s="191" t="n">
        <x:v>3535058</x:v>
      </x:c>
      <x:c r="D244" s="75" t="n">
        <x:v>2025</x:v>
      </x:c>
      <x:c r="E244" s="75" t="n">
        <x:v>2025</x:v>
      </x:c>
      <x:c r="F244" s="75" t="n">
        <x:v>6</x:v>
      </x:c>
      <x:c r="G244" s="75" t="str">
        <x:v>https://dps.psx.com.pk/historical</x:v>
      </x:c>
      <x:c r="H244" s="75" t="str">
        <x:v>{"symbol":"FCCL","year":"2025","month":"6"}</x:v>
      </x:c>
      <x:c r="I244" s="75" t="str">
        <x:v>3052d50d0b71a07af18a2b2f9257d4a22134b0573881456ffe90624ad62c55b0</x:v>
      </x:c>
      <x:c r="J244" s="75" t="str">
        <x:v>Jun 10, 2025 | 45.35 | 45.79 | 44.98 | 45.16 | 3,535,058</x:v>
      </x:c>
    </x:row>
    <x:row r="245" ht="23" customHeight="1">
      <x:c r="A245" s="190" t="d">
        <x:v>2025-06-11T00:00:00.000Z</x:v>
      </x:c>
      <x:c r="B245" s="159" t="n">
        <x:v>46.87</x:v>
      </x:c>
      <x:c r="C245" s="191" t="n">
        <x:v>33471965</x:v>
      </x:c>
      <x:c r="D245" s="75" t="n">
        <x:v>2025</x:v>
      </x:c>
      <x:c r="E245" s="75" t="n">
        <x:v>2025</x:v>
      </x:c>
      <x:c r="F245" s="75" t="n">
        <x:v>6</x:v>
      </x:c>
      <x:c r="G245" s="75" t="str">
        <x:v>https://dps.psx.com.pk/historical</x:v>
      </x:c>
      <x:c r="H245" s="75" t="str">
        <x:v>{"symbol":"FCCL","year":"2025","month":"6"}</x:v>
      </x:c>
      <x:c r="I245" s="75" t="str">
        <x:v>3052d50d0b71a07af18a2b2f9257d4a22134b0573881456ffe90624ad62c55b0</x:v>
      </x:c>
      <x:c r="J245" s="75" t="str">
        <x:v>Jun 11, 2025 | 45.99 | 47.39 | 45.68 | 46.87 | 33,471,965</x:v>
      </x:c>
    </x:row>
    <x:row r="246" ht="23" customHeight="1">
      <x:c r="A246" s="190" t="d">
        <x:v>2025-06-12T00:00:00.000Z</x:v>
      </x:c>
      <x:c r="B246" s="159" t="n">
        <x:v>47.36</x:v>
      </x:c>
      <x:c r="C246" s="191" t="n">
        <x:v>50597576</x:v>
      </x:c>
      <x:c r="D246" s="75" t="n">
        <x:v>2025</x:v>
      </x:c>
      <x:c r="E246" s="75" t="n">
        <x:v>2025</x:v>
      </x:c>
      <x:c r="F246" s="75" t="n">
        <x:v>6</x:v>
      </x:c>
      <x:c r="G246" s="75" t="str">
        <x:v>https://dps.psx.com.pk/historical</x:v>
      </x:c>
      <x:c r="H246" s="75" t="str">
        <x:v>{"symbol":"FCCL","year":"2025","month":"6"}</x:v>
      </x:c>
      <x:c r="I246" s="75" t="str">
        <x:v>3052d50d0b71a07af18a2b2f9257d4a22134b0573881456ffe90624ad62c55b0</x:v>
      </x:c>
      <x:c r="J246" s="75" t="str">
        <x:v>Jun 12, 2025 | 47.19 | 50.00 | 46.71 | 47.36 | 50,597,576</x:v>
      </x:c>
    </x:row>
    <x:row r="247" ht="23" customHeight="1">
      <x:c r="A247" s="190" t="d">
        <x:v>2025-06-13T00:00:00.000Z</x:v>
      </x:c>
      <x:c r="B247" s="159" t="n">
        <x:v>46.57</x:v>
      </x:c>
      <x:c r="C247" s="191" t="n">
        <x:v>16701558</x:v>
      </x:c>
      <x:c r="D247" s="75" t="n">
        <x:v>2025</x:v>
      </x:c>
      <x:c r="E247" s="75" t="n">
        <x:v>2025</x:v>
      </x:c>
      <x:c r="F247" s="75" t="n">
        <x:v>6</x:v>
      </x:c>
      <x:c r="G247" s="75" t="str">
        <x:v>https://dps.psx.com.pk/historical</x:v>
      </x:c>
      <x:c r="H247" s="75" t="str">
        <x:v>{"symbol":"FCCL","year":"2025","month":"6"}</x:v>
      </x:c>
      <x:c r="I247" s="75" t="str">
        <x:v>3052d50d0b71a07af18a2b2f9257d4a22134b0573881456ffe90624ad62c55b0</x:v>
      </x:c>
      <x:c r="J247" s="75" t="str">
        <x:v>Jun 13, 2025 | 46.30 | 46.97 | 45.50 | 46.57 | 16,701,558</x:v>
      </x:c>
    </x:row>
    <x:row r="248" ht="23" customHeight="1">
      <x:c r="A248" s="190" t="d">
        <x:v>2025-06-16T00:00:00.000Z</x:v>
      </x:c>
      <x:c r="B248" s="159" t="n">
        <x:v>46.42</x:v>
      </x:c>
      <x:c r="C248" s="191" t="n">
        <x:v>9229863</x:v>
      </x:c>
      <x:c r="D248" s="75" t="n">
        <x:v>2025</x:v>
      </x:c>
      <x:c r="E248" s="75" t="n">
        <x:v>2025</x:v>
      </x:c>
      <x:c r="F248" s="75" t="n">
        <x:v>6</x:v>
      </x:c>
      <x:c r="G248" s="75" t="str">
        <x:v>https://dps.psx.com.pk/historical</x:v>
      </x:c>
      <x:c r="H248" s="75" t="str">
        <x:v>{"symbol":"FCCL","year":"2025","month":"6"}</x:v>
      </x:c>
      <x:c r="I248" s="75" t="str">
        <x:v>3052d50d0b71a07af18a2b2f9257d4a22134b0573881456ffe90624ad62c55b0</x:v>
      </x:c>
      <x:c r="J248" s="75" t="str">
        <x:v>Jun 16, 2025 | 46.48 | 47.75 | 45.85 | 46.42 | 9,229,863</x:v>
      </x:c>
    </x:row>
    <x:row r="249" ht="23" customHeight="1">
      <x:c r="A249" s="190" t="d">
        <x:v>2025-06-17T00:00:00.000Z</x:v>
      </x:c>
      <x:c r="B249" s="159" t="n">
        <x:v>45.58</x:v>
      </x:c>
      <x:c r="C249" s="191" t="n">
        <x:v>7520246</x:v>
      </x:c>
      <x:c r="D249" s="75" t="n">
        <x:v>2025</x:v>
      </x:c>
      <x:c r="E249" s="75" t="n">
        <x:v>2025</x:v>
      </x:c>
      <x:c r="F249" s="75" t="n">
        <x:v>6</x:v>
      </x:c>
      <x:c r="G249" s="75" t="str">
        <x:v>https://dps.psx.com.pk/historical</x:v>
      </x:c>
      <x:c r="H249" s="75" t="str">
        <x:v>{"symbol":"FCCL","year":"2025","month":"6"}</x:v>
      </x:c>
      <x:c r="I249" s="75" t="str">
        <x:v>3052d50d0b71a07af18a2b2f9257d4a22134b0573881456ffe90624ad62c55b0</x:v>
      </x:c>
      <x:c r="J249" s="75" t="str">
        <x:v>Jun 17, 2025 | 46.48 | 46.62 | 45.50 | 45.58 | 7,520,246</x:v>
      </x:c>
    </x:row>
    <x:row r="250" ht="23" customHeight="1">
      <x:c r="A250" s="190" t="d">
        <x:v>2025-06-18T00:00:00.000Z</x:v>
      </x:c>
      <x:c r="B250" s="159" t="n">
        <x:v>45.11</x:v>
      </x:c>
      <x:c r="C250" s="191" t="n">
        <x:v>7583014</x:v>
      </x:c>
      <x:c r="D250" s="75" t="n">
        <x:v>2025</x:v>
      </x:c>
      <x:c r="E250" s="75" t="n">
        <x:v>2025</x:v>
      </x:c>
      <x:c r="F250" s="75" t="n">
        <x:v>6</x:v>
      </x:c>
      <x:c r="G250" s="75" t="str">
        <x:v>https://dps.psx.com.pk/historical</x:v>
      </x:c>
      <x:c r="H250" s="75" t="str">
        <x:v>{"symbol":"FCCL","year":"2025","month":"6"}</x:v>
      </x:c>
      <x:c r="I250" s="75" t="str">
        <x:v>3052d50d0b71a07af18a2b2f9257d4a22134b0573881456ffe90624ad62c55b0</x:v>
      </x:c>
      <x:c r="J250" s="75" t="str">
        <x:v>Jun 18, 2025 | 45.68 | 45.85 | 45.00 | 45.11 | 7,583,014</x:v>
      </x:c>
    </x:row>
    <x:row r="251" ht="23" customHeight="1">
      <x:c r="A251" s="190" t="d">
        <x:v>2025-06-19T00:00:00.000Z</x:v>
      </x:c>
      <x:c r="B251" s="159" t="n">
        <x:v>44.81</x:v>
      </x:c>
      <x:c r="C251" s="191" t="n">
        <x:v>4332018</x:v>
      </x:c>
      <x:c r="D251" s="75" t="n">
        <x:v>2025</x:v>
      </x:c>
      <x:c r="E251" s="75" t="n">
        <x:v>2025</x:v>
      </x:c>
      <x:c r="F251" s="75" t="n">
        <x:v>6</x:v>
      </x:c>
      <x:c r="G251" s="75" t="str">
        <x:v>https://dps.psx.com.pk/historical</x:v>
      </x:c>
      <x:c r="H251" s="75" t="str">
        <x:v>{"symbol":"FCCL","year":"2025","month":"6"}</x:v>
      </x:c>
      <x:c r="I251" s="75" t="str">
        <x:v>3052d50d0b71a07af18a2b2f9257d4a22134b0573881456ffe90624ad62c55b0</x:v>
      </x:c>
      <x:c r="J251" s="75" t="str">
        <x:v>Jun 19, 2025 | 45.39 | 45.87 | 44.60 | 44.81 | 4,332,018</x:v>
      </x:c>
    </x:row>
    <x:row r="252" ht="23" customHeight="1">
      <x:c r="A252" s="190" t="d">
        <x:v>2025-06-20T00:00:00.000Z</x:v>
      </x:c>
      <x:c r="B252" s="159" t="n">
        <x:v>44.71</x:v>
      </x:c>
      <x:c r="C252" s="191" t="n">
        <x:v>5231042</x:v>
      </x:c>
      <x:c r="D252" s="75" t="n">
        <x:v>2025</x:v>
      </x:c>
      <x:c r="E252" s="75" t="n">
        <x:v>2025</x:v>
      </x:c>
      <x:c r="F252" s="75" t="n">
        <x:v>6</x:v>
      </x:c>
      <x:c r="G252" s="75" t="str">
        <x:v>https://dps.psx.com.pk/historical</x:v>
      </x:c>
      <x:c r="H252" s="75" t="str">
        <x:v>{"symbol":"FCCL","year":"2025","month":"6"}</x:v>
      </x:c>
      <x:c r="I252" s="75" t="str">
        <x:v>3052d50d0b71a07af18a2b2f9257d4a22134b0573881456ffe90624ad62c55b0</x:v>
      </x:c>
      <x:c r="J252" s="75" t="str">
        <x:v>Jun 20, 2025 | 44.98 | 45.29 | 44.50 | 44.71 | 5,231,042</x:v>
      </x:c>
    </x:row>
    <x:row r="253" ht="23" customHeight="1">
      <x:c r="A253" s="190" t="d">
        <x:v>2025-06-23T00:00:00.000Z</x:v>
      </x:c>
      <x:c r="B253" s="159" t="n">
        <x:v>40.55</x:v>
      </x:c>
      <x:c r="C253" s="191" t="n">
        <x:v>16264731</x:v>
      </x:c>
      <x:c r="D253" s="75" t="n">
        <x:v>2025</x:v>
      </x:c>
      <x:c r="E253" s="75" t="n">
        <x:v>2025</x:v>
      </x:c>
      <x:c r="F253" s="75" t="n">
        <x:v>6</x:v>
      </x:c>
      <x:c r="G253" s="75" t="str">
        <x:v>https://dps.psx.com.pk/historical</x:v>
      </x:c>
      <x:c r="H253" s="75" t="str">
        <x:v>{"symbol":"FCCL","year":"2025","month":"6"}</x:v>
      </x:c>
      <x:c r="I253" s="75" t="str">
        <x:v>3052d50d0b71a07af18a2b2f9257d4a22134b0573881456ffe90624ad62c55b0</x:v>
      </x:c>
      <x:c r="J253" s="75" t="str">
        <x:v>Jun 23, 2025 | 42.26 | 44.00 | 40.24 | 40.55 | 16,264,731</x:v>
      </x:c>
    </x:row>
    <x:row r="254" ht="23" customHeight="1">
      <x:c r="A254" s="190" t="d">
        <x:v>2025-06-24T00:00:00.000Z</x:v>
      </x:c>
      <x:c r="B254" s="159" t="n">
        <x:v>44.61</x:v>
      </x:c>
      <x:c r="C254" s="191" t="n">
        <x:v>20582081</x:v>
      </x:c>
      <x:c r="D254" s="75" t="n">
        <x:v>2025</x:v>
      </x:c>
      <x:c r="E254" s="75" t="n">
        <x:v>2025</x:v>
      </x:c>
      <x:c r="F254" s="75" t="n">
        <x:v>6</x:v>
      </x:c>
      <x:c r="G254" s="75" t="str">
        <x:v>https://dps.psx.com.pk/historical</x:v>
      </x:c>
      <x:c r="H254" s="75" t="str">
        <x:v>{"symbol":"FCCL","year":"2025","month":"6"}</x:v>
      </x:c>
      <x:c r="I254" s="75" t="str">
        <x:v>3052d50d0b71a07af18a2b2f9257d4a22134b0573881456ffe90624ad62c55b0</x:v>
      </x:c>
      <x:c r="J254" s="75" t="str">
        <x:v>Jun 24, 2025 | 44.00 | 44.61 | 42.01 | 44.61 | 20,582,081</x:v>
      </x:c>
    </x:row>
    <x:row r="255" ht="23" customHeight="1">
      <x:c r="A255" s="190" t="d">
        <x:v>2025-06-25T00:00:00.000Z</x:v>
      </x:c>
      <x:c r="B255" s="159" t="n">
        <x:v>45.17</x:v>
      </x:c>
      <x:c r="C255" s="191" t="n">
        <x:v>4454110</x:v>
      </x:c>
      <x:c r="D255" s="75" t="n">
        <x:v>2025</x:v>
      </x:c>
      <x:c r="E255" s="75" t="n">
        <x:v>2025</x:v>
      </x:c>
      <x:c r="F255" s="75" t="n">
        <x:v>6</x:v>
      </x:c>
      <x:c r="G255" s="75" t="str">
        <x:v>https://dps.psx.com.pk/historical</x:v>
      </x:c>
      <x:c r="H255" s="75" t="str">
        <x:v>{"symbol":"FCCL","year":"2025","month":"6"}</x:v>
      </x:c>
      <x:c r="I255" s="75" t="str">
        <x:v>3052d50d0b71a07af18a2b2f9257d4a22134b0573881456ffe90624ad62c55b0</x:v>
      </x:c>
      <x:c r="J255" s="75" t="str">
        <x:v>Jun 25, 2025 | 45.00 | 45.90 | 44.62 | 45.17 | 4,454,110</x:v>
      </x:c>
    </x:row>
    <x:row r="256" ht="23" customHeight="1">
      <x:c r="A256" s="190" t="d">
        <x:v>2025-06-26T00:00:00.000Z</x:v>
      </x:c>
      <x:c r="B256" s="159" t="n">
        <x:v>44.77</x:v>
      </x:c>
      <x:c r="C256" s="191" t="n">
        <x:v>4724221</x:v>
      </x:c>
      <x:c r="D256" s="75" t="n">
        <x:v>2025</x:v>
      </x:c>
      <x:c r="E256" s="75" t="n">
        <x:v>2025</x:v>
      </x:c>
      <x:c r="F256" s="75" t="n">
        <x:v>6</x:v>
      </x:c>
      <x:c r="G256" s="75" t="str">
        <x:v>https://dps.psx.com.pk/historical</x:v>
      </x:c>
      <x:c r="H256" s="75" t="str">
        <x:v>{"symbol":"FCCL","year":"2025","month":"6"}</x:v>
      </x:c>
      <x:c r="I256" s="75" t="str">
        <x:v>3052d50d0b71a07af18a2b2f9257d4a22134b0573881456ffe90624ad62c55b0</x:v>
      </x:c>
      <x:c r="J256" s="75" t="str">
        <x:v>Jun 26, 2025 | 45.65 | 45.65 | 44.45 | 44.77 | 4,724,221</x:v>
      </x:c>
    </x:row>
    <x:row r="257" ht="23" customHeight="1">
      <x:c r="A257" s="190" t="d">
        <x:v>2025-06-27T00:00:00.000Z</x:v>
      </x:c>
      <x:c r="B257" s="159" t="n">
        <x:v>45.27</x:v>
      </x:c>
      <x:c r="C257" s="191" t="n">
        <x:v>6158788</x:v>
      </x:c>
      <x:c r="D257" s="75" t="n">
        <x:v>2025</x:v>
      </x:c>
      <x:c r="E257" s="75" t="n">
        <x:v>2025</x:v>
      </x:c>
      <x:c r="F257" s="75" t="n">
        <x:v>6</x:v>
      </x:c>
      <x:c r="G257" s="75" t="str">
        <x:v>https://dps.psx.com.pk/historical</x:v>
      </x:c>
      <x:c r="H257" s="75" t="str">
        <x:v>{"symbol":"FCCL","year":"2025","month":"6"}</x:v>
      </x:c>
      <x:c r="I257" s="75" t="str">
        <x:v>3052d50d0b71a07af18a2b2f9257d4a22134b0573881456ffe90624ad62c55b0</x:v>
      </x:c>
      <x:c r="J257" s="75" t="str">
        <x:v>Jun 27, 2025 | 44.90 | 46.50 | 44.53 | 45.27 | 6,158,788</x:v>
      </x:c>
    </x:row>
    <x:row r="258" ht="23" customHeight="1">
      <x:c r="A258" s="190" t="d">
        <x:v>2025-06-30T00:00:00.000Z</x:v>
      </x:c>
      <x:c r="B258" s="159" t="n">
        <x:v>44.67</x:v>
      </x:c>
      <x:c r="C258" s="191" t="n">
        <x:v>3494330</x:v>
      </x:c>
      <x:c r="D258" s="75" t="n">
        <x:v>2025</x:v>
      </x:c>
      <x:c r="E258" s="75" t="n">
        <x:v>2025</x:v>
      </x:c>
      <x:c r="F258" s="75" t="n">
        <x:v>6</x:v>
      </x:c>
      <x:c r="G258" s="75" t="str">
        <x:v>https://dps.psx.com.pk/historical</x:v>
      </x:c>
      <x:c r="H258" s="75" t="str">
        <x:v>{"symbol":"FCCL","year":"2025","month":"6"}</x:v>
      </x:c>
      <x:c r="I258" s="75" t="str">
        <x:v>3052d50d0b71a07af18a2b2f9257d4a22134b0573881456ffe90624ad62c55b0</x:v>
      </x:c>
      <x:c r="J258" s="75" t="str">
        <x:v>Jun 30, 2025 | 45.47 | 45.55 | 44.52 | 44.67 | 3,494,330</x:v>
      </x:c>
    </x:row>
  </x:sheetData>
  <x:mergeCells>
    <x:mergeCell ref="A8:J9"/>
  </x:mergeCells>
  <x:pageMargins left="0.7" right="0.7" top="0.75" bottom="0.75" header="0.3" footer="0.3"/>
</x:worksheet>
</file>